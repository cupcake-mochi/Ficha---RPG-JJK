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DADOS_AM!$JD$2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DADOS_AM!$IV$2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DADOS_AM!$IV$3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DADOS_AM!$IV$4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DADOS_AM!$IV$5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DADOS_AM!$IV$6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DADOS_AM!$JD$3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DADOS_AM!$IV$7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DADOS_AM!$IV$8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DADOS_AM!$IV$9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DADOS_AM!$IV$10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DADOS_AM!$KQ$2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DADOS_AM!$KQ$3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DADOS_AM!$JH$2</f>
        <v/>
      </c>
      <c r="E169" s="17" t="n"/>
      <c r="F169" s="115">
        <f>DADOS_AM!$JI$2</f>
        <v/>
      </c>
      <c r="G169" s="16" t="n"/>
      <c r="H169" s="16" t="n"/>
      <c r="I169" s="16" t="n"/>
      <c r="J169" s="16" t="n"/>
      <c r="K169" s="16" t="n"/>
      <c r="L169" s="16" t="n"/>
      <c r="M169" s="16" t="n"/>
      <c r="N169" s="16" t="n"/>
      <c r="O169" s="16" t="n"/>
      <c r="P169" s="17" t="n"/>
      <c r="Q169" s="41" t="n"/>
      <c r="R169" s="41" t="n"/>
      <c r="S169" s="117">
        <f>DADOS_AM!$JH$3</f>
        <v/>
      </c>
      <c r="T169" s="17" t="n"/>
      <c r="U169" s="115">
        <f>DADOS_AM!$JI$3</f>
        <v/>
      </c>
      <c r="V169" s="16" t="n"/>
      <c r="W169" s="16" t="n"/>
      <c r="X169" s="16" t="n"/>
      <c r="Y169" s="16" t="n"/>
      <c r="Z169" s="16" t="n"/>
      <c r="AA169" s="16" t="n"/>
      <c r="AB169" s="16" t="n"/>
      <c r="AC169" s="16" t="n"/>
      <c r="AD169" s="16" t="n"/>
      <c r="AE169" s="17" t="n"/>
      <c r="AF169" s="41" t="n"/>
      <c r="AG169" s="41" t="n"/>
      <c r="AH169" s="117">
        <f>DADOS_AM!$JH$4</f>
        <v/>
      </c>
      <c r="AI169" s="17" t="n"/>
      <c r="AJ169" s="115">
        <f>DADOS_AM!$JI$4</f>
        <v/>
      </c>
      <c r="AK169" s="16" t="n"/>
      <c r="AL169" s="16" t="n"/>
      <c r="AM169" s="16" t="n"/>
      <c r="AN169" s="16" t="n"/>
      <c r="AO169" s="16" t="n"/>
      <c r="AP169" s="16" t="n"/>
      <c r="AQ169" s="16" t="n"/>
      <c r="AR169" s="16" t="n"/>
      <c r="AS169" s="16" t="n"/>
      <c r="AT169" s="17" t="n"/>
    </row>
    <row r="170" outlineLevel="3">
      <c r="A170" s="8" t="n"/>
      <c r="B170" s="14" t="n"/>
      <c r="C170" s="41" t="n"/>
      <c r="D170" s="118">
        <f>DADOS_AM!$JJ$2</f>
        <v/>
      </c>
      <c r="E170" s="16" t="n"/>
      <c r="F170" s="17" t="n"/>
      <c r="G170" s="118">
        <f>DADOS_AM!$JK$2</f>
        <v/>
      </c>
      <c r="H170" s="16" t="n"/>
      <c r="I170" s="16" t="n"/>
      <c r="J170" s="17" t="n"/>
      <c r="K170" s="118">
        <f>DADOS_AM!$JL$2</f>
        <v/>
      </c>
      <c r="L170" s="16" t="n"/>
      <c r="M170" s="16" t="n"/>
      <c r="N170" s="16" t="n"/>
      <c r="O170" s="16" t="n"/>
      <c r="P170" s="17" t="n"/>
      <c r="Q170" s="41" t="n"/>
      <c r="R170" s="41" t="n"/>
      <c r="S170" s="118">
        <f>DADOS_AM!$JJ$3</f>
        <v/>
      </c>
      <c r="T170" s="16" t="n"/>
      <c r="U170" s="17" t="n"/>
      <c r="V170" s="118">
        <f>DADOS_AM!$JK$3</f>
        <v/>
      </c>
      <c r="W170" s="16" t="n"/>
      <c r="X170" s="16" t="n"/>
      <c r="Y170" s="17" t="n"/>
      <c r="Z170" s="118">
        <f>DADOS_AM!$JL$3</f>
        <v/>
      </c>
      <c r="AA170" s="16" t="n"/>
      <c r="AB170" s="16" t="n"/>
      <c r="AC170" s="16" t="n"/>
      <c r="AD170" s="16" t="n"/>
      <c r="AE170" s="17" t="n"/>
      <c r="AF170" s="41" t="n"/>
      <c r="AG170" s="41" t="n"/>
      <c r="AH170" s="118">
        <f>DADOS_AM!$JJ$4</f>
        <v/>
      </c>
      <c r="AI170" s="16" t="n"/>
      <c r="AJ170" s="17" t="n"/>
      <c r="AK170" s="118">
        <f>DADOS_AM!$JK$4</f>
        <v/>
      </c>
      <c r="AL170" s="16" t="n"/>
      <c r="AM170" s="16" t="n"/>
      <c r="AN170" s="17" t="n"/>
      <c r="AO170" s="118">
        <f>DADOS_AM!$JL$4</f>
        <v/>
      </c>
      <c r="AP170" s="16" t="n"/>
      <c r="AQ170" s="16" t="n"/>
      <c r="AR170" s="16" t="n"/>
      <c r="AS170" s="16" t="n"/>
      <c r="AT170" s="17" t="n"/>
    </row>
    <row r="171" outlineLevel="4">
      <c r="A171" s="8" t="n"/>
      <c r="B171" s="14" t="n"/>
      <c r="C171" s="41" t="n"/>
      <c r="D171" s="116">
        <f>DADOS_AM!$JM$2</f>
        <v/>
      </c>
      <c r="E171" s="19" t="n"/>
      <c r="F171" s="19" t="n"/>
      <c r="G171" s="19" t="n"/>
      <c r="H171" s="19" t="n"/>
      <c r="I171" s="19" t="n"/>
      <c r="J171" s="19" t="n"/>
      <c r="K171" s="19" t="n"/>
      <c r="L171" s="19" t="n"/>
      <c r="M171" s="19" t="n"/>
      <c r="N171" s="19" t="n"/>
      <c r="O171" s="19" t="n"/>
      <c r="P171" s="20" t="n"/>
      <c r="Q171" s="41" t="n"/>
      <c r="R171" s="41" t="n"/>
      <c r="S171" s="116">
        <f>DADOS_AM!$JM$3</f>
        <v/>
      </c>
      <c r="T171" s="19" t="n"/>
      <c r="U171" s="19" t="n"/>
      <c r="V171" s="19" t="n"/>
      <c r="W171" s="19" t="n"/>
      <c r="X171" s="19" t="n"/>
      <c r="Y171" s="19" t="n"/>
      <c r="Z171" s="19" t="n"/>
      <c r="AA171" s="19" t="n"/>
      <c r="AB171" s="19" t="n"/>
      <c r="AC171" s="19" t="n"/>
      <c r="AD171" s="19" t="n"/>
      <c r="AE171" s="20" t="n"/>
      <c r="AF171" s="41" t="n"/>
      <c r="AG171" s="41" t="n"/>
      <c r="AH171" s="116">
        <f>DADOS_AM!$JM$4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DADOS_AM!$JH$5</f>
        <v/>
      </c>
      <c r="E179" s="17" t="n"/>
      <c r="F179" s="115">
        <f>DADOS_AM!$JI$5</f>
        <v/>
      </c>
      <c r="G179" s="16" t="n"/>
      <c r="H179" s="16" t="n"/>
      <c r="I179" s="16" t="n"/>
      <c r="J179" s="16" t="n"/>
      <c r="K179" s="16" t="n"/>
      <c r="L179" s="16" t="n"/>
      <c r="M179" s="16" t="n"/>
      <c r="N179" s="16" t="n"/>
      <c r="O179" s="16" t="n"/>
      <c r="P179" s="17" t="n"/>
      <c r="Q179" s="41" t="n"/>
      <c r="R179" s="41" t="n"/>
      <c r="S179" s="117">
        <f>DADOS_AM!$JH$6</f>
        <v/>
      </c>
      <c r="T179" s="17" t="n"/>
      <c r="U179" s="115">
        <f>DADOS_AM!$JI$6</f>
        <v/>
      </c>
      <c r="V179" s="16" t="n"/>
      <c r="W179" s="16" t="n"/>
      <c r="X179" s="16" t="n"/>
      <c r="Y179" s="16" t="n"/>
      <c r="Z179" s="16" t="n"/>
      <c r="AA179" s="16" t="n"/>
      <c r="AB179" s="16" t="n"/>
      <c r="AC179" s="16" t="n"/>
      <c r="AD179" s="16" t="n"/>
      <c r="AE179" s="17" t="n"/>
      <c r="AF179" s="41" t="n"/>
      <c r="AG179" s="41" t="n"/>
      <c r="AH179" s="117">
        <f>DADOS_AM!$JH$7</f>
        <v/>
      </c>
      <c r="AI179" s="17" t="n"/>
      <c r="AJ179" s="115">
        <f>DADOS_AM!$JI$7</f>
        <v/>
      </c>
      <c r="AK179" s="16" t="n"/>
      <c r="AL179" s="16" t="n"/>
      <c r="AM179" s="16" t="n"/>
      <c r="AN179" s="16" t="n"/>
      <c r="AO179" s="16" t="n"/>
      <c r="AP179" s="16" t="n"/>
      <c r="AQ179" s="16" t="n"/>
      <c r="AR179" s="16" t="n"/>
      <c r="AS179" s="16" t="n"/>
      <c r="AT179" s="17" t="n"/>
    </row>
    <row r="180" outlineLevel="3">
      <c r="A180" s="8" t="n"/>
      <c r="B180" s="14" t="n"/>
      <c r="C180" s="41" t="n"/>
      <c r="D180" s="118">
        <f>DADOS_AM!$JJ$5</f>
        <v/>
      </c>
      <c r="E180" s="16" t="n"/>
      <c r="F180" s="17" t="n"/>
      <c r="G180" s="118">
        <f>DADOS_AM!$JK$5</f>
        <v/>
      </c>
      <c r="H180" s="16" t="n"/>
      <c r="I180" s="16" t="n"/>
      <c r="J180" s="17" t="n"/>
      <c r="K180" s="118">
        <f>DADOS_AM!$JL$5</f>
        <v/>
      </c>
      <c r="L180" s="16" t="n"/>
      <c r="M180" s="16" t="n"/>
      <c r="N180" s="16" t="n"/>
      <c r="O180" s="16" t="n"/>
      <c r="P180" s="17" t="n"/>
      <c r="Q180" s="41" t="n"/>
      <c r="R180" s="41" t="n"/>
      <c r="S180" s="118">
        <f>DADOS_AM!$JJ$6</f>
        <v/>
      </c>
      <c r="T180" s="16" t="n"/>
      <c r="U180" s="17" t="n"/>
      <c r="V180" s="118">
        <f>DADOS_AM!$JK$6</f>
        <v/>
      </c>
      <c r="W180" s="16" t="n"/>
      <c r="X180" s="16" t="n"/>
      <c r="Y180" s="17" t="n"/>
      <c r="Z180" s="118">
        <f>DADOS_AM!$JL$6</f>
        <v/>
      </c>
      <c r="AA180" s="16" t="n"/>
      <c r="AB180" s="16" t="n"/>
      <c r="AC180" s="16" t="n"/>
      <c r="AD180" s="16" t="n"/>
      <c r="AE180" s="17" t="n"/>
      <c r="AF180" s="41" t="n"/>
      <c r="AG180" s="41" t="n"/>
      <c r="AH180" s="118">
        <f>DADOS_AM!$JJ$7</f>
        <v/>
      </c>
      <c r="AI180" s="16" t="n"/>
      <c r="AJ180" s="17" t="n"/>
      <c r="AK180" s="118">
        <f>DADOS_AM!$JK$7</f>
        <v/>
      </c>
      <c r="AL180" s="16" t="n"/>
      <c r="AM180" s="16" t="n"/>
      <c r="AN180" s="17" t="n"/>
      <c r="AO180" s="118">
        <f>DADOS_AM!$JL$7</f>
        <v/>
      </c>
      <c r="AP180" s="16" t="n"/>
      <c r="AQ180" s="16" t="n"/>
      <c r="AR180" s="16" t="n"/>
      <c r="AS180" s="16" t="n"/>
      <c r="AT180" s="17" t="n"/>
    </row>
    <row r="181" hidden="1" outlineLevel="4">
      <c r="A181" s="8" t="n"/>
      <c r="B181" s="14" t="n"/>
      <c r="C181" s="41" t="n"/>
      <c r="D181" s="116">
        <f>DADOS_AM!$JM$5</f>
        <v/>
      </c>
      <c r="E181" s="19" t="n"/>
      <c r="F181" s="19" t="n"/>
      <c r="G181" s="19" t="n"/>
      <c r="H181" s="19" t="n"/>
      <c r="I181" s="19" t="n"/>
      <c r="J181" s="19" t="n"/>
      <c r="K181" s="19" t="n"/>
      <c r="L181" s="19" t="n"/>
      <c r="M181" s="19" t="n"/>
      <c r="N181" s="19" t="n"/>
      <c r="O181" s="19" t="n"/>
      <c r="P181" s="20" t="n"/>
      <c r="Q181" s="41" t="n"/>
      <c r="R181" s="41" t="n"/>
      <c r="S181" s="116">
        <f>DADOS_AM!$JM$6</f>
        <v/>
      </c>
      <c r="T181" s="19" t="n"/>
      <c r="U181" s="19" t="n"/>
      <c r="V181" s="19" t="n"/>
      <c r="W181" s="19" t="n"/>
      <c r="X181" s="19" t="n"/>
      <c r="Y181" s="19" t="n"/>
      <c r="Z181" s="19" t="n"/>
      <c r="AA181" s="19" t="n"/>
      <c r="AB181" s="19" t="n"/>
      <c r="AC181" s="19" t="n"/>
      <c r="AD181" s="19" t="n"/>
      <c r="AE181" s="20" t="n"/>
      <c r="AF181" s="41" t="n"/>
      <c r="AG181" s="41" t="n"/>
      <c r="AH181" s="116">
        <f>DADOS_AM!$JM$7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DADOS_AM!$KQ$10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DADOS_AM!$JH$8</f>
        <v/>
      </c>
      <c r="E189" s="17" t="n"/>
      <c r="F189" s="115">
        <f>DADOS_AM!$JI$8</f>
        <v/>
      </c>
      <c r="G189" s="16" t="n"/>
      <c r="H189" s="16" t="n"/>
      <c r="I189" s="16" t="n"/>
      <c r="J189" s="16" t="n"/>
      <c r="K189" s="16" t="n"/>
      <c r="L189" s="16" t="n"/>
      <c r="M189" s="16" t="n"/>
      <c r="N189" s="16" t="n"/>
      <c r="O189" s="16" t="n"/>
      <c r="P189" s="17" t="n"/>
      <c r="Q189" s="41" t="n"/>
      <c r="R189" s="41" t="n"/>
      <c r="S189" s="117">
        <f>DADOS_AM!$JH$9</f>
        <v/>
      </c>
      <c r="T189" s="17" t="n"/>
      <c r="U189" s="115">
        <f>DADOS_AM!$JI$9</f>
        <v/>
      </c>
      <c r="V189" s="16" t="n"/>
      <c r="W189" s="16" t="n"/>
      <c r="X189" s="16" t="n"/>
      <c r="Y189" s="16" t="n"/>
      <c r="Z189" s="16" t="n"/>
      <c r="AA189" s="16" t="n"/>
      <c r="AB189" s="16" t="n"/>
      <c r="AC189" s="16" t="n"/>
      <c r="AD189" s="16" t="n"/>
      <c r="AE189" s="17" t="n"/>
      <c r="AF189" s="41" t="n"/>
      <c r="AG189" s="41" t="n"/>
      <c r="AH189" s="117">
        <f>DADOS_AM!$JH$10</f>
        <v/>
      </c>
      <c r="AI189" s="17" t="n"/>
      <c r="AJ189" s="115">
        <f>DADOS_AM!$JI$10</f>
        <v/>
      </c>
      <c r="AK189" s="16" t="n"/>
      <c r="AL189" s="16" t="n"/>
      <c r="AM189" s="16" t="n"/>
      <c r="AN189" s="16" t="n"/>
      <c r="AO189" s="16" t="n"/>
      <c r="AP189" s="16" t="n"/>
      <c r="AQ189" s="16" t="n"/>
      <c r="AR189" s="16" t="n"/>
      <c r="AS189" s="16" t="n"/>
      <c r="AT189" s="17" t="n"/>
    </row>
    <row r="190" hidden="1" outlineLevel="3">
      <c r="A190" s="8" t="n"/>
      <c r="B190" s="14" t="n"/>
      <c r="C190" s="41" t="n"/>
      <c r="D190" s="118">
        <f>DADOS_AM!$JJ$8</f>
        <v/>
      </c>
      <c r="E190" s="16" t="n"/>
      <c r="F190" s="17" t="n"/>
      <c r="G190" s="118">
        <f>DADOS_AM!$JK$8</f>
        <v/>
      </c>
      <c r="H190" s="16" t="n"/>
      <c r="I190" s="16" t="n"/>
      <c r="J190" s="17" t="n"/>
      <c r="K190" s="118">
        <f>DADOS_AM!$JL$8</f>
        <v/>
      </c>
      <c r="L190" s="16" t="n"/>
      <c r="M190" s="16" t="n"/>
      <c r="N190" s="16" t="n"/>
      <c r="O190" s="16" t="n"/>
      <c r="P190" s="17" t="n"/>
      <c r="Q190" s="41" t="n"/>
      <c r="R190" s="41" t="n"/>
      <c r="S190" s="118">
        <f>DADOS_AM!$JJ$9</f>
        <v/>
      </c>
      <c r="T190" s="16" t="n"/>
      <c r="U190" s="17" t="n"/>
      <c r="V190" s="118">
        <f>DADOS_AM!$JK$9</f>
        <v/>
      </c>
      <c r="W190" s="16" t="n"/>
      <c r="X190" s="16" t="n"/>
      <c r="Y190" s="17" t="n"/>
      <c r="Z190" s="118">
        <f>DADOS_AM!$JL$9</f>
        <v/>
      </c>
      <c r="AA190" s="16" t="n"/>
      <c r="AB190" s="16" t="n"/>
      <c r="AC190" s="16" t="n"/>
      <c r="AD190" s="16" t="n"/>
      <c r="AE190" s="17" t="n"/>
      <c r="AF190" s="41" t="n"/>
      <c r="AG190" s="41" t="n"/>
      <c r="AH190" s="118">
        <f>DADOS_AM!$JJ$10</f>
        <v/>
      </c>
      <c r="AI190" s="16" t="n"/>
      <c r="AJ190" s="17" t="n"/>
      <c r="AK190" s="118">
        <f>DADOS_AM!$JK$10</f>
        <v/>
      </c>
      <c r="AL190" s="16" t="n"/>
      <c r="AM190" s="16" t="n"/>
      <c r="AN190" s="17" t="n"/>
      <c r="AO190" s="118">
        <f>DADOS_AM!$JL$10</f>
        <v/>
      </c>
      <c r="AP190" s="16" t="n"/>
      <c r="AQ190" s="16" t="n"/>
      <c r="AR190" s="16" t="n"/>
      <c r="AS190" s="16" t="n"/>
      <c r="AT190" s="17" t="n"/>
    </row>
    <row r="191" hidden="1" outlineLevel="4">
      <c r="A191" s="8" t="n"/>
      <c r="B191" s="14" t="n"/>
      <c r="C191" s="41" t="n"/>
      <c r="D191" s="116">
        <f>DADOS_AM!$JM$8</f>
        <v/>
      </c>
      <c r="E191" s="19" t="n"/>
      <c r="F191" s="19" t="n"/>
      <c r="G191" s="19" t="n"/>
      <c r="H191" s="19" t="n"/>
      <c r="I191" s="19" t="n"/>
      <c r="J191" s="19" t="n"/>
      <c r="K191" s="19" t="n"/>
      <c r="L191" s="19" t="n"/>
      <c r="M191" s="19" t="n"/>
      <c r="N191" s="19" t="n"/>
      <c r="O191" s="19" t="n"/>
      <c r="P191" s="20" t="n"/>
      <c r="Q191" s="41" t="n"/>
      <c r="R191" s="41" t="n"/>
      <c r="S191" s="116">
        <f>DADOS_AM!$JM$9</f>
        <v/>
      </c>
      <c r="T191" s="19" t="n"/>
      <c r="U191" s="19" t="n"/>
      <c r="V191" s="19" t="n"/>
      <c r="W191" s="19" t="n"/>
      <c r="X191" s="19" t="n"/>
      <c r="Y191" s="19" t="n"/>
      <c r="Z191" s="19" t="n"/>
      <c r="AA191" s="19" t="n"/>
      <c r="AB191" s="19" t="n"/>
      <c r="AC191" s="19" t="n"/>
      <c r="AD191" s="19" t="n"/>
      <c r="AE191" s="20" t="n"/>
      <c r="AF191" s="41" t="n"/>
      <c r="AG191" s="41" t="n"/>
      <c r="AH191" s="116">
        <f>DADOS_AM!$JM$10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DADOS_AM!$JH$11</f>
        <v/>
      </c>
      <c r="E199" s="17" t="n"/>
      <c r="F199" s="115">
        <f>DADOS_AM!$JI$11</f>
        <v/>
      </c>
      <c r="G199" s="16" t="n"/>
      <c r="H199" s="16" t="n"/>
      <c r="I199" s="16" t="n"/>
      <c r="J199" s="16" t="n"/>
      <c r="K199" s="16" t="n"/>
      <c r="L199" s="16" t="n"/>
      <c r="M199" s="16" t="n"/>
      <c r="N199" s="16" t="n"/>
      <c r="O199" s="16" t="n"/>
      <c r="P199" s="17" t="n"/>
      <c r="Q199" s="41" t="n"/>
      <c r="R199" s="41" t="n"/>
      <c r="S199" s="117">
        <f>DADOS_AM!$JH$12</f>
        <v/>
      </c>
      <c r="T199" s="17" t="n"/>
      <c r="U199" s="115">
        <f>DADOS_AM!$JI$12</f>
        <v/>
      </c>
      <c r="V199" s="16" t="n"/>
      <c r="W199" s="16" t="n"/>
      <c r="X199" s="16" t="n"/>
      <c r="Y199" s="16" t="n"/>
      <c r="Z199" s="16" t="n"/>
      <c r="AA199" s="16" t="n"/>
      <c r="AB199" s="16" t="n"/>
      <c r="AC199" s="16" t="n"/>
      <c r="AD199" s="16" t="n"/>
      <c r="AE199" s="17" t="n"/>
      <c r="AF199" s="41" t="n"/>
      <c r="AG199" s="41" t="n"/>
      <c r="AH199" s="117">
        <f>DADOS_AM!$JH$13</f>
        <v/>
      </c>
      <c r="AI199" s="17" t="n"/>
      <c r="AJ199" s="115">
        <f>DADOS_AM!$JI$13</f>
        <v/>
      </c>
      <c r="AK199" s="16" t="n"/>
      <c r="AL199" s="16" t="n"/>
      <c r="AM199" s="16" t="n"/>
      <c r="AN199" s="16" t="n"/>
      <c r="AO199" s="16" t="n"/>
      <c r="AP199" s="16" t="n"/>
      <c r="AQ199" s="16" t="n"/>
      <c r="AR199" s="16" t="n"/>
      <c r="AS199" s="16" t="n"/>
      <c r="AT199" s="17" t="n"/>
    </row>
    <row r="200" hidden="1" outlineLevel="3">
      <c r="A200" s="8" t="n"/>
      <c r="B200" s="14" t="n"/>
      <c r="C200" s="41" t="n"/>
      <c r="D200" s="118">
        <f>DADOS_AM!$JJ$11</f>
        <v/>
      </c>
      <c r="E200" s="16" t="n"/>
      <c r="F200" s="17" t="n"/>
      <c r="G200" s="118">
        <f>DADOS_AM!$JK$11</f>
        <v/>
      </c>
      <c r="H200" s="16" t="n"/>
      <c r="I200" s="16" t="n"/>
      <c r="J200" s="17" t="n"/>
      <c r="K200" s="118">
        <f>DADOS_AM!$JL$11</f>
        <v/>
      </c>
      <c r="L200" s="16" t="n"/>
      <c r="M200" s="16" t="n"/>
      <c r="N200" s="16" t="n"/>
      <c r="O200" s="16" t="n"/>
      <c r="P200" s="17" t="n"/>
      <c r="Q200" s="41" t="n"/>
      <c r="R200" s="41" t="n"/>
      <c r="S200" s="118">
        <f>DADOS_AM!$JJ$12</f>
        <v/>
      </c>
      <c r="T200" s="16" t="n"/>
      <c r="U200" s="17" t="n"/>
      <c r="V200" s="118">
        <f>DADOS_AM!$JK$12</f>
        <v/>
      </c>
      <c r="W200" s="16" t="n"/>
      <c r="X200" s="16" t="n"/>
      <c r="Y200" s="17" t="n"/>
      <c r="Z200" s="118">
        <f>DADOS_AM!$JL$12</f>
        <v/>
      </c>
      <c r="AA200" s="16" t="n"/>
      <c r="AB200" s="16" t="n"/>
      <c r="AC200" s="16" t="n"/>
      <c r="AD200" s="16" t="n"/>
      <c r="AE200" s="17" t="n"/>
      <c r="AF200" s="41" t="n"/>
      <c r="AG200" s="41" t="n"/>
      <c r="AH200" s="118">
        <f>DADOS_AM!$JJ$13</f>
        <v/>
      </c>
      <c r="AI200" s="16" t="n"/>
      <c r="AJ200" s="17" t="n"/>
      <c r="AK200" s="118">
        <f>DADOS_AM!$JK$13</f>
        <v/>
      </c>
      <c r="AL200" s="16" t="n"/>
      <c r="AM200" s="16" t="n"/>
      <c r="AN200" s="17" t="n"/>
      <c r="AO200" s="118">
        <f>DADOS_AM!$JL$13</f>
        <v/>
      </c>
      <c r="AP200" s="16" t="n"/>
      <c r="AQ200" s="16" t="n"/>
      <c r="AR200" s="16" t="n"/>
      <c r="AS200" s="16" t="n"/>
      <c r="AT200" s="17" t="n"/>
    </row>
    <row r="201" hidden="1" outlineLevel="4">
      <c r="A201" s="8" t="n"/>
      <c r="B201" s="14" t="n"/>
      <c r="C201" s="41" t="n"/>
      <c r="D201" s="116">
        <f>DADOS_AM!$JM$11</f>
        <v/>
      </c>
      <c r="E201" s="19" t="n"/>
      <c r="F201" s="19" t="n"/>
      <c r="G201" s="19" t="n"/>
      <c r="H201" s="19" t="n"/>
      <c r="I201" s="19" t="n"/>
      <c r="J201" s="19" t="n"/>
      <c r="K201" s="19" t="n"/>
      <c r="L201" s="19" t="n"/>
      <c r="M201" s="19" t="n"/>
      <c r="N201" s="19" t="n"/>
      <c r="O201" s="19" t="n"/>
      <c r="P201" s="20" t="n"/>
      <c r="Q201" s="41" t="n"/>
      <c r="R201" s="41" t="n"/>
      <c r="S201" s="116">
        <f>DADOS_AM!$JM$12</f>
        <v/>
      </c>
      <c r="T201" s="19" t="n"/>
      <c r="U201" s="19" t="n"/>
      <c r="V201" s="19" t="n"/>
      <c r="W201" s="19" t="n"/>
      <c r="X201" s="19" t="n"/>
      <c r="Y201" s="19" t="n"/>
      <c r="Z201" s="19" t="n"/>
      <c r="AA201" s="19" t="n"/>
      <c r="AB201" s="19" t="n"/>
      <c r="AC201" s="19" t="n"/>
      <c r="AD201" s="19" t="n"/>
      <c r="AE201" s="20" t="n"/>
      <c r="AF201" s="41" t="n"/>
      <c r="AG201" s="41" t="n"/>
      <c r="AH201" s="116">
        <f>DADOS_AM!$JM$13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DADOS_AM!$KQ$11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DADOS_AM!$JH$14</f>
        <v/>
      </c>
      <c r="E209" s="17" t="n"/>
      <c r="F209" s="115">
        <f>DADOS_AM!$JI$14</f>
        <v/>
      </c>
      <c r="G209" s="16" t="n"/>
      <c r="H209" s="16" t="n"/>
      <c r="I209" s="16" t="n"/>
      <c r="J209" s="16" t="n"/>
      <c r="K209" s="16" t="n"/>
      <c r="L209" s="16" t="n"/>
      <c r="M209" s="16" t="n"/>
      <c r="N209" s="16" t="n"/>
      <c r="O209" s="16" t="n"/>
      <c r="P209" s="17" t="n"/>
      <c r="Q209" s="41" t="n"/>
      <c r="R209" s="41" t="n"/>
      <c r="S209" s="117">
        <f>DADOS_AM!$JH$15</f>
        <v/>
      </c>
      <c r="T209" s="17" t="n"/>
      <c r="U209" s="115">
        <f>DADOS_AM!$JI$15</f>
        <v/>
      </c>
      <c r="V209" s="16" t="n"/>
      <c r="W209" s="16" t="n"/>
      <c r="X209" s="16" t="n"/>
      <c r="Y209" s="16" t="n"/>
      <c r="Z209" s="16" t="n"/>
      <c r="AA209" s="16" t="n"/>
      <c r="AB209" s="16" t="n"/>
      <c r="AC209" s="16" t="n"/>
      <c r="AD209" s="16" t="n"/>
      <c r="AE209" s="17" t="n"/>
      <c r="AF209" s="41" t="n"/>
      <c r="AG209" s="41" t="n"/>
      <c r="AH209" s="117">
        <f>DADOS_AM!$JH$16</f>
        <v/>
      </c>
      <c r="AI209" s="17" t="n"/>
      <c r="AJ209" s="115">
        <f>DADOS_AM!$JI$16</f>
        <v/>
      </c>
      <c r="AK209" s="16" t="n"/>
      <c r="AL209" s="16" t="n"/>
      <c r="AM209" s="16" t="n"/>
      <c r="AN209" s="16" t="n"/>
      <c r="AO209" s="16" t="n"/>
      <c r="AP209" s="16" t="n"/>
      <c r="AQ209" s="16" t="n"/>
      <c r="AR209" s="16" t="n"/>
      <c r="AS209" s="16" t="n"/>
      <c r="AT209" s="17" t="n"/>
    </row>
    <row r="210" hidden="1" outlineLevel="3">
      <c r="A210" s="8" t="n"/>
      <c r="B210" s="14" t="n"/>
      <c r="C210" s="41" t="n"/>
      <c r="D210" s="118">
        <f>DADOS_AM!$JJ$14</f>
        <v/>
      </c>
      <c r="E210" s="16" t="n"/>
      <c r="F210" s="17" t="n"/>
      <c r="G210" s="118">
        <f>DADOS_AM!$JK$14</f>
        <v/>
      </c>
      <c r="H210" s="16" t="n"/>
      <c r="I210" s="16" t="n"/>
      <c r="J210" s="17" t="n"/>
      <c r="K210" s="118">
        <f>DADOS_AM!$JL$14</f>
        <v/>
      </c>
      <c r="L210" s="16" t="n"/>
      <c r="M210" s="16" t="n"/>
      <c r="N210" s="16" t="n"/>
      <c r="O210" s="16" t="n"/>
      <c r="P210" s="17" t="n"/>
      <c r="Q210" s="41" t="n"/>
      <c r="R210" s="41" t="n"/>
      <c r="S210" s="118">
        <f>DADOS_AM!$JJ$15</f>
        <v/>
      </c>
      <c r="T210" s="16" t="n"/>
      <c r="U210" s="17" t="n"/>
      <c r="V210" s="118">
        <f>DADOS_AM!$JK$15</f>
        <v/>
      </c>
      <c r="W210" s="16" t="n"/>
      <c r="X210" s="16" t="n"/>
      <c r="Y210" s="17" t="n"/>
      <c r="Z210" s="118">
        <f>DADOS_AM!$JL$15</f>
        <v/>
      </c>
      <c r="AA210" s="16" t="n"/>
      <c r="AB210" s="16" t="n"/>
      <c r="AC210" s="16" t="n"/>
      <c r="AD210" s="16" t="n"/>
      <c r="AE210" s="17" t="n"/>
      <c r="AF210" s="41" t="n"/>
      <c r="AG210" s="41" t="n"/>
      <c r="AH210" s="118">
        <f>DADOS_AM!$JJ$16</f>
        <v/>
      </c>
      <c r="AI210" s="16" t="n"/>
      <c r="AJ210" s="17" t="n"/>
      <c r="AK210" s="118">
        <f>DADOS_AM!$JK$16</f>
        <v/>
      </c>
      <c r="AL210" s="16" t="n"/>
      <c r="AM210" s="16" t="n"/>
      <c r="AN210" s="17" t="n"/>
      <c r="AO210" s="118">
        <f>DADOS_AM!$JL$16</f>
        <v/>
      </c>
      <c r="AP210" s="16" t="n"/>
      <c r="AQ210" s="16" t="n"/>
      <c r="AR210" s="16" t="n"/>
      <c r="AS210" s="16" t="n"/>
      <c r="AT210" s="17" t="n"/>
    </row>
    <row r="211" hidden="1" outlineLevel="4">
      <c r="A211" s="8" t="n"/>
      <c r="B211" s="14" t="n"/>
      <c r="C211" s="41" t="n"/>
      <c r="D211" s="116">
        <f>DADOS_AM!$JM$14</f>
        <v/>
      </c>
      <c r="E211" s="19" t="n"/>
      <c r="F211" s="19" t="n"/>
      <c r="G211" s="19" t="n"/>
      <c r="H211" s="19" t="n"/>
      <c r="I211" s="19" t="n"/>
      <c r="J211" s="19" t="n"/>
      <c r="K211" s="19" t="n"/>
      <c r="L211" s="19" t="n"/>
      <c r="M211" s="19" t="n"/>
      <c r="N211" s="19" t="n"/>
      <c r="O211" s="19" t="n"/>
      <c r="P211" s="20" t="n"/>
      <c r="Q211" s="41" t="n"/>
      <c r="R211" s="41" t="n"/>
      <c r="S211" s="116">
        <f>DADOS_AM!$JM$15</f>
        <v/>
      </c>
      <c r="T211" s="19" t="n"/>
      <c r="U211" s="19" t="n"/>
      <c r="V211" s="19" t="n"/>
      <c r="W211" s="19" t="n"/>
      <c r="X211" s="19" t="n"/>
      <c r="Y211" s="19" t="n"/>
      <c r="Z211" s="19" t="n"/>
      <c r="AA211" s="19" t="n"/>
      <c r="AB211" s="19" t="n"/>
      <c r="AC211" s="19" t="n"/>
      <c r="AD211" s="19" t="n"/>
      <c r="AE211" s="20" t="n"/>
      <c r="AF211" s="41" t="n"/>
      <c r="AG211" s="41" t="n"/>
      <c r="AH211" s="116">
        <f>DADOS_AM!$JM$16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DADOS_AM!$JH$17</f>
        <v/>
      </c>
      <c r="E219" s="17" t="n"/>
      <c r="F219" s="115">
        <f>DADOS_AM!$JI$17</f>
        <v/>
      </c>
      <c r="G219" s="16" t="n"/>
      <c r="H219" s="16" t="n"/>
      <c r="I219" s="16" t="n"/>
      <c r="J219" s="16" t="n"/>
      <c r="K219" s="16" t="n"/>
      <c r="L219" s="16" t="n"/>
      <c r="M219" s="16" t="n"/>
      <c r="N219" s="16" t="n"/>
      <c r="O219" s="16" t="n"/>
      <c r="P219" s="17" t="n"/>
      <c r="Q219" s="41" t="n"/>
      <c r="R219" s="41" t="n"/>
      <c r="S219" s="117">
        <f>DADOS_AM!$JH$18</f>
        <v/>
      </c>
      <c r="T219" s="17" t="n"/>
      <c r="U219" s="115">
        <f>DADOS_AM!$JI$18</f>
        <v/>
      </c>
      <c r="V219" s="16" t="n"/>
      <c r="W219" s="16" t="n"/>
      <c r="X219" s="16" t="n"/>
      <c r="Y219" s="16" t="n"/>
      <c r="Z219" s="16" t="n"/>
      <c r="AA219" s="16" t="n"/>
      <c r="AB219" s="16" t="n"/>
      <c r="AC219" s="16" t="n"/>
      <c r="AD219" s="16" t="n"/>
      <c r="AE219" s="17" t="n"/>
      <c r="AF219" s="41" t="n"/>
      <c r="AG219" s="41" t="n"/>
      <c r="AH219" s="117">
        <f>DADOS_AM!$JH$19</f>
        <v/>
      </c>
      <c r="AI219" s="17" t="n"/>
      <c r="AJ219" s="115">
        <f>DADOS_AM!$JI$19</f>
        <v/>
      </c>
      <c r="AK219" s="16" t="n"/>
      <c r="AL219" s="16" t="n"/>
      <c r="AM219" s="16" t="n"/>
      <c r="AN219" s="16" t="n"/>
      <c r="AO219" s="16" t="n"/>
      <c r="AP219" s="16" t="n"/>
      <c r="AQ219" s="16" t="n"/>
      <c r="AR219" s="16" t="n"/>
      <c r="AS219" s="16" t="n"/>
      <c r="AT219" s="17" t="n"/>
    </row>
    <row r="220" hidden="1" outlineLevel="3">
      <c r="A220" s="8" t="n"/>
      <c r="B220" s="14" t="n"/>
      <c r="C220" s="41" t="n"/>
      <c r="D220" s="118">
        <f>DADOS_AM!$JJ$17</f>
        <v/>
      </c>
      <c r="E220" s="16" t="n"/>
      <c r="F220" s="17" t="n"/>
      <c r="G220" s="118">
        <f>DADOS_AM!$JK$17</f>
        <v/>
      </c>
      <c r="H220" s="16" t="n"/>
      <c r="I220" s="16" t="n"/>
      <c r="J220" s="17" t="n"/>
      <c r="K220" s="118">
        <f>DADOS_AM!$JL$17</f>
        <v/>
      </c>
      <c r="L220" s="16" t="n"/>
      <c r="M220" s="16" t="n"/>
      <c r="N220" s="16" t="n"/>
      <c r="O220" s="16" t="n"/>
      <c r="P220" s="17" t="n"/>
      <c r="Q220" s="41" t="n"/>
      <c r="R220" s="41" t="n"/>
      <c r="S220" s="118">
        <f>DADOS_AM!$JJ$18</f>
        <v/>
      </c>
      <c r="T220" s="16" t="n"/>
      <c r="U220" s="17" t="n"/>
      <c r="V220" s="118">
        <f>DADOS_AM!$JK$18</f>
        <v/>
      </c>
      <c r="W220" s="16" t="n"/>
      <c r="X220" s="16" t="n"/>
      <c r="Y220" s="17" t="n"/>
      <c r="Z220" s="118">
        <f>DADOS_AM!$JL$18</f>
        <v/>
      </c>
      <c r="AA220" s="16" t="n"/>
      <c r="AB220" s="16" t="n"/>
      <c r="AC220" s="16" t="n"/>
      <c r="AD220" s="16" t="n"/>
      <c r="AE220" s="17" t="n"/>
      <c r="AF220" s="41" t="n"/>
      <c r="AG220" s="41" t="n"/>
      <c r="AH220" s="118">
        <f>DADOS_AM!$JJ$19</f>
        <v/>
      </c>
      <c r="AI220" s="16" t="n"/>
      <c r="AJ220" s="17" t="n"/>
      <c r="AK220" s="118">
        <f>DADOS_AM!$JK$19</f>
        <v/>
      </c>
      <c r="AL220" s="16" t="n"/>
      <c r="AM220" s="16" t="n"/>
      <c r="AN220" s="17" t="n"/>
      <c r="AO220" s="118">
        <f>DADOS_AM!$JL$19</f>
        <v/>
      </c>
      <c r="AP220" s="16" t="n"/>
      <c r="AQ220" s="16" t="n"/>
      <c r="AR220" s="16" t="n"/>
      <c r="AS220" s="16" t="n"/>
      <c r="AT220" s="17" t="n"/>
    </row>
    <row r="221" hidden="1" outlineLevel="4">
      <c r="A221" s="8" t="n"/>
      <c r="B221" s="14" t="n"/>
      <c r="C221" s="41" t="n"/>
      <c r="D221" s="116">
        <f>DADOS_AM!$JM$17</f>
        <v/>
      </c>
      <c r="E221" s="19" t="n"/>
      <c r="F221" s="19" t="n"/>
      <c r="G221" s="19" t="n"/>
      <c r="H221" s="19" t="n"/>
      <c r="I221" s="19" t="n"/>
      <c r="J221" s="19" t="n"/>
      <c r="K221" s="19" t="n"/>
      <c r="L221" s="19" t="n"/>
      <c r="M221" s="19" t="n"/>
      <c r="N221" s="19" t="n"/>
      <c r="O221" s="19" t="n"/>
      <c r="P221" s="20" t="n"/>
      <c r="Q221" s="41" t="n"/>
      <c r="R221" s="41" t="n"/>
      <c r="S221" s="116">
        <f>DADOS_AM!$JM$18</f>
        <v/>
      </c>
      <c r="T221" s="19" t="n"/>
      <c r="U221" s="19" t="n"/>
      <c r="V221" s="19" t="n"/>
      <c r="W221" s="19" t="n"/>
      <c r="X221" s="19" t="n"/>
      <c r="Y221" s="19" t="n"/>
      <c r="Z221" s="19" t="n"/>
      <c r="AA221" s="19" t="n"/>
      <c r="AB221" s="19" t="n"/>
      <c r="AC221" s="19" t="n"/>
      <c r="AD221" s="19" t="n"/>
      <c r="AE221" s="20" t="n"/>
      <c r="AF221" s="41" t="n"/>
      <c r="AG221" s="41" t="n"/>
      <c r="AH221" s="116">
        <f>DADOS_AM!$JM$19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DADOS_AM!$KQ$12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DADOS_AM!$JH$20</f>
        <v/>
      </c>
      <c r="E229" s="17" t="n"/>
      <c r="F229" s="115">
        <f>DADOS_AM!$JI$20</f>
        <v/>
      </c>
      <c r="G229" s="16" t="n"/>
      <c r="H229" s="16" t="n"/>
      <c r="I229" s="16" t="n"/>
      <c r="J229" s="16" t="n"/>
      <c r="K229" s="16" t="n"/>
      <c r="L229" s="16" t="n"/>
      <c r="M229" s="16" t="n"/>
      <c r="N229" s="16" t="n"/>
      <c r="O229" s="16" t="n"/>
      <c r="P229" s="17" t="n"/>
      <c r="Q229" s="41" t="n"/>
      <c r="R229" s="41" t="n"/>
      <c r="S229" s="117">
        <f>DADOS_AM!$JH$21</f>
        <v/>
      </c>
      <c r="T229" s="17" t="n"/>
      <c r="U229" s="115">
        <f>DADOS_AM!$JI$21</f>
        <v/>
      </c>
      <c r="V229" s="16" t="n"/>
      <c r="W229" s="16" t="n"/>
      <c r="X229" s="16" t="n"/>
      <c r="Y229" s="16" t="n"/>
      <c r="Z229" s="16" t="n"/>
      <c r="AA229" s="16" t="n"/>
      <c r="AB229" s="16" t="n"/>
      <c r="AC229" s="16" t="n"/>
      <c r="AD229" s="16" t="n"/>
      <c r="AE229" s="17" t="n"/>
      <c r="AF229" s="41" t="n"/>
      <c r="AG229" s="41" t="n"/>
      <c r="AH229" s="117">
        <f>DADOS_AM!$JH$22</f>
        <v/>
      </c>
      <c r="AI229" s="17" t="n"/>
      <c r="AJ229" s="115">
        <f>DADOS_AM!$JI$22</f>
        <v/>
      </c>
      <c r="AK229" s="16" t="n"/>
      <c r="AL229" s="16" t="n"/>
      <c r="AM229" s="16" t="n"/>
      <c r="AN229" s="16" t="n"/>
      <c r="AO229" s="16" t="n"/>
      <c r="AP229" s="16" t="n"/>
      <c r="AQ229" s="16" t="n"/>
      <c r="AR229" s="16" t="n"/>
      <c r="AS229" s="16" t="n"/>
      <c r="AT229" s="17" t="n"/>
    </row>
    <row r="230" hidden="1" outlineLevel="3">
      <c r="A230" s="8" t="n"/>
      <c r="B230" s="14" t="n"/>
      <c r="C230" s="41" t="n"/>
      <c r="D230" s="118">
        <f>DADOS_AM!$JJ$20</f>
        <v/>
      </c>
      <c r="E230" s="16" t="n"/>
      <c r="F230" s="17" t="n"/>
      <c r="G230" s="118">
        <f>DADOS_AM!$JK$20</f>
        <v/>
      </c>
      <c r="H230" s="16" t="n"/>
      <c r="I230" s="16" t="n"/>
      <c r="J230" s="17" t="n"/>
      <c r="K230" s="118">
        <f>DADOS_AM!$JL$20</f>
        <v/>
      </c>
      <c r="L230" s="16" t="n"/>
      <c r="M230" s="16" t="n"/>
      <c r="N230" s="16" t="n"/>
      <c r="O230" s="16" t="n"/>
      <c r="P230" s="17" t="n"/>
      <c r="Q230" s="41" t="n"/>
      <c r="R230" s="41" t="n"/>
      <c r="S230" s="118">
        <f>DADOS_AM!$JJ$21</f>
        <v/>
      </c>
      <c r="T230" s="16" t="n"/>
      <c r="U230" s="17" t="n"/>
      <c r="V230" s="118">
        <f>DADOS_AM!$JK$21</f>
        <v/>
      </c>
      <c r="W230" s="16" t="n"/>
      <c r="X230" s="16" t="n"/>
      <c r="Y230" s="17" t="n"/>
      <c r="Z230" s="118">
        <f>DADOS_AM!$JL$21</f>
        <v/>
      </c>
      <c r="AA230" s="16" t="n"/>
      <c r="AB230" s="16" t="n"/>
      <c r="AC230" s="16" t="n"/>
      <c r="AD230" s="16" t="n"/>
      <c r="AE230" s="17" t="n"/>
      <c r="AF230" s="41" t="n"/>
      <c r="AG230" s="41" t="n"/>
      <c r="AH230" s="118">
        <f>DADOS_AM!$JJ$22</f>
        <v/>
      </c>
      <c r="AI230" s="16" t="n"/>
      <c r="AJ230" s="17" t="n"/>
      <c r="AK230" s="118">
        <f>DADOS_AM!$JK$22</f>
        <v/>
      </c>
      <c r="AL230" s="16" t="n"/>
      <c r="AM230" s="16" t="n"/>
      <c r="AN230" s="17" t="n"/>
      <c r="AO230" s="118">
        <f>DADOS_AM!$JL$22</f>
        <v/>
      </c>
      <c r="AP230" s="16" t="n"/>
      <c r="AQ230" s="16" t="n"/>
      <c r="AR230" s="16" t="n"/>
      <c r="AS230" s="16" t="n"/>
      <c r="AT230" s="17" t="n"/>
    </row>
    <row r="231" hidden="1" outlineLevel="4">
      <c r="A231" s="8" t="n"/>
      <c r="B231" s="14" t="n"/>
      <c r="C231" s="41" t="n"/>
      <c r="D231" s="116">
        <f>DADOS_AM!$JM$20</f>
        <v/>
      </c>
      <c r="E231" s="19" t="n"/>
      <c r="F231" s="19" t="n"/>
      <c r="G231" s="19" t="n"/>
      <c r="H231" s="19" t="n"/>
      <c r="I231" s="19" t="n"/>
      <c r="J231" s="19" t="n"/>
      <c r="K231" s="19" t="n"/>
      <c r="L231" s="19" t="n"/>
      <c r="M231" s="19" t="n"/>
      <c r="N231" s="19" t="n"/>
      <c r="O231" s="19" t="n"/>
      <c r="P231" s="20" t="n"/>
      <c r="Q231" s="41" t="n"/>
      <c r="R231" s="41" t="n"/>
      <c r="S231" s="116">
        <f>DADOS_AM!$JM$21</f>
        <v/>
      </c>
      <c r="T231" s="19" t="n"/>
      <c r="U231" s="19" t="n"/>
      <c r="V231" s="19" t="n"/>
      <c r="W231" s="19" t="n"/>
      <c r="X231" s="19" t="n"/>
      <c r="Y231" s="19" t="n"/>
      <c r="Z231" s="19" t="n"/>
      <c r="AA231" s="19" t="n"/>
      <c r="AB231" s="19" t="n"/>
      <c r="AC231" s="19" t="n"/>
      <c r="AD231" s="19" t="n"/>
      <c r="AE231" s="20" t="n"/>
      <c r="AF231" s="41" t="n"/>
      <c r="AG231" s="41" t="n"/>
      <c r="AH231" s="116">
        <f>DADOS_AM!$JM$22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DADOS_AM!$JH$23</f>
        <v/>
      </c>
      <c r="E239" s="17" t="n"/>
      <c r="F239" s="115">
        <f>DADOS_AM!$JI$23</f>
        <v/>
      </c>
      <c r="G239" s="16" t="n"/>
      <c r="H239" s="16" t="n"/>
      <c r="I239" s="16" t="n"/>
      <c r="J239" s="16" t="n"/>
      <c r="K239" s="16" t="n"/>
      <c r="L239" s="16" t="n"/>
      <c r="M239" s="16" t="n"/>
      <c r="N239" s="16" t="n"/>
      <c r="O239" s="16" t="n"/>
      <c r="P239" s="17" t="n"/>
      <c r="Q239" s="41" t="n"/>
      <c r="R239" s="41" t="n"/>
      <c r="S239" s="117">
        <f>DADOS_AM!$JH$24</f>
        <v/>
      </c>
      <c r="T239" s="17" t="n"/>
      <c r="U239" s="115">
        <f>DADOS_AM!$JI$24</f>
        <v/>
      </c>
      <c r="V239" s="16" t="n"/>
      <c r="W239" s="16" t="n"/>
      <c r="X239" s="16" t="n"/>
      <c r="Y239" s="16" t="n"/>
      <c r="Z239" s="16" t="n"/>
      <c r="AA239" s="16" t="n"/>
      <c r="AB239" s="16" t="n"/>
      <c r="AC239" s="16" t="n"/>
      <c r="AD239" s="16" t="n"/>
      <c r="AE239" s="17" t="n"/>
      <c r="AF239" s="41" t="n"/>
      <c r="AG239" s="41" t="n"/>
      <c r="AH239" s="117">
        <f>DADOS_AM!$JH$25</f>
        <v/>
      </c>
      <c r="AI239" s="17" t="n"/>
      <c r="AJ239" s="115">
        <f>DADOS_AM!$JI$25</f>
        <v/>
      </c>
      <c r="AK239" s="16" t="n"/>
      <c r="AL239" s="16" t="n"/>
      <c r="AM239" s="16" t="n"/>
      <c r="AN239" s="16" t="n"/>
      <c r="AO239" s="16" t="n"/>
      <c r="AP239" s="16" t="n"/>
      <c r="AQ239" s="16" t="n"/>
      <c r="AR239" s="16" t="n"/>
      <c r="AS239" s="16" t="n"/>
      <c r="AT239" s="17" t="n"/>
    </row>
    <row r="240" hidden="1" outlineLevel="3">
      <c r="A240" s="8" t="n"/>
      <c r="B240" s="14" t="n"/>
      <c r="C240" s="41" t="n"/>
      <c r="D240" s="118">
        <f>DADOS_AM!$JJ$23</f>
        <v/>
      </c>
      <c r="E240" s="16" t="n"/>
      <c r="F240" s="17" t="n"/>
      <c r="G240" s="118">
        <f>DADOS_AM!$JK$23</f>
        <v/>
      </c>
      <c r="H240" s="16" t="n"/>
      <c r="I240" s="16" t="n"/>
      <c r="J240" s="17" t="n"/>
      <c r="K240" s="118">
        <f>DADOS_AM!$JL$23</f>
        <v/>
      </c>
      <c r="L240" s="16" t="n"/>
      <c r="M240" s="16" t="n"/>
      <c r="N240" s="16" t="n"/>
      <c r="O240" s="16" t="n"/>
      <c r="P240" s="17" t="n"/>
      <c r="Q240" s="41" t="n"/>
      <c r="R240" s="41" t="n"/>
      <c r="S240" s="118">
        <f>DADOS_AM!$JJ$24</f>
        <v/>
      </c>
      <c r="T240" s="16" t="n"/>
      <c r="U240" s="17" t="n"/>
      <c r="V240" s="118">
        <f>DADOS_AM!$JK$24</f>
        <v/>
      </c>
      <c r="W240" s="16" t="n"/>
      <c r="X240" s="16" t="n"/>
      <c r="Y240" s="17" t="n"/>
      <c r="Z240" s="118">
        <f>DADOS_AM!$JL$24</f>
        <v/>
      </c>
      <c r="AA240" s="16" t="n"/>
      <c r="AB240" s="16" t="n"/>
      <c r="AC240" s="16" t="n"/>
      <c r="AD240" s="16" t="n"/>
      <c r="AE240" s="17" t="n"/>
      <c r="AF240" s="41" t="n"/>
      <c r="AG240" s="41" t="n"/>
      <c r="AH240" s="118">
        <f>DADOS_AM!$JJ$25</f>
        <v/>
      </c>
      <c r="AI240" s="16" t="n"/>
      <c r="AJ240" s="17" t="n"/>
      <c r="AK240" s="118">
        <f>DADOS_AM!$JK$25</f>
        <v/>
      </c>
      <c r="AL240" s="16" t="n"/>
      <c r="AM240" s="16" t="n"/>
      <c r="AN240" s="17" t="n"/>
      <c r="AO240" s="118">
        <f>DADOS_AM!$JL$25</f>
        <v/>
      </c>
      <c r="AP240" s="16" t="n"/>
      <c r="AQ240" s="16" t="n"/>
      <c r="AR240" s="16" t="n"/>
      <c r="AS240" s="16" t="n"/>
      <c r="AT240" s="17" t="n"/>
    </row>
    <row r="241" hidden="1" outlineLevel="4">
      <c r="A241" s="8" t="n"/>
      <c r="B241" s="14" t="n"/>
      <c r="C241" s="41" t="n"/>
      <c r="D241" s="116">
        <f>DADOS_AM!$JM$23</f>
        <v/>
      </c>
      <c r="E241" s="19" t="n"/>
      <c r="F241" s="19" t="n"/>
      <c r="G241" s="19" t="n"/>
      <c r="H241" s="19" t="n"/>
      <c r="I241" s="19" t="n"/>
      <c r="J241" s="19" t="n"/>
      <c r="K241" s="19" t="n"/>
      <c r="L241" s="19" t="n"/>
      <c r="M241" s="19" t="n"/>
      <c r="N241" s="19" t="n"/>
      <c r="O241" s="19" t="n"/>
      <c r="P241" s="20" t="n"/>
      <c r="Q241" s="41" t="n"/>
      <c r="R241" s="41" t="n"/>
      <c r="S241" s="116">
        <f>DADOS_AM!$JM$24</f>
        <v/>
      </c>
      <c r="T241" s="19" t="n"/>
      <c r="U241" s="19" t="n"/>
      <c r="V241" s="19" t="n"/>
      <c r="W241" s="19" t="n"/>
      <c r="X241" s="19" t="n"/>
      <c r="Y241" s="19" t="n"/>
      <c r="Z241" s="19" t="n"/>
      <c r="AA241" s="19" t="n"/>
      <c r="AB241" s="19" t="n"/>
      <c r="AC241" s="19" t="n"/>
      <c r="AD241" s="19" t="n"/>
      <c r="AE241" s="20" t="n"/>
      <c r="AF241" s="41" t="n"/>
      <c r="AG241" s="41" t="n"/>
      <c r="AH241" s="116">
        <f>DADOS_AM!$JM$25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DADOS_AM!$KQ$13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DADOS_AM!$JH$26</f>
        <v/>
      </c>
      <c r="E249" s="17" t="n"/>
      <c r="F249" s="115">
        <f>DADOS_AM!$JI$26</f>
        <v/>
      </c>
      <c r="G249" s="16" t="n"/>
      <c r="H249" s="16" t="n"/>
      <c r="I249" s="16" t="n"/>
      <c r="J249" s="16" t="n"/>
      <c r="K249" s="16" t="n"/>
      <c r="L249" s="16" t="n"/>
      <c r="M249" s="16" t="n"/>
      <c r="N249" s="16" t="n"/>
      <c r="O249" s="16" t="n"/>
      <c r="P249" s="17" t="n"/>
      <c r="Q249" s="41" t="n"/>
      <c r="R249" s="41" t="n"/>
      <c r="S249" s="117">
        <f>DADOS_AM!$JH$27</f>
        <v/>
      </c>
      <c r="T249" s="17" t="n"/>
      <c r="U249" s="115">
        <f>DADOS_AM!$JI$27</f>
        <v/>
      </c>
      <c r="V249" s="16" t="n"/>
      <c r="W249" s="16" t="n"/>
      <c r="X249" s="16" t="n"/>
      <c r="Y249" s="16" t="n"/>
      <c r="Z249" s="16" t="n"/>
      <c r="AA249" s="16" t="n"/>
      <c r="AB249" s="16" t="n"/>
      <c r="AC249" s="16" t="n"/>
      <c r="AD249" s="16" t="n"/>
      <c r="AE249" s="17" t="n"/>
      <c r="AF249" s="41" t="n"/>
      <c r="AG249" s="41" t="n"/>
      <c r="AH249" s="117">
        <f>DADOS_AM!$JH$28</f>
        <v/>
      </c>
      <c r="AI249" s="17" t="n"/>
      <c r="AJ249" s="115">
        <f>DADOS_AM!$JI$28</f>
        <v/>
      </c>
      <c r="AK249" s="16" t="n"/>
      <c r="AL249" s="16" t="n"/>
      <c r="AM249" s="16" t="n"/>
      <c r="AN249" s="16" t="n"/>
      <c r="AO249" s="16" t="n"/>
      <c r="AP249" s="16" t="n"/>
      <c r="AQ249" s="16" t="n"/>
      <c r="AR249" s="16" t="n"/>
      <c r="AS249" s="16" t="n"/>
      <c r="AT249" s="17" t="n"/>
    </row>
    <row r="250" hidden="1" outlineLevel="3">
      <c r="A250" s="8" t="n"/>
      <c r="B250" s="14" t="n"/>
      <c r="C250" s="41" t="n"/>
      <c r="D250" s="118">
        <f>DADOS_AM!$JJ$26</f>
        <v/>
      </c>
      <c r="E250" s="16" t="n"/>
      <c r="F250" s="17" t="n"/>
      <c r="G250" s="118">
        <f>DADOS_AM!$JK$26</f>
        <v/>
      </c>
      <c r="H250" s="16" t="n"/>
      <c r="I250" s="16" t="n"/>
      <c r="J250" s="17" t="n"/>
      <c r="K250" s="118">
        <f>DADOS_AM!$JL$26</f>
        <v/>
      </c>
      <c r="L250" s="16" t="n"/>
      <c r="M250" s="16" t="n"/>
      <c r="N250" s="16" t="n"/>
      <c r="O250" s="16" t="n"/>
      <c r="P250" s="17" t="n"/>
      <c r="Q250" s="41" t="n"/>
      <c r="R250" s="41" t="n"/>
      <c r="S250" s="118">
        <f>DADOS_AM!$JJ$27</f>
        <v/>
      </c>
      <c r="T250" s="16" t="n"/>
      <c r="U250" s="17" t="n"/>
      <c r="V250" s="118">
        <f>DADOS_AM!$JK$27</f>
        <v/>
      </c>
      <c r="W250" s="16" t="n"/>
      <c r="X250" s="16" t="n"/>
      <c r="Y250" s="17" t="n"/>
      <c r="Z250" s="118">
        <f>DADOS_AM!$JL$27</f>
        <v/>
      </c>
      <c r="AA250" s="16" t="n"/>
      <c r="AB250" s="16" t="n"/>
      <c r="AC250" s="16" t="n"/>
      <c r="AD250" s="16" t="n"/>
      <c r="AE250" s="17" t="n"/>
      <c r="AF250" s="41" t="n"/>
      <c r="AG250" s="41" t="n"/>
      <c r="AH250" s="118">
        <f>DADOS_AM!$JJ$28</f>
        <v/>
      </c>
      <c r="AI250" s="16" t="n"/>
      <c r="AJ250" s="17" t="n"/>
      <c r="AK250" s="118">
        <f>DADOS_AM!$JK$28</f>
        <v/>
      </c>
      <c r="AL250" s="16" t="n"/>
      <c r="AM250" s="16" t="n"/>
      <c r="AN250" s="17" t="n"/>
      <c r="AO250" s="118">
        <f>DADOS_AM!$JL$28</f>
        <v/>
      </c>
      <c r="AP250" s="16" t="n"/>
      <c r="AQ250" s="16" t="n"/>
      <c r="AR250" s="16" t="n"/>
      <c r="AS250" s="16" t="n"/>
      <c r="AT250" s="17" t="n"/>
    </row>
    <row r="251" hidden="1" outlineLevel="4">
      <c r="A251" s="8" t="n"/>
      <c r="B251" s="14" t="n"/>
      <c r="C251" s="41" t="n"/>
      <c r="D251" s="116">
        <f>DADOS_AM!$JM$26</f>
        <v/>
      </c>
      <c r="E251" s="19" t="n"/>
      <c r="F251" s="19" t="n"/>
      <c r="G251" s="19" t="n"/>
      <c r="H251" s="19" t="n"/>
      <c r="I251" s="19" t="n"/>
      <c r="J251" s="19" t="n"/>
      <c r="K251" s="19" t="n"/>
      <c r="L251" s="19" t="n"/>
      <c r="M251" s="19" t="n"/>
      <c r="N251" s="19" t="n"/>
      <c r="O251" s="19" t="n"/>
      <c r="P251" s="20" t="n"/>
      <c r="Q251" s="41" t="n"/>
      <c r="R251" s="41" t="n"/>
      <c r="S251" s="116">
        <f>DADOS_AM!$JM$27</f>
        <v/>
      </c>
      <c r="T251" s="19" t="n"/>
      <c r="U251" s="19" t="n"/>
      <c r="V251" s="19" t="n"/>
      <c r="W251" s="19" t="n"/>
      <c r="X251" s="19" t="n"/>
      <c r="Y251" s="19" t="n"/>
      <c r="Z251" s="19" t="n"/>
      <c r="AA251" s="19" t="n"/>
      <c r="AB251" s="19" t="n"/>
      <c r="AC251" s="19" t="n"/>
      <c r="AD251" s="19" t="n"/>
      <c r="AE251" s="20" t="n"/>
      <c r="AF251" s="41" t="n"/>
      <c r="AG251" s="41" t="n"/>
      <c r="AH251" s="116">
        <f>DADOS_AM!$JM$28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DADOS_AM!$JH$29</f>
        <v/>
      </c>
      <c r="E259" s="17" t="n"/>
      <c r="F259" s="115">
        <f>DADOS_AM!$JI$29</f>
        <v/>
      </c>
      <c r="G259" s="16" t="n"/>
      <c r="H259" s="16" t="n"/>
      <c r="I259" s="16" t="n"/>
      <c r="J259" s="16" t="n"/>
      <c r="K259" s="16" t="n"/>
      <c r="L259" s="16" t="n"/>
      <c r="M259" s="16" t="n"/>
      <c r="N259" s="16" t="n"/>
      <c r="O259" s="16" t="n"/>
      <c r="P259" s="17" t="n"/>
      <c r="Q259" s="41" t="n"/>
      <c r="R259" s="41" t="n"/>
      <c r="S259" s="117">
        <f>DADOS_AM!$JH$30</f>
        <v/>
      </c>
      <c r="T259" s="17" t="n"/>
      <c r="U259" s="115">
        <f>DADOS_AM!$JI$30</f>
        <v/>
      </c>
      <c r="V259" s="16" t="n"/>
      <c r="W259" s="16" t="n"/>
      <c r="X259" s="16" t="n"/>
      <c r="Y259" s="16" t="n"/>
      <c r="Z259" s="16" t="n"/>
      <c r="AA259" s="16" t="n"/>
      <c r="AB259" s="16" t="n"/>
      <c r="AC259" s="16" t="n"/>
      <c r="AD259" s="16" t="n"/>
      <c r="AE259" s="17" t="n"/>
      <c r="AF259" s="41" t="n"/>
      <c r="AG259" s="41" t="n"/>
      <c r="AH259" s="117">
        <f>DADOS_AM!$JH$31</f>
        <v/>
      </c>
      <c r="AI259" s="17" t="n"/>
      <c r="AJ259" s="115">
        <f>DADOS_AM!$JI$31</f>
        <v/>
      </c>
      <c r="AK259" s="16" t="n"/>
      <c r="AL259" s="16" t="n"/>
      <c r="AM259" s="16" t="n"/>
      <c r="AN259" s="16" t="n"/>
      <c r="AO259" s="16" t="n"/>
      <c r="AP259" s="16" t="n"/>
      <c r="AQ259" s="16" t="n"/>
      <c r="AR259" s="16" t="n"/>
      <c r="AS259" s="16" t="n"/>
      <c r="AT259" s="17" t="n"/>
    </row>
    <row r="260" hidden="1" outlineLevel="3">
      <c r="A260" s="8" t="n"/>
      <c r="B260" s="14" t="n"/>
      <c r="C260" s="41" t="n"/>
      <c r="D260" s="118">
        <f>DADOS_AM!$JJ$29</f>
        <v/>
      </c>
      <c r="E260" s="16" t="n"/>
      <c r="F260" s="17" t="n"/>
      <c r="G260" s="118">
        <f>DADOS_AM!$JK$29</f>
        <v/>
      </c>
      <c r="H260" s="16" t="n"/>
      <c r="I260" s="16" t="n"/>
      <c r="J260" s="17" t="n"/>
      <c r="K260" s="118">
        <f>DADOS_AM!$JL$29</f>
        <v/>
      </c>
      <c r="L260" s="16" t="n"/>
      <c r="M260" s="16" t="n"/>
      <c r="N260" s="16" t="n"/>
      <c r="O260" s="16" t="n"/>
      <c r="P260" s="17" t="n"/>
      <c r="Q260" s="41" t="n"/>
      <c r="R260" s="41" t="n"/>
      <c r="S260" s="118">
        <f>DADOS_AM!$JJ$30</f>
        <v/>
      </c>
      <c r="T260" s="16" t="n"/>
      <c r="U260" s="17" t="n"/>
      <c r="V260" s="118">
        <f>DADOS_AM!$JK$30</f>
        <v/>
      </c>
      <c r="W260" s="16" t="n"/>
      <c r="X260" s="16" t="n"/>
      <c r="Y260" s="17" t="n"/>
      <c r="Z260" s="118">
        <f>DADOS_AM!$JL$30</f>
        <v/>
      </c>
      <c r="AA260" s="16" t="n"/>
      <c r="AB260" s="16" t="n"/>
      <c r="AC260" s="16" t="n"/>
      <c r="AD260" s="16" t="n"/>
      <c r="AE260" s="17" t="n"/>
      <c r="AF260" s="41" t="n"/>
      <c r="AG260" s="41" t="n"/>
      <c r="AH260" s="118">
        <f>DADOS_AM!$JJ$31</f>
        <v/>
      </c>
      <c r="AI260" s="16" t="n"/>
      <c r="AJ260" s="17" t="n"/>
      <c r="AK260" s="118">
        <f>DADOS_AM!$JK$31</f>
        <v/>
      </c>
      <c r="AL260" s="16" t="n"/>
      <c r="AM260" s="16" t="n"/>
      <c r="AN260" s="17" t="n"/>
      <c r="AO260" s="118">
        <f>DADOS_AM!$JL$31</f>
        <v/>
      </c>
      <c r="AP260" s="16" t="n"/>
      <c r="AQ260" s="16" t="n"/>
      <c r="AR260" s="16" t="n"/>
      <c r="AS260" s="16" t="n"/>
      <c r="AT260" s="17" t="n"/>
    </row>
    <row r="261" hidden="1" outlineLevel="4">
      <c r="A261" s="8" t="n"/>
      <c r="B261" s="14" t="n"/>
      <c r="C261" s="41" t="n"/>
      <c r="D261" s="116">
        <f>DADOS_AM!$JM$29</f>
        <v/>
      </c>
      <c r="E261" s="19" t="n"/>
      <c r="F261" s="19" t="n"/>
      <c r="G261" s="19" t="n"/>
      <c r="H261" s="19" t="n"/>
      <c r="I261" s="19" t="n"/>
      <c r="J261" s="19" t="n"/>
      <c r="K261" s="19" t="n"/>
      <c r="L261" s="19" t="n"/>
      <c r="M261" s="19" t="n"/>
      <c r="N261" s="19" t="n"/>
      <c r="O261" s="19" t="n"/>
      <c r="P261" s="20" t="n"/>
      <c r="Q261" s="41" t="n"/>
      <c r="R261" s="41" t="n"/>
      <c r="S261" s="116">
        <f>DADOS_AM!$JM$30</f>
        <v/>
      </c>
      <c r="T261" s="19" t="n"/>
      <c r="U261" s="19" t="n"/>
      <c r="V261" s="19" t="n"/>
      <c r="W261" s="19" t="n"/>
      <c r="X261" s="19" t="n"/>
      <c r="Y261" s="19" t="n"/>
      <c r="Z261" s="19" t="n"/>
      <c r="AA261" s="19" t="n"/>
      <c r="AB261" s="19" t="n"/>
      <c r="AC261" s="19" t="n"/>
      <c r="AD261" s="19" t="n"/>
      <c r="AE261" s="20" t="n"/>
      <c r="AF261" s="41" t="n"/>
      <c r="AG261" s="41" t="n"/>
      <c r="AH261" s="116">
        <f>DADOS_AM!$JM$31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DADOS_AM!$KQ$14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DADOS_AM!$JH$32</f>
        <v/>
      </c>
      <c r="E269" s="17" t="n"/>
      <c r="F269" s="115">
        <f>DADOS_AM!$JI$32</f>
        <v/>
      </c>
      <c r="G269" s="16" t="n"/>
      <c r="H269" s="16" t="n"/>
      <c r="I269" s="16" t="n"/>
      <c r="J269" s="16" t="n"/>
      <c r="K269" s="16" t="n"/>
      <c r="L269" s="16" t="n"/>
      <c r="M269" s="16" t="n"/>
      <c r="N269" s="16" t="n"/>
      <c r="O269" s="16" t="n"/>
      <c r="P269" s="17" t="n"/>
      <c r="Q269" s="41" t="n"/>
      <c r="R269" s="41" t="n"/>
      <c r="S269" s="117">
        <f>DADOS_AM!$JH$33</f>
        <v/>
      </c>
      <c r="T269" s="17" t="n"/>
      <c r="U269" s="115">
        <f>DADOS_AM!$JI$33</f>
        <v/>
      </c>
      <c r="V269" s="16" t="n"/>
      <c r="W269" s="16" t="n"/>
      <c r="X269" s="16" t="n"/>
      <c r="Y269" s="16" t="n"/>
      <c r="Z269" s="16" t="n"/>
      <c r="AA269" s="16" t="n"/>
      <c r="AB269" s="16" t="n"/>
      <c r="AC269" s="16" t="n"/>
      <c r="AD269" s="16" t="n"/>
      <c r="AE269" s="17" t="n"/>
      <c r="AF269" s="41" t="n"/>
      <c r="AG269" s="41" t="n"/>
      <c r="AH269" s="117">
        <f>DADOS_AM!$JH$34</f>
        <v/>
      </c>
      <c r="AI269" s="17" t="n"/>
      <c r="AJ269" s="115">
        <f>DADOS_AM!$JI$34</f>
        <v/>
      </c>
      <c r="AK269" s="16" t="n"/>
      <c r="AL269" s="16" t="n"/>
      <c r="AM269" s="16" t="n"/>
      <c r="AN269" s="16" t="n"/>
      <c r="AO269" s="16" t="n"/>
      <c r="AP269" s="16" t="n"/>
      <c r="AQ269" s="16" t="n"/>
      <c r="AR269" s="16" t="n"/>
      <c r="AS269" s="16" t="n"/>
      <c r="AT269" s="17" t="n"/>
    </row>
    <row r="270" hidden="1" outlineLevel="3">
      <c r="A270" s="8" t="n"/>
      <c r="B270" s="14" t="n"/>
      <c r="C270" s="41" t="n"/>
      <c r="D270" s="118">
        <f>DADOS_AM!$JJ$32</f>
        <v/>
      </c>
      <c r="E270" s="16" t="n"/>
      <c r="F270" s="17" t="n"/>
      <c r="G270" s="118">
        <f>DADOS_AM!$JK$32</f>
        <v/>
      </c>
      <c r="H270" s="16" t="n"/>
      <c r="I270" s="16" t="n"/>
      <c r="J270" s="17" t="n"/>
      <c r="K270" s="118">
        <f>DADOS_AM!$JL$32</f>
        <v/>
      </c>
      <c r="L270" s="16" t="n"/>
      <c r="M270" s="16" t="n"/>
      <c r="N270" s="16" t="n"/>
      <c r="O270" s="16" t="n"/>
      <c r="P270" s="17" t="n"/>
      <c r="Q270" s="41" t="n"/>
      <c r="R270" s="41" t="n"/>
      <c r="S270" s="118">
        <f>DADOS_AM!$JJ$33</f>
        <v/>
      </c>
      <c r="T270" s="16" t="n"/>
      <c r="U270" s="17" t="n"/>
      <c r="V270" s="118">
        <f>DADOS_AM!$JK$33</f>
        <v/>
      </c>
      <c r="W270" s="16" t="n"/>
      <c r="X270" s="16" t="n"/>
      <c r="Y270" s="17" t="n"/>
      <c r="Z270" s="118">
        <f>DADOS_AM!$JL$33</f>
        <v/>
      </c>
      <c r="AA270" s="16" t="n"/>
      <c r="AB270" s="16" t="n"/>
      <c r="AC270" s="16" t="n"/>
      <c r="AD270" s="16" t="n"/>
      <c r="AE270" s="17" t="n"/>
      <c r="AF270" s="41" t="n"/>
      <c r="AG270" s="41" t="n"/>
      <c r="AH270" s="118">
        <f>DADOS_AM!$JJ$34</f>
        <v/>
      </c>
      <c r="AI270" s="16" t="n"/>
      <c r="AJ270" s="17" t="n"/>
      <c r="AK270" s="118">
        <f>DADOS_AM!$JK$34</f>
        <v/>
      </c>
      <c r="AL270" s="16" t="n"/>
      <c r="AM270" s="16" t="n"/>
      <c r="AN270" s="17" t="n"/>
      <c r="AO270" s="118">
        <f>DADOS_AM!$JL$34</f>
        <v/>
      </c>
      <c r="AP270" s="16" t="n"/>
      <c r="AQ270" s="16" t="n"/>
      <c r="AR270" s="16" t="n"/>
      <c r="AS270" s="16" t="n"/>
      <c r="AT270" s="17" t="n"/>
    </row>
    <row r="271" hidden="1" outlineLevel="4">
      <c r="A271" s="8" t="n"/>
      <c r="B271" s="14" t="n"/>
      <c r="C271" s="41" t="n"/>
      <c r="D271" s="116">
        <f>DADOS_AM!$JM$32</f>
        <v/>
      </c>
      <c r="E271" s="19" t="n"/>
      <c r="F271" s="19" t="n"/>
      <c r="G271" s="19" t="n"/>
      <c r="H271" s="19" t="n"/>
      <c r="I271" s="19" t="n"/>
      <c r="J271" s="19" t="n"/>
      <c r="K271" s="19" t="n"/>
      <c r="L271" s="19" t="n"/>
      <c r="M271" s="19" t="n"/>
      <c r="N271" s="19" t="n"/>
      <c r="O271" s="19" t="n"/>
      <c r="P271" s="20" t="n"/>
      <c r="Q271" s="41" t="n"/>
      <c r="R271" s="41" t="n"/>
      <c r="S271" s="116">
        <f>DADOS_AM!$JM$33</f>
        <v/>
      </c>
      <c r="T271" s="19" t="n"/>
      <c r="U271" s="19" t="n"/>
      <c r="V271" s="19" t="n"/>
      <c r="W271" s="19" t="n"/>
      <c r="X271" s="19" t="n"/>
      <c r="Y271" s="19" t="n"/>
      <c r="Z271" s="19" t="n"/>
      <c r="AA271" s="19" t="n"/>
      <c r="AB271" s="19" t="n"/>
      <c r="AC271" s="19" t="n"/>
      <c r="AD271" s="19" t="n"/>
      <c r="AE271" s="20" t="n"/>
      <c r="AF271" s="41" t="n"/>
      <c r="AG271" s="41" t="n"/>
      <c r="AH271" s="116">
        <f>DADOS_AM!$JM$34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DADOS_AM!$JH$35</f>
        <v/>
      </c>
      <c r="E279" s="17" t="n"/>
      <c r="F279" s="115">
        <f>DADOS_AM!$JI$35</f>
        <v/>
      </c>
      <c r="G279" s="16" t="n"/>
      <c r="H279" s="16" t="n"/>
      <c r="I279" s="16" t="n"/>
      <c r="J279" s="16" t="n"/>
      <c r="K279" s="16" t="n"/>
      <c r="L279" s="16" t="n"/>
      <c r="M279" s="16" t="n"/>
      <c r="N279" s="16" t="n"/>
      <c r="O279" s="16" t="n"/>
      <c r="P279" s="17" t="n"/>
      <c r="Q279" s="41" t="n"/>
      <c r="R279" s="41" t="n"/>
      <c r="S279" s="117">
        <f>DADOS_AM!$JH$36</f>
        <v/>
      </c>
      <c r="T279" s="17" t="n"/>
      <c r="U279" s="115">
        <f>DADOS_AM!$JI$36</f>
        <v/>
      </c>
      <c r="V279" s="16" t="n"/>
      <c r="W279" s="16" t="n"/>
      <c r="X279" s="16" t="n"/>
      <c r="Y279" s="16" t="n"/>
      <c r="Z279" s="16" t="n"/>
      <c r="AA279" s="16" t="n"/>
      <c r="AB279" s="16" t="n"/>
      <c r="AC279" s="16" t="n"/>
      <c r="AD279" s="16" t="n"/>
      <c r="AE279" s="17" t="n"/>
      <c r="AF279" s="41" t="n"/>
      <c r="AG279" s="41" t="n"/>
      <c r="AH279" s="117">
        <f>DADOS_AM!$JH$37</f>
        <v/>
      </c>
      <c r="AI279" s="17" t="n"/>
      <c r="AJ279" s="115">
        <f>DADOS_AM!$JI$37</f>
        <v/>
      </c>
      <c r="AK279" s="16" t="n"/>
      <c r="AL279" s="16" t="n"/>
      <c r="AM279" s="16" t="n"/>
      <c r="AN279" s="16" t="n"/>
      <c r="AO279" s="16" t="n"/>
      <c r="AP279" s="16" t="n"/>
      <c r="AQ279" s="16" t="n"/>
      <c r="AR279" s="16" t="n"/>
      <c r="AS279" s="16" t="n"/>
      <c r="AT279" s="17" t="n"/>
    </row>
    <row r="280" hidden="1" outlineLevel="3">
      <c r="A280" s="8" t="n"/>
      <c r="B280" s="14" t="n"/>
      <c r="C280" s="41" t="n"/>
      <c r="D280" s="118">
        <f>DADOS_AM!$JJ$35</f>
        <v/>
      </c>
      <c r="E280" s="16" t="n"/>
      <c r="F280" s="17" t="n"/>
      <c r="G280" s="118">
        <f>DADOS_AM!$JK$35</f>
        <v/>
      </c>
      <c r="H280" s="16" t="n"/>
      <c r="I280" s="16" t="n"/>
      <c r="J280" s="17" t="n"/>
      <c r="K280" s="118">
        <f>DADOS_AM!$JL$35</f>
        <v/>
      </c>
      <c r="L280" s="16" t="n"/>
      <c r="M280" s="16" t="n"/>
      <c r="N280" s="16" t="n"/>
      <c r="O280" s="16" t="n"/>
      <c r="P280" s="17" t="n"/>
      <c r="Q280" s="41" t="n"/>
      <c r="R280" s="41" t="n"/>
      <c r="S280" s="118">
        <f>DADOS_AM!$JJ$36</f>
        <v/>
      </c>
      <c r="T280" s="16" t="n"/>
      <c r="U280" s="17" t="n"/>
      <c r="V280" s="118">
        <f>DADOS_AM!$JK$36</f>
        <v/>
      </c>
      <c r="W280" s="16" t="n"/>
      <c r="X280" s="16" t="n"/>
      <c r="Y280" s="17" t="n"/>
      <c r="Z280" s="118">
        <f>DADOS_AM!$JL$36</f>
        <v/>
      </c>
      <c r="AA280" s="16" t="n"/>
      <c r="AB280" s="16" t="n"/>
      <c r="AC280" s="16" t="n"/>
      <c r="AD280" s="16" t="n"/>
      <c r="AE280" s="17" t="n"/>
      <c r="AF280" s="41" t="n"/>
      <c r="AG280" s="41" t="n"/>
      <c r="AH280" s="118">
        <f>DADOS_AM!$JJ$37</f>
        <v/>
      </c>
      <c r="AI280" s="16" t="n"/>
      <c r="AJ280" s="17" t="n"/>
      <c r="AK280" s="118">
        <f>DADOS_AM!$JK$37</f>
        <v/>
      </c>
      <c r="AL280" s="16" t="n"/>
      <c r="AM280" s="16" t="n"/>
      <c r="AN280" s="17" t="n"/>
      <c r="AO280" s="118">
        <f>DADOS_AM!$JL$37</f>
        <v/>
      </c>
      <c r="AP280" s="16" t="n"/>
      <c r="AQ280" s="16" t="n"/>
      <c r="AR280" s="16" t="n"/>
      <c r="AS280" s="16" t="n"/>
      <c r="AT280" s="17" t="n"/>
    </row>
    <row r="281" hidden="1" outlineLevel="4">
      <c r="A281" s="8" t="n"/>
      <c r="B281" s="14" t="n"/>
      <c r="C281" s="41" t="n"/>
      <c r="D281" s="116">
        <f>DADOS_AM!$JM$35</f>
        <v/>
      </c>
      <c r="E281" s="19" t="n"/>
      <c r="F281" s="19" t="n"/>
      <c r="G281" s="19" t="n"/>
      <c r="H281" s="19" t="n"/>
      <c r="I281" s="19" t="n"/>
      <c r="J281" s="19" t="n"/>
      <c r="K281" s="19" t="n"/>
      <c r="L281" s="19" t="n"/>
      <c r="M281" s="19" t="n"/>
      <c r="N281" s="19" t="n"/>
      <c r="O281" s="19" t="n"/>
      <c r="P281" s="20" t="n"/>
      <c r="Q281" s="41" t="n"/>
      <c r="R281" s="41" t="n"/>
      <c r="S281" s="116">
        <f>DADOS_AM!$JM$36</f>
        <v/>
      </c>
      <c r="T281" s="19" t="n"/>
      <c r="U281" s="19" t="n"/>
      <c r="V281" s="19" t="n"/>
      <c r="W281" s="19" t="n"/>
      <c r="X281" s="19" t="n"/>
      <c r="Y281" s="19" t="n"/>
      <c r="Z281" s="19" t="n"/>
      <c r="AA281" s="19" t="n"/>
      <c r="AB281" s="19" t="n"/>
      <c r="AC281" s="19" t="n"/>
      <c r="AD281" s="19" t="n"/>
      <c r="AE281" s="20" t="n"/>
      <c r="AF281" s="41" t="n"/>
      <c r="AG281" s="41" t="n"/>
      <c r="AH281" s="116">
        <f>DADOS_AM!$JM$37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DADOS_AM!$KQ$4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DADOS_AM!$KQ$7</f>
        <v/>
      </c>
      <c r="E290" s="17" t="n"/>
      <c r="F290" s="115">
        <f>DADOS_AM!$JQ$2</f>
        <v/>
      </c>
      <c r="G290" s="16" t="n"/>
      <c r="H290" s="16" t="n"/>
      <c r="I290" s="16" t="n"/>
      <c r="J290" s="16" t="n"/>
      <c r="K290" s="16" t="n"/>
      <c r="L290" s="16" t="n"/>
      <c r="M290" s="16" t="n"/>
      <c r="N290" s="16" t="n"/>
      <c r="O290" s="16" t="n"/>
      <c r="P290" s="17" t="n"/>
      <c r="Q290" s="41" t="n"/>
      <c r="R290" s="41" t="n"/>
      <c r="S290" s="117">
        <f>DADOS_AM!$KQ$7</f>
        <v/>
      </c>
      <c r="T290" s="17" t="n"/>
      <c r="U290" s="115">
        <f>DADOS_AM!$JQ$3</f>
        <v/>
      </c>
      <c r="V290" s="16" t="n"/>
      <c r="W290" s="16" t="n"/>
      <c r="X290" s="16" t="n"/>
      <c r="Y290" s="16" t="n"/>
      <c r="Z290" s="16" t="n"/>
      <c r="AA290" s="16" t="n"/>
      <c r="AB290" s="16" t="n"/>
      <c r="AC290" s="16" t="n"/>
      <c r="AD290" s="16" t="n"/>
      <c r="AE290" s="17" t="n"/>
      <c r="AF290" s="41" t="n"/>
      <c r="AG290" s="41" t="n"/>
      <c r="AH290" s="117">
        <f>DADOS_AM!$KQ$7</f>
        <v/>
      </c>
      <c r="AI290" s="17" t="n"/>
      <c r="AJ290" s="115">
        <f>DADOS_AM!$JQ$4</f>
        <v/>
      </c>
      <c r="AK290" s="16" t="n"/>
      <c r="AL290" s="16" t="n"/>
      <c r="AM290" s="16" t="n"/>
      <c r="AN290" s="16" t="n"/>
      <c r="AO290" s="16" t="n"/>
      <c r="AP290" s="16" t="n"/>
      <c r="AQ290" s="16" t="n"/>
      <c r="AR290" s="16" t="n"/>
      <c r="AS290" s="16" t="n"/>
      <c r="AT290" s="17" t="n"/>
    </row>
    <row r="291" outlineLevel="2">
      <c r="A291" s="8" t="n"/>
      <c r="B291" s="14" t="n"/>
      <c r="C291" s="41" t="n"/>
      <c r="D291" s="118">
        <f>DADOS_AM!$JR$2</f>
        <v/>
      </c>
      <c r="E291" s="16" t="n"/>
      <c r="F291" s="17" t="n"/>
      <c r="G291" s="118">
        <f>DADOS_AM!$JS$2</f>
        <v/>
      </c>
      <c r="H291" s="16" t="n"/>
      <c r="I291" s="16" t="n"/>
      <c r="J291" s="17" t="n"/>
      <c r="K291" s="118">
        <f>DADOS_AM!$JT$2</f>
        <v/>
      </c>
      <c r="L291" s="16" t="n"/>
      <c r="M291" s="16" t="n"/>
      <c r="N291" s="16" t="n"/>
      <c r="O291" s="16" t="n"/>
      <c r="P291" s="17" t="n"/>
      <c r="Q291" s="41" t="n"/>
      <c r="R291" s="41" t="n"/>
      <c r="S291" s="118">
        <f>DADOS_AM!$JR$3</f>
        <v/>
      </c>
      <c r="T291" s="16" t="n"/>
      <c r="U291" s="17" t="n"/>
      <c r="V291" s="118">
        <f>DADOS_AM!$JS$3</f>
        <v/>
      </c>
      <c r="W291" s="16" t="n"/>
      <c r="X291" s="16" t="n"/>
      <c r="Y291" s="17" t="n"/>
      <c r="Z291" s="118">
        <f>DADOS_AM!$JT$3</f>
        <v/>
      </c>
      <c r="AA291" s="16" t="n"/>
      <c r="AB291" s="16" t="n"/>
      <c r="AC291" s="16" t="n"/>
      <c r="AD291" s="16" t="n"/>
      <c r="AE291" s="17" t="n"/>
      <c r="AF291" s="41" t="n"/>
      <c r="AG291" s="41" t="n"/>
      <c r="AH291" s="118">
        <f>DADOS_AM!$JR$4</f>
        <v/>
      </c>
      <c r="AI291" s="16" t="n"/>
      <c r="AJ291" s="17" t="n"/>
      <c r="AK291" s="118">
        <f>DADOS_AM!$JS$4</f>
        <v/>
      </c>
      <c r="AL291" s="16" t="n"/>
      <c r="AM291" s="16" t="n"/>
      <c r="AN291" s="17" t="n"/>
      <c r="AO291" s="118">
        <f>DADOS_AM!$JT$4</f>
        <v/>
      </c>
      <c r="AP291" s="16" t="n"/>
      <c r="AQ291" s="16" t="n"/>
      <c r="AR291" s="16" t="n"/>
      <c r="AS291" s="16" t="n"/>
      <c r="AT291" s="17" t="n"/>
    </row>
    <row r="292" outlineLevel="3">
      <c r="A292" s="8" t="n"/>
      <c r="B292" s="14" t="n"/>
      <c r="C292" s="41" t="n"/>
      <c r="D292" s="116">
        <f>DADOS_AM!$JU$2</f>
        <v/>
      </c>
      <c r="E292" s="19" t="n"/>
      <c r="F292" s="19" t="n"/>
      <c r="G292" s="19" t="n"/>
      <c r="H292" s="19" t="n"/>
      <c r="I292" s="19" t="n"/>
      <c r="J292" s="19" t="n"/>
      <c r="K292" s="19" t="n"/>
      <c r="L292" s="19" t="n"/>
      <c r="M292" s="19" t="n"/>
      <c r="N292" s="19" t="n"/>
      <c r="O292" s="19" t="n"/>
      <c r="P292" s="20" t="n"/>
      <c r="Q292" s="41" t="n"/>
      <c r="R292" s="41" t="n"/>
      <c r="S292" s="116">
        <f>DADOS_AM!$JU$3</f>
        <v/>
      </c>
      <c r="T292" s="19" t="n"/>
      <c r="U292" s="19" t="n"/>
      <c r="V292" s="19" t="n"/>
      <c r="W292" s="19" t="n"/>
      <c r="X292" s="19" t="n"/>
      <c r="Y292" s="19" t="n"/>
      <c r="Z292" s="19" t="n"/>
      <c r="AA292" s="19" t="n"/>
      <c r="AB292" s="19" t="n"/>
      <c r="AC292" s="19" t="n"/>
      <c r="AD292" s="19" t="n"/>
      <c r="AE292" s="20" t="n"/>
      <c r="AF292" s="41" t="n"/>
      <c r="AG292" s="41" t="n"/>
      <c r="AH292" s="116">
        <f>DADOS_AM!$JU$4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DADOS_AM!$KQ$8</f>
        <v/>
      </c>
      <c r="E300" s="17" t="n"/>
      <c r="F300" s="115">
        <f>DADOS_AM!$JX$2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DADOS_AM!$JY$2</f>
        <v/>
      </c>
      <c r="AC300" s="16" t="n"/>
      <c r="AD300" s="16" t="n"/>
      <c r="AE300" s="17" t="n"/>
      <c r="AF300" s="118">
        <f>DADOS_AM!$JZ$2</f>
        <v/>
      </c>
      <c r="AG300" s="16" t="n"/>
      <c r="AH300" s="16" t="n"/>
      <c r="AI300" s="16" t="n"/>
      <c r="AJ300" s="16" t="n"/>
      <c r="AK300" s="17" t="n"/>
      <c r="AL300" s="118">
        <f>DADOS_AM!$KA$2</f>
        <v/>
      </c>
      <c r="AM300" s="16" t="n"/>
      <c r="AN300" s="16" t="n"/>
      <c r="AO300" s="16" t="n"/>
      <c r="AP300" s="16" t="n"/>
      <c r="AQ300" s="16" t="n"/>
      <c r="AR300" s="16" t="n"/>
      <c r="AS300" s="16" t="n"/>
      <c r="AT300" s="17" t="n"/>
    </row>
    <row r="301" hidden="1" outlineLevel="3">
      <c r="A301" s="8" t="n"/>
      <c r="B301" s="14" t="n"/>
      <c r="C301" s="41" t="n"/>
      <c r="D301" s="116">
        <f>DADOS_AM!$KB$2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DADOS_AM!$KQ$9</f>
        <v/>
      </c>
      <c r="E307" s="17" t="n"/>
      <c r="F307" s="115">
        <f>DADOS_AM!$JX$3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DADOS_AM!$JY$3</f>
        <v/>
      </c>
      <c r="AC307" s="16" t="n"/>
      <c r="AD307" s="16" t="n"/>
      <c r="AE307" s="17" t="n"/>
      <c r="AF307" s="118">
        <f>DADOS_AM!$JZ$3</f>
        <v/>
      </c>
      <c r="AG307" s="16" t="n"/>
      <c r="AH307" s="16" t="n"/>
      <c r="AI307" s="16" t="n"/>
      <c r="AJ307" s="16" t="n"/>
      <c r="AK307" s="17" t="n"/>
      <c r="AL307" s="118">
        <f>DADOS_AM!$KA$3</f>
        <v/>
      </c>
      <c r="AM307" s="16" t="n"/>
      <c r="AN307" s="16" t="n"/>
      <c r="AO307" s="16" t="n"/>
      <c r="AP307" s="16" t="n"/>
      <c r="AQ307" s="16" t="n"/>
      <c r="AR307" s="16" t="n"/>
      <c r="AS307" s="16" t="n"/>
      <c r="AT307" s="17" t="n"/>
    </row>
    <row r="308" hidden="1" outlineLevel="3">
      <c r="A308" s="8" t="n"/>
      <c r="B308" s="14" t="n"/>
      <c r="C308" s="41" t="n"/>
      <c r="D308" s="116">
        <f>DADOS_AM!$KB$3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DADOS_AM!$KQ$5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DADOS_AM!$KF$2</f>
        <v/>
      </c>
      <c r="E315" s="17" t="n"/>
      <c r="F315" s="115">
        <f>DADOS_AM!$KG$2</f>
        <v/>
      </c>
      <c r="G315" s="16" t="n"/>
      <c r="H315" s="16" t="n"/>
      <c r="I315" s="16" t="n"/>
      <c r="J315" s="16" t="n"/>
      <c r="K315" s="16" t="n"/>
      <c r="L315" s="16" t="n"/>
      <c r="M315" s="16" t="n"/>
      <c r="N315" s="16" t="n"/>
      <c r="O315" s="16" t="n"/>
      <c r="P315" s="17" t="n"/>
      <c r="Q315" s="41" t="n"/>
      <c r="R315" s="41" t="n"/>
      <c r="S315" s="117">
        <f>DADOS_AM!$KF$3</f>
        <v/>
      </c>
      <c r="T315" s="17" t="n"/>
      <c r="U315" s="115">
        <f>DADOS_AM!$KG$3</f>
        <v/>
      </c>
      <c r="V315" s="16" t="n"/>
      <c r="W315" s="16" t="n"/>
      <c r="X315" s="16" t="n"/>
      <c r="Y315" s="16" t="n"/>
      <c r="Z315" s="16" t="n"/>
      <c r="AA315" s="16" t="n"/>
      <c r="AB315" s="16" t="n"/>
      <c r="AC315" s="16" t="n"/>
      <c r="AD315" s="16" t="n"/>
      <c r="AE315" s="17" t="n"/>
      <c r="AF315" s="41" t="n"/>
      <c r="AG315" s="41" t="n"/>
      <c r="AH315" s="117">
        <f>DADOS_AM!$KF$4</f>
        <v/>
      </c>
      <c r="AI315" s="17" t="n"/>
      <c r="AJ315" s="115">
        <f>DADOS_AM!$KG$4</f>
        <v/>
      </c>
      <c r="AK315" s="16" t="n"/>
      <c r="AL315" s="16" t="n"/>
      <c r="AM315" s="16" t="n"/>
      <c r="AN315" s="16" t="n"/>
      <c r="AO315" s="16" t="n"/>
      <c r="AP315" s="16" t="n"/>
      <c r="AQ315" s="16" t="n"/>
      <c r="AR315" s="16" t="n"/>
      <c r="AS315" s="16" t="n"/>
      <c r="AT315" s="17" t="n"/>
    </row>
    <row r="316" outlineLevel="4">
      <c r="A316" s="8" t="n"/>
      <c r="B316" s="14" t="n"/>
      <c r="C316" s="41" t="n"/>
      <c r="D316" s="116">
        <f>DADOS_AM!$KH$2</f>
        <v/>
      </c>
      <c r="E316" s="19" t="n"/>
      <c r="F316" s="19" t="n"/>
      <c r="G316" s="19" t="n"/>
      <c r="H316" s="19" t="n"/>
      <c r="I316" s="19" t="n"/>
      <c r="J316" s="19" t="n"/>
      <c r="K316" s="19" t="n"/>
      <c r="L316" s="19" t="n"/>
      <c r="M316" s="19" t="n"/>
      <c r="N316" s="19" t="n"/>
      <c r="O316" s="19" t="n"/>
      <c r="P316" s="20" t="n"/>
      <c r="Q316" s="41" t="n"/>
      <c r="R316" s="41" t="n"/>
      <c r="S316" s="116">
        <f>DADOS_AM!$KH$3</f>
        <v/>
      </c>
      <c r="T316" s="19" t="n"/>
      <c r="U316" s="19" t="n"/>
      <c r="V316" s="19" t="n"/>
      <c r="W316" s="19" t="n"/>
      <c r="X316" s="19" t="n"/>
      <c r="Y316" s="19" t="n"/>
      <c r="Z316" s="19" t="n"/>
      <c r="AA316" s="19" t="n"/>
      <c r="AB316" s="19" t="n"/>
      <c r="AC316" s="19" t="n"/>
      <c r="AD316" s="19" t="n"/>
      <c r="AE316" s="20" t="n"/>
      <c r="AF316" s="41" t="n"/>
      <c r="AG316" s="41" t="n"/>
      <c r="AH316" s="116">
        <f>DADOS_AM!$KH$4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DADOS_AM!$KF$5</f>
        <v/>
      </c>
      <c r="E322" s="17" t="n"/>
      <c r="F322" s="115">
        <f>DADOS_AM!$KG$5</f>
        <v/>
      </c>
      <c r="G322" s="16" t="n"/>
      <c r="H322" s="16" t="n"/>
      <c r="I322" s="16" t="n"/>
      <c r="J322" s="16" t="n"/>
      <c r="K322" s="16" t="n"/>
      <c r="L322" s="16" t="n"/>
      <c r="M322" s="16" t="n"/>
      <c r="N322" s="16" t="n"/>
      <c r="O322" s="16" t="n"/>
      <c r="P322" s="17" t="n"/>
      <c r="Q322" s="41" t="n"/>
      <c r="R322" s="41" t="n"/>
      <c r="S322" s="117">
        <f>DADOS_AM!$KF$6</f>
        <v/>
      </c>
      <c r="T322" s="17" t="n"/>
      <c r="U322" s="115">
        <f>DADOS_AM!$KG$6</f>
        <v/>
      </c>
      <c r="V322" s="16" t="n"/>
      <c r="W322" s="16" t="n"/>
      <c r="X322" s="16" t="n"/>
      <c r="Y322" s="16" t="n"/>
      <c r="Z322" s="16" t="n"/>
      <c r="AA322" s="16" t="n"/>
      <c r="AB322" s="16" t="n"/>
      <c r="AC322" s="16" t="n"/>
      <c r="AD322" s="16" t="n"/>
      <c r="AE322" s="17" t="n"/>
      <c r="AF322" s="41" t="n"/>
      <c r="AG322" s="41" t="n"/>
      <c r="AH322" s="117">
        <f>DADOS_AM!$KF$7</f>
        <v/>
      </c>
      <c r="AI322" s="17" t="n"/>
      <c r="AJ322" s="115">
        <f>DADOS_AM!$KG$7</f>
        <v/>
      </c>
      <c r="AK322" s="16" t="n"/>
      <c r="AL322" s="16" t="n"/>
      <c r="AM322" s="16" t="n"/>
      <c r="AN322" s="16" t="n"/>
      <c r="AO322" s="16" t="n"/>
      <c r="AP322" s="16" t="n"/>
      <c r="AQ322" s="16" t="n"/>
      <c r="AR322" s="16" t="n"/>
      <c r="AS322" s="16" t="n"/>
      <c r="AT322" s="17" t="n"/>
    </row>
    <row r="323" hidden="1" outlineLevel="4">
      <c r="A323" s="8" t="n"/>
      <c r="B323" s="14" t="n"/>
      <c r="C323" s="41" t="n"/>
      <c r="D323" s="116">
        <f>DADOS_AM!$KH$5</f>
        <v/>
      </c>
      <c r="E323" s="19" t="n"/>
      <c r="F323" s="19" t="n"/>
      <c r="G323" s="19" t="n"/>
      <c r="H323" s="19" t="n"/>
      <c r="I323" s="19" t="n"/>
      <c r="J323" s="19" t="n"/>
      <c r="K323" s="19" t="n"/>
      <c r="L323" s="19" t="n"/>
      <c r="M323" s="19" t="n"/>
      <c r="N323" s="19" t="n"/>
      <c r="O323" s="19" t="n"/>
      <c r="P323" s="20" t="n"/>
      <c r="Q323" s="41" t="n"/>
      <c r="R323" s="41" t="n"/>
      <c r="S323" s="116">
        <f>DADOS_AM!$KH$6</f>
        <v/>
      </c>
      <c r="T323" s="19" t="n"/>
      <c r="U323" s="19" t="n"/>
      <c r="V323" s="19" t="n"/>
      <c r="W323" s="19" t="n"/>
      <c r="X323" s="19" t="n"/>
      <c r="Y323" s="19" t="n"/>
      <c r="Z323" s="19" t="n"/>
      <c r="AA323" s="19" t="n"/>
      <c r="AB323" s="19" t="n"/>
      <c r="AC323" s="19" t="n"/>
      <c r="AD323" s="19" t="n"/>
      <c r="AE323" s="20" t="n"/>
      <c r="AF323" s="41" t="n"/>
      <c r="AG323" s="41" t="n"/>
      <c r="AH323" s="116">
        <f>DADOS_AM!$KH$7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DADOS_AM!$KQ$15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DADOS_AM!$KF$8</f>
        <v/>
      </c>
      <c r="E329" s="17" t="n"/>
      <c r="F329" s="115">
        <f>DADOS_AM!$KG$8</f>
        <v/>
      </c>
      <c r="G329" s="16" t="n"/>
      <c r="H329" s="16" t="n"/>
      <c r="I329" s="16" t="n"/>
      <c r="J329" s="16" t="n"/>
      <c r="K329" s="16" t="n"/>
      <c r="L329" s="16" t="n"/>
      <c r="M329" s="16" t="n"/>
      <c r="N329" s="16" t="n"/>
      <c r="O329" s="16" t="n"/>
      <c r="P329" s="17" t="n"/>
      <c r="Q329" s="41" t="n"/>
      <c r="R329" s="41" t="n"/>
      <c r="S329" s="117">
        <f>DADOS_AM!$KF$9</f>
        <v/>
      </c>
      <c r="T329" s="17" t="n"/>
      <c r="U329" s="115">
        <f>DADOS_AM!$KG$9</f>
        <v/>
      </c>
      <c r="V329" s="16" t="n"/>
      <c r="W329" s="16" t="n"/>
      <c r="X329" s="16" t="n"/>
      <c r="Y329" s="16" t="n"/>
      <c r="Z329" s="16" t="n"/>
      <c r="AA329" s="16" t="n"/>
      <c r="AB329" s="16" t="n"/>
      <c r="AC329" s="16" t="n"/>
      <c r="AD329" s="16" t="n"/>
      <c r="AE329" s="17" t="n"/>
      <c r="AF329" s="41" t="n"/>
      <c r="AG329" s="41" t="n"/>
      <c r="AH329" s="117">
        <f>DADOS_AM!$KF$10</f>
        <v/>
      </c>
      <c r="AI329" s="17" t="n"/>
      <c r="AJ329" s="115">
        <f>DADOS_AM!$KG$10</f>
        <v/>
      </c>
      <c r="AK329" s="16" t="n"/>
      <c r="AL329" s="16" t="n"/>
      <c r="AM329" s="16" t="n"/>
      <c r="AN329" s="16" t="n"/>
      <c r="AO329" s="16" t="n"/>
      <c r="AP329" s="16" t="n"/>
      <c r="AQ329" s="16" t="n"/>
      <c r="AR329" s="16" t="n"/>
      <c r="AS329" s="16" t="n"/>
      <c r="AT329" s="17" t="n"/>
    </row>
    <row r="330" hidden="1" outlineLevel="4">
      <c r="A330" s="8" t="n"/>
      <c r="B330" s="14" t="n"/>
      <c r="C330" s="41" t="n"/>
      <c r="D330" s="116">
        <f>DADOS_AM!$KH$8</f>
        <v/>
      </c>
      <c r="E330" s="19" t="n"/>
      <c r="F330" s="19" t="n"/>
      <c r="G330" s="19" t="n"/>
      <c r="H330" s="19" t="n"/>
      <c r="I330" s="19" t="n"/>
      <c r="J330" s="19" t="n"/>
      <c r="K330" s="19" t="n"/>
      <c r="L330" s="19" t="n"/>
      <c r="M330" s="19" t="n"/>
      <c r="N330" s="19" t="n"/>
      <c r="O330" s="19" t="n"/>
      <c r="P330" s="20" t="n"/>
      <c r="Q330" s="41" t="n"/>
      <c r="R330" s="41" t="n"/>
      <c r="S330" s="116">
        <f>DADOS_AM!$KH$9</f>
        <v/>
      </c>
      <c r="T330" s="19" t="n"/>
      <c r="U330" s="19" t="n"/>
      <c r="V330" s="19" t="n"/>
      <c r="W330" s="19" t="n"/>
      <c r="X330" s="19" t="n"/>
      <c r="Y330" s="19" t="n"/>
      <c r="Z330" s="19" t="n"/>
      <c r="AA330" s="19" t="n"/>
      <c r="AB330" s="19" t="n"/>
      <c r="AC330" s="19" t="n"/>
      <c r="AD330" s="19" t="n"/>
      <c r="AE330" s="20" t="n"/>
      <c r="AF330" s="41" t="n"/>
      <c r="AG330" s="41" t="n"/>
      <c r="AH330" s="116">
        <f>DADOS_AM!$KH$10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DADOS_AM!$KF$11</f>
        <v/>
      </c>
      <c r="E336" s="17" t="n"/>
      <c r="F336" s="115">
        <f>DADOS_AM!$KG$11</f>
        <v/>
      </c>
      <c r="G336" s="16" t="n"/>
      <c r="H336" s="16" t="n"/>
      <c r="I336" s="16" t="n"/>
      <c r="J336" s="16" t="n"/>
      <c r="K336" s="16" t="n"/>
      <c r="L336" s="16" t="n"/>
      <c r="M336" s="16" t="n"/>
      <c r="N336" s="16" t="n"/>
      <c r="O336" s="16" t="n"/>
      <c r="P336" s="17" t="n"/>
      <c r="Q336" s="41" t="n"/>
      <c r="R336" s="41" t="n"/>
      <c r="S336" s="117">
        <f>DADOS_AM!$KF$12</f>
        <v/>
      </c>
      <c r="T336" s="17" t="n"/>
      <c r="U336" s="115">
        <f>DADOS_AM!$KG$12</f>
        <v/>
      </c>
      <c r="V336" s="16" t="n"/>
      <c r="W336" s="16" t="n"/>
      <c r="X336" s="16" t="n"/>
      <c r="Y336" s="16" t="n"/>
      <c r="Z336" s="16" t="n"/>
      <c r="AA336" s="16" t="n"/>
      <c r="AB336" s="16" t="n"/>
      <c r="AC336" s="16" t="n"/>
      <c r="AD336" s="16" t="n"/>
      <c r="AE336" s="17" t="n"/>
      <c r="AF336" s="41" t="n"/>
      <c r="AG336" s="41" t="n"/>
      <c r="AH336" s="117">
        <f>DADOS_AM!$KF$13</f>
        <v/>
      </c>
      <c r="AI336" s="17" t="n"/>
      <c r="AJ336" s="115">
        <f>DADOS_AM!$KG$13</f>
        <v/>
      </c>
      <c r="AK336" s="16" t="n"/>
      <c r="AL336" s="16" t="n"/>
      <c r="AM336" s="16" t="n"/>
      <c r="AN336" s="16" t="n"/>
      <c r="AO336" s="16" t="n"/>
      <c r="AP336" s="16" t="n"/>
      <c r="AQ336" s="16" t="n"/>
      <c r="AR336" s="16" t="n"/>
      <c r="AS336" s="16" t="n"/>
      <c r="AT336" s="17" t="n"/>
    </row>
    <row r="337" hidden="1" outlineLevel="4">
      <c r="A337" s="8" t="n"/>
      <c r="B337" s="14" t="n"/>
      <c r="C337" s="41" t="n"/>
      <c r="D337" s="116">
        <f>DADOS_AM!$KH$11</f>
        <v/>
      </c>
      <c r="E337" s="19" t="n"/>
      <c r="F337" s="19" t="n"/>
      <c r="G337" s="19" t="n"/>
      <c r="H337" s="19" t="n"/>
      <c r="I337" s="19" t="n"/>
      <c r="J337" s="19" t="n"/>
      <c r="K337" s="19" t="n"/>
      <c r="L337" s="19" t="n"/>
      <c r="M337" s="19" t="n"/>
      <c r="N337" s="19" t="n"/>
      <c r="O337" s="19" t="n"/>
      <c r="P337" s="20" t="n"/>
      <c r="Q337" s="41" t="n"/>
      <c r="R337" s="41" t="n"/>
      <c r="S337" s="116">
        <f>DADOS_AM!$KH$12</f>
        <v/>
      </c>
      <c r="T337" s="19" t="n"/>
      <c r="U337" s="19" t="n"/>
      <c r="V337" s="19" t="n"/>
      <c r="W337" s="19" t="n"/>
      <c r="X337" s="19" t="n"/>
      <c r="Y337" s="19" t="n"/>
      <c r="Z337" s="19" t="n"/>
      <c r="AA337" s="19" t="n"/>
      <c r="AB337" s="19" t="n"/>
      <c r="AC337" s="19" t="n"/>
      <c r="AD337" s="19" t="n"/>
      <c r="AE337" s="20" t="n"/>
      <c r="AF337" s="41" t="n"/>
      <c r="AG337" s="41" t="n"/>
      <c r="AH337" s="116">
        <f>DADOS_AM!$KH$13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DADOS_AM!$KQ$16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DADOS_AM!$KF$14</f>
        <v/>
      </c>
      <c r="E343" s="17" t="n"/>
      <c r="F343" s="115">
        <f>DADOS_AM!$KG$14</f>
        <v/>
      </c>
      <c r="G343" s="16" t="n"/>
      <c r="H343" s="16" t="n"/>
      <c r="I343" s="16" t="n"/>
      <c r="J343" s="16" t="n"/>
      <c r="K343" s="16" t="n"/>
      <c r="L343" s="16" t="n"/>
      <c r="M343" s="16" t="n"/>
      <c r="N343" s="16" t="n"/>
      <c r="O343" s="16" t="n"/>
      <c r="P343" s="17" t="n"/>
      <c r="Q343" s="41" t="n"/>
      <c r="R343" s="41" t="n"/>
      <c r="S343" s="117">
        <f>DADOS_AM!$KF$15</f>
        <v/>
      </c>
      <c r="T343" s="17" t="n"/>
      <c r="U343" s="115">
        <f>DADOS_AM!$KG$15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DADOS_AM!$KH$14</f>
        <v/>
      </c>
      <c r="E344" s="19" t="n"/>
      <c r="F344" s="19" t="n"/>
      <c r="G344" s="19" t="n"/>
      <c r="H344" s="19" t="n"/>
      <c r="I344" s="19" t="n"/>
      <c r="J344" s="19" t="n"/>
      <c r="K344" s="19" t="n"/>
      <c r="L344" s="19" t="n"/>
      <c r="M344" s="19" t="n"/>
      <c r="N344" s="19" t="n"/>
      <c r="O344" s="19" t="n"/>
      <c r="P344" s="20" t="n"/>
      <c r="Q344" s="41" t="n"/>
      <c r="R344" s="41" t="n"/>
      <c r="S344" s="116">
        <f>DADOS_AM!$KH$15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DADOS_AM!$KQ$6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DADOS_AM!$KL$2</f>
        <v/>
      </c>
      <c r="E351" s="17" t="n"/>
      <c r="F351" s="115">
        <f>DADOS_AM!$KM$2</f>
        <v/>
      </c>
      <c r="G351" s="16" t="n"/>
      <c r="H351" s="16" t="n"/>
      <c r="I351" s="16" t="n"/>
      <c r="J351" s="16" t="n"/>
      <c r="K351" s="16" t="n"/>
      <c r="L351" s="16" t="n"/>
      <c r="M351" s="16" t="n"/>
      <c r="N351" s="16" t="n"/>
      <c r="O351" s="16" t="n"/>
      <c r="P351" s="17" t="n"/>
      <c r="Q351" s="41" t="n"/>
      <c r="R351" s="41" t="n"/>
      <c r="S351" s="117">
        <f>DADOS_AM!$KL$3</f>
        <v/>
      </c>
      <c r="T351" s="17" t="n"/>
      <c r="U351" s="115">
        <f>DADOS_AM!$KM$3</f>
        <v/>
      </c>
      <c r="V351" s="16" t="n"/>
      <c r="W351" s="16" t="n"/>
      <c r="X351" s="16" t="n"/>
      <c r="Y351" s="16" t="n"/>
      <c r="Z351" s="16" t="n"/>
      <c r="AA351" s="16" t="n"/>
      <c r="AB351" s="16" t="n"/>
      <c r="AC351" s="16" t="n"/>
      <c r="AD351" s="16" t="n"/>
      <c r="AE351" s="17" t="n"/>
      <c r="AF351" s="41" t="n"/>
      <c r="AG351" s="41" t="n"/>
      <c r="AH351" s="117">
        <f>DADOS_AM!$KL$4</f>
        <v/>
      </c>
      <c r="AI351" s="17" t="n"/>
      <c r="AJ351" s="115">
        <f>DADOS_AM!$KM$4</f>
        <v/>
      </c>
      <c r="AK351" s="16" t="n"/>
      <c r="AL351" s="16" t="n"/>
      <c r="AM351" s="16" t="n"/>
      <c r="AN351" s="16" t="n"/>
      <c r="AO351" s="16" t="n"/>
      <c r="AP351" s="16" t="n"/>
      <c r="AQ351" s="16" t="n"/>
      <c r="AR351" s="16" t="n"/>
      <c r="AS351" s="16" t="n"/>
      <c r="AT351" s="17" t="n"/>
    </row>
    <row r="352" outlineLevel="4">
      <c r="A352" s="8" t="n"/>
      <c r="B352" s="14" t="n"/>
      <c r="C352" s="41" t="n"/>
      <c r="D352" s="116">
        <f>DADOS_AM!$KN$2</f>
        <v/>
      </c>
      <c r="E352" s="19" t="n"/>
      <c r="F352" s="19" t="n"/>
      <c r="G352" s="19" t="n"/>
      <c r="H352" s="19" t="n"/>
      <c r="I352" s="19" t="n"/>
      <c r="J352" s="19" t="n"/>
      <c r="K352" s="19" t="n"/>
      <c r="L352" s="19" t="n"/>
      <c r="M352" s="19" t="n"/>
      <c r="N352" s="19" t="n"/>
      <c r="O352" s="19" t="n"/>
      <c r="P352" s="20" t="n"/>
      <c r="Q352" s="41" t="n"/>
      <c r="R352" s="41" t="n"/>
      <c r="S352" s="116">
        <f>DADOS_AM!$KN$3</f>
        <v/>
      </c>
      <c r="T352" s="19" t="n"/>
      <c r="U352" s="19" t="n"/>
      <c r="V352" s="19" t="n"/>
      <c r="W352" s="19" t="n"/>
      <c r="X352" s="19" t="n"/>
      <c r="Y352" s="19" t="n"/>
      <c r="Z352" s="19" t="n"/>
      <c r="AA352" s="19" t="n"/>
      <c r="AB352" s="19" t="n"/>
      <c r="AC352" s="19" t="n"/>
      <c r="AD352" s="19" t="n"/>
      <c r="AE352" s="20" t="n"/>
      <c r="AF352" s="41" t="n"/>
      <c r="AG352" s="41" t="n"/>
      <c r="AH352" s="116">
        <f>DADOS_AM!$KN$4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DADOS_AM!$KL$5</f>
        <v/>
      </c>
      <c r="E359" s="17" t="n"/>
      <c r="F359" s="115">
        <f>DADOS_AM!$KM$5</f>
        <v/>
      </c>
      <c r="G359" s="16" t="n"/>
      <c r="H359" s="16" t="n"/>
      <c r="I359" s="16" t="n"/>
      <c r="J359" s="16" t="n"/>
      <c r="K359" s="16" t="n"/>
      <c r="L359" s="16" t="n"/>
      <c r="M359" s="16" t="n"/>
      <c r="N359" s="16" t="n"/>
      <c r="O359" s="16" t="n"/>
      <c r="P359" s="17" t="n"/>
      <c r="Q359" s="41" t="n"/>
      <c r="R359" s="41" t="n"/>
      <c r="S359" s="117">
        <f>DADOS_AM!$KL$6</f>
        <v/>
      </c>
      <c r="T359" s="17" t="n"/>
      <c r="U359" s="115">
        <f>DADOS_AM!$KM$6</f>
        <v/>
      </c>
      <c r="V359" s="16" t="n"/>
      <c r="W359" s="16" t="n"/>
      <c r="X359" s="16" t="n"/>
      <c r="Y359" s="16" t="n"/>
      <c r="Z359" s="16" t="n"/>
      <c r="AA359" s="16" t="n"/>
      <c r="AB359" s="16" t="n"/>
      <c r="AC359" s="16" t="n"/>
      <c r="AD359" s="16" t="n"/>
      <c r="AE359" s="17" t="n"/>
      <c r="AF359" s="41" t="n"/>
      <c r="AG359" s="41" t="n"/>
      <c r="AH359" s="117">
        <f>DADOS_AM!$KL$7</f>
        <v/>
      </c>
      <c r="AI359" s="17" t="n"/>
      <c r="AJ359" s="115">
        <f>DADOS_AM!$KM$7</f>
        <v/>
      </c>
      <c r="AK359" s="16" t="n"/>
      <c r="AL359" s="16" t="n"/>
      <c r="AM359" s="16" t="n"/>
      <c r="AN359" s="16" t="n"/>
      <c r="AO359" s="16" t="n"/>
      <c r="AP359" s="16" t="n"/>
      <c r="AQ359" s="16" t="n"/>
      <c r="AR359" s="16" t="n"/>
      <c r="AS359" s="16" t="n"/>
      <c r="AT359" s="17" t="n"/>
    </row>
    <row r="360" hidden="1" outlineLevel="4">
      <c r="A360" s="8" t="n"/>
      <c r="B360" s="14" t="n"/>
      <c r="C360" s="41" t="n"/>
      <c r="D360" s="116">
        <f>DADOS_AM!$KN$5</f>
        <v/>
      </c>
      <c r="E360" s="19" t="n"/>
      <c r="F360" s="19" t="n"/>
      <c r="G360" s="19" t="n"/>
      <c r="H360" s="19" t="n"/>
      <c r="I360" s="19" t="n"/>
      <c r="J360" s="19" t="n"/>
      <c r="K360" s="19" t="n"/>
      <c r="L360" s="19" t="n"/>
      <c r="M360" s="19" t="n"/>
      <c r="N360" s="19" t="n"/>
      <c r="O360" s="19" t="n"/>
      <c r="P360" s="20" t="n"/>
      <c r="Q360" s="41" t="n"/>
      <c r="R360" s="41" t="n"/>
      <c r="S360" s="116">
        <f>DADOS_AM!$KN$6</f>
        <v/>
      </c>
      <c r="T360" s="19" t="n"/>
      <c r="U360" s="19" t="n"/>
      <c r="V360" s="19" t="n"/>
      <c r="W360" s="19" t="n"/>
      <c r="X360" s="19" t="n"/>
      <c r="Y360" s="19" t="n"/>
      <c r="Z360" s="19" t="n"/>
      <c r="AA360" s="19" t="n"/>
      <c r="AB360" s="19" t="n"/>
      <c r="AC360" s="19" t="n"/>
      <c r="AD360" s="19" t="n"/>
      <c r="AE360" s="20" t="n"/>
      <c r="AF360" s="41" t="n"/>
      <c r="AG360" s="41" t="n"/>
      <c r="AH360" s="116">
        <f>DADOS_AM!$KN$7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DADOS_AM!$KQ$17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DADOS_AM!$KL$8</f>
        <v/>
      </c>
      <c r="E367" s="17" t="n"/>
      <c r="F367" s="115">
        <f>DADOS_AM!$KM$8</f>
        <v/>
      </c>
      <c r="G367" s="16" t="n"/>
      <c r="H367" s="16" t="n"/>
      <c r="I367" s="16" t="n"/>
      <c r="J367" s="16" t="n"/>
      <c r="K367" s="16" t="n"/>
      <c r="L367" s="16" t="n"/>
      <c r="M367" s="16" t="n"/>
      <c r="N367" s="16" t="n"/>
      <c r="O367" s="16" t="n"/>
      <c r="P367" s="17" t="n"/>
      <c r="Q367" s="41" t="n"/>
      <c r="R367" s="41" t="n"/>
      <c r="S367" s="117">
        <f>DADOS_AM!$KL$9</f>
        <v/>
      </c>
      <c r="T367" s="17" t="n"/>
      <c r="U367" s="115">
        <f>DADOS_AM!$KM$9</f>
        <v/>
      </c>
      <c r="V367" s="16" t="n"/>
      <c r="W367" s="16" t="n"/>
      <c r="X367" s="16" t="n"/>
      <c r="Y367" s="16" t="n"/>
      <c r="Z367" s="16" t="n"/>
      <c r="AA367" s="16" t="n"/>
      <c r="AB367" s="16" t="n"/>
      <c r="AC367" s="16" t="n"/>
      <c r="AD367" s="16" t="n"/>
      <c r="AE367" s="17" t="n"/>
      <c r="AF367" s="41" t="n"/>
      <c r="AG367" s="41" t="n"/>
      <c r="AH367" s="117">
        <f>DADOS_AM!$KL$10</f>
        <v/>
      </c>
      <c r="AI367" s="17" t="n"/>
      <c r="AJ367" s="115">
        <f>DADOS_AM!$KM$10</f>
        <v/>
      </c>
      <c r="AK367" s="16" t="n"/>
      <c r="AL367" s="16" t="n"/>
      <c r="AM367" s="16" t="n"/>
      <c r="AN367" s="16" t="n"/>
      <c r="AO367" s="16" t="n"/>
      <c r="AP367" s="16" t="n"/>
      <c r="AQ367" s="16" t="n"/>
      <c r="AR367" s="16" t="n"/>
      <c r="AS367" s="16" t="n"/>
      <c r="AT367" s="17" t="n"/>
    </row>
    <row r="368" hidden="1" outlineLevel="4">
      <c r="A368" s="8" t="n"/>
      <c r="B368" s="14" t="n"/>
      <c r="C368" s="41" t="n"/>
      <c r="D368" s="116">
        <f>DADOS_AM!$KN$8</f>
        <v/>
      </c>
      <c r="E368" s="19" t="n"/>
      <c r="F368" s="19" t="n"/>
      <c r="G368" s="19" t="n"/>
      <c r="H368" s="19" t="n"/>
      <c r="I368" s="19" t="n"/>
      <c r="J368" s="19" t="n"/>
      <c r="K368" s="19" t="n"/>
      <c r="L368" s="19" t="n"/>
      <c r="M368" s="19" t="n"/>
      <c r="N368" s="19" t="n"/>
      <c r="O368" s="19" t="n"/>
      <c r="P368" s="20" t="n"/>
      <c r="Q368" s="41" t="n"/>
      <c r="R368" s="41" t="n"/>
      <c r="S368" s="116">
        <f>DADOS_AM!$KN$9</f>
        <v/>
      </c>
      <c r="T368" s="19" t="n"/>
      <c r="U368" s="19" t="n"/>
      <c r="V368" s="19" t="n"/>
      <c r="W368" s="19" t="n"/>
      <c r="X368" s="19" t="n"/>
      <c r="Y368" s="19" t="n"/>
      <c r="Z368" s="19" t="n"/>
      <c r="AA368" s="19" t="n"/>
      <c r="AB368" s="19" t="n"/>
      <c r="AC368" s="19" t="n"/>
      <c r="AD368" s="19" t="n"/>
      <c r="AE368" s="20" t="n"/>
      <c r="AF368" s="41" t="n"/>
      <c r="AG368" s="41" t="n"/>
      <c r="AH368" s="116">
        <f>DADOS_AM!$KN$10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DADOS_AM!$KL$11</f>
        <v/>
      </c>
      <c r="E375" s="17" t="n"/>
      <c r="F375" s="115">
        <f>DADOS_AM!$KM$11</f>
        <v/>
      </c>
      <c r="G375" s="16" t="n"/>
      <c r="H375" s="16" t="n"/>
      <c r="I375" s="16" t="n"/>
      <c r="J375" s="16" t="n"/>
      <c r="K375" s="16" t="n"/>
      <c r="L375" s="16" t="n"/>
      <c r="M375" s="16" t="n"/>
      <c r="N375" s="16" t="n"/>
      <c r="O375" s="16" t="n"/>
      <c r="P375" s="17" t="n"/>
      <c r="Q375" s="41" t="n"/>
      <c r="R375" s="41" t="n"/>
      <c r="S375" s="117">
        <f>DADOS_AM!$KL$12</f>
        <v/>
      </c>
      <c r="T375" s="17" t="n"/>
      <c r="U375" s="115">
        <f>DADOS_AM!$KM$12</f>
        <v/>
      </c>
      <c r="V375" s="16" t="n"/>
      <c r="W375" s="16" t="n"/>
      <c r="X375" s="16" t="n"/>
      <c r="Y375" s="16" t="n"/>
      <c r="Z375" s="16" t="n"/>
      <c r="AA375" s="16" t="n"/>
      <c r="AB375" s="16" t="n"/>
      <c r="AC375" s="16" t="n"/>
      <c r="AD375" s="16" t="n"/>
      <c r="AE375" s="17" t="n"/>
      <c r="AF375" s="41" t="n"/>
      <c r="AG375" s="41" t="n"/>
      <c r="AH375" s="117">
        <f>DADOS_AM!$KL$13</f>
        <v/>
      </c>
      <c r="AI375" s="17" t="n"/>
      <c r="AJ375" s="115">
        <f>DADOS_AM!$KM$13</f>
        <v/>
      </c>
      <c r="AK375" s="16" t="n"/>
      <c r="AL375" s="16" t="n"/>
      <c r="AM375" s="16" t="n"/>
      <c r="AN375" s="16" t="n"/>
      <c r="AO375" s="16" t="n"/>
      <c r="AP375" s="16" t="n"/>
      <c r="AQ375" s="16" t="n"/>
      <c r="AR375" s="16" t="n"/>
      <c r="AS375" s="16" t="n"/>
      <c r="AT375" s="17" t="n"/>
    </row>
    <row r="376" hidden="1" outlineLevel="4">
      <c r="A376" s="8" t="n"/>
      <c r="B376" s="14" t="n"/>
      <c r="C376" s="41" t="n"/>
      <c r="D376" s="116">
        <f>DADOS_AM!$KN$11</f>
        <v/>
      </c>
      <c r="E376" s="19" t="n"/>
      <c r="F376" s="19" t="n"/>
      <c r="G376" s="19" t="n"/>
      <c r="H376" s="19" t="n"/>
      <c r="I376" s="19" t="n"/>
      <c r="J376" s="19" t="n"/>
      <c r="K376" s="19" t="n"/>
      <c r="L376" s="19" t="n"/>
      <c r="M376" s="19" t="n"/>
      <c r="N376" s="19" t="n"/>
      <c r="O376" s="19" t="n"/>
      <c r="P376" s="20" t="n"/>
      <c r="Q376" s="41" t="n"/>
      <c r="R376" s="41" t="n"/>
      <c r="S376" s="116">
        <f>DADOS_AM!$KN$12</f>
        <v/>
      </c>
      <c r="T376" s="19" t="n"/>
      <c r="U376" s="19" t="n"/>
      <c r="V376" s="19" t="n"/>
      <c r="W376" s="19" t="n"/>
      <c r="X376" s="19" t="n"/>
      <c r="Y376" s="19" t="n"/>
      <c r="Z376" s="19" t="n"/>
      <c r="AA376" s="19" t="n"/>
      <c r="AB376" s="19" t="n"/>
      <c r="AC376" s="19" t="n"/>
      <c r="AD376" s="19" t="n"/>
      <c r="AE376" s="20" t="n"/>
      <c r="AF376" s="41" t="n"/>
      <c r="AG376" s="41" t="n"/>
      <c r="AH376" s="116">
        <f>DADOS_AM!$KN$13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DADOS_AM!$KQ$18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DADOS_AM!$KL$14</f>
        <v/>
      </c>
      <c r="E383" s="17" t="n"/>
      <c r="F383" s="115">
        <f>DADOS_AM!$KM$14</f>
        <v/>
      </c>
      <c r="G383" s="16" t="n"/>
      <c r="H383" s="16" t="n"/>
      <c r="I383" s="16" t="n"/>
      <c r="J383" s="16" t="n"/>
      <c r="K383" s="16" t="n"/>
      <c r="L383" s="16" t="n"/>
      <c r="M383" s="16" t="n"/>
      <c r="N383" s="16" t="n"/>
      <c r="O383" s="16" t="n"/>
      <c r="P383" s="17" t="n"/>
      <c r="Q383" s="41" t="n"/>
      <c r="R383" s="41" t="n"/>
      <c r="S383" s="117">
        <f>DADOS_AM!$KL$15</f>
        <v/>
      </c>
      <c r="T383" s="17" t="n"/>
      <c r="U383" s="115">
        <f>DADOS_AM!$KM$15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DADOS_AM!$KN$14</f>
        <v/>
      </c>
      <c r="E384" s="19" t="n"/>
      <c r="F384" s="19" t="n"/>
      <c r="G384" s="19" t="n"/>
      <c r="H384" s="19" t="n"/>
      <c r="I384" s="19" t="n"/>
      <c r="J384" s="19" t="n"/>
      <c r="K384" s="19" t="n"/>
      <c r="L384" s="19" t="n"/>
      <c r="M384" s="19" t="n"/>
      <c r="N384" s="19" t="n"/>
      <c r="O384" s="19" t="n"/>
      <c r="P384" s="20" t="n"/>
      <c r="Q384" s="41" t="n"/>
      <c r="R384" s="41" t="n"/>
      <c r="S384" s="116">
        <f>DADOS_AM!$KN$15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DADOS_AM!$KT$2</f>
        <v/>
      </c>
      <c r="E12" s="19" t="n"/>
      <c r="F12" s="19" t="n"/>
      <c r="G12" s="19" t="n"/>
      <c r="H12" s="20" t="n"/>
      <c r="I12" s="120" t="n"/>
      <c r="J12" s="83" t="n"/>
      <c r="K12" s="20" t="n"/>
      <c r="L12" s="83">
        <f>DADOS_AM!$KT$3</f>
        <v/>
      </c>
      <c r="M12" s="19" t="n"/>
      <c r="N12" s="20" t="n"/>
      <c r="O12" s="120" t="n"/>
      <c r="P12" s="92">
        <f>DADOS_AM!$KT$4</f>
        <v/>
      </c>
      <c r="Q12" s="20" t="n"/>
      <c r="R12" s="92">
        <f>DADOS_AM!$KT$5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DADOS_AM!$KT$6</f>
        <v/>
      </c>
      <c r="K15" s="16" t="n"/>
      <c r="L15" s="16" t="n"/>
      <c r="M15" s="16" t="n"/>
      <c r="N15" s="17" t="n"/>
      <c r="O15" s="120" t="n"/>
      <c r="P15" s="55">
        <f>DADOS_AM!$KT$7</f>
        <v/>
      </c>
      <c r="Q15" s="16" t="n"/>
      <c r="R15" s="16" t="n"/>
      <c r="S15" s="16" t="n"/>
      <c r="T15" s="17" t="n"/>
      <c r="U15" s="120" t="n"/>
    </row>
    <row r="16" outlineLevel="1">
      <c r="B16" s="22" t="n"/>
      <c r="C16" s="120" t="n"/>
      <c r="D16" s="124">
        <f>DADOS_AM!$KT$8</f>
        <v/>
      </c>
      <c r="E16" s="16" t="n"/>
      <c r="F16" s="16" t="n"/>
      <c r="G16" s="16" t="n"/>
      <c r="H16" s="17" t="n"/>
      <c r="I16" s="120" t="n"/>
      <c r="J16" s="124" t="n"/>
      <c r="K16" s="16" t="n"/>
      <c r="L16" s="16" t="n"/>
      <c r="M16" s="16" t="n"/>
      <c r="N16" s="17" t="n"/>
      <c r="O16" s="120" t="n"/>
      <c r="P16" s="124">
        <f>DADOS_AM!$KT$9</f>
        <v/>
      </c>
      <c r="Q16" s="16" t="n"/>
      <c r="R16" s="16" t="n"/>
      <c r="S16" s="16" t="n"/>
      <c r="T16" s="17" t="n"/>
      <c r="U16" s="120" t="n"/>
    </row>
    <row r="17" outlineLevel="1">
      <c r="B17" s="22" t="n"/>
      <c r="C17" s="120" t="n"/>
      <c r="D17" s="55">
        <f>DADOS_AM!$KT$10</f>
        <v/>
      </c>
      <c r="E17" s="16" t="n"/>
      <c r="F17" s="16" t="n"/>
      <c r="G17" s="16" t="n"/>
      <c r="H17" s="17" t="n"/>
      <c r="I17" s="120" t="n"/>
      <c r="J17" s="55">
        <f>DADOS_AM!$KT$12</f>
        <v/>
      </c>
      <c r="K17" s="16" t="n"/>
      <c r="L17" s="16" t="n"/>
      <c r="M17" s="16" t="n"/>
      <c r="N17" s="17" t="n"/>
      <c r="O17" s="120" t="n"/>
      <c r="P17" s="55">
        <f>DADOS_AM!$KT$14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DADOS_AM!$KT$11</f>
        <v/>
      </c>
      <c r="E19" s="16" t="n"/>
      <c r="F19" s="16" t="n"/>
      <c r="G19" s="16" t="n"/>
      <c r="H19" s="17" t="n"/>
      <c r="I19" s="120" t="n"/>
      <c r="J19" s="124">
        <f>DADOS_AM!$KT$13</f>
        <v/>
      </c>
      <c r="K19" s="16" t="n"/>
      <c r="L19" s="16" t="n"/>
      <c r="M19" s="16" t="n"/>
      <c r="N19" s="17" t="n"/>
      <c r="O19" s="120" t="n"/>
      <c r="P19" s="124">
        <f>DADOS_AM!$KT$15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DADOS_AM!$KT$17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DADOS_AM!$KT$18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DADOS_AM!$KT$20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DADOS_AM!$HK$4</f>
        <v/>
      </c>
      <c r="E42" s="20" t="n"/>
      <c r="F42" s="92">
        <f>DADOS_AM!$HK$14</f>
        <v/>
      </c>
      <c r="G42" s="19" t="n"/>
      <c r="H42" s="20" t="n"/>
      <c r="I42" s="120" t="n"/>
      <c r="J42" s="92">
        <f>DADOS_AM!$KT$19</f>
        <v/>
      </c>
      <c r="K42" s="20" t="n"/>
      <c r="L42" s="92">
        <f>DADOS_AM!$HK$15</f>
        <v/>
      </c>
      <c r="M42" s="19" t="n"/>
      <c r="N42" s="20" t="n"/>
      <c r="O42" s="120" t="n"/>
      <c r="P42" s="92">
        <f>DADOS_AM!$KT$21</f>
        <v/>
      </c>
      <c r="Q42" s="92">
        <f>DADOS_AM!$KT$22</f>
        <v/>
      </c>
      <c r="R42" s="92">
        <f>DADOS_AM!$KT$23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DADOS_AM!$KT$24</f>
        <v/>
      </c>
      <c r="F46" s="124">
        <f>DADOS_AM!$KT$25</f>
        <v/>
      </c>
      <c r="G46" s="124">
        <f>DADOS_AM!$KT$26</f>
        <v/>
      </c>
      <c r="H46" s="17" t="n"/>
      <c r="I46" s="120" t="n"/>
      <c r="J46" s="124">
        <f>DADOS_AM!$KT$27</f>
        <v/>
      </c>
      <c r="K46" s="124">
        <f>DADOS_AM!$KT$28</f>
        <v/>
      </c>
      <c r="L46" s="124">
        <f>DADOS_AM!$KT$29</f>
        <v/>
      </c>
      <c r="M46" s="124">
        <f>DADOS_AM!$KT$30</f>
        <v/>
      </c>
      <c r="N46" s="17" t="n"/>
      <c r="O46" s="120" t="n"/>
      <c r="P46" s="124">
        <f>DADOS_AM!$KT$31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DADOS_AM!$KT$32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DADOS_AM!$GN$2</f>
        <v/>
      </c>
      <c r="H51" s="17" t="n"/>
      <c r="I51" s="120" t="n"/>
      <c r="J51" s="127" t="n">
        <v>1</v>
      </c>
      <c r="K51" s="115" t="n"/>
      <c r="L51" s="17" t="n"/>
      <c r="M51" s="128">
        <f>DADOS_AM!$GN$3</f>
        <v/>
      </c>
      <c r="N51" s="17" t="n"/>
      <c r="O51" s="120" t="n"/>
      <c r="P51" s="127" t="n">
        <v>1</v>
      </c>
      <c r="Q51" s="115" t="n"/>
      <c r="R51" s="17" t="n"/>
      <c r="S51" s="128">
        <f>DADOS_AM!$GN$4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DADOS_AM!$GS$2</f>
        <v/>
      </c>
      <c r="F58" s="68">
        <f>DADOS_AM!$GP$2</f>
        <v/>
      </c>
      <c r="G58" s="124">
        <f>DADOS_AM!$GR$2</f>
        <v/>
      </c>
      <c r="H58" s="17" t="n"/>
      <c r="I58" s="120" t="n"/>
      <c r="J58" s="124" t="inlineStr">
        <is>
          <t>Projétil</t>
        </is>
      </c>
      <c r="K58" s="68">
        <f>DADOS_AM!$GS$3</f>
        <v/>
      </c>
      <c r="L58" s="68">
        <f>DADOS_AM!$GP$3</f>
        <v/>
      </c>
      <c r="M58" s="124">
        <f>DADOS_AM!$GR$3</f>
        <v/>
      </c>
      <c r="N58" s="17" t="n"/>
      <c r="O58" s="120" t="n"/>
      <c r="P58" s="124" t="inlineStr">
        <is>
          <t>Projétil</t>
        </is>
      </c>
      <c r="Q58" s="68">
        <f>DADOS_AM!$GS$4</f>
        <v/>
      </c>
      <c r="R58" s="68">
        <f>DADOS_AM!$GP$4</f>
        <v/>
      </c>
      <c r="S58" s="124">
        <f>DADOS_AM!$GR$4</f>
        <v/>
      </c>
      <c r="T58" s="17" t="n"/>
      <c r="U58" s="120" t="n"/>
    </row>
    <row r="59" outlineLevel="1">
      <c r="A59" s="8" t="n"/>
      <c r="B59" s="14" t="n"/>
      <c r="C59" s="120" t="n"/>
      <c r="D59" s="124">
        <f>DADOS_AM!$GQ$2</f>
        <v/>
      </c>
      <c r="E59" s="129">
        <f>DADOS_AM!$GX$2</f>
        <v/>
      </c>
      <c r="F59" s="16" t="n"/>
      <c r="G59" s="16" t="n"/>
      <c r="H59" s="17" t="n"/>
      <c r="I59" s="120" t="n"/>
      <c r="J59" s="124">
        <f>DADOS_AM!$GQ$3</f>
        <v/>
      </c>
      <c r="K59" s="129">
        <f>DADOS_AM!$GX$3</f>
        <v/>
      </c>
      <c r="L59" s="16" t="n"/>
      <c r="M59" s="16" t="n"/>
      <c r="N59" s="17" t="n"/>
      <c r="O59" s="120" t="n"/>
      <c r="P59" s="124">
        <f>DADOS_AM!$GQ$4</f>
        <v/>
      </c>
      <c r="Q59" s="129">
        <f>DADOS_AM!$GX$4</f>
        <v/>
      </c>
      <c r="R59" s="16" t="n"/>
      <c r="S59" s="16" t="n"/>
      <c r="T59" s="17" t="n"/>
      <c r="U59" s="120" t="n"/>
    </row>
    <row r="60" outlineLevel="2">
      <c r="A60" s="8" t="n"/>
      <c r="B60" s="14" t="n"/>
      <c r="C60" s="120" t="n"/>
      <c r="D60" s="55" t="inlineStr">
        <is>
          <t>MELHORIAS</t>
        </is>
      </c>
      <c r="E60" s="130" t="n"/>
      <c r="F60" s="17" t="n"/>
      <c r="G60" s="129">
        <f>DADOS_AM!$HA$2</f>
        <v/>
      </c>
      <c r="H60" s="17" t="n"/>
      <c r="I60" s="120" t="n"/>
      <c r="J60" s="55" t="inlineStr">
        <is>
          <t>MELHORIAS</t>
        </is>
      </c>
      <c r="K60" s="130" t="n"/>
      <c r="L60" s="17" t="n"/>
      <c r="M60" s="129">
        <f>DADOS_AM!$HA$3</f>
        <v/>
      </c>
      <c r="N60" s="17" t="n"/>
      <c r="O60" s="120" t="n"/>
      <c r="P60" s="55" t="inlineStr">
        <is>
          <t>MELHORIAS</t>
        </is>
      </c>
      <c r="Q60" s="130" t="n"/>
      <c r="R60" s="17" t="n"/>
      <c r="S60" s="129">
        <f>DADOS_AM!$HA$4</f>
        <v/>
      </c>
      <c r="T60" s="17" t="n"/>
      <c r="U60" s="120" t="n"/>
    </row>
    <row r="61" outlineLevel="2">
      <c r="A61" s="8" t="n"/>
      <c r="B61" s="14" t="n"/>
      <c r="C61" s="120" t="n"/>
      <c r="D61" s="131" t="n"/>
      <c r="E61" s="130" t="n"/>
      <c r="F61" s="17" t="n"/>
      <c r="G61" s="129">
        <f>DADOS_AM!$HB$2</f>
        <v/>
      </c>
      <c r="H61" s="17" t="n"/>
      <c r="I61" s="120" t="n"/>
      <c r="J61" s="131" t="n"/>
      <c r="K61" s="130" t="n"/>
      <c r="L61" s="17" t="n"/>
      <c r="M61" s="129">
        <f>DADOS_AM!$HB$3</f>
        <v/>
      </c>
      <c r="N61" s="17" t="n"/>
      <c r="O61" s="120" t="n"/>
      <c r="P61" s="131" t="n"/>
      <c r="Q61" s="130" t="n"/>
      <c r="R61" s="17" t="n"/>
      <c r="S61" s="129">
        <f>DADOS_AM!$HB$4</f>
        <v/>
      </c>
      <c r="T61" s="17" t="n"/>
      <c r="U61" s="120" t="n"/>
    </row>
    <row r="62" outlineLevel="2">
      <c r="A62" s="8" t="n"/>
      <c r="B62" s="14" t="n"/>
      <c r="C62" s="120" t="n"/>
      <c r="D62" s="131" t="n"/>
      <c r="E62" s="130" t="n"/>
      <c r="F62" s="17" t="n"/>
      <c r="G62" s="129">
        <f>DADOS_AM!$HC$2</f>
        <v/>
      </c>
      <c r="H62" s="17" t="n"/>
      <c r="I62" s="120" t="n"/>
      <c r="J62" s="131" t="n"/>
      <c r="K62" s="130" t="n"/>
      <c r="L62" s="17" t="n"/>
      <c r="M62" s="129">
        <f>DADOS_AM!$HC$3</f>
        <v/>
      </c>
      <c r="N62" s="17" t="n"/>
      <c r="O62" s="120" t="n"/>
      <c r="P62" s="131" t="n"/>
      <c r="Q62" s="130" t="n"/>
      <c r="R62" s="17" t="n"/>
      <c r="S62" s="129">
        <f>DADOS_AM!$HC$4</f>
        <v/>
      </c>
      <c r="T62" s="17" t="n"/>
      <c r="U62" s="120" t="n"/>
    </row>
    <row r="63" outlineLevel="2">
      <c r="A63" s="8" t="n"/>
      <c r="B63" s="14" t="n"/>
      <c r="C63" s="120" t="n"/>
      <c r="D63" s="125" t="n"/>
      <c r="E63" s="130" t="n"/>
      <c r="F63" s="17" t="n"/>
      <c r="G63" s="129">
        <f>DADOS_AM!$HD$2</f>
        <v/>
      </c>
      <c r="H63" s="17" t="n"/>
      <c r="I63" s="120" t="n"/>
      <c r="J63" s="125" t="n"/>
      <c r="K63" s="130" t="n"/>
      <c r="L63" s="17" t="n"/>
      <c r="M63" s="129">
        <f>DADOS_AM!$HD$3</f>
        <v/>
      </c>
      <c r="N63" s="17" t="n"/>
      <c r="O63" s="120" t="n"/>
      <c r="P63" s="125" t="n"/>
      <c r="Q63" s="130" t="n"/>
      <c r="R63" s="17" t="n"/>
      <c r="S63" s="129">
        <f>DADOS_AM!$HD$4</f>
        <v/>
      </c>
      <c r="T63" s="17" t="n"/>
      <c r="U63" s="120" t="n"/>
    </row>
    <row r="64" outlineLevel="2">
      <c r="A64" s="8" t="n"/>
      <c r="B64" s="14" t="n"/>
      <c r="C64" s="120" t="n"/>
      <c r="D64" s="55" t="inlineStr">
        <is>
          <t>RESTRIÇÕES</t>
        </is>
      </c>
      <c r="E64" s="130" t="n"/>
      <c r="F64" s="17" t="n"/>
      <c r="G64" s="129">
        <f>DADOS_AM!$HE$2</f>
        <v/>
      </c>
      <c r="H64" s="17" t="n"/>
      <c r="I64" s="120" t="n"/>
      <c r="J64" s="55" t="inlineStr">
        <is>
          <t>RESTRIÇÕES</t>
        </is>
      </c>
      <c r="K64" s="130" t="n"/>
      <c r="L64" s="17" t="n"/>
      <c r="M64" s="129">
        <f>DADOS_AM!$HE$3</f>
        <v/>
      </c>
      <c r="N64" s="17" t="n"/>
      <c r="O64" s="120" t="n"/>
      <c r="P64" s="55" t="inlineStr">
        <is>
          <t>RESTRIÇÕES</t>
        </is>
      </c>
      <c r="Q64" s="130" t="n"/>
      <c r="R64" s="17" t="n"/>
      <c r="S64" s="129">
        <f>DADOS_AM!$HE$4</f>
        <v/>
      </c>
      <c r="T64" s="17" t="n"/>
      <c r="U64" s="120" t="n"/>
    </row>
    <row r="65" outlineLevel="2">
      <c r="A65" s="8" t="n"/>
      <c r="B65" s="14" t="n"/>
      <c r="C65" s="120" t="n"/>
      <c r="D65" s="125" t="n"/>
      <c r="E65" s="130" t="n"/>
      <c r="F65" s="17" t="n"/>
      <c r="G65" s="129">
        <f>DADOS_AM!$HF$2</f>
        <v/>
      </c>
      <c r="H65" s="17" t="n"/>
      <c r="I65" s="120" t="n"/>
      <c r="J65" s="125" t="n"/>
      <c r="K65" s="130" t="n"/>
      <c r="L65" s="17" t="n"/>
      <c r="M65" s="129">
        <f>DADOS_AM!$HF$3</f>
        <v/>
      </c>
      <c r="N65" s="17" t="n"/>
      <c r="O65" s="120" t="n"/>
      <c r="P65" s="125" t="n"/>
      <c r="Q65" s="130" t="n"/>
      <c r="R65" s="17" t="n"/>
      <c r="S65" s="129">
        <f>DADOS_AM!$HF$4</f>
        <v/>
      </c>
      <c r="T65" s="17" t="n"/>
      <c r="U65" s="120" t="n"/>
    </row>
    <row r="66" outlineLevel="2">
      <c r="A66" s="8" t="n"/>
      <c r="B66" s="14" t="n"/>
      <c r="C66" s="120" t="n"/>
      <c r="D66" s="55" t="inlineStr">
        <is>
          <t>CONTA</t>
        </is>
      </c>
      <c r="E66" s="132">
        <f>DADOS_AM!$GY$2</f>
        <v/>
      </c>
      <c r="F66" s="16" t="n"/>
      <c r="G66" s="16" t="n"/>
      <c r="H66" s="17" t="n"/>
      <c r="I66" s="120" t="n"/>
      <c r="J66" s="55" t="inlineStr">
        <is>
          <t>CONTA</t>
        </is>
      </c>
      <c r="K66" s="132">
        <f>DADOS_AM!$GY$3</f>
        <v/>
      </c>
      <c r="L66" s="16" t="n"/>
      <c r="M66" s="16" t="n"/>
      <c r="N66" s="17" t="n"/>
      <c r="O66" s="120" t="n"/>
      <c r="P66" s="55" t="inlineStr">
        <is>
          <t>CONTA</t>
        </is>
      </c>
      <c r="Q66" s="132">
        <f>DADOS_AM!$GY$4</f>
        <v/>
      </c>
      <c r="R66" s="16" t="n"/>
      <c r="S66" s="16" t="n"/>
      <c r="T66" s="17" t="n"/>
      <c r="U66" s="120" t="n"/>
    </row>
    <row r="67" outlineLevel="2">
      <c r="A67" s="8" t="n"/>
      <c r="B67" s="14" t="n"/>
      <c r="C67" s="120" t="n"/>
      <c r="D67" s="55" t="inlineStr">
        <is>
          <t>AMPLIAR</t>
        </is>
      </c>
      <c r="E67" s="132">
        <f>DADOS_AM!$GZ$2</f>
        <v/>
      </c>
      <c r="F67" s="19" t="n"/>
      <c r="G67" s="19" t="n"/>
      <c r="H67" s="20" t="n"/>
      <c r="I67" s="120" t="n"/>
      <c r="J67" s="55" t="inlineStr">
        <is>
          <t>AMPLIAR</t>
        </is>
      </c>
      <c r="K67" s="132">
        <f>DADOS_AM!$GZ$3</f>
        <v/>
      </c>
      <c r="L67" s="19" t="n"/>
      <c r="M67" s="19" t="n"/>
      <c r="N67" s="20" t="n"/>
      <c r="O67" s="120" t="n"/>
      <c r="P67" s="55" t="inlineStr">
        <is>
          <t>AMPLIAR</t>
        </is>
      </c>
      <c r="Q67" s="132">
        <f>DADOS_AM!$GZ$4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DADOS_AM!$GO$2</f>
        <v/>
      </c>
      <c r="F69" s="19" t="n"/>
      <c r="G69" s="19" t="n"/>
      <c r="H69" s="20" t="n"/>
      <c r="I69" s="120" t="n"/>
      <c r="J69" s="55" t="inlineStr">
        <is>
          <t>AVISOS</t>
        </is>
      </c>
      <c r="K69" s="132">
        <f>DADOS_AM!$GO$3</f>
        <v/>
      </c>
      <c r="L69" s="19" t="n"/>
      <c r="M69" s="19" t="n"/>
      <c r="N69" s="20" t="n"/>
      <c r="O69" s="120" t="n"/>
      <c r="P69" s="55" t="inlineStr">
        <is>
          <t>AVISOS</t>
        </is>
      </c>
      <c r="Q69" s="132">
        <f>DADOS_AM!$GO$4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DADOS_AM!$GN$5</f>
        <v/>
      </c>
      <c r="H72" s="17" t="n"/>
      <c r="I72" s="120" t="n"/>
      <c r="J72" s="127" t="n">
        <v>1</v>
      </c>
      <c r="K72" s="115" t="n"/>
      <c r="L72" s="17" t="n"/>
      <c r="M72" s="128">
        <f>DADOS_AM!$GN$6</f>
        <v/>
      </c>
      <c r="N72" s="17" t="n"/>
      <c r="O72" s="120" t="n"/>
      <c r="P72" s="127" t="n">
        <v>1</v>
      </c>
      <c r="Q72" s="115" t="n"/>
      <c r="R72" s="17" t="n"/>
      <c r="S72" s="128">
        <f>DADOS_AM!$GN$7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DADOS_AM!$GS$5</f>
        <v/>
      </c>
      <c r="F79" s="68">
        <f>DADOS_AM!$GP$5</f>
        <v/>
      </c>
      <c r="G79" s="124">
        <f>DADOS_AM!$GR$5</f>
        <v/>
      </c>
      <c r="H79" s="17" t="n"/>
      <c r="I79" s="120" t="n"/>
      <c r="J79" s="124" t="inlineStr">
        <is>
          <t>Projétil</t>
        </is>
      </c>
      <c r="K79" s="68">
        <f>DADOS_AM!$GS$6</f>
        <v/>
      </c>
      <c r="L79" s="68">
        <f>DADOS_AM!$GP$6</f>
        <v/>
      </c>
      <c r="M79" s="124">
        <f>DADOS_AM!$GR$6</f>
        <v/>
      </c>
      <c r="N79" s="17" t="n"/>
      <c r="O79" s="120" t="n"/>
      <c r="P79" s="124" t="inlineStr">
        <is>
          <t>Projétil</t>
        </is>
      </c>
      <c r="Q79" s="68">
        <f>DADOS_AM!$GS$7</f>
        <v/>
      </c>
      <c r="R79" s="68">
        <f>DADOS_AM!$GP$7</f>
        <v/>
      </c>
      <c r="S79" s="124">
        <f>DADOS_AM!$GR$7</f>
        <v/>
      </c>
      <c r="T79" s="17" t="n"/>
      <c r="U79" s="120" t="n"/>
    </row>
    <row r="80" outlineLevel="1">
      <c r="A80" s="8" t="n"/>
      <c r="B80" s="14" t="n"/>
      <c r="C80" s="120" t="n"/>
      <c r="D80" s="124">
        <f>DADOS_AM!$GQ$5</f>
        <v/>
      </c>
      <c r="E80" s="129">
        <f>DADOS_AM!$GX$5</f>
        <v/>
      </c>
      <c r="F80" s="16" t="n"/>
      <c r="G80" s="16" t="n"/>
      <c r="H80" s="17" t="n"/>
      <c r="I80" s="120" t="n"/>
      <c r="J80" s="124">
        <f>DADOS_AM!$GQ$6</f>
        <v/>
      </c>
      <c r="K80" s="129">
        <f>DADOS_AM!$GX$6</f>
        <v/>
      </c>
      <c r="L80" s="16" t="n"/>
      <c r="M80" s="16" t="n"/>
      <c r="N80" s="17" t="n"/>
      <c r="O80" s="120" t="n"/>
      <c r="P80" s="124">
        <f>DADOS_AM!$GQ$7</f>
        <v/>
      </c>
      <c r="Q80" s="129">
        <f>DADOS_AM!$GX$7</f>
        <v/>
      </c>
      <c r="R80" s="16" t="n"/>
      <c r="S80" s="16" t="n"/>
      <c r="T80" s="17" t="n"/>
      <c r="U80" s="120" t="n"/>
    </row>
    <row r="81" hidden="1" outlineLevel="2">
      <c r="A81" s="8" t="n"/>
      <c r="B81" s="14" t="n"/>
      <c r="C81" s="120" t="n"/>
      <c r="D81" s="55" t="inlineStr">
        <is>
          <t>MELHORIAS</t>
        </is>
      </c>
      <c r="E81" s="130" t="n"/>
      <c r="F81" s="17" t="n"/>
      <c r="G81" s="129">
        <f>DADOS_AM!$HA$5</f>
        <v/>
      </c>
      <c r="H81" s="17" t="n"/>
      <c r="I81" s="120" t="n"/>
      <c r="J81" s="55" t="inlineStr">
        <is>
          <t>MELHORIAS</t>
        </is>
      </c>
      <c r="K81" s="130" t="n"/>
      <c r="L81" s="17" t="n"/>
      <c r="M81" s="129">
        <f>DADOS_AM!$HA$6</f>
        <v/>
      </c>
      <c r="N81" s="17" t="n"/>
      <c r="O81" s="120" t="n"/>
      <c r="P81" s="55" t="inlineStr">
        <is>
          <t>MELHORIAS</t>
        </is>
      </c>
      <c r="Q81" s="130" t="n"/>
      <c r="R81" s="17" t="n"/>
      <c r="S81" s="129">
        <f>DADOS_AM!$HA$7</f>
        <v/>
      </c>
      <c r="T81" s="17" t="n"/>
      <c r="U81" s="120" t="n"/>
    </row>
    <row r="82" hidden="1" outlineLevel="2">
      <c r="A82" s="8" t="n"/>
      <c r="B82" s="14" t="n"/>
      <c r="C82" s="120" t="n"/>
      <c r="D82" s="131" t="n"/>
      <c r="E82" s="130" t="n"/>
      <c r="F82" s="17" t="n"/>
      <c r="G82" s="129">
        <f>DADOS_AM!$HB$5</f>
        <v/>
      </c>
      <c r="H82" s="17" t="n"/>
      <c r="I82" s="120" t="n"/>
      <c r="J82" s="131" t="n"/>
      <c r="K82" s="130" t="n"/>
      <c r="L82" s="17" t="n"/>
      <c r="M82" s="129">
        <f>DADOS_AM!$HB$6</f>
        <v/>
      </c>
      <c r="N82" s="17" t="n"/>
      <c r="O82" s="120" t="n"/>
      <c r="P82" s="131" t="n"/>
      <c r="Q82" s="130" t="n"/>
      <c r="R82" s="17" t="n"/>
      <c r="S82" s="129">
        <f>DADOS_AM!$HB$7</f>
        <v/>
      </c>
      <c r="T82" s="17" t="n"/>
      <c r="U82" s="120" t="n"/>
    </row>
    <row r="83" hidden="1" outlineLevel="2">
      <c r="A83" s="8" t="n"/>
      <c r="B83" s="14" t="n"/>
      <c r="C83" s="120" t="n"/>
      <c r="D83" s="131" t="n"/>
      <c r="E83" s="130" t="n"/>
      <c r="F83" s="17" t="n"/>
      <c r="G83" s="129">
        <f>DADOS_AM!$HC$5</f>
        <v/>
      </c>
      <c r="H83" s="17" t="n"/>
      <c r="I83" s="120" t="n"/>
      <c r="J83" s="131" t="n"/>
      <c r="K83" s="130" t="n"/>
      <c r="L83" s="17" t="n"/>
      <c r="M83" s="129">
        <f>DADOS_AM!$HC$6</f>
        <v/>
      </c>
      <c r="N83" s="17" t="n"/>
      <c r="O83" s="120" t="n"/>
      <c r="P83" s="131" t="n"/>
      <c r="Q83" s="130" t="n"/>
      <c r="R83" s="17" t="n"/>
      <c r="S83" s="129">
        <f>DADOS_AM!$HC$7</f>
        <v/>
      </c>
      <c r="T83" s="17" t="n"/>
      <c r="U83" s="120" t="n"/>
    </row>
    <row r="84" hidden="1" outlineLevel="2">
      <c r="A84" s="8" t="n"/>
      <c r="B84" s="14" t="n"/>
      <c r="C84" s="120" t="n"/>
      <c r="D84" s="125" t="n"/>
      <c r="E84" s="130" t="n"/>
      <c r="F84" s="17" t="n"/>
      <c r="G84" s="129">
        <f>DADOS_AM!$HD$5</f>
        <v/>
      </c>
      <c r="H84" s="17" t="n"/>
      <c r="I84" s="120" t="n"/>
      <c r="J84" s="125" t="n"/>
      <c r="K84" s="130" t="n"/>
      <c r="L84" s="17" t="n"/>
      <c r="M84" s="129">
        <f>DADOS_AM!$HD$6</f>
        <v/>
      </c>
      <c r="N84" s="17" t="n"/>
      <c r="O84" s="120" t="n"/>
      <c r="P84" s="125" t="n"/>
      <c r="Q84" s="130" t="n"/>
      <c r="R84" s="17" t="n"/>
      <c r="S84" s="129">
        <f>DADOS_AM!$HD$7</f>
        <v/>
      </c>
      <c r="T84" s="17" t="n"/>
      <c r="U84" s="120" t="n"/>
    </row>
    <row r="85" hidden="1" outlineLevel="2">
      <c r="A85" s="8" t="n"/>
      <c r="B85" s="14" t="n"/>
      <c r="C85" s="120" t="n"/>
      <c r="D85" s="55" t="inlineStr">
        <is>
          <t>RESTRIÇÕES</t>
        </is>
      </c>
      <c r="E85" s="130" t="n"/>
      <c r="F85" s="17" t="n"/>
      <c r="G85" s="129">
        <f>DADOS_AM!$HE$5</f>
        <v/>
      </c>
      <c r="H85" s="17" t="n"/>
      <c r="I85" s="120" t="n"/>
      <c r="J85" s="55" t="inlineStr">
        <is>
          <t>RESTRIÇÕES</t>
        </is>
      </c>
      <c r="K85" s="130" t="n"/>
      <c r="L85" s="17" t="n"/>
      <c r="M85" s="129">
        <f>DADOS_AM!$HE$6</f>
        <v/>
      </c>
      <c r="N85" s="17" t="n"/>
      <c r="O85" s="120" t="n"/>
      <c r="P85" s="55" t="inlineStr">
        <is>
          <t>RESTRIÇÕES</t>
        </is>
      </c>
      <c r="Q85" s="130" t="n"/>
      <c r="R85" s="17" t="n"/>
      <c r="S85" s="129">
        <f>DADOS_AM!$HE$7</f>
        <v/>
      </c>
      <c r="T85" s="17" t="n"/>
      <c r="U85" s="120" t="n"/>
    </row>
    <row r="86" hidden="1" outlineLevel="2">
      <c r="A86" s="8" t="n"/>
      <c r="B86" s="14" t="n"/>
      <c r="C86" s="120" t="n"/>
      <c r="D86" s="125" t="n"/>
      <c r="E86" s="130" t="n"/>
      <c r="F86" s="17" t="n"/>
      <c r="G86" s="129">
        <f>DADOS_AM!$HF$5</f>
        <v/>
      </c>
      <c r="H86" s="17" t="n"/>
      <c r="I86" s="120" t="n"/>
      <c r="J86" s="125" t="n"/>
      <c r="K86" s="130" t="n"/>
      <c r="L86" s="17" t="n"/>
      <c r="M86" s="129">
        <f>DADOS_AM!$HF$6</f>
        <v/>
      </c>
      <c r="N86" s="17" t="n"/>
      <c r="O86" s="120" t="n"/>
      <c r="P86" s="125" t="n"/>
      <c r="Q86" s="130" t="n"/>
      <c r="R86" s="17" t="n"/>
      <c r="S86" s="129">
        <f>DADOS_AM!$HF$7</f>
        <v/>
      </c>
      <c r="T86" s="17" t="n"/>
      <c r="U86" s="120" t="n"/>
    </row>
    <row r="87" hidden="1" outlineLevel="2">
      <c r="A87" s="8" t="n"/>
      <c r="B87" s="14" t="n"/>
      <c r="C87" s="120" t="n"/>
      <c r="D87" s="55" t="inlineStr">
        <is>
          <t>CONTA</t>
        </is>
      </c>
      <c r="E87" s="132">
        <f>DADOS_AM!$GY$5</f>
        <v/>
      </c>
      <c r="F87" s="16" t="n"/>
      <c r="G87" s="16" t="n"/>
      <c r="H87" s="17" t="n"/>
      <c r="I87" s="120" t="n"/>
      <c r="J87" s="55" t="inlineStr">
        <is>
          <t>CONTA</t>
        </is>
      </c>
      <c r="K87" s="132">
        <f>DADOS_AM!$GY$6</f>
        <v/>
      </c>
      <c r="L87" s="16" t="n"/>
      <c r="M87" s="16" t="n"/>
      <c r="N87" s="17" t="n"/>
      <c r="O87" s="120" t="n"/>
      <c r="P87" s="55" t="inlineStr">
        <is>
          <t>CONTA</t>
        </is>
      </c>
      <c r="Q87" s="132">
        <f>DADOS_AM!$GY$7</f>
        <v/>
      </c>
      <c r="R87" s="16" t="n"/>
      <c r="S87" s="16" t="n"/>
      <c r="T87" s="17" t="n"/>
      <c r="U87" s="120" t="n"/>
    </row>
    <row r="88" hidden="1" outlineLevel="2">
      <c r="A88" s="8" t="n"/>
      <c r="B88" s="14" t="n"/>
      <c r="C88" s="120" t="n"/>
      <c r="D88" s="55" t="inlineStr">
        <is>
          <t>AMPLIAR</t>
        </is>
      </c>
      <c r="E88" s="132">
        <f>DADOS_AM!$GZ$5</f>
        <v/>
      </c>
      <c r="F88" s="19" t="n"/>
      <c r="G88" s="19" t="n"/>
      <c r="H88" s="20" t="n"/>
      <c r="I88" s="120" t="n"/>
      <c r="J88" s="55" t="inlineStr">
        <is>
          <t>AMPLIAR</t>
        </is>
      </c>
      <c r="K88" s="132">
        <f>DADOS_AM!$GZ$6</f>
        <v/>
      </c>
      <c r="L88" s="19" t="n"/>
      <c r="M88" s="19" t="n"/>
      <c r="N88" s="20" t="n"/>
      <c r="O88" s="120" t="n"/>
      <c r="P88" s="55" t="inlineStr">
        <is>
          <t>AMPLIAR</t>
        </is>
      </c>
      <c r="Q88" s="132">
        <f>DADOS_AM!$GZ$7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DADOS_AM!$GO$5</f>
        <v/>
      </c>
      <c r="F90" s="19" t="n"/>
      <c r="G90" s="19" t="n"/>
      <c r="H90" s="20" t="n"/>
      <c r="I90" s="120" t="n"/>
      <c r="J90" s="55" t="inlineStr">
        <is>
          <t>AVISOS</t>
        </is>
      </c>
      <c r="K90" s="132">
        <f>DADOS_AM!$GO$6</f>
        <v/>
      </c>
      <c r="L90" s="19" t="n"/>
      <c r="M90" s="19" t="n"/>
      <c r="N90" s="20" t="n"/>
      <c r="O90" s="120" t="n"/>
      <c r="P90" s="55" t="inlineStr">
        <is>
          <t>AVISOS</t>
        </is>
      </c>
      <c r="Q90" s="132">
        <f>DADOS_AM!$GO$7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DADOS_AM!$GN$8</f>
        <v/>
      </c>
      <c r="H93" s="17" t="n"/>
      <c r="I93" s="120" t="n"/>
      <c r="J93" s="127" t="n">
        <v>1</v>
      </c>
      <c r="K93" s="115" t="n"/>
      <c r="L93" s="17" t="n"/>
      <c r="M93" s="128">
        <f>DADOS_AM!$GN$9</f>
        <v/>
      </c>
      <c r="N93" s="17" t="n"/>
      <c r="O93" s="120" t="n"/>
      <c r="P93" s="127" t="n">
        <v>1</v>
      </c>
      <c r="Q93" s="115" t="n"/>
      <c r="R93" s="17" t="n"/>
      <c r="S93" s="128">
        <f>DADOS_AM!$GN$10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DADOS_AM!$GS$8</f>
        <v/>
      </c>
      <c r="F100" s="68">
        <f>DADOS_AM!$GP$8</f>
        <v/>
      </c>
      <c r="G100" s="124">
        <f>DADOS_AM!$GR$8</f>
        <v/>
      </c>
      <c r="H100" s="17" t="n"/>
      <c r="I100" s="120" t="n"/>
      <c r="J100" s="124" t="inlineStr">
        <is>
          <t>Projétil</t>
        </is>
      </c>
      <c r="K100" s="68">
        <f>DADOS_AM!$GS$9</f>
        <v/>
      </c>
      <c r="L100" s="68">
        <f>DADOS_AM!$GP$9</f>
        <v/>
      </c>
      <c r="M100" s="124">
        <f>DADOS_AM!$GR$9</f>
        <v/>
      </c>
      <c r="N100" s="17" t="n"/>
      <c r="O100" s="120" t="n"/>
      <c r="P100" s="124" t="inlineStr">
        <is>
          <t>Projétil</t>
        </is>
      </c>
      <c r="Q100" s="68">
        <f>DADOS_AM!$GS$10</f>
        <v/>
      </c>
      <c r="R100" s="68">
        <f>DADOS_AM!$GP$10</f>
        <v/>
      </c>
      <c r="S100" s="124">
        <f>DADOS_AM!$GR$10</f>
        <v/>
      </c>
      <c r="T100" s="17" t="n"/>
      <c r="U100" s="120" t="n"/>
    </row>
    <row r="101" outlineLevel="1">
      <c r="A101" s="8" t="n"/>
      <c r="B101" s="14" t="n"/>
      <c r="C101" s="120" t="n"/>
      <c r="D101" s="124">
        <f>DADOS_AM!$GQ$8</f>
        <v/>
      </c>
      <c r="E101" s="129">
        <f>DADOS_AM!$GX$8</f>
        <v/>
      </c>
      <c r="F101" s="16" t="n"/>
      <c r="G101" s="16" t="n"/>
      <c r="H101" s="17" t="n"/>
      <c r="I101" s="120" t="n"/>
      <c r="J101" s="124">
        <f>DADOS_AM!$GQ$9</f>
        <v/>
      </c>
      <c r="K101" s="129">
        <f>DADOS_AM!$GX$9</f>
        <v/>
      </c>
      <c r="L101" s="16" t="n"/>
      <c r="M101" s="16" t="n"/>
      <c r="N101" s="17" t="n"/>
      <c r="O101" s="120" t="n"/>
      <c r="P101" s="124">
        <f>DADOS_AM!$GQ$10</f>
        <v/>
      </c>
      <c r="Q101" s="129">
        <f>DADOS_AM!$GX$10</f>
        <v/>
      </c>
      <c r="R101" s="16" t="n"/>
      <c r="S101" s="16" t="n"/>
      <c r="T101" s="17" t="n"/>
      <c r="U101" s="120" t="n"/>
    </row>
    <row r="102" hidden="1" outlineLevel="2">
      <c r="A102" s="8" t="n"/>
      <c r="B102" s="14" t="n"/>
      <c r="C102" s="120" t="n"/>
      <c r="D102" s="55" t="inlineStr">
        <is>
          <t>MELHORIAS</t>
        </is>
      </c>
      <c r="E102" s="130" t="n"/>
      <c r="F102" s="17" t="n"/>
      <c r="G102" s="129">
        <f>DADOS_AM!$HA$8</f>
        <v/>
      </c>
      <c r="H102" s="17" t="n"/>
      <c r="I102" s="120" t="n"/>
      <c r="J102" s="55" t="inlineStr">
        <is>
          <t>MELHORIAS</t>
        </is>
      </c>
      <c r="K102" s="130" t="n"/>
      <c r="L102" s="17" t="n"/>
      <c r="M102" s="129">
        <f>DADOS_AM!$HA$9</f>
        <v/>
      </c>
      <c r="N102" s="17" t="n"/>
      <c r="O102" s="120" t="n"/>
      <c r="P102" s="55" t="inlineStr">
        <is>
          <t>MELHORIAS</t>
        </is>
      </c>
      <c r="Q102" s="130" t="n"/>
      <c r="R102" s="17" t="n"/>
      <c r="S102" s="129">
        <f>DADOS_AM!$HA$10</f>
        <v/>
      </c>
      <c r="T102" s="17" t="n"/>
      <c r="U102" s="120" t="n"/>
    </row>
    <row r="103" hidden="1" outlineLevel="2">
      <c r="A103" s="8" t="n"/>
      <c r="B103" s="14" t="n"/>
      <c r="C103" s="120" t="n"/>
      <c r="D103" s="131" t="n"/>
      <c r="E103" s="130" t="n"/>
      <c r="F103" s="17" t="n"/>
      <c r="G103" s="129">
        <f>DADOS_AM!$HB$8</f>
        <v/>
      </c>
      <c r="H103" s="17" t="n"/>
      <c r="I103" s="120" t="n"/>
      <c r="J103" s="131" t="n"/>
      <c r="K103" s="130" t="n"/>
      <c r="L103" s="17" t="n"/>
      <c r="M103" s="129">
        <f>DADOS_AM!$HB$9</f>
        <v/>
      </c>
      <c r="N103" s="17" t="n"/>
      <c r="O103" s="120" t="n"/>
      <c r="P103" s="131" t="n"/>
      <c r="Q103" s="130" t="n"/>
      <c r="R103" s="17" t="n"/>
      <c r="S103" s="129">
        <f>DADOS_AM!$HB$10</f>
        <v/>
      </c>
      <c r="T103" s="17" t="n"/>
      <c r="U103" s="120" t="n"/>
    </row>
    <row r="104" hidden="1" outlineLevel="2">
      <c r="A104" s="8" t="n"/>
      <c r="B104" s="14" t="n"/>
      <c r="C104" s="120" t="n"/>
      <c r="D104" s="131" t="n"/>
      <c r="E104" s="130" t="n"/>
      <c r="F104" s="17" t="n"/>
      <c r="G104" s="129">
        <f>DADOS_AM!$HC$8</f>
        <v/>
      </c>
      <c r="H104" s="17" t="n"/>
      <c r="I104" s="120" t="n"/>
      <c r="J104" s="131" t="n"/>
      <c r="K104" s="130" t="n"/>
      <c r="L104" s="17" t="n"/>
      <c r="M104" s="129">
        <f>DADOS_AM!$HC$9</f>
        <v/>
      </c>
      <c r="N104" s="17" t="n"/>
      <c r="O104" s="120" t="n"/>
      <c r="P104" s="131" t="n"/>
      <c r="Q104" s="130" t="n"/>
      <c r="R104" s="17" t="n"/>
      <c r="S104" s="129">
        <f>DADOS_AM!$HC$10</f>
        <v/>
      </c>
      <c r="T104" s="17" t="n"/>
      <c r="U104" s="120" t="n"/>
    </row>
    <row r="105" hidden="1" outlineLevel="2">
      <c r="A105" s="8" t="n"/>
      <c r="B105" s="14" t="n"/>
      <c r="C105" s="120" t="n"/>
      <c r="D105" s="125" t="n"/>
      <c r="E105" s="130" t="n"/>
      <c r="F105" s="17" t="n"/>
      <c r="G105" s="129">
        <f>DADOS_AM!$HD$8</f>
        <v/>
      </c>
      <c r="H105" s="17" t="n"/>
      <c r="I105" s="120" t="n"/>
      <c r="J105" s="125" t="n"/>
      <c r="K105" s="130" t="n"/>
      <c r="L105" s="17" t="n"/>
      <c r="M105" s="129">
        <f>DADOS_AM!$HD$9</f>
        <v/>
      </c>
      <c r="N105" s="17" t="n"/>
      <c r="O105" s="120" t="n"/>
      <c r="P105" s="125" t="n"/>
      <c r="Q105" s="130" t="n"/>
      <c r="R105" s="17" t="n"/>
      <c r="S105" s="129">
        <f>DADOS_AM!$HD$10</f>
        <v/>
      </c>
      <c r="T105" s="17" t="n"/>
      <c r="U105" s="120" t="n"/>
    </row>
    <row r="106" hidden="1" outlineLevel="2">
      <c r="A106" s="8" t="n"/>
      <c r="B106" s="14" t="n"/>
      <c r="C106" s="120" t="n"/>
      <c r="D106" s="55" t="inlineStr">
        <is>
          <t>RESTRIÇÕES</t>
        </is>
      </c>
      <c r="E106" s="130" t="n"/>
      <c r="F106" s="17" t="n"/>
      <c r="G106" s="129">
        <f>DADOS_AM!$HE$8</f>
        <v/>
      </c>
      <c r="H106" s="17" t="n"/>
      <c r="I106" s="120" t="n"/>
      <c r="J106" s="55" t="inlineStr">
        <is>
          <t>RESTRIÇÕES</t>
        </is>
      </c>
      <c r="K106" s="130" t="n"/>
      <c r="L106" s="17" t="n"/>
      <c r="M106" s="129">
        <f>DADOS_AM!$HE$9</f>
        <v/>
      </c>
      <c r="N106" s="17" t="n"/>
      <c r="O106" s="120" t="n"/>
      <c r="P106" s="55" t="inlineStr">
        <is>
          <t>RESTRIÇÕES</t>
        </is>
      </c>
      <c r="Q106" s="130" t="n"/>
      <c r="R106" s="17" t="n"/>
      <c r="S106" s="129">
        <f>DADOS_AM!$HE$10</f>
        <v/>
      </c>
      <c r="T106" s="17" t="n"/>
      <c r="U106" s="120" t="n"/>
    </row>
    <row r="107" hidden="1" outlineLevel="2">
      <c r="A107" s="8" t="n"/>
      <c r="B107" s="14" t="n"/>
      <c r="C107" s="120" t="n"/>
      <c r="D107" s="125" t="n"/>
      <c r="E107" s="130" t="n"/>
      <c r="F107" s="17" t="n"/>
      <c r="G107" s="129">
        <f>DADOS_AM!$HF$8</f>
        <v/>
      </c>
      <c r="H107" s="17" t="n"/>
      <c r="I107" s="120" t="n"/>
      <c r="J107" s="125" t="n"/>
      <c r="K107" s="130" t="n"/>
      <c r="L107" s="17" t="n"/>
      <c r="M107" s="129">
        <f>DADOS_AM!$HF$9</f>
        <v/>
      </c>
      <c r="N107" s="17" t="n"/>
      <c r="O107" s="120" t="n"/>
      <c r="P107" s="125" t="n"/>
      <c r="Q107" s="130" t="n"/>
      <c r="R107" s="17" t="n"/>
      <c r="S107" s="129">
        <f>DADOS_AM!$HF$10</f>
        <v/>
      </c>
      <c r="T107" s="17" t="n"/>
      <c r="U107" s="120" t="n"/>
    </row>
    <row r="108" hidden="1" outlineLevel="2">
      <c r="A108" s="8" t="n"/>
      <c r="B108" s="14" t="n"/>
      <c r="C108" s="120" t="n"/>
      <c r="D108" s="55" t="inlineStr">
        <is>
          <t>CONTA</t>
        </is>
      </c>
      <c r="E108" s="132">
        <f>DADOS_AM!$GY$8</f>
        <v/>
      </c>
      <c r="F108" s="16" t="n"/>
      <c r="G108" s="16" t="n"/>
      <c r="H108" s="17" t="n"/>
      <c r="I108" s="120" t="n"/>
      <c r="J108" s="55" t="inlineStr">
        <is>
          <t>CONTA</t>
        </is>
      </c>
      <c r="K108" s="132">
        <f>DADOS_AM!$GY$9</f>
        <v/>
      </c>
      <c r="L108" s="16" t="n"/>
      <c r="M108" s="16" t="n"/>
      <c r="N108" s="17" t="n"/>
      <c r="O108" s="120" t="n"/>
      <c r="P108" s="55" t="inlineStr">
        <is>
          <t>CONTA</t>
        </is>
      </c>
      <c r="Q108" s="132">
        <f>DADOS_AM!$GY$10</f>
        <v/>
      </c>
      <c r="R108" s="16" t="n"/>
      <c r="S108" s="16" t="n"/>
      <c r="T108" s="17" t="n"/>
      <c r="U108" s="120" t="n"/>
    </row>
    <row r="109" hidden="1" outlineLevel="2">
      <c r="A109" s="8" t="n"/>
      <c r="B109" s="14" t="n"/>
      <c r="C109" s="120" t="n"/>
      <c r="D109" s="55" t="inlineStr">
        <is>
          <t>AMPLIAR</t>
        </is>
      </c>
      <c r="E109" s="132">
        <f>DADOS_AM!$GZ$8</f>
        <v/>
      </c>
      <c r="F109" s="19" t="n"/>
      <c r="G109" s="19" t="n"/>
      <c r="H109" s="20" t="n"/>
      <c r="I109" s="120" t="n"/>
      <c r="J109" s="55" t="inlineStr">
        <is>
          <t>AMPLIAR</t>
        </is>
      </c>
      <c r="K109" s="132">
        <f>DADOS_AM!$GZ$9</f>
        <v/>
      </c>
      <c r="L109" s="19" t="n"/>
      <c r="M109" s="19" t="n"/>
      <c r="N109" s="20" t="n"/>
      <c r="O109" s="120" t="n"/>
      <c r="P109" s="55" t="inlineStr">
        <is>
          <t>AMPLIAR</t>
        </is>
      </c>
      <c r="Q109" s="132">
        <f>DADOS_AM!$GZ$10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DADOS_AM!$GO$8</f>
        <v/>
      </c>
      <c r="F111" s="19" t="n"/>
      <c r="G111" s="19" t="n"/>
      <c r="H111" s="20" t="n"/>
      <c r="I111" s="120" t="n"/>
      <c r="J111" s="55" t="inlineStr">
        <is>
          <t>AVISOS</t>
        </is>
      </c>
      <c r="K111" s="132">
        <f>DADOS_AM!$GO$9</f>
        <v/>
      </c>
      <c r="L111" s="19" t="n"/>
      <c r="M111" s="19" t="n"/>
      <c r="N111" s="20" t="n"/>
      <c r="O111" s="120" t="n"/>
      <c r="P111" s="55" t="inlineStr">
        <is>
          <t>AVISOS</t>
        </is>
      </c>
      <c r="Q111" s="132">
        <f>DADOS_AM!$GO$10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DADOS_AM!$GN$11</f>
        <v/>
      </c>
      <c r="H114" s="17" t="n"/>
      <c r="I114" s="120" t="n"/>
      <c r="J114" s="127" t="n">
        <v>1</v>
      </c>
      <c r="K114" s="115" t="n"/>
      <c r="L114" s="17" t="n"/>
      <c r="M114" s="128">
        <f>DADOS_AM!$GN$12</f>
        <v/>
      </c>
      <c r="N114" s="17" t="n"/>
      <c r="O114" s="120" t="n"/>
      <c r="P114" s="127" t="n">
        <v>1</v>
      </c>
      <c r="Q114" s="115" t="n"/>
      <c r="R114" s="17" t="n"/>
      <c r="S114" s="128">
        <f>DADOS_AM!$GN$13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DADOS_AM!$GS$11</f>
        <v/>
      </c>
      <c r="F121" s="68">
        <f>DADOS_AM!$GP$11</f>
        <v/>
      </c>
      <c r="G121" s="124">
        <f>DADOS_AM!$GR$11</f>
        <v/>
      </c>
      <c r="H121" s="17" t="n"/>
      <c r="I121" s="120" t="n"/>
      <c r="J121" s="124" t="inlineStr">
        <is>
          <t>Projétil</t>
        </is>
      </c>
      <c r="K121" s="68">
        <f>DADOS_AM!$GS$12</f>
        <v/>
      </c>
      <c r="L121" s="68">
        <f>DADOS_AM!$GP$12</f>
        <v/>
      </c>
      <c r="M121" s="124">
        <f>DADOS_AM!$GR$12</f>
        <v/>
      </c>
      <c r="N121" s="17" t="n"/>
      <c r="O121" s="120" t="n"/>
      <c r="P121" s="124" t="inlineStr">
        <is>
          <t>Projétil</t>
        </is>
      </c>
      <c r="Q121" s="68">
        <f>DADOS_AM!$GS$13</f>
        <v/>
      </c>
      <c r="R121" s="68">
        <f>DADOS_AM!$GP$13</f>
        <v/>
      </c>
      <c r="S121" s="124">
        <f>DADOS_AM!$GR$13</f>
        <v/>
      </c>
      <c r="T121" s="17" t="n"/>
      <c r="U121" s="120" t="n"/>
    </row>
    <row r="122" outlineLevel="1">
      <c r="A122" s="8" t="n"/>
      <c r="B122" s="14" t="n"/>
      <c r="C122" s="120" t="n"/>
      <c r="D122" s="124">
        <f>DADOS_AM!$GQ$11</f>
        <v/>
      </c>
      <c r="E122" s="129">
        <f>DADOS_AM!$GX$11</f>
        <v/>
      </c>
      <c r="F122" s="16" t="n"/>
      <c r="G122" s="16" t="n"/>
      <c r="H122" s="17" t="n"/>
      <c r="I122" s="120" t="n"/>
      <c r="J122" s="124">
        <f>DADOS_AM!$GQ$12</f>
        <v/>
      </c>
      <c r="K122" s="129">
        <f>DADOS_AM!$GX$12</f>
        <v/>
      </c>
      <c r="L122" s="16" t="n"/>
      <c r="M122" s="16" t="n"/>
      <c r="N122" s="17" t="n"/>
      <c r="O122" s="120" t="n"/>
      <c r="P122" s="124">
        <f>DADOS_AM!$GQ$13</f>
        <v/>
      </c>
      <c r="Q122" s="129">
        <f>DADOS_AM!$GX$13</f>
        <v/>
      </c>
      <c r="R122" s="16" t="n"/>
      <c r="S122" s="16" t="n"/>
      <c r="T122" s="17" t="n"/>
      <c r="U122" s="120" t="n"/>
    </row>
    <row r="123" hidden="1" outlineLevel="2">
      <c r="A123" s="8" t="n"/>
      <c r="B123" s="14" t="n"/>
      <c r="C123" s="120" t="n"/>
      <c r="D123" s="55" t="inlineStr">
        <is>
          <t>MELHORIAS</t>
        </is>
      </c>
      <c r="E123" s="130" t="n"/>
      <c r="F123" s="17" t="n"/>
      <c r="G123" s="129">
        <f>DADOS_AM!$HA$11</f>
        <v/>
      </c>
      <c r="H123" s="17" t="n"/>
      <c r="I123" s="120" t="n"/>
      <c r="J123" s="55" t="inlineStr">
        <is>
          <t>MELHORIAS</t>
        </is>
      </c>
      <c r="K123" s="130" t="n"/>
      <c r="L123" s="17" t="n"/>
      <c r="M123" s="129">
        <f>DADOS_AM!$HA$12</f>
        <v/>
      </c>
      <c r="N123" s="17" t="n"/>
      <c r="O123" s="120" t="n"/>
      <c r="P123" s="55" t="inlineStr">
        <is>
          <t>MELHORIAS</t>
        </is>
      </c>
      <c r="Q123" s="130" t="n"/>
      <c r="R123" s="17" t="n"/>
      <c r="S123" s="129">
        <f>DADOS_AM!$HA$13</f>
        <v/>
      </c>
      <c r="T123" s="17" t="n"/>
      <c r="U123" s="120" t="n"/>
    </row>
    <row r="124" hidden="1" outlineLevel="2">
      <c r="A124" s="8" t="n"/>
      <c r="B124" s="14" t="n"/>
      <c r="C124" s="120" t="n"/>
      <c r="D124" s="131" t="n"/>
      <c r="E124" s="130" t="n"/>
      <c r="F124" s="17" t="n"/>
      <c r="G124" s="129">
        <f>DADOS_AM!$HB$11</f>
        <v/>
      </c>
      <c r="H124" s="17" t="n"/>
      <c r="I124" s="120" t="n"/>
      <c r="J124" s="131" t="n"/>
      <c r="K124" s="130" t="n"/>
      <c r="L124" s="17" t="n"/>
      <c r="M124" s="129">
        <f>DADOS_AM!$HB$12</f>
        <v/>
      </c>
      <c r="N124" s="17" t="n"/>
      <c r="O124" s="120" t="n"/>
      <c r="P124" s="131" t="n"/>
      <c r="Q124" s="130" t="n"/>
      <c r="R124" s="17" t="n"/>
      <c r="S124" s="129">
        <f>DADOS_AM!$HB$13</f>
        <v/>
      </c>
      <c r="T124" s="17" t="n"/>
      <c r="U124" s="120" t="n"/>
    </row>
    <row r="125" hidden="1" outlineLevel="2">
      <c r="A125" s="8" t="n"/>
      <c r="B125" s="14" t="n"/>
      <c r="C125" s="120" t="n"/>
      <c r="D125" s="131" t="n"/>
      <c r="E125" s="130" t="n"/>
      <c r="F125" s="17" t="n"/>
      <c r="G125" s="129">
        <f>DADOS_AM!$HC$11</f>
        <v/>
      </c>
      <c r="H125" s="17" t="n"/>
      <c r="I125" s="120" t="n"/>
      <c r="J125" s="131" t="n"/>
      <c r="K125" s="130" t="n"/>
      <c r="L125" s="17" t="n"/>
      <c r="M125" s="129">
        <f>DADOS_AM!$HC$12</f>
        <v/>
      </c>
      <c r="N125" s="17" t="n"/>
      <c r="O125" s="120" t="n"/>
      <c r="P125" s="131" t="n"/>
      <c r="Q125" s="130" t="n"/>
      <c r="R125" s="17" t="n"/>
      <c r="S125" s="129">
        <f>DADOS_AM!$HC$13</f>
        <v/>
      </c>
      <c r="T125" s="17" t="n"/>
      <c r="U125" s="120" t="n"/>
    </row>
    <row r="126" hidden="1" outlineLevel="2">
      <c r="A126" s="8" t="n"/>
      <c r="B126" s="14" t="n"/>
      <c r="C126" s="120" t="n"/>
      <c r="D126" s="125" t="n"/>
      <c r="E126" s="130" t="n"/>
      <c r="F126" s="17" t="n"/>
      <c r="G126" s="129">
        <f>DADOS_AM!$HD$11</f>
        <v/>
      </c>
      <c r="H126" s="17" t="n"/>
      <c r="I126" s="120" t="n"/>
      <c r="J126" s="125" t="n"/>
      <c r="K126" s="130" t="n"/>
      <c r="L126" s="17" t="n"/>
      <c r="M126" s="129">
        <f>DADOS_AM!$HD$12</f>
        <v/>
      </c>
      <c r="N126" s="17" t="n"/>
      <c r="O126" s="120" t="n"/>
      <c r="P126" s="125" t="n"/>
      <c r="Q126" s="130" t="n"/>
      <c r="R126" s="17" t="n"/>
      <c r="S126" s="129">
        <f>DADOS_AM!$HD$13</f>
        <v/>
      </c>
      <c r="T126" s="17" t="n"/>
      <c r="U126" s="120" t="n"/>
    </row>
    <row r="127" hidden="1" outlineLevel="2">
      <c r="A127" s="8" t="n"/>
      <c r="B127" s="14" t="n"/>
      <c r="C127" s="120" t="n"/>
      <c r="D127" s="55" t="inlineStr">
        <is>
          <t>RESTRIÇÕES</t>
        </is>
      </c>
      <c r="E127" s="130" t="n"/>
      <c r="F127" s="17" t="n"/>
      <c r="G127" s="129">
        <f>DADOS_AM!$HE$11</f>
        <v/>
      </c>
      <c r="H127" s="17" t="n"/>
      <c r="I127" s="120" t="n"/>
      <c r="J127" s="55" t="inlineStr">
        <is>
          <t>RESTRIÇÕES</t>
        </is>
      </c>
      <c r="K127" s="130" t="n"/>
      <c r="L127" s="17" t="n"/>
      <c r="M127" s="129">
        <f>DADOS_AM!$HE$12</f>
        <v/>
      </c>
      <c r="N127" s="17" t="n"/>
      <c r="O127" s="120" t="n"/>
      <c r="P127" s="55" t="inlineStr">
        <is>
          <t>RESTRIÇÕES</t>
        </is>
      </c>
      <c r="Q127" s="130" t="n"/>
      <c r="R127" s="17" t="n"/>
      <c r="S127" s="129">
        <f>DADOS_AM!$HE$13</f>
        <v/>
      </c>
      <c r="T127" s="17" t="n"/>
      <c r="U127" s="120" t="n"/>
    </row>
    <row r="128" hidden="1" outlineLevel="2">
      <c r="A128" s="8" t="n"/>
      <c r="B128" s="14" t="n"/>
      <c r="C128" s="120" t="n"/>
      <c r="D128" s="125" t="n"/>
      <c r="E128" s="130" t="n"/>
      <c r="F128" s="17" t="n"/>
      <c r="G128" s="129">
        <f>DADOS_AM!$HF$11</f>
        <v/>
      </c>
      <c r="H128" s="17" t="n"/>
      <c r="I128" s="120" t="n"/>
      <c r="J128" s="125" t="n"/>
      <c r="K128" s="130" t="n"/>
      <c r="L128" s="17" t="n"/>
      <c r="M128" s="129">
        <f>DADOS_AM!$HF$12</f>
        <v/>
      </c>
      <c r="N128" s="17" t="n"/>
      <c r="O128" s="120" t="n"/>
      <c r="P128" s="125" t="n"/>
      <c r="Q128" s="130" t="n"/>
      <c r="R128" s="17" t="n"/>
      <c r="S128" s="129">
        <f>DADOS_AM!$HF$13</f>
        <v/>
      </c>
      <c r="T128" s="17" t="n"/>
      <c r="U128" s="120" t="n"/>
    </row>
    <row r="129" hidden="1" outlineLevel="2">
      <c r="A129" s="8" t="n"/>
      <c r="B129" s="14" t="n"/>
      <c r="C129" s="120" t="n"/>
      <c r="D129" s="55" t="inlineStr">
        <is>
          <t>CONTA</t>
        </is>
      </c>
      <c r="E129" s="132">
        <f>DADOS_AM!$GY$11</f>
        <v/>
      </c>
      <c r="F129" s="16" t="n"/>
      <c r="G129" s="16" t="n"/>
      <c r="H129" s="17" t="n"/>
      <c r="I129" s="120" t="n"/>
      <c r="J129" s="55" t="inlineStr">
        <is>
          <t>CONTA</t>
        </is>
      </c>
      <c r="K129" s="132">
        <f>DADOS_AM!$GY$12</f>
        <v/>
      </c>
      <c r="L129" s="16" t="n"/>
      <c r="M129" s="16" t="n"/>
      <c r="N129" s="17" t="n"/>
      <c r="O129" s="120" t="n"/>
      <c r="P129" s="55" t="inlineStr">
        <is>
          <t>CONTA</t>
        </is>
      </c>
      <c r="Q129" s="132">
        <f>DADOS_AM!$GY$13</f>
        <v/>
      </c>
      <c r="R129" s="16" t="n"/>
      <c r="S129" s="16" t="n"/>
      <c r="T129" s="17" t="n"/>
      <c r="U129" s="120" t="n"/>
    </row>
    <row r="130" hidden="1" outlineLevel="2">
      <c r="A130" s="8" t="n"/>
      <c r="B130" s="14" t="n"/>
      <c r="C130" s="120" t="n"/>
      <c r="D130" s="55" t="inlineStr">
        <is>
          <t>AMPLIAR</t>
        </is>
      </c>
      <c r="E130" s="132">
        <f>DADOS_AM!$GZ$11</f>
        <v/>
      </c>
      <c r="F130" s="19" t="n"/>
      <c r="G130" s="19" t="n"/>
      <c r="H130" s="20" t="n"/>
      <c r="I130" s="120" t="n"/>
      <c r="J130" s="55" t="inlineStr">
        <is>
          <t>AMPLIAR</t>
        </is>
      </c>
      <c r="K130" s="132">
        <f>DADOS_AM!$GZ$12</f>
        <v/>
      </c>
      <c r="L130" s="19" t="n"/>
      <c r="M130" s="19" t="n"/>
      <c r="N130" s="20" t="n"/>
      <c r="O130" s="120" t="n"/>
      <c r="P130" s="55" t="inlineStr">
        <is>
          <t>AMPLIAR</t>
        </is>
      </c>
      <c r="Q130" s="132">
        <f>DADOS_AM!$GZ$13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DADOS_AM!$GO$11</f>
        <v/>
      </c>
      <c r="F132" s="19" t="n"/>
      <c r="G132" s="19" t="n"/>
      <c r="H132" s="20" t="n"/>
      <c r="I132" s="120" t="n"/>
      <c r="J132" s="55" t="inlineStr">
        <is>
          <t>AVISOS</t>
        </is>
      </c>
      <c r="K132" s="132">
        <f>DADOS_AM!$GO$12</f>
        <v/>
      </c>
      <c r="L132" s="19" t="n"/>
      <c r="M132" s="19" t="n"/>
      <c r="N132" s="20" t="n"/>
      <c r="O132" s="120" t="n"/>
      <c r="P132" s="55" t="inlineStr">
        <is>
          <t>AVISOS</t>
        </is>
      </c>
      <c r="Q132" s="132">
        <f>DADOS_AM!$GO$13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DADOS_AM!$KT$33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DADOS_AM!$GN$14</f>
        <v/>
      </c>
      <c r="H137" s="17" t="n"/>
      <c r="I137" s="120" t="n"/>
      <c r="J137" s="127" t="n">
        <v>1</v>
      </c>
      <c r="K137" s="115" t="n"/>
      <c r="L137" s="17" t="n"/>
      <c r="M137" s="128">
        <f>DADOS_AM!$GN$15</f>
        <v/>
      </c>
      <c r="N137" s="17" t="n"/>
      <c r="O137" s="120" t="n"/>
      <c r="P137" s="127" t="n">
        <v>1</v>
      </c>
      <c r="Q137" s="115" t="n"/>
      <c r="R137" s="17" t="n"/>
      <c r="S137" s="128">
        <f>DADOS_AM!$GN$16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DADOS_AM!$GS$14</f>
        <v/>
      </c>
      <c r="F144" s="68">
        <f>DADOS_AM!$GP$14</f>
        <v/>
      </c>
      <c r="G144" s="124">
        <f>DADOS_AM!$GR$14</f>
        <v/>
      </c>
      <c r="H144" s="17" t="n"/>
      <c r="I144" s="120" t="n"/>
      <c r="J144" s="124" t="inlineStr">
        <is>
          <t>Projétil</t>
        </is>
      </c>
      <c r="K144" s="68">
        <f>DADOS_AM!$GS$15</f>
        <v/>
      </c>
      <c r="L144" s="68">
        <f>DADOS_AM!$GP$15</f>
        <v/>
      </c>
      <c r="M144" s="124">
        <f>DADOS_AM!$GR$15</f>
        <v/>
      </c>
      <c r="N144" s="17" t="n"/>
      <c r="O144" s="120" t="n"/>
      <c r="P144" s="124" t="inlineStr">
        <is>
          <t>Projétil</t>
        </is>
      </c>
      <c r="Q144" s="68">
        <f>DADOS_AM!$GS$16</f>
        <v/>
      </c>
      <c r="R144" s="68">
        <f>DADOS_AM!$GP$16</f>
        <v/>
      </c>
      <c r="S144" s="124">
        <f>DADOS_AM!$GR$16</f>
        <v/>
      </c>
      <c r="T144" s="17" t="n"/>
      <c r="U144" s="120" t="n"/>
    </row>
    <row r="145" hidden="1" outlineLevel="2">
      <c r="A145" s="8" t="n"/>
      <c r="B145" s="14" t="n"/>
      <c r="C145" s="120" t="n"/>
      <c r="D145" s="124">
        <f>DADOS_AM!$GQ$14</f>
        <v/>
      </c>
      <c r="E145" s="129">
        <f>DADOS_AM!$GX$14</f>
        <v/>
      </c>
      <c r="F145" s="16" t="n"/>
      <c r="G145" s="16" t="n"/>
      <c r="H145" s="17" t="n"/>
      <c r="I145" s="120" t="n"/>
      <c r="J145" s="124">
        <f>DADOS_AM!$GQ$15</f>
        <v/>
      </c>
      <c r="K145" s="129">
        <f>DADOS_AM!$GX$15</f>
        <v/>
      </c>
      <c r="L145" s="16" t="n"/>
      <c r="M145" s="16" t="n"/>
      <c r="N145" s="17" t="n"/>
      <c r="O145" s="120" t="n"/>
      <c r="P145" s="124">
        <f>DADOS_AM!$GQ$16</f>
        <v/>
      </c>
      <c r="Q145" s="129">
        <f>DADOS_AM!$GX$16</f>
        <v/>
      </c>
      <c r="R145" s="16" t="n"/>
      <c r="S145" s="16" t="n"/>
      <c r="T145" s="17" t="n"/>
      <c r="U145" s="120" t="n"/>
    </row>
    <row r="146" hidden="1" outlineLevel="3">
      <c r="A146" s="8" t="n"/>
      <c r="B146" s="14" t="n"/>
      <c r="C146" s="120" t="n"/>
      <c r="D146" s="55" t="inlineStr">
        <is>
          <t>MELHORIAS</t>
        </is>
      </c>
      <c r="E146" s="130" t="n"/>
      <c r="F146" s="17" t="n"/>
      <c r="G146" s="129">
        <f>DADOS_AM!$HA$14</f>
        <v/>
      </c>
      <c r="H146" s="17" t="n"/>
      <c r="I146" s="120" t="n"/>
      <c r="J146" s="55" t="inlineStr">
        <is>
          <t>MELHORIAS</t>
        </is>
      </c>
      <c r="K146" s="130" t="n"/>
      <c r="L146" s="17" t="n"/>
      <c r="M146" s="129">
        <f>DADOS_AM!$HA$15</f>
        <v/>
      </c>
      <c r="N146" s="17" t="n"/>
      <c r="O146" s="120" t="n"/>
      <c r="P146" s="55" t="inlineStr">
        <is>
          <t>MELHORIAS</t>
        </is>
      </c>
      <c r="Q146" s="130" t="n"/>
      <c r="R146" s="17" t="n"/>
      <c r="S146" s="129">
        <f>DADOS_AM!$HA$16</f>
        <v/>
      </c>
      <c r="T146" s="17" t="n"/>
      <c r="U146" s="120" t="n"/>
    </row>
    <row r="147" hidden="1" outlineLevel="3">
      <c r="A147" s="8" t="n"/>
      <c r="B147" s="14" t="n"/>
      <c r="C147" s="120" t="n"/>
      <c r="D147" s="131" t="n"/>
      <c r="E147" s="130" t="n"/>
      <c r="F147" s="17" t="n"/>
      <c r="G147" s="129">
        <f>DADOS_AM!$HB$14</f>
        <v/>
      </c>
      <c r="H147" s="17" t="n"/>
      <c r="I147" s="120" t="n"/>
      <c r="J147" s="131" t="n"/>
      <c r="K147" s="130" t="n"/>
      <c r="L147" s="17" t="n"/>
      <c r="M147" s="129">
        <f>DADOS_AM!$HB$15</f>
        <v/>
      </c>
      <c r="N147" s="17" t="n"/>
      <c r="O147" s="120" t="n"/>
      <c r="P147" s="131" t="n"/>
      <c r="Q147" s="130" t="n"/>
      <c r="R147" s="17" t="n"/>
      <c r="S147" s="129">
        <f>DADOS_AM!$HB$16</f>
        <v/>
      </c>
      <c r="T147" s="17" t="n"/>
      <c r="U147" s="120" t="n"/>
    </row>
    <row r="148" hidden="1" outlineLevel="3">
      <c r="A148" s="8" t="n"/>
      <c r="B148" s="14" t="n"/>
      <c r="C148" s="120" t="n"/>
      <c r="D148" s="131" t="n"/>
      <c r="E148" s="130" t="n"/>
      <c r="F148" s="17" t="n"/>
      <c r="G148" s="129">
        <f>DADOS_AM!$HC$14</f>
        <v/>
      </c>
      <c r="H148" s="17" t="n"/>
      <c r="I148" s="120" t="n"/>
      <c r="J148" s="131" t="n"/>
      <c r="K148" s="130" t="n"/>
      <c r="L148" s="17" t="n"/>
      <c r="M148" s="129">
        <f>DADOS_AM!$HC$15</f>
        <v/>
      </c>
      <c r="N148" s="17" t="n"/>
      <c r="O148" s="120" t="n"/>
      <c r="P148" s="131" t="n"/>
      <c r="Q148" s="130" t="n"/>
      <c r="R148" s="17" t="n"/>
      <c r="S148" s="129">
        <f>DADOS_AM!$HC$16</f>
        <v/>
      </c>
      <c r="T148" s="17" t="n"/>
      <c r="U148" s="120" t="n"/>
    </row>
    <row r="149" hidden="1" outlineLevel="3">
      <c r="A149" s="8" t="n"/>
      <c r="B149" s="14" t="n"/>
      <c r="C149" s="120" t="n"/>
      <c r="D149" s="125" t="n"/>
      <c r="E149" s="130" t="n"/>
      <c r="F149" s="17" t="n"/>
      <c r="G149" s="129">
        <f>DADOS_AM!$HD$14</f>
        <v/>
      </c>
      <c r="H149" s="17" t="n"/>
      <c r="I149" s="120" t="n"/>
      <c r="J149" s="125" t="n"/>
      <c r="K149" s="130" t="n"/>
      <c r="L149" s="17" t="n"/>
      <c r="M149" s="129">
        <f>DADOS_AM!$HD$15</f>
        <v/>
      </c>
      <c r="N149" s="17" t="n"/>
      <c r="O149" s="120" t="n"/>
      <c r="P149" s="125" t="n"/>
      <c r="Q149" s="130" t="n"/>
      <c r="R149" s="17" t="n"/>
      <c r="S149" s="129">
        <f>DADOS_AM!$HD$16</f>
        <v/>
      </c>
      <c r="T149" s="17" t="n"/>
      <c r="U149" s="120" t="n"/>
    </row>
    <row r="150" hidden="1" outlineLevel="3">
      <c r="A150" s="8" t="n"/>
      <c r="B150" s="14" t="n"/>
      <c r="C150" s="120" t="n"/>
      <c r="D150" s="55" t="inlineStr">
        <is>
          <t>RESTRIÇÕES</t>
        </is>
      </c>
      <c r="E150" s="130" t="n"/>
      <c r="F150" s="17" t="n"/>
      <c r="G150" s="129">
        <f>DADOS_AM!$HE$14</f>
        <v/>
      </c>
      <c r="H150" s="17" t="n"/>
      <c r="I150" s="120" t="n"/>
      <c r="J150" s="55" t="inlineStr">
        <is>
          <t>RESTRIÇÕES</t>
        </is>
      </c>
      <c r="K150" s="130" t="n"/>
      <c r="L150" s="17" t="n"/>
      <c r="M150" s="129">
        <f>DADOS_AM!$HE$15</f>
        <v/>
      </c>
      <c r="N150" s="17" t="n"/>
      <c r="O150" s="120" t="n"/>
      <c r="P150" s="55" t="inlineStr">
        <is>
          <t>RESTRIÇÕES</t>
        </is>
      </c>
      <c r="Q150" s="130" t="n"/>
      <c r="R150" s="17" t="n"/>
      <c r="S150" s="129">
        <f>DADOS_AM!$HE$16</f>
        <v/>
      </c>
      <c r="T150" s="17" t="n"/>
      <c r="U150" s="120" t="n"/>
    </row>
    <row r="151" hidden="1" outlineLevel="3">
      <c r="A151" s="8" t="n"/>
      <c r="B151" s="14" t="n"/>
      <c r="C151" s="120" t="n"/>
      <c r="D151" s="125" t="n"/>
      <c r="E151" s="130" t="n"/>
      <c r="F151" s="17" t="n"/>
      <c r="G151" s="129">
        <f>DADOS_AM!$HF$14</f>
        <v/>
      </c>
      <c r="H151" s="17" t="n"/>
      <c r="I151" s="120" t="n"/>
      <c r="J151" s="125" t="n"/>
      <c r="K151" s="130" t="n"/>
      <c r="L151" s="17" t="n"/>
      <c r="M151" s="129">
        <f>DADOS_AM!$HF$15</f>
        <v/>
      </c>
      <c r="N151" s="17" t="n"/>
      <c r="O151" s="120" t="n"/>
      <c r="P151" s="125" t="n"/>
      <c r="Q151" s="130" t="n"/>
      <c r="R151" s="17" t="n"/>
      <c r="S151" s="129">
        <f>DADOS_AM!$HF$16</f>
        <v/>
      </c>
      <c r="T151" s="17" t="n"/>
      <c r="U151" s="120" t="n"/>
    </row>
    <row r="152" hidden="1" outlineLevel="3">
      <c r="A152" s="8" t="n"/>
      <c r="B152" s="14" t="n"/>
      <c r="C152" s="120" t="n"/>
      <c r="D152" s="55" t="inlineStr">
        <is>
          <t>CONTA</t>
        </is>
      </c>
      <c r="E152" s="132">
        <f>DADOS_AM!$GY$14</f>
        <v/>
      </c>
      <c r="F152" s="16" t="n"/>
      <c r="G152" s="16" t="n"/>
      <c r="H152" s="17" t="n"/>
      <c r="I152" s="120" t="n"/>
      <c r="J152" s="55" t="inlineStr">
        <is>
          <t>CONTA</t>
        </is>
      </c>
      <c r="K152" s="132">
        <f>DADOS_AM!$GY$15</f>
        <v/>
      </c>
      <c r="L152" s="16" t="n"/>
      <c r="M152" s="16" t="n"/>
      <c r="N152" s="17" t="n"/>
      <c r="O152" s="120" t="n"/>
      <c r="P152" s="55" t="inlineStr">
        <is>
          <t>CONTA</t>
        </is>
      </c>
      <c r="Q152" s="132">
        <f>DADOS_AM!$GY$16</f>
        <v/>
      </c>
      <c r="R152" s="16" t="n"/>
      <c r="S152" s="16" t="n"/>
      <c r="T152" s="17" t="n"/>
      <c r="U152" s="120" t="n"/>
    </row>
    <row r="153" hidden="1" outlineLevel="3">
      <c r="A153" s="8" t="n"/>
      <c r="B153" s="14" t="n"/>
      <c r="C153" s="120" t="n"/>
      <c r="D153" s="55" t="inlineStr">
        <is>
          <t>AMPLIAR</t>
        </is>
      </c>
      <c r="E153" s="132">
        <f>DADOS_AM!$GZ$14</f>
        <v/>
      </c>
      <c r="F153" s="19" t="n"/>
      <c r="G153" s="19" t="n"/>
      <c r="H153" s="20" t="n"/>
      <c r="I153" s="120" t="n"/>
      <c r="J153" s="55" t="inlineStr">
        <is>
          <t>AMPLIAR</t>
        </is>
      </c>
      <c r="K153" s="132">
        <f>DADOS_AM!$GZ$15</f>
        <v/>
      </c>
      <c r="L153" s="19" t="n"/>
      <c r="M153" s="19" t="n"/>
      <c r="N153" s="20" t="n"/>
      <c r="O153" s="120" t="n"/>
      <c r="P153" s="55" t="inlineStr">
        <is>
          <t>AMPLIAR</t>
        </is>
      </c>
      <c r="Q153" s="132">
        <f>DADOS_AM!$GZ$16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DADOS_AM!$GO$14</f>
        <v/>
      </c>
      <c r="F155" s="19" t="n"/>
      <c r="G155" s="19" t="n"/>
      <c r="H155" s="20" t="n"/>
      <c r="I155" s="120" t="n"/>
      <c r="J155" s="55" t="inlineStr">
        <is>
          <t>AVISOS</t>
        </is>
      </c>
      <c r="K155" s="132">
        <f>DADOS_AM!$GO$15</f>
        <v/>
      </c>
      <c r="L155" s="19" t="n"/>
      <c r="M155" s="19" t="n"/>
      <c r="N155" s="20" t="n"/>
      <c r="O155" s="120" t="n"/>
      <c r="P155" s="55" t="inlineStr">
        <is>
          <t>AVISOS</t>
        </is>
      </c>
      <c r="Q155" s="132">
        <f>DADOS_AM!$GO$16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DADOS_AM!$GN$17</f>
        <v/>
      </c>
      <c r="H158" s="17" t="n"/>
      <c r="I158" s="120" t="n"/>
      <c r="J158" s="127" t="n">
        <v>1</v>
      </c>
      <c r="K158" s="115" t="n"/>
      <c r="L158" s="17" t="n"/>
      <c r="M158" s="128">
        <f>DADOS_AM!$GN$18</f>
        <v/>
      </c>
      <c r="N158" s="17" t="n"/>
      <c r="O158" s="120" t="n"/>
      <c r="P158" s="127" t="n">
        <v>1</v>
      </c>
      <c r="Q158" s="115" t="n"/>
      <c r="R158" s="17" t="n"/>
      <c r="S158" s="128">
        <f>DADOS_AM!$GN$19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DADOS_AM!$GS$17</f>
        <v/>
      </c>
      <c r="F165" s="68">
        <f>DADOS_AM!$GP$17</f>
        <v/>
      </c>
      <c r="G165" s="124">
        <f>DADOS_AM!$GR$17</f>
        <v/>
      </c>
      <c r="H165" s="17" t="n"/>
      <c r="I165" s="120" t="n"/>
      <c r="J165" s="124" t="inlineStr">
        <is>
          <t>Projétil</t>
        </is>
      </c>
      <c r="K165" s="68">
        <f>DADOS_AM!$GS$18</f>
        <v/>
      </c>
      <c r="L165" s="68">
        <f>DADOS_AM!$GP$18</f>
        <v/>
      </c>
      <c r="M165" s="124">
        <f>DADOS_AM!$GR$18</f>
        <v/>
      </c>
      <c r="N165" s="17" t="n"/>
      <c r="O165" s="120" t="n"/>
      <c r="P165" s="124" t="inlineStr">
        <is>
          <t>Projétil</t>
        </is>
      </c>
      <c r="Q165" s="68">
        <f>DADOS_AM!$GS$19</f>
        <v/>
      </c>
      <c r="R165" s="68">
        <f>DADOS_AM!$GP$19</f>
        <v/>
      </c>
      <c r="S165" s="124">
        <f>DADOS_AM!$GR$19</f>
        <v/>
      </c>
      <c r="T165" s="17" t="n"/>
      <c r="U165" s="120" t="n"/>
    </row>
    <row r="166" hidden="1" outlineLevel="2">
      <c r="A166" s="8" t="n"/>
      <c r="B166" s="14" t="n"/>
      <c r="C166" s="120" t="n"/>
      <c r="D166" s="124">
        <f>DADOS_AM!$GQ$17</f>
        <v/>
      </c>
      <c r="E166" s="129">
        <f>DADOS_AM!$GX$17</f>
        <v/>
      </c>
      <c r="F166" s="16" t="n"/>
      <c r="G166" s="16" t="n"/>
      <c r="H166" s="17" t="n"/>
      <c r="I166" s="120" t="n"/>
      <c r="J166" s="124">
        <f>DADOS_AM!$GQ$18</f>
        <v/>
      </c>
      <c r="K166" s="129">
        <f>DADOS_AM!$GX$18</f>
        <v/>
      </c>
      <c r="L166" s="16" t="n"/>
      <c r="M166" s="16" t="n"/>
      <c r="N166" s="17" t="n"/>
      <c r="O166" s="120" t="n"/>
      <c r="P166" s="124">
        <f>DADOS_AM!$GQ$19</f>
        <v/>
      </c>
      <c r="Q166" s="129">
        <f>DADOS_AM!$GX$19</f>
        <v/>
      </c>
      <c r="R166" s="16" t="n"/>
      <c r="S166" s="16" t="n"/>
      <c r="T166" s="17" t="n"/>
      <c r="U166" s="120" t="n"/>
    </row>
    <row r="167" hidden="1" outlineLevel="3">
      <c r="A167" s="8" t="n"/>
      <c r="B167" s="14" t="n"/>
      <c r="C167" s="120" t="n"/>
      <c r="D167" s="55" t="inlineStr">
        <is>
          <t>MELHORIAS</t>
        </is>
      </c>
      <c r="E167" s="130" t="n"/>
      <c r="F167" s="17" t="n"/>
      <c r="G167" s="129">
        <f>DADOS_AM!$HA$17</f>
        <v/>
      </c>
      <c r="H167" s="17" t="n"/>
      <c r="I167" s="120" t="n"/>
      <c r="J167" s="55" t="inlineStr">
        <is>
          <t>MELHORIAS</t>
        </is>
      </c>
      <c r="K167" s="130" t="n"/>
      <c r="L167" s="17" t="n"/>
      <c r="M167" s="129">
        <f>DADOS_AM!$HA$18</f>
        <v/>
      </c>
      <c r="N167" s="17" t="n"/>
      <c r="O167" s="120" t="n"/>
      <c r="P167" s="55" t="inlineStr">
        <is>
          <t>MELHORIAS</t>
        </is>
      </c>
      <c r="Q167" s="130" t="n"/>
      <c r="R167" s="17" t="n"/>
      <c r="S167" s="129">
        <f>DADOS_AM!$HA$19</f>
        <v/>
      </c>
      <c r="T167" s="17" t="n"/>
      <c r="U167" s="120" t="n"/>
    </row>
    <row r="168" hidden="1" outlineLevel="3">
      <c r="A168" s="8" t="n"/>
      <c r="B168" s="14" t="n"/>
      <c r="C168" s="120" t="n"/>
      <c r="D168" s="131" t="n"/>
      <c r="E168" s="130" t="n"/>
      <c r="F168" s="17" t="n"/>
      <c r="G168" s="129">
        <f>DADOS_AM!$HB$17</f>
        <v/>
      </c>
      <c r="H168" s="17" t="n"/>
      <c r="I168" s="120" t="n"/>
      <c r="J168" s="131" t="n"/>
      <c r="K168" s="130" t="n"/>
      <c r="L168" s="17" t="n"/>
      <c r="M168" s="129">
        <f>DADOS_AM!$HB$18</f>
        <v/>
      </c>
      <c r="N168" s="17" t="n"/>
      <c r="O168" s="120" t="n"/>
      <c r="P168" s="131" t="n"/>
      <c r="Q168" s="130" t="n"/>
      <c r="R168" s="17" t="n"/>
      <c r="S168" s="129">
        <f>DADOS_AM!$HB$19</f>
        <v/>
      </c>
      <c r="T168" s="17" t="n"/>
      <c r="U168" s="120" t="n"/>
    </row>
    <row r="169" hidden="1" outlineLevel="3">
      <c r="A169" s="8" t="n"/>
      <c r="B169" s="14" t="n"/>
      <c r="C169" s="120" t="n"/>
      <c r="D169" s="131" t="n"/>
      <c r="E169" s="130" t="n"/>
      <c r="F169" s="17" t="n"/>
      <c r="G169" s="129">
        <f>DADOS_AM!$HC$17</f>
        <v/>
      </c>
      <c r="H169" s="17" t="n"/>
      <c r="I169" s="120" t="n"/>
      <c r="J169" s="131" t="n"/>
      <c r="K169" s="130" t="n"/>
      <c r="L169" s="17" t="n"/>
      <c r="M169" s="129">
        <f>DADOS_AM!$HC$18</f>
        <v/>
      </c>
      <c r="N169" s="17" t="n"/>
      <c r="O169" s="120" t="n"/>
      <c r="P169" s="131" t="n"/>
      <c r="Q169" s="130" t="n"/>
      <c r="R169" s="17" t="n"/>
      <c r="S169" s="129">
        <f>DADOS_AM!$HC$19</f>
        <v/>
      </c>
      <c r="T169" s="17" t="n"/>
      <c r="U169" s="120" t="n"/>
    </row>
    <row r="170" hidden="1" outlineLevel="3">
      <c r="A170" s="8" t="n"/>
      <c r="B170" s="14" t="n"/>
      <c r="C170" s="120" t="n"/>
      <c r="D170" s="125" t="n"/>
      <c r="E170" s="130" t="n"/>
      <c r="F170" s="17" t="n"/>
      <c r="G170" s="129">
        <f>DADOS_AM!$HD$17</f>
        <v/>
      </c>
      <c r="H170" s="17" t="n"/>
      <c r="I170" s="120" t="n"/>
      <c r="J170" s="125" t="n"/>
      <c r="K170" s="130" t="n"/>
      <c r="L170" s="17" t="n"/>
      <c r="M170" s="129">
        <f>DADOS_AM!$HD$18</f>
        <v/>
      </c>
      <c r="N170" s="17" t="n"/>
      <c r="O170" s="120" t="n"/>
      <c r="P170" s="125" t="n"/>
      <c r="Q170" s="130" t="n"/>
      <c r="R170" s="17" t="n"/>
      <c r="S170" s="129">
        <f>DADOS_AM!$HD$19</f>
        <v/>
      </c>
      <c r="T170" s="17" t="n"/>
      <c r="U170" s="120" t="n"/>
    </row>
    <row r="171" hidden="1" outlineLevel="3">
      <c r="A171" s="8" t="n"/>
      <c r="B171" s="14" t="n"/>
      <c r="C171" s="120" t="n"/>
      <c r="D171" s="55" t="inlineStr">
        <is>
          <t>RESTRIÇÕES</t>
        </is>
      </c>
      <c r="E171" s="130" t="n"/>
      <c r="F171" s="17" t="n"/>
      <c r="G171" s="129">
        <f>DADOS_AM!$HE$17</f>
        <v/>
      </c>
      <c r="H171" s="17" t="n"/>
      <c r="I171" s="120" t="n"/>
      <c r="J171" s="55" t="inlineStr">
        <is>
          <t>RESTRIÇÕES</t>
        </is>
      </c>
      <c r="K171" s="130" t="n"/>
      <c r="L171" s="17" t="n"/>
      <c r="M171" s="129">
        <f>DADOS_AM!$HE$18</f>
        <v/>
      </c>
      <c r="N171" s="17" t="n"/>
      <c r="O171" s="120" t="n"/>
      <c r="P171" s="55" t="inlineStr">
        <is>
          <t>RESTRIÇÕES</t>
        </is>
      </c>
      <c r="Q171" s="130" t="n"/>
      <c r="R171" s="17" t="n"/>
      <c r="S171" s="129">
        <f>DADOS_AM!$HE$19</f>
        <v/>
      </c>
      <c r="T171" s="17" t="n"/>
      <c r="U171" s="120" t="n"/>
    </row>
    <row r="172" hidden="1" outlineLevel="3">
      <c r="A172" s="8" t="n"/>
      <c r="B172" s="14" t="n"/>
      <c r="C172" s="120" t="n"/>
      <c r="D172" s="125" t="n"/>
      <c r="E172" s="130" t="n"/>
      <c r="F172" s="17" t="n"/>
      <c r="G172" s="129">
        <f>DADOS_AM!$HF$17</f>
        <v/>
      </c>
      <c r="H172" s="17" t="n"/>
      <c r="I172" s="120" t="n"/>
      <c r="J172" s="125" t="n"/>
      <c r="K172" s="130" t="n"/>
      <c r="L172" s="17" t="n"/>
      <c r="M172" s="129">
        <f>DADOS_AM!$HF$18</f>
        <v/>
      </c>
      <c r="N172" s="17" t="n"/>
      <c r="O172" s="120" t="n"/>
      <c r="P172" s="125" t="n"/>
      <c r="Q172" s="130" t="n"/>
      <c r="R172" s="17" t="n"/>
      <c r="S172" s="129">
        <f>DADOS_AM!$HF$19</f>
        <v/>
      </c>
      <c r="T172" s="17" t="n"/>
      <c r="U172" s="120" t="n"/>
    </row>
    <row r="173" hidden="1" outlineLevel="3">
      <c r="A173" s="8" t="n"/>
      <c r="B173" s="14" t="n"/>
      <c r="C173" s="120" t="n"/>
      <c r="D173" s="55" t="inlineStr">
        <is>
          <t>CONTA</t>
        </is>
      </c>
      <c r="E173" s="132">
        <f>DADOS_AM!$GY$17</f>
        <v/>
      </c>
      <c r="F173" s="16" t="n"/>
      <c r="G173" s="16" t="n"/>
      <c r="H173" s="17" t="n"/>
      <c r="I173" s="120" t="n"/>
      <c r="J173" s="55" t="inlineStr">
        <is>
          <t>CONTA</t>
        </is>
      </c>
      <c r="K173" s="132">
        <f>DADOS_AM!$GY$18</f>
        <v/>
      </c>
      <c r="L173" s="16" t="n"/>
      <c r="M173" s="16" t="n"/>
      <c r="N173" s="17" t="n"/>
      <c r="O173" s="120" t="n"/>
      <c r="P173" s="55" t="inlineStr">
        <is>
          <t>CONTA</t>
        </is>
      </c>
      <c r="Q173" s="132">
        <f>DADOS_AM!$GY$19</f>
        <v/>
      </c>
      <c r="R173" s="16" t="n"/>
      <c r="S173" s="16" t="n"/>
      <c r="T173" s="17" t="n"/>
      <c r="U173" s="120" t="n"/>
    </row>
    <row r="174" hidden="1" outlineLevel="3">
      <c r="A174" s="8" t="n"/>
      <c r="B174" s="14" t="n"/>
      <c r="C174" s="120" t="n"/>
      <c r="D174" s="55" t="inlineStr">
        <is>
          <t>AMPLIAR</t>
        </is>
      </c>
      <c r="E174" s="132">
        <f>DADOS_AM!$GZ$17</f>
        <v/>
      </c>
      <c r="F174" s="19" t="n"/>
      <c r="G174" s="19" t="n"/>
      <c r="H174" s="20" t="n"/>
      <c r="I174" s="120" t="n"/>
      <c r="J174" s="55" t="inlineStr">
        <is>
          <t>AMPLIAR</t>
        </is>
      </c>
      <c r="K174" s="132">
        <f>DADOS_AM!$GZ$18</f>
        <v/>
      </c>
      <c r="L174" s="19" t="n"/>
      <c r="M174" s="19" t="n"/>
      <c r="N174" s="20" t="n"/>
      <c r="O174" s="120" t="n"/>
      <c r="P174" s="55" t="inlineStr">
        <is>
          <t>AMPLIAR</t>
        </is>
      </c>
      <c r="Q174" s="132">
        <f>DADOS_AM!$GZ$19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DADOS_AM!$GO$17</f>
        <v/>
      </c>
      <c r="F176" s="19" t="n"/>
      <c r="G176" s="19" t="n"/>
      <c r="H176" s="20" t="n"/>
      <c r="I176" s="120" t="n"/>
      <c r="J176" s="55" t="inlineStr">
        <is>
          <t>AVISOS</t>
        </is>
      </c>
      <c r="K176" s="132">
        <f>DADOS_AM!$GO$18</f>
        <v/>
      </c>
      <c r="L176" s="19" t="n"/>
      <c r="M176" s="19" t="n"/>
      <c r="N176" s="20" t="n"/>
      <c r="O176" s="120" t="n"/>
      <c r="P176" s="55" t="inlineStr">
        <is>
          <t>AVISOS</t>
        </is>
      </c>
      <c r="Q176" s="132">
        <f>DADOS_AM!$GO$19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DADOS_AM!$GN$20</f>
        <v/>
      </c>
      <c r="H179" s="17" t="n"/>
      <c r="I179" s="120" t="n"/>
      <c r="J179" s="127" t="n">
        <v>1</v>
      </c>
      <c r="K179" s="115" t="n"/>
      <c r="L179" s="17" t="n"/>
      <c r="M179" s="128">
        <f>DADOS_AM!$GN$21</f>
        <v/>
      </c>
      <c r="N179" s="17" t="n"/>
      <c r="O179" s="120" t="n"/>
      <c r="P179" s="127" t="n">
        <v>1</v>
      </c>
      <c r="Q179" s="115" t="n"/>
      <c r="R179" s="17" t="n"/>
      <c r="S179" s="128">
        <f>DADOS_AM!$GN$22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DADOS_AM!$GS$20</f>
        <v/>
      </c>
      <c r="F186" s="68">
        <f>DADOS_AM!$GP$20</f>
        <v/>
      </c>
      <c r="G186" s="124">
        <f>DADOS_AM!$GR$20</f>
        <v/>
      </c>
      <c r="H186" s="17" t="n"/>
      <c r="I186" s="120" t="n"/>
      <c r="J186" s="124" t="inlineStr">
        <is>
          <t>Projétil</t>
        </is>
      </c>
      <c r="K186" s="68">
        <f>DADOS_AM!$GS$21</f>
        <v/>
      </c>
      <c r="L186" s="68">
        <f>DADOS_AM!$GP$21</f>
        <v/>
      </c>
      <c r="M186" s="124">
        <f>DADOS_AM!$GR$21</f>
        <v/>
      </c>
      <c r="N186" s="17" t="n"/>
      <c r="O186" s="120" t="n"/>
      <c r="P186" s="124" t="inlineStr">
        <is>
          <t>Projétil</t>
        </is>
      </c>
      <c r="Q186" s="68">
        <f>DADOS_AM!$GS$22</f>
        <v/>
      </c>
      <c r="R186" s="68">
        <f>DADOS_AM!$GP$22</f>
        <v/>
      </c>
      <c r="S186" s="124">
        <f>DADOS_AM!$GR$22</f>
        <v/>
      </c>
      <c r="T186" s="17" t="n"/>
      <c r="U186" s="120" t="n"/>
    </row>
    <row r="187" hidden="1" outlineLevel="2">
      <c r="A187" s="8" t="n"/>
      <c r="B187" s="14" t="n"/>
      <c r="C187" s="120" t="n"/>
      <c r="D187" s="124">
        <f>DADOS_AM!$GQ$20</f>
        <v/>
      </c>
      <c r="E187" s="129">
        <f>DADOS_AM!$GX$20</f>
        <v/>
      </c>
      <c r="F187" s="16" t="n"/>
      <c r="G187" s="16" t="n"/>
      <c r="H187" s="17" t="n"/>
      <c r="I187" s="120" t="n"/>
      <c r="J187" s="124">
        <f>DADOS_AM!$GQ$21</f>
        <v/>
      </c>
      <c r="K187" s="129">
        <f>DADOS_AM!$GX$21</f>
        <v/>
      </c>
      <c r="L187" s="16" t="n"/>
      <c r="M187" s="16" t="n"/>
      <c r="N187" s="17" t="n"/>
      <c r="O187" s="120" t="n"/>
      <c r="P187" s="124">
        <f>DADOS_AM!$GQ$22</f>
        <v/>
      </c>
      <c r="Q187" s="129">
        <f>DADOS_AM!$GX$22</f>
        <v/>
      </c>
      <c r="R187" s="16" t="n"/>
      <c r="S187" s="16" t="n"/>
      <c r="T187" s="17" t="n"/>
      <c r="U187" s="120" t="n"/>
    </row>
    <row r="188" hidden="1" outlineLevel="3">
      <c r="A188" s="8" t="n"/>
      <c r="B188" s="14" t="n"/>
      <c r="C188" s="120" t="n"/>
      <c r="D188" s="55" t="inlineStr">
        <is>
          <t>MELHORIAS</t>
        </is>
      </c>
      <c r="E188" s="130" t="n"/>
      <c r="F188" s="17" t="n"/>
      <c r="G188" s="129">
        <f>DADOS_AM!$HA$20</f>
        <v/>
      </c>
      <c r="H188" s="17" t="n"/>
      <c r="I188" s="120" t="n"/>
      <c r="J188" s="55" t="inlineStr">
        <is>
          <t>MELHORIAS</t>
        </is>
      </c>
      <c r="K188" s="130" t="n"/>
      <c r="L188" s="17" t="n"/>
      <c r="M188" s="129">
        <f>DADOS_AM!$HA$21</f>
        <v/>
      </c>
      <c r="N188" s="17" t="n"/>
      <c r="O188" s="120" t="n"/>
      <c r="P188" s="55" t="inlineStr">
        <is>
          <t>MELHORIAS</t>
        </is>
      </c>
      <c r="Q188" s="130" t="n"/>
      <c r="R188" s="17" t="n"/>
      <c r="S188" s="129">
        <f>DADOS_AM!$HA$22</f>
        <v/>
      </c>
      <c r="T188" s="17" t="n"/>
      <c r="U188" s="120" t="n"/>
    </row>
    <row r="189" hidden="1" outlineLevel="3">
      <c r="A189" s="8" t="n"/>
      <c r="B189" s="14" t="n"/>
      <c r="C189" s="120" t="n"/>
      <c r="D189" s="131" t="n"/>
      <c r="E189" s="130" t="n"/>
      <c r="F189" s="17" t="n"/>
      <c r="G189" s="129">
        <f>DADOS_AM!$HB$20</f>
        <v/>
      </c>
      <c r="H189" s="17" t="n"/>
      <c r="I189" s="120" t="n"/>
      <c r="J189" s="131" t="n"/>
      <c r="K189" s="130" t="n"/>
      <c r="L189" s="17" t="n"/>
      <c r="M189" s="129">
        <f>DADOS_AM!$HB$21</f>
        <v/>
      </c>
      <c r="N189" s="17" t="n"/>
      <c r="O189" s="120" t="n"/>
      <c r="P189" s="131" t="n"/>
      <c r="Q189" s="130" t="n"/>
      <c r="R189" s="17" t="n"/>
      <c r="S189" s="129">
        <f>DADOS_AM!$HB$22</f>
        <v/>
      </c>
      <c r="T189" s="17" t="n"/>
      <c r="U189" s="120" t="n"/>
    </row>
    <row r="190" hidden="1" outlineLevel="3">
      <c r="A190" s="8" t="n"/>
      <c r="B190" s="14" t="n"/>
      <c r="C190" s="120" t="n"/>
      <c r="D190" s="131" t="n"/>
      <c r="E190" s="130" t="n"/>
      <c r="F190" s="17" t="n"/>
      <c r="G190" s="129">
        <f>DADOS_AM!$HC$20</f>
        <v/>
      </c>
      <c r="H190" s="17" t="n"/>
      <c r="I190" s="120" t="n"/>
      <c r="J190" s="131" t="n"/>
      <c r="K190" s="130" t="n"/>
      <c r="L190" s="17" t="n"/>
      <c r="M190" s="129">
        <f>DADOS_AM!$HC$21</f>
        <v/>
      </c>
      <c r="N190" s="17" t="n"/>
      <c r="O190" s="120" t="n"/>
      <c r="P190" s="131" t="n"/>
      <c r="Q190" s="130" t="n"/>
      <c r="R190" s="17" t="n"/>
      <c r="S190" s="129">
        <f>DADOS_AM!$HC$22</f>
        <v/>
      </c>
      <c r="T190" s="17" t="n"/>
      <c r="U190" s="120" t="n"/>
    </row>
    <row r="191" hidden="1" outlineLevel="3">
      <c r="A191" s="8" t="n"/>
      <c r="B191" s="14" t="n"/>
      <c r="C191" s="120" t="n"/>
      <c r="D191" s="125" t="n"/>
      <c r="E191" s="130" t="n"/>
      <c r="F191" s="17" t="n"/>
      <c r="G191" s="129">
        <f>DADOS_AM!$HD$20</f>
        <v/>
      </c>
      <c r="H191" s="17" t="n"/>
      <c r="I191" s="120" t="n"/>
      <c r="J191" s="125" t="n"/>
      <c r="K191" s="130" t="n"/>
      <c r="L191" s="17" t="n"/>
      <c r="M191" s="129">
        <f>DADOS_AM!$HD$21</f>
        <v/>
      </c>
      <c r="N191" s="17" t="n"/>
      <c r="O191" s="120" t="n"/>
      <c r="P191" s="125" t="n"/>
      <c r="Q191" s="130" t="n"/>
      <c r="R191" s="17" t="n"/>
      <c r="S191" s="129">
        <f>DADOS_AM!$HD$22</f>
        <v/>
      </c>
      <c r="T191" s="17" t="n"/>
      <c r="U191" s="120" t="n"/>
    </row>
    <row r="192" hidden="1" outlineLevel="3">
      <c r="A192" s="8" t="n"/>
      <c r="B192" s="14" t="n"/>
      <c r="C192" s="120" t="n"/>
      <c r="D192" s="55" t="inlineStr">
        <is>
          <t>RESTRIÇÕES</t>
        </is>
      </c>
      <c r="E192" s="130" t="n"/>
      <c r="F192" s="17" t="n"/>
      <c r="G192" s="129">
        <f>DADOS_AM!$HE$20</f>
        <v/>
      </c>
      <c r="H192" s="17" t="n"/>
      <c r="I192" s="120" t="n"/>
      <c r="J192" s="55" t="inlineStr">
        <is>
          <t>RESTRIÇÕES</t>
        </is>
      </c>
      <c r="K192" s="130" t="n"/>
      <c r="L192" s="17" t="n"/>
      <c r="M192" s="129">
        <f>DADOS_AM!$HE$21</f>
        <v/>
      </c>
      <c r="N192" s="17" t="n"/>
      <c r="O192" s="120" t="n"/>
      <c r="P192" s="55" t="inlineStr">
        <is>
          <t>RESTRIÇÕES</t>
        </is>
      </c>
      <c r="Q192" s="130" t="n"/>
      <c r="R192" s="17" t="n"/>
      <c r="S192" s="129">
        <f>DADOS_AM!$HE$22</f>
        <v/>
      </c>
      <c r="T192" s="17" t="n"/>
      <c r="U192" s="120" t="n"/>
    </row>
    <row r="193" hidden="1" outlineLevel="3">
      <c r="A193" s="8" t="n"/>
      <c r="B193" s="14" t="n"/>
      <c r="C193" s="120" t="n"/>
      <c r="D193" s="125" t="n"/>
      <c r="E193" s="130" t="n"/>
      <c r="F193" s="17" t="n"/>
      <c r="G193" s="129">
        <f>DADOS_AM!$HF$20</f>
        <v/>
      </c>
      <c r="H193" s="17" t="n"/>
      <c r="I193" s="120" t="n"/>
      <c r="J193" s="125" t="n"/>
      <c r="K193" s="130" t="n"/>
      <c r="L193" s="17" t="n"/>
      <c r="M193" s="129">
        <f>DADOS_AM!$HF$21</f>
        <v/>
      </c>
      <c r="N193" s="17" t="n"/>
      <c r="O193" s="120" t="n"/>
      <c r="P193" s="125" t="n"/>
      <c r="Q193" s="130" t="n"/>
      <c r="R193" s="17" t="n"/>
      <c r="S193" s="129">
        <f>DADOS_AM!$HF$22</f>
        <v/>
      </c>
      <c r="T193" s="17" t="n"/>
      <c r="U193" s="120" t="n"/>
    </row>
    <row r="194" hidden="1" outlineLevel="3">
      <c r="A194" s="8" t="n"/>
      <c r="B194" s="14" t="n"/>
      <c r="C194" s="120" t="n"/>
      <c r="D194" s="55" t="inlineStr">
        <is>
          <t>CONTA</t>
        </is>
      </c>
      <c r="E194" s="132">
        <f>DADOS_AM!$GY$20</f>
        <v/>
      </c>
      <c r="F194" s="16" t="n"/>
      <c r="G194" s="16" t="n"/>
      <c r="H194" s="17" t="n"/>
      <c r="I194" s="120" t="n"/>
      <c r="J194" s="55" t="inlineStr">
        <is>
          <t>CONTA</t>
        </is>
      </c>
      <c r="K194" s="132">
        <f>DADOS_AM!$GY$21</f>
        <v/>
      </c>
      <c r="L194" s="16" t="n"/>
      <c r="M194" s="16" t="n"/>
      <c r="N194" s="17" t="n"/>
      <c r="O194" s="120" t="n"/>
      <c r="P194" s="55" t="inlineStr">
        <is>
          <t>CONTA</t>
        </is>
      </c>
      <c r="Q194" s="132">
        <f>DADOS_AM!$GY$22</f>
        <v/>
      </c>
      <c r="R194" s="16" t="n"/>
      <c r="S194" s="16" t="n"/>
      <c r="T194" s="17" t="n"/>
      <c r="U194" s="120" t="n"/>
    </row>
    <row r="195" hidden="1" outlineLevel="3">
      <c r="A195" s="8" t="n"/>
      <c r="B195" s="14" t="n"/>
      <c r="C195" s="120" t="n"/>
      <c r="D195" s="55" t="inlineStr">
        <is>
          <t>AMPLIAR</t>
        </is>
      </c>
      <c r="E195" s="132">
        <f>DADOS_AM!$GZ$20</f>
        <v/>
      </c>
      <c r="F195" s="19" t="n"/>
      <c r="G195" s="19" t="n"/>
      <c r="H195" s="20" t="n"/>
      <c r="I195" s="120" t="n"/>
      <c r="J195" s="55" t="inlineStr">
        <is>
          <t>AMPLIAR</t>
        </is>
      </c>
      <c r="K195" s="132">
        <f>DADOS_AM!$GZ$21</f>
        <v/>
      </c>
      <c r="L195" s="19" t="n"/>
      <c r="M195" s="19" t="n"/>
      <c r="N195" s="20" t="n"/>
      <c r="O195" s="120" t="n"/>
      <c r="P195" s="55" t="inlineStr">
        <is>
          <t>AMPLIAR</t>
        </is>
      </c>
      <c r="Q195" s="132">
        <f>DADOS_AM!$GZ$22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DADOS_AM!$GO$20</f>
        <v/>
      </c>
      <c r="F197" s="19" t="n"/>
      <c r="G197" s="19" t="n"/>
      <c r="H197" s="20" t="n"/>
      <c r="I197" s="120" t="n"/>
      <c r="J197" s="55" t="inlineStr">
        <is>
          <t>AVISOS</t>
        </is>
      </c>
      <c r="K197" s="132">
        <f>DADOS_AM!$GO$21</f>
        <v/>
      </c>
      <c r="L197" s="19" t="n"/>
      <c r="M197" s="19" t="n"/>
      <c r="N197" s="20" t="n"/>
      <c r="O197" s="120" t="n"/>
      <c r="P197" s="55" t="inlineStr">
        <is>
          <t>AVISOS</t>
        </is>
      </c>
      <c r="Q197" s="132">
        <f>DADOS_AM!$GO$22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DADOS_AM!$GN$23</f>
        <v/>
      </c>
      <c r="H200" s="17" t="n"/>
      <c r="I200" s="120" t="n"/>
      <c r="J200" s="127" t="n">
        <v>1</v>
      </c>
      <c r="K200" s="115" t="n"/>
      <c r="L200" s="17" t="n"/>
      <c r="M200" s="128">
        <f>DADOS_AM!$GN$24</f>
        <v/>
      </c>
      <c r="N200" s="17" t="n"/>
      <c r="O200" s="120" t="n"/>
      <c r="P200" s="127" t="n">
        <v>1</v>
      </c>
      <c r="Q200" s="115" t="n"/>
      <c r="R200" s="17" t="n"/>
      <c r="S200" s="128">
        <f>DADOS_AM!$GN$25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DADOS_AM!$GS$23</f>
        <v/>
      </c>
      <c r="F207" s="68">
        <f>DADOS_AM!$GP$23</f>
        <v/>
      </c>
      <c r="G207" s="124">
        <f>DADOS_AM!$GR$23</f>
        <v/>
      </c>
      <c r="H207" s="17" t="n"/>
      <c r="I207" s="120" t="n"/>
      <c r="J207" s="124" t="inlineStr">
        <is>
          <t>Projétil</t>
        </is>
      </c>
      <c r="K207" s="68">
        <f>DADOS_AM!$GS$24</f>
        <v/>
      </c>
      <c r="L207" s="68">
        <f>DADOS_AM!$GP$24</f>
        <v/>
      </c>
      <c r="M207" s="124">
        <f>DADOS_AM!$GR$24</f>
        <v/>
      </c>
      <c r="N207" s="17" t="n"/>
      <c r="O207" s="120" t="n"/>
      <c r="P207" s="124" t="inlineStr">
        <is>
          <t>Projétil</t>
        </is>
      </c>
      <c r="Q207" s="68">
        <f>DADOS_AM!$GS$25</f>
        <v/>
      </c>
      <c r="R207" s="68">
        <f>DADOS_AM!$GP$25</f>
        <v/>
      </c>
      <c r="S207" s="124">
        <f>DADOS_AM!$GR$25</f>
        <v/>
      </c>
      <c r="T207" s="17" t="n"/>
      <c r="U207" s="120" t="n"/>
    </row>
    <row r="208" hidden="1" outlineLevel="2">
      <c r="A208" s="8" t="n"/>
      <c r="B208" s="14" t="n"/>
      <c r="C208" s="120" t="n"/>
      <c r="D208" s="124">
        <f>DADOS_AM!$GQ$23</f>
        <v/>
      </c>
      <c r="E208" s="129">
        <f>DADOS_AM!$GX$23</f>
        <v/>
      </c>
      <c r="F208" s="16" t="n"/>
      <c r="G208" s="16" t="n"/>
      <c r="H208" s="17" t="n"/>
      <c r="I208" s="120" t="n"/>
      <c r="J208" s="124">
        <f>DADOS_AM!$GQ$24</f>
        <v/>
      </c>
      <c r="K208" s="129">
        <f>DADOS_AM!$GX$24</f>
        <v/>
      </c>
      <c r="L208" s="16" t="n"/>
      <c r="M208" s="16" t="n"/>
      <c r="N208" s="17" t="n"/>
      <c r="O208" s="120" t="n"/>
      <c r="P208" s="124">
        <f>DADOS_AM!$GQ$25</f>
        <v/>
      </c>
      <c r="Q208" s="129">
        <f>DADOS_AM!$GX$25</f>
        <v/>
      </c>
      <c r="R208" s="16" t="n"/>
      <c r="S208" s="16" t="n"/>
      <c r="T208" s="17" t="n"/>
      <c r="U208" s="120" t="n"/>
    </row>
    <row r="209" hidden="1" outlineLevel="3">
      <c r="A209" s="8" t="n"/>
      <c r="B209" s="14" t="n"/>
      <c r="C209" s="120" t="n"/>
      <c r="D209" s="55" t="inlineStr">
        <is>
          <t>MELHORIAS</t>
        </is>
      </c>
      <c r="E209" s="130" t="n"/>
      <c r="F209" s="17" t="n"/>
      <c r="G209" s="129">
        <f>DADOS_AM!$HA$23</f>
        <v/>
      </c>
      <c r="H209" s="17" t="n"/>
      <c r="I209" s="120" t="n"/>
      <c r="J209" s="55" t="inlineStr">
        <is>
          <t>MELHORIAS</t>
        </is>
      </c>
      <c r="K209" s="130" t="n"/>
      <c r="L209" s="17" t="n"/>
      <c r="M209" s="129">
        <f>DADOS_AM!$HA$24</f>
        <v/>
      </c>
      <c r="N209" s="17" t="n"/>
      <c r="O209" s="120" t="n"/>
      <c r="P209" s="55" t="inlineStr">
        <is>
          <t>MELHORIAS</t>
        </is>
      </c>
      <c r="Q209" s="130" t="n"/>
      <c r="R209" s="17" t="n"/>
      <c r="S209" s="129">
        <f>DADOS_AM!$HA$25</f>
        <v/>
      </c>
      <c r="T209" s="17" t="n"/>
      <c r="U209" s="120" t="n"/>
    </row>
    <row r="210" hidden="1" outlineLevel="3">
      <c r="A210" s="8" t="n"/>
      <c r="B210" s="14" t="n"/>
      <c r="C210" s="120" t="n"/>
      <c r="D210" s="131" t="n"/>
      <c r="E210" s="130" t="n"/>
      <c r="F210" s="17" t="n"/>
      <c r="G210" s="129">
        <f>DADOS_AM!$HB$23</f>
        <v/>
      </c>
      <c r="H210" s="17" t="n"/>
      <c r="I210" s="120" t="n"/>
      <c r="J210" s="131" t="n"/>
      <c r="K210" s="130" t="n"/>
      <c r="L210" s="17" t="n"/>
      <c r="M210" s="129">
        <f>DADOS_AM!$HB$24</f>
        <v/>
      </c>
      <c r="N210" s="17" t="n"/>
      <c r="O210" s="120" t="n"/>
      <c r="P210" s="131" t="n"/>
      <c r="Q210" s="130" t="n"/>
      <c r="R210" s="17" t="n"/>
      <c r="S210" s="129">
        <f>DADOS_AM!$HB$25</f>
        <v/>
      </c>
      <c r="T210" s="17" t="n"/>
      <c r="U210" s="120" t="n"/>
    </row>
    <row r="211" hidden="1" outlineLevel="3">
      <c r="A211" s="8" t="n"/>
      <c r="B211" s="14" t="n"/>
      <c r="C211" s="120" t="n"/>
      <c r="D211" s="131" t="n"/>
      <c r="E211" s="130" t="n"/>
      <c r="F211" s="17" t="n"/>
      <c r="G211" s="129">
        <f>DADOS_AM!$HC$23</f>
        <v/>
      </c>
      <c r="H211" s="17" t="n"/>
      <c r="I211" s="120" t="n"/>
      <c r="J211" s="131" t="n"/>
      <c r="K211" s="130" t="n"/>
      <c r="L211" s="17" t="n"/>
      <c r="M211" s="129">
        <f>DADOS_AM!$HC$24</f>
        <v/>
      </c>
      <c r="N211" s="17" t="n"/>
      <c r="O211" s="120" t="n"/>
      <c r="P211" s="131" t="n"/>
      <c r="Q211" s="130" t="n"/>
      <c r="R211" s="17" t="n"/>
      <c r="S211" s="129">
        <f>DADOS_AM!$HC$25</f>
        <v/>
      </c>
      <c r="T211" s="17" t="n"/>
      <c r="U211" s="120" t="n"/>
    </row>
    <row r="212" hidden="1" outlineLevel="3">
      <c r="A212" s="8" t="n"/>
      <c r="B212" s="14" t="n"/>
      <c r="C212" s="120" t="n"/>
      <c r="D212" s="125" t="n"/>
      <c r="E212" s="130" t="n"/>
      <c r="F212" s="17" t="n"/>
      <c r="G212" s="129">
        <f>DADOS_AM!$HD$23</f>
        <v/>
      </c>
      <c r="H212" s="17" t="n"/>
      <c r="I212" s="120" t="n"/>
      <c r="J212" s="125" t="n"/>
      <c r="K212" s="130" t="n"/>
      <c r="L212" s="17" t="n"/>
      <c r="M212" s="129">
        <f>DADOS_AM!$HD$24</f>
        <v/>
      </c>
      <c r="N212" s="17" t="n"/>
      <c r="O212" s="120" t="n"/>
      <c r="P212" s="125" t="n"/>
      <c r="Q212" s="130" t="n"/>
      <c r="R212" s="17" t="n"/>
      <c r="S212" s="129">
        <f>DADOS_AM!$HD$25</f>
        <v/>
      </c>
      <c r="T212" s="17" t="n"/>
      <c r="U212" s="120" t="n"/>
    </row>
    <row r="213" hidden="1" outlineLevel="3">
      <c r="A213" s="8" t="n"/>
      <c r="B213" s="14" t="n"/>
      <c r="C213" s="120" t="n"/>
      <c r="D213" s="55" t="inlineStr">
        <is>
          <t>RESTRIÇÕES</t>
        </is>
      </c>
      <c r="E213" s="130" t="n"/>
      <c r="F213" s="17" t="n"/>
      <c r="G213" s="129">
        <f>DADOS_AM!$HE$23</f>
        <v/>
      </c>
      <c r="H213" s="17" t="n"/>
      <c r="I213" s="120" t="n"/>
      <c r="J213" s="55" t="inlineStr">
        <is>
          <t>RESTRIÇÕES</t>
        </is>
      </c>
      <c r="K213" s="130" t="n"/>
      <c r="L213" s="17" t="n"/>
      <c r="M213" s="129">
        <f>DADOS_AM!$HE$24</f>
        <v/>
      </c>
      <c r="N213" s="17" t="n"/>
      <c r="O213" s="120" t="n"/>
      <c r="P213" s="55" t="inlineStr">
        <is>
          <t>RESTRIÇÕES</t>
        </is>
      </c>
      <c r="Q213" s="130" t="n"/>
      <c r="R213" s="17" t="n"/>
      <c r="S213" s="129">
        <f>DADOS_AM!$HE$25</f>
        <v/>
      </c>
      <c r="T213" s="17" t="n"/>
      <c r="U213" s="120" t="n"/>
    </row>
    <row r="214" hidden="1" outlineLevel="3">
      <c r="A214" s="8" t="n"/>
      <c r="B214" s="14" t="n"/>
      <c r="C214" s="120" t="n"/>
      <c r="D214" s="125" t="n"/>
      <c r="E214" s="130" t="n"/>
      <c r="F214" s="17" t="n"/>
      <c r="G214" s="129">
        <f>DADOS_AM!$HF$23</f>
        <v/>
      </c>
      <c r="H214" s="17" t="n"/>
      <c r="I214" s="120" t="n"/>
      <c r="J214" s="125" t="n"/>
      <c r="K214" s="130" t="n"/>
      <c r="L214" s="17" t="n"/>
      <c r="M214" s="129">
        <f>DADOS_AM!$HF$24</f>
        <v/>
      </c>
      <c r="N214" s="17" t="n"/>
      <c r="O214" s="120" t="n"/>
      <c r="P214" s="125" t="n"/>
      <c r="Q214" s="130" t="n"/>
      <c r="R214" s="17" t="n"/>
      <c r="S214" s="129">
        <f>DADOS_AM!$HF$25</f>
        <v/>
      </c>
      <c r="T214" s="17" t="n"/>
      <c r="U214" s="120" t="n"/>
    </row>
    <row r="215" hidden="1" outlineLevel="3">
      <c r="A215" s="8" t="n"/>
      <c r="B215" s="14" t="n"/>
      <c r="C215" s="120" t="n"/>
      <c r="D215" s="55" t="inlineStr">
        <is>
          <t>CONTA</t>
        </is>
      </c>
      <c r="E215" s="132">
        <f>DADOS_AM!$GY$23</f>
        <v/>
      </c>
      <c r="F215" s="16" t="n"/>
      <c r="G215" s="16" t="n"/>
      <c r="H215" s="17" t="n"/>
      <c r="I215" s="120" t="n"/>
      <c r="J215" s="55" t="inlineStr">
        <is>
          <t>CONTA</t>
        </is>
      </c>
      <c r="K215" s="132">
        <f>DADOS_AM!$GY$24</f>
        <v/>
      </c>
      <c r="L215" s="16" t="n"/>
      <c r="M215" s="16" t="n"/>
      <c r="N215" s="17" t="n"/>
      <c r="O215" s="120" t="n"/>
      <c r="P215" s="55" t="inlineStr">
        <is>
          <t>CONTA</t>
        </is>
      </c>
      <c r="Q215" s="132">
        <f>DADOS_AM!$GY$25</f>
        <v/>
      </c>
      <c r="R215" s="16" t="n"/>
      <c r="S215" s="16" t="n"/>
      <c r="T215" s="17" t="n"/>
      <c r="U215" s="120" t="n"/>
    </row>
    <row r="216" hidden="1" outlineLevel="3">
      <c r="A216" s="8" t="n"/>
      <c r="B216" s="14" t="n"/>
      <c r="C216" s="120" t="n"/>
      <c r="D216" s="55" t="inlineStr">
        <is>
          <t>AMPLIAR</t>
        </is>
      </c>
      <c r="E216" s="132">
        <f>DADOS_AM!$GZ$23</f>
        <v/>
      </c>
      <c r="F216" s="19" t="n"/>
      <c r="G216" s="19" t="n"/>
      <c r="H216" s="20" t="n"/>
      <c r="I216" s="120" t="n"/>
      <c r="J216" s="55" t="inlineStr">
        <is>
          <t>AMPLIAR</t>
        </is>
      </c>
      <c r="K216" s="132">
        <f>DADOS_AM!$GZ$24</f>
        <v/>
      </c>
      <c r="L216" s="19" t="n"/>
      <c r="M216" s="19" t="n"/>
      <c r="N216" s="20" t="n"/>
      <c r="O216" s="120" t="n"/>
      <c r="P216" s="55" t="inlineStr">
        <is>
          <t>AMPLIAR</t>
        </is>
      </c>
      <c r="Q216" s="132">
        <f>DADOS_AM!$GZ$25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DADOS_AM!$GO$23</f>
        <v/>
      </c>
      <c r="F218" s="19" t="n"/>
      <c r="G218" s="19" t="n"/>
      <c r="H218" s="20" t="n"/>
      <c r="I218" s="120" t="n"/>
      <c r="J218" s="55" t="inlineStr">
        <is>
          <t>AVISOS</t>
        </is>
      </c>
      <c r="K218" s="132">
        <f>DADOS_AM!$GO$24</f>
        <v/>
      </c>
      <c r="L218" s="19" t="n"/>
      <c r="M218" s="19" t="n"/>
      <c r="N218" s="20" t="n"/>
      <c r="O218" s="120" t="n"/>
      <c r="P218" s="55" t="inlineStr">
        <is>
          <t>AVISOS</t>
        </is>
      </c>
      <c r="Q218" s="132">
        <f>DADOS_AM!$GO$25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DADOS_AM!$KT$34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DADOS_AM!$GN$26</f>
        <v/>
      </c>
      <c r="H223" s="17" t="n"/>
      <c r="I223" s="120" t="n"/>
      <c r="J223" s="127" t="n">
        <v>1</v>
      </c>
      <c r="K223" s="115" t="n"/>
      <c r="L223" s="17" t="n"/>
      <c r="M223" s="128">
        <f>DADOS_AM!$GN$27</f>
        <v/>
      </c>
      <c r="N223" s="17" t="n"/>
      <c r="O223" s="120" t="n"/>
      <c r="P223" s="127" t="n">
        <v>1</v>
      </c>
      <c r="Q223" s="115" t="n"/>
      <c r="R223" s="17" t="n"/>
      <c r="S223" s="128">
        <f>DADOS_AM!$GN$28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DADOS_AM!$GS$26</f>
        <v/>
      </c>
      <c r="F230" s="68">
        <f>DADOS_AM!$GP$26</f>
        <v/>
      </c>
      <c r="G230" s="124">
        <f>DADOS_AM!$GR$26</f>
        <v/>
      </c>
      <c r="H230" s="17" t="n"/>
      <c r="I230" s="120" t="n"/>
      <c r="J230" s="124" t="inlineStr">
        <is>
          <t>Projétil</t>
        </is>
      </c>
      <c r="K230" s="68">
        <f>DADOS_AM!$GS$27</f>
        <v/>
      </c>
      <c r="L230" s="68">
        <f>DADOS_AM!$GP$27</f>
        <v/>
      </c>
      <c r="M230" s="124">
        <f>DADOS_AM!$GR$27</f>
        <v/>
      </c>
      <c r="N230" s="17" t="n"/>
      <c r="O230" s="120" t="n"/>
      <c r="P230" s="124" t="inlineStr">
        <is>
          <t>Projétil</t>
        </is>
      </c>
      <c r="Q230" s="68">
        <f>DADOS_AM!$GS$28</f>
        <v/>
      </c>
      <c r="R230" s="68">
        <f>DADOS_AM!$GP$28</f>
        <v/>
      </c>
      <c r="S230" s="124">
        <f>DADOS_AM!$GR$28</f>
        <v/>
      </c>
      <c r="T230" s="17" t="n"/>
      <c r="U230" s="120" t="n"/>
    </row>
    <row r="231" hidden="1" outlineLevel="2">
      <c r="A231" s="8" t="n"/>
      <c r="B231" s="14" t="n"/>
      <c r="C231" s="120" t="n"/>
      <c r="D231" s="124">
        <f>DADOS_AM!$GQ$26</f>
        <v/>
      </c>
      <c r="E231" s="129">
        <f>DADOS_AM!$GX$26</f>
        <v/>
      </c>
      <c r="F231" s="16" t="n"/>
      <c r="G231" s="16" t="n"/>
      <c r="H231" s="17" t="n"/>
      <c r="I231" s="120" t="n"/>
      <c r="J231" s="124">
        <f>DADOS_AM!$GQ$27</f>
        <v/>
      </c>
      <c r="K231" s="129">
        <f>DADOS_AM!$GX$27</f>
        <v/>
      </c>
      <c r="L231" s="16" t="n"/>
      <c r="M231" s="16" t="n"/>
      <c r="N231" s="17" t="n"/>
      <c r="O231" s="120" t="n"/>
      <c r="P231" s="124">
        <f>DADOS_AM!$GQ$28</f>
        <v/>
      </c>
      <c r="Q231" s="129">
        <f>DADOS_AM!$GX$28</f>
        <v/>
      </c>
      <c r="R231" s="16" t="n"/>
      <c r="S231" s="16" t="n"/>
      <c r="T231" s="17" t="n"/>
      <c r="U231" s="120" t="n"/>
    </row>
    <row r="232" hidden="1" outlineLevel="3">
      <c r="A232" s="8" t="n"/>
      <c r="B232" s="14" t="n"/>
      <c r="C232" s="120" t="n"/>
      <c r="D232" s="55" t="inlineStr">
        <is>
          <t>MELHORIAS</t>
        </is>
      </c>
      <c r="E232" s="130" t="n"/>
      <c r="F232" s="17" t="n"/>
      <c r="G232" s="129">
        <f>DADOS_AM!$HA$26</f>
        <v/>
      </c>
      <c r="H232" s="17" t="n"/>
      <c r="I232" s="120" t="n"/>
      <c r="J232" s="55" t="inlineStr">
        <is>
          <t>MELHORIAS</t>
        </is>
      </c>
      <c r="K232" s="130" t="n"/>
      <c r="L232" s="17" t="n"/>
      <c r="M232" s="129">
        <f>DADOS_AM!$HA$27</f>
        <v/>
      </c>
      <c r="N232" s="17" t="n"/>
      <c r="O232" s="120" t="n"/>
      <c r="P232" s="55" t="inlineStr">
        <is>
          <t>MELHORIAS</t>
        </is>
      </c>
      <c r="Q232" s="130" t="n"/>
      <c r="R232" s="17" t="n"/>
      <c r="S232" s="129">
        <f>DADOS_AM!$HA$28</f>
        <v/>
      </c>
      <c r="T232" s="17" t="n"/>
      <c r="U232" s="120" t="n"/>
    </row>
    <row r="233" hidden="1" outlineLevel="3">
      <c r="A233" s="8" t="n"/>
      <c r="B233" s="14" t="n"/>
      <c r="C233" s="120" t="n"/>
      <c r="D233" s="131" t="n"/>
      <c r="E233" s="130" t="n"/>
      <c r="F233" s="17" t="n"/>
      <c r="G233" s="129">
        <f>DADOS_AM!$HB$26</f>
        <v/>
      </c>
      <c r="H233" s="17" t="n"/>
      <c r="I233" s="120" t="n"/>
      <c r="J233" s="131" t="n"/>
      <c r="K233" s="130" t="n"/>
      <c r="L233" s="17" t="n"/>
      <c r="M233" s="129">
        <f>DADOS_AM!$HB$27</f>
        <v/>
      </c>
      <c r="N233" s="17" t="n"/>
      <c r="O233" s="120" t="n"/>
      <c r="P233" s="131" t="n"/>
      <c r="Q233" s="130" t="n"/>
      <c r="R233" s="17" t="n"/>
      <c r="S233" s="129">
        <f>DADOS_AM!$HB$28</f>
        <v/>
      </c>
      <c r="T233" s="17" t="n"/>
      <c r="U233" s="120" t="n"/>
    </row>
    <row r="234" hidden="1" outlineLevel="3">
      <c r="A234" s="8" t="n"/>
      <c r="B234" s="14" t="n"/>
      <c r="C234" s="120" t="n"/>
      <c r="D234" s="131" t="n"/>
      <c r="E234" s="130" t="n"/>
      <c r="F234" s="17" t="n"/>
      <c r="G234" s="129">
        <f>DADOS_AM!$HC$26</f>
        <v/>
      </c>
      <c r="H234" s="17" t="n"/>
      <c r="I234" s="120" t="n"/>
      <c r="J234" s="131" t="n"/>
      <c r="K234" s="130" t="n"/>
      <c r="L234" s="17" t="n"/>
      <c r="M234" s="129">
        <f>DADOS_AM!$HC$27</f>
        <v/>
      </c>
      <c r="N234" s="17" t="n"/>
      <c r="O234" s="120" t="n"/>
      <c r="P234" s="131" t="n"/>
      <c r="Q234" s="130" t="n"/>
      <c r="R234" s="17" t="n"/>
      <c r="S234" s="129">
        <f>DADOS_AM!$HC$28</f>
        <v/>
      </c>
      <c r="T234" s="17" t="n"/>
      <c r="U234" s="120" t="n"/>
    </row>
    <row r="235" hidden="1" outlineLevel="3">
      <c r="A235" s="8" t="n"/>
      <c r="B235" s="14" t="n"/>
      <c r="C235" s="120" t="n"/>
      <c r="D235" s="125" t="n"/>
      <c r="E235" s="130" t="n"/>
      <c r="F235" s="17" t="n"/>
      <c r="G235" s="129">
        <f>DADOS_AM!$HD$26</f>
        <v/>
      </c>
      <c r="H235" s="17" t="n"/>
      <c r="I235" s="120" t="n"/>
      <c r="J235" s="125" t="n"/>
      <c r="K235" s="130" t="n"/>
      <c r="L235" s="17" t="n"/>
      <c r="M235" s="129">
        <f>DADOS_AM!$HD$27</f>
        <v/>
      </c>
      <c r="N235" s="17" t="n"/>
      <c r="O235" s="120" t="n"/>
      <c r="P235" s="125" t="n"/>
      <c r="Q235" s="130" t="n"/>
      <c r="R235" s="17" t="n"/>
      <c r="S235" s="129">
        <f>DADOS_AM!$HD$28</f>
        <v/>
      </c>
      <c r="T235" s="17" t="n"/>
      <c r="U235" s="120" t="n"/>
    </row>
    <row r="236" hidden="1" outlineLevel="3">
      <c r="A236" s="8" t="n"/>
      <c r="B236" s="14" t="n"/>
      <c r="C236" s="120" t="n"/>
      <c r="D236" s="55" t="inlineStr">
        <is>
          <t>RESTRIÇÕES</t>
        </is>
      </c>
      <c r="E236" s="130" t="n"/>
      <c r="F236" s="17" t="n"/>
      <c r="G236" s="129">
        <f>DADOS_AM!$HE$26</f>
        <v/>
      </c>
      <c r="H236" s="17" t="n"/>
      <c r="I236" s="120" t="n"/>
      <c r="J236" s="55" t="inlineStr">
        <is>
          <t>RESTRIÇÕES</t>
        </is>
      </c>
      <c r="K236" s="130" t="n"/>
      <c r="L236" s="17" t="n"/>
      <c r="M236" s="129">
        <f>DADOS_AM!$HE$27</f>
        <v/>
      </c>
      <c r="N236" s="17" t="n"/>
      <c r="O236" s="120" t="n"/>
      <c r="P236" s="55" t="inlineStr">
        <is>
          <t>RESTRIÇÕES</t>
        </is>
      </c>
      <c r="Q236" s="130" t="n"/>
      <c r="R236" s="17" t="n"/>
      <c r="S236" s="129">
        <f>DADOS_AM!$HE$28</f>
        <v/>
      </c>
      <c r="T236" s="17" t="n"/>
      <c r="U236" s="120" t="n"/>
    </row>
    <row r="237" hidden="1" outlineLevel="3">
      <c r="A237" s="8" t="n"/>
      <c r="B237" s="14" t="n"/>
      <c r="C237" s="120" t="n"/>
      <c r="D237" s="125" t="n"/>
      <c r="E237" s="130" t="n"/>
      <c r="F237" s="17" t="n"/>
      <c r="G237" s="129">
        <f>DADOS_AM!$HF$26</f>
        <v/>
      </c>
      <c r="H237" s="17" t="n"/>
      <c r="I237" s="120" t="n"/>
      <c r="J237" s="125" t="n"/>
      <c r="K237" s="130" t="n"/>
      <c r="L237" s="17" t="n"/>
      <c r="M237" s="129">
        <f>DADOS_AM!$HF$27</f>
        <v/>
      </c>
      <c r="N237" s="17" t="n"/>
      <c r="O237" s="120" t="n"/>
      <c r="P237" s="125" t="n"/>
      <c r="Q237" s="130" t="n"/>
      <c r="R237" s="17" t="n"/>
      <c r="S237" s="129">
        <f>DADOS_AM!$HF$28</f>
        <v/>
      </c>
      <c r="T237" s="17" t="n"/>
      <c r="U237" s="120" t="n"/>
    </row>
    <row r="238" hidden="1" outlineLevel="3">
      <c r="A238" s="8" t="n"/>
      <c r="B238" s="14" t="n"/>
      <c r="C238" s="120" t="n"/>
      <c r="D238" s="55" t="inlineStr">
        <is>
          <t>CONTA</t>
        </is>
      </c>
      <c r="E238" s="132">
        <f>DADOS_AM!$GY$26</f>
        <v/>
      </c>
      <c r="F238" s="16" t="n"/>
      <c r="G238" s="16" t="n"/>
      <c r="H238" s="17" t="n"/>
      <c r="I238" s="120" t="n"/>
      <c r="J238" s="55" t="inlineStr">
        <is>
          <t>CONTA</t>
        </is>
      </c>
      <c r="K238" s="132">
        <f>DADOS_AM!$GY$27</f>
        <v/>
      </c>
      <c r="L238" s="16" t="n"/>
      <c r="M238" s="16" t="n"/>
      <c r="N238" s="17" t="n"/>
      <c r="O238" s="120" t="n"/>
      <c r="P238" s="55" t="inlineStr">
        <is>
          <t>CONTA</t>
        </is>
      </c>
      <c r="Q238" s="132">
        <f>DADOS_AM!$GY$28</f>
        <v/>
      </c>
      <c r="R238" s="16" t="n"/>
      <c r="S238" s="16" t="n"/>
      <c r="T238" s="17" t="n"/>
      <c r="U238" s="120" t="n"/>
    </row>
    <row r="239" hidden="1" outlineLevel="3">
      <c r="A239" s="8" t="n"/>
      <c r="B239" s="14" t="n"/>
      <c r="C239" s="120" t="n"/>
      <c r="D239" s="55" t="inlineStr">
        <is>
          <t>AMPLIAR</t>
        </is>
      </c>
      <c r="E239" s="132">
        <f>DADOS_AM!$GZ$26</f>
        <v/>
      </c>
      <c r="F239" s="19" t="n"/>
      <c r="G239" s="19" t="n"/>
      <c r="H239" s="20" t="n"/>
      <c r="I239" s="120" t="n"/>
      <c r="J239" s="55" t="inlineStr">
        <is>
          <t>AMPLIAR</t>
        </is>
      </c>
      <c r="K239" s="132">
        <f>DADOS_AM!$GZ$27</f>
        <v/>
      </c>
      <c r="L239" s="19" t="n"/>
      <c r="M239" s="19" t="n"/>
      <c r="N239" s="20" t="n"/>
      <c r="O239" s="120" t="n"/>
      <c r="P239" s="55" t="inlineStr">
        <is>
          <t>AMPLIAR</t>
        </is>
      </c>
      <c r="Q239" s="132">
        <f>DADOS_AM!$GZ$28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DADOS_AM!$GO$26</f>
        <v/>
      </c>
      <c r="F241" s="19" t="n"/>
      <c r="G241" s="19" t="n"/>
      <c r="H241" s="20" t="n"/>
      <c r="I241" s="120" t="n"/>
      <c r="J241" s="55" t="inlineStr">
        <is>
          <t>AVISOS</t>
        </is>
      </c>
      <c r="K241" s="132">
        <f>DADOS_AM!$GO$27</f>
        <v/>
      </c>
      <c r="L241" s="19" t="n"/>
      <c r="M241" s="19" t="n"/>
      <c r="N241" s="20" t="n"/>
      <c r="O241" s="120" t="n"/>
      <c r="P241" s="55" t="inlineStr">
        <is>
          <t>AVISOS</t>
        </is>
      </c>
      <c r="Q241" s="132">
        <f>DADOS_AM!$GO$28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DADOS_AM!$GN$29</f>
        <v/>
      </c>
      <c r="H244" s="17" t="n"/>
      <c r="I244" s="120" t="n"/>
      <c r="J244" s="127" t="n">
        <v>1</v>
      </c>
      <c r="K244" s="115" t="n"/>
      <c r="L244" s="17" t="n"/>
      <c r="M244" s="128">
        <f>DADOS_AM!$GN$30</f>
        <v/>
      </c>
      <c r="N244" s="17" t="n"/>
      <c r="O244" s="120" t="n"/>
      <c r="P244" s="127" t="n">
        <v>1</v>
      </c>
      <c r="Q244" s="115" t="n"/>
      <c r="R244" s="17" t="n"/>
      <c r="S244" s="128">
        <f>DADOS_AM!$GN$31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DADOS_AM!$GS$29</f>
        <v/>
      </c>
      <c r="F251" s="68">
        <f>DADOS_AM!$GP$29</f>
        <v/>
      </c>
      <c r="G251" s="124">
        <f>DADOS_AM!$GR$29</f>
        <v/>
      </c>
      <c r="H251" s="17" t="n"/>
      <c r="I251" s="120" t="n"/>
      <c r="J251" s="124" t="inlineStr">
        <is>
          <t>Projétil</t>
        </is>
      </c>
      <c r="K251" s="68">
        <f>DADOS_AM!$GS$30</f>
        <v/>
      </c>
      <c r="L251" s="68">
        <f>DADOS_AM!$GP$30</f>
        <v/>
      </c>
      <c r="M251" s="124">
        <f>DADOS_AM!$GR$30</f>
        <v/>
      </c>
      <c r="N251" s="17" t="n"/>
      <c r="O251" s="120" t="n"/>
      <c r="P251" s="124" t="inlineStr">
        <is>
          <t>Projétil</t>
        </is>
      </c>
      <c r="Q251" s="68">
        <f>DADOS_AM!$GS$31</f>
        <v/>
      </c>
      <c r="R251" s="68">
        <f>DADOS_AM!$GP$31</f>
        <v/>
      </c>
      <c r="S251" s="124">
        <f>DADOS_AM!$GR$31</f>
        <v/>
      </c>
      <c r="T251" s="17" t="n"/>
      <c r="U251" s="120" t="n"/>
    </row>
    <row r="252" hidden="1" outlineLevel="2">
      <c r="A252" s="8" t="n"/>
      <c r="B252" s="14" t="n"/>
      <c r="C252" s="120" t="n"/>
      <c r="D252" s="124">
        <f>DADOS_AM!$GQ$29</f>
        <v/>
      </c>
      <c r="E252" s="129">
        <f>DADOS_AM!$GX$29</f>
        <v/>
      </c>
      <c r="F252" s="16" t="n"/>
      <c r="G252" s="16" t="n"/>
      <c r="H252" s="17" t="n"/>
      <c r="I252" s="120" t="n"/>
      <c r="J252" s="124">
        <f>DADOS_AM!$GQ$30</f>
        <v/>
      </c>
      <c r="K252" s="129">
        <f>DADOS_AM!$GX$30</f>
        <v/>
      </c>
      <c r="L252" s="16" t="n"/>
      <c r="M252" s="16" t="n"/>
      <c r="N252" s="17" t="n"/>
      <c r="O252" s="120" t="n"/>
      <c r="P252" s="124">
        <f>DADOS_AM!$GQ$31</f>
        <v/>
      </c>
      <c r="Q252" s="129">
        <f>DADOS_AM!$GX$31</f>
        <v/>
      </c>
      <c r="R252" s="16" t="n"/>
      <c r="S252" s="16" t="n"/>
      <c r="T252" s="17" t="n"/>
      <c r="U252" s="120" t="n"/>
    </row>
    <row r="253" hidden="1" outlineLevel="3">
      <c r="A253" s="8" t="n"/>
      <c r="B253" s="14" t="n"/>
      <c r="C253" s="120" t="n"/>
      <c r="D253" s="55" t="inlineStr">
        <is>
          <t>MELHORIAS</t>
        </is>
      </c>
      <c r="E253" s="130" t="n"/>
      <c r="F253" s="17" t="n"/>
      <c r="G253" s="129">
        <f>DADOS_AM!$HA$29</f>
        <v/>
      </c>
      <c r="H253" s="17" t="n"/>
      <c r="I253" s="120" t="n"/>
      <c r="J253" s="55" t="inlineStr">
        <is>
          <t>MELHORIAS</t>
        </is>
      </c>
      <c r="K253" s="130" t="n"/>
      <c r="L253" s="17" t="n"/>
      <c r="M253" s="129">
        <f>DADOS_AM!$HA$30</f>
        <v/>
      </c>
      <c r="N253" s="17" t="n"/>
      <c r="O253" s="120" t="n"/>
      <c r="P253" s="55" t="inlineStr">
        <is>
          <t>MELHORIAS</t>
        </is>
      </c>
      <c r="Q253" s="130" t="n"/>
      <c r="R253" s="17" t="n"/>
      <c r="S253" s="129">
        <f>DADOS_AM!$HA$31</f>
        <v/>
      </c>
      <c r="T253" s="17" t="n"/>
      <c r="U253" s="120" t="n"/>
    </row>
    <row r="254" hidden="1" outlineLevel="3">
      <c r="A254" s="8" t="n"/>
      <c r="B254" s="14" t="n"/>
      <c r="C254" s="120" t="n"/>
      <c r="D254" s="131" t="n"/>
      <c r="E254" s="130" t="n"/>
      <c r="F254" s="17" t="n"/>
      <c r="G254" s="129">
        <f>DADOS_AM!$HB$29</f>
        <v/>
      </c>
      <c r="H254" s="17" t="n"/>
      <c r="I254" s="120" t="n"/>
      <c r="J254" s="131" t="n"/>
      <c r="K254" s="130" t="n"/>
      <c r="L254" s="17" t="n"/>
      <c r="M254" s="129">
        <f>DADOS_AM!$HB$30</f>
        <v/>
      </c>
      <c r="N254" s="17" t="n"/>
      <c r="O254" s="120" t="n"/>
      <c r="P254" s="131" t="n"/>
      <c r="Q254" s="130" t="n"/>
      <c r="R254" s="17" t="n"/>
      <c r="S254" s="129">
        <f>DADOS_AM!$HB$31</f>
        <v/>
      </c>
      <c r="T254" s="17" t="n"/>
      <c r="U254" s="120" t="n"/>
    </row>
    <row r="255" hidden="1" outlineLevel="3">
      <c r="A255" s="8" t="n"/>
      <c r="B255" s="14" t="n"/>
      <c r="C255" s="120" t="n"/>
      <c r="D255" s="131" t="n"/>
      <c r="E255" s="130" t="n"/>
      <c r="F255" s="17" t="n"/>
      <c r="G255" s="129">
        <f>DADOS_AM!$HC$29</f>
        <v/>
      </c>
      <c r="H255" s="17" t="n"/>
      <c r="I255" s="120" t="n"/>
      <c r="J255" s="131" t="n"/>
      <c r="K255" s="130" t="n"/>
      <c r="L255" s="17" t="n"/>
      <c r="M255" s="129">
        <f>DADOS_AM!$HC$30</f>
        <v/>
      </c>
      <c r="N255" s="17" t="n"/>
      <c r="O255" s="120" t="n"/>
      <c r="P255" s="131" t="n"/>
      <c r="Q255" s="130" t="n"/>
      <c r="R255" s="17" t="n"/>
      <c r="S255" s="129">
        <f>DADOS_AM!$HC$31</f>
        <v/>
      </c>
      <c r="T255" s="17" t="n"/>
      <c r="U255" s="120" t="n"/>
    </row>
    <row r="256" hidden="1" outlineLevel="3">
      <c r="A256" s="8" t="n"/>
      <c r="B256" s="14" t="n"/>
      <c r="C256" s="120" t="n"/>
      <c r="D256" s="125" t="n"/>
      <c r="E256" s="130" t="n"/>
      <c r="F256" s="17" t="n"/>
      <c r="G256" s="129">
        <f>DADOS_AM!$HD$29</f>
        <v/>
      </c>
      <c r="H256" s="17" t="n"/>
      <c r="I256" s="120" t="n"/>
      <c r="J256" s="125" t="n"/>
      <c r="K256" s="130" t="n"/>
      <c r="L256" s="17" t="n"/>
      <c r="M256" s="129">
        <f>DADOS_AM!$HD$30</f>
        <v/>
      </c>
      <c r="N256" s="17" t="n"/>
      <c r="O256" s="120" t="n"/>
      <c r="P256" s="125" t="n"/>
      <c r="Q256" s="130" t="n"/>
      <c r="R256" s="17" t="n"/>
      <c r="S256" s="129">
        <f>DADOS_AM!$HD$31</f>
        <v/>
      </c>
      <c r="T256" s="17" t="n"/>
      <c r="U256" s="120" t="n"/>
    </row>
    <row r="257" hidden="1" outlineLevel="3">
      <c r="A257" s="8" t="n"/>
      <c r="B257" s="14" t="n"/>
      <c r="C257" s="120" t="n"/>
      <c r="D257" s="55" t="inlineStr">
        <is>
          <t>RESTRIÇÕES</t>
        </is>
      </c>
      <c r="E257" s="130" t="n"/>
      <c r="F257" s="17" t="n"/>
      <c r="G257" s="129">
        <f>DADOS_AM!$HE$29</f>
        <v/>
      </c>
      <c r="H257" s="17" t="n"/>
      <c r="I257" s="120" t="n"/>
      <c r="J257" s="55" t="inlineStr">
        <is>
          <t>RESTRIÇÕES</t>
        </is>
      </c>
      <c r="K257" s="130" t="n"/>
      <c r="L257" s="17" t="n"/>
      <c r="M257" s="129">
        <f>DADOS_AM!$HE$30</f>
        <v/>
      </c>
      <c r="N257" s="17" t="n"/>
      <c r="O257" s="120" t="n"/>
      <c r="P257" s="55" t="inlineStr">
        <is>
          <t>RESTRIÇÕES</t>
        </is>
      </c>
      <c r="Q257" s="130" t="n"/>
      <c r="R257" s="17" t="n"/>
      <c r="S257" s="129">
        <f>DADOS_AM!$HE$31</f>
        <v/>
      </c>
      <c r="T257" s="17" t="n"/>
      <c r="U257" s="120" t="n"/>
    </row>
    <row r="258" hidden="1" outlineLevel="3">
      <c r="A258" s="8" t="n"/>
      <c r="B258" s="14" t="n"/>
      <c r="C258" s="120" t="n"/>
      <c r="D258" s="125" t="n"/>
      <c r="E258" s="130" t="n"/>
      <c r="F258" s="17" t="n"/>
      <c r="G258" s="129">
        <f>DADOS_AM!$HF$29</f>
        <v/>
      </c>
      <c r="H258" s="17" t="n"/>
      <c r="I258" s="120" t="n"/>
      <c r="J258" s="125" t="n"/>
      <c r="K258" s="130" t="n"/>
      <c r="L258" s="17" t="n"/>
      <c r="M258" s="129">
        <f>DADOS_AM!$HF$30</f>
        <v/>
      </c>
      <c r="N258" s="17" t="n"/>
      <c r="O258" s="120" t="n"/>
      <c r="P258" s="125" t="n"/>
      <c r="Q258" s="130" t="n"/>
      <c r="R258" s="17" t="n"/>
      <c r="S258" s="129">
        <f>DADOS_AM!$HF$31</f>
        <v/>
      </c>
      <c r="T258" s="17" t="n"/>
      <c r="U258" s="120" t="n"/>
    </row>
    <row r="259" hidden="1" outlineLevel="3">
      <c r="A259" s="8" t="n"/>
      <c r="B259" s="14" t="n"/>
      <c r="C259" s="120" t="n"/>
      <c r="D259" s="55" t="inlineStr">
        <is>
          <t>CONTA</t>
        </is>
      </c>
      <c r="E259" s="132">
        <f>DADOS_AM!$GY$29</f>
        <v/>
      </c>
      <c r="F259" s="16" t="n"/>
      <c r="G259" s="16" t="n"/>
      <c r="H259" s="17" t="n"/>
      <c r="I259" s="120" t="n"/>
      <c r="J259" s="55" t="inlineStr">
        <is>
          <t>CONTA</t>
        </is>
      </c>
      <c r="K259" s="132">
        <f>DADOS_AM!$GY$30</f>
        <v/>
      </c>
      <c r="L259" s="16" t="n"/>
      <c r="M259" s="16" t="n"/>
      <c r="N259" s="17" t="n"/>
      <c r="O259" s="120" t="n"/>
      <c r="P259" s="55" t="inlineStr">
        <is>
          <t>CONTA</t>
        </is>
      </c>
      <c r="Q259" s="132">
        <f>DADOS_AM!$GY$31</f>
        <v/>
      </c>
      <c r="R259" s="16" t="n"/>
      <c r="S259" s="16" t="n"/>
      <c r="T259" s="17" t="n"/>
      <c r="U259" s="120" t="n"/>
    </row>
    <row r="260" hidden="1" outlineLevel="3">
      <c r="A260" s="8" t="n"/>
      <c r="B260" s="14" t="n"/>
      <c r="C260" s="120" t="n"/>
      <c r="D260" s="55" t="inlineStr">
        <is>
          <t>AMPLIAR</t>
        </is>
      </c>
      <c r="E260" s="132">
        <f>DADOS_AM!$GZ$29</f>
        <v/>
      </c>
      <c r="F260" s="19" t="n"/>
      <c r="G260" s="19" t="n"/>
      <c r="H260" s="20" t="n"/>
      <c r="I260" s="120" t="n"/>
      <c r="J260" s="55" t="inlineStr">
        <is>
          <t>AMPLIAR</t>
        </is>
      </c>
      <c r="K260" s="132">
        <f>DADOS_AM!$GZ$30</f>
        <v/>
      </c>
      <c r="L260" s="19" t="n"/>
      <c r="M260" s="19" t="n"/>
      <c r="N260" s="20" t="n"/>
      <c r="O260" s="120" t="n"/>
      <c r="P260" s="55" t="inlineStr">
        <is>
          <t>AMPLIAR</t>
        </is>
      </c>
      <c r="Q260" s="132">
        <f>DADOS_AM!$GZ$31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DADOS_AM!$GO$29</f>
        <v/>
      </c>
      <c r="F262" s="19" t="n"/>
      <c r="G262" s="19" t="n"/>
      <c r="H262" s="20" t="n"/>
      <c r="I262" s="120" t="n"/>
      <c r="J262" s="55" t="inlineStr">
        <is>
          <t>AVISOS</t>
        </is>
      </c>
      <c r="K262" s="132">
        <f>DADOS_AM!$GO$30</f>
        <v/>
      </c>
      <c r="L262" s="19" t="n"/>
      <c r="M262" s="19" t="n"/>
      <c r="N262" s="20" t="n"/>
      <c r="O262" s="120" t="n"/>
      <c r="P262" s="55" t="inlineStr">
        <is>
          <t>AVISOS</t>
        </is>
      </c>
      <c r="Q262" s="132">
        <f>DADOS_AM!$GO$31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DADOS_AM!$GN$32</f>
        <v/>
      </c>
      <c r="H265" s="17" t="n"/>
      <c r="I265" s="120" t="n"/>
      <c r="J265" s="127" t="n">
        <v>1</v>
      </c>
      <c r="K265" s="115" t="n"/>
      <c r="L265" s="17" t="n"/>
      <c r="M265" s="128">
        <f>DADOS_AM!$GN$33</f>
        <v/>
      </c>
      <c r="N265" s="17" t="n"/>
      <c r="O265" s="120" t="n"/>
      <c r="P265" s="127" t="n">
        <v>1</v>
      </c>
      <c r="Q265" s="115" t="n"/>
      <c r="R265" s="17" t="n"/>
      <c r="S265" s="128">
        <f>DADOS_AM!$GN$34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DADOS_AM!$GS$32</f>
        <v/>
      </c>
      <c r="F272" s="68">
        <f>DADOS_AM!$GP$32</f>
        <v/>
      </c>
      <c r="G272" s="124">
        <f>DADOS_AM!$GR$32</f>
        <v/>
      </c>
      <c r="H272" s="17" t="n"/>
      <c r="I272" s="120" t="n"/>
      <c r="J272" s="124" t="inlineStr">
        <is>
          <t>Projétil</t>
        </is>
      </c>
      <c r="K272" s="68">
        <f>DADOS_AM!$GS$33</f>
        <v/>
      </c>
      <c r="L272" s="68">
        <f>DADOS_AM!$GP$33</f>
        <v/>
      </c>
      <c r="M272" s="124">
        <f>DADOS_AM!$GR$33</f>
        <v/>
      </c>
      <c r="N272" s="17" t="n"/>
      <c r="O272" s="120" t="n"/>
      <c r="P272" s="124" t="inlineStr">
        <is>
          <t>Projétil</t>
        </is>
      </c>
      <c r="Q272" s="68">
        <f>DADOS_AM!$GS$34</f>
        <v/>
      </c>
      <c r="R272" s="68">
        <f>DADOS_AM!$GP$34</f>
        <v/>
      </c>
      <c r="S272" s="124">
        <f>DADOS_AM!$GR$34</f>
        <v/>
      </c>
      <c r="T272" s="17" t="n"/>
      <c r="U272" s="120" t="n"/>
    </row>
    <row r="273" hidden="1" outlineLevel="2">
      <c r="A273" s="8" t="n"/>
      <c r="B273" s="14" t="n"/>
      <c r="C273" s="120" t="n"/>
      <c r="D273" s="124">
        <f>DADOS_AM!$GQ$32</f>
        <v/>
      </c>
      <c r="E273" s="129">
        <f>DADOS_AM!$GX$32</f>
        <v/>
      </c>
      <c r="F273" s="16" t="n"/>
      <c r="G273" s="16" t="n"/>
      <c r="H273" s="17" t="n"/>
      <c r="I273" s="120" t="n"/>
      <c r="J273" s="124">
        <f>DADOS_AM!$GQ$33</f>
        <v/>
      </c>
      <c r="K273" s="129">
        <f>DADOS_AM!$GX$33</f>
        <v/>
      </c>
      <c r="L273" s="16" t="n"/>
      <c r="M273" s="16" t="n"/>
      <c r="N273" s="17" t="n"/>
      <c r="O273" s="120" t="n"/>
      <c r="P273" s="124">
        <f>DADOS_AM!$GQ$34</f>
        <v/>
      </c>
      <c r="Q273" s="129">
        <f>DADOS_AM!$GX$34</f>
        <v/>
      </c>
      <c r="R273" s="16" t="n"/>
      <c r="S273" s="16" t="n"/>
      <c r="T273" s="17" t="n"/>
      <c r="U273" s="120" t="n"/>
    </row>
    <row r="274" hidden="1" outlineLevel="3">
      <c r="A274" s="8" t="n"/>
      <c r="B274" s="14" t="n"/>
      <c r="C274" s="120" t="n"/>
      <c r="D274" s="55" t="inlineStr">
        <is>
          <t>MELHORIAS</t>
        </is>
      </c>
      <c r="E274" s="130" t="n"/>
      <c r="F274" s="17" t="n"/>
      <c r="G274" s="129">
        <f>DADOS_AM!$HA$32</f>
        <v/>
      </c>
      <c r="H274" s="17" t="n"/>
      <c r="I274" s="120" t="n"/>
      <c r="J274" s="55" t="inlineStr">
        <is>
          <t>MELHORIAS</t>
        </is>
      </c>
      <c r="K274" s="130" t="n"/>
      <c r="L274" s="17" t="n"/>
      <c r="M274" s="129">
        <f>DADOS_AM!$HA$33</f>
        <v/>
      </c>
      <c r="N274" s="17" t="n"/>
      <c r="O274" s="120" t="n"/>
      <c r="P274" s="55" t="inlineStr">
        <is>
          <t>MELHORIAS</t>
        </is>
      </c>
      <c r="Q274" s="130" t="n"/>
      <c r="R274" s="17" t="n"/>
      <c r="S274" s="129">
        <f>DADOS_AM!$HA$34</f>
        <v/>
      </c>
      <c r="T274" s="17" t="n"/>
      <c r="U274" s="120" t="n"/>
    </row>
    <row r="275" hidden="1" outlineLevel="3">
      <c r="A275" s="8" t="n"/>
      <c r="B275" s="14" t="n"/>
      <c r="C275" s="120" t="n"/>
      <c r="D275" s="131" t="n"/>
      <c r="E275" s="130" t="n"/>
      <c r="F275" s="17" t="n"/>
      <c r="G275" s="129">
        <f>DADOS_AM!$HB$32</f>
        <v/>
      </c>
      <c r="H275" s="17" t="n"/>
      <c r="I275" s="120" t="n"/>
      <c r="J275" s="131" t="n"/>
      <c r="K275" s="130" t="n"/>
      <c r="L275" s="17" t="n"/>
      <c r="M275" s="129">
        <f>DADOS_AM!$HB$33</f>
        <v/>
      </c>
      <c r="N275" s="17" t="n"/>
      <c r="O275" s="120" t="n"/>
      <c r="P275" s="131" t="n"/>
      <c r="Q275" s="130" t="n"/>
      <c r="R275" s="17" t="n"/>
      <c r="S275" s="129">
        <f>DADOS_AM!$HB$34</f>
        <v/>
      </c>
      <c r="T275" s="17" t="n"/>
      <c r="U275" s="120" t="n"/>
    </row>
    <row r="276" hidden="1" outlineLevel="3">
      <c r="A276" s="8" t="n"/>
      <c r="B276" s="14" t="n"/>
      <c r="C276" s="120" t="n"/>
      <c r="D276" s="131" t="n"/>
      <c r="E276" s="130" t="n"/>
      <c r="F276" s="17" t="n"/>
      <c r="G276" s="129">
        <f>DADOS_AM!$HC$32</f>
        <v/>
      </c>
      <c r="H276" s="17" t="n"/>
      <c r="I276" s="120" t="n"/>
      <c r="J276" s="131" t="n"/>
      <c r="K276" s="130" t="n"/>
      <c r="L276" s="17" t="n"/>
      <c r="M276" s="129">
        <f>DADOS_AM!$HC$33</f>
        <v/>
      </c>
      <c r="N276" s="17" t="n"/>
      <c r="O276" s="120" t="n"/>
      <c r="P276" s="131" t="n"/>
      <c r="Q276" s="130" t="n"/>
      <c r="R276" s="17" t="n"/>
      <c r="S276" s="129">
        <f>DADOS_AM!$HC$34</f>
        <v/>
      </c>
      <c r="T276" s="17" t="n"/>
      <c r="U276" s="120" t="n"/>
    </row>
    <row r="277" hidden="1" outlineLevel="3">
      <c r="A277" s="8" t="n"/>
      <c r="B277" s="14" t="n"/>
      <c r="C277" s="120" t="n"/>
      <c r="D277" s="125" t="n"/>
      <c r="E277" s="130" t="n"/>
      <c r="F277" s="17" t="n"/>
      <c r="G277" s="129">
        <f>DADOS_AM!$HD$32</f>
        <v/>
      </c>
      <c r="H277" s="17" t="n"/>
      <c r="I277" s="120" t="n"/>
      <c r="J277" s="125" t="n"/>
      <c r="K277" s="130" t="n"/>
      <c r="L277" s="17" t="n"/>
      <c r="M277" s="129">
        <f>DADOS_AM!$HD$33</f>
        <v/>
      </c>
      <c r="N277" s="17" t="n"/>
      <c r="O277" s="120" t="n"/>
      <c r="P277" s="125" t="n"/>
      <c r="Q277" s="130" t="n"/>
      <c r="R277" s="17" t="n"/>
      <c r="S277" s="129">
        <f>DADOS_AM!$HD$34</f>
        <v/>
      </c>
      <c r="T277" s="17" t="n"/>
      <c r="U277" s="120" t="n"/>
    </row>
    <row r="278" hidden="1" outlineLevel="3">
      <c r="A278" s="8" t="n"/>
      <c r="B278" s="14" t="n"/>
      <c r="C278" s="120" t="n"/>
      <c r="D278" s="55" t="inlineStr">
        <is>
          <t>RESTRIÇÕES</t>
        </is>
      </c>
      <c r="E278" s="130" t="n"/>
      <c r="F278" s="17" t="n"/>
      <c r="G278" s="129">
        <f>DADOS_AM!$HE$32</f>
        <v/>
      </c>
      <c r="H278" s="17" t="n"/>
      <c r="I278" s="120" t="n"/>
      <c r="J278" s="55" t="inlineStr">
        <is>
          <t>RESTRIÇÕES</t>
        </is>
      </c>
      <c r="K278" s="130" t="n"/>
      <c r="L278" s="17" t="n"/>
      <c r="M278" s="129">
        <f>DADOS_AM!$HE$33</f>
        <v/>
      </c>
      <c r="N278" s="17" t="n"/>
      <c r="O278" s="120" t="n"/>
      <c r="P278" s="55" t="inlineStr">
        <is>
          <t>RESTRIÇÕES</t>
        </is>
      </c>
      <c r="Q278" s="130" t="n"/>
      <c r="R278" s="17" t="n"/>
      <c r="S278" s="129">
        <f>DADOS_AM!$HE$34</f>
        <v/>
      </c>
      <c r="T278" s="17" t="n"/>
      <c r="U278" s="120" t="n"/>
    </row>
    <row r="279" hidden="1" outlineLevel="3">
      <c r="A279" s="8" t="n"/>
      <c r="B279" s="14" t="n"/>
      <c r="C279" s="120" t="n"/>
      <c r="D279" s="125" t="n"/>
      <c r="E279" s="130" t="n"/>
      <c r="F279" s="17" t="n"/>
      <c r="G279" s="129">
        <f>DADOS_AM!$HF$32</f>
        <v/>
      </c>
      <c r="H279" s="17" t="n"/>
      <c r="I279" s="120" t="n"/>
      <c r="J279" s="125" t="n"/>
      <c r="K279" s="130" t="n"/>
      <c r="L279" s="17" t="n"/>
      <c r="M279" s="129">
        <f>DADOS_AM!$HF$33</f>
        <v/>
      </c>
      <c r="N279" s="17" t="n"/>
      <c r="O279" s="120" t="n"/>
      <c r="P279" s="125" t="n"/>
      <c r="Q279" s="130" t="n"/>
      <c r="R279" s="17" t="n"/>
      <c r="S279" s="129">
        <f>DADOS_AM!$HF$34</f>
        <v/>
      </c>
      <c r="T279" s="17" t="n"/>
      <c r="U279" s="120" t="n"/>
    </row>
    <row r="280" hidden="1" outlineLevel="3">
      <c r="A280" s="8" t="n"/>
      <c r="B280" s="14" t="n"/>
      <c r="C280" s="120" t="n"/>
      <c r="D280" s="55" t="inlineStr">
        <is>
          <t>CONTA</t>
        </is>
      </c>
      <c r="E280" s="132">
        <f>DADOS_AM!$GY$32</f>
        <v/>
      </c>
      <c r="F280" s="16" t="n"/>
      <c r="G280" s="16" t="n"/>
      <c r="H280" s="17" t="n"/>
      <c r="I280" s="120" t="n"/>
      <c r="J280" s="55" t="inlineStr">
        <is>
          <t>CONTA</t>
        </is>
      </c>
      <c r="K280" s="132">
        <f>DADOS_AM!$GY$33</f>
        <v/>
      </c>
      <c r="L280" s="16" t="n"/>
      <c r="M280" s="16" t="n"/>
      <c r="N280" s="17" t="n"/>
      <c r="O280" s="120" t="n"/>
      <c r="P280" s="55" t="inlineStr">
        <is>
          <t>CONTA</t>
        </is>
      </c>
      <c r="Q280" s="132">
        <f>DADOS_AM!$GY$34</f>
        <v/>
      </c>
      <c r="R280" s="16" t="n"/>
      <c r="S280" s="16" t="n"/>
      <c r="T280" s="17" t="n"/>
      <c r="U280" s="120" t="n"/>
    </row>
    <row r="281" hidden="1" outlineLevel="3">
      <c r="A281" s="8" t="n"/>
      <c r="B281" s="14" t="n"/>
      <c r="C281" s="120" t="n"/>
      <c r="D281" s="55" t="inlineStr">
        <is>
          <t>AMPLIAR</t>
        </is>
      </c>
      <c r="E281" s="132">
        <f>DADOS_AM!$GZ$32</f>
        <v/>
      </c>
      <c r="F281" s="19" t="n"/>
      <c r="G281" s="19" t="n"/>
      <c r="H281" s="20" t="n"/>
      <c r="I281" s="120" t="n"/>
      <c r="J281" s="55" t="inlineStr">
        <is>
          <t>AMPLIAR</t>
        </is>
      </c>
      <c r="K281" s="132">
        <f>DADOS_AM!$GZ$33</f>
        <v/>
      </c>
      <c r="L281" s="19" t="n"/>
      <c r="M281" s="19" t="n"/>
      <c r="N281" s="20" t="n"/>
      <c r="O281" s="120" t="n"/>
      <c r="P281" s="55" t="inlineStr">
        <is>
          <t>AMPLIAR</t>
        </is>
      </c>
      <c r="Q281" s="132">
        <f>DADOS_AM!$GZ$34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DADOS_AM!$GO$32</f>
        <v/>
      </c>
      <c r="F283" s="19" t="n"/>
      <c r="G283" s="19" t="n"/>
      <c r="H283" s="20" t="n"/>
      <c r="I283" s="120" t="n"/>
      <c r="J283" s="55" t="inlineStr">
        <is>
          <t>AVISOS</t>
        </is>
      </c>
      <c r="K283" s="132">
        <f>DADOS_AM!$GO$33</f>
        <v/>
      </c>
      <c r="L283" s="19" t="n"/>
      <c r="M283" s="19" t="n"/>
      <c r="N283" s="20" t="n"/>
      <c r="O283" s="120" t="n"/>
      <c r="P283" s="55" t="inlineStr">
        <is>
          <t>AVISOS</t>
        </is>
      </c>
      <c r="Q283" s="132">
        <f>DADOS_AM!$GO$34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DADOS_AM!$GN$35</f>
        <v/>
      </c>
      <c r="H286" s="17" t="n"/>
      <c r="I286" s="120" t="n"/>
      <c r="J286" s="127" t="n">
        <v>1</v>
      </c>
      <c r="K286" s="115" t="n"/>
      <c r="L286" s="17" t="n"/>
      <c r="M286" s="128">
        <f>DADOS_AM!$GN$36</f>
        <v/>
      </c>
      <c r="N286" s="17" t="n"/>
      <c r="O286" s="120" t="n"/>
      <c r="P286" s="127" t="n">
        <v>1</v>
      </c>
      <c r="Q286" s="115" t="n"/>
      <c r="R286" s="17" t="n"/>
      <c r="S286" s="128">
        <f>DADOS_AM!$GN$37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DADOS_AM!$GS$35</f>
        <v/>
      </c>
      <c r="F293" s="68">
        <f>DADOS_AM!$GP$35</f>
        <v/>
      </c>
      <c r="G293" s="124">
        <f>DADOS_AM!$GR$35</f>
        <v/>
      </c>
      <c r="H293" s="17" t="n"/>
      <c r="I293" s="120" t="n"/>
      <c r="J293" s="124" t="inlineStr">
        <is>
          <t>Projétil</t>
        </is>
      </c>
      <c r="K293" s="68">
        <f>DADOS_AM!$GS$36</f>
        <v/>
      </c>
      <c r="L293" s="68">
        <f>DADOS_AM!$GP$36</f>
        <v/>
      </c>
      <c r="M293" s="124">
        <f>DADOS_AM!$GR$36</f>
        <v/>
      </c>
      <c r="N293" s="17" t="n"/>
      <c r="O293" s="120" t="n"/>
      <c r="P293" s="124" t="inlineStr">
        <is>
          <t>Projétil</t>
        </is>
      </c>
      <c r="Q293" s="68">
        <f>DADOS_AM!$GS$37</f>
        <v/>
      </c>
      <c r="R293" s="68">
        <f>DADOS_AM!$GP$37</f>
        <v/>
      </c>
      <c r="S293" s="124">
        <f>DADOS_AM!$GR$37</f>
        <v/>
      </c>
      <c r="T293" s="17" t="n"/>
      <c r="U293" s="120" t="n"/>
    </row>
    <row r="294" hidden="1" outlineLevel="2">
      <c r="A294" s="8" t="n"/>
      <c r="B294" s="14" t="n"/>
      <c r="C294" s="120" t="n"/>
      <c r="D294" s="124">
        <f>DADOS_AM!$GQ$35</f>
        <v/>
      </c>
      <c r="E294" s="129">
        <f>DADOS_AM!$GX$35</f>
        <v/>
      </c>
      <c r="F294" s="16" t="n"/>
      <c r="G294" s="16" t="n"/>
      <c r="H294" s="17" t="n"/>
      <c r="I294" s="120" t="n"/>
      <c r="J294" s="124">
        <f>DADOS_AM!$GQ$36</f>
        <v/>
      </c>
      <c r="K294" s="129">
        <f>DADOS_AM!$GX$36</f>
        <v/>
      </c>
      <c r="L294" s="16" t="n"/>
      <c r="M294" s="16" t="n"/>
      <c r="N294" s="17" t="n"/>
      <c r="O294" s="120" t="n"/>
      <c r="P294" s="124">
        <f>DADOS_AM!$GQ$37</f>
        <v/>
      </c>
      <c r="Q294" s="129">
        <f>DADOS_AM!$GX$37</f>
        <v/>
      </c>
      <c r="R294" s="16" t="n"/>
      <c r="S294" s="16" t="n"/>
      <c r="T294" s="17" t="n"/>
      <c r="U294" s="120" t="n"/>
    </row>
    <row r="295" hidden="1" outlineLevel="3">
      <c r="A295" s="8" t="n"/>
      <c r="B295" s="14" t="n"/>
      <c r="C295" s="120" t="n"/>
      <c r="D295" s="55" t="inlineStr">
        <is>
          <t>MELHORIAS</t>
        </is>
      </c>
      <c r="E295" s="130" t="n"/>
      <c r="F295" s="17" t="n"/>
      <c r="G295" s="129">
        <f>DADOS_AM!$HA$35</f>
        <v/>
      </c>
      <c r="H295" s="17" t="n"/>
      <c r="I295" s="120" t="n"/>
      <c r="J295" s="55" t="inlineStr">
        <is>
          <t>MELHORIAS</t>
        </is>
      </c>
      <c r="K295" s="130" t="n"/>
      <c r="L295" s="17" t="n"/>
      <c r="M295" s="129">
        <f>DADOS_AM!$HA$36</f>
        <v/>
      </c>
      <c r="N295" s="17" t="n"/>
      <c r="O295" s="120" t="n"/>
      <c r="P295" s="55" t="inlineStr">
        <is>
          <t>MELHORIAS</t>
        </is>
      </c>
      <c r="Q295" s="130" t="n"/>
      <c r="R295" s="17" t="n"/>
      <c r="S295" s="129">
        <f>DADOS_AM!$HA$37</f>
        <v/>
      </c>
      <c r="T295" s="17" t="n"/>
      <c r="U295" s="120" t="n"/>
    </row>
    <row r="296" hidden="1" outlineLevel="3">
      <c r="A296" s="8" t="n"/>
      <c r="B296" s="14" t="n"/>
      <c r="C296" s="120" t="n"/>
      <c r="D296" s="131" t="n"/>
      <c r="E296" s="130" t="n"/>
      <c r="F296" s="17" t="n"/>
      <c r="G296" s="129">
        <f>DADOS_AM!$HB$35</f>
        <v/>
      </c>
      <c r="H296" s="17" t="n"/>
      <c r="I296" s="120" t="n"/>
      <c r="J296" s="131" t="n"/>
      <c r="K296" s="130" t="n"/>
      <c r="L296" s="17" t="n"/>
      <c r="M296" s="129">
        <f>DADOS_AM!$HB$36</f>
        <v/>
      </c>
      <c r="N296" s="17" t="n"/>
      <c r="O296" s="120" t="n"/>
      <c r="P296" s="131" t="n"/>
      <c r="Q296" s="130" t="n"/>
      <c r="R296" s="17" t="n"/>
      <c r="S296" s="129">
        <f>DADOS_AM!$HB$37</f>
        <v/>
      </c>
      <c r="T296" s="17" t="n"/>
      <c r="U296" s="120" t="n"/>
    </row>
    <row r="297" hidden="1" outlineLevel="3">
      <c r="A297" s="8" t="n"/>
      <c r="B297" s="14" t="n"/>
      <c r="C297" s="120" t="n"/>
      <c r="D297" s="131" t="n"/>
      <c r="E297" s="130" t="n"/>
      <c r="F297" s="17" t="n"/>
      <c r="G297" s="129">
        <f>DADOS_AM!$HC$35</f>
        <v/>
      </c>
      <c r="H297" s="17" t="n"/>
      <c r="I297" s="120" t="n"/>
      <c r="J297" s="131" t="n"/>
      <c r="K297" s="130" t="n"/>
      <c r="L297" s="17" t="n"/>
      <c r="M297" s="129">
        <f>DADOS_AM!$HC$36</f>
        <v/>
      </c>
      <c r="N297" s="17" t="n"/>
      <c r="O297" s="120" t="n"/>
      <c r="P297" s="131" t="n"/>
      <c r="Q297" s="130" t="n"/>
      <c r="R297" s="17" t="n"/>
      <c r="S297" s="129">
        <f>DADOS_AM!$HC$37</f>
        <v/>
      </c>
      <c r="T297" s="17" t="n"/>
      <c r="U297" s="120" t="n"/>
    </row>
    <row r="298" hidden="1" outlineLevel="3">
      <c r="A298" s="8" t="n"/>
      <c r="B298" s="14" t="n"/>
      <c r="C298" s="120" t="n"/>
      <c r="D298" s="125" t="n"/>
      <c r="E298" s="130" t="n"/>
      <c r="F298" s="17" t="n"/>
      <c r="G298" s="129">
        <f>DADOS_AM!$HD$35</f>
        <v/>
      </c>
      <c r="H298" s="17" t="n"/>
      <c r="I298" s="120" t="n"/>
      <c r="J298" s="125" t="n"/>
      <c r="K298" s="130" t="n"/>
      <c r="L298" s="17" t="n"/>
      <c r="M298" s="129">
        <f>DADOS_AM!$HD$36</f>
        <v/>
      </c>
      <c r="N298" s="17" t="n"/>
      <c r="O298" s="120" t="n"/>
      <c r="P298" s="125" t="n"/>
      <c r="Q298" s="130" t="n"/>
      <c r="R298" s="17" t="n"/>
      <c r="S298" s="129">
        <f>DADOS_AM!$HD$37</f>
        <v/>
      </c>
      <c r="T298" s="17" t="n"/>
      <c r="U298" s="120" t="n"/>
    </row>
    <row r="299" hidden="1" outlineLevel="3">
      <c r="A299" s="8" t="n"/>
      <c r="B299" s="14" t="n"/>
      <c r="C299" s="120" t="n"/>
      <c r="D299" s="55" t="inlineStr">
        <is>
          <t>RESTRIÇÕES</t>
        </is>
      </c>
      <c r="E299" s="130" t="n"/>
      <c r="F299" s="17" t="n"/>
      <c r="G299" s="129">
        <f>DADOS_AM!$HE$35</f>
        <v/>
      </c>
      <c r="H299" s="17" t="n"/>
      <c r="I299" s="120" t="n"/>
      <c r="J299" s="55" t="inlineStr">
        <is>
          <t>RESTRIÇÕES</t>
        </is>
      </c>
      <c r="K299" s="130" t="n"/>
      <c r="L299" s="17" t="n"/>
      <c r="M299" s="129">
        <f>DADOS_AM!$HE$36</f>
        <v/>
      </c>
      <c r="N299" s="17" t="n"/>
      <c r="O299" s="120" t="n"/>
      <c r="P299" s="55" t="inlineStr">
        <is>
          <t>RESTRIÇÕES</t>
        </is>
      </c>
      <c r="Q299" s="130" t="n"/>
      <c r="R299" s="17" t="n"/>
      <c r="S299" s="129">
        <f>DADOS_AM!$HE$37</f>
        <v/>
      </c>
      <c r="T299" s="17" t="n"/>
      <c r="U299" s="120" t="n"/>
    </row>
    <row r="300" hidden="1" outlineLevel="3">
      <c r="A300" s="8" t="n"/>
      <c r="B300" s="14" t="n"/>
      <c r="C300" s="120" t="n"/>
      <c r="D300" s="125" t="n"/>
      <c r="E300" s="130" t="n"/>
      <c r="F300" s="17" t="n"/>
      <c r="G300" s="129">
        <f>DADOS_AM!$HF$35</f>
        <v/>
      </c>
      <c r="H300" s="17" t="n"/>
      <c r="I300" s="120" t="n"/>
      <c r="J300" s="125" t="n"/>
      <c r="K300" s="130" t="n"/>
      <c r="L300" s="17" t="n"/>
      <c r="M300" s="129">
        <f>DADOS_AM!$HF$36</f>
        <v/>
      </c>
      <c r="N300" s="17" t="n"/>
      <c r="O300" s="120" t="n"/>
      <c r="P300" s="125" t="n"/>
      <c r="Q300" s="130" t="n"/>
      <c r="R300" s="17" t="n"/>
      <c r="S300" s="129">
        <f>DADOS_AM!$HF$37</f>
        <v/>
      </c>
      <c r="T300" s="17" t="n"/>
      <c r="U300" s="120" t="n"/>
    </row>
    <row r="301" hidden="1" outlineLevel="3">
      <c r="A301" s="8" t="n"/>
      <c r="B301" s="14" t="n"/>
      <c r="C301" s="120" t="n"/>
      <c r="D301" s="55" t="inlineStr">
        <is>
          <t>CONTA</t>
        </is>
      </c>
      <c r="E301" s="132">
        <f>DADOS_AM!$GY$35</f>
        <v/>
      </c>
      <c r="F301" s="16" t="n"/>
      <c r="G301" s="16" t="n"/>
      <c r="H301" s="17" t="n"/>
      <c r="I301" s="120" t="n"/>
      <c r="J301" s="55" t="inlineStr">
        <is>
          <t>CONTA</t>
        </is>
      </c>
      <c r="K301" s="132">
        <f>DADOS_AM!$GY$36</f>
        <v/>
      </c>
      <c r="L301" s="16" t="n"/>
      <c r="M301" s="16" t="n"/>
      <c r="N301" s="17" t="n"/>
      <c r="O301" s="120" t="n"/>
      <c r="P301" s="55" t="inlineStr">
        <is>
          <t>CONTA</t>
        </is>
      </c>
      <c r="Q301" s="132">
        <f>DADOS_AM!$GY$37</f>
        <v/>
      </c>
      <c r="R301" s="16" t="n"/>
      <c r="S301" s="16" t="n"/>
      <c r="T301" s="17" t="n"/>
      <c r="U301" s="120" t="n"/>
    </row>
    <row r="302" hidden="1" outlineLevel="3">
      <c r="A302" s="8" t="n"/>
      <c r="B302" s="14" t="n"/>
      <c r="C302" s="120" t="n"/>
      <c r="D302" s="55" t="inlineStr">
        <is>
          <t>AMPLIAR</t>
        </is>
      </c>
      <c r="E302" s="132">
        <f>DADOS_AM!$GZ$35</f>
        <v/>
      </c>
      <c r="F302" s="19" t="n"/>
      <c r="G302" s="19" t="n"/>
      <c r="H302" s="20" t="n"/>
      <c r="I302" s="120" t="n"/>
      <c r="J302" s="55" t="inlineStr">
        <is>
          <t>AMPLIAR</t>
        </is>
      </c>
      <c r="K302" s="132">
        <f>DADOS_AM!$GZ$36</f>
        <v/>
      </c>
      <c r="L302" s="19" t="n"/>
      <c r="M302" s="19" t="n"/>
      <c r="N302" s="20" t="n"/>
      <c r="O302" s="120" t="n"/>
      <c r="P302" s="55" t="inlineStr">
        <is>
          <t>AMPLIAR</t>
        </is>
      </c>
      <c r="Q302" s="132">
        <f>DADOS_AM!$GZ$37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DADOS_AM!$GO$35</f>
        <v/>
      </c>
      <c r="F304" s="19" t="n"/>
      <c r="G304" s="19" t="n"/>
      <c r="H304" s="20" t="n"/>
      <c r="I304" s="120" t="n"/>
      <c r="J304" s="55" t="inlineStr">
        <is>
          <t>AVISOS</t>
        </is>
      </c>
      <c r="K304" s="132">
        <f>DADOS_AM!$GO$36</f>
        <v/>
      </c>
      <c r="L304" s="19" t="n"/>
      <c r="M304" s="19" t="n"/>
      <c r="N304" s="20" t="n"/>
      <c r="O304" s="120" t="n"/>
      <c r="P304" s="55" t="inlineStr">
        <is>
          <t>AVISOS</t>
        </is>
      </c>
      <c r="Q304" s="132">
        <f>DADOS_AM!$GO$37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DADOS_AM!$IL$2</f>
        <v/>
      </c>
      <c r="Q310" s="17" t="n"/>
      <c r="R310" s="129">
        <f>DADOS_AM!$IM$2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DADOS_AM!$IL$3</f>
        <v/>
      </c>
      <c r="Q311" s="17" t="n"/>
      <c r="R311" s="129">
        <f>DADOS_AM!$IM$3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DADOS_AM!$IL$4</f>
        <v/>
      </c>
      <c r="Q312" s="17" t="n"/>
      <c r="R312" s="129">
        <f>DADOS_AM!$IM$4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DADOS_AM!$IL$5</f>
        <v/>
      </c>
      <c r="Q313" s="17" t="n"/>
      <c r="R313" s="129">
        <f>DADOS_AM!$IM$5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DADOS_AM!$IL$6</f>
        <v/>
      </c>
      <c r="Q314" s="17" t="n"/>
      <c r="R314" s="129">
        <f>DADOS_AM!$IM$6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DADOS_AM!$KT$35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DADOS_AM!$GN$38</f>
        <v/>
      </c>
      <c r="H319" s="17" t="n"/>
      <c r="I319" s="120" t="n"/>
      <c r="J319" s="127" t="n">
        <v>3</v>
      </c>
      <c r="K319" s="115" t="n"/>
      <c r="L319" s="17" t="n"/>
      <c r="M319" s="128">
        <f>DADOS_AM!$GN$39</f>
        <v/>
      </c>
      <c r="N319" s="17" t="n"/>
      <c r="O319" s="120" t="n"/>
      <c r="P319" s="127" t="n">
        <v>3</v>
      </c>
      <c r="Q319" s="115" t="n"/>
      <c r="R319" s="17" t="n"/>
      <c r="S319" s="128">
        <f>DADOS_AM!$GN$40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DADOS_AM!$GS$38</f>
        <v/>
      </c>
      <c r="F326" s="68">
        <f>DADOS_AM!$GP$38</f>
        <v/>
      </c>
      <c r="G326" s="124">
        <f>DADOS_AM!$GR$38</f>
        <v/>
      </c>
      <c r="H326" s="17" t="n"/>
      <c r="I326" s="120" t="n"/>
      <c r="J326" s="124" t="inlineStr">
        <is>
          <t>Projétil</t>
        </is>
      </c>
      <c r="K326" s="68">
        <f>DADOS_AM!$GS$39</f>
        <v/>
      </c>
      <c r="L326" s="68">
        <f>DADOS_AM!$GP$39</f>
        <v/>
      </c>
      <c r="M326" s="124">
        <f>DADOS_AM!$GR$39</f>
        <v/>
      </c>
      <c r="N326" s="17" t="n"/>
      <c r="O326" s="120" t="n"/>
      <c r="P326" s="124" t="inlineStr">
        <is>
          <t>Projétil</t>
        </is>
      </c>
      <c r="Q326" s="68">
        <f>DADOS_AM!$GS$40</f>
        <v/>
      </c>
      <c r="R326" s="68">
        <f>DADOS_AM!$GP$40</f>
        <v/>
      </c>
      <c r="S326" s="124">
        <f>DADOS_AM!$GR$40</f>
        <v/>
      </c>
      <c r="T326" s="17" t="n"/>
      <c r="U326" s="120" t="n"/>
    </row>
    <row r="327" hidden="1" outlineLevel="1">
      <c r="A327" s="8" t="n"/>
      <c r="B327" s="14" t="n"/>
      <c r="C327" s="120" t="n"/>
      <c r="D327" s="124">
        <f>DADOS_AM!$GQ$38</f>
        <v/>
      </c>
      <c r="E327" s="129">
        <f>DADOS_AM!$GX$38</f>
        <v/>
      </c>
      <c r="F327" s="16" t="n"/>
      <c r="G327" s="16" t="n"/>
      <c r="H327" s="17" t="n"/>
      <c r="I327" s="120" t="n"/>
      <c r="J327" s="124">
        <f>DADOS_AM!$GQ$39</f>
        <v/>
      </c>
      <c r="K327" s="129">
        <f>DADOS_AM!$GX$39</f>
        <v/>
      </c>
      <c r="L327" s="16" t="n"/>
      <c r="M327" s="16" t="n"/>
      <c r="N327" s="17" t="n"/>
      <c r="O327" s="120" t="n"/>
      <c r="P327" s="124">
        <f>DADOS_AM!$GQ$40</f>
        <v/>
      </c>
      <c r="Q327" s="129">
        <f>DADOS_AM!$GX$40</f>
        <v/>
      </c>
      <c r="R327" s="16" t="n"/>
      <c r="S327" s="16" t="n"/>
      <c r="T327" s="17" t="n"/>
      <c r="U327" s="120" t="n"/>
    </row>
    <row r="328" hidden="1" outlineLevel="2">
      <c r="A328" s="8" t="n"/>
      <c r="B328" s="14" t="n"/>
      <c r="C328" s="120" t="n"/>
      <c r="D328" s="55" t="inlineStr">
        <is>
          <t>MELHORIAS</t>
        </is>
      </c>
      <c r="E328" s="130" t="n"/>
      <c r="F328" s="17" t="n"/>
      <c r="G328" s="129">
        <f>DADOS_AM!$HA$38</f>
        <v/>
      </c>
      <c r="H328" s="17" t="n"/>
      <c r="I328" s="120" t="n"/>
      <c r="J328" s="55" t="inlineStr">
        <is>
          <t>MELHORIAS</t>
        </is>
      </c>
      <c r="K328" s="130" t="n"/>
      <c r="L328" s="17" t="n"/>
      <c r="M328" s="129">
        <f>DADOS_AM!$HA$39</f>
        <v/>
      </c>
      <c r="N328" s="17" t="n"/>
      <c r="O328" s="120" t="n"/>
      <c r="P328" s="55" t="inlineStr">
        <is>
          <t>MELHORIAS</t>
        </is>
      </c>
      <c r="Q328" s="130" t="n"/>
      <c r="R328" s="17" t="n"/>
      <c r="S328" s="129">
        <f>DADOS_AM!$HA$40</f>
        <v/>
      </c>
      <c r="T328" s="17" t="n"/>
      <c r="U328" s="120" t="n"/>
    </row>
    <row r="329" hidden="1" outlineLevel="2">
      <c r="A329" s="8" t="n"/>
      <c r="B329" s="14" t="n"/>
      <c r="C329" s="120" t="n"/>
      <c r="D329" s="131" t="n"/>
      <c r="E329" s="130" t="n"/>
      <c r="F329" s="17" t="n"/>
      <c r="G329" s="129">
        <f>DADOS_AM!$HB$38</f>
        <v/>
      </c>
      <c r="H329" s="17" t="n"/>
      <c r="I329" s="120" t="n"/>
      <c r="J329" s="131" t="n"/>
      <c r="K329" s="130" t="n"/>
      <c r="L329" s="17" t="n"/>
      <c r="M329" s="129">
        <f>DADOS_AM!$HB$39</f>
        <v/>
      </c>
      <c r="N329" s="17" t="n"/>
      <c r="O329" s="120" t="n"/>
      <c r="P329" s="131" t="n"/>
      <c r="Q329" s="130" t="n"/>
      <c r="R329" s="17" t="n"/>
      <c r="S329" s="129">
        <f>DADOS_AM!$HB$40</f>
        <v/>
      </c>
      <c r="T329" s="17" t="n"/>
      <c r="U329" s="120" t="n"/>
    </row>
    <row r="330" hidden="1" outlineLevel="2">
      <c r="A330" s="8" t="n"/>
      <c r="B330" s="14" t="n"/>
      <c r="C330" s="120" t="n"/>
      <c r="D330" s="131" t="n"/>
      <c r="E330" s="130" t="n"/>
      <c r="F330" s="17" t="n"/>
      <c r="G330" s="129">
        <f>DADOS_AM!$HC$38</f>
        <v/>
      </c>
      <c r="H330" s="17" t="n"/>
      <c r="I330" s="120" t="n"/>
      <c r="J330" s="131" t="n"/>
      <c r="K330" s="130" t="n"/>
      <c r="L330" s="17" t="n"/>
      <c r="M330" s="129">
        <f>DADOS_AM!$HC$39</f>
        <v/>
      </c>
      <c r="N330" s="17" t="n"/>
      <c r="O330" s="120" t="n"/>
      <c r="P330" s="131" t="n"/>
      <c r="Q330" s="130" t="n"/>
      <c r="R330" s="17" t="n"/>
      <c r="S330" s="129">
        <f>DADOS_AM!$HC$40</f>
        <v/>
      </c>
      <c r="T330" s="17" t="n"/>
      <c r="U330" s="120" t="n"/>
    </row>
    <row r="331" hidden="1" outlineLevel="2">
      <c r="A331" s="8" t="n"/>
      <c r="B331" s="14" t="n"/>
      <c r="C331" s="120" t="n"/>
      <c r="D331" s="125" t="n"/>
      <c r="E331" s="130" t="n"/>
      <c r="F331" s="17" t="n"/>
      <c r="G331" s="129">
        <f>DADOS_AM!$HD$38</f>
        <v/>
      </c>
      <c r="H331" s="17" t="n"/>
      <c r="I331" s="120" t="n"/>
      <c r="J331" s="125" t="n"/>
      <c r="K331" s="130" t="n"/>
      <c r="L331" s="17" t="n"/>
      <c r="M331" s="129">
        <f>DADOS_AM!$HD$39</f>
        <v/>
      </c>
      <c r="N331" s="17" t="n"/>
      <c r="O331" s="120" t="n"/>
      <c r="P331" s="125" t="n"/>
      <c r="Q331" s="130" t="n"/>
      <c r="R331" s="17" t="n"/>
      <c r="S331" s="129">
        <f>DADOS_AM!$HD$40</f>
        <v/>
      </c>
      <c r="T331" s="17" t="n"/>
      <c r="U331" s="120" t="n"/>
    </row>
    <row r="332" hidden="1" outlineLevel="2">
      <c r="A332" s="8" t="n"/>
      <c r="B332" s="14" t="n"/>
      <c r="C332" s="120" t="n"/>
      <c r="D332" s="55" t="inlineStr">
        <is>
          <t>RESTRIÇÕES</t>
        </is>
      </c>
      <c r="E332" s="130" t="n"/>
      <c r="F332" s="17" t="n"/>
      <c r="G332" s="129">
        <f>DADOS_AM!$HE$38</f>
        <v/>
      </c>
      <c r="H332" s="17" t="n"/>
      <c r="I332" s="120" t="n"/>
      <c r="J332" s="55" t="inlineStr">
        <is>
          <t>RESTRIÇÕES</t>
        </is>
      </c>
      <c r="K332" s="130" t="n"/>
      <c r="L332" s="17" t="n"/>
      <c r="M332" s="129">
        <f>DADOS_AM!$HE$39</f>
        <v/>
      </c>
      <c r="N332" s="17" t="n"/>
      <c r="O332" s="120" t="n"/>
      <c r="P332" s="55" t="inlineStr">
        <is>
          <t>RESTRIÇÕES</t>
        </is>
      </c>
      <c r="Q332" s="130" t="n"/>
      <c r="R332" s="17" t="n"/>
      <c r="S332" s="129">
        <f>DADOS_AM!$HE$40</f>
        <v/>
      </c>
      <c r="T332" s="17" t="n"/>
      <c r="U332" s="120" t="n"/>
    </row>
    <row r="333" hidden="1" outlineLevel="2">
      <c r="A333" s="8" t="n"/>
      <c r="B333" s="14" t="n"/>
      <c r="C333" s="120" t="n"/>
      <c r="D333" s="125" t="n"/>
      <c r="E333" s="130" t="n"/>
      <c r="F333" s="17" t="n"/>
      <c r="G333" s="129">
        <f>DADOS_AM!$HF$38</f>
        <v/>
      </c>
      <c r="H333" s="17" t="n"/>
      <c r="I333" s="120" t="n"/>
      <c r="J333" s="125" t="n"/>
      <c r="K333" s="130" t="n"/>
      <c r="L333" s="17" t="n"/>
      <c r="M333" s="129">
        <f>DADOS_AM!$HF$39</f>
        <v/>
      </c>
      <c r="N333" s="17" t="n"/>
      <c r="O333" s="120" t="n"/>
      <c r="P333" s="125" t="n"/>
      <c r="Q333" s="130" t="n"/>
      <c r="R333" s="17" t="n"/>
      <c r="S333" s="129">
        <f>DADOS_AM!$HF$40</f>
        <v/>
      </c>
      <c r="T333" s="17" t="n"/>
      <c r="U333" s="120" t="n"/>
    </row>
    <row r="334" hidden="1" outlineLevel="2">
      <c r="A334" s="8" t="n"/>
      <c r="B334" s="14" t="n"/>
      <c r="C334" s="120" t="n"/>
      <c r="D334" s="55" t="inlineStr">
        <is>
          <t>CONTA</t>
        </is>
      </c>
      <c r="E334" s="132">
        <f>DADOS_AM!$GY$38</f>
        <v/>
      </c>
      <c r="F334" s="16" t="n"/>
      <c r="G334" s="16" t="n"/>
      <c r="H334" s="17" t="n"/>
      <c r="I334" s="120" t="n"/>
      <c r="J334" s="55" t="inlineStr">
        <is>
          <t>CONTA</t>
        </is>
      </c>
      <c r="K334" s="132">
        <f>DADOS_AM!$GY$39</f>
        <v/>
      </c>
      <c r="L334" s="16" t="n"/>
      <c r="M334" s="16" t="n"/>
      <c r="N334" s="17" t="n"/>
      <c r="O334" s="120" t="n"/>
      <c r="P334" s="55" t="inlineStr">
        <is>
          <t>CONTA</t>
        </is>
      </c>
      <c r="Q334" s="132">
        <f>DADOS_AM!$GY$40</f>
        <v/>
      </c>
      <c r="R334" s="16" t="n"/>
      <c r="S334" s="16" t="n"/>
      <c r="T334" s="17" t="n"/>
      <c r="U334" s="120" t="n"/>
    </row>
    <row r="335" hidden="1" outlineLevel="2">
      <c r="A335" s="8" t="n"/>
      <c r="B335" s="14" t="n"/>
      <c r="C335" s="120" t="n"/>
      <c r="D335" s="55" t="inlineStr">
        <is>
          <t>AMPLIAR</t>
        </is>
      </c>
      <c r="E335" s="132">
        <f>DADOS_AM!$GZ$38</f>
        <v/>
      </c>
      <c r="F335" s="19" t="n"/>
      <c r="G335" s="19" t="n"/>
      <c r="H335" s="20" t="n"/>
      <c r="I335" s="120" t="n"/>
      <c r="J335" s="55" t="inlineStr">
        <is>
          <t>AMPLIAR</t>
        </is>
      </c>
      <c r="K335" s="132">
        <f>DADOS_AM!$GZ$39</f>
        <v/>
      </c>
      <c r="L335" s="19" t="n"/>
      <c r="M335" s="19" t="n"/>
      <c r="N335" s="20" t="n"/>
      <c r="O335" s="120" t="n"/>
      <c r="P335" s="55" t="inlineStr">
        <is>
          <t>AMPLIAR</t>
        </is>
      </c>
      <c r="Q335" s="132">
        <f>DADOS_AM!$GZ$40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DADOS_AM!$GO$38</f>
        <v/>
      </c>
      <c r="F337" s="19" t="n"/>
      <c r="G337" s="19" t="n"/>
      <c r="H337" s="20" t="n"/>
      <c r="I337" s="120" t="n"/>
      <c r="J337" s="55" t="inlineStr">
        <is>
          <t>AVISOS</t>
        </is>
      </c>
      <c r="K337" s="132">
        <f>DADOS_AM!$GO$39</f>
        <v/>
      </c>
      <c r="L337" s="19" t="n"/>
      <c r="M337" s="19" t="n"/>
      <c r="N337" s="20" t="n"/>
      <c r="O337" s="120" t="n"/>
      <c r="P337" s="55" t="inlineStr">
        <is>
          <t>AVISOS</t>
        </is>
      </c>
      <c r="Q337" s="132">
        <f>DADOS_AM!$GO$40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DADOS_AM!$KT$36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DADOS_AM!$KT$37</f>
        <v/>
      </c>
      <c r="M343" s="19" t="n"/>
      <c r="N343" s="20" t="n"/>
      <c r="O343" s="120" t="n"/>
      <c r="P343" s="92">
        <f>DADOS_AM!$KT$38</f>
        <v/>
      </c>
      <c r="Q343" s="20" t="n"/>
      <c r="R343" s="92">
        <f>DADOS_AM!$KT$39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DADOS_AM!$KT$40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DADOS_AM!$KT$41</f>
        <v/>
      </c>
      <c r="G357" s="19" t="n"/>
      <c r="H357" s="20" t="n"/>
      <c r="I357" s="120" t="n"/>
      <c r="J357" s="124">
        <f>DADOS_AM!$KT$42</f>
        <v/>
      </c>
      <c r="K357" s="19" t="n"/>
      <c r="L357" s="19" t="n"/>
      <c r="M357" s="19" t="n"/>
      <c r="N357" s="20" t="n"/>
      <c r="O357" s="120" t="n"/>
      <c r="P357" s="92">
        <f>DADOS_AM!$KT$43</f>
        <v/>
      </c>
      <c r="Q357" s="20" t="n"/>
      <c r="R357" s="124">
        <f>DADOS_AM!$KT$44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DADOS_AM!$KT$45</f>
        <v/>
      </c>
      <c r="E361" s="17" t="n"/>
      <c r="F361" s="124">
        <f>DADOS_AM!$KT$46</f>
        <v/>
      </c>
      <c r="G361" s="124">
        <f>DADOS_AM!$KT$47</f>
        <v/>
      </c>
      <c r="H361" s="17" t="n"/>
      <c r="I361" s="120" t="n"/>
      <c r="J361" s="124">
        <f>DADOS_AM!$KT$48</f>
        <v/>
      </c>
      <c r="K361" s="124">
        <f>DADOS_AM!$KT$49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DADOS_AM!$KT$50</f>
        <v/>
      </c>
      <c r="E362" s="17" t="n"/>
      <c r="F362" s="124">
        <f>DADOS_AM!$KT$51</f>
        <v/>
      </c>
      <c r="G362" s="124">
        <f>DADOS_AM!$KT$52</f>
        <v/>
      </c>
      <c r="H362" s="17" t="n"/>
      <c r="I362" s="120" t="n"/>
      <c r="J362" s="124">
        <f>DADOS_AM!$KT$53</f>
        <v/>
      </c>
      <c r="K362" s="124">
        <f>DADOS_AM!$KT$54</f>
        <v/>
      </c>
      <c r="L362" s="124">
        <f>DADOS_AM!$KT$55</f>
        <v/>
      </c>
      <c r="M362" s="124" t="inlineStr">
        <is>
          <t>Acontece</t>
        </is>
      </c>
      <c r="N362" s="17" t="n"/>
      <c r="O362" s="120" t="n"/>
      <c r="P362" s="21" t="n"/>
      <c r="T362" s="22" t="n"/>
      <c r="U362" s="120" t="n"/>
    </row>
    <row r="363" hidden="1" outlineLevel="1">
      <c r="A363" s="8" t="n"/>
      <c r="B363" s="14" t="n"/>
      <c r="C363" s="120" t="n"/>
      <c r="D363" s="130">
        <f>DADOS_AM!$KT$56</f>
        <v/>
      </c>
      <c r="E363" s="17" t="n"/>
      <c r="F363" s="124">
        <f>DADOS_AM!$KT$57</f>
        <v/>
      </c>
      <c r="G363" s="124">
        <f>DADOS_AM!$KT$58</f>
        <v/>
      </c>
      <c r="H363" s="17" t="n"/>
      <c r="I363" s="120" t="n"/>
      <c r="J363" s="124" t="inlineStr">
        <is>
          <t>199,5 m</t>
        </is>
      </c>
      <c r="K363" s="124">
        <f>DADOS_AM!$KT$59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DADOS_AM!$HR$2</f>
        <v/>
      </c>
      <c r="G379" s="129">
        <f>DADOS_AM!$HS$2</f>
        <v/>
      </c>
      <c r="H379" s="17" t="n"/>
      <c r="I379" s="120" t="n"/>
      <c r="J379" s="134" t="n"/>
      <c r="K379" s="17" t="n"/>
      <c r="L379" s="129">
        <f>DADOS_AM!$HR$3</f>
        <v/>
      </c>
      <c r="M379" s="129">
        <f>DADOS_AM!$HS$3</f>
        <v/>
      </c>
      <c r="N379" s="17" t="n"/>
      <c r="O379" s="120" t="n"/>
      <c r="P379" s="134" t="n"/>
      <c r="Q379" s="17" t="n"/>
      <c r="R379" s="129">
        <f>DADOS_AM!$HR$4</f>
        <v/>
      </c>
      <c r="S379" s="129">
        <f>DADOS_AM!$HS$4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DADOS_AM!$HQ$2</f>
        <v/>
      </c>
      <c r="E381" s="19" t="n"/>
      <c r="F381" s="19" t="n"/>
      <c r="G381" s="19" t="n"/>
      <c r="H381" s="20" t="n"/>
      <c r="I381" s="120" t="n"/>
      <c r="J381" s="116">
        <f>DADOS_AM!$HQ$3</f>
        <v/>
      </c>
      <c r="K381" s="19" t="n"/>
      <c r="L381" s="19" t="n"/>
      <c r="M381" s="19" t="n"/>
      <c r="N381" s="20" t="n"/>
      <c r="O381" s="120" t="n"/>
      <c r="P381" s="116">
        <f>DADOS_AM!$HQ$4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DADOS_AM!$HR$5</f>
        <v/>
      </c>
      <c r="G387" s="129">
        <f>DADOS_AM!$HS$5</f>
        <v/>
      </c>
      <c r="H387" s="17" t="n"/>
      <c r="I387" s="120" t="n"/>
      <c r="J387" s="134" t="n"/>
      <c r="K387" s="17" t="n"/>
      <c r="L387" s="129">
        <f>DADOS_AM!$HR$6</f>
        <v/>
      </c>
      <c r="M387" s="129">
        <f>DADOS_AM!$HS$6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DADOS_AM!$HQ$5</f>
        <v/>
      </c>
      <c r="E389" s="19" t="n"/>
      <c r="F389" s="19" t="n"/>
      <c r="G389" s="19" t="n"/>
      <c r="H389" s="20" t="n"/>
      <c r="I389" s="120" t="n"/>
      <c r="J389" s="116">
        <f>DADOS_AM!$HQ$6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DADOS_AM!$HR$7</f>
        <v/>
      </c>
      <c r="G397" s="129">
        <f>DADOS_AM!$HS$7</f>
        <v/>
      </c>
      <c r="H397" s="17" t="n"/>
      <c r="I397" s="120" t="n"/>
      <c r="J397" s="134" t="n"/>
      <c r="K397" s="17" t="n"/>
      <c r="L397" s="129">
        <f>DADOS_AM!$HR$8</f>
        <v/>
      </c>
      <c r="M397" s="129">
        <f>DADOS_AM!$HS$8</f>
        <v/>
      </c>
      <c r="N397" s="17" t="n"/>
      <c r="O397" s="120" t="n"/>
      <c r="P397" s="134" t="n"/>
      <c r="Q397" s="17" t="n"/>
      <c r="R397" s="129">
        <f>DADOS_AM!$HR$9</f>
        <v/>
      </c>
      <c r="S397" s="129">
        <f>DADOS_AM!$HS$9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DADOS_AM!$HQ$7</f>
        <v/>
      </c>
      <c r="E399" s="19" t="n"/>
      <c r="F399" s="19" t="n"/>
      <c r="G399" s="19" t="n"/>
      <c r="H399" s="20" t="n"/>
      <c r="I399" s="120" t="n"/>
      <c r="J399" s="116">
        <f>DADOS_AM!$HQ$8</f>
        <v/>
      </c>
      <c r="K399" s="19" t="n"/>
      <c r="L399" s="19" t="n"/>
      <c r="M399" s="19" t="n"/>
      <c r="N399" s="20" t="n"/>
      <c r="O399" s="120" t="n"/>
      <c r="P399" s="116">
        <f>DADOS_AM!$HQ$9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DADOS_AM!$HR$10</f>
        <v/>
      </c>
      <c r="G405" s="129">
        <f>DADOS_AM!$HS$10</f>
        <v/>
      </c>
      <c r="H405" s="17" t="n"/>
      <c r="I405" s="120" t="n"/>
      <c r="J405" s="134" t="n"/>
      <c r="K405" s="17" t="n"/>
      <c r="L405" s="129">
        <f>DADOS_AM!$HR$11</f>
        <v/>
      </c>
      <c r="M405" s="129">
        <f>DADOS_AM!$HS$11</f>
        <v/>
      </c>
      <c r="N405" s="17" t="n"/>
      <c r="O405" s="120" t="n"/>
      <c r="P405" s="134" t="n"/>
      <c r="Q405" s="17" t="n"/>
      <c r="R405" s="129">
        <f>DADOS_AM!$HR$12</f>
        <v/>
      </c>
      <c r="S405" s="129">
        <f>DADOS_AM!$HS$12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DADOS_AM!$HQ$10</f>
        <v/>
      </c>
      <c r="E407" s="19" t="n"/>
      <c r="F407" s="19" t="n"/>
      <c r="G407" s="19" t="n"/>
      <c r="H407" s="20" t="n"/>
      <c r="I407" s="120" t="n"/>
      <c r="J407" s="116">
        <f>DADOS_AM!$HQ$11</f>
        <v/>
      </c>
      <c r="K407" s="19" t="n"/>
      <c r="L407" s="19" t="n"/>
      <c r="M407" s="19" t="n"/>
      <c r="N407" s="20" t="n"/>
      <c r="O407" s="120" t="n"/>
      <c r="P407" s="116">
        <f>DADOS_AM!$HQ$12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DADOS_AM!$HR$13</f>
        <v/>
      </c>
      <c r="G413" s="129">
        <f>DADOS_AM!$HS$13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DADOS_AM!$HQ$13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DADOS_AM!$KT$60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DADOS_AM!$KT$61</f>
        <v/>
      </c>
      <c r="E423" s="17" t="n"/>
      <c r="F423" s="55" t="inlineStr">
        <is>
          <t>COMPRADAS</t>
        </is>
      </c>
      <c r="G423" s="16" t="n"/>
      <c r="H423" s="17" t="n"/>
      <c r="I423" s="120" t="n"/>
      <c r="J423" s="55">
        <f>DADOS_AM!$KT$63</f>
        <v/>
      </c>
      <c r="K423" s="17" t="n"/>
      <c r="L423" s="55">
        <f>DADOS_AM!$KT$65</f>
        <v/>
      </c>
      <c r="M423" s="16" t="n"/>
      <c r="N423" s="17" t="n"/>
      <c r="O423" s="120" t="n"/>
      <c r="P423" s="55">
        <f>DADOS_AM!$KT$67</f>
        <v/>
      </c>
      <c r="Q423" s="16" t="n"/>
      <c r="R423" s="16" t="n"/>
      <c r="S423" s="16" t="n"/>
      <c r="T423" s="17" t="n"/>
      <c r="U423" s="120" t="n"/>
    </row>
    <row r="424" outlineLevel="1">
      <c r="A424" s="8" t="n"/>
      <c r="B424" s="14" t="n"/>
      <c r="C424" s="120" t="n"/>
      <c r="D424" s="92">
        <f>DADOS_AM!$HK$6</f>
        <v/>
      </c>
      <c r="E424" s="20" t="n"/>
      <c r="F424" s="92">
        <f>DADOS_AM!$KT$62</f>
        <v/>
      </c>
      <c r="G424" s="19" t="n"/>
      <c r="H424" s="20" t="n"/>
      <c r="I424" s="120" t="n"/>
      <c r="J424" s="83">
        <f>DADOS_AM!$KT$64</f>
        <v/>
      </c>
      <c r="K424" s="20" t="n"/>
      <c r="L424" s="83">
        <f>DADOS_AM!$KT$66</f>
        <v/>
      </c>
      <c r="M424" s="19" t="n"/>
      <c r="N424" s="20" t="n"/>
      <c r="O424" s="120" t="n"/>
      <c r="P424" s="83">
        <f>DADOS_AM!$KT$68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DADOS_AM!$KT$69</f>
        <v/>
      </c>
      <c r="E427" s="16" t="n"/>
      <c r="F427" s="16" t="n"/>
      <c r="G427" s="16" t="n"/>
      <c r="H427" s="17" t="n"/>
      <c r="I427" s="120" t="n"/>
      <c r="J427" s="55">
        <f>DADOS_AM!$KT$70</f>
        <v/>
      </c>
      <c r="K427" s="16" t="n"/>
      <c r="L427" s="16" t="n"/>
      <c r="M427" s="16" t="n"/>
      <c r="N427" s="17" t="n"/>
      <c r="O427" s="120" t="n"/>
      <c r="P427" s="55">
        <f>DADOS_AM!$KT$71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DADOS_AM!$KT$72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DADOS_AM!$HZ$2</f>
        <v/>
      </c>
      <c r="H430" s="17" t="n"/>
      <c r="I430" s="120" t="n"/>
      <c r="J430" s="134" t="n"/>
      <c r="K430" s="16" t="n"/>
      <c r="L430" s="17" t="n"/>
      <c r="M430" s="129">
        <f>DADOS_AM!$HZ$3</f>
        <v/>
      </c>
      <c r="N430" s="17" t="n"/>
      <c r="O430" s="120" t="n"/>
      <c r="P430" s="134" t="n"/>
      <c r="Q430" s="16" t="n"/>
      <c r="R430" s="17" t="n"/>
      <c r="S430" s="129">
        <f>DADOS_AM!$HZ$4</f>
        <v/>
      </c>
      <c r="T430" s="17" t="n"/>
      <c r="U430" s="120" t="n"/>
    </row>
    <row r="431" outlineLevel="1">
      <c r="A431" s="8" t="n"/>
      <c r="B431" s="14" t="n"/>
      <c r="C431" s="120" t="n"/>
      <c r="D431" s="135">
        <f>DADOS_AM!$HY$2</f>
        <v/>
      </c>
      <c r="E431" s="19" t="n"/>
      <c r="F431" s="19" t="n"/>
      <c r="G431" s="19" t="n"/>
      <c r="H431" s="20" t="n"/>
      <c r="I431" s="120" t="n"/>
      <c r="J431" s="135">
        <f>DADOS_AM!$HY$3</f>
        <v/>
      </c>
      <c r="K431" s="19" t="n"/>
      <c r="L431" s="19" t="n"/>
      <c r="M431" s="19" t="n"/>
      <c r="N431" s="20" t="n"/>
      <c r="O431" s="120" t="n"/>
      <c r="P431" s="135">
        <f>DADOS_AM!$HY$4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DADOS_AM!$IB$2</f>
        <v/>
      </c>
      <c r="E434" s="19" t="n"/>
      <c r="F434" s="19" t="n"/>
      <c r="G434" s="19" t="n"/>
      <c r="H434" s="20" t="n"/>
      <c r="I434" s="120" t="n"/>
      <c r="J434" s="136">
        <f>DADOS_AM!$IB$3</f>
        <v/>
      </c>
      <c r="K434" s="19" t="n"/>
      <c r="L434" s="19" t="n"/>
      <c r="M434" s="19" t="n"/>
      <c r="N434" s="20" t="n"/>
      <c r="O434" s="120" t="n"/>
      <c r="P434" s="136">
        <f>DADOS_AM!$IB$4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DADOS_AM!$KT$73</f>
        <v/>
      </c>
      <c r="E446" s="137">
        <f>DADOS_AM!$IA$2</f>
        <v/>
      </c>
      <c r="F446" s="16" t="n"/>
      <c r="G446" s="16" t="n"/>
      <c r="H446" s="17" t="n"/>
      <c r="I446" s="120" t="n"/>
      <c r="J446" s="55">
        <f>DADOS_AM!$KT$74</f>
        <v/>
      </c>
      <c r="K446" s="137">
        <f>DADOS_AM!$IA$3</f>
        <v/>
      </c>
      <c r="L446" s="16" t="n"/>
      <c r="M446" s="16" t="n"/>
      <c r="N446" s="17" t="n"/>
      <c r="O446" s="120" t="n"/>
      <c r="P446" s="55">
        <f>DADOS_AM!$KT$75</f>
        <v/>
      </c>
      <c r="Q446" s="137">
        <f>DADOS_AM!$IA$4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DADOS_AM!$HZ$5</f>
        <v/>
      </c>
      <c r="H450" s="17" t="n"/>
      <c r="I450" s="120" t="n"/>
      <c r="J450" s="134" t="n"/>
      <c r="K450" s="16" t="n"/>
      <c r="L450" s="17" t="n"/>
      <c r="M450" s="129">
        <f>DADOS_AM!$HZ$6</f>
        <v/>
      </c>
      <c r="N450" s="17" t="n"/>
      <c r="O450" s="120" t="n"/>
      <c r="P450" s="134" t="n"/>
      <c r="Q450" s="16" t="n"/>
      <c r="R450" s="17" t="n"/>
      <c r="S450" s="129">
        <f>DADOS_AM!$HZ$7</f>
        <v/>
      </c>
      <c r="T450" s="17" t="n"/>
      <c r="U450" s="120" t="n"/>
    </row>
    <row r="451" outlineLevel="1">
      <c r="A451" s="8" t="n"/>
      <c r="B451" s="14" t="n"/>
      <c r="C451" s="120" t="n"/>
      <c r="D451" s="135">
        <f>DADOS_AM!$HY$5</f>
        <v/>
      </c>
      <c r="E451" s="19" t="n"/>
      <c r="F451" s="19" t="n"/>
      <c r="G451" s="19" t="n"/>
      <c r="H451" s="20" t="n"/>
      <c r="I451" s="120" t="n"/>
      <c r="J451" s="135">
        <f>DADOS_AM!$HY$6</f>
        <v/>
      </c>
      <c r="K451" s="19" t="n"/>
      <c r="L451" s="19" t="n"/>
      <c r="M451" s="19" t="n"/>
      <c r="N451" s="20" t="n"/>
      <c r="O451" s="120" t="n"/>
      <c r="P451" s="135">
        <f>DADOS_AM!$HY$7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DADOS_AM!$IB$5</f>
        <v/>
      </c>
      <c r="E454" s="19" t="n"/>
      <c r="F454" s="19" t="n"/>
      <c r="G454" s="19" t="n"/>
      <c r="H454" s="20" t="n"/>
      <c r="I454" s="120" t="n"/>
      <c r="J454" s="136">
        <f>DADOS_AM!$IB$6</f>
        <v/>
      </c>
      <c r="K454" s="19" t="n"/>
      <c r="L454" s="19" t="n"/>
      <c r="M454" s="19" t="n"/>
      <c r="N454" s="20" t="n"/>
      <c r="O454" s="120" t="n"/>
      <c r="P454" s="136">
        <f>DADOS_AM!$IB$7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DADOS_AM!$KT$76</f>
        <v/>
      </c>
      <c r="E466" s="137">
        <f>DADOS_AM!$IA$5</f>
        <v/>
      </c>
      <c r="F466" s="16" t="n"/>
      <c r="G466" s="16" t="n"/>
      <c r="H466" s="17" t="n"/>
      <c r="I466" s="120" t="n"/>
      <c r="J466" s="55">
        <f>DADOS_AM!$KT$77</f>
        <v/>
      </c>
      <c r="K466" s="137">
        <f>DADOS_AM!$IA$6</f>
        <v/>
      </c>
      <c r="L466" s="16" t="n"/>
      <c r="M466" s="16" t="n"/>
      <c r="N466" s="17" t="n"/>
      <c r="O466" s="120" t="n"/>
      <c r="P466" s="55">
        <f>DADOS_AM!$KT$78</f>
        <v/>
      </c>
      <c r="Q466" s="137">
        <f>DADOS_AM!$IA$7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DADOS_AM!$KT$85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DADOS_AM!$HZ$8</f>
        <v/>
      </c>
      <c r="H472" s="17" t="n"/>
      <c r="I472" s="120" t="n"/>
      <c r="J472" s="134" t="n"/>
      <c r="K472" s="16" t="n"/>
      <c r="L472" s="17" t="n"/>
      <c r="M472" s="129">
        <f>DADOS_AM!$HZ$9</f>
        <v/>
      </c>
      <c r="N472" s="17" t="n"/>
      <c r="O472" s="120" t="n"/>
      <c r="P472" s="134" t="n"/>
      <c r="Q472" s="16" t="n"/>
      <c r="R472" s="17" t="n"/>
      <c r="S472" s="129">
        <f>DADOS_AM!$HZ$10</f>
        <v/>
      </c>
      <c r="T472" s="17" t="n"/>
      <c r="U472" s="120" t="n"/>
    </row>
    <row r="473" hidden="1" outlineLevel="2">
      <c r="A473" s="8" t="n"/>
      <c r="B473" s="14" t="n"/>
      <c r="C473" s="120" t="n"/>
      <c r="D473" s="135">
        <f>DADOS_AM!$HY$8</f>
        <v/>
      </c>
      <c r="E473" s="19" t="n"/>
      <c r="F473" s="19" t="n"/>
      <c r="G473" s="19" t="n"/>
      <c r="H473" s="20" t="n"/>
      <c r="I473" s="120" t="n"/>
      <c r="J473" s="135">
        <f>DADOS_AM!$HY$9</f>
        <v/>
      </c>
      <c r="K473" s="19" t="n"/>
      <c r="L473" s="19" t="n"/>
      <c r="M473" s="19" t="n"/>
      <c r="N473" s="20" t="n"/>
      <c r="O473" s="120" t="n"/>
      <c r="P473" s="135">
        <f>DADOS_AM!$HY$10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DADOS_AM!$IB$8</f>
        <v/>
      </c>
      <c r="E476" s="19" t="n"/>
      <c r="F476" s="19" t="n"/>
      <c r="G476" s="19" t="n"/>
      <c r="H476" s="20" t="n"/>
      <c r="I476" s="120" t="n"/>
      <c r="J476" s="136">
        <f>DADOS_AM!$IB$9</f>
        <v/>
      </c>
      <c r="K476" s="19" t="n"/>
      <c r="L476" s="19" t="n"/>
      <c r="M476" s="19" t="n"/>
      <c r="N476" s="20" t="n"/>
      <c r="O476" s="120" t="n"/>
      <c r="P476" s="136">
        <f>DADOS_AM!$IB$10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DADOS_AM!$KT$79</f>
        <v/>
      </c>
      <c r="E488" s="137">
        <f>DADOS_AM!$IA$8</f>
        <v/>
      </c>
      <c r="F488" s="16" t="n"/>
      <c r="G488" s="16" t="n"/>
      <c r="H488" s="17" t="n"/>
      <c r="I488" s="120" t="n"/>
      <c r="J488" s="55">
        <f>DADOS_AM!$KT$80</f>
        <v/>
      </c>
      <c r="K488" s="137">
        <f>DADOS_AM!$IA$9</f>
        <v/>
      </c>
      <c r="L488" s="16" t="n"/>
      <c r="M488" s="16" t="n"/>
      <c r="N488" s="17" t="n"/>
      <c r="O488" s="120" t="n"/>
      <c r="P488" s="55">
        <f>DADOS_AM!$KT$81</f>
        <v/>
      </c>
      <c r="Q488" s="137">
        <f>DADOS_AM!$IA$10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DADOS_AM!$HZ$11</f>
        <v/>
      </c>
      <c r="H492" s="17" t="n"/>
      <c r="I492" s="120" t="n"/>
      <c r="J492" s="134" t="n"/>
      <c r="K492" s="16" t="n"/>
      <c r="L492" s="17" t="n"/>
      <c r="M492" s="129">
        <f>DADOS_AM!$HZ$12</f>
        <v/>
      </c>
      <c r="N492" s="17" t="n"/>
      <c r="O492" s="120" t="n"/>
      <c r="P492" s="134" t="n"/>
      <c r="Q492" s="16" t="n"/>
      <c r="R492" s="17" t="n"/>
      <c r="S492" s="129">
        <f>DADOS_AM!$HZ$13</f>
        <v/>
      </c>
      <c r="T492" s="17" t="n"/>
      <c r="U492" s="120" t="n"/>
    </row>
    <row r="493" hidden="1" outlineLevel="2">
      <c r="A493" s="8" t="n"/>
      <c r="B493" s="14" t="n"/>
      <c r="C493" s="120" t="n"/>
      <c r="D493" s="135">
        <f>DADOS_AM!$HY$11</f>
        <v/>
      </c>
      <c r="E493" s="19" t="n"/>
      <c r="F493" s="19" t="n"/>
      <c r="G493" s="19" t="n"/>
      <c r="H493" s="20" t="n"/>
      <c r="I493" s="120" t="n"/>
      <c r="J493" s="135">
        <f>DADOS_AM!$HY$12</f>
        <v/>
      </c>
      <c r="K493" s="19" t="n"/>
      <c r="L493" s="19" t="n"/>
      <c r="M493" s="19" t="n"/>
      <c r="N493" s="20" t="n"/>
      <c r="O493" s="120" t="n"/>
      <c r="P493" s="135">
        <f>DADOS_AM!$HY$13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DADOS_AM!$IB$11</f>
        <v/>
      </c>
      <c r="E496" s="19" t="n"/>
      <c r="F496" s="19" t="n"/>
      <c r="G496" s="19" t="n"/>
      <c r="H496" s="20" t="n"/>
      <c r="I496" s="120" t="n"/>
      <c r="J496" s="136">
        <f>DADOS_AM!$IB$12</f>
        <v/>
      </c>
      <c r="K496" s="19" t="n"/>
      <c r="L496" s="19" t="n"/>
      <c r="M496" s="19" t="n"/>
      <c r="N496" s="20" t="n"/>
      <c r="O496" s="120" t="n"/>
      <c r="P496" s="136">
        <f>DADOS_AM!$IB$13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DADOS_AM!$KT$82</f>
        <v/>
      </c>
      <c r="E508" s="137">
        <f>DADOS_AM!$IA$11</f>
        <v/>
      </c>
      <c r="F508" s="16" t="n"/>
      <c r="G508" s="16" t="n"/>
      <c r="H508" s="17" t="n"/>
      <c r="I508" s="120" t="n"/>
      <c r="J508" s="55">
        <f>DADOS_AM!$KT$83</f>
        <v/>
      </c>
      <c r="K508" s="137">
        <f>DADOS_AM!$IA$12</f>
        <v/>
      </c>
      <c r="L508" s="16" t="n"/>
      <c r="M508" s="16" t="n"/>
      <c r="N508" s="17" t="n"/>
      <c r="O508" s="120" t="n"/>
      <c r="P508" s="55">
        <f>DADOS_AM!$KT$84</f>
        <v/>
      </c>
      <c r="Q508" s="137">
        <f>DADOS_AM!$IA$13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DADOS_AM!$KT$86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DADOS_INVOC!$GV$2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DADOS_INVOC!$GV$8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DADOS_INVOC!$GW$2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DADOS_INVOC!$GW$8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DADOS_INVOC!$HQ$2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DADOS_INVOC!$HQ$8</f>
        <v/>
      </c>
      <c r="AS12" s="120" t="n"/>
    </row>
    <row r="13">
      <c r="B13" s="22" t="n"/>
      <c r="C13" s="120" t="n"/>
      <c r="D13" s="92">
        <f>DADOS_INVOC!$CX$2</f>
        <v/>
      </c>
      <c r="E13" s="92">
        <f>DADOS_INVOC!$QH$2</f>
        <v/>
      </c>
      <c r="F13" s="124">
        <f>DADOS_INVOC!$QH$3</f>
        <v/>
      </c>
      <c r="G13" s="120" t="n"/>
      <c r="I13" s="83" t="n"/>
      <c r="J13" s="19" t="n"/>
      <c r="K13" s="19" t="n"/>
      <c r="L13" s="19" t="n"/>
      <c r="M13" s="20" t="n"/>
      <c r="N13" s="120" t="n"/>
      <c r="O13" s="92">
        <f>DADOS_INVOC!$FI$2</f>
        <v/>
      </c>
      <c r="P13" s="92">
        <f>DADOS_INVOC!$FJ$2</f>
        <v/>
      </c>
      <c r="Q13" s="92">
        <f>DADOS_INVOC!$GX$2</f>
        <v/>
      </c>
      <c r="R13" s="92">
        <f>DADOS_INVOC!$GY$2</f>
        <v/>
      </c>
      <c r="S13" s="92">
        <f>DADOS_INVOC!$GZ$2</f>
        <v/>
      </c>
      <c r="T13" s="120" t="n"/>
      <c r="U13" s="92">
        <f>DADOS_INVOC!$GA$2</f>
        <v/>
      </c>
      <c r="V13" s="92">
        <f>DADOS_INVOC!$FZ$2</f>
        <v/>
      </c>
      <c r="W13" s="92" t="n"/>
      <c r="X13" s="92" t="n"/>
      <c r="Y13" s="92" t="n"/>
      <c r="Z13" s="120" t="n"/>
      <c r="AB13" s="83" t="n"/>
      <c r="AC13" s="19" t="n"/>
      <c r="AD13" s="19" t="n"/>
      <c r="AE13" s="19" t="n"/>
      <c r="AF13" s="20" t="n"/>
      <c r="AG13" s="120" t="n"/>
      <c r="AH13" s="92">
        <f>DADOS_INVOC!$FI$8</f>
        <v/>
      </c>
      <c r="AI13" s="92">
        <f>DADOS_INVOC!$FJ$8</f>
        <v/>
      </c>
      <c r="AJ13" s="92">
        <f>DADOS_INVOC!$GX$8</f>
        <v/>
      </c>
      <c r="AK13" s="92">
        <f>DADOS_INVOC!$GY$8</f>
        <v/>
      </c>
      <c r="AL13" s="92">
        <f>DADOS_INVOC!$GZ$8</f>
        <v/>
      </c>
      <c r="AM13" s="120" t="n"/>
      <c r="AN13" s="92">
        <f>DADOS_INVOC!$GA$8</f>
        <v/>
      </c>
      <c r="AO13" s="92">
        <f>DADOS_INVOC!$FZ$8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IFERROR(SPARKLINE(DADOS_INVOC!$GB$2,{"charttype","bar";"max",MAX(1,DADOS_INVOC!$FZ$2);"color1",DADOS_INVOC!$CX$12}),"")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IFERROR(SPARKLINE(DADOS_INVOC!$GB$8,{"charttype","bar";"max",MAX(1,DADOS_INVOC!$FZ$8);"color1",DADOS_INVOC!$CX$12}),"")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DADOS_INVOC!$HA$2</f>
        <v/>
      </c>
      <c r="P16" s="16" t="n"/>
      <c r="Q16" s="16" t="n"/>
      <c r="R16" s="16" t="n"/>
      <c r="S16" s="17" t="n"/>
      <c r="T16" s="120" t="n"/>
      <c r="U16" s="120" t="n"/>
      <c r="V16" s="120" t="n"/>
      <c r="W16" s="120" t="n"/>
      <c r="X16" s="120" t="n"/>
      <c r="Y16" s="120" t="n"/>
      <c r="Z16" s="120" t="n"/>
      <c r="AB16" s="21" t="n"/>
      <c r="AF16" s="22" t="n"/>
      <c r="AG16" s="120" t="n"/>
      <c r="AH16" s="55">
        <f>DADOS_INVOC!$HA$8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DADOS_INVOC!$CX$8</f>
        <v/>
      </c>
      <c r="F17" s="92">
        <f>DADOS_INVOC!$CX$9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DADOS_INVOC!$FL$2</f>
        <v/>
      </c>
      <c r="P18" s="92">
        <f>DADOS_INVOC!$FM$2</f>
        <v/>
      </c>
      <c r="Q18" s="92">
        <f>DADOS_INVOC!$FN$2</f>
        <v/>
      </c>
      <c r="R18" s="92">
        <f>DADOS_INVOC!$FO$2</f>
        <v/>
      </c>
      <c r="S18" s="92">
        <f>DADOS_INVOC!$FP$2</f>
        <v/>
      </c>
      <c r="T18" s="120" t="n"/>
      <c r="U18" s="116" t="n"/>
      <c r="V18" s="19" t="n"/>
      <c r="W18" s="19" t="n"/>
      <c r="X18" s="19" t="n"/>
      <c r="Y18" s="20" t="n"/>
      <c r="Z18" s="120" t="n"/>
      <c r="AB18" s="21" t="n"/>
      <c r="AF18" s="22" t="n"/>
      <c r="AG18" s="120" t="n"/>
      <c r="AH18" s="92">
        <f>DADOS_INVOC!$FL$8</f>
        <v/>
      </c>
      <c r="AI18" s="92">
        <f>DADOS_INVOC!$FM$8</f>
        <v/>
      </c>
      <c r="AJ18" s="92">
        <f>DADOS_INVOC!$FN$8</f>
        <v/>
      </c>
      <c r="AK18" s="92">
        <f>DADOS_INVOC!$FO$8</f>
        <v/>
      </c>
      <c r="AL18" s="92">
        <f>DADOS_INVOC!$FP$8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DADOS_INVOC!$QH$4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DADOS_INVOC!$IZ$2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DADOS_INVOC!$IZ$3</f>
        <v/>
      </c>
      <c r="E22" s="16" t="n"/>
      <c r="F22" s="17" t="n"/>
      <c r="G22" s="120" t="n"/>
      <c r="I22" s="21" t="n"/>
      <c r="M22" s="22" t="n"/>
      <c r="N22" s="120" t="n"/>
      <c r="O22" s="120" t="n"/>
      <c r="P22" s="120" t="n"/>
      <c r="Q22" s="120" t="n"/>
      <c r="R22" s="120" t="n"/>
      <c r="S22" s="120" t="n"/>
      <c r="T22" s="120" t="n"/>
      <c r="U22" s="23" t="n"/>
      <c r="V22" s="24" t="n"/>
      <c r="W22" s="24" t="n"/>
      <c r="X22" s="24" t="n"/>
      <c r="Y22" s="25" t="n"/>
      <c r="Z22" s="120" t="n"/>
      <c r="AB22" s="21" t="n"/>
      <c r="AF22" s="22" t="n"/>
      <c r="AG22" s="120" t="n"/>
      <c r="AH22" s="120" t="n"/>
      <c r="AI22" s="120" t="n"/>
      <c r="AJ22" s="120" t="n"/>
      <c r="AK22" s="120" t="n"/>
      <c r="AL22" s="120" t="n"/>
      <c r="AM22" s="120" t="n"/>
      <c r="AN22" s="23" t="n"/>
      <c r="AO22" s="24" t="n"/>
      <c r="AP22" s="24" t="n"/>
      <c r="AQ22" s="24" t="n"/>
      <c r="AR22" s="25" t="n"/>
      <c r="AS22" s="120" t="n"/>
    </row>
    <row r="23">
      <c r="B23" s="22" t="n"/>
      <c r="C23" s="120" t="n"/>
      <c r="D23" s="143">
        <f>DADOS_INVOC!$IZ$4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120" t="n"/>
      <c r="V23" s="120" t="n"/>
      <c r="W23" s="120" t="n"/>
      <c r="X23" s="120" t="n"/>
      <c r="Y23" s="120"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120" t="n"/>
      <c r="AO23" s="120" t="n"/>
      <c r="AP23" s="120" t="n"/>
      <c r="AQ23" s="120" t="n"/>
      <c r="AR23" s="120" t="n"/>
      <c r="AS23" s="120" t="n"/>
    </row>
    <row r="24">
      <c r="B24" s="22" t="n"/>
      <c r="C24" s="120" t="n"/>
      <c r="D24" s="143">
        <f>DADOS_INVOC!$IZ$5</f>
        <v/>
      </c>
      <c r="E24" s="16" t="n"/>
      <c r="F24" s="17" t="n"/>
      <c r="G24" s="120" t="n"/>
      <c r="I24" s="21" t="n"/>
      <c r="M24" s="22" t="n"/>
      <c r="N24" s="120" t="n"/>
      <c r="O24" s="92">
        <f>DADOS_INVOC!$HB$2</f>
        <v/>
      </c>
      <c r="P24" s="92">
        <f>DADOS_INVOC!$HC$2</f>
        <v/>
      </c>
      <c r="Q24" s="92">
        <f>DADOS_INVOC!$FX$2</f>
        <v/>
      </c>
      <c r="R24" s="92">
        <f>DADOS_INVOC!$FZ$2</f>
        <v/>
      </c>
      <c r="S24" s="92">
        <f>DADOS_INVOC!$HD$2</f>
        <v/>
      </c>
      <c r="T24" s="120" t="n"/>
      <c r="U24" s="55" t="inlineStr">
        <is>
          <t>ANOTAÇÕES</t>
        </is>
      </c>
      <c r="V24" s="16" t="n"/>
      <c r="W24" s="16" t="n"/>
      <c r="X24" s="16" t="n"/>
      <c r="Y24" s="17" t="n"/>
      <c r="Z24" s="120" t="n"/>
      <c r="AB24" s="21" t="n"/>
      <c r="AF24" s="22" t="n"/>
      <c r="AG24" s="120" t="n"/>
      <c r="AH24" s="92">
        <f>DADOS_INVOC!$HB$8</f>
        <v/>
      </c>
      <c r="AI24" s="92">
        <f>DADOS_INVOC!$HC$8</f>
        <v/>
      </c>
      <c r="AJ24" s="92">
        <f>DADOS_INVOC!$FX$8</f>
        <v/>
      </c>
      <c r="AK24" s="92">
        <f>DADOS_INVOC!$FZ$8</f>
        <v/>
      </c>
      <c r="AL24" s="92">
        <f>DADOS_INVOC!$HD$8</f>
        <v/>
      </c>
      <c r="AM24" s="120" t="n"/>
      <c r="AN24" s="55" t="inlineStr">
        <is>
          <t>ANOTAÇÕES</t>
        </is>
      </c>
      <c r="AO24" s="16" t="n"/>
      <c r="AP24" s="16" t="n"/>
      <c r="AQ24" s="16" t="n"/>
      <c r="AR24" s="17" t="n"/>
      <c r="AS24" s="120" t="n"/>
    </row>
    <row r="25">
      <c r="B25" s="22" t="n"/>
      <c r="C25" s="120" t="n"/>
      <c r="D25" s="143">
        <f>DADOS_INVOC!$IZ$6</f>
        <v/>
      </c>
      <c r="E25" s="16" t="n"/>
      <c r="F25" s="17" t="n"/>
      <c r="G25" s="120" t="n"/>
      <c r="I25" s="21" t="n"/>
      <c r="M25" s="22" t="n"/>
      <c r="N25" s="120" t="n"/>
      <c r="O25" s="125" t="n"/>
      <c r="P25" s="125" t="n"/>
      <c r="Q25" s="125" t="n"/>
      <c r="R25" s="125" t="n"/>
      <c r="S25" s="125" t="n"/>
      <c r="T25" s="120" t="n"/>
      <c r="U25" s="116" t="n"/>
      <c r="V25" s="19" t="n"/>
      <c r="W25" s="19" t="n"/>
      <c r="X25" s="19" t="n"/>
      <c r="Y25" s="20" t="n"/>
      <c r="Z25" s="120" t="n"/>
      <c r="AB25" s="21" t="n"/>
      <c r="AF25" s="22" t="n"/>
      <c r="AG25" s="120" t="n"/>
      <c r="AH25" s="125" t="n"/>
      <c r="AI25" s="125" t="n"/>
      <c r="AJ25" s="125" t="n"/>
      <c r="AK25" s="125" t="n"/>
      <c r="AL25" s="125" t="n"/>
      <c r="AM25" s="120" t="n"/>
      <c r="AN25" s="116" t="n"/>
      <c r="AO25" s="19" t="n"/>
      <c r="AP25" s="19" t="n"/>
      <c r="AQ25" s="19" t="n"/>
      <c r="AR25" s="20" t="n"/>
      <c r="AS25" s="120" t="n"/>
    </row>
    <row r="26">
      <c r="B26" s="22" t="n"/>
      <c r="C26" s="120" t="n"/>
      <c r="D26" s="143">
        <f>DADOS_INVOC!$IZ$7</f>
        <v/>
      </c>
      <c r="E26" s="16" t="n"/>
      <c r="F26" s="17" t="n"/>
      <c r="G26" s="120" t="n"/>
      <c r="I26" s="21" t="n"/>
      <c r="M26" s="22" t="n"/>
      <c r="N26" s="120" t="n"/>
      <c r="O26" s="144" t="n">
        <v>0</v>
      </c>
      <c r="P26" s="144" t="n">
        <v>0</v>
      </c>
      <c r="Q26" s="144" t="n">
        <v>0</v>
      </c>
      <c r="R26" s="144" t="n">
        <v>0</v>
      </c>
      <c r="S26" s="144" t="n">
        <v>0</v>
      </c>
      <c r="T26" s="120" t="n"/>
      <c r="U26" s="21" t="n"/>
      <c r="Y26" s="22" t="n"/>
      <c r="Z26" s="120" t="n"/>
      <c r="AB26" s="21" t="n"/>
      <c r="AF26" s="22" t="n"/>
      <c r="AG26" s="120" t="n"/>
      <c r="AH26" s="144" t="n">
        <v>0</v>
      </c>
      <c r="AI26" s="144" t="n">
        <v>0</v>
      </c>
      <c r="AJ26" s="144" t="n">
        <v>0</v>
      </c>
      <c r="AK26" s="144" t="n">
        <v>0</v>
      </c>
      <c r="AL26" s="144" t="n">
        <v>0</v>
      </c>
      <c r="AM26" s="120" t="n"/>
      <c r="AN26" s="21" t="n"/>
      <c r="AR26" s="22" t="n"/>
      <c r="AS26" s="120" t="n"/>
    </row>
    <row r="27">
      <c r="B27" s="22" t="n"/>
      <c r="C27" s="120" t="n"/>
      <c r="D27" s="143">
        <f>DADOS_INVOC!$IZ$8</f>
        <v/>
      </c>
      <c r="E27" s="16" t="n"/>
      <c r="F27" s="17" t="n"/>
      <c r="G27" s="120" t="n"/>
      <c r="I27" s="21" t="n"/>
      <c r="M27" s="22" t="n"/>
      <c r="N27" s="120" t="n"/>
      <c r="O27" s="120" t="n"/>
      <c r="P27" s="120" t="n"/>
      <c r="Q27" s="120" t="n"/>
      <c r="R27" s="120" t="n"/>
      <c r="S27" s="120" t="n"/>
      <c r="T27" s="120" t="n"/>
      <c r="U27" s="21" t="n"/>
      <c r="Y27" s="22" t="n"/>
      <c r="Z27" s="120" t="n"/>
      <c r="AB27" s="21" t="n"/>
      <c r="AF27" s="22" t="n"/>
      <c r="AG27" s="120" t="n"/>
      <c r="AH27" s="120" t="n"/>
      <c r="AI27" s="120" t="n"/>
      <c r="AJ27" s="120" t="n"/>
      <c r="AK27" s="120" t="n"/>
      <c r="AL27" s="120" t="n"/>
      <c r="AM27" s="120" t="n"/>
      <c r="AN27" s="21" t="n"/>
      <c r="AR27" s="22" t="n"/>
      <c r="AS27" s="120" t="n"/>
    </row>
    <row r="28">
      <c r="B28" s="22" t="n"/>
      <c r="C28" s="120" t="n"/>
      <c r="D28" s="143">
        <f>DADOS_INVOC!$IZ$9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TR TREINADO</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TR TREINADO</t>
        </is>
      </c>
      <c r="AM28" s="120" t="n"/>
      <c r="AN28" s="21" t="n"/>
      <c r="AR28" s="22" t="n"/>
      <c r="AS28" s="120" t="n"/>
    </row>
    <row r="29">
      <c r="B29" s="22" t="n"/>
      <c r="C29" s="120" t="n"/>
      <c r="D29" s="143">
        <f>DADOS_INVOC!$IZ$10</f>
        <v/>
      </c>
      <c r="E29" s="16" t="n"/>
      <c r="F29" s="17" t="n"/>
      <c r="G29" s="120" t="n"/>
      <c r="I29" s="21" t="n"/>
      <c r="M29" s="22" t="n"/>
      <c r="N29" s="120" t="n"/>
      <c r="O29" s="92">
        <f>DADOS_INVOC!$HE$2</f>
        <v/>
      </c>
      <c r="P29" s="92">
        <f>DADOS_INVOC!$HF$2</f>
        <v/>
      </c>
      <c r="Q29" s="92">
        <f>DADOS_INVOC!$HG$2</f>
        <v/>
      </c>
      <c r="R29" s="92">
        <f>DADOS_INVOC!$HH$2</f>
        <v/>
      </c>
      <c r="S29" s="124" t="n"/>
      <c r="T29" s="120" t="n"/>
      <c r="U29" s="21" t="n"/>
      <c r="Y29" s="22" t="n"/>
      <c r="Z29" s="120" t="n"/>
      <c r="AB29" s="21" t="n"/>
      <c r="AF29" s="22" t="n"/>
      <c r="AG29" s="120" t="n"/>
      <c r="AH29" s="92">
        <f>DADOS_INVOC!$HE$8</f>
        <v/>
      </c>
      <c r="AI29" s="92">
        <f>DADOS_INVOC!$HF$8</f>
        <v/>
      </c>
      <c r="AJ29" s="92">
        <f>DADOS_INVOC!$HG$8</f>
        <v/>
      </c>
      <c r="AK29" s="92">
        <f>DADOS_INVOC!$HH$8</f>
        <v/>
      </c>
      <c r="AL29" s="124" t="n"/>
      <c r="AM29" s="120" t="n"/>
      <c r="AN29" s="21" t="n"/>
      <c r="AR29" s="22" t="n"/>
      <c r="AS29" s="120" t="n"/>
    </row>
    <row r="30">
      <c r="A30" s="8" t="n"/>
      <c r="B30" s="14" t="n"/>
      <c r="C30" s="120" t="n"/>
      <c r="D30" s="143">
        <f>DADOS_INVOC!$IZ$11</f>
        <v/>
      </c>
      <c r="E30" s="16" t="n"/>
      <c r="F30" s="17" t="n"/>
      <c r="G30" s="120" t="n"/>
      <c r="I30" s="21" t="n"/>
      <c r="M30" s="22" t="n"/>
      <c r="N30" s="120" t="n"/>
      <c r="O30" s="125" t="n"/>
      <c r="P30" s="125" t="n"/>
      <c r="Q30" s="125" t="n"/>
      <c r="R30" s="125" t="n"/>
      <c r="S30" s="125" t="n"/>
      <c r="T30" s="120" t="n"/>
      <c r="U30" s="23" t="n"/>
      <c r="V30" s="24" t="n"/>
      <c r="W30" s="24" t="n"/>
      <c r="X30" s="24" t="n"/>
      <c r="Y30" s="25" t="n"/>
      <c r="Z30" s="120" t="n"/>
      <c r="AB30" s="21" t="n"/>
      <c r="AF30" s="22" t="n"/>
      <c r="AG30" s="120" t="n"/>
      <c r="AH30" s="125" t="n"/>
      <c r="AI30" s="125" t="n"/>
      <c r="AJ30" s="125" t="n"/>
      <c r="AK30" s="125" t="n"/>
      <c r="AL30" s="125" t="n"/>
      <c r="AM30" s="120" t="n"/>
      <c r="AN30" s="23" t="n"/>
      <c r="AO30" s="24" t="n"/>
      <c r="AP30" s="24" t="n"/>
      <c r="AQ30" s="24" t="n"/>
      <c r="AR30" s="25" t="n"/>
      <c r="AS30" s="120" t="n"/>
    </row>
    <row r="31">
      <c r="A31" s="8" t="n"/>
      <c r="B31" s="14" t="n"/>
      <c r="C31" s="120" t="n"/>
      <c r="D31" s="143">
        <f>DADOS_INVOC!$IZ$12</f>
        <v/>
      </c>
      <c r="E31" s="16" t="n"/>
      <c r="F31" s="17" t="n"/>
      <c r="G31" s="120" t="n"/>
      <c r="I31" s="21" t="n"/>
      <c r="M31" s="22" t="n"/>
      <c r="N31" s="120" t="n"/>
      <c r="O31" s="144" t="n">
        <v>0</v>
      </c>
      <c r="P31" s="144" t="n">
        <v>0</v>
      </c>
      <c r="Q31" s="144" t="n">
        <v>0</v>
      </c>
      <c r="R31" s="144" t="n">
        <v>0</v>
      </c>
      <c r="S31" s="120" t="n"/>
      <c r="T31" s="120" t="n"/>
      <c r="U31" s="120" t="n"/>
      <c r="V31" s="120" t="n"/>
      <c r="W31" s="120" t="n"/>
      <c r="X31" s="120" t="n"/>
      <c r="Y31" s="120" t="n"/>
      <c r="Z31" s="120" t="n"/>
      <c r="AB31" s="21" t="n"/>
      <c r="AF31" s="22" t="n"/>
      <c r="AG31" s="120" t="n"/>
      <c r="AH31" s="144" t="n">
        <v>0</v>
      </c>
      <c r="AI31" s="144" t="n">
        <v>0</v>
      </c>
      <c r="AJ31" s="144" t="n">
        <v>0</v>
      </c>
      <c r="AK31" s="144" t="n">
        <v>0</v>
      </c>
      <c r="AL31" s="120" t="n"/>
      <c r="AM31" s="120" t="n"/>
      <c r="AN31" s="120" t="n"/>
      <c r="AO31" s="120" t="n"/>
      <c r="AP31" s="120" t="n"/>
      <c r="AQ31" s="120" t="n"/>
      <c r="AR31" s="120" t="n"/>
      <c r="AS31" s="120" t="n"/>
    </row>
    <row r="32">
      <c r="A32" s="8" t="n"/>
      <c r="B32" s="14" t="n"/>
      <c r="C32" s="120" t="n"/>
      <c r="D32" s="143">
        <f>DADOS_INVOC!$IZ$13</f>
        <v/>
      </c>
      <c r="E32" s="16" t="n"/>
      <c r="F32" s="17" t="n"/>
      <c r="G32" s="120" t="n"/>
      <c r="I32" s="21" t="n"/>
      <c r="M32" s="22" t="n"/>
      <c r="N32" s="120" t="n"/>
      <c r="O32" s="120" t="n"/>
      <c r="P32" s="120" t="n"/>
      <c r="Q32" s="120" t="n"/>
      <c r="R32" s="120" t="n"/>
      <c r="S32" s="120" t="n"/>
      <c r="T32" s="120" t="n"/>
      <c r="U32" s="55">
        <f>DADOS_INVOC!$HR$2</f>
        <v/>
      </c>
      <c r="V32" s="16" t="n"/>
      <c r="W32" s="16" t="n"/>
      <c r="X32" s="17" t="n"/>
      <c r="Y32" s="55" t="inlineStr">
        <is>
          <t>VOL.</t>
        </is>
      </c>
      <c r="Z32" s="120" t="n"/>
      <c r="AB32" s="21" t="n"/>
      <c r="AF32" s="22" t="n"/>
      <c r="AG32" s="120" t="n"/>
      <c r="AH32" s="120" t="n"/>
      <c r="AI32" s="120" t="n"/>
      <c r="AJ32" s="120" t="n"/>
      <c r="AK32" s="120" t="n"/>
      <c r="AL32" s="120" t="n"/>
      <c r="AM32" s="120" t="n"/>
      <c r="AN32" s="55">
        <f>DADOS_INVOC!$HR$8</f>
        <v/>
      </c>
      <c r="AO32" s="16" t="n"/>
      <c r="AP32" s="16" t="n"/>
      <c r="AQ32" s="17" t="n"/>
      <c r="AR32" s="55" t="inlineStr">
        <is>
          <t>VOL.</t>
        </is>
      </c>
      <c r="AS32" s="120" t="n"/>
    </row>
    <row r="33">
      <c r="A33" s="48" t="inlineStr">
        <is>
          <t>INVOCAÇÕES</t>
        </is>
      </c>
      <c r="B33" s="22" t="n"/>
      <c r="C33" s="120" t="n"/>
      <c r="D33" s="120" t="n"/>
      <c r="E33" s="120" t="n"/>
      <c r="F33" s="120" t="n"/>
      <c r="G33" s="120" t="n"/>
      <c r="I33" s="21" t="n"/>
      <c r="M33" s="22" t="n"/>
      <c r="N33" s="120" t="n"/>
      <c r="O33" s="55" t="inlineStr">
        <is>
          <t>ATRIBUTO DE ACERTO</t>
        </is>
      </c>
      <c r="P33" s="16" t="n"/>
      <c r="Q33" s="17" t="n"/>
      <c r="R33" s="55" t="inlineStr">
        <is>
          <t>FÍSICO USA</t>
        </is>
      </c>
      <c r="S33" s="17" t="n"/>
      <c r="T33" s="120" t="n"/>
      <c r="U33" s="55" t="inlineStr">
        <is>
          <t>MÃO 1</t>
        </is>
      </c>
      <c r="V33" s="130" t="n"/>
      <c r="W33" s="16" t="n"/>
      <c r="X33" s="17" t="n"/>
      <c r="Y33" s="124" t="n"/>
      <c r="Z33" s="120" t="n"/>
      <c r="AB33" s="21" t="n"/>
      <c r="AF33" s="22" t="n"/>
      <c r="AG33" s="120" t="n"/>
      <c r="AH33" s="55" t="inlineStr">
        <is>
          <t>ATRIBUTO DE ACERTO</t>
        </is>
      </c>
      <c r="AI33" s="16" t="n"/>
      <c r="AJ33" s="17" t="n"/>
      <c r="AK33" s="55" t="inlineStr">
        <is>
          <t>FÍSICO USA</t>
        </is>
      </c>
      <c r="AL33" s="17" t="n"/>
      <c r="AM33" s="120" t="n"/>
      <c r="AN33" s="55" t="inlineStr">
        <is>
          <t>MÃO 1</t>
        </is>
      </c>
      <c r="AO33" s="130" t="n"/>
      <c r="AP33" s="16" t="n"/>
      <c r="AQ33" s="17" t="n"/>
      <c r="AR33" s="124" t="n"/>
      <c r="AS33" s="120" t="n"/>
    </row>
    <row r="34">
      <c r="B34" s="22" t="n"/>
      <c r="C34" s="120" t="n"/>
      <c r="D34" s="120" t="n"/>
      <c r="E34" s="120" t="n"/>
      <c r="F34" s="120" t="n"/>
      <c r="G34" s="120" t="n"/>
      <c r="I34" s="21" t="n"/>
      <c r="M34" s="22" t="n"/>
      <c r="N34" s="120" t="n"/>
      <c r="O34" s="124" t="n"/>
      <c r="P34" s="19" t="n"/>
      <c r="Q34" s="20" t="n"/>
      <c r="R34" s="124" t="inlineStr">
        <is>
          <t>Força</t>
        </is>
      </c>
      <c r="S34" s="20" t="n"/>
      <c r="T34" s="120" t="n"/>
      <c r="U34" s="55" t="inlineStr">
        <is>
          <t>MÃO 2</t>
        </is>
      </c>
      <c r="V34" s="130" t="n"/>
      <c r="W34" s="16" t="n"/>
      <c r="X34" s="17" t="n"/>
      <c r="Y34" s="124" t="n"/>
      <c r="Z34" s="120" t="n"/>
      <c r="AB34" s="21" t="n"/>
      <c r="AF34" s="22" t="n"/>
      <c r="AG34" s="120" t="n"/>
      <c r="AH34" s="124" t="n"/>
      <c r="AI34" s="19" t="n"/>
      <c r="AJ34" s="20" t="n"/>
      <c r="AK34" s="124" t="inlineStr">
        <is>
          <t>Força</t>
        </is>
      </c>
      <c r="AL34" s="20" t="n"/>
      <c r="AM34" s="120" t="n"/>
      <c r="AN34" s="55" t="inlineStr">
        <is>
          <t>MÃO 2</t>
        </is>
      </c>
      <c r="AO34" s="130" t="n"/>
      <c r="AP34" s="16" t="n"/>
      <c r="AQ34" s="17" t="n"/>
      <c r="AR34" s="124" t="n"/>
      <c r="AS34" s="120" t="n"/>
    </row>
    <row r="35">
      <c r="B35" s="22" t="n"/>
      <c r="C35" s="120" t="n"/>
      <c r="D35" s="120" t="n"/>
      <c r="E35" s="120" t="n"/>
      <c r="F35" s="120" t="n"/>
      <c r="G35" s="120" t="n"/>
      <c r="I35" s="21" t="n"/>
      <c r="M35" s="22" t="n"/>
      <c r="N35" s="120" t="n"/>
      <c r="O35" s="23" t="n"/>
      <c r="P35" s="24" t="n"/>
      <c r="Q35" s="25" t="n"/>
      <c r="R35" s="23" t="n"/>
      <c r="S35" s="25" t="n"/>
      <c r="T35" s="120" t="n"/>
      <c r="U35" s="55" t="inlineStr">
        <is>
          <t>VESTE</t>
        </is>
      </c>
      <c r="V35" s="130" t="n"/>
      <c r="W35" s="16" t="n"/>
      <c r="X35" s="17" t="n"/>
      <c r="Y35" s="124" t="n"/>
      <c r="Z35" s="120" t="n"/>
      <c r="AB35" s="21" t="n"/>
      <c r="AF35" s="22" t="n"/>
      <c r="AG35" s="120" t="n"/>
      <c r="AH35" s="23" t="n"/>
      <c r="AI35" s="24" t="n"/>
      <c r="AJ35" s="25" t="n"/>
      <c r="AK35" s="23" t="n"/>
      <c r="AL35" s="25" t="n"/>
      <c r="AM35" s="120" t="n"/>
      <c r="AN35" s="55" t="inlineStr">
        <is>
          <t>VESTE</t>
        </is>
      </c>
      <c r="AO35" s="130" t="n"/>
      <c r="AP35" s="16" t="n"/>
      <c r="AQ35" s="17" t="n"/>
      <c r="AR35" s="124" t="n"/>
      <c r="AS35" s="120" t="n"/>
    </row>
    <row r="36">
      <c r="B36" s="22" t="n"/>
      <c r="C36" s="120" t="n"/>
      <c r="D36" s="120" t="n"/>
      <c r="E36" s="120" t="n"/>
      <c r="F36" s="120" t="n"/>
      <c r="G36" s="120" t="n"/>
      <c r="I36" s="21" t="n"/>
      <c r="M36" s="22" t="n"/>
      <c r="N36" s="120" t="n"/>
      <c r="O36" s="120" t="n"/>
      <c r="P36" s="120" t="n"/>
      <c r="Q36" s="120" t="n"/>
      <c r="R36" s="120" t="n"/>
      <c r="S36" s="120" t="n"/>
      <c r="T36" s="120" t="n"/>
      <c r="U36" s="55" t="inlineStr">
        <is>
          <t>GUARDADO · SÓ COM A CARACTERÍSTICA DE TRANSPORTE</t>
        </is>
      </c>
      <c r="V36" s="16" t="n"/>
      <c r="W36" s="16" t="n"/>
      <c r="X36" s="17" t="n"/>
      <c r="Y36" s="55" t="inlineStr">
        <is>
          <t>VOL.</t>
        </is>
      </c>
      <c r="Z36" s="120" t="n"/>
      <c r="AB36" s="21" t="n"/>
      <c r="AF36" s="22" t="n"/>
      <c r="AG36" s="120" t="n"/>
      <c r="AH36" s="120" t="n"/>
      <c r="AI36" s="120" t="n"/>
      <c r="AJ36" s="120" t="n"/>
      <c r="AK36" s="120" t="n"/>
      <c r="AL36" s="120" t="n"/>
      <c r="AM36" s="120" t="n"/>
      <c r="AN36" s="55" t="inlineStr">
        <is>
          <t>GUARDADO · SÓ COM A CARACTERÍSTICA DE TRANSPORTE</t>
        </is>
      </c>
      <c r="AO36" s="16" t="n"/>
      <c r="AP36" s="16" t="n"/>
      <c r="AQ36" s="17" t="n"/>
      <c r="AR36" s="55" t="inlineStr">
        <is>
          <t>VOL.</t>
        </is>
      </c>
      <c r="AS36" s="120" t="n"/>
    </row>
    <row r="37">
      <c r="B37" s="22" t="n"/>
      <c r="C37" s="120" t="n"/>
      <c r="D37" s="120" t="n"/>
      <c r="E37" s="120" t="n"/>
      <c r="F37" s="120" t="n"/>
      <c r="G37" s="120" t="n"/>
      <c r="I37" s="21" t="n"/>
      <c r="M37" s="22" t="n"/>
      <c r="N37" s="120" t="n"/>
      <c r="O37" s="55">
        <f>DADOS_INVOC!$HI$2</f>
        <v/>
      </c>
      <c r="P37" s="16" t="n"/>
      <c r="Q37" s="16" t="n"/>
      <c r="R37" s="16" t="n"/>
      <c r="S37" s="17" t="n"/>
      <c r="T37" s="120" t="n"/>
      <c r="U37" s="130" t="n"/>
      <c r="V37" s="16" t="n"/>
      <c r="W37" s="16" t="n"/>
      <c r="X37" s="17" t="n"/>
      <c r="Y37" s="124" t="n"/>
      <c r="Z37" s="120" t="n"/>
      <c r="AB37" s="21" t="n"/>
      <c r="AF37" s="22" t="n"/>
      <c r="AG37" s="120" t="n"/>
      <c r="AH37" s="55">
        <f>DADOS_INVOC!$HI$8</f>
        <v/>
      </c>
      <c r="AI37" s="16" t="n"/>
      <c r="AJ37" s="16" t="n"/>
      <c r="AK37" s="16" t="n"/>
      <c r="AL37" s="17" t="n"/>
      <c r="AM37" s="120" t="n"/>
      <c r="AN37" s="130" t="n"/>
      <c r="AO37" s="16" t="n"/>
      <c r="AP37" s="16" t="n"/>
      <c r="AQ37" s="17" t="n"/>
      <c r="AR37" s="124" t="n"/>
      <c r="AS37" s="120" t="n"/>
    </row>
    <row r="38">
      <c r="B38" s="22" t="n"/>
      <c r="C38" s="120" t="n"/>
      <c r="D38" s="120" t="n"/>
      <c r="E38" s="120" t="n"/>
      <c r="F38" s="120" t="n"/>
      <c r="G38" s="120" t="n"/>
      <c r="I38" s="21" t="n"/>
      <c r="M38" s="22" t="n"/>
      <c r="N38" s="120" t="n"/>
      <c r="O38" s="130" t="n"/>
      <c r="P38" s="16" t="n"/>
      <c r="Q38" s="17" t="n"/>
      <c r="R38" s="124">
        <f>DADOS_INVOC!$HJ$2</f>
        <v/>
      </c>
      <c r="S38" s="17" t="n"/>
      <c r="T38" s="120" t="n"/>
      <c r="U38" s="130" t="n"/>
      <c r="V38" s="16" t="n"/>
      <c r="W38" s="16" t="n"/>
      <c r="X38" s="17" t="n"/>
      <c r="Y38" s="124" t="n"/>
      <c r="Z38" s="120" t="n"/>
      <c r="AB38" s="21" t="n"/>
      <c r="AF38" s="22" t="n"/>
      <c r="AG38" s="120" t="n"/>
      <c r="AH38" s="130" t="n"/>
      <c r="AI38" s="16" t="n"/>
      <c r="AJ38" s="17" t="n"/>
      <c r="AK38" s="124">
        <f>DADOS_INVOC!$HJ$8</f>
        <v/>
      </c>
      <c r="AL38" s="17" t="n"/>
      <c r="AM38" s="120" t="n"/>
      <c r="AN38" s="130" t="n"/>
      <c r="AO38" s="16" t="n"/>
      <c r="AP38" s="16" t="n"/>
      <c r="AQ38" s="17" t="n"/>
      <c r="AR38" s="124" t="n"/>
      <c r="AS38" s="120" t="n"/>
    </row>
    <row r="39">
      <c r="B39" s="22" t="n"/>
      <c r="C39" s="120" t="n"/>
      <c r="D39" s="120" t="n"/>
      <c r="E39" s="120" t="n"/>
      <c r="F39" s="120" t="n"/>
      <c r="G39" s="120" t="n"/>
      <c r="I39" s="21" t="n"/>
      <c r="M39" s="22" t="n"/>
      <c r="N39" s="120" t="n"/>
      <c r="O39" s="130" t="n"/>
      <c r="P39" s="16" t="n"/>
      <c r="Q39" s="17" t="n"/>
      <c r="R39" s="124">
        <f>DADOS_INVOC!$HK$2</f>
        <v/>
      </c>
      <c r="S39" s="17" t="n"/>
      <c r="T39" s="120" t="n"/>
      <c r="U39" s="130" t="n"/>
      <c r="V39" s="16" t="n"/>
      <c r="W39" s="16" t="n"/>
      <c r="X39" s="17" t="n"/>
      <c r="Y39" s="124" t="n"/>
      <c r="Z39" s="120" t="n"/>
      <c r="AB39" s="21" t="n"/>
      <c r="AF39" s="22" t="n"/>
      <c r="AG39" s="120" t="n"/>
      <c r="AH39" s="130" t="n"/>
      <c r="AI39" s="16" t="n"/>
      <c r="AJ39" s="17" t="n"/>
      <c r="AK39" s="124">
        <f>DADOS_INVOC!$HK$8</f>
        <v/>
      </c>
      <c r="AL39" s="17" t="n"/>
      <c r="AM39" s="120" t="n"/>
      <c r="AN39" s="130" t="n"/>
      <c r="AO39" s="16" t="n"/>
      <c r="AP39" s="16" t="n"/>
      <c r="AQ39" s="17" t="n"/>
      <c r="AR39" s="124" t="n"/>
      <c r="AS39" s="120" t="n"/>
    </row>
    <row r="40">
      <c r="B40" s="22" t="n"/>
      <c r="C40" s="120" t="n"/>
      <c r="D40" s="120" t="n"/>
      <c r="E40" s="120" t="n"/>
      <c r="F40" s="120" t="n"/>
      <c r="G40" s="120" t="n"/>
      <c r="I40" s="23" t="n"/>
      <c r="J40" s="24" t="n"/>
      <c r="K40" s="24" t="n"/>
      <c r="L40" s="24" t="n"/>
      <c r="M40" s="25" t="n"/>
      <c r="N40" s="120" t="n"/>
      <c r="O40" s="130" t="n"/>
      <c r="P40" s="16" t="n"/>
      <c r="Q40" s="17" t="n"/>
      <c r="R40" s="124">
        <f>DADOS_INVOC!$HL$2</f>
        <v/>
      </c>
      <c r="S40" s="17" t="n"/>
      <c r="T40" s="120" t="n"/>
      <c r="U40" s="130" t="n"/>
      <c r="V40" s="16" t="n"/>
      <c r="W40" s="16" t="n"/>
      <c r="X40" s="17" t="n"/>
      <c r="Y40" s="124" t="n"/>
      <c r="Z40" s="120" t="n"/>
      <c r="AB40" s="23" t="n"/>
      <c r="AC40" s="24" t="n"/>
      <c r="AD40" s="24" t="n"/>
      <c r="AE40" s="24" t="n"/>
      <c r="AF40" s="25" t="n"/>
      <c r="AG40" s="120" t="n"/>
      <c r="AH40" s="130" t="n"/>
      <c r="AI40" s="16" t="n"/>
      <c r="AJ40" s="17" t="n"/>
      <c r="AK40" s="124">
        <f>DADOS_INVOC!$HL$8</f>
        <v/>
      </c>
      <c r="AL40" s="17" t="n"/>
      <c r="AM40" s="120" t="n"/>
      <c r="AN40" s="130" t="n"/>
      <c r="AO40" s="16" t="n"/>
      <c r="AP40" s="16" t="n"/>
      <c r="AQ40" s="17" t="n"/>
      <c r="AR40" s="124" t="n"/>
      <c r="AS40" s="120" t="n"/>
    </row>
    <row r="41">
      <c r="B41" s="22" t="n"/>
      <c r="C41" s="120" t="n"/>
      <c r="D41" s="120" t="n"/>
      <c r="E41" s="120" t="n"/>
      <c r="F41" s="120" t="n"/>
      <c r="G41" s="120" t="n"/>
      <c r="I41" s="120" t="n"/>
      <c r="J41" s="120" t="n"/>
      <c r="K41" s="120" t="n"/>
      <c r="L41" s="120" t="n"/>
      <c r="M41" s="120" t="n"/>
      <c r="N41" s="120" t="n"/>
      <c r="O41" s="130" t="n"/>
      <c r="P41" s="16" t="n"/>
      <c r="Q41" s="17" t="n"/>
      <c r="R41" s="124">
        <f>DADOS_INVOC!$HM$2</f>
        <v/>
      </c>
      <c r="S41" s="17" t="n"/>
      <c r="T41" s="120" t="n"/>
      <c r="U41" s="130" t="n"/>
      <c r="V41" s="16" t="n"/>
      <c r="W41" s="16" t="n"/>
      <c r="X41" s="17" t="n"/>
      <c r="Y41" s="124" t="n"/>
      <c r="Z41" s="120" t="n"/>
      <c r="AB41" s="120" t="n"/>
      <c r="AC41" s="120" t="n"/>
      <c r="AD41" s="120" t="n"/>
      <c r="AE41" s="120" t="n"/>
      <c r="AF41" s="120" t="n"/>
      <c r="AG41" s="120" t="n"/>
      <c r="AH41" s="130" t="n"/>
      <c r="AI41" s="16" t="n"/>
      <c r="AJ41" s="17" t="n"/>
      <c r="AK41" s="124">
        <f>DADOS_INVOC!$HM$8</f>
        <v/>
      </c>
      <c r="AL41" s="17" t="n"/>
      <c r="AM41" s="120" t="n"/>
      <c r="AN41" s="130" t="n"/>
      <c r="AO41" s="16" t="n"/>
      <c r="AP41" s="16" t="n"/>
      <c r="AQ41" s="17" t="n"/>
      <c r="AR41" s="124" t="n"/>
      <c r="AS41" s="120" t="n"/>
    </row>
    <row r="42">
      <c r="B42" s="22" t="n"/>
      <c r="C42" s="120" t="n"/>
      <c r="D42" s="120" t="n"/>
      <c r="E42" s="120" t="n"/>
      <c r="F42" s="120" t="n"/>
      <c r="G42" s="120" t="n"/>
      <c r="I42" s="55" t="inlineStr">
        <is>
          <t>TIPO</t>
        </is>
      </c>
      <c r="J42" s="16" t="n"/>
      <c r="K42" s="16" t="n"/>
      <c r="L42" s="16" t="n"/>
      <c r="M42" s="17" t="n"/>
      <c r="N42" s="120" t="n"/>
      <c r="O42" s="130" t="n"/>
      <c r="P42" s="16" t="n"/>
      <c r="Q42" s="17" t="n"/>
      <c r="R42" s="124">
        <f>DADOS_INVOC!$HN$2</f>
        <v/>
      </c>
      <c r="S42" s="17" t="n"/>
      <c r="T42" s="120" t="n"/>
      <c r="U42" s="130" t="n"/>
      <c r="V42" s="16" t="n"/>
      <c r="W42" s="16" t="n"/>
      <c r="X42" s="17" t="n"/>
      <c r="Y42" s="124" t="n"/>
      <c r="Z42" s="120" t="n"/>
      <c r="AB42" s="55" t="inlineStr">
        <is>
          <t>TIPO</t>
        </is>
      </c>
      <c r="AC42" s="16" t="n"/>
      <c r="AD42" s="16" t="n"/>
      <c r="AE42" s="16" t="n"/>
      <c r="AF42" s="17" t="n"/>
      <c r="AG42" s="120" t="n"/>
      <c r="AH42" s="130" t="n"/>
      <c r="AI42" s="16" t="n"/>
      <c r="AJ42" s="17" t="n"/>
      <c r="AK42" s="124">
        <f>DADOS_INVOC!$HN$8</f>
        <v/>
      </c>
      <c r="AL42" s="17" t="n"/>
      <c r="AM42" s="120" t="n"/>
      <c r="AN42" s="130" t="n"/>
      <c r="AO42" s="16" t="n"/>
      <c r="AP42" s="16" t="n"/>
      <c r="AQ42" s="17" t="n"/>
      <c r="AR42" s="124" t="n"/>
      <c r="AS42" s="120" t="n"/>
    </row>
    <row r="43">
      <c r="B43" s="22" t="n"/>
      <c r="C43" s="120" t="n"/>
      <c r="D43" s="120" t="n"/>
      <c r="E43" s="120" t="n"/>
      <c r="F43" s="120" t="n"/>
      <c r="G43" s="120" t="n"/>
      <c r="I43" s="124" t="inlineStr">
        <is>
          <t>Shikigami de técnica</t>
        </is>
      </c>
      <c r="J43" s="19" t="n"/>
      <c r="K43" s="19" t="n"/>
      <c r="L43" s="19" t="n"/>
      <c r="M43" s="20" t="n"/>
      <c r="N43" s="120" t="n"/>
      <c r="O43" s="130" t="n"/>
      <c r="P43" s="16" t="n"/>
      <c r="Q43" s="17" t="n"/>
      <c r="R43" s="124">
        <f>DADOS_INVOC!$HO$2</f>
        <v/>
      </c>
      <c r="S43" s="17" t="n"/>
      <c r="T43" s="120" t="n"/>
      <c r="U43" s="120" t="n"/>
      <c r="V43" s="120" t="n"/>
      <c r="W43" s="120" t="n"/>
      <c r="X43" s="120" t="n"/>
      <c r="Y43" s="120" t="n"/>
      <c r="Z43" s="120" t="n"/>
      <c r="AB43" s="124" t="inlineStr">
        <is>
          <t>Shikigami de técnica</t>
        </is>
      </c>
      <c r="AC43" s="19" t="n"/>
      <c r="AD43" s="19" t="n"/>
      <c r="AE43" s="19" t="n"/>
      <c r="AF43" s="20" t="n"/>
      <c r="AG43" s="120" t="n"/>
      <c r="AH43" s="130" t="n"/>
      <c r="AI43" s="16" t="n"/>
      <c r="AJ43" s="17" t="n"/>
      <c r="AK43" s="124">
        <f>DADOS_INVOC!$HO$8</f>
        <v/>
      </c>
      <c r="AL43" s="17" t="n"/>
      <c r="AM43" s="120" t="n"/>
      <c r="AN43" s="120" t="n"/>
      <c r="AO43" s="120" t="n"/>
      <c r="AP43" s="120" t="n"/>
      <c r="AQ43" s="120" t="n"/>
      <c r="AR43" s="120" t="n"/>
      <c r="AS43" s="120" t="n"/>
    </row>
    <row r="44">
      <c r="B44" s="22" t="n"/>
      <c r="C44" s="120" t="n"/>
      <c r="D44" s="120" t="n"/>
      <c r="E44" s="120" t="n"/>
      <c r="F44" s="120" t="n"/>
      <c r="G44" s="120" t="n"/>
      <c r="I44" s="23" t="n"/>
      <c r="J44" s="24" t="n"/>
      <c r="K44" s="24" t="n"/>
      <c r="L44" s="24" t="n"/>
      <c r="M44" s="25" t="n"/>
      <c r="N44" s="120" t="n"/>
      <c r="O44" s="130" t="n"/>
      <c r="P44" s="16" t="n"/>
      <c r="Q44" s="17" t="n"/>
      <c r="R44" s="124">
        <f>DADOS_INVOC!$HP$2</f>
        <v/>
      </c>
      <c r="S44" s="17" t="n"/>
      <c r="T44" s="120" t="n"/>
      <c r="U44" s="55" t="inlineStr">
        <is>
          <t>CORPO, SENTIDOS E COMUNICAÇÃO</t>
        </is>
      </c>
      <c r="V44" s="16" t="n"/>
      <c r="W44" s="16" t="n"/>
      <c r="X44" s="16" t="n"/>
      <c r="Y44" s="17" t="n"/>
      <c r="Z44" s="120" t="n"/>
      <c r="AB44" s="23" t="n"/>
      <c r="AC44" s="24" t="n"/>
      <c r="AD44" s="24" t="n"/>
      <c r="AE44" s="24" t="n"/>
      <c r="AF44" s="25" t="n"/>
      <c r="AG44" s="120" t="n"/>
      <c r="AH44" s="130" t="n"/>
      <c r="AI44" s="16" t="n"/>
      <c r="AJ44" s="17" t="n"/>
      <c r="AK44" s="124">
        <f>DADOS_INVOC!$HP$8</f>
        <v/>
      </c>
      <c r="AL44" s="17" t="n"/>
      <c r="AM44" s="120" t="n"/>
      <c r="AN44" s="55" t="inlineStr">
        <is>
          <t>CORPO, SENTIDOS E COMUNICAÇÃO</t>
        </is>
      </c>
      <c r="AO44" s="16" t="n"/>
      <c r="AP44" s="16" t="n"/>
      <c r="AQ44" s="16" t="n"/>
      <c r="AR44" s="17" t="n"/>
      <c r="AS44" s="120" t="n"/>
    </row>
    <row r="45">
      <c r="B45" s="22" t="n"/>
      <c r="C45" s="120" t="n"/>
      <c r="D45" s="120" t="n"/>
      <c r="E45" s="120" t="n"/>
      <c r="F45" s="120" t="n"/>
      <c r="G45" s="120" t="n"/>
      <c r="I45" s="120" t="n"/>
      <c r="J45" s="120" t="n"/>
      <c r="K45" s="120" t="n"/>
      <c r="L45" s="120" t="n"/>
      <c r="M45" s="120" t="n"/>
      <c r="N45" s="120" t="n"/>
      <c r="O45" s="120" t="n"/>
      <c r="P45" s="120" t="n"/>
      <c r="Q45" s="120" t="n"/>
      <c r="R45" s="120" t="n"/>
      <c r="S45" s="120" t="n"/>
      <c r="T45" s="120" t="n"/>
      <c r="U45" s="116" t="n"/>
      <c r="V45" s="19" t="n"/>
      <c r="W45" s="19" t="n"/>
      <c r="X45" s="19" t="n"/>
      <c r="Y45" s="20" t="n"/>
      <c r="Z45" s="120" t="n"/>
      <c r="AB45" s="120" t="n"/>
      <c r="AC45" s="120" t="n"/>
      <c r="AD45" s="120" t="n"/>
      <c r="AE45" s="120" t="n"/>
      <c r="AF45" s="120" t="n"/>
      <c r="AG45" s="120" t="n"/>
      <c r="AH45" s="120" t="n"/>
      <c r="AI45" s="120" t="n"/>
      <c r="AJ45" s="120" t="n"/>
      <c r="AK45" s="120" t="n"/>
      <c r="AL45" s="120" t="n"/>
      <c r="AM45" s="120" t="n"/>
      <c r="AN45" s="116" t="n"/>
      <c r="AO45" s="19" t="n"/>
      <c r="AP45" s="19" t="n"/>
      <c r="AQ45" s="19" t="n"/>
      <c r="AR45" s="20" t="n"/>
      <c r="AS45" s="120" t="n"/>
    </row>
    <row r="46">
      <c r="B46" s="22" t="n"/>
      <c r="C46" s="120" t="n"/>
      <c r="D46" s="120" t="n"/>
      <c r="E46" s="120" t="n"/>
      <c r="F46" s="120" t="n"/>
      <c r="G46" s="120" t="n"/>
      <c r="I46" s="55" t="inlineStr">
        <is>
          <t>AQUISIÇÃO</t>
        </is>
      </c>
      <c r="J46" s="17" t="n"/>
      <c r="K46" s="55" t="inlineStr">
        <is>
          <t>OBTIDA NO NÍVEL</t>
        </is>
      </c>
      <c r="L46" s="55" t="inlineStr">
        <is>
          <t>TALISMÃ</t>
        </is>
      </c>
      <c r="M46" s="17" t="n"/>
      <c r="N46" s="120" t="n"/>
      <c r="O46" s="55">
        <f>DADOS_INVOC!$HS$2</f>
        <v/>
      </c>
      <c r="P46" s="16" t="n"/>
      <c r="Q46" s="16" t="n"/>
      <c r="R46" s="16" t="n"/>
      <c r="S46" s="17" t="n"/>
      <c r="T46" s="120" t="n"/>
      <c r="U46" s="21" t="n"/>
      <c r="Y46" s="22" t="n"/>
      <c r="Z46" s="120" t="n"/>
      <c r="AB46" s="55" t="inlineStr">
        <is>
          <t>AQUISIÇÃO</t>
        </is>
      </c>
      <c r="AC46" s="17" t="n"/>
      <c r="AD46" s="55" t="inlineStr">
        <is>
          <t>OBTIDA NO NÍVEL</t>
        </is>
      </c>
      <c r="AE46" s="55" t="inlineStr">
        <is>
          <t>TALISMÃ</t>
        </is>
      </c>
      <c r="AF46" s="17" t="n"/>
      <c r="AG46" s="120" t="n"/>
      <c r="AH46" s="55">
        <f>DADOS_INVOC!$HS$8</f>
        <v/>
      </c>
      <c r="AI46" s="16" t="n"/>
      <c r="AJ46" s="16" t="n"/>
      <c r="AK46" s="16" t="n"/>
      <c r="AL46" s="17" t="n"/>
      <c r="AM46" s="120" t="n"/>
      <c r="AN46" s="21" t="n"/>
      <c r="AR46" s="22" t="n"/>
      <c r="AS46" s="120" t="n"/>
    </row>
    <row r="47">
      <c r="B47" s="22" t="n"/>
      <c r="C47" s="120" t="n"/>
      <c r="D47" s="120" t="n"/>
      <c r="E47" s="120" t="n"/>
      <c r="F47" s="120" t="n"/>
      <c r="G47" s="120" t="n"/>
      <c r="I47" s="124" t="inlineStr">
        <is>
          <t>Espaço conhecido</t>
        </is>
      </c>
      <c r="J47" s="20" t="n"/>
      <c r="K47" s="124" t="n"/>
      <c r="L47" s="124" t="inlineStr">
        <is>
          <t>Sem carga</t>
        </is>
      </c>
      <c r="M47" s="20" t="n"/>
      <c r="N47" s="120" t="n"/>
      <c r="O47" s="55" t="inlineStr">
        <is>
          <t>LIVRE</t>
        </is>
      </c>
      <c r="P47" s="55" t="inlineStr">
        <is>
          <t>LIVRE · TRILHA</t>
        </is>
      </c>
      <c r="Q47" s="55" t="inlineStr">
        <is>
          <t>ABERTA</t>
        </is>
      </c>
      <c r="R47" s="55" t="inlineStr">
        <is>
          <t>ABERTA</t>
        </is>
      </c>
      <c r="S47" s="55" t="inlineStr">
        <is>
          <t>ABERTA · TRILHA</t>
        </is>
      </c>
      <c r="T47" s="120" t="n"/>
      <c r="U47" s="21" t="n"/>
      <c r="Y47" s="22" t="n"/>
      <c r="Z47" s="120" t="n"/>
      <c r="AB47" s="124" t="inlineStr">
        <is>
          <t>Espaço conhecido</t>
        </is>
      </c>
      <c r="AC47" s="20" t="n"/>
      <c r="AD47" s="124" t="n"/>
      <c r="AE47" s="124" t="inlineStr">
        <is>
          <t>Sem carga</t>
        </is>
      </c>
      <c r="AF47" s="20" t="n"/>
      <c r="AG47" s="120" t="n"/>
      <c r="AH47" s="55" t="inlineStr">
        <is>
          <t>LIVRE</t>
        </is>
      </c>
      <c r="AI47" s="55" t="inlineStr">
        <is>
          <t>LIVRE · TRILHA</t>
        </is>
      </c>
      <c r="AJ47" s="55" t="inlineStr">
        <is>
          <t>ABERTA</t>
        </is>
      </c>
      <c r="AK47" s="55" t="inlineStr">
        <is>
          <t>ABERTA</t>
        </is>
      </c>
      <c r="AL47" s="55" t="inlineStr">
        <is>
          <t>ABERTA · TRILHA</t>
        </is>
      </c>
      <c r="AM47" s="120" t="n"/>
      <c r="AN47" s="21" t="n"/>
      <c r="AR47" s="22" t="n"/>
      <c r="AS47" s="120" t="n"/>
    </row>
    <row r="48">
      <c r="B48" s="22" t="n"/>
      <c r="C48" s="120" t="n"/>
      <c r="D48" s="120" t="n"/>
      <c r="E48" s="120" t="n"/>
      <c r="F48" s="120" t="n"/>
      <c r="G48" s="120" t="n"/>
      <c r="I48" s="23" t="n"/>
      <c r="J48" s="25" t="n"/>
      <c r="K48" s="125" t="n"/>
      <c r="L48" s="23" t="n"/>
      <c r="M48" s="25" t="n"/>
      <c r="N48" s="120" t="n"/>
      <c r="O48" s="124" t="n"/>
      <c r="P48" s="124" t="n"/>
      <c r="Q48" s="124" t="n"/>
      <c r="R48" s="124" t="n"/>
      <c r="S48" s="124" t="n"/>
      <c r="T48" s="120" t="n"/>
      <c r="U48" s="21" t="n"/>
      <c r="Y48" s="22" t="n"/>
      <c r="Z48" s="120" t="n"/>
      <c r="AB48" s="23" t="n"/>
      <c r="AC48" s="25" t="n"/>
      <c r="AD48" s="125" t="n"/>
      <c r="AE48" s="23" t="n"/>
      <c r="AF48" s="25" t="n"/>
      <c r="AG48" s="120" t="n"/>
      <c r="AH48" s="124" t="n"/>
      <c r="AI48" s="124" t="n"/>
      <c r="AJ48" s="124" t="n"/>
      <c r="AK48" s="124" t="n"/>
      <c r="AL48" s="124" t="n"/>
      <c r="AM48" s="120" t="n"/>
      <c r="AN48" s="21" t="n"/>
      <c r="AR48" s="22" t="n"/>
      <c r="AS48" s="120" t="n"/>
    </row>
    <row r="49">
      <c r="B49" s="22" t="n"/>
      <c r="C49" s="120" t="n"/>
      <c r="D49" s="120" t="n"/>
      <c r="E49" s="120" t="n"/>
      <c r="F49" s="120" t="n"/>
      <c r="G49" s="120" t="n"/>
      <c r="I49" s="120" t="n"/>
      <c r="J49" s="120" t="n"/>
      <c r="K49" s="120" t="n"/>
      <c r="L49" s="120" t="n"/>
      <c r="M49" s="120" t="n"/>
      <c r="N49" s="120" t="n"/>
      <c r="O49" s="125" t="n"/>
      <c r="P49" s="125" t="n"/>
      <c r="Q49" s="125" t="n"/>
      <c r="R49" s="125" t="n"/>
      <c r="S49" s="125" t="n"/>
      <c r="T49" s="120" t="n"/>
      <c r="U49" s="23" t="n"/>
      <c r="V49" s="24" t="n"/>
      <c r="W49" s="24" t="n"/>
      <c r="X49" s="24" t="n"/>
      <c r="Y49" s="25" t="n"/>
      <c r="Z49" s="120" t="n"/>
      <c r="AB49" s="120" t="n"/>
      <c r="AC49" s="120" t="n"/>
      <c r="AD49" s="120" t="n"/>
      <c r="AE49" s="120" t="n"/>
      <c r="AF49" s="120" t="n"/>
      <c r="AG49" s="120" t="n"/>
      <c r="AH49" s="125" t="n"/>
      <c r="AI49" s="125" t="n"/>
      <c r="AJ49" s="125" t="n"/>
      <c r="AK49" s="125" t="n"/>
      <c r="AL49" s="125" t="n"/>
      <c r="AM49" s="120" t="n"/>
      <c r="AN49" s="23" t="n"/>
      <c r="AO49" s="24" t="n"/>
      <c r="AP49" s="24" t="n"/>
      <c r="AQ49" s="24" t="n"/>
      <c r="AR49" s="25" t="n"/>
      <c r="AS49" s="120" t="n"/>
    </row>
    <row r="50">
      <c r="B50" s="22" t="n"/>
      <c r="C50" s="120" t="n"/>
      <c r="D50" s="120" t="n"/>
      <c r="E50" s="120" t="n"/>
      <c r="F50" s="120" t="n"/>
      <c r="G50" s="120" t="n"/>
      <c r="I50" s="120" t="n"/>
      <c r="J50" s="120" t="n"/>
      <c r="K50" s="120" t="n"/>
      <c r="L50" s="120" t="n"/>
      <c r="M50" s="120" t="n"/>
      <c r="N50" s="120" t="n"/>
      <c r="O50" s="120" t="n"/>
      <c r="P50" s="120" t="n"/>
      <c r="Q50" s="120" t="n"/>
      <c r="R50" s="120" t="n"/>
      <c r="S50" s="120" t="n"/>
      <c r="T50" s="120" t="n"/>
      <c r="U50" s="120" t="n"/>
      <c r="V50" s="120" t="n"/>
      <c r="W50" s="120" t="n"/>
      <c r="X50" s="120" t="n"/>
      <c r="Y50" s="120" t="n"/>
      <c r="Z50" s="120" t="n"/>
      <c r="AB50" s="120" t="n"/>
      <c r="AC50" s="120" t="n"/>
      <c r="AD50" s="120" t="n"/>
      <c r="AE50" s="120" t="n"/>
      <c r="AF50" s="120" t="n"/>
      <c r="AG50" s="120" t="n"/>
      <c r="AH50" s="120" t="n"/>
      <c r="AI50" s="120" t="n"/>
      <c r="AJ50" s="120" t="n"/>
      <c r="AK50" s="120" t="n"/>
      <c r="AL50" s="120" t="n"/>
      <c r="AM50" s="120" t="n"/>
      <c r="AN50" s="120" t="n"/>
      <c r="AO50" s="120" t="n"/>
      <c r="AP50" s="120" t="n"/>
      <c r="AQ50" s="120" t="n"/>
      <c r="AR50" s="120" t="n"/>
      <c r="AS50" s="120" t="n"/>
    </row>
    <row r="51">
      <c r="B51" s="22" t="n"/>
      <c r="C51" s="120" t="n"/>
      <c r="D51" s="120" t="n"/>
      <c r="E51" s="120" t="n"/>
      <c r="F51" s="120" t="n"/>
      <c r="G51" s="120"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0"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0" t="n"/>
    </row>
    <row r="52">
      <c r="A52" s="8" t="n"/>
      <c r="B52" s="14" t="n"/>
      <c r="C52" s="120" t="n"/>
      <c r="D52" s="120" t="n"/>
      <c r="E52" s="120" t="n"/>
      <c r="F52" s="120" t="n"/>
      <c r="G52" s="120" t="n"/>
      <c r="I52" s="116" t="n"/>
      <c r="J52" s="19" t="n"/>
      <c r="K52" s="19" t="n"/>
      <c r="L52" s="19" t="n"/>
      <c r="M52" s="19" t="n"/>
      <c r="N52" s="19" t="n"/>
      <c r="O52" s="19" t="n"/>
      <c r="P52" s="19" t="n"/>
      <c r="Q52" s="19" t="n"/>
      <c r="R52" s="19" t="n"/>
      <c r="S52" s="19" t="n"/>
      <c r="T52" s="19" t="n"/>
      <c r="U52" s="19" t="n"/>
      <c r="V52" s="19" t="n"/>
      <c r="W52" s="19" t="n"/>
      <c r="X52" s="19" t="n"/>
      <c r="Y52" s="20" t="n"/>
      <c r="Z52" s="120" t="n"/>
      <c r="AB52" s="116" t="n"/>
      <c r="AC52" s="19" t="n"/>
      <c r="AD52" s="19" t="n"/>
      <c r="AE52" s="19" t="n"/>
      <c r="AF52" s="19" t="n"/>
      <c r="AG52" s="19" t="n"/>
      <c r="AH52" s="19" t="n"/>
      <c r="AI52" s="19" t="n"/>
      <c r="AJ52" s="19" t="n"/>
      <c r="AK52" s="19" t="n"/>
      <c r="AL52" s="19" t="n"/>
      <c r="AM52" s="19" t="n"/>
      <c r="AN52" s="19" t="n"/>
      <c r="AO52" s="19" t="n"/>
      <c r="AP52" s="19" t="n"/>
      <c r="AQ52" s="19" t="n"/>
      <c r="AR52" s="20" t="n"/>
      <c r="AS52" s="120" t="n"/>
    </row>
    <row r="53">
      <c r="A53" s="8" t="n"/>
      <c r="B53" s="14" t="n"/>
      <c r="C53" s="120" t="n"/>
      <c r="D53" s="120" t="n"/>
      <c r="E53" s="120" t="n"/>
      <c r="F53" s="120" t="n"/>
      <c r="G53" s="120" t="n"/>
      <c r="I53" s="23" t="n"/>
      <c r="J53" s="24" t="n"/>
      <c r="K53" s="24" t="n"/>
      <c r="L53" s="24" t="n"/>
      <c r="M53" s="24" t="n"/>
      <c r="N53" s="24" t="n"/>
      <c r="O53" s="24" t="n"/>
      <c r="P53" s="24" t="n"/>
      <c r="Q53" s="24" t="n"/>
      <c r="R53" s="24" t="n"/>
      <c r="S53" s="24" t="n"/>
      <c r="T53" s="24" t="n"/>
      <c r="U53" s="24" t="n"/>
      <c r="V53" s="24" t="n"/>
      <c r="W53" s="24" t="n"/>
      <c r="X53" s="24" t="n"/>
      <c r="Y53" s="25" t="n"/>
      <c r="Z53" s="120" t="n"/>
      <c r="AB53" s="23" t="n"/>
      <c r="AC53" s="24" t="n"/>
      <c r="AD53" s="24" t="n"/>
      <c r="AE53" s="24" t="n"/>
      <c r="AF53" s="24" t="n"/>
      <c r="AG53" s="24" t="n"/>
      <c r="AH53" s="24" t="n"/>
      <c r="AI53" s="24" t="n"/>
      <c r="AJ53" s="24" t="n"/>
      <c r="AK53" s="24" t="n"/>
      <c r="AL53" s="24" t="n"/>
      <c r="AM53" s="24" t="n"/>
      <c r="AN53" s="24" t="n"/>
      <c r="AO53" s="24" t="n"/>
      <c r="AP53" s="24" t="n"/>
      <c r="AQ53" s="24" t="n"/>
      <c r="AR53" s="25" t="n"/>
      <c r="AS53" s="120" t="n"/>
    </row>
    <row r="54">
      <c r="A54" s="8" t="n"/>
      <c r="B54" s="14" t="n"/>
      <c r="C54" s="120" t="n"/>
      <c r="D54" s="120" t="n"/>
      <c r="E54" s="120" t="n"/>
      <c r="F54" s="120" t="n"/>
      <c r="G54" s="120" t="n"/>
      <c r="I54" s="120" t="n"/>
      <c r="J54" s="120" t="n"/>
      <c r="K54" s="120" t="n"/>
      <c r="L54" s="120" t="n"/>
      <c r="M54" s="120" t="n"/>
      <c r="N54" s="120" t="n"/>
      <c r="O54" s="120" t="n"/>
      <c r="P54" s="120" t="n"/>
      <c r="Q54" s="120" t="n"/>
      <c r="R54" s="120" t="n"/>
      <c r="S54" s="120" t="n"/>
      <c r="T54" s="120" t="n"/>
      <c r="U54" s="120" t="n"/>
      <c r="V54" s="120" t="n"/>
      <c r="W54" s="120" t="n"/>
      <c r="X54" s="120" t="n"/>
      <c r="Y54" s="120" t="n"/>
      <c r="Z54" s="120" t="n"/>
      <c r="AB54" s="120" t="n"/>
      <c r="AC54" s="120" t="n"/>
      <c r="AD54" s="120" t="n"/>
      <c r="AE54" s="120" t="n"/>
      <c r="AF54" s="120" t="n"/>
      <c r="AG54" s="120" t="n"/>
      <c r="AH54" s="120" t="n"/>
      <c r="AI54" s="120" t="n"/>
      <c r="AJ54" s="120" t="n"/>
      <c r="AK54" s="120" t="n"/>
      <c r="AL54" s="120" t="n"/>
      <c r="AM54" s="120" t="n"/>
      <c r="AN54" s="120" t="n"/>
      <c r="AO54" s="120" t="n"/>
      <c r="AP54" s="120" t="n"/>
      <c r="AQ54" s="120" t="n"/>
      <c r="AR54" s="120" t="n"/>
      <c r="AS54" s="120" t="n"/>
    </row>
    <row r="55">
      <c r="A55" s="8" t="n"/>
      <c r="B55" s="14" t="n"/>
      <c r="C55" s="120" t="n"/>
      <c r="D55" s="120" t="n"/>
      <c r="E55" s="120" t="n"/>
      <c r="F55" s="120" t="n"/>
      <c r="G55" s="120" t="n"/>
      <c r="I55" s="133">
        <f>DADOS_INVOC!$HT$2</f>
        <v/>
      </c>
      <c r="J55" s="16" t="n"/>
      <c r="K55" s="16" t="n"/>
      <c r="L55" s="16" t="n"/>
      <c r="M55" s="16" t="n"/>
      <c r="N55" s="16" t="n"/>
      <c r="O55" s="16" t="n"/>
      <c r="P55" s="16" t="n"/>
      <c r="Q55" s="16" t="n"/>
      <c r="R55" s="16" t="n"/>
      <c r="S55" s="16" t="n"/>
      <c r="T55" s="16" t="n"/>
      <c r="U55" s="16" t="n"/>
      <c r="V55" s="16" t="n"/>
      <c r="W55" s="16" t="n"/>
      <c r="X55" s="16" t="n"/>
      <c r="Y55" s="17" t="n"/>
      <c r="Z55" s="120" t="n"/>
      <c r="AB55" s="133">
        <f>DADOS_INVOC!$HT$8</f>
        <v/>
      </c>
      <c r="AC55" s="16" t="n"/>
      <c r="AD55" s="16" t="n"/>
      <c r="AE55" s="16" t="n"/>
      <c r="AF55" s="16" t="n"/>
      <c r="AG55" s="16" t="n"/>
      <c r="AH55" s="16" t="n"/>
      <c r="AI55" s="16" t="n"/>
      <c r="AJ55" s="16" t="n"/>
      <c r="AK55" s="16" t="n"/>
      <c r="AL55" s="16" t="n"/>
      <c r="AM55" s="16" t="n"/>
      <c r="AN55" s="16" t="n"/>
      <c r="AO55" s="16" t="n"/>
      <c r="AP55" s="16" t="n"/>
      <c r="AQ55" s="16" t="n"/>
      <c r="AR55" s="17" t="n"/>
      <c r="AS55" s="120" t="n"/>
    </row>
    <row r="56" outlineLevel="1">
      <c r="A56" s="8" t="n"/>
      <c r="B56" s="14" t="n"/>
      <c r="C56" s="120" t="n"/>
      <c r="D56" s="120" t="n"/>
      <c r="E56" s="120" t="n"/>
      <c r="F56" s="120" t="n"/>
      <c r="G56" s="120" t="n"/>
      <c r="I56" s="120" t="n"/>
      <c r="J56" s="120" t="n"/>
      <c r="K56" s="120" t="n"/>
      <c r="L56" s="120" t="n"/>
      <c r="M56" s="120" t="n"/>
      <c r="N56" s="120" t="n"/>
      <c r="O56" s="120" t="n"/>
      <c r="P56" s="120" t="n"/>
      <c r="Q56" s="120" t="n"/>
      <c r="R56" s="120" t="n"/>
      <c r="S56" s="120" t="n"/>
      <c r="T56" s="120" t="n"/>
      <c r="U56" s="120" t="n"/>
      <c r="V56" s="120" t="n"/>
      <c r="W56" s="120" t="n"/>
      <c r="X56" s="120" t="n"/>
      <c r="Y56" s="120" t="n"/>
      <c r="Z56" s="120" t="n"/>
      <c r="AB56" s="120" t="n"/>
      <c r="AC56" s="120" t="n"/>
      <c r="AD56" s="120" t="n"/>
      <c r="AE56" s="120" t="n"/>
      <c r="AF56" s="120" t="n"/>
      <c r="AG56" s="120" t="n"/>
      <c r="AH56" s="120" t="n"/>
      <c r="AI56" s="120" t="n"/>
      <c r="AJ56" s="120" t="n"/>
      <c r="AK56" s="120" t="n"/>
      <c r="AL56" s="120" t="n"/>
      <c r="AM56" s="120" t="n"/>
      <c r="AN56" s="120" t="n"/>
      <c r="AO56" s="120" t="n"/>
      <c r="AP56" s="120" t="n"/>
      <c r="AQ56" s="120" t="n"/>
      <c r="AR56" s="120" t="n"/>
      <c r="AS56" s="120" t="n"/>
    </row>
    <row r="57" outlineLevel="1">
      <c r="A57" s="8" t="n"/>
      <c r="B57" s="14" t="n"/>
      <c r="C57" s="120" t="n"/>
      <c r="D57" s="120" t="n"/>
      <c r="E57" s="120" t="n"/>
      <c r="F57" s="120" t="n"/>
      <c r="G57" s="120" t="n"/>
      <c r="I57" s="55">
        <f>DADOS_INVOC!$PM$2</f>
        <v/>
      </c>
      <c r="J57" s="16" t="n"/>
      <c r="K57" s="16" t="n"/>
      <c r="L57" s="16" t="n"/>
      <c r="M57" s="17" t="n"/>
      <c r="N57" s="120" t="n"/>
      <c r="O57" s="55">
        <f>DADOS_INVOC!$PM$3</f>
        <v/>
      </c>
      <c r="P57" s="16" t="n"/>
      <c r="Q57" s="16" t="n"/>
      <c r="R57" s="16" t="n"/>
      <c r="S57" s="17" t="n"/>
      <c r="T57" s="120" t="n"/>
      <c r="U57" s="55">
        <f>DADOS_INVOC!$PM$4</f>
        <v/>
      </c>
      <c r="V57" s="16" t="n"/>
      <c r="W57" s="16" t="n"/>
      <c r="X57" s="16" t="n"/>
      <c r="Y57" s="17" t="n"/>
      <c r="Z57" s="120" t="n"/>
      <c r="AB57" s="55">
        <f>DADOS_INVOC!$PM$80</f>
        <v/>
      </c>
      <c r="AC57" s="16" t="n"/>
      <c r="AD57" s="16" t="n"/>
      <c r="AE57" s="16" t="n"/>
      <c r="AF57" s="17" t="n"/>
      <c r="AG57" s="120" t="n"/>
      <c r="AH57" s="55">
        <f>DADOS_INVOC!$PM$81</f>
        <v/>
      </c>
      <c r="AI57" s="16" t="n"/>
      <c r="AJ57" s="16" t="n"/>
      <c r="AK57" s="16" t="n"/>
      <c r="AL57" s="17" t="n"/>
      <c r="AM57" s="120" t="n"/>
      <c r="AN57" s="55">
        <f>DADOS_INVOC!$PM$82</f>
        <v/>
      </c>
      <c r="AO57" s="16" t="n"/>
      <c r="AP57" s="16" t="n"/>
      <c r="AQ57" s="16" t="n"/>
      <c r="AR57" s="17" t="n"/>
      <c r="AS57" s="120" t="n"/>
    </row>
    <row r="58" outlineLevel="1">
      <c r="A58" s="8" t="n"/>
      <c r="B58" s="14" t="n"/>
      <c r="C58" s="120" t="n"/>
      <c r="D58" s="120" t="n"/>
      <c r="E58" s="120" t="n"/>
      <c r="F58" s="120" t="n"/>
      <c r="G58" s="120" t="n"/>
      <c r="I58" s="127" t="n">
        <v>0</v>
      </c>
      <c r="J58" s="115" t="n"/>
      <c r="K58" s="16" t="n"/>
      <c r="L58" s="17" t="n"/>
      <c r="M58" s="128">
        <f>DADOS_INVOC!$PK$2</f>
        <v/>
      </c>
      <c r="N58" s="120" t="n"/>
      <c r="O58" s="127" t="n">
        <v>1</v>
      </c>
      <c r="P58" s="115" t="n"/>
      <c r="Q58" s="16" t="n"/>
      <c r="R58" s="17" t="n"/>
      <c r="S58" s="128">
        <f>DADOS_INVOC!$PK$3</f>
        <v/>
      </c>
      <c r="T58" s="120" t="n"/>
      <c r="U58" s="127" t="n">
        <v>1</v>
      </c>
      <c r="V58" s="115" t="n"/>
      <c r="W58" s="16" t="n"/>
      <c r="X58" s="17" t="n"/>
      <c r="Y58" s="128">
        <f>DADOS_INVOC!$PK$4</f>
        <v/>
      </c>
      <c r="Z58" s="120" t="n"/>
      <c r="AB58" s="127" t="n">
        <v>0</v>
      </c>
      <c r="AC58" s="115" t="n"/>
      <c r="AD58" s="16" t="n"/>
      <c r="AE58" s="17" t="n"/>
      <c r="AF58" s="128">
        <f>DADOS_INVOC!$PK$80</f>
        <v/>
      </c>
      <c r="AG58" s="120" t="n"/>
      <c r="AH58" s="127" t="n">
        <v>1</v>
      </c>
      <c r="AI58" s="115" t="n"/>
      <c r="AJ58" s="16" t="n"/>
      <c r="AK58" s="17" t="n"/>
      <c r="AL58" s="128">
        <f>DADOS_INVOC!$PK$81</f>
        <v/>
      </c>
      <c r="AM58" s="120" t="n"/>
      <c r="AN58" s="127" t="n">
        <v>1</v>
      </c>
      <c r="AO58" s="115" t="n"/>
      <c r="AP58" s="16" t="n"/>
      <c r="AQ58" s="17" t="n"/>
      <c r="AR58" s="128">
        <f>DADOS_INVOC!$PK$82</f>
        <v/>
      </c>
      <c r="AS58" s="120" t="n"/>
    </row>
    <row r="59" outlineLevel="2">
      <c r="A59" s="8" t="n"/>
      <c r="B59" s="14" t="n"/>
      <c r="C59" s="120" t="n"/>
      <c r="D59" s="120" t="n"/>
      <c r="E59" s="120" t="n"/>
      <c r="F59" s="120" t="n"/>
      <c r="G59" s="120" t="n"/>
      <c r="I59" s="55" t="inlineStr">
        <is>
          <t>COMO É</t>
        </is>
      </c>
      <c r="J59" s="16" t="n"/>
      <c r="K59" s="16" t="n"/>
      <c r="L59" s="16" t="n"/>
      <c r="M59" s="17" t="n"/>
      <c r="N59" s="120" t="n"/>
      <c r="O59" s="55" t="inlineStr">
        <is>
          <t>COMO É</t>
        </is>
      </c>
      <c r="P59" s="16" t="n"/>
      <c r="Q59" s="16" t="n"/>
      <c r="R59" s="16" t="n"/>
      <c r="S59" s="17" t="n"/>
      <c r="T59" s="120" t="n"/>
      <c r="U59" s="55" t="inlineStr">
        <is>
          <t>COMO É</t>
        </is>
      </c>
      <c r="V59" s="16" t="n"/>
      <c r="W59" s="16" t="n"/>
      <c r="X59" s="16" t="n"/>
      <c r="Y59" s="17" t="n"/>
      <c r="Z59" s="120" t="n"/>
      <c r="AB59" s="55" t="inlineStr">
        <is>
          <t>COMO É</t>
        </is>
      </c>
      <c r="AC59" s="16" t="n"/>
      <c r="AD59" s="16" t="n"/>
      <c r="AE59" s="16" t="n"/>
      <c r="AF59" s="17" t="n"/>
      <c r="AG59" s="120" t="n"/>
      <c r="AH59" s="55" t="inlineStr">
        <is>
          <t>COMO É</t>
        </is>
      </c>
      <c r="AI59" s="16" t="n"/>
      <c r="AJ59" s="16" t="n"/>
      <c r="AK59" s="16" t="n"/>
      <c r="AL59" s="17" t="n"/>
      <c r="AM59" s="120" t="n"/>
      <c r="AN59" s="55" t="inlineStr">
        <is>
          <t>COMO É</t>
        </is>
      </c>
      <c r="AO59" s="16" t="n"/>
      <c r="AP59" s="16" t="n"/>
      <c r="AQ59" s="16" t="n"/>
      <c r="AR59" s="17" t="n"/>
      <c r="AS59" s="120" t="n"/>
    </row>
    <row r="60" outlineLevel="2">
      <c r="A60" s="8" t="n"/>
      <c r="B60" s="14" t="n"/>
      <c r="C60" s="120" t="n"/>
      <c r="D60" s="120" t="n"/>
      <c r="E60" s="120" t="n"/>
      <c r="F60" s="120" t="n"/>
      <c r="G60" s="120" t="n"/>
      <c r="I60" s="116" t="n"/>
      <c r="J60" s="19" t="n"/>
      <c r="K60" s="19" t="n"/>
      <c r="L60" s="19" t="n"/>
      <c r="M60" s="20" t="n"/>
      <c r="N60" s="120" t="n"/>
      <c r="O60" s="116" t="n"/>
      <c r="P60" s="19" t="n"/>
      <c r="Q60" s="19" t="n"/>
      <c r="R60" s="19" t="n"/>
      <c r="S60" s="20" t="n"/>
      <c r="T60" s="120" t="n"/>
      <c r="U60" s="116" t="n"/>
      <c r="V60" s="19" t="n"/>
      <c r="W60" s="19" t="n"/>
      <c r="X60" s="19" t="n"/>
      <c r="Y60" s="20" t="n"/>
      <c r="Z60" s="120" t="n"/>
      <c r="AB60" s="116" t="n"/>
      <c r="AC60" s="19" t="n"/>
      <c r="AD60" s="19" t="n"/>
      <c r="AE60" s="19" t="n"/>
      <c r="AF60" s="20" t="n"/>
      <c r="AG60" s="120" t="n"/>
      <c r="AH60" s="116" t="n"/>
      <c r="AI60" s="19" t="n"/>
      <c r="AJ60" s="19" t="n"/>
      <c r="AK60" s="19" t="n"/>
      <c r="AL60" s="20" t="n"/>
      <c r="AM60" s="120" t="n"/>
      <c r="AN60" s="116" t="n"/>
      <c r="AO60" s="19" t="n"/>
      <c r="AP60" s="19" t="n"/>
      <c r="AQ60" s="19" t="n"/>
      <c r="AR60" s="20" t="n"/>
      <c r="AS60" s="120" t="n"/>
    </row>
    <row r="61" outlineLevel="2">
      <c r="A61" s="8" t="n"/>
      <c r="B61" s="14" t="n"/>
      <c r="C61" s="120" t="n"/>
      <c r="D61" s="120" t="n"/>
      <c r="E61" s="120" t="n"/>
      <c r="F61" s="120" t="n"/>
      <c r="G61" s="120" t="n"/>
      <c r="I61" s="21" t="n"/>
      <c r="M61" s="22" t="n"/>
      <c r="N61" s="120" t="n"/>
      <c r="O61" s="21" t="n"/>
      <c r="S61" s="22" t="n"/>
      <c r="T61" s="120" t="n"/>
      <c r="U61" s="21" t="n"/>
      <c r="Y61" s="22" t="n"/>
      <c r="Z61" s="120" t="n"/>
      <c r="AB61" s="21" t="n"/>
      <c r="AF61" s="22" t="n"/>
      <c r="AG61" s="120" t="n"/>
      <c r="AH61" s="21" t="n"/>
      <c r="AL61" s="22" t="n"/>
      <c r="AM61" s="120" t="n"/>
      <c r="AN61" s="21" t="n"/>
      <c r="AR61" s="22" t="n"/>
      <c r="AS61" s="120" t="n"/>
    </row>
    <row r="62" outlineLevel="2">
      <c r="A62" s="8" t="n"/>
      <c r="B62" s="14" t="n"/>
      <c r="C62" s="120" t="n"/>
      <c r="D62" s="120" t="n"/>
      <c r="E62" s="120" t="n"/>
      <c r="F62" s="120" t="n"/>
      <c r="G62" s="120" t="n"/>
      <c r="I62" s="23" t="n"/>
      <c r="J62" s="24" t="n"/>
      <c r="K62" s="24" t="n"/>
      <c r="L62" s="24" t="n"/>
      <c r="M62" s="25" t="n"/>
      <c r="N62" s="120" t="n"/>
      <c r="O62" s="23" t="n"/>
      <c r="P62" s="24" t="n"/>
      <c r="Q62" s="24" t="n"/>
      <c r="R62" s="24" t="n"/>
      <c r="S62" s="25" t="n"/>
      <c r="T62" s="120" t="n"/>
      <c r="U62" s="23" t="n"/>
      <c r="V62" s="24" t="n"/>
      <c r="W62" s="24" t="n"/>
      <c r="X62" s="24" t="n"/>
      <c r="Y62" s="25" t="n"/>
      <c r="Z62" s="120" t="n"/>
      <c r="AB62" s="23" t="n"/>
      <c r="AC62" s="24" t="n"/>
      <c r="AD62" s="24" t="n"/>
      <c r="AE62" s="24" t="n"/>
      <c r="AF62" s="25" t="n"/>
      <c r="AG62" s="120" t="n"/>
      <c r="AH62" s="23" t="n"/>
      <c r="AI62" s="24" t="n"/>
      <c r="AJ62" s="24" t="n"/>
      <c r="AK62" s="24" t="n"/>
      <c r="AL62" s="25" t="n"/>
      <c r="AM62" s="120" t="n"/>
      <c r="AN62" s="23" t="n"/>
      <c r="AO62" s="24" t="n"/>
      <c r="AP62" s="24" t="n"/>
      <c r="AQ62" s="24" t="n"/>
      <c r="AR62" s="25" t="n"/>
      <c r="AS62" s="120" t="n"/>
    </row>
    <row r="63" outlineLevel="1">
      <c r="A63" s="8" t="n"/>
      <c r="B63" s="14" t="n"/>
      <c r="C63" s="120" t="n"/>
      <c r="D63" s="120" t="n"/>
      <c r="E63" s="120" t="n"/>
      <c r="F63" s="120" t="n"/>
      <c r="G63" s="120" t="n"/>
      <c r="I63" s="124" t="inlineStr">
        <is>
          <t>Projétil</t>
        </is>
      </c>
      <c r="J63" s="17" t="n"/>
      <c r="K63" s="68">
        <f>DADOS_INVOC!$PR$2</f>
        <v/>
      </c>
      <c r="L63" s="17" t="n"/>
      <c r="M63" s="68">
        <f>DADOS_INVOC!$PN$2</f>
        <v/>
      </c>
      <c r="N63" s="120" t="n"/>
      <c r="O63" s="124" t="inlineStr">
        <is>
          <t>Projétil</t>
        </is>
      </c>
      <c r="P63" s="17" t="n"/>
      <c r="Q63" s="68">
        <f>DADOS_INVOC!$PR$3</f>
        <v/>
      </c>
      <c r="R63" s="17" t="n"/>
      <c r="S63" s="68">
        <f>DADOS_INVOC!$PN$3</f>
        <v/>
      </c>
      <c r="T63" s="120" t="n"/>
      <c r="U63" s="124" t="inlineStr">
        <is>
          <t>Projétil</t>
        </is>
      </c>
      <c r="V63" s="17" t="n"/>
      <c r="W63" s="68">
        <f>DADOS_INVOC!$PR$4</f>
        <v/>
      </c>
      <c r="X63" s="17" t="n"/>
      <c r="Y63" s="68">
        <f>DADOS_INVOC!$PN$4</f>
        <v/>
      </c>
      <c r="Z63" s="120" t="n"/>
      <c r="AB63" s="124" t="inlineStr">
        <is>
          <t>Projétil</t>
        </is>
      </c>
      <c r="AC63" s="17" t="n"/>
      <c r="AD63" s="68">
        <f>DADOS_INVOC!$PR$80</f>
        <v/>
      </c>
      <c r="AE63" s="17" t="n"/>
      <c r="AF63" s="68">
        <f>DADOS_INVOC!$PN$80</f>
        <v/>
      </c>
      <c r="AG63" s="120" t="n"/>
      <c r="AH63" s="124" t="inlineStr">
        <is>
          <t>Projétil</t>
        </is>
      </c>
      <c r="AI63" s="17" t="n"/>
      <c r="AJ63" s="68">
        <f>DADOS_INVOC!$PR$81</f>
        <v/>
      </c>
      <c r="AK63" s="17" t="n"/>
      <c r="AL63" s="68">
        <f>DADOS_INVOC!$PN$81</f>
        <v/>
      </c>
      <c r="AM63" s="120" t="n"/>
      <c r="AN63" s="124" t="inlineStr">
        <is>
          <t>Projétil</t>
        </is>
      </c>
      <c r="AO63" s="17" t="n"/>
      <c r="AP63" s="68">
        <f>DADOS_INVOC!$PR$82</f>
        <v/>
      </c>
      <c r="AQ63" s="17" t="n"/>
      <c r="AR63" s="68">
        <f>DADOS_INVOC!$PN$82</f>
        <v/>
      </c>
      <c r="AS63" s="120" t="n"/>
    </row>
    <row r="64" outlineLevel="1">
      <c r="A64" s="8" t="n"/>
      <c r="B64" s="14" t="n"/>
      <c r="C64" s="120" t="n"/>
      <c r="D64" s="120" t="n"/>
      <c r="E64" s="120" t="n"/>
      <c r="F64" s="120" t="n"/>
      <c r="G64" s="120" t="n"/>
      <c r="I64" s="124" t="n"/>
      <c r="J64" s="17" t="n"/>
      <c r="K64" s="124" t="n"/>
      <c r="L64" s="16" t="n"/>
      <c r="M64" s="17" t="n"/>
      <c r="N64" s="120" t="n"/>
      <c r="O64" s="124" t="n"/>
      <c r="P64" s="17" t="n"/>
      <c r="Q64" s="124" t="n"/>
      <c r="R64" s="16" t="n"/>
      <c r="S64" s="17" t="n"/>
      <c r="T64" s="120" t="n"/>
      <c r="U64" s="124" t="n"/>
      <c r="V64" s="17" t="n"/>
      <c r="W64" s="124" t="n"/>
      <c r="X64" s="16" t="n"/>
      <c r="Y64" s="17" t="n"/>
      <c r="Z64" s="120" t="n"/>
      <c r="AB64" s="124" t="n"/>
      <c r="AC64" s="17" t="n"/>
      <c r="AD64" s="124" t="n"/>
      <c r="AE64" s="16" t="n"/>
      <c r="AF64" s="17" t="n"/>
      <c r="AG64" s="120" t="n"/>
      <c r="AH64" s="124" t="n"/>
      <c r="AI64" s="17" t="n"/>
      <c r="AJ64" s="124" t="n"/>
      <c r="AK64" s="16" t="n"/>
      <c r="AL64" s="17" t="n"/>
      <c r="AM64" s="120" t="n"/>
      <c r="AN64" s="124" t="n"/>
      <c r="AO64" s="17" t="n"/>
      <c r="AP64" s="124" t="n"/>
      <c r="AQ64" s="16" t="n"/>
      <c r="AR64" s="17" t="n"/>
      <c r="AS64" s="120" t="n"/>
    </row>
    <row r="65" outlineLevel="1">
      <c r="A65" s="8" t="n"/>
      <c r="B65" s="14" t="n"/>
      <c r="C65" s="120" t="n"/>
      <c r="D65" s="120" t="n"/>
      <c r="E65" s="120" t="n"/>
      <c r="F65" s="120" t="n"/>
      <c r="G65" s="120" t="n"/>
      <c r="I65" s="124">
        <f>DADOS_INVOC!$PO$2</f>
        <v/>
      </c>
      <c r="J65" s="17" t="n"/>
      <c r="K65" s="124">
        <f>DADOS_INVOC!$PQ$2</f>
        <v/>
      </c>
      <c r="L65" s="16" t="n"/>
      <c r="M65" s="17" t="n"/>
      <c r="N65" s="120" t="n"/>
      <c r="O65" s="124">
        <f>DADOS_INVOC!$PO$3</f>
        <v/>
      </c>
      <c r="P65" s="17" t="n"/>
      <c r="Q65" s="124">
        <f>DADOS_INVOC!$PQ$3</f>
        <v/>
      </c>
      <c r="R65" s="16" t="n"/>
      <c r="S65" s="17" t="n"/>
      <c r="T65" s="120" t="n"/>
      <c r="U65" s="124">
        <f>DADOS_INVOC!$PO$4</f>
        <v/>
      </c>
      <c r="V65" s="17" t="n"/>
      <c r="W65" s="124">
        <f>DADOS_INVOC!$PQ$4</f>
        <v/>
      </c>
      <c r="X65" s="16" t="n"/>
      <c r="Y65" s="17" t="n"/>
      <c r="Z65" s="120" t="n"/>
      <c r="AB65" s="124">
        <f>DADOS_INVOC!$PO$80</f>
        <v/>
      </c>
      <c r="AC65" s="17" t="n"/>
      <c r="AD65" s="124">
        <f>DADOS_INVOC!$PQ$80</f>
        <v/>
      </c>
      <c r="AE65" s="16" t="n"/>
      <c r="AF65" s="17" t="n"/>
      <c r="AG65" s="120" t="n"/>
      <c r="AH65" s="124">
        <f>DADOS_INVOC!$PO$81</f>
        <v/>
      </c>
      <c r="AI65" s="17" t="n"/>
      <c r="AJ65" s="124">
        <f>DADOS_INVOC!$PQ$81</f>
        <v/>
      </c>
      <c r="AK65" s="16" t="n"/>
      <c r="AL65" s="17" t="n"/>
      <c r="AM65" s="120" t="n"/>
      <c r="AN65" s="124">
        <f>DADOS_INVOC!$PO$82</f>
        <v/>
      </c>
      <c r="AO65" s="17" t="n"/>
      <c r="AP65" s="124">
        <f>DADOS_INVOC!$PQ$82</f>
        <v/>
      </c>
      <c r="AQ65" s="16" t="n"/>
      <c r="AR65" s="17" t="n"/>
      <c r="AS65" s="120" t="n"/>
    </row>
    <row r="66" outlineLevel="1">
      <c r="A66" s="8" t="n"/>
      <c r="B66" s="14" t="n"/>
      <c r="C66" s="120" t="n"/>
      <c r="D66" s="120" t="n"/>
      <c r="E66" s="120" t="n"/>
      <c r="F66" s="120" t="n"/>
      <c r="G66" s="120" t="n"/>
      <c r="I66" s="129">
        <f>DADOS_INVOC!$PW$2</f>
        <v/>
      </c>
      <c r="J66" s="16" t="n"/>
      <c r="K66" s="16" t="n"/>
      <c r="L66" s="16" t="n"/>
      <c r="M66" s="17" t="n"/>
      <c r="N66" s="120" t="n"/>
      <c r="O66" s="129">
        <f>DADOS_INVOC!$PW$3</f>
        <v/>
      </c>
      <c r="P66" s="16" t="n"/>
      <c r="Q66" s="16" t="n"/>
      <c r="R66" s="16" t="n"/>
      <c r="S66" s="17" t="n"/>
      <c r="T66" s="120" t="n"/>
      <c r="U66" s="129">
        <f>DADOS_INVOC!$PW$4</f>
        <v/>
      </c>
      <c r="V66" s="16" t="n"/>
      <c r="W66" s="16" t="n"/>
      <c r="X66" s="16" t="n"/>
      <c r="Y66" s="17" t="n"/>
      <c r="Z66" s="120" t="n"/>
      <c r="AB66" s="129">
        <f>DADOS_INVOC!$PW$80</f>
        <v/>
      </c>
      <c r="AC66" s="16" t="n"/>
      <c r="AD66" s="16" t="n"/>
      <c r="AE66" s="16" t="n"/>
      <c r="AF66" s="17" t="n"/>
      <c r="AG66" s="120" t="n"/>
      <c r="AH66" s="129">
        <f>DADOS_INVOC!$PW$81</f>
        <v/>
      </c>
      <c r="AI66" s="16" t="n"/>
      <c r="AJ66" s="16" t="n"/>
      <c r="AK66" s="16" t="n"/>
      <c r="AL66" s="17" t="n"/>
      <c r="AM66" s="120" t="n"/>
      <c r="AN66" s="129">
        <f>DADOS_INVOC!$PW$82</f>
        <v/>
      </c>
      <c r="AO66" s="16" t="n"/>
      <c r="AP66" s="16" t="n"/>
      <c r="AQ66" s="16" t="n"/>
      <c r="AR66" s="17" t="n"/>
      <c r="AS66" s="120" t="n"/>
    </row>
    <row r="67" hidden="1" outlineLevel="2">
      <c r="A67" s="8" t="n"/>
      <c r="B67" s="14" t="n"/>
      <c r="C67" s="120" t="n"/>
      <c r="D67" s="120" t="n"/>
      <c r="E67" s="120" t="n"/>
      <c r="F67" s="120" t="n"/>
      <c r="G67" s="120" t="n"/>
      <c r="I67" s="55" t="inlineStr">
        <is>
          <t>MELHORIAS</t>
        </is>
      </c>
      <c r="J67" s="130" t="n"/>
      <c r="K67" s="16" t="n"/>
      <c r="L67" s="17" t="n"/>
      <c r="M67" s="129">
        <f>DADOS_INVOC!$PZ$2</f>
        <v/>
      </c>
      <c r="N67" s="120" t="n"/>
      <c r="O67" s="55" t="inlineStr">
        <is>
          <t>MELHORIAS</t>
        </is>
      </c>
      <c r="P67" s="130" t="n"/>
      <c r="Q67" s="16" t="n"/>
      <c r="R67" s="17" t="n"/>
      <c r="S67" s="129">
        <f>DADOS_INVOC!$PZ$3</f>
        <v/>
      </c>
      <c r="T67" s="120" t="n"/>
      <c r="U67" s="55" t="inlineStr">
        <is>
          <t>MELHORIAS</t>
        </is>
      </c>
      <c r="V67" s="130" t="n"/>
      <c r="W67" s="16" t="n"/>
      <c r="X67" s="17" t="n"/>
      <c r="Y67" s="129">
        <f>DADOS_INVOC!$PZ$4</f>
        <v/>
      </c>
      <c r="Z67" s="120" t="n"/>
      <c r="AB67" s="55" t="inlineStr">
        <is>
          <t>MELHORIAS</t>
        </is>
      </c>
      <c r="AC67" s="130" t="n"/>
      <c r="AD67" s="16" t="n"/>
      <c r="AE67" s="17" t="n"/>
      <c r="AF67" s="129">
        <f>DADOS_INVOC!$PZ$80</f>
        <v/>
      </c>
      <c r="AG67" s="120" t="n"/>
      <c r="AH67" s="55" t="inlineStr">
        <is>
          <t>MELHORIAS</t>
        </is>
      </c>
      <c r="AI67" s="130" t="n"/>
      <c r="AJ67" s="16" t="n"/>
      <c r="AK67" s="17" t="n"/>
      <c r="AL67" s="129">
        <f>DADOS_INVOC!$PZ$81</f>
        <v/>
      </c>
      <c r="AM67" s="120" t="n"/>
      <c r="AN67" s="55" t="inlineStr">
        <is>
          <t>MELHORIAS</t>
        </is>
      </c>
      <c r="AO67" s="130" t="n"/>
      <c r="AP67" s="16" t="n"/>
      <c r="AQ67" s="17" t="n"/>
      <c r="AR67" s="129">
        <f>DADOS_INVOC!$PZ$82</f>
        <v/>
      </c>
      <c r="AS67" s="120" t="n"/>
    </row>
    <row r="68" hidden="1" outlineLevel="2">
      <c r="A68" s="8" t="n"/>
      <c r="B68" s="14" t="n"/>
      <c r="C68" s="120" t="n"/>
      <c r="D68" s="120" t="n"/>
      <c r="E68" s="120" t="n"/>
      <c r="F68" s="120" t="n"/>
      <c r="G68" s="120" t="n"/>
      <c r="I68" s="131" t="n"/>
      <c r="J68" s="130" t="n"/>
      <c r="K68" s="16" t="n"/>
      <c r="L68" s="17" t="n"/>
      <c r="M68" s="129">
        <f>DADOS_INVOC!$QA$2</f>
        <v/>
      </c>
      <c r="N68" s="120" t="n"/>
      <c r="O68" s="131" t="n"/>
      <c r="P68" s="130" t="n"/>
      <c r="Q68" s="16" t="n"/>
      <c r="R68" s="17" t="n"/>
      <c r="S68" s="129">
        <f>DADOS_INVOC!$QA$3</f>
        <v/>
      </c>
      <c r="T68" s="120" t="n"/>
      <c r="U68" s="131" t="n"/>
      <c r="V68" s="130" t="n"/>
      <c r="W68" s="16" t="n"/>
      <c r="X68" s="17" t="n"/>
      <c r="Y68" s="129">
        <f>DADOS_INVOC!$QA$4</f>
        <v/>
      </c>
      <c r="Z68" s="120" t="n"/>
      <c r="AB68" s="131" t="n"/>
      <c r="AC68" s="130" t="n"/>
      <c r="AD68" s="16" t="n"/>
      <c r="AE68" s="17" t="n"/>
      <c r="AF68" s="129">
        <f>DADOS_INVOC!$QA$80</f>
        <v/>
      </c>
      <c r="AG68" s="120" t="n"/>
      <c r="AH68" s="131" t="n"/>
      <c r="AI68" s="130" t="n"/>
      <c r="AJ68" s="16" t="n"/>
      <c r="AK68" s="17" t="n"/>
      <c r="AL68" s="129">
        <f>DADOS_INVOC!$QA$81</f>
        <v/>
      </c>
      <c r="AM68" s="120" t="n"/>
      <c r="AN68" s="131" t="n"/>
      <c r="AO68" s="130" t="n"/>
      <c r="AP68" s="16" t="n"/>
      <c r="AQ68" s="17" t="n"/>
      <c r="AR68" s="129">
        <f>DADOS_INVOC!$QA$82</f>
        <v/>
      </c>
      <c r="AS68" s="120" t="n"/>
    </row>
    <row r="69" hidden="1" outlineLevel="2">
      <c r="A69" s="8" t="n"/>
      <c r="B69" s="14" t="n"/>
      <c r="C69" s="120" t="n"/>
      <c r="D69" s="120" t="n"/>
      <c r="E69" s="120" t="n"/>
      <c r="F69" s="120" t="n"/>
      <c r="G69" s="120" t="n"/>
      <c r="I69" s="131" t="n"/>
      <c r="J69" s="130" t="n"/>
      <c r="K69" s="16" t="n"/>
      <c r="L69" s="17" t="n"/>
      <c r="M69" s="129">
        <f>DADOS_INVOC!$QB$2</f>
        <v/>
      </c>
      <c r="N69" s="120" t="n"/>
      <c r="O69" s="131" t="n"/>
      <c r="P69" s="130" t="n"/>
      <c r="Q69" s="16" t="n"/>
      <c r="R69" s="17" t="n"/>
      <c r="S69" s="129">
        <f>DADOS_INVOC!$QB$3</f>
        <v/>
      </c>
      <c r="T69" s="120" t="n"/>
      <c r="U69" s="131" t="n"/>
      <c r="V69" s="130" t="n"/>
      <c r="W69" s="16" t="n"/>
      <c r="X69" s="17" t="n"/>
      <c r="Y69" s="129">
        <f>DADOS_INVOC!$QB$4</f>
        <v/>
      </c>
      <c r="Z69" s="120" t="n"/>
      <c r="AB69" s="131" t="n"/>
      <c r="AC69" s="130" t="n"/>
      <c r="AD69" s="16" t="n"/>
      <c r="AE69" s="17" t="n"/>
      <c r="AF69" s="129">
        <f>DADOS_INVOC!$QB$80</f>
        <v/>
      </c>
      <c r="AG69" s="120" t="n"/>
      <c r="AH69" s="131" t="n"/>
      <c r="AI69" s="130" t="n"/>
      <c r="AJ69" s="16" t="n"/>
      <c r="AK69" s="17" t="n"/>
      <c r="AL69" s="129">
        <f>DADOS_INVOC!$QB$81</f>
        <v/>
      </c>
      <c r="AM69" s="120" t="n"/>
      <c r="AN69" s="131" t="n"/>
      <c r="AO69" s="130" t="n"/>
      <c r="AP69" s="16" t="n"/>
      <c r="AQ69" s="17" t="n"/>
      <c r="AR69" s="129">
        <f>DADOS_INVOC!$QB$82</f>
        <v/>
      </c>
      <c r="AS69" s="120" t="n"/>
    </row>
    <row r="70" hidden="1" outlineLevel="2">
      <c r="A70" s="8" t="n"/>
      <c r="B70" s="14" t="n"/>
      <c r="C70" s="120" t="n"/>
      <c r="D70" s="120" t="n"/>
      <c r="E70" s="120" t="n"/>
      <c r="F70" s="120" t="n"/>
      <c r="G70" s="120" t="n"/>
      <c r="I70" s="125" t="n"/>
      <c r="J70" s="130" t="n"/>
      <c r="K70" s="16" t="n"/>
      <c r="L70" s="17" t="n"/>
      <c r="M70" s="129">
        <f>DADOS_INVOC!$QC$2</f>
        <v/>
      </c>
      <c r="N70" s="120" t="n"/>
      <c r="O70" s="125" t="n"/>
      <c r="P70" s="130" t="n"/>
      <c r="Q70" s="16" t="n"/>
      <c r="R70" s="17" t="n"/>
      <c r="S70" s="129">
        <f>DADOS_INVOC!$QC$3</f>
        <v/>
      </c>
      <c r="T70" s="120" t="n"/>
      <c r="U70" s="125" t="n"/>
      <c r="V70" s="130" t="n"/>
      <c r="W70" s="16" t="n"/>
      <c r="X70" s="17" t="n"/>
      <c r="Y70" s="129">
        <f>DADOS_INVOC!$QC$4</f>
        <v/>
      </c>
      <c r="Z70" s="120" t="n"/>
      <c r="AB70" s="125" t="n"/>
      <c r="AC70" s="130" t="n"/>
      <c r="AD70" s="16" t="n"/>
      <c r="AE70" s="17" t="n"/>
      <c r="AF70" s="129">
        <f>DADOS_INVOC!$QC$80</f>
        <v/>
      </c>
      <c r="AG70" s="120" t="n"/>
      <c r="AH70" s="125" t="n"/>
      <c r="AI70" s="130" t="n"/>
      <c r="AJ70" s="16" t="n"/>
      <c r="AK70" s="17" t="n"/>
      <c r="AL70" s="129">
        <f>DADOS_INVOC!$QC$81</f>
        <v/>
      </c>
      <c r="AM70" s="120" t="n"/>
      <c r="AN70" s="125" t="n"/>
      <c r="AO70" s="130" t="n"/>
      <c r="AP70" s="16" t="n"/>
      <c r="AQ70" s="17" t="n"/>
      <c r="AR70" s="129">
        <f>DADOS_INVOC!$QC$82</f>
        <v/>
      </c>
      <c r="AS70" s="120" t="n"/>
    </row>
    <row r="71" hidden="1" outlineLevel="2">
      <c r="A71" s="8" t="n"/>
      <c r="B71" s="14" t="n"/>
      <c r="C71" s="120" t="n"/>
      <c r="D71" s="120" t="n"/>
      <c r="E71" s="120" t="n"/>
      <c r="F71" s="120" t="n"/>
      <c r="G71" s="120" t="n"/>
      <c r="I71" s="55" t="inlineStr">
        <is>
          <t>RESTRIÇÕES</t>
        </is>
      </c>
      <c r="J71" s="130" t="n"/>
      <c r="K71" s="16" t="n"/>
      <c r="L71" s="17" t="n"/>
      <c r="M71" s="129">
        <f>DADOS_INVOC!$QD$2</f>
        <v/>
      </c>
      <c r="N71" s="120" t="n"/>
      <c r="O71" s="55" t="inlineStr">
        <is>
          <t>RESTRIÇÕES</t>
        </is>
      </c>
      <c r="P71" s="130" t="n"/>
      <c r="Q71" s="16" t="n"/>
      <c r="R71" s="17" t="n"/>
      <c r="S71" s="129">
        <f>DADOS_INVOC!$QD$3</f>
        <v/>
      </c>
      <c r="T71" s="120" t="n"/>
      <c r="U71" s="55" t="inlineStr">
        <is>
          <t>RESTRIÇÕES</t>
        </is>
      </c>
      <c r="V71" s="130" t="n"/>
      <c r="W71" s="16" t="n"/>
      <c r="X71" s="17" t="n"/>
      <c r="Y71" s="129">
        <f>DADOS_INVOC!$QD$4</f>
        <v/>
      </c>
      <c r="Z71" s="120" t="n"/>
      <c r="AB71" s="55" t="inlineStr">
        <is>
          <t>RESTRIÇÕES</t>
        </is>
      </c>
      <c r="AC71" s="130" t="n"/>
      <c r="AD71" s="16" t="n"/>
      <c r="AE71" s="17" t="n"/>
      <c r="AF71" s="129">
        <f>DADOS_INVOC!$QD$80</f>
        <v/>
      </c>
      <c r="AG71" s="120" t="n"/>
      <c r="AH71" s="55" t="inlineStr">
        <is>
          <t>RESTRIÇÕES</t>
        </is>
      </c>
      <c r="AI71" s="130" t="n"/>
      <c r="AJ71" s="16" t="n"/>
      <c r="AK71" s="17" t="n"/>
      <c r="AL71" s="129">
        <f>DADOS_INVOC!$QD$81</f>
        <v/>
      </c>
      <c r="AM71" s="120" t="n"/>
      <c r="AN71" s="55" t="inlineStr">
        <is>
          <t>RESTRIÇÕES</t>
        </is>
      </c>
      <c r="AO71" s="130" t="n"/>
      <c r="AP71" s="16" t="n"/>
      <c r="AQ71" s="17" t="n"/>
      <c r="AR71" s="129">
        <f>DADOS_INVOC!$QD$82</f>
        <v/>
      </c>
      <c r="AS71" s="120" t="n"/>
    </row>
    <row r="72" hidden="1" outlineLevel="2">
      <c r="A72" s="8" t="n"/>
      <c r="B72" s="14" t="n"/>
      <c r="C72" s="120" t="n"/>
      <c r="D72" s="120" t="n"/>
      <c r="E72" s="120" t="n"/>
      <c r="F72" s="120" t="n"/>
      <c r="G72" s="120" t="n"/>
      <c r="I72" s="125" t="n"/>
      <c r="J72" s="130" t="n"/>
      <c r="K72" s="16" t="n"/>
      <c r="L72" s="17" t="n"/>
      <c r="M72" s="129">
        <f>DADOS_INVOC!$QE$2</f>
        <v/>
      </c>
      <c r="N72" s="120" t="n"/>
      <c r="O72" s="125" t="n"/>
      <c r="P72" s="130" t="n"/>
      <c r="Q72" s="16" t="n"/>
      <c r="R72" s="17" t="n"/>
      <c r="S72" s="129">
        <f>DADOS_INVOC!$QE$3</f>
        <v/>
      </c>
      <c r="T72" s="120" t="n"/>
      <c r="U72" s="125" t="n"/>
      <c r="V72" s="130" t="n"/>
      <c r="W72" s="16" t="n"/>
      <c r="X72" s="17" t="n"/>
      <c r="Y72" s="129">
        <f>DADOS_INVOC!$QE$4</f>
        <v/>
      </c>
      <c r="Z72" s="120" t="n"/>
      <c r="AB72" s="125" t="n"/>
      <c r="AC72" s="130" t="n"/>
      <c r="AD72" s="16" t="n"/>
      <c r="AE72" s="17" t="n"/>
      <c r="AF72" s="129">
        <f>DADOS_INVOC!$QE$80</f>
        <v/>
      </c>
      <c r="AG72" s="120" t="n"/>
      <c r="AH72" s="125" t="n"/>
      <c r="AI72" s="130" t="n"/>
      <c r="AJ72" s="16" t="n"/>
      <c r="AK72" s="17" t="n"/>
      <c r="AL72" s="129">
        <f>DADOS_INVOC!$QE$81</f>
        <v/>
      </c>
      <c r="AM72" s="120" t="n"/>
      <c r="AN72" s="125" t="n"/>
      <c r="AO72" s="130" t="n"/>
      <c r="AP72" s="16" t="n"/>
      <c r="AQ72" s="17" t="n"/>
      <c r="AR72" s="129">
        <f>DADOS_INVOC!$QE$82</f>
        <v/>
      </c>
      <c r="AS72" s="120" t="n"/>
    </row>
    <row r="73" hidden="1" outlineLevel="2">
      <c r="A73" s="8" t="n"/>
      <c r="B73" s="14" t="n"/>
      <c r="C73" s="120" t="n"/>
      <c r="D73" s="120" t="n"/>
      <c r="E73" s="120" t="n"/>
      <c r="F73" s="120" t="n"/>
      <c r="G73" s="120" t="n"/>
      <c r="I73" s="55" t="inlineStr">
        <is>
          <t>CONTA</t>
        </is>
      </c>
      <c r="J73" s="132">
        <f>DADOS_INVOC!$PX$2</f>
        <v/>
      </c>
      <c r="K73" s="16" t="n"/>
      <c r="L73" s="16" t="n"/>
      <c r="M73" s="17" t="n"/>
      <c r="N73" s="120" t="n"/>
      <c r="O73" s="55" t="inlineStr">
        <is>
          <t>CONTA</t>
        </is>
      </c>
      <c r="P73" s="132">
        <f>DADOS_INVOC!$PX$3</f>
        <v/>
      </c>
      <c r="Q73" s="16" t="n"/>
      <c r="R73" s="16" t="n"/>
      <c r="S73" s="17" t="n"/>
      <c r="T73" s="120" t="n"/>
      <c r="U73" s="55" t="inlineStr">
        <is>
          <t>CONTA</t>
        </is>
      </c>
      <c r="V73" s="132">
        <f>DADOS_INVOC!$PX$4</f>
        <v/>
      </c>
      <c r="W73" s="16" t="n"/>
      <c r="X73" s="16" t="n"/>
      <c r="Y73" s="17" t="n"/>
      <c r="Z73" s="120" t="n"/>
      <c r="AB73" s="55" t="inlineStr">
        <is>
          <t>CONTA</t>
        </is>
      </c>
      <c r="AC73" s="132">
        <f>DADOS_INVOC!$PX$80</f>
        <v/>
      </c>
      <c r="AD73" s="16" t="n"/>
      <c r="AE73" s="16" t="n"/>
      <c r="AF73" s="17" t="n"/>
      <c r="AG73" s="120" t="n"/>
      <c r="AH73" s="55" t="inlineStr">
        <is>
          <t>CONTA</t>
        </is>
      </c>
      <c r="AI73" s="132">
        <f>DADOS_INVOC!$PX$81</f>
        <v/>
      </c>
      <c r="AJ73" s="16" t="n"/>
      <c r="AK73" s="16" t="n"/>
      <c r="AL73" s="17" t="n"/>
      <c r="AM73" s="120" t="n"/>
      <c r="AN73" s="55" t="inlineStr">
        <is>
          <t>CONTA</t>
        </is>
      </c>
      <c r="AO73" s="132">
        <f>DADOS_INVOC!$PX$82</f>
        <v/>
      </c>
      <c r="AP73" s="16" t="n"/>
      <c r="AQ73" s="16" t="n"/>
      <c r="AR73" s="17" t="n"/>
      <c r="AS73" s="120" t="n"/>
    </row>
    <row r="74" hidden="1" outlineLevel="2">
      <c r="A74" s="8" t="n"/>
      <c r="B74" s="14" t="n"/>
      <c r="C74" s="120" t="n"/>
      <c r="D74" s="120" t="n"/>
      <c r="E74" s="120" t="n"/>
      <c r="F74" s="120" t="n"/>
      <c r="G74" s="120" t="n"/>
      <c r="I74" s="55" t="inlineStr">
        <is>
          <t>AMPLIAR</t>
        </is>
      </c>
      <c r="J74" s="132">
        <f>DADOS_INVOC!$PY$2</f>
        <v/>
      </c>
      <c r="K74" s="19" t="n"/>
      <c r="L74" s="19" t="n"/>
      <c r="M74" s="20" t="n"/>
      <c r="N74" s="120" t="n"/>
      <c r="O74" s="55" t="inlineStr">
        <is>
          <t>AMPLIAR</t>
        </is>
      </c>
      <c r="P74" s="132">
        <f>DADOS_INVOC!$PY$3</f>
        <v/>
      </c>
      <c r="Q74" s="19" t="n"/>
      <c r="R74" s="19" t="n"/>
      <c r="S74" s="20" t="n"/>
      <c r="T74" s="120" t="n"/>
      <c r="U74" s="55" t="inlineStr">
        <is>
          <t>AMPLIAR</t>
        </is>
      </c>
      <c r="V74" s="132">
        <f>DADOS_INVOC!$PY$4</f>
        <v/>
      </c>
      <c r="W74" s="19" t="n"/>
      <c r="X74" s="19" t="n"/>
      <c r="Y74" s="20" t="n"/>
      <c r="Z74" s="120" t="n"/>
      <c r="AB74" s="55" t="inlineStr">
        <is>
          <t>AMPLIAR</t>
        </is>
      </c>
      <c r="AC74" s="132">
        <f>DADOS_INVOC!$PY$80</f>
        <v/>
      </c>
      <c r="AD74" s="19" t="n"/>
      <c r="AE74" s="19" t="n"/>
      <c r="AF74" s="20" t="n"/>
      <c r="AG74" s="120" t="n"/>
      <c r="AH74" s="55" t="inlineStr">
        <is>
          <t>AMPLIAR</t>
        </is>
      </c>
      <c r="AI74" s="132">
        <f>DADOS_INVOC!$PY$81</f>
        <v/>
      </c>
      <c r="AJ74" s="19" t="n"/>
      <c r="AK74" s="19" t="n"/>
      <c r="AL74" s="20" t="n"/>
      <c r="AM74" s="120" t="n"/>
      <c r="AN74" s="55" t="inlineStr">
        <is>
          <t>AMPLIAR</t>
        </is>
      </c>
      <c r="AO74" s="132">
        <f>DADOS_INVOC!$PY$82</f>
        <v/>
      </c>
      <c r="AP74" s="19" t="n"/>
      <c r="AQ74" s="19" t="n"/>
      <c r="AR74" s="20" t="n"/>
      <c r="AS74" s="120" t="n"/>
    </row>
    <row r="75" hidden="1" outlineLevel="2">
      <c r="A75" s="8" t="n"/>
      <c r="B75" s="14" t="n"/>
      <c r="C75" s="120" t="n"/>
      <c r="D75" s="120" t="n"/>
      <c r="E75" s="120" t="n"/>
      <c r="F75" s="120" t="n"/>
      <c r="G75" s="120" t="n"/>
      <c r="I75" s="125" t="n"/>
      <c r="J75" s="23" t="n"/>
      <c r="K75" s="24" t="n"/>
      <c r="L75" s="24" t="n"/>
      <c r="M75" s="25" t="n"/>
      <c r="N75" s="120" t="n"/>
      <c r="O75" s="125" t="n"/>
      <c r="P75" s="23" t="n"/>
      <c r="Q75" s="24" t="n"/>
      <c r="R75" s="24" t="n"/>
      <c r="S75" s="25" t="n"/>
      <c r="T75" s="120" t="n"/>
      <c r="U75" s="125" t="n"/>
      <c r="V75" s="23" t="n"/>
      <c r="W75" s="24" t="n"/>
      <c r="X75" s="24" t="n"/>
      <c r="Y75" s="25" t="n"/>
      <c r="Z75" s="120" t="n"/>
      <c r="AB75" s="125" t="n"/>
      <c r="AC75" s="23" t="n"/>
      <c r="AD75" s="24" t="n"/>
      <c r="AE75" s="24" t="n"/>
      <c r="AF75" s="25" t="n"/>
      <c r="AG75" s="120" t="n"/>
      <c r="AH75" s="125" t="n"/>
      <c r="AI75" s="23" t="n"/>
      <c r="AJ75" s="24" t="n"/>
      <c r="AK75" s="24" t="n"/>
      <c r="AL75" s="25" t="n"/>
      <c r="AM75" s="120" t="n"/>
      <c r="AN75" s="125" t="n"/>
      <c r="AO75" s="23" t="n"/>
      <c r="AP75" s="24" t="n"/>
      <c r="AQ75" s="24" t="n"/>
      <c r="AR75" s="25" t="n"/>
      <c r="AS75" s="120" t="n"/>
    </row>
    <row r="76" hidden="1" outlineLevel="2">
      <c r="A76" s="8" t="n"/>
      <c r="B76" s="14" t="n"/>
      <c r="C76" s="120" t="n"/>
      <c r="D76" s="120" t="n"/>
      <c r="E76" s="120" t="n"/>
      <c r="F76" s="120" t="n"/>
      <c r="G76" s="120" t="n"/>
      <c r="I76" s="132">
        <f>DADOS_INVOC!$PL$2</f>
        <v/>
      </c>
      <c r="J76" s="19" t="n"/>
      <c r="K76" s="19" t="n"/>
      <c r="L76" s="19" t="n"/>
      <c r="M76" s="20" t="n"/>
      <c r="N76" s="120" t="n"/>
      <c r="O76" s="132">
        <f>DADOS_INVOC!$PL$3</f>
        <v/>
      </c>
      <c r="P76" s="19" t="n"/>
      <c r="Q76" s="19" t="n"/>
      <c r="R76" s="19" t="n"/>
      <c r="S76" s="20" t="n"/>
      <c r="T76" s="120" t="n"/>
      <c r="U76" s="132">
        <f>DADOS_INVOC!$PL$4</f>
        <v/>
      </c>
      <c r="V76" s="19" t="n"/>
      <c r="W76" s="19" t="n"/>
      <c r="X76" s="19" t="n"/>
      <c r="Y76" s="20" t="n"/>
      <c r="Z76" s="120" t="n"/>
      <c r="AB76" s="132">
        <f>DADOS_INVOC!$PL$80</f>
        <v/>
      </c>
      <c r="AC76" s="19" t="n"/>
      <c r="AD76" s="19" t="n"/>
      <c r="AE76" s="19" t="n"/>
      <c r="AF76" s="20" t="n"/>
      <c r="AG76" s="120" t="n"/>
      <c r="AH76" s="132">
        <f>DADOS_INVOC!$PL$81</f>
        <v/>
      </c>
      <c r="AI76" s="19" t="n"/>
      <c r="AJ76" s="19" t="n"/>
      <c r="AK76" s="19" t="n"/>
      <c r="AL76" s="20" t="n"/>
      <c r="AM76" s="120" t="n"/>
      <c r="AN76" s="132">
        <f>DADOS_INVOC!$PL$82</f>
        <v/>
      </c>
      <c r="AO76" s="19" t="n"/>
      <c r="AP76" s="19" t="n"/>
      <c r="AQ76" s="19" t="n"/>
      <c r="AR76" s="20" t="n"/>
      <c r="AS76" s="120" t="n"/>
    </row>
    <row r="77" hidden="1" outlineLevel="2">
      <c r="A77" s="8" t="n"/>
      <c r="B77" s="14" t="n"/>
      <c r="C77" s="120" t="n"/>
      <c r="D77" s="120" t="n"/>
      <c r="E77" s="120" t="n"/>
      <c r="F77" s="120" t="n"/>
      <c r="G77" s="120" t="n"/>
      <c r="I77" s="23" t="n"/>
      <c r="J77" s="24" t="n"/>
      <c r="K77" s="24" t="n"/>
      <c r="L77" s="24" t="n"/>
      <c r="M77" s="25" t="n"/>
      <c r="N77" s="120" t="n"/>
      <c r="O77" s="23" t="n"/>
      <c r="P77" s="24" t="n"/>
      <c r="Q77" s="24" t="n"/>
      <c r="R77" s="24" t="n"/>
      <c r="S77" s="25" t="n"/>
      <c r="T77" s="120" t="n"/>
      <c r="U77" s="23" t="n"/>
      <c r="V77" s="24" t="n"/>
      <c r="W77" s="24" t="n"/>
      <c r="X77" s="24" t="n"/>
      <c r="Y77" s="25" t="n"/>
      <c r="Z77" s="120" t="n"/>
      <c r="AB77" s="23" t="n"/>
      <c r="AC77" s="24" t="n"/>
      <c r="AD77" s="24" t="n"/>
      <c r="AE77" s="24" t="n"/>
      <c r="AF77" s="25" t="n"/>
      <c r="AG77" s="120" t="n"/>
      <c r="AH77" s="23" t="n"/>
      <c r="AI77" s="24" t="n"/>
      <c r="AJ77" s="24" t="n"/>
      <c r="AK77" s="24" t="n"/>
      <c r="AL77" s="25" t="n"/>
      <c r="AM77" s="120" t="n"/>
      <c r="AN77" s="23" t="n"/>
      <c r="AO77" s="24" t="n"/>
      <c r="AP77" s="24" t="n"/>
      <c r="AQ77" s="24" t="n"/>
      <c r="AR77" s="25" t="n"/>
      <c r="AS77" s="120" t="n"/>
    </row>
    <row r="78" outlineLevel="1">
      <c r="A78" s="8" t="n"/>
      <c r="B78" s="14" t="n"/>
      <c r="C78" s="120" t="n"/>
      <c r="D78" s="120" t="n"/>
      <c r="E78" s="120" t="n"/>
      <c r="F78" s="120" t="n"/>
      <c r="G78" s="120" t="n"/>
      <c r="I78" s="120" t="n"/>
      <c r="J78" s="120" t="n"/>
      <c r="K78" s="120" t="n"/>
      <c r="L78" s="120" t="n"/>
      <c r="M78" s="120" t="n"/>
      <c r="N78" s="120" t="n"/>
      <c r="O78" s="120" t="n"/>
      <c r="P78" s="120" t="n"/>
      <c r="Q78" s="120" t="n"/>
      <c r="R78" s="120" t="n"/>
      <c r="S78" s="120" t="n"/>
      <c r="T78" s="120" t="n"/>
      <c r="U78" s="120" t="n"/>
      <c r="V78" s="120" t="n"/>
      <c r="W78" s="120" t="n"/>
      <c r="X78" s="120" t="n"/>
      <c r="Y78" s="120" t="n"/>
      <c r="Z78" s="120" t="n"/>
      <c r="AB78" s="120" t="n"/>
      <c r="AC78" s="120" t="n"/>
      <c r="AD78" s="120" t="n"/>
      <c r="AE78" s="120" t="n"/>
      <c r="AF78" s="120" t="n"/>
      <c r="AG78" s="120" t="n"/>
      <c r="AH78" s="120" t="n"/>
      <c r="AI78" s="120" t="n"/>
      <c r="AJ78" s="120" t="n"/>
      <c r="AK78" s="120" t="n"/>
      <c r="AL78" s="120" t="n"/>
      <c r="AM78" s="120" t="n"/>
      <c r="AN78" s="120" t="n"/>
      <c r="AO78" s="120" t="n"/>
      <c r="AP78" s="120" t="n"/>
      <c r="AQ78" s="120" t="n"/>
      <c r="AR78" s="120" t="n"/>
      <c r="AS78" s="120" t="n"/>
    </row>
    <row r="79" outlineLevel="1">
      <c r="A79" s="8" t="n"/>
      <c r="B79" s="14" t="n"/>
      <c r="C79" s="120" t="n"/>
      <c r="D79" s="120" t="n"/>
      <c r="E79" s="120" t="n"/>
      <c r="F79" s="120" t="n"/>
      <c r="G79" s="120" t="n"/>
      <c r="I79" s="55">
        <f>DADOS_INVOC!$HU$2</f>
        <v/>
      </c>
      <c r="J79" s="16" t="n"/>
      <c r="K79" s="16" t="n"/>
      <c r="L79" s="16" t="n"/>
      <c r="M79" s="16" t="n"/>
      <c r="N79" s="16" t="n"/>
      <c r="O79" s="16" t="n"/>
      <c r="P79" s="16" t="n"/>
      <c r="Q79" s="16" t="n"/>
      <c r="R79" s="16" t="n"/>
      <c r="S79" s="16" t="n"/>
      <c r="T79" s="16" t="n"/>
      <c r="U79" s="16" t="n"/>
      <c r="V79" s="16" t="n"/>
      <c r="W79" s="16" t="n"/>
      <c r="X79" s="16" t="n"/>
      <c r="Y79" s="17" t="n"/>
      <c r="Z79" s="120" t="n"/>
      <c r="AB79" s="55">
        <f>DADOS_INVOC!$HU$8</f>
        <v/>
      </c>
      <c r="AC79" s="16" t="n"/>
      <c r="AD79" s="16" t="n"/>
      <c r="AE79" s="16" t="n"/>
      <c r="AF79" s="16" t="n"/>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 · CE 1</t>
        </is>
      </c>
      <c r="J80" s="130" t="n"/>
      <c r="K80" s="16" t="n"/>
      <c r="L80" s="17" t="n"/>
      <c r="M80" s="137">
        <f>DADOS_INVOC!$ID$2</f>
        <v/>
      </c>
      <c r="N80" s="16" t="n"/>
      <c r="O80" s="16" t="n"/>
      <c r="P80" s="16" t="n"/>
      <c r="Q80" s="16" t="n"/>
      <c r="R80" s="16" t="n"/>
      <c r="S80" s="16" t="n"/>
      <c r="T80" s="16" t="n"/>
      <c r="U80" s="16" t="n"/>
      <c r="V80" s="16" t="n"/>
      <c r="W80" s="16" t="n"/>
      <c r="X80" s="16" t="n"/>
      <c r="Y80" s="17" t="n"/>
      <c r="Z80" s="120" t="n"/>
      <c r="AB80" s="55" t="inlineStr">
        <is>
          <t>NV 1 · CE 1</t>
        </is>
      </c>
      <c r="AC80" s="130" t="n"/>
      <c r="AD80" s="16" t="n"/>
      <c r="AE80" s="17" t="n"/>
      <c r="AF80" s="137">
        <f>DADOS_INVOC!$ID$8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6 · CE 1</t>
        </is>
      </c>
      <c r="J81" s="130" t="n"/>
      <c r="K81" s="16" t="n"/>
      <c r="L81" s="17" t="n"/>
      <c r="M81" s="137">
        <f>DADOS_INVOC!$IE$2</f>
        <v/>
      </c>
      <c r="N81" s="16" t="n"/>
      <c r="O81" s="16" t="n"/>
      <c r="P81" s="16" t="n"/>
      <c r="Q81" s="16" t="n"/>
      <c r="R81" s="16" t="n"/>
      <c r="S81" s="16" t="n"/>
      <c r="T81" s="16" t="n"/>
      <c r="U81" s="16" t="n"/>
      <c r="V81" s="16" t="n"/>
      <c r="W81" s="16" t="n"/>
      <c r="X81" s="16" t="n"/>
      <c r="Y81" s="17" t="n"/>
      <c r="Z81" s="120" t="n"/>
      <c r="AB81" s="55" t="inlineStr">
        <is>
          <t>NV 6 · CE 1</t>
        </is>
      </c>
      <c r="AC81" s="130" t="n"/>
      <c r="AD81" s="16" t="n"/>
      <c r="AE81" s="17" t="n"/>
      <c r="AF81" s="137">
        <f>DADOS_INVOC!$IE$8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10 · CE 2</t>
        </is>
      </c>
      <c r="J82" s="130" t="n"/>
      <c r="K82" s="16" t="n"/>
      <c r="L82" s="17" t="n"/>
      <c r="M82" s="137">
        <f>DADOS_INVOC!$IF$2</f>
        <v/>
      </c>
      <c r="N82" s="16" t="n"/>
      <c r="O82" s="16" t="n"/>
      <c r="P82" s="16" t="n"/>
      <c r="Q82" s="16" t="n"/>
      <c r="R82" s="16" t="n"/>
      <c r="S82" s="16" t="n"/>
      <c r="T82" s="16" t="n"/>
      <c r="U82" s="16" t="n"/>
      <c r="V82" s="16" t="n"/>
      <c r="W82" s="16" t="n"/>
      <c r="X82" s="16" t="n"/>
      <c r="Y82" s="17" t="n"/>
      <c r="Z82" s="120" t="n"/>
      <c r="AB82" s="55" t="inlineStr">
        <is>
          <t>NV 10 · CE 2</t>
        </is>
      </c>
      <c r="AC82" s="130" t="n"/>
      <c r="AD82" s="16" t="n"/>
      <c r="AE82" s="17" t="n"/>
      <c r="AF82" s="137">
        <f>DADOS_INVOC!$IF$8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14 · CE 3</t>
        </is>
      </c>
      <c r="J83" s="130" t="n"/>
      <c r="K83" s="16" t="n"/>
      <c r="L83" s="17" t="n"/>
      <c r="M83" s="137">
        <f>DADOS_INVOC!$IG$2</f>
        <v/>
      </c>
      <c r="N83" s="16" t="n"/>
      <c r="O83" s="16" t="n"/>
      <c r="P83" s="16" t="n"/>
      <c r="Q83" s="16" t="n"/>
      <c r="R83" s="16" t="n"/>
      <c r="S83" s="16" t="n"/>
      <c r="T83" s="16" t="n"/>
      <c r="U83" s="16" t="n"/>
      <c r="V83" s="16" t="n"/>
      <c r="W83" s="16" t="n"/>
      <c r="X83" s="16" t="n"/>
      <c r="Y83" s="17" t="n"/>
      <c r="Z83" s="120" t="n"/>
      <c r="AB83" s="55" t="inlineStr">
        <is>
          <t>NV 14 · CE 3</t>
        </is>
      </c>
      <c r="AC83" s="130" t="n"/>
      <c r="AD83" s="16" t="n"/>
      <c r="AE83" s="17" t="n"/>
      <c r="AF83" s="137">
        <f>DADOS_INVOC!$IG$8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18 · CE 3</t>
        </is>
      </c>
      <c r="J84" s="130" t="n"/>
      <c r="K84" s="16" t="n"/>
      <c r="L84" s="17" t="n"/>
      <c r="M84" s="137">
        <f>DADOS_INVOC!$IH$2</f>
        <v/>
      </c>
      <c r="N84" s="16" t="n"/>
      <c r="O84" s="16" t="n"/>
      <c r="P84" s="16" t="n"/>
      <c r="Q84" s="16" t="n"/>
      <c r="R84" s="16" t="n"/>
      <c r="S84" s="16" t="n"/>
      <c r="T84" s="16" t="n"/>
      <c r="U84" s="16" t="n"/>
      <c r="V84" s="16" t="n"/>
      <c r="W84" s="16" t="n"/>
      <c r="X84" s="16" t="n"/>
      <c r="Y84" s="17" t="n"/>
      <c r="Z84" s="120" t="n"/>
      <c r="AB84" s="55" t="inlineStr">
        <is>
          <t>NV 18 · CE 3</t>
        </is>
      </c>
      <c r="AC84" s="130" t="n"/>
      <c r="AD84" s="16" t="n"/>
      <c r="AE84" s="17" t="n"/>
      <c r="AF84" s="137">
        <f>DADOS_INVOC!$IH$8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55" t="inlineStr">
        <is>
          <t>NV 22 · CE 3</t>
        </is>
      </c>
      <c r="J85" s="130" t="n"/>
      <c r="K85" s="16" t="n"/>
      <c r="L85" s="17" t="n"/>
      <c r="M85" s="137">
        <f>DADOS_INVOC!$II$2</f>
        <v/>
      </c>
      <c r="N85" s="16" t="n"/>
      <c r="O85" s="16" t="n"/>
      <c r="P85" s="16" t="n"/>
      <c r="Q85" s="16" t="n"/>
      <c r="R85" s="16" t="n"/>
      <c r="S85" s="16" t="n"/>
      <c r="T85" s="16" t="n"/>
      <c r="U85" s="16" t="n"/>
      <c r="V85" s="16" t="n"/>
      <c r="W85" s="16" t="n"/>
      <c r="X85" s="16" t="n"/>
      <c r="Y85" s="17" t="n"/>
      <c r="Z85" s="120" t="n"/>
      <c r="AB85" s="55" t="inlineStr">
        <is>
          <t>NV 22 · CE 3</t>
        </is>
      </c>
      <c r="AC85" s="130" t="n"/>
      <c r="AD85" s="16" t="n"/>
      <c r="AE85" s="17" t="n"/>
      <c r="AF85" s="137">
        <f>DADOS_INVOC!$II$8</f>
        <v/>
      </c>
      <c r="AG85" s="16" t="n"/>
      <c r="AH85" s="16" t="n"/>
      <c r="AI85" s="16" t="n"/>
      <c r="AJ85" s="16" t="n"/>
      <c r="AK85" s="16" t="n"/>
      <c r="AL85" s="16" t="n"/>
      <c r="AM85" s="16" t="n"/>
      <c r="AN85" s="16" t="n"/>
      <c r="AO85" s="16" t="n"/>
      <c r="AP85" s="16" t="n"/>
      <c r="AQ85" s="16" t="n"/>
      <c r="AR85" s="17" t="n"/>
      <c r="AS85" s="120" t="n"/>
    </row>
    <row r="86" outlineLevel="1">
      <c r="A86" s="8" t="n"/>
      <c r="B86" s="14" t="n"/>
      <c r="C86" s="120" t="n"/>
      <c r="D86" s="120" t="n"/>
      <c r="E86" s="120" t="n"/>
      <c r="F86" s="120" t="n"/>
      <c r="G86" s="120" t="n"/>
      <c r="I86" s="55" t="inlineStr">
        <is>
          <t>NV 26 · CE 3</t>
        </is>
      </c>
      <c r="J86" s="130" t="n"/>
      <c r="K86" s="16" t="n"/>
      <c r="L86" s="17" t="n"/>
      <c r="M86" s="137">
        <f>DADOS_INVOC!$IJ$2</f>
        <v/>
      </c>
      <c r="N86" s="16" t="n"/>
      <c r="O86" s="16" t="n"/>
      <c r="P86" s="16" t="n"/>
      <c r="Q86" s="16" t="n"/>
      <c r="R86" s="16" t="n"/>
      <c r="S86" s="16" t="n"/>
      <c r="T86" s="16" t="n"/>
      <c r="U86" s="16" t="n"/>
      <c r="V86" s="16" t="n"/>
      <c r="W86" s="16" t="n"/>
      <c r="X86" s="16" t="n"/>
      <c r="Y86" s="17" t="n"/>
      <c r="Z86" s="120" t="n"/>
      <c r="AB86" s="55" t="inlineStr">
        <is>
          <t>NV 26 · CE 3</t>
        </is>
      </c>
      <c r="AC86" s="130" t="n"/>
      <c r="AD86" s="16" t="n"/>
      <c r="AE86" s="17" t="n"/>
      <c r="AF86" s="137">
        <f>DADOS_INVOC!$IJ$8</f>
        <v/>
      </c>
      <c r="AG86" s="16" t="n"/>
      <c r="AH86" s="16" t="n"/>
      <c r="AI86" s="16" t="n"/>
      <c r="AJ86" s="16" t="n"/>
      <c r="AK86" s="16" t="n"/>
      <c r="AL86" s="16" t="n"/>
      <c r="AM86" s="16" t="n"/>
      <c r="AN86" s="16" t="n"/>
      <c r="AO86" s="16" t="n"/>
      <c r="AP86" s="16" t="n"/>
      <c r="AQ86" s="16" t="n"/>
      <c r="AR86" s="17" t="n"/>
      <c r="AS86" s="120" t="n"/>
    </row>
    <row r="87" outlineLevel="1">
      <c r="A87" s="8" t="n"/>
      <c r="B87" s="14" t="n"/>
      <c r="C87" s="120" t="n"/>
      <c r="D87" s="120" t="n"/>
      <c r="E87" s="120" t="n"/>
      <c r="F87" s="120" t="n"/>
      <c r="G87" s="120" t="n"/>
      <c r="I87" s="55" t="inlineStr">
        <is>
          <t>NV 30 · CE 3</t>
        </is>
      </c>
      <c r="J87" s="130" t="n"/>
      <c r="K87" s="16" t="n"/>
      <c r="L87" s="17" t="n"/>
      <c r="M87" s="137">
        <f>DADOS_INVOC!$IK$2</f>
        <v/>
      </c>
      <c r="N87" s="16" t="n"/>
      <c r="O87" s="16" t="n"/>
      <c r="P87" s="16" t="n"/>
      <c r="Q87" s="16" t="n"/>
      <c r="R87" s="16" t="n"/>
      <c r="S87" s="16" t="n"/>
      <c r="T87" s="16" t="n"/>
      <c r="U87" s="16" t="n"/>
      <c r="V87" s="16" t="n"/>
      <c r="W87" s="16" t="n"/>
      <c r="X87" s="16" t="n"/>
      <c r="Y87" s="17" t="n"/>
      <c r="Z87" s="120" t="n"/>
      <c r="AB87" s="55" t="inlineStr">
        <is>
          <t>NV 30 · CE 3</t>
        </is>
      </c>
      <c r="AC87" s="130" t="n"/>
      <c r="AD87" s="16" t="n"/>
      <c r="AE87" s="17" t="n"/>
      <c r="AF87" s="137">
        <f>DADOS_INVOC!$IK$8</f>
        <v/>
      </c>
      <c r="AG87" s="16" t="n"/>
      <c r="AH87" s="16" t="n"/>
      <c r="AI87" s="16" t="n"/>
      <c r="AJ87" s="16" t="n"/>
      <c r="AK87" s="16" t="n"/>
      <c r="AL87" s="16" t="n"/>
      <c r="AM87" s="16" t="n"/>
      <c r="AN87" s="16" t="n"/>
      <c r="AO87" s="16" t="n"/>
      <c r="AP87" s="16" t="n"/>
      <c r="AQ87" s="16" t="n"/>
      <c r="AR87" s="17" t="n"/>
      <c r="AS87" s="120" t="n"/>
    </row>
    <row r="88" outlineLevel="1">
      <c r="A88" s="8" t="n"/>
      <c r="B88" s="14" t="n"/>
      <c r="C88" s="120" t="n"/>
      <c r="D88" s="120" t="n"/>
      <c r="E88" s="120" t="n"/>
      <c r="F88" s="120" t="n"/>
      <c r="G88" s="120" t="n"/>
      <c r="I88" s="120" t="n"/>
      <c r="J88" s="120" t="n"/>
      <c r="K88" s="120" t="n"/>
      <c r="L88" s="120" t="n"/>
      <c r="M88" s="120" t="n"/>
      <c r="N88" s="120" t="n"/>
      <c r="O88" s="120" t="n"/>
      <c r="P88" s="120" t="n"/>
      <c r="Q88" s="120" t="n"/>
      <c r="R88" s="120" t="n"/>
      <c r="S88" s="120" t="n"/>
      <c r="T88" s="120" t="n"/>
      <c r="U88" s="120" t="n"/>
      <c r="V88" s="120" t="n"/>
      <c r="W88" s="120" t="n"/>
      <c r="X88" s="120" t="n"/>
      <c r="Y88" s="120" t="n"/>
      <c r="Z88" s="120" t="n"/>
      <c r="AB88" s="120" t="n"/>
      <c r="AC88" s="120" t="n"/>
      <c r="AD88" s="120" t="n"/>
      <c r="AE88" s="120" t="n"/>
      <c r="AF88" s="120" t="n"/>
      <c r="AG88" s="120" t="n"/>
      <c r="AH88" s="120" t="n"/>
      <c r="AI88" s="120" t="n"/>
      <c r="AJ88" s="120" t="n"/>
      <c r="AK88" s="120" t="n"/>
      <c r="AL88" s="120" t="n"/>
      <c r="AM88" s="120" t="n"/>
      <c r="AN88" s="120" t="n"/>
      <c r="AO88" s="120" t="n"/>
      <c r="AP88" s="120" t="n"/>
      <c r="AQ88" s="120" t="n"/>
      <c r="AR88" s="120" t="n"/>
      <c r="AS88" s="120" t="n"/>
    </row>
    <row r="89" outlineLevel="1">
      <c r="A89" s="8" t="n"/>
      <c r="B89" s="14" t="n"/>
      <c r="C89" s="120" t="n"/>
      <c r="D89" s="120" t="n"/>
      <c r="E89" s="120" t="n"/>
      <c r="F89" s="120" t="n"/>
      <c r="G89" s="120" t="n"/>
      <c r="I89" s="13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0" t="n"/>
      <c r="AB89" s="13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0" t="n"/>
    </row>
    <row r="90" hidden="1" outlineLevel="2">
      <c r="A90" s="8" t="n"/>
      <c r="B90" s="14" t="n"/>
      <c r="C90" s="120" t="n"/>
      <c r="D90" s="120" t="n"/>
      <c r="E90" s="120" t="n"/>
      <c r="F90" s="120" t="n"/>
      <c r="G90" s="120" t="n"/>
      <c r="I90" s="120" t="n"/>
      <c r="J90" s="120" t="n"/>
      <c r="K90" s="120" t="n"/>
      <c r="L90" s="120" t="n"/>
      <c r="M90" s="120" t="n"/>
      <c r="N90" s="120" t="n"/>
      <c r="O90" s="120" t="n"/>
      <c r="P90" s="120" t="n"/>
      <c r="Q90" s="120" t="n"/>
      <c r="R90" s="120" t="n"/>
      <c r="S90" s="120" t="n"/>
      <c r="T90" s="120" t="n"/>
      <c r="U90" s="120" t="n"/>
      <c r="V90" s="120" t="n"/>
      <c r="W90" s="120" t="n"/>
      <c r="X90" s="120" t="n"/>
      <c r="Y90" s="120" t="n"/>
      <c r="Z90" s="120" t="n"/>
      <c r="AB90" s="120" t="n"/>
      <c r="AC90" s="120" t="n"/>
      <c r="AD90" s="120" t="n"/>
      <c r="AE90" s="120" t="n"/>
      <c r="AF90" s="120" t="n"/>
      <c r="AG90" s="120" t="n"/>
      <c r="AH90" s="120" t="n"/>
      <c r="AI90" s="120" t="n"/>
      <c r="AJ90" s="120" t="n"/>
      <c r="AK90" s="120" t="n"/>
      <c r="AL90" s="120" t="n"/>
      <c r="AM90" s="120" t="n"/>
      <c r="AN90" s="120" t="n"/>
      <c r="AO90" s="120" t="n"/>
      <c r="AP90" s="120" t="n"/>
      <c r="AQ90" s="120" t="n"/>
      <c r="AR90" s="120" t="n"/>
      <c r="AS90" s="120" t="n"/>
    </row>
    <row r="91" hidden="1" outlineLevel="2">
      <c r="A91" s="8" t="n"/>
      <c r="B91" s="14" t="n"/>
      <c r="C91" s="120" t="n"/>
      <c r="D91" s="120" t="n"/>
      <c r="E91" s="120" t="n"/>
      <c r="F91" s="120" t="n"/>
      <c r="G91" s="120" t="n"/>
      <c r="I91" s="55">
        <f>DADOS_INVOC!$PM$5</f>
        <v/>
      </c>
      <c r="J91" s="16" t="n"/>
      <c r="K91" s="16" t="n"/>
      <c r="L91" s="16" t="n"/>
      <c r="M91" s="17" t="n"/>
      <c r="N91" s="120" t="n"/>
      <c r="O91" s="55">
        <f>DADOS_INVOC!$PM$6</f>
        <v/>
      </c>
      <c r="P91" s="16" t="n"/>
      <c r="Q91" s="16" t="n"/>
      <c r="R91" s="16" t="n"/>
      <c r="S91" s="17" t="n"/>
      <c r="T91" s="120" t="n"/>
      <c r="U91" s="55">
        <f>DADOS_INVOC!$PM$7</f>
        <v/>
      </c>
      <c r="V91" s="16" t="n"/>
      <c r="W91" s="16" t="n"/>
      <c r="X91" s="16" t="n"/>
      <c r="Y91" s="17" t="n"/>
      <c r="Z91" s="120" t="n"/>
      <c r="AB91" s="55">
        <f>DADOS_INVOC!$PM$83</f>
        <v/>
      </c>
      <c r="AC91" s="16" t="n"/>
      <c r="AD91" s="16" t="n"/>
      <c r="AE91" s="16" t="n"/>
      <c r="AF91" s="17" t="n"/>
      <c r="AG91" s="120" t="n"/>
      <c r="AH91" s="55">
        <f>DADOS_INVOC!$PM$84</f>
        <v/>
      </c>
      <c r="AI91" s="16" t="n"/>
      <c r="AJ91" s="16" t="n"/>
      <c r="AK91" s="16" t="n"/>
      <c r="AL91" s="17" t="n"/>
      <c r="AM91" s="120" t="n"/>
      <c r="AN91" s="55">
        <f>DADOS_INVOC!$PM$85</f>
        <v/>
      </c>
      <c r="AO91" s="16" t="n"/>
      <c r="AP91" s="16" t="n"/>
      <c r="AQ91" s="16" t="n"/>
      <c r="AR91" s="17" t="n"/>
      <c r="AS91" s="120" t="n"/>
    </row>
    <row r="92" hidden="1" outlineLevel="2">
      <c r="A92" s="8" t="n"/>
      <c r="B92" s="14" t="n"/>
      <c r="C92" s="120" t="n"/>
      <c r="D92" s="120" t="n"/>
      <c r="E92" s="120" t="n"/>
      <c r="F92" s="120" t="n"/>
      <c r="G92" s="120" t="n"/>
      <c r="I92" s="127" t="n">
        <v>0</v>
      </c>
      <c r="J92" s="115" t="n"/>
      <c r="K92" s="16" t="n"/>
      <c r="L92" s="17" t="n"/>
      <c r="M92" s="128">
        <f>DADOS_INVOC!$PK$5</f>
        <v/>
      </c>
      <c r="N92" s="120" t="n"/>
      <c r="O92" s="127" t="n">
        <v>1</v>
      </c>
      <c r="P92" s="115" t="n"/>
      <c r="Q92" s="16" t="n"/>
      <c r="R92" s="17" t="n"/>
      <c r="S92" s="128">
        <f>DADOS_INVOC!$PK$6</f>
        <v/>
      </c>
      <c r="T92" s="120" t="n"/>
      <c r="U92" s="127" t="n">
        <v>1</v>
      </c>
      <c r="V92" s="115" t="n"/>
      <c r="W92" s="16" t="n"/>
      <c r="X92" s="17" t="n"/>
      <c r="Y92" s="128">
        <f>DADOS_INVOC!$PK$7</f>
        <v/>
      </c>
      <c r="Z92" s="120" t="n"/>
      <c r="AB92" s="127" t="n">
        <v>0</v>
      </c>
      <c r="AC92" s="115" t="n"/>
      <c r="AD92" s="16" t="n"/>
      <c r="AE92" s="17" t="n"/>
      <c r="AF92" s="128">
        <f>DADOS_INVOC!$PK$83</f>
        <v/>
      </c>
      <c r="AG92" s="120" t="n"/>
      <c r="AH92" s="127" t="n">
        <v>1</v>
      </c>
      <c r="AI92" s="115" t="n"/>
      <c r="AJ92" s="16" t="n"/>
      <c r="AK92" s="17" t="n"/>
      <c r="AL92" s="128">
        <f>DADOS_INVOC!$PK$84</f>
        <v/>
      </c>
      <c r="AM92" s="120" t="n"/>
      <c r="AN92" s="127" t="n">
        <v>1</v>
      </c>
      <c r="AO92" s="115" t="n"/>
      <c r="AP92" s="16" t="n"/>
      <c r="AQ92" s="17" t="n"/>
      <c r="AR92" s="128">
        <f>DADOS_INVOC!$PK$85</f>
        <v/>
      </c>
      <c r="AS92" s="120" t="n"/>
    </row>
    <row r="93" hidden="1" outlineLevel="3">
      <c r="A93" s="8" t="n"/>
      <c r="B93" s="14" t="n"/>
      <c r="C93" s="120" t="n"/>
      <c r="D93" s="120" t="n"/>
      <c r="E93" s="120" t="n"/>
      <c r="F93" s="120" t="n"/>
      <c r="G93" s="120" t="n"/>
      <c r="I93" s="55" t="inlineStr">
        <is>
          <t>COMO É</t>
        </is>
      </c>
      <c r="J93" s="16" t="n"/>
      <c r="K93" s="16" t="n"/>
      <c r="L93" s="16" t="n"/>
      <c r="M93" s="17" t="n"/>
      <c r="N93" s="120" t="n"/>
      <c r="O93" s="55" t="inlineStr">
        <is>
          <t>COMO É</t>
        </is>
      </c>
      <c r="P93" s="16" t="n"/>
      <c r="Q93" s="16" t="n"/>
      <c r="R93" s="16" t="n"/>
      <c r="S93" s="17" t="n"/>
      <c r="T93" s="120" t="n"/>
      <c r="U93" s="55" t="inlineStr">
        <is>
          <t>COMO É</t>
        </is>
      </c>
      <c r="V93" s="16" t="n"/>
      <c r="W93" s="16" t="n"/>
      <c r="X93" s="16" t="n"/>
      <c r="Y93" s="17" t="n"/>
      <c r="Z93" s="120" t="n"/>
      <c r="AB93" s="55" t="inlineStr">
        <is>
          <t>COMO É</t>
        </is>
      </c>
      <c r="AC93" s="16" t="n"/>
      <c r="AD93" s="16" t="n"/>
      <c r="AE93" s="16" t="n"/>
      <c r="AF93" s="17" t="n"/>
      <c r="AG93" s="120" t="n"/>
      <c r="AH93" s="55" t="inlineStr">
        <is>
          <t>COMO É</t>
        </is>
      </c>
      <c r="AI93" s="16" t="n"/>
      <c r="AJ93" s="16" t="n"/>
      <c r="AK93" s="16" t="n"/>
      <c r="AL93" s="17" t="n"/>
      <c r="AM93" s="120" t="n"/>
      <c r="AN93" s="55" t="inlineStr">
        <is>
          <t>COMO É</t>
        </is>
      </c>
      <c r="AO93" s="16" t="n"/>
      <c r="AP93" s="16" t="n"/>
      <c r="AQ93" s="16" t="n"/>
      <c r="AR93" s="17" t="n"/>
      <c r="AS93" s="120" t="n"/>
    </row>
    <row r="94" hidden="1" outlineLevel="3">
      <c r="A94" s="8" t="n"/>
      <c r="B94" s="14" t="n"/>
      <c r="C94" s="120" t="n"/>
      <c r="D94" s="120" t="n"/>
      <c r="E94" s="120" t="n"/>
      <c r="F94" s="120" t="n"/>
      <c r="G94" s="120" t="n"/>
      <c r="I94" s="116" t="n"/>
      <c r="J94" s="19" t="n"/>
      <c r="K94" s="19" t="n"/>
      <c r="L94" s="19" t="n"/>
      <c r="M94" s="20" t="n"/>
      <c r="N94" s="120" t="n"/>
      <c r="O94" s="116" t="n"/>
      <c r="P94" s="19" t="n"/>
      <c r="Q94" s="19" t="n"/>
      <c r="R94" s="19" t="n"/>
      <c r="S94" s="20" t="n"/>
      <c r="T94" s="120" t="n"/>
      <c r="U94" s="116" t="n"/>
      <c r="V94" s="19" t="n"/>
      <c r="W94" s="19" t="n"/>
      <c r="X94" s="19" t="n"/>
      <c r="Y94" s="20" t="n"/>
      <c r="Z94" s="120" t="n"/>
      <c r="AB94" s="116" t="n"/>
      <c r="AC94" s="19" t="n"/>
      <c r="AD94" s="19" t="n"/>
      <c r="AE94" s="19" t="n"/>
      <c r="AF94" s="20" t="n"/>
      <c r="AG94" s="120" t="n"/>
      <c r="AH94" s="116" t="n"/>
      <c r="AI94" s="19" t="n"/>
      <c r="AJ94" s="19" t="n"/>
      <c r="AK94" s="19" t="n"/>
      <c r="AL94" s="20" t="n"/>
      <c r="AM94" s="120" t="n"/>
      <c r="AN94" s="116" t="n"/>
      <c r="AO94" s="19" t="n"/>
      <c r="AP94" s="19" t="n"/>
      <c r="AQ94" s="19" t="n"/>
      <c r="AR94" s="20" t="n"/>
      <c r="AS94" s="120" t="n"/>
    </row>
    <row r="95" hidden="1" outlineLevel="3">
      <c r="A95" s="8" t="n"/>
      <c r="B95" s="14" t="n"/>
      <c r="C95" s="120" t="n"/>
      <c r="D95" s="120" t="n"/>
      <c r="E95" s="120" t="n"/>
      <c r="F95" s="120" t="n"/>
      <c r="G95" s="120" t="n"/>
      <c r="I95" s="21" t="n"/>
      <c r="M95" s="22" t="n"/>
      <c r="N95" s="120" t="n"/>
      <c r="O95" s="21" t="n"/>
      <c r="S95" s="22" t="n"/>
      <c r="T95" s="120" t="n"/>
      <c r="U95" s="21" t="n"/>
      <c r="Y95" s="22" t="n"/>
      <c r="Z95" s="120" t="n"/>
      <c r="AB95" s="21" t="n"/>
      <c r="AF95" s="22" t="n"/>
      <c r="AG95" s="120" t="n"/>
      <c r="AH95" s="21" t="n"/>
      <c r="AL95" s="22" t="n"/>
      <c r="AM95" s="120" t="n"/>
      <c r="AN95" s="21" t="n"/>
      <c r="AR95" s="22" t="n"/>
      <c r="AS95" s="120" t="n"/>
    </row>
    <row r="96" hidden="1" outlineLevel="3">
      <c r="A96" s="8" t="n"/>
      <c r="B96" s="14" t="n"/>
      <c r="C96" s="120" t="n"/>
      <c r="D96" s="120" t="n"/>
      <c r="E96" s="120" t="n"/>
      <c r="F96" s="120" t="n"/>
      <c r="G96" s="120" t="n"/>
      <c r="I96" s="23" t="n"/>
      <c r="J96" s="24" t="n"/>
      <c r="K96" s="24" t="n"/>
      <c r="L96" s="24" t="n"/>
      <c r="M96" s="25" t="n"/>
      <c r="N96" s="120" t="n"/>
      <c r="O96" s="23" t="n"/>
      <c r="P96" s="24" t="n"/>
      <c r="Q96" s="24" t="n"/>
      <c r="R96" s="24" t="n"/>
      <c r="S96" s="25" t="n"/>
      <c r="T96" s="120" t="n"/>
      <c r="U96" s="23" t="n"/>
      <c r="V96" s="24" t="n"/>
      <c r="W96" s="24" t="n"/>
      <c r="X96" s="24" t="n"/>
      <c r="Y96" s="25" t="n"/>
      <c r="Z96" s="120" t="n"/>
      <c r="AB96" s="23" t="n"/>
      <c r="AC96" s="24" t="n"/>
      <c r="AD96" s="24" t="n"/>
      <c r="AE96" s="24" t="n"/>
      <c r="AF96" s="25" t="n"/>
      <c r="AG96" s="120" t="n"/>
      <c r="AH96" s="23" t="n"/>
      <c r="AI96" s="24" t="n"/>
      <c r="AJ96" s="24" t="n"/>
      <c r="AK96" s="24" t="n"/>
      <c r="AL96" s="25" t="n"/>
      <c r="AM96" s="120" t="n"/>
      <c r="AN96" s="23" t="n"/>
      <c r="AO96" s="24" t="n"/>
      <c r="AP96" s="24" t="n"/>
      <c r="AQ96" s="24" t="n"/>
      <c r="AR96" s="25" t="n"/>
      <c r="AS96" s="120" t="n"/>
    </row>
    <row r="97" hidden="1" outlineLevel="2">
      <c r="A97" s="8" t="n"/>
      <c r="B97" s="14" t="n"/>
      <c r="C97" s="120" t="n"/>
      <c r="D97" s="120" t="n"/>
      <c r="E97" s="120" t="n"/>
      <c r="F97" s="120" t="n"/>
      <c r="G97" s="120" t="n"/>
      <c r="I97" s="124" t="inlineStr">
        <is>
          <t>Projétil</t>
        </is>
      </c>
      <c r="J97" s="17" t="n"/>
      <c r="K97" s="68">
        <f>DADOS_INVOC!$PR$5</f>
        <v/>
      </c>
      <c r="L97" s="17" t="n"/>
      <c r="M97" s="68">
        <f>DADOS_INVOC!$PN$5</f>
        <v/>
      </c>
      <c r="N97" s="120" t="n"/>
      <c r="O97" s="124" t="inlineStr">
        <is>
          <t>Projétil</t>
        </is>
      </c>
      <c r="P97" s="17" t="n"/>
      <c r="Q97" s="68">
        <f>DADOS_INVOC!$PR$6</f>
        <v/>
      </c>
      <c r="R97" s="17" t="n"/>
      <c r="S97" s="68">
        <f>DADOS_INVOC!$PN$6</f>
        <v/>
      </c>
      <c r="T97" s="120" t="n"/>
      <c r="U97" s="124" t="inlineStr">
        <is>
          <t>Projétil</t>
        </is>
      </c>
      <c r="V97" s="17" t="n"/>
      <c r="W97" s="68">
        <f>DADOS_INVOC!$PR$7</f>
        <v/>
      </c>
      <c r="X97" s="17" t="n"/>
      <c r="Y97" s="68">
        <f>DADOS_INVOC!$PN$7</f>
        <v/>
      </c>
      <c r="Z97" s="120" t="n"/>
      <c r="AB97" s="124" t="inlineStr">
        <is>
          <t>Projétil</t>
        </is>
      </c>
      <c r="AC97" s="17" t="n"/>
      <c r="AD97" s="68">
        <f>DADOS_INVOC!$PR$83</f>
        <v/>
      </c>
      <c r="AE97" s="17" t="n"/>
      <c r="AF97" s="68">
        <f>DADOS_INVOC!$PN$83</f>
        <v/>
      </c>
      <c r="AG97" s="120" t="n"/>
      <c r="AH97" s="124" t="inlineStr">
        <is>
          <t>Projétil</t>
        </is>
      </c>
      <c r="AI97" s="17" t="n"/>
      <c r="AJ97" s="68">
        <f>DADOS_INVOC!$PR$84</f>
        <v/>
      </c>
      <c r="AK97" s="17" t="n"/>
      <c r="AL97" s="68">
        <f>DADOS_INVOC!$PN$84</f>
        <v/>
      </c>
      <c r="AM97" s="120" t="n"/>
      <c r="AN97" s="124" t="inlineStr">
        <is>
          <t>Projétil</t>
        </is>
      </c>
      <c r="AO97" s="17" t="n"/>
      <c r="AP97" s="68">
        <f>DADOS_INVOC!$PR$85</f>
        <v/>
      </c>
      <c r="AQ97" s="17" t="n"/>
      <c r="AR97" s="68">
        <f>DADOS_INVOC!$PN$85</f>
        <v/>
      </c>
      <c r="AS97" s="120" t="n"/>
    </row>
    <row r="98" hidden="1" outlineLevel="2">
      <c r="A98" s="8" t="n"/>
      <c r="B98" s="14" t="n"/>
      <c r="C98" s="120" t="n"/>
      <c r="D98" s="120" t="n"/>
      <c r="E98" s="120" t="n"/>
      <c r="F98" s="120" t="n"/>
      <c r="G98" s="120" t="n"/>
      <c r="I98" s="124" t="n"/>
      <c r="J98" s="17" t="n"/>
      <c r="K98" s="124" t="n"/>
      <c r="L98" s="16" t="n"/>
      <c r="M98" s="17" t="n"/>
      <c r="N98" s="120" t="n"/>
      <c r="O98" s="124" t="n"/>
      <c r="P98" s="17" t="n"/>
      <c r="Q98" s="124" t="n"/>
      <c r="R98" s="16" t="n"/>
      <c r="S98" s="17" t="n"/>
      <c r="T98" s="120" t="n"/>
      <c r="U98" s="124" t="n"/>
      <c r="V98" s="17" t="n"/>
      <c r="W98" s="124" t="n"/>
      <c r="X98" s="16" t="n"/>
      <c r="Y98" s="17" t="n"/>
      <c r="Z98" s="120" t="n"/>
      <c r="AB98" s="124" t="n"/>
      <c r="AC98" s="17" t="n"/>
      <c r="AD98" s="124" t="n"/>
      <c r="AE98" s="16" t="n"/>
      <c r="AF98" s="17" t="n"/>
      <c r="AG98" s="120" t="n"/>
      <c r="AH98" s="124" t="n"/>
      <c r="AI98" s="17" t="n"/>
      <c r="AJ98" s="124" t="n"/>
      <c r="AK98" s="16" t="n"/>
      <c r="AL98" s="17" t="n"/>
      <c r="AM98" s="120" t="n"/>
      <c r="AN98" s="124" t="n"/>
      <c r="AO98" s="17" t="n"/>
      <c r="AP98" s="124" t="n"/>
      <c r="AQ98" s="16" t="n"/>
      <c r="AR98" s="17" t="n"/>
      <c r="AS98" s="120" t="n"/>
    </row>
    <row r="99" hidden="1" outlineLevel="2">
      <c r="A99" s="8" t="n"/>
      <c r="B99" s="14" t="n"/>
      <c r="C99" s="120" t="n"/>
      <c r="D99" s="120" t="n"/>
      <c r="E99" s="120" t="n"/>
      <c r="F99" s="120" t="n"/>
      <c r="G99" s="120" t="n"/>
      <c r="I99" s="124">
        <f>DADOS_INVOC!$PO$5</f>
        <v/>
      </c>
      <c r="J99" s="17" t="n"/>
      <c r="K99" s="124">
        <f>DADOS_INVOC!$PQ$5</f>
        <v/>
      </c>
      <c r="L99" s="16" t="n"/>
      <c r="M99" s="17" t="n"/>
      <c r="N99" s="120" t="n"/>
      <c r="O99" s="124">
        <f>DADOS_INVOC!$PO$6</f>
        <v/>
      </c>
      <c r="P99" s="17" t="n"/>
      <c r="Q99" s="124">
        <f>DADOS_INVOC!$PQ$6</f>
        <v/>
      </c>
      <c r="R99" s="16" t="n"/>
      <c r="S99" s="17" t="n"/>
      <c r="T99" s="120" t="n"/>
      <c r="U99" s="124">
        <f>DADOS_INVOC!$PO$7</f>
        <v/>
      </c>
      <c r="V99" s="17" t="n"/>
      <c r="W99" s="124">
        <f>DADOS_INVOC!$PQ$7</f>
        <v/>
      </c>
      <c r="X99" s="16" t="n"/>
      <c r="Y99" s="17" t="n"/>
      <c r="Z99" s="120" t="n"/>
      <c r="AB99" s="124">
        <f>DADOS_INVOC!$PO$83</f>
        <v/>
      </c>
      <c r="AC99" s="17" t="n"/>
      <c r="AD99" s="124">
        <f>DADOS_INVOC!$PQ$83</f>
        <v/>
      </c>
      <c r="AE99" s="16" t="n"/>
      <c r="AF99" s="17" t="n"/>
      <c r="AG99" s="120" t="n"/>
      <c r="AH99" s="124">
        <f>DADOS_INVOC!$PO$84</f>
        <v/>
      </c>
      <c r="AI99" s="17" t="n"/>
      <c r="AJ99" s="124">
        <f>DADOS_INVOC!$PQ$84</f>
        <v/>
      </c>
      <c r="AK99" s="16" t="n"/>
      <c r="AL99" s="17" t="n"/>
      <c r="AM99" s="120" t="n"/>
      <c r="AN99" s="124">
        <f>DADOS_INVOC!$PO$85</f>
        <v/>
      </c>
      <c r="AO99" s="17" t="n"/>
      <c r="AP99" s="124">
        <f>DADOS_INVOC!$PQ$85</f>
        <v/>
      </c>
      <c r="AQ99" s="16" t="n"/>
      <c r="AR99" s="17" t="n"/>
      <c r="AS99" s="120" t="n"/>
    </row>
    <row r="100" hidden="1" outlineLevel="2">
      <c r="A100" s="8" t="n"/>
      <c r="B100" s="14" t="n"/>
      <c r="C100" s="120" t="n"/>
      <c r="D100" s="120" t="n"/>
      <c r="E100" s="120" t="n"/>
      <c r="F100" s="120" t="n"/>
      <c r="G100" s="120" t="n"/>
      <c r="I100" s="129">
        <f>DADOS_INVOC!$PW$5</f>
        <v/>
      </c>
      <c r="J100" s="16" t="n"/>
      <c r="K100" s="16" t="n"/>
      <c r="L100" s="16" t="n"/>
      <c r="M100" s="17" t="n"/>
      <c r="N100" s="120" t="n"/>
      <c r="O100" s="129">
        <f>DADOS_INVOC!$PW$6</f>
        <v/>
      </c>
      <c r="P100" s="16" t="n"/>
      <c r="Q100" s="16" t="n"/>
      <c r="R100" s="16" t="n"/>
      <c r="S100" s="17" t="n"/>
      <c r="T100" s="120" t="n"/>
      <c r="U100" s="129">
        <f>DADOS_INVOC!$PW$7</f>
        <v/>
      </c>
      <c r="V100" s="16" t="n"/>
      <c r="W100" s="16" t="n"/>
      <c r="X100" s="16" t="n"/>
      <c r="Y100" s="17" t="n"/>
      <c r="Z100" s="120" t="n"/>
      <c r="AB100" s="129">
        <f>DADOS_INVOC!$PW$83</f>
        <v/>
      </c>
      <c r="AC100" s="16" t="n"/>
      <c r="AD100" s="16" t="n"/>
      <c r="AE100" s="16" t="n"/>
      <c r="AF100" s="17" t="n"/>
      <c r="AG100" s="120" t="n"/>
      <c r="AH100" s="129">
        <f>DADOS_INVOC!$PW$84</f>
        <v/>
      </c>
      <c r="AI100" s="16" t="n"/>
      <c r="AJ100" s="16" t="n"/>
      <c r="AK100" s="16" t="n"/>
      <c r="AL100" s="17" t="n"/>
      <c r="AM100" s="120" t="n"/>
      <c r="AN100" s="129">
        <f>DADOS_INVOC!$PW$85</f>
        <v/>
      </c>
      <c r="AO100" s="16" t="n"/>
      <c r="AP100" s="16" t="n"/>
      <c r="AQ100" s="16" t="n"/>
      <c r="AR100" s="17" t="n"/>
      <c r="AS100" s="120" t="n"/>
    </row>
    <row r="101" hidden="1" outlineLevel="3">
      <c r="A101" s="8" t="n"/>
      <c r="B101" s="14" t="n"/>
      <c r="C101" s="120" t="n"/>
      <c r="D101" s="120" t="n"/>
      <c r="E101" s="120" t="n"/>
      <c r="F101" s="120" t="n"/>
      <c r="G101" s="120" t="n"/>
      <c r="I101" s="55" t="inlineStr">
        <is>
          <t>MELHORIAS</t>
        </is>
      </c>
      <c r="J101" s="130" t="n"/>
      <c r="K101" s="16" t="n"/>
      <c r="L101" s="17" t="n"/>
      <c r="M101" s="129">
        <f>DADOS_INVOC!$PZ$5</f>
        <v/>
      </c>
      <c r="N101" s="120" t="n"/>
      <c r="O101" s="55" t="inlineStr">
        <is>
          <t>MELHORIAS</t>
        </is>
      </c>
      <c r="P101" s="130" t="n"/>
      <c r="Q101" s="16" t="n"/>
      <c r="R101" s="17" t="n"/>
      <c r="S101" s="129">
        <f>DADOS_INVOC!$PZ$6</f>
        <v/>
      </c>
      <c r="T101" s="120" t="n"/>
      <c r="U101" s="55" t="inlineStr">
        <is>
          <t>MELHORIAS</t>
        </is>
      </c>
      <c r="V101" s="130" t="n"/>
      <c r="W101" s="16" t="n"/>
      <c r="X101" s="17" t="n"/>
      <c r="Y101" s="129">
        <f>DADOS_INVOC!$PZ$7</f>
        <v/>
      </c>
      <c r="Z101" s="120" t="n"/>
      <c r="AB101" s="55" t="inlineStr">
        <is>
          <t>MELHORIAS</t>
        </is>
      </c>
      <c r="AC101" s="130" t="n"/>
      <c r="AD101" s="16" t="n"/>
      <c r="AE101" s="17" t="n"/>
      <c r="AF101" s="129">
        <f>DADOS_INVOC!$PZ$83</f>
        <v/>
      </c>
      <c r="AG101" s="120" t="n"/>
      <c r="AH101" s="55" t="inlineStr">
        <is>
          <t>MELHORIAS</t>
        </is>
      </c>
      <c r="AI101" s="130" t="n"/>
      <c r="AJ101" s="16" t="n"/>
      <c r="AK101" s="17" t="n"/>
      <c r="AL101" s="129">
        <f>DADOS_INVOC!$PZ$84</f>
        <v/>
      </c>
      <c r="AM101" s="120" t="n"/>
      <c r="AN101" s="55" t="inlineStr">
        <is>
          <t>MELHORIAS</t>
        </is>
      </c>
      <c r="AO101" s="130" t="n"/>
      <c r="AP101" s="16" t="n"/>
      <c r="AQ101" s="17" t="n"/>
      <c r="AR101" s="129">
        <f>DADOS_INVOC!$PZ$85</f>
        <v/>
      </c>
      <c r="AS101" s="120" t="n"/>
    </row>
    <row r="102" hidden="1" outlineLevel="3">
      <c r="A102" s="8" t="n"/>
      <c r="B102" s="14" t="n"/>
      <c r="C102" s="120" t="n"/>
      <c r="D102" s="120" t="n"/>
      <c r="E102" s="120" t="n"/>
      <c r="F102" s="120" t="n"/>
      <c r="G102" s="120" t="n"/>
      <c r="I102" s="131" t="n"/>
      <c r="J102" s="130" t="n"/>
      <c r="K102" s="16" t="n"/>
      <c r="L102" s="17" t="n"/>
      <c r="M102" s="129">
        <f>DADOS_INVOC!$QA$5</f>
        <v/>
      </c>
      <c r="N102" s="120" t="n"/>
      <c r="O102" s="131" t="n"/>
      <c r="P102" s="130" t="n"/>
      <c r="Q102" s="16" t="n"/>
      <c r="R102" s="17" t="n"/>
      <c r="S102" s="129">
        <f>DADOS_INVOC!$QA$6</f>
        <v/>
      </c>
      <c r="T102" s="120" t="n"/>
      <c r="U102" s="131" t="n"/>
      <c r="V102" s="130" t="n"/>
      <c r="W102" s="16" t="n"/>
      <c r="X102" s="17" t="n"/>
      <c r="Y102" s="129">
        <f>DADOS_INVOC!$QA$7</f>
        <v/>
      </c>
      <c r="Z102" s="120" t="n"/>
      <c r="AB102" s="131" t="n"/>
      <c r="AC102" s="130" t="n"/>
      <c r="AD102" s="16" t="n"/>
      <c r="AE102" s="17" t="n"/>
      <c r="AF102" s="129">
        <f>DADOS_INVOC!$QA$83</f>
        <v/>
      </c>
      <c r="AG102" s="120" t="n"/>
      <c r="AH102" s="131" t="n"/>
      <c r="AI102" s="130" t="n"/>
      <c r="AJ102" s="16" t="n"/>
      <c r="AK102" s="17" t="n"/>
      <c r="AL102" s="129">
        <f>DADOS_INVOC!$QA$84</f>
        <v/>
      </c>
      <c r="AM102" s="120" t="n"/>
      <c r="AN102" s="131" t="n"/>
      <c r="AO102" s="130" t="n"/>
      <c r="AP102" s="16" t="n"/>
      <c r="AQ102" s="17" t="n"/>
      <c r="AR102" s="129">
        <f>DADOS_INVOC!$QA$85</f>
        <v/>
      </c>
      <c r="AS102" s="120" t="n"/>
    </row>
    <row r="103" hidden="1" outlineLevel="3">
      <c r="A103" s="8" t="n"/>
      <c r="B103" s="14" t="n"/>
      <c r="C103" s="120" t="n"/>
      <c r="D103" s="120" t="n"/>
      <c r="E103" s="120" t="n"/>
      <c r="F103" s="120" t="n"/>
      <c r="G103" s="120" t="n"/>
      <c r="I103" s="131" t="n"/>
      <c r="J103" s="130" t="n"/>
      <c r="K103" s="16" t="n"/>
      <c r="L103" s="17" t="n"/>
      <c r="M103" s="129">
        <f>DADOS_INVOC!$QB$5</f>
        <v/>
      </c>
      <c r="N103" s="120" t="n"/>
      <c r="O103" s="131" t="n"/>
      <c r="P103" s="130" t="n"/>
      <c r="Q103" s="16" t="n"/>
      <c r="R103" s="17" t="n"/>
      <c r="S103" s="129">
        <f>DADOS_INVOC!$QB$6</f>
        <v/>
      </c>
      <c r="T103" s="120" t="n"/>
      <c r="U103" s="131" t="n"/>
      <c r="V103" s="130" t="n"/>
      <c r="W103" s="16" t="n"/>
      <c r="X103" s="17" t="n"/>
      <c r="Y103" s="129">
        <f>DADOS_INVOC!$QB$7</f>
        <v/>
      </c>
      <c r="Z103" s="120" t="n"/>
      <c r="AB103" s="131" t="n"/>
      <c r="AC103" s="130" t="n"/>
      <c r="AD103" s="16" t="n"/>
      <c r="AE103" s="17" t="n"/>
      <c r="AF103" s="129">
        <f>DADOS_INVOC!$QB$83</f>
        <v/>
      </c>
      <c r="AG103" s="120" t="n"/>
      <c r="AH103" s="131" t="n"/>
      <c r="AI103" s="130" t="n"/>
      <c r="AJ103" s="16" t="n"/>
      <c r="AK103" s="17" t="n"/>
      <c r="AL103" s="129">
        <f>DADOS_INVOC!$QB$84</f>
        <v/>
      </c>
      <c r="AM103" s="120" t="n"/>
      <c r="AN103" s="131" t="n"/>
      <c r="AO103" s="130" t="n"/>
      <c r="AP103" s="16" t="n"/>
      <c r="AQ103" s="17" t="n"/>
      <c r="AR103" s="129">
        <f>DADOS_INVOC!$QB$85</f>
        <v/>
      </c>
      <c r="AS103" s="120" t="n"/>
    </row>
    <row r="104" hidden="1" outlineLevel="3">
      <c r="A104" s="8" t="n"/>
      <c r="B104" s="14" t="n"/>
      <c r="C104" s="120" t="n"/>
      <c r="D104" s="120" t="n"/>
      <c r="E104" s="120" t="n"/>
      <c r="F104" s="120" t="n"/>
      <c r="G104" s="120" t="n"/>
      <c r="I104" s="125" t="n"/>
      <c r="J104" s="130" t="n"/>
      <c r="K104" s="16" t="n"/>
      <c r="L104" s="17" t="n"/>
      <c r="M104" s="129">
        <f>DADOS_INVOC!$QC$5</f>
        <v/>
      </c>
      <c r="N104" s="120" t="n"/>
      <c r="O104" s="125" t="n"/>
      <c r="P104" s="130" t="n"/>
      <c r="Q104" s="16" t="n"/>
      <c r="R104" s="17" t="n"/>
      <c r="S104" s="129">
        <f>DADOS_INVOC!$QC$6</f>
        <v/>
      </c>
      <c r="T104" s="120" t="n"/>
      <c r="U104" s="125" t="n"/>
      <c r="V104" s="130" t="n"/>
      <c r="W104" s="16" t="n"/>
      <c r="X104" s="17" t="n"/>
      <c r="Y104" s="129">
        <f>DADOS_INVOC!$QC$7</f>
        <v/>
      </c>
      <c r="Z104" s="120" t="n"/>
      <c r="AB104" s="125" t="n"/>
      <c r="AC104" s="130" t="n"/>
      <c r="AD104" s="16" t="n"/>
      <c r="AE104" s="17" t="n"/>
      <c r="AF104" s="129">
        <f>DADOS_INVOC!$QC$83</f>
        <v/>
      </c>
      <c r="AG104" s="120" t="n"/>
      <c r="AH104" s="125" t="n"/>
      <c r="AI104" s="130" t="n"/>
      <c r="AJ104" s="16" t="n"/>
      <c r="AK104" s="17" t="n"/>
      <c r="AL104" s="129">
        <f>DADOS_INVOC!$QC$84</f>
        <v/>
      </c>
      <c r="AM104" s="120" t="n"/>
      <c r="AN104" s="125" t="n"/>
      <c r="AO104" s="130" t="n"/>
      <c r="AP104" s="16" t="n"/>
      <c r="AQ104" s="17" t="n"/>
      <c r="AR104" s="129">
        <f>DADOS_INVOC!$QC$85</f>
        <v/>
      </c>
      <c r="AS104" s="120" t="n"/>
    </row>
    <row r="105" hidden="1" outlineLevel="3">
      <c r="A105" s="8" t="n"/>
      <c r="B105" s="14" t="n"/>
      <c r="C105" s="120" t="n"/>
      <c r="D105" s="120" t="n"/>
      <c r="E105" s="120" t="n"/>
      <c r="F105" s="120" t="n"/>
      <c r="G105" s="120" t="n"/>
      <c r="I105" s="55" t="inlineStr">
        <is>
          <t>RESTRIÇÕES</t>
        </is>
      </c>
      <c r="J105" s="130" t="n"/>
      <c r="K105" s="16" t="n"/>
      <c r="L105" s="17" t="n"/>
      <c r="M105" s="129">
        <f>DADOS_INVOC!$QD$5</f>
        <v/>
      </c>
      <c r="N105" s="120" t="n"/>
      <c r="O105" s="55" t="inlineStr">
        <is>
          <t>RESTRIÇÕES</t>
        </is>
      </c>
      <c r="P105" s="130" t="n"/>
      <c r="Q105" s="16" t="n"/>
      <c r="R105" s="17" t="n"/>
      <c r="S105" s="129">
        <f>DADOS_INVOC!$QD$6</f>
        <v/>
      </c>
      <c r="T105" s="120" t="n"/>
      <c r="U105" s="55" t="inlineStr">
        <is>
          <t>RESTRIÇÕES</t>
        </is>
      </c>
      <c r="V105" s="130" t="n"/>
      <c r="W105" s="16" t="n"/>
      <c r="X105" s="17" t="n"/>
      <c r="Y105" s="129">
        <f>DADOS_INVOC!$QD$7</f>
        <v/>
      </c>
      <c r="Z105" s="120" t="n"/>
      <c r="AB105" s="55" t="inlineStr">
        <is>
          <t>RESTRIÇÕES</t>
        </is>
      </c>
      <c r="AC105" s="130" t="n"/>
      <c r="AD105" s="16" t="n"/>
      <c r="AE105" s="17" t="n"/>
      <c r="AF105" s="129">
        <f>DADOS_INVOC!$QD$83</f>
        <v/>
      </c>
      <c r="AG105" s="120" t="n"/>
      <c r="AH105" s="55" t="inlineStr">
        <is>
          <t>RESTRIÇÕES</t>
        </is>
      </c>
      <c r="AI105" s="130" t="n"/>
      <c r="AJ105" s="16" t="n"/>
      <c r="AK105" s="17" t="n"/>
      <c r="AL105" s="129">
        <f>DADOS_INVOC!$QD$84</f>
        <v/>
      </c>
      <c r="AM105" s="120" t="n"/>
      <c r="AN105" s="55" t="inlineStr">
        <is>
          <t>RESTRIÇÕES</t>
        </is>
      </c>
      <c r="AO105" s="130" t="n"/>
      <c r="AP105" s="16" t="n"/>
      <c r="AQ105" s="17" t="n"/>
      <c r="AR105" s="129">
        <f>DADOS_INVOC!$QD$85</f>
        <v/>
      </c>
      <c r="AS105" s="120" t="n"/>
    </row>
    <row r="106" hidden="1" outlineLevel="3">
      <c r="A106" s="8" t="n"/>
      <c r="B106" s="14" t="n"/>
      <c r="C106" s="120" t="n"/>
      <c r="D106" s="120" t="n"/>
      <c r="E106" s="120" t="n"/>
      <c r="F106" s="120" t="n"/>
      <c r="G106" s="120" t="n"/>
      <c r="I106" s="125" t="n"/>
      <c r="J106" s="130" t="n"/>
      <c r="K106" s="16" t="n"/>
      <c r="L106" s="17" t="n"/>
      <c r="M106" s="129">
        <f>DADOS_INVOC!$QE$5</f>
        <v/>
      </c>
      <c r="N106" s="120" t="n"/>
      <c r="O106" s="125" t="n"/>
      <c r="P106" s="130" t="n"/>
      <c r="Q106" s="16" t="n"/>
      <c r="R106" s="17" t="n"/>
      <c r="S106" s="129">
        <f>DADOS_INVOC!$QE$6</f>
        <v/>
      </c>
      <c r="T106" s="120" t="n"/>
      <c r="U106" s="125" t="n"/>
      <c r="V106" s="130" t="n"/>
      <c r="W106" s="16" t="n"/>
      <c r="X106" s="17" t="n"/>
      <c r="Y106" s="129">
        <f>DADOS_INVOC!$QE$7</f>
        <v/>
      </c>
      <c r="Z106" s="120" t="n"/>
      <c r="AB106" s="125" t="n"/>
      <c r="AC106" s="130" t="n"/>
      <c r="AD106" s="16" t="n"/>
      <c r="AE106" s="17" t="n"/>
      <c r="AF106" s="129">
        <f>DADOS_INVOC!$QE$83</f>
        <v/>
      </c>
      <c r="AG106" s="120" t="n"/>
      <c r="AH106" s="125" t="n"/>
      <c r="AI106" s="130" t="n"/>
      <c r="AJ106" s="16" t="n"/>
      <c r="AK106" s="17" t="n"/>
      <c r="AL106" s="129">
        <f>DADOS_INVOC!$QE$84</f>
        <v/>
      </c>
      <c r="AM106" s="120" t="n"/>
      <c r="AN106" s="125" t="n"/>
      <c r="AO106" s="130" t="n"/>
      <c r="AP106" s="16" t="n"/>
      <c r="AQ106" s="17" t="n"/>
      <c r="AR106" s="129">
        <f>DADOS_INVOC!$QE$85</f>
        <v/>
      </c>
      <c r="AS106" s="120" t="n"/>
    </row>
    <row r="107" hidden="1" outlineLevel="3">
      <c r="A107" s="8" t="n"/>
      <c r="B107" s="14" t="n"/>
      <c r="C107" s="120" t="n"/>
      <c r="D107" s="120" t="n"/>
      <c r="E107" s="120" t="n"/>
      <c r="F107" s="120" t="n"/>
      <c r="G107" s="120" t="n"/>
      <c r="I107" s="55" t="inlineStr">
        <is>
          <t>CONTA</t>
        </is>
      </c>
      <c r="J107" s="132">
        <f>DADOS_INVOC!$PX$5</f>
        <v/>
      </c>
      <c r="K107" s="16" t="n"/>
      <c r="L107" s="16" t="n"/>
      <c r="M107" s="17" t="n"/>
      <c r="N107" s="120" t="n"/>
      <c r="O107" s="55" t="inlineStr">
        <is>
          <t>CONTA</t>
        </is>
      </c>
      <c r="P107" s="132">
        <f>DADOS_INVOC!$PX$6</f>
        <v/>
      </c>
      <c r="Q107" s="16" t="n"/>
      <c r="R107" s="16" t="n"/>
      <c r="S107" s="17" t="n"/>
      <c r="T107" s="120" t="n"/>
      <c r="U107" s="55" t="inlineStr">
        <is>
          <t>CONTA</t>
        </is>
      </c>
      <c r="V107" s="132">
        <f>DADOS_INVOC!$PX$7</f>
        <v/>
      </c>
      <c r="W107" s="16" t="n"/>
      <c r="X107" s="16" t="n"/>
      <c r="Y107" s="17" t="n"/>
      <c r="Z107" s="120" t="n"/>
      <c r="AB107" s="55" t="inlineStr">
        <is>
          <t>CONTA</t>
        </is>
      </c>
      <c r="AC107" s="132">
        <f>DADOS_INVOC!$PX$83</f>
        <v/>
      </c>
      <c r="AD107" s="16" t="n"/>
      <c r="AE107" s="16" t="n"/>
      <c r="AF107" s="17" t="n"/>
      <c r="AG107" s="120" t="n"/>
      <c r="AH107" s="55" t="inlineStr">
        <is>
          <t>CONTA</t>
        </is>
      </c>
      <c r="AI107" s="132">
        <f>DADOS_INVOC!$PX$84</f>
        <v/>
      </c>
      <c r="AJ107" s="16" t="n"/>
      <c r="AK107" s="16" t="n"/>
      <c r="AL107" s="17" t="n"/>
      <c r="AM107" s="120" t="n"/>
      <c r="AN107" s="55" t="inlineStr">
        <is>
          <t>CONTA</t>
        </is>
      </c>
      <c r="AO107" s="132">
        <f>DADOS_INVOC!$PX$85</f>
        <v/>
      </c>
      <c r="AP107" s="16" t="n"/>
      <c r="AQ107" s="16" t="n"/>
      <c r="AR107" s="17" t="n"/>
      <c r="AS107" s="120" t="n"/>
    </row>
    <row r="108" hidden="1" outlineLevel="3">
      <c r="A108" s="8" t="n"/>
      <c r="B108" s="14" t="n"/>
      <c r="C108" s="120" t="n"/>
      <c r="D108" s="120" t="n"/>
      <c r="E108" s="120" t="n"/>
      <c r="F108" s="120" t="n"/>
      <c r="G108" s="120" t="n"/>
      <c r="I108" s="55" t="inlineStr">
        <is>
          <t>AMPLIAR</t>
        </is>
      </c>
      <c r="J108" s="132">
        <f>DADOS_INVOC!$PY$5</f>
        <v/>
      </c>
      <c r="K108" s="19" t="n"/>
      <c r="L108" s="19" t="n"/>
      <c r="M108" s="20" t="n"/>
      <c r="N108" s="120" t="n"/>
      <c r="O108" s="55" t="inlineStr">
        <is>
          <t>AMPLIAR</t>
        </is>
      </c>
      <c r="P108" s="132">
        <f>DADOS_INVOC!$PY$6</f>
        <v/>
      </c>
      <c r="Q108" s="19" t="n"/>
      <c r="R108" s="19" t="n"/>
      <c r="S108" s="20" t="n"/>
      <c r="T108" s="120" t="n"/>
      <c r="U108" s="55" t="inlineStr">
        <is>
          <t>AMPLIAR</t>
        </is>
      </c>
      <c r="V108" s="132">
        <f>DADOS_INVOC!$PY$7</f>
        <v/>
      </c>
      <c r="W108" s="19" t="n"/>
      <c r="X108" s="19" t="n"/>
      <c r="Y108" s="20" t="n"/>
      <c r="Z108" s="120" t="n"/>
      <c r="AB108" s="55" t="inlineStr">
        <is>
          <t>AMPLIAR</t>
        </is>
      </c>
      <c r="AC108" s="132">
        <f>DADOS_INVOC!$PY$83</f>
        <v/>
      </c>
      <c r="AD108" s="19" t="n"/>
      <c r="AE108" s="19" t="n"/>
      <c r="AF108" s="20" t="n"/>
      <c r="AG108" s="120" t="n"/>
      <c r="AH108" s="55" t="inlineStr">
        <is>
          <t>AMPLIAR</t>
        </is>
      </c>
      <c r="AI108" s="132">
        <f>DADOS_INVOC!$PY$84</f>
        <v/>
      </c>
      <c r="AJ108" s="19" t="n"/>
      <c r="AK108" s="19" t="n"/>
      <c r="AL108" s="20" t="n"/>
      <c r="AM108" s="120" t="n"/>
      <c r="AN108" s="55" t="inlineStr">
        <is>
          <t>AMPLIAR</t>
        </is>
      </c>
      <c r="AO108" s="132">
        <f>DADOS_INVOC!$PY$85</f>
        <v/>
      </c>
      <c r="AP108" s="19" t="n"/>
      <c r="AQ108" s="19" t="n"/>
      <c r="AR108" s="20" t="n"/>
      <c r="AS108" s="120" t="n"/>
    </row>
    <row r="109" hidden="1" outlineLevel="3">
      <c r="A109" s="8" t="n"/>
      <c r="B109" s="14" t="n"/>
      <c r="C109" s="120" t="n"/>
      <c r="D109" s="120" t="n"/>
      <c r="E109" s="120" t="n"/>
      <c r="F109" s="120" t="n"/>
      <c r="G109" s="120" t="n"/>
      <c r="I109" s="125" t="n"/>
      <c r="J109" s="23" t="n"/>
      <c r="K109" s="24" t="n"/>
      <c r="L109" s="24" t="n"/>
      <c r="M109" s="25" t="n"/>
      <c r="N109" s="120" t="n"/>
      <c r="O109" s="125" t="n"/>
      <c r="P109" s="23" t="n"/>
      <c r="Q109" s="24" t="n"/>
      <c r="R109" s="24" t="n"/>
      <c r="S109" s="25" t="n"/>
      <c r="T109" s="120" t="n"/>
      <c r="U109" s="125" t="n"/>
      <c r="V109" s="23" t="n"/>
      <c r="W109" s="24" t="n"/>
      <c r="X109" s="24" t="n"/>
      <c r="Y109" s="25" t="n"/>
      <c r="Z109" s="120" t="n"/>
      <c r="AB109" s="125" t="n"/>
      <c r="AC109" s="23" t="n"/>
      <c r="AD109" s="24" t="n"/>
      <c r="AE109" s="24" t="n"/>
      <c r="AF109" s="25" t="n"/>
      <c r="AG109" s="120" t="n"/>
      <c r="AH109" s="125" t="n"/>
      <c r="AI109" s="23" t="n"/>
      <c r="AJ109" s="24" t="n"/>
      <c r="AK109" s="24" t="n"/>
      <c r="AL109" s="25" t="n"/>
      <c r="AM109" s="120" t="n"/>
      <c r="AN109" s="125" t="n"/>
      <c r="AO109" s="23" t="n"/>
      <c r="AP109" s="24" t="n"/>
      <c r="AQ109" s="24" t="n"/>
      <c r="AR109" s="25" t="n"/>
      <c r="AS109" s="120" t="n"/>
    </row>
    <row r="110" hidden="1" outlineLevel="3">
      <c r="A110" s="8" t="n"/>
      <c r="B110" s="14" t="n"/>
      <c r="C110" s="120" t="n"/>
      <c r="D110" s="120" t="n"/>
      <c r="E110" s="120" t="n"/>
      <c r="F110" s="120" t="n"/>
      <c r="G110" s="120" t="n"/>
      <c r="I110" s="132">
        <f>DADOS_INVOC!$PL$5</f>
        <v/>
      </c>
      <c r="J110" s="19" t="n"/>
      <c r="K110" s="19" t="n"/>
      <c r="L110" s="19" t="n"/>
      <c r="M110" s="20" t="n"/>
      <c r="N110" s="120" t="n"/>
      <c r="O110" s="132">
        <f>DADOS_INVOC!$PL$6</f>
        <v/>
      </c>
      <c r="P110" s="19" t="n"/>
      <c r="Q110" s="19" t="n"/>
      <c r="R110" s="19" t="n"/>
      <c r="S110" s="20" t="n"/>
      <c r="T110" s="120" t="n"/>
      <c r="U110" s="132">
        <f>DADOS_INVOC!$PL$7</f>
        <v/>
      </c>
      <c r="V110" s="19" t="n"/>
      <c r="W110" s="19" t="n"/>
      <c r="X110" s="19" t="n"/>
      <c r="Y110" s="20" t="n"/>
      <c r="Z110" s="120" t="n"/>
      <c r="AB110" s="132">
        <f>DADOS_INVOC!$PL$83</f>
        <v/>
      </c>
      <c r="AC110" s="19" t="n"/>
      <c r="AD110" s="19" t="n"/>
      <c r="AE110" s="19" t="n"/>
      <c r="AF110" s="20" t="n"/>
      <c r="AG110" s="120" t="n"/>
      <c r="AH110" s="132">
        <f>DADOS_INVOC!$PL$84</f>
        <v/>
      </c>
      <c r="AI110" s="19" t="n"/>
      <c r="AJ110" s="19" t="n"/>
      <c r="AK110" s="19" t="n"/>
      <c r="AL110" s="20" t="n"/>
      <c r="AM110" s="120" t="n"/>
      <c r="AN110" s="132">
        <f>DADOS_INVOC!$PL$85</f>
        <v/>
      </c>
      <c r="AO110" s="19" t="n"/>
      <c r="AP110" s="19" t="n"/>
      <c r="AQ110" s="19" t="n"/>
      <c r="AR110" s="20" t="n"/>
      <c r="AS110" s="120" t="n"/>
    </row>
    <row r="111" hidden="1" outlineLevel="3">
      <c r="A111" s="8" t="n"/>
      <c r="B111" s="14" t="n"/>
      <c r="C111" s="120" t="n"/>
      <c r="D111" s="120" t="n"/>
      <c r="E111" s="120" t="n"/>
      <c r="F111" s="120" t="n"/>
      <c r="G111" s="120" t="n"/>
      <c r="I111" s="23" t="n"/>
      <c r="J111" s="24" t="n"/>
      <c r="K111" s="24" t="n"/>
      <c r="L111" s="24" t="n"/>
      <c r="M111" s="25" t="n"/>
      <c r="N111" s="120" t="n"/>
      <c r="O111" s="23" t="n"/>
      <c r="P111" s="24" t="n"/>
      <c r="Q111" s="24" t="n"/>
      <c r="R111" s="24" t="n"/>
      <c r="S111" s="25" t="n"/>
      <c r="T111" s="120" t="n"/>
      <c r="U111" s="23" t="n"/>
      <c r="V111" s="24" t="n"/>
      <c r="W111" s="24" t="n"/>
      <c r="X111" s="24" t="n"/>
      <c r="Y111" s="25" t="n"/>
      <c r="Z111" s="120" t="n"/>
      <c r="AB111" s="23" t="n"/>
      <c r="AC111" s="24" t="n"/>
      <c r="AD111" s="24" t="n"/>
      <c r="AE111" s="24" t="n"/>
      <c r="AF111" s="25" t="n"/>
      <c r="AG111" s="120" t="n"/>
      <c r="AH111" s="23" t="n"/>
      <c r="AI111" s="24" t="n"/>
      <c r="AJ111" s="24" t="n"/>
      <c r="AK111" s="24" t="n"/>
      <c r="AL111" s="25" t="n"/>
      <c r="AM111" s="120" t="n"/>
      <c r="AN111" s="23" t="n"/>
      <c r="AO111" s="24" t="n"/>
      <c r="AP111" s="24" t="n"/>
      <c r="AQ111" s="24" t="n"/>
      <c r="AR111" s="25" t="n"/>
      <c r="AS111" s="120" t="n"/>
    </row>
    <row r="112" hidden="1" outlineLevel="2">
      <c r="A112" s="8" t="n"/>
      <c r="B112" s="14" t="n"/>
      <c r="C112" s="120" t="n"/>
      <c r="D112" s="120" t="n"/>
      <c r="E112" s="120" t="n"/>
      <c r="F112" s="120" t="n"/>
      <c r="G112" s="120" t="n"/>
      <c r="I112" s="120" t="n"/>
      <c r="J112" s="120" t="n"/>
      <c r="K112" s="120" t="n"/>
      <c r="L112" s="120" t="n"/>
      <c r="M112" s="120" t="n"/>
      <c r="N112" s="120" t="n"/>
      <c r="O112" s="120" t="n"/>
      <c r="P112" s="120" t="n"/>
      <c r="Q112" s="120" t="n"/>
      <c r="R112" s="120" t="n"/>
      <c r="S112" s="120" t="n"/>
      <c r="T112" s="120" t="n"/>
      <c r="U112" s="120" t="n"/>
      <c r="V112" s="120" t="n"/>
      <c r="W112" s="120" t="n"/>
      <c r="X112" s="120" t="n"/>
      <c r="Y112" s="120" t="n"/>
      <c r="Z112" s="120" t="n"/>
      <c r="AB112" s="120" t="n"/>
      <c r="AC112" s="120" t="n"/>
      <c r="AD112" s="120" t="n"/>
      <c r="AE112" s="120" t="n"/>
      <c r="AF112" s="120" t="n"/>
      <c r="AG112" s="120" t="n"/>
      <c r="AH112" s="120" t="n"/>
      <c r="AI112" s="120" t="n"/>
      <c r="AJ112" s="120" t="n"/>
      <c r="AK112" s="120" t="n"/>
      <c r="AL112" s="120" t="n"/>
      <c r="AM112" s="120" t="n"/>
      <c r="AN112" s="120" t="n"/>
      <c r="AO112" s="120" t="n"/>
      <c r="AP112" s="120" t="n"/>
      <c r="AQ112" s="120" t="n"/>
      <c r="AR112" s="120" t="n"/>
      <c r="AS112" s="120" t="n"/>
    </row>
    <row r="113" hidden="1" outlineLevel="2">
      <c r="A113" s="8" t="n"/>
      <c r="B113" s="14" t="n"/>
      <c r="C113" s="120" t="n"/>
      <c r="D113" s="120" t="n"/>
      <c r="E113" s="120" t="n"/>
      <c r="F113" s="120" t="n"/>
      <c r="G113" s="120" t="n"/>
      <c r="I113" s="55">
        <f>DADOS_INVOC!$PM$8</f>
        <v/>
      </c>
      <c r="J113" s="16" t="n"/>
      <c r="K113" s="16" t="n"/>
      <c r="L113" s="16" t="n"/>
      <c r="M113" s="17" t="n"/>
      <c r="N113" s="120" t="n"/>
      <c r="O113" s="55">
        <f>DADOS_INVOC!$PM$9</f>
        <v/>
      </c>
      <c r="P113" s="16" t="n"/>
      <c r="Q113" s="16" t="n"/>
      <c r="R113" s="16" t="n"/>
      <c r="S113" s="17" t="n"/>
      <c r="T113" s="120" t="n"/>
      <c r="U113" s="55">
        <f>DADOS_INVOC!$PM$10</f>
        <v/>
      </c>
      <c r="V113" s="16" t="n"/>
      <c r="W113" s="16" t="n"/>
      <c r="X113" s="16" t="n"/>
      <c r="Y113" s="17" t="n"/>
      <c r="Z113" s="120" t="n"/>
      <c r="AB113" s="55">
        <f>DADOS_INVOC!$PM$86</f>
        <v/>
      </c>
      <c r="AC113" s="16" t="n"/>
      <c r="AD113" s="16" t="n"/>
      <c r="AE113" s="16" t="n"/>
      <c r="AF113" s="17" t="n"/>
      <c r="AG113" s="120" t="n"/>
      <c r="AH113" s="55">
        <f>DADOS_INVOC!$PM$87</f>
        <v/>
      </c>
      <c r="AI113" s="16" t="n"/>
      <c r="AJ113" s="16" t="n"/>
      <c r="AK113" s="16" t="n"/>
      <c r="AL113" s="17" t="n"/>
      <c r="AM113" s="120" t="n"/>
      <c r="AN113" s="55">
        <f>DADOS_INVOC!$PM$88</f>
        <v/>
      </c>
      <c r="AO113" s="16" t="n"/>
      <c r="AP113" s="16" t="n"/>
      <c r="AQ113" s="16" t="n"/>
      <c r="AR113" s="17" t="n"/>
      <c r="AS113" s="120" t="n"/>
    </row>
    <row r="114" hidden="1" outlineLevel="2">
      <c r="A114" s="8" t="n"/>
      <c r="B114" s="14" t="n"/>
      <c r="C114" s="120" t="n"/>
      <c r="D114" s="120" t="n"/>
      <c r="E114" s="120" t="n"/>
      <c r="F114" s="120" t="n"/>
      <c r="G114" s="120" t="n"/>
      <c r="I114" s="127" t="n">
        <v>1</v>
      </c>
      <c r="J114" s="115" t="n"/>
      <c r="K114" s="16" t="n"/>
      <c r="L114" s="17" t="n"/>
      <c r="M114" s="128">
        <f>DADOS_INVOC!$PK$8</f>
        <v/>
      </c>
      <c r="N114" s="120" t="n"/>
      <c r="O114" s="127" t="n">
        <v>1</v>
      </c>
      <c r="P114" s="115" t="n"/>
      <c r="Q114" s="16" t="n"/>
      <c r="R114" s="17" t="n"/>
      <c r="S114" s="128">
        <f>DADOS_INVOC!$PK$9</f>
        <v/>
      </c>
      <c r="T114" s="120" t="n"/>
      <c r="U114" s="127" t="n">
        <v>1</v>
      </c>
      <c r="V114" s="115" t="n"/>
      <c r="W114" s="16" t="n"/>
      <c r="X114" s="17" t="n"/>
      <c r="Y114" s="128">
        <f>DADOS_INVOC!$PK$10</f>
        <v/>
      </c>
      <c r="Z114" s="120" t="n"/>
      <c r="AB114" s="127" t="n">
        <v>1</v>
      </c>
      <c r="AC114" s="115" t="n"/>
      <c r="AD114" s="16" t="n"/>
      <c r="AE114" s="17" t="n"/>
      <c r="AF114" s="128">
        <f>DADOS_INVOC!$PK$86</f>
        <v/>
      </c>
      <c r="AG114" s="120" t="n"/>
      <c r="AH114" s="127" t="n">
        <v>1</v>
      </c>
      <c r="AI114" s="115" t="n"/>
      <c r="AJ114" s="16" t="n"/>
      <c r="AK114" s="17" t="n"/>
      <c r="AL114" s="128">
        <f>DADOS_INVOC!$PK$87</f>
        <v/>
      </c>
      <c r="AM114" s="120" t="n"/>
      <c r="AN114" s="127" t="n">
        <v>1</v>
      </c>
      <c r="AO114" s="115" t="n"/>
      <c r="AP114" s="16" t="n"/>
      <c r="AQ114" s="17" t="n"/>
      <c r="AR114" s="128">
        <f>DADOS_INVOC!$PK$88</f>
        <v/>
      </c>
      <c r="AS114" s="120" t="n"/>
    </row>
    <row r="115" hidden="1" outlineLevel="3">
      <c r="A115" s="8" t="n"/>
      <c r="B115" s="14" t="n"/>
      <c r="C115" s="120" t="n"/>
      <c r="D115" s="120" t="n"/>
      <c r="E115" s="120" t="n"/>
      <c r="F115" s="120" t="n"/>
      <c r="G115" s="120" t="n"/>
      <c r="I115" s="55" t="inlineStr">
        <is>
          <t>COMO É</t>
        </is>
      </c>
      <c r="J115" s="16" t="n"/>
      <c r="K115" s="16" t="n"/>
      <c r="L115" s="16" t="n"/>
      <c r="M115" s="17" t="n"/>
      <c r="N115" s="120" t="n"/>
      <c r="O115" s="55" t="inlineStr">
        <is>
          <t>COMO É</t>
        </is>
      </c>
      <c r="P115" s="16" t="n"/>
      <c r="Q115" s="16" t="n"/>
      <c r="R115" s="16" t="n"/>
      <c r="S115" s="17" t="n"/>
      <c r="T115" s="120" t="n"/>
      <c r="U115" s="55" t="inlineStr">
        <is>
          <t>COMO É</t>
        </is>
      </c>
      <c r="V115" s="16" t="n"/>
      <c r="W115" s="16" t="n"/>
      <c r="X115" s="16" t="n"/>
      <c r="Y115" s="17" t="n"/>
      <c r="Z115" s="120" t="n"/>
      <c r="AB115" s="55" t="inlineStr">
        <is>
          <t>COMO É</t>
        </is>
      </c>
      <c r="AC115" s="16" t="n"/>
      <c r="AD115" s="16" t="n"/>
      <c r="AE115" s="16" t="n"/>
      <c r="AF115" s="17" t="n"/>
      <c r="AG115" s="120" t="n"/>
      <c r="AH115" s="55" t="inlineStr">
        <is>
          <t>COMO É</t>
        </is>
      </c>
      <c r="AI115" s="16" t="n"/>
      <c r="AJ115" s="16" t="n"/>
      <c r="AK115" s="16" t="n"/>
      <c r="AL115" s="17" t="n"/>
      <c r="AM115" s="120" t="n"/>
      <c r="AN115" s="55" t="inlineStr">
        <is>
          <t>COMO É</t>
        </is>
      </c>
      <c r="AO115" s="16" t="n"/>
      <c r="AP115" s="16" t="n"/>
      <c r="AQ115" s="16" t="n"/>
      <c r="AR115" s="17" t="n"/>
      <c r="AS115" s="120" t="n"/>
    </row>
    <row r="116" hidden="1" outlineLevel="3">
      <c r="A116" s="8" t="n"/>
      <c r="B116" s="14" t="n"/>
      <c r="C116" s="120" t="n"/>
      <c r="D116" s="120" t="n"/>
      <c r="E116" s="120" t="n"/>
      <c r="F116" s="120" t="n"/>
      <c r="G116" s="120" t="n"/>
      <c r="I116" s="116" t="n"/>
      <c r="J116" s="19" t="n"/>
      <c r="K116" s="19" t="n"/>
      <c r="L116" s="19" t="n"/>
      <c r="M116" s="20" t="n"/>
      <c r="N116" s="120" t="n"/>
      <c r="O116" s="116" t="n"/>
      <c r="P116" s="19" t="n"/>
      <c r="Q116" s="19" t="n"/>
      <c r="R116" s="19" t="n"/>
      <c r="S116" s="20" t="n"/>
      <c r="T116" s="120" t="n"/>
      <c r="U116" s="116" t="n"/>
      <c r="V116" s="19" t="n"/>
      <c r="W116" s="19" t="n"/>
      <c r="X116" s="19" t="n"/>
      <c r="Y116" s="20" t="n"/>
      <c r="Z116" s="120" t="n"/>
      <c r="AB116" s="116" t="n"/>
      <c r="AC116" s="19" t="n"/>
      <c r="AD116" s="19" t="n"/>
      <c r="AE116" s="19" t="n"/>
      <c r="AF116" s="20" t="n"/>
      <c r="AG116" s="120" t="n"/>
      <c r="AH116" s="116" t="n"/>
      <c r="AI116" s="19" t="n"/>
      <c r="AJ116" s="19" t="n"/>
      <c r="AK116" s="19" t="n"/>
      <c r="AL116" s="20" t="n"/>
      <c r="AM116" s="120" t="n"/>
      <c r="AN116" s="116" t="n"/>
      <c r="AO116" s="19" t="n"/>
      <c r="AP116" s="19" t="n"/>
      <c r="AQ116" s="19" t="n"/>
      <c r="AR116" s="20" t="n"/>
      <c r="AS116" s="120" t="n"/>
    </row>
    <row r="117" hidden="1" outlineLevel="3">
      <c r="A117" s="8" t="n"/>
      <c r="B117" s="14" t="n"/>
      <c r="C117" s="120" t="n"/>
      <c r="D117" s="120" t="n"/>
      <c r="E117" s="120" t="n"/>
      <c r="F117" s="120" t="n"/>
      <c r="G117" s="120" t="n"/>
      <c r="I117" s="21" t="n"/>
      <c r="M117" s="22" t="n"/>
      <c r="N117" s="120" t="n"/>
      <c r="O117" s="21" t="n"/>
      <c r="S117" s="22" t="n"/>
      <c r="T117" s="120" t="n"/>
      <c r="U117" s="21" t="n"/>
      <c r="Y117" s="22" t="n"/>
      <c r="Z117" s="120" t="n"/>
      <c r="AB117" s="21" t="n"/>
      <c r="AF117" s="22" t="n"/>
      <c r="AG117" s="120" t="n"/>
      <c r="AH117" s="21" t="n"/>
      <c r="AL117" s="22" t="n"/>
      <c r="AM117" s="120" t="n"/>
      <c r="AN117" s="21" t="n"/>
      <c r="AR117" s="22" t="n"/>
      <c r="AS117" s="120" t="n"/>
    </row>
    <row r="118" hidden="1" outlineLevel="3">
      <c r="A118" s="8" t="n"/>
      <c r="B118" s="14" t="n"/>
      <c r="C118" s="120" t="n"/>
      <c r="D118" s="120" t="n"/>
      <c r="E118" s="120" t="n"/>
      <c r="F118" s="120" t="n"/>
      <c r="G118" s="120" t="n"/>
      <c r="I118" s="23" t="n"/>
      <c r="J118" s="24" t="n"/>
      <c r="K118" s="24" t="n"/>
      <c r="L118" s="24" t="n"/>
      <c r="M118" s="25" t="n"/>
      <c r="N118" s="120" t="n"/>
      <c r="O118" s="23" t="n"/>
      <c r="P118" s="24" t="n"/>
      <c r="Q118" s="24" t="n"/>
      <c r="R118" s="24" t="n"/>
      <c r="S118" s="25" t="n"/>
      <c r="T118" s="120" t="n"/>
      <c r="U118" s="23" t="n"/>
      <c r="V118" s="24" t="n"/>
      <c r="W118" s="24" t="n"/>
      <c r="X118" s="24" t="n"/>
      <c r="Y118" s="25" t="n"/>
      <c r="Z118" s="120" t="n"/>
      <c r="AB118" s="23" t="n"/>
      <c r="AC118" s="24" t="n"/>
      <c r="AD118" s="24" t="n"/>
      <c r="AE118" s="24" t="n"/>
      <c r="AF118" s="25" t="n"/>
      <c r="AG118" s="120" t="n"/>
      <c r="AH118" s="23" t="n"/>
      <c r="AI118" s="24" t="n"/>
      <c r="AJ118" s="24" t="n"/>
      <c r="AK118" s="24" t="n"/>
      <c r="AL118" s="25" t="n"/>
      <c r="AM118" s="120" t="n"/>
      <c r="AN118" s="23" t="n"/>
      <c r="AO118" s="24" t="n"/>
      <c r="AP118" s="24" t="n"/>
      <c r="AQ118" s="24" t="n"/>
      <c r="AR118" s="25" t="n"/>
      <c r="AS118" s="120" t="n"/>
    </row>
    <row r="119" hidden="1" outlineLevel="2">
      <c r="A119" s="8" t="n"/>
      <c r="B119" s="14" t="n"/>
      <c r="C119" s="120" t="n"/>
      <c r="D119" s="120" t="n"/>
      <c r="E119" s="120" t="n"/>
      <c r="F119" s="120" t="n"/>
      <c r="G119" s="120" t="n"/>
      <c r="I119" s="124" t="inlineStr">
        <is>
          <t>Projétil</t>
        </is>
      </c>
      <c r="J119" s="17" t="n"/>
      <c r="K119" s="68">
        <f>DADOS_INVOC!$PR$8</f>
        <v/>
      </c>
      <c r="L119" s="17" t="n"/>
      <c r="M119" s="68">
        <f>DADOS_INVOC!$PN$8</f>
        <v/>
      </c>
      <c r="N119" s="120" t="n"/>
      <c r="O119" s="124" t="inlineStr">
        <is>
          <t>Projétil</t>
        </is>
      </c>
      <c r="P119" s="17" t="n"/>
      <c r="Q119" s="68">
        <f>DADOS_INVOC!$PR$9</f>
        <v/>
      </c>
      <c r="R119" s="17" t="n"/>
      <c r="S119" s="68">
        <f>DADOS_INVOC!$PN$9</f>
        <v/>
      </c>
      <c r="T119" s="120" t="n"/>
      <c r="U119" s="124" t="inlineStr">
        <is>
          <t>Projétil</t>
        </is>
      </c>
      <c r="V119" s="17" t="n"/>
      <c r="W119" s="68">
        <f>DADOS_INVOC!$PR$10</f>
        <v/>
      </c>
      <c r="X119" s="17" t="n"/>
      <c r="Y119" s="68">
        <f>DADOS_INVOC!$PN$10</f>
        <v/>
      </c>
      <c r="Z119" s="120" t="n"/>
      <c r="AB119" s="124" t="inlineStr">
        <is>
          <t>Projétil</t>
        </is>
      </c>
      <c r="AC119" s="17" t="n"/>
      <c r="AD119" s="68">
        <f>DADOS_INVOC!$PR$86</f>
        <v/>
      </c>
      <c r="AE119" s="17" t="n"/>
      <c r="AF119" s="68">
        <f>DADOS_INVOC!$PN$86</f>
        <v/>
      </c>
      <c r="AG119" s="120" t="n"/>
      <c r="AH119" s="124" t="inlineStr">
        <is>
          <t>Projétil</t>
        </is>
      </c>
      <c r="AI119" s="17" t="n"/>
      <c r="AJ119" s="68">
        <f>DADOS_INVOC!$PR$87</f>
        <v/>
      </c>
      <c r="AK119" s="17" t="n"/>
      <c r="AL119" s="68">
        <f>DADOS_INVOC!$PN$87</f>
        <v/>
      </c>
      <c r="AM119" s="120" t="n"/>
      <c r="AN119" s="124" t="inlineStr">
        <is>
          <t>Projétil</t>
        </is>
      </c>
      <c r="AO119" s="17" t="n"/>
      <c r="AP119" s="68">
        <f>DADOS_INVOC!$PR$88</f>
        <v/>
      </c>
      <c r="AQ119" s="17" t="n"/>
      <c r="AR119" s="68">
        <f>DADOS_INVOC!$PN$88</f>
        <v/>
      </c>
      <c r="AS119" s="120" t="n"/>
    </row>
    <row r="120" hidden="1" outlineLevel="2">
      <c r="A120" s="8" t="n"/>
      <c r="B120" s="14" t="n"/>
      <c r="C120" s="120" t="n"/>
      <c r="D120" s="120" t="n"/>
      <c r="E120" s="120" t="n"/>
      <c r="F120" s="120" t="n"/>
      <c r="G120" s="120" t="n"/>
      <c r="I120" s="124" t="n"/>
      <c r="J120" s="17" t="n"/>
      <c r="K120" s="124" t="n"/>
      <c r="L120" s="16" t="n"/>
      <c r="M120" s="17" t="n"/>
      <c r="N120" s="120" t="n"/>
      <c r="O120" s="124" t="n"/>
      <c r="P120" s="17" t="n"/>
      <c r="Q120" s="124" t="n"/>
      <c r="R120" s="16" t="n"/>
      <c r="S120" s="17" t="n"/>
      <c r="T120" s="120" t="n"/>
      <c r="U120" s="124" t="n"/>
      <c r="V120" s="17" t="n"/>
      <c r="W120" s="124" t="n"/>
      <c r="X120" s="16" t="n"/>
      <c r="Y120" s="17" t="n"/>
      <c r="Z120" s="120" t="n"/>
      <c r="AB120" s="124" t="n"/>
      <c r="AC120" s="17" t="n"/>
      <c r="AD120" s="124" t="n"/>
      <c r="AE120" s="16" t="n"/>
      <c r="AF120" s="17" t="n"/>
      <c r="AG120" s="120" t="n"/>
      <c r="AH120" s="124" t="n"/>
      <c r="AI120" s="17" t="n"/>
      <c r="AJ120" s="124" t="n"/>
      <c r="AK120" s="16" t="n"/>
      <c r="AL120" s="17" t="n"/>
      <c r="AM120" s="120" t="n"/>
      <c r="AN120" s="124" t="n"/>
      <c r="AO120" s="17" t="n"/>
      <c r="AP120" s="124" t="n"/>
      <c r="AQ120" s="16" t="n"/>
      <c r="AR120" s="17" t="n"/>
      <c r="AS120" s="120" t="n"/>
    </row>
    <row r="121" hidden="1" outlineLevel="2">
      <c r="A121" s="8" t="n"/>
      <c r="B121" s="14" t="n"/>
      <c r="C121" s="120" t="n"/>
      <c r="D121" s="120" t="n"/>
      <c r="E121" s="120" t="n"/>
      <c r="F121" s="120" t="n"/>
      <c r="G121" s="120" t="n"/>
      <c r="I121" s="124">
        <f>DADOS_INVOC!$PO$8</f>
        <v/>
      </c>
      <c r="J121" s="17" t="n"/>
      <c r="K121" s="124">
        <f>DADOS_INVOC!$PQ$8</f>
        <v/>
      </c>
      <c r="L121" s="16" t="n"/>
      <c r="M121" s="17" t="n"/>
      <c r="N121" s="120" t="n"/>
      <c r="O121" s="124">
        <f>DADOS_INVOC!$PO$9</f>
        <v/>
      </c>
      <c r="P121" s="17" t="n"/>
      <c r="Q121" s="124">
        <f>DADOS_INVOC!$PQ$9</f>
        <v/>
      </c>
      <c r="R121" s="16" t="n"/>
      <c r="S121" s="17" t="n"/>
      <c r="T121" s="120" t="n"/>
      <c r="U121" s="124">
        <f>DADOS_INVOC!$PO$10</f>
        <v/>
      </c>
      <c r="V121" s="17" t="n"/>
      <c r="W121" s="124">
        <f>DADOS_INVOC!$PQ$10</f>
        <v/>
      </c>
      <c r="X121" s="16" t="n"/>
      <c r="Y121" s="17" t="n"/>
      <c r="Z121" s="120" t="n"/>
      <c r="AB121" s="124">
        <f>DADOS_INVOC!$PO$86</f>
        <v/>
      </c>
      <c r="AC121" s="17" t="n"/>
      <c r="AD121" s="124">
        <f>DADOS_INVOC!$PQ$86</f>
        <v/>
      </c>
      <c r="AE121" s="16" t="n"/>
      <c r="AF121" s="17" t="n"/>
      <c r="AG121" s="120" t="n"/>
      <c r="AH121" s="124">
        <f>DADOS_INVOC!$PO$87</f>
        <v/>
      </c>
      <c r="AI121" s="17" t="n"/>
      <c r="AJ121" s="124">
        <f>DADOS_INVOC!$PQ$87</f>
        <v/>
      </c>
      <c r="AK121" s="16" t="n"/>
      <c r="AL121" s="17" t="n"/>
      <c r="AM121" s="120" t="n"/>
      <c r="AN121" s="124">
        <f>DADOS_INVOC!$PO$88</f>
        <v/>
      </c>
      <c r="AO121" s="17" t="n"/>
      <c r="AP121" s="124">
        <f>DADOS_INVOC!$PQ$88</f>
        <v/>
      </c>
      <c r="AQ121" s="16" t="n"/>
      <c r="AR121" s="17" t="n"/>
      <c r="AS121" s="120" t="n"/>
    </row>
    <row r="122" hidden="1" outlineLevel="2">
      <c r="A122" s="8" t="n"/>
      <c r="B122" s="14" t="n"/>
      <c r="C122" s="120" t="n"/>
      <c r="D122" s="120" t="n"/>
      <c r="E122" s="120" t="n"/>
      <c r="F122" s="120" t="n"/>
      <c r="G122" s="120" t="n"/>
      <c r="I122" s="129">
        <f>DADOS_INVOC!$PW$8</f>
        <v/>
      </c>
      <c r="J122" s="16" t="n"/>
      <c r="K122" s="16" t="n"/>
      <c r="L122" s="16" t="n"/>
      <c r="M122" s="17" t="n"/>
      <c r="N122" s="120" t="n"/>
      <c r="O122" s="129">
        <f>DADOS_INVOC!$PW$9</f>
        <v/>
      </c>
      <c r="P122" s="16" t="n"/>
      <c r="Q122" s="16" t="n"/>
      <c r="R122" s="16" t="n"/>
      <c r="S122" s="17" t="n"/>
      <c r="T122" s="120" t="n"/>
      <c r="U122" s="129">
        <f>DADOS_INVOC!$PW$10</f>
        <v/>
      </c>
      <c r="V122" s="16" t="n"/>
      <c r="W122" s="16" t="n"/>
      <c r="X122" s="16" t="n"/>
      <c r="Y122" s="17" t="n"/>
      <c r="Z122" s="120" t="n"/>
      <c r="AB122" s="129">
        <f>DADOS_INVOC!$PW$86</f>
        <v/>
      </c>
      <c r="AC122" s="16" t="n"/>
      <c r="AD122" s="16" t="n"/>
      <c r="AE122" s="16" t="n"/>
      <c r="AF122" s="17" t="n"/>
      <c r="AG122" s="120" t="n"/>
      <c r="AH122" s="129">
        <f>DADOS_INVOC!$PW$87</f>
        <v/>
      </c>
      <c r="AI122" s="16" t="n"/>
      <c r="AJ122" s="16" t="n"/>
      <c r="AK122" s="16" t="n"/>
      <c r="AL122" s="17" t="n"/>
      <c r="AM122" s="120" t="n"/>
      <c r="AN122" s="129">
        <f>DADOS_INVOC!$PW$88</f>
        <v/>
      </c>
      <c r="AO122" s="16" t="n"/>
      <c r="AP122" s="16" t="n"/>
      <c r="AQ122" s="16" t="n"/>
      <c r="AR122" s="17" t="n"/>
      <c r="AS122" s="120" t="n"/>
    </row>
    <row r="123" hidden="1" outlineLevel="3">
      <c r="A123" s="8" t="n"/>
      <c r="B123" s="14" t="n"/>
      <c r="C123" s="120" t="n"/>
      <c r="D123" s="120" t="n"/>
      <c r="E123" s="120" t="n"/>
      <c r="F123" s="120" t="n"/>
      <c r="G123" s="120" t="n"/>
      <c r="I123" s="55" t="inlineStr">
        <is>
          <t>MELHORIAS</t>
        </is>
      </c>
      <c r="J123" s="130" t="n"/>
      <c r="K123" s="16" t="n"/>
      <c r="L123" s="17" t="n"/>
      <c r="M123" s="129">
        <f>DADOS_INVOC!$PZ$8</f>
        <v/>
      </c>
      <c r="N123" s="120" t="n"/>
      <c r="O123" s="55" t="inlineStr">
        <is>
          <t>MELHORIAS</t>
        </is>
      </c>
      <c r="P123" s="130" t="n"/>
      <c r="Q123" s="16" t="n"/>
      <c r="R123" s="17" t="n"/>
      <c r="S123" s="129">
        <f>DADOS_INVOC!$PZ$9</f>
        <v/>
      </c>
      <c r="T123" s="120" t="n"/>
      <c r="U123" s="55" t="inlineStr">
        <is>
          <t>MELHORIAS</t>
        </is>
      </c>
      <c r="V123" s="130" t="n"/>
      <c r="W123" s="16" t="n"/>
      <c r="X123" s="17" t="n"/>
      <c r="Y123" s="129">
        <f>DADOS_INVOC!$PZ$10</f>
        <v/>
      </c>
      <c r="Z123" s="120" t="n"/>
      <c r="AB123" s="55" t="inlineStr">
        <is>
          <t>MELHORIAS</t>
        </is>
      </c>
      <c r="AC123" s="130" t="n"/>
      <c r="AD123" s="16" t="n"/>
      <c r="AE123" s="17" t="n"/>
      <c r="AF123" s="129">
        <f>DADOS_INVOC!$PZ$86</f>
        <v/>
      </c>
      <c r="AG123" s="120" t="n"/>
      <c r="AH123" s="55" t="inlineStr">
        <is>
          <t>MELHORIAS</t>
        </is>
      </c>
      <c r="AI123" s="130" t="n"/>
      <c r="AJ123" s="16" t="n"/>
      <c r="AK123" s="17" t="n"/>
      <c r="AL123" s="129">
        <f>DADOS_INVOC!$PZ$87</f>
        <v/>
      </c>
      <c r="AM123" s="120" t="n"/>
      <c r="AN123" s="55" t="inlineStr">
        <is>
          <t>MELHORIAS</t>
        </is>
      </c>
      <c r="AO123" s="130" t="n"/>
      <c r="AP123" s="16" t="n"/>
      <c r="AQ123" s="17" t="n"/>
      <c r="AR123" s="129">
        <f>DADOS_INVOC!$PZ$88</f>
        <v/>
      </c>
      <c r="AS123" s="120" t="n"/>
    </row>
    <row r="124" hidden="1" outlineLevel="3">
      <c r="A124" s="8" t="n"/>
      <c r="B124" s="14" t="n"/>
      <c r="C124" s="120" t="n"/>
      <c r="D124" s="120" t="n"/>
      <c r="E124" s="120" t="n"/>
      <c r="F124" s="120" t="n"/>
      <c r="G124" s="120" t="n"/>
      <c r="I124" s="131" t="n"/>
      <c r="J124" s="130" t="n"/>
      <c r="K124" s="16" t="n"/>
      <c r="L124" s="17" t="n"/>
      <c r="M124" s="129">
        <f>DADOS_INVOC!$QA$8</f>
        <v/>
      </c>
      <c r="N124" s="120" t="n"/>
      <c r="O124" s="131" t="n"/>
      <c r="P124" s="130" t="n"/>
      <c r="Q124" s="16" t="n"/>
      <c r="R124" s="17" t="n"/>
      <c r="S124" s="129">
        <f>DADOS_INVOC!$QA$9</f>
        <v/>
      </c>
      <c r="T124" s="120" t="n"/>
      <c r="U124" s="131" t="n"/>
      <c r="V124" s="130" t="n"/>
      <c r="W124" s="16" t="n"/>
      <c r="X124" s="17" t="n"/>
      <c r="Y124" s="129">
        <f>DADOS_INVOC!$QA$10</f>
        <v/>
      </c>
      <c r="Z124" s="120" t="n"/>
      <c r="AB124" s="131" t="n"/>
      <c r="AC124" s="130" t="n"/>
      <c r="AD124" s="16" t="n"/>
      <c r="AE124" s="17" t="n"/>
      <c r="AF124" s="129">
        <f>DADOS_INVOC!$QA$86</f>
        <v/>
      </c>
      <c r="AG124" s="120" t="n"/>
      <c r="AH124" s="131" t="n"/>
      <c r="AI124" s="130" t="n"/>
      <c r="AJ124" s="16" t="n"/>
      <c r="AK124" s="17" t="n"/>
      <c r="AL124" s="129">
        <f>DADOS_INVOC!$QA$87</f>
        <v/>
      </c>
      <c r="AM124" s="120" t="n"/>
      <c r="AN124" s="131" t="n"/>
      <c r="AO124" s="130" t="n"/>
      <c r="AP124" s="16" t="n"/>
      <c r="AQ124" s="17" t="n"/>
      <c r="AR124" s="129">
        <f>DADOS_INVOC!$QA$88</f>
        <v/>
      </c>
      <c r="AS124" s="120" t="n"/>
    </row>
    <row r="125" hidden="1" outlineLevel="3">
      <c r="A125" s="8" t="n"/>
      <c r="B125" s="14" t="n"/>
      <c r="C125" s="120" t="n"/>
      <c r="D125" s="120" t="n"/>
      <c r="E125" s="120" t="n"/>
      <c r="F125" s="120" t="n"/>
      <c r="G125" s="120" t="n"/>
      <c r="I125" s="131" t="n"/>
      <c r="J125" s="130" t="n"/>
      <c r="K125" s="16" t="n"/>
      <c r="L125" s="17" t="n"/>
      <c r="M125" s="129">
        <f>DADOS_INVOC!$QB$8</f>
        <v/>
      </c>
      <c r="N125" s="120" t="n"/>
      <c r="O125" s="131" t="n"/>
      <c r="P125" s="130" t="n"/>
      <c r="Q125" s="16" t="n"/>
      <c r="R125" s="17" t="n"/>
      <c r="S125" s="129">
        <f>DADOS_INVOC!$QB$9</f>
        <v/>
      </c>
      <c r="T125" s="120" t="n"/>
      <c r="U125" s="131" t="n"/>
      <c r="V125" s="130" t="n"/>
      <c r="W125" s="16" t="n"/>
      <c r="X125" s="17" t="n"/>
      <c r="Y125" s="129">
        <f>DADOS_INVOC!$QB$10</f>
        <v/>
      </c>
      <c r="Z125" s="120" t="n"/>
      <c r="AB125" s="131" t="n"/>
      <c r="AC125" s="130" t="n"/>
      <c r="AD125" s="16" t="n"/>
      <c r="AE125" s="17" t="n"/>
      <c r="AF125" s="129">
        <f>DADOS_INVOC!$QB$86</f>
        <v/>
      </c>
      <c r="AG125" s="120" t="n"/>
      <c r="AH125" s="131" t="n"/>
      <c r="AI125" s="130" t="n"/>
      <c r="AJ125" s="16" t="n"/>
      <c r="AK125" s="17" t="n"/>
      <c r="AL125" s="129">
        <f>DADOS_INVOC!$QB$87</f>
        <v/>
      </c>
      <c r="AM125" s="120" t="n"/>
      <c r="AN125" s="131" t="n"/>
      <c r="AO125" s="130" t="n"/>
      <c r="AP125" s="16" t="n"/>
      <c r="AQ125" s="17" t="n"/>
      <c r="AR125" s="129">
        <f>DADOS_INVOC!$QB$88</f>
        <v/>
      </c>
      <c r="AS125" s="120" t="n"/>
    </row>
    <row r="126" hidden="1" outlineLevel="3">
      <c r="A126" s="8" t="n"/>
      <c r="B126" s="14" t="n"/>
      <c r="C126" s="120" t="n"/>
      <c r="D126" s="120" t="n"/>
      <c r="E126" s="120" t="n"/>
      <c r="F126" s="120" t="n"/>
      <c r="G126" s="120" t="n"/>
      <c r="I126" s="125" t="n"/>
      <c r="J126" s="130" t="n"/>
      <c r="K126" s="16" t="n"/>
      <c r="L126" s="17" t="n"/>
      <c r="M126" s="129">
        <f>DADOS_INVOC!$QC$8</f>
        <v/>
      </c>
      <c r="N126" s="120" t="n"/>
      <c r="O126" s="125" t="n"/>
      <c r="P126" s="130" t="n"/>
      <c r="Q126" s="16" t="n"/>
      <c r="R126" s="17" t="n"/>
      <c r="S126" s="129">
        <f>DADOS_INVOC!$QC$9</f>
        <v/>
      </c>
      <c r="T126" s="120" t="n"/>
      <c r="U126" s="125" t="n"/>
      <c r="V126" s="130" t="n"/>
      <c r="W126" s="16" t="n"/>
      <c r="X126" s="17" t="n"/>
      <c r="Y126" s="129">
        <f>DADOS_INVOC!$QC$10</f>
        <v/>
      </c>
      <c r="Z126" s="120" t="n"/>
      <c r="AB126" s="125" t="n"/>
      <c r="AC126" s="130" t="n"/>
      <c r="AD126" s="16" t="n"/>
      <c r="AE126" s="17" t="n"/>
      <c r="AF126" s="129">
        <f>DADOS_INVOC!$QC$86</f>
        <v/>
      </c>
      <c r="AG126" s="120" t="n"/>
      <c r="AH126" s="125" t="n"/>
      <c r="AI126" s="130" t="n"/>
      <c r="AJ126" s="16" t="n"/>
      <c r="AK126" s="17" t="n"/>
      <c r="AL126" s="129">
        <f>DADOS_INVOC!$QC$87</f>
        <v/>
      </c>
      <c r="AM126" s="120" t="n"/>
      <c r="AN126" s="125" t="n"/>
      <c r="AO126" s="130" t="n"/>
      <c r="AP126" s="16" t="n"/>
      <c r="AQ126" s="17" t="n"/>
      <c r="AR126" s="129">
        <f>DADOS_INVOC!$QC$88</f>
        <v/>
      </c>
      <c r="AS126" s="120" t="n"/>
    </row>
    <row r="127" hidden="1" outlineLevel="3">
      <c r="A127" s="8" t="n"/>
      <c r="B127" s="14" t="n"/>
      <c r="C127" s="120" t="n"/>
      <c r="D127" s="120" t="n"/>
      <c r="E127" s="120" t="n"/>
      <c r="F127" s="120" t="n"/>
      <c r="G127" s="120" t="n"/>
      <c r="I127" s="55" t="inlineStr">
        <is>
          <t>RESTRIÇÕES</t>
        </is>
      </c>
      <c r="J127" s="130" t="n"/>
      <c r="K127" s="16" t="n"/>
      <c r="L127" s="17" t="n"/>
      <c r="M127" s="129">
        <f>DADOS_INVOC!$QD$8</f>
        <v/>
      </c>
      <c r="N127" s="120" t="n"/>
      <c r="O127" s="55" t="inlineStr">
        <is>
          <t>RESTRIÇÕES</t>
        </is>
      </c>
      <c r="P127" s="130" t="n"/>
      <c r="Q127" s="16" t="n"/>
      <c r="R127" s="17" t="n"/>
      <c r="S127" s="129">
        <f>DADOS_INVOC!$QD$9</f>
        <v/>
      </c>
      <c r="T127" s="120" t="n"/>
      <c r="U127" s="55" t="inlineStr">
        <is>
          <t>RESTRIÇÕES</t>
        </is>
      </c>
      <c r="V127" s="130" t="n"/>
      <c r="W127" s="16" t="n"/>
      <c r="X127" s="17" t="n"/>
      <c r="Y127" s="129">
        <f>DADOS_INVOC!$QD$10</f>
        <v/>
      </c>
      <c r="Z127" s="120" t="n"/>
      <c r="AB127" s="55" t="inlineStr">
        <is>
          <t>RESTRIÇÕES</t>
        </is>
      </c>
      <c r="AC127" s="130" t="n"/>
      <c r="AD127" s="16" t="n"/>
      <c r="AE127" s="17" t="n"/>
      <c r="AF127" s="129">
        <f>DADOS_INVOC!$QD$86</f>
        <v/>
      </c>
      <c r="AG127" s="120" t="n"/>
      <c r="AH127" s="55" t="inlineStr">
        <is>
          <t>RESTRIÇÕES</t>
        </is>
      </c>
      <c r="AI127" s="130" t="n"/>
      <c r="AJ127" s="16" t="n"/>
      <c r="AK127" s="17" t="n"/>
      <c r="AL127" s="129">
        <f>DADOS_INVOC!$QD$87</f>
        <v/>
      </c>
      <c r="AM127" s="120" t="n"/>
      <c r="AN127" s="55" t="inlineStr">
        <is>
          <t>RESTRIÇÕES</t>
        </is>
      </c>
      <c r="AO127" s="130" t="n"/>
      <c r="AP127" s="16" t="n"/>
      <c r="AQ127" s="17" t="n"/>
      <c r="AR127" s="129">
        <f>DADOS_INVOC!$QD$88</f>
        <v/>
      </c>
      <c r="AS127" s="120" t="n"/>
    </row>
    <row r="128" hidden="1" outlineLevel="3">
      <c r="A128" s="8" t="n"/>
      <c r="B128" s="14" t="n"/>
      <c r="C128" s="120" t="n"/>
      <c r="D128" s="120" t="n"/>
      <c r="E128" s="120" t="n"/>
      <c r="F128" s="120" t="n"/>
      <c r="G128" s="120" t="n"/>
      <c r="I128" s="125" t="n"/>
      <c r="J128" s="130" t="n"/>
      <c r="K128" s="16" t="n"/>
      <c r="L128" s="17" t="n"/>
      <c r="M128" s="129">
        <f>DADOS_INVOC!$QE$8</f>
        <v/>
      </c>
      <c r="N128" s="120" t="n"/>
      <c r="O128" s="125" t="n"/>
      <c r="P128" s="130" t="n"/>
      <c r="Q128" s="16" t="n"/>
      <c r="R128" s="17" t="n"/>
      <c r="S128" s="129">
        <f>DADOS_INVOC!$QE$9</f>
        <v/>
      </c>
      <c r="T128" s="120" t="n"/>
      <c r="U128" s="125" t="n"/>
      <c r="V128" s="130" t="n"/>
      <c r="W128" s="16" t="n"/>
      <c r="X128" s="17" t="n"/>
      <c r="Y128" s="129">
        <f>DADOS_INVOC!$QE$10</f>
        <v/>
      </c>
      <c r="Z128" s="120" t="n"/>
      <c r="AB128" s="125" t="n"/>
      <c r="AC128" s="130" t="n"/>
      <c r="AD128" s="16" t="n"/>
      <c r="AE128" s="17" t="n"/>
      <c r="AF128" s="129">
        <f>DADOS_INVOC!$QE$86</f>
        <v/>
      </c>
      <c r="AG128" s="120" t="n"/>
      <c r="AH128" s="125" t="n"/>
      <c r="AI128" s="130" t="n"/>
      <c r="AJ128" s="16" t="n"/>
      <c r="AK128" s="17" t="n"/>
      <c r="AL128" s="129">
        <f>DADOS_INVOC!$QE$87</f>
        <v/>
      </c>
      <c r="AM128" s="120" t="n"/>
      <c r="AN128" s="125" t="n"/>
      <c r="AO128" s="130" t="n"/>
      <c r="AP128" s="16" t="n"/>
      <c r="AQ128" s="17" t="n"/>
      <c r="AR128" s="129">
        <f>DADOS_INVOC!$QE$88</f>
        <v/>
      </c>
      <c r="AS128" s="120" t="n"/>
    </row>
    <row r="129" hidden="1" outlineLevel="3">
      <c r="A129" s="8" t="n"/>
      <c r="B129" s="14" t="n"/>
      <c r="C129" s="120" t="n"/>
      <c r="D129" s="120" t="n"/>
      <c r="E129" s="120" t="n"/>
      <c r="F129" s="120" t="n"/>
      <c r="G129" s="120" t="n"/>
      <c r="I129" s="55" t="inlineStr">
        <is>
          <t>CONTA</t>
        </is>
      </c>
      <c r="J129" s="132">
        <f>DADOS_INVOC!$PX$8</f>
        <v/>
      </c>
      <c r="K129" s="16" t="n"/>
      <c r="L129" s="16" t="n"/>
      <c r="M129" s="17" t="n"/>
      <c r="N129" s="120" t="n"/>
      <c r="O129" s="55" t="inlineStr">
        <is>
          <t>CONTA</t>
        </is>
      </c>
      <c r="P129" s="132">
        <f>DADOS_INVOC!$PX$9</f>
        <v/>
      </c>
      <c r="Q129" s="16" t="n"/>
      <c r="R129" s="16" t="n"/>
      <c r="S129" s="17" t="n"/>
      <c r="T129" s="120" t="n"/>
      <c r="U129" s="55" t="inlineStr">
        <is>
          <t>CONTA</t>
        </is>
      </c>
      <c r="V129" s="132">
        <f>DADOS_INVOC!$PX$10</f>
        <v/>
      </c>
      <c r="W129" s="16" t="n"/>
      <c r="X129" s="16" t="n"/>
      <c r="Y129" s="17" t="n"/>
      <c r="Z129" s="120" t="n"/>
      <c r="AB129" s="55" t="inlineStr">
        <is>
          <t>CONTA</t>
        </is>
      </c>
      <c r="AC129" s="132">
        <f>DADOS_INVOC!$PX$86</f>
        <v/>
      </c>
      <c r="AD129" s="16" t="n"/>
      <c r="AE129" s="16" t="n"/>
      <c r="AF129" s="17" t="n"/>
      <c r="AG129" s="120" t="n"/>
      <c r="AH129" s="55" t="inlineStr">
        <is>
          <t>CONTA</t>
        </is>
      </c>
      <c r="AI129" s="132">
        <f>DADOS_INVOC!$PX$87</f>
        <v/>
      </c>
      <c r="AJ129" s="16" t="n"/>
      <c r="AK129" s="16" t="n"/>
      <c r="AL129" s="17" t="n"/>
      <c r="AM129" s="120" t="n"/>
      <c r="AN129" s="55" t="inlineStr">
        <is>
          <t>CONTA</t>
        </is>
      </c>
      <c r="AO129" s="132">
        <f>DADOS_INVOC!$PX$88</f>
        <v/>
      </c>
      <c r="AP129" s="16" t="n"/>
      <c r="AQ129" s="16" t="n"/>
      <c r="AR129" s="17" t="n"/>
      <c r="AS129" s="120" t="n"/>
    </row>
    <row r="130" hidden="1" outlineLevel="3">
      <c r="A130" s="8" t="n"/>
      <c r="B130" s="14" t="n"/>
      <c r="C130" s="120" t="n"/>
      <c r="D130" s="120" t="n"/>
      <c r="E130" s="120" t="n"/>
      <c r="F130" s="120" t="n"/>
      <c r="G130" s="120" t="n"/>
      <c r="I130" s="55" t="inlineStr">
        <is>
          <t>AMPLIAR</t>
        </is>
      </c>
      <c r="J130" s="132">
        <f>DADOS_INVOC!$PY$8</f>
        <v/>
      </c>
      <c r="K130" s="19" t="n"/>
      <c r="L130" s="19" t="n"/>
      <c r="M130" s="20" t="n"/>
      <c r="N130" s="120" t="n"/>
      <c r="O130" s="55" t="inlineStr">
        <is>
          <t>AMPLIAR</t>
        </is>
      </c>
      <c r="P130" s="132">
        <f>DADOS_INVOC!$PY$9</f>
        <v/>
      </c>
      <c r="Q130" s="19" t="n"/>
      <c r="R130" s="19" t="n"/>
      <c r="S130" s="20" t="n"/>
      <c r="T130" s="120" t="n"/>
      <c r="U130" s="55" t="inlineStr">
        <is>
          <t>AMPLIAR</t>
        </is>
      </c>
      <c r="V130" s="132">
        <f>DADOS_INVOC!$PY$10</f>
        <v/>
      </c>
      <c r="W130" s="19" t="n"/>
      <c r="X130" s="19" t="n"/>
      <c r="Y130" s="20" t="n"/>
      <c r="Z130" s="120" t="n"/>
      <c r="AB130" s="55" t="inlineStr">
        <is>
          <t>AMPLIAR</t>
        </is>
      </c>
      <c r="AC130" s="132">
        <f>DADOS_INVOC!$PY$86</f>
        <v/>
      </c>
      <c r="AD130" s="19" t="n"/>
      <c r="AE130" s="19" t="n"/>
      <c r="AF130" s="20" t="n"/>
      <c r="AG130" s="120" t="n"/>
      <c r="AH130" s="55" t="inlineStr">
        <is>
          <t>AMPLIAR</t>
        </is>
      </c>
      <c r="AI130" s="132">
        <f>DADOS_INVOC!$PY$87</f>
        <v/>
      </c>
      <c r="AJ130" s="19" t="n"/>
      <c r="AK130" s="19" t="n"/>
      <c r="AL130" s="20" t="n"/>
      <c r="AM130" s="120" t="n"/>
      <c r="AN130" s="55" t="inlineStr">
        <is>
          <t>AMPLIAR</t>
        </is>
      </c>
      <c r="AO130" s="132">
        <f>DADOS_INVOC!$PY$88</f>
        <v/>
      </c>
      <c r="AP130" s="19" t="n"/>
      <c r="AQ130" s="19" t="n"/>
      <c r="AR130" s="20" t="n"/>
      <c r="AS130" s="120" t="n"/>
    </row>
    <row r="131" hidden="1" outlineLevel="3">
      <c r="A131" s="8" t="n"/>
      <c r="B131" s="14" t="n"/>
      <c r="C131" s="120" t="n"/>
      <c r="D131" s="120" t="n"/>
      <c r="E131" s="120" t="n"/>
      <c r="F131" s="120" t="n"/>
      <c r="G131" s="120" t="n"/>
      <c r="I131" s="125" t="n"/>
      <c r="J131" s="23" t="n"/>
      <c r="K131" s="24" t="n"/>
      <c r="L131" s="24" t="n"/>
      <c r="M131" s="25" t="n"/>
      <c r="N131" s="120" t="n"/>
      <c r="O131" s="125" t="n"/>
      <c r="P131" s="23" t="n"/>
      <c r="Q131" s="24" t="n"/>
      <c r="R131" s="24" t="n"/>
      <c r="S131" s="25" t="n"/>
      <c r="T131" s="120" t="n"/>
      <c r="U131" s="125" t="n"/>
      <c r="V131" s="23" t="n"/>
      <c r="W131" s="24" t="n"/>
      <c r="X131" s="24" t="n"/>
      <c r="Y131" s="25" t="n"/>
      <c r="Z131" s="120" t="n"/>
      <c r="AB131" s="125" t="n"/>
      <c r="AC131" s="23" t="n"/>
      <c r="AD131" s="24" t="n"/>
      <c r="AE131" s="24" t="n"/>
      <c r="AF131" s="25" t="n"/>
      <c r="AG131" s="120" t="n"/>
      <c r="AH131" s="125" t="n"/>
      <c r="AI131" s="23" t="n"/>
      <c r="AJ131" s="24" t="n"/>
      <c r="AK131" s="24" t="n"/>
      <c r="AL131" s="25" t="n"/>
      <c r="AM131" s="120" t="n"/>
      <c r="AN131" s="125" t="n"/>
      <c r="AO131" s="23" t="n"/>
      <c r="AP131" s="24" t="n"/>
      <c r="AQ131" s="24" t="n"/>
      <c r="AR131" s="25" t="n"/>
      <c r="AS131" s="120" t="n"/>
    </row>
    <row r="132" hidden="1" outlineLevel="3">
      <c r="A132" s="8" t="n"/>
      <c r="B132" s="14" t="n"/>
      <c r="C132" s="120" t="n"/>
      <c r="D132" s="120" t="n"/>
      <c r="E132" s="120" t="n"/>
      <c r="F132" s="120" t="n"/>
      <c r="G132" s="120" t="n"/>
      <c r="I132" s="132">
        <f>DADOS_INVOC!$PL$8</f>
        <v/>
      </c>
      <c r="J132" s="19" t="n"/>
      <c r="K132" s="19" t="n"/>
      <c r="L132" s="19" t="n"/>
      <c r="M132" s="20" t="n"/>
      <c r="N132" s="120" t="n"/>
      <c r="O132" s="132">
        <f>DADOS_INVOC!$PL$9</f>
        <v/>
      </c>
      <c r="P132" s="19" t="n"/>
      <c r="Q132" s="19" t="n"/>
      <c r="R132" s="19" t="n"/>
      <c r="S132" s="20" t="n"/>
      <c r="T132" s="120" t="n"/>
      <c r="U132" s="132">
        <f>DADOS_INVOC!$PL$10</f>
        <v/>
      </c>
      <c r="V132" s="19" t="n"/>
      <c r="W132" s="19" t="n"/>
      <c r="X132" s="19" t="n"/>
      <c r="Y132" s="20" t="n"/>
      <c r="Z132" s="120" t="n"/>
      <c r="AB132" s="132">
        <f>DADOS_INVOC!$PL$86</f>
        <v/>
      </c>
      <c r="AC132" s="19" t="n"/>
      <c r="AD132" s="19" t="n"/>
      <c r="AE132" s="19" t="n"/>
      <c r="AF132" s="20" t="n"/>
      <c r="AG132" s="120" t="n"/>
      <c r="AH132" s="132">
        <f>DADOS_INVOC!$PL$87</f>
        <v/>
      </c>
      <c r="AI132" s="19" t="n"/>
      <c r="AJ132" s="19" t="n"/>
      <c r="AK132" s="19" t="n"/>
      <c r="AL132" s="20" t="n"/>
      <c r="AM132" s="120" t="n"/>
      <c r="AN132" s="132">
        <f>DADOS_INVOC!$PL$88</f>
        <v/>
      </c>
      <c r="AO132" s="19" t="n"/>
      <c r="AP132" s="19" t="n"/>
      <c r="AQ132" s="19" t="n"/>
      <c r="AR132" s="20" t="n"/>
      <c r="AS132" s="120" t="n"/>
    </row>
    <row r="133" hidden="1" outlineLevel="3">
      <c r="A133" s="8" t="n"/>
      <c r="B133" s="14" t="n"/>
      <c r="C133" s="120" t="n"/>
      <c r="D133" s="120" t="n"/>
      <c r="E133" s="120" t="n"/>
      <c r="F133" s="120" t="n"/>
      <c r="G133" s="120" t="n"/>
      <c r="I133" s="23" t="n"/>
      <c r="J133" s="24" t="n"/>
      <c r="K133" s="24" t="n"/>
      <c r="L133" s="24" t="n"/>
      <c r="M133" s="25" t="n"/>
      <c r="N133" s="120" t="n"/>
      <c r="O133" s="23" t="n"/>
      <c r="P133" s="24" t="n"/>
      <c r="Q133" s="24" t="n"/>
      <c r="R133" s="24" t="n"/>
      <c r="S133" s="25" t="n"/>
      <c r="T133" s="120" t="n"/>
      <c r="U133" s="23" t="n"/>
      <c r="V133" s="24" t="n"/>
      <c r="W133" s="24" t="n"/>
      <c r="X133" s="24" t="n"/>
      <c r="Y133" s="25" t="n"/>
      <c r="Z133" s="120" t="n"/>
      <c r="AB133" s="23" t="n"/>
      <c r="AC133" s="24" t="n"/>
      <c r="AD133" s="24" t="n"/>
      <c r="AE133" s="24" t="n"/>
      <c r="AF133" s="25" t="n"/>
      <c r="AG133" s="120" t="n"/>
      <c r="AH133" s="23" t="n"/>
      <c r="AI133" s="24" t="n"/>
      <c r="AJ133" s="24" t="n"/>
      <c r="AK133" s="24" t="n"/>
      <c r="AL133" s="25" t="n"/>
      <c r="AM133" s="120" t="n"/>
      <c r="AN133" s="23" t="n"/>
      <c r="AO133" s="24" t="n"/>
      <c r="AP133" s="24" t="n"/>
      <c r="AQ133" s="24" t="n"/>
      <c r="AR133" s="25" t="n"/>
      <c r="AS133" s="120" t="n"/>
    </row>
    <row r="134" hidden="1" outlineLevel="2">
      <c r="A134" s="8" t="n"/>
      <c r="B134" s="14" t="n"/>
      <c r="C134" s="120" t="n"/>
      <c r="D134" s="120" t="n"/>
      <c r="E134" s="120" t="n"/>
      <c r="F134" s="120" t="n"/>
      <c r="G134" s="120" t="n"/>
      <c r="I134" s="120" t="n"/>
      <c r="J134" s="120" t="n"/>
      <c r="K134" s="120" t="n"/>
      <c r="L134" s="120" t="n"/>
      <c r="M134" s="120" t="n"/>
      <c r="N134" s="120" t="n"/>
      <c r="O134" s="120" t="n"/>
      <c r="P134" s="120" t="n"/>
      <c r="Q134" s="120" t="n"/>
      <c r="R134" s="120" t="n"/>
      <c r="S134" s="120" t="n"/>
      <c r="T134" s="120" t="n"/>
      <c r="U134" s="120" t="n"/>
      <c r="V134" s="120" t="n"/>
      <c r="W134" s="120" t="n"/>
      <c r="X134" s="120" t="n"/>
      <c r="Y134" s="120" t="n"/>
      <c r="Z134" s="120" t="n"/>
      <c r="AB134" s="120" t="n"/>
      <c r="AC134" s="120" t="n"/>
      <c r="AD134" s="120" t="n"/>
      <c r="AE134" s="120" t="n"/>
      <c r="AF134" s="120" t="n"/>
      <c r="AG134" s="120" t="n"/>
      <c r="AH134" s="120" t="n"/>
      <c r="AI134" s="120" t="n"/>
      <c r="AJ134" s="120" t="n"/>
      <c r="AK134" s="120" t="n"/>
      <c r="AL134" s="120" t="n"/>
      <c r="AM134" s="120" t="n"/>
      <c r="AN134" s="120" t="n"/>
      <c r="AO134" s="120" t="n"/>
      <c r="AP134" s="120" t="n"/>
      <c r="AQ134" s="120" t="n"/>
      <c r="AR134" s="120" t="n"/>
      <c r="AS134" s="120" t="n"/>
    </row>
    <row r="135" hidden="1" outlineLevel="2">
      <c r="A135" s="8" t="n"/>
      <c r="B135" s="14" t="n"/>
      <c r="C135" s="120" t="n"/>
      <c r="D135" s="120" t="n"/>
      <c r="E135" s="120" t="n"/>
      <c r="F135" s="120" t="n"/>
      <c r="G135" s="120" t="n"/>
      <c r="I135" s="55">
        <f>DADOS_INVOC!$PM$11</f>
        <v/>
      </c>
      <c r="J135" s="16" t="n"/>
      <c r="K135" s="16" t="n"/>
      <c r="L135" s="16" t="n"/>
      <c r="M135" s="17" t="n"/>
      <c r="N135" s="120" t="n"/>
      <c r="O135" s="120" t="n"/>
      <c r="P135" s="120" t="n"/>
      <c r="Q135" s="120" t="n"/>
      <c r="R135" s="120" t="n"/>
      <c r="S135" s="120" t="n"/>
      <c r="T135" s="120" t="n"/>
      <c r="U135" s="120" t="n"/>
      <c r="V135" s="120" t="n"/>
      <c r="W135" s="120" t="n"/>
      <c r="X135" s="120" t="n"/>
      <c r="Y135" s="120" t="n"/>
      <c r="Z135" s="120" t="n"/>
      <c r="AB135" s="55">
        <f>DADOS_INVOC!$PM$89</f>
        <v/>
      </c>
      <c r="AC135" s="16" t="n"/>
      <c r="AD135" s="16" t="n"/>
      <c r="AE135" s="16" t="n"/>
      <c r="AF135" s="17" t="n"/>
      <c r="AG135" s="120" t="n"/>
      <c r="AH135" s="120" t="n"/>
      <c r="AI135" s="120" t="n"/>
      <c r="AJ135" s="120" t="n"/>
      <c r="AK135" s="120" t="n"/>
      <c r="AL135" s="120" t="n"/>
      <c r="AM135" s="120" t="n"/>
      <c r="AN135" s="120" t="n"/>
      <c r="AO135" s="120" t="n"/>
      <c r="AP135" s="120" t="n"/>
      <c r="AQ135" s="120" t="n"/>
      <c r="AR135" s="120" t="n"/>
      <c r="AS135" s="120" t="n"/>
    </row>
    <row r="136" hidden="1" outlineLevel="2">
      <c r="A136" s="8" t="n"/>
      <c r="B136" s="14" t="n"/>
      <c r="C136" s="120" t="n"/>
      <c r="D136" s="120" t="n"/>
      <c r="E136" s="120" t="n"/>
      <c r="F136" s="120" t="n"/>
      <c r="G136" s="120" t="n"/>
      <c r="I136" s="127" t="n">
        <v>1</v>
      </c>
      <c r="J136" s="115" t="n"/>
      <c r="K136" s="16" t="n"/>
      <c r="L136" s="17" t="n"/>
      <c r="M136" s="128">
        <f>DADOS_INVOC!$PK$11</f>
        <v/>
      </c>
      <c r="N136" s="120" t="n"/>
      <c r="O136" s="120" t="n"/>
      <c r="P136" s="120" t="n"/>
      <c r="Q136" s="120" t="n"/>
      <c r="R136" s="120" t="n"/>
      <c r="S136" s="120" t="n"/>
      <c r="T136" s="120" t="n"/>
      <c r="U136" s="120" t="n"/>
      <c r="V136" s="120" t="n"/>
      <c r="W136" s="120" t="n"/>
      <c r="X136" s="120" t="n"/>
      <c r="Y136" s="120" t="n"/>
      <c r="Z136" s="120" t="n"/>
      <c r="AB136" s="127" t="n">
        <v>1</v>
      </c>
      <c r="AC136" s="115" t="n"/>
      <c r="AD136" s="16" t="n"/>
      <c r="AE136" s="17" t="n"/>
      <c r="AF136" s="128">
        <f>DADOS_INVOC!$PK$89</f>
        <v/>
      </c>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55" t="inlineStr">
        <is>
          <t>COMO É</t>
        </is>
      </c>
      <c r="J137" s="16" t="n"/>
      <c r="K137" s="16" t="n"/>
      <c r="L137" s="16" t="n"/>
      <c r="M137" s="17" t="n"/>
      <c r="N137" s="120" t="n"/>
      <c r="O137" s="120" t="n"/>
      <c r="P137" s="120" t="n"/>
      <c r="Q137" s="120" t="n"/>
      <c r="R137" s="120" t="n"/>
      <c r="S137" s="120" t="n"/>
      <c r="T137" s="120" t="n"/>
      <c r="U137" s="120" t="n"/>
      <c r="V137" s="120" t="n"/>
      <c r="W137" s="120" t="n"/>
      <c r="X137" s="120" t="n"/>
      <c r="Y137" s="120" t="n"/>
      <c r="Z137" s="120" t="n"/>
      <c r="AB137" s="55" t="inlineStr">
        <is>
          <t>COMO É</t>
        </is>
      </c>
      <c r="AC137" s="16" t="n"/>
      <c r="AD137" s="16" t="n"/>
      <c r="AE137" s="16" t="n"/>
      <c r="AF137" s="17" t="n"/>
      <c r="AG137" s="120" t="n"/>
      <c r="AH137" s="120" t="n"/>
      <c r="AI137" s="120" t="n"/>
      <c r="AJ137" s="120" t="n"/>
      <c r="AK137" s="120" t="n"/>
      <c r="AL137" s="120" t="n"/>
      <c r="AM137" s="120" t="n"/>
      <c r="AN137" s="120" t="n"/>
      <c r="AO137" s="120" t="n"/>
      <c r="AP137" s="120" t="n"/>
      <c r="AQ137" s="120" t="n"/>
      <c r="AR137" s="120" t="n"/>
      <c r="AS137" s="120" t="n"/>
    </row>
    <row r="138" hidden="1" outlineLevel="3">
      <c r="A138" s="8" t="n"/>
      <c r="B138" s="14" t="n"/>
      <c r="C138" s="120" t="n"/>
      <c r="D138" s="120" t="n"/>
      <c r="E138" s="120" t="n"/>
      <c r="F138" s="120" t="n"/>
      <c r="G138" s="120" t="n"/>
      <c r="I138" s="116" t="n"/>
      <c r="J138" s="19" t="n"/>
      <c r="K138" s="19" t="n"/>
      <c r="L138" s="19" t="n"/>
      <c r="M138" s="20" t="n"/>
      <c r="N138" s="120" t="n"/>
      <c r="O138" s="120" t="n"/>
      <c r="P138" s="120" t="n"/>
      <c r="Q138" s="120" t="n"/>
      <c r="R138" s="120" t="n"/>
      <c r="S138" s="120" t="n"/>
      <c r="T138" s="120" t="n"/>
      <c r="U138" s="120" t="n"/>
      <c r="V138" s="120" t="n"/>
      <c r="W138" s="120" t="n"/>
      <c r="X138" s="120" t="n"/>
      <c r="Y138" s="120" t="n"/>
      <c r="Z138" s="120" t="n"/>
      <c r="AB138" s="116" t="n"/>
      <c r="AC138" s="19" t="n"/>
      <c r="AD138" s="19" t="n"/>
      <c r="AE138" s="19" t="n"/>
      <c r="AF138" s="20" t="n"/>
      <c r="AG138" s="120" t="n"/>
      <c r="AH138" s="120" t="n"/>
      <c r="AI138" s="120" t="n"/>
      <c r="AJ138" s="120" t="n"/>
      <c r="AK138" s="120" t="n"/>
      <c r="AL138" s="120" t="n"/>
      <c r="AM138" s="120" t="n"/>
      <c r="AN138" s="120" t="n"/>
      <c r="AO138" s="120" t="n"/>
      <c r="AP138" s="120" t="n"/>
      <c r="AQ138" s="120" t="n"/>
      <c r="AR138" s="120" t="n"/>
      <c r="AS138" s="120" t="n"/>
    </row>
    <row r="139" hidden="1" outlineLevel="3">
      <c r="A139" s="8" t="n"/>
      <c r="B139" s="14" t="n"/>
      <c r="C139" s="120" t="n"/>
      <c r="D139" s="120" t="n"/>
      <c r="E139" s="120" t="n"/>
      <c r="F139" s="120" t="n"/>
      <c r="G139" s="120" t="n"/>
      <c r="I139" s="21" t="n"/>
      <c r="M139" s="22" t="n"/>
      <c r="N139" s="120" t="n"/>
      <c r="O139" s="120" t="n"/>
      <c r="P139" s="120" t="n"/>
      <c r="Q139" s="120" t="n"/>
      <c r="R139" s="120" t="n"/>
      <c r="S139" s="120" t="n"/>
      <c r="T139" s="120" t="n"/>
      <c r="U139" s="120" t="n"/>
      <c r="V139" s="120" t="n"/>
      <c r="W139" s="120" t="n"/>
      <c r="X139" s="120" t="n"/>
      <c r="Y139" s="120" t="n"/>
      <c r="Z139" s="120" t="n"/>
      <c r="AB139" s="21" t="n"/>
      <c r="AF139" s="22" t="n"/>
      <c r="AG139" s="120" t="n"/>
      <c r="AH139" s="120" t="n"/>
      <c r="AI139" s="120" t="n"/>
      <c r="AJ139" s="120" t="n"/>
      <c r="AK139" s="120" t="n"/>
      <c r="AL139" s="120" t="n"/>
      <c r="AM139" s="120" t="n"/>
      <c r="AN139" s="120" t="n"/>
      <c r="AO139" s="120" t="n"/>
      <c r="AP139" s="120" t="n"/>
      <c r="AQ139" s="120" t="n"/>
      <c r="AR139" s="120" t="n"/>
      <c r="AS139" s="120" t="n"/>
    </row>
    <row r="140" hidden="1" outlineLevel="3">
      <c r="A140" s="8" t="n"/>
      <c r="B140" s="14" t="n"/>
      <c r="C140" s="120" t="n"/>
      <c r="D140" s="120" t="n"/>
      <c r="E140" s="120" t="n"/>
      <c r="F140" s="120" t="n"/>
      <c r="G140" s="120" t="n"/>
      <c r="I140" s="23" t="n"/>
      <c r="J140" s="24" t="n"/>
      <c r="K140" s="24" t="n"/>
      <c r="L140" s="24" t="n"/>
      <c r="M140" s="25" t="n"/>
      <c r="N140" s="120" t="n"/>
      <c r="O140" s="120" t="n"/>
      <c r="P140" s="120" t="n"/>
      <c r="Q140" s="120" t="n"/>
      <c r="R140" s="120" t="n"/>
      <c r="S140" s="120" t="n"/>
      <c r="T140" s="120" t="n"/>
      <c r="U140" s="120" t="n"/>
      <c r="V140" s="120" t="n"/>
      <c r="W140" s="120" t="n"/>
      <c r="X140" s="120" t="n"/>
      <c r="Y140" s="120" t="n"/>
      <c r="Z140" s="120" t="n"/>
      <c r="AB140" s="23" t="n"/>
      <c r="AC140" s="24" t="n"/>
      <c r="AD140" s="24" t="n"/>
      <c r="AE140" s="24" t="n"/>
      <c r="AF140" s="25"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4" t="inlineStr">
        <is>
          <t>Projétil</t>
        </is>
      </c>
      <c r="J141" s="17" t="n"/>
      <c r="K141" s="68">
        <f>DADOS_INVOC!$PR$11</f>
        <v/>
      </c>
      <c r="L141" s="17" t="n"/>
      <c r="M141" s="68">
        <f>DADOS_INVOC!$PN$11</f>
        <v/>
      </c>
      <c r="N141" s="120" t="n"/>
      <c r="O141" s="120" t="n"/>
      <c r="P141" s="120" t="n"/>
      <c r="Q141" s="120" t="n"/>
      <c r="R141" s="120" t="n"/>
      <c r="S141" s="120" t="n"/>
      <c r="T141" s="120" t="n"/>
      <c r="U141" s="120" t="n"/>
      <c r="V141" s="120" t="n"/>
      <c r="W141" s="120" t="n"/>
      <c r="X141" s="120" t="n"/>
      <c r="Y141" s="120" t="n"/>
      <c r="Z141" s="120" t="n"/>
      <c r="AB141" s="124" t="inlineStr">
        <is>
          <t>Projétil</t>
        </is>
      </c>
      <c r="AC141" s="17" t="n"/>
      <c r="AD141" s="68">
        <f>DADOS_INVOC!$PR$89</f>
        <v/>
      </c>
      <c r="AE141" s="17" t="n"/>
      <c r="AF141" s="68">
        <f>DADOS_INVOC!$PN$89</f>
        <v/>
      </c>
      <c r="AG141" s="120" t="n"/>
      <c r="AH141" s="120" t="n"/>
      <c r="AI141" s="120" t="n"/>
      <c r="AJ141" s="120" t="n"/>
      <c r="AK141" s="120" t="n"/>
      <c r="AL141" s="120" t="n"/>
      <c r="AM141" s="120" t="n"/>
      <c r="AN141" s="120" t="n"/>
      <c r="AO141" s="120" t="n"/>
      <c r="AP141" s="120" t="n"/>
      <c r="AQ141" s="120" t="n"/>
      <c r="AR141" s="120" t="n"/>
      <c r="AS141" s="120" t="n"/>
    </row>
    <row r="142" hidden="1" outlineLevel="2">
      <c r="A142" s="8" t="n"/>
      <c r="B142" s="14" t="n"/>
      <c r="C142" s="120" t="n"/>
      <c r="D142" s="120" t="n"/>
      <c r="E142" s="120" t="n"/>
      <c r="F142" s="120" t="n"/>
      <c r="G142" s="120" t="n"/>
      <c r="I142" s="124" t="n"/>
      <c r="J142" s="17" t="n"/>
      <c r="K142" s="124" t="n"/>
      <c r="L142" s="16" t="n"/>
      <c r="M142" s="17" t="n"/>
      <c r="N142" s="120" t="n"/>
      <c r="O142" s="120" t="n"/>
      <c r="P142" s="120" t="n"/>
      <c r="Q142" s="120" t="n"/>
      <c r="R142" s="120" t="n"/>
      <c r="S142" s="120" t="n"/>
      <c r="T142" s="120" t="n"/>
      <c r="U142" s="120" t="n"/>
      <c r="V142" s="120" t="n"/>
      <c r="W142" s="120" t="n"/>
      <c r="X142" s="120" t="n"/>
      <c r="Y142" s="120" t="n"/>
      <c r="Z142" s="120" t="n"/>
      <c r="AB142" s="124" t="n"/>
      <c r="AC142" s="17" t="n"/>
      <c r="AD142" s="124" t="n"/>
      <c r="AE142" s="16" t="n"/>
      <c r="AF142" s="17" t="n"/>
      <c r="AG142" s="120" t="n"/>
      <c r="AH142" s="120" t="n"/>
      <c r="AI142" s="120" t="n"/>
      <c r="AJ142" s="120" t="n"/>
      <c r="AK142" s="120" t="n"/>
      <c r="AL142" s="120" t="n"/>
      <c r="AM142" s="120" t="n"/>
      <c r="AN142" s="120" t="n"/>
      <c r="AO142" s="120" t="n"/>
      <c r="AP142" s="120" t="n"/>
      <c r="AQ142" s="120" t="n"/>
      <c r="AR142" s="120" t="n"/>
      <c r="AS142" s="120" t="n"/>
    </row>
    <row r="143" hidden="1" outlineLevel="2">
      <c r="A143" s="8" t="n"/>
      <c r="B143" s="14" t="n"/>
      <c r="C143" s="120" t="n"/>
      <c r="D143" s="120" t="n"/>
      <c r="E143" s="120" t="n"/>
      <c r="F143" s="120" t="n"/>
      <c r="G143" s="120" t="n"/>
      <c r="I143" s="124">
        <f>DADOS_INVOC!$PO$11</f>
        <v/>
      </c>
      <c r="J143" s="17" t="n"/>
      <c r="K143" s="124">
        <f>DADOS_INVOC!$PQ$11</f>
        <v/>
      </c>
      <c r="L143" s="16" t="n"/>
      <c r="M143" s="17" t="n"/>
      <c r="N143" s="120" t="n"/>
      <c r="O143" s="120" t="n"/>
      <c r="P143" s="120" t="n"/>
      <c r="Q143" s="120" t="n"/>
      <c r="R143" s="120" t="n"/>
      <c r="S143" s="120" t="n"/>
      <c r="T143" s="120" t="n"/>
      <c r="U143" s="120" t="n"/>
      <c r="V143" s="120" t="n"/>
      <c r="W143" s="120" t="n"/>
      <c r="X143" s="120" t="n"/>
      <c r="Y143" s="120" t="n"/>
      <c r="Z143" s="120" t="n"/>
      <c r="AB143" s="124">
        <f>DADOS_INVOC!$PO$89</f>
        <v/>
      </c>
      <c r="AC143" s="17" t="n"/>
      <c r="AD143" s="124">
        <f>DADOS_INVOC!$PQ$89</f>
        <v/>
      </c>
      <c r="AE143" s="16" t="n"/>
      <c r="AF143" s="17" t="n"/>
      <c r="AG143" s="120" t="n"/>
      <c r="AH143" s="120" t="n"/>
      <c r="AI143" s="120" t="n"/>
      <c r="AJ143" s="120" t="n"/>
      <c r="AK143" s="120" t="n"/>
      <c r="AL143" s="120" t="n"/>
      <c r="AM143" s="120" t="n"/>
      <c r="AN143" s="120" t="n"/>
      <c r="AO143" s="120" t="n"/>
      <c r="AP143" s="120" t="n"/>
      <c r="AQ143" s="120" t="n"/>
      <c r="AR143" s="120" t="n"/>
      <c r="AS143" s="120" t="n"/>
    </row>
    <row r="144" hidden="1" outlineLevel="2">
      <c r="A144" s="8" t="n"/>
      <c r="B144" s="14" t="n"/>
      <c r="C144" s="120" t="n"/>
      <c r="D144" s="120" t="n"/>
      <c r="E144" s="120" t="n"/>
      <c r="F144" s="120" t="n"/>
      <c r="G144" s="120" t="n"/>
      <c r="I144" s="129">
        <f>DADOS_INVOC!$PW$11</f>
        <v/>
      </c>
      <c r="J144" s="16" t="n"/>
      <c r="K144" s="16" t="n"/>
      <c r="L144" s="16" t="n"/>
      <c r="M144" s="17" t="n"/>
      <c r="N144" s="120" t="n"/>
      <c r="O144" s="120" t="n"/>
      <c r="P144" s="120" t="n"/>
      <c r="Q144" s="120" t="n"/>
      <c r="R144" s="120" t="n"/>
      <c r="S144" s="120" t="n"/>
      <c r="T144" s="120" t="n"/>
      <c r="U144" s="120" t="n"/>
      <c r="V144" s="120" t="n"/>
      <c r="W144" s="120" t="n"/>
      <c r="X144" s="120" t="n"/>
      <c r="Y144" s="120" t="n"/>
      <c r="Z144" s="120" t="n"/>
      <c r="AB144" s="129">
        <f>DADOS_INVOC!$PW$89</f>
        <v/>
      </c>
      <c r="AC144" s="16" t="n"/>
      <c r="AD144" s="16" t="n"/>
      <c r="AE144" s="16" t="n"/>
      <c r="AF144" s="17" t="n"/>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55" t="inlineStr">
        <is>
          <t>MELHORIAS</t>
        </is>
      </c>
      <c r="J145" s="130" t="n"/>
      <c r="K145" s="16" t="n"/>
      <c r="L145" s="17" t="n"/>
      <c r="M145" s="129">
        <f>DADOS_INVOC!$PZ$11</f>
        <v/>
      </c>
      <c r="N145" s="120" t="n"/>
      <c r="O145" s="120" t="n"/>
      <c r="P145" s="120" t="n"/>
      <c r="Q145" s="120" t="n"/>
      <c r="R145" s="120" t="n"/>
      <c r="S145" s="120" t="n"/>
      <c r="T145" s="120" t="n"/>
      <c r="U145" s="120" t="n"/>
      <c r="V145" s="120" t="n"/>
      <c r="W145" s="120" t="n"/>
      <c r="X145" s="120" t="n"/>
      <c r="Y145" s="120" t="n"/>
      <c r="Z145" s="120" t="n"/>
      <c r="AB145" s="55" t="inlineStr">
        <is>
          <t>MELHORIAS</t>
        </is>
      </c>
      <c r="AC145" s="130" t="n"/>
      <c r="AD145" s="16" t="n"/>
      <c r="AE145" s="17" t="n"/>
      <c r="AF145" s="129">
        <f>DADOS_INVOC!$PZ$89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131" t="n"/>
      <c r="J146" s="130" t="n"/>
      <c r="K146" s="16" t="n"/>
      <c r="L146" s="17" t="n"/>
      <c r="M146" s="129">
        <f>DADOS_INVOC!$QA$11</f>
        <v/>
      </c>
      <c r="N146" s="120" t="n"/>
      <c r="O146" s="120" t="n"/>
      <c r="P146" s="120" t="n"/>
      <c r="Q146" s="120" t="n"/>
      <c r="R146" s="120" t="n"/>
      <c r="S146" s="120" t="n"/>
      <c r="T146" s="120" t="n"/>
      <c r="U146" s="120" t="n"/>
      <c r="V146" s="120" t="n"/>
      <c r="W146" s="120" t="n"/>
      <c r="X146" s="120" t="n"/>
      <c r="Y146" s="120" t="n"/>
      <c r="Z146" s="120" t="n"/>
      <c r="AB146" s="131" t="n"/>
      <c r="AC146" s="130" t="n"/>
      <c r="AD146" s="16" t="n"/>
      <c r="AE146" s="17" t="n"/>
      <c r="AF146" s="129">
        <f>DADOS_INVOC!$QA$89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31" t="n"/>
      <c r="J147" s="130" t="n"/>
      <c r="K147" s="16" t="n"/>
      <c r="L147" s="17" t="n"/>
      <c r="M147" s="129">
        <f>DADOS_INVOC!$QB$11</f>
        <v/>
      </c>
      <c r="N147" s="120" t="n"/>
      <c r="O147" s="120" t="n"/>
      <c r="P147" s="120" t="n"/>
      <c r="Q147" s="120" t="n"/>
      <c r="R147" s="120" t="n"/>
      <c r="S147" s="120" t="n"/>
      <c r="T147" s="120" t="n"/>
      <c r="U147" s="120" t="n"/>
      <c r="V147" s="120" t="n"/>
      <c r="W147" s="120" t="n"/>
      <c r="X147" s="120" t="n"/>
      <c r="Y147" s="120" t="n"/>
      <c r="Z147" s="120" t="n"/>
      <c r="AB147" s="131" t="n"/>
      <c r="AC147" s="130" t="n"/>
      <c r="AD147" s="16" t="n"/>
      <c r="AE147" s="17" t="n"/>
      <c r="AF147" s="129">
        <f>DADOS_INVOC!$QB$89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125" t="n"/>
      <c r="J148" s="130" t="n"/>
      <c r="K148" s="16" t="n"/>
      <c r="L148" s="17" t="n"/>
      <c r="M148" s="129">
        <f>DADOS_INVOC!$QC$11</f>
        <v/>
      </c>
      <c r="N148" s="120" t="n"/>
      <c r="O148" s="120" t="n"/>
      <c r="P148" s="120" t="n"/>
      <c r="Q148" s="120" t="n"/>
      <c r="R148" s="120" t="n"/>
      <c r="S148" s="120" t="n"/>
      <c r="T148" s="120" t="n"/>
      <c r="U148" s="120" t="n"/>
      <c r="V148" s="120" t="n"/>
      <c r="W148" s="120" t="n"/>
      <c r="X148" s="120" t="n"/>
      <c r="Y148" s="120" t="n"/>
      <c r="Z148" s="120" t="n"/>
      <c r="AB148" s="125" t="n"/>
      <c r="AC148" s="130" t="n"/>
      <c r="AD148" s="16" t="n"/>
      <c r="AE148" s="17" t="n"/>
      <c r="AF148" s="129">
        <f>DADOS_INVOC!$QC$89</f>
        <v/>
      </c>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RESTRIÇÕES</t>
        </is>
      </c>
      <c r="J149" s="130" t="n"/>
      <c r="K149" s="16" t="n"/>
      <c r="L149" s="17" t="n"/>
      <c r="M149" s="129">
        <f>DADOS_INVOC!$QD$11</f>
        <v/>
      </c>
      <c r="N149" s="120" t="n"/>
      <c r="O149" s="120" t="n"/>
      <c r="P149" s="120" t="n"/>
      <c r="Q149" s="120" t="n"/>
      <c r="R149" s="120" t="n"/>
      <c r="S149" s="120" t="n"/>
      <c r="T149" s="120" t="n"/>
      <c r="U149" s="120" t="n"/>
      <c r="V149" s="120" t="n"/>
      <c r="W149" s="120" t="n"/>
      <c r="X149" s="120" t="n"/>
      <c r="Y149" s="120" t="n"/>
      <c r="Z149" s="120" t="n"/>
      <c r="AB149" s="55" t="inlineStr">
        <is>
          <t>RESTRIÇÕES</t>
        </is>
      </c>
      <c r="AC149" s="130" t="n"/>
      <c r="AD149" s="16" t="n"/>
      <c r="AE149" s="17" t="n"/>
      <c r="AF149" s="129">
        <f>DADOS_INVOC!$QD$89</f>
        <v/>
      </c>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130" t="n"/>
      <c r="K150" s="16" t="n"/>
      <c r="L150" s="17" t="n"/>
      <c r="M150" s="129">
        <f>DADOS_INVOC!$QE$11</f>
        <v/>
      </c>
      <c r="N150" s="120" t="n"/>
      <c r="O150" s="120" t="n"/>
      <c r="P150" s="120" t="n"/>
      <c r="Q150" s="120" t="n"/>
      <c r="R150" s="120" t="n"/>
      <c r="S150" s="120" t="n"/>
      <c r="T150" s="120" t="n"/>
      <c r="U150" s="120" t="n"/>
      <c r="V150" s="120" t="n"/>
      <c r="W150" s="120" t="n"/>
      <c r="X150" s="120" t="n"/>
      <c r="Y150" s="120" t="n"/>
      <c r="Z150" s="120" t="n"/>
      <c r="AB150" s="125" t="n"/>
      <c r="AC150" s="130" t="n"/>
      <c r="AD150" s="16" t="n"/>
      <c r="AE150" s="17" t="n"/>
      <c r="AF150" s="129">
        <f>DADOS_INVOC!$QE$89</f>
        <v/>
      </c>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55" t="inlineStr">
        <is>
          <t>CONTA</t>
        </is>
      </c>
      <c r="J151" s="132">
        <f>DADOS_INVOC!$PX$11</f>
        <v/>
      </c>
      <c r="K151" s="16" t="n"/>
      <c r="L151" s="16" t="n"/>
      <c r="M151" s="17" t="n"/>
      <c r="N151" s="120" t="n"/>
      <c r="O151" s="120" t="n"/>
      <c r="P151" s="120" t="n"/>
      <c r="Q151" s="120" t="n"/>
      <c r="R151" s="120" t="n"/>
      <c r="S151" s="120" t="n"/>
      <c r="T151" s="120" t="n"/>
      <c r="U151" s="120" t="n"/>
      <c r="V151" s="120" t="n"/>
      <c r="W151" s="120" t="n"/>
      <c r="X151" s="120" t="n"/>
      <c r="Y151" s="120" t="n"/>
      <c r="Z151" s="120" t="n"/>
      <c r="AB151" s="55" t="inlineStr">
        <is>
          <t>CONTA</t>
        </is>
      </c>
      <c r="AC151" s="132">
        <f>DADOS_INVOC!$PX$89</f>
        <v/>
      </c>
      <c r="AD151" s="16" t="n"/>
      <c r="AE151" s="16" t="n"/>
      <c r="AF151" s="17"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55" t="inlineStr">
        <is>
          <t>AMPLIAR</t>
        </is>
      </c>
      <c r="J152" s="132">
        <f>DADOS_INVOC!$PY$11</f>
        <v/>
      </c>
      <c r="K152" s="19" t="n"/>
      <c r="L152" s="19" t="n"/>
      <c r="M152" s="20" t="n"/>
      <c r="N152" s="120" t="n"/>
      <c r="O152" s="120" t="n"/>
      <c r="P152" s="120" t="n"/>
      <c r="Q152" s="120" t="n"/>
      <c r="R152" s="120" t="n"/>
      <c r="S152" s="120" t="n"/>
      <c r="T152" s="120" t="n"/>
      <c r="U152" s="120" t="n"/>
      <c r="V152" s="120" t="n"/>
      <c r="W152" s="120" t="n"/>
      <c r="X152" s="120" t="n"/>
      <c r="Y152" s="120" t="n"/>
      <c r="Z152" s="120" t="n"/>
      <c r="AB152" s="55" t="inlineStr">
        <is>
          <t>AMPLIAR</t>
        </is>
      </c>
      <c r="AC152" s="132">
        <f>DADOS_INVOC!$PY$89</f>
        <v/>
      </c>
      <c r="AD152" s="19" t="n"/>
      <c r="AE152" s="19" t="n"/>
      <c r="AF152" s="20" t="n"/>
      <c r="AG152" s="120" t="n"/>
      <c r="AH152" s="120" t="n"/>
      <c r="AI152" s="120" t="n"/>
      <c r="AJ152" s="120" t="n"/>
      <c r="AK152" s="120" t="n"/>
      <c r="AL152" s="120" t="n"/>
      <c r="AM152" s="120" t="n"/>
      <c r="AN152" s="120" t="n"/>
      <c r="AO152" s="120" t="n"/>
      <c r="AP152" s="120" t="n"/>
      <c r="AQ152" s="120" t="n"/>
      <c r="AR152" s="120" t="n"/>
      <c r="AS152" s="120" t="n"/>
    </row>
    <row r="153" hidden="1" outlineLevel="3">
      <c r="A153" s="8" t="n"/>
      <c r="B153" s="14" t="n"/>
      <c r="C153" s="120" t="n"/>
      <c r="D153" s="120" t="n"/>
      <c r="E153" s="120" t="n"/>
      <c r="F153" s="120" t="n"/>
      <c r="G153" s="120" t="n"/>
      <c r="I153" s="125" t="n"/>
      <c r="J153" s="23" t="n"/>
      <c r="K153" s="24" t="n"/>
      <c r="L153" s="24" t="n"/>
      <c r="M153" s="25" t="n"/>
      <c r="N153" s="120" t="n"/>
      <c r="O153" s="120" t="n"/>
      <c r="P153" s="120" t="n"/>
      <c r="Q153" s="120" t="n"/>
      <c r="R153" s="120" t="n"/>
      <c r="S153" s="120" t="n"/>
      <c r="T153" s="120" t="n"/>
      <c r="U153" s="120" t="n"/>
      <c r="V153" s="120" t="n"/>
      <c r="W153" s="120" t="n"/>
      <c r="X153" s="120" t="n"/>
      <c r="Y153" s="120" t="n"/>
      <c r="Z153" s="120" t="n"/>
      <c r="AB153" s="125" t="n"/>
      <c r="AC153" s="23" t="n"/>
      <c r="AD153" s="24" t="n"/>
      <c r="AE153" s="24" t="n"/>
      <c r="AF153" s="25" t="n"/>
      <c r="AG153" s="120" t="n"/>
      <c r="AH153" s="120" t="n"/>
      <c r="AI153" s="120" t="n"/>
      <c r="AJ153" s="120" t="n"/>
      <c r="AK153" s="120" t="n"/>
      <c r="AL153" s="120" t="n"/>
      <c r="AM153" s="120" t="n"/>
      <c r="AN153" s="120" t="n"/>
      <c r="AO153" s="120" t="n"/>
      <c r="AP153" s="120" t="n"/>
      <c r="AQ153" s="120" t="n"/>
      <c r="AR153" s="120" t="n"/>
      <c r="AS153" s="120" t="n"/>
    </row>
    <row r="154" hidden="1" outlineLevel="3">
      <c r="A154" s="8" t="n"/>
      <c r="B154" s="14" t="n"/>
      <c r="C154" s="120" t="n"/>
      <c r="D154" s="120" t="n"/>
      <c r="E154" s="120" t="n"/>
      <c r="F154" s="120" t="n"/>
      <c r="G154" s="120" t="n"/>
      <c r="I154" s="132">
        <f>DADOS_INVOC!$PL$11</f>
        <v/>
      </c>
      <c r="J154" s="19" t="n"/>
      <c r="K154" s="19" t="n"/>
      <c r="L154" s="19" t="n"/>
      <c r="M154" s="20" t="n"/>
      <c r="N154" s="120" t="n"/>
      <c r="O154" s="120" t="n"/>
      <c r="P154" s="120" t="n"/>
      <c r="Q154" s="120" t="n"/>
      <c r="R154" s="120" t="n"/>
      <c r="S154" s="120" t="n"/>
      <c r="T154" s="120" t="n"/>
      <c r="U154" s="120" t="n"/>
      <c r="V154" s="120" t="n"/>
      <c r="W154" s="120" t="n"/>
      <c r="X154" s="120" t="n"/>
      <c r="Y154" s="120" t="n"/>
      <c r="Z154" s="120" t="n"/>
      <c r="AB154" s="132">
        <f>DADOS_INVOC!$PL$89</f>
        <v/>
      </c>
      <c r="AC154" s="19" t="n"/>
      <c r="AD154" s="19" t="n"/>
      <c r="AE154" s="19" t="n"/>
      <c r="AF154" s="20" t="n"/>
      <c r="AG154" s="120" t="n"/>
      <c r="AH154" s="120" t="n"/>
      <c r="AI154" s="120" t="n"/>
      <c r="AJ154" s="120" t="n"/>
      <c r="AK154" s="120" t="n"/>
      <c r="AL154" s="120" t="n"/>
      <c r="AM154" s="120" t="n"/>
      <c r="AN154" s="120" t="n"/>
      <c r="AO154" s="120" t="n"/>
      <c r="AP154" s="120" t="n"/>
      <c r="AQ154" s="120" t="n"/>
      <c r="AR154" s="120" t="n"/>
      <c r="AS154" s="120" t="n"/>
    </row>
    <row r="155" hidden="1" outlineLevel="3">
      <c r="A155" s="8" t="n"/>
      <c r="B155" s="14" t="n"/>
      <c r="C155" s="120" t="n"/>
      <c r="D155" s="120" t="n"/>
      <c r="E155" s="120" t="n"/>
      <c r="F155" s="120" t="n"/>
      <c r="G155" s="120" t="n"/>
      <c r="I155" s="23" t="n"/>
      <c r="J155" s="24" t="n"/>
      <c r="K155" s="24" t="n"/>
      <c r="L155" s="24" t="n"/>
      <c r="M155" s="25" t="n"/>
      <c r="N155" s="120" t="n"/>
      <c r="O155" s="120" t="n"/>
      <c r="P155" s="120" t="n"/>
      <c r="Q155" s="120" t="n"/>
      <c r="R155" s="120" t="n"/>
      <c r="S155" s="120" t="n"/>
      <c r="T155" s="120" t="n"/>
      <c r="U155" s="120" t="n"/>
      <c r="V155" s="120" t="n"/>
      <c r="W155" s="120" t="n"/>
      <c r="X155" s="120" t="n"/>
      <c r="Y155" s="120" t="n"/>
      <c r="Z155" s="120" t="n"/>
      <c r="AB155" s="23" t="n"/>
      <c r="AC155" s="24" t="n"/>
      <c r="AD155" s="24" t="n"/>
      <c r="AE155" s="24" t="n"/>
      <c r="AF155" s="25" t="n"/>
      <c r="AG155" s="120" t="n"/>
      <c r="AH155" s="120" t="n"/>
      <c r="AI155" s="120" t="n"/>
      <c r="AJ155" s="120" t="n"/>
      <c r="AK155" s="120" t="n"/>
      <c r="AL155" s="120" t="n"/>
      <c r="AM155" s="120" t="n"/>
      <c r="AN155" s="120" t="n"/>
      <c r="AO155" s="120" t="n"/>
      <c r="AP155" s="120" t="n"/>
      <c r="AQ155" s="120" t="n"/>
      <c r="AR155" s="120" t="n"/>
      <c r="AS155" s="120" t="n"/>
    </row>
    <row r="156" outlineLevel="1">
      <c r="A156" s="8" t="n"/>
      <c r="B156" s="14" t="n"/>
      <c r="C156" s="120" t="n"/>
      <c r="D156" s="120" t="n"/>
      <c r="E156" s="120" t="n"/>
      <c r="F156" s="120" t="n"/>
      <c r="G156" s="120" t="n"/>
      <c r="I156" s="120" t="n"/>
      <c r="J156" s="120" t="n"/>
      <c r="K156" s="120" t="n"/>
      <c r="L156" s="120" t="n"/>
      <c r="M156" s="120" t="n"/>
      <c r="N156" s="120" t="n"/>
      <c r="O156" s="120" t="n"/>
      <c r="P156" s="120" t="n"/>
      <c r="Q156" s="120" t="n"/>
      <c r="R156" s="120" t="n"/>
      <c r="S156" s="120" t="n"/>
      <c r="T156" s="120" t="n"/>
      <c r="U156" s="120" t="n"/>
      <c r="V156" s="120" t="n"/>
      <c r="W156" s="120" t="n"/>
      <c r="X156" s="120" t="n"/>
      <c r="Y156" s="120" t="n"/>
      <c r="Z156" s="120" t="n"/>
      <c r="AB156" s="120" t="n"/>
      <c r="AC156" s="120" t="n"/>
      <c r="AD156" s="120" t="n"/>
      <c r="AE156" s="120" t="n"/>
      <c r="AF156" s="120" t="n"/>
      <c r="AG156" s="120" t="n"/>
      <c r="AH156" s="120" t="n"/>
      <c r="AI156" s="120" t="n"/>
      <c r="AJ156" s="120" t="n"/>
      <c r="AK156" s="120" t="n"/>
      <c r="AL156" s="120" t="n"/>
      <c r="AM156" s="120" t="n"/>
      <c r="AN156" s="120" t="n"/>
      <c r="AO156" s="120" t="n"/>
      <c r="AP156" s="120" t="n"/>
      <c r="AQ156" s="120" t="n"/>
      <c r="AR156" s="120" t="n"/>
      <c r="AS156" s="120" t="n"/>
    </row>
    <row r="157" outlineLevel="1">
      <c r="A157" s="8" t="n"/>
      <c r="B157" s="14" t="n"/>
      <c r="C157" s="120" t="n"/>
      <c r="D157" s="120" t="n"/>
      <c r="E157" s="120" t="n"/>
      <c r="F157" s="120" t="n"/>
      <c r="G157" s="120" t="n"/>
      <c r="I157" s="13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0" t="n"/>
      <c r="AB157" s="13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0" t="n"/>
    </row>
    <row r="158" hidden="1" outlineLevel="2">
      <c r="A158" s="8" t="n"/>
      <c r="B158" s="14" t="n"/>
      <c r="C158" s="120" t="n"/>
      <c r="D158" s="120" t="n"/>
      <c r="E158" s="120" t="n"/>
      <c r="F158" s="120" t="n"/>
      <c r="G158" s="120" t="n"/>
      <c r="I158" s="120" t="n"/>
      <c r="J158" s="120" t="n"/>
      <c r="K158" s="120" t="n"/>
      <c r="L158" s="120" t="n"/>
      <c r="M158" s="120" t="n"/>
      <c r="N158" s="120" t="n"/>
      <c r="O158" s="120" t="n"/>
      <c r="P158" s="120" t="n"/>
      <c r="Q158" s="120" t="n"/>
      <c r="R158" s="120" t="n"/>
      <c r="S158" s="120" t="n"/>
      <c r="T158" s="120" t="n"/>
      <c r="U158" s="120" t="n"/>
      <c r="V158" s="120" t="n"/>
      <c r="W158" s="120" t="n"/>
      <c r="X158" s="120" t="n"/>
      <c r="Y158" s="120" t="n"/>
      <c r="Z158" s="120" t="n"/>
      <c r="AB158" s="120" t="n"/>
      <c r="AC158" s="120" t="n"/>
      <c r="AD158" s="120" t="n"/>
      <c r="AE158" s="120" t="n"/>
      <c r="AF158" s="120" t="n"/>
      <c r="AG158" s="120" t="n"/>
      <c r="AH158" s="120" t="n"/>
      <c r="AI158" s="120" t="n"/>
      <c r="AJ158" s="120" t="n"/>
      <c r="AK158" s="120" t="n"/>
      <c r="AL158" s="120" t="n"/>
      <c r="AM158" s="120" t="n"/>
      <c r="AN158" s="120" t="n"/>
      <c r="AO158" s="120" t="n"/>
      <c r="AP158" s="120" t="n"/>
      <c r="AQ158" s="120" t="n"/>
      <c r="AR158" s="120" t="n"/>
      <c r="AS158" s="120" t="n"/>
    </row>
    <row r="159" hidden="1" outlineLevel="2">
      <c r="A159" s="8" t="n"/>
      <c r="B159" s="14" t="n"/>
      <c r="C159" s="120" t="n"/>
      <c r="D159" s="120" t="n"/>
      <c r="E159" s="120" t="n"/>
      <c r="F159" s="120" t="n"/>
      <c r="G159" s="120" t="n"/>
      <c r="I159" s="55">
        <f>DADOS_INVOC!$PM$12</f>
        <v/>
      </c>
      <c r="J159" s="16" t="n"/>
      <c r="K159" s="16" t="n"/>
      <c r="L159" s="16" t="n"/>
      <c r="M159" s="17" t="n"/>
      <c r="N159" s="120" t="n"/>
      <c r="O159" s="55">
        <f>DADOS_INVOC!$PM$13</f>
        <v/>
      </c>
      <c r="P159" s="16" t="n"/>
      <c r="Q159" s="16" t="n"/>
      <c r="R159" s="16" t="n"/>
      <c r="S159" s="17" t="n"/>
      <c r="T159" s="120" t="n"/>
      <c r="U159" s="55">
        <f>DADOS_INVOC!$PM$14</f>
        <v/>
      </c>
      <c r="V159" s="16" t="n"/>
      <c r="W159" s="16" t="n"/>
      <c r="X159" s="16" t="n"/>
      <c r="Y159" s="17" t="n"/>
      <c r="Z159" s="120" t="n"/>
      <c r="AB159" s="55">
        <f>DADOS_INVOC!$PM$90</f>
        <v/>
      </c>
      <c r="AC159" s="16" t="n"/>
      <c r="AD159" s="16" t="n"/>
      <c r="AE159" s="16" t="n"/>
      <c r="AF159" s="17" t="n"/>
      <c r="AG159" s="120" t="n"/>
      <c r="AH159" s="55">
        <f>DADOS_INVOC!$PM$91</f>
        <v/>
      </c>
      <c r="AI159" s="16" t="n"/>
      <c r="AJ159" s="16" t="n"/>
      <c r="AK159" s="16" t="n"/>
      <c r="AL159" s="17" t="n"/>
      <c r="AM159" s="120" t="n"/>
      <c r="AN159" s="55">
        <f>DADOS_INVOC!$PM$92</f>
        <v/>
      </c>
      <c r="AO159" s="16" t="n"/>
      <c r="AP159" s="16" t="n"/>
      <c r="AQ159" s="16" t="n"/>
      <c r="AR159" s="17" t="n"/>
      <c r="AS159" s="120" t="n"/>
    </row>
    <row r="160" hidden="1" outlineLevel="2">
      <c r="A160" s="8" t="n"/>
      <c r="B160" s="14" t="n"/>
      <c r="C160" s="120" t="n"/>
      <c r="D160" s="120" t="n"/>
      <c r="E160" s="120" t="n"/>
      <c r="F160" s="120" t="n"/>
      <c r="G160" s="120" t="n"/>
      <c r="I160" s="127" t="n">
        <v>1</v>
      </c>
      <c r="J160" s="115" t="n"/>
      <c r="K160" s="16" t="n"/>
      <c r="L160" s="17" t="n"/>
      <c r="M160" s="128">
        <f>DADOS_INVOC!$PK$12</f>
        <v/>
      </c>
      <c r="N160" s="120" t="n"/>
      <c r="O160" s="127" t="n">
        <v>1</v>
      </c>
      <c r="P160" s="115" t="n"/>
      <c r="Q160" s="16" t="n"/>
      <c r="R160" s="17" t="n"/>
      <c r="S160" s="128">
        <f>DADOS_INVOC!$PK$13</f>
        <v/>
      </c>
      <c r="T160" s="120" t="n"/>
      <c r="U160" s="127" t="n">
        <v>1</v>
      </c>
      <c r="V160" s="115" t="n"/>
      <c r="W160" s="16" t="n"/>
      <c r="X160" s="17" t="n"/>
      <c r="Y160" s="128">
        <f>DADOS_INVOC!$PK$14</f>
        <v/>
      </c>
      <c r="Z160" s="120" t="n"/>
      <c r="AB160" s="127" t="n">
        <v>1</v>
      </c>
      <c r="AC160" s="115" t="n"/>
      <c r="AD160" s="16" t="n"/>
      <c r="AE160" s="17" t="n"/>
      <c r="AF160" s="128">
        <f>DADOS_INVOC!$PK$90</f>
        <v/>
      </c>
      <c r="AG160" s="120" t="n"/>
      <c r="AH160" s="127" t="n">
        <v>1</v>
      </c>
      <c r="AI160" s="115" t="n"/>
      <c r="AJ160" s="16" t="n"/>
      <c r="AK160" s="17" t="n"/>
      <c r="AL160" s="128">
        <f>DADOS_INVOC!$PK$91</f>
        <v/>
      </c>
      <c r="AM160" s="120" t="n"/>
      <c r="AN160" s="127" t="n">
        <v>1</v>
      </c>
      <c r="AO160" s="115" t="n"/>
      <c r="AP160" s="16" t="n"/>
      <c r="AQ160" s="17" t="n"/>
      <c r="AR160" s="128">
        <f>DADOS_INVOC!$PK$92</f>
        <v/>
      </c>
      <c r="AS160" s="120" t="n"/>
    </row>
    <row r="161" hidden="1" outlineLevel="3">
      <c r="A161" s="8" t="n"/>
      <c r="B161" s="14" t="n"/>
      <c r="C161" s="120" t="n"/>
      <c r="D161" s="120" t="n"/>
      <c r="E161" s="120" t="n"/>
      <c r="F161" s="120" t="n"/>
      <c r="G161" s="120" t="n"/>
      <c r="I161" s="55" t="inlineStr">
        <is>
          <t>COMO É</t>
        </is>
      </c>
      <c r="J161" s="16" t="n"/>
      <c r="K161" s="16" t="n"/>
      <c r="L161" s="16" t="n"/>
      <c r="M161" s="17" t="n"/>
      <c r="N161" s="120" t="n"/>
      <c r="O161" s="55" t="inlineStr">
        <is>
          <t>COMO É</t>
        </is>
      </c>
      <c r="P161" s="16" t="n"/>
      <c r="Q161" s="16" t="n"/>
      <c r="R161" s="16" t="n"/>
      <c r="S161" s="17" t="n"/>
      <c r="T161" s="120" t="n"/>
      <c r="U161" s="55" t="inlineStr">
        <is>
          <t>COMO É</t>
        </is>
      </c>
      <c r="V161" s="16" t="n"/>
      <c r="W161" s="16" t="n"/>
      <c r="X161" s="16" t="n"/>
      <c r="Y161" s="17" t="n"/>
      <c r="Z161" s="120" t="n"/>
      <c r="AB161" s="55" t="inlineStr">
        <is>
          <t>COMO É</t>
        </is>
      </c>
      <c r="AC161" s="16" t="n"/>
      <c r="AD161" s="16" t="n"/>
      <c r="AE161" s="16" t="n"/>
      <c r="AF161" s="17" t="n"/>
      <c r="AG161" s="120" t="n"/>
      <c r="AH161" s="55" t="inlineStr">
        <is>
          <t>COMO É</t>
        </is>
      </c>
      <c r="AI161" s="16" t="n"/>
      <c r="AJ161" s="16" t="n"/>
      <c r="AK161" s="16" t="n"/>
      <c r="AL161" s="17" t="n"/>
      <c r="AM161" s="120" t="n"/>
      <c r="AN161" s="55" t="inlineStr">
        <is>
          <t>COMO É</t>
        </is>
      </c>
      <c r="AO161" s="16" t="n"/>
      <c r="AP161" s="16" t="n"/>
      <c r="AQ161" s="16" t="n"/>
      <c r="AR161" s="17" t="n"/>
      <c r="AS161" s="120" t="n"/>
    </row>
    <row r="162" hidden="1" outlineLevel="3">
      <c r="A162" s="8" t="n"/>
      <c r="B162" s="14" t="n"/>
      <c r="C162" s="120" t="n"/>
      <c r="D162" s="120" t="n"/>
      <c r="E162" s="120" t="n"/>
      <c r="F162" s="120" t="n"/>
      <c r="G162" s="120" t="n"/>
      <c r="I162" s="116" t="n"/>
      <c r="J162" s="19" t="n"/>
      <c r="K162" s="19" t="n"/>
      <c r="L162" s="19" t="n"/>
      <c r="M162" s="20" t="n"/>
      <c r="N162" s="120" t="n"/>
      <c r="O162" s="116" t="n"/>
      <c r="P162" s="19" t="n"/>
      <c r="Q162" s="19" t="n"/>
      <c r="R162" s="19" t="n"/>
      <c r="S162" s="20" t="n"/>
      <c r="T162" s="120" t="n"/>
      <c r="U162" s="116" t="n"/>
      <c r="V162" s="19" t="n"/>
      <c r="W162" s="19" t="n"/>
      <c r="X162" s="19" t="n"/>
      <c r="Y162" s="20" t="n"/>
      <c r="Z162" s="120" t="n"/>
      <c r="AB162" s="116" t="n"/>
      <c r="AC162" s="19" t="n"/>
      <c r="AD162" s="19" t="n"/>
      <c r="AE162" s="19" t="n"/>
      <c r="AF162" s="20" t="n"/>
      <c r="AG162" s="120" t="n"/>
      <c r="AH162" s="116" t="n"/>
      <c r="AI162" s="19" t="n"/>
      <c r="AJ162" s="19" t="n"/>
      <c r="AK162" s="19" t="n"/>
      <c r="AL162" s="20" t="n"/>
      <c r="AM162" s="120" t="n"/>
      <c r="AN162" s="116" t="n"/>
      <c r="AO162" s="19" t="n"/>
      <c r="AP162" s="19" t="n"/>
      <c r="AQ162" s="19" t="n"/>
      <c r="AR162" s="20" t="n"/>
      <c r="AS162" s="120" t="n"/>
    </row>
    <row r="163" hidden="1" outlineLevel="3">
      <c r="A163" s="8" t="n"/>
      <c r="B163" s="14" t="n"/>
      <c r="C163" s="120" t="n"/>
      <c r="D163" s="120" t="n"/>
      <c r="E163" s="120" t="n"/>
      <c r="F163" s="120" t="n"/>
      <c r="G163" s="120" t="n"/>
      <c r="I163" s="21" t="n"/>
      <c r="M163" s="22" t="n"/>
      <c r="N163" s="120" t="n"/>
      <c r="O163" s="21" t="n"/>
      <c r="S163" s="22" t="n"/>
      <c r="T163" s="120" t="n"/>
      <c r="U163" s="21" t="n"/>
      <c r="Y163" s="22" t="n"/>
      <c r="Z163" s="120" t="n"/>
      <c r="AB163" s="21" t="n"/>
      <c r="AF163" s="22" t="n"/>
      <c r="AG163" s="120" t="n"/>
      <c r="AH163" s="21" t="n"/>
      <c r="AL163" s="22" t="n"/>
      <c r="AM163" s="120" t="n"/>
      <c r="AN163" s="21" t="n"/>
      <c r="AR163" s="22" t="n"/>
      <c r="AS163" s="120" t="n"/>
    </row>
    <row r="164" hidden="1" outlineLevel="3">
      <c r="A164" s="8" t="n"/>
      <c r="B164" s="14" t="n"/>
      <c r="C164" s="120" t="n"/>
      <c r="D164" s="120" t="n"/>
      <c r="E164" s="120" t="n"/>
      <c r="F164" s="120" t="n"/>
      <c r="G164" s="120" t="n"/>
      <c r="I164" s="23" t="n"/>
      <c r="J164" s="24" t="n"/>
      <c r="K164" s="24" t="n"/>
      <c r="L164" s="24" t="n"/>
      <c r="M164" s="25" t="n"/>
      <c r="N164" s="120" t="n"/>
      <c r="O164" s="23" t="n"/>
      <c r="P164" s="24" t="n"/>
      <c r="Q164" s="24" t="n"/>
      <c r="R164" s="24" t="n"/>
      <c r="S164" s="25" t="n"/>
      <c r="T164" s="120" t="n"/>
      <c r="U164" s="23" t="n"/>
      <c r="V164" s="24" t="n"/>
      <c r="W164" s="24" t="n"/>
      <c r="X164" s="24" t="n"/>
      <c r="Y164" s="25" t="n"/>
      <c r="Z164" s="120" t="n"/>
      <c r="AB164" s="23" t="n"/>
      <c r="AC164" s="24" t="n"/>
      <c r="AD164" s="24" t="n"/>
      <c r="AE164" s="24" t="n"/>
      <c r="AF164" s="25" t="n"/>
      <c r="AG164" s="120" t="n"/>
      <c r="AH164" s="23" t="n"/>
      <c r="AI164" s="24" t="n"/>
      <c r="AJ164" s="24" t="n"/>
      <c r="AK164" s="24" t="n"/>
      <c r="AL164" s="25" t="n"/>
      <c r="AM164" s="120" t="n"/>
      <c r="AN164" s="23" t="n"/>
      <c r="AO164" s="24" t="n"/>
      <c r="AP164" s="24" t="n"/>
      <c r="AQ164" s="24" t="n"/>
      <c r="AR164" s="25" t="n"/>
      <c r="AS164" s="120" t="n"/>
    </row>
    <row r="165" hidden="1" outlineLevel="2">
      <c r="A165" s="8" t="n"/>
      <c r="B165" s="14" t="n"/>
      <c r="C165" s="120" t="n"/>
      <c r="D165" s="120" t="n"/>
      <c r="E165" s="120" t="n"/>
      <c r="F165" s="120" t="n"/>
      <c r="G165" s="120" t="n"/>
      <c r="I165" s="124" t="inlineStr">
        <is>
          <t>Projétil</t>
        </is>
      </c>
      <c r="J165" s="17" t="n"/>
      <c r="K165" s="68">
        <f>DADOS_INVOC!$PR$12</f>
        <v/>
      </c>
      <c r="L165" s="17" t="n"/>
      <c r="M165" s="68">
        <f>DADOS_INVOC!$PN$12</f>
        <v/>
      </c>
      <c r="N165" s="120" t="n"/>
      <c r="O165" s="124" t="inlineStr">
        <is>
          <t>Projétil</t>
        </is>
      </c>
      <c r="P165" s="17" t="n"/>
      <c r="Q165" s="68">
        <f>DADOS_INVOC!$PR$13</f>
        <v/>
      </c>
      <c r="R165" s="17" t="n"/>
      <c r="S165" s="68">
        <f>DADOS_INVOC!$PN$13</f>
        <v/>
      </c>
      <c r="T165" s="120" t="n"/>
      <c r="U165" s="124" t="inlineStr">
        <is>
          <t>Projétil</t>
        </is>
      </c>
      <c r="V165" s="17" t="n"/>
      <c r="W165" s="68">
        <f>DADOS_INVOC!$PR$14</f>
        <v/>
      </c>
      <c r="X165" s="17" t="n"/>
      <c r="Y165" s="68">
        <f>DADOS_INVOC!$PN$14</f>
        <v/>
      </c>
      <c r="Z165" s="120" t="n"/>
      <c r="AB165" s="124" t="inlineStr">
        <is>
          <t>Projétil</t>
        </is>
      </c>
      <c r="AC165" s="17" t="n"/>
      <c r="AD165" s="68">
        <f>DADOS_INVOC!$PR$90</f>
        <v/>
      </c>
      <c r="AE165" s="17" t="n"/>
      <c r="AF165" s="68">
        <f>DADOS_INVOC!$PN$90</f>
        <v/>
      </c>
      <c r="AG165" s="120" t="n"/>
      <c r="AH165" s="124" t="inlineStr">
        <is>
          <t>Projétil</t>
        </is>
      </c>
      <c r="AI165" s="17" t="n"/>
      <c r="AJ165" s="68">
        <f>DADOS_INVOC!$PR$91</f>
        <v/>
      </c>
      <c r="AK165" s="17" t="n"/>
      <c r="AL165" s="68">
        <f>DADOS_INVOC!$PN$91</f>
        <v/>
      </c>
      <c r="AM165" s="120" t="n"/>
      <c r="AN165" s="124" t="inlineStr">
        <is>
          <t>Projétil</t>
        </is>
      </c>
      <c r="AO165" s="17" t="n"/>
      <c r="AP165" s="68">
        <f>DADOS_INVOC!$PR$92</f>
        <v/>
      </c>
      <c r="AQ165" s="17" t="n"/>
      <c r="AR165" s="68">
        <f>DADOS_INVOC!$PN$92</f>
        <v/>
      </c>
      <c r="AS165" s="120" t="n"/>
    </row>
    <row r="166" hidden="1" outlineLevel="2">
      <c r="A166" s="8" t="n"/>
      <c r="B166" s="14" t="n"/>
      <c r="C166" s="120" t="n"/>
      <c r="D166" s="120" t="n"/>
      <c r="E166" s="120" t="n"/>
      <c r="F166" s="120" t="n"/>
      <c r="G166" s="120" t="n"/>
      <c r="I166" s="124" t="n"/>
      <c r="J166" s="17" t="n"/>
      <c r="K166" s="124" t="n"/>
      <c r="L166" s="16" t="n"/>
      <c r="M166" s="17" t="n"/>
      <c r="N166" s="120" t="n"/>
      <c r="O166" s="124" t="n"/>
      <c r="P166" s="17" t="n"/>
      <c r="Q166" s="124" t="n"/>
      <c r="R166" s="16" t="n"/>
      <c r="S166" s="17" t="n"/>
      <c r="T166" s="120" t="n"/>
      <c r="U166" s="124" t="n"/>
      <c r="V166" s="17" t="n"/>
      <c r="W166" s="124" t="n"/>
      <c r="X166" s="16" t="n"/>
      <c r="Y166" s="17" t="n"/>
      <c r="Z166" s="120" t="n"/>
      <c r="AB166" s="124" t="n"/>
      <c r="AC166" s="17" t="n"/>
      <c r="AD166" s="124" t="n"/>
      <c r="AE166" s="16" t="n"/>
      <c r="AF166" s="17" t="n"/>
      <c r="AG166" s="120" t="n"/>
      <c r="AH166" s="124" t="n"/>
      <c r="AI166" s="17" t="n"/>
      <c r="AJ166" s="124" t="n"/>
      <c r="AK166" s="16" t="n"/>
      <c r="AL166" s="17" t="n"/>
      <c r="AM166" s="120" t="n"/>
      <c r="AN166" s="124" t="n"/>
      <c r="AO166" s="17" t="n"/>
      <c r="AP166" s="124" t="n"/>
      <c r="AQ166" s="16" t="n"/>
      <c r="AR166" s="17" t="n"/>
      <c r="AS166" s="120" t="n"/>
    </row>
    <row r="167" hidden="1" outlineLevel="2">
      <c r="A167" s="8" t="n"/>
      <c r="B167" s="14" t="n"/>
      <c r="C167" s="120" t="n"/>
      <c r="D167" s="120" t="n"/>
      <c r="E167" s="120" t="n"/>
      <c r="F167" s="120" t="n"/>
      <c r="G167" s="120" t="n"/>
      <c r="I167" s="124">
        <f>DADOS_INVOC!$PO$12</f>
        <v/>
      </c>
      <c r="J167" s="17" t="n"/>
      <c r="K167" s="124">
        <f>DADOS_INVOC!$PQ$12</f>
        <v/>
      </c>
      <c r="L167" s="16" t="n"/>
      <c r="M167" s="17" t="n"/>
      <c r="N167" s="120" t="n"/>
      <c r="O167" s="124">
        <f>DADOS_INVOC!$PO$13</f>
        <v/>
      </c>
      <c r="P167" s="17" t="n"/>
      <c r="Q167" s="124">
        <f>DADOS_INVOC!$PQ$13</f>
        <v/>
      </c>
      <c r="R167" s="16" t="n"/>
      <c r="S167" s="17" t="n"/>
      <c r="T167" s="120" t="n"/>
      <c r="U167" s="124">
        <f>DADOS_INVOC!$PO$14</f>
        <v/>
      </c>
      <c r="V167" s="17" t="n"/>
      <c r="W167" s="124">
        <f>DADOS_INVOC!$PQ$14</f>
        <v/>
      </c>
      <c r="X167" s="16" t="n"/>
      <c r="Y167" s="17" t="n"/>
      <c r="Z167" s="120" t="n"/>
      <c r="AB167" s="124">
        <f>DADOS_INVOC!$PO$90</f>
        <v/>
      </c>
      <c r="AC167" s="17" t="n"/>
      <c r="AD167" s="124">
        <f>DADOS_INVOC!$PQ$90</f>
        <v/>
      </c>
      <c r="AE167" s="16" t="n"/>
      <c r="AF167" s="17" t="n"/>
      <c r="AG167" s="120" t="n"/>
      <c r="AH167" s="124">
        <f>DADOS_INVOC!$PO$91</f>
        <v/>
      </c>
      <c r="AI167" s="17" t="n"/>
      <c r="AJ167" s="124">
        <f>DADOS_INVOC!$PQ$91</f>
        <v/>
      </c>
      <c r="AK167" s="16" t="n"/>
      <c r="AL167" s="17" t="n"/>
      <c r="AM167" s="120" t="n"/>
      <c r="AN167" s="124">
        <f>DADOS_INVOC!$PO$92</f>
        <v/>
      </c>
      <c r="AO167" s="17" t="n"/>
      <c r="AP167" s="124">
        <f>DADOS_INVOC!$PQ$92</f>
        <v/>
      </c>
      <c r="AQ167" s="16" t="n"/>
      <c r="AR167" s="17" t="n"/>
      <c r="AS167" s="120" t="n"/>
    </row>
    <row r="168" hidden="1" outlineLevel="2">
      <c r="A168" s="8" t="n"/>
      <c r="B168" s="14" t="n"/>
      <c r="C168" s="120" t="n"/>
      <c r="D168" s="120" t="n"/>
      <c r="E168" s="120" t="n"/>
      <c r="F168" s="120" t="n"/>
      <c r="G168" s="120" t="n"/>
      <c r="I168" s="129">
        <f>DADOS_INVOC!$PW$12</f>
        <v/>
      </c>
      <c r="J168" s="16" t="n"/>
      <c r="K168" s="16" t="n"/>
      <c r="L168" s="16" t="n"/>
      <c r="M168" s="17" t="n"/>
      <c r="N168" s="120" t="n"/>
      <c r="O168" s="129">
        <f>DADOS_INVOC!$PW$13</f>
        <v/>
      </c>
      <c r="P168" s="16" t="n"/>
      <c r="Q168" s="16" t="n"/>
      <c r="R168" s="16" t="n"/>
      <c r="S168" s="17" t="n"/>
      <c r="T168" s="120" t="n"/>
      <c r="U168" s="129">
        <f>DADOS_INVOC!$PW$14</f>
        <v/>
      </c>
      <c r="V168" s="16" t="n"/>
      <c r="W168" s="16" t="n"/>
      <c r="X168" s="16" t="n"/>
      <c r="Y168" s="17" t="n"/>
      <c r="Z168" s="120" t="n"/>
      <c r="AB168" s="129">
        <f>DADOS_INVOC!$PW$90</f>
        <v/>
      </c>
      <c r="AC168" s="16" t="n"/>
      <c r="AD168" s="16" t="n"/>
      <c r="AE168" s="16" t="n"/>
      <c r="AF168" s="17" t="n"/>
      <c r="AG168" s="120" t="n"/>
      <c r="AH168" s="129">
        <f>DADOS_INVOC!$PW$91</f>
        <v/>
      </c>
      <c r="AI168" s="16" t="n"/>
      <c r="AJ168" s="16" t="n"/>
      <c r="AK168" s="16" t="n"/>
      <c r="AL168" s="17" t="n"/>
      <c r="AM168" s="120" t="n"/>
      <c r="AN168" s="129">
        <f>DADOS_INVOC!$PW$92</f>
        <v/>
      </c>
      <c r="AO168" s="16" t="n"/>
      <c r="AP168" s="16" t="n"/>
      <c r="AQ168" s="16" t="n"/>
      <c r="AR168" s="17" t="n"/>
      <c r="AS168" s="120" t="n"/>
    </row>
    <row r="169" hidden="1" outlineLevel="3">
      <c r="A169" s="8" t="n"/>
      <c r="B169" s="14" t="n"/>
      <c r="C169" s="120" t="n"/>
      <c r="D169" s="120" t="n"/>
      <c r="E169" s="120" t="n"/>
      <c r="F169" s="120" t="n"/>
      <c r="G169" s="120" t="n"/>
      <c r="I169" s="55" t="inlineStr">
        <is>
          <t>MELHORIAS</t>
        </is>
      </c>
      <c r="J169" s="130" t="n"/>
      <c r="K169" s="16" t="n"/>
      <c r="L169" s="17" t="n"/>
      <c r="M169" s="129">
        <f>DADOS_INVOC!$PZ$12</f>
        <v/>
      </c>
      <c r="N169" s="120" t="n"/>
      <c r="O169" s="55" t="inlineStr">
        <is>
          <t>MELHORIAS</t>
        </is>
      </c>
      <c r="P169" s="130" t="n"/>
      <c r="Q169" s="16" t="n"/>
      <c r="R169" s="17" t="n"/>
      <c r="S169" s="129">
        <f>DADOS_INVOC!$PZ$13</f>
        <v/>
      </c>
      <c r="T169" s="120" t="n"/>
      <c r="U169" s="55" t="inlineStr">
        <is>
          <t>MELHORIAS</t>
        </is>
      </c>
      <c r="V169" s="130" t="n"/>
      <c r="W169" s="16" t="n"/>
      <c r="X169" s="17" t="n"/>
      <c r="Y169" s="129">
        <f>DADOS_INVOC!$PZ$14</f>
        <v/>
      </c>
      <c r="Z169" s="120" t="n"/>
      <c r="AB169" s="55" t="inlineStr">
        <is>
          <t>MELHORIAS</t>
        </is>
      </c>
      <c r="AC169" s="130" t="n"/>
      <c r="AD169" s="16" t="n"/>
      <c r="AE169" s="17" t="n"/>
      <c r="AF169" s="129">
        <f>DADOS_INVOC!$PZ$90</f>
        <v/>
      </c>
      <c r="AG169" s="120" t="n"/>
      <c r="AH169" s="55" t="inlineStr">
        <is>
          <t>MELHORIAS</t>
        </is>
      </c>
      <c r="AI169" s="130" t="n"/>
      <c r="AJ169" s="16" t="n"/>
      <c r="AK169" s="17" t="n"/>
      <c r="AL169" s="129">
        <f>DADOS_INVOC!$PZ$91</f>
        <v/>
      </c>
      <c r="AM169" s="120" t="n"/>
      <c r="AN169" s="55" t="inlineStr">
        <is>
          <t>MELHORIAS</t>
        </is>
      </c>
      <c r="AO169" s="130" t="n"/>
      <c r="AP169" s="16" t="n"/>
      <c r="AQ169" s="17" t="n"/>
      <c r="AR169" s="129">
        <f>DADOS_INVOC!$PZ$92</f>
        <v/>
      </c>
      <c r="AS169" s="120" t="n"/>
    </row>
    <row r="170" hidden="1" outlineLevel="3">
      <c r="A170" s="8" t="n"/>
      <c r="B170" s="14" t="n"/>
      <c r="C170" s="120" t="n"/>
      <c r="D170" s="120" t="n"/>
      <c r="E170" s="120" t="n"/>
      <c r="F170" s="120" t="n"/>
      <c r="G170" s="120" t="n"/>
      <c r="I170" s="131" t="n"/>
      <c r="J170" s="130" t="n"/>
      <c r="K170" s="16" t="n"/>
      <c r="L170" s="17" t="n"/>
      <c r="M170" s="129">
        <f>DADOS_INVOC!$QA$12</f>
        <v/>
      </c>
      <c r="N170" s="120" t="n"/>
      <c r="O170" s="131" t="n"/>
      <c r="P170" s="130" t="n"/>
      <c r="Q170" s="16" t="n"/>
      <c r="R170" s="17" t="n"/>
      <c r="S170" s="129">
        <f>DADOS_INVOC!$QA$13</f>
        <v/>
      </c>
      <c r="T170" s="120" t="n"/>
      <c r="U170" s="131" t="n"/>
      <c r="V170" s="130" t="n"/>
      <c r="W170" s="16" t="n"/>
      <c r="X170" s="17" t="n"/>
      <c r="Y170" s="129">
        <f>DADOS_INVOC!$QA$14</f>
        <v/>
      </c>
      <c r="Z170" s="120" t="n"/>
      <c r="AB170" s="131" t="n"/>
      <c r="AC170" s="130" t="n"/>
      <c r="AD170" s="16" t="n"/>
      <c r="AE170" s="17" t="n"/>
      <c r="AF170" s="129">
        <f>DADOS_INVOC!$QA$90</f>
        <v/>
      </c>
      <c r="AG170" s="120" t="n"/>
      <c r="AH170" s="131" t="n"/>
      <c r="AI170" s="130" t="n"/>
      <c r="AJ170" s="16" t="n"/>
      <c r="AK170" s="17" t="n"/>
      <c r="AL170" s="129">
        <f>DADOS_INVOC!$QA$91</f>
        <v/>
      </c>
      <c r="AM170" s="120" t="n"/>
      <c r="AN170" s="131" t="n"/>
      <c r="AO170" s="130" t="n"/>
      <c r="AP170" s="16" t="n"/>
      <c r="AQ170" s="17" t="n"/>
      <c r="AR170" s="129">
        <f>DADOS_INVOC!$QA$92</f>
        <v/>
      </c>
      <c r="AS170" s="120" t="n"/>
    </row>
    <row r="171" hidden="1" outlineLevel="3">
      <c r="A171" s="8" t="n"/>
      <c r="B171" s="14" t="n"/>
      <c r="C171" s="120" t="n"/>
      <c r="D171" s="120" t="n"/>
      <c r="E171" s="120" t="n"/>
      <c r="F171" s="120" t="n"/>
      <c r="G171" s="120" t="n"/>
      <c r="I171" s="131" t="n"/>
      <c r="J171" s="130" t="n"/>
      <c r="K171" s="16" t="n"/>
      <c r="L171" s="17" t="n"/>
      <c r="M171" s="129">
        <f>DADOS_INVOC!$QB$12</f>
        <v/>
      </c>
      <c r="N171" s="120" t="n"/>
      <c r="O171" s="131" t="n"/>
      <c r="P171" s="130" t="n"/>
      <c r="Q171" s="16" t="n"/>
      <c r="R171" s="17" t="n"/>
      <c r="S171" s="129">
        <f>DADOS_INVOC!$QB$13</f>
        <v/>
      </c>
      <c r="T171" s="120" t="n"/>
      <c r="U171" s="131" t="n"/>
      <c r="V171" s="130" t="n"/>
      <c r="W171" s="16" t="n"/>
      <c r="X171" s="17" t="n"/>
      <c r="Y171" s="129">
        <f>DADOS_INVOC!$QB$14</f>
        <v/>
      </c>
      <c r="Z171" s="120" t="n"/>
      <c r="AB171" s="131" t="n"/>
      <c r="AC171" s="130" t="n"/>
      <c r="AD171" s="16" t="n"/>
      <c r="AE171" s="17" t="n"/>
      <c r="AF171" s="129">
        <f>DADOS_INVOC!$QB$90</f>
        <v/>
      </c>
      <c r="AG171" s="120" t="n"/>
      <c r="AH171" s="131" t="n"/>
      <c r="AI171" s="130" t="n"/>
      <c r="AJ171" s="16" t="n"/>
      <c r="AK171" s="17" t="n"/>
      <c r="AL171" s="129">
        <f>DADOS_INVOC!$QB$91</f>
        <v/>
      </c>
      <c r="AM171" s="120" t="n"/>
      <c r="AN171" s="131" t="n"/>
      <c r="AO171" s="130" t="n"/>
      <c r="AP171" s="16" t="n"/>
      <c r="AQ171" s="17" t="n"/>
      <c r="AR171" s="129">
        <f>DADOS_INVOC!$QB$92</f>
        <v/>
      </c>
      <c r="AS171" s="120" t="n"/>
    </row>
    <row r="172" hidden="1" outlineLevel="3">
      <c r="A172" s="8" t="n"/>
      <c r="B172" s="14" t="n"/>
      <c r="C172" s="120" t="n"/>
      <c r="D172" s="120" t="n"/>
      <c r="E172" s="120" t="n"/>
      <c r="F172" s="120" t="n"/>
      <c r="G172" s="120" t="n"/>
      <c r="I172" s="125" t="n"/>
      <c r="J172" s="130" t="n"/>
      <c r="K172" s="16" t="n"/>
      <c r="L172" s="17" t="n"/>
      <c r="M172" s="129">
        <f>DADOS_INVOC!$QC$12</f>
        <v/>
      </c>
      <c r="N172" s="120" t="n"/>
      <c r="O172" s="125" t="n"/>
      <c r="P172" s="130" t="n"/>
      <c r="Q172" s="16" t="n"/>
      <c r="R172" s="17" t="n"/>
      <c r="S172" s="129">
        <f>DADOS_INVOC!$QC$13</f>
        <v/>
      </c>
      <c r="T172" s="120" t="n"/>
      <c r="U172" s="125" t="n"/>
      <c r="V172" s="130" t="n"/>
      <c r="W172" s="16" t="n"/>
      <c r="X172" s="17" t="n"/>
      <c r="Y172" s="129">
        <f>DADOS_INVOC!$QC$14</f>
        <v/>
      </c>
      <c r="Z172" s="120" t="n"/>
      <c r="AB172" s="125" t="n"/>
      <c r="AC172" s="130" t="n"/>
      <c r="AD172" s="16" t="n"/>
      <c r="AE172" s="17" t="n"/>
      <c r="AF172" s="129">
        <f>DADOS_INVOC!$QC$90</f>
        <v/>
      </c>
      <c r="AG172" s="120" t="n"/>
      <c r="AH172" s="125" t="n"/>
      <c r="AI172" s="130" t="n"/>
      <c r="AJ172" s="16" t="n"/>
      <c r="AK172" s="17" t="n"/>
      <c r="AL172" s="129">
        <f>DADOS_INVOC!$QC$91</f>
        <v/>
      </c>
      <c r="AM172" s="120" t="n"/>
      <c r="AN172" s="125" t="n"/>
      <c r="AO172" s="130" t="n"/>
      <c r="AP172" s="16" t="n"/>
      <c r="AQ172" s="17" t="n"/>
      <c r="AR172" s="129">
        <f>DADOS_INVOC!$QC$92</f>
        <v/>
      </c>
      <c r="AS172" s="120" t="n"/>
    </row>
    <row r="173" hidden="1" outlineLevel="3">
      <c r="A173" s="8" t="n"/>
      <c r="B173" s="14" t="n"/>
      <c r="C173" s="120" t="n"/>
      <c r="D173" s="120" t="n"/>
      <c r="E173" s="120" t="n"/>
      <c r="F173" s="120" t="n"/>
      <c r="G173" s="120" t="n"/>
      <c r="I173" s="55" t="inlineStr">
        <is>
          <t>RESTRIÇÕES</t>
        </is>
      </c>
      <c r="J173" s="130" t="n"/>
      <c r="K173" s="16" t="n"/>
      <c r="L173" s="17" t="n"/>
      <c r="M173" s="129">
        <f>DADOS_INVOC!$QD$12</f>
        <v/>
      </c>
      <c r="N173" s="120" t="n"/>
      <c r="O173" s="55" t="inlineStr">
        <is>
          <t>RESTRIÇÕES</t>
        </is>
      </c>
      <c r="P173" s="130" t="n"/>
      <c r="Q173" s="16" t="n"/>
      <c r="R173" s="17" t="n"/>
      <c r="S173" s="129">
        <f>DADOS_INVOC!$QD$13</f>
        <v/>
      </c>
      <c r="T173" s="120" t="n"/>
      <c r="U173" s="55" t="inlineStr">
        <is>
          <t>RESTRIÇÕES</t>
        </is>
      </c>
      <c r="V173" s="130" t="n"/>
      <c r="W173" s="16" t="n"/>
      <c r="X173" s="17" t="n"/>
      <c r="Y173" s="129">
        <f>DADOS_INVOC!$QD$14</f>
        <v/>
      </c>
      <c r="Z173" s="120" t="n"/>
      <c r="AB173" s="55" t="inlineStr">
        <is>
          <t>RESTRIÇÕES</t>
        </is>
      </c>
      <c r="AC173" s="130" t="n"/>
      <c r="AD173" s="16" t="n"/>
      <c r="AE173" s="17" t="n"/>
      <c r="AF173" s="129">
        <f>DADOS_INVOC!$QD$90</f>
        <v/>
      </c>
      <c r="AG173" s="120" t="n"/>
      <c r="AH173" s="55" t="inlineStr">
        <is>
          <t>RESTRIÇÕES</t>
        </is>
      </c>
      <c r="AI173" s="130" t="n"/>
      <c r="AJ173" s="16" t="n"/>
      <c r="AK173" s="17" t="n"/>
      <c r="AL173" s="129">
        <f>DADOS_INVOC!$QD$91</f>
        <v/>
      </c>
      <c r="AM173" s="120" t="n"/>
      <c r="AN173" s="55" t="inlineStr">
        <is>
          <t>RESTRIÇÕES</t>
        </is>
      </c>
      <c r="AO173" s="130" t="n"/>
      <c r="AP173" s="16" t="n"/>
      <c r="AQ173" s="17" t="n"/>
      <c r="AR173" s="129">
        <f>DADOS_INVOC!$QD$92</f>
        <v/>
      </c>
      <c r="AS173" s="120" t="n"/>
    </row>
    <row r="174" hidden="1" outlineLevel="3">
      <c r="A174" s="8" t="n"/>
      <c r="B174" s="14" t="n"/>
      <c r="C174" s="120" t="n"/>
      <c r="D174" s="120" t="n"/>
      <c r="E174" s="120" t="n"/>
      <c r="F174" s="120" t="n"/>
      <c r="G174" s="120" t="n"/>
      <c r="I174" s="125" t="n"/>
      <c r="J174" s="130" t="n"/>
      <c r="K174" s="16" t="n"/>
      <c r="L174" s="17" t="n"/>
      <c r="M174" s="129">
        <f>DADOS_INVOC!$QE$12</f>
        <v/>
      </c>
      <c r="N174" s="120" t="n"/>
      <c r="O174" s="125" t="n"/>
      <c r="P174" s="130" t="n"/>
      <c r="Q174" s="16" t="n"/>
      <c r="R174" s="17" t="n"/>
      <c r="S174" s="129">
        <f>DADOS_INVOC!$QE$13</f>
        <v/>
      </c>
      <c r="T174" s="120" t="n"/>
      <c r="U174" s="125" t="n"/>
      <c r="V174" s="130" t="n"/>
      <c r="W174" s="16" t="n"/>
      <c r="X174" s="17" t="n"/>
      <c r="Y174" s="129">
        <f>DADOS_INVOC!$QE$14</f>
        <v/>
      </c>
      <c r="Z174" s="120" t="n"/>
      <c r="AB174" s="125" t="n"/>
      <c r="AC174" s="130" t="n"/>
      <c r="AD174" s="16" t="n"/>
      <c r="AE174" s="17" t="n"/>
      <c r="AF174" s="129">
        <f>DADOS_INVOC!$QE$90</f>
        <v/>
      </c>
      <c r="AG174" s="120" t="n"/>
      <c r="AH174" s="125" t="n"/>
      <c r="AI174" s="130" t="n"/>
      <c r="AJ174" s="16" t="n"/>
      <c r="AK174" s="17" t="n"/>
      <c r="AL174" s="129">
        <f>DADOS_INVOC!$QE$91</f>
        <v/>
      </c>
      <c r="AM174" s="120" t="n"/>
      <c r="AN174" s="125" t="n"/>
      <c r="AO174" s="130" t="n"/>
      <c r="AP174" s="16" t="n"/>
      <c r="AQ174" s="17" t="n"/>
      <c r="AR174" s="129">
        <f>DADOS_INVOC!$QE$92</f>
        <v/>
      </c>
      <c r="AS174" s="120" t="n"/>
    </row>
    <row r="175" hidden="1" outlineLevel="3">
      <c r="A175" s="8" t="n"/>
      <c r="B175" s="14" t="n"/>
      <c r="C175" s="120" t="n"/>
      <c r="D175" s="120" t="n"/>
      <c r="E175" s="120" t="n"/>
      <c r="F175" s="120" t="n"/>
      <c r="G175" s="120" t="n"/>
      <c r="I175" s="55" t="inlineStr">
        <is>
          <t>CONTA</t>
        </is>
      </c>
      <c r="J175" s="132">
        <f>DADOS_INVOC!$PX$12</f>
        <v/>
      </c>
      <c r="K175" s="16" t="n"/>
      <c r="L175" s="16" t="n"/>
      <c r="M175" s="17" t="n"/>
      <c r="N175" s="120" t="n"/>
      <c r="O175" s="55" t="inlineStr">
        <is>
          <t>CONTA</t>
        </is>
      </c>
      <c r="P175" s="132">
        <f>DADOS_INVOC!$PX$13</f>
        <v/>
      </c>
      <c r="Q175" s="16" t="n"/>
      <c r="R175" s="16" t="n"/>
      <c r="S175" s="17" t="n"/>
      <c r="T175" s="120" t="n"/>
      <c r="U175" s="55" t="inlineStr">
        <is>
          <t>CONTA</t>
        </is>
      </c>
      <c r="V175" s="132">
        <f>DADOS_INVOC!$PX$14</f>
        <v/>
      </c>
      <c r="W175" s="16" t="n"/>
      <c r="X175" s="16" t="n"/>
      <c r="Y175" s="17" t="n"/>
      <c r="Z175" s="120" t="n"/>
      <c r="AB175" s="55" t="inlineStr">
        <is>
          <t>CONTA</t>
        </is>
      </c>
      <c r="AC175" s="132">
        <f>DADOS_INVOC!$PX$90</f>
        <v/>
      </c>
      <c r="AD175" s="16" t="n"/>
      <c r="AE175" s="16" t="n"/>
      <c r="AF175" s="17" t="n"/>
      <c r="AG175" s="120" t="n"/>
      <c r="AH175" s="55" t="inlineStr">
        <is>
          <t>CONTA</t>
        </is>
      </c>
      <c r="AI175" s="132">
        <f>DADOS_INVOC!$PX$91</f>
        <v/>
      </c>
      <c r="AJ175" s="16" t="n"/>
      <c r="AK175" s="16" t="n"/>
      <c r="AL175" s="17" t="n"/>
      <c r="AM175" s="120" t="n"/>
      <c r="AN175" s="55" t="inlineStr">
        <is>
          <t>CONTA</t>
        </is>
      </c>
      <c r="AO175" s="132">
        <f>DADOS_INVOC!$PX$92</f>
        <v/>
      </c>
      <c r="AP175" s="16" t="n"/>
      <c r="AQ175" s="16" t="n"/>
      <c r="AR175" s="17" t="n"/>
      <c r="AS175" s="120" t="n"/>
    </row>
    <row r="176" hidden="1" outlineLevel="3">
      <c r="A176" s="8" t="n"/>
      <c r="B176" s="14" t="n"/>
      <c r="C176" s="120" t="n"/>
      <c r="D176" s="120" t="n"/>
      <c r="E176" s="120" t="n"/>
      <c r="F176" s="120" t="n"/>
      <c r="G176" s="120" t="n"/>
      <c r="I176" s="55" t="inlineStr">
        <is>
          <t>AMPLIAR</t>
        </is>
      </c>
      <c r="J176" s="132">
        <f>DADOS_INVOC!$PY$12</f>
        <v/>
      </c>
      <c r="K176" s="19" t="n"/>
      <c r="L176" s="19" t="n"/>
      <c r="M176" s="20" t="n"/>
      <c r="N176" s="120" t="n"/>
      <c r="O176" s="55" t="inlineStr">
        <is>
          <t>AMPLIAR</t>
        </is>
      </c>
      <c r="P176" s="132">
        <f>DADOS_INVOC!$PY$13</f>
        <v/>
      </c>
      <c r="Q176" s="19" t="n"/>
      <c r="R176" s="19" t="n"/>
      <c r="S176" s="20" t="n"/>
      <c r="T176" s="120" t="n"/>
      <c r="U176" s="55" t="inlineStr">
        <is>
          <t>AMPLIAR</t>
        </is>
      </c>
      <c r="V176" s="132">
        <f>DADOS_INVOC!$PY$14</f>
        <v/>
      </c>
      <c r="W176" s="19" t="n"/>
      <c r="X176" s="19" t="n"/>
      <c r="Y176" s="20" t="n"/>
      <c r="Z176" s="120" t="n"/>
      <c r="AB176" s="55" t="inlineStr">
        <is>
          <t>AMPLIAR</t>
        </is>
      </c>
      <c r="AC176" s="132">
        <f>DADOS_INVOC!$PY$90</f>
        <v/>
      </c>
      <c r="AD176" s="19" t="n"/>
      <c r="AE176" s="19" t="n"/>
      <c r="AF176" s="20" t="n"/>
      <c r="AG176" s="120" t="n"/>
      <c r="AH176" s="55" t="inlineStr">
        <is>
          <t>AMPLIAR</t>
        </is>
      </c>
      <c r="AI176" s="132">
        <f>DADOS_INVOC!$PY$91</f>
        <v/>
      </c>
      <c r="AJ176" s="19" t="n"/>
      <c r="AK176" s="19" t="n"/>
      <c r="AL176" s="20" t="n"/>
      <c r="AM176" s="120" t="n"/>
      <c r="AN176" s="55" t="inlineStr">
        <is>
          <t>AMPLIAR</t>
        </is>
      </c>
      <c r="AO176" s="132">
        <f>DADOS_INVOC!$PY$92</f>
        <v/>
      </c>
      <c r="AP176" s="19" t="n"/>
      <c r="AQ176" s="19" t="n"/>
      <c r="AR176" s="20" t="n"/>
      <c r="AS176" s="120" t="n"/>
    </row>
    <row r="177" hidden="1" outlineLevel="3">
      <c r="A177" s="8" t="n"/>
      <c r="B177" s="14" t="n"/>
      <c r="C177" s="120" t="n"/>
      <c r="D177" s="120" t="n"/>
      <c r="E177" s="120" t="n"/>
      <c r="F177" s="120" t="n"/>
      <c r="G177" s="120" t="n"/>
      <c r="I177" s="125" t="n"/>
      <c r="J177" s="23" t="n"/>
      <c r="K177" s="24" t="n"/>
      <c r="L177" s="24" t="n"/>
      <c r="M177" s="25" t="n"/>
      <c r="N177" s="120" t="n"/>
      <c r="O177" s="125" t="n"/>
      <c r="P177" s="23" t="n"/>
      <c r="Q177" s="24" t="n"/>
      <c r="R177" s="24" t="n"/>
      <c r="S177" s="25" t="n"/>
      <c r="T177" s="120" t="n"/>
      <c r="U177" s="125" t="n"/>
      <c r="V177" s="23" t="n"/>
      <c r="W177" s="24" t="n"/>
      <c r="X177" s="24" t="n"/>
      <c r="Y177" s="25" t="n"/>
      <c r="Z177" s="120" t="n"/>
      <c r="AB177" s="125" t="n"/>
      <c r="AC177" s="23" t="n"/>
      <c r="AD177" s="24" t="n"/>
      <c r="AE177" s="24" t="n"/>
      <c r="AF177" s="25" t="n"/>
      <c r="AG177" s="120" t="n"/>
      <c r="AH177" s="125" t="n"/>
      <c r="AI177" s="23" t="n"/>
      <c r="AJ177" s="24" t="n"/>
      <c r="AK177" s="24" t="n"/>
      <c r="AL177" s="25" t="n"/>
      <c r="AM177" s="120" t="n"/>
      <c r="AN177" s="125" t="n"/>
      <c r="AO177" s="23" t="n"/>
      <c r="AP177" s="24" t="n"/>
      <c r="AQ177" s="24" t="n"/>
      <c r="AR177" s="25" t="n"/>
      <c r="AS177" s="120" t="n"/>
    </row>
    <row r="178" hidden="1" outlineLevel="3">
      <c r="A178" s="8" t="n"/>
      <c r="B178" s="14" t="n"/>
      <c r="C178" s="120" t="n"/>
      <c r="D178" s="120" t="n"/>
      <c r="E178" s="120" t="n"/>
      <c r="F178" s="120" t="n"/>
      <c r="G178" s="120" t="n"/>
      <c r="I178" s="132">
        <f>DADOS_INVOC!$PL$12</f>
        <v/>
      </c>
      <c r="J178" s="19" t="n"/>
      <c r="K178" s="19" t="n"/>
      <c r="L178" s="19" t="n"/>
      <c r="M178" s="20" t="n"/>
      <c r="N178" s="120" t="n"/>
      <c r="O178" s="132">
        <f>DADOS_INVOC!$PL$13</f>
        <v/>
      </c>
      <c r="P178" s="19" t="n"/>
      <c r="Q178" s="19" t="n"/>
      <c r="R178" s="19" t="n"/>
      <c r="S178" s="20" t="n"/>
      <c r="T178" s="120" t="n"/>
      <c r="U178" s="132">
        <f>DADOS_INVOC!$PL$14</f>
        <v/>
      </c>
      <c r="V178" s="19" t="n"/>
      <c r="W178" s="19" t="n"/>
      <c r="X178" s="19" t="n"/>
      <c r="Y178" s="20" t="n"/>
      <c r="Z178" s="120" t="n"/>
      <c r="AB178" s="132">
        <f>DADOS_INVOC!$PL$90</f>
        <v/>
      </c>
      <c r="AC178" s="19" t="n"/>
      <c r="AD178" s="19" t="n"/>
      <c r="AE178" s="19" t="n"/>
      <c r="AF178" s="20" t="n"/>
      <c r="AG178" s="120" t="n"/>
      <c r="AH178" s="132">
        <f>DADOS_INVOC!$PL$91</f>
        <v/>
      </c>
      <c r="AI178" s="19" t="n"/>
      <c r="AJ178" s="19" t="n"/>
      <c r="AK178" s="19" t="n"/>
      <c r="AL178" s="20" t="n"/>
      <c r="AM178" s="120" t="n"/>
      <c r="AN178" s="132">
        <f>DADOS_INVOC!$PL$92</f>
        <v/>
      </c>
      <c r="AO178" s="19" t="n"/>
      <c r="AP178" s="19" t="n"/>
      <c r="AQ178" s="19" t="n"/>
      <c r="AR178" s="20" t="n"/>
      <c r="AS178" s="120" t="n"/>
    </row>
    <row r="179" hidden="1" outlineLevel="3">
      <c r="A179" s="8" t="n"/>
      <c r="B179" s="14" t="n"/>
      <c r="C179" s="120" t="n"/>
      <c r="D179" s="120" t="n"/>
      <c r="E179" s="120" t="n"/>
      <c r="F179" s="120" t="n"/>
      <c r="G179" s="120" t="n"/>
      <c r="I179" s="23" t="n"/>
      <c r="J179" s="24" t="n"/>
      <c r="K179" s="24" t="n"/>
      <c r="L179" s="24" t="n"/>
      <c r="M179" s="25" t="n"/>
      <c r="N179" s="120" t="n"/>
      <c r="O179" s="23" t="n"/>
      <c r="P179" s="24" t="n"/>
      <c r="Q179" s="24" t="n"/>
      <c r="R179" s="24" t="n"/>
      <c r="S179" s="25" t="n"/>
      <c r="T179" s="120" t="n"/>
      <c r="U179" s="23" t="n"/>
      <c r="V179" s="24" t="n"/>
      <c r="W179" s="24" t="n"/>
      <c r="X179" s="24" t="n"/>
      <c r="Y179" s="25" t="n"/>
      <c r="Z179" s="120" t="n"/>
      <c r="AB179" s="23" t="n"/>
      <c r="AC179" s="24" t="n"/>
      <c r="AD179" s="24" t="n"/>
      <c r="AE179" s="24" t="n"/>
      <c r="AF179" s="25" t="n"/>
      <c r="AG179" s="120" t="n"/>
      <c r="AH179" s="23" t="n"/>
      <c r="AI179" s="24" t="n"/>
      <c r="AJ179" s="24" t="n"/>
      <c r="AK179" s="24" t="n"/>
      <c r="AL179" s="25" t="n"/>
      <c r="AM179" s="120" t="n"/>
      <c r="AN179" s="23" t="n"/>
      <c r="AO179" s="24" t="n"/>
      <c r="AP179" s="24" t="n"/>
      <c r="AQ179" s="24" t="n"/>
      <c r="AR179" s="25" t="n"/>
      <c r="AS179" s="120" t="n"/>
    </row>
    <row r="180" hidden="1" outlineLevel="2">
      <c r="A180" s="8" t="n"/>
      <c r="B180" s="14" t="n"/>
      <c r="C180" s="120" t="n"/>
      <c r="D180" s="120" t="n"/>
      <c r="E180" s="120" t="n"/>
      <c r="F180" s="120" t="n"/>
      <c r="G180" s="120" t="n"/>
      <c r="I180" s="120" t="n"/>
      <c r="J180" s="120" t="n"/>
      <c r="K180" s="120" t="n"/>
      <c r="L180" s="120" t="n"/>
      <c r="M180" s="120" t="n"/>
      <c r="N180" s="120" t="n"/>
      <c r="O180" s="120" t="n"/>
      <c r="P180" s="120" t="n"/>
      <c r="Q180" s="120" t="n"/>
      <c r="R180" s="120" t="n"/>
      <c r="S180" s="120" t="n"/>
      <c r="T180" s="120" t="n"/>
      <c r="U180" s="120" t="n"/>
      <c r="V180" s="120" t="n"/>
      <c r="W180" s="120" t="n"/>
      <c r="X180" s="120" t="n"/>
      <c r="Y180" s="120" t="n"/>
      <c r="Z180" s="120" t="n"/>
      <c r="AB180" s="120" t="n"/>
      <c r="AC180" s="120" t="n"/>
      <c r="AD180" s="120" t="n"/>
      <c r="AE180" s="120" t="n"/>
      <c r="AF180" s="120" t="n"/>
      <c r="AG180" s="120" t="n"/>
      <c r="AH180" s="120" t="n"/>
      <c r="AI180" s="120" t="n"/>
      <c r="AJ180" s="120" t="n"/>
      <c r="AK180" s="120" t="n"/>
      <c r="AL180" s="120" t="n"/>
      <c r="AM180" s="120" t="n"/>
      <c r="AN180" s="120" t="n"/>
      <c r="AO180" s="120" t="n"/>
      <c r="AP180" s="120" t="n"/>
      <c r="AQ180" s="120" t="n"/>
      <c r="AR180" s="120" t="n"/>
      <c r="AS180" s="120" t="n"/>
    </row>
    <row r="181" hidden="1" outlineLevel="2">
      <c r="A181" s="8" t="n"/>
      <c r="B181" s="14" t="n"/>
      <c r="C181" s="120" t="n"/>
      <c r="D181" s="120" t="n"/>
      <c r="E181" s="120" t="n"/>
      <c r="F181" s="120" t="n"/>
      <c r="G181" s="120"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0"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0" t="n"/>
    </row>
    <row r="182" hidden="1" outlineLevel="2">
      <c r="A182" s="8" t="n"/>
      <c r="B182" s="14" t="n"/>
      <c r="C182" s="120" t="n"/>
      <c r="D182" s="120" t="n"/>
      <c r="E182" s="120" t="n"/>
      <c r="F182" s="120" t="n"/>
      <c r="G182" s="120" t="n"/>
      <c r="I182" s="55" t="inlineStr">
        <is>
          <t>TRILHA · CE 1</t>
        </is>
      </c>
      <c r="J182" s="130" t="n"/>
      <c r="K182" s="16" t="n"/>
      <c r="L182" s="17" t="n"/>
      <c r="M182" s="137">
        <f>DADOS_INVOC!$IL$2</f>
        <v/>
      </c>
      <c r="N182" s="16" t="n"/>
      <c r="O182" s="16" t="n"/>
      <c r="P182" s="16" t="n"/>
      <c r="Q182" s="16" t="n"/>
      <c r="R182" s="16" t="n"/>
      <c r="S182" s="16" t="n"/>
      <c r="T182" s="16" t="n"/>
      <c r="U182" s="16" t="n"/>
      <c r="V182" s="16" t="n"/>
      <c r="W182" s="16" t="n"/>
      <c r="X182" s="16" t="n"/>
      <c r="Y182" s="17" t="n"/>
      <c r="Z182" s="120" t="n"/>
      <c r="AB182" s="55" t="inlineStr">
        <is>
          <t>TRILHA · CE 1</t>
        </is>
      </c>
      <c r="AC182" s="130" t="n"/>
      <c r="AD182" s="16" t="n"/>
      <c r="AE182" s="17" t="n"/>
      <c r="AF182" s="137">
        <f>DADOS_INVOC!$IL$8</f>
        <v/>
      </c>
      <c r="AG182" s="16" t="n"/>
      <c r="AH182" s="16" t="n"/>
      <c r="AI182" s="16" t="n"/>
      <c r="AJ182" s="16" t="n"/>
      <c r="AK182" s="16" t="n"/>
      <c r="AL182" s="16" t="n"/>
      <c r="AM182" s="16" t="n"/>
      <c r="AN182" s="16" t="n"/>
      <c r="AO182" s="16" t="n"/>
      <c r="AP182" s="16" t="n"/>
      <c r="AQ182" s="16" t="n"/>
      <c r="AR182" s="17" t="n"/>
      <c r="AS182" s="120" t="n"/>
    </row>
    <row r="183" hidden="1" outlineLevel="2">
      <c r="A183" s="8" t="n"/>
      <c r="B183" s="14" t="n"/>
      <c r="C183" s="120" t="n"/>
      <c r="D183" s="120" t="n"/>
      <c r="E183" s="120" t="n"/>
      <c r="F183" s="120" t="n"/>
      <c r="G183" s="120" t="n"/>
      <c r="I183" s="55" t="inlineStr">
        <is>
          <t>TRILHA · CE 1</t>
        </is>
      </c>
      <c r="J183" s="130" t="n"/>
      <c r="K183" s="16" t="n"/>
      <c r="L183" s="17" t="n"/>
      <c r="M183" s="137">
        <f>DADOS_INVOC!$IM$2</f>
        <v/>
      </c>
      <c r="N183" s="16" t="n"/>
      <c r="O183" s="16" t="n"/>
      <c r="P183" s="16" t="n"/>
      <c r="Q183" s="16" t="n"/>
      <c r="R183" s="16" t="n"/>
      <c r="S183" s="16" t="n"/>
      <c r="T183" s="16" t="n"/>
      <c r="U183" s="16" t="n"/>
      <c r="V183" s="16" t="n"/>
      <c r="W183" s="16" t="n"/>
      <c r="X183" s="16" t="n"/>
      <c r="Y183" s="17" t="n"/>
      <c r="Z183" s="120" t="n"/>
      <c r="AB183" s="55" t="inlineStr">
        <is>
          <t>TRILHA · CE 1</t>
        </is>
      </c>
      <c r="AC183" s="130" t="n"/>
      <c r="AD183" s="16" t="n"/>
      <c r="AE183" s="17" t="n"/>
      <c r="AF183" s="137">
        <f>DADOS_INVOC!$IM$8</f>
        <v/>
      </c>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55" t="inlineStr">
        <is>
          <t>TRILHA · CE 1</t>
        </is>
      </c>
      <c r="J184" s="130" t="n"/>
      <c r="K184" s="16" t="n"/>
      <c r="L184" s="17" t="n"/>
      <c r="M184" s="137">
        <f>DADOS_INVOC!$IN$2</f>
        <v/>
      </c>
      <c r="N184" s="16" t="n"/>
      <c r="O184" s="16" t="n"/>
      <c r="P184" s="16" t="n"/>
      <c r="Q184" s="16" t="n"/>
      <c r="R184" s="16" t="n"/>
      <c r="S184" s="16" t="n"/>
      <c r="T184" s="16" t="n"/>
      <c r="U184" s="16" t="n"/>
      <c r="V184" s="16" t="n"/>
      <c r="W184" s="16" t="n"/>
      <c r="X184" s="16" t="n"/>
      <c r="Y184" s="17" t="n"/>
      <c r="Z184" s="120" t="n"/>
      <c r="AB184" s="55" t="inlineStr">
        <is>
          <t>TRILHA · CE 1</t>
        </is>
      </c>
      <c r="AC184" s="130" t="n"/>
      <c r="AD184" s="16" t="n"/>
      <c r="AE184" s="17" t="n"/>
      <c r="AF184" s="137">
        <f>DADOS_INVOC!$IN$8</f>
        <v/>
      </c>
      <c r="AG184" s="16" t="n"/>
      <c r="AH184" s="16" t="n"/>
      <c r="AI184" s="16" t="n"/>
      <c r="AJ184" s="16" t="n"/>
      <c r="AK184" s="16" t="n"/>
      <c r="AL184" s="16" t="n"/>
      <c r="AM184" s="16" t="n"/>
      <c r="AN184" s="16" t="n"/>
      <c r="AO184" s="16" t="n"/>
      <c r="AP184" s="16" t="n"/>
      <c r="AQ184" s="16" t="n"/>
      <c r="AR184" s="17" t="n"/>
      <c r="AS184" s="120" t="n"/>
    </row>
    <row r="185" outlineLevel="1">
      <c r="A185" s="8" t="n"/>
      <c r="B185" s="14" t="n"/>
      <c r="C185" s="120" t="n"/>
      <c r="D185" s="120" t="n"/>
      <c r="E185" s="120" t="n"/>
      <c r="F185" s="120" t="n"/>
      <c r="G185" s="120" t="n"/>
      <c r="I185" s="120" t="n"/>
      <c r="J185" s="120" t="n"/>
      <c r="K185" s="120" t="n"/>
      <c r="L185" s="120" t="n"/>
      <c r="M185" s="120" t="n"/>
      <c r="N185" s="120" t="n"/>
      <c r="O185" s="120" t="n"/>
      <c r="P185" s="120" t="n"/>
      <c r="Q185" s="120" t="n"/>
      <c r="R185" s="120" t="n"/>
      <c r="S185" s="120" t="n"/>
      <c r="T185" s="120" t="n"/>
      <c r="U185" s="120" t="n"/>
      <c r="V185" s="120" t="n"/>
      <c r="W185" s="120" t="n"/>
      <c r="X185" s="120" t="n"/>
      <c r="Y185" s="120" t="n"/>
      <c r="Z185" s="120" t="n"/>
      <c r="AB185" s="120" t="n"/>
      <c r="AC185" s="120" t="n"/>
      <c r="AD185" s="120" t="n"/>
      <c r="AE185" s="120" t="n"/>
      <c r="AF185" s="120" t="n"/>
      <c r="AG185" s="120" t="n"/>
      <c r="AH185" s="120" t="n"/>
      <c r="AI185" s="120" t="n"/>
      <c r="AJ185" s="120" t="n"/>
      <c r="AK185" s="120" t="n"/>
      <c r="AL185" s="120" t="n"/>
      <c r="AM185" s="120" t="n"/>
      <c r="AN185" s="120" t="n"/>
      <c r="AO185" s="120" t="n"/>
      <c r="AP185" s="120" t="n"/>
      <c r="AQ185" s="120" t="n"/>
      <c r="AR185" s="120" t="n"/>
      <c r="AS185" s="120" t="n"/>
    </row>
    <row r="186" outlineLevel="1">
      <c r="A186" s="8" t="n"/>
      <c r="B186" s="14" t="n"/>
      <c r="C186" s="120" t="n"/>
      <c r="D186" s="120" t="n"/>
      <c r="E186" s="120" t="n"/>
      <c r="F186" s="120" t="n"/>
      <c r="G186" s="120" t="n"/>
      <c r="I186" s="13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0" t="n"/>
      <c r="AB186" s="13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0" t="n"/>
    </row>
    <row r="187" hidden="1" outlineLevel="2">
      <c r="A187" s="8" t="n"/>
      <c r="B187" s="14" t="n"/>
      <c r="C187" s="120" t="n"/>
      <c r="D187" s="120" t="n"/>
      <c r="E187" s="120" t="n"/>
      <c r="F187" s="120" t="n"/>
      <c r="G187" s="120" t="n"/>
      <c r="I187" s="120" t="n"/>
      <c r="J187" s="120" t="n"/>
      <c r="K187" s="120" t="n"/>
      <c r="L187" s="120" t="n"/>
      <c r="M187" s="120" t="n"/>
      <c r="N187" s="120" t="n"/>
      <c r="O187" s="120" t="n"/>
      <c r="P187" s="120" t="n"/>
      <c r="Q187" s="120" t="n"/>
      <c r="R187" s="120" t="n"/>
      <c r="S187" s="120" t="n"/>
      <c r="T187" s="120" t="n"/>
      <c r="U187" s="120" t="n"/>
      <c r="V187" s="120" t="n"/>
      <c r="W187" s="120" t="n"/>
      <c r="X187" s="120" t="n"/>
      <c r="Y187" s="120" t="n"/>
      <c r="Z187" s="120" t="n"/>
      <c r="AB187" s="120" t="n"/>
      <c r="AC187" s="120" t="n"/>
      <c r="AD187" s="120" t="n"/>
      <c r="AE187" s="120" t="n"/>
      <c r="AF187" s="120" t="n"/>
      <c r="AG187" s="120" t="n"/>
      <c r="AH187" s="120" t="n"/>
      <c r="AI187" s="120" t="n"/>
      <c r="AJ187" s="120" t="n"/>
      <c r="AK187" s="120" t="n"/>
      <c r="AL187" s="120" t="n"/>
      <c r="AM187" s="120" t="n"/>
      <c r="AN187" s="120" t="n"/>
      <c r="AO187" s="120" t="n"/>
      <c r="AP187" s="120" t="n"/>
      <c r="AQ187" s="120" t="n"/>
      <c r="AR187" s="120" t="n"/>
      <c r="AS187" s="120" t="n"/>
    </row>
    <row r="188" hidden="1" outlineLevel="2">
      <c r="A188" s="8" t="n"/>
      <c r="B188" s="14" t="n"/>
      <c r="C188" s="120" t="n"/>
      <c r="D188" s="120" t="n"/>
      <c r="E188" s="120" t="n"/>
      <c r="F188" s="120" t="n"/>
      <c r="G188" s="120" t="n"/>
      <c r="I188" s="55" t="inlineStr">
        <is>
          <t>LIBERAÇÃO MÁXIMA 1</t>
        </is>
      </c>
      <c r="J188" s="16" t="n"/>
      <c r="K188" s="16" t="n"/>
      <c r="L188" s="16" t="n"/>
      <c r="M188" s="17" t="n"/>
      <c r="N188" s="120" t="n"/>
      <c r="O188" s="55" t="inlineStr">
        <is>
          <t>LIBERAÇÃO MÁXIMA 2</t>
        </is>
      </c>
      <c r="P188" s="16" t="n"/>
      <c r="Q188" s="16" t="n"/>
      <c r="R188" s="16" t="n"/>
      <c r="S188" s="17" t="n"/>
      <c r="T188" s="120" t="n"/>
      <c r="U188" s="55" t="inlineStr">
        <is>
          <t>LIBERAÇÃO MÁXIMA 3</t>
        </is>
      </c>
      <c r="V188" s="16" t="n"/>
      <c r="W188" s="16" t="n"/>
      <c r="X188" s="16" t="n"/>
      <c r="Y188" s="17" t="n"/>
      <c r="Z188" s="120" t="n"/>
      <c r="AB188" s="55" t="inlineStr">
        <is>
          <t>LIBERAÇÃO MÁXIMA 1</t>
        </is>
      </c>
      <c r="AC188" s="16" t="n"/>
      <c r="AD188" s="16" t="n"/>
      <c r="AE188" s="16" t="n"/>
      <c r="AF188" s="17" t="n"/>
      <c r="AG188" s="120" t="n"/>
      <c r="AH188" s="55" t="inlineStr">
        <is>
          <t>LIBERAÇÃO MÁXIMA 2</t>
        </is>
      </c>
      <c r="AI188" s="16" t="n"/>
      <c r="AJ188" s="16" t="n"/>
      <c r="AK188" s="16" t="n"/>
      <c r="AL188" s="17" t="n"/>
      <c r="AM188" s="120" t="n"/>
      <c r="AN188" s="55" t="inlineStr">
        <is>
          <t>LIBERAÇÃO MÁXIMA 3</t>
        </is>
      </c>
      <c r="AO188" s="16" t="n"/>
      <c r="AP188" s="16" t="n"/>
      <c r="AQ188" s="16" t="n"/>
      <c r="AR188" s="17" t="n"/>
      <c r="AS188" s="120" t="n"/>
    </row>
    <row r="189" hidden="1" outlineLevel="2">
      <c r="A189" s="8" t="n"/>
      <c r="B189" s="14" t="n"/>
      <c r="C189" s="120" t="n"/>
      <c r="D189" s="120" t="n"/>
      <c r="E189" s="120" t="n"/>
      <c r="F189" s="120" t="n"/>
      <c r="G189" s="120" t="n"/>
      <c r="I189" s="127" t="n">
        <v>3</v>
      </c>
      <c r="J189" s="115" t="n"/>
      <c r="K189" s="16" t="n"/>
      <c r="L189" s="17" t="n"/>
      <c r="M189" s="128">
        <f>DADOS_INVOC!$IO$2</f>
        <v/>
      </c>
      <c r="N189" s="120" t="n"/>
      <c r="O189" s="127" t="n">
        <v>3</v>
      </c>
      <c r="P189" s="115" t="n"/>
      <c r="Q189" s="16" t="n"/>
      <c r="R189" s="17" t="n"/>
      <c r="S189" s="128">
        <f>DADOS_INVOC!$IP$2</f>
        <v/>
      </c>
      <c r="T189" s="120" t="n"/>
      <c r="U189" s="127" t="n">
        <v>3</v>
      </c>
      <c r="V189" s="115" t="n"/>
      <c r="W189" s="16" t="n"/>
      <c r="X189" s="17" t="n"/>
      <c r="Y189" s="128">
        <f>DADOS_INVOC!$IQ$2</f>
        <v/>
      </c>
      <c r="Z189" s="120" t="n"/>
      <c r="AB189" s="127" t="n">
        <v>3</v>
      </c>
      <c r="AC189" s="115" t="n"/>
      <c r="AD189" s="16" t="n"/>
      <c r="AE189" s="17" t="n"/>
      <c r="AF189" s="128">
        <f>DADOS_INVOC!$IO$8</f>
        <v/>
      </c>
      <c r="AG189" s="120" t="n"/>
      <c r="AH189" s="127" t="n">
        <v>3</v>
      </c>
      <c r="AI189" s="115" t="n"/>
      <c r="AJ189" s="16" t="n"/>
      <c r="AK189" s="17" t="n"/>
      <c r="AL189" s="128">
        <f>DADOS_INVOC!$IP$8</f>
        <v/>
      </c>
      <c r="AM189" s="120" t="n"/>
      <c r="AN189" s="127" t="n">
        <v>3</v>
      </c>
      <c r="AO189" s="115" t="n"/>
      <c r="AP189" s="16" t="n"/>
      <c r="AQ189" s="17" t="n"/>
      <c r="AR189" s="128">
        <f>DADOS_INVOC!$IQ$8</f>
        <v/>
      </c>
      <c r="AS189" s="120" t="n"/>
    </row>
    <row r="190" hidden="1" outlineLevel="2">
      <c r="A190" s="8" t="n"/>
      <c r="B190" s="14" t="n"/>
      <c r="C190" s="120" t="n"/>
      <c r="D190" s="120" t="n"/>
      <c r="E190" s="120" t="n"/>
      <c r="F190" s="120" t="n"/>
      <c r="G190" s="120" t="n"/>
      <c r="I190" s="116" t="n"/>
      <c r="J190" s="19" t="n"/>
      <c r="K190" s="19" t="n"/>
      <c r="L190" s="19" t="n"/>
      <c r="M190" s="20" t="n"/>
      <c r="N190" s="120" t="n"/>
      <c r="O190" s="116" t="n"/>
      <c r="P190" s="19" t="n"/>
      <c r="Q190" s="19" t="n"/>
      <c r="R190" s="19" t="n"/>
      <c r="S190" s="20" t="n"/>
      <c r="T190" s="120" t="n"/>
      <c r="U190" s="116" t="n"/>
      <c r="V190" s="19" t="n"/>
      <c r="W190" s="19" t="n"/>
      <c r="X190" s="19" t="n"/>
      <c r="Y190" s="20" t="n"/>
      <c r="Z190" s="120" t="n"/>
      <c r="AB190" s="116" t="n"/>
      <c r="AC190" s="19" t="n"/>
      <c r="AD190" s="19" t="n"/>
      <c r="AE190" s="19" t="n"/>
      <c r="AF190" s="20" t="n"/>
      <c r="AG190" s="120" t="n"/>
      <c r="AH190" s="116" t="n"/>
      <c r="AI190" s="19" t="n"/>
      <c r="AJ190" s="19" t="n"/>
      <c r="AK190" s="19" t="n"/>
      <c r="AL190" s="20" t="n"/>
      <c r="AM190" s="120" t="n"/>
      <c r="AN190" s="116" t="n"/>
      <c r="AO190" s="19" t="n"/>
      <c r="AP190" s="19" t="n"/>
      <c r="AQ190" s="19" t="n"/>
      <c r="AR190" s="20" t="n"/>
      <c r="AS190" s="120" t="n"/>
    </row>
    <row r="191" hidden="1" outlineLevel="2">
      <c r="A191" s="8" t="n"/>
      <c r="B191" s="14" t="n"/>
      <c r="C191" s="120" t="n"/>
      <c r="D191" s="120" t="n"/>
      <c r="E191" s="120" t="n"/>
      <c r="F191" s="120" t="n"/>
      <c r="G191" s="120" t="n"/>
      <c r="I191" s="21" t="n"/>
      <c r="M191" s="22" t="n"/>
      <c r="N191" s="120" t="n"/>
      <c r="O191" s="21" t="n"/>
      <c r="S191" s="22" t="n"/>
      <c r="T191" s="120" t="n"/>
      <c r="U191" s="21" t="n"/>
      <c r="Y191" s="22" t="n"/>
      <c r="Z191" s="120" t="n"/>
      <c r="AB191" s="21" t="n"/>
      <c r="AF191" s="22" t="n"/>
      <c r="AG191" s="120" t="n"/>
      <c r="AH191" s="21" t="n"/>
      <c r="AL191" s="22" t="n"/>
      <c r="AM191" s="120" t="n"/>
      <c r="AN191" s="21" t="n"/>
      <c r="AR191" s="22" t="n"/>
      <c r="AS191" s="120" t="n"/>
    </row>
    <row r="192" hidden="1" outlineLevel="2">
      <c r="A192" s="8" t="n"/>
      <c r="B192" s="14" t="n"/>
      <c r="C192" s="120" t="n"/>
      <c r="D192" s="120" t="n"/>
      <c r="E192" s="120" t="n"/>
      <c r="F192" s="120" t="n"/>
      <c r="G192" s="120" t="n"/>
      <c r="I192" s="21" t="n"/>
      <c r="M192" s="22" t="n"/>
      <c r="N192" s="120" t="n"/>
      <c r="O192" s="21" t="n"/>
      <c r="S192" s="22" t="n"/>
      <c r="T192" s="120" t="n"/>
      <c r="U192" s="21" t="n"/>
      <c r="Y192" s="22" t="n"/>
      <c r="Z192" s="120" t="n"/>
      <c r="AB192" s="21" t="n"/>
      <c r="AF192" s="22" t="n"/>
      <c r="AG192" s="120" t="n"/>
      <c r="AH192" s="21" t="n"/>
      <c r="AL192" s="22" t="n"/>
      <c r="AM192" s="120" t="n"/>
      <c r="AN192" s="21" t="n"/>
      <c r="AR192" s="22" t="n"/>
      <c r="AS192" s="120" t="n"/>
    </row>
    <row r="193" hidden="1" outlineLevel="2">
      <c r="A193" s="8" t="n"/>
      <c r="B193" s="14" t="n"/>
      <c r="C193" s="120" t="n"/>
      <c r="D193" s="120" t="n"/>
      <c r="E193" s="120" t="n"/>
      <c r="F193" s="120" t="n"/>
      <c r="G193" s="120" t="n"/>
      <c r="I193" s="23" t="n"/>
      <c r="J193" s="24" t="n"/>
      <c r="K193" s="24" t="n"/>
      <c r="L193" s="24" t="n"/>
      <c r="M193" s="25" t="n"/>
      <c r="N193" s="120" t="n"/>
      <c r="O193" s="23" t="n"/>
      <c r="P193" s="24" t="n"/>
      <c r="Q193" s="24" t="n"/>
      <c r="R193" s="24" t="n"/>
      <c r="S193" s="25" t="n"/>
      <c r="T193" s="120" t="n"/>
      <c r="U193" s="23" t="n"/>
      <c r="V193" s="24" t="n"/>
      <c r="W193" s="24" t="n"/>
      <c r="X193" s="24" t="n"/>
      <c r="Y193" s="25" t="n"/>
      <c r="Z193" s="120" t="n"/>
      <c r="AB193" s="23" t="n"/>
      <c r="AC193" s="24" t="n"/>
      <c r="AD193" s="24" t="n"/>
      <c r="AE193" s="24" t="n"/>
      <c r="AF193" s="25" t="n"/>
      <c r="AG193" s="120" t="n"/>
      <c r="AH193" s="23" t="n"/>
      <c r="AI193" s="24" t="n"/>
      <c r="AJ193" s="24" t="n"/>
      <c r="AK193" s="24" t="n"/>
      <c r="AL193" s="25" t="n"/>
      <c r="AM193" s="120" t="n"/>
      <c r="AN193" s="23" t="n"/>
      <c r="AO193" s="24" t="n"/>
      <c r="AP193" s="24" t="n"/>
      <c r="AQ193" s="24" t="n"/>
      <c r="AR193" s="25" t="n"/>
      <c r="AS193" s="120" t="n"/>
    </row>
    <row r="194" hidden="1" outlineLevel="2">
      <c r="A194" s="8" t="n"/>
      <c r="B194" s="14" t="n"/>
      <c r="C194" s="120" t="n"/>
      <c r="D194" s="120" t="n"/>
      <c r="E194" s="120" t="n"/>
      <c r="F194" s="120" t="n"/>
      <c r="G194" s="120" t="n"/>
      <c r="I194" s="68">
        <f>DADOS_INVOC!$IR$2</f>
        <v/>
      </c>
      <c r="J194" s="16" t="n"/>
      <c r="K194" s="16" t="n"/>
      <c r="L194" s="16" t="n"/>
      <c r="M194" s="17" t="n"/>
      <c r="N194" s="120" t="n"/>
      <c r="O194" s="68">
        <f>DADOS_INVOC!$IS$2</f>
        <v/>
      </c>
      <c r="P194" s="16" t="n"/>
      <c r="Q194" s="16" t="n"/>
      <c r="R194" s="16" t="n"/>
      <c r="S194" s="17" t="n"/>
      <c r="T194" s="120" t="n"/>
      <c r="U194" s="68">
        <f>DADOS_INVOC!$IT$2</f>
        <v/>
      </c>
      <c r="V194" s="16" t="n"/>
      <c r="W194" s="16" t="n"/>
      <c r="X194" s="16" t="n"/>
      <c r="Y194" s="17" t="n"/>
      <c r="Z194" s="120" t="n"/>
      <c r="AB194" s="68">
        <f>DADOS_INVOC!$IR$8</f>
        <v/>
      </c>
      <c r="AC194" s="16" t="n"/>
      <c r="AD194" s="16" t="n"/>
      <c r="AE194" s="16" t="n"/>
      <c r="AF194" s="17" t="n"/>
      <c r="AG194" s="120" t="n"/>
      <c r="AH194" s="68">
        <f>DADOS_INVOC!$IS$8</f>
        <v/>
      </c>
      <c r="AI194" s="16" t="n"/>
      <c r="AJ194" s="16" t="n"/>
      <c r="AK194" s="16" t="n"/>
      <c r="AL194" s="17" t="n"/>
      <c r="AM194" s="120" t="n"/>
      <c r="AN194" s="68">
        <f>DADOS_INVOC!$IT$8</f>
        <v/>
      </c>
      <c r="AO194" s="16" t="n"/>
      <c r="AP194" s="16" t="n"/>
      <c r="AQ194" s="16" t="n"/>
      <c r="AR194" s="17" t="n"/>
      <c r="AS194" s="120" t="n"/>
    </row>
    <row r="195" hidden="1" outlineLevel="2">
      <c r="A195" s="8" t="n"/>
      <c r="B195" s="14" t="n"/>
      <c r="C195" s="120" t="n"/>
      <c r="D195" s="120" t="n"/>
      <c r="E195" s="120" t="n"/>
      <c r="F195" s="120" t="n"/>
      <c r="G195" s="120" t="n"/>
      <c r="I195" s="124" t="inlineStr">
        <is>
          <t>Sua Ação Completa + a básica dela</t>
        </is>
      </c>
      <c r="J195" s="16" t="n"/>
      <c r="K195" s="16" t="n"/>
      <c r="L195" s="16" t="n"/>
      <c r="M195" s="17" t="n"/>
      <c r="N195" s="120" t="n"/>
      <c r="O195" s="124" t="inlineStr">
        <is>
          <t>Sua Ação Completa + a básica dela</t>
        </is>
      </c>
      <c r="P195" s="16" t="n"/>
      <c r="Q195" s="16" t="n"/>
      <c r="R195" s="16" t="n"/>
      <c r="S195" s="17" t="n"/>
      <c r="T195" s="120" t="n"/>
      <c r="U195" s="124" t="inlineStr">
        <is>
          <t>Sua Ação Completa + a básica dela</t>
        </is>
      </c>
      <c r="V195" s="16" t="n"/>
      <c r="W195" s="16" t="n"/>
      <c r="X195" s="16" t="n"/>
      <c r="Y195" s="17" t="n"/>
      <c r="Z195" s="120" t="n"/>
      <c r="AB195" s="124" t="inlineStr">
        <is>
          <t>Sua Ação Completa + a básica dela</t>
        </is>
      </c>
      <c r="AC195" s="16" t="n"/>
      <c r="AD195" s="16" t="n"/>
      <c r="AE195" s="16" t="n"/>
      <c r="AF195" s="17" t="n"/>
      <c r="AG195" s="120" t="n"/>
      <c r="AH195" s="124" t="inlineStr">
        <is>
          <t>Sua Ação Completa + a básica dela</t>
        </is>
      </c>
      <c r="AI195" s="16" t="n"/>
      <c r="AJ195" s="16" t="n"/>
      <c r="AK195" s="16" t="n"/>
      <c r="AL195" s="17" t="n"/>
      <c r="AM195" s="120" t="n"/>
      <c r="AN195" s="124" t="inlineStr">
        <is>
          <t>Sua Ação Completa + a básica dela</t>
        </is>
      </c>
      <c r="AO195" s="16" t="n"/>
      <c r="AP195" s="16" t="n"/>
      <c r="AQ195" s="16" t="n"/>
      <c r="AR195" s="17" t="n"/>
      <c r="AS195" s="120" t="n"/>
    </row>
    <row r="196" hidden="1" outlineLevel="2">
      <c r="A196" s="8" t="n"/>
      <c r="B196" s="14" t="n"/>
      <c r="C196" s="120" t="n"/>
      <c r="D196" s="120" t="n"/>
      <c r="E196" s="120" t="n"/>
      <c r="F196" s="120" t="n"/>
      <c r="G196" s="120" t="n"/>
      <c r="I196" s="120" t="n"/>
      <c r="J196" s="120" t="n"/>
      <c r="K196" s="120" t="n"/>
      <c r="L196" s="120" t="n"/>
      <c r="M196" s="120" t="n"/>
      <c r="N196" s="120" t="n"/>
      <c r="O196" s="120" t="n"/>
      <c r="P196" s="120" t="n"/>
      <c r="Q196" s="120" t="n"/>
      <c r="R196" s="120" t="n"/>
      <c r="S196" s="120" t="n"/>
      <c r="T196" s="120" t="n"/>
      <c r="U196" s="120" t="n"/>
      <c r="V196" s="120" t="n"/>
      <c r="W196" s="120" t="n"/>
      <c r="X196" s="120" t="n"/>
      <c r="Y196" s="120" t="n"/>
      <c r="Z196" s="120" t="n"/>
      <c r="AB196" s="120" t="n"/>
      <c r="AC196" s="120" t="n"/>
      <c r="AD196" s="120" t="n"/>
      <c r="AE196" s="120" t="n"/>
      <c r="AF196" s="120" t="n"/>
      <c r="AG196" s="120" t="n"/>
      <c r="AH196" s="120" t="n"/>
      <c r="AI196" s="120" t="n"/>
      <c r="AJ196" s="120" t="n"/>
      <c r="AK196" s="120" t="n"/>
      <c r="AL196" s="120" t="n"/>
      <c r="AM196" s="120" t="n"/>
      <c r="AN196" s="120" t="n"/>
      <c r="AO196" s="120" t="n"/>
      <c r="AP196" s="120" t="n"/>
      <c r="AQ196" s="120" t="n"/>
      <c r="AR196" s="120" t="n"/>
      <c r="AS196" s="120" t="n"/>
    </row>
    <row r="197" hidden="1" outlineLevel="2">
      <c r="A197" s="8" t="n"/>
      <c r="B197" s="14" t="n"/>
      <c r="C197" s="120" t="n"/>
      <c r="D197" s="120" t="n"/>
      <c r="E197" s="120" t="n"/>
      <c r="F197" s="120" t="n"/>
      <c r="G197" s="120" t="n"/>
      <c r="I197" s="55" t="inlineStr">
        <is>
          <t>TÉCNICA MÁXIMA</t>
        </is>
      </c>
      <c r="J197" s="16" t="n"/>
      <c r="K197" s="16" t="n"/>
      <c r="L197" s="16" t="n"/>
      <c r="M197" s="17" t="n"/>
      <c r="N197" s="120" t="n"/>
      <c r="O197" s="55" t="inlineStr">
        <is>
          <t>EXPANSÃO DE DOMÍNIO</t>
        </is>
      </c>
      <c r="P197" s="16" t="n"/>
      <c r="Q197" s="16" t="n"/>
      <c r="R197" s="16" t="n"/>
      <c r="S197" s="17" t="n"/>
      <c r="T197" s="120" t="n"/>
      <c r="U197" s="120" t="n"/>
      <c r="V197" s="120" t="n"/>
      <c r="W197" s="120" t="n"/>
      <c r="X197" s="120" t="n"/>
      <c r="Y197" s="120" t="n"/>
      <c r="Z197" s="120" t="n"/>
      <c r="AB197" s="55" t="inlineStr">
        <is>
          <t>TÉCNICA MÁXIMA</t>
        </is>
      </c>
      <c r="AC197" s="16" t="n"/>
      <c r="AD197" s="16" t="n"/>
      <c r="AE197" s="16" t="n"/>
      <c r="AF197" s="17" t="n"/>
      <c r="AG197" s="120" t="n"/>
      <c r="AH197" s="55" t="inlineStr">
        <is>
          <t>EXPANSÃO DE DOMÍNIO</t>
        </is>
      </c>
      <c r="AI197" s="16" t="n"/>
      <c r="AJ197" s="16" t="n"/>
      <c r="AK197" s="16" t="n"/>
      <c r="AL197" s="17" t="n"/>
      <c r="AM197" s="120" t="n"/>
      <c r="AN197" s="120" t="n"/>
      <c r="AO197" s="120" t="n"/>
      <c r="AP197" s="120" t="n"/>
      <c r="AQ197" s="120" t="n"/>
      <c r="AR197" s="120" t="n"/>
      <c r="AS197" s="120" t="n"/>
    </row>
    <row r="198" hidden="1" outlineLevel="2">
      <c r="A198" s="8" t="n"/>
      <c r="B198" s="14" t="n"/>
      <c r="C198" s="120" t="n"/>
      <c r="D198" s="120" t="n"/>
      <c r="E198" s="120" t="n"/>
      <c r="F198" s="120" t="n"/>
      <c r="G198" s="120" t="n"/>
      <c r="I198" s="115" t="n"/>
      <c r="J198" s="16" t="n"/>
      <c r="K198" s="16" t="n"/>
      <c r="L198" s="17" t="n"/>
      <c r="M198" s="128">
        <f>DADOS_INVOC!$IU$2</f>
        <v/>
      </c>
      <c r="N198" s="120" t="n"/>
      <c r="O198" s="115" t="n"/>
      <c r="P198" s="16" t="n"/>
      <c r="Q198" s="16" t="n"/>
      <c r="R198" s="17" t="n"/>
      <c r="S198" s="128">
        <f>DADOS_INVOC!$IW$2</f>
        <v/>
      </c>
      <c r="T198" s="120" t="n"/>
      <c r="U198" s="120" t="n"/>
      <c r="V198" s="120" t="n"/>
      <c r="W198" s="120" t="n"/>
      <c r="X198" s="120" t="n"/>
      <c r="Y198" s="120" t="n"/>
      <c r="Z198" s="120" t="n"/>
      <c r="AB198" s="115" t="n"/>
      <c r="AC198" s="16" t="n"/>
      <c r="AD198" s="16" t="n"/>
      <c r="AE198" s="17" t="n"/>
      <c r="AF198" s="128">
        <f>DADOS_INVOC!$IU$8</f>
        <v/>
      </c>
      <c r="AG198" s="120" t="n"/>
      <c r="AH198" s="115" t="n"/>
      <c r="AI198" s="16" t="n"/>
      <c r="AJ198" s="16" t="n"/>
      <c r="AK198" s="17" t="n"/>
      <c r="AL198" s="128">
        <f>DADOS_INVOC!$IW$8</f>
        <v/>
      </c>
      <c r="AM198" s="120" t="n"/>
      <c r="AN198" s="120" t="n"/>
      <c r="AO198" s="120" t="n"/>
      <c r="AP198" s="120" t="n"/>
      <c r="AQ198" s="120" t="n"/>
      <c r="AR198" s="120" t="n"/>
      <c r="AS198" s="120" t="n"/>
    </row>
    <row r="199" hidden="1" outlineLevel="2">
      <c r="A199" s="8" t="n"/>
      <c r="B199" s="14" t="n"/>
      <c r="C199" s="120" t="n"/>
      <c r="D199" s="120" t="n"/>
      <c r="E199" s="120" t="n"/>
      <c r="F199" s="120" t="n"/>
      <c r="G199" s="120" t="n"/>
      <c r="I199" s="116" t="n"/>
      <c r="J199" s="19" t="n"/>
      <c r="K199" s="19" t="n"/>
      <c r="L199" s="19" t="n"/>
      <c r="M199" s="20" t="n"/>
      <c r="N199" s="120" t="n"/>
      <c r="O199" s="116" t="n"/>
      <c r="P199" s="19" t="n"/>
      <c r="Q199" s="19" t="n"/>
      <c r="R199" s="19" t="n"/>
      <c r="S199" s="20" t="n"/>
      <c r="T199" s="120" t="n"/>
      <c r="U199" s="120" t="n"/>
      <c r="V199" s="120" t="n"/>
      <c r="W199" s="120" t="n"/>
      <c r="X199" s="120" t="n"/>
      <c r="Y199" s="120" t="n"/>
      <c r="Z199" s="120" t="n"/>
      <c r="AB199" s="116" t="n"/>
      <c r="AC199" s="19" t="n"/>
      <c r="AD199" s="19" t="n"/>
      <c r="AE199" s="19" t="n"/>
      <c r="AF199" s="20" t="n"/>
      <c r="AG199" s="120" t="n"/>
      <c r="AH199" s="116" t="n"/>
      <c r="AI199" s="19" t="n"/>
      <c r="AJ199" s="19" t="n"/>
      <c r="AK199" s="19" t="n"/>
      <c r="AL199" s="20" t="n"/>
      <c r="AM199" s="120" t="n"/>
      <c r="AN199" s="120" t="n"/>
      <c r="AO199" s="120" t="n"/>
      <c r="AP199" s="120" t="n"/>
      <c r="AQ199" s="120" t="n"/>
      <c r="AR199" s="120" t="n"/>
      <c r="AS199" s="120" t="n"/>
    </row>
    <row r="200" hidden="1" outlineLevel="2">
      <c r="A200" s="8" t="n"/>
      <c r="B200" s="14" t="n"/>
      <c r="C200" s="120" t="n"/>
      <c r="D200" s="120" t="n"/>
      <c r="E200" s="120" t="n"/>
      <c r="F200" s="120" t="n"/>
      <c r="G200" s="120" t="n"/>
      <c r="I200" s="21" t="n"/>
      <c r="M200" s="22" t="n"/>
      <c r="N200" s="120" t="n"/>
      <c r="O200" s="21" t="n"/>
      <c r="S200" s="22" t="n"/>
      <c r="T200" s="120" t="n"/>
      <c r="U200" s="120" t="n"/>
      <c r="V200" s="120" t="n"/>
      <c r="W200" s="120" t="n"/>
      <c r="X200" s="120" t="n"/>
      <c r="Y200" s="120" t="n"/>
      <c r="Z200" s="120" t="n"/>
      <c r="AB200" s="21" t="n"/>
      <c r="AF200" s="22" t="n"/>
      <c r="AG200" s="120" t="n"/>
      <c r="AH200" s="21" t="n"/>
      <c r="AL200" s="22" t="n"/>
      <c r="AM200" s="120" t="n"/>
      <c r="AN200" s="120" t="n"/>
      <c r="AO200" s="120" t="n"/>
      <c r="AP200" s="120" t="n"/>
      <c r="AQ200" s="120" t="n"/>
      <c r="AR200" s="120" t="n"/>
      <c r="AS200" s="120" t="n"/>
    </row>
    <row r="201" hidden="1" outlineLevel="2">
      <c r="A201" s="8" t="n"/>
      <c r="B201" s="14" t="n"/>
      <c r="C201" s="120" t="n"/>
      <c r="D201" s="120" t="n"/>
      <c r="E201" s="120" t="n"/>
      <c r="F201" s="120" t="n"/>
      <c r="G201" s="120" t="n"/>
      <c r="I201" s="21" t="n"/>
      <c r="M201" s="22" t="n"/>
      <c r="N201" s="120" t="n"/>
      <c r="O201" s="21" t="n"/>
      <c r="S201" s="22" t="n"/>
      <c r="T201" s="120" t="n"/>
      <c r="U201" s="120" t="n"/>
      <c r="V201" s="120" t="n"/>
      <c r="W201" s="120" t="n"/>
      <c r="X201" s="120" t="n"/>
      <c r="Y201" s="120" t="n"/>
      <c r="Z201" s="120" t="n"/>
      <c r="AB201" s="21" t="n"/>
      <c r="AF201" s="22" t="n"/>
      <c r="AG201" s="120" t="n"/>
      <c r="AH201" s="21" t="n"/>
      <c r="AL201" s="22" t="n"/>
      <c r="AM201" s="120" t="n"/>
      <c r="AN201" s="120" t="n"/>
      <c r="AO201" s="120" t="n"/>
      <c r="AP201" s="120" t="n"/>
      <c r="AQ201" s="120" t="n"/>
      <c r="AR201" s="120" t="n"/>
      <c r="AS201" s="120" t="n"/>
    </row>
    <row r="202" hidden="1" outlineLevel="2">
      <c r="A202" s="8" t="n"/>
      <c r="B202" s="14" t="n"/>
      <c r="C202" s="120" t="n"/>
      <c r="D202" s="120" t="n"/>
      <c r="E202" s="120" t="n"/>
      <c r="F202" s="120" t="n"/>
      <c r="G202" s="120" t="n"/>
      <c r="I202" s="23" t="n"/>
      <c r="J202" s="24" t="n"/>
      <c r="K202" s="24" t="n"/>
      <c r="L202" s="24" t="n"/>
      <c r="M202" s="25" t="n"/>
      <c r="N202" s="120" t="n"/>
      <c r="O202" s="23" t="n"/>
      <c r="P202" s="24" t="n"/>
      <c r="Q202" s="24" t="n"/>
      <c r="R202" s="24" t="n"/>
      <c r="S202" s="25" t="n"/>
      <c r="T202" s="120" t="n"/>
      <c r="U202" s="120" t="n"/>
      <c r="V202" s="120" t="n"/>
      <c r="W202" s="120" t="n"/>
      <c r="X202" s="120" t="n"/>
      <c r="Y202" s="120" t="n"/>
      <c r="Z202" s="120" t="n"/>
      <c r="AB202" s="23" t="n"/>
      <c r="AC202" s="24" t="n"/>
      <c r="AD202" s="24" t="n"/>
      <c r="AE202" s="24" t="n"/>
      <c r="AF202" s="25" t="n"/>
      <c r="AG202" s="120" t="n"/>
      <c r="AH202" s="23" t="n"/>
      <c r="AI202" s="24" t="n"/>
      <c r="AJ202" s="24" t="n"/>
      <c r="AK202" s="24" t="n"/>
      <c r="AL202" s="25" t="n"/>
      <c r="AM202" s="120" t="n"/>
      <c r="AN202" s="120" t="n"/>
      <c r="AO202" s="120" t="n"/>
      <c r="AP202" s="120" t="n"/>
      <c r="AQ202" s="120" t="n"/>
      <c r="AR202" s="120" t="n"/>
      <c r="AS202" s="120" t="n"/>
    </row>
    <row r="203" hidden="1" outlineLevel="2">
      <c r="A203" s="8" t="n"/>
      <c r="B203" s="14" t="n"/>
      <c r="C203" s="120" t="n"/>
      <c r="D203" s="120" t="n"/>
      <c r="E203" s="120" t="n"/>
      <c r="F203" s="120" t="n"/>
      <c r="G203" s="120" t="n"/>
      <c r="I203" s="68">
        <f>DADOS_INVOC!$IV$2</f>
        <v/>
      </c>
      <c r="J203" s="16" t="n"/>
      <c r="K203" s="16" t="n"/>
      <c r="L203" s="16" t="n"/>
      <c r="M203" s="17" t="n"/>
      <c r="N203" s="120" t="n"/>
      <c r="O203" s="124" t="n"/>
      <c r="P203" s="17" t="n"/>
      <c r="Q203" s="68">
        <f>DADOS_INVOC!$IX$2</f>
        <v/>
      </c>
      <c r="R203" s="16" t="n"/>
      <c r="S203" s="17" t="n"/>
      <c r="T203" s="120" t="n"/>
      <c r="U203" s="120" t="n"/>
      <c r="V203" s="120" t="n"/>
      <c r="W203" s="120" t="n"/>
      <c r="X203" s="120" t="n"/>
      <c r="Y203" s="120" t="n"/>
      <c r="Z203" s="120" t="n"/>
      <c r="AB203" s="68">
        <f>DADOS_INVOC!$IV$8</f>
        <v/>
      </c>
      <c r="AC203" s="16" t="n"/>
      <c r="AD203" s="16" t="n"/>
      <c r="AE203" s="16" t="n"/>
      <c r="AF203" s="17" t="n"/>
      <c r="AG203" s="120" t="n"/>
      <c r="AH203" s="124" t="n"/>
      <c r="AI203" s="17" t="n"/>
      <c r="AJ203" s="68">
        <f>DADOS_INVOC!$IX$8</f>
        <v/>
      </c>
      <c r="AK203" s="16" t="n"/>
      <c r="AL203" s="17" t="n"/>
      <c r="AM203" s="120" t="n"/>
      <c r="AN203" s="120" t="n"/>
      <c r="AO203" s="120" t="n"/>
      <c r="AP203" s="120" t="n"/>
      <c r="AQ203" s="120" t="n"/>
      <c r="AR203" s="120" t="n"/>
      <c r="AS203" s="120" t="n"/>
    </row>
    <row r="204" hidden="1" outlineLevel="2">
      <c r="A204" s="8" t="n"/>
      <c r="B204" s="14" t="n"/>
      <c r="C204" s="120" t="n"/>
      <c r="D204" s="120" t="n"/>
      <c r="E204" s="120" t="n"/>
      <c r="F204" s="120" t="n"/>
      <c r="G204" s="120" t="n"/>
      <c r="I204" s="124" t="inlineStr">
        <is>
          <t>Sua Ação Completa + a básica dela</t>
        </is>
      </c>
      <c r="J204" s="16" t="n"/>
      <c r="K204" s="16" t="n"/>
      <c r="L204" s="16" t="n"/>
      <c r="M204" s="17" t="n"/>
      <c r="N204" s="120" t="n"/>
      <c r="O204" s="129">
        <f>DADOS_INVOC!$IY$2</f>
        <v/>
      </c>
      <c r="P204" s="16" t="n"/>
      <c r="Q204" s="16" t="n"/>
      <c r="R204" s="16" t="n"/>
      <c r="S204" s="17" t="n"/>
      <c r="T204" s="120" t="n"/>
      <c r="U204" s="120" t="n"/>
      <c r="V204" s="120" t="n"/>
      <c r="W204" s="120" t="n"/>
      <c r="X204" s="120" t="n"/>
      <c r="Y204" s="120" t="n"/>
      <c r="Z204" s="120" t="n"/>
      <c r="AB204" s="124" t="inlineStr">
        <is>
          <t>Sua Ação Completa + a básica dela</t>
        </is>
      </c>
      <c r="AC204" s="16" t="n"/>
      <c r="AD204" s="16" t="n"/>
      <c r="AE204" s="16" t="n"/>
      <c r="AF204" s="17" t="n"/>
      <c r="AG204" s="120" t="n"/>
      <c r="AH204" s="129">
        <f>DADOS_INVOC!$IY$8</f>
        <v/>
      </c>
      <c r="AI204" s="16" t="n"/>
      <c r="AJ204" s="16" t="n"/>
      <c r="AK204" s="16" t="n"/>
      <c r="AL204" s="17" t="n"/>
      <c r="AM204" s="120" t="n"/>
      <c r="AN204" s="120" t="n"/>
      <c r="AO204" s="120" t="n"/>
      <c r="AP204" s="120" t="n"/>
      <c r="AQ204" s="120" t="n"/>
      <c r="AR204" s="120" t="n"/>
      <c r="AS204" s="120" t="n"/>
    </row>
    <row r="205">
      <c r="A205" s="8" t="n"/>
      <c r="B205" s="14" t="n"/>
      <c r="C205" s="120" t="n"/>
      <c r="D205" s="120" t="n"/>
      <c r="E205" s="120" t="n"/>
      <c r="F205" s="120" t="n"/>
      <c r="G205" s="120" t="n"/>
      <c r="H205" s="120" t="n"/>
      <c r="I205" s="120" t="n"/>
      <c r="J205" s="120" t="n"/>
      <c r="K205" s="120" t="n"/>
      <c r="L205" s="120" t="n"/>
      <c r="M205" s="120" t="n"/>
      <c r="N205" s="120" t="n"/>
      <c r="O205" s="120" t="n"/>
      <c r="P205" s="120" t="n"/>
      <c r="Q205" s="120" t="n"/>
      <c r="R205" s="120" t="n"/>
      <c r="S205" s="120" t="n"/>
      <c r="T205" s="120" t="n"/>
      <c r="U205" s="120" t="n"/>
      <c r="V205" s="120" t="n"/>
      <c r="W205" s="120" t="n"/>
      <c r="X205" s="120" t="n"/>
      <c r="Y205" s="120" t="n"/>
      <c r="Z205" s="120" t="n"/>
      <c r="AA205" s="120" t="n"/>
      <c r="AB205" s="120" t="n"/>
      <c r="AC205" s="120" t="n"/>
      <c r="AD205" s="120" t="n"/>
      <c r="AE205" s="120" t="n"/>
      <c r="AF205" s="120" t="n"/>
      <c r="AG205" s="120" t="n"/>
      <c r="AH205" s="120" t="n"/>
      <c r="AI205" s="120" t="n"/>
      <c r="AJ205" s="120" t="n"/>
      <c r="AK205" s="120" t="n"/>
      <c r="AL205" s="120" t="n"/>
      <c r="AM205" s="120" t="n"/>
      <c r="AN205" s="120" t="n"/>
      <c r="AO205" s="120" t="n"/>
      <c r="AP205" s="120" t="n"/>
      <c r="AQ205" s="120" t="n"/>
      <c r="AR205" s="120" t="n"/>
      <c r="AS205" s="120" t="n"/>
    </row>
    <row r="206">
      <c r="A206" s="8" t="n"/>
      <c r="B206" s="14" t="n"/>
      <c r="C206" s="120" t="n"/>
      <c r="D206" s="120" t="n"/>
      <c r="E206" s="120" t="n"/>
      <c r="F206" s="120" t="n"/>
      <c r="G206" s="120" t="n"/>
      <c r="H206" s="120" t="n"/>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20" t="n"/>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c r="A207" s="8" t="n"/>
      <c r="B207" s="14" t="n"/>
      <c r="C207" s="120" t="n"/>
      <c r="D207" s="120" t="n"/>
      <c r="E207" s="120" t="n"/>
      <c r="F207" s="120" t="n"/>
      <c r="G207" s="120" t="n"/>
      <c r="H207" s="138" t="n">
        <v>2</v>
      </c>
      <c r="I207" s="139" t="n">
        <v>2</v>
      </c>
      <c r="J207" s="123">
        <f>DADOS_INVOC!$GV$3</f>
        <v/>
      </c>
      <c r="K207" s="19" t="n"/>
      <c r="L207" s="19" t="n"/>
      <c r="M207" s="19" t="n"/>
      <c r="N207" s="19" t="n"/>
      <c r="O207" s="19" t="n"/>
      <c r="P207" s="19" t="n"/>
      <c r="Q207" s="19" t="n"/>
      <c r="R207" s="19" t="n"/>
      <c r="S207" s="19" t="n"/>
      <c r="T207" s="19" t="n"/>
      <c r="U207" s="19" t="n"/>
      <c r="V207" s="19" t="n"/>
      <c r="W207" s="19" t="n"/>
      <c r="X207" s="19" t="n"/>
      <c r="Y207" s="20" t="n"/>
      <c r="Z207" s="120" t="n"/>
      <c r="AA207" s="138" t="n">
        <v>8</v>
      </c>
      <c r="AB207" s="139" t="n">
        <v>8</v>
      </c>
      <c r="AC207" s="123">
        <f>DADOS_INVOC!$GV$9</f>
        <v/>
      </c>
      <c r="AD207" s="19" t="n"/>
      <c r="AE207" s="19" t="n"/>
      <c r="AF207" s="19" t="n"/>
      <c r="AG207" s="19" t="n"/>
      <c r="AH207" s="19" t="n"/>
      <c r="AI207" s="19" t="n"/>
      <c r="AJ207" s="19" t="n"/>
      <c r="AK207" s="19" t="n"/>
      <c r="AL207" s="19" t="n"/>
      <c r="AM207" s="19" t="n"/>
      <c r="AN207" s="19" t="n"/>
      <c r="AO207" s="19" t="n"/>
      <c r="AP207" s="19" t="n"/>
      <c r="AQ207" s="19" t="n"/>
      <c r="AR207" s="20" t="n"/>
      <c r="AS207" s="120" t="n"/>
    </row>
    <row r="208">
      <c r="A208" s="8" t="n"/>
      <c r="B208" s="14" t="n"/>
      <c r="C208" s="120" t="n"/>
      <c r="D208" s="120" t="n"/>
      <c r="E208" s="120" t="n"/>
      <c r="F208" s="120" t="n"/>
      <c r="G208" s="120" t="n"/>
      <c r="I208" s="125" t="n"/>
      <c r="J208" s="23" t="n"/>
      <c r="K208" s="24" t="n"/>
      <c r="L208" s="24" t="n"/>
      <c r="M208" s="24" t="n"/>
      <c r="N208" s="24" t="n"/>
      <c r="O208" s="24" t="n"/>
      <c r="P208" s="24" t="n"/>
      <c r="Q208" s="24" t="n"/>
      <c r="R208" s="24" t="n"/>
      <c r="S208" s="24" t="n"/>
      <c r="T208" s="24" t="n"/>
      <c r="U208" s="24" t="n"/>
      <c r="V208" s="24" t="n"/>
      <c r="W208" s="24" t="n"/>
      <c r="X208" s="24" t="n"/>
      <c r="Y208" s="25" t="n"/>
      <c r="Z208" s="120"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20" t="n"/>
    </row>
    <row r="209" hidden="1" outlineLevel="1">
      <c r="A209" s="8" t="n"/>
      <c r="B209" s="14" t="n"/>
      <c r="C209" s="120" t="n"/>
      <c r="D209" s="120" t="n"/>
      <c r="E209" s="120" t="n"/>
      <c r="F209" s="120" t="n"/>
      <c r="G209" s="120" t="n"/>
      <c r="H209" s="140">
        <f>DADOS_INVOC!$GW$3</f>
        <v/>
      </c>
      <c r="I209" s="120" t="n"/>
      <c r="J209" s="120" t="n"/>
      <c r="K209" s="120" t="n"/>
      <c r="L209" s="120" t="n"/>
      <c r="M209" s="120" t="n"/>
      <c r="N209" s="120" t="n"/>
      <c r="O209" s="120" t="n"/>
      <c r="P209" s="120" t="n"/>
      <c r="Q209" s="120" t="n"/>
      <c r="R209" s="120" t="n"/>
      <c r="S209" s="120" t="n"/>
      <c r="T209" s="120" t="n"/>
      <c r="U209" s="120" t="n"/>
      <c r="V209" s="120" t="n"/>
      <c r="W209" s="120" t="n"/>
      <c r="X209" s="120" t="n"/>
      <c r="Y209" s="120" t="n"/>
      <c r="Z209" s="120" t="n"/>
      <c r="AA209" s="140">
        <f>DADOS_INVOC!$GW$9</f>
        <v/>
      </c>
      <c r="AB209" s="120" t="n"/>
      <c r="AC209" s="120" t="n"/>
      <c r="AD209" s="120" t="n"/>
      <c r="AE209" s="120" t="n"/>
      <c r="AF209" s="120" t="n"/>
      <c r="AG209" s="120" t="n"/>
      <c r="AH209" s="120" t="n"/>
      <c r="AI209" s="120" t="n"/>
      <c r="AJ209" s="120" t="n"/>
      <c r="AK209" s="120" t="n"/>
      <c r="AL209" s="120" t="n"/>
      <c r="AM209" s="120" t="n"/>
      <c r="AN209" s="120" t="n"/>
      <c r="AO209" s="120" t="n"/>
      <c r="AP209" s="120" t="n"/>
      <c r="AQ209" s="120" t="n"/>
      <c r="AR209" s="120" t="n"/>
      <c r="AS209" s="120" t="n"/>
    </row>
    <row r="210" hidden="1" outlineLevel="1">
      <c r="A210" s="8" t="n"/>
      <c r="B210" s="14" t="n"/>
      <c r="C210" s="120" t="n"/>
      <c r="D210" s="120" t="n"/>
      <c r="E210" s="120" t="n"/>
      <c r="F210" s="120" t="n"/>
      <c r="G210" s="120" t="n"/>
      <c r="I210" s="55" t="inlineStr">
        <is>
          <t>NOME</t>
        </is>
      </c>
      <c r="J210" s="16" t="n"/>
      <c r="K210" s="16" t="n"/>
      <c r="L210" s="16" t="n"/>
      <c r="M210" s="17" t="n"/>
      <c r="N210" s="120" t="n"/>
      <c r="O210" s="55" t="inlineStr">
        <is>
          <t>NÍVEL</t>
        </is>
      </c>
      <c r="P210" s="55" t="inlineStr">
        <is>
          <t>CLASSE</t>
        </is>
      </c>
      <c r="Q210" s="55" t="inlineStr">
        <is>
          <t>MAESTRIA</t>
        </is>
      </c>
      <c r="R210" s="55" t="inlineStr">
        <is>
          <t>ENTRADA</t>
        </is>
      </c>
      <c r="S210" s="55" t="inlineStr">
        <is>
          <t>RETORNO</t>
        </is>
      </c>
      <c r="T210" s="120" t="n"/>
      <c r="U210" s="55" t="inlineStr">
        <is>
          <t>VIDA ATUAL</t>
        </is>
      </c>
      <c r="V210" s="55" t="inlineStr">
        <is>
          <t>VIDA MÁXIMA</t>
        </is>
      </c>
      <c r="W210" s="55" t="inlineStr">
        <is>
          <t>TEMPORÁRIA</t>
        </is>
      </c>
      <c r="X210" s="55" t="inlineStr">
        <is>
          <t>± PERDA / GANHO</t>
        </is>
      </c>
      <c r="Y210" s="55">
        <f>DADOS_INVOC!$HQ$3</f>
        <v/>
      </c>
      <c r="Z210" s="120" t="n"/>
      <c r="AB210" s="55" t="inlineStr">
        <is>
          <t>NOME</t>
        </is>
      </c>
      <c r="AC210" s="16" t="n"/>
      <c r="AD210" s="16" t="n"/>
      <c r="AE210" s="16" t="n"/>
      <c r="AF210" s="17" t="n"/>
      <c r="AG210" s="120" t="n"/>
      <c r="AH210" s="55" t="inlineStr">
        <is>
          <t>NÍVEL</t>
        </is>
      </c>
      <c r="AI210" s="55" t="inlineStr">
        <is>
          <t>CLASSE</t>
        </is>
      </c>
      <c r="AJ210" s="55" t="inlineStr">
        <is>
          <t>MAESTRIA</t>
        </is>
      </c>
      <c r="AK210" s="55" t="inlineStr">
        <is>
          <t>ENTRADA</t>
        </is>
      </c>
      <c r="AL210" s="55" t="inlineStr">
        <is>
          <t>RETORNO</t>
        </is>
      </c>
      <c r="AM210" s="120" t="n"/>
      <c r="AN210" s="55" t="inlineStr">
        <is>
          <t>VIDA ATUAL</t>
        </is>
      </c>
      <c r="AO210" s="55" t="inlineStr">
        <is>
          <t>VIDA MÁXIMA</t>
        </is>
      </c>
      <c r="AP210" s="55" t="inlineStr">
        <is>
          <t>TEMPORÁRIA</t>
        </is>
      </c>
      <c r="AQ210" s="55" t="inlineStr">
        <is>
          <t>± PERDA / GANHO</t>
        </is>
      </c>
      <c r="AR210" s="55">
        <f>DADOS_INVOC!$HQ$9</f>
        <v/>
      </c>
      <c r="AS210" s="120" t="n"/>
    </row>
    <row r="211" hidden="1" outlineLevel="1">
      <c r="A211" s="8" t="n"/>
      <c r="B211" s="14" t="n"/>
      <c r="C211" s="120" t="n"/>
      <c r="D211" s="120" t="n"/>
      <c r="E211" s="120" t="n"/>
      <c r="F211" s="120" t="n"/>
      <c r="G211" s="120" t="n"/>
      <c r="I211" s="83" t="n"/>
      <c r="J211" s="19" t="n"/>
      <c r="K211" s="19" t="n"/>
      <c r="L211" s="19" t="n"/>
      <c r="M211" s="20" t="n"/>
      <c r="N211" s="120" t="n"/>
      <c r="O211" s="92">
        <f>DADOS_INVOC!$FI$3</f>
        <v/>
      </c>
      <c r="P211" s="92">
        <f>DADOS_INVOC!$FJ$3</f>
        <v/>
      </c>
      <c r="Q211" s="92">
        <f>DADOS_INVOC!$GX$3</f>
        <v/>
      </c>
      <c r="R211" s="92">
        <f>DADOS_INVOC!$GY$3</f>
        <v/>
      </c>
      <c r="S211" s="92">
        <f>DADOS_INVOC!$GZ$3</f>
        <v/>
      </c>
      <c r="T211" s="120" t="n"/>
      <c r="U211" s="92">
        <f>DADOS_INVOC!$GA$3</f>
        <v/>
      </c>
      <c r="V211" s="92">
        <f>DADOS_INVOC!$FZ$3</f>
        <v/>
      </c>
      <c r="W211" s="92" t="n"/>
      <c r="X211" s="92" t="n"/>
      <c r="Y211" s="92" t="n"/>
      <c r="Z211" s="120" t="n"/>
      <c r="AB211" s="83" t="n"/>
      <c r="AC211" s="19" t="n"/>
      <c r="AD211" s="19" t="n"/>
      <c r="AE211" s="19" t="n"/>
      <c r="AF211" s="20" t="n"/>
      <c r="AG211" s="120" t="n"/>
      <c r="AH211" s="92">
        <f>DADOS_INVOC!$FI$9</f>
        <v/>
      </c>
      <c r="AI211" s="92">
        <f>DADOS_INVOC!$FJ$9</f>
        <v/>
      </c>
      <c r="AJ211" s="92">
        <f>DADOS_INVOC!$GX$9</f>
        <v/>
      </c>
      <c r="AK211" s="92">
        <f>DADOS_INVOC!$GY$9</f>
        <v/>
      </c>
      <c r="AL211" s="92">
        <f>DADOS_INVOC!$GZ$9</f>
        <v/>
      </c>
      <c r="AM211" s="120" t="n"/>
      <c r="AN211" s="92">
        <f>DADOS_INVOC!$GA$9</f>
        <v/>
      </c>
      <c r="AO211" s="92">
        <f>DADOS_INVOC!$FZ$9</f>
        <v/>
      </c>
      <c r="AP211" s="92" t="n"/>
      <c r="AQ211" s="92" t="n"/>
      <c r="AR211" s="92" t="n"/>
      <c r="AS211" s="120" t="n"/>
    </row>
    <row r="212" hidden="1" outlineLevel="1">
      <c r="A212" s="8" t="n"/>
      <c r="B212" s="14" t="n"/>
      <c r="C212" s="120" t="n"/>
      <c r="D212" s="120" t="n"/>
      <c r="E212" s="120" t="n"/>
      <c r="F212" s="120" t="n"/>
      <c r="G212" s="120" t="n"/>
      <c r="I212" s="23" t="n"/>
      <c r="J212" s="24" t="n"/>
      <c r="K212" s="24" t="n"/>
      <c r="L212" s="24" t="n"/>
      <c r="M212" s="25" t="n"/>
      <c r="N212" s="120" t="n"/>
      <c r="O212" s="125" t="n"/>
      <c r="P212" s="125" t="n"/>
      <c r="Q212" s="125" t="n"/>
      <c r="R212" s="125" t="n"/>
      <c r="S212" s="125" t="n"/>
      <c r="T212" s="120" t="n"/>
      <c r="U212" s="125" t="n"/>
      <c r="V212" s="125" t="n"/>
      <c r="W212" s="125" t="n"/>
      <c r="X212" s="125" t="n"/>
      <c r="Y212" s="125" t="n"/>
      <c r="Z212" s="120" t="n"/>
      <c r="AB212" s="23" t="n"/>
      <c r="AC212" s="24" t="n"/>
      <c r="AD212" s="24" t="n"/>
      <c r="AE212" s="24" t="n"/>
      <c r="AF212" s="25" t="n"/>
      <c r="AG212" s="120" t="n"/>
      <c r="AH212" s="125" t="n"/>
      <c r="AI212" s="125" t="n"/>
      <c r="AJ212" s="125" t="n"/>
      <c r="AK212" s="125" t="n"/>
      <c r="AL212" s="125" t="n"/>
      <c r="AM212" s="120" t="n"/>
      <c r="AN212" s="125" t="n"/>
      <c r="AO212" s="125" t="n"/>
      <c r="AP212" s="125" t="n"/>
      <c r="AQ212" s="125" t="n"/>
      <c r="AR212" s="125" t="n"/>
      <c r="AS212" s="120" t="n"/>
    </row>
    <row r="213" hidden="1" outlineLevel="1">
      <c r="A213" s="8" t="n"/>
      <c r="B213" s="14" t="n"/>
      <c r="C213" s="120" t="n"/>
      <c r="D213" s="120" t="n"/>
      <c r="E213" s="120" t="n"/>
      <c r="F213" s="120" t="n"/>
      <c r="G213" s="120" t="n"/>
      <c r="I213" s="141" t="inlineStr">
        <is>
          <t>FOTO
式神</t>
        </is>
      </c>
      <c r="J213" s="19" t="n"/>
      <c r="K213" s="19" t="n"/>
      <c r="L213" s="19" t="n"/>
      <c r="M213" s="20" t="n"/>
      <c r="N213" s="120" t="n"/>
      <c r="O213" s="120" t="n"/>
      <c r="P213" s="120" t="n"/>
      <c r="Q213" s="120" t="n"/>
      <c r="R213" s="120" t="n"/>
      <c r="S213" s="120" t="n"/>
      <c r="T213" s="120" t="n"/>
      <c r="U213" s="130">
        <f>IFERROR(SPARKLINE(DADOS_INVOC!$GB$3,{"charttype","bar";"max",MAX(1,DADOS_INVOC!$FZ$3);"color1",DADOS_INVOC!$CX$12}),"")</f>
        <v/>
      </c>
      <c r="V213" s="16" t="n"/>
      <c r="W213" s="16" t="n"/>
      <c r="X213" s="16" t="n"/>
      <c r="Y213" s="17" t="n"/>
      <c r="Z213" s="120" t="n"/>
      <c r="AB213" s="141" t="inlineStr">
        <is>
          <t>FOTO
式神</t>
        </is>
      </c>
      <c r="AC213" s="19" t="n"/>
      <c r="AD213" s="19" t="n"/>
      <c r="AE213" s="19" t="n"/>
      <c r="AF213" s="20" t="n"/>
      <c r="AG213" s="120" t="n"/>
      <c r="AH213" s="120" t="n"/>
      <c r="AI213" s="120" t="n"/>
      <c r="AJ213" s="120" t="n"/>
      <c r="AK213" s="120" t="n"/>
      <c r="AL213" s="120" t="n"/>
      <c r="AM213" s="120" t="n"/>
      <c r="AN213" s="130">
        <f>IFERROR(SPARKLINE(DADOS_INVOC!$GB$9,{"charttype","bar";"max",MAX(1,DADOS_INVOC!$FZ$9);"color1",DADOS_INVOC!$CX$12}),"")</f>
        <v/>
      </c>
      <c r="AO213" s="16" t="n"/>
      <c r="AP213" s="16" t="n"/>
      <c r="AQ213" s="16" t="n"/>
      <c r="AR213" s="17" t="n"/>
      <c r="AS213" s="120" t="n"/>
    </row>
    <row r="214" hidden="1" outlineLevel="1">
      <c r="A214" s="8" t="n"/>
      <c r="B214" s="14" t="n"/>
      <c r="C214" s="120" t="n"/>
      <c r="D214" s="120" t="n"/>
      <c r="E214" s="120" t="n"/>
      <c r="F214" s="120" t="n"/>
      <c r="G214" s="120" t="n"/>
      <c r="I214" s="21" t="n"/>
      <c r="M214" s="22" t="n"/>
      <c r="N214" s="120" t="n"/>
      <c r="O214" s="55">
        <f>DADOS_INVOC!$HA$3</f>
        <v/>
      </c>
      <c r="P214" s="16" t="n"/>
      <c r="Q214" s="16" t="n"/>
      <c r="R214" s="16" t="n"/>
      <c r="S214" s="17" t="n"/>
      <c r="T214" s="120" t="n"/>
      <c r="U214" s="120" t="n"/>
      <c r="V214" s="120" t="n"/>
      <c r="W214" s="120" t="n"/>
      <c r="X214" s="120" t="n"/>
      <c r="Y214" s="120" t="n"/>
      <c r="Z214" s="120" t="n"/>
      <c r="AB214" s="21" t="n"/>
      <c r="AF214" s="22" t="n"/>
      <c r="AG214" s="120" t="n"/>
      <c r="AH214" s="55">
        <f>DADOS_INVOC!$HA$9</f>
        <v/>
      </c>
      <c r="AI214" s="16" t="n"/>
      <c r="AJ214" s="16" t="n"/>
      <c r="AK214" s="16" t="n"/>
      <c r="AL214" s="17" t="n"/>
      <c r="AM214" s="120" t="n"/>
      <c r="AN214" s="120" t="n"/>
      <c r="AO214" s="120" t="n"/>
      <c r="AP214" s="120" t="n"/>
      <c r="AQ214" s="120" t="n"/>
      <c r="AR214" s="120" t="n"/>
      <c r="AS214" s="120" t="n"/>
    </row>
    <row r="215" hidden="1" outlineLevel="1">
      <c r="A215" s="8" t="n"/>
      <c r="B215" s="14" t="n"/>
      <c r="C215" s="120" t="n"/>
      <c r="D215" s="120" t="n"/>
      <c r="E215" s="120" t="n"/>
      <c r="F215" s="120" t="n"/>
      <c r="G215" s="120" t="n"/>
      <c r="I215" s="21" t="n"/>
      <c r="M215" s="22" t="n"/>
      <c r="N215" s="120" t="n"/>
      <c r="O215" s="55" t="inlineStr">
        <is>
          <t>FOR</t>
        </is>
      </c>
      <c r="P215" s="55" t="inlineStr">
        <is>
          <t>DES</t>
        </is>
      </c>
      <c r="Q215" s="55" t="inlineStr">
        <is>
          <t>CON</t>
        </is>
      </c>
      <c r="R215" s="55" t="inlineStr">
        <is>
          <t>INT</t>
        </is>
      </c>
      <c r="S215" s="55" t="inlineStr">
        <is>
          <t>ESS</t>
        </is>
      </c>
      <c r="T215" s="120" t="n"/>
      <c r="U215" s="55" t="inlineStr">
        <is>
          <t>CONDIÇÕES E USOS GASTOS</t>
        </is>
      </c>
      <c r="V215" s="16" t="n"/>
      <c r="W215" s="16" t="n"/>
      <c r="X215" s="16" t="n"/>
      <c r="Y215" s="17" t="n"/>
      <c r="Z215" s="120" t="n"/>
      <c r="AB215" s="21" t="n"/>
      <c r="AF215" s="22" t="n"/>
      <c r="AG215" s="120" t="n"/>
      <c r="AH215" s="55" t="inlineStr">
        <is>
          <t>FOR</t>
        </is>
      </c>
      <c r="AI215" s="55" t="inlineStr">
        <is>
          <t>DES</t>
        </is>
      </c>
      <c r="AJ215" s="55" t="inlineStr">
        <is>
          <t>CON</t>
        </is>
      </c>
      <c r="AK215" s="55" t="inlineStr">
        <is>
          <t>INT</t>
        </is>
      </c>
      <c r="AL215" s="55" t="inlineStr">
        <is>
          <t>ESS</t>
        </is>
      </c>
      <c r="AM215" s="120" t="n"/>
      <c r="AN215" s="55" t="inlineStr">
        <is>
          <t>CONDIÇÕES E USOS GASTOS</t>
        </is>
      </c>
      <c r="AO215" s="16" t="n"/>
      <c r="AP215" s="16" t="n"/>
      <c r="AQ215" s="16" t="n"/>
      <c r="AR215" s="17" t="n"/>
      <c r="AS215" s="120" t="n"/>
    </row>
    <row r="216" hidden="1" outlineLevel="1">
      <c r="A216" s="8" t="n"/>
      <c r="B216" s="14" t="n"/>
      <c r="C216" s="120" t="n"/>
      <c r="D216" s="120" t="n"/>
      <c r="E216" s="120" t="n"/>
      <c r="F216" s="120" t="n"/>
      <c r="G216" s="120" t="n"/>
      <c r="I216" s="21" t="n"/>
      <c r="M216" s="22" t="n"/>
      <c r="N216" s="120" t="n"/>
      <c r="O216" s="92">
        <f>DADOS_INVOC!$FL$3</f>
        <v/>
      </c>
      <c r="P216" s="92">
        <f>DADOS_INVOC!$FM$3</f>
        <v/>
      </c>
      <c r="Q216" s="92">
        <f>DADOS_INVOC!$FN$3</f>
        <v/>
      </c>
      <c r="R216" s="92">
        <f>DADOS_INVOC!$FO$3</f>
        <v/>
      </c>
      <c r="S216" s="92">
        <f>DADOS_INVOC!$FP$3</f>
        <v/>
      </c>
      <c r="T216" s="120" t="n"/>
      <c r="U216" s="116" t="n"/>
      <c r="V216" s="19" t="n"/>
      <c r="W216" s="19" t="n"/>
      <c r="X216" s="19" t="n"/>
      <c r="Y216" s="20" t="n"/>
      <c r="Z216" s="120" t="n"/>
      <c r="AB216" s="21" t="n"/>
      <c r="AF216" s="22" t="n"/>
      <c r="AG216" s="120" t="n"/>
      <c r="AH216" s="92">
        <f>DADOS_INVOC!$FL$9</f>
        <v/>
      </c>
      <c r="AI216" s="92">
        <f>DADOS_INVOC!$FM$9</f>
        <v/>
      </c>
      <c r="AJ216" s="92">
        <f>DADOS_INVOC!$FN$9</f>
        <v/>
      </c>
      <c r="AK216" s="92">
        <f>DADOS_INVOC!$FO$9</f>
        <v/>
      </c>
      <c r="AL216" s="92">
        <f>DADOS_INVOC!$FP$9</f>
        <v/>
      </c>
      <c r="AM216" s="120" t="n"/>
      <c r="AN216" s="116" t="n"/>
      <c r="AO216" s="19" t="n"/>
      <c r="AP216" s="19" t="n"/>
      <c r="AQ216" s="19" t="n"/>
      <c r="AR216" s="20" t="n"/>
      <c r="AS216" s="120" t="n"/>
    </row>
    <row r="217" hidden="1" outlineLevel="1">
      <c r="A217" s="8" t="n"/>
      <c r="B217" s="14" t="n"/>
      <c r="C217" s="120" t="n"/>
      <c r="D217" s="120" t="n"/>
      <c r="E217" s="120" t="n"/>
      <c r="F217" s="120" t="n"/>
      <c r="G217" s="120" t="n"/>
      <c r="I217" s="21" t="n"/>
      <c r="M217" s="22" t="n"/>
      <c r="N217" s="120" t="n"/>
      <c r="O217" s="125" t="n"/>
      <c r="P217" s="125" t="n"/>
      <c r="Q217" s="125" t="n"/>
      <c r="R217" s="125" t="n"/>
      <c r="S217" s="125" t="n"/>
      <c r="T217" s="120" t="n"/>
      <c r="U217" s="21" t="n"/>
      <c r="Y217" s="22" t="n"/>
      <c r="Z217" s="120" t="n"/>
      <c r="AB217" s="21" t="n"/>
      <c r="AF217" s="22" t="n"/>
      <c r="AG217" s="120" t="n"/>
      <c r="AH217" s="125" t="n"/>
      <c r="AI217" s="125" t="n"/>
      <c r="AJ217" s="125" t="n"/>
      <c r="AK217" s="125" t="n"/>
      <c r="AL217" s="125" t="n"/>
      <c r="AM217" s="120" t="n"/>
      <c r="AN217" s="21" t="n"/>
      <c r="AR217" s="22" t="n"/>
      <c r="AS217" s="120" t="n"/>
    </row>
    <row r="218" hidden="1" outlineLevel="1">
      <c r="A218" s="8" t="n"/>
      <c r="B218" s="14" t="n"/>
      <c r="C218" s="120" t="n"/>
      <c r="D218" s="120" t="n"/>
      <c r="E218" s="120" t="n"/>
      <c r="F218" s="120" t="n"/>
      <c r="G218" s="120" t="n"/>
      <c r="I218" s="21" t="n"/>
      <c r="M218" s="22" t="n"/>
      <c r="N218" s="120" t="n"/>
      <c r="O218" s="142" t="n">
        <v>0</v>
      </c>
      <c r="P218" s="142" t="n">
        <v>0</v>
      </c>
      <c r="Q218" s="142" t="n">
        <v>0</v>
      </c>
      <c r="R218" s="142" t="n">
        <v>0</v>
      </c>
      <c r="S218" s="142" t="n">
        <v>0</v>
      </c>
      <c r="T218" s="120" t="n"/>
      <c r="U218" s="21" t="n"/>
      <c r="Y218" s="22" t="n"/>
      <c r="Z218" s="120" t="n"/>
      <c r="AB218" s="21" t="n"/>
      <c r="AF218" s="22" t="n"/>
      <c r="AG218" s="120" t="n"/>
      <c r="AH218" s="142" t="n">
        <v>0</v>
      </c>
      <c r="AI218" s="142" t="n">
        <v>0</v>
      </c>
      <c r="AJ218" s="142" t="n">
        <v>0</v>
      </c>
      <c r="AK218" s="142" t="n">
        <v>0</v>
      </c>
      <c r="AL218" s="142" t="n">
        <v>0</v>
      </c>
      <c r="AM218" s="120" t="n"/>
      <c r="AN218" s="21" t="n"/>
      <c r="AR218" s="22" t="n"/>
      <c r="AS218" s="120" t="n"/>
    </row>
    <row r="219" hidden="1" outlineLevel="1">
      <c r="A219" s="8" t="n"/>
      <c r="B219" s="14" t="n"/>
      <c r="C219" s="120" t="n"/>
      <c r="D219" s="120" t="n"/>
      <c r="E219" s="120" t="n"/>
      <c r="F219" s="120" t="n"/>
      <c r="G219" s="120" t="n"/>
      <c r="I219" s="21" t="n"/>
      <c r="M219" s="22" t="n"/>
      <c r="N219" s="120" t="n"/>
      <c r="O219" s="144" t="n">
        <v>0</v>
      </c>
      <c r="P219" s="144" t="n">
        <v>0</v>
      </c>
      <c r="Q219" s="144" t="n">
        <v>0</v>
      </c>
      <c r="R219" s="144" t="n">
        <v>0</v>
      </c>
      <c r="S219" s="144" t="n">
        <v>0</v>
      </c>
      <c r="T219" s="120" t="n"/>
      <c r="U219" s="21" t="n"/>
      <c r="Y219" s="22" t="n"/>
      <c r="Z219" s="120" t="n"/>
      <c r="AB219" s="21" t="n"/>
      <c r="AF219" s="22" t="n"/>
      <c r="AG219" s="120" t="n"/>
      <c r="AH219" s="144" t="n">
        <v>0</v>
      </c>
      <c r="AI219" s="144" t="n">
        <v>0</v>
      </c>
      <c r="AJ219" s="144" t="n">
        <v>0</v>
      </c>
      <c r="AK219" s="144" t="n">
        <v>0</v>
      </c>
      <c r="AL219" s="144" t="n">
        <v>0</v>
      </c>
      <c r="AM219" s="120" t="n"/>
      <c r="AN219" s="21" t="n"/>
      <c r="AR219" s="22" t="n"/>
      <c r="AS219" s="120" t="n"/>
    </row>
    <row r="220" hidden="1" outlineLevel="1">
      <c r="A220" s="8" t="n"/>
      <c r="B220" s="14" t="n"/>
      <c r="C220" s="120" t="n"/>
      <c r="D220" s="120" t="n"/>
      <c r="E220" s="120" t="n"/>
      <c r="F220" s="120" t="n"/>
      <c r="G220" s="120" t="n"/>
      <c r="I220" s="21" t="n"/>
      <c r="M220" s="22" t="n"/>
      <c r="N220" s="120" t="n"/>
      <c r="O220" s="120" t="n"/>
      <c r="P220" s="120" t="n"/>
      <c r="Q220" s="120" t="n"/>
      <c r="R220" s="120" t="n"/>
      <c r="S220" s="120" t="n"/>
      <c r="T220" s="120" t="n"/>
      <c r="U220" s="23" t="n"/>
      <c r="V220" s="24" t="n"/>
      <c r="W220" s="24" t="n"/>
      <c r="X220" s="24" t="n"/>
      <c r="Y220" s="25" t="n"/>
      <c r="Z220" s="120" t="n"/>
      <c r="AB220" s="21" t="n"/>
      <c r="AF220" s="22" t="n"/>
      <c r="AG220" s="120" t="n"/>
      <c r="AH220" s="120" t="n"/>
      <c r="AI220" s="120" t="n"/>
      <c r="AJ220" s="120" t="n"/>
      <c r="AK220" s="120" t="n"/>
      <c r="AL220" s="120" t="n"/>
      <c r="AM220" s="120" t="n"/>
      <c r="AN220" s="23" t="n"/>
      <c r="AO220" s="24" t="n"/>
      <c r="AP220" s="24" t="n"/>
      <c r="AQ220" s="24" t="n"/>
      <c r="AR220" s="25" t="n"/>
      <c r="AS220" s="120" t="n"/>
    </row>
    <row r="221" hidden="1" outlineLevel="1">
      <c r="A221" s="8" t="n"/>
      <c r="B221" s="14" t="n"/>
      <c r="C221" s="120" t="n"/>
      <c r="D221" s="120" t="n"/>
      <c r="E221" s="120" t="n"/>
      <c r="F221" s="120" t="n"/>
      <c r="G221" s="120" t="n"/>
      <c r="I221" s="21" t="n"/>
      <c r="M221" s="22" t="n"/>
      <c r="N221" s="120" t="n"/>
      <c r="O221" s="55" t="inlineStr">
        <is>
          <t>ATAQUE</t>
        </is>
      </c>
      <c r="P221" s="55" t="inlineStr">
        <is>
          <t>CD</t>
        </is>
      </c>
      <c r="Q221" s="55" t="inlineStr">
        <is>
          <t>DEFESA</t>
        </is>
      </c>
      <c r="R221" s="55" t="inlineStr">
        <is>
          <t>VIDA MÁXIMA</t>
        </is>
      </c>
      <c r="S221" s="55" t="inlineStr">
        <is>
          <t>DESLOCAMENTO</t>
        </is>
      </c>
      <c r="T221" s="120" t="n"/>
      <c r="U221" s="120" t="n"/>
      <c r="V221" s="120" t="n"/>
      <c r="W221" s="120" t="n"/>
      <c r="X221" s="120" t="n"/>
      <c r="Y221" s="120" t="n"/>
      <c r="Z221" s="120" t="n"/>
      <c r="AB221" s="21" t="n"/>
      <c r="AF221" s="22" t="n"/>
      <c r="AG221" s="120" t="n"/>
      <c r="AH221" s="55" t="inlineStr">
        <is>
          <t>ATAQUE</t>
        </is>
      </c>
      <c r="AI221" s="55" t="inlineStr">
        <is>
          <t>CD</t>
        </is>
      </c>
      <c r="AJ221" s="55" t="inlineStr">
        <is>
          <t>DEFESA</t>
        </is>
      </c>
      <c r="AK221" s="55" t="inlineStr">
        <is>
          <t>VIDA MÁXIMA</t>
        </is>
      </c>
      <c r="AL221" s="55" t="inlineStr">
        <is>
          <t>DESLOCAMENTO</t>
        </is>
      </c>
      <c r="AM221" s="120" t="n"/>
      <c r="AN221" s="120" t="n"/>
      <c r="AO221" s="120" t="n"/>
      <c r="AP221" s="120" t="n"/>
      <c r="AQ221" s="120" t="n"/>
      <c r="AR221" s="120" t="n"/>
      <c r="AS221" s="120" t="n"/>
    </row>
    <row r="222" hidden="1" outlineLevel="1">
      <c r="A222" s="8" t="n"/>
      <c r="B222" s="14" t="n"/>
      <c r="C222" s="120" t="n"/>
      <c r="D222" s="120" t="n"/>
      <c r="E222" s="120" t="n"/>
      <c r="F222" s="120" t="n"/>
      <c r="G222" s="120" t="n"/>
      <c r="I222" s="21" t="n"/>
      <c r="M222" s="22" t="n"/>
      <c r="N222" s="120" t="n"/>
      <c r="O222" s="92">
        <f>DADOS_INVOC!$HB$3</f>
        <v/>
      </c>
      <c r="P222" s="92">
        <f>DADOS_INVOC!$HC$3</f>
        <v/>
      </c>
      <c r="Q222" s="92">
        <f>DADOS_INVOC!$FX$3</f>
        <v/>
      </c>
      <c r="R222" s="92">
        <f>DADOS_INVOC!$FZ$3</f>
        <v/>
      </c>
      <c r="S222" s="92">
        <f>DADOS_INVOC!$HD$3</f>
        <v/>
      </c>
      <c r="T222" s="120" t="n"/>
      <c r="U222" s="55" t="inlineStr">
        <is>
          <t>ANOTAÇÕES</t>
        </is>
      </c>
      <c r="V222" s="16" t="n"/>
      <c r="W222" s="16" t="n"/>
      <c r="X222" s="16" t="n"/>
      <c r="Y222" s="17" t="n"/>
      <c r="Z222" s="120" t="n"/>
      <c r="AB222" s="21" t="n"/>
      <c r="AF222" s="22" t="n"/>
      <c r="AG222" s="120" t="n"/>
      <c r="AH222" s="92">
        <f>DADOS_INVOC!$HB$9</f>
        <v/>
      </c>
      <c r="AI222" s="92">
        <f>DADOS_INVOC!$HC$9</f>
        <v/>
      </c>
      <c r="AJ222" s="92">
        <f>DADOS_INVOC!$FX$9</f>
        <v/>
      </c>
      <c r="AK222" s="92">
        <f>DADOS_INVOC!$FZ$9</f>
        <v/>
      </c>
      <c r="AL222" s="92">
        <f>DADOS_INVOC!$HD$9</f>
        <v/>
      </c>
      <c r="AM222" s="120" t="n"/>
      <c r="AN222" s="55" t="inlineStr">
        <is>
          <t>ANOTAÇÕES</t>
        </is>
      </c>
      <c r="AO222" s="16" t="n"/>
      <c r="AP222" s="16" t="n"/>
      <c r="AQ222" s="16" t="n"/>
      <c r="AR222" s="17" t="n"/>
      <c r="AS222" s="120" t="n"/>
    </row>
    <row r="223" hidden="1" outlineLevel="1">
      <c r="A223" s="8" t="n"/>
      <c r="B223" s="14" t="n"/>
      <c r="C223" s="120" t="n"/>
      <c r="D223" s="120" t="n"/>
      <c r="E223" s="120" t="n"/>
      <c r="F223" s="120" t="n"/>
      <c r="G223" s="120" t="n"/>
      <c r="I223" s="21" t="n"/>
      <c r="M223" s="22" t="n"/>
      <c r="N223" s="120" t="n"/>
      <c r="O223" s="125" t="n"/>
      <c r="P223" s="125" t="n"/>
      <c r="Q223" s="125" t="n"/>
      <c r="R223" s="125" t="n"/>
      <c r="S223" s="125" t="n"/>
      <c r="T223" s="120" t="n"/>
      <c r="U223" s="116" t="n"/>
      <c r="V223" s="19" t="n"/>
      <c r="W223" s="19" t="n"/>
      <c r="X223" s="19" t="n"/>
      <c r="Y223" s="20" t="n"/>
      <c r="Z223" s="120" t="n"/>
      <c r="AB223" s="21" t="n"/>
      <c r="AF223" s="22" t="n"/>
      <c r="AG223" s="120" t="n"/>
      <c r="AH223" s="125" t="n"/>
      <c r="AI223" s="125" t="n"/>
      <c r="AJ223" s="125" t="n"/>
      <c r="AK223" s="125" t="n"/>
      <c r="AL223" s="125" t="n"/>
      <c r="AM223" s="120" t="n"/>
      <c r="AN223" s="116" t="n"/>
      <c r="AO223" s="19" t="n"/>
      <c r="AP223" s="19" t="n"/>
      <c r="AQ223" s="19" t="n"/>
      <c r="AR223" s="20" t="n"/>
      <c r="AS223" s="120" t="n"/>
    </row>
    <row r="224" hidden="1" outlineLevel="1">
      <c r="A224" s="8" t="n"/>
      <c r="B224" s="14" t="n"/>
      <c r="C224" s="120" t="n"/>
      <c r="D224" s="120" t="n"/>
      <c r="E224" s="120" t="n"/>
      <c r="F224" s="120" t="n"/>
      <c r="G224" s="120" t="n"/>
      <c r="I224" s="21" t="n"/>
      <c r="M224" s="22" t="n"/>
      <c r="N224" s="120" t="n"/>
      <c r="O224" s="144" t="n">
        <v>0</v>
      </c>
      <c r="P224" s="144" t="n">
        <v>0</v>
      </c>
      <c r="Q224" s="144" t="n">
        <v>0</v>
      </c>
      <c r="R224" s="144" t="n">
        <v>0</v>
      </c>
      <c r="S224" s="144" t="n">
        <v>0</v>
      </c>
      <c r="T224" s="120" t="n"/>
      <c r="U224" s="21" t="n"/>
      <c r="Y224" s="22" t="n"/>
      <c r="Z224" s="120" t="n"/>
      <c r="AB224" s="21" t="n"/>
      <c r="AF224" s="22" t="n"/>
      <c r="AG224" s="120" t="n"/>
      <c r="AH224" s="144" t="n">
        <v>0</v>
      </c>
      <c r="AI224" s="144" t="n">
        <v>0</v>
      </c>
      <c r="AJ224" s="144" t="n">
        <v>0</v>
      </c>
      <c r="AK224" s="144" t="n">
        <v>0</v>
      </c>
      <c r="AL224" s="144" t="n">
        <v>0</v>
      </c>
      <c r="AM224" s="120" t="n"/>
      <c r="AN224" s="21" t="n"/>
      <c r="AR224" s="22" t="n"/>
      <c r="AS224" s="120" t="n"/>
    </row>
    <row r="225" hidden="1" outlineLevel="1">
      <c r="A225" s="8" t="n"/>
      <c r="B225" s="14" t="n"/>
      <c r="C225" s="120" t="n"/>
      <c r="D225" s="120" t="n"/>
      <c r="E225" s="120" t="n"/>
      <c r="F225" s="120" t="n"/>
      <c r="G225" s="120" t="n"/>
      <c r="I225" s="21" t="n"/>
      <c r="M225" s="22" t="n"/>
      <c r="N225" s="120" t="n"/>
      <c r="O225" s="120" t="n"/>
      <c r="P225" s="120" t="n"/>
      <c r="Q225" s="120" t="n"/>
      <c r="R225" s="120" t="n"/>
      <c r="S225" s="120" t="n"/>
      <c r="T225" s="120" t="n"/>
      <c r="U225" s="21" t="n"/>
      <c r="Y225" s="22" t="n"/>
      <c r="Z225" s="120" t="n"/>
      <c r="AB225" s="21" t="n"/>
      <c r="AF225" s="22" t="n"/>
      <c r="AG225" s="120" t="n"/>
      <c r="AH225" s="120" t="n"/>
      <c r="AI225" s="120" t="n"/>
      <c r="AJ225" s="120" t="n"/>
      <c r="AK225" s="120" t="n"/>
      <c r="AL225" s="120" t="n"/>
      <c r="AM225" s="120" t="n"/>
      <c r="AN225" s="21" t="n"/>
      <c r="AR225" s="22" t="n"/>
      <c r="AS225" s="120" t="n"/>
    </row>
    <row r="226" hidden="1" outlineLevel="1">
      <c r="A226" s="8" t="n"/>
      <c r="B226" s="14" t="n"/>
      <c r="C226" s="120" t="n"/>
      <c r="D226" s="120" t="n"/>
      <c r="E226" s="120" t="n"/>
      <c r="F226" s="120" t="n"/>
      <c r="G226" s="120" t="n"/>
      <c r="I226" s="21" t="n"/>
      <c r="M226" s="22" t="n"/>
      <c r="N226" s="120" t="n"/>
      <c r="O226" s="55" t="inlineStr">
        <is>
          <t>FÍSICO</t>
        </is>
      </c>
      <c r="P226" s="55" t="inlineStr">
        <is>
          <t>VIGOR</t>
        </is>
      </c>
      <c r="Q226" s="55" t="inlineStr">
        <is>
          <t>INTELECTO</t>
        </is>
      </c>
      <c r="R226" s="55" t="inlineStr">
        <is>
          <t>ESPÍRITO</t>
        </is>
      </c>
      <c r="S226" s="55" t="inlineStr">
        <is>
          <t>TR TREINADO</t>
        </is>
      </c>
      <c r="T226" s="120" t="n"/>
      <c r="U226" s="21" t="n"/>
      <c r="Y226" s="22" t="n"/>
      <c r="Z226" s="120" t="n"/>
      <c r="AB226" s="21" t="n"/>
      <c r="AF226" s="22" t="n"/>
      <c r="AG226" s="120" t="n"/>
      <c r="AH226" s="55" t="inlineStr">
        <is>
          <t>FÍSICO</t>
        </is>
      </c>
      <c r="AI226" s="55" t="inlineStr">
        <is>
          <t>VIGOR</t>
        </is>
      </c>
      <c r="AJ226" s="55" t="inlineStr">
        <is>
          <t>INTELECTO</t>
        </is>
      </c>
      <c r="AK226" s="55" t="inlineStr">
        <is>
          <t>ESPÍRITO</t>
        </is>
      </c>
      <c r="AL226" s="55" t="inlineStr">
        <is>
          <t>TR TREINADO</t>
        </is>
      </c>
      <c r="AM226" s="120" t="n"/>
      <c r="AN226" s="21" t="n"/>
      <c r="AR226" s="22" t="n"/>
      <c r="AS226" s="120" t="n"/>
    </row>
    <row r="227" hidden="1" outlineLevel="1">
      <c r="A227" s="8" t="n"/>
      <c r="B227" s="14" t="n"/>
      <c r="C227" s="120" t="n"/>
      <c r="D227" s="120" t="n"/>
      <c r="E227" s="120" t="n"/>
      <c r="F227" s="120" t="n"/>
      <c r="G227" s="120" t="n"/>
      <c r="I227" s="21" t="n"/>
      <c r="M227" s="22" t="n"/>
      <c r="N227" s="120" t="n"/>
      <c r="O227" s="92">
        <f>DADOS_INVOC!$HE$3</f>
        <v/>
      </c>
      <c r="P227" s="92">
        <f>DADOS_INVOC!$HF$3</f>
        <v/>
      </c>
      <c r="Q227" s="92">
        <f>DADOS_INVOC!$HG$3</f>
        <v/>
      </c>
      <c r="R227" s="92">
        <f>DADOS_INVOC!$HH$3</f>
        <v/>
      </c>
      <c r="S227" s="124" t="n"/>
      <c r="T227" s="120" t="n"/>
      <c r="U227" s="21" t="n"/>
      <c r="Y227" s="22" t="n"/>
      <c r="Z227" s="120" t="n"/>
      <c r="AB227" s="21" t="n"/>
      <c r="AF227" s="22" t="n"/>
      <c r="AG227" s="120" t="n"/>
      <c r="AH227" s="92">
        <f>DADOS_INVOC!$HE$9</f>
        <v/>
      </c>
      <c r="AI227" s="92">
        <f>DADOS_INVOC!$HF$9</f>
        <v/>
      </c>
      <c r="AJ227" s="92">
        <f>DADOS_INVOC!$HG$9</f>
        <v/>
      </c>
      <c r="AK227" s="92">
        <f>DADOS_INVOC!$HH$9</f>
        <v/>
      </c>
      <c r="AL227" s="124" t="n"/>
      <c r="AM227" s="120" t="n"/>
      <c r="AN227" s="21" t="n"/>
      <c r="AR227" s="22" t="n"/>
      <c r="AS227" s="120" t="n"/>
    </row>
    <row r="228" hidden="1" outlineLevel="1">
      <c r="A228" s="8" t="n"/>
      <c r="B228" s="14" t="n"/>
      <c r="C228" s="120" t="n"/>
      <c r="D228" s="120" t="n"/>
      <c r="E228" s="120" t="n"/>
      <c r="F228" s="120" t="n"/>
      <c r="G228" s="120" t="n"/>
      <c r="I228" s="21" t="n"/>
      <c r="M228" s="22" t="n"/>
      <c r="N228" s="120" t="n"/>
      <c r="O228" s="125" t="n"/>
      <c r="P228" s="125" t="n"/>
      <c r="Q228" s="125" t="n"/>
      <c r="R228" s="125" t="n"/>
      <c r="S228" s="125" t="n"/>
      <c r="T228" s="120" t="n"/>
      <c r="U228" s="23" t="n"/>
      <c r="V228" s="24" t="n"/>
      <c r="W228" s="24" t="n"/>
      <c r="X228" s="24" t="n"/>
      <c r="Y228" s="25" t="n"/>
      <c r="Z228" s="120" t="n"/>
      <c r="AB228" s="21" t="n"/>
      <c r="AF228" s="22" t="n"/>
      <c r="AG228" s="120" t="n"/>
      <c r="AH228" s="125" t="n"/>
      <c r="AI228" s="125" t="n"/>
      <c r="AJ228" s="125" t="n"/>
      <c r="AK228" s="125" t="n"/>
      <c r="AL228" s="125" t="n"/>
      <c r="AM228" s="120" t="n"/>
      <c r="AN228" s="23" t="n"/>
      <c r="AO228" s="24" t="n"/>
      <c r="AP228" s="24" t="n"/>
      <c r="AQ228" s="24" t="n"/>
      <c r="AR228" s="25" t="n"/>
      <c r="AS228" s="120" t="n"/>
    </row>
    <row r="229" hidden="1" outlineLevel="1">
      <c r="A229" s="8" t="n"/>
      <c r="B229" s="14" t="n"/>
      <c r="C229" s="120" t="n"/>
      <c r="D229" s="120" t="n"/>
      <c r="E229" s="120" t="n"/>
      <c r="F229" s="120" t="n"/>
      <c r="G229" s="120" t="n"/>
      <c r="I229" s="21" t="n"/>
      <c r="M229" s="22" t="n"/>
      <c r="N229" s="120" t="n"/>
      <c r="O229" s="144" t="n">
        <v>0</v>
      </c>
      <c r="P229" s="144" t="n">
        <v>0</v>
      </c>
      <c r="Q229" s="144" t="n">
        <v>0</v>
      </c>
      <c r="R229" s="144" t="n">
        <v>0</v>
      </c>
      <c r="S229" s="120" t="n"/>
      <c r="T229" s="120" t="n"/>
      <c r="U229" s="120" t="n"/>
      <c r="V229" s="120" t="n"/>
      <c r="W229" s="120" t="n"/>
      <c r="X229" s="120" t="n"/>
      <c r="Y229" s="120" t="n"/>
      <c r="Z229" s="120" t="n"/>
      <c r="AB229" s="21" t="n"/>
      <c r="AF229" s="22" t="n"/>
      <c r="AG229" s="120" t="n"/>
      <c r="AH229" s="144" t="n">
        <v>0</v>
      </c>
      <c r="AI229" s="144" t="n">
        <v>0</v>
      </c>
      <c r="AJ229" s="144" t="n">
        <v>0</v>
      </c>
      <c r="AK229" s="144" t="n">
        <v>0</v>
      </c>
      <c r="AL229" s="120" t="n"/>
      <c r="AM229" s="120" t="n"/>
      <c r="AN229" s="120" t="n"/>
      <c r="AO229" s="120" t="n"/>
      <c r="AP229" s="120" t="n"/>
      <c r="AQ229" s="120" t="n"/>
      <c r="AR229" s="120" t="n"/>
      <c r="AS229" s="120" t="n"/>
    </row>
    <row r="230" hidden="1" outlineLevel="1">
      <c r="A230" s="8" t="n"/>
      <c r="B230" s="14" t="n"/>
      <c r="C230" s="120" t="n"/>
      <c r="D230" s="120" t="n"/>
      <c r="E230" s="120" t="n"/>
      <c r="F230" s="120" t="n"/>
      <c r="G230" s="120" t="n"/>
      <c r="I230" s="21" t="n"/>
      <c r="M230" s="22" t="n"/>
      <c r="N230" s="120" t="n"/>
      <c r="O230" s="120" t="n"/>
      <c r="P230" s="120" t="n"/>
      <c r="Q230" s="120" t="n"/>
      <c r="R230" s="120" t="n"/>
      <c r="S230" s="120" t="n"/>
      <c r="T230" s="120" t="n"/>
      <c r="U230" s="55">
        <f>DADOS_INVOC!$HR$3</f>
        <v/>
      </c>
      <c r="V230" s="16" t="n"/>
      <c r="W230" s="16" t="n"/>
      <c r="X230" s="17" t="n"/>
      <c r="Y230" s="55" t="inlineStr">
        <is>
          <t>VOL.</t>
        </is>
      </c>
      <c r="Z230" s="120" t="n"/>
      <c r="AB230" s="21" t="n"/>
      <c r="AF230" s="22" t="n"/>
      <c r="AG230" s="120" t="n"/>
      <c r="AH230" s="120" t="n"/>
      <c r="AI230" s="120" t="n"/>
      <c r="AJ230" s="120" t="n"/>
      <c r="AK230" s="120" t="n"/>
      <c r="AL230" s="120" t="n"/>
      <c r="AM230" s="120" t="n"/>
      <c r="AN230" s="55">
        <f>DADOS_INVOC!$HR$9</f>
        <v/>
      </c>
      <c r="AO230" s="16" t="n"/>
      <c r="AP230" s="16" t="n"/>
      <c r="AQ230" s="17" t="n"/>
      <c r="AR230" s="55" t="inlineStr">
        <is>
          <t>VOL.</t>
        </is>
      </c>
      <c r="AS230" s="120" t="n"/>
    </row>
    <row r="231" hidden="1" outlineLevel="1">
      <c r="A231" s="8" t="n"/>
      <c r="B231" s="14" t="n"/>
      <c r="C231" s="120" t="n"/>
      <c r="D231" s="120" t="n"/>
      <c r="E231" s="120" t="n"/>
      <c r="F231" s="120" t="n"/>
      <c r="G231" s="120" t="n"/>
      <c r="I231" s="21" t="n"/>
      <c r="M231" s="22" t="n"/>
      <c r="N231" s="120" t="n"/>
      <c r="O231" s="55" t="inlineStr">
        <is>
          <t>ATRIBUTO DE ACERTO</t>
        </is>
      </c>
      <c r="P231" s="16" t="n"/>
      <c r="Q231" s="17" t="n"/>
      <c r="R231" s="55" t="inlineStr">
        <is>
          <t>FÍSICO USA</t>
        </is>
      </c>
      <c r="S231" s="17" t="n"/>
      <c r="T231" s="120" t="n"/>
      <c r="U231" s="55" t="inlineStr">
        <is>
          <t>MÃO 1</t>
        </is>
      </c>
      <c r="V231" s="130" t="n"/>
      <c r="W231" s="16" t="n"/>
      <c r="X231" s="17" t="n"/>
      <c r="Y231" s="124" t="n"/>
      <c r="Z231" s="120" t="n"/>
      <c r="AB231" s="21" t="n"/>
      <c r="AF231" s="22" t="n"/>
      <c r="AG231" s="120" t="n"/>
      <c r="AH231" s="55" t="inlineStr">
        <is>
          <t>ATRIBUTO DE ACERTO</t>
        </is>
      </c>
      <c r="AI231" s="16" t="n"/>
      <c r="AJ231" s="17" t="n"/>
      <c r="AK231" s="55" t="inlineStr">
        <is>
          <t>FÍSICO USA</t>
        </is>
      </c>
      <c r="AL231" s="17" t="n"/>
      <c r="AM231" s="120" t="n"/>
      <c r="AN231" s="55" t="inlineStr">
        <is>
          <t>MÃO 1</t>
        </is>
      </c>
      <c r="AO231" s="130" t="n"/>
      <c r="AP231" s="16" t="n"/>
      <c r="AQ231" s="17" t="n"/>
      <c r="AR231" s="124" t="n"/>
      <c r="AS231" s="120" t="n"/>
    </row>
    <row r="232" hidden="1" outlineLevel="1">
      <c r="A232" s="8" t="n"/>
      <c r="B232" s="14" t="n"/>
      <c r="C232" s="120" t="n"/>
      <c r="D232" s="120" t="n"/>
      <c r="E232" s="120" t="n"/>
      <c r="F232" s="120" t="n"/>
      <c r="G232" s="120" t="n"/>
      <c r="I232" s="21" t="n"/>
      <c r="M232" s="22" t="n"/>
      <c r="N232" s="120" t="n"/>
      <c r="O232" s="124" t="n"/>
      <c r="P232" s="19" t="n"/>
      <c r="Q232" s="20" t="n"/>
      <c r="R232" s="124" t="inlineStr">
        <is>
          <t>Força</t>
        </is>
      </c>
      <c r="S232" s="20" t="n"/>
      <c r="T232" s="120" t="n"/>
      <c r="U232" s="55" t="inlineStr">
        <is>
          <t>MÃO 2</t>
        </is>
      </c>
      <c r="V232" s="130" t="n"/>
      <c r="W232" s="16" t="n"/>
      <c r="X232" s="17" t="n"/>
      <c r="Y232" s="124" t="n"/>
      <c r="Z232" s="120" t="n"/>
      <c r="AB232" s="21" t="n"/>
      <c r="AF232" s="22" t="n"/>
      <c r="AG232" s="120" t="n"/>
      <c r="AH232" s="124" t="n"/>
      <c r="AI232" s="19" t="n"/>
      <c r="AJ232" s="20" t="n"/>
      <c r="AK232" s="124" t="inlineStr">
        <is>
          <t>Força</t>
        </is>
      </c>
      <c r="AL232" s="20" t="n"/>
      <c r="AM232" s="120" t="n"/>
      <c r="AN232" s="55" t="inlineStr">
        <is>
          <t>MÃO 2</t>
        </is>
      </c>
      <c r="AO232" s="130" t="n"/>
      <c r="AP232" s="16" t="n"/>
      <c r="AQ232" s="17" t="n"/>
      <c r="AR232" s="124" t="n"/>
      <c r="AS232" s="120" t="n"/>
    </row>
    <row r="233" hidden="1" outlineLevel="1">
      <c r="A233" s="8" t="n"/>
      <c r="B233" s="14" t="n"/>
      <c r="C233" s="120" t="n"/>
      <c r="D233" s="120" t="n"/>
      <c r="E233" s="120" t="n"/>
      <c r="F233" s="120" t="n"/>
      <c r="G233" s="120" t="n"/>
      <c r="I233" s="21" t="n"/>
      <c r="M233" s="22" t="n"/>
      <c r="N233" s="120" t="n"/>
      <c r="O233" s="23" t="n"/>
      <c r="P233" s="24" t="n"/>
      <c r="Q233" s="25" t="n"/>
      <c r="R233" s="23" t="n"/>
      <c r="S233" s="25" t="n"/>
      <c r="T233" s="120" t="n"/>
      <c r="U233" s="55" t="inlineStr">
        <is>
          <t>VESTE</t>
        </is>
      </c>
      <c r="V233" s="130" t="n"/>
      <c r="W233" s="16" t="n"/>
      <c r="X233" s="17" t="n"/>
      <c r="Y233" s="124" t="n"/>
      <c r="Z233" s="120" t="n"/>
      <c r="AB233" s="21" t="n"/>
      <c r="AF233" s="22" t="n"/>
      <c r="AG233" s="120" t="n"/>
      <c r="AH233" s="23" t="n"/>
      <c r="AI233" s="24" t="n"/>
      <c r="AJ233" s="25" t="n"/>
      <c r="AK233" s="23" t="n"/>
      <c r="AL233" s="25" t="n"/>
      <c r="AM233" s="120" t="n"/>
      <c r="AN233" s="55" t="inlineStr">
        <is>
          <t>VESTE</t>
        </is>
      </c>
      <c r="AO233" s="130" t="n"/>
      <c r="AP233" s="16" t="n"/>
      <c r="AQ233" s="17" t="n"/>
      <c r="AR233" s="124" t="n"/>
      <c r="AS233" s="120" t="n"/>
    </row>
    <row r="234" hidden="1" outlineLevel="1">
      <c r="A234" s="8" t="n"/>
      <c r="B234" s="14" t="n"/>
      <c r="C234" s="120" t="n"/>
      <c r="D234" s="120" t="n"/>
      <c r="E234" s="120" t="n"/>
      <c r="F234" s="120" t="n"/>
      <c r="G234" s="120" t="n"/>
      <c r="I234" s="21" t="n"/>
      <c r="M234" s="22" t="n"/>
      <c r="N234" s="120" t="n"/>
      <c r="O234" s="120" t="n"/>
      <c r="P234" s="120" t="n"/>
      <c r="Q234" s="120" t="n"/>
      <c r="R234" s="120" t="n"/>
      <c r="S234" s="120" t="n"/>
      <c r="T234" s="120" t="n"/>
      <c r="U234" s="55" t="inlineStr">
        <is>
          <t>GUARDADO · SÓ COM A CARACTERÍSTICA DE TRANSPORTE</t>
        </is>
      </c>
      <c r="V234" s="16" t="n"/>
      <c r="W234" s="16" t="n"/>
      <c r="X234" s="17" t="n"/>
      <c r="Y234" s="55" t="inlineStr">
        <is>
          <t>VOL.</t>
        </is>
      </c>
      <c r="Z234" s="120" t="n"/>
      <c r="AB234" s="21" t="n"/>
      <c r="AF234" s="22" t="n"/>
      <c r="AG234" s="120" t="n"/>
      <c r="AH234" s="120" t="n"/>
      <c r="AI234" s="120" t="n"/>
      <c r="AJ234" s="120" t="n"/>
      <c r="AK234" s="120" t="n"/>
      <c r="AL234" s="120" t="n"/>
      <c r="AM234" s="120" t="n"/>
      <c r="AN234" s="55" t="inlineStr">
        <is>
          <t>GUARDADO · SÓ COM A CARACTERÍSTICA DE TRANSPORTE</t>
        </is>
      </c>
      <c r="AO234" s="16" t="n"/>
      <c r="AP234" s="16" t="n"/>
      <c r="AQ234" s="17" t="n"/>
      <c r="AR234" s="55" t="inlineStr">
        <is>
          <t>VOL.</t>
        </is>
      </c>
      <c r="AS234" s="120" t="n"/>
    </row>
    <row r="235" hidden="1" outlineLevel="1">
      <c r="A235" s="8" t="n"/>
      <c r="B235" s="14" t="n"/>
      <c r="C235" s="120" t="n"/>
      <c r="D235" s="120" t="n"/>
      <c r="E235" s="120" t="n"/>
      <c r="F235" s="120" t="n"/>
      <c r="G235" s="120" t="n"/>
      <c r="I235" s="21" t="n"/>
      <c r="M235" s="22" t="n"/>
      <c r="N235" s="120" t="n"/>
      <c r="O235" s="55">
        <f>DADOS_INVOC!$HI$3</f>
        <v/>
      </c>
      <c r="P235" s="16" t="n"/>
      <c r="Q235" s="16" t="n"/>
      <c r="R235" s="16" t="n"/>
      <c r="S235" s="17" t="n"/>
      <c r="T235" s="120" t="n"/>
      <c r="U235" s="130" t="n"/>
      <c r="V235" s="16" t="n"/>
      <c r="W235" s="16" t="n"/>
      <c r="X235" s="17" t="n"/>
      <c r="Y235" s="124" t="n"/>
      <c r="Z235" s="120" t="n"/>
      <c r="AB235" s="21" t="n"/>
      <c r="AF235" s="22" t="n"/>
      <c r="AG235" s="120" t="n"/>
      <c r="AH235" s="55">
        <f>DADOS_INVOC!$HI$9</f>
        <v/>
      </c>
      <c r="AI235" s="16" t="n"/>
      <c r="AJ235" s="16" t="n"/>
      <c r="AK235" s="16" t="n"/>
      <c r="AL235" s="17" t="n"/>
      <c r="AM235" s="120" t="n"/>
      <c r="AN235" s="130" t="n"/>
      <c r="AO235" s="16" t="n"/>
      <c r="AP235" s="16" t="n"/>
      <c r="AQ235" s="17" t="n"/>
      <c r="AR235" s="124" t="n"/>
      <c r="AS235" s="120" t="n"/>
    </row>
    <row r="236" hidden="1" outlineLevel="1">
      <c r="A236" s="8" t="n"/>
      <c r="B236" s="14" t="n"/>
      <c r="C236" s="120" t="n"/>
      <c r="D236" s="120" t="n"/>
      <c r="E236" s="120" t="n"/>
      <c r="F236" s="120" t="n"/>
      <c r="G236" s="120" t="n"/>
      <c r="I236" s="21" t="n"/>
      <c r="M236" s="22" t="n"/>
      <c r="N236" s="120" t="n"/>
      <c r="O236" s="130" t="n"/>
      <c r="P236" s="16" t="n"/>
      <c r="Q236" s="17" t="n"/>
      <c r="R236" s="124">
        <f>DADOS_INVOC!$HJ$3</f>
        <v/>
      </c>
      <c r="S236" s="17" t="n"/>
      <c r="T236" s="120" t="n"/>
      <c r="U236" s="130" t="n"/>
      <c r="V236" s="16" t="n"/>
      <c r="W236" s="16" t="n"/>
      <c r="X236" s="17" t="n"/>
      <c r="Y236" s="124" t="n"/>
      <c r="Z236" s="120" t="n"/>
      <c r="AB236" s="21" t="n"/>
      <c r="AF236" s="22" t="n"/>
      <c r="AG236" s="120" t="n"/>
      <c r="AH236" s="130" t="n"/>
      <c r="AI236" s="16" t="n"/>
      <c r="AJ236" s="17" t="n"/>
      <c r="AK236" s="124">
        <f>DADOS_INVOC!$HJ$9</f>
        <v/>
      </c>
      <c r="AL236" s="17" t="n"/>
      <c r="AM236" s="120" t="n"/>
      <c r="AN236" s="130" t="n"/>
      <c r="AO236" s="16" t="n"/>
      <c r="AP236" s="16" t="n"/>
      <c r="AQ236" s="17" t="n"/>
      <c r="AR236" s="124" t="n"/>
      <c r="AS236" s="120" t="n"/>
    </row>
    <row r="237" hidden="1" outlineLevel="1">
      <c r="A237" s="8" t="n"/>
      <c r="B237" s="14" t="n"/>
      <c r="C237" s="120" t="n"/>
      <c r="D237" s="120" t="n"/>
      <c r="E237" s="120" t="n"/>
      <c r="F237" s="120" t="n"/>
      <c r="G237" s="120" t="n"/>
      <c r="I237" s="21" t="n"/>
      <c r="M237" s="22" t="n"/>
      <c r="N237" s="120" t="n"/>
      <c r="O237" s="130" t="n"/>
      <c r="P237" s="16" t="n"/>
      <c r="Q237" s="17" t="n"/>
      <c r="R237" s="124">
        <f>DADOS_INVOC!$HK$3</f>
        <v/>
      </c>
      <c r="S237" s="17" t="n"/>
      <c r="T237" s="120" t="n"/>
      <c r="U237" s="130" t="n"/>
      <c r="V237" s="16" t="n"/>
      <c r="W237" s="16" t="n"/>
      <c r="X237" s="17" t="n"/>
      <c r="Y237" s="124" t="n"/>
      <c r="Z237" s="120" t="n"/>
      <c r="AB237" s="21" t="n"/>
      <c r="AF237" s="22" t="n"/>
      <c r="AG237" s="120" t="n"/>
      <c r="AH237" s="130" t="n"/>
      <c r="AI237" s="16" t="n"/>
      <c r="AJ237" s="17" t="n"/>
      <c r="AK237" s="124">
        <f>DADOS_INVOC!$HK$9</f>
        <v/>
      </c>
      <c r="AL237" s="17" t="n"/>
      <c r="AM237" s="120" t="n"/>
      <c r="AN237" s="130" t="n"/>
      <c r="AO237" s="16" t="n"/>
      <c r="AP237" s="16" t="n"/>
      <c r="AQ237" s="17" t="n"/>
      <c r="AR237" s="124" t="n"/>
      <c r="AS237" s="120" t="n"/>
    </row>
    <row r="238" hidden="1" outlineLevel="1">
      <c r="A238" s="8" t="n"/>
      <c r="B238" s="14" t="n"/>
      <c r="C238" s="120" t="n"/>
      <c r="D238" s="120" t="n"/>
      <c r="E238" s="120" t="n"/>
      <c r="F238" s="120" t="n"/>
      <c r="G238" s="120" t="n"/>
      <c r="I238" s="23" t="n"/>
      <c r="J238" s="24" t="n"/>
      <c r="K238" s="24" t="n"/>
      <c r="L238" s="24" t="n"/>
      <c r="M238" s="25" t="n"/>
      <c r="N238" s="120" t="n"/>
      <c r="O238" s="130" t="n"/>
      <c r="P238" s="16" t="n"/>
      <c r="Q238" s="17" t="n"/>
      <c r="R238" s="124">
        <f>DADOS_INVOC!$HL$3</f>
        <v/>
      </c>
      <c r="S238" s="17" t="n"/>
      <c r="T238" s="120" t="n"/>
      <c r="U238" s="130" t="n"/>
      <c r="V238" s="16" t="n"/>
      <c r="W238" s="16" t="n"/>
      <c r="X238" s="17" t="n"/>
      <c r="Y238" s="124" t="n"/>
      <c r="Z238" s="120" t="n"/>
      <c r="AB238" s="23" t="n"/>
      <c r="AC238" s="24" t="n"/>
      <c r="AD238" s="24" t="n"/>
      <c r="AE238" s="24" t="n"/>
      <c r="AF238" s="25" t="n"/>
      <c r="AG238" s="120" t="n"/>
      <c r="AH238" s="130" t="n"/>
      <c r="AI238" s="16" t="n"/>
      <c r="AJ238" s="17" t="n"/>
      <c r="AK238" s="124">
        <f>DADOS_INVOC!$HL$9</f>
        <v/>
      </c>
      <c r="AL238" s="17" t="n"/>
      <c r="AM238" s="120" t="n"/>
      <c r="AN238" s="130" t="n"/>
      <c r="AO238" s="16" t="n"/>
      <c r="AP238" s="16" t="n"/>
      <c r="AQ238" s="17" t="n"/>
      <c r="AR238" s="124" t="n"/>
      <c r="AS238" s="120" t="n"/>
    </row>
    <row r="239" hidden="1" outlineLevel="1">
      <c r="A239" s="8" t="n"/>
      <c r="B239" s="14" t="n"/>
      <c r="C239" s="120" t="n"/>
      <c r="D239" s="120" t="n"/>
      <c r="E239" s="120" t="n"/>
      <c r="F239" s="120" t="n"/>
      <c r="G239" s="120" t="n"/>
      <c r="I239" s="120" t="n"/>
      <c r="J239" s="120" t="n"/>
      <c r="K239" s="120" t="n"/>
      <c r="L239" s="120" t="n"/>
      <c r="M239" s="120" t="n"/>
      <c r="N239" s="120" t="n"/>
      <c r="O239" s="130" t="n"/>
      <c r="P239" s="16" t="n"/>
      <c r="Q239" s="17" t="n"/>
      <c r="R239" s="124">
        <f>DADOS_INVOC!$HM$3</f>
        <v/>
      </c>
      <c r="S239" s="17" t="n"/>
      <c r="T239" s="120" t="n"/>
      <c r="U239" s="130" t="n"/>
      <c r="V239" s="16" t="n"/>
      <c r="W239" s="16" t="n"/>
      <c r="X239" s="17" t="n"/>
      <c r="Y239" s="124" t="n"/>
      <c r="Z239" s="120" t="n"/>
      <c r="AB239" s="120" t="n"/>
      <c r="AC239" s="120" t="n"/>
      <c r="AD239" s="120" t="n"/>
      <c r="AE239" s="120" t="n"/>
      <c r="AF239" s="120" t="n"/>
      <c r="AG239" s="120" t="n"/>
      <c r="AH239" s="130" t="n"/>
      <c r="AI239" s="16" t="n"/>
      <c r="AJ239" s="17" t="n"/>
      <c r="AK239" s="124">
        <f>DADOS_INVOC!$HM$9</f>
        <v/>
      </c>
      <c r="AL239" s="17" t="n"/>
      <c r="AM239" s="120" t="n"/>
      <c r="AN239" s="130" t="n"/>
      <c r="AO239" s="16" t="n"/>
      <c r="AP239" s="16" t="n"/>
      <c r="AQ239" s="17" t="n"/>
      <c r="AR239" s="124" t="n"/>
      <c r="AS239" s="120" t="n"/>
    </row>
    <row r="240" hidden="1" outlineLevel="1">
      <c r="A240" s="8" t="n"/>
      <c r="B240" s="14" t="n"/>
      <c r="C240" s="120" t="n"/>
      <c r="D240" s="120" t="n"/>
      <c r="E240" s="120" t="n"/>
      <c r="F240" s="120" t="n"/>
      <c r="G240" s="120" t="n"/>
      <c r="I240" s="55" t="inlineStr">
        <is>
          <t>TIPO</t>
        </is>
      </c>
      <c r="J240" s="16" t="n"/>
      <c r="K240" s="16" t="n"/>
      <c r="L240" s="16" t="n"/>
      <c r="M240" s="17" t="n"/>
      <c r="N240" s="120" t="n"/>
      <c r="O240" s="130" t="n"/>
      <c r="P240" s="16" t="n"/>
      <c r="Q240" s="17" t="n"/>
      <c r="R240" s="124">
        <f>DADOS_INVOC!$HN$3</f>
        <v/>
      </c>
      <c r="S240" s="17" t="n"/>
      <c r="T240" s="120" t="n"/>
      <c r="U240" s="130" t="n"/>
      <c r="V240" s="16" t="n"/>
      <c r="W240" s="16" t="n"/>
      <c r="X240" s="17" t="n"/>
      <c r="Y240" s="124" t="n"/>
      <c r="Z240" s="120" t="n"/>
      <c r="AB240" s="55" t="inlineStr">
        <is>
          <t>TIPO</t>
        </is>
      </c>
      <c r="AC240" s="16" t="n"/>
      <c r="AD240" s="16" t="n"/>
      <c r="AE240" s="16" t="n"/>
      <c r="AF240" s="17" t="n"/>
      <c r="AG240" s="120" t="n"/>
      <c r="AH240" s="130" t="n"/>
      <c r="AI240" s="16" t="n"/>
      <c r="AJ240" s="17" t="n"/>
      <c r="AK240" s="124">
        <f>DADOS_INVOC!$HN$9</f>
        <v/>
      </c>
      <c r="AL240" s="17" t="n"/>
      <c r="AM240" s="120" t="n"/>
      <c r="AN240" s="130" t="n"/>
      <c r="AO240" s="16" t="n"/>
      <c r="AP240" s="16" t="n"/>
      <c r="AQ240" s="17" t="n"/>
      <c r="AR240" s="124" t="n"/>
      <c r="AS240" s="120" t="n"/>
    </row>
    <row r="241" hidden="1" outlineLevel="1">
      <c r="A241" s="8" t="n"/>
      <c r="B241" s="14" t="n"/>
      <c r="C241" s="120" t="n"/>
      <c r="D241" s="120" t="n"/>
      <c r="E241" s="120" t="n"/>
      <c r="F241" s="120" t="n"/>
      <c r="G241" s="120" t="n"/>
      <c r="I241" s="124" t="inlineStr">
        <is>
          <t>Shikigami de técnica</t>
        </is>
      </c>
      <c r="J241" s="19" t="n"/>
      <c r="K241" s="19" t="n"/>
      <c r="L241" s="19" t="n"/>
      <c r="M241" s="20" t="n"/>
      <c r="N241" s="120" t="n"/>
      <c r="O241" s="130" t="n"/>
      <c r="P241" s="16" t="n"/>
      <c r="Q241" s="17" t="n"/>
      <c r="R241" s="124">
        <f>DADOS_INVOC!$HO$3</f>
        <v/>
      </c>
      <c r="S241" s="17" t="n"/>
      <c r="T241" s="120" t="n"/>
      <c r="U241" s="120" t="n"/>
      <c r="V241" s="120" t="n"/>
      <c r="W241" s="120" t="n"/>
      <c r="X241" s="120" t="n"/>
      <c r="Y241" s="120" t="n"/>
      <c r="Z241" s="120" t="n"/>
      <c r="AB241" s="124" t="inlineStr">
        <is>
          <t>Shikigami de técnica</t>
        </is>
      </c>
      <c r="AC241" s="19" t="n"/>
      <c r="AD241" s="19" t="n"/>
      <c r="AE241" s="19" t="n"/>
      <c r="AF241" s="20" t="n"/>
      <c r="AG241" s="120" t="n"/>
      <c r="AH241" s="130" t="n"/>
      <c r="AI241" s="16" t="n"/>
      <c r="AJ241" s="17" t="n"/>
      <c r="AK241" s="124">
        <f>DADOS_INVOC!$HO$9</f>
        <v/>
      </c>
      <c r="AL241" s="17" t="n"/>
      <c r="AM241" s="120" t="n"/>
      <c r="AN241" s="120" t="n"/>
      <c r="AO241" s="120" t="n"/>
      <c r="AP241" s="120" t="n"/>
      <c r="AQ241" s="120" t="n"/>
      <c r="AR241" s="120" t="n"/>
      <c r="AS241" s="120" t="n"/>
    </row>
    <row r="242" hidden="1" outlineLevel="1">
      <c r="A242" s="8" t="n"/>
      <c r="B242" s="14" t="n"/>
      <c r="C242" s="120" t="n"/>
      <c r="D242" s="120" t="n"/>
      <c r="E242" s="120" t="n"/>
      <c r="F242" s="120" t="n"/>
      <c r="G242" s="120" t="n"/>
      <c r="I242" s="23" t="n"/>
      <c r="J242" s="24" t="n"/>
      <c r="K242" s="24" t="n"/>
      <c r="L242" s="24" t="n"/>
      <c r="M242" s="25" t="n"/>
      <c r="N242" s="120" t="n"/>
      <c r="O242" s="130" t="n"/>
      <c r="P242" s="16" t="n"/>
      <c r="Q242" s="17" t="n"/>
      <c r="R242" s="124">
        <f>DADOS_INVOC!$HP$3</f>
        <v/>
      </c>
      <c r="S242" s="17" t="n"/>
      <c r="T242" s="120" t="n"/>
      <c r="U242" s="55" t="inlineStr">
        <is>
          <t>CORPO, SENTIDOS E COMUNICAÇÃO</t>
        </is>
      </c>
      <c r="V242" s="16" t="n"/>
      <c r="W242" s="16" t="n"/>
      <c r="X242" s="16" t="n"/>
      <c r="Y242" s="17" t="n"/>
      <c r="Z242" s="120" t="n"/>
      <c r="AB242" s="23" t="n"/>
      <c r="AC242" s="24" t="n"/>
      <c r="AD242" s="24" t="n"/>
      <c r="AE242" s="24" t="n"/>
      <c r="AF242" s="25" t="n"/>
      <c r="AG242" s="120" t="n"/>
      <c r="AH242" s="130" t="n"/>
      <c r="AI242" s="16" t="n"/>
      <c r="AJ242" s="17" t="n"/>
      <c r="AK242" s="124">
        <f>DADOS_INVOC!$HP$9</f>
        <v/>
      </c>
      <c r="AL242" s="17" t="n"/>
      <c r="AM242" s="120" t="n"/>
      <c r="AN242" s="55" t="inlineStr">
        <is>
          <t>CORPO, SENTIDOS E COMUNICAÇÃO</t>
        </is>
      </c>
      <c r="AO242" s="16" t="n"/>
      <c r="AP242" s="16" t="n"/>
      <c r="AQ242" s="16" t="n"/>
      <c r="AR242" s="17" t="n"/>
      <c r="AS242" s="120" t="n"/>
    </row>
    <row r="243" hidden="1" outlineLevel="1">
      <c r="A243" s="8" t="n"/>
      <c r="B243" s="14" t="n"/>
      <c r="C243" s="120" t="n"/>
      <c r="D243" s="120" t="n"/>
      <c r="E243" s="120" t="n"/>
      <c r="F243" s="120" t="n"/>
      <c r="G243" s="120" t="n"/>
      <c r="I243" s="120" t="n"/>
      <c r="J243" s="120" t="n"/>
      <c r="K243" s="120" t="n"/>
      <c r="L243" s="120" t="n"/>
      <c r="M243" s="120" t="n"/>
      <c r="N243" s="120" t="n"/>
      <c r="O243" s="120" t="n"/>
      <c r="P243" s="120" t="n"/>
      <c r="Q243" s="120" t="n"/>
      <c r="R243" s="120" t="n"/>
      <c r="S243" s="120" t="n"/>
      <c r="T243" s="120" t="n"/>
      <c r="U243" s="116" t="n"/>
      <c r="V243" s="19" t="n"/>
      <c r="W243" s="19" t="n"/>
      <c r="X243" s="19" t="n"/>
      <c r="Y243" s="20" t="n"/>
      <c r="Z243" s="120" t="n"/>
      <c r="AB243" s="120" t="n"/>
      <c r="AC243" s="120" t="n"/>
      <c r="AD243" s="120" t="n"/>
      <c r="AE243" s="120" t="n"/>
      <c r="AF243" s="120" t="n"/>
      <c r="AG243" s="120" t="n"/>
      <c r="AH243" s="120" t="n"/>
      <c r="AI243" s="120" t="n"/>
      <c r="AJ243" s="120" t="n"/>
      <c r="AK243" s="120" t="n"/>
      <c r="AL243" s="120" t="n"/>
      <c r="AM243" s="120" t="n"/>
      <c r="AN243" s="116" t="n"/>
      <c r="AO243" s="19" t="n"/>
      <c r="AP243" s="19" t="n"/>
      <c r="AQ243" s="19" t="n"/>
      <c r="AR243" s="20" t="n"/>
      <c r="AS243" s="120" t="n"/>
    </row>
    <row r="244" hidden="1" outlineLevel="1">
      <c r="A244" s="8" t="n"/>
      <c r="B244" s="14" t="n"/>
      <c r="C244" s="120" t="n"/>
      <c r="D244" s="120" t="n"/>
      <c r="E244" s="120" t="n"/>
      <c r="F244" s="120" t="n"/>
      <c r="G244" s="120" t="n"/>
      <c r="I244" s="55" t="inlineStr">
        <is>
          <t>AQUISIÇÃO</t>
        </is>
      </c>
      <c r="J244" s="17" t="n"/>
      <c r="K244" s="55" t="inlineStr">
        <is>
          <t>OBTIDA NO NÍVEL</t>
        </is>
      </c>
      <c r="L244" s="55" t="inlineStr">
        <is>
          <t>TALISMÃ</t>
        </is>
      </c>
      <c r="M244" s="17" t="n"/>
      <c r="N244" s="120" t="n"/>
      <c r="O244" s="55">
        <f>DADOS_INVOC!$HS$3</f>
        <v/>
      </c>
      <c r="P244" s="16" t="n"/>
      <c r="Q244" s="16" t="n"/>
      <c r="R244" s="16" t="n"/>
      <c r="S244" s="17" t="n"/>
      <c r="T244" s="120" t="n"/>
      <c r="U244" s="21" t="n"/>
      <c r="Y244" s="22" t="n"/>
      <c r="Z244" s="120" t="n"/>
      <c r="AB244" s="55" t="inlineStr">
        <is>
          <t>AQUISIÇÃO</t>
        </is>
      </c>
      <c r="AC244" s="17" t="n"/>
      <c r="AD244" s="55" t="inlineStr">
        <is>
          <t>OBTIDA NO NÍVEL</t>
        </is>
      </c>
      <c r="AE244" s="55" t="inlineStr">
        <is>
          <t>TALISMÃ</t>
        </is>
      </c>
      <c r="AF244" s="17" t="n"/>
      <c r="AG244" s="120" t="n"/>
      <c r="AH244" s="55">
        <f>DADOS_INVOC!$HS$9</f>
        <v/>
      </c>
      <c r="AI244" s="16" t="n"/>
      <c r="AJ244" s="16" t="n"/>
      <c r="AK244" s="16" t="n"/>
      <c r="AL244" s="17" t="n"/>
      <c r="AM244" s="120" t="n"/>
      <c r="AN244" s="21" t="n"/>
      <c r="AR244" s="22" t="n"/>
      <c r="AS244" s="120" t="n"/>
    </row>
    <row r="245" hidden="1" outlineLevel="1">
      <c r="A245" s="8" t="n"/>
      <c r="B245" s="14" t="n"/>
      <c r="C245" s="120" t="n"/>
      <c r="D245" s="120" t="n"/>
      <c r="E245" s="120" t="n"/>
      <c r="F245" s="120" t="n"/>
      <c r="G245" s="120" t="n"/>
      <c r="I245" s="124" t="inlineStr">
        <is>
          <t>Espaço conhecido</t>
        </is>
      </c>
      <c r="J245" s="20" t="n"/>
      <c r="K245" s="124" t="n"/>
      <c r="L245" s="124" t="inlineStr">
        <is>
          <t>Sem carga</t>
        </is>
      </c>
      <c r="M245" s="20" t="n"/>
      <c r="N245" s="120" t="n"/>
      <c r="O245" s="55" t="inlineStr">
        <is>
          <t>LIVRE</t>
        </is>
      </c>
      <c r="P245" s="55" t="inlineStr">
        <is>
          <t>LIVRE · TRILHA</t>
        </is>
      </c>
      <c r="Q245" s="55" t="inlineStr">
        <is>
          <t>ABERTA</t>
        </is>
      </c>
      <c r="R245" s="55" t="inlineStr">
        <is>
          <t>ABERTA</t>
        </is>
      </c>
      <c r="S245" s="55" t="inlineStr">
        <is>
          <t>ABERTA · TRILHA</t>
        </is>
      </c>
      <c r="T245" s="120" t="n"/>
      <c r="U245" s="21" t="n"/>
      <c r="Y245" s="22" t="n"/>
      <c r="Z245" s="120" t="n"/>
      <c r="AB245" s="124" t="inlineStr">
        <is>
          <t>Espaço conhecido</t>
        </is>
      </c>
      <c r="AC245" s="20" t="n"/>
      <c r="AD245" s="124" t="n"/>
      <c r="AE245" s="124" t="inlineStr">
        <is>
          <t>Sem carga</t>
        </is>
      </c>
      <c r="AF245" s="20" t="n"/>
      <c r="AG245" s="120" t="n"/>
      <c r="AH245" s="55" t="inlineStr">
        <is>
          <t>LIVRE</t>
        </is>
      </c>
      <c r="AI245" s="55" t="inlineStr">
        <is>
          <t>LIVRE · TRILHA</t>
        </is>
      </c>
      <c r="AJ245" s="55" t="inlineStr">
        <is>
          <t>ABERTA</t>
        </is>
      </c>
      <c r="AK245" s="55" t="inlineStr">
        <is>
          <t>ABERTA</t>
        </is>
      </c>
      <c r="AL245" s="55" t="inlineStr">
        <is>
          <t>ABERTA · TRILHA</t>
        </is>
      </c>
      <c r="AM245" s="120" t="n"/>
      <c r="AN245" s="21" t="n"/>
      <c r="AR245" s="22" t="n"/>
      <c r="AS245" s="120" t="n"/>
    </row>
    <row r="246" hidden="1" outlineLevel="1">
      <c r="A246" s="8" t="n"/>
      <c r="B246" s="14" t="n"/>
      <c r="C246" s="120" t="n"/>
      <c r="D246" s="120" t="n"/>
      <c r="E246" s="120" t="n"/>
      <c r="F246" s="120" t="n"/>
      <c r="G246" s="120" t="n"/>
      <c r="I246" s="23" t="n"/>
      <c r="J246" s="25" t="n"/>
      <c r="K246" s="125" t="n"/>
      <c r="L246" s="23" t="n"/>
      <c r="M246" s="25" t="n"/>
      <c r="N246" s="120" t="n"/>
      <c r="O246" s="124" t="n"/>
      <c r="P246" s="124" t="n"/>
      <c r="Q246" s="124" t="n"/>
      <c r="R246" s="124" t="n"/>
      <c r="S246" s="124" t="n"/>
      <c r="T246" s="120" t="n"/>
      <c r="U246" s="21" t="n"/>
      <c r="Y246" s="22" t="n"/>
      <c r="Z246" s="120" t="n"/>
      <c r="AB246" s="23" t="n"/>
      <c r="AC246" s="25" t="n"/>
      <c r="AD246" s="125" t="n"/>
      <c r="AE246" s="23" t="n"/>
      <c r="AF246" s="25" t="n"/>
      <c r="AG246" s="120" t="n"/>
      <c r="AH246" s="124" t="n"/>
      <c r="AI246" s="124" t="n"/>
      <c r="AJ246" s="124" t="n"/>
      <c r="AK246" s="124" t="n"/>
      <c r="AL246" s="124" t="n"/>
      <c r="AM246" s="120" t="n"/>
      <c r="AN246" s="21" t="n"/>
      <c r="AR246" s="22" t="n"/>
      <c r="AS246" s="120" t="n"/>
    </row>
    <row r="247" hidden="1" outlineLevel="1">
      <c r="A247" s="8" t="n"/>
      <c r="B247" s="14" t="n"/>
      <c r="C247" s="120" t="n"/>
      <c r="D247" s="120" t="n"/>
      <c r="E247" s="120" t="n"/>
      <c r="F247" s="120" t="n"/>
      <c r="G247" s="120" t="n"/>
      <c r="I247" s="120" t="n"/>
      <c r="J247" s="120" t="n"/>
      <c r="K247" s="120" t="n"/>
      <c r="L247" s="120" t="n"/>
      <c r="M247" s="120" t="n"/>
      <c r="N247" s="120" t="n"/>
      <c r="O247" s="125" t="n"/>
      <c r="P247" s="125" t="n"/>
      <c r="Q247" s="125" t="n"/>
      <c r="R247" s="125" t="n"/>
      <c r="S247" s="125" t="n"/>
      <c r="T247" s="120" t="n"/>
      <c r="U247" s="23" t="n"/>
      <c r="V247" s="24" t="n"/>
      <c r="W247" s="24" t="n"/>
      <c r="X247" s="24" t="n"/>
      <c r="Y247" s="25" t="n"/>
      <c r="Z247" s="120" t="n"/>
      <c r="AB247" s="120" t="n"/>
      <c r="AC247" s="120" t="n"/>
      <c r="AD247" s="120" t="n"/>
      <c r="AE247" s="120" t="n"/>
      <c r="AF247" s="120" t="n"/>
      <c r="AG247" s="120" t="n"/>
      <c r="AH247" s="125" t="n"/>
      <c r="AI247" s="125" t="n"/>
      <c r="AJ247" s="125" t="n"/>
      <c r="AK247" s="125" t="n"/>
      <c r="AL247" s="125" t="n"/>
      <c r="AM247" s="120" t="n"/>
      <c r="AN247" s="23" t="n"/>
      <c r="AO247" s="24" t="n"/>
      <c r="AP247" s="24" t="n"/>
      <c r="AQ247" s="24" t="n"/>
      <c r="AR247" s="25"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0"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0" t="n"/>
    </row>
    <row r="250" hidden="1" outlineLevel="1">
      <c r="A250" s="8" t="n"/>
      <c r="B250" s="14" t="n"/>
      <c r="C250" s="120" t="n"/>
      <c r="D250" s="120" t="n"/>
      <c r="E250" s="120" t="n"/>
      <c r="F250" s="120" t="n"/>
      <c r="G250" s="120" t="n"/>
      <c r="I250" s="116" t="n"/>
      <c r="J250" s="19" t="n"/>
      <c r="K250" s="19" t="n"/>
      <c r="L250" s="19" t="n"/>
      <c r="M250" s="19" t="n"/>
      <c r="N250" s="19" t="n"/>
      <c r="O250" s="19" t="n"/>
      <c r="P250" s="19" t="n"/>
      <c r="Q250" s="19" t="n"/>
      <c r="R250" s="19" t="n"/>
      <c r="S250" s="19" t="n"/>
      <c r="T250" s="19" t="n"/>
      <c r="U250" s="19" t="n"/>
      <c r="V250" s="19" t="n"/>
      <c r="W250" s="19" t="n"/>
      <c r="X250" s="19" t="n"/>
      <c r="Y250" s="20" t="n"/>
      <c r="Z250" s="120" t="n"/>
      <c r="AB250" s="116" t="n"/>
      <c r="AC250" s="19" t="n"/>
      <c r="AD250" s="19" t="n"/>
      <c r="AE250" s="19" t="n"/>
      <c r="AF250" s="19" t="n"/>
      <c r="AG250" s="19" t="n"/>
      <c r="AH250" s="19" t="n"/>
      <c r="AI250" s="19" t="n"/>
      <c r="AJ250" s="19" t="n"/>
      <c r="AK250" s="19" t="n"/>
      <c r="AL250" s="19" t="n"/>
      <c r="AM250" s="19" t="n"/>
      <c r="AN250" s="19" t="n"/>
      <c r="AO250" s="19" t="n"/>
      <c r="AP250" s="19" t="n"/>
      <c r="AQ250" s="19" t="n"/>
      <c r="AR250" s="20" t="n"/>
      <c r="AS250" s="120" t="n"/>
    </row>
    <row r="251" hidden="1" outlineLevel="1">
      <c r="A251" s="8" t="n"/>
      <c r="B251" s="14" t="n"/>
      <c r="C251" s="120" t="n"/>
      <c r="D251" s="120" t="n"/>
      <c r="E251" s="120" t="n"/>
      <c r="F251" s="120" t="n"/>
      <c r="G251" s="120" t="n"/>
      <c r="I251" s="23" t="n"/>
      <c r="J251" s="24" t="n"/>
      <c r="K251" s="24" t="n"/>
      <c r="L251" s="24" t="n"/>
      <c r="M251" s="24" t="n"/>
      <c r="N251" s="24" t="n"/>
      <c r="O251" s="24" t="n"/>
      <c r="P251" s="24" t="n"/>
      <c r="Q251" s="24" t="n"/>
      <c r="R251" s="24" t="n"/>
      <c r="S251" s="24" t="n"/>
      <c r="T251" s="24" t="n"/>
      <c r="U251" s="24" t="n"/>
      <c r="V251" s="24" t="n"/>
      <c r="W251" s="24" t="n"/>
      <c r="X251" s="24" t="n"/>
      <c r="Y251" s="25" t="n"/>
      <c r="Z251" s="120"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0" t="n"/>
    </row>
    <row r="252" hidden="1" outlineLevel="1">
      <c r="A252" s="8" t="n"/>
      <c r="B252" s="14" t="n"/>
      <c r="C252" s="120" t="n"/>
      <c r="D252" s="120" t="n"/>
      <c r="E252" s="120" t="n"/>
      <c r="F252" s="120" t="n"/>
      <c r="G252" s="120" t="n"/>
      <c r="I252" s="120" t="n"/>
      <c r="J252" s="120" t="n"/>
      <c r="K252" s="120" t="n"/>
      <c r="L252" s="120" t="n"/>
      <c r="M252" s="120" t="n"/>
      <c r="N252" s="120" t="n"/>
      <c r="O252" s="120" t="n"/>
      <c r="P252" s="120" t="n"/>
      <c r="Q252" s="120" t="n"/>
      <c r="R252" s="120" t="n"/>
      <c r="S252" s="120" t="n"/>
      <c r="T252" s="120" t="n"/>
      <c r="U252" s="120" t="n"/>
      <c r="V252" s="120" t="n"/>
      <c r="W252" s="120" t="n"/>
      <c r="X252" s="120" t="n"/>
      <c r="Y252" s="120" t="n"/>
      <c r="Z252" s="120" t="n"/>
      <c r="AB252" s="120" t="n"/>
      <c r="AC252" s="120" t="n"/>
      <c r="AD252" s="120" t="n"/>
      <c r="AE252" s="120" t="n"/>
      <c r="AF252" s="120" t="n"/>
      <c r="AG252" s="120" t="n"/>
      <c r="AH252" s="120" t="n"/>
      <c r="AI252" s="120" t="n"/>
      <c r="AJ252" s="120" t="n"/>
      <c r="AK252" s="120" t="n"/>
      <c r="AL252" s="120" t="n"/>
      <c r="AM252" s="120" t="n"/>
      <c r="AN252" s="120" t="n"/>
      <c r="AO252" s="120" t="n"/>
      <c r="AP252" s="120" t="n"/>
      <c r="AQ252" s="120" t="n"/>
      <c r="AR252" s="120" t="n"/>
      <c r="AS252" s="120" t="n"/>
    </row>
    <row r="253" hidden="1" outlineLevel="1">
      <c r="A253" s="8" t="n"/>
      <c r="B253" s="14" t="n"/>
      <c r="C253" s="120" t="n"/>
      <c r="D253" s="120" t="n"/>
      <c r="E253" s="120" t="n"/>
      <c r="F253" s="120" t="n"/>
      <c r="G253" s="120" t="n"/>
      <c r="I253" s="133">
        <f>DADOS_INVOC!$HT$3</f>
        <v/>
      </c>
      <c r="J253" s="16" t="n"/>
      <c r="K253" s="16" t="n"/>
      <c r="L253" s="16" t="n"/>
      <c r="M253" s="16" t="n"/>
      <c r="N253" s="16" t="n"/>
      <c r="O253" s="16" t="n"/>
      <c r="P253" s="16" t="n"/>
      <c r="Q253" s="16" t="n"/>
      <c r="R253" s="16" t="n"/>
      <c r="S253" s="16" t="n"/>
      <c r="T253" s="16" t="n"/>
      <c r="U253" s="16" t="n"/>
      <c r="V253" s="16" t="n"/>
      <c r="W253" s="16" t="n"/>
      <c r="X253" s="16" t="n"/>
      <c r="Y253" s="17" t="n"/>
      <c r="Z253" s="120" t="n"/>
      <c r="AB253" s="133">
        <f>DADOS_INVOC!$HT$9</f>
        <v/>
      </c>
      <c r="AC253" s="16" t="n"/>
      <c r="AD253" s="16" t="n"/>
      <c r="AE253" s="16" t="n"/>
      <c r="AF253" s="16" t="n"/>
      <c r="AG253" s="16" t="n"/>
      <c r="AH253" s="16" t="n"/>
      <c r="AI253" s="16" t="n"/>
      <c r="AJ253" s="16" t="n"/>
      <c r="AK253" s="16" t="n"/>
      <c r="AL253" s="16" t="n"/>
      <c r="AM253" s="16" t="n"/>
      <c r="AN253" s="16" t="n"/>
      <c r="AO253" s="16" t="n"/>
      <c r="AP253" s="16" t="n"/>
      <c r="AQ253" s="16" t="n"/>
      <c r="AR253" s="17" t="n"/>
      <c r="AS253" s="120" t="n"/>
    </row>
    <row r="254" hidden="1" outlineLevel="1">
      <c r="A254" s="8" t="n"/>
      <c r="B254" s="14" t="n"/>
      <c r="C254" s="120" t="n"/>
      <c r="D254" s="120" t="n"/>
      <c r="E254" s="120" t="n"/>
      <c r="F254" s="120" t="n"/>
      <c r="G254" s="120" t="n"/>
      <c r="I254" s="120" t="n"/>
      <c r="J254" s="120" t="n"/>
      <c r="K254" s="120" t="n"/>
      <c r="L254" s="120" t="n"/>
      <c r="M254" s="120" t="n"/>
      <c r="N254" s="120" t="n"/>
      <c r="O254" s="120" t="n"/>
      <c r="P254" s="120" t="n"/>
      <c r="Q254" s="120" t="n"/>
      <c r="R254" s="120" t="n"/>
      <c r="S254" s="120" t="n"/>
      <c r="T254" s="120" t="n"/>
      <c r="U254" s="120" t="n"/>
      <c r="V254" s="120" t="n"/>
      <c r="W254" s="120" t="n"/>
      <c r="X254" s="120" t="n"/>
      <c r="Y254" s="120" t="n"/>
      <c r="Z254" s="120" t="n"/>
      <c r="AB254" s="120" t="n"/>
      <c r="AC254" s="120" t="n"/>
      <c r="AD254" s="120" t="n"/>
      <c r="AE254" s="120" t="n"/>
      <c r="AF254" s="120" t="n"/>
      <c r="AG254" s="120" t="n"/>
      <c r="AH254" s="120" t="n"/>
      <c r="AI254" s="120" t="n"/>
      <c r="AJ254" s="120" t="n"/>
      <c r="AK254" s="120" t="n"/>
      <c r="AL254" s="120" t="n"/>
      <c r="AM254" s="120" t="n"/>
      <c r="AN254" s="120" t="n"/>
      <c r="AO254" s="120" t="n"/>
      <c r="AP254" s="120" t="n"/>
      <c r="AQ254" s="120" t="n"/>
      <c r="AR254" s="120" t="n"/>
      <c r="AS254" s="120" t="n"/>
    </row>
    <row r="255" hidden="1" outlineLevel="1">
      <c r="A255" s="8" t="n"/>
      <c r="B255" s="14" t="n"/>
      <c r="C255" s="120" t="n"/>
      <c r="D255" s="120" t="n"/>
      <c r="E255" s="120" t="n"/>
      <c r="F255" s="120" t="n"/>
      <c r="G255" s="120" t="n"/>
      <c r="I255" s="55">
        <f>DADOS_INVOC!$PM$15</f>
        <v/>
      </c>
      <c r="J255" s="16" t="n"/>
      <c r="K255" s="16" t="n"/>
      <c r="L255" s="16" t="n"/>
      <c r="M255" s="17" t="n"/>
      <c r="N255" s="120" t="n"/>
      <c r="O255" s="55">
        <f>DADOS_INVOC!$PM$16</f>
        <v/>
      </c>
      <c r="P255" s="16" t="n"/>
      <c r="Q255" s="16" t="n"/>
      <c r="R255" s="16" t="n"/>
      <c r="S255" s="17" t="n"/>
      <c r="T255" s="120" t="n"/>
      <c r="U255" s="55">
        <f>DADOS_INVOC!$PM$17</f>
        <v/>
      </c>
      <c r="V255" s="16" t="n"/>
      <c r="W255" s="16" t="n"/>
      <c r="X255" s="16" t="n"/>
      <c r="Y255" s="17" t="n"/>
      <c r="Z255" s="120" t="n"/>
      <c r="AB255" s="55">
        <f>DADOS_INVOC!$PM$93</f>
        <v/>
      </c>
      <c r="AC255" s="16" t="n"/>
      <c r="AD255" s="16" t="n"/>
      <c r="AE255" s="16" t="n"/>
      <c r="AF255" s="17" t="n"/>
      <c r="AG255" s="120" t="n"/>
      <c r="AH255" s="55">
        <f>DADOS_INVOC!$PM$94</f>
        <v/>
      </c>
      <c r="AI255" s="16" t="n"/>
      <c r="AJ255" s="16" t="n"/>
      <c r="AK255" s="16" t="n"/>
      <c r="AL255" s="17" t="n"/>
      <c r="AM255" s="120" t="n"/>
      <c r="AN255" s="55">
        <f>DADOS_INVOC!$PM$95</f>
        <v/>
      </c>
      <c r="AO255" s="16" t="n"/>
      <c r="AP255" s="16" t="n"/>
      <c r="AQ255" s="16" t="n"/>
      <c r="AR255" s="17" t="n"/>
      <c r="AS255" s="120" t="n"/>
    </row>
    <row r="256" hidden="1" outlineLevel="1">
      <c r="A256" s="8" t="n"/>
      <c r="B256" s="14" t="n"/>
      <c r="C256" s="120" t="n"/>
      <c r="D256" s="120" t="n"/>
      <c r="E256" s="120" t="n"/>
      <c r="F256" s="120" t="n"/>
      <c r="G256" s="120" t="n"/>
      <c r="I256" s="127" t="n">
        <v>0</v>
      </c>
      <c r="J256" s="115" t="n"/>
      <c r="K256" s="16" t="n"/>
      <c r="L256" s="17" t="n"/>
      <c r="M256" s="128">
        <f>DADOS_INVOC!$PK$15</f>
        <v/>
      </c>
      <c r="N256" s="120" t="n"/>
      <c r="O256" s="127" t="n">
        <v>1</v>
      </c>
      <c r="P256" s="115" t="n"/>
      <c r="Q256" s="16" t="n"/>
      <c r="R256" s="17" t="n"/>
      <c r="S256" s="128">
        <f>DADOS_INVOC!$PK$16</f>
        <v/>
      </c>
      <c r="T256" s="120" t="n"/>
      <c r="U256" s="127" t="n">
        <v>1</v>
      </c>
      <c r="V256" s="115" t="n"/>
      <c r="W256" s="16" t="n"/>
      <c r="X256" s="17" t="n"/>
      <c r="Y256" s="128">
        <f>DADOS_INVOC!$PK$17</f>
        <v/>
      </c>
      <c r="Z256" s="120" t="n"/>
      <c r="AB256" s="127" t="n">
        <v>0</v>
      </c>
      <c r="AC256" s="115" t="n"/>
      <c r="AD256" s="16" t="n"/>
      <c r="AE256" s="17" t="n"/>
      <c r="AF256" s="128">
        <f>DADOS_INVOC!$PK$93</f>
        <v/>
      </c>
      <c r="AG256" s="120" t="n"/>
      <c r="AH256" s="127" t="n">
        <v>1</v>
      </c>
      <c r="AI256" s="115" t="n"/>
      <c r="AJ256" s="16" t="n"/>
      <c r="AK256" s="17" t="n"/>
      <c r="AL256" s="128">
        <f>DADOS_INVOC!$PK$94</f>
        <v/>
      </c>
      <c r="AM256" s="120" t="n"/>
      <c r="AN256" s="127" t="n">
        <v>1</v>
      </c>
      <c r="AO256" s="115" t="n"/>
      <c r="AP256" s="16" t="n"/>
      <c r="AQ256" s="17" t="n"/>
      <c r="AR256" s="128">
        <f>DADOS_INVOC!$PK$95</f>
        <v/>
      </c>
      <c r="AS256" s="120" t="n"/>
    </row>
    <row r="257" hidden="1" outlineLevel="2">
      <c r="A257" s="8" t="n"/>
      <c r="B257" s="14" t="n"/>
      <c r="C257" s="120" t="n"/>
      <c r="D257" s="120" t="n"/>
      <c r="E257" s="120" t="n"/>
      <c r="F257" s="120" t="n"/>
      <c r="G257" s="120" t="n"/>
      <c r="I257" s="55" t="inlineStr">
        <is>
          <t>COMO É</t>
        </is>
      </c>
      <c r="J257" s="16" t="n"/>
      <c r="K257" s="16" t="n"/>
      <c r="L257" s="16" t="n"/>
      <c r="M257" s="17" t="n"/>
      <c r="N257" s="120" t="n"/>
      <c r="O257" s="55" t="inlineStr">
        <is>
          <t>COMO É</t>
        </is>
      </c>
      <c r="P257" s="16" t="n"/>
      <c r="Q257" s="16" t="n"/>
      <c r="R257" s="16" t="n"/>
      <c r="S257" s="17" t="n"/>
      <c r="T257" s="120" t="n"/>
      <c r="U257" s="55" t="inlineStr">
        <is>
          <t>COMO É</t>
        </is>
      </c>
      <c r="V257" s="16" t="n"/>
      <c r="W257" s="16" t="n"/>
      <c r="X257" s="16" t="n"/>
      <c r="Y257" s="17" t="n"/>
      <c r="Z257" s="120" t="n"/>
      <c r="AB257" s="55" t="inlineStr">
        <is>
          <t>COMO É</t>
        </is>
      </c>
      <c r="AC257" s="16" t="n"/>
      <c r="AD257" s="16" t="n"/>
      <c r="AE257" s="16" t="n"/>
      <c r="AF257" s="17" t="n"/>
      <c r="AG257" s="120" t="n"/>
      <c r="AH257" s="55" t="inlineStr">
        <is>
          <t>COMO É</t>
        </is>
      </c>
      <c r="AI257" s="16" t="n"/>
      <c r="AJ257" s="16" t="n"/>
      <c r="AK257" s="16" t="n"/>
      <c r="AL257" s="17" t="n"/>
      <c r="AM257" s="120" t="n"/>
      <c r="AN257" s="55" t="inlineStr">
        <is>
          <t>COMO É</t>
        </is>
      </c>
      <c r="AO257" s="16" t="n"/>
      <c r="AP257" s="16" t="n"/>
      <c r="AQ257" s="16" t="n"/>
      <c r="AR257" s="17" t="n"/>
      <c r="AS257" s="120" t="n"/>
    </row>
    <row r="258" hidden="1" outlineLevel="2">
      <c r="A258" s="8" t="n"/>
      <c r="B258" s="14" t="n"/>
      <c r="C258" s="120" t="n"/>
      <c r="D258" s="120" t="n"/>
      <c r="E258" s="120" t="n"/>
      <c r="F258" s="120" t="n"/>
      <c r="G258" s="120" t="n"/>
      <c r="I258" s="116" t="n"/>
      <c r="J258" s="19" t="n"/>
      <c r="K258" s="19" t="n"/>
      <c r="L258" s="19" t="n"/>
      <c r="M258" s="20" t="n"/>
      <c r="N258" s="120" t="n"/>
      <c r="O258" s="116" t="n"/>
      <c r="P258" s="19" t="n"/>
      <c r="Q258" s="19" t="n"/>
      <c r="R258" s="19" t="n"/>
      <c r="S258" s="20" t="n"/>
      <c r="T258" s="120" t="n"/>
      <c r="U258" s="116" t="n"/>
      <c r="V258" s="19" t="n"/>
      <c r="W258" s="19" t="n"/>
      <c r="X258" s="19" t="n"/>
      <c r="Y258" s="20" t="n"/>
      <c r="Z258" s="120" t="n"/>
      <c r="AB258" s="116" t="n"/>
      <c r="AC258" s="19" t="n"/>
      <c r="AD258" s="19" t="n"/>
      <c r="AE258" s="19" t="n"/>
      <c r="AF258" s="20" t="n"/>
      <c r="AG258" s="120" t="n"/>
      <c r="AH258" s="116" t="n"/>
      <c r="AI258" s="19" t="n"/>
      <c r="AJ258" s="19" t="n"/>
      <c r="AK258" s="19" t="n"/>
      <c r="AL258" s="20" t="n"/>
      <c r="AM258" s="120" t="n"/>
      <c r="AN258" s="116" t="n"/>
      <c r="AO258" s="19" t="n"/>
      <c r="AP258" s="19" t="n"/>
      <c r="AQ258" s="19" t="n"/>
      <c r="AR258" s="20" t="n"/>
      <c r="AS258" s="120" t="n"/>
    </row>
    <row r="259" hidden="1" outlineLevel="2">
      <c r="A259" s="8" t="n"/>
      <c r="B259" s="14" t="n"/>
      <c r="C259" s="120" t="n"/>
      <c r="D259" s="120" t="n"/>
      <c r="E259" s="120" t="n"/>
      <c r="F259" s="120" t="n"/>
      <c r="G259" s="120" t="n"/>
      <c r="I259" s="21" t="n"/>
      <c r="M259" s="22" t="n"/>
      <c r="N259" s="120" t="n"/>
      <c r="O259" s="21" t="n"/>
      <c r="S259" s="22" t="n"/>
      <c r="T259" s="120" t="n"/>
      <c r="U259" s="21" t="n"/>
      <c r="Y259" s="22" t="n"/>
      <c r="Z259" s="120" t="n"/>
      <c r="AB259" s="21" t="n"/>
      <c r="AF259" s="22" t="n"/>
      <c r="AG259" s="120" t="n"/>
      <c r="AH259" s="21" t="n"/>
      <c r="AL259" s="22" t="n"/>
      <c r="AM259" s="120" t="n"/>
      <c r="AN259" s="21" t="n"/>
      <c r="AR259" s="22" t="n"/>
      <c r="AS259" s="120" t="n"/>
    </row>
    <row r="260" hidden="1" outlineLevel="2">
      <c r="A260" s="8" t="n"/>
      <c r="B260" s="14" t="n"/>
      <c r="C260" s="120" t="n"/>
      <c r="D260" s="120" t="n"/>
      <c r="E260" s="120" t="n"/>
      <c r="F260" s="120" t="n"/>
      <c r="G260" s="120" t="n"/>
      <c r="I260" s="23" t="n"/>
      <c r="J260" s="24" t="n"/>
      <c r="K260" s="24" t="n"/>
      <c r="L260" s="24" t="n"/>
      <c r="M260" s="25" t="n"/>
      <c r="N260" s="120" t="n"/>
      <c r="O260" s="23" t="n"/>
      <c r="P260" s="24" t="n"/>
      <c r="Q260" s="24" t="n"/>
      <c r="R260" s="24" t="n"/>
      <c r="S260" s="25" t="n"/>
      <c r="T260" s="120" t="n"/>
      <c r="U260" s="23" t="n"/>
      <c r="V260" s="24" t="n"/>
      <c r="W260" s="24" t="n"/>
      <c r="X260" s="24" t="n"/>
      <c r="Y260" s="25" t="n"/>
      <c r="Z260" s="120" t="n"/>
      <c r="AB260" s="23" t="n"/>
      <c r="AC260" s="24" t="n"/>
      <c r="AD260" s="24" t="n"/>
      <c r="AE260" s="24" t="n"/>
      <c r="AF260" s="25" t="n"/>
      <c r="AG260" s="120" t="n"/>
      <c r="AH260" s="23" t="n"/>
      <c r="AI260" s="24" t="n"/>
      <c r="AJ260" s="24" t="n"/>
      <c r="AK260" s="24" t="n"/>
      <c r="AL260" s="25" t="n"/>
      <c r="AM260" s="120" t="n"/>
      <c r="AN260" s="23" t="n"/>
      <c r="AO260" s="24" t="n"/>
      <c r="AP260" s="24" t="n"/>
      <c r="AQ260" s="24" t="n"/>
      <c r="AR260" s="25" t="n"/>
      <c r="AS260" s="120" t="n"/>
    </row>
    <row r="261" hidden="1" outlineLevel="1">
      <c r="A261" s="8" t="n"/>
      <c r="B261" s="14" t="n"/>
      <c r="C261" s="120" t="n"/>
      <c r="D261" s="120" t="n"/>
      <c r="E261" s="120" t="n"/>
      <c r="F261" s="120" t="n"/>
      <c r="G261" s="120" t="n"/>
      <c r="I261" s="124" t="inlineStr">
        <is>
          <t>Projétil</t>
        </is>
      </c>
      <c r="J261" s="17" t="n"/>
      <c r="K261" s="68">
        <f>DADOS_INVOC!$PR$15</f>
        <v/>
      </c>
      <c r="L261" s="17" t="n"/>
      <c r="M261" s="68">
        <f>DADOS_INVOC!$PN$15</f>
        <v/>
      </c>
      <c r="N261" s="120" t="n"/>
      <c r="O261" s="124" t="inlineStr">
        <is>
          <t>Projétil</t>
        </is>
      </c>
      <c r="P261" s="17" t="n"/>
      <c r="Q261" s="68">
        <f>DADOS_INVOC!$PR$16</f>
        <v/>
      </c>
      <c r="R261" s="17" t="n"/>
      <c r="S261" s="68">
        <f>DADOS_INVOC!$PN$16</f>
        <v/>
      </c>
      <c r="T261" s="120" t="n"/>
      <c r="U261" s="124" t="inlineStr">
        <is>
          <t>Projétil</t>
        </is>
      </c>
      <c r="V261" s="17" t="n"/>
      <c r="W261" s="68">
        <f>DADOS_INVOC!$PR$17</f>
        <v/>
      </c>
      <c r="X261" s="17" t="n"/>
      <c r="Y261" s="68">
        <f>DADOS_INVOC!$PN$17</f>
        <v/>
      </c>
      <c r="Z261" s="120" t="n"/>
      <c r="AB261" s="124" t="inlineStr">
        <is>
          <t>Projétil</t>
        </is>
      </c>
      <c r="AC261" s="17" t="n"/>
      <c r="AD261" s="68">
        <f>DADOS_INVOC!$PR$93</f>
        <v/>
      </c>
      <c r="AE261" s="17" t="n"/>
      <c r="AF261" s="68">
        <f>DADOS_INVOC!$PN$93</f>
        <v/>
      </c>
      <c r="AG261" s="120" t="n"/>
      <c r="AH261" s="124" t="inlineStr">
        <is>
          <t>Projétil</t>
        </is>
      </c>
      <c r="AI261" s="17" t="n"/>
      <c r="AJ261" s="68">
        <f>DADOS_INVOC!$PR$94</f>
        <v/>
      </c>
      <c r="AK261" s="17" t="n"/>
      <c r="AL261" s="68">
        <f>DADOS_INVOC!$PN$94</f>
        <v/>
      </c>
      <c r="AM261" s="120" t="n"/>
      <c r="AN261" s="124" t="inlineStr">
        <is>
          <t>Projétil</t>
        </is>
      </c>
      <c r="AO261" s="17" t="n"/>
      <c r="AP261" s="68">
        <f>DADOS_INVOC!$PR$95</f>
        <v/>
      </c>
      <c r="AQ261" s="17" t="n"/>
      <c r="AR261" s="68">
        <f>DADOS_INVOC!$PN$95</f>
        <v/>
      </c>
      <c r="AS261" s="120" t="n"/>
    </row>
    <row r="262" hidden="1" outlineLevel="1">
      <c r="A262" s="8" t="n"/>
      <c r="B262" s="14" t="n"/>
      <c r="C262" s="120" t="n"/>
      <c r="D262" s="120" t="n"/>
      <c r="E262" s="120" t="n"/>
      <c r="F262" s="120" t="n"/>
      <c r="G262" s="120" t="n"/>
      <c r="I262" s="124" t="n"/>
      <c r="J262" s="17" t="n"/>
      <c r="K262" s="124" t="n"/>
      <c r="L262" s="16" t="n"/>
      <c r="M262" s="17" t="n"/>
      <c r="N262" s="120" t="n"/>
      <c r="O262" s="124" t="n"/>
      <c r="P262" s="17" t="n"/>
      <c r="Q262" s="124" t="n"/>
      <c r="R262" s="16" t="n"/>
      <c r="S262" s="17" t="n"/>
      <c r="T262" s="120" t="n"/>
      <c r="U262" s="124" t="n"/>
      <c r="V262" s="17" t="n"/>
      <c r="W262" s="124" t="n"/>
      <c r="X262" s="16" t="n"/>
      <c r="Y262" s="17" t="n"/>
      <c r="Z262" s="120" t="n"/>
      <c r="AB262" s="124" t="n"/>
      <c r="AC262" s="17" t="n"/>
      <c r="AD262" s="124" t="n"/>
      <c r="AE262" s="16" t="n"/>
      <c r="AF262" s="17" t="n"/>
      <c r="AG262" s="120" t="n"/>
      <c r="AH262" s="124" t="n"/>
      <c r="AI262" s="17" t="n"/>
      <c r="AJ262" s="124" t="n"/>
      <c r="AK262" s="16" t="n"/>
      <c r="AL262" s="17" t="n"/>
      <c r="AM262" s="120" t="n"/>
      <c r="AN262" s="124" t="n"/>
      <c r="AO262" s="17" t="n"/>
      <c r="AP262" s="124" t="n"/>
      <c r="AQ262" s="16" t="n"/>
      <c r="AR262" s="17" t="n"/>
      <c r="AS262" s="120" t="n"/>
    </row>
    <row r="263" hidden="1" outlineLevel="1">
      <c r="A263" s="8" t="n"/>
      <c r="B263" s="14" t="n"/>
      <c r="C263" s="120" t="n"/>
      <c r="D263" s="120" t="n"/>
      <c r="E263" s="120" t="n"/>
      <c r="F263" s="120" t="n"/>
      <c r="G263" s="120" t="n"/>
      <c r="I263" s="124">
        <f>DADOS_INVOC!$PO$15</f>
        <v/>
      </c>
      <c r="J263" s="17" t="n"/>
      <c r="K263" s="124">
        <f>DADOS_INVOC!$PQ$15</f>
        <v/>
      </c>
      <c r="L263" s="16" t="n"/>
      <c r="M263" s="17" t="n"/>
      <c r="N263" s="120" t="n"/>
      <c r="O263" s="124">
        <f>DADOS_INVOC!$PO$16</f>
        <v/>
      </c>
      <c r="P263" s="17" t="n"/>
      <c r="Q263" s="124">
        <f>DADOS_INVOC!$PQ$16</f>
        <v/>
      </c>
      <c r="R263" s="16" t="n"/>
      <c r="S263" s="17" t="n"/>
      <c r="T263" s="120" t="n"/>
      <c r="U263" s="124">
        <f>DADOS_INVOC!$PO$17</f>
        <v/>
      </c>
      <c r="V263" s="17" t="n"/>
      <c r="W263" s="124">
        <f>DADOS_INVOC!$PQ$17</f>
        <v/>
      </c>
      <c r="X263" s="16" t="n"/>
      <c r="Y263" s="17" t="n"/>
      <c r="Z263" s="120" t="n"/>
      <c r="AB263" s="124">
        <f>DADOS_INVOC!$PO$93</f>
        <v/>
      </c>
      <c r="AC263" s="17" t="n"/>
      <c r="AD263" s="124">
        <f>DADOS_INVOC!$PQ$93</f>
        <v/>
      </c>
      <c r="AE263" s="16" t="n"/>
      <c r="AF263" s="17" t="n"/>
      <c r="AG263" s="120" t="n"/>
      <c r="AH263" s="124">
        <f>DADOS_INVOC!$PO$94</f>
        <v/>
      </c>
      <c r="AI263" s="17" t="n"/>
      <c r="AJ263" s="124">
        <f>DADOS_INVOC!$PQ$94</f>
        <v/>
      </c>
      <c r="AK263" s="16" t="n"/>
      <c r="AL263" s="17" t="n"/>
      <c r="AM263" s="120" t="n"/>
      <c r="AN263" s="124">
        <f>DADOS_INVOC!$PO$95</f>
        <v/>
      </c>
      <c r="AO263" s="17" t="n"/>
      <c r="AP263" s="124">
        <f>DADOS_INVOC!$PQ$95</f>
        <v/>
      </c>
      <c r="AQ263" s="16" t="n"/>
      <c r="AR263" s="17" t="n"/>
      <c r="AS263" s="120" t="n"/>
    </row>
    <row r="264" hidden="1" outlineLevel="1">
      <c r="A264" s="8" t="n"/>
      <c r="B264" s="14" t="n"/>
      <c r="C264" s="120" t="n"/>
      <c r="D264" s="120" t="n"/>
      <c r="E264" s="120" t="n"/>
      <c r="F264" s="120" t="n"/>
      <c r="G264" s="120" t="n"/>
      <c r="I264" s="129">
        <f>DADOS_INVOC!$PW$15</f>
        <v/>
      </c>
      <c r="J264" s="16" t="n"/>
      <c r="K264" s="16" t="n"/>
      <c r="L264" s="16" t="n"/>
      <c r="M264" s="17" t="n"/>
      <c r="N264" s="120" t="n"/>
      <c r="O264" s="129">
        <f>DADOS_INVOC!$PW$16</f>
        <v/>
      </c>
      <c r="P264" s="16" t="n"/>
      <c r="Q264" s="16" t="n"/>
      <c r="R264" s="16" t="n"/>
      <c r="S264" s="17" t="n"/>
      <c r="T264" s="120" t="n"/>
      <c r="U264" s="129">
        <f>DADOS_INVOC!$PW$17</f>
        <v/>
      </c>
      <c r="V264" s="16" t="n"/>
      <c r="W264" s="16" t="n"/>
      <c r="X264" s="16" t="n"/>
      <c r="Y264" s="17" t="n"/>
      <c r="Z264" s="120" t="n"/>
      <c r="AB264" s="129">
        <f>DADOS_INVOC!$PW$93</f>
        <v/>
      </c>
      <c r="AC264" s="16" t="n"/>
      <c r="AD264" s="16" t="n"/>
      <c r="AE264" s="16" t="n"/>
      <c r="AF264" s="17" t="n"/>
      <c r="AG264" s="120" t="n"/>
      <c r="AH264" s="129">
        <f>DADOS_INVOC!$PW$94</f>
        <v/>
      </c>
      <c r="AI264" s="16" t="n"/>
      <c r="AJ264" s="16" t="n"/>
      <c r="AK264" s="16" t="n"/>
      <c r="AL264" s="17" t="n"/>
      <c r="AM264" s="120" t="n"/>
      <c r="AN264" s="129">
        <f>DADOS_INVOC!$PW$95</f>
        <v/>
      </c>
      <c r="AO264" s="16" t="n"/>
      <c r="AP264" s="16" t="n"/>
      <c r="AQ264" s="16" t="n"/>
      <c r="AR264" s="17" t="n"/>
      <c r="AS264" s="120" t="n"/>
    </row>
    <row r="265" hidden="1" outlineLevel="2">
      <c r="A265" s="8" t="n"/>
      <c r="B265" s="14" t="n"/>
      <c r="C265" s="120" t="n"/>
      <c r="D265" s="120" t="n"/>
      <c r="E265" s="120" t="n"/>
      <c r="F265" s="120" t="n"/>
      <c r="G265" s="120" t="n"/>
      <c r="I265" s="55" t="inlineStr">
        <is>
          <t>MELHORIAS</t>
        </is>
      </c>
      <c r="J265" s="130" t="n"/>
      <c r="K265" s="16" t="n"/>
      <c r="L265" s="17" t="n"/>
      <c r="M265" s="129">
        <f>DADOS_INVOC!$PZ$15</f>
        <v/>
      </c>
      <c r="N265" s="120" t="n"/>
      <c r="O265" s="55" t="inlineStr">
        <is>
          <t>MELHORIAS</t>
        </is>
      </c>
      <c r="P265" s="130" t="n"/>
      <c r="Q265" s="16" t="n"/>
      <c r="R265" s="17" t="n"/>
      <c r="S265" s="129">
        <f>DADOS_INVOC!$PZ$16</f>
        <v/>
      </c>
      <c r="T265" s="120" t="n"/>
      <c r="U265" s="55" t="inlineStr">
        <is>
          <t>MELHORIAS</t>
        </is>
      </c>
      <c r="V265" s="130" t="n"/>
      <c r="W265" s="16" t="n"/>
      <c r="X265" s="17" t="n"/>
      <c r="Y265" s="129">
        <f>DADOS_INVOC!$PZ$17</f>
        <v/>
      </c>
      <c r="Z265" s="120" t="n"/>
      <c r="AB265" s="55" t="inlineStr">
        <is>
          <t>MELHORIAS</t>
        </is>
      </c>
      <c r="AC265" s="130" t="n"/>
      <c r="AD265" s="16" t="n"/>
      <c r="AE265" s="17" t="n"/>
      <c r="AF265" s="129">
        <f>DADOS_INVOC!$PZ$93</f>
        <v/>
      </c>
      <c r="AG265" s="120" t="n"/>
      <c r="AH265" s="55" t="inlineStr">
        <is>
          <t>MELHORIAS</t>
        </is>
      </c>
      <c r="AI265" s="130" t="n"/>
      <c r="AJ265" s="16" t="n"/>
      <c r="AK265" s="17" t="n"/>
      <c r="AL265" s="129">
        <f>DADOS_INVOC!$PZ$94</f>
        <v/>
      </c>
      <c r="AM265" s="120" t="n"/>
      <c r="AN265" s="55" t="inlineStr">
        <is>
          <t>MELHORIAS</t>
        </is>
      </c>
      <c r="AO265" s="130" t="n"/>
      <c r="AP265" s="16" t="n"/>
      <c r="AQ265" s="17" t="n"/>
      <c r="AR265" s="129">
        <f>DADOS_INVOC!$PZ$95</f>
        <v/>
      </c>
      <c r="AS265" s="120" t="n"/>
    </row>
    <row r="266" hidden="1" outlineLevel="2">
      <c r="A266" s="8" t="n"/>
      <c r="B266" s="14" t="n"/>
      <c r="C266" s="120" t="n"/>
      <c r="D266" s="120" t="n"/>
      <c r="E266" s="120" t="n"/>
      <c r="F266" s="120" t="n"/>
      <c r="G266" s="120" t="n"/>
      <c r="I266" s="131" t="n"/>
      <c r="J266" s="130" t="n"/>
      <c r="K266" s="16" t="n"/>
      <c r="L266" s="17" t="n"/>
      <c r="M266" s="129">
        <f>DADOS_INVOC!$QA$15</f>
        <v/>
      </c>
      <c r="N266" s="120" t="n"/>
      <c r="O266" s="131" t="n"/>
      <c r="P266" s="130" t="n"/>
      <c r="Q266" s="16" t="n"/>
      <c r="R266" s="17" t="n"/>
      <c r="S266" s="129">
        <f>DADOS_INVOC!$QA$16</f>
        <v/>
      </c>
      <c r="T266" s="120" t="n"/>
      <c r="U266" s="131" t="n"/>
      <c r="V266" s="130" t="n"/>
      <c r="W266" s="16" t="n"/>
      <c r="X266" s="17" t="n"/>
      <c r="Y266" s="129">
        <f>DADOS_INVOC!$QA$17</f>
        <v/>
      </c>
      <c r="Z266" s="120" t="n"/>
      <c r="AB266" s="131" t="n"/>
      <c r="AC266" s="130" t="n"/>
      <c r="AD266" s="16" t="n"/>
      <c r="AE266" s="17" t="n"/>
      <c r="AF266" s="129">
        <f>DADOS_INVOC!$QA$93</f>
        <v/>
      </c>
      <c r="AG266" s="120" t="n"/>
      <c r="AH266" s="131" t="n"/>
      <c r="AI266" s="130" t="n"/>
      <c r="AJ266" s="16" t="n"/>
      <c r="AK266" s="17" t="n"/>
      <c r="AL266" s="129">
        <f>DADOS_INVOC!$QA$94</f>
        <v/>
      </c>
      <c r="AM266" s="120" t="n"/>
      <c r="AN266" s="131" t="n"/>
      <c r="AO266" s="130" t="n"/>
      <c r="AP266" s="16" t="n"/>
      <c r="AQ266" s="17" t="n"/>
      <c r="AR266" s="129">
        <f>DADOS_INVOC!$QA$95</f>
        <v/>
      </c>
      <c r="AS266" s="120" t="n"/>
    </row>
    <row r="267" hidden="1" outlineLevel="2">
      <c r="A267" s="8" t="n"/>
      <c r="B267" s="14" t="n"/>
      <c r="C267" s="120" t="n"/>
      <c r="D267" s="120" t="n"/>
      <c r="E267" s="120" t="n"/>
      <c r="F267" s="120" t="n"/>
      <c r="G267" s="120" t="n"/>
      <c r="I267" s="131" t="n"/>
      <c r="J267" s="130" t="n"/>
      <c r="K267" s="16" t="n"/>
      <c r="L267" s="17" t="n"/>
      <c r="M267" s="129">
        <f>DADOS_INVOC!$QB$15</f>
        <v/>
      </c>
      <c r="N267" s="120" t="n"/>
      <c r="O267" s="131" t="n"/>
      <c r="P267" s="130" t="n"/>
      <c r="Q267" s="16" t="n"/>
      <c r="R267" s="17" t="n"/>
      <c r="S267" s="129">
        <f>DADOS_INVOC!$QB$16</f>
        <v/>
      </c>
      <c r="T267" s="120" t="n"/>
      <c r="U267" s="131" t="n"/>
      <c r="V267" s="130" t="n"/>
      <c r="W267" s="16" t="n"/>
      <c r="X267" s="17" t="n"/>
      <c r="Y267" s="129">
        <f>DADOS_INVOC!$QB$17</f>
        <v/>
      </c>
      <c r="Z267" s="120" t="n"/>
      <c r="AB267" s="131" t="n"/>
      <c r="AC267" s="130" t="n"/>
      <c r="AD267" s="16" t="n"/>
      <c r="AE267" s="17" t="n"/>
      <c r="AF267" s="129">
        <f>DADOS_INVOC!$QB$93</f>
        <v/>
      </c>
      <c r="AG267" s="120" t="n"/>
      <c r="AH267" s="131" t="n"/>
      <c r="AI267" s="130" t="n"/>
      <c r="AJ267" s="16" t="n"/>
      <c r="AK267" s="17" t="n"/>
      <c r="AL267" s="129">
        <f>DADOS_INVOC!$QB$94</f>
        <v/>
      </c>
      <c r="AM267" s="120" t="n"/>
      <c r="AN267" s="131" t="n"/>
      <c r="AO267" s="130" t="n"/>
      <c r="AP267" s="16" t="n"/>
      <c r="AQ267" s="17" t="n"/>
      <c r="AR267" s="129">
        <f>DADOS_INVOC!$QB$95</f>
        <v/>
      </c>
      <c r="AS267" s="120" t="n"/>
    </row>
    <row r="268" hidden="1" outlineLevel="2">
      <c r="A268" s="8" t="n"/>
      <c r="B268" s="14" t="n"/>
      <c r="C268" s="120" t="n"/>
      <c r="D268" s="120" t="n"/>
      <c r="E268" s="120" t="n"/>
      <c r="F268" s="120" t="n"/>
      <c r="G268" s="120" t="n"/>
      <c r="I268" s="125" t="n"/>
      <c r="J268" s="130" t="n"/>
      <c r="K268" s="16" t="n"/>
      <c r="L268" s="17" t="n"/>
      <c r="M268" s="129">
        <f>DADOS_INVOC!$QC$15</f>
        <v/>
      </c>
      <c r="N268" s="120" t="n"/>
      <c r="O268" s="125" t="n"/>
      <c r="P268" s="130" t="n"/>
      <c r="Q268" s="16" t="n"/>
      <c r="R268" s="17" t="n"/>
      <c r="S268" s="129">
        <f>DADOS_INVOC!$QC$16</f>
        <v/>
      </c>
      <c r="T268" s="120" t="n"/>
      <c r="U268" s="125" t="n"/>
      <c r="V268" s="130" t="n"/>
      <c r="W268" s="16" t="n"/>
      <c r="X268" s="17" t="n"/>
      <c r="Y268" s="129">
        <f>DADOS_INVOC!$QC$17</f>
        <v/>
      </c>
      <c r="Z268" s="120" t="n"/>
      <c r="AB268" s="125" t="n"/>
      <c r="AC268" s="130" t="n"/>
      <c r="AD268" s="16" t="n"/>
      <c r="AE268" s="17" t="n"/>
      <c r="AF268" s="129">
        <f>DADOS_INVOC!$QC$93</f>
        <v/>
      </c>
      <c r="AG268" s="120" t="n"/>
      <c r="AH268" s="125" t="n"/>
      <c r="AI268" s="130" t="n"/>
      <c r="AJ268" s="16" t="n"/>
      <c r="AK268" s="17" t="n"/>
      <c r="AL268" s="129">
        <f>DADOS_INVOC!$QC$94</f>
        <v/>
      </c>
      <c r="AM268" s="120" t="n"/>
      <c r="AN268" s="125" t="n"/>
      <c r="AO268" s="130" t="n"/>
      <c r="AP268" s="16" t="n"/>
      <c r="AQ268" s="17" t="n"/>
      <c r="AR268" s="129">
        <f>DADOS_INVOC!$QC$95</f>
        <v/>
      </c>
      <c r="AS268" s="120" t="n"/>
    </row>
    <row r="269" hidden="1" outlineLevel="2">
      <c r="A269" s="8" t="n"/>
      <c r="B269" s="14" t="n"/>
      <c r="C269" s="120" t="n"/>
      <c r="D269" s="120" t="n"/>
      <c r="E269" s="120" t="n"/>
      <c r="F269" s="120" t="n"/>
      <c r="G269" s="120" t="n"/>
      <c r="I269" s="55" t="inlineStr">
        <is>
          <t>RESTRIÇÕES</t>
        </is>
      </c>
      <c r="J269" s="130" t="n"/>
      <c r="K269" s="16" t="n"/>
      <c r="L269" s="17" t="n"/>
      <c r="M269" s="129">
        <f>DADOS_INVOC!$QD$15</f>
        <v/>
      </c>
      <c r="N269" s="120" t="n"/>
      <c r="O269" s="55" t="inlineStr">
        <is>
          <t>RESTRIÇÕES</t>
        </is>
      </c>
      <c r="P269" s="130" t="n"/>
      <c r="Q269" s="16" t="n"/>
      <c r="R269" s="17" t="n"/>
      <c r="S269" s="129">
        <f>DADOS_INVOC!$QD$16</f>
        <v/>
      </c>
      <c r="T269" s="120" t="n"/>
      <c r="U269" s="55" t="inlineStr">
        <is>
          <t>RESTRIÇÕES</t>
        </is>
      </c>
      <c r="V269" s="130" t="n"/>
      <c r="W269" s="16" t="n"/>
      <c r="X269" s="17" t="n"/>
      <c r="Y269" s="129">
        <f>DADOS_INVOC!$QD$17</f>
        <v/>
      </c>
      <c r="Z269" s="120" t="n"/>
      <c r="AB269" s="55" t="inlineStr">
        <is>
          <t>RESTRIÇÕES</t>
        </is>
      </c>
      <c r="AC269" s="130" t="n"/>
      <c r="AD269" s="16" t="n"/>
      <c r="AE269" s="17" t="n"/>
      <c r="AF269" s="129">
        <f>DADOS_INVOC!$QD$93</f>
        <v/>
      </c>
      <c r="AG269" s="120" t="n"/>
      <c r="AH269" s="55" t="inlineStr">
        <is>
          <t>RESTRIÇÕES</t>
        </is>
      </c>
      <c r="AI269" s="130" t="n"/>
      <c r="AJ269" s="16" t="n"/>
      <c r="AK269" s="17" t="n"/>
      <c r="AL269" s="129">
        <f>DADOS_INVOC!$QD$94</f>
        <v/>
      </c>
      <c r="AM269" s="120" t="n"/>
      <c r="AN269" s="55" t="inlineStr">
        <is>
          <t>RESTRIÇÕES</t>
        </is>
      </c>
      <c r="AO269" s="130" t="n"/>
      <c r="AP269" s="16" t="n"/>
      <c r="AQ269" s="17" t="n"/>
      <c r="AR269" s="129">
        <f>DADOS_INVOC!$QD$95</f>
        <v/>
      </c>
      <c r="AS269" s="120" t="n"/>
    </row>
    <row r="270" hidden="1" outlineLevel="2">
      <c r="A270" s="8" t="n"/>
      <c r="B270" s="14" t="n"/>
      <c r="C270" s="120" t="n"/>
      <c r="D270" s="120" t="n"/>
      <c r="E270" s="120" t="n"/>
      <c r="F270" s="120" t="n"/>
      <c r="G270" s="120" t="n"/>
      <c r="I270" s="125" t="n"/>
      <c r="J270" s="130" t="n"/>
      <c r="K270" s="16" t="n"/>
      <c r="L270" s="17" t="n"/>
      <c r="M270" s="129">
        <f>DADOS_INVOC!$QE$15</f>
        <v/>
      </c>
      <c r="N270" s="120" t="n"/>
      <c r="O270" s="125" t="n"/>
      <c r="P270" s="130" t="n"/>
      <c r="Q270" s="16" t="n"/>
      <c r="R270" s="17" t="n"/>
      <c r="S270" s="129">
        <f>DADOS_INVOC!$QE$16</f>
        <v/>
      </c>
      <c r="T270" s="120" t="n"/>
      <c r="U270" s="125" t="n"/>
      <c r="V270" s="130" t="n"/>
      <c r="W270" s="16" t="n"/>
      <c r="X270" s="17" t="n"/>
      <c r="Y270" s="129">
        <f>DADOS_INVOC!$QE$17</f>
        <v/>
      </c>
      <c r="Z270" s="120" t="n"/>
      <c r="AB270" s="125" t="n"/>
      <c r="AC270" s="130" t="n"/>
      <c r="AD270" s="16" t="n"/>
      <c r="AE270" s="17" t="n"/>
      <c r="AF270" s="129">
        <f>DADOS_INVOC!$QE$93</f>
        <v/>
      </c>
      <c r="AG270" s="120" t="n"/>
      <c r="AH270" s="125" t="n"/>
      <c r="AI270" s="130" t="n"/>
      <c r="AJ270" s="16" t="n"/>
      <c r="AK270" s="17" t="n"/>
      <c r="AL270" s="129">
        <f>DADOS_INVOC!$QE$94</f>
        <v/>
      </c>
      <c r="AM270" s="120" t="n"/>
      <c r="AN270" s="125" t="n"/>
      <c r="AO270" s="130" t="n"/>
      <c r="AP270" s="16" t="n"/>
      <c r="AQ270" s="17" t="n"/>
      <c r="AR270" s="129">
        <f>DADOS_INVOC!$QE$95</f>
        <v/>
      </c>
      <c r="AS270" s="120" t="n"/>
    </row>
    <row r="271" hidden="1" outlineLevel="2">
      <c r="A271" s="8" t="n"/>
      <c r="B271" s="14" t="n"/>
      <c r="C271" s="120" t="n"/>
      <c r="D271" s="120" t="n"/>
      <c r="E271" s="120" t="n"/>
      <c r="F271" s="120" t="n"/>
      <c r="G271" s="120" t="n"/>
      <c r="I271" s="55" t="inlineStr">
        <is>
          <t>CONTA</t>
        </is>
      </c>
      <c r="J271" s="132">
        <f>DADOS_INVOC!$PX$15</f>
        <v/>
      </c>
      <c r="K271" s="16" t="n"/>
      <c r="L271" s="16" t="n"/>
      <c r="M271" s="17" t="n"/>
      <c r="N271" s="120" t="n"/>
      <c r="O271" s="55" t="inlineStr">
        <is>
          <t>CONTA</t>
        </is>
      </c>
      <c r="P271" s="132">
        <f>DADOS_INVOC!$PX$16</f>
        <v/>
      </c>
      <c r="Q271" s="16" t="n"/>
      <c r="R271" s="16" t="n"/>
      <c r="S271" s="17" t="n"/>
      <c r="T271" s="120" t="n"/>
      <c r="U271" s="55" t="inlineStr">
        <is>
          <t>CONTA</t>
        </is>
      </c>
      <c r="V271" s="132">
        <f>DADOS_INVOC!$PX$17</f>
        <v/>
      </c>
      <c r="W271" s="16" t="n"/>
      <c r="X271" s="16" t="n"/>
      <c r="Y271" s="17" t="n"/>
      <c r="Z271" s="120" t="n"/>
      <c r="AB271" s="55" t="inlineStr">
        <is>
          <t>CONTA</t>
        </is>
      </c>
      <c r="AC271" s="132">
        <f>DADOS_INVOC!$PX$93</f>
        <v/>
      </c>
      <c r="AD271" s="16" t="n"/>
      <c r="AE271" s="16" t="n"/>
      <c r="AF271" s="17" t="n"/>
      <c r="AG271" s="120" t="n"/>
      <c r="AH271" s="55" t="inlineStr">
        <is>
          <t>CONTA</t>
        </is>
      </c>
      <c r="AI271" s="132">
        <f>DADOS_INVOC!$PX$94</f>
        <v/>
      </c>
      <c r="AJ271" s="16" t="n"/>
      <c r="AK271" s="16" t="n"/>
      <c r="AL271" s="17" t="n"/>
      <c r="AM271" s="120" t="n"/>
      <c r="AN271" s="55" t="inlineStr">
        <is>
          <t>CONTA</t>
        </is>
      </c>
      <c r="AO271" s="132">
        <f>DADOS_INVOC!$PX$95</f>
        <v/>
      </c>
      <c r="AP271" s="16" t="n"/>
      <c r="AQ271" s="16" t="n"/>
      <c r="AR271" s="17" t="n"/>
      <c r="AS271" s="120" t="n"/>
    </row>
    <row r="272" hidden="1" outlineLevel="2">
      <c r="A272" s="8" t="n"/>
      <c r="B272" s="14" t="n"/>
      <c r="C272" s="120" t="n"/>
      <c r="D272" s="120" t="n"/>
      <c r="E272" s="120" t="n"/>
      <c r="F272" s="120" t="n"/>
      <c r="G272" s="120" t="n"/>
      <c r="I272" s="55" t="inlineStr">
        <is>
          <t>AMPLIAR</t>
        </is>
      </c>
      <c r="J272" s="132">
        <f>DADOS_INVOC!$PY$15</f>
        <v/>
      </c>
      <c r="K272" s="19" t="n"/>
      <c r="L272" s="19" t="n"/>
      <c r="M272" s="20" t="n"/>
      <c r="N272" s="120" t="n"/>
      <c r="O272" s="55" t="inlineStr">
        <is>
          <t>AMPLIAR</t>
        </is>
      </c>
      <c r="P272" s="132">
        <f>DADOS_INVOC!$PY$16</f>
        <v/>
      </c>
      <c r="Q272" s="19" t="n"/>
      <c r="R272" s="19" t="n"/>
      <c r="S272" s="20" t="n"/>
      <c r="T272" s="120" t="n"/>
      <c r="U272" s="55" t="inlineStr">
        <is>
          <t>AMPLIAR</t>
        </is>
      </c>
      <c r="V272" s="132">
        <f>DADOS_INVOC!$PY$17</f>
        <v/>
      </c>
      <c r="W272" s="19" t="n"/>
      <c r="X272" s="19" t="n"/>
      <c r="Y272" s="20" t="n"/>
      <c r="Z272" s="120" t="n"/>
      <c r="AB272" s="55" t="inlineStr">
        <is>
          <t>AMPLIAR</t>
        </is>
      </c>
      <c r="AC272" s="132">
        <f>DADOS_INVOC!$PY$93</f>
        <v/>
      </c>
      <c r="AD272" s="19" t="n"/>
      <c r="AE272" s="19" t="n"/>
      <c r="AF272" s="20" t="n"/>
      <c r="AG272" s="120" t="n"/>
      <c r="AH272" s="55" t="inlineStr">
        <is>
          <t>AMPLIAR</t>
        </is>
      </c>
      <c r="AI272" s="132">
        <f>DADOS_INVOC!$PY$94</f>
        <v/>
      </c>
      <c r="AJ272" s="19" t="n"/>
      <c r="AK272" s="19" t="n"/>
      <c r="AL272" s="20" t="n"/>
      <c r="AM272" s="120" t="n"/>
      <c r="AN272" s="55" t="inlineStr">
        <is>
          <t>AMPLIAR</t>
        </is>
      </c>
      <c r="AO272" s="132">
        <f>DADOS_INVOC!$PY$95</f>
        <v/>
      </c>
      <c r="AP272" s="19" t="n"/>
      <c r="AQ272" s="19" t="n"/>
      <c r="AR272" s="20" t="n"/>
      <c r="AS272" s="120" t="n"/>
    </row>
    <row r="273" hidden="1" outlineLevel="2">
      <c r="A273" s="8" t="n"/>
      <c r="B273" s="14" t="n"/>
      <c r="C273" s="120" t="n"/>
      <c r="D273" s="120" t="n"/>
      <c r="E273" s="120" t="n"/>
      <c r="F273" s="120" t="n"/>
      <c r="G273" s="120" t="n"/>
      <c r="I273" s="125" t="n"/>
      <c r="J273" s="23" t="n"/>
      <c r="K273" s="24" t="n"/>
      <c r="L273" s="24" t="n"/>
      <c r="M273" s="25" t="n"/>
      <c r="N273" s="120" t="n"/>
      <c r="O273" s="125" t="n"/>
      <c r="P273" s="23" t="n"/>
      <c r="Q273" s="24" t="n"/>
      <c r="R273" s="24" t="n"/>
      <c r="S273" s="25" t="n"/>
      <c r="T273" s="120" t="n"/>
      <c r="U273" s="125" t="n"/>
      <c r="V273" s="23" t="n"/>
      <c r="W273" s="24" t="n"/>
      <c r="X273" s="24" t="n"/>
      <c r="Y273" s="25" t="n"/>
      <c r="Z273" s="120" t="n"/>
      <c r="AB273" s="125" t="n"/>
      <c r="AC273" s="23" t="n"/>
      <c r="AD273" s="24" t="n"/>
      <c r="AE273" s="24" t="n"/>
      <c r="AF273" s="25" t="n"/>
      <c r="AG273" s="120" t="n"/>
      <c r="AH273" s="125" t="n"/>
      <c r="AI273" s="23" t="n"/>
      <c r="AJ273" s="24" t="n"/>
      <c r="AK273" s="24" t="n"/>
      <c r="AL273" s="25" t="n"/>
      <c r="AM273" s="120" t="n"/>
      <c r="AN273" s="125" t="n"/>
      <c r="AO273" s="23" t="n"/>
      <c r="AP273" s="24" t="n"/>
      <c r="AQ273" s="24" t="n"/>
      <c r="AR273" s="25" t="n"/>
      <c r="AS273" s="120" t="n"/>
    </row>
    <row r="274" hidden="1" outlineLevel="2">
      <c r="A274" s="8" t="n"/>
      <c r="B274" s="14" t="n"/>
      <c r="C274" s="120" t="n"/>
      <c r="D274" s="120" t="n"/>
      <c r="E274" s="120" t="n"/>
      <c r="F274" s="120" t="n"/>
      <c r="G274" s="120" t="n"/>
      <c r="I274" s="132">
        <f>DADOS_INVOC!$PL$15</f>
        <v/>
      </c>
      <c r="J274" s="19" t="n"/>
      <c r="K274" s="19" t="n"/>
      <c r="L274" s="19" t="n"/>
      <c r="M274" s="20" t="n"/>
      <c r="N274" s="120" t="n"/>
      <c r="O274" s="132">
        <f>DADOS_INVOC!$PL$16</f>
        <v/>
      </c>
      <c r="P274" s="19" t="n"/>
      <c r="Q274" s="19" t="n"/>
      <c r="R274" s="19" t="n"/>
      <c r="S274" s="20" t="n"/>
      <c r="T274" s="120" t="n"/>
      <c r="U274" s="132">
        <f>DADOS_INVOC!$PL$17</f>
        <v/>
      </c>
      <c r="V274" s="19" t="n"/>
      <c r="W274" s="19" t="n"/>
      <c r="X274" s="19" t="n"/>
      <c r="Y274" s="20" t="n"/>
      <c r="Z274" s="120" t="n"/>
      <c r="AB274" s="132">
        <f>DADOS_INVOC!$PL$93</f>
        <v/>
      </c>
      <c r="AC274" s="19" t="n"/>
      <c r="AD274" s="19" t="n"/>
      <c r="AE274" s="19" t="n"/>
      <c r="AF274" s="20" t="n"/>
      <c r="AG274" s="120" t="n"/>
      <c r="AH274" s="132">
        <f>DADOS_INVOC!$PL$94</f>
        <v/>
      </c>
      <c r="AI274" s="19" t="n"/>
      <c r="AJ274" s="19" t="n"/>
      <c r="AK274" s="19" t="n"/>
      <c r="AL274" s="20" t="n"/>
      <c r="AM274" s="120" t="n"/>
      <c r="AN274" s="132">
        <f>DADOS_INVOC!$PL$95</f>
        <v/>
      </c>
      <c r="AO274" s="19" t="n"/>
      <c r="AP274" s="19" t="n"/>
      <c r="AQ274" s="19" t="n"/>
      <c r="AR274" s="20" t="n"/>
      <c r="AS274" s="120" t="n"/>
    </row>
    <row r="275" hidden="1" outlineLevel="2">
      <c r="A275" s="8" t="n"/>
      <c r="B275" s="14" t="n"/>
      <c r="C275" s="120" t="n"/>
      <c r="D275" s="120" t="n"/>
      <c r="E275" s="120" t="n"/>
      <c r="F275" s="120" t="n"/>
      <c r="G275" s="120" t="n"/>
      <c r="I275" s="23" t="n"/>
      <c r="J275" s="24" t="n"/>
      <c r="K275" s="24" t="n"/>
      <c r="L275" s="24" t="n"/>
      <c r="M275" s="25" t="n"/>
      <c r="N275" s="120" t="n"/>
      <c r="O275" s="23" t="n"/>
      <c r="P275" s="24" t="n"/>
      <c r="Q275" s="24" t="n"/>
      <c r="R275" s="24" t="n"/>
      <c r="S275" s="25" t="n"/>
      <c r="T275" s="120" t="n"/>
      <c r="U275" s="23" t="n"/>
      <c r="V275" s="24" t="n"/>
      <c r="W275" s="24" t="n"/>
      <c r="X275" s="24" t="n"/>
      <c r="Y275" s="25" t="n"/>
      <c r="Z275" s="120" t="n"/>
      <c r="AB275" s="23" t="n"/>
      <c r="AC275" s="24" t="n"/>
      <c r="AD275" s="24" t="n"/>
      <c r="AE275" s="24" t="n"/>
      <c r="AF275" s="25" t="n"/>
      <c r="AG275" s="120" t="n"/>
      <c r="AH275" s="23" t="n"/>
      <c r="AI275" s="24" t="n"/>
      <c r="AJ275" s="24" t="n"/>
      <c r="AK275" s="24" t="n"/>
      <c r="AL275" s="25" t="n"/>
      <c r="AM275" s="120" t="n"/>
      <c r="AN275" s="23" t="n"/>
      <c r="AO275" s="24" t="n"/>
      <c r="AP275" s="24" t="n"/>
      <c r="AQ275" s="24" t="n"/>
      <c r="AR275" s="25" t="n"/>
      <c r="AS275" s="120" t="n"/>
    </row>
    <row r="276" hidden="1" outlineLevel="1">
      <c r="A276" s="8" t="n"/>
      <c r="B276" s="14" t="n"/>
      <c r="C276" s="120" t="n"/>
      <c r="D276" s="120" t="n"/>
      <c r="E276" s="120" t="n"/>
      <c r="F276" s="120" t="n"/>
      <c r="G276" s="120" t="n"/>
      <c r="I276" s="120" t="n"/>
      <c r="J276" s="120" t="n"/>
      <c r="K276" s="120" t="n"/>
      <c r="L276" s="120" t="n"/>
      <c r="M276" s="120" t="n"/>
      <c r="N276" s="120" t="n"/>
      <c r="O276" s="120" t="n"/>
      <c r="P276" s="120" t="n"/>
      <c r="Q276" s="120" t="n"/>
      <c r="R276" s="120" t="n"/>
      <c r="S276" s="120" t="n"/>
      <c r="T276" s="120" t="n"/>
      <c r="U276" s="120" t="n"/>
      <c r="V276" s="120" t="n"/>
      <c r="W276" s="120" t="n"/>
      <c r="X276" s="120" t="n"/>
      <c r="Y276" s="120" t="n"/>
      <c r="Z276" s="120" t="n"/>
      <c r="AB276" s="120" t="n"/>
      <c r="AC276" s="120" t="n"/>
      <c r="AD276" s="120" t="n"/>
      <c r="AE276" s="120" t="n"/>
      <c r="AF276" s="120" t="n"/>
      <c r="AG276" s="120" t="n"/>
      <c r="AH276" s="120" t="n"/>
      <c r="AI276" s="120" t="n"/>
      <c r="AJ276" s="120" t="n"/>
      <c r="AK276" s="120" t="n"/>
      <c r="AL276" s="120" t="n"/>
      <c r="AM276" s="120" t="n"/>
      <c r="AN276" s="120" t="n"/>
      <c r="AO276" s="120" t="n"/>
      <c r="AP276" s="120" t="n"/>
      <c r="AQ276" s="120" t="n"/>
      <c r="AR276" s="120" t="n"/>
      <c r="AS276" s="120" t="n"/>
    </row>
    <row r="277" hidden="1" outlineLevel="1">
      <c r="A277" s="8" t="n"/>
      <c r="B277" s="14" t="n"/>
      <c r="C277" s="120" t="n"/>
      <c r="D277" s="120" t="n"/>
      <c r="E277" s="120" t="n"/>
      <c r="F277" s="120" t="n"/>
      <c r="G277" s="120" t="n"/>
      <c r="I277" s="55">
        <f>DADOS_INVOC!$HU$3</f>
        <v/>
      </c>
      <c r="J277" s="16" t="n"/>
      <c r="K277" s="16" t="n"/>
      <c r="L277" s="16" t="n"/>
      <c r="M277" s="16" t="n"/>
      <c r="N277" s="16" t="n"/>
      <c r="O277" s="16" t="n"/>
      <c r="P277" s="16" t="n"/>
      <c r="Q277" s="16" t="n"/>
      <c r="R277" s="16" t="n"/>
      <c r="S277" s="16" t="n"/>
      <c r="T277" s="16" t="n"/>
      <c r="U277" s="16" t="n"/>
      <c r="V277" s="16" t="n"/>
      <c r="W277" s="16" t="n"/>
      <c r="X277" s="16" t="n"/>
      <c r="Y277" s="17" t="n"/>
      <c r="Z277" s="120" t="n"/>
      <c r="AB277" s="55">
        <f>DADOS_INVOC!$HU$9</f>
        <v/>
      </c>
      <c r="AC277" s="16" t="n"/>
      <c r="AD277" s="16" t="n"/>
      <c r="AE277" s="16" t="n"/>
      <c r="AF277" s="16" t="n"/>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1 · CE 1</t>
        </is>
      </c>
      <c r="J278" s="130" t="n"/>
      <c r="K278" s="16" t="n"/>
      <c r="L278" s="17" t="n"/>
      <c r="M278" s="137">
        <f>DADOS_INVOC!$ID$3</f>
        <v/>
      </c>
      <c r="N278" s="16" t="n"/>
      <c r="O278" s="16" t="n"/>
      <c r="P278" s="16" t="n"/>
      <c r="Q278" s="16" t="n"/>
      <c r="R278" s="16" t="n"/>
      <c r="S278" s="16" t="n"/>
      <c r="T278" s="16" t="n"/>
      <c r="U278" s="16" t="n"/>
      <c r="V278" s="16" t="n"/>
      <c r="W278" s="16" t="n"/>
      <c r="X278" s="16" t="n"/>
      <c r="Y278" s="17" t="n"/>
      <c r="Z278" s="120" t="n"/>
      <c r="AB278" s="55" t="inlineStr">
        <is>
          <t>NV 1 · CE 1</t>
        </is>
      </c>
      <c r="AC278" s="130" t="n"/>
      <c r="AD278" s="16" t="n"/>
      <c r="AE278" s="17" t="n"/>
      <c r="AF278" s="137">
        <f>DADOS_INVOC!$ID$9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6 · CE 1</t>
        </is>
      </c>
      <c r="J279" s="130" t="n"/>
      <c r="K279" s="16" t="n"/>
      <c r="L279" s="17" t="n"/>
      <c r="M279" s="137">
        <f>DADOS_INVOC!$IE$3</f>
        <v/>
      </c>
      <c r="N279" s="16" t="n"/>
      <c r="O279" s="16" t="n"/>
      <c r="P279" s="16" t="n"/>
      <c r="Q279" s="16" t="n"/>
      <c r="R279" s="16" t="n"/>
      <c r="S279" s="16" t="n"/>
      <c r="T279" s="16" t="n"/>
      <c r="U279" s="16" t="n"/>
      <c r="V279" s="16" t="n"/>
      <c r="W279" s="16" t="n"/>
      <c r="X279" s="16" t="n"/>
      <c r="Y279" s="17" t="n"/>
      <c r="Z279" s="120" t="n"/>
      <c r="AB279" s="55" t="inlineStr">
        <is>
          <t>NV 6 · CE 1</t>
        </is>
      </c>
      <c r="AC279" s="130" t="n"/>
      <c r="AD279" s="16" t="n"/>
      <c r="AE279" s="17" t="n"/>
      <c r="AF279" s="137">
        <f>DADOS_INVOC!$IE$9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55" t="inlineStr">
        <is>
          <t>NV 10 · CE 2</t>
        </is>
      </c>
      <c r="J280" s="130" t="n"/>
      <c r="K280" s="16" t="n"/>
      <c r="L280" s="17" t="n"/>
      <c r="M280" s="137">
        <f>DADOS_INVOC!$IF$3</f>
        <v/>
      </c>
      <c r="N280" s="16" t="n"/>
      <c r="O280" s="16" t="n"/>
      <c r="P280" s="16" t="n"/>
      <c r="Q280" s="16" t="n"/>
      <c r="R280" s="16" t="n"/>
      <c r="S280" s="16" t="n"/>
      <c r="T280" s="16" t="n"/>
      <c r="U280" s="16" t="n"/>
      <c r="V280" s="16" t="n"/>
      <c r="W280" s="16" t="n"/>
      <c r="X280" s="16" t="n"/>
      <c r="Y280" s="17" t="n"/>
      <c r="Z280" s="120" t="n"/>
      <c r="AB280" s="55" t="inlineStr">
        <is>
          <t>NV 10 · CE 2</t>
        </is>
      </c>
      <c r="AC280" s="130" t="n"/>
      <c r="AD280" s="16" t="n"/>
      <c r="AE280" s="17" t="n"/>
      <c r="AF280" s="137">
        <f>DADOS_INVOC!$IF$9</f>
        <v/>
      </c>
      <c r="AG280" s="16" t="n"/>
      <c r="AH280" s="16" t="n"/>
      <c r="AI280" s="16" t="n"/>
      <c r="AJ280" s="16" t="n"/>
      <c r="AK280" s="16" t="n"/>
      <c r="AL280" s="16" t="n"/>
      <c r="AM280" s="16" t="n"/>
      <c r="AN280" s="16" t="n"/>
      <c r="AO280" s="16" t="n"/>
      <c r="AP280" s="16" t="n"/>
      <c r="AQ280" s="16" t="n"/>
      <c r="AR280" s="17" t="n"/>
      <c r="AS280" s="120" t="n"/>
    </row>
    <row r="281" hidden="1" outlineLevel="1">
      <c r="A281" s="8" t="n"/>
      <c r="B281" s="14" t="n"/>
      <c r="C281" s="120" t="n"/>
      <c r="D281" s="120" t="n"/>
      <c r="E281" s="120" t="n"/>
      <c r="F281" s="120" t="n"/>
      <c r="G281" s="120" t="n"/>
      <c r="I281" s="55" t="inlineStr">
        <is>
          <t>NV 14 · CE 3</t>
        </is>
      </c>
      <c r="J281" s="130" t="n"/>
      <c r="K281" s="16" t="n"/>
      <c r="L281" s="17" t="n"/>
      <c r="M281" s="137">
        <f>DADOS_INVOC!$IG$3</f>
        <v/>
      </c>
      <c r="N281" s="16" t="n"/>
      <c r="O281" s="16" t="n"/>
      <c r="P281" s="16" t="n"/>
      <c r="Q281" s="16" t="n"/>
      <c r="R281" s="16" t="n"/>
      <c r="S281" s="16" t="n"/>
      <c r="T281" s="16" t="n"/>
      <c r="U281" s="16" t="n"/>
      <c r="V281" s="16" t="n"/>
      <c r="W281" s="16" t="n"/>
      <c r="X281" s="16" t="n"/>
      <c r="Y281" s="17" t="n"/>
      <c r="Z281" s="120" t="n"/>
      <c r="AB281" s="55" t="inlineStr">
        <is>
          <t>NV 14 · CE 3</t>
        </is>
      </c>
      <c r="AC281" s="130" t="n"/>
      <c r="AD281" s="16" t="n"/>
      <c r="AE281" s="17" t="n"/>
      <c r="AF281" s="137">
        <f>DADOS_INVOC!$IG$9</f>
        <v/>
      </c>
      <c r="AG281" s="16" t="n"/>
      <c r="AH281" s="16" t="n"/>
      <c r="AI281" s="16" t="n"/>
      <c r="AJ281" s="16" t="n"/>
      <c r="AK281" s="16" t="n"/>
      <c r="AL281" s="16" t="n"/>
      <c r="AM281" s="16" t="n"/>
      <c r="AN281" s="16" t="n"/>
      <c r="AO281" s="16" t="n"/>
      <c r="AP281" s="16" t="n"/>
      <c r="AQ281" s="16" t="n"/>
      <c r="AR281" s="17" t="n"/>
      <c r="AS281" s="120" t="n"/>
    </row>
    <row r="282" hidden="1" outlineLevel="1">
      <c r="A282" s="8" t="n"/>
      <c r="B282" s="14" t="n"/>
      <c r="C282" s="120" t="n"/>
      <c r="D282" s="120" t="n"/>
      <c r="E282" s="120" t="n"/>
      <c r="F282" s="120" t="n"/>
      <c r="G282" s="120" t="n"/>
      <c r="I282" s="55" t="inlineStr">
        <is>
          <t>NV 18 · CE 3</t>
        </is>
      </c>
      <c r="J282" s="130" t="n"/>
      <c r="K282" s="16" t="n"/>
      <c r="L282" s="17" t="n"/>
      <c r="M282" s="137">
        <f>DADOS_INVOC!$IH$3</f>
        <v/>
      </c>
      <c r="N282" s="16" t="n"/>
      <c r="O282" s="16" t="n"/>
      <c r="P282" s="16" t="n"/>
      <c r="Q282" s="16" t="n"/>
      <c r="R282" s="16" t="n"/>
      <c r="S282" s="16" t="n"/>
      <c r="T282" s="16" t="n"/>
      <c r="U282" s="16" t="n"/>
      <c r="V282" s="16" t="n"/>
      <c r="W282" s="16" t="n"/>
      <c r="X282" s="16" t="n"/>
      <c r="Y282" s="17" t="n"/>
      <c r="Z282" s="120" t="n"/>
      <c r="AB282" s="55" t="inlineStr">
        <is>
          <t>NV 18 · CE 3</t>
        </is>
      </c>
      <c r="AC282" s="130" t="n"/>
      <c r="AD282" s="16" t="n"/>
      <c r="AE282" s="17" t="n"/>
      <c r="AF282" s="137">
        <f>DADOS_INVOC!$IH$9</f>
        <v/>
      </c>
      <c r="AG282" s="16" t="n"/>
      <c r="AH282" s="16" t="n"/>
      <c r="AI282" s="16" t="n"/>
      <c r="AJ282" s="16" t="n"/>
      <c r="AK282" s="16" t="n"/>
      <c r="AL282" s="16" t="n"/>
      <c r="AM282" s="16" t="n"/>
      <c r="AN282" s="16" t="n"/>
      <c r="AO282" s="16" t="n"/>
      <c r="AP282" s="16" t="n"/>
      <c r="AQ282" s="16" t="n"/>
      <c r="AR282" s="17" t="n"/>
      <c r="AS282" s="120" t="n"/>
    </row>
    <row r="283" hidden="1" outlineLevel="1">
      <c r="A283" s="8" t="n"/>
      <c r="B283" s="14" t="n"/>
      <c r="C283" s="120" t="n"/>
      <c r="D283" s="120" t="n"/>
      <c r="E283" s="120" t="n"/>
      <c r="F283" s="120" t="n"/>
      <c r="G283" s="120" t="n"/>
      <c r="I283" s="55" t="inlineStr">
        <is>
          <t>NV 22 · CE 3</t>
        </is>
      </c>
      <c r="J283" s="130" t="n"/>
      <c r="K283" s="16" t="n"/>
      <c r="L283" s="17" t="n"/>
      <c r="M283" s="137">
        <f>DADOS_INVOC!$II$3</f>
        <v/>
      </c>
      <c r="N283" s="16" t="n"/>
      <c r="O283" s="16" t="n"/>
      <c r="P283" s="16" t="n"/>
      <c r="Q283" s="16" t="n"/>
      <c r="R283" s="16" t="n"/>
      <c r="S283" s="16" t="n"/>
      <c r="T283" s="16" t="n"/>
      <c r="U283" s="16" t="n"/>
      <c r="V283" s="16" t="n"/>
      <c r="W283" s="16" t="n"/>
      <c r="X283" s="16" t="n"/>
      <c r="Y283" s="17" t="n"/>
      <c r="Z283" s="120" t="n"/>
      <c r="AB283" s="55" t="inlineStr">
        <is>
          <t>NV 22 · CE 3</t>
        </is>
      </c>
      <c r="AC283" s="130" t="n"/>
      <c r="AD283" s="16" t="n"/>
      <c r="AE283" s="17" t="n"/>
      <c r="AF283" s="137">
        <f>DADOS_INVOC!$II$9</f>
        <v/>
      </c>
      <c r="AG283" s="16" t="n"/>
      <c r="AH283" s="16" t="n"/>
      <c r="AI283" s="16" t="n"/>
      <c r="AJ283" s="16" t="n"/>
      <c r="AK283" s="16" t="n"/>
      <c r="AL283" s="16" t="n"/>
      <c r="AM283" s="16" t="n"/>
      <c r="AN283" s="16" t="n"/>
      <c r="AO283" s="16" t="n"/>
      <c r="AP283" s="16" t="n"/>
      <c r="AQ283" s="16" t="n"/>
      <c r="AR283" s="17" t="n"/>
      <c r="AS283" s="120" t="n"/>
    </row>
    <row r="284" hidden="1" outlineLevel="1">
      <c r="A284" s="8" t="n"/>
      <c r="B284" s="14" t="n"/>
      <c r="C284" s="120" t="n"/>
      <c r="D284" s="120" t="n"/>
      <c r="E284" s="120" t="n"/>
      <c r="F284" s="120" t="n"/>
      <c r="G284" s="120" t="n"/>
      <c r="I284" s="55" t="inlineStr">
        <is>
          <t>NV 26 · CE 3</t>
        </is>
      </c>
      <c r="J284" s="130" t="n"/>
      <c r="K284" s="16" t="n"/>
      <c r="L284" s="17" t="n"/>
      <c r="M284" s="137">
        <f>DADOS_INVOC!$IJ$3</f>
        <v/>
      </c>
      <c r="N284" s="16" t="n"/>
      <c r="O284" s="16" t="n"/>
      <c r="P284" s="16" t="n"/>
      <c r="Q284" s="16" t="n"/>
      <c r="R284" s="16" t="n"/>
      <c r="S284" s="16" t="n"/>
      <c r="T284" s="16" t="n"/>
      <c r="U284" s="16" t="n"/>
      <c r="V284" s="16" t="n"/>
      <c r="W284" s="16" t="n"/>
      <c r="X284" s="16" t="n"/>
      <c r="Y284" s="17" t="n"/>
      <c r="Z284" s="120" t="n"/>
      <c r="AB284" s="55" t="inlineStr">
        <is>
          <t>NV 26 · CE 3</t>
        </is>
      </c>
      <c r="AC284" s="130" t="n"/>
      <c r="AD284" s="16" t="n"/>
      <c r="AE284" s="17" t="n"/>
      <c r="AF284" s="137">
        <f>DADOS_INVOC!$IJ$9</f>
        <v/>
      </c>
      <c r="AG284" s="16" t="n"/>
      <c r="AH284" s="16" t="n"/>
      <c r="AI284" s="16" t="n"/>
      <c r="AJ284" s="16" t="n"/>
      <c r="AK284" s="16" t="n"/>
      <c r="AL284" s="16" t="n"/>
      <c r="AM284" s="16" t="n"/>
      <c r="AN284" s="16" t="n"/>
      <c r="AO284" s="16" t="n"/>
      <c r="AP284" s="16" t="n"/>
      <c r="AQ284" s="16" t="n"/>
      <c r="AR284" s="17" t="n"/>
      <c r="AS284" s="120" t="n"/>
    </row>
    <row r="285" hidden="1" outlineLevel="1">
      <c r="A285" s="8" t="n"/>
      <c r="B285" s="14" t="n"/>
      <c r="C285" s="120" t="n"/>
      <c r="D285" s="120" t="n"/>
      <c r="E285" s="120" t="n"/>
      <c r="F285" s="120" t="n"/>
      <c r="G285" s="120" t="n"/>
      <c r="I285" s="55" t="inlineStr">
        <is>
          <t>NV 30 · CE 3</t>
        </is>
      </c>
      <c r="J285" s="130" t="n"/>
      <c r="K285" s="16" t="n"/>
      <c r="L285" s="17" t="n"/>
      <c r="M285" s="137">
        <f>DADOS_INVOC!$IK$3</f>
        <v/>
      </c>
      <c r="N285" s="16" t="n"/>
      <c r="O285" s="16" t="n"/>
      <c r="P285" s="16" t="n"/>
      <c r="Q285" s="16" t="n"/>
      <c r="R285" s="16" t="n"/>
      <c r="S285" s="16" t="n"/>
      <c r="T285" s="16" t="n"/>
      <c r="U285" s="16" t="n"/>
      <c r="V285" s="16" t="n"/>
      <c r="W285" s="16" t="n"/>
      <c r="X285" s="16" t="n"/>
      <c r="Y285" s="17" t="n"/>
      <c r="Z285" s="120" t="n"/>
      <c r="AB285" s="55" t="inlineStr">
        <is>
          <t>NV 30 · CE 3</t>
        </is>
      </c>
      <c r="AC285" s="130" t="n"/>
      <c r="AD285" s="16" t="n"/>
      <c r="AE285" s="17" t="n"/>
      <c r="AF285" s="137">
        <f>DADOS_INVOC!$IK$9</f>
        <v/>
      </c>
      <c r="AG285" s="16" t="n"/>
      <c r="AH285" s="16" t="n"/>
      <c r="AI285" s="16" t="n"/>
      <c r="AJ285" s="16" t="n"/>
      <c r="AK285" s="16" t="n"/>
      <c r="AL285" s="16" t="n"/>
      <c r="AM285" s="16" t="n"/>
      <c r="AN285" s="16" t="n"/>
      <c r="AO285" s="16" t="n"/>
      <c r="AP285" s="16" t="n"/>
      <c r="AQ285" s="16" t="n"/>
      <c r="AR285" s="17" t="n"/>
      <c r="AS285" s="120" t="n"/>
    </row>
    <row r="286" hidden="1" outlineLevel="1">
      <c r="A286" s="8" t="n"/>
      <c r="B286" s="14" t="n"/>
      <c r="C286" s="120" t="n"/>
      <c r="D286" s="120" t="n"/>
      <c r="E286" s="120" t="n"/>
      <c r="F286" s="120" t="n"/>
      <c r="G286" s="120" t="n"/>
      <c r="I286" s="120" t="n"/>
      <c r="J286" s="120" t="n"/>
      <c r="K286" s="120" t="n"/>
      <c r="L286" s="120" t="n"/>
      <c r="M286" s="120" t="n"/>
      <c r="N286" s="120" t="n"/>
      <c r="O286" s="120" t="n"/>
      <c r="P286" s="120" t="n"/>
      <c r="Q286" s="120" t="n"/>
      <c r="R286" s="120" t="n"/>
      <c r="S286" s="120" t="n"/>
      <c r="T286" s="120" t="n"/>
      <c r="U286" s="120" t="n"/>
      <c r="V286" s="120" t="n"/>
      <c r="W286" s="120" t="n"/>
      <c r="X286" s="120" t="n"/>
      <c r="Y286" s="120" t="n"/>
      <c r="Z286" s="120" t="n"/>
      <c r="AB286" s="120" t="n"/>
      <c r="AC286" s="120" t="n"/>
      <c r="AD286" s="120" t="n"/>
      <c r="AE286" s="120" t="n"/>
      <c r="AF286" s="120" t="n"/>
      <c r="AG286" s="120" t="n"/>
      <c r="AH286" s="120" t="n"/>
      <c r="AI286" s="120" t="n"/>
      <c r="AJ286" s="120" t="n"/>
      <c r="AK286" s="120" t="n"/>
      <c r="AL286" s="120" t="n"/>
      <c r="AM286" s="120" t="n"/>
      <c r="AN286" s="120" t="n"/>
      <c r="AO286" s="120" t="n"/>
      <c r="AP286" s="120" t="n"/>
      <c r="AQ286" s="120" t="n"/>
      <c r="AR286" s="120" t="n"/>
      <c r="AS286" s="120" t="n"/>
    </row>
    <row r="287" hidden="1" outlineLevel="1">
      <c r="A287" s="8" t="n"/>
      <c r="B287" s="14" t="n"/>
      <c r="C287" s="120" t="n"/>
      <c r="D287" s="120" t="n"/>
      <c r="E287" s="120" t="n"/>
      <c r="F287" s="120" t="n"/>
      <c r="G287" s="120" t="n"/>
      <c r="I287" s="13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0" t="n"/>
      <c r="AB287" s="13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0" t="n"/>
    </row>
    <row r="288" hidden="1" outlineLevel="2">
      <c r="A288" s="8" t="n"/>
      <c r="B288" s="14" t="n"/>
      <c r="C288" s="120" t="n"/>
      <c r="D288" s="120" t="n"/>
      <c r="E288" s="120" t="n"/>
      <c r="F288" s="120" t="n"/>
      <c r="G288" s="120" t="n"/>
      <c r="I288" s="120" t="n"/>
      <c r="J288" s="120" t="n"/>
      <c r="K288" s="120" t="n"/>
      <c r="L288" s="120" t="n"/>
      <c r="M288" s="120" t="n"/>
      <c r="N288" s="120" t="n"/>
      <c r="O288" s="120" t="n"/>
      <c r="P288" s="120" t="n"/>
      <c r="Q288" s="120" t="n"/>
      <c r="R288" s="120" t="n"/>
      <c r="S288" s="120" t="n"/>
      <c r="T288" s="120" t="n"/>
      <c r="U288" s="120" t="n"/>
      <c r="V288" s="120" t="n"/>
      <c r="W288" s="120" t="n"/>
      <c r="X288" s="120" t="n"/>
      <c r="Y288" s="120" t="n"/>
      <c r="Z288" s="120" t="n"/>
      <c r="AB288" s="120" t="n"/>
      <c r="AC288" s="120" t="n"/>
      <c r="AD288" s="120" t="n"/>
      <c r="AE288" s="120" t="n"/>
      <c r="AF288" s="120" t="n"/>
      <c r="AG288" s="120" t="n"/>
      <c r="AH288" s="120" t="n"/>
      <c r="AI288" s="120" t="n"/>
      <c r="AJ288" s="120" t="n"/>
      <c r="AK288" s="120" t="n"/>
      <c r="AL288" s="120" t="n"/>
      <c r="AM288" s="120" t="n"/>
      <c r="AN288" s="120" t="n"/>
      <c r="AO288" s="120" t="n"/>
      <c r="AP288" s="120" t="n"/>
      <c r="AQ288" s="120" t="n"/>
      <c r="AR288" s="120" t="n"/>
      <c r="AS288" s="120" t="n"/>
    </row>
    <row r="289" hidden="1" outlineLevel="2">
      <c r="A289" s="8" t="n"/>
      <c r="B289" s="14" t="n"/>
      <c r="C289" s="120" t="n"/>
      <c r="D289" s="120" t="n"/>
      <c r="E289" s="120" t="n"/>
      <c r="F289" s="120" t="n"/>
      <c r="G289" s="120" t="n"/>
      <c r="I289" s="55">
        <f>DADOS_INVOC!$PM$18</f>
        <v/>
      </c>
      <c r="J289" s="16" t="n"/>
      <c r="K289" s="16" t="n"/>
      <c r="L289" s="16" t="n"/>
      <c r="M289" s="17" t="n"/>
      <c r="N289" s="120" t="n"/>
      <c r="O289" s="55">
        <f>DADOS_INVOC!$PM$19</f>
        <v/>
      </c>
      <c r="P289" s="16" t="n"/>
      <c r="Q289" s="16" t="n"/>
      <c r="R289" s="16" t="n"/>
      <c r="S289" s="17" t="n"/>
      <c r="T289" s="120" t="n"/>
      <c r="U289" s="55">
        <f>DADOS_INVOC!$PM$20</f>
        <v/>
      </c>
      <c r="V289" s="16" t="n"/>
      <c r="W289" s="16" t="n"/>
      <c r="X289" s="16" t="n"/>
      <c r="Y289" s="17" t="n"/>
      <c r="Z289" s="120" t="n"/>
      <c r="AB289" s="55">
        <f>DADOS_INVOC!$PM$96</f>
        <v/>
      </c>
      <c r="AC289" s="16" t="n"/>
      <c r="AD289" s="16" t="n"/>
      <c r="AE289" s="16" t="n"/>
      <c r="AF289" s="17" t="n"/>
      <c r="AG289" s="120" t="n"/>
      <c r="AH289" s="55">
        <f>DADOS_INVOC!$PM$97</f>
        <v/>
      </c>
      <c r="AI289" s="16" t="n"/>
      <c r="AJ289" s="16" t="n"/>
      <c r="AK289" s="16" t="n"/>
      <c r="AL289" s="17" t="n"/>
      <c r="AM289" s="120" t="n"/>
      <c r="AN289" s="55">
        <f>DADOS_INVOC!$PM$98</f>
        <v/>
      </c>
      <c r="AO289" s="16" t="n"/>
      <c r="AP289" s="16" t="n"/>
      <c r="AQ289" s="16" t="n"/>
      <c r="AR289" s="17" t="n"/>
      <c r="AS289" s="120" t="n"/>
    </row>
    <row r="290" hidden="1" outlineLevel="2">
      <c r="A290" s="8" t="n"/>
      <c r="B290" s="14" t="n"/>
      <c r="C290" s="120" t="n"/>
      <c r="D290" s="120" t="n"/>
      <c r="E290" s="120" t="n"/>
      <c r="F290" s="120" t="n"/>
      <c r="G290" s="120" t="n"/>
      <c r="I290" s="127" t="n">
        <v>0</v>
      </c>
      <c r="J290" s="115" t="n"/>
      <c r="K290" s="16" t="n"/>
      <c r="L290" s="17" t="n"/>
      <c r="M290" s="128">
        <f>DADOS_INVOC!$PK$18</f>
        <v/>
      </c>
      <c r="N290" s="120" t="n"/>
      <c r="O290" s="127" t="n">
        <v>1</v>
      </c>
      <c r="P290" s="115" t="n"/>
      <c r="Q290" s="16" t="n"/>
      <c r="R290" s="17" t="n"/>
      <c r="S290" s="128">
        <f>DADOS_INVOC!$PK$19</f>
        <v/>
      </c>
      <c r="T290" s="120" t="n"/>
      <c r="U290" s="127" t="n">
        <v>1</v>
      </c>
      <c r="V290" s="115" t="n"/>
      <c r="W290" s="16" t="n"/>
      <c r="X290" s="17" t="n"/>
      <c r="Y290" s="128">
        <f>DADOS_INVOC!$PK$20</f>
        <v/>
      </c>
      <c r="Z290" s="120" t="n"/>
      <c r="AB290" s="127" t="n">
        <v>0</v>
      </c>
      <c r="AC290" s="115" t="n"/>
      <c r="AD290" s="16" t="n"/>
      <c r="AE290" s="17" t="n"/>
      <c r="AF290" s="128">
        <f>DADOS_INVOC!$PK$96</f>
        <v/>
      </c>
      <c r="AG290" s="120" t="n"/>
      <c r="AH290" s="127" t="n">
        <v>1</v>
      </c>
      <c r="AI290" s="115" t="n"/>
      <c r="AJ290" s="16" t="n"/>
      <c r="AK290" s="17" t="n"/>
      <c r="AL290" s="128">
        <f>DADOS_INVOC!$PK$97</f>
        <v/>
      </c>
      <c r="AM290" s="120" t="n"/>
      <c r="AN290" s="127" t="n">
        <v>1</v>
      </c>
      <c r="AO290" s="115" t="n"/>
      <c r="AP290" s="16" t="n"/>
      <c r="AQ290" s="17" t="n"/>
      <c r="AR290" s="128">
        <f>DADOS_INVOC!$PK$98</f>
        <v/>
      </c>
      <c r="AS290" s="120" t="n"/>
    </row>
    <row r="291" hidden="1" outlineLevel="3">
      <c r="A291" s="8" t="n"/>
      <c r="B291" s="14" t="n"/>
      <c r="C291" s="120" t="n"/>
      <c r="D291" s="120" t="n"/>
      <c r="E291" s="120" t="n"/>
      <c r="F291" s="120" t="n"/>
      <c r="G291" s="120" t="n"/>
      <c r="I291" s="55" t="inlineStr">
        <is>
          <t>COMO É</t>
        </is>
      </c>
      <c r="J291" s="16" t="n"/>
      <c r="K291" s="16" t="n"/>
      <c r="L291" s="16" t="n"/>
      <c r="M291" s="17" t="n"/>
      <c r="N291" s="120" t="n"/>
      <c r="O291" s="55" t="inlineStr">
        <is>
          <t>COMO É</t>
        </is>
      </c>
      <c r="P291" s="16" t="n"/>
      <c r="Q291" s="16" t="n"/>
      <c r="R291" s="16" t="n"/>
      <c r="S291" s="17" t="n"/>
      <c r="T291" s="120" t="n"/>
      <c r="U291" s="55" t="inlineStr">
        <is>
          <t>COMO É</t>
        </is>
      </c>
      <c r="V291" s="16" t="n"/>
      <c r="W291" s="16" t="n"/>
      <c r="X291" s="16" t="n"/>
      <c r="Y291" s="17" t="n"/>
      <c r="Z291" s="120" t="n"/>
      <c r="AB291" s="55" t="inlineStr">
        <is>
          <t>COMO É</t>
        </is>
      </c>
      <c r="AC291" s="16" t="n"/>
      <c r="AD291" s="16" t="n"/>
      <c r="AE291" s="16" t="n"/>
      <c r="AF291" s="17" t="n"/>
      <c r="AG291" s="120" t="n"/>
      <c r="AH291" s="55" t="inlineStr">
        <is>
          <t>COMO É</t>
        </is>
      </c>
      <c r="AI291" s="16" t="n"/>
      <c r="AJ291" s="16" t="n"/>
      <c r="AK291" s="16" t="n"/>
      <c r="AL291" s="17" t="n"/>
      <c r="AM291" s="120" t="n"/>
      <c r="AN291" s="55" t="inlineStr">
        <is>
          <t>COMO É</t>
        </is>
      </c>
      <c r="AO291" s="16" t="n"/>
      <c r="AP291" s="16" t="n"/>
      <c r="AQ291" s="16" t="n"/>
      <c r="AR291" s="17" t="n"/>
      <c r="AS291" s="120" t="n"/>
    </row>
    <row r="292" hidden="1" outlineLevel="3">
      <c r="A292" s="8" t="n"/>
      <c r="B292" s="14" t="n"/>
      <c r="C292" s="120" t="n"/>
      <c r="D292" s="120" t="n"/>
      <c r="E292" s="120" t="n"/>
      <c r="F292" s="120" t="n"/>
      <c r="G292" s="120" t="n"/>
      <c r="I292" s="116" t="n"/>
      <c r="J292" s="19" t="n"/>
      <c r="K292" s="19" t="n"/>
      <c r="L292" s="19" t="n"/>
      <c r="M292" s="20" t="n"/>
      <c r="N292" s="120" t="n"/>
      <c r="O292" s="116" t="n"/>
      <c r="P292" s="19" t="n"/>
      <c r="Q292" s="19" t="n"/>
      <c r="R292" s="19" t="n"/>
      <c r="S292" s="20" t="n"/>
      <c r="T292" s="120" t="n"/>
      <c r="U292" s="116" t="n"/>
      <c r="V292" s="19" t="n"/>
      <c r="W292" s="19" t="n"/>
      <c r="X292" s="19" t="n"/>
      <c r="Y292" s="20" t="n"/>
      <c r="Z292" s="120" t="n"/>
      <c r="AB292" s="116" t="n"/>
      <c r="AC292" s="19" t="n"/>
      <c r="AD292" s="19" t="n"/>
      <c r="AE292" s="19" t="n"/>
      <c r="AF292" s="20" t="n"/>
      <c r="AG292" s="120" t="n"/>
      <c r="AH292" s="116" t="n"/>
      <c r="AI292" s="19" t="n"/>
      <c r="AJ292" s="19" t="n"/>
      <c r="AK292" s="19" t="n"/>
      <c r="AL292" s="20" t="n"/>
      <c r="AM292" s="120" t="n"/>
      <c r="AN292" s="116" t="n"/>
      <c r="AO292" s="19" t="n"/>
      <c r="AP292" s="19" t="n"/>
      <c r="AQ292" s="19" t="n"/>
      <c r="AR292" s="20" t="n"/>
      <c r="AS292" s="120" t="n"/>
    </row>
    <row r="293" hidden="1" outlineLevel="3">
      <c r="A293" s="8" t="n"/>
      <c r="B293" s="14" t="n"/>
      <c r="C293" s="120" t="n"/>
      <c r="D293" s="120" t="n"/>
      <c r="E293" s="120" t="n"/>
      <c r="F293" s="120" t="n"/>
      <c r="G293" s="120" t="n"/>
      <c r="I293" s="21" t="n"/>
      <c r="M293" s="22" t="n"/>
      <c r="N293" s="120" t="n"/>
      <c r="O293" s="21" t="n"/>
      <c r="S293" s="22" t="n"/>
      <c r="T293" s="120" t="n"/>
      <c r="U293" s="21" t="n"/>
      <c r="Y293" s="22" t="n"/>
      <c r="Z293" s="120" t="n"/>
      <c r="AB293" s="21" t="n"/>
      <c r="AF293" s="22" t="n"/>
      <c r="AG293" s="120" t="n"/>
      <c r="AH293" s="21" t="n"/>
      <c r="AL293" s="22" t="n"/>
      <c r="AM293" s="120" t="n"/>
      <c r="AN293" s="21" t="n"/>
      <c r="AR293" s="22" t="n"/>
      <c r="AS293" s="120" t="n"/>
    </row>
    <row r="294" hidden="1" outlineLevel="3">
      <c r="A294" s="8" t="n"/>
      <c r="B294" s="14" t="n"/>
      <c r="C294" s="120" t="n"/>
      <c r="D294" s="120" t="n"/>
      <c r="E294" s="120" t="n"/>
      <c r="F294" s="120" t="n"/>
      <c r="G294" s="120" t="n"/>
      <c r="I294" s="23" t="n"/>
      <c r="J294" s="24" t="n"/>
      <c r="K294" s="24" t="n"/>
      <c r="L294" s="24" t="n"/>
      <c r="M294" s="25" t="n"/>
      <c r="N294" s="120" t="n"/>
      <c r="O294" s="23" t="n"/>
      <c r="P294" s="24" t="n"/>
      <c r="Q294" s="24" t="n"/>
      <c r="R294" s="24" t="n"/>
      <c r="S294" s="25" t="n"/>
      <c r="T294" s="120" t="n"/>
      <c r="U294" s="23" t="n"/>
      <c r="V294" s="24" t="n"/>
      <c r="W294" s="24" t="n"/>
      <c r="X294" s="24" t="n"/>
      <c r="Y294" s="25" t="n"/>
      <c r="Z294" s="120" t="n"/>
      <c r="AB294" s="23" t="n"/>
      <c r="AC294" s="24" t="n"/>
      <c r="AD294" s="24" t="n"/>
      <c r="AE294" s="24" t="n"/>
      <c r="AF294" s="25" t="n"/>
      <c r="AG294" s="120" t="n"/>
      <c r="AH294" s="23" t="n"/>
      <c r="AI294" s="24" t="n"/>
      <c r="AJ294" s="24" t="n"/>
      <c r="AK294" s="24" t="n"/>
      <c r="AL294" s="25" t="n"/>
      <c r="AM294" s="120" t="n"/>
      <c r="AN294" s="23" t="n"/>
      <c r="AO294" s="24" t="n"/>
      <c r="AP294" s="24" t="n"/>
      <c r="AQ294" s="24" t="n"/>
      <c r="AR294" s="25" t="n"/>
      <c r="AS294" s="120" t="n"/>
    </row>
    <row r="295" hidden="1" outlineLevel="2">
      <c r="A295" s="8" t="n"/>
      <c r="B295" s="14" t="n"/>
      <c r="C295" s="120" t="n"/>
      <c r="D295" s="120" t="n"/>
      <c r="E295" s="120" t="n"/>
      <c r="F295" s="120" t="n"/>
      <c r="G295" s="120" t="n"/>
      <c r="I295" s="124" t="inlineStr">
        <is>
          <t>Projétil</t>
        </is>
      </c>
      <c r="J295" s="17" t="n"/>
      <c r="K295" s="68">
        <f>DADOS_INVOC!$PR$18</f>
        <v/>
      </c>
      <c r="L295" s="17" t="n"/>
      <c r="M295" s="68">
        <f>DADOS_INVOC!$PN$18</f>
        <v/>
      </c>
      <c r="N295" s="120" t="n"/>
      <c r="O295" s="124" t="inlineStr">
        <is>
          <t>Projétil</t>
        </is>
      </c>
      <c r="P295" s="17" t="n"/>
      <c r="Q295" s="68">
        <f>DADOS_INVOC!$PR$19</f>
        <v/>
      </c>
      <c r="R295" s="17" t="n"/>
      <c r="S295" s="68">
        <f>DADOS_INVOC!$PN$19</f>
        <v/>
      </c>
      <c r="T295" s="120" t="n"/>
      <c r="U295" s="124" t="inlineStr">
        <is>
          <t>Projétil</t>
        </is>
      </c>
      <c r="V295" s="17" t="n"/>
      <c r="W295" s="68">
        <f>DADOS_INVOC!$PR$20</f>
        <v/>
      </c>
      <c r="X295" s="17" t="n"/>
      <c r="Y295" s="68">
        <f>DADOS_INVOC!$PN$20</f>
        <v/>
      </c>
      <c r="Z295" s="120" t="n"/>
      <c r="AB295" s="124" t="inlineStr">
        <is>
          <t>Projétil</t>
        </is>
      </c>
      <c r="AC295" s="17" t="n"/>
      <c r="AD295" s="68">
        <f>DADOS_INVOC!$PR$96</f>
        <v/>
      </c>
      <c r="AE295" s="17" t="n"/>
      <c r="AF295" s="68">
        <f>DADOS_INVOC!$PN$96</f>
        <v/>
      </c>
      <c r="AG295" s="120" t="n"/>
      <c r="AH295" s="124" t="inlineStr">
        <is>
          <t>Projétil</t>
        </is>
      </c>
      <c r="AI295" s="17" t="n"/>
      <c r="AJ295" s="68">
        <f>DADOS_INVOC!$PR$97</f>
        <v/>
      </c>
      <c r="AK295" s="17" t="n"/>
      <c r="AL295" s="68">
        <f>DADOS_INVOC!$PN$97</f>
        <v/>
      </c>
      <c r="AM295" s="120" t="n"/>
      <c r="AN295" s="124" t="inlineStr">
        <is>
          <t>Projétil</t>
        </is>
      </c>
      <c r="AO295" s="17" t="n"/>
      <c r="AP295" s="68">
        <f>DADOS_INVOC!$PR$98</f>
        <v/>
      </c>
      <c r="AQ295" s="17" t="n"/>
      <c r="AR295" s="68">
        <f>DADOS_INVOC!$PN$98</f>
        <v/>
      </c>
      <c r="AS295" s="120" t="n"/>
    </row>
    <row r="296" hidden="1" outlineLevel="2">
      <c r="A296" s="8" t="n"/>
      <c r="B296" s="14" t="n"/>
      <c r="C296" s="120" t="n"/>
      <c r="D296" s="120" t="n"/>
      <c r="E296" s="120" t="n"/>
      <c r="F296" s="120" t="n"/>
      <c r="G296" s="120" t="n"/>
      <c r="I296" s="124" t="n"/>
      <c r="J296" s="17" t="n"/>
      <c r="K296" s="124" t="n"/>
      <c r="L296" s="16" t="n"/>
      <c r="M296" s="17" t="n"/>
      <c r="N296" s="120" t="n"/>
      <c r="O296" s="124" t="n"/>
      <c r="P296" s="17" t="n"/>
      <c r="Q296" s="124" t="n"/>
      <c r="R296" s="16" t="n"/>
      <c r="S296" s="17" t="n"/>
      <c r="T296" s="120" t="n"/>
      <c r="U296" s="124" t="n"/>
      <c r="V296" s="17" t="n"/>
      <c r="W296" s="124" t="n"/>
      <c r="X296" s="16" t="n"/>
      <c r="Y296" s="17" t="n"/>
      <c r="Z296" s="120" t="n"/>
      <c r="AB296" s="124" t="n"/>
      <c r="AC296" s="17" t="n"/>
      <c r="AD296" s="124" t="n"/>
      <c r="AE296" s="16" t="n"/>
      <c r="AF296" s="17" t="n"/>
      <c r="AG296" s="120" t="n"/>
      <c r="AH296" s="124" t="n"/>
      <c r="AI296" s="17" t="n"/>
      <c r="AJ296" s="124" t="n"/>
      <c r="AK296" s="16" t="n"/>
      <c r="AL296" s="17" t="n"/>
      <c r="AM296" s="120" t="n"/>
      <c r="AN296" s="124" t="n"/>
      <c r="AO296" s="17" t="n"/>
      <c r="AP296" s="124" t="n"/>
      <c r="AQ296" s="16" t="n"/>
      <c r="AR296" s="17" t="n"/>
      <c r="AS296" s="120" t="n"/>
    </row>
    <row r="297" hidden="1" outlineLevel="2">
      <c r="A297" s="8" t="n"/>
      <c r="B297" s="14" t="n"/>
      <c r="C297" s="120" t="n"/>
      <c r="D297" s="120" t="n"/>
      <c r="E297" s="120" t="n"/>
      <c r="F297" s="120" t="n"/>
      <c r="G297" s="120" t="n"/>
      <c r="I297" s="124">
        <f>DADOS_INVOC!$PO$18</f>
        <v/>
      </c>
      <c r="J297" s="17" t="n"/>
      <c r="K297" s="124">
        <f>DADOS_INVOC!$PQ$18</f>
        <v/>
      </c>
      <c r="L297" s="16" t="n"/>
      <c r="M297" s="17" t="n"/>
      <c r="N297" s="120" t="n"/>
      <c r="O297" s="124">
        <f>DADOS_INVOC!$PO$19</f>
        <v/>
      </c>
      <c r="P297" s="17" t="n"/>
      <c r="Q297" s="124">
        <f>DADOS_INVOC!$PQ$19</f>
        <v/>
      </c>
      <c r="R297" s="16" t="n"/>
      <c r="S297" s="17" t="n"/>
      <c r="T297" s="120" t="n"/>
      <c r="U297" s="124">
        <f>DADOS_INVOC!$PO$20</f>
        <v/>
      </c>
      <c r="V297" s="17" t="n"/>
      <c r="W297" s="124">
        <f>DADOS_INVOC!$PQ$20</f>
        <v/>
      </c>
      <c r="X297" s="16" t="n"/>
      <c r="Y297" s="17" t="n"/>
      <c r="Z297" s="120" t="n"/>
      <c r="AB297" s="124">
        <f>DADOS_INVOC!$PO$96</f>
        <v/>
      </c>
      <c r="AC297" s="17" t="n"/>
      <c r="AD297" s="124">
        <f>DADOS_INVOC!$PQ$96</f>
        <v/>
      </c>
      <c r="AE297" s="16" t="n"/>
      <c r="AF297" s="17" t="n"/>
      <c r="AG297" s="120" t="n"/>
      <c r="AH297" s="124">
        <f>DADOS_INVOC!$PO$97</f>
        <v/>
      </c>
      <c r="AI297" s="17" t="n"/>
      <c r="AJ297" s="124">
        <f>DADOS_INVOC!$PQ$97</f>
        <v/>
      </c>
      <c r="AK297" s="16" t="n"/>
      <c r="AL297" s="17" t="n"/>
      <c r="AM297" s="120" t="n"/>
      <c r="AN297" s="124">
        <f>DADOS_INVOC!$PO$98</f>
        <v/>
      </c>
      <c r="AO297" s="17" t="n"/>
      <c r="AP297" s="124">
        <f>DADOS_INVOC!$PQ$98</f>
        <v/>
      </c>
      <c r="AQ297" s="16" t="n"/>
      <c r="AR297" s="17" t="n"/>
      <c r="AS297" s="120" t="n"/>
    </row>
    <row r="298" hidden="1" outlineLevel="2">
      <c r="A298" s="8" t="n"/>
      <c r="B298" s="14" t="n"/>
      <c r="C298" s="120" t="n"/>
      <c r="D298" s="120" t="n"/>
      <c r="E298" s="120" t="n"/>
      <c r="F298" s="120" t="n"/>
      <c r="G298" s="120" t="n"/>
      <c r="I298" s="129">
        <f>DADOS_INVOC!$PW$18</f>
        <v/>
      </c>
      <c r="J298" s="16" t="n"/>
      <c r="K298" s="16" t="n"/>
      <c r="L298" s="16" t="n"/>
      <c r="M298" s="17" t="n"/>
      <c r="N298" s="120" t="n"/>
      <c r="O298" s="129">
        <f>DADOS_INVOC!$PW$19</f>
        <v/>
      </c>
      <c r="P298" s="16" t="n"/>
      <c r="Q298" s="16" t="n"/>
      <c r="R298" s="16" t="n"/>
      <c r="S298" s="17" t="n"/>
      <c r="T298" s="120" t="n"/>
      <c r="U298" s="129">
        <f>DADOS_INVOC!$PW$20</f>
        <v/>
      </c>
      <c r="V298" s="16" t="n"/>
      <c r="W298" s="16" t="n"/>
      <c r="X298" s="16" t="n"/>
      <c r="Y298" s="17" t="n"/>
      <c r="Z298" s="120" t="n"/>
      <c r="AB298" s="129">
        <f>DADOS_INVOC!$PW$96</f>
        <v/>
      </c>
      <c r="AC298" s="16" t="n"/>
      <c r="AD298" s="16" t="n"/>
      <c r="AE298" s="16" t="n"/>
      <c r="AF298" s="17" t="n"/>
      <c r="AG298" s="120" t="n"/>
      <c r="AH298" s="129">
        <f>DADOS_INVOC!$PW$97</f>
        <v/>
      </c>
      <c r="AI298" s="16" t="n"/>
      <c r="AJ298" s="16" t="n"/>
      <c r="AK298" s="16" t="n"/>
      <c r="AL298" s="17" t="n"/>
      <c r="AM298" s="120" t="n"/>
      <c r="AN298" s="129">
        <f>DADOS_INVOC!$PW$98</f>
        <v/>
      </c>
      <c r="AO298" s="16" t="n"/>
      <c r="AP298" s="16" t="n"/>
      <c r="AQ298" s="16" t="n"/>
      <c r="AR298" s="17" t="n"/>
      <c r="AS298" s="120" t="n"/>
    </row>
    <row r="299" hidden="1" outlineLevel="3">
      <c r="A299" s="8" t="n"/>
      <c r="B299" s="14" t="n"/>
      <c r="C299" s="120" t="n"/>
      <c r="D299" s="120" t="n"/>
      <c r="E299" s="120" t="n"/>
      <c r="F299" s="120" t="n"/>
      <c r="G299" s="120" t="n"/>
      <c r="I299" s="55" t="inlineStr">
        <is>
          <t>MELHORIAS</t>
        </is>
      </c>
      <c r="J299" s="130" t="n"/>
      <c r="K299" s="16" t="n"/>
      <c r="L299" s="17" t="n"/>
      <c r="M299" s="129">
        <f>DADOS_INVOC!$PZ$18</f>
        <v/>
      </c>
      <c r="N299" s="120" t="n"/>
      <c r="O299" s="55" t="inlineStr">
        <is>
          <t>MELHORIAS</t>
        </is>
      </c>
      <c r="P299" s="130" t="n"/>
      <c r="Q299" s="16" t="n"/>
      <c r="R299" s="17" t="n"/>
      <c r="S299" s="129">
        <f>DADOS_INVOC!$PZ$19</f>
        <v/>
      </c>
      <c r="T299" s="120" t="n"/>
      <c r="U299" s="55" t="inlineStr">
        <is>
          <t>MELHORIAS</t>
        </is>
      </c>
      <c r="V299" s="130" t="n"/>
      <c r="W299" s="16" t="n"/>
      <c r="X299" s="17" t="n"/>
      <c r="Y299" s="129">
        <f>DADOS_INVOC!$PZ$20</f>
        <v/>
      </c>
      <c r="Z299" s="120" t="n"/>
      <c r="AB299" s="55" t="inlineStr">
        <is>
          <t>MELHORIAS</t>
        </is>
      </c>
      <c r="AC299" s="130" t="n"/>
      <c r="AD299" s="16" t="n"/>
      <c r="AE299" s="17" t="n"/>
      <c r="AF299" s="129">
        <f>DADOS_INVOC!$PZ$96</f>
        <v/>
      </c>
      <c r="AG299" s="120" t="n"/>
      <c r="AH299" s="55" t="inlineStr">
        <is>
          <t>MELHORIAS</t>
        </is>
      </c>
      <c r="AI299" s="130" t="n"/>
      <c r="AJ299" s="16" t="n"/>
      <c r="AK299" s="17" t="n"/>
      <c r="AL299" s="129">
        <f>DADOS_INVOC!$PZ$97</f>
        <v/>
      </c>
      <c r="AM299" s="120" t="n"/>
      <c r="AN299" s="55" t="inlineStr">
        <is>
          <t>MELHORIAS</t>
        </is>
      </c>
      <c r="AO299" s="130" t="n"/>
      <c r="AP299" s="16" t="n"/>
      <c r="AQ299" s="17" t="n"/>
      <c r="AR299" s="129">
        <f>DADOS_INVOC!$PZ$98</f>
        <v/>
      </c>
      <c r="AS299" s="120" t="n"/>
    </row>
    <row r="300" hidden="1" outlineLevel="3">
      <c r="A300" s="8" t="n"/>
      <c r="B300" s="14" t="n"/>
      <c r="C300" s="120" t="n"/>
      <c r="D300" s="120" t="n"/>
      <c r="E300" s="120" t="n"/>
      <c r="F300" s="120" t="n"/>
      <c r="G300" s="120" t="n"/>
      <c r="I300" s="131" t="n"/>
      <c r="J300" s="130" t="n"/>
      <c r="K300" s="16" t="n"/>
      <c r="L300" s="17" t="n"/>
      <c r="M300" s="129">
        <f>DADOS_INVOC!$QA$18</f>
        <v/>
      </c>
      <c r="N300" s="120" t="n"/>
      <c r="O300" s="131" t="n"/>
      <c r="P300" s="130" t="n"/>
      <c r="Q300" s="16" t="n"/>
      <c r="R300" s="17" t="n"/>
      <c r="S300" s="129">
        <f>DADOS_INVOC!$QA$19</f>
        <v/>
      </c>
      <c r="T300" s="120" t="n"/>
      <c r="U300" s="131" t="n"/>
      <c r="V300" s="130" t="n"/>
      <c r="W300" s="16" t="n"/>
      <c r="X300" s="17" t="n"/>
      <c r="Y300" s="129">
        <f>DADOS_INVOC!$QA$20</f>
        <v/>
      </c>
      <c r="Z300" s="120" t="n"/>
      <c r="AB300" s="131" t="n"/>
      <c r="AC300" s="130" t="n"/>
      <c r="AD300" s="16" t="n"/>
      <c r="AE300" s="17" t="n"/>
      <c r="AF300" s="129">
        <f>DADOS_INVOC!$QA$96</f>
        <v/>
      </c>
      <c r="AG300" s="120" t="n"/>
      <c r="AH300" s="131" t="n"/>
      <c r="AI300" s="130" t="n"/>
      <c r="AJ300" s="16" t="n"/>
      <c r="AK300" s="17" t="n"/>
      <c r="AL300" s="129">
        <f>DADOS_INVOC!$QA$97</f>
        <v/>
      </c>
      <c r="AM300" s="120" t="n"/>
      <c r="AN300" s="131" t="n"/>
      <c r="AO300" s="130" t="n"/>
      <c r="AP300" s="16" t="n"/>
      <c r="AQ300" s="17" t="n"/>
      <c r="AR300" s="129">
        <f>DADOS_INVOC!$QA$98</f>
        <v/>
      </c>
      <c r="AS300" s="120" t="n"/>
    </row>
    <row r="301" hidden="1" outlineLevel="3">
      <c r="A301" s="8" t="n"/>
      <c r="B301" s="14" t="n"/>
      <c r="C301" s="120" t="n"/>
      <c r="D301" s="120" t="n"/>
      <c r="E301" s="120" t="n"/>
      <c r="F301" s="120" t="n"/>
      <c r="G301" s="120" t="n"/>
      <c r="I301" s="131" t="n"/>
      <c r="J301" s="130" t="n"/>
      <c r="K301" s="16" t="n"/>
      <c r="L301" s="17" t="n"/>
      <c r="M301" s="129">
        <f>DADOS_INVOC!$QB$18</f>
        <v/>
      </c>
      <c r="N301" s="120" t="n"/>
      <c r="O301" s="131" t="n"/>
      <c r="P301" s="130" t="n"/>
      <c r="Q301" s="16" t="n"/>
      <c r="R301" s="17" t="n"/>
      <c r="S301" s="129">
        <f>DADOS_INVOC!$QB$19</f>
        <v/>
      </c>
      <c r="T301" s="120" t="n"/>
      <c r="U301" s="131" t="n"/>
      <c r="V301" s="130" t="n"/>
      <c r="W301" s="16" t="n"/>
      <c r="X301" s="17" t="n"/>
      <c r="Y301" s="129">
        <f>DADOS_INVOC!$QB$20</f>
        <v/>
      </c>
      <c r="Z301" s="120" t="n"/>
      <c r="AB301" s="131" t="n"/>
      <c r="AC301" s="130" t="n"/>
      <c r="AD301" s="16" t="n"/>
      <c r="AE301" s="17" t="n"/>
      <c r="AF301" s="129">
        <f>DADOS_INVOC!$QB$96</f>
        <v/>
      </c>
      <c r="AG301" s="120" t="n"/>
      <c r="AH301" s="131" t="n"/>
      <c r="AI301" s="130" t="n"/>
      <c r="AJ301" s="16" t="n"/>
      <c r="AK301" s="17" t="n"/>
      <c r="AL301" s="129">
        <f>DADOS_INVOC!$QB$97</f>
        <v/>
      </c>
      <c r="AM301" s="120" t="n"/>
      <c r="AN301" s="131" t="n"/>
      <c r="AO301" s="130" t="n"/>
      <c r="AP301" s="16" t="n"/>
      <c r="AQ301" s="17" t="n"/>
      <c r="AR301" s="129">
        <f>DADOS_INVOC!$QB$98</f>
        <v/>
      </c>
      <c r="AS301" s="120" t="n"/>
    </row>
    <row r="302" hidden="1" outlineLevel="3">
      <c r="A302" s="8" t="n"/>
      <c r="B302" s="14" t="n"/>
      <c r="C302" s="120" t="n"/>
      <c r="D302" s="120" t="n"/>
      <c r="E302" s="120" t="n"/>
      <c r="F302" s="120" t="n"/>
      <c r="G302" s="120" t="n"/>
      <c r="I302" s="125" t="n"/>
      <c r="J302" s="130" t="n"/>
      <c r="K302" s="16" t="n"/>
      <c r="L302" s="17" t="n"/>
      <c r="M302" s="129">
        <f>DADOS_INVOC!$QC$18</f>
        <v/>
      </c>
      <c r="N302" s="120" t="n"/>
      <c r="O302" s="125" t="n"/>
      <c r="P302" s="130" t="n"/>
      <c r="Q302" s="16" t="n"/>
      <c r="R302" s="17" t="n"/>
      <c r="S302" s="129">
        <f>DADOS_INVOC!$QC$19</f>
        <v/>
      </c>
      <c r="T302" s="120" t="n"/>
      <c r="U302" s="125" t="n"/>
      <c r="V302" s="130" t="n"/>
      <c r="W302" s="16" t="n"/>
      <c r="X302" s="17" t="n"/>
      <c r="Y302" s="129">
        <f>DADOS_INVOC!$QC$20</f>
        <v/>
      </c>
      <c r="Z302" s="120" t="n"/>
      <c r="AB302" s="125" t="n"/>
      <c r="AC302" s="130" t="n"/>
      <c r="AD302" s="16" t="n"/>
      <c r="AE302" s="17" t="n"/>
      <c r="AF302" s="129">
        <f>DADOS_INVOC!$QC$96</f>
        <v/>
      </c>
      <c r="AG302" s="120" t="n"/>
      <c r="AH302" s="125" t="n"/>
      <c r="AI302" s="130" t="n"/>
      <c r="AJ302" s="16" t="n"/>
      <c r="AK302" s="17" t="n"/>
      <c r="AL302" s="129">
        <f>DADOS_INVOC!$QC$97</f>
        <v/>
      </c>
      <c r="AM302" s="120" t="n"/>
      <c r="AN302" s="125" t="n"/>
      <c r="AO302" s="130" t="n"/>
      <c r="AP302" s="16" t="n"/>
      <c r="AQ302" s="17" t="n"/>
      <c r="AR302" s="129">
        <f>DADOS_INVOC!$QC$98</f>
        <v/>
      </c>
      <c r="AS302" s="120" t="n"/>
    </row>
    <row r="303" hidden="1" outlineLevel="3">
      <c r="A303" s="8" t="n"/>
      <c r="B303" s="14" t="n"/>
      <c r="C303" s="120" t="n"/>
      <c r="D303" s="120" t="n"/>
      <c r="E303" s="120" t="n"/>
      <c r="F303" s="120" t="n"/>
      <c r="G303" s="120" t="n"/>
      <c r="I303" s="55" t="inlineStr">
        <is>
          <t>RESTRIÇÕES</t>
        </is>
      </c>
      <c r="J303" s="130" t="n"/>
      <c r="K303" s="16" t="n"/>
      <c r="L303" s="17" t="n"/>
      <c r="M303" s="129">
        <f>DADOS_INVOC!$QD$18</f>
        <v/>
      </c>
      <c r="N303" s="120" t="n"/>
      <c r="O303" s="55" t="inlineStr">
        <is>
          <t>RESTRIÇÕES</t>
        </is>
      </c>
      <c r="P303" s="130" t="n"/>
      <c r="Q303" s="16" t="n"/>
      <c r="R303" s="17" t="n"/>
      <c r="S303" s="129">
        <f>DADOS_INVOC!$QD$19</f>
        <v/>
      </c>
      <c r="T303" s="120" t="n"/>
      <c r="U303" s="55" t="inlineStr">
        <is>
          <t>RESTRIÇÕES</t>
        </is>
      </c>
      <c r="V303" s="130" t="n"/>
      <c r="W303" s="16" t="n"/>
      <c r="X303" s="17" t="n"/>
      <c r="Y303" s="129">
        <f>DADOS_INVOC!$QD$20</f>
        <v/>
      </c>
      <c r="Z303" s="120" t="n"/>
      <c r="AB303" s="55" t="inlineStr">
        <is>
          <t>RESTRIÇÕES</t>
        </is>
      </c>
      <c r="AC303" s="130" t="n"/>
      <c r="AD303" s="16" t="n"/>
      <c r="AE303" s="17" t="n"/>
      <c r="AF303" s="129">
        <f>DADOS_INVOC!$QD$96</f>
        <v/>
      </c>
      <c r="AG303" s="120" t="n"/>
      <c r="AH303" s="55" t="inlineStr">
        <is>
          <t>RESTRIÇÕES</t>
        </is>
      </c>
      <c r="AI303" s="130" t="n"/>
      <c r="AJ303" s="16" t="n"/>
      <c r="AK303" s="17" t="n"/>
      <c r="AL303" s="129">
        <f>DADOS_INVOC!$QD$97</f>
        <v/>
      </c>
      <c r="AM303" s="120" t="n"/>
      <c r="AN303" s="55" t="inlineStr">
        <is>
          <t>RESTRIÇÕES</t>
        </is>
      </c>
      <c r="AO303" s="130" t="n"/>
      <c r="AP303" s="16" t="n"/>
      <c r="AQ303" s="17" t="n"/>
      <c r="AR303" s="129">
        <f>DADOS_INVOC!$QD$98</f>
        <v/>
      </c>
      <c r="AS303" s="120" t="n"/>
    </row>
    <row r="304" hidden="1" outlineLevel="3">
      <c r="A304" s="8" t="n"/>
      <c r="B304" s="14" t="n"/>
      <c r="C304" s="120" t="n"/>
      <c r="D304" s="120" t="n"/>
      <c r="E304" s="120" t="n"/>
      <c r="F304" s="120" t="n"/>
      <c r="G304" s="120" t="n"/>
      <c r="I304" s="125" t="n"/>
      <c r="J304" s="130" t="n"/>
      <c r="K304" s="16" t="n"/>
      <c r="L304" s="17" t="n"/>
      <c r="M304" s="129">
        <f>DADOS_INVOC!$QE$18</f>
        <v/>
      </c>
      <c r="N304" s="120" t="n"/>
      <c r="O304" s="125" t="n"/>
      <c r="P304" s="130" t="n"/>
      <c r="Q304" s="16" t="n"/>
      <c r="R304" s="17" t="n"/>
      <c r="S304" s="129">
        <f>DADOS_INVOC!$QE$19</f>
        <v/>
      </c>
      <c r="T304" s="120" t="n"/>
      <c r="U304" s="125" t="n"/>
      <c r="V304" s="130" t="n"/>
      <c r="W304" s="16" t="n"/>
      <c r="X304" s="17" t="n"/>
      <c r="Y304" s="129">
        <f>DADOS_INVOC!$QE$20</f>
        <v/>
      </c>
      <c r="Z304" s="120" t="n"/>
      <c r="AB304" s="125" t="n"/>
      <c r="AC304" s="130" t="n"/>
      <c r="AD304" s="16" t="n"/>
      <c r="AE304" s="17" t="n"/>
      <c r="AF304" s="129">
        <f>DADOS_INVOC!$QE$96</f>
        <v/>
      </c>
      <c r="AG304" s="120" t="n"/>
      <c r="AH304" s="125" t="n"/>
      <c r="AI304" s="130" t="n"/>
      <c r="AJ304" s="16" t="n"/>
      <c r="AK304" s="17" t="n"/>
      <c r="AL304" s="129">
        <f>DADOS_INVOC!$QE$97</f>
        <v/>
      </c>
      <c r="AM304" s="120" t="n"/>
      <c r="AN304" s="125" t="n"/>
      <c r="AO304" s="130" t="n"/>
      <c r="AP304" s="16" t="n"/>
      <c r="AQ304" s="17" t="n"/>
      <c r="AR304" s="129">
        <f>DADOS_INVOC!$QE$98</f>
        <v/>
      </c>
      <c r="AS304" s="120" t="n"/>
    </row>
    <row r="305" hidden="1" outlineLevel="3">
      <c r="A305" s="8" t="n"/>
      <c r="B305" s="14" t="n"/>
      <c r="C305" s="120" t="n"/>
      <c r="D305" s="120" t="n"/>
      <c r="E305" s="120" t="n"/>
      <c r="F305" s="120" t="n"/>
      <c r="G305" s="120" t="n"/>
      <c r="I305" s="55" t="inlineStr">
        <is>
          <t>CONTA</t>
        </is>
      </c>
      <c r="J305" s="132">
        <f>DADOS_INVOC!$PX$18</f>
        <v/>
      </c>
      <c r="K305" s="16" t="n"/>
      <c r="L305" s="16" t="n"/>
      <c r="M305" s="17" t="n"/>
      <c r="N305" s="120" t="n"/>
      <c r="O305" s="55" t="inlineStr">
        <is>
          <t>CONTA</t>
        </is>
      </c>
      <c r="P305" s="132">
        <f>DADOS_INVOC!$PX$19</f>
        <v/>
      </c>
      <c r="Q305" s="16" t="n"/>
      <c r="R305" s="16" t="n"/>
      <c r="S305" s="17" t="n"/>
      <c r="T305" s="120" t="n"/>
      <c r="U305" s="55" t="inlineStr">
        <is>
          <t>CONTA</t>
        </is>
      </c>
      <c r="V305" s="132">
        <f>DADOS_INVOC!$PX$20</f>
        <v/>
      </c>
      <c r="W305" s="16" t="n"/>
      <c r="X305" s="16" t="n"/>
      <c r="Y305" s="17" t="n"/>
      <c r="Z305" s="120" t="n"/>
      <c r="AB305" s="55" t="inlineStr">
        <is>
          <t>CONTA</t>
        </is>
      </c>
      <c r="AC305" s="132">
        <f>DADOS_INVOC!$PX$96</f>
        <v/>
      </c>
      <c r="AD305" s="16" t="n"/>
      <c r="AE305" s="16" t="n"/>
      <c r="AF305" s="17" t="n"/>
      <c r="AG305" s="120" t="n"/>
      <c r="AH305" s="55" t="inlineStr">
        <is>
          <t>CONTA</t>
        </is>
      </c>
      <c r="AI305" s="132">
        <f>DADOS_INVOC!$PX$97</f>
        <v/>
      </c>
      <c r="AJ305" s="16" t="n"/>
      <c r="AK305" s="16" t="n"/>
      <c r="AL305" s="17" t="n"/>
      <c r="AM305" s="120" t="n"/>
      <c r="AN305" s="55" t="inlineStr">
        <is>
          <t>CONTA</t>
        </is>
      </c>
      <c r="AO305" s="132">
        <f>DADOS_INVOC!$PX$98</f>
        <v/>
      </c>
      <c r="AP305" s="16" t="n"/>
      <c r="AQ305" s="16" t="n"/>
      <c r="AR305" s="17" t="n"/>
      <c r="AS305" s="120" t="n"/>
    </row>
    <row r="306" hidden="1" outlineLevel="3">
      <c r="A306" s="8" t="n"/>
      <c r="B306" s="14" t="n"/>
      <c r="C306" s="120" t="n"/>
      <c r="D306" s="120" t="n"/>
      <c r="E306" s="120" t="n"/>
      <c r="F306" s="120" t="n"/>
      <c r="G306" s="120" t="n"/>
      <c r="I306" s="55" t="inlineStr">
        <is>
          <t>AMPLIAR</t>
        </is>
      </c>
      <c r="J306" s="132">
        <f>DADOS_INVOC!$PY$18</f>
        <v/>
      </c>
      <c r="K306" s="19" t="n"/>
      <c r="L306" s="19" t="n"/>
      <c r="M306" s="20" t="n"/>
      <c r="N306" s="120" t="n"/>
      <c r="O306" s="55" t="inlineStr">
        <is>
          <t>AMPLIAR</t>
        </is>
      </c>
      <c r="P306" s="132">
        <f>DADOS_INVOC!$PY$19</f>
        <v/>
      </c>
      <c r="Q306" s="19" t="n"/>
      <c r="R306" s="19" t="n"/>
      <c r="S306" s="20" t="n"/>
      <c r="T306" s="120" t="n"/>
      <c r="U306" s="55" t="inlineStr">
        <is>
          <t>AMPLIAR</t>
        </is>
      </c>
      <c r="V306" s="132">
        <f>DADOS_INVOC!$PY$20</f>
        <v/>
      </c>
      <c r="W306" s="19" t="n"/>
      <c r="X306" s="19" t="n"/>
      <c r="Y306" s="20" t="n"/>
      <c r="Z306" s="120" t="n"/>
      <c r="AB306" s="55" t="inlineStr">
        <is>
          <t>AMPLIAR</t>
        </is>
      </c>
      <c r="AC306" s="132">
        <f>DADOS_INVOC!$PY$96</f>
        <v/>
      </c>
      <c r="AD306" s="19" t="n"/>
      <c r="AE306" s="19" t="n"/>
      <c r="AF306" s="20" t="n"/>
      <c r="AG306" s="120" t="n"/>
      <c r="AH306" s="55" t="inlineStr">
        <is>
          <t>AMPLIAR</t>
        </is>
      </c>
      <c r="AI306" s="132">
        <f>DADOS_INVOC!$PY$97</f>
        <v/>
      </c>
      <c r="AJ306" s="19" t="n"/>
      <c r="AK306" s="19" t="n"/>
      <c r="AL306" s="20" t="n"/>
      <c r="AM306" s="120" t="n"/>
      <c r="AN306" s="55" t="inlineStr">
        <is>
          <t>AMPLIAR</t>
        </is>
      </c>
      <c r="AO306" s="132">
        <f>DADOS_INVOC!$PY$98</f>
        <v/>
      </c>
      <c r="AP306" s="19" t="n"/>
      <c r="AQ306" s="19" t="n"/>
      <c r="AR306" s="20" t="n"/>
      <c r="AS306" s="120" t="n"/>
    </row>
    <row r="307" hidden="1" outlineLevel="3">
      <c r="A307" s="8" t="n"/>
      <c r="B307" s="14" t="n"/>
      <c r="C307" s="120" t="n"/>
      <c r="D307" s="120" t="n"/>
      <c r="E307" s="120" t="n"/>
      <c r="F307" s="120" t="n"/>
      <c r="G307" s="120" t="n"/>
      <c r="I307" s="125" t="n"/>
      <c r="J307" s="23" t="n"/>
      <c r="K307" s="24" t="n"/>
      <c r="L307" s="24" t="n"/>
      <c r="M307" s="25" t="n"/>
      <c r="N307" s="120" t="n"/>
      <c r="O307" s="125" t="n"/>
      <c r="P307" s="23" t="n"/>
      <c r="Q307" s="24" t="n"/>
      <c r="R307" s="24" t="n"/>
      <c r="S307" s="25" t="n"/>
      <c r="T307" s="120" t="n"/>
      <c r="U307" s="125" t="n"/>
      <c r="V307" s="23" t="n"/>
      <c r="W307" s="24" t="n"/>
      <c r="X307" s="24" t="n"/>
      <c r="Y307" s="25" t="n"/>
      <c r="Z307" s="120" t="n"/>
      <c r="AB307" s="125" t="n"/>
      <c r="AC307" s="23" t="n"/>
      <c r="AD307" s="24" t="n"/>
      <c r="AE307" s="24" t="n"/>
      <c r="AF307" s="25" t="n"/>
      <c r="AG307" s="120" t="n"/>
      <c r="AH307" s="125" t="n"/>
      <c r="AI307" s="23" t="n"/>
      <c r="AJ307" s="24" t="n"/>
      <c r="AK307" s="24" t="n"/>
      <c r="AL307" s="25" t="n"/>
      <c r="AM307" s="120" t="n"/>
      <c r="AN307" s="125" t="n"/>
      <c r="AO307" s="23" t="n"/>
      <c r="AP307" s="24" t="n"/>
      <c r="AQ307" s="24" t="n"/>
      <c r="AR307" s="25" t="n"/>
      <c r="AS307" s="120" t="n"/>
    </row>
    <row r="308" hidden="1" outlineLevel="3">
      <c r="A308" s="8" t="n"/>
      <c r="B308" s="14" t="n"/>
      <c r="C308" s="120" t="n"/>
      <c r="D308" s="120" t="n"/>
      <c r="E308" s="120" t="n"/>
      <c r="F308" s="120" t="n"/>
      <c r="G308" s="120" t="n"/>
      <c r="I308" s="132">
        <f>DADOS_INVOC!$PL$18</f>
        <v/>
      </c>
      <c r="J308" s="19" t="n"/>
      <c r="K308" s="19" t="n"/>
      <c r="L308" s="19" t="n"/>
      <c r="M308" s="20" t="n"/>
      <c r="N308" s="120" t="n"/>
      <c r="O308" s="132">
        <f>DADOS_INVOC!$PL$19</f>
        <v/>
      </c>
      <c r="P308" s="19" t="n"/>
      <c r="Q308" s="19" t="n"/>
      <c r="R308" s="19" t="n"/>
      <c r="S308" s="20" t="n"/>
      <c r="T308" s="120" t="n"/>
      <c r="U308" s="132">
        <f>DADOS_INVOC!$PL$20</f>
        <v/>
      </c>
      <c r="V308" s="19" t="n"/>
      <c r="W308" s="19" t="n"/>
      <c r="X308" s="19" t="n"/>
      <c r="Y308" s="20" t="n"/>
      <c r="Z308" s="120" t="n"/>
      <c r="AB308" s="132">
        <f>DADOS_INVOC!$PL$96</f>
        <v/>
      </c>
      <c r="AC308" s="19" t="n"/>
      <c r="AD308" s="19" t="n"/>
      <c r="AE308" s="19" t="n"/>
      <c r="AF308" s="20" t="n"/>
      <c r="AG308" s="120" t="n"/>
      <c r="AH308" s="132">
        <f>DADOS_INVOC!$PL$97</f>
        <v/>
      </c>
      <c r="AI308" s="19" t="n"/>
      <c r="AJ308" s="19" t="n"/>
      <c r="AK308" s="19" t="n"/>
      <c r="AL308" s="20" t="n"/>
      <c r="AM308" s="120" t="n"/>
      <c r="AN308" s="132">
        <f>DADOS_INVOC!$PL$98</f>
        <v/>
      </c>
      <c r="AO308" s="19" t="n"/>
      <c r="AP308" s="19" t="n"/>
      <c r="AQ308" s="19" t="n"/>
      <c r="AR308" s="20" t="n"/>
      <c r="AS308" s="120" t="n"/>
    </row>
    <row r="309" hidden="1" outlineLevel="3">
      <c r="A309" s="8" t="n"/>
      <c r="B309" s="14" t="n"/>
      <c r="C309" s="120" t="n"/>
      <c r="D309" s="120" t="n"/>
      <c r="E309" s="120" t="n"/>
      <c r="F309" s="120" t="n"/>
      <c r="G309" s="120" t="n"/>
      <c r="I309" s="23" t="n"/>
      <c r="J309" s="24" t="n"/>
      <c r="K309" s="24" t="n"/>
      <c r="L309" s="24" t="n"/>
      <c r="M309" s="25" t="n"/>
      <c r="N309" s="120" t="n"/>
      <c r="O309" s="23" t="n"/>
      <c r="P309" s="24" t="n"/>
      <c r="Q309" s="24" t="n"/>
      <c r="R309" s="24" t="n"/>
      <c r="S309" s="25" t="n"/>
      <c r="T309" s="120" t="n"/>
      <c r="U309" s="23" t="n"/>
      <c r="V309" s="24" t="n"/>
      <c r="W309" s="24" t="n"/>
      <c r="X309" s="24" t="n"/>
      <c r="Y309" s="25" t="n"/>
      <c r="Z309" s="120" t="n"/>
      <c r="AB309" s="23" t="n"/>
      <c r="AC309" s="24" t="n"/>
      <c r="AD309" s="24" t="n"/>
      <c r="AE309" s="24" t="n"/>
      <c r="AF309" s="25" t="n"/>
      <c r="AG309" s="120" t="n"/>
      <c r="AH309" s="23" t="n"/>
      <c r="AI309" s="24" t="n"/>
      <c r="AJ309" s="24" t="n"/>
      <c r="AK309" s="24" t="n"/>
      <c r="AL309" s="25" t="n"/>
      <c r="AM309" s="120" t="n"/>
      <c r="AN309" s="23" t="n"/>
      <c r="AO309" s="24" t="n"/>
      <c r="AP309" s="24" t="n"/>
      <c r="AQ309" s="24" t="n"/>
      <c r="AR309" s="25" t="n"/>
      <c r="AS309" s="120" t="n"/>
    </row>
    <row r="310" hidden="1" outlineLevel="2">
      <c r="A310" s="8" t="n"/>
      <c r="B310" s="14" t="n"/>
      <c r="C310" s="120" t="n"/>
      <c r="D310" s="120" t="n"/>
      <c r="E310" s="120" t="n"/>
      <c r="F310" s="120" t="n"/>
      <c r="G310" s="120" t="n"/>
      <c r="I310" s="120" t="n"/>
      <c r="J310" s="120" t="n"/>
      <c r="K310" s="120" t="n"/>
      <c r="L310" s="120" t="n"/>
      <c r="M310" s="120" t="n"/>
      <c r="N310" s="120" t="n"/>
      <c r="O310" s="120" t="n"/>
      <c r="P310" s="120" t="n"/>
      <c r="Q310" s="120" t="n"/>
      <c r="R310" s="120" t="n"/>
      <c r="S310" s="120" t="n"/>
      <c r="T310" s="120" t="n"/>
      <c r="U310" s="120" t="n"/>
      <c r="V310" s="120" t="n"/>
      <c r="W310" s="120" t="n"/>
      <c r="X310" s="120" t="n"/>
      <c r="Y310" s="120" t="n"/>
      <c r="Z310" s="120" t="n"/>
      <c r="AB310" s="120" t="n"/>
      <c r="AC310" s="120" t="n"/>
      <c r="AD310" s="120" t="n"/>
      <c r="AE310" s="120" t="n"/>
      <c r="AF310" s="120" t="n"/>
      <c r="AG310" s="120" t="n"/>
      <c r="AH310" s="120" t="n"/>
      <c r="AI310" s="120" t="n"/>
      <c r="AJ310" s="120" t="n"/>
      <c r="AK310" s="120" t="n"/>
      <c r="AL310" s="120" t="n"/>
      <c r="AM310" s="120" t="n"/>
      <c r="AN310" s="120" t="n"/>
      <c r="AO310" s="120" t="n"/>
      <c r="AP310" s="120" t="n"/>
      <c r="AQ310" s="120" t="n"/>
      <c r="AR310" s="120" t="n"/>
      <c r="AS310" s="120" t="n"/>
    </row>
    <row r="311" hidden="1" outlineLevel="2">
      <c r="A311" s="8" t="n"/>
      <c r="B311" s="14" t="n"/>
      <c r="C311" s="120" t="n"/>
      <c r="D311" s="120" t="n"/>
      <c r="E311" s="120" t="n"/>
      <c r="F311" s="120" t="n"/>
      <c r="G311" s="120" t="n"/>
      <c r="I311" s="55">
        <f>DADOS_INVOC!$PM$21</f>
        <v/>
      </c>
      <c r="J311" s="16" t="n"/>
      <c r="K311" s="16" t="n"/>
      <c r="L311" s="16" t="n"/>
      <c r="M311" s="17" t="n"/>
      <c r="N311" s="120" t="n"/>
      <c r="O311" s="55">
        <f>DADOS_INVOC!$PM$22</f>
        <v/>
      </c>
      <c r="P311" s="16" t="n"/>
      <c r="Q311" s="16" t="n"/>
      <c r="R311" s="16" t="n"/>
      <c r="S311" s="17" t="n"/>
      <c r="T311" s="120" t="n"/>
      <c r="U311" s="55">
        <f>DADOS_INVOC!$PM$23</f>
        <v/>
      </c>
      <c r="V311" s="16" t="n"/>
      <c r="W311" s="16" t="n"/>
      <c r="X311" s="16" t="n"/>
      <c r="Y311" s="17" t="n"/>
      <c r="Z311" s="120" t="n"/>
      <c r="AB311" s="55">
        <f>DADOS_INVOC!$PM$99</f>
        <v/>
      </c>
      <c r="AC311" s="16" t="n"/>
      <c r="AD311" s="16" t="n"/>
      <c r="AE311" s="16" t="n"/>
      <c r="AF311" s="17" t="n"/>
      <c r="AG311" s="120" t="n"/>
      <c r="AH311" s="55">
        <f>DADOS_INVOC!$PM$100</f>
        <v/>
      </c>
      <c r="AI311" s="16" t="n"/>
      <c r="AJ311" s="16" t="n"/>
      <c r="AK311" s="16" t="n"/>
      <c r="AL311" s="17" t="n"/>
      <c r="AM311" s="120" t="n"/>
      <c r="AN311" s="55">
        <f>DADOS_INVOC!$PM$101</f>
        <v/>
      </c>
      <c r="AO311" s="16" t="n"/>
      <c r="AP311" s="16" t="n"/>
      <c r="AQ311" s="16" t="n"/>
      <c r="AR311" s="17" t="n"/>
      <c r="AS311" s="120" t="n"/>
    </row>
    <row r="312" hidden="1" outlineLevel="2">
      <c r="A312" s="8" t="n"/>
      <c r="B312" s="14" t="n"/>
      <c r="C312" s="120" t="n"/>
      <c r="D312" s="120" t="n"/>
      <c r="E312" s="120" t="n"/>
      <c r="F312" s="120" t="n"/>
      <c r="G312" s="120" t="n"/>
      <c r="I312" s="127" t="n">
        <v>1</v>
      </c>
      <c r="J312" s="115" t="n"/>
      <c r="K312" s="16" t="n"/>
      <c r="L312" s="17" t="n"/>
      <c r="M312" s="128">
        <f>DADOS_INVOC!$PK$21</f>
        <v/>
      </c>
      <c r="N312" s="120" t="n"/>
      <c r="O312" s="127" t="n">
        <v>1</v>
      </c>
      <c r="P312" s="115" t="n"/>
      <c r="Q312" s="16" t="n"/>
      <c r="R312" s="17" t="n"/>
      <c r="S312" s="128">
        <f>DADOS_INVOC!$PK$22</f>
        <v/>
      </c>
      <c r="T312" s="120" t="n"/>
      <c r="U312" s="127" t="n">
        <v>1</v>
      </c>
      <c r="V312" s="115" t="n"/>
      <c r="W312" s="16" t="n"/>
      <c r="X312" s="17" t="n"/>
      <c r="Y312" s="128">
        <f>DADOS_INVOC!$PK$23</f>
        <v/>
      </c>
      <c r="Z312" s="120" t="n"/>
      <c r="AB312" s="127" t="n">
        <v>1</v>
      </c>
      <c r="AC312" s="115" t="n"/>
      <c r="AD312" s="16" t="n"/>
      <c r="AE312" s="17" t="n"/>
      <c r="AF312" s="128">
        <f>DADOS_INVOC!$PK$99</f>
        <v/>
      </c>
      <c r="AG312" s="120" t="n"/>
      <c r="AH312" s="127" t="n">
        <v>1</v>
      </c>
      <c r="AI312" s="115" t="n"/>
      <c r="AJ312" s="16" t="n"/>
      <c r="AK312" s="17" t="n"/>
      <c r="AL312" s="128">
        <f>DADOS_INVOC!$PK$100</f>
        <v/>
      </c>
      <c r="AM312" s="120" t="n"/>
      <c r="AN312" s="127" t="n">
        <v>1</v>
      </c>
      <c r="AO312" s="115" t="n"/>
      <c r="AP312" s="16" t="n"/>
      <c r="AQ312" s="17" t="n"/>
      <c r="AR312" s="128">
        <f>DADOS_INVOC!$PK$101</f>
        <v/>
      </c>
      <c r="AS312" s="120" t="n"/>
    </row>
    <row r="313" hidden="1" outlineLevel="3">
      <c r="A313" s="8" t="n"/>
      <c r="B313" s="14" t="n"/>
      <c r="C313" s="120" t="n"/>
      <c r="D313" s="120" t="n"/>
      <c r="E313" s="120" t="n"/>
      <c r="F313" s="120" t="n"/>
      <c r="G313" s="120" t="n"/>
      <c r="I313" s="55" t="inlineStr">
        <is>
          <t>COMO É</t>
        </is>
      </c>
      <c r="J313" s="16" t="n"/>
      <c r="K313" s="16" t="n"/>
      <c r="L313" s="16" t="n"/>
      <c r="M313" s="17" t="n"/>
      <c r="N313" s="120" t="n"/>
      <c r="O313" s="55" t="inlineStr">
        <is>
          <t>COMO É</t>
        </is>
      </c>
      <c r="P313" s="16" t="n"/>
      <c r="Q313" s="16" t="n"/>
      <c r="R313" s="16" t="n"/>
      <c r="S313" s="17" t="n"/>
      <c r="T313" s="120" t="n"/>
      <c r="U313" s="55" t="inlineStr">
        <is>
          <t>COMO É</t>
        </is>
      </c>
      <c r="V313" s="16" t="n"/>
      <c r="W313" s="16" t="n"/>
      <c r="X313" s="16" t="n"/>
      <c r="Y313" s="17" t="n"/>
      <c r="Z313" s="120" t="n"/>
      <c r="AB313" s="55" t="inlineStr">
        <is>
          <t>COMO É</t>
        </is>
      </c>
      <c r="AC313" s="16" t="n"/>
      <c r="AD313" s="16" t="n"/>
      <c r="AE313" s="16" t="n"/>
      <c r="AF313" s="17" t="n"/>
      <c r="AG313" s="120" t="n"/>
      <c r="AH313" s="55" t="inlineStr">
        <is>
          <t>COMO É</t>
        </is>
      </c>
      <c r="AI313" s="16" t="n"/>
      <c r="AJ313" s="16" t="n"/>
      <c r="AK313" s="16" t="n"/>
      <c r="AL313" s="17" t="n"/>
      <c r="AM313" s="120" t="n"/>
      <c r="AN313" s="55" t="inlineStr">
        <is>
          <t>COMO É</t>
        </is>
      </c>
      <c r="AO313" s="16" t="n"/>
      <c r="AP313" s="16" t="n"/>
      <c r="AQ313" s="16" t="n"/>
      <c r="AR313" s="17" t="n"/>
      <c r="AS313" s="120" t="n"/>
    </row>
    <row r="314" hidden="1" outlineLevel="3">
      <c r="A314" s="8" t="n"/>
      <c r="B314" s="14" t="n"/>
      <c r="C314" s="120" t="n"/>
      <c r="D314" s="120" t="n"/>
      <c r="E314" s="120" t="n"/>
      <c r="F314" s="120" t="n"/>
      <c r="G314" s="120" t="n"/>
      <c r="I314" s="116" t="n"/>
      <c r="J314" s="19" t="n"/>
      <c r="K314" s="19" t="n"/>
      <c r="L314" s="19" t="n"/>
      <c r="M314" s="20" t="n"/>
      <c r="N314" s="120" t="n"/>
      <c r="O314" s="116" t="n"/>
      <c r="P314" s="19" t="n"/>
      <c r="Q314" s="19" t="n"/>
      <c r="R314" s="19" t="n"/>
      <c r="S314" s="20" t="n"/>
      <c r="T314" s="120" t="n"/>
      <c r="U314" s="116" t="n"/>
      <c r="V314" s="19" t="n"/>
      <c r="W314" s="19" t="n"/>
      <c r="X314" s="19" t="n"/>
      <c r="Y314" s="20" t="n"/>
      <c r="Z314" s="120" t="n"/>
      <c r="AB314" s="116" t="n"/>
      <c r="AC314" s="19" t="n"/>
      <c r="AD314" s="19" t="n"/>
      <c r="AE314" s="19" t="n"/>
      <c r="AF314" s="20" t="n"/>
      <c r="AG314" s="120" t="n"/>
      <c r="AH314" s="116" t="n"/>
      <c r="AI314" s="19" t="n"/>
      <c r="AJ314" s="19" t="n"/>
      <c r="AK314" s="19" t="n"/>
      <c r="AL314" s="20" t="n"/>
      <c r="AM314" s="120" t="n"/>
      <c r="AN314" s="116" t="n"/>
      <c r="AO314" s="19" t="n"/>
      <c r="AP314" s="19" t="n"/>
      <c r="AQ314" s="19" t="n"/>
      <c r="AR314" s="20" t="n"/>
      <c r="AS314" s="120" t="n"/>
    </row>
    <row r="315" hidden="1" outlineLevel="3">
      <c r="A315" s="8" t="n"/>
      <c r="B315" s="14" t="n"/>
      <c r="C315" s="120" t="n"/>
      <c r="D315" s="120" t="n"/>
      <c r="E315" s="120" t="n"/>
      <c r="F315" s="120" t="n"/>
      <c r="G315" s="120" t="n"/>
      <c r="I315" s="21" t="n"/>
      <c r="M315" s="22" t="n"/>
      <c r="N315" s="120" t="n"/>
      <c r="O315" s="21" t="n"/>
      <c r="S315" s="22" t="n"/>
      <c r="T315" s="120" t="n"/>
      <c r="U315" s="21" t="n"/>
      <c r="Y315" s="22" t="n"/>
      <c r="Z315" s="120" t="n"/>
      <c r="AB315" s="21" t="n"/>
      <c r="AF315" s="22" t="n"/>
      <c r="AG315" s="120" t="n"/>
      <c r="AH315" s="21" t="n"/>
      <c r="AL315" s="22" t="n"/>
      <c r="AM315" s="120" t="n"/>
      <c r="AN315" s="21" t="n"/>
      <c r="AR315" s="22" t="n"/>
      <c r="AS315" s="120" t="n"/>
    </row>
    <row r="316" hidden="1" outlineLevel="3">
      <c r="A316" s="8" t="n"/>
      <c r="B316" s="14" t="n"/>
      <c r="C316" s="120" t="n"/>
      <c r="D316" s="120" t="n"/>
      <c r="E316" s="120" t="n"/>
      <c r="F316" s="120" t="n"/>
      <c r="G316" s="120" t="n"/>
      <c r="I316" s="23" t="n"/>
      <c r="J316" s="24" t="n"/>
      <c r="K316" s="24" t="n"/>
      <c r="L316" s="24" t="n"/>
      <c r="M316" s="25" t="n"/>
      <c r="N316" s="120" t="n"/>
      <c r="O316" s="23" t="n"/>
      <c r="P316" s="24" t="n"/>
      <c r="Q316" s="24" t="n"/>
      <c r="R316" s="24" t="n"/>
      <c r="S316" s="25" t="n"/>
      <c r="T316" s="120" t="n"/>
      <c r="U316" s="23" t="n"/>
      <c r="V316" s="24" t="n"/>
      <c r="W316" s="24" t="n"/>
      <c r="X316" s="24" t="n"/>
      <c r="Y316" s="25" t="n"/>
      <c r="Z316" s="120" t="n"/>
      <c r="AB316" s="23" t="n"/>
      <c r="AC316" s="24" t="n"/>
      <c r="AD316" s="24" t="n"/>
      <c r="AE316" s="24" t="n"/>
      <c r="AF316" s="25" t="n"/>
      <c r="AG316" s="120" t="n"/>
      <c r="AH316" s="23" t="n"/>
      <c r="AI316" s="24" t="n"/>
      <c r="AJ316" s="24" t="n"/>
      <c r="AK316" s="24" t="n"/>
      <c r="AL316" s="25" t="n"/>
      <c r="AM316" s="120" t="n"/>
      <c r="AN316" s="23" t="n"/>
      <c r="AO316" s="24" t="n"/>
      <c r="AP316" s="24" t="n"/>
      <c r="AQ316" s="24" t="n"/>
      <c r="AR316" s="25" t="n"/>
      <c r="AS316" s="120" t="n"/>
    </row>
    <row r="317" hidden="1" outlineLevel="2">
      <c r="A317" s="8" t="n"/>
      <c r="B317" s="14" t="n"/>
      <c r="C317" s="120" t="n"/>
      <c r="D317" s="120" t="n"/>
      <c r="E317" s="120" t="n"/>
      <c r="F317" s="120" t="n"/>
      <c r="G317" s="120" t="n"/>
      <c r="I317" s="124" t="inlineStr">
        <is>
          <t>Projétil</t>
        </is>
      </c>
      <c r="J317" s="17" t="n"/>
      <c r="K317" s="68">
        <f>DADOS_INVOC!$PR$21</f>
        <v/>
      </c>
      <c r="L317" s="17" t="n"/>
      <c r="M317" s="68">
        <f>DADOS_INVOC!$PN$21</f>
        <v/>
      </c>
      <c r="N317" s="120" t="n"/>
      <c r="O317" s="124" t="inlineStr">
        <is>
          <t>Projétil</t>
        </is>
      </c>
      <c r="P317" s="17" t="n"/>
      <c r="Q317" s="68">
        <f>DADOS_INVOC!$PR$22</f>
        <v/>
      </c>
      <c r="R317" s="17" t="n"/>
      <c r="S317" s="68">
        <f>DADOS_INVOC!$PN$22</f>
        <v/>
      </c>
      <c r="T317" s="120" t="n"/>
      <c r="U317" s="124" t="inlineStr">
        <is>
          <t>Projétil</t>
        </is>
      </c>
      <c r="V317" s="17" t="n"/>
      <c r="W317" s="68">
        <f>DADOS_INVOC!$PR$23</f>
        <v/>
      </c>
      <c r="X317" s="17" t="n"/>
      <c r="Y317" s="68">
        <f>DADOS_INVOC!$PN$23</f>
        <v/>
      </c>
      <c r="Z317" s="120" t="n"/>
      <c r="AB317" s="124" t="inlineStr">
        <is>
          <t>Projétil</t>
        </is>
      </c>
      <c r="AC317" s="17" t="n"/>
      <c r="AD317" s="68">
        <f>DADOS_INVOC!$PR$99</f>
        <v/>
      </c>
      <c r="AE317" s="17" t="n"/>
      <c r="AF317" s="68">
        <f>DADOS_INVOC!$PN$99</f>
        <v/>
      </c>
      <c r="AG317" s="120" t="n"/>
      <c r="AH317" s="124" t="inlineStr">
        <is>
          <t>Projétil</t>
        </is>
      </c>
      <c r="AI317" s="17" t="n"/>
      <c r="AJ317" s="68">
        <f>DADOS_INVOC!$PR$100</f>
        <v/>
      </c>
      <c r="AK317" s="17" t="n"/>
      <c r="AL317" s="68">
        <f>DADOS_INVOC!$PN$100</f>
        <v/>
      </c>
      <c r="AM317" s="120" t="n"/>
      <c r="AN317" s="124" t="inlineStr">
        <is>
          <t>Projétil</t>
        </is>
      </c>
      <c r="AO317" s="17" t="n"/>
      <c r="AP317" s="68">
        <f>DADOS_INVOC!$PR$101</f>
        <v/>
      </c>
      <c r="AQ317" s="17" t="n"/>
      <c r="AR317" s="68">
        <f>DADOS_INVOC!$PN$101</f>
        <v/>
      </c>
      <c r="AS317" s="120" t="n"/>
    </row>
    <row r="318" hidden="1" outlineLevel="2">
      <c r="A318" s="8" t="n"/>
      <c r="B318" s="14" t="n"/>
      <c r="C318" s="120" t="n"/>
      <c r="D318" s="120" t="n"/>
      <c r="E318" s="120" t="n"/>
      <c r="F318" s="120" t="n"/>
      <c r="G318" s="120" t="n"/>
      <c r="I318" s="124" t="n"/>
      <c r="J318" s="17" t="n"/>
      <c r="K318" s="124" t="n"/>
      <c r="L318" s="16" t="n"/>
      <c r="M318" s="17" t="n"/>
      <c r="N318" s="120" t="n"/>
      <c r="O318" s="124" t="n"/>
      <c r="P318" s="17" t="n"/>
      <c r="Q318" s="124" t="n"/>
      <c r="R318" s="16" t="n"/>
      <c r="S318" s="17" t="n"/>
      <c r="T318" s="120" t="n"/>
      <c r="U318" s="124" t="n"/>
      <c r="V318" s="17" t="n"/>
      <c r="W318" s="124" t="n"/>
      <c r="X318" s="16" t="n"/>
      <c r="Y318" s="17" t="n"/>
      <c r="Z318" s="120" t="n"/>
      <c r="AB318" s="124" t="n"/>
      <c r="AC318" s="17" t="n"/>
      <c r="AD318" s="124" t="n"/>
      <c r="AE318" s="16" t="n"/>
      <c r="AF318" s="17" t="n"/>
      <c r="AG318" s="120" t="n"/>
      <c r="AH318" s="124" t="n"/>
      <c r="AI318" s="17" t="n"/>
      <c r="AJ318" s="124" t="n"/>
      <c r="AK318" s="16" t="n"/>
      <c r="AL318" s="17" t="n"/>
      <c r="AM318" s="120" t="n"/>
      <c r="AN318" s="124" t="n"/>
      <c r="AO318" s="17" t="n"/>
      <c r="AP318" s="124" t="n"/>
      <c r="AQ318" s="16" t="n"/>
      <c r="AR318" s="17" t="n"/>
      <c r="AS318" s="120" t="n"/>
    </row>
    <row r="319" hidden="1" outlineLevel="2">
      <c r="A319" s="8" t="n"/>
      <c r="B319" s="14" t="n"/>
      <c r="C319" s="120" t="n"/>
      <c r="D319" s="120" t="n"/>
      <c r="E319" s="120" t="n"/>
      <c r="F319" s="120" t="n"/>
      <c r="G319" s="120" t="n"/>
      <c r="I319" s="124">
        <f>DADOS_INVOC!$PO$21</f>
        <v/>
      </c>
      <c r="J319" s="17" t="n"/>
      <c r="K319" s="124">
        <f>DADOS_INVOC!$PQ$21</f>
        <v/>
      </c>
      <c r="L319" s="16" t="n"/>
      <c r="M319" s="17" t="n"/>
      <c r="N319" s="120" t="n"/>
      <c r="O319" s="124">
        <f>DADOS_INVOC!$PO$22</f>
        <v/>
      </c>
      <c r="P319" s="17" t="n"/>
      <c r="Q319" s="124">
        <f>DADOS_INVOC!$PQ$22</f>
        <v/>
      </c>
      <c r="R319" s="16" t="n"/>
      <c r="S319" s="17" t="n"/>
      <c r="T319" s="120" t="n"/>
      <c r="U319" s="124">
        <f>DADOS_INVOC!$PO$23</f>
        <v/>
      </c>
      <c r="V319" s="17" t="n"/>
      <c r="W319" s="124">
        <f>DADOS_INVOC!$PQ$23</f>
        <v/>
      </c>
      <c r="X319" s="16" t="n"/>
      <c r="Y319" s="17" t="n"/>
      <c r="Z319" s="120" t="n"/>
      <c r="AB319" s="124">
        <f>DADOS_INVOC!$PO$99</f>
        <v/>
      </c>
      <c r="AC319" s="17" t="n"/>
      <c r="AD319" s="124">
        <f>DADOS_INVOC!$PQ$99</f>
        <v/>
      </c>
      <c r="AE319" s="16" t="n"/>
      <c r="AF319" s="17" t="n"/>
      <c r="AG319" s="120" t="n"/>
      <c r="AH319" s="124">
        <f>DADOS_INVOC!$PO$100</f>
        <v/>
      </c>
      <c r="AI319" s="17" t="n"/>
      <c r="AJ319" s="124">
        <f>DADOS_INVOC!$PQ$100</f>
        <v/>
      </c>
      <c r="AK319" s="16" t="n"/>
      <c r="AL319" s="17" t="n"/>
      <c r="AM319" s="120" t="n"/>
      <c r="AN319" s="124">
        <f>DADOS_INVOC!$PO$101</f>
        <v/>
      </c>
      <c r="AO319" s="17" t="n"/>
      <c r="AP319" s="124">
        <f>DADOS_INVOC!$PQ$101</f>
        <v/>
      </c>
      <c r="AQ319" s="16" t="n"/>
      <c r="AR319" s="17" t="n"/>
      <c r="AS319" s="120" t="n"/>
    </row>
    <row r="320" hidden="1" outlineLevel="2">
      <c r="A320" s="8" t="n"/>
      <c r="B320" s="14" t="n"/>
      <c r="C320" s="120" t="n"/>
      <c r="D320" s="120" t="n"/>
      <c r="E320" s="120" t="n"/>
      <c r="F320" s="120" t="n"/>
      <c r="G320" s="120" t="n"/>
      <c r="I320" s="129">
        <f>DADOS_INVOC!$PW$21</f>
        <v/>
      </c>
      <c r="J320" s="16" t="n"/>
      <c r="K320" s="16" t="n"/>
      <c r="L320" s="16" t="n"/>
      <c r="M320" s="17" t="n"/>
      <c r="N320" s="120" t="n"/>
      <c r="O320" s="129">
        <f>DADOS_INVOC!$PW$22</f>
        <v/>
      </c>
      <c r="P320" s="16" t="n"/>
      <c r="Q320" s="16" t="n"/>
      <c r="R320" s="16" t="n"/>
      <c r="S320" s="17" t="n"/>
      <c r="T320" s="120" t="n"/>
      <c r="U320" s="129">
        <f>DADOS_INVOC!$PW$23</f>
        <v/>
      </c>
      <c r="V320" s="16" t="n"/>
      <c r="W320" s="16" t="n"/>
      <c r="X320" s="16" t="n"/>
      <c r="Y320" s="17" t="n"/>
      <c r="Z320" s="120" t="n"/>
      <c r="AB320" s="129">
        <f>DADOS_INVOC!$PW$99</f>
        <v/>
      </c>
      <c r="AC320" s="16" t="n"/>
      <c r="AD320" s="16" t="n"/>
      <c r="AE320" s="16" t="n"/>
      <c r="AF320" s="17" t="n"/>
      <c r="AG320" s="120" t="n"/>
      <c r="AH320" s="129">
        <f>DADOS_INVOC!$PW$100</f>
        <v/>
      </c>
      <c r="AI320" s="16" t="n"/>
      <c r="AJ320" s="16" t="n"/>
      <c r="AK320" s="16" t="n"/>
      <c r="AL320" s="17" t="n"/>
      <c r="AM320" s="120" t="n"/>
      <c r="AN320" s="129">
        <f>DADOS_INVOC!$PW$101</f>
        <v/>
      </c>
      <c r="AO320" s="16" t="n"/>
      <c r="AP320" s="16" t="n"/>
      <c r="AQ320" s="16" t="n"/>
      <c r="AR320" s="17" t="n"/>
      <c r="AS320" s="120" t="n"/>
    </row>
    <row r="321" hidden="1" outlineLevel="3">
      <c r="A321" s="8" t="n"/>
      <c r="B321" s="14" t="n"/>
      <c r="C321" s="120" t="n"/>
      <c r="D321" s="120" t="n"/>
      <c r="E321" s="120" t="n"/>
      <c r="F321" s="120" t="n"/>
      <c r="G321" s="120" t="n"/>
      <c r="I321" s="55" t="inlineStr">
        <is>
          <t>MELHORIAS</t>
        </is>
      </c>
      <c r="J321" s="130" t="n"/>
      <c r="K321" s="16" t="n"/>
      <c r="L321" s="17" t="n"/>
      <c r="M321" s="129">
        <f>DADOS_INVOC!$PZ$21</f>
        <v/>
      </c>
      <c r="N321" s="120" t="n"/>
      <c r="O321" s="55" t="inlineStr">
        <is>
          <t>MELHORIAS</t>
        </is>
      </c>
      <c r="P321" s="130" t="n"/>
      <c r="Q321" s="16" t="n"/>
      <c r="R321" s="17" t="n"/>
      <c r="S321" s="129">
        <f>DADOS_INVOC!$PZ$22</f>
        <v/>
      </c>
      <c r="T321" s="120" t="n"/>
      <c r="U321" s="55" t="inlineStr">
        <is>
          <t>MELHORIAS</t>
        </is>
      </c>
      <c r="V321" s="130" t="n"/>
      <c r="W321" s="16" t="n"/>
      <c r="X321" s="17" t="n"/>
      <c r="Y321" s="129">
        <f>DADOS_INVOC!$PZ$23</f>
        <v/>
      </c>
      <c r="Z321" s="120" t="n"/>
      <c r="AB321" s="55" t="inlineStr">
        <is>
          <t>MELHORIAS</t>
        </is>
      </c>
      <c r="AC321" s="130" t="n"/>
      <c r="AD321" s="16" t="n"/>
      <c r="AE321" s="17" t="n"/>
      <c r="AF321" s="129">
        <f>DADOS_INVOC!$PZ$99</f>
        <v/>
      </c>
      <c r="AG321" s="120" t="n"/>
      <c r="AH321" s="55" t="inlineStr">
        <is>
          <t>MELHORIAS</t>
        </is>
      </c>
      <c r="AI321" s="130" t="n"/>
      <c r="AJ321" s="16" t="n"/>
      <c r="AK321" s="17" t="n"/>
      <c r="AL321" s="129">
        <f>DADOS_INVOC!$PZ$100</f>
        <v/>
      </c>
      <c r="AM321" s="120" t="n"/>
      <c r="AN321" s="55" t="inlineStr">
        <is>
          <t>MELHORIAS</t>
        </is>
      </c>
      <c r="AO321" s="130" t="n"/>
      <c r="AP321" s="16" t="n"/>
      <c r="AQ321" s="17" t="n"/>
      <c r="AR321" s="129">
        <f>DADOS_INVOC!$PZ$101</f>
        <v/>
      </c>
      <c r="AS321" s="120" t="n"/>
    </row>
    <row r="322" hidden="1" outlineLevel="3">
      <c r="A322" s="8" t="n"/>
      <c r="B322" s="14" t="n"/>
      <c r="C322" s="120" t="n"/>
      <c r="D322" s="120" t="n"/>
      <c r="E322" s="120" t="n"/>
      <c r="F322" s="120" t="n"/>
      <c r="G322" s="120" t="n"/>
      <c r="I322" s="131" t="n"/>
      <c r="J322" s="130" t="n"/>
      <c r="K322" s="16" t="n"/>
      <c r="L322" s="17" t="n"/>
      <c r="M322" s="129">
        <f>DADOS_INVOC!$QA$21</f>
        <v/>
      </c>
      <c r="N322" s="120" t="n"/>
      <c r="O322" s="131" t="n"/>
      <c r="P322" s="130" t="n"/>
      <c r="Q322" s="16" t="n"/>
      <c r="R322" s="17" t="n"/>
      <c r="S322" s="129">
        <f>DADOS_INVOC!$QA$22</f>
        <v/>
      </c>
      <c r="T322" s="120" t="n"/>
      <c r="U322" s="131" t="n"/>
      <c r="V322" s="130" t="n"/>
      <c r="W322" s="16" t="n"/>
      <c r="X322" s="17" t="n"/>
      <c r="Y322" s="129">
        <f>DADOS_INVOC!$QA$23</f>
        <v/>
      </c>
      <c r="Z322" s="120" t="n"/>
      <c r="AB322" s="131" t="n"/>
      <c r="AC322" s="130" t="n"/>
      <c r="AD322" s="16" t="n"/>
      <c r="AE322" s="17" t="n"/>
      <c r="AF322" s="129">
        <f>DADOS_INVOC!$QA$99</f>
        <v/>
      </c>
      <c r="AG322" s="120" t="n"/>
      <c r="AH322" s="131" t="n"/>
      <c r="AI322" s="130" t="n"/>
      <c r="AJ322" s="16" t="n"/>
      <c r="AK322" s="17" t="n"/>
      <c r="AL322" s="129">
        <f>DADOS_INVOC!$QA$100</f>
        <v/>
      </c>
      <c r="AM322" s="120" t="n"/>
      <c r="AN322" s="131" t="n"/>
      <c r="AO322" s="130" t="n"/>
      <c r="AP322" s="16" t="n"/>
      <c r="AQ322" s="17" t="n"/>
      <c r="AR322" s="129">
        <f>DADOS_INVOC!$QA$101</f>
        <v/>
      </c>
      <c r="AS322" s="120" t="n"/>
    </row>
    <row r="323" hidden="1" outlineLevel="3">
      <c r="A323" s="8" t="n"/>
      <c r="B323" s="14" t="n"/>
      <c r="C323" s="120" t="n"/>
      <c r="D323" s="120" t="n"/>
      <c r="E323" s="120" t="n"/>
      <c r="F323" s="120" t="n"/>
      <c r="G323" s="120" t="n"/>
      <c r="I323" s="131" t="n"/>
      <c r="J323" s="130" t="n"/>
      <c r="K323" s="16" t="n"/>
      <c r="L323" s="17" t="n"/>
      <c r="M323" s="129">
        <f>DADOS_INVOC!$QB$21</f>
        <v/>
      </c>
      <c r="N323" s="120" t="n"/>
      <c r="O323" s="131" t="n"/>
      <c r="P323" s="130" t="n"/>
      <c r="Q323" s="16" t="n"/>
      <c r="R323" s="17" t="n"/>
      <c r="S323" s="129">
        <f>DADOS_INVOC!$QB$22</f>
        <v/>
      </c>
      <c r="T323" s="120" t="n"/>
      <c r="U323" s="131" t="n"/>
      <c r="V323" s="130" t="n"/>
      <c r="W323" s="16" t="n"/>
      <c r="X323" s="17" t="n"/>
      <c r="Y323" s="129">
        <f>DADOS_INVOC!$QB$23</f>
        <v/>
      </c>
      <c r="Z323" s="120" t="n"/>
      <c r="AB323" s="131" t="n"/>
      <c r="AC323" s="130" t="n"/>
      <c r="AD323" s="16" t="n"/>
      <c r="AE323" s="17" t="n"/>
      <c r="AF323" s="129">
        <f>DADOS_INVOC!$QB$99</f>
        <v/>
      </c>
      <c r="AG323" s="120" t="n"/>
      <c r="AH323" s="131" t="n"/>
      <c r="AI323" s="130" t="n"/>
      <c r="AJ323" s="16" t="n"/>
      <c r="AK323" s="17" t="n"/>
      <c r="AL323" s="129">
        <f>DADOS_INVOC!$QB$100</f>
        <v/>
      </c>
      <c r="AM323" s="120" t="n"/>
      <c r="AN323" s="131" t="n"/>
      <c r="AO323" s="130" t="n"/>
      <c r="AP323" s="16" t="n"/>
      <c r="AQ323" s="17" t="n"/>
      <c r="AR323" s="129">
        <f>DADOS_INVOC!$QB$101</f>
        <v/>
      </c>
      <c r="AS323" s="120" t="n"/>
    </row>
    <row r="324" hidden="1" outlineLevel="3">
      <c r="A324" s="8" t="n"/>
      <c r="B324" s="14" t="n"/>
      <c r="C324" s="120" t="n"/>
      <c r="D324" s="120" t="n"/>
      <c r="E324" s="120" t="n"/>
      <c r="F324" s="120" t="n"/>
      <c r="G324" s="120" t="n"/>
      <c r="I324" s="125" t="n"/>
      <c r="J324" s="130" t="n"/>
      <c r="K324" s="16" t="n"/>
      <c r="L324" s="17" t="n"/>
      <c r="M324" s="129">
        <f>DADOS_INVOC!$QC$21</f>
        <v/>
      </c>
      <c r="N324" s="120" t="n"/>
      <c r="O324" s="125" t="n"/>
      <c r="P324" s="130" t="n"/>
      <c r="Q324" s="16" t="n"/>
      <c r="R324" s="17" t="n"/>
      <c r="S324" s="129">
        <f>DADOS_INVOC!$QC$22</f>
        <v/>
      </c>
      <c r="T324" s="120" t="n"/>
      <c r="U324" s="125" t="n"/>
      <c r="V324" s="130" t="n"/>
      <c r="W324" s="16" t="n"/>
      <c r="X324" s="17" t="n"/>
      <c r="Y324" s="129">
        <f>DADOS_INVOC!$QC$23</f>
        <v/>
      </c>
      <c r="Z324" s="120" t="n"/>
      <c r="AB324" s="125" t="n"/>
      <c r="AC324" s="130" t="n"/>
      <c r="AD324" s="16" t="n"/>
      <c r="AE324" s="17" t="n"/>
      <c r="AF324" s="129">
        <f>DADOS_INVOC!$QC$99</f>
        <v/>
      </c>
      <c r="AG324" s="120" t="n"/>
      <c r="AH324" s="125" t="n"/>
      <c r="AI324" s="130" t="n"/>
      <c r="AJ324" s="16" t="n"/>
      <c r="AK324" s="17" t="n"/>
      <c r="AL324" s="129">
        <f>DADOS_INVOC!$QC$100</f>
        <v/>
      </c>
      <c r="AM324" s="120" t="n"/>
      <c r="AN324" s="125" t="n"/>
      <c r="AO324" s="130" t="n"/>
      <c r="AP324" s="16" t="n"/>
      <c r="AQ324" s="17" t="n"/>
      <c r="AR324" s="129">
        <f>DADOS_INVOC!$QC$101</f>
        <v/>
      </c>
      <c r="AS324" s="120" t="n"/>
    </row>
    <row r="325" hidden="1" outlineLevel="3">
      <c r="A325" s="8" t="n"/>
      <c r="B325" s="14" t="n"/>
      <c r="C325" s="120" t="n"/>
      <c r="D325" s="120" t="n"/>
      <c r="E325" s="120" t="n"/>
      <c r="F325" s="120" t="n"/>
      <c r="G325" s="120" t="n"/>
      <c r="I325" s="55" t="inlineStr">
        <is>
          <t>RESTRIÇÕES</t>
        </is>
      </c>
      <c r="J325" s="130" t="n"/>
      <c r="K325" s="16" t="n"/>
      <c r="L325" s="17" t="n"/>
      <c r="M325" s="129">
        <f>DADOS_INVOC!$QD$21</f>
        <v/>
      </c>
      <c r="N325" s="120" t="n"/>
      <c r="O325" s="55" t="inlineStr">
        <is>
          <t>RESTRIÇÕES</t>
        </is>
      </c>
      <c r="P325" s="130" t="n"/>
      <c r="Q325" s="16" t="n"/>
      <c r="R325" s="17" t="n"/>
      <c r="S325" s="129">
        <f>DADOS_INVOC!$QD$22</f>
        <v/>
      </c>
      <c r="T325" s="120" t="n"/>
      <c r="U325" s="55" t="inlineStr">
        <is>
          <t>RESTRIÇÕES</t>
        </is>
      </c>
      <c r="V325" s="130" t="n"/>
      <c r="W325" s="16" t="n"/>
      <c r="X325" s="17" t="n"/>
      <c r="Y325" s="129">
        <f>DADOS_INVOC!$QD$23</f>
        <v/>
      </c>
      <c r="Z325" s="120" t="n"/>
      <c r="AB325" s="55" t="inlineStr">
        <is>
          <t>RESTRIÇÕES</t>
        </is>
      </c>
      <c r="AC325" s="130" t="n"/>
      <c r="AD325" s="16" t="n"/>
      <c r="AE325" s="17" t="n"/>
      <c r="AF325" s="129">
        <f>DADOS_INVOC!$QD$99</f>
        <v/>
      </c>
      <c r="AG325" s="120" t="n"/>
      <c r="AH325" s="55" t="inlineStr">
        <is>
          <t>RESTRIÇÕES</t>
        </is>
      </c>
      <c r="AI325" s="130" t="n"/>
      <c r="AJ325" s="16" t="n"/>
      <c r="AK325" s="17" t="n"/>
      <c r="AL325" s="129">
        <f>DADOS_INVOC!$QD$100</f>
        <v/>
      </c>
      <c r="AM325" s="120" t="n"/>
      <c r="AN325" s="55" t="inlineStr">
        <is>
          <t>RESTRIÇÕES</t>
        </is>
      </c>
      <c r="AO325" s="130" t="n"/>
      <c r="AP325" s="16" t="n"/>
      <c r="AQ325" s="17" t="n"/>
      <c r="AR325" s="129">
        <f>DADOS_INVOC!$QD$101</f>
        <v/>
      </c>
      <c r="AS325" s="120" t="n"/>
    </row>
    <row r="326" hidden="1" outlineLevel="3">
      <c r="A326" s="8" t="n"/>
      <c r="B326" s="14" t="n"/>
      <c r="C326" s="120" t="n"/>
      <c r="D326" s="120" t="n"/>
      <c r="E326" s="120" t="n"/>
      <c r="F326" s="120" t="n"/>
      <c r="G326" s="120" t="n"/>
      <c r="I326" s="125" t="n"/>
      <c r="J326" s="130" t="n"/>
      <c r="K326" s="16" t="n"/>
      <c r="L326" s="17" t="n"/>
      <c r="M326" s="129">
        <f>DADOS_INVOC!$QE$21</f>
        <v/>
      </c>
      <c r="N326" s="120" t="n"/>
      <c r="O326" s="125" t="n"/>
      <c r="P326" s="130" t="n"/>
      <c r="Q326" s="16" t="n"/>
      <c r="R326" s="17" t="n"/>
      <c r="S326" s="129">
        <f>DADOS_INVOC!$QE$22</f>
        <v/>
      </c>
      <c r="T326" s="120" t="n"/>
      <c r="U326" s="125" t="n"/>
      <c r="V326" s="130" t="n"/>
      <c r="W326" s="16" t="n"/>
      <c r="X326" s="17" t="n"/>
      <c r="Y326" s="129">
        <f>DADOS_INVOC!$QE$23</f>
        <v/>
      </c>
      <c r="Z326" s="120" t="n"/>
      <c r="AB326" s="125" t="n"/>
      <c r="AC326" s="130" t="n"/>
      <c r="AD326" s="16" t="n"/>
      <c r="AE326" s="17" t="n"/>
      <c r="AF326" s="129">
        <f>DADOS_INVOC!$QE$99</f>
        <v/>
      </c>
      <c r="AG326" s="120" t="n"/>
      <c r="AH326" s="125" t="n"/>
      <c r="AI326" s="130" t="n"/>
      <c r="AJ326" s="16" t="n"/>
      <c r="AK326" s="17" t="n"/>
      <c r="AL326" s="129">
        <f>DADOS_INVOC!$QE$100</f>
        <v/>
      </c>
      <c r="AM326" s="120" t="n"/>
      <c r="AN326" s="125" t="n"/>
      <c r="AO326" s="130" t="n"/>
      <c r="AP326" s="16" t="n"/>
      <c r="AQ326" s="17" t="n"/>
      <c r="AR326" s="129">
        <f>DADOS_INVOC!$QE$101</f>
        <v/>
      </c>
      <c r="AS326" s="120" t="n"/>
    </row>
    <row r="327" hidden="1" outlineLevel="3">
      <c r="A327" s="8" t="n"/>
      <c r="B327" s="14" t="n"/>
      <c r="C327" s="120" t="n"/>
      <c r="D327" s="120" t="n"/>
      <c r="E327" s="120" t="n"/>
      <c r="F327" s="120" t="n"/>
      <c r="G327" s="120" t="n"/>
      <c r="I327" s="55" t="inlineStr">
        <is>
          <t>CONTA</t>
        </is>
      </c>
      <c r="J327" s="132">
        <f>DADOS_INVOC!$PX$21</f>
        <v/>
      </c>
      <c r="K327" s="16" t="n"/>
      <c r="L327" s="16" t="n"/>
      <c r="M327" s="17" t="n"/>
      <c r="N327" s="120" t="n"/>
      <c r="O327" s="55" t="inlineStr">
        <is>
          <t>CONTA</t>
        </is>
      </c>
      <c r="P327" s="132">
        <f>DADOS_INVOC!$PX$22</f>
        <v/>
      </c>
      <c r="Q327" s="16" t="n"/>
      <c r="R327" s="16" t="n"/>
      <c r="S327" s="17" t="n"/>
      <c r="T327" s="120" t="n"/>
      <c r="U327" s="55" t="inlineStr">
        <is>
          <t>CONTA</t>
        </is>
      </c>
      <c r="V327" s="132">
        <f>DADOS_INVOC!$PX$23</f>
        <v/>
      </c>
      <c r="W327" s="16" t="n"/>
      <c r="X327" s="16" t="n"/>
      <c r="Y327" s="17" t="n"/>
      <c r="Z327" s="120" t="n"/>
      <c r="AB327" s="55" t="inlineStr">
        <is>
          <t>CONTA</t>
        </is>
      </c>
      <c r="AC327" s="132">
        <f>DADOS_INVOC!$PX$99</f>
        <v/>
      </c>
      <c r="AD327" s="16" t="n"/>
      <c r="AE327" s="16" t="n"/>
      <c r="AF327" s="17" t="n"/>
      <c r="AG327" s="120" t="n"/>
      <c r="AH327" s="55" t="inlineStr">
        <is>
          <t>CONTA</t>
        </is>
      </c>
      <c r="AI327" s="132">
        <f>DADOS_INVOC!$PX$100</f>
        <v/>
      </c>
      <c r="AJ327" s="16" t="n"/>
      <c r="AK327" s="16" t="n"/>
      <c r="AL327" s="17" t="n"/>
      <c r="AM327" s="120" t="n"/>
      <c r="AN327" s="55" t="inlineStr">
        <is>
          <t>CONTA</t>
        </is>
      </c>
      <c r="AO327" s="132">
        <f>DADOS_INVOC!$PX$101</f>
        <v/>
      </c>
      <c r="AP327" s="16" t="n"/>
      <c r="AQ327" s="16" t="n"/>
      <c r="AR327" s="17" t="n"/>
      <c r="AS327" s="120" t="n"/>
    </row>
    <row r="328" hidden="1" outlineLevel="3">
      <c r="A328" s="8" t="n"/>
      <c r="B328" s="14" t="n"/>
      <c r="C328" s="120" t="n"/>
      <c r="D328" s="120" t="n"/>
      <c r="E328" s="120" t="n"/>
      <c r="F328" s="120" t="n"/>
      <c r="G328" s="120" t="n"/>
      <c r="I328" s="55" t="inlineStr">
        <is>
          <t>AMPLIAR</t>
        </is>
      </c>
      <c r="J328" s="132">
        <f>DADOS_INVOC!$PY$21</f>
        <v/>
      </c>
      <c r="K328" s="19" t="n"/>
      <c r="L328" s="19" t="n"/>
      <c r="M328" s="20" t="n"/>
      <c r="N328" s="120" t="n"/>
      <c r="O328" s="55" t="inlineStr">
        <is>
          <t>AMPLIAR</t>
        </is>
      </c>
      <c r="P328" s="132">
        <f>DADOS_INVOC!$PY$22</f>
        <v/>
      </c>
      <c r="Q328" s="19" t="n"/>
      <c r="R328" s="19" t="n"/>
      <c r="S328" s="20" t="n"/>
      <c r="T328" s="120" t="n"/>
      <c r="U328" s="55" t="inlineStr">
        <is>
          <t>AMPLIAR</t>
        </is>
      </c>
      <c r="V328" s="132">
        <f>DADOS_INVOC!$PY$23</f>
        <v/>
      </c>
      <c r="W328" s="19" t="n"/>
      <c r="X328" s="19" t="n"/>
      <c r="Y328" s="20" t="n"/>
      <c r="Z328" s="120" t="n"/>
      <c r="AB328" s="55" t="inlineStr">
        <is>
          <t>AMPLIAR</t>
        </is>
      </c>
      <c r="AC328" s="132">
        <f>DADOS_INVOC!$PY$99</f>
        <v/>
      </c>
      <c r="AD328" s="19" t="n"/>
      <c r="AE328" s="19" t="n"/>
      <c r="AF328" s="20" t="n"/>
      <c r="AG328" s="120" t="n"/>
      <c r="AH328" s="55" t="inlineStr">
        <is>
          <t>AMPLIAR</t>
        </is>
      </c>
      <c r="AI328" s="132">
        <f>DADOS_INVOC!$PY$100</f>
        <v/>
      </c>
      <c r="AJ328" s="19" t="n"/>
      <c r="AK328" s="19" t="n"/>
      <c r="AL328" s="20" t="n"/>
      <c r="AM328" s="120" t="n"/>
      <c r="AN328" s="55" t="inlineStr">
        <is>
          <t>AMPLIAR</t>
        </is>
      </c>
      <c r="AO328" s="132">
        <f>DADOS_INVOC!$PY$101</f>
        <v/>
      </c>
      <c r="AP328" s="19" t="n"/>
      <c r="AQ328" s="19" t="n"/>
      <c r="AR328" s="20" t="n"/>
      <c r="AS328" s="120" t="n"/>
    </row>
    <row r="329" hidden="1" outlineLevel="3">
      <c r="A329" s="8" t="n"/>
      <c r="B329" s="14" t="n"/>
      <c r="C329" s="120" t="n"/>
      <c r="D329" s="120" t="n"/>
      <c r="E329" s="120" t="n"/>
      <c r="F329" s="120" t="n"/>
      <c r="G329" s="120" t="n"/>
      <c r="I329" s="125" t="n"/>
      <c r="J329" s="23" t="n"/>
      <c r="K329" s="24" t="n"/>
      <c r="L329" s="24" t="n"/>
      <c r="M329" s="25" t="n"/>
      <c r="N329" s="120" t="n"/>
      <c r="O329" s="125" t="n"/>
      <c r="P329" s="23" t="n"/>
      <c r="Q329" s="24" t="n"/>
      <c r="R329" s="24" t="n"/>
      <c r="S329" s="25" t="n"/>
      <c r="T329" s="120" t="n"/>
      <c r="U329" s="125" t="n"/>
      <c r="V329" s="23" t="n"/>
      <c r="W329" s="24" t="n"/>
      <c r="X329" s="24" t="n"/>
      <c r="Y329" s="25" t="n"/>
      <c r="Z329" s="120" t="n"/>
      <c r="AB329" s="125" t="n"/>
      <c r="AC329" s="23" t="n"/>
      <c r="AD329" s="24" t="n"/>
      <c r="AE329" s="24" t="n"/>
      <c r="AF329" s="25" t="n"/>
      <c r="AG329" s="120" t="n"/>
      <c r="AH329" s="125" t="n"/>
      <c r="AI329" s="23" t="n"/>
      <c r="AJ329" s="24" t="n"/>
      <c r="AK329" s="24" t="n"/>
      <c r="AL329" s="25" t="n"/>
      <c r="AM329" s="120" t="n"/>
      <c r="AN329" s="125" t="n"/>
      <c r="AO329" s="23" t="n"/>
      <c r="AP329" s="24" t="n"/>
      <c r="AQ329" s="24" t="n"/>
      <c r="AR329" s="25" t="n"/>
      <c r="AS329" s="120" t="n"/>
    </row>
    <row r="330" hidden="1" outlineLevel="3">
      <c r="A330" s="8" t="n"/>
      <c r="B330" s="14" t="n"/>
      <c r="C330" s="120" t="n"/>
      <c r="D330" s="120" t="n"/>
      <c r="E330" s="120" t="n"/>
      <c r="F330" s="120" t="n"/>
      <c r="G330" s="120" t="n"/>
      <c r="I330" s="132">
        <f>DADOS_INVOC!$PL$21</f>
        <v/>
      </c>
      <c r="J330" s="19" t="n"/>
      <c r="K330" s="19" t="n"/>
      <c r="L330" s="19" t="n"/>
      <c r="M330" s="20" t="n"/>
      <c r="N330" s="120" t="n"/>
      <c r="O330" s="132">
        <f>DADOS_INVOC!$PL$22</f>
        <v/>
      </c>
      <c r="P330" s="19" t="n"/>
      <c r="Q330" s="19" t="n"/>
      <c r="R330" s="19" t="n"/>
      <c r="S330" s="20" t="n"/>
      <c r="T330" s="120" t="n"/>
      <c r="U330" s="132">
        <f>DADOS_INVOC!$PL$23</f>
        <v/>
      </c>
      <c r="V330" s="19" t="n"/>
      <c r="W330" s="19" t="n"/>
      <c r="X330" s="19" t="n"/>
      <c r="Y330" s="20" t="n"/>
      <c r="Z330" s="120" t="n"/>
      <c r="AB330" s="132">
        <f>DADOS_INVOC!$PL$99</f>
        <v/>
      </c>
      <c r="AC330" s="19" t="n"/>
      <c r="AD330" s="19" t="n"/>
      <c r="AE330" s="19" t="n"/>
      <c r="AF330" s="20" t="n"/>
      <c r="AG330" s="120" t="n"/>
      <c r="AH330" s="132">
        <f>DADOS_INVOC!$PL$100</f>
        <v/>
      </c>
      <c r="AI330" s="19" t="n"/>
      <c r="AJ330" s="19" t="n"/>
      <c r="AK330" s="19" t="n"/>
      <c r="AL330" s="20" t="n"/>
      <c r="AM330" s="120" t="n"/>
      <c r="AN330" s="132">
        <f>DADOS_INVOC!$PL$101</f>
        <v/>
      </c>
      <c r="AO330" s="19" t="n"/>
      <c r="AP330" s="19" t="n"/>
      <c r="AQ330" s="19" t="n"/>
      <c r="AR330" s="20" t="n"/>
      <c r="AS330" s="120" t="n"/>
    </row>
    <row r="331" hidden="1" outlineLevel="3">
      <c r="A331" s="8" t="n"/>
      <c r="B331" s="14" t="n"/>
      <c r="C331" s="120" t="n"/>
      <c r="D331" s="120" t="n"/>
      <c r="E331" s="120" t="n"/>
      <c r="F331" s="120" t="n"/>
      <c r="G331" s="120" t="n"/>
      <c r="I331" s="23" t="n"/>
      <c r="J331" s="24" t="n"/>
      <c r="K331" s="24" t="n"/>
      <c r="L331" s="24" t="n"/>
      <c r="M331" s="25" t="n"/>
      <c r="N331" s="120" t="n"/>
      <c r="O331" s="23" t="n"/>
      <c r="P331" s="24" t="n"/>
      <c r="Q331" s="24" t="n"/>
      <c r="R331" s="24" t="n"/>
      <c r="S331" s="25" t="n"/>
      <c r="T331" s="120" t="n"/>
      <c r="U331" s="23" t="n"/>
      <c r="V331" s="24" t="n"/>
      <c r="W331" s="24" t="n"/>
      <c r="X331" s="24" t="n"/>
      <c r="Y331" s="25" t="n"/>
      <c r="Z331" s="120" t="n"/>
      <c r="AB331" s="23" t="n"/>
      <c r="AC331" s="24" t="n"/>
      <c r="AD331" s="24" t="n"/>
      <c r="AE331" s="24" t="n"/>
      <c r="AF331" s="25" t="n"/>
      <c r="AG331" s="120" t="n"/>
      <c r="AH331" s="23" t="n"/>
      <c r="AI331" s="24" t="n"/>
      <c r="AJ331" s="24" t="n"/>
      <c r="AK331" s="24" t="n"/>
      <c r="AL331" s="25" t="n"/>
      <c r="AM331" s="120" t="n"/>
      <c r="AN331" s="23" t="n"/>
      <c r="AO331" s="24" t="n"/>
      <c r="AP331" s="24" t="n"/>
      <c r="AQ331" s="24" t="n"/>
      <c r="AR331" s="25" t="n"/>
      <c r="AS331" s="120" t="n"/>
    </row>
    <row r="332" hidden="1" outlineLevel="2">
      <c r="A332" s="8" t="n"/>
      <c r="B332" s="14" t="n"/>
      <c r="C332" s="120" t="n"/>
      <c r="D332" s="120" t="n"/>
      <c r="E332" s="120" t="n"/>
      <c r="F332" s="120" t="n"/>
      <c r="G332" s="120" t="n"/>
      <c r="I332" s="120" t="n"/>
      <c r="J332" s="120" t="n"/>
      <c r="K332" s="120" t="n"/>
      <c r="L332" s="120" t="n"/>
      <c r="M332" s="120" t="n"/>
      <c r="N332" s="120" t="n"/>
      <c r="O332" s="120" t="n"/>
      <c r="P332" s="120" t="n"/>
      <c r="Q332" s="120" t="n"/>
      <c r="R332" s="120" t="n"/>
      <c r="S332" s="120" t="n"/>
      <c r="T332" s="120" t="n"/>
      <c r="U332" s="120" t="n"/>
      <c r="V332" s="120" t="n"/>
      <c r="W332" s="120" t="n"/>
      <c r="X332" s="120" t="n"/>
      <c r="Y332" s="120" t="n"/>
      <c r="Z332" s="120" t="n"/>
      <c r="AB332" s="120" t="n"/>
      <c r="AC332" s="120" t="n"/>
      <c r="AD332" s="120" t="n"/>
      <c r="AE332" s="120" t="n"/>
      <c r="AF332" s="120"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55">
        <f>DADOS_INVOC!$PM$24</f>
        <v/>
      </c>
      <c r="J333" s="16" t="n"/>
      <c r="K333" s="16" t="n"/>
      <c r="L333" s="16" t="n"/>
      <c r="M333" s="17" t="n"/>
      <c r="N333" s="120" t="n"/>
      <c r="O333" s="120" t="n"/>
      <c r="P333" s="120" t="n"/>
      <c r="Q333" s="120" t="n"/>
      <c r="R333" s="120" t="n"/>
      <c r="S333" s="120" t="n"/>
      <c r="T333" s="120" t="n"/>
      <c r="U333" s="120" t="n"/>
      <c r="V333" s="120" t="n"/>
      <c r="W333" s="120" t="n"/>
      <c r="X333" s="120" t="n"/>
      <c r="Y333" s="120" t="n"/>
      <c r="Z333" s="120" t="n"/>
      <c r="AB333" s="55">
        <f>DADOS_INVOC!$PM$102</f>
        <v/>
      </c>
      <c r="AC333" s="16" t="n"/>
      <c r="AD333" s="16" t="n"/>
      <c r="AE333" s="16" t="n"/>
      <c r="AF333" s="17" t="n"/>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7" t="n">
        <v>1</v>
      </c>
      <c r="J334" s="115" t="n"/>
      <c r="K334" s="16" t="n"/>
      <c r="L334" s="17" t="n"/>
      <c r="M334" s="128">
        <f>DADOS_INVOC!$PK$24</f>
        <v/>
      </c>
      <c r="N334" s="120" t="n"/>
      <c r="O334" s="120" t="n"/>
      <c r="P334" s="120" t="n"/>
      <c r="Q334" s="120" t="n"/>
      <c r="R334" s="120" t="n"/>
      <c r="S334" s="120" t="n"/>
      <c r="T334" s="120" t="n"/>
      <c r="U334" s="120" t="n"/>
      <c r="V334" s="120" t="n"/>
      <c r="W334" s="120" t="n"/>
      <c r="X334" s="120" t="n"/>
      <c r="Y334" s="120" t="n"/>
      <c r="Z334" s="120" t="n"/>
      <c r="AB334" s="127" t="n">
        <v>1</v>
      </c>
      <c r="AC334" s="115" t="n"/>
      <c r="AD334" s="16" t="n"/>
      <c r="AE334" s="17" t="n"/>
      <c r="AF334" s="128">
        <f>DADOS_INVOC!$PK$102</f>
        <v/>
      </c>
      <c r="AG334" s="120" t="n"/>
      <c r="AH334" s="120" t="n"/>
      <c r="AI334" s="120" t="n"/>
      <c r="AJ334" s="120" t="n"/>
      <c r="AK334" s="120" t="n"/>
      <c r="AL334" s="120" t="n"/>
      <c r="AM334" s="120" t="n"/>
      <c r="AN334" s="120" t="n"/>
      <c r="AO334" s="120" t="n"/>
      <c r="AP334" s="120" t="n"/>
      <c r="AQ334" s="120" t="n"/>
      <c r="AR334" s="120" t="n"/>
      <c r="AS334" s="120" t="n"/>
    </row>
    <row r="335" hidden="1" outlineLevel="3">
      <c r="A335" s="8" t="n"/>
      <c r="B335" s="14" t="n"/>
      <c r="C335" s="120" t="n"/>
      <c r="D335" s="120" t="n"/>
      <c r="E335" s="120" t="n"/>
      <c r="F335" s="120" t="n"/>
      <c r="G335" s="120" t="n"/>
      <c r="I335" s="55" t="inlineStr">
        <is>
          <t>COMO É</t>
        </is>
      </c>
      <c r="J335" s="16" t="n"/>
      <c r="K335" s="16" t="n"/>
      <c r="L335" s="16" t="n"/>
      <c r="M335" s="17" t="n"/>
      <c r="N335" s="120" t="n"/>
      <c r="O335" s="120" t="n"/>
      <c r="P335" s="120" t="n"/>
      <c r="Q335" s="120" t="n"/>
      <c r="R335" s="120" t="n"/>
      <c r="S335" s="120" t="n"/>
      <c r="T335" s="120" t="n"/>
      <c r="U335" s="120" t="n"/>
      <c r="V335" s="120" t="n"/>
      <c r="W335" s="120" t="n"/>
      <c r="X335" s="120" t="n"/>
      <c r="Y335" s="120" t="n"/>
      <c r="Z335" s="120" t="n"/>
      <c r="AB335" s="55" t="inlineStr">
        <is>
          <t>COMO É</t>
        </is>
      </c>
      <c r="AC335" s="16" t="n"/>
      <c r="AD335" s="16" t="n"/>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3">
      <c r="A336" s="8" t="n"/>
      <c r="B336" s="14" t="n"/>
      <c r="C336" s="120" t="n"/>
      <c r="D336" s="120" t="n"/>
      <c r="E336" s="120" t="n"/>
      <c r="F336" s="120" t="n"/>
      <c r="G336" s="120" t="n"/>
      <c r="I336" s="116" t="n"/>
      <c r="J336" s="19" t="n"/>
      <c r="K336" s="19" t="n"/>
      <c r="L336" s="19" t="n"/>
      <c r="M336" s="20" t="n"/>
      <c r="N336" s="120" t="n"/>
      <c r="O336" s="120" t="n"/>
      <c r="P336" s="120" t="n"/>
      <c r="Q336" s="120" t="n"/>
      <c r="R336" s="120" t="n"/>
      <c r="S336" s="120" t="n"/>
      <c r="T336" s="120" t="n"/>
      <c r="U336" s="120" t="n"/>
      <c r="V336" s="120" t="n"/>
      <c r="W336" s="120" t="n"/>
      <c r="X336" s="120" t="n"/>
      <c r="Y336" s="120" t="n"/>
      <c r="Z336" s="120" t="n"/>
      <c r="AB336" s="116" t="n"/>
      <c r="AC336" s="19" t="n"/>
      <c r="AD336" s="19" t="n"/>
      <c r="AE336" s="19" t="n"/>
      <c r="AF336" s="20"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21" t="n"/>
      <c r="M337" s="22" t="n"/>
      <c r="N337" s="120" t="n"/>
      <c r="O337" s="120" t="n"/>
      <c r="P337" s="120" t="n"/>
      <c r="Q337" s="120" t="n"/>
      <c r="R337" s="120" t="n"/>
      <c r="S337" s="120" t="n"/>
      <c r="T337" s="120" t="n"/>
      <c r="U337" s="120" t="n"/>
      <c r="V337" s="120" t="n"/>
      <c r="W337" s="120" t="n"/>
      <c r="X337" s="120" t="n"/>
      <c r="Y337" s="120" t="n"/>
      <c r="Z337" s="120" t="n"/>
      <c r="AB337" s="21" t="n"/>
      <c r="AF337" s="22" t="n"/>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23" t="n"/>
      <c r="J338" s="24" t="n"/>
      <c r="K338" s="24" t="n"/>
      <c r="L338" s="24" t="n"/>
      <c r="M338" s="25" t="n"/>
      <c r="N338" s="120" t="n"/>
      <c r="O338" s="120" t="n"/>
      <c r="P338" s="120" t="n"/>
      <c r="Q338" s="120" t="n"/>
      <c r="R338" s="120" t="n"/>
      <c r="S338" s="120" t="n"/>
      <c r="T338" s="120" t="n"/>
      <c r="U338" s="120" t="n"/>
      <c r="V338" s="120" t="n"/>
      <c r="W338" s="120" t="n"/>
      <c r="X338" s="120" t="n"/>
      <c r="Y338" s="120" t="n"/>
      <c r="Z338" s="120" t="n"/>
      <c r="AB338" s="23" t="n"/>
      <c r="AC338" s="24" t="n"/>
      <c r="AD338" s="24" t="n"/>
      <c r="AE338" s="24" t="n"/>
      <c r="AF338" s="25" t="n"/>
      <c r="AG338" s="120" t="n"/>
      <c r="AH338" s="120" t="n"/>
      <c r="AI338" s="120" t="n"/>
      <c r="AJ338" s="120" t="n"/>
      <c r="AK338" s="120" t="n"/>
      <c r="AL338" s="120" t="n"/>
      <c r="AM338" s="120" t="n"/>
      <c r="AN338" s="120" t="n"/>
      <c r="AO338" s="120" t="n"/>
      <c r="AP338" s="120" t="n"/>
      <c r="AQ338" s="120" t="n"/>
      <c r="AR338" s="120" t="n"/>
      <c r="AS338" s="120" t="n"/>
    </row>
    <row r="339" hidden="1" outlineLevel="2">
      <c r="A339" s="8" t="n"/>
      <c r="B339" s="14" t="n"/>
      <c r="C339" s="120" t="n"/>
      <c r="D339" s="120" t="n"/>
      <c r="E339" s="120" t="n"/>
      <c r="F339" s="120" t="n"/>
      <c r="G339" s="120" t="n"/>
      <c r="I339" s="124" t="inlineStr">
        <is>
          <t>Projétil</t>
        </is>
      </c>
      <c r="J339" s="17" t="n"/>
      <c r="K339" s="68">
        <f>DADOS_INVOC!$PR$24</f>
        <v/>
      </c>
      <c r="L339" s="17" t="n"/>
      <c r="M339" s="68">
        <f>DADOS_INVOC!$PN$24</f>
        <v/>
      </c>
      <c r="N339" s="120" t="n"/>
      <c r="O339" s="120" t="n"/>
      <c r="P339" s="120" t="n"/>
      <c r="Q339" s="120" t="n"/>
      <c r="R339" s="120" t="n"/>
      <c r="S339" s="120" t="n"/>
      <c r="T339" s="120" t="n"/>
      <c r="U339" s="120" t="n"/>
      <c r="V339" s="120" t="n"/>
      <c r="W339" s="120" t="n"/>
      <c r="X339" s="120" t="n"/>
      <c r="Y339" s="120" t="n"/>
      <c r="Z339" s="120" t="n"/>
      <c r="AB339" s="124" t="inlineStr">
        <is>
          <t>Projétil</t>
        </is>
      </c>
      <c r="AC339" s="17" t="n"/>
      <c r="AD339" s="68">
        <f>DADOS_INVOC!$PR$102</f>
        <v/>
      </c>
      <c r="AE339" s="17" t="n"/>
      <c r="AF339" s="68">
        <f>DADOS_INVOC!$PN$102</f>
        <v/>
      </c>
      <c r="AG339" s="120" t="n"/>
      <c r="AH339" s="120" t="n"/>
      <c r="AI339" s="120" t="n"/>
      <c r="AJ339" s="120" t="n"/>
      <c r="AK339" s="120" t="n"/>
      <c r="AL339" s="120" t="n"/>
      <c r="AM339" s="120" t="n"/>
      <c r="AN339" s="120" t="n"/>
      <c r="AO339" s="120" t="n"/>
      <c r="AP339" s="120" t="n"/>
      <c r="AQ339" s="120" t="n"/>
      <c r="AR339" s="120" t="n"/>
      <c r="AS339" s="120" t="n"/>
    </row>
    <row r="340" hidden="1" outlineLevel="2">
      <c r="A340" s="8" t="n"/>
      <c r="B340" s="14" t="n"/>
      <c r="C340" s="120" t="n"/>
      <c r="D340" s="120" t="n"/>
      <c r="E340" s="120" t="n"/>
      <c r="F340" s="120" t="n"/>
      <c r="G340" s="120" t="n"/>
      <c r="I340" s="124" t="n"/>
      <c r="J340" s="17" t="n"/>
      <c r="K340" s="124" t="n"/>
      <c r="L340" s="16" t="n"/>
      <c r="M340" s="17" t="n"/>
      <c r="N340" s="120" t="n"/>
      <c r="O340" s="120" t="n"/>
      <c r="P340" s="120" t="n"/>
      <c r="Q340" s="120" t="n"/>
      <c r="R340" s="120" t="n"/>
      <c r="S340" s="120" t="n"/>
      <c r="T340" s="120" t="n"/>
      <c r="U340" s="120" t="n"/>
      <c r="V340" s="120" t="n"/>
      <c r="W340" s="120" t="n"/>
      <c r="X340" s="120" t="n"/>
      <c r="Y340" s="120" t="n"/>
      <c r="Z340" s="120" t="n"/>
      <c r="AB340" s="124" t="n"/>
      <c r="AC340" s="17" t="n"/>
      <c r="AD340" s="124" t="n"/>
      <c r="AE340" s="16" t="n"/>
      <c r="AF340" s="17" t="n"/>
      <c r="AG340" s="120" t="n"/>
      <c r="AH340" s="120" t="n"/>
      <c r="AI340" s="120" t="n"/>
      <c r="AJ340" s="120" t="n"/>
      <c r="AK340" s="120" t="n"/>
      <c r="AL340" s="120" t="n"/>
      <c r="AM340" s="120" t="n"/>
      <c r="AN340" s="120" t="n"/>
      <c r="AO340" s="120" t="n"/>
      <c r="AP340" s="120" t="n"/>
      <c r="AQ340" s="120" t="n"/>
      <c r="AR340" s="120" t="n"/>
      <c r="AS340" s="120" t="n"/>
    </row>
    <row r="341" hidden="1" outlineLevel="2">
      <c r="A341" s="8" t="n"/>
      <c r="B341" s="14" t="n"/>
      <c r="C341" s="120" t="n"/>
      <c r="D341" s="120" t="n"/>
      <c r="E341" s="120" t="n"/>
      <c r="F341" s="120" t="n"/>
      <c r="G341" s="120" t="n"/>
      <c r="I341" s="124">
        <f>DADOS_INVOC!$PO$24</f>
        <v/>
      </c>
      <c r="J341" s="17" t="n"/>
      <c r="K341" s="124">
        <f>DADOS_INVOC!$PQ$24</f>
        <v/>
      </c>
      <c r="L341" s="16" t="n"/>
      <c r="M341" s="17" t="n"/>
      <c r="N341" s="120" t="n"/>
      <c r="O341" s="120" t="n"/>
      <c r="P341" s="120" t="n"/>
      <c r="Q341" s="120" t="n"/>
      <c r="R341" s="120" t="n"/>
      <c r="S341" s="120" t="n"/>
      <c r="T341" s="120" t="n"/>
      <c r="U341" s="120" t="n"/>
      <c r="V341" s="120" t="n"/>
      <c r="W341" s="120" t="n"/>
      <c r="X341" s="120" t="n"/>
      <c r="Y341" s="120" t="n"/>
      <c r="Z341" s="120" t="n"/>
      <c r="AB341" s="124">
        <f>DADOS_INVOC!$PO$102</f>
        <v/>
      </c>
      <c r="AC341" s="17" t="n"/>
      <c r="AD341" s="124">
        <f>DADOS_INVOC!$PQ$102</f>
        <v/>
      </c>
      <c r="AE341" s="16" t="n"/>
      <c r="AF341" s="17" t="n"/>
      <c r="AG341" s="120" t="n"/>
      <c r="AH341" s="120" t="n"/>
      <c r="AI341" s="120" t="n"/>
      <c r="AJ341" s="120" t="n"/>
      <c r="AK341" s="120" t="n"/>
      <c r="AL341" s="120" t="n"/>
      <c r="AM341" s="120" t="n"/>
      <c r="AN341" s="120" t="n"/>
      <c r="AO341" s="120" t="n"/>
      <c r="AP341" s="120" t="n"/>
      <c r="AQ341" s="120" t="n"/>
      <c r="AR341" s="120" t="n"/>
      <c r="AS341" s="120" t="n"/>
    </row>
    <row r="342" hidden="1" outlineLevel="2">
      <c r="A342" s="8" t="n"/>
      <c r="B342" s="14" t="n"/>
      <c r="C342" s="120" t="n"/>
      <c r="D342" s="120" t="n"/>
      <c r="E342" s="120" t="n"/>
      <c r="F342" s="120" t="n"/>
      <c r="G342" s="120" t="n"/>
      <c r="I342" s="129">
        <f>DADOS_INVOC!$PW$24</f>
        <v/>
      </c>
      <c r="J342" s="16" t="n"/>
      <c r="K342" s="16" t="n"/>
      <c r="L342" s="16" t="n"/>
      <c r="M342" s="17" t="n"/>
      <c r="N342" s="120" t="n"/>
      <c r="O342" s="120" t="n"/>
      <c r="P342" s="120" t="n"/>
      <c r="Q342" s="120" t="n"/>
      <c r="R342" s="120" t="n"/>
      <c r="S342" s="120" t="n"/>
      <c r="T342" s="120" t="n"/>
      <c r="U342" s="120" t="n"/>
      <c r="V342" s="120" t="n"/>
      <c r="W342" s="120" t="n"/>
      <c r="X342" s="120" t="n"/>
      <c r="Y342" s="120" t="n"/>
      <c r="Z342" s="120" t="n"/>
      <c r="AB342" s="129">
        <f>DADOS_INVOC!$PW$102</f>
        <v/>
      </c>
      <c r="AC342" s="16" t="n"/>
      <c r="AD342" s="16" t="n"/>
      <c r="AE342" s="16" t="n"/>
      <c r="AF342" s="17" t="n"/>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MELHORIAS</t>
        </is>
      </c>
      <c r="J343" s="130" t="n"/>
      <c r="K343" s="16" t="n"/>
      <c r="L343" s="17" t="n"/>
      <c r="M343" s="129">
        <f>DADOS_INVOC!$PZ$24</f>
        <v/>
      </c>
      <c r="N343" s="120" t="n"/>
      <c r="O343" s="120" t="n"/>
      <c r="P343" s="120" t="n"/>
      <c r="Q343" s="120" t="n"/>
      <c r="R343" s="120" t="n"/>
      <c r="S343" s="120" t="n"/>
      <c r="T343" s="120" t="n"/>
      <c r="U343" s="120" t="n"/>
      <c r="V343" s="120" t="n"/>
      <c r="W343" s="120" t="n"/>
      <c r="X343" s="120" t="n"/>
      <c r="Y343" s="120" t="n"/>
      <c r="Z343" s="120" t="n"/>
      <c r="AB343" s="55" t="inlineStr">
        <is>
          <t>MELHORIAS</t>
        </is>
      </c>
      <c r="AC343" s="130" t="n"/>
      <c r="AD343" s="16" t="n"/>
      <c r="AE343" s="17" t="n"/>
      <c r="AF343" s="129">
        <f>DADOS_INVOC!$PZ$102</f>
        <v/>
      </c>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131" t="n"/>
      <c r="J344" s="130" t="n"/>
      <c r="K344" s="16" t="n"/>
      <c r="L344" s="17" t="n"/>
      <c r="M344" s="129">
        <f>DADOS_INVOC!$QA$24</f>
        <v/>
      </c>
      <c r="N344" s="120" t="n"/>
      <c r="O344" s="120" t="n"/>
      <c r="P344" s="120" t="n"/>
      <c r="Q344" s="120" t="n"/>
      <c r="R344" s="120" t="n"/>
      <c r="S344" s="120" t="n"/>
      <c r="T344" s="120" t="n"/>
      <c r="U344" s="120" t="n"/>
      <c r="V344" s="120" t="n"/>
      <c r="W344" s="120" t="n"/>
      <c r="X344" s="120" t="n"/>
      <c r="Y344" s="120" t="n"/>
      <c r="Z344" s="120" t="n"/>
      <c r="AB344" s="131" t="n"/>
      <c r="AC344" s="130" t="n"/>
      <c r="AD344" s="16" t="n"/>
      <c r="AE344" s="17" t="n"/>
      <c r="AF344" s="129">
        <f>DADOS_INVOC!$QA$102</f>
        <v/>
      </c>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31" t="n"/>
      <c r="J345" s="130" t="n"/>
      <c r="K345" s="16" t="n"/>
      <c r="L345" s="17" t="n"/>
      <c r="M345" s="129">
        <f>DADOS_INVOC!$QB$24</f>
        <v/>
      </c>
      <c r="N345" s="120" t="n"/>
      <c r="O345" s="120" t="n"/>
      <c r="P345" s="120" t="n"/>
      <c r="Q345" s="120" t="n"/>
      <c r="R345" s="120" t="n"/>
      <c r="S345" s="120" t="n"/>
      <c r="T345" s="120" t="n"/>
      <c r="U345" s="120" t="n"/>
      <c r="V345" s="120" t="n"/>
      <c r="W345" s="120" t="n"/>
      <c r="X345" s="120" t="n"/>
      <c r="Y345" s="120" t="n"/>
      <c r="Z345" s="120" t="n"/>
      <c r="AB345" s="131" t="n"/>
      <c r="AC345" s="130" t="n"/>
      <c r="AD345" s="16" t="n"/>
      <c r="AE345" s="17" t="n"/>
      <c r="AF345" s="129">
        <f>DADOS_INVOC!$QB$102</f>
        <v/>
      </c>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25" t="n"/>
      <c r="J346" s="130" t="n"/>
      <c r="K346" s="16" t="n"/>
      <c r="L346" s="17" t="n"/>
      <c r="M346" s="129">
        <f>DADOS_INVOC!$QC$24</f>
        <v/>
      </c>
      <c r="N346" s="120" t="n"/>
      <c r="O346" s="120" t="n"/>
      <c r="P346" s="120" t="n"/>
      <c r="Q346" s="120" t="n"/>
      <c r="R346" s="120" t="n"/>
      <c r="S346" s="120" t="n"/>
      <c r="T346" s="120" t="n"/>
      <c r="U346" s="120" t="n"/>
      <c r="V346" s="120" t="n"/>
      <c r="W346" s="120" t="n"/>
      <c r="X346" s="120" t="n"/>
      <c r="Y346" s="120" t="n"/>
      <c r="Z346" s="120" t="n"/>
      <c r="AB346" s="125" t="n"/>
      <c r="AC346" s="130" t="n"/>
      <c r="AD346" s="16" t="n"/>
      <c r="AE346" s="17" t="n"/>
      <c r="AF346" s="129">
        <f>DADOS_INVOC!$QC$102</f>
        <v/>
      </c>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55" t="inlineStr">
        <is>
          <t>RESTRIÇÕES</t>
        </is>
      </c>
      <c r="J347" s="130" t="n"/>
      <c r="K347" s="16" t="n"/>
      <c r="L347" s="17" t="n"/>
      <c r="M347" s="129">
        <f>DADOS_INVOC!$QD$24</f>
        <v/>
      </c>
      <c r="N347" s="120" t="n"/>
      <c r="O347" s="120" t="n"/>
      <c r="P347" s="120" t="n"/>
      <c r="Q347" s="120" t="n"/>
      <c r="R347" s="120" t="n"/>
      <c r="S347" s="120" t="n"/>
      <c r="T347" s="120" t="n"/>
      <c r="U347" s="120" t="n"/>
      <c r="V347" s="120" t="n"/>
      <c r="W347" s="120" t="n"/>
      <c r="X347" s="120" t="n"/>
      <c r="Y347" s="120" t="n"/>
      <c r="Z347" s="120" t="n"/>
      <c r="AB347" s="55" t="inlineStr">
        <is>
          <t>RESTRIÇÕES</t>
        </is>
      </c>
      <c r="AC347" s="130" t="n"/>
      <c r="AD347" s="16" t="n"/>
      <c r="AE347" s="17" t="n"/>
      <c r="AF347" s="129">
        <f>DADOS_INVOC!$QD$102</f>
        <v/>
      </c>
      <c r="AG347" s="120" t="n"/>
      <c r="AH347" s="120" t="n"/>
      <c r="AI347" s="120" t="n"/>
      <c r="AJ347" s="120" t="n"/>
      <c r="AK347" s="120" t="n"/>
      <c r="AL347" s="120" t="n"/>
      <c r="AM347" s="120" t="n"/>
      <c r="AN347" s="120" t="n"/>
      <c r="AO347" s="120" t="n"/>
      <c r="AP347" s="120" t="n"/>
      <c r="AQ347" s="120" t="n"/>
      <c r="AR347" s="120" t="n"/>
      <c r="AS347" s="120" t="n"/>
    </row>
    <row r="348" hidden="1" outlineLevel="3">
      <c r="A348" s="8" t="n"/>
      <c r="B348" s="14" t="n"/>
      <c r="C348" s="120" t="n"/>
      <c r="D348" s="120" t="n"/>
      <c r="E348" s="120" t="n"/>
      <c r="F348" s="120" t="n"/>
      <c r="G348" s="120" t="n"/>
      <c r="I348" s="125" t="n"/>
      <c r="J348" s="130" t="n"/>
      <c r="K348" s="16" t="n"/>
      <c r="L348" s="17" t="n"/>
      <c r="M348" s="129">
        <f>DADOS_INVOC!$QE$24</f>
        <v/>
      </c>
      <c r="N348" s="120" t="n"/>
      <c r="O348" s="120" t="n"/>
      <c r="P348" s="120" t="n"/>
      <c r="Q348" s="120" t="n"/>
      <c r="R348" s="120" t="n"/>
      <c r="S348" s="120" t="n"/>
      <c r="T348" s="120" t="n"/>
      <c r="U348" s="120" t="n"/>
      <c r="V348" s="120" t="n"/>
      <c r="W348" s="120" t="n"/>
      <c r="X348" s="120" t="n"/>
      <c r="Y348" s="120" t="n"/>
      <c r="Z348" s="120" t="n"/>
      <c r="AB348" s="125" t="n"/>
      <c r="AC348" s="130" t="n"/>
      <c r="AD348" s="16" t="n"/>
      <c r="AE348" s="17" t="n"/>
      <c r="AF348" s="129">
        <f>DADOS_INVOC!$QE$102</f>
        <v/>
      </c>
      <c r="AG348" s="120" t="n"/>
      <c r="AH348" s="120" t="n"/>
      <c r="AI348" s="120" t="n"/>
      <c r="AJ348" s="120" t="n"/>
      <c r="AK348" s="120" t="n"/>
      <c r="AL348" s="120" t="n"/>
      <c r="AM348" s="120" t="n"/>
      <c r="AN348" s="120" t="n"/>
      <c r="AO348" s="120" t="n"/>
      <c r="AP348" s="120" t="n"/>
      <c r="AQ348" s="120" t="n"/>
      <c r="AR348" s="120" t="n"/>
      <c r="AS348" s="120" t="n"/>
    </row>
    <row r="349" hidden="1" outlineLevel="3">
      <c r="A349" s="8" t="n"/>
      <c r="B349" s="14" t="n"/>
      <c r="C349" s="120" t="n"/>
      <c r="D349" s="120" t="n"/>
      <c r="E349" s="120" t="n"/>
      <c r="F349" s="120" t="n"/>
      <c r="G349" s="120" t="n"/>
      <c r="I349" s="55" t="inlineStr">
        <is>
          <t>CONTA</t>
        </is>
      </c>
      <c r="J349" s="132">
        <f>DADOS_INVOC!$PX$24</f>
        <v/>
      </c>
      <c r="K349" s="16" t="n"/>
      <c r="L349" s="16" t="n"/>
      <c r="M349" s="17" t="n"/>
      <c r="N349" s="120" t="n"/>
      <c r="O349" s="120" t="n"/>
      <c r="P349" s="120" t="n"/>
      <c r="Q349" s="120" t="n"/>
      <c r="R349" s="120" t="n"/>
      <c r="S349" s="120" t="n"/>
      <c r="T349" s="120" t="n"/>
      <c r="U349" s="120" t="n"/>
      <c r="V349" s="120" t="n"/>
      <c r="W349" s="120" t="n"/>
      <c r="X349" s="120" t="n"/>
      <c r="Y349" s="120" t="n"/>
      <c r="Z349" s="120" t="n"/>
      <c r="AB349" s="55" t="inlineStr">
        <is>
          <t>CONTA</t>
        </is>
      </c>
      <c r="AC349" s="132">
        <f>DADOS_INVOC!$PX$102</f>
        <v/>
      </c>
      <c r="AD349" s="16" t="n"/>
      <c r="AE349" s="16" t="n"/>
      <c r="AF349" s="17" t="n"/>
      <c r="AG349" s="120" t="n"/>
      <c r="AH349" s="120" t="n"/>
      <c r="AI349" s="120" t="n"/>
      <c r="AJ349" s="120" t="n"/>
      <c r="AK349" s="120" t="n"/>
      <c r="AL349" s="120" t="n"/>
      <c r="AM349" s="120" t="n"/>
      <c r="AN349" s="120" t="n"/>
      <c r="AO349" s="120" t="n"/>
      <c r="AP349" s="120" t="n"/>
      <c r="AQ349" s="120" t="n"/>
      <c r="AR349" s="120" t="n"/>
      <c r="AS349" s="120" t="n"/>
    </row>
    <row r="350" hidden="1" outlineLevel="3">
      <c r="A350" s="8" t="n"/>
      <c r="B350" s="14" t="n"/>
      <c r="C350" s="120" t="n"/>
      <c r="D350" s="120" t="n"/>
      <c r="E350" s="120" t="n"/>
      <c r="F350" s="120" t="n"/>
      <c r="G350" s="120" t="n"/>
      <c r="I350" s="55" t="inlineStr">
        <is>
          <t>AMPLIAR</t>
        </is>
      </c>
      <c r="J350" s="132">
        <f>DADOS_INVOC!$PY$24</f>
        <v/>
      </c>
      <c r="K350" s="19" t="n"/>
      <c r="L350" s="19" t="n"/>
      <c r="M350" s="20" t="n"/>
      <c r="N350" s="120" t="n"/>
      <c r="O350" s="120" t="n"/>
      <c r="P350" s="120" t="n"/>
      <c r="Q350" s="120" t="n"/>
      <c r="R350" s="120" t="n"/>
      <c r="S350" s="120" t="n"/>
      <c r="T350" s="120" t="n"/>
      <c r="U350" s="120" t="n"/>
      <c r="V350" s="120" t="n"/>
      <c r="W350" s="120" t="n"/>
      <c r="X350" s="120" t="n"/>
      <c r="Y350" s="120" t="n"/>
      <c r="Z350" s="120" t="n"/>
      <c r="AB350" s="55" t="inlineStr">
        <is>
          <t>AMPLIAR</t>
        </is>
      </c>
      <c r="AC350" s="132">
        <f>DADOS_INVOC!$PY$102</f>
        <v/>
      </c>
      <c r="AD350" s="19" t="n"/>
      <c r="AE350" s="19" t="n"/>
      <c r="AF350" s="20" t="n"/>
      <c r="AG350" s="120" t="n"/>
      <c r="AH350" s="120" t="n"/>
      <c r="AI350" s="120" t="n"/>
      <c r="AJ350" s="120" t="n"/>
      <c r="AK350" s="120" t="n"/>
      <c r="AL350" s="120" t="n"/>
      <c r="AM350" s="120" t="n"/>
      <c r="AN350" s="120" t="n"/>
      <c r="AO350" s="120" t="n"/>
      <c r="AP350" s="120" t="n"/>
      <c r="AQ350" s="120" t="n"/>
      <c r="AR350" s="120" t="n"/>
      <c r="AS350" s="120" t="n"/>
    </row>
    <row r="351" hidden="1" outlineLevel="3">
      <c r="A351" s="8" t="n"/>
      <c r="B351" s="14" t="n"/>
      <c r="C351" s="120" t="n"/>
      <c r="D351" s="120" t="n"/>
      <c r="E351" s="120" t="n"/>
      <c r="F351" s="120" t="n"/>
      <c r="G351" s="120" t="n"/>
      <c r="I351" s="125" t="n"/>
      <c r="J351" s="23" t="n"/>
      <c r="K351" s="24" t="n"/>
      <c r="L351" s="24" t="n"/>
      <c r="M351" s="25" t="n"/>
      <c r="N351" s="120" t="n"/>
      <c r="O351" s="120" t="n"/>
      <c r="P351" s="120" t="n"/>
      <c r="Q351" s="120" t="n"/>
      <c r="R351" s="120" t="n"/>
      <c r="S351" s="120" t="n"/>
      <c r="T351" s="120" t="n"/>
      <c r="U351" s="120" t="n"/>
      <c r="V351" s="120" t="n"/>
      <c r="W351" s="120" t="n"/>
      <c r="X351" s="120" t="n"/>
      <c r="Y351" s="120" t="n"/>
      <c r="Z351" s="120" t="n"/>
      <c r="AB351" s="125" t="n"/>
      <c r="AC351" s="23" t="n"/>
      <c r="AD351" s="24" t="n"/>
      <c r="AE351" s="24" t="n"/>
      <c r="AF351" s="25" t="n"/>
      <c r="AG351" s="120" t="n"/>
      <c r="AH351" s="120" t="n"/>
      <c r="AI351" s="120" t="n"/>
      <c r="AJ351" s="120" t="n"/>
      <c r="AK351" s="120" t="n"/>
      <c r="AL351" s="120" t="n"/>
      <c r="AM351" s="120" t="n"/>
      <c r="AN351" s="120" t="n"/>
      <c r="AO351" s="120" t="n"/>
      <c r="AP351" s="120" t="n"/>
      <c r="AQ351" s="120" t="n"/>
      <c r="AR351" s="120" t="n"/>
      <c r="AS351" s="120" t="n"/>
    </row>
    <row r="352" hidden="1" outlineLevel="3">
      <c r="A352" s="8" t="n"/>
      <c r="B352" s="14" t="n"/>
      <c r="C352" s="120" t="n"/>
      <c r="D352" s="120" t="n"/>
      <c r="E352" s="120" t="n"/>
      <c r="F352" s="120" t="n"/>
      <c r="G352" s="120" t="n"/>
      <c r="I352" s="132">
        <f>DADOS_INVOC!$PL$24</f>
        <v/>
      </c>
      <c r="J352" s="19" t="n"/>
      <c r="K352" s="19" t="n"/>
      <c r="L352" s="19" t="n"/>
      <c r="M352" s="20" t="n"/>
      <c r="N352" s="120" t="n"/>
      <c r="O352" s="120" t="n"/>
      <c r="P352" s="120" t="n"/>
      <c r="Q352" s="120" t="n"/>
      <c r="R352" s="120" t="n"/>
      <c r="S352" s="120" t="n"/>
      <c r="T352" s="120" t="n"/>
      <c r="U352" s="120" t="n"/>
      <c r="V352" s="120" t="n"/>
      <c r="W352" s="120" t="n"/>
      <c r="X352" s="120" t="n"/>
      <c r="Y352" s="120" t="n"/>
      <c r="Z352" s="120" t="n"/>
      <c r="AB352" s="132">
        <f>DADOS_INVOC!$PL$102</f>
        <v/>
      </c>
      <c r="AC352" s="19" t="n"/>
      <c r="AD352" s="19" t="n"/>
      <c r="AE352" s="19" t="n"/>
      <c r="AF352" s="20" t="n"/>
      <c r="AG352" s="120" t="n"/>
      <c r="AH352" s="120" t="n"/>
      <c r="AI352" s="120" t="n"/>
      <c r="AJ352" s="120" t="n"/>
      <c r="AK352" s="120" t="n"/>
      <c r="AL352" s="120" t="n"/>
      <c r="AM352" s="120" t="n"/>
      <c r="AN352" s="120" t="n"/>
      <c r="AO352" s="120" t="n"/>
      <c r="AP352" s="120" t="n"/>
      <c r="AQ352" s="120" t="n"/>
      <c r="AR352" s="120" t="n"/>
      <c r="AS352" s="120" t="n"/>
    </row>
    <row r="353" hidden="1" outlineLevel="3">
      <c r="A353" s="8" t="n"/>
      <c r="B353" s="14" t="n"/>
      <c r="C353" s="120" t="n"/>
      <c r="D353" s="120" t="n"/>
      <c r="E353" s="120" t="n"/>
      <c r="F353" s="120" t="n"/>
      <c r="G353" s="120" t="n"/>
      <c r="I353" s="23" t="n"/>
      <c r="J353" s="24" t="n"/>
      <c r="K353" s="24" t="n"/>
      <c r="L353" s="24" t="n"/>
      <c r="M353" s="25" t="n"/>
      <c r="N353" s="120" t="n"/>
      <c r="O353" s="120" t="n"/>
      <c r="P353" s="120" t="n"/>
      <c r="Q353" s="120" t="n"/>
      <c r="R353" s="120" t="n"/>
      <c r="S353" s="120" t="n"/>
      <c r="T353" s="120" t="n"/>
      <c r="U353" s="120" t="n"/>
      <c r="V353" s="120" t="n"/>
      <c r="W353" s="120" t="n"/>
      <c r="X353" s="120" t="n"/>
      <c r="Y353" s="120" t="n"/>
      <c r="Z353" s="120" t="n"/>
      <c r="AB353" s="23" t="n"/>
      <c r="AC353" s="24" t="n"/>
      <c r="AD353" s="24" t="n"/>
      <c r="AE353" s="24" t="n"/>
      <c r="AF353" s="25" t="n"/>
      <c r="AG353" s="120" t="n"/>
      <c r="AH353" s="120" t="n"/>
      <c r="AI353" s="120" t="n"/>
      <c r="AJ353" s="120" t="n"/>
      <c r="AK353" s="120" t="n"/>
      <c r="AL353" s="120" t="n"/>
      <c r="AM353" s="120" t="n"/>
      <c r="AN353" s="120" t="n"/>
      <c r="AO353" s="120" t="n"/>
      <c r="AP353" s="120" t="n"/>
      <c r="AQ353" s="120" t="n"/>
      <c r="AR353" s="120" t="n"/>
      <c r="AS353" s="120" t="n"/>
    </row>
    <row r="354" hidden="1" outlineLevel="1">
      <c r="A354" s="8" t="n"/>
      <c r="B354" s="14" t="n"/>
      <c r="C354" s="120" t="n"/>
      <c r="D354" s="120" t="n"/>
      <c r="E354" s="120" t="n"/>
      <c r="F354" s="120" t="n"/>
      <c r="G354" s="120" t="n"/>
      <c r="I354" s="120" t="n"/>
      <c r="J354" s="120" t="n"/>
      <c r="K354" s="120" t="n"/>
      <c r="L354" s="120" t="n"/>
      <c r="M354" s="120" t="n"/>
      <c r="N354" s="120" t="n"/>
      <c r="O354" s="120" t="n"/>
      <c r="P354" s="120" t="n"/>
      <c r="Q354" s="120" t="n"/>
      <c r="R354" s="120" t="n"/>
      <c r="S354" s="120" t="n"/>
      <c r="T354" s="120" t="n"/>
      <c r="U354" s="120" t="n"/>
      <c r="V354" s="120" t="n"/>
      <c r="W354" s="120" t="n"/>
      <c r="X354" s="120" t="n"/>
      <c r="Y354" s="120" t="n"/>
      <c r="Z354" s="120" t="n"/>
      <c r="AB354" s="120" t="n"/>
      <c r="AC354" s="120" t="n"/>
      <c r="AD354" s="120" t="n"/>
      <c r="AE354" s="120" t="n"/>
      <c r="AF354" s="120" t="n"/>
      <c r="AG354" s="120" t="n"/>
      <c r="AH354" s="120" t="n"/>
      <c r="AI354" s="120" t="n"/>
      <c r="AJ354" s="120" t="n"/>
      <c r="AK354" s="120" t="n"/>
      <c r="AL354" s="120" t="n"/>
      <c r="AM354" s="120" t="n"/>
      <c r="AN354" s="120" t="n"/>
      <c r="AO354" s="120" t="n"/>
      <c r="AP354" s="120" t="n"/>
      <c r="AQ354" s="120" t="n"/>
      <c r="AR354" s="120" t="n"/>
      <c r="AS354" s="120" t="n"/>
    </row>
    <row r="355" hidden="1" outlineLevel="1">
      <c r="A355" s="8" t="n"/>
      <c r="B355" s="14" t="n"/>
      <c r="C355" s="120" t="n"/>
      <c r="D355" s="120" t="n"/>
      <c r="E355" s="120" t="n"/>
      <c r="F355" s="120" t="n"/>
      <c r="G355" s="120" t="n"/>
      <c r="I355" s="13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0" t="n"/>
      <c r="AB355" s="13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0" t="n"/>
    </row>
    <row r="356" hidden="1" outlineLevel="2">
      <c r="A356" s="8" t="n"/>
      <c r="B356" s="14" t="n"/>
      <c r="C356" s="120" t="n"/>
      <c r="D356" s="120" t="n"/>
      <c r="E356" s="120" t="n"/>
      <c r="F356" s="120" t="n"/>
      <c r="G356" s="120" t="n"/>
      <c r="I356" s="120" t="n"/>
      <c r="J356" s="120" t="n"/>
      <c r="K356" s="120" t="n"/>
      <c r="L356" s="120" t="n"/>
      <c r="M356" s="120" t="n"/>
      <c r="N356" s="120" t="n"/>
      <c r="O356" s="120" t="n"/>
      <c r="P356" s="120" t="n"/>
      <c r="Q356" s="120" t="n"/>
      <c r="R356" s="120" t="n"/>
      <c r="S356" s="120" t="n"/>
      <c r="T356" s="120" t="n"/>
      <c r="U356" s="120" t="n"/>
      <c r="V356" s="120" t="n"/>
      <c r="W356" s="120" t="n"/>
      <c r="X356" s="120" t="n"/>
      <c r="Y356" s="120" t="n"/>
      <c r="Z356" s="120" t="n"/>
      <c r="AB356" s="120" t="n"/>
      <c r="AC356" s="120" t="n"/>
      <c r="AD356" s="120" t="n"/>
      <c r="AE356" s="120" t="n"/>
      <c r="AF356" s="120" t="n"/>
      <c r="AG356" s="120" t="n"/>
      <c r="AH356" s="120" t="n"/>
      <c r="AI356" s="120" t="n"/>
      <c r="AJ356" s="120" t="n"/>
      <c r="AK356" s="120" t="n"/>
      <c r="AL356" s="120" t="n"/>
      <c r="AM356" s="120" t="n"/>
      <c r="AN356" s="120" t="n"/>
      <c r="AO356" s="120" t="n"/>
      <c r="AP356" s="120" t="n"/>
      <c r="AQ356" s="120" t="n"/>
      <c r="AR356" s="120" t="n"/>
      <c r="AS356" s="120" t="n"/>
    </row>
    <row r="357" hidden="1" outlineLevel="2">
      <c r="A357" s="8" t="n"/>
      <c r="B357" s="14" t="n"/>
      <c r="C357" s="120" t="n"/>
      <c r="D357" s="120" t="n"/>
      <c r="E357" s="120" t="n"/>
      <c r="F357" s="120" t="n"/>
      <c r="G357" s="120" t="n"/>
      <c r="I357" s="55">
        <f>DADOS_INVOC!$PM$25</f>
        <v/>
      </c>
      <c r="J357" s="16" t="n"/>
      <c r="K357" s="16" t="n"/>
      <c r="L357" s="16" t="n"/>
      <c r="M357" s="17" t="n"/>
      <c r="N357" s="120" t="n"/>
      <c r="O357" s="55">
        <f>DADOS_INVOC!$PM$26</f>
        <v/>
      </c>
      <c r="P357" s="16" t="n"/>
      <c r="Q357" s="16" t="n"/>
      <c r="R357" s="16" t="n"/>
      <c r="S357" s="17" t="n"/>
      <c r="T357" s="120" t="n"/>
      <c r="U357" s="55">
        <f>DADOS_INVOC!$PM$27</f>
        <v/>
      </c>
      <c r="V357" s="16" t="n"/>
      <c r="W357" s="16" t="n"/>
      <c r="X357" s="16" t="n"/>
      <c r="Y357" s="17" t="n"/>
      <c r="Z357" s="120" t="n"/>
      <c r="AB357" s="55">
        <f>DADOS_INVOC!$PM$103</f>
        <v/>
      </c>
      <c r="AC357" s="16" t="n"/>
      <c r="AD357" s="16" t="n"/>
      <c r="AE357" s="16" t="n"/>
      <c r="AF357" s="17" t="n"/>
      <c r="AG357" s="120" t="n"/>
      <c r="AH357" s="55">
        <f>DADOS_INVOC!$PM$104</f>
        <v/>
      </c>
      <c r="AI357" s="16" t="n"/>
      <c r="AJ357" s="16" t="n"/>
      <c r="AK357" s="16" t="n"/>
      <c r="AL357" s="17" t="n"/>
      <c r="AM357" s="120" t="n"/>
      <c r="AN357" s="55">
        <f>DADOS_INVOC!$PM$105</f>
        <v/>
      </c>
      <c r="AO357" s="16" t="n"/>
      <c r="AP357" s="16" t="n"/>
      <c r="AQ357" s="16" t="n"/>
      <c r="AR357" s="17" t="n"/>
      <c r="AS357" s="120" t="n"/>
    </row>
    <row r="358" hidden="1" outlineLevel="2">
      <c r="A358" s="8" t="n"/>
      <c r="B358" s="14" t="n"/>
      <c r="C358" s="120" t="n"/>
      <c r="D358" s="120" t="n"/>
      <c r="E358" s="120" t="n"/>
      <c r="F358" s="120" t="n"/>
      <c r="G358" s="120" t="n"/>
      <c r="I358" s="127" t="n">
        <v>1</v>
      </c>
      <c r="J358" s="115" t="n"/>
      <c r="K358" s="16" t="n"/>
      <c r="L358" s="17" t="n"/>
      <c r="M358" s="128">
        <f>DADOS_INVOC!$PK$25</f>
        <v/>
      </c>
      <c r="N358" s="120" t="n"/>
      <c r="O358" s="127" t="n">
        <v>1</v>
      </c>
      <c r="P358" s="115" t="n"/>
      <c r="Q358" s="16" t="n"/>
      <c r="R358" s="17" t="n"/>
      <c r="S358" s="128">
        <f>DADOS_INVOC!$PK$26</f>
        <v/>
      </c>
      <c r="T358" s="120" t="n"/>
      <c r="U358" s="127" t="n">
        <v>1</v>
      </c>
      <c r="V358" s="115" t="n"/>
      <c r="W358" s="16" t="n"/>
      <c r="X358" s="17" t="n"/>
      <c r="Y358" s="128">
        <f>DADOS_INVOC!$PK$27</f>
        <v/>
      </c>
      <c r="Z358" s="120" t="n"/>
      <c r="AB358" s="127" t="n">
        <v>1</v>
      </c>
      <c r="AC358" s="115" t="n"/>
      <c r="AD358" s="16" t="n"/>
      <c r="AE358" s="17" t="n"/>
      <c r="AF358" s="128">
        <f>DADOS_INVOC!$PK$103</f>
        <v/>
      </c>
      <c r="AG358" s="120" t="n"/>
      <c r="AH358" s="127" t="n">
        <v>1</v>
      </c>
      <c r="AI358" s="115" t="n"/>
      <c r="AJ358" s="16" t="n"/>
      <c r="AK358" s="17" t="n"/>
      <c r="AL358" s="128">
        <f>DADOS_INVOC!$PK$104</f>
        <v/>
      </c>
      <c r="AM358" s="120" t="n"/>
      <c r="AN358" s="127" t="n">
        <v>1</v>
      </c>
      <c r="AO358" s="115" t="n"/>
      <c r="AP358" s="16" t="n"/>
      <c r="AQ358" s="17" t="n"/>
      <c r="AR358" s="128">
        <f>DADOS_INVOC!$PK$105</f>
        <v/>
      </c>
      <c r="AS358" s="120" t="n"/>
    </row>
    <row r="359" hidden="1" outlineLevel="3">
      <c r="A359" s="8" t="n"/>
      <c r="B359" s="14" t="n"/>
      <c r="C359" s="120" t="n"/>
      <c r="D359" s="120" t="n"/>
      <c r="E359" s="120" t="n"/>
      <c r="F359" s="120" t="n"/>
      <c r="G359" s="120" t="n"/>
      <c r="I359" s="55" t="inlineStr">
        <is>
          <t>COMO É</t>
        </is>
      </c>
      <c r="J359" s="16" t="n"/>
      <c r="K359" s="16" t="n"/>
      <c r="L359" s="16" t="n"/>
      <c r="M359" s="17" t="n"/>
      <c r="N359" s="120" t="n"/>
      <c r="O359" s="55" t="inlineStr">
        <is>
          <t>COMO É</t>
        </is>
      </c>
      <c r="P359" s="16" t="n"/>
      <c r="Q359" s="16" t="n"/>
      <c r="R359" s="16" t="n"/>
      <c r="S359" s="17" t="n"/>
      <c r="T359" s="120" t="n"/>
      <c r="U359" s="55" t="inlineStr">
        <is>
          <t>COMO É</t>
        </is>
      </c>
      <c r="V359" s="16" t="n"/>
      <c r="W359" s="16" t="n"/>
      <c r="X359" s="16" t="n"/>
      <c r="Y359" s="17" t="n"/>
      <c r="Z359" s="120" t="n"/>
      <c r="AB359" s="55" t="inlineStr">
        <is>
          <t>COMO É</t>
        </is>
      </c>
      <c r="AC359" s="16" t="n"/>
      <c r="AD359" s="16" t="n"/>
      <c r="AE359" s="16" t="n"/>
      <c r="AF359" s="17" t="n"/>
      <c r="AG359" s="120" t="n"/>
      <c r="AH359" s="55" t="inlineStr">
        <is>
          <t>COMO É</t>
        </is>
      </c>
      <c r="AI359" s="16" t="n"/>
      <c r="AJ359" s="16" t="n"/>
      <c r="AK359" s="16" t="n"/>
      <c r="AL359" s="17" t="n"/>
      <c r="AM359" s="120" t="n"/>
      <c r="AN359" s="55" t="inlineStr">
        <is>
          <t>COMO É</t>
        </is>
      </c>
      <c r="AO359" s="16" t="n"/>
      <c r="AP359" s="16" t="n"/>
      <c r="AQ359" s="16" t="n"/>
      <c r="AR359" s="17" t="n"/>
      <c r="AS359" s="120" t="n"/>
    </row>
    <row r="360" hidden="1" outlineLevel="3">
      <c r="A360" s="8" t="n"/>
      <c r="B360" s="14" t="n"/>
      <c r="C360" s="120" t="n"/>
      <c r="D360" s="120" t="n"/>
      <c r="E360" s="120" t="n"/>
      <c r="F360" s="120" t="n"/>
      <c r="G360" s="120" t="n"/>
      <c r="I360" s="116" t="n"/>
      <c r="J360" s="19" t="n"/>
      <c r="K360" s="19" t="n"/>
      <c r="L360" s="19" t="n"/>
      <c r="M360" s="20" t="n"/>
      <c r="N360" s="120" t="n"/>
      <c r="O360" s="116" t="n"/>
      <c r="P360" s="19" t="n"/>
      <c r="Q360" s="19" t="n"/>
      <c r="R360" s="19" t="n"/>
      <c r="S360" s="20" t="n"/>
      <c r="T360" s="120" t="n"/>
      <c r="U360" s="116" t="n"/>
      <c r="V360" s="19" t="n"/>
      <c r="W360" s="19" t="n"/>
      <c r="X360" s="19" t="n"/>
      <c r="Y360" s="20" t="n"/>
      <c r="Z360" s="120" t="n"/>
      <c r="AB360" s="116" t="n"/>
      <c r="AC360" s="19" t="n"/>
      <c r="AD360" s="19" t="n"/>
      <c r="AE360" s="19" t="n"/>
      <c r="AF360" s="20" t="n"/>
      <c r="AG360" s="120" t="n"/>
      <c r="AH360" s="116" t="n"/>
      <c r="AI360" s="19" t="n"/>
      <c r="AJ360" s="19" t="n"/>
      <c r="AK360" s="19" t="n"/>
      <c r="AL360" s="20" t="n"/>
      <c r="AM360" s="120" t="n"/>
      <c r="AN360" s="116" t="n"/>
      <c r="AO360" s="19" t="n"/>
      <c r="AP360" s="19" t="n"/>
      <c r="AQ360" s="19" t="n"/>
      <c r="AR360" s="20" t="n"/>
      <c r="AS360" s="120" t="n"/>
    </row>
    <row r="361" hidden="1" outlineLevel="3">
      <c r="A361" s="8" t="n"/>
      <c r="B361" s="14" t="n"/>
      <c r="C361" s="120" t="n"/>
      <c r="D361" s="120" t="n"/>
      <c r="E361" s="120" t="n"/>
      <c r="F361" s="120" t="n"/>
      <c r="G361" s="120" t="n"/>
      <c r="I361" s="21" t="n"/>
      <c r="M361" s="22" t="n"/>
      <c r="N361" s="120" t="n"/>
      <c r="O361" s="21" t="n"/>
      <c r="S361" s="22" t="n"/>
      <c r="T361" s="120" t="n"/>
      <c r="U361" s="21" t="n"/>
      <c r="Y361" s="22" t="n"/>
      <c r="Z361" s="120" t="n"/>
      <c r="AB361" s="21" t="n"/>
      <c r="AF361" s="22" t="n"/>
      <c r="AG361" s="120" t="n"/>
      <c r="AH361" s="21" t="n"/>
      <c r="AL361" s="22" t="n"/>
      <c r="AM361" s="120" t="n"/>
      <c r="AN361" s="21" t="n"/>
      <c r="AR361" s="22" t="n"/>
      <c r="AS361" s="120" t="n"/>
    </row>
    <row r="362" hidden="1" outlineLevel="3">
      <c r="A362" s="8" t="n"/>
      <c r="B362" s="14" t="n"/>
      <c r="C362" s="120" t="n"/>
      <c r="D362" s="120" t="n"/>
      <c r="E362" s="120" t="n"/>
      <c r="F362" s="120" t="n"/>
      <c r="G362" s="120" t="n"/>
      <c r="I362" s="23" t="n"/>
      <c r="J362" s="24" t="n"/>
      <c r="K362" s="24" t="n"/>
      <c r="L362" s="24" t="n"/>
      <c r="M362" s="25" t="n"/>
      <c r="N362" s="120" t="n"/>
      <c r="O362" s="23" t="n"/>
      <c r="P362" s="24" t="n"/>
      <c r="Q362" s="24" t="n"/>
      <c r="R362" s="24" t="n"/>
      <c r="S362" s="25" t="n"/>
      <c r="T362" s="120" t="n"/>
      <c r="U362" s="23" t="n"/>
      <c r="V362" s="24" t="n"/>
      <c r="W362" s="24" t="n"/>
      <c r="X362" s="24" t="n"/>
      <c r="Y362" s="25" t="n"/>
      <c r="Z362" s="120" t="n"/>
      <c r="AB362" s="23" t="n"/>
      <c r="AC362" s="24" t="n"/>
      <c r="AD362" s="24" t="n"/>
      <c r="AE362" s="24" t="n"/>
      <c r="AF362" s="25" t="n"/>
      <c r="AG362" s="120" t="n"/>
      <c r="AH362" s="23" t="n"/>
      <c r="AI362" s="24" t="n"/>
      <c r="AJ362" s="24" t="n"/>
      <c r="AK362" s="24" t="n"/>
      <c r="AL362" s="25" t="n"/>
      <c r="AM362" s="120" t="n"/>
      <c r="AN362" s="23" t="n"/>
      <c r="AO362" s="24" t="n"/>
      <c r="AP362" s="24" t="n"/>
      <c r="AQ362" s="24" t="n"/>
      <c r="AR362" s="25" t="n"/>
      <c r="AS362" s="120" t="n"/>
    </row>
    <row r="363" hidden="1" outlineLevel="2">
      <c r="A363" s="8" t="n"/>
      <c r="B363" s="14" t="n"/>
      <c r="C363" s="120" t="n"/>
      <c r="D363" s="120" t="n"/>
      <c r="E363" s="120" t="n"/>
      <c r="F363" s="120" t="n"/>
      <c r="G363" s="120" t="n"/>
      <c r="I363" s="124" t="inlineStr">
        <is>
          <t>Projétil</t>
        </is>
      </c>
      <c r="J363" s="17" t="n"/>
      <c r="K363" s="68">
        <f>DADOS_INVOC!$PR$25</f>
        <v/>
      </c>
      <c r="L363" s="17" t="n"/>
      <c r="M363" s="68">
        <f>DADOS_INVOC!$PN$25</f>
        <v/>
      </c>
      <c r="N363" s="120" t="n"/>
      <c r="O363" s="124" t="inlineStr">
        <is>
          <t>Projétil</t>
        </is>
      </c>
      <c r="P363" s="17" t="n"/>
      <c r="Q363" s="68">
        <f>DADOS_INVOC!$PR$26</f>
        <v/>
      </c>
      <c r="R363" s="17" t="n"/>
      <c r="S363" s="68">
        <f>DADOS_INVOC!$PN$26</f>
        <v/>
      </c>
      <c r="T363" s="120" t="n"/>
      <c r="U363" s="124" t="inlineStr">
        <is>
          <t>Projétil</t>
        </is>
      </c>
      <c r="V363" s="17" t="n"/>
      <c r="W363" s="68">
        <f>DADOS_INVOC!$PR$27</f>
        <v/>
      </c>
      <c r="X363" s="17" t="n"/>
      <c r="Y363" s="68">
        <f>DADOS_INVOC!$PN$27</f>
        <v/>
      </c>
      <c r="Z363" s="120" t="n"/>
      <c r="AB363" s="124" t="inlineStr">
        <is>
          <t>Projétil</t>
        </is>
      </c>
      <c r="AC363" s="17" t="n"/>
      <c r="AD363" s="68">
        <f>DADOS_INVOC!$PR$103</f>
        <v/>
      </c>
      <c r="AE363" s="17" t="n"/>
      <c r="AF363" s="68">
        <f>DADOS_INVOC!$PN$103</f>
        <v/>
      </c>
      <c r="AG363" s="120" t="n"/>
      <c r="AH363" s="124" t="inlineStr">
        <is>
          <t>Projétil</t>
        </is>
      </c>
      <c r="AI363" s="17" t="n"/>
      <c r="AJ363" s="68">
        <f>DADOS_INVOC!$PR$104</f>
        <v/>
      </c>
      <c r="AK363" s="17" t="n"/>
      <c r="AL363" s="68">
        <f>DADOS_INVOC!$PN$104</f>
        <v/>
      </c>
      <c r="AM363" s="120" t="n"/>
      <c r="AN363" s="124" t="inlineStr">
        <is>
          <t>Projétil</t>
        </is>
      </c>
      <c r="AO363" s="17" t="n"/>
      <c r="AP363" s="68">
        <f>DADOS_INVOC!$PR$105</f>
        <v/>
      </c>
      <c r="AQ363" s="17" t="n"/>
      <c r="AR363" s="68">
        <f>DADOS_INVOC!$PN$105</f>
        <v/>
      </c>
      <c r="AS363" s="120" t="n"/>
    </row>
    <row r="364" hidden="1" outlineLevel="2">
      <c r="A364" s="8" t="n"/>
      <c r="B364" s="14" t="n"/>
      <c r="C364" s="120" t="n"/>
      <c r="D364" s="120" t="n"/>
      <c r="E364" s="120" t="n"/>
      <c r="F364" s="120" t="n"/>
      <c r="G364" s="120" t="n"/>
      <c r="I364" s="124" t="n"/>
      <c r="J364" s="17" t="n"/>
      <c r="K364" s="124" t="n"/>
      <c r="L364" s="16" t="n"/>
      <c r="M364" s="17" t="n"/>
      <c r="N364" s="120" t="n"/>
      <c r="O364" s="124" t="n"/>
      <c r="P364" s="17" t="n"/>
      <c r="Q364" s="124" t="n"/>
      <c r="R364" s="16" t="n"/>
      <c r="S364" s="17" t="n"/>
      <c r="T364" s="120" t="n"/>
      <c r="U364" s="124" t="n"/>
      <c r="V364" s="17" t="n"/>
      <c r="W364" s="124" t="n"/>
      <c r="X364" s="16" t="n"/>
      <c r="Y364" s="17" t="n"/>
      <c r="Z364" s="120" t="n"/>
      <c r="AB364" s="124" t="n"/>
      <c r="AC364" s="17" t="n"/>
      <c r="AD364" s="124" t="n"/>
      <c r="AE364" s="16" t="n"/>
      <c r="AF364" s="17" t="n"/>
      <c r="AG364" s="120" t="n"/>
      <c r="AH364" s="124" t="n"/>
      <c r="AI364" s="17" t="n"/>
      <c r="AJ364" s="124" t="n"/>
      <c r="AK364" s="16" t="n"/>
      <c r="AL364" s="17" t="n"/>
      <c r="AM364" s="120" t="n"/>
      <c r="AN364" s="124" t="n"/>
      <c r="AO364" s="17" t="n"/>
      <c r="AP364" s="124" t="n"/>
      <c r="AQ364" s="16" t="n"/>
      <c r="AR364" s="17" t="n"/>
      <c r="AS364" s="120" t="n"/>
    </row>
    <row r="365" hidden="1" outlineLevel="2">
      <c r="A365" s="8" t="n"/>
      <c r="B365" s="14" t="n"/>
      <c r="C365" s="120" t="n"/>
      <c r="D365" s="120" t="n"/>
      <c r="E365" s="120" t="n"/>
      <c r="F365" s="120" t="n"/>
      <c r="G365" s="120" t="n"/>
      <c r="I365" s="124">
        <f>DADOS_INVOC!$PO$25</f>
        <v/>
      </c>
      <c r="J365" s="17" t="n"/>
      <c r="K365" s="124">
        <f>DADOS_INVOC!$PQ$25</f>
        <v/>
      </c>
      <c r="L365" s="16" t="n"/>
      <c r="M365" s="17" t="n"/>
      <c r="N365" s="120" t="n"/>
      <c r="O365" s="124">
        <f>DADOS_INVOC!$PO$26</f>
        <v/>
      </c>
      <c r="P365" s="17" t="n"/>
      <c r="Q365" s="124">
        <f>DADOS_INVOC!$PQ$26</f>
        <v/>
      </c>
      <c r="R365" s="16" t="n"/>
      <c r="S365" s="17" t="n"/>
      <c r="T365" s="120" t="n"/>
      <c r="U365" s="124">
        <f>DADOS_INVOC!$PO$27</f>
        <v/>
      </c>
      <c r="V365" s="17" t="n"/>
      <c r="W365" s="124">
        <f>DADOS_INVOC!$PQ$27</f>
        <v/>
      </c>
      <c r="X365" s="16" t="n"/>
      <c r="Y365" s="17" t="n"/>
      <c r="Z365" s="120" t="n"/>
      <c r="AB365" s="124">
        <f>DADOS_INVOC!$PO$103</f>
        <v/>
      </c>
      <c r="AC365" s="17" t="n"/>
      <c r="AD365" s="124">
        <f>DADOS_INVOC!$PQ$103</f>
        <v/>
      </c>
      <c r="AE365" s="16" t="n"/>
      <c r="AF365" s="17" t="n"/>
      <c r="AG365" s="120" t="n"/>
      <c r="AH365" s="124">
        <f>DADOS_INVOC!$PO$104</f>
        <v/>
      </c>
      <c r="AI365" s="17" t="n"/>
      <c r="AJ365" s="124">
        <f>DADOS_INVOC!$PQ$104</f>
        <v/>
      </c>
      <c r="AK365" s="16" t="n"/>
      <c r="AL365" s="17" t="n"/>
      <c r="AM365" s="120" t="n"/>
      <c r="AN365" s="124">
        <f>DADOS_INVOC!$PO$105</f>
        <v/>
      </c>
      <c r="AO365" s="17" t="n"/>
      <c r="AP365" s="124">
        <f>DADOS_INVOC!$PQ$105</f>
        <v/>
      </c>
      <c r="AQ365" s="16" t="n"/>
      <c r="AR365" s="17" t="n"/>
      <c r="AS365" s="120" t="n"/>
    </row>
    <row r="366" hidden="1" outlineLevel="2">
      <c r="A366" s="8" t="n"/>
      <c r="B366" s="14" t="n"/>
      <c r="C366" s="120" t="n"/>
      <c r="D366" s="120" t="n"/>
      <c r="E366" s="120" t="n"/>
      <c r="F366" s="120" t="n"/>
      <c r="G366" s="120" t="n"/>
      <c r="I366" s="129">
        <f>DADOS_INVOC!$PW$25</f>
        <v/>
      </c>
      <c r="J366" s="16" t="n"/>
      <c r="K366" s="16" t="n"/>
      <c r="L366" s="16" t="n"/>
      <c r="M366" s="17" t="n"/>
      <c r="N366" s="120" t="n"/>
      <c r="O366" s="129">
        <f>DADOS_INVOC!$PW$26</f>
        <v/>
      </c>
      <c r="P366" s="16" t="n"/>
      <c r="Q366" s="16" t="n"/>
      <c r="R366" s="16" t="n"/>
      <c r="S366" s="17" t="n"/>
      <c r="T366" s="120" t="n"/>
      <c r="U366" s="129">
        <f>DADOS_INVOC!$PW$27</f>
        <v/>
      </c>
      <c r="V366" s="16" t="n"/>
      <c r="W366" s="16" t="n"/>
      <c r="X366" s="16" t="n"/>
      <c r="Y366" s="17" t="n"/>
      <c r="Z366" s="120" t="n"/>
      <c r="AB366" s="129">
        <f>DADOS_INVOC!$PW$103</f>
        <v/>
      </c>
      <c r="AC366" s="16" t="n"/>
      <c r="AD366" s="16" t="n"/>
      <c r="AE366" s="16" t="n"/>
      <c r="AF366" s="17" t="n"/>
      <c r="AG366" s="120" t="n"/>
      <c r="AH366" s="129">
        <f>DADOS_INVOC!$PW$104</f>
        <v/>
      </c>
      <c r="AI366" s="16" t="n"/>
      <c r="AJ366" s="16" t="n"/>
      <c r="AK366" s="16" t="n"/>
      <c r="AL366" s="17" t="n"/>
      <c r="AM366" s="120" t="n"/>
      <c r="AN366" s="129">
        <f>DADOS_INVOC!$PW$105</f>
        <v/>
      </c>
      <c r="AO366" s="16" t="n"/>
      <c r="AP366" s="16" t="n"/>
      <c r="AQ366" s="16" t="n"/>
      <c r="AR366" s="17" t="n"/>
      <c r="AS366" s="120" t="n"/>
    </row>
    <row r="367" hidden="1" outlineLevel="3">
      <c r="A367" s="8" t="n"/>
      <c r="B367" s="14" t="n"/>
      <c r="C367" s="120" t="n"/>
      <c r="D367" s="120" t="n"/>
      <c r="E367" s="120" t="n"/>
      <c r="F367" s="120" t="n"/>
      <c r="G367" s="120" t="n"/>
      <c r="I367" s="55" t="inlineStr">
        <is>
          <t>MELHORIAS</t>
        </is>
      </c>
      <c r="J367" s="130" t="n"/>
      <c r="K367" s="16" t="n"/>
      <c r="L367" s="17" t="n"/>
      <c r="M367" s="129">
        <f>DADOS_INVOC!$PZ$25</f>
        <v/>
      </c>
      <c r="N367" s="120" t="n"/>
      <c r="O367" s="55" t="inlineStr">
        <is>
          <t>MELHORIAS</t>
        </is>
      </c>
      <c r="P367" s="130" t="n"/>
      <c r="Q367" s="16" t="n"/>
      <c r="R367" s="17" t="n"/>
      <c r="S367" s="129">
        <f>DADOS_INVOC!$PZ$26</f>
        <v/>
      </c>
      <c r="T367" s="120" t="n"/>
      <c r="U367" s="55" t="inlineStr">
        <is>
          <t>MELHORIAS</t>
        </is>
      </c>
      <c r="V367" s="130" t="n"/>
      <c r="W367" s="16" t="n"/>
      <c r="X367" s="17" t="n"/>
      <c r="Y367" s="129">
        <f>DADOS_INVOC!$PZ$27</f>
        <v/>
      </c>
      <c r="Z367" s="120" t="n"/>
      <c r="AB367" s="55" t="inlineStr">
        <is>
          <t>MELHORIAS</t>
        </is>
      </c>
      <c r="AC367" s="130" t="n"/>
      <c r="AD367" s="16" t="n"/>
      <c r="AE367" s="17" t="n"/>
      <c r="AF367" s="129">
        <f>DADOS_INVOC!$PZ$103</f>
        <v/>
      </c>
      <c r="AG367" s="120" t="n"/>
      <c r="AH367" s="55" t="inlineStr">
        <is>
          <t>MELHORIAS</t>
        </is>
      </c>
      <c r="AI367" s="130" t="n"/>
      <c r="AJ367" s="16" t="n"/>
      <c r="AK367" s="17" t="n"/>
      <c r="AL367" s="129">
        <f>DADOS_INVOC!$PZ$104</f>
        <v/>
      </c>
      <c r="AM367" s="120" t="n"/>
      <c r="AN367" s="55" t="inlineStr">
        <is>
          <t>MELHORIAS</t>
        </is>
      </c>
      <c r="AO367" s="130" t="n"/>
      <c r="AP367" s="16" t="n"/>
      <c r="AQ367" s="17" t="n"/>
      <c r="AR367" s="129">
        <f>DADOS_INVOC!$PZ$105</f>
        <v/>
      </c>
      <c r="AS367" s="120" t="n"/>
    </row>
    <row r="368" hidden="1" outlineLevel="3">
      <c r="A368" s="8" t="n"/>
      <c r="B368" s="14" t="n"/>
      <c r="C368" s="120" t="n"/>
      <c r="D368" s="120" t="n"/>
      <c r="E368" s="120" t="n"/>
      <c r="F368" s="120" t="n"/>
      <c r="G368" s="120" t="n"/>
      <c r="I368" s="131" t="n"/>
      <c r="J368" s="130" t="n"/>
      <c r="K368" s="16" t="n"/>
      <c r="L368" s="17" t="n"/>
      <c r="M368" s="129">
        <f>DADOS_INVOC!$QA$25</f>
        <v/>
      </c>
      <c r="N368" s="120" t="n"/>
      <c r="O368" s="131" t="n"/>
      <c r="P368" s="130" t="n"/>
      <c r="Q368" s="16" t="n"/>
      <c r="R368" s="17" t="n"/>
      <c r="S368" s="129">
        <f>DADOS_INVOC!$QA$26</f>
        <v/>
      </c>
      <c r="T368" s="120" t="n"/>
      <c r="U368" s="131" t="n"/>
      <c r="V368" s="130" t="n"/>
      <c r="W368" s="16" t="n"/>
      <c r="X368" s="17" t="n"/>
      <c r="Y368" s="129">
        <f>DADOS_INVOC!$QA$27</f>
        <v/>
      </c>
      <c r="Z368" s="120" t="n"/>
      <c r="AB368" s="131" t="n"/>
      <c r="AC368" s="130" t="n"/>
      <c r="AD368" s="16" t="n"/>
      <c r="AE368" s="17" t="n"/>
      <c r="AF368" s="129">
        <f>DADOS_INVOC!$QA$103</f>
        <v/>
      </c>
      <c r="AG368" s="120" t="n"/>
      <c r="AH368" s="131" t="n"/>
      <c r="AI368" s="130" t="n"/>
      <c r="AJ368" s="16" t="n"/>
      <c r="AK368" s="17" t="n"/>
      <c r="AL368" s="129">
        <f>DADOS_INVOC!$QA$104</f>
        <v/>
      </c>
      <c r="AM368" s="120" t="n"/>
      <c r="AN368" s="131" t="n"/>
      <c r="AO368" s="130" t="n"/>
      <c r="AP368" s="16" t="n"/>
      <c r="AQ368" s="17" t="n"/>
      <c r="AR368" s="129">
        <f>DADOS_INVOC!$QA$105</f>
        <v/>
      </c>
      <c r="AS368" s="120" t="n"/>
    </row>
    <row r="369" hidden="1" outlineLevel="3">
      <c r="A369" s="8" t="n"/>
      <c r="B369" s="14" t="n"/>
      <c r="C369" s="120" t="n"/>
      <c r="D369" s="120" t="n"/>
      <c r="E369" s="120" t="n"/>
      <c r="F369" s="120" t="n"/>
      <c r="G369" s="120" t="n"/>
      <c r="I369" s="131" t="n"/>
      <c r="J369" s="130" t="n"/>
      <c r="K369" s="16" t="n"/>
      <c r="L369" s="17" t="n"/>
      <c r="M369" s="129">
        <f>DADOS_INVOC!$QB$25</f>
        <v/>
      </c>
      <c r="N369" s="120" t="n"/>
      <c r="O369" s="131" t="n"/>
      <c r="P369" s="130" t="n"/>
      <c r="Q369" s="16" t="n"/>
      <c r="R369" s="17" t="n"/>
      <c r="S369" s="129">
        <f>DADOS_INVOC!$QB$26</f>
        <v/>
      </c>
      <c r="T369" s="120" t="n"/>
      <c r="U369" s="131" t="n"/>
      <c r="V369" s="130" t="n"/>
      <c r="W369" s="16" t="n"/>
      <c r="X369" s="17" t="n"/>
      <c r="Y369" s="129">
        <f>DADOS_INVOC!$QB$27</f>
        <v/>
      </c>
      <c r="Z369" s="120" t="n"/>
      <c r="AB369" s="131" t="n"/>
      <c r="AC369" s="130" t="n"/>
      <c r="AD369" s="16" t="n"/>
      <c r="AE369" s="17" t="n"/>
      <c r="AF369" s="129">
        <f>DADOS_INVOC!$QB$103</f>
        <v/>
      </c>
      <c r="AG369" s="120" t="n"/>
      <c r="AH369" s="131" t="n"/>
      <c r="AI369" s="130" t="n"/>
      <c r="AJ369" s="16" t="n"/>
      <c r="AK369" s="17" t="n"/>
      <c r="AL369" s="129">
        <f>DADOS_INVOC!$QB$104</f>
        <v/>
      </c>
      <c r="AM369" s="120" t="n"/>
      <c r="AN369" s="131" t="n"/>
      <c r="AO369" s="130" t="n"/>
      <c r="AP369" s="16" t="n"/>
      <c r="AQ369" s="17" t="n"/>
      <c r="AR369" s="129">
        <f>DADOS_INVOC!$QB$105</f>
        <v/>
      </c>
      <c r="AS369" s="120" t="n"/>
    </row>
    <row r="370" hidden="1" outlineLevel="3">
      <c r="A370" s="8" t="n"/>
      <c r="B370" s="14" t="n"/>
      <c r="C370" s="120" t="n"/>
      <c r="D370" s="120" t="n"/>
      <c r="E370" s="120" t="n"/>
      <c r="F370" s="120" t="n"/>
      <c r="G370" s="120" t="n"/>
      <c r="I370" s="125" t="n"/>
      <c r="J370" s="130" t="n"/>
      <c r="K370" s="16" t="n"/>
      <c r="L370" s="17" t="n"/>
      <c r="M370" s="129">
        <f>DADOS_INVOC!$QC$25</f>
        <v/>
      </c>
      <c r="N370" s="120" t="n"/>
      <c r="O370" s="125" t="n"/>
      <c r="P370" s="130" t="n"/>
      <c r="Q370" s="16" t="n"/>
      <c r="R370" s="17" t="n"/>
      <c r="S370" s="129">
        <f>DADOS_INVOC!$QC$26</f>
        <v/>
      </c>
      <c r="T370" s="120" t="n"/>
      <c r="U370" s="125" t="n"/>
      <c r="V370" s="130" t="n"/>
      <c r="W370" s="16" t="n"/>
      <c r="X370" s="17" t="n"/>
      <c r="Y370" s="129">
        <f>DADOS_INVOC!$QC$27</f>
        <v/>
      </c>
      <c r="Z370" s="120" t="n"/>
      <c r="AB370" s="125" t="n"/>
      <c r="AC370" s="130" t="n"/>
      <c r="AD370" s="16" t="n"/>
      <c r="AE370" s="17" t="n"/>
      <c r="AF370" s="129">
        <f>DADOS_INVOC!$QC$103</f>
        <v/>
      </c>
      <c r="AG370" s="120" t="n"/>
      <c r="AH370" s="125" t="n"/>
      <c r="AI370" s="130" t="n"/>
      <c r="AJ370" s="16" t="n"/>
      <c r="AK370" s="17" t="n"/>
      <c r="AL370" s="129">
        <f>DADOS_INVOC!$QC$104</f>
        <v/>
      </c>
      <c r="AM370" s="120" t="n"/>
      <c r="AN370" s="125" t="n"/>
      <c r="AO370" s="130" t="n"/>
      <c r="AP370" s="16" t="n"/>
      <c r="AQ370" s="17" t="n"/>
      <c r="AR370" s="129">
        <f>DADOS_INVOC!$QC$105</f>
        <v/>
      </c>
      <c r="AS370" s="120" t="n"/>
    </row>
    <row r="371" hidden="1" outlineLevel="3">
      <c r="A371" s="8" t="n"/>
      <c r="B371" s="14" t="n"/>
      <c r="C371" s="120" t="n"/>
      <c r="D371" s="120" t="n"/>
      <c r="E371" s="120" t="n"/>
      <c r="F371" s="120" t="n"/>
      <c r="G371" s="120" t="n"/>
      <c r="I371" s="55" t="inlineStr">
        <is>
          <t>RESTRIÇÕES</t>
        </is>
      </c>
      <c r="J371" s="130" t="n"/>
      <c r="K371" s="16" t="n"/>
      <c r="L371" s="17" t="n"/>
      <c r="M371" s="129">
        <f>DADOS_INVOC!$QD$25</f>
        <v/>
      </c>
      <c r="N371" s="120" t="n"/>
      <c r="O371" s="55" t="inlineStr">
        <is>
          <t>RESTRIÇÕES</t>
        </is>
      </c>
      <c r="P371" s="130" t="n"/>
      <c r="Q371" s="16" t="n"/>
      <c r="R371" s="17" t="n"/>
      <c r="S371" s="129">
        <f>DADOS_INVOC!$QD$26</f>
        <v/>
      </c>
      <c r="T371" s="120" t="n"/>
      <c r="U371" s="55" t="inlineStr">
        <is>
          <t>RESTRIÇÕES</t>
        </is>
      </c>
      <c r="V371" s="130" t="n"/>
      <c r="W371" s="16" t="n"/>
      <c r="X371" s="17" t="n"/>
      <c r="Y371" s="129">
        <f>DADOS_INVOC!$QD$27</f>
        <v/>
      </c>
      <c r="Z371" s="120" t="n"/>
      <c r="AB371" s="55" t="inlineStr">
        <is>
          <t>RESTRIÇÕES</t>
        </is>
      </c>
      <c r="AC371" s="130" t="n"/>
      <c r="AD371" s="16" t="n"/>
      <c r="AE371" s="17" t="n"/>
      <c r="AF371" s="129">
        <f>DADOS_INVOC!$QD$103</f>
        <v/>
      </c>
      <c r="AG371" s="120" t="n"/>
      <c r="AH371" s="55" t="inlineStr">
        <is>
          <t>RESTRIÇÕES</t>
        </is>
      </c>
      <c r="AI371" s="130" t="n"/>
      <c r="AJ371" s="16" t="n"/>
      <c r="AK371" s="17" t="n"/>
      <c r="AL371" s="129">
        <f>DADOS_INVOC!$QD$104</f>
        <v/>
      </c>
      <c r="AM371" s="120" t="n"/>
      <c r="AN371" s="55" t="inlineStr">
        <is>
          <t>RESTRIÇÕES</t>
        </is>
      </c>
      <c r="AO371" s="130" t="n"/>
      <c r="AP371" s="16" t="n"/>
      <c r="AQ371" s="17" t="n"/>
      <c r="AR371" s="129">
        <f>DADOS_INVOC!$QD$105</f>
        <v/>
      </c>
      <c r="AS371" s="120" t="n"/>
    </row>
    <row r="372" hidden="1" outlineLevel="3">
      <c r="A372" s="8" t="n"/>
      <c r="B372" s="14" t="n"/>
      <c r="C372" s="120" t="n"/>
      <c r="D372" s="120" t="n"/>
      <c r="E372" s="120" t="n"/>
      <c r="F372" s="120" t="n"/>
      <c r="G372" s="120" t="n"/>
      <c r="I372" s="125" t="n"/>
      <c r="J372" s="130" t="n"/>
      <c r="K372" s="16" t="n"/>
      <c r="L372" s="17" t="n"/>
      <c r="M372" s="129">
        <f>DADOS_INVOC!$QE$25</f>
        <v/>
      </c>
      <c r="N372" s="120" t="n"/>
      <c r="O372" s="125" t="n"/>
      <c r="P372" s="130" t="n"/>
      <c r="Q372" s="16" t="n"/>
      <c r="R372" s="17" t="n"/>
      <c r="S372" s="129">
        <f>DADOS_INVOC!$QE$26</f>
        <v/>
      </c>
      <c r="T372" s="120" t="n"/>
      <c r="U372" s="125" t="n"/>
      <c r="V372" s="130" t="n"/>
      <c r="W372" s="16" t="n"/>
      <c r="X372" s="17" t="n"/>
      <c r="Y372" s="129">
        <f>DADOS_INVOC!$QE$27</f>
        <v/>
      </c>
      <c r="Z372" s="120" t="n"/>
      <c r="AB372" s="125" t="n"/>
      <c r="AC372" s="130" t="n"/>
      <c r="AD372" s="16" t="n"/>
      <c r="AE372" s="17" t="n"/>
      <c r="AF372" s="129">
        <f>DADOS_INVOC!$QE$103</f>
        <v/>
      </c>
      <c r="AG372" s="120" t="n"/>
      <c r="AH372" s="125" t="n"/>
      <c r="AI372" s="130" t="n"/>
      <c r="AJ372" s="16" t="n"/>
      <c r="AK372" s="17" t="n"/>
      <c r="AL372" s="129">
        <f>DADOS_INVOC!$QE$104</f>
        <v/>
      </c>
      <c r="AM372" s="120" t="n"/>
      <c r="AN372" s="125" t="n"/>
      <c r="AO372" s="130" t="n"/>
      <c r="AP372" s="16" t="n"/>
      <c r="AQ372" s="17" t="n"/>
      <c r="AR372" s="129">
        <f>DADOS_INVOC!$QE$105</f>
        <v/>
      </c>
      <c r="AS372" s="120" t="n"/>
    </row>
    <row r="373" hidden="1" outlineLevel="3">
      <c r="A373" s="8" t="n"/>
      <c r="B373" s="14" t="n"/>
      <c r="C373" s="120" t="n"/>
      <c r="D373" s="120" t="n"/>
      <c r="E373" s="120" t="n"/>
      <c r="F373" s="120" t="n"/>
      <c r="G373" s="120" t="n"/>
      <c r="I373" s="55" t="inlineStr">
        <is>
          <t>CONTA</t>
        </is>
      </c>
      <c r="J373" s="132">
        <f>DADOS_INVOC!$PX$25</f>
        <v/>
      </c>
      <c r="K373" s="16" t="n"/>
      <c r="L373" s="16" t="n"/>
      <c r="M373" s="17" t="n"/>
      <c r="N373" s="120" t="n"/>
      <c r="O373" s="55" t="inlineStr">
        <is>
          <t>CONTA</t>
        </is>
      </c>
      <c r="P373" s="132">
        <f>DADOS_INVOC!$PX$26</f>
        <v/>
      </c>
      <c r="Q373" s="16" t="n"/>
      <c r="R373" s="16" t="n"/>
      <c r="S373" s="17" t="n"/>
      <c r="T373" s="120" t="n"/>
      <c r="U373" s="55" t="inlineStr">
        <is>
          <t>CONTA</t>
        </is>
      </c>
      <c r="V373" s="132">
        <f>DADOS_INVOC!$PX$27</f>
        <v/>
      </c>
      <c r="W373" s="16" t="n"/>
      <c r="X373" s="16" t="n"/>
      <c r="Y373" s="17" t="n"/>
      <c r="Z373" s="120" t="n"/>
      <c r="AB373" s="55" t="inlineStr">
        <is>
          <t>CONTA</t>
        </is>
      </c>
      <c r="AC373" s="132">
        <f>DADOS_INVOC!$PX$103</f>
        <v/>
      </c>
      <c r="AD373" s="16" t="n"/>
      <c r="AE373" s="16" t="n"/>
      <c r="AF373" s="17" t="n"/>
      <c r="AG373" s="120" t="n"/>
      <c r="AH373" s="55" t="inlineStr">
        <is>
          <t>CONTA</t>
        </is>
      </c>
      <c r="AI373" s="132">
        <f>DADOS_INVOC!$PX$104</f>
        <v/>
      </c>
      <c r="AJ373" s="16" t="n"/>
      <c r="AK373" s="16" t="n"/>
      <c r="AL373" s="17" t="n"/>
      <c r="AM373" s="120" t="n"/>
      <c r="AN373" s="55" t="inlineStr">
        <is>
          <t>CONTA</t>
        </is>
      </c>
      <c r="AO373" s="132">
        <f>DADOS_INVOC!$PX$105</f>
        <v/>
      </c>
      <c r="AP373" s="16" t="n"/>
      <c r="AQ373" s="16" t="n"/>
      <c r="AR373" s="17" t="n"/>
      <c r="AS373" s="120" t="n"/>
    </row>
    <row r="374" hidden="1" outlineLevel="3">
      <c r="A374" s="8" t="n"/>
      <c r="B374" s="14" t="n"/>
      <c r="C374" s="120" t="n"/>
      <c r="D374" s="120" t="n"/>
      <c r="E374" s="120" t="n"/>
      <c r="F374" s="120" t="n"/>
      <c r="G374" s="120" t="n"/>
      <c r="I374" s="55" t="inlineStr">
        <is>
          <t>AMPLIAR</t>
        </is>
      </c>
      <c r="J374" s="132">
        <f>DADOS_INVOC!$PY$25</f>
        <v/>
      </c>
      <c r="K374" s="19" t="n"/>
      <c r="L374" s="19" t="n"/>
      <c r="M374" s="20" t="n"/>
      <c r="N374" s="120" t="n"/>
      <c r="O374" s="55" t="inlineStr">
        <is>
          <t>AMPLIAR</t>
        </is>
      </c>
      <c r="P374" s="132">
        <f>DADOS_INVOC!$PY$26</f>
        <v/>
      </c>
      <c r="Q374" s="19" t="n"/>
      <c r="R374" s="19" t="n"/>
      <c r="S374" s="20" t="n"/>
      <c r="T374" s="120" t="n"/>
      <c r="U374" s="55" t="inlineStr">
        <is>
          <t>AMPLIAR</t>
        </is>
      </c>
      <c r="V374" s="132">
        <f>DADOS_INVOC!$PY$27</f>
        <v/>
      </c>
      <c r="W374" s="19" t="n"/>
      <c r="X374" s="19" t="n"/>
      <c r="Y374" s="20" t="n"/>
      <c r="Z374" s="120" t="n"/>
      <c r="AB374" s="55" t="inlineStr">
        <is>
          <t>AMPLIAR</t>
        </is>
      </c>
      <c r="AC374" s="132">
        <f>DADOS_INVOC!$PY$103</f>
        <v/>
      </c>
      <c r="AD374" s="19" t="n"/>
      <c r="AE374" s="19" t="n"/>
      <c r="AF374" s="20" t="n"/>
      <c r="AG374" s="120" t="n"/>
      <c r="AH374" s="55" t="inlineStr">
        <is>
          <t>AMPLIAR</t>
        </is>
      </c>
      <c r="AI374" s="132">
        <f>DADOS_INVOC!$PY$104</f>
        <v/>
      </c>
      <c r="AJ374" s="19" t="n"/>
      <c r="AK374" s="19" t="n"/>
      <c r="AL374" s="20" t="n"/>
      <c r="AM374" s="120" t="n"/>
      <c r="AN374" s="55" t="inlineStr">
        <is>
          <t>AMPLIAR</t>
        </is>
      </c>
      <c r="AO374" s="132">
        <f>DADOS_INVOC!$PY$105</f>
        <v/>
      </c>
      <c r="AP374" s="19" t="n"/>
      <c r="AQ374" s="19" t="n"/>
      <c r="AR374" s="20" t="n"/>
      <c r="AS374" s="120" t="n"/>
    </row>
    <row r="375" hidden="1" outlineLevel="3">
      <c r="A375" s="8" t="n"/>
      <c r="B375" s="14" t="n"/>
      <c r="C375" s="120" t="n"/>
      <c r="D375" s="120" t="n"/>
      <c r="E375" s="120" t="n"/>
      <c r="F375" s="120" t="n"/>
      <c r="G375" s="120" t="n"/>
      <c r="I375" s="125" t="n"/>
      <c r="J375" s="23" t="n"/>
      <c r="K375" s="24" t="n"/>
      <c r="L375" s="24" t="n"/>
      <c r="M375" s="25" t="n"/>
      <c r="N375" s="120" t="n"/>
      <c r="O375" s="125" t="n"/>
      <c r="P375" s="23" t="n"/>
      <c r="Q375" s="24" t="n"/>
      <c r="R375" s="24" t="n"/>
      <c r="S375" s="25" t="n"/>
      <c r="T375" s="120" t="n"/>
      <c r="U375" s="125" t="n"/>
      <c r="V375" s="23" t="n"/>
      <c r="W375" s="24" t="n"/>
      <c r="X375" s="24" t="n"/>
      <c r="Y375" s="25" t="n"/>
      <c r="Z375" s="120" t="n"/>
      <c r="AB375" s="125" t="n"/>
      <c r="AC375" s="23" t="n"/>
      <c r="AD375" s="24" t="n"/>
      <c r="AE375" s="24" t="n"/>
      <c r="AF375" s="25" t="n"/>
      <c r="AG375" s="120" t="n"/>
      <c r="AH375" s="125" t="n"/>
      <c r="AI375" s="23" t="n"/>
      <c r="AJ375" s="24" t="n"/>
      <c r="AK375" s="24" t="n"/>
      <c r="AL375" s="25" t="n"/>
      <c r="AM375" s="120" t="n"/>
      <c r="AN375" s="125" t="n"/>
      <c r="AO375" s="23" t="n"/>
      <c r="AP375" s="24" t="n"/>
      <c r="AQ375" s="24" t="n"/>
      <c r="AR375" s="25" t="n"/>
      <c r="AS375" s="120" t="n"/>
    </row>
    <row r="376" hidden="1" outlineLevel="3">
      <c r="A376" s="8" t="n"/>
      <c r="B376" s="14" t="n"/>
      <c r="C376" s="120" t="n"/>
      <c r="D376" s="120" t="n"/>
      <c r="E376" s="120" t="n"/>
      <c r="F376" s="120" t="n"/>
      <c r="G376" s="120" t="n"/>
      <c r="I376" s="132">
        <f>DADOS_INVOC!$PL$25</f>
        <v/>
      </c>
      <c r="J376" s="19" t="n"/>
      <c r="K376" s="19" t="n"/>
      <c r="L376" s="19" t="n"/>
      <c r="M376" s="20" t="n"/>
      <c r="N376" s="120" t="n"/>
      <c r="O376" s="132">
        <f>DADOS_INVOC!$PL$26</f>
        <v/>
      </c>
      <c r="P376" s="19" t="n"/>
      <c r="Q376" s="19" t="n"/>
      <c r="R376" s="19" t="n"/>
      <c r="S376" s="20" t="n"/>
      <c r="T376" s="120" t="n"/>
      <c r="U376" s="132">
        <f>DADOS_INVOC!$PL$27</f>
        <v/>
      </c>
      <c r="V376" s="19" t="n"/>
      <c r="W376" s="19" t="n"/>
      <c r="X376" s="19" t="n"/>
      <c r="Y376" s="20" t="n"/>
      <c r="Z376" s="120" t="n"/>
      <c r="AB376" s="132">
        <f>DADOS_INVOC!$PL$103</f>
        <v/>
      </c>
      <c r="AC376" s="19" t="n"/>
      <c r="AD376" s="19" t="n"/>
      <c r="AE376" s="19" t="n"/>
      <c r="AF376" s="20" t="n"/>
      <c r="AG376" s="120" t="n"/>
      <c r="AH376" s="132">
        <f>DADOS_INVOC!$PL$104</f>
        <v/>
      </c>
      <c r="AI376" s="19" t="n"/>
      <c r="AJ376" s="19" t="n"/>
      <c r="AK376" s="19" t="n"/>
      <c r="AL376" s="20" t="n"/>
      <c r="AM376" s="120" t="n"/>
      <c r="AN376" s="132">
        <f>DADOS_INVOC!$PL$105</f>
        <v/>
      </c>
      <c r="AO376" s="19" t="n"/>
      <c r="AP376" s="19" t="n"/>
      <c r="AQ376" s="19" t="n"/>
      <c r="AR376" s="20" t="n"/>
      <c r="AS376" s="120" t="n"/>
    </row>
    <row r="377" hidden="1" outlineLevel="3">
      <c r="A377" s="8" t="n"/>
      <c r="B377" s="14" t="n"/>
      <c r="C377" s="120" t="n"/>
      <c r="D377" s="120" t="n"/>
      <c r="E377" s="120" t="n"/>
      <c r="F377" s="120" t="n"/>
      <c r="G377" s="120" t="n"/>
      <c r="I377" s="23" t="n"/>
      <c r="J377" s="24" t="n"/>
      <c r="K377" s="24" t="n"/>
      <c r="L377" s="24" t="n"/>
      <c r="M377" s="25" t="n"/>
      <c r="N377" s="120" t="n"/>
      <c r="O377" s="23" t="n"/>
      <c r="P377" s="24" t="n"/>
      <c r="Q377" s="24" t="n"/>
      <c r="R377" s="24" t="n"/>
      <c r="S377" s="25" t="n"/>
      <c r="T377" s="120" t="n"/>
      <c r="U377" s="23" t="n"/>
      <c r="V377" s="24" t="n"/>
      <c r="W377" s="24" t="n"/>
      <c r="X377" s="24" t="n"/>
      <c r="Y377" s="25" t="n"/>
      <c r="Z377" s="120" t="n"/>
      <c r="AB377" s="23" t="n"/>
      <c r="AC377" s="24" t="n"/>
      <c r="AD377" s="24" t="n"/>
      <c r="AE377" s="24" t="n"/>
      <c r="AF377" s="25" t="n"/>
      <c r="AG377" s="120" t="n"/>
      <c r="AH377" s="23" t="n"/>
      <c r="AI377" s="24" t="n"/>
      <c r="AJ377" s="24" t="n"/>
      <c r="AK377" s="24" t="n"/>
      <c r="AL377" s="25" t="n"/>
      <c r="AM377" s="120" t="n"/>
      <c r="AN377" s="23" t="n"/>
      <c r="AO377" s="24" t="n"/>
      <c r="AP377" s="24" t="n"/>
      <c r="AQ377" s="24" t="n"/>
      <c r="AR377" s="25" t="n"/>
      <c r="AS377" s="120" t="n"/>
    </row>
    <row r="378" hidden="1" outlineLevel="2">
      <c r="A378" s="8" t="n"/>
      <c r="B378" s="14" t="n"/>
      <c r="C378" s="120" t="n"/>
      <c r="D378" s="120" t="n"/>
      <c r="E378" s="120" t="n"/>
      <c r="F378" s="120" t="n"/>
      <c r="G378" s="120" t="n"/>
      <c r="I378" s="120" t="n"/>
      <c r="J378" s="120" t="n"/>
      <c r="K378" s="120" t="n"/>
      <c r="L378" s="120" t="n"/>
      <c r="M378" s="120" t="n"/>
      <c r="N378" s="120" t="n"/>
      <c r="O378" s="120" t="n"/>
      <c r="P378" s="120" t="n"/>
      <c r="Q378" s="120" t="n"/>
      <c r="R378" s="120" t="n"/>
      <c r="S378" s="120" t="n"/>
      <c r="T378" s="120" t="n"/>
      <c r="U378" s="120" t="n"/>
      <c r="V378" s="120" t="n"/>
      <c r="W378" s="120" t="n"/>
      <c r="X378" s="120" t="n"/>
      <c r="Y378" s="120" t="n"/>
      <c r="Z378" s="120" t="n"/>
      <c r="AB378" s="120" t="n"/>
      <c r="AC378" s="120" t="n"/>
      <c r="AD378" s="120" t="n"/>
      <c r="AE378" s="120" t="n"/>
      <c r="AF378" s="120" t="n"/>
      <c r="AG378" s="120" t="n"/>
      <c r="AH378" s="120" t="n"/>
      <c r="AI378" s="120" t="n"/>
      <c r="AJ378" s="120" t="n"/>
      <c r="AK378" s="120" t="n"/>
      <c r="AL378" s="120" t="n"/>
      <c r="AM378" s="120" t="n"/>
      <c r="AN378" s="120" t="n"/>
      <c r="AO378" s="120" t="n"/>
      <c r="AP378" s="120" t="n"/>
      <c r="AQ378" s="120" t="n"/>
      <c r="AR378" s="120" t="n"/>
      <c r="AS378" s="120" t="n"/>
    </row>
    <row r="379" hidden="1" outlineLevel="2">
      <c r="A379" s="8" t="n"/>
      <c r="B379" s="14" t="n"/>
      <c r="C379" s="120" t="n"/>
      <c r="D379" s="120" t="n"/>
      <c r="E379" s="120" t="n"/>
      <c r="F379" s="120" t="n"/>
      <c r="G379" s="120"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0"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0" t="n"/>
    </row>
    <row r="380" hidden="1" outlineLevel="2">
      <c r="A380" s="8" t="n"/>
      <c r="B380" s="14" t="n"/>
      <c r="C380" s="120" t="n"/>
      <c r="D380" s="120" t="n"/>
      <c r="E380" s="120" t="n"/>
      <c r="F380" s="120" t="n"/>
      <c r="G380" s="120" t="n"/>
      <c r="I380" s="55" t="inlineStr">
        <is>
          <t>TRILHA · CE 1</t>
        </is>
      </c>
      <c r="J380" s="130" t="n"/>
      <c r="K380" s="16" t="n"/>
      <c r="L380" s="17" t="n"/>
      <c r="M380" s="137">
        <f>DADOS_INVOC!$IL$3</f>
        <v/>
      </c>
      <c r="N380" s="16" t="n"/>
      <c r="O380" s="16" t="n"/>
      <c r="P380" s="16" t="n"/>
      <c r="Q380" s="16" t="n"/>
      <c r="R380" s="16" t="n"/>
      <c r="S380" s="16" t="n"/>
      <c r="T380" s="16" t="n"/>
      <c r="U380" s="16" t="n"/>
      <c r="V380" s="16" t="n"/>
      <c r="W380" s="16" t="n"/>
      <c r="X380" s="16" t="n"/>
      <c r="Y380" s="17" t="n"/>
      <c r="Z380" s="120" t="n"/>
      <c r="AB380" s="55" t="inlineStr">
        <is>
          <t>TRILHA · CE 1</t>
        </is>
      </c>
      <c r="AC380" s="130" t="n"/>
      <c r="AD380" s="16" t="n"/>
      <c r="AE380" s="17" t="n"/>
      <c r="AF380" s="137">
        <f>DADOS_INVOC!$IL$9</f>
        <v/>
      </c>
      <c r="AG380" s="16" t="n"/>
      <c r="AH380" s="16" t="n"/>
      <c r="AI380" s="16" t="n"/>
      <c r="AJ380" s="16" t="n"/>
      <c r="AK380" s="16" t="n"/>
      <c r="AL380" s="16" t="n"/>
      <c r="AM380" s="16" t="n"/>
      <c r="AN380" s="16" t="n"/>
      <c r="AO380" s="16" t="n"/>
      <c r="AP380" s="16" t="n"/>
      <c r="AQ380" s="16" t="n"/>
      <c r="AR380" s="17" t="n"/>
      <c r="AS380" s="120" t="n"/>
    </row>
    <row r="381" hidden="1" outlineLevel="2">
      <c r="A381" s="8" t="n"/>
      <c r="B381" s="14" t="n"/>
      <c r="C381" s="120" t="n"/>
      <c r="D381" s="120" t="n"/>
      <c r="E381" s="120" t="n"/>
      <c r="F381" s="120" t="n"/>
      <c r="G381" s="120" t="n"/>
      <c r="I381" s="55" t="inlineStr">
        <is>
          <t>TRILHA · CE 1</t>
        </is>
      </c>
      <c r="J381" s="130" t="n"/>
      <c r="K381" s="16" t="n"/>
      <c r="L381" s="17" t="n"/>
      <c r="M381" s="137">
        <f>DADOS_INVOC!$IM$3</f>
        <v/>
      </c>
      <c r="N381" s="16" t="n"/>
      <c r="O381" s="16" t="n"/>
      <c r="P381" s="16" t="n"/>
      <c r="Q381" s="16" t="n"/>
      <c r="R381" s="16" t="n"/>
      <c r="S381" s="16" t="n"/>
      <c r="T381" s="16" t="n"/>
      <c r="U381" s="16" t="n"/>
      <c r="V381" s="16" t="n"/>
      <c r="W381" s="16" t="n"/>
      <c r="X381" s="16" t="n"/>
      <c r="Y381" s="17" t="n"/>
      <c r="Z381" s="120" t="n"/>
      <c r="AB381" s="55" t="inlineStr">
        <is>
          <t>TRILHA · CE 1</t>
        </is>
      </c>
      <c r="AC381" s="130" t="n"/>
      <c r="AD381" s="16" t="n"/>
      <c r="AE381" s="17" t="n"/>
      <c r="AF381" s="137">
        <f>DADOS_INVOC!$IM$9</f>
        <v/>
      </c>
      <c r="AG381" s="16" t="n"/>
      <c r="AH381" s="16" t="n"/>
      <c r="AI381" s="16" t="n"/>
      <c r="AJ381" s="16" t="n"/>
      <c r="AK381" s="16" t="n"/>
      <c r="AL381" s="16" t="n"/>
      <c r="AM381" s="16" t="n"/>
      <c r="AN381" s="16" t="n"/>
      <c r="AO381" s="16" t="n"/>
      <c r="AP381" s="16" t="n"/>
      <c r="AQ381" s="16" t="n"/>
      <c r="AR381" s="17" t="n"/>
      <c r="AS381" s="120" t="n"/>
    </row>
    <row r="382" hidden="1" outlineLevel="2">
      <c r="A382" s="8" t="n"/>
      <c r="B382" s="14" t="n"/>
      <c r="C382" s="120" t="n"/>
      <c r="D382" s="120" t="n"/>
      <c r="E382" s="120" t="n"/>
      <c r="F382" s="120" t="n"/>
      <c r="G382" s="120" t="n"/>
      <c r="I382" s="55" t="inlineStr">
        <is>
          <t>TRILHA · CE 1</t>
        </is>
      </c>
      <c r="J382" s="130" t="n"/>
      <c r="K382" s="16" t="n"/>
      <c r="L382" s="17" t="n"/>
      <c r="M382" s="137">
        <f>DADOS_INVOC!$IN$3</f>
        <v/>
      </c>
      <c r="N382" s="16" t="n"/>
      <c r="O382" s="16" t="n"/>
      <c r="P382" s="16" t="n"/>
      <c r="Q382" s="16" t="n"/>
      <c r="R382" s="16" t="n"/>
      <c r="S382" s="16" t="n"/>
      <c r="T382" s="16" t="n"/>
      <c r="U382" s="16" t="n"/>
      <c r="V382" s="16" t="n"/>
      <c r="W382" s="16" t="n"/>
      <c r="X382" s="16" t="n"/>
      <c r="Y382" s="17" t="n"/>
      <c r="Z382" s="120" t="n"/>
      <c r="AB382" s="55" t="inlineStr">
        <is>
          <t>TRILHA · CE 1</t>
        </is>
      </c>
      <c r="AC382" s="130" t="n"/>
      <c r="AD382" s="16" t="n"/>
      <c r="AE382" s="17" t="n"/>
      <c r="AF382" s="137">
        <f>DADOS_INVOC!$IN$9</f>
        <v/>
      </c>
      <c r="AG382" s="16" t="n"/>
      <c r="AH382" s="16" t="n"/>
      <c r="AI382" s="16" t="n"/>
      <c r="AJ382" s="16" t="n"/>
      <c r="AK382" s="16" t="n"/>
      <c r="AL382" s="16" t="n"/>
      <c r="AM382" s="16" t="n"/>
      <c r="AN382" s="16" t="n"/>
      <c r="AO382" s="16" t="n"/>
      <c r="AP382" s="16" t="n"/>
      <c r="AQ382" s="16" t="n"/>
      <c r="AR382" s="17" t="n"/>
      <c r="AS382" s="120" t="n"/>
    </row>
    <row r="383" hidden="1" outlineLevel="1">
      <c r="A383" s="8" t="n"/>
      <c r="B383" s="14" t="n"/>
      <c r="C383" s="120" t="n"/>
      <c r="D383" s="120" t="n"/>
      <c r="E383" s="120" t="n"/>
      <c r="F383" s="120" t="n"/>
      <c r="G383" s="120" t="n"/>
      <c r="I383" s="120" t="n"/>
      <c r="J383" s="120" t="n"/>
      <c r="K383" s="120" t="n"/>
      <c r="L383" s="120" t="n"/>
      <c r="M383" s="120" t="n"/>
      <c r="N383" s="120" t="n"/>
      <c r="O383" s="120" t="n"/>
      <c r="P383" s="120" t="n"/>
      <c r="Q383" s="120" t="n"/>
      <c r="R383" s="120" t="n"/>
      <c r="S383" s="120" t="n"/>
      <c r="T383" s="120" t="n"/>
      <c r="U383" s="120" t="n"/>
      <c r="V383" s="120" t="n"/>
      <c r="W383" s="120" t="n"/>
      <c r="X383" s="120" t="n"/>
      <c r="Y383" s="120" t="n"/>
      <c r="Z383" s="120" t="n"/>
      <c r="AB383" s="120" t="n"/>
      <c r="AC383" s="120" t="n"/>
      <c r="AD383" s="120" t="n"/>
      <c r="AE383" s="120" t="n"/>
      <c r="AF383" s="120" t="n"/>
      <c r="AG383" s="120" t="n"/>
      <c r="AH383" s="120" t="n"/>
      <c r="AI383" s="120" t="n"/>
      <c r="AJ383" s="120" t="n"/>
      <c r="AK383" s="120" t="n"/>
      <c r="AL383" s="120" t="n"/>
      <c r="AM383" s="120" t="n"/>
      <c r="AN383" s="120" t="n"/>
      <c r="AO383" s="120" t="n"/>
      <c r="AP383" s="120" t="n"/>
      <c r="AQ383" s="120" t="n"/>
      <c r="AR383" s="120" t="n"/>
      <c r="AS383" s="120" t="n"/>
    </row>
    <row r="384" hidden="1" outlineLevel="1">
      <c r="A384" s="8" t="n"/>
      <c r="B384" s="14" t="n"/>
      <c r="C384" s="120" t="n"/>
      <c r="D384" s="120" t="n"/>
      <c r="E384" s="120" t="n"/>
      <c r="F384" s="120" t="n"/>
      <c r="G384" s="120" t="n"/>
      <c r="I384" s="13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0" t="n"/>
      <c r="AB384" s="13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0" t="n"/>
    </row>
    <row r="385" hidden="1" outlineLevel="2">
      <c r="A385" s="8" t="n"/>
      <c r="B385" s="14" t="n"/>
      <c r="C385" s="120" t="n"/>
      <c r="D385" s="120" t="n"/>
      <c r="E385" s="120" t="n"/>
      <c r="F385" s="120" t="n"/>
      <c r="G385" s="120" t="n"/>
      <c r="I385" s="120" t="n"/>
      <c r="J385" s="120" t="n"/>
      <c r="K385" s="120" t="n"/>
      <c r="L385" s="120" t="n"/>
      <c r="M385" s="120" t="n"/>
      <c r="N385" s="120" t="n"/>
      <c r="O385" s="120" t="n"/>
      <c r="P385" s="120" t="n"/>
      <c r="Q385" s="120" t="n"/>
      <c r="R385" s="120" t="n"/>
      <c r="S385" s="120" t="n"/>
      <c r="T385" s="120" t="n"/>
      <c r="U385" s="120" t="n"/>
      <c r="V385" s="120" t="n"/>
      <c r="W385" s="120" t="n"/>
      <c r="X385" s="120" t="n"/>
      <c r="Y385" s="120" t="n"/>
      <c r="Z385" s="120" t="n"/>
      <c r="AB385" s="120" t="n"/>
      <c r="AC385" s="120" t="n"/>
      <c r="AD385" s="120" t="n"/>
      <c r="AE385" s="120" t="n"/>
      <c r="AF385" s="120" t="n"/>
      <c r="AG385" s="120" t="n"/>
      <c r="AH385" s="120" t="n"/>
      <c r="AI385" s="120" t="n"/>
      <c r="AJ385" s="120" t="n"/>
      <c r="AK385" s="120" t="n"/>
      <c r="AL385" s="120" t="n"/>
      <c r="AM385" s="120" t="n"/>
      <c r="AN385" s="120" t="n"/>
      <c r="AO385" s="120" t="n"/>
      <c r="AP385" s="120" t="n"/>
      <c r="AQ385" s="120" t="n"/>
      <c r="AR385" s="120" t="n"/>
      <c r="AS385" s="120" t="n"/>
    </row>
    <row r="386" hidden="1" outlineLevel="2">
      <c r="A386" s="8" t="n"/>
      <c r="B386" s="14" t="n"/>
      <c r="C386" s="120" t="n"/>
      <c r="D386" s="120" t="n"/>
      <c r="E386" s="120" t="n"/>
      <c r="F386" s="120" t="n"/>
      <c r="G386" s="120" t="n"/>
      <c r="I386" s="55" t="inlineStr">
        <is>
          <t>LIBERAÇÃO MÁXIMA 1</t>
        </is>
      </c>
      <c r="J386" s="16" t="n"/>
      <c r="K386" s="16" t="n"/>
      <c r="L386" s="16" t="n"/>
      <c r="M386" s="17" t="n"/>
      <c r="N386" s="120" t="n"/>
      <c r="O386" s="55" t="inlineStr">
        <is>
          <t>LIBERAÇÃO MÁXIMA 2</t>
        </is>
      </c>
      <c r="P386" s="16" t="n"/>
      <c r="Q386" s="16" t="n"/>
      <c r="R386" s="16" t="n"/>
      <c r="S386" s="17" t="n"/>
      <c r="T386" s="120" t="n"/>
      <c r="U386" s="55" t="inlineStr">
        <is>
          <t>LIBERAÇÃO MÁXIMA 3</t>
        </is>
      </c>
      <c r="V386" s="16" t="n"/>
      <c r="W386" s="16" t="n"/>
      <c r="X386" s="16" t="n"/>
      <c r="Y386" s="17" t="n"/>
      <c r="Z386" s="120" t="n"/>
      <c r="AB386" s="55" t="inlineStr">
        <is>
          <t>LIBERAÇÃO MÁXIMA 1</t>
        </is>
      </c>
      <c r="AC386" s="16" t="n"/>
      <c r="AD386" s="16" t="n"/>
      <c r="AE386" s="16" t="n"/>
      <c r="AF386" s="17" t="n"/>
      <c r="AG386" s="120" t="n"/>
      <c r="AH386" s="55" t="inlineStr">
        <is>
          <t>LIBERAÇÃO MÁXIMA 2</t>
        </is>
      </c>
      <c r="AI386" s="16" t="n"/>
      <c r="AJ386" s="16" t="n"/>
      <c r="AK386" s="16" t="n"/>
      <c r="AL386" s="17" t="n"/>
      <c r="AM386" s="120" t="n"/>
      <c r="AN386" s="55" t="inlineStr">
        <is>
          <t>LIBERAÇÃO MÁXIMA 3</t>
        </is>
      </c>
      <c r="AO386" s="16" t="n"/>
      <c r="AP386" s="16" t="n"/>
      <c r="AQ386" s="16" t="n"/>
      <c r="AR386" s="17" t="n"/>
      <c r="AS386" s="120" t="n"/>
    </row>
    <row r="387" hidden="1" outlineLevel="2">
      <c r="A387" s="8" t="n"/>
      <c r="B387" s="14" t="n"/>
      <c r="C387" s="120" t="n"/>
      <c r="D387" s="120" t="n"/>
      <c r="E387" s="120" t="n"/>
      <c r="F387" s="120" t="n"/>
      <c r="G387" s="120" t="n"/>
      <c r="I387" s="127" t="n">
        <v>3</v>
      </c>
      <c r="J387" s="115" t="n"/>
      <c r="K387" s="16" t="n"/>
      <c r="L387" s="17" t="n"/>
      <c r="M387" s="128">
        <f>DADOS_INVOC!$IO$3</f>
        <v/>
      </c>
      <c r="N387" s="120" t="n"/>
      <c r="O387" s="127" t="n">
        <v>3</v>
      </c>
      <c r="P387" s="115" t="n"/>
      <c r="Q387" s="16" t="n"/>
      <c r="R387" s="17" t="n"/>
      <c r="S387" s="128">
        <f>DADOS_INVOC!$IP$3</f>
        <v/>
      </c>
      <c r="T387" s="120" t="n"/>
      <c r="U387" s="127" t="n">
        <v>3</v>
      </c>
      <c r="V387" s="115" t="n"/>
      <c r="W387" s="16" t="n"/>
      <c r="X387" s="17" t="n"/>
      <c r="Y387" s="128">
        <f>DADOS_INVOC!$IQ$3</f>
        <v/>
      </c>
      <c r="Z387" s="120" t="n"/>
      <c r="AB387" s="127" t="n">
        <v>3</v>
      </c>
      <c r="AC387" s="115" t="n"/>
      <c r="AD387" s="16" t="n"/>
      <c r="AE387" s="17" t="n"/>
      <c r="AF387" s="128">
        <f>DADOS_INVOC!$IO$9</f>
        <v/>
      </c>
      <c r="AG387" s="120" t="n"/>
      <c r="AH387" s="127" t="n">
        <v>3</v>
      </c>
      <c r="AI387" s="115" t="n"/>
      <c r="AJ387" s="16" t="n"/>
      <c r="AK387" s="17" t="n"/>
      <c r="AL387" s="128">
        <f>DADOS_INVOC!$IP$9</f>
        <v/>
      </c>
      <c r="AM387" s="120" t="n"/>
      <c r="AN387" s="127" t="n">
        <v>3</v>
      </c>
      <c r="AO387" s="115" t="n"/>
      <c r="AP387" s="16" t="n"/>
      <c r="AQ387" s="17" t="n"/>
      <c r="AR387" s="128">
        <f>DADOS_INVOC!$IQ$9</f>
        <v/>
      </c>
      <c r="AS387" s="120" t="n"/>
    </row>
    <row r="388" hidden="1" outlineLevel="2">
      <c r="A388" s="8" t="n"/>
      <c r="B388" s="14" t="n"/>
      <c r="C388" s="120" t="n"/>
      <c r="D388" s="120" t="n"/>
      <c r="E388" s="120" t="n"/>
      <c r="F388" s="120" t="n"/>
      <c r="G388" s="120" t="n"/>
      <c r="I388" s="116" t="n"/>
      <c r="J388" s="19" t="n"/>
      <c r="K388" s="19" t="n"/>
      <c r="L388" s="19" t="n"/>
      <c r="M388" s="20" t="n"/>
      <c r="N388" s="120" t="n"/>
      <c r="O388" s="116" t="n"/>
      <c r="P388" s="19" t="n"/>
      <c r="Q388" s="19" t="n"/>
      <c r="R388" s="19" t="n"/>
      <c r="S388" s="20" t="n"/>
      <c r="T388" s="120" t="n"/>
      <c r="U388" s="116" t="n"/>
      <c r="V388" s="19" t="n"/>
      <c r="W388" s="19" t="n"/>
      <c r="X388" s="19" t="n"/>
      <c r="Y388" s="20" t="n"/>
      <c r="Z388" s="120" t="n"/>
      <c r="AB388" s="116" t="n"/>
      <c r="AC388" s="19" t="n"/>
      <c r="AD388" s="19" t="n"/>
      <c r="AE388" s="19" t="n"/>
      <c r="AF388" s="20" t="n"/>
      <c r="AG388" s="120" t="n"/>
      <c r="AH388" s="116" t="n"/>
      <c r="AI388" s="19" t="n"/>
      <c r="AJ388" s="19" t="n"/>
      <c r="AK388" s="19" t="n"/>
      <c r="AL388" s="20" t="n"/>
      <c r="AM388" s="120" t="n"/>
      <c r="AN388" s="116" t="n"/>
      <c r="AO388" s="19" t="n"/>
      <c r="AP388" s="19" t="n"/>
      <c r="AQ388" s="19" t="n"/>
      <c r="AR388" s="20" t="n"/>
      <c r="AS388" s="120" t="n"/>
    </row>
    <row r="389" hidden="1" outlineLevel="2">
      <c r="A389" s="8" t="n"/>
      <c r="B389" s="14" t="n"/>
      <c r="C389" s="120" t="n"/>
      <c r="D389" s="120" t="n"/>
      <c r="E389" s="120" t="n"/>
      <c r="F389" s="120" t="n"/>
      <c r="G389" s="120" t="n"/>
      <c r="I389" s="21" t="n"/>
      <c r="M389" s="22" t="n"/>
      <c r="N389" s="120" t="n"/>
      <c r="O389" s="21" t="n"/>
      <c r="S389" s="22" t="n"/>
      <c r="T389" s="120" t="n"/>
      <c r="U389" s="21" t="n"/>
      <c r="Y389" s="22" t="n"/>
      <c r="Z389" s="120" t="n"/>
      <c r="AB389" s="21" t="n"/>
      <c r="AF389" s="22" t="n"/>
      <c r="AG389" s="120" t="n"/>
      <c r="AH389" s="21" t="n"/>
      <c r="AL389" s="22" t="n"/>
      <c r="AM389" s="120" t="n"/>
      <c r="AN389" s="21" t="n"/>
      <c r="AR389" s="22" t="n"/>
      <c r="AS389" s="120" t="n"/>
    </row>
    <row r="390" hidden="1" outlineLevel="2">
      <c r="A390" s="8" t="n"/>
      <c r="B390" s="14" t="n"/>
      <c r="C390" s="120" t="n"/>
      <c r="D390" s="120" t="n"/>
      <c r="E390" s="120" t="n"/>
      <c r="F390" s="120" t="n"/>
      <c r="G390" s="120" t="n"/>
      <c r="I390" s="21" t="n"/>
      <c r="M390" s="22" t="n"/>
      <c r="N390" s="120" t="n"/>
      <c r="O390" s="21" t="n"/>
      <c r="S390" s="22" t="n"/>
      <c r="T390" s="120" t="n"/>
      <c r="U390" s="21" t="n"/>
      <c r="Y390" s="22" t="n"/>
      <c r="Z390" s="120" t="n"/>
      <c r="AB390" s="21" t="n"/>
      <c r="AF390" s="22" t="n"/>
      <c r="AG390" s="120" t="n"/>
      <c r="AH390" s="21" t="n"/>
      <c r="AL390" s="22" t="n"/>
      <c r="AM390" s="120" t="n"/>
      <c r="AN390" s="21" t="n"/>
      <c r="AR390" s="22" t="n"/>
      <c r="AS390" s="120" t="n"/>
    </row>
    <row r="391" hidden="1" outlineLevel="2">
      <c r="A391" s="8" t="n"/>
      <c r="B391" s="14" t="n"/>
      <c r="C391" s="120" t="n"/>
      <c r="D391" s="120" t="n"/>
      <c r="E391" s="120" t="n"/>
      <c r="F391" s="120" t="n"/>
      <c r="G391" s="120" t="n"/>
      <c r="I391" s="23" t="n"/>
      <c r="J391" s="24" t="n"/>
      <c r="K391" s="24" t="n"/>
      <c r="L391" s="24" t="n"/>
      <c r="M391" s="25" t="n"/>
      <c r="N391" s="120" t="n"/>
      <c r="O391" s="23" t="n"/>
      <c r="P391" s="24" t="n"/>
      <c r="Q391" s="24" t="n"/>
      <c r="R391" s="24" t="n"/>
      <c r="S391" s="25" t="n"/>
      <c r="T391" s="120" t="n"/>
      <c r="U391" s="23" t="n"/>
      <c r="V391" s="24" t="n"/>
      <c r="W391" s="24" t="n"/>
      <c r="X391" s="24" t="n"/>
      <c r="Y391" s="25" t="n"/>
      <c r="Z391" s="120" t="n"/>
      <c r="AB391" s="23" t="n"/>
      <c r="AC391" s="24" t="n"/>
      <c r="AD391" s="24" t="n"/>
      <c r="AE391" s="24" t="n"/>
      <c r="AF391" s="25" t="n"/>
      <c r="AG391" s="120" t="n"/>
      <c r="AH391" s="23" t="n"/>
      <c r="AI391" s="24" t="n"/>
      <c r="AJ391" s="24" t="n"/>
      <c r="AK391" s="24" t="n"/>
      <c r="AL391" s="25" t="n"/>
      <c r="AM391" s="120" t="n"/>
      <c r="AN391" s="23" t="n"/>
      <c r="AO391" s="24" t="n"/>
      <c r="AP391" s="24" t="n"/>
      <c r="AQ391" s="24" t="n"/>
      <c r="AR391" s="25" t="n"/>
      <c r="AS391" s="120" t="n"/>
    </row>
    <row r="392" hidden="1" outlineLevel="2">
      <c r="A392" s="8" t="n"/>
      <c r="B392" s="14" t="n"/>
      <c r="C392" s="120" t="n"/>
      <c r="D392" s="120" t="n"/>
      <c r="E392" s="120" t="n"/>
      <c r="F392" s="120" t="n"/>
      <c r="G392" s="120" t="n"/>
      <c r="I392" s="68">
        <f>DADOS_INVOC!$IR$3</f>
        <v/>
      </c>
      <c r="J392" s="16" t="n"/>
      <c r="K392" s="16" t="n"/>
      <c r="L392" s="16" t="n"/>
      <c r="M392" s="17" t="n"/>
      <c r="N392" s="120" t="n"/>
      <c r="O392" s="68">
        <f>DADOS_INVOC!$IS$3</f>
        <v/>
      </c>
      <c r="P392" s="16" t="n"/>
      <c r="Q392" s="16" t="n"/>
      <c r="R392" s="16" t="n"/>
      <c r="S392" s="17" t="n"/>
      <c r="T392" s="120" t="n"/>
      <c r="U392" s="68">
        <f>DADOS_INVOC!$IT$3</f>
        <v/>
      </c>
      <c r="V392" s="16" t="n"/>
      <c r="W392" s="16" t="n"/>
      <c r="X392" s="16" t="n"/>
      <c r="Y392" s="17" t="n"/>
      <c r="Z392" s="120" t="n"/>
      <c r="AB392" s="68">
        <f>DADOS_INVOC!$IR$9</f>
        <v/>
      </c>
      <c r="AC392" s="16" t="n"/>
      <c r="AD392" s="16" t="n"/>
      <c r="AE392" s="16" t="n"/>
      <c r="AF392" s="17" t="n"/>
      <c r="AG392" s="120" t="n"/>
      <c r="AH392" s="68">
        <f>DADOS_INVOC!$IS$9</f>
        <v/>
      </c>
      <c r="AI392" s="16" t="n"/>
      <c r="AJ392" s="16" t="n"/>
      <c r="AK392" s="16" t="n"/>
      <c r="AL392" s="17" t="n"/>
      <c r="AM392" s="120" t="n"/>
      <c r="AN392" s="68">
        <f>DADOS_INVOC!$IT$9</f>
        <v/>
      </c>
      <c r="AO392" s="16" t="n"/>
      <c r="AP392" s="16" t="n"/>
      <c r="AQ392" s="16" t="n"/>
      <c r="AR392" s="17" t="n"/>
      <c r="AS392" s="120" t="n"/>
    </row>
    <row r="393" hidden="1" outlineLevel="2">
      <c r="A393" s="8" t="n"/>
      <c r="B393" s="14" t="n"/>
      <c r="C393" s="120" t="n"/>
      <c r="D393" s="120" t="n"/>
      <c r="E393" s="120" t="n"/>
      <c r="F393" s="120" t="n"/>
      <c r="G393" s="120" t="n"/>
      <c r="I393" s="124" t="inlineStr">
        <is>
          <t>Sua Ação Completa + a básica dela</t>
        </is>
      </c>
      <c r="J393" s="16" t="n"/>
      <c r="K393" s="16" t="n"/>
      <c r="L393" s="16" t="n"/>
      <c r="M393" s="17" t="n"/>
      <c r="N393" s="120" t="n"/>
      <c r="O393" s="124" t="inlineStr">
        <is>
          <t>Sua Ação Completa + a básica dela</t>
        </is>
      </c>
      <c r="P393" s="16" t="n"/>
      <c r="Q393" s="16" t="n"/>
      <c r="R393" s="16" t="n"/>
      <c r="S393" s="17" t="n"/>
      <c r="T393" s="120" t="n"/>
      <c r="U393" s="124" t="inlineStr">
        <is>
          <t>Sua Ação Completa + a básica dela</t>
        </is>
      </c>
      <c r="V393" s="16" t="n"/>
      <c r="W393" s="16" t="n"/>
      <c r="X393" s="16" t="n"/>
      <c r="Y393" s="17" t="n"/>
      <c r="Z393" s="120" t="n"/>
      <c r="AB393" s="124" t="inlineStr">
        <is>
          <t>Sua Ação Completa + a básica dela</t>
        </is>
      </c>
      <c r="AC393" s="16" t="n"/>
      <c r="AD393" s="16" t="n"/>
      <c r="AE393" s="16" t="n"/>
      <c r="AF393" s="17" t="n"/>
      <c r="AG393" s="120" t="n"/>
      <c r="AH393" s="124" t="inlineStr">
        <is>
          <t>Sua Ação Completa + a básica dela</t>
        </is>
      </c>
      <c r="AI393" s="16" t="n"/>
      <c r="AJ393" s="16" t="n"/>
      <c r="AK393" s="16" t="n"/>
      <c r="AL393" s="17" t="n"/>
      <c r="AM393" s="120" t="n"/>
      <c r="AN393" s="124" t="inlineStr">
        <is>
          <t>Sua Ação Completa + a básica dela</t>
        </is>
      </c>
      <c r="AO393" s="16" t="n"/>
      <c r="AP393" s="16" t="n"/>
      <c r="AQ393" s="16" t="n"/>
      <c r="AR393" s="17" t="n"/>
      <c r="AS393" s="120" t="n"/>
    </row>
    <row r="394" hidden="1" outlineLevel="2">
      <c r="A394" s="8" t="n"/>
      <c r="B394" s="14" t="n"/>
      <c r="C394" s="120" t="n"/>
      <c r="D394" s="120" t="n"/>
      <c r="E394" s="120" t="n"/>
      <c r="F394" s="120" t="n"/>
      <c r="G394" s="120" t="n"/>
      <c r="I394" s="120" t="n"/>
      <c r="J394" s="120" t="n"/>
      <c r="K394" s="120" t="n"/>
      <c r="L394" s="120" t="n"/>
      <c r="M394" s="120" t="n"/>
      <c r="N394" s="120" t="n"/>
      <c r="O394" s="120" t="n"/>
      <c r="P394" s="120" t="n"/>
      <c r="Q394" s="120" t="n"/>
      <c r="R394" s="120" t="n"/>
      <c r="S394" s="120" t="n"/>
      <c r="T394" s="120" t="n"/>
      <c r="U394" s="120" t="n"/>
      <c r="V394" s="120" t="n"/>
      <c r="W394" s="120" t="n"/>
      <c r="X394" s="120" t="n"/>
      <c r="Y394" s="120" t="n"/>
      <c r="Z394" s="120" t="n"/>
      <c r="AB394" s="120" t="n"/>
      <c r="AC394" s="120" t="n"/>
      <c r="AD394" s="120" t="n"/>
      <c r="AE394" s="120" t="n"/>
      <c r="AF394" s="120" t="n"/>
      <c r="AG394" s="120" t="n"/>
      <c r="AH394" s="120" t="n"/>
      <c r="AI394" s="120" t="n"/>
      <c r="AJ394" s="120" t="n"/>
      <c r="AK394" s="120" t="n"/>
      <c r="AL394" s="120" t="n"/>
      <c r="AM394" s="120" t="n"/>
      <c r="AN394" s="120" t="n"/>
      <c r="AO394" s="120" t="n"/>
      <c r="AP394" s="120" t="n"/>
      <c r="AQ394" s="120" t="n"/>
      <c r="AR394" s="120" t="n"/>
      <c r="AS394" s="120" t="n"/>
    </row>
    <row r="395" hidden="1" outlineLevel="2">
      <c r="A395" s="8" t="n"/>
      <c r="B395" s="14" t="n"/>
      <c r="C395" s="120" t="n"/>
      <c r="D395" s="120" t="n"/>
      <c r="E395" s="120" t="n"/>
      <c r="F395" s="120" t="n"/>
      <c r="G395" s="120" t="n"/>
      <c r="I395" s="55" t="inlineStr">
        <is>
          <t>TÉCNICA MÁXIMA</t>
        </is>
      </c>
      <c r="J395" s="16" t="n"/>
      <c r="K395" s="16" t="n"/>
      <c r="L395" s="16" t="n"/>
      <c r="M395" s="17" t="n"/>
      <c r="N395" s="120" t="n"/>
      <c r="O395" s="55" t="inlineStr">
        <is>
          <t>EXPANSÃO DE DOMÍNIO</t>
        </is>
      </c>
      <c r="P395" s="16" t="n"/>
      <c r="Q395" s="16" t="n"/>
      <c r="R395" s="16" t="n"/>
      <c r="S395" s="17" t="n"/>
      <c r="T395" s="120" t="n"/>
      <c r="U395" s="120" t="n"/>
      <c r="V395" s="120" t="n"/>
      <c r="W395" s="120" t="n"/>
      <c r="X395" s="120" t="n"/>
      <c r="Y395" s="120" t="n"/>
      <c r="Z395" s="120" t="n"/>
      <c r="AB395" s="55" t="inlineStr">
        <is>
          <t>TÉCNICA MÁXIMA</t>
        </is>
      </c>
      <c r="AC395" s="16" t="n"/>
      <c r="AD395" s="16" t="n"/>
      <c r="AE395" s="16" t="n"/>
      <c r="AF395" s="17" t="n"/>
      <c r="AG395" s="120" t="n"/>
      <c r="AH395" s="55" t="inlineStr">
        <is>
          <t>EXPANSÃO DE DOMÍNIO</t>
        </is>
      </c>
      <c r="AI395" s="16" t="n"/>
      <c r="AJ395" s="16" t="n"/>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15" t="n"/>
      <c r="J396" s="16" t="n"/>
      <c r="K396" s="16" t="n"/>
      <c r="L396" s="17" t="n"/>
      <c r="M396" s="128">
        <f>DADOS_INVOC!$IU$3</f>
        <v/>
      </c>
      <c r="N396" s="120" t="n"/>
      <c r="O396" s="115" t="n"/>
      <c r="P396" s="16" t="n"/>
      <c r="Q396" s="16" t="n"/>
      <c r="R396" s="17" t="n"/>
      <c r="S396" s="128">
        <f>DADOS_INVOC!$IW$3</f>
        <v/>
      </c>
      <c r="T396" s="120" t="n"/>
      <c r="U396" s="120" t="n"/>
      <c r="V396" s="120" t="n"/>
      <c r="W396" s="120" t="n"/>
      <c r="X396" s="120" t="n"/>
      <c r="Y396" s="120" t="n"/>
      <c r="Z396" s="120" t="n"/>
      <c r="AB396" s="115" t="n"/>
      <c r="AC396" s="16" t="n"/>
      <c r="AD396" s="16" t="n"/>
      <c r="AE396" s="17" t="n"/>
      <c r="AF396" s="128">
        <f>DADOS_INVOC!$IU$9</f>
        <v/>
      </c>
      <c r="AG396" s="120" t="n"/>
      <c r="AH396" s="115" t="n"/>
      <c r="AI396" s="16" t="n"/>
      <c r="AJ396" s="16" t="n"/>
      <c r="AK396" s="17" t="n"/>
      <c r="AL396" s="128">
        <f>DADOS_INVOC!$IW$9</f>
        <v/>
      </c>
      <c r="AM396" s="120" t="n"/>
      <c r="AN396" s="120" t="n"/>
      <c r="AO396" s="120" t="n"/>
      <c r="AP396" s="120" t="n"/>
      <c r="AQ396" s="120" t="n"/>
      <c r="AR396" s="120" t="n"/>
      <c r="AS396" s="120" t="n"/>
    </row>
    <row r="397" hidden="1" outlineLevel="2">
      <c r="A397" s="8" t="n"/>
      <c r="B397" s="14" t="n"/>
      <c r="C397" s="120" t="n"/>
      <c r="D397" s="120" t="n"/>
      <c r="E397" s="120" t="n"/>
      <c r="F397" s="120" t="n"/>
      <c r="G397" s="120" t="n"/>
      <c r="I397" s="116" t="n"/>
      <c r="J397" s="19" t="n"/>
      <c r="K397" s="19" t="n"/>
      <c r="L397" s="19" t="n"/>
      <c r="M397" s="20" t="n"/>
      <c r="N397" s="120" t="n"/>
      <c r="O397" s="116" t="n"/>
      <c r="P397" s="19" t="n"/>
      <c r="Q397" s="19" t="n"/>
      <c r="R397" s="19" t="n"/>
      <c r="S397" s="20" t="n"/>
      <c r="T397" s="120" t="n"/>
      <c r="U397" s="120" t="n"/>
      <c r="V397" s="120" t="n"/>
      <c r="W397" s="120" t="n"/>
      <c r="X397" s="120" t="n"/>
      <c r="Y397" s="120" t="n"/>
      <c r="Z397" s="120" t="n"/>
      <c r="AB397" s="116" t="n"/>
      <c r="AC397" s="19" t="n"/>
      <c r="AD397" s="19" t="n"/>
      <c r="AE397" s="19" t="n"/>
      <c r="AF397" s="20" t="n"/>
      <c r="AG397" s="120" t="n"/>
      <c r="AH397" s="116" t="n"/>
      <c r="AI397" s="19" t="n"/>
      <c r="AJ397" s="19" t="n"/>
      <c r="AK397" s="19" t="n"/>
      <c r="AL397" s="20" t="n"/>
      <c r="AM397" s="120" t="n"/>
      <c r="AN397" s="120" t="n"/>
      <c r="AO397" s="120" t="n"/>
      <c r="AP397" s="120" t="n"/>
      <c r="AQ397" s="120" t="n"/>
      <c r="AR397" s="120" t="n"/>
      <c r="AS397" s="120" t="n"/>
    </row>
    <row r="398" hidden="1" outlineLevel="2">
      <c r="A398" s="8" t="n"/>
      <c r="B398" s="14" t="n"/>
      <c r="C398" s="120" t="n"/>
      <c r="D398" s="120" t="n"/>
      <c r="E398" s="120" t="n"/>
      <c r="F398" s="120" t="n"/>
      <c r="G398" s="120" t="n"/>
      <c r="I398" s="21" t="n"/>
      <c r="M398" s="22" t="n"/>
      <c r="N398" s="120" t="n"/>
      <c r="O398" s="21" t="n"/>
      <c r="S398" s="22" t="n"/>
      <c r="T398" s="120" t="n"/>
      <c r="U398" s="120" t="n"/>
      <c r="V398" s="120" t="n"/>
      <c r="W398" s="120" t="n"/>
      <c r="X398" s="120" t="n"/>
      <c r="Y398" s="120" t="n"/>
      <c r="Z398" s="120" t="n"/>
      <c r="AB398" s="21" t="n"/>
      <c r="AF398" s="22" t="n"/>
      <c r="AG398" s="120" t="n"/>
      <c r="AH398" s="21" t="n"/>
      <c r="AL398" s="22" t="n"/>
      <c r="AM398" s="120" t="n"/>
      <c r="AN398" s="120" t="n"/>
      <c r="AO398" s="120" t="n"/>
      <c r="AP398" s="120" t="n"/>
      <c r="AQ398" s="120" t="n"/>
      <c r="AR398" s="120" t="n"/>
      <c r="AS398" s="120" t="n"/>
    </row>
    <row r="399" hidden="1" outlineLevel="2">
      <c r="A399" s="8" t="n"/>
      <c r="B399" s="14" t="n"/>
      <c r="C399" s="120" t="n"/>
      <c r="D399" s="120" t="n"/>
      <c r="E399" s="120" t="n"/>
      <c r="F399" s="120" t="n"/>
      <c r="G399" s="120" t="n"/>
      <c r="I399" s="21" t="n"/>
      <c r="M399" s="22" t="n"/>
      <c r="N399" s="120" t="n"/>
      <c r="O399" s="21" t="n"/>
      <c r="S399" s="22" t="n"/>
      <c r="T399" s="120" t="n"/>
      <c r="U399" s="120" t="n"/>
      <c r="V399" s="120" t="n"/>
      <c r="W399" s="120" t="n"/>
      <c r="X399" s="120" t="n"/>
      <c r="Y399" s="120" t="n"/>
      <c r="Z399" s="120" t="n"/>
      <c r="AB399" s="21" t="n"/>
      <c r="AF399" s="22" t="n"/>
      <c r="AG399" s="120" t="n"/>
      <c r="AH399" s="21" t="n"/>
      <c r="AL399" s="22" t="n"/>
      <c r="AM399" s="120" t="n"/>
      <c r="AN399" s="120" t="n"/>
      <c r="AO399" s="120" t="n"/>
      <c r="AP399" s="120" t="n"/>
      <c r="AQ399" s="120" t="n"/>
      <c r="AR399" s="120" t="n"/>
      <c r="AS399" s="120" t="n"/>
    </row>
    <row r="400" hidden="1" outlineLevel="2">
      <c r="A400" s="8" t="n"/>
      <c r="B400" s="14" t="n"/>
      <c r="C400" s="120" t="n"/>
      <c r="D400" s="120" t="n"/>
      <c r="E400" s="120" t="n"/>
      <c r="F400" s="120" t="n"/>
      <c r="G400" s="120" t="n"/>
      <c r="I400" s="23" t="n"/>
      <c r="J400" s="24" t="n"/>
      <c r="K400" s="24" t="n"/>
      <c r="L400" s="24" t="n"/>
      <c r="M400" s="25" t="n"/>
      <c r="N400" s="120" t="n"/>
      <c r="O400" s="23" t="n"/>
      <c r="P400" s="24" t="n"/>
      <c r="Q400" s="24" t="n"/>
      <c r="R400" s="24" t="n"/>
      <c r="S400" s="25" t="n"/>
      <c r="T400" s="120" t="n"/>
      <c r="U400" s="120" t="n"/>
      <c r="V400" s="120" t="n"/>
      <c r="W400" s="120" t="n"/>
      <c r="X400" s="120" t="n"/>
      <c r="Y400" s="120" t="n"/>
      <c r="Z400" s="120" t="n"/>
      <c r="AB400" s="23" t="n"/>
      <c r="AC400" s="24" t="n"/>
      <c r="AD400" s="24" t="n"/>
      <c r="AE400" s="24" t="n"/>
      <c r="AF400" s="25" t="n"/>
      <c r="AG400" s="120" t="n"/>
      <c r="AH400" s="23" t="n"/>
      <c r="AI400" s="24" t="n"/>
      <c r="AJ400" s="24" t="n"/>
      <c r="AK400" s="24" t="n"/>
      <c r="AL400" s="25" t="n"/>
      <c r="AM400" s="120" t="n"/>
      <c r="AN400" s="120" t="n"/>
      <c r="AO400" s="120" t="n"/>
      <c r="AP400" s="120" t="n"/>
      <c r="AQ400" s="120" t="n"/>
      <c r="AR400" s="120" t="n"/>
      <c r="AS400" s="120" t="n"/>
    </row>
    <row r="401" hidden="1" outlineLevel="2">
      <c r="A401" s="8" t="n"/>
      <c r="B401" s="14" t="n"/>
      <c r="C401" s="120" t="n"/>
      <c r="D401" s="120" t="n"/>
      <c r="E401" s="120" t="n"/>
      <c r="F401" s="120" t="n"/>
      <c r="G401" s="120" t="n"/>
      <c r="I401" s="68">
        <f>DADOS_INVOC!$IV$3</f>
        <v/>
      </c>
      <c r="J401" s="16" t="n"/>
      <c r="K401" s="16" t="n"/>
      <c r="L401" s="16" t="n"/>
      <c r="M401" s="17" t="n"/>
      <c r="N401" s="120" t="n"/>
      <c r="O401" s="124" t="n"/>
      <c r="P401" s="17" t="n"/>
      <c r="Q401" s="68">
        <f>DADOS_INVOC!$IX$3</f>
        <v/>
      </c>
      <c r="R401" s="16" t="n"/>
      <c r="S401" s="17" t="n"/>
      <c r="T401" s="120" t="n"/>
      <c r="U401" s="120" t="n"/>
      <c r="V401" s="120" t="n"/>
      <c r="W401" s="120" t="n"/>
      <c r="X401" s="120" t="n"/>
      <c r="Y401" s="120" t="n"/>
      <c r="Z401" s="120" t="n"/>
      <c r="AB401" s="68">
        <f>DADOS_INVOC!$IV$9</f>
        <v/>
      </c>
      <c r="AC401" s="16" t="n"/>
      <c r="AD401" s="16" t="n"/>
      <c r="AE401" s="16" t="n"/>
      <c r="AF401" s="17" t="n"/>
      <c r="AG401" s="120" t="n"/>
      <c r="AH401" s="124" t="n"/>
      <c r="AI401" s="17" t="n"/>
      <c r="AJ401" s="68">
        <f>DADOS_INVOC!$IX$9</f>
        <v/>
      </c>
      <c r="AK401" s="16" t="n"/>
      <c r="AL401" s="17" t="n"/>
      <c r="AM401" s="120" t="n"/>
      <c r="AN401" s="120" t="n"/>
      <c r="AO401" s="120" t="n"/>
      <c r="AP401" s="120" t="n"/>
      <c r="AQ401" s="120" t="n"/>
      <c r="AR401" s="120" t="n"/>
      <c r="AS401" s="120" t="n"/>
    </row>
    <row r="402" hidden="1" outlineLevel="2">
      <c r="A402" s="8" t="n"/>
      <c r="B402" s="14" t="n"/>
      <c r="C402" s="120" t="n"/>
      <c r="D402" s="120" t="n"/>
      <c r="E402" s="120" t="n"/>
      <c r="F402" s="120" t="n"/>
      <c r="G402" s="120" t="n"/>
      <c r="I402" s="124" t="inlineStr">
        <is>
          <t>Sua Ação Completa + a básica dela</t>
        </is>
      </c>
      <c r="J402" s="16" t="n"/>
      <c r="K402" s="16" t="n"/>
      <c r="L402" s="16" t="n"/>
      <c r="M402" s="17" t="n"/>
      <c r="N402" s="120" t="n"/>
      <c r="O402" s="129">
        <f>DADOS_INVOC!$IY$3</f>
        <v/>
      </c>
      <c r="P402" s="16" t="n"/>
      <c r="Q402" s="16" t="n"/>
      <c r="R402" s="16" t="n"/>
      <c r="S402" s="17" t="n"/>
      <c r="T402" s="120" t="n"/>
      <c r="U402" s="120" t="n"/>
      <c r="V402" s="120" t="n"/>
      <c r="W402" s="120" t="n"/>
      <c r="X402" s="120" t="n"/>
      <c r="Y402" s="120" t="n"/>
      <c r="Z402" s="120" t="n"/>
      <c r="AB402" s="124" t="inlineStr">
        <is>
          <t>Sua Ação Completa + a básica dela</t>
        </is>
      </c>
      <c r="AC402" s="16" t="n"/>
      <c r="AD402" s="16" t="n"/>
      <c r="AE402" s="16" t="n"/>
      <c r="AF402" s="17" t="n"/>
      <c r="AG402" s="120" t="n"/>
      <c r="AH402" s="129">
        <f>DADOS_INVOC!$IY$9</f>
        <v/>
      </c>
      <c r="AI402" s="16" t="n"/>
      <c r="AJ402" s="16" t="n"/>
      <c r="AK402" s="16" t="n"/>
      <c r="AL402" s="17" t="n"/>
      <c r="AM402" s="120" t="n"/>
      <c r="AN402" s="120" t="n"/>
      <c r="AO402" s="120" t="n"/>
      <c r="AP402" s="120" t="n"/>
      <c r="AQ402" s="120" t="n"/>
      <c r="AR402" s="120" t="n"/>
      <c r="AS402" s="120" t="n"/>
    </row>
    <row r="403">
      <c r="A403" s="8" t="n"/>
      <c r="B403" s="14" t="n"/>
      <c r="C403" s="120" t="n"/>
      <c r="D403" s="120" t="n"/>
      <c r="E403" s="120" t="n"/>
      <c r="F403" s="120" t="n"/>
      <c r="G403" s="120" t="n"/>
      <c r="H403" s="120" t="n"/>
      <c r="I403" s="120" t="n"/>
      <c r="J403" s="120" t="n"/>
      <c r="K403" s="120" t="n"/>
      <c r="L403" s="120" t="n"/>
      <c r="M403" s="120" t="n"/>
      <c r="N403" s="120" t="n"/>
      <c r="O403" s="120" t="n"/>
      <c r="P403" s="120" t="n"/>
      <c r="Q403" s="120" t="n"/>
      <c r="R403" s="120" t="n"/>
      <c r="S403" s="120" t="n"/>
      <c r="T403" s="120" t="n"/>
      <c r="U403" s="120" t="n"/>
      <c r="V403" s="120" t="n"/>
      <c r="W403" s="120" t="n"/>
      <c r="X403" s="120" t="n"/>
      <c r="Y403" s="120" t="n"/>
      <c r="Z403" s="120" t="n"/>
      <c r="AA403" s="120" t="n"/>
      <c r="AB403" s="120" t="n"/>
      <c r="AC403" s="120" t="n"/>
      <c r="AD403" s="120" t="n"/>
      <c r="AE403" s="120" t="n"/>
      <c r="AF403" s="120" t="n"/>
      <c r="AG403" s="120" t="n"/>
      <c r="AH403" s="120" t="n"/>
      <c r="AI403" s="120" t="n"/>
      <c r="AJ403" s="120" t="n"/>
      <c r="AK403" s="120" t="n"/>
      <c r="AL403" s="120" t="n"/>
      <c r="AM403" s="120" t="n"/>
      <c r="AN403" s="120" t="n"/>
      <c r="AO403" s="120" t="n"/>
      <c r="AP403" s="120" t="n"/>
      <c r="AQ403" s="120" t="n"/>
      <c r="AR403" s="120" t="n"/>
      <c r="AS403" s="120" t="n"/>
    </row>
    <row r="404">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c r="V404" s="120" t="n"/>
      <c r="W404" s="120" t="n"/>
      <c r="X404" s="120" t="n"/>
      <c r="Y404" s="120" t="n"/>
      <c r="Z404" s="120" t="n"/>
      <c r="AA404" s="120" t="n"/>
      <c r="AB404" s="120" t="n"/>
      <c r="AC404" s="120" t="n"/>
      <c r="AD404" s="120" t="n"/>
      <c r="AE404" s="120" t="n"/>
      <c r="AF404" s="120" t="n"/>
      <c r="AG404" s="120" t="n"/>
      <c r="AH404" s="120" t="n"/>
      <c r="AI404" s="120" t="n"/>
      <c r="AJ404" s="120" t="n"/>
      <c r="AK404" s="120" t="n"/>
      <c r="AL404" s="120" t="n"/>
      <c r="AM404" s="120" t="n"/>
      <c r="AN404" s="120" t="n"/>
      <c r="AO404" s="120" t="n"/>
      <c r="AP404" s="120" t="n"/>
      <c r="AQ404" s="120" t="n"/>
      <c r="AR404" s="120" t="n"/>
      <c r="AS404" s="120" t="n"/>
    </row>
    <row r="405">
      <c r="A405" s="8" t="n"/>
      <c r="B405" s="14" t="n"/>
      <c r="C405" s="120" t="n"/>
      <c r="D405" s="120" t="n"/>
      <c r="E405" s="120" t="n"/>
      <c r="F405" s="120" t="n"/>
      <c r="G405" s="120" t="n"/>
      <c r="H405" s="138" t="n">
        <v>3</v>
      </c>
      <c r="I405" s="139" t="n">
        <v>3</v>
      </c>
      <c r="J405" s="123">
        <f>DADOS_INVOC!$GV$4</f>
        <v/>
      </c>
      <c r="K405" s="19" t="n"/>
      <c r="L405" s="19" t="n"/>
      <c r="M405" s="19" t="n"/>
      <c r="N405" s="19" t="n"/>
      <c r="O405" s="19" t="n"/>
      <c r="P405" s="19" t="n"/>
      <c r="Q405" s="19" t="n"/>
      <c r="R405" s="19" t="n"/>
      <c r="S405" s="19" t="n"/>
      <c r="T405" s="19" t="n"/>
      <c r="U405" s="19" t="n"/>
      <c r="V405" s="19" t="n"/>
      <c r="W405" s="19" t="n"/>
      <c r="X405" s="19" t="n"/>
      <c r="Y405" s="20" t="n"/>
      <c r="Z405" s="120" t="n"/>
      <c r="AA405" s="138" t="n">
        <v>9</v>
      </c>
      <c r="AB405" s="139" t="n">
        <v>9</v>
      </c>
      <c r="AC405" s="123">
        <f>DADOS_INVOC!$GV$10</f>
        <v/>
      </c>
      <c r="AD405" s="19" t="n"/>
      <c r="AE405" s="19" t="n"/>
      <c r="AF405" s="19" t="n"/>
      <c r="AG405" s="19" t="n"/>
      <c r="AH405" s="19" t="n"/>
      <c r="AI405" s="19" t="n"/>
      <c r="AJ405" s="19" t="n"/>
      <c r="AK405" s="19" t="n"/>
      <c r="AL405" s="19" t="n"/>
      <c r="AM405" s="19" t="n"/>
      <c r="AN405" s="19" t="n"/>
      <c r="AO405" s="19" t="n"/>
      <c r="AP405" s="19" t="n"/>
      <c r="AQ405" s="19" t="n"/>
      <c r="AR405" s="20" t="n"/>
      <c r="AS405" s="120" t="n"/>
    </row>
    <row r="406">
      <c r="A406" s="8" t="n"/>
      <c r="B406" s="14" t="n"/>
      <c r="C406" s="120" t="n"/>
      <c r="D406" s="120" t="n"/>
      <c r="E406" s="120" t="n"/>
      <c r="F406" s="120" t="n"/>
      <c r="G406" s="120" t="n"/>
      <c r="I406" s="125" t="n"/>
      <c r="J406" s="23" t="n"/>
      <c r="K406" s="24" t="n"/>
      <c r="L406" s="24" t="n"/>
      <c r="M406" s="24" t="n"/>
      <c r="N406" s="24" t="n"/>
      <c r="O406" s="24" t="n"/>
      <c r="P406" s="24" t="n"/>
      <c r="Q406" s="24" t="n"/>
      <c r="R406" s="24" t="n"/>
      <c r="S406" s="24" t="n"/>
      <c r="T406" s="24" t="n"/>
      <c r="U406" s="24" t="n"/>
      <c r="V406" s="24" t="n"/>
      <c r="W406" s="24" t="n"/>
      <c r="X406" s="24" t="n"/>
      <c r="Y406" s="25" t="n"/>
      <c r="Z406" s="120"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20" t="n"/>
    </row>
    <row r="407" hidden="1" outlineLevel="1">
      <c r="A407" s="8" t="n"/>
      <c r="B407" s="14" t="n"/>
      <c r="C407" s="120" t="n"/>
      <c r="D407" s="120" t="n"/>
      <c r="E407" s="120" t="n"/>
      <c r="F407" s="120" t="n"/>
      <c r="G407" s="120" t="n"/>
      <c r="H407" s="140">
        <f>DADOS_INVOC!$GW$4</f>
        <v/>
      </c>
      <c r="I407" s="120" t="n"/>
      <c r="J407" s="120" t="n"/>
      <c r="K407" s="120" t="n"/>
      <c r="L407" s="120" t="n"/>
      <c r="M407" s="120" t="n"/>
      <c r="N407" s="120" t="n"/>
      <c r="O407" s="120" t="n"/>
      <c r="P407" s="120" t="n"/>
      <c r="Q407" s="120" t="n"/>
      <c r="R407" s="120" t="n"/>
      <c r="S407" s="120" t="n"/>
      <c r="T407" s="120" t="n"/>
      <c r="U407" s="120" t="n"/>
      <c r="V407" s="120" t="n"/>
      <c r="W407" s="120" t="n"/>
      <c r="X407" s="120" t="n"/>
      <c r="Y407" s="120" t="n"/>
      <c r="Z407" s="120" t="n"/>
      <c r="AA407" s="140">
        <f>DADOS_INVOC!$GW$10</f>
        <v/>
      </c>
      <c r="AB407" s="120" t="n"/>
      <c r="AC407" s="120" t="n"/>
      <c r="AD407" s="120" t="n"/>
      <c r="AE407" s="120" t="n"/>
      <c r="AF407" s="120" t="n"/>
      <c r="AG407" s="120" t="n"/>
      <c r="AH407" s="120" t="n"/>
      <c r="AI407" s="120" t="n"/>
      <c r="AJ407" s="120" t="n"/>
      <c r="AK407" s="120" t="n"/>
      <c r="AL407" s="120" t="n"/>
      <c r="AM407" s="120" t="n"/>
      <c r="AN407" s="120" t="n"/>
      <c r="AO407" s="120" t="n"/>
      <c r="AP407" s="120" t="n"/>
      <c r="AQ407" s="120" t="n"/>
      <c r="AR407" s="120" t="n"/>
      <c r="AS407" s="120" t="n"/>
    </row>
    <row r="408" hidden="1" outlineLevel="1">
      <c r="A408" s="8" t="n"/>
      <c r="B408" s="14" t="n"/>
      <c r="C408" s="120" t="n"/>
      <c r="D408" s="120" t="n"/>
      <c r="E408" s="120" t="n"/>
      <c r="F408" s="120" t="n"/>
      <c r="G408" s="120" t="n"/>
      <c r="I408" s="55" t="inlineStr">
        <is>
          <t>NOME</t>
        </is>
      </c>
      <c r="J408" s="16" t="n"/>
      <c r="K408" s="16" t="n"/>
      <c r="L408" s="16" t="n"/>
      <c r="M408" s="17" t="n"/>
      <c r="N408" s="120" t="n"/>
      <c r="O408" s="55" t="inlineStr">
        <is>
          <t>NÍVEL</t>
        </is>
      </c>
      <c r="P408" s="55" t="inlineStr">
        <is>
          <t>CLASSE</t>
        </is>
      </c>
      <c r="Q408" s="55" t="inlineStr">
        <is>
          <t>MAESTRIA</t>
        </is>
      </c>
      <c r="R408" s="55" t="inlineStr">
        <is>
          <t>ENTRADA</t>
        </is>
      </c>
      <c r="S408" s="55" t="inlineStr">
        <is>
          <t>RETORNO</t>
        </is>
      </c>
      <c r="T408" s="120" t="n"/>
      <c r="U408" s="55" t="inlineStr">
        <is>
          <t>VIDA ATUAL</t>
        </is>
      </c>
      <c r="V408" s="55" t="inlineStr">
        <is>
          <t>VIDA MÁXIMA</t>
        </is>
      </c>
      <c r="W408" s="55" t="inlineStr">
        <is>
          <t>TEMPORÁRIA</t>
        </is>
      </c>
      <c r="X408" s="55" t="inlineStr">
        <is>
          <t>± PERDA / GANHO</t>
        </is>
      </c>
      <c r="Y408" s="55">
        <f>DADOS_INVOC!$HQ$4</f>
        <v/>
      </c>
      <c r="Z408" s="120" t="n"/>
      <c r="AB408" s="55" t="inlineStr">
        <is>
          <t>NOME</t>
        </is>
      </c>
      <c r="AC408" s="16" t="n"/>
      <c r="AD408" s="16" t="n"/>
      <c r="AE408" s="16" t="n"/>
      <c r="AF408" s="17" t="n"/>
      <c r="AG408" s="120" t="n"/>
      <c r="AH408" s="55" t="inlineStr">
        <is>
          <t>NÍVEL</t>
        </is>
      </c>
      <c r="AI408" s="55" t="inlineStr">
        <is>
          <t>CLASSE</t>
        </is>
      </c>
      <c r="AJ408" s="55" t="inlineStr">
        <is>
          <t>MAESTRIA</t>
        </is>
      </c>
      <c r="AK408" s="55" t="inlineStr">
        <is>
          <t>ENTRADA</t>
        </is>
      </c>
      <c r="AL408" s="55" t="inlineStr">
        <is>
          <t>RETORNO</t>
        </is>
      </c>
      <c r="AM408" s="120" t="n"/>
      <c r="AN408" s="55" t="inlineStr">
        <is>
          <t>VIDA ATUAL</t>
        </is>
      </c>
      <c r="AO408" s="55" t="inlineStr">
        <is>
          <t>VIDA MÁXIMA</t>
        </is>
      </c>
      <c r="AP408" s="55" t="inlineStr">
        <is>
          <t>TEMPORÁRIA</t>
        </is>
      </c>
      <c r="AQ408" s="55" t="inlineStr">
        <is>
          <t>± PERDA / GANHO</t>
        </is>
      </c>
      <c r="AR408" s="55">
        <f>DADOS_INVOC!$HQ$10</f>
        <v/>
      </c>
      <c r="AS408" s="120" t="n"/>
    </row>
    <row r="409" hidden="1" outlineLevel="1">
      <c r="A409" s="8" t="n"/>
      <c r="B409" s="14" t="n"/>
      <c r="C409" s="120" t="n"/>
      <c r="D409" s="120" t="n"/>
      <c r="E409" s="120" t="n"/>
      <c r="F409" s="120" t="n"/>
      <c r="G409" s="120" t="n"/>
      <c r="I409" s="83" t="n"/>
      <c r="J409" s="19" t="n"/>
      <c r="K409" s="19" t="n"/>
      <c r="L409" s="19" t="n"/>
      <c r="M409" s="20" t="n"/>
      <c r="N409" s="120" t="n"/>
      <c r="O409" s="92">
        <f>DADOS_INVOC!$FI$4</f>
        <v/>
      </c>
      <c r="P409" s="92">
        <f>DADOS_INVOC!$FJ$4</f>
        <v/>
      </c>
      <c r="Q409" s="92">
        <f>DADOS_INVOC!$GX$4</f>
        <v/>
      </c>
      <c r="R409" s="92">
        <f>DADOS_INVOC!$GY$4</f>
        <v/>
      </c>
      <c r="S409" s="92">
        <f>DADOS_INVOC!$GZ$4</f>
        <v/>
      </c>
      <c r="T409" s="120" t="n"/>
      <c r="U409" s="92">
        <f>DADOS_INVOC!$GA$4</f>
        <v/>
      </c>
      <c r="V409" s="92">
        <f>DADOS_INVOC!$FZ$4</f>
        <v/>
      </c>
      <c r="W409" s="92" t="n"/>
      <c r="X409" s="92" t="n"/>
      <c r="Y409" s="92" t="n"/>
      <c r="Z409" s="120" t="n"/>
      <c r="AB409" s="83" t="n"/>
      <c r="AC409" s="19" t="n"/>
      <c r="AD409" s="19" t="n"/>
      <c r="AE409" s="19" t="n"/>
      <c r="AF409" s="20" t="n"/>
      <c r="AG409" s="120" t="n"/>
      <c r="AH409" s="92">
        <f>DADOS_INVOC!$FI$10</f>
        <v/>
      </c>
      <c r="AI409" s="92">
        <f>DADOS_INVOC!$FJ$10</f>
        <v/>
      </c>
      <c r="AJ409" s="92">
        <f>DADOS_INVOC!$GX$10</f>
        <v/>
      </c>
      <c r="AK409" s="92">
        <f>DADOS_INVOC!$GY$10</f>
        <v/>
      </c>
      <c r="AL409" s="92">
        <f>DADOS_INVOC!$GZ$10</f>
        <v/>
      </c>
      <c r="AM409" s="120" t="n"/>
      <c r="AN409" s="92">
        <f>DADOS_INVOC!$GA$10</f>
        <v/>
      </c>
      <c r="AO409" s="92">
        <f>DADOS_INVOC!$FZ$10</f>
        <v/>
      </c>
      <c r="AP409" s="92" t="n"/>
      <c r="AQ409" s="92" t="n"/>
      <c r="AR409" s="92" t="n"/>
      <c r="AS409" s="120" t="n"/>
    </row>
    <row r="410" hidden="1" outlineLevel="1">
      <c r="A410" s="8" t="n"/>
      <c r="B410" s="14" t="n"/>
      <c r="C410" s="120" t="n"/>
      <c r="D410" s="120" t="n"/>
      <c r="E410" s="120" t="n"/>
      <c r="F410" s="120" t="n"/>
      <c r="G410" s="120" t="n"/>
      <c r="I410" s="23" t="n"/>
      <c r="J410" s="24" t="n"/>
      <c r="K410" s="24" t="n"/>
      <c r="L410" s="24" t="n"/>
      <c r="M410" s="25" t="n"/>
      <c r="N410" s="120" t="n"/>
      <c r="O410" s="125" t="n"/>
      <c r="P410" s="125" t="n"/>
      <c r="Q410" s="125" t="n"/>
      <c r="R410" s="125" t="n"/>
      <c r="S410" s="125" t="n"/>
      <c r="T410" s="120" t="n"/>
      <c r="U410" s="125" t="n"/>
      <c r="V410" s="125" t="n"/>
      <c r="W410" s="125" t="n"/>
      <c r="X410" s="125" t="n"/>
      <c r="Y410" s="125" t="n"/>
      <c r="Z410" s="120" t="n"/>
      <c r="AB410" s="23" t="n"/>
      <c r="AC410" s="24" t="n"/>
      <c r="AD410" s="24" t="n"/>
      <c r="AE410" s="24" t="n"/>
      <c r="AF410" s="25" t="n"/>
      <c r="AG410" s="120" t="n"/>
      <c r="AH410" s="125" t="n"/>
      <c r="AI410" s="125" t="n"/>
      <c r="AJ410" s="125" t="n"/>
      <c r="AK410" s="125" t="n"/>
      <c r="AL410" s="125" t="n"/>
      <c r="AM410" s="120" t="n"/>
      <c r="AN410" s="125" t="n"/>
      <c r="AO410" s="125" t="n"/>
      <c r="AP410" s="125" t="n"/>
      <c r="AQ410" s="125" t="n"/>
      <c r="AR410" s="125" t="n"/>
      <c r="AS410" s="120" t="n"/>
    </row>
    <row r="411" hidden="1" outlineLevel="1">
      <c r="A411" s="8" t="n"/>
      <c r="B411" s="14" t="n"/>
      <c r="C411" s="120" t="n"/>
      <c r="D411" s="120" t="n"/>
      <c r="E411" s="120" t="n"/>
      <c r="F411" s="120" t="n"/>
      <c r="G411" s="120" t="n"/>
      <c r="I411" s="141" t="inlineStr">
        <is>
          <t>FOTO
式神</t>
        </is>
      </c>
      <c r="J411" s="19" t="n"/>
      <c r="K411" s="19" t="n"/>
      <c r="L411" s="19" t="n"/>
      <c r="M411" s="20" t="n"/>
      <c r="N411" s="120" t="n"/>
      <c r="O411" s="120" t="n"/>
      <c r="P411" s="120" t="n"/>
      <c r="Q411" s="120" t="n"/>
      <c r="R411" s="120" t="n"/>
      <c r="S411" s="120" t="n"/>
      <c r="T411" s="120" t="n"/>
      <c r="U411" s="130">
        <f>IFERROR(SPARKLINE(DADOS_INVOC!$GB$4,{"charttype","bar";"max",MAX(1,DADOS_INVOC!$FZ$4);"color1",DADOS_INVOC!$CX$12}),"")</f>
        <v/>
      </c>
      <c r="V411" s="16" t="n"/>
      <c r="W411" s="16" t="n"/>
      <c r="X411" s="16" t="n"/>
      <c r="Y411" s="17" t="n"/>
      <c r="Z411" s="120" t="n"/>
      <c r="AB411" s="141" t="inlineStr">
        <is>
          <t>FOTO
式神</t>
        </is>
      </c>
      <c r="AC411" s="19" t="n"/>
      <c r="AD411" s="19" t="n"/>
      <c r="AE411" s="19" t="n"/>
      <c r="AF411" s="20" t="n"/>
      <c r="AG411" s="120" t="n"/>
      <c r="AH411" s="120" t="n"/>
      <c r="AI411" s="120" t="n"/>
      <c r="AJ411" s="120" t="n"/>
      <c r="AK411" s="120" t="n"/>
      <c r="AL411" s="120" t="n"/>
      <c r="AM411" s="120" t="n"/>
      <c r="AN411" s="130">
        <f>IFERROR(SPARKLINE(DADOS_INVOC!$GB$10,{"charttype","bar";"max",MAX(1,DADOS_INVOC!$FZ$10);"color1",DADOS_INVOC!$CX$12}),"")</f>
        <v/>
      </c>
      <c r="AO411" s="16" t="n"/>
      <c r="AP411" s="16" t="n"/>
      <c r="AQ411" s="16" t="n"/>
      <c r="AR411" s="17" t="n"/>
      <c r="AS411" s="120" t="n"/>
    </row>
    <row r="412" hidden="1" outlineLevel="1">
      <c r="A412" s="8" t="n"/>
      <c r="B412" s="14" t="n"/>
      <c r="C412" s="120" t="n"/>
      <c r="D412" s="120" t="n"/>
      <c r="E412" s="120" t="n"/>
      <c r="F412" s="120" t="n"/>
      <c r="G412" s="120" t="n"/>
      <c r="I412" s="21" t="n"/>
      <c r="M412" s="22" t="n"/>
      <c r="N412" s="120" t="n"/>
      <c r="O412" s="55">
        <f>DADOS_INVOC!$HA$4</f>
        <v/>
      </c>
      <c r="P412" s="16" t="n"/>
      <c r="Q412" s="16" t="n"/>
      <c r="R412" s="16" t="n"/>
      <c r="S412" s="17" t="n"/>
      <c r="T412" s="120" t="n"/>
      <c r="U412" s="120" t="n"/>
      <c r="V412" s="120" t="n"/>
      <c r="W412" s="120" t="n"/>
      <c r="X412" s="120" t="n"/>
      <c r="Y412" s="120" t="n"/>
      <c r="Z412" s="120" t="n"/>
      <c r="AB412" s="21" t="n"/>
      <c r="AF412" s="22" t="n"/>
      <c r="AG412" s="120" t="n"/>
      <c r="AH412" s="55">
        <f>DADOS_INVOC!$HA$10</f>
        <v/>
      </c>
      <c r="AI412" s="16" t="n"/>
      <c r="AJ412" s="16" t="n"/>
      <c r="AK412" s="16" t="n"/>
      <c r="AL412" s="17" t="n"/>
      <c r="AM412" s="120" t="n"/>
      <c r="AN412" s="120" t="n"/>
      <c r="AO412" s="120" t="n"/>
      <c r="AP412" s="120" t="n"/>
      <c r="AQ412" s="120" t="n"/>
      <c r="AR412" s="120" t="n"/>
      <c r="AS412" s="120" t="n"/>
    </row>
    <row r="413" hidden="1" outlineLevel="1">
      <c r="A413" s="8" t="n"/>
      <c r="B413" s="14" t="n"/>
      <c r="C413" s="120" t="n"/>
      <c r="D413" s="120" t="n"/>
      <c r="E413" s="120" t="n"/>
      <c r="F413" s="120" t="n"/>
      <c r="G413" s="120" t="n"/>
      <c r="I413" s="21" t="n"/>
      <c r="M413" s="22" t="n"/>
      <c r="N413" s="120" t="n"/>
      <c r="O413" s="55" t="inlineStr">
        <is>
          <t>FOR</t>
        </is>
      </c>
      <c r="P413" s="55" t="inlineStr">
        <is>
          <t>DES</t>
        </is>
      </c>
      <c r="Q413" s="55" t="inlineStr">
        <is>
          <t>CON</t>
        </is>
      </c>
      <c r="R413" s="55" t="inlineStr">
        <is>
          <t>INT</t>
        </is>
      </c>
      <c r="S413" s="55" t="inlineStr">
        <is>
          <t>ESS</t>
        </is>
      </c>
      <c r="T413" s="120" t="n"/>
      <c r="U413" s="55" t="inlineStr">
        <is>
          <t>CONDIÇÕES E USOS GASTOS</t>
        </is>
      </c>
      <c r="V413" s="16" t="n"/>
      <c r="W413" s="16" t="n"/>
      <c r="X413" s="16" t="n"/>
      <c r="Y413" s="17" t="n"/>
      <c r="Z413" s="120" t="n"/>
      <c r="AB413" s="21" t="n"/>
      <c r="AF413" s="22" t="n"/>
      <c r="AG413" s="120" t="n"/>
      <c r="AH413" s="55" t="inlineStr">
        <is>
          <t>FOR</t>
        </is>
      </c>
      <c r="AI413" s="55" t="inlineStr">
        <is>
          <t>DES</t>
        </is>
      </c>
      <c r="AJ413" s="55" t="inlineStr">
        <is>
          <t>CON</t>
        </is>
      </c>
      <c r="AK413" s="55" t="inlineStr">
        <is>
          <t>INT</t>
        </is>
      </c>
      <c r="AL413" s="55" t="inlineStr">
        <is>
          <t>ESS</t>
        </is>
      </c>
      <c r="AM413" s="120" t="n"/>
      <c r="AN413" s="55" t="inlineStr">
        <is>
          <t>CONDIÇÕES E USOS GASTOS</t>
        </is>
      </c>
      <c r="AO413" s="16" t="n"/>
      <c r="AP413" s="16" t="n"/>
      <c r="AQ413" s="16" t="n"/>
      <c r="AR413" s="17" t="n"/>
      <c r="AS413" s="120" t="n"/>
    </row>
    <row r="414" hidden="1" outlineLevel="1">
      <c r="A414" s="8" t="n"/>
      <c r="B414" s="14" t="n"/>
      <c r="C414" s="120" t="n"/>
      <c r="D414" s="120" t="n"/>
      <c r="E414" s="120" t="n"/>
      <c r="F414" s="120" t="n"/>
      <c r="G414" s="120" t="n"/>
      <c r="I414" s="21" t="n"/>
      <c r="M414" s="22" t="n"/>
      <c r="N414" s="120" t="n"/>
      <c r="O414" s="92">
        <f>DADOS_INVOC!$FL$4</f>
        <v/>
      </c>
      <c r="P414" s="92">
        <f>DADOS_INVOC!$FM$4</f>
        <v/>
      </c>
      <c r="Q414" s="92">
        <f>DADOS_INVOC!$FN$4</f>
        <v/>
      </c>
      <c r="R414" s="92">
        <f>DADOS_INVOC!$FO$4</f>
        <v/>
      </c>
      <c r="S414" s="92">
        <f>DADOS_INVOC!$FP$4</f>
        <v/>
      </c>
      <c r="T414" s="120" t="n"/>
      <c r="U414" s="116" t="n"/>
      <c r="V414" s="19" t="n"/>
      <c r="W414" s="19" t="n"/>
      <c r="X414" s="19" t="n"/>
      <c r="Y414" s="20" t="n"/>
      <c r="Z414" s="120" t="n"/>
      <c r="AB414" s="21" t="n"/>
      <c r="AF414" s="22" t="n"/>
      <c r="AG414" s="120" t="n"/>
      <c r="AH414" s="92">
        <f>DADOS_INVOC!$FL$10</f>
        <v/>
      </c>
      <c r="AI414" s="92">
        <f>DADOS_INVOC!$FM$10</f>
        <v/>
      </c>
      <c r="AJ414" s="92">
        <f>DADOS_INVOC!$FN$10</f>
        <v/>
      </c>
      <c r="AK414" s="92">
        <f>DADOS_INVOC!$FO$10</f>
        <v/>
      </c>
      <c r="AL414" s="92">
        <f>DADOS_INVOC!$FP$10</f>
        <v/>
      </c>
      <c r="AM414" s="120" t="n"/>
      <c r="AN414" s="116" t="n"/>
      <c r="AO414" s="19" t="n"/>
      <c r="AP414" s="19" t="n"/>
      <c r="AQ414" s="19" t="n"/>
      <c r="AR414" s="20"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21" t="n"/>
      <c r="Y415" s="22" t="n"/>
      <c r="Z415" s="120" t="n"/>
      <c r="AB415" s="21" t="n"/>
      <c r="AF415" s="22" t="n"/>
      <c r="AG415" s="120" t="n"/>
      <c r="AH415" s="125" t="n"/>
      <c r="AI415" s="125" t="n"/>
      <c r="AJ415" s="125" t="n"/>
      <c r="AK415" s="125" t="n"/>
      <c r="AL415" s="125" t="n"/>
      <c r="AM415" s="120" t="n"/>
      <c r="AN415" s="21" t="n"/>
      <c r="AR415" s="22" t="n"/>
      <c r="AS415" s="120" t="n"/>
    </row>
    <row r="416" hidden="1" outlineLevel="1">
      <c r="A416" s="8" t="n"/>
      <c r="B416" s="14" t="n"/>
      <c r="C416" s="120" t="n"/>
      <c r="D416" s="120" t="n"/>
      <c r="E416" s="120" t="n"/>
      <c r="F416" s="120" t="n"/>
      <c r="G416" s="120" t="n"/>
      <c r="I416" s="21" t="n"/>
      <c r="M416" s="22" t="n"/>
      <c r="N416" s="120" t="n"/>
      <c r="O416" s="142" t="n">
        <v>0</v>
      </c>
      <c r="P416" s="142" t="n">
        <v>0</v>
      </c>
      <c r="Q416" s="142" t="n">
        <v>0</v>
      </c>
      <c r="R416" s="142" t="n">
        <v>0</v>
      </c>
      <c r="S416" s="142" t="n">
        <v>0</v>
      </c>
      <c r="T416" s="120" t="n"/>
      <c r="U416" s="21" t="n"/>
      <c r="Y416" s="22" t="n"/>
      <c r="Z416" s="120" t="n"/>
      <c r="AB416" s="21" t="n"/>
      <c r="AF416" s="22" t="n"/>
      <c r="AG416" s="120" t="n"/>
      <c r="AH416" s="142" t="n">
        <v>0</v>
      </c>
      <c r="AI416" s="142" t="n">
        <v>0</v>
      </c>
      <c r="AJ416" s="142" t="n">
        <v>0</v>
      </c>
      <c r="AK416" s="142" t="n">
        <v>0</v>
      </c>
      <c r="AL416" s="142" t="n">
        <v>0</v>
      </c>
      <c r="AM416" s="120" t="n"/>
      <c r="AN416" s="21" t="n"/>
      <c r="AR416" s="22" t="n"/>
      <c r="AS416" s="120" t="n"/>
    </row>
    <row r="417" hidden="1" outlineLevel="1">
      <c r="A417" s="8" t="n"/>
      <c r="B417" s="14" t="n"/>
      <c r="C417" s="120" t="n"/>
      <c r="D417" s="120" t="n"/>
      <c r="E417" s="120" t="n"/>
      <c r="F417" s="120" t="n"/>
      <c r="G417" s="120" t="n"/>
      <c r="I417" s="21" t="n"/>
      <c r="M417" s="22" t="n"/>
      <c r="N417" s="120" t="n"/>
      <c r="O417" s="144" t="n">
        <v>0</v>
      </c>
      <c r="P417" s="144" t="n">
        <v>0</v>
      </c>
      <c r="Q417" s="144" t="n">
        <v>0</v>
      </c>
      <c r="R417" s="144" t="n">
        <v>0</v>
      </c>
      <c r="S417" s="144" t="n">
        <v>0</v>
      </c>
      <c r="T417" s="120" t="n"/>
      <c r="U417" s="21" t="n"/>
      <c r="Y417" s="22" t="n"/>
      <c r="Z417" s="120" t="n"/>
      <c r="AB417" s="21" t="n"/>
      <c r="AF417" s="22" t="n"/>
      <c r="AG417" s="120" t="n"/>
      <c r="AH417" s="144" t="n">
        <v>0</v>
      </c>
      <c r="AI417" s="144" t="n">
        <v>0</v>
      </c>
      <c r="AJ417" s="144" t="n">
        <v>0</v>
      </c>
      <c r="AK417" s="144" t="n">
        <v>0</v>
      </c>
      <c r="AL417" s="144" t="n">
        <v>0</v>
      </c>
      <c r="AM417" s="120" t="n"/>
      <c r="AN417" s="21" t="n"/>
      <c r="AR417" s="22" t="n"/>
      <c r="AS417" s="120" t="n"/>
    </row>
    <row r="418" hidden="1" outlineLevel="1">
      <c r="A418" s="8" t="n"/>
      <c r="B418" s="14" t="n"/>
      <c r="C418" s="120" t="n"/>
      <c r="D418" s="120" t="n"/>
      <c r="E418" s="120" t="n"/>
      <c r="F418" s="120" t="n"/>
      <c r="G418" s="120" t="n"/>
      <c r="I418" s="21" t="n"/>
      <c r="M418" s="22" t="n"/>
      <c r="N418" s="120" t="n"/>
      <c r="O418" s="120" t="n"/>
      <c r="P418" s="120" t="n"/>
      <c r="Q418" s="120" t="n"/>
      <c r="R418" s="120" t="n"/>
      <c r="S418" s="120" t="n"/>
      <c r="T418" s="120" t="n"/>
      <c r="U418" s="23" t="n"/>
      <c r="V418" s="24" t="n"/>
      <c r="W418" s="24" t="n"/>
      <c r="X418" s="24" t="n"/>
      <c r="Y418" s="25" t="n"/>
      <c r="Z418" s="120" t="n"/>
      <c r="AB418" s="21" t="n"/>
      <c r="AF418" s="22" t="n"/>
      <c r="AG418" s="120" t="n"/>
      <c r="AH418" s="120" t="n"/>
      <c r="AI418" s="120" t="n"/>
      <c r="AJ418" s="120" t="n"/>
      <c r="AK418" s="120" t="n"/>
      <c r="AL418" s="120" t="n"/>
      <c r="AM418" s="120" t="n"/>
      <c r="AN418" s="23" t="n"/>
      <c r="AO418" s="24" t="n"/>
      <c r="AP418" s="24" t="n"/>
      <c r="AQ418" s="24" t="n"/>
      <c r="AR418" s="25" t="n"/>
      <c r="AS418" s="120" t="n"/>
    </row>
    <row r="419" hidden="1" outlineLevel="1">
      <c r="A419" s="8" t="n"/>
      <c r="B419" s="14" t="n"/>
      <c r="C419" s="120" t="n"/>
      <c r="D419" s="120" t="n"/>
      <c r="E419" s="120" t="n"/>
      <c r="F419" s="120" t="n"/>
      <c r="G419" s="120" t="n"/>
      <c r="I419" s="21" t="n"/>
      <c r="M419" s="22" t="n"/>
      <c r="N419" s="120" t="n"/>
      <c r="O419" s="55" t="inlineStr">
        <is>
          <t>ATAQUE</t>
        </is>
      </c>
      <c r="P419" s="55" t="inlineStr">
        <is>
          <t>CD</t>
        </is>
      </c>
      <c r="Q419" s="55" t="inlineStr">
        <is>
          <t>DEFESA</t>
        </is>
      </c>
      <c r="R419" s="55" t="inlineStr">
        <is>
          <t>VIDA MÁXIMA</t>
        </is>
      </c>
      <c r="S419" s="55" t="inlineStr">
        <is>
          <t>DESLOCAMENTO</t>
        </is>
      </c>
      <c r="T419" s="120" t="n"/>
      <c r="U419" s="120" t="n"/>
      <c r="V419" s="120" t="n"/>
      <c r="W419" s="120" t="n"/>
      <c r="X419" s="120" t="n"/>
      <c r="Y419" s="120" t="n"/>
      <c r="Z419" s="120" t="n"/>
      <c r="AB419" s="21" t="n"/>
      <c r="AF419" s="22" t="n"/>
      <c r="AG419" s="120" t="n"/>
      <c r="AH419" s="55" t="inlineStr">
        <is>
          <t>ATAQUE</t>
        </is>
      </c>
      <c r="AI419" s="55" t="inlineStr">
        <is>
          <t>CD</t>
        </is>
      </c>
      <c r="AJ419" s="55" t="inlineStr">
        <is>
          <t>DEFESA</t>
        </is>
      </c>
      <c r="AK419" s="55" t="inlineStr">
        <is>
          <t>VIDA MÁXIMA</t>
        </is>
      </c>
      <c r="AL419" s="55" t="inlineStr">
        <is>
          <t>DESLOCAMENTO</t>
        </is>
      </c>
      <c r="AM419" s="120" t="n"/>
      <c r="AN419" s="120" t="n"/>
      <c r="AO419" s="120" t="n"/>
      <c r="AP419" s="120" t="n"/>
      <c r="AQ419" s="120" t="n"/>
      <c r="AR419" s="120" t="n"/>
      <c r="AS419" s="120" t="n"/>
    </row>
    <row r="420" hidden="1" outlineLevel="1">
      <c r="A420" s="8" t="n"/>
      <c r="B420" s="14" t="n"/>
      <c r="C420" s="120" t="n"/>
      <c r="D420" s="120" t="n"/>
      <c r="E420" s="120" t="n"/>
      <c r="F420" s="120" t="n"/>
      <c r="G420" s="120" t="n"/>
      <c r="I420" s="21" t="n"/>
      <c r="M420" s="22" t="n"/>
      <c r="N420" s="120" t="n"/>
      <c r="O420" s="92">
        <f>DADOS_INVOC!$HB$4</f>
        <v/>
      </c>
      <c r="P420" s="92">
        <f>DADOS_INVOC!$HC$4</f>
        <v/>
      </c>
      <c r="Q420" s="92">
        <f>DADOS_INVOC!$FX$4</f>
        <v/>
      </c>
      <c r="R420" s="92">
        <f>DADOS_INVOC!$FZ$4</f>
        <v/>
      </c>
      <c r="S420" s="92">
        <f>DADOS_INVOC!$HD$4</f>
        <v/>
      </c>
      <c r="T420" s="120" t="n"/>
      <c r="U420" s="55" t="inlineStr">
        <is>
          <t>ANOTAÇÕES</t>
        </is>
      </c>
      <c r="V420" s="16" t="n"/>
      <c r="W420" s="16" t="n"/>
      <c r="X420" s="16" t="n"/>
      <c r="Y420" s="17" t="n"/>
      <c r="Z420" s="120" t="n"/>
      <c r="AB420" s="21" t="n"/>
      <c r="AF420" s="22" t="n"/>
      <c r="AG420" s="120" t="n"/>
      <c r="AH420" s="92">
        <f>DADOS_INVOC!$HB$10</f>
        <v/>
      </c>
      <c r="AI420" s="92">
        <f>DADOS_INVOC!$HC$10</f>
        <v/>
      </c>
      <c r="AJ420" s="92">
        <f>DADOS_INVOC!$FX$10</f>
        <v/>
      </c>
      <c r="AK420" s="92">
        <f>DADOS_INVOC!$FZ$10</f>
        <v/>
      </c>
      <c r="AL420" s="92">
        <f>DADOS_INVOC!$HD$10</f>
        <v/>
      </c>
      <c r="AM420" s="120" t="n"/>
      <c r="AN420" s="55" t="inlineStr">
        <is>
          <t>ANOTAÇÕES</t>
        </is>
      </c>
      <c r="AO420" s="16" t="n"/>
      <c r="AP420" s="16" t="n"/>
      <c r="AQ420" s="16" t="n"/>
      <c r="AR420" s="17" t="n"/>
      <c r="AS420" s="120" t="n"/>
    </row>
    <row r="421" hidden="1" outlineLevel="1">
      <c r="A421" s="8" t="n"/>
      <c r="B421" s="14" t="n"/>
      <c r="C421" s="120" t="n"/>
      <c r="D421" s="120" t="n"/>
      <c r="E421" s="120" t="n"/>
      <c r="F421" s="120" t="n"/>
      <c r="G421" s="120" t="n"/>
      <c r="I421" s="21" t="n"/>
      <c r="M421" s="22" t="n"/>
      <c r="N421" s="120" t="n"/>
      <c r="O421" s="125" t="n"/>
      <c r="P421" s="125" t="n"/>
      <c r="Q421" s="125" t="n"/>
      <c r="R421" s="125" t="n"/>
      <c r="S421" s="125" t="n"/>
      <c r="T421" s="120" t="n"/>
      <c r="U421" s="116" t="n"/>
      <c r="V421" s="19" t="n"/>
      <c r="W421" s="19" t="n"/>
      <c r="X421" s="19" t="n"/>
      <c r="Y421" s="20" t="n"/>
      <c r="Z421" s="120" t="n"/>
      <c r="AB421" s="21" t="n"/>
      <c r="AF421" s="22" t="n"/>
      <c r="AG421" s="120" t="n"/>
      <c r="AH421" s="125" t="n"/>
      <c r="AI421" s="125" t="n"/>
      <c r="AJ421" s="125" t="n"/>
      <c r="AK421" s="125" t="n"/>
      <c r="AL421" s="125" t="n"/>
      <c r="AM421" s="120" t="n"/>
      <c r="AN421" s="116" t="n"/>
      <c r="AO421" s="19" t="n"/>
      <c r="AP421" s="19" t="n"/>
      <c r="AQ421" s="19" t="n"/>
      <c r="AR421" s="20" t="n"/>
      <c r="AS421" s="120" t="n"/>
    </row>
    <row r="422" hidden="1" outlineLevel="1">
      <c r="A422" s="8" t="n"/>
      <c r="B422" s="14" t="n"/>
      <c r="C422" s="120" t="n"/>
      <c r="D422" s="120" t="n"/>
      <c r="E422" s="120" t="n"/>
      <c r="F422" s="120" t="n"/>
      <c r="G422" s="120" t="n"/>
      <c r="I422" s="21" t="n"/>
      <c r="M422" s="22" t="n"/>
      <c r="N422" s="120" t="n"/>
      <c r="O422" s="144" t="n">
        <v>0</v>
      </c>
      <c r="P422" s="144" t="n">
        <v>0</v>
      </c>
      <c r="Q422" s="144" t="n">
        <v>0</v>
      </c>
      <c r="R422" s="144" t="n">
        <v>0</v>
      </c>
      <c r="S422" s="144" t="n">
        <v>0</v>
      </c>
      <c r="T422" s="120" t="n"/>
      <c r="U422" s="21" t="n"/>
      <c r="Y422" s="22" t="n"/>
      <c r="Z422" s="120" t="n"/>
      <c r="AB422" s="21" t="n"/>
      <c r="AF422" s="22" t="n"/>
      <c r="AG422" s="120" t="n"/>
      <c r="AH422" s="144" t="n">
        <v>0</v>
      </c>
      <c r="AI422" s="144" t="n">
        <v>0</v>
      </c>
      <c r="AJ422" s="144" t="n">
        <v>0</v>
      </c>
      <c r="AK422" s="144" t="n">
        <v>0</v>
      </c>
      <c r="AL422" s="144" t="n">
        <v>0</v>
      </c>
      <c r="AM422" s="120" t="n"/>
      <c r="AN422" s="21" t="n"/>
      <c r="AR422" s="22" t="n"/>
      <c r="AS422" s="120" t="n"/>
    </row>
    <row r="423" hidden="1" outlineLevel="1">
      <c r="A423" s="8" t="n"/>
      <c r="B423" s="14" t="n"/>
      <c r="C423" s="120" t="n"/>
      <c r="D423" s="120" t="n"/>
      <c r="E423" s="120" t="n"/>
      <c r="F423" s="120" t="n"/>
      <c r="G423" s="120" t="n"/>
      <c r="I423" s="21" t="n"/>
      <c r="M423" s="22" t="n"/>
      <c r="N423" s="120" t="n"/>
      <c r="O423" s="120" t="n"/>
      <c r="P423" s="120" t="n"/>
      <c r="Q423" s="120" t="n"/>
      <c r="R423" s="120" t="n"/>
      <c r="S423" s="120" t="n"/>
      <c r="T423" s="120" t="n"/>
      <c r="U423" s="21" t="n"/>
      <c r="Y423" s="22" t="n"/>
      <c r="Z423" s="120" t="n"/>
      <c r="AB423" s="21" t="n"/>
      <c r="AF423" s="22" t="n"/>
      <c r="AG423" s="120" t="n"/>
      <c r="AH423" s="120" t="n"/>
      <c r="AI423" s="120" t="n"/>
      <c r="AJ423" s="120" t="n"/>
      <c r="AK423" s="120" t="n"/>
      <c r="AL423" s="120" t="n"/>
      <c r="AM423" s="120" t="n"/>
      <c r="AN423" s="21" t="n"/>
      <c r="AR423" s="22" t="n"/>
      <c r="AS423" s="120" t="n"/>
    </row>
    <row r="424" hidden="1" outlineLevel="1">
      <c r="A424" s="8" t="n"/>
      <c r="B424" s="14" t="n"/>
      <c r="C424" s="120" t="n"/>
      <c r="D424" s="120" t="n"/>
      <c r="E424" s="120" t="n"/>
      <c r="F424" s="120" t="n"/>
      <c r="G424" s="120" t="n"/>
      <c r="I424" s="21" t="n"/>
      <c r="M424" s="22" t="n"/>
      <c r="N424" s="120" t="n"/>
      <c r="O424" s="55" t="inlineStr">
        <is>
          <t>FÍSICO</t>
        </is>
      </c>
      <c r="P424" s="55" t="inlineStr">
        <is>
          <t>VIGOR</t>
        </is>
      </c>
      <c r="Q424" s="55" t="inlineStr">
        <is>
          <t>INTELECTO</t>
        </is>
      </c>
      <c r="R424" s="55" t="inlineStr">
        <is>
          <t>ESPÍRITO</t>
        </is>
      </c>
      <c r="S424" s="55" t="inlineStr">
        <is>
          <t>TR TREINADO</t>
        </is>
      </c>
      <c r="T424" s="120" t="n"/>
      <c r="U424" s="21" t="n"/>
      <c r="Y424" s="22" t="n"/>
      <c r="Z424" s="120" t="n"/>
      <c r="AB424" s="21" t="n"/>
      <c r="AF424" s="22" t="n"/>
      <c r="AG424" s="120" t="n"/>
      <c r="AH424" s="55" t="inlineStr">
        <is>
          <t>FÍSICO</t>
        </is>
      </c>
      <c r="AI424" s="55" t="inlineStr">
        <is>
          <t>VIGOR</t>
        </is>
      </c>
      <c r="AJ424" s="55" t="inlineStr">
        <is>
          <t>INTELECTO</t>
        </is>
      </c>
      <c r="AK424" s="55" t="inlineStr">
        <is>
          <t>ESPÍRITO</t>
        </is>
      </c>
      <c r="AL424" s="55" t="inlineStr">
        <is>
          <t>TR TREINADO</t>
        </is>
      </c>
      <c r="AM424" s="120" t="n"/>
      <c r="AN424" s="21" t="n"/>
      <c r="AR424" s="22" t="n"/>
      <c r="AS424" s="120" t="n"/>
    </row>
    <row r="425" hidden="1" outlineLevel="1">
      <c r="A425" s="8" t="n"/>
      <c r="B425" s="14" t="n"/>
      <c r="C425" s="120" t="n"/>
      <c r="D425" s="120" t="n"/>
      <c r="E425" s="120" t="n"/>
      <c r="F425" s="120" t="n"/>
      <c r="G425" s="120" t="n"/>
      <c r="I425" s="21" t="n"/>
      <c r="M425" s="22" t="n"/>
      <c r="N425" s="120" t="n"/>
      <c r="O425" s="92">
        <f>DADOS_INVOC!$HE$4</f>
        <v/>
      </c>
      <c r="P425" s="92">
        <f>DADOS_INVOC!$HF$4</f>
        <v/>
      </c>
      <c r="Q425" s="92">
        <f>DADOS_INVOC!$HG$4</f>
        <v/>
      </c>
      <c r="R425" s="92">
        <f>DADOS_INVOC!$HH$4</f>
        <v/>
      </c>
      <c r="S425" s="124" t="n"/>
      <c r="T425" s="120" t="n"/>
      <c r="U425" s="21" t="n"/>
      <c r="Y425" s="22" t="n"/>
      <c r="Z425" s="120" t="n"/>
      <c r="AB425" s="21" t="n"/>
      <c r="AF425" s="22" t="n"/>
      <c r="AG425" s="120" t="n"/>
      <c r="AH425" s="92">
        <f>DADOS_INVOC!$HE$10</f>
        <v/>
      </c>
      <c r="AI425" s="92">
        <f>DADOS_INVOC!$HF$10</f>
        <v/>
      </c>
      <c r="AJ425" s="92">
        <f>DADOS_INVOC!$HG$10</f>
        <v/>
      </c>
      <c r="AK425" s="92">
        <f>DADOS_INVOC!$HH$10</f>
        <v/>
      </c>
      <c r="AL425" s="124" t="n"/>
      <c r="AM425" s="120" t="n"/>
      <c r="AN425" s="21" t="n"/>
      <c r="AR425" s="22" t="n"/>
      <c r="AS425" s="120" t="n"/>
    </row>
    <row r="426" hidden="1" outlineLevel="1">
      <c r="A426" s="8" t="n"/>
      <c r="B426" s="14" t="n"/>
      <c r="C426" s="120" t="n"/>
      <c r="D426" s="120" t="n"/>
      <c r="E426" s="120" t="n"/>
      <c r="F426" s="120" t="n"/>
      <c r="G426" s="120" t="n"/>
      <c r="I426" s="21" t="n"/>
      <c r="M426" s="22" t="n"/>
      <c r="N426" s="120" t="n"/>
      <c r="O426" s="125" t="n"/>
      <c r="P426" s="125" t="n"/>
      <c r="Q426" s="125" t="n"/>
      <c r="R426" s="125" t="n"/>
      <c r="S426" s="125" t="n"/>
      <c r="T426" s="120" t="n"/>
      <c r="U426" s="23" t="n"/>
      <c r="V426" s="24" t="n"/>
      <c r="W426" s="24" t="n"/>
      <c r="X426" s="24" t="n"/>
      <c r="Y426" s="25" t="n"/>
      <c r="Z426" s="120" t="n"/>
      <c r="AB426" s="21" t="n"/>
      <c r="AF426" s="22" t="n"/>
      <c r="AG426" s="120" t="n"/>
      <c r="AH426" s="125" t="n"/>
      <c r="AI426" s="125" t="n"/>
      <c r="AJ426" s="125" t="n"/>
      <c r="AK426" s="125" t="n"/>
      <c r="AL426" s="125" t="n"/>
      <c r="AM426" s="120" t="n"/>
      <c r="AN426" s="23" t="n"/>
      <c r="AO426" s="24" t="n"/>
      <c r="AP426" s="24" t="n"/>
      <c r="AQ426" s="24" t="n"/>
      <c r="AR426" s="25" t="n"/>
      <c r="AS426" s="120" t="n"/>
    </row>
    <row r="427" hidden="1" outlineLevel="1">
      <c r="A427" s="8" t="n"/>
      <c r="B427" s="14" t="n"/>
      <c r="C427" s="120" t="n"/>
      <c r="D427" s="120" t="n"/>
      <c r="E427" s="120" t="n"/>
      <c r="F427" s="120" t="n"/>
      <c r="G427" s="120" t="n"/>
      <c r="I427" s="21" t="n"/>
      <c r="M427" s="22" t="n"/>
      <c r="N427" s="120" t="n"/>
      <c r="O427" s="144" t="n">
        <v>0</v>
      </c>
      <c r="P427" s="144" t="n">
        <v>0</v>
      </c>
      <c r="Q427" s="144" t="n">
        <v>0</v>
      </c>
      <c r="R427" s="144" t="n">
        <v>0</v>
      </c>
      <c r="S427" s="120" t="n"/>
      <c r="T427" s="120" t="n"/>
      <c r="U427" s="120" t="n"/>
      <c r="V427" s="120" t="n"/>
      <c r="W427" s="120" t="n"/>
      <c r="X427" s="120" t="n"/>
      <c r="Y427" s="120" t="n"/>
      <c r="Z427" s="120" t="n"/>
      <c r="AB427" s="21" t="n"/>
      <c r="AF427" s="22" t="n"/>
      <c r="AG427" s="120" t="n"/>
      <c r="AH427" s="144" t="n">
        <v>0</v>
      </c>
      <c r="AI427" s="144" t="n">
        <v>0</v>
      </c>
      <c r="AJ427" s="144" t="n">
        <v>0</v>
      </c>
      <c r="AK427" s="144" t="n">
        <v>0</v>
      </c>
      <c r="AL427" s="120" t="n"/>
      <c r="AM427" s="120" t="n"/>
      <c r="AN427" s="120" t="n"/>
      <c r="AO427" s="120" t="n"/>
      <c r="AP427" s="120" t="n"/>
      <c r="AQ427" s="120" t="n"/>
      <c r="AR427" s="120" t="n"/>
      <c r="AS427" s="120" t="n"/>
    </row>
    <row r="428" hidden="1" outlineLevel="1">
      <c r="A428" s="8" t="n"/>
      <c r="B428" s="14" t="n"/>
      <c r="C428" s="120" t="n"/>
      <c r="D428" s="120" t="n"/>
      <c r="E428" s="120" t="n"/>
      <c r="F428" s="120" t="n"/>
      <c r="G428" s="120" t="n"/>
      <c r="I428" s="21" t="n"/>
      <c r="M428" s="22" t="n"/>
      <c r="N428" s="120" t="n"/>
      <c r="O428" s="120" t="n"/>
      <c r="P428" s="120" t="n"/>
      <c r="Q428" s="120" t="n"/>
      <c r="R428" s="120" t="n"/>
      <c r="S428" s="120" t="n"/>
      <c r="T428" s="120" t="n"/>
      <c r="U428" s="55">
        <f>DADOS_INVOC!$HR$4</f>
        <v/>
      </c>
      <c r="V428" s="16" t="n"/>
      <c r="W428" s="16" t="n"/>
      <c r="X428" s="17" t="n"/>
      <c r="Y428" s="55" t="inlineStr">
        <is>
          <t>VOL.</t>
        </is>
      </c>
      <c r="Z428" s="120" t="n"/>
      <c r="AB428" s="21" t="n"/>
      <c r="AF428" s="22" t="n"/>
      <c r="AG428" s="120" t="n"/>
      <c r="AH428" s="120" t="n"/>
      <c r="AI428" s="120" t="n"/>
      <c r="AJ428" s="120" t="n"/>
      <c r="AK428" s="120" t="n"/>
      <c r="AL428" s="120" t="n"/>
      <c r="AM428" s="120" t="n"/>
      <c r="AN428" s="55">
        <f>DADOS_INVOC!$HR$10</f>
        <v/>
      </c>
      <c r="AO428" s="16" t="n"/>
      <c r="AP428" s="16" t="n"/>
      <c r="AQ428" s="17" t="n"/>
      <c r="AR428" s="55" t="inlineStr">
        <is>
          <t>VOL.</t>
        </is>
      </c>
      <c r="AS428" s="120" t="n"/>
    </row>
    <row r="429" hidden="1" outlineLevel="1">
      <c r="A429" s="8" t="n"/>
      <c r="B429" s="14" t="n"/>
      <c r="C429" s="120" t="n"/>
      <c r="D429" s="120" t="n"/>
      <c r="E429" s="120" t="n"/>
      <c r="F429" s="120" t="n"/>
      <c r="G429" s="120" t="n"/>
      <c r="I429" s="21" t="n"/>
      <c r="M429" s="22" t="n"/>
      <c r="N429" s="120" t="n"/>
      <c r="O429" s="55" t="inlineStr">
        <is>
          <t>ATRIBUTO DE ACERTO</t>
        </is>
      </c>
      <c r="P429" s="16" t="n"/>
      <c r="Q429" s="17" t="n"/>
      <c r="R429" s="55" t="inlineStr">
        <is>
          <t>FÍSICO USA</t>
        </is>
      </c>
      <c r="S429" s="17" t="n"/>
      <c r="T429" s="120" t="n"/>
      <c r="U429" s="55" t="inlineStr">
        <is>
          <t>MÃO 1</t>
        </is>
      </c>
      <c r="V429" s="130" t="n"/>
      <c r="W429" s="16" t="n"/>
      <c r="X429" s="17" t="n"/>
      <c r="Y429" s="124" t="n"/>
      <c r="Z429" s="120" t="n"/>
      <c r="AB429" s="21" t="n"/>
      <c r="AF429" s="22" t="n"/>
      <c r="AG429" s="120" t="n"/>
      <c r="AH429" s="55" t="inlineStr">
        <is>
          <t>ATRIBUTO DE ACERTO</t>
        </is>
      </c>
      <c r="AI429" s="16" t="n"/>
      <c r="AJ429" s="17" t="n"/>
      <c r="AK429" s="55" t="inlineStr">
        <is>
          <t>FÍSICO USA</t>
        </is>
      </c>
      <c r="AL429" s="17" t="n"/>
      <c r="AM429" s="120" t="n"/>
      <c r="AN429" s="55" t="inlineStr">
        <is>
          <t>MÃO 1</t>
        </is>
      </c>
      <c r="AO429" s="130" t="n"/>
      <c r="AP429" s="16" t="n"/>
      <c r="AQ429" s="17" t="n"/>
      <c r="AR429" s="124" t="n"/>
      <c r="AS429" s="120" t="n"/>
    </row>
    <row r="430" hidden="1" outlineLevel="1">
      <c r="A430" s="8" t="n"/>
      <c r="B430" s="14" t="n"/>
      <c r="C430" s="120" t="n"/>
      <c r="D430" s="120" t="n"/>
      <c r="E430" s="120" t="n"/>
      <c r="F430" s="120" t="n"/>
      <c r="G430" s="120" t="n"/>
      <c r="I430" s="21" t="n"/>
      <c r="M430" s="22" t="n"/>
      <c r="N430" s="120" t="n"/>
      <c r="O430" s="124" t="n"/>
      <c r="P430" s="19" t="n"/>
      <c r="Q430" s="20" t="n"/>
      <c r="R430" s="124" t="inlineStr">
        <is>
          <t>Força</t>
        </is>
      </c>
      <c r="S430" s="20" t="n"/>
      <c r="T430" s="120" t="n"/>
      <c r="U430" s="55" t="inlineStr">
        <is>
          <t>MÃO 2</t>
        </is>
      </c>
      <c r="V430" s="130" t="n"/>
      <c r="W430" s="16" t="n"/>
      <c r="X430" s="17" t="n"/>
      <c r="Y430" s="124" t="n"/>
      <c r="Z430" s="120" t="n"/>
      <c r="AB430" s="21" t="n"/>
      <c r="AF430" s="22" t="n"/>
      <c r="AG430" s="120" t="n"/>
      <c r="AH430" s="124" t="n"/>
      <c r="AI430" s="19" t="n"/>
      <c r="AJ430" s="20" t="n"/>
      <c r="AK430" s="124" t="inlineStr">
        <is>
          <t>Força</t>
        </is>
      </c>
      <c r="AL430" s="20" t="n"/>
      <c r="AM430" s="120" t="n"/>
      <c r="AN430" s="55" t="inlineStr">
        <is>
          <t>MÃO 2</t>
        </is>
      </c>
      <c r="AO430" s="130" t="n"/>
      <c r="AP430" s="16" t="n"/>
      <c r="AQ430" s="17" t="n"/>
      <c r="AR430" s="124" t="n"/>
      <c r="AS430" s="120" t="n"/>
    </row>
    <row r="431" hidden="1" outlineLevel="1">
      <c r="A431" s="8" t="n"/>
      <c r="B431" s="14" t="n"/>
      <c r="C431" s="120" t="n"/>
      <c r="D431" s="120" t="n"/>
      <c r="E431" s="120" t="n"/>
      <c r="F431" s="120" t="n"/>
      <c r="G431" s="120" t="n"/>
      <c r="I431" s="21" t="n"/>
      <c r="M431" s="22" t="n"/>
      <c r="N431" s="120" t="n"/>
      <c r="O431" s="23" t="n"/>
      <c r="P431" s="24" t="n"/>
      <c r="Q431" s="25" t="n"/>
      <c r="R431" s="23" t="n"/>
      <c r="S431" s="25" t="n"/>
      <c r="T431" s="120" t="n"/>
      <c r="U431" s="55" t="inlineStr">
        <is>
          <t>VESTE</t>
        </is>
      </c>
      <c r="V431" s="130" t="n"/>
      <c r="W431" s="16" t="n"/>
      <c r="X431" s="17" t="n"/>
      <c r="Y431" s="124" t="n"/>
      <c r="Z431" s="120" t="n"/>
      <c r="AB431" s="21" t="n"/>
      <c r="AF431" s="22" t="n"/>
      <c r="AG431" s="120" t="n"/>
      <c r="AH431" s="23" t="n"/>
      <c r="AI431" s="24" t="n"/>
      <c r="AJ431" s="25" t="n"/>
      <c r="AK431" s="23" t="n"/>
      <c r="AL431" s="25" t="n"/>
      <c r="AM431" s="120" t="n"/>
      <c r="AN431" s="55" t="inlineStr">
        <is>
          <t>VESTE</t>
        </is>
      </c>
      <c r="AO431" s="130" t="n"/>
      <c r="AP431" s="16" t="n"/>
      <c r="AQ431" s="17" t="n"/>
      <c r="AR431" s="124" t="n"/>
      <c r="AS431" s="120" t="n"/>
    </row>
    <row r="432" hidden="1" outlineLevel="1">
      <c r="A432" s="8" t="n"/>
      <c r="B432" s="14" t="n"/>
      <c r="C432" s="120" t="n"/>
      <c r="D432" s="120" t="n"/>
      <c r="E432" s="120" t="n"/>
      <c r="F432" s="120" t="n"/>
      <c r="G432" s="120" t="n"/>
      <c r="I432" s="21" t="n"/>
      <c r="M432" s="22" t="n"/>
      <c r="N432" s="120" t="n"/>
      <c r="O432" s="120" t="n"/>
      <c r="P432" s="120" t="n"/>
      <c r="Q432" s="120" t="n"/>
      <c r="R432" s="120" t="n"/>
      <c r="S432" s="120" t="n"/>
      <c r="T432" s="120" t="n"/>
      <c r="U432" s="55" t="inlineStr">
        <is>
          <t>GUARDADO · SÓ COM A CARACTERÍSTICA DE TRANSPORTE</t>
        </is>
      </c>
      <c r="V432" s="16" t="n"/>
      <c r="W432" s="16" t="n"/>
      <c r="X432" s="17" t="n"/>
      <c r="Y432" s="55" t="inlineStr">
        <is>
          <t>VOL.</t>
        </is>
      </c>
      <c r="Z432" s="120" t="n"/>
      <c r="AB432" s="21" t="n"/>
      <c r="AF432" s="22" t="n"/>
      <c r="AG432" s="120" t="n"/>
      <c r="AH432" s="120" t="n"/>
      <c r="AI432" s="120" t="n"/>
      <c r="AJ432" s="120" t="n"/>
      <c r="AK432" s="120" t="n"/>
      <c r="AL432" s="120" t="n"/>
      <c r="AM432" s="120" t="n"/>
      <c r="AN432" s="55" t="inlineStr">
        <is>
          <t>GUARDADO · SÓ COM A CARACTERÍSTICA DE TRANSPORTE</t>
        </is>
      </c>
      <c r="AO432" s="16" t="n"/>
      <c r="AP432" s="16" t="n"/>
      <c r="AQ432" s="17" t="n"/>
      <c r="AR432" s="55" t="inlineStr">
        <is>
          <t>VOL.</t>
        </is>
      </c>
      <c r="AS432" s="120" t="n"/>
    </row>
    <row r="433" hidden="1" outlineLevel="1">
      <c r="A433" s="8" t="n"/>
      <c r="B433" s="14" t="n"/>
      <c r="C433" s="120" t="n"/>
      <c r="D433" s="120" t="n"/>
      <c r="E433" s="120" t="n"/>
      <c r="F433" s="120" t="n"/>
      <c r="G433" s="120" t="n"/>
      <c r="I433" s="21" t="n"/>
      <c r="M433" s="22" t="n"/>
      <c r="N433" s="120" t="n"/>
      <c r="O433" s="55">
        <f>DADOS_INVOC!$HI$4</f>
        <v/>
      </c>
      <c r="P433" s="16" t="n"/>
      <c r="Q433" s="16" t="n"/>
      <c r="R433" s="16" t="n"/>
      <c r="S433" s="17" t="n"/>
      <c r="T433" s="120" t="n"/>
      <c r="U433" s="130" t="n"/>
      <c r="V433" s="16" t="n"/>
      <c r="W433" s="16" t="n"/>
      <c r="X433" s="17" t="n"/>
      <c r="Y433" s="124" t="n"/>
      <c r="Z433" s="120" t="n"/>
      <c r="AB433" s="21" t="n"/>
      <c r="AF433" s="22" t="n"/>
      <c r="AG433" s="120" t="n"/>
      <c r="AH433" s="55">
        <f>DADOS_INVOC!$HI$10</f>
        <v/>
      </c>
      <c r="AI433" s="16" t="n"/>
      <c r="AJ433" s="16" t="n"/>
      <c r="AK433" s="16" t="n"/>
      <c r="AL433" s="17" t="n"/>
      <c r="AM433" s="120" t="n"/>
      <c r="AN433" s="130" t="n"/>
      <c r="AO433" s="16" t="n"/>
      <c r="AP433" s="16" t="n"/>
      <c r="AQ433" s="17" t="n"/>
      <c r="AR433" s="124" t="n"/>
      <c r="AS433" s="120" t="n"/>
    </row>
    <row r="434" hidden="1" outlineLevel="1">
      <c r="A434" s="8" t="n"/>
      <c r="B434" s="14" t="n"/>
      <c r="C434" s="120" t="n"/>
      <c r="D434" s="120" t="n"/>
      <c r="E434" s="120" t="n"/>
      <c r="F434" s="120" t="n"/>
      <c r="G434" s="120" t="n"/>
      <c r="I434" s="21" t="n"/>
      <c r="M434" s="22" t="n"/>
      <c r="N434" s="120" t="n"/>
      <c r="O434" s="130" t="n"/>
      <c r="P434" s="16" t="n"/>
      <c r="Q434" s="17" t="n"/>
      <c r="R434" s="124">
        <f>DADOS_INVOC!$HJ$4</f>
        <v/>
      </c>
      <c r="S434" s="17" t="n"/>
      <c r="T434" s="120" t="n"/>
      <c r="U434" s="130" t="n"/>
      <c r="V434" s="16" t="n"/>
      <c r="W434" s="16" t="n"/>
      <c r="X434" s="17" t="n"/>
      <c r="Y434" s="124" t="n"/>
      <c r="Z434" s="120" t="n"/>
      <c r="AB434" s="21" t="n"/>
      <c r="AF434" s="22" t="n"/>
      <c r="AG434" s="120" t="n"/>
      <c r="AH434" s="130" t="n"/>
      <c r="AI434" s="16" t="n"/>
      <c r="AJ434" s="17" t="n"/>
      <c r="AK434" s="124">
        <f>DADOS_INVOC!$HJ$10</f>
        <v/>
      </c>
      <c r="AL434" s="17" t="n"/>
      <c r="AM434" s="120" t="n"/>
      <c r="AN434" s="130" t="n"/>
      <c r="AO434" s="16" t="n"/>
      <c r="AP434" s="16" t="n"/>
      <c r="AQ434" s="17" t="n"/>
      <c r="AR434" s="124" t="n"/>
      <c r="AS434" s="120" t="n"/>
    </row>
    <row r="435" hidden="1" outlineLevel="1">
      <c r="A435" s="8" t="n"/>
      <c r="B435" s="14" t="n"/>
      <c r="C435" s="120" t="n"/>
      <c r="D435" s="120" t="n"/>
      <c r="E435" s="120" t="n"/>
      <c r="F435" s="120" t="n"/>
      <c r="G435" s="120" t="n"/>
      <c r="I435" s="21" t="n"/>
      <c r="M435" s="22" t="n"/>
      <c r="N435" s="120" t="n"/>
      <c r="O435" s="130" t="n"/>
      <c r="P435" s="16" t="n"/>
      <c r="Q435" s="17" t="n"/>
      <c r="R435" s="124">
        <f>DADOS_INVOC!$HK$4</f>
        <v/>
      </c>
      <c r="S435" s="17" t="n"/>
      <c r="T435" s="120" t="n"/>
      <c r="U435" s="130" t="n"/>
      <c r="V435" s="16" t="n"/>
      <c r="W435" s="16" t="n"/>
      <c r="X435" s="17" t="n"/>
      <c r="Y435" s="124" t="n"/>
      <c r="Z435" s="120" t="n"/>
      <c r="AB435" s="21" t="n"/>
      <c r="AF435" s="22" t="n"/>
      <c r="AG435" s="120" t="n"/>
      <c r="AH435" s="130" t="n"/>
      <c r="AI435" s="16" t="n"/>
      <c r="AJ435" s="17" t="n"/>
      <c r="AK435" s="124">
        <f>DADOS_INVOC!$HK$10</f>
        <v/>
      </c>
      <c r="AL435" s="17" t="n"/>
      <c r="AM435" s="120" t="n"/>
      <c r="AN435" s="130" t="n"/>
      <c r="AO435" s="16" t="n"/>
      <c r="AP435" s="16" t="n"/>
      <c r="AQ435" s="17" t="n"/>
      <c r="AR435" s="124" t="n"/>
      <c r="AS435" s="120" t="n"/>
    </row>
    <row r="436" hidden="1" outlineLevel="1">
      <c r="A436" s="8" t="n"/>
      <c r="B436" s="14" t="n"/>
      <c r="C436" s="120" t="n"/>
      <c r="D436" s="120" t="n"/>
      <c r="E436" s="120" t="n"/>
      <c r="F436" s="120" t="n"/>
      <c r="G436" s="120" t="n"/>
      <c r="I436" s="23" t="n"/>
      <c r="J436" s="24" t="n"/>
      <c r="K436" s="24" t="n"/>
      <c r="L436" s="24" t="n"/>
      <c r="M436" s="25" t="n"/>
      <c r="N436" s="120" t="n"/>
      <c r="O436" s="130" t="n"/>
      <c r="P436" s="16" t="n"/>
      <c r="Q436" s="17" t="n"/>
      <c r="R436" s="124">
        <f>DADOS_INVOC!$HL$4</f>
        <v/>
      </c>
      <c r="S436" s="17" t="n"/>
      <c r="T436" s="120" t="n"/>
      <c r="U436" s="130" t="n"/>
      <c r="V436" s="16" t="n"/>
      <c r="W436" s="16" t="n"/>
      <c r="X436" s="17" t="n"/>
      <c r="Y436" s="124" t="n"/>
      <c r="Z436" s="120" t="n"/>
      <c r="AB436" s="23" t="n"/>
      <c r="AC436" s="24" t="n"/>
      <c r="AD436" s="24" t="n"/>
      <c r="AE436" s="24" t="n"/>
      <c r="AF436" s="25" t="n"/>
      <c r="AG436" s="120" t="n"/>
      <c r="AH436" s="130" t="n"/>
      <c r="AI436" s="16" t="n"/>
      <c r="AJ436" s="17" t="n"/>
      <c r="AK436" s="124">
        <f>DADOS_INVOC!$HL$10</f>
        <v/>
      </c>
      <c r="AL436" s="17" t="n"/>
      <c r="AM436" s="120" t="n"/>
      <c r="AN436" s="130" t="n"/>
      <c r="AO436" s="16" t="n"/>
      <c r="AP436" s="16" t="n"/>
      <c r="AQ436" s="17" t="n"/>
      <c r="AR436" s="124" t="n"/>
      <c r="AS436" s="120" t="n"/>
    </row>
    <row r="437" hidden="1" outlineLevel="1">
      <c r="A437" s="8" t="n"/>
      <c r="B437" s="14" t="n"/>
      <c r="C437" s="120" t="n"/>
      <c r="D437" s="120" t="n"/>
      <c r="E437" s="120" t="n"/>
      <c r="F437" s="120" t="n"/>
      <c r="G437" s="120" t="n"/>
      <c r="I437" s="120" t="n"/>
      <c r="J437" s="120" t="n"/>
      <c r="K437" s="120" t="n"/>
      <c r="L437" s="120" t="n"/>
      <c r="M437" s="120" t="n"/>
      <c r="N437" s="120" t="n"/>
      <c r="O437" s="130" t="n"/>
      <c r="P437" s="16" t="n"/>
      <c r="Q437" s="17" t="n"/>
      <c r="R437" s="124">
        <f>DADOS_INVOC!$HM$4</f>
        <v/>
      </c>
      <c r="S437" s="17" t="n"/>
      <c r="T437" s="120" t="n"/>
      <c r="U437" s="130" t="n"/>
      <c r="V437" s="16" t="n"/>
      <c r="W437" s="16" t="n"/>
      <c r="X437" s="17" t="n"/>
      <c r="Y437" s="124" t="n"/>
      <c r="Z437" s="120" t="n"/>
      <c r="AB437" s="120" t="n"/>
      <c r="AC437" s="120" t="n"/>
      <c r="AD437" s="120" t="n"/>
      <c r="AE437" s="120" t="n"/>
      <c r="AF437" s="120" t="n"/>
      <c r="AG437" s="120" t="n"/>
      <c r="AH437" s="130" t="n"/>
      <c r="AI437" s="16" t="n"/>
      <c r="AJ437" s="17" t="n"/>
      <c r="AK437" s="124">
        <f>DADOS_INVOC!$HM$10</f>
        <v/>
      </c>
      <c r="AL437" s="17" t="n"/>
      <c r="AM437" s="120" t="n"/>
      <c r="AN437" s="130" t="n"/>
      <c r="AO437" s="16" t="n"/>
      <c r="AP437" s="16" t="n"/>
      <c r="AQ437" s="17" t="n"/>
      <c r="AR437" s="124" t="n"/>
      <c r="AS437" s="120" t="n"/>
    </row>
    <row r="438" hidden="1" outlineLevel="1">
      <c r="A438" s="8" t="n"/>
      <c r="B438" s="14" t="n"/>
      <c r="C438" s="120" t="n"/>
      <c r="D438" s="120" t="n"/>
      <c r="E438" s="120" t="n"/>
      <c r="F438" s="120" t="n"/>
      <c r="G438" s="120" t="n"/>
      <c r="I438" s="55" t="inlineStr">
        <is>
          <t>TIPO</t>
        </is>
      </c>
      <c r="J438" s="16" t="n"/>
      <c r="K438" s="16" t="n"/>
      <c r="L438" s="16" t="n"/>
      <c r="M438" s="17" t="n"/>
      <c r="N438" s="120" t="n"/>
      <c r="O438" s="130" t="n"/>
      <c r="P438" s="16" t="n"/>
      <c r="Q438" s="17" t="n"/>
      <c r="R438" s="124">
        <f>DADOS_INVOC!$HN$4</f>
        <v/>
      </c>
      <c r="S438" s="17" t="n"/>
      <c r="T438" s="120" t="n"/>
      <c r="U438" s="130" t="n"/>
      <c r="V438" s="16" t="n"/>
      <c r="W438" s="16" t="n"/>
      <c r="X438" s="17" t="n"/>
      <c r="Y438" s="124" t="n"/>
      <c r="Z438" s="120" t="n"/>
      <c r="AB438" s="55" t="inlineStr">
        <is>
          <t>TIPO</t>
        </is>
      </c>
      <c r="AC438" s="16" t="n"/>
      <c r="AD438" s="16" t="n"/>
      <c r="AE438" s="16" t="n"/>
      <c r="AF438" s="17" t="n"/>
      <c r="AG438" s="120" t="n"/>
      <c r="AH438" s="130" t="n"/>
      <c r="AI438" s="16" t="n"/>
      <c r="AJ438" s="17" t="n"/>
      <c r="AK438" s="124">
        <f>DADOS_INVOC!$HN$10</f>
        <v/>
      </c>
      <c r="AL438" s="17" t="n"/>
      <c r="AM438" s="120" t="n"/>
      <c r="AN438" s="130" t="n"/>
      <c r="AO438" s="16" t="n"/>
      <c r="AP438" s="16" t="n"/>
      <c r="AQ438" s="17" t="n"/>
      <c r="AR438" s="124" t="n"/>
      <c r="AS438" s="120" t="n"/>
    </row>
    <row r="439" hidden="1" outlineLevel="1">
      <c r="A439" s="8" t="n"/>
      <c r="B439" s="14" t="n"/>
      <c r="C439" s="120" t="n"/>
      <c r="D439" s="120" t="n"/>
      <c r="E439" s="120" t="n"/>
      <c r="F439" s="120" t="n"/>
      <c r="G439" s="120" t="n"/>
      <c r="I439" s="124" t="inlineStr">
        <is>
          <t>Shikigami de técnica</t>
        </is>
      </c>
      <c r="J439" s="19" t="n"/>
      <c r="K439" s="19" t="n"/>
      <c r="L439" s="19" t="n"/>
      <c r="M439" s="20" t="n"/>
      <c r="N439" s="120" t="n"/>
      <c r="O439" s="130" t="n"/>
      <c r="P439" s="16" t="n"/>
      <c r="Q439" s="17" t="n"/>
      <c r="R439" s="124">
        <f>DADOS_INVOC!$HO$4</f>
        <v/>
      </c>
      <c r="S439" s="17" t="n"/>
      <c r="T439" s="120" t="n"/>
      <c r="U439" s="120" t="n"/>
      <c r="V439" s="120" t="n"/>
      <c r="W439" s="120" t="n"/>
      <c r="X439" s="120" t="n"/>
      <c r="Y439" s="120" t="n"/>
      <c r="Z439" s="120" t="n"/>
      <c r="AB439" s="124" t="inlineStr">
        <is>
          <t>Shikigami de técnica</t>
        </is>
      </c>
      <c r="AC439" s="19" t="n"/>
      <c r="AD439" s="19" t="n"/>
      <c r="AE439" s="19" t="n"/>
      <c r="AF439" s="20" t="n"/>
      <c r="AG439" s="120" t="n"/>
      <c r="AH439" s="130" t="n"/>
      <c r="AI439" s="16" t="n"/>
      <c r="AJ439" s="17" t="n"/>
      <c r="AK439" s="124">
        <f>DADOS_INVOC!$HO$10</f>
        <v/>
      </c>
      <c r="AL439" s="17" t="n"/>
      <c r="AM439" s="120" t="n"/>
      <c r="AN439" s="120" t="n"/>
      <c r="AO439" s="120" t="n"/>
      <c r="AP439" s="120" t="n"/>
      <c r="AQ439" s="120" t="n"/>
      <c r="AR439" s="120" t="n"/>
      <c r="AS439" s="120" t="n"/>
    </row>
    <row r="440" hidden="1" outlineLevel="1">
      <c r="A440" s="8" t="n"/>
      <c r="B440" s="14" t="n"/>
      <c r="C440" s="120" t="n"/>
      <c r="D440" s="120" t="n"/>
      <c r="E440" s="120" t="n"/>
      <c r="F440" s="120" t="n"/>
      <c r="G440" s="120" t="n"/>
      <c r="I440" s="23" t="n"/>
      <c r="J440" s="24" t="n"/>
      <c r="K440" s="24" t="n"/>
      <c r="L440" s="24" t="n"/>
      <c r="M440" s="25" t="n"/>
      <c r="N440" s="120" t="n"/>
      <c r="O440" s="130" t="n"/>
      <c r="P440" s="16" t="n"/>
      <c r="Q440" s="17" t="n"/>
      <c r="R440" s="124">
        <f>DADOS_INVOC!$HP$4</f>
        <v/>
      </c>
      <c r="S440" s="17" t="n"/>
      <c r="T440" s="120" t="n"/>
      <c r="U440" s="55" t="inlineStr">
        <is>
          <t>CORPO, SENTIDOS E COMUNICAÇÃO</t>
        </is>
      </c>
      <c r="V440" s="16" t="n"/>
      <c r="W440" s="16" t="n"/>
      <c r="X440" s="16" t="n"/>
      <c r="Y440" s="17" t="n"/>
      <c r="Z440" s="120" t="n"/>
      <c r="AB440" s="23" t="n"/>
      <c r="AC440" s="24" t="n"/>
      <c r="AD440" s="24" t="n"/>
      <c r="AE440" s="24" t="n"/>
      <c r="AF440" s="25" t="n"/>
      <c r="AG440" s="120" t="n"/>
      <c r="AH440" s="130" t="n"/>
      <c r="AI440" s="16" t="n"/>
      <c r="AJ440" s="17" t="n"/>
      <c r="AK440" s="124">
        <f>DADOS_INVOC!$HP$10</f>
        <v/>
      </c>
      <c r="AL440" s="17" t="n"/>
      <c r="AM440" s="120" t="n"/>
      <c r="AN440" s="55" t="inlineStr">
        <is>
          <t>CORPO, SENTIDOS E COMUNICAÇÃO</t>
        </is>
      </c>
      <c r="AO440" s="16" t="n"/>
      <c r="AP440" s="16" t="n"/>
      <c r="AQ440" s="16" t="n"/>
      <c r="AR440" s="17"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116" t="n"/>
      <c r="V441" s="19" t="n"/>
      <c r="W441" s="19" t="n"/>
      <c r="X441" s="19" t="n"/>
      <c r="Y441" s="20" t="n"/>
      <c r="Z441" s="120" t="n"/>
      <c r="AB441" s="120" t="n"/>
      <c r="AC441" s="120" t="n"/>
      <c r="AD441" s="120" t="n"/>
      <c r="AE441" s="120" t="n"/>
      <c r="AF441" s="120" t="n"/>
      <c r="AG441" s="120" t="n"/>
      <c r="AH441" s="120" t="n"/>
      <c r="AI441" s="120" t="n"/>
      <c r="AJ441" s="120" t="n"/>
      <c r="AK441" s="120" t="n"/>
      <c r="AL441" s="120" t="n"/>
      <c r="AM441" s="120" t="n"/>
      <c r="AN441" s="116" t="n"/>
      <c r="AO441" s="19" t="n"/>
      <c r="AP441" s="19" t="n"/>
      <c r="AQ441" s="19" t="n"/>
      <c r="AR441" s="20" t="n"/>
      <c r="AS441" s="120" t="n"/>
    </row>
    <row r="442" hidden="1" outlineLevel="1">
      <c r="A442" s="8" t="n"/>
      <c r="B442" s="14" t="n"/>
      <c r="C442" s="120" t="n"/>
      <c r="D442" s="120" t="n"/>
      <c r="E442" s="120" t="n"/>
      <c r="F442" s="120" t="n"/>
      <c r="G442" s="120" t="n"/>
      <c r="I442" s="55" t="inlineStr">
        <is>
          <t>AQUISIÇÃO</t>
        </is>
      </c>
      <c r="J442" s="17" t="n"/>
      <c r="K442" s="55" t="inlineStr">
        <is>
          <t>OBTIDA NO NÍVEL</t>
        </is>
      </c>
      <c r="L442" s="55" t="inlineStr">
        <is>
          <t>TALISMÃ</t>
        </is>
      </c>
      <c r="M442" s="17" t="n"/>
      <c r="N442" s="120" t="n"/>
      <c r="O442" s="55">
        <f>DADOS_INVOC!$HS$4</f>
        <v/>
      </c>
      <c r="P442" s="16" t="n"/>
      <c r="Q442" s="16" t="n"/>
      <c r="R442" s="16" t="n"/>
      <c r="S442" s="17" t="n"/>
      <c r="T442" s="120" t="n"/>
      <c r="U442" s="21" t="n"/>
      <c r="Y442" s="22" t="n"/>
      <c r="Z442" s="120" t="n"/>
      <c r="AB442" s="55" t="inlineStr">
        <is>
          <t>AQUISIÇÃO</t>
        </is>
      </c>
      <c r="AC442" s="17" t="n"/>
      <c r="AD442" s="55" t="inlineStr">
        <is>
          <t>OBTIDA NO NÍVEL</t>
        </is>
      </c>
      <c r="AE442" s="55" t="inlineStr">
        <is>
          <t>TALISMÃ</t>
        </is>
      </c>
      <c r="AF442" s="17" t="n"/>
      <c r="AG442" s="120" t="n"/>
      <c r="AH442" s="55">
        <f>DADOS_INVOC!$HS$10</f>
        <v/>
      </c>
      <c r="AI442" s="16" t="n"/>
      <c r="AJ442" s="16" t="n"/>
      <c r="AK442" s="16" t="n"/>
      <c r="AL442" s="17" t="n"/>
      <c r="AM442" s="120" t="n"/>
      <c r="AN442" s="21" t="n"/>
      <c r="AR442" s="22" t="n"/>
      <c r="AS442" s="120" t="n"/>
    </row>
    <row r="443" hidden="1" outlineLevel="1">
      <c r="A443" s="8" t="n"/>
      <c r="B443" s="14" t="n"/>
      <c r="C443" s="120" t="n"/>
      <c r="D443" s="120" t="n"/>
      <c r="E443" s="120" t="n"/>
      <c r="F443" s="120" t="n"/>
      <c r="G443" s="120" t="n"/>
      <c r="I443" s="124" t="inlineStr">
        <is>
          <t>Espaço conhecido</t>
        </is>
      </c>
      <c r="J443" s="20" t="n"/>
      <c r="K443" s="124" t="n"/>
      <c r="L443" s="124" t="inlineStr">
        <is>
          <t>Sem carga</t>
        </is>
      </c>
      <c r="M443" s="20" t="n"/>
      <c r="N443" s="120" t="n"/>
      <c r="O443" s="55" t="inlineStr">
        <is>
          <t>LIVRE</t>
        </is>
      </c>
      <c r="P443" s="55" t="inlineStr">
        <is>
          <t>LIVRE · TRILHA</t>
        </is>
      </c>
      <c r="Q443" s="55" t="inlineStr">
        <is>
          <t>ABERTA</t>
        </is>
      </c>
      <c r="R443" s="55" t="inlineStr">
        <is>
          <t>ABERTA</t>
        </is>
      </c>
      <c r="S443" s="55" t="inlineStr">
        <is>
          <t>ABERTA · TRILHA</t>
        </is>
      </c>
      <c r="T443" s="120" t="n"/>
      <c r="U443" s="21" t="n"/>
      <c r="Y443" s="22" t="n"/>
      <c r="Z443" s="120" t="n"/>
      <c r="AB443" s="124" t="inlineStr">
        <is>
          <t>Espaço conhecido</t>
        </is>
      </c>
      <c r="AC443" s="20" t="n"/>
      <c r="AD443" s="124" t="n"/>
      <c r="AE443" s="124" t="inlineStr">
        <is>
          <t>Sem carga</t>
        </is>
      </c>
      <c r="AF443" s="20" t="n"/>
      <c r="AG443" s="120" t="n"/>
      <c r="AH443" s="55" t="inlineStr">
        <is>
          <t>LIVRE</t>
        </is>
      </c>
      <c r="AI443" s="55" t="inlineStr">
        <is>
          <t>LIVRE · TRILHA</t>
        </is>
      </c>
      <c r="AJ443" s="55" t="inlineStr">
        <is>
          <t>ABERTA</t>
        </is>
      </c>
      <c r="AK443" s="55" t="inlineStr">
        <is>
          <t>ABERTA</t>
        </is>
      </c>
      <c r="AL443" s="55" t="inlineStr">
        <is>
          <t>ABERTA · TRILHA</t>
        </is>
      </c>
      <c r="AM443" s="120" t="n"/>
      <c r="AN443" s="21" t="n"/>
      <c r="AR443" s="22" t="n"/>
      <c r="AS443" s="120" t="n"/>
    </row>
    <row r="444" hidden="1" outlineLevel="1">
      <c r="A444" s="8" t="n"/>
      <c r="B444" s="14" t="n"/>
      <c r="C444" s="120" t="n"/>
      <c r="D444" s="120" t="n"/>
      <c r="E444" s="120" t="n"/>
      <c r="F444" s="120" t="n"/>
      <c r="G444" s="120" t="n"/>
      <c r="I444" s="23" t="n"/>
      <c r="J444" s="25" t="n"/>
      <c r="K444" s="125" t="n"/>
      <c r="L444" s="23" t="n"/>
      <c r="M444" s="25" t="n"/>
      <c r="N444" s="120" t="n"/>
      <c r="O444" s="124" t="n"/>
      <c r="P444" s="124" t="n"/>
      <c r="Q444" s="124" t="n"/>
      <c r="R444" s="124" t="n"/>
      <c r="S444" s="124" t="n"/>
      <c r="T444" s="120" t="n"/>
      <c r="U444" s="21" t="n"/>
      <c r="Y444" s="22" t="n"/>
      <c r="Z444" s="120" t="n"/>
      <c r="AB444" s="23" t="n"/>
      <c r="AC444" s="25" t="n"/>
      <c r="AD444" s="125" t="n"/>
      <c r="AE444" s="23" t="n"/>
      <c r="AF444" s="25" t="n"/>
      <c r="AG444" s="120" t="n"/>
      <c r="AH444" s="124" t="n"/>
      <c r="AI444" s="124" t="n"/>
      <c r="AJ444" s="124" t="n"/>
      <c r="AK444" s="124" t="n"/>
      <c r="AL444" s="124" t="n"/>
      <c r="AM444" s="120" t="n"/>
      <c r="AN444" s="21" t="n"/>
      <c r="AR444" s="22" t="n"/>
      <c r="AS444" s="120" t="n"/>
    </row>
    <row r="445" hidden="1" outlineLevel="1">
      <c r="A445" s="8" t="n"/>
      <c r="B445" s="14" t="n"/>
      <c r="C445" s="120" t="n"/>
      <c r="D445" s="120" t="n"/>
      <c r="E445" s="120" t="n"/>
      <c r="F445" s="120" t="n"/>
      <c r="G445" s="120" t="n"/>
      <c r="I445" s="120" t="n"/>
      <c r="J445" s="120" t="n"/>
      <c r="K445" s="120" t="n"/>
      <c r="L445" s="120" t="n"/>
      <c r="M445" s="120" t="n"/>
      <c r="N445" s="120" t="n"/>
      <c r="O445" s="125" t="n"/>
      <c r="P445" s="125" t="n"/>
      <c r="Q445" s="125" t="n"/>
      <c r="R445" s="125" t="n"/>
      <c r="S445" s="125" t="n"/>
      <c r="T445" s="120" t="n"/>
      <c r="U445" s="23" t="n"/>
      <c r="V445" s="24" t="n"/>
      <c r="W445" s="24" t="n"/>
      <c r="X445" s="24" t="n"/>
      <c r="Y445" s="25" t="n"/>
      <c r="Z445" s="120" t="n"/>
      <c r="AB445" s="120" t="n"/>
      <c r="AC445" s="120" t="n"/>
      <c r="AD445" s="120" t="n"/>
      <c r="AE445" s="120" t="n"/>
      <c r="AF445" s="120" t="n"/>
      <c r="AG445" s="120" t="n"/>
      <c r="AH445" s="125" t="n"/>
      <c r="AI445" s="125" t="n"/>
      <c r="AJ445" s="125" t="n"/>
      <c r="AK445" s="125" t="n"/>
      <c r="AL445" s="125" t="n"/>
      <c r="AM445" s="120" t="n"/>
      <c r="AN445" s="23" t="n"/>
      <c r="AO445" s="24" t="n"/>
      <c r="AP445" s="24" t="n"/>
      <c r="AQ445" s="24" t="n"/>
      <c r="AR445" s="25" t="n"/>
      <c r="AS445" s="120" t="n"/>
    </row>
    <row r="446" hidden="1" outlineLevel="1">
      <c r="A446" s="8" t="n"/>
      <c r="B446" s="14" t="n"/>
      <c r="C446" s="120" t="n"/>
      <c r="D446" s="120" t="n"/>
      <c r="E446" s="120" t="n"/>
      <c r="F446" s="120" t="n"/>
      <c r="G446" s="120" t="n"/>
      <c r="I446" s="120" t="n"/>
      <c r="J446" s="120" t="n"/>
      <c r="K446" s="120" t="n"/>
      <c r="L446" s="120" t="n"/>
      <c r="M446" s="120" t="n"/>
      <c r="N446" s="120" t="n"/>
      <c r="O446" s="120" t="n"/>
      <c r="P446" s="120" t="n"/>
      <c r="Q446" s="120" t="n"/>
      <c r="R446" s="120" t="n"/>
      <c r="S446" s="120" t="n"/>
      <c r="T446" s="120" t="n"/>
      <c r="U446" s="120" t="n"/>
      <c r="V446" s="120" t="n"/>
      <c r="W446" s="120" t="n"/>
      <c r="X446" s="120" t="n"/>
      <c r="Y446" s="120" t="n"/>
      <c r="Z446" s="120" t="n"/>
      <c r="AB446" s="120" t="n"/>
      <c r="AC446" s="120" t="n"/>
      <c r="AD446" s="120" t="n"/>
      <c r="AE446" s="120" t="n"/>
      <c r="AF446" s="120" t="n"/>
      <c r="AG446" s="120" t="n"/>
      <c r="AH446" s="120" t="n"/>
      <c r="AI446" s="120" t="n"/>
      <c r="AJ446" s="120" t="n"/>
      <c r="AK446" s="120" t="n"/>
      <c r="AL446" s="120" t="n"/>
      <c r="AM446" s="120" t="n"/>
      <c r="AN446" s="120" t="n"/>
      <c r="AO446" s="120" t="n"/>
      <c r="AP446" s="120" t="n"/>
      <c r="AQ446" s="120" t="n"/>
      <c r="AR446" s="120" t="n"/>
      <c r="AS446" s="120" t="n"/>
    </row>
    <row r="447" hidden="1" outlineLevel="1">
      <c r="A447" s="8" t="n"/>
      <c r="B447" s="14" t="n"/>
      <c r="C447" s="120" t="n"/>
      <c r="D447" s="120" t="n"/>
      <c r="E447" s="120" t="n"/>
      <c r="F447" s="120" t="n"/>
      <c r="G447" s="120"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0"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0" t="n"/>
    </row>
    <row r="448" hidden="1" outlineLevel="1">
      <c r="A448" s="8" t="n"/>
      <c r="B448" s="14" t="n"/>
      <c r="C448" s="120" t="n"/>
      <c r="D448" s="120" t="n"/>
      <c r="E448" s="120" t="n"/>
      <c r="F448" s="120" t="n"/>
      <c r="G448" s="120" t="n"/>
      <c r="I448" s="116" t="n"/>
      <c r="J448" s="19" t="n"/>
      <c r="K448" s="19" t="n"/>
      <c r="L448" s="19" t="n"/>
      <c r="M448" s="19" t="n"/>
      <c r="N448" s="19" t="n"/>
      <c r="O448" s="19" t="n"/>
      <c r="P448" s="19" t="n"/>
      <c r="Q448" s="19" t="n"/>
      <c r="R448" s="19" t="n"/>
      <c r="S448" s="19" t="n"/>
      <c r="T448" s="19" t="n"/>
      <c r="U448" s="19" t="n"/>
      <c r="V448" s="19" t="n"/>
      <c r="W448" s="19" t="n"/>
      <c r="X448" s="19" t="n"/>
      <c r="Y448" s="20" t="n"/>
      <c r="Z448" s="120" t="n"/>
      <c r="AB448" s="116" t="n"/>
      <c r="AC448" s="19" t="n"/>
      <c r="AD448" s="19" t="n"/>
      <c r="AE448" s="19" t="n"/>
      <c r="AF448" s="19" t="n"/>
      <c r="AG448" s="19" t="n"/>
      <c r="AH448" s="19" t="n"/>
      <c r="AI448" s="19" t="n"/>
      <c r="AJ448" s="19" t="n"/>
      <c r="AK448" s="19" t="n"/>
      <c r="AL448" s="19" t="n"/>
      <c r="AM448" s="19" t="n"/>
      <c r="AN448" s="19" t="n"/>
      <c r="AO448" s="19" t="n"/>
      <c r="AP448" s="19" t="n"/>
      <c r="AQ448" s="19" t="n"/>
      <c r="AR448" s="20" t="n"/>
      <c r="AS448" s="120" t="n"/>
    </row>
    <row r="449" hidden="1" outlineLevel="1">
      <c r="A449" s="8" t="n"/>
      <c r="B449" s="14" t="n"/>
      <c r="C449" s="120" t="n"/>
      <c r="D449" s="120" t="n"/>
      <c r="E449" s="120" t="n"/>
      <c r="F449" s="120" t="n"/>
      <c r="G449" s="120" t="n"/>
      <c r="I449" s="23" t="n"/>
      <c r="J449" s="24" t="n"/>
      <c r="K449" s="24" t="n"/>
      <c r="L449" s="24" t="n"/>
      <c r="M449" s="24" t="n"/>
      <c r="N449" s="24" t="n"/>
      <c r="O449" s="24" t="n"/>
      <c r="P449" s="24" t="n"/>
      <c r="Q449" s="24" t="n"/>
      <c r="R449" s="24" t="n"/>
      <c r="S449" s="24" t="n"/>
      <c r="T449" s="24" t="n"/>
      <c r="U449" s="24" t="n"/>
      <c r="V449" s="24" t="n"/>
      <c r="W449" s="24" t="n"/>
      <c r="X449" s="24" t="n"/>
      <c r="Y449" s="25" t="n"/>
      <c r="Z449" s="120"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0" t="n"/>
    </row>
    <row r="450" hidden="1" outlineLevel="1">
      <c r="A450" s="8" t="n"/>
      <c r="B450" s="14" t="n"/>
      <c r="C450" s="120" t="n"/>
      <c r="D450" s="120" t="n"/>
      <c r="E450" s="120" t="n"/>
      <c r="F450" s="120" t="n"/>
      <c r="G450" s="120" t="n"/>
      <c r="I450" s="120" t="n"/>
      <c r="J450" s="120" t="n"/>
      <c r="K450" s="120" t="n"/>
      <c r="L450" s="120" t="n"/>
      <c r="M450" s="120" t="n"/>
      <c r="N450" s="120" t="n"/>
      <c r="O450" s="120" t="n"/>
      <c r="P450" s="120" t="n"/>
      <c r="Q450" s="120" t="n"/>
      <c r="R450" s="120" t="n"/>
      <c r="S450" s="120" t="n"/>
      <c r="T450" s="120" t="n"/>
      <c r="U450" s="120" t="n"/>
      <c r="V450" s="120" t="n"/>
      <c r="W450" s="120" t="n"/>
      <c r="X450" s="120" t="n"/>
      <c r="Y450" s="120" t="n"/>
      <c r="Z450" s="120" t="n"/>
      <c r="AB450" s="120" t="n"/>
      <c r="AC450" s="120" t="n"/>
      <c r="AD450" s="120" t="n"/>
      <c r="AE450" s="120" t="n"/>
      <c r="AF450" s="120" t="n"/>
      <c r="AG450" s="120" t="n"/>
      <c r="AH450" s="120" t="n"/>
      <c r="AI450" s="120" t="n"/>
      <c r="AJ450" s="120" t="n"/>
      <c r="AK450" s="120" t="n"/>
      <c r="AL450" s="120" t="n"/>
      <c r="AM450" s="120" t="n"/>
      <c r="AN450" s="120" t="n"/>
      <c r="AO450" s="120" t="n"/>
      <c r="AP450" s="120" t="n"/>
      <c r="AQ450" s="120" t="n"/>
      <c r="AR450" s="120" t="n"/>
      <c r="AS450" s="120" t="n"/>
    </row>
    <row r="451" hidden="1" outlineLevel="1">
      <c r="A451" s="8" t="n"/>
      <c r="B451" s="14" t="n"/>
      <c r="C451" s="120" t="n"/>
      <c r="D451" s="120" t="n"/>
      <c r="E451" s="120" t="n"/>
      <c r="F451" s="120" t="n"/>
      <c r="G451" s="120" t="n"/>
      <c r="I451" s="133">
        <f>DADOS_INVOC!$HT$4</f>
        <v/>
      </c>
      <c r="J451" s="16" t="n"/>
      <c r="K451" s="16" t="n"/>
      <c r="L451" s="16" t="n"/>
      <c r="M451" s="16" t="n"/>
      <c r="N451" s="16" t="n"/>
      <c r="O451" s="16" t="n"/>
      <c r="P451" s="16" t="n"/>
      <c r="Q451" s="16" t="n"/>
      <c r="R451" s="16" t="n"/>
      <c r="S451" s="16" t="n"/>
      <c r="T451" s="16" t="n"/>
      <c r="U451" s="16" t="n"/>
      <c r="V451" s="16" t="n"/>
      <c r="W451" s="16" t="n"/>
      <c r="X451" s="16" t="n"/>
      <c r="Y451" s="17" t="n"/>
      <c r="Z451" s="120" t="n"/>
      <c r="AB451" s="133">
        <f>DADOS_INVOC!$HT$10</f>
        <v/>
      </c>
      <c r="AC451" s="16" t="n"/>
      <c r="AD451" s="16" t="n"/>
      <c r="AE451" s="16" t="n"/>
      <c r="AF451" s="16" t="n"/>
      <c r="AG451" s="16" t="n"/>
      <c r="AH451" s="16" t="n"/>
      <c r="AI451" s="16" t="n"/>
      <c r="AJ451" s="16" t="n"/>
      <c r="AK451" s="16" t="n"/>
      <c r="AL451" s="16" t="n"/>
      <c r="AM451" s="16" t="n"/>
      <c r="AN451" s="16" t="n"/>
      <c r="AO451" s="16" t="n"/>
      <c r="AP451" s="16" t="n"/>
      <c r="AQ451" s="16" t="n"/>
      <c r="AR451" s="17" t="n"/>
      <c r="AS451" s="120" t="n"/>
    </row>
    <row r="452" hidden="1" outlineLevel="1">
      <c r="A452" s="8" t="n"/>
      <c r="B452" s="14" t="n"/>
      <c r="C452" s="120" t="n"/>
      <c r="D452" s="120" t="n"/>
      <c r="E452" s="120" t="n"/>
      <c r="F452" s="120" t="n"/>
      <c r="G452" s="120" t="n"/>
      <c r="I452" s="120" t="n"/>
      <c r="J452" s="120" t="n"/>
      <c r="K452" s="120" t="n"/>
      <c r="L452" s="120" t="n"/>
      <c r="M452" s="120" t="n"/>
      <c r="N452" s="120" t="n"/>
      <c r="O452" s="120" t="n"/>
      <c r="P452" s="120" t="n"/>
      <c r="Q452" s="120" t="n"/>
      <c r="R452" s="120" t="n"/>
      <c r="S452" s="120" t="n"/>
      <c r="T452" s="120" t="n"/>
      <c r="U452" s="120" t="n"/>
      <c r="V452" s="120" t="n"/>
      <c r="W452" s="120" t="n"/>
      <c r="X452" s="120" t="n"/>
      <c r="Y452" s="120" t="n"/>
      <c r="Z452" s="120" t="n"/>
      <c r="AB452" s="120" t="n"/>
      <c r="AC452" s="120" t="n"/>
      <c r="AD452" s="120" t="n"/>
      <c r="AE452" s="120" t="n"/>
      <c r="AF452" s="120" t="n"/>
      <c r="AG452" s="120" t="n"/>
      <c r="AH452" s="120" t="n"/>
      <c r="AI452" s="120" t="n"/>
      <c r="AJ452" s="120" t="n"/>
      <c r="AK452" s="120" t="n"/>
      <c r="AL452" s="120" t="n"/>
      <c r="AM452" s="120" t="n"/>
      <c r="AN452" s="120" t="n"/>
      <c r="AO452" s="120" t="n"/>
      <c r="AP452" s="120" t="n"/>
      <c r="AQ452" s="120" t="n"/>
      <c r="AR452" s="120" t="n"/>
      <c r="AS452" s="120" t="n"/>
    </row>
    <row r="453" hidden="1" outlineLevel="1">
      <c r="A453" s="8" t="n"/>
      <c r="B453" s="14" t="n"/>
      <c r="C453" s="120" t="n"/>
      <c r="D453" s="120" t="n"/>
      <c r="E453" s="120" t="n"/>
      <c r="F453" s="120" t="n"/>
      <c r="G453" s="120" t="n"/>
      <c r="I453" s="55">
        <f>DADOS_INVOC!$PM$28</f>
        <v/>
      </c>
      <c r="J453" s="16" t="n"/>
      <c r="K453" s="16" t="n"/>
      <c r="L453" s="16" t="n"/>
      <c r="M453" s="17" t="n"/>
      <c r="N453" s="120" t="n"/>
      <c r="O453" s="55">
        <f>DADOS_INVOC!$PM$29</f>
        <v/>
      </c>
      <c r="P453" s="16" t="n"/>
      <c r="Q453" s="16" t="n"/>
      <c r="R453" s="16" t="n"/>
      <c r="S453" s="17" t="n"/>
      <c r="T453" s="120" t="n"/>
      <c r="U453" s="55">
        <f>DADOS_INVOC!$PM$30</f>
        <v/>
      </c>
      <c r="V453" s="16" t="n"/>
      <c r="W453" s="16" t="n"/>
      <c r="X453" s="16" t="n"/>
      <c r="Y453" s="17" t="n"/>
      <c r="Z453" s="120" t="n"/>
      <c r="AB453" s="55">
        <f>DADOS_INVOC!$PM$106</f>
        <v/>
      </c>
      <c r="AC453" s="16" t="n"/>
      <c r="AD453" s="16" t="n"/>
      <c r="AE453" s="16" t="n"/>
      <c r="AF453" s="17" t="n"/>
      <c r="AG453" s="120" t="n"/>
      <c r="AH453" s="55">
        <f>DADOS_INVOC!$PM$107</f>
        <v/>
      </c>
      <c r="AI453" s="16" t="n"/>
      <c r="AJ453" s="16" t="n"/>
      <c r="AK453" s="16" t="n"/>
      <c r="AL453" s="17" t="n"/>
      <c r="AM453" s="120" t="n"/>
      <c r="AN453" s="55">
        <f>DADOS_INVOC!$PM$108</f>
        <v/>
      </c>
      <c r="AO453" s="16" t="n"/>
      <c r="AP453" s="16" t="n"/>
      <c r="AQ453" s="16" t="n"/>
      <c r="AR453" s="17" t="n"/>
      <c r="AS453" s="120" t="n"/>
    </row>
    <row r="454" hidden="1" outlineLevel="1">
      <c r="A454" s="8" t="n"/>
      <c r="B454" s="14" t="n"/>
      <c r="C454" s="120" t="n"/>
      <c r="D454" s="120" t="n"/>
      <c r="E454" s="120" t="n"/>
      <c r="F454" s="120" t="n"/>
      <c r="G454" s="120" t="n"/>
      <c r="I454" s="127" t="n">
        <v>0</v>
      </c>
      <c r="J454" s="115" t="n"/>
      <c r="K454" s="16" t="n"/>
      <c r="L454" s="17" t="n"/>
      <c r="M454" s="128">
        <f>DADOS_INVOC!$PK$28</f>
        <v/>
      </c>
      <c r="N454" s="120" t="n"/>
      <c r="O454" s="127" t="n">
        <v>1</v>
      </c>
      <c r="P454" s="115" t="n"/>
      <c r="Q454" s="16" t="n"/>
      <c r="R454" s="17" t="n"/>
      <c r="S454" s="128">
        <f>DADOS_INVOC!$PK$29</f>
        <v/>
      </c>
      <c r="T454" s="120" t="n"/>
      <c r="U454" s="127" t="n">
        <v>1</v>
      </c>
      <c r="V454" s="115" t="n"/>
      <c r="W454" s="16" t="n"/>
      <c r="X454" s="17" t="n"/>
      <c r="Y454" s="128">
        <f>DADOS_INVOC!$PK$30</f>
        <v/>
      </c>
      <c r="Z454" s="120" t="n"/>
      <c r="AB454" s="127" t="n">
        <v>0</v>
      </c>
      <c r="AC454" s="115" t="n"/>
      <c r="AD454" s="16" t="n"/>
      <c r="AE454" s="17" t="n"/>
      <c r="AF454" s="128">
        <f>DADOS_INVOC!$PK$106</f>
        <v/>
      </c>
      <c r="AG454" s="120" t="n"/>
      <c r="AH454" s="127" t="n">
        <v>1</v>
      </c>
      <c r="AI454" s="115" t="n"/>
      <c r="AJ454" s="16" t="n"/>
      <c r="AK454" s="17" t="n"/>
      <c r="AL454" s="128">
        <f>DADOS_INVOC!$PK$107</f>
        <v/>
      </c>
      <c r="AM454" s="120" t="n"/>
      <c r="AN454" s="127" t="n">
        <v>1</v>
      </c>
      <c r="AO454" s="115" t="n"/>
      <c r="AP454" s="16" t="n"/>
      <c r="AQ454" s="17" t="n"/>
      <c r="AR454" s="128">
        <f>DADOS_INVOC!$PK$108</f>
        <v/>
      </c>
      <c r="AS454" s="120" t="n"/>
    </row>
    <row r="455" hidden="1" outlineLevel="2">
      <c r="A455" s="8" t="n"/>
      <c r="B455" s="14" t="n"/>
      <c r="C455" s="120" t="n"/>
      <c r="D455" s="120" t="n"/>
      <c r="E455" s="120" t="n"/>
      <c r="F455" s="120" t="n"/>
      <c r="G455" s="120" t="n"/>
      <c r="I455" s="55" t="inlineStr">
        <is>
          <t>COMO É</t>
        </is>
      </c>
      <c r="J455" s="16" t="n"/>
      <c r="K455" s="16" t="n"/>
      <c r="L455" s="16" t="n"/>
      <c r="M455" s="17" t="n"/>
      <c r="N455" s="120" t="n"/>
      <c r="O455" s="55" t="inlineStr">
        <is>
          <t>COMO É</t>
        </is>
      </c>
      <c r="P455" s="16" t="n"/>
      <c r="Q455" s="16" t="n"/>
      <c r="R455" s="16" t="n"/>
      <c r="S455" s="17" t="n"/>
      <c r="T455" s="120" t="n"/>
      <c r="U455" s="55" t="inlineStr">
        <is>
          <t>COMO É</t>
        </is>
      </c>
      <c r="V455" s="16" t="n"/>
      <c r="W455" s="16" t="n"/>
      <c r="X455" s="16" t="n"/>
      <c r="Y455" s="17" t="n"/>
      <c r="Z455" s="120" t="n"/>
      <c r="AB455" s="55" t="inlineStr">
        <is>
          <t>COMO É</t>
        </is>
      </c>
      <c r="AC455" s="16" t="n"/>
      <c r="AD455" s="16" t="n"/>
      <c r="AE455" s="16" t="n"/>
      <c r="AF455" s="17" t="n"/>
      <c r="AG455" s="120" t="n"/>
      <c r="AH455" s="55" t="inlineStr">
        <is>
          <t>COMO É</t>
        </is>
      </c>
      <c r="AI455" s="16" t="n"/>
      <c r="AJ455" s="16" t="n"/>
      <c r="AK455" s="16" t="n"/>
      <c r="AL455" s="17" t="n"/>
      <c r="AM455" s="120" t="n"/>
      <c r="AN455" s="55" t="inlineStr">
        <is>
          <t>COMO É</t>
        </is>
      </c>
      <c r="AO455" s="16" t="n"/>
      <c r="AP455" s="16" t="n"/>
      <c r="AQ455" s="16" t="n"/>
      <c r="AR455" s="17" t="n"/>
      <c r="AS455" s="120" t="n"/>
    </row>
    <row r="456" hidden="1" outlineLevel="2">
      <c r="A456" s="8" t="n"/>
      <c r="B456" s="14" t="n"/>
      <c r="C456" s="120" t="n"/>
      <c r="D456" s="120" t="n"/>
      <c r="E456" s="120" t="n"/>
      <c r="F456" s="120" t="n"/>
      <c r="G456" s="120" t="n"/>
      <c r="I456" s="116" t="n"/>
      <c r="J456" s="19" t="n"/>
      <c r="K456" s="19" t="n"/>
      <c r="L456" s="19" t="n"/>
      <c r="M456" s="20" t="n"/>
      <c r="N456" s="120" t="n"/>
      <c r="O456" s="116" t="n"/>
      <c r="P456" s="19" t="n"/>
      <c r="Q456" s="19" t="n"/>
      <c r="R456" s="19" t="n"/>
      <c r="S456" s="20" t="n"/>
      <c r="T456" s="120" t="n"/>
      <c r="U456" s="116" t="n"/>
      <c r="V456" s="19" t="n"/>
      <c r="W456" s="19" t="n"/>
      <c r="X456" s="19" t="n"/>
      <c r="Y456" s="20" t="n"/>
      <c r="Z456" s="120" t="n"/>
      <c r="AB456" s="116" t="n"/>
      <c r="AC456" s="19" t="n"/>
      <c r="AD456" s="19" t="n"/>
      <c r="AE456" s="19" t="n"/>
      <c r="AF456" s="20" t="n"/>
      <c r="AG456" s="120" t="n"/>
      <c r="AH456" s="116" t="n"/>
      <c r="AI456" s="19" t="n"/>
      <c r="AJ456" s="19" t="n"/>
      <c r="AK456" s="19" t="n"/>
      <c r="AL456" s="20" t="n"/>
      <c r="AM456" s="120" t="n"/>
      <c r="AN456" s="116" t="n"/>
      <c r="AO456" s="19" t="n"/>
      <c r="AP456" s="19" t="n"/>
      <c r="AQ456" s="19" t="n"/>
      <c r="AR456" s="20" t="n"/>
      <c r="AS456" s="120" t="n"/>
    </row>
    <row r="457" hidden="1" outlineLevel="2">
      <c r="A457" s="8" t="n"/>
      <c r="B457" s="14" t="n"/>
      <c r="C457" s="120" t="n"/>
      <c r="D457" s="120" t="n"/>
      <c r="E457" s="120" t="n"/>
      <c r="F457" s="120" t="n"/>
      <c r="G457" s="120" t="n"/>
      <c r="I457" s="21" t="n"/>
      <c r="M457" s="22" t="n"/>
      <c r="N457" s="120" t="n"/>
      <c r="O457" s="21" t="n"/>
      <c r="S457" s="22" t="n"/>
      <c r="T457" s="120" t="n"/>
      <c r="U457" s="21" t="n"/>
      <c r="Y457" s="22" t="n"/>
      <c r="Z457" s="120" t="n"/>
      <c r="AB457" s="21" t="n"/>
      <c r="AF457" s="22" t="n"/>
      <c r="AG457" s="120" t="n"/>
      <c r="AH457" s="21" t="n"/>
      <c r="AL457" s="22" t="n"/>
      <c r="AM457" s="120" t="n"/>
      <c r="AN457" s="21" t="n"/>
      <c r="AR457" s="22" t="n"/>
      <c r="AS457" s="120" t="n"/>
    </row>
    <row r="458" hidden="1" outlineLevel="2">
      <c r="A458" s="8" t="n"/>
      <c r="B458" s="14" t="n"/>
      <c r="C458" s="120" t="n"/>
      <c r="D458" s="120" t="n"/>
      <c r="E458" s="120" t="n"/>
      <c r="F458" s="120" t="n"/>
      <c r="G458" s="120" t="n"/>
      <c r="I458" s="23" t="n"/>
      <c r="J458" s="24" t="n"/>
      <c r="K458" s="24" t="n"/>
      <c r="L458" s="24" t="n"/>
      <c r="M458" s="25" t="n"/>
      <c r="N458" s="120" t="n"/>
      <c r="O458" s="23" t="n"/>
      <c r="P458" s="24" t="n"/>
      <c r="Q458" s="24" t="n"/>
      <c r="R458" s="24" t="n"/>
      <c r="S458" s="25" t="n"/>
      <c r="T458" s="120" t="n"/>
      <c r="U458" s="23" t="n"/>
      <c r="V458" s="24" t="n"/>
      <c r="W458" s="24" t="n"/>
      <c r="X458" s="24" t="n"/>
      <c r="Y458" s="25" t="n"/>
      <c r="Z458" s="120" t="n"/>
      <c r="AB458" s="23" t="n"/>
      <c r="AC458" s="24" t="n"/>
      <c r="AD458" s="24" t="n"/>
      <c r="AE458" s="24" t="n"/>
      <c r="AF458" s="25" t="n"/>
      <c r="AG458" s="120" t="n"/>
      <c r="AH458" s="23" t="n"/>
      <c r="AI458" s="24" t="n"/>
      <c r="AJ458" s="24" t="n"/>
      <c r="AK458" s="24" t="n"/>
      <c r="AL458" s="25" t="n"/>
      <c r="AM458" s="120" t="n"/>
      <c r="AN458" s="23" t="n"/>
      <c r="AO458" s="24" t="n"/>
      <c r="AP458" s="24" t="n"/>
      <c r="AQ458" s="24" t="n"/>
      <c r="AR458" s="25" t="n"/>
      <c r="AS458" s="120" t="n"/>
    </row>
    <row r="459" hidden="1" outlineLevel="1">
      <c r="A459" s="8" t="n"/>
      <c r="B459" s="14" t="n"/>
      <c r="C459" s="120" t="n"/>
      <c r="D459" s="120" t="n"/>
      <c r="E459" s="120" t="n"/>
      <c r="F459" s="120" t="n"/>
      <c r="G459" s="120" t="n"/>
      <c r="I459" s="124" t="inlineStr">
        <is>
          <t>Projétil</t>
        </is>
      </c>
      <c r="J459" s="17" t="n"/>
      <c r="K459" s="68">
        <f>DADOS_INVOC!$PR$28</f>
        <v/>
      </c>
      <c r="L459" s="17" t="n"/>
      <c r="M459" s="68">
        <f>DADOS_INVOC!$PN$28</f>
        <v/>
      </c>
      <c r="N459" s="120" t="n"/>
      <c r="O459" s="124" t="inlineStr">
        <is>
          <t>Projétil</t>
        </is>
      </c>
      <c r="P459" s="17" t="n"/>
      <c r="Q459" s="68">
        <f>DADOS_INVOC!$PR$29</f>
        <v/>
      </c>
      <c r="R459" s="17" t="n"/>
      <c r="S459" s="68">
        <f>DADOS_INVOC!$PN$29</f>
        <v/>
      </c>
      <c r="T459" s="120" t="n"/>
      <c r="U459" s="124" t="inlineStr">
        <is>
          <t>Projétil</t>
        </is>
      </c>
      <c r="V459" s="17" t="n"/>
      <c r="W459" s="68">
        <f>DADOS_INVOC!$PR$30</f>
        <v/>
      </c>
      <c r="X459" s="17" t="n"/>
      <c r="Y459" s="68">
        <f>DADOS_INVOC!$PN$30</f>
        <v/>
      </c>
      <c r="Z459" s="120" t="n"/>
      <c r="AB459" s="124" t="inlineStr">
        <is>
          <t>Projétil</t>
        </is>
      </c>
      <c r="AC459" s="17" t="n"/>
      <c r="AD459" s="68">
        <f>DADOS_INVOC!$PR$106</f>
        <v/>
      </c>
      <c r="AE459" s="17" t="n"/>
      <c r="AF459" s="68">
        <f>DADOS_INVOC!$PN$106</f>
        <v/>
      </c>
      <c r="AG459" s="120" t="n"/>
      <c r="AH459" s="124" t="inlineStr">
        <is>
          <t>Projétil</t>
        </is>
      </c>
      <c r="AI459" s="17" t="n"/>
      <c r="AJ459" s="68">
        <f>DADOS_INVOC!$PR$107</f>
        <v/>
      </c>
      <c r="AK459" s="17" t="n"/>
      <c r="AL459" s="68">
        <f>DADOS_INVOC!$PN$107</f>
        <v/>
      </c>
      <c r="AM459" s="120" t="n"/>
      <c r="AN459" s="124" t="inlineStr">
        <is>
          <t>Projétil</t>
        </is>
      </c>
      <c r="AO459" s="17" t="n"/>
      <c r="AP459" s="68">
        <f>DADOS_INVOC!$PR$108</f>
        <v/>
      </c>
      <c r="AQ459" s="17" t="n"/>
      <c r="AR459" s="68">
        <f>DADOS_INVOC!$PN$108</f>
        <v/>
      </c>
      <c r="AS459" s="120" t="n"/>
    </row>
    <row r="460" hidden="1" outlineLevel="1">
      <c r="A460" s="8" t="n"/>
      <c r="B460" s="14" t="n"/>
      <c r="C460" s="120" t="n"/>
      <c r="D460" s="120" t="n"/>
      <c r="E460" s="120" t="n"/>
      <c r="F460" s="120" t="n"/>
      <c r="G460" s="120" t="n"/>
      <c r="I460" s="124" t="n"/>
      <c r="J460" s="17" t="n"/>
      <c r="K460" s="124" t="n"/>
      <c r="L460" s="16" t="n"/>
      <c r="M460" s="17" t="n"/>
      <c r="N460" s="120" t="n"/>
      <c r="O460" s="124" t="n"/>
      <c r="P460" s="17" t="n"/>
      <c r="Q460" s="124" t="n"/>
      <c r="R460" s="16" t="n"/>
      <c r="S460" s="17" t="n"/>
      <c r="T460" s="120" t="n"/>
      <c r="U460" s="124" t="n"/>
      <c r="V460" s="17" t="n"/>
      <c r="W460" s="124" t="n"/>
      <c r="X460" s="16" t="n"/>
      <c r="Y460" s="17" t="n"/>
      <c r="Z460" s="120" t="n"/>
      <c r="AB460" s="124" t="n"/>
      <c r="AC460" s="17" t="n"/>
      <c r="AD460" s="124" t="n"/>
      <c r="AE460" s="16" t="n"/>
      <c r="AF460" s="17" t="n"/>
      <c r="AG460" s="120" t="n"/>
      <c r="AH460" s="124" t="n"/>
      <c r="AI460" s="17" t="n"/>
      <c r="AJ460" s="124" t="n"/>
      <c r="AK460" s="16" t="n"/>
      <c r="AL460" s="17" t="n"/>
      <c r="AM460" s="120" t="n"/>
      <c r="AN460" s="124" t="n"/>
      <c r="AO460" s="17" t="n"/>
      <c r="AP460" s="124" t="n"/>
      <c r="AQ460" s="16" t="n"/>
      <c r="AR460" s="17" t="n"/>
      <c r="AS460" s="120" t="n"/>
    </row>
    <row r="461" hidden="1" outlineLevel="1">
      <c r="A461" s="8" t="n"/>
      <c r="B461" s="14" t="n"/>
      <c r="C461" s="120" t="n"/>
      <c r="D461" s="120" t="n"/>
      <c r="E461" s="120" t="n"/>
      <c r="F461" s="120" t="n"/>
      <c r="G461" s="120" t="n"/>
      <c r="I461" s="124">
        <f>DADOS_INVOC!$PO$28</f>
        <v/>
      </c>
      <c r="J461" s="17" t="n"/>
      <c r="K461" s="124">
        <f>DADOS_INVOC!$PQ$28</f>
        <v/>
      </c>
      <c r="L461" s="16" t="n"/>
      <c r="M461" s="17" t="n"/>
      <c r="N461" s="120" t="n"/>
      <c r="O461" s="124">
        <f>DADOS_INVOC!$PO$29</f>
        <v/>
      </c>
      <c r="P461" s="17" t="n"/>
      <c r="Q461" s="124">
        <f>DADOS_INVOC!$PQ$29</f>
        <v/>
      </c>
      <c r="R461" s="16" t="n"/>
      <c r="S461" s="17" t="n"/>
      <c r="T461" s="120" t="n"/>
      <c r="U461" s="124">
        <f>DADOS_INVOC!$PO$30</f>
        <v/>
      </c>
      <c r="V461" s="17" t="n"/>
      <c r="W461" s="124">
        <f>DADOS_INVOC!$PQ$30</f>
        <v/>
      </c>
      <c r="X461" s="16" t="n"/>
      <c r="Y461" s="17" t="n"/>
      <c r="Z461" s="120" t="n"/>
      <c r="AB461" s="124">
        <f>DADOS_INVOC!$PO$106</f>
        <v/>
      </c>
      <c r="AC461" s="17" t="n"/>
      <c r="AD461" s="124">
        <f>DADOS_INVOC!$PQ$106</f>
        <v/>
      </c>
      <c r="AE461" s="16" t="n"/>
      <c r="AF461" s="17" t="n"/>
      <c r="AG461" s="120" t="n"/>
      <c r="AH461" s="124">
        <f>DADOS_INVOC!$PO$107</f>
        <v/>
      </c>
      <c r="AI461" s="17" t="n"/>
      <c r="AJ461" s="124">
        <f>DADOS_INVOC!$PQ$107</f>
        <v/>
      </c>
      <c r="AK461" s="16" t="n"/>
      <c r="AL461" s="17" t="n"/>
      <c r="AM461" s="120" t="n"/>
      <c r="AN461" s="124">
        <f>DADOS_INVOC!$PO$108</f>
        <v/>
      </c>
      <c r="AO461" s="17" t="n"/>
      <c r="AP461" s="124">
        <f>DADOS_INVOC!$PQ$108</f>
        <v/>
      </c>
      <c r="AQ461" s="16" t="n"/>
      <c r="AR461" s="17" t="n"/>
      <c r="AS461" s="120" t="n"/>
    </row>
    <row r="462" hidden="1" outlineLevel="1">
      <c r="A462" s="8" t="n"/>
      <c r="B462" s="14" t="n"/>
      <c r="C462" s="120" t="n"/>
      <c r="D462" s="120" t="n"/>
      <c r="E462" s="120" t="n"/>
      <c r="F462" s="120" t="n"/>
      <c r="G462" s="120" t="n"/>
      <c r="I462" s="129">
        <f>DADOS_INVOC!$PW$28</f>
        <v/>
      </c>
      <c r="J462" s="16" t="n"/>
      <c r="K462" s="16" t="n"/>
      <c r="L462" s="16" t="n"/>
      <c r="M462" s="17" t="n"/>
      <c r="N462" s="120" t="n"/>
      <c r="O462" s="129">
        <f>DADOS_INVOC!$PW$29</f>
        <v/>
      </c>
      <c r="P462" s="16" t="n"/>
      <c r="Q462" s="16" t="n"/>
      <c r="R462" s="16" t="n"/>
      <c r="S462" s="17" t="n"/>
      <c r="T462" s="120" t="n"/>
      <c r="U462" s="129">
        <f>DADOS_INVOC!$PW$30</f>
        <v/>
      </c>
      <c r="V462" s="16" t="n"/>
      <c r="W462" s="16" t="n"/>
      <c r="X462" s="16" t="n"/>
      <c r="Y462" s="17" t="n"/>
      <c r="Z462" s="120" t="n"/>
      <c r="AB462" s="129">
        <f>DADOS_INVOC!$PW$106</f>
        <v/>
      </c>
      <c r="AC462" s="16" t="n"/>
      <c r="AD462" s="16" t="n"/>
      <c r="AE462" s="16" t="n"/>
      <c r="AF462" s="17" t="n"/>
      <c r="AG462" s="120" t="n"/>
      <c r="AH462" s="129">
        <f>DADOS_INVOC!$PW$107</f>
        <v/>
      </c>
      <c r="AI462" s="16" t="n"/>
      <c r="AJ462" s="16" t="n"/>
      <c r="AK462" s="16" t="n"/>
      <c r="AL462" s="17" t="n"/>
      <c r="AM462" s="120" t="n"/>
      <c r="AN462" s="129">
        <f>DADOS_INVOC!$PW$108</f>
        <v/>
      </c>
      <c r="AO462" s="16" t="n"/>
      <c r="AP462" s="16" t="n"/>
      <c r="AQ462" s="16" t="n"/>
      <c r="AR462" s="17" t="n"/>
      <c r="AS462" s="120" t="n"/>
    </row>
    <row r="463" hidden="1" outlineLevel="2">
      <c r="A463" s="8" t="n"/>
      <c r="B463" s="14" t="n"/>
      <c r="C463" s="120" t="n"/>
      <c r="D463" s="120" t="n"/>
      <c r="E463" s="120" t="n"/>
      <c r="F463" s="120" t="n"/>
      <c r="G463" s="120" t="n"/>
      <c r="I463" s="55" t="inlineStr">
        <is>
          <t>MELHORIAS</t>
        </is>
      </c>
      <c r="J463" s="130" t="n"/>
      <c r="K463" s="16" t="n"/>
      <c r="L463" s="17" t="n"/>
      <c r="M463" s="129">
        <f>DADOS_INVOC!$PZ$28</f>
        <v/>
      </c>
      <c r="N463" s="120" t="n"/>
      <c r="O463" s="55" t="inlineStr">
        <is>
          <t>MELHORIAS</t>
        </is>
      </c>
      <c r="P463" s="130" t="n"/>
      <c r="Q463" s="16" t="n"/>
      <c r="R463" s="17" t="n"/>
      <c r="S463" s="129">
        <f>DADOS_INVOC!$PZ$29</f>
        <v/>
      </c>
      <c r="T463" s="120" t="n"/>
      <c r="U463" s="55" t="inlineStr">
        <is>
          <t>MELHORIAS</t>
        </is>
      </c>
      <c r="V463" s="130" t="n"/>
      <c r="W463" s="16" t="n"/>
      <c r="X463" s="17" t="n"/>
      <c r="Y463" s="129">
        <f>DADOS_INVOC!$PZ$30</f>
        <v/>
      </c>
      <c r="Z463" s="120" t="n"/>
      <c r="AB463" s="55" t="inlineStr">
        <is>
          <t>MELHORIAS</t>
        </is>
      </c>
      <c r="AC463" s="130" t="n"/>
      <c r="AD463" s="16" t="n"/>
      <c r="AE463" s="17" t="n"/>
      <c r="AF463" s="129">
        <f>DADOS_INVOC!$PZ$106</f>
        <v/>
      </c>
      <c r="AG463" s="120" t="n"/>
      <c r="AH463" s="55" t="inlineStr">
        <is>
          <t>MELHORIAS</t>
        </is>
      </c>
      <c r="AI463" s="130" t="n"/>
      <c r="AJ463" s="16" t="n"/>
      <c r="AK463" s="17" t="n"/>
      <c r="AL463" s="129">
        <f>DADOS_INVOC!$PZ$107</f>
        <v/>
      </c>
      <c r="AM463" s="120" t="n"/>
      <c r="AN463" s="55" t="inlineStr">
        <is>
          <t>MELHORIAS</t>
        </is>
      </c>
      <c r="AO463" s="130" t="n"/>
      <c r="AP463" s="16" t="n"/>
      <c r="AQ463" s="17" t="n"/>
      <c r="AR463" s="129">
        <f>DADOS_INVOC!$PZ$108</f>
        <v/>
      </c>
      <c r="AS463" s="120" t="n"/>
    </row>
    <row r="464" hidden="1" outlineLevel="2">
      <c r="A464" s="8" t="n"/>
      <c r="B464" s="14" t="n"/>
      <c r="C464" s="120" t="n"/>
      <c r="D464" s="120" t="n"/>
      <c r="E464" s="120" t="n"/>
      <c r="F464" s="120" t="n"/>
      <c r="G464" s="120" t="n"/>
      <c r="I464" s="131" t="n"/>
      <c r="J464" s="130" t="n"/>
      <c r="K464" s="16" t="n"/>
      <c r="L464" s="17" t="n"/>
      <c r="M464" s="129">
        <f>DADOS_INVOC!$QA$28</f>
        <v/>
      </c>
      <c r="N464" s="120" t="n"/>
      <c r="O464" s="131" t="n"/>
      <c r="P464" s="130" t="n"/>
      <c r="Q464" s="16" t="n"/>
      <c r="R464" s="17" t="n"/>
      <c r="S464" s="129">
        <f>DADOS_INVOC!$QA$29</f>
        <v/>
      </c>
      <c r="T464" s="120" t="n"/>
      <c r="U464" s="131" t="n"/>
      <c r="V464" s="130" t="n"/>
      <c r="W464" s="16" t="n"/>
      <c r="X464" s="17" t="n"/>
      <c r="Y464" s="129">
        <f>DADOS_INVOC!$QA$30</f>
        <v/>
      </c>
      <c r="Z464" s="120" t="n"/>
      <c r="AB464" s="131" t="n"/>
      <c r="AC464" s="130" t="n"/>
      <c r="AD464" s="16" t="n"/>
      <c r="AE464" s="17" t="n"/>
      <c r="AF464" s="129">
        <f>DADOS_INVOC!$QA$106</f>
        <v/>
      </c>
      <c r="AG464" s="120" t="n"/>
      <c r="AH464" s="131" t="n"/>
      <c r="AI464" s="130" t="n"/>
      <c r="AJ464" s="16" t="n"/>
      <c r="AK464" s="17" t="n"/>
      <c r="AL464" s="129">
        <f>DADOS_INVOC!$QA$107</f>
        <v/>
      </c>
      <c r="AM464" s="120" t="n"/>
      <c r="AN464" s="131" t="n"/>
      <c r="AO464" s="130" t="n"/>
      <c r="AP464" s="16" t="n"/>
      <c r="AQ464" s="17" t="n"/>
      <c r="AR464" s="129">
        <f>DADOS_INVOC!$QA$108</f>
        <v/>
      </c>
      <c r="AS464" s="120" t="n"/>
    </row>
    <row r="465" hidden="1" outlineLevel="2">
      <c r="A465" s="8" t="n"/>
      <c r="B465" s="14" t="n"/>
      <c r="C465" s="120" t="n"/>
      <c r="D465" s="120" t="n"/>
      <c r="E465" s="120" t="n"/>
      <c r="F465" s="120" t="n"/>
      <c r="G465" s="120" t="n"/>
      <c r="I465" s="131" t="n"/>
      <c r="J465" s="130" t="n"/>
      <c r="K465" s="16" t="n"/>
      <c r="L465" s="17" t="n"/>
      <c r="M465" s="129">
        <f>DADOS_INVOC!$QB$28</f>
        <v/>
      </c>
      <c r="N465" s="120" t="n"/>
      <c r="O465" s="131" t="n"/>
      <c r="P465" s="130" t="n"/>
      <c r="Q465" s="16" t="n"/>
      <c r="R465" s="17" t="n"/>
      <c r="S465" s="129">
        <f>DADOS_INVOC!$QB$29</f>
        <v/>
      </c>
      <c r="T465" s="120" t="n"/>
      <c r="U465" s="131" t="n"/>
      <c r="V465" s="130" t="n"/>
      <c r="W465" s="16" t="n"/>
      <c r="X465" s="17" t="n"/>
      <c r="Y465" s="129">
        <f>DADOS_INVOC!$QB$30</f>
        <v/>
      </c>
      <c r="Z465" s="120" t="n"/>
      <c r="AB465" s="131" t="n"/>
      <c r="AC465" s="130" t="n"/>
      <c r="AD465" s="16" t="n"/>
      <c r="AE465" s="17" t="n"/>
      <c r="AF465" s="129">
        <f>DADOS_INVOC!$QB$106</f>
        <v/>
      </c>
      <c r="AG465" s="120" t="n"/>
      <c r="AH465" s="131" t="n"/>
      <c r="AI465" s="130" t="n"/>
      <c r="AJ465" s="16" t="n"/>
      <c r="AK465" s="17" t="n"/>
      <c r="AL465" s="129">
        <f>DADOS_INVOC!$QB$107</f>
        <v/>
      </c>
      <c r="AM465" s="120" t="n"/>
      <c r="AN465" s="131" t="n"/>
      <c r="AO465" s="130" t="n"/>
      <c r="AP465" s="16" t="n"/>
      <c r="AQ465" s="17" t="n"/>
      <c r="AR465" s="129">
        <f>DADOS_INVOC!$QB$108</f>
        <v/>
      </c>
      <c r="AS465" s="120" t="n"/>
    </row>
    <row r="466" hidden="1" outlineLevel="2">
      <c r="A466" s="8" t="n"/>
      <c r="B466" s="14" t="n"/>
      <c r="C466" s="120" t="n"/>
      <c r="D466" s="120" t="n"/>
      <c r="E466" s="120" t="n"/>
      <c r="F466" s="120" t="n"/>
      <c r="G466" s="120" t="n"/>
      <c r="I466" s="125" t="n"/>
      <c r="J466" s="130" t="n"/>
      <c r="K466" s="16" t="n"/>
      <c r="L466" s="17" t="n"/>
      <c r="M466" s="129">
        <f>DADOS_INVOC!$QC$28</f>
        <v/>
      </c>
      <c r="N466" s="120" t="n"/>
      <c r="O466" s="125" t="n"/>
      <c r="P466" s="130" t="n"/>
      <c r="Q466" s="16" t="n"/>
      <c r="R466" s="17" t="n"/>
      <c r="S466" s="129">
        <f>DADOS_INVOC!$QC$29</f>
        <v/>
      </c>
      <c r="T466" s="120" t="n"/>
      <c r="U466" s="125" t="n"/>
      <c r="V466" s="130" t="n"/>
      <c r="W466" s="16" t="n"/>
      <c r="X466" s="17" t="n"/>
      <c r="Y466" s="129">
        <f>DADOS_INVOC!$QC$30</f>
        <v/>
      </c>
      <c r="Z466" s="120" t="n"/>
      <c r="AB466" s="125" t="n"/>
      <c r="AC466" s="130" t="n"/>
      <c r="AD466" s="16" t="n"/>
      <c r="AE466" s="17" t="n"/>
      <c r="AF466" s="129">
        <f>DADOS_INVOC!$QC$106</f>
        <v/>
      </c>
      <c r="AG466" s="120" t="n"/>
      <c r="AH466" s="125" t="n"/>
      <c r="AI466" s="130" t="n"/>
      <c r="AJ466" s="16" t="n"/>
      <c r="AK466" s="17" t="n"/>
      <c r="AL466" s="129">
        <f>DADOS_INVOC!$QC$107</f>
        <v/>
      </c>
      <c r="AM466" s="120" t="n"/>
      <c r="AN466" s="125" t="n"/>
      <c r="AO466" s="130" t="n"/>
      <c r="AP466" s="16" t="n"/>
      <c r="AQ466" s="17" t="n"/>
      <c r="AR466" s="129">
        <f>DADOS_INVOC!$QC$108</f>
        <v/>
      </c>
      <c r="AS466" s="120" t="n"/>
    </row>
    <row r="467" hidden="1" outlineLevel="2">
      <c r="A467" s="8" t="n"/>
      <c r="B467" s="14" t="n"/>
      <c r="C467" s="120" t="n"/>
      <c r="D467" s="120" t="n"/>
      <c r="E467" s="120" t="n"/>
      <c r="F467" s="120" t="n"/>
      <c r="G467" s="120" t="n"/>
      <c r="I467" s="55" t="inlineStr">
        <is>
          <t>RESTRIÇÕES</t>
        </is>
      </c>
      <c r="J467" s="130" t="n"/>
      <c r="K467" s="16" t="n"/>
      <c r="L467" s="17" t="n"/>
      <c r="M467" s="129">
        <f>DADOS_INVOC!$QD$28</f>
        <v/>
      </c>
      <c r="N467" s="120" t="n"/>
      <c r="O467" s="55" t="inlineStr">
        <is>
          <t>RESTRIÇÕES</t>
        </is>
      </c>
      <c r="P467" s="130" t="n"/>
      <c r="Q467" s="16" t="n"/>
      <c r="R467" s="17" t="n"/>
      <c r="S467" s="129">
        <f>DADOS_INVOC!$QD$29</f>
        <v/>
      </c>
      <c r="T467" s="120" t="n"/>
      <c r="U467" s="55" t="inlineStr">
        <is>
          <t>RESTRIÇÕES</t>
        </is>
      </c>
      <c r="V467" s="130" t="n"/>
      <c r="W467" s="16" t="n"/>
      <c r="X467" s="17" t="n"/>
      <c r="Y467" s="129">
        <f>DADOS_INVOC!$QD$30</f>
        <v/>
      </c>
      <c r="Z467" s="120" t="n"/>
      <c r="AB467" s="55" t="inlineStr">
        <is>
          <t>RESTRIÇÕES</t>
        </is>
      </c>
      <c r="AC467" s="130" t="n"/>
      <c r="AD467" s="16" t="n"/>
      <c r="AE467" s="17" t="n"/>
      <c r="AF467" s="129">
        <f>DADOS_INVOC!$QD$106</f>
        <v/>
      </c>
      <c r="AG467" s="120" t="n"/>
      <c r="AH467" s="55" t="inlineStr">
        <is>
          <t>RESTRIÇÕES</t>
        </is>
      </c>
      <c r="AI467" s="130" t="n"/>
      <c r="AJ467" s="16" t="n"/>
      <c r="AK467" s="17" t="n"/>
      <c r="AL467" s="129">
        <f>DADOS_INVOC!$QD$107</f>
        <v/>
      </c>
      <c r="AM467" s="120" t="n"/>
      <c r="AN467" s="55" t="inlineStr">
        <is>
          <t>RESTRIÇÕES</t>
        </is>
      </c>
      <c r="AO467" s="130" t="n"/>
      <c r="AP467" s="16" t="n"/>
      <c r="AQ467" s="17" t="n"/>
      <c r="AR467" s="129">
        <f>DADOS_INVOC!$QD$108</f>
        <v/>
      </c>
      <c r="AS467" s="120" t="n"/>
    </row>
    <row r="468" hidden="1" outlineLevel="2">
      <c r="A468" s="8" t="n"/>
      <c r="B468" s="14" t="n"/>
      <c r="C468" s="120" t="n"/>
      <c r="D468" s="120" t="n"/>
      <c r="E468" s="120" t="n"/>
      <c r="F468" s="120" t="n"/>
      <c r="G468" s="120" t="n"/>
      <c r="I468" s="125" t="n"/>
      <c r="J468" s="130" t="n"/>
      <c r="K468" s="16" t="n"/>
      <c r="L468" s="17" t="n"/>
      <c r="M468" s="129">
        <f>DADOS_INVOC!$QE$28</f>
        <v/>
      </c>
      <c r="N468" s="120" t="n"/>
      <c r="O468" s="125" t="n"/>
      <c r="P468" s="130" t="n"/>
      <c r="Q468" s="16" t="n"/>
      <c r="R468" s="17" t="n"/>
      <c r="S468" s="129">
        <f>DADOS_INVOC!$QE$29</f>
        <v/>
      </c>
      <c r="T468" s="120" t="n"/>
      <c r="U468" s="125" t="n"/>
      <c r="V468" s="130" t="n"/>
      <c r="W468" s="16" t="n"/>
      <c r="X468" s="17" t="n"/>
      <c r="Y468" s="129">
        <f>DADOS_INVOC!$QE$30</f>
        <v/>
      </c>
      <c r="Z468" s="120" t="n"/>
      <c r="AB468" s="125" t="n"/>
      <c r="AC468" s="130" t="n"/>
      <c r="AD468" s="16" t="n"/>
      <c r="AE468" s="17" t="n"/>
      <c r="AF468" s="129">
        <f>DADOS_INVOC!$QE$106</f>
        <v/>
      </c>
      <c r="AG468" s="120" t="n"/>
      <c r="AH468" s="125" t="n"/>
      <c r="AI468" s="130" t="n"/>
      <c r="AJ468" s="16" t="n"/>
      <c r="AK468" s="17" t="n"/>
      <c r="AL468" s="129">
        <f>DADOS_INVOC!$QE$107</f>
        <v/>
      </c>
      <c r="AM468" s="120" t="n"/>
      <c r="AN468" s="125" t="n"/>
      <c r="AO468" s="130" t="n"/>
      <c r="AP468" s="16" t="n"/>
      <c r="AQ468" s="17" t="n"/>
      <c r="AR468" s="129">
        <f>DADOS_INVOC!$QE$108</f>
        <v/>
      </c>
      <c r="AS468" s="120" t="n"/>
    </row>
    <row r="469" hidden="1" outlineLevel="2">
      <c r="A469" s="8" t="n"/>
      <c r="B469" s="14" t="n"/>
      <c r="C469" s="120" t="n"/>
      <c r="D469" s="120" t="n"/>
      <c r="E469" s="120" t="n"/>
      <c r="F469" s="120" t="n"/>
      <c r="G469" s="120" t="n"/>
      <c r="I469" s="55" t="inlineStr">
        <is>
          <t>CONTA</t>
        </is>
      </c>
      <c r="J469" s="132">
        <f>DADOS_INVOC!$PX$28</f>
        <v/>
      </c>
      <c r="K469" s="16" t="n"/>
      <c r="L469" s="16" t="n"/>
      <c r="M469" s="17" t="n"/>
      <c r="N469" s="120" t="n"/>
      <c r="O469" s="55" t="inlineStr">
        <is>
          <t>CONTA</t>
        </is>
      </c>
      <c r="P469" s="132">
        <f>DADOS_INVOC!$PX$29</f>
        <v/>
      </c>
      <c r="Q469" s="16" t="n"/>
      <c r="R469" s="16" t="n"/>
      <c r="S469" s="17" t="n"/>
      <c r="T469" s="120" t="n"/>
      <c r="U469" s="55" t="inlineStr">
        <is>
          <t>CONTA</t>
        </is>
      </c>
      <c r="V469" s="132">
        <f>DADOS_INVOC!$PX$30</f>
        <v/>
      </c>
      <c r="W469" s="16" t="n"/>
      <c r="X469" s="16" t="n"/>
      <c r="Y469" s="17" t="n"/>
      <c r="Z469" s="120" t="n"/>
      <c r="AB469" s="55" t="inlineStr">
        <is>
          <t>CONTA</t>
        </is>
      </c>
      <c r="AC469" s="132">
        <f>DADOS_INVOC!$PX$106</f>
        <v/>
      </c>
      <c r="AD469" s="16" t="n"/>
      <c r="AE469" s="16" t="n"/>
      <c r="AF469" s="17" t="n"/>
      <c r="AG469" s="120" t="n"/>
      <c r="AH469" s="55" t="inlineStr">
        <is>
          <t>CONTA</t>
        </is>
      </c>
      <c r="AI469" s="132">
        <f>DADOS_INVOC!$PX$107</f>
        <v/>
      </c>
      <c r="AJ469" s="16" t="n"/>
      <c r="AK469" s="16" t="n"/>
      <c r="AL469" s="17" t="n"/>
      <c r="AM469" s="120" t="n"/>
      <c r="AN469" s="55" t="inlineStr">
        <is>
          <t>CONTA</t>
        </is>
      </c>
      <c r="AO469" s="132">
        <f>DADOS_INVOC!$PX$108</f>
        <v/>
      </c>
      <c r="AP469" s="16" t="n"/>
      <c r="AQ469" s="16" t="n"/>
      <c r="AR469" s="17" t="n"/>
      <c r="AS469" s="120" t="n"/>
    </row>
    <row r="470" hidden="1" outlineLevel="2">
      <c r="A470" s="8" t="n"/>
      <c r="B470" s="14" t="n"/>
      <c r="C470" s="120" t="n"/>
      <c r="D470" s="120" t="n"/>
      <c r="E470" s="120" t="n"/>
      <c r="F470" s="120" t="n"/>
      <c r="G470" s="120" t="n"/>
      <c r="I470" s="55" t="inlineStr">
        <is>
          <t>AMPLIAR</t>
        </is>
      </c>
      <c r="J470" s="132">
        <f>DADOS_INVOC!$PY$28</f>
        <v/>
      </c>
      <c r="K470" s="19" t="n"/>
      <c r="L470" s="19" t="n"/>
      <c r="M470" s="20" t="n"/>
      <c r="N470" s="120" t="n"/>
      <c r="O470" s="55" t="inlineStr">
        <is>
          <t>AMPLIAR</t>
        </is>
      </c>
      <c r="P470" s="132">
        <f>DADOS_INVOC!$PY$29</f>
        <v/>
      </c>
      <c r="Q470" s="19" t="n"/>
      <c r="R470" s="19" t="n"/>
      <c r="S470" s="20" t="n"/>
      <c r="T470" s="120" t="n"/>
      <c r="U470" s="55" t="inlineStr">
        <is>
          <t>AMPLIAR</t>
        </is>
      </c>
      <c r="V470" s="132">
        <f>DADOS_INVOC!$PY$30</f>
        <v/>
      </c>
      <c r="W470" s="19" t="n"/>
      <c r="X470" s="19" t="n"/>
      <c r="Y470" s="20" t="n"/>
      <c r="Z470" s="120" t="n"/>
      <c r="AB470" s="55" t="inlineStr">
        <is>
          <t>AMPLIAR</t>
        </is>
      </c>
      <c r="AC470" s="132">
        <f>DADOS_INVOC!$PY$106</f>
        <v/>
      </c>
      <c r="AD470" s="19" t="n"/>
      <c r="AE470" s="19" t="n"/>
      <c r="AF470" s="20" t="n"/>
      <c r="AG470" s="120" t="n"/>
      <c r="AH470" s="55" t="inlineStr">
        <is>
          <t>AMPLIAR</t>
        </is>
      </c>
      <c r="AI470" s="132">
        <f>DADOS_INVOC!$PY$107</f>
        <v/>
      </c>
      <c r="AJ470" s="19" t="n"/>
      <c r="AK470" s="19" t="n"/>
      <c r="AL470" s="20" t="n"/>
      <c r="AM470" s="120" t="n"/>
      <c r="AN470" s="55" t="inlineStr">
        <is>
          <t>AMPLIAR</t>
        </is>
      </c>
      <c r="AO470" s="132">
        <f>DADOS_INVOC!$PY$108</f>
        <v/>
      </c>
      <c r="AP470" s="19" t="n"/>
      <c r="AQ470" s="19" t="n"/>
      <c r="AR470" s="20" t="n"/>
      <c r="AS470" s="120" t="n"/>
    </row>
    <row r="471" hidden="1" outlineLevel="2">
      <c r="A471" s="8" t="n"/>
      <c r="B471" s="14" t="n"/>
      <c r="C471" s="120" t="n"/>
      <c r="D471" s="120" t="n"/>
      <c r="E471" s="120" t="n"/>
      <c r="F471" s="120" t="n"/>
      <c r="G471" s="120" t="n"/>
      <c r="I471" s="125" t="n"/>
      <c r="J471" s="23" t="n"/>
      <c r="K471" s="24" t="n"/>
      <c r="L471" s="24" t="n"/>
      <c r="M471" s="25" t="n"/>
      <c r="N471" s="120" t="n"/>
      <c r="O471" s="125" t="n"/>
      <c r="P471" s="23" t="n"/>
      <c r="Q471" s="24" t="n"/>
      <c r="R471" s="24" t="n"/>
      <c r="S471" s="25" t="n"/>
      <c r="T471" s="120" t="n"/>
      <c r="U471" s="125" t="n"/>
      <c r="V471" s="23" t="n"/>
      <c r="W471" s="24" t="n"/>
      <c r="X471" s="24" t="n"/>
      <c r="Y471" s="25" t="n"/>
      <c r="Z471" s="120" t="n"/>
      <c r="AB471" s="125" t="n"/>
      <c r="AC471" s="23" t="n"/>
      <c r="AD471" s="24" t="n"/>
      <c r="AE471" s="24" t="n"/>
      <c r="AF471" s="25" t="n"/>
      <c r="AG471" s="120" t="n"/>
      <c r="AH471" s="125" t="n"/>
      <c r="AI471" s="23" t="n"/>
      <c r="AJ471" s="24" t="n"/>
      <c r="AK471" s="24" t="n"/>
      <c r="AL471" s="25" t="n"/>
      <c r="AM471" s="120" t="n"/>
      <c r="AN471" s="125" t="n"/>
      <c r="AO471" s="23" t="n"/>
      <c r="AP471" s="24" t="n"/>
      <c r="AQ471" s="24" t="n"/>
      <c r="AR471" s="25" t="n"/>
      <c r="AS471" s="120" t="n"/>
    </row>
    <row r="472" hidden="1" outlineLevel="2">
      <c r="A472" s="8" t="n"/>
      <c r="B472" s="14" t="n"/>
      <c r="C472" s="120" t="n"/>
      <c r="D472" s="120" t="n"/>
      <c r="E472" s="120" t="n"/>
      <c r="F472" s="120" t="n"/>
      <c r="G472" s="120" t="n"/>
      <c r="I472" s="132">
        <f>DADOS_INVOC!$PL$28</f>
        <v/>
      </c>
      <c r="J472" s="19" t="n"/>
      <c r="K472" s="19" t="n"/>
      <c r="L472" s="19" t="n"/>
      <c r="M472" s="20" t="n"/>
      <c r="N472" s="120" t="n"/>
      <c r="O472" s="132">
        <f>DADOS_INVOC!$PL$29</f>
        <v/>
      </c>
      <c r="P472" s="19" t="n"/>
      <c r="Q472" s="19" t="n"/>
      <c r="R472" s="19" t="n"/>
      <c r="S472" s="20" t="n"/>
      <c r="T472" s="120" t="n"/>
      <c r="U472" s="132">
        <f>DADOS_INVOC!$PL$30</f>
        <v/>
      </c>
      <c r="V472" s="19" t="n"/>
      <c r="W472" s="19" t="n"/>
      <c r="X472" s="19" t="n"/>
      <c r="Y472" s="20" t="n"/>
      <c r="Z472" s="120" t="n"/>
      <c r="AB472" s="132">
        <f>DADOS_INVOC!$PL$106</f>
        <v/>
      </c>
      <c r="AC472" s="19" t="n"/>
      <c r="AD472" s="19" t="n"/>
      <c r="AE472" s="19" t="n"/>
      <c r="AF472" s="20" t="n"/>
      <c r="AG472" s="120" t="n"/>
      <c r="AH472" s="132">
        <f>DADOS_INVOC!$PL$107</f>
        <v/>
      </c>
      <c r="AI472" s="19" t="n"/>
      <c r="AJ472" s="19" t="n"/>
      <c r="AK472" s="19" t="n"/>
      <c r="AL472" s="20" t="n"/>
      <c r="AM472" s="120" t="n"/>
      <c r="AN472" s="132">
        <f>DADOS_INVOC!$PL$108</f>
        <v/>
      </c>
      <c r="AO472" s="19" t="n"/>
      <c r="AP472" s="19" t="n"/>
      <c r="AQ472" s="19" t="n"/>
      <c r="AR472" s="20" t="n"/>
      <c r="AS472" s="120" t="n"/>
    </row>
    <row r="473" hidden="1" outlineLevel="2">
      <c r="A473" s="8" t="n"/>
      <c r="B473" s="14" t="n"/>
      <c r="C473" s="120" t="n"/>
      <c r="D473" s="120" t="n"/>
      <c r="E473" s="120" t="n"/>
      <c r="F473" s="120" t="n"/>
      <c r="G473" s="120" t="n"/>
      <c r="I473" s="23" t="n"/>
      <c r="J473" s="24" t="n"/>
      <c r="K473" s="24" t="n"/>
      <c r="L473" s="24" t="n"/>
      <c r="M473" s="25" t="n"/>
      <c r="N473" s="120" t="n"/>
      <c r="O473" s="23" t="n"/>
      <c r="P473" s="24" t="n"/>
      <c r="Q473" s="24" t="n"/>
      <c r="R473" s="24" t="n"/>
      <c r="S473" s="25" t="n"/>
      <c r="T473" s="120" t="n"/>
      <c r="U473" s="23" t="n"/>
      <c r="V473" s="24" t="n"/>
      <c r="W473" s="24" t="n"/>
      <c r="X473" s="24" t="n"/>
      <c r="Y473" s="25" t="n"/>
      <c r="Z473" s="120" t="n"/>
      <c r="AB473" s="23" t="n"/>
      <c r="AC473" s="24" t="n"/>
      <c r="AD473" s="24" t="n"/>
      <c r="AE473" s="24" t="n"/>
      <c r="AF473" s="25" t="n"/>
      <c r="AG473" s="120" t="n"/>
      <c r="AH473" s="23" t="n"/>
      <c r="AI473" s="24" t="n"/>
      <c r="AJ473" s="24" t="n"/>
      <c r="AK473" s="24" t="n"/>
      <c r="AL473" s="25" t="n"/>
      <c r="AM473" s="120" t="n"/>
      <c r="AN473" s="23" t="n"/>
      <c r="AO473" s="24" t="n"/>
      <c r="AP473" s="24" t="n"/>
      <c r="AQ473" s="24" t="n"/>
      <c r="AR473" s="25" t="n"/>
      <c r="AS473" s="120" t="n"/>
    </row>
    <row r="474" hidden="1" outlineLevel="1">
      <c r="A474" s="8" t="n"/>
      <c r="B474" s="14" t="n"/>
      <c r="C474" s="120" t="n"/>
      <c r="D474" s="120" t="n"/>
      <c r="E474" s="120" t="n"/>
      <c r="F474" s="120" t="n"/>
      <c r="G474" s="120" t="n"/>
      <c r="I474" s="120" t="n"/>
      <c r="J474" s="120" t="n"/>
      <c r="K474" s="120" t="n"/>
      <c r="L474" s="120" t="n"/>
      <c r="M474" s="120" t="n"/>
      <c r="N474" s="120" t="n"/>
      <c r="O474" s="120" t="n"/>
      <c r="P474" s="120" t="n"/>
      <c r="Q474" s="120" t="n"/>
      <c r="R474" s="120" t="n"/>
      <c r="S474" s="120" t="n"/>
      <c r="T474" s="120" t="n"/>
      <c r="U474" s="120" t="n"/>
      <c r="V474" s="120" t="n"/>
      <c r="W474" s="120" t="n"/>
      <c r="X474" s="120" t="n"/>
      <c r="Y474" s="120" t="n"/>
      <c r="Z474" s="120" t="n"/>
      <c r="AB474" s="120" t="n"/>
      <c r="AC474" s="120" t="n"/>
      <c r="AD474" s="120" t="n"/>
      <c r="AE474" s="120" t="n"/>
      <c r="AF474" s="120" t="n"/>
      <c r="AG474" s="120" t="n"/>
      <c r="AH474" s="120" t="n"/>
      <c r="AI474" s="120" t="n"/>
      <c r="AJ474" s="120" t="n"/>
      <c r="AK474" s="120" t="n"/>
      <c r="AL474" s="120" t="n"/>
      <c r="AM474" s="120" t="n"/>
      <c r="AN474" s="120" t="n"/>
      <c r="AO474" s="120" t="n"/>
      <c r="AP474" s="120" t="n"/>
      <c r="AQ474" s="120" t="n"/>
      <c r="AR474" s="120" t="n"/>
      <c r="AS474" s="120" t="n"/>
    </row>
    <row r="475" hidden="1" outlineLevel="1">
      <c r="A475" s="8" t="n"/>
      <c r="B475" s="14" t="n"/>
      <c r="C475" s="120" t="n"/>
      <c r="D475" s="120" t="n"/>
      <c r="E475" s="120" t="n"/>
      <c r="F475" s="120" t="n"/>
      <c r="G475" s="120" t="n"/>
      <c r="I475" s="55">
        <f>DADOS_INVOC!$HU$4</f>
        <v/>
      </c>
      <c r="J475" s="16" t="n"/>
      <c r="K475" s="16" t="n"/>
      <c r="L475" s="16" t="n"/>
      <c r="M475" s="16" t="n"/>
      <c r="N475" s="16" t="n"/>
      <c r="O475" s="16" t="n"/>
      <c r="P475" s="16" t="n"/>
      <c r="Q475" s="16" t="n"/>
      <c r="R475" s="16" t="n"/>
      <c r="S475" s="16" t="n"/>
      <c r="T475" s="16" t="n"/>
      <c r="U475" s="16" t="n"/>
      <c r="V475" s="16" t="n"/>
      <c r="W475" s="16" t="n"/>
      <c r="X475" s="16" t="n"/>
      <c r="Y475" s="17" t="n"/>
      <c r="Z475" s="120" t="n"/>
      <c r="AB475" s="55">
        <f>DADOS_INVOC!$HU$10</f>
        <v/>
      </c>
      <c r="AC475" s="16" t="n"/>
      <c r="AD475" s="16" t="n"/>
      <c r="AE475" s="16" t="n"/>
      <c r="AF475" s="16" t="n"/>
      <c r="AG475" s="16" t="n"/>
      <c r="AH475" s="16" t="n"/>
      <c r="AI475" s="16" t="n"/>
      <c r="AJ475" s="16" t="n"/>
      <c r="AK475" s="16" t="n"/>
      <c r="AL475" s="16" t="n"/>
      <c r="AM475" s="16" t="n"/>
      <c r="AN475" s="16" t="n"/>
      <c r="AO475" s="16" t="n"/>
      <c r="AP475" s="16" t="n"/>
      <c r="AQ475" s="16" t="n"/>
      <c r="AR475" s="17" t="n"/>
      <c r="AS475" s="120" t="n"/>
    </row>
    <row r="476" hidden="1" outlineLevel="1">
      <c r="A476" s="8" t="n"/>
      <c r="B476" s="14" t="n"/>
      <c r="C476" s="120" t="n"/>
      <c r="D476" s="120" t="n"/>
      <c r="E476" s="120" t="n"/>
      <c r="F476" s="120" t="n"/>
      <c r="G476" s="120" t="n"/>
      <c r="I476" s="55" t="inlineStr">
        <is>
          <t>NV 1 · CE 1</t>
        </is>
      </c>
      <c r="J476" s="130" t="n"/>
      <c r="K476" s="16" t="n"/>
      <c r="L476" s="17" t="n"/>
      <c r="M476" s="137">
        <f>DADOS_INVOC!$ID$4</f>
        <v/>
      </c>
      <c r="N476" s="16" t="n"/>
      <c r="O476" s="16" t="n"/>
      <c r="P476" s="16" t="n"/>
      <c r="Q476" s="16" t="n"/>
      <c r="R476" s="16" t="n"/>
      <c r="S476" s="16" t="n"/>
      <c r="T476" s="16" t="n"/>
      <c r="U476" s="16" t="n"/>
      <c r="V476" s="16" t="n"/>
      <c r="W476" s="16" t="n"/>
      <c r="X476" s="16" t="n"/>
      <c r="Y476" s="17" t="n"/>
      <c r="Z476" s="120" t="n"/>
      <c r="AB476" s="55" t="inlineStr">
        <is>
          <t>NV 1 · CE 1</t>
        </is>
      </c>
      <c r="AC476" s="130" t="n"/>
      <c r="AD476" s="16" t="n"/>
      <c r="AE476" s="17" t="n"/>
      <c r="AF476" s="137">
        <f>DADOS_INVOC!$ID$10</f>
        <v/>
      </c>
      <c r="AG476" s="16" t="n"/>
      <c r="AH476" s="16" t="n"/>
      <c r="AI476" s="16" t="n"/>
      <c r="AJ476" s="16" t="n"/>
      <c r="AK476" s="16" t="n"/>
      <c r="AL476" s="16" t="n"/>
      <c r="AM476" s="16" t="n"/>
      <c r="AN476" s="16" t="n"/>
      <c r="AO476" s="16" t="n"/>
      <c r="AP476" s="16" t="n"/>
      <c r="AQ476" s="16" t="n"/>
      <c r="AR476" s="17" t="n"/>
      <c r="AS476" s="120" t="n"/>
    </row>
    <row r="477" hidden="1" outlineLevel="1">
      <c r="A477" s="8" t="n"/>
      <c r="B477" s="14" t="n"/>
      <c r="C477" s="120" t="n"/>
      <c r="D477" s="120" t="n"/>
      <c r="E477" s="120" t="n"/>
      <c r="F477" s="120" t="n"/>
      <c r="G477" s="120" t="n"/>
      <c r="I477" s="55" t="inlineStr">
        <is>
          <t>NV 6 · CE 1</t>
        </is>
      </c>
      <c r="J477" s="130" t="n"/>
      <c r="K477" s="16" t="n"/>
      <c r="L477" s="17" t="n"/>
      <c r="M477" s="137">
        <f>DADOS_INVOC!$IE$4</f>
        <v/>
      </c>
      <c r="N477" s="16" t="n"/>
      <c r="O477" s="16" t="n"/>
      <c r="P477" s="16" t="n"/>
      <c r="Q477" s="16" t="n"/>
      <c r="R477" s="16" t="n"/>
      <c r="S477" s="16" t="n"/>
      <c r="T477" s="16" t="n"/>
      <c r="U477" s="16" t="n"/>
      <c r="V477" s="16" t="n"/>
      <c r="W477" s="16" t="n"/>
      <c r="X477" s="16" t="n"/>
      <c r="Y477" s="17" t="n"/>
      <c r="Z477" s="120" t="n"/>
      <c r="AB477" s="55" t="inlineStr">
        <is>
          <t>NV 6 · CE 1</t>
        </is>
      </c>
      <c r="AC477" s="130" t="n"/>
      <c r="AD477" s="16" t="n"/>
      <c r="AE477" s="17" t="n"/>
      <c r="AF477" s="137">
        <f>DADOS_INVOC!$IE$10</f>
        <v/>
      </c>
      <c r="AG477" s="16" t="n"/>
      <c r="AH477" s="16" t="n"/>
      <c r="AI477" s="16" t="n"/>
      <c r="AJ477" s="16" t="n"/>
      <c r="AK477" s="16" t="n"/>
      <c r="AL477" s="16" t="n"/>
      <c r="AM477" s="16" t="n"/>
      <c r="AN477" s="16" t="n"/>
      <c r="AO477" s="16" t="n"/>
      <c r="AP477" s="16" t="n"/>
      <c r="AQ477" s="16" t="n"/>
      <c r="AR477" s="17" t="n"/>
      <c r="AS477" s="120" t="n"/>
    </row>
    <row r="478" hidden="1" outlineLevel="1">
      <c r="A478" s="8" t="n"/>
      <c r="B478" s="14" t="n"/>
      <c r="C478" s="120" t="n"/>
      <c r="D478" s="120" t="n"/>
      <c r="E478" s="120" t="n"/>
      <c r="F478" s="120" t="n"/>
      <c r="G478" s="120" t="n"/>
      <c r="I478" s="55" t="inlineStr">
        <is>
          <t>NV 10 · CE 2</t>
        </is>
      </c>
      <c r="J478" s="130" t="n"/>
      <c r="K478" s="16" t="n"/>
      <c r="L478" s="17" t="n"/>
      <c r="M478" s="137">
        <f>DADOS_INVOC!$IF$4</f>
        <v/>
      </c>
      <c r="N478" s="16" t="n"/>
      <c r="O478" s="16" t="n"/>
      <c r="P478" s="16" t="n"/>
      <c r="Q478" s="16" t="n"/>
      <c r="R478" s="16" t="n"/>
      <c r="S478" s="16" t="n"/>
      <c r="T478" s="16" t="n"/>
      <c r="U478" s="16" t="n"/>
      <c r="V478" s="16" t="n"/>
      <c r="W478" s="16" t="n"/>
      <c r="X478" s="16" t="n"/>
      <c r="Y478" s="17" t="n"/>
      <c r="Z478" s="120" t="n"/>
      <c r="AB478" s="55" t="inlineStr">
        <is>
          <t>NV 10 · CE 2</t>
        </is>
      </c>
      <c r="AC478" s="130" t="n"/>
      <c r="AD478" s="16" t="n"/>
      <c r="AE478" s="17" t="n"/>
      <c r="AF478" s="137">
        <f>DADOS_INVOC!$IF$10</f>
        <v/>
      </c>
      <c r="AG478" s="16" t="n"/>
      <c r="AH478" s="16" t="n"/>
      <c r="AI478" s="16" t="n"/>
      <c r="AJ478" s="16" t="n"/>
      <c r="AK478" s="16" t="n"/>
      <c r="AL478" s="16" t="n"/>
      <c r="AM478" s="16" t="n"/>
      <c r="AN478" s="16" t="n"/>
      <c r="AO478" s="16" t="n"/>
      <c r="AP478" s="16" t="n"/>
      <c r="AQ478" s="16" t="n"/>
      <c r="AR478" s="17" t="n"/>
      <c r="AS478" s="120" t="n"/>
    </row>
    <row r="479" hidden="1" outlineLevel="1">
      <c r="A479" s="8" t="n"/>
      <c r="B479" s="14" t="n"/>
      <c r="C479" s="120" t="n"/>
      <c r="D479" s="120" t="n"/>
      <c r="E479" s="120" t="n"/>
      <c r="F479" s="120" t="n"/>
      <c r="G479" s="120" t="n"/>
      <c r="I479" s="55" t="inlineStr">
        <is>
          <t>NV 14 · CE 3</t>
        </is>
      </c>
      <c r="J479" s="130" t="n"/>
      <c r="K479" s="16" t="n"/>
      <c r="L479" s="17" t="n"/>
      <c r="M479" s="137">
        <f>DADOS_INVOC!$IG$4</f>
        <v/>
      </c>
      <c r="N479" s="16" t="n"/>
      <c r="O479" s="16" t="n"/>
      <c r="P479" s="16" t="n"/>
      <c r="Q479" s="16" t="n"/>
      <c r="R479" s="16" t="n"/>
      <c r="S479" s="16" t="n"/>
      <c r="T479" s="16" t="n"/>
      <c r="U479" s="16" t="n"/>
      <c r="V479" s="16" t="n"/>
      <c r="W479" s="16" t="n"/>
      <c r="X479" s="16" t="n"/>
      <c r="Y479" s="17" t="n"/>
      <c r="Z479" s="120" t="n"/>
      <c r="AB479" s="55" t="inlineStr">
        <is>
          <t>NV 14 · CE 3</t>
        </is>
      </c>
      <c r="AC479" s="130" t="n"/>
      <c r="AD479" s="16" t="n"/>
      <c r="AE479" s="17" t="n"/>
      <c r="AF479" s="137">
        <f>DADOS_INVOC!$IG$10</f>
        <v/>
      </c>
      <c r="AG479" s="16" t="n"/>
      <c r="AH479" s="16" t="n"/>
      <c r="AI479" s="16" t="n"/>
      <c r="AJ479" s="16" t="n"/>
      <c r="AK479" s="16" t="n"/>
      <c r="AL479" s="16" t="n"/>
      <c r="AM479" s="16" t="n"/>
      <c r="AN479" s="16" t="n"/>
      <c r="AO479" s="16" t="n"/>
      <c r="AP479" s="16" t="n"/>
      <c r="AQ479" s="16" t="n"/>
      <c r="AR479" s="17" t="n"/>
      <c r="AS479" s="120" t="n"/>
    </row>
    <row r="480" hidden="1" outlineLevel="1">
      <c r="A480" s="8" t="n"/>
      <c r="B480" s="14" t="n"/>
      <c r="C480" s="120" t="n"/>
      <c r="D480" s="120" t="n"/>
      <c r="E480" s="120" t="n"/>
      <c r="F480" s="120" t="n"/>
      <c r="G480" s="120" t="n"/>
      <c r="I480" s="55" t="inlineStr">
        <is>
          <t>NV 18 · CE 3</t>
        </is>
      </c>
      <c r="J480" s="130" t="n"/>
      <c r="K480" s="16" t="n"/>
      <c r="L480" s="17" t="n"/>
      <c r="M480" s="137">
        <f>DADOS_INVOC!$IH$4</f>
        <v/>
      </c>
      <c r="N480" s="16" t="n"/>
      <c r="O480" s="16" t="n"/>
      <c r="P480" s="16" t="n"/>
      <c r="Q480" s="16" t="n"/>
      <c r="R480" s="16" t="n"/>
      <c r="S480" s="16" t="n"/>
      <c r="T480" s="16" t="n"/>
      <c r="U480" s="16" t="n"/>
      <c r="V480" s="16" t="n"/>
      <c r="W480" s="16" t="n"/>
      <c r="X480" s="16" t="n"/>
      <c r="Y480" s="17" t="n"/>
      <c r="Z480" s="120" t="n"/>
      <c r="AB480" s="55" t="inlineStr">
        <is>
          <t>NV 18 · CE 3</t>
        </is>
      </c>
      <c r="AC480" s="130" t="n"/>
      <c r="AD480" s="16" t="n"/>
      <c r="AE480" s="17" t="n"/>
      <c r="AF480" s="137">
        <f>DADOS_INVOC!$IH$10</f>
        <v/>
      </c>
      <c r="AG480" s="16" t="n"/>
      <c r="AH480" s="16" t="n"/>
      <c r="AI480" s="16" t="n"/>
      <c r="AJ480" s="16" t="n"/>
      <c r="AK480" s="16" t="n"/>
      <c r="AL480" s="16" t="n"/>
      <c r="AM480" s="16" t="n"/>
      <c r="AN480" s="16" t="n"/>
      <c r="AO480" s="16" t="n"/>
      <c r="AP480" s="16" t="n"/>
      <c r="AQ480" s="16" t="n"/>
      <c r="AR480" s="17" t="n"/>
      <c r="AS480" s="120" t="n"/>
    </row>
    <row r="481" hidden="1" outlineLevel="1">
      <c r="A481" s="8" t="n"/>
      <c r="B481" s="14" t="n"/>
      <c r="C481" s="120" t="n"/>
      <c r="D481" s="120" t="n"/>
      <c r="E481" s="120" t="n"/>
      <c r="F481" s="120" t="n"/>
      <c r="G481" s="120" t="n"/>
      <c r="I481" s="55" t="inlineStr">
        <is>
          <t>NV 22 · CE 3</t>
        </is>
      </c>
      <c r="J481" s="130" t="n"/>
      <c r="K481" s="16" t="n"/>
      <c r="L481" s="17" t="n"/>
      <c r="M481" s="137">
        <f>DADOS_INVOC!$II$4</f>
        <v/>
      </c>
      <c r="N481" s="16" t="n"/>
      <c r="O481" s="16" t="n"/>
      <c r="P481" s="16" t="n"/>
      <c r="Q481" s="16" t="n"/>
      <c r="R481" s="16" t="n"/>
      <c r="S481" s="16" t="n"/>
      <c r="T481" s="16" t="n"/>
      <c r="U481" s="16" t="n"/>
      <c r="V481" s="16" t="n"/>
      <c r="W481" s="16" t="n"/>
      <c r="X481" s="16" t="n"/>
      <c r="Y481" s="17" t="n"/>
      <c r="Z481" s="120" t="n"/>
      <c r="AB481" s="55" t="inlineStr">
        <is>
          <t>NV 22 · CE 3</t>
        </is>
      </c>
      <c r="AC481" s="130" t="n"/>
      <c r="AD481" s="16" t="n"/>
      <c r="AE481" s="17" t="n"/>
      <c r="AF481" s="137">
        <f>DADOS_INVOC!$II$10</f>
        <v/>
      </c>
      <c r="AG481" s="16" t="n"/>
      <c r="AH481" s="16" t="n"/>
      <c r="AI481" s="16" t="n"/>
      <c r="AJ481" s="16" t="n"/>
      <c r="AK481" s="16" t="n"/>
      <c r="AL481" s="16" t="n"/>
      <c r="AM481" s="16" t="n"/>
      <c r="AN481" s="16" t="n"/>
      <c r="AO481" s="16" t="n"/>
      <c r="AP481" s="16" t="n"/>
      <c r="AQ481" s="16" t="n"/>
      <c r="AR481" s="17" t="n"/>
      <c r="AS481" s="120" t="n"/>
    </row>
    <row r="482" hidden="1" outlineLevel="1">
      <c r="A482" s="8" t="n"/>
      <c r="B482" s="14" t="n"/>
      <c r="C482" s="120" t="n"/>
      <c r="D482" s="120" t="n"/>
      <c r="E482" s="120" t="n"/>
      <c r="F482" s="120" t="n"/>
      <c r="G482" s="120" t="n"/>
      <c r="I482" s="55" t="inlineStr">
        <is>
          <t>NV 26 · CE 3</t>
        </is>
      </c>
      <c r="J482" s="130" t="n"/>
      <c r="K482" s="16" t="n"/>
      <c r="L482" s="17" t="n"/>
      <c r="M482" s="137">
        <f>DADOS_INVOC!$IJ$4</f>
        <v/>
      </c>
      <c r="N482" s="16" t="n"/>
      <c r="O482" s="16" t="n"/>
      <c r="P482" s="16" t="n"/>
      <c r="Q482" s="16" t="n"/>
      <c r="R482" s="16" t="n"/>
      <c r="S482" s="16" t="n"/>
      <c r="T482" s="16" t="n"/>
      <c r="U482" s="16" t="n"/>
      <c r="V482" s="16" t="n"/>
      <c r="W482" s="16" t="n"/>
      <c r="X482" s="16" t="n"/>
      <c r="Y482" s="17" t="n"/>
      <c r="Z482" s="120" t="n"/>
      <c r="AB482" s="55" t="inlineStr">
        <is>
          <t>NV 26 · CE 3</t>
        </is>
      </c>
      <c r="AC482" s="130" t="n"/>
      <c r="AD482" s="16" t="n"/>
      <c r="AE482" s="17" t="n"/>
      <c r="AF482" s="137">
        <f>DADOS_INVOC!$IJ$10</f>
        <v/>
      </c>
      <c r="AG482" s="16" t="n"/>
      <c r="AH482" s="16" t="n"/>
      <c r="AI482" s="16" t="n"/>
      <c r="AJ482" s="16" t="n"/>
      <c r="AK482" s="16" t="n"/>
      <c r="AL482" s="16" t="n"/>
      <c r="AM482" s="16" t="n"/>
      <c r="AN482" s="16" t="n"/>
      <c r="AO482" s="16" t="n"/>
      <c r="AP482" s="16" t="n"/>
      <c r="AQ482" s="16" t="n"/>
      <c r="AR482" s="17" t="n"/>
      <c r="AS482" s="120" t="n"/>
    </row>
    <row r="483" hidden="1" outlineLevel="1">
      <c r="A483" s="8" t="n"/>
      <c r="B483" s="14" t="n"/>
      <c r="C483" s="120" t="n"/>
      <c r="D483" s="120" t="n"/>
      <c r="E483" s="120" t="n"/>
      <c r="F483" s="120" t="n"/>
      <c r="G483" s="120" t="n"/>
      <c r="I483" s="55" t="inlineStr">
        <is>
          <t>NV 30 · CE 3</t>
        </is>
      </c>
      <c r="J483" s="130" t="n"/>
      <c r="K483" s="16" t="n"/>
      <c r="L483" s="17" t="n"/>
      <c r="M483" s="137">
        <f>DADOS_INVOC!$IK$4</f>
        <v/>
      </c>
      <c r="N483" s="16" t="n"/>
      <c r="O483" s="16" t="n"/>
      <c r="P483" s="16" t="n"/>
      <c r="Q483" s="16" t="n"/>
      <c r="R483" s="16" t="n"/>
      <c r="S483" s="16" t="n"/>
      <c r="T483" s="16" t="n"/>
      <c r="U483" s="16" t="n"/>
      <c r="V483" s="16" t="n"/>
      <c r="W483" s="16" t="n"/>
      <c r="X483" s="16" t="n"/>
      <c r="Y483" s="17" t="n"/>
      <c r="Z483" s="120" t="n"/>
      <c r="AB483" s="55" t="inlineStr">
        <is>
          <t>NV 30 · CE 3</t>
        </is>
      </c>
      <c r="AC483" s="130" t="n"/>
      <c r="AD483" s="16" t="n"/>
      <c r="AE483" s="17" t="n"/>
      <c r="AF483" s="137">
        <f>DADOS_INVOC!$IK$10</f>
        <v/>
      </c>
      <c r="AG483" s="16" t="n"/>
      <c r="AH483" s="16" t="n"/>
      <c r="AI483" s="16" t="n"/>
      <c r="AJ483" s="16" t="n"/>
      <c r="AK483" s="16" t="n"/>
      <c r="AL483" s="16" t="n"/>
      <c r="AM483" s="16" t="n"/>
      <c r="AN483" s="16" t="n"/>
      <c r="AO483" s="16" t="n"/>
      <c r="AP483" s="16" t="n"/>
      <c r="AQ483" s="16" t="n"/>
      <c r="AR483" s="17" t="n"/>
      <c r="AS483" s="120" t="n"/>
    </row>
    <row r="484" hidden="1" outlineLevel="1">
      <c r="A484" s="8" t="n"/>
      <c r="B484" s="14" t="n"/>
      <c r="C484" s="120" t="n"/>
      <c r="D484" s="120" t="n"/>
      <c r="E484" s="120" t="n"/>
      <c r="F484" s="120" t="n"/>
      <c r="G484" s="120" t="n"/>
      <c r="I484" s="120" t="n"/>
      <c r="J484" s="120" t="n"/>
      <c r="K484" s="120" t="n"/>
      <c r="L484" s="120" t="n"/>
      <c r="M484" s="120" t="n"/>
      <c r="N484" s="120" t="n"/>
      <c r="O484" s="120" t="n"/>
      <c r="P484" s="120" t="n"/>
      <c r="Q484" s="120" t="n"/>
      <c r="R484" s="120" t="n"/>
      <c r="S484" s="120" t="n"/>
      <c r="T484" s="120" t="n"/>
      <c r="U484" s="120" t="n"/>
      <c r="V484" s="120" t="n"/>
      <c r="W484" s="120" t="n"/>
      <c r="X484" s="120" t="n"/>
      <c r="Y484" s="120" t="n"/>
      <c r="Z484" s="120" t="n"/>
      <c r="AB484" s="120" t="n"/>
      <c r="AC484" s="120" t="n"/>
      <c r="AD484" s="120" t="n"/>
      <c r="AE484" s="120" t="n"/>
      <c r="AF484" s="120" t="n"/>
      <c r="AG484" s="120" t="n"/>
      <c r="AH484" s="120" t="n"/>
      <c r="AI484" s="120" t="n"/>
      <c r="AJ484" s="120" t="n"/>
      <c r="AK484" s="120" t="n"/>
      <c r="AL484" s="120" t="n"/>
      <c r="AM484" s="120" t="n"/>
      <c r="AN484" s="120" t="n"/>
      <c r="AO484" s="120" t="n"/>
      <c r="AP484" s="120" t="n"/>
      <c r="AQ484" s="120" t="n"/>
      <c r="AR484" s="120" t="n"/>
      <c r="AS484" s="120" t="n"/>
    </row>
    <row r="485" hidden="1" outlineLevel="1">
      <c r="A485" s="8" t="n"/>
      <c r="B485" s="14" t="n"/>
      <c r="C485" s="120" t="n"/>
      <c r="D485" s="120" t="n"/>
      <c r="E485" s="120" t="n"/>
      <c r="F485" s="120" t="n"/>
      <c r="G485" s="120" t="n"/>
      <c r="I485" s="13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0" t="n"/>
      <c r="AB485" s="13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0" t="n"/>
    </row>
    <row r="486" hidden="1" outlineLevel="2">
      <c r="A486" s="8" t="n"/>
      <c r="B486" s="14" t="n"/>
      <c r="C486" s="120" t="n"/>
      <c r="D486" s="120" t="n"/>
      <c r="E486" s="120" t="n"/>
      <c r="F486" s="120" t="n"/>
      <c r="G486" s="120" t="n"/>
      <c r="I486" s="120" t="n"/>
      <c r="J486" s="120" t="n"/>
      <c r="K486" s="120" t="n"/>
      <c r="L486" s="120" t="n"/>
      <c r="M486" s="120" t="n"/>
      <c r="N486" s="120" t="n"/>
      <c r="O486" s="120" t="n"/>
      <c r="P486" s="120" t="n"/>
      <c r="Q486" s="120" t="n"/>
      <c r="R486" s="120" t="n"/>
      <c r="S486" s="120" t="n"/>
      <c r="T486" s="120" t="n"/>
      <c r="U486" s="120" t="n"/>
      <c r="V486" s="120" t="n"/>
      <c r="W486" s="120" t="n"/>
      <c r="X486" s="120" t="n"/>
      <c r="Y486" s="120" t="n"/>
      <c r="Z486" s="120" t="n"/>
      <c r="AB486" s="120" t="n"/>
      <c r="AC486" s="120" t="n"/>
      <c r="AD486" s="120" t="n"/>
      <c r="AE486" s="120" t="n"/>
      <c r="AF486" s="120" t="n"/>
      <c r="AG486" s="120" t="n"/>
      <c r="AH486" s="120" t="n"/>
      <c r="AI486" s="120" t="n"/>
      <c r="AJ486" s="120" t="n"/>
      <c r="AK486" s="120" t="n"/>
      <c r="AL486" s="120" t="n"/>
      <c r="AM486" s="120" t="n"/>
      <c r="AN486" s="120" t="n"/>
      <c r="AO486" s="120" t="n"/>
      <c r="AP486" s="120" t="n"/>
      <c r="AQ486" s="120" t="n"/>
      <c r="AR486" s="120" t="n"/>
      <c r="AS486" s="120" t="n"/>
    </row>
    <row r="487" hidden="1" outlineLevel="2">
      <c r="A487" s="8" t="n"/>
      <c r="B487" s="14" t="n"/>
      <c r="C487" s="120" t="n"/>
      <c r="D487" s="120" t="n"/>
      <c r="E487" s="120" t="n"/>
      <c r="F487" s="120" t="n"/>
      <c r="G487" s="120" t="n"/>
      <c r="I487" s="55">
        <f>DADOS_INVOC!$PM$31</f>
        <v/>
      </c>
      <c r="J487" s="16" t="n"/>
      <c r="K487" s="16" t="n"/>
      <c r="L487" s="16" t="n"/>
      <c r="M487" s="17" t="n"/>
      <c r="N487" s="120" t="n"/>
      <c r="O487" s="55">
        <f>DADOS_INVOC!$PM$32</f>
        <v/>
      </c>
      <c r="P487" s="16" t="n"/>
      <c r="Q487" s="16" t="n"/>
      <c r="R487" s="16" t="n"/>
      <c r="S487" s="17" t="n"/>
      <c r="T487" s="120" t="n"/>
      <c r="U487" s="55">
        <f>DADOS_INVOC!$PM$33</f>
        <v/>
      </c>
      <c r="V487" s="16" t="n"/>
      <c r="W487" s="16" t="n"/>
      <c r="X487" s="16" t="n"/>
      <c r="Y487" s="17" t="n"/>
      <c r="Z487" s="120" t="n"/>
      <c r="AB487" s="55">
        <f>DADOS_INVOC!$PM$109</f>
        <v/>
      </c>
      <c r="AC487" s="16" t="n"/>
      <c r="AD487" s="16" t="n"/>
      <c r="AE487" s="16" t="n"/>
      <c r="AF487" s="17" t="n"/>
      <c r="AG487" s="120" t="n"/>
      <c r="AH487" s="55">
        <f>DADOS_INVOC!$PM$110</f>
        <v/>
      </c>
      <c r="AI487" s="16" t="n"/>
      <c r="AJ487" s="16" t="n"/>
      <c r="AK487" s="16" t="n"/>
      <c r="AL487" s="17" t="n"/>
      <c r="AM487" s="120" t="n"/>
      <c r="AN487" s="55">
        <f>DADOS_INVOC!$PM$111</f>
        <v/>
      </c>
      <c r="AO487" s="16" t="n"/>
      <c r="AP487" s="16" t="n"/>
      <c r="AQ487" s="16" t="n"/>
      <c r="AR487" s="17" t="n"/>
      <c r="AS487" s="120" t="n"/>
    </row>
    <row r="488" hidden="1" outlineLevel="2">
      <c r="A488" s="8" t="n"/>
      <c r="B488" s="14" t="n"/>
      <c r="C488" s="120" t="n"/>
      <c r="D488" s="120" t="n"/>
      <c r="E488" s="120" t="n"/>
      <c r="F488" s="120" t="n"/>
      <c r="G488" s="120" t="n"/>
      <c r="I488" s="127" t="n">
        <v>0</v>
      </c>
      <c r="J488" s="115" t="n"/>
      <c r="K488" s="16" t="n"/>
      <c r="L488" s="17" t="n"/>
      <c r="M488" s="128">
        <f>DADOS_INVOC!$PK$31</f>
        <v/>
      </c>
      <c r="N488" s="120" t="n"/>
      <c r="O488" s="127" t="n">
        <v>1</v>
      </c>
      <c r="P488" s="115" t="n"/>
      <c r="Q488" s="16" t="n"/>
      <c r="R488" s="17" t="n"/>
      <c r="S488" s="128">
        <f>DADOS_INVOC!$PK$32</f>
        <v/>
      </c>
      <c r="T488" s="120" t="n"/>
      <c r="U488" s="127" t="n">
        <v>1</v>
      </c>
      <c r="V488" s="115" t="n"/>
      <c r="W488" s="16" t="n"/>
      <c r="X488" s="17" t="n"/>
      <c r="Y488" s="128">
        <f>DADOS_INVOC!$PK$33</f>
        <v/>
      </c>
      <c r="Z488" s="120" t="n"/>
      <c r="AB488" s="127" t="n">
        <v>0</v>
      </c>
      <c r="AC488" s="115" t="n"/>
      <c r="AD488" s="16" t="n"/>
      <c r="AE488" s="17" t="n"/>
      <c r="AF488" s="128">
        <f>DADOS_INVOC!$PK$109</f>
        <v/>
      </c>
      <c r="AG488" s="120" t="n"/>
      <c r="AH488" s="127" t="n">
        <v>1</v>
      </c>
      <c r="AI488" s="115" t="n"/>
      <c r="AJ488" s="16" t="n"/>
      <c r="AK488" s="17" t="n"/>
      <c r="AL488" s="128">
        <f>DADOS_INVOC!$PK$110</f>
        <v/>
      </c>
      <c r="AM488" s="120" t="n"/>
      <c r="AN488" s="127" t="n">
        <v>1</v>
      </c>
      <c r="AO488" s="115" t="n"/>
      <c r="AP488" s="16" t="n"/>
      <c r="AQ488" s="17" t="n"/>
      <c r="AR488" s="128">
        <f>DADOS_INVOC!$PK$111</f>
        <v/>
      </c>
      <c r="AS488" s="120" t="n"/>
    </row>
    <row r="489" hidden="1" outlineLevel="3">
      <c r="A489" s="8" t="n"/>
      <c r="B489" s="14" t="n"/>
      <c r="C489" s="120" t="n"/>
      <c r="D489" s="120" t="n"/>
      <c r="E489" s="120" t="n"/>
      <c r="F489" s="120" t="n"/>
      <c r="G489" s="120" t="n"/>
      <c r="I489" s="55" t="inlineStr">
        <is>
          <t>COMO É</t>
        </is>
      </c>
      <c r="J489" s="16" t="n"/>
      <c r="K489" s="16" t="n"/>
      <c r="L489" s="16" t="n"/>
      <c r="M489" s="17" t="n"/>
      <c r="N489" s="120" t="n"/>
      <c r="O489" s="55" t="inlineStr">
        <is>
          <t>COMO É</t>
        </is>
      </c>
      <c r="P489" s="16" t="n"/>
      <c r="Q489" s="16" t="n"/>
      <c r="R489" s="16" t="n"/>
      <c r="S489" s="17" t="n"/>
      <c r="T489" s="120" t="n"/>
      <c r="U489" s="55" t="inlineStr">
        <is>
          <t>COMO É</t>
        </is>
      </c>
      <c r="V489" s="16" t="n"/>
      <c r="W489" s="16" t="n"/>
      <c r="X489" s="16" t="n"/>
      <c r="Y489" s="17" t="n"/>
      <c r="Z489" s="120" t="n"/>
      <c r="AB489" s="55" t="inlineStr">
        <is>
          <t>COMO É</t>
        </is>
      </c>
      <c r="AC489" s="16" t="n"/>
      <c r="AD489" s="16" t="n"/>
      <c r="AE489" s="16" t="n"/>
      <c r="AF489" s="17" t="n"/>
      <c r="AG489" s="120" t="n"/>
      <c r="AH489" s="55" t="inlineStr">
        <is>
          <t>COMO É</t>
        </is>
      </c>
      <c r="AI489" s="16" t="n"/>
      <c r="AJ489" s="16" t="n"/>
      <c r="AK489" s="16" t="n"/>
      <c r="AL489" s="17" t="n"/>
      <c r="AM489" s="120" t="n"/>
      <c r="AN489" s="55" t="inlineStr">
        <is>
          <t>COMO É</t>
        </is>
      </c>
      <c r="AO489" s="16" t="n"/>
      <c r="AP489" s="16" t="n"/>
      <c r="AQ489" s="16" t="n"/>
      <c r="AR489" s="17" t="n"/>
      <c r="AS489" s="120" t="n"/>
    </row>
    <row r="490" hidden="1" outlineLevel="3">
      <c r="A490" s="8" t="n"/>
      <c r="B490" s="14" t="n"/>
      <c r="C490" s="120" t="n"/>
      <c r="D490" s="120" t="n"/>
      <c r="E490" s="120" t="n"/>
      <c r="F490" s="120" t="n"/>
      <c r="G490" s="120" t="n"/>
      <c r="I490" s="116" t="n"/>
      <c r="J490" s="19" t="n"/>
      <c r="K490" s="19" t="n"/>
      <c r="L490" s="19" t="n"/>
      <c r="M490" s="20" t="n"/>
      <c r="N490" s="120" t="n"/>
      <c r="O490" s="116" t="n"/>
      <c r="P490" s="19" t="n"/>
      <c r="Q490" s="19" t="n"/>
      <c r="R490" s="19" t="n"/>
      <c r="S490" s="20" t="n"/>
      <c r="T490" s="120" t="n"/>
      <c r="U490" s="116" t="n"/>
      <c r="V490" s="19" t="n"/>
      <c r="W490" s="19" t="n"/>
      <c r="X490" s="19" t="n"/>
      <c r="Y490" s="20" t="n"/>
      <c r="Z490" s="120" t="n"/>
      <c r="AB490" s="116" t="n"/>
      <c r="AC490" s="19" t="n"/>
      <c r="AD490" s="19" t="n"/>
      <c r="AE490" s="19" t="n"/>
      <c r="AF490" s="20" t="n"/>
      <c r="AG490" s="120" t="n"/>
      <c r="AH490" s="116" t="n"/>
      <c r="AI490" s="19" t="n"/>
      <c r="AJ490" s="19" t="n"/>
      <c r="AK490" s="19" t="n"/>
      <c r="AL490" s="20" t="n"/>
      <c r="AM490" s="120" t="n"/>
      <c r="AN490" s="116" t="n"/>
      <c r="AO490" s="19" t="n"/>
      <c r="AP490" s="19" t="n"/>
      <c r="AQ490" s="19" t="n"/>
      <c r="AR490" s="20" t="n"/>
      <c r="AS490" s="120" t="n"/>
    </row>
    <row r="491" hidden="1" outlineLevel="3">
      <c r="A491" s="8" t="n"/>
      <c r="B491" s="14" t="n"/>
      <c r="C491" s="120" t="n"/>
      <c r="D491" s="120" t="n"/>
      <c r="E491" s="120" t="n"/>
      <c r="F491" s="120" t="n"/>
      <c r="G491" s="120" t="n"/>
      <c r="I491" s="21" t="n"/>
      <c r="M491" s="22" t="n"/>
      <c r="N491" s="120" t="n"/>
      <c r="O491" s="21" t="n"/>
      <c r="S491" s="22" t="n"/>
      <c r="T491" s="120" t="n"/>
      <c r="U491" s="21" t="n"/>
      <c r="Y491" s="22" t="n"/>
      <c r="Z491" s="120" t="n"/>
      <c r="AB491" s="21" t="n"/>
      <c r="AF491" s="22" t="n"/>
      <c r="AG491" s="120" t="n"/>
      <c r="AH491" s="21" t="n"/>
      <c r="AL491" s="22" t="n"/>
      <c r="AM491" s="120" t="n"/>
      <c r="AN491" s="21" t="n"/>
      <c r="AR491" s="22" t="n"/>
      <c r="AS491" s="120" t="n"/>
    </row>
    <row r="492" hidden="1" outlineLevel="3">
      <c r="A492" s="8" t="n"/>
      <c r="B492" s="14" t="n"/>
      <c r="C492" s="120" t="n"/>
      <c r="D492" s="120" t="n"/>
      <c r="E492" s="120" t="n"/>
      <c r="F492" s="120" t="n"/>
      <c r="G492" s="120" t="n"/>
      <c r="I492" s="23" t="n"/>
      <c r="J492" s="24" t="n"/>
      <c r="K492" s="24" t="n"/>
      <c r="L492" s="24" t="n"/>
      <c r="M492" s="25" t="n"/>
      <c r="N492" s="120" t="n"/>
      <c r="O492" s="23" t="n"/>
      <c r="P492" s="24" t="n"/>
      <c r="Q492" s="24" t="n"/>
      <c r="R492" s="24" t="n"/>
      <c r="S492" s="25" t="n"/>
      <c r="T492" s="120" t="n"/>
      <c r="U492" s="23" t="n"/>
      <c r="V492" s="24" t="n"/>
      <c r="W492" s="24" t="n"/>
      <c r="X492" s="24" t="n"/>
      <c r="Y492" s="25" t="n"/>
      <c r="Z492" s="120" t="n"/>
      <c r="AB492" s="23" t="n"/>
      <c r="AC492" s="24" t="n"/>
      <c r="AD492" s="24" t="n"/>
      <c r="AE492" s="24" t="n"/>
      <c r="AF492" s="25" t="n"/>
      <c r="AG492" s="120" t="n"/>
      <c r="AH492" s="23" t="n"/>
      <c r="AI492" s="24" t="n"/>
      <c r="AJ492" s="24" t="n"/>
      <c r="AK492" s="24" t="n"/>
      <c r="AL492" s="25" t="n"/>
      <c r="AM492" s="120" t="n"/>
      <c r="AN492" s="23" t="n"/>
      <c r="AO492" s="24" t="n"/>
      <c r="AP492" s="24" t="n"/>
      <c r="AQ492" s="24" t="n"/>
      <c r="AR492" s="25" t="n"/>
      <c r="AS492" s="120" t="n"/>
    </row>
    <row r="493" hidden="1" outlineLevel="2">
      <c r="A493" s="8" t="n"/>
      <c r="B493" s="14" t="n"/>
      <c r="C493" s="120" t="n"/>
      <c r="D493" s="120" t="n"/>
      <c r="E493" s="120" t="n"/>
      <c r="F493" s="120" t="n"/>
      <c r="G493" s="120" t="n"/>
      <c r="I493" s="124" t="inlineStr">
        <is>
          <t>Projétil</t>
        </is>
      </c>
      <c r="J493" s="17" t="n"/>
      <c r="K493" s="68">
        <f>DADOS_INVOC!$PR$31</f>
        <v/>
      </c>
      <c r="L493" s="17" t="n"/>
      <c r="M493" s="68">
        <f>DADOS_INVOC!$PN$31</f>
        <v/>
      </c>
      <c r="N493" s="120" t="n"/>
      <c r="O493" s="124" t="inlineStr">
        <is>
          <t>Projétil</t>
        </is>
      </c>
      <c r="P493" s="17" t="n"/>
      <c r="Q493" s="68">
        <f>DADOS_INVOC!$PR$32</f>
        <v/>
      </c>
      <c r="R493" s="17" t="n"/>
      <c r="S493" s="68">
        <f>DADOS_INVOC!$PN$32</f>
        <v/>
      </c>
      <c r="T493" s="120" t="n"/>
      <c r="U493" s="124" t="inlineStr">
        <is>
          <t>Projétil</t>
        </is>
      </c>
      <c r="V493" s="17" t="n"/>
      <c r="W493" s="68">
        <f>DADOS_INVOC!$PR$33</f>
        <v/>
      </c>
      <c r="X493" s="17" t="n"/>
      <c r="Y493" s="68">
        <f>DADOS_INVOC!$PN$33</f>
        <v/>
      </c>
      <c r="Z493" s="120" t="n"/>
      <c r="AB493" s="124" t="inlineStr">
        <is>
          <t>Projétil</t>
        </is>
      </c>
      <c r="AC493" s="17" t="n"/>
      <c r="AD493" s="68">
        <f>DADOS_INVOC!$PR$109</f>
        <v/>
      </c>
      <c r="AE493" s="17" t="n"/>
      <c r="AF493" s="68">
        <f>DADOS_INVOC!$PN$109</f>
        <v/>
      </c>
      <c r="AG493" s="120" t="n"/>
      <c r="AH493" s="124" t="inlineStr">
        <is>
          <t>Projétil</t>
        </is>
      </c>
      <c r="AI493" s="17" t="n"/>
      <c r="AJ493" s="68">
        <f>DADOS_INVOC!$PR$110</f>
        <v/>
      </c>
      <c r="AK493" s="17" t="n"/>
      <c r="AL493" s="68">
        <f>DADOS_INVOC!$PN$110</f>
        <v/>
      </c>
      <c r="AM493" s="120" t="n"/>
      <c r="AN493" s="124" t="inlineStr">
        <is>
          <t>Projétil</t>
        </is>
      </c>
      <c r="AO493" s="17" t="n"/>
      <c r="AP493" s="68">
        <f>DADOS_INVOC!$PR$111</f>
        <v/>
      </c>
      <c r="AQ493" s="17" t="n"/>
      <c r="AR493" s="68">
        <f>DADOS_INVOC!$PN$111</f>
        <v/>
      </c>
      <c r="AS493" s="120" t="n"/>
    </row>
    <row r="494" hidden="1" outlineLevel="2">
      <c r="A494" s="8" t="n"/>
      <c r="B494" s="14" t="n"/>
      <c r="C494" s="120" t="n"/>
      <c r="D494" s="120" t="n"/>
      <c r="E494" s="120" t="n"/>
      <c r="F494" s="120" t="n"/>
      <c r="G494" s="120" t="n"/>
      <c r="I494" s="124" t="n"/>
      <c r="J494" s="17" t="n"/>
      <c r="K494" s="124" t="n"/>
      <c r="L494" s="16" t="n"/>
      <c r="M494" s="17" t="n"/>
      <c r="N494" s="120" t="n"/>
      <c r="O494" s="124" t="n"/>
      <c r="P494" s="17" t="n"/>
      <c r="Q494" s="124" t="n"/>
      <c r="R494" s="16" t="n"/>
      <c r="S494" s="17" t="n"/>
      <c r="T494" s="120" t="n"/>
      <c r="U494" s="124" t="n"/>
      <c r="V494" s="17" t="n"/>
      <c r="W494" s="124" t="n"/>
      <c r="X494" s="16" t="n"/>
      <c r="Y494" s="17" t="n"/>
      <c r="Z494" s="120" t="n"/>
      <c r="AB494" s="124" t="n"/>
      <c r="AC494" s="17" t="n"/>
      <c r="AD494" s="124" t="n"/>
      <c r="AE494" s="16" t="n"/>
      <c r="AF494" s="17" t="n"/>
      <c r="AG494" s="120" t="n"/>
      <c r="AH494" s="124" t="n"/>
      <c r="AI494" s="17" t="n"/>
      <c r="AJ494" s="124" t="n"/>
      <c r="AK494" s="16" t="n"/>
      <c r="AL494" s="17" t="n"/>
      <c r="AM494" s="120" t="n"/>
      <c r="AN494" s="124" t="n"/>
      <c r="AO494" s="17" t="n"/>
      <c r="AP494" s="124" t="n"/>
      <c r="AQ494" s="16" t="n"/>
      <c r="AR494" s="17" t="n"/>
      <c r="AS494" s="120" t="n"/>
    </row>
    <row r="495" hidden="1" outlineLevel="2">
      <c r="A495" s="8" t="n"/>
      <c r="B495" s="14" t="n"/>
      <c r="C495" s="120" t="n"/>
      <c r="D495" s="120" t="n"/>
      <c r="E495" s="120" t="n"/>
      <c r="F495" s="120" t="n"/>
      <c r="G495" s="120" t="n"/>
      <c r="I495" s="124">
        <f>DADOS_INVOC!$PO$31</f>
        <v/>
      </c>
      <c r="J495" s="17" t="n"/>
      <c r="K495" s="124">
        <f>DADOS_INVOC!$PQ$31</f>
        <v/>
      </c>
      <c r="L495" s="16" t="n"/>
      <c r="M495" s="17" t="n"/>
      <c r="N495" s="120" t="n"/>
      <c r="O495" s="124">
        <f>DADOS_INVOC!$PO$32</f>
        <v/>
      </c>
      <c r="P495" s="17" t="n"/>
      <c r="Q495" s="124">
        <f>DADOS_INVOC!$PQ$32</f>
        <v/>
      </c>
      <c r="R495" s="16" t="n"/>
      <c r="S495" s="17" t="n"/>
      <c r="T495" s="120" t="n"/>
      <c r="U495" s="124">
        <f>DADOS_INVOC!$PO$33</f>
        <v/>
      </c>
      <c r="V495" s="17" t="n"/>
      <c r="W495" s="124">
        <f>DADOS_INVOC!$PQ$33</f>
        <v/>
      </c>
      <c r="X495" s="16" t="n"/>
      <c r="Y495" s="17" t="n"/>
      <c r="Z495" s="120" t="n"/>
      <c r="AB495" s="124">
        <f>DADOS_INVOC!$PO$109</f>
        <v/>
      </c>
      <c r="AC495" s="17" t="n"/>
      <c r="AD495" s="124">
        <f>DADOS_INVOC!$PQ$109</f>
        <v/>
      </c>
      <c r="AE495" s="16" t="n"/>
      <c r="AF495" s="17" t="n"/>
      <c r="AG495" s="120" t="n"/>
      <c r="AH495" s="124">
        <f>DADOS_INVOC!$PO$110</f>
        <v/>
      </c>
      <c r="AI495" s="17" t="n"/>
      <c r="AJ495" s="124">
        <f>DADOS_INVOC!$PQ$110</f>
        <v/>
      </c>
      <c r="AK495" s="16" t="n"/>
      <c r="AL495" s="17" t="n"/>
      <c r="AM495" s="120" t="n"/>
      <c r="AN495" s="124">
        <f>DADOS_INVOC!$PO$111</f>
        <v/>
      </c>
      <c r="AO495" s="17" t="n"/>
      <c r="AP495" s="124">
        <f>DADOS_INVOC!$PQ$111</f>
        <v/>
      </c>
      <c r="AQ495" s="16" t="n"/>
      <c r="AR495" s="17" t="n"/>
      <c r="AS495" s="120" t="n"/>
    </row>
    <row r="496" hidden="1" outlineLevel="2">
      <c r="A496" s="8" t="n"/>
      <c r="B496" s="14" t="n"/>
      <c r="C496" s="120" t="n"/>
      <c r="D496" s="120" t="n"/>
      <c r="E496" s="120" t="n"/>
      <c r="F496" s="120" t="n"/>
      <c r="G496" s="120" t="n"/>
      <c r="I496" s="129">
        <f>DADOS_INVOC!$PW$31</f>
        <v/>
      </c>
      <c r="J496" s="16" t="n"/>
      <c r="K496" s="16" t="n"/>
      <c r="L496" s="16" t="n"/>
      <c r="M496" s="17" t="n"/>
      <c r="N496" s="120" t="n"/>
      <c r="O496" s="129">
        <f>DADOS_INVOC!$PW$32</f>
        <v/>
      </c>
      <c r="P496" s="16" t="n"/>
      <c r="Q496" s="16" t="n"/>
      <c r="R496" s="16" t="n"/>
      <c r="S496" s="17" t="n"/>
      <c r="T496" s="120" t="n"/>
      <c r="U496" s="129">
        <f>DADOS_INVOC!$PW$33</f>
        <v/>
      </c>
      <c r="V496" s="16" t="n"/>
      <c r="W496" s="16" t="n"/>
      <c r="X496" s="16" t="n"/>
      <c r="Y496" s="17" t="n"/>
      <c r="Z496" s="120" t="n"/>
      <c r="AB496" s="129">
        <f>DADOS_INVOC!$PW$109</f>
        <v/>
      </c>
      <c r="AC496" s="16" t="n"/>
      <c r="AD496" s="16" t="n"/>
      <c r="AE496" s="16" t="n"/>
      <c r="AF496" s="17" t="n"/>
      <c r="AG496" s="120" t="n"/>
      <c r="AH496" s="129">
        <f>DADOS_INVOC!$PW$110</f>
        <v/>
      </c>
      <c r="AI496" s="16" t="n"/>
      <c r="AJ496" s="16" t="n"/>
      <c r="AK496" s="16" t="n"/>
      <c r="AL496" s="17" t="n"/>
      <c r="AM496" s="120" t="n"/>
      <c r="AN496" s="129">
        <f>DADOS_INVOC!$PW$111</f>
        <v/>
      </c>
      <c r="AO496" s="16" t="n"/>
      <c r="AP496" s="16" t="n"/>
      <c r="AQ496" s="16" t="n"/>
      <c r="AR496" s="17" t="n"/>
      <c r="AS496" s="120" t="n"/>
    </row>
    <row r="497" hidden="1" outlineLevel="3">
      <c r="A497" s="8" t="n"/>
      <c r="B497" s="14" t="n"/>
      <c r="C497" s="120" t="n"/>
      <c r="D497" s="120" t="n"/>
      <c r="E497" s="120" t="n"/>
      <c r="F497" s="120" t="n"/>
      <c r="G497" s="120" t="n"/>
      <c r="I497" s="55" t="inlineStr">
        <is>
          <t>MELHORIAS</t>
        </is>
      </c>
      <c r="J497" s="130" t="n"/>
      <c r="K497" s="16" t="n"/>
      <c r="L497" s="17" t="n"/>
      <c r="M497" s="129">
        <f>DADOS_INVOC!$PZ$31</f>
        <v/>
      </c>
      <c r="N497" s="120" t="n"/>
      <c r="O497" s="55" t="inlineStr">
        <is>
          <t>MELHORIAS</t>
        </is>
      </c>
      <c r="P497" s="130" t="n"/>
      <c r="Q497" s="16" t="n"/>
      <c r="R497" s="17" t="n"/>
      <c r="S497" s="129">
        <f>DADOS_INVOC!$PZ$32</f>
        <v/>
      </c>
      <c r="T497" s="120" t="n"/>
      <c r="U497" s="55" t="inlineStr">
        <is>
          <t>MELHORIAS</t>
        </is>
      </c>
      <c r="V497" s="130" t="n"/>
      <c r="W497" s="16" t="n"/>
      <c r="X497" s="17" t="n"/>
      <c r="Y497" s="129">
        <f>DADOS_INVOC!$PZ$33</f>
        <v/>
      </c>
      <c r="Z497" s="120" t="n"/>
      <c r="AB497" s="55" t="inlineStr">
        <is>
          <t>MELHORIAS</t>
        </is>
      </c>
      <c r="AC497" s="130" t="n"/>
      <c r="AD497" s="16" t="n"/>
      <c r="AE497" s="17" t="n"/>
      <c r="AF497" s="129">
        <f>DADOS_INVOC!$PZ$109</f>
        <v/>
      </c>
      <c r="AG497" s="120" t="n"/>
      <c r="AH497" s="55" t="inlineStr">
        <is>
          <t>MELHORIAS</t>
        </is>
      </c>
      <c r="AI497" s="130" t="n"/>
      <c r="AJ497" s="16" t="n"/>
      <c r="AK497" s="17" t="n"/>
      <c r="AL497" s="129">
        <f>DADOS_INVOC!$PZ$110</f>
        <v/>
      </c>
      <c r="AM497" s="120" t="n"/>
      <c r="AN497" s="55" t="inlineStr">
        <is>
          <t>MELHORIAS</t>
        </is>
      </c>
      <c r="AO497" s="130" t="n"/>
      <c r="AP497" s="16" t="n"/>
      <c r="AQ497" s="17" t="n"/>
      <c r="AR497" s="129">
        <f>DADOS_INVOC!$PZ$111</f>
        <v/>
      </c>
      <c r="AS497" s="120" t="n"/>
    </row>
    <row r="498" hidden="1" outlineLevel="3">
      <c r="A498" s="8" t="n"/>
      <c r="B498" s="14" t="n"/>
      <c r="C498" s="120" t="n"/>
      <c r="D498" s="120" t="n"/>
      <c r="E498" s="120" t="n"/>
      <c r="F498" s="120" t="n"/>
      <c r="G498" s="120" t="n"/>
      <c r="I498" s="131" t="n"/>
      <c r="J498" s="130" t="n"/>
      <c r="K498" s="16" t="n"/>
      <c r="L498" s="17" t="n"/>
      <c r="M498" s="129">
        <f>DADOS_INVOC!$QA$31</f>
        <v/>
      </c>
      <c r="N498" s="120" t="n"/>
      <c r="O498" s="131" t="n"/>
      <c r="P498" s="130" t="n"/>
      <c r="Q498" s="16" t="n"/>
      <c r="R498" s="17" t="n"/>
      <c r="S498" s="129">
        <f>DADOS_INVOC!$QA$32</f>
        <v/>
      </c>
      <c r="T498" s="120" t="n"/>
      <c r="U498" s="131" t="n"/>
      <c r="V498" s="130" t="n"/>
      <c r="W498" s="16" t="n"/>
      <c r="X498" s="17" t="n"/>
      <c r="Y498" s="129">
        <f>DADOS_INVOC!$QA$33</f>
        <v/>
      </c>
      <c r="Z498" s="120" t="n"/>
      <c r="AB498" s="131" t="n"/>
      <c r="AC498" s="130" t="n"/>
      <c r="AD498" s="16" t="n"/>
      <c r="AE498" s="17" t="n"/>
      <c r="AF498" s="129">
        <f>DADOS_INVOC!$QA$109</f>
        <v/>
      </c>
      <c r="AG498" s="120" t="n"/>
      <c r="AH498" s="131" t="n"/>
      <c r="AI498" s="130" t="n"/>
      <c r="AJ498" s="16" t="n"/>
      <c r="AK498" s="17" t="n"/>
      <c r="AL498" s="129">
        <f>DADOS_INVOC!$QA$110</f>
        <v/>
      </c>
      <c r="AM498" s="120" t="n"/>
      <c r="AN498" s="131" t="n"/>
      <c r="AO498" s="130" t="n"/>
      <c r="AP498" s="16" t="n"/>
      <c r="AQ498" s="17" t="n"/>
      <c r="AR498" s="129">
        <f>DADOS_INVOC!$QA$111</f>
        <v/>
      </c>
      <c r="AS498" s="120" t="n"/>
    </row>
    <row r="499" hidden="1" outlineLevel="3">
      <c r="A499" s="8" t="n"/>
      <c r="B499" s="14" t="n"/>
      <c r="C499" s="120" t="n"/>
      <c r="D499" s="120" t="n"/>
      <c r="E499" s="120" t="n"/>
      <c r="F499" s="120" t="n"/>
      <c r="G499" s="120" t="n"/>
      <c r="I499" s="131" t="n"/>
      <c r="J499" s="130" t="n"/>
      <c r="K499" s="16" t="n"/>
      <c r="L499" s="17" t="n"/>
      <c r="M499" s="129">
        <f>DADOS_INVOC!$QB$31</f>
        <v/>
      </c>
      <c r="N499" s="120" t="n"/>
      <c r="O499" s="131" t="n"/>
      <c r="P499" s="130" t="n"/>
      <c r="Q499" s="16" t="n"/>
      <c r="R499" s="17" t="n"/>
      <c r="S499" s="129">
        <f>DADOS_INVOC!$QB$32</f>
        <v/>
      </c>
      <c r="T499" s="120" t="n"/>
      <c r="U499" s="131" t="n"/>
      <c r="V499" s="130" t="n"/>
      <c r="W499" s="16" t="n"/>
      <c r="X499" s="17" t="n"/>
      <c r="Y499" s="129">
        <f>DADOS_INVOC!$QB$33</f>
        <v/>
      </c>
      <c r="Z499" s="120" t="n"/>
      <c r="AB499" s="131" t="n"/>
      <c r="AC499" s="130" t="n"/>
      <c r="AD499" s="16" t="n"/>
      <c r="AE499" s="17" t="n"/>
      <c r="AF499" s="129">
        <f>DADOS_INVOC!$QB$109</f>
        <v/>
      </c>
      <c r="AG499" s="120" t="n"/>
      <c r="AH499" s="131" t="n"/>
      <c r="AI499" s="130" t="n"/>
      <c r="AJ499" s="16" t="n"/>
      <c r="AK499" s="17" t="n"/>
      <c r="AL499" s="129">
        <f>DADOS_INVOC!$QB$110</f>
        <v/>
      </c>
      <c r="AM499" s="120" t="n"/>
      <c r="AN499" s="131" t="n"/>
      <c r="AO499" s="130" t="n"/>
      <c r="AP499" s="16" t="n"/>
      <c r="AQ499" s="17" t="n"/>
      <c r="AR499" s="129">
        <f>DADOS_INVOC!$QB$111</f>
        <v/>
      </c>
      <c r="AS499" s="120" t="n"/>
    </row>
    <row r="500" hidden="1" outlineLevel="3">
      <c r="A500" s="8" t="n"/>
      <c r="B500" s="14" t="n"/>
      <c r="C500" s="120" t="n"/>
      <c r="D500" s="120" t="n"/>
      <c r="E500" s="120" t="n"/>
      <c r="F500" s="120" t="n"/>
      <c r="G500" s="120" t="n"/>
      <c r="I500" s="125" t="n"/>
      <c r="J500" s="130" t="n"/>
      <c r="K500" s="16" t="n"/>
      <c r="L500" s="17" t="n"/>
      <c r="M500" s="129">
        <f>DADOS_INVOC!$QC$31</f>
        <v/>
      </c>
      <c r="N500" s="120" t="n"/>
      <c r="O500" s="125" t="n"/>
      <c r="P500" s="130" t="n"/>
      <c r="Q500" s="16" t="n"/>
      <c r="R500" s="17" t="n"/>
      <c r="S500" s="129">
        <f>DADOS_INVOC!$QC$32</f>
        <v/>
      </c>
      <c r="T500" s="120" t="n"/>
      <c r="U500" s="125" t="n"/>
      <c r="V500" s="130" t="n"/>
      <c r="W500" s="16" t="n"/>
      <c r="X500" s="17" t="n"/>
      <c r="Y500" s="129">
        <f>DADOS_INVOC!$QC$33</f>
        <v/>
      </c>
      <c r="Z500" s="120" t="n"/>
      <c r="AB500" s="125" t="n"/>
      <c r="AC500" s="130" t="n"/>
      <c r="AD500" s="16" t="n"/>
      <c r="AE500" s="17" t="n"/>
      <c r="AF500" s="129">
        <f>DADOS_INVOC!$QC$109</f>
        <v/>
      </c>
      <c r="AG500" s="120" t="n"/>
      <c r="AH500" s="125" t="n"/>
      <c r="AI500" s="130" t="n"/>
      <c r="AJ500" s="16" t="n"/>
      <c r="AK500" s="17" t="n"/>
      <c r="AL500" s="129">
        <f>DADOS_INVOC!$QC$110</f>
        <v/>
      </c>
      <c r="AM500" s="120" t="n"/>
      <c r="AN500" s="125" t="n"/>
      <c r="AO500" s="130" t="n"/>
      <c r="AP500" s="16" t="n"/>
      <c r="AQ500" s="17" t="n"/>
      <c r="AR500" s="129">
        <f>DADOS_INVOC!$QC$111</f>
        <v/>
      </c>
      <c r="AS500" s="120" t="n"/>
    </row>
    <row r="501" hidden="1" outlineLevel="3">
      <c r="A501" s="8" t="n"/>
      <c r="B501" s="14" t="n"/>
      <c r="C501" s="120" t="n"/>
      <c r="D501" s="120" t="n"/>
      <c r="E501" s="120" t="n"/>
      <c r="F501" s="120" t="n"/>
      <c r="G501" s="120" t="n"/>
      <c r="I501" s="55" t="inlineStr">
        <is>
          <t>RESTRIÇÕES</t>
        </is>
      </c>
      <c r="J501" s="130" t="n"/>
      <c r="K501" s="16" t="n"/>
      <c r="L501" s="17" t="n"/>
      <c r="M501" s="129">
        <f>DADOS_INVOC!$QD$31</f>
        <v/>
      </c>
      <c r="N501" s="120" t="n"/>
      <c r="O501" s="55" t="inlineStr">
        <is>
          <t>RESTRIÇÕES</t>
        </is>
      </c>
      <c r="P501" s="130" t="n"/>
      <c r="Q501" s="16" t="n"/>
      <c r="R501" s="17" t="n"/>
      <c r="S501" s="129">
        <f>DADOS_INVOC!$QD$32</f>
        <v/>
      </c>
      <c r="T501" s="120" t="n"/>
      <c r="U501" s="55" t="inlineStr">
        <is>
          <t>RESTRIÇÕES</t>
        </is>
      </c>
      <c r="V501" s="130" t="n"/>
      <c r="W501" s="16" t="n"/>
      <c r="X501" s="17" t="n"/>
      <c r="Y501" s="129">
        <f>DADOS_INVOC!$QD$33</f>
        <v/>
      </c>
      <c r="Z501" s="120" t="n"/>
      <c r="AB501" s="55" t="inlineStr">
        <is>
          <t>RESTRIÇÕES</t>
        </is>
      </c>
      <c r="AC501" s="130" t="n"/>
      <c r="AD501" s="16" t="n"/>
      <c r="AE501" s="17" t="n"/>
      <c r="AF501" s="129">
        <f>DADOS_INVOC!$QD$109</f>
        <v/>
      </c>
      <c r="AG501" s="120" t="n"/>
      <c r="AH501" s="55" t="inlineStr">
        <is>
          <t>RESTRIÇÕES</t>
        </is>
      </c>
      <c r="AI501" s="130" t="n"/>
      <c r="AJ501" s="16" t="n"/>
      <c r="AK501" s="17" t="n"/>
      <c r="AL501" s="129">
        <f>DADOS_INVOC!$QD$110</f>
        <v/>
      </c>
      <c r="AM501" s="120" t="n"/>
      <c r="AN501" s="55" t="inlineStr">
        <is>
          <t>RESTRIÇÕES</t>
        </is>
      </c>
      <c r="AO501" s="130" t="n"/>
      <c r="AP501" s="16" t="n"/>
      <c r="AQ501" s="17" t="n"/>
      <c r="AR501" s="129">
        <f>DADOS_INVOC!$QD$111</f>
        <v/>
      </c>
      <c r="AS501" s="120" t="n"/>
    </row>
    <row r="502" hidden="1" outlineLevel="3">
      <c r="A502" s="8" t="n"/>
      <c r="B502" s="14" t="n"/>
      <c r="C502" s="120" t="n"/>
      <c r="D502" s="120" t="n"/>
      <c r="E502" s="120" t="n"/>
      <c r="F502" s="120" t="n"/>
      <c r="G502" s="120" t="n"/>
      <c r="I502" s="125" t="n"/>
      <c r="J502" s="130" t="n"/>
      <c r="K502" s="16" t="n"/>
      <c r="L502" s="17" t="n"/>
      <c r="M502" s="129">
        <f>DADOS_INVOC!$QE$31</f>
        <v/>
      </c>
      <c r="N502" s="120" t="n"/>
      <c r="O502" s="125" t="n"/>
      <c r="P502" s="130" t="n"/>
      <c r="Q502" s="16" t="n"/>
      <c r="R502" s="17" t="n"/>
      <c r="S502" s="129">
        <f>DADOS_INVOC!$QE$32</f>
        <v/>
      </c>
      <c r="T502" s="120" t="n"/>
      <c r="U502" s="125" t="n"/>
      <c r="V502" s="130" t="n"/>
      <c r="W502" s="16" t="n"/>
      <c r="X502" s="17" t="n"/>
      <c r="Y502" s="129">
        <f>DADOS_INVOC!$QE$33</f>
        <v/>
      </c>
      <c r="Z502" s="120" t="n"/>
      <c r="AB502" s="125" t="n"/>
      <c r="AC502" s="130" t="n"/>
      <c r="AD502" s="16" t="n"/>
      <c r="AE502" s="17" t="n"/>
      <c r="AF502" s="129">
        <f>DADOS_INVOC!$QE$109</f>
        <v/>
      </c>
      <c r="AG502" s="120" t="n"/>
      <c r="AH502" s="125" t="n"/>
      <c r="AI502" s="130" t="n"/>
      <c r="AJ502" s="16" t="n"/>
      <c r="AK502" s="17" t="n"/>
      <c r="AL502" s="129">
        <f>DADOS_INVOC!$QE$110</f>
        <v/>
      </c>
      <c r="AM502" s="120" t="n"/>
      <c r="AN502" s="125" t="n"/>
      <c r="AO502" s="130" t="n"/>
      <c r="AP502" s="16" t="n"/>
      <c r="AQ502" s="17" t="n"/>
      <c r="AR502" s="129">
        <f>DADOS_INVOC!$QE$111</f>
        <v/>
      </c>
      <c r="AS502" s="120" t="n"/>
    </row>
    <row r="503" hidden="1" outlineLevel="3">
      <c r="A503" s="8" t="n"/>
      <c r="B503" s="14" t="n"/>
      <c r="C503" s="120" t="n"/>
      <c r="D503" s="120" t="n"/>
      <c r="E503" s="120" t="n"/>
      <c r="F503" s="120" t="n"/>
      <c r="G503" s="120" t="n"/>
      <c r="I503" s="55" t="inlineStr">
        <is>
          <t>CONTA</t>
        </is>
      </c>
      <c r="J503" s="132">
        <f>DADOS_INVOC!$PX$31</f>
        <v/>
      </c>
      <c r="K503" s="16" t="n"/>
      <c r="L503" s="16" t="n"/>
      <c r="M503" s="17" t="n"/>
      <c r="N503" s="120" t="n"/>
      <c r="O503" s="55" t="inlineStr">
        <is>
          <t>CONTA</t>
        </is>
      </c>
      <c r="P503" s="132">
        <f>DADOS_INVOC!$PX$32</f>
        <v/>
      </c>
      <c r="Q503" s="16" t="n"/>
      <c r="R503" s="16" t="n"/>
      <c r="S503" s="17" t="n"/>
      <c r="T503" s="120" t="n"/>
      <c r="U503" s="55" t="inlineStr">
        <is>
          <t>CONTA</t>
        </is>
      </c>
      <c r="V503" s="132">
        <f>DADOS_INVOC!$PX$33</f>
        <v/>
      </c>
      <c r="W503" s="16" t="n"/>
      <c r="X503" s="16" t="n"/>
      <c r="Y503" s="17" t="n"/>
      <c r="Z503" s="120" t="n"/>
      <c r="AB503" s="55" t="inlineStr">
        <is>
          <t>CONTA</t>
        </is>
      </c>
      <c r="AC503" s="132">
        <f>DADOS_INVOC!$PX$109</f>
        <v/>
      </c>
      <c r="AD503" s="16" t="n"/>
      <c r="AE503" s="16" t="n"/>
      <c r="AF503" s="17" t="n"/>
      <c r="AG503" s="120" t="n"/>
      <c r="AH503" s="55" t="inlineStr">
        <is>
          <t>CONTA</t>
        </is>
      </c>
      <c r="AI503" s="132">
        <f>DADOS_INVOC!$PX$110</f>
        <v/>
      </c>
      <c r="AJ503" s="16" t="n"/>
      <c r="AK503" s="16" t="n"/>
      <c r="AL503" s="17" t="n"/>
      <c r="AM503" s="120" t="n"/>
      <c r="AN503" s="55" t="inlineStr">
        <is>
          <t>CONTA</t>
        </is>
      </c>
      <c r="AO503" s="132">
        <f>DADOS_INVOC!$PX$111</f>
        <v/>
      </c>
      <c r="AP503" s="16" t="n"/>
      <c r="AQ503" s="16" t="n"/>
      <c r="AR503" s="17" t="n"/>
      <c r="AS503" s="120" t="n"/>
    </row>
    <row r="504" hidden="1" outlineLevel="3">
      <c r="A504" s="8" t="n"/>
      <c r="B504" s="14" t="n"/>
      <c r="C504" s="120" t="n"/>
      <c r="D504" s="120" t="n"/>
      <c r="E504" s="120" t="n"/>
      <c r="F504" s="120" t="n"/>
      <c r="G504" s="120" t="n"/>
      <c r="I504" s="55" t="inlineStr">
        <is>
          <t>AMPLIAR</t>
        </is>
      </c>
      <c r="J504" s="132">
        <f>DADOS_INVOC!$PY$31</f>
        <v/>
      </c>
      <c r="K504" s="19" t="n"/>
      <c r="L504" s="19" t="n"/>
      <c r="M504" s="20" t="n"/>
      <c r="N504" s="120" t="n"/>
      <c r="O504" s="55" t="inlineStr">
        <is>
          <t>AMPLIAR</t>
        </is>
      </c>
      <c r="P504" s="132">
        <f>DADOS_INVOC!$PY$32</f>
        <v/>
      </c>
      <c r="Q504" s="19" t="n"/>
      <c r="R504" s="19" t="n"/>
      <c r="S504" s="20" t="n"/>
      <c r="T504" s="120" t="n"/>
      <c r="U504" s="55" t="inlineStr">
        <is>
          <t>AMPLIAR</t>
        </is>
      </c>
      <c r="V504" s="132">
        <f>DADOS_INVOC!$PY$33</f>
        <v/>
      </c>
      <c r="W504" s="19" t="n"/>
      <c r="X504" s="19" t="n"/>
      <c r="Y504" s="20" t="n"/>
      <c r="Z504" s="120" t="n"/>
      <c r="AB504" s="55" t="inlineStr">
        <is>
          <t>AMPLIAR</t>
        </is>
      </c>
      <c r="AC504" s="132">
        <f>DADOS_INVOC!$PY$109</f>
        <v/>
      </c>
      <c r="AD504" s="19" t="n"/>
      <c r="AE504" s="19" t="n"/>
      <c r="AF504" s="20" t="n"/>
      <c r="AG504" s="120" t="n"/>
      <c r="AH504" s="55" t="inlineStr">
        <is>
          <t>AMPLIAR</t>
        </is>
      </c>
      <c r="AI504" s="132">
        <f>DADOS_INVOC!$PY$110</f>
        <v/>
      </c>
      <c r="AJ504" s="19" t="n"/>
      <c r="AK504" s="19" t="n"/>
      <c r="AL504" s="20" t="n"/>
      <c r="AM504" s="120" t="n"/>
      <c r="AN504" s="55" t="inlineStr">
        <is>
          <t>AMPLIAR</t>
        </is>
      </c>
      <c r="AO504" s="132">
        <f>DADOS_INVOC!$PY$111</f>
        <v/>
      </c>
      <c r="AP504" s="19" t="n"/>
      <c r="AQ504" s="19" t="n"/>
      <c r="AR504" s="20" t="n"/>
      <c r="AS504" s="120" t="n"/>
    </row>
    <row r="505" hidden="1" outlineLevel="3">
      <c r="A505" s="8" t="n"/>
      <c r="B505" s="14" t="n"/>
      <c r="C505" s="120" t="n"/>
      <c r="D505" s="120" t="n"/>
      <c r="E505" s="120" t="n"/>
      <c r="F505" s="120" t="n"/>
      <c r="G505" s="120" t="n"/>
      <c r="I505" s="125" t="n"/>
      <c r="J505" s="23" t="n"/>
      <c r="K505" s="24" t="n"/>
      <c r="L505" s="24" t="n"/>
      <c r="M505" s="25" t="n"/>
      <c r="N505" s="120" t="n"/>
      <c r="O505" s="125" t="n"/>
      <c r="P505" s="23" t="n"/>
      <c r="Q505" s="24" t="n"/>
      <c r="R505" s="24" t="n"/>
      <c r="S505" s="25" t="n"/>
      <c r="T505" s="120" t="n"/>
      <c r="U505" s="125" t="n"/>
      <c r="V505" s="23" t="n"/>
      <c r="W505" s="24" t="n"/>
      <c r="X505" s="24" t="n"/>
      <c r="Y505" s="25" t="n"/>
      <c r="Z505" s="120" t="n"/>
      <c r="AB505" s="125" t="n"/>
      <c r="AC505" s="23" t="n"/>
      <c r="AD505" s="24" t="n"/>
      <c r="AE505" s="24" t="n"/>
      <c r="AF505" s="25" t="n"/>
      <c r="AG505" s="120" t="n"/>
      <c r="AH505" s="125" t="n"/>
      <c r="AI505" s="23" t="n"/>
      <c r="AJ505" s="24" t="n"/>
      <c r="AK505" s="24" t="n"/>
      <c r="AL505" s="25" t="n"/>
      <c r="AM505" s="120" t="n"/>
      <c r="AN505" s="125" t="n"/>
      <c r="AO505" s="23" t="n"/>
      <c r="AP505" s="24" t="n"/>
      <c r="AQ505" s="24" t="n"/>
      <c r="AR505" s="25" t="n"/>
      <c r="AS505" s="120" t="n"/>
    </row>
    <row r="506" hidden="1" outlineLevel="3">
      <c r="A506" s="8" t="n"/>
      <c r="B506" s="14" t="n"/>
      <c r="C506" s="120" t="n"/>
      <c r="D506" s="120" t="n"/>
      <c r="E506" s="120" t="n"/>
      <c r="F506" s="120" t="n"/>
      <c r="G506" s="120" t="n"/>
      <c r="I506" s="132">
        <f>DADOS_INVOC!$PL$31</f>
        <v/>
      </c>
      <c r="J506" s="19" t="n"/>
      <c r="K506" s="19" t="n"/>
      <c r="L506" s="19" t="n"/>
      <c r="M506" s="20" t="n"/>
      <c r="N506" s="120" t="n"/>
      <c r="O506" s="132">
        <f>DADOS_INVOC!$PL$32</f>
        <v/>
      </c>
      <c r="P506" s="19" t="n"/>
      <c r="Q506" s="19" t="n"/>
      <c r="R506" s="19" t="n"/>
      <c r="S506" s="20" t="n"/>
      <c r="T506" s="120" t="n"/>
      <c r="U506" s="132">
        <f>DADOS_INVOC!$PL$33</f>
        <v/>
      </c>
      <c r="V506" s="19" t="n"/>
      <c r="W506" s="19" t="n"/>
      <c r="X506" s="19" t="n"/>
      <c r="Y506" s="20" t="n"/>
      <c r="Z506" s="120" t="n"/>
      <c r="AB506" s="132">
        <f>DADOS_INVOC!$PL$109</f>
        <v/>
      </c>
      <c r="AC506" s="19" t="n"/>
      <c r="AD506" s="19" t="n"/>
      <c r="AE506" s="19" t="n"/>
      <c r="AF506" s="20" t="n"/>
      <c r="AG506" s="120" t="n"/>
      <c r="AH506" s="132">
        <f>DADOS_INVOC!$PL$110</f>
        <v/>
      </c>
      <c r="AI506" s="19" t="n"/>
      <c r="AJ506" s="19" t="n"/>
      <c r="AK506" s="19" t="n"/>
      <c r="AL506" s="20" t="n"/>
      <c r="AM506" s="120" t="n"/>
      <c r="AN506" s="132">
        <f>DADOS_INVOC!$PL$111</f>
        <v/>
      </c>
      <c r="AO506" s="19" t="n"/>
      <c r="AP506" s="19" t="n"/>
      <c r="AQ506" s="19" t="n"/>
      <c r="AR506" s="20" t="n"/>
      <c r="AS506" s="120" t="n"/>
    </row>
    <row r="507" hidden="1" outlineLevel="3">
      <c r="A507" s="8" t="n"/>
      <c r="B507" s="14" t="n"/>
      <c r="C507" s="120" t="n"/>
      <c r="D507" s="120" t="n"/>
      <c r="E507" s="120" t="n"/>
      <c r="F507" s="120" t="n"/>
      <c r="G507" s="120" t="n"/>
      <c r="I507" s="23" t="n"/>
      <c r="J507" s="24" t="n"/>
      <c r="K507" s="24" t="n"/>
      <c r="L507" s="24" t="n"/>
      <c r="M507" s="25" t="n"/>
      <c r="N507" s="120" t="n"/>
      <c r="O507" s="23" t="n"/>
      <c r="P507" s="24" t="n"/>
      <c r="Q507" s="24" t="n"/>
      <c r="R507" s="24" t="n"/>
      <c r="S507" s="25" t="n"/>
      <c r="T507" s="120" t="n"/>
      <c r="U507" s="23" t="n"/>
      <c r="V507" s="24" t="n"/>
      <c r="W507" s="24" t="n"/>
      <c r="X507" s="24" t="n"/>
      <c r="Y507" s="25" t="n"/>
      <c r="Z507" s="120" t="n"/>
      <c r="AB507" s="23" t="n"/>
      <c r="AC507" s="24" t="n"/>
      <c r="AD507" s="24" t="n"/>
      <c r="AE507" s="24" t="n"/>
      <c r="AF507" s="25" t="n"/>
      <c r="AG507" s="120" t="n"/>
      <c r="AH507" s="23" t="n"/>
      <c r="AI507" s="24" t="n"/>
      <c r="AJ507" s="24" t="n"/>
      <c r="AK507" s="24" t="n"/>
      <c r="AL507" s="25" t="n"/>
      <c r="AM507" s="120" t="n"/>
      <c r="AN507" s="23" t="n"/>
      <c r="AO507" s="24" t="n"/>
      <c r="AP507" s="24" t="n"/>
      <c r="AQ507" s="24" t="n"/>
      <c r="AR507" s="25" t="n"/>
      <c r="AS507" s="120" t="n"/>
    </row>
    <row r="508" hidden="1" outlineLevel="2">
      <c r="A508" s="8" t="n"/>
      <c r="B508" s="14" t="n"/>
      <c r="C508" s="120" t="n"/>
      <c r="D508" s="120" t="n"/>
      <c r="E508" s="120" t="n"/>
      <c r="F508" s="120" t="n"/>
      <c r="G508" s="120" t="n"/>
      <c r="I508" s="120" t="n"/>
      <c r="J508" s="120" t="n"/>
      <c r="K508" s="120" t="n"/>
      <c r="L508" s="120" t="n"/>
      <c r="M508" s="120" t="n"/>
      <c r="N508" s="120" t="n"/>
      <c r="O508" s="120" t="n"/>
      <c r="P508" s="120" t="n"/>
      <c r="Q508" s="120" t="n"/>
      <c r="R508" s="120" t="n"/>
      <c r="S508" s="120" t="n"/>
      <c r="T508" s="120" t="n"/>
      <c r="U508" s="120" t="n"/>
      <c r="V508" s="120" t="n"/>
      <c r="W508" s="120" t="n"/>
      <c r="X508" s="120" t="n"/>
      <c r="Y508" s="120" t="n"/>
      <c r="Z508" s="120" t="n"/>
      <c r="AB508" s="120" t="n"/>
      <c r="AC508" s="120" t="n"/>
      <c r="AD508" s="120" t="n"/>
      <c r="AE508" s="120" t="n"/>
      <c r="AF508" s="120" t="n"/>
      <c r="AG508" s="120" t="n"/>
      <c r="AH508" s="120" t="n"/>
      <c r="AI508" s="120" t="n"/>
      <c r="AJ508" s="120" t="n"/>
      <c r="AK508" s="120" t="n"/>
      <c r="AL508" s="120" t="n"/>
      <c r="AM508" s="120" t="n"/>
      <c r="AN508" s="120" t="n"/>
      <c r="AO508" s="120" t="n"/>
      <c r="AP508" s="120" t="n"/>
      <c r="AQ508" s="120" t="n"/>
      <c r="AR508" s="120" t="n"/>
      <c r="AS508" s="120" t="n"/>
    </row>
    <row r="509" hidden="1" outlineLevel="2">
      <c r="A509" s="8" t="n"/>
      <c r="B509" s="14" t="n"/>
      <c r="C509" s="120" t="n"/>
      <c r="D509" s="120" t="n"/>
      <c r="E509" s="120" t="n"/>
      <c r="F509" s="120" t="n"/>
      <c r="G509" s="120" t="n"/>
      <c r="I509" s="55">
        <f>DADOS_INVOC!$PM$34</f>
        <v/>
      </c>
      <c r="J509" s="16" t="n"/>
      <c r="K509" s="16" t="n"/>
      <c r="L509" s="16" t="n"/>
      <c r="M509" s="17" t="n"/>
      <c r="N509" s="120" t="n"/>
      <c r="O509" s="55">
        <f>DADOS_INVOC!$PM$35</f>
        <v/>
      </c>
      <c r="P509" s="16" t="n"/>
      <c r="Q509" s="16" t="n"/>
      <c r="R509" s="16" t="n"/>
      <c r="S509" s="17" t="n"/>
      <c r="T509" s="120" t="n"/>
      <c r="U509" s="55">
        <f>DADOS_INVOC!$PM$36</f>
        <v/>
      </c>
      <c r="V509" s="16" t="n"/>
      <c r="W509" s="16" t="n"/>
      <c r="X509" s="16" t="n"/>
      <c r="Y509" s="17" t="n"/>
      <c r="Z509" s="120" t="n"/>
      <c r="AB509" s="55">
        <f>DADOS_INVOC!$PM$112</f>
        <v/>
      </c>
      <c r="AC509" s="16" t="n"/>
      <c r="AD509" s="16" t="n"/>
      <c r="AE509" s="16" t="n"/>
      <c r="AF509" s="17" t="n"/>
      <c r="AG509" s="120" t="n"/>
      <c r="AH509" s="55">
        <f>DADOS_INVOC!$PM$113</f>
        <v/>
      </c>
      <c r="AI509" s="16" t="n"/>
      <c r="AJ509" s="16" t="n"/>
      <c r="AK509" s="16" t="n"/>
      <c r="AL509" s="17" t="n"/>
      <c r="AM509" s="120" t="n"/>
      <c r="AN509" s="55">
        <f>DADOS_INVOC!$PM$114</f>
        <v/>
      </c>
      <c r="AO509" s="16" t="n"/>
      <c r="AP509" s="16" t="n"/>
      <c r="AQ509" s="16" t="n"/>
      <c r="AR509" s="17" t="n"/>
      <c r="AS509" s="120" t="n"/>
    </row>
    <row r="510" hidden="1" outlineLevel="2">
      <c r="A510" s="8" t="n"/>
      <c r="B510" s="14" t="n"/>
      <c r="C510" s="120" t="n"/>
      <c r="D510" s="120" t="n"/>
      <c r="E510" s="120" t="n"/>
      <c r="F510" s="120" t="n"/>
      <c r="G510" s="120" t="n"/>
      <c r="I510" s="127" t="n">
        <v>1</v>
      </c>
      <c r="J510" s="115" t="n"/>
      <c r="K510" s="16" t="n"/>
      <c r="L510" s="17" t="n"/>
      <c r="M510" s="128">
        <f>DADOS_INVOC!$PK$34</f>
        <v/>
      </c>
      <c r="N510" s="120" t="n"/>
      <c r="O510" s="127" t="n">
        <v>1</v>
      </c>
      <c r="P510" s="115" t="n"/>
      <c r="Q510" s="16" t="n"/>
      <c r="R510" s="17" t="n"/>
      <c r="S510" s="128">
        <f>DADOS_INVOC!$PK$35</f>
        <v/>
      </c>
      <c r="T510" s="120" t="n"/>
      <c r="U510" s="127" t="n">
        <v>1</v>
      </c>
      <c r="V510" s="115" t="n"/>
      <c r="W510" s="16" t="n"/>
      <c r="X510" s="17" t="n"/>
      <c r="Y510" s="128">
        <f>DADOS_INVOC!$PK$36</f>
        <v/>
      </c>
      <c r="Z510" s="120" t="n"/>
      <c r="AB510" s="127" t="n">
        <v>1</v>
      </c>
      <c r="AC510" s="115" t="n"/>
      <c r="AD510" s="16" t="n"/>
      <c r="AE510" s="17" t="n"/>
      <c r="AF510" s="128">
        <f>DADOS_INVOC!$PK$112</f>
        <v/>
      </c>
      <c r="AG510" s="120" t="n"/>
      <c r="AH510" s="127" t="n">
        <v>1</v>
      </c>
      <c r="AI510" s="115" t="n"/>
      <c r="AJ510" s="16" t="n"/>
      <c r="AK510" s="17" t="n"/>
      <c r="AL510" s="128">
        <f>DADOS_INVOC!$PK$113</f>
        <v/>
      </c>
      <c r="AM510" s="120" t="n"/>
      <c r="AN510" s="127" t="n">
        <v>1</v>
      </c>
      <c r="AO510" s="115" t="n"/>
      <c r="AP510" s="16" t="n"/>
      <c r="AQ510" s="17" t="n"/>
      <c r="AR510" s="128">
        <f>DADOS_INVOC!$PK$114</f>
        <v/>
      </c>
      <c r="AS510" s="120" t="n"/>
    </row>
    <row r="511" hidden="1" outlineLevel="3">
      <c r="A511" s="8" t="n"/>
      <c r="B511" s="14" t="n"/>
      <c r="C511" s="120" t="n"/>
      <c r="D511" s="120" t="n"/>
      <c r="E511" s="120" t="n"/>
      <c r="F511" s="120" t="n"/>
      <c r="G511" s="120" t="n"/>
      <c r="I511" s="55" t="inlineStr">
        <is>
          <t>COMO É</t>
        </is>
      </c>
      <c r="J511" s="16" t="n"/>
      <c r="K511" s="16" t="n"/>
      <c r="L511" s="16" t="n"/>
      <c r="M511" s="17" t="n"/>
      <c r="N511" s="120" t="n"/>
      <c r="O511" s="55" t="inlineStr">
        <is>
          <t>COMO É</t>
        </is>
      </c>
      <c r="P511" s="16" t="n"/>
      <c r="Q511" s="16" t="n"/>
      <c r="R511" s="16" t="n"/>
      <c r="S511" s="17" t="n"/>
      <c r="T511" s="120" t="n"/>
      <c r="U511" s="55" t="inlineStr">
        <is>
          <t>COMO É</t>
        </is>
      </c>
      <c r="V511" s="16" t="n"/>
      <c r="W511" s="16" t="n"/>
      <c r="X511" s="16" t="n"/>
      <c r="Y511" s="17" t="n"/>
      <c r="Z511" s="120" t="n"/>
      <c r="AB511" s="55" t="inlineStr">
        <is>
          <t>COMO É</t>
        </is>
      </c>
      <c r="AC511" s="16" t="n"/>
      <c r="AD511" s="16" t="n"/>
      <c r="AE511" s="16" t="n"/>
      <c r="AF511" s="17" t="n"/>
      <c r="AG511" s="120" t="n"/>
      <c r="AH511" s="55" t="inlineStr">
        <is>
          <t>COMO É</t>
        </is>
      </c>
      <c r="AI511" s="16" t="n"/>
      <c r="AJ511" s="16" t="n"/>
      <c r="AK511" s="16" t="n"/>
      <c r="AL511" s="17" t="n"/>
      <c r="AM511" s="120" t="n"/>
      <c r="AN511" s="55" t="inlineStr">
        <is>
          <t>COMO É</t>
        </is>
      </c>
      <c r="AO511" s="16" t="n"/>
      <c r="AP511" s="16" t="n"/>
      <c r="AQ511" s="16" t="n"/>
      <c r="AR511" s="17" t="n"/>
      <c r="AS511" s="120" t="n"/>
    </row>
    <row r="512" hidden="1" outlineLevel="3">
      <c r="A512" s="8" t="n"/>
      <c r="B512" s="14" t="n"/>
      <c r="C512" s="120" t="n"/>
      <c r="D512" s="120" t="n"/>
      <c r="E512" s="120" t="n"/>
      <c r="F512" s="120" t="n"/>
      <c r="G512" s="120" t="n"/>
      <c r="I512" s="116" t="n"/>
      <c r="J512" s="19" t="n"/>
      <c r="K512" s="19" t="n"/>
      <c r="L512" s="19" t="n"/>
      <c r="M512" s="20" t="n"/>
      <c r="N512" s="120" t="n"/>
      <c r="O512" s="116" t="n"/>
      <c r="P512" s="19" t="n"/>
      <c r="Q512" s="19" t="n"/>
      <c r="R512" s="19" t="n"/>
      <c r="S512" s="20" t="n"/>
      <c r="T512" s="120" t="n"/>
      <c r="U512" s="116" t="n"/>
      <c r="V512" s="19" t="n"/>
      <c r="W512" s="19" t="n"/>
      <c r="X512" s="19" t="n"/>
      <c r="Y512" s="20" t="n"/>
      <c r="Z512" s="120" t="n"/>
      <c r="AB512" s="116" t="n"/>
      <c r="AC512" s="19" t="n"/>
      <c r="AD512" s="19" t="n"/>
      <c r="AE512" s="19" t="n"/>
      <c r="AF512" s="20" t="n"/>
      <c r="AG512" s="120" t="n"/>
      <c r="AH512" s="116" t="n"/>
      <c r="AI512" s="19" t="n"/>
      <c r="AJ512" s="19" t="n"/>
      <c r="AK512" s="19" t="n"/>
      <c r="AL512" s="20" t="n"/>
      <c r="AM512" s="120" t="n"/>
      <c r="AN512" s="116" t="n"/>
      <c r="AO512" s="19" t="n"/>
      <c r="AP512" s="19" t="n"/>
      <c r="AQ512" s="19" t="n"/>
      <c r="AR512" s="20" t="n"/>
      <c r="AS512" s="120" t="n"/>
    </row>
    <row r="513" hidden="1" outlineLevel="3">
      <c r="A513" s="8" t="n"/>
      <c r="B513" s="14" t="n"/>
      <c r="C513" s="120" t="n"/>
      <c r="D513" s="120" t="n"/>
      <c r="E513" s="120" t="n"/>
      <c r="F513" s="120" t="n"/>
      <c r="G513" s="120" t="n"/>
      <c r="I513" s="21" t="n"/>
      <c r="M513" s="22" t="n"/>
      <c r="N513" s="120" t="n"/>
      <c r="O513" s="21" t="n"/>
      <c r="S513" s="22" t="n"/>
      <c r="T513" s="120" t="n"/>
      <c r="U513" s="21" t="n"/>
      <c r="Y513" s="22" t="n"/>
      <c r="Z513" s="120" t="n"/>
      <c r="AB513" s="21" t="n"/>
      <c r="AF513" s="22" t="n"/>
      <c r="AG513" s="120" t="n"/>
      <c r="AH513" s="21" t="n"/>
      <c r="AL513" s="22" t="n"/>
      <c r="AM513" s="120" t="n"/>
      <c r="AN513" s="21" t="n"/>
      <c r="AR513" s="22" t="n"/>
      <c r="AS513" s="120" t="n"/>
    </row>
    <row r="514" hidden="1" outlineLevel="3">
      <c r="A514" s="8" t="n"/>
      <c r="B514" s="14" t="n"/>
      <c r="C514" s="120" t="n"/>
      <c r="D514" s="120" t="n"/>
      <c r="E514" s="120" t="n"/>
      <c r="F514" s="120" t="n"/>
      <c r="G514" s="120" t="n"/>
      <c r="I514" s="23" t="n"/>
      <c r="J514" s="24" t="n"/>
      <c r="K514" s="24" t="n"/>
      <c r="L514" s="24" t="n"/>
      <c r="M514" s="25" t="n"/>
      <c r="N514" s="120" t="n"/>
      <c r="O514" s="23" t="n"/>
      <c r="P514" s="24" t="n"/>
      <c r="Q514" s="24" t="n"/>
      <c r="R514" s="24" t="n"/>
      <c r="S514" s="25" t="n"/>
      <c r="T514" s="120" t="n"/>
      <c r="U514" s="23" t="n"/>
      <c r="V514" s="24" t="n"/>
      <c r="W514" s="24" t="n"/>
      <c r="X514" s="24" t="n"/>
      <c r="Y514" s="25" t="n"/>
      <c r="Z514" s="120" t="n"/>
      <c r="AB514" s="23" t="n"/>
      <c r="AC514" s="24" t="n"/>
      <c r="AD514" s="24" t="n"/>
      <c r="AE514" s="24" t="n"/>
      <c r="AF514" s="25" t="n"/>
      <c r="AG514" s="120" t="n"/>
      <c r="AH514" s="23" t="n"/>
      <c r="AI514" s="24" t="n"/>
      <c r="AJ514" s="24" t="n"/>
      <c r="AK514" s="24" t="n"/>
      <c r="AL514" s="25" t="n"/>
      <c r="AM514" s="120" t="n"/>
      <c r="AN514" s="23" t="n"/>
      <c r="AO514" s="24" t="n"/>
      <c r="AP514" s="24" t="n"/>
      <c r="AQ514" s="24" t="n"/>
      <c r="AR514" s="25" t="n"/>
      <c r="AS514" s="120" t="n"/>
    </row>
    <row r="515" hidden="1" outlineLevel="2">
      <c r="A515" s="8" t="n"/>
      <c r="B515" s="14" t="n"/>
      <c r="C515" s="120" t="n"/>
      <c r="D515" s="120" t="n"/>
      <c r="E515" s="120" t="n"/>
      <c r="F515" s="120" t="n"/>
      <c r="G515" s="120" t="n"/>
      <c r="I515" s="124" t="inlineStr">
        <is>
          <t>Projétil</t>
        </is>
      </c>
      <c r="J515" s="17" t="n"/>
      <c r="K515" s="68">
        <f>DADOS_INVOC!$PR$34</f>
        <v/>
      </c>
      <c r="L515" s="17" t="n"/>
      <c r="M515" s="68">
        <f>DADOS_INVOC!$PN$34</f>
        <v/>
      </c>
      <c r="N515" s="120" t="n"/>
      <c r="O515" s="124" t="inlineStr">
        <is>
          <t>Projétil</t>
        </is>
      </c>
      <c r="P515" s="17" t="n"/>
      <c r="Q515" s="68">
        <f>DADOS_INVOC!$PR$35</f>
        <v/>
      </c>
      <c r="R515" s="17" t="n"/>
      <c r="S515" s="68">
        <f>DADOS_INVOC!$PN$35</f>
        <v/>
      </c>
      <c r="T515" s="120" t="n"/>
      <c r="U515" s="124" t="inlineStr">
        <is>
          <t>Projétil</t>
        </is>
      </c>
      <c r="V515" s="17" t="n"/>
      <c r="W515" s="68">
        <f>DADOS_INVOC!$PR$36</f>
        <v/>
      </c>
      <c r="X515" s="17" t="n"/>
      <c r="Y515" s="68">
        <f>DADOS_INVOC!$PN$36</f>
        <v/>
      </c>
      <c r="Z515" s="120" t="n"/>
      <c r="AB515" s="124" t="inlineStr">
        <is>
          <t>Projétil</t>
        </is>
      </c>
      <c r="AC515" s="17" t="n"/>
      <c r="AD515" s="68">
        <f>DADOS_INVOC!$PR$112</f>
        <v/>
      </c>
      <c r="AE515" s="17" t="n"/>
      <c r="AF515" s="68">
        <f>DADOS_INVOC!$PN$112</f>
        <v/>
      </c>
      <c r="AG515" s="120" t="n"/>
      <c r="AH515" s="124" t="inlineStr">
        <is>
          <t>Projétil</t>
        </is>
      </c>
      <c r="AI515" s="17" t="n"/>
      <c r="AJ515" s="68">
        <f>DADOS_INVOC!$PR$113</f>
        <v/>
      </c>
      <c r="AK515" s="17" t="n"/>
      <c r="AL515" s="68">
        <f>DADOS_INVOC!$PN$113</f>
        <v/>
      </c>
      <c r="AM515" s="120" t="n"/>
      <c r="AN515" s="124" t="inlineStr">
        <is>
          <t>Projétil</t>
        </is>
      </c>
      <c r="AO515" s="17" t="n"/>
      <c r="AP515" s="68">
        <f>DADOS_INVOC!$PR$114</f>
        <v/>
      </c>
      <c r="AQ515" s="17" t="n"/>
      <c r="AR515" s="68">
        <f>DADOS_INVOC!$PN$114</f>
        <v/>
      </c>
      <c r="AS515" s="120" t="n"/>
    </row>
    <row r="516" hidden="1" outlineLevel="2">
      <c r="A516" s="8" t="n"/>
      <c r="B516" s="14" t="n"/>
      <c r="C516" s="120" t="n"/>
      <c r="D516" s="120" t="n"/>
      <c r="E516" s="120" t="n"/>
      <c r="F516" s="120" t="n"/>
      <c r="G516" s="120" t="n"/>
      <c r="I516" s="124" t="n"/>
      <c r="J516" s="17" t="n"/>
      <c r="K516" s="124" t="n"/>
      <c r="L516" s="16" t="n"/>
      <c r="M516" s="17" t="n"/>
      <c r="N516" s="120" t="n"/>
      <c r="O516" s="124" t="n"/>
      <c r="P516" s="17" t="n"/>
      <c r="Q516" s="124" t="n"/>
      <c r="R516" s="16" t="n"/>
      <c r="S516" s="17" t="n"/>
      <c r="T516" s="120" t="n"/>
      <c r="U516" s="124" t="n"/>
      <c r="V516" s="17" t="n"/>
      <c r="W516" s="124" t="n"/>
      <c r="X516" s="16" t="n"/>
      <c r="Y516" s="17" t="n"/>
      <c r="Z516" s="120" t="n"/>
      <c r="AB516" s="124" t="n"/>
      <c r="AC516" s="17" t="n"/>
      <c r="AD516" s="124" t="n"/>
      <c r="AE516" s="16" t="n"/>
      <c r="AF516" s="17" t="n"/>
      <c r="AG516" s="120" t="n"/>
      <c r="AH516" s="124" t="n"/>
      <c r="AI516" s="17" t="n"/>
      <c r="AJ516" s="124" t="n"/>
      <c r="AK516" s="16" t="n"/>
      <c r="AL516" s="17" t="n"/>
      <c r="AM516" s="120" t="n"/>
      <c r="AN516" s="124" t="n"/>
      <c r="AO516" s="17" t="n"/>
      <c r="AP516" s="124" t="n"/>
      <c r="AQ516" s="16" t="n"/>
      <c r="AR516" s="17" t="n"/>
      <c r="AS516" s="120" t="n"/>
    </row>
    <row r="517" hidden="1" outlineLevel="2">
      <c r="A517" s="8" t="n"/>
      <c r="B517" s="14" t="n"/>
      <c r="C517" s="120" t="n"/>
      <c r="D517" s="120" t="n"/>
      <c r="E517" s="120" t="n"/>
      <c r="F517" s="120" t="n"/>
      <c r="G517" s="120" t="n"/>
      <c r="I517" s="124">
        <f>DADOS_INVOC!$PO$34</f>
        <v/>
      </c>
      <c r="J517" s="17" t="n"/>
      <c r="K517" s="124">
        <f>DADOS_INVOC!$PQ$34</f>
        <v/>
      </c>
      <c r="L517" s="16" t="n"/>
      <c r="M517" s="17" t="n"/>
      <c r="N517" s="120" t="n"/>
      <c r="O517" s="124">
        <f>DADOS_INVOC!$PO$35</f>
        <v/>
      </c>
      <c r="P517" s="17" t="n"/>
      <c r="Q517" s="124">
        <f>DADOS_INVOC!$PQ$35</f>
        <v/>
      </c>
      <c r="R517" s="16" t="n"/>
      <c r="S517" s="17" t="n"/>
      <c r="T517" s="120" t="n"/>
      <c r="U517" s="124">
        <f>DADOS_INVOC!$PO$36</f>
        <v/>
      </c>
      <c r="V517" s="17" t="n"/>
      <c r="W517" s="124">
        <f>DADOS_INVOC!$PQ$36</f>
        <v/>
      </c>
      <c r="X517" s="16" t="n"/>
      <c r="Y517" s="17" t="n"/>
      <c r="Z517" s="120" t="n"/>
      <c r="AB517" s="124">
        <f>DADOS_INVOC!$PO$112</f>
        <v/>
      </c>
      <c r="AC517" s="17" t="n"/>
      <c r="AD517" s="124">
        <f>DADOS_INVOC!$PQ$112</f>
        <v/>
      </c>
      <c r="AE517" s="16" t="n"/>
      <c r="AF517" s="17" t="n"/>
      <c r="AG517" s="120" t="n"/>
      <c r="AH517" s="124">
        <f>DADOS_INVOC!$PO$113</f>
        <v/>
      </c>
      <c r="AI517" s="17" t="n"/>
      <c r="AJ517" s="124">
        <f>DADOS_INVOC!$PQ$113</f>
        <v/>
      </c>
      <c r="AK517" s="16" t="n"/>
      <c r="AL517" s="17" t="n"/>
      <c r="AM517" s="120" t="n"/>
      <c r="AN517" s="124">
        <f>DADOS_INVOC!$PO$114</f>
        <v/>
      </c>
      <c r="AO517" s="17" t="n"/>
      <c r="AP517" s="124">
        <f>DADOS_INVOC!$PQ$114</f>
        <v/>
      </c>
      <c r="AQ517" s="16" t="n"/>
      <c r="AR517" s="17" t="n"/>
      <c r="AS517" s="120" t="n"/>
    </row>
    <row r="518" hidden="1" outlineLevel="2">
      <c r="A518" s="8" t="n"/>
      <c r="B518" s="14" t="n"/>
      <c r="C518" s="120" t="n"/>
      <c r="D518" s="120" t="n"/>
      <c r="E518" s="120" t="n"/>
      <c r="F518" s="120" t="n"/>
      <c r="G518" s="120" t="n"/>
      <c r="I518" s="129">
        <f>DADOS_INVOC!$PW$34</f>
        <v/>
      </c>
      <c r="J518" s="16" t="n"/>
      <c r="K518" s="16" t="n"/>
      <c r="L518" s="16" t="n"/>
      <c r="M518" s="17" t="n"/>
      <c r="N518" s="120" t="n"/>
      <c r="O518" s="129">
        <f>DADOS_INVOC!$PW$35</f>
        <v/>
      </c>
      <c r="P518" s="16" t="n"/>
      <c r="Q518" s="16" t="n"/>
      <c r="R518" s="16" t="n"/>
      <c r="S518" s="17" t="n"/>
      <c r="T518" s="120" t="n"/>
      <c r="U518" s="129">
        <f>DADOS_INVOC!$PW$36</f>
        <v/>
      </c>
      <c r="V518" s="16" t="n"/>
      <c r="W518" s="16" t="n"/>
      <c r="X518" s="16" t="n"/>
      <c r="Y518" s="17" t="n"/>
      <c r="Z518" s="120" t="n"/>
      <c r="AB518" s="129">
        <f>DADOS_INVOC!$PW$112</f>
        <v/>
      </c>
      <c r="AC518" s="16" t="n"/>
      <c r="AD518" s="16" t="n"/>
      <c r="AE518" s="16" t="n"/>
      <c r="AF518" s="17" t="n"/>
      <c r="AG518" s="120" t="n"/>
      <c r="AH518" s="129">
        <f>DADOS_INVOC!$PW$113</f>
        <v/>
      </c>
      <c r="AI518" s="16" t="n"/>
      <c r="AJ518" s="16" t="n"/>
      <c r="AK518" s="16" t="n"/>
      <c r="AL518" s="17" t="n"/>
      <c r="AM518" s="120" t="n"/>
      <c r="AN518" s="129">
        <f>DADOS_INVOC!$PW$114</f>
        <v/>
      </c>
      <c r="AO518" s="16" t="n"/>
      <c r="AP518" s="16" t="n"/>
      <c r="AQ518" s="16" t="n"/>
      <c r="AR518" s="17" t="n"/>
      <c r="AS518" s="120" t="n"/>
    </row>
    <row r="519" hidden="1" outlineLevel="3">
      <c r="A519" s="8" t="n"/>
      <c r="B519" s="14" t="n"/>
      <c r="C519" s="120" t="n"/>
      <c r="D519" s="120" t="n"/>
      <c r="E519" s="120" t="n"/>
      <c r="F519" s="120" t="n"/>
      <c r="G519" s="120" t="n"/>
      <c r="I519" s="55" t="inlineStr">
        <is>
          <t>MELHORIAS</t>
        </is>
      </c>
      <c r="J519" s="130" t="n"/>
      <c r="K519" s="16" t="n"/>
      <c r="L519" s="17" t="n"/>
      <c r="M519" s="129">
        <f>DADOS_INVOC!$PZ$34</f>
        <v/>
      </c>
      <c r="N519" s="120" t="n"/>
      <c r="O519" s="55" t="inlineStr">
        <is>
          <t>MELHORIAS</t>
        </is>
      </c>
      <c r="P519" s="130" t="n"/>
      <c r="Q519" s="16" t="n"/>
      <c r="R519" s="17" t="n"/>
      <c r="S519" s="129">
        <f>DADOS_INVOC!$PZ$35</f>
        <v/>
      </c>
      <c r="T519" s="120" t="n"/>
      <c r="U519" s="55" t="inlineStr">
        <is>
          <t>MELHORIAS</t>
        </is>
      </c>
      <c r="V519" s="130" t="n"/>
      <c r="W519" s="16" t="n"/>
      <c r="X519" s="17" t="n"/>
      <c r="Y519" s="129">
        <f>DADOS_INVOC!$PZ$36</f>
        <v/>
      </c>
      <c r="Z519" s="120" t="n"/>
      <c r="AB519" s="55" t="inlineStr">
        <is>
          <t>MELHORIAS</t>
        </is>
      </c>
      <c r="AC519" s="130" t="n"/>
      <c r="AD519" s="16" t="n"/>
      <c r="AE519" s="17" t="n"/>
      <c r="AF519" s="129">
        <f>DADOS_INVOC!$PZ$112</f>
        <v/>
      </c>
      <c r="AG519" s="120" t="n"/>
      <c r="AH519" s="55" t="inlineStr">
        <is>
          <t>MELHORIAS</t>
        </is>
      </c>
      <c r="AI519" s="130" t="n"/>
      <c r="AJ519" s="16" t="n"/>
      <c r="AK519" s="17" t="n"/>
      <c r="AL519" s="129">
        <f>DADOS_INVOC!$PZ$113</f>
        <v/>
      </c>
      <c r="AM519" s="120" t="n"/>
      <c r="AN519" s="55" t="inlineStr">
        <is>
          <t>MELHORIAS</t>
        </is>
      </c>
      <c r="AO519" s="130" t="n"/>
      <c r="AP519" s="16" t="n"/>
      <c r="AQ519" s="17" t="n"/>
      <c r="AR519" s="129">
        <f>DADOS_INVOC!$PZ$114</f>
        <v/>
      </c>
      <c r="AS519" s="120" t="n"/>
    </row>
    <row r="520" hidden="1" outlineLevel="3">
      <c r="A520" s="8" t="n"/>
      <c r="B520" s="14" t="n"/>
      <c r="C520" s="120" t="n"/>
      <c r="D520" s="120" t="n"/>
      <c r="E520" s="120" t="n"/>
      <c r="F520" s="120" t="n"/>
      <c r="G520" s="120" t="n"/>
      <c r="I520" s="131" t="n"/>
      <c r="J520" s="130" t="n"/>
      <c r="K520" s="16" t="n"/>
      <c r="L520" s="17" t="n"/>
      <c r="M520" s="129">
        <f>DADOS_INVOC!$QA$34</f>
        <v/>
      </c>
      <c r="N520" s="120" t="n"/>
      <c r="O520" s="131" t="n"/>
      <c r="P520" s="130" t="n"/>
      <c r="Q520" s="16" t="n"/>
      <c r="R520" s="17" t="n"/>
      <c r="S520" s="129">
        <f>DADOS_INVOC!$QA$35</f>
        <v/>
      </c>
      <c r="T520" s="120" t="n"/>
      <c r="U520" s="131" t="n"/>
      <c r="V520" s="130" t="n"/>
      <c r="W520" s="16" t="n"/>
      <c r="X520" s="17" t="n"/>
      <c r="Y520" s="129">
        <f>DADOS_INVOC!$QA$36</f>
        <v/>
      </c>
      <c r="Z520" s="120" t="n"/>
      <c r="AB520" s="131" t="n"/>
      <c r="AC520" s="130" t="n"/>
      <c r="AD520" s="16" t="n"/>
      <c r="AE520" s="17" t="n"/>
      <c r="AF520" s="129">
        <f>DADOS_INVOC!$QA$112</f>
        <v/>
      </c>
      <c r="AG520" s="120" t="n"/>
      <c r="AH520" s="131" t="n"/>
      <c r="AI520" s="130" t="n"/>
      <c r="AJ520" s="16" t="n"/>
      <c r="AK520" s="17" t="n"/>
      <c r="AL520" s="129">
        <f>DADOS_INVOC!$QA$113</f>
        <v/>
      </c>
      <c r="AM520" s="120" t="n"/>
      <c r="AN520" s="131" t="n"/>
      <c r="AO520" s="130" t="n"/>
      <c r="AP520" s="16" t="n"/>
      <c r="AQ520" s="17" t="n"/>
      <c r="AR520" s="129">
        <f>DADOS_INVOC!$QA$114</f>
        <v/>
      </c>
      <c r="AS520" s="120" t="n"/>
    </row>
    <row r="521" hidden="1" outlineLevel="3">
      <c r="A521" s="8" t="n"/>
      <c r="B521" s="14" t="n"/>
      <c r="C521" s="120" t="n"/>
      <c r="D521" s="120" t="n"/>
      <c r="E521" s="120" t="n"/>
      <c r="F521" s="120" t="n"/>
      <c r="G521" s="120" t="n"/>
      <c r="I521" s="131" t="n"/>
      <c r="J521" s="130" t="n"/>
      <c r="K521" s="16" t="n"/>
      <c r="L521" s="17" t="n"/>
      <c r="M521" s="129">
        <f>DADOS_INVOC!$QB$34</f>
        <v/>
      </c>
      <c r="N521" s="120" t="n"/>
      <c r="O521" s="131" t="n"/>
      <c r="P521" s="130" t="n"/>
      <c r="Q521" s="16" t="n"/>
      <c r="R521" s="17" t="n"/>
      <c r="S521" s="129">
        <f>DADOS_INVOC!$QB$35</f>
        <v/>
      </c>
      <c r="T521" s="120" t="n"/>
      <c r="U521" s="131" t="n"/>
      <c r="V521" s="130" t="n"/>
      <c r="W521" s="16" t="n"/>
      <c r="X521" s="17" t="n"/>
      <c r="Y521" s="129">
        <f>DADOS_INVOC!$QB$36</f>
        <v/>
      </c>
      <c r="Z521" s="120" t="n"/>
      <c r="AB521" s="131" t="n"/>
      <c r="AC521" s="130" t="n"/>
      <c r="AD521" s="16" t="n"/>
      <c r="AE521" s="17" t="n"/>
      <c r="AF521" s="129">
        <f>DADOS_INVOC!$QB$112</f>
        <v/>
      </c>
      <c r="AG521" s="120" t="n"/>
      <c r="AH521" s="131" t="n"/>
      <c r="AI521" s="130" t="n"/>
      <c r="AJ521" s="16" t="n"/>
      <c r="AK521" s="17" t="n"/>
      <c r="AL521" s="129">
        <f>DADOS_INVOC!$QB$113</f>
        <v/>
      </c>
      <c r="AM521" s="120" t="n"/>
      <c r="AN521" s="131" t="n"/>
      <c r="AO521" s="130" t="n"/>
      <c r="AP521" s="16" t="n"/>
      <c r="AQ521" s="17" t="n"/>
      <c r="AR521" s="129">
        <f>DADOS_INVOC!$QB$114</f>
        <v/>
      </c>
      <c r="AS521" s="120" t="n"/>
    </row>
    <row r="522" hidden="1" outlineLevel="3">
      <c r="A522" s="8" t="n"/>
      <c r="B522" s="14" t="n"/>
      <c r="C522" s="120" t="n"/>
      <c r="D522" s="120" t="n"/>
      <c r="E522" s="120" t="n"/>
      <c r="F522" s="120" t="n"/>
      <c r="G522" s="120" t="n"/>
      <c r="I522" s="125" t="n"/>
      <c r="J522" s="130" t="n"/>
      <c r="K522" s="16" t="n"/>
      <c r="L522" s="17" t="n"/>
      <c r="M522" s="129">
        <f>DADOS_INVOC!$QC$34</f>
        <v/>
      </c>
      <c r="N522" s="120" t="n"/>
      <c r="O522" s="125" t="n"/>
      <c r="P522" s="130" t="n"/>
      <c r="Q522" s="16" t="n"/>
      <c r="R522" s="17" t="n"/>
      <c r="S522" s="129">
        <f>DADOS_INVOC!$QC$35</f>
        <v/>
      </c>
      <c r="T522" s="120" t="n"/>
      <c r="U522" s="125" t="n"/>
      <c r="V522" s="130" t="n"/>
      <c r="W522" s="16" t="n"/>
      <c r="X522" s="17" t="n"/>
      <c r="Y522" s="129">
        <f>DADOS_INVOC!$QC$36</f>
        <v/>
      </c>
      <c r="Z522" s="120" t="n"/>
      <c r="AB522" s="125" t="n"/>
      <c r="AC522" s="130" t="n"/>
      <c r="AD522" s="16" t="n"/>
      <c r="AE522" s="17" t="n"/>
      <c r="AF522" s="129">
        <f>DADOS_INVOC!$QC$112</f>
        <v/>
      </c>
      <c r="AG522" s="120" t="n"/>
      <c r="AH522" s="125" t="n"/>
      <c r="AI522" s="130" t="n"/>
      <c r="AJ522" s="16" t="n"/>
      <c r="AK522" s="17" t="n"/>
      <c r="AL522" s="129">
        <f>DADOS_INVOC!$QC$113</f>
        <v/>
      </c>
      <c r="AM522" s="120" t="n"/>
      <c r="AN522" s="125" t="n"/>
      <c r="AO522" s="130" t="n"/>
      <c r="AP522" s="16" t="n"/>
      <c r="AQ522" s="17" t="n"/>
      <c r="AR522" s="129">
        <f>DADOS_INVOC!$QC$114</f>
        <v/>
      </c>
      <c r="AS522" s="120" t="n"/>
    </row>
    <row r="523" hidden="1" outlineLevel="3">
      <c r="A523" s="8" t="n"/>
      <c r="B523" s="14" t="n"/>
      <c r="C523" s="120" t="n"/>
      <c r="D523" s="120" t="n"/>
      <c r="E523" s="120" t="n"/>
      <c r="F523" s="120" t="n"/>
      <c r="G523" s="120" t="n"/>
      <c r="I523" s="55" t="inlineStr">
        <is>
          <t>RESTRIÇÕES</t>
        </is>
      </c>
      <c r="J523" s="130" t="n"/>
      <c r="K523" s="16" t="n"/>
      <c r="L523" s="17" t="n"/>
      <c r="M523" s="129">
        <f>DADOS_INVOC!$QD$34</f>
        <v/>
      </c>
      <c r="N523" s="120" t="n"/>
      <c r="O523" s="55" t="inlineStr">
        <is>
          <t>RESTRIÇÕES</t>
        </is>
      </c>
      <c r="P523" s="130" t="n"/>
      <c r="Q523" s="16" t="n"/>
      <c r="R523" s="17" t="n"/>
      <c r="S523" s="129">
        <f>DADOS_INVOC!$QD$35</f>
        <v/>
      </c>
      <c r="T523" s="120" t="n"/>
      <c r="U523" s="55" t="inlineStr">
        <is>
          <t>RESTRIÇÕES</t>
        </is>
      </c>
      <c r="V523" s="130" t="n"/>
      <c r="W523" s="16" t="n"/>
      <c r="X523" s="17" t="n"/>
      <c r="Y523" s="129">
        <f>DADOS_INVOC!$QD$36</f>
        <v/>
      </c>
      <c r="Z523" s="120" t="n"/>
      <c r="AB523" s="55" t="inlineStr">
        <is>
          <t>RESTRIÇÕES</t>
        </is>
      </c>
      <c r="AC523" s="130" t="n"/>
      <c r="AD523" s="16" t="n"/>
      <c r="AE523" s="17" t="n"/>
      <c r="AF523" s="129">
        <f>DADOS_INVOC!$QD$112</f>
        <v/>
      </c>
      <c r="AG523" s="120" t="n"/>
      <c r="AH523" s="55" t="inlineStr">
        <is>
          <t>RESTRIÇÕES</t>
        </is>
      </c>
      <c r="AI523" s="130" t="n"/>
      <c r="AJ523" s="16" t="n"/>
      <c r="AK523" s="17" t="n"/>
      <c r="AL523" s="129">
        <f>DADOS_INVOC!$QD$113</f>
        <v/>
      </c>
      <c r="AM523" s="120" t="n"/>
      <c r="AN523" s="55" t="inlineStr">
        <is>
          <t>RESTRIÇÕES</t>
        </is>
      </c>
      <c r="AO523" s="130" t="n"/>
      <c r="AP523" s="16" t="n"/>
      <c r="AQ523" s="17" t="n"/>
      <c r="AR523" s="129">
        <f>DADOS_INVOC!$QD$114</f>
        <v/>
      </c>
      <c r="AS523" s="120" t="n"/>
    </row>
    <row r="524" hidden="1" outlineLevel="3">
      <c r="A524" s="8" t="n"/>
      <c r="B524" s="14" t="n"/>
      <c r="C524" s="120" t="n"/>
      <c r="D524" s="120" t="n"/>
      <c r="E524" s="120" t="n"/>
      <c r="F524" s="120" t="n"/>
      <c r="G524" s="120" t="n"/>
      <c r="I524" s="125" t="n"/>
      <c r="J524" s="130" t="n"/>
      <c r="K524" s="16" t="n"/>
      <c r="L524" s="17" t="n"/>
      <c r="M524" s="129">
        <f>DADOS_INVOC!$QE$34</f>
        <v/>
      </c>
      <c r="N524" s="120" t="n"/>
      <c r="O524" s="125" t="n"/>
      <c r="P524" s="130" t="n"/>
      <c r="Q524" s="16" t="n"/>
      <c r="R524" s="17" t="n"/>
      <c r="S524" s="129">
        <f>DADOS_INVOC!$QE$35</f>
        <v/>
      </c>
      <c r="T524" s="120" t="n"/>
      <c r="U524" s="125" t="n"/>
      <c r="V524" s="130" t="n"/>
      <c r="W524" s="16" t="n"/>
      <c r="X524" s="17" t="n"/>
      <c r="Y524" s="129">
        <f>DADOS_INVOC!$QE$36</f>
        <v/>
      </c>
      <c r="Z524" s="120" t="n"/>
      <c r="AB524" s="125" t="n"/>
      <c r="AC524" s="130" t="n"/>
      <c r="AD524" s="16" t="n"/>
      <c r="AE524" s="17" t="n"/>
      <c r="AF524" s="129">
        <f>DADOS_INVOC!$QE$112</f>
        <v/>
      </c>
      <c r="AG524" s="120" t="n"/>
      <c r="AH524" s="125" t="n"/>
      <c r="AI524" s="130" t="n"/>
      <c r="AJ524" s="16" t="n"/>
      <c r="AK524" s="17" t="n"/>
      <c r="AL524" s="129">
        <f>DADOS_INVOC!$QE$113</f>
        <v/>
      </c>
      <c r="AM524" s="120" t="n"/>
      <c r="AN524" s="125" t="n"/>
      <c r="AO524" s="130" t="n"/>
      <c r="AP524" s="16" t="n"/>
      <c r="AQ524" s="17" t="n"/>
      <c r="AR524" s="129">
        <f>DADOS_INVOC!$QE$114</f>
        <v/>
      </c>
      <c r="AS524" s="120" t="n"/>
    </row>
    <row r="525" hidden="1" outlineLevel="3">
      <c r="A525" s="8" t="n"/>
      <c r="B525" s="14" t="n"/>
      <c r="C525" s="120" t="n"/>
      <c r="D525" s="120" t="n"/>
      <c r="E525" s="120" t="n"/>
      <c r="F525" s="120" t="n"/>
      <c r="G525" s="120" t="n"/>
      <c r="I525" s="55" t="inlineStr">
        <is>
          <t>CONTA</t>
        </is>
      </c>
      <c r="J525" s="132">
        <f>DADOS_INVOC!$PX$34</f>
        <v/>
      </c>
      <c r="K525" s="16" t="n"/>
      <c r="L525" s="16" t="n"/>
      <c r="M525" s="17" t="n"/>
      <c r="N525" s="120" t="n"/>
      <c r="O525" s="55" t="inlineStr">
        <is>
          <t>CONTA</t>
        </is>
      </c>
      <c r="P525" s="132">
        <f>DADOS_INVOC!$PX$35</f>
        <v/>
      </c>
      <c r="Q525" s="16" t="n"/>
      <c r="R525" s="16" t="n"/>
      <c r="S525" s="17" t="n"/>
      <c r="T525" s="120" t="n"/>
      <c r="U525" s="55" t="inlineStr">
        <is>
          <t>CONTA</t>
        </is>
      </c>
      <c r="V525" s="132">
        <f>DADOS_INVOC!$PX$36</f>
        <v/>
      </c>
      <c r="W525" s="16" t="n"/>
      <c r="X525" s="16" t="n"/>
      <c r="Y525" s="17" t="n"/>
      <c r="Z525" s="120" t="n"/>
      <c r="AB525" s="55" t="inlineStr">
        <is>
          <t>CONTA</t>
        </is>
      </c>
      <c r="AC525" s="132">
        <f>DADOS_INVOC!$PX$112</f>
        <v/>
      </c>
      <c r="AD525" s="16" t="n"/>
      <c r="AE525" s="16" t="n"/>
      <c r="AF525" s="17" t="n"/>
      <c r="AG525" s="120" t="n"/>
      <c r="AH525" s="55" t="inlineStr">
        <is>
          <t>CONTA</t>
        </is>
      </c>
      <c r="AI525" s="132">
        <f>DADOS_INVOC!$PX$113</f>
        <v/>
      </c>
      <c r="AJ525" s="16" t="n"/>
      <c r="AK525" s="16" t="n"/>
      <c r="AL525" s="17" t="n"/>
      <c r="AM525" s="120" t="n"/>
      <c r="AN525" s="55" t="inlineStr">
        <is>
          <t>CONTA</t>
        </is>
      </c>
      <c r="AO525" s="132">
        <f>DADOS_INVOC!$PX$114</f>
        <v/>
      </c>
      <c r="AP525" s="16" t="n"/>
      <c r="AQ525" s="16" t="n"/>
      <c r="AR525" s="17" t="n"/>
      <c r="AS525" s="120" t="n"/>
    </row>
    <row r="526" hidden="1" outlineLevel="3">
      <c r="A526" s="8" t="n"/>
      <c r="B526" s="14" t="n"/>
      <c r="C526" s="120" t="n"/>
      <c r="D526" s="120" t="n"/>
      <c r="E526" s="120" t="n"/>
      <c r="F526" s="120" t="n"/>
      <c r="G526" s="120" t="n"/>
      <c r="I526" s="55" t="inlineStr">
        <is>
          <t>AMPLIAR</t>
        </is>
      </c>
      <c r="J526" s="132">
        <f>DADOS_INVOC!$PY$34</f>
        <v/>
      </c>
      <c r="K526" s="19" t="n"/>
      <c r="L526" s="19" t="n"/>
      <c r="M526" s="20" t="n"/>
      <c r="N526" s="120" t="n"/>
      <c r="O526" s="55" t="inlineStr">
        <is>
          <t>AMPLIAR</t>
        </is>
      </c>
      <c r="P526" s="132">
        <f>DADOS_INVOC!$PY$35</f>
        <v/>
      </c>
      <c r="Q526" s="19" t="n"/>
      <c r="R526" s="19" t="n"/>
      <c r="S526" s="20" t="n"/>
      <c r="T526" s="120" t="n"/>
      <c r="U526" s="55" t="inlineStr">
        <is>
          <t>AMPLIAR</t>
        </is>
      </c>
      <c r="V526" s="132">
        <f>DADOS_INVOC!$PY$36</f>
        <v/>
      </c>
      <c r="W526" s="19" t="n"/>
      <c r="X526" s="19" t="n"/>
      <c r="Y526" s="20" t="n"/>
      <c r="Z526" s="120" t="n"/>
      <c r="AB526" s="55" t="inlineStr">
        <is>
          <t>AMPLIAR</t>
        </is>
      </c>
      <c r="AC526" s="132">
        <f>DADOS_INVOC!$PY$112</f>
        <v/>
      </c>
      <c r="AD526" s="19" t="n"/>
      <c r="AE526" s="19" t="n"/>
      <c r="AF526" s="20" t="n"/>
      <c r="AG526" s="120" t="n"/>
      <c r="AH526" s="55" t="inlineStr">
        <is>
          <t>AMPLIAR</t>
        </is>
      </c>
      <c r="AI526" s="132">
        <f>DADOS_INVOC!$PY$113</f>
        <v/>
      </c>
      <c r="AJ526" s="19" t="n"/>
      <c r="AK526" s="19" t="n"/>
      <c r="AL526" s="20" t="n"/>
      <c r="AM526" s="120" t="n"/>
      <c r="AN526" s="55" t="inlineStr">
        <is>
          <t>AMPLIAR</t>
        </is>
      </c>
      <c r="AO526" s="132">
        <f>DADOS_INVOC!$PY$114</f>
        <v/>
      </c>
      <c r="AP526" s="19" t="n"/>
      <c r="AQ526" s="19" t="n"/>
      <c r="AR526" s="20" t="n"/>
      <c r="AS526" s="120" t="n"/>
    </row>
    <row r="527" hidden="1" outlineLevel="3">
      <c r="A527" s="8" t="n"/>
      <c r="B527" s="14" t="n"/>
      <c r="C527" s="120" t="n"/>
      <c r="D527" s="120" t="n"/>
      <c r="E527" s="120" t="n"/>
      <c r="F527" s="120" t="n"/>
      <c r="G527" s="120" t="n"/>
      <c r="I527" s="125" t="n"/>
      <c r="J527" s="23" t="n"/>
      <c r="K527" s="24" t="n"/>
      <c r="L527" s="24" t="n"/>
      <c r="M527" s="25" t="n"/>
      <c r="N527" s="120" t="n"/>
      <c r="O527" s="125" t="n"/>
      <c r="P527" s="23" t="n"/>
      <c r="Q527" s="24" t="n"/>
      <c r="R527" s="24" t="n"/>
      <c r="S527" s="25" t="n"/>
      <c r="T527" s="120" t="n"/>
      <c r="U527" s="125" t="n"/>
      <c r="V527" s="23" t="n"/>
      <c r="W527" s="24" t="n"/>
      <c r="X527" s="24" t="n"/>
      <c r="Y527" s="25" t="n"/>
      <c r="Z527" s="120" t="n"/>
      <c r="AB527" s="125" t="n"/>
      <c r="AC527" s="23" t="n"/>
      <c r="AD527" s="24" t="n"/>
      <c r="AE527" s="24" t="n"/>
      <c r="AF527" s="25" t="n"/>
      <c r="AG527" s="120" t="n"/>
      <c r="AH527" s="125" t="n"/>
      <c r="AI527" s="23" t="n"/>
      <c r="AJ527" s="24" t="n"/>
      <c r="AK527" s="24" t="n"/>
      <c r="AL527" s="25" t="n"/>
      <c r="AM527" s="120" t="n"/>
      <c r="AN527" s="125" t="n"/>
      <c r="AO527" s="23" t="n"/>
      <c r="AP527" s="24" t="n"/>
      <c r="AQ527" s="24" t="n"/>
      <c r="AR527" s="25" t="n"/>
      <c r="AS527" s="120" t="n"/>
    </row>
    <row r="528" hidden="1" outlineLevel="3">
      <c r="A528" s="8" t="n"/>
      <c r="B528" s="14" t="n"/>
      <c r="C528" s="120" t="n"/>
      <c r="D528" s="120" t="n"/>
      <c r="E528" s="120" t="n"/>
      <c r="F528" s="120" t="n"/>
      <c r="G528" s="120" t="n"/>
      <c r="I528" s="132">
        <f>DADOS_INVOC!$PL$34</f>
        <v/>
      </c>
      <c r="J528" s="19" t="n"/>
      <c r="K528" s="19" t="n"/>
      <c r="L528" s="19" t="n"/>
      <c r="M528" s="20" t="n"/>
      <c r="N528" s="120" t="n"/>
      <c r="O528" s="132">
        <f>DADOS_INVOC!$PL$35</f>
        <v/>
      </c>
      <c r="P528" s="19" t="n"/>
      <c r="Q528" s="19" t="n"/>
      <c r="R528" s="19" t="n"/>
      <c r="S528" s="20" t="n"/>
      <c r="T528" s="120" t="n"/>
      <c r="U528" s="132">
        <f>DADOS_INVOC!$PL$36</f>
        <v/>
      </c>
      <c r="V528" s="19" t="n"/>
      <c r="W528" s="19" t="n"/>
      <c r="X528" s="19" t="n"/>
      <c r="Y528" s="20" t="n"/>
      <c r="Z528" s="120" t="n"/>
      <c r="AB528" s="132">
        <f>DADOS_INVOC!$PL$112</f>
        <v/>
      </c>
      <c r="AC528" s="19" t="n"/>
      <c r="AD528" s="19" t="n"/>
      <c r="AE528" s="19" t="n"/>
      <c r="AF528" s="20" t="n"/>
      <c r="AG528" s="120" t="n"/>
      <c r="AH528" s="132">
        <f>DADOS_INVOC!$PL$113</f>
        <v/>
      </c>
      <c r="AI528" s="19" t="n"/>
      <c r="AJ528" s="19" t="n"/>
      <c r="AK528" s="19" t="n"/>
      <c r="AL528" s="20" t="n"/>
      <c r="AM528" s="120" t="n"/>
      <c r="AN528" s="132">
        <f>DADOS_INVOC!$PL$114</f>
        <v/>
      </c>
      <c r="AO528" s="19" t="n"/>
      <c r="AP528" s="19" t="n"/>
      <c r="AQ528" s="19" t="n"/>
      <c r="AR528" s="20" t="n"/>
      <c r="AS528" s="120" t="n"/>
    </row>
    <row r="529" hidden="1" outlineLevel="3">
      <c r="A529" s="8" t="n"/>
      <c r="B529" s="14" t="n"/>
      <c r="C529" s="120" t="n"/>
      <c r="D529" s="120" t="n"/>
      <c r="E529" s="120" t="n"/>
      <c r="F529" s="120" t="n"/>
      <c r="G529" s="120" t="n"/>
      <c r="I529" s="23" t="n"/>
      <c r="J529" s="24" t="n"/>
      <c r="K529" s="24" t="n"/>
      <c r="L529" s="24" t="n"/>
      <c r="M529" s="25" t="n"/>
      <c r="N529" s="120" t="n"/>
      <c r="O529" s="23" t="n"/>
      <c r="P529" s="24" t="n"/>
      <c r="Q529" s="24" t="n"/>
      <c r="R529" s="24" t="n"/>
      <c r="S529" s="25" t="n"/>
      <c r="T529" s="120" t="n"/>
      <c r="U529" s="23" t="n"/>
      <c r="V529" s="24" t="n"/>
      <c r="W529" s="24" t="n"/>
      <c r="X529" s="24" t="n"/>
      <c r="Y529" s="25" t="n"/>
      <c r="Z529" s="120" t="n"/>
      <c r="AB529" s="23" t="n"/>
      <c r="AC529" s="24" t="n"/>
      <c r="AD529" s="24" t="n"/>
      <c r="AE529" s="24" t="n"/>
      <c r="AF529" s="25" t="n"/>
      <c r="AG529" s="120" t="n"/>
      <c r="AH529" s="23" t="n"/>
      <c r="AI529" s="24" t="n"/>
      <c r="AJ529" s="24" t="n"/>
      <c r="AK529" s="24" t="n"/>
      <c r="AL529" s="25" t="n"/>
      <c r="AM529" s="120" t="n"/>
      <c r="AN529" s="23" t="n"/>
      <c r="AO529" s="24" t="n"/>
      <c r="AP529" s="24" t="n"/>
      <c r="AQ529" s="24" t="n"/>
      <c r="AR529" s="25" t="n"/>
      <c r="AS529" s="120" t="n"/>
    </row>
    <row r="530" hidden="1" outlineLevel="2">
      <c r="A530" s="8" t="n"/>
      <c r="B530" s="14" t="n"/>
      <c r="C530" s="120" t="n"/>
      <c r="D530" s="120" t="n"/>
      <c r="E530" s="120" t="n"/>
      <c r="F530" s="120" t="n"/>
      <c r="G530" s="120" t="n"/>
      <c r="I530" s="120" t="n"/>
      <c r="J530" s="120" t="n"/>
      <c r="K530" s="120" t="n"/>
      <c r="L530" s="120" t="n"/>
      <c r="M530" s="120" t="n"/>
      <c r="N530" s="120" t="n"/>
      <c r="O530" s="120" t="n"/>
      <c r="P530" s="120" t="n"/>
      <c r="Q530" s="120" t="n"/>
      <c r="R530" s="120" t="n"/>
      <c r="S530" s="120" t="n"/>
      <c r="T530" s="120" t="n"/>
      <c r="U530" s="120" t="n"/>
      <c r="V530" s="120" t="n"/>
      <c r="W530" s="120" t="n"/>
      <c r="X530" s="120" t="n"/>
      <c r="Y530" s="120" t="n"/>
      <c r="Z530" s="120" t="n"/>
      <c r="AB530" s="120" t="n"/>
      <c r="AC530" s="120" t="n"/>
      <c r="AD530" s="120" t="n"/>
      <c r="AE530" s="120" t="n"/>
      <c r="AF530" s="120"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55">
        <f>DADOS_INVOC!$PM$37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55">
        <f>DADOS_INVOC!$PM$115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2">
      <c r="A532" s="8" t="n"/>
      <c r="B532" s="14" t="n"/>
      <c r="C532" s="120" t="n"/>
      <c r="D532" s="120" t="n"/>
      <c r="E532" s="120" t="n"/>
      <c r="F532" s="120" t="n"/>
      <c r="G532" s="120" t="n"/>
      <c r="I532" s="127" t="n">
        <v>1</v>
      </c>
      <c r="J532" s="115" t="n"/>
      <c r="K532" s="16" t="n"/>
      <c r="L532" s="17" t="n"/>
      <c r="M532" s="128">
        <f>DADOS_INVOC!$PK$37</f>
        <v/>
      </c>
      <c r="N532" s="120" t="n"/>
      <c r="O532" s="120" t="n"/>
      <c r="P532" s="120" t="n"/>
      <c r="Q532" s="120" t="n"/>
      <c r="R532" s="120" t="n"/>
      <c r="S532" s="120" t="n"/>
      <c r="T532" s="120" t="n"/>
      <c r="U532" s="120" t="n"/>
      <c r="V532" s="120" t="n"/>
      <c r="W532" s="120" t="n"/>
      <c r="X532" s="120" t="n"/>
      <c r="Y532" s="120" t="n"/>
      <c r="Z532" s="120" t="n"/>
      <c r="AB532" s="127" t="n">
        <v>1</v>
      </c>
      <c r="AC532" s="115" t="n"/>
      <c r="AD532" s="16" t="n"/>
      <c r="AE532" s="17" t="n"/>
      <c r="AF532" s="128">
        <f>DADOS_INVOC!$PK$115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55" t="inlineStr">
        <is>
          <t>COMO É</t>
        </is>
      </c>
      <c r="J533" s="16" t="n"/>
      <c r="K533" s="16" t="n"/>
      <c r="L533" s="16" t="n"/>
      <c r="M533" s="17" t="n"/>
      <c r="N533" s="120" t="n"/>
      <c r="O533" s="120" t="n"/>
      <c r="P533" s="120" t="n"/>
      <c r="Q533" s="120" t="n"/>
      <c r="R533" s="120" t="n"/>
      <c r="S533" s="120" t="n"/>
      <c r="T533" s="120" t="n"/>
      <c r="U533" s="120" t="n"/>
      <c r="V533" s="120" t="n"/>
      <c r="W533" s="120" t="n"/>
      <c r="X533" s="120" t="n"/>
      <c r="Y533" s="120" t="n"/>
      <c r="Z533" s="120" t="n"/>
      <c r="AB533" s="55" t="inlineStr">
        <is>
          <t>COMO É</t>
        </is>
      </c>
      <c r="AC533" s="16" t="n"/>
      <c r="AD533" s="16" t="n"/>
      <c r="AE533" s="16" t="n"/>
      <c r="AF533" s="17" t="n"/>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16" t="n"/>
      <c r="J534" s="19" t="n"/>
      <c r="K534" s="19" t="n"/>
      <c r="L534" s="19" t="n"/>
      <c r="M534" s="20" t="n"/>
      <c r="N534" s="120" t="n"/>
      <c r="O534" s="120" t="n"/>
      <c r="P534" s="120" t="n"/>
      <c r="Q534" s="120" t="n"/>
      <c r="R534" s="120" t="n"/>
      <c r="S534" s="120" t="n"/>
      <c r="T534" s="120" t="n"/>
      <c r="U534" s="120" t="n"/>
      <c r="V534" s="120" t="n"/>
      <c r="W534" s="120" t="n"/>
      <c r="X534" s="120" t="n"/>
      <c r="Y534" s="120" t="n"/>
      <c r="Z534" s="120" t="n"/>
      <c r="AB534" s="116" t="n"/>
      <c r="AC534" s="19" t="n"/>
      <c r="AD534" s="19" t="n"/>
      <c r="AE534" s="19" t="n"/>
      <c r="AF534" s="20" t="n"/>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21" t="n"/>
      <c r="M535" s="22" t="n"/>
      <c r="N535" s="120" t="n"/>
      <c r="O535" s="120" t="n"/>
      <c r="P535" s="120" t="n"/>
      <c r="Q535" s="120" t="n"/>
      <c r="R535" s="120" t="n"/>
      <c r="S535" s="120" t="n"/>
      <c r="T535" s="120" t="n"/>
      <c r="U535" s="120" t="n"/>
      <c r="V535" s="120" t="n"/>
      <c r="W535" s="120" t="n"/>
      <c r="X535" s="120" t="n"/>
      <c r="Y535" s="120" t="n"/>
      <c r="Z535" s="120" t="n"/>
      <c r="AB535" s="21" t="n"/>
      <c r="AF535" s="22" t="n"/>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23" t="n"/>
      <c r="J536" s="24" t="n"/>
      <c r="K536" s="24" t="n"/>
      <c r="L536" s="24" t="n"/>
      <c r="M536" s="25" t="n"/>
      <c r="N536" s="120" t="n"/>
      <c r="O536" s="120" t="n"/>
      <c r="P536" s="120" t="n"/>
      <c r="Q536" s="120" t="n"/>
      <c r="R536" s="120" t="n"/>
      <c r="S536" s="120" t="n"/>
      <c r="T536" s="120" t="n"/>
      <c r="U536" s="120" t="n"/>
      <c r="V536" s="120" t="n"/>
      <c r="W536" s="120" t="n"/>
      <c r="X536" s="120" t="n"/>
      <c r="Y536" s="120" t="n"/>
      <c r="Z536" s="120" t="n"/>
      <c r="AB536" s="23" t="n"/>
      <c r="AC536" s="24" t="n"/>
      <c r="AD536" s="24" t="n"/>
      <c r="AE536" s="24" t="n"/>
      <c r="AF536" s="25" t="n"/>
      <c r="AG536" s="120" t="n"/>
      <c r="AH536" s="120" t="n"/>
      <c r="AI536" s="120" t="n"/>
      <c r="AJ536" s="120" t="n"/>
      <c r="AK536" s="120" t="n"/>
      <c r="AL536" s="120" t="n"/>
      <c r="AM536" s="120" t="n"/>
      <c r="AN536" s="120" t="n"/>
      <c r="AO536" s="120" t="n"/>
      <c r="AP536" s="120" t="n"/>
      <c r="AQ536" s="120" t="n"/>
      <c r="AR536" s="120" t="n"/>
      <c r="AS536" s="120" t="n"/>
    </row>
    <row r="537" hidden="1" outlineLevel="2">
      <c r="A537" s="8" t="n"/>
      <c r="B537" s="14" t="n"/>
      <c r="C537" s="120" t="n"/>
      <c r="D537" s="120" t="n"/>
      <c r="E537" s="120" t="n"/>
      <c r="F537" s="120" t="n"/>
      <c r="G537" s="120" t="n"/>
      <c r="I537" s="124" t="inlineStr">
        <is>
          <t>Projétil</t>
        </is>
      </c>
      <c r="J537" s="17" t="n"/>
      <c r="K537" s="68">
        <f>DADOS_INVOC!$PR$37</f>
        <v/>
      </c>
      <c r="L537" s="17" t="n"/>
      <c r="M537" s="68">
        <f>DADOS_INVOC!$PN$37</f>
        <v/>
      </c>
      <c r="N537" s="120" t="n"/>
      <c r="O537" s="120" t="n"/>
      <c r="P537" s="120" t="n"/>
      <c r="Q537" s="120" t="n"/>
      <c r="R537" s="120" t="n"/>
      <c r="S537" s="120" t="n"/>
      <c r="T537" s="120" t="n"/>
      <c r="U537" s="120" t="n"/>
      <c r="V537" s="120" t="n"/>
      <c r="W537" s="120" t="n"/>
      <c r="X537" s="120" t="n"/>
      <c r="Y537" s="120" t="n"/>
      <c r="Z537" s="120" t="n"/>
      <c r="AB537" s="124" t="inlineStr">
        <is>
          <t>Projétil</t>
        </is>
      </c>
      <c r="AC537" s="17" t="n"/>
      <c r="AD537" s="68">
        <f>DADOS_INVOC!$PR$115</f>
        <v/>
      </c>
      <c r="AE537" s="17" t="n"/>
      <c r="AF537" s="68">
        <f>DADOS_INVOC!$PN$115</f>
        <v/>
      </c>
      <c r="AG537" s="120" t="n"/>
      <c r="AH537" s="120" t="n"/>
      <c r="AI537" s="120" t="n"/>
      <c r="AJ537" s="120" t="n"/>
      <c r="AK537" s="120" t="n"/>
      <c r="AL537" s="120" t="n"/>
      <c r="AM537" s="120" t="n"/>
      <c r="AN537" s="120" t="n"/>
      <c r="AO537" s="120" t="n"/>
      <c r="AP537" s="120" t="n"/>
      <c r="AQ537" s="120" t="n"/>
      <c r="AR537" s="120" t="n"/>
      <c r="AS537" s="120" t="n"/>
    </row>
    <row r="538" hidden="1" outlineLevel="2">
      <c r="A538" s="8" t="n"/>
      <c r="B538" s="14" t="n"/>
      <c r="C538" s="120" t="n"/>
      <c r="D538" s="120" t="n"/>
      <c r="E538" s="120" t="n"/>
      <c r="F538" s="120" t="n"/>
      <c r="G538" s="120" t="n"/>
      <c r="I538" s="124" t="n"/>
      <c r="J538" s="17" t="n"/>
      <c r="K538" s="124" t="n"/>
      <c r="L538" s="16" t="n"/>
      <c r="M538" s="17" t="n"/>
      <c r="N538" s="120" t="n"/>
      <c r="O538" s="120" t="n"/>
      <c r="P538" s="120" t="n"/>
      <c r="Q538" s="120" t="n"/>
      <c r="R538" s="120" t="n"/>
      <c r="S538" s="120" t="n"/>
      <c r="T538" s="120" t="n"/>
      <c r="U538" s="120" t="n"/>
      <c r="V538" s="120" t="n"/>
      <c r="W538" s="120" t="n"/>
      <c r="X538" s="120" t="n"/>
      <c r="Y538" s="120" t="n"/>
      <c r="Z538" s="120" t="n"/>
      <c r="AB538" s="124" t="n"/>
      <c r="AC538" s="17" t="n"/>
      <c r="AD538" s="124"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2">
      <c r="A539" s="8" t="n"/>
      <c r="B539" s="14" t="n"/>
      <c r="C539" s="120" t="n"/>
      <c r="D539" s="120" t="n"/>
      <c r="E539" s="120" t="n"/>
      <c r="F539" s="120" t="n"/>
      <c r="G539" s="120" t="n"/>
      <c r="I539" s="124">
        <f>DADOS_INVOC!$PO$37</f>
        <v/>
      </c>
      <c r="J539" s="17" t="n"/>
      <c r="K539" s="124">
        <f>DADOS_INVOC!$PQ$37</f>
        <v/>
      </c>
      <c r="L539" s="16" t="n"/>
      <c r="M539" s="17" t="n"/>
      <c r="N539" s="120" t="n"/>
      <c r="O539" s="120" t="n"/>
      <c r="P539" s="120" t="n"/>
      <c r="Q539" s="120" t="n"/>
      <c r="R539" s="120" t="n"/>
      <c r="S539" s="120" t="n"/>
      <c r="T539" s="120" t="n"/>
      <c r="U539" s="120" t="n"/>
      <c r="V539" s="120" t="n"/>
      <c r="W539" s="120" t="n"/>
      <c r="X539" s="120" t="n"/>
      <c r="Y539" s="120" t="n"/>
      <c r="Z539" s="120" t="n"/>
      <c r="AB539" s="124">
        <f>DADOS_INVOC!$PO$115</f>
        <v/>
      </c>
      <c r="AC539" s="17" t="n"/>
      <c r="AD539" s="124">
        <f>DADOS_INVOC!$PQ$115</f>
        <v/>
      </c>
      <c r="AE539" s="16" t="n"/>
      <c r="AF539" s="17" t="n"/>
      <c r="AG539" s="120" t="n"/>
      <c r="AH539" s="120" t="n"/>
      <c r="AI539" s="120" t="n"/>
      <c r="AJ539" s="120" t="n"/>
      <c r="AK539" s="120" t="n"/>
      <c r="AL539" s="120" t="n"/>
      <c r="AM539" s="120" t="n"/>
      <c r="AN539" s="120" t="n"/>
      <c r="AO539" s="120" t="n"/>
      <c r="AP539" s="120" t="n"/>
      <c r="AQ539" s="120" t="n"/>
      <c r="AR539" s="120" t="n"/>
      <c r="AS539" s="120" t="n"/>
    </row>
    <row r="540" hidden="1" outlineLevel="2">
      <c r="A540" s="8" t="n"/>
      <c r="B540" s="14" t="n"/>
      <c r="C540" s="120" t="n"/>
      <c r="D540" s="120" t="n"/>
      <c r="E540" s="120" t="n"/>
      <c r="F540" s="120" t="n"/>
      <c r="G540" s="120" t="n"/>
      <c r="I540" s="129">
        <f>DADOS_INVOC!$PW$37</f>
        <v/>
      </c>
      <c r="J540" s="16" t="n"/>
      <c r="K540" s="16" t="n"/>
      <c r="L540" s="16" t="n"/>
      <c r="M540" s="17" t="n"/>
      <c r="N540" s="120" t="n"/>
      <c r="O540" s="120" t="n"/>
      <c r="P540" s="120" t="n"/>
      <c r="Q540" s="120" t="n"/>
      <c r="R540" s="120" t="n"/>
      <c r="S540" s="120" t="n"/>
      <c r="T540" s="120" t="n"/>
      <c r="U540" s="120" t="n"/>
      <c r="V540" s="120" t="n"/>
      <c r="W540" s="120" t="n"/>
      <c r="X540" s="120" t="n"/>
      <c r="Y540" s="120" t="n"/>
      <c r="Z540" s="120" t="n"/>
      <c r="AB540" s="129">
        <f>DADOS_INVOC!$PW$115</f>
        <v/>
      </c>
      <c r="AC540" s="16" t="n"/>
      <c r="AD540" s="16" t="n"/>
      <c r="AE540" s="16" t="n"/>
      <c r="AF540" s="17"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55" t="inlineStr">
        <is>
          <t>MELHORIAS</t>
        </is>
      </c>
      <c r="J541" s="130" t="n"/>
      <c r="K541" s="16" t="n"/>
      <c r="L541" s="17" t="n"/>
      <c r="M541" s="129">
        <f>DADOS_INVOC!$PZ$37</f>
        <v/>
      </c>
      <c r="N541" s="120" t="n"/>
      <c r="O541" s="120" t="n"/>
      <c r="P541" s="120" t="n"/>
      <c r="Q541" s="120" t="n"/>
      <c r="R541" s="120" t="n"/>
      <c r="S541" s="120" t="n"/>
      <c r="T541" s="120" t="n"/>
      <c r="U541" s="120" t="n"/>
      <c r="V541" s="120" t="n"/>
      <c r="W541" s="120" t="n"/>
      <c r="X541" s="120" t="n"/>
      <c r="Y541" s="120" t="n"/>
      <c r="Z541" s="120" t="n"/>
      <c r="AB541" s="55" t="inlineStr">
        <is>
          <t>MELHORIAS</t>
        </is>
      </c>
      <c r="AC541" s="130" t="n"/>
      <c r="AD541" s="16" t="n"/>
      <c r="AE541" s="17" t="n"/>
      <c r="AF541" s="129">
        <f>DADOS_INVOC!$PZ$115</f>
        <v/>
      </c>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131" t="n"/>
      <c r="J542" s="130" t="n"/>
      <c r="K542" s="16" t="n"/>
      <c r="L542" s="17" t="n"/>
      <c r="M542" s="129">
        <f>DADOS_INVOC!$QA$37</f>
        <v/>
      </c>
      <c r="N542" s="120" t="n"/>
      <c r="O542" s="120" t="n"/>
      <c r="P542" s="120" t="n"/>
      <c r="Q542" s="120" t="n"/>
      <c r="R542" s="120" t="n"/>
      <c r="S542" s="120" t="n"/>
      <c r="T542" s="120" t="n"/>
      <c r="U542" s="120" t="n"/>
      <c r="V542" s="120" t="n"/>
      <c r="W542" s="120" t="n"/>
      <c r="X542" s="120" t="n"/>
      <c r="Y542" s="120" t="n"/>
      <c r="Z542" s="120" t="n"/>
      <c r="AB542" s="131" t="n"/>
      <c r="AC542" s="130" t="n"/>
      <c r="AD542" s="16" t="n"/>
      <c r="AE542" s="17" t="n"/>
      <c r="AF542" s="129">
        <f>DADOS_INVOC!$QA$115</f>
        <v/>
      </c>
      <c r="AG542" s="120" t="n"/>
      <c r="AH542" s="120" t="n"/>
      <c r="AI542" s="120" t="n"/>
      <c r="AJ542" s="120" t="n"/>
      <c r="AK542" s="120" t="n"/>
      <c r="AL542" s="120" t="n"/>
      <c r="AM542" s="120" t="n"/>
      <c r="AN542" s="120" t="n"/>
      <c r="AO542" s="120" t="n"/>
      <c r="AP542" s="120" t="n"/>
      <c r="AQ542" s="120" t="n"/>
      <c r="AR542" s="120" t="n"/>
      <c r="AS542" s="120" t="n"/>
    </row>
    <row r="543" hidden="1" outlineLevel="3">
      <c r="A543" s="8" t="n"/>
      <c r="B543" s="14" t="n"/>
      <c r="C543" s="120" t="n"/>
      <c r="D543" s="120" t="n"/>
      <c r="E543" s="120" t="n"/>
      <c r="F543" s="120" t="n"/>
      <c r="G543" s="120" t="n"/>
      <c r="I543" s="131" t="n"/>
      <c r="J543" s="130" t="n"/>
      <c r="K543" s="16" t="n"/>
      <c r="L543" s="17" t="n"/>
      <c r="M543" s="129">
        <f>DADOS_INVOC!$QB$37</f>
        <v/>
      </c>
      <c r="N543" s="120" t="n"/>
      <c r="O543" s="120" t="n"/>
      <c r="P543" s="120" t="n"/>
      <c r="Q543" s="120" t="n"/>
      <c r="R543" s="120" t="n"/>
      <c r="S543" s="120" t="n"/>
      <c r="T543" s="120" t="n"/>
      <c r="U543" s="120" t="n"/>
      <c r="V543" s="120" t="n"/>
      <c r="W543" s="120" t="n"/>
      <c r="X543" s="120" t="n"/>
      <c r="Y543" s="120" t="n"/>
      <c r="Z543" s="120" t="n"/>
      <c r="AB543" s="131" t="n"/>
      <c r="AC543" s="130" t="n"/>
      <c r="AD543" s="16" t="n"/>
      <c r="AE543" s="17" t="n"/>
      <c r="AF543" s="129">
        <f>DADOS_INVOC!$QB$115</f>
        <v/>
      </c>
      <c r="AG543" s="120" t="n"/>
      <c r="AH543" s="120" t="n"/>
      <c r="AI543" s="120" t="n"/>
      <c r="AJ543" s="120" t="n"/>
      <c r="AK543" s="120" t="n"/>
      <c r="AL543" s="120" t="n"/>
      <c r="AM543" s="120" t="n"/>
      <c r="AN543" s="120" t="n"/>
      <c r="AO543" s="120" t="n"/>
      <c r="AP543" s="120" t="n"/>
      <c r="AQ543" s="120" t="n"/>
      <c r="AR543" s="120" t="n"/>
      <c r="AS543" s="120" t="n"/>
    </row>
    <row r="544" hidden="1" outlineLevel="3">
      <c r="A544" s="8" t="n"/>
      <c r="B544" s="14" t="n"/>
      <c r="C544" s="120" t="n"/>
      <c r="D544" s="120" t="n"/>
      <c r="E544" s="120" t="n"/>
      <c r="F544" s="120" t="n"/>
      <c r="G544" s="120" t="n"/>
      <c r="I544" s="125" t="n"/>
      <c r="J544" s="130" t="n"/>
      <c r="K544" s="16" t="n"/>
      <c r="L544" s="17" t="n"/>
      <c r="M544" s="129">
        <f>DADOS_INVOC!$QC$37</f>
        <v/>
      </c>
      <c r="N544" s="120" t="n"/>
      <c r="O544" s="120" t="n"/>
      <c r="P544" s="120" t="n"/>
      <c r="Q544" s="120" t="n"/>
      <c r="R544" s="120" t="n"/>
      <c r="S544" s="120" t="n"/>
      <c r="T544" s="120" t="n"/>
      <c r="U544" s="120" t="n"/>
      <c r="V544" s="120" t="n"/>
      <c r="W544" s="120" t="n"/>
      <c r="X544" s="120" t="n"/>
      <c r="Y544" s="120" t="n"/>
      <c r="Z544" s="120" t="n"/>
      <c r="AB544" s="125" t="n"/>
      <c r="AC544" s="130" t="n"/>
      <c r="AD544" s="16" t="n"/>
      <c r="AE544" s="17" t="n"/>
      <c r="AF544" s="129">
        <f>DADOS_INVOC!$QC$115</f>
        <v/>
      </c>
      <c r="AG544" s="120" t="n"/>
      <c r="AH544" s="120" t="n"/>
      <c r="AI544" s="120" t="n"/>
      <c r="AJ544" s="120" t="n"/>
      <c r="AK544" s="120" t="n"/>
      <c r="AL544" s="120" t="n"/>
      <c r="AM544" s="120" t="n"/>
      <c r="AN544" s="120" t="n"/>
      <c r="AO544" s="120" t="n"/>
      <c r="AP544" s="120" t="n"/>
      <c r="AQ544" s="120" t="n"/>
      <c r="AR544" s="120" t="n"/>
      <c r="AS544" s="120" t="n"/>
    </row>
    <row r="545" hidden="1" outlineLevel="3">
      <c r="A545" s="8" t="n"/>
      <c r="B545" s="14" t="n"/>
      <c r="C545" s="120" t="n"/>
      <c r="D545" s="120" t="n"/>
      <c r="E545" s="120" t="n"/>
      <c r="F545" s="120" t="n"/>
      <c r="G545" s="120" t="n"/>
      <c r="I545" s="55" t="inlineStr">
        <is>
          <t>RESTRIÇÕES</t>
        </is>
      </c>
      <c r="J545" s="130" t="n"/>
      <c r="K545" s="16" t="n"/>
      <c r="L545" s="17" t="n"/>
      <c r="M545" s="129">
        <f>DADOS_INVOC!$QD$37</f>
        <v/>
      </c>
      <c r="N545" s="120" t="n"/>
      <c r="O545" s="120" t="n"/>
      <c r="P545" s="120" t="n"/>
      <c r="Q545" s="120" t="n"/>
      <c r="R545" s="120" t="n"/>
      <c r="S545" s="120" t="n"/>
      <c r="T545" s="120" t="n"/>
      <c r="U545" s="120" t="n"/>
      <c r="V545" s="120" t="n"/>
      <c r="W545" s="120" t="n"/>
      <c r="X545" s="120" t="n"/>
      <c r="Y545" s="120" t="n"/>
      <c r="Z545" s="120" t="n"/>
      <c r="AB545" s="55" t="inlineStr">
        <is>
          <t>RESTRIÇÕES</t>
        </is>
      </c>
      <c r="AC545" s="130" t="n"/>
      <c r="AD545" s="16" t="n"/>
      <c r="AE545" s="17" t="n"/>
      <c r="AF545" s="129">
        <f>DADOS_INVOC!$QD$115</f>
        <v/>
      </c>
      <c r="AG545" s="120" t="n"/>
      <c r="AH545" s="120" t="n"/>
      <c r="AI545" s="120" t="n"/>
      <c r="AJ545" s="120" t="n"/>
      <c r="AK545" s="120" t="n"/>
      <c r="AL545" s="120" t="n"/>
      <c r="AM545" s="120" t="n"/>
      <c r="AN545" s="120" t="n"/>
      <c r="AO545" s="120" t="n"/>
      <c r="AP545" s="120" t="n"/>
      <c r="AQ545" s="120" t="n"/>
      <c r="AR545" s="120" t="n"/>
      <c r="AS545" s="120" t="n"/>
    </row>
    <row r="546" hidden="1" outlineLevel="3">
      <c r="A546" s="8" t="n"/>
      <c r="B546" s="14" t="n"/>
      <c r="C546" s="120" t="n"/>
      <c r="D546" s="120" t="n"/>
      <c r="E546" s="120" t="n"/>
      <c r="F546" s="120" t="n"/>
      <c r="G546" s="120" t="n"/>
      <c r="I546" s="125" t="n"/>
      <c r="J546" s="130" t="n"/>
      <c r="K546" s="16" t="n"/>
      <c r="L546" s="17" t="n"/>
      <c r="M546" s="129">
        <f>DADOS_INVOC!$QE$37</f>
        <v/>
      </c>
      <c r="N546" s="120" t="n"/>
      <c r="O546" s="120" t="n"/>
      <c r="P546" s="120" t="n"/>
      <c r="Q546" s="120" t="n"/>
      <c r="R546" s="120" t="n"/>
      <c r="S546" s="120" t="n"/>
      <c r="T546" s="120" t="n"/>
      <c r="U546" s="120" t="n"/>
      <c r="V546" s="120" t="n"/>
      <c r="W546" s="120" t="n"/>
      <c r="X546" s="120" t="n"/>
      <c r="Y546" s="120" t="n"/>
      <c r="Z546" s="120" t="n"/>
      <c r="AB546" s="125" t="n"/>
      <c r="AC546" s="130" t="n"/>
      <c r="AD546" s="16" t="n"/>
      <c r="AE546" s="17" t="n"/>
      <c r="AF546" s="129">
        <f>DADOS_INVOC!$QE$115</f>
        <v/>
      </c>
      <c r="AG546" s="120" t="n"/>
      <c r="AH546" s="120" t="n"/>
      <c r="AI546" s="120" t="n"/>
      <c r="AJ546" s="120" t="n"/>
      <c r="AK546" s="120" t="n"/>
      <c r="AL546" s="120" t="n"/>
      <c r="AM546" s="120" t="n"/>
      <c r="AN546" s="120" t="n"/>
      <c r="AO546" s="120" t="n"/>
      <c r="AP546" s="120" t="n"/>
      <c r="AQ546" s="120" t="n"/>
      <c r="AR546" s="120" t="n"/>
      <c r="AS546" s="120" t="n"/>
    </row>
    <row r="547" hidden="1" outlineLevel="3">
      <c r="A547" s="8" t="n"/>
      <c r="B547" s="14" t="n"/>
      <c r="C547" s="120" t="n"/>
      <c r="D547" s="120" t="n"/>
      <c r="E547" s="120" t="n"/>
      <c r="F547" s="120" t="n"/>
      <c r="G547" s="120" t="n"/>
      <c r="I547" s="55" t="inlineStr">
        <is>
          <t>CONTA</t>
        </is>
      </c>
      <c r="J547" s="132">
        <f>DADOS_INVOC!$PX$37</f>
        <v/>
      </c>
      <c r="K547" s="16" t="n"/>
      <c r="L547" s="16" t="n"/>
      <c r="M547" s="17" t="n"/>
      <c r="N547" s="120" t="n"/>
      <c r="O547" s="120" t="n"/>
      <c r="P547" s="120" t="n"/>
      <c r="Q547" s="120" t="n"/>
      <c r="R547" s="120" t="n"/>
      <c r="S547" s="120" t="n"/>
      <c r="T547" s="120" t="n"/>
      <c r="U547" s="120" t="n"/>
      <c r="V547" s="120" t="n"/>
      <c r="W547" s="120" t="n"/>
      <c r="X547" s="120" t="n"/>
      <c r="Y547" s="120" t="n"/>
      <c r="Z547" s="120" t="n"/>
      <c r="AB547" s="55" t="inlineStr">
        <is>
          <t>CONTA</t>
        </is>
      </c>
      <c r="AC547" s="132">
        <f>DADOS_INVOC!$PX$115</f>
        <v/>
      </c>
      <c r="AD547" s="16" t="n"/>
      <c r="AE547" s="16" t="n"/>
      <c r="AF547" s="17" t="n"/>
      <c r="AG547" s="120" t="n"/>
      <c r="AH547" s="120" t="n"/>
      <c r="AI547" s="120" t="n"/>
      <c r="AJ547" s="120" t="n"/>
      <c r="AK547" s="120" t="n"/>
      <c r="AL547" s="120" t="n"/>
      <c r="AM547" s="120" t="n"/>
      <c r="AN547" s="120" t="n"/>
      <c r="AO547" s="120" t="n"/>
      <c r="AP547" s="120" t="n"/>
      <c r="AQ547" s="120" t="n"/>
      <c r="AR547" s="120" t="n"/>
      <c r="AS547" s="120" t="n"/>
    </row>
    <row r="548" hidden="1" outlineLevel="3">
      <c r="A548" s="8" t="n"/>
      <c r="B548" s="14" t="n"/>
      <c r="C548" s="120" t="n"/>
      <c r="D548" s="120" t="n"/>
      <c r="E548" s="120" t="n"/>
      <c r="F548" s="120" t="n"/>
      <c r="G548" s="120" t="n"/>
      <c r="I548" s="55" t="inlineStr">
        <is>
          <t>AMPLIAR</t>
        </is>
      </c>
      <c r="J548" s="132">
        <f>DADOS_INVOC!$PY$37</f>
        <v/>
      </c>
      <c r="K548" s="19" t="n"/>
      <c r="L548" s="19" t="n"/>
      <c r="M548" s="20" t="n"/>
      <c r="N548" s="120" t="n"/>
      <c r="O548" s="120" t="n"/>
      <c r="P548" s="120" t="n"/>
      <c r="Q548" s="120" t="n"/>
      <c r="R548" s="120" t="n"/>
      <c r="S548" s="120" t="n"/>
      <c r="T548" s="120" t="n"/>
      <c r="U548" s="120" t="n"/>
      <c r="V548" s="120" t="n"/>
      <c r="W548" s="120" t="n"/>
      <c r="X548" s="120" t="n"/>
      <c r="Y548" s="120" t="n"/>
      <c r="Z548" s="120" t="n"/>
      <c r="AB548" s="55" t="inlineStr">
        <is>
          <t>AMPLIAR</t>
        </is>
      </c>
      <c r="AC548" s="132">
        <f>DADOS_INVOC!$PY$115</f>
        <v/>
      </c>
      <c r="AD548" s="19" t="n"/>
      <c r="AE548" s="19" t="n"/>
      <c r="AF548" s="20" t="n"/>
      <c r="AG548" s="120" t="n"/>
      <c r="AH548" s="120" t="n"/>
      <c r="AI548" s="120" t="n"/>
      <c r="AJ548" s="120" t="n"/>
      <c r="AK548" s="120" t="n"/>
      <c r="AL548" s="120" t="n"/>
      <c r="AM548" s="120" t="n"/>
      <c r="AN548" s="120" t="n"/>
      <c r="AO548" s="120" t="n"/>
      <c r="AP548" s="120" t="n"/>
      <c r="AQ548" s="120" t="n"/>
      <c r="AR548" s="120" t="n"/>
      <c r="AS548" s="120" t="n"/>
    </row>
    <row r="549" hidden="1" outlineLevel="3">
      <c r="A549" s="8" t="n"/>
      <c r="B549" s="14" t="n"/>
      <c r="C549" s="120" t="n"/>
      <c r="D549" s="120" t="n"/>
      <c r="E549" s="120" t="n"/>
      <c r="F549" s="120" t="n"/>
      <c r="G549" s="120" t="n"/>
      <c r="I549" s="125" t="n"/>
      <c r="J549" s="23" t="n"/>
      <c r="K549" s="24" t="n"/>
      <c r="L549" s="24" t="n"/>
      <c r="M549" s="25" t="n"/>
      <c r="N549" s="120" t="n"/>
      <c r="O549" s="120" t="n"/>
      <c r="P549" s="120" t="n"/>
      <c r="Q549" s="120" t="n"/>
      <c r="R549" s="120" t="n"/>
      <c r="S549" s="120" t="n"/>
      <c r="T549" s="120" t="n"/>
      <c r="U549" s="120" t="n"/>
      <c r="V549" s="120" t="n"/>
      <c r="W549" s="120" t="n"/>
      <c r="X549" s="120" t="n"/>
      <c r="Y549" s="120" t="n"/>
      <c r="Z549" s="120" t="n"/>
      <c r="AB549" s="125" t="n"/>
      <c r="AC549" s="23" t="n"/>
      <c r="AD549" s="24" t="n"/>
      <c r="AE549" s="24" t="n"/>
      <c r="AF549" s="25" t="n"/>
      <c r="AG549" s="120" t="n"/>
      <c r="AH549" s="120" t="n"/>
      <c r="AI549" s="120" t="n"/>
      <c r="AJ549" s="120" t="n"/>
      <c r="AK549" s="120" t="n"/>
      <c r="AL549" s="120" t="n"/>
      <c r="AM549" s="120" t="n"/>
      <c r="AN549" s="120" t="n"/>
      <c r="AO549" s="120" t="n"/>
      <c r="AP549" s="120" t="n"/>
      <c r="AQ549" s="120" t="n"/>
      <c r="AR549" s="120" t="n"/>
      <c r="AS549" s="120" t="n"/>
    </row>
    <row r="550" hidden="1" outlineLevel="3">
      <c r="A550" s="8" t="n"/>
      <c r="B550" s="14" t="n"/>
      <c r="C550" s="120" t="n"/>
      <c r="D550" s="120" t="n"/>
      <c r="E550" s="120" t="n"/>
      <c r="F550" s="120" t="n"/>
      <c r="G550" s="120" t="n"/>
      <c r="I550" s="132">
        <f>DADOS_INVOC!$PL$37</f>
        <v/>
      </c>
      <c r="J550" s="19" t="n"/>
      <c r="K550" s="19" t="n"/>
      <c r="L550" s="19" t="n"/>
      <c r="M550" s="20" t="n"/>
      <c r="N550" s="120" t="n"/>
      <c r="O550" s="120" t="n"/>
      <c r="P550" s="120" t="n"/>
      <c r="Q550" s="120" t="n"/>
      <c r="R550" s="120" t="n"/>
      <c r="S550" s="120" t="n"/>
      <c r="T550" s="120" t="n"/>
      <c r="U550" s="120" t="n"/>
      <c r="V550" s="120" t="n"/>
      <c r="W550" s="120" t="n"/>
      <c r="X550" s="120" t="n"/>
      <c r="Y550" s="120" t="n"/>
      <c r="Z550" s="120" t="n"/>
      <c r="AB550" s="132">
        <f>DADOS_INVOC!$PL$115</f>
        <v/>
      </c>
      <c r="AC550" s="19" t="n"/>
      <c r="AD550" s="19" t="n"/>
      <c r="AE550" s="19" t="n"/>
      <c r="AF550" s="20" t="n"/>
      <c r="AG550" s="120" t="n"/>
      <c r="AH550" s="120" t="n"/>
      <c r="AI550" s="120" t="n"/>
      <c r="AJ550" s="120" t="n"/>
      <c r="AK550" s="120" t="n"/>
      <c r="AL550" s="120" t="n"/>
      <c r="AM550" s="120" t="n"/>
      <c r="AN550" s="120" t="n"/>
      <c r="AO550" s="120" t="n"/>
      <c r="AP550" s="120" t="n"/>
      <c r="AQ550" s="120" t="n"/>
      <c r="AR550" s="120" t="n"/>
      <c r="AS550" s="120" t="n"/>
    </row>
    <row r="551" hidden="1" outlineLevel="3">
      <c r="A551" s="8" t="n"/>
      <c r="B551" s="14" t="n"/>
      <c r="C551" s="120" t="n"/>
      <c r="D551" s="120" t="n"/>
      <c r="E551" s="120" t="n"/>
      <c r="F551" s="120" t="n"/>
      <c r="G551" s="120" t="n"/>
      <c r="I551" s="23" t="n"/>
      <c r="J551" s="24" t="n"/>
      <c r="K551" s="24" t="n"/>
      <c r="L551" s="24" t="n"/>
      <c r="M551" s="25" t="n"/>
      <c r="N551" s="120" t="n"/>
      <c r="O551" s="120" t="n"/>
      <c r="P551" s="120" t="n"/>
      <c r="Q551" s="120" t="n"/>
      <c r="R551" s="120" t="n"/>
      <c r="S551" s="120" t="n"/>
      <c r="T551" s="120" t="n"/>
      <c r="U551" s="120" t="n"/>
      <c r="V551" s="120" t="n"/>
      <c r="W551" s="120" t="n"/>
      <c r="X551" s="120" t="n"/>
      <c r="Y551" s="120" t="n"/>
      <c r="Z551" s="120" t="n"/>
      <c r="AB551" s="23" t="n"/>
      <c r="AC551" s="24" t="n"/>
      <c r="AD551" s="24" t="n"/>
      <c r="AE551" s="24" t="n"/>
      <c r="AF551" s="25" t="n"/>
      <c r="AG551" s="120" t="n"/>
      <c r="AH551" s="120" t="n"/>
      <c r="AI551" s="120" t="n"/>
      <c r="AJ551" s="120" t="n"/>
      <c r="AK551" s="120" t="n"/>
      <c r="AL551" s="120" t="n"/>
      <c r="AM551" s="120" t="n"/>
      <c r="AN551" s="120" t="n"/>
      <c r="AO551" s="120" t="n"/>
      <c r="AP551" s="120" t="n"/>
      <c r="AQ551" s="120" t="n"/>
      <c r="AR551" s="120" t="n"/>
      <c r="AS551" s="120" t="n"/>
    </row>
    <row r="552" hidden="1" outlineLevel="1">
      <c r="A552" s="8" t="n"/>
      <c r="B552" s="14" t="n"/>
      <c r="C552" s="120" t="n"/>
      <c r="D552" s="120" t="n"/>
      <c r="E552" s="120" t="n"/>
      <c r="F552" s="120" t="n"/>
      <c r="G552" s="120" t="n"/>
      <c r="I552" s="120" t="n"/>
      <c r="J552" s="120" t="n"/>
      <c r="K552" s="120" t="n"/>
      <c r="L552" s="120" t="n"/>
      <c r="M552" s="120" t="n"/>
      <c r="N552" s="120" t="n"/>
      <c r="O552" s="120" t="n"/>
      <c r="P552" s="120" t="n"/>
      <c r="Q552" s="120" t="n"/>
      <c r="R552" s="120" t="n"/>
      <c r="S552" s="120" t="n"/>
      <c r="T552" s="120" t="n"/>
      <c r="U552" s="120" t="n"/>
      <c r="V552" s="120" t="n"/>
      <c r="W552" s="120" t="n"/>
      <c r="X552" s="120" t="n"/>
      <c r="Y552" s="120" t="n"/>
      <c r="Z552" s="120" t="n"/>
      <c r="AB552" s="120" t="n"/>
      <c r="AC552" s="120" t="n"/>
      <c r="AD552" s="120" t="n"/>
      <c r="AE552" s="120" t="n"/>
      <c r="AF552" s="120" t="n"/>
      <c r="AG552" s="120" t="n"/>
      <c r="AH552" s="120" t="n"/>
      <c r="AI552" s="120" t="n"/>
      <c r="AJ552" s="120" t="n"/>
      <c r="AK552" s="120" t="n"/>
      <c r="AL552" s="120" t="n"/>
      <c r="AM552" s="120" t="n"/>
      <c r="AN552" s="120" t="n"/>
      <c r="AO552" s="120" t="n"/>
      <c r="AP552" s="120" t="n"/>
      <c r="AQ552" s="120" t="n"/>
      <c r="AR552" s="120" t="n"/>
      <c r="AS552" s="120" t="n"/>
    </row>
    <row r="553" hidden="1" outlineLevel="1">
      <c r="A553" s="8" t="n"/>
      <c r="B553" s="14" t="n"/>
      <c r="C553" s="120" t="n"/>
      <c r="D553" s="120" t="n"/>
      <c r="E553" s="120" t="n"/>
      <c r="F553" s="120" t="n"/>
      <c r="G553" s="120" t="n"/>
      <c r="I553" s="13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0" t="n"/>
      <c r="AB553" s="13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0" t="n"/>
    </row>
    <row r="554" hidden="1" outlineLevel="2">
      <c r="A554" s="8" t="n"/>
      <c r="B554" s="14" t="n"/>
      <c r="C554" s="120" t="n"/>
      <c r="D554" s="120" t="n"/>
      <c r="E554" s="120" t="n"/>
      <c r="F554" s="120" t="n"/>
      <c r="G554" s="120" t="n"/>
      <c r="I554" s="120" t="n"/>
      <c r="J554" s="120" t="n"/>
      <c r="K554" s="120" t="n"/>
      <c r="L554" s="120" t="n"/>
      <c r="M554" s="120" t="n"/>
      <c r="N554" s="120" t="n"/>
      <c r="O554" s="120" t="n"/>
      <c r="P554" s="120" t="n"/>
      <c r="Q554" s="120" t="n"/>
      <c r="R554" s="120" t="n"/>
      <c r="S554" s="120" t="n"/>
      <c r="T554" s="120" t="n"/>
      <c r="U554" s="120" t="n"/>
      <c r="V554" s="120" t="n"/>
      <c r="W554" s="120" t="n"/>
      <c r="X554" s="120" t="n"/>
      <c r="Y554" s="120" t="n"/>
      <c r="Z554" s="120" t="n"/>
      <c r="AB554" s="120" t="n"/>
      <c r="AC554" s="120" t="n"/>
      <c r="AD554" s="120" t="n"/>
      <c r="AE554" s="120" t="n"/>
      <c r="AF554" s="120" t="n"/>
      <c r="AG554" s="120" t="n"/>
      <c r="AH554" s="120" t="n"/>
      <c r="AI554" s="120" t="n"/>
      <c r="AJ554" s="120" t="n"/>
      <c r="AK554" s="120" t="n"/>
      <c r="AL554" s="120" t="n"/>
      <c r="AM554" s="120" t="n"/>
      <c r="AN554" s="120" t="n"/>
      <c r="AO554" s="120" t="n"/>
      <c r="AP554" s="120" t="n"/>
      <c r="AQ554" s="120" t="n"/>
      <c r="AR554" s="120" t="n"/>
      <c r="AS554" s="120" t="n"/>
    </row>
    <row r="555" hidden="1" outlineLevel="2">
      <c r="A555" s="8" t="n"/>
      <c r="B555" s="14" t="n"/>
      <c r="C555" s="120" t="n"/>
      <c r="D555" s="120" t="n"/>
      <c r="E555" s="120" t="n"/>
      <c r="F555" s="120" t="n"/>
      <c r="G555" s="120" t="n"/>
      <c r="I555" s="55">
        <f>DADOS_INVOC!$PM$38</f>
        <v/>
      </c>
      <c r="J555" s="16" t="n"/>
      <c r="K555" s="16" t="n"/>
      <c r="L555" s="16" t="n"/>
      <c r="M555" s="17" t="n"/>
      <c r="N555" s="120" t="n"/>
      <c r="O555" s="55">
        <f>DADOS_INVOC!$PM$39</f>
        <v/>
      </c>
      <c r="P555" s="16" t="n"/>
      <c r="Q555" s="16" t="n"/>
      <c r="R555" s="16" t="n"/>
      <c r="S555" s="17" t="n"/>
      <c r="T555" s="120" t="n"/>
      <c r="U555" s="55">
        <f>DADOS_INVOC!$PM$40</f>
        <v/>
      </c>
      <c r="V555" s="16" t="n"/>
      <c r="W555" s="16" t="n"/>
      <c r="X555" s="16" t="n"/>
      <c r="Y555" s="17" t="n"/>
      <c r="Z555" s="120" t="n"/>
      <c r="AB555" s="55">
        <f>DADOS_INVOC!$PM$116</f>
        <v/>
      </c>
      <c r="AC555" s="16" t="n"/>
      <c r="AD555" s="16" t="n"/>
      <c r="AE555" s="16" t="n"/>
      <c r="AF555" s="17" t="n"/>
      <c r="AG555" s="120" t="n"/>
      <c r="AH555" s="55">
        <f>DADOS_INVOC!$PM$117</f>
        <v/>
      </c>
      <c r="AI555" s="16" t="n"/>
      <c r="AJ555" s="16" t="n"/>
      <c r="AK555" s="16" t="n"/>
      <c r="AL555" s="17" t="n"/>
      <c r="AM555" s="120" t="n"/>
      <c r="AN555" s="55">
        <f>DADOS_INVOC!$PM$118</f>
        <v/>
      </c>
      <c r="AO555" s="16" t="n"/>
      <c r="AP555" s="16" t="n"/>
      <c r="AQ555" s="16" t="n"/>
      <c r="AR555" s="17" t="n"/>
      <c r="AS555" s="120" t="n"/>
    </row>
    <row r="556" hidden="1" outlineLevel="2">
      <c r="A556" s="8" t="n"/>
      <c r="B556" s="14" t="n"/>
      <c r="C556" s="120" t="n"/>
      <c r="D556" s="120" t="n"/>
      <c r="E556" s="120" t="n"/>
      <c r="F556" s="120" t="n"/>
      <c r="G556" s="120" t="n"/>
      <c r="I556" s="127" t="n">
        <v>1</v>
      </c>
      <c r="J556" s="115" t="n"/>
      <c r="K556" s="16" t="n"/>
      <c r="L556" s="17" t="n"/>
      <c r="M556" s="128">
        <f>DADOS_INVOC!$PK$38</f>
        <v/>
      </c>
      <c r="N556" s="120" t="n"/>
      <c r="O556" s="127" t="n">
        <v>1</v>
      </c>
      <c r="P556" s="115" t="n"/>
      <c r="Q556" s="16" t="n"/>
      <c r="R556" s="17" t="n"/>
      <c r="S556" s="128">
        <f>DADOS_INVOC!$PK$39</f>
        <v/>
      </c>
      <c r="T556" s="120" t="n"/>
      <c r="U556" s="127" t="n">
        <v>1</v>
      </c>
      <c r="V556" s="115" t="n"/>
      <c r="W556" s="16" t="n"/>
      <c r="X556" s="17" t="n"/>
      <c r="Y556" s="128">
        <f>DADOS_INVOC!$PK$40</f>
        <v/>
      </c>
      <c r="Z556" s="120" t="n"/>
      <c r="AB556" s="127" t="n">
        <v>1</v>
      </c>
      <c r="AC556" s="115" t="n"/>
      <c r="AD556" s="16" t="n"/>
      <c r="AE556" s="17" t="n"/>
      <c r="AF556" s="128">
        <f>DADOS_INVOC!$PK$116</f>
        <v/>
      </c>
      <c r="AG556" s="120" t="n"/>
      <c r="AH556" s="127" t="n">
        <v>1</v>
      </c>
      <c r="AI556" s="115" t="n"/>
      <c r="AJ556" s="16" t="n"/>
      <c r="AK556" s="17" t="n"/>
      <c r="AL556" s="128">
        <f>DADOS_INVOC!$PK$117</f>
        <v/>
      </c>
      <c r="AM556" s="120" t="n"/>
      <c r="AN556" s="127" t="n">
        <v>1</v>
      </c>
      <c r="AO556" s="115" t="n"/>
      <c r="AP556" s="16" t="n"/>
      <c r="AQ556" s="17" t="n"/>
      <c r="AR556" s="128">
        <f>DADOS_INVOC!$PK$118</f>
        <v/>
      </c>
      <c r="AS556" s="120" t="n"/>
    </row>
    <row r="557" hidden="1" outlineLevel="3">
      <c r="A557" s="8" t="n"/>
      <c r="B557" s="14" t="n"/>
      <c r="C557" s="120" t="n"/>
      <c r="D557" s="120" t="n"/>
      <c r="E557" s="120" t="n"/>
      <c r="F557" s="120" t="n"/>
      <c r="G557" s="120" t="n"/>
      <c r="I557" s="55" t="inlineStr">
        <is>
          <t>COMO É</t>
        </is>
      </c>
      <c r="J557" s="16" t="n"/>
      <c r="K557" s="16" t="n"/>
      <c r="L557" s="16" t="n"/>
      <c r="M557" s="17" t="n"/>
      <c r="N557" s="120" t="n"/>
      <c r="O557" s="55" t="inlineStr">
        <is>
          <t>COMO É</t>
        </is>
      </c>
      <c r="P557" s="16" t="n"/>
      <c r="Q557" s="16" t="n"/>
      <c r="R557" s="16" t="n"/>
      <c r="S557" s="17" t="n"/>
      <c r="T557" s="120" t="n"/>
      <c r="U557" s="55" t="inlineStr">
        <is>
          <t>COMO É</t>
        </is>
      </c>
      <c r="V557" s="16" t="n"/>
      <c r="W557" s="16" t="n"/>
      <c r="X557" s="16" t="n"/>
      <c r="Y557" s="17" t="n"/>
      <c r="Z557" s="120" t="n"/>
      <c r="AB557" s="55" t="inlineStr">
        <is>
          <t>COMO É</t>
        </is>
      </c>
      <c r="AC557" s="16" t="n"/>
      <c r="AD557" s="16" t="n"/>
      <c r="AE557" s="16" t="n"/>
      <c r="AF557" s="17" t="n"/>
      <c r="AG557" s="120" t="n"/>
      <c r="AH557" s="55" t="inlineStr">
        <is>
          <t>COMO É</t>
        </is>
      </c>
      <c r="AI557" s="16" t="n"/>
      <c r="AJ557" s="16" t="n"/>
      <c r="AK557" s="16" t="n"/>
      <c r="AL557" s="17" t="n"/>
      <c r="AM557" s="120" t="n"/>
      <c r="AN557" s="55" t="inlineStr">
        <is>
          <t>COMO É</t>
        </is>
      </c>
      <c r="AO557" s="16" t="n"/>
      <c r="AP557" s="16" t="n"/>
      <c r="AQ557" s="16" t="n"/>
      <c r="AR557" s="17" t="n"/>
      <c r="AS557" s="120" t="n"/>
    </row>
    <row r="558" hidden="1" outlineLevel="3">
      <c r="A558" s="8" t="n"/>
      <c r="B558" s="14" t="n"/>
      <c r="C558" s="120" t="n"/>
      <c r="D558" s="120" t="n"/>
      <c r="E558" s="120" t="n"/>
      <c r="F558" s="120" t="n"/>
      <c r="G558" s="120" t="n"/>
      <c r="I558" s="116" t="n"/>
      <c r="J558" s="19" t="n"/>
      <c r="K558" s="19" t="n"/>
      <c r="L558" s="19" t="n"/>
      <c r="M558" s="20" t="n"/>
      <c r="N558" s="120" t="n"/>
      <c r="O558" s="116" t="n"/>
      <c r="P558" s="19" t="n"/>
      <c r="Q558" s="19" t="n"/>
      <c r="R558" s="19" t="n"/>
      <c r="S558" s="20" t="n"/>
      <c r="T558" s="120" t="n"/>
      <c r="U558" s="116" t="n"/>
      <c r="V558" s="19" t="n"/>
      <c r="W558" s="19" t="n"/>
      <c r="X558" s="19" t="n"/>
      <c r="Y558" s="20" t="n"/>
      <c r="Z558" s="120" t="n"/>
      <c r="AB558" s="116" t="n"/>
      <c r="AC558" s="19" t="n"/>
      <c r="AD558" s="19" t="n"/>
      <c r="AE558" s="19" t="n"/>
      <c r="AF558" s="20" t="n"/>
      <c r="AG558" s="120" t="n"/>
      <c r="AH558" s="116" t="n"/>
      <c r="AI558" s="19" t="n"/>
      <c r="AJ558" s="19" t="n"/>
      <c r="AK558" s="19" t="n"/>
      <c r="AL558" s="20" t="n"/>
      <c r="AM558" s="120" t="n"/>
      <c r="AN558" s="116" t="n"/>
      <c r="AO558" s="19" t="n"/>
      <c r="AP558" s="19" t="n"/>
      <c r="AQ558" s="19" t="n"/>
      <c r="AR558" s="20" t="n"/>
      <c r="AS558" s="120" t="n"/>
    </row>
    <row r="559" hidden="1" outlineLevel="3">
      <c r="A559" s="8" t="n"/>
      <c r="B559" s="14" t="n"/>
      <c r="C559" s="120" t="n"/>
      <c r="D559" s="120" t="n"/>
      <c r="E559" s="120" t="n"/>
      <c r="F559" s="120" t="n"/>
      <c r="G559" s="120" t="n"/>
      <c r="I559" s="21" t="n"/>
      <c r="M559" s="22" t="n"/>
      <c r="N559" s="120" t="n"/>
      <c r="O559" s="21" t="n"/>
      <c r="S559" s="22" t="n"/>
      <c r="T559" s="120" t="n"/>
      <c r="U559" s="21" t="n"/>
      <c r="Y559" s="22" t="n"/>
      <c r="Z559" s="120" t="n"/>
      <c r="AB559" s="21" t="n"/>
      <c r="AF559" s="22" t="n"/>
      <c r="AG559" s="120" t="n"/>
      <c r="AH559" s="21" t="n"/>
      <c r="AL559" s="22" t="n"/>
      <c r="AM559" s="120" t="n"/>
      <c r="AN559" s="21" t="n"/>
      <c r="AR559" s="22" t="n"/>
      <c r="AS559" s="120" t="n"/>
    </row>
    <row r="560" hidden="1" outlineLevel="3">
      <c r="A560" s="8" t="n"/>
      <c r="B560" s="14" t="n"/>
      <c r="C560" s="120" t="n"/>
      <c r="D560" s="120" t="n"/>
      <c r="E560" s="120" t="n"/>
      <c r="F560" s="120" t="n"/>
      <c r="G560" s="120" t="n"/>
      <c r="I560" s="23" t="n"/>
      <c r="J560" s="24" t="n"/>
      <c r="K560" s="24" t="n"/>
      <c r="L560" s="24" t="n"/>
      <c r="M560" s="25" t="n"/>
      <c r="N560" s="120" t="n"/>
      <c r="O560" s="23" t="n"/>
      <c r="P560" s="24" t="n"/>
      <c r="Q560" s="24" t="n"/>
      <c r="R560" s="24" t="n"/>
      <c r="S560" s="25" t="n"/>
      <c r="T560" s="120" t="n"/>
      <c r="U560" s="23" t="n"/>
      <c r="V560" s="24" t="n"/>
      <c r="W560" s="24" t="n"/>
      <c r="X560" s="24" t="n"/>
      <c r="Y560" s="25" t="n"/>
      <c r="Z560" s="120" t="n"/>
      <c r="AB560" s="23" t="n"/>
      <c r="AC560" s="24" t="n"/>
      <c r="AD560" s="24" t="n"/>
      <c r="AE560" s="24" t="n"/>
      <c r="AF560" s="25" t="n"/>
      <c r="AG560" s="120" t="n"/>
      <c r="AH560" s="23" t="n"/>
      <c r="AI560" s="24" t="n"/>
      <c r="AJ560" s="24" t="n"/>
      <c r="AK560" s="24" t="n"/>
      <c r="AL560" s="25" t="n"/>
      <c r="AM560" s="120" t="n"/>
      <c r="AN560" s="23" t="n"/>
      <c r="AO560" s="24" t="n"/>
      <c r="AP560" s="24" t="n"/>
      <c r="AQ560" s="24" t="n"/>
      <c r="AR560" s="25" t="n"/>
      <c r="AS560" s="120" t="n"/>
    </row>
    <row r="561" hidden="1" outlineLevel="2">
      <c r="A561" s="8" t="n"/>
      <c r="B561" s="14" t="n"/>
      <c r="C561" s="120" t="n"/>
      <c r="D561" s="120" t="n"/>
      <c r="E561" s="120" t="n"/>
      <c r="F561" s="120" t="n"/>
      <c r="G561" s="120" t="n"/>
      <c r="I561" s="124" t="inlineStr">
        <is>
          <t>Projétil</t>
        </is>
      </c>
      <c r="J561" s="17" t="n"/>
      <c r="K561" s="68">
        <f>DADOS_INVOC!$PR$38</f>
        <v/>
      </c>
      <c r="L561" s="17" t="n"/>
      <c r="M561" s="68">
        <f>DADOS_INVOC!$PN$38</f>
        <v/>
      </c>
      <c r="N561" s="120" t="n"/>
      <c r="O561" s="124" t="inlineStr">
        <is>
          <t>Projétil</t>
        </is>
      </c>
      <c r="P561" s="17" t="n"/>
      <c r="Q561" s="68">
        <f>DADOS_INVOC!$PR$39</f>
        <v/>
      </c>
      <c r="R561" s="17" t="n"/>
      <c r="S561" s="68">
        <f>DADOS_INVOC!$PN$39</f>
        <v/>
      </c>
      <c r="T561" s="120" t="n"/>
      <c r="U561" s="124" t="inlineStr">
        <is>
          <t>Projétil</t>
        </is>
      </c>
      <c r="V561" s="17" t="n"/>
      <c r="W561" s="68">
        <f>DADOS_INVOC!$PR$40</f>
        <v/>
      </c>
      <c r="X561" s="17" t="n"/>
      <c r="Y561" s="68">
        <f>DADOS_INVOC!$PN$40</f>
        <v/>
      </c>
      <c r="Z561" s="120" t="n"/>
      <c r="AB561" s="124" t="inlineStr">
        <is>
          <t>Projétil</t>
        </is>
      </c>
      <c r="AC561" s="17" t="n"/>
      <c r="AD561" s="68">
        <f>DADOS_INVOC!$PR$116</f>
        <v/>
      </c>
      <c r="AE561" s="17" t="n"/>
      <c r="AF561" s="68">
        <f>DADOS_INVOC!$PN$116</f>
        <v/>
      </c>
      <c r="AG561" s="120" t="n"/>
      <c r="AH561" s="124" t="inlineStr">
        <is>
          <t>Projétil</t>
        </is>
      </c>
      <c r="AI561" s="17" t="n"/>
      <c r="AJ561" s="68">
        <f>DADOS_INVOC!$PR$117</f>
        <v/>
      </c>
      <c r="AK561" s="17" t="n"/>
      <c r="AL561" s="68">
        <f>DADOS_INVOC!$PN$117</f>
        <v/>
      </c>
      <c r="AM561" s="120" t="n"/>
      <c r="AN561" s="124" t="inlineStr">
        <is>
          <t>Projétil</t>
        </is>
      </c>
      <c r="AO561" s="17" t="n"/>
      <c r="AP561" s="68">
        <f>DADOS_INVOC!$PR$118</f>
        <v/>
      </c>
      <c r="AQ561" s="17" t="n"/>
      <c r="AR561" s="68">
        <f>DADOS_INVOC!$PN$118</f>
        <v/>
      </c>
      <c r="AS561" s="120" t="n"/>
    </row>
    <row r="562" hidden="1" outlineLevel="2">
      <c r="A562" s="8" t="n"/>
      <c r="B562" s="14" t="n"/>
      <c r="C562" s="120" t="n"/>
      <c r="D562" s="120" t="n"/>
      <c r="E562" s="120" t="n"/>
      <c r="F562" s="120" t="n"/>
      <c r="G562" s="120" t="n"/>
      <c r="I562" s="124" t="n"/>
      <c r="J562" s="17" t="n"/>
      <c r="K562" s="124" t="n"/>
      <c r="L562" s="16" t="n"/>
      <c r="M562" s="17" t="n"/>
      <c r="N562" s="120" t="n"/>
      <c r="O562" s="124" t="n"/>
      <c r="P562" s="17" t="n"/>
      <c r="Q562" s="124" t="n"/>
      <c r="R562" s="16" t="n"/>
      <c r="S562" s="17" t="n"/>
      <c r="T562" s="120" t="n"/>
      <c r="U562" s="124" t="n"/>
      <c r="V562" s="17" t="n"/>
      <c r="W562" s="124" t="n"/>
      <c r="X562" s="16" t="n"/>
      <c r="Y562" s="17" t="n"/>
      <c r="Z562" s="120" t="n"/>
      <c r="AB562" s="124" t="n"/>
      <c r="AC562" s="17" t="n"/>
      <c r="AD562" s="124" t="n"/>
      <c r="AE562" s="16" t="n"/>
      <c r="AF562" s="17" t="n"/>
      <c r="AG562" s="120" t="n"/>
      <c r="AH562" s="124" t="n"/>
      <c r="AI562" s="17" t="n"/>
      <c r="AJ562" s="124" t="n"/>
      <c r="AK562" s="16" t="n"/>
      <c r="AL562" s="17" t="n"/>
      <c r="AM562" s="120" t="n"/>
      <c r="AN562" s="124" t="n"/>
      <c r="AO562" s="17" t="n"/>
      <c r="AP562" s="124" t="n"/>
      <c r="AQ562" s="16" t="n"/>
      <c r="AR562" s="17" t="n"/>
      <c r="AS562" s="120" t="n"/>
    </row>
    <row r="563" hidden="1" outlineLevel="2">
      <c r="A563" s="8" t="n"/>
      <c r="B563" s="14" t="n"/>
      <c r="C563" s="120" t="n"/>
      <c r="D563" s="120" t="n"/>
      <c r="E563" s="120" t="n"/>
      <c r="F563" s="120" t="n"/>
      <c r="G563" s="120" t="n"/>
      <c r="I563" s="124">
        <f>DADOS_INVOC!$PO$38</f>
        <v/>
      </c>
      <c r="J563" s="17" t="n"/>
      <c r="K563" s="124">
        <f>DADOS_INVOC!$PQ$38</f>
        <v/>
      </c>
      <c r="L563" s="16" t="n"/>
      <c r="M563" s="17" t="n"/>
      <c r="N563" s="120" t="n"/>
      <c r="O563" s="124">
        <f>DADOS_INVOC!$PO$39</f>
        <v/>
      </c>
      <c r="P563" s="17" t="n"/>
      <c r="Q563" s="124">
        <f>DADOS_INVOC!$PQ$39</f>
        <v/>
      </c>
      <c r="R563" s="16" t="n"/>
      <c r="S563" s="17" t="n"/>
      <c r="T563" s="120" t="n"/>
      <c r="U563" s="124">
        <f>DADOS_INVOC!$PO$40</f>
        <v/>
      </c>
      <c r="V563" s="17" t="n"/>
      <c r="W563" s="124">
        <f>DADOS_INVOC!$PQ$40</f>
        <v/>
      </c>
      <c r="X563" s="16" t="n"/>
      <c r="Y563" s="17" t="n"/>
      <c r="Z563" s="120" t="n"/>
      <c r="AB563" s="124">
        <f>DADOS_INVOC!$PO$116</f>
        <v/>
      </c>
      <c r="AC563" s="17" t="n"/>
      <c r="AD563" s="124">
        <f>DADOS_INVOC!$PQ$116</f>
        <v/>
      </c>
      <c r="AE563" s="16" t="n"/>
      <c r="AF563" s="17" t="n"/>
      <c r="AG563" s="120" t="n"/>
      <c r="AH563" s="124">
        <f>DADOS_INVOC!$PO$117</f>
        <v/>
      </c>
      <c r="AI563" s="17" t="n"/>
      <c r="AJ563" s="124">
        <f>DADOS_INVOC!$PQ$117</f>
        <v/>
      </c>
      <c r="AK563" s="16" t="n"/>
      <c r="AL563" s="17" t="n"/>
      <c r="AM563" s="120" t="n"/>
      <c r="AN563" s="124">
        <f>DADOS_INVOC!$PO$118</f>
        <v/>
      </c>
      <c r="AO563" s="17" t="n"/>
      <c r="AP563" s="124">
        <f>DADOS_INVOC!$PQ$118</f>
        <v/>
      </c>
      <c r="AQ563" s="16" t="n"/>
      <c r="AR563" s="17" t="n"/>
      <c r="AS563" s="120" t="n"/>
    </row>
    <row r="564" hidden="1" outlineLevel="2">
      <c r="A564" s="8" t="n"/>
      <c r="B564" s="14" t="n"/>
      <c r="C564" s="120" t="n"/>
      <c r="D564" s="120" t="n"/>
      <c r="E564" s="120" t="n"/>
      <c r="F564" s="120" t="n"/>
      <c r="G564" s="120" t="n"/>
      <c r="I564" s="129">
        <f>DADOS_INVOC!$PW$38</f>
        <v/>
      </c>
      <c r="J564" s="16" t="n"/>
      <c r="K564" s="16" t="n"/>
      <c r="L564" s="16" t="n"/>
      <c r="M564" s="17" t="n"/>
      <c r="N564" s="120" t="n"/>
      <c r="O564" s="129">
        <f>DADOS_INVOC!$PW$39</f>
        <v/>
      </c>
      <c r="P564" s="16" t="n"/>
      <c r="Q564" s="16" t="n"/>
      <c r="R564" s="16" t="n"/>
      <c r="S564" s="17" t="n"/>
      <c r="T564" s="120" t="n"/>
      <c r="U564" s="129">
        <f>DADOS_INVOC!$PW$40</f>
        <v/>
      </c>
      <c r="V564" s="16" t="n"/>
      <c r="W564" s="16" t="n"/>
      <c r="X564" s="16" t="n"/>
      <c r="Y564" s="17" t="n"/>
      <c r="Z564" s="120" t="n"/>
      <c r="AB564" s="129">
        <f>DADOS_INVOC!$PW$116</f>
        <v/>
      </c>
      <c r="AC564" s="16" t="n"/>
      <c r="AD564" s="16" t="n"/>
      <c r="AE564" s="16" t="n"/>
      <c r="AF564" s="17" t="n"/>
      <c r="AG564" s="120" t="n"/>
      <c r="AH564" s="129">
        <f>DADOS_INVOC!$PW$117</f>
        <v/>
      </c>
      <c r="AI564" s="16" t="n"/>
      <c r="AJ564" s="16" t="n"/>
      <c r="AK564" s="16" t="n"/>
      <c r="AL564" s="17" t="n"/>
      <c r="AM564" s="120" t="n"/>
      <c r="AN564" s="129">
        <f>DADOS_INVOC!$PW$118</f>
        <v/>
      </c>
      <c r="AO564" s="16" t="n"/>
      <c r="AP564" s="16" t="n"/>
      <c r="AQ564" s="16" t="n"/>
      <c r="AR564" s="17" t="n"/>
      <c r="AS564" s="120" t="n"/>
    </row>
    <row r="565" hidden="1" outlineLevel="3">
      <c r="A565" s="8" t="n"/>
      <c r="B565" s="14" t="n"/>
      <c r="C565" s="120" t="n"/>
      <c r="D565" s="120" t="n"/>
      <c r="E565" s="120" t="n"/>
      <c r="F565" s="120" t="n"/>
      <c r="G565" s="120" t="n"/>
      <c r="I565" s="55" t="inlineStr">
        <is>
          <t>MELHORIAS</t>
        </is>
      </c>
      <c r="J565" s="130" t="n"/>
      <c r="K565" s="16" t="n"/>
      <c r="L565" s="17" t="n"/>
      <c r="M565" s="129">
        <f>DADOS_INVOC!$PZ$38</f>
        <v/>
      </c>
      <c r="N565" s="120" t="n"/>
      <c r="O565" s="55" t="inlineStr">
        <is>
          <t>MELHORIAS</t>
        </is>
      </c>
      <c r="P565" s="130" t="n"/>
      <c r="Q565" s="16" t="n"/>
      <c r="R565" s="17" t="n"/>
      <c r="S565" s="129">
        <f>DADOS_INVOC!$PZ$39</f>
        <v/>
      </c>
      <c r="T565" s="120" t="n"/>
      <c r="U565" s="55" t="inlineStr">
        <is>
          <t>MELHORIAS</t>
        </is>
      </c>
      <c r="V565" s="130" t="n"/>
      <c r="W565" s="16" t="n"/>
      <c r="X565" s="17" t="n"/>
      <c r="Y565" s="129">
        <f>DADOS_INVOC!$PZ$40</f>
        <v/>
      </c>
      <c r="Z565" s="120" t="n"/>
      <c r="AB565" s="55" t="inlineStr">
        <is>
          <t>MELHORIAS</t>
        </is>
      </c>
      <c r="AC565" s="130" t="n"/>
      <c r="AD565" s="16" t="n"/>
      <c r="AE565" s="17" t="n"/>
      <c r="AF565" s="129">
        <f>DADOS_INVOC!$PZ$116</f>
        <v/>
      </c>
      <c r="AG565" s="120" t="n"/>
      <c r="AH565" s="55" t="inlineStr">
        <is>
          <t>MELHORIAS</t>
        </is>
      </c>
      <c r="AI565" s="130" t="n"/>
      <c r="AJ565" s="16" t="n"/>
      <c r="AK565" s="17" t="n"/>
      <c r="AL565" s="129">
        <f>DADOS_INVOC!$PZ$117</f>
        <v/>
      </c>
      <c r="AM565" s="120" t="n"/>
      <c r="AN565" s="55" t="inlineStr">
        <is>
          <t>MELHORIAS</t>
        </is>
      </c>
      <c r="AO565" s="130" t="n"/>
      <c r="AP565" s="16" t="n"/>
      <c r="AQ565" s="17" t="n"/>
      <c r="AR565" s="129">
        <f>DADOS_INVOC!$PZ$118</f>
        <v/>
      </c>
      <c r="AS565" s="120" t="n"/>
    </row>
    <row r="566" hidden="1" outlineLevel="3">
      <c r="A566" s="8" t="n"/>
      <c r="B566" s="14" t="n"/>
      <c r="C566" s="120" t="n"/>
      <c r="D566" s="120" t="n"/>
      <c r="E566" s="120" t="n"/>
      <c r="F566" s="120" t="n"/>
      <c r="G566" s="120" t="n"/>
      <c r="I566" s="131" t="n"/>
      <c r="J566" s="130" t="n"/>
      <c r="K566" s="16" t="n"/>
      <c r="L566" s="17" t="n"/>
      <c r="M566" s="129">
        <f>DADOS_INVOC!$QA$38</f>
        <v/>
      </c>
      <c r="N566" s="120" t="n"/>
      <c r="O566" s="131" t="n"/>
      <c r="P566" s="130" t="n"/>
      <c r="Q566" s="16" t="n"/>
      <c r="R566" s="17" t="n"/>
      <c r="S566" s="129">
        <f>DADOS_INVOC!$QA$39</f>
        <v/>
      </c>
      <c r="T566" s="120" t="n"/>
      <c r="U566" s="131" t="n"/>
      <c r="V566" s="130" t="n"/>
      <c r="W566" s="16" t="n"/>
      <c r="X566" s="17" t="n"/>
      <c r="Y566" s="129">
        <f>DADOS_INVOC!$QA$40</f>
        <v/>
      </c>
      <c r="Z566" s="120" t="n"/>
      <c r="AB566" s="131" t="n"/>
      <c r="AC566" s="130" t="n"/>
      <c r="AD566" s="16" t="n"/>
      <c r="AE566" s="17" t="n"/>
      <c r="AF566" s="129">
        <f>DADOS_INVOC!$QA$116</f>
        <v/>
      </c>
      <c r="AG566" s="120" t="n"/>
      <c r="AH566" s="131" t="n"/>
      <c r="AI566" s="130" t="n"/>
      <c r="AJ566" s="16" t="n"/>
      <c r="AK566" s="17" t="n"/>
      <c r="AL566" s="129">
        <f>DADOS_INVOC!$QA$117</f>
        <v/>
      </c>
      <c r="AM566" s="120" t="n"/>
      <c r="AN566" s="131" t="n"/>
      <c r="AO566" s="130" t="n"/>
      <c r="AP566" s="16" t="n"/>
      <c r="AQ566" s="17" t="n"/>
      <c r="AR566" s="129">
        <f>DADOS_INVOC!$QA$118</f>
        <v/>
      </c>
      <c r="AS566" s="120" t="n"/>
    </row>
    <row r="567" hidden="1" outlineLevel="3">
      <c r="A567" s="8" t="n"/>
      <c r="B567" s="14" t="n"/>
      <c r="C567" s="120" t="n"/>
      <c r="D567" s="120" t="n"/>
      <c r="E567" s="120" t="n"/>
      <c r="F567" s="120" t="n"/>
      <c r="G567" s="120" t="n"/>
      <c r="I567" s="131" t="n"/>
      <c r="J567" s="130" t="n"/>
      <c r="K567" s="16" t="n"/>
      <c r="L567" s="17" t="n"/>
      <c r="M567" s="129">
        <f>DADOS_INVOC!$QB$38</f>
        <v/>
      </c>
      <c r="N567" s="120" t="n"/>
      <c r="O567" s="131" t="n"/>
      <c r="P567" s="130" t="n"/>
      <c r="Q567" s="16" t="n"/>
      <c r="R567" s="17" t="n"/>
      <c r="S567" s="129">
        <f>DADOS_INVOC!$QB$39</f>
        <v/>
      </c>
      <c r="T567" s="120" t="n"/>
      <c r="U567" s="131" t="n"/>
      <c r="V567" s="130" t="n"/>
      <c r="W567" s="16" t="n"/>
      <c r="X567" s="17" t="n"/>
      <c r="Y567" s="129">
        <f>DADOS_INVOC!$QB$40</f>
        <v/>
      </c>
      <c r="Z567" s="120" t="n"/>
      <c r="AB567" s="131" t="n"/>
      <c r="AC567" s="130" t="n"/>
      <c r="AD567" s="16" t="n"/>
      <c r="AE567" s="17" t="n"/>
      <c r="AF567" s="129">
        <f>DADOS_INVOC!$QB$116</f>
        <v/>
      </c>
      <c r="AG567" s="120" t="n"/>
      <c r="AH567" s="131" t="n"/>
      <c r="AI567" s="130" t="n"/>
      <c r="AJ567" s="16" t="n"/>
      <c r="AK567" s="17" t="n"/>
      <c r="AL567" s="129">
        <f>DADOS_INVOC!$QB$117</f>
        <v/>
      </c>
      <c r="AM567" s="120" t="n"/>
      <c r="AN567" s="131" t="n"/>
      <c r="AO567" s="130" t="n"/>
      <c r="AP567" s="16" t="n"/>
      <c r="AQ567" s="17" t="n"/>
      <c r="AR567" s="129">
        <f>DADOS_INVOC!$QB$118</f>
        <v/>
      </c>
      <c r="AS567" s="120" t="n"/>
    </row>
    <row r="568" hidden="1" outlineLevel="3">
      <c r="A568" s="8" t="n"/>
      <c r="B568" s="14" t="n"/>
      <c r="C568" s="120" t="n"/>
      <c r="D568" s="120" t="n"/>
      <c r="E568" s="120" t="n"/>
      <c r="F568" s="120" t="n"/>
      <c r="G568" s="120" t="n"/>
      <c r="I568" s="125" t="n"/>
      <c r="J568" s="130" t="n"/>
      <c r="K568" s="16" t="n"/>
      <c r="L568" s="17" t="n"/>
      <c r="M568" s="129">
        <f>DADOS_INVOC!$QC$38</f>
        <v/>
      </c>
      <c r="N568" s="120" t="n"/>
      <c r="O568" s="125" t="n"/>
      <c r="P568" s="130" t="n"/>
      <c r="Q568" s="16" t="n"/>
      <c r="R568" s="17" t="n"/>
      <c r="S568" s="129">
        <f>DADOS_INVOC!$QC$39</f>
        <v/>
      </c>
      <c r="T568" s="120" t="n"/>
      <c r="U568" s="125" t="n"/>
      <c r="V568" s="130" t="n"/>
      <c r="W568" s="16" t="n"/>
      <c r="X568" s="17" t="n"/>
      <c r="Y568" s="129">
        <f>DADOS_INVOC!$QC$40</f>
        <v/>
      </c>
      <c r="Z568" s="120" t="n"/>
      <c r="AB568" s="125" t="n"/>
      <c r="AC568" s="130" t="n"/>
      <c r="AD568" s="16" t="n"/>
      <c r="AE568" s="17" t="n"/>
      <c r="AF568" s="129">
        <f>DADOS_INVOC!$QC$116</f>
        <v/>
      </c>
      <c r="AG568" s="120" t="n"/>
      <c r="AH568" s="125" t="n"/>
      <c r="AI568" s="130" t="n"/>
      <c r="AJ568" s="16" t="n"/>
      <c r="AK568" s="17" t="n"/>
      <c r="AL568" s="129">
        <f>DADOS_INVOC!$QC$117</f>
        <v/>
      </c>
      <c r="AM568" s="120" t="n"/>
      <c r="AN568" s="125" t="n"/>
      <c r="AO568" s="130" t="n"/>
      <c r="AP568" s="16" t="n"/>
      <c r="AQ568" s="17" t="n"/>
      <c r="AR568" s="129">
        <f>DADOS_INVOC!$QC$118</f>
        <v/>
      </c>
      <c r="AS568" s="120" t="n"/>
    </row>
    <row r="569" hidden="1" outlineLevel="3">
      <c r="A569" s="8" t="n"/>
      <c r="B569" s="14" t="n"/>
      <c r="C569" s="120" t="n"/>
      <c r="D569" s="120" t="n"/>
      <c r="E569" s="120" t="n"/>
      <c r="F569" s="120" t="n"/>
      <c r="G569" s="120" t="n"/>
      <c r="I569" s="55" t="inlineStr">
        <is>
          <t>RESTRIÇÕES</t>
        </is>
      </c>
      <c r="J569" s="130" t="n"/>
      <c r="K569" s="16" t="n"/>
      <c r="L569" s="17" t="n"/>
      <c r="M569" s="129">
        <f>DADOS_INVOC!$QD$38</f>
        <v/>
      </c>
      <c r="N569" s="120" t="n"/>
      <c r="O569" s="55" t="inlineStr">
        <is>
          <t>RESTRIÇÕES</t>
        </is>
      </c>
      <c r="P569" s="130" t="n"/>
      <c r="Q569" s="16" t="n"/>
      <c r="R569" s="17" t="n"/>
      <c r="S569" s="129">
        <f>DADOS_INVOC!$QD$39</f>
        <v/>
      </c>
      <c r="T569" s="120" t="n"/>
      <c r="U569" s="55" t="inlineStr">
        <is>
          <t>RESTRIÇÕES</t>
        </is>
      </c>
      <c r="V569" s="130" t="n"/>
      <c r="W569" s="16" t="n"/>
      <c r="X569" s="17" t="n"/>
      <c r="Y569" s="129">
        <f>DADOS_INVOC!$QD$40</f>
        <v/>
      </c>
      <c r="Z569" s="120" t="n"/>
      <c r="AB569" s="55" t="inlineStr">
        <is>
          <t>RESTRIÇÕES</t>
        </is>
      </c>
      <c r="AC569" s="130" t="n"/>
      <c r="AD569" s="16" t="n"/>
      <c r="AE569" s="17" t="n"/>
      <c r="AF569" s="129">
        <f>DADOS_INVOC!$QD$116</f>
        <v/>
      </c>
      <c r="AG569" s="120" t="n"/>
      <c r="AH569" s="55" t="inlineStr">
        <is>
          <t>RESTRIÇÕES</t>
        </is>
      </c>
      <c r="AI569" s="130" t="n"/>
      <c r="AJ569" s="16" t="n"/>
      <c r="AK569" s="17" t="n"/>
      <c r="AL569" s="129">
        <f>DADOS_INVOC!$QD$117</f>
        <v/>
      </c>
      <c r="AM569" s="120" t="n"/>
      <c r="AN569" s="55" t="inlineStr">
        <is>
          <t>RESTRIÇÕES</t>
        </is>
      </c>
      <c r="AO569" s="130" t="n"/>
      <c r="AP569" s="16" t="n"/>
      <c r="AQ569" s="17" t="n"/>
      <c r="AR569" s="129">
        <f>DADOS_INVOC!$QD$118</f>
        <v/>
      </c>
      <c r="AS569" s="120" t="n"/>
    </row>
    <row r="570" hidden="1" outlineLevel="3">
      <c r="A570" s="8" t="n"/>
      <c r="B570" s="14" t="n"/>
      <c r="C570" s="120" t="n"/>
      <c r="D570" s="120" t="n"/>
      <c r="E570" s="120" t="n"/>
      <c r="F570" s="120" t="n"/>
      <c r="G570" s="120" t="n"/>
      <c r="I570" s="125" t="n"/>
      <c r="J570" s="130" t="n"/>
      <c r="K570" s="16" t="n"/>
      <c r="L570" s="17" t="n"/>
      <c r="M570" s="129">
        <f>DADOS_INVOC!$QE$38</f>
        <v/>
      </c>
      <c r="N570" s="120" t="n"/>
      <c r="O570" s="125" t="n"/>
      <c r="P570" s="130" t="n"/>
      <c r="Q570" s="16" t="n"/>
      <c r="R570" s="17" t="n"/>
      <c r="S570" s="129">
        <f>DADOS_INVOC!$QE$39</f>
        <v/>
      </c>
      <c r="T570" s="120" t="n"/>
      <c r="U570" s="125" t="n"/>
      <c r="V570" s="130" t="n"/>
      <c r="W570" s="16" t="n"/>
      <c r="X570" s="17" t="n"/>
      <c r="Y570" s="129">
        <f>DADOS_INVOC!$QE$40</f>
        <v/>
      </c>
      <c r="Z570" s="120" t="n"/>
      <c r="AB570" s="125" t="n"/>
      <c r="AC570" s="130" t="n"/>
      <c r="AD570" s="16" t="n"/>
      <c r="AE570" s="17" t="n"/>
      <c r="AF570" s="129">
        <f>DADOS_INVOC!$QE$116</f>
        <v/>
      </c>
      <c r="AG570" s="120" t="n"/>
      <c r="AH570" s="125" t="n"/>
      <c r="AI570" s="130" t="n"/>
      <c r="AJ570" s="16" t="n"/>
      <c r="AK570" s="17" t="n"/>
      <c r="AL570" s="129">
        <f>DADOS_INVOC!$QE$117</f>
        <v/>
      </c>
      <c r="AM570" s="120" t="n"/>
      <c r="AN570" s="125" t="n"/>
      <c r="AO570" s="130" t="n"/>
      <c r="AP570" s="16" t="n"/>
      <c r="AQ570" s="17" t="n"/>
      <c r="AR570" s="129">
        <f>DADOS_INVOC!$QE$118</f>
        <v/>
      </c>
      <c r="AS570" s="120" t="n"/>
    </row>
    <row r="571" hidden="1" outlineLevel="3">
      <c r="A571" s="8" t="n"/>
      <c r="B571" s="14" t="n"/>
      <c r="C571" s="120" t="n"/>
      <c r="D571" s="120" t="n"/>
      <c r="E571" s="120" t="n"/>
      <c r="F571" s="120" t="n"/>
      <c r="G571" s="120" t="n"/>
      <c r="I571" s="55" t="inlineStr">
        <is>
          <t>CONTA</t>
        </is>
      </c>
      <c r="J571" s="132">
        <f>DADOS_INVOC!$PX$38</f>
        <v/>
      </c>
      <c r="K571" s="16" t="n"/>
      <c r="L571" s="16" t="n"/>
      <c r="M571" s="17" t="n"/>
      <c r="N571" s="120" t="n"/>
      <c r="O571" s="55" t="inlineStr">
        <is>
          <t>CONTA</t>
        </is>
      </c>
      <c r="P571" s="132">
        <f>DADOS_INVOC!$PX$39</f>
        <v/>
      </c>
      <c r="Q571" s="16" t="n"/>
      <c r="R571" s="16" t="n"/>
      <c r="S571" s="17" t="n"/>
      <c r="T571" s="120" t="n"/>
      <c r="U571" s="55" t="inlineStr">
        <is>
          <t>CONTA</t>
        </is>
      </c>
      <c r="V571" s="132">
        <f>DADOS_INVOC!$PX$40</f>
        <v/>
      </c>
      <c r="W571" s="16" t="n"/>
      <c r="X571" s="16" t="n"/>
      <c r="Y571" s="17" t="n"/>
      <c r="Z571" s="120" t="n"/>
      <c r="AB571" s="55" t="inlineStr">
        <is>
          <t>CONTA</t>
        </is>
      </c>
      <c r="AC571" s="132">
        <f>DADOS_INVOC!$PX$116</f>
        <v/>
      </c>
      <c r="AD571" s="16" t="n"/>
      <c r="AE571" s="16" t="n"/>
      <c r="AF571" s="17" t="n"/>
      <c r="AG571" s="120" t="n"/>
      <c r="AH571" s="55" t="inlineStr">
        <is>
          <t>CONTA</t>
        </is>
      </c>
      <c r="AI571" s="132">
        <f>DADOS_INVOC!$PX$117</f>
        <v/>
      </c>
      <c r="AJ571" s="16" t="n"/>
      <c r="AK571" s="16" t="n"/>
      <c r="AL571" s="17" t="n"/>
      <c r="AM571" s="120" t="n"/>
      <c r="AN571" s="55" t="inlineStr">
        <is>
          <t>CONTA</t>
        </is>
      </c>
      <c r="AO571" s="132">
        <f>DADOS_INVOC!$PX$118</f>
        <v/>
      </c>
      <c r="AP571" s="16" t="n"/>
      <c r="AQ571" s="16" t="n"/>
      <c r="AR571" s="17" t="n"/>
      <c r="AS571" s="120" t="n"/>
    </row>
    <row r="572" hidden="1" outlineLevel="3">
      <c r="A572" s="8" t="n"/>
      <c r="B572" s="14" t="n"/>
      <c r="C572" s="120" t="n"/>
      <c r="D572" s="120" t="n"/>
      <c r="E572" s="120" t="n"/>
      <c r="F572" s="120" t="n"/>
      <c r="G572" s="120" t="n"/>
      <c r="I572" s="55" t="inlineStr">
        <is>
          <t>AMPLIAR</t>
        </is>
      </c>
      <c r="J572" s="132">
        <f>DADOS_INVOC!$PY$38</f>
        <v/>
      </c>
      <c r="K572" s="19" t="n"/>
      <c r="L572" s="19" t="n"/>
      <c r="M572" s="20" t="n"/>
      <c r="N572" s="120" t="n"/>
      <c r="O572" s="55" t="inlineStr">
        <is>
          <t>AMPLIAR</t>
        </is>
      </c>
      <c r="P572" s="132">
        <f>DADOS_INVOC!$PY$39</f>
        <v/>
      </c>
      <c r="Q572" s="19" t="n"/>
      <c r="R572" s="19" t="n"/>
      <c r="S572" s="20" t="n"/>
      <c r="T572" s="120" t="n"/>
      <c r="U572" s="55" t="inlineStr">
        <is>
          <t>AMPLIAR</t>
        </is>
      </c>
      <c r="V572" s="132">
        <f>DADOS_INVOC!$PY$40</f>
        <v/>
      </c>
      <c r="W572" s="19" t="n"/>
      <c r="X572" s="19" t="n"/>
      <c r="Y572" s="20" t="n"/>
      <c r="Z572" s="120" t="n"/>
      <c r="AB572" s="55" t="inlineStr">
        <is>
          <t>AMPLIAR</t>
        </is>
      </c>
      <c r="AC572" s="132">
        <f>DADOS_INVOC!$PY$116</f>
        <v/>
      </c>
      <c r="AD572" s="19" t="n"/>
      <c r="AE572" s="19" t="n"/>
      <c r="AF572" s="20" t="n"/>
      <c r="AG572" s="120" t="n"/>
      <c r="AH572" s="55" t="inlineStr">
        <is>
          <t>AMPLIAR</t>
        </is>
      </c>
      <c r="AI572" s="132">
        <f>DADOS_INVOC!$PY$117</f>
        <v/>
      </c>
      <c r="AJ572" s="19" t="n"/>
      <c r="AK572" s="19" t="n"/>
      <c r="AL572" s="20" t="n"/>
      <c r="AM572" s="120" t="n"/>
      <c r="AN572" s="55" t="inlineStr">
        <is>
          <t>AMPLIAR</t>
        </is>
      </c>
      <c r="AO572" s="132">
        <f>DADOS_INVOC!$PY$118</f>
        <v/>
      </c>
      <c r="AP572" s="19" t="n"/>
      <c r="AQ572" s="19" t="n"/>
      <c r="AR572" s="20" t="n"/>
      <c r="AS572" s="120" t="n"/>
    </row>
    <row r="573" hidden="1" outlineLevel="3">
      <c r="A573" s="8" t="n"/>
      <c r="B573" s="14" t="n"/>
      <c r="C573" s="120" t="n"/>
      <c r="D573" s="120" t="n"/>
      <c r="E573" s="120" t="n"/>
      <c r="F573" s="120" t="n"/>
      <c r="G573" s="120" t="n"/>
      <c r="I573" s="125" t="n"/>
      <c r="J573" s="23" t="n"/>
      <c r="K573" s="24" t="n"/>
      <c r="L573" s="24" t="n"/>
      <c r="M573" s="25" t="n"/>
      <c r="N573" s="120" t="n"/>
      <c r="O573" s="125" t="n"/>
      <c r="P573" s="23" t="n"/>
      <c r="Q573" s="24" t="n"/>
      <c r="R573" s="24" t="n"/>
      <c r="S573" s="25" t="n"/>
      <c r="T573" s="120" t="n"/>
      <c r="U573" s="125" t="n"/>
      <c r="V573" s="23" t="n"/>
      <c r="W573" s="24" t="n"/>
      <c r="X573" s="24" t="n"/>
      <c r="Y573" s="25" t="n"/>
      <c r="Z573" s="120" t="n"/>
      <c r="AB573" s="125" t="n"/>
      <c r="AC573" s="23" t="n"/>
      <c r="AD573" s="24" t="n"/>
      <c r="AE573" s="24" t="n"/>
      <c r="AF573" s="25" t="n"/>
      <c r="AG573" s="120" t="n"/>
      <c r="AH573" s="125" t="n"/>
      <c r="AI573" s="23" t="n"/>
      <c r="AJ573" s="24" t="n"/>
      <c r="AK573" s="24" t="n"/>
      <c r="AL573" s="25" t="n"/>
      <c r="AM573" s="120" t="n"/>
      <c r="AN573" s="125" t="n"/>
      <c r="AO573" s="23" t="n"/>
      <c r="AP573" s="24" t="n"/>
      <c r="AQ573" s="24" t="n"/>
      <c r="AR573" s="25" t="n"/>
      <c r="AS573" s="120" t="n"/>
    </row>
    <row r="574" hidden="1" outlineLevel="3">
      <c r="A574" s="8" t="n"/>
      <c r="B574" s="14" t="n"/>
      <c r="C574" s="120" t="n"/>
      <c r="D574" s="120" t="n"/>
      <c r="E574" s="120" t="n"/>
      <c r="F574" s="120" t="n"/>
      <c r="G574" s="120" t="n"/>
      <c r="I574" s="132">
        <f>DADOS_INVOC!$PL$38</f>
        <v/>
      </c>
      <c r="J574" s="19" t="n"/>
      <c r="K574" s="19" t="n"/>
      <c r="L574" s="19" t="n"/>
      <c r="M574" s="20" t="n"/>
      <c r="N574" s="120" t="n"/>
      <c r="O574" s="132">
        <f>DADOS_INVOC!$PL$39</f>
        <v/>
      </c>
      <c r="P574" s="19" t="n"/>
      <c r="Q574" s="19" t="n"/>
      <c r="R574" s="19" t="n"/>
      <c r="S574" s="20" t="n"/>
      <c r="T574" s="120" t="n"/>
      <c r="U574" s="132">
        <f>DADOS_INVOC!$PL$40</f>
        <v/>
      </c>
      <c r="V574" s="19" t="n"/>
      <c r="W574" s="19" t="n"/>
      <c r="X574" s="19" t="n"/>
      <c r="Y574" s="20" t="n"/>
      <c r="Z574" s="120" t="n"/>
      <c r="AB574" s="132">
        <f>DADOS_INVOC!$PL$116</f>
        <v/>
      </c>
      <c r="AC574" s="19" t="n"/>
      <c r="AD574" s="19" t="n"/>
      <c r="AE574" s="19" t="n"/>
      <c r="AF574" s="20" t="n"/>
      <c r="AG574" s="120" t="n"/>
      <c r="AH574" s="132">
        <f>DADOS_INVOC!$PL$117</f>
        <v/>
      </c>
      <c r="AI574" s="19" t="n"/>
      <c r="AJ574" s="19" t="n"/>
      <c r="AK574" s="19" t="n"/>
      <c r="AL574" s="20" t="n"/>
      <c r="AM574" s="120" t="n"/>
      <c r="AN574" s="132">
        <f>DADOS_INVOC!$PL$118</f>
        <v/>
      </c>
      <c r="AO574" s="19" t="n"/>
      <c r="AP574" s="19" t="n"/>
      <c r="AQ574" s="19" t="n"/>
      <c r="AR574" s="20" t="n"/>
      <c r="AS574" s="120" t="n"/>
    </row>
    <row r="575" hidden="1" outlineLevel="3">
      <c r="A575" s="8" t="n"/>
      <c r="B575" s="14" t="n"/>
      <c r="C575" s="120" t="n"/>
      <c r="D575" s="120" t="n"/>
      <c r="E575" s="120" t="n"/>
      <c r="F575" s="120" t="n"/>
      <c r="G575" s="120" t="n"/>
      <c r="I575" s="23" t="n"/>
      <c r="J575" s="24" t="n"/>
      <c r="K575" s="24" t="n"/>
      <c r="L575" s="24" t="n"/>
      <c r="M575" s="25" t="n"/>
      <c r="N575" s="120" t="n"/>
      <c r="O575" s="23" t="n"/>
      <c r="P575" s="24" t="n"/>
      <c r="Q575" s="24" t="n"/>
      <c r="R575" s="24" t="n"/>
      <c r="S575" s="25" t="n"/>
      <c r="T575" s="120" t="n"/>
      <c r="U575" s="23" t="n"/>
      <c r="V575" s="24" t="n"/>
      <c r="W575" s="24" t="n"/>
      <c r="X575" s="24" t="n"/>
      <c r="Y575" s="25" t="n"/>
      <c r="Z575" s="120" t="n"/>
      <c r="AB575" s="23" t="n"/>
      <c r="AC575" s="24" t="n"/>
      <c r="AD575" s="24" t="n"/>
      <c r="AE575" s="24" t="n"/>
      <c r="AF575" s="25" t="n"/>
      <c r="AG575" s="120" t="n"/>
      <c r="AH575" s="23" t="n"/>
      <c r="AI575" s="24" t="n"/>
      <c r="AJ575" s="24" t="n"/>
      <c r="AK575" s="24" t="n"/>
      <c r="AL575" s="25" t="n"/>
      <c r="AM575" s="120" t="n"/>
      <c r="AN575" s="23" t="n"/>
      <c r="AO575" s="24" t="n"/>
      <c r="AP575" s="24" t="n"/>
      <c r="AQ575" s="24" t="n"/>
      <c r="AR575" s="25" t="n"/>
      <c r="AS575" s="120" t="n"/>
    </row>
    <row r="576" hidden="1" outlineLevel="2">
      <c r="A576" s="8" t="n"/>
      <c r="B576" s="14" t="n"/>
      <c r="C576" s="120" t="n"/>
      <c r="D576" s="120" t="n"/>
      <c r="E576" s="120" t="n"/>
      <c r="F576" s="120" t="n"/>
      <c r="G576" s="120" t="n"/>
      <c r="I576" s="120" t="n"/>
      <c r="J576" s="120" t="n"/>
      <c r="K576" s="120" t="n"/>
      <c r="L576" s="120" t="n"/>
      <c r="M576" s="120" t="n"/>
      <c r="N576" s="120" t="n"/>
      <c r="O576" s="120" t="n"/>
      <c r="P576" s="120" t="n"/>
      <c r="Q576" s="120" t="n"/>
      <c r="R576" s="120" t="n"/>
      <c r="S576" s="120" t="n"/>
      <c r="T576" s="120" t="n"/>
      <c r="U576" s="120" t="n"/>
      <c r="V576" s="120" t="n"/>
      <c r="W576" s="120" t="n"/>
      <c r="X576" s="120" t="n"/>
      <c r="Y576" s="120" t="n"/>
      <c r="Z576" s="120" t="n"/>
      <c r="AB576" s="120" t="n"/>
      <c r="AC576" s="120" t="n"/>
      <c r="AD576" s="120" t="n"/>
      <c r="AE576" s="120" t="n"/>
      <c r="AF576" s="120" t="n"/>
      <c r="AG576" s="120" t="n"/>
      <c r="AH576" s="120" t="n"/>
      <c r="AI576" s="120" t="n"/>
      <c r="AJ576" s="120" t="n"/>
      <c r="AK576" s="120" t="n"/>
      <c r="AL576" s="120" t="n"/>
      <c r="AM576" s="120" t="n"/>
      <c r="AN576" s="120" t="n"/>
      <c r="AO576" s="120" t="n"/>
      <c r="AP576" s="120" t="n"/>
      <c r="AQ576" s="120" t="n"/>
      <c r="AR576" s="120" t="n"/>
      <c r="AS576" s="120" t="n"/>
    </row>
    <row r="577" hidden="1" outlineLevel="2">
      <c r="A577" s="8" t="n"/>
      <c r="B577" s="14" t="n"/>
      <c r="C577" s="120" t="n"/>
      <c r="D577" s="120" t="n"/>
      <c r="E577" s="120" t="n"/>
      <c r="F577" s="120" t="n"/>
      <c r="G577" s="120"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0"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0" t="n"/>
    </row>
    <row r="578" hidden="1" outlineLevel="2">
      <c r="A578" s="8" t="n"/>
      <c r="B578" s="14" t="n"/>
      <c r="C578" s="120" t="n"/>
      <c r="D578" s="120" t="n"/>
      <c r="E578" s="120" t="n"/>
      <c r="F578" s="120" t="n"/>
      <c r="G578" s="120" t="n"/>
      <c r="I578" s="55" t="inlineStr">
        <is>
          <t>TRILHA · CE 1</t>
        </is>
      </c>
      <c r="J578" s="130" t="n"/>
      <c r="K578" s="16" t="n"/>
      <c r="L578" s="17" t="n"/>
      <c r="M578" s="137">
        <f>DADOS_INVOC!$IL$4</f>
        <v/>
      </c>
      <c r="N578" s="16" t="n"/>
      <c r="O578" s="16" t="n"/>
      <c r="P578" s="16" t="n"/>
      <c r="Q578" s="16" t="n"/>
      <c r="R578" s="16" t="n"/>
      <c r="S578" s="16" t="n"/>
      <c r="T578" s="16" t="n"/>
      <c r="U578" s="16" t="n"/>
      <c r="V578" s="16" t="n"/>
      <c r="W578" s="16" t="n"/>
      <c r="X578" s="16" t="n"/>
      <c r="Y578" s="17" t="n"/>
      <c r="Z578" s="120" t="n"/>
      <c r="AB578" s="55" t="inlineStr">
        <is>
          <t>TRILHA · CE 1</t>
        </is>
      </c>
      <c r="AC578" s="130" t="n"/>
      <c r="AD578" s="16" t="n"/>
      <c r="AE578" s="17" t="n"/>
      <c r="AF578" s="137">
        <f>DADOS_INVOC!$IL$10</f>
        <v/>
      </c>
      <c r="AG578" s="16" t="n"/>
      <c r="AH578" s="16" t="n"/>
      <c r="AI578" s="16" t="n"/>
      <c r="AJ578" s="16" t="n"/>
      <c r="AK578" s="16" t="n"/>
      <c r="AL578" s="16" t="n"/>
      <c r="AM578" s="16" t="n"/>
      <c r="AN578" s="16" t="n"/>
      <c r="AO578" s="16" t="n"/>
      <c r="AP578" s="16" t="n"/>
      <c r="AQ578" s="16" t="n"/>
      <c r="AR578" s="17" t="n"/>
      <c r="AS578" s="120" t="n"/>
    </row>
    <row r="579" hidden="1" outlineLevel="2">
      <c r="A579" s="8" t="n"/>
      <c r="B579" s="14" t="n"/>
      <c r="C579" s="120" t="n"/>
      <c r="D579" s="120" t="n"/>
      <c r="E579" s="120" t="n"/>
      <c r="F579" s="120" t="n"/>
      <c r="G579" s="120" t="n"/>
      <c r="I579" s="55" t="inlineStr">
        <is>
          <t>TRILHA · CE 1</t>
        </is>
      </c>
      <c r="J579" s="130" t="n"/>
      <c r="K579" s="16" t="n"/>
      <c r="L579" s="17" t="n"/>
      <c r="M579" s="137">
        <f>DADOS_INVOC!$IM$4</f>
        <v/>
      </c>
      <c r="N579" s="16" t="n"/>
      <c r="O579" s="16" t="n"/>
      <c r="P579" s="16" t="n"/>
      <c r="Q579" s="16" t="n"/>
      <c r="R579" s="16" t="n"/>
      <c r="S579" s="16" t="n"/>
      <c r="T579" s="16" t="n"/>
      <c r="U579" s="16" t="n"/>
      <c r="V579" s="16" t="n"/>
      <c r="W579" s="16" t="n"/>
      <c r="X579" s="16" t="n"/>
      <c r="Y579" s="17" t="n"/>
      <c r="Z579" s="120" t="n"/>
      <c r="AB579" s="55" t="inlineStr">
        <is>
          <t>TRILHA · CE 1</t>
        </is>
      </c>
      <c r="AC579" s="130" t="n"/>
      <c r="AD579" s="16" t="n"/>
      <c r="AE579" s="17" t="n"/>
      <c r="AF579" s="137">
        <f>DADOS_INVOC!$IM$10</f>
        <v/>
      </c>
      <c r="AG579" s="16" t="n"/>
      <c r="AH579" s="16" t="n"/>
      <c r="AI579" s="16" t="n"/>
      <c r="AJ579" s="16" t="n"/>
      <c r="AK579" s="16" t="n"/>
      <c r="AL579" s="16" t="n"/>
      <c r="AM579" s="16" t="n"/>
      <c r="AN579" s="16" t="n"/>
      <c r="AO579" s="16" t="n"/>
      <c r="AP579" s="16" t="n"/>
      <c r="AQ579" s="16" t="n"/>
      <c r="AR579" s="17" t="n"/>
      <c r="AS579" s="120" t="n"/>
    </row>
    <row r="580" hidden="1" outlineLevel="2">
      <c r="A580" s="8" t="n"/>
      <c r="B580" s="14" t="n"/>
      <c r="C580" s="120" t="n"/>
      <c r="D580" s="120" t="n"/>
      <c r="E580" s="120" t="n"/>
      <c r="F580" s="120" t="n"/>
      <c r="G580" s="120" t="n"/>
      <c r="I580" s="55" t="inlineStr">
        <is>
          <t>TRILHA · CE 1</t>
        </is>
      </c>
      <c r="J580" s="130" t="n"/>
      <c r="K580" s="16" t="n"/>
      <c r="L580" s="17" t="n"/>
      <c r="M580" s="137">
        <f>DADOS_INVOC!$IN$4</f>
        <v/>
      </c>
      <c r="N580" s="16" t="n"/>
      <c r="O580" s="16" t="n"/>
      <c r="P580" s="16" t="n"/>
      <c r="Q580" s="16" t="n"/>
      <c r="R580" s="16" t="n"/>
      <c r="S580" s="16" t="n"/>
      <c r="T580" s="16" t="n"/>
      <c r="U580" s="16" t="n"/>
      <c r="V580" s="16" t="n"/>
      <c r="W580" s="16" t="n"/>
      <c r="X580" s="16" t="n"/>
      <c r="Y580" s="17" t="n"/>
      <c r="Z580" s="120" t="n"/>
      <c r="AB580" s="55" t="inlineStr">
        <is>
          <t>TRILHA · CE 1</t>
        </is>
      </c>
      <c r="AC580" s="130" t="n"/>
      <c r="AD580" s="16" t="n"/>
      <c r="AE580" s="17" t="n"/>
      <c r="AF580" s="137">
        <f>DADOS_INVOC!$IN$10</f>
        <v/>
      </c>
      <c r="AG580" s="16" t="n"/>
      <c r="AH580" s="16" t="n"/>
      <c r="AI580" s="16" t="n"/>
      <c r="AJ580" s="16" t="n"/>
      <c r="AK580" s="16" t="n"/>
      <c r="AL580" s="16" t="n"/>
      <c r="AM580" s="16" t="n"/>
      <c r="AN580" s="16" t="n"/>
      <c r="AO580" s="16" t="n"/>
      <c r="AP580" s="16" t="n"/>
      <c r="AQ580" s="16" t="n"/>
      <c r="AR580" s="17" t="n"/>
      <c r="AS580" s="120" t="n"/>
    </row>
    <row r="581" hidden="1" outlineLevel="1">
      <c r="A581" s="8" t="n"/>
      <c r="B581" s="14" t="n"/>
      <c r="C581" s="120" t="n"/>
      <c r="D581" s="120" t="n"/>
      <c r="E581" s="120" t="n"/>
      <c r="F581" s="120" t="n"/>
      <c r="G581" s="120" t="n"/>
      <c r="I581" s="120" t="n"/>
      <c r="J581" s="120" t="n"/>
      <c r="K581" s="120" t="n"/>
      <c r="L581" s="120" t="n"/>
      <c r="M581" s="120" t="n"/>
      <c r="N581" s="120" t="n"/>
      <c r="O581" s="120" t="n"/>
      <c r="P581" s="120" t="n"/>
      <c r="Q581" s="120" t="n"/>
      <c r="R581" s="120" t="n"/>
      <c r="S581" s="120" t="n"/>
      <c r="T581" s="120" t="n"/>
      <c r="U581" s="120" t="n"/>
      <c r="V581" s="120" t="n"/>
      <c r="W581" s="120" t="n"/>
      <c r="X581" s="120" t="n"/>
      <c r="Y581" s="120" t="n"/>
      <c r="Z581" s="120" t="n"/>
      <c r="AB581" s="120" t="n"/>
      <c r="AC581" s="120" t="n"/>
      <c r="AD581" s="120" t="n"/>
      <c r="AE581" s="120" t="n"/>
      <c r="AF581" s="120" t="n"/>
      <c r="AG581" s="120" t="n"/>
      <c r="AH581" s="120" t="n"/>
      <c r="AI581" s="120" t="n"/>
      <c r="AJ581" s="120" t="n"/>
      <c r="AK581" s="120" t="n"/>
      <c r="AL581" s="120" t="n"/>
      <c r="AM581" s="120" t="n"/>
      <c r="AN581" s="120" t="n"/>
      <c r="AO581" s="120" t="n"/>
      <c r="AP581" s="120" t="n"/>
      <c r="AQ581" s="120" t="n"/>
      <c r="AR581" s="120" t="n"/>
      <c r="AS581" s="120" t="n"/>
    </row>
    <row r="582" hidden="1" outlineLevel="1">
      <c r="A582" s="8" t="n"/>
      <c r="B582" s="14" t="n"/>
      <c r="C582" s="120" t="n"/>
      <c r="D582" s="120" t="n"/>
      <c r="E582" s="120" t="n"/>
      <c r="F582" s="120" t="n"/>
      <c r="G582" s="120" t="n"/>
      <c r="I582" s="13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0" t="n"/>
      <c r="AB582" s="13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LIBERAÇÃO MÁXIMA 1</t>
        </is>
      </c>
      <c r="J584" s="16" t="n"/>
      <c r="K584" s="16" t="n"/>
      <c r="L584" s="16" t="n"/>
      <c r="M584" s="17" t="n"/>
      <c r="N584" s="120" t="n"/>
      <c r="O584" s="55" t="inlineStr">
        <is>
          <t>LIBERAÇÃO MÁXIMA 2</t>
        </is>
      </c>
      <c r="P584" s="16" t="n"/>
      <c r="Q584" s="16" t="n"/>
      <c r="R584" s="16" t="n"/>
      <c r="S584" s="17" t="n"/>
      <c r="T584" s="120" t="n"/>
      <c r="U584" s="55" t="inlineStr">
        <is>
          <t>LIBERAÇÃO MÁXIMA 3</t>
        </is>
      </c>
      <c r="V584" s="16" t="n"/>
      <c r="W584" s="16" t="n"/>
      <c r="X584" s="16" t="n"/>
      <c r="Y584" s="17" t="n"/>
      <c r="Z584" s="120" t="n"/>
      <c r="AB584" s="55" t="inlineStr">
        <is>
          <t>LIBERAÇÃO MÁXIMA 1</t>
        </is>
      </c>
      <c r="AC584" s="16" t="n"/>
      <c r="AD584" s="16" t="n"/>
      <c r="AE584" s="16" t="n"/>
      <c r="AF584" s="17" t="n"/>
      <c r="AG584" s="120" t="n"/>
      <c r="AH584" s="55" t="inlineStr">
        <is>
          <t>LIBERAÇÃO MÁXIMA 2</t>
        </is>
      </c>
      <c r="AI584" s="16" t="n"/>
      <c r="AJ584" s="16" t="n"/>
      <c r="AK584" s="16" t="n"/>
      <c r="AL584" s="17" t="n"/>
      <c r="AM584" s="120" t="n"/>
      <c r="AN584" s="55" t="inlineStr">
        <is>
          <t>LIBERAÇÃO MÁXIMA 3</t>
        </is>
      </c>
      <c r="AO584" s="16" t="n"/>
      <c r="AP584" s="16" t="n"/>
      <c r="AQ584" s="16" t="n"/>
      <c r="AR584" s="17" t="n"/>
      <c r="AS584" s="120" t="n"/>
    </row>
    <row r="585" hidden="1" outlineLevel="2">
      <c r="A585" s="8" t="n"/>
      <c r="B585" s="14" t="n"/>
      <c r="C585" s="120" t="n"/>
      <c r="D585" s="120" t="n"/>
      <c r="E585" s="120" t="n"/>
      <c r="F585" s="120" t="n"/>
      <c r="G585" s="120" t="n"/>
      <c r="I585" s="127" t="n">
        <v>3</v>
      </c>
      <c r="J585" s="115" t="n"/>
      <c r="K585" s="16" t="n"/>
      <c r="L585" s="17" t="n"/>
      <c r="M585" s="128">
        <f>DADOS_INVOC!$IO$4</f>
        <v/>
      </c>
      <c r="N585" s="120" t="n"/>
      <c r="O585" s="127" t="n">
        <v>3</v>
      </c>
      <c r="P585" s="115" t="n"/>
      <c r="Q585" s="16" t="n"/>
      <c r="R585" s="17" t="n"/>
      <c r="S585" s="128">
        <f>DADOS_INVOC!$IP$4</f>
        <v/>
      </c>
      <c r="T585" s="120" t="n"/>
      <c r="U585" s="127" t="n">
        <v>3</v>
      </c>
      <c r="V585" s="115" t="n"/>
      <c r="W585" s="16" t="n"/>
      <c r="X585" s="17" t="n"/>
      <c r="Y585" s="128">
        <f>DADOS_INVOC!$IQ$4</f>
        <v/>
      </c>
      <c r="Z585" s="120" t="n"/>
      <c r="AB585" s="127" t="n">
        <v>3</v>
      </c>
      <c r="AC585" s="115" t="n"/>
      <c r="AD585" s="16" t="n"/>
      <c r="AE585" s="17" t="n"/>
      <c r="AF585" s="128">
        <f>DADOS_INVOC!$IO$10</f>
        <v/>
      </c>
      <c r="AG585" s="120" t="n"/>
      <c r="AH585" s="127" t="n">
        <v>3</v>
      </c>
      <c r="AI585" s="115" t="n"/>
      <c r="AJ585" s="16" t="n"/>
      <c r="AK585" s="17" t="n"/>
      <c r="AL585" s="128">
        <f>DADOS_INVOC!$IP$10</f>
        <v/>
      </c>
      <c r="AM585" s="120" t="n"/>
      <c r="AN585" s="127" t="n">
        <v>3</v>
      </c>
      <c r="AO585" s="115" t="n"/>
      <c r="AP585" s="16" t="n"/>
      <c r="AQ585" s="17" t="n"/>
      <c r="AR585" s="128">
        <f>DADOS_INVOC!$IQ$10</f>
        <v/>
      </c>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16" t="n"/>
      <c r="V586" s="19" t="n"/>
      <c r="W586" s="19" t="n"/>
      <c r="X586" s="19" t="n"/>
      <c r="Y586" s="20" t="n"/>
      <c r="Z586" s="120" t="n"/>
      <c r="AB586" s="116" t="n"/>
      <c r="AC586" s="19" t="n"/>
      <c r="AD586" s="19" t="n"/>
      <c r="AE586" s="19" t="n"/>
      <c r="AF586" s="20" t="n"/>
      <c r="AG586" s="120" t="n"/>
      <c r="AH586" s="116" t="n"/>
      <c r="AI586" s="19" t="n"/>
      <c r="AJ586" s="19" t="n"/>
      <c r="AK586" s="19" t="n"/>
      <c r="AL586" s="20" t="n"/>
      <c r="AM586" s="120" t="n"/>
      <c r="AN586" s="116" t="n"/>
      <c r="AO586" s="19" t="n"/>
      <c r="AP586" s="19" t="n"/>
      <c r="AQ586" s="19" t="n"/>
      <c r="AR586" s="20" t="n"/>
      <c r="AS586" s="120" t="n"/>
    </row>
    <row r="587" hidden="1" outlineLevel="2">
      <c r="A587" s="8" t="n"/>
      <c r="B587" s="14" t="n"/>
      <c r="C587" s="120" t="n"/>
      <c r="D587" s="120" t="n"/>
      <c r="E587" s="120" t="n"/>
      <c r="F587" s="120" t="n"/>
      <c r="G587" s="120" t="n"/>
      <c r="I587" s="21" t="n"/>
      <c r="M587" s="22" t="n"/>
      <c r="N587" s="120" t="n"/>
      <c r="O587" s="21" t="n"/>
      <c r="S587" s="22" t="n"/>
      <c r="T587" s="120" t="n"/>
      <c r="U587" s="21" t="n"/>
      <c r="Y587" s="22" t="n"/>
      <c r="Z587" s="120" t="n"/>
      <c r="AB587" s="21" t="n"/>
      <c r="AF587" s="22" t="n"/>
      <c r="AG587" s="120" t="n"/>
      <c r="AH587" s="21" t="n"/>
      <c r="AL587" s="22" t="n"/>
      <c r="AM587" s="120" t="n"/>
      <c r="AN587" s="21" t="n"/>
      <c r="AR587" s="22" t="n"/>
      <c r="AS587" s="120" t="n"/>
    </row>
    <row r="588" hidden="1" outlineLevel="2">
      <c r="A588" s="8" t="n"/>
      <c r="B588" s="14" t="n"/>
      <c r="C588" s="120" t="n"/>
      <c r="D588" s="120" t="n"/>
      <c r="E588" s="120" t="n"/>
      <c r="F588" s="120" t="n"/>
      <c r="G588" s="120" t="n"/>
      <c r="I588" s="21" t="n"/>
      <c r="M588" s="22" t="n"/>
      <c r="N588" s="120" t="n"/>
      <c r="O588" s="21" t="n"/>
      <c r="S588" s="22" t="n"/>
      <c r="T588" s="120" t="n"/>
      <c r="U588" s="21" t="n"/>
      <c r="Y588" s="22" t="n"/>
      <c r="Z588" s="120" t="n"/>
      <c r="AB588" s="21" t="n"/>
      <c r="AF588" s="22" t="n"/>
      <c r="AG588" s="120" t="n"/>
      <c r="AH588" s="21" t="n"/>
      <c r="AL588" s="22" t="n"/>
      <c r="AM588" s="120" t="n"/>
      <c r="AN588" s="21" t="n"/>
      <c r="AR588" s="22"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23" t="n"/>
      <c r="V589" s="24" t="n"/>
      <c r="W589" s="24" t="n"/>
      <c r="X589" s="24" t="n"/>
      <c r="Y589" s="25" t="n"/>
      <c r="Z589" s="120" t="n"/>
      <c r="AB589" s="23" t="n"/>
      <c r="AC589" s="24" t="n"/>
      <c r="AD589" s="24" t="n"/>
      <c r="AE589" s="24" t="n"/>
      <c r="AF589" s="25" t="n"/>
      <c r="AG589" s="120" t="n"/>
      <c r="AH589" s="23" t="n"/>
      <c r="AI589" s="24" t="n"/>
      <c r="AJ589" s="24" t="n"/>
      <c r="AK589" s="24" t="n"/>
      <c r="AL589" s="25" t="n"/>
      <c r="AM589" s="120" t="n"/>
      <c r="AN589" s="23" t="n"/>
      <c r="AO589" s="24" t="n"/>
      <c r="AP589" s="24" t="n"/>
      <c r="AQ589" s="24" t="n"/>
      <c r="AR589" s="25" t="n"/>
      <c r="AS589" s="120" t="n"/>
    </row>
    <row r="590" hidden="1" outlineLevel="2">
      <c r="A590" s="8" t="n"/>
      <c r="B590" s="14" t="n"/>
      <c r="C590" s="120" t="n"/>
      <c r="D590" s="120" t="n"/>
      <c r="E590" s="120" t="n"/>
      <c r="F590" s="120" t="n"/>
      <c r="G590" s="120" t="n"/>
      <c r="I590" s="68">
        <f>DADOS_INVOC!$IR$4</f>
        <v/>
      </c>
      <c r="J590" s="16" t="n"/>
      <c r="K590" s="16" t="n"/>
      <c r="L590" s="16" t="n"/>
      <c r="M590" s="17" t="n"/>
      <c r="N590" s="120" t="n"/>
      <c r="O590" s="68">
        <f>DADOS_INVOC!$IS$4</f>
        <v/>
      </c>
      <c r="P590" s="16" t="n"/>
      <c r="Q590" s="16" t="n"/>
      <c r="R590" s="16" t="n"/>
      <c r="S590" s="17" t="n"/>
      <c r="T590" s="120" t="n"/>
      <c r="U590" s="68">
        <f>DADOS_INVOC!$IT$4</f>
        <v/>
      </c>
      <c r="V590" s="16" t="n"/>
      <c r="W590" s="16" t="n"/>
      <c r="X590" s="16" t="n"/>
      <c r="Y590" s="17" t="n"/>
      <c r="Z590" s="120" t="n"/>
      <c r="AB590" s="68">
        <f>DADOS_INVOC!$IR$10</f>
        <v/>
      </c>
      <c r="AC590" s="16" t="n"/>
      <c r="AD590" s="16" t="n"/>
      <c r="AE590" s="16" t="n"/>
      <c r="AF590" s="17" t="n"/>
      <c r="AG590" s="120" t="n"/>
      <c r="AH590" s="68">
        <f>DADOS_INVOC!$IS$10</f>
        <v/>
      </c>
      <c r="AI590" s="16" t="n"/>
      <c r="AJ590" s="16" t="n"/>
      <c r="AK590" s="16" t="n"/>
      <c r="AL590" s="17" t="n"/>
      <c r="AM590" s="120" t="n"/>
      <c r="AN590" s="68">
        <f>DADOS_INVOC!$IT$10</f>
        <v/>
      </c>
      <c r="AO590" s="16" t="n"/>
      <c r="AP590" s="16" t="n"/>
      <c r="AQ590" s="16" t="n"/>
      <c r="AR590" s="17"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4" t="inlineStr">
        <is>
          <t>Sua Ação Completa + a básica dela</t>
        </is>
      </c>
      <c r="P591" s="16" t="n"/>
      <c r="Q591" s="16" t="n"/>
      <c r="R591" s="16" t="n"/>
      <c r="S591" s="17" t="n"/>
      <c r="T591" s="120" t="n"/>
      <c r="U591" s="124" t="inlineStr">
        <is>
          <t>Sua Ação Completa + a básica dela</t>
        </is>
      </c>
      <c r="V591" s="16" t="n"/>
      <c r="W591" s="16" t="n"/>
      <c r="X591" s="16" t="n"/>
      <c r="Y591" s="17" t="n"/>
      <c r="Z591" s="120" t="n"/>
      <c r="AB591" s="124" t="inlineStr">
        <is>
          <t>Sua Ação Completa + a básica dela</t>
        </is>
      </c>
      <c r="AC591" s="16" t="n"/>
      <c r="AD591" s="16" t="n"/>
      <c r="AE591" s="16" t="n"/>
      <c r="AF591" s="17" t="n"/>
      <c r="AG591" s="120" t="n"/>
      <c r="AH591" s="124" t="inlineStr">
        <is>
          <t>Sua Ação Completa + a básica dela</t>
        </is>
      </c>
      <c r="AI591" s="16" t="n"/>
      <c r="AJ591" s="16" t="n"/>
      <c r="AK591" s="16" t="n"/>
      <c r="AL591" s="17" t="n"/>
      <c r="AM591" s="120" t="n"/>
      <c r="AN591" s="124" t="inlineStr">
        <is>
          <t>Sua Ação Completa + a básica dela</t>
        </is>
      </c>
      <c r="AO591" s="16" t="n"/>
      <c r="AP591" s="16" t="n"/>
      <c r="AQ591" s="16" t="n"/>
      <c r="AR591" s="17" t="n"/>
      <c r="AS591" s="120" t="n"/>
    </row>
    <row r="592" hidden="1" outlineLevel="2">
      <c r="A592" s="8" t="n"/>
      <c r="B592" s="14" t="n"/>
      <c r="C592" s="120" t="n"/>
      <c r="D592" s="120" t="n"/>
      <c r="E592" s="120" t="n"/>
      <c r="F592" s="120" t="n"/>
      <c r="G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hidden="1" outlineLevel="2">
      <c r="A593" s="8" t="n"/>
      <c r="B593" s="14" t="n"/>
      <c r="C593" s="120" t="n"/>
      <c r="D593" s="120" t="n"/>
      <c r="E593" s="120" t="n"/>
      <c r="F593" s="120" t="n"/>
      <c r="G593" s="120" t="n"/>
      <c r="I593" s="55" t="inlineStr">
        <is>
          <t>TÉCNICA MÁXIMA</t>
        </is>
      </c>
      <c r="J593" s="16" t="n"/>
      <c r="K593" s="16" t="n"/>
      <c r="L593" s="16" t="n"/>
      <c r="M593" s="17" t="n"/>
      <c r="N593" s="120" t="n"/>
      <c r="O593" s="55" t="inlineStr">
        <is>
          <t>EXPANSÃO DE DOMÍNIO</t>
        </is>
      </c>
      <c r="P593" s="16" t="n"/>
      <c r="Q593" s="16" t="n"/>
      <c r="R593" s="16" t="n"/>
      <c r="S593" s="17" t="n"/>
      <c r="T593" s="120" t="n"/>
      <c r="U593" s="120" t="n"/>
      <c r="V593" s="120" t="n"/>
      <c r="W593" s="120" t="n"/>
      <c r="X593" s="120" t="n"/>
      <c r="Y593" s="120" t="n"/>
      <c r="Z593" s="120" t="n"/>
      <c r="AB593" s="55" t="inlineStr">
        <is>
          <t>TÉCNICA MÁXIMA</t>
        </is>
      </c>
      <c r="AC593" s="16" t="n"/>
      <c r="AD593" s="16" t="n"/>
      <c r="AE593" s="16" t="n"/>
      <c r="AF593" s="17" t="n"/>
      <c r="AG593" s="120" t="n"/>
      <c r="AH593" s="55" t="inlineStr">
        <is>
          <t>EXPANSÃO DE DOMÍNIO</t>
        </is>
      </c>
      <c r="AI593" s="16" t="n"/>
      <c r="AJ593" s="16" t="n"/>
      <c r="AK593" s="16" t="n"/>
      <c r="AL593" s="17" t="n"/>
      <c r="AM593" s="120" t="n"/>
      <c r="AN593" s="120" t="n"/>
      <c r="AO593" s="120" t="n"/>
      <c r="AP593" s="120" t="n"/>
      <c r="AQ593" s="120" t="n"/>
      <c r="AR593" s="120" t="n"/>
      <c r="AS593" s="120" t="n"/>
    </row>
    <row r="594" hidden="1" outlineLevel="2">
      <c r="A594" s="8" t="n"/>
      <c r="B594" s="14" t="n"/>
      <c r="C594" s="120" t="n"/>
      <c r="D594" s="120" t="n"/>
      <c r="E594" s="120" t="n"/>
      <c r="F594" s="120" t="n"/>
      <c r="G594" s="120" t="n"/>
      <c r="I594" s="115" t="n"/>
      <c r="J594" s="16" t="n"/>
      <c r="K594" s="16" t="n"/>
      <c r="L594" s="17" t="n"/>
      <c r="M594" s="128">
        <f>DADOS_INVOC!$IU$4</f>
        <v/>
      </c>
      <c r="N594" s="120" t="n"/>
      <c r="O594" s="115" t="n"/>
      <c r="P594" s="16" t="n"/>
      <c r="Q594" s="16" t="n"/>
      <c r="R594" s="17" t="n"/>
      <c r="S594" s="128">
        <f>DADOS_INVOC!$IW$4</f>
        <v/>
      </c>
      <c r="T594" s="120" t="n"/>
      <c r="U594" s="120" t="n"/>
      <c r="V594" s="120" t="n"/>
      <c r="W594" s="120" t="n"/>
      <c r="X594" s="120" t="n"/>
      <c r="Y594" s="120" t="n"/>
      <c r="Z594" s="120" t="n"/>
      <c r="AB594" s="115" t="n"/>
      <c r="AC594" s="16" t="n"/>
      <c r="AD594" s="16" t="n"/>
      <c r="AE594" s="17" t="n"/>
      <c r="AF594" s="128">
        <f>DADOS_INVOC!$IU$10</f>
        <v/>
      </c>
      <c r="AG594" s="120" t="n"/>
      <c r="AH594" s="115" t="n"/>
      <c r="AI594" s="16" t="n"/>
      <c r="AJ594" s="16" t="n"/>
      <c r="AK594" s="17" t="n"/>
      <c r="AL594" s="128">
        <f>DADOS_INVOC!$IW$10</f>
        <v/>
      </c>
      <c r="AM594" s="120" t="n"/>
      <c r="AN594" s="120" t="n"/>
      <c r="AO594" s="120" t="n"/>
      <c r="AP594" s="120" t="n"/>
      <c r="AQ594" s="120" t="n"/>
      <c r="AR594" s="120" t="n"/>
      <c r="AS594" s="120" t="n"/>
    </row>
    <row r="595" hidden="1" outlineLevel="2">
      <c r="A595" s="8" t="n"/>
      <c r="B595" s="14" t="n"/>
      <c r="C595" s="120" t="n"/>
      <c r="D595" s="120" t="n"/>
      <c r="E595" s="120" t="n"/>
      <c r="F595" s="120" t="n"/>
      <c r="G595" s="120" t="n"/>
      <c r="I595" s="116" t="n"/>
      <c r="J595" s="19" t="n"/>
      <c r="K595" s="19" t="n"/>
      <c r="L595" s="19" t="n"/>
      <c r="M595" s="20" t="n"/>
      <c r="N595" s="120" t="n"/>
      <c r="O595" s="116" t="n"/>
      <c r="P595" s="19" t="n"/>
      <c r="Q595" s="19" t="n"/>
      <c r="R595" s="19" t="n"/>
      <c r="S595" s="20" t="n"/>
      <c r="T595" s="120" t="n"/>
      <c r="U595" s="120" t="n"/>
      <c r="V595" s="120" t="n"/>
      <c r="W595" s="120" t="n"/>
      <c r="X595" s="120" t="n"/>
      <c r="Y595" s="120" t="n"/>
      <c r="Z595" s="120" t="n"/>
      <c r="AB595" s="116" t="n"/>
      <c r="AC595" s="19" t="n"/>
      <c r="AD595" s="19" t="n"/>
      <c r="AE595" s="19" t="n"/>
      <c r="AF595" s="20" t="n"/>
      <c r="AG595" s="120" t="n"/>
      <c r="AH595" s="116" t="n"/>
      <c r="AI595" s="19" t="n"/>
      <c r="AJ595" s="19" t="n"/>
      <c r="AK595" s="19" t="n"/>
      <c r="AL595" s="20" t="n"/>
      <c r="AM595" s="120" t="n"/>
      <c r="AN595" s="120" t="n"/>
      <c r="AO595" s="120" t="n"/>
      <c r="AP595" s="120" t="n"/>
      <c r="AQ595" s="120" t="n"/>
      <c r="AR595" s="120" t="n"/>
      <c r="AS595" s="120" t="n"/>
    </row>
    <row r="596" hidden="1" outlineLevel="2">
      <c r="A596" s="8" t="n"/>
      <c r="B596" s="14" t="n"/>
      <c r="C596" s="120" t="n"/>
      <c r="D596" s="120" t="n"/>
      <c r="E596" s="120" t="n"/>
      <c r="F596" s="120" t="n"/>
      <c r="G596" s="120" t="n"/>
      <c r="I596" s="21" t="n"/>
      <c r="M596" s="22" t="n"/>
      <c r="N596" s="120" t="n"/>
      <c r="O596" s="21" t="n"/>
      <c r="S596" s="22" t="n"/>
      <c r="T596" s="120" t="n"/>
      <c r="U596" s="120" t="n"/>
      <c r="V596" s="120" t="n"/>
      <c r="W596" s="120" t="n"/>
      <c r="X596" s="120" t="n"/>
      <c r="Y596" s="120" t="n"/>
      <c r="Z596" s="120" t="n"/>
      <c r="AB596" s="21" t="n"/>
      <c r="AF596" s="22" t="n"/>
      <c r="AG596" s="120" t="n"/>
      <c r="AH596" s="21" t="n"/>
      <c r="AL596" s="22" t="n"/>
      <c r="AM596" s="120" t="n"/>
      <c r="AN596" s="120" t="n"/>
      <c r="AO596" s="120" t="n"/>
      <c r="AP596" s="120" t="n"/>
      <c r="AQ596" s="120" t="n"/>
      <c r="AR596" s="120" t="n"/>
      <c r="AS596" s="120" t="n"/>
    </row>
    <row r="597" hidden="1" outlineLevel="2">
      <c r="A597" s="8" t="n"/>
      <c r="B597" s="14" t="n"/>
      <c r="C597" s="120" t="n"/>
      <c r="D597" s="120" t="n"/>
      <c r="E597" s="120" t="n"/>
      <c r="F597" s="120" t="n"/>
      <c r="G597" s="120" t="n"/>
      <c r="I597" s="21" t="n"/>
      <c r="M597" s="22" t="n"/>
      <c r="N597" s="120" t="n"/>
      <c r="O597" s="21" t="n"/>
      <c r="S597" s="22" t="n"/>
      <c r="T597" s="120" t="n"/>
      <c r="U597" s="120" t="n"/>
      <c r="V597" s="120" t="n"/>
      <c r="W597" s="120" t="n"/>
      <c r="X597" s="120" t="n"/>
      <c r="Y597" s="120" t="n"/>
      <c r="Z597" s="120" t="n"/>
      <c r="AB597" s="21" t="n"/>
      <c r="AF597" s="22" t="n"/>
      <c r="AG597" s="120" t="n"/>
      <c r="AH597" s="21" t="n"/>
      <c r="AL597" s="22" t="n"/>
      <c r="AM597" s="120" t="n"/>
      <c r="AN597" s="120" t="n"/>
      <c r="AO597" s="120" t="n"/>
      <c r="AP597" s="120" t="n"/>
      <c r="AQ597" s="120" t="n"/>
      <c r="AR597" s="120" t="n"/>
      <c r="AS597" s="120" t="n"/>
    </row>
    <row r="598" hidden="1" outlineLevel="2">
      <c r="A598" s="8" t="n"/>
      <c r="B598" s="14" t="n"/>
      <c r="C598" s="120" t="n"/>
      <c r="D598" s="120" t="n"/>
      <c r="E598" s="120" t="n"/>
      <c r="F598" s="120" t="n"/>
      <c r="G598" s="120" t="n"/>
      <c r="I598" s="23" t="n"/>
      <c r="J598" s="24" t="n"/>
      <c r="K598" s="24" t="n"/>
      <c r="L598" s="24" t="n"/>
      <c r="M598" s="25" t="n"/>
      <c r="N598" s="120" t="n"/>
      <c r="O598" s="23" t="n"/>
      <c r="P598" s="24" t="n"/>
      <c r="Q598" s="24" t="n"/>
      <c r="R598" s="24" t="n"/>
      <c r="S598" s="25" t="n"/>
      <c r="T598" s="120" t="n"/>
      <c r="U598" s="120" t="n"/>
      <c r="V598" s="120" t="n"/>
      <c r="W598" s="120" t="n"/>
      <c r="X598" s="120" t="n"/>
      <c r="Y598" s="120" t="n"/>
      <c r="Z598" s="120" t="n"/>
      <c r="AB598" s="23" t="n"/>
      <c r="AC598" s="24" t="n"/>
      <c r="AD598" s="24" t="n"/>
      <c r="AE598" s="24" t="n"/>
      <c r="AF598" s="25" t="n"/>
      <c r="AG598" s="120" t="n"/>
      <c r="AH598" s="23" t="n"/>
      <c r="AI598" s="24" t="n"/>
      <c r="AJ598" s="24" t="n"/>
      <c r="AK598" s="24" t="n"/>
      <c r="AL598" s="25" t="n"/>
      <c r="AM598" s="120" t="n"/>
      <c r="AN598" s="120" t="n"/>
      <c r="AO598" s="120" t="n"/>
      <c r="AP598" s="120" t="n"/>
      <c r="AQ598" s="120" t="n"/>
      <c r="AR598" s="120" t="n"/>
      <c r="AS598" s="120" t="n"/>
    </row>
    <row r="599" hidden="1" outlineLevel="2">
      <c r="A599" s="8" t="n"/>
      <c r="B599" s="14" t="n"/>
      <c r="C599" s="120" t="n"/>
      <c r="D599" s="120" t="n"/>
      <c r="E599" s="120" t="n"/>
      <c r="F599" s="120" t="n"/>
      <c r="G599" s="120" t="n"/>
      <c r="I599" s="68">
        <f>DADOS_INVOC!$IV$4</f>
        <v/>
      </c>
      <c r="J599" s="16" t="n"/>
      <c r="K599" s="16" t="n"/>
      <c r="L599" s="16" t="n"/>
      <c r="M599" s="17" t="n"/>
      <c r="N599" s="120" t="n"/>
      <c r="O599" s="124" t="n"/>
      <c r="P599" s="17" t="n"/>
      <c r="Q599" s="68">
        <f>DADOS_INVOC!$IX$4</f>
        <v/>
      </c>
      <c r="R599" s="16" t="n"/>
      <c r="S599" s="17" t="n"/>
      <c r="T599" s="120" t="n"/>
      <c r="U599" s="120" t="n"/>
      <c r="V599" s="120" t="n"/>
      <c r="W599" s="120" t="n"/>
      <c r="X599" s="120" t="n"/>
      <c r="Y599" s="120" t="n"/>
      <c r="Z599" s="120" t="n"/>
      <c r="AB599" s="68">
        <f>DADOS_INVOC!$IV$10</f>
        <v/>
      </c>
      <c r="AC599" s="16" t="n"/>
      <c r="AD599" s="16" t="n"/>
      <c r="AE599" s="16" t="n"/>
      <c r="AF599" s="17" t="n"/>
      <c r="AG599" s="120" t="n"/>
      <c r="AH599" s="124" t="n"/>
      <c r="AI599" s="17" t="n"/>
      <c r="AJ599" s="68">
        <f>DADOS_INVOC!$IX$10</f>
        <v/>
      </c>
      <c r="AK599" s="16" t="n"/>
      <c r="AL599" s="17" t="n"/>
      <c r="AM599" s="120" t="n"/>
      <c r="AN599" s="120" t="n"/>
      <c r="AO599" s="120" t="n"/>
      <c r="AP599" s="120" t="n"/>
      <c r="AQ599" s="120" t="n"/>
      <c r="AR599" s="120" t="n"/>
      <c r="AS599" s="120" t="n"/>
    </row>
    <row r="600" hidden="1" outlineLevel="2">
      <c r="A600" s="8" t="n"/>
      <c r="B600" s="14" t="n"/>
      <c r="C600" s="120" t="n"/>
      <c r="D600" s="120" t="n"/>
      <c r="E600" s="120" t="n"/>
      <c r="F600" s="120" t="n"/>
      <c r="G600" s="120" t="n"/>
      <c r="I600" s="124" t="inlineStr">
        <is>
          <t>Sua Ação Completa + a básica dela</t>
        </is>
      </c>
      <c r="J600" s="16" t="n"/>
      <c r="K600" s="16" t="n"/>
      <c r="L600" s="16" t="n"/>
      <c r="M600" s="17" t="n"/>
      <c r="N600" s="120" t="n"/>
      <c r="O600" s="129">
        <f>DADOS_INVOC!$IY$4</f>
        <v/>
      </c>
      <c r="P600" s="16" t="n"/>
      <c r="Q600" s="16" t="n"/>
      <c r="R600" s="16" t="n"/>
      <c r="S600" s="17" t="n"/>
      <c r="T600" s="120" t="n"/>
      <c r="U600" s="120" t="n"/>
      <c r="V600" s="120" t="n"/>
      <c r="W600" s="120" t="n"/>
      <c r="X600" s="120" t="n"/>
      <c r="Y600" s="120" t="n"/>
      <c r="Z600" s="120" t="n"/>
      <c r="AB600" s="124" t="inlineStr">
        <is>
          <t>Sua Ação Completa + a básica dela</t>
        </is>
      </c>
      <c r="AC600" s="16" t="n"/>
      <c r="AD600" s="16" t="n"/>
      <c r="AE600" s="16" t="n"/>
      <c r="AF600" s="17" t="n"/>
      <c r="AG600" s="120" t="n"/>
      <c r="AH600" s="129">
        <f>DADOS_INVOC!$IY$10</f>
        <v/>
      </c>
      <c r="AI600" s="16" t="n"/>
      <c r="AJ600" s="16" t="n"/>
      <c r="AK600" s="16" t="n"/>
      <c r="AL600" s="17" t="n"/>
      <c r="AM600" s="120" t="n"/>
      <c r="AN600" s="120" t="n"/>
      <c r="AO600" s="120" t="n"/>
      <c r="AP600" s="120" t="n"/>
      <c r="AQ600" s="120" t="n"/>
      <c r="AR600" s="120" t="n"/>
      <c r="AS600" s="120" t="n"/>
    </row>
    <row r="601">
      <c r="A601" s="8" t="n"/>
      <c r="B601" s="14" t="n"/>
      <c r="C601" s="120" t="n"/>
      <c r="D601" s="120" t="n"/>
      <c r="E601" s="120" t="n"/>
      <c r="F601" s="120" t="n"/>
      <c r="G601" s="120" t="n"/>
      <c r="H601" s="120" t="n"/>
      <c r="I601" s="120" t="n"/>
      <c r="J601" s="120" t="n"/>
      <c r="K601" s="120" t="n"/>
      <c r="L601" s="120" t="n"/>
      <c r="M601" s="120" t="n"/>
      <c r="N601" s="120" t="n"/>
      <c r="O601" s="120" t="n"/>
      <c r="P601" s="120" t="n"/>
      <c r="Q601" s="120" t="n"/>
      <c r="R601" s="120" t="n"/>
      <c r="S601" s="120" t="n"/>
      <c r="T601" s="120" t="n"/>
      <c r="U601" s="120" t="n"/>
      <c r="V601" s="120" t="n"/>
      <c r="W601" s="120" t="n"/>
      <c r="X601" s="120" t="n"/>
      <c r="Y601" s="120" t="n"/>
      <c r="Z601" s="120" t="n"/>
      <c r="AA601" s="120" t="n"/>
      <c r="AB601" s="120" t="n"/>
      <c r="AC601" s="120" t="n"/>
      <c r="AD601" s="120" t="n"/>
      <c r="AE601" s="120" t="n"/>
      <c r="AF601" s="120" t="n"/>
      <c r="AG601" s="120" t="n"/>
      <c r="AH601" s="120" t="n"/>
      <c r="AI601" s="120" t="n"/>
      <c r="AJ601" s="120" t="n"/>
      <c r="AK601" s="120" t="n"/>
      <c r="AL601" s="120" t="n"/>
      <c r="AM601" s="120" t="n"/>
      <c r="AN601" s="120" t="n"/>
      <c r="AO601" s="120" t="n"/>
      <c r="AP601" s="120" t="n"/>
      <c r="AQ601" s="120" t="n"/>
      <c r="AR601" s="120" t="n"/>
      <c r="AS601" s="120" t="n"/>
    </row>
    <row r="602">
      <c r="A602" s="8" t="n"/>
      <c r="B602" s="14" t="n"/>
      <c r="C602" s="120" t="n"/>
      <c r="D602" s="120" t="n"/>
      <c r="E602" s="120" t="n"/>
      <c r="F602" s="120" t="n"/>
      <c r="G602" s="120" t="n"/>
      <c r="H602" s="120" t="n"/>
      <c r="I602" s="120" t="n"/>
      <c r="J602" s="120" t="n"/>
      <c r="K602" s="120" t="n"/>
      <c r="L602" s="120" t="n"/>
      <c r="M602" s="120" t="n"/>
      <c r="N602" s="120" t="n"/>
      <c r="O602" s="120" t="n"/>
      <c r="P602" s="120" t="n"/>
      <c r="Q602" s="120" t="n"/>
      <c r="R602" s="120" t="n"/>
      <c r="S602" s="120" t="n"/>
      <c r="T602" s="120" t="n"/>
      <c r="U602" s="120" t="n"/>
      <c r="V602" s="120" t="n"/>
      <c r="W602" s="120" t="n"/>
      <c r="X602" s="120" t="n"/>
      <c r="Y602" s="120" t="n"/>
      <c r="Z602" s="120" t="n"/>
      <c r="AA602" s="120" t="n"/>
      <c r="AB602" s="120" t="n"/>
      <c r="AC602" s="120" t="n"/>
      <c r="AD602" s="120" t="n"/>
      <c r="AE602" s="120" t="n"/>
      <c r="AF602" s="120" t="n"/>
      <c r="AG602" s="120" t="n"/>
      <c r="AH602" s="120" t="n"/>
      <c r="AI602" s="120" t="n"/>
      <c r="AJ602" s="120" t="n"/>
      <c r="AK602" s="120" t="n"/>
      <c r="AL602" s="120" t="n"/>
      <c r="AM602" s="120" t="n"/>
      <c r="AN602" s="120" t="n"/>
      <c r="AO602" s="120" t="n"/>
      <c r="AP602" s="120" t="n"/>
      <c r="AQ602" s="120" t="n"/>
      <c r="AR602" s="120" t="n"/>
      <c r="AS602" s="120" t="n"/>
    </row>
    <row r="603">
      <c r="A603" s="8" t="n"/>
      <c r="B603" s="14" t="n"/>
      <c r="C603" s="120" t="n"/>
      <c r="D603" s="120" t="n"/>
      <c r="E603" s="120" t="n"/>
      <c r="F603" s="120" t="n"/>
      <c r="G603" s="120" t="n"/>
      <c r="H603" s="138" t="n">
        <v>4</v>
      </c>
      <c r="I603" s="139" t="n">
        <v>4</v>
      </c>
      <c r="J603" s="123">
        <f>DADOS_INVOC!$GV$5</f>
        <v/>
      </c>
      <c r="K603" s="19" t="n"/>
      <c r="L603" s="19" t="n"/>
      <c r="M603" s="19" t="n"/>
      <c r="N603" s="19" t="n"/>
      <c r="O603" s="19" t="n"/>
      <c r="P603" s="19" t="n"/>
      <c r="Q603" s="19" t="n"/>
      <c r="R603" s="19" t="n"/>
      <c r="S603" s="19" t="n"/>
      <c r="T603" s="19" t="n"/>
      <c r="U603" s="19" t="n"/>
      <c r="V603" s="19" t="n"/>
      <c r="W603" s="19" t="n"/>
      <c r="X603" s="19" t="n"/>
      <c r="Y603" s="20" t="n"/>
      <c r="Z603" s="120" t="n"/>
      <c r="AA603" s="138" t="n">
        <v>10</v>
      </c>
      <c r="AB603" s="139" t="n">
        <v>10</v>
      </c>
      <c r="AC603" s="123">
        <f>DADOS_INVOC!$GV$11</f>
        <v/>
      </c>
      <c r="AD603" s="19" t="n"/>
      <c r="AE603" s="19" t="n"/>
      <c r="AF603" s="19" t="n"/>
      <c r="AG603" s="19" t="n"/>
      <c r="AH603" s="19" t="n"/>
      <c r="AI603" s="19" t="n"/>
      <c r="AJ603" s="19" t="n"/>
      <c r="AK603" s="19" t="n"/>
      <c r="AL603" s="19" t="n"/>
      <c r="AM603" s="19" t="n"/>
      <c r="AN603" s="19" t="n"/>
      <c r="AO603" s="19" t="n"/>
      <c r="AP603" s="19" t="n"/>
      <c r="AQ603" s="19" t="n"/>
      <c r="AR603" s="20" t="n"/>
      <c r="AS603" s="120" t="n"/>
    </row>
    <row r="604">
      <c r="A604" s="8" t="n"/>
      <c r="B604" s="14" t="n"/>
      <c r="C604" s="120" t="n"/>
      <c r="D604" s="120" t="n"/>
      <c r="E604" s="120" t="n"/>
      <c r="F604" s="120" t="n"/>
      <c r="G604" s="120" t="n"/>
      <c r="I604" s="125" t="n"/>
      <c r="J604" s="23" t="n"/>
      <c r="K604" s="24" t="n"/>
      <c r="L604" s="24" t="n"/>
      <c r="M604" s="24" t="n"/>
      <c r="N604" s="24" t="n"/>
      <c r="O604" s="24" t="n"/>
      <c r="P604" s="24" t="n"/>
      <c r="Q604" s="24" t="n"/>
      <c r="R604" s="24" t="n"/>
      <c r="S604" s="24" t="n"/>
      <c r="T604" s="24" t="n"/>
      <c r="U604" s="24" t="n"/>
      <c r="V604" s="24" t="n"/>
      <c r="W604" s="24" t="n"/>
      <c r="X604" s="24" t="n"/>
      <c r="Y604" s="25" t="n"/>
      <c r="Z604" s="120"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20" t="n"/>
    </row>
    <row r="605" hidden="1" outlineLevel="1">
      <c r="A605" s="8" t="n"/>
      <c r="B605" s="14" t="n"/>
      <c r="C605" s="120" t="n"/>
      <c r="D605" s="120" t="n"/>
      <c r="E605" s="120" t="n"/>
      <c r="F605" s="120" t="n"/>
      <c r="G605" s="120" t="n"/>
      <c r="H605" s="140">
        <f>DADOS_INVOC!$GW$5</f>
        <v/>
      </c>
      <c r="I605" s="120" t="n"/>
      <c r="J605" s="120" t="n"/>
      <c r="K605" s="120" t="n"/>
      <c r="L605" s="120" t="n"/>
      <c r="M605" s="120" t="n"/>
      <c r="N605" s="120" t="n"/>
      <c r="O605" s="120" t="n"/>
      <c r="P605" s="120" t="n"/>
      <c r="Q605" s="120" t="n"/>
      <c r="R605" s="120" t="n"/>
      <c r="S605" s="120" t="n"/>
      <c r="T605" s="120" t="n"/>
      <c r="U605" s="120" t="n"/>
      <c r="V605" s="120" t="n"/>
      <c r="W605" s="120" t="n"/>
      <c r="X605" s="120" t="n"/>
      <c r="Y605" s="120" t="n"/>
      <c r="Z605" s="120" t="n"/>
      <c r="AA605" s="140">
        <f>DADOS_INVOC!$GW$11</f>
        <v/>
      </c>
      <c r="AB605" s="120" t="n"/>
      <c r="AC605" s="120" t="n"/>
      <c r="AD605" s="120" t="n"/>
      <c r="AE605" s="120" t="n"/>
      <c r="AF605" s="120" t="n"/>
      <c r="AG605" s="120" t="n"/>
      <c r="AH605" s="120" t="n"/>
      <c r="AI605" s="120" t="n"/>
      <c r="AJ605" s="120" t="n"/>
      <c r="AK605" s="120" t="n"/>
      <c r="AL605" s="120" t="n"/>
      <c r="AM605" s="120" t="n"/>
      <c r="AN605" s="120" t="n"/>
      <c r="AO605" s="120" t="n"/>
      <c r="AP605" s="120" t="n"/>
      <c r="AQ605" s="120" t="n"/>
      <c r="AR605" s="120" t="n"/>
      <c r="AS605" s="120" t="n"/>
    </row>
    <row r="606" hidden="1" outlineLevel="1">
      <c r="A606" s="8" t="n"/>
      <c r="B606" s="14" t="n"/>
      <c r="C606" s="120" t="n"/>
      <c r="D606" s="120" t="n"/>
      <c r="E606" s="120" t="n"/>
      <c r="F606" s="120" t="n"/>
      <c r="G606" s="120" t="n"/>
      <c r="I606" s="55" t="inlineStr">
        <is>
          <t>NOME</t>
        </is>
      </c>
      <c r="J606" s="16" t="n"/>
      <c r="K606" s="16" t="n"/>
      <c r="L606" s="16" t="n"/>
      <c r="M606" s="17" t="n"/>
      <c r="N606" s="120" t="n"/>
      <c r="O606" s="55" t="inlineStr">
        <is>
          <t>NÍVEL</t>
        </is>
      </c>
      <c r="P606" s="55" t="inlineStr">
        <is>
          <t>CLASSE</t>
        </is>
      </c>
      <c r="Q606" s="55" t="inlineStr">
        <is>
          <t>MAESTRIA</t>
        </is>
      </c>
      <c r="R606" s="55" t="inlineStr">
        <is>
          <t>ENTRADA</t>
        </is>
      </c>
      <c r="S606" s="55" t="inlineStr">
        <is>
          <t>RETORNO</t>
        </is>
      </c>
      <c r="T606" s="120" t="n"/>
      <c r="U606" s="55" t="inlineStr">
        <is>
          <t>VIDA ATUAL</t>
        </is>
      </c>
      <c r="V606" s="55" t="inlineStr">
        <is>
          <t>VIDA MÁXIMA</t>
        </is>
      </c>
      <c r="W606" s="55" t="inlineStr">
        <is>
          <t>TEMPORÁRIA</t>
        </is>
      </c>
      <c r="X606" s="55" t="inlineStr">
        <is>
          <t>± PERDA / GANHO</t>
        </is>
      </c>
      <c r="Y606" s="55">
        <f>DADOS_INVOC!$HQ$5</f>
        <v/>
      </c>
      <c r="Z606" s="120" t="n"/>
      <c r="AB606" s="55" t="inlineStr">
        <is>
          <t>NOME</t>
        </is>
      </c>
      <c r="AC606" s="16" t="n"/>
      <c r="AD606" s="16" t="n"/>
      <c r="AE606" s="16" t="n"/>
      <c r="AF606" s="17" t="n"/>
      <c r="AG606" s="120" t="n"/>
      <c r="AH606" s="55" t="inlineStr">
        <is>
          <t>NÍVEL</t>
        </is>
      </c>
      <c r="AI606" s="55" t="inlineStr">
        <is>
          <t>CLASSE</t>
        </is>
      </c>
      <c r="AJ606" s="55" t="inlineStr">
        <is>
          <t>MAESTRIA</t>
        </is>
      </c>
      <c r="AK606" s="55" t="inlineStr">
        <is>
          <t>ENTRADA</t>
        </is>
      </c>
      <c r="AL606" s="55" t="inlineStr">
        <is>
          <t>RETORNO</t>
        </is>
      </c>
      <c r="AM606" s="120" t="n"/>
      <c r="AN606" s="55" t="inlineStr">
        <is>
          <t>VIDA ATUAL</t>
        </is>
      </c>
      <c r="AO606" s="55" t="inlineStr">
        <is>
          <t>VIDA MÁXIMA</t>
        </is>
      </c>
      <c r="AP606" s="55" t="inlineStr">
        <is>
          <t>TEMPORÁRIA</t>
        </is>
      </c>
      <c r="AQ606" s="55" t="inlineStr">
        <is>
          <t>± PERDA / GANHO</t>
        </is>
      </c>
      <c r="AR606" s="55">
        <f>DADOS_INVOC!$HQ$11</f>
        <v/>
      </c>
      <c r="AS606" s="120" t="n"/>
    </row>
    <row r="607" hidden="1" outlineLevel="1">
      <c r="A607" s="8" t="n"/>
      <c r="B607" s="14" t="n"/>
      <c r="C607" s="120" t="n"/>
      <c r="D607" s="120" t="n"/>
      <c r="E607" s="120" t="n"/>
      <c r="F607" s="120" t="n"/>
      <c r="G607" s="120" t="n"/>
      <c r="I607" s="83" t="n"/>
      <c r="J607" s="19" t="n"/>
      <c r="K607" s="19" t="n"/>
      <c r="L607" s="19" t="n"/>
      <c r="M607" s="20" t="n"/>
      <c r="N607" s="120" t="n"/>
      <c r="O607" s="92">
        <f>DADOS_INVOC!$FI$5</f>
        <v/>
      </c>
      <c r="P607" s="92">
        <f>DADOS_INVOC!$FJ$5</f>
        <v/>
      </c>
      <c r="Q607" s="92">
        <f>DADOS_INVOC!$GX$5</f>
        <v/>
      </c>
      <c r="R607" s="92">
        <f>DADOS_INVOC!$GY$5</f>
        <v/>
      </c>
      <c r="S607" s="92">
        <f>DADOS_INVOC!$GZ$5</f>
        <v/>
      </c>
      <c r="T607" s="120" t="n"/>
      <c r="U607" s="92">
        <f>DADOS_INVOC!$GA$5</f>
        <v/>
      </c>
      <c r="V607" s="92">
        <f>DADOS_INVOC!$FZ$5</f>
        <v/>
      </c>
      <c r="W607" s="92" t="n"/>
      <c r="X607" s="92" t="n"/>
      <c r="Y607" s="92" t="n"/>
      <c r="Z607" s="120" t="n"/>
      <c r="AB607" s="83" t="n"/>
      <c r="AC607" s="19" t="n"/>
      <c r="AD607" s="19" t="n"/>
      <c r="AE607" s="19" t="n"/>
      <c r="AF607" s="20" t="n"/>
      <c r="AG607" s="120" t="n"/>
      <c r="AH607" s="92">
        <f>DADOS_INVOC!$FI$11</f>
        <v/>
      </c>
      <c r="AI607" s="92">
        <f>DADOS_INVOC!$FJ$11</f>
        <v/>
      </c>
      <c r="AJ607" s="92">
        <f>DADOS_INVOC!$GX$11</f>
        <v/>
      </c>
      <c r="AK607" s="92">
        <f>DADOS_INVOC!$GY$11</f>
        <v/>
      </c>
      <c r="AL607" s="92">
        <f>DADOS_INVOC!$GZ$11</f>
        <v/>
      </c>
      <c r="AM607" s="120" t="n"/>
      <c r="AN607" s="92">
        <f>DADOS_INVOC!$GA$11</f>
        <v/>
      </c>
      <c r="AO607" s="92">
        <f>DADOS_INVOC!$FZ$11</f>
        <v/>
      </c>
      <c r="AP607" s="92" t="n"/>
      <c r="AQ607" s="92" t="n"/>
      <c r="AR607" s="92" t="n"/>
      <c r="AS607" s="120" t="n"/>
    </row>
    <row r="608" hidden="1" outlineLevel="1">
      <c r="A608" s="8" t="n"/>
      <c r="B608" s="14" t="n"/>
      <c r="C608" s="120" t="n"/>
      <c r="D608" s="120" t="n"/>
      <c r="E608" s="120" t="n"/>
      <c r="F608" s="120" t="n"/>
      <c r="G608" s="120" t="n"/>
      <c r="I608" s="23" t="n"/>
      <c r="J608" s="24" t="n"/>
      <c r="K608" s="24" t="n"/>
      <c r="L608" s="24" t="n"/>
      <c r="M608" s="25" t="n"/>
      <c r="N608" s="120" t="n"/>
      <c r="O608" s="125" t="n"/>
      <c r="P608" s="125" t="n"/>
      <c r="Q608" s="125" t="n"/>
      <c r="R608" s="125" t="n"/>
      <c r="S608" s="125" t="n"/>
      <c r="T608" s="120" t="n"/>
      <c r="U608" s="125" t="n"/>
      <c r="V608" s="125" t="n"/>
      <c r="W608" s="125" t="n"/>
      <c r="X608" s="125" t="n"/>
      <c r="Y608" s="125" t="n"/>
      <c r="Z608" s="120" t="n"/>
      <c r="AB608" s="23" t="n"/>
      <c r="AC608" s="24" t="n"/>
      <c r="AD608" s="24" t="n"/>
      <c r="AE608" s="24" t="n"/>
      <c r="AF608" s="25" t="n"/>
      <c r="AG608" s="120" t="n"/>
      <c r="AH608" s="125" t="n"/>
      <c r="AI608" s="125" t="n"/>
      <c r="AJ608" s="125" t="n"/>
      <c r="AK608" s="125" t="n"/>
      <c r="AL608" s="125" t="n"/>
      <c r="AM608" s="120" t="n"/>
      <c r="AN608" s="125" t="n"/>
      <c r="AO608" s="125" t="n"/>
      <c r="AP608" s="125" t="n"/>
      <c r="AQ608" s="125" t="n"/>
      <c r="AR608" s="125" t="n"/>
      <c r="AS608" s="120" t="n"/>
    </row>
    <row r="609" hidden="1" outlineLevel="1">
      <c r="A609" s="8" t="n"/>
      <c r="B609" s="14" t="n"/>
      <c r="C609" s="120" t="n"/>
      <c r="D609" s="120" t="n"/>
      <c r="E609" s="120" t="n"/>
      <c r="F609" s="120" t="n"/>
      <c r="G609" s="120" t="n"/>
      <c r="I609" s="141" t="inlineStr">
        <is>
          <t>FOTO
式神</t>
        </is>
      </c>
      <c r="J609" s="19" t="n"/>
      <c r="K609" s="19" t="n"/>
      <c r="L609" s="19" t="n"/>
      <c r="M609" s="20" t="n"/>
      <c r="N609" s="120" t="n"/>
      <c r="O609" s="120" t="n"/>
      <c r="P609" s="120" t="n"/>
      <c r="Q609" s="120" t="n"/>
      <c r="R609" s="120" t="n"/>
      <c r="S609" s="120" t="n"/>
      <c r="T609" s="120" t="n"/>
      <c r="U609" s="130">
        <f>IFERROR(SPARKLINE(DADOS_INVOC!$GB$5,{"charttype","bar";"max",MAX(1,DADOS_INVOC!$FZ$5);"color1",DADOS_INVOC!$CX$12}),"")</f>
        <v/>
      </c>
      <c r="V609" s="16" t="n"/>
      <c r="W609" s="16" t="n"/>
      <c r="X609" s="16" t="n"/>
      <c r="Y609" s="17" t="n"/>
      <c r="Z609" s="120" t="n"/>
      <c r="AB609" s="141" t="inlineStr">
        <is>
          <t>FOTO
式神</t>
        </is>
      </c>
      <c r="AC609" s="19" t="n"/>
      <c r="AD609" s="19" t="n"/>
      <c r="AE609" s="19" t="n"/>
      <c r="AF609" s="20" t="n"/>
      <c r="AG609" s="120" t="n"/>
      <c r="AH609" s="120" t="n"/>
      <c r="AI609" s="120" t="n"/>
      <c r="AJ609" s="120" t="n"/>
      <c r="AK609" s="120" t="n"/>
      <c r="AL609" s="120" t="n"/>
      <c r="AM609" s="120" t="n"/>
      <c r="AN609" s="130">
        <f>IFERROR(SPARKLINE(DADOS_INVOC!$GB$11,{"charttype","bar";"max",MAX(1,DADOS_INVOC!$FZ$11);"color1",DADOS_INVOC!$CX$12}),"")</f>
        <v/>
      </c>
      <c r="AO609" s="16" t="n"/>
      <c r="AP609" s="16" t="n"/>
      <c r="AQ609" s="16" t="n"/>
      <c r="AR609" s="17" t="n"/>
      <c r="AS609" s="120" t="n"/>
    </row>
    <row r="610" hidden="1" outlineLevel="1">
      <c r="A610" s="8" t="n"/>
      <c r="B610" s="14" t="n"/>
      <c r="C610" s="120" t="n"/>
      <c r="D610" s="120" t="n"/>
      <c r="E610" s="120" t="n"/>
      <c r="F610" s="120" t="n"/>
      <c r="G610" s="120" t="n"/>
      <c r="I610" s="21" t="n"/>
      <c r="M610" s="22" t="n"/>
      <c r="N610" s="120" t="n"/>
      <c r="O610" s="55">
        <f>DADOS_INVOC!$HA$5</f>
        <v/>
      </c>
      <c r="P610" s="16" t="n"/>
      <c r="Q610" s="16" t="n"/>
      <c r="R610" s="16" t="n"/>
      <c r="S610" s="17" t="n"/>
      <c r="T610" s="120" t="n"/>
      <c r="U610" s="120" t="n"/>
      <c r="V610" s="120" t="n"/>
      <c r="W610" s="120" t="n"/>
      <c r="X610" s="120" t="n"/>
      <c r="Y610" s="120" t="n"/>
      <c r="Z610" s="120" t="n"/>
      <c r="AB610" s="21" t="n"/>
      <c r="AF610" s="22" t="n"/>
      <c r="AG610" s="120" t="n"/>
      <c r="AH610" s="55">
        <f>DADOS_INVOC!$HA$11</f>
        <v/>
      </c>
      <c r="AI610" s="16" t="n"/>
      <c r="AJ610" s="16" t="n"/>
      <c r="AK610" s="16" t="n"/>
      <c r="AL610" s="17"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55" t="inlineStr">
        <is>
          <t>FOR</t>
        </is>
      </c>
      <c r="P611" s="55" t="inlineStr">
        <is>
          <t>DES</t>
        </is>
      </c>
      <c r="Q611" s="55" t="inlineStr">
        <is>
          <t>CON</t>
        </is>
      </c>
      <c r="R611" s="55" t="inlineStr">
        <is>
          <t>INT</t>
        </is>
      </c>
      <c r="S611" s="55" t="inlineStr">
        <is>
          <t>ESS</t>
        </is>
      </c>
      <c r="T611" s="120" t="n"/>
      <c r="U611" s="55" t="inlineStr">
        <is>
          <t>CONDIÇÕES E USOS GASTOS</t>
        </is>
      </c>
      <c r="V611" s="16" t="n"/>
      <c r="W611" s="16" t="n"/>
      <c r="X611" s="16" t="n"/>
      <c r="Y611" s="17" t="n"/>
      <c r="Z611" s="120" t="n"/>
      <c r="AB611" s="21" t="n"/>
      <c r="AF611" s="22" t="n"/>
      <c r="AG611" s="120" t="n"/>
      <c r="AH611" s="55" t="inlineStr">
        <is>
          <t>FOR</t>
        </is>
      </c>
      <c r="AI611" s="55" t="inlineStr">
        <is>
          <t>DES</t>
        </is>
      </c>
      <c r="AJ611" s="55" t="inlineStr">
        <is>
          <t>CON</t>
        </is>
      </c>
      <c r="AK611" s="55" t="inlineStr">
        <is>
          <t>INT</t>
        </is>
      </c>
      <c r="AL611" s="55" t="inlineStr">
        <is>
          <t>ESS</t>
        </is>
      </c>
      <c r="AM611" s="120" t="n"/>
      <c r="AN611" s="55" t="inlineStr">
        <is>
          <t>CONDIÇÕES E USOS GASTOS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92">
        <f>DADOS_INVOC!$FL$5</f>
        <v/>
      </c>
      <c r="P612" s="92">
        <f>DADOS_INVOC!$FM$5</f>
        <v/>
      </c>
      <c r="Q612" s="92">
        <f>DADOS_INVOC!$FN$5</f>
        <v/>
      </c>
      <c r="R612" s="92">
        <f>DADOS_INVOC!$FO$5</f>
        <v/>
      </c>
      <c r="S612" s="92">
        <f>DADOS_INVOC!$FP$5</f>
        <v/>
      </c>
      <c r="T612" s="120" t="n"/>
      <c r="U612" s="116" t="n"/>
      <c r="V612" s="19" t="n"/>
      <c r="W612" s="19" t="n"/>
      <c r="X612" s="19" t="n"/>
      <c r="Y612" s="20" t="n"/>
      <c r="Z612" s="120" t="n"/>
      <c r="AB612" s="21" t="n"/>
      <c r="AF612" s="22" t="n"/>
      <c r="AG612" s="120" t="n"/>
      <c r="AH612" s="92">
        <f>DADOS_INVOC!$FL$11</f>
        <v/>
      </c>
      <c r="AI612" s="92">
        <f>DADOS_INVOC!$FM$11</f>
        <v/>
      </c>
      <c r="AJ612" s="92">
        <f>DADOS_INVOC!$FN$11</f>
        <v/>
      </c>
      <c r="AK612" s="92">
        <f>DADOS_INVOC!$FO$11</f>
        <v/>
      </c>
      <c r="AL612" s="92">
        <f>DADOS_INVOC!$FP$11</f>
        <v/>
      </c>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125" t="n"/>
      <c r="P613" s="125" t="n"/>
      <c r="Q613" s="125" t="n"/>
      <c r="R613" s="125" t="n"/>
      <c r="S613" s="125" t="n"/>
      <c r="T613" s="120" t="n"/>
      <c r="U613" s="21" t="n"/>
      <c r="Y613" s="22" t="n"/>
      <c r="Z613" s="120" t="n"/>
      <c r="AB613" s="21" t="n"/>
      <c r="AF613" s="22" t="n"/>
      <c r="AG613" s="120" t="n"/>
      <c r="AH613" s="125" t="n"/>
      <c r="AI613" s="125" t="n"/>
      <c r="AJ613" s="125" t="n"/>
      <c r="AK613" s="125" t="n"/>
      <c r="AL613" s="125" t="n"/>
      <c r="AM613" s="120" t="n"/>
      <c r="AN613" s="21" t="n"/>
      <c r="AR613" s="22" t="n"/>
      <c r="AS613" s="120" t="n"/>
    </row>
    <row r="614" hidden="1" outlineLevel="1">
      <c r="A614" s="8" t="n"/>
      <c r="B614" s="14" t="n"/>
      <c r="C614" s="120" t="n"/>
      <c r="D614" s="120" t="n"/>
      <c r="E614" s="120" t="n"/>
      <c r="F614" s="120" t="n"/>
      <c r="G614" s="120" t="n"/>
      <c r="I614" s="21" t="n"/>
      <c r="M614" s="22" t="n"/>
      <c r="N614" s="120" t="n"/>
      <c r="O614" s="142" t="n">
        <v>0</v>
      </c>
      <c r="P614" s="142" t="n">
        <v>0</v>
      </c>
      <c r="Q614" s="142" t="n">
        <v>0</v>
      </c>
      <c r="R614" s="142" t="n">
        <v>0</v>
      </c>
      <c r="S614" s="142" t="n">
        <v>0</v>
      </c>
      <c r="T614" s="120" t="n"/>
      <c r="U614" s="21" t="n"/>
      <c r="Y614" s="22" t="n"/>
      <c r="Z614" s="120" t="n"/>
      <c r="AB614" s="21" t="n"/>
      <c r="AF614" s="22" t="n"/>
      <c r="AG614" s="120" t="n"/>
      <c r="AH614" s="142" t="n">
        <v>0</v>
      </c>
      <c r="AI614" s="142" t="n">
        <v>0</v>
      </c>
      <c r="AJ614" s="142" t="n">
        <v>0</v>
      </c>
      <c r="AK614" s="142" t="n">
        <v>0</v>
      </c>
      <c r="AL614" s="142" t="n">
        <v>0</v>
      </c>
      <c r="AM614" s="120" t="n"/>
      <c r="AN614" s="21" t="n"/>
      <c r="AR614" s="22" t="n"/>
      <c r="AS614" s="120" t="n"/>
    </row>
    <row r="615" hidden="1" outlineLevel="1">
      <c r="A615" s="8" t="n"/>
      <c r="B615" s="14" t="n"/>
      <c r="C615" s="120" t="n"/>
      <c r="D615" s="120" t="n"/>
      <c r="E615" s="120" t="n"/>
      <c r="F615" s="120" t="n"/>
      <c r="G615" s="120" t="n"/>
      <c r="I615" s="21" t="n"/>
      <c r="M615" s="22" t="n"/>
      <c r="N615" s="120" t="n"/>
      <c r="O615" s="144" t="n">
        <v>0</v>
      </c>
      <c r="P615" s="144" t="n">
        <v>0</v>
      </c>
      <c r="Q615" s="144" t="n">
        <v>0</v>
      </c>
      <c r="R615" s="144" t="n">
        <v>0</v>
      </c>
      <c r="S615" s="144" t="n">
        <v>0</v>
      </c>
      <c r="T615" s="120" t="n"/>
      <c r="U615" s="21" t="n"/>
      <c r="Y615" s="22" t="n"/>
      <c r="Z615" s="120" t="n"/>
      <c r="AB615" s="21" t="n"/>
      <c r="AF615" s="22" t="n"/>
      <c r="AG615" s="120" t="n"/>
      <c r="AH615" s="144" t="n">
        <v>0</v>
      </c>
      <c r="AI615" s="144" t="n">
        <v>0</v>
      </c>
      <c r="AJ615" s="144" t="n">
        <v>0</v>
      </c>
      <c r="AK615" s="144" t="n">
        <v>0</v>
      </c>
      <c r="AL615" s="144" t="n">
        <v>0</v>
      </c>
      <c r="AM615" s="120" t="n"/>
      <c r="AN615" s="21" t="n"/>
      <c r="AR615" s="22" t="n"/>
      <c r="AS615" s="120" t="n"/>
    </row>
    <row r="616" hidden="1" outlineLevel="1">
      <c r="A616" s="8" t="n"/>
      <c r="B616" s="14" t="n"/>
      <c r="C616" s="120" t="n"/>
      <c r="D616" s="120" t="n"/>
      <c r="E616" s="120" t="n"/>
      <c r="F616" s="120" t="n"/>
      <c r="G616" s="120" t="n"/>
      <c r="I616" s="21" t="n"/>
      <c r="M616" s="22" t="n"/>
      <c r="N616" s="120" t="n"/>
      <c r="O616" s="120" t="n"/>
      <c r="P616" s="120" t="n"/>
      <c r="Q616" s="120" t="n"/>
      <c r="R616" s="120" t="n"/>
      <c r="S616" s="120" t="n"/>
      <c r="T616" s="120" t="n"/>
      <c r="U616" s="23" t="n"/>
      <c r="V616" s="24" t="n"/>
      <c r="W616" s="24" t="n"/>
      <c r="X616" s="24" t="n"/>
      <c r="Y616" s="25" t="n"/>
      <c r="Z616" s="120" t="n"/>
      <c r="AB616" s="21" t="n"/>
      <c r="AF616" s="22" t="n"/>
      <c r="AG616" s="120" t="n"/>
      <c r="AH616" s="120" t="n"/>
      <c r="AI616" s="120" t="n"/>
      <c r="AJ616" s="120" t="n"/>
      <c r="AK616" s="120" t="n"/>
      <c r="AL616" s="120" t="n"/>
      <c r="AM616" s="120" t="n"/>
      <c r="AN616" s="23" t="n"/>
      <c r="AO616" s="24" t="n"/>
      <c r="AP616" s="24" t="n"/>
      <c r="AQ616" s="24" t="n"/>
      <c r="AR616" s="25" t="n"/>
      <c r="AS616" s="120" t="n"/>
    </row>
    <row r="617" hidden="1" outlineLevel="1">
      <c r="A617" s="8" t="n"/>
      <c r="B617" s="14" t="n"/>
      <c r="C617" s="120" t="n"/>
      <c r="D617" s="120" t="n"/>
      <c r="E617" s="120" t="n"/>
      <c r="F617" s="120" t="n"/>
      <c r="G617" s="120" t="n"/>
      <c r="I617" s="21" t="n"/>
      <c r="M617" s="22" t="n"/>
      <c r="N617" s="120" t="n"/>
      <c r="O617" s="55" t="inlineStr">
        <is>
          <t>ATAQUE</t>
        </is>
      </c>
      <c r="P617" s="55" t="inlineStr">
        <is>
          <t>CD</t>
        </is>
      </c>
      <c r="Q617" s="55" t="inlineStr">
        <is>
          <t>DEFESA</t>
        </is>
      </c>
      <c r="R617" s="55" t="inlineStr">
        <is>
          <t>VIDA MÁXIMA</t>
        </is>
      </c>
      <c r="S617" s="55" t="inlineStr">
        <is>
          <t>DESLOCAMENTO</t>
        </is>
      </c>
      <c r="T617" s="120" t="n"/>
      <c r="U617" s="120" t="n"/>
      <c r="V617" s="120" t="n"/>
      <c r="W617" s="120" t="n"/>
      <c r="X617" s="120" t="n"/>
      <c r="Y617" s="120" t="n"/>
      <c r="Z617" s="120" t="n"/>
      <c r="AB617" s="21" t="n"/>
      <c r="AF617" s="22" t="n"/>
      <c r="AG617" s="120" t="n"/>
      <c r="AH617" s="55" t="inlineStr">
        <is>
          <t>ATAQUE</t>
        </is>
      </c>
      <c r="AI617" s="55" t="inlineStr">
        <is>
          <t>CD</t>
        </is>
      </c>
      <c r="AJ617" s="55" t="inlineStr">
        <is>
          <t>DEFESA</t>
        </is>
      </c>
      <c r="AK617" s="55" t="inlineStr">
        <is>
          <t>VIDA MÁXIMA</t>
        </is>
      </c>
      <c r="AL617" s="55" t="inlineStr">
        <is>
          <t>DESLOCAMENTO</t>
        </is>
      </c>
      <c r="AM617" s="120" t="n"/>
      <c r="AN617" s="120" t="n"/>
      <c r="AO617" s="120" t="n"/>
      <c r="AP617" s="120" t="n"/>
      <c r="AQ617" s="120" t="n"/>
      <c r="AR617" s="120" t="n"/>
      <c r="AS617" s="120" t="n"/>
    </row>
    <row r="618" hidden="1" outlineLevel="1">
      <c r="A618" s="8" t="n"/>
      <c r="B618" s="14" t="n"/>
      <c r="C618" s="120" t="n"/>
      <c r="D618" s="120" t="n"/>
      <c r="E618" s="120" t="n"/>
      <c r="F618" s="120" t="n"/>
      <c r="G618" s="120" t="n"/>
      <c r="I618" s="21" t="n"/>
      <c r="M618" s="22" t="n"/>
      <c r="N618" s="120" t="n"/>
      <c r="O618" s="92">
        <f>DADOS_INVOC!$HB$5</f>
        <v/>
      </c>
      <c r="P618" s="92">
        <f>DADOS_INVOC!$HC$5</f>
        <v/>
      </c>
      <c r="Q618" s="92">
        <f>DADOS_INVOC!$FX$5</f>
        <v/>
      </c>
      <c r="R618" s="92">
        <f>DADOS_INVOC!$FZ$5</f>
        <v/>
      </c>
      <c r="S618" s="92">
        <f>DADOS_INVOC!$HD$5</f>
        <v/>
      </c>
      <c r="T618" s="120" t="n"/>
      <c r="U618" s="55" t="inlineStr">
        <is>
          <t>ANOTAÇÕES</t>
        </is>
      </c>
      <c r="V618" s="16" t="n"/>
      <c r="W618" s="16" t="n"/>
      <c r="X618" s="16" t="n"/>
      <c r="Y618" s="17" t="n"/>
      <c r="Z618" s="120" t="n"/>
      <c r="AB618" s="21" t="n"/>
      <c r="AF618" s="22" t="n"/>
      <c r="AG618" s="120" t="n"/>
      <c r="AH618" s="92">
        <f>DADOS_INVOC!$HB$11</f>
        <v/>
      </c>
      <c r="AI618" s="92">
        <f>DADOS_INVOC!$HC$11</f>
        <v/>
      </c>
      <c r="AJ618" s="92">
        <f>DADOS_INVOC!$FX$11</f>
        <v/>
      </c>
      <c r="AK618" s="92">
        <f>DADOS_INVOC!$FZ$11</f>
        <v/>
      </c>
      <c r="AL618" s="92">
        <f>DADOS_INVOC!$HD$11</f>
        <v/>
      </c>
      <c r="AM618" s="120" t="n"/>
      <c r="AN618" s="55" t="inlineStr">
        <is>
          <t>ANOTAÇÕES</t>
        </is>
      </c>
      <c r="AO618" s="16" t="n"/>
      <c r="AP618" s="16" t="n"/>
      <c r="AQ618" s="16" t="n"/>
      <c r="AR618" s="17" t="n"/>
      <c r="AS618" s="120" t="n"/>
    </row>
    <row r="619" hidden="1" outlineLevel="1">
      <c r="A619" s="8" t="n"/>
      <c r="B619" s="14" t="n"/>
      <c r="C619" s="120" t="n"/>
      <c r="D619" s="120" t="n"/>
      <c r="E619" s="120" t="n"/>
      <c r="F619" s="120" t="n"/>
      <c r="G619" s="120" t="n"/>
      <c r="I619" s="21" t="n"/>
      <c r="M619" s="22" t="n"/>
      <c r="N619" s="120" t="n"/>
      <c r="O619" s="125" t="n"/>
      <c r="P619" s="125" t="n"/>
      <c r="Q619" s="125" t="n"/>
      <c r="R619" s="125" t="n"/>
      <c r="S619" s="125" t="n"/>
      <c r="T619" s="120" t="n"/>
      <c r="U619" s="116" t="n"/>
      <c r="V619" s="19" t="n"/>
      <c r="W619" s="19" t="n"/>
      <c r="X619" s="19" t="n"/>
      <c r="Y619" s="20" t="n"/>
      <c r="Z619" s="120" t="n"/>
      <c r="AB619" s="21" t="n"/>
      <c r="AF619" s="22" t="n"/>
      <c r="AG619" s="120" t="n"/>
      <c r="AH619" s="125" t="n"/>
      <c r="AI619" s="125" t="n"/>
      <c r="AJ619" s="125" t="n"/>
      <c r="AK619" s="125" t="n"/>
      <c r="AL619" s="125" t="n"/>
      <c r="AM619" s="120" t="n"/>
      <c r="AN619" s="116" t="n"/>
      <c r="AO619" s="19" t="n"/>
      <c r="AP619" s="19" t="n"/>
      <c r="AQ619" s="19" t="n"/>
      <c r="AR619" s="20" t="n"/>
      <c r="AS619" s="120" t="n"/>
    </row>
    <row r="620" hidden="1" outlineLevel="1">
      <c r="A620" s="8" t="n"/>
      <c r="B620" s="14" t="n"/>
      <c r="C620" s="120" t="n"/>
      <c r="D620" s="120" t="n"/>
      <c r="E620" s="120" t="n"/>
      <c r="F620" s="120" t="n"/>
      <c r="G620" s="120" t="n"/>
      <c r="I620" s="21" t="n"/>
      <c r="M620" s="22" t="n"/>
      <c r="N620" s="120" t="n"/>
      <c r="O620" s="144" t="n">
        <v>0</v>
      </c>
      <c r="P620" s="144" t="n">
        <v>0</v>
      </c>
      <c r="Q620" s="144" t="n">
        <v>0</v>
      </c>
      <c r="R620" s="144" t="n">
        <v>0</v>
      </c>
      <c r="S620" s="144" t="n">
        <v>0</v>
      </c>
      <c r="T620" s="120" t="n"/>
      <c r="U620" s="21" t="n"/>
      <c r="Y620" s="22" t="n"/>
      <c r="Z620" s="120" t="n"/>
      <c r="AB620" s="21" t="n"/>
      <c r="AF620" s="22" t="n"/>
      <c r="AG620" s="120" t="n"/>
      <c r="AH620" s="144" t="n">
        <v>0</v>
      </c>
      <c r="AI620" s="144" t="n">
        <v>0</v>
      </c>
      <c r="AJ620" s="144" t="n">
        <v>0</v>
      </c>
      <c r="AK620" s="144" t="n">
        <v>0</v>
      </c>
      <c r="AL620" s="144" t="n">
        <v>0</v>
      </c>
      <c r="AM620" s="120" t="n"/>
      <c r="AN620" s="21" t="n"/>
      <c r="AR620" s="22" t="n"/>
      <c r="AS620" s="120" t="n"/>
    </row>
    <row r="621" hidden="1" outlineLevel="1">
      <c r="A621" s="8" t="n"/>
      <c r="B621" s="14" t="n"/>
      <c r="C621" s="120" t="n"/>
      <c r="D621" s="120" t="n"/>
      <c r="E621" s="120" t="n"/>
      <c r="F621" s="120" t="n"/>
      <c r="G621" s="120" t="n"/>
      <c r="I621" s="21" t="n"/>
      <c r="M621" s="22" t="n"/>
      <c r="N621" s="120" t="n"/>
      <c r="O621" s="120" t="n"/>
      <c r="P621" s="120" t="n"/>
      <c r="Q621" s="120" t="n"/>
      <c r="R621" s="120" t="n"/>
      <c r="S621" s="120" t="n"/>
      <c r="T621" s="120" t="n"/>
      <c r="U621" s="21" t="n"/>
      <c r="Y621" s="22" t="n"/>
      <c r="Z621" s="120" t="n"/>
      <c r="AB621" s="21" t="n"/>
      <c r="AF621" s="22" t="n"/>
      <c r="AG621" s="120" t="n"/>
      <c r="AH621" s="120" t="n"/>
      <c r="AI621" s="120" t="n"/>
      <c r="AJ621" s="120" t="n"/>
      <c r="AK621" s="120" t="n"/>
      <c r="AL621" s="120" t="n"/>
      <c r="AM621" s="120" t="n"/>
      <c r="AN621" s="21" t="n"/>
      <c r="AR621" s="22" t="n"/>
      <c r="AS621" s="120" t="n"/>
    </row>
    <row r="622" hidden="1" outlineLevel="1">
      <c r="A622" s="8" t="n"/>
      <c r="B622" s="14" t="n"/>
      <c r="C622" s="120" t="n"/>
      <c r="D622" s="120" t="n"/>
      <c r="E622" s="120" t="n"/>
      <c r="F622" s="120" t="n"/>
      <c r="G622" s="120" t="n"/>
      <c r="I622" s="21" t="n"/>
      <c r="M622" s="22" t="n"/>
      <c r="N622" s="120" t="n"/>
      <c r="O622" s="55" t="inlineStr">
        <is>
          <t>FÍSICO</t>
        </is>
      </c>
      <c r="P622" s="55" t="inlineStr">
        <is>
          <t>VIGOR</t>
        </is>
      </c>
      <c r="Q622" s="55" t="inlineStr">
        <is>
          <t>INTELECTO</t>
        </is>
      </c>
      <c r="R622" s="55" t="inlineStr">
        <is>
          <t>ESPÍRITO</t>
        </is>
      </c>
      <c r="S622" s="55" t="inlineStr">
        <is>
          <t>TR TREINADO</t>
        </is>
      </c>
      <c r="T622" s="120" t="n"/>
      <c r="U622" s="21" t="n"/>
      <c r="Y622" s="22" t="n"/>
      <c r="Z622" s="120" t="n"/>
      <c r="AB622" s="21" t="n"/>
      <c r="AF622" s="22" t="n"/>
      <c r="AG622" s="120" t="n"/>
      <c r="AH622" s="55" t="inlineStr">
        <is>
          <t>FÍSICO</t>
        </is>
      </c>
      <c r="AI622" s="55" t="inlineStr">
        <is>
          <t>VIGOR</t>
        </is>
      </c>
      <c r="AJ622" s="55" t="inlineStr">
        <is>
          <t>INTELECTO</t>
        </is>
      </c>
      <c r="AK622" s="55" t="inlineStr">
        <is>
          <t>ESPÍRITO</t>
        </is>
      </c>
      <c r="AL622" s="55" t="inlineStr">
        <is>
          <t>TR TREINADO</t>
        </is>
      </c>
      <c r="AM622" s="120" t="n"/>
      <c r="AN622" s="21" t="n"/>
      <c r="AR622" s="22" t="n"/>
      <c r="AS622" s="120" t="n"/>
    </row>
    <row r="623" hidden="1" outlineLevel="1">
      <c r="A623" s="8" t="n"/>
      <c r="B623" s="14" t="n"/>
      <c r="C623" s="120" t="n"/>
      <c r="D623" s="120" t="n"/>
      <c r="E623" s="120" t="n"/>
      <c r="F623" s="120" t="n"/>
      <c r="G623" s="120" t="n"/>
      <c r="I623" s="21" t="n"/>
      <c r="M623" s="22" t="n"/>
      <c r="N623" s="120" t="n"/>
      <c r="O623" s="92">
        <f>DADOS_INVOC!$HE$5</f>
        <v/>
      </c>
      <c r="P623" s="92">
        <f>DADOS_INVOC!$HF$5</f>
        <v/>
      </c>
      <c r="Q623" s="92">
        <f>DADOS_INVOC!$HG$5</f>
        <v/>
      </c>
      <c r="R623" s="92">
        <f>DADOS_INVOC!$HH$5</f>
        <v/>
      </c>
      <c r="S623" s="124" t="n"/>
      <c r="T623" s="120" t="n"/>
      <c r="U623" s="21" t="n"/>
      <c r="Y623" s="22" t="n"/>
      <c r="Z623" s="120" t="n"/>
      <c r="AB623" s="21" t="n"/>
      <c r="AF623" s="22" t="n"/>
      <c r="AG623" s="120" t="n"/>
      <c r="AH623" s="92">
        <f>DADOS_INVOC!$HE$11</f>
        <v/>
      </c>
      <c r="AI623" s="92">
        <f>DADOS_INVOC!$HF$11</f>
        <v/>
      </c>
      <c r="AJ623" s="92">
        <f>DADOS_INVOC!$HG$11</f>
        <v/>
      </c>
      <c r="AK623" s="92">
        <f>DADOS_INVOC!$HH$11</f>
        <v/>
      </c>
      <c r="AL623" s="124" t="n"/>
      <c r="AM623" s="120" t="n"/>
      <c r="AN623" s="21" t="n"/>
      <c r="AR623" s="22" t="n"/>
      <c r="AS623" s="120" t="n"/>
    </row>
    <row r="624" hidden="1" outlineLevel="1">
      <c r="A624" s="8" t="n"/>
      <c r="B624" s="14" t="n"/>
      <c r="C624" s="120" t="n"/>
      <c r="D624" s="120" t="n"/>
      <c r="E624" s="120" t="n"/>
      <c r="F624" s="120" t="n"/>
      <c r="G624" s="120" t="n"/>
      <c r="I624" s="21" t="n"/>
      <c r="M624" s="22" t="n"/>
      <c r="N624" s="120" t="n"/>
      <c r="O624" s="125" t="n"/>
      <c r="P624" s="125" t="n"/>
      <c r="Q624" s="125" t="n"/>
      <c r="R624" s="125" t="n"/>
      <c r="S624" s="125" t="n"/>
      <c r="T624" s="120" t="n"/>
      <c r="U624" s="23" t="n"/>
      <c r="V624" s="24" t="n"/>
      <c r="W624" s="24" t="n"/>
      <c r="X624" s="24" t="n"/>
      <c r="Y624" s="25" t="n"/>
      <c r="Z624" s="120" t="n"/>
      <c r="AB624" s="21" t="n"/>
      <c r="AF624" s="22" t="n"/>
      <c r="AG624" s="120" t="n"/>
      <c r="AH624" s="125" t="n"/>
      <c r="AI624" s="125" t="n"/>
      <c r="AJ624" s="125" t="n"/>
      <c r="AK624" s="125" t="n"/>
      <c r="AL624" s="125" t="n"/>
      <c r="AM624" s="120" t="n"/>
      <c r="AN624" s="23" t="n"/>
      <c r="AO624" s="24" t="n"/>
      <c r="AP624" s="24" t="n"/>
      <c r="AQ624" s="24" t="n"/>
      <c r="AR624" s="25" t="n"/>
      <c r="AS624" s="120" t="n"/>
    </row>
    <row r="625" hidden="1" outlineLevel="1">
      <c r="A625" s="8" t="n"/>
      <c r="B625" s="14" t="n"/>
      <c r="C625" s="120" t="n"/>
      <c r="D625" s="120" t="n"/>
      <c r="E625" s="120" t="n"/>
      <c r="F625" s="120" t="n"/>
      <c r="G625" s="120" t="n"/>
      <c r="I625" s="21" t="n"/>
      <c r="M625" s="22" t="n"/>
      <c r="N625" s="120" t="n"/>
      <c r="O625" s="144" t="n">
        <v>0</v>
      </c>
      <c r="P625" s="144" t="n">
        <v>0</v>
      </c>
      <c r="Q625" s="144" t="n">
        <v>0</v>
      </c>
      <c r="R625" s="144" t="n">
        <v>0</v>
      </c>
      <c r="S625" s="120" t="n"/>
      <c r="T625" s="120" t="n"/>
      <c r="U625" s="120" t="n"/>
      <c r="V625" s="120" t="n"/>
      <c r="W625" s="120" t="n"/>
      <c r="X625" s="120" t="n"/>
      <c r="Y625" s="120" t="n"/>
      <c r="Z625" s="120" t="n"/>
      <c r="AB625" s="21" t="n"/>
      <c r="AF625" s="22" t="n"/>
      <c r="AG625" s="120" t="n"/>
      <c r="AH625" s="144" t="n">
        <v>0</v>
      </c>
      <c r="AI625" s="144" t="n">
        <v>0</v>
      </c>
      <c r="AJ625" s="144" t="n">
        <v>0</v>
      </c>
      <c r="AK625" s="144" t="n">
        <v>0</v>
      </c>
      <c r="AL625" s="120" t="n"/>
      <c r="AM625" s="120" t="n"/>
      <c r="AN625" s="120" t="n"/>
      <c r="AO625" s="120" t="n"/>
      <c r="AP625" s="120" t="n"/>
      <c r="AQ625" s="120" t="n"/>
      <c r="AR625" s="120" t="n"/>
      <c r="AS625" s="120" t="n"/>
    </row>
    <row r="626" hidden="1" outlineLevel="1">
      <c r="A626" s="8" t="n"/>
      <c r="B626" s="14" t="n"/>
      <c r="C626" s="120" t="n"/>
      <c r="D626" s="120" t="n"/>
      <c r="E626" s="120" t="n"/>
      <c r="F626" s="120" t="n"/>
      <c r="G626" s="120" t="n"/>
      <c r="I626" s="21" t="n"/>
      <c r="M626" s="22" t="n"/>
      <c r="N626" s="120" t="n"/>
      <c r="O626" s="120" t="n"/>
      <c r="P626" s="120" t="n"/>
      <c r="Q626" s="120" t="n"/>
      <c r="R626" s="120" t="n"/>
      <c r="S626" s="120" t="n"/>
      <c r="T626" s="120" t="n"/>
      <c r="U626" s="55">
        <f>DADOS_INVOC!$HR$5</f>
        <v/>
      </c>
      <c r="V626" s="16" t="n"/>
      <c r="W626" s="16" t="n"/>
      <c r="X626" s="17" t="n"/>
      <c r="Y626" s="55" t="inlineStr">
        <is>
          <t>VOL.</t>
        </is>
      </c>
      <c r="Z626" s="120" t="n"/>
      <c r="AB626" s="21" t="n"/>
      <c r="AF626" s="22" t="n"/>
      <c r="AG626" s="120" t="n"/>
      <c r="AH626" s="120" t="n"/>
      <c r="AI626" s="120" t="n"/>
      <c r="AJ626" s="120" t="n"/>
      <c r="AK626" s="120" t="n"/>
      <c r="AL626" s="120" t="n"/>
      <c r="AM626" s="120" t="n"/>
      <c r="AN626" s="55">
        <f>DADOS_INVOC!$HR$11</f>
        <v/>
      </c>
      <c r="AO626" s="16" t="n"/>
      <c r="AP626" s="16" t="n"/>
      <c r="AQ626" s="17" t="n"/>
      <c r="AR626" s="55" t="inlineStr">
        <is>
          <t>VOL.</t>
        </is>
      </c>
      <c r="AS626" s="120" t="n"/>
    </row>
    <row r="627" hidden="1" outlineLevel="1">
      <c r="A627" s="8" t="n"/>
      <c r="B627" s="14" t="n"/>
      <c r="C627" s="120" t="n"/>
      <c r="D627" s="120" t="n"/>
      <c r="E627" s="120" t="n"/>
      <c r="F627" s="120" t="n"/>
      <c r="G627" s="120" t="n"/>
      <c r="I627" s="21" t="n"/>
      <c r="M627" s="22" t="n"/>
      <c r="N627" s="120" t="n"/>
      <c r="O627" s="55" t="inlineStr">
        <is>
          <t>ATRIBUTO DE ACERTO</t>
        </is>
      </c>
      <c r="P627" s="16" t="n"/>
      <c r="Q627" s="17" t="n"/>
      <c r="R627" s="55" t="inlineStr">
        <is>
          <t>FÍSICO USA</t>
        </is>
      </c>
      <c r="S627" s="17" t="n"/>
      <c r="T627" s="120" t="n"/>
      <c r="U627" s="55" t="inlineStr">
        <is>
          <t>MÃO 1</t>
        </is>
      </c>
      <c r="V627" s="130" t="n"/>
      <c r="W627" s="16" t="n"/>
      <c r="X627" s="17" t="n"/>
      <c r="Y627" s="124" t="n"/>
      <c r="Z627" s="120" t="n"/>
      <c r="AB627" s="21" t="n"/>
      <c r="AF627" s="22" t="n"/>
      <c r="AG627" s="120" t="n"/>
      <c r="AH627" s="55" t="inlineStr">
        <is>
          <t>ATRIBUTO DE ACERTO</t>
        </is>
      </c>
      <c r="AI627" s="16" t="n"/>
      <c r="AJ627" s="17" t="n"/>
      <c r="AK627" s="55" t="inlineStr">
        <is>
          <t>FÍSICO USA</t>
        </is>
      </c>
      <c r="AL627" s="17" t="n"/>
      <c r="AM627" s="120" t="n"/>
      <c r="AN627" s="55" t="inlineStr">
        <is>
          <t>MÃO 1</t>
        </is>
      </c>
      <c r="AO627" s="130" t="n"/>
      <c r="AP627" s="16" t="n"/>
      <c r="AQ627" s="17" t="n"/>
      <c r="AR627" s="124" t="n"/>
      <c r="AS627" s="120" t="n"/>
    </row>
    <row r="628" hidden="1" outlineLevel="1">
      <c r="A628" s="8" t="n"/>
      <c r="B628" s="14" t="n"/>
      <c r="C628" s="120" t="n"/>
      <c r="D628" s="120" t="n"/>
      <c r="E628" s="120" t="n"/>
      <c r="F628" s="120" t="n"/>
      <c r="G628" s="120" t="n"/>
      <c r="I628" s="21" t="n"/>
      <c r="M628" s="22" t="n"/>
      <c r="N628" s="120" t="n"/>
      <c r="O628" s="124" t="n"/>
      <c r="P628" s="19" t="n"/>
      <c r="Q628" s="20" t="n"/>
      <c r="R628" s="124" t="inlineStr">
        <is>
          <t>Força</t>
        </is>
      </c>
      <c r="S628" s="20" t="n"/>
      <c r="T628" s="120" t="n"/>
      <c r="U628" s="55" t="inlineStr">
        <is>
          <t>MÃO 2</t>
        </is>
      </c>
      <c r="V628" s="130" t="n"/>
      <c r="W628" s="16" t="n"/>
      <c r="X628" s="17" t="n"/>
      <c r="Y628" s="124" t="n"/>
      <c r="Z628" s="120" t="n"/>
      <c r="AB628" s="21" t="n"/>
      <c r="AF628" s="22" t="n"/>
      <c r="AG628" s="120" t="n"/>
      <c r="AH628" s="124" t="n"/>
      <c r="AI628" s="19" t="n"/>
      <c r="AJ628" s="20" t="n"/>
      <c r="AK628" s="124" t="inlineStr">
        <is>
          <t>Força</t>
        </is>
      </c>
      <c r="AL628" s="20" t="n"/>
      <c r="AM628" s="120" t="n"/>
      <c r="AN628" s="55" t="inlineStr">
        <is>
          <t>MÃO 2</t>
        </is>
      </c>
      <c r="AO628" s="130" t="n"/>
      <c r="AP628" s="16" t="n"/>
      <c r="AQ628" s="17" t="n"/>
      <c r="AR628" s="124" t="n"/>
      <c r="AS628" s="120" t="n"/>
    </row>
    <row r="629" hidden="1" outlineLevel="1">
      <c r="A629" s="8" t="n"/>
      <c r="B629" s="14" t="n"/>
      <c r="C629" s="120" t="n"/>
      <c r="D629" s="120" t="n"/>
      <c r="E629" s="120" t="n"/>
      <c r="F629" s="120" t="n"/>
      <c r="G629" s="120" t="n"/>
      <c r="I629" s="21" t="n"/>
      <c r="M629" s="22" t="n"/>
      <c r="N629" s="120" t="n"/>
      <c r="O629" s="23" t="n"/>
      <c r="P629" s="24" t="n"/>
      <c r="Q629" s="25" t="n"/>
      <c r="R629" s="23" t="n"/>
      <c r="S629" s="25" t="n"/>
      <c r="T629" s="120" t="n"/>
      <c r="U629" s="55" t="inlineStr">
        <is>
          <t>VESTE</t>
        </is>
      </c>
      <c r="V629" s="130" t="n"/>
      <c r="W629" s="16" t="n"/>
      <c r="X629" s="17" t="n"/>
      <c r="Y629" s="124" t="n"/>
      <c r="Z629" s="120" t="n"/>
      <c r="AB629" s="21" t="n"/>
      <c r="AF629" s="22" t="n"/>
      <c r="AG629" s="120" t="n"/>
      <c r="AH629" s="23" t="n"/>
      <c r="AI629" s="24" t="n"/>
      <c r="AJ629" s="25" t="n"/>
      <c r="AK629" s="23" t="n"/>
      <c r="AL629" s="25" t="n"/>
      <c r="AM629" s="120" t="n"/>
      <c r="AN629" s="55" t="inlineStr">
        <is>
          <t>VESTE</t>
        </is>
      </c>
      <c r="AO629" s="130" t="n"/>
      <c r="AP629" s="16" t="n"/>
      <c r="AQ629" s="17" t="n"/>
      <c r="AR629" s="124" t="n"/>
      <c r="AS629" s="120" t="n"/>
    </row>
    <row r="630" hidden="1" outlineLevel="1">
      <c r="A630" s="8" t="n"/>
      <c r="B630" s="14" t="n"/>
      <c r="C630" s="120" t="n"/>
      <c r="D630" s="120" t="n"/>
      <c r="E630" s="120" t="n"/>
      <c r="F630" s="120" t="n"/>
      <c r="G630" s="120" t="n"/>
      <c r="I630" s="21" t="n"/>
      <c r="M630" s="22" t="n"/>
      <c r="N630" s="120" t="n"/>
      <c r="O630" s="120" t="n"/>
      <c r="P630" s="120" t="n"/>
      <c r="Q630" s="120" t="n"/>
      <c r="R630" s="120" t="n"/>
      <c r="S630" s="120" t="n"/>
      <c r="T630" s="120" t="n"/>
      <c r="U630" s="55" t="inlineStr">
        <is>
          <t>GUARDADO · SÓ COM A CARACTERÍSTICA DE TRANSPORTE</t>
        </is>
      </c>
      <c r="V630" s="16" t="n"/>
      <c r="W630" s="16" t="n"/>
      <c r="X630" s="17" t="n"/>
      <c r="Y630" s="55" t="inlineStr">
        <is>
          <t>VOL.</t>
        </is>
      </c>
      <c r="Z630" s="120" t="n"/>
      <c r="AB630" s="21" t="n"/>
      <c r="AF630" s="22" t="n"/>
      <c r="AG630" s="120" t="n"/>
      <c r="AH630" s="120" t="n"/>
      <c r="AI630" s="120" t="n"/>
      <c r="AJ630" s="120" t="n"/>
      <c r="AK630" s="120" t="n"/>
      <c r="AL630" s="120" t="n"/>
      <c r="AM630" s="120" t="n"/>
      <c r="AN630" s="55" t="inlineStr">
        <is>
          <t>GUARDADO · SÓ COM A CARACTERÍSTICA DE TRANSPORTE</t>
        </is>
      </c>
      <c r="AO630" s="16" t="n"/>
      <c r="AP630" s="16" t="n"/>
      <c r="AQ630" s="17" t="n"/>
      <c r="AR630" s="55" t="inlineStr">
        <is>
          <t>VOL.</t>
        </is>
      </c>
      <c r="AS630" s="120" t="n"/>
    </row>
    <row r="631" hidden="1" outlineLevel="1">
      <c r="A631" s="8" t="n"/>
      <c r="B631" s="14" t="n"/>
      <c r="C631" s="120" t="n"/>
      <c r="D631" s="120" t="n"/>
      <c r="E631" s="120" t="n"/>
      <c r="F631" s="120" t="n"/>
      <c r="G631" s="120" t="n"/>
      <c r="I631" s="21" t="n"/>
      <c r="M631" s="22" t="n"/>
      <c r="N631" s="120" t="n"/>
      <c r="O631" s="55">
        <f>DADOS_INVOC!$HI$5</f>
        <v/>
      </c>
      <c r="P631" s="16" t="n"/>
      <c r="Q631" s="16" t="n"/>
      <c r="R631" s="16" t="n"/>
      <c r="S631" s="17" t="n"/>
      <c r="T631" s="120" t="n"/>
      <c r="U631" s="130" t="n"/>
      <c r="V631" s="16" t="n"/>
      <c r="W631" s="16" t="n"/>
      <c r="X631" s="17" t="n"/>
      <c r="Y631" s="124" t="n"/>
      <c r="Z631" s="120" t="n"/>
      <c r="AB631" s="21" t="n"/>
      <c r="AF631" s="22" t="n"/>
      <c r="AG631" s="120" t="n"/>
      <c r="AH631" s="55">
        <f>DADOS_INVOC!$HI$11</f>
        <v/>
      </c>
      <c r="AI631" s="16" t="n"/>
      <c r="AJ631" s="16" t="n"/>
      <c r="AK631" s="16" t="n"/>
      <c r="AL631" s="17" t="n"/>
      <c r="AM631" s="120" t="n"/>
      <c r="AN631" s="130" t="n"/>
      <c r="AO631" s="16" t="n"/>
      <c r="AP631" s="16" t="n"/>
      <c r="AQ631" s="17" t="n"/>
      <c r="AR631" s="124" t="n"/>
      <c r="AS631" s="120" t="n"/>
    </row>
    <row r="632" hidden="1" outlineLevel="1">
      <c r="A632" s="8" t="n"/>
      <c r="B632" s="14" t="n"/>
      <c r="C632" s="120" t="n"/>
      <c r="D632" s="120" t="n"/>
      <c r="E632" s="120" t="n"/>
      <c r="F632" s="120" t="n"/>
      <c r="G632" s="120" t="n"/>
      <c r="I632" s="21" t="n"/>
      <c r="M632" s="22" t="n"/>
      <c r="N632" s="120" t="n"/>
      <c r="O632" s="130" t="n"/>
      <c r="P632" s="16" t="n"/>
      <c r="Q632" s="17" t="n"/>
      <c r="R632" s="124">
        <f>DADOS_INVOC!$HJ$5</f>
        <v/>
      </c>
      <c r="S632" s="17" t="n"/>
      <c r="T632" s="120" t="n"/>
      <c r="U632" s="130" t="n"/>
      <c r="V632" s="16" t="n"/>
      <c r="W632" s="16" t="n"/>
      <c r="X632" s="17" t="n"/>
      <c r="Y632" s="124" t="n"/>
      <c r="Z632" s="120" t="n"/>
      <c r="AB632" s="21" t="n"/>
      <c r="AF632" s="22" t="n"/>
      <c r="AG632" s="120" t="n"/>
      <c r="AH632" s="130" t="n"/>
      <c r="AI632" s="16" t="n"/>
      <c r="AJ632" s="17" t="n"/>
      <c r="AK632" s="124">
        <f>DADOS_INVOC!$HJ$11</f>
        <v/>
      </c>
      <c r="AL632" s="17" t="n"/>
      <c r="AM632" s="120" t="n"/>
      <c r="AN632" s="130" t="n"/>
      <c r="AO632" s="16" t="n"/>
      <c r="AP632" s="16" t="n"/>
      <c r="AQ632" s="17" t="n"/>
      <c r="AR632" s="124" t="n"/>
      <c r="AS632" s="120" t="n"/>
    </row>
    <row r="633" hidden="1" outlineLevel="1">
      <c r="A633" s="8" t="n"/>
      <c r="B633" s="14" t="n"/>
      <c r="C633" s="120" t="n"/>
      <c r="D633" s="120" t="n"/>
      <c r="E633" s="120" t="n"/>
      <c r="F633" s="120" t="n"/>
      <c r="G633" s="120" t="n"/>
      <c r="I633" s="21" t="n"/>
      <c r="M633" s="22" t="n"/>
      <c r="N633" s="120" t="n"/>
      <c r="O633" s="130" t="n"/>
      <c r="P633" s="16" t="n"/>
      <c r="Q633" s="17" t="n"/>
      <c r="R633" s="124">
        <f>DADOS_INVOC!$HK$5</f>
        <v/>
      </c>
      <c r="S633" s="17" t="n"/>
      <c r="T633" s="120" t="n"/>
      <c r="U633" s="130" t="n"/>
      <c r="V633" s="16" t="n"/>
      <c r="W633" s="16" t="n"/>
      <c r="X633" s="17" t="n"/>
      <c r="Y633" s="124" t="n"/>
      <c r="Z633" s="120" t="n"/>
      <c r="AB633" s="21" t="n"/>
      <c r="AF633" s="22" t="n"/>
      <c r="AG633" s="120" t="n"/>
      <c r="AH633" s="130" t="n"/>
      <c r="AI633" s="16" t="n"/>
      <c r="AJ633" s="17" t="n"/>
      <c r="AK633" s="124">
        <f>DADOS_INVOC!$HK$11</f>
        <v/>
      </c>
      <c r="AL633" s="17" t="n"/>
      <c r="AM633" s="120" t="n"/>
      <c r="AN633" s="130" t="n"/>
      <c r="AO633" s="16" t="n"/>
      <c r="AP633" s="16" t="n"/>
      <c r="AQ633" s="17" t="n"/>
      <c r="AR633" s="124" t="n"/>
      <c r="AS633" s="120" t="n"/>
    </row>
    <row r="634" hidden="1" outlineLevel="1">
      <c r="A634" s="8" t="n"/>
      <c r="B634" s="14" t="n"/>
      <c r="C634" s="120" t="n"/>
      <c r="D634" s="120" t="n"/>
      <c r="E634" s="120" t="n"/>
      <c r="F634" s="120" t="n"/>
      <c r="G634" s="120" t="n"/>
      <c r="I634" s="23" t="n"/>
      <c r="J634" s="24" t="n"/>
      <c r="K634" s="24" t="n"/>
      <c r="L634" s="24" t="n"/>
      <c r="M634" s="25" t="n"/>
      <c r="N634" s="120" t="n"/>
      <c r="O634" s="130" t="n"/>
      <c r="P634" s="16" t="n"/>
      <c r="Q634" s="17" t="n"/>
      <c r="R634" s="124">
        <f>DADOS_INVOC!$HL$5</f>
        <v/>
      </c>
      <c r="S634" s="17" t="n"/>
      <c r="T634" s="120" t="n"/>
      <c r="U634" s="130" t="n"/>
      <c r="V634" s="16" t="n"/>
      <c r="W634" s="16" t="n"/>
      <c r="X634" s="17" t="n"/>
      <c r="Y634" s="124" t="n"/>
      <c r="Z634" s="120" t="n"/>
      <c r="AB634" s="23" t="n"/>
      <c r="AC634" s="24" t="n"/>
      <c r="AD634" s="24" t="n"/>
      <c r="AE634" s="24" t="n"/>
      <c r="AF634" s="25" t="n"/>
      <c r="AG634" s="120" t="n"/>
      <c r="AH634" s="130" t="n"/>
      <c r="AI634" s="16" t="n"/>
      <c r="AJ634" s="17" t="n"/>
      <c r="AK634" s="124">
        <f>DADOS_INVOC!$HL$11</f>
        <v/>
      </c>
      <c r="AL634" s="17" t="n"/>
      <c r="AM634" s="120" t="n"/>
      <c r="AN634" s="130" t="n"/>
      <c r="AO634" s="16" t="n"/>
      <c r="AP634" s="16" t="n"/>
      <c r="AQ634" s="17" t="n"/>
      <c r="AR634" s="124" t="n"/>
      <c r="AS634" s="120" t="n"/>
    </row>
    <row r="635" hidden="1" outlineLevel="1">
      <c r="A635" s="8" t="n"/>
      <c r="B635" s="14" t="n"/>
      <c r="C635" s="120" t="n"/>
      <c r="D635" s="120" t="n"/>
      <c r="E635" s="120" t="n"/>
      <c r="F635" s="120" t="n"/>
      <c r="G635" s="120" t="n"/>
      <c r="I635" s="120" t="n"/>
      <c r="J635" s="120" t="n"/>
      <c r="K635" s="120" t="n"/>
      <c r="L635" s="120" t="n"/>
      <c r="M635" s="120" t="n"/>
      <c r="N635" s="120" t="n"/>
      <c r="O635" s="130" t="n"/>
      <c r="P635" s="16" t="n"/>
      <c r="Q635" s="17" t="n"/>
      <c r="R635" s="124">
        <f>DADOS_INVOC!$HM$5</f>
        <v/>
      </c>
      <c r="S635" s="17" t="n"/>
      <c r="T635" s="120" t="n"/>
      <c r="U635" s="130" t="n"/>
      <c r="V635" s="16" t="n"/>
      <c r="W635" s="16" t="n"/>
      <c r="X635" s="17" t="n"/>
      <c r="Y635" s="124" t="n"/>
      <c r="Z635" s="120" t="n"/>
      <c r="AB635" s="120" t="n"/>
      <c r="AC635" s="120" t="n"/>
      <c r="AD635" s="120" t="n"/>
      <c r="AE635" s="120" t="n"/>
      <c r="AF635" s="120" t="n"/>
      <c r="AG635" s="120" t="n"/>
      <c r="AH635" s="130" t="n"/>
      <c r="AI635" s="16" t="n"/>
      <c r="AJ635" s="17" t="n"/>
      <c r="AK635" s="124">
        <f>DADOS_INVOC!$HM$11</f>
        <v/>
      </c>
      <c r="AL635" s="17" t="n"/>
      <c r="AM635" s="120" t="n"/>
      <c r="AN635" s="130" t="n"/>
      <c r="AO635" s="16" t="n"/>
      <c r="AP635" s="16" t="n"/>
      <c r="AQ635" s="17" t="n"/>
      <c r="AR635" s="124" t="n"/>
      <c r="AS635" s="120" t="n"/>
    </row>
    <row r="636" hidden="1" outlineLevel="1">
      <c r="A636" s="8" t="n"/>
      <c r="B636" s="14" t="n"/>
      <c r="C636" s="120" t="n"/>
      <c r="D636" s="120" t="n"/>
      <c r="E636" s="120" t="n"/>
      <c r="F636" s="120" t="n"/>
      <c r="G636" s="120" t="n"/>
      <c r="I636" s="55" t="inlineStr">
        <is>
          <t>TIPO</t>
        </is>
      </c>
      <c r="J636" s="16" t="n"/>
      <c r="K636" s="16" t="n"/>
      <c r="L636" s="16" t="n"/>
      <c r="M636" s="17" t="n"/>
      <c r="N636" s="120" t="n"/>
      <c r="O636" s="130" t="n"/>
      <c r="P636" s="16" t="n"/>
      <c r="Q636" s="17" t="n"/>
      <c r="R636" s="124">
        <f>DADOS_INVOC!$HN$5</f>
        <v/>
      </c>
      <c r="S636" s="17" t="n"/>
      <c r="T636" s="120" t="n"/>
      <c r="U636" s="130" t="n"/>
      <c r="V636" s="16" t="n"/>
      <c r="W636" s="16" t="n"/>
      <c r="X636" s="17" t="n"/>
      <c r="Y636" s="124" t="n"/>
      <c r="Z636" s="120" t="n"/>
      <c r="AB636" s="55" t="inlineStr">
        <is>
          <t>TIPO</t>
        </is>
      </c>
      <c r="AC636" s="16" t="n"/>
      <c r="AD636" s="16" t="n"/>
      <c r="AE636" s="16" t="n"/>
      <c r="AF636" s="17" t="n"/>
      <c r="AG636" s="120" t="n"/>
      <c r="AH636" s="130" t="n"/>
      <c r="AI636" s="16" t="n"/>
      <c r="AJ636" s="17" t="n"/>
      <c r="AK636" s="124">
        <f>DADOS_INVOC!$HN$11</f>
        <v/>
      </c>
      <c r="AL636" s="17" t="n"/>
      <c r="AM636" s="120" t="n"/>
      <c r="AN636" s="130" t="n"/>
      <c r="AO636" s="16" t="n"/>
      <c r="AP636" s="16" t="n"/>
      <c r="AQ636" s="17" t="n"/>
      <c r="AR636" s="124" t="n"/>
      <c r="AS636" s="120" t="n"/>
    </row>
    <row r="637" hidden="1" outlineLevel="1">
      <c r="A637" s="8" t="n"/>
      <c r="B637" s="14" t="n"/>
      <c r="C637" s="120" t="n"/>
      <c r="D637" s="120" t="n"/>
      <c r="E637" s="120" t="n"/>
      <c r="F637" s="120" t="n"/>
      <c r="G637" s="120" t="n"/>
      <c r="I637" s="124" t="inlineStr">
        <is>
          <t>Shikigami de técnica</t>
        </is>
      </c>
      <c r="J637" s="19" t="n"/>
      <c r="K637" s="19" t="n"/>
      <c r="L637" s="19" t="n"/>
      <c r="M637" s="20" t="n"/>
      <c r="N637" s="120" t="n"/>
      <c r="O637" s="130" t="n"/>
      <c r="P637" s="16" t="n"/>
      <c r="Q637" s="17" t="n"/>
      <c r="R637" s="124">
        <f>DADOS_INVOC!$HO$5</f>
        <v/>
      </c>
      <c r="S637" s="17" t="n"/>
      <c r="T637" s="120" t="n"/>
      <c r="U637" s="120" t="n"/>
      <c r="V637" s="120" t="n"/>
      <c r="W637" s="120" t="n"/>
      <c r="X637" s="120" t="n"/>
      <c r="Y637" s="120" t="n"/>
      <c r="Z637" s="120" t="n"/>
      <c r="AB637" s="124" t="inlineStr">
        <is>
          <t>Shikigami de técnica</t>
        </is>
      </c>
      <c r="AC637" s="19" t="n"/>
      <c r="AD637" s="19" t="n"/>
      <c r="AE637" s="19" t="n"/>
      <c r="AF637" s="20" t="n"/>
      <c r="AG637" s="120" t="n"/>
      <c r="AH637" s="130" t="n"/>
      <c r="AI637" s="16" t="n"/>
      <c r="AJ637" s="17" t="n"/>
      <c r="AK637" s="124">
        <f>DADOS_INVOC!$HO$11</f>
        <v/>
      </c>
      <c r="AL637" s="17" t="n"/>
      <c r="AM637" s="120" t="n"/>
      <c r="AN637" s="120" t="n"/>
      <c r="AO637" s="120" t="n"/>
      <c r="AP637" s="120" t="n"/>
      <c r="AQ637" s="120" t="n"/>
      <c r="AR637" s="120" t="n"/>
      <c r="AS637" s="120" t="n"/>
    </row>
    <row r="638" hidden="1" outlineLevel="1">
      <c r="A638" s="8" t="n"/>
      <c r="B638" s="14" t="n"/>
      <c r="C638" s="120" t="n"/>
      <c r="D638" s="120" t="n"/>
      <c r="E638" s="120" t="n"/>
      <c r="F638" s="120" t="n"/>
      <c r="G638" s="120" t="n"/>
      <c r="I638" s="23" t="n"/>
      <c r="J638" s="24" t="n"/>
      <c r="K638" s="24" t="n"/>
      <c r="L638" s="24" t="n"/>
      <c r="M638" s="25" t="n"/>
      <c r="N638" s="120" t="n"/>
      <c r="O638" s="130" t="n"/>
      <c r="P638" s="16" t="n"/>
      <c r="Q638" s="17" t="n"/>
      <c r="R638" s="124">
        <f>DADOS_INVOC!$HP$5</f>
        <v/>
      </c>
      <c r="S638" s="17" t="n"/>
      <c r="T638" s="120" t="n"/>
      <c r="U638" s="55" t="inlineStr">
        <is>
          <t>CORPO, SENTIDOS E COMUNICAÇÃO</t>
        </is>
      </c>
      <c r="V638" s="16" t="n"/>
      <c r="W638" s="16" t="n"/>
      <c r="X638" s="16" t="n"/>
      <c r="Y638" s="17" t="n"/>
      <c r="Z638" s="120" t="n"/>
      <c r="AB638" s="23" t="n"/>
      <c r="AC638" s="24" t="n"/>
      <c r="AD638" s="24" t="n"/>
      <c r="AE638" s="24" t="n"/>
      <c r="AF638" s="25" t="n"/>
      <c r="AG638" s="120" t="n"/>
      <c r="AH638" s="130" t="n"/>
      <c r="AI638" s="16" t="n"/>
      <c r="AJ638" s="17" t="n"/>
      <c r="AK638" s="124">
        <f>DADOS_INVOC!$HP$11</f>
        <v/>
      </c>
      <c r="AL638" s="17" t="n"/>
      <c r="AM638" s="120" t="n"/>
      <c r="AN638" s="55" t="inlineStr">
        <is>
          <t>CORPO, SENTIDOS E COMUNICAÇÃO</t>
        </is>
      </c>
      <c r="AO638" s="16" t="n"/>
      <c r="AP638" s="16" t="n"/>
      <c r="AQ638" s="16" t="n"/>
      <c r="AR638" s="17" t="n"/>
      <c r="AS638" s="120" t="n"/>
    </row>
    <row r="639" hidden="1" outlineLevel="1">
      <c r="A639" s="8" t="n"/>
      <c r="B639" s="14" t="n"/>
      <c r="C639" s="120" t="n"/>
      <c r="D639" s="120" t="n"/>
      <c r="E639" s="120" t="n"/>
      <c r="F639" s="120" t="n"/>
      <c r="G639" s="120" t="n"/>
      <c r="I639" s="120" t="n"/>
      <c r="J639" s="120" t="n"/>
      <c r="K639" s="120" t="n"/>
      <c r="L639" s="120" t="n"/>
      <c r="M639" s="120" t="n"/>
      <c r="N639" s="120" t="n"/>
      <c r="O639" s="120" t="n"/>
      <c r="P639" s="120" t="n"/>
      <c r="Q639" s="120" t="n"/>
      <c r="R639" s="120" t="n"/>
      <c r="S639" s="120" t="n"/>
      <c r="T639" s="120" t="n"/>
      <c r="U639" s="116" t="n"/>
      <c r="V639" s="19" t="n"/>
      <c r="W639" s="19" t="n"/>
      <c r="X639" s="19" t="n"/>
      <c r="Y639" s="20" t="n"/>
      <c r="Z639" s="120" t="n"/>
      <c r="AB639" s="120" t="n"/>
      <c r="AC639" s="120" t="n"/>
      <c r="AD639" s="120" t="n"/>
      <c r="AE639" s="120" t="n"/>
      <c r="AF639" s="120" t="n"/>
      <c r="AG639" s="120" t="n"/>
      <c r="AH639" s="120" t="n"/>
      <c r="AI639" s="120" t="n"/>
      <c r="AJ639" s="120" t="n"/>
      <c r="AK639" s="120" t="n"/>
      <c r="AL639" s="120" t="n"/>
      <c r="AM639" s="120" t="n"/>
      <c r="AN639" s="116" t="n"/>
      <c r="AO639" s="19" t="n"/>
      <c r="AP639" s="19" t="n"/>
      <c r="AQ639" s="19" t="n"/>
      <c r="AR639" s="20" t="n"/>
      <c r="AS639" s="120" t="n"/>
    </row>
    <row r="640" hidden="1" outlineLevel="1">
      <c r="A640" s="8" t="n"/>
      <c r="B640" s="14" t="n"/>
      <c r="C640" s="120" t="n"/>
      <c r="D640" s="120" t="n"/>
      <c r="E640" s="120" t="n"/>
      <c r="F640" s="120" t="n"/>
      <c r="G640" s="120" t="n"/>
      <c r="I640" s="55" t="inlineStr">
        <is>
          <t>AQUISIÇÃO</t>
        </is>
      </c>
      <c r="J640" s="17" t="n"/>
      <c r="K640" s="55" t="inlineStr">
        <is>
          <t>OBTIDA NO NÍVEL</t>
        </is>
      </c>
      <c r="L640" s="55" t="inlineStr">
        <is>
          <t>TALISMÃ</t>
        </is>
      </c>
      <c r="M640" s="17" t="n"/>
      <c r="N640" s="120" t="n"/>
      <c r="O640" s="55">
        <f>DADOS_INVOC!$HS$5</f>
        <v/>
      </c>
      <c r="P640" s="16" t="n"/>
      <c r="Q640" s="16" t="n"/>
      <c r="R640" s="16" t="n"/>
      <c r="S640" s="17" t="n"/>
      <c r="T640" s="120" t="n"/>
      <c r="U640" s="21" t="n"/>
      <c r="Y640" s="22" t="n"/>
      <c r="Z640" s="120" t="n"/>
      <c r="AB640" s="55" t="inlineStr">
        <is>
          <t>AQUISIÇÃO</t>
        </is>
      </c>
      <c r="AC640" s="17" t="n"/>
      <c r="AD640" s="55" t="inlineStr">
        <is>
          <t>OBTIDA NO NÍVEL</t>
        </is>
      </c>
      <c r="AE640" s="55" t="inlineStr">
        <is>
          <t>TALISMÃ</t>
        </is>
      </c>
      <c r="AF640" s="17" t="n"/>
      <c r="AG640" s="120" t="n"/>
      <c r="AH640" s="55">
        <f>DADOS_INVOC!$HS$11</f>
        <v/>
      </c>
      <c r="AI640" s="16" t="n"/>
      <c r="AJ640" s="16" t="n"/>
      <c r="AK640" s="16" t="n"/>
      <c r="AL640" s="17" t="n"/>
      <c r="AM640" s="120" t="n"/>
      <c r="AN640" s="21" t="n"/>
      <c r="AR640" s="22" t="n"/>
      <c r="AS640" s="120" t="n"/>
    </row>
    <row r="641" hidden="1" outlineLevel="1">
      <c r="A641" s="8" t="n"/>
      <c r="B641" s="14" t="n"/>
      <c r="C641" s="120" t="n"/>
      <c r="D641" s="120" t="n"/>
      <c r="E641" s="120" t="n"/>
      <c r="F641" s="120" t="n"/>
      <c r="G641" s="120" t="n"/>
      <c r="I641" s="124" t="inlineStr">
        <is>
          <t>Espaço conhecido</t>
        </is>
      </c>
      <c r="J641" s="20" t="n"/>
      <c r="K641" s="124" t="n"/>
      <c r="L641" s="124" t="inlineStr">
        <is>
          <t>Sem carga</t>
        </is>
      </c>
      <c r="M641" s="20" t="n"/>
      <c r="N641" s="120" t="n"/>
      <c r="O641" s="55" t="inlineStr">
        <is>
          <t>LIVRE</t>
        </is>
      </c>
      <c r="P641" s="55" t="inlineStr">
        <is>
          <t>LIVRE · TRILHA</t>
        </is>
      </c>
      <c r="Q641" s="55" t="inlineStr">
        <is>
          <t>ABERTA</t>
        </is>
      </c>
      <c r="R641" s="55" t="inlineStr">
        <is>
          <t>ABERTA</t>
        </is>
      </c>
      <c r="S641" s="55" t="inlineStr">
        <is>
          <t>ABERTA · TRILHA</t>
        </is>
      </c>
      <c r="T641" s="120" t="n"/>
      <c r="U641" s="21" t="n"/>
      <c r="Y641" s="22" t="n"/>
      <c r="Z641" s="120" t="n"/>
      <c r="AB641" s="124" t="inlineStr">
        <is>
          <t>Espaço conhecido</t>
        </is>
      </c>
      <c r="AC641" s="20" t="n"/>
      <c r="AD641" s="124" t="n"/>
      <c r="AE641" s="124" t="inlineStr">
        <is>
          <t>Sem carga</t>
        </is>
      </c>
      <c r="AF641" s="20" t="n"/>
      <c r="AG641" s="120" t="n"/>
      <c r="AH641" s="55" t="inlineStr">
        <is>
          <t>LIVRE</t>
        </is>
      </c>
      <c r="AI641" s="55" t="inlineStr">
        <is>
          <t>LIVRE · TRILHA</t>
        </is>
      </c>
      <c r="AJ641" s="55" t="inlineStr">
        <is>
          <t>ABERTA</t>
        </is>
      </c>
      <c r="AK641" s="55" t="inlineStr">
        <is>
          <t>ABERTA</t>
        </is>
      </c>
      <c r="AL641" s="55" t="inlineStr">
        <is>
          <t>ABERTA · TRILHA</t>
        </is>
      </c>
      <c r="AM641" s="120" t="n"/>
      <c r="AN641" s="21" t="n"/>
      <c r="AR641" s="22" t="n"/>
      <c r="AS641" s="120" t="n"/>
    </row>
    <row r="642" hidden="1" outlineLevel="1">
      <c r="A642" s="8" t="n"/>
      <c r="B642" s="14" t="n"/>
      <c r="C642" s="120" t="n"/>
      <c r="D642" s="120" t="n"/>
      <c r="E642" s="120" t="n"/>
      <c r="F642" s="120" t="n"/>
      <c r="G642" s="120" t="n"/>
      <c r="I642" s="23" t="n"/>
      <c r="J642" s="25" t="n"/>
      <c r="K642" s="125" t="n"/>
      <c r="L642" s="23" t="n"/>
      <c r="M642" s="25" t="n"/>
      <c r="N642" s="120" t="n"/>
      <c r="O642" s="124" t="n"/>
      <c r="P642" s="124" t="n"/>
      <c r="Q642" s="124" t="n"/>
      <c r="R642" s="124" t="n"/>
      <c r="S642" s="124" t="n"/>
      <c r="T642" s="120" t="n"/>
      <c r="U642" s="21" t="n"/>
      <c r="Y642" s="22" t="n"/>
      <c r="Z642" s="120" t="n"/>
      <c r="AB642" s="23" t="n"/>
      <c r="AC642" s="25" t="n"/>
      <c r="AD642" s="125" t="n"/>
      <c r="AE642" s="23" t="n"/>
      <c r="AF642" s="25" t="n"/>
      <c r="AG642" s="120" t="n"/>
      <c r="AH642" s="124" t="n"/>
      <c r="AI642" s="124" t="n"/>
      <c r="AJ642" s="124" t="n"/>
      <c r="AK642" s="124" t="n"/>
      <c r="AL642" s="124" t="n"/>
      <c r="AM642" s="120" t="n"/>
      <c r="AN642" s="21" t="n"/>
      <c r="AR642" s="22" t="n"/>
      <c r="AS642" s="120" t="n"/>
    </row>
    <row r="643" hidden="1" outlineLevel="1">
      <c r="A643" s="8" t="n"/>
      <c r="B643" s="14" t="n"/>
      <c r="C643" s="120" t="n"/>
      <c r="D643" s="120" t="n"/>
      <c r="E643" s="120" t="n"/>
      <c r="F643" s="120" t="n"/>
      <c r="G643" s="120" t="n"/>
      <c r="I643" s="120" t="n"/>
      <c r="J643" s="120" t="n"/>
      <c r="K643" s="120" t="n"/>
      <c r="L643" s="120" t="n"/>
      <c r="M643" s="120" t="n"/>
      <c r="N643" s="120" t="n"/>
      <c r="O643" s="125" t="n"/>
      <c r="P643" s="125" t="n"/>
      <c r="Q643" s="125" t="n"/>
      <c r="R643" s="125" t="n"/>
      <c r="S643" s="125" t="n"/>
      <c r="T643" s="120" t="n"/>
      <c r="U643" s="23" t="n"/>
      <c r="V643" s="24" t="n"/>
      <c r="W643" s="24" t="n"/>
      <c r="X643" s="24" t="n"/>
      <c r="Y643" s="25" t="n"/>
      <c r="Z643" s="120" t="n"/>
      <c r="AB643" s="120" t="n"/>
      <c r="AC643" s="120" t="n"/>
      <c r="AD643" s="120" t="n"/>
      <c r="AE643" s="120" t="n"/>
      <c r="AF643" s="120" t="n"/>
      <c r="AG643" s="120" t="n"/>
      <c r="AH643" s="125" t="n"/>
      <c r="AI643" s="125" t="n"/>
      <c r="AJ643" s="125" t="n"/>
      <c r="AK643" s="125" t="n"/>
      <c r="AL643" s="125" t="n"/>
      <c r="AM643" s="120" t="n"/>
      <c r="AN643" s="23" t="n"/>
      <c r="AO643" s="24" t="n"/>
      <c r="AP643" s="24" t="n"/>
      <c r="AQ643" s="24" t="n"/>
      <c r="AR643" s="25" t="n"/>
      <c r="AS643" s="120" t="n"/>
    </row>
    <row r="644" hidden="1" outlineLevel="1">
      <c r="A644" s="8" t="n"/>
      <c r="B644" s="14" t="n"/>
      <c r="C644" s="120" t="n"/>
      <c r="D644" s="120" t="n"/>
      <c r="E644" s="120" t="n"/>
      <c r="F644" s="120" t="n"/>
      <c r="G644" s="120" t="n"/>
      <c r="I644" s="120" t="n"/>
      <c r="J644" s="120" t="n"/>
      <c r="K644" s="120" t="n"/>
      <c r="L644" s="120" t="n"/>
      <c r="M644" s="120" t="n"/>
      <c r="N644" s="120" t="n"/>
      <c r="O644" s="120" t="n"/>
      <c r="P644" s="120" t="n"/>
      <c r="Q644" s="120" t="n"/>
      <c r="R644" s="120" t="n"/>
      <c r="S644" s="120" t="n"/>
      <c r="T644" s="120" t="n"/>
      <c r="U644" s="120" t="n"/>
      <c r="V644" s="120" t="n"/>
      <c r="W644" s="120" t="n"/>
      <c r="X644" s="120" t="n"/>
      <c r="Y644" s="120" t="n"/>
      <c r="Z644" s="120" t="n"/>
      <c r="AB644" s="120" t="n"/>
      <c r="AC644" s="120" t="n"/>
      <c r="AD644" s="120" t="n"/>
      <c r="AE644" s="120" t="n"/>
      <c r="AF644" s="120" t="n"/>
      <c r="AG644" s="120" t="n"/>
      <c r="AH644" s="120" t="n"/>
      <c r="AI644" s="120" t="n"/>
      <c r="AJ644" s="120" t="n"/>
      <c r="AK644" s="120" t="n"/>
      <c r="AL644" s="120" t="n"/>
      <c r="AM644" s="120" t="n"/>
      <c r="AN644" s="120" t="n"/>
      <c r="AO644" s="120" t="n"/>
      <c r="AP644" s="120" t="n"/>
      <c r="AQ644" s="120" t="n"/>
      <c r="AR644" s="120" t="n"/>
      <c r="AS644" s="120" t="n"/>
    </row>
    <row r="645" hidden="1" outlineLevel="1">
      <c r="A645" s="8" t="n"/>
      <c r="B645" s="14" t="n"/>
      <c r="C645" s="120" t="n"/>
      <c r="D645" s="120" t="n"/>
      <c r="E645" s="120" t="n"/>
      <c r="F645" s="120" t="n"/>
      <c r="G645" s="120"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0"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0" t="n"/>
    </row>
    <row r="646" hidden="1" outlineLevel="1">
      <c r="A646" s="8" t="n"/>
      <c r="B646" s="14" t="n"/>
      <c r="C646" s="120" t="n"/>
      <c r="D646" s="120" t="n"/>
      <c r="E646" s="120" t="n"/>
      <c r="F646" s="120" t="n"/>
      <c r="G646" s="120" t="n"/>
      <c r="I646" s="116" t="n"/>
      <c r="J646" s="19" t="n"/>
      <c r="K646" s="19" t="n"/>
      <c r="L646" s="19" t="n"/>
      <c r="M646" s="19" t="n"/>
      <c r="N646" s="19" t="n"/>
      <c r="O646" s="19" t="n"/>
      <c r="P646" s="19" t="n"/>
      <c r="Q646" s="19" t="n"/>
      <c r="R646" s="19" t="n"/>
      <c r="S646" s="19" t="n"/>
      <c r="T646" s="19" t="n"/>
      <c r="U646" s="19" t="n"/>
      <c r="V646" s="19" t="n"/>
      <c r="W646" s="19" t="n"/>
      <c r="X646" s="19" t="n"/>
      <c r="Y646" s="20" t="n"/>
      <c r="Z646" s="120" t="n"/>
      <c r="AB646" s="116" t="n"/>
      <c r="AC646" s="19" t="n"/>
      <c r="AD646" s="19" t="n"/>
      <c r="AE646" s="19" t="n"/>
      <c r="AF646" s="19" t="n"/>
      <c r="AG646" s="19" t="n"/>
      <c r="AH646" s="19" t="n"/>
      <c r="AI646" s="19" t="n"/>
      <c r="AJ646" s="19" t="n"/>
      <c r="AK646" s="19" t="n"/>
      <c r="AL646" s="19" t="n"/>
      <c r="AM646" s="19" t="n"/>
      <c r="AN646" s="19" t="n"/>
      <c r="AO646" s="19" t="n"/>
      <c r="AP646" s="19" t="n"/>
      <c r="AQ646" s="19" t="n"/>
      <c r="AR646" s="20" t="n"/>
      <c r="AS646" s="120" t="n"/>
    </row>
    <row r="647" hidden="1" outlineLevel="1">
      <c r="A647" s="8" t="n"/>
      <c r="B647" s="14" t="n"/>
      <c r="C647" s="120" t="n"/>
      <c r="D647" s="120" t="n"/>
      <c r="E647" s="120" t="n"/>
      <c r="F647" s="120" t="n"/>
      <c r="G647" s="120" t="n"/>
      <c r="I647" s="23" t="n"/>
      <c r="J647" s="24" t="n"/>
      <c r="K647" s="24" t="n"/>
      <c r="L647" s="24" t="n"/>
      <c r="M647" s="24" t="n"/>
      <c r="N647" s="24" t="n"/>
      <c r="O647" s="24" t="n"/>
      <c r="P647" s="24" t="n"/>
      <c r="Q647" s="24" t="n"/>
      <c r="R647" s="24" t="n"/>
      <c r="S647" s="24" t="n"/>
      <c r="T647" s="24" t="n"/>
      <c r="U647" s="24" t="n"/>
      <c r="V647" s="24" t="n"/>
      <c r="W647" s="24" t="n"/>
      <c r="X647" s="24" t="n"/>
      <c r="Y647" s="25" t="n"/>
      <c r="Z647" s="120"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0" t="n"/>
    </row>
    <row r="648" hidden="1" outlineLevel="1">
      <c r="A648" s="8" t="n"/>
      <c r="B648" s="14" t="n"/>
      <c r="C648" s="120" t="n"/>
      <c r="D648" s="120" t="n"/>
      <c r="E648" s="120" t="n"/>
      <c r="F648" s="120" t="n"/>
      <c r="G648" s="120" t="n"/>
      <c r="I648" s="120" t="n"/>
      <c r="J648" s="120" t="n"/>
      <c r="K648" s="120" t="n"/>
      <c r="L648" s="120" t="n"/>
      <c r="M648" s="120" t="n"/>
      <c r="N648" s="120" t="n"/>
      <c r="O648" s="120" t="n"/>
      <c r="P648" s="120" t="n"/>
      <c r="Q648" s="120" t="n"/>
      <c r="R648" s="120" t="n"/>
      <c r="S648" s="120" t="n"/>
      <c r="T648" s="120" t="n"/>
      <c r="U648" s="120" t="n"/>
      <c r="V648" s="120" t="n"/>
      <c r="W648" s="120" t="n"/>
      <c r="X648" s="120" t="n"/>
      <c r="Y648" s="120" t="n"/>
      <c r="Z648" s="120" t="n"/>
      <c r="AB648" s="120" t="n"/>
      <c r="AC648" s="120" t="n"/>
      <c r="AD648" s="120" t="n"/>
      <c r="AE648" s="120" t="n"/>
      <c r="AF648" s="120" t="n"/>
      <c r="AG648" s="120" t="n"/>
      <c r="AH648" s="120" t="n"/>
      <c r="AI648" s="120" t="n"/>
      <c r="AJ648" s="120" t="n"/>
      <c r="AK648" s="120" t="n"/>
      <c r="AL648" s="120" t="n"/>
      <c r="AM648" s="120" t="n"/>
      <c r="AN648" s="120" t="n"/>
      <c r="AO648" s="120" t="n"/>
      <c r="AP648" s="120" t="n"/>
      <c r="AQ648" s="120" t="n"/>
      <c r="AR648" s="120" t="n"/>
      <c r="AS648" s="120" t="n"/>
    </row>
    <row r="649" hidden="1" outlineLevel="1">
      <c r="A649" s="8" t="n"/>
      <c r="B649" s="14" t="n"/>
      <c r="C649" s="120" t="n"/>
      <c r="D649" s="120" t="n"/>
      <c r="E649" s="120" t="n"/>
      <c r="F649" s="120" t="n"/>
      <c r="G649" s="120" t="n"/>
      <c r="I649" s="133">
        <f>DADOS_INVOC!$HT$5</f>
        <v/>
      </c>
      <c r="J649" s="16" t="n"/>
      <c r="K649" s="16" t="n"/>
      <c r="L649" s="16" t="n"/>
      <c r="M649" s="16" t="n"/>
      <c r="N649" s="16" t="n"/>
      <c r="O649" s="16" t="n"/>
      <c r="P649" s="16" t="n"/>
      <c r="Q649" s="16" t="n"/>
      <c r="R649" s="16" t="n"/>
      <c r="S649" s="16" t="n"/>
      <c r="T649" s="16" t="n"/>
      <c r="U649" s="16" t="n"/>
      <c r="V649" s="16" t="n"/>
      <c r="W649" s="16" t="n"/>
      <c r="X649" s="16" t="n"/>
      <c r="Y649" s="17" t="n"/>
      <c r="Z649" s="120" t="n"/>
      <c r="AB649" s="133">
        <f>DADOS_INVOC!$HT$11</f>
        <v/>
      </c>
      <c r="AC649" s="16" t="n"/>
      <c r="AD649" s="16" t="n"/>
      <c r="AE649" s="16" t="n"/>
      <c r="AF649" s="16" t="n"/>
      <c r="AG649" s="16" t="n"/>
      <c r="AH649" s="16" t="n"/>
      <c r="AI649" s="16" t="n"/>
      <c r="AJ649" s="16" t="n"/>
      <c r="AK649" s="16" t="n"/>
      <c r="AL649" s="16" t="n"/>
      <c r="AM649" s="16" t="n"/>
      <c r="AN649" s="16" t="n"/>
      <c r="AO649" s="16" t="n"/>
      <c r="AP649" s="16" t="n"/>
      <c r="AQ649" s="16" t="n"/>
      <c r="AR649" s="17" t="n"/>
      <c r="AS649" s="120" t="n"/>
    </row>
    <row r="650" hidden="1" outlineLevel="1">
      <c r="A650" s="8" t="n"/>
      <c r="B650" s="14" t="n"/>
      <c r="C650" s="120" t="n"/>
      <c r="D650" s="120" t="n"/>
      <c r="E650" s="120" t="n"/>
      <c r="F650" s="120" t="n"/>
      <c r="G650" s="120" t="n"/>
      <c r="I650" s="120" t="n"/>
      <c r="J650" s="120" t="n"/>
      <c r="K650" s="120" t="n"/>
      <c r="L650" s="120" t="n"/>
      <c r="M650" s="120" t="n"/>
      <c r="N650" s="120" t="n"/>
      <c r="O650" s="120" t="n"/>
      <c r="P650" s="120" t="n"/>
      <c r="Q650" s="120" t="n"/>
      <c r="R650" s="120" t="n"/>
      <c r="S650" s="120" t="n"/>
      <c r="T650" s="120" t="n"/>
      <c r="U650" s="120" t="n"/>
      <c r="V650" s="120" t="n"/>
      <c r="W650" s="120" t="n"/>
      <c r="X650" s="120" t="n"/>
      <c r="Y650" s="120" t="n"/>
      <c r="Z650" s="120" t="n"/>
      <c r="AB650" s="120" t="n"/>
      <c r="AC650" s="120" t="n"/>
      <c r="AD650" s="120" t="n"/>
      <c r="AE650" s="120" t="n"/>
      <c r="AF650" s="120" t="n"/>
      <c r="AG650" s="120" t="n"/>
      <c r="AH650" s="120" t="n"/>
      <c r="AI650" s="120" t="n"/>
      <c r="AJ650" s="120" t="n"/>
      <c r="AK650" s="120" t="n"/>
      <c r="AL650" s="120" t="n"/>
      <c r="AM650" s="120" t="n"/>
      <c r="AN650" s="120" t="n"/>
      <c r="AO650" s="120" t="n"/>
      <c r="AP650" s="120" t="n"/>
      <c r="AQ650" s="120" t="n"/>
      <c r="AR650" s="120" t="n"/>
      <c r="AS650" s="120" t="n"/>
    </row>
    <row r="651" hidden="1" outlineLevel="1">
      <c r="A651" s="8" t="n"/>
      <c r="B651" s="14" t="n"/>
      <c r="C651" s="120" t="n"/>
      <c r="D651" s="120" t="n"/>
      <c r="E651" s="120" t="n"/>
      <c r="F651" s="120" t="n"/>
      <c r="G651" s="120" t="n"/>
      <c r="I651" s="55">
        <f>DADOS_INVOC!$PM$41</f>
        <v/>
      </c>
      <c r="J651" s="16" t="n"/>
      <c r="K651" s="16" t="n"/>
      <c r="L651" s="16" t="n"/>
      <c r="M651" s="17" t="n"/>
      <c r="N651" s="120" t="n"/>
      <c r="O651" s="55">
        <f>DADOS_INVOC!$PM$42</f>
        <v/>
      </c>
      <c r="P651" s="16" t="n"/>
      <c r="Q651" s="16" t="n"/>
      <c r="R651" s="16" t="n"/>
      <c r="S651" s="17" t="n"/>
      <c r="T651" s="120" t="n"/>
      <c r="U651" s="55">
        <f>DADOS_INVOC!$PM$43</f>
        <v/>
      </c>
      <c r="V651" s="16" t="n"/>
      <c r="W651" s="16" t="n"/>
      <c r="X651" s="16" t="n"/>
      <c r="Y651" s="17" t="n"/>
      <c r="Z651" s="120" t="n"/>
      <c r="AB651" s="55">
        <f>DADOS_INVOC!$PM$119</f>
        <v/>
      </c>
      <c r="AC651" s="16" t="n"/>
      <c r="AD651" s="16" t="n"/>
      <c r="AE651" s="16" t="n"/>
      <c r="AF651" s="17" t="n"/>
      <c r="AG651" s="120" t="n"/>
      <c r="AH651" s="55">
        <f>DADOS_INVOC!$PM$120</f>
        <v/>
      </c>
      <c r="AI651" s="16" t="n"/>
      <c r="AJ651" s="16" t="n"/>
      <c r="AK651" s="16" t="n"/>
      <c r="AL651" s="17" t="n"/>
      <c r="AM651" s="120" t="n"/>
      <c r="AN651" s="55">
        <f>DADOS_INVOC!$PM$121</f>
        <v/>
      </c>
      <c r="AO651" s="16" t="n"/>
      <c r="AP651" s="16" t="n"/>
      <c r="AQ651" s="16" t="n"/>
      <c r="AR651" s="17" t="n"/>
      <c r="AS651" s="120" t="n"/>
    </row>
    <row r="652" hidden="1" outlineLevel="1">
      <c r="A652" s="8" t="n"/>
      <c r="B652" s="14" t="n"/>
      <c r="C652" s="120" t="n"/>
      <c r="D652" s="120" t="n"/>
      <c r="E652" s="120" t="n"/>
      <c r="F652" s="120" t="n"/>
      <c r="G652" s="120" t="n"/>
      <c r="I652" s="127" t="n">
        <v>0</v>
      </c>
      <c r="J652" s="115" t="n"/>
      <c r="K652" s="16" t="n"/>
      <c r="L652" s="17" t="n"/>
      <c r="M652" s="128">
        <f>DADOS_INVOC!$PK$41</f>
        <v/>
      </c>
      <c r="N652" s="120" t="n"/>
      <c r="O652" s="127" t="n">
        <v>1</v>
      </c>
      <c r="P652" s="115" t="n"/>
      <c r="Q652" s="16" t="n"/>
      <c r="R652" s="17" t="n"/>
      <c r="S652" s="128">
        <f>DADOS_INVOC!$PK$42</f>
        <v/>
      </c>
      <c r="T652" s="120" t="n"/>
      <c r="U652" s="127" t="n">
        <v>1</v>
      </c>
      <c r="V652" s="115" t="n"/>
      <c r="W652" s="16" t="n"/>
      <c r="X652" s="17" t="n"/>
      <c r="Y652" s="128">
        <f>DADOS_INVOC!$PK$43</f>
        <v/>
      </c>
      <c r="Z652" s="120" t="n"/>
      <c r="AB652" s="127" t="n">
        <v>0</v>
      </c>
      <c r="AC652" s="115" t="n"/>
      <c r="AD652" s="16" t="n"/>
      <c r="AE652" s="17" t="n"/>
      <c r="AF652" s="128">
        <f>DADOS_INVOC!$PK$119</f>
        <v/>
      </c>
      <c r="AG652" s="120" t="n"/>
      <c r="AH652" s="127" t="n">
        <v>1</v>
      </c>
      <c r="AI652" s="115" t="n"/>
      <c r="AJ652" s="16" t="n"/>
      <c r="AK652" s="17" t="n"/>
      <c r="AL652" s="128">
        <f>DADOS_INVOC!$PK$120</f>
        <v/>
      </c>
      <c r="AM652" s="120" t="n"/>
      <c r="AN652" s="127" t="n">
        <v>1</v>
      </c>
      <c r="AO652" s="115" t="n"/>
      <c r="AP652" s="16" t="n"/>
      <c r="AQ652" s="17" t="n"/>
      <c r="AR652" s="128">
        <f>DADOS_INVOC!$PK$121</f>
        <v/>
      </c>
      <c r="AS652" s="120" t="n"/>
    </row>
    <row r="653" hidden="1" outlineLevel="2">
      <c r="A653" s="8" t="n"/>
      <c r="B653" s="14" t="n"/>
      <c r="C653" s="120" t="n"/>
      <c r="D653" s="120" t="n"/>
      <c r="E653" s="120" t="n"/>
      <c r="F653" s="120" t="n"/>
      <c r="G653" s="120" t="n"/>
      <c r="I653" s="55" t="inlineStr">
        <is>
          <t>COMO É</t>
        </is>
      </c>
      <c r="J653" s="16" t="n"/>
      <c r="K653" s="16" t="n"/>
      <c r="L653" s="16" t="n"/>
      <c r="M653" s="17" t="n"/>
      <c r="N653" s="120" t="n"/>
      <c r="O653" s="55" t="inlineStr">
        <is>
          <t>COMO É</t>
        </is>
      </c>
      <c r="P653" s="16" t="n"/>
      <c r="Q653" s="16" t="n"/>
      <c r="R653" s="16" t="n"/>
      <c r="S653" s="17" t="n"/>
      <c r="T653" s="120" t="n"/>
      <c r="U653" s="55" t="inlineStr">
        <is>
          <t>COMO É</t>
        </is>
      </c>
      <c r="V653" s="16" t="n"/>
      <c r="W653" s="16" t="n"/>
      <c r="X653" s="16" t="n"/>
      <c r="Y653" s="17" t="n"/>
      <c r="Z653" s="120" t="n"/>
      <c r="AB653" s="55" t="inlineStr">
        <is>
          <t>COMO É</t>
        </is>
      </c>
      <c r="AC653" s="16" t="n"/>
      <c r="AD653" s="16" t="n"/>
      <c r="AE653" s="16" t="n"/>
      <c r="AF653" s="17" t="n"/>
      <c r="AG653" s="120" t="n"/>
      <c r="AH653" s="55" t="inlineStr">
        <is>
          <t>COMO É</t>
        </is>
      </c>
      <c r="AI653" s="16" t="n"/>
      <c r="AJ653" s="16" t="n"/>
      <c r="AK653" s="16" t="n"/>
      <c r="AL653" s="17" t="n"/>
      <c r="AM653" s="120" t="n"/>
      <c r="AN653" s="55" t="inlineStr">
        <is>
          <t>COMO É</t>
        </is>
      </c>
      <c r="AO653" s="16" t="n"/>
      <c r="AP653" s="16" t="n"/>
      <c r="AQ653" s="16" t="n"/>
      <c r="AR653" s="17" t="n"/>
      <c r="AS653" s="120" t="n"/>
    </row>
    <row r="654" hidden="1" outlineLevel="2">
      <c r="A654" s="8" t="n"/>
      <c r="B654" s="14" t="n"/>
      <c r="C654" s="120" t="n"/>
      <c r="D654" s="120" t="n"/>
      <c r="E654" s="120" t="n"/>
      <c r="F654" s="120" t="n"/>
      <c r="G654" s="120" t="n"/>
      <c r="I654" s="116" t="n"/>
      <c r="J654" s="19" t="n"/>
      <c r="K654" s="19" t="n"/>
      <c r="L654" s="19" t="n"/>
      <c r="M654" s="20" t="n"/>
      <c r="N654" s="120" t="n"/>
      <c r="O654" s="116" t="n"/>
      <c r="P654" s="19" t="n"/>
      <c r="Q654" s="19" t="n"/>
      <c r="R654" s="19" t="n"/>
      <c r="S654" s="20" t="n"/>
      <c r="T654" s="120" t="n"/>
      <c r="U654" s="116" t="n"/>
      <c r="V654" s="19" t="n"/>
      <c r="W654" s="19" t="n"/>
      <c r="X654" s="19" t="n"/>
      <c r="Y654" s="20" t="n"/>
      <c r="Z654" s="120" t="n"/>
      <c r="AB654" s="116" t="n"/>
      <c r="AC654" s="19" t="n"/>
      <c r="AD654" s="19" t="n"/>
      <c r="AE654" s="19" t="n"/>
      <c r="AF654" s="20" t="n"/>
      <c r="AG654" s="120" t="n"/>
      <c r="AH654" s="116" t="n"/>
      <c r="AI654" s="19" t="n"/>
      <c r="AJ654" s="19" t="n"/>
      <c r="AK654" s="19" t="n"/>
      <c r="AL654" s="20" t="n"/>
      <c r="AM654" s="120" t="n"/>
      <c r="AN654" s="116" t="n"/>
      <c r="AO654" s="19" t="n"/>
      <c r="AP654" s="19" t="n"/>
      <c r="AQ654" s="19" t="n"/>
      <c r="AR654" s="20" t="n"/>
      <c r="AS654" s="120" t="n"/>
    </row>
    <row r="655" hidden="1" outlineLevel="2">
      <c r="A655" s="8" t="n"/>
      <c r="B655" s="14" t="n"/>
      <c r="C655" s="120" t="n"/>
      <c r="D655" s="120" t="n"/>
      <c r="E655" s="120" t="n"/>
      <c r="F655" s="120" t="n"/>
      <c r="G655" s="120" t="n"/>
      <c r="I655" s="21" t="n"/>
      <c r="M655" s="22" t="n"/>
      <c r="N655" s="120" t="n"/>
      <c r="O655" s="21" t="n"/>
      <c r="S655" s="22" t="n"/>
      <c r="T655" s="120" t="n"/>
      <c r="U655" s="21" t="n"/>
      <c r="Y655" s="22" t="n"/>
      <c r="Z655" s="120" t="n"/>
      <c r="AB655" s="21" t="n"/>
      <c r="AF655" s="22" t="n"/>
      <c r="AG655" s="120" t="n"/>
      <c r="AH655" s="21" t="n"/>
      <c r="AL655" s="22" t="n"/>
      <c r="AM655" s="120" t="n"/>
      <c r="AN655" s="21" t="n"/>
      <c r="AR655" s="22" t="n"/>
      <c r="AS655" s="120" t="n"/>
    </row>
    <row r="656" hidden="1" outlineLevel="2">
      <c r="A656" s="8" t="n"/>
      <c r="B656" s="14" t="n"/>
      <c r="C656" s="120" t="n"/>
      <c r="D656" s="120" t="n"/>
      <c r="E656" s="120" t="n"/>
      <c r="F656" s="120" t="n"/>
      <c r="G656" s="120" t="n"/>
      <c r="I656" s="23" t="n"/>
      <c r="J656" s="24" t="n"/>
      <c r="K656" s="24" t="n"/>
      <c r="L656" s="24" t="n"/>
      <c r="M656" s="25" t="n"/>
      <c r="N656" s="120" t="n"/>
      <c r="O656" s="23" t="n"/>
      <c r="P656" s="24" t="n"/>
      <c r="Q656" s="24" t="n"/>
      <c r="R656" s="24" t="n"/>
      <c r="S656" s="25" t="n"/>
      <c r="T656" s="120" t="n"/>
      <c r="U656" s="23" t="n"/>
      <c r="V656" s="24" t="n"/>
      <c r="W656" s="24" t="n"/>
      <c r="X656" s="24" t="n"/>
      <c r="Y656" s="25" t="n"/>
      <c r="Z656" s="120" t="n"/>
      <c r="AB656" s="23" t="n"/>
      <c r="AC656" s="24" t="n"/>
      <c r="AD656" s="24" t="n"/>
      <c r="AE656" s="24" t="n"/>
      <c r="AF656" s="25" t="n"/>
      <c r="AG656" s="120" t="n"/>
      <c r="AH656" s="23" t="n"/>
      <c r="AI656" s="24" t="n"/>
      <c r="AJ656" s="24" t="n"/>
      <c r="AK656" s="24" t="n"/>
      <c r="AL656" s="25" t="n"/>
      <c r="AM656" s="120" t="n"/>
      <c r="AN656" s="23" t="n"/>
      <c r="AO656" s="24" t="n"/>
      <c r="AP656" s="24" t="n"/>
      <c r="AQ656" s="24" t="n"/>
      <c r="AR656" s="25" t="n"/>
      <c r="AS656" s="120" t="n"/>
    </row>
    <row r="657" hidden="1" outlineLevel="1">
      <c r="A657" s="8" t="n"/>
      <c r="B657" s="14" t="n"/>
      <c r="C657" s="120" t="n"/>
      <c r="D657" s="120" t="n"/>
      <c r="E657" s="120" t="n"/>
      <c r="F657" s="120" t="n"/>
      <c r="G657" s="120" t="n"/>
      <c r="I657" s="124" t="inlineStr">
        <is>
          <t>Projétil</t>
        </is>
      </c>
      <c r="J657" s="17" t="n"/>
      <c r="K657" s="68">
        <f>DADOS_INVOC!$PR$41</f>
        <v/>
      </c>
      <c r="L657" s="17" t="n"/>
      <c r="M657" s="68">
        <f>DADOS_INVOC!$PN$41</f>
        <v/>
      </c>
      <c r="N657" s="120" t="n"/>
      <c r="O657" s="124" t="inlineStr">
        <is>
          <t>Projétil</t>
        </is>
      </c>
      <c r="P657" s="17" t="n"/>
      <c r="Q657" s="68">
        <f>DADOS_INVOC!$PR$42</f>
        <v/>
      </c>
      <c r="R657" s="17" t="n"/>
      <c r="S657" s="68">
        <f>DADOS_INVOC!$PN$42</f>
        <v/>
      </c>
      <c r="T657" s="120" t="n"/>
      <c r="U657" s="124" t="inlineStr">
        <is>
          <t>Projétil</t>
        </is>
      </c>
      <c r="V657" s="17" t="n"/>
      <c r="W657" s="68">
        <f>DADOS_INVOC!$PR$43</f>
        <v/>
      </c>
      <c r="X657" s="17" t="n"/>
      <c r="Y657" s="68">
        <f>DADOS_INVOC!$PN$43</f>
        <v/>
      </c>
      <c r="Z657" s="120" t="n"/>
      <c r="AB657" s="124" t="inlineStr">
        <is>
          <t>Projétil</t>
        </is>
      </c>
      <c r="AC657" s="17" t="n"/>
      <c r="AD657" s="68">
        <f>DADOS_INVOC!$PR$119</f>
        <v/>
      </c>
      <c r="AE657" s="17" t="n"/>
      <c r="AF657" s="68">
        <f>DADOS_INVOC!$PN$119</f>
        <v/>
      </c>
      <c r="AG657" s="120" t="n"/>
      <c r="AH657" s="124" t="inlineStr">
        <is>
          <t>Projétil</t>
        </is>
      </c>
      <c r="AI657" s="17" t="n"/>
      <c r="AJ657" s="68">
        <f>DADOS_INVOC!$PR$120</f>
        <v/>
      </c>
      <c r="AK657" s="17" t="n"/>
      <c r="AL657" s="68">
        <f>DADOS_INVOC!$PN$120</f>
        <v/>
      </c>
      <c r="AM657" s="120" t="n"/>
      <c r="AN657" s="124" t="inlineStr">
        <is>
          <t>Projétil</t>
        </is>
      </c>
      <c r="AO657" s="17" t="n"/>
      <c r="AP657" s="68">
        <f>DADOS_INVOC!$PR$121</f>
        <v/>
      </c>
      <c r="AQ657" s="17" t="n"/>
      <c r="AR657" s="68">
        <f>DADOS_INVOC!$PN$121</f>
        <v/>
      </c>
      <c r="AS657" s="120" t="n"/>
    </row>
    <row r="658" hidden="1" outlineLevel="1">
      <c r="A658" s="8" t="n"/>
      <c r="B658" s="14" t="n"/>
      <c r="C658" s="120" t="n"/>
      <c r="D658" s="120" t="n"/>
      <c r="E658" s="120" t="n"/>
      <c r="F658" s="120" t="n"/>
      <c r="G658" s="120" t="n"/>
      <c r="I658" s="124" t="n"/>
      <c r="J658" s="17" t="n"/>
      <c r="K658" s="124" t="n"/>
      <c r="L658" s="16" t="n"/>
      <c r="M658" s="17" t="n"/>
      <c r="N658" s="120" t="n"/>
      <c r="O658" s="124" t="n"/>
      <c r="P658" s="17" t="n"/>
      <c r="Q658" s="124" t="n"/>
      <c r="R658" s="16" t="n"/>
      <c r="S658" s="17" t="n"/>
      <c r="T658" s="120" t="n"/>
      <c r="U658" s="124" t="n"/>
      <c r="V658" s="17" t="n"/>
      <c r="W658" s="124" t="n"/>
      <c r="X658" s="16" t="n"/>
      <c r="Y658" s="17" t="n"/>
      <c r="Z658" s="120" t="n"/>
      <c r="AB658" s="124" t="n"/>
      <c r="AC658" s="17" t="n"/>
      <c r="AD658" s="124" t="n"/>
      <c r="AE658" s="16" t="n"/>
      <c r="AF658" s="17" t="n"/>
      <c r="AG658" s="120" t="n"/>
      <c r="AH658" s="124" t="n"/>
      <c r="AI658" s="17" t="n"/>
      <c r="AJ658" s="124" t="n"/>
      <c r="AK658" s="16" t="n"/>
      <c r="AL658" s="17" t="n"/>
      <c r="AM658" s="120" t="n"/>
      <c r="AN658" s="124" t="n"/>
      <c r="AO658" s="17" t="n"/>
      <c r="AP658" s="124" t="n"/>
      <c r="AQ658" s="16" t="n"/>
      <c r="AR658" s="17" t="n"/>
      <c r="AS658" s="120" t="n"/>
    </row>
    <row r="659" hidden="1" outlineLevel="1">
      <c r="A659" s="8" t="n"/>
      <c r="B659" s="14" t="n"/>
      <c r="C659" s="120" t="n"/>
      <c r="D659" s="120" t="n"/>
      <c r="E659" s="120" t="n"/>
      <c r="F659" s="120" t="n"/>
      <c r="G659" s="120" t="n"/>
      <c r="I659" s="124">
        <f>DADOS_INVOC!$PO$41</f>
        <v/>
      </c>
      <c r="J659" s="17" t="n"/>
      <c r="K659" s="124">
        <f>DADOS_INVOC!$PQ$41</f>
        <v/>
      </c>
      <c r="L659" s="16" t="n"/>
      <c r="M659" s="17" t="n"/>
      <c r="N659" s="120" t="n"/>
      <c r="O659" s="124">
        <f>DADOS_INVOC!$PO$42</f>
        <v/>
      </c>
      <c r="P659" s="17" t="n"/>
      <c r="Q659" s="124">
        <f>DADOS_INVOC!$PQ$42</f>
        <v/>
      </c>
      <c r="R659" s="16" t="n"/>
      <c r="S659" s="17" t="n"/>
      <c r="T659" s="120" t="n"/>
      <c r="U659" s="124">
        <f>DADOS_INVOC!$PO$43</f>
        <v/>
      </c>
      <c r="V659" s="17" t="n"/>
      <c r="W659" s="124">
        <f>DADOS_INVOC!$PQ$43</f>
        <v/>
      </c>
      <c r="X659" s="16" t="n"/>
      <c r="Y659" s="17" t="n"/>
      <c r="Z659" s="120" t="n"/>
      <c r="AB659" s="124">
        <f>DADOS_INVOC!$PO$119</f>
        <v/>
      </c>
      <c r="AC659" s="17" t="n"/>
      <c r="AD659" s="124">
        <f>DADOS_INVOC!$PQ$119</f>
        <v/>
      </c>
      <c r="AE659" s="16" t="n"/>
      <c r="AF659" s="17" t="n"/>
      <c r="AG659" s="120" t="n"/>
      <c r="AH659" s="124">
        <f>DADOS_INVOC!$PO$120</f>
        <v/>
      </c>
      <c r="AI659" s="17" t="n"/>
      <c r="AJ659" s="124">
        <f>DADOS_INVOC!$PQ$120</f>
        <v/>
      </c>
      <c r="AK659" s="16" t="n"/>
      <c r="AL659" s="17" t="n"/>
      <c r="AM659" s="120" t="n"/>
      <c r="AN659" s="124">
        <f>DADOS_INVOC!$PO$121</f>
        <v/>
      </c>
      <c r="AO659" s="17" t="n"/>
      <c r="AP659" s="124">
        <f>DADOS_INVOC!$PQ$121</f>
        <v/>
      </c>
      <c r="AQ659" s="16" t="n"/>
      <c r="AR659" s="17" t="n"/>
      <c r="AS659" s="120" t="n"/>
    </row>
    <row r="660" hidden="1" outlineLevel="1">
      <c r="A660" s="8" t="n"/>
      <c r="B660" s="14" t="n"/>
      <c r="C660" s="120" t="n"/>
      <c r="D660" s="120" t="n"/>
      <c r="E660" s="120" t="n"/>
      <c r="F660" s="120" t="n"/>
      <c r="G660" s="120" t="n"/>
      <c r="I660" s="129">
        <f>DADOS_INVOC!$PW$41</f>
        <v/>
      </c>
      <c r="J660" s="16" t="n"/>
      <c r="K660" s="16" t="n"/>
      <c r="L660" s="16" t="n"/>
      <c r="M660" s="17" t="n"/>
      <c r="N660" s="120" t="n"/>
      <c r="O660" s="129">
        <f>DADOS_INVOC!$PW$42</f>
        <v/>
      </c>
      <c r="P660" s="16" t="n"/>
      <c r="Q660" s="16" t="n"/>
      <c r="R660" s="16" t="n"/>
      <c r="S660" s="17" t="n"/>
      <c r="T660" s="120" t="n"/>
      <c r="U660" s="129">
        <f>DADOS_INVOC!$PW$43</f>
        <v/>
      </c>
      <c r="V660" s="16" t="n"/>
      <c r="W660" s="16" t="n"/>
      <c r="X660" s="16" t="n"/>
      <c r="Y660" s="17" t="n"/>
      <c r="Z660" s="120" t="n"/>
      <c r="AB660" s="129">
        <f>DADOS_INVOC!$PW$119</f>
        <v/>
      </c>
      <c r="AC660" s="16" t="n"/>
      <c r="AD660" s="16" t="n"/>
      <c r="AE660" s="16" t="n"/>
      <c r="AF660" s="17" t="n"/>
      <c r="AG660" s="120" t="n"/>
      <c r="AH660" s="129">
        <f>DADOS_INVOC!$PW$120</f>
        <v/>
      </c>
      <c r="AI660" s="16" t="n"/>
      <c r="AJ660" s="16" t="n"/>
      <c r="AK660" s="16" t="n"/>
      <c r="AL660" s="17" t="n"/>
      <c r="AM660" s="120" t="n"/>
      <c r="AN660" s="129">
        <f>DADOS_INVOC!$PW$121</f>
        <v/>
      </c>
      <c r="AO660" s="16" t="n"/>
      <c r="AP660" s="16" t="n"/>
      <c r="AQ660" s="16" t="n"/>
      <c r="AR660" s="17" t="n"/>
      <c r="AS660" s="120" t="n"/>
    </row>
    <row r="661" hidden="1" outlineLevel="2">
      <c r="A661" s="8" t="n"/>
      <c r="B661" s="14" t="n"/>
      <c r="C661" s="120" t="n"/>
      <c r="D661" s="120" t="n"/>
      <c r="E661" s="120" t="n"/>
      <c r="F661" s="120" t="n"/>
      <c r="G661" s="120" t="n"/>
      <c r="I661" s="55" t="inlineStr">
        <is>
          <t>MELHORIAS</t>
        </is>
      </c>
      <c r="J661" s="130" t="n"/>
      <c r="K661" s="16" t="n"/>
      <c r="L661" s="17" t="n"/>
      <c r="M661" s="129">
        <f>DADOS_INVOC!$PZ$41</f>
        <v/>
      </c>
      <c r="N661" s="120" t="n"/>
      <c r="O661" s="55" t="inlineStr">
        <is>
          <t>MELHORIAS</t>
        </is>
      </c>
      <c r="P661" s="130" t="n"/>
      <c r="Q661" s="16" t="n"/>
      <c r="R661" s="17" t="n"/>
      <c r="S661" s="129">
        <f>DADOS_INVOC!$PZ$42</f>
        <v/>
      </c>
      <c r="T661" s="120" t="n"/>
      <c r="U661" s="55" t="inlineStr">
        <is>
          <t>MELHORIAS</t>
        </is>
      </c>
      <c r="V661" s="130" t="n"/>
      <c r="W661" s="16" t="n"/>
      <c r="X661" s="17" t="n"/>
      <c r="Y661" s="129">
        <f>DADOS_INVOC!$PZ$43</f>
        <v/>
      </c>
      <c r="Z661" s="120" t="n"/>
      <c r="AB661" s="55" t="inlineStr">
        <is>
          <t>MELHORIAS</t>
        </is>
      </c>
      <c r="AC661" s="130" t="n"/>
      <c r="AD661" s="16" t="n"/>
      <c r="AE661" s="17" t="n"/>
      <c r="AF661" s="129">
        <f>DADOS_INVOC!$PZ$119</f>
        <v/>
      </c>
      <c r="AG661" s="120" t="n"/>
      <c r="AH661" s="55" t="inlineStr">
        <is>
          <t>MELHORIAS</t>
        </is>
      </c>
      <c r="AI661" s="130" t="n"/>
      <c r="AJ661" s="16" t="n"/>
      <c r="AK661" s="17" t="n"/>
      <c r="AL661" s="129">
        <f>DADOS_INVOC!$PZ$120</f>
        <v/>
      </c>
      <c r="AM661" s="120" t="n"/>
      <c r="AN661" s="55" t="inlineStr">
        <is>
          <t>MELHORIAS</t>
        </is>
      </c>
      <c r="AO661" s="130" t="n"/>
      <c r="AP661" s="16" t="n"/>
      <c r="AQ661" s="17" t="n"/>
      <c r="AR661" s="129">
        <f>DADOS_INVOC!$PZ$121</f>
        <v/>
      </c>
      <c r="AS661" s="120" t="n"/>
    </row>
    <row r="662" hidden="1" outlineLevel="2">
      <c r="A662" s="8" t="n"/>
      <c r="B662" s="14" t="n"/>
      <c r="C662" s="120" t="n"/>
      <c r="D662" s="120" t="n"/>
      <c r="E662" s="120" t="n"/>
      <c r="F662" s="120" t="n"/>
      <c r="G662" s="120" t="n"/>
      <c r="I662" s="131" t="n"/>
      <c r="J662" s="130" t="n"/>
      <c r="K662" s="16" t="n"/>
      <c r="L662" s="17" t="n"/>
      <c r="M662" s="129">
        <f>DADOS_INVOC!$QA$41</f>
        <v/>
      </c>
      <c r="N662" s="120" t="n"/>
      <c r="O662" s="131" t="n"/>
      <c r="P662" s="130" t="n"/>
      <c r="Q662" s="16" t="n"/>
      <c r="R662" s="17" t="n"/>
      <c r="S662" s="129">
        <f>DADOS_INVOC!$QA$42</f>
        <v/>
      </c>
      <c r="T662" s="120" t="n"/>
      <c r="U662" s="131" t="n"/>
      <c r="V662" s="130" t="n"/>
      <c r="W662" s="16" t="n"/>
      <c r="X662" s="17" t="n"/>
      <c r="Y662" s="129">
        <f>DADOS_INVOC!$QA$43</f>
        <v/>
      </c>
      <c r="Z662" s="120" t="n"/>
      <c r="AB662" s="131" t="n"/>
      <c r="AC662" s="130" t="n"/>
      <c r="AD662" s="16" t="n"/>
      <c r="AE662" s="17" t="n"/>
      <c r="AF662" s="129">
        <f>DADOS_INVOC!$QA$119</f>
        <v/>
      </c>
      <c r="AG662" s="120" t="n"/>
      <c r="AH662" s="131" t="n"/>
      <c r="AI662" s="130" t="n"/>
      <c r="AJ662" s="16" t="n"/>
      <c r="AK662" s="17" t="n"/>
      <c r="AL662" s="129">
        <f>DADOS_INVOC!$QA$120</f>
        <v/>
      </c>
      <c r="AM662" s="120" t="n"/>
      <c r="AN662" s="131" t="n"/>
      <c r="AO662" s="130" t="n"/>
      <c r="AP662" s="16" t="n"/>
      <c r="AQ662" s="17" t="n"/>
      <c r="AR662" s="129">
        <f>DADOS_INVOC!$QA$121</f>
        <v/>
      </c>
      <c r="AS662" s="120" t="n"/>
    </row>
    <row r="663" hidden="1" outlineLevel="2">
      <c r="A663" s="8" t="n"/>
      <c r="B663" s="14" t="n"/>
      <c r="C663" s="120" t="n"/>
      <c r="D663" s="120" t="n"/>
      <c r="E663" s="120" t="n"/>
      <c r="F663" s="120" t="n"/>
      <c r="G663" s="120" t="n"/>
      <c r="I663" s="131" t="n"/>
      <c r="J663" s="130" t="n"/>
      <c r="K663" s="16" t="n"/>
      <c r="L663" s="17" t="n"/>
      <c r="M663" s="129">
        <f>DADOS_INVOC!$QB$41</f>
        <v/>
      </c>
      <c r="N663" s="120" t="n"/>
      <c r="O663" s="131" t="n"/>
      <c r="P663" s="130" t="n"/>
      <c r="Q663" s="16" t="n"/>
      <c r="R663" s="17" t="n"/>
      <c r="S663" s="129">
        <f>DADOS_INVOC!$QB$42</f>
        <v/>
      </c>
      <c r="T663" s="120" t="n"/>
      <c r="U663" s="131" t="n"/>
      <c r="V663" s="130" t="n"/>
      <c r="W663" s="16" t="n"/>
      <c r="X663" s="17" t="n"/>
      <c r="Y663" s="129">
        <f>DADOS_INVOC!$QB$43</f>
        <v/>
      </c>
      <c r="Z663" s="120" t="n"/>
      <c r="AB663" s="131" t="n"/>
      <c r="AC663" s="130" t="n"/>
      <c r="AD663" s="16" t="n"/>
      <c r="AE663" s="17" t="n"/>
      <c r="AF663" s="129">
        <f>DADOS_INVOC!$QB$119</f>
        <v/>
      </c>
      <c r="AG663" s="120" t="n"/>
      <c r="AH663" s="131" t="n"/>
      <c r="AI663" s="130" t="n"/>
      <c r="AJ663" s="16" t="n"/>
      <c r="AK663" s="17" t="n"/>
      <c r="AL663" s="129">
        <f>DADOS_INVOC!$QB$120</f>
        <v/>
      </c>
      <c r="AM663" s="120" t="n"/>
      <c r="AN663" s="131" t="n"/>
      <c r="AO663" s="130" t="n"/>
      <c r="AP663" s="16" t="n"/>
      <c r="AQ663" s="17" t="n"/>
      <c r="AR663" s="129">
        <f>DADOS_INVOC!$QB$121</f>
        <v/>
      </c>
      <c r="AS663" s="120" t="n"/>
    </row>
    <row r="664" hidden="1" outlineLevel="2">
      <c r="A664" s="8" t="n"/>
      <c r="B664" s="14" t="n"/>
      <c r="C664" s="120" t="n"/>
      <c r="D664" s="120" t="n"/>
      <c r="E664" s="120" t="n"/>
      <c r="F664" s="120" t="n"/>
      <c r="G664" s="120" t="n"/>
      <c r="I664" s="125" t="n"/>
      <c r="J664" s="130" t="n"/>
      <c r="K664" s="16" t="n"/>
      <c r="L664" s="17" t="n"/>
      <c r="M664" s="129">
        <f>DADOS_INVOC!$QC$41</f>
        <v/>
      </c>
      <c r="N664" s="120" t="n"/>
      <c r="O664" s="125" t="n"/>
      <c r="P664" s="130" t="n"/>
      <c r="Q664" s="16" t="n"/>
      <c r="R664" s="17" t="n"/>
      <c r="S664" s="129">
        <f>DADOS_INVOC!$QC$42</f>
        <v/>
      </c>
      <c r="T664" s="120" t="n"/>
      <c r="U664" s="125" t="n"/>
      <c r="V664" s="130" t="n"/>
      <c r="W664" s="16" t="n"/>
      <c r="X664" s="17" t="n"/>
      <c r="Y664" s="129">
        <f>DADOS_INVOC!$QC$43</f>
        <v/>
      </c>
      <c r="Z664" s="120" t="n"/>
      <c r="AB664" s="125" t="n"/>
      <c r="AC664" s="130" t="n"/>
      <c r="AD664" s="16" t="n"/>
      <c r="AE664" s="17" t="n"/>
      <c r="AF664" s="129">
        <f>DADOS_INVOC!$QC$119</f>
        <v/>
      </c>
      <c r="AG664" s="120" t="n"/>
      <c r="AH664" s="125" t="n"/>
      <c r="AI664" s="130" t="n"/>
      <c r="AJ664" s="16" t="n"/>
      <c r="AK664" s="17" t="n"/>
      <c r="AL664" s="129">
        <f>DADOS_INVOC!$QC$120</f>
        <v/>
      </c>
      <c r="AM664" s="120" t="n"/>
      <c r="AN664" s="125" t="n"/>
      <c r="AO664" s="130" t="n"/>
      <c r="AP664" s="16" t="n"/>
      <c r="AQ664" s="17" t="n"/>
      <c r="AR664" s="129">
        <f>DADOS_INVOC!$QC$121</f>
        <v/>
      </c>
      <c r="AS664" s="120" t="n"/>
    </row>
    <row r="665" hidden="1" outlineLevel="2">
      <c r="A665" s="8" t="n"/>
      <c r="B665" s="14" t="n"/>
      <c r="C665" s="120" t="n"/>
      <c r="D665" s="120" t="n"/>
      <c r="E665" s="120" t="n"/>
      <c r="F665" s="120" t="n"/>
      <c r="G665" s="120" t="n"/>
      <c r="I665" s="55" t="inlineStr">
        <is>
          <t>RESTRIÇÕES</t>
        </is>
      </c>
      <c r="J665" s="130" t="n"/>
      <c r="K665" s="16" t="n"/>
      <c r="L665" s="17" t="n"/>
      <c r="M665" s="129">
        <f>DADOS_INVOC!$QD$41</f>
        <v/>
      </c>
      <c r="N665" s="120" t="n"/>
      <c r="O665" s="55" t="inlineStr">
        <is>
          <t>RESTRIÇÕES</t>
        </is>
      </c>
      <c r="P665" s="130" t="n"/>
      <c r="Q665" s="16" t="n"/>
      <c r="R665" s="17" t="n"/>
      <c r="S665" s="129">
        <f>DADOS_INVOC!$QD$42</f>
        <v/>
      </c>
      <c r="T665" s="120" t="n"/>
      <c r="U665" s="55" t="inlineStr">
        <is>
          <t>RESTRIÇÕES</t>
        </is>
      </c>
      <c r="V665" s="130" t="n"/>
      <c r="W665" s="16" t="n"/>
      <c r="X665" s="17" t="n"/>
      <c r="Y665" s="129">
        <f>DADOS_INVOC!$QD$43</f>
        <v/>
      </c>
      <c r="Z665" s="120" t="n"/>
      <c r="AB665" s="55" t="inlineStr">
        <is>
          <t>RESTRIÇÕES</t>
        </is>
      </c>
      <c r="AC665" s="130" t="n"/>
      <c r="AD665" s="16" t="n"/>
      <c r="AE665" s="17" t="n"/>
      <c r="AF665" s="129">
        <f>DADOS_INVOC!$QD$119</f>
        <v/>
      </c>
      <c r="AG665" s="120" t="n"/>
      <c r="AH665" s="55" t="inlineStr">
        <is>
          <t>RESTRIÇÕES</t>
        </is>
      </c>
      <c r="AI665" s="130" t="n"/>
      <c r="AJ665" s="16" t="n"/>
      <c r="AK665" s="17" t="n"/>
      <c r="AL665" s="129">
        <f>DADOS_INVOC!$QD$120</f>
        <v/>
      </c>
      <c r="AM665" s="120" t="n"/>
      <c r="AN665" s="55" t="inlineStr">
        <is>
          <t>RESTRIÇÕES</t>
        </is>
      </c>
      <c r="AO665" s="130" t="n"/>
      <c r="AP665" s="16" t="n"/>
      <c r="AQ665" s="17" t="n"/>
      <c r="AR665" s="129">
        <f>DADOS_INVOC!$QD$121</f>
        <v/>
      </c>
      <c r="AS665" s="120" t="n"/>
    </row>
    <row r="666" hidden="1" outlineLevel="2">
      <c r="A666" s="8" t="n"/>
      <c r="B666" s="14" t="n"/>
      <c r="C666" s="120" t="n"/>
      <c r="D666" s="120" t="n"/>
      <c r="E666" s="120" t="n"/>
      <c r="F666" s="120" t="n"/>
      <c r="G666" s="120" t="n"/>
      <c r="I666" s="125" t="n"/>
      <c r="J666" s="130" t="n"/>
      <c r="K666" s="16" t="n"/>
      <c r="L666" s="17" t="n"/>
      <c r="M666" s="129">
        <f>DADOS_INVOC!$QE$41</f>
        <v/>
      </c>
      <c r="N666" s="120" t="n"/>
      <c r="O666" s="125" t="n"/>
      <c r="P666" s="130" t="n"/>
      <c r="Q666" s="16" t="n"/>
      <c r="R666" s="17" t="n"/>
      <c r="S666" s="129">
        <f>DADOS_INVOC!$QE$42</f>
        <v/>
      </c>
      <c r="T666" s="120" t="n"/>
      <c r="U666" s="125" t="n"/>
      <c r="V666" s="130" t="n"/>
      <c r="W666" s="16" t="n"/>
      <c r="X666" s="17" t="n"/>
      <c r="Y666" s="129">
        <f>DADOS_INVOC!$QE$43</f>
        <v/>
      </c>
      <c r="Z666" s="120" t="n"/>
      <c r="AB666" s="125" t="n"/>
      <c r="AC666" s="130" t="n"/>
      <c r="AD666" s="16" t="n"/>
      <c r="AE666" s="17" t="n"/>
      <c r="AF666" s="129">
        <f>DADOS_INVOC!$QE$119</f>
        <v/>
      </c>
      <c r="AG666" s="120" t="n"/>
      <c r="AH666" s="125" t="n"/>
      <c r="AI666" s="130" t="n"/>
      <c r="AJ666" s="16" t="n"/>
      <c r="AK666" s="17" t="n"/>
      <c r="AL666" s="129">
        <f>DADOS_INVOC!$QE$120</f>
        <v/>
      </c>
      <c r="AM666" s="120" t="n"/>
      <c r="AN666" s="125" t="n"/>
      <c r="AO666" s="130" t="n"/>
      <c r="AP666" s="16" t="n"/>
      <c r="AQ666" s="17" t="n"/>
      <c r="AR666" s="129">
        <f>DADOS_INVOC!$QE$121</f>
        <v/>
      </c>
      <c r="AS666" s="120" t="n"/>
    </row>
    <row r="667" hidden="1" outlineLevel="2">
      <c r="A667" s="8" t="n"/>
      <c r="B667" s="14" t="n"/>
      <c r="C667" s="120" t="n"/>
      <c r="D667" s="120" t="n"/>
      <c r="E667" s="120" t="n"/>
      <c r="F667" s="120" t="n"/>
      <c r="G667" s="120" t="n"/>
      <c r="I667" s="55" t="inlineStr">
        <is>
          <t>CONTA</t>
        </is>
      </c>
      <c r="J667" s="132">
        <f>DADOS_INVOC!$PX$41</f>
        <v/>
      </c>
      <c r="K667" s="16" t="n"/>
      <c r="L667" s="16" t="n"/>
      <c r="M667" s="17" t="n"/>
      <c r="N667" s="120" t="n"/>
      <c r="O667" s="55" t="inlineStr">
        <is>
          <t>CONTA</t>
        </is>
      </c>
      <c r="P667" s="132">
        <f>DADOS_INVOC!$PX$42</f>
        <v/>
      </c>
      <c r="Q667" s="16" t="n"/>
      <c r="R667" s="16" t="n"/>
      <c r="S667" s="17" t="n"/>
      <c r="T667" s="120" t="n"/>
      <c r="U667" s="55" t="inlineStr">
        <is>
          <t>CONTA</t>
        </is>
      </c>
      <c r="V667" s="132">
        <f>DADOS_INVOC!$PX$43</f>
        <v/>
      </c>
      <c r="W667" s="16" t="n"/>
      <c r="X667" s="16" t="n"/>
      <c r="Y667" s="17" t="n"/>
      <c r="Z667" s="120" t="n"/>
      <c r="AB667" s="55" t="inlineStr">
        <is>
          <t>CONTA</t>
        </is>
      </c>
      <c r="AC667" s="132">
        <f>DADOS_INVOC!$PX$119</f>
        <v/>
      </c>
      <c r="AD667" s="16" t="n"/>
      <c r="AE667" s="16" t="n"/>
      <c r="AF667" s="17" t="n"/>
      <c r="AG667" s="120" t="n"/>
      <c r="AH667" s="55" t="inlineStr">
        <is>
          <t>CONTA</t>
        </is>
      </c>
      <c r="AI667" s="132">
        <f>DADOS_INVOC!$PX$120</f>
        <v/>
      </c>
      <c r="AJ667" s="16" t="n"/>
      <c r="AK667" s="16" t="n"/>
      <c r="AL667" s="17" t="n"/>
      <c r="AM667" s="120" t="n"/>
      <c r="AN667" s="55" t="inlineStr">
        <is>
          <t>CONTA</t>
        </is>
      </c>
      <c r="AO667" s="132">
        <f>DADOS_INVOC!$PX$121</f>
        <v/>
      </c>
      <c r="AP667" s="16" t="n"/>
      <c r="AQ667" s="16" t="n"/>
      <c r="AR667" s="17" t="n"/>
      <c r="AS667" s="120" t="n"/>
    </row>
    <row r="668" hidden="1" outlineLevel="2">
      <c r="A668" s="8" t="n"/>
      <c r="B668" s="14" t="n"/>
      <c r="C668" s="120" t="n"/>
      <c r="D668" s="120" t="n"/>
      <c r="E668" s="120" t="n"/>
      <c r="F668" s="120" t="n"/>
      <c r="G668" s="120" t="n"/>
      <c r="I668" s="55" t="inlineStr">
        <is>
          <t>AMPLIAR</t>
        </is>
      </c>
      <c r="J668" s="132">
        <f>DADOS_INVOC!$PY$41</f>
        <v/>
      </c>
      <c r="K668" s="19" t="n"/>
      <c r="L668" s="19" t="n"/>
      <c r="M668" s="20" t="n"/>
      <c r="N668" s="120" t="n"/>
      <c r="O668" s="55" t="inlineStr">
        <is>
          <t>AMPLIAR</t>
        </is>
      </c>
      <c r="P668" s="132">
        <f>DADOS_INVOC!$PY$42</f>
        <v/>
      </c>
      <c r="Q668" s="19" t="n"/>
      <c r="R668" s="19" t="n"/>
      <c r="S668" s="20" t="n"/>
      <c r="T668" s="120" t="n"/>
      <c r="U668" s="55" t="inlineStr">
        <is>
          <t>AMPLIAR</t>
        </is>
      </c>
      <c r="V668" s="132">
        <f>DADOS_INVOC!$PY$43</f>
        <v/>
      </c>
      <c r="W668" s="19" t="n"/>
      <c r="X668" s="19" t="n"/>
      <c r="Y668" s="20" t="n"/>
      <c r="Z668" s="120" t="n"/>
      <c r="AB668" s="55" t="inlineStr">
        <is>
          <t>AMPLIAR</t>
        </is>
      </c>
      <c r="AC668" s="132">
        <f>DADOS_INVOC!$PY$119</f>
        <v/>
      </c>
      <c r="AD668" s="19" t="n"/>
      <c r="AE668" s="19" t="n"/>
      <c r="AF668" s="20" t="n"/>
      <c r="AG668" s="120" t="n"/>
      <c r="AH668" s="55" t="inlineStr">
        <is>
          <t>AMPLIAR</t>
        </is>
      </c>
      <c r="AI668" s="132">
        <f>DADOS_INVOC!$PY$120</f>
        <v/>
      </c>
      <c r="AJ668" s="19" t="n"/>
      <c r="AK668" s="19" t="n"/>
      <c r="AL668" s="20" t="n"/>
      <c r="AM668" s="120" t="n"/>
      <c r="AN668" s="55" t="inlineStr">
        <is>
          <t>AMPLIAR</t>
        </is>
      </c>
      <c r="AO668" s="132">
        <f>DADOS_INVOC!$PY$121</f>
        <v/>
      </c>
      <c r="AP668" s="19" t="n"/>
      <c r="AQ668" s="19" t="n"/>
      <c r="AR668" s="20" t="n"/>
      <c r="AS668" s="120" t="n"/>
    </row>
    <row r="669" hidden="1" outlineLevel="2">
      <c r="A669" s="8" t="n"/>
      <c r="B669" s="14" t="n"/>
      <c r="C669" s="120" t="n"/>
      <c r="D669" s="120" t="n"/>
      <c r="E669" s="120" t="n"/>
      <c r="F669" s="120" t="n"/>
      <c r="G669" s="120" t="n"/>
      <c r="I669" s="125" t="n"/>
      <c r="J669" s="23" t="n"/>
      <c r="K669" s="24" t="n"/>
      <c r="L669" s="24" t="n"/>
      <c r="M669" s="25" t="n"/>
      <c r="N669" s="120" t="n"/>
      <c r="O669" s="125" t="n"/>
      <c r="P669" s="23" t="n"/>
      <c r="Q669" s="24" t="n"/>
      <c r="R669" s="24" t="n"/>
      <c r="S669" s="25" t="n"/>
      <c r="T669" s="120" t="n"/>
      <c r="U669" s="125" t="n"/>
      <c r="V669" s="23" t="n"/>
      <c r="W669" s="24" t="n"/>
      <c r="X669" s="24" t="n"/>
      <c r="Y669" s="25" t="n"/>
      <c r="Z669" s="120" t="n"/>
      <c r="AB669" s="125" t="n"/>
      <c r="AC669" s="23" t="n"/>
      <c r="AD669" s="24" t="n"/>
      <c r="AE669" s="24" t="n"/>
      <c r="AF669" s="25" t="n"/>
      <c r="AG669" s="120" t="n"/>
      <c r="AH669" s="125" t="n"/>
      <c r="AI669" s="23" t="n"/>
      <c r="AJ669" s="24" t="n"/>
      <c r="AK669" s="24" t="n"/>
      <c r="AL669" s="25" t="n"/>
      <c r="AM669" s="120" t="n"/>
      <c r="AN669" s="125" t="n"/>
      <c r="AO669" s="23" t="n"/>
      <c r="AP669" s="24" t="n"/>
      <c r="AQ669" s="24" t="n"/>
      <c r="AR669" s="25" t="n"/>
      <c r="AS669" s="120" t="n"/>
    </row>
    <row r="670" hidden="1" outlineLevel="2">
      <c r="A670" s="8" t="n"/>
      <c r="B670" s="14" t="n"/>
      <c r="C670" s="120" t="n"/>
      <c r="D670" s="120" t="n"/>
      <c r="E670" s="120" t="n"/>
      <c r="F670" s="120" t="n"/>
      <c r="G670" s="120" t="n"/>
      <c r="I670" s="132">
        <f>DADOS_INVOC!$PL$41</f>
        <v/>
      </c>
      <c r="J670" s="19" t="n"/>
      <c r="K670" s="19" t="n"/>
      <c r="L670" s="19" t="n"/>
      <c r="M670" s="20" t="n"/>
      <c r="N670" s="120" t="n"/>
      <c r="O670" s="132">
        <f>DADOS_INVOC!$PL$42</f>
        <v/>
      </c>
      <c r="P670" s="19" t="n"/>
      <c r="Q670" s="19" t="n"/>
      <c r="R670" s="19" t="n"/>
      <c r="S670" s="20" t="n"/>
      <c r="T670" s="120" t="n"/>
      <c r="U670" s="132">
        <f>DADOS_INVOC!$PL$43</f>
        <v/>
      </c>
      <c r="V670" s="19" t="n"/>
      <c r="W670" s="19" t="n"/>
      <c r="X670" s="19" t="n"/>
      <c r="Y670" s="20" t="n"/>
      <c r="Z670" s="120" t="n"/>
      <c r="AB670" s="132">
        <f>DADOS_INVOC!$PL$119</f>
        <v/>
      </c>
      <c r="AC670" s="19" t="n"/>
      <c r="AD670" s="19" t="n"/>
      <c r="AE670" s="19" t="n"/>
      <c r="AF670" s="20" t="n"/>
      <c r="AG670" s="120" t="n"/>
      <c r="AH670" s="132">
        <f>DADOS_INVOC!$PL$120</f>
        <v/>
      </c>
      <c r="AI670" s="19" t="n"/>
      <c r="AJ670" s="19" t="n"/>
      <c r="AK670" s="19" t="n"/>
      <c r="AL670" s="20" t="n"/>
      <c r="AM670" s="120" t="n"/>
      <c r="AN670" s="132">
        <f>DADOS_INVOC!$PL$121</f>
        <v/>
      </c>
      <c r="AO670" s="19" t="n"/>
      <c r="AP670" s="19" t="n"/>
      <c r="AQ670" s="19" t="n"/>
      <c r="AR670" s="20" t="n"/>
      <c r="AS670" s="120" t="n"/>
    </row>
    <row r="671" hidden="1" outlineLevel="2">
      <c r="A671" s="8" t="n"/>
      <c r="B671" s="14" t="n"/>
      <c r="C671" s="120" t="n"/>
      <c r="D671" s="120" t="n"/>
      <c r="E671" s="120" t="n"/>
      <c r="F671" s="120" t="n"/>
      <c r="G671" s="120" t="n"/>
      <c r="I671" s="23" t="n"/>
      <c r="J671" s="24" t="n"/>
      <c r="K671" s="24" t="n"/>
      <c r="L671" s="24" t="n"/>
      <c r="M671" s="25" t="n"/>
      <c r="N671" s="120" t="n"/>
      <c r="O671" s="23" t="n"/>
      <c r="P671" s="24" t="n"/>
      <c r="Q671" s="24" t="n"/>
      <c r="R671" s="24" t="n"/>
      <c r="S671" s="25" t="n"/>
      <c r="T671" s="120" t="n"/>
      <c r="U671" s="23" t="n"/>
      <c r="V671" s="24" t="n"/>
      <c r="W671" s="24" t="n"/>
      <c r="X671" s="24" t="n"/>
      <c r="Y671" s="25" t="n"/>
      <c r="Z671" s="120" t="n"/>
      <c r="AB671" s="23" t="n"/>
      <c r="AC671" s="24" t="n"/>
      <c r="AD671" s="24" t="n"/>
      <c r="AE671" s="24" t="n"/>
      <c r="AF671" s="25" t="n"/>
      <c r="AG671" s="120" t="n"/>
      <c r="AH671" s="23" t="n"/>
      <c r="AI671" s="24" t="n"/>
      <c r="AJ671" s="24" t="n"/>
      <c r="AK671" s="24" t="n"/>
      <c r="AL671" s="25" t="n"/>
      <c r="AM671" s="120" t="n"/>
      <c r="AN671" s="23" t="n"/>
      <c r="AO671" s="24" t="n"/>
      <c r="AP671" s="24" t="n"/>
      <c r="AQ671" s="24" t="n"/>
      <c r="AR671" s="25" t="n"/>
      <c r="AS671" s="120" t="n"/>
    </row>
    <row r="672" hidden="1" outlineLevel="1">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1">
      <c r="A673" s="8" t="n"/>
      <c r="B673" s="14" t="n"/>
      <c r="C673" s="120" t="n"/>
      <c r="D673" s="120" t="n"/>
      <c r="E673" s="120" t="n"/>
      <c r="F673" s="120" t="n"/>
      <c r="G673" s="120" t="n"/>
      <c r="I673" s="55">
        <f>DADOS_INVOC!$HU$5</f>
        <v/>
      </c>
      <c r="J673" s="16" t="n"/>
      <c r="K673" s="16" t="n"/>
      <c r="L673" s="16" t="n"/>
      <c r="M673" s="16" t="n"/>
      <c r="N673" s="16" t="n"/>
      <c r="O673" s="16" t="n"/>
      <c r="P673" s="16" t="n"/>
      <c r="Q673" s="16" t="n"/>
      <c r="R673" s="16" t="n"/>
      <c r="S673" s="16" t="n"/>
      <c r="T673" s="16" t="n"/>
      <c r="U673" s="16" t="n"/>
      <c r="V673" s="16" t="n"/>
      <c r="W673" s="16" t="n"/>
      <c r="X673" s="16" t="n"/>
      <c r="Y673" s="17" t="n"/>
      <c r="Z673" s="120" t="n"/>
      <c r="AB673" s="55">
        <f>DADOS_INVOC!$HU$11</f>
        <v/>
      </c>
      <c r="AC673" s="16" t="n"/>
      <c r="AD673" s="16" t="n"/>
      <c r="AE673" s="16" t="n"/>
      <c r="AF673" s="16" t="n"/>
      <c r="AG673" s="16" t="n"/>
      <c r="AH673" s="16" t="n"/>
      <c r="AI673" s="16" t="n"/>
      <c r="AJ673" s="16" t="n"/>
      <c r="AK673" s="16" t="n"/>
      <c r="AL673" s="16" t="n"/>
      <c r="AM673" s="16" t="n"/>
      <c r="AN673" s="16" t="n"/>
      <c r="AO673" s="16" t="n"/>
      <c r="AP673" s="16" t="n"/>
      <c r="AQ673" s="16" t="n"/>
      <c r="AR673" s="17" t="n"/>
      <c r="AS673" s="120" t="n"/>
    </row>
    <row r="674" hidden="1" outlineLevel="1">
      <c r="A674" s="8" t="n"/>
      <c r="B674" s="14" t="n"/>
      <c r="C674" s="120" t="n"/>
      <c r="D674" s="120" t="n"/>
      <c r="E674" s="120" t="n"/>
      <c r="F674" s="120" t="n"/>
      <c r="G674" s="120" t="n"/>
      <c r="I674" s="55" t="inlineStr">
        <is>
          <t>NV 1 · CE 1</t>
        </is>
      </c>
      <c r="J674" s="130" t="n"/>
      <c r="K674" s="16" t="n"/>
      <c r="L674" s="17" t="n"/>
      <c r="M674" s="137">
        <f>DADOS_INVOC!$ID$5</f>
        <v/>
      </c>
      <c r="N674" s="16" t="n"/>
      <c r="O674" s="16" t="n"/>
      <c r="P674" s="16" t="n"/>
      <c r="Q674" s="16" t="n"/>
      <c r="R674" s="16" t="n"/>
      <c r="S674" s="16" t="n"/>
      <c r="T674" s="16" t="n"/>
      <c r="U674" s="16" t="n"/>
      <c r="V674" s="16" t="n"/>
      <c r="W674" s="16" t="n"/>
      <c r="X674" s="16" t="n"/>
      <c r="Y674" s="17" t="n"/>
      <c r="Z674" s="120" t="n"/>
      <c r="AB674" s="55" t="inlineStr">
        <is>
          <t>NV 1 · CE 1</t>
        </is>
      </c>
      <c r="AC674" s="130" t="n"/>
      <c r="AD674" s="16" t="n"/>
      <c r="AE674" s="17" t="n"/>
      <c r="AF674" s="137">
        <f>DADOS_INVOC!$ID$11</f>
        <v/>
      </c>
      <c r="AG674" s="16" t="n"/>
      <c r="AH674" s="16" t="n"/>
      <c r="AI674" s="16" t="n"/>
      <c r="AJ674" s="16" t="n"/>
      <c r="AK674" s="16" t="n"/>
      <c r="AL674" s="16" t="n"/>
      <c r="AM674" s="16" t="n"/>
      <c r="AN674" s="16" t="n"/>
      <c r="AO674" s="16" t="n"/>
      <c r="AP674" s="16" t="n"/>
      <c r="AQ674" s="16" t="n"/>
      <c r="AR674" s="17" t="n"/>
      <c r="AS674" s="120" t="n"/>
    </row>
    <row r="675" hidden="1" outlineLevel="1">
      <c r="A675" s="8" t="n"/>
      <c r="B675" s="14" t="n"/>
      <c r="C675" s="120" t="n"/>
      <c r="D675" s="120" t="n"/>
      <c r="E675" s="120" t="n"/>
      <c r="F675" s="120" t="n"/>
      <c r="G675" s="120" t="n"/>
      <c r="I675" s="55" t="inlineStr">
        <is>
          <t>NV 6 · CE 1</t>
        </is>
      </c>
      <c r="J675" s="130" t="n"/>
      <c r="K675" s="16" t="n"/>
      <c r="L675" s="17" t="n"/>
      <c r="M675" s="137">
        <f>DADOS_INVOC!$IE$5</f>
        <v/>
      </c>
      <c r="N675" s="16" t="n"/>
      <c r="O675" s="16" t="n"/>
      <c r="P675" s="16" t="n"/>
      <c r="Q675" s="16" t="n"/>
      <c r="R675" s="16" t="n"/>
      <c r="S675" s="16" t="n"/>
      <c r="T675" s="16" t="n"/>
      <c r="U675" s="16" t="n"/>
      <c r="V675" s="16" t="n"/>
      <c r="W675" s="16" t="n"/>
      <c r="X675" s="16" t="n"/>
      <c r="Y675" s="17" t="n"/>
      <c r="Z675" s="120" t="n"/>
      <c r="AB675" s="55" t="inlineStr">
        <is>
          <t>NV 6 · CE 1</t>
        </is>
      </c>
      <c r="AC675" s="130" t="n"/>
      <c r="AD675" s="16" t="n"/>
      <c r="AE675" s="17" t="n"/>
      <c r="AF675" s="137">
        <f>DADOS_INVOC!$IE$11</f>
        <v/>
      </c>
      <c r="AG675" s="16" t="n"/>
      <c r="AH675" s="16" t="n"/>
      <c r="AI675" s="16" t="n"/>
      <c r="AJ675" s="16" t="n"/>
      <c r="AK675" s="16" t="n"/>
      <c r="AL675" s="16" t="n"/>
      <c r="AM675" s="16" t="n"/>
      <c r="AN675" s="16" t="n"/>
      <c r="AO675" s="16" t="n"/>
      <c r="AP675" s="16" t="n"/>
      <c r="AQ675" s="16" t="n"/>
      <c r="AR675" s="17" t="n"/>
      <c r="AS675" s="120" t="n"/>
    </row>
    <row r="676" hidden="1" outlineLevel="1">
      <c r="A676" s="8" t="n"/>
      <c r="B676" s="14" t="n"/>
      <c r="C676" s="120" t="n"/>
      <c r="D676" s="120" t="n"/>
      <c r="E676" s="120" t="n"/>
      <c r="F676" s="120" t="n"/>
      <c r="G676" s="120" t="n"/>
      <c r="I676" s="55" t="inlineStr">
        <is>
          <t>NV 10 · CE 2</t>
        </is>
      </c>
      <c r="J676" s="130" t="n"/>
      <c r="K676" s="16" t="n"/>
      <c r="L676" s="17" t="n"/>
      <c r="M676" s="137">
        <f>DADOS_INVOC!$IF$5</f>
        <v/>
      </c>
      <c r="N676" s="16" t="n"/>
      <c r="O676" s="16" t="n"/>
      <c r="P676" s="16" t="n"/>
      <c r="Q676" s="16" t="n"/>
      <c r="R676" s="16" t="n"/>
      <c r="S676" s="16" t="n"/>
      <c r="T676" s="16" t="n"/>
      <c r="U676" s="16" t="n"/>
      <c r="V676" s="16" t="n"/>
      <c r="W676" s="16" t="n"/>
      <c r="X676" s="16" t="n"/>
      <c r="Y676" s="17" t="n"/>
      <c r="Z676" s="120" t="n"/>
      <c r="AB676" s="55" t="inlineStr">
        <is>
          <t>NV 10 · CE 2</t>
        </is>
      </c>
      <c r="AC676" s="130" t="n"/>
      <c r="AD676" s="16" t="n"/>
      <c r="AE676" s="17" t="n"/>
      <c r="AF676" s="137">
        <f>DADOS_INVOC!$IF$11</f>
        <v/>
      </c>
      <c r="AG676" s="16" t="n"/>
      <c r="AH676" s="16" t="n"/>
      <c r="AI676" s="16" t="n"/>
      <c r="AJ676" s="16" t="n"/>
      <c r="AK676" s="16" t="n"/>
      <c r="AL676" s="16" t="n"/>
      <c r="AM676" s="16" t="n"/>
      <c r="AN676" s="16" t="n"/>
      <c r="AO676" s="16" t="n"/>
      <c r="AP676" s="16" t="n"/>
      <c r="AQ676" s="16" t="n"/>
      <c r="AR676" s="17" t="n"/>
      <c r="AS676" s="120" t="n"/>
    </row>
    <row r="677" hidden="1" outlineLevel="1">
      <c r="A677" s="8" t="n"/>
      <c r="B677" s="14" t="n"/>
      <c r="C677" s="120" t="n"/>
      <c r="D677" s="120" t="n"/>
      <c r="E677" s="120" t="n"/>
      <c r="F677" s="120" t="n"/>
      <c r="G677" s="120" t="n"/>
      <c r="I677" s="55" t="inlineStr">
        <is>
          <t>NV 14 · CE 3</t>
        </is>
      </c>
      <c r="J677" s="130" t="n"/>
      <c r="K677" s="16" t="n"/>
      <c r="L677" s="17" t="n"/>
      <c r="M677" s="137">
        <f>DADOS_INVOC!$IG$5</f>
        <v/>
      </c>
      <c r="N677" s="16" t="n"/>
      <c r="O677" s="16" t="n"/>
      <c r="P677" s="16" t="n"/>
      <c r="Q677" s="16" t="n"/>
      <c r="R677" s="16" t="n"/>
      <c r="S677" s="16" t="n"/>
      <c r="T677" s="16" t="n"/>
      <c r="U677" s="16" t="n"/>
      <c r="V677" s="16" t="n"/>
      <c r="W677" s="16" t="n"/>
      <c r="X677" s="16" t="n"/>
      <c r="Y677" s="17" t="n"/>
      <c r="Z677" s="120" t="n"/>
      <c r="AB677" s="55" t="inlineStr">
        <is>
          <t>NV 14 · CE 3</t>
        </is>
      </c>
      <c r="AC677" s="130" t="n"/>
      <c r="AD677" s="16" t="n"/>
      <c r="AE677" s="17" t="n"/>
      <c r="AF677" s="137">
        <f>DADOS_INVOC!$IG$11</f>
        <v/>
      </c>
      <c r="AG677" s="16" t="n"/>
      <c r="AH677" s="16" t="n"/>
      <c r="AI677" s="16" t="n"/>
      <c r="AJ677" s="16" t="n"/>
      <c r="AK677" s="16" t="n"/>
      <c r="AL677" s="16" t="n"/>
      <c r="AM677" s="16" t="n"/>
      <c r="AN677" s="16" t="n"/>
      <c r="AO677" s="16" t="n"/>
      <c r="AP677" s="16" t="n"/>
      <c r="AQ677" s="16" t="n"/>
      <c r="AR677" s="17" t="n"/>
      <c r="AS677" s="120" t="n"/>
    </row>
    <row r="678" hidden="1" outlineLevel="1">
      <c r="A678" s="8" t="n"/>
      <c r="B678" s="14" t="n"/>
      <c r="C678" s="120" t="n"/>
      <c r="D678" s="120" t="n"/>
      <c r="E678" s="120" t="n"/>
      <c r="F678" s="120" t="n"/>
      <c r="G678" s="120" t="n"/>
      <c r="I678" s="55" t="inlineStr">
        <is>
          <t>NV 18 · CE 3</t>
        </is>
      </c>
      <c r="J678" s="130" t="n"/>
      <c r="K678" s="16" t="n"/>
      <c r="L678" s="17" t="n"/>
      <c r="M678" s="137">
        <f>DADOS_INVOC!$IH$5</f>
        <v/>
      </c>
      <c r="N678" s="16" t="n"/>
      <c r="O678" s="16" t="n"/>
      <c r="P678" s="16" t="n"/>
      <c r="Q678" s="16" t="n"/>
      <c r="R678" s="16" t="n"/>
      <c r="S678" s="16" t="n"/>
      <c r="T678" s="16" t="n"/>
      <c r="U678" s="16" t="n"/>
      <c r="V678" s="16" t="n"/>
      <c r="W678" s="16" t="n"/>
      <c r="X678" s="16" t="n"/>
      <c r="Y678" s="17" t="n"/>
      <c r="Z678" s="120" t="n"/>
      <c r="AB678" s="55" t="inlineStr">
        <is>
          <t>NV 18 · CE 3</t>
        </is>
      </c>
      <c r="AC678" s="130" t="n"/>
      <c r="AD678" s="16" t="n"/>
      <c r="AE678" s="17" t="n"/>
      <c r="AF678" s="137">
        <f>DADOS_INVOC!$IH$11</f>
        <v/>
      </c>
      <c r="AG678" s="16" t="n"/>
      <c r="AH678" s="16" t="n"/>
      <c r="AI678" s="16" t="n"/>
      <c r="AJ678" s="16" t="n"/>
      <c r="AK678" s="16" t="n"/>
      <c r="AL678" s="16" t="n"/>
      <c r="AM678" s="16" t="n"/>
      <c r="AN678" s="16" t="n"/>
      <c r="AO678" s="16" t="n"/>
      <c r="AP678" s="16" t="n"/>
      <c r="AQ678" s="16" t="n"/>
      <c r="AR678" s="17" t="n"/>
      <c r="AS678" s="120" t="n"/>
    </row>
    <row r="679" hidden="1" outlineLevel="1">
      <c r="A679" s="8" t="n"/>
      <c r="B679" s="14" t="n"/>
      <c r="C679" s="120" t="n"/>
      <c r="D679" s="120" t="n"/>
      <c r="E679" s="120" t="n"/>
      <c r="F679" s="120" t="n"/>
      <c r="G679" s="120" t="n"/>
      <c r="I679" s="55" t="inlineStr">
        <is>
          <t>NV 22 · CE 3</t>
        </is>
      </c>
      <c r="J679" s="130" t="n"/>
      <c r="K679" s="16" t="n"/>
      <c r="L679" s="17" t="n"/>
      <c r="M679" s="137">
        <f>DADOS_INVOC!$II$5</f>
        <v/>
      </c>
      <c r="N679" s="16" t="n"/>
      <c r="O679" s="16" t="n"/>
      <c r="P679" s="16" t="n"/>
      <c r="Q679" s="16" t="n"/>
      <c r="R679" s="16" t="n"/>
      <c r="S679" s="16" t="n"/>
      <c r="T679" s="16" t="n"/>
      <c r="U679" s="16" t="n"/>
      <c r="V679" s="16" t="n"/>
      <c r="W679" s="16" t="n"/>
      <c r="X679" s="16" t="n"/>
      <c r="Y679" s="17" t="n"/>
      <c r="Z679" s="120" t="n"/>
      <c r="AB679" s="55" t="inlineStr">
        <is>
          <t>NV 22 · CE 3</t>
        </is>
      </c>
      <c r="AC679" s="130" t="n"/>
      <c r="AD679" s="16" t="n"/>
      <c r="AE679" s="17" t="n"/>
      <c r="AF679" s="137">
        <f>DADOS_INVOC!$II$11</f>
        <v/>
      </c>
      <c r="AG679" s="16" t="n"/>
      <c r="AH679" s="16" t="n"/>
      <c r="AI679" s="16" t="n"/>
      <c r="AJ679" s="16" t="n"/>
      <c r="AK679" s="16" t="n"/>
      <c r="AL679" s="16" t="n"/>
      <c r="AM679" s="16" t="n"/>
      <c r="AN679" s="16" t="n"/>
      <c r="AO679" s="16" t="n"/>
      <c r="AP679" s="16" t="n"/>
      <c r="AQ679" s="16" t="n"/>
      <c r="AR679" s="17" t="n"/>
      <c r="AS679" s="120" t="n"/>
    </row>
    <row r="680" hidden="1" outlineLevel="1">
      <c r="A680" s="8" t="n"/>
      <c r="B680" s="14" t="n"/>
      <c r="C680" s="120" t="n"/>
      <c r="D680" s="120" t="n"/>
      <c r="E680" s="120" t="n"/>
      <c r="F680" s="120" t="n"/>
      <c r="G680" s="120" t="n"/>
      <c r="I680" s="55" t="inlineStr">
        <is>
          <t>NV 26 · CE 3</t>
        </is>
      </c>
      <c r="J680" s="130" t="n"/>
      <c r="K680" s="16" t="n"/>
      <c r="L680" s="17" t="n"/>
      <c r="M680" s="137">
        <f>DADOS_INVOC!$IJ$5</f>
        <v/>
      </c>
      <c r="N680" s="16" t="n"/>
      <c r="O680" s="16" t="n"/>
      <c r="P680" s="16" t="n"/>
      <c r="Q680" s="16" t="n"/>
      <c r="R680" s="16" t="n"/>
      <c r="S680" s="16" t="n"/>
      <c r="T680" s="16" t="n"/>
      <c r="U680" s="16" t="n"/>
      <c r="V680" s="16" t="n"/>
      <c r="W680" s="16" t="n"/>
      <c r="X680" s="16" t="n"/>
      <c r="Y680" s="17" t="n"/>
      <c r="Z680" s="120" t="n"/>
      <c r="AB680" s="55" t="inlineStr">
        <is>
          <t>NV 26 · CE 3</t>
        </is>
      </c>
      <c r="AC680" s="130" t="n"/>
      <c r="AD680" s="16" t="n"/>
      <c r="AE680" s="17" t="n"/>
      <c r="AF680" s="137">
        <f>DADOS_INVOC!$IJ$11</f>
        <v/>
      </c>
      <c r="AG680" s="16" t="n"/>
      <c r="AH680" s="16" t="n"/>
      <c r="AI680" s="16" t="n"/>
      <c r="AJ680" s="16" t="n"/>
      <c r="AK680" s="16" t="n"/>
      <c r="AL680" s="16" t="n"/>
      <c r="AM680" s="16" t="n"/>
      <c r="AN680" s="16" t="n"/>
      <c r="AO680" s="16" t="n"/>
      <c r="AP680" s="16" t="n"/>
      <c r="AQ680" s="16" t="n"/>
      <c r="AR680" s="17" t="n"/>
      <c r="AS680" s="120" t="n"/>
    </row>
    <row r="681" hidden="1" outlineLevel="1">
      <c r="A681" s="8" t="n"/>
      <c r="B681" s="14" t="n"/>
      <c r="C681" s="120" t="n"/>
      <c r="D681" s="120" t="n"/>
      <c r="E681" s="120" t="n"/>
      <c r="F681" s="120" t="n"/>
      <c r="G681" s="120" t="n"/>
      <c r="I681" s="55" t="inlineStr">
        <is>
          <t>NV 30 · CE 3</t>
        </is>
      </c>
      <c r="J681" s="130" t="n"/>
      <c r="K681" s="16" t="n"/>
      <c r="L681" s="17" t="n"/>
      <c r="M681" s="137">
        <f>DADOS_INVOC!$IK$5</f>
        <v/>
      </c>
      <c r="N681" s="16" t="n"/>
      <c r="O681" s="16" t="n"/>
      <c r="P681" s="16" t="n"/>
      <c r="Q681" s="16" t="n"/>
      <c r="R681" s="16" t="n"/>
      <c r="S681" s="16" t="n"/>
      <c r="T681" s="16" t="n"/>
      <c r="U681" s="16" t="n"/>
      <c r="V681" s="16" t="n"/>
      <c r="W681" s="16" t="n"/>
      <c r="X681" s="16" t="n"/>
      <c r="Y681" s="17" t="n"/>
      <c r="Z681" s="120" t="n"/>
      <c r="AB681" s="55" t="inlineStr">
        <is>
          <t>NV 30 · CE 3</t>
        </is>
      </c>
      <c r="AC681" s="130" t="n"/>
      <c r="AD681" s="16" t="n"/>
      <c r="AE681" s="17" t="n"/>
      <c r="AF681" s="137">
        <f>DADOS_INVOC!$IK$11</f>
        <v/>
      </c>
      <c r="AG681" s="16" t="n"/>
      <c r="AH681" s="16" t="n"/>
      <c r="AI681" s="16" t="n"/>
      <c r="AJ681" s="16" t="n"/>
      <c r="AK681" s="16" t="n"/>
      <c r="AL681" s="16" t="n"/>
      <c r="AM681" s="16" t="n"/>
      <c r="AN681" s="16" t="n"/>
      <c r="AO681" s="16" t="n"/>
      <c r="AP681" s="16" t="n"/>
      <c r="AQ681" s="16" t="n"/>
      <c r="AR681" s="17" t="n"/>
      <c r="AS681" s="120" t="n"/>
    </row>
    <row r="682" hidden="1" outlineLevel="1">
      <c r="A682" s="8" t="n"/>
      <c r="B682" s="14" t="n"/>
      <c r="C682" s="120" t="n"/>
      <c r="D682" s="120" t="n"/>
      <c r="E682" s="120" t="n"/>
      <c r="F682" s="120" t="n"/>
      <c r="G682" s="120" t="n"/>
      <c r="I682" s="120" t="n"/>
      <c r="J682" s="120" t="n"/>
      <c r="K682" s="120" t="n"/>
      <c r="L682" s="120" t="n"/>
      <c r="M682" s="120" t="n"/>
      <c r="N682" s="120" t="n"/>
      <c r="O682" s="120" t="n"/>
      <c r="P682" s="120" t="n"/>
      <c r="Q682" s="120" t="n"/>
      <c r="R682" s="120" t="n"/>
      <c r="S682" s="120" t="n"/>
      <c r="T682" s="120" t="n"/>
      <c r="U682" s="120" t="n"/>
      <c r="V682" s="120" t="n"/>
      <c r="W682" s="120" t="n"/>
      <c r="X682" s="120" t="n"/>
      <c r="Y682" s="120" t="n"/>
      <c r="Z682" s="120" t="n"/>
      <c r="AB682" s="120" t="n"/>
      <c r="AC682" s="120" t="n"/>
      <c r="AD682" s="120" t="n"/>
      <c r="AE682" s="120" t="n"/>
      <c r="AF682" s="120" t="n"/>
      <c r="AG682" s="120" t="n"/>
      <c r="AH682" s="120" t="n"/>
      <c r="AI682" s="120" t="n"/>
      <c r="AJ682" s="120" t="n"/>
      <c r="AK682" s="120" t="n"/>
      <c r="AL682" s="120" t="n"/>
      <c r="AM682" s="120" t="n"/>
      <c r="AN682" s="120" t="n"/>
      <c r="AO682" s="120" t="n"/>
      <c r="AP682" s="120" t="n"/>
      <c r="AQ682" s="120" t="n"/>
      <c r="AR682" s="120" t="n"/>
      <c r="AS682" s="120" t="n"/>
    </row>
    <row r="683" hidden="1" outlineLevel="1">
      <c r="A683" s="8" t="n"/>
      <c r="B683" s="14" t="n"/>
      <c r="C683" s="120" t="n"/>
      <c r="D683" s="120" t="n"/>
      <c r="E683" s="120" t="n"/>
      <c r="F683" s="120" t="n"/>
      <c r="G683" s="120" t="n"/>
      <c r="I683" s="13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0" t="n"/>
      <c r="AB683" s="13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0" t="n"/>
    </row>
    <row r="684" hidden="1" outlineLevel="2">
      <c r="A684" s="8" t="n"/>
      <c r="B684" s="14" t="n"/>
      <c r="C684" s="120" t="n"/>
      <c r="D684" s="120" t="n"/>
      <c r="E684" s="120" t="n"/>
      <c r="F684" s="120" t="n"/>
      <c r="G684" s="120" t="n"/>
      <c r="I684" s="120" t="n"/>
      <c r="J684" s="120" t="n"/>
      <c r="K684" s="120" t="n"/>
      <c r="L684" s="120" t="n"/>
      <c r="M684" s="120" t="n"/>
      <c r="N684" s="120" t="n"/>
      <c r="O684" s="120" t="n"/>
      <c r="P684" s="120" t="n"/>
      <c r="Q684" s="120" t="n"/>
      <c r="R684" s="120" t="n"/>
      <c r="S684" s="120" t="n"/>
      <c r="T684" s="120" t="n"/>
      <c r="U684" s="120" t="n"/>
      <c r="V684" s="120" t="n"/>
      <c r="W684" s="120" t="n"/>
      <c r="X684" s="120" t="n"/>
      <c r="Y684" s="120" t="n"/>
      <c r="Z684" s="120" t="n"/>
      <c r="AB684" s="120" t="n"/>
      <c r="AC684" s="120" t="n"/>
      <c r="AD684" s="120" t="n"/>
      <c r="AE684" s="120" t="n"/>
      <c r="AF684" s="120" t="n"/>
      <c r="AG684" s="120" t="n"/>
      <c r="AH684" s="120" t="n"/>
      <c r="AI684" s="120" t="n"/>
      <c r="AJ684" s="120" t="n"/>
      <c r="AK684" s="120" t="n"/>
      <c r="AL684" s="120" t="n"/>
      <c r="AM684" s="120" t="n"/>
      <c r="AN684" s="120" t="n"/>
      <c r="AO684" s="120" t="n"/>
      <c r="AP684" s="120" t="n"/>
      <c r="AQ684" s="120" t="n"/>
      <c r="AR684" s="120" t="n"/>
      <c r="AS684" s="120" t="n"/>
    </row>
    <row r="685" hidden="1" outlineLevel="2">
      <c r="A685" s="8" t="n"/>
      <c r="B685" s="14" t="n"/>
      <c r="C685" s="120" t="n"/>
      <c r="D685" s="120" t="n"/>
      <c r="E685" s="120" t="n"/>
      <c r="F685" s="120" t="n"/>
      <c r="G685" s="120" t="n"/>
      <c r="I685" s="55">
        <f>DADOS_INVOC!$PM$44</f>
        <v/>
      </c>
      <c r="J685" s="16" t="n"/>
      <c r="K685" s="16" t="n"/>
      <c r="L685" s="16" t="n"/>
      <c r="M685" s="17" t="n"/>
      <c r="N685" s="120" t="n"/>
      <c r="O685" s="55">
        <f>DADOS_INVOC!$PM$45</f>
        <v/>
      </c>
      <c r="P685" s="16" t="n"/>
      <c r="Q685" s="16" t="n"/>
      <c r="R685" s="16" t="n"/>
      <c r="S685" s="17" t="n"/>
      <c r="T685" s="120" t="n"/>
      <c r="U685" s="55">
        <f>DADOS_INVOC!$PM$46</f>
        <v/>
      </c>
      <c r="V685" s="16" t="n"/>
      <c r="W685" s="16" t="n"/>
      <c r="X685" s="16" t="n"/>
      <c r="Y685" s="17" t="n"/>
      <c r="Z685" s="120" t="n"/>
      <c r="AB685" s="55">
        <f>DADOS_INVOC!$PM$122</f>
        <v/>
      </c>
      <c r="AC685" s="16" t="n"/>
      <c r="AD685" s="16" t="n"/>
      <c r="AE685" s="16" t="n"/>
      <c r="AF685" s="17" t="n"/>
      <c r="AG685" s="120" t="n"/>
      <c r="AH685" s="55">
        <f>DADOS_INVOC!$PM$123</f>
        <v/>
      </c>
      <c r="AI685" s="16" t="n"/>
      <c r="AJ685" s="16" t="n"/>
      <c r="AK685" s="16" t="n"/>
      <c r="AL685" s="17" t="n"/>
      <c r="AM685" s="120" t="n"/>
      <c r="AN685" s="55">
        <f>DADOS_INVOC!$PM$124</f>
        <v/>
      </c>
      <c r="AO685" s="16" t="n"/>
      <c r="AP685" s="16" t="n"/>
      <c r="AQ685" s="16" t="n"/>
      <c r="AR685" s="17" t="n"/>
      <c r="AS685" s="120" t="n"/>
    </row>
    <row r="686" hidden="1" outlineLevel="2">
      <c r="A686" s="8" t="n"/>
      <c r="B686" s="14" t="n"/>
      <c r="C686" s="120" t="n"/>
      <c r="D686" s="120" t="n"/>
      <c r="E686" s="120" t="n"/>
      <c r="F686" s="120" t="n"/>
      <c r="G686" s="120" t="n"/>
      <c r="I686" s="127" t="n">
        <v>0</v>
      </c>
      <c r="J686" s="115" t="n"/>
      <c r="K686" s="16" t="n"/>
      <c r="L686" s="17" t="n"/>
      <c r="M686" s="128">
        <f>DADOS_INVOC!$PK$44</f>
        <v/>
      </c>
      <c r="N686" s="120" t="n"/>
      <c r="O686" s="127" t="n">
        <v>1</v>
      </c>
      <c r="P686" s="115" t="n"/>
      <c r="Q686" s="16" t="n"/>
      <c r="R686" s="17" t="n"/>
      <c r="S686" s="128">
        <f>DADOS_INVOC!$PK$45</f>
        <v/>
      </c>
      <c r="T686" s="120" t="n"/>
      <c r="U686" s="127" t="n">
        <v>1</v>
      </c>
      <c r="V686" s="115" t="n"/>
      <c r="W686" s="16" t="n"/>
      <c r="X686" s="17" t="n"/>
      <c r="Y686" s="128">
        <f>DADOS_INVOC!$PK$46</f>
        <v/>
      </c>
      <c r="Z686" s="120" t="n"/>
      <c r="AB686" s="127" t="n">
        <v>0</v>
      </c>
      <c r="AC686" s="115" t="n"/>
      <c r="AD686" s="16" t="n"/>
      <c r="AE686" s="17" t="n"/>
      <c r="AF686" s="128">
        <f>DADOS_INVOC!$PK$122</f>
        <v/>
      </c>
      <c r="AG686" s="120" t="n"/>
      <c r="AH686" s="127" t="n">
        <v>1</v>
      </c>
      <c r="AI686" s="115" t="n"/>
      <c r="AJ686" s="16" t="n"/>
      <c r="AK686" s="17" t="n"/>
      <c r="AL686" s="128">
        <f>DADOS_INVOC!$PK$123</f>
        <v/>
      </c>
      <c r="AM686" s="120" t="n"/>
      <c r="AN686" s="127" t="n">
        <v>1</v>
      </c>
      <c r="AO686" s="115" t="n"/>
      <c r="AP686" s="16" t="n"/>
      <c r="AQ686" s="17" t="n"/>
      <c r="AR686" s="128">
        <f>DADOS_INVOC!$PK$124</f>
        <v/>
      </c>
      <c r="AS686" s="120" t="n"/>
    </row>
    <row r="687" hidden="1" outlineLevel="3">
      <c r="A687" s="8" t="n"/>
      <c r="B687" s="14" t="n"/>
      <c r="C687" s="120" t="n"/>
      <c r="D687" s="120" t="n"/>
      <c r="E687" s="120" t="n"/>
      <c r="F687" s="120" t="n"/>
      <c r="G687" s="120" t="n"/>
      <c r="I687" s="55" t="inlineStr">
        <is>
          <t>COMO É</t>
        </is>
      </c>
      <c r="J687" s="16" t="n"/>
      <c r="K687" s="16" t="n"/>
      <c r="L687" s="16" t="n"/>
      <c r="M687" s="17" t="n"/>
      <c r="N687" s="120" t="n"/>
      <c r="O687" s="55" t="inlineStr">
        <is>
          <t>COMO É</t>
        </is>
      </c>
      <c r="P687" s="16" t="n"/>
      <c r="Q687" s="16" t="n"/>
      <c r="R687" s="16" t="n"/>
      <c r="S687" s="17" t="n"/>
      <c r="T687" s="120" t="n"/>
      <c r="U687" s="55" t="inlineStr">
        <is>
          <t>COMO É</t>
        </is>
      </c>
      <c r="V687" s="16" t="n"/>
      <c r="W687" s="16" t="n"/>
      <c r="X687" s="16" t="n"/>
      <c r="Y687" s="17" t="n"/>
      <c r="Z687" s="120" t="n"/>
      <c r="AB687" s="55" t="inlineStr">
        <is>
          <t>COMO É</t>
        </is>
      </c>
      <c r="AC687" s="16" t="n"/>
      <c r="AD687" s="16" t="n"/>
      <c r="AE687" s="16" t="n"/>
      <c r="AF687" s="17" t="n"/>
      <c r="AG687" s="120" t="n"/>
      <c r="AH687" s="55" t="inlineStr">
        <is>
          <t>COMO É</t>
        </is>
      </c>
      <c r="AI687" s="16" t="n"/>
      <c r="AJ687" s="16" t="n"/>
      <c r="AK687" s="16" t="n"/>
      <c r="AL687" s="17" t="n"/>
      <c r="AM687" s="120" t="n"/>
      <c r="AN687" s="55" t="inlineStr">
        <is>
          <t>COMO É</t>
        </is>
      </c>
      <c r="AO687" s="16" t="n"/>
      <c r="AP687" s="16" t="n"/>
      <c r="AQ687" s="16" t="n"/>
      <c r="AR687" s="17" t="n"/>
      <c r="AS687" s="120" t="n"/>
    </row>
    <row r="688" hidden="1" outlineLevel="3">
      <c r="A688" s="8" t="n"/>
      <c r="B688" s="14" t="n"/>
      <c r="C688" s="120" t="n"/>
      <c r="D688" s="120" t="n"/>
      <c r="E688" s="120" t="n"/>
      <c r="F688" s="120" t="n"/>
      <c r="G688" s="120" t="n"/>
      <c r="I688" s="116" t="n"/>
      <c r="J688" s="19" t="n"/>
      <c r="K688" s="19" t="n"/>
      <c r="L688" s="19" t="n"/>
      <c r="M688" s="20" t="n"/>
      <c r="N688" s="120" t="n"/>
      <c r="O688" s="116" t="n"/>
      <c r="P688" s="19" t="n"/>
      <c r="Q688" s="19" t="n"/>
      <c r="R688" s="19" t="n"/>
      <c r="S688" s="20" t="n"/>
      <c r="T688" s="120" t="n"/>
      <c r="U688" s="116" t="n"/>
      <c r="V688" s="19" t="n"/>
      <c r="W688" s="19" t="n"/>
      <c r="X688" s="19" t="n"/>
      <c r="Y688" s="20" t="n"/>
      <c r="Z688" s="120" t="n"/>
      <c r="AB688" s="116" t="n"/>
      <c r="AC688" s="19" t="n"/>
      <c r="AD688" s="19" t="n"/>
      <c r="AE688" s="19" t="n"/>
      <c r="AF688" s="20" t="n"/>
      <c r="AG688" s="120" t="n"/>
      <c r="AH688" s="116" t="n"/>
      <c r="AI688" s="19" t="n"/>
      <c r="AJ688" s="19" t="n"/>
      <c r="AK688" s="19" t="n"/>
      <c r="AL688" s="20" t="n"/>
      <c r="AM688" s="120" t="n"/>
      <c r="AN688" s="116" t="n"/>
      <c r="AO688" s="19" t="n"/>
      <c r="AP688" s="19" t="n"/>
      <c r="AQ688" s="19" t="n"/>
      <c r="AR688" s="20" t="n"/>
      <c r="AS688" s="120" t="n"/>
    </row>
    <row r="689" hidden="1" outlineLevel="3">
      <c r="A689" s="8" t="n"/>
      <c r="B689" s="14" t="n"/>
      <c r="C689" s="120" t="n"/>
      <c r="D689" s="120" t="n"/>
      <c r="E689" s="120" t="n"/>
      <c r="F689" s="120" t="n"/>
      <c r="G689" s="120" t="n"/>
      <c r="I689" s="21" t="n"/>
      <c r="M689" s="22" t="n"/>
      <c r="N689" s="120" t="n"/>
      <c r="O689" s="21" t="n"/>
      <c r="S689" s="22" t="n"/>
      <c r="T689" s="120" t="n"/>
      <c r="U689" s="21" t="n"/>
      <c r="Y689" s="22" t="n"/>
      <c r="Z689" s="120" t="n"/>
      <c r="AB689" s="21" t="n"/>
      <c r="AF689" s="22" t="n"/>
      <c r="AG689" s="120" t="n"/>
      <c r="AH689" s="21" t="n"/>
      <c r="AL689" s="22" t="n"/>
      <c r="AM689" s="120" t="n"/>
      <c r="AN689" s="21" t="n"/>
      <c r="AR689" s="22" t="n"/>
      <c r="AS689" s="120" t="n"/>
    </row>
    <row r="690" hidden="1" outlineLevel="3">
      <c r="A690" s="8" t="n"/>
      <c r="B690" s="14" t="n"/>
      <c r="C690" s="120" t="n"/>
      <c r="D690" s="120" t="n"/>
      <c r="E690" s="120" t="n"/>
      <c r="F690" s="120" t="n"/>
      <c r="G690" s="120" t="n"/>
      <c r="I690" s="23" t="n"/>
      <c r="J690" s="24" t="n"/>
      <c r="K690" s="24" t="n"/>
      <c r="L690" s="24" t="n"/>
      <c r="M690" s="25" t="n"/>
      <c r="N690" s="120" t="n"/>
      <c r="O690" s="23" t="n"/>
      <c r="P690" s="24" t="n"/>
      <c r="Q690" s="24" t="n"/>
      <c r="R690" s="24" t="n"/>
      <c r="S690" s="25" t="n"/>
      <c r="T690" s="120" t="n"/>
      <c r="U690" s="23" t="n"/>
      <c r="V690" s="24" t="n"/>
      <c r="W690" s="24" t="n"/>
      <c r="X690" s="24" t="n"/>
      <c r="Y690" s="25" t="n"/>
      <c r="Z690" s="120" t="n"/>
      <c r="AB690" s="23" t="n"/>
      <c r="AC690" s="24" t="n"/>
      <c r="AD690" s="24" t="n"/>
      <c r="AE690" s="24" t="n"/>
      <c r="AF690" s="25" t="n"/>
      <c r="AG690" s="120" t="n"/>
      <c r="AH690" s="23" t="n"/>
      <c r="AI690" s="24" t="n"/>
      <c r="AJ690" s="24" t="n"/>
      <c r="AK690" s="24" t="n"/>
      <c r="AL690" s="25" t="n"/>
      <c r="AM690" s="120" t="n"/>
      <c r="AN690" s="23" t="n"/>
      <c r="AO690" s="24" t="n"/>
      <c r="AP690" s="24" t="n"/>
      <c r="AQ690" s="24" t="n"/>
      <c r="AR690" s="25" t="n"/>
      <c r="AS690" s="120" t="n"/>
    </row>
    <row r="691" hidden="1" outlineLevel="2">
      <c r="A691" s="8" t="n"/>
      <c r="B691" s="14" t="n"/>
      <c r="C691" s="120" t="n"/>
      <c r="D691" s="120" t="n"/>
      <c r="E691" s="120" t="n"/>
      <c r="F691" s="120" t="n"/>
      <c r="G691" s="120" t="n"/>
      <c r="I691" s="124" t="inlineStr">
        <is>
          <t>Projétil</t>
        </is>
      </c>
      <c r="J691" s="17" t="n"/>
      <c r="K691" s="68">
        <f>DADOS_INVOC!$PR$44</f>
        <v/>
      </c>
      <c r="L691" s="17" t="n"/>
      <c r="M691" s="68">
        <f>DADOS_INVOC!$PN$44</f>
        <v/>
      </c>
      <c r="N691" s="120" t="n"/>
      <c r="O691" s="124" t="inlineStr">
        <is>
          <t>Projétil</t>
        </is>
      </c>
      <c r="P691" s="17" t="n"/>
      <c r="Q691" s="68">
        <f>DADOS_INVOC!$PR$45</f>
        <v/>
      </c>
      <c r="R691" s="17" t="n"/>
      <c r="S691" s="68">
        <f>DADOS_INVOC!$PN$45</f>
        <v/>
      </c>
      <c r="T691" s="120" t="n"/>
      <c r="U691" s="124" t="inlineStr">
        <is>
          <t>Projétil</t>
        </is>
      </c>
      <c r="V691" s="17" t="n"/>
      <c r="W691" s="68">
        <f>DADOS_INVOC!$PR$46</f>
        <v/>
      </c>
      <c r="X691" s="17" t="n"/>
      <c r="Y691" s="68">
        <f>DADOS_INVOC!$PN$46</f>
        <v/>
      </c>
      <c r="Z691" s="120" t="n"/>
      <c r="AB691" s="124" t="inlineStr">
        <is>
          <t>Projétil</t>
        </is>
      </c>
      <c r="AC691" s="17" t="n"/>
      <c r="AD691" s="68">
        <f>DADOS_INVOC!$PR$122</f>
        <v/>
      </c>
      <c r="AE691" s="17" t="n"/>
      <c r="AF691" s="68">
        <f>DADOS_INVOC!$PN$122</f>
        <v/>
      </c>
      <c r="AG691" s="120" t="n"/>
      <c r="AH691" s="124" t="inlineStr">
        <is>
          <t>Projétil</t>
        </is>
      </c>
      <c r="AI691" s="17" t="n"/>
      <c r="AJ691" s="68">
        <f>DADOS_INVOC!$PR$123</f>
        <v/>
      </c>
      <c r="AK691" s="17" t="n"/>
      <c r="AL691" s="68">
        <f>DADOS_INVOC!$PN$123</f>
        <v/>
      </c>
      <c r="AM691" s="120" t="n"/>
      <c r="AN691" s="124" t="inlineStr">
        <is>
          <t>Projétil</t>
        </is>
      </c>
      <c r="AO691" s="17" t="n"/>
      <c r="AP691" s="68">
        <f>DADOS_INVOC!$PR$124</f>
        <v/>
      </c>
      <c r="AQ691" s="17" t="n"/>
      <c r="AR691" s="68">
        <f>DADOS_INVOC!$PN$124</f>
        <v/>
      </c>
      <c r="AS691" s="120" t="n"/>
    </row>
    <row r="692" hidden="1" outlineLevel="2">
      <c r="A692" s="8" t="n"/>
      <c r="B692" s="14" t="n"/>
      <c r="C692" s="120" t="n"/>
      <c r="D692" s="120" t="n"/>
      <c r="E692" s="120" t="n"/>
      <c r="F692" s="120" t="n"/>
      <c r="G692" s="120" t="n"/>
      <c r="I692" s="124" t="n"/>
      <c r="J692" s="17" t="n"/>
      <c r="K692" s="124" t="n"/>
      <c r="L692" s="16" t="n"/>
      <c r="M692" s="17" t="n"/>
      <c r="N692" s="120" t="n"/>
      <c r="O692" s="124" t="n"/>
      <c r="P692" s="17" t="n"/>
      <c r="Q692" s="124" t="n"/>
      <c r="R692" s="16" t="n"/>
      <c r="S692" s="17" t="n"/>
      <c r="T692" s="120" t="n"/>
      <c r="U692" s="124" t="n"/>
      <c r="V692" s="17" t="n"/>
      <c r="W692" s="124" t="n"/>
      <c r="X692" s="16" t="n"/>
      <c r="Y692" s="17" t="n"/>
      <c r="Z692" s="120" t="n"/>
      <c r="AB692" s="124" t="n"/>
      <c r="AC692" s="17" t="n"/>
      <c r="AD692" s="124" t="n"/>
      <c r="AE692" s="16" t="n"/>
      <c r="AF692" s="17" t="n"/>
      <c r="AG692" s="120" t="n"/>
      <c r="AH692" s="124" t="n"/>
      <c r="AI692" s="17" t="n"/>
      <c r="AJ692" s="124" t="n"/>
      <c r="AK692" s="16" t="n"/>
      <c r="AL692" s="17" t="n"/>
      <c r="AM692" s="120" t="n"/>
      <c r="AN692" s="124" t="n"/>
      <c r="AO692" s="17" t="n"/>
      <c r="AP692" s="124" t="n"/>
      <c r="AQ692" s="16" t="n"/>
      <c r="AR692" s="17" t="n"/>
      <c r="AS692" s="120" t="n"/>
    </row>
    <row r="693" hidden="1" outlineLevel="2">
      <c r="A693" s="8" t="n"/>
      <c r="B693" s="14" t="n"/>
      <c r="C693" s="120" t="n"/>
      <c r="D693" s="120" t="n"/>
      <c r="E693" s="120" t="n"/>
      <c r="F693" s="120" t="n"/>
      <c r="G693" s="120" t="n"/>
      <c r="I693" s="124">
        <f>DADOS_INVOC!$PO$44</f>
        <v/>
      </c>
      <c r="J693" s="17" t="n"/>
      <c r="K693" s="124">
        <f>DADOS_INVOC!$PQ$44</f>
        <v/>
      </c>
      <c r="L693" s="16" t="n"/>
      <c r="M693" s="17" t="n"/>
      <c r="N693" s="120" t="n"/>
      <c r="O693" s="124">
        <f>DADOS_INVOC!$PO$45</f>
        <v/>
      </c>
      <c r="P693" s="17" t="n"/>
      <c r="Q693" s="124">
        <f>DADOS_INVOC!$PQ$45</f>
        <v/>
      </c>
      <c r="R693" s="16" t="n"/>
      <c r="S693" s="17" t="n"/>
      <c r="T693" s="120" t="n"/>
      <c r="U693" s="124">
        <f>DADOS_INVOC!$PO$46</f>
        <v/>
      </c>
      <c r="V693" s="17" t="n"/>
      <c r="W693" s="124">
        <f>DADOS_INVOC!$PQ$46</f>
        <v/>
      </c>
      <c r="X693" s="16" t="n"/>
      <c r="Y693" s="17" t="n"/>
      <c r="Z693" s="120" t="n"/>
      <c r="AB693" s="124">
        <f>DADOS_INVOC!$PO$122</f>
        <v/>
      </c>
      <c r="AC693" s="17" t="n"/>
      <c r="AD693" s="124">
        <f>DADOS_INVOC!$PQ$122</f>
        <v/>
      </c>
      <c r="AE693" s="16" t="n"/>
      <c r="AF693" s="17" t="n"/>
      <c r="AG693" s="120" t="n"/>
      <c r="AH693" s="124">
        <f>DADOS_INVOC!$PO$123</f>
        <v/>
      </c>
      <c r="AI693" s="17" t="n"/>
      <c r="AJ693" s="124">
        <f>DADOS_INVOC!$PQ$123</f>
        <v/>
      </c>
      <c r="AK693" s="16" t="n"/>
      <c r="AL693" s="17" t="n"/>
      <c r="AM693" s="120" t="n"/>
      <c r="AN693" s="124">
        <f>DADOS_INVOC!$PO$124</f>
        <v/>
      </c>
      <c r="AO693" s="17" t="n"/>
      <c r="AP693" s="124">
        <f>DADOS_INVOC!$PQ$124</f>
        <v/>
      </c>
      <c r="AQ693" s="16" t="n"/>
      <c r="AR693" s="17" t="n"/>
      <c r="AS693" s="120" t="n"/>
    </row>
    <row r="694" hidden="1" outlineLevel="2">
      <c r="A694" s="8" t="n"/>
      <c r="B694" s="14" t="n"/>
      <c r="C694" s="120" t="n"/>
      <c r="D694" s="120" t="n"/>
      <c r="E694" s="120" t="n"/>
      <c r="F694" s="120" t="n"/>
      <c r="G694" s="120" t="n"/>
      <c r="I694" s="129">
        <f>DADOS_INVOC!$PW$44</f>
        <v/>
      </c>
      <c r="J694" s="16" t="n"/>
      <c r="K694" s="16" t="n"/>
      <c r="L694" s="16" t="n"/>
      <c r="M694" s="17" t="n"/>
      <c r="N694" s="120" t="n"/>
      <c r="O694" s="129">
        <f>DADOS_INVOC!$PW$45</f>
        <v/>
      </c>
      <c r="P694" s="16" t="n"/>
      <c r="Q694" s="16" t="n"/>
      <c r="R694" s="16" t="n"/>
      <c r="S694" s="17" t="n"/>
      <c r="T694" s="120" t="n"/>
      <c r="U694" s="129">
        <f>DADOS_INVOC!$PW$46</f>
        <v/>
      </c>
      <c r="V694" s="16" t="n"/>
      <c r="W694" s="16" t="n"/>
      <c r="X694" s="16" t="n"/>
      <c r="Y694" s="17" t="n"/>
      <c r="Z694" s="120" t="n"/>
      <c r="AB694" s="129">
        <f>DADOS_INVOC!$PW$122</f>
        <v/>
      </c>
      <c r="AC694" s="16" t="n"/>
      <c r="AD694" s="16" t="n"/>
      <c r="AE694" s="16" t="n"/>
      <c r="AF694" s="17" t="n"/>
      <c r="AG694" s="120" t="n"/>
      <c r="AH694" s="129">
        <f>DADOS_INVOC!$PW$123</f>
        <v/>
      </c>
      <c r="AI694" s="16" t="n"/>
      <c r="AJ694" s="16" t="n"/>
      <c r="AK694" s="16" t="n"/>
      <c r="AL694" s="17" t="n"/>
      <c r="AM694" s="120" t="n"/>
      <c r="AN694" s="129">
        <f>DADOS_INVOC!$PW$124</f>
        <v/>
      </c>
      <c r="AO694" s="16" t="n"/>
      <c r="AP694" s="16" t="n"/>
      <c r="AQ694" s="16" t="n"/>
      <c r="AR694" s="17" t="n"/>
      <c r="AS694" s="120" t="n"/>
    </row>
    <row r="695" hidden="1" outlineLevel="3">
      <c r="A695" s="8" t="n"/>
      <c r="B695" s="14" t="n"/>
      <c r="C695" s="120" t="n"/>
      <c r="D695" s="120" t="n"/>
      <c r="E695" s="120" t="n"/>
      <c r="F695" s="120" t="n"/>
      <c r="G695" s="120" t="n"/>
      <c r="I695" s="55" t="inlineStr">
        <is>
          <t>MELHORIAS</t>
        </is>
      </c>
      <c r="J695" s="130" t="n"/>
      <c r="K695" s="16" t="n"/>
      <c r="L695" s="17" t="n"/>
      <c r="M695" s="129">
        <f>DADOS_INVOC!$PZ$44</f>
        <v/>
      </c>
      <c r="N695" s="120" t="n"/>
      <c r="O695" s="55" t="inlineStr">
        <is>
          <t>MELHORIAS</t>
        </is>
      </c>
      <c r="P695" s="130" t="n"/>
      <c r="Q695" s="16" t="n"/>
      <c r="R695" s="17" t="n"/>
      <c r="S695" s="129">
        <f>DADOS_INVOC!$PZ$45</f>
        <v/>
      </c>
      <c r="T695" s="120" t="n"/>
      <c r="U695" s="55" t="inlineStr">
        <is>
          <t>MELHORIAS</t>
        </is>
      </c>
      <c r="V695" s="130" t="n"/>
      <c r="W695" s="16" t="n"/>
      <c r="X695" s="17" t="n"/>
      <c r="Y695" s="129">
        <f>DADOS_INVOC!$PZ$46</f>
        <v/>
      </c>
      <c r="Z695" s="120" t="n"/>
      <c r="AB695" s="55" t="inlineStr">
        <is>
          <t>MELHORIAS</t>
        </is>
      </c>
      <c r="AC695" s="130" t="n"/>
      <c r="AD695" s="16" t="n"/>
      <c r="AE695" s="17" t="n"/>
      <c r="AF695" s="129">
        <f>DADOS_INVOC!$PZ$122</f>
        <v/>
      </c>
      <c r="AG695" s="120" t="n"/>
      <c r="AH695" s="55" t="inlineStr">
        <is>
          <t>MELHORIAS</t>
        </is>
      </c>
      <c r="AI695" s="130" t="n"/>
      <c r="AJ695" s="16" t="n"/>
      <c r="AK695" s="17" t="n"/>
      <c r="AL695" s="129">
        <f>DADOS_INVOC!$PZ$123</f>
        <v/>
      </c>
      <c r="AM695" s="120" t="n"/>
      <c r="AN695" s="55" t="inlineStr">
        <is>
          <t>MELHORIAS</t>
        </is>
      </c>
      <c r="AO695" s="130" t="n"/>
      <c r="AP695" s="16" t="n"/>
      <c r="AQ695" s="17" t="n"/>
      <c r="AR695" s="129">
        <f>DADOS_INVOC!$PZ$124</f>
        <v/>
      </c>
      <c r="AS695" s="120" t="n"/>
    </row>
    <row r="696" hidden="1" outlineLevel="3">
      <c r="A696" s="8" t="n"/>
      <c r="B696" s="14" t="n"/>
      <c r="C696" s="120" t="n"/>
      <c r="D696" s="120" t="n"/>
      <c r="E696" s="120" t="n"/>
      <c r="F696" s="120" t="n"/>
      <c r="G696" s="120" t="n"/>
      <c r="I696" s="131" t="n"/>
      <c r="J696" s="130" t="n"/>
      <c r="K696" s="16" t="n"/>
      <c r="L696" s="17" t="n"/>
      <c r="M696" s="129">
        <f>DADOS_INVOC!$QA$44</f>
        <v/>
      </c>
      <c r="N696" s="120" t="n"/>
      <c r="O696" s="131" t="n"/>
      <c r="P696" s="130" t="n"/>
      <c r="Q696" s="16" t="n"/>
      <c r="R696" s="17" t="n"/>
      <c r="S696" s="129">
        <f>DADOS_INVOC!$QA$45</f>
        <v/>
      </c>
      <c r="T696" s="120" t="n"/>
      <c r="U696" s="131" t="n"/>
      <c r="V696" s="130" t="n"/>
      <c r="W696" s="16" t="n"/>
      <c r="X696" s="17" t="n"/>
      <c r="Y696" s="129">
        <f>DADOS_INVOC!$QA$46</f>
        <v/>
      </c>
      <c r="Z696" s="120" t="n"/>
      <c r="AB696" s="131" t="n"/>
      <c r="AC696" s="130" t="n"/>
      <c r="AD696" s="16" t="n"/>
      <c r="AE696" s="17" t="n"/>
      <c r="AF696" s="129">
        <f>DADOS_INVOC!$QA$122</f>
        <v/>
      </c>
      <c r="AG696" s="120" t="n"/>
      <c r="AH696" s="131" t="n"/>
      <c r="AI696" s="130" t="n"/>
      <c r="AJ696" s="16" t="n"/>
      <c r="AK696" s="17" t="n"/>
      <c r="AL696" s="129">
        <f>DADOS_INVOC!$QA$123</f>
        <v/>
      </c>
      <c r="AM696" s="120" t="n"/>
      <c r="AN696" s="131" t="n"/>
      <c r="AO696" s="130" t="n"/>
      <c r="AP696" s="16" t="n"/>
      <c r="AQ696" s="17" t="n"/>
      <c r="AR696" s="129">
        <f>DADOS_INVOC!$QA$124</f>
        <v/>
      </c>
      <c r="AS696" s="120" t="n"/>
    </row>
    <row r="697" hidden="1" outlineLevel="3">
      <c r="A697" s="8" t="n"/>
      <c r="B697" s="14" t="n"/>
      <c r="C697" s="120" t="n"/>
      <c r="D697" s="120" t="n"/>
      <c r="E697" s="120" t="n"/>
      <c r="F697" s="120" t="n"/>
      <c r="G697" s="120" t="n"/>
      <c r="I697" s="131" t="n"/>
      <c r="J697" s="130" t="n"/>
      <c r="K697" s="16" t="n"/>
      <c r="L697" s="17" t="n"/>
      <c r="M697" s="129">
        <f>DADOS_INVOC!$QB$44</f>
        <v/>
      </c>
      <c r="N697" s="120" t="n"/>
      <c r="O697" s="131" t="n"/>
      <c r="P697" s="130" t="n"/>
      <c r="Q697" s="16" t="n"/>
      <c r="R697" s="17" t="n"/>
      <c r="S697" s="129">
        <f>DADOS_INVOC!$QB$45</f>
        <v/>
      </c>
      <c r="T697" s="120" t="n"/>
      <c r="U697" s="131" t="n"/>
      <c r="V697" s="130" t="n"/>
      <c r="W697" s="16" t="n"/>
      <c r="X697" s="17" t="n"/>
      <c r="Y697" s="129">
        <f>DADOS_INVOC!$QB$46</f>
        <v/>
      </c>
      <c r="Z697" s="120" t="n"/>
      <c r="AB697" s="131" t="n"/>
      <c r="AC697" s="130" t="n"/>
      <c r="AD697" s="16" t="n"/>
      <c r="AE697" s="17" t="n"/>
      <c r="AF697" s="129">
        <f>DADOS_INVOC!$QB$122</f>
        <v/>
      </c>
      <c r="AG697" s="120" t="n"/>
      <c r="AH697" s="131" t="n"/>
      <c r="AI697" s="130" t="n"/>
      <c r="AJ697" s="16" t="n"/>
      <c r="AK697" s="17" t="n"/>
      <c r="AL697" s="129">
        <f>DADOS_INVOC!$QB$123</f>
        <v/>
      </c>
      <c r="AM697" s="120" t="n"/>
      <c r="AN697" s="131" t="n"/>
      <c r="AO697" s="130" t="n"/>
      <c r="AP697" s="16" t="n"/>
      <c r="AQ697" s="17" t="n"/>
      <c r="AR697" s="129">
        <f>DADOS_INVOC!$QB$124</f>
        <v/>
      </c>
      <c r="AS697" s="120" t="n"/>
    </row>
    <row r="698" hidden="1" outlineLevel="3">
      <c r="A698" s="8" t="n"/>
      <c r="B698" s="14" t="n"/>
      <c r="C698" s="120" t="n"/>
      <c r="D698" s="120" t="n"/>
      <c r="E698" s="120" t="n"/>
      <c r="F698" s="120" t="n"/>
      <c r="G698" s="120" t="n"/>
      <c r="I698" s="125" t="n"/>
      <c r="J698" s="130" t="n"/>
      <c r="K698" s="16" t="n"/>
      <c r="L698" s="17" t="n"/>
      <c r="M698" s="129">
        <f>DADOS_INVOC!$QC$44</f>
        <v/>
      </c>
      <c r="N698" s="120" t="n"/>
      <c r="O698" s="125" t="n"/>
      <c r="P698" s="130" t="n"/>
      <c r="Q698" s="16" t="n"/>
      <c r="R698" s="17" t="n"/>
      <c r="S698" s="129">
        <f>DADOS_INVOC!$QC$45</f>
        <v/>
      </c>
      <c r="T698" s="120" t="n"/>
      <c r="U698" s="125" t="n"/>
      <c r="V698" s="130" t="n"/>
      <c r="W698" s="16" t="n"/>
      <c r="X698" s="17" t="n"/>
      <c r="Y698" s="129">
        <f>DADOS_INVOC!$QC$46</f>
        <v/>
      </c>
      <c r="Z698" s="120" t="n"/>
      <c r="AB698" s="125" t="n"/>
      <c r="AC698" s="130" t="n"/>
      <c r="AD698" s="16" t="n"/>
      <c r="AE698" s="17" t="n"/>
      <c r="AF698" s="129">
        <f>DADOS_INVOC!$QC$122</f>
        <v/>
      </c>
      <c r="AG698" s="120" t="n"/>
      <c r="AH698" s="125" t="n"/>
      <c r="AI698" s="130" t="n"/>
      <c r="AJ698" s="16" t="n"/>
      <c r="AK698" s="17" t="n"/>
      <c r="AL698" s="129">
        <f>DADOS_INVOC!$QC$123</f>
        <v/>
      </c>
      <c r="AM698" s="120" t="n"/>
      <c r="AN698" s="125" t="n"/>
      <c r="AO698" s="130" t="n"/>
      <c r="AP698" s="16" t="n"/>
      <c r="AQ698" s="17" t="n"/>
      <c r="AR698" s="129">
        <f>DADOS_INVOC!$QC$124</f>
        <v/>
      </c>
      <c r="AS698" s="120" t="n"/>
    </row>
    <row r="699" hidden="1" outlineLevel="3">
      <c r="A699" s="8" t="n"/>
      <c r="B699" s="14" t="n"/>
      <c r="C699" s="120" t="n"/>
      <c r="D699" s="120" t="n"/>
      <c r="E699" s="120" t="n"/>
      <c r="F699" s="120" t="n"/>
      <c r="G699" s="120" t="n"/>
      <c r="I699" s="55" t="inlineStr">
        <is>
          <t>RESTRIÇÕES</t>
        </is>
      </c>
      <c r="J699" s="130" t="n"/>
      <c r="K699" s="16" t="n"/>
      <c r="L699" s="17" t="n"/>
      <c r="M699" s="129">
        <f>DADOS_INVOC!$QD$44</f>
        <v/>
      </c>
      <c r="N699" s="120" t="n"/>
      <c r="O699" s="55" t="inlineStr">
        <is>
          <t>RESTRIÇÕES</t>
        </is>
      </c>
      <c r="P699" s="130" t="n"/>
      <c r="Q699" s="16" t="n"/>
      <c r="R699" s="17" t="n"/>
      <c r="S699" s="129">
        <f>DADOS_INVOC!$QD$45</f>
        <v/>
      </c>
      <c r="T699" s="120" t="n"/>
      <c r="U699" s="55" t="inlineStr">
        <is>
          <t>RESTRIÇÕES</t>
        </is>
      </c>
      <c r="V699" s="130" t="n"/>
      <c r="W699" s="16" t="n"/>
      <c r="X699" s="17" t="n"/>
      <c r="Y699" s="129">
        <f>DADOS_INVOC!$QD$46</f>
        <v/>
      </c>
      <c r="Z699" s="120" t="n"/>
      <c r="AB699" s="55" t="inlineStr">
        <is>
          <t>RESTRIÇÕES</t>
        </is>
      </c>
      <c r="AC699" s="130" t="n"/>
      <c r="AD699" s="16" t="n"/>
      <c r="AE699" s="17" t="n"/>
      <c r="AF699" s="129">
        <f>DADOS_INVOC!$QD$122</f>
        <v/>
      </c>
      <c r="AG699" s="120" t="n"/>
      <c r="AH699" s="55" t="inlineStr">
        <is>
          <t>RESTRIÇÕES</t>
        </is>
      </c>
      <c r="AI699" s="130" t="n"/>
      <c r="AJ699" s="16" t="n"/>
      <c r="AK699" s="17" t="n"/>
      <c r="AL699" s="129">
        <f>DADOS_INVOC!$QD$123</f>
        <v/>
      </c>
      <c r="AM699" s="120" t="n"/>
      <c r="AN699" s="55" t="inlineStr">
        <is>
          <t>RESTRIÇÕES</t>
        </is>
      </c>
      <c r="AO699" s="130" t="n"/>
      <c r="AP699" s="16" t="n"/>
      <c r="AQ699" s="17" t="n"/>
      <c r="AR699" s="129">
        <f>DADOS_INVOC!$QD$124</f>
        <v/>
      </c>
      <c r="AS699" s="120" t="n"/>
    </row>
    <row r="700" hidden="1" outlineLevel="3">
      <c r="A700" s="8" t="n"/>
      <c r="B700" s="14" t="n"/>
      <c r="C700" s="120" t="n"/>
      <c r="D700" s="120" t="n"/>
      <c r="E700" s="120" t="n"/>
      <c r="F700" s="120" t="n"/>
      <c r="G700" s="120" t="n"/>
      <c r="I700" s="125" t="n"/>
      <c r="J700" s="130" t="n"/>
      <c r="K700" s="16" t="n"/>
      <c r="L700" s="17" t="n"/>
      <c r="M700" s="129">
        <f>DADOS_INVOC!$QE$44</f>
        <v/>
      </c>
      <c r="N700" s="120" t="n"/>
      <c r="O700" s="125" t="n"/>
      <c r="P700" s="130" t="n"/>
      <c r="Q700" s="16" t="n"/>
      <c r="R700" s="17" t="n"/>
      <c r="S700" s="129">
        <f>DADOS_INVOC!$QE$45</f>
        <v/>
      </c>
      <c r="T700" s="120" t="n"/>
      <c r="U700" s="125" t="n"/>
      <c r="V700" s="130" t="n"/>
      <c r="W700" s="16" t="n"/>
      <c r="X700" s="17" t="n"/>
      <c r="Y700" s="129">
        <f>DADOS_INVOC!$QE$46</f>
        <v/>
      </c>
      <c r="Z700" s="120" t="n"/>
      <c r="AB700" s="125" t="n"/>
      <c r="AC700" s="130" t="n"/>
      <c r="AD700" s="16" t="n"/>
      <c r="AE700" s="17" t="n"/>
      <c r="AF700" s="129">
        <f>DADOS_INVOC!$QE$122</f>
        <v/>
      </c>
      <c r="AG700" s="120" t="n"/>
      <c r="AH700" s="125" t="n"/>
      <c r="AI700" s="130" t="n"/>
      <c r="AJ700" s="16" t="n"/>
      <c r="AK700" s="17" t="n"/>
      <c r="AL700" s="129">
        <f>DADOS_INVOC!$QE$123</f>
        <v/>
      </c>
      <c r="AM700" s="120" t="n"/>
      <c r="AN700" s="125" t="n"/>
      <c r="AO700" s="130" t="n"/>
      <c r="AP700" s="16" t="n"/>
      <c r="AQ700" s="17" t="n"/>
      <c r="AR700" s="129">
        <f>DADOS_INVOC!$QE$124</f>
        <v/>
      </c>
      <c r="AS700" s="120" t="n"/>
    </row>
    <row r="701" hidden="1" outlineLevel="3">
      <c r="A701" s="8" t="n"/>
      <c r="B701" s="14" t="n"/>
      <c r="C701" s="120" t="n"/>
      <c r="D701" s="120" t="n"/>
      <c r="E701" s="120" t="n"/>
      <c r="F701" s="120" t="n"/>
      <c r="G701" s="120" t="n"/>
      <c r="I701" s="55" t="inlineStr">
        <is>
          <t>CONTA</t>
        </is>
      </c>
      <c r="J701" s="132">
        <f>DADOS_INVOC!$PX$44</f>
        <v/>
      </c>
      <c r="K701" s="16" t="n"/>
      <c r="L701" s="16" t="n"/>
      <c r="M701" s="17" t="n"/>
      <c r="N701" s="120" t="n"/>
      <c r="O701" s="55" t="inlineStr">
        <is>
          <t>CONTA</t>
        </is>
      </c>
      <c r="P701" s="132">
        <f>DADOS_INVOC!$PX$45</f>
        <v/>
      </c>
      <c r="Q701" s="16" t="n"/>
      <c r="R701" s="16" t="n"/>
      <c r="S701" s="17" t="n"/>
      <c r="T701" s="120" t="n"/>
      <c r="U701" s="55" t="inlineStr">
        <is>
          <t>CONTA</t>
        </is>
      </c>
      <c r="V701" s="132">
        <f>DADOS_INVOC!$PX$46</f>
        <v/>
      </c>
      <c r="W701" s="16" t="n"/>
      <c r="X701" s="16" t="n"/>
      <c r="Y701" s="17" t="n"/>
      <c r="Z701" s="120" t="n"/>
      <c r="AB701" s="55" t="inlineStr">
        <is>
          <t>CONTA</t>
        </is>
      </c>
      <c r="AC701" s="132">
        <f>DADOS_INVOC!$PX$122</f>
        <v/>
      </c>
      <c r="AD701" s="16" t="n"/>
      <c r="AE701" s="16" t="n"/>
      <c r="AF701" s="17" t="n"/>
      <c r="AG701" s="120" t="n"/>
      <c r="AH701" s="55" t="inlineStr">
        <is>
          <t>CONTA</t>
        </is>
      </c>
      <c r="AI701" s="132">
        <f>DADOS_INVOC!$PX$123</f>
        <v/>
      </c>
      <c r="AJ701" s="16" t="n"/>
      <c r="AK701" s="16" t="n"/>
      <c r="AL701" s="17" t="n"/>
      <c r="AM701" s="120" t="n"/>
      <c r="AN701" s="55" t="inlineStr">
        <is>
          <t>CONTA</t>
        </is>
      </c>
      <c r="AO701" s="132">
        <f>DADOS_INVOC!$PX$124</f>
        <v/>
      </c>
      <c r="AP701" s="16" t="n"/>
      <c r="AQ701" s="16" t="n"/>
      <c r="AR701" s="17" t="n"/>
      <c r="AS701" s="120" t="n"/>
    </row>
    <row r="702" hidden="1" outlineLevel="3">
      <c r="A702" s="8" t="n"/>
      <c r="B702" s="14" t="n"/>
      <c r="C702" s="120" t="n"/>
      <c r="D702" s="120" t="n"/>
      <c r="E702" s="120" t="n"/>
      <c r="F702" s="120" t="n"/>
      <c r="G702" s="120" t="n"/>
      <c r="I702" s="55" t="inlineStr">
        <is>
          <t>AMPLIAR</t>
        </is>
      </c>
      <c r="J702" s="132">
        <f>DADOS_INVOC!$PY$44</f>
        <v/>
      </c>
      <c r="K702" s="19" t="n"/>
      <c r="L702" s="19" t="n"/>
      <c r="M702" s="20" t="n"/>
      <c r="N702" s="120" t="n"/>
      <c r="O702" s="55" t="inlineStr">
        <is>
          <t>AMPLIAR</t>
        </is>
      </c>
      <c r="P702" s="132">
        <f>DADOS_INVOC!$PY$45</f>
        <v/>
      </c>
      <c r="Q702" s="19" t="n"/>
      <c r="R702" s="19" t="n"/>
      <c r="S702" s="20" t="n"/>
      <c r="T702" s="120" t="n"/>
      <c r="U702" s="55" t="inlineStr">
        <is>
          <t>AMPLIAR</t>
        </is>
      </c>
      <c r="V702" s="132">
        <f>DADOS_INVOC!$PY$46</f>
        <v/>
      </c>
      <c r="W702" s="19" t="n"/>
      <c r="X702" s="19" t="n"/>
      <c r="Y702" s="20" t="n"/>
      <c r="Z702" s="120" t="n"/>
      <c r="AB702" s="55" t="inlineStr">
        <is>
          <t>AMPLIAR</t>
        </is>
      </c>
      <c r="AC702" s="132">
        <f>DADOS_INVOC!$PY$122</f>
        <v/>
      </c>
      <c r="AD702" s="19" t="n"/>
      <c r="AE702" s="19" t="n"/>
      <c r="AF702" s="20" t="n"/>
      <c r="AG702" s="120" t="n"/>
      <c r="AH702" s="55" t="inlineStr">
        <is>
          <t>AMPLIAR</t>
        </is>
      </c>
      <c r="AI702" s="132">
        <f>DADOS_INVOC!$PY$123</f>
        <v/>
      </c>
      <c r="AJ702" s="19" t="n"/>
      <c r="AK702" s="19" t="n"/>
      <c r="AL702" s="20" t="n"/>
      <c r="AM702" s="120" t="n"/>
      <c r="AN702" s="55" t="inlineStr">
        <is>
          <t>AMPLIAR</t>
        </is>
      </c>
      <c r="AO702" s="132">
        <f>DADOS_INVOC!$PY$124</f>
        <v/>
      </c>
      <c r="AP702" s="19" t="n"/>
      <c r="AQ702" s="19" t="n"/>
      <c r="AR702" s="20" t="n"/>
      <c r="AS702" s="120" t="n"/>
    </row>
    <row r="703" hidden="1" outlineLevel="3">
      <c r="A703" s="8" t="n"/>
      <c r="B703" s="14" t="n"/>
      <c r="C703" s="120" t="n"/>
      <c r="D703" s="120" t="n"/>
      <c r="E703" s="120" t="n"/>
      <c r="F703" s="120" t="n"/>
      <c r="G703" s="120" t="n"/>
      <c r="I703" s="125" t="n"/>
      <c r="J703" s="23" t="n"/>
      <c r="K703" s="24" t="n"/>
      <c r="L703" s="24" t="n"/>
      <c r="M703" s="25" t="n"/>
      <c r="N703" s="120" t="n"/>
      <c r="O703" s="125" t="n"/>
      <c r="P703" s="23" t="n"/>
      <c r="Q703" s="24" t="n"/>
      <c r="R703" s="24" t="n"/>
      <c r="S703" s="25" t="n"/>
      <c r="T703" s="120" t="n"/>
      <c r="U703" s="125" t="n"/>
      <c r="V703" s="23" t="n"/>
      <c r="W703" s="24" t="n"/>
      <c r="X703" s="24" t="n"/>
      <c r="Y703" s="25" t="n"/>
      <c r="Z703" s="120" t="n"/>
      <c r="AB703" s="125" t="n"/>
      <c r="AC703" s="23" t="n"/>
      <c r="AD703" s="24" t="n"/>
      <c r="AE703" s="24" t="n"/>
      <c r="AF703" s="25" t="n"/>
      <c r="AG703" s="120" t="n"/>
      <c r="AH703" s="125" t="n"/>
      <c r="AI703" s="23" t="n"/>
      <c r="AJ703" s="24" t="n"/>
      <c r="AK703" s="24" t="n"/>
      <c r="AL703" s="25" t="n"/>
      <c r="AM703" s="120" t="n"/>
      <c r="AN703" s="125" t="n"/>
      <c r="AO703" s="23" t="n"/>
      <c r="AP703" s="24" t="n"/>
      <c r="AQ703" s="24" t="n"/>
      <c r="AR703" s="25" t="n"/>
      <c r="AS703" s="120" t="n"/>
    </row>
    <row r="704" hidden="1" outlineLevel="3">
      <c r="A704" s="8" t="n"/>
      <c r="B704" s="14" t="n"/>
      <c r="C704" s="120" t="n"/>
      <c r="D704" s="120" t="n"/>
      <c r="E704" s="120" t="n"/>
      <c r="F704" s="120" t="n"/>
      <c r="G704" s="120" t="n"/>
      <c r="I704" s="132">
        <f>DADOS_INVOC!$PL$44</f>
        <v/>
      </c>
      <c r="J704" s="19" t="n"/>
      <c r="K704" s="19" t="n"/>
      <c r="L704" s="19" t="n"/>
      <c r="M704" s="20" t="n"/>
      <c r="N704" s="120" t="n"/>
      <c r="O704" s="132">
        <f>DADOS_INVOC!$PL$45</f>
        <v/>
      </c>
      <c r="P704" s="19" t="n"/>
      <c r="Q704" s="19" t="n"/>
      <c r="R704" s="19" t="n"/>
      <c r="S704" s="20" t="n"/>
      <c r="T704" s="120" t="n"/>
      <c r="U704" s="132">
        <f>DADOS_INVOC!$PL$46</f>
        <v/>
      </c>
      <c r="V704" s="19" t="n"/>
      <c r="W704" s="19" t="n"/>
      <c r="X704" s="19" t="n"/>
      <c r="Y704" s="20" t="n"/>
      <c r="Z704" s="120" t="n"/>
      <c r="AB704" s="132">
        <f>DADOS_INVOC!$PL$122</f>
        <v/>
      </c>
      <c r="AC704" s="19" t="n"/>
      <c r="AD704" s="19" t="n"/>
      <c r="AE704" s="19" t="n"/>
      <c r="AF704" s="20" t="n"/>
      <c r="AG704" s="120" t="n"/>
      <c r="AH704" s="132">
        <f>DADOS_INVOC!$PL$123</f>
        <v/>
      </c>
      <c r="AI704" s="19" t="n"/>
      <c r="AJ704" s="19" t="n"/>
      <c r="AK704" s="19" t="n"/>
      <c r="AL704" s="20" t="n"/>
      <c r="AM704" s="120" t="n"/>
      <c r="AN704" s="132">
        <f>DADOS_INVOC!$PL$124</f>
        <v/>
      </c>
      <c r="AO704" s="19" t="n"/>
      <c r="AP704" s="19" t="n"/>
      <c r="AQ704" s="19" t="n"/>
      <c r="AR704" s="20" t="n"/>
      <c r="AS704" s="120" t="n"/>
    </row>
    <row r="705" hidden="1" outlineLevel="3">
      <c r="A705" s="8" t="n"/>
      <c r="B705" s="14" t="n"/>
      <c r="C705" s="120" t="n"/>
      <c r="D705" s="120" t="n"/>
      <c r="E705" s="120" t="n"/>
      <c r="F705" s="120" t="n"/>
      <c r="G705" s="120" t="n"/>
      <c r="I705" s="23" t="n"/>
      <c r="J705" s="24" t="n"/>
      <c r="K705" s="24" t="n"/>
      <c r="L705" s="24" t="n"/>
      <c r="M705" s="25" t="n"/>
      <c r="N705" s="120" t="n"/>
      <c r="O705" s="23" t="n"/>
      <c r="P705" s="24" t="n"/>
      <c r="Q705" s="24" t="n"/>
      <c r="R705" s="24" t="n"/>
      <c r="S705" s="25" t="n"/>
      <c r="T705" s="120" t="n"/>
      <c r="U705" s="23" t="n"/>
      <c r="V705" s="24" t="n"/>
      <c r="W705" s="24" t="n"/>
      <c r="X705" s="24" t="n"/>
      <c r="Y705" s="25" t="n"/>
      <c r="Z705" s="120" t="n"/>
      <c r="AB705" s="23" t="n"/>
      <c r="AC705" s="24" t="n"/>
      <c r="AD705" s="24" t="n"/>
      <c r="AE705" s="24" t="n"/>
      <c r="AF705" s="25" t="n"/>
      <c r="AG705" s="120" t="n"/>
      <c r="AH705" s="23" t="n"/>
      <c r="AI705" s="24" t="n"/>
      <c r="AJ705" s="24" t="n"/>
      <c r="AK705" s="24" t="n"/>
      <c r="AL705" s="25" t="n"/>
      <c r="AM705" s="120" t="n"/>
      <c r="AN705" s="23" t="n"/>
      <c r="AO705" s="24" t="n"/>
      <c r="AP705" s="24" t="n"/>
      <c r="AQ705" s="24" t="n"/>
      <c r="AR705" s="25" t="n"/>
      <c r="AS705" s="120" t="n"/>
    </row>
    <row r="706" hidden="1" outlineLevel="2">
      <c r="A706" s="8" t="n"/>
      <c r="B706" s="14" t="n"/>
      <c r="C706" s="120" t="n"/>
      <c r="D706" s="120" t="n"/>
      <c r="E706" s="120" t="n"/>
      <c r="F706" s="120" t="n"/>
      <c r="G706" s="120" t="n"/>
      <c r="I706" s="120" t="n"/>
      <c r="J706" s="120" t="n"/>
      <c r="K706" s="120" t="n"/>
      <c r="L706" s="120" t="n"/>
      <c r="M706" s="120" t="n"/>
      <c r="N706" s="120" t="n"/>
      <c r="O706" s="120" t="n"/>
      <c r="P706" s="120" t="n"/>
      <c r="Q706" s="120" t="n"/>
      <c r="R706" s="120" t="n"/>
      <c r="S706" s="120" t="n"/>
      <c r="T706" s="120" t="n"/>
      <c r="U706" s="120" t="n"/>
      <c r="V706" s="120" t="n"/>
      <c r="W706" s="120" t="n"/>
      <c r="X706" s="120" t="n"/>
      <c r="Y706" s="120" t="n"/>
      <c r="Z706" s="120" t="n"/>
      <c r="AB706" s="120" t="n"/>
      <c r="AC706" s="120" t="n"/>
      <c r="AD706" s="120" t="n"/>
      <c r="AE706" s="120" t="n"/>
      <c r="AF706" s="120" t="n"/>
      <c r="AG706" s="120" t="n"/>
      <c r="AH706" s="120" t="n"/>
      <c r="AI706" s="120" t="n"/>
      <c r="AJ706" s="120" t="n"/>
      <c r="AK706" s="120" t="n"/>
      <c r="AL706" s="120" t="n"/>
      <c r="AM706" s="120" t="n"/>
      <c r="AN706" s="120" t="n"/>
      <c r="AO706" s="120" t="n"/>
      <c r="AP706" s="120" t="n"/>
      <c r="AQ706" s="120" t="n"/>
      <c r="AR706" s="120" t="n"/>
      <c r="AS706" s="120" t="n"/>
    </row>
    <row r="707" hidden="1" outlineLevel="2">
      <c r="A707" s="8" t="n"/>
      <c r="B707" s="14" t="n"/>
      <c r="C707" s="120" t="n"/>
      <c r="D707" s="120" t="n"/>
      <c r="E707" s="120" t="n"/>
      <c r="F707" s="120" t="n"/>
      <c r="G707" s="120" t="n"/>
      <c r="I707" s="55">
        <f>DADOS_INVOC!$PM$47</f>
        <v/>
      </c>
      <c r="J707" s="16" t="n"/>
      <c r="K707" s="16" t="n"/>
      <c r="L707" s="16" t="n"/>
      <c r="M707" s="17" t="n"/>
      <c r="N707" s="120" t="n"/>
      <c r="O707" s="55">
        <f>DADOS_INVOC!$PM$48</f>
        <v/>
      </c>
      <c r="P707" s="16" t="n"/>
      <c r="Q707" s="16" t="n"/>
      <c r="R707" s="16" t="n"/>
      <c r="S707" s="17" t="n"/>
      <c r="T707" s="120" t="n"/>
      <c r="U707" s="55">
        <f>DADOS_INVOC!$PM$49</f>
        <v/>
      </c>
      <c r="V707" s="16" t="n"/>
      <c r="W707" s="16" t="n"/>
      <c r="X707" s="16" t="n"/>
      <c r="Y707" s="17" t="n"/>
      <c r="Z707" s="120" t="n"/>
      <c r="AB707" s="55">
        <f>DADOS_INVOC!$PM$125</f>
        <v/>
      </c>
      <c r="AC707" s="16" t="n"/>
      <c r="AD707" s="16" t="n"/>
      <c r="AE707" s="16" t="n"/>
      <c r="AF707" s="17" t="n"/>
      <c r="AG707" s="120" t="n"/>
      <c r="AH707" s="55">
        <f>DADOS_INVOC!$PM$126</f>
        <v/>
      </c>
      <c r="AI707" s="16" t="n"/>
      <c r="AJ707" s="16" t="n"/>
      <c r="AK707" s="16" t="n"/>
      <c r="AL707" s="17" t="n"/>
      <c r="AM707" s="120" t="n"/>
      <c r="AN707" s="55">
        <f>DADOS_INVOC!$PM$127</f>
        <v/>
      </c>
      <c r="AO707" s="16" t="n"/>
      <c r="AP707" s="16" t="n"/>
      <c r="AQ707" s="16" t="n"/>
      <c r="AR707" s="17" t="n"/>
      <c r="AS707" s="120" t="n"/>
    </row>
    <row r="708" hidden="1" outlineLevel="2">
      <c r="A708" s="8" t="n"/>
      <c r="B708" s="14" t="n"/>
      <c r="C708" s="120" t="n"/>
      <c r="D708" s="120" t="n"/>
      <c r="E708" s="120" t="n"/>
      <c r="F708" s="120" t="n"/>
      <c r="G708" s="120" t="n"/>
      <c r="I708" s="127" t="n">
        <v>1</v>
      </c>
      <c r="J708" s="115" t="n"/>
      <c r="K708" s="16" t="n"/>
      <c r="L708" s="17" t="n"/>
      <c r="M708" s="128">
        <f>DADOS_INVOC!$PK$47</f>
        <v/>
      </c>
      <c r="N708" s="120" t="n"/>
      <c r="O708" s="127" t="n">
        <v>1</v>
      </c>
      <c r="P708" s="115" t="n"/>
      <c r="Q708" s="16" t="n"/>
      <c r="R708" s="17" t="n"/>
      <c r="S708" s="128">
        <f>DADOS_INVOC!$PK$48</f>
        <v/>
      </c>
      <c r="T708" s="120" t="n"/>
      <c r="U708" s="127" t="n">
        <v>1</v>
      </c>
      <c r="V708" s="115" t="n"/>
      <c r="W708" s="16" t="n"/>
      <c r="X708" s="17" t="n"/>
      <c r="Y708" s="128">
        <f>DADOS_INVOC!$PK$49</f>
        <v/>
      </c>
      <c r="Z708" s="120" t="n"/>
      <c r="AB708" s="127" t="n">
        <v>1</v>
      </c>
      <c r="AC708" s="115" t="n"/>
      <c r="AD708" s="16" t="n"/>
      <c r="AE708" s="17" t="n"/>
      <c r="AF708" s="128">
        <f>DADOS_INVOC!$PK$125</f>
        <v/>
      </c>
      <c r="AG708" s="120" t="n"/>
      <c r="AH708" s="127" t="n">
        <v>1</v>
      </c>
      <c r="AI708" s="115" t="n"/>
      <c r="AJ708" s="16" t="n"/>
      <c r="AK708" s="17" t="n"/>
      <c r="AL708" s="128">
        <f>DADOS_INVOC!$PK$126</f>
        <v/>
      </c>
      <c r="AM708" s="120" t="n"/>
      <c r="AN708" s="127" t="n">
        <v>1</v>
      </c>
      <c r="AO708" s="115" t="n"/>
      <c r="AP708" s="16" t="n"/>
      <c r="AQ708" s="17" t="n"/>
      <c r="AR708" s="128">
        <f>DADOS_INVOC!$PK$127</f>
        <v/>
      </c>
      <c r="AS708" s="120" t="n"/>
    </row>
    <row r="709" hidden="1" outlineLevel="3">
      <c r="A709" s="8" t="n"/>
      <c r="B709" s="14" t="n"/>
      <c r="C709" s="120" t="n"/>
      <c r="D709" s="120" t="n"/>
      <c r="E709" s="120" t="n"/>
      <c r="F709" s="120" t="n"/>
      <c r="G709" s="120" t="n"/>
      <c r="I709" s="55" t="inlineStr">
        <is>
          <t>COMO É</t>
        </is>
      </c>
      <c r="J709" s="16" t="n"/>
      <c r="K709" s="16" t="n"/>
      <c r="L709" s="16" t="n"/>
      <c r="M709" s="17" t="n"/>
      <c r="N709" s="120" t="n"/>
      <c r="O709" s="55" t="inlineStr">
        <is>
          <t>COMO É</t>
        </is>
      </c>
      <c r="P709" s="16" t="n"/>
      <c r="Q709" s="16" t="n"/>
      <c r="R709" s="16" t="n"/>
      <c r="S709" s="17" t="n"/>
      <c r="T709" s="120" t="n"/>
      <c r="U709" s="55" t="inlineStr">
        <is>
          <t>COMO É</t>
        </is>
      </c>
      <c r="V709" s="16" t="n"/>
      <c r="W709" s="16" t="n"/>
      <c r="X709" s="16" t="n"/>
      <c r="Y709" s="17" t="n"/>
      <c r="Z709" s="120" t="n"/>
      <c r="AB709" s="55" t="inlineStr">
        <is>
          <t>COMO É</t>
        </is>
      </c>
      <c r="AC709" s="16" t="n"/>
      <c r="AD709" s="16" t="n"/>
      <c r="AE709" s="16" t="n"/>
      <c r="AF709" s="17" t="n"/>
      <c r="AG709" s="120" t="n"/>
      <c r="AH709" s="55" t="inlineStr">
        <is>
          <t>COMO É</t>
        </is>
      </c>
      <c r="AI709" s="16" t="n"/>
      <c r="AJ709" s="16" t="n"/>
      <c r="AK709" s="16" t="n"/>
      <c r="AL709" s="17" t="n"/>
      <c r="AM709" s="120" t="n"/>
      <c r="AN709" s="55" t="inlineStr">
        <is>
          <t>COMO É</t>
        </is>
      </c>
      <c r="AO709" s="16" t="n"/>
      <c r="AP709" s="16" t="n"/>
      <c r="AQ709" s="16" t="n"/>
      <c r="AR709" s="17" t="n"/>
      <c r="AS709" s="120" t="n"/>
    </row>
    <row r="710" hidden="1" outlineLevel="3">
      <c r="A710" s="8" t="n"/>
      <c r="B710" s="14" t="n"/>
      <c r="C710" s="120" t="n"/>
      <c r="D710" s="120" t="n"/>
      <c r="E710" s="120" t="n"/>
      <c r="F710" s="120" t="n"/>
      <c r="G710" s="120" t="n"/>
      <c r="I710" s="116" t="n"/>
      <c r="J710" s="19" t="n"/>
      <c r="K710" s="19" t="n"/>
      <c r="L710" s="19" t="n"/>
      <c r="M710" s="20" t="n"/>
      <c r="N710" s="120" t="n"/>
      <c r="O710" s="116" t="n"/>
      <c r="P710" s="19" t="n"/>
      <c r="Q710" s="19" t="n"/>
      <c r="R710" s="19" t="n"/>
      <c r="S710" s="20" t="n"/>
      <c r="T710" s="120" t="n"/>
      <c r="U710" s="116" t="n"/>
      <c r="V710" s="19" t="n"/>
      <c r="W710" s="19" t="n"/>
      <c r="X710" s="19" t="n"/>
      <c r="Y710" s="20" t="n"/>
      <c r="Z710" s="120" t="n"/>
      <c r="AB710" s="116" t="n"/>
      <c r="AC710" s="19" t="n"/>
      <c r="AD710" s="19" t="n"/>
      <c r="AE710" s="19" t="n"/>
      <c r="AF710" s="20" t="n"/>
      <c r="AG710" s="120" t="n"/>
      <c r="AH710" s="116" t="n"/>
      <c r="AI710" s="19" t="n"/>
      <c r="AJ710" s="19" t="n"/>
      <c r="AK710" s="19" t="n"/>
      <c r="AL710" s="20" t="n"/>
      <c r="AM710" s="120" t="n"/>
      <c r="AN710" s="116" t="n"/>
      <c r="AO710" s="19" t="n"/>
      <c r="AP710" s="19" t="n"/>
      <c r="AQ710" s="19" t="n"/>
      <c r="AR710" s="20" t="n"/>
      <c r="AS710" s="120" t="n"/>
    </row>
    <row r="711" hidden="1" outlineLevel="3">
      <c r="A711" s="8" t="n"/>
      <c r="B711" s="14" t="n"/>
      <c r="C711" s="120" t="n"/>
      <c r="D711" s="120" t="n"/>
      <c r="E711" s="120" t="n"/>
      <c r="F711" s="120" t="n"/>
      <c r="G711" s="120" t="n"/>
      <c r="I711" s="21" t="n"/>
      <c r="M711" s="22" t="n"/>
      <c r="N711" s="120" t="n"/>
      <c r="O711" s="21" t="n"/>
      <c r="S711" s="22" t="n"/>
      <c r="T711" s="120" t="n"/>
      <c r="U711" s="21" t="n"/>
      <c r="Y711" s="22" t="n"/>
      <c r="Z711" s="120" t="n"/>
      <c r="AB711" s="21" t="n"/>
      <c r="AF711" s="22" t="n"/>
      <c r="AG711" s="120" t="n"/>
      <c r="AH711" s="21" t="n"/>
      <c r="AL711" s="22" t="n"/>
      <c r="AM711" s="120" t="n"/>
      <c r="AN711" s="21" t="n"/>
      <c r="AR711" s="22" t="n"/>
      <c r="AS711" s="120" t="n"/>
    </row>
    <row r="712" hidden="1" outlineLevel="3">
      <c r="A712" s="8" t="n"/>
      <c r="B712" s="14" t="n"/>
      <c r="C712" s="120" t="n"/>
      <c r="D712" s="120" t="n"/>
      <c r="E712" s="120" t="n"/>
      <c r="F712" s="120" t="n"/>
      <c r="G712" s="120" t="n"/>
      <c r="I712" s="23" t="n"/>
      <c r="J712" s="24" t="n"/>
      <c r="K712" s="24" t="n"/>
      <c r="L712" s="24" t="n"/>
      <c r="M712" s="25" t="n"/>
      <c r="N712" s="120" t="n"/>
      <c r="O712" s="23" t="n"/>
      <c r="P712" s="24" t="n"/>
      <c r="Q712" s="24" t="n"/>
      <c r="R712" s="24" t="n"/>
      <c r="S712" s="25" t="n"/>
      <c r="T712" s="120" t="n"/>
      <c r="U712" s="23" t="n"/>
      <c r="V712" s="24" t="n"/>
      <c r="W712" s="24" t="n"/>
      <c r="X712" s="24" t="n"/>
      <c r="Y712" s="25" t="n"/>
      <c r="Z712" s="120" t="n"/>
      <c r="AB712" s="23" t="n"/>
      <c r="AC712" s="24" t="n"/>
      <c r="AD712" s="24" t="n"/>
      <c r="AE712" s="24" t="n"/>
      <c r="AF712" s="25" t="n"/>
      <c r="AG712" s="120" t="n"/>
      <c r="AH712" s="23" t="n"/>
      <c r="AI712" s="24" t="n"/>
      <c r="AJ712" s="24" t="n"/>
      <c r="AK712" s="24" t="n"/>
      <c r="AL712" s="25" t="n"/>
      <c r="AM712" s="120" t="n"/>
      <c r="AN712" s="23" t="n"/>
      <c r="AO712" s="24" t="n"/>
      <c r="AP712" s="24" t="n"/>
      <c r="AQ712" s="24" t="n"/>
      <c r="AR712" s="25" t="n"/>
      <c r="AS712" s="120" t="n"/>
    </row>
    <row r="713" hidden="1" outlineLevel="2">
      <c r="A713" s="8" t="n"/>
      <c r="B713" s="14" t="n"/>
      <c r="C713" s="120" t="n"/>
      <c r="D713" s="120" t="n"/>
      <c r="E713" s="120" t="n"/>
      <c r="F713" s="120" t="n"/>
      <c r="G713" s="120" t="n"/>
      <c r="I713" s="124" t="inlineStr">
        <is>
          <t>Projétil</t>
        </is>
      </c>
      <c r="J713" s="17" t="n"/>
      <c r="K713" s="68">
        <f>DADOS_INVOC!$PR$47</f>
        <v/>
      </c>
      <c r="L713" s="17" t="n"/>
      <c r="M713" s="68">
        <f>DADOS_INVOC!$PN$47</f>
        <v/>
      </c>
      <c r="N713" s="120" t="n"/>
      <c r="O713" s="124" t="inlineStr">
        <is>
          <t>Projétil</t>
        </is>
      </c>
      <c r="P713" s="17" t="n"/>
      <c r="Q713" s="68">
        <f>DADOS_INVOC!$PR$48</f>
        <v/>
      </c>
      <c r="R713" s="17" t="n"/>
      <c r="S713" s="68">
        <f>DADOS_INVOC!$PN$48</f>
        <v/>
      </c>
      <c r="T713" s="120" t="n"/>
      <c r="U713" s="124" t="inlineStr">
        <is>
          <t>Projétil</t>
        </is>
      </c>
      <c r="V713" s="17" t="n"/>
      <c r="W713" s="68">
        <f>DADOS_INVOC!$PR$49</f>
        <v/>
      </c>
      <c r="X713" s="17" t="n"/>
      <c r="Y713" s="68">
        <f>DADOS_INVOC!$PN$49</f>
        <v/>
      </c>
      <c r="Z713" s="120" t="n"/>
      <c r="AB713" s="124" t="inlineStr">
        <is>
          <t>Projétil</t>
        </is>
      </c>
      <c r="AC713" s="17" t="n"/>
      <c r="AD713" s="68">
        <f>DADOS_INVOC!$PR$125</f>
        <v/>
      </c>
      <c r="AE713" s="17" t="n"/>
      <c r="AF713" s="68">
        <f>DADOS_INVOC!$PN$125</f>
        <v/>
      </c>
      <c r="AG713" s="120" t="n"/>
      <c r="AH713" s="124" t="inlineStr">
        <is>
          <t>Projétil</t>
        </is>
      </c>
      <c r="AI713" s="17" t="n"/>
      <c r="AJ713" s="68">
        <f>DADOS_INVOC!$PR$126</f>
        <v/>
      </c>
      <c r="AK713" s="17" t="n"/>
      <c r="AL713" s="68">
        <f>DADOS_INVOC!$PN$126</f>
        <v/>
      </c>
      <c r="AM713" s="120" t="n"/>
      <c r="AN713" s="124" t="inlineStr">
        <is>
          <t>Projétil</t>
        </is>
      </c>
      <c r="AO713" s="17" t="n"/>
      <c r="AP713" s="68">
        <f>DADOS_INVOC!$PR$127</f>
        <v/>
      </c>
      <c r="AQ713" s="17" t="n"/>
      <c r="AR713" s="68">
        <f>DADOS_INVOC!$PN$127</f>
        <v/>
      </c>
      <c r="AS713" s="120" t="n"/>
    </row>
    <row r="714" hidden="1" outlineLevel="2">
      <c r="A714" s="8" t="n"/>
      <c r="B714" s="14" t="n"/>
      <c r="C714" s="120" t="n"/>
      <c r="D714" s="120" t="n"/>
      <c r="E714" s="120" t="n"/>
      <c r="F714" s="120" t="n"/>
      <c r="G714" s="120" t="n"/>
      <c r="I714" s="124" t="n"/>
      <c r="J714" s="17" t="n"/>
      <c r="K714" s="124" t="n"/>
      <c r="L714" s="16" t="n"/>
      <c r="M714" s="17" t="n"/>
      <c r="N714" s="120" t="n"/>
      <c r="O714" s="124" t="n"/>
      <c r="P714" s="17" t="n"/>
      <c r="Q714" s="124" t="n"/>
      <c r="R714" s="16" t="n"/>
      <c r="S714" s="17" t="n"/>
      <c r="T714" s="120" t="n"/>
      <c r="U714" s="124" t="n"/>
      <c r="V714" s="17" t="n"/>
      <c r="W714" s="124" t="n"/>
      <c r="X714" s="16" t="n"/>
      <c r="Y714" s="17" t="n"/>
      <c r="Z714" s="120" t="n"/>
      <c r="AB714" s="124" t="n"/>
      <c r="AC714" s="17" t="n"/>
      <c r="AD714" s="124" t="n"/>
      <c r="AE714" s="16" t="n"/>
      <c r="AF714" s="17" t="n"/>
      <c r="AG714" s="120" t="n"/>
      <c r="AH714" s="124" t="n"/>
      <c r="AI714" s="17" t="n"/>
      <c r="AJ714" s="124" t="n"/>
      <c r="AK714" s="16" t="n"/>
      <c r="AL714" s="17" t="n"/>
      <c r="AM714" s="120" t="n"/>
      <c r="AN714" s="124" t="n"/>
      <c r="AO714" s="17" t="n"/>
      <c r="AP714" s="124" t="n"/>
      <c r="AQ714" s="16" t="n"/>
      <c r="AR714" s="17" t="n"/>
      <c r="AS714" s="120" t="n"/>
    </row>
    <row r="715" hidden="1" outlineLevel="2">
      <c r="A715" s="8" t="n"/>
      <c r="B715" s="14" t="n"/>
      <c r="C715" s="120" t="n"/>
      <c r="D715" s="120" t="n"/>
      <c r="E715" s="120" t="n"/>
      <c r="F715" s="120" t="n"/>
      <c r="G715" s="120" t="n"/>
      <c r="I715" s="124">
        <f>DADOS_INVOC!$PO$47</f>
        <v/>
      </c>
      <c r="J715" s="17" t="n"/>
      <c r="K715" s="124">
        <f>DADOS_INVOC!$PQ$47</f>
        <v/>
      </c>
      <c r="L715" s="16" t="n"/>
      <c r="M715" s="17" t="n"/>
      <c r="N715" s="120" t="n"/>
      <c r="O715" s="124">
        <f>DADOS_INVOC!$PO$48</f>
        <v/>
      </c>
      <c r="P715" s="17" t="n"/>
      <c r="Q715" s="124">
        <f>DADOS_INVOC!$PQ$48</f>
        <v/>
      </c>
      <c r="R715" s="16" t="n"/>
      <c r="S715" s="17" t="n"/>
      <c r="T715" s="120" t="n"/>
      <c r="U715" s="124">
        <f>DADOS_INVOC!$PO$49</f>
        <v/>
      </c>
      <c r="V715" s="17" t="n"/>
      <c r="W715" s="124">
        <f>DADOS_INVOC!$PQ$49</f>
        <v/>
      </c>
      <c r="X715" s="16" t="n"/>
      <c r="Y715" s="17" t="n"/>
      <c r="Z715" s="120" t="n"/>
      <c r="AB715" s="124">
        <f>DADOS_INVOC!$PO$125</f>
        <v/>
      </c>
      <c r="AC715" s="17" t="n"/>
      <c r="AD715" s="124">
        <f>DADOS_INVOC!$PQ$125</f>
        <v/>
      </c>
      <c r="AE715" s="16" t="n"/>
      <c r="AF715" s="17" t="n"/>
      <c r="AG715" s="120" t="n"/>
      <c r="AH715" s="124">
        <f>DADOS_INVOC!$PO$126</f>
        <v/>
      </c>
      <c r="AI715" s="17" t="n"/>
      <c r="AJ715" s="124">
        <f>DADOS_INVOC!$PQ$126</f>
        <v/>
      </c>
      <c r="AK715" s="16" t="n"/>
      <c r="AL715" s="17" t="n"/>
      <c r="AM715" s="120" t="n"/>
      <c r="AN715" s="124">
        <f>DADOS_INVOC!$PO$127</f>
        <v/>
      </c>
      <c r="AO715" s="17" t="n"/>
      <c r="AP715" s="124">
        <f>DADOS_INVOC!$PQ$127</f>
        <v/>
      </c>
      <c r="AQ715" s="16" t="n"/>
      <c r="AR715" s="17" t="n"/>
      <c r="AS715" s="120" t="n"/>
    </row>
    <row r="716" hidden="1" outlineLevel="2">
      <c r="A716" s="8" t="n"/>
      <c r="B716" s="14" t="n"/>
      <c r="C716" s="120" t="n"/>
      <c r="D716" s="120" t="n"/>
      <c r="E716" s="120" t="n"/>
      <c r="F716" s="120" t="n"/>
      <c r="G716" s="120" t="n"/>
      <c r="I716" s="129">
        <f>DADOS_INVOC!$PW$47</f>
        <v/>
      </c>
      <c r="J716" s="16" t="n"/>
      <c r="K716" s="16" t="n"/>
      <c r="L716" s="16" t="n"/>
      <c r="M716" s="17" t="n"/>
      <c r="N716" s="120" t="n"/>
      <c r="O716" s="129">
        <f>DADOS_INVOC!$PW$48</f>
        <v/>
      </c>
      <c r="P716" s="16" t="n"/>
      <c r="Q716" s="16" t="n"/>
      <c r="R716" s="16" t="n"/>
      <c r="S716" s="17" t="n"/>
      <c r="T716" s="120" t="n"/>
      <c r="U716" s="129">
        <f>DADOS_INVOC!$PW$49</f>
        <v/>
      </c>
      <c r="V716" s="16" t="n"/>
      <c r="W716" s="16" t="n"/>
      <c r="X716" s="16" t="n"/>
      <c r="Y716" s="17" t="n"/>
      <c r="Z716" s="120" t="n"/>
      <c r="AB716" s="129">
        <f>DADOS_INVOC!$PW$125</f>
        <v/>
      </c>
      <c r="AC716" s="16" t="n"/>
      <c r="AD716" s="16" t="n"/>
      <c r="AE716" s="16" t="n"/>
      <c r="AF716" s="17" t="n"/>
      <c r="AG716" s="120" t="n"/>
      <c r="AH716" s="129">
        <f>DADOS_INVOC!$PW$126</f>
        <v/>
      </c>
      <c r="AI716" s="16" t="n"/>
      <c r="AJ716" s="16" t="n"/>
      <c r="AK716" s="16" t="n"/>
      <c r="AL716" s="17" t="n"/>
      <c r="AM716" s="120" t="n"/>
      <c r="AN716" s="129">
        <f>DADOS_INVOC!$PW$127</f>
        <v/>
      </c>
      <c r="AO716" s="16" t="n"/>
      <c r="AP716" s="16" t="n"/>
      <c r="AQ716" s="16" t="n"/>
      <c r="AR716" s="17" t="n"/>
      <c r="AS716" s="120" t="n"/>
    </row>
    <row r="717" hidden="1" outlineLevel="3">
      <c r="A717" s="8" t="n"/>
      <c r="B717" s="14" t="n"/>
      <c r="C717" s="120" t="n"/>
      <c r="D717" s="120" t="n"/>
      <c r="E717" s="120" t="n"/>
      <c r="F717" s="120" t="n"/>
      <c r="G717" s="120" t="n"/>
      <c r="I717" s="55" t="inlineStr">
        <is>
          <t>MELHORIAS</t>
        </is>
      </c>
      <c r="J717" s="130" t="n"/>
      <c r="K717" s="16" t="n"/>
      <c r="L717" s="17" t="n"/>
      <c r="M717" s="129">
        <f>DADOS_INVOC!$PZ$47</f>
        <v/>
      </c>
      <c r="N717" s="120" t="n"/>
      <c r="O717" s="55" t="inlineStr">
        <is>
          <t>MELHORIAS</t>
        </is>
      </c>
      <c r="P717" s="130" t="n"/>
      <c r="Q717" s="16" t="n"/>
      <c r="R717" s="17" t="n"/>
      <c r="S717" s="129">
        <f>DADOS_INVOC!$PZ$48</f>
        <v/>
      </c>
      <c r="T717" s="120" t="n"/>
      <c r="U717" s="55" t="inlineStr">
        <is>
          <t>MELHORIAS</t>
        </is>
      </c>
      <c r="V717" s="130" t="n"/>
      <c r="W717" s="16" t="n"/>
      <c r="X717" s="17" t="n"/>
      <c r="Y717" s="129">
        <f>DADOS_INVOC!$PZ$49</f>
        <v/>
      </c>
      <c r="Z717" s="120" t="n"/>
      <c r="AB717" s="55" t="inlineStr">
        <is>
          <t>MELHORIAS</t>
        </is>
      </c>
      <c r="AC717" s="130" t="n"/>
      <c r="AD717" s="16" t="n"/>
      <c r="AE717" s="17" t="n"/>
      <c r="AF717" s="129">
        <f>DADOS_INVOC!$PZ$125</f>
        <v/>
      </c>
      <c r="AG717" s="120" t="n"/>
      <c r="AH717" s="55" t="inlineStr">
        <is>
          <t>MELHORIAS</t>
        </is>
      </c>
      <c r="AI717" s="130" t="n"/>
      <c r="AJ717" s="16" t="n"/>
      <c r="AK717" s="17" t="n"/>
      <c r="AL717" s="129">
        <f>DADOS_INVOC!$PZ$126</f>
        <v/>
      </c>
      <c r="AM717" s="120" t="n"/>
      <c r="AN717" s="55" t="inlineStr">
        <is>
          <t>MELHORIAS</t>
        </is>
      </c>
      <c r="AO717" s="130" t="n"/>
      <c r="AP717" s="16" t="n"/>
      <c r="AQ717" s="17" t="n"/>
      <c r="AR717" s="129">
        <f>DADOS_INVOC!$PZ$127</f>
        <v/>
      </c>
      <c r="AS717" s="120" t="n"/>
    </row>
    <row r="718" hidden="1" outlineLevel="3">
      <c r="A718" s="8" t="n"/>
      <c r="B718" s="14" t="n"/>
      <c r="C718" s="120" t="n"/>
      <c r="D718" s="120" t="n"/>
      <c r="E718" s="120" t="n"/>
      <c r="F718" s="120" t="n"/>
      <c r="G718" s="120" t="n"/>
      <c r="I718" s="131" t="n"/>
      <c r="J718" s="130" t="n"/>
      <c r="K718" s="16" t="n"/>
      <c r="L718" s="17" t="n"/>
      <c r="M718" s="129">
        <f>DADOS_INVOC!$QA$47</f>
        <v/>
      </c>
      <c r="N718" s="120" t="n"/>
      <c r="O718" s="131" t="n"/>
      <c r="P718" s="130" t="n"/>
      <c r="Q718" s="16" t="n"/>
      <c r="R718" s="17" t="n"/>
      <c r="S718" s="129">
        <f>DADOS_INVOC!$QA$48</f>
        <v/>
      </c>
      <c r="T718" s="120" t="n"/>
      <c r="U718" s="131" t="n"/>
      <c r="V718" s="130" t="n"/>
      <c r="W718" s="16" t="n"/>
      <c r="X718" s="17" t="n"/>
      <c r="Y718" s="129">
        <f>DADOS_INVOC!$QA$49</f>
        <v/>
      </c>
      <c r="Z718" s="120" t="n"/>
      <c r="AB718" s="131" t="n"/>
      <c r="AC718" s="130" t="n"/>
      <c r="AD718" s="16" t="n"/>
      <c r="AE718" s="17" t="n"/>
      <c r="AF718" s="129">
        <f>DADOS_INVOC!$QA$125</f>
        <v/>
      </c>
      <c r="AG718" s="120" t="n"/>
      <c r="AH718" s="131" t="n"/>
      <c r="AI718" s="130" t="n"/>
      <c r="AJ718" s="16" t="n"/>
      <c r="AK718" s="17" t="n"/>
      <c r="AL718" s="129">
        <f>DADOS_INVOC!$QA$126</f>
        <v/>
      </c>
      <c r="AM718" s="120" t="n"/>
      <c r="AN718" s="131" t="n"/>
      <c r="AO718" s="130" t="n"/>
      <c r="AP718" s="16" t="n"/>
      <c r="AQ718" s="17" t="n"/>
      <c r="AR718" s="129">
        <f>DADOS_INVOC!$QA$127</f>
        <v/>
      </c>
      <c r="AS718" s="120" t="n"/>
    </row>
    <row r="719" hidden="1" outlineLevel="3">
      <c r="A719" s="8" t="n"/>
      <c r="B719" s="14" t="n"/>
      <c r="C719" s="120" t="n"/>
      <c r="D719" s="120" t="n"/>
      <c r="E719" s="120" t="n"/>
      <c r="F719" s="120" t="n"/>
      <c r="G719" s="120" t="n"/>
      <c r="I719" s="131" t="n"/>
      <c r="J719" s="130" t="n"/>
      <c r="K719" s="16" t="n"/>
      <c r="L719" s="17" t="n"/>
      <c r="M719" s="129">
        <f>DADOS_INVOC!$QB$47</f>
        <v/>
      </c>
      <c r="N719" s="120" t="n"/>
      <c r="O719" s="131" t="n"/>
      <c r="P719" s="130" t="n"/>
      <c r="Q719" s="16" t="n"/>
      <c r="R719" s="17" t="n"/>
      <c r="S719" s="129">
        <f>DADOS_INVOC!$QB$48</f>
        <v/>
      </c>
      <c r="T719" s="120" t="n"/>
      <c r="U719" s="131" t="n"/>
      <c r="V719" s="130" t="n"/>
      <c r="W719" s="16" t="n"/>
      <c r="X719" s="17" t="n"/>
      <c r="Y719" s="129">
        <f>DADOS_INVOC!$QB$49</f>
        <v/>
      </c>
      <c r="Z719" s="120" t="n"/>
      <c r="AB719" s="131" t="n"/>
      <c r="AC719" s="130" t="n"/>
      <c r="AD719" s="16" t="n"/>
      <c r="AE719" s="17" t="n"/>
      <c r="AF719" s="129">
        <f>DADOS_INVOC!$QB$125</f>
        <v/>
      </c>
      <c r="AG719" s="120" t="n"/>
      <c r="AH719" s="131" t="n"/>
      <c r="AI719" s="130" t="n"/>
      <c r="AJ719" s="16" t="n"/>
      <c r="AK719" s="17" t="n"/>
      <c r="AL719" s="129">
        <f>DADOS_INVOC!$QB$126</f>
        <v/>
      </c>
      <c r="AM719" s="120" t="n"/>
      <c r="AN719" s="131" t="n"/>
      <c r="AO719" s="130" t="n"/>
      <c r="AP719" s="16" t="n"/>
      <c r="AQ719" s="17" t="n"/>
      <c r="AR719" s="129">
        <f>DADOS_INVOC!$QB$127</f>
        <v/>
      </c>
      <c r="AS719" s="120" t="n"/>
    </row>
    <row r="720" hidden="1" outlineLevel="3">
      <c r="A720" s="8" t="n"/>
      <c r="B720" s="14" t="n"/>
      <c r="C720" s="120" t="n"/>
      <c r="D720" s="120" t="n"/>
      <c r="E720" s="120" t="n"/>
      <c r="F720" s="120" t="n"/>
      <c r="G720" s="120" t="n"/>
      <c r="I720" s="125" t="n"/>
      <c r="J720" s="130" t="n"/>
      <c r="K720" s="16" t="n"/>
      <c r="L720" s="17" t="n"/>
      <c r="M720" s="129">
        <f>DADOS_INVOC!$QC$47</f>
        <v/>
      </c>
      <c r="N720" s="120" t="n"/>
      <c r="O720" s="125" t="n"/>
      <c r="P720" s="130" t="n"/>
      <c r="Q720" s="16" t="n"/>
      <c r="R720" s="17" t="n"/>
      <c r="S720" s="129">
        <f>DADOS_INVOC!$QC$48</f>
        <v/>
      </c>
      <c r="T720" s="120" t="n"/>
      <c r="U720" s="125" t="n"/>
      <c r="V720" s="130" t="n"/>
      <c r="W720" s="16" t="n"/>
      <c r="X720" s="17" t="n"/>
      <c r="Y720" s="129">
        <f>DADOS_INVOC!$QC$49</f>
        <v/>
      </c>
      <c r="Z720" s="120" t="n"/>
      <c r="AB720" s="125" t="n"/>
      <c r="AC720" s="130" t="n"/>
      <c r="AD720" s="16" t="n"/>
      <c r="AE720" s="17" t="n"/>
      <c r="AF720" s="129">
        <f>DADOS_INVOC!$QC$125</f>
        <v/>
      </c>
      <c r="AG720" s="120" t="n"/>
      <c r="AH720" s="125" t="n"/>
      <c r="AI720" s="130" t="n"/>
      <c r="AJ720" s="16" t="n"/>
      <c r="AK720" s="17" t="n"/>
      <c r="AL720" s="129">
        <f>DADOS_INVOC!$QC$126</f>
        <v/>
      </c>
      <c r="AM720" s="120" t="n"/>
      <c r="AN720" s="125" t="n"/>
      <c r="AO720" s="130" t="n"/>
      <c r="AP720" s="16" t="n"/>
      <c r="AQ720" s="17" t="n"/>
      <c r="AR720" s="129">
        <f>DADOS_INVOC!$QC$127</f>
        <v/>
      </c>
      <c r="AS720" s="120" t="n"/>
    </row>
    <row r="721" hidden="1" outlineLevel="3">
      <c r="A721" s="8" t="n"/>
      <c r="B721" s="14" t="n"/>
      <c r="C721" s="120" t="n"/>
      <c r="D721" s="120" t="n"/>
      <c r="E721" s="120" t="n"/>
      <c r="F721" s="120" t="n"/>
      <c r="G721" s="120" t="n"/>
      <c r="I721" s="55" t="inlineStr">
        <is>
          <t>RESTRIÇÕES</t>
        </is>
      </c>
      <c r="J721" s="130" t="n"/>
      <c r="K721" s="16" t="n"/>
      <c r="L721" s="17" t="n"/>
      <c r="M721" s="129">
        <f>DADOS_INVOC!$QD$47</f>
        <v/>
      </c>
      <c r="N721" s="120" t="n"/>
      <c r="O721" s="55" t="inlineStr">
        <is>
          <t>RESTRIÇÕES</t>
        </is>
      </c>
      <c r="P721" s="130" t="n"/>
      <c r="Q721" s="16" t="n"/>
      <c r="R721" s="17" t="n"/>
      <c r="S721" s="129">
        <f>DADOS_INVOC!$QD$48</f>
        <v/>
      </c>
      <c r="T721" s="120" t="n"/>
      <c r="U721" s="55" t="inlineStr">
        <is>
          <t>RESTRIÇÕES</t>
        </is>
      </c>
      <c r="V721" s="130" t="n"/>
      <c r="W721" s="16" t="n"/>
      <c r="X721" s="17" t="n"/>
      <c r="Y721" s="129">
        <f>DADOS_INVOC!$QD$49</f>
        <v/>
      </c>
      <c r="Z721" s="120" t="n"/>
      <c r="AB721" s="55" t="inlineStr">
        <is>
          <t>RESTRIÇÕES</t>
        </is>
      </c>
      <c r="AC721" s="130" t="n"/>
      <c r="AD721" s="16" t="n"/>
      <c r="AE721" s="17" t="n"/>
      <c r="AF721" s="129">
        <f>DADOS_INVOC!$QD$125</f>
        <v/>
      </c>
      <c r="AG721" s="120" t="n"/>
      <c r="AH721" s="55" t="inlineStr">
        <is>
          <t>RESTRIÇÕES</t>
        </is>
      </c>
      <c r="AI721" s="130" t="n"/>
      <c r="AJ721" s="16" t="n"/>
      <c r="AK721" s="17" t="n"/>
      <c r="AL721" s="129">
        <f>DADOS_INVOC!$QD$126</f>
        <v/>
      </c>
      <c r="AM721" s="120" t="n"/>
      <c r="AN721" s="55" t="inlineStr">
        <is>
          <t>RESTRIÇÕES</t>
        </is>
      </c>
      <c r="AO721" s="130" t="n"/>
      <c r="AP721" s="16" t="n"/>
      <c r="AQ721" s="17" t="n"/>
      <c r="AR721" s="129">
        <f>DADOS_INVOC!$QD$127</f>
        <v/>
      </c>
      <c r="AS721" s="120" t="n"/>
    </row>
    <row r="722" hidden="1" outlineLevel="3">
      <c r="A722" s="8" t="n"/>
      <c r="B722" s="14" t="n"/>
      <c r="C722" s="120" t="n"/>
      <c r="D722" s="120" t="n"/>
      <c r="E722" s="120" t="n"/>
      <c r="F722" s="120" t="n"/>
      <c r="G722" s="120" t="n"/>
      <c r="I722" s="125" t="n"/>
      <c r="J722" s="130" t="n"/>
      <c r="K722" s="16" t="n"/>
      <c r="L722" s="17" t="n"/>
      <c r="M722" s="129">
        <f>DADOS_INVOC!$QE$47</f>
        <v/>
      </c>
      <c r="N722" s="120" t="n"/>
      <c r="O722" s="125" t="n"/>
      <c r="P722" s="130" t="n"/>
      <c r="Q722" s="16" t="n"/>
      <c r="R722" s="17" t="n"/>
      <c r="S722" s="129">
        <f>DADOS_INVOC!$QE$48</f>
        <v/>
      </c>
      <c r="T722" s="120" t="n"/>
      <c r="U722" s="125" t="n"/>
      <c r="V722" s="130" t="n"/>
      <c r="W722" s="16" t="n"/>
      <c r="X722" s="17" t="n"/>
      <c r="Y722" s="129">
        <f>DADOS_INVOC!$QE$49</f>
        <v/>
      </c>
      <c r="Z722" s="120" t="n"/>
      <c r="AB722" s="125" t="n"/>
      <c r="AC722" s="130" t="n"/>
      <c r="AD722" s="16" t="n"/>
      <c r="AE722" s="17" t="n"/>
      <c r="AF722" s="129">
        <f>DADOS_INVOC!$QE$125</f>
        <v/>
      </c>
      <c r="AG722" s="120" t="n"/>
      <c r="AH722" s="125" t="n"/>
      <c r="AI722" s="130" t="n"/>
      <c r="AJ722" s="16" t="n"/>
      <c r="AK722" s="17" t="n"/>
      <c r="AL722" s="129">
        <f>DADOS_INVOC!$QE$126</f>
        <v/>
      </c>
      <c r="AM722" s="120" t="n"/>
      <c r="AN722" s="125" t="n"/>
      <c r="AO722" s="130" t="n"/>
      <c r="AP722" s="16" t="n"/>
      <c r="AQ722" s="17" t="n"/>
      <c r="AR722" s="129">
        <f>DADOS_INVOC!$QE$127</f>
        <v/>
      </c>
      <c r="AS722" s="120" t="n"/>
    </row>
    <row r="723" hidden="1" outlineLevel="3">
      <c r="A723" s="8" t="n"/>
      <c r="B723" s="14" t="n"/>
      <c r="C723" s="120" t="n"/>
      <c r="D723" s="120" t="n"/>
      <c r="E723" s="120" t="n"/>
      <c r="F723" s="120" t="n"/>
      <c r="G723" s="120" t="n"/>
      <c r="I723" s="55" t="inlineStr">
        <is>
          <t>CONTA</t>
        </is>
      </c>
      <c r="J723" s="132">
        <f>DADOS_INVOC!$PX$47</f>
        <v/>
      </c>
      <c r="K723" s="16" t="n"/>
      <c r="L723" s="16" t="n"/>
      <c r="M723" s="17" t="n"/>
      <c r="N723" s="120" t="n"/>
      <c r="O723" s="55" t="inlineStr">
        <is>
          <t>CONTA</t>
        </is>
      </c>
      <c r="P723" s="132">
        <f>DADOS_INVOC!$PX$48</f>
        <v/>
      </c>
      <c r="Q723" s="16" t="n"/>
      <c r="R723" s="16" t="n"/>
      <c r="S723" s="17" t="n"/>
      <c r="T723" s="120" t="n"/>
      <c r="U723" s="55" t="inlineStr">
        <is>
          <t>CONTA</t>
        </is>
      </c>
      <c r="V723" s="132">
        <f>DADOS_INVOC!$PX$49</f>
        <v/>
      </c>
      <c r="W723" s="16" t="n"/>
      <c r="X723" s="16" t="n"/>
      <c r="Y723" s="17" t="n"/>
      <c r="Z723" s="120" t="n"/>
      <c r="AB723" s="55" t="inlineStr">
        <is>
          <t>CONTA</t>
        </is>
      </c>
      <c r="AC723" s="132">
        <f>DADOS_INVOC!$PX$125</f>
        <v/>
      </c>
      <c r="AD723" s="16" t="n"/>
      <c r="AE723" s="16" t="n"/>
      <c r="AF723" s="17" t="n"/>
      <c r="AG723" s="120" t="n"/>
      <c r="AH723" s="55" t="inlineStr">
        <is>
          <t>CONTA</t>
        </is>
      </c>
      <c r="AI723" s="132">
        <f>DADOS_INVOC!$PX$126</f>
        <v/>
      </c>
      <c r="AJ723" s="16" t="n"/>
      <c r="AK723" s="16" t="n"/>
      <c r="AL723" s="17" t="n"/>
      <c r="AM723" s="120" t="n"/>
      <c r="AN723" s="55" t="inlineStr">
        <is>
          <t>CONTA</t>
        </is>
      </c>
      <c r="AO723" s="132">
        <f>DADOS_INVOC!$PX$127</f>
        <v/>
      </c>
      <c r="AP723" s="16" t="n"/>
      <c r="AQ723" s="16" t="n"/>
      <c r="AR723" s="17" t="n"/>
      <c r="AS723" s="120" t="n"/>
    </row>
    <row r="724" hidden="1" outlineLevel="3">
      <c r="A724" s="8" t="n"/>
      <c r="B724" s="14" t="n"/>
      <c r="C724" s="120" t="n"/>
      <c r="D724" s="120" t="n"/>
      <c r="E724" s="120" t="n"/>
      <c r="F724" s="120" t="n"/>
      <c r="G724" s="120" t="n"/>
      <c r="I724" s="55" t="inlineStr">
        <is>
          <t>AMPLIAR</t>
        </is>
      </c>
      <c r="J724" s="132">
        <f>DADOS_INVOC!$PY$47</f>
        <v/>
      </c>
      <c r="K724" s="19" t="n"/>
      <c r="L724" s="19" t="n"/>
      <c r="M724" s="20" t="n"/>
      <c r="N724" s="120" t="n"/>
      <c r="O724" s="55" t="inlineStr">
        <is>
          <t>AMPLIAR</t>
        </is>
      </c>
      <c r="P724" s="132">
        <f>DADOS_INVOC!$PY$48</f>
        <v/>
      </c>
      <c r="Q724" s="19" t="n"/>
      <c r="R724" s="19" t="n"/>
      <c r="S724" s="20" t="n"/>
      <c r="T724" s="120" t="n"/>
      <c r="U724" s="55" t="inlineStr">
        <is>
          <t>AMPLIAR</t>
        </is>
      </c>
      <c r="V724" s="132">
        <f>DADOS_INVOC!$PY$49</f>
        <v/>
      </c>
      <c r="W724" s="19" t="n"/>
      <c r="X724" s="19" t="n"/>
      <c r="Y724" s="20" t="n"/>
      <c r="Z724" s="120" t="n"/>
      <c r="AB724" s="55" t="inlineStr">
        <is>
          <t>AMPLIAR</t>
        </is>
      </c>
      <c r="AC724" s="132">
        <f>DADOS_INVOC!$PY$125</f>
        <v/>
      </c>
      <c r="AD724" s="19" t="n"/>
      <c r="AE724" s="19" t="n"/>
      <c r="AF724" s="20" t="n"/>
      <c r="AG724" s="120" t="n"/>
      <c r="AH724" s="55" t="inlineStr">
        <is>
          <t>AMPLIAR</t>
        </is>
      </c>
      <c r="AI724" s="132">
        <f>DADOS_INVOC!$PY$126</f>
        <v/>
      </c>
      <c r="AJ724" s="19" t="n"/>
      <c r="AK724" s="19" t="n"/>
      <c r="AL724" s="20" t="n"/>
      <c r="AM724" s="120" t="n"/>
      <c r="AN724" s="55" t="inlineStr">
        <is>
          <t>AMPLIAR</t>
        </is>
      </c>
      <c r="AO724" s="132">
        <f>DADOS_INVOC!$PY$127</f>
        <v/>
      </c>
      <c r="AP724" s="19" t="n"/>
      <c r="AQ724" s="19" t="n"/>
      <c r="AR724" s="20" t="n"/>
      <c r="AS724" s="120" t="n"/>
    </row>
    <row r="725" hidden="1" outlineLevel="3">
      <c r="A725" s="8" t="n"/>
      <c r="B725" s="14" t="n"/>
      <c r="C725" s="120" t="n"/>
      <c r="D725" s="120" t="n"/>
      <c r="E725" s="120" t="n"/>
      <c r="F725" s="120" t="n"/>
      <c r="G725" s="120" t="n"/>
      <c r="I725" s="125" t="n"/>
      <c r="J725" s="23" t="n"/>
      <c r="K725" s="24" t="n"/>
      <c r="L725" s="24" t="n"/>
      <c r="M725" s="25" t="n"/>
      <c r="N725" s="120" t="n"/>
      <c r="O725" s="125" t="n"/>
      <c r="P725" s="23" t="n"/>
      <c r="Q725" s="24" t="n"/>
      <c r="R725" s="24" t="n"/>
      <c r="S725" s="25" t="n"/>
      <c r="T725" s="120" t="n"/>
      <c r="U725" s="125" t="n"/>
      <c r="V725" s="23" t="n"/>
      <c r="W725" s="24" t="n"/>
      <c r="X725" s="24" t="n"/>
      <c r="Y725" s="25" t="n"/>
      <c r="Z725" s="120" t="n"/>
      <c r="AB725" s="125" t="n"/>
      <c r="AC725" s="23" t="n"/>
      <c r="AD725" s="24" t="n"/>
      <c r="AE725" s="24" t="n"/>
      <c r="AF725" s="25" t="n"/>
      <c r="AG725" s="120" t="n"/>
      <c r="AH725" s="125" t="n"/>
      <c r="AI725" s="23" t="n"/>
      <c r="AJ725" s="24" t="n"/>
      <c r="AK725" s="24" t="n"/>
      <c r="AL725" s="25" t="n"/>
      <c r="AM725" s="120" t="n"/>
      <c r="AN725" s="125" t="n"/>
      <c r="AO725" s="23" t="n"/>
      <c r="AP725" s="24" t="n"/>
      <c r="AQ725" s="24" t="n"/>
      <c r="AR725" s="25" t="n"/>
      <c r="AS725" s="120" t="n"/>
    </row>
    <row r="726" hidden="1" outlineLevel="3">
      <c r="A726" s="8" t="n"/>
      <c r="B726" s="14" t="n"/>
      <c r="C726" s="120" t="n"/>
      <c r="D726" s="120" t="n"/>
      <c r="E726" s="120" t="n"/>
      <c r="F726" s="120" t="n"/>
      <c r="G726" s="120" t="n"/>
      <c r="I726" s="132">
        <f>DADOS_INVOC!$PL$47</f>
        <v/>
      </c>
      <c r="J726" s="19" t="n"/>
      <c r="K726" s="19" t="n"/>
      <c r="L726" s="19" t="n"/>
      <c r="M726" s="20" t="n"/>
      <c r="N726" s="120" t="n"/>
      <c r="O726" s="132">
        <f>DADOS_INVOC!$PL$48</f>
        <v/>
      </c>
      <c r="P726" s="19" t="n"/>
      <c r="Q726" s="19" t="n"/>
      <c r="R726" s="19" t="n"/>
      <c r="S726" s="20" t="n"/>
      <c r="T726" s="120" t="n"/>
      <c r="U726" s="132">
        <f>DADOS_INVOC!$PL$49</f>
        <v/>
      </c>
      <c r="V726" s="19" t="n"/>
      <c r="W726" s="19" t="n"/>
      <c r="X726" s="19" t="n"/>
      <c r="Y726" s="20" t="n"/>
      <c r="Z726" s="120" t="n"/>
      <c r="AB726" s="132">
        <f>DADOS_INVOC!$PL$125</f>
        <v/>
      </c>
      <c r="AC726" s="19" t="n"/>
      <c r="AD726" s="19" t="n"/>
      <c r="AE726" s="19" t="n"/>
      <c r="AF726" s="20" t="n"/>
      <c r="AG726" s="120" t="n"/>
      <c r="AH726" s="132">
        <f>DADOS_INVOC!$PL$126</f>
        <v/>
      </c>
      <c r="AI726" s="19" t="n"/>
      <c r="AJ726" s="19" t="n"/>
      <c r="AK726" s="19" t="n"/>
      <c r="AL726" s="20" t="n"/>
      <c r="AM726" s="120" t="n"/>
      <c r="AN726" s="132">
        <f>DADOS_INVOC!$PL$127</f>
        <v/>
      </c>
      <c r="AO726" s="19" t="n"/>
      <c r="AP726" s="19" t="n"/>
      <c r="AQ726" s="19" t="n"/>
      <c r="AR726" s="20" t="n"/>
      <c r="AS726" s="120" t="n"/>
    </row>
    <row r="727" hidden="1" outlineLevel="3">
      <c r="A727" s="8" t="n"/>
      <c r="B727" s="14" t="n"/>
      <c r="C727" s="120" t="n"/>
      <c r="D727" s="120" t="n"/>
      <c r="E727" s="120" t="n"/>
      <c r="F727" s="120" t="n"/>
      <c r="G727" s="120" t="n"/>
      <c r="I727" s="23" t="n"/>
      <c r="J727" s="24" t="n"/>
      <c r="K727" s="24" t="n"/>
      <c r="L727" s="24" t="n"/>
      <c r="M727" s="25" t="n"/>
      <c r="N727" s="120" t="n"/>
      <c r="O727" s="23" t="n"/>
      <c r="P727" s="24" t="n"/>
      <c r="Q727" s="24" t="n"/>
      <c r="R727" s="24" t="n"/>
      <c r="S727" s="25" t="n"/>
      <c r="T727" s="120" t="n"/>
      <c r="U727" s="23" t="n"/>
      <c r="V727" s="24" t="n"/>
      <c r="W727" s="24" t="n"/>
      <c r="X727" s="24" t="n"/>
      <c r="Y727" s="25" t="n"/>
      <c r="Z727" s="120" t="n"/>
      <c r="AB727" s="23" t="n"/>
      <c r="AC727" s="24" t="n"/>
      <c r="AD727" s="24" t="n"/>
      <c r="AE727" s="24" t="n"/>
      <c r="AF727" s="25" t="n"/>
      <c r="AG727" s="120" t="n"/>
      <c r="AH727" s="23" t="n"/>
      <c r="AI727" s="24" t="n"/>
      <c r="AJ727" s="24" t="n"/>
      <c r="AK727" s="24" t="n"/>
      <c r="AL727" s="25" t="n"/>
      <c r="AM727" s="120" t="n"/>
      <c r="AN727" s="23" t="n"/>
      <c r="AO727" s="24" t="n"/>
      <c r="AP727" s="24" t="n"/>
      <c r="AQ727" s="24" t="n"/>
      <c r="AR727" s="25" t="n"/>
      <c r="AS727" s="120" t="n"/>
    </row>
    <row r="728" hidden="1" outlineLevel="2">
      <c r="A728" s="8" t="n"/>
      <c r="B728" s="14" t="n"/>
      <c r="C728" s="120" t="n"/>
      <c r="D728" s="120" t="n"/>
      <c r="E728" s="120" t="n"/>
      <c r="F728" s="120" t="n"/>
      <c r="G728" s="120" t="n"/>
      <c r="I728" s="120" t="n"/>
      <c r="J728" s="120" t="n"/>
      <c r="K728" s="120" t="n"/>
      <c r="L728" s="120" t="n"/>
      <c r="M728" s="120" t="n"/>
      <c r="N728" s="120" t="n"/>
      <c r="O728" s="120" t="n"/>
      <c r="P728" s="120" t="n"/>
      <c r="Q728" s="120" t="n"/>
      <c r="R728" s="120" t="n"/>
      <c r="S728" s="120" t="n"/>
      <c r="T728" s="120" t="n"/>
      <c r="U728" s="120" t="n"/>
      <c r="V728" s="120" t="n"/>
      <c r="W728" s="120" t="n"/>
      <c r="X728" s="120" t="n"/>
      <c r="Y728" s="120" t="n"/>
      <c r="Z728" s="120" t="n"/>
      <c r="AB728" s="120" t="n"/>
      <c r="AC728" s="120" t="n"/>
      <c r="AD728" s="120" t="n"/>
      <c r="AE728" s="120" t="n"/>
      <c r="AF728" s="120" t="n"/>
      <c r="AG728" s="120" t="n"/>
      <c r="AH728" s="120" t="n"/>
      <c r="AI728" s="120" t="n"/>
      <c r="AJ728" s="120" t="n"/>
      <c r="AK728" s="120" t="n"/>
      <c r="AL728" s="120" t="n"/>
      <c r="AM728" s="120" t="n"/>
      <c r="AN728" s="120" t="n"/>
      <c r="AO728" s="120" t="n"/>
      <c r="AP728" s="120" t="n"/>
      <c r="AQ728" s="120" t="n"/>
      <c r="AR728" s="120" t="n"/>
      <c r="AS728" s="120" t="n"/>
    </row>
    <row r="729" hidden="1" outlineLevel="2">
      <c r="A729" s="8" t="n"/>
      <c r="B729" s="14" t="n"/>
      <c r="C729" s="120" t="n"/>
      <c r="D729" s="120" t="n"/>
      <c r="E729" s="120" t="n"/>
      <c r="F729" s="120" t="n"/>
      <c r="G729" s="120" t="n"/>
      <c r="I729" s="55">
        <f>DADOS_INVOC!$PM$50</f>
        <v/>
      </c>
      <c r="J729" s="16" t="n"/>
      <c r="K729" s="16" t="n"/>
      <c r="L729" s="16" t="n"/>
      <c r="M729" s="17" t="n"/>
      <c r="N729" s="120" t="n"/>
      <c r="O729" s="120" t="n"/>
      <c r="P729" s="120" t="n"/>
      <c r="Q729" s="120" t="n"/>
      <c r="R729" s="120" t="n"/>
      <c r="S729" s="120" t="n"/>
      <c r="T729" s="120" t="n"/>
      <c r="U729" s="120" t="n"/>
      <c r="V729" s="120" t="n"/>
      <c r="W729" s="120" t="n"/>
      <c r="X729" s="120" t="n"/>
      <c r="Y729" s="120" t="n"/>
      <c r="Z729" s="120" t="n"/>
      <c r="AB729" s="55">
        <f>DADOS_INVOC!$PM$128</f>
        <v/>
      </c>
      <c r="AC729" s="16" t="n"/>
      <c r="AD729" s="16" t="n"/>
      <c r="AE729" s="16" t="n"/>
      <c r="AF729" s="17" t="n"/>
      <c r="AG729" s="120" t="n"/>
      <c r="AH729" s="120" t="n"/>
      <c r="AI729" s="120" t="n"/>
      <c r="AJ729" s="120" t="n"/>
      <c r="AK729" s="120" t="n"/>
      <c r="AL729" s="120" t="n"/>
      <c r="AM729" s="120" t="n"/>
      <c r="AN729" s="120" t="n"/>
      <c r="AO729" s="120" t="n"/>
      <c r="AP729" s="120" t="n"/>
      <c r="AQ729" s="120" t="n"/>
      <c r="AR729" s="120" t="n"/>
      <c r="AS729" s="120" t="n"/>
    </row>
    <row r="730" hidden="1" outlineLevel="2">
      <c r="A730" s="8" t="n"/>
      <c r="B730" s="14" t="n"/>
      <c r="C730" s="120" t="n"/>
      <c r="D730" s="120" t="n"/>
      <c r="E730" s="120" t="n"/>
      <c r="F730" s="120" t="n"/>
      <c r="G730" s="120" t="n"/>
      <c r="I730" s="127" t="n">
        <v>1</v>
      </c>
      <c r="J730" s="115" t="n"/>
      <c r="K730" s="16" t="n"/>
      <c r="L730" s="17" t="n"/>
      <c r="M730" s="128">
        <f>DADOS_INVOC!$PK$50</f>
        <v/>
      </c>
      <c r="N730" s="120" t="n"/>
      <c r="O730" s="120" t="n"/>
      <c r="P730" s="120" t="n"/>
      <c r="Q730" s="120" t="n"/>
      <c r="R730" s="120" t="n"/>
      <c r="S730" s="120" t="n"/>
      <c r="T730" s="120" t="n"/>
      <c r="U730" s="120" t="n"/>
      <c r="V730" s="120" t="n"/>
      <c r="W730" s="120" t="n"/>
      <c r="X730" s="120" t="n"/>
      <c r="Y730" s="120" t="n"/>
      <c r="Z730" s="120" t="n"/>
      <c r="AB730" s="127" t="n">
        <v>1</v>
      </c>
      <c r="AC730" s="115" t="n"/>
      <c r="AD730" s="16" t="n"/>
      <c r="AE730" s="17" t="n"/>
      <c r="AF730" s="128">
        <f>DADOS_INVOC!$PK$128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COMO É</t>
        </is>
      </c>
      <c r="J731" s="16" t="n"/>
      <c r="K731" s="16" t="n"/>
      <c r="L731" s="16" t="n"/>
      <c r="M731" s="17" t="n"/>
      <c r="N731" s="120" t="n"/>
      <c r="O731" s="120" t="n"/>
      <c r="P731" s="120" t="n"/>
      <c r="Q731" s="120" t="n"/>
      <c r="R731" s="120" t="n"/>
      <c r="S731" s="120" t="n"/>
      <c r="T731" s="120" t="n"/>
      <c r="U731" s="120" t="n"/>
      <c r="V731" s="120" t="n"/>
      <c r="W731" s="120" t="n"/>
      <c r="X731" s="120" t="n"/>
      <c r="Y731" s="120" t="n"/>
      <c r="Z731" s="120" t="n"/>
      <c r="AB731" s="55" t="inlineStr">
        <is>
          <t>COMO É</t>
        </is>
      </c>
      <c r="AC731" s="16" t="n"/>
      <c r="AD731" s="16" t="n"/>
      <c r="AE731" s="16" t="n"/>
      <c r="AF731" s="17" t="n"/>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16" t="n"/>
      <c r="J732" s="19" t="n"/>
      <c r="K732" s="19" t="n"/>
      <c r="L732" s="19" t="n"/>
      <c r="M732" s="20" t="n"/>
      <c r="N732" s="120" t="n"/>
      <c r="O732" s="120" t="n"/>
      <c r="P732" s="120" t="n"/>
      <c r="Q732" s="120" t="n"/>
      <c r="R732" s="120" t="n"/>
      <c r="S732" s="120" t="n"/>
      <c r="T732" s="120" t="n"/>
      <c r="U732" s="120" t="n"/>
      <c r="V732" s="120" t="n"/>
      <c r="W732" s="120" t="n"/>
      <c r="X732" s="120" t="n"/>
      <c r="Y732" s="120" t="n"/>
      <c r="Z732" s="120" t="n"/>
      <c r="AB732" s="116" t="n"/>
      <c r="AC732" s="19" t="n"/>
      <c r="AD732" s="19" t="n"/>
      <c r="AE732" s="19" t="n"/>
      <c r="AF732" s="20" t="n"/>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21" t="n"/>
      <c r="M733" s="22" t="n"/>
      <c r="N733" s="120" t="n"/>
      <c r="O733" s="120" t="n"/>
      <c r="P733" s="120" t="n"/>
      <c r="Q733" s="120" t="n"/>
      <c r="R733" s="120" t="n"/>
      <c r="S733" s="120" t="n"/>
      <c r="T733" s="120" t="n"/>
      <c r="U733" s="120" t="n"/>
      <c r="V733" s="120" t="n"/>
      <c r="W733" s="120" t="n"/>
      <c r="X733" s="120" t="n"/>
      <c r="Y733" s="120" t="n"/>
      <c r="Z733" s="120" t="n"/>
      <c r="AB733" s="21" t="n"/>
      <c r="AF733" s="22"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23" t="n"/>
      <c r="J734" s="24" t="n"/>
      <c r="K734" s="24" t="n"/>
      <c r="L734" s="24" t="n"/>
      <c r="M734" s="25" t="n"/>
      <c r="N734" s="120" t="n"/>
      <c r="O734" s="120" t="n"/>
      <c r="P734" s="120" t="n"/>
      <c r="Q734" s="120" t="n"/>
      <c r="R734" s="120" t="n"/>
      <c r="S734" s="120" t="n"/>
      <c r="T734" s="120" t="n"/>
      <c r="U734" s="120" t="n"/>
      <c r="V734" s="120" t="n"/>
      <c r="W734" s="120" t="n"/>
      <c r="X734" s="120" t="n"/>
      <c r="Y734" s="120" t="n"/>
      <c r="Z734" s="120" t="n"/>
      <c r="AB734" s="23" t="n"/>
      <c r="AC734" s="24" t="n"/>
      <c r="AD734" s="24" t="n"/>
      <c r="AE734" s="24" t="n"/>
      <c r="AF734" s="25" t="n"/>
      <c r="AG734" s="120" t="n"/>
      <c r="AH734" s="120" t="n"/>
      <c r="AI734" s="120" t="n"/>
      <c r="AJ734" s="120" t="n"/>
      <c r="AK734" s="120" t="n"/>
      <c r="AL734" s="120" t="n"/>
      <c r="AM734" s="120" t="n"/>
      <c r="AN734" s="120" t="n"/>
      <c r="AO734" s="120" t="n"/>
      <c r="AP734" s="120" t="n"/>
      <c r="AQ734" s="120" t="n"/>
      <c r="AR734" s="120" t="n"/>
      <c r="AS734" s="120" t="n"/>
    </row>
    <row r="735" hidden="1" outlineLevel="2">
      <c r="A735" s="8" t="n"/>
      <c r="B735" s="14" t="n"/>
      <c r="C735" s="120" t="n"/>
      <c r="D735" s="120" t="n"/>
      <c r="E735" s="120" t="n"/>
      <c r="F735" s="120" t="n"/>
      <c r="G735" s="120" t="n"/>
      <c r="I735" s="124" t="inlineStr">
        <is>
          <t>Projétil</t>
        </is>
      </c>
      <c r="J735" s="17" t="n"/>
      <c r="K735" s="68">
        <f>DADOS_INVOC!$PR$50</f>
        <v/>
      </c>
      <c r="L735" s="17" t="n"/>
      <c r="M735" s="68">
        <f>DADOS_INVOC!$PN$50</f>
        <v/>
      </c>
      <c r="N735" s="120" t="n"/>
      <c r="O735" s="120" t="n"/>
      <c r="P735" s="120" t="n"/>
      <c r="Q735" s="120" t="n"/>
      <c r="R735" s="120" t="n"/>
      <c r="S735" s="120" t="n"/>
      <c r="T735" s="120" t="n"/>
      <c r="U735" s="120" t="n"/>
      <c r="V735" s="120" t="n"/>
      <c r="W735" s="120" t="n"/>
      <c r="X735" s="120" t="n"/>
      <c r="Y735" s="120" t="n"/>
      <c r="Z735" s="120" t="n"/>
      <c r="AB735" s="124" t="inlineStr">
        <is>
          <t>Projétil</t>
        </is>
      </c>
      <c r="AC735" s="17" t="n"/>
      <c r="AD735" s="68">
        <f>DADOS_INVOC!$PR$128</f>
        <v/>
      </c>
      <c r="AE735" s="17" t="n"/>
      <c r="AF735" s="68">
        <f>DADOS_INVOC!$PN$128</f>
        <v/>
      </c>
      <c r="AG735" s="120" t="n"/>
      <c r="AH735" s="120" t="n"/>
      <c r="AI735" s="120" t="n"/>
      <c r="AJ735" s="120" t="n"/>
      <c r="AK735" s="120" t="n"/>
      <c r="AL735" s="120" t="n"/>
      <c r="AM735" s="120" t="n"/>
      <c r="AN735" s="120" t="n"/>
      <c r="AO735" s="120" t="n"/>
      <c r="AP735" s="120" t="n"/>
      <c r="AQ735" s="120" t="n"/>
      <c r="AR735" s="120" t="n"/>
      <c r="AS735" s="120" t="n"/>
    </row>
    <row r="736" hidden="1" outlineLevel="2">
      <c r="A736" s="8" t="n"/>
      <c r="B736" s="14" t="n"/>
      <c r="C736" s="120" t="n"/>
      <c r="D736" s="120" t="n"/>
      <c r="E736" s="120" t="n"/>
      <c r="F736" s="120" t="n"/>
      <c r="G736" s="120" t="n"/>
      <c r="I736" s="124" t="n"/>
      <c r="J736" s="17" t="n"/>
      <c r="K736" s="124" t="n"/>
      <c r="L736" s="16" t="n"/>
      <c r="M736" s="17" t="n"/>
      <c r="N736" s="120" t="n"/>
      <c r="O736" s="120" t="n"/>
      <c r="P736" s="120" t="n"/>
      <c r="Q736" s="120" t="n"/>
      <c r="R736" s="120" t="n"/>
      <c r="S736" s="120" t="n"/>
      <c r="T736" s="120" t="n"/>
      <c r="U736" s="120" t="n"/>
      <c r="V736" s="120" t="n"/>
      <c r="W736" s="120" t="n"/>
      <c r="X736" s="120" t="n"/>
      <c r="Y736" s="120" t="n"/>
      <c r="Z736" s="120" t="n"/>
      <c r="AB736" s="124" t="n"/>
      <c r="AC736" s="17" t="n"/>
      <c r="AD736" s="124" t="n"/>
      <c r="AE736" s="16" t="n"/>
      <c r="AF736" s="17" t="n"/>
      <c r="AG736" s="120" t="n"/>
      <c r="AH736" s="120" t="n"/>
      <c r="AI736" s="120" t="n"/>
      <c r="AJ736" s="120" t="n"/>
      <c r="AK736" s="120" t="n"/>
      <c r="AL736" s="120" t="n"/>
      <c r="AM736" s="120" t="n"/>
      <c r="AN736" s="120" t="n"/>
      <c r="AO736" s="120" t="n"/>
      <c r="AP736" s="120" t="n"/>
      <c r="AQ736" s="120" t="n"/>
      <c r="AR736" s="120" t="n"/>
      <c r="AS736" s="120" t="n"/>
    </row>
    <row r="737" hidden="1" outlineLevel="2">
      <c r="A737" s="8" t="n"/>
      <c r="B737" s="14" t="n"/>
      <c r="C737" s="120" t="n"/>
      <c r="D737" s="120" t="n"/>
      <c r="E737" s="120" t="n"/>
      <c r="F737" s="120" t="n"/>
      <c r="G737" s="120" t="n"/>
      <c r="I737" s="124">
        <f>DADOS_INVOC!$PO$50</f>
        <v/>
      </c>
      <c r="J737" s="17" t="n"/>
      <c r="K737" s="124">
        <f>DADOS_INVOC!$PQ$50</f>
        <v/>
      </c>
      <c r="L737" s="16" t="n"/>
      <c r="M737" s="17" t="n"/>
      <c r="N737" s="120" t="n"/>
      <c r="O737" s="120" t="n"/>
      <c r="P737" s="120" t="n"/>
      <c r="Q737" s="120" t="n"/>
      <c r="R737" s="120" t="n"/>
      <c r="S737" s="120" t="n"/>
      <c r="T737" s="120" t="n"/>
      <c r="U737" s="120" t="n"/>
      <c r="V737" s="120" t="n"/>
      <c r="W737" s="120" t="n"/>
      <c r="X737" s="120" t="n"/>
      <c r="Y737" s="120" t="n"/>
      <c r="Z737" s="120" t="n"/>
      <c r="AB737" s="124">
        <f>DADOS_INVOC!$PO$128</f>
        <v/>
      </c>
      <c r="AC737" s="17" t="n"/>
      <c r="AD737" s="124">
        <f>DADOS_INVOC!$PQ$128</f>
        <v/>
      </c>
      <c r="AE737" s="16" t="n"/>
      <c r="AF737" s="17" t="n"/>
      <c r="AG737" s="120" t="n"/>
      <c r="AH737" s="120" t="n"/>
      <c r="AI737" s="120" t="n"/>
      <c r="AJ737" s="120" t="n"/>
      <c r="AK737" s="120" t="n"/>
      <c r="AL737" s="120" t="n"/>
      <c r="AM737" s="120" t="n"/>
      <c r="AN737" s="120" t="n"/>
      <c r="AO737" s="120" t="n"/>
      <c r="AP737" s="120" t="n"/>
      <c r="AQ737" s="120" t="n"/>
      <c r="AR737" s="120" t="n"/>
      <c r="AS737" s="120" t="n"/>
    </row>
    <row r="738" hidden="1" outlineLevel="2">
      <c r="A738" s="8" t="n"/>
      <c r="B738" s="14" t="n"/>
      <c r="C738" s="120" t="n"/>
      <c r="D738" s="120" t="n"/>
      <c r="E738" s="120" t="n"/>
      <c r="F738" s="120" t="n"/>
      <c r="G738" s="120" t="n"/>
      <c r="I738" s="129">
        <f>DADOS_INVOC!$PW$50</f>
        <v/>
      </c>
      <c r="J738" s="16" t="n"/>
      <c r="K738" s="16" t="n"/>
      <c r="L738" s="16" t="n"/>
      <c r="M738" s="17" t="n"/>
      <c r="N738" s="120" t="n"/>
      <c r="O738" s="120" t="n"/>
      <c r="P738" s="120" t="n"/>
      <c r="Q738" s="120" t="n"/>
      <c r="R738" s="120" t="n"/>
      <c r="S738" s="120" t="n"/>
      <c r="T738" s="120" t="n"/>
      <c r="U738" s="120" t="n"/>
      <c r="V738" s="120" t="n"/>
      <c r="W738" s="120" t="n"/>
      <c r="X738" s="120" t="n"/>
      <c r="Y738" s="120" t="n"/>
      <c r="Z738" s="120" t="n"/>
      <c r="AB738" s="129">
        <f>DADOS_INVOC!$PW$128</f>
        <v/>
      </c>
      <c r="AC738" s="16" t="n"/>
      <c r="AD738" s="16" t="n"/>
      <c r="AE738" s="16" t="n"/>
      <c r="AF738" s="17" t="n"/>
      <c r="AG738" s="120" t="n"/>
      <c r="AH738" s="120" t="n"/>
      <c r="AI738" s="120" t="n"/>
      <c r="AJ738" s="120" t="n"/>
      <c r="AK738" s="120" t="n"/>
      <c r="AL738" s="120" t="n"/>
      <c r="AM738" s="120" t="n"/>
      <c r="AN738" s="120" t="n"/>
      <c r="AO738" s="120" t="n"/>
      <c r="AP738" s="120" t="n"/>
      <c r="AQ738" s="120" t="n"/>
      <c r="AR738" s="120" t="n"/>
      <c r="AS738" s="120" t="n"/>
    </row>
    <row r="739" hidden="1" outlineLevel="3">
      <c r="A739" s="8" t="n"/>
      <c r="B739" s="14" t="n"/>
      <c r="C739" s="120" t="n"/>
      <c r="D739" s="120" t="n"/>
      <c r="E739" s="120" t="n"/>
      <c r="F739" s="120" t="n"/>
      <c r="G739" s="120" t="n"/>
      <c r="I739" s="55" t="inlineStr">
        <is>
          <t>MELHORIAS</t>
        </is>
      </c>
      <c r="J739" s="130" t="n"/>
      <c r="K739" s="16" t="n"/>
      <c r="L739" s="17" t="n"/>
      <c r="M739" s="129">
        <f>DADOS_INVOC!$PZ$50</f>
        <v/>
      </c>
      <c r="N739" s="120" t="n"/>
      <c r="O739" s="120" t="n"/>
      <c r="P739" s="120" t="n"/>
      <c r="Q739" s="120" t="n"/>
      <c r="R739" s="120" t="n"/>
      <c r="S739" s="120" t="n"/>
      <c r="T739" s="120" t="n"/>
      <c r="U739" s="120" t="n"/>
      <c r="V739" s="120" t="n"/>
      <c r="W739" s="120" t="n"/>
      <c r="X739" s="120" t="n"/>
      <c r="Y739" s="120" t="n"/>
      <c r="Z739" s="120" t="n"/>
      <c r="AB739" s="55" t="inlineStr">
        <is>
          <t>MELHORIAS</t>
        </is>
      </c>
      <c r="AC739" s="130" t="n"/>
      <c r="AD739" s="16" t="n"/>
      <c r="AE739" s="17" t="n"/>
      <c r="AF739" s="129">
        <f>DADOS_INVOC!$PZ$128</f>
        <v/>
      </c>
      <c r="AG739" s="120" t="n"/>
      <c r="AH739" s="120" t="n"/>
      <c r="AI739" s="120" t="n"/>
      <c r="AJ739" s="120" t="n"/>
      <c r="AK739" s="120" t="n"/>
      <c r="AL739" s="120" t="n"/>
      <c r="AM739" s="120" t="n"/>
      <c r="AN739" s="120" t="n"/>
      <c r="AO739" s="120" t="n"/>
      <c r="AP739" s="120" t="n"/>
      <c r="AQ739" s="120" t="n"/>
      <c r="AR739" s="120" t="n"/>
      <c r="AS739" s="120" t="n"/>
    </row>
    <row r="740" hidden="1" outlineLevel="3">
      <c r="A740" s="8" t="n"/>
      <c r="B740" s="14" t="n"/>
      <c r="C740" s="120" t="n"/>
      <c r="D740" s="120" t="n"/>
      <c r="E740" s="120" t="n"/>
      <c r="F740" s="120" t="n"/>
      <c r="G740" s="120" t="n"/>
      <c r="I740" s="131" t="n"/>
      <c r="J740" s="130" t="n"/>
      <c r="K740" s="16" t="n"/>
      <c r="L740" s="17" t="n"/>
      <c r="M740" s="129">
        <f>DADOS_INVOC!$QA$50</f>
        <v/>
      </c>
      <c r="N740" s="120" t="n"/>
      <c r="O740" s="120" t="n"/>
      <c r="P740" s="120" t="n"/>
      <c r="Q740" s="120" t="n"/>
      <c r="R740" s="120" t="n"/>
      <c r="S740" s="120" t="n"/>
      <c r="T740" s="120" t="n"/>
      <c r="U740" s="120" t="n"/>
      <c r="V740" s="120" t="n"/>
      <c r="W740" s="120" t="n"/>
      <c r="X740" s="120" t="n"/>
      <c r="Y740" s="120" t="n"/>
      <c r="Z740" s="120" t="n"/>
      <c r="AB740" s="131" t="n"/>
      <c r="AC740" s="130" t="n"/>
      <c r="AD740" s="16" t="n"/>
      <c r="AE740" s="17" t="n"/>
      <c r="AF740" s="129">
        <f>DADOS_INVOC!$QA$128</f>
        <v/>
      </c>
      <c r="AG740" s="120" t="n"/>
      <c r="AH740" s="120" t="n"/>
      <c r="AI740" s="120" t="n"/>
      <c r="AJ740" s="120" t="n"/>
      <c r="AK740" s="120" t="n"/>
      <c r="AL740" s="120" t="n"/>
      <c r="AM740" s="120" t="n"/>
      <c r="AN740" s="120" t="n"/>
      <c r="AO740" s="120" t="n"/>
      <c r="AP740" s="120" t="n"/>
      <c r="AQ740" s="120" t="n"/>
      <c r="AR740" s="120" t="n"/>
      <c r="AS740" s="120" t="n"/>
    </row>
    <row r="741" hidden="1" outlineLevel="3">
      <c r="A741" s="8" t="n"/>
      <c r="B741" s="14" t="n"/>
      <c r="C741" s="120" t="n"/>
      <c r="D741" s="120" t="n"/>
      <c r="E741" s="120" t="n"/>
      <c r="F741" s="120" t="n"/>
      <c r="G741" s="120" t="n"/>
      <c r="I741" s="131" t="n"/>
      <c r="J741" s="130" t="n"/>
      <c r="K741" s="16" t="n"/>
      <c r="L741" s="17" t="n"/>
      <c r="M741" s="129">
        <f>DADOS_INVOC!$QB$50</f>
        <v/>
      </c>
      <c r="N741" s="120" t="n"/>
      <c r="O741" s="120" t="n"/>
      <c r="P741" s="120" t="n"/>
      <c r="Q741" s="120" t="n"/>
      <c r="R741" s="120" t="n"/>
      <c r="S741" s="120" t="n"/>
      <c r="T741" s="120" t="n"/>
      <c r="U741" s="120" t="n"/>
      <c r="V741" s="120" t="n"/>
      <c r="W741" s="120" t="n"/>
      <c r="X741" s="120" t="n"/>
      <c r="Y741" s="120" t="n"/>
      <c r="Z741" s="120" t="n"/>
      <c r="AB741" s="131" t="n"/>
      <c r="AC741" s="130" t="n"/>
      <c r="AD741" s="16" t="n"/>
      <c r="AE741" s="17" t="n"/>
      <c r="AF741" s="129">
        <f>DADOS_INVOC!$QB$128</f>
        <v/>
      </c>
      <c r="AG741" s="120" t="n"/>
      <c r="AH741" s="120" t="n"/>
      <c r="AI741" s="120" t="n"/>
      <c r="AJ741" s="120" t="n"/>
      <c r="AK741" s="120" t="n"/>
      <c r="AL741" s="120" t="n"/>
      <c r="AM741" s="120" t="n"/>
      <c r="AN741" s="120" t="n"/>
      <c r="AO741" s="120" t="n"/>
      <c r="AP741" s="120" t="n"/>
      <c r="AQ741" s="120" t="n"/>
      <c r="AR741" s="120" t="n"/>
      <c r="AS741" s="120" t="n"/>
    </row>
    <row r="742" hidden="1" outlineLevel="3">
      <c r="A742" s="8" t="n"/>
      <c r="B742" s="14" t="n"/>
      <c r="C742" s="120" t="n"/>
      <c r="D742" s="120" t="n"/>
      <c r="E742" s="120" t="n"/>
      <c r="F742" s="120" t="n"/>
      <c r="G742" s="120" t="n"/>
      <c r="I742" s="125" t="n"/>
      <c r="J742" s="130" t="n"/>
      <c r="K742" s="16" t="n"/>
      <c r="L742" s="17" t="n"/>
      <c r="M742" s="129">
        <f>DADOS_INVOC!$QC$50</f>
        <v/>
      </c>
      <c r="N742" s="120" t="n"/>
      <c r="O742" s="120" t="n"/>
      <c r="P742" s="120" t="n"/>
      <c r="Q742" s="120" t="n"/>
      <c r="R742" s="120" t="n"/>
      <c r="S742" s="120" t="n"/>
      <c r="T742" s="120" t="n"/>
      <c r="U742" s="120" t="n"/>
      <c r="V742" s="120" t="n"/>
      <c r="W742" s="120" t="n"/>
      <c r="X742" s="120" t="n"/>
      <c r="Y742" s="120" t="n"/>
      <c r="Z742" s="120" t="n"/>
      <c r="AB742" s="125" t="n"/>
      <c r="AC742" s="130" t="n"/>
      <c r="AD742" s="16" t="n"/>
      <c r="AE742" s="17" t="n"/>
      <c r="AF742" s="129">
        <f>DADOS_INVOC!$QC$128</f>
        <v/>
      </c>
      <c r="AG742" s="120" t="n"/>
      <c r="AH742" s="120" t="n"/>
      <c r="AI742" s="120" t="n"/>
      <c r="AJ742" s="120" t="n"/>
      <c r="AK742" s="120" t="n"/>
      <c r="AL742" s="120" t="n"/>
      <c r="AM742" s="120" t="n"/>
      <c r="AN742" s="120" t="n"/>
      <c r="AO742" s="120" t="n"/>
      <c r="AP742" s="120" t="n"/>
      <c r="AQ742" s="120" t="n"/>
      <c r="AR742" s="120" t="n"/>
      <c r="AS742" s="120" t="n"/>
    </row>
    <row r="743" hidden="1" outlineLevel="3">
      <c r="A743" s="8" t="n"/>
      <c r="B743" s="14" t="n"/>
      <c r="C743" s="120" t="n"/>
      <c r="D743" s="120" t="n"/>
      <c r="E743" s="120" t="n"/>
      <c r="F743" s="120" t="n"/>
      <c r="G743" s="120" t="n"/>
      <c r="I743" s="55" t="inlineStr">
        <is>
          <t>RESTRIÇÕES</t>
        </is>
      </c>
      <c r="J743" s="130" t="n"/>
      <c r="K743" s="16" t="n"/>
      <c r="L743" s="17" t="n"/>
      <c r="M743" s="129">
        <f>DADOS_INVOC!$QD$50</f>
        <v/>
      </c>
      <c r="N743" s="120" t="n"/>
      <c r="O743" s="120" t="n"/>
      <c r="P743" s="120" t="n"/>
      <c r="Q743" s="120" t="n"/>
      <c r="R743" s="120" t="n"/>
      <c r="S743" s="120" t="n"/>
      <c r="T743" s="120" t="n"/>
      <c r="U743" s="120" t="n"/>
      <c r="V743" s="120" t="n"/>
      <c r="W743" s="120" t="n"/>
      <c r="X743" s="120" t="n"/>
      <c r="Y743" s="120" t="n"/>
      <c r="Z743" s="120" t="n"/>
      <c r="AB743" s="55" t="inlineStr">
        <is>
          <t>RESTRIÇÕES</t>
        </is>
      </c>
      <c r="AC743" s="130" t="n"/>
      <c r="AD743" s="16" t="n"/>
      <c r="AE743" s="17" t="n"/>
      <c r="AF743" s="129">
        <f>DADOS_INVOC!$QD$128</f>
        <v/>
      </c>
      <c r="AG743" s="120" t="n"/>
      <c r="AH743" s="120" t="n"/>
      <c r="AI743" s="120" t="n"/>
      <c r="AJ743" s="120" t="n"/>
      <c r="AK743" s="120" t="n"/>
      <c r="AL743" s="120" t="n"/>
      <c r="AM743" s="120" t="n"/>
      <c r="AN743" s="120" t="n"/>
      <c r="AO743" s="120" t="n"/>
      <c r="AP743" s="120" t="n"/>
      <c r="AQ743" s="120" t="n"/>
      <c r="AR743" s="120" t="n"/>
      <c r="AS743" s="120" t="n"/>
    </row>
    <row r="744" hidden="1" outlineLevel="3">
      <c r="A744" s="8" t="n"/>
      <c r="B744" s="14" t="n"/>
      <c r="C744" s="120" t="n"/>
      <c r="D744" s="120" t="n"/>
      <c r="E744" s="120" t="n"/>
      <c r="F744" s="120" t="n"/>
      <c r="G744" s="120" t="n"/>
      <c r="I744" s="125" t="n"/>
      <c r="J744" s="130" t="n"/>
      <c r="K744" s="16" t="n"/>
      <c r="L744" s="17" t="n"/>
      <c r="M744" s="129">
        <f>DADOS_INVOC!$QE$50</f>
        <v/>
      </c>
      <c r="N744" s="120" t="n"/>
      <c r="O744" s="120" t="n"/>
      <c r="P744" s="120" t="n"/>
      <c r="Q744" s="120" t="n"/>
      <c r="R744" s="120" t="n"/>
      <c r="S744" s="120" t="n"/>
      <c r="T744" s="120" t="n"/>
      <c r="U744" s="120" t="n"/>
      <c r="V744" s="120" t="n"/>
      <c r="W744" s="120" t="n"/>
      <c r="X744" s="120" t="n"/>
      <c r="Y744" s="120" t="n"/>
      <c r="Z744" s="120" t="n"/>
      <c r="AB744" s="125" t="n"/>
      <c r="AC744" s="130" t="n"/>
      <c r="AD744" s="16" t="n"/>
      <c r="AE744" s="17" t="n"/>
      <c r="AF744" s="129">
        <f>DADOS_INVOC!$QE$128</f>
        <v/>
      </c>
      <c r="AG744" s="120" t="n"/>
      <c r="AH744" s="120" t="n"/>
      <c r="AI744" s="120" t="n"/>
      <c r="AJ744" s="120" t="n"/>
      <c r="AK744" s="120" t="n"/>
      <c r="AL744" s="120" t="n"/>
      <c r="AM744" s="120" t="n"/>
      <c r="AN744" s="120" t="n"/>
      <c r="AO744" s="120" t="n"/>
      <c r="AP744" s="120" t="n"/>
      <c r="AQ744" s="120" t="n"/>
      <c r="AR744" s="120" t="n"/>
      <c r="AS744" s="120" t="n"/>
    </row>
    <row r="745" hidden="1" outlineLevel="3">
      <c r="A745" s="8" t="n"/>
      <c r="B745" s="14" t="n"/>
      <c r="C745" s="120" t="n"/>
      <c r="D745" s="120" t="n"/>
      <c r="E745" s="120" t="n"/>
      <c r="F745" s="120" t="n"/>
      <c r="G745" s="120" t="n"/>
      <c r="I745" s="55" t="inlineStr">
        <is>
          <t>CONTA</t>
        </is>
      </c>
      <c r="J745" s="132">
        <f>DADOS_INVOC!$PX$50</f>
        <v/>
      </c>
      <c r="K745" s="16" t="n"/>
      <c r="L745" s="16" t="n"/>
      <c r="M745" s="17" t="n"/>
      <c r="N745" s="120" t="n"/>
      <c r="O745" s="120" t="n"/>
      <c r="P745" s="120" t="n"/>
      <c r="Q745" s="120" t="n"/>
      <c r="R745" s="120" t="n"/>
      <c r="S745" s="120" t="n"/>
      <c r="T745" s="120" t="n"/>
      <c r="U745" s="120" t="n"/>
      <c r="V745" s="120" t="n"/>
      <c r="W745" s="120" t="n"/>
      <c r="X745" s="120" t="n"/>
      <c r="Y745" s="120" t="n"/>
      <c r="Z745" s="120" t="n"/>
      <c r="AB745" s="55" t="inlineStr">
        <is>
          <t>CONTA</t>
        </is>
      </c>
      <c r="AC745" s="132">
        <f>DADOS_INVOC!$PX$128</f>
        <v/>
      </c>
      <c r="AD745" s="16" t="n"/>
      <c r="AE745" s="16" t="n"/>
      <c r="AF745" s="17" t="n"/>
      <c r="AG745" s="120" t="n"/>
      <c r="AH745" s="120" t="n"/>
      <c r="AI745" s="120" t="n"/>
      <c r="AJ745" s="120" t="n"/>
      <c r="AK745" s="120" t="n"/>
      <c r="AL745" s="120" t="n"/>
      <c r="AM745" s="120" t="n"/>
      <c r="AN745" s="120" t="n"/>
      <c r="AO745" s="120" t="n"/>
      <c r="AP745" s="120" t="n"/>
      <c r="AQ745" s="120" t="n"/>
      <c r="AR745" s="120" t="n"/>
      <c r="AS745" s="120" t="n"/>
    </row>
    <row r="746" hidden="1" outlineLevel="3">
      <c r="A746" s="8" t="n"/>
      <c r="B746" s="14" t="n"/>
      <c r="C746" s="120" t="n"/>
      <c r="D746" s="120" t="n"/>
      <c r="E746" s="120" t="n"/>
      <c r="F746" s="120" t="n"/>
      <c r="G746" s="120" t="n"/>
      <c r="I746" s="55" t="inlineStr">
        <is>
          <t>AMPLIAR</t>
        </is>
      </c>
      <c r="J746" s="132">
        <f>DADOS_INVOC!$PY$50</f>
        <v/>
      </c>
      <c r="K746" s="19" t="n"/>
      <c r="L746" s="19" t="n"/>
      <c r="M746" s="20" t="n"/>
      <c r="N746" s="120" t="n"/>
      <c r="O746" s="120" t="n"/>
      <c r="P746" s="120" t="n"/>
      <c r="Q746" s="120" t="n"/>
      <c r="R746" s="120" t="n"/>
      <c r="S746" s="120" t="n"/>
      <c r="T746" s="120" t="n"/>
      <c r="U746" s="120" t="n"/>
      <c r="V746" s="120" t="n"/>
      <c r="W746" s="120" t="n"/>
      <c r="X746" s="120" t="n"/>
      <c r="Y746" s="120" t="n"/>
      <c r="Z746" s="120" t="n"/>
      <c r="AB746" s="55" t="inlineStr">
        <is>
          <t>AMPLIAR</t>
        </is>
      </c>
      <c r="AC746" s="132">
        <f>DADOS_INVOC!$PY$128</f>
        <v/>
      </c>
      <c r="AD746" s="19" t="n"/>
      <c r="AE746" s="19" t="n"/>
      <c r="AF746" s="20" t="n"/>
      <c r="AG746" s="120" t="n"/>
      <c r="AH746" s="120" t="n"/>
      <c r="AI746" s="120" t="n"/>
      <c r="AJ746" s="120" t="n"/>
      <c r="AK746" s="120" t="n"/>
      <c r="AL746" s="120" t="n"/>
      <c r="AM746" s="120" t="n"/>
      <c r="AN746" s="120" t="n"/>
      <c r="AO746" s="120" t="n"/>
      <c r="AP746" s="120" t="n"/>
      <c r="AQ746" s="120" t="n"/>
      <c r="AR746" s="120" t="n"/>
      <c r="AS746" s="120" t="n"/>
    </row>
    <row r="747" hidden="1" outlineLevel="3">
      <c r="A747" s="8" t="n"/>
      <c r="B747" s="14" t="n"/>
      <c r="C747" s="120" t="n"/>
      <c r="D747" s="120" t="n"/>
      <c r="E747" s="120" t="n"/>
      <c r="F747" s="120" t="n"/>
      <c r="G747" s="120" t="n"/>
      <c r="I747" s="125" t="n"/>
      <c r="J747" s="23" t="n"/>
      <c r="K747" s="24" t="n"/>
      <c r="L747" s="24" t="n"/>
      <c r="M747" s="25" t="n"/>
      <c r="N747" s="120" t="n"/>
      <c r="O747" s="120" t="n"/>
      <c r="P747" s="120" t="n"/>
      <c r="Q747" s="120" t="n"/>
      <c r="R747" s="120" t="n"/>
      <c r="S747" s="120" t="n"/>
      <c r="T747" s="120" t="n"/>
      <c r="U747" s="120" t="n"/>
      <c r="V747" s="120" t="n"/>
      <c r="W747" s="120" t="n"/>
      <c r="X747" s="120" t="n"/>
      <c r="Y747" s="120" t="n"/>
      <c r="Z747" s="120" t="n"/>
      <c r="AB747" s="125" t="n"/>
      <c r="AC747" s="23" t="n"/>
      <c r="AD747" s="24" t="n"/>
      <c r="AE747" s="24" t="n"/>
      <c r="AF747" s="25" t="n"/>
      <c r="AG747" s="120" t="n"/>
      <c r="AH747" s="120" t="n"/>
      <c r="AI747" s="120" t="n"/>
      <c r="AJ747" s="120" t="n"/>
      <c r="AK747" s="120" t="n"/>
      <c r="AL747" s="120" t="n"/>
      <c r="AM747" s="120" t="n"/>
      <c r="AN747" s="120" t="n"/>
      <c r="AO747" s="120" t="n"/>
      <c r="AP747" s="120" t="n"/>
      <c r="AQ747" s="120" t="n"/>
      <c r="AR747" s="120" t="n"/>
      <c r="AS747" s="120" t="n"/>
    </row>
    <row r="748" hidden="1" outlineLevel="3">
      <c r="A748" s="8" t="n"/>
      <c r="B748" s="14" t="n"/>
      <c r="C748" s="120" t="n"/>
      <c r="D748" s="120" t="n"/>
      <c r="E748" s="120" t="n"/>
      <c r="F748" s="120" t="n"/>
      <c r="G748" s="120" t="n"/>
      <c r="I748" s="132">
        <f>DADOS_INVOC!$PL$50</f>
        <v/>
      </c>
      <c r="J748" s="19" t="n"/>
      <c r="K748" s="19" t="n"/>
      <c r="L748" s="19" t="n"/>
      <c r="M748" s="20" t="n"/>
      <c r="N748" s="120" t="n"/>
      <c r="O748" s="120" t="n"/>
      <c r="P748" s="120" t="n"/>
      <c r="Q748" s="120" t="n"/>
      <c r="R748" s="120" t="n"/>
      <c r="S748" s="120" t="n"/>
      <c r="T748" s="120" t="n"/>
      <c r="U748" s="120" t="n"/>
      <c r="V748" s="120" t="n"/>
      <c r="W748" s="120" t="n"/>
      <c r="X748" s="120" t="n"/>
      <c r="Y748" s="120" t="n"/>
      <c r="Z748" s="120" t="n"/>
      <c r="AB748" s="132">
        <f>DADOS_INVOC!$PL$128</f>
        <v/>
      </c>
      <c r="AC748" s="19" t="n"/>
      <c r="AD748" s="19" t="n"/>
      <c r="AE748" s="19" t="n"/>
      <c r="AF748" s="20" t="n"/>
      <c r="AG748" s="120" t="n"/>
      <c r="AH748" s="120" t="n"/>
      <c r="AI748" s="120" t="n"/>
      <c r="AJ748" s="120" t="n"/>
      <c r="AK748" s="120" t="n"/>
      <c r="AL748" s="120" t="n"/>
      <c r="AM748" s="120" t="n"/>
      <c r="AN748" s="120" t="n"/>
      <c r="AO748" s="120" t="n"/>
      <c r="AP748" s="120" t="n"/>
      <c r="AQ748" s="120" t="n"/>
      <c r="AR748" s="120" t="n"/>
      <c r="AS748" s="120" t="n"/>
    </row>
    <row r="749" hidden="1" outlineLevel="3">
      <c r="A749" s="8" t="n"/>
      <c r="B749" s="14" t="n"/>
      <c r="C749" s="120" t="n"/>
      <c r="D749" s="120" t="n"/>
      <c r="E749" s="120" t="n"/>
      <c r="F749" s="120" t="n"/>
      <c r="G749" s="120" t="n"/>
      <c r="I749" s="23" t="n"/>
      <c r="J749" s="24" t="n"/>
      <c r="K749" s="24" t="n"/>
      <c r="L749" s="24" t="n"/>
      <c r="M749" s="25" t="n"/>
      <c r="N749" s="120" t="n"/>
      <c r="O749" s="120" t="n"/>
      <c r="P749" s="120" t="n"/>
      <c r="Q749" s="120" t="n"/>
      <c r="R749" s="120" t="n"/>
      <c r="S749" s="120" t="n"/>
      <c r="T749" s="120" t="n"/>
      <c r="U749" s="120" t="n"/>
      <c r="V749" s="120" t="n"/>
      <c r="W749" s="120" t="n"/>
      <c r="X749" s="120" t="n"/>
      <c r="Y749" s="120" t="n"/>
      <c r="Z749" s="120" t="n"/>
      <c r="AB749" s="23" t="n"/>
      <c r="AC749" s="24" t="n"/>
      <c r="AD749" s="24" t="n"/>
      <c r="AE749" s="24" t="n"/>
      <c r="AF749" s="25" t="n"/>
      <c r="AG749" s="120" t="n"/>
      <c r="AH749" s="120" t="n"/>
      <c r="AI749" s="120" t="n"/>
      <c r="AJ749" s="120" t="n"/>
      <c r="AK749" s="120" t="n"/>
      <c r="AL749" s="120" t="n"/>
      <c r="AM749" s="120" t="n"/>
      <c r="AN749" s="120" t="n"/>
      <c r="AO749" s="120" t="n"/>
      <c r="AP749" s="120" t="n"/>
      <c r="AQ749" s="120" t="n"/>
      <c r="AR749" s="120" t="n"/>
      <c r="AS749" s="120" t="n"/>
    </row>
    <row r="750" hidden="1" outlineLevel="1">
      <c r="A750" s="8" t="n"/>
      <c r="B750" s="14" t="n"/>
      <c r="C750" s="120" t="n"/>
      <c r="D750" s="120" t="n"/>
      <c r="E750" s="120" t="n"/>
      <c r="F750" s="120" t="n"/>
      <c r="G750" s="120" t="n"/>
      <c r="I750" s="120" t="n"/>
      <c r="J750" s="120" t="n"/>
      <c r="K750" s="120" t="n"/>
      <c r="L750" s="120" t="n"/>
      <c r="M750" s="120" t="n"/>
      <c r="N750" s="120" t="n"/>
      <c r="O750" s="120" t="n"/>
      <c r="P750" s="120" t="n"/>
      <c r="Q750" s="120" t="n"/>
      <c r="R750" s="120" t="n"/>
      <c r="S750" s="120" t="n"/>
      <c r="T750" s="120" t="n"/>
      <c r="U750" s="120" t="n"/>
      <c r="V750" s="120" t="n"/>
      <c r="W750" s="120" t="n"/>
      <c r="X750" s="120" t="n"/>
      <c r="Y750" s="120" t="n"/>
      <c r="Z750" s="120" t="n"/>
      <c r="AB750" s="120" t="n"/>
      <c r="AC750" s="120" t="n"/>
      <c r="AD750" s="120" t="n"/>
      <c r="AE750" s="120" t="n"/>
      <c r="AF750" s="120" t="n"/>
      <c r="AG750" s="120" t="n"/>
      <c r="AH750" s="120" t="n"/>
      <c r="AI750" s="120" t="n"/>
      <c r="AJ750" s="120" t="n"/>
      <c r="AK750" s="120" t="n"/>
      <c r="AL750" s="120" t="n"/>
      <c r="AM750" s="120" t="n"/>
      <c r="AN750" s="120" t="n"/>
      <c r="AO750" s="120" t="n"/>
      <c r="AP750" s="120" t="n"/>
      <c r="AQ750" s="120" t="n"/>
      <c r="AR750" s="120" t="n"/>
      <c r="AS750" s="120" t="n"/>
    </row>
    <row r="751" hidden="1" outlineLevel="1">
      <c r="A751" s="8" t="n"/>
      <c r="B751" s="14" t="n"/>
      <c r="C751" s="120" t="n"/>
      <c r="D751" s="120" t="n"/>
      <c r="E751" s="120" t="n"/>
      <c r="F751" s="120" t="n"/>
      <c r="G751" s="120" t="n"/>
      <c r="I751" s="13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0" t="n"/>
      <c r="AB751" s="13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0" t="n"/>
    </row>
    <row r="752" hidden="1" outlineLevel="2">
      <c r="A752" s="8" t="n"/>
      <c r="B752" s="14" t="n"/>
      <c r="C752" s="120" t="n"/>
      <c r="D752" s="120" t="n"/>
      <c r="E752" s="120" t="n"/>
      <c r="F752" s="120" t="n"/>
      <c r="G752" s="120" t="n"/>
      <c r="I752" s="120" t="n"/>
      <c r="J752" s="120" t="n"/>
      <c r="K752" s="120" t="n"/>
      <c r="L752" s="120" t="n"/>
      <c r="M752" s="120" t="n"/>
      <c r="N752" s="120" t="n"/>
      <c r="O752" s="120" t="n"/>
      <c r="P752" s="120" t="n"/>
      <c r="Q752" s="120" t="n"/>
      <c r="R752" s="120" t="n"/>
      <c r="S752" s="120" t="n"/>
      <c r="T752" s="120" t="n"/>
      <c r="U752" s="120" t="n"/>
      <c r="V752" s="120" t="n"/>
      <c r="W752" s="120" t="n"/>
      <c r="X752" s="120" t="n"/>
      <c r="Y752" s="120" t="n"/>
      <c r="Z752" s="120" t="n"/>
      <c r="AB752" s="120" t="n"/>
      <c r="AC752" s="120" t="n"/>
      <c r="AD752" s="120" t="n"/>
      <c r="AE752" s="120" t="n"/>
      <c r="AF752" s="120" t="n"/>
      <c r="AG752" s="120" t="n"/>
      <c r="AH752" s="120" t="n"/>
      <c r="AI752" s="120" t="n"/>
      <c r="AJ752" s="120" t="n"/>
      <c r="AK752" s="120" t="n"/>
      <c r="AL752" s="120" t="n"/>
      <c r="AM752" s="120" t="n"/>
      <c r="AN752" s="120" t="n"/>
      <c r="AO752" s="120" t="n"/>
      <c r="AP752" s="120" t="n"/>
      <c r="AQ752" s="120" t="n"/>
      <c r="AR752" s="120" t="n"/>
      <c r="AS752" s="120" t="n"/>
    </row>
    <row r="753" hidden="1" outlineLevel="2">
      <c r="A753" s="8" t="n"/>
      <c r="B753" s="14" t="n"/>
      <c r="C753" s="120" t="n"/>
      <c r="D753" s="120" t="n"/>
      <c r="E753" s="120" t="n"/>
      <c r="F753" s="120" t="n"/>
      <c r="G753" s="120" t="n"/>
      <c r="I753" s="55">
        <f>DADOS_INVOC!$PM$51</f>
        <v/>
      </c>
      <c r="J753" s="16" t="n"/>
      <c r="K753" s="16" t="n"/>
      <c r="L753" s="16" t="n"/>
      <c r="M753" s="17" t="n"/>
      <c r="N753" s="120" t="n"/>
      <c r="O753" s="55">
        <f>DADOS_INVOC!$PM$52</f>
        <v/>
      </c>
      <c r="P753" s="16" t="n"/>
      <c r="Q753" s="16" t="n"/>
      <c r="R753" s="16" t="n"/>
      <c r="S753" s="17" t="n"/>
      <c r="T753" s="120" t="n"/>
      <c r="U753" s="55">
        <f>DADOS_INVOC!$PM$53</f>
        <v/>
      </c>
      <c r="V753" s="16" t="n"/>
      <c r="W753" s="16" t="n"/>
      <c r="X753" s="16" t="n"/>
      <c r="Y753" s="17" t="n"/>
      <c r="Z753" s="120" t="n"/>
      <c r="AB753" s="55">
        <f>DADOS_INVOC!$PM$129</f>
        <v/>
      </c>
      <c r="AC753" s="16" t="n"/>
      <c r="AD753" s="16" t="n"/>
      <c r="AE753" s="16" t="n"/>
      <c r="AF753" s="17" t="n"/>
      <c r="AG753" s="120" t="n"/>
      <c r="AH753" s="55">
        <f>DADOS_INVOC!$PM$130</f>
        <v/>
      </c>
      <c r="AI753" s="16" t="n"/>
      <c r="AJ753" s="16" t="n"/>
      <c r="AK753" s="16" t="n"/>
      <c r="AL753" s="17" t="n"/>
      <c r="AM753" s="120" t="n"/>
      <c r="AN753" s="55">
        <f>DADOS_INVOC!$PM$131</f>
        <v/>
      </c>
      <c r="AO753" s="16" t="n"/>
      <c r="AP753" s="16" t="n"/>
      <c r="AQ753" s="16" t="n"/>
      <c r="AR753" s="17" t="n"/>
      <c r="AS753" s="120" t="n"/>
    </row>
    <row r="754" hidden="1" outlineLevel="2">
      <c r="A754" s="8" t="n"/>
      <c r="B754" s="14" t="n"/>
      <c r="C754" s="120" t="n"/>
      <c r="D754" s="120" t="n"/>
      <c r="E754" s="120" t="n"/>
      <c r="F754" s="120" t="n"/>
      <c r="G754" s="120" t="n"/>
      <c r="I754" s="127" t="n">
        <v>1</v>
      </c>
      <c r="J754" s="115" t="n"/>
      <c r="K754" s="16" t="n"/>
      <c r="L754" s="17" t="n"/>
      <c r="M754" s="128">
        <f>DADOS_INVOC!$PK$51</f>
        <v/>
      </c>
      <c r="N754" s="120" t="n"/>
      <c r="O754" s="127" t="n">
        <v>1</v>
      </c>
      <c r="P754" s="115" t="n"/>
      <c r="Q754" s="16" t="n"/>
      <c r="R754" s="17" t="n"/>
      <c r="S754" s="128">
        <f>DADOS_INVOC!$PK$52</f>
        <v/>
      </c>
      <c r="T754" s="120" t="n"/>
      <c r="U754" s="127" t="n">
        <v>1</v>
      </c>
      <c r="V754" s="115" t="n"/>
      <c r="W754" s="16" t="n"/>
      <c r="X754" s="17" t="n"/>
      <c r="Y754" s="128">
        <f>DADOS_INVOC!$PK$53</f>
        <v/>
      </c>
      <c r="Z754" s="120" t="n"/>
      <c r="AB754" s="127" t="n">
        <v>1</v>
      </c>
      <c r="AC754" s="115" t="n"/>
      <c r="AD754" s="16" t="n"/>
      <c r="AE754" s="17" t="n"/>
      <c r="AF754" s="128">
        <f>DADOS_INVOC!$PK$129</f>
        <v/>
      </c>
      <c r="AG754" s="120" t="n"/>
      <c r="AH754" s="127" t="n">
        <v>1</v>
      </c>
      <c r="AI754" s="115" t="n"/>
      <c r="AJ754" s="16" t="n"/>
      <c r="AK754" s="17" t="n"/>
      <c r="AL754" s="128">
        <f>DADOS_INVOC!$PK$130</f>
        <v/>
      </c>
      <c r="AM754" s="120" t="n"/>
      <c r="AN754" s="127" t="n">
        <v>1</v>
      </c>
      <c r="AO754" s="115" t="n"/>
      <c r="AP754" s="16" t="n"/>
      <c r="AQ754" s="17" t="n"/>
      <c r="AR754" s="128">
        <f>DADOS_INVOC!$PK$131</f>
        <v/>
      </c>
      <c r="AS754" s="120" t="n"/>
    </row>
    <row r="755" hidden="1" outlineLevel="3">
      <c r="A755" s="8" t="n"/>
      <c r="B755" s="14" t="n"/>
      <c r="C755" s="120" t="n"/>
      <c r="D755" s="120" t="n"/>
      <c r="E755" s="120" t="n"/>
      <c r="F755" s="120" t="n"/>
      <c r="G755" s="120" t="n"/>
      <c r="I755" s="55" t="inlineStr">
        <is>
          <t>COMO É</t>
        </is>
      </c>
      <c r="J755" s="16" t="n"/>
      <c r="K755" s="16" t="n"/>
      <c r="L755" s="16" t="n"/>
      <c r="M755" s="17" t="n"/>
      <c r="N755" s="120" t="n"/>
      <c r="O755" s="55" t="inlineStr">
        <is>
          <t>COMO É</t>
        </is>
      </c>
      <c r="P755" s="16" t="n"/>
      <c r="Q755" s="16" t="n"/>
      <c r="R755" s="16" t="n"/>
      <c r="S755" s="17" t="n"/>
      <c r="T755" s="120" t="n"/>
      <c r="U755" s="55" t="inlineStr">
        <is>
          <t>COMO É</t>
        </is>
      </c>
      <c r="V755" s="16" t="n"/>
      <c r="W755" s="16" t="n"/>
      <c r="X755" s="16" t="n"/>
      <c r="Y755" s="17" t="n"/>
      <c r="Z755" s="120" t="n"/>
      <c r="AB755" s="55" t="inlineStr">
        <is>
          <t>COMO É</t>
        </is>
      </c>
      <c r="AC755" s="16" t="n"/>
      <c r="AD755" s="16" t="n"/>
      <c r="AE755" s="16" t="n"/>
      <c r="AF755" s="17" t="n"/>
      <c r="AG755" s="120" t="n"/>
      <c r="AH755" s="55" t="inlineStr">
        <is>
          <t>COMO É</t>
        </is>
      </c>
      <c r="AI755" s="16" t="n"/>
      <c r="AJ755" s="16" t="n"/>
      <c r="AK755" s="16" t="n"/>
      <c r="AL755" s="17" t="n"/>
      <c r="AM755" s="120" t="n"/>
      <c r="AN755" s="55" t="inlineStr">
        <is>
          <t>COMO É</t>
        </is>
      </c>
      <c r="AO755" s="16" t="n"/>
      <c r="AP755" s="16" t="n"/>
      <c r="AQ755" s="16" t="n"/>
      <c r="AR755" s="17" t="n"/>
      <c r="AS755" s="120" t="n"/>
    </row>
    <row r="756" hidden="1" outlineLevel="3">
      <c r="A756" s="8" t="n"/>
      <c r="B756" s="14" t="n"/>
      <c r="C756" s="120" t="n"/>
      <c r="D756" s="120" t="n"/>
      <c r="E756" s="120" t="n"/>
      <c r="F756" s="120" t="n"/>
      <c r="G756" s="120" t="n"/>
      <c r="I756" s="116" t="n"/>
      <c r="J756" s="19" t="n"/>
      <c r="K756" s="19" t="n"/>
      <c r="L756" s="19" t="n"/>
      <c r="M756" s="20" t="n"/>
      <c r="N756" s="120" t="n"/>
      <c r="O756" s="116" t="n"/>
      <c r="P756" s="19" t="n"/>
      <c r="Q756" s="19" t="n"/>
      <c r="R756" s="19" t="n"/>
      <c r="S756" s="20" t="n"/>
      <c r="T756" s="120" t="n"/>
      <c r="U756" s="116" t="n"/>
      <c r="V756" s="19" t="n"/>
      <c r="W756" s="19" t="n"/>
      <c r="X756" s="19" t="n"/>
      <c r="Y756" s="20" t="n"/>
      <c r="Z756" s="120" t="n"/>
      <c r="AB756" s="116" t="n"/>
      <c r="AC756" s="19" t="n"/>
      <c r="AD756" s="19" t="n"/>
      <c r="AE756" s="19" t="n"/>
      <c r="AF756" s="20" t="n"/>
      <c r="AG756" s="120" t="n"/>
      <c r="AH756" s="116" t="n"/>
      <c r="AI756" s="19" t="n"/>
      <c r="AJ756" s="19" t="n"/>
      <c r="AK756" s="19" t="n"/>
      <c r="AL756" s="20" t="n"/>
      <c r="AM756" s="120" t="n"/>
      <c r="AN756" s="116" t="n"/>
      <c r="AO756" s="19" t="n"/>
      <c r="AP756" s="19" t="n"/>
      <c r="AQ756" s="19" t="n"/>
      <c r="AR756" s="20" t="n"/>
      <c r="AS756" s="120" t="n"/>
    </row>
    <row r="757" hidden="1" outlineLevel="3">
      <c r="A757" s="8" t="n"/>
      <c r="B757" s="14" t="n"/>
      <c r="C757" s="120" t="n"/>
      <c r="D757" s="120" t="n"/>
      <c r="E757" s="120" t="n"/>
      <c r="F757" s="120" t="n"/>
      <c r="G757" s="120" t="n"/>
      <c r="I757" s="21" t="n"/>
      <c r="M757" s="22" t="n"/>
      <c r="N757" s="120" t="n"/>
      <c r="O757" s="21" t="n"/>
      <c r="S757" s="22" t="n"/>
      <c r="T757" s="120" t="n"/>
      <c r="U757" s="21" t="n"/>
      <c r="Y757" s="22" t="n"/>
      <c r="Z757" s="120" t="n"/>
      <c r="AB757" s="21" t="n"/>
      <c r="AF757" s="22" t="n"/>
      <c r="AG757" s="120" t="n"/>
      <c r="AH757" s="21" t="n"/>
      <c r="AL757" s="22" t="n"/>
      <c r="AM757" s="120" t="n"/>
      <c r="AN757" s="21" t="n"/>
      <c r="AR757" s="22" t="n"/>
      <c r="AS757" s="120" t="n"/>
    </row>
    <row r="758" hidden="1" outlineLevel="3">
      <c r="A758" s="8" t="n"/>
      <c r="B758" s="14" t="n"/>
      <c r="C758" s="120" t="n"/>
      <c r="D758" s="120" t="n"/>
      <c r="E758" s="120" t="n"/>
      <c r="F758" s="120" t="n"/>
      <c r="G758" s="120" t="n"/>
      <c r="I758" s="23" t="n"/>
      <c r="J758" s="24" t="n"/>
      <c r="K758" s="24" t="n"/>
      <c r="L758" s="24" t="n"/>
      <c r="M758" s="25" t="n"/>
      <c r="N758" s="120" t="n"/>
      <c r="O758" s="23" t="n"/>
      <c r="P758" s="24" t="n"/>
      <c r="Q758" s="24" t="n"/>
      <c r="R758" s="24" t="n"/>
      <c r="S758" s="25" t="n"/>
      <c r="T758" s="120" t="n"/>
      <c r="U758" s="23" t="n"/>
      <c r="V758" s="24" t="n"/>
      <c r="W758" s="24" t="n"/>
      <c r="X758" s="24" t="n"/>
      <c r="Y758" s="25" t="n"/>
      <c r="Z758" s="120" t="n"/>
      <c r="AB758" s="23" t="n"/>
      <c r="AC758" s="24" t="n"/>
      <c r="AD758" s="24" t="n"/>
      <c r="AE758" s="24" t="n"/>
      <c r="AF758" s="25" t="n"/>
      <c r="AG758" s="120" t="n"/>
      <c r="AH758" s="23" t="n"/>
      <c r="AI758" s="24" t="n"/>
      <c r="AJ758" s="24" t="n"/>
      <c r="AK758" s="24" t="n"/>
      <c r="AL758" s="25" t="n"/>
      <c r="AM758" s="120" t="n"/>
      <c r="AN758" s="23" t="n"/>
      <c r="AO758" s="24" t="n"/>
      <c r="AP758" s="24" t="n"/>
      <c r="AQ758" s="24" t="n"/>
      <c r="AR758" s="25" t="n"/>
      <c r="AS758" s="120" t="n"/>
    </row>
    <row r="759" hidden="1" outlineLevel="2">
      <c r="A759" s="8" t="n"/>
      <c r="B759" s="14" t="n"/>
      <c r="C759" s="120" t="n"/>
      <c r="D759" s="120" t="n"/>
      <c r="E759" s="120" t="n"/>
      <c r="F759" s="120" t="n"/>
      <c r="G759" s="120" t="n"/>
      <c r="I759" s="124" t="inlineStr">
        <is>
          <t>Projétil</t>
        </is>
      </c>
      <c r="J759" s="17" t="n"/>
      <c r="K759" s="68">
        <f>DADOS_INVOC!$PR$51</f>
        <v/>
      </c>
      <c r="L759" s="17" t="n"/>
      <c r="M759" s="68">
        <f>DADOS_INVOC!$PN$51</f>
        <v/>
      </c>
      <c r="N759" s="120" t="n"/>
      <c r="O759" s="124" t="inlineStr">
        <is>
          <t>Projétil</t>
        </is>
      </c>
      <c r="P759" s="17" t="n"/>
      <c r="Q759" s="68">
        <f>DADOS_INVOC!$PR$52</f>
        <v/>
      </c>
      <c r="R759" s="17" t="n"/>
      <c r="S759" s="68">
        <f>DADOS_INVOC!$PN$52</f>
        <v/>
      </c>
      <c r="T759" s="120" t="n"/>
      <c r="U759" s="124" t="inlineStr">
        <is>
          <t>Projétil</t>
        </is>
      </c>
      <c r="V759" s="17" t="n"/>
      <c r="W759" s="68">
        <f>DADOS_INVOC!$PR$53</f>
        <v/>
      </c>
      <c r="X759" s="17" t="n"/>
      <c r="Y759" s="68">
        <f>DADOS_INVOC!$PN$53</f>
        <v/>
      </c>
      <c r="Z759" s="120" t="n"/>
      <c r="AB759" s="124" t="inlineStr">
        <is>
          <t>Projétil</t>
        </is>
      </c>
      <c r="AC759" s="17" t="n"/>
      <c r="AD759" s="68">
        <f>DADOS_INVOC!$PR$129</f>
        <v/>
      </c>
      <c r="AE759" s="17" t="n"/>
      <c r="AF759" s="68">
        <f>DADOS_INVOC!$PN$129</f>
        <v/>
      </c>
      <c r="AG759" s="120" t="n"/>
      <c r="AH759" s="124" t="inlineStr">
        <is>
          <t>Projétil</t>
        </is>
      </c>
      <c r="AI759" s="17" t="n"/>
      <c r="AJ759" s="68">
        <f>DADOS_INVOC!$PR$130</f>
        <v/>
      </c>
      <c r="AK759" s="17" t="n"/>
      <c r="AL759" s="68">
        <f>DADOS_INVOC!$PN$130</f>
        <v/>
      </c>
      <c r="AM759" s="120" t="n"/>
      <c r="AN759" s="124" t="inlineStr">
        <is>
          <t>Projétil</t>
        </is>
      </c>
      <c r="AO759" s="17" t="n"/>
      <c r="AP759" s="68">
        <f>DADOS_INVOC!$PR$131</f>
        <v/>
      </c>
      <c r="AQ759" s="17" t="n"/>
      <c r="AR759" s="68">
        <f>DADOS_INVOC!$PN$131</f>
        <v/>
      </c>
      <c r="AS759" s="120" t="n"/>
    </row>
    <row r="760" hidden="1" outlineLevel="2">
      <c r="A760" s="8" t="n"/>
      <c r="B760" s="14" t="n"/>
      <c r="C760" s="120" t="n"/>
      <c r="D760" s="120" t="n"/>
      <c r="E760" s="120" t="n"/>
      <c r="F760" s="120" t="n"/>
      <c r="G760" s="120" t="n"/>
      <c r="I760" s="124" t="n"/>
      <c r="J760" s="17" t="n"/>
      <c r="K760" s="124" t="n"/>
      <c r="L760" s="16" t="n"/>
      <c r="M760" s="17" t="n"/>
      <c r="N760" s="120" t="n"/>
      <c r="O760" s="124" t="n"/>
      <c r="P760" s="17" t="n"/>
      <c r="Q760" s="124" t="n"/>
      <c r="R760" s="16" t="n"/>
      <c r="S760" s="17" t="n"/>
      <c r="T760" s="120" t="n"/>
      <c r="U760" s="124" t="n"/>
      <c r="V760" s="17" t="n"/>
      <c r="W760" s="124" t="n"/>
      <c r="X760" s="16" t="n"/>
      <c r="Y760" s="17" t="n"/>
      <c r="Z760" s="120" t="n"/>
      <c r="AB760" s="124" t="n"/>
      <c r="AC760" s="17" t="n"/>
      <c r="AD760" s="124" t="n"/>
      <c r="AE760" s="16" t="n"/>
      <c r="AF760" s="17" t="n"/>
      <c r="AG760" s="120" t="n"/>
      <c r="AH760" s="124" t="n"/>
      <c r="AI760" s="17" t="n"/>
      <c r="AJ760" s="124" t="n"/>
      <c r="AK760" s="16" t="n"/>
      <c r="AL760" s="17" t="n"/>
      <c r="AM760" s="120" t="n"/>
      <c r="AN760" s="124" t="n"/>
      <c r="AO760" s="17" t="n"/>
      <c r="AP760" s="124" t="n"/>
      <c r="AQ760" s="16" t="n"/>
      <c r="AR760" s="17" t="n"/>
      <c r="AS760" s="120" t="n"/>
    </row>
    <row r="761" hidden="1" outlineLevel="2">
      <c r="A761" s="8" t="n"/>
      <c r="B761" s="14" t="n"/>
      <c r="C761" s="120" t="n"/>
      <c r="D761" s="120" t="n"/>
      <c r="E761" s="120" t="n"/>
      <c r="F761" s="120" t="n"/>
      <c r="G761" s="120" t="n"/>
      <c r="I761" s="124">
        <f>DADOS_INVOC!$PO$51</f>
        <v/>
      </c>
      <c r="J761" s="17" t="n"/>
      <c r="K761" s="124">
        <f>DADOS_INVOC!$PQ$51</f>
        <v/>
      </c>
      <c r="L761" s="16" t="n"/>
      <c r="M761" s="17" t="n"/>
      <c r="N761" s="120" t="n"/>
      <c r="O761" s="124">
        <f>DADOS_INVOC!$PO$52</f>
        <v/>
      </c>
      <c r="P761" s="17" t="n"/>
      <c r="Q761" s="124">
        <f>DADOS_INVOC!$PQ$52</f>
        <v/>
      </c>
      <c r="R761" s="16" t="n"/>
      <c r="S761" s="17" t="n"/>
      <c r="T761" s="120" t="n"/>
      <c r="U761" s="124">
        <f>DADOS_INVOC!$PO$53</f>
        <v/>
      </c>
      <c r="V761" s="17" t="n"/>
      <c r="W761" s="124">
        <f>DADOS_INVOC!$PQ$53</f>
        <v/>
      </c>
      <c r="X761" s="16" t="n"/>
      <c r="Y761" s="17" t="n"/>
      <c r="Z761" s="120" t="n"/>
      <c r="AB761" s="124">
        <f>DADOS_INVOC!$PO$129</f>
        <v/>
      </c>
      <c r="AC761" s="17" t="n"/>
      <c r="AD761" s="124">
        <f>DADOS_INVOC!$PQ$129</f>
        <v/>
      </c>
      <c r="AE761" s="16" t="n"/>
      <c r="AF761" s="17" t="n"/>
      <c r="AG761" s="120" t="n"/>
      <c r="AH761" s="124">
        <f>DADOS_INVOC!$PO$130</f>
        <v/>
      </c>
      <c r="AI761" s="17" t="n"/>
      <c r="AJ761" s="124">
        <f>DADOS_INVOC!$PQ$130</f>
        <v/>
      </c>
      <c r="AK761" s="16" t="n"/>
      <c r="AL761" s="17" t="n"/>
      <c r="AM761" s="120" t="n"/>
      <c r="AN761" s="124">
        <f>DADOS_INVOC!$PO$131</f>
        <v/>
      </c>
      <c r="AO761" s="17" t="n"/>
      <c r="AP761" s="124">
        <f>DADOS_INVOC!$PQ$131</f>
        <v/>
      </c>
      <c r="AQ761" s="16" t="n"/>
      <c r="AR761" s="17" t="n"/>
      <c r="AS761" s="120" t="n"/>
    </row>
    <row r="762" hidden="1" outlineLevel="2">
      <c r="A762" s="8" t="n"/>
      <c r="B762" s="14" t="n"/>
      <c r="C762" s="120" t="n"/>
      <c r="D762" s="120" t="n"/>
      <c r="E762" s="120" t="n"/>
      <c r="F762" s="120" t="n"/>
      <c r="G762" s="120" t="n"/>
      <c r="I762" s="129">
        <f>DADOS_INVOC!$PW$51</f>
        <v/>
      </c>
      <c r="J762" s="16" t="n"/>
      <c r="K762" s="16" t="n"/>
      <c r="L762" s="16" t="n"/>
      <c r="M762" s="17" t="n"/>
      <c r="N762" s="120" t="n"/>
      <c r="O762" s="129">
        <f>DADOS_INVOC!$PW$52</f>
        <v/>
      </c>
      <c r="P762" s="16" t="n"/>
      <c r="Q762" s="16" t="n"/>
      <c r="R762" s="16" t="n"/>
      <c r="S762" s="17" t="n"/>
      <c r="T762" s="120" t="n"/>
      <c r="U762" s="129">
        <f>DADOS_INVOC!$PW$53</f>
        <v/>
      </c>
      <c r="V762" s="16" t="n"/>
      <c r="W762" s="16" t="n"/>
      <c r="X762" s="16" t="n"/>
      <c r="Y762" s="17" t="n"/>
      <c r="Z762" s="120" t="n"/>
      <c r="AB762" s="129">
        <f>DADOS_INVOC!$PW$129</f>
        <v/>
      </c>
      <c r="AC762" s="16" t="n"/>
      <c r="AD762" s="16" t="n"/>
      <c r="AE762" s="16" t="n"/>
      <c r="AF762" s="17" t="n"/>
      <c r="AG762" s="120" t="n"/>
      <c r="AH762" s="129">
        <f>DADOS_INVOC!$PW$130</f>
        <v/>
      </c>
      <c r="AI762" s="16" t="n"/>
      <c r="AJ762" s="16" t="n"/>
      <c r="AK762" s="16" t="n"/>
      <c r="AL762" s="17" t="n"/>
      <c r="AM762" s="120" t="n"/>
      <c r="AN762" s="129">
        <f>DADOS_INVOC!$PW$131</f>
        <v/>
      </c>
      <c r="AO762" s="16" t="n"/>
      <c r="AP762" s="16" t="n"/>
      <c r="AQ762" s="16" t="n"/>
      <c r="AR762" s="17" t="n"/>
      <c r="AS762" s="120" t="n"/>
    </row>
    <row r="763" hidden="1" outlineLevel="3">
      <c r="A763" s="8" t="n"/>
      <c r="B763" s="14" t="n"/>
      <c r="C763" s="120" t="n"/>
      <c r="D763" s="120" t="n"/>
      <c r="E763" s="120" t="n"/>
      <c r="F763" s="120" t="n"/>
      <c r="G763" s="120" t="n"/>
      <c r="I763" s="55" t="inlineStr">
        <is>
          <t>MELHORIAS</t>
        </is>
      </c>
      <c r="J763" s="130" t="n"/>
      <c r="K763" s="16" t="n"/>
      <c r="L763" s="17" t="n"/>
      <c r="M763" s="129">
        <f>DADOS_INVOC!$PZ$51</f>
        <v/>
      </c>
      <c r="N763" s="120" t="n"/>
      <c r="O763" s="55" t="inlineStr">
        <is>
          <t>MELHORIAS</t>
        </is>
      </c>
      <c r="P763" s="130" t="n"/>
      <c r="Q763" s="16" t="n"/>
      <c r="R763" s="17" t="n"/>
      <c r="S763" s="129">
        <f>DADOS_INVOC!$PZ$52</f>
        <v/>
      </c>
      <c r="T763" s="120" t="n"/>
      <c r="U763" s="55" t="inlineStr">
        <is>
          <t>MELHORIAS</t>
        </is>
      </c>
      <c r="V763" s="130" t="n"/>
      <c r="W763" s="16" t="n"/>
      <c r="X763" s="17" t="n"/>
      <c r="Y763" s="129">
        <f>DADOS_INVOC!$PZ$53</f>
        <v/>
      </c>
      <c r="Z763" s="120" t="n"/>
      <c r="AB763" s="55" t="inlineStr">
        <is>
          <t>MELHORIAS</t>
        </is>
      </c>
      <c r="AC763" s="130" t="n"/>
      <c r="AD763" s="16" t="n"/>
      <c r="AE763" s="17" t="n"/>
      <c r="AF763" s="129">
        <f>DADOS_INVOC!$PZ$129</f>
        <v/>
      </c>
      <c r="AG763" s="120" t="n"/>
      <c r="AH763" s="55" t="inlineStr">
        <is>
          <t>MELHORIAS</t>
        </is>
      </c>
      <c r="AI763" s="130" t="n"/>
      <c r="AJ763" s="16" t="n"/>
      <c r="AK763" s="17" t="n"/>
      <c r="AL763" s="129">
        <f>DADOS_INVOC!$PZ$130</f>
        <v/>
      </c>
      <c r="AM763" s="120" t="n"/>
      <c r="AN763" s="55" t="inlineStr">
        <is>
          <t>MELHORIAS</t>
        </is>
      </c>
      <c r="AO763" s="130" t="n"/>
      <c r="AP763" s="16" t="n"/>
      <c r="AQ763" s="17" t="n"/>
      <c r="AR763" s="129">
        <f>DADOS_INVOC!$PZ$131</f>
        <v/>
      </c>
      <c r="AS763" s="120" t="n"/>
    </row>
    <row r="764" hidden="1" outlineLevel="3">
      <c r="A764" s="8" t="n"/>
      <c r="B764" s="14" t="n"/>
      <c r="C764" s="120" t="n"/>
      <c r="D764" s="120" t="n"/>
      <c r="E764" s="120" t="n"/>
      <c r="F764" s="120" t="n"/>
      <c r="G764" s="120" t="n"/>
      <c r="I764" s="131" t="n"/>
      <c r="J764" s="130" t="n"/>
      <c r="K764" s="16" t="n"/>
      <c r="L764" s="17" t="n"/>
      <c r="M764" s="129">
        <f>DADOS_INVOC!$QA$51</f>
        <v/>
      </c>
      <c r="N764" s="120" t="n"/>
      <c r="O764" s="131" t="n"/>
      <c r="P764" s="130" t="n"/>
      <c r="Q764" s="16" t="n"/>
      <c r="R764" s="17" t="n"/>
      <c r="S764" s="129">
        <f>DADOS_INVOC!$QA$52</f>
        <v/>
      </c>
      <c r="T764" s="120" t="n"/>
      <c r="U764" s="131" t="n"/>
      <c r="V764" s="130" t="n"/>
      <c r="W764" s="16" t="n"/>
      <c r="X764" s="17" t="n"/>
      <c r="Y764" s="129">
        <f>DADOS_INVOC!$QA$53</f>
        <v/>
      </c>
      <c r="Z764" s="120" t="n"/>
      <c r="AB764" s="131" t="n"/>
      <c r="AC764" s="130" t="n"/>
      <c r="AD764" s="16" t="n"/>
      <c r="AE764" s="17" t="n"/>
      <c r="AF764" s="129">
        <f>DADOS_INVOC!$QA$129</f>
        <v/>
      </c>
      <c r="AG764" s="120" t="n"/>
      <c r="AH764" s="131" t="n"/>
      <c r="AI764" s="130" t="n"/>
      <c r="AJ764" s="16" t="n"/>
      <c r="AK764" s="17" t="n"/>
      <c r="AL764" s="129">
        <f>DADOS_INVOC!$QA$130</f>
        <v/>
      </c>
      <c r="AM764" s="120" t="n"/>
      <c r="AN764" s="131" t="n"/>
      <c r="AO764" s="130" t="n"/>
      <c r="AP764" s="16" t="n"/>
      <c r="AQ764" s="17" t="n"/>
      <c r="AR764" s="129">
        <f>DADOS_INVOC!$QA$131</f>
        <v/>
      </c>
      <c r="AS764" s="120" t="n"/>
    </row>
    <row r="765" hidden="1" outlineLevel="3">
      <c r="A765" s="8" t="n"/>
      <c r="B765" s="14" t="n"/>
      <c r="C765" s="120" t="n"/>
      <c r="D765" s="120" t="n"/>
      <c r="E765" s="120" t="n"/>
      <c r="F765" s="120" t="n"/>
      <c r="G765" s="120" t="n"/>
      <c r="I765" s="131" t="n"/>
      <c r="J765" s="130" t="n"/>
      <c r="K765" s="16" t="n"/>
      <c r="L765" s="17" t="n"/>
      <c r="M765" s="129">
        <f>DADOS_INVOC!$QB$51</f>
        <v/>
      </c>
      <c r="N765" s="120" t="n"/>
      <c r="O765" s="131" t="n"/>
      <c r="P765" s="130" t="n"/>
      <c r="Q765" s="16" t="n"/>
      <c r="R765" s="17" t="n"/>
      <c r="S765" s="129">
        <f>DADOS_INVOC!$QB$52</f>
        <v/>
      </c>
      <c r="T765" s="120" t="n"/>
      <c r="U765" s="131" t="n"/>
      <c r="V765" s="130" t="n"/>
      <c r="W765" s="16" t="n"/>
      <c r="X765" s="17" t="n"/>
      <c r="Y765" s="129">
        <f>DADOS_INVOC!$QB$53</f>
        <v/>
      </c>
      <c r="Z765" s="120" t="n"/>
      <c r="AB765" s="131" t="n"/>
      <c r="AC765" s="130" t="n"/>
      <c r="AD765" s="16" t="n"/>
      <c r="AE765" s="17" t="n"/>
      <c r="AF765" s="129">
        <f>DADOS_INVOC!$QB$129</f>
        <v/>
      </c>
      <c r="AG765" s="120" t="n"/>
      <c r="AH765" s="131" t="n"/>
      <c r="AI765" s="130" t="n"/>
      <c r="AJ765" s="16" t="n"/>
      <c r="AK765" s="17" t="n"/>
      <c r="AL765" s="129">
        <f>DADOS_INVOC!$QB$130</f>
        <v/>
      </c>
      <c r="AM765" s="120" t="n"/>
      <c r="AN765" s="131" t="n"/>
      <c r="AO765" s="130" t="n"/>
      <c r="AP765" s="16" t="n"/>
      <c r="AQ765" s="17" t="n"/>
      <c r="AR765" s="129">
        <f>DADOS_INVOC!$QB$131</f>
        <v/>
      </c>
      <c r="AS765" s="120" t="n"/>
    </row>
    <row r="766" hidden="1" outlineLevel="3">
      <c r="A766" s="8" t="n"/>
      <c r="B766" s="14" t="n"/>
      <c r="C766" s="120" t="n"/>
      <c r="D766" s="120" t="n"/>
      <c r="E766" s="120" t="n"/>
      <c r="F766" s="120" t="n"/>
      <c r="G766" s="120" t="n"/>
      <c r="I766" s="125" t="n"/>
      <c r="J766" s="130" t="n"/>
      <c r="K766" s="16" t="n"/>
      <c r="L766" s="17" t="n"/>
      <c r="M766" s="129">
        <f>DADOS_INVOC!$QC$51</f>
        <v/>
      </c>
      <c r="N766" s="120" t="n"/>
      <c r="O766" s="125" t="n"/>
      <c r="P766" s="130" t="n"/>
      <c r="Q766" s="16" t="n"/>
      <c r="R766" s="17" t="n"/>
      <c r="S766" s="129">
        <f>DADOS_INVOC!$QC$52</f>
        <v/>
      </c>
      <c r="T766" s="120" t="n"/>
      <c r="U766" s="125" t="n"/>
      <c r="V766" s="130" t="n"/>
      <c r="W766" s="16" t="n"/>
      <c r="X766" s="17" t="n"/>
      <c r="Y766" s="129">
        <f>DADOS_INVOC!$QC$53</f>
        <v/>
      </c>
      <c r="Z766" s="120" t="n"/>
      <c r="AB766" s="125" t="n"/>
      <c r="AC766" s="130" t="n"/>
      <c r="AD766" s="16" t="n"/>
      <c r="AE766" s="17" t="n"/>
      <c r="AF766" s="129">
        <f>DADOS_INVOC!$QC$129</f>
        <v/>
      </c>
      <c r="AG766" s="120" t="n"/>
      <c r="AH766" s="125" t="n"/>
      <c r="AI766" s="130" t="n"/>
      <c r="AJ766" s="16" t="n"/>
      <c r="AK766" s="17" t="n"/>
      <c r="AL766" s="129">
        <f>DADOS_INVOC!$QC$130</f>
        <v/>
      </c>
      <c r="AM766" s="120" t="n"/>
      <c r="AN766" s="125" t="n"/>
      <c r="AO766" s="130" t="n"/>
      <c r="AP766" s="16" t="n"/>
      <c r="AQ766" s="17" t="n"/>
      <c r="AR766" s="129">
        <f>DADOS_INVOC!$QC$131</f>
        <v/>
      </c>
      <c r="AS766" s="120" t="n"/>
    </row>
    <row r="767" hidden="1" outlineLevel="3">
      <c r="A767" s="8" t="n"/>
      <c r="B767" s="14" t="n"/>
      <c r="C767" s="120" t="n"/>
      <c r="D767" s="120" t="n"/>
      <c r="E767" s="120" t="n"/>
      <c r="F767" s="120" t="n"/>
      <c r="G767" s="120" t="n"/>
      <c r="I767" s="55" t="inlineStr">
        <is>
          <t>RESTRIÇÕES</t>
        </is>
      </c>
      <c r="J767" s="130" t="n"/>
      <c r="K767" s="16" t="n"/>
      <c r="L767" s="17" t="n"/>
      <c r="M767" s="129">
        <f>DADOS_INVOC!$QD$51</f>
        <v/>
      </c>
      <c r="N767" s="120" t="n"/>
      <c r="O767" s="55" t="inlineStr">
        <is>
          <t>RESTRIÇÕES</t>
        </is>
      </c>
      <c r="P767" s="130" t="n"/>
      <c r="Q767" s="16" t="n"/>
      <c r="R767" s="17" t="n"/>
      <c r="S767" s="129">
        <f>DADOS_INVOC!$QD$52</f>
        <v/>
      </c>
      <c r="T767" s="120" t="n"/>
      <c r="U767" s="55" t="inlineStr">
        <is>
          <t>RESTRIÇÕES</t>
        </is>
      </c>
      <c r="V767" s="130" t="n"/>
      <c r="W767" s="16" t="n"/>
      <c r="X767" s="17" t="n"/>
      <c r="Y767" s="129">
        <f>DADOS_INVOC!$QD$53</f>
        <v/>
      </c>
      <c r="Z767" s="120" t="n"/>
      <c r="AB767" s="55" t="inlineStr">
        <is>
          <t>RESTRIÇÕES</t>
        </is>
      </c>
      <c r="AC767" s="130" t="n"/>
      <c r="AD767" s="16" t="n"/>
      <c r="AE767" s="17" t="n"/>
      <c r="AF767" s="129">
        <f>DADOS_INVOC!$QD$129</f>
        <v/>
      </c>
      <c r="AG767" s="120" t="n"/>
      <c r="AH767" s="55" t="inlineStr">
        <is>
          <t>RESTRIÇÕES</t>
        </is>
      </c>
      <c r="AI767" s="130" t="n"/>
      <c r="AJ767" s="16" t="n"/>
      <c r="AK767" s="17" t="n"/>
      <c r="AL767" s="129">
        <f>DADOS_INVOC!$QD$130</f>
        <v/>
      </c>
      <c r="AM767" s="120" t="n"/>
      <c r="AN767" s="55" t="inlineStr">
        <is>
          <t>RESTRIÇÕES</t>
        </is>
      </c>
      <c r="AO767" s="130" t="n"/>
      <c r="AP767" s="16" t="n"/>
      <c r="AQ767" s="17" t="n"/>
      <c r="AR767" s="129">
        <f>DADOS_INVOC!$QD$131</f>
        <v/>
      </c>
      <c r="AS767" s="120" t="n"/>
    </row>
    <row r="768" hidden="1" outlineLevel="3">
      <c r="A768" s="8" t="n"/>
      <c r="B768" s="14" t="n"/>
      <c r="C768" s="120" t="n"/>
      <c r="D768" s="120" t="n"/>
      <c r="E768" s="120" t="n"/>
      <c r="F768" s="120" t="n"/>
      <c r="G768" s="120" t="n"/>
      <c r="I768" s="125" t="n"/>
      <c r="J768" s="130" t="n"/>
      <c r="K768" s="16" t="n"/>
      <c r="L768" s="17" t="n"/>
      <c r="M768" s="129">
        <f>DADOS_INVOC!$QE$51</f>
        <v/>
      </c>
      <c r="N768" s="120" t="n"/>
      <c r="O768" s="125" t="n"/>
      <c r="P768" s="130" t="n"/>
      <c r="Q768" s="16" t="n"/>
      <c r="R768" s="17" t="n"/>
      <c r="S768" s="129">
        <f>DADOS_INVOC!$QE$52</f>
        <v/>
      </c>
      <c r="T768" s="120" t="n"/>
      <c r="U768" s="125" t="n"/>
      <c r="V768" s="130" t="n"/>
      <c r="W768" s="16" t="n"/>
      <c r="X768" s="17" t="n"/>
      <c r="Y768" s="129">
        <f>DADOS_INVOC!$QE$53</f>
        <v/>
      </c>
      <c r="Z768" s="120" t="n"/>
      <c r="AB768" s="125" t="n"/>
      <c r="AC768" s="130" t="n"/>
      <c r="AD768" s="16" t="n"/>
      <c r="AE768" s="17" t="n"/>
      <c r="AF768" s="129">
        <f>DADOS_INVOC!$QE$129</f>
        <v/>
      </c>
      <c r="AG768" s="120" t="n"/>
      <c r="AH768" s="125" t="n"/>
      <c r="AI768" s="130" t="n"/>
      <c r="AJ768" s="16" t="n"/>
      <c r="AK768" s="17" t="n"/>
      <c r="AL768" s="129">
        <f>DADOS_INVOC!$QE$130</f>
        <v/>
      </c>
      <c r="AM768" s="120" t="n"/>
      <c r="AN768" s="125" t="n"/>
      <c r="AO768" s="130" t="n"/>
      <c r="AP768" s="16" t="n"/>
      <c r="AQ768" s="17" t="n"/>
      <c r="AR768" s="129">
        <f>DADOS_INVOC!$QE$131</f>
        <v/>
      </c>
      <c r="AS768" s="120" t="n"/>
    </row>
    <row r="769" hidden="1" outlineLevel="3">
      <c r="A769" s="8" t="n"/>
      <c r="B769" s="14" t="n"/>
      <c r="C769" s="120" t="n"/>
      <c r="D769" s="120" t="n"/>
      <c r="E769" s="120" t="n"/>
      <c r="F769" s="120" t="n"/>
      <c r="G769" s="120" t="n"/>
      <c r="I769" s="55" t="inlineStr">
        <is>
          <t>CONTA</t>
        </is>
      </c>
      <c r="J769" s="132">
        <f>DADOS_INVOC!$PX$51</f>
        <v/>
      </c>
      <c r="K769" s="16" t="n"/>
      <c r="L769" s="16" t="n"/>
      <c r="M769" s="17" t="n"/>
      <c r="N769" s="120" t="n"/>
      <c r="O769" s="55" t="inlineStr">
        <is>
          <t>CONTA</t>
        </is>
      </c>
      <c r="P769" s="132">
        <f>DADOS_INVOC!$PX$52</f>
        <v/>
      </c>
      <c r="Q769" s="16" t="n"/>
      <c r="R769" s="16" t="n"/>
      <c r="S769" s="17" t="n"/>
      <c r="T769" s="120" t="n"/>
      <c r="U769" s="55" t="inlineStr">
        <is>
          <t>CONTA</t>
        </is>
      </c>
      <c r="V769" s="132">
        <f>DADOS_INVOC!$PX$53</f>
        <v/>
      </c>
      <c r="W769" s="16" t="n"/>
      <c r="X769" s="16" t="n"/>
      <c r="Y769" s="17" t="n"/>
      <c r="Z769" s="120" t="n"/>
      <c r="AB769" s="55" t="inlineStr">
        <is>
          <t>CONTA</t>
        </is>
      </c>
      <c r="AC769" s="132">
        <f>DADOS_INVOC!$PX$129</f>
        <v/>
      </c>
      <c r="AD769" s="16" t="n"/>
      <c r="AE769" s="16" t="n"/>
      <c r="AF769" s="17" t="n"/>
      <c r="AG769" s="120" t="n"/>
      <c r="AH769" s="55" t="inlineStr">
        <is>
          <t>CONTA</t>
        </is>
      </c>
      <c r="AI769" s="132">
        <f>DADOS_INVOC!$PX$130</f>
        <v/>
      </c>
      <c r="AJ769" s="16" t="n"/>
      <c r="AK769" s="16" t="n"/>
      <c r="AL769" s="17" t="n"/>
      <c r="AM769" s="120" t="n"/>
      <c r="AN769" s="55" t="inlineStr">
        <is>
          <t>CONTA</t>
        </is>
      </c>
      <c r="AO769" s="132">
        <f>DADOS_INVOC!$PX$131</f>
        <v/>
      </c>
      <c r="AP769" s="16" t="n"/>
      <c r="AQ769" s="16" t="n"/>
      <c r="AR769" s="17" t="n"/>
      <c r="AS769" s="120" t="n"/>
    </row>
    <row r="770" hidden="1" outlineLevel="3">
      <c r="A770" s="8" t="n"/>
      <c r="B770" s="14" t="n"/>
      <c r="C770" s="120" t="n"/>
      <c r="D770" s="120" t="n"/>
      <c r="E770" s="120" t="n"/>
      <c r="F770" s="120" t="n"/>
      <c r="G770" s="120" t="n"/>
      <c r="I770" s="55" t="inlineStr">
        <is>
          <t>AMPLIAR</t>
        </is>
      </c>
      <c r="J770" s="132">
        <f>DADOS_INVOC!$PY$51</f>
        <v/>
      </c>
      <c r="K770" s="19" t="n"/>
      <c r="L770" s="19" t="n"/>
      <c r="M770" s="20" t="n"/>
      <c r="N770" s="120" t="n"/>
      <c r="O770" s="55" t="inlineStr">
        <is>
          <t>AMPLIAR</t>
        </is>
      </c>
      <c r="P770" s="132">
        <f>DADOS_INVOC!$PY$52</f>
        <v/>
      </c>
      <c r="Q770" s="19" t="n"/>
      <c r="R770" s="19" t="n"/>
      <c r="S770" s="20" t="n"/>
      <c r="T770" s="120" t="n"/>
      <c r="U770" s="55" t="inlineStr">
        <is>
          <t>AMPLIAR</t>
        </is>
      </c>
      <c r="V770" s="132">
        <f>DADOS_INVOC!$PY$53</f>
        <v/>
      </c>
      <c r="W770" s="19" t="n"/>
      <c r="X770" s="19" t="n"/>
      <c r="Y770" s="20" t="n"/>
      <c r="Z770" s="120" t="n"/>
      <c r="AB770" s="55" t="inlineStr">
        <is>
          <t>AMPLIAR</t>
        </is>
      </c>
      <c r="AC770" s="132">
        <f>DADOS_INVOC!$PY$129</f>
        <v/>
      </c>
      <c r="AD770" s="19" t="n"/>
      <c r="AE770" s="19" t="n"/>
      <c r="AF770" s="20" t="n"/>
      <c r="AG770" s="120" t="n"/>
      <c r="AH770" s="55" t="inlineStr">
        <is>
          <t>AMPLIAR</t>
        </is>
      </c>
      <c r="AI770" s="132">
        <f>DADOS_INVOC!$PY$130</f>
        <v/>
      </c>
      <c r="AJ770" s="19" t="n"/>
      <c r="AK770" s="19" t="n"/>
      <c r="AL770" s="20" t="n"/>
      <c r="AM770" s="120" t="n"/>
      <c r="AN770" s="55" t="inlineStr">
        <is>
          <t>AMPLIAR</t>
        </is>
      </c>
      <c r="AO770" s="132">
        <f>DADOS_INVOC!$PY$131</f>
        <v/>
      </c>
      <c r="AP770" s="19" t="n"/>
      <c r="AQ770" s="19" t="n"/>
      <c r="AR770" s="20" t="n"/>
      <c r="AS770" s="120" t="n"/>
    </row>
    <row r="771" hidden="1" outlineLevel="3">
      <c r="A771" s="8" t="n"/>
      <c r="B771" s="14" t="n"/>
      <c r="C771" s="120" t="n"/>
      <c r="D771" s="120" t="n"/>
      <c r="E771" s="120" t="n"/>
      <c r="F771" s="120" t="n"/>
      <c r="G771" s="120" t="n"/>
      <c r="I771" s="125" t="n"/>
      <c r="J771" s="23" t="n"/>
      <c r="K771" s="24" t="n"/>
      <c r="L771" s="24" t="n"/>
      <c r="M771" s="25" t="n"/>
      <c r="N771" s="120" t="n"/>
      <c r="O771" s="125" t="n"/>
      <c r="P771" s="23" t="n"/>
      <c r="Q771" s="24" t="n"/>
      <c r="R771" s="24" t="n"/>
      <c r="S771" s="25" t="n"/>
      <c r="T771" s="120" t="n"/>
      <c r="U771" s="125" t="n"/>
      <c r="V771" s="23" t="n"/>
      <c r="W771" s="24" t="n"/>
      <c r="X771" s="24" t="n"/>
      <c r="Y771" s="25" t="n"/>
      <c r="Z771" s="120" t="n"/>
      <c r="AB771" s="125" t="n"/>
      <c r="AC771" s="23" t="n"/>
      <c r="AD771" s="24" t="n"/>
      <c r="AE771" s="24" t="n"/>
      <c r="AF771" s="25" t="n"/>
      <c r="AG771" s="120" t="n"/>
      <c r="AH771" s="125" t="n"/>
      <c r="AI771" s="23" t="n"/>
      <c r="AJ771" s="24" t="n"/>
      <c r="AK771" s="24" t="n"/>
      <c r="AL771" s="25" t="n"/>
      <c r="AM771" s="120" t="n"/>
      <c r="AN771" s="125" t="n"/>
      <c r="AO771" s="23" t="n"/>
      <c r="AP771" s="24" t="n"/>
      <c r="AQ771" s="24" t="n"/>
      <c r="AR771" s="25" t="n"/>
      <c r="AS771" s="120" t="n"/>
    </row>
    <row r="772" hidden="1" outlineLevel="3">
      <c r="A772" s="8" t="n"/>
      <c r="B772" s="14" t="n"/>
      <c r="C772" s="120" t="n"/>
      <c r="D772" s="120" t="n"/>
      <c r="E772" s="120" t="n"/>
      <c r="F772" s="120" t="n"/>
      <c r="G772" s="120" t="n"/>
      <c r="I772" s="132">
        <f>DADOS_INVOC!$PL$51</f>
        <v/>
      </c>
      <c r="J772" s="19" t="n"/>
      <c r="K772" s="19" t="n"/>
      <c r="L772" s="19" t="n"/>
      <c r="M772" s="20" t="n"/>
      <c r="N772" s="120" t="n"/>
      <c r="O772" s="132">
        <f>DADOS_INVOC!$PL$52</f>
        <v/>
      </c>
      <c r="P772" s="19" t="n"/>
      <c r="Q772" s="19" t="n"/>
      <c r="R772" s="19" t="n"/>
      <c r="S772" s="20" t="n"/>
      <c r="T772" s="120" t="n"/>
      <c r="U772" s="132">
        <f>DADOS_INVOC!$PL$53</f>
        <v/>
      </c>
      <c r="V772" s="19" t="n"/>
      <c r="W772" s="19" t="n"/>
      <c r="X772" s="19" t="n"/>
      <c r="Y772" s="20" t="n"/>
      <c r="Z772" s="120" t="n"/>
      <c r="AB772" s="132">
        <f>DADOS_INVOC!$PL$129</f>
        <v/>
      </c>
      <c r="AC772" s="19" t="n"/>
      <c r="AD772" s="19" t="n"/>
      <c r="AE772" s="19" t="n"/>
      <c r="AF772" s="20" t="n"/>
      <c r="AG772" s="120" t="n"/>
      <c r="AH772" s="132">
        <f>DADOS_INVOC!$PL$130</f>
        <v/>
      </c>
      <c r="AI772" s="19" t="n"/>
      <c r="AJ772" s="19" t="n"/>
      <c r="AK772" s="19" t="n"/>
      <c r="AL772" s="20" t="n"/>
      <c r="AM772" s="120" t="n"/>
      <c r="AN772" s="132">
        <f>DADOS_INVOC!$PL$131</f>
        <v/>
      </c>
      <c r="AO772" s="19" t="n"/>
      <c r="AP772" s="19" t="n"/>
      <c r="AQ772" s="19" t="n"/>
      <c r="AR772" s="20" t="n"/>
      <c r="AS772" s="120" t="n"/>
    </row>
    <row r="773" hidden="1" outlineLevel="3">
      <c r="A773" s="8" t="n"/>
      <c r="B773" s="14" t="n"/>
      <c r="C773" s="120" t="n"/>
      <c r="D773" s="120" t="n"/>
      <c r="E773" s="120" t="n"/>
      <c r="F773" s="120" t="n"/>
      <c r="G773" s="120" t="n"/>
      <c r="I773" s="23" t="n"/>
      <c r="J773" s="24" t="n"/>
      <c r="K773" s="24" t="n"/>
      <c r="L773" s="24" t="n"/>
      <c r="M773" s="25" t="n"/>
      <c r="N773" s="120" t="n"/>
      <c r="O773" s="23" t="n"/>
      <c r="P773" s="24" t="n"/>
      <c r="Q773" s="24" t="n"/>
      <c r="R773" s="24" t="n"/>
      <c r="S773" s="25" t="n"/>
      <c r="T773" s="120" t="n"/>
      <c r="U773" s="23" t="n"/>
      <c r="V773" s="24" t="n"/>
      <c r="W773" s="24" t="n"/>
      <c r="X773" s="24" t="n"/>
      <c r="Y773" s="25" t="n"/>
      <c r="Z773" s="120" t="n"/>
      <c r="AB773" s="23" t="n"/>
      <c r="AC773" s="24" t="n"/>
      <c r="AD773" s="24" t="n"/>
      <c r="AE773" s="24" t="n"/>
      <c r="AF773" s="25" t="n"/>
      <c r="AG773" s="120" t="n"/>
      <c r="AH773" s="23" t="n"/>
      <c r="AI773" s="24" t="n"/>
      <c r="AJ773" s="24" t="n"/>
      <c r="AK773" s="24" t="n"/>
      <c r="AL773" s="25" t="n"/>
      <c r="AM773" s="120" t="n"/>
      <c r="AN773" s="23" t="n"/>
      <c r="AO773" s="24" t="n"/>
      <c r="AP773" s="24" t="n"/>
      <c r="AQ773" s="24" t="n"/>
      <c r="AR773" s="25" t="n"/>
      <c r="AS773" s="120" t="n"/>
    </row>
    <row r="774" hidden="1" outlineLevel="2">
      <c r="A774" s="8" t="n"/>
      <c r="B774" s="14" t="n"/>
      <c r="C774" s="120" t="n"/>
      <c r="D774" s="120" t="n"/>
      <c r="E774" s="120" t="n"/>
      <c r="F774" s="120" t="n"/>
      <c r="G774" s="120" t="n"/>
      <c r="I774" s="120" t="n"/>
      <c r="J774" s="120" t="n"/>
      <c r="K774" s="120" t="n"/>
      <c r="L774" s="120" t="n"/>
      <c r="M774" s="120" t="n"/>
      <c r="N774" s="120" t="n"/>
      <c r="O774" s="120" t="n"/>
      <c r="P774" s="120" t="n"/>
      <c r="Q774" s="120" t="n"/>
      <c r="R774" s="120" t="n"/>
      <c r="S774" s="120" t="n"/>
      <c r="T774" s="120" t="n"/>
      <c r="U774" s="120" t="n"/>
      <c r="V774" s="120" t="n"/>
      <c r="W774" s="120" t="n"/>
      <c r="X774" s="120" t="n"/>
      <c r="Y774" s="120" t="n"/>
      <c r="Z774" s="120" t="n"/>
      <c r="AB774" s="120" t="n"/>
      <c r="AC774" s="120" t="n"/>
      <c r="AD774" s="120" t="n"/>
      <c r="AE774" s="120" t="n"/>
      <c r="AF774" s="120" t="n"/>
      <c r="AG774" s="120" t="n"/>
      <c r="AH774" s="120" t="n"/>
      <c r="AI774" s="120" t="n"/>
      <c r="AJ774" s="120" t="n"/>
      <c r="AK774" s="120" t="n"/>
      <c r="AL774" s="120" t="n"/>
      <c r="AM774" s="120" t="n"/>
      <c r="AN774" s="120" t="n"/>
      <c r="AO774" s="120" t="n"/>
      <c r="AP774" s="120" t="n"/>
      <c r="AQ774" s="120" t="n"/>
      <c r="AR774" s="120" t="n"/>
      <c r="AS774" s="120" t="n"/>
    </row>
    <row r="775" hidden="1" outlineLevel="2">
      <c r="A775" s="8" t="n"/>
      <c r="B775" s="14" t="n"/>
      <c r="C775" s="120" t="n"/>
      <c r="D775" s="120" t="n"/>
      <c r="E775" s="120" t="n"/>
      <c r="F775" s="120" t="n"/>
      <c r="G775" s="120"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0"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0" t="n"/>
    </row>
    <row r="776" hidden="1" outlineLevel="2">
      <c r="A776" s="8" t="n"/>
      <c r="B776" s="14" t="n"/>
      <c r="C776" s="120" t="n"/>
      <c r="D776" s="120" t="n"/>
      <c r="E776" s="120" t="n"/>
      <c r="F776" s="120" t="n"/>
      <c r="G776" s="120" t="n"/>
      <c r="I776" s="55" t="inlineStr">
        <is>
          <t>TRILHA · CE 1</t>
        </is>
      </c>
      <c r="J776" s="130" t="n"/>
      <c r="K776" s="16" t="n"/>
      <c r="L776" s="17" t="n"/>
      <c r="M776" s="137">
        <f>DADOS_INVOC!$IL$5</f>
        <v/>
      </c>
      <c r="N776" s="16" t="n"/>
      <c r="O776" s="16" t="n"/>
      <c r="P776" s="16" t="n"/>
      <c r="Q776" s="16" t="n"/>
      <c r="R776" s="16" t="n"/>
      <c r="S776" s="16" t="n"/>
      <c r="T776" s="16" t="n"/>
      <c r="U776" s="16" t="n"/>
      <c r="V776" s="16" t="n"/>
      <c r="W776" s="16" t="n"/>
      <c r="X776" s="16" t="n"/>
      <c r="Y776" s="17" t="n"/>
      <c r="Z776" s="120" t="n"/>
      <c r="AB776" s="55" t="inlineStr">
        <is>
          <t>TRILHA · CE 1</t>
        </is>
      </c>
      <c r="AC776" s="130" t="n"/>
      <c r="AD776" s="16" t="n"/>
      <c r="AE776" s="17" t="n"/>
      <c r="AF776" s="137">
        <f>DADOS_INVOC!$IL$11</f>
        <v/>
      </c>
      <c r="AG776" s="16" t="n"/>
      <c r="AH776" s="16" t="n"/>
      <c r="AI776" s="16" t="n"/>
      <c r="AJ776" s="16" t="n"/>
      <c r="AK776" s="16" t="n"/>
      <c r="AL776" s="16" t="n"/>
      <c r="AM776" s="16" t="n"/>
      <c r="AN776" s="16" t="n"/>
      <c r="AO776" s="16" t="n"/>
      <c r="AP776" s="16" t="n"/>
      <c r="AQ776" s="16" t="n"/>
      <c r="AR776" s="17" t="n"/>
      <c r="AS776" s="120" t="n"/>
    </row>
    <row r="777" hidden="1" outlineLevel="2">
      <c r="A777" s="8" t="n"/>
      <c r="B777" s="14" t="n"/>
      <c r="C777" s="120" t="n"/>
      <c r="D777" s="120" t="n"/>
      <c r="E777" s="120" t="n"/>
      <c r="F777" s="120" t="n"/>
      <c r="G777" s="120" t="n"/>
      <c r="I777" s="55" t="inlineStr">
        <is>
          <t>TRILHA · CE 1</t>
        </is>
      </c>
      <c r="J777" s="130" t="n"/>
      <c r="K777" s="16" t="n"/>
      <c r="L777" s="17" t="n"/>
      <c r="M777" s="137">
        <f>DADOS_INVOC!$IM$5</f>
        <v/>
      </c>
      <c r="N777" s="16" t="n"/>
      <c r="O777" s="16" t="n"/>
      <c r="P777" s="16" t="n"/>
      <c r="Q777" s="16" t="n"/>
      <c r="R777" s="16" t="n"/>
      <c r="S777" s="16" t="n"/>
      <c r="T777" s="16" t="n"/>
      <c r="U777" s="16" t="n"/>
      <c r="V777" s="16" t="n"/>
      <c r="W777" s="16" t="n"/>
      <c r="X777" s="16" t="n"/>
      <c r="Y777" s="17" t="n"/>
      <c r="Z777" s="120" t="n"/>
      <c r="AB777" s="55" t="inlineStr">
        <is>
          <t>TRILHA · CE 1</t>
        </is>
      </c>
      <c r="AC777" s="130" t="n"/>
      <c r="AD777" s="16" t="n"/>
      <c r="AE777" s="17" t="n"/>
      <c r="AF777" s="137">
        <f>DADOS_INVOC!$IM$11</f>
        <v/>
      </c>
      <c r="AG777" s="16" t="n"/>
      <c r="AH777" s="16" t="n"/>
      <c r="AI777" s="16" t="n"/>
      <c r="AJ777" s="16" t="n"/>
      <c r="AK777" s="16" t="n"/>
      <c r="AL777" s="16" t="n"/>
      <c r="AM777" s="16" t="n"/>
      <c r="AN777" s="16" t="n"/>
      <c r="AO777" s="16" t="n"/>
      <c r="AP777" s="16" t="n"/>
      <c r="AQ777" s="16" t="n"/>
      <c r="AR777" s="17" t="n"/>
      <c r="AS777" s="120" t="n"/>
    </row>
    <row r="778" hidden="1" outlineLevel="2">
      <c r="A778" s="8" t="n"/>
      <c r="B778" s="14" t="n"/>
      <c r="C778" s="120" t="n"/>
      <c r="D778" s="120" t="n"/>
      <c r="E778" s="120" t="n"/>
      <c r="F778" s="120" t="n"/>
      <c r="G778" s="120" t="n"/>
      <c r="I778" s="55" t="inlineStr">
        <is>
          <t>TRILHA · CE 1</t>
        </is>
      </c>
      <c r="J778" s="130" t="n"/>
      <c r="K778" s="16" t="n"/>
      <c r="L778" s="17" t="n"/>
      <c r="M778" s="137">
        <f>DADOS_INVOC!$IN$5</f>
        <v/>
      </c>
      <c r="N778" s="16" t="n"/>
      <c r="O778" s="16" t="n"/>
      <c r="P778" s="16" t="n"/>
      <c r="Q778" s="16" t="n"/>
      <c r="R778" s="16" t="n"/>
      <c r="S778" s="16" t="n"/>
      <c r="T778" s="16" t="n"/>
      <c r="U778" s="16" t="n"/>
      <c r="V778" s="16" t="n"/>
      <c r="W778" s="16" t="n"/>
      <c r="X778" s="16" t="n"/>
      <c r="Y778" s="17" t="n"/>
      <c r="Z778" s="120" t="n"/>
      <c r="AB778" s="55" t="inlineStr">
        <is>
          <t>TRILHA · CE 1</t>
        </is>
      </c>
      <c r="AC778" s="130" t="n"/>
      <c r="AD778" s="16" t="n"/>
      <c r="AE778" s="17" t="n"/>
      <c r="AF778" s="137">
        <f>DADOS_INVOC!$IN$11</f>
        <v/>
      </c>
      <c r="AG778" s="16" t="n"/>
      <c r="AH778" s="16" t="n"/>
      <c r="AI778" s="16" t="n"/>
      <c r="AJ778" s="16" t="n"/>
      <c r="AK778" s="16" t="n"/>
      <c r="AL778" s="16" t="n"/>
      <c r="AM778" s="16" t="n"/>
      <c r="AN778" s="16" t="n"/>
      <c r="AO778" s="16" t="n"/>
      <c r="AP778" s="16" t="n"/>
      <c r="AQ778" s="16" t="n"/>
      <c r="AR778" s="17" t="n"/>
      <c r="AS778" s="120" t="n"/>
    </row>
    <row r="779" hidden="1" outlineLevel="1">
      <c r="A779" s="8" t="n"/>
      <c r="B779" s="14" t="n"/>
      <c r="C779" s="120" t="n"/>
      <c r="D779" s="120" t="n"/>
      <c r="E779" s="120" t="n"/>
      <c r="F779" s="120" t="n"/>
      <c r="G779" s="120" t="n"/>
      <c r="I779" s="120" t="n"/>
      <c r="J779" s="120" t="n"/>
      <c r="K779" s="120" t="n"/>
      <c r="L779" s="120" t="n"/>
      <c r="M779" s="120" t="n"/>
      <c r="N779" s="120" t="n"/>
      <c r="O779" s="120" t="n"/>
      <c r="P779" s="120" t="n"/>
      <c r="Q779" s="120" t="n"/>
      <c r="R779" s="120" t="n"/>
      <c r="S779" s="120" t="n"/>
      <c r="T779" s="120" t="n"/>
      <c r="U779" s="120" t="n"/>
      <c r="V779" s="120" t="n"/>
      <c r="W779" s="120" t="n"/>
      <c r="X779" s="120" t="n"/>
      <c r="Y779" s="120" t="n"/>
      <c r="Z779" s="120" t="n"/>
      <c r="AB779" s="120" t="n"/>
      <c r="AC779" s="120" t="n"/>
      <c r="AD779" s="120" t="n"/>
      <c r="AE779" s="120" t="n"/>
      <c r="AF779" s="120" t="n"/>
      <c r="AG779" s="120" t="n"/>
      <c r="AH779" s="120" t="n"/>
      <c r="AI779" s="120" t="n"/>
      <c r="AJ779" s="120" t="n"/>
      <c r="AK779" s="120" t="n"/>
      <c r="AL779" s="120" t="n"/>
      <c r="AM779" s="120" t="n"/>
      <c r="AN779" s="120" t="n"/>
      <c r="AO779" s="120" t="n"/>
      <c r="AP779" s="120" t="n"/>
      <c r="AQ779" s="120" t="n"/>
      <c r="AR779" s="120" t="n"/>
      <c r="AS779" s="120" t="n"/>
    </row>
    <row r="780" hidden="1" outlineLevel="1">
      <c r="A780" s="8" t="n"/>
      <c r="B780" s="14" t="n"/>
      <c r="C780" s="120" t="n"/>
      <c r="D780" s="120" t="n"/>
      <c r="E780" s="120" t="n"/>
      <c r="F780" s="120" t="n"/>
      <c r="G780" s="120" t="n"/>
      <c r="I780" s="13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0" t="n"/>
      <c r="AB780" s="13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0" t="n"/>
    </row>
    <row r="781" hidden="1" outlineLevel="2">
      <c r="A781" s="8" t="n"/>
      <c r="B781" s="14" t="n"/>
      <c r="C781" s="120" t="n"/>
      <c r="D781" s="120" t="n"/>
      <c r="E781" s="120" t="n"/>
      <c r="F781" s="120" t="n"/>
      <c r="G781" s="120" t="n"/>
      <c r="I781" s="120" t="n"/>
      <c r="J781" s="120" t="n"/>
      <c r="K781" s="120" t="n"/>
      <c r="L781" s="120" t="n"/>
      <c r="M781" s="120" t="n"/>
      <c r="N781" s="120" t="n"/>
      <c r="O781" s="120" t="n"/>
      <c r="P781" s="120" t="n"/>
      <c r="Q781" s="120" t="n"/>
      <c r="R781" s="120" t="n"/>
      <c r="S781" s="120" t="n"/>
      <c r="T781" s="120" t="n"/>
      <c r="U781" s="120" t="n"/>
      <c r="V781" s="120" t="n"/>
      <c r="W781" s="120" t="n"/>
      <c r="X781" s="120" t="n"/>
      <c r="Y781" s="120" t="n"/>
      <c r="Z781" s="120" t="n"/>
      <c r="AB781" s="120" t="n"/>
      <c r="AC781" s="120" t="n"/>
      <c r="AD781" s="120" t="n"/>
      <c r="AE781" s="120" t="n"/>
      <c r="AF781" s="120" t="n"/>
      <c r="AG781" s="120" t="n"/>
      <c r="AH781" s="120" t="n"/>
      <c r="AI781" s="120" t="n"/>
      <c r="AJ781" s="120" t="n"/>
      <c r="AK781" s="120" t="n"/>
      <c r="AL781" s="120" t="n"/>
      <c r="AM781" s="120" t="n"/>
      <c r="AN781" s="120" t="n"/>
      <c r="AO781" s="120" t="n"/>
      <c r="AP781" s="120" t="n"/>
      <c r="AQ781" s="120" t="n"/>
      <c r="AR781" s="120" t="n"/>
      <c r="AS781" s="120" t="n"/>
    </row>
    <row r="782" hidden="1" outlineLevel="2">
      <c r="A782" s="8" t="n"/>
      <c r="B782" s="14" t="n"/>
      <c r="C782" s="120" t="n"/>
      <c r="D782" s="120" t="n"/>
      <c r="E782" s="120" t="n"/>
      <c r="F782" s="120" t="n"/>
      <c r="G782" s="120" t="n"/>
      <c r="I782" s="55" t="inlineStr">
        <is>
          <t>LIBERAÇÃO MÁXIMA 1</t>
        </is>
      </c>
      <c r="J782" s="16" t="n"/>
      <c r="K782" s="16" t="n"/>
      <c r="L782" s="16" t="n"/>
      <c r="M782" s="17" t="n"/>
      <c r="N782" s="120" t="n"/>
      <c r="O782" s="55" t="inlineStr">
        <is>
          <t>LIBERAÇÃO MÁXIMA 2</t>
        </is>
      </c>
      <c r="P782" s="16" t="n"/>
      <c r="Q782" s="16" t="n"/>
      <c r="R782" s="16" t="n"/>
      <c r="S782" s="17" t="n"/>
      <c r="T782" s="120" t="n"/>
      <c r="U782" s="55" t="inlineStr">
        <is>
          <t>LIBERAÇÃO MÁXIMA 3</t>
        </is>
      </c>
      <c r="V782" s="16" t="n"/>
      <c r="W782" s="16" t="n"/>
      <c r="X782" s="16" t="n"/>
      <c r="Y782" s="17" t="n"/>
      <c r="Z782" s="120" t="n"/>
      <c r="AB782" s="55" t="inlineStr">
        <is>
          <t>LIBERAÇÃO MÁXIMA 1</t>
        </is>
      </c>
      <c r="AC782" s="16" t="n"/>
      <c r="AD782" s="16" t="n"/>
      <c r="AE782" s="16" t="n"/>
      <c r="AF782" s="17" t="n"/>
      <c r="AG782" s="120" t="n"/>
      <c r="AH782" s="55" t="inlineStr">
        <is>
          <t>LIBERAÇÃO MÁXIMA 2</t>
        </is>
      </c>
      <c r="AI782" s="16" t="n"/>
      <c r="AJ782" s="16" t="n"/>
      <c r="AK782" s="16" t="n"/>
      <c r="AL782" s="17" t="n"/>
      <c r="AM782" s="120" t="n"/>
      <c r="AN782" s="55" t="inlineStr">
        <is>
          <t>LIBERAÇÃO MÁXIMA 3</t>
        </is>
      </c>
      <c r="AO782" s="16" t="n"/>
      <c r="AP782" s="16" t="n"/>
      <c r="AQ782" s="16" t="n"/>
      <c r="AR782" s="17" t="n"/>
      <c r="AS782" s="120" t="n"/>
    </row>
    <row r="783" hidden="1" outlineLevel="2">
      <c r="A783" s="8" t="n"/>
      <c r="B783" s="14" t="n"/>
      <c r="C783" s="120" t="n"/>
      <c r="D783" s="120" t="n"/>
      <c r="E783" s="120" t="n"/>
      <c r="F783" s="120" t="n"/>
      <c r="G783" s="120" t="n"/>
      <c r="I783" s="127" t="n">
        <v>3</v>
      </c>
      <c r="J783" s="115" t="n"/>
      <c r="K783" s="16" t="n"/>
      <c r="L783" s="17" t="n"/>
      <c r="M783" s="128">
        <f>DADOS_INVOC!$IO$5</f>
        <v/>
      </c>
      <c r="N783" s="120" t="n"/>
      <c r="O783" s="127" t="n">
        <v>3</v>
      </c>
      <c r="P783" s="115" t="n"/>
      <c r="Q783" s="16" t="n"/>
      <c r="R783" s="17" t="n"/>
      <c r="S783" s="128">
        <f>DADOS_INVOC!$IP$5</f>
        <v/>
      </c>
      <c r="T783" s="120" t="n"/>
      <c r="U783" s="127" t="n">
        <v>3</v>
      </c>
      <c r="V783" s="115" t="n"/>
      <c r="W783" s="16" t="n"/>
      <c r="X783" s="17" t="n"/>
      <c r="Y783" s="128">
        <f>DADOS_INVOC!$IQ$5</f>
        <v/>
      </c>
      <c r="Z783" s="120" t="n"/>
      <c r="AB783" s="127" t="n">
        <v>3</v>
      </c>
      <c r="AC783" s="115" t="n"/>
      <c r="AD783" s="16" t="n"/>
      <c r="AE783" s="17" t="n"/>
      <c r="AF783" s="128">
        <f>DADOS_INVOC!$IO$11</f>
        <v/>
      </c>
      <c r="AG783" s="120" t="n"/>
      <c r="AH783" s="127" t="n">
        <v>3</v>
      </c>
      <c r="AI783" s="115" t="n"/>
      <c r="AJ783" s="16" t="n"/>
      <c r="AK783" s="17" t="n"/>
      <c r="AL783" s="128">
        <f>DADOS_INVOC!$IP$11</f>
        <v/>
      </c>
      <c r="AM783" s="120" t="n"/>
      <c r="AN783" s="127" t="n">
        <v>3</v>
      </c>
      <c r="AO783" s="115" t="n"/>
      <c r="AP783" s="16" t="n"/>
      <c r="AQ783" s="17" t="n"/>
      <c r="AR783" s="128">
        <f>DADOS_INVOC!$IQ$11</f>
        <v/>
      </c>
      <c r="AS783" s="120" t="n"/>
    </row>
    <row r="784" hidden="1" outlineLevel="2">
      <c r="A784" s="8" t="n"/>
      <c r="B784" s="14" t="n"/>
      <c r="C784" s="120" t="n"/>
      <c r="D784" s="120" t="n"/>
      <c r="E784" s="120" t="n"/>
      <c r="F784" s="120" t="n"/>
      <c r="G784" s="120" t="n"/>
      <c r="I784" s="116" t="n"/>
      <c r="J784" s="19" t="n"/>
      <c r="K784" s="19" t="n"/>
      <c r="L784" s="19" t="n"/>
      <c r="M784" s="20" t="n"/>
      <c r="N784" s="120" t="n"/>
      <c r="O784" s="116" t="n"/>
      <c r="P784" s="19" t="n"/>
      <c r="Q784" s="19" t="n"/>
      <c r="R784" s="19" t="n"/>
      <c r="S784" s="20" t="n"/>
      <c r="T784" s="120" t="n"/>
      <c r="U784" s="116" t="n"/>
      <c r="V784" s="19" t="n"/>
      <c r="W784" s="19" t="n"/>
      <c r="X784" s="19" t="n"/>
      <c r="Y784" s="20" t="n"/>
      <c r="Z784" s="120" t="n"/>
      <c r="AB784" s="116" t="n"/>
      <c r="AC784" s="19" t="n"/>
      <c r="AD784" s="19" t="n"/>
      <c r="AE784" s="19" t="n"/>
      <c r="AF784" s="20" t="n"/>
      <c r="AG784" s="120" t="n"/>
      <c r="AH784" s="116" t="n"/>
      <c r="AI784" s="19" t="n"/>
      <c r="AJ784" s="19" t="n"/>
      <c r="AK784" s="19" t="n"/>
      <c r="AL784" s="20" t="n"/>
      <c r="AM784" s="120" t="n"/>
      <c r="AN784" s="116" t="n"/>
      <c r="AO784" s="19" t="n"/>
      <c r="AP784" s="19" t="n"/>
      <c r="AQ784" s="19" t="n"/>
      <c r="AR784" s="20" t="n"/>
      <c r="AS784" s="120" t="n"/>
    </row>
    <row r="785" hidden="1" outlineLevel="2">
      <c r="A785" s="8" t="n"/>
      <c r="B785" s="14" t="n"/>
      <c r="C785" s="120" t="n"/>
      <c r="D785" s="120" t="n"/>
      <c r="E785" s="120" t="n"/>
      <c r="F785" s="120" t="n"/>
      <c r="G785" s="120" t="n"/>
      <c r="I785" s="21" t="n"/>
      <c r="M785" s="22" t="n"/>
      <c r="N785" s="120" t="n"/>
      <c r="O785" s="21" t="n"/>
      <c r="S785" s="22" t="n"/>
      <c r="T785" s="120" t="n"/>
      <c r="U785" s="21" t="n"/>
      <c r="Y785" s="22" t="n"/>
      <c r="Z785" s="120" t="n"/>
      <c r="AB785" s="21" t="n"/>
      <c r="AF785" s="22" t="n"/>
      <c r="AG785" s="120" t="n"/>
      <c r="AH785" s="21" t="n"/>
      <c r="AL785" s="22" t="n"/>
      <c r="AM785" s="120" t="n"/>
      <c r="AN785" s="21" t="n"/>
      <c r="AR785" s="22" t="n"/>
      <c r="AS785" s="120" t="n"/>
    </row>
    <row r="786" hidden="1" outlineLevel="2">
      <c r="A786" s="8" t="n"/>
      <c r="B786" s="14" t="n"/>
      <c r="C786" s="120" t="n"/>
      <c r="D786" s="120" t="n"/>
      <c r="E786" s="120" t="n"/>
      <c r="F786" s="120" t="n"/>
      <c r="G786" s="120" t="n"/>
      <c r="I786" s="21" t="n"/>
      <c r="M786" s="22" t="n"/>
      <c r="N786" s="120" t="n"/>
      <c r="O786" s="21" t="n"/>
      <c r="S786" s="22" t="n"/>
      <c r="T786" s="120" t="n"/>
      <c r="U786" s="21" t="n"/>
      <c r="Y786" s="22" t="n"/>
      <c r="Z786" s="120" t="n"/>
      <c r="AB786" s="21" t="n"/>
      <c r="AF786" s="22" t="n"/>
      <c r="AG786" s="120" t="n"/>
      <c r="AH786" s="21" t="n"/>
      <c r="AL786" s="22" t="n"/>
      <c r="AM786" s="120" t="n"/>
      <c r="AN786" s="21" t="n"/>
      <c r="AR786" s="22" t="n"/>
      <c r="AS786" s="120" t="n"/>
    </row>
    <row r="787" hidden="1" outlineLevel="2">
      <c r="A787" s="8" t="n"/>
      <c r="B787" s="14" t="n"/>
      <c r="C787" s="120" t="n"/>
      <c r="D787" s="120" t="n"/>
      <c r="E787" s="120" t="n"/>
      <c r="F787" s="120" t="n"/>
      <c r="G787" s="120" t="n"/>
      <c r="I787" s="23" t="n"/>
      <c r="J787" s="24" t="n"/>
      <c r="K787" s="24" t="n"/>
      <c r="L787" s="24" t="n"/>
      <c r="M787" s="25" t="n"/>
      <c r="N787" s="120" t="n"/>
      <c r="O787" s="23" t="n"/>
      <c r="P787" s="24" t="n"/>
      <c r="Q787" s="24" t="n"/>
      <c r="R787" s="24" t="n"/>
      <c r="S787" s="25" t="n"/>
      <c r="T787" s="120" t="n"/>
      <c r="U787" s="23" t="n"/>
      <c r="V787" s="24" t="n"/>
      <c r="W787" s="24" t="n"/>
      <c r="X787" s="24" t="n"/>
      <c r="Y787" s="25" t="n"/>
      <c r="Z787" s="120" t="n"/>
      <c r="AB787" s="23" t="n"/>
      <c r="AC787" s="24" t="n"/>
      <c r="AD787" s="24" t="n"/>
      <c r="AE787" s="24" t="n"/>
      <c r="AF787" s="25" t="n"/>
      <c r="AG787" s="120" t="n"/>
      <c r="AH787" s="23" t="n"/>
      <c r="AI787" s="24" t="n"/>
      <c r="AJ787" s="24" t="n"/>
      <c r="AK787" s="24" t="n"/>
      <c r="AL787" s="25" t="n"/>
      <c r="AM787" s="120" t="n"/>
      <c r="AN787" s="23" t="n"/>
      <c r="AO787" s="24" t="n"/>
      <c r="AP787" s="24" t="n"/>
      <c r="AQ787" s="24" t="n"/>
      <c r="AR787" s="25" t="n"/>
      <c r="AS787" s="120" t="n"/>
    </row>
    <row r="788" hidden="1" outlineLevel="2">
      <c r="A788" s="8" t="n"/>
      <c r="B788" s="14" t="n"/>
      <c r="C788" s="120" t="n"/>
      <c r="D788" s="120" t="n"/>
      <c r="E788" s="120" t="n"/>
      <c r="F788" s="120" t="n"/>
      <c r="G788" s="120" t="n"/>
      <c r="I788" s="68">
        <f>DADOS_INVOC!$IR$5</f>
        <v/>
      </c>
      <c r="J788" s="16" t="n"/>
      <c r="K788" s="16" t="n"/>
      <c r="L788" s="16" t="n"/>
      <c r="M788" s="17" t="n"/>
      <c r="N788" s="120" t="n"/>
      <c r="O788" s="68">
        <f>DADOS_INVOC!$IS$5</f>
        <v/>
      </c>
      <c r="P788" s="16" t="n"/>
      <c r="Q788" s="16" t="n"/>
      <c r="R788" s="16" t="n"/>
      <c r="S788" s="17" t="n"/>
      <c r="T788" s="120" t="n"/>
      <c r="U788" s="68">
        <f>DADOS_INVOC!$IT$5</f>
        <v/>
      </c>
      <c r="V788" s="16" t="n"/>
      <c r="W788" s="16" t="n"/>
      <c r="X788" s="16" t="n"/>
      <c r="Y788" s="17" t="n"/>
      <c r="Z788" s="120" t="n"/>
      <c r="AB788" s="68">
        <f>DADOS_INVOC!$IR$11</f>
        <v/>
      </c>
      <c r="AC788" s="16" t="n"/>
      <c r="AD788" s="16" t="n"/>
      <c r="AE788" s="16" t="n"/>
      <c r="AF788" s="17" t="n"/>
      <c r="AG788" s="120" t="n"/>
      <c r="AH788" s="68">
        <f>DADOS_INVOC!$IS$11</f>
        <v/>
      </c>
      <c r="AI788" s="16" t="n"/>
      <c r="AJ788" s="16" t="n"/>
      <c r="AK788" s="16" t="n"/>
      <c r="AL788" s="17" t="n"/>
      <c r="AM788" s="120" t="n"/>
      <c r="AN788" s="68">
        <f>DADOS_INVOC!$IT$11</f>
        <v/>
      </c>
      <c r="AO788" s="16" t="n"/>
      <c r="AP788" s="16" t="n"/>
      <c r="AQ788" s="16" t="n"/>
      <c r="AR788" s="17" t="n"/>
      <c r="AS788" s="120" t="n"/>
    </row>
    <row r="789" hidden="1" outlineLevel="2">
      <c r="A789" s="8" t="n"/>
      <c r="B789" s="14" t="n"/>
      <c r="C789" s="120" t="n"/>
      <c r="D789" s="120" t="n"/>
      <c r="E789" s="120" t="n"/>
      <c r="F789" s="120" t="n"/>
      <c r="G789" s="120" t="n"/>
      <c r="I789" s="124" t="inlineStr">
        <is>
          <t>Sua Ação Completa + a básica dela</t>
        </is>
      </c>
      <c r="J789" s="16" t="n"/>
      <c r="K789" s="16" t="n"/>
      <c r="L789" s="16" t="n"/>
      <c r="M789" s="17" t="n"/>
      <c r="N789" s="120" t="n"/>
      <c r="O789" s="124" t="inlineStr">
        <is>
          <t>Sua Ação Completa + a básica dela</t>
        </is>
      </c>
      <c r="P789" s="16" t="n"/>
      <c r="Q789" s="16" t="n"/>
      <c r="R789" s="16" t="n"/>
      <c r="S789" s="17" t="n"/>
      <c r="T789" s="120" t="n"/>
      <c r="U789" s="124" t="inlineStr">
        <is>
          <t>Sua Ação Completa + a básica dela</t>
        </is>
      </c>
      <c r="V789" s="16" t="n"/>
      <c r="W789" s="16" t="n"/>
      <c r="X789" s="16" t="n"/>
      <c r="Y789" s="17" t="n"/>
      <c r="Z789" s="120" t="n"/>
      <c r="AB789" s="124" t="inlineStr">
        <is>
          <t>Sua Ação Completa + a básica dela</t>
        </is>
      </c>
      <c r="AC789" s="16" t="n"/>
      <c r="AD789" s="16" t="n"/>
      <c r="AE789" s="16" t="n"/>
      <c r="AF789" s="17" t="n"/>
      <c r="AG789" s="120" t="n"/>
      <c r="AH789" s="124" t="inlineStr">
        <is>
          <t>Sua Ação Completa + a básica dela</t>
        </is>
      </c>
      <c r="AI789" s="16" t="n"/>
      <c r="AJ789" s="16" t="n"/>
      <c r="AK789" s="16" t="n"/>
      <c r="AL789" s="17" t="n"/>
      <c r="AM789" s="120" t="n"/>
      <c r="AN789" s="124" t="inlineStr">
        <is>
          <t>Sua Ação Completa + a básica dela</t>
        </is>
      </c>
      <c r="AO789" s="16" t="n"/>
      <c r="AP789" s="16" t="n"/>
      <c r="AQ789" s="16" t="n"/>
      <c r="AR789" s="17" t="n"/>
      <c r="AS789" s="120" t="n"/>
    </row>
    <row r="790" hidden="1" outlineLevel="2">
      <c r="A790" s="8" t="n"/>
      <c r="B790" s="14" t="n"/>
      <c r="C790" s="120" t="n"/>
      <c r="D790" s="120" t="n"/>
      <c r="E790" s="120" t="n"/>
      <c r="F790" s="120" t="n"/>
      <c r="G790" s="120" t="n"/>
      <c r="I790" s="120" t="n"/>
      <c r="J790" s="120" t="n"/>
      <c r="K790" s="120" t="n"/>
      <c r="L790" s="120" t="n"/>
      <c r="M790" s="120" t="n"/>
      <c r="N790" s="120" t="n"/>
      <c r="O790" s="120" t="n"/>
      <c r="P790" s="120" t="n"/>
      <c r="Q790" s="120" t="n"/>
      <c r="R790" s="120" t="n"/>
      <c r="S790" s="120" t="n"/>
      <c r="T790" s="120" t="n"/>
      <c r="U790" s="120" t="n"/>
      <c r="V790" s="120" t="n"/>
      <c r="W790" s="120" t="n"/>
      <c r="X790" s="120" t="n"/>
      <c r="Y790" s="120" t="n"/>
      <c r="Z790" s="120" t="n"/>
      <c r="AB790" s="120" t="n"/>
      <c r="AC790" s="120" t="n"/>
      <c r="AD790" s="120" t="n"/>
      <c r="AE790" s="120" t="n"/>
      <c r="AF790" s="120" t="n"/>
      <c r="AG790" s="120" t="n"/>
      <c r="AH790" s="120" t="n"/>
      <c r="AI790" s="120" t="n"/>
      <c r="AJ790" s="120" t="n"/>
      <c r="AK790" s="120" t="n"/>
      <c r="AL790" s="120" t="n"/>
      <c r="AM790" s="120" t="n"/>
      <c r="AN790" s="120" t="n"/>
      <c r="AO790" s="120" t="n"/>
      <c r="AP790" s="120" t="n"/>
      <c r="AQ790" s="120" t="n"/>
      <c r="AR790" s="120" t="n"/>
      <c r="AS790" s="120" t="n"/>
    </row>
    <row r="791" hidden="1" outlineLevel="2">
      <c r="A791" s="8" t="n"/>
      <c r="B791" s="14" t="n"/>
      <c r="C791" s="120" t="n"/>
      <c r="D791" s="120" t="n"/>
      <c r="E791" s="120" t="n"/>
      <c r="F791" s="120" t="n"/>
      <c r="G791" s="120" t="n"/>
      <c r="I791" s="55" t="inlineStr">
        <is>
          <t>TÉCNICA MÁXIMA</t>
        </is>
      </c>
      <c r="J791" s="16" t="n"/>
      <c r="K791" s="16" t="n"/>
      <c r="L791" s="16" t="n"/>
      <c r="M791" s="17" t="n"/>
      <c r="N791" s="120" t="n"/>
      <c r="O791" s="55" t="inlineStr">
        <is>
          <t>EXPANSÃO DE DOMÍNIO</t>
        </is>
      </c>
      <c r="P791" s="16" t="n"/>
      <c r="Q791" s="16" t="n"/>
      <c r="R791" s="16" t="n"/>
      <c r="S791" s="17" t="n"/>
      <c r="T791" s="120" t="n"/>
      <c r="U791" s="120" t="n"/>
      <c r="V791" s="120" t="n"/>
      <c r="W791" s="120" t="n"/>
      <c r="X791" s="120" t="n"/>
      <c r="Y791" s="120" t="n"/>
      <c r="Z791" s="120" t="n"/>
      <c r="AB791" s="55" t="inlineStr">
        <is>
          <t>TÉCNICA MÁXIMA</t>
        </is>
      </c>
      <c r="AC791" s="16" t="n"/>
      <c r="AD791" s="16" t="n"/>
      <c r="AE791" s="16" t="n"/>
      <c r="AF791" s="17" t="n"/>
      <c r="AG791" s="120" t="n"/>
      <c r="AH791" s="55" t="inlineStr">
        <is>
          <t>EXPANSÃO DE DOMÍNIO</t>
        </is>
      </c>
      <c r="AI791" s="16" t="n"/>
      <c r="AJ791" s="16" t="n"/>
      <c r="AK791" s="16" t="n"/>
      <c r="AL791" s="17" t="n"/>
      <c r="AM791" s="120" t="n"/>
      <c r="AN791" s="120" t="n"/>
      <c r="AO791" s="120" t="n"/>
      <c r="AP791" s="120" t="n"/>
      <c r="AQ791" s="120" t="n"/>
      <c r="AR791" s="120" t="n"/>
      <c r="AS791" s="120" t="n"/>
    </row>
    <row r="792" hidden="1" outlineLevel="2">
      <c r="A792" s="8" t="n"/>
      <c r="B792" s="14" t="n"/>
      <c r="C792" s="120" t="n"/>
      <c r="D792" s="120" t="n"/>
      <c r="E792" s="120" t="n"/>
      <c r="F792" s="120" t="n"/>
      <c r="G792" s="120" t="n"/>
      <c r="I792" s="115" t="n"/>
      <c r="J792" s="16" t="n"/>
      <c r="K792" s="16" t="n"/>
      <c r="L792" s="17" t="n"/>
      <c r="M792" s="128">
        <f>DADOS_INVOC!$IU$5</f>
        <v/>
      </c>
      <c r="N792" s="120" t="n"/>
      <c r="O792" s="115" t="n"/>
      <c r="P792" s="16" t="n"/>
      <c r="Q792" s="16" t="n"/>
      <c r="R792" s="17" t="n"/>
      <c r="S792" s="128">
        <f>DADOS_INVOC!$IW$5</f>
        <v/>
      </c>
      <c r="T792" s="120" t="n"/>
      <c r="U792" s="120" t="n"/>
      <c r="V792" s="120" t="n"/>
      <c r="W792" s="120" t="n"/>
      <c r="X792" s="120" t="n"/>
      <c r="Y792" s="120" t="n"/>
      <c r="Z792" s="120" t="n"/>
      <c r="AB792" s="115" t="n"/>
      <c r="AC792" s="16" t="n"/>
      <c r="AD792" s="16" t="n"/>
      <c r="AE792" s="17" t="n"/>
      <c r="AF792" s="128">
        <f>DADOS_INVOC!$IU$11</f>
        <v/>
      </c>
      <c r="AG792" s="120" t="n"/>
      <c r="AH792" s="115" t="n"/>
      <c r="AI792" s="16" t="n"/>
      <c r="AJ792" s="16" t="n"/>
      <c r="AK792" s="17" t="n"/>
      <c r="AL792" s="128">
        <f>DADOS_INVOC!$IW$11</f>
        <v/>
      </c>
      <c r="AM792" s="120" t="n"/>
      <c r="AN792" s="120" t="n"/>
      <c r="AO792" s="120" t="n"/>
      <c r="AP792" s="120" t="n"/>
      <c r="AQ792" s="120" t="n"/>
      <c r="AR792" s="120" t="n"/>
      <c r="AS792" s="120" t="n"/>
    </row>
    <row r="793" hidden="1" outlineLevel="2">
      <c r="A793" s="8" t="n"/>
      <c r="B793" s="14" t="n"/>
      <c r="C793" s="120" t="n"/>
      <c r="D793" s="120" t="n"/>
      <c r="E793" s="120" t="n"/>
      <c r="F793" s="120" t="n"/>
      <c r="G793" s="120" t="n"/>
      <c r="I793" s="116" t="n"/>
      <c r="J793" s="19" t="n"/>
      <c r="K793" s="19" t="n"/>
      <c r="L793" s="19" t="n"/>
      <c r="M793" s="20" t="n"/>
      <c r="N793" s="120" t="n"/>
      <c r="O793" s="116" t="n"/>
      <c r="P793" s="19" t="n"/>
      <c r="Q793" s="19" t="n"/>
      <c r="R793" s="19" t="n"/>
      <c r="S793" s="20" t="n"/>
      <c r="T793" s="120" t="n"/>
      <c r="U793" s="120" t="n"/>
      <c r="V793" s="120" t="n"/>
      <c r="W793" s="120" t="n"/>
      <c r="X793" s="120" t="n"/>
      <c r="Y793" s="120" t="n"/>
      <c r="Z793" s="120" t="n"/>
      <c r="AB793" s="116" t="n"/>
      <c r="AC793" s="19" t="n"/>
      <c r="AD793" s="19" t="n"/>
      <c r="AE793" s="19" t="n"/>
      <c r="AF793" s="20" t="n"/>
      <c r="AG793" s="120" t="n"/>
      <c r="AH793" s="116" t="n"/>
      <c r="AI793" s="19" t="n"/>
      <c r="AJ793" s="19" t="n"/>
      <c r="AK793" s="19" t="n"/>
      <c r="AL793" s="20" t="n"/>
      <c r="AM793" s="120" t="n"/>
      <c r="AN793" s="120" t="n"/>
      <c r="AO793" s="120" t="n"/>
      <c r="AP793" s="120" t="n"/>
      <c r="AQ793" s="120" t="n"/>
      <c r="AR793" s="120" t="n"/>
      <c r="AS793" s="120" t="n"/>
    </row>
    <row r="794" hidden="1" outlineLevel="2">
      <c r="A794" s="8" t="n"/>
      <c r="B794" s="14" t="n"/>
      <c r="C794" s="120" t="n"/>
      <c r="D794" s="120" t="n"/>
      <c r="E794" s="120" t="n"/>
      <c r="F794" s="120" t="n"/>
      <c r="G794" s="120" t="n"/>
      <c r="I794" s="21" t="n"/>
      <c r="M794" s="22" t="n"/>
      <c r="N794" s="120" t="n"/>
      <c r="O794" s="21" t="n"/>
      <c r="S794" s="22" t="n"/>
      <c r="T794" s="120" t="n"/>
      <c r="U794" s="120" t="n"/>
      <c r="V794" s="120" t="n"/>
      <c r="W794" s="120" t="n"/>
      <c r="X794" s="120" t="n"/>
      <c r="Y794" s="120" t="n"/>
      <c r="Z794" s="120" t="n"/>
      <c r="AB794" s="21" t="n"/>
      <c r="AF794" s="22" t="n"/>
      <c r="AG794" s="120" t="n"/>
      <c r="AH794" s="21" t="n"/>
      <c r="AL794" s="22" t="n"/>
      <c r="AM794" s="120" t="n"/>
      <c r="AN794" s="120" t="n"/>
      <c r="AO794" s="120" t="n"/>
      <c r="AP794" s="120" t="n"/>
      <c r="AQ794" s="120" t="n"/>
      <c r="AR794" s="120" t="n"/>
      <c r="AS794" s="120" t="n"/>
    </row>
    <row r="795" hidden="1" outlineLevel="2">
      <c r="A795" s="8" t="n"/>
      <c r="B795" s="14" t="n"/>
      <c r="C795" s="120" t="n"/>
      <c r="D795" s="120" t="n"/>
      <c r="E795" s="120" t="n"/>
      <c r="F795" s="120" t="n"/>
      <c r="G795" s="120" t="n"/>
      <c r="I795" s="21" t="n"/>
      <c r="M795" s="22" t="n"/>
      <c r="N795" s="120" t="n"/>
      <c r="O795" s="21" t="n"/>
      <c r="S795" s="22" t="n"/>
      <c r="T795" s="120" t="n"/>
      <c r="U795" s="120" t="n"/>
      <c r="V795" s="120" t="n"/>
      <c r="W795" s="120" t="n"/>
      <c r="X795" s="120" t="n"/>
      <c r="Y795" s="120" t="n"/>
      <c r="Z795" s="120" t="n"/>
      <c r="AB795" s="21" t="n"/>
      <c r="AF795" s="22" t="n"/>
      <c r="AG795" s="120" t="n"/>
      <c r="AH795" s="21" t="n"/>
      <c r="AL795" s="22" t="n"/>
      <c r="AM795" s="120" t="n"/>
      <c r="AN795" s="120" t="n"/>
      <c r="AO795" s="120" t="n"/>
      <c r="AP795" s="120" t="n"/>
      <c r="AQ795" s="120" t="n"/>
      <c r="AR795" s="120" t="n"/>
      <c r="AS795" s="120" t="n"/>
    </row>
    <row r="796" hidden="1" outlineLevel="2">
      <c r="A796" s="8" t="n"/>
      <c r="B796" s="14" t="n"/>
      <c r="C796" s="120" t="n"/>
      <c r="D796" s="120" t="n"/>
      <c r="E796" s="120" t="n"/>
      <c r="F796" s="120" t="n"/>
      <c r="G796" s="120" t="n"/>
      <c r="I796" s="23" t="n"/>
      <c r="J796" s="24" t="n"/>
      <c r="K796" s="24" t="n"/>
      <c r="L796" s="24" t="n"/>
      <c r="M796" s="25" t="n"/>
      <c r="N796" s="120" t="n"/>
      <c r="O796" s="23" t="n"/>
      <c r="P796" s="24" t="n"/>
      <c r="Q796" s="24" t="n"/>
      <c r="R796" s="24" t="n"/>
      <c r="S796" s="25" t="n"/>
      <c r="T796" s="120" t="n"/>
      <c r="U796" s="120" t="n"/>
      <c r="V796" s="120" t="n"/>
      <c r="W796" s="120" t="n"/>
      <c r="X796" s="120" t="n"/>
      <c r="Y796" s="120" t="n"/>
      <c r="Z796" s="120" t="n"/>
      <c r="AB796" s="23" t="n"/>
      <c r="AC796" s="24" t="n"/>
      <c r="AD796" s="24" t="n"/>
      <c r="AE796" s="24" t="n"/>
      <c r="AF796" s="25" t="n"/>
      <c r="AG796" s="120" t="n"/>
      <c r="AH796" s="23" t="n"/>
      <c r="AI796" s="24" t="n"/>
      <c r="AJ796" s="24" t="n"/>
      <c r="AK796" s="24" t="n"/>
      <c r="AL796" s="25" t="n"/>
      <c r="AM796" s="120" t="n"/>
      <c r="AN796" s="120" t="n"/>
      <c r="AO796" s="120" t="n"/>
      <c r="AP796" s="120" t="n"/>
      <c r="AQ796" s="120" t="n"/>
      <c r="AR796" s="120" t="n"/>
      <c r="AS796" s="120" t="n"/>
    </row>
    <row r="797" hidden="1" outlineLevel="2">
      <c r="A797" s="8" t="n"/>
      <c r="B797" s="14" t="n"/>
      <c r="C797" s="120" t="n"/>
      <c r="D797" s="120" t="n"/>
      <c r="E797" s="120" t="n"/>
      <c r="F797" s="120" t="n"/>
      <c r="G797" s="120" t="n"/>
      <c r="I797" s="68">
        <f>DADOS_INVOC!$IV$5</f>
        <v/>
      </c>
      <c r="J797" s="16" t="n"/>
      <c r="K797" s="16" t="n"/>
      <c r="L797" s="16" t="n"/>
      <c r="M797" s="17" t="n"/>
      <c r="N797" s="120" t="n"/>
      <c r="O797" s="124" t="n"/>
      <c r="P797" s="17" t="n"/>
      <c r="Q797" s="68">
        <f>DADOS_INVOC!$IX$5</f>
        <v/>
      </c>
      <c r="R797" s="16" t="n"/>
      <c r="S797" s="17" t="n"/>
      <c r="T797" s="120" t="n"/>
      <c r="U797" s="120" t="n"/>
      <c r="V797" s="120" t="n"/>
      <c r="W797" s="120" t="n"/>
      <c r="X797" s="120" t="n"/>
      <c r="Y797" s="120" t="n"/>
      <c r="Z797" s="120" t="n"/>
      <c r="AB797" s="68">
        <f>DADOS_INVOC!$IV$11</f>
        <v/>
      </c>
      <c r="AC797" s="16" t="n"/>
      <c r="AD797" s="16" t="n"/>
      <c r="AE797" s="16" t="n"/>
      <c r="AF797" s="17" t="n"/>
      <c r="AG797" s="120" t="n"/>
      <c r="AH797" s="124" t="n"/>
      <c r="AI797" s="17" t="n"/>
      <c r="AJ797" s="68">
        <f>DADOS_INVOC!$IX$11</f>
        <v/>
      </c>
      <c r="AK797" s="16" t="n"/>
      <c r="AL797" s="17" t="n"/>
      <c r="AM797" s="120" t="n"/>
      <c r="AN797" s="120" t="n"/>
      <c r="AO797" s="120" t="n"/>
      <c r="AP797" s="120" t="n"/>
      <c r="AQ797" s="120" t="n"/>
      <c r="AR797" s="120" t="n"/>
      <c r="AS797" s="120" t="n"/>
    </row>
    <row r="798" hidden="1" outlineLevel="2">
      <c r="A798" s="8" t="n"/>
      <c r="B798" s="14" t="n"/>
      <c r="C798" s="120" t="n"/>
      <c r="D798" s="120" t="n"/>
      <c r="E798" s="120" t="n"/>
      <c r="F798" s="120" t="n"/>
      <c r="G798" s="120" t="n"/>
      <c r="I798" s="124" t="inlineStr">
        <is>
          <t>Sua Ação Completa + a básica dela</t>
        </is>
      </c>
      <c r="J798" s="16" t="n"/>
      <c r="K798" s="16" t="n"/>
      <c r="L798" s="16" t="n"/>
      <c r="M798" s="17" t="n"/>
      <c r="N798" s="120" t="n"/>
      <c r="O798" s="129">
        <f>DADOS_INVOC!$IY$5</f>
        <v/>
      </c>
      <c r="P798" s="16" t="n"/>
      <c r="Q798" s="16" t="n"/>
      <c r="R798" s="16" t="n"/>
      <c r="S798" s="17" t="n"/>
      <c r="T798" s="120" t="n"/>
      <c r="U798" s="120" t="n"/>
      <c r="V798" s="120" t="n"/>
      <c r="W798" s="120" t="n"/>
      <c r="X798" s="120" t="n"/>
      <c r="Y798" s="120" t="n"/>
      <c r="Z798" s="120" t="n"/>
      <c r="AB798" s="124" t="inlineStr">
        <is>
          <t>Sua Ação Completa + a básica dela</t>
        </is>
      </c>
      <c r="AC798" s="16" t="n"/>
      <c r="AD798" s="16" t="n"/>
      <c r="AE798" s="16" t="n"/>
      <c r="AF798" s="17" t="n"/>
      <c r="AG798" s="120" t="n"/>
      <c r="AH798" s="129">
        <f>DADOS_INVOC!$IY$11</f>
        <v/>
      </c>
      <c r="AI798" s="16" t="n"/>
      <c r="AJ798" s="16" t="n"/>
      <c r="AK798" s="16" t="n"/>
      <c r="AL798" s="17" t="n"/>
      <c r="AM798" s="120" t="n"/>
      <c r="AN798" s="120" t="n"/>
      <c r="AO798" s="120" t="n"/>
      <c r="AP798" s="120" t="n"/>
      <c r="AQ798" s="120" t="n"/>
      <c r="AR798" s="120" t="n"/>
      <c r="AS798" s="120" t="n"/>
    </row>
    <row r="799">
      <c r="A799" s="8" t="n"/>
      <c r="B799" s="14" t="n"/>
      <c r="C799" s="120" t="n"/>
      <c r="D799" s="120" t="n"/>
      <c r="E799" s="120" t="n"/>
      <c r="F799" s="120" t="n"/>
      <c r="G799" s="120" t="n"/>
      <c r="H799" s="120" t="n"/>
      <c r="I799" s="120" t="n"/>
      <c r="J799" s="120" t="n"/>
      <c r="K799" s="120" t="n"/>
      <c r="L799" s="120" t="n"/>
      <c r="M799" s="120" t="n"/>
      <c r="N799" s="120" t="n"/>
      <c r="O799" s="120" t="n"/>
      <c r="P799" s="120" t="n"/>
      <c r="Q799" s="120" t="n"/>
      <c r="R799" s="120" t="n"/>
      <c r="S799" s="120" t="n"/>
      <c r="T799" s="120" t="n"/>
      <c r="U799" s="120" t="n"/>
      <c r="V799" s="120" t="n"/>
      <c r="W799" s="120" t="n"/>
      <c r="X799" s="120" t="n"/>
      <c r="Y799" s="120" t="n"/>
      <c r="Z799" s="120" t="n"/>
      <c r="AA799" s="120" t="n"/>
      <c r="AB799" s="120" t="n"/>
      <c r="AC799" s="120" t="n"/>
      <c r="AD799" s="120" t="n"/>
      <c r="AE799" s="120" t="n"/>
      <c r="AF799" s="120" t="n"/>
      <c r="AG799" s="120" t="n"/>
      <c r="AH799" s="120" t="n"/>
      <c r="AI799" s="120" t="n"/>
      <c r="AJ799" s="120" t="n"/>
      <c r="AK799" s="120" t="n"/>
      <c r="AL799" s="120" t="n"/>
      <c r="AM799" s="120" t="n"/>
      <c r="AN799" s="120" t="n"/>
      <c r="AO799" s="120" t="n"/>
      <c r="AP799" s="120" t="n"/>
      <c r="AQ799" s="120" t="n"/>
      <c r="AR799" s="120" t="n"/>
      <c r="AS799" s="120" t="n"/>
    </row>
    <row r="800">
      <c r="A800" s="8" t="n"/>
      <c r="B800" s="14" t="n"/>
      <c r="C800" s="120" t="n"/>
      <c r="D800" s="120" t="n"/>
      <c r="E800" s="120" t="n"/>
      <c r="F800" s="120" t="n"/>
      <c r="G800" s="120" t="n"/>
      <c r="H800" s="120" t="n"/>
      <c r="I800" s="120" t="n"/>
      <c r="J800" s="120" t="n"/>
      <c r="K800" s="120" t="n"/>
      <c r="L800" s="120" t="n"/>
      <c r="M800" s="120" t="n"/>
      <c r="N800" s="120" t="n"/>
      <c r="O800" s="120" t="n"/>
      <c r="P800" s="120" t="n"/>
      <c r="Q800" s="120" t="n"/>
      <c r="R800" s="120" t="n"/>
      <c r="S800" s="120" t="n"/>
      <c r="T800" s="120" t="n"/>
      <c r="U800" s="120" t="n"/>
      <c r="V800" s="120" t="n"/>
      <c r="W800" s="120" t="n"/>
      <c r="X800" s="120" t="n"/>
      <c r="Y800" s="120" t="n"/>
      <c r="Z800" s="120" t="n"/>
      <c r="AA800" s="120" t="n"/>
      <c r="AB800" s="120" t="n"/>
      <c r="AC800" s="120" t="n"/>
      <c r="AD800" s="120" t="n"/>
      <c r="AE800" s="120" t="n"/>
      <c r="AF800" s="120" t="n"/>
      <c r="AG800" s="120" t="n"/>
      <c r="AH800" s="120" t="n"/>
      <c r="AI800" s="120" t="n"/>
      <c r="AJ800" s="120" t="n"/>
      <c r="AK800" s="120" t="n"/>
      <c r="AL800" s="120" t="n"/>
      <c r="AM800" s="120" t="n"/>
      <c r="AN800" s="120" t="n"/>
      <c r="AO800" s="120" t="n"/>
      <c r="AP800" s="120" t="n"/>
      <c r="AQ800" s="120" t="n"/>
      <c r="AR800" s="120" t="n"/>
      <c r="AS800" s="120" t="n"/>
    </row>
    <row r="801">
      <c r="A801" s="8" t="n"/>
      <c r="B801" s="14" t="n"/>
      <c r="C801" s="120" t="n"/>
      <c r="D801" s="120" t="n"/>
      <c r="E801" s="120" t="n"/>
      <c r="F801" s="120" t="n"/>
      <c r="G801" s="120" t="n"/>
      <c r="H801" s="138" t="n">
        <v>5</v>
      </c>
      <c r="I801" s="139" t="n">
        <v>5</v>
      </c>
      <c r="J801" s="123">
        <f>DADOS_INVOC!$GV$6</f>
        <v/>
      </c>
      <c r="K801" s="19" t="n"/>
      <c r="L801" s="19" t="n"/>
      <c r="M801" s="19" t="n"/>
      <c r="N801" s="19" t="n"/>
      <c r="O801" s="19" t="n"/>
      <c r="P801" s="19" t="n"/>
      <c r="Q801" s="19" t="n"/>
      <c r="R801" s="19" t="n"/>
      <c r="S801" s="19" t="n"/>
      <c r="T801" s="19" t="n"/>
      <c r="U801" s="19" t="n"/>
      <c r="V801" s="19" t="n"/>
      <c r="W801" s="19" t="n"/>
      <c r="X801" s="19" t="n"/>
      <c r="Y801" s="20" t="n"/>
      <c r="Z801" s="120" t="n"/>
      <c r="AA801" s="138" t="n">
        <v>11</v>
      </c>
      <c r="AB801" s="139" t="n">
        <v>11</v>
      </c>
      <c r="AC801" s="123">
        <f>DADOS_INVOC!$GV$12</f>
        <v/>
      </c>
      <c r="AD801" s="19" t="n"/>
      <c r="AE801" s="19" t="n"/>
      <c r="AF801" s="19" t="n"/>
      <c r="AG801" s="19" t="n"/>
      <c r="AH801" s="19" t="n"/>
      <c r="AI801" s="19" t="n"/>
      <c r="AJ801" s="19" t="n"/>
      <c r="AK801" s="19" t="n"/>
      <c r="AL801" s="19" t="n"/>
      <c r="AM801" s="19" t="n"/>
      <c r="AN801" s="19" t="n"/>
      <c r="AO801" s="19" t="n"/>
      <c r="AP801" s="19" t="n"/>
      <c r="AQ801" s="19" t="n"/>
      <c r="AR801" s="20" t="n"/>
      <c r="AS801" s="120" t="n"/>
    </row>
    <row r="802">
      <c r="A802" s="8" t="n"/>
      <c r="B802" s="14" t="n"/>
      <c r="C802" s="120" t="n"/>
      <c r="D802" s="120" t="n"/>
      <c r="E802" s="120" t="n"/>
      <c r="F802" s="120" t="n"/>
      <c r="G802" s="120" t="n"/>
      <c r="I802" s="125" t="n"/>
      <c r="J802" s="23" t="n"/>
      <c r="K802" s="24" t="n"/>
      <c r="L802" s="24" t="n"/>
      <c r="M802" s="24" t="n"/>
      <c r="N802" s="24" t="n"/>
      <c r="O802" s="24" t="n"/>
      <c r="P802" s="24" t="n"/>
      <c r="Q802" s="24" t="n"/>
      <c r="R802" s="24" t="n"/>
      <c r="S802" s="24" t="n"/>
      <c r="T802" s="24" t="n"/>
      <c r="U802" s="24" t="n"/>
      <c r="V802" s="24" t="n"/>
      <c r="W802" s="24" t="n"/>
      <c r="X802" s="24" t="n"/>
      <c r="Y802" s="25" t="n"/>
      <c r="Z802" s="120"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20" t="n"/>
    </row>
    <row r="803" hidden="1" outlineLevel="1">
      <c r="A803" s="8" t="n"/>
      <c r="B803" s="14" t="n"/>
      <c r="C803" s="120" t="n"/>
      <c r="D803" s="120" t="n"/>
      <c r="E803" s="120" t="n"/>
      <c r="F803" s="120" t="n"/>
      <c r="G803" s="120" t="n"/>
      <c r="H803" s="140">
        <f>DADOS_INVOC!$GW$6</f>
        <v/>
      </c>
      <c r="I803" s="120" t="n"/>
      <c r="J803" s="120" t="n"/>
      <c r="K803" s="120" t="n"/>
      <c r="L803" s="120" t="n"/>
      <c r="M803" s="120" t="n"/>
      <c r="N803" s="120" t="n"/>
      <c r="O803" s="120" t="n"/>
      <c r="P803" s="120" t="n"/>
      <c r="Q803" s="120" t="n"/>
      <c r="R803" s="120" t="n"/>
      <c r="S803" s="120" t="n"/>
      <c r="T803" s="120" t="n"/>
      <c r="U803" s="120" t="n"/>
      <c r="V803" s="120" t="n"/>
      <c r="W803" s="120" t="n"/>
      <c r="X803" s="120" t="n"/>
      <c r="Y803" s="120" t="n"/>
      <c r="Z803" s="120" t="n"/>
      <c r="AA803" s="140">
        <f>DADOS_INVOC!$GW$12</f>
        <v/>
      </c>
      <c r="AB803" s="120" t="n"/>
      <c r="AC803" s="120" t="n"/>
      <c r="AD803" s="120" t="n"/>
      <c r="AE803" s="120" t="n"/>
      <c r="AF803" s="120" t="n"/>
      <c r="AG803" s="120" t="n"/>
      <c r="AH803" s="120" t="n"/>
      <c r="AI803" s="120" t="n"/>
      <c r="AJ803" s="120" t="n"/>
      <c r="AK803" s="120" t="n"/>
      <c r="AL803" s="120" t="n"/>
      <c r="AM803" s="120" t="n"/>
      <c r="AN803" s="120" t="n"/>
      <c r="AO803" s="120" t="n"/>
      <c r="AP803" s="120" t="n"/>
      <c r="AQ803" s="120" t="n"/>
      <c r="AR803" s="120" t="n"/>
      <c r="AS803" s="120" t="n"/>
    </row>
    <row r="804" hidden="1" outlineLevel="1">
      <c r="A804" s="8" t="n"/>
      <c r="B804" s="14" t="n"/>
      <c r="C804" s="120" t="n"/>
      <c r="D804" s="120" t="n"/>
      <c r="E804" s="120" t="n"/>
      <c r="F804" s="120" t="n"/>
      <c r="G804" s="120" t="n"/>
      <c r="I804" s="55" t="inlineStr">
        <is>
          <t>NOME</t>
        </is>
      </c>
      <c r="J804" s="16" t="n"/>
      <c r="K804" s="16" t="n"/>
      <c r="L804" s="16" t="n"/>
      <c r="M804" s="17" t="n"/>
      <c r="N804" s="120" t="n"/>
      <c r="O804" s="55" t="inlineStr">
        <is>
          <t>NÍVEL</t>
        </is>
      </c>
      <c r="P804" s="55" t="inlineStr">
        <is>
          <t>CLASSE</t>
        </is>
      </c>
      <c r="Q804" s="55" t="inlineStr">
        <is>
          <t>MAESTRIA</t>
        </is>
      </c>
      <c r="R804" s="55" t="inlineStr">
        <is>
          <t>ENTRADA</t>
        </is>
      </c>
      <c r="S804" s="55" t="inlineStr">
        <is>
          <t>RETORNO</t>
        </is>
      </c>
      <c r="T804" s="120" t="n"/>
      <c r="U804" s="55" t="inlineStr">
        <is>
          <t>VIDA ATUAL</t>
        </is>
      </c>
      <c r="V804" s="55" t="inlineStr">
        <is>
          <t>VIDA MÁXIMA</t>
        </is>
      </c>
      <c r="W804" s="55" t="inlineStr">
        <is>
          <t>TEMPORÁRIA</t>
        </is>
      </c>
      <c r="X804" s="55" t="inlineStr">
        <is>
          <t>± PERDA / GANHO</t>
        </is>
      </c>
      <c r="Y804" s="55">
        <f>DADOS_INVOC!$HQ$6</f>
        <v/>
      </c>
      <c r="Z804" s="120" t="n"/>
      <c r="AB804" s="55" t="inlineStr">
        <is>
          <t>NOME</t>
        </is>
      </c>
      <c r="AC804" s="16" t="n"/>
      <c r="AD804" s="16" t="n"/>
      <c r="AE804" s="16" t="n"/>
      <c r="AF804" s="17" t="n"/>
      <c r="AG804" s="120" t="n"/>
      <c r="AH804" s="55" t="inlineStr">
        <is>
          <t>NÍVEL</t>
        </is>
      </c>
      <c r="AI804" s="55" t="inlineStr">
        <is>
          <t>CLASSE</t>
        </is>
      </c>
      <c r="AJ804" s="55" t="inlineStr">
        <is>
          <t>MAESTRIA</t>
        </is>
      </c>
      <c r="AK804" s="55" t="inlineStr">
        <is>
          <t>ENTRADA</t>
        </is>
      </c>
      <c r="AL804" s="55" t="inlineStr">
        <is>
          <t>RETORNO</t>
        </is>
      </c>
      <c r="AM804" s="120" t="n"/>
      <c r="AN804" s="55" t="inlineStr">
        <is>
          <t>VIDA ATUAL</t>
        </is>
      </c>
      <c r="AO804" s="55" t="inlineStr">
        <is>
          <t>VIDA MÁXIMA</t>
        </is>
      </c>
      <c r="AP804" s="55" t="inlineStr">
        <is>
          <t>TEMPORÁRIA</t>
        </is>
      </c>
      <c r="AQ804" s="55" t="inlineStr">
        <is>
          <t>± PERDA / GANHO</t>
        </is>
      </c>
      <c r="AR804" s="55">
        <f>DADOS_INVOC!$HQ$12</f>
        <v/>
      </c>
      <c r="AS804" s="120" t="n"/>
    </row>
    <row r="805" hidden="1" outlineLevel="1">
      <c r="A805" s="8" t="n"/>
      <c r="B805" s="14" t="n"/>
      <c r="C805" s="120" t="n"/>
      <c r="D805" s="120" t="n"/>
      <c r="E805" s="120" t="n"/>
      <c r="F805" s="120" t="n"/>
      <c r="G805" s="120" t="n"/>
      <c r="I805" s="83" t="n"/>
      <c r="J805" s="19" t="n"/>
      <c r="K805" s="19" t="n"/>
      <c r="L805" s="19" t="n"/>
      <c r="M805" s="20" t="n"/>
      <c r="N805" s="120" t="n"/>
      <c r="O805" s="92">
        <f>DADOS_INVOC!$FI$6</f>
        <v/>
      </c>
      <c r="P805" s="92">
        <f>DADOS_INVOC!$FJ$6</f>
        <v/>
      </c>
      <c r="Q805" s="92">
        <f>DADOS_INVOC!$GX$6</f>
        <v/>
      </c>
      <c r="R805" s="92">
        <f>DADOS_INVOC!$GY$6</f>
        <v/>
      </c>
      <c r="S805" s="92">
        <f>DADOS_INVOC!$GZ$6</f>
        <v/>
      </c>
      <c r="T805" s="120" t="n"/>
      <c r="U805" s="92">
        <f>DADOS_INVOC!$GA$6</f>
        <v/>
      </c>
      <c r="V805" s="92">
        <f>DADOS_INVOC!$FZ$6</f>
        <v/>
      </c>
      <c r="W805" s="92" t="n"/>
      <c r="X805" s="92" t="n"/>
      <c r="Y805" s="92" t="n"/>
      <c r="Z805" s="120" t="n"/>
      <c r="AB805" s="83" t="n"/>
      <c r="AC805" s="19" t="n"/>
      <c r="AD805" s="19" t="n"/>
      <c r="AE805" s="19" t="n"/>
      <c r="AF805" s="20" t="n"/>
      <c r="AG805" s="120" t="n"/>
      <c r="AH805" s="92">
        <f>DADOS_INVOC!$FI$12</f>
        <v/>
      </c>
      <c r="AI805" s="92">
        <f>DADOS_INVOC!$FJ$12</f>
        <v/>
      </c>
      <c r="AJ805" s="92">
        <f>DADOS_INVOC!$GX$12</f>
        <v/>
      </c>
      <c r="AK805" s="92">
        <f>DADOS_INVOC!$GY$12</f>
        <v/>
      </c>
      <c r="AL805" s="92">
        <f>DADOS_INVOC!$GZ$12</f>
        <v/>
      </c>
      <c r="AM805" s="120" t="n"/>
      <c r="AN805" s="92">
        <f>DADOS_INVOC!$GA$12</f>
        <v/>
      </c>
      <c r="AO805" s="92">
        <f>DADOS_INVOC!$FZ$12</f>
        <v/>
      </c>
      <c r="AP805" s="92" t="n"/>
      <c r="AQ805" s="92" t="n"/>
      <c r="AR805" s="92" t="n"/>
      <c r="AS805" s="120" t="n"/>
    </row>
    <row r="806" hidden="1" outlineLevel="1">
      <c r="A806" s="8" t="n"/>
      <c r="B806" s="14" t="n"/>
      <c r="C806" s="120" t="n"/>
      <c r="D806" s="120" t="n"/>
      <c r="E806" s="120" t="n"/>
      <c r="F806" s="120" t="n"/>
      <c r="G806" s="120" t="n"/>
      <c r="I806" s="23" t="n"/>
      <c r="J806" s="24" t="n"/>
      <c r="K806" s="24" t="n"/>
      <c r="L806" s="24" t="n"/>
      <c r="M806" s="25" t="n"/>
      <c r="N806" s="120" t="n"/>
      <c r="O806" s="125" t="n"/>
      <c r="P806" s="125" t="n"/>
      <c r="Q806" s="125" t="n"/>
      <c r="R806" s="125" t="n"/>
      <c r="S806" s="125" t="n"/>
      <c r="T806" s="120" t="n"/>
      <c r="U806" s="125" t="n"/>
      <c r="V806" s="125" t="n"/>
      <c r="W806" s="125" t="n"/>
      <c r="X806" s="125" t="n"/>
      <c r="Y806" s="125" t="n"/>
      <c r="Z806" s="120" t="n"/>
      <c r="AB806" s="23" t="n"/>
      <c r="AC806" s="24" t="n"/>
      <c r="AD806" s="24" t="n"/>
      <c r="AE806" s="24" t="n"/>
      <c r="AF806" s="25" t="n"/>
      <c r="AG806" s="120" t="n"/>
      <c r="AH806" s="125" t="n"/>
      <c r="AI806" s="125" t="n"/>
      <c r="AJ806" s="125" t="n"/>
      <c r="AK806" s="125" t="n"/>
      <c r="AL806" s="125" t="n"/>
      <c r="AM806" s="120" t="n"/>
      <c r="AN806" s="125" t="n"/>
      <c r="AO806" s="125" t="n"/>
      <c r="AP806" s="125" t="n"/>
      <c r="AQ806" s="125" t="n"/>
      <c r="AR806" s="125" t="n"/>
      <c r="AS806" s="120" t="n"/>
    </row>
    <row r="807" hidden="1" outlineLevel="1">
      <c r="A807" s="8" t="n"/>
      <c r="B807" s="14" t="n"/>
      <c r="C807" s="120" t="n"/>
      <c r="D807" s="120" t="n"/>
      <c r="E807" s="120" t="n"/>
      <c r="F807" s="120" t="n"/>
      <c r="G807" s="120" t="n"/>
      <c r="I807" s="141" t="inlineStr">
        <is>
          <t>FOTO
式神</t>
        </is>
      </c>
      <c r="J807" s="19" t="n"/>
      <c r="K807" s="19" t="n"/>
      <c r="L807" s="19" t="n"/>
      <c r="M807" s="20" t="n"/>
      <c r="N807" s="120" t="n"/>
      <c r="O807" s="120" t="n"/>
      <c r="P807" s="120" t="n"/>
      <c r="Q807" s="120" t="n"/>
      <c r="R807" s="120" t="n"/>
      <c r="S807" s="120" t="n"/>
      <c r="T807" s="120" t="n"/>
      <c r="U807" s="130">
        <f>IFERROR(SPARKLINE(DADOS_INVOC!$GB$6,{"charttype","bar";"max",MAX(1,DADOS_INVOC!$FZ$6);"color1",DADOS_INVOC!$CX$12}),"")</f>
        <v/>
      </c>
      <c r="V807" s="16" t="n"/>
      <c r="W807" s="16" t="n"/>
      <c r="X807" s="16" t="n"/>
      <c r="Y807" s="17" t="n"/>
      <c r="Z807" s="120" t="n"/>
      <c r="AB807" s="141" t="inlineStr">
        <is>
          <t>FOTO
式神</t>
        </is>
      </c>
      <c r="AC807" s="19" t="n"/>
      <c r="AD807" s="19" t="n"/>
      <c r="AE807" s="19" t="n"/>
      <c r="AF807" s="20" t="n"/>
      <c r="AG807" s="120" t="n"/>
      <c r="AH807" s="120" t="n"/>
      <c r="AI807" s="120" t="n"/>
      <c r="AJ807" s="120" t="n"/>
      <c r="AK807" s="120" t="n"/>
      <c r="AL807" s="120" t="n"/>
      <c r="AM807" s="120" t="n"/>
      <c r="AN807" s="130">
        <f>IFERROR(SPARKLINE(DADOS_INVOC!$GB$12,{"charttype","bar";"max",MAX(1,DADOS_INVOC!$FZ$12);"color1",DADOS_INVOC!$CX$12}),"")</f>
        <v/>
      </c>
      <c r="AO807" s="16" t="n"/>
      <c r="AP807" s="16" t="n"/>
      <c r="AQ807" s="16" t="n"/>
      <c r="AR807" s="17" t="n"/>
      <c r="AS807" s="120" t="n"/>
    </row>
    <row r="808" hidden="1" outlineLevel="1">
      <c r="A808" s="8" t="n"/>
      <c r="B808" s="14" t="n"/>
      <c r="C808" s="120" t="n"/>
      <c r="D808" s="120" t="n"/>
      <c r="E808" s="120" t="n"/>
      <c r="F808" s="120" t="n"/>
      <c r="G808" s="120" t="n"/>
      <c r="I808" s="21" t="n"/>
      <c r="M808" s="22" t="n"/>
      <c r="N808" s="120" t="n"/>
      <c r="O808" s="55">
        <f>DADOS_INVOC!$HA$6</f>
        <v/>
      </c>
      <c r="P808" s="16" t="n"/>
      <c r="Q808" s="16" t="n"/>
      <c r="R808" s="16" t="n"/>
      <c r="S808" s="17" t="n"/>
      <c r="T808" s="120" t="n"/>
      <c r="U808" s="120" t="n"/>
      <c r="V808" s="120" t="n"/>
      <c r="W808" s="120" t="n"/>
      <c r="X808" s="120" t="n"/>
      <c r="Y808" s="120" t="n"/>
      <c r="Z808" s="120" t="n"/>
      <c r="AB808" s="21" t="n"/>
      <c r="AF808" s="22" t="n"/>
      <c r="AG808" s="120" t="n"/>
      <c r="AH808" s="55">
        <f>DADOS_INVOC!$HA$12</f>
        <v/>
      </c>
      <c r="AI808" s="16" t="n"/>
      <c r="AJ808" s="16" t="n"/>
      <c r="AK808" s="16" t="n"/>
      <c r="AL808" s="17" t="n"/>
      <c r="AM808" s="120" t="n"/>
      <c r="AN808" s="120" t="n"/>
      <c r="AO808" s="120" t="n"/>
      <c r="AP808" s="120" t="n"/>
      <c r="AQ808" s="120" t="n"/>
      <c r="AR808" s="120" t="n"/>
      <c r="AS808" s="120" t="n"/>
    </row>
    <row r="809" hidden="1" outlineLevel="1">
      <c r="A809" s="8" t="n"/>
      <c r="B809" s="14" t="n"/>
      <c r="C809" s="120" t="n"/>
      <c r="D809" s="120" t="n"/>
      <c r="E809" s="120" t="n"/>
      <c r="F809" s="120" t="n"/>
      <c r="G809" s="120" t="n"/>
      <c r="I809" s="21" t="n"/>
      <c r="M809" s="22" t="n"/>
      <c r="N809" s="120" t="n"/>
      <c r="O809" s="55" t="inlineStr">
        <is>
          <t>FOR</t>
        </is>
      </c>
      <c r="P809" s="55" t="inlineStr">
        <is>
          <t>DES</t>
        </is>
      </c>
      <c r="Q809" s="55" t="inlineStr">
        <is>
          <t>CON</t>
        </is>
      </c>
      <c r="R809" s="55" t="inlineStr">
        <is>
          <t>INT</t>
        </is>
      </c>
      <c r="S809" s="55" t="inlineStr">
        <is>
          <t>ESS</t>
        </is>
      </c>
      <c r="T809" s="120" t="n"/>
      <c r="U809" s="55" t="inlineStr">
        <is>
          <t>CONDIÇÕES E USOS GASTOS</t>
        </is>
      </c>
      <c r="V809" s="16" t="n"/>
      <c r="W809" s="16" t="n"/>
      <c r="X809" s="16" t="n"/>
      <c r="Y809" s="17" t="n"/>
      <c r="Z809" s="120" t="n"/>
      <c r="AB809" s="21" t="n"/>
      <c r="AF809" s="22" t="n"/>
      <c r="AG809" s="120" t="n"/>
      <c r="AH809" s="55" t="inlineStr">
        <is>
          <t>FOR</t>
        </is>
      </c>
      <c r="AI809" s="55" t="inlineStr">
        <is>
          <t>DES</t>
        </is>
      </c>
      <c r="AJ809" s="55" t="inlineStr">
        <is>
          <t>CON</t>
        </is>
      </c>
      <c r="AK809" s="55" t="inlineStr">
        <is>
          <t>INT</t>
        </is>
      </c>
      <c r="AL809" s="55" t="inlineStr">
        <is>
          <t>ESS</t>
        </is>
      </c>
      <c r="AM809" s="120" t="n"/>
      <c r="AN809" s="55" t="inlineStr">
        <is>
          <t>CONDIÇÕES E USOS GASTOS</t>
        </is>
      </c>
      <c r="AO809" s="16" t="n"/>
      <c r="AP809" s="16" t="n"/>
      <c r="AQ809" s="16" t="n"/>
      <c r="AR809" s="17" t="n"/>
      <c r="AS809" s="120" t="n"/>
    </row>
    <row r="810" hidden="1" outlineLevel="1">
      <c r="A810" s="8" t="n"/>
      <c r="B810" s="14" t="n"/>
      <c r="C810" s="120" t="n"/>
      <c r="D810" s="120" t="n"/>
      <c r="E810" s="120" t="n"/>
      <c r="F810" s="120" t="n"/>
      <c r="G810" s="120" t="n"/>
      <c r="I810" s="21" t="n"/>
      <c r="M810" s="22" t="n"/>
      <c r="N810" s="120" t="n"/>
      <c r="O810" s="92">
        <f>DADOS_INVOC!$FL$6</f>
        <v/>
      </c>
      <c r="P810" s="92">
        <f>DADOS_INVOC!$FM$6</f>
        <v/>
      </c>
      <c r="Q810" s="92">
        <f>DADOS_INVOC!$FN$6</f>
        <v/>
      </c>
      <c r="R810" s="92">
        <f>DADOS_INVOC!$FO$6</f>
        <v/>
      </c>
      <c r="S810" s="92">
        <f>DADOS_INVOC!$FP$6</f>
        <v/>
      </c>
      <c r="T810" s="120" t="n"/>
      <c r="U810" s="116" t="n"/>
      <c r="V810" s="19" t="n"/>
      <c r="W810" s="19" t="n"/>
      <c r="X810" s="19" t="n"/>
      <c r="Y810" s="20" t="n"/>
      <c r="Z810" s="120" t="n"/>
      <c r="AB810" s="21" t="n"/>
      <c r="AF810" s="22" t="n"/>
      <c r="AG810" s="120" t="n"/>
      <c r="AH810" s="92">
        <f>DADOS_INVOC!$FL$12</f>
        <v/>
      </c>
      <c r="AI810" s="92">
        <f>DADOS_INVOC!$FM$12</f>
        <v/>
      </c>
      <c r="AJ810" s="92">
        <f>DADOS_INVOC!$FN$12</f>
        <v/>
      </c>
      <c r="AK810" s="92">
        <f>DADOS_INVOC!$FO$12</f>
        <v/>
      </c>
      <c r="AL810" s="92">
        <f>DADOS_INVOC!$FP$12</f>
        <v/>
      </c>
      <c r="AM810" s="120" t="n"/>
      <c r="AN810" s="116" t="n"/>
      <c r="AO810" s="19" t="n"/>
      <c r="AP810" s="19" t="n"/>
      <c r="AQ810" s="19" t="n"/>
      <c r="AR810" s="20" t="n"/>
      <c r="AS810" s="120" t="n"/>
    </row>
    <row r="811" hidden="1" outlineLevel="1">
      <c r="A811" s="8" t="n"/>
      <c r="B811" s="14" t="n"/>
      <c r="C811" s="120" t="n"/>
      <c r="D811" s="120" t="n"/>
      <c r="E811" s="120" t="n"/>
      <c r="F811" s="120" t="n"/>
      <c r="G811" s="120" t="n"/>
      <c r="I811" s="21" t="n"/>
      <c r="M811" s="22" t="n"/>
      <c r="N811" s="120" t="n"/>
      <c r="O811" s="125" t="n"/>
      <c r="P811" s="125" t="n"/>
      <c r="Q811" s="125" t="n"/>
      <c r="R811" s="125" t="n"/>
      <c r="S811" s="125" t="n"/>
      <c r="T811" s="120" t="n"/>
      <c r="U811" s="21" t="n"/>
      <c r="Y811" s="22" t="n"/>
      <c r="Z811" s="120" t="n"/>
      <c r="AB811" s="21" t="n"/>
      <c r="AF811" s="22" t="n"/>
      <c r="AG811" s="120" t="n"/>
      <c r="AH811" s="125" t="n"/>
      <c r="AI811" s="125" t="n"/>
      <c r="AJ811" s="125" t="n"/>
      <c r="AK811" s="125" t="n"/>
      <c r="AL811" s="125" t="n"/>
      <c r="AM811" s="120" t="n"/>
      <c r="AN811" s="21" t="n"/>
      <c r="AR811" s="22" t="n"/>
      <c r="AS811" s="120" t="n"/>
    </row>
    <row r="812" hidden="1" outlineLevel="1">
      <c r="A812" s="8" t="n"/>
      <c r="B812" s="14" t="n"/>
      <c r="C812" s="120" t="n"/>
      <c r="D812" s="120" t="n"/>
      <c r="E812" s="120" t="n"/>
      <c r="F812" s="120" t="n"/>
      <c r="G812" s="120" t="n"/>
      <c r="I812" s="21" t="n"/>
      <c r="M812" s="22" t="n"/>
      <c r="N812" s="120" t="n"/>
      <c r="O812" s="142" t="n">
        <v>0</v>
      </c>
      <c r="P812" s="142" t="n">
        <v>0</v>
      </c>
      <c r="Q812" s="142" t="n">
        <v>0</v>
      </c>
      <c r="R812" s="142" t="n">
        <v>0</v>
      </c>
      <c r="S812" s="142" t="n">
        <v>0</v>
      </c>
      <c r="T812" s="120" t="n"/>
      <c r="U812" s="21" t="n"/>
      <c r="Y812" s="22" t="n"/>
      <c r="Z812" s="120" t="n"/>
      <c r="AB812" s="21" t="n"/>
      <c r="AF812" s="22" t="n"/>
      <c r="AG812" s="120" t="n"/>
      <c r="AH812" s="142" t="n">
        <v>0</v>
      </c>
      <c r="AI812" s="142" t="n">
        <v>0</v>
      </c>
      <c r="AJ812" s="142" t="n">
        <v>0</v>
      </c>
      <c r="AK812" s="142" t="n">
        <v>0</v>
      </c>
      <c r="AL812" s="142" t="n">
        <v>0</v>
      </c>
      <c r="AM812" s="120" t="n"/>
      <c r="AN812" s="21" t="n"/>
      <c r="AR812" s="22" t="n"/>
      <c r="AS812" s="120" t="n"/>
    </row>
    <row r="813" hidden="1" outlineLevel="1">
      <c r="A813" s="8" t="n"/>
      <c r="B813" s="14" t="n"/>
      <c r="C813" s="120" t="n"/>
      <c r="D813" s="120" t="n"/>
      <c r="E813" s="120" t="n"/>
      <c r="F813" s="120" t="n"/>
      <c r="G813" s="120" t="n"/>
      <c r="I813" s="21" t="n"/>
      <c r="M813" s="22" t="n"/>
      <c r="N813" s="120" t="n"/>
      <c r="O813" s="144" t="n">
        <v>0</v>
      </c>
      <c r="P813" s="144" t="n">
        <v>0</v>
      </c>
      <c r="Q813" s="144" t="n">
        <v>0</v>
      </c>
      <c r="R813" s="144" t="n">
        <v>0</v>
      </c>
      <c r="S813" s="144" t="n">
        <v>0</v>
      </c>
      <c r="T813" s="120" t="n"/>
      <c r="U813" s="21" t="n"/>
      <c r="Y813" s="22" t="n"/>
      <c r="Z813" s="120" t="n"/>
      <c r="AB813" s="21" t="n"/>
      <c r="AF813" s="22" t="n"/>
      <c r="AG813" s="120" t="n"/>
      <c r="AH813" s="144" t="n">
        <v>0</v>
      </c>
      <c r="AI813" s="144" t="n">
        <v>0</v>
      </c>
      <c r="AJ813" s="144" t="n">
        <v>0</v>
      </c>
      <c r="AK813" s="144" t="n">
        <v>0</v>
      </c>
      <c r="AL813" s="144" t="n">
        <v>0</v>
      </c>
      <c r="AM813" s="120" t="n"/>
      <c r="AN813" s="21" t="n"/>
      <c r="AR813" s="22" t="n"/>
      <c r="AS813" s="120" t="n"/>
    </row>
    <row r="814" hidden="1" outlineLevel="1">
      <c r="A814" s="8" t="n"/>
      <c r="B814" s="14" t="n"/>
      <c r="C814" s="120" t="n"/>
      <c r="D814" s="120" t="n"/>
      <c r="E814" s="120" t="n"/>
      <c r="F814" s="120" t="n"/>
      <c r="G814" s="120" t="n"/>
      <c r="I814" s="21" t="n"/>
      <c r="M814" s="22" t="n"/>
      <c r="N814" s="120" t="n"/>
      <c r="O814" s="120" t="n"/>
      <c r="P814" s="120" t="n"/>
      <c r="Q814" s="120" t="n"/>
      <c r="R814" s="120" t="n"/>
      <c r="S814" s="120" t="n"/>
      <c r="T814" s="120" t="n"/>
      <c r="U814" s="23" t="n"/>
      <c r="V814" s="24" t="n"/>
      <c r="W814" s="24" t="n"/>
      <c r="X814" s="24" t="n"/>
      <c r="Y814" s="25" t="n"/>
      <c r="Z814" s="120" t="n"/>
      <c r="AB814" s="21" t="n"/>
      <c r="AF814" s="22" t="n"/>
      <c r="AG814" s="120" t="n"/>
      <c r="AH814" s="120" t="n"/>
      <c r="AI814" s="120" t="n"/>
      <c r="AJ814" s="120" t="n"/>
      <c r="AK814" s="120" t="n"/>
      <c r="AL814" s="120" t="n"/>
      <c r="AM814" s="120" t="n"/>
      <c r="AN814" s="23" t="n"/>
      <c r="AO814" s="24" t="n"/>
      <c r="AP814" s="24" t="n"/>
      <c r="AQ814" s="24" t="n"/>
      <c r="AR814" s="25" t="n"/>
      <c r="AS814" s="120" t="n"/>
    </row>
    <row r="815" hidden="1" outlineLevel="1">
      <c r="A815" s="8" t="n"/>
      <c r="B815" s="14" t="n"/>
      <c r="C815" s="120" t="n"/>
      <c r="D815" s="120" t="n"/>
      <c r="E815" s="120" t="n"/>
      <c r="F815" s="120" t="n"/>
      <c r="G815" s="120" t="n"/>
      <c r="I815" s="21" t="n"/>
      <c r="M815" s="22" t="n"/>
      <c r="N815" s="120" t="n"/>
      <c r="O815" s="55" t="inlineStr">
        <is>
          <t>ATAQUE</t>
        </is>
      </c>
      <c r="P815" s="55" t="inlineStr">
        <is>
          <t>CD</t>
        </is>
      </c>
      <c r="Q815" s="55" t="inlineStr">
        <is>
          <t>DEFESA</t>
        </is>
      </c>
      <c r="R815" s="55" t="inlineStr">
        <is>
          <t>VIDA MÁXIMA</t>
        </is>
      </c>
      <c r="S815" s="55" t="inlineStr">
        <is>
          <t>DESLOCAMENTO</t>
        </is>
      </c>
      <c r="T815" s="120" t="n"/>
      <c r="U815" s="120" t="n"/>
      <c r="V815" s="120" t="n"/>
      <c r="W815" s="120" t="n"/>
      <c r="X815" s="120" t="n"/>
      <c r="Y815" s="120" t="n"/>
      <c r="Z815" s="120" t="n"/>
      <c r="AB815" s="21" t="n"/>
      <c r="AF815" s="22" t="n"/>
      <c r="AG815" s="120" t="n"/>
      <c r="AH815" s="55" t="inlineStr">
        <is>
          <t>ATAQUE</t>
        </is>
      </c>
      <c r="AI815" s="55" t="inlineStr">
        <is>
          <t>CD</t>
        </is>
      </c>
      <c r="AJ815" s="55" t="inlineStr">
        <is>
          <t>DEFESA</t>
        </is>
      </c>
      <c r="AK815" s="55" t="inlineStr">
        <is>
          <t>VIDA MÁXIMA</t>
        </is>
      </c>
      <c r="AL815" s="55" t="inlineStr">
        <is>
          <t>DESLOCAMENTO</t>
        </is>
      </c>
      <c r="AM815" s="120" t="n"/>
      <c r="AN815" s="120" t="n"/>
      <c r="AO815" s="120" t="n"/>
      <c r="AP815" s="120" t="n"/>
      <c r="AQ815" s="120" t="n"/>
      <c r="AR815" s="120" t="n"/>
      <c r="AS815" s="120" t="n"/>
    </row>
    <row r="816" hidden="1" outlineLevel="1">
      <c r="A816" s="8" t="n"/>
      <c r="B816" s="14" t="n"/>
      <c r="C816" s="120" t="n"/>
      <c r="D816" s="120" t="n"/>
      <c r="E816" s="120" t="n"/>
      <c r="F816" s="120" t="n"/>
      <c r="G816" s="120" t="n"/>
      <c r="I816" s="21" t="n"/>
      <c r="M816" s="22" t="n"/>
      <c r="N816" s="120" t="n"/>
      <c r="O816" s="92">
        <f>DADOS_INVOC!$HB$6</f>
        <v/>
      </c>
      <c r="P816" s="92">
        <f>DADOS_INVOC!$HC$6</f>
        <v/>
      </c>
      <c r="Q816" s="92">
        <f>DADOS_INVOC!$FX$6</f>
        <v/>
      </c>
      <c r="R816" s="92">
        <f>DADOS_INVOC!$FZ$6</f>
        <v/>
      </c>
      <c r="S816" s="92">
        <f>DADOS_INVOC!$HD$6</f>
        <v/>
      </c>
      <c r="T816" s="120" t="n"/>
      <c r="U816" s="55" t="inlineStr">
        <is>
          <t>ANOTAÇÕES</t>
        </is>
      </c>
      <c r="V816" s="16" t="n"/>
      <c r="W816" s="16" t="n"/>
      <c r="X816" s="16" t="n"/>
      <c r="Y816" s="17" t="n"/>
      <c r="Z816" s="120" t="n"/>
      <c r="AB816" s="21" t="n"/>
      <c r="AF816" s="22" t="n"/>
      <c r="AG816" s="120" t="n"/>
      <c r="AH816" s="92">
        <f>DADOS_INVOC!$HB$12</f>
        <v/>
      </c>
      <c r="AI816" s="92">
        <f>DADOS_INVOC!$HC$12</f>
        <v/>
      </c>
      <c r="AJ816" s="92">
        <f>DADOS_INVOC!$FX$12</f>
        <v/>
      </c>
      <c r="AK816" s="92">
        <f>DADOS_INVOC!$FZ$12</f>
        <v/>
      </c>
      <c r="AL816" s="92">
        <f>DADOS_INVOC!$HD$12</f>
        <v/>
      </c>
      <c r="AM816" s="120" t="n"/>
      <c r="AN816" s="55" t="inlineStr">
        <is>
          <t>ANOTAÇÕES</t>
        </is>
      </c>
      <c r="AO816" s="16" t="n"/>
      <c r="AP816" s="16" t="n"/>
      <c r="AQ816" s="16" t="n"/>
      <c r="AR816" s="17" t="n"/>
      <c r="AS816" s="120" t="n"/>
    </row>
    <row r="817" hidden="1" outlineLevel="1">
      <c r="A817" s="8" t="n"/>
      <c r="B817" s="14" t="n"/>
      <c r="C817" s="120" t="n"/>
      <c r="D817" s="120" t="n"/>
      <c r="E817" s="120" t="n"/>
      <c r="F817" s="120" t="n"/>
      <c r="G817" s="120" t="n"/>
      <c r="I817" s="21" t="n"/>
      <c r="M817" s="22" t="n"/>
      <c r="N817" s="120" t="n"/>
      <c r="O817" s="125" t="n"/>
      <c r="P817" s="125" t="n"/>
      <c r="Q817" s="125" t="n"/>
      <c r="R817" s="125" t="n"/>
      <c r="S817" s="125" t="n"/>
      <c r="T817" s="120" t="n"/>
      <c r="U817" s="116" t="n"/>
      <c r="V817" s="19" t="n"/>
      <c r="W817" s="19" t="n"/>
      <c r="X817" s="19" t="n"/>
      <c r="Y817" s="20" t="n"/>
      <c r="Z817" s="120" t="n"/>
      <c r="AB817" s="21" t="n"/>
      <c r="AF817" s="22" t="n"/>
      <c r="AG817" s="120" t="n"/>
      <c r="AH817" s="125" t="n"/>
      <c r="AI817" s="125" t="n"/>
      <c r="AJ817" s="125" t="n"/>
      <c r="AK817" s="125" t="n"/>
      <c r="AL817" s="125" t="n"/>
      <c r="AM817" s="120" t="n"/>
      <c r="AN817" s="116" t="n"/>
      <c r="AO817" s="19" t="n"/>
      <c r="AP817" s="19" t="n"/>
      <c r="AQ817" s="19" t="n"/>
      <c r="AR817" s="20" t="n"/>
      <c r="AS817" s="120" t="n"/>
    </row>
    <row r="818" hidden="1" outlineLevel="1">
      <c r="A818" s="8" t="n"/>
      <c r="B818" s="14" t="n"/>
      <c r="C818" s="120" t="n"/>
      <c r="D818" s="120" t="n"/>
      <c r="E818" s="120" t="n"/>
      <c r="F818" s="120" t="n"/>
      <c r="G818" s="120" t="n"/>
      <c r="I818" s="21" t="n"/>
      <c r="M818" s="22" t="n"/>
      <c r="N818" s="120" t="n"/>
      <c r="O818" s="144" t="n">
        <v>0</v>
      </c>
      <c r="P818" s="144" t="n">
        <v>0</v>
      </c>
      <c r="Q818" s="144" t="n">
        <v>0</v>
      </c>
      <c r="R818" s="144" t="n">
        <v>0</v>
      </c>
      <c r="S818" s="144" t="n">
        <v>0</v>
      </c>
      <c r="T818" s="120" t="n"/>
      <c r="U818" s="21" t="n"/>
      <c r="Y818" s="22" t="n"/>
      <c r="Z818" s="120" t="n"/>
      <c r="AB818" s="21" t="n"/>
      <c r="AF818" s="22" t="n"/>
      <c r="AG818" s="120" t="n"/>
      <c r="AH818" s="144" t="n">
        <v>0</v>
      </c>
      <c r="AI818" s="144" t="n">
        <v>0</v>
      </c>
      <c r="AJ818" s="144" t="n">
        <v>0</v>
      </c>
      <c r="AK818" s="144" t="n">
        <v>0</v>
      </c>
      <c r="AL818" s="144" t="n">
        <v>0</v>
      </c>
      <c r="AM818" s="120" t="n"/>
      <c r="AN818" s="21" t="n"/>
      <c r="AR818" s="22" t="n"/>
      <c r="AS818" s="120" t="n"/>
    </row>
    <row r="819" hidden="1" outlineLevel="1">
      <c r="A819" s="8" t="n"/>
      <c r="B819" s="14" t="n"/>
      <c r="C819" s="120" t="n"/>
      <c r="D819" s="120" t="n"/>
      <c r="E819" s="120" t="n"/>
      <c r="F819" s="120" t="n"/>
      <c r="G819" s="120" t="n"/>
      <c r="I819" s="21" t="n"/>
      <c r="M819" s="22" t="n"/>
      <c r="N819" s="120" t="n"/>
      <c r="O819" s="120" t="n"/>
      <c r="P819" s="120" t="n"/>
      <c r="Q819" s="120" t="n"/>
      <c r="R819" s="120" t="n"/>
      <c r="S819" s="120" t="n"/>
      <c r="T819" s="120" t="n"/>
      <c r="U819" s="21" t="n"/>
      <c r="Y819" s="22" t="n"/>
      <c r="Z819" s="120" t="n"/>
      <c r="AB819" s="21" t="n"/>
      <c r="AF819" s="22" t="n"/>
      <c r="AG819" s="120" t="n"/>
      <c r="AH819" s="120" t="n"/>
      <c r="AI819" s="120" t="n"/>
      <c r="AJ819" s="120" t="n"/>
      <c r="AK819" s="120" t="n"/>
      <c r="AL819" s="120" t="n"/>
      <c r="AM819" s="120" t="n"/>
      <c r="AN819" s="21" t="n"/>
      <c r="AR819" s="22" t="n"/>
      <c r="AS819" s="120" t="n"/>
    </row>
    <row r="820" hidden="1" outlineLevel="1">
      <c r="A820" s="8" t="n"/>
      <c r="B820" s="14" t="n"/>
      <c r="C820" s="120" t="n"/>
      <c r="D820" s="120" t="n"/>
      <c r="E820" s="120" t="n"/>
      <c r="F820" s="120" t="n"/>
      <c r="G820" s="120" t="n"/>
      <c r="I820" s="21" t="n"/>
      <c r="M820" s="22" t="n"/>
      <c r="N820" s="120" t="n"/>
      <c r="O820" s="55" t="inlineStr">
        <is>
          <t>FÍSICO</t>
        </is>
      </c>
      <c r="P820" s="55" t="inlineStr">
        <is>
          <t>VIGOR</t>
        </is>
      </c>
      <c r="Q820" s="55" t="inlineStr">
        <is>
          <t>INTELECTO</t>
        </is>
      </c>
      <c r="R820" s="55" t="inlineStr">
        <is>
          <t>ESPÍRITO</t>
        </is>
      </c>
      <c r="S820" s="55" t="inlineStr">
        <is>
          <t>TR TREINADO</t>
        </is>
      </c>
      <c r="T820" s="120" t="n"/>
      <c r="U820" s="21" t="n"/>
      <c r="Y820" s="22" t="n"/>
      <c r="Z820" s="120" t="n"/>
      <c r="AB820" s="21" t="n"/>
      <c r="AF820" s="22" t="n"/>
      <c r="AG820" s="120" t="n"/>
      <c r="AH820" s="55" t="inlineStr">
        <is>
          <t>FÍSICO</t>
        </is>
      </c>
      <c r="AI820" s="55" t="inlineStr">
        <is>
          <t>VIGOR</t>
        </is>
      </c>
      <c r="AJ820" s="55" t="inlineStr">
        <is>
          <t>INTELECTO</t>
        </is>
      </c>
      <c r="AK820" s="55" t="inlineStr">
        <is>
          <t>ESPÍRITO</t>
        </is>
      </c>
      <c r="AL820" s="55" t="inlineStr">
        <is>
          <t>TR TREINADO</t>
        </is>
      </c>
      <c r="AM820" s="120" t="n"/>
      <c r="AN820" s="21" t="n"/>
      <c r="AR820" s="22" t="n"/>
      <c r="AS820" s="120" t="n"/>
    </row>
    <row r="821" hidden="1" outlineLevel="1">
      <c r="A821" s="8" t="n"/>
      <c r="B821" s="14" t="n"/>
      <c r="C821" s="120" t="n"/>
      <c r="D821" s="120" t="n"/>
      <c r="E821" s="120" t="n"/>
      <c r="F821" s="120" t="n"/>
      <c r="G821" s="120" t="n"/>
      <c r="I821" s="21" t="n"/>
      <c r="M821" s="22" t="n"/>
      <c r="N821" s="120" t="n"/>
      <c r="O821" s="92">
        <f>DADOS_INVOC!$HE$6</f>
        <v/>
      </c>
      <c r="P821" s="92">
        <f>DADOS_INVOC!$HF$6</f>
        <v/>
      </c>
      <c r="Q821" s="92">
        <f>DADOS_INVOC!$HG$6</f>
        <v/>
      </c>
      <c r="R821" s="92">
        <f>DADOS_INVOC!$HH$6</f>
        <v/>
      </c>
      <c r="S821" s="124" t="n"/>
      <c r="T821" s="120" t="n"/>
      <c r="U821" s="21" t="n"/>
      <c r="Y821" s="22" t="n"/>
      <c r="Z821" s="120" t="n"/>
      <c r="AB821" s="21" t="n"/>
      <c r="AF821" s="22" t="n"/>
      <c r="AG821" s="120" t="n"/>
      <c r="AH821" s="92">
        <f>DADOS_INVOC!$HE$12</f>
        <v/>
      </c>
      <c r="AI821" s="92">
        <f>DADOS_INVOC!$HF$12</f>
        <v/>
      </c>
      <c r="AJ821" s="92">
        <f>DADOS_INVOC!$HG$12</f>
        <v/>
      </c>
      <c r="AK821" s="92">
        <f>DADOS_INVOC!$HH$12</f>
        <v/>
      </c>
      <c r="AL821" s="124" t="n"/>
      <c r="AM821" s="120" t="n"/>
      <c r="AN821" s="21" t="n"/>
      <c r="AR821" s="22" t="n"/>
      <c r="AS821" s="120" t="n"/>
    </row>
    <row r="822" hidden="1" outlineLevel="1">
      <c r="A822" s="8" t="n"/>
      <c r="B822" s="14" t="n"/>
      <c r="C822" s="120" t="n"/>
      <c r="D822" s="120" t="n"/>
      <c r="E822" s="120" t="n"/>
      <c r="F822" s="120" t="n"/>
      <c r="G822" s="120" t="n"/>
      <c r="I822" s="21" t="n"/>
      <c r="M822" s="22" t="n"/>
      <c r="N822" s="120" t="n"/>
      <c r="O822" s="125" t="n"/>
      <c r="P822" s="125" t="n"/>
      <c r="Q822" s="125" t="n"/>
      <c r="R822" s="125" t="n"/>
      <c r="S822" s="125" t="n"/>
      <c r="T822" s="120" t="n"/>
      <c r="U822" s="23" t="n"/>
      <c r="V822" s="24" t="n"/>
      <c r="W822" s="24" t="n"/>
      <c r="X822" s="24" t="n"/>
      <c r="Y822" s="25" t="n"/>
      <c r="Z822" s="120" t="n"/>
      <c r="AB822" s="21" t="n"/>
      <c r="AF822" s="22" t="n"/>
      <c r="AG822" s="120" t="n"/>
      <c r="AH822" s="125" t="n"/>
      <c r="AI822" s="125" t="n"/>
      <c r="AJ822" s="125" t="n"/>
      <c r="AK822" s="125" t="n"/>
      <c r="AL822" s="125" t="n"/>
      <c r="AM822" s="120" t="n"/>
      <c r="AN822" s="23" t="n"/>
      <c r="AO822" s="24" t="n"/>
      <c r="AP822" s="24" t="n"/>
      <c r="AQ822" s="24" t="n"/>
      <c r="AR822" s="25" t="n"/>
      <c r="AS822" s="120" t="n"/>
    </row>
    <row r="823" hidden="1" outlineLevel="1">
      <c r="A823" s="8" t="n"/>
      <c r="B823" s="14" t="n"/>
      <c r="C823" s="120" t="n"/>
      <c r="D823" s="120" t="n"/>
      <c r="E823" s="120" t="n"/>
      <c r="F823" s="120" t="n"/>
      <c r="G823" s="120" t="n"/>
      <c r="I823" s="21" t="n"/>
      <c r="M823" s="22" t="n"/>
      <c r="N823" s="120" t="n"/>
      <c r="O823" s="144" t="n">
        <v>0</v>
      </c>
      <c r="P823" s="144" t="n">
        <v>0</v>
      </c>
      <c r="Q823" s="144" t="n">
        <v>0</v>
      </c>
      <c r="R823" s="144" t="n">
        <v>0</v>
      </c>
      <c r="S823" s="120" t="n"/>
      <c r="T823" s="120" t="n"/>
      <c r="U823" s="120" t="n"/>
      <c r="V823" s="120" t="n"/>
      <c r="W823" s="120" t="n"/>
      <c r="X823" s="120" t="n"/>
      <c r="Y823" s="120" t="n"/>
      <c r="Z823" s="120" t="n"/>
      <c r="AB823" s="21" t="n"/>
      <c r="AF823" s="22" t="n"/>
      <c r="AG823" s="120" t="n"/>
      <c r="AH823" s="144" t="n">
        <v>0</v>
      </c>
      <c r="AI823" s="144" t="n">
        <v>0</v>
      </c>
      <c r="AJ823" s="144" t="n">
        <v>0</v>
      </c>
      <c r="AK823" s="144" t="n">
        <v>0</v>
      </c>
      <c r="AL823" s="120" t="n"/>
      <c r="AM823" s="120" t="n"/>
      <c r="AN823" s="120" t="n"/>
      <c r="AO823" s="120" t="n"/>
      <c r="AP823" s="120" t="n"/>
      <c r="AQ823" s="120" t="n"/>
      <c r="AR823" s="120" t="n"/>
      <c r="AS823" s="120" t="n"/>
    </row>
    <row r="824" hidden="1" outlineLevel="1">
      <c r="A824" s="8" t="n"/>
      <c r="B824" s="14" t="n"/>
      <c r="C824" s="120" t="n"/>
      <c r="D824" s="120" t="n"/>
      <c r="E824" s="120" t="n"/>
      <c r="F824" s="120" t="n"/>
      <c r="G824" s="120" t="n"/>
      <c r="I824" s="21" t="n"/>
      <c r="M824" s="22" t="n"/>
      <c r="N824" s="120" t="n"/>
      <c r="O824" s="120" t="n"/>
      <c r="P824" s="120" t="n"/>
      <c r="Q824" s="120" t="n"/>
      <c r="R824" s="120" t="n"/>
      <c r="S824" s="120" t="n"/>
      <c r="T824" s="120" t="n"/>
      <c r="U824" s="55">
        <f>DADOS_INVOC!$HR$6</f>
        <v/>
      </c>
      <c r="V824" s="16" t="n"/>
      <c r="W824" s="16" t="n"/>
      <c r="X824" s="17" t="n"/>
      <c r="Y824" s="55" t="inlineStr">
        <is>
          <t>VOL.</t>
        </is>
      </c>
      <c r="Z824" s="120" t="n"/>
      <c r="AB824" s="21" t="n"/>
      <c r="AF824" s="22" t="n"/>
      <c r="AG824" s="120" t="n"/>
      <c r="AH824" s="120" t="n"/>
      <c r="AI824" s="120" t="n"/>
      <c r="AJ824" s="120" t="n"/>
      <c r="AK824" s="120" t="n"/>
      <c r="AL824" s="120" t="n"/>
      <c r="AM824" s="120" t="n"/>
      <c r="AN824" s="55">
        <f>DADOS_INVOC!$HR$12</f>
        <v/>
      </c>
      <c r="AO824" s="16" t="n"/>
      <c r="AP824" s="16" t="n"/>
      <c r="AQ824" s="17" t="n"/>
      <c r="AR824" s="55" t="inlineStr">
        <is>
          <t>VOL.</t>
        </is>
      </c>
      <c r="AS824" s="120" t="n"/>
    </row>
    <row r="825" hidden="1" outlineLevel="1">
      <c r="A825" s="8" t="n"/>
      <c r="B825" s="14" t="n"/>
      <c r="C825" s="120" t="n"/>
      <c r="D825" s="120" t="n"/>
      <c r="E825" s="120" t="n"/>
      <c r="F825" s="120" t="n"/>
      <c r="G825" s="120" t="n"/>
      <c r="I825" s="21" t="n"/>
      <c r="M825" s="22" t="n"/>
      <c r="N825" s="120" t="n"/>
      <c r="O825" s="55" t="inlineStr">
        <is>
          <t>ATRIBUTO DE ACERTO</t>
        </is>
      </c>
      <c r="P825" s="16" t="n"/>
      <c r="Q825" s="17" t="n"/>
      <c r="R825" s="55" t="inlineStr">
        <is>
          <t>FÍSICO USA</t>
        </is>
      </c>
      <c r="S825" s="17" t="n"/>
      <c r="T825" s="120" t="n"/>
      <c r="U825" s="55" t="inlineStr">
        <is>
          <t>MÃO 1</t>
        </is>
      </c>
      <c r="V825" s="130" t="n"/>
      <c r="W825" s="16" t="n"/>
      <c r="X825" s="17" t="n"/>
      <c r="Y825" s="124" t="n"/>
      <c r="Z825" s="120" t="n"/>
      <c r="AB825" s="21" t="n"/>
      <c r="AF825" s="22" t="n"/>
      <c r="AG825" s="120" t="n"/>
      <c r="AH825" s="55" t="inlineStr">
        <is>
          <t>ATRIBUTO DE ACERTO</t>
        </is>
      </c>
      <c r="AI825" s="16" t="n"/>
      <c r="AJ825" s="17" t="n"/>
      <c r="AK825" s="55" t="inlineStr">
        <is>
          <t>FÍSICO USA</t>
        </is>
      </c>
      <c r="AL825" s="17" t="n"/>
      <c r="AM825" s="120" t="n"/>
      <c r="AN825" s="55" t="inlineStr">
        <is>
          <t>MÃO 1</t>
        </is>
      </c>
      <c r="AO825" s="130" t="n"/>
      <c r="AP825" s="16" t="n"/>
      <c r="AQ825" s="17" t="n"/>
      <c r="AR825" s="124" t="n"/>
      <c r="AS825" s="120" t="n"/>
    </row>
    <row r="826" hidden="1" outlineLevel="1">
      <c r="A826" s="8" t="n"/>
      <c r="B826" s="14" t="n"/>
      <c r="C826" s="120" t="n"/>
      <c r="D826" s="120" t="n"/>
      <c r="E826" s="120" t="n"/>
      <c r="F826" s="120" t="n"/>
      <c r="G826" s="120" t="n"/>
      <c r="I826" s="21" t="n"/>
      <c r="M826" s="22" t="n"/>
      <c r="N826" s="120" t="n"/>
      <c r="O826" s="124" t="n"/>
      <c r="P826" s="19" t="n"/>
      <c r="Q826" s="20" t="n"/>
      <c r="R826" s="124" t="inlineStr">
        <is>
          <t>Força</t>
        </is>
      </c>
      <c r="S826" s="20" t="n"/>
      <c r="T826" s="120" t="n"/>
      <c r="U826" s="55" t="inlineStr">
        <is>
          <t>MÃO 2</t>
        </is>
      </c>
      <c r="V826" s="130" t="n"/>
      <c r="W826" s="16" t="n"/>
      <c r="X826" s="17" t="n"/>
      <c r="Y826" s="124" t="n"/>
      <c r="Z826" s="120" t="n"/>
      <c r="AB826" s="21" t="n"/>
      <c r="AF826" s="22" t="n"/>
      <c r="AG826" s="120" t="n"/>
      <c r="AH826" s="124" t="n"/>
      <c r="AI826" s="19" t="n"/>
      <c r="AJ826" s="20" t="n"/>
      <c r="AK826" s="124" t="inlineStr">
        <is>
          <t>Força</t>
        </is>
      </c>
      <c r="AL826" s="20" t="n"/>
      <c r="AM826" s="120" t="n"/>
      <c r="AN826" s="55" t="inlineStr">
        <is>
          <t>MÃO 2</t>
        </is>
      </c>
      <c r="AO826" s="130" t="n"/>
      <c r="AP826" s="16" t="n"/>
      <c r="AQ826" s="17" t="n"/>
      <c r="AR826" s="124" t="n"/>
      <c r="AS826" s="120" t="n"/>
    </row>
    <row r="827" hidden="1" outlineLevel="1">
      <c r="A827" s="8" t="n"/>
      <c r="B827" s="14" t="n"/>
      <c r="C827" s="120" t="n"/>
      <c r="D827" s="120" t="n"/>
      <c r="E827" s="120" t="n"/>
      <c r="F827" s="120" t="n"/>
      <c r="G827" s="120" t="n"/>
      <c r="I827" s="21" t="n"/>
      <c r="M827" s="22" t="n"/>
      <c r="N827" s="120" t="n"/>
      <c r="O827" s="23" t="n"/>
      <c r="P827" s="24" t="n"/>
      <c r="Q827" s="25" t="n"/>
      <c r="R827" s="23" t="n"/>
      <c r="S827" s="25" t="n"/>
      <c r="T827" s="120" t="n"/>
      <c r="U827" s="55" t="inlineStr">
        <is>
          <t>VESTE</t>
        </is>
      </c>
      <c r="V827" s="130" t="n"/>
      <c r="W827" s="16" t="n"/>
      <c r="X827" s="17" t="n"/>
      <c r="Y827" s="124" t="n"/>
      <c r="Z827" s="120" t="n"/>
      <c r="AB827" s="21" t="n"/>
      <c r="AF827" s="22" t="n"/>
      <c r="AG827" s="120" t="n"/>
      <c r="AH827" s="23" t="n"/>
      <c r="AI827" s="24" t="n"/>
      <c r="AJ827" s="25" t="n"/>
      <c r="AK827" s="23" t="n"/>
      <c r="AL827" s="25" t="n"/>
      <c r="AM827" s="120" t="n"/>
      <c r="AN827" s="55" t="inlineStr">
        <is>
          <t>VESTE</t>
        </is>
      </c>
      <c r="AO827" s="130" t="n"/>
      <c r="AP827" s="16" t="n"/>
      <c r="AQ827" s="17" t="n"/>
      <c r="AR827" s="124" t="n"/>
      <c r="AS827" s="120" t="n"/>
    </row>
    <row r="828" hidden="1" outlineLevel="1">
      <c r="A828" s="8" t="n"/>
      <c r="B828" s="14" t="n"/>
      <c r="C828" s="120" t="n"/>
      <c r="D828" s="120" t="n"/>
      <c r="E828" s="120" t="n"/>
      <c r="F828" s="120" t="n"/>
      <c r="G828" s="120" t="n"/>
      <c r="I828" s="21" t="n"/>
      <c r="M828" s="22" t="n"/>
      <c r="N828" s="120" t="n"/>
      <c r="O828" s="120" t="n"/>
      <c r="P828" s="120" t="n"/>
      <c r="Q828" s="120" t="n"/>
      <c r="R828" s="120" t="n"/>
      <c r="S828" s="120" t="n"/>
      <c r="T828" s="120" t="n"/>
      <c r="U828" s="55" t="inlineStr">
        <is>
          <t>GUARDADO · SÓ COM A CARACTERÍSTICA DE TRANSPORTE</t>
        </is>
      </c>
      <c r="V828" s="16" t="n"/>
      <c r="W828" s="16" t="n"/>
      <c r="X828" s="17" t="n"/>
      <c r="Y828" s="55" t="inlineStr">
        <is>
          <t>VOL.</t>
        </is>
      </c>
      <c r="Z828" s="120" t="n"/>
      <c r="AB828" s="21" t="n"/>
      <c r="AF828" s="22" t="n"/>
      <c r="AG828" s="120" t="n"/>
      <c r="AH828" s="120" t="n"/>
      <c r="AI828" s="120" t="n"/>
      <c r="AJ828" s="120" t="n"/>
      <c r="AK828" s="120" t="n"/>
      <c r="AL828" s="120" t="n"/>
      <c r="AM828" s="120" t="n"/>
      <c r="AN828" s="55" t="inlineStr">
        <is>
          <t>GUARDADO · SÓ COM A CARACTERÍSTICA DE TRANSPORTE</t>
        </is>
      </c>
      <c r="AO828" s="16" t="n"/>
      <c r="AP828" s="16" t="n"/>
      <c r="AQ828" s="17" t="n"/>
      <c r="AR828" s="55" t="inlineStr">
        <is>
          <t>VOL.</t>
        </is>
      </c>
      <c r="AS828" s="120" t="n"/>
    </row>
    <row r="829" hidden="1" outlineLevel="1">
      <c r="A829" s="8" t="n"/>
      <c r="B829" s="14" t="n"/>
      <c r="C829" s="120" t="n"/>
      <c r="D829" s="120" t="n"/>
      <c r="E829" s="120" t="n"/>
      <c r="F829" s="120" t="n"/>
      <c r="G829" s="120" t="n"/>
      <c r="I829" s="21" t="n"/>
      <c r="M829" s="22" t="n"/>
      <c r="N829" s="120" t="n"/>
      <c r="O829" s="55">
        <f>DADOS_INVOC!$HI$6</f>
        <v/>
      </c>
      <c r="P829" s="16" t="n"/>
      <c r="Q829" s="16" t="n"/>
      <c r="R829" s="16" t="n"/>
      <c r="S829" s="17" t="n"/>
      <c r="T829" s="120" t="n"/>
      <c r="U829" s="130" t="n"/>
      <c r="V829" s="16" t="n"/>
      <c r="W829" s="16" t="n"/>
      <c r="X829" s="17" t="n"/>
      <c r="Y829" s="124" t="n"/>
      <c r="Z829" s="120" t="n"/>
      <c r="AB829" s="21" t="n"/>
      <c r="AF829" s="22" t="n"/>
      <c r="AG829" s="120" t="n"/>
      <c r="AH829" s="55">
        <f>DADOS_INVOC!$HI$12</f>
        <v/>
      </c>
      <c r="AI829" s="16" t="n"/>
      <c r="AJ829" s="16" t="n"/>
      <c r="AK829" s="16" t="n"/>
      <c r="AL829" s="17" t="n"/>
      <c r="AM829" s="120" t="n"/>
      <c r="AN829" s="130" t="n"/>
      <c r="AO829" s="16" t="n"/>
      <c r="AP829" s="16" t="n"/>
      <c r="AQ829" s="17" t="n"/>
      <c r="AR829" s="124" t="n"/>
      <c r="AS829" s="120" t="n"/>
    </row>
    <row r="830" hidden="1" outlineLevel="1">
      <c r="A830" s="8" t="n"/>
      <c r="B830" s="14" t="n"/>
      <c r="C830" s="120" t="n"/>
      <c r="D830" s="120" t="n"/>
      <c r="E830" s="120" t="n"/>
      <c r="F830" s="120" t="n"/>
      <c r="G830" s="120" t="n"/>
      <c r="I830" s="21" t="n"/>
      <c r="M830" s="22" t="n"/>
      <c r="N830" s="120" t="n"/>
      <c r="O830" s="130" t="n"/>
      <c r="P830" s="16" t="n"/>
      <c r="Q830" s="17" t="n"/>
      <c r="R830" s="124">
        <f>DADOS_INVOC!$HJ$6</f>
        <v/>
      </c>
      <c r="S830" s="17" t="n"/>
      <c r="T830" s="120" t="n"/>
      <c r="U830" s="130" t="n"/>
      <c r="V830" s="16" t="n"/>
      <c r="W830" s="16" t="n"/>
      <c r="X830" s="17" t="n"/>
      <c r="Y830" s="124" t="n"/>
      <c r="Z830" s="120" t="n"/>
      <c r="AB830" s="21" t="n"/>
      <c r="AF830" s="22" t="n"/>
      <c r="AG830" s="120" t="n"/>
      <c r="AH830" s="130" t="n"/>
      <c r="AI830" s="16" t="n"/>
      <c r="AJ830" s="17" t="n"/>
      <c r="AK830" s="124">
        <f>DADOS_INVOC!$HJ$12</f>
        <v/>
      </c>
      <c r="AL830" s="17" t="n"/>
      <c r="AM830" s="120" t="n"/>
      <c r="AN830" s="130" t="n"/>
      <c r="AO830" s="16" t="n"/>
      <c r="AP830" s="16" t="n"/>
      <c r="AQ830" s="17" t="n"/>
      <c r="AR830" s="124" t="n"/>
      <c r="AS830" s="120" t="n"/>
    </row>
    <row r="831" hidden="1" outlineLevel="1">
      <c r="A831" s="8" t="n"/>
      <c r="B831" s="14" t="n"/>
      <c r="C831" s="120" t="n"/>
      <c r="D831" s="120" t="n"/>
      <c r="E831" s="120" t="n"/>
      <c r="F831" s="120" t="n"/>
      <c r="G831" s="120" t="n"/>
      <c r="I831" s="21" t="n"/>
      <c r="M831" s="22" t="n"/>
      <c r="N831" s="120" t="n"/>
      <c r="O831" s="130" t="n"/>
      <c r="P831" s="16" t="n"/>
      <c r="Q831" s="17" t="n"/>
      <c r="R831" s="124">
        <f>DADOS_INVOC!$HK$6</f>
        <v/>
      </c>
      <c r="S831" s="17" t="n"/>
      <c r="T831" s="120" t="n"/>
      <c r="U831" s="130" t="n"/>
      <c r="V831" s="16" t="n"/>
      <c r="W831" s="16" t="n"/>
      <c r="X831" s="17" t="n"/>
      <c r="Y831" s="124" t="n"/>
      <c r="Z831" s="120" t="n"/>
      <c r="AB831" s="21" t="n"/>
      <c r="AF831" s="22" t="n"/>
      <c r="AG831" s="120" t="n"/>
      <c r="AH831" s="130" t="n"/>
      <c r="AI831" s="16" t="n"/>
      <c r="AJ831" s="17" t="n"/>
      <c r="AK831" s="124">
        <f>DADOS_INVOC!$HK$12</f>
        <v/>
      </c>
      <c r="AL831" s="17" t="n"/>
      <c r="AM831" s="120" t="n"/>
      <c r="AN831" s="130" t="n"/>
      <c r="AO831" s="16" t="n"/>
      <c r="AP831" s="16" t="n"/>
      <c r="AQ831" s="17" t="n"/>
      <c r="AR831" s="124" t="n"/>
      <c r="AS831" s="120" t="n"/>
    </row>
    <row r="832" hidden="1" outlineLevel="1">
      <c r="A832" s="8" t="n"/>
      <c r="B832" s="14" t="n"/>
      <c r="C832" s="120" t="n"/>
      <c r="D832" s="120" t="n"/>
      <c r="E832" s="120" t="n"/>
      <c r="F832" s="120" t="n"/>
      <c r="G832" s="120" t="n"/>
      <c r="I832" s="23" t="n"/>
      <c r="J832" s="24" t="n"/>
      <c r="K832" s="24" t="n"/>
      <c r="L832" s="24" t="n"/>
      <c r="M832" s="25" t="n"/>
      <c r="N832" s="120" t="n"/>
      <c r="O832" s="130" t="n"/>
      <c r="P832" s="16" t="n"/>
      <c r="Q832" s="17" t="n"/>
      <c r="R832" s="124">
        <f>DADOS_INVOC!$HL$6</f>
        <v/>
      </c>
      <c r="S832" s="17" t="n"/>
      <c r="T832" s="120" t="n"/>
      <c r="U832" s="130" t="n"/>
      <c r="V832" s="16" t="n"/>
      <c r="W832" s="16" t="n"/>
      <c r="X832" s="17" t="n"/>
      <c r="Y832" s="124" t="n"/>
      <c r="Z832" s="120" t="n"/>
      <c r="AB832" s="23" t="n"/>
      <c r="AC832" s="24" t="n"/>
      <c r="AD832" s="24" t="n"/>
      <c r="AE832" s="24" t="n"/>
      <c r="AF832" s="25" t="n"/>
      <c r="AG832" s="120" t="n"/>
      <c r="AH832" s="130" t="n"/>
      <c r="AI832" s="16" t="n"/>
      <c r="AJ832" s="17" t="n"/>
      <c r="AK832" s="124">
        <f>DADOS_INVOC!$HL$12</f>
        <v/>
      </c>
      <c r="AL832" s="17" t="n"/>
      <c r="AM832" s="120" t="n"/>
      <c r="AN832" s="130" t="n"/>
      <c r="AO832" s="16" t="n"/>
      <c r="AP832" s="16" t="n"/>
      <c r="AQ832" s="17" t="n"/>
      <c r="AR832" s="124" t="n"/>
      <c r="AS832" s="120" t="n"/>
    </row>
    <row r="833" hidden="1" outlineLevel="1">
      <c r="A833" s="8" t="n"/>
      <c r="B833" s="14" t="n"/>
      <c r="C833" s="120" t="n"/>
      <c r="D833" s="120" t="n"/>
      <c r="E833" s="120" t="n"/>
      <c r="F833" s="120" t="n"/>
      <c r="G833" s="120" t="n"/>
      <c r="I833" s="120" t="n"/>
      <c r="J833" s="120" t="n"/>
      <c r="K833" s="120" t="n"/>
      <c r="L833" s="120" t="n"/>
      <c r="M833" s="120" t="n"/>
      <c r="N833" s="120" t="n"/>
      <c r="O833" s="130" t="n"/>
      <c r="P833" s="16" t="n"/>
      <c r="Q833" s="17" t="n"/>
      <c r="R833" s="124">
        <f>DADOS_INVOC!$HM$6</f>
        <v/>
      </c>
      <c r="S833" s="17" t="n"/>
      <c r="T833" s="120" t="n"/>
      <c r="U833" s="130" t="n"/>
      <c r="V833" s="16" t="n"/>
      <c r="W833" s="16" t="n"/>
      <c r="X833" s="17" t="n"/>
      <c r="Y833" s="124" t="n"/>
      <c r="Z833" s="120" t="n"/>
      <c r="AB833" s="120" t="n"/>
      <c r="AC833" s="120" t="n"/>
      <c r="AD833" s="120" t="n"/>
      <c r="AE833" s="120" t="n"/>
      <c r="AF833" s="120" t="n"/>
      <c r="AG833" s="120" t="n"/>
      <c r="AH833" s="130" t="n"/>
      <c r="AI833" s="16" t="n"/>
      <c r="AJ833" s="17" t="n"/>
      <c r="AK833" s="124">
        <f>DADOS_INVOC!$HM$12</f>
        <v/>
      </c>
      <c r="AL833" s="17" t="n"/>
      <c r="AM833" s="120" t="n"/>
      <c r="AN833" s="130" t="n"/>
      <c r="AO833" s="16" t="n"/>
      <c r="AP833" s="16" t="n"/>
      <c r="AQ833" s="17" t="n"/>
      <c r="AR833" s="124" t="n"/>
      <c r="AS833" s="120" t="n"/>
    </row>
    <row r="834" hidden="1" outlineLevel="1">
      <c r="A834" s="8" t="n"/>
      <c r="B834" s="14" t="n"/>
      <c r="C834" s="120" t="n"/>
      <c r="D834" s="120" t="n"/>
      <c r="E834" s="120" t="n"/>
      <c r="F834" s="120" t="n"/>
      <c r="G834" s="120" t="n"/>
      <c r="I834" s="55" t="inlineStr">
        <is>
          <t>TIPO</t>
        </is>
      </c>
      <c r="J834" s="16" t="n"/>
      <c r="K834" s="16" t="n"/>
      <c r="L834" s="16" t="n"/>
      <c r="M834" s="17" t="n"/>
      <c r="N834" s="120" t="n"/>
      <c r="O834" s="130" t="n"/>
      <c r="P834" s="16" t="n"/>
      <c r="Q834" s="17" t="n"/>
      <c r="R834" s="124">
        <f>DADOS_INVOC!$HN$6</f>
        <v/>
      </c>
      <c r="S834" s="17" t="n"/>
      <c r="T834" s="120" t="n"/>
      <c r="U834" s="130" t="n"/>
      <c r="V834" s="16" t="n"/>
      <c r="W834" s="16" t="n"/>
      <c r="X834" s="17" t="n"/>
      <c r="Y834" s="124" t="n"/>
      <c r="Z834" s="120" t="n"/>
      <c r="AB834" s="55" t="inlineStr">
        <is>
          <t>TIPO</t>
        </is>
      </c>
      <c r="AC834" s="16" t="n"/>
      <c r="AD834" s="16" t="n"/>
      <c r="AE834" s="16" t="n"/>
      <c r="AF834" s="17" t="n"/>
      <c r="AG834" s="120" t="n"/>
      <c r="AH834" s="130" t="n"/>
      <c r="AI834" s="16" t="n"/>
      <c r="AJ834" s="17" t="n"/>
      <c r="AK834" s="124">
        <f>DADOS_INVOC!$HN$12</f>
        <v/>
      </c>
      <c r="AL834" s="17" t="n"/>
      <c r="AM834" s="120" t="n"/>
      <c r="AN834" s="130" t="n"/>
      <c r="AO834" s="16" t="n"/>
      <c r="AP834" s="16" t="n"/>
      <c r="AQ834" s="17" t="n"/>
      <c r="AR834" s="124" t="n"/>
      <c r="AS834" s="120" t="n"/>
    </row>
    <row r="835" hidden="1" outlineLevel="1">
      <c r="A835" s="8" t="n"/>
      <c r="B835" s="14" t="n"/>
      <c r="C835" s="120" t="n"/>
      <c r="D835" s="120" t="n"/>
      <c r="E835" s="120" t="n"/>
      <c r="F835" s="120" t="n"/>
      <c r="G835" s="120" t="n"/>
      <c r="I835" s="124" t="inlineStr">
        <is>
          <t>Shikigami de técnica</t>
        </is>
      </c>
      <c r="J835" s="19" t="n"/>
      <c r="K835" s="19" t="n"/>
      <c r="L835" s="19" t="n"/>
      <c r="M835" s="20" t="n"/>
      <c r="N835" s="120" t="n"/>
      <c r="O835" s="130" t="n"/>
      <c r="P835" s="16" t="n"/>
      <c r="Q835" s="17" t="n"/>
      <c r="R835" s="124">
        <f>DADOS_INVOC!$HO$6</f>
        <v/>
      </c>
      <c r="S835" s="17" t="n"/>
      <c r="T835" s="120" t="n"/>
      <c r="U835" s="120" t="n"/>
      <c r="V835" s="120" t="n"/>
      <c r="W835" s="120" t="n"/>
      <c r="X835" s="120" t="n"/>
      <c r="Y835" s="120" t="n"/>
      <c r="Z835" s="120" t="n"/>
      <c r="AB835" s="124" t="inlineStr">
        <is>
          <t>Shikigami de técnica</t>
        </is>
      </c>
      <c r="AC835" s="19" t="n"/>
      <c r="AD835" s="19" t="n"/>
      <c r="AE835" s="19" t="n"/>
      <c r="AF835" s="20" t="n"/>
      <c r="AG835" s="120" t="n"/>
      <c r="AH835" s="130" t="n"/>
      <c r="AI835" s="16" t="n"/>
      <c r="AJ835" s="17" t="n"/>
      <c r="AK835" s="124">
        <f>DADOS_INVOC!$HO$12</f>
        <v/>
      </c>
      <c r="AL835" s="17" t="n"/>
      <c r="AM835" s="120" t="n"/>
      <c r="AN835" s="120" t="n"/>
      <c r="AO835" s="120" t="n"/>
      <c r="AP835" s="120" t="n"/>
      <c r="AQ835" s="120" t="n"/>
      <c r="AR835" s="120" t="n"/>
      <c r="AS835" s="120" t="n"/>
    </row>
    <row r="836" hidden="1" outlineLevel="1">
      <c r="A836" s="8" t="n"/>
      <c r="B836" s="14" t="n"/>
      <c r="C836" s="120" t="n"/>
      <c r="D836" s="120" t="n"/>
      <c r="E836" s="120" t="n"/>
      <c r="F836" s="120" t="n"/>
      <c r="G836" s="120" t="n"/>
      <c r="I836" s="23" t="n"/>
      <c r="J836" s="24" t="n"/>
      <c r="K836" s="24" t="n"/>
      <c r="L836" s="24" t="n"/>
      <c r="M836" s="25" t="n"/>
      <c r="N836" s="120" t="n"/>
      <c r="O836" s="130" t="n"/>
      <c r="P836" s="16" t="n"/>
      <c r="Q836" s="17" t="n"/>
      <c r="R836" s="124">
        <f>DADOS_INVOC!$HP$6</f>
        <v/>
      </c>
      <c r="S836" s="17" t="n"/>
      <c r="T836" s="120" t="n"/>
      <c r="U836" s="55" t="inlineStr">
        <is>
          <t>CORPO, SENTIDOS E COMUNICAÇÃO</t>
        </is>
      </c>
      <c r="V836" s="16" t="n"/>
      <c r="W836" s="16" t="n"/>
      <c r="X836" s="16" t="n"/>
      <c r="Y836" s="17" t="n"/>
      <c r="Z836" s="120" t="n"/>
      <c r="AB836" s="23" t="n"/>
      <c r="AC836" s="24" t="n"/>
      <c r="AD836" s="24" t="n"/>
      <c r="AE836" s="24" t="n"/>
      <c r="AF836" s="25" t="n"/>
      <c r="AG836" s="120" t="n"/>
      <c r="AH836" s="130" t="n"/>
      <c r="AI836" s="16" t="n"/>
      <c r="AJ836" s="17" t="n"/>
      <c r="AK836" s="124">
        <f>DADOS_INVOC!$HP$12</f>
        <v/>
      </c>
      <c r="AL836" s="17" t="n"/>
      <c r="AM836" s="120" t="n"/>
      <c r="AN836" s="55" t="inlineStr">
        <is>
          <t>CORPO, SENTIDOS E COMUNICAÇÃO</t>
        </is>
      </c>
      <c r="AO836" s="16" t="n"/>
      <c r="AP836" s="16" t="n"/>
      <c r="AQ836" s="16" t="n"/>
      <c r="AR836" s="17" t="n"/>
      <c r="AS836" s="120" t="n"/>
    </row>
    <row r="837" hidden="1" outlineLevel="1">
      <c r="A837" s="8" t="n"/>
      <c r="B837" s="14" t="n"/>
      <c r="C837" s="120" t="n"/>
      <c r="D837" s="120" t="n"/>
      <c r="E837" s="120" t="n"/>
      <c r="F837" s="120" t="n"/>
      <c r="G837" s="120" t="n"/>
      <c r="I837" s="120" t="n"/>
      <c r="J837" s="120" t="n"/>
      <c r="K837" s="120" t="n"/>
      <c r="L837" s="120" t="n"/>
      <c r="M837" s="120" t="n"/>
      <c r="N837" s="120" t="n"/>
      <c r="O837" s="120" t="n"/>
      <c r="P837" s="120" t="n"/>
      <c r="Q837" s="120" t="n"/>
      <c r="R837" s="120" t="n"/>
      <c r="S837" s="120" t="n"/>
      <c r="T837" s="120" t="n"/>
      <c r="U837" s="116" t="n"/>
      <c r="V837" s="19" t="n"/>
      <c r="W837" s="19" t="n"/>
      <c r="X837" s="19" t="n"/>
      <c r="Y837" s="20" t="n"/>
      <c r="Z837" s="120" t="n"/>
      <c r="AB837" s="120" t="n"/>
      <c r="AC837" s="120" t="n"/>
      <c r="AD837" s="120" t="n"/>
      <c r="AE837" s="120" t="n"/>
      <c r="AF837" s="120" t="n"/>
      <c r="AG837" s="120" t="n"/>
      <c r="AH837" s="120" t="n"/>
      <c r="AI837" s="120" t="n"/>
      <c r="AJ837" s="120" t="n"/>
      <c r="AK837" s="120" t="n"/>
      <c r="AL837" s="120" t="n"/>
      <c r="AM837" s="120" t="n"/>
      <c r="AN837" s="116" t="n"/>
      <c r="AO837" s="19" t="n"/>
      <c r="AP837" s="19" t="n"/>
      <c r="AQ837" s="19" t="n"/>
      <c r="AR837" s="20" t="n"/>
      <c r="AS837" s="120" t="n"/>
    </row>
    <row r="838" hidden="1" outlineLevel="1">
      <c r="A838" s="8" t="n"/>
      <c r="B838" s="14" t="n"/>
      <c r="C838" s="120" t="n"/>
      <c r="D838" s="120" t="n"/>
      <c r="E838" s="120" t="n"/>
      <c r="F838" s="120" t="n"/>
      <c r="G838" s="120" t="n"/>
      <c r="I838" s="55" t="inlineStr">
        <is>
          <t>AQUISIÇÃO</t>
        </is>
      </c>
      <c r="J838" s="17" t="n"/>
      <c r="K838" s="55" t="inlineStr">
        <is>
          <t>OBTIDA NO NÍVEL</t>
        </is>
      </c>
      <c r="L838" s="55" t="inlineStr">
        <is>
          <t>TALISMÃ</t>
        </is>
      </c>
      <c r="M838" s="17" t="n"/>
      <c r="N838" s="120" t="n"/>
      <c r="O838" s="55">
        <f>DADOS_INVOC!$HS$6</f>
        <v/>
      </c>
      <c r="P838" s="16" t="n"/>
      <c r="Q838" s="16" t="n"/>
      <c r="R838" s="16" t="n"/>
      <c r="S838" s="17" t="n"/>
      <c r="T838" s="120" t="n"/>
      <c r="U838" s="21" t="n"/>
      <c r="Y838" s="22" t="n"/>
      <c r="Z838" s="120" t="n"/>
      <c r="AB838" s="55" t="inlineStr">
        <is>
          <t>AQUISIÇÃO</t>
        </is>
      </c>
      <c r="AC838" s="17" t="n"/>
      <c r="AD838" s="55" t="inlineStr">
        <is>
          <t>OBTIDA NO NÍVEL</t>
        </is>
      </c>
      <c r="AE838" s="55" t="inlineStr">
        <is>
          <t>TALISMÃ</t>
        </is>
      </c>
      <c r="AF838" s="17" t="n"/>
      <c r="AG838" s="120" t="n"/>
      <c r="AH838" s="55">
        <f>DADOS_INVOC!$HS$12</f>
        <v/>
      </c>
      <c r="AI838" s="16" t="n"/>
      <c r="AJ838" s="16" t="n"/>
      <c r="AK838" s="16" t="n"/>
      <c r="AL838" s="17" t="n"/>
      <c r="AM838" s="120" t="n"/>
      <c r="AN838" s="21" t="n"/>
      <c r="AR838" s="22" t="n"/>
      <c r="AS838" s="120" t="n"/>
    </row>
    <row r="839" hidden="1" outlineLevel="1">
      <c r="A839" s="8" t="n"/>
      <c r="B839" s="14" t="n"/>
      <c r="C839" s="120" t="n"/>
      <c r="D839" s="120" t="n"/>
      <c r="E839" s="120" t="n"/>
      <c r="F839" s="120" t="n"/>
      <c r="G839" s="120" t="n"/>
      <c r="I839" s="124" t="inlineStr">
        <is>
          <t>Espaço conhecido</t>
        </is>
      </c>
      <c r="J839" s="20" t="n"/>
      <c r="K839" s="124" t="n"/>
      <c r="L839" s="124" t="inlineStr">
        <is>
          <t>Sem carga</t>
        </is>
      </c>
      <c r="M839" s="20" t="n"/>
      <c r="N839" s="120" t="n"/>
      <c r="O839" s="55" t="inlineStr">
        <is>
          <t>LIVRE</t>
        </is>
      </c>
      <c r="P839" s="55" t="inlineStr">
        <is>
          <t>LIVRE · TRILHA</t>
        </is>
      </c>
      <c r="Q839" s="55" t="inlineStr">
        <is>
          <t>ABERTA</t>
        </is>
      </c>
      <c r="R839" s="55" t="inlineStr">
        <is>
          <t>ABERTA</t>
        </is>
      </c>
      <c r="S839" s="55" t="inlineStr">
        <is>
          <t>ABERTA · TRILHA</t>
        </is>
      </c>
      <c r="T839" s="120" t="n"/>
      <c r="U839" s="21" t="n"/>
      <c r="Y839" s="22" t="n"/>
      <c r="Z839" s="120" t="n"/>
      <c r="AB839" s="124" t="inlineStr">
        <is>
          <t>Espaço conhecido</t>
        </is>
      </c>
      <c r="AC839" s="20" t="n"/>
      <c r="AD839" s="124" t="n"/>
      <c r="AE839" s="124" t="inlineStr">
        <is>
          <t>Sem carga</t>
        </is>
      </c>
      <c r="AF839" s="20" t="n"/>
      <c r="AG839" s="120" t="n"/>
      <c r="AH839" s="55" t="inlineStr">
        <is>
          <t>LIVRE</t>
        </is>
      </c>
      <c r="AI839" s="55" t="inlineStr">
        <is>
          <t>LIVRE · TRILHA</t>
        </is>
      </c>
      <c r="AJ839" s="55" t="inlineStr">
        <is>
          <t>ABERTA</t>
        </is>
      </c>
      <c r="AK839" s="55" t="inlineStr">
        <is>
          <t>ABERTA</t>
        </is>
      </c>
      <c r="AL839" s="55" t="inlineStr">
        <is>
          <t>ABERTA · TRILHA</t>
        </is>
      </c>
      <c r="AM839" s="120" t="n"/>
      <c r="AN839" s="21" t="n"/>
      <c r="AR839" s="22" t="n"/>
      <c r="AS839" s="120" t="n"/>
    </row>
    <row r="840" hidden="1" outlineLevel="1">
      <c r="A840" s="8" t="n"/>
      <c r="B840" s="14" t="n"/>
      <c r="C840" s="120" t="n"/>
      <c r="D840" s="120" t="n"/>
      <c r="E840" s="120" t="n"/>
      <c r="F840" s="120" t="n"/>
      <c r="G840" s="120" t="n"/>
      <c r="I840" s="23" t="n"/>
      <c r="J840" s="25" t="n"/>
      <c r="K840" s="125" t="n"/>
      <c r="L840" s="23" t="n"/>
      <c r="M840" s="25" t="n"/>
      <c r="N840" s="120" t="n"/>
      <c r="O840" s="124" t="n"/>
      <c r="P840" s="124" t="n"/>
      <c r="Q840" s="124" t="n"/>
      <c r="R840" s="124" t="n"/>
      <c r="S840" s="124" t="n"/>
      <c r="T840" s="120" t="n"/>
      <c r="U840" s="21" t="n"/>
      <c r="Y840" s="22" t="n"/>
      <c r="Z840" s="120" t="n"/>
      <c r="AB840" s="23" t="n"/>
      <c r="AC840" s="25" t="n"/>
      <c r="AD840" s="125" t="n"/>
      <c r="AE840" s="23" t="n"/>
      <c r="AF840" s="25" t="n"/>
      <c r="AG840" s="120" t="n"/>
      <c r="AH840" s="124" t="n"/>
      <c r="AI840" s="124" t="n"/>
      <c r="AJ840" s="124" t="n"/>
      <c r="AK840" s="124" t="n"/>
      <c r="AL840" s="124" t="n"/>
      <c r="AM840" s="120" t="n"/>
      <c r="AN840" s="21" t="n"/>
      <c r="AR840" s="22" t="n"/>
      <c r="AS840" s="120" t="n"/>
    </row>
    <row r="841" hidden="1" outlineLevel="1">
      <c r="A841" s="8" t="n"/>
      <c r="B841" s="14" t="n"/>
      <c r="C841" s="120" t="n"/>
      <c r="D841" s="120" t="n"/>
      <c r="E841" s="120" t="n"/>
      <c r="F841" s="120" t="n"/>
      <c r="G841" s="120" t="n"/>
      <c r="I841" s="120" t="n"/>
      <c r="J841" s="120" t="n"/>
      <c r="K841" s="120" t="n"/>
      <c r="L841" s="120" t="n"/>
      <c r="M841" s="120" t="n"/>
      <c r="N841" s="120" t="n"/>
      <c r="O841" s="125" t="n"/>
      <c r="P841" s="125" t="n"/>
      <c r="Q841" s="125" t="n"/>
      <c r="R841" s="125" t="n"/>
      <c r="S841" s="125" t="n"/>
      <c r="T841" s="120" t="n"/>
      <c r="U841" s="23" t="n"/>
      <c r="V841" s="24" t="n"/>
      <c r="W841" s="24" t="n"/>
      <c r="X841" s="24" t="n"/>
      <c r="Y841" s="25" t="n"/>
      <c r="Z841" s="120" t="n"/>
      <c r="AB841" s="120" t="n"/>
      <c r="AC841" s="120" t="n"/>
      <c r="AD841" s="120" t="n"/>
      <c r="AE841" s="120" t="n"/>
      <c r="AF841" s="120" t="n"/>
      <c r="AG841" s="120" t="n"/>
      <c r="AH841" s="125" t="n"/>
      <c r="AI841" s="125" t="n"/>
      <c r="AJ841" s="125" t="n"/>
      <c r="AK841" s="125" t="n"/>
      <c r="AL841" s="125" t="n"/>
      <c r="AM841" s="120" t="n"/>
      <c r="AN841" s="23" t="n"/>
      <c r="AO841" s="24" t="n"/>
      <c r="AP841" s="24" t="n"/>
      <c r="AQ841" s="24" t="n"/>
      <c r="AR841" s="25" t="n"/>
      <c r="AS841" s="120" t="n"/>
    </row>
    <row r="842" hidden="1" outlineLevel="1">
      <c r="A842" s="8" t="n"/>
      <c r="B842" s="14" t="n"/>
      <c r="C842" s="120" t="n"/>
      <c r="D842" s="120" t="n"/>
      <c r="E842" s="120" t="n"/>
      <c r="F842" s="120" t="n"/>
      <c r="G842" s="120" t="n"/>
      <c r="I842" s="120" t="n"/>
      <c r="J842" s="120" t="n"/>
      <c r="K842" s="120" t="n"/>
      <c r="L842" s="120" t="n"/>
      <c r="M842" s="120" t="n"/>
      <c r="N842" s="120" t="n"/>
      <c r="O842" s="120" t="n"/>
      <c r="P842" s="120" t="n"/>
      <c r="Q842" s="120" t="n"/>
      <c r="R842" s="120" t="n"/>
      <c r="S842" s="120" t="n"/>
      <c r="T842" s="120" t="n"/>
      <c r="U842" s="120" t="n"/>
      <c r="V842" s="120" t="n"/>
      <c r="W842" s="120" t="n"/>
      <c r="X842" s="120" t="n"/>
      <c r="Y842" s="120" t="n"/>
      <c r="Z842" s="120" t="n"/>
      <c r="AB842" s="120" t="n"/>
      <c r="AC842" s="120" t="n"/>
      <c r="AD842" s="120" t="n"/>
      <c r="AE842" s="120" t="n"/>
      <c r="AF842" s="120" t="n"/>
      <c r="AG842" s="120" t="n"/>
      <c r="AH842" s="120" t="n"/>
      <c r="AI842" s="120" t="n"/>
      <c r="AJ842" s="120" t="n"/>
      <c r="AK842" s="120" t="n"/>
      <c r="AL842" s="120" t="n"/>
      <c r="AM842" s="120" t="n"/>
      <c r="AN842" s="120" t="n"/>
      <c r="AO842" s="120" t="n"/>
      <c r="AP842" s="120" t="n"/>
      <c r="AQ842" s="120" t="n"/>
      <c r="AR842" s="120" t="n"/>
      <c r="AS842" s="120" t="n"/>
    </row>
    <row r="843" hidden="1" outlineLevel="1">
      <c r="A843" s="8" t="n"/>
      <c r="B843" s="14" t="n"/>
      <c r="C843" s="120" t="n"/>
      <c r="D843" s="120" t="n"/>
      <c r="E843" s="120" t="n"/>
      <c r="F843" s="120" t="n"/>
      <c r="G843" s="120"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0"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0" t="n"/>
    </row>
    <row r="844" hidden="1" outlineLevel="1">
      <c r="A844" s="8" t="n"/>
      <c r="B844" s="14" t="n"/>
      <c r="C844" s="120" t="n"/>
      <c r="D844" s="120" t="n"/>
      <c r="E844" s="120" t="n"/>
      <c r="F844" s="120" t="n"/>
      <c r="G844" s="120" t="n"/>
      <c r="I844" s="116" t="n"/>
      <c r="J844" s="19" t="n"/>
      <c r="K844" s="19" t="n"/>
      <c r="L844" s="19" t="n"/>
      <c r="M844" s="19" t="n"/>
      <c r="N844" s="19" t="n"/>
      <c r="O844" s="19" t="n"/>
      <c r="P844" s="19" t="n"/>
      <c r="Q844" s="19" t="n"/>
      <c r="R844" s="19" t="n"/>
      <c r="S844" s="19" t="n"/>
      <c r="T844" s="19" t="n"/>
      <c r="U844" s="19" t="n"/>
      <c r="V844" s="19" t="n"/>
      <c r="W844" s="19" t="n"/>
      <c r="X844" s="19" t="n"/>
      <c r="Y844" s="20" t="n"/>
      <c r="Z844" s="120" t="n"/>
      <c r="AB844" s="116" t="n"/>
      <c r="AC844" s="19" t="n"/>
      <c r="AD844" s="19" t="n"/>
      <c r="AE844" s="19" t="n"/>
      <c r="AF844" s="19" t="n"/>
      <c r="AG844" s="19" t="n"/>
      <c r="AH844" s="19" t="n"/>
      <c r="AI844" s="19" t="n"/>
      <c r="AJ844" s="19" t="n"/>
      <c r="AK844" s="19" t="n"/>
      <c r="AL844" s="19" t="n"/>
      <c r="AM844" s="19" t="n"/>
      <c r="AN844" s="19" t="n"/>
      <c r="AO844" s="19" t="n"/>
      <c r="AP844" s="19" t="n"/>
      <c r="AQ844" s="19" t="n"/>
      <c r="AR844" s="20" t="n"/>
      <c r="AS844" s="120" t="n"/>
    </row>
    <row r="845" hidden="1" outlineLevel="1">
      <c r="A845" s="8" t="n"/>
      <c r="B845" s="14" t="n"/>
      <c r="C845" s="120" t="n"/>
      <c r="D845" s="120" t="n"/>
      <c r="E845" s="120" t="n"/>
      <c r="F845" s="120" t="n"/>
      <c r="G845" s="120" t="n"/>
      <c r="I845" s="23" t="n"/>
      <c r="J845" s="24" t="n"/>
      <c r="K845" s="24" t="n"/>
      <c r="L845" s="24" t="n"/>
      <c r="M845" s="24" t="n"/>
      <c r="N845" s="24" t="n"/>
      <c r="O845" s="24" t="n"/>
      <c r="P845" s="24" t="n"/>
      <c r="Q845" s="24" t="n"/>
      <c r="R845" s="24" t="n"/>
      <c r="S845" s="24" t="n"/>
      <c r="T845" s="24" t="n"/>
      <c r="U845" s="24" t="n"/>
      <c r="V845" s="24" t="n"/>
      <c r="W845" s="24" t="n"/>
      <c r="X845" s="24" t="n"/>
      <c r="Y845" s="25" t="n"/>
      <c r="Z845" s="120"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0" t="n"/>
    </row>
    <row r="846" hidden="1" outlineLevel="1">
      <c r="A846" s="8" t="n"/>
      <c r="B846" s="14" t="n"/>
      <c r="C846" s="120" t="n"/>
      <c r="D846" s="120" t="n"/>
      <c r="E846" s="120" t="n"/>
      <c r="F846" s="120" t="n"/>
      <c r="G846" s="120" t="n"/>
      <c r="I846" s="120" t="n"/>
      <c r="J846" s="120" t="n"/>
      <c r="K846" s="120" t="n"/>
      <c r="L846" s="120" t="n"/>
      <c r="M846" s="120" t="n"/>
      <c r="N846" s="120" t="n"/>
      <c r="O846" s="120" t="n"/>
      <c r="P846" s="120" t="n"/>
      <c r="Q846" s="120" t="n"/>
      <c r="R846" s="120" t="n"/>
      <c r="S846" s="120" t="n"/>
      <c r="T846" s="120" t="n"/>
      <c r="U846" s="120" t="n"/>
      <c r="V846" s="120" t="n"/>
      <c r="W846" s="120" t="n"/>
      <c r="X846" s="120" t="n"/>
      <c r="Y846" s="120" t="n"/>
      <c r="Z846" s="120" t="n"/>
      <c r="AB846" s="120" t="n"/>
      <c r="AC846" s="120" t="n"/>
      <c r="AD846" s="120" t="n"/>
      <c r="AE846" s="120" t="n"/>
      <c r="AF846" s="120" t="n"/>
      <c r="AG846" s="120" t="n"/>
      <c r="AH846" s="120" t="n"/>
      <c r="AI846" s="120" t="n"/>
      <c r="AJ846" s="120" t="n"/>
      <c r="AK846" s="120" t="n"/>
      <c r="AL846" s="120" t="n"/>
      <c r="AM846" s="120" t="n"/>
      <c r="AN846" s="120" t="n"/>
      <c r="AO846" s="120" t="n"/>
      <c r="AP846" s="120" t="n"/>
      <c r="AQ846" s="120" t="n"/>
      <c r="AR846" s="120" t="n"/>
      <c r="AS846" s="120" t="n"/>
    </row>
    <row r="847" hidden="1" outlineLevel="1">
      <c r="A847" s="8" t="n"/>
      <c r="B847" s="14" t="n"/>
      <c r="C847" s="120" t="n"/>
      <c r="D847" s="120" t="n"/>
      <c r="E847" s="120" t="n"/>
      <c r="F847" s="120" t="n"/>
      <c r="G847" s="120" t="n"/>
      <c r="I847" s="133">
        <f>DADOS_INVOC!$HT$6</f>
        <v/>
      </c>
      <c r="J847" s="16" t="n"/>
      <c r="K847" s="16" t="n"/>
      <c r="L847" s="16" t="n"/>
      <c r="M847" s="16" t="n"/>
      <c r="N847" s="16" t="n"/>
      <c r="O847" s="16" t="n"/>
      <c r="P847" s="16" t="n"/>
      <c r="Q847" s="16" t="n"/>
      <c r="R847" s="16" t="n"/>
      <c r="S847" s="16" t="n"/>
      <c r="T847" s="16" t="n"/>
      <c r="U847" s="16" t="n"/>
      <c r="V847" s="16" t="n"/>
      <c r="W847" s="16" t="n"/>
      <c r="X847" s="16" t="n"/>
      <c r="Y847" s="17" t="n"/>
      <c r="Z847" s="120" t="n"/>
      <c r="AB847" s="133">
        <f>DADOS_INVOC!$HT$12</f>
        <v/>
      </c>
      <c r="AC847" s="16" t="n"/>
      <c r="AD847" s="16" t="n"/>
      <c r="AE847" s="16" t="n"/>
      <c r="AF847" s="16" t="n"/>
      <c r="AG847" s="16" t="n"/>
      <c r="AH847" s="16" t="n"/>
      <c r="AI847" s="16" t="n"/>
      <c r="AJ847" s="16" t="n"/>
      <c r="AK847" s="16" t="n"/>
      <c r="AL847" s="16" t="n"/>
      <c r="AM847" s="16" t="n"/>
      <c r="AN847" s="16" t="n"/>
      <c r="AO847" s="16" t="n"/>
      <c r="AP847" s="16" t="n"/>
      <c r="AQ847" s="16" t="n"/>
      <c r="AR847" s="17" t="n"/>
      <c r="AS847" s="120" t="n"/>
    </row>
    <row r="848" hidden="1" outlineLevel="1">
      <c r="A848" s="8" t="n"/>
      <c r="B848" s="14" t="n"/>
      <c r="C848" s="120" t="n"/>
      <c r="D848" s="120" t="n"/>
      <c r="E848" s="120" t="n"/>
      <c r="F848" s="120" t="n"/>
      <c r="G848" s="120" t="n"/>
      <c r="I848" s="120" t="n"/>
      <c r="J848" s="120" t="n"/>
      <c r="K848" s="120" t="n"/>
      <c r="L848" s="120" t="n"/>
      <c r="M848" s="120" t="n"/>
      <c r="N848" s="120" t="n"/>
      <c r="O848" s="120" t="n"/>
      <c r="P848" s="120" t="n"/>
      <c r="Q848" s="120" t="n"/>
      <c r="R848" s="120" t="n"/>
      <c r="S848" s="120" t="n"/>
      <c r="T848" s="120" t="n"/>
      <c r="U848" s="120" t="n"/>
      <c r="V848" s="120" t="n"/>
      <c r="W848" s="120" t="n"/>
      <c r="X848" s="120" t="n"/>
      <c r="Y848" s="120" t="n"/>
      <c r="Z848" s="120" t="n"/>
      <c r="AB848" s="120" t="n"/>
      <c r="AC848" s="120" t="n"/>
      <c r="AD848" s="120" t="n"/>
      <c r="AE848" s="120" t="n"/>
      <c r="AF848" s="120" t="n"/>
      <c r="AG848" s="120" t="n"/>
      <c r="AH848" s="120" t="n"/>
      <c r="AI848" s="120" t="n"/>
      <c r="AJ848" s="120" t="n"/>
      <c r="AK848" s="120" t="n"/>
      <c r="AL848" s="120" t="n"/>
      <c r="AM848" s="120" t="n"/>
      <c r="AN848" s="120" t="n"/>
      <c r="AO848" s="120" t="n"/>
      <c r="AP848" s="120" t="n"/>
      <c r="AQ848" s="120" t="n"/>
      <c r="AR848" s="120" t="n"/>
      <c r="AS848" s="120" t="n"/>
    </row>
    <row r="849" hidden="1" outlineLevel="1">
      <c r="A849" s="8" t="n"/>
      <c r="B849" s="14" t="n"/>
      <c r="C849" s="120" t="n"/>
      <c r="D849" s="120" t="n"/>
      <c r="E849" s="120" t="n"/>
      <c r="F849" s="120" t="n"/>
      <c r="G849" s="120" t="n"/>
      <c r="I849" s="55">
        <f>DADOS_INVOC!$PM$54</f>
        <v/>
      </c>
      <c r="J849" s="16" t="n"/>
      <c r="K849" s="16" t="n"/>
      <c r="L849" s="16" t="n"/>
      <c r="M849" s="17" t="n"/>
      <c r="N849" s="120" t="n"/>
      <c r="O849" s="55">
        <f>DADOS_INVOC!$PM$55</f>
        <v/>
      </c>
      <c r="P849" s="16" t="n"/>
      <c r="Q849" s="16" t="n"/>
      <c r="R849" s="16" t="n"/>
      <c r="S849" s="17" t="n"/>
      <c r="T849" s="120" t="n"/>
      <c r="U849" s="55">
        <f>DADOS_INVOC!$PM$56</f>
        <v/>
      </c>
      <c r="V849" s="16" t="n"/>
      <c r="W849" s="16" t="n"/>
      <c r="X849" s="16" t="n"/>
      <c r="Y849" s="17" t="n"/>
      <c r="Z849" s="120" t="n"/>
      <c r="AB849" s="55">
        <f>DADOS_INVOC!$PM$132</f>
        <v/>
      </c>
      <c r="AC849" s="16" t="n"/>
      <c r="AD849" s="16" t="n"/>
      <c r="AE849" s="16" t="n"/>
      <c r="AF849" s="17" t="n"/>
      <c r="AG849" s="120" t="n"/>
      <c r="AH849" s="55">
        <f>DADOS_INVOC!$PM$133</f>
        <v/>
      </c>
      <c r="AI849" s="16" t="n"/>
      <c r="AJ849" s="16" t="n"/>
      <c r="AK849" s="16" t="n"/>
      <c r="AL849" s="17" t="n"/>
      <c r="AM849" s="120" t="n"/>
      <c r="AN849" s="55">
        <f>DADOS_INVOC!$PM$134</f>
        <v/>
      </c>
      <c r="AO849" s="16" t="n"/>
      <c r="AP849" s="16" t="n"/>
      <c r="AQ849" s="16" t="n"/>
      <c r="AR849" s="17" t="n"/>
      <c r="AS849" s="120" t="n"/>
    </row>
    <row r="850" hidden="1" outlineLevel="1">
      <c r="A850" s="8" t="n"/>
      <c r="B850" s="14" t="n"/>
      <c r="C850" s="120" t="n"/>
      <c r="D850" s="120" t="n"/>
      <c r="E850" s="120" t="n"/>
      <c r="F850" s="120" t="n"/>
      <c r="G850" s="120" t="n"/>
      <c r="I850" s="127" t="n">
        <v>0</v>
      </c>
      <c r="J850" s="115" t="n"/>
      <c r="K850" s="16" t="n"/>
      <c r="L850" s="17" t="n"/>
      <c r="M850" s="128">
        <f>DADOS_INVOC!$PK$54</f>
        <v/>
      </c>
      <c r="N850" s="120" t="n"/>
      <c r="O850" s="127" t="n">
        <v>1</v>
      </c>
      <c r="P850" s="115" t="n"/>
      <c r="Q850" s="16" t="n"/>
      <c r="R850" s="17" t="n"/>
      <c r="S850" s="128">
        <f>DADOS_INVOC!$PK$55</f>
        <v/>
      </c>
      <c r="T850" s="120" t="n"/>
      <c r="U850" s="127" t="n">
        <v>1</v>
      </c>
      <c r="V850" s="115" t="n"/>
      <c r="W850" s="16" t="n"/>
      <c r="X850" s="17" t="n"/>
      <c r="Y850" s="128">
        <f>DADOS_INVOC!$PK$56</f>
        <v/>
      </c>
      <c r="Z850" s="120" t="n"/>
      <c r="AB850" s="127" t="n">
        <v>0</v>
      </c>
      <c r="AC850" s="115" t="n"/>
      <c r="AD850" s="16" t="n"/>
      <c r="AE850" s="17" t="n"/>
      <c r="AF850" s="128">
        <f>DADOS_INVOC!$PK$132</f>
        <v/>
      </c>
      <c r="AG850" s="120" t="n"/>
      <c r="AH850" s="127" t="n">
        <v>1</v>
      </c>
      <c r="AI850" s="115" t="n"/>
      <c r="AJ850" s="16" t="n"/>
      <c r="AK850" s="17" t="n"/>
      <c r="AL850" s="128">
        <f>DADOS_INVOC!$PK$133</f>
        <v/>
      </c>
      <c r="AM850" s="120" t="n"/>
      <c r="AN850" s="127" t="n">
        <v>1</v>
      </c>
      <c r="AO850" s="115" t="n"/>
      <c r="AP850" s="16" t="n"/>
      <c r="AQ850" s="17" t="n"/>
      <c r="AR850" s="128">
        <f>DADOS_INVOC!$PK$134</f>
        <v/>
      </c>
      <c r="AS850" s="120" t="n"/>
    </row>
    <row r="851" hidden="1" outlineLevel="2">
      <c r="A851" s="8" t="n"/>
      <c r="B851" s="14" t="n"/>
      <c r="C851" s="120" t="n"/>
      <c r="D851" s="120" t="n"/>
      <c r="E851" s="120" t="n"/>
      <c r="F851" s="120" t="n"/>
      <c r="G851" s="120" t="n"/>
      <c r="I851" s="55" t="inlineStr">
        <is>
          <t>COMO É</t>
        </is>
      </c>
      <c r="J851" s="16" t="n"/>
      <c r="K851" s="16" t="n"/>
      <c r="L851" s="16" t="n"/>
      <c r="M851" s="17" t="n"/>
      <c r="N851" s="120" t="n"/>
      <c r="O851" s="55" t="inlineStr">
        <is>
          <t>COMO É</t>
        </is>
      </c>
      <c r="P851" s="16" t="n"/>
      <c r="Q851" s="16" t="n"/>
      <c r="R851" s="16" t="n"/>
      <c r="S851" s="17" t="n"/>
      <c r="T851" s="120" t="n"/>
      <c r="U851" s="55" t="inlineStr">
        <is>
          <t>COMO É</t>
        </is>
      </c>
      <c r="V851" s="16" t="n"/>
      <c r="W851" s="16" t="n"/>
      <c r="X851" s="16" t="n"/>
      <c r="Y851" s="17" t="n"/>
      <c r="Z851" s="120" t="n"/>
      <c r="AB851" s="55" t="inlineStr">
        <is>
          <t>COMO É</t>
        </is>
      </c>
      <c r="AC851" s="16" t="n"/>
      <c r="AD851" s="16" t="n"/>
      <c r="AE851" s="16" t="n"/>
      <c r="AF851" s="17" t="n"/>
      <c r="AG851" s="120" t="n"/>
      <c r="AH851" s="55" t="inlineStr">
        <is>
          <t>COMO É</t>
        </is>
      </c>
      <c r="AI851" s="16" t="n"/>
      <c r="AJ851" s="16" t="n"/>
      <c r="AK851" s="16" t="n"/>
      <c r="AL851" s="17" t="n"/>
      <c r="AM851" s="120" t="n"/>
      <c r="AN851" s="55" t="inlineStr">
        <is>
          <t>COMO É</t>
        </is>
      </c>
      <c r="AO851" s="16" t="n"/>
      <c r="AP851" s="16" t="n"/>
      <c r="AQ851" s="16" t="n"/>
      <c r="AR851" s="17" t="n"/>
      <c r="AS851" s="120" t="n"/>
    </row>
    <row r="852" hidden="1" outlineLevel="2">
      <c r="A852" s="8" t="n"/>
      <c r="B852" s="14" t="n"/>
      <c r="C852" s="120" t="n"/>
      <c r="D852" s="120" t="n"/>
      <c r="E852" s="120" t="n"/>
      <c r="F852" s="120" t="n"/>
      <c r="G852" s="120" t="n"/>
      <c r="I852" s="116" t="n"/>
      <c r="J852" s="19" t="n"/>
      <c r="K852" s="19" t="n"/>
      <c r="L852" s="19" t="n"/>
      <c r="M852" s="20" t="n"/>
      <c r="N852" s="120" t="n"/>
      <c r="O852" s="116" t="n"/>
      <c r="P852" s="19" t="n"/>
      <c r="Q852" s="19" t="n"/>
      <c r="R852" s="19" t="n"/>
      <c r="S852" s="20" t="n"/>
      <c r="T852" s="120" t="n"/>
      <c r="U852" s="116" t="n"/>
      <c r="V852" s="19" t="n"/>
      <c r="W852" s="19" t="n"/>
      <c r="X852" s="19" t="n"/>
      <c r="Y852" s="20" t="n"/>
      <c r="Z852" s="120" t="n"/>
      <c r="AB852" s="116" t="n"/>
      <c r="AC852" s="19" t="n"/>
      <c r="AD852" s="19" t="n"/>
      <c r="AE852" s="19" t="n"/>
      <c r="AF852" s="20" t="n"/>
      <c r="AG852" s="120" t="n"/>
      <c r="AH852" s="116" t="n"/>
      <c r="AI852" s="19" t="n"/>
      <c r="AJ852" s="19" t="n"/>
      <c r="AK852" s="19" t="n"/>
      <c r="AL852" s="20" t="n"/>
      <c r="AM852" s="120" t="n"/>
      <c r="AN852" s="116" t="n"/>
      <c r="AO852" s="19" t="n"/>
      <c r="AP852" s="19" t="n"/>
      <c r="AQ852" s="19" t="n"/>
      <c r="AR852" s="20" t="n"/>
      <c r="AS852" s="120" t="n"/>
    </row>
    <row r="853" hidden="1" outlineLevel="2">
      <c r="A853" s="8" t="n"/>
      <c r="B853" s="14" t="n"/>
      <c r="C853" s="120" t="n"/>
      <c r="D853" s="120" t="n"/>
      <c r="E853" s="120" t="n"/>
      <c r="F853" s="120" t="n"/>
      <c r="G853" s="120" t="n"/>
      <c r="I853" s="21" t="n"/>
      <c r="M853" s="22" t="n"/>
      <c r="N853" s="120" t="n"/>
      <c r="O853" s="21" t="n"/>
      <c r="S853" s="22" t="n"/>
      <c r="T853" s="120" t="n"/>
      <c r="U853" s="21" t="n"/>
      <c r="Y853" s="22" t="n"/>
      <c r="Z853" s="120" t="n"/>
      <c r="AB853" s="21" t="n"/>
      <c r="AF853" s="22" t="n"/>
      <c r="AG853" s="120" t="n"/>
      <c r="AH853" s="21" t="n"/>
      <c r="AL853" s="22" t="n"/>
      <c r="AM853" s="120" t="n"/>
      <c r="AN853" s="21" t="n"/>
      <c r="AR853" s="22"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4" t="inlineStr">
        <is>
          <t>Projétil</t>
        </is>
      </c>
      <c r="J855" s="17" t="n"/>
      <c r="K855" s="68">
        <f>DADOS_INVOC!$PR$54</f>
        <v/>
      </c>
      <c r="L855" s="17" t="n"/>
      <c r="M855" s="68">
        <f>DADOS_INVOC!$PN$54</f>
        <v/>
      </c>
      <c r="N855" s="120" t="n"/>
      <c r="O855" s="124" t="inlineStr">
        <is>
          <t>Projétil</t>
        </is>
      </c>
      <c r="P855" s="17" t="n"/>
      <c r="Q855" s="68">
        <f>DADOS_INVOC!$PR$55</f>
        <v/>
      </c>
      <c r="R855" s="17" t="n"/>
      <c r="S855" s="68">
        <f>DADOS_INVOC!$PN$55</f>
        <v/>
      </c>
      <c r="T855" s="120" t="n"/>
      <c r="U855" s="124" t="inlineStr">
        <is>
          <t>Projétil</t>
        </is>
      </c>
      <c r="V855" s="17" t="n"/>
      <c r="W855" s="68">
        <f>DADOS_INVOC!$PR$56</f>
        <v/>
      </c>
      <c r="X855" s="17" t="n"/>
      <c r="Y855" s="68">
        <f>DADOS_INVOC!$PN$56</f>
        <v/>
      </c>
      <c r="Z855" s="120" t="n"/>
      <c r="AB855" s="124" t="inlineStr">
        <is>
          <t>Projétil</t>
        </is>
      </c>
      <c r="AC855" s="17" t="n"/>
      <c r="AD855" s="68">
        <f>DADOS_INVOC!$PR$132</f>
        <v/>
      </c>
      <c r="AE855" s="17" t="n"/>
      <c r="AF855" s="68">
        <f>DADOS_INVOC!$PN$132</f>
        <v/>
      </c>
      <c r="AG855" s="120" t="n"/>
      <c r="AH855" s="124" t="inlineStr">
        <is>
          <t>Projétil</t>
        </is>
      </c>
      <c r="AI855" s="17" t="n"/>
      <c r="AJ855" s="68">
        <f>DADOS_INVOC!$PR$133</f>
        <v/>
      </c>
      <c r="AK855" s="17" t="n"/>
      <c r="AL855" s="68">
        <f>DADOS_INVOC!$PN$133</f>
        <v/>
      </c>
      <c r="AM855" s="120" t="n"/>
      <c r="AN855" s="124" t="inlineStr">
        <is>
          <t>Projétil</t>
        </is>
      </c>
      <c r="AO855" s="17" t="n"/>
      <c r="AP855" s="68">
        <f>DADOS_INVOC!$PR$134</f>
        <v/>
      </c>
      <c r="AQ855" s="17" t="n"/>
      <c r="AR855" s="68">
        <f>DADOS_INVOC!$PN$134</f>
        <v/>
      </c>
      <c r="AS855" s="120" t="n"/>
    </row>
    <row r="856" hidden="1" outlineLevel="1">
      <c r="A856" s="8" t="n"/>
      <c r="B856" s="14" t="n"/>
      <c r="C856" s="120" t="n"/>
      <c r="D856" s="120" t="n"/>
      <c r="E856" s="120" t="n"/>
      <c r="F856" s="120" t="n"/>
      <c r="G856" s="120" t="n"/>
      <c r="I856" s="124" t="n"/>
      <c r="J856" s="17" t="n"/>
      <c r="K856" s="124" t="n"/>
      <c r="L856" s="16" t="n"/>
      <c r="M856" s="17" t="n"/>
      <c r="N856" s="120" t="n"/>
      <c r="O856" s="124" t="n"/>
      <c r="P856" s="17" t="n"/>
      <c r="Q856" s="124" t="n"/>
      <c r="R856" s="16" t="n"/>
      <c r="S856" s="17" t="n"/>
      <c r="T856" s="120" t="n"/>
      <c r="U856" s="124" t="n"/>
      <c r="V856" s="17" t="n"/>
      <c r="W856" s="124" t="n"/>
      <c r="X856" s="16" t="n"/>
      <c r="Y856" s="17" t="n"/>
      <c r="Z856" s="120" t="n"/>
      <c r="AB856" s="124" t="n"/>
      <c r="AC856" s="17" t="n"/>
      <c r="AD856" s="124" t="n"/>
      <c r="AE856" s="16" t="n"/>
      <c r="AF856" s="17" t="n"/>
      <c r="AG856" s="120" t="n"/>
      <c r="AH856" s="124" t="n"/>
      <c r="AI856" s="17" t="n"/>
      <c r="AJ856" s="124" t="n"/>
      <c r="AK856" s="16" t="n"/>
      <c r="AL856" s="17" t="n"/>
      <c r="AM856" s="120" t="n"/>
      <c r="AN856" s="124" t="n"/>
      <c r="AO856" s="17" t="n"/>
      <c r="AP856" s="124" t="n"/>
      <c r="AQ856" s="16" t="n"/>
      <c r="AR856" s="17" t="n"/>
      <c r="AS856" s="120" t="n"/>
    </row>
    <row r="857" hidden="1" outlineLevel="1">
      <c r="A857" s="8" t="n"/>
      <c r="B857" s="14" t="n"/>
      <c r="C857" s="120" t="n"/>
      <c r="D857" s="120" t="n"/>
      <c r="E857" s="120" t="n"/>
      <c r="F857" s="120" t="n"/>
      <c r="G857" s="120" t="n"/>
      <c r="I857" s="124">
        <f>DADOS_INVOC!$PO$54</f>
        <v/>
      </c>
      <c r="J857" s="17" t="n"/>
      <c r="K857" s="124">
        <f>DADOS_INVOC!$PQ$54</f>
        <v/>
      </c>
      <c r="L857" s="16" t="n"/>
      <c r="M857" s="17" t="n"/>
      <c r="N857" s="120" t="n"/>
      <c r="O857" s="124">
        <f>DADOS_INVOC!$PO$55</f>
        <v/>
      </c>
      <c r="P857" s="17" t="n"/>
      <c r="Q857" s="124">
        <f>DADOS_INVOC!$PQ$55</f>
        <v/>
      </c>
      <c r="R857" s="16" t="n"/>
      <c r="S857" s="17" t="n"/>
      <c r="T857" s="120" t="n"/>
      <c r="U857" s="124">
        <f>DADOS_INVOC!$PO$56</f>
        <v/>
      </c>
      <c r="V857" s="17" t="n"/>
      <c r="W857" s="124">
        <f>DADOS_INVOC!$PQ$56</f>
        <v/>
      </c>
      <c r="X857" s="16" t="n"/>
      <c r="Y857" s="17" t="n"/>
      <c r="Z857" s="120" t="n"/>
      <c r="AB857" s="124">
        <f>DADOS_INVOC!$PO$132</f>
        <v/>
      </c>
      <c r="AC857" s="17" t="n"/>
      <c r="AD857" s="124">
        <f>DADOS_INVOC!$PQ$132</f>
        <v/>
      </c>
      <c r="AE857" s="16" t="n"/>
      <c r="AF857" s="17" t="n"/>
      <c r="AG857" s="120" t="n"/>
      <c r="AH857" s="124">
        <f>DADOS_INVOC!$PO$133</f>
        <v/>
      </c>
      <c r="AI857" s="17" t="n"/>
      <c r="AJ857" s="124">
        <f>DADOS_INVOC!$PQ$133</f>
        <v/>
      </c>
      <c r="AK857" s="16" t="n"/>
      <c r="AL857" s="17" t="n"/>
      <c r="AM857" s="120" t="n"/>
      <c r="AN857" s="124">
        <f>DADOS_INVOC!$PO$134</f>
        <v/>
      </c>
      <c r="AO857" s="17" t="n"/>
      <c r="AP857" s="124">
        <f>DADOS_INVOC!$PQ$134</f>
        <v/>
      </c>
      <c r="AQ857" s="16" t="n"/>
      <c r="AR857" s="17" t="n"/>
      <c r="AS857" s="120" t="n"/>
    </row>
    <row r="858" hidden="1" outlineLevel="1">
      <c r="A858" s="8" t="n"/>
      <c r="B858" s="14" t="n"/>
      <c r="C858" s="120" t="n"/>
      <c r="D858" s="120" t="n"/>
      <c r="E858" s="120" t="n"/>
      <c r="F858" s="120" t="n"/>
      <c r="G858" s="120" t="n"/>
      <c r="I858" s="129">
        <f>DADOS_INVOC!$PW$54</f>
        <v/>
      </c>
      <c r="J858" s="16" t="n"/>
      <c r="K858" s="16" t="n"/>
      <c r="L858" s="16" t="n"/>
      <c r="M858" s="17" t="n"/>
      <c r="N858" s="120" t="n"/>
      <c r="O858" s="129">
        <f>DADOS_INVOC!$PW$55</f>
        <v/>
      </c>
      <c r="P858" s="16" t="n"/>
      <c r="Q858" s="16" t="n"/>
      <c r="R858" s="16" t="n"/>
      <c r="S858" s="17" t="n"/>
      <c r="T858" s="120" t="n"/>
      <c r="U858" s="129">
        <f>DADOS_INVOC!$PW$56</f>
        <v/>
      </c>
      <c r="V858" s="16" t="n"/>
      <c r="W858" s="16" t="n"/>
      <c r="X858" s="16" t="n"/>
      <c r="Y858" s="17" t="n"/>
      <c r="Z858" s="120" t="n"/>
      <c r="AB858" s="129">
        <f>DADOS_INVOC!$PW$132</f>
        <v/>
      </c>
      <c r="AC858" s="16" t="n"/>
      <c r="AD858" s="16" t="n"/>
      <c r="AE858" s="16" t="n"/>
      <c r="AF858" s="17" t="n"/>
      <c r="AG858" s="120" t="n"/>
      <c r="AH858" s="129">
        <f>DADOS_INVOC!$PW$133</f>
        <v/>
      </c>
      <c r="AI858" s="16" t="n"/>
      <c r="AJ858" s="16" t="n"/>
      <c r="AK858" s="16" t="n"/>
      <c r="AL858" s="17" t="n"/>
      <c r="AM858" s="120" t="n"/>
      <c r="AN858" s="129">
        <f>DADOS_INVOC!$PW$134</f>
        <v/>
      </c>
      <c r="AO858" s="16" t="n"/>
      <c r="AP858" s="16" t="n"/>
      <c r="AQ858" s="16" t="n"/>
      <c r="AR858" s="17" t="n"/>
      <c r="AS858" s="120" t="n"/>
    </row>
    <row r="859" hidden="1" outlineLevel="2">
      <c r="A859" s="8" t="n"/>
      <c r="B859" s="14" t="n"/>
      <c r="C859" s="120" t="n"/>
      <c r="D859" s="120" t="n"/>
      <c r="E859" s="120" t="n"/>
      <c r="F859" s="120" t="n"/>
      <c r="G859" s="120" t="n"/>
      <c r="I859" s="55" t="inlineStr">
        <is>
          <t>MELHORIAS</t>
        </is>
      </c>
      <c r="J859" s="130" t="n"/>
      <c r="K859" s="16" t="n"/>
      <c r="L859" s="17" t="n"/>
      <c r="M859" s="129">
        <f>DADOS_INVOC!$PZ$54</f>
        <v/>
      </c>
      <c r="N859" s="120" t="n"/>
      <c r="O859" s="55" t="inlineStr">
        <is>
          <t>MELHORIAS</t>
        </is>
      </c>
      <c r="P859" s="130" t="n"/>
      <c r="Q859" s="16" t="n"/>
      <c r="R859" s="17" t="n"/>
      <c r="S859" s="129">
        <f>DADOS_INVOC!$PZ$55</f>
        <v/>
      </c>
      <c r="T859" s="120" t="n"/>
      <c r="U859" s="55" t="inlineStr">
        <is>
          <t>MELHORIAS</t>
        </is>
      </c>
      <c r="V859" s="130" t="n"/>
      <c r="W859" s="16" t="n"/>
      <c r="X859" s="17" t="n"/>
      <c r="Y859" s="129">
        <f>DADOS_INVOC!$PZ$56</f>
        <v/>
      </c>
      <c r="Z859" s="120" t="n"/>
      <c r="AB859" s="55" t="inlineStr">
        <is>
          <t>MELHORIAS</t>
        </is>
      </c>
      <c r="AC859" s="130" t="n"/>
      <c r="AD859" s="16" t="n"/>
      <c r="AE859" s="17" t="n"/>
      <c r="AF859" s="129">
        <f>DADOS_INVOC!$PZ$132</f>
        <v/>
      </c>
      <c r="AG859" s="120" t="n"/>
      <c r="AH859" s="55" t="inlineStr">
        <is>
          <t>MELHORIAS</t>
        </is>
      </c>
      <c r="AI859" s="130" t="n"/>
      <c r="AJ859" s="16" t="n"/>
      <c r="AK859" s="17" t="n"/>
      <c r="AL859" s="129">
        <f>DADOS_INVOC!$PZ$133</f>
        <v/>
      </c>
      <c r="AM859" s="120" t="n"/>
      <c r="AN859" s="55" t="inlineStr">
        <is>
          <t>MELHORIAS</t>
        </is>
      </c>
      <c r="AO859" s="130" t="n"/>
      <c r="AP859" s="16" t="n"/>
      <c r="AQ859" s="17" t="n"/>
      <c r="AR859" s="129">
        <f>DADOS_INVOC!$PZ$134</f>
        <v/>
      </c>
      <c r="AS859" s="120" t="n"/>
    </row>
    <row r="860" hidden="1" outlineLevel="2">
      <c r="A860" s="8" t="n"/>
      <c r="B860" s="14" t="n"/>
      <c r="C860" s="120" t="n"/>
      <c r="D860" s="120" t="n"/>
      <c r="E860" s="120" t="n"/>
      <c r="F860" s="120" t="n"/>
      <c r="G860" s="120" t="n"/>
      <c r="I860" s="131" t="n"/>
      <c r="J860" s="130" t="n"/>
      <c r="K860" s="16" t="n"/>
      <c r="L860" s="17" t="n"/>
      <c r="M860" s="129">
        <f>DADOS_INVOC!$QA$54</f>
        <v/>
      </c>
      <c r="N860" s="120" t="n"/>
      <c r="O860" s="131" t="n"/>
      <c r="P860" s="130" t="n"/>
      <c r="Q860" s="16" t="n"/>
      <c r="R860" s="17" t="n"/>
      <c r="S860" s="129">
        <f>DADOS_INVOC!$QA$55</f>
        <v/>
      </c>
      <c r="T860" s="120" t="n"/>
      <c r="U860" s="131" t="n"/>
      <c r="V860" s="130" t="n"/>
      <c r="W860" s="16" t="n"/>
      <c r="X860" s="17" t="n"/>
      <c r="Y860" s="129">
        <f>DADOS_INVOC!$QA$56</f>
        <v/>
      </c>
      <c r="Z860" s="120" t="n"/>
      <c r="AB860" s="131" t="n"/>
      <c r="AC860" s="130" t="n"/>
      <c r="AD860" s="16" t="n"/>
      <c r="AE860" s="17" t="n"/>
      <c r="AF860" s="129">
        <f>DADOS_INVOC!$QA$132</f>
        <v/>
      </c>
      <c r="AG860" s="120" t="n"/>
      <c r="AH860" s="131" t="n"/>
      <c r="AI860" s="130" t="n"/>
      <c r="AJ860" s="16" t="n"/>
      <c r="AK860" s="17" t="n"/>
      <c r="AL860" s="129">
        <f>DADOS_INVOC!$QA$133</f>
        <v/>
      </c>
      <c r="AM860" s="120" t="n"/>
      <c r="AN860" s="131" t="n"/>
      <c r="AO860" s="130" t="n"/>
      <c r="AP860" s="16" t="n"/>
      <c r="AQ860" s="17" t="n"/>
      <c r="AR860" s="129">
        <f>DADOS_INVOC!$QA$134</f>
        <v/>
      </c>
      <c r="AS860" s="120" t="n"/>
    </row>
    <row r="861" hidden="1" outlineLevel="2">
      <c r="A861" s="8" t="n"/>
      <c r="B861" s="14" t="n"/>
      <c r="C861" s="120" t="n"/>
      <c r="D861" s="120" t="n"/>
      <c r="E861" s="120" t="n"/>
      <c r="F861" s="120" t="n"/>
      <c r="G861" s="120" t="n"/>
      <c r="I861" s="131" t="n"/>
      <c r="J861" s="130" t="n"/>
      <c r="K861" s="16" t="n"/>
      <c r="L861" s="17" t="n"/>
      <c r="M861" s="129">
        <f>DADOS_INVOC!$QB$54</f>
        <v/>
      </c>
      <c r="N861" s="120" t="n"/>
      <c r="O861" s="131" t="n"/>
      <c r="P861" s="130" t="n"/>
      <c r="Q861" s="16" t="n"/>
      <c r="R861" s="17" t="n"/>
      <c r="S861" s="129">
        <f>DADOS_INVOC!$QB$55</f>
        <v/>
      </c>
      <c r="T861" s="120" t="n"/>
      <c r="U861" s="131" t="n"/>
      <c r="V861" s="130" t="n"/>
      <c r="W861" s="16" t="n"/>
      <c r="X861" s="17" t="n"/>
      <c r="Y861" s="129">
        <f>DADOS_INVOC!$QB$56</f>
        <v/>
      </c>
      <c r="Z861" s="120" t="n"/>
      <c r="AB861" s="131" t="n"/>
      <c r="AC861" s="130" t="n"/>
      <c r="AD861" s="16" t="n"/>
      <c r="AE861" s="17" t="n"/>
      <c r="AF861" s="129">
        <f>DADOS_INVOC!$QB$132</f>
        <v/>
      </c>
      <c r="AG861" s="120" t="n"/>
      <c r="AH861" s="131" t="n"/>
      <c r="AI861" s="130" t="n"/>
      <c r="AJ861" s="16" t="n"/>
      <c r="AK861" s="17" t="n"/>
      <c r="AL861" s="129">
        <f>DADOS_INVOC!$QB$133</f>
        <v/>
      </c>
      <c r="AM861" s="120" t="n"/>
      <c r="AN861" s="131" t="n"/>
      <c r="AO861" s="130" t="n"/>
      <c r="AP861" s="16" t="n"/>
      <c r="AQ861" s="17" t="n"/>
      <c r="AR861" s="129">
        <f>DADOS_INVOC!$QB$134</f>
        <v/>
      </c>
      <c r="AS861" s="120" t="n"/>
    </row>
    <row r="862" hidden="1" outlineLevel="2">
      <c r="A862" s="8" t="n"/>
      <c r="B862" s="14" t="n"/>
      <c r="C862" s="120" t="n"/>
      <c r="D862" s="120" t="n"/>
      <c r="E862" s="120" t="n"/>
      <c r="F862" s="120" t="n"/>
      <c r="G862" s="120" t="n"/>
      <c r="I862" s="125" t="n"/>
      <c r="J862" s="130" t="n"/>
      <c r="K862" s="16" t="n"/>
      <c r="L862" s="17" t="n"/>
      <c r="M862" s="129">
        <f>DADOS_INVOC!$QC$54</f>
        <v/>
      </c>
      <c r="N862" s="120" t="n"/>
      <c r="O862" s="125" t="n"/>
      <c r="P862" s="130" t="n"/>
      <c r="Q862" s="16" t="n"/>
      <c r="R862" s="17" t="n"/>
      <c r="S862" s="129">
        <f>DADOS_INVOC!$QC$55</f>
        <v/>
      </c>
      <c r="T862" s="120" t="n"/>
      <c r="U862" s="125" t="n"/>
      <c r="V862" s="130" t="n"/>
      <c r="W862" s="16" t="n"/>
      <c r="X862" s="17" t="n"/>
      <c r="Y862" s="129">
        <f>DADOS_INVOC!$QC$56</f>
        <v/>
      </c>
      <c r="Z862" s="120" t="n"/>
      <c r="AB862" s="125" t="n"/>
      <c r="AC862" s="130" t="n"/>
      <c r="AD862" s="16" t="n"/>
      <c r="AE862" s="17" t="n"/>
      <c r="AF862" s="129">
        <f>DADOS_INVOC!$QC$132</f>
        <v/>
      </c>
      <c r="AG862" s="120" t="n"/>
      <c r="AH862" s="125" t="n"/>
      <c r="AI862" s="130" t="n"/>
      <c r="AJ862" s="16" t="n"/>
      <c r="AK862" s="17" t="n"/>
      <c r="AL862" s="129">
        <f>DADOS_INVOC!$QC$133</f>
        <v/>
      </c>
      <c r="AM862" s="120" t="n"/>
      <c r="AN862" s="125" t="n"/>
      <c r="AO862" s="130" t="n"/>
      <c r="AP862" s="16" t="n"/>
      <c r="AQ862" s="17" t="n"/>
      <c r="AR862" s="129">
        <f>DADOS_INVOC!$QC$134</f>
        <v/>
      </c>
      <c r="AS862" s="120" t="n"/>
    </row>
    <row r="863" hidden="1" outlineLevel="2">
      <c r="A863" s="8" t="n"/>
      <c r="B863" s="14" t="n"/>
      <c r="C863" s="120" t="n"/>
      <c r="D863" s="120" t="n"/>
      <c r="E863" s="120" t="n"/>
      <c r="F863" s="120" t="n"/>
      <c r="G863" s="120" t="n"/>
      <c r="I863" s="55" t="inlineStr">
        <is>
          <t>RESTRIÇÕES</t>
        </is>
      </c>
      <c r="J863" s="130" t="n"/>
      <c r="K863" s="16" t="n"/>
      <c r="L863" s="17" t="n"/>
      <c r="M863" s="129">
        <f>DADOS_INVOC!$QD$54</f>
        <v/>
      </c>
      <c r="N863" s="120" t="n"/>
      <c r="O863" s="55" t="inlineStr">
        <is>
          <t>RESTRIÇÕES</t>
        </is>
      </c>
      <c r="P863" s="130" t="n"/>
      <c r="Q863" s="16" t="n"/>
      <c r="R863" s="17" t="n"/>
      <c r="S863" s="129">
        <f>DADOS_INVOC!$QD$55</f>
        <v/>
      </c>
      <c r="T863" s="120" t="n"/>
      <c r="U863" s="55" t="inlineStr">
        <is>
          <t>RESTRIÇÕES</t>
        </is>
      </c>
      <c r="V863" s="130" t="n"/>
      <c r="W863" s="16" t="n"/>
      <c r="X863" s="17" t="n"/>
      <c r="Y863" s="129">
        <f>DADOS_INVOC!$QD$56</f>
        <v/>
      </c>
      <c r="Z863" s="120" t="n"/>
      <c r="AB863" s="55" t="inlineStr">
        <is>
          <t>RESTRIÇÕES</t>
        </is>
      </c>
      <c r="AC863" s="130" t="n"/>
      <c r="AD863" s="16" t="n"/>
      <c r="AE863" s="17" t="n"/>
      <c r="AF863" s="129">
        <f>DADOS_INVOC!$QD$132</f>
        <v/>
      </c>
      <c r="AG863" s="120" t="n"/>
      <c r="AH863" s="55" t="inlineStr">
        <is>
          <t>RESTRIÇÕES</t>
        </is>
      </c>
      <c r="AI863" s="130" t="n"/>
      <c r="AJ863" s="16" t="n"/>
      <c r="AK863" s="17" t="n"/>
      <c r="AL863" s="129">
        <f>DADOS_INVOC!$QD$133</f>
        <v/>
      </c>
      <c r="AM863" s="120" t="n"/>
      <c r="AN863" s="55" t="inlineStr">
        <is>
          <t>RESTRIÇÕES</t>
        </is>
      </c>
      <c r="AO863" s="130" t="n"/>
      <c r="AP863" s="16" t="n"/>
      <c r="AQ863" s="17" t="n"/>
      <c r="AR863" s="129">
        <f>DADOS_INVOC!$QD$134</f>
        <v/>
      </c>
      <c r="AS863" s="120" t="n"/>
    </row>
    <row r="864" hidden="1" outlineLevel="2">
      <c r="A864" s="8" t="n"/>
      <c r="B864" s="14" t="n"/>
      <c r="C864" s="120" t="n"/>
      <c r="D864" s="120" t="n"/>
      <c r="E864" s="120" t="n"/>
      <c r="F864" s="120" t="n"/>
      <c r="G864" s="120" t="n"/>
      <c r="I864" s="125" t="n"/>
      <c r="J864" s="130" t="n"/>
      <c r="K864" s="16" t="n"/>
      <c r="L864" s="17" t="n"/>
      <c r="M864" s="129">
        <f>DADOS_INVOC!$QE$54</f>
        <v/>
      </c>
      <c r="N864" s="120" t="n"/>
      <c r="O864" s="125" t="n"/>
      <c r="P864" s="130" t="n"/>
      <c r="Q864" s="16" t="n"/>
      <c r="R864" s="17" t="n"/>
      <c r="S864" s="129">
        <f>DADOS_INVOC!$QE$55</f>
        <v/>
      </c>
      <c r="T864" s="120" t="n"/>
      <c r="U864" s="125" t="n"/>
      <c r="V864" s="130" t="n"/>
      <c r="W864" s="16" t="n"/>
      <c r="X864" s="17" t="n"/>
      <c r="Y864" s="129">
        <f>DADOS_INVOC!$QE$56</f>
        <v/>
      </c>
      <c r="Z864" s="120" t="n"/>
      <c r="AB864" s="125" t="n"/>
      <c r="AC864" s="130" t="n"/>
      <c r="AD864" s="16" t="n"/>
      <c r="AE864" s="17" t="n"/>
      <c r="AF864" s="129">
        <f>DADOS_INVOC!$QE$132</f>
        <v/>
      </c>
      <c r="AG864" s="120" t="n"/>
      <c r="AH864" s="125" t="n"/>
      <c r="AI864" s="130" t="n"/>
      <c r="AJ864" s="16" t="n"/>
      <c r="AK864" s="17" t="n"/>
      <c r="AL864" s="129">
        <f>DADOS_INVOC!$QE$133</f>
        <v/>
      </c>
      <c r="AM864" s="120" t="n"/>
      <c r="AN864" s="125" t="n"/>
      <c r="AO864" s="130" t="n"/>
      <c r="AP864" s="16" t="n"/>
      <c r="AQ864" s="17" t="n"/>
      <c r="AR864" s="129">
        <f>DADOS_INVOC!$QE$134</f>
        <v/>
      </c>
      <c r="AS864" s="120" t="n"/>
    </row>
    <row r="865" hidden="1" outlineLevel="2">
      <c r="A865" s="8" t="n"/>
      <c r="B865" s="14" t="n"/>
      <c r="C865" s="120" t="n"/>
      <c r="D865" s="120" t="n"/>
      <c r="E865" s="120" t="n"/>
      <c r="F865" s="120" t="n"/>
      <c r="G865" s="120" t="n"/>
      <c r="I865" s="55" t="inlineStr">
        <is>
          <t>CONTA</t>
        </is>
      </c>
      <c r="J865" s="132">
        <f>DADOS_INVOC!$PX$54</f>
        <v/>
      </c>
      <c r="K865" s="16" t="n"/>
      <c r="L865" s="16" t="n"/>
      <c r="M865" s="17" t="n"/>
      <c r="N865" s="120" t="n"/>
      <c r="O865" s="55" t="inlineStr">
        <is>
          <t>CONTA</t>
        </is>
      </c>
      <c r="P865" s="132">
        <f>DADOS_INVOC!$PX$55</f>
        <v/>
      </c>
      <c r="Q865" s="16" t="n"/>
      <c r="R865" s="16" t="n"/>
      <c r="S865" s="17" t="n"/>
      <c r="T865" s="120" t="n"/>
      <c r="U865" s="55" t="inlineStr">
        <is>
          <t>CONTA</t>
        </is>
      </c>
      <c r="V865" s="132">
        <f>DADOS_INVOC!$PX$56</f>
        <v/>
      </c>
      <c r="W865" s="16" t="n"/>
      <c r="X865" s="16" t="n"/>
      <c r="Y865" s="17" t="n"/>
      <c r="Z865" s="120" t="n"/>
      <c r="AB865" s="55" t="inlineStr">
        <is>
          <t>CONTA</t>
        </is>
      </c>
      <c r="AC865" s="132">
        <f>DADOS_INVOC!$PX$132</f>
        <v/>
      </c>
      <c r="AD865" s="16" t="n"/>
      <c r="AE865" s="16" t="n"/>
      <c r="AF865" s="17" t="n"/>
      <c r="AG865" s="120" t="n"/>
      <c r="AH865" s="55" t="inlineStr">
        <is>
          <t>CONTA</t>
        </is>
      </c>
      <c r="AI865" s="132">
        <f>DADOS_INVOC!$PX$133</f>
        <v/>
      </c>
      <c r="AJ865" s="16" t="n"/>
      <c r="AK865" s="16" t="n"/>
      <c r="AL865" s="17" t="n"/>
      <c r="AM865" s="120" t="n"/>
      <c r="AN865" s="55" t="inlineStr">
        <is>
          <t>CONTA</t>
        </is>
      </c>
      <c r="AO865" s="132">
        <f>DADOS_INVOC!$PX$134</f>
        <v/>
      </c>
      <c r="AP865" s="16" t="n"/>
      <c r="AQ865" s="16" t="n"/>
      <c r="AR865" s="17" t="n"/>
      <c r="AS865" s="120" t="n"/>
    </row>
    <row r="866" hidden="1" outlineLevel="2">
      <c r="A866" s="8" t="n"/>
      <c r="B866" s="14" t="n"/>
      <c r="C866" s="120" t="n"/>
      <c r="D866" s="120" t="n"/>
      <c r="E866" s="120" t="n"/>
      <c r="F866" s="120" t="n"/>
      <c r="G866" s="120" t="n"/>
      <c r="I866" s="55" t="inlineStr">
        <is>
          <t>AMPLIAR</t>
        </is>
      </c>
      <c r="J866" s="132">
        <f>DADOS_INVOC!$PY$54</f>
        <v/>
      </c>
      <c r="K866" s="19" t="n"/>
      <c r="L866" s="19" t="n"/>
      <c r="M866" s="20" t="n"/>
      <c r="N866" s="120" t="n"/>
      <c r="O866" s="55" t="inlineStr">
        <is>
          <t>AMPLIAR</t>
        </is>
      </c>
      <c r="P866" s="132">
        <f>DADOS_INVOC!$PY$55</f>
        <v/>
      </c>
      <c r="Q866" s="19" t="n"/>
      <c r="R866" s="19" t="n"/>
      <c r="S866" s="20" t="n"/>
      <c r="T866" s="120" t="n"/>
      <c r="U866" s="55" t="inlineStr">
        <is>
          <t>AMPLIAR</t>
        </is>
      </c>
      <c r="V866" s="132">
        <f>DADOS_INVOC!$PY$56</f>
        <v/>
      </c>
      <c r="W866" s="19" t="n"/>
      <c r="X866" s="19" t="n"/>
      <c r="Y866" s="20" t="n"/>
      <c r="Z866" s="120" t="n"/>
      <c r="AB866" s="55" t="inlineStr">
        <is>
          <t>AMPLIAR</t>
        </is>
      </c>
      <c r="AC866" s="132">
        <f>DADOS_INVOC!$PY$132</f>
        <v/>
      </c>
      <c r="AD866" s="19" t="n"/>
      <c r="AE866" s="19" t="n"/>
      <c r="AF866" s="20" t="n"/>
      <c r="AG866" s="120" t="n"/>
      <c r="AH866" s="55" t="inlineStr">
        <is>
          <t>AMPLIAR</t>
        </is>
      </c>
      <c r="AI866" s="132">
        <f>DADOS_INVOC!$PY$133</f>
        <v/>
      </c>
      <c r="AJ866" s="19" t="n"/>
      <c r="AK866" s="19" t="n"/>
      <c r="AL866" s="20" t="n"/>
      <c r="AM866" s="120" t="n"/>
      <c r="AN866" s="55" t="inlineStr">
        <is>
          <t>AMPLIAR</t>
        </is>
      </c>
      <c r="AO866" s="132">
        <f>DADOS_INVOC!$PY$134</f>
        <v/>
      </c>
      <c r="AP866" s="19" t="n"/>
      <c r="AQ866" s="19" t="n"/>
      <c r="AR866" s="20" t="n"/>
      <c r="AS866" s="120" t="n"/>
    </row>
    <row r="867" hidden="1" outlineLevel="2">
      <c r="A867" s="8" t="n"/>
      <c r="B867" s="14" t="n"/>
      <c r="C867" s="120" t="n"/>
      <c r="D867" s="120" t="n"/>
      <c r="E867" s="120" t="n"/>
      <c r="F867" s="120" t="n"/>
      <c r="G867" s="120" t="n"/>
      <c r="I867" s="125" t="n"/>
      <c r="J867" s="23" t="n"/>
      <c r="K867" s="24" t="n"/>
      <c r="L867" s="24" t="n"/>
      <c r="M867" s="25" t="n"/>
      <c r="N867" s="120" t="n"/>
      <c r="O867" s="125" t="n"/>
      <c r="P867" s="23" t="n"/>
      <c r="Q867" s="24" t="n"/>
      <c r="R867" s="24" t="n"/>
      <c r="S867" s="25" t="n"/>
      <c r="T867" s="120" t="n"/>
      <c r="U867" s="125" t="n"/>
      <c r="V867" s="23" t="n"/>
      <c r="W867" s="24" t="n"/>
      <c r="X867" s="24" t="n"/>
      <c r="Y867" s="25" t="n"/>
      <c r="Z867" s="120" t="n"/>
      <c r="AB867" s="125" t="n"/>
      <c r="AC867" s="23" t="n"/>
      <c r="AD867" s="24" t="n"/>
      <c r="AE867" s="24" t="n"/>
      <c r="AF867" s="25" t="n"/>
      <c r="AG867" s="120" t="n"/>
      <c r="AH867" s="125" t="n"/>
      <c r="AI867" s="23" t="n"/>
      <c r="AJ867" s="24" t="n"/>
      <c r="AK867" s="24" t="n"/>
      <c r="AL867" s="25" t="n"/>
      <c r="AM867" s="120" t="n"/>
      <c r="AN867" s="125" t="n"/>
      <c r="AO867" s="23" t="n"/>
      <c r="AP867" s="24" t="n"/>
      <c r="AQ867" s="24" t="n"/>
      <c r="AR867" s="25" t="n"/>
      <c r="AS867" s="120" t="n"/>
    </row>
    <row r="868" hidden="1" outlineLevel="2">
      <c r="A868" s="8" t="n"/>
      <c r="B868" s="14" t="n"/>
      <c r="C868" s="120" t="n"/>
      <c r="D868" s="120" t="n"/>
      <c r="E868" s="120" t="n"/>
      <c r="F868" s="120" t="n"/>
      <c r="G868" s="120" t="n"/>
      <c r="I868" s="132">
        <f>DADOS_INVOC!$PL$54</f>
        <v/>
      </c>
      <c r="J868" s="19" t="n"/>
      <c r="K868" s="19" t="n"/>
      <c r="L868" s="19" t="n"/>
      <c r="M868" s="20" t="n"/>
      <c r="N868" s="120" t="n"/>
      <c r="O868" s="132">
        <f>DADOS_INVOC!$PL$55</f>
        <v/>
      </c>
      <c r="P868" s="19" t="n"/>
      <c r="Q868" s="19" t="n"/>
      <c r="R868" s="19" t="n"/>
      <c r="S868" s="20" t="n"/>
      <c r="T868" s="120" t="n"/>
      <c r="U868" s="132">
        <f>DADOS_INVOC!$PL$56</f>
        <v/>
      </c>
      <c r="V868" s="19" t="n"/>
      <c r="W868" s="19" t="n"/>
      <c r="X868" s="19" t="n"/>
      <c r="Y868" s="20" t="n"/>
      <c r="Z868" s="120" t="n"/>
      <c r="AB868" s="132">
        <f>DADOS_INVOC!$PL$132</f>
        <v/>
      </c>
      <c r="AC868" s="19" t="n"/>
      <c r="AD868" s="19" t="n"/>
      <c r="AE868" s="19" t="n"/>
      <c r="AF868" s="20" t="n"/>
      <c r="AG868" s="120" t="n"/>
      <c r="AH868" s="132">
        <f>DADOS_INVOC!$PL$133</f>
        <v/>
      </c>
      <c r="AI868" s="19" t="n"/>
      <c r="AJ868" s="19" t="n"/>
      <c r="AK868" s="19" t="n"/>
      <c r="AL868" s="20" t="n"/>
      <c r="AM868" s="120" t="n"/>
      <c r="AN868" s="132">
        <f>DADOS_INVOC!$PL$134</f>
        <v/>
      </c>
      <c r="AO868" s="19" t="n"/>
      <c r="AP868" s="19" t="n"/>
      <c r="AQ868" s="19" t="n"/>
      <c r="AR868" s="20" t="n"/>
      <c r="AS868" s="120" t="n"/>
    </row>
    <row r="869" hidden="1" outlineLevel="2">
      <c r="A869" s="8" t="n"/>
      <c r="B869" s="14" t="n"/>
      <c r="C869" s="120" t="n"/>
      <c r="D869" s="120" t="n"/>
      <c r="E869" s="120" t="n"/>
      <c r="F869" s="120" t="n"/>
      <c r="G869" s="120" t="n"/>
      <c r="I869" s="23" t="n"/>
      <c r="J869" s="24" t="n"/>
      <c r="K869" s="24" t="n"/>
      <c r="L869" s="24" t="n"/>
      <c r="M869" s="25" t="n"/>
      <c r="N869" s="120" t="n"/>
      <c r="O869" s="23" t="n"/>
      <c r="P869" s="24" t="n"/>
      <c r="Q869" s="24" t="n"/>
      <c r="R869" s="24" t="n"/>
      <c r="S869" s="25" t="n"/>
      <c r="T869" s="120" t="n"/>
      <c r="U869" s="23" t="n"/>
      <c r="V869" s="24" t="n"/>
      <c r="W869" s="24" t="n"/>
      <c r="X869" s="24" t="n"/>
      <c r="Y869" s="25" t="n"/>
      <c r="Z869" s="120" t="n"/>
      <c r="AB869" s="23" t="n"/>
      <c r="AC869" s="24" t="n"/>
      <c r="AD869" s="24" t="n"/>
      <c r="AE869" s="24" t="n"/>
      <c r="AF869" s="25" t="n"/>
      <c r="AG869" s="120" t="n"/>
      <c r="AH869" s="23" t="n"/>
      <c r="AI869" s="24" t="n"/>
      <c r="AJ869" s="24" t="n"/>
      <c r="AK869" s="24" t="n"/>
      <c r="AL869" s="25" t="n"/>
      <c r="AM869" s="120" t="n"/>
      <c r="AN869" s="23" t="n"/>
      <c r="AO869" s="24" t="n"/>
      <c r="AP869" s="24" t="n"/>
      <c r="AQ869" s="24" t="n"/>
      <c r="AR869" s="25" t="n"/>
      <c r="AS869" s="120" t="n"/>
    </row>
    <row r="870" hidden="1" outlineLevel="1">
      <c r="A870" s="8" t="n"/>
      <c r="B870" s="14" t="n"/>
      <c r="C870" s="120" t="n"/>
      <c r="D870" s="120" t="n"/>
      <c r="E870" s="120" t="n"/>
      <c r="F870" s="120" t="n"/>
      <c r="G870" s="120" t="n"/>
      <c r="I870" s="120" t="n"/>
      <c r="J870" s="120" t="n"/>
      <c r="K870" s="120" t="n"/>
      <c r="L870" s="120" t="n"/>
      <c r="M870" s="120" t="n"/>
      <c r="N870" s="120" t="n"/>
      <c r="O870" s="120" t="n"/>
      <c r="P870" s="120" t="n"/>
      <c r="Q870" s="120" t="n"/>
      <c r="R870" s="120" t="n"/>
      <c r="S870" s="120" t="n"/>
      <c r="T870" s="120" t="n"/>
      <c r="U870" s="120" t="n"/>
      <c r="V870" s="120" t="n"/>
      <c r="W870" s="120" t="n"/>
      <c r="X870" s="120" t="n"/>
      <c r="Y870" s="120" t="n"/>
      <c r="Z870" s="120" t="n"/>
      <c r="AB870" s="120" t="n"/>
      <c r="AC870" s="120" t="n"/>
      <c r="AD870" s="120" t="n"/>
      <c r="AE870" s="120" t="n"/>
      <c r="AF870" s="120" t="n"/>
      <c r="AG870" s="120" t="n"/>
      <c r="AH870" s="120" t="n"/>
      <c r="AI870" s="120" t="n"/>
      <c r="AJ870" s="120" t="n"/>
      <c r="AK870" s="120" t="n"/>
      <c r="AL870" s="120" t="n"/>
      <c r="AM870" s="120" t="n"/>
      <c r="AN870" s="120" t="n"/>
      <c r="AO870" s="120" t="n"/>
      <c r="AP870" s="120" t="n"/>
      <c r="AQ870" s="120" t="n"/>
      <c r="AR870" s="120" t="n"/>
      <c r="AS870" s="120" t="n"/>
    </row>
    <row r="871" hidden="1" outlineLevel="1">
      <c r="A871" s="8" t="n"/>
      <c r="B871" s="14" t="n"/>
      <c r="C871" s="120" t="n"/>
      <c r="D871" s="120" t="n"/>
      <c r="E871" s="120" t="n"/>
      <c r="F871" s="120" t="n"/>
      <c r="G871" s="120" t="n"/>
      <c r="I871" s="55">
        <f>DADOS_INVOC!$HU$6</f>
        <v/>
      </c>
      <c r="J871" s="16" t="n"/>
      <c r="K871" s="16" t="n"/>
      <c r="L871" s="16" t="n"/>
      <c r="M871" s="16" t="n"/>
      <c r="N871" s="16" t="n"/>
      <c r="O871" s="16" t="n"/>
      <c r="P871" s="16" t="n"/>
      <c r="Q871" s="16" t="n"/>
      <c r="R871" s="16" t="n"/>
      <c r="S871" s="16" t="n"/>
      <c r="T871" s="16" t="n"/>
      <c r="U871" s="16" t="n"/>
      <c r="V871" s="16" t="n"/>
      <c r="W871" s="16" t="n"/>
      <c r="X871" s="16" t="n"/>
      <c r="Y871" s="17" t="n"/>
      <c r="Z871" s="120" t="n"/>
      <c r="AB871" s="55">
        <f>DADOS_INVOC!$HU$12</f>
        <v/>
      </c>
      <c r="AC871" s="16" t="n"/>
      <c r="AD871" s="16" t="n"/>
      <c r="AE871" s="16" t="n"/>
      <c r="AF871" s="16" t="n"/>
      <c r="AG871" s="16" t="n"/>
      <c r="AH871" s="16" t="n"/>
      <c r="AI871" s="16" t="n"/>
      <c r="AJ871" s="16" t="n"/>
      <c r="AK871" s="16" t="n"/>
      <c r="AL871" s="16" t="n"/>
      <c r="AM871" s="16" t="n"/>
      <c r="AN871" s="16" t="n"/>
      <c r="AO871" s="16" t="n"/>
      <c r="AP871" s="16" t="n"/>
      <c r="AQ871" s="16" t="n"/>
      <c r="AR871" s="17" t="n"/>
      <c r="AS871" s="120" t="n"/>
    </row>
    <row r="872" hidden="1" outlineLevel="1">
      <c r="A872" s="8" t="n"/>
      <c r="B872" s="14" t="n"/>
      <c r="C872" s="120" t="n"/>
      <c r="D872" s="120" t="n"/>
      <c r="E872" s="120" t="n"/>
      <c r="F872" s="120" t="n"/>
      <c r="G872" s="120" t="n"/>
      <c r="I872" s="55" t="inlineStr">
        <is>
          <t>NV 1 · CE 1</t>
        </is>
      </c>
      <c r="J872" s="130" t="n"/>
      <c r="K872" s="16" t="n"/>
      <c r="L872" s="17" t="n"/>
      <c r="M872" s="137">
        <f>DADOS_INVOC!$ID$6</f>
        <v/>
      </c>
      <c r="N872" s="16" t="n"/>
      <c r="O872" s="16" t="n"/>
      <c r="P872" s="16" t="n"/>
      <c r="Q872" s="16" t="n"/>
      <c r="R872" s="16" t="n"/>
      <c r="S872" s="16" t="n"/>
      <c r="T872" s="16" t="n"/>
      <c r="U872" s="16" t="n"/>
      <c r="V872" s="16" t="n"/>
      <c r="W872" s="16" t="n"/>
      <c r="X872" s="16" t="n"/>
      <c r="Y872" s="17" t="n"/>
      <c r="Z872" s="120" t="n"/>
      <c r="AB872" s="55" t="inlineStr">
        <is>
          <t>NV 1 · CE 1</t>
        </is>
      </c>
      <c r="AC872" s="130" t="n"/>
      <c r="AD872" s="16" t="n"/>
      <c r="AE872" s="17" t="n"/>
      <c r="AF872" s="137">
        <f>DADOS_INVOC!$ID$12</f>
        <v/>
      </c>
      <c r="AG872" s="16" t="n"/>
      <c r="AH872" s="16" t="n"/>
      <c r="AI872" s="16" t="n"/>
      <c r="AJ872" s="16" t="n"/>
      <c r="AK872" s="16" t="n"/>
      <c r="AL872" s="16" t="n"/>
      <c r="AM872" s="16" t="n"/>
      <c r="AN872" s="16" t="n"/>
      <c r="AO872" s="16" t="n"/>
      <c r="AP872" s="16" t="n"/>
      <c r="AQ872" s="16" t="n"/>
      <c r="AR872" s="17" t="n"/>
      <c r="AS872" s="120" t="n"/>
    </row>
    <row r="873" hidden="1" outlineLevel="1">
      <c r="A873" s="8" t="n"/>
      <c r="B873" s="14" t="n"/>
      <c r="C873" s="120" t="n"/>
      <c r="D873" s="120" t="n"/>
      <c r="E873" s="120" t="n"/>
      <c r="F873" s="120" t="n"/>
      <c r="G873" s="120" t="n"/>
      <c r="I873" s="55" t="inlineStr">
        <is>
          <t>NV 6 · CE 1</t>
        </is>
      </c>
      <c r="J873" s="130" t="n"/>
      <c r="K873" s="16" t="n"/>
      <c r="L873" s="17" t="n"/>
      <c r="M873" s="137">
        <f>DADOS_INVOC!$IE$6</f>
        <v/>
      </c>
      <c r="N873" s="16" t="n"/>
      <c r="O873" s="16" t="n"/>
      <c r="P873" s="16" t="n"/>
      <c r="Q873" s="16" t="n"/>
      <c r="R873" s="16" t="n"/>
      <c r="S873" s="16" t="n"/>
      <c r="T873" s="16" t="n"/>
      <c r="U873" s="16" t="n"/>
      <c r="V873" s="16" t="n"/>
      <c r="W873" s="16" t="n"/>
      <c r="X873" s="16" t="n"/>
      <c r="Y873" s="17" t="n"/>
      <c r="Z873" s="120" t="n"/>
      <c r="AB873" s="55" t="inlineStr">
        <is>
          <t>NV 6 · CE 1</t>
        </is>
      </c>
      <c r="AC873" s="130" t="n"/>
      <c r="AD873" s="16" t="n"/>
      <c r="AE873" s="17" t="n"/>
      <c r="AF873" s="137">
        <f>DADOS_INVOC!$IE$12</f>
        <v/>
      </c>
      <c r="AG873" s="16" t="n"/>
      <c r="AH873" s="16" t="n"/>
      <c r="AI873" s="16" t="n"/>
      <c r="AJ873" s="16" t="n"/>
      <c r="AK873" s="16" t="n"/>
      <c r="AL873" s="16" t="n"/>
      <c r="AM873" s="16" t="n"/>
      <c r="AN873" s="16" t="n"/>
      <c r="AO873" s="16" t="n"/>
      <c r="AP873" s="16" t="n"/>
      <c r="AQ873" s="16" t="n"/>
      <c r="AR873" s="17" t="n"/>
      <c r="AS873" s="120" t="n"/>
    </row>
    <row r="874" hidden="1" outlineLevel="1">
      <c r="A874" s="8" t="n"/>
      <c r="B874" s="14" t="n"/>
      <c r="C874" s="120" t="n"/>
      <c r="D874" s="120" t="n"/>
      <c r="E874" s="120" t="n"/>
      <c r="F874" s="120" t="n"/>
      <c r="G874" s="120" t="n"/>
      <c r="I874" s="55" t="inlineStr">
        <is>
          <t>NV 10 · CE 2</t>
        </is>
      </c>
      <c r="J874" s="130" t="n"/>
      <c r="K874" s="16" t="n"/>
      <c r="L874" s="17" t="n"/>
      <c r="M874" s="137">
        <f>DADOS_INVOC!$IF$6</f>
        <v/>
      </c>
      <c r="N874" s="16" t="n"/>
      <c r="O874" s="16" t="n"/>
      <c r="P874" s="16" t="n"/>
      <c r="Q874" s="16" t="n"/>
      <c r="R874" s="16" t="n"/>
      <c r="S874" s="16" t="n"/>
      <c r="T874" s="16" t="n"/>
      <c r="U874" s="16" t="n"/>
      <c r="V874" s="16" t="n"/>
      <c r="W874" s="16" t="n"/>
      <c r="X874" s="16" t="n"/>
      <c r="Y874" s="17" t="n"/>
      <c r="Z874" s="120" t="n"/>
      <c r="AB874" s="55" t="inlineStr">
        <is>
          <t>NV 10 · CE 2</t>
        </is>
      </c>
      <c r="AC874" s="130" t="n"/>
      <c r="AD874" s="16" t="n"/>
      <c r="AE874" s="17" t="n"/>
      <c r="AF874" s="137">
        <f>DADOS_INVOC!$IF$12</f>
        <v/>
      </c>
      <c r="AG874" s="16" t="n"/>
      <c r="AH874" s="16" t="n"/>
      <c r="AI874" s="16" t="n"/>
      <c r="AJ874" s="16" t="n"/>
      <c r="AK874" s="16" t="n"/>
      <c r="AL874" s="16" t="n"/>
      <c r="AM874" s="16" t="n"/>
      <c r="AN874" s="16" t="n"/>
      <c r="AO874" s="16" t="n"/>
      <c r="AP874" s="16" t="n"/>
      <c r="AQ874" s="16" t="n"/>
      <c r="AR874" s="17" t="n"/>
      <c r="AS874" s="120" t="n"/>
    </row>
    <row r="875" hidden="1" outlineLevel="1">
      <c r="A875" s="8" t="n"/>
      <c r="B875" s="14" t="n"/>
      <c r="C875" s="120" t="n"/>
      <c r="D875" s="120" t="n"/>
      <c r="E875" s="120" t="n"/>
      <c r="F875" s="120" t="n"/>
      <c r="G875" s="120" t="n"/>
      <c r="I875" s="55" t="inlineStr">
        <is>
          <t>NV 14 · CE 3</t>
        </is>
      </c>
      <c r="J875" s="130" t="n"/>
      <c r="K875" s="16" t="n"/>
      <c r="L875" s="17" t="n"/>
      <c r="M875" s="137">
        <f>DADOS_INVOC!$IG$6</f>
        <v/>
      </c>
      <c r="N875" s="16" t="n"/>
      <c r="O875" s="16" t="n"/>
      <c r="P875" s="16" t="n"/>
      <c r="Q875" s="16" t="n"/>
      <c r="R875" s="16" t="n"/>
      <c r="S875" s="16" t="n"/>
      <c r="T875" s="16" t="n"/>
      <c r="U875" s="16" t="n"/>
      <c r="V875" s="16" t="n"/>
      <c r="W875" s="16" t="n"/>
      <c r="X875" s="16" t="n"/>
      <c r="Y875" s="17" t="n"/>
      <c r="Z875" s="120" t="n"/>
      <c r="AB875" s="55" t="inlineStr">
        <is>
          <t>NV 14 · CE 3</t>
        </is>
      </c>
      <c r="AC875" s="130" t="n"/>
      <c r="AD875" s="16" t="n"/>
      <c r="AE875" s="17" t="n"/>
      <c r="AF875" s="137">
        <f>DADOS_INVOC!$IG$12</f>
        <v/>
      </c>
      <c r="AG875" s="16" t="n"/>
      <c r="AH875" s="16" t="n"/>
      <c r="AI875" s="16" t="n"/>
      <c r="AJ875" s="16" t="n"/>
      <c r="AK875" s="16" t="n"/>
      <c r="AL875" s="16" t="n"/>
      <c r="AM875" s="16" t="n"/>
      <c r="AN875" s="16" t="n"/>
      <c r="AO875" s="16" t="n"/>
      <c r="AP875" s="16" t="n"/>
      <c r="AQ875" s="16" t="n"/>
      <c r="AR875" s="17" t="n"/>
      <c r="AS875" s="120" t="n"/>
    </row>
    <row r="876" hidden="1" outlineLevel="1">
      <c r="A876" s="8" t="n"/>
      <c r="B876" s="14" t="n"/>
      <c r="C876" s="120" t="n"/>
      <c r="D876" s="120" t="n"/>
      <c r="E876" s="120" t="n"/>
      <c r="F876" s="120" t="n"/>
      <c r="G876" s="120" t="n"/>
      <c r="I876" s="55" t="inlineStr">
        <is>
          <t>NV 18 · CE 3</t>
        </is>
      </c>
      <c r="J876" s="130" t="n"/>
      <c r="K876" s="16" t="n"/>
      <c r="L876" s="17" t="n"/>
      <c r="M876" s="137">
        <f>DADOS_INVOC!$IH$6</f>
        <v/>
      </c>
      <c r="N876" s="16" t="n"/>
      <c r="O876" s="16" t="n"/>
      <c r="P876" s="16" t="n"/>
      <c r="Q876" s="16" t="n"/>
      <c r="R876" s="16" t="n"/>
      <c r="S876" s="16" t="n"/>
      <c r="T876" s="16" t="n"/>
      <c r="U876" s="16" t="n"/>
      <c r="V876" s="16" t="n"/>
      <c r="W876" s="16" t="n"/>
      <c r="X876" s="16" t="n"/>
      <c r="Y876" s="17" t="n"/>
      <c r="Z876" s="120" t="n"/>
      <c r="AB876" s="55" t="inlineStr">
        <is>
          <t>NV 18 · CE 3</t>
        </is>
      </c>
      <c r="AC876" s="130" t="n"/>
      <c r="AD876" s="16" t="n"/>
      <c r="AE876" s="17" t="n"/>
      <c r="AF876" s="137">
        <f>DADOS_INVOC!$IH$12</f>
        <v/>
      </c>
      <c r="AG876" s="16" t="n"/>
      <c r="AH876" s="16" t="n"/>
      <c r="AI876" s="16" t="n"/>
      <c r="AJ876" s="16" t="n"/>
      <c r="AK876" s="16" t="n"/>
      <c r="AL876" s="16" t="n"/>
      <c r="AM876" s="16" t="n"/>
      <c r="AN876" s="16" t="n"/>
      <c r="AO876" s="16" t="n"/>
      <c r="AP876" s="16" t="n"/>
      <c r="AQ876" s="16" t="n"/>
      <c r="AR876" s="17" t="n"/>
      <c r="AS876" s="120" t="n"/>
    </row>
    <row r="877" hidden="1" outlineLevel="1">
      <c r="A877" s="8" t="n"/>
      <c r="B877" s="14" t="n"/>
      <c r="C877" s="120" t="n"/>
      <c r="D877" s="120" t="n"/>
      <c r="E877" s="120" t="n"/>
      <c r="F877" s="120" t="n"/>
      <c r="G877" s="120" t="n"/>
      <c r="I877" s="55" t="inlineStr">
        <is>
          <t>NV 22 · CE 3</t>
        </is>
      </c>
      <c r="J877" s="130" t="n"/>
      <c r="K877" s="16" t="n"/>
      <c r="L877" s="17" t="n"/>
      <c r="M877" s="137">
        <f>DADOS_INVOC!$II$6</f>
        <v/>
      </c>
      <c r="N877" s="16" t="n"/>
      <c r="O877" s="16" t="n"/>
      <c r="P877" s="16" t="n"/>
      <c r="Q877" s="16" t="n"/>
      <c r="R877" s="16" t="n"/>
      <c r="S877" s="16" t="n"/>
      <c r="T877" s="16" t="n"/>
      <c r="U877" s="16" t="n"/>
      <c r="V877" s="16" t="n"/>
      <c r="W877" s="16" t="n"/>
      <c r="X877" s="16" t="n"/>
      <c r="Y877" s="17" t="n"/>
      <c r="Z877" s="120" t="n"/>
      <c r="AB877" s="55" t="inlineStr">
        <is>
          <t>NV 22 · CE 3</t>
        </is>
      </c>
      <c r="AC877" s="130" t="n"/>
      <c r="AD877" s="16" t="n"/>
      <c r="AE877" s="17" t="n"/>
      <c r="AF877" s="137">
        <f>DADOS_INVOC!$II$12</f>
        <v/>
      </c>
      <c r="AG877" s="16" t="n"/>
      <c r="AH877" s="16" t="n"/>
      <c r="AI877" s="16" t="n"/>
      <c r="AJ877" s="16" t="n"/>
      <c r="AK877" s="16" t="n"/>
      <c r="AL877" s="16" t="n"/>
      <c r="AM877" s="16" t="n"/>
      <c r="AN877" s="16" t="n"/>
      <c r="AO877" s="16" t="n"/>
      <c r="AP877" s="16" t="n"/>
      <c r="AQ877" s="16" t="n"/>
      <c r="AR877" s="17" t="n"/>
      <c r="AS877" s="120" t="n"/>
    </row>
    <row r="878" hidden="1" outlineLevel="1">
      <c r="A878" s="8" t="n"/>
      <c r="B878" s="14" t="n"/>
      <c r="C878" s="120" t="n"/>
      <c r="D878" s="120" t="n"/>
      <c r="E878" s="120" t="n"/>
      <c r="F878" s="120" t="n"/>
      <c r="G878" s="120" t="n"/>
      <c r="I878" s="55" t="inlineStr">
        <is>
          <t>NV 26 · CE 3</t>
        </is>
      </c>
      <c r="J878" s="130" t="n"/>
      <c r="K878" s="16" t="n"/>
      <c r="L878" s="17" t="n"/>
      <c r="M878" s="137">
        <f>DADOS_INVOC!$IJ$6</f>
        <v/>
      </c>
      <c r="N878" s="16" t="n"/>
      <c r="O878" s="16" t="n"/>
      <c r="P878" s="16" t="n"/>
      <c r="Q878" s="16" t="n"/>
      <c r="R878" s="16" t="n"/>
      <c r="S878" s="16" t="n"/>
      <c r="T878" s="16" t="n"/>
      <c r="U878" s="16" t="n"/>
      <c r="V878" s="16" t="n"/>
      <c r="W878" s="16" t="n"/>
      <c r="X878" s="16" t="n"/>
      <c r="Y878" s="17" t="n"/>
      <c r="Z878" s="120" t="n"/>
      <c r="AB878" s="55" t="inlineStr">
        <is>
          <t>NV 26 · CE 3</t>
        </is>
      </c>
      <c r="AC878" s="130" t="n"/>
      <c r="AD878" s="16" t="n"/>
      <c r="AE878" s="17" t="n"/>
      <c r="AF878" s="137">
        <f>DADOS_INVOC!$IJ$12</f>
        <v/>
      </c>
      <c r="AG878" s="16" t="n"/>
      <c r="AH878" s="16" t="n"/>
      <c r="AI878" s="16" t="n"/>
      <c r="AJ878" s="16" t="n"/>
      <c r="AK878" s="16" t="n"/>
      <c r="AL878" s="16" t="n"/>
      <c r="AM878" s="16" t="n"/>
      <c r="AN878" s="16" t="n"/>
      <c r="AO878" s="16" t="n"/>
      <c r="AP878" s="16" t="n"/>
      <c r="AQ878" s="16" t="n"/>
      <c r="AR878" s="17" t="n"/>
      <c r="AS878" s="120" t="n"/>
    </row>
    <row r="879" hidden="1" outlineLevel="1">
      <c r="A879" s="8" t="n"/>
      <c r="B879" s="14" t="n"/>
      <c r="C879" s="120" t="n"/>
      <c r="D879" s="120" t="n"/>
      <c r="E879" s="120" t="n"/>
      <c r="F879" s="120" t="n"/>
      <c r="G879" s="120" t="n"/>
      <c r="I879" s="55" t="inlineStr">
        <is>
          <t>NV 30 · CE 3</t>
        </is>
      </c>
      <c r="J879" s="130" t="n"/>
      <c r="K879" s="16" t="n"/>
      <c r="L879" s="17" t="n"/>
      <c r="M879" s="137">
        <f>DADOS_INVOC!$IK$6</f>
        <v/>
      </c>
      <c r="N879" s="16" t="n"/>
      <c r="O879" s="16" t="n"/>
      <c r="P879" s="16" t="n"/>
      <c r="Q879" s="16" t="n"/>
      <c r="R879" s="16" t="n"/>
      <c r="S879" s="16" t="n"/>
      <c r="T879" s="16" t="n"/>
      <c r="U879" s="16" t="n"/>
      <c r="V879" s="16" t="n"/>
      <c r="W879" s="16" t="n"/>
      <c r="X879" s="16" t="n"/>
      <c r="Y879" s="17" t="n"/>
      <c r="Z879" s="120" t="n"/>
      <c r="AB879" s="55" t="inlineStr">
        <is>
          <t>NV 30 · CE 3</t>
        </is>
      </c>
      <c r="AC879" s="130" t="n"/>
      <c r="AD879" s="16" t="n"/>
      <c r="AE879" s="17" t="n"/>
      <c r="AF879" s="137">
        <f>DADOS_INVOC!$IK$12</f>
        <v/>
      </c>
      <c r="AG879" s="16" t="n"/>
      <c r="AH879" s="16" t="n"/>
      <c r="AI879" s="16" t="n"/>
      <c r="AJ879" s="16" t="n"/>
      <c r="AK879" s="16" t="n"/>
      <c r="AL879" s="16" t="n"/>
      <c r="AM879" s="16" t="n"/>
      <c r="AN879" s="16" t="n"/>
      <c r="AO879" s="16" t="n"/>
      <c r="AP879" s="16" t="n"/>
      <c r="AQ879" s="16" t="n"/>
      <c r="AR879" s="17" t="n"/>
      <c r="AS879" s="120" t="n"/>
    </row>
    <row r="880" hidden="1" outlineLevel="1">
      <c r="A880" s="8" t="n"/>
      <c r="B880" s="14" t="n"/>
      <c r="C880" s="120" t="n"/>
      <c r="D880" s="120" t="n"/>
      <c r="E880" s="120" t="n"/>
      <c r="F880" s="120" t="n"/>
      <c r="G880" s="120" t="n"/>
      <c r="I880" s="120" t="n"/>
      <c r="J880" s="120" t="n"/>
      <c r="K880" s="120" t="n"/>
      <c r="L880" s="120" t="n"/>
      <c r="M880" s="120" t="n"/>
      <c r="N880" s="120" t="n"/>
      <c r="O880" s="120" t="n"/>
      <c r="P880" s="120" t="n"/>
      <c r="Q880" s="120" t="n"/>
      <c r="R880" s="120" t="n"/>
      <c r="S880" s="120" t="n"/>
      <c r="T880" s="120" t="n"/>
      <c r="U880" s="120" t="n"/>
      <c r="V880" s="120" t="n"/>
      <c r="W880" s="120" t="n"/>
      <c r="X880" s="120" t="n"/>
      <c r="Y880" s="120" t="n"/>
      <c r="Z880" s="120" t="n"/>
      <c r="AB880" s="120" t="n"/>
      <c r="AC880" s="120" t="n"/>
      <c r="AD880" s="120" t="n"/>
      <c r="AE880" s="120" t="n"/>
      <c r="AF880" s="120" t="n"/>
      <c r="AG880" s="120" t="n"/>
      <c r="AH880" s="120" t="n"/>
      <c r="AI880" s="120" t="n"/>
      <c r="AJ880" s="120" t="n"/>
      <c r="AK880" s="120" t="n"/>
      <c r="AL880" s="120" t="n"/>
      <c r="AM880" s="120" t="n"/>
      <c r="AN880" s="120" t="n"/>
      <c r="AO880" s="120" t="n"/>
      <c r="AP880" s="120" t="n"/>
      <c r="AQ880" s="120" t="n"/>
      <c r="AR880" s="120" t="n"/>
      <c r="AS880" s="120" t="n"/>
    </row>
    <row r="881" hidden="1" outlineLevel="1">
      <c r="A881" s="8" t="n"/>
      <c r="B881" s="14" t="n"/>
      <c r="C881" s="120" t="n"/>
      <c r="D881" s="120" t="n"/>
      <c r="E881" s="120" t="n"/>
      <c r="F881" s="120" t="n"/>
      <c r="G881" s="120" t="n"/>
      <c r="I881" s="13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0" t="n"/>
      <c r="AB881" s="13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0" t="n"/>
    </row>
    <row r="882" hidden="1" outlineLevel="2">
      <c r="A882" s="8" t="n"/>
      <c r="B882" s="14" t="n"/>
      <c r="C882" s="120" t="n"/>
      <c r="D882" s="120" t="n"/>
      <c r="E882" s="120" t="n"/>
      <c r="F882" s="120" t="n"/>
      <c r="G882" s="120" t="n"/>
      <c r="I882" s="120" t="n"/>
      <c r="J882" s="120" t="n"/>
      <c r="K882" s="120" t="n"/>
      <c r="L882" s="120" t="n"/>
      <c r="M882" s="120" t="n"/>
      <c r="N882" s="120" t="n"/>
      <c r="O882" s="120" t="n"/>
      <c r="P882" s="120" t="n"/>
      <c r="Q882" s="120" t="n"/>
      <c r="R882" s="120" t="n"/>
      <c r="S882" s="120" t="n"/>
      <c r="T882" s="120" t="n"/>
      <c r="U882" s="120" t="n"/>
      <c r="V882" s="120" t="n"/>
      <c r="W882" s="120" t="n"/>
      <c r="X882" s="120" t="n"/>
      <c r="Y882" s="120" t="n"/>
      <c r="Z882" s="120" t="n"/>
      <c r="AB882" s="120" t="n"/>
      <c r="AC882" s="120" t="n"/>
      <c r="AD882" s="120" t="n"/>
      <c r="AE882" s="120" t="n"/>
      <c r="AF882" s="120" t="n"/>
      <c r="AG882" s="120" t="n"/>
      <c r="AH882" s="120" t="n"/>
      <c r="AI882" s="120" t="n"/>
      <c r="AJ882" s="120" t="n"/>
      <c r="AK882" s="120" t="n"/>
      <c r="AL882" s="120" t="n"/>
      <c r="AM882" s="120" t="n"/>
      <c r="AN882" s="120" t="n"/>
      <c r="AO882" s="120" t="n"/>
      <c r="AP882" s="120" t="n"/>
      <c r="AQ882" s="120" t="n"/>
      <c r="AR882" s="120" t="n"/>
      <c r="AS882" s="120" t="n"/>
    </row>
    <row r="883" hidden="1" outlineLevel="2">
      <c r="A883" s="8" t="n"/>
      <c r="B883" s="14" t="n"/>
      <c r="C883" s="120" t="n"/>
      <c r="D883" s="120" t="n"/>
      <c r="E883" s="120" t="n"/>
      <c r="F883" s="120" t="n"/>
      <c r="G883" s="120" t="n"/>
      <c r="I883" s="55">
        <f>DADOS_INVOC!$PM$57</f>
        <v/>
      </c>
      <c r="J883" s="16" t="n"/>
      <c r="K883" s="16" t="n"/>
      <c r="L883" s="16" t="n"/>
      <c r="M883" s="17" t="n"/>
      <c r="N883" s="120" t="n"/>
      <c r="O883" s="55">
        <f>DADOS_INVOC!$PM$58</f>
        <v/>
      </c>
      <c r="P883" s="16" t="n"/>
      <c r="Q883" s="16" t="n"/>
      <c r="R883" s="16" t="n"/>
      <c r="S883" s="17" t="n"/>
      <c r="T883" s="120" t="n"/>
      <c r="U883" s="55">
        <f>DADOS_INVOC!$PM$59</f>
        <v/>
      </c>
      <c r="V883" s="16" t="n"/>
      <c r="W883" s="16" t="n"/>
      <c r="X883" s="16" t="n"/>
      <c r="Y883" s="17" t="n"/>
      <c r="Z883" s="120" t="n"/>
      <c r="AB883" s="55">
        <f>DADOS_INVOC!$PM$135</f>
        <v/>
      </c>
      <c r="AC883" s="16" t="n"/>
      <c r="AD883" s="16" t="n"/>
      <c r="AE883" s="16" t="n"/>
      <c r="AF883" s="17" t="n"/>
      <c r="AG883" s="120" t="n"/>
      <c r="AH883" s="55">
        <f>DADOS_INVOC!$PM$136</f>
        <v/>
      </c>
      <c r="AI883" s="16" t="n"/>
      <c r="AJ883" s="16" t="n"/>
      <c r="AK883" s="16" t="n"/>
      <c r="AL883" s="17" t="n"/>
      <c r="AM883" s="120" t="n"/>
      <c r="AN883" s="55">
        <f>DADOS_INVOC!$PM$137</f>
        <v/>
      </c>
      <c r="AO883" s="16" t="n"/>
      <c r="AP883" s="16" t="n"/>
      <c r="AQ883" s="16" t="n"/>
      <c r="AR883" s="17" t="n"/>
      <c r="AS883" s="120" t="n"/>
    </row>
    <row r="884" hidden="1" outlineLevel="2">
      <c r="A884" s="8" t="n"/>
      <c r="B884" s="14" t="n"/>
      <c r="C884" s="120" t="n"/>
      <c r="D884" s="120" t="n"/>
      <c r="E884" s="120" t="n"/>
      <c r="F884" s="120" t="n"/>
      <c r="G884" s="120" t="n"/>
      <c r="I884" s="127" t="n">
        <v>0</v>
      </c>
      <c r="J884" s="115" t="n"/>
      <c r="K884" s="16" t="n"/>
      <c r="L884" s="17" t="n"/>
      <c r="M884" s="128">
        <f>DADOS_INVOC!$PK$57</f>
        <v/>
      </c>
      <c r="N884" s="120" t="n"/>
      <c r="O884" s="127" t="n">
        <v>1</v>
      </c>
      <c r="P884" s="115" t="n"/>
      <c r="Q884" s="16" t="n"/>
      <c r="R884" s="17" t="n"/>
      <c r="S884" s="128">
        <f>DADOS_INVOC!$PK$58</f>
        <v/>
      </c>
      <c r="T884" s="120" t="n"/>
      <c r="U884" s="127" t="n">
        <v>1</v>
      </c>
      <c r="V884" s="115" t="n"/>
      <c r="W884" s="16" t="n"/>
      <c r="X884" s="17" t="n"/>
      <c r="Y884" s="128">
        <f>DADOS_INVOC!$PK$59</f>
        <v/>
      </c>
      <c r="Z884" s="120" t="n"/>
      <c r="AB884" s="127" t="n">
        <v>0</v>
      </c>
      <c r="AC884" s="115" t="n"/>
      <c r="AD884" s="16" t="n"/>
      <c r="AE884" s="17" t="n"/>
      <c r="AF884" s="128">
        <f>DADOS_INVOC!$PK$135</f>
        <v/>
      </c>
      <c r="AG884" s="120" t="n"/>
      <c r="AH884" s="127" t="n">
        <v>1</v>
      </c>
      <c r="AI884" s="115" t="n"/>
      <c r="AJ884" s="16" t="n"/>
      <c r="AK884" s="17" t="n"/>
      <c r="AL884" s="128">
        <f>DADOS_INVOC!$PK$136</f>
        <v/>
      </c>
      <c r="AM884" s="120" t="n"/>
      <c r="AN884" s="127" t="n">
        <v>1</v>
      </c>
      <c r="AO884" s="115" t="n"/>
      <c r="AP884" s="16" t="n"/>
      <c r="AQ884" s="17" t="n"/>
      <c r="AR884" s="128">
        <f>DADOS_INVOC!$PK$137</f>
        <v/>
      </c>
      <c r="AS884" s="120" t="n"/>
    </row>
    <row r="885" hidden="1" outlineLevel="3">
      <c r="A885" s="8" t="n"/>
      <c r="B885" s="14" t="n"/>
      <c r="C885" s="120" t="n"/>
      <c r="D885" s="120" t="n"/>
      <c r="E885" s="120" t="n"/>
      <c r="F885" s="120" t="n"/>
      <c r="G885" s="120" t="n"/>
      <c r="I885" s="55" t="inlineStr">
        <is>
          <t>COMO É</t>
        </is>
      </c>
      <c r="J885" s="16" t="n"/>
      <c r="K885" s="16" t="n"/>
      <c r="L885" s="16" t="n"/>
      <c r="M885" s="17" t="n"/>
      <c r="N885" s="120" t="n"/>
      <c r="O885" s="55" t="inlineStr">
        <is>
          <t>COMO É</t>
        </is>
      </c>
      <c r="P885" s="16" t="n"/>
      <c r="Q885" s="16" t="n"/>
      <c r="R885" s="16" t="n"/>
      <c r="S885" s="17" t="n"/>
      <c r="T885" s="120" t="n"/>
      <c r="U885" s="55" t="inlineStr">
        <is>
          <t>COMO É</t>
        </is>
      </c>
      <c r="V885" s="16" t="n"/>
      <c r="W885" s="16" t="n"/>
      <c r="X885" s="16" t="n"/>
      <c r="Y885" s="17" t="n"/>
      <c r="Z885" s="120" t="n"/>
      <c r="AB885" s="55" t="inlineStr">
        <is>
          <t>COMO É</t>
        </is>
      </c>
      <c r="AC885" s="16" t="n"/>
      <c r="AD885" s="16" t="n"/>
      <c r="AE885" s="16" t="n"/>
      <c r="AF885" s="17" t="n"/>
      <c r="AG885" s="120" t="n"/>
      <c r="AH885" s="55" t="inlineStr">
        <is>
          <t>COMO É</t>
        </is>
      </c>
      <c r="AI885" s="16" t="n"/>
      <c r="AJ885" s="16" t="n"/>
      <c r="AK885" s="16" t="n"/>
      <c r="AL885" s="17" t="n"/>
      <c r="AM885" s="120" t="n"/>
      <c r="AN885" s="55" t="inlineStr">
        <is>
          <t>COMO É</t>
        </is>
      </c>
      <c r="AO885" s="16" t="n"/>
      <c r="AP885" s="16" t="n"/>
      <c r="AQ885" s="16" t="n"/>
      <c r="AR885" s="17" t="n"/>
      <c r="AS885" s="120" t="n"/>
    </row>
    <row r="886" hidden="1" outlineLevel="3">
      <c r="A886" s="8" t="n"/>
      <c r="B886" s="14" t="n"/>
      <c r="C886" s="120" t="n"/>
      <c r="D886" s="120" t="n"/>
      <c r="E886" s="120" t="n"/>
      <c r="F886" s="120" t="n"/>
      <c r="G886" s="120" t="n"/>
      <c r="I886" s="116" t="n"/>
      <c r="J886" s="19" t="n"/>
      <c r="K886" s="19" t="n"/>
      <c r="L886" s="19" t="n"/>
      <c r="M886" s="20" t="n"/>
      <c r="N886" s="120" t="n"/>
      <c r="O886" s="116" t="n"/>
      <c r="P886" s="19" t="n"/>
      <c r="Q886" s="19" t="n"/>
      <c r="R886" s="19" t="n"/>
      <c r="S886" s="20" t="n"/>
      <c r="T886" s="120" t="n"/>
      <c r="U886" s="116" t="n"/>
      <c r="V886" s="19" t="n"/>
      <c r="W886" s="19" t="n"/>
      <c r="X886" s="19" t="n"/>
      <c r="Y886" s="20" t="n"/>
      <c r="Z886" s="120" t="n"/>
      <c r="AB886" s="116" t="n"/>
      <c r="AC886" s="19" t="n"/>
      <c r="AD886" s="19" t="n"/>
      <c r="AE886" s="19" t="n"/>
      <c r="AF886" s="20" t="n"/>
      <c r="AG886" s="120" t="n"/>
      <c r="AH886" s="116" t="n"/>
      <c r="AI886" s="19" t="n"/>
      <c r="AJ886" s="19" t="n"/>
      <c r="AK886" s="19" t="n"/>
      <c r="AL886" s="20" t="n"/>
      <c r="AM886" s="120" t="n"/>
      <c r="AN886" s="116" t="n"/>
      <c r="AO886" s="19" t="n"/>
      <c r="AP886" s="19" t="n"/>
      <c r="AQ886" s="19" t="n"/>
      <c r="AR886" s="20" t="n"/>
      <c r="AS886" s="120" t="n"/>
    </row>
    <row r="887" hidden="1" outlineLevel="3">
      <c r="A887" s="8" t="n"/>
      <c r="B887" s="14" t="n"/>
      <c r="C887" s="120" t="n"/>
      <c r="D887" s="120" t="n"/>
      <c r="E887" s="120" t="n"/>
      <c r="F887" s="120" t="n"/>
      <c r="G887" s="120" t="n"/>
      <c r="I887" s="21" t="n"/>
      <c r="M887" s="22" t="n"/>
      <c r="N887" s="120" t="n"/>
      <c r="O887" s="21" t="n"/>
      <c r="S887" s="22" t="n"/>
      <c r="T887" s="120" t="n"/>
      <c r="U887" s="21" t="n"/>
      <c r="Y887" s="22" t="n"/>
      <c r="Z887" s="120" t="n"/>
      <c r="AB887" s="21" t="n"/>
      <c r="AF887" s="22" t="n"/>
      <c r="AG887" s="120" t="n"/>
      <c r="AH887" s="21" t="n"/>
      <c r="AL887" s="22" t="n"/>
      <c r="AM887" s="120" t="n"/>
      <c r="AN887" s="21" t="n"/>
      <c r="AR887" s="22"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4" t="inlineStr">
        <is>
          <t>Projétil</t>
        </is>
      </c>
      <c r="J889" s="17" t="n"/>
      <c r="K889" s="68">
        <f>DADOS_INVOC!$PR$57</f>
        <v/>
      </c>
      <c r="L889" s="17" t="n"/>
      <c r="M889" s="68">
        <f>DADOS_INVOC!$PN$57</f>
        <v/>
      </c>
      <c r="N889" s="120" t="n"/>
      <c r="O889" s="124" t="inlineStr">
        <is>
          <t>Projétil</t>
        </is>
      </c>
      <c r="P889" s="17" t="n"/>
      <c r="Q889" s="68">
        <f>DADOS_INVOC!$PR$58</f>
        <v/>
      </c>
      <c r="R889" s="17" t="n"/>
      <c r="S889" s="68">
        <f>DADOS_INVOC!$PN$58</f>
        <v/>
      </c>
      <c r="T889" s="120" t="n"/>
      <c r="U889" s="124" t="inlineStr">
        <is>
          <t>Projétil</t>
        </is>
      </c>
      <c r="V889" s="17" t="n"/>
      <c r="W889" s="68">
        <f>DADOS_INVOC!$PR$59</f>
        <v/>
      </c>
      <c r="X889" s="17" t="n"/>
      <c r="Y889" s="68">
        <f>DADOS_INVOC!$PN$59</f>
        <v/>
      </c>
      <c r="Z889" s="120" t="n"/>
      <c r="AB889" s="124" t="inlineStr">
        <is>
          <t>Projétil</t>
        </is>
      </c>
      <c r="AC889" s="17" t="n"/>
      <c r="AD889" s="68">
        <f>DADOS_INVOC!$PR$135</f>
        <v/>
      </c>
      <c r="AE889" s="17" t="n"/>
      <c r="AF889" s="68">
        <f>DADOS_INVOC!$PN$135</f>
        <v/>
      </c>
      <c r="AG889" s="120" t="n"/>
      <c r="AH889" s="124" t="inlineStr">
        <is>
          <t>Projétil</t>
        </is>
      </c>
      <c r="AI889" s="17" t="n"/>
      <c r="AJ889" s="68">
        <f>DADOS_INVOC!$PR$136</f>
        <v/>
      </c>
      <c r="AK889" s="17" t="n"/>
      <c r="AL889" s="68">
        <f>DADOS_INVOC!$PN$136</f>
        <v/>
      </c>
      <c r="AM889" s="120" t="n"/>
      <c r="AN889" s="124" t="inlineStr">
        <is>
          <t>Projétil</t>
        </is>
      </c>
      <c r="AO889" s="17" t="n"/>
      <c r="AP889" s="68">
        <f>DADOS_INVOC!$PR$137</f>
        <v/>
      </c>
      <c r="AQ889" s="17" t="n"/>
      <c r="AR889" s="68">
        <f>DADOS_INVOC!$PN$137</f>
        <v/>
      </c>
      <c r="AS889" s="120" t="n"/>
    </row>
    <row r="890" hidden="1" outlineLevel="2">
      <c r="A890" s="8" t="n"/>
      <c r="B890" s="14" t="n"/>
      <c r="C890" s="120" t="n"/>
      <c r="D890" s="120" t="n"/>
      <c r="E890" s="120" t="n"/>
      <c r="F890" s="120" t="n"/>
      <c r="G890" s="120" t="n"/>
      <c r="I890" s="124" t="n"/>
      <c r="J890" s="17" t="n"/>
      <c r="K890" s="124" t="n"/>
      <c r="L890" s="16" t="n"/>
      <c r="M890" s="17" t="n"/>
      <c r="N890" s="120" t="n"/>
      <c r="O890" s="124" t="n"/>
      <c r="P890" s="17" t="n"/>
      <c r="Q890" s="124" t="n"/>
      <c r="R890" s="16" t="n"/>
      <c r="S890" s="17" t="n"/>
      <c r="T890" s="120" t="n"/>
      <c r="U890" s="124" t="n"/>
      <c r="V890" s="17" t="n"/>
      <c r="W890" s="124" t="n"/>
      <c r="X890" s="16" t="n"/>
      <c r="Y890" s="17" t="n"/>
      <c r="Z890" s="120" t="n"/>
      <c r="AB890" s="124" t="n"/>
      <c r="AC890" s="17" t="n"/>
      <c r="AD890" s="124" t="n"/>
      <c r="AE890" s="16" t="n"/>
      <c r="AF890" s="17" t="n"/>
      <c r="AG890" s="120" t="n"/>
      <c r="AH890" s="124" t="n"/>
      <c r="AI890" s="17" t="n"/>
      <c r="AJ890" s="124" t="n"/>
      <c r="AK890" s="16" t="n"/>
      <c r="AL890" s="17" t="n"/>
      <c r="AM890" s="120" t="n"/>
      <c r="AN890" s="124" t="n"/>
      <c r="AO890" s="17" t="n"/>
      <c r="AP890" s="124" t="n"/>
      <c r="AQ890" s="16" t="n"/>
      <c r="AR890" s="17" t="n"/>
      <c r="AS890" s="120" t="n"/>
    </row>
    <row r="891" hidden="1" outlineLevel="2">
      <c r="A891" s="8" t="n"/>
      <c r="B891" s="14" t="n"/>
      <c r="C891" s="120" t="n"/>
      <c r="D891" s="120" t="n"/>
      <c r="E891" s="120" t="n"/>
      <c r="F891" s="120" t="n"/>
      <c r="G891" s="120" t="n"/>
      <c r="I891" s="124">
        <f>DADOS_INVOC!$PO$57</f>
        <v/>
      </c>
      <c r="J891" s="17" t="n"/>
      <c r="K891" s="124">
        <f>DADOS_INVOC!$PQ$57</f>
        <v/>
      </c>
      <c r="L891" s="16" t="n"/>
      <c r="M891" s="17" t="n"/>
      <c r="N891" s="120" t="n"/>
      <c r="O891" s="124">
        <f>DADOS_INVOC!$PO$58</f>
        <v/>
      </c>
      <c r="P891" s="17" t="n"/>
      <c r="Q891" s="124">
        <f>DADOS_INVOC!$PQ$58</f>
        <v/>
      </c>
      <c r="R891" s="16" t="n"/>
      <c r="S891" s="17" t="n"/>
      <c r="T891" s="120" t="n"/>
      <c r="U891" s="124">
        <f>DADOS_INVOC!$PO$59</f>
        <v/>
      </c>
      <c r="V891" s="17" t="n"/>
      <c r="W891" s="124">
        <f>DADOS_INVOC!$PQ$59</f>
        <v/>
      </c>
      <c r="X891" s="16" t="n"/>
      <c r="Y891" s="17" t="n"/>
      <c r="Z891" s="120" t="n"/>
      <c r="AB891" s="124">
        <f>DADOS_INVOC!$PO$135</f>
        <v/>
      </c>
      <c r="AC891" s="17" t="n"/>
      <c r="AD891" s="124">
        <f>DADOS_INVOC!$PQ$135</f>
        <v/>
      </c>
      <c r="AE891" s="16" t="n"/>
      <c r="AF891" s="17" t="n"/>
      <c r="AG891" s="120" t="n"/>
      <c r="AH891" s="124">
        <f>DADOS_INVOC!$PO$136</f>
        <v/>
      </c>
      <c r="AI891" s="17" t="n"/>
      <c r="AJ891" s="124">
        <f>DADOS_INVOC!$PQ$136</f>
        <v/>
      </c>
      <c r="AK891" s="16" t="n"/>
      <c r="AL891" s="17" t="n"/>
      <c r="AM891" s="120" t="n"/>
      <c r="AN891" s="124">
        <f>DADOS_INVOC!$PO$137</f>
        <v/>
      </c>
      <c r="AO891" s="17" t="n"/>
      <c r="AP891" s="124">
        <f>DADOS_INVOC!$PQ$137</f>
        <v/>
      </c>
      <c r="AQ891" s="16" t="n"/>
      <c r="AR891" s="17" t="n"/>
      <c r="AS891" s="120" t="n"/>
    </row>
    <row r="892" hidden="1" outlineLevel="2">
      <c r="A892" s="8" t="n"/>
      <c r="B892" s="14" t="n"/>
      <c r="C892" s="120" t="n"/>
      <c r="D892" s="120" t="n"/>
      <c r="E892" s="120" t="n"/>
      <c r="F892" s="120" t="n"/>
      <c r="G892" s="120" t="n"/>
      <c r="I892" s="129">
        <f>DADOS_INVOC!$PW$57</f>
        <v/>
      </c>
      <c r="J892" s="16" t="n"/>
      <c r="K892" s="16" t="n"/>
      <c r="L892" s="16" t="n"/>
      <c r="M892" s="17" t="n"/>
      <c r="N892" s="120" t="n"/>
      <c r="O892" s="129">
        <f>DADOS_INVOC!$PW$58</f>
        <v/>
      </c>
      <c r="P892" s="16" t="n"/>
      <c r="Q892" s="16" t="n"/>
      <c r="R892" s="16" t="n"/>
      <c r="S892" s="17" t="n"/>
      <c r="T892" s="120" t="n"/>
      <c r="U892" s="129">
        <f>DADOS_INVOC!$PW$59</f>
        <v/>
      </c>
      <c r="V892" s="16" t="n"/>
      <c r="W892" s="16" t="n"/>
      <c r="X892" s="16" t="n"/>
      <c r="Y892" s="17" t="n"/>
      <c r="Z892" s="120" t="n"/>
      <c r="AB892" s="129">
        <f>DADOS_INVOC!$PW$135</f>
        <v/>
      </c>
      <c r="AC892" s="16" t="n"/>
      <c r="AD892" s="16" t="n"/>
      <c r="AE892" s="16" t="n"/>
      <c r="AF892" s="17" t="n"/>
      <c r="AG892" s="120" t="n"/>
      <c r="AH892" s="129">
        <f>DADOS_INVOC!$PW$136</f>
        <v/>
      </c>
      <c r="AI892" s="16" t="n"/>
      <c r="AJ892" s="16" t="n"/>
      <c r="AK892" s="16" t="n"/>
      <c r="AL892" s="17" t="n"/>
      <c r="AM892" s="120" t="n"/>
      <c r="AN892" s="129">
        <f>DADOS_INVOC!$PW$137</f>
        <v/>
      </c>
      <c r="AO892" s="16" t="n"/>
      <c r="AP892" s="16" t="n"/>
      <c r="AQ892" s="16" t="n"/>
      <c r="AR892" s="17" t="n"/>
      <c r="AS892" s="120" t="n"/>
    </row>
    <row r="893" hidden="1" outlineLevel="3">
      <c r="A893" s="8" t="n"/>
      <c r="B893" s="14" t="n"/>
      <c r="C893" s="120" t="n"/>
      <c r="D893" s="120" t="n"/>
      <c r="E893" s="120" t="n"/>
      <c r="F893" s="120" t="n"/>
      <c r="G893" s="120" t="n"/>
      <c r="I893" s="55" t="inlineStr">
        <is>
          <t>MELHORIAS</t>
        </is>
      </c>
      <c r="J893" s="130" t="n"/>
      <c r="K893" s="16" t="n"/>
      <c r="L893" s="17" t="n"/>
      <c r="M893" s="129">
        <f>DADOS_INVOC!$PZ$57</f>
        <v/>
      </c>
      <c r="N893" s="120" t="n"/>
      <c r="O893" s="55" t="inlineStr">
        <is>
          <t>MELHORIAS</t>
        </is>
      </c>
      <c r="P893" s="130" t="n"/>
      <c r="Q893" s="16" t="n"/>
      <c r="R893" s="17" t="n"/>
      <c r="S893" s="129">
        <f>DADOS_INVOC!$PZ$58</f>
        <v/>
      </c>
      <c r="T893" s="120" t="n"/>
      <c r="U893" s="55" t="inlineStr">
        <is>
          <t>MELHORIAS</t>
        </is>
      </c>
      <c r="V893" s="130" t="n"/>
      <c r="W893" s="16" t="n"/>
      <c r="X893" s="17" t="n"/>
      <c r="Y893" s="129">
        <f>DADOS_INVOC!$PZ$59</f>
        <v/>
      </c>
      <c r="Z893" s="120" t="n"/>
      <c r="AB893" s="55" t="inlineStr">
        <is>
          <t>MELHORIAS</t>
        </is>
      </c>
      <c r="AC893" s="130" t="n"/>
      <c r="AD893" s="16" t="n"/>
      <c r="AE893" s="17" t="n"/>
      <c r="AF893" s="129">
        <f>DADOS_INVOC!$PZ$135</f>
        <v/>
      </c>
      <c r="AG893" s="120" t="n"/>
      <c r="AH893" s="55" t="inlineStr">
        <is>
          <t>MELHORIAS</t>
        </is>
      </c>
      <c r="AI893" s="130" t="n"/>
      <c r="AJ893" s="16" t="n"/>
      <c r="AK893" s="17" t="n"/>
      <c r="AL893" s="129">
        <f>DADOS_INVOC!$PZ$136</f>
        <v/>
      </c>
      <c r="AM893" s="120" t="n"/>
      <c r="AN893" s="55" t="inlineStr">
        <is>
          <t>MELHORIAS</t>
        </is>
      </c>
      <c r="AO893" s="130" t="n"/>
      <c r="AP893" s="16" t="n"/>
      <c r="AQ893" s="17" t="n"/>
      <c r="AR893" s="129">
        <f>DADOS_INVOC!$PZ$137</f>
        <v/>
      </c>
      <c r="AS893" s="120" t="n"/>
    </row>
    <row r="894" hidden="1" outlineLevel="3">
      <c r="A894" s="8" t="n"/>
      <c r="B894" s="14" t="n"/>
      <c r="C894" s="120" t="n"/>
      <c r="D894" s="120" t="n"/>
      <c r="E894" s="120" t="n"/>
      <c r="F894" s="120" t="n"/>
      <c r="G894" s="120" t="n"/>
      <c r="I894" s="131" t="n"/>
      <c r="J894" s="130" t="n"/>
      <c r="K894" s="16" t="n"/>
      <c r="L894" s="17" t="n"/>
      <c r="M894" s="129">
        <f>DADOS_INVOC!$QA$57</f>
        <v/>
      </c>
      <c r="N894" s="120" t="n"/>
      <c r="O894" s="131" t="n"/>
      <c r="P894" s="130" t="n"/>
      <c r="Q894" s="16" t="n"/>
      <c r="R894" s="17" t="n"/>
      <c r="S894" s="129">
        <f>DADOS_INVOC!$QA$58</f>
        <v/>
      </c>
      <c r="T894" s="120" t="n"/>
      <c r="U894" s="131" t="n"/>
      <c r="V894" s="130" t="n"/>
      <c r="W894" s="16" t="n"/>
      <c r="X894" s="17" t="n"/>
      <c r="Y894" s="129">
        <f>DADOS_INVOC!$QA$59</f>
        <v/>
      </c>
      <c r="Z894" s="120" t="n"/>
      <c r="AB894" s="131" t="n"/>
      <c r="AC894" s="130" t="n"/>
      <c r="AD894" s="16" t="n"/>
      <c r="AE894" s="17" t="n"/>
      <c r="AF894" s="129">
        <f>DADOS_INVOC!$QA$135</f>
        <v/>
      </c>
      <c r="AG894" s="120" t="n"/>
      <c r="AH894" s="131" t="n"/>
      <c r="AI894" s="130" t="n"/>
      <c r="AJ894" s="16" t="n"/>
      <c r="AK894" s="17" t="n"/>
      <c r="AL894" s="129">
        <f>DADOS_INVOC!$QA$136</f>
        <v/>
      </c>
      <c r="AM894" s="120" t="n"/>
      <c r="AN894" s="131" t="n"/>
      <c r="AO894" s="130" t="n"/>
      <c r="AP894" s="16" t="n"/>
      <c r="AQ894" s="17" t="n"/>
      <c r="AR894" s="129">
        <f>DADOS_INVOC!$QA$137</f>
        <v/>
      </c>
      <c r="AS894" s="120" t="n"/>
    </row>
    <row r="895" hidden="1" outlineLevel="3">
      <c r="A895" s="8" t="n"/>
      <c r="B895" s="14" t="n"/>
      <c r="C895" s="120" t="n"/>
      <c r="D895" s="120" t="n"/>
      <c r="E895" s="120" t="n"/>
      <c r="F895" s="120" t="n"/>
      <c r="G895" s="120" t="n"/>
      <c r="I895" s="131" t="n"/>
      <c r="J895" s="130" t="n"/>
      <c r="K895" s="16" t="n"/>
      <c r="L895" s="17" t="n"/>
      <c r="M895" s="129">
        <f>DADOS_INVOC!$QB$57</f>
        <v/>
      </c>
      <c r="N895" s="120" t="n"/>
      <c r="O895" s="131" t="n"/>
      <c r="P895" s="130" t="n"/>
      <c r="Q895" s="16" t="n"/>
      <c r="R895" s="17" t="n"/>
      <c r="S895" s="129">
        <f>DADOS_INVOC!$QB$58</f>
        <v/>
      </c>
      <c r="T895" s="120" t="n"/>
      <c r="U895" s="131" t="n"/>
      <c r="V895" s="130" t="n"/>
      <c r="W895" s="16" t="n"/>
      <c r="X895" s="17" t="n"/>
      <c r="Y895" s="129">
        <f>DADOS_INVOC!$QB$59</f>
        <v/>
      </c>
      <c r="Z895" s="120" t="n"/>
      <c r="AB895" s="131" t="n"/>
      <c r="AC895" s="130" t="n"/>
      <c r="AD895" s="16" t="n"/>
      <c r="AE895" s="17" t="n"/>
      <c r="AF895" s="129">
        <f>DADOS_INVOC!$QB$135</f>
        <v/>
      </c>
      <c r="AG895" s="120" t="n"/>
      <c r="AH895" s="131" t="n"/>
      <c r="AI895" s="130" t="n"/>
      <c r="AJ895" s="16" t="n"/>
      <c r="AK895" s="17" t="n"/>
      <c r="AL895" s="129">
        <f>DADOS_INVOC!$QB$136</f>
        <v/>
      </c>
      <c r="AM895" s="120" t="n"/>
      <c r="AN895" s="131" t="n"/>
      <c r="AO895" s="130" t="n"/>
      <c r="AP895" s="16" t="n"/>
      <c r="AQ895" s="17" t="n"/>
      <c r="AR895" s="129">
        <f>DADOS_INVOC!$QB$137</f>
        <v/>
      </c>
      <c r="AS895" s="120" t="n"/>
    </row>
    <row r="896" hidden="1" outlineLevel="3">
      <c r="A896" s="8" t="n"/>
      <c r="B896" s="14" t="n"/>
      <c r="C896" s="120" t="n"/>
      <c r="D896" s="120" t="n"/>
      <c r="E896" s="120" t="n"/>
      <c r="F896" s="120" t="n"/>
      <c r="G896" s="120" t="n"/>
      <c r="I896" s="125" t="n"/>
      <c r="J896" s="130" t="n"/>
      <c r="K896" s="16" t="n"/>
      <c r="L896" s="17" t="n"/>
      <c r="M896" s="129">
        <f>DADOS_INVOC!$QC$57</f>
        <v/>
      </c>
      <c r="N896" s="120" t="n"/>
      <c r="O896" s="125" t="n"/>
      <c r="P896" s="130" t="n"/>
      <c r="Q896" s="16" t="n"/>
      <c r="R896" s="17" t="n"/>
      <c r="S896" s="129">
        <f>DADOS_INVOC!$QC$58</f>
        <v/>
      </c>
      <c r="T896" s="120" t="n"/>
      <c r="U896" s="125" t="n"/>
      <c r="V896" s="130" t="n"/>
      <c r="W896" s="16" t="n"/>
      <c r="X896" s="17" t="n"/>
      <c r="Y896" s="129">
        <f>DADOS_INVOC!$QC$59</f>
        <v/>
      </c>
      <c r="Z896" s="120" t="n"/>
      <c r="AB896" s="125" t="n"/>
      <c r="AC896" s="130" t="n"/>
      <c r="AD896" s="16" t="n"/>
      <c r="AE896" s="17" t="n"/>
      <c r="AF896" s="129">
        <f>DADOS_INVOC!$QC$135</f>
        <v/>
      </c>
      <c r="AG896" s="120" t="n"/>
      <c r="AH896" s="125" t="n"/>
      <c r="AI896" s="130" t="n"/>
      <c r="AJ896" s="16" t="n"/>
      <c r="AK896" s="17" t="n"/>
      <c r="AL896" s="129">
        <f>DADOS_INVOC!$QC$136</f>
        <v/>
      </c>
      <c r="AM896" s="120" t="n"/>
      <c r="AN896" s="125" t="n"/>
      <c r="AO896" s="130" t="n"/>
      <c r="AP896" s="16" t="n"/>
      <c r="AQ896" s="17" t="n"/>
      <c r="AR896" s="129">
        <f>DADOS_INVOC!$QC$137</f>
        <v/>
      </c>
      <c r="AS896" s="120" t="n"/>
    </row>
    <row r="897" hidden="1" outlineLevel="3">
      <c r="A897" s="8" t="n"/>
      <c r="B897" s="14" t="n"/>
      <c r="C897" s="120" t="n"/>
      <c r="D897" s="120" t="n"/>
      <c r="E897" s="120" t="n"/>
      <c r="F897" s="120" t="n"/>
      <c r="G897" s="120" t="n"/>
      <c r="I897" s="55" t="inlineStr">
        <is>
          <t>RESTRIÇÕES</t>
        </is>
      </c>
      <c r="J897" s="130" t="n"/>
      <c r="K897" s="16" t="n"/>
      <c r="L897" s="17" t="n"/>
      <c r="M897" s="129">
        <f>DADOS_INVOC!$QD$57</f>
        <v/>
      </c>
      <c r="N897" s="120" t="n"/>
      <c r="O897" s="55" t="inlineStr">
        <is>
          <t>RESTRIÇÕES</t>
        </is>
      </c>
      <c r="P897" s="130" t="n"/>
      <c r="Q897" s="16" t="n"/>
      <c r="R897" s="17" t="n"/>
      <c r="S897" s="129">
        <f>DADOS_INVOC!$QD$58</f>
        <v/>
      </c>
      <c r="T897" s="120" t="n"/>
      <c r="U897" s="55" t="inlineStr">
        <is>
          <t>RESTRIÇÕES</t>
        </is>
      </c>
      <c r="V897" s="130" t="n"/>
      <c r="W897" s="16" t="n"/>
      <c r="X897" s="17" t="n"/>
      <c r="Y897" s="129">
        <f>DADOS_INVOC!$QD$59</f>
        <v/>
      </c>
      <c r="Z897" s="120" t="n"/>
      <c r="AB897" s="55" t="inlineStr">
        <is>
          <t>RESTRIÇÕES</t>
        </is>
      </c>
      <c r="AC897" s="130" t="n"/>
      <c r="AD897" s="16" t="n"/>
      <c r="AE897" s="17" t="n"/>
      <c r="AF897" s="129">
        <f>DADOS_INVOC!$QD$135</f>
        <v/>
      </c>
      <c r="AG897" s="120" t="n"/>
      <c r="AH897" s="55" t="inlineStr">
        <is>
          <t>RESTRIÇÕES</t>
        </is>
      </c>
      <c r="AI897" s="130" t="n"/>
      <c r="AJ897" s="16" t="n"/>
      <c r="AK897" s="17" t="n"/>
      <c r="AL897" s="129">
        <f>DADOS_INVOC!$QD$136</f>
        <v/>
      </c>
      <c r="AM897" s="120" t="n"/>
      <c r="AN897" s="55" t="inlineStr">
        <is>
          <t>RESTRIÇÕES</t>
        </is>
      </c>
      <c r="AO897" s="130" t="n"/>
      <c r="AP897" s="16" t="n"/>
      <c r="AQ897" s="17" t="n"/>
      <c r="AR897" s="129">
        <f>DADOS_INVOC!$QD$137</f>
        <v/>
      </c>
      <c r="AS897" s="120" t="n"/>
    </row>
    <row r="898" hidden="1" outlineLevel="3">
      <c r="A898" s="8" t="n"/>
      <c r="B898" s="14" t="n"/>
      <c r="C898" s="120" t="n"/>
      <c r="D898" s="120" t="n"/>
      <c r="E898" s="120" t="n"/>
      <c r="F898" s="120" t="n"/>
      <c r="G898" s="120" t="n"/>
      <c r="I898" s="125" t="n"/>
      <c r="J898" s="130" t="n"/>
      <c r="K898" s="16" t="n"/>
      <c r="L898" s="17" t="n"/>
      <c r="M898" s="129">
        <f>DADOS_INVOC!$QE$57</f>
        <v/>
      </c>
      <c r="N898" s="120" t="n"/>
      <c r="O898" s="125" t="n"/>
      <c r="P898" s="130" t="n"/>
      <c r="Q898" s="16" t="n"/>
      <c r="R898" s="17" t="n"/>
      <c r="S898" s="129">
        <f>DADOS_INVOC!$QE$58</f>
        <v/>
      </c>
      <c r="T898" s="120" t="n"/>
      <c r="U898" s="125" t="n"/>
      <c r="V898" s="130" t="n"/>
      <c r="W898" s="16" t="n"/>
      <c r="X898" s="17" t="n"/>
      <c r="Y898" s="129">
        <f>DADOS_INVOC!$QE$59</f>
        <v/>
      </c>
      <c r="Z898" s="120" t="n"/>
      <c r="AB898" s="125" t="n"/>
      <c r="AC898" s="130" t="n"/>
      <c r="AD898" s="16" t="n"/>
      <c r="AE898" s="17" t="n"/>
      <c r="AF898" s="129">
        <f>DADOS_INVOC!$QE$135</f>
        <v/>
      </c>
      <c r="AG898" s="120" t="n"/>
      <c r="AH898" s="125" t="n"/>
      <c r="AI898" s="130" t="n"/>
      <c r="AJ898" s="16" t="n"/>
      <c r="AK898" s="17" t="n"/>
      <c r="AL898" s="129">
        <f>DADOS_INVOC!$QE$136</f>
        <v/>
      </c>
      <c r="AM898" s="120" t="n"/>
      <c r="AN898" s="125" t="n"/>
      <c r="AO898" s="130" t="n"/>
      <c r="AP898" s="16" t="n"/>
      <c r="AQ898" s="17" t="n"/>
      <c r="AR898" s="129">
        <f>DADOS_INVOC!$QE$137</f>
        <v/>
      </c>
      <c r="AS898" s="120" t="n"/>
    </row>
    <row r="899" hidden="1" outlineLevel="3">
      <c r="A899" s="8" t="n"/>
      <c r="B899" s="14" t="n"/>
      <c r="C899" s="120" t="n"/>
      <c r="D899" s="120" t="n"/>
      <c r="E899" s="120" t="n"/>
      <c r="F899" s="120" t="n"/>
      <c r="G899" s="120" t="n"/>
      <c r="I899" s="55" t="inlineStr">
        <is>
          <t>CONTA</t>
        </is>
      </c>
      <c r="J899" s="132">
        <f>DADOS_INVOC!$PX$57</f>
        <v/>
      </c>
      <c r="K899" s="16" t="n"/>
      <c r="L899" s="16" t="n"/>
      <c r="M899" s="17" t="n"/>
      <c r="N899" s="120" t="n"/>
      <c r="O899" s="55" t="inlineStr">
        <is>
          <t>CONTA</t>
        </is>
      </c>
      <c r="P899" s="132">
        <f>DADOS_INVOC!$PX$58</f>
        <v/>
      </c>
      <c r="Q899" s="16" t="n"/>
      <c r="R899" s="16" t="n"/>
      <c r="S899" s="17" t="n"/>
      <c r="T899" s="120" t="n"/>
      <c r="U899" s="55" t="inlineStr">
        <is>
          <t>CONTA</t>
        </is>
      </c>
      <c r="V899" s="132">
        <f>DADOS_INVOC!$PX$59</f>
        <v/>
      </c>
      <c r="W899" s="16" t="n"/>
      <c r="X899" s="16" t="n"/>
      <c r="Y899" s="17" t="n"/>
      <c r="Z899" s="120" t="n"/>
      <c r="AB899" s="55" t="inlineStr">
        <is>
          <t>CONTA</t>
        </is>
      </c>
      <c r="AC899" s="132">
        <f>DADOS_INVOC!$PX$135</f>
        <v/>
      </c>
      <c r="AD899" s="16" t="n"/>
      <c r="AE899" s="16" t="n"/>
      <c r="AF899" s="17" t="n"/>
      <c r="AG899" s="120" t="n"/>
      <c r="AH899" s="55" t="inlineStr">
        <is>
          <t>CONTA</t>
        </is>
      </c>
      <c r="AI899" s="132">
        <f>DADOS_INVOC!$PX$136</f>
        <v/>
      </c>
      <c r="AJ899" s="16" t="n"/>
      <c r="AK899" s="16" t="n"/>
      <c r="AL899" s="17" t="n"/>
      <c r="AM899" s="120" t="n"/>
      <c r="AN899" s="55" t="inlineStr">
        <is>
          <t>CONTA</t>
        </is>
      </c>
      <c r="AO899" s="132">
        <f>DADOS_INVOC!$PX$137</f>
        <v/>
      </c>
      <c r="AP899" s="16" t="n"/>
      <c r="AQ899" s="16" t="n"/>
      <c r="AR899" s="17" t="n"/>
      <c r="AS899" s="120" t="n"/>
    </row>
    <row r="900" hidden="1" outlineLevel="3">
      <c r="A900" s="8" t="n"/>
      <c r="B900" s="14" t="n"/>
      <c r="C900" s="120" t="n"/>
      <c r="D900" s="120" t="n"/>
      <c r="E900" s="120" t="n"/>
      <c r="F900" s="120" t="n"/>
      <c r="G900" s="120" t="n"/>
      <c r="I900" s="55" t="inlineStr">
        <is>
          <t>AMPLIAR</t>
        </is>
      </c>
      <c r="J900" s="132">
        <f>DADOS_INVOC!$PY$57</f>
        <v/>
      </c>
      <c r="K900" s="19" t="n"/>
      <c r="L900" s="19" t="n"/>
      <c r="M900" s="20" t="n"/>
      <c r="N900" s="120" t="n"/>
      <c r="O900" s="55" t="inlineStr">
        <is>
          <t>AMPLIAR</t>
        </is>
      </c>
      <c r="P900" s="132">
        <f>DADOS_INVOC!$PY$58</f>
        <v/>
      </c>
      <c r="Q900" s="19" t="n"/>
      <c r="R900" s="19" t="n"/>
      <c r="S900" s="20" t="n"/>
      <c r="T900" s="120" t="n"/>
      <c r="U900" s="55" t="inlineStr">
        <is>
          <t>AMPLIAR</t>
        </is>
      </c>
      <c r="V900" s="132">
        <f>DADOS_INVOC!$PY$59</f>
        <v/>
      </c>
      <c r="W900" s="19" t="n"/>
      <c r="X900" s="19" t="n"/>
      <c r="Y900" s="20" t="n"/>
      <c r="Z900" s="120" t="n"/>
      <c r="AB900" s="55" t="inlineStr">
        <is>
          <t>AMPLIAR</t>
        </is>
      </c>
      <c r="AC900" s="132">
        <f>DADOS_INVOC!$PY$135</f>
        <v/>
      </c>
      <c r="AD900" s="19" t="n"/>
      <c r="AE900" s="19" t="n"/>
      <c r="AF900" s="20" t="n"/>
      <c r="AG900" s="120" t="n"/>
      <c r="AH900" s="55" t="inlineStr">
        <is>
          <t>AMPLIAR</t>
        </is>
      </c>
      <c r="AI900" s="132">
        <f>DADOS_INVOC!$PY$136</f>
        <v/>
      </c>
      <c r="AJ900" s="19" t="n"/>
      <c r="AK900" s="19" t="n"/>
      <c r="AL900" s="20" t="n"/>
      <c r="AM900" s="120" t="n"/>
      <c r="AN900" s="55" t="inlineStr">
        <is>
          <t>AMPLIAR</t>
        </is>
      </c>
      <c r="AO900" s="132">
        <f>DADOS_INVOC!$PY$137</f>
        <v/>
      </c>
      <c r="AP900" s="19" t="n"/>
      <c r="AQ900" s="19" t="n"/>
      <c r="AR900" s="20" t="n"/>
      <c r="AS900" s="120" t="n"/>
    </row>
    <row r="901" hidden="1" outlineLevel="3">
      <c r="A901" s="8" t="n"/>
      <c r="B901" s="14" t="n"/>
      <c r="C901" s="120" t="n"/>
      <c r="D901" s="120" t="n"/>
      <c r="E901" s="120" t="n"/>
      <c r="F901" s="120" t="n"/>
      <c r="G901" s="120" t="n"/>
      <c r="I901" s="125" t="n"/>
      <c r="J901" s="23" t="n"/>
      <c r="K901" s="24" t="n"/>
      <c r="L901" s="24" t="n"/>
      <c r="M901" s="25" t="n"/>
      <c r="N901" s="120" t="n"/>
      <c r="O901" s="125" t="n"/>
      <c r="P901" s="23" t="n"/>
      <c r="Q901" s="24" t="n"/>
      <c r="R901" s="24" t="n"/>
      <c r="S901" s="25" t="n"/>
      <c r="T901" s="120" t="n"/>
      <c r="U901" s="125" t="n"/>
      <c r="V901" s="23" t="n"/>
      <c r="W901" s="24" t="n"/>
      <c r="X901" s="24" t="n"/>
      <c r="Y901" s="25" t="n"/>
      <c r="Z901" s="120" t="n"/>
      <c r="AB901" s="125" t="n"/>
      <c r="AC901" s="23" t="n"/>
      <c r="AD901" s="24" t="n"/>
      <c r="AE901" s="24" t="n"/>
      <c r="AF901" s="25" t="n"/>
      <c r="AG901" s="120" t="n"/>
      <c r="AH901" s="125" t="n"/>
      <c r="AI901" s="23" t="n"/>
      <c r="AJ901" s="24" t="n"/>
      <c r="AK901" s="24" t="n"/>
      <c r="AL901" s="25" t="n"/>
      <c r="AM901" s="120" t="n"/>
      <c r="AN901" s="125" t="n"/>
      <c r="AO901" s="23" t="n"/>
      <c r="AP901" s="24" t="n"/>
      <c r="AQ901" s="24" t="n"/>
      <c r="AR901" s="25" t="n"/>
      <c r="AS901" s="120" t="n"/>
    </row>
    <row r="902" hidden="1" outlineLevel="3">
      <c r="A902" s="8" t="n"/>
      <c r="B902" s="14" t="n"/>
      <c r="C902" s="120" t="n"/>
      <c r="D902" s="120" t="n"/>
      <c r="E902" s="120" t="n"/>
      <c r="F902" s="120" t="n"/>
      <c r="G902" s="120" t="n"/>
      <c r="I902" s="132">
        <f>DADOS_INVOC!$PL$57</f>
        <v/>
      </c>
      <c r="J902" s="19" t="n"/>
      <c r="K902" s="19" t="n"/>
      <c r="L902" s="19" t="n"/>
      <c r="M902" s="20" t="n"/>
      <c r="N902" s="120" t="n"/>
      <c r="O902" s="132">
        <f>DADOS_INVOC!$PL$58</f>
        <v/>
      </c>
      <c r="P902" s="19" t="n"/>
      <c r="Q902" s="19" t="n"/>
      <c r="R902" s="19" t="n"/>
      <c r="S902" s="20" t="n"/>
      <c r="T902" s="120" t="n"/>
      <c r="U902" s="132">
        <f>DADOS_INVOC!$PL$59</f>
        <v/>
      </c>
      <c r="V902" s="19" t="n"/>
      <c r="W902" s="19" t="n"/>
      <c r="X902" s="19" t="n"/>
      <c r="Y902" s="20" t="n"/>
      <c r="Z902" s="120" t="n"/>
      <c r="AB902" s="132">
        <f>DADOS_INVOC!$PL$135</f>
        <v/>
      </c>
      <c r="AC902" s="19" t="n"/>
      <c r="AD902" s="19" t="n"/>
      <c r="AE902" s="19" t="n"/>
      <c r="AF902" s="20" t="n"/>
      <c r="AG902" s="120" t="n"/>
      <c r="AH902" s="132">
        <f>DADOS_INVOC!$PL$136</f>
        <v/>
      </c>
      <c r="AI902" s="19" t="n"/>
      <c r="AJ902" s="19" t="n"/>
      <c r="AK902" s="19" t="n"/>
      <c r="AL902" s="20" t="n"/>
      <c r="AM902" s="120" t="n"/>
      <c r="AN902" s="132">
        <f>DADOS_INVOC!$PL$137</f>
        <v/>
      </c>
      <c r="AO902" s="19" t="n"/>
      <c r="AP902" s="19" t="n"/>
      <c r="AQ902" s="19" t="n"/>
      <c r="AR902" s="20" t="n"/>
      <c r="AS902" s="120" t="n"/>
    </row>
    <row r="903" hidden="1" outlineLevel="3">
      <c r="A903" s="8" t="n"/>
      <c r="B903" s="14" t="n"/>
      <c r="C903" s="120" t="n"/>
      <c r="D903" s="120" t="n"/>
      <c r="E903" s="120" t="n"/>
      <c r="F903" s="120" t="n"/>
      <c r="G903" s="120" t="n"/>
      <c r="I903" s="23" t="n"/>
      <c r="J903" s="24" t="n"/>
      <c r="K903" s="24" t="n"/>
      <c r="L903" s="24" t="n"/>
      <c r="M903" s="25" t="n"/>
      <c r="N903" s="120" t="n"/>
      <c r="O903" s="23" t="n"/>
      <c r="P903" s="24" t="n"/>
      <c r="Q903" s="24" t="n"/>
      <c r="R903" s="24" t="n"/>
      <c r="S903" s="25" t="n"/>
      <c r="T903" s="120" t="n"/>
      <c r="U903" s="23" t="n"/>
      <c r="V903" s="24" t="n"/>
      <c r="W903" s="24" t="n"/>
      <c r="X903" s="24" t="n"/>
      <c r="Y903" s="25" t="n"/>
      <c r="Z903" s="120" t="n"/>
      <c r="AB903" s="23" t="n"/>
      <c r="AC903" s="24" t="n"/>
      <c r="AD903" s="24" t="n"/>
      <c r="AE903" s="24" t="n"/>
      <c r="AF903" s="25" t="n"/>
      <c r="AG903" s="120" t="n"/>
      <c r="AH903" s="23" t="n"/>
      <c r="AI903" s="24" t="n"/>
      <c r="AJ903" s="24" t="n"/>
      <c r="AK903" s="24" t="n"/>
      <c r="AL903" s="25" t="n"/>
      <c r="AM903" s="120" t="n"/>
      <c r="AN903" s="23" t="n"/>
      <c r="AO903" s="24" t="n"/>
      <c r="AP903" s="24" t="n"/>
      <c r="AQ903" s="24" t="n"/>
      <c r="AR903" s="25" t="n"/>
      <c r="AS903" s="120" t="n"/>
    </row>
    <row r="904" hidden="1" outlineLevel="2">
      <c r="A904" s="8" t="n"/>
      <c r="B904" s="14" t="n"/>
      <c r="C904" s="120" t="n"/>
      <c r="D904" s="120" t="n"/>
      <c r="E904" s="120" t="n"/>
      <c r="F904" s="120" t="n"/>
      <c r="G904" s="120" t="n"/>
      <c r="I904" s="120" t="n"/>
      <c r="J904" s="120" t="n"/>
      <c r="K904" s="120" t="n"/>
      <c r="L904" s="120" t="n"/>
      <c r="M904" s="120" t="n"/>
      <c r="N904" s="120" t="n"/>
      <c r="O904" s="120" t="n"/>
      <c r="P904" s="120" t="n"/>
      <c r="Q904" s="120" t="n"/>
      <c r="R904" s="120" t="n"/>
      <c r="S904" s="120" t="n"/>
      <c r="T904" s="120" t="n"/>
      <c r="U904" s="120" t="n"/>
      <c r="V904" s="120" t="n"/>
      <c r="W904" s="120" t="n"/>
      <c r="X904" s="120" t="n"/>
      <c r="Y904" s="120" t="n"/>
      <c r="Z904" s="120" t="n"/>
      <c r="AB904" s="120" t="n"/>
      <c r="AC904" s="120" t="n"/>
      <c r="AD904" s="120" t="n"/>
      <c r="AE904" s="120" t="n"/>
      <c r="AF904" s="120" t="n"/>
      <c r="AG904" s="120" t="n"/>
      <c r="AH904" s="120" t="n"/>
      <c r="AI904" s="120" t="n"/>
      <c r="AJ904" s="120" t="n"/>
      <c r="AK904" s="120" t="n"/>
      <c r="AL904" s="120" t="n"/>
      <c r="AM904" s="120" t="n"/>
      <c r="AN904" s="120" t="n"/>
      <c r="AO904" s="120" t="n"/>
      <c r="AP904" s="120" t="n"/>
      <c r="AQ904" s="120" t="n"/>
      <c r="AR904" s="120" t="n"/>
      <c r="AS904" s="120" t="n"/>
    </row>
    <row r="905" hidden="1" outlineLevel="2">
      <c r="A905" s="8" t="n"/>
      <c r="B905" s="14" t="n"/>
      <c r="C905" s="120" t="n"/>
      <c r="D905" s="120" t="n"/>
      <c r="E905" s="120" t="n"/>
      <c r="F905" s="120" t="n"/>
      <c r="G905" s="120" t="n"/>
      <c r="I905" s="55">
        <f>DADOS_INVOC!$PM$60</f>
        <v/>
      </c>
      <c r="J905" s="16" t="n"/>
      <c r="K905" s="16" t="n"/>
      <c r="L905" s="16" t="n"/>
      <c r="M905" s="17" t="n"/>
      <c r="N905" s="120" t="n"/>
      <c r="O905" s="55">
        <f>DADOS_INVOC!$PM$61</f>
        <v/>
      </c>
      <c r="P905" s="16" t="n"/>
      <c r="Q905" s="16" t="n"/>
      <c r="R905" s="16" t="n"/>
      <c r="S905" s="17" t="n"/>
      <c r="T905" s="120" t="n"/>
      <c r="U905" s="55">
        <f>DADOS_INVOC!$PM$62</f>
        <v/>
      </c>
      <c r="V905" s="16" t="n"/>
      <c r="W905" s="16" t="n"/>
      <c r="X905" s="16" t="n"/>
      <c r="Y905" s="17" t="n"/>
      <c r="Z905" s="120" t="n"/>
      <c r="AB905" s="55">
        <f>DADOS_INVOC!$PM$138</f>
        <v/>
      </c>
      <c r="AC905" s="16" t="n"/>
      <c r="AD905" s="16" t="n"/>
      <c r="AE905" s="16" t="n"/>
      <c r="AF905" s="17" t="n"/>
      <c r="AG905" s="120" t="n"/>
      <c r="AH905" s="55">
        <f>DADOS_INVOC!$PM$139</f>
        <v/>
      </c>
      <c r="AI905" s="16" t="n"/>
      <c r="AJ905" s="16" t="n"/>
      <c r="AK905" s="16" t="n"/>
      <c r="AL905" s="17" t="n"/>
      <c r="AM905" s="120" t="n"/>
      <c r="AN905" s="55">
        <f>DADOS_INVOC!$PM$140</f>
        <v/>
      </c>
      <c r="AO905" s="16" t="n"/>
      <c r="AP905" s="16" t="n"/>
      <c r="AQ905" s="16" t="n"/>
      <c r="AR905" s="17" t="n"/>
      <c r="AS905" s="120" t="n"/>
    </row>
    <row r="906" hidden="1" outlineLevel="2">
      <c r="A906" s="8" t="n"/>
      <c r="B906" s="14" t="n"/>
      <c r="C906" s="120" t="n"/>
      <c r="D906" s="120" t="n"/>
      <c r="E906" s="120" t="n"/>
      <c r="F906" s="120" t="n"/>
      <c r="G906" s="120" t="n"/>
      <c r="I906" s="127" t="n">
        <v>1</v>
      </c>
      <c r="J906" s="115" t="n"/>
      <c r="K906" s="16" t="n"/>
      <c r="L906" s="17" t="n"/>
      <c r="M906" s="128">
        <f>DADOS_INVOC!$PK$60</f>
        <v/>
      </c>
      <c r="N906" s="120" t="n"/>
      <c r="O906" s="127" t="n">
        <v>1</v>
      </c>
      <c r="P906" s="115" t="n"/>
      <c r="Q906" s="16" t="n"/>
      <c r="R906" s="17" t="n"/>
      <c r="S906" s="128">
        <f>DADOS_INVOC!$PK$61</f>
        <v/>
      </c>
      <c r="T906" s="120" t="n"/>
      <c r="U906" s="127" t="n">
        <v>1</v>
      </c>
      <c r="V906" s="115" t="n"/>
      <c r="W906" s="16" t="n"/>
      <c r="X906" s="17" t="n"/>
      <c r="Y906" s="128">
        <f>DADOS_INVOC!$PK$62</f>
        <v/>
      </c>
      <c r="Z906" s="120" t="n"/>
      <c r="AB906" s="127" t="n">
        <v>1</v>
      </c>
      <c r="AC906" s="115" t="n"/>
      <c r="AD906" s="16" t="n"/>
      <c r="AE906" s="17" t="n"/>
      <c r="AF906" s="128">
        <f>DADOS_INVOC!$PK$138</f>
        <v/>
      </c>
      <c r="AG906" s="120" t="n"/>
      <c r="AH906" s="127" t="n">
        <v>1</v>
      </c>
      <c r="AI906" s="115" t="n"/>
      <c r="AJ906" s="16" t="n"/>
      <c r="AK906" s="17" t="n"/>
      <c r="AL906" s="128">
        <f>DADOS_INVOC!$PK$139</f>
        <v/>
      </c>
      <c r="AM906" s="120" t="n"/>
      <c r="AN906" s="127" t="n">
        <v>1</v>
      </c>
      <c r="AO906" s="115" t="n"/>
      <c r="AP906" s="16" t="n"/>
      <c r="AQ906" s="17" t="n"/>
      <c r="AR906" s="128">
        <f>DADOS_INVOC!$PK$140</f>
        <v/>
      </c>
      <c r="AS906" s="120" t="n"/>
    </row>
    <row r="907" hidden="1" outlineLevel="3">
      <c r="A907" s="8" t="n"/>
      <c r="B907" s="14" t="n"/>
      <c r="C907" s="120" t="n"/>
      <c r="D907" s="120" t="n"/>
      <c r="E907" s="120" t="n"/>
      <c r="F907" s="120" t="n"/>
      <c r="G907" s="120" t="n"/>
      <c r="I907" s="55" t="inlineStr">
        <is>
          <t>COMO É</t>
        </is>
      </c>
      <c r="J907" s="16" t="n"/>
      <c r="K907" s="16" t="n"/>
      <c r="L907" s="16" t="n"/>
      <c r="M907" s="17" t="n"/>
      <c r="N907" s="120" t="n"/>
      <c r="O907" s="55" t="inlineStr">
        <is>
          <t>COMO É</t>
        </is>
      </c>
      <c r="P907" s="16" t="n"/>
      <c r="Q907" s="16" t="n"/>
      <c r="R907" s="16" t="n"/>
      <c r="S907" s="17" t="n"/>
      <c r="T907" s="120" t="n"/>
      <c r="U907" s="55" t="inlineStr">
        <is>
          <t>COMO É</t>
        </is>
      </c>
      <c r="V907" s="16" t="n"/>
      <c r="W907" s="16" t="n"/>
      <c r="X907" s="16" t="n"/>
      <c r="Y907" s="17" t="n"/>
      <c r="Z907" s="120" t="n"/>
      <c r="AB907" s="55" t="inlineStr">
        <is>
          <t>COMO É</t>
        </is>
      </c>
      <c r="AC907" s="16" t="n"/>
      <c r="AD907" s="16" t="n"/>
      <c r="AE907" s="16" t="n"/>
      <c r="AF907" s="17" t="n"/>
      <c r="AG907" s="120" t="n"/>
      <c r="AH907" s="55" t="inlineStr">
        <is>
          <t>COMO É</t>
        </is>
      </c>
      <c r="AI907" s="16" t="n"/>
      <c r="AJ907" s="16" t="n"/>
      <c r="AK907" s="16" t="n"/>
      <c r="AL907" s="17" t="n"/>
      <c r="AM907" s="120" t="n"/>
      <c r="AN907" s="55" t="inlineStr">
        <is>
          <t>COMO É</t>
        </is>
      </c>
      <c r="AO907" s="16" t="n"/>
      <c r="AP907" s="16" t="n"/>
      <c r="AQ907" s="16" t="n"/>
      <c r="AR907" s="17" t="n"/>
      <c r="AS907" s="120" t="n"/>
    </row>
    <row r="908" hidden="1" outlineLevel="3">
      <c r="A908" s="8" t="n"/>
      <c r="B908" s="14" t="n"/>
      <c r="C908" s="120" t="n"/>
      <c r="D908" s="120" t="n"/>
      <c r="E908" s="120" t="n"/>
      <c r="F908" s="120" t="n"/>
      <c r="G908" s="120" t="n"/>
      <c r="I908" s="116" t="n"/>
      <c r="J908" s="19" t="n"/>
      <c r="K908" s="19" t="n"/>
      <c r="L908" s="19" t="n"/>
      <c r="M908" s="20" t="n"/>
      <c r="N908" s="120" t="n"/>
      <c r="O908" s="116" t="n"/>
      <c r="P908" s="19" t="n"/>
      <c r="Q908" s="19" t="n"/>
      <c r="R908" s="19" t="n"/>
      <c r="S908" s="20" t="n"/>
      <c r="T908" s="120" t="n"/>
      <c r="U908" s="116" t="n"/>
      <c r="V908" s="19" t="n"/>
      <c r="W908" s="19" t="n"/>
      <c r="X908" s="19" t="n"/>
      <c r="Y908" s="20" t="n"/>
      <c r="Z908" s="120" t="n"/>
      <c r="AB908" s="116" t="n"/>
      <c r="AC908" s="19" t="n"/>
      <c r="AD908" s="19" t="n"/>
      <c r="AE908" s="19" t="n"/>
      <c r="AF908" s="20" t="n"/>
      <c r="AG908" s="120" t="n"/>
      <c r="AH908" s="116" t="n"/>
      <c r="AI908" s="19" t="n"/>
      <c r="AJ908" s="19" t="n"/>
      <c r="AK908" s="19" t="n"/>
      <c r="AL908" s="20" t="n"/>
      <c r="AM908" s="120" t="n"/>
      <c r="AN908" s="116" t="n"/>
      <c r="AO908" s="19" t="n"/>
      <c r="AP908" s="19" t="n"/>
      <c r="AQ908" s="19" t="n"/>
      <c r="AR908" s="20" t="n"/>
      <c r="AS908" s="120" t="n"/>
    </row>
    <row r="909" hidden="1" outlineLevel="3">
      <c r="A909" s="8" t="n"/>
      <c r="B909" s="14" t="n"/>
      <c r="C909" s="120" t="n"/>
      <c r="D909" s="120" t="n"/>
      <c r="E909" s="120" t="n"/>
      <c r="F909" s="120" t="n"/>
      <c r="G909" s="120" t="n"/>
      <c r="I909" s="21" t="n"/>
      <c r="M909" s="22" t="n"/>
      <c r="N909" s="120" t="n"/>
      <c r="O909" s="21" t="n"/>
      <c r="S909" s="22" t="n"/>
      <c r="T909" s="120" t="n"/>
      <c r="U909" s="21" t="n"/>
      <c r="Y909" s="22" t="n"/>
      <c r="Z909" s="120" t="n"/>
      <c r="AB909" s="21" t="n"/>
      <c r="AF909" s="22" t="n"/>
      <c r="AG909" s="120" t="n"/>
      <c r="AH909" s="21" t="n"/>
      <c r="AL909" s="22" t="n"/>
      <c r="AM909" s="120" t="n"/>
      <c r="AN909" s="21" t="n"/>
      <c r="AR909" s="22"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4" t="inlineStr">
        <is>
          <t>Projétil</t>
        </is>
      </c>
      <c r="J911" s="17" t="n"/>
      <c r="K911" s="68">
        <f>DADOS_INVOC!$PR$60</f>
        <v/>
      </c>
      <c r="L911" s="17" t="n"/>
      <c r="M911" s="68">
        <f>DADOS_INVOC!$PN$60</f>
        <v/>
      </c>
      <c r="N911" s="120" t="n"/>
      <c r="O911" s="124" t="inlineStr">
        <is>
          <t>Projétil</t>
        </is>
      </c>
      <c r="P911" s="17" t="n"/>
      <c r="Q911" s="68">
        <f>DADOS_INVOC!$PR$61</f>
        <v/>
      </c>
      <c r="R911" s="17" t="n"/>
      <c r="S911" s="68">
        <f>DADOS_INVOC!$PN$61</f>
        <v/>
      </c>
      <c r="T911" s="120" t="n"/>
      <c r="U911" s="124" t="inlineStr">
        <is>
          <t>Projétil</t>
        </is>
      </c>
      <c r="V911" s="17" t="n"/>
      <c r="W911" s="68">
        <f>DADOS_INVOC!$PR$62</f>
        <v/>
      </c>
      <c r="X911" s="17" t="n"/>
      <c r="Y911" s="68">
        <f>DADOS_INVOC!$PN$62</f>
        <v/>
      </c>
      <c r="Z911" s="120" t="n"/>
      <c r="AB911" s="124" t="inlineStr">
        <is>
          <t>Projétil</t>
        </is>
      </c>
      <c r="AC911" s="17" t="n"/>
      <c r="AD911" s="68">
        <f>DADOS_INVOC!$PR$138</f>
        <v/>
      </c>
      <c r="AE911" s="17" t="n"/>
      <c r="AF911" s="68">
        <f>DADOS_INVOC!$PN$138</f>
        <v/>
      </c>
      <c r="AG911" s="120" t="n"/>
      <c r="AH911" s="124" t="inlineStr">
        <is>
          <t>Projétil</t>
        </is>
      </c>
      <c r="AI911" s="17" t="n"/>
      <c r="AJ911" s="68">
        <f>DADOS_INVOC!$PR$139</f>
        <v/>
      </c>
      <c r="AK911" s="17" t="n"/>
      <c r="AL911" s="68">
        <f>DADOS_INVOC!$PN$139</f>
        <v/>
      </c>
      <c r="AM911" s="120" t="n"/>
      <c r="AN911" s="124" t="inlineStr">
        <is>
          <t>Projétil</t>
        </is>
      </c>
      <c r="AO911" s="17" t="n"/>
      <c r="AP911" s="68">
        <f>DADOS_INVOC!$PR$140</f>
        <v/>
      </c>
      <c r="AQ911" s="17" t="n"/>
      <c r="AR911" s="68">
        <f>DADOS_INVOC!$PN$140</f>
        <v/>
      </c>
      <c r="AS911" s="120" t="n"/>
    </row>
    <row r="912" hidden="1" outlineLevel="2">
      <c r="A912" s="8" t="n"/>
      <c r="B912" s="14" t="n"/>
      <c r="C912" s="120" t="n"/>
      <c r="D912" s="120" t="n"/>
      <c r="E912" s="120" t="n"/>
      <c r="F912" s="120" t="n"/>
      <c r="G912" s="120" t="n"/>
      <c r="I912" s="124" t="n"/>
      <c r="J912" s="17" t="n"/>
      <c r="K912" s="124" t="n"/>
      <c r="L912" s="16" t="n"/>
      <c r="M912" s="17" t="n"/>
      <c r="N912" s="120" t="n"/>
      <c r="O912" s="124" t="n"/>
      <c r="P912" s="17" t="n"/>
      <c r="Q912" s="124" t="n"/>
      <c r="R912" s="16" t="n"/>
      <c r="S912" s="17" t="n"/>
      <c r="T912" s="120" t="n"/>
      <c r="U912" s="124" t="n"/>
      <c r="V912" s="17" t="n"/>
      <c r="W912" s="124" t="n"/>
      <c r="X912" s="16" t="n"/>
      <c r="Y912" s="17" t="n"/>
      <c r="Z912" s="120" t="n"/>
      <c r="AB912" s="124" t="n"/>
      <c r="AC912" s="17" t="n"/>
      <c r="AD912" s="124" t="n"/>
      <c r="AE912" s="16" t="n"/>
      <c r="AF912" s="17" t="n"/>
      <c r="AG912" s="120" t="n"/>
      <c r="AH912" s="124" t="n"/>
      <c r="AI912" s="17" t="n"/>
      <c r="AJ912" s="124" t="n"/>
      <c r="AK912" s="16" t="n"/>
      <c r="AL912" s="17" t="n"/>
      <c r="AM912" s="120" t="n"/>
      <c r="AN912" s="124" t="n"/>
      <c r="AO912" s="17" t="n"/>
      <c r="AP912" s="124" t="n"/>
      <c r="AQ912" s="16" t="n"/>
      <c r="AR912" s="17" t="n"/>
      <c r="AS912" s="120" t="n"/>
    </row>
    <row r="913" hidden="1" outlineLevel="2">
      <c r="A913" s="8" t="n"/>
      <c r="B913" s="14" t="n"/>
      <c r="C913" s="120" t="n"/>
      <c r="D913" s="120" t="n"/>
      <c r="E913" s="120" t="n"/>
      <c r="F913" s="120" t="n"/>
      <c r="G913" s="120" t="n"/>
      <c r="I913" s="124">
        <f>DADOS_INVOC!$PO$60</f>
        <v/>
      </c>
      <c r="J913" s="17" t="n"/>
      <c r="K913" s="124">
        <f>DADOS_INVOC!$PQ$60</f>
        <v/>
      </c>
      <c r="L913" s="16" t="n"/>
      <c r="M913" s="17" t="n"/>
      <c r="N913" s="120" t="n"/>
      <c r="O913" s="124">
        <f>DADOS_INVOC!$PO$61</f>
        <v/>
      </c>
      <c r="P913" s="17" t="n"/>
      <c r="Q913" s="124">
        <f>DADOS_INVOC!$PQ$61</f>
        <v/>
      </c>
      <c r="R913" s="16" t="n"/>
      <c r="S913" s="17" t="n"/>
      <c r="T913" s="120" t="n"/>
      <c r="U913" s="124">
        <f>DADOS_INVOC!$PO$62</f>
        <v/>
      </c>
      <c r="V913" s="17" t="n"/>
      <c r="W913" s="124">
        <f>DADOS_INVOC!$PQ$62</f>
        <v/>
      </c>
      <c r="X913" s="16" t="n"/>
      <c r="Y913" s="17" t="n"/>
      <c r="Z913" s="120" t="n"/>
      <c r="AB913" s="124">
        <f>DADOS_INVOC!$PO$138</f>
        <v/>
      </c>
      <c r="AC913" s="17" t="n"/>
      <c r="AD913" s="124">
        <f>DADOS_INVOC!$PQ$138</f>
        <v/>
      </c>
      <c r="AE913" s="16" t="n"/>
      <c r="AF913" s="17" t="n"/>
      <c r="AG913" s="120" t="n"/>
      <c r="AH913" s="124">
        <f>DADOS_INVOC!$PO$139</f>
        <v/>
      </c>
      <c r="AI913" s="17" t="n"/>
      <c r="AJ913" s="124">
        <f>DADOS_INVOC!$PQ$139</f>
        <v/>
      </c>
      <c r="AK913" s="16" t="n"/>
      <c r="AL913" s="17" t="n"/>
      <c r="AM913" s="120" t="n"/>
      <c r="AN913" s="124">
        <f>DADOS_INVOC!$PO$140</f>
        <v/>
      </c>
      <c r="AO913" s="17" t="n"/>
      <c r="AP913" s="124">
        <f>DADOS_INVOC!$PQ$140</f>
        <v/>
      </c>
      <c r="AQ913" s="16" t="n"/>
      <c r="AR913" s="17" t="n"/>
      <c r="AS913" s="120" t="n"/>
    </row>
    <row r="914" hidden="1" outlineLevel="2">
      <c r="A914" s="8" t="n"/>
      <c r="B914" s="14" t="n"/>
      <c r="C914" s="120" t="n"/>
      <c r="D914" s="120" t="n"/>
      <c r="E914" s="120" t="n"/>
      <c r="F914" s="120" t="n"/>
      <c r="G914" s="120" t="n"/>
      <c r="I914" s="129">
        <f>DADOS_INVOC!$PW$60</f>
        <v/>
      </c>
      <c r="J914" s="16" t="n"/>
      <c r="K914" s="16" t="n"/>
      <c r="L914" s="16" t="n"/>
      <c r="M914" s="17" t="n"/>
      <c r="N914" s="120" t="n"/>
      <c r="O914" s="129">
        <f>DADOS_INVOC!$PW$61</f>
        <v/>
      </c>
      <c r="P914" s="16" t="n"/>
      <c r="Q914" s="16" t="n"/>
      <c r="R914" s="16" t="n"/>
      <c r="S914" s="17" t="n"/>
      <c r="T914" s="120" t="n"/>
      <c r="U914" s="129">
        <f>DADOS_INVOC!$PW$62</f>
        <v/>
      </c>
      <c r="V914" s="16" t="n"/>
      <c r="W914" s="16" t="n"/>
      <c r="X914" s="16" t="n"/>
      <c r="Y914" s="17" t="n"/>
      <c r="Z914" s="120" t="n"/>
      <c r="AB914" s="129">
        <f>DADOS_INVOC!$PW$138</f>
        <v/>
      </c>
      <c r="AC914" s="16" t="n"/>
      <c r="AD914" s="16" t="n"/>
      <c r="AE914" s="16" t="n"/>
      <c r="AF914" s="17" t="n"/>
      <c r="AG914" s="120" t="n"/>
      <c r="AH914" s="129">
        <f>DADOS_INVOC!$PW$139</f>
        <v/>
      </c>
      <c r="AI914" s="16" t="n"/>
      <c r="AJ914" s="16" t="n"/>
      <c r="AK914" s="16" t="n"/>
      <c r="AL914" s="17" t="n"/>
      <c r="AM914" s="120" t="n"/>
      <c r="AN914" s="129">
        <f>DADOS_INVOC!$PW$140</f>
        <v/>
      </c>
      <c r="AO914" s="16" t="n"/>
      <c r="AP914" s="16" t="n"/>
      <c r="AQ914" s="16" t="n"/>
      <c r="AR914" s="17" t="n"/>
      <c r="AS914" s="120" t="n"/>
    </row>
    <row r="915" hidden="1" outlineLevel="3">
      <c r="A915" s="8" t="n"/>
      <c r="B915" s="14" t="n"/>
      <c r="C915" s="120" t="n"/>
      <c r="D915" s="120" t="n"/>
      <c r="E915" s="120" t="n"/>
      <c r="F915" s="120" t="n"/>
      <c r="G915" s="120" t="n"/>
      <c r="I915" s="55" t="inlineStr">
        <is>
          <t>MELHORIAS</t>
        </is>
      </c>
      <c r="J915" s="130" t="n"/>
      <c r="K915" s="16" t="n"/>
      <c r="L915" s="17" t="n"/>
      <c r="M915" s="129">
        <f>DADOS_INVOC!$PZ$60</f>
        <v/>
      </c>
      <c r="N915" s="120" t="n"/>
      <c r="O915" s="55" t="inlineStr">
        <is>
          <t>MELHORIAS</t>
        </is>
      </c>
      <c r="P915" s="130" t="n"/>
      <c r="Q915" s="16" t="n"/>
      <c r="R915" s="17" t="n"/>
      <c r="S915" s="129">
        <f>DADOS_INVOC!$PZ$61</f>
        <v/>
      </c>
      <c r="T915" s="120" t="n"/>
      <c r="U915" s="55" t="inlineStr">
        <is>
          <t>MELHORIAS</t>
        </is>
      </c>
      <c r="V915" s="130" t="n"/>
      <c r="W915" s="16" t="n"/>
      <c r="X915" s="17" t="n"/>
      <c r="Y915" s="129">
        <f>DADOS_INVOC!$PZ$62</f>
        <v/>
      </c>
      <c r="Z915" s="120" t="n"/>
      <c r="AB915" s="55" t="inlineStr">
        <is>
          <t>MELHORIAS</t>
        </is>
      </c>
      <c r="AC915" s="130" t="n"/>
      <c r="AD915" s="16" t="n"/>
      <c r="AE915" s="17" t="n"/>
      <c r="AF915" s="129">
        <f>DADOS_INVOC!$PZ$138</f>
        <v/>
      </c>
      <c r="AG915" s="120" t="n"/>
      <c r="AH915" s="55" t="inlineStr">
        <is>
          <t>MELHORIAS</t>
        </is>
      </c>
      <c r="AI915" s="130" t="n"/>
      <c r="AJ915" s="16" t="n"/>
      <c r="AK915" s="17" t="n"/>
      <c r="AL915" s="129">
        <f>DADOS_INVOC!$PZ$139</f>
        <v/>
      </c>
      <c r="AM915" s="120" t="n"/>
      <c r="AN915" s="55" t="inlineStr">
        <is>
          <t>MELHORIAS</t>
        </is>
      </c>
      <c r="AO915" s="130" t="n"/>
      <c r="AP915" s="16" t="n"/>
      <c r="AQ915" s="17" t="n"/>
      <c r="AR915" s="129">
        <f>DADOS_INVOC!$PZ$140</f>
        <v/>
      </c>
      <c r="AS915" s="120" t="n"/>
    </row>
    <row r="916" hidden="1" outlineLevel="3">
      <c r="A916" s="8" t="n"/>
      <c r="B916" s="14" t="n"/>
      <c r="C916" s="120" t="n"/>
      <c r="D916" s="120" t="n"/>
      <c r="E916" s="120" t="n"/>
      <c r="F916" s="120" t="n"/>
      <c r="G916" s="120" t="n"/>
      <c r="I916" s="131" t="n"/>
      <c r="J916" s="130" t="n"/>
      <c r="K916" s="16" t="n"/>
      <c r="L916" s="17" t="n"/>
      <c r="M916" s="129">
        <f>DADOS_INVOC!$QA$60</f>
        <v/>
      </c>
      <c r="N916" s="120" t="n"/>
      <c r="O916" s="131" t="n"/>
      <c r="P916" s="130" t="n"/>
      <c r="Q916" s="16" t="n"/>
      <c r="R916" s="17" t="n"/>
      <c r="S916" s="129">
        <f>DADOS_INVOC!$QA$61</f>
        <v/>
      </c>
      <c r="T916" s="120" t="n"/>
      <c r="U916" s="131" t="n"/>
      <c r="V916" s="130" t="n"/>
      <c r="W916" s="16" t="n"/>
      <c r="X916" s="17" t="n"/>
      <c r="Y916" s="129">
        <f>DADOS_INVOC!$QA$62</f>
        <v/>
      </c>
      <c r="Z916" s="120" t="n"/>
      <c r="AB916" s="131" t="n"/>
      <c r="AC916" s="130" t="n"/>
      <c r="AD916" s="16" t="n"/>
      <c r="AE916" s="17" t="n"/>
      <c r="AF916" s="129">
        <f>DADOS_INVOC!$QA$138</f>
        <v/>
      </c>
      <c r="AG916" s="120" t="n"/>
      <c r="AH916" s="131" t="n"/>
      <c r="AI916" s="130" t="n"/>
      <c r="AJ916" s="16" t="n"/>
      <c r="AK916" s="17" t="n"/>
      <c r="AL916" s="129">
        <f>DADOS_INVOC!$QA$139</f>
        <v/>
      </c>
      <c r="AM916" s="120" t="n"/>
      <c r="AN916" s="131" t="n"/>
      <c r="AO916" s="130" t="n"/>
      <c r="AP916" s="16" t="n"/>
      <c r="AQ916" s="17" t="n"/>
      <c r="AR916" s="129">
        <f>DADOS_INVOC!$QA$140</f>
        <v/>
      </c>
      <c r="AS916" s="120" t="n"/>
    </row>
    <row r="917" hidden="1" outlineLevel="3">
      <c r="A917" s="8" t="n"/>
      <c r="B917" s="14" t="n"/>
      <c r="C917" s="120" t="n"/>
      <c r="D917" s="120" t="n"/>
      <c r="E917" s="120" t="n"/>
      <c r="F917" s="120" t="n"/>
      <c r="G917" s="120" t="n"/>
      <c r="I917" s="131" t="n"/>
      <c r="J917" s="130" t="n"/>
      <c r="K917" s="16" t="n"/>
      <c r="L917" s="17" t="n"/>
      <c r="M917" s="129">
        <f>DADOS_INVOC!$QB$60</f>
        <v/>
      </c>
      <c r="N917" s="120" t="n"/>
      <c r="O917" s="131" t="n"/>
      <c r="P917" s="130" t="n"/>
      <c r="Q917" s="16" t="n"/>
      <c r="R917" s="17" t="n"/>
      <c r="S917" s="129">
        <f>DADOS_INVOC!$QB$61</f>
        <v/>
      </c>
      <c r="T917" s="120" t="n"/>
      <c r="U917" s="131" t="n"/>
      <c r="V917" s="130" t="n"/>
      <c r="W917" s="16" t="n"/>
      <c r="X917" s="17" t="n"/>
      <c r="Y917" s="129">
        <f>DADOS_INVOC!$QB$62</f>
        <v/>
      </c>
      <c r="Z917" s="120" t="n"/>
      <c r="AB917" s="131" t="n"/>
      <c r="AC917" s="130" t="n"/>
      <c r="AD917" s="16" t="n"/>
      <c r="AE917" s="17" t="n"/>
      <c r="AF917" s="129">
        <f>DADOS_INVOC!$QB$138</f>
        <v/>
      </c>
      <c r="AG917" s="120" t="n"/>
      <c r="AH917" s="131" t="n"/>
      <c r="AI917" s="130" t="n"/>
      <c r="AJ917" s="16" t="n"/>
      <c r="AK917" s="17" t="n"/>
      <c r="AL917" s="129">
        <f>DADOS_INVOC!$QB$139</f>
        <v/>
      </c>
      <c r="AM917" s="120" t="n"/>
      <c r="AN917" s="131" t="n"/>
      <c r="AO917" s="130" t="n"/>
      <c r="AP917" s="16" t="n"/>
      <c r="AQ917" s="17" t="n"/>
      <c r="AR917" s="129">
        <f>DADOS_INVOC!$QB$140</f>
        <v/>
      </c>
      <c r="AS917" s="120" t="n"/>
    </row>
    <row r="918" hidden="1" outlineLevel="3">
      <c r="A918" s="8" t="n"/>
      <c r="B918" s="14" t="n"/>
      <c r="C918" s="120" t="n"/>
      <c r="D918" s="120" t="n"/>
      <c r="E918" s="120" t="n"/>
      <c r="F918" s="120" t="n"/>
      <c r="G918" s="120" t="n"/>
      <c r="I918" s="125" t="n"/>
      <c r="J918" s="130" t="n"/>
      <c r="K918" s="16" t="n"/>
      <c r="L918" s="17" t="n"/>
      <c r="M918" s="129">
        <f>DADOS_INVOC!$QC$60</f>
        <v/>
      </c>
      <c r="N918" s="120" t="n"/>
      <c r="O918" s="125" t="n"/>
      <c r="P918" s="130" t="n"/>
      <c r="Q918" s="16" t="n"/>
      <c r="R918" s="17" t="n"/>
      <c r="S918" s="129">
        <f>DADOS_INVOC!$QC$61</f>
        <v/>
      </c>
      <c r="T918" s="120" t="n"/>
      <c r="U918" s="125" t="n"/>
      <c r="V918" s="130" t="n"/>
      <c r="W918" s="16" t="n"/>
      <c r="X918" s="17" t="n"/>
      <c r="Y918" s="129">
        <f>DADOS_INVOC!$QC$62</f>
        <v/>
      </c>
      <c r="Z918" s="120" t="n"/>
      <c r="AB918" s="125" t="n"/>
      <c r="AC918" s="130" t="n"/>
      <c r="AD918" s="16" t="n"/>
      <c r="AE918" s="17" t="n"/>
      <c r="AF918" s="129">
        <f>DADOS_INVOC!$QC$138</f>
        <v/>
      </c>
      <c r="AG918" s="120" t="n"/>
      <c r="AH918" s="125" t="n"/>
      <c r="AI918" s="130" t="n"/>
      <c r="AJ918" s="16" t="n"/>
      <c r="AK918" s="17" t="n"/>
      <c r="AL918" s="129">
        <f>DADOS_INVOC!$QC$139</f>
        <v/>
      </c>
      <c r="AM918" s="120" t="n"/>
      <c r="AN918" s="125" t="n"/>
      <c r="AO918" s="130" t="n"/>
      <c r="AP918" s="16" t="n"/>
      <c r="AQ918" s="17" t="n"/>
      <c r="AR918" s="129">
        <f>DADOS_INVOC!$QC$140</f>
        <v/>
      </c>
      <c r="AS918" s="120" t="n"/>
    </row>
    <row r="919" hidden="1" outlineLevel="3">
      <c r="A919" s="8" t="n"/>
      <c r="B919" s="14" t="n"/>
      <c r="C919" s="120" t="n"/>
      <c r="D919" s="120" t="n"/>
      <c r="E919" s="120" t="n"/>
      <c r="F919" s="120" t="n"/>
      <c r="G919" s="120" t="n"/>
      <c r="I919" s="55" t="inlineStr">
        <is>
          <t>RESTRIÇÕES</t>
        </is>
      </c>
      <c r="J919" s="130" t="n"/>
      <c r="K919" s="16" t="n"/>
      <c r="L919" s="17" t="n"/>
      <c r="M919" s="129">
        <f>DADOS_INVOC!$QD$60</f>
        <v/>
      </c>
      <c r="N919" s="120" t="n"/>
      <c r="O919" s="55" t="inlineStr">
        <is>
          <t>RESTRIÇÕES</t>
        </is>
      </c>
      <c r="P919" s="130" t="n"/>
      <c r="Q919" s="16" t="n"/>
      <c r="R919" s="17" t="n"/>
      <c r="S919" s="129">
        <f>DADOS_INVOC!$QD$61</f>
        <v/>
      </c>
      <c r="T919" s="120" t="n"/>
      <c r="U919" s="55" t="inlineStr">
        <is>
          <t>RESTRIÇÕES</t>
        </is>
      </c>
      <c r="V919" s="130" t="n"/>
      <c r="W919" s="16" t="n"/>
      <c r="X919" s="17" t="n"/>
      <c r="Y919" s="129">
        <f>DADOS_INVOC!$QD$62</f>
        <v/>
      </c>
      <c r="Z919" s="120" t="n"/>
      <c r="AB919" s="55" t="inlineStr">
        <is>
          <t>RESTRIÇÕES</t>
        </is>
      </c>
      <c r="AC919" s="130" t="n"/>
      <c r="AD919" s="16" t="n"/>
      <c r="AE919" s="17" t="n"/>
      <c r="AF919" s="129">
        <f>DADOS_INVOC!$QD$138</f>
        <v/>
      </c>
      <c r="AG919" s="120" t="n"/>
      <c r="AH919" s="55" t="inlineStr">
        <is>
          <t>RESTRIÇÕES</t>
        </is>
      </c>
      <c r="AI919" s="130" t="n"/>
      <c r="AJ919" s="16" t="n"/>
      <c r="AK919" s="17" t="n"/>
      <c r="AL919" s="129">
        <f>DADOS_INVOC!$QD$139</f>
        <v/>
      </c>
      <c r="AM919" s="120" t="n"/>
      <c r="AN919" s="55" t="inlineStr">
        <is>
          <t>RESTRIÇÕES</t>
        </is>
      </c>
      <c r="AO919" s="130" t="n"/>
      <c r="AP919" s="16" t="n"/>
      <c r="AQ919" s="17" t="n"/>
      <c r="AR919" s="129">
        <f>DADOS_INVOC!$QD$140</f>
        <v/>
      </c>
      <c r="AS919" s="120" t="n"/>
    </row>
    <row r="920" hidden="1" outlineLevel="3">
      <c r="A920" s="8" t="n"/>
      <c r="B920" s="14" t="n"/>
      <c r="C920" s="120" t="n"/>
      <c r="D920" s="120" t="n"/>
      <c r="E920" s="120" t="n"/>
      <c r="F920" s="120" t="n"/>
      <c r="G920" s="120" t="n"/>
      <c r="I920" s="125" t="n"/>
      <c r="J920" s="130" t="n"/>
      <c r="K920" s="16" t="n"/>
      <c r="L920" s="17" t="n"/>
      <c r="M920" s="129">
        <f>DADOS_INVOC!$QE$60</f>
        <v/>
      </c>
      <c r="N920" s="120" t="n"/>
      <c r="O920" s="125" t="n"/>
      <c r="P920" s="130" t="n"/>
      <c r="Q920" s="16" t="n"/>
      <c r="R920" s="17" t="n"/>
      <c r="S920" s="129">
        <f>DADOS_INVOC!$QE$61</f>
        <v/>
      </c>
      <c r="T920" s="120" t="n"/>
      <c r="U920" s="125" t="n"/>
      <c r="V920" s="130" t="n"/>
      <c r="W920" s="16" t="n"/>
      <c r="X920" s="17" t="n"/>
      <c r="Y920" s="129">
        <f>DADOS_INVOC!$QE$62</f>
        <v/>
      </c>
      <c r="Z920" s="120" t="n"/>
      <c r="AB920" s="125" t="n"/>
      <c r="AC920" s="130" t="n"/>
      <c r="AD920" s="16" t="n"/>
      <c r="AE920" s="17" t="n"/>
      <c r="AF920" s="129">
        <f>DADOS_INVOC!$QE$138</f>
        <v/>
      </c>
      <c r="AG920" s="120" t="n"/>
      <c r="AH920" s="125" t="n"/>
      <c r="AI920" s="130" t="n"/>
      <c r="AJ920" s="16" t="n"/>
      <c r="AK920" s="17" t="n"/>
      <c r="AL920" s="129">
        <f>DADOS_INVOC!$QE$139</f>
        <v/>
      </c>
      <c r="AM920" s="120" t="n"/>
      <c r="AN920" s="125" t="n"/>
      <c r="AO920" s="130" t="n"/>
      <c r="AP920" s="16" t="n"/>
      <c r="AQ920" s="17" t="n"/>
      <c r="AR920" s="129">
        <f>DADOS_INVOC!$QE$140</f>
        <v/>
      </c>
      <c r="AS920" s="120" t="n"/>
    </row>
    <row r="921" hidden="1" outlineLevel="3">
      <c r="A921" s="8" t="n"/>
      <c r="B921" s="14" t="n"/>
      <c r="C921" s="120" t="n"/>
      <c r="D921" s="120" t="n"/>
      <c r="E921" s="120" t="n"/>
      <c r="F921" s="120" t="n"/>
      <c r="G921" s="120" t="n"/>
      <c r="I921" s="55" t="inlineStr">
        <is>
          <t>CONTA</t>
        </is>
      </c>
      <c r="J921" s="132">
        <f>DADOS_INVOC!$PX$60</f>
        <v/>
      </c>
      <c r="K921" s="16" t="n"/>
      <c r="L921" s="16" t="n"/>
      <c r="M921" s="17" t="n"/>
      <c r="N921" s="120" t="n"/>
      <c r="O921" s="55" t="inlineStr">
        <is>
          <t>CONTA</t>
        </is>
      </c>
      <c r="P921" s="132">
        <f>DADOS_INVOC!$PX$61</f>
        <v/>
      </c>
      <c r="Q921" s="16" t="n"/>
      <c r="R921" s="16" t="n"/>
      <c r="S921" s="17" t="n"/>
      <c r="T921" s="120" t="n"/>
      <c r="U921" s="55" t="inlineStr">
        <is>
          <t>CONTA</t>
        </is>
      </c>
      <c r="V921" s="132">
        <f>DADOS_INVOC!$PX$62</f>
        <v/>
      </c>
      <c r="W921" s="16" t="n"/>
      <c r="X921" s="16" t="n"/>
      <c r="Y921" s="17" t="n"/>
      <c r="Z921" s="120" t="n"/>
      <c r="AB921" s="55" t="inlineStr">
        <is>
          <t>CONTA</t>
        </is>
      </c>
      <c r="AC921" s="132">
        <f>DADOS_INVOC!$PX$138</f>
        <v/>
      </c>
      <c r="AD921" s="16" t="n"/>
      <c r="AE921" s="16" t="n"/>
      <c r="AF921" s="17" t="n"/>
      <c r="AG921" s="120" t="n"/>
      <c r="AH921" s="55" t="inlineStr">
        <is>
          <t>CONTA</t>
        </is>
      </c>
      <c r="AI921" s="132">
        <f>DADOS_INVOC!$PX$139</f>
        <v/>
      </c>
      <c r="AJ921" s="16" t="n"/>
      <c r="AK921" s="16" t="n"/>
      <c r="AL921" s="17" t="n"/>
      <c r="AM921" s="120" t="n"/>
      <c r="AN921" s="55" t="inlineStr">
        <is>
          <t>CONTA</t>
        </is>
      </c>
      <c r="AO921" s="132">
        <f>DADOS_INVOC!$PX$140</f>
        <v/>
      </c>
      <c r="AP921" s="16" t="n"/>
      <c r="AQ921" s="16" t="n"/>
      <c r="AR921" s="17" t="n"/>
      <c r="AS921" s="120" t="n"/>
    </row>
    <row r="922" hidden="1" outlineLevel="3">
      <c r="A922" s="8" t="n"/>
      <c r="B922" s="14" t="n"/>
      <c r="C922" s="120" t="n"/>
      <c r="D922" s="120" t="n"/>
      <c r="E922" s="120" t="n"/>
      <c r="F922" s="120" t="n"/>
      <c r="G922" s="120" t="n"/>
      <c r="I922" s="55" t="inlineStr">
        <is>
          <t>AMPLIAR</t>
        </is>
      </c>
      <c r="J922" s="132">
        <f>DADOS_INVOC!$PY$60</f>
        <v/>
      </c>
      <c r="K922" s="19" t="n"/>
      <c r="L922" s="19" t="n"/>
      <c r="M922" s="20" t="n"/>
      <c r="N922" s="120" t="n"/>
      <c r="O922" s="55" t="inlineStr">
        <is>
          <t>AMPLIAR</t>
        </is>
      </c>
      <c r="P922" s="132">
        <f>DADOS_INVOC!$PY$61</f>
        <v/>
      </c>
      <c r="Q922" s="19" t="n"/>
      <c r="R922" s="19" t="n"/>
      <c r="S922" s="20" t="n"/>
      <c r="T922" s="120" t="n"/>
      <c r="U922" s="55" t="inlineStr">
        <is>
          <t>AMPLIAR</t>
        </is>
      </c>
      <c r="V922" s="132">
        <f>DADOS_INVOC!$PY$62</f>
        <v/>
      </c>
      <c r="W922" s="19" t="n"/>
      <c r="X922" s="19" t="n"/>
      <c r="Y922" s="20" t="n"/>
      <c r="Z922" s="120" t="n"/>
      <c r="AB922" s="55" t="inlineStr">
        <is>
          <t>AMPLIAR</t>
        </is>
      </c>
      <c r="AC922" s="132">
        <f>DADOS_INVOC!$PY$138</f>
        <v/>
      </c>
      <c r="AD922" s="19" t="n"/>
      <c r="AE922" s="19" t="n"/>
      <c r="AF922" s="20" t="n"/>
      <c r="AG922" s="120" t="n"/>
      <c r="AH922" s="55" t="inlineStr">
        <is>
          <t>AMPLIAR</t>
        </is>
      </c>
      <c r="AI922" s="132">
        <f>DADOS_INVOC!$PY$139</f>
        <v/>
      </c>
      <c r="AJ922" s="19" t="n"/>
      <c r="AK922" s="19" t="n"/>
      <c r="AL922" s="20" t="n"/>
      <c r="AM922" s="120" t="n"/>
      <c r="AN922" s="55" t="inlineStr">
        <is>
          <t>AMPLIAR</t>
        </is>
      </c>
      <c r="AO922" s="132">
        <f>DADOS_INVOC!$PY$140</f>
        <v/>
      </c>
      <c r="AP922" s="19" t="n"/>
      <c r="AQ922" s="19" t="n"/>
      <c r="AR922" s="20" t="n"/>
      <c r="AS922" s="120" t="n"/>
    </row>
    <row r="923" hidden="1" outlineLevel="3">
      <c r="A923" s="8" t="n"/>
      <c r="B923" s="14" t="n"/>
      <c r="C923" s="120" t="n"/>
      <c r="D923" s="120" t="n"/>
      <c r="E923" s="120" t="n"/>
      <c r="F923" s="120" t="n"/>
      <c r="G923" s="120" t="n"/>
      <c r="I923" s="125" t="n"/>
      <c r="J923" s="23" t="n"/>
      <c r="K923" s="24" t="n"/>
      <c r="L923" s="24" t="n"/>
      <c r="M923" s="25" t="n"/>
      <c r="N923" s="120" t="n"/>
      <c r="O923" s="125" t="n"/>
      <c r="P923" s="23" t="n"/>
      <c r="Q923" s="24" t="n"/>
      <c r="R923" s="24" t="n"/>
      <c r="S923" s="25" t="n"/>
      <c r="T923" s="120" t="n"/>
      <c r="U923" s="125" t="n"/>
      <c r="V923" s="23" t="n"/>
      <c r="W923" s="24" t="n"/>
      <c r="X923" s="24" t="n"/>
      <c r="Y923" s="25" t="n"/>
      <c r="Z923" s="120" t="n"/>
      <c r="AB923" s="125" t="n"/>
      <c r="AC923" s="23" t="n"/>
      <c r="AD923" s="24" t="n"/>
      <c r="AE923" s="24" t="n"/>
      <c r="AF923" s="25" t="n"/>
      <c r="AG923" s="120" t="n"/>
      <c r="AH923" s="125" t="n"/>
      <c r="AI923" s="23" t="n"/>
      <c r="AJ923" s="24" t="n"/>
      <c r="AK923" s="24" t="n"/>
      <c r="AL923" s="25" t="n"/>
      <c r="AM923" s="120" t="n"/>
      <c r="AN923" s="125" t="n"/>
      <c r="AO923" s="23" t="n"/>
      <c r="AP923" s="24" t="n"/>
      <c r="AQ923" s="24" t="n"/>
      <c r="AR923" s="25" t="n"/>
      <c r="AS923" s="120" t="n"/>
    </row>
    <row r="924" hidden="1" outlineLevel="3">
      <c r="A924" s="8" t="n"/>
      <c r="B924" s="14" t="n"/>
      <c r="C924" s="120" t="n"/>
      <c r="D924" s="120" t="n"/>
      <c r="E924" s="120" t="n"/>
      <c r="F924" s="120" t="n"/>
      <c r="G924" s="120" t="n"/>
      <c r="I924" s="132">
        <f>DADOS_INVOC!$PL$60</f>
        <v/>
      </c>
      <c r="J924" s="19" t="n"/>
      <c r="K924" s="19" t="n"/>
      <c r="L924" s="19" t="n"/>
      <c r="M924" s="20" t="n"/>
      <c r="N924" s="120" t="n"/>
      <c r="O924" s="132">
        <f>DADOS_INVOC!$PL$61</f>
        <v/>
      </c>
      <c r="P924" s="19" t="n"/>
      <c r="Q924" s="19" t="n"/>
      <c r="R924" s="19" t="n"/>
      <c r="S924" s="20" t="n"/>
      <c r="T924" s="120" t="n"/>
      <c r="U924" s="132">
        <f>DADOS_INVOC!$PL$62</f>
        <v/>
      </c>
      <c r="V924" s="19" t="n"/>
      <c r="W924" s="19" t="n"/>
      <c r="X924" s="19" t="n"/>
      <c r="Y924" s="20" t="n"/>
      <c r="Z924" s="120" t="n"/>
      <c r="AB924" s="132">
        <f>DADOS_INVOC!$PL$138</f>
        <v/>
      </c>
      <c r="AC924" s="19" t="n"/>
      <c r="AD924" s="19" t="n"/>
      <c r="AE924" s="19" t="n"/>
      <c r="AF924" s="20" t="n"/>
      <c r="AG924" s="120" t="n"/>
      <c r="AH924" s="132">
        <f>DADOS_INVOC!$PL$139</f>
        <v/>
      </c>
      <c r="AI924" s="19" t="n"/>
      <c r="AJ924" s="19" t="n"/>
      <c r="AK924" s="19" t="n"/>
      <c r="AL924" s="20" t="n"/>
      <c r="AM924" s="120" t="n"/>
      <c r="AN924" s="132">
        <f>DADOS_INVOC!$PL$140</f>
        <v/>
      </c>
      <c r="AO924" s="19" t="n"/>
      <c r="AP924" s="19" t="n"/>
      <c r="AQ924" s="19" t="n"/>
      <c r="AR924" s="20" t="n"/>
      <c r="AS924" s="120" t="n"/>
    </row>
    <row r="925" hidden="1" outlineLevel="3">
      <c r="A925" s="8" t="n"/>
      <c r="B925" s="14" t="n"/>
      <c r="C925" s="120" t="n"/>
      <c r="D925" s="120" t="n"/>
      <c r="E925" s="120" t="n"/>
      <c r="F925" s="120" t="n"/>
      <c r="G925" s="120" t="n"/>
      <c r="I925" s="23" t="n"/>
      <c r="J925" s="24" t="n"/>
      <c r="K925" s="24" t="n"/>
      <c r="L925" s="24" t="n"/>
      <c r="M925" s="25" t="n"/>
      <c r="N925" s="120" t="n"/>
      <c r="O925" s="23" t="n"/>
      <c r="P925" s="24" t="n"/>
      <c r="Q925" s="24" t="n"/>
      <c r="R925" s="24" t="n"/>
      <c r="S925" s="25" t="n"/>
      <c r="T925" s="120" t="n"/>
      <c r="U925" s="23" t="n"/>
      <c r="V925" s="24" t="n"/>
      <c r="W925" s="24" t="n"/>
      <c r="X925" s="24" t="n"/>
      <c r="Y925" s="25" t="n"/>
      <c r="Z925" s="120" t="n"/>
      <c r="AB925" s="23" t="n"/>
      <c r="AC925" s="24" t="n"/>
      <c r="AD925" s="24" t="n"/>
      <c r="AE925" s="24" t="n"/>
      <c r="AF925" s="25" t="n"/>
      <c r="AG925" s="120" t="n"/>
      <c r="AH925" s="23" t="n"/>
      <c r="AI925" s="24" t="n"/>
      <c r="AJ925" s="24" t="n"/>
      <c r="AK925" s="24" t="n"/>
      <c r="AL925" s="25" t="n"/>
      <c r="AM925" s="120" t="n"/>
      <c r="AN925" s="23" t="n"/>
      <c r="AO925" s="24" t="n"/>
      <c r="AP925" s="24" t="n"/>
      <c r="AQ925" s="24" t="n"/>
      <c r="AR925" s="25" t="n"/>
      <c r="AS925" s="120" t="n"/>
    </row>
    <row r="926" hidden="1" outlineLevel="2">
      <c r="A926" s="8" t="n"/>
      <c r="B926" s="14" t="n"/>
      <c r="C926" s="120" t="n"/>
      <c r="D926" s="120" t="n"/>
      <c r="E926" s="120" t="n"/>
      <c r="F926" s="120" t="n"/>
      <c r="G926" s="120" t="n"/>
      <c r="I926" s="120" t="n"/>
      <c r="J926" s="120" t="n"/>
      <c r="K926" s="120" t="n"/>
      <c r="L926" s="120" t="n"/>
      <c r="M926" s="120" t="n"/>
      <c r="N926" s="120" t="n"/>
      <c r="O926" s="120" t="n"/>
      <c r="P926" s="120" t="n"/>
      <c r="Q926" s="120" t="n"/>
      <c r="R926" s="120" t="n"/>
      <c r="S926" s="120" t="n"/>
      <c r="T926" s="120" t="n"/>
      <c r="U926" s="120" t="n"/>
      <c r="V926" s="120" t="n"/>
      <c r="W926" s="120" t="n"/>
      <c r="X926" s="120" t="n"/>
      <c r="Y926" s="120" t="n"/>
      <c r="Z926" s="120" t="n"/>
      <c r="AB926" s="120" t="n"/>
      <c r="AC926" s="120" t="n"/>
      <c r="AD926" s="120" t="n"/>
      <c r="AE926" s="120" t="n"/>
      <c r="AF926" s="120" t="n"/>
      <c r="AG926" s="120" t="n"/>
      <c r="AH926" s="120" t="n"/>
      <c r="AI926" s="120" t="n"/>
      <c r="AJ926" s="120" t="n"/>
      <c r="AK926" s="120" t="n"/>
      <c r="AL926" s="120" t="n"/>
      <c r="AM926" s="120" t="n"/>
      <c r="AN926" s="120" t="n"/>
      <c r="AO926" s="120" t="n"/>
      <c r="AP926" s="120" t="n"/>
      <c r="AQ926" s="120" t="n"/>
      <c r="AR926" s="120" t="n"/>
      <c r="AS926" s="120" t="n"/>
    </row>
    <row r="927" hidden="1" outlineLevel="2">
      <c r="A927" s="8" t="n"/>
      <c r="B927" s="14" t="n"/>
      <c r="C927" s="120" t="n"/>
      <c r="D927" s="120" t="n"/>
      <c r="E927" s="120" t="n"/>
      <c r="F927" s="120" t="n"/>
      <c r="G927" s="120" t="n"/>
      <c r="I927" s="55">
        <f>DADOS_INVOC!$PM$63</f>
        <v/>
      </c>
      <c r="J927" s="16" t="n"/>
      <c r="K927" s="16" t="n"/>
      <c r="L927" s="16" t="n"/>
      <c r="M927" s="17" t="n"/>
      <c r="N927" s="120" t="n"/>
      <c r="O927" s="120" t="n"/>
      <c r="P927" s="120" t="n"/>
      <c r="Q927" s="120" t="n"/>
      <c r="R927" s="120" t="n"/>
      <c r="S927" s="120" t="n"/>
      <c r="T927" s="120" t="n"/>
      <c r="U927" s="120" t="n"/>
      <c r="V927" s="120" t="n"/>
      <c r="W927" s="120" t="n"/>
      <c r="X927" s="120" t="n"/>
      <c r="Y927" s="120" t="n"/>
      <c r="Z927" s="120" t="n"/>
      <c r="AB927" s="55">
        <f>DADOS_INVOC!$PM$141</f>
        <v/>
      </c>
      <c r="AC927" s="16" t="n"/>
      <c r="AD927" s="16" t="n"/>
      <c r="AE927" s="16" t="n"/>
      <c r="AF927" s="17" t="n"/>
      <c r="AG927" s="120" t="n"/>
      <c r="AH927" s="120" t="n"/>
      <c r="AI927" s="120" t="n"/>
      <c r="AJ927" s="120" t="n"/>
      <c r="AK927" s="120" t="n"/>
      <c r="AL927" s="120" t="n"/>
      <c r="AM927" s="120" t="n"/>
      <c r="AN927" s="120" t="n"/>
      <c r="AO927" s="120" t="n"/>
      <c r="AP927" s="120" t="n"/>
      <c r="AQ927" s="120" t="n"/>
      <c r="AR927" s="120" t="n"/>
      <c r="AS927" s="120" t="n"/>
    </row>
    <row r="928" hidden="1" outlineLevel="2">
      <c r="A928" s="8" t="n"/>
      <c r="B928" s="14" t="n"/>
      <c r="C928" s="120" t="n"/>
      <c r="D928" s="120" t="n"/>
      <c r="E928" s="120" t="n"/>
      <c r="F928" s="120" t="n"/>
      <c r="G928" s="120" t="n"/>
      <c r="I928" s="127" t="n">
        <v>1</v>
      </c>
      <c r="J928" s="115" t="n"/>
      <c r="K928" s="16" t="n"/>
      <c r="L928" s="17" t="n"/>
      <c r="M928" s="128">
        <f>DADOS_INVOC!$PK$63</f>
        <v/>
      </c>
      <c r="N928" s="120" t="n"/>
      <c r="O928" s="120" t="n"/>
      <c r="P928" s="120" t="n"/>
      <c r="Q928" s="120" t="n"/>
      <c r="R928" s="120" t="n"/>
      <c r="S928" s="120" t="n"/>
      <c r="T928" s="120" t="n"/>
      <c r="U928" s="120" t="n"/>
      <c r="V928" s="120" t="n"/>
      <c r="W928" s="120" t="n"/>
      <c r="X928" s="120" t="n"/>
      <c r="Y928" s="120" t="n"/>
      <c r="Z928" s="120" t="n"/>
      <c r="AB928" s="127" t="n">
        <v>1</v>
      </c>
      <c r="AC928" s="115" t="n"/>
      <c r="AD928" s="16" t="n"/>
      <c r="AE928" s="17" t="n"/>
      <c r="AF928" s="128">
        <f>DADOS_INVOC!$PK$141</f>
        <v/>
      </c>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COMO É</t>
        </is>
      </c>
      <c r="J929" s="16" t="n"/>
      <c r="K929" s="16" t="n"/>
      <c r="L929" s="16" t="n"/>
      <c r="M929" s="17" t="n"/>
      <c r="N929" s="120" t="n"/>
      <c r="O929" s="120" t="n"/>
      <c r="P929" s="120" t="n"/>
      <c r="Q929" s="120" t="n"/>
      <c r="R929" s="120" t="n"/>
      <c r="S929" s="120" t="n"/>
      <c r="T929" s="120" t="n"/>
      <c r="U929" s="120" t="n"/>
      <c r="V929" s="120" t="n"/>
      <c r="W929" s="120" t="n"/>
      <c r="X929" s="120" t="n"/>
      <c r="Y929" s="120" t="n"/>
      <c r="Z929" s="120" t="n"/>
      <c r="AB929" s="55" t="inlineStr">
        <is>
          <t>COMO É</t>
        </is>
      </c>
      <c r="AC929" s="16" t="n"/>
      <c r="AD929" s="16" t="n"/>
      <c r="AE929" s="16" t="n"/>
      <c r="AF929" s="17"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16" t="n"/>
      <c r="J930" s="19" t="n"/>
      <c r="K930" s="19" t="n"/>
      <c r="L930" s="19" t="n"/>
      <c r="M930" s="20" t="n"/>
      <c r="N930" s="120" t="n"/>
      <c r="O930" s="120" t="n"/>
      <c r="P930" s="120" t="n"/>
      <c r="Q930" s="120" t="n"/>
      <c r="R930" s="120" t="n"/>
      <c r="S930" s="120" t="n"/>
      <c r="T930" s="120" t="n"/>
      <c r="U930" s="120" t="n"/>
      <c r="V930" s="120" t="n"/>
      <c r="W930" s="120" t="n"/>
      <c r="X930" s="120" t="n"/>
      <c r="Y930" s="120" t="n"/>
      <c r="Z930" s="120" t="n"/>
      <c r="AB930" s="116" t="n"/>
      <c r="AC930" s="19" t="n"/>
      <c r="AD930" s="19" t="n"/>
      <c r="AE930" s="19" t="n"/>
      <c r="AF930" s="20"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21" t="n"/>
      <c r="M931" s="22" t="n"/>
      <c r="N931" s="120" t="n"/>
      <c r="O931" s="120" t="n"/>
      <c r="P931" s="120" t="n"/>
      <c r="Q931" s="120" t="n"/>
      <c r="R931" s="120" t="n"/>
      <c r="S931" s="120" t="n"/>
      <c r="T931" s="120" t="n"/>
      <c r="U931" s="120" t="n"/>
      <c r="V931" s="120" t="n"/>
      <c r="W931" s="120" t="n"/>
      <c r="X931" s="120" t="n"/>
      <c r="Y931" s="120" t="n"/>
      <c r="Z931" s="120" t="n"/>
      <c r="AB931" s="21" t="n"/>
      <c r="AF931" s="22"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2">
      <c r="A933" s="8" t="n"/>
      <c r="B933" s="14" t="n"/>
      <c r="C933" s="120" t="n"/>
      <c r="D933" s="120" t="n"/>
      <c r="E933" s="120" t="n"/>
      <c r="F933" s="120" t="n"/>
      <c r="G933" s="120" t="n"/>
      <c r="I933" s="124" t="inlineStr">
        <is>
          <t>Projétil</t>
        </is>
      </c>
      <c r="J933" s="17" t="n"/>
      <c r="K933" s="68">
        <f>DADOS_INVOC!$PR$63</f>
        <v/>
      </c>
      <c r="L933" s="17" t="n"/>
      <c r="M933" s="68">
        <f>DADOS_INVOC!$PN$63</f>
        <v/>
      </c>
      <c r="N933" s="120" t="n"/>
      <c r="O933" s="120" t="n"/>
      <c r="P933" s="120" t="n"/>
      <c r="Q933" s="120" t="n"/>
      <c r="R933" s="120" t="n"/>
      <c r="S933" s="120" t="n"/>
      <c r="T933" s="120" t="n"/>
      <c r="U933" s="120" t="n"/>
      <c r="V933" s="120" t="n"/>
      <c r="W933" s="120" t="n"/>
      <c r="X933" s="120" t="n"/>
      <c r="Y933" s="120" t="n"/>
      <c r="Z933" s="120" t="n"/>
      <c r="AB933" s="124" t="inlineStr">
        <is>
          <t>Projétil</t>
        </is>
      </c>
      <c r="AC933" s="17" t="n"/>
      <c r="AD933" s="68">
        <f>DADOS_INVOC!$PR$141</f>
        <v/>
      </c>
      <c r="AE933" s="17" t="n"/>
      <c r="AF933" s="68">
        <f>DADOS_INVOC!$PN$141</f>
        <v/>
      </c>
      <c r="AG933" s="120" t="n"/>
      <c r="AH933" s="120" t="n"/>
      <c r="AI933" s="120" t="n"/>
      <c r="AJ933" s="120" t="n"/>
      <c r="AK933" s="120" t="n"/>
      <c r="AL933" s="120" t="n"/>
      <c r="AM933" s="120" t="n"/>
      <c r="AN933" s="120" t="n"/>
      <c r="AO933" s="120" t="n"/>
      <c r="AP933" s="120" t="n"/>
      <c r="AQ933" s="120" t="n"/>
      <c r="AR933" s="120" t="n"/>
      <c r="AS933" s="120" t="n"/>
    </row>
    <row r="934" hidden="1" outlineLevel="2">
      <c r="A934" s="8" t="n"/>
      <c r="B934" s="14" t="n"/>
      <c r="C934" s="120" t="n"/>
      <c r="D934" s="120" t="n"/>
      <c r="E934" s="120" t="n"/>
      <c r="F934" s="120" t="n"/>
      <c r="G934" s="120" t="n"/>
      <c r="I934" s="124" t="n"/>
      <c r="J934" s="17" t="n"/>
      <c r="K934" s="124" t="n"/>
      <c r="L934" s="16" t="n"/>
      <c r="M934" s="17" t="n"/>
      <c r="N934" s="120" t="n"/>
      <c r="O934" s="120" t="n"/>
      <c r="P934" s="120" t="n"/>
      <c r="Q934" s="120" t="n"/>
      <c r="R934" s="120" t="n"/>
      <c r="S934" s="120" t="n"/>
      <c r="T934" s="120" t="n"/>
      <c r="U934" s="120" t="n"/>
      <c r="V934" s="120" t="n"/>
      <c r="W934" s="120" t="n"/>
      <c r="X934" s="120" t="n"/>
      <c r="Y934" s="120" t="n"/>
      <c r="Z934" s="120" t="n"/>
      <c r="AB934" s="124" t="n"/>
      <c r="AC934" s="17" t="n"/>
      <c r="AD934" s="124" t="n"/>
      <c r="AE934" s="16" t="n"/>
      <c r="AF934" s="17" t="n"/>
      <c r="AG934" s="120" t="n"/>
      <c r="AH934" s="120" t="n"/>
      <c r="AI934" s="120" t="n"/>
      <c r="AJ934" s="120" t="n"/>
      <c r="AK934" s="120" t="n"/>
      <c r="AL934" s="120" t="n"/>
      <c r="AM934" s="120" t="n"/>
      <c r="AN934" s="120" t="n"/>
      <c r="AO934" s="120" t="n"/>
      <c r="AP934" s="120" t="n"/>
      <c r="AQ934" s="120" t="n"/>
      <c r="AR934" s="120" t="n"/>
      <c r="AS934" s="120" t="n"/>
    </row>
    <row r="935" hidden="1" outlineLevel="2">
      <c r="A935" s="8" t="n"/>
      <c r="B935" s="14" t="n"/>
      <c r="C935" s="120" t="n"/>
      <c r="D935" s="120" t="n"/>
      <c r="E935" s="120" t="n"/>
      <c r="F935" s="120" t="n"/>
      <c r="G935" s="120" t="n"/>
      <c r="I935" s="124">
        <f>DADOS_INVOC!$PO$63</f>
        <v/>
      </c>
      <c r="J935" s="17" t="n"/>
      <c r="K935" s="124">
        <f>DADOS_INVOC!$PQ$63</f>
        <v/>
      </c>
      <c r="L935" s="16" t="n"/>
      <c r="M935" s="17" t="n"/>
      <c r="N935" s="120" t="n"/>
      <c r="O935" s="120" t="n"/>
      <c r="P935" s="120" t="n"/>
      <c r="Q935" s="120" t="n"/>
      <c r="R935" s="120" t="n"/>
      <c r="S935" s="120" t="n"/>
      <c r="T935" s="120" t="n"/>
      <c r="U935" s="120" t="n"/>
      <c r="V935" s="120" t="n"/>
      <c r="W935" s="120" t="n"/>
      <c r="X935" s="120" t="n"/>
      <c r="Y935" s="120" t="n"/>
      <c r="Z935" s="120" t="n"/>
      <c r="AB935" s="124">
        <f>DADOS_INVOC!$PO$141</f>
        <v/>
      </c>
      <c r="AC935" s="17" t="n"/>
      <c r="AD935" s="124">
        <f>DADOS_INVOC!$PQ$141</f>
        <v/>
      </c>
      <c r="AE935" s="16" t="n"/>
      <c r="AF935" s="17"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129">
        <f>DADOS_INVOC!$PW$63</f>
        <v/>
      </c>
      <c r="J936" s="16" t="n"/>
      <c r="K936" s="16" t="n"/>
      <c r="L936" s="16" t="n"/>
      <c r="M936" s="17" t="n"/>
      <c r="N936" s="120" t="n"/>
      <c r="O936" s="120" t="n"/>
      <c r="P936" s="120" t="n"/>
      <c r="Q936" s="120" t="n"/>
      <c r="R936" s="120" t="n"/>
      <c r="S936" s="120" t="n"/>
      <c r="T936" s="120" t="n"/>
      <c r="U936" s="120" t="n"/>
      <c r="V936" s="120" t="n"/>
      <c r="W936" s="120" t="n"/>
      <c r="X936" s="120" t="n"/>
      <c r="Y936" s="120" t="n"/>
      <c r="Z936" s="120" t="n"/>
      <c r="AB936" s="129">
        <f>DADOS_INVOC!$PW$141</f>
        <v/>
      </c>
      <c r="AC936" s="16" t="n"/>
      <c r="AD936" s="16" t="n"/>
      <c r="AE936" s="16" t="n"/>
      <c r="AF936" s="17" t="n"/>
      <c r="AG936" s="120" t="n"/>
      <c r="AH936" s="120" t="n"/>
      <c r="AI936" s="120" t="n"/>
      <c r="AJ936" s="120" t="n"/>
      <c r="AK936" s="120" t="n"/>
      <c r="AL936" s="120" t="n"/>
      <c r="AM936" s="120" t="n"/>
      <c r="AN936" s="120" t="n"/>
      <c r="AO936" s="120" t="n"/>
      <c r="AP936" s="120" t="n"/>
      <c r="AQ936" s="120" t="n"/>
      <c r="AR936" s="120" t="n"/>
      <c r="AS936" s="120" t="n"/>
    </row>
    <row r="937" hidden="1" outlineLevel="3">
      <c r="A937" s="8" t="n"/>
      <c r="B937" s="14" t="n"/>
      <c r="C937" s="120" t="n"/>
      <c r="D937" s="120" t="n"/>
      <c r="E937" s="120" t="n"/>
      <c r="F937" s="120" t="n"/>
      <c r="G937" s="120" t="n"/>
      <c r="I937" s="55" t="inlineStr">
        <is>
          <t>MELHORIAS</t>
        </is>
      </c>
      <c r="J937" s="130" t="n"/>
      <c r="K937" s="16" t="n"/>
      <c r="L937" s="17" t="n"/>
      <c r="M937" s="129">
        <f>DADOS_INVOC!$PZ$63</f>
        <v/>
      </c>
      <c r="N937" s="120" t="n"/>
      <c r="O937" s="120" t="n"/>
      <c r="P937" s="120" t="n"/>
      <c r="Q937" s="120" t="n"/>
      <c r="R937" s="120" t="n"/>
      <c r="S937" s="120" t="n"/>
      <c r="T937" s="120" t="n"/>
      <c r="U937" s="120" t="n"/>
      <c r="V937" s="120" t="n"/>
      <c r="W937" s="120" t="n"/>
      <c r="X937" s="120" t="n"/>
      <c r="Y937" s="120" t="n"/>
      <c r="Z937" s="120" t="n"/>
      <c r="AB937" s="55" t="inlineStr">
        <is>
          <t>MELHORIAS</t>
        </is>
      </c>
      <c r="AC937" s="130" t="n"/>
      <c r="AD937" s="16" t="n"/>
      <c r="AE937" s="17" t="n"/>
      <c r="AF937" s="129">
        <f>DADOS_INVOC!$PZ$141</f>
        <v/>
      </c>
      <c r="AG937" s="120" t="n"/>
      <c r="AH937" s="120" t="n"/>
      <c r="AI937" s="120" t="n"/>
      <c r="AJ937" s="120" t="n"/>
      <c r="AK937" s="120" t="n"/>
      <c r="AL937" s="120" t="n"/>
      <c r="AM937" s="120" t="n"/>
      <c r="AN937" s="120" t="n"/>
      <c r="AO937" s="120" t="n"/>
      <c r="AP937" s="120" t="n"/>
      <c r="AQ937" s="120" t="n"/>
      <c r="AR937" s="120" t="n"/>
      <c r="AS937" s="120" t="n"/>
    </row>
    <row r="938" hidden="1" outlineLevel="3">
      <c r="A938" s="8" t="n"/>
      <c r="B938" s="14" t="n"/>
      <c r="C938" s="120" t="n"/>
      <c r="D938" s="120" t="n"/>
      <c r="E938" s="120" t="n"/>
      <c r="F938" s="120" t="n"/>
      <c r="G938" s="120" t="n"/>
      <c r="I938" s="131" t="n"/>
      <c r="J938" s="130" t="n"/>
      <c r="K938" s="16" t="n"/>
      <c r="L938" s="17" t="n"/>
      <c r="M938" s="129">
        <f>DADOS_INVOC!$QA$63</f>
        <v/>
      </c>
      <c r="N938" s="120" t="n"/>
      <c r="O938" s="120" t="n"/>
      <c r="P938" s="120" t="n"/>
      <c r="Q938" s="120" t="n"/>
      <c r="R938" s="120" t="n"/>
      <c r="S938" s="120" t="n"/>
      <c r="T938" s="120" t="n"/>
      <c r="U938" s="120" t="n"/>
      <c r="V938" s="120" t="n"/>
      <c r="W938" s="120" t="n"/>
      <c r="X938" s="120" t="n"/>
      <c r="Y938" s="120" t="n"/>
      <c r="Z938" s="120" t="n"/>
      <c r="AB938" s="131" t="n"/>
      <c r="AC938" s="130" t="n"/>
      <c r="AD938" s="16" t="n"/>
      <c r="AE938" s="17" t="n"/>
      <c r="AF938" s="129">
        <f>DADOS_INVOC!$QA$141</f>
        <v/>
      </c>
      <c r="AG938" s="120" t="n"/>
      <c r="AH938" s="120" t="n"/>
      <c r="AI938" s="120" t="n"/>
      <c r="AJ938" s="120" t="n"/>
      <c r="AK938" s="120" t="n"/>
      <c r="AL938" s="120" t="n"/>
      <c r="AM938" s="120" t="n"/>
      <c r="AN938" s="120" t="n"/>
      <c r="AO938" s="120" t="n"/>
      <c r="AP938" s="120" t="n"/>
      <c r="AQ938" s="120" t="n"/>
      <c r="AR938" s="120" t="n"/>
      <c r="AS938" s="120" t="n"/>
    </row>
    <row r="939" hidden="1" outlineLevel="3">
      <c r="A939" s="8" t="n"/>
      <c r="B939" s="14" t="n"/>
      <c r="C939" s="120" t="n"/>
      <c r="D939" s="120" t="n"/>
      <c r="E939" s="120" t="n"/>
      <c r="F939" s="120" t="n"/>
      <c r="G939" s="120" t="n"/>
      <c r="I939" s="131" t="n"/>
      <c r="J939" s="130" t="n"/>
      <c r="K939" s="16" t="n"/>
      <c r="L939" s="17" t="n"/>
      <c r="M939" s="129">
        <f>DADOS_INVOC!$QB$63</f>
        <v/>
      </c>
      <c r="N939" s="120" t="n"/>
      <c r="O939" s="120" t="n"/>
      <c r="P939" s="120" t="n"/>
      <c r="Q939" s="120" t="n"/>
      <c r="R939" s="120" t="n"/>
      <c r="S939" s="120" t="n"/>
      <c r="T939" s="120" t="n"/>
      <c r="U939" s="120" t="n"/>
      <c r="V939" s="120" t="n"/>
      <c r="W939" s="120" t="n"/>
      <c r="X939" s="120" t="n"/>
      <c r="Y939" s="120" t="n"/>
      <c r="Z939" s="120" t="n"/>
      <c r="AB939" s="131" t="n"/>
      <c r="AC939" s="130" t="n"/>
      <c r="AD939" s="16" t="n"/>
      <c r="AE939" s="17" t="n"/>
      <c r="AF939" s="129">
        <f>DADOS_INVOC!$QB$141</f>
        <v/>
      </c>
      <c r="AG939" s="120" t="n"/>
      <c r="AH939" s="120" t="n"/>
      <c r="AI939" s="120" t="n"/>
      <c r="AJ939" s="120" t="n"/>
      <c r="AK939" s="120" t="n"/>
      <c r="AL939" s="120" t="n"/>
      <c r="AM939" s="120" t="n"/>
      <c r="AN939" s="120" t="n"/>
      <c r="AO939" s="120" t="n"/>
      <c r="AP939" s="120" t="n"/>
      <c r="AQ939" s="120" t="n"/>
      <c r="AR939" s="120" t="n"/>
      <c r="AS939" s="120" t="n"/>
    </row>
    <row r="940" hidden="1" outlineLevel="3">
      <c r="A940" s="8" t="n"/>
      <c r="B940" s="14" t="n"/>
      <c r="C940" s="120" t="n"/>
      <c r="D940" s="120" t="n"/>
      <c r="E940" s="120" t="n"/>
      <c r="F940" s="120" t="n"/>
      <c r="G940" s="120" t="n"/>
      <c r="I940" s="125" t="n"/>
      <c r="J940" s="130" t="n"/>
      <c r="K940" s="16" t="n"/>
      <c r="L940" s="17" t="n"/>
      <c r="M940" s="129">
        <f>DADOS_INVOC!$QC$63</f>
        <v/>
      </c>
      <c r="N940" s="120" t="n"/>
      <c r="O940" s="120" t="n"/>
      <c r="P940" s="120" t="n"/>
      <c r="Q940" s="120" t="n"/>
      <c r="R940" s="120" t="n"/>
      <c r="S940" s="120" t="n"/>
      <c r="T940" s="120" t="n"/>
      <c r="U940" s="120" t="n"/>
      <c r="V940" s="120" t="n"/>
      <c r="W940" s="120" t="n"/>
      <c r="X940" s="120" t="n"/>
      <c r="Y940" s="120" t="n"/>
      <c r="Z940" s="120" t="n"/>
      <c r="AB940" s="125" t="n"/>
      <c r="AC940" s="130" t="n"/>
      <c r="AD940" s="16" t="n"/>
      <c r="AE940" s="17" t="n"/>
      <c r="AF940" s="129">
        <f>DADOS_INVOC!$QC$141</f>
        <v/>
      </c>
      <c r="AG940" s="120" t="n"/>
      <c r="AH940" s="120" t="n"/>
      <c r="AI940" s="120" t="n"/>
      <c r="AJ940" s="120" t="n"/>
      <c r="AK940" s="120" t="n"/>
      <c r="AL940" s="120" t="n"/>
      <c r="AM940" s="120" t="n"/>
      <c r="AN940" s="120" t="n"/>
      <c r="AO940" s="120" t="n"/>
      <c r="AP940" s="120" t="n"/>
      <c r="AQ940" s="120" t="n"/>
      <c r="AR940" s="120" t="n"/>
      <c r="AS940" s="120" t="n"/>
    </row>
    <row r="941" hidden="1" outlineLevel="3">
      <c r="A941" s="8" t="n"/>
      <c r="B941" s="14" t="n"/>
      <c r="C941" s="120" t="n"/>
      <c r="D941" s="120" t="n"/>
      <c r="E941" s="120" t="n"/>
      <c r="F941" s="120" t="n"/>
      <c r="G941" s="120" t="n"/>
      <c r="I941" s="55" t="inlineStr">
        <is>
          <t>RESTRIÇÕES</t>
        </is>
      </c>
      <c r="J941" s="130" t="n"/>
      <c r="K941" s="16" t="n"/>
      <c r="L941" s="17" t="n"/>
      <c r="M941" s="129">
        <f>DADOS_INVOC!$QD$63</f>
        <v/>
      </c>
      <c r="N941" s="120" t="n"/>
      <c r="O941" s="120" t="n"/>
      <c r="P941" s="120" t="n"/>
      <c r="Q941" s="120" t="n"/>
      <c r="R941" s="120" t="n"/>
      <c r="S941" s="120" t="n"/>
      <c r="T941" s="120" t="n"/>
      <c r="U941" s="120" t="n"/>
      <c r="V941" s="120" t="n"/>
      <c r="W941" s="120" t="n"/>
      <c r="X941" s="120" t="n"/>
      <c r="Y941" s="120" t="n"/>
      <c r="Z941" s="120" t="n"/>
      <c r="AB941" s="55" t="inlineStr">
        <is>
          <t>RESTRIÇÕES</t>
        </is>
      </c>
      <c r="AC941" s="130" t="n"/>
      <c r="AD941" s="16" t="n"/>
      <c r="AE941" s="17" t="n"/>
      <c r="AF941" s="129">
        <f>DADOS_INVOC!$QD$141</f>
        <v/>
      </c>
      <c r="AG941" s="120" t="n"/>
      <c r="AH941" s="120" t="n"/>
      <c r="AI941" s="120" t="n"/>
      <c r="AJ941" s="120" t="n"/>
      <c r="AK941" s="120" t="n"/>
      <c r="AL941" s="120" t="n"/>
      <c r="AM941" s="120" t="n"/>
      <c r="AN941" s="120" t="n"/>
      <c r="AO941" s="120" t="n"/>
      <c r="AP941" s="120" t="n"/>
      <c r="AQ941" s="120" t="n"/>
      <c r="AR941" s="120" t="n"/>
      <c r="AS941" s="120" t="n"/>
    </row>
    <row r="942" hidden="1" outlineLevel="3">
      <c r="A942" s="8" t="n"/>
      <c r="B942" s="14" t="n"/>
      <c r="C942" s="120" t="n"/>
      <c r="D942" s="120" t="n"/>
      <c r="E942" s="120" t="n"/>
      <c r="F942" s="120" t="n"/>
      <c r="G942" s="120" t="n"/>
      <c r="I942" s="125" t="n"/>
      <c r="J942" s="130" t="n"/>
      <c r="K942" s="16" t="n"/>
      <c r="L942" s="17" t="n"/>
      <c r="M942" s="129">
        <f>DADOS_INVOC!$QE$63</f>
        <v/>
      </c>
      <c r="N942" s="120" t="n"/>
      <c r="O942" s="120" t="n"/>
      <c r="P942" s="120" t="n"/>
      <c r="Q942" s="120" t="n"/>
      <c r="R942" s="120" t="n"/>
      <c r="S942" s="120" t="n"/>
      <c r="T942" s="120" t="n"/>
      <c r="U942" s="120" t="n"/>
      <c r="V942" s="120" t="n"/>
      <c r="W942" s="120" t="n"/>
      <c r="X942" s="120" t="n"/>
      <c r="Y942" s="120" t="n"/>
      <c r="Z942" s="120" t="n"/>
      <c r="AB942" s="125" t="n"/>
      <c r="AC942" s="130" t="n"/>
      <c r="AD942" s="16" t="n"/>
      <c r="AE942" s="17" t="n"/>
      <c r="AF942" s="129">
        <f>DADOS_INVOC!$QE$141</f>
        <v/>
      </c>
      <c r="AG942" s="120" t="n"/>
      <c r="AH942" s="120" t="n"/>
      <c r="AI942" s="120" t="n"/>
      <c r="AJ942" s="120" t="n"/>
      <c r="AK942" s="120" t="n"/>
      <c r="AL942" s="120" t="n"/>
      <c r="AM942" s="120" t="n"/>
      <c r="AN942" s="120" t="n"/>
      <c r="AO942" s="120" t="n"/>
      <c r="AP942" s="120" t="n"/>
      <c r="AQ942" s="120" t="n"/>
      <c r="AR942" s="120" t="n"/>
      <c r="AS942" s="120" t="n"/>
    </row>
    <row r="943" hidden="1" outlineLevel="3">
      <c r="A943" s="8" t="n"/>
      <c r="B943" s="14" t="n"/>
      <c r="C943" s="120" t="n"/>
      <c r="D943" s="120" t="n"/>
      <c r="E943" s="120" t="n"/>
      <c r="F943" s="120" t="n"/>
      <c r="G943" s="120" t="n"/>
      <c r="I943" s="55" t="inlineStr">
        <is>
          <t>CONTA</t>
        </is>
      </c>
      <c r="J943" s="132">
        <f>DADOS_INVOC!$PX$63</f>
        <v/>
      </c>
      <c r="K943" s="16" t="n"/>
      <c r="L943" s="16" t="n"/>
      <c r="M943" s="17" t="n"/>
      <c r="N943" s="120" t="n"/>
      <c r="O943" s="120" t="n"/>
      <c r="P943" s="120" t="n"/>
      <c r="Q943" s="120" t="n"/>
      <c r="R943" s="120" t="n"/>
      <c r="S943" s="120" t="n"/>
      <c r="T943" s="120" t="n"/>
      <c r="U943" s="120" t="n"/>
      <c r="V943" s="120" t="n"/>
      <c r="W943" s="120" t="n"/>
      <c r="X943" s="120" t="n"/>
      <c r="Y943" s="120" t="n"/>
      <c r="Z943" s="120" t="n"/>
      <c r="AB943" s="55" t="inlineStr">
        <is>
          <t>CONTA</t>
        </is>
      </c>
      <c r="AC943" s="132">
        <f>DADOS_INVOC!$PX$141</f>
        <v/>
      </c>
      <c r="AD943" s="16" t="n"/>
      <c r="AE943" s="16" t="n"/>
      <c r="AF943" s="17" t="n"/>
      <c r="AG943" s="120" t="n"/>
      <c r="AH943" s="120" t="n"/>
      <c r="AI943" s="120" t="n"/>
      <c r="AJ943" s="120" t="n"/>
      <c r="AK943" s="120" t="n"/>
      <c r="AL943" s="120" t="n"/>
      <c r="AM943" s="120" t="n"/>
      <c r="AN943" s="120" t="n"/>
      <c r="AO943" s="120" t="n"/>
      <c r="AP943" s="120" t="n"/>
      <c r="AQ943" s="120" t="n"/>
      <c r="AR943" s="120" t="n"/>
      <c r="AS943" s="120" t="n"/>
    </row>
    <row r="944" hidden="1" outlineLevel="3">
      <c r="A944" s="8" t="n"/>
      <c r="B944" s="14" t="n"/>
      <c r="C944" s="120" t="n"/>
      <c r="D944" s="120" t="n"/>
      <c r="E944" s="120" t="n"/>
      <c r="F944" s="120" t="n"/>
      <c r="G944" s="120" t="n"/>
      <c r="I944" s="55" t="inlineStr">
        <is>
          <t>AMPLIAR</t>
        </is>
      </c>
      <c r="J944" s="132">
        <f>DADOS_INVOC!$PY$63</f>
        <v/>
      </c>
      <c r="K944" s="19" t="n"/>
      <c r="L944" s="19" t="n"/>
      <c r="M944" s="20" t="n"/>
      <c r="N944" s="120" t="n"/>
      <c r="O944" s="120" t="n"/>
      <c r="P944" s="120" t="n"/>
      <c r="Q944" s="120" t="n"/>
      <c r="R944" s="120" t="n"/>
      <c r="S944" s="120" t="n"/>
      <c r="T944" s="120" t="n"/>
      <c r="U944" s="120" t="n"/>
      <c r="V944" s="120" t="n"/>
      <c r="W944" s="120" t="n"/>
      <c r="X944" s="120" t="n"/>
      <c r="Y944" s="120" t="n"/>
      <c r="Z944" s="120" t="n"/>
      <c r="AB944" s="55" t="inlineStr">
        <is>
          <t>AMPLIAR</t>
        </is>
      </c>
      <c r="AC944" s="132">
        <f>DADOS_INVOC!$PY$141</f>
        <v/>
      </c>
      <c r="AD944" s="19" t="n"/>
      <c r="AE944" s="19" t="n"/>
      <c r="AF944" s="20" t="n"/>
      <c r="AG944" s="120" t="n"/>
      <c r="AH944" s="120" t="n"/>
      <c r="AI944" s="120" t="n"/>
      <c r="AJ944" s="120" t="n"/>
      <c r="AK944" s="120" t="n"/>
      <c r="AL944" s="120" t="n"/>
      <c r="AM944" s="120" t="n"/>
      <c r="AN944" s="120" t="n"/>
      <c r="AO944" s="120" t="n"/>
      <c r="AP944" s="120" t="n"/>
      <c r="AQ944" s="120" t="n"/>
      <c r="AR944" s="120" t="n"/>
      <c r="AS944" s="120" t="n"/>
    </row>
    <row r="945" hidden="1" outlineLevel="3">
      <c r="A945" s="8" t="n"/>
      <c r="B945" s="14" t="n"/>
      <c r="C945" s="120" t="n"/>
      <c r="D945" s="120" t="n"/>
      <c r="E945" s="120" t="n"/>
      <c r="F945" s="120" t="n"/>
      <c r="G945" s="120" t="n"/>
      <c r="I945" s="125" t="n"/>
      <c r="J945" s="23" t="n"/>
      <c r="K945" s="24" t="n"/>
      <c r="L945" s="24" t="n"/>
      <c r="M945" s="25" t="n"/>
      <c r="N945" s="120" t="n"/>
      <c r="O945" s="120" t="n"/>
      <c r="P945" s="120" t="n"/>
      <c r="Q945" s="120" t="n"/>
      <c r="R945" s="120" t="n"/>
      <c r="S945" s="120" t="n"/>
      <c r="T945" s="120" t="n"/>
      <c r="U945" s="120" t="n"/>
      <c r="V945" s="120" t="n"/>
      <c r="W945" s="120" t="n"/>
      <c r="X945" s="120" t="n"/>
      <c r="Y945" s="120" t="n"/>
      <c r="Z945" s="120" t="n"/>
      <c r="AB945" s="125" t="n"/>
      <c r="AC945" s="23" t="n"/>
      <c r="AD945" s="24" t="n"/>
      <c r="AE945" s="24" t="n"/>
      <c r="AF945" s="25" t="n"/>
      <c r="AG945" s="120" t="n"/>
      <c r="AH945" s="120" t="n"/>
      <c r="AI945" s="120" t="n"/>
      <c r="AJ945" s="120" t="n"/>
      <c r="AK945" s="120" t="n"/>
      <c r="AL945" s="120" t="n"/>
      <c r="AM945" s="120" t="n"/>
      <c r="AN945" s="120" t="n"/>
      <c r="AO945" s="120" t="n"/>
      <c r="AP945" s="120" t="n"/>
      <c r="AQ945" s="120" t="n"/>
      <c r="AR945" s="120" t="n"/>
      <c r="AS945" s="120" t="n"/>
    </row>
    <row r="946" hidden="1" outlineLevel="3">
      <c r="A946" s="8" t="n"/>
      <c r="B946" s="14" t="n"/>
      <c r="C946" s="120" t="n"/>
      <c r="D946" s="120" t="n"/>
      <c r="E946" s="120" t="n"/>
      <c r="F946" s="120" t="n"/>
      <c r="G946" s="120" t="n"/>
      <c r="I946" s="132">
        <f>DADOS_INVOC!$PL$63</f>
        <v/>
      </c>
      <c r="J946" s="19" t="n"/>
      <c r="K946" s="19" t="n"/>
      <c r="L946" s="19" t="n"/>
      <c r="M946" s="20" t="n"/>
      <c r="N946" s="120" t="n"/>
      <c r="O946" s="120" t="n"/>
      <c r="P946" s="120" t="n"/>
      <c r="Q946" s="120" t="n"/>
      <c r="R946" s="120" t="n"/>
      <c r="S946" s="120" t="n"/>
      <c r="T946" s="120" t="n"/>
      <c r="U946" s="120" t="n"/>
      <c r="V946" s="120" t="n"/>
      <c r="W946" s="120" t="n"/>
      <c r="X946" s="120" t="n"/>
      <c r="Y946" s="120" t="n"/>
      <c r="Z946" s="120" t="n"/>
      <c r="AB946" s="132">
        <f>DADOS_INVOC!$PL$141</f>
        <v/>
      </c>
      <c r="AC946" s="19" t="n"/>
      <c r="AD946" s="19" t="n"/>
      <c r="AE946" s="19" t="n"/>
      <c r="AF946" s="20" t="n"/>
      <c r="AG946" s="120" t="n"/>
      <c r="AH946" s="120" t="n"/>
      <c r="AI946" s="120" t="n"/>
      <c r="AJ946" s="120" t="n"/>
      <c r="AK946" s="120" t="n"/>
      <c r="AL946" s="120" t="n"/>
      <c r="AM946" s="120" t="n"/>
      <c r="AN946" s="120" t="n"/>
      <c r="AO946" s="120" t="n"/>
      <c r="AP946" s="120" t="n"/>
      <c r="AQ946" s="120" t="n"/>
      <c r="AR946" s="120" t="n"/>
      <c r="AS946" s="120" t="n"/>
    </row>
    <row r="947" hidden="1" outlineLevel="3">
      <c r="A947" s="8" t="n"/>
      <c r="B947" s="14" t="n"/>
      <c r="C947" s="120" t="n"/>
      <c r="D947" s="120" t="n"/>
      <c r="E947" s="120" t="n"/>
      <c r="F947" s="120" t="n"/>
      <c r="G947" s="120" t="n"/>
      <c r="I947" s="23" t="n"/>
      <c r="J947" s="24" t="n"/>
      <c r="K947" s="24" t="n"/>
      <c r="L947" s="24" t="n"/>
      <c r="M947" s="25" t="n"/>
      <c r="N947" s="120" t="n"/>
      <c r="O947" s="120" t="n"/>
      <c r="P947" s="120" t="n"/>
      <c r="Q947" s="120" t="n"/>
      <c r="R947" s="120" t="n"/>
      <c r="S947" s="120" t="n"/>
      <c r="T947" s="120" t="n"/>
      <c r="U947" s="120" t="n"/>
      <c r="V947" s="120" t="n"/>
      <c r="W947" s="120" t="n"/>
      <c r="X947" s="120" t="n"/>
      <c r="Y947" s="120" t="n"/>
      <c r="Z947" s="120" t="n"/>
      <c r="AB947" s="23" t="n"/>
      <c r="AC947" s="24" t="n"/>
      <c r="AD947" s="24" t="n"/>
      <c r="AE947" s="24" t="n"/>
      <c r="AF947" s="25" t="n"/>
      <c r="AG947" s="120" t="n"/>
      <c r="AH947" s="120" t="n"/>
      <c r="AI947" s="120" t="n"/>
      <c r="AJ947" s="120" t="n"/>
      <c r="AK947" s="120" t="n"/>
      <c r="AL947" s="120" t="n"/>
      <c r="AM947" s="120" t="n"/>
      <c r="AN947" s="120" t="n"/>
      <c r="AO947" s="120" t="n"/>
      <c r="AP947" s="120" t="n"/>
      <c r="AQ947" s="120" t="n"/>
      <c r="AR947" s="120" t="n"/>
      <c r="AS947" s="120" t="n"/>
    </row>
    <row r="948" hidden="1" outlineLevel="1">
      <c r="A948" s="8" t="n"/>
      <c r="B948" s="14" t="n"/>
      <c r="C948" s="120" t="n"/>
      <c r="D948" s="120" t="n"/>
      <c r="E948" s="120" t="n"/>
      <c r="F948" s="120" t="n"/>
      <c r="G948" s="120" t="n"/>
      <c r="I948" s="120" t="n"/>
      <c r="J948" s="120" t="n"/>
      <c r="K948" s="120" t="n"/>
      <c r="L948" s="120" t="n"/>
      <c r="M948" s="120" t="n"/>
      <c r="N948" s="120" t="n"/>
      <c r="O948" s="120" t="n"/>
      <c r="P948" s="120" t="n"/>
      <c r="Q948" s="120" t="n"/>
      <c r="R948" s="120" t="n"/>
      <c r="S948" s="120" t="n"/>
      <c r="T948" s="120" t="n"/>
      <c r="U948" s="120" t="n"/>
      <c r="V948" s="120" t="n"/>
      <c r="W948" s="120" t="n"/>
      <c r="X948" s="120" t="n"/>
      <c r="Y948" s="120" t="n"/>
      <c r="Z948" s="120" t="n"/>
      <c r="AB948" s="120" t="n"/>
      <c r="AC948" s="120" t="n"/>
      <c r="AD948" s="120" t="n"/>
      <c r="AE948" s="120" t="n"/>
      <c r="AF948" s="120" t="n"/>
      <c r="AG948" s="120" t="n"/>
      <c r="AH948" s="120" t="n"/>
      <c r="AI948" s="120" t="n"/>
      <c r="AJ948" s="120" t="n"/>
      <c r="AK948" s="120" t="n"/>
      <c r="AL948" s="120" t="n"/>
      <c r="AM948" s="120" t="n"/>
      <c r="AN948" s="120" t="n"/>
      <c r="AO948" s="120" t="n"/>
      <c r="AP948" s="120" t="n"/>
      <c r="AQ948" s="120" t="n"/>
      <c r="AR948" s="120" t="n"/>
      <c r="AS948" s="120" t="n"/>
    </row>
    <row r="949" hidden="1" outlineLevel="1">
      <c r="A949" s="8" t="n"/>
      <c r="B949" s="14" t="n"/>
      <c r="C949" s="120" t="n"/>
      <c r="D949" s="120" t="n"/>
      <c r="E949" s="120" t="n"/>
      <c r="F949" s="120" t="n"/>
      <c r="G949" s="120" t="n"/>
      <c r="I949" s="13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0" t="n"/>
      <c r="AB949" s="13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0" t="n"/>
    </row>
    <row r="950" hidden="1" outlineLevel="2">
      <c r="A950" s="8" t="n"/>
      <c r="B950" s="14" t="n"/>
      <c r="C950" s="120" t="n"/>
      <c r="D950" s="120" t="n"/>
      <c r="E950" s="120" t="n"/>
      <c r="F950" s="120" t="n"/>
      <c r="G950" s="120" t="n"/>
      <c r="I950" s="120" t="n"/>
      <c r="J950" s="120" t="n"/>
      <c r="K950" s="120" t="n"/>
      <c r="L950" s="120" t="n"/>
      <c r="M950" s="120" t="n"/>
      <c r="N950" s="120" t="n"/>
      <c r="O950" s="120" t="n"/>
      <c r="P950" s="120" t="n"/>
      <c r="Q950" s="120" t="n"/>
      <c r="R950" s="120" t="n"/>
      <c r="S950" s="120" t="n"/>
      <c r="T950" s="120" t="n"/>
      <c r="U950" s="120" t="n"/>
      <c r="V950" s="120" t="n"/>
      <c r="W950" s="120" t="n"/>
      <c r="X950" s="120" t="n"/>
      <c r="Y950" s="120" t="n"/>
      <c r="Z950" s="120" t="n"/>
      <c r="AB950" s="120" t="n"/>
      <c r="AC950" s="120" t="n"/>
      <c r="AD950" s="120" t="n"/>
      <c r="AE950" s="120" t="n"/>
      <c r="AF950" s="120" t="n"/>
      <c r="AG950" s="120" t="n"/>
      <c r="AH950" s="120" t="n"/>
      <c r="AI950" s="120" t="n"/>
      <c r="AJ950" s="120" t="n"/>
      <c r="AK950" s="120" t="n"/>
      <c r="AL950" s="120" t="n"/>
      <c r="AM950" s="120" t="n"/>
      <c r="AN950" s="120" t="n"/>
      <c r="AO950" s="120" t="n"/>
      <c r="AP950" s="120" t="n"/>
      <c r="AQ950" s="120" t="n"/>
      <c r="AR950" s="120" t="n"/>
      <c r="AS950" s="120" t="n"/>
    </row>
    <row r="951" hidden="1" outlineLevel="2">
      <c r="A951" s="8" t="n"/>
      <c r="B951" s="14" t="n"/>
      <c r="C951" s="120" t="n"/>
      <c r="D951" s="120" t="n"/>
      <c r="E951" s="120" t="n"/>
      <c r="F951" s="120" t="n"/>
      <c r="G951" s="120" t="n"/>
      <c r="I951" s="55">
        <f>DADOS_INVOC!$PM$64</f>
        <v/>
      </c>
      <c r="J951" s="16" t="n"/>
      <c r="K951" s="16" t="n"/>
      <c r="L951" s="16" t="n"/>
      <c r="M951" s="17" t="n"/>
      <c r="N951" s="120" t="n"/>
      <c r="O951" s="55">
        <f>DADOS_INVOC!$PM$65</f>
        <v/>
      </c>
      <c r="P951" s="16" t="n"/>
      <c r="Q951" s="16" t="n"/>
      <c r="R951" s="16" t="n"/>
      <c r="S951" s="17" t="n"/>
      <c r="T951" s="120" t="n"/>
      <c r="U951" s="55">
        <f>DADOS_INVOC!$PM$66</f>
        <v/>
      </c>
      <c r="V951" s="16" t="n"/>
      <c r="W951" s="16" t="n"/>
      <c r="X951" s="16" t="n"/>
      <c r="Y951" s="17" t="n"/>
      <c r="Z951" s="120" t="n"/>
      <c r="AB951" s="55">
        <f>DADOS_INVOC!$PM$142</f>
        <v/>
      </c>
      <c r="AC951" s="16" t="n"/>
      <c r="AD951" s="16" t="n"/>
      <c r="AE951" s="16" t="n"/>
      <c r="AF951" s="17" t="n"/>
      <c r="AG951" s="120" t="n"/>
      <c r="AH951" s="55">
        <f>DADOS_INVOC!$PM$143</f>
        <v/>
      </c>
      <c r="AI951" s="16" t="n"/>
      <c r="AJ951" s="16" t="n"/>
      <c r="AK951" s="16" t="n"/>
      <c r="AL951" s="17" t="n"/>
      <c r="AM951" s="120" t="n"/>
      <c r="AN951" s="55">
        <f>DADOS_INVOC!$PM$144</f>
        <v/>
      </c>
      <c r="AO951" s="16" t="n"/>
      <c r="AP951" s="16" t="n"/>
      <c r="AQ951" s="16" t="n"/>
      <c r="AR951" s="17" t="n"/>
      <c r="AS951" s="120" t="n"/>
    </row>
    <row r="952" hidden="1" outlineLevel="2">
      <c r="A952" s="8" t="n"/>
      <c r="B952" s="14" t="n"/>
      <c r="C952" s="120" t="n"/>
      <c r="D952" s="120" t="n"/>
      <c r="E952" s="120" t="n"/>
      <c r="F952" s="120" t="n"/>
      <c r="G952" s="120" t="n"/>
      <c r="I952" s="127" t="n">
        <v>1</v>
      </c>
      <c r="J952" s="115" t="n"/>
      <c r="K952" s="16" t="n"/>
      <c r="L952" s="17" t="n"/>
      <c r="M952" s="128">
        <f>DADOS_INVOC!$PK$64</f>
        <v/>
      </c>
      <c r="N952" s="120" t="n"/>
      <c r="O952" s="127" t="n">
        <v>1</v>
      </c>
      <c r="P952" s="115" t="n"/>
      <c r="Q952" s="16" t="n"/>
      <c r="R952" s="17" t="n"/>
      <c r="S952" s="128">
        <f>DADOS_INVOC!$PK$65</f>
        <v/>
      </c>
      <c r="T952" s="120" t="n"/>
      <c r="U952" s="127" t="n">
        <v>1</v>
      </c>
      <c r="V952" s="115" t="n"/>
      <c r="W952" s="16" t="n"/>
      <c r="X952" s="17" t="n"/>
      <c r="Y952" s="128">
        <f>DADOS_INVOC!$PK$66</f>
        <v/>
      </c>
      <c r="Z952" s="120" t="n"/>
      <c r="AB952" s="127" t="n">
        <v>1</v>
      </c>
      <c r="AC952" s="115" t="n"/>
      <c r="AD952" s="16" t="n"/>
      <c r="AE952" s="17" t="n"/>
      <c r="AF952" s="128">
        <f>DADOS_INVOC!$PK$142</f>
        <v/>
      </c>
      <c r="AG952" s="120" t="n"/>
      <c r="AH952" s="127" t="n">
        <v>1</v>
      </c>
      <c r="AI952" s="115" t="n"/>
      <c r="AJ952" s="16" t="n"/>
      <c r="AK952" s="17" t="n"/>
      <c r="AL952" s="128">
        <f>DADOS_INVOC!$PK$143</f>
        <v/>
      </c>
      <c r="AM952" s="120" t="n"/>
      <c r="AN952" s="127" t="n">
        <v>1</v>
      </c>
      <c r="AO952" s="115" t="n"/>
      <c r="AP952" s="16" t="n"/>
      <c r="AQ952" s="17" t="n"/>
      <c r="AR952" s="128">
        <f>DADOS_INVOC!$PK$144</f>
        <v/>
      </c>
      <c r="AS952" s="120" t="n"/>
    </row>
    <row r="953" hidden="1" outlineLevel="3">
      <c r="A953" s="8" t="n"/>
      <c r="B953" s="14" t="n"/>
      <c r="C953" s="120" t="n"/>
      <c r="D953" s="120" t="n"/>
      <c r="E953" s="120" t="n"/>
      <c r="F953" s="120" t="n"/>
      <c r="G953" s="120" t="n"/>
      <c r="I953" s="55" t="inlineStr">
        <is>
          <t>COMO É</t>
        </is>
      </c>
      <c r="J953" s="16" t="n"/>
      <c r="K953" s="16" t="n"/>
      <c r="L953" s="16" t="n"/>
      <c r="M953" s="17" t="n"/>
      <c r="N953" s="120" t="n"/>
      <c r="O953" s="55" t="inlineStr">
        <is>
          <t>COMO É</t>
        </is>
      </c>
      <c r="P953" s="16" t="n"/>
      <c r="Q953" s="16" t="n"/>
      <c r="R953" s="16" t="n"/>
      <c r="S953" s="17" t="n"/>
      <c r="T953" s="120" t="n"/>
      <c r="U953" s="55" t="inlineStr">
        <is>
          <t>COMO É</t>
        </is>
      </c>
      <c r="V953" s="16" t="n"/>
      <c r="W953" s="16" t="n"/>
      <c r="X953" s="16" t="n"/>
      <c r="Y953" s="17" t="n"/>
      <c r="Z953" s="120" t="n"/>
      <c r="AB953" s="55" t="inlineStr">
        <is>
          <t>COMO É</t>
        </is>
      </c>
      <c r="AC953" s="16" t="n"/>
      <c r="AD953" s="16" t="n"/>
      <c r="AE953" s="16" t="n"/>
      <c r="AF953" s="17" t="n"/>
      <c r="AG953" s="120" t="n"/>
      <c r="AH953" s="55" t="inlineStr">
        <is>
          <t>COMO É</t>
        </is>
      </c>
      <c r="AI953" s="16" t="n"/>
      <c r="AJ953" s="16" t="n"/>
      <c r="AK953" s="16" t="n"/>
      <c r="AL953" s="17" t="n"/>
      <c r="AM953" s="120" t="n"/>
      <c r="AN953" s="55" t="inlineStr">
        <is>
          <t>COMO É</t>
        </is>
      </c>
      <c r="AO953" s="16" t="n"/>
      <c r="AP953" s="16" t="n"/>
      <c r="AQ953" s="16" t="n"/>
      <c r="AR953" s="17" t="n"/>
      <c r="AS953" s="120" t="n"/>
    </row>
    <row r="954" hidden="1" outlineLevel="3">
      <c r="A954" s="8" t="n"/>
      <c r="B954" s="14" t="n"/>
      <c r="C954" s="120" t="n"/>
      <c r="D954" s="120" t="n"/>
      <c r="E954" s="120" t="n"/>
      <c r="F954" s="120" t="n"/>
      <c r="G954" s="120" t="n"/>
      <c r="I954" s="116" t="n"/>
      <c r="J954" s="19" t="n"/>
      <c r="K954" s="19" t="n"/>
      <c r="L954" s="19" t="n"/>
      <c r="M954" s="20" t="n"/>
      <c r="N954" s="120" t="n"/>
      <c r="O954" s="116" t="n"/>
      <c r="P954" s="19" t="n"/>
      <c r="Q954" s="19" t="n"/>
      <c r="R954" s="19" t="n"/>
      <c r="S954" s="20" t="n"/>
      <c r="T954" s="120" t="n"/>
      <c r="U954" s="116" t="n"/>
      <c r="V954" s="19" t="n"/>
      <c r="W954" s="19" t="n"/>
      <c r="X954" s="19" t="n"/>
      <c r="Y954" s="20" t="n"/>
      <c r="Z954" s="120" t="n"/>
      <c r="AB954" s="116" t="n"/>
      <c r="AC954" s="19" t="n"/>
      <c r="AD954" s="19" t="n"/>
      <c r="AE954" s="19" t="n"/>
      <c r="AF954" s="20" t="n"/>
      <c r="AG954" s="120" t="n"/>
      <c r="AH954" s="116" t="n"/>
      <c r="AI954" s="19" t="n"/>
      <c r="AJ954" s="19" t="n"/>
      <c r="AK954" s="19" t="n"/>
      <c r="AL954" s="20" t="n"/>
      <c r="AM954" s="120" t="n"/>
      <c r="AN954" s="116" t="n"/>
      <c r="AO954" s="19" t="n"/>
      <c r="AP954" s="19" t="n"/>
      <c r="AQ954" s="19" t="n"/>
      <c r="AR954" s="20" t="n"/>
      <c r="AS954" s="120" t="n"/>
    </row>
    <row r="955" hidden="1" outlineLevel="3">
      <c r="A955" s="8" t="n"/>
      <c r="B955" s="14" t="n"/>
      <c r="C955" s="120" t="n"/>
      <c r="D955" s="120" t="n"/>
      <c r="E955" s="120" t="n"/>
      <c r="F955" s="120" t="n"/>
      <c r="G955" s="120" t="n"/>
      <c r="I955" s="21" t="n"/>
      <c r="M955" s="22" t="n"/>
      <c r="N955" s="120" t="n"/>
      <c r="O955" s="21" t="n"/>
      <c r="S955" s="22" t="n"/>
      <c r="T955" s="120" t="n"/>
      <c r="U955" s="21" t="n"/>
      <c r="Y955" s="22" t="n"/>
      <c r="Z955" s="120" t="n"/>
      <c r="AB955" s="21" t="n"/>
      <c r="AF955" s="22" t="n"/>
      <c r="AG955" s="120" t="n"/>
      <c r="AH955" s="21" t="n"/>
      <c r="AL955" s="22" t="n"/>
      <c r="AM955" s="120" t="n"/>
      <c r="AN955" s="21" t="n"/>
      <c r="AR955" s="22"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4" t="inlineStr">
        <is>
          <t>Projétil</t>
        </is>
      </c>
      <c r="J957" s="17" t="n"/>
      <c r="K957" s="68">
        <f>DADOS_INVOC!$PR$64</f>
        <v/>
      </c>
      <c r="L957" s="17" t="n"/>
      <c r="M957" s="68">
        <f>DADOS_INVOC!$PN$64</f>
        <v/>
      </c>
      <c r="N957" s="120" t="n"/>
      <c r="O957" s="124" t="inlineStr">
        <is>
          <t>Projétil</t>
        </is>
      </c>
      <c r="P957" s="17" t="n"/>
      <c r="Q957" s="68">
        <f>DADOS_INVOC!$PR$65</f>
        <v/>
      </c>
      <c r="R957" s="17" t="n"/>
      <c r="S957" s="68">
        <f>DADOS_INVOC!$PN$65</f>
        <v/>
      </c>
      <c r="T957" s="120" t="n"/>
      <c r="U957" s="124" t="inlineStr">
        <is>
          <t>Projétil</t>
        </is>
      </c>
      <c r="V957" s="17" t="n"/>
      <c r="W957" s="68">
        <f>DADOS_INVOC!$PR$66</f>
        <v/>
      </c>
      <c r="X957" s="17" t="n"/>
      <c r="Y957" s="68">
        <f>DADOS_INVOC!$PN$66</f>
        <v/>
      </c>
      <c r="Z957" s="120" t="n"/>
      <c r="AB957" s="124" t="inlineStr">
        <is>
          <t>Projétil</t>
        </is>
      </c>
      <c r="AC957" s="17" t="n"/>
      <c r="AD957" s="68">
        <f>DADOS_INVOC!$PR$142</f>
        <v/>
      </c>
      <c r="AE957" s="17" t="n"/>
      <c r="AF957" s="68">
        <f>DADOS_INVOC!$PN$142</f>
        <v/>
      </c>
      <c r="AG957" s="120" t="n"/>
      <c r="AH957" s="124" t="inlineStr">
        <is>
          <t>Projétil</t>
        </is>
      </c>
      <c r="AI957" s="17" t="n"/>
      <c r="AJ957" s="68">
        <f>DADOS_INVOC!$PR$143</f>
        <v/>
      </c>
      <c r="AK957" s="17" t="n"/>
      <c r="AL957" s="68">
        <f>DADOS_INVOC!$PN$143</f>
        <v/>
      </c>
      <c r="AM957" s="120" t="n"/>
      <c r="AN957" s="124" t="inlineStr">
        <is>
          <t>Projétil</t>
        </is>
      </c>
      <c r="AO957" s="17" t="n"/>
      <c r="AP957" s="68">
        <f>DADOS_INVOC!$PR$144</f>
        <v/>
      </c>
      <c r="AQ957" s="17" t="n"/>
      <c r="AR957" s="68">
        <f>DADOS_INVOC!$PN$144</f>
        <v/>
      </c>
      <c r="AS957" s="120" t="n"/>
    </row>
    <row r="958" hidden="1" outlineLevel="2">
      <c r="A958" s="8" t="n"/>
      <c r="B958" s="14" t="n"/>
      <c r="C958" s="120" t="n"/>
      <c r="D958" s="120" t="n"/>
      <c r="E958" s="120" t="n"/>
      <c r="F958" s="120" t="n"/>
      <c r="G958" s="120" t="n"/>
      <c r="I958" s="124" t="n"/>
      <c r="J958" s="17" t="n"/>
      <c r="K958" s="124" t="n"/>
      <c r="L958" s="16" t="n"/>
      <c r="M958" s="17" t="n"/>
      <c r="N958" s="120" t="n"/>
      <c r="O958" s="124" t="n"/>
      <c r="P958" s="17" t="n"/>
      <c r="Q958" s="124" t="n"/>
      <c r="R958" s="16" t="n"/>
      <c r="S958" s="17" t="n"/>
      <c r="T958" s="120" t="n"/>
      <c r="U958" s="124" t="n"/>
      <c r="V958" s="17" t="n"/>
      <c r="W958" s="124" t="n"/>
      <c r="X958" s="16" t="n"/>
      <c r="Y958" s="17" t="n"/>
      <c r="Z958" s="120" t="n"/>
      <c r="AB958" s="124" t="n"/>
      <c r="AC958" s="17" t="n"/>
      <c r="AD958" s="124" t="n"/>
      <c r="AE958" s="16" t="n"/>
      <c r="AF958" s="17" t="n"/>
      <c r="AG958" s="120" t="n"/>
      <c r="AH958" s="124" t="n"/>
      <c r="AI958" s="17" t="n"/>
      <c r="AJ958" s="124" t="n"/>
      <c r="AK958" s="16" t="n"/>
      <c r="AL958" s="17" t="n"/>
      <c r="AM958" s="120" t="n"/>
      <c r="AN958" s="124" t="n"/>
      <c r="AO958" s="17" t="n"/>
      <c r="AP958" s="124" t="n"/>
      <c r="AQ958" s="16" t="n"/>
      <c r="AR958" s="17" t="n"/>
      <c r="AS958" s="120" t="n"/>
    </row>
    <row r="959" hidden="1" outlineLevel="2">
      <c r="A959" s="8" t="n"/>
      <c r="B959" s="14" t="n"/>
      <c r="C959" s="120" t="n"/>
      <c r="D959" s="120" t="n"/>
      <c r="E959" s="120" t="n"/>
      <c r="F959" s="120" t="n"/>
      <c r="G959" s="120" t="n"/>
      <c r="I959" s="124">
        <f>DADOS_INVOC!$PO$64</f>
        <v/>
      </c>
      <c r="J959" s="17" t="n"/>
      <c r="K959" s="124">
        <f>DADOS_INVOC!$PQ$64</f>
        <v/>
      </c>
      <c r="L959" s="16" t="n"/>
      <c r="M959" s="17" t="n"/>
      <c r="N959" s="120" t="n"/>
      <c r="O959" s="124">
        <f>DADOS_INVOC!$PO$65</f>
        <v/>
      </c>
      <c r="P959" s="17" t="n"/>
      <c r="Q959" s="124">
        <f>DADOS_INVOC!$PQ$65</f>
        <v/>
      </c>
      <c r="R959" s="16" t="n"/>
      <c r="S959" s="17" t="n"/>
      <c r="T959" s="120" t="n"/>
      <c r="U959" s="124">
        <f>DADOS_INVOC!$PO$66</f>
        <v/>
      </c>
      <c r="V959" s="17" t="n"/>
      <c r="W959" s="124">
        <f>DADOS_INVOC!$PQ$66</f>
        <v/>
      </c>
      <c r="X959" s="16" t="n"/>
      <c r="Y959" s="17" t="n"/>
      <c r="Z959" s="120" t="n"/>
      <c r="AB959" s="124">
        <f>DADOS_INVOC!$PO$142</f>
        <v/>
      </c>
      <c r="AC959" s="17" t="n"/>
      <c r="AD959" s="124">
        <f>DADOS_INVOC!$PQ$142</f>
        <v/>
      </c>
      <c r="AE959" s="16" t="n"/>
      <c r="AF959" s="17" t="n"/>
      <c r="AG959" s="120" t="n"/>
      <c r="AH959" s="124">
        <f>DADOS_INVOC!$PO$143</f>
        <v/>
      </c>
      <c r="AI959" s="17" t="n"/>
      <c r="AJ959" s="124">
        <f>DADOS_INVOC!$PQ$143</f>
        <v/>
      </c>
      <c r="AK959" s="16" t="n"/>
      <c r="AL959" s="17" t="n"/>
      <c r="AM959" s="120" t="n"/>
      <c r="AN959" s="124">
        <f>DADOS_INVOC!$PO$144</f>
        <v/>
      </c>
      <c r="AO959" s="17" t="n"/>
      <c r="AP959" s="124">
        <f>DADOS_INVOC!$PQ$144</f>
        <v/>
      </c>
      <c r="AQ959" s="16" t="n"/>
      <c r="AR959" s="17" t="n"/>
      <c r="AS959" s="120" t="n"/>
    </row>
    <row r="960" hidden="1" outlineLevel="2">
      <c r="A960" s="8" t="n"/>
      <c r="B960" s="14" t="n"/>
      <c r="C960" s="120" t="n"/>
      <c r="D960" s="120" t="n"/>
      <c r="E960" s="120" t="n"/>
      <c r="F960" s="120" t="n"/>
      <c r="G960" s="120" t="n"/>
      <c r="I960" s="129">
        <f>DADOS_INVOC!$PW$64</f>
        <v/>
      </c>
      <c r="J960" s="16" t="n"/>
      <c r="K960" s="16" t="n"/>
      <c r="L960" s="16" t="n"/>
      <c r="M960" s="17" t="n"/>
      <c r="N960" s="120" t="n"/>
      <c r="O960" s="129">
        <f>DADOS_INVOC!$PW$65</f>
        <v/>
      </c>
      <c r="P960" s="16" t="n"/>
      <c r="Q960" s="16" t="n"/>
      <c r="R960" s="16" t="n"/>
      <c r="S960" s="17" t="n"/>
      <c r="T960" s="120" t="n"/>
      <c r="U960" s="129">
        <f>DADOS_INVOC!$PW$66</f>
        <v/>
      </c>
      <c r="V960" s="16" t="n"/>
      <c r="W960" s="16" t="n"/>
      <c r="X960" s="16" t="n"/>
      <c r="Y960" s="17" t="n"/>
      <c r="Z960" s="120" t="n"/>
      <c r="AB960" s="129">
        <f>DADOS_INVOC!$PW$142</f>
        <v/>
      </c>
      <c r="AC960" s="16" t="n"/>
      <c r="AD960" s="16" t="n"/>
      <c r="AE960" s="16" t="n"/>
      <c r="AF960" s="17" t="n"/>
      <c r="AG960" s="120" t="n"/>
      <c r="AH960" s="129">
        <f>DADOS_INVOC!$PW$143</f>
        <v/>
      </c>
      <c r="AI960" s="16" t="n"/>
      <c r="AJ960" s="16" t="n"/>
      <c r="AK960" s="16" t="n"/>
      <c r="AL960" s="17" t="n"/>
      <c r="AM960" s="120" t="n"/>
      <c r="AN960" s="129">
        <f>DADOS_INVOC!$PW$144</f>
        <v/>
      </c>
      <c r="AO960" s="16" t="n"/>
      <c r="AP960" s="16" t="n"/>
      <c r="AQ960" s="16" t="n"/>
      <c r="AR960" s="17" t="n"/>
      <c r="AS960" s="120" t="n"/>
    </row>
    <row r="961" hidden="1" outlineLevel="3">
      <c r="A961" s="8" t="n"/>
      <c r="B961" s="14" t="n"/>
      <c r="C961" s="120" t="n"/>
      <c r="D961" s="120" t="n"/>
      <c r="E961" s="120" t="n"/>
      <c r="F961" s="120" t="n"/>
      <c r="G961" s="120" t="n"/>
      <c r="I961" s="55" t="inlineStr">
        <is>
          <t>MELHORIAS</t>
        </is>
      </c>
      <c r="J961" s="130" t="n"/>
      <c r="K961" s="16" t="n"/>
      <c r="L961" s="17" t="n"/>
      <c r="M961" s="129">
        <f>DADOS_INVOC!$PZ$64</f>
        <v/>
      </c>
      <c r="N961" s="120" t="n"/>
      <c r="O961" s="55" t="inlineStr">
        <is>
          <t>MELHORIAS</t>
        </is>
      </c>
      <c r="P961" s="130" t="n"/>
      <c r="Q961" s="16" t="n"/>
      <c r="R961" s="17" t="n"/>
      <c r="S961" s="129">
        <f>DADOS_INVOC!$PZ$65</f>
        <v/>
      </c>
      <c r="T961" s="120" t="n"/>
      <c r="U961" s="55" t="inlineStr">
        <is>
          <t>MELHORIAS</t>
        </is>
      </c>
      <c r="V961" s="130" t="n"/>
      <c r="W961" s="16" t="n"/>
      <c r="X961" s="17" t="n"/>
      <c r="Y961" s="129">
        <f>DADOS_INVOC!$PZ$66</f>
        <v/>
      </c>
      <c r="Z961" s="120" t="n"/>
      <c r="AB961" s="55" t="inlineStr">
        <is>
          <t>MELHORIAS</t>
        </is>
      </c>
      <c r="AC961" s="130" t="n"/>
      <c r="AD961" s="16" t="n"/>
      <c r="AE961" s="17" t="n"/>
      <c r="AF961" s="129">
        <f>DADOS_INVOC!$PZ$142</f>
        <v/>
      </c>
      <c r="AG961" s="120" t="n"/>
      <c r="AH961" s="55" t="inlineStr">
        <is>
          <t>MELHORIAS</t>
        </is>
      </c>
      <c r="AI961" s="130" t="n"/>
      <c r="AJ961" s="16" t="n"/>
      <c r="AK961" s="17" t="n"/>
      <c r="AL961" s="129">
        <f>DADOS_INVOC!$PZ$143</f>
        <v/>
      </c>
      <c r="AM961" s="120" t="n"/>
      <c r="AN961" s="55" t="inlineStr">
        <is>
          <t>MELHORIAS</t>
        </is>
      </c>
      <c r="AO961" s="130" t="n"/>
      <c r="AP961" s="16" t="n"/>
      <c r="AQ961" s="17" t="n"/>
      <c r="AR961" s="129">
        <f>DADOS_INVOC!$PZ$144</f>
        <v/>
      </c>
      <c r="AS961" s="120" t="n"/>
    </row>
    <row r="962" hidden="1" outlineLevel="3">
      <c r="A962" s="8" t="n"/>
      <c r="B962" s="14" t="n"/>
      <c r="C962" s="120" t="n"/>
      <c r="D962" s="120" t="n"/>
      <c r="E962" s="120" t="n"/>
      <c r="F962" s="120" t="n"/>
      <c r="G962" s="120" t="n"/>
      <c r="I962" s="131" t="n"/>
      <c r="J962" s="130" t="n"/>
      <c r="K962" s="16" t="n"/>
      <c r="L962" s="17" t="n"/>
      <c r="M962" s="129">
        <f>DADOS_INVOC!$QA$64</f>
        <v/>
      </c>
      <c r="N962" s="120" t="n"/>
      <c r="O962" s="131" t="n"/>
      <c r="P962" s="130" t="n"/>
      <c r="Q962" s="16" t="n"/>
      <c r="R962" s="17" t="n"/>
      <c r="S962" s="129">
        <f>DADOS_INVOC!$QA$65</f>
        <v/>
      </c>
      <c r="T962" s="120" t="n"/>
      <c r="U962" s="131" t="n"/>
      <c r="V962" s="130" t="n"/>
      <c r="W962" s="16" t="n"/>
      <c r="X962" s="17" t="n"/>
      <c r="Y962" s="129">
        <f>DADOS_INVOC!$QA$66</f>
        <v/>
      </c>
      <c r="Z962" s="120" t="n"/>
      <c r="AB962" s="131" t="n"/>
      <c r="AC962" s="130" t="n"/>
      <c r="AD962" s="16" t="n"/>
      <c r="AE962" s="17" t="n"/>
      <c r="AF962" s="129">
        <f>DADOS_INVOC!$QA$142</f>
        <v/>
      </c>
      <c r="AG962" s="120" t="n"/>
      <c r="AH962" s="131" t="n"/>
      <c r="AI962" s="130" t="n"/>
      <c r="AJ962" s="16" t="n"/>
      <c r="AK962" s="17" t="n"/>
      <c r="AL962" s="129">
        <f>DADOS_INVOC!$QA$143</f>
        <v/>
      </c>
      <c r="AM962" s="120" t="n"/>
      <c r="AN962" s="131" t="n"/>
      <c r="AO962" s="130" t="n"/>
      <c r="AP962" s="16" t="n"/>
      <c r="AQ962" s="17" t="n"/>
      <c r="AR962" s="129">
        <f>DADOS_INVOC!$QA$144</f>
        <v/>
      </c>
      <c r="AS962" s="120" t="n"/>
    </row>
    <row r="963" hidden="1" outlineLevel="3">
      <c r="A963" s="8" t="n"/>
      <c r="B963" s="14" t="n"/>
      <c r="C963" s="120" t="n"/>
      <c r="D963" s="120" t="n"/>
      <c r="E963" s="120" t="n"/>
      <c r="F963" s="120" t="n"/>
      <c r="G963" s="120" t="n"/>
      <c r="I963" s="131" t="n"/>
      <c r="J963" s="130" t="n"/>
      <c r="K963" s="16" t="n"/>
      <c r="L963" s="17" t="n"/>
      <c r="M963" s="129">
        <f>DADOS_INVOC!$QB$64</f>
        <v/>
      </c>
      <c r="N963" s="120" t="n"/>
      <c r="O963" s="131" t="n"/>
      <c r="P963" s="130" t="n"/>
      <c r="Q963" s="16" t="n"/>
      <c r="R963" s="17" t="n"/>
      <c r="S963" s="129">
        <f>DADOS_INVOC!$QB$65</f>
        <v/>
      </c>
      <c r="T963" s="120" t="n"/>
      <c r="U963" s="131" t="n"/>
      <c r="V963" s="130" t="n"/>
      <c r="W963" s="16" t="n"/>
      <c r="X963" s="17" t="n"/>
      <c r="Y963" s="129">
        <f>DADOS_INVOC!$QB$66</f>
        <v/>
      </c>
      <c r="Z963" s="120" t="n"/>
      <c r="AB963" s="131" t="n"/>
      <c r="AC963" s="130" t="n"/>
      <c r="AD963" s="16" t="n"/>
      <c r="AE963" s="17" t="n"/>
      <c r="AF963" s="129">
        <f>DADOS_INVOC!$QB$142</f>
        <v/>
      </c>
      <c r="AG963" s="120" t="n"/>
      <c r="AH963" s="131" t="n"/>
      <c r="AI963" s="130" t="n"/>
      <c r="AJ963" s="16" t="n"/>
      <c r="AK963" s="17" t="n"/>
      <c r="AL963" s="129">
        <f>DADOS_INVOC!$QB$143</f>
        <v/>
      </c>
      <c r="AM963" s="120" t="n"/>
      <c r="AN963" s="131" t="n"/>
      <c r="AO963" s="130" t="n"/>
      <c r="AP963" s="16" t="n"/>
      <c r="AQ963" s="17" t="n"/>
      <c r="AR963" s="129">
        <f>DADOS_INVOC!$QB$144</f>
        <v/>
      </c>
      <c r="AS963" s="120" t="n"/>
    </row>
    <row r="964" hidden="1" outlineLevel="3">
      <c r="A964" s="8" t="n"/>
      <c r="B964" s="14" t="n"/>
      <c r="C964" s="120" t="n"/>
      <c r="D964" s="120" t="n"/>
      <c r="E964" s="120" t="n"/>
      <c r="F964" s="120" t="n"/>
      <c r="G964" s="120" t="n"/>
      <c r="I964" s="125" t="n"/>
      <c r="J964" s="130" t="n"/>
      <c r="K964" s="16" t="n"/>
      <c r="L964" s="17" t="n"/>
      <c r="M964" s="129">
        <f>DADOS_INVOC!$QC$64</f>
        <v/>
      </c>
      <c r="N964" s="120" t="n"/>
      <c r="O964" s="125" t="n"/>
      <c r="P964" s="130" t="n"/>
      <c r="Q964" s="16" t="n"/>
      <c r="R964" s="17" t="n"/>
      <c r="S964" s="129">
        <f>DADOS_INVOC!$QC$65</f>
        <v/>
      </c>
      <c r="T964" s="120" t="n"/>
      <c r="U964" s="125" t="n"/>
      <c r="V964" s="130" t="n"/>
      <c r="W964" s="16" t="n"/>
      <c r="X964" s="17" t="n"/>
      <c r="Y964" s="129">
        <f>DADOS_INVOC!$QC$66</f>
        <v/>
      </c>
      <c r="Z964" s="120" t="n"/>
      <c r="AB964" s="125" t="n"/>
      <c r="AC964" s="130" t="n"/>
      <c r="AD964" s="16" t="n"/>
      <c r="AE964" s="17" t="n"/>
      <c r="AF964" s="129">
        <f>DADOS_INVOC!$QC$142</f>
        <v/>
      </c>
      <c r="AG964" s="120" t="n"/>
      <c r="AH964" s="125" t="n"/>
      <c r="AI964" s="130" t="n"/>
      <c r="AJ964" s="16" t="n"/>
      <c r="AK964" s="17" t="n"/>
      <c r="AL964" s="129">
        <f>DADOS_INVOC!$QC$143</f>
        <v/>
      </c>
      <c r="AM964" s="120" t="n"/>
      <c r="AN964" s="125" t="n"/>
      <c r="AO964" s="130" t="n"/>
      <c r="AP964" s="16" t="n"/>
      <c r="AQ964" s="17" t="n"/>
      <c r="AR964" s="129">
        <f>DADOS_INVOC!$QC$144</f>
        <v/>
      </c>
      <c r="AS964" s="120" t="n"/>
    </row>
    <row r="965" hidden="1" outlineLevel="3">
      <c r="A965" s="8" t="n"/>
      <c r="B965" s="14" t="n"/>
      <c r="C965" s="120" t="n"/>
      <c r="D965" s="120" t="n"/>
      <c r="E965" s="120" t="n"/>
      <c r="F965" s="120" t="n"/>
      <c r="G965" s="120" t="n"/>
      <c r="I965" s="55" t="inlineStr">
        <is>
          <t>RESTRIÇÕES</t>
        </is>
      </c>
      <c r="J965" s="130" t="n"/>
      <c r="K965" s="16" t="n"/>
      <c r="L965" s="17" t="n"/>
      <c r="M965" s="129">
        <f>DADOS_INVOC!$QD$64</f>
        <v/>
      </c>
      <c r="N965" s="120" t="n"/>
      <c r="O965" s="55" t="inlineStr">
        <is>
          <t>RESTRIÇÕES</t>
        </is>
      </c>
      <c r="P965" s="130" t="n"/>
      <c r="Q965" s="16" t="n"/>
      <c r="R965" s="17" t="n"/>
      <c r="S965" s="129">
        <f>DADOS_INVOC!$QD$65</f>
        <v/>
      </c>
      <c r="T965" s="120" t="n"/>
      <c r="U965" s="55" t="inlineStr">
        <is>
          <t>RESTRIÇÕES</t>
        </is>
      </c>
      <c r="V965" s="130" t="n"/>
      <c r="W965" s="16" t="n"/>
      <c r="X965" s="17" t="n"/>
      <c r="Y965" s="129">
        <f>DADOS_INVOC!$QD$66</f>
        <v/>
      </c>
      <c r="Z965" s="120" t="n"/>
      <c r="AB965" s="55" t="inlineStr">
        <is>
          <t>RESTRIÇÕES</t>
        </is>
      </c>
      <c r="AC965" s="130" t="n"/>
      <c r="AD965" s="16" t="n"/>
      <c r="AE965" s="17" t="n"/>
      <c r="AF965" s="129">
        <f>DADOS_INVOC!$QD$142</f>
        <v/>
      </c>
      <c r="AG965" s="120" t="n"/>
      <c r="AH965" s="55" t="inlineStr">
        <is>
          <t>RESTRIÇÕES</t>
        </is>
      </c>
      <c r="AI965" s="130" t="n"/>
      <c r="AJ965" s="16" t="n"/>
      <c r="AK965" s="17" t="n"/>
      <c r="AL965" s="129">
        <f>DADOS_INVOC!$QD$143</f>
        <v/>
      </c>
      <c r="AM965" s="120" t="n"/>
      <c r="AN965" s="55" t="inlineStr">
        <is>
          <t>RESTRIÇÕES</t>
        </is>
      </c>
      <c r="AO965" s="130" t="n"/>
      <c r="AP965" s="16" t="n"/>
      <c r="AQ965" s="17" t="n"/>
      <c r="AR965" s="129">
        <f>DADOS_INVOC!$QD$144</f>
        <v/>
      </c>
      <c r="AS965" s="120" t="n"/>
    </row>
    <row r="966" hidden="1" outlineLevel="3">
      <c r="A966" s="8" t="n"/>
      <c r="B966" s="14" t="n"/>
      <c r="C966" s="120" t="n"/>
      <c r="D966" s="120" t="n"/>
      <c r="E966" s="120" t="n"/>
      <c r="F966" s="120" t="n"/>
      <c r="G966" s="120" t="n"/>
      <c r="I966" s="125" t="n"/>
      <c r="J966" s="130" t="n"/>
      <c r="K966" s="16" t="n"/>
      <c r="L966" s="17" t="n"/>
      <c r="M966" s="129">
        <f>DADOS_INVOC!$QE$64</f>
        <v/>
      </c>
      <c r="N966" s="120" t="n"/>
      <c r="O966" s="125" t="n"/>
      <c r="P966" s="130" t="n"/>
      <c r="Q966" s="16" t="n"/>
      <c r="R966" s="17" t="n"/>
      <c r="S966" s="129">
        <f>DADOS_INVOC!$QE$65</f>
        <v/>
      </c>
      <c r="T966" s="120" t="n"/>
      <c r="U966" s="125" t="n"/>
      <c r="V966" s="130" t="n"/>
      <c r="W966" s="16" t="n"/>
      <c r="X966" s="17" t="n"/>
      <c r="Y966" s="129">
        <f>DADOS_INVOC!$QE$66</f>
        <v/>
      </c>
      <c r="Z966" s="120" t="n"/>
      <c r="AB966" s="125" t="n"/>
      <c r="AC966" s="130" t="n"/>
      <c r="AD966" s="16" t="n"/>
      <c r="AE966" s="17" t="n"/>
      <c r="AF966" s="129">
        <f>DADOS_INVOC!$QE$142</f>
        <v/>
      </c>
      <c r="AG966" s="120" t="n"/>
      <c r="AH966" s="125" t="n"/>
      <c r="AI966" s="130" t="n"/>
      <c r="AJ966" s="16" t="n"/>
      <c r="AK966" s="17" t="n"/>
      <c r="AL966" s="129">
        <f>DADOS_INVOC!$QE$143</f>
        <v/>
      </c>
      <c r="AM966" s="120" t="n"/>
      <c r="AN966" s="125" t="n"/>
      <c r="AO966" s="130" t="n"/>
      <c r="AP966" s="16" t="n"/>
      <c r="AQ966" s="17" t="n"/>
      <c r="AR966" s="129">
        <f>DADOS_INVOC!$QE$144</f>
        <v/>
      </c>
      <c r="AS966" s="120" t="n"/>
    </row>
    <row r="967" hidden="1" outlineLevel="3">
      <c r="A967" s="8" t="n"/>
      <c r="B967" s="14" t="n"/>
      <c r="C967" s="120" t="n"/>
      <c r="D967" s="120" t="n"/>
      <c r="E967" s="120" t="n"/>
      <c r="F967" s="120" t="n"/>
      <c r="G967" s="120" t="n"/>
      <c r="I967" s="55" t="inlineStr">
        <is>
          <t>CONTA</t>
        </is>
      </c>
      <c r="J967" s="132">
        <f>DADOS_INVOC!$PX$64</f>
        <v/>
      </c>
      <c r="K967" s="16" t="n"/>
      <c r="L967" s="16" t="n"/>
      <c r="M967" s="17" t="n"/>
      <c r="N967" s="120" t="n"/>
      <c r="O967" s="55" t="inlineStr">
        <is>
          <t>CONTA</t>
        </is>
      </c>
      <c r="P967" s="132">
        <f>DADOS_INVOC!$PX$65</f>
        <v/>
      </c>
      <c r="Q967" s="16" t="n"/>
      <c r="R967" s="16" t="n"/>
      <c r="S967" s="17" t="n"/>
      <c r="T967" s="120" t="n"/>
      <c r="U967" s="55" t="inlineStr">
        <is>
          <t>CONTA</t>
        </is>
      </c>
      <c r="V967" s="132">
        <f>DADOS_INVOC!$PX$66</f>
        <v/>
      </c>
      <c r="W967" s="16" t="n"/>
      <c r="X967" s="16" t="n"/>
      <c r="Y967" s="17" t="n"/>
      <c r="Z967" s="120" t="n"/>
      <c r="AB967" s="55" t="inlineStr">
        <is>
          <t>CONTA</t>
        </is>
      </c>
      <c r="AC967" s="132">
        <f>DADOS_INVOC!$PX$142</f>
        <v/>
      </c>
      <c r="AD967" s="16" t="n"/>
      <c r="AE967" s="16" t="n"/>
      <c r="AF967" s="17" t="n"/>
      <c r="AG967" s="120" t="n"/>
      <c r="AH967" s="55" t="inlineStr">
        <is>
          <t>CONTA</t>
        </is>
      </c>
      <c r="AI967" s="132">
        <f>DADOS_INVOC!$PX$143</f>
        <v/>
      </c>
      <c r="AJ967" s="16" t="n"/>
      <c r="AK967" s="16" t="n"/>
      <c r="AL967" s="17" t="n"/>
      <c r="AM967" s="120" t="n"/>
      <c r="AN967" s="55" t="inlineStr">
        <is>
          <t>CONTA</t>
        </is>
      </c>
      <c r="AO967" s="132">
        <f>DADOS_INVOC!$PX$144</f>
        <v/>
      </c>
      <c r="AP967" s="16" t="n"/>
      <c r="AQ967" s="16" t="n"/>
      <c r="AR967" s="17" t="n"/>
      <c r="AS967" s="120" t="n"/>
    </row>
    <row r="968" hidden="1" outlineLevel="3">
      <c r="A968" s="8" t="n"/>
      <c r="B968" s="14" t="n"/>
      <c r="C968" s="120" t="n"/>
      <c r="D968" s="120" t="n"/>
      <c r="E968" s="120" t="n"/>
      <c r="F968" s="120" t="n"/>
      <c r="G968" s="120" t="n"/>
      <c r="I968" s="55" t="inlineStr">
        <is>
          <t>AMPLIAR</t>
        </is>
      </c>
      <c r="J968" s="132">
        <f>DADOS_INVOC!$PY$64</f>
        <v/>
      </c>
      <c r="K968" s="19" t="n"/>
      <c r="L968" s="19" t="n"/>
      <c r="M968" s="20" t="n"/>
      <c r="N968" s="120" t="n"/>
      <c r="O968" s="55" t="inlineStr">
        <is>
          <t>AMPLIAR</t>
        </is>
      </c>
      <c r="P968" s="132">
        <f>DADOS_INVOC!$PY$65</f>
        <v/>
      </c>
      <c r="Q968" s="19" t="n"/>
      <c r="R968" s="19" t="n"/>
      <c r="S968" s="20" t="n"/>
      <c r="T968" s="120" t="n"/>
      <c r="U968" s="55" t="inlineStr">
        <is>
          <t>AMPLIAR</t>
        </is>
      </c>
      <c r="V968" s="132">
        <f>DADOS_INVOC!$PY$66</f>
        <v/>
      </c>
      <c r="W968" s="19" t="n"/>
      <c r="X968" s="19" t="n"/>
      <c r="Y968" s="20" t="n"/>
      <c r="Z968" s="120" t="n"/>
      <c r="AB968" s="55" t="inlineStr">
        <is>
          <t>AMPLIAR</t>
        </is>
      </c>
      <c r="AC968" s="132">
        <f>DADOS_INVOC!$PY$142</f>
        <v/>
      </c>
      <c r="AD968" s="19" t="n"/>
      <c r="AE968" s="19" t="n"/>
      <c r="AF968" s="20" t="n"/>
      <c r="AG968" s="120" t="n"/>
      <c r="AH968" s="55" t="inlineStr">
        <is>
          <t>AMPLIAR</t>
        </is>
      </c>
      <c r="AI968" s="132">
        <f>DADOS_INVOC!$PY$143</f>
        <v/>
      </c>
      <c r="AJ968" s="19" t="n"/>
      <c r="AK968" s="19" t="n"/>
      <c r="AL968" s="20" t="n"/>
      <c r="AM968" s="120" t="n"/>
      <c r="AN968" s="55" t="inlineStr">
        <is>
          <t>AMPLIAR</t>
        </is>
      </c>
      <c r="AO968" s="132">
        <f>DADOS_INVOC!$PY$144</f>
        <v/>
      </c>
      <c r="AP968" s="19" t="n"/>
      <c r="AQ968" s="19" t="n"/>
      <c r="AR968" s="20" t="n"/>
      <c r="AS968" s="120" t="n"/>
    </row>
    <row r="969" hidden="1" outlineLevel="3">
      <c r="A969" s="8" t="n"/>
      <c r="B969" s="14" t="n"/>
      <c r="C969" s="120" t="n"/>
      <c r="D969" s="120" t="n"/>
      <c r="E969" s="120" t="n"/>
      <c r="F969" s="120" t="n"/>
      <c r="G969" s="120" t="n"/>
      <c r="I969" s="125" t="n"/>
      <c r="J969" s="23" t="n"/>
      <c r="K969" s="24" t="n"/>
      <c r="L969" s="24" t="n"/>
      <c r="M969" s="25" t="n"/>
      <c r="N969" s="120" t="n"/>
      <c r="O969" s="125" t="n"/>
      <c r="P969" s="23" t="n"/>
      <c r="Q969" s="24" t="n"/>
      <c r="R969" s="24" t="n"/>
      <c r="S969" s="25" t="n"/>
      <c r="T969" s="120" t="n"/>
      <c r="U969" s="125" t="n"/>
      <c r="V969" s="23" t="n"/>
      <c r="W969" s="24" t="n"/>
      <c r="X969" s="24" t="n"/>
      <c r="Y969" s="25" t="n"/>
      <c r="Z969" s="120" t="n"/>
      <c r="AB969" s="125" t="n"/>
      <c r="AC969" s="23" t="n"/>
      <c r="AD969" s="24" t="n"/>
      <c r="AE969" s="24" t="n"/>
      <c r="AF969" s="25" t="n"/>
      <c r="AG969" s="120" t="n"/>
      <c r="AH969" s="125" t="n"/>
      <c r="AI969" s="23" t="n"/>
      <c r="AJ969" s="24" t="n"/>
      <c r="AK969" s="24" t="n"/>
      <c r="AL969" s="25" t="n"/>
      <c r="AM969" s="120" t="n"/>
      <c r="AN969" s="125" t="n"/>
      <c r="AO969" s="23" t="n"/>
      <c r="AP969" s="24" t="n"/>
      <c r="AQ969" s="24" t="n"/>
      <c r="AR969" s="25" t="n"/>
      <c r="AS969" s="120" t="n"/>
    </row>
    <row r="970" hidden="1" outlineLevel="3">
      <c r="A970" s="8" t="n"/>
      <c r="B970" s="14" t="n"/>
      <c r="C970" s="120" t="n"/>
      <c r="D970" s="120" t="n"/>
      <c r="E970" s="120" t="n"/>
      <c r="F970" s="120" t="n"/>
      <c r="G970" s="120" t="n"/>
      <c r="I970" s="132">
        <f>DADOS_INVOC!$PL$64</f>
        <v/>
      </c>
      <c r="J970" s="19" t="n"/>
      <c r="K970" s="19" t="n"/>
      <c r="L970" s="19" t="n"/>
      <c r="M970" s="20" t="n"/>
      <c r="N970" s="120" t="n"/>
      <c r="O970" s="132">
        <f>DADOS_INVOC!$PL$65</f>
        <v/>
      </c>
      <c r="P970" s="19" t="n"/>
      <c r="Q970" s="19" t="n"/>
      <c r="R970" s="19" t="n"/>
      <c r="S970" s="20" t="n"/>
      <c r="T970" s="120" t="n"/>
      <c r="U970" s="132">
        <f>DADOS_INVOC!$PL$66</f>
        <v/>
      </c>
      <c r="V970" s="19" t="n"/>
      <c r="W970" s="19" t="n"/>
      <c r="X970" s="19" t="n"/>
      <c r="Y970" s="20" t="n"/>
      <c r="Z970" s="120" t="n"/>
      <c r="AB970" s="132">
        <f>DADOS_INVOC!$PL$142</f>
        <v/>
      </c>
      <c r="AC970" s="19" t="n"/>
      <c r="AD970" s="19" t="n"/>
      <c r="AE970" s="19" t="n"/>
      <c r="AF970" s="20" t="n"/>
      <c r="AG970" s="120" t="n"/>
      <c r="AH970" s="132">
        <f>DADOS_INVOC!$PL$143</f>
        <v/>
      </c>
      <c r="AI970" s="19" t="n"/>
      <c r="AJ970" s="19" t="n"/>
      <c r="AK970" s="19" t="n"/>
      <c r="AL970" s="20" t="n"/>
      <c r="AM970" s="120" t="n"/>
      <c r="AN970" s="132">
        <f>DADOS_INVOC!$PL$144</f>
        <v/>
      </c>
      <c r="AO970" s="19" t="n"/>
      <c r="AP970" s="19" t="n"/>
      <c r="AQ970" s="19" t="n"/>
      <c r="AR970" s="20" t="n"/>
      <c r="AS970" s="120" t="n"/>
    </row>
    <row r="971" hidden="1" outlineLevel="3">
      <c r="A971" s="8" t="n"/>
      <c r="B971" s="14" t="n"/>
      <c r="C971" s="120" t="n"/>
      <c r="D971" s="120" t="n"/>
      <c r="E971" s="120" t="n"/>
      <c r="F971" s="120" t="n"/>
      <c r="G971" s="120" t="n"/>
      <c r="I971" s="23" t="n"/>
      <c r="J971" s="24" t="n"/>
      <c r="K971" s="24" t="n"/>
      <c r="L971" s="24" t="n"/>
      <c r="M971" s="25" t="n"/>
      <c r="N971" s="120" t="n"/>
      <c r="O971" s="23" t="n"/>
      <c r="P971" s="24" t="n"/>
      <c r="Q971" s="24" t="n"/>
      <c r="R971" s="24" t="n"/>
      <c r="S971" s="25" t="n"/>
      <c r="T971" s="120" t="n"/>
      <c r="U971" s="23" t="n"/>
      <c r="V971" s="24" t="n"/>
      <c r="W971" s="24" t="n"/>
      <c r="X971" s="24" t="n"/>
      <c r="Y971" s="25" t="n"/>
      <c r="Z971" s="120" t="n"/>
      <c r="AB971" s="23" t="n"/>
      <c r="AC971" s="24" t="n"/>
      <c r="AD971" s="24" t="n"/>
      <c r="AE971" s="24" t="n"/>
      <c r="AF971" s="25" t="n"/>
      <c r="AG971" s="120" t="n"/>
      <c r="AH971" s="23" t="n"/>
      <c r="AI971" s="24" t="n"/>
      <c r="AJ971" s="24" t="n"/>
      <c r="AK971" s="24" t="n"/>
      <c r="AL971" s="25" t="n"/>
      <c r="AM971" s="120" t="n"/>
      <c r="AN971" s="23" t="n"/>
      <c r="AO971" s="24" t="n"/>
      <c r="AP971" s="24" t="n"/>
      <c r="AQ971" s="24" t="n"/>
      <c r="AR971" s="25" t="n"/>
      <c r="AS971" s="120" t="n"/>
    </row>
    <row r="972" hidden="1" outlineLevel="2">
      <c r="A972" s="8" t="n"/>
      <c r="B972" s="14" t="n"/>
      <c r="C972" s="120" t="n"/>
      <c r="D972" s="120" t="n"/>
      <c r="E972" s="120" t="n"/>
      <c r="F972" s="120" t="n"/>
      <c r="G972" s="120" t="n"/>
      <c r="I972" s="120" t="n"/>
      <c r="J972" s="120" t="n"/>
      <c r="K972" s="120" t="n"/>
      <c r="L972" s="120" t="n"/>
      <c r="M972" s="120" t="n"/>
      <c r="N972" s="120" t="n"/>
      <c r="O972" s="120" t="n"/>
      <c r="P972" s="120" t="n"/>
      <c r="Q972" s="120" t="n"/>
      <c r="R972" s="120" t="n"/>
      <c r="S972" s="120" t="n"/>
      <c r="T972" s="120" t="n"/>
      <c r="U972" s="120" t="n"/>
      <c r="V972" s="120" t="n"/>
      <c r="W972" s="120" t="n"/>
      <c r="X972" s="120" t="n"/>
      <c r="Y972" s="120" t="n"/>
      <c r="Z972" s="120" t="n"/>
      <c r="AB972" s="120" t="n"/>
      <c r="AC972" s="120" t="n"/>
      <c r="AD972" s="120" t="n"/>
      <c r="AE972" s="120" t="n"/>
      <c r="AF972" s="120" t="n"/>
      <c r="AG972" s="120" t="n"/>
      <c r="AH972" s="120" t="n"/>
      <c r="AI972" s="120" t="n"/>
      <c r="AJ972" s="120" t="n"/>
      <c r="AK972" s="120" t="n"/>
      <c r="AL972" s="120" t="n"/>
      <c r="AM972" s="120" t="n"/>
      <c r="AN972" s="120" t="n"/>
      <c r="AO972" s="120" t="n"/>
      <c r="AP972" s="120" t="n"/>
      <c r="AQ972" s="120" t="n"/>
      <c r="AR972" s="120" t="n"/>
      <c r="AS972" s="120" t="n"/>
    </row>
    <row r="973" hidden="1" outlineLevel="2">
      <c r="A973" s="8" t="n"/>
      <c r="B973" s="14" t="n"/>
      <c r="C973" s="120" t="n"/>
      <c r="D973" s="120" t="n"/>
      <c r="E973" s="120" t="n"/>
      <c r="F973" s="120" t="n"/>
      <c r="G973" s="120"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0"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0" t="n"/>
    </row>
    <row r="974" hidden="1" outlineLevel="2">
      <c r="A974" s="8" t="n"/>
      <c r="B974" s="14" t="n"/>
      <c r="C974" s="120" t="n"/>
      <c r="D974" s="120" t="n"/>
      <c r="E974" s="120" t="n"/>
      <c r="F974" s="120" t="n"/>
      <c r="G974" s="120" t="n"/>
      <c r="I974" s="55" t="inlineStr">
        <is>
          <t>TRILHA · CE 1</t>
        </is>
      </c>
      <c r="J974" s="130" t="n"/>
      <c r="K974" s="16" t="n"/>
      <c r="L974" s="17" t="n"/>
      <c r="M974" s="137">
        <f>DADOS_INVOC!$IL$6</f>
        <v/>
      </c>
      <c r="N974" s="16" t="n"/>
      <c r="O974" s="16" t="n"/>
      <c r="P974" s="16" t="n"/>
      <c r="Q974" s="16" t="n"/>
      <c r="R974" s="16" t="n"/>
      <c r="S974" s="16" t="n"/>
      <c r="T974" s="16" t="n"/>
      <c r="U974" s="16" t="n"/>
      <c r="V974" s="16" t="n"/>
      <c r="W974" s="16" t="n"/>
      <c r="X974" s="16" t="n"/>
      <c r="Y974" s="17" t="n"/>
      <c r="Z974" s="120" t="n"/>
      <c r="AB974" s="55" t="inlineStr">
        <is>
          <t>TRILHA · CE 1</t>
        </is>
      </c>
      <c r="AC974" s="130" t="n"/>
      <c r="AD974" s="16" t="n"/>
      <c r="AE974" s="17" t="n"/>
      <c r="AF974" s="137">
        <f>DADOS_INVOC!$IL$12</f>
        <v/>
      </c>
      <c r="AG974" s="16" t="n"/>
      <c r="AH974" s="16" t="n"/>
      <c r="AI974" s="16" t="n"/>
      <c r="AJ974" s="16" t="n"/>
      <c r="AK974" s="16" t="n"/>
      <c r="AL974" s="16" t="n"/>
      <c r="AM974" s="16" t="n"/>
      <c r="AN974" s="16" t="n"/>
      <c r="AO974" s="16" t="n"/>
      <c r="AP974" s="16" t="n"/>
      <c r="AQ974" s="16" t="n"/>
      <c r="AR974" s="17" t="n"/>
      <c r="AS974" s="120" t="n"/>
    </row>
    <row r="975" hidden="1" outlineLevel="2">
      <c r="A975" s="8" t="n"/>
      <c r="B975" s="14" t="n"/>
      <c r="C975" s="120" t="n"/>
      <c r="D975" s="120" t="n"/>
      <c r="E975" s="120" t="n"/>
      <c r="F975" s="120" t="n"/>
      <c r="G975" s="120" t="n"/>
      <c r="I975" s="55" t="inlineStr">
        <is>
          <t>TRILHA · CE 1</t>
        </is>
      </c>
      <c r="J975" s="130" t="n"/>
      <c r="K975" s="16" t="n"/>
      <c r="L975" s="17" t="n"/>
      <c r="M975" s="137">
        <f>DADOS_INVOC!$IM$6</f>
        <v/>
      </c>
      <c r="N975" s="16" t="n"/>
      <c r="O975" s="16" t="n"/>
      <c r="P975" s="16" t="n"/>
      <c r="Q975" s="16" t="n"/>
      <c r="R975" s="16" t="n"/>
      <c r="S975" s="16" t="n"/>
      <c r="T975" s="16" t="n"/>
      <c r="U975" s="16" t="n"/>
      <c r="V975" s="16" t="n"/>
      <c r="W975" s="16" t="n"/>
      <c r="X975" s="16" t="n"/>
      <c r="Y975" s="17" t="n"/>
      <c r="Z975" s="120" t="n"/>
      <c r="AB975" s="55" t="inlineStr">
        <is>
          <t>TRILHA · CE 1</t>
        </is>
      </c>
      <c r="AC975" s="130" t="n"/>
      <c r="AD975" s="16" t="n"/>
      <c r="AE975" s="17" t="n"/>
      <c r="AF975" s="137">
        <f>DADOS_INVOC!$IM$12</f>
        <v/>
      </c>
      <c r="AG975" s="16" t="n"/>
      <c r="AH975" s="16" t="n"/>
      <c r="AI975" s="16" t="n"/>
      <c r="AJ975" s="16" t="n"/>
      <c r="AK975" s="16" t="n"/>
      <c r="AL975" s="16" t="n"/>
      <c r="AM975" s="16" t="n"/>
      <c r="AN975" s="16" t="n"/>
      <c r="AO975" s="16" t="n"/>
      <c r="AP975" s="16" t="n"/>
      <c r="AQ975" s="16" t="n"/>
      <c r="AR975" s="17" t="n"/>
      <c r="AS975" s="120" t="n"/>
    </row>
    <row r="976" hidden="1" outlineLevel="2">
      <c r="A976" s="8" t="n"/>
      <c r="B976" s="14" t="n"/>
      <c r="C976" s="120" t="n"/>
      <c r="D976" s="120" t="n"/>
      <c r="E976" s="120" t="n"/>
      <c r="F976" s="120" t="n"/>
      <c r="G976" s="120" t="n"/>
      <c r="I976" s="55" t="inlineStr">
        <is>
          <t>TRILHA · CE 1</t>
        </is>
      </c>
      <c r="J976" s="130" t="n"/>
      <c r="K976" s="16" t="n"/>
      <c r="L976" s="17" t="n"/>
      <c r="M976" s="137">
        <f>DADOS_INVOC!$IN$6</f>
        <v/>
      </c>
      <c r="N976" s="16" t="n"/>
      <c r="O976" s="16" t="n"/>
      <c r="P976" s="16" t="n"/>
      <c r="Q976" s="16" t="n"/>
      <c r="R976" s="16" t="n"/>
      <c r="S976" s="16" t="n"/>
      <c r="T976" s="16" t="n"/>
      <c r="U976" s="16" t="n"/>
      <c r="V976" s="16" t="n"/>
      <c r="W976" s="16" t="n"/>
      <c r="X976" s="16" t="n"/>
      <c r="Y976" s="17" t="n"/>
      <c r="Z976" s="120" t="n"/>
      <c r="AB976" s="55" t="inlineStr">
        <is>
          <t>TRILHA · CE 1</t>
        </is>
      </c>
      <c r="AC976" s="130" t="n"/>
      <c r="AD976" s="16" t="n"/>
      <c r="AE976" s="17" t="n"/>
      <c r="AF976" s="137">
        <f>DADOS_INVOC!$IN$12</f>
        <v/>
      </c>
      <c r="AG976" s="16" t="n"/>
      <c r="AH976" s="16" t="n"/>
      <c r="AI976" s="16" t="n"/>
      <c r="AJ976" s="16" t="n"/>
      <c r="AK976" s="16" t="n"/>
      <c r="AL976" s="16" t="n"/>
      <c r="AM976" s="16" t="n"/>
      <c r="AN976" s="16" t="n"/>
      <c r="AO976" s="16" t="n"/>
      <c r="AP976" s="16" t="n"/>
      <c r="AQ976" s="16" t="n"/>
      <c r="AR976" s="17" t="n"/>
      <c r="AS976" s="120" t="n"/>
    </row>
    <row r="977" hidden="1" outlineLevel="1">
      <c r="A977" s="8" t="n"/>
      <c r="B977" s="14" t="n"/>
      <c r="C977" s="120" t="n"/>
      <c r="D977" s="120" t="n"/>
      <c r="E977" s="120" t="n"/>
      <c r="F977" s="120" t="n"/>
      <c r="G977" s="120" t="n"/>
      <c r="I977" s="120" t="n"/>
      <c r="J977" s="120" t="n"/>
      <c r="K977" s="120" t="n"/>
      <c r="L977" s="120" t="n"/>
      <c r="M977" s="120" t="n"/>
      <c r="N977" s="120" t="n"/>
      <c r="O977" s="120" t="n"/>
      <c r="P977" s="120" t="n"/>
      <c r="Q977" s="120" t="n"/>
      <c r="R977" s="120" t="n"/>
      <c r="S977" s="120" t="n"/>
      <c r="T977" s="120" t="n"/>
      <c r="U977" s="120" t="n"/>
      <c r="V977" s="120" t="n"/>
      <c r="W977" s="120" t="n"/>
      <c r="X977" s="120" t="n"/>
      <c r="Y977" s="120" t="n"/>
      <c r="Z977" s="120" t="n"/>
      <c r="AB977" s="120" t="n"/>
      <c r="AC977" s="120" t="n"/>
      <c r="AD977" s="120" t="n"/>
      <c r="AE977" s="120" t="n"/>
      <c r="AF977" s="120" t="n"/>
      <c r="AG977" s="120" t="n"/>
      <c r="AH977" s="120" t="n"/>
      <c r="AI977" s="120" t="n"/>
      <c r="AJ977" s="120" t="n"/>
      <c r="AK977" s="120" t="n"/>
      <c r="AL977" s="120" t="n"/>
      <c r="AM977" s="120" t="n"/>
      <c r="AN977" s="120" t="n"/>
      <c r="AO977" s="120" t="n"/>
      <c r="AP977" s="120" t="n"/>
      <c r="AQ977" s="120" t="n"/>
      <c r="AR977" s="120" t="n"/>
      <c r="AS977" s="120" t="n"/>
    </row>
    <row r="978" hidden="1" outlineLevel="1">
      <c r="A978" s="8" t="n"/>
      <c r="B978" s="14" t="n"/>
      <c r="C978" s="120" t="n"/>
      <c r="D978" s="120" t="n"/>
      <c r="E978" s="120" t="n"/>
      <c r="F978" s="120" t="n"/>
      <c r="G978" s="120" t="n"/>
      <c r="I978" s="13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0" t="n"/>
      <c r="AB978" s="13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0" t="n"/>
    </row>
    <row r="979" hidden="1" outlineLevel="2">
      <c r="A979" s="8" t="n"/>
      <c r="B979" s="14" t="n"/>
      <c r="C979" s="120" t="n"/>
      <c r="D979" s="120" t="n"/>
      <c r="E979" s="120" t="n"/>
      <c r="F979" s="120" t="n"/>
      <c r="G979" s="120" t="n"/>
      <c r="I979" s="120" t="n"/>
      <c r="J979" s="120" t="n"/>
      <c r="K979" s="120" t="n"/>
      <c r="L979" s="120" t="n"/>
      <c r="M979" s="120" t="n"/>
      <c r="N979" s="120" t="n"/>
      <c r="O979" s="120" t="n"/>
      <c r="P979" s="120" t="n"/>
      <c r="Q979" s="120" t="n"/>
      <c r="R979" s="120" t="n"/>
      <c r="S979" s="120" t="n"/>
      <c r="T979" s="120" t="n"/>
      <c r="U979" s="120" t="n"/>
      <c r="V979" s="120" t="n"/>
      <c r="W979" s="120" t="n"/>
      <c r="X979" s="120" t="n"/>
      <c r="Y979" s="120" t="n"/>
      <c r="Z979" s="120" t="n"/>
      <c r="AB979" s="120" t="n"/>
      <c r="AC979" s="120" t="n"/>
      <c r="AD979" s="120" t="n"/>
      <c r="AE979" s="120" t="n"/>
      <c r="AF979" s="120" t="n"/>
      <c r="AG979" s="120" t="n"/>
      <c r="AH979" s="120" t="n"/>
      <c r="AI979" s="120" t="n"/>
      <c r="AJ979" s="120" t="n"/>
      <c r="AK979" s="120" t="n"/>
      <c r="AL979" s="120" t="n"/>
      <c r="AM979" s="120" t="n"/>
      <c r="AN979" s="120" t="n"/>
      <c r="AO979" s="120" t="n"/>
      <c r="AP979" s="120" t="n"/>
      <c r="AQ979" s="120" t="n"/>
      <c r="AR979" s="120" t="n"/>
      <c r="AS979" s="120" t="n"/>
    </row>
    <row r="980" hidden="1" outlineLevel="2">
      <c r="A980" s="8" t="n"/>
      <c r="B980" s="14" t="n"/>
      <c r="C980" s="120" t="n"/>
      <c r="D980" s="120" t="n"/>
      <c r="E980" s="120" t="n"/>
      <c r="F980" s="120" t="n"/>
      <c r="G980" s="120" t="n"/>
      <c r="I980" s="55" t="inlineStr">
        <is>
          <t>LIBERAÇÃO MÁXIMA 1</t>
        </is>
      </c>
      <c r="J980" s="16" t="n"/>
      <c r="K980" s="16" t="n"/>
      <c r="L980" s="16" t="n"/>
      <c r="M980" s="17" t="n"/>
      <c r="N980" s="120" t="n"/>
      <c r="O980" s="55" t="inlineStr">
        <is>
          <t>LIBERAÇÃO MÁXIMA 2</t>
        </is>
      </c>
      <c r="P980" s="16" t="n"/>
      <c r="Q980" s="16" t="n"/>
      <c r="R980" s="16" t="n"/>
      <c r="S980" s="17" t="n"/>
      <c r="T980" s="120" t="n"/>
      <c r="U980" s="55" t="inlineStr">
        <is>
          <t>LIBERAÇÃO MÁXIMA 3</t>
        </is>
      </c>
      <c r="V980" s="16" t="n"/>
      <c r="W980" s="16" t="n"/>
      <c r="X980" s="16" t="n"/>
      <c r="Y980" s="17" t="n"/>
      <c r="Z980" s="120" t="n"/>
      <c r="AB980" s="55" t="inlineStr">
        <is>
          <t>LIBERAÇÃO MÁXIMA 1</t>
        </is>
      </c>
      <c r="AC980" s="16" t="n"/>
      <c r="AD980" s="16" t="n"/>
      <c r="AE980" s="16" t="n"/>
      <c r="AF980" s="17" t="n"/>
      <c r="AG980" s="120" t="n"/>
      <c r="AH980" s="55" t="inlineStr">
        <is>
          <t>LIBERAÇÃO MÁXIMA 2</t>
        </is>
      </c>
      <c r="AI980" s="16" t="n"/>
      <c r="AJ980" s="16" t="n"/>
      <c r="AK980" s="16" t="n"/>
      <c r="AL980" s="17" t="n"/>
      <c r="AM980" s="120" t="n"/>
      <c r="AN980" s="55" t="inlineStr">
        <is>
          <t>LIBERAÇÃO MÁXIMA 3</t>
        </is>
      </c>
      <c r="AO980" s="16" t="n"/>
      <c r="AP980" s="16" t="n"/>
      <c r="AQ980" s="16" t="n"/>
      <c r="AR980" s="17" t="n"/>
      <c r="AS980" s="120" t="n"/>
    </row>
    <row r="981" hidden="1" outlineLevel="2">
      <c r="A981" s="8" t="n"/>
      <c r="B981" s="14" t="n"/>
      <c r="C981" s="120" t="n"/>
      <c r="D981" s="120" t="n"/>
      <c r="E981" s="120" t="n"/>
      <c r="F981" s="120" t="n"/>
      <c r="G981" s="120" t="n"/>
      <c r="I981" s="127" t="n">
        <v>3</v>
      </c>
      <c r="J981" s="115" t="n"/>
      <c r="K981" s="16" t="n"/>
      <c r="L981" s="17" t="n"/>
      <c r="M981" s="128">
        <f>DADOS_INVOC!$IO$6</f>
        <v/>
      </c>
      <c r="N981" s="120" t="n"/>
      <c r="O981" s="127" t="n">
        <v>3</v>
      </c>
      <c r="P981" s="115" t="n"/>
      <c r="Q981" s="16" t="n"/>
      <c r="R981" s="17" t="n"/>
      <c r="S981" s="128">
        <f>DADOS_INVOC!$IP$6</f>
        <v/>
      </c>
      <c r="T981" s="120" t="n"/>
      <c r="U981" s="127" t="n">
        <v>3</v>
      </c>
      <c r="V981" s="115" t="n"/>
      <c r="W981" s="16" t="n"/>
      <c r="X981" s="17" t="n"/>
      <c r="Y981" s="128">
        <f>DADOS_INVOC!$IQ$6</f>
        <v/>
      </c>
      <c r="Z981" s="120" t="n"/>
      <c r="AB981" s="127" t="n">
        <v>3</v>
      </c>
      <c r="AC981" s="115" t="n"/>
      <c r="AD981" s="16" t="n"/>
      <c r="AE981" s="17" t="n"/>
      <c r="AF981" s="128">
        <f>DADOS_INVOC!$IO$12</f>
        <v/>
      </c>
      <c r="AG981" s="120" t="n"/>
      <c r="AH981" s="127" t="n">
        <v>3</v>
      </c>
      <c r="AI981" s="115" t="n"/>
      <c r="AJ981" s="16" t="n"/>
      <c r="AK981" s="17" t="n"/>
      <c r="AL981" s="128">
        <f>DADOS_INVOC!$IP$12</f>
        <v/>
      </c>
      <c r="AM981" s="120" t="n"/>
      <c r="AN981" s="127" t="n">
        <v>3</v>
      </c>
      <c r="AO981" s="115" t="n"/>
      <c r="AP981" s="16" t="n"/>
      <c r="AQ981" s="17" t="n"/>
      <c r="AR981" s="128">
        <f>DADOS_INVOC!$IQ$12</f>
        <v/>
      </c>
      <c r="AS981" s="120" t="n"/>
    </row>
    <row r="982" hidden="1" outlineLevel="2">
      <c r="A982" s="8" t="n"/>
      <c r="B982" s="14" t="n"/>
      <c r="C982" s="120" t="n"/>
      <c r="D982" s="120" t="n"/>
      <c r="E982" s="120" t="n"/>
      <c r="F982" s="120" t="n"/>
      <c r="G982" s="120" t="n"/>
      <c r="I982" s="116" t="n"/>
      <c r="J982" s="19" t="n"/>
      <c r="K982" s="19" t="n"/>
      <c r="L982" s="19" t="n"/>
      <c r="M982" s="20" t="n"/>
      <c r="N982" s="120" t="n"/>
      <c r="O982" s="116" t="n"/>
      <c r="P982" s="19" t="n"/>
      <c r="Q982" s="19" t="n"/>
      <c r="R982" s="19" t="n"/>
      <c r="S982" s="20" t="n"/>
      <c r="T982" s="120" t="n"/>
      <c r="U982" s="116" t="n"/>
      <c r="V982" s="19" t="n"/>
      <c r="W982" s="19" t="n"/>
      <c r="X982" s="19" t="n"/>
      <c r="Y982" s="20" t="n"/>
      <c r="Z982" s="120" t="n"/>
      <c r="AB982" s="116" t="n"/>
      <c r="AC982" s="19" t="n"/>
      <c r="AD982" s="19" t="n"/>
      <c r="AE982" s="19" t="n"/>
      <c r="AF982" s="20" t="n"/>
      <c r="AG982" s="120" t="n"/>
      <c r="AH982" s="116" t="n"/>
      <c r="AI982" s="19" t="n"/>
      <c r="AJ982" s="19" t="n"/>
      <c r="AK982" s="19" t="n"/>
      <c r="AL982" s="20" t="n"/>
      <c r="AM982" s="120" t="n"/>
      <c r="AN982" s="116" t="n"/>
      <c r="AO982" s="19" t="n"/>
      <c r="AP982" s="19" t="n"/>
      <c r="AQ982" s="19" t="n"/>
      <c r="AR982" s="20" t="n"/>
      <c r="AS982" s="120" t="n"/>
    </row>
    <row r="983" hidden="1" outlineLevel="2">
      <c r="A983" s="8" t="n"/>
      <c r="B983" s="14" t="n"/>
      <c r="C983" s="120" t="n"/>
      <c r="D983" s="120" t="n"/>
      <c r="E983" s="120" t="n"/>
      <c r="F983" s="120" t="n"/>
      <c r="G983" s="120" t="n"/>
      <c r="I983" s="21" t="n"/>
      <c r="M983" s="22" t="n"/>
      <c r="N983" s="120" t="n"/>
      <c r="O983" s="21" t="n"/>
      <c r="S983" s="22" t="n"/>
      <c r="T983" s="120" t="n"/>
      <c r="U983" s="21" t="n"/>
      <c r="Y983" s="22" t="n"/>
      <c r="Z983" s="120" t="n"/>
      <c r="AB983" s="21" t="n"/>
      <c r="AF983" s="22" t="n"/>
      <c r="AG983" s="120" t="n"/>
      <c r="AH983" s="21" t="n"/>
      <c r="AL983" s="22" t="n"/>
      <c r="AM983" s="120" t="n"/>
      <c r="AN983" s="21" t="n"/>
      <c r="AR983" s="22" t="n"/>
      <c r="AS983" s="120" t="n"/>
    </row>
    <row r="984" hidden="1" outlineLevel="2">
      <c r="A984" s="8" t="n"/>
      <c r="B984" s="14" t="n"/>
      <c r="C984" s="120" t="n"/>
      <c r="D984" s="120" t="n"/>
      <c r="E984" s="120" t="n"/>
      <c r="F984" s="120" t="n"/>
      <c r="G984" s="120" t="n"/>
      <c r="I984" s="21" t="n"/>
      <c r="M984" s="22" t="n"/>
      <c r="N984" s="120" t="n"/>
      <c r="O984" s="21" t="n"/>
      <c r="S984" s="22" t="n"/>
      <c r="T984" s="120" t="n"/>
      <c r="U984" s="21" t="n"/>
      <c r="Y984" s="22" t="n"/>
      <c r="Z984" s="120" t="n"/>
      <c r="AB984" s="21" t="n"/>
      <c r="AF984" s="22" t="n"/>
      <c r="AG984" s="120" t="n"/>
      <c r="AH984" s="21" t="n"/>
      <c r="AL984" s="22" t="n"/>
      <c r="AM984" s="120" t="n"/>
      <c r="AN984" s="21" t="n"/>
      <c r="AR984" s="22" t="n"/>
      <c r="AS984" s="120" t="n"/>
    </row>
    <row r="985" hidden="1" outlineLevel="2">
      <c r="A985" s="8" t="n"/>
      <c r="B985" s="14" t="n"/>
      <c r="C985" s="120" t="n"/>
      <c r="D985" s="120" t="n"/>
      <c r="E985" s="120" t="n"/>
      <c r="F985" s="120" t="n"/>
      <c r="G985" s="120" t="n"/>
      <c r="I985" s="23" t="n"/>
      <c r="J985" s="24" t="n"/>
      <c r="K985" s="24" t="n"/>
      <c r="L985" s="24" t="n"/>
      <c r="M985" s="25" t="n"/>
      <c r="N985" s="120" t="n"/>
      <c r="O985" s="23" t="n"/>
      <c r="P985" s="24" t="n"/>
      <c r="Q985" s="24" t="n"/>
      <c r="R985" s="24" t="n"/>
      <c r="S985" s="25" t="n"/>
      <c r="T985" s="120" t="n"/>
      <c r="U985" s="23" t="n"/>
      <c r="V985" s="24" t="n"/>
      <c r="W985" s="24" t="n"/>
      <c r="X985" s="24" t="n"/>
      <c r="Y985" s="25" t="n"/>
      <c r="Z985" s="120" t="n"/>
      <c r="AB985" s="23" t="n"/>
      <c r="AC985" s="24" t="n"/>
      <c r="AD985" s="24" t="n"/>
      <c r="AE985" s="24" t="n"/>
      <c r="AF985" s="25" t="n"/>
      <c r="AG985" s="120" t="n"/>
      <c r="AH985" s="23" t="n"/>
      <c r="AI985" s="24" t="n"/>
      <c r="AJ985" s="24" t="n"/>
      <c r="AK985" s="24" t="n"/>
      <c r="AL985" s="25" t="n"/>
      <c r="AM985" s="120" t="n"/>
      <c r="AN985" s="23" t="n"/>
      <c r="AO985" s="24" t="n"/>
      <c r="AP985" s="24" t="n"/>
      <c r="AQ985" s="24" t="n"/>
      <c r="AR985" s="25" t="n"/>
      <c r="AS985" s="120" t="n"/>
    </row>
    <row r="986" hidden="1" outlineLevel="2">
      <c r="A986" s="8" t="n"/>
      <c r="B986" s="14" t="n"/>
      <c r="C986" s="120" t="n"/>
      <c r="D986" s="120" t="n"/>
      <c r="E986" s="120" t="n"/>
      <c r="F986" s="120" t="n"/>
      <c r="G986" s="120" t="n"/>
      <c r="I986" s="68">
        <f>DADOS_INVOC!$IR$6</f>
        <v/>
      </c>
      <c r="J986" s="16" t="n"/>
      <c r="K986" s="16" t="n"/>
      <c r="L986" s="16" t="n"/>
      <c r="M986" s="17" t="n"/>
      <c r="N986" s="120" t="n"/>
      <c r="O986" s="68">
        <f>DADOS_INVOC!$IS$6</f>
        <v/>
      </c>
      <c r="P986" s="16" t="n"/>
      <c r="Q986" s="16" t="n"/>
      <c r="R986" s="16" t="n"/>
      <c r="S986" s="17" t="n"/>
      <c r="T986" s="120" t="n"/>
      <c r="U986" s="68">
        <f>DADOS_INVOC!$IT$6</f>
        <v/>
      </c>
      <c r="V986" s="16" t="n"/>
      <c r="W986" s="16" t="n"/>
      <c r="X986" s="16" t="n"/>
      <c r="Y986" s="17" t="n"/>
      <c r="Z986" s="120" t="n"/>
      <c r="AB986" s="68">
        <f>DADOS_INVOC!$IR$12</f>
        <v/>
      </c>
      <c r="AC986" s="16" t="n"/>
      <c r="AD986" s="16" t="n"/>
      <c r="AE986" s="16" t="n"/>
      <c r="AF986" s="17" t="n"/>
      <c r="AG986" s="120" t="n"/>
      <c r="AH986" s="68">
        <f>DADOS_INVOC!$IS$12</f>
        <v/>
      </c>
      <c r="AI986" s="16" t="n"/>
      <c r="AJ986" s="16" t="n"/>
      <c r="AK986" s="16" t="n"/>
      <c r="AL986" s="17" t="n"/>
      <c r="AM986" s="120" t="n"/>
      <c r="AN986" s="68">
        <f>DADOS_INVOC!$IT$12</f>
        <v/>
      </c>
      <c r="AO986" s="16" t="n"/>
      <c r="AP986" s="16" t="n"/>
      <c r="AQ986" s="16" t="n"/>
      <c r="AR986" s="17" t="n"/>
      <c r="AS986" s="120" t="n"/>
    </row>
    <row r="987" hidden="1" outlineLevel="2">
      <c r="A987" s="8" t="n"/>
      <c r="B987" s="14" t="n"/>
      <c r="C987" s="120" t="n"/>
      <c r="D987" s="120" t="n"/>
      <c r="E987" s="120" t="n"/>
      <c r="F987" s="120" t="n"/>
      <c r="G987" s="120" t="n"/>
      <c r="I987" s="124" t="inlineStr">
        <is>
          <t>Sua Ação Completa + a básica dela</t>
        </is>
      </c>
      <c r="J987" s="16" t="n"/>
      <c r="K987" s="16" t="n"/>
      <c r="L987" s="16" t="n"/>
      <c r="M987" s="17" t="n"/>
      <c r="N987" s="120" t="n"/>
      <c r="O987" s="124" t="inlineStr">
        <is>
          <t>Sua Ação Completa + a básica dela</t>
        </is>
      </c>
      <c r="P987" s="16" t="n"/>
      <c r="Q987" s="16" t="n"/>
      <c r="R987" s="16" t="n"/>
      <c r="S987" s="17" t="n"/>
      <c r="T987" s="120" t="n"/>
      <c r="U987" s="124" t="inlineStr">
        <is>
          <t>Sua Ação Completa + a básica dela</t>
        </is>
      </c>
      <c r="V987" s="16" t="n"/>
      <c r="W987" s="16" t="n"/>
      <c r="X987" s="16" t="n"/>
      <c r="Y987" s="17" t="n"/>
      <c r="Z987" s="120" t="n"/>
      <c r="AB987" s="124" t="inlineStr">
        <is>
          <t>Sua Ação Completa + a básica dela</t>
        </is>
      </c>
      <c r="AC987" s="16" t="n"/>
      <c r="AD987" s="16" t="n"/>
      <c r="AE987" s="16" t="n"/>
      <c r="AF987" s="17" t="n"/>
      <c r="AG987" s="120" t="n"/>
      <c r="AH987" s="124" t="inlineStr">
        <is>
          <t>Sua Ação Completa + a básica dela</t>
        </is>
      </c>
      <c r="AI987" s="16" t="n"/>
      <c r="AJ987" s="16" t="n"/>
      <c r="AK987" s="16" t="n"/>
      <c r="AL987" s="17" t="n"/>
      <c r="AM987" s="120" t="n"/>
      <c r="AN987" s="124" t="inlineStr">
        <is>
          <t>Sua Ação Completa + a básica dela</t>
        </is>
      </c>
      <c r="AO987" s="16" t="n"/>
      <c r="AP987" s="16" t="n"/>
      <c r="AQ987" s="16" t="n"/>
      <c r="AR987" s="17" t="n"/>
      <c r="AS987" s="120" t="n"/>
    </row>
    <row r="988" hidden="1" outlineLevel="2">
      <c r="A988" s="8" t="n"/>
      <c r="B988" s="14" t="n"/>
      <c r="C988" s="120" t="n"/>
      <c r="D988" s="120" t="n"/>
      <c r="E988" s="120" t="n"/>
      <c r="F988" s="120" t="n"/>
      <c r="G988" s="120" t="n"/>
      <c r="I988" s="120" t="n"/>
      <c r="J988" s="120" t="n"/>
      <c r="K988" s="120" t="n"/>
      <c r="L988" s="120" t="n"/>
      <c r="M988" s="120" t="n"/>
      <c r="N988" s="120" t="n"/>
      <c r="O988" s="120" t="n"/>
      <c r="P988" s="120" t="n"/>
      <c r="Q988" s="120" t="n"/>
      <c r="R988" s="120" t="n"/>
      <c r="S988" s="120" t="n"/>
      <c r="T988" s="120" t="n"/>
      <c r="U988" s="120" t="n"/>
      <c r="V988" s="120" t="n"/>
      <c r="W988" s="120" t="n"/>
      <c r="X988" s="120" t="n"/>
      <c r="Y988" s="120" t="n"/>
      <c r="Z988" s="120" t="n"/>
      <c r="AB988" s="120" t="n"/>
      <c r="AC988" s="120" t="n"/>
      <c r="AD988" s="120" t="n"/>
      <c r="AE988" s="120" t="n"/>
      <c r="AF988" s="120" t="n"/>
      <c r="AG988" s="120" t="n"/>
      <c r="AH988" s="120" t="n"/>
      <c r="AI988" s="120" t="n"/>
      <c r="AJ988" s="120" t="n"/>
      <c r="AK988" s="120" t="n"/>
      <c r="AL988" s="120" t="n"/>
      <c r="AM988" s="120" t="n"/>
      <c r="AN988" s="120" t="n"/>
      <c r="AO988" s="120" t="n"/>
      <c r="AP988" s="120" t="n"/>
      <c r="AQ988" s="120" t="n"/>
      <c r="AR988" s="120" t="n"/>
      <c r="AS988" s="120" t="n"/>
    </row>
    <row r="989" hidden="1" outlineLevel="2">
      <c r="A989" s="8" t="n"/>
      <c r="B989" s="14" t="n"/>
      <c r="C989" s="120" t="n"/>
      <c r="D989" s="120" t="n"/>
      <c r="E989" s="120" t="n"/>
      <c r="F989" s="120" t="n"/>
      <c r="G989" s="120" t="n"/>
      <c r="I989" s="55" t="inlineStr">
        <is>
          <t>TÉCNICA MÁXIMA</t>
        </is>
      </c>
      <c r="J989" s="16" t="n"/>
      <c r="K989" s="16" t="n"/>
      <c r="L989" s="16" t="n"/>
      <c r="M989" s="17" t="n"/>
      <c r="N989" s="120" t="n"/>
      <c r="O989" s="55" t="inlineStr">
        <is>
          <t>EXPANSÃO DE DOMÍNIO</t>
        </is>
      </c>
      <c r="P989" s="16" t="n"/>
      <c r="Q989" s="16" t="n"/>
      <c r="R989" s="16" t="n"/>
      <c r="S989" s="17" t="n"/>
      <c r="T989" s="120" t="n"/>
      <c r="U989" s="120" t="n"/>
      <c r="V989" s="120" t="n"/>
      <c r="W989" s="120" t="n"/>
      <c r="X989" s="120" t="n"/>
      <c r="Y989" s="120" t="n"/>
      <c r="Z989" s="120" t="n"/>
      <c r="AB989" s="55" t="inlineStr">
        <is>
          <t>TÉCNICA MÁXIMA</t>
        </is>
      </c>
      <c r="AC989" s="16" t="n"/>
      <c r="AD989" s="16" t="n"/>
      <c r="AE989" s="16" t="n"/>
      <c r="AF989" s="17" t="n"/>
      <c r="AG989" s="120" t="n"/>
      <c r="AH989" s="55" t="inlineStr">
        <is>
          <t>EXPANSÃO DE DOMÍNIO</t>
        </is>
      </c>
      <c r="AI989" s="16" t="n"/>
      <c r="AJ989" s="16" t="n"/>
      <c r="AK989" s="16" t="n"/>
      <c r="AL989" s="17" t="n"/>
      <c r="AM989" s="120" t="n"/>
      <c r="AN989" s="120" t="n"/>
      <c r="AO989" s="120" t="n"/>
      <c r="AP989" s="120" t="n"/>
      <c r="AQ989" s="120" t="n"/>
      <c r="AR989" s="120" t="n"/>
      <c r="AS989" s="120" t="n"/>
    </row>
    <row r="990" hidden="1" outlineLevel="2">
      <c r="A990" s="8" t="n"/>
      <c r="B990" s="14" t="n"/>
      <c r="C990" s="120" t="n"/>
      <c r="D990" s="120" t="n"/>
      <c r="E990" s="120" t="n"/>
      <c r="F990" s="120" t="n"/>
      <c r="G990" s="120" t="n"/>
      <c r="I990" s="115" t="n"/>
      <c r="J990" s="16" t="n"/>
      <c r="K990" s="16" t="n"/>
      <c r="L990" s="17" t="n"/>
      <c r="M990" s="128">
        <f>DADOS_INVOC!$IU$6</f>
        <v/>
      </c>
      <c r="N990" s="120" t="n"/>
      <c r="O990" s="115" t="n"/>
      <c r="P990" s="16" t="n"/>
      <c r="Q990" s="16" t="n"/>
      <c r="R990" s="17" t="n"/>
      <c r="S990" s="128">
        <f>DADOS_INVOC!$IW$6</f>
        <v/>
      </c>
      <c r="T990" s="120" t="n"/>
      <c r="U990" s="120" t="n"/>
      <c r="V990" s="120" t="n"/>
      <c r="W990" s="120" t="n"/>
      <c r="X990" s="120" t="n"/>
      <c r="Y990" s="120" t="n"/>
      <c r="Z990" s="120" t="n"/>
      <c r="AB990" s="115" t="n"/>
      <c r="AC990" s="16" t="n"/>
      <c r="AD990" s="16" t="n"/>
      <c r="AE990" s="17" t="n"/>
      <c r="AF990" s="128">
        <f>DADOS_INVOC!$IU$12</f>
        <v/>
      </c>
      <c r="AG990" s="120" t="n"/>
      <c r="AH990" s="115" t="n"/>
      <c r="AI990" s="16" t="n"/>
      <c r="AJ990" s="16" t="n"/>
      <c r="AK990" s="17" t="n"/>
      <c r="AL990" s="128">
        <f>DADOS_INVOC!$IW$12</f>
        <v/>
      </c>
      <c r="AM990" s="120" t="n"/>
      <c r="AN990" s="120" t="n"/>
      <c r="AO990" s="120" t="n"/>
      <c r="AP990" s="120" t="n"/>
      <c r="AQ990" s="120" t="n"/>
      <c r="AR990" s="120" t="n"/>
      <c r="AS990" s="120" t="n"/>
    </row>
    <row r="991" hidden="1" outlineLevel="2">
      <c r="A991" s="8" t="n"/>
      <c r="B991" s="14" t="n"/>
      <c r="C991" s="120" t="n"/>
      <c r="D991" s="120" t="n"/>
      <c r="E991" s="120" t="n"/>
      <c r="F991" s="120" t="n"/>
      <c r="G991" s="120" t="n"/>
      <c r="I991" s="116" t="n"/>
      <c r="J991" s="19" t="n"/>
      <c r="K991" s="19" t="n"/>
      <c r="L991" s="19" t="n"/>
      <c r="M991" s="20" t="n"/>
      <c r="N991" s="120" t="n"/>
      <c r="O991" s="116" t="n"/>
      <c r="P991" s="19" t="n"/>
      <c r="Q991" s="19" t="n"/>
      <c r="R991" s="19" t="n"/>
      <c r="S991" s="20" t="n"/>
      <c r="T991" s="120" t="n"/>
      <c r="U991" s="120" t="n"/>
      <c r="V991" s="120" t="n"/>
      <c r="W991" s="120" t="n"/>
      <c r="X991" s="120" t="n"/>
      <c r="Y991" s="120" t="n"/>
      <c r="Z991" s="120" t="n"/>
      <c r="AB991" s="116" t="n"/>
      <c r="AC991" s="19" t="n"/>
      <c r="AD991" s="19" t="n"/>
      <c r="AE991" s="19" t="n"/>
      <c r="AF991" s="20" t="n"/>
      <c r="AG991" s="120" t="n"/>
      <c r="AH991" s="116" t="n"/>
      <c r="AI991" s="19" t="n"/>
      <c r="AJ991" s="19" t="n"/>
      <c r="AK991" s="19" t="n"/>
      <c r="AL991" s="20" t="n"/>
      <c r="AM991" s="120" t="n"/>
      <c r="AN991" s="120" t="n"/>
      <c r="AO991" s="120" t="n"/>
      <c r="AP991" s="120" t="n"/>
      <c r="AQ991" s="120" t="n"/>
      <c r="AR991" s="120" t="n"/>
      <c r="AS991" s="120" t="n"/>
    </row>
    <row r="992" hidden="1" outlineLevel="2">
      <c r="A992" s="8" t="n"/>
      <c r="B992" s="14" t="n"/>
      <c r="C992" s="120" t="n"/>
      <c r="D992" s="120" t="n"/>
      <c r="E992" s="120" t="n"/>
      <c r="F992" s="120" t="n"/>
      <c r="G992" s="120" t="n"/>
      <c r="I992" s="21" t="n"/>
      <c r="M992" s="22" t="n"/>
      <c r="N992" s="120" t="n"/>
      <c r="O992" s="21" t="n"/>
      <c r="S992" s="22" t="n"/>
      <c r="T992" s="120" t="n"/>
      <c r="U992" s="120" t="n"/>
      <c r="V992" s="120" t="n"/>
      <c r="W992" s="120" t="n"/>
      <c r="X992" s="120" t="n"/>
      <c r="Y992" s="120" t="n"/>
      <c r="Z992" s="120" t="n"/>
      <c r="AB992" s="21" t="n"/>
      <c r="AF992" s="22" t="n"/>
      <c r="AG992" s="120" t="n"/>
      <c r="AH992" s="21" t="n"/>
      <c r="AL992" s="22" t="n"/>
      <c r="AM992" s="120" t="n"/>
      <c r="AN992" s="120" t="n"/>
      <c r="AO992" s="120" t="n"/>
      <c r="AP992" s="120" t="n"/>
      <c r="AQ992" s="120" t="n"/>
      <c r="AR992" s="120" t="n"/>
      <c r="AS992" s="120" t="n"/>
    </row>
    <row r="993" hidden="1" outlineLevel="2">
      <c r="A993" s="8" t="n"/>
      <c r="B993" s="14" t="n"/>
      <c r="C993" s="120" t="n"/>
      <c r="D993" s="120" t="n"/>
      <c r="E993" s="120" t="n"/>
      <c r="F993" s="120" t="n"/>
      <c r="G993" s="120" t="n"/>
      <c r="I993" s="21" t="n"/>
      <c r="M993" s="22" t="n"/>
      <c r="N993" s="120" t="n"/>
      <c r="O993" s="21" t="n"/>
      <c r="S993" s="22" t="n"/>
      <c r="T993" s="120" t="n"/>
      <c r="U993" s="120" t="n"/>
      <c r="V993" s="120" t="n"/>
      <c r="W993" s="120" t="n"/>
      <c r="X993" s="120" t="n"/>
      <c r="Y993" s="120" t="n"/>
      <c r="Z993" s="120" t="n"/>
      <c r="AB993" s="21" t="n"/>
      <c r="AF993" s="22" t="n"/>
      <c r="AG993" s="120" t="n"/>
      <c r="AH993" s="21" t="n"/>
      <c r="AL993" s="22" t="n"/>
      <c r="AM993" s="120" t="n"/>
      <c r="AN993" s="120" t="n"/>
      <c r="AO993" s="120" t="n"/>
      <c r="AP993" s="120" t="n"/>
      <c r="AQ993" s="120" t="n"/>
      <c r="AR993" s="120" t="n"/>
      <c r="AS993" s="120" t="n"/>
    </row>
    <row r="994" hidden="1" outlineLevel="2">
      <c r="A994" s="8" t="n"/>
      <c r="B994" s="14" t="n"/>
      <c r="C994" s="120" t="n"/>
      <c r="D994" s="120" t="n"/>
      <c r="E994" s="120" t="n"/>
      <c r="F994" s="120" t="n"/>
      <c r="G994" s="120" t="n"/>
      <c r="I994" s="23" t="n"/>
      <c r="J994" s="24" t="n"/>
      <c r="K994" s="24" t="n"/>
      <c r="L994" s="24" t="n"/>
      <c r="M994" s="25" t="n"/>
      <c r="N994" s="120" t="n"/>
      <c r="O994" s="23" t="n"/>
      <c r="P994" s="24" t="n"/>
      <c r="Q994" s="24" t="n"/>
      <c r="R994" s="24" t="n"/>
      <c r="S994" s="25" t="n"/>
      <c r="T994" s="120" t="n"/>
      <c r="U994" s="120" t="n"/>
      <c r="V994" s="120" t="n"/>
      <c r="W994" s="120" t="n"/>
      <c r="X994" s="120" t="n"/>
      <c r="Y994" s="120" t="n"/>
      <c r="Z994" s="120" t="n"/>
      <c r="AB994" s="23" t="n"/>
      <c r="AC994" s="24" t="n"/>
      <c r="AD994" s="24" t="n"/>
      <c r="AE994" s="24" t="n"/>
      <c r="AF994" s="25" t="n"/>
      <c r="AG994" s="120" t="n"/>
      <c r="AH994" s="23" t="n"/>
      <c r="AI994" s="24" t="n"/>
      <c r="AJ994" s="24" t="n"/>
      <c r="AK994" s="24" t="n"/>
      <c r="AL994" s="25" t="n"/>
      <c r="AM994" s="120" t="n"/>
      <c r="AN994" s="120" t="n"/>
      <c r="AO994" s="120" t="n"/>
      <c r="AP994" s="120" t="n"/>
      <c r="AQ994" s="120" t="n"/>
      <c r="AR994" s="120" t="n"/>
      <c r="AS994" s="120" t="n"/>
    </row>
    <row r="995" hidden="1" outlineLevel="2">
      <c r="A995" s="8" t="n"/>
      <c r="B995" s="14" t="n"/>
      <c r="C995" s="120" t="n"/>
      <c r="D995" s="120" t="n"/>
      <c r="E995" s="120" t="n"/>
      <c r="F995" s="120" t="n"/>
      <c r="G995" s="120" t="n"/>
      <c r="I995" s="68">
        <f>DADOS_INVOC!$IV$6</f>
        <v/>
      </c>
      <c r="J995" s="16" t="n"/>
      <c r="K995" s="16" t="n"/>
      <c r="L995" s="16" t="n"/>
      <c r="M995" s="17" t="n"/>
      <c r="N995" s="120" t="n"/>
      <c r="O995" s="124" t="n"/>
      <c r="P995" s="17" t="n"/>
      <c r="Q995" s="68">
        <f>DADOS_INVOC!$IX$6</f>
        <v/>
      </c>
      <c r="R995" s="16" t="n"/>
      <c r="S995" s="17" t="n"/>
      <c r="T995" s="120" t="n"/>
      <c r="U995" s="120" t="n"/>
      <c r="V995" s="120" t="n"/>
      <c r="W995" s="120" t="n"/>
      <c r="X995" s="120" t="n"/>
      <c r="Y995" s="120" t="n"/>
      <c r="Z995" s="120" t="n"/>
      <c r="AB995" s="68">
        <f>DADOS_INVOC!$IV$12</f>
        <v/>
      </c>
      <c r="AC995" s="16" t="n"/>
      <c r="AD995" s="16" t="n"/>
      <c r="AE995" s="16" t="n"/>
      <c r="AF995" s="17" t="n"/>
      <c r="AG995" s="120" t="n"/>
      <c r="AH995" s="124" t="n"/>
      <c r="AI995" s="17" t="n"/>
      <c r="AJ995" s="68">
        <f>DADOS_INVOC!$IX$12</f>
        <v/>
      </c>
      <c r="AK995" s="16" t="n"/>
      <c r="AL995" s="17" t="n"/>
      <c r="AM995" s="120" t="n"/>
      <c r="AN995" s="120" t="n"/>
      <c r="AO995" s="120" t="n"/>
      <c r="AP995" s="120" t="n"/>
      <c r="AQ995" s="120" t="n"/>
      <c r="AR995" s="120" t="n"/>
      <c r="AS995" s="120" t="n"/>
    </row>
    <row r="996" hidden="1" outlineLevel="2">
      <c r="A996" s="8" t="n"/>
      <c r="B996" s="14" t="n"/>
      <c r="C996" s="120" t="n"/>
      <c r="D996" s="120" t="n"/>
      <c r="E996" s="120" t="n"/>
      <c r="F996" s="120" t="n"/>
      <c r="G996" s="120" t="n"/>
      <c r="I996" s="124" t="inlineStr">
        <is>
          <t>Sua Ação Completa + a básica dela</t>
        </is>
      </c>
      <c r="J996" s="16" t="n"/>
      <c r="K996" s="16" t="n"/>
      <c r="L996" s="16" t="n"/>
      <c r="M996" s="17" t="n"/>
      <c r="N996" s="120" t="n"/>
      <c r="O996" s="129">
        <f>DADOS_INVOC!$IY$6</f>
        <v/>
      </c>
      <c r="P996" s="16" t="n"/>
      <c r="Q996" s="16" t="n"/>
      <c r="R996" s="16" t="n"/>
      <c r="S996" s="17" t="n"/>
      <c r="T996" s="120" t="n"/>
      <c r="U996" s="120" t="n"/>
      <c r="V996" s="120" t="n"/>
      <c r="W996" s="120" t="n"/>
      <c r="X996" s="120" t="n"/>
      <c r="Y996" s="120" t="n"/>
      <c r="Z996" s="120" t="n"/>
      <c r="AB996" s="124" t="inlineStr">
        <is>
          <t>Sua Ação Completa + a básica dela</t>
        </is>
      </c>
      <c r="AC996" s="16" t="n"/>
      <c r="AD996" s="16" t="n"/>
      <c r="AE996" s="16" t="n"/>
      <c r="AF996" s="17" t="n"/>
      <c r="AG996" s="120" t="n"/>
      <c r="AH996" s="129">
        <f>DADOS_INVOC!$IY$12</f>
        <v/>
      </c>
      <c r="AI996" s="16" t="n"/>
      <c r="AJ996" s="16" t="n"/>
      <c r="AK996" s="16" t="n"/>
      <c r="AL996" s="17" t="n"/>
      <c r="AM996" s="120" t="n"/>
      <c r="AN996" s="120" t="n"/>
      <c r="AO996" s="120" t="n"/>
      <c r="AP996" s="120" t="n"/>
      <c r="AQ996" s="120" t="n"/>
      <c r="AR996" s="120" t="n"/>
      <c r="AS996" s="120" t="n"/>
    </row>
    <row r="997">
      <c r="A997" s="8" t="n"/>
      <c r="B997" s="14" t="n"/>
      <c r="C997" s="120" t="n"/>
      <c r="D997" s="120" t="n"/>
      <c r="E997" s="120" t="n"/>
      <c r="F997" s="120" t="n"/>
      <c r="G997" s="120" t="n"/>
      <c r="H997" s="120" t="n"/>
      <c r="I997" s="120" t="n"/>
      <c r="J997" s="120" t="n"/>
      <c r="K997" s="120" t="n"/>
      <c r="L997" s="120" t="n"/>
      <c r="M997" s="120" t="n"/>
      <c r="N997" s="120" t="n"/>
      <c r="O997" s="120" t="n"/>
      <c r="P997" s="120" t="n"/>
      <c r="Q997" s="120" t="n"/>
      <c r="R997" s="120" t="n"/>
      <c r="S997" s="120" t="n"/>
      <c r="T997" s="120" t="n"/>
      <c r="U997" s="120" t="n"/>
      <c r="V997" s="120" t="n"/>
      <c r="W997" s="120" t="n"/>
      <c r="X997" s="120" t="n"/>
      <c r="Y997" s="120" t="n"/>
      <c r="Z997" s="120" t="n"/>
      <c r="AA997" s="120" t="n"/>
      <c r="AB997" s="120" t="n"/>
      <c r="AC997" s="120" t="n"/>
      <c r="AD997" s="120" t="n"/>
      <c r="AE997" s="120" t="n"/>
      <c r="AF997" s="120" t="n"/>
      <c r="AG997" s="120" t="n"/>
      <c r="AH997" s="120" t="n"/>
      <c r="AI997" s="120" t="n"/>
      <c r="AJ997" s="120" t="n"/>
      <c r="AK997" s="120" t="n"/>
      <c r="AL997" s="120" t="n"/>
      <c r="AM997" s="120" t="n"/>
      <c r="AN997" s="120" t="n"/>
      <c r="AO997" s="120" t="n"/>
      <c r="AP997" s="120" t="n"/>
      <c r="AQ997" s="120" t="n"/>
      <c r="AR997" s="120" t="n"/>
      <c r="AS997" s="120" t="n"/>
    </row>
    <row r="998">
      <c r="A998" s="8" t="n"/>
      <c r="B998" s="14" t="n"/>
      <c r="C998" s="120" t="n"/>
      <c r="D998" s="120" t="n"/>
      <c r="E998" s="120" t="n"/>
      <c r="F998" s="120" t="n"/>
      <c r="G998" s="120" t="n"/>
      <c r="H998" s="120" t="n"/>
      <c r="I998" s="120" t="n"/>
      <c r="J998" s="120" t="n"/>
      <c r="K998" s="120" t="n"/>
      <c r="L998" s="120" t="n"/>
      <c r="M998" s="120" t="n"/>
      <c r="N998" s="120" t="n"/>
      <c r="O998" s="120" t="n"/>
      <c r="P998" s="120" t="n"/>
      <c r="Q998" s="120" t="n"/>
      <c r="R998" s="120" t="n"/>
      <c r="S998" s="120" t="n"/>
      <c r="T998" s="120" t="n"/>
      <c r="U998" s="120" t="n"/>
      <c r="V998" s="120" t="n"/>
      <c r="W998" s="120" t="n"/>
      <c r="X998" s="120" t="n"/>
      <c r="Y998" s="120" t="n"/>
      <c r="Z998" s="120" t="n"/>
      <c r="AA998" s="120" t="n"/>
      <c r="AB998" s="120" t="n"/>
      <c r="AC998" s="120" t="n"/>
      <c r="AD998" s="120" t="n"/>
      <c r="AE998" s="120" t="n"/>
      <c r="AF998" s="120" t="n"/>
      <c r="AG998" s="120" t="n"/>
      <c r="AH998" s="120" t="n"/>
      <c r="AI998" s="120" t="n"/>
      <c r="AJ998" s="120" t="n"/>
      <c r="AK998" s="120" t="n"/>
      <c r="AL998" s="120" t="n"/>
      <c r="AM998" s="120" t="n"/>
      <c r="AN998" s="120" t="n"/>
      <c r="AO998" s="120" t="n"/>
      <c r="AP998" s="120" t="n"/>
      <c r="AQ998" s="120" t="n"/>
      <c r="AR998" s="120" t="n"/>
      <c r="AS998" s="120" t="n"/>
    </row>
    <row r="999">
      <c r="A999" s="8" t="n"/>
      <c r="B999" s="14" t="n"/>
      <c r="C999" s="120" t="n"/>
      <c r="D999" s="120" t="n"/>
      <c r="E999" s="120" t="n"/>
      <c r="F999" s="120" t="n"/>
      <c r="G999" s="120" t="n"/>
      <c r="H999" s="138" t="n">
        <v>6</v>
      </c>
      <c r="I999" s="139" t="n">
        <v>6</v>
      </c>
      <c r="J999" s="123">
        <f>DADOS_INVOC!$GV$7</f>
        <v/>
      </c>
      <c r="K999" s="19" t="n"/>
      <c r="L999" s="19" t="n"/>
      <c r="M999" s="19" t="n"/>
      <c r="N999" s="19" t="n"/>
      <c r="O999" s="19" t="n"/>
      <c r="P999" s="19" t="n"/>
      <c r="Q999" s="19" t="n"/>
      <c r="R999" s="19" t="n"/>
      <c r="S999" s="19" t="n"/>
      <c r="T999" s="19" t="n"/>
      <c r="U999" s="19" t="n"/>
      <c r="V999" s="19" t="n"/>
      <c r="W999" s="19" t="n"/>
      <c r="X999" s="19" t="n"/>
      <c r="Y999" s="20" t="n"/>
      <c r="Z999" s="120" t="n"/>
      <c r="AA999" s="138" t="n">
        <v>12</v>
      </c>
      <c r="AB999" s="139" t="n">
        <v>12</v>
      </c>
      <c r="AC999" s="123">
        <f>DADOS_INVOC!$GV$13</f>
        <v/>
      </c>
      <c r="AD999" s="19" t="n"/>
      <c r="AE999" s="19" t="n"/>
      <c r="AF999" s="19" t="n"/>
      <c r="AG999" s="19" t="n"/>
      <c r="AH999" s="19" t="n"/>
      <c r="AI999" s="19" t="n"/>
      <c r="AJ999" s="19" t="n"/>
      <c r="AK999" s="19" t="n"/>
      <c r="AL999" s="19" t="n"/>
      <c r="AM999" s="19" t="n"/>
      <c r="AN999" s="19" t="n"/>
      <c r="AO999" s="19" t="n"/>
      <c r="AP999" s="19" t="n"/>
      <c r="AQ999" s="19" t="n"/>
      <c r="AR999" s="20" t="n"/>
      <c r="AS999" s="120" t="n"/>
    </row>
    <row r="1000">
      <c r="A1000" s="8" t="n"/>
      <c r="B1000" s="14" t="n"/>
      <c r="C1000" s="120" t="n"/>
      <c r="D1000" s="120" t="n"/>
      <c r="E1000" s="120" t="n"/>
      <c r="F1000" s="120" t="n"/>
      <c r="G1000" s="120"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20"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0" t="n"/>
    </row>
    <row r="1001" hidden="1" outlineLevel="1">
      <c r="A1001" s="8" t="n"/>
      <c r="B1001" s="14" t="n"/>
      <c r="C1001" s="120" t="n"/>
      <c r="D1001" s="120" t="n"/>
      <c r="E1001" s="120" t="n"/>
      <c r="F1001" s="120" t="n"/>
      <c r="G1001" s="120" t="n"/>
      <c r="H1001" s="140">
        <f>DADOS_INVOC!$GW$7</f>
        <v/>
      </c>
      <c r="I1001" s="120" t="n"/>
      <c r="J1001" s="120" t="n"/>
      <c r="K1001" s="120" t="n"/>
      <c r="L1001" s="120" t="n"/>
      <c r="M1001" s="120" t="n"/>
      <c r="N1001" s="120" t="n"/>
      <c r="O1001" s="120" t="n"/>
      <c r="P1001" s="120" t="n"/>
      <c r="Q1001" s="120" t="n"/>
      <c r="R1001" s="120" t="n"/>
      <c r="S1001" s="120" t="n"/>
      <c r="T1001" s="120" t="n"/>
      <c r="U1001" s="120" t="n"/>
      <c r="V1001" s="120" t="n"/>
      <c r="W1001" s="120" t="n"/>
      <c r="X1001" s="120" t="n"/>
      <c r="Y1001" s="120" t="n"/>
      <c r="Z1001" s="120" t="n"/>
      <c r="AA1001" s="140">
        <f>DADOS_INVOC!$GW$13</f>
        <v/>
      </c>
      <c r="AB1001" s="120" t="n"/>
      <c r="AC1001" s="120" t="n"/>
      <c r="AD1001" s="120" t="n"/>
      <c r="AE1001" s="120" t="n"/>
      <c r="AF1001" s="120" t="n"/>
      <c r="AG1001" s="120" t="n"/>
      <c r="AH1001" s="120" t="n"/>
      <c r="AI1001" s="120" t="n"/>
      <c r="AJ1001" s="120" t="n"/>
      <c r="AK1001" s="120" t="n"/>
      <c r="AL1001" s="120" t="n"/>
      <c r="AM1001" s="120" t="n"/>
      <c r="AN1001" s="120" t="n"/>
      <c r="AO1001" s="120" t="n"/>
      <c r="AP1001" s="120" t="n"/>
      <c r="AQ1001" s="120" t="n"/>
      <c r="AR1001" s="120" t="n"/>
      <c r="AS1001" s="120" t="n"/>
    </row>
    <row r="1002" hidden="1" outlineLevel="1">
      <c r="A1002" s="8" t="n"/>
      <c r="B1002" s="14" t="n"/>
      <c r="C1002" s="120" t="n"/>
      <c r="D1002" s="120" t="n"/>
      <c r="E1002" s="120" t="n"/>
      <c r="F1002" s="120" t="n"/>
      <c r="G1002" s="120" t="n"/>
      <c r="I1002" s="55" t="inlineStr">
        <is>
          <t>NOME</t>
        </is>
      </c>
      <c r="J1002" s="16" t="n"/>
      <c r="K1002" s="16" t="n"/>
      <c r="L1002" s="16" t="n"/>
      <c r="M1002" s="17" t="n"/>
      <c r="N1002" s="120" t="n"/>
      <c r="O1002" s="55" t="inlineStr">
        <is>
          <t>NÍVEL</t>
        </is>
      </c>
      <c r="P1002" s="55" t="inlineStr">
        <is>
          <t>CLASSE</t>
        </is>
      </c>
      <c r="Q1002" s="55" t="inlineStr">
        <is>
          <t>MAESTRIA</t>
        </is>
      </c>
      <c r="R1002" s="55" t="inlineStr">
        <is>
          <t>ENTRADA</t>
        </is>
      </c>
      <c r="S1002" s="55" t="inlineStr">
        <is>
          <t>RETORNO</t>
        </is>
      </c>
      <c r="T1002" s="120" t="n"/>
      <c r="U1002" s="55" t="inlineStr">
        <is>
          <t>VIDA ATUAL</t>
        </is>
      </c>
      <c r="V1002" s="55" t="inlineStr">
        <is>
          <t>VIDA MÁXIMA</t>
        </is>
      </c>
      <c r="W1002" s="55" t="inlineStr">
        <is>
          <t>TEMPORÁRIA</t>
        </is>
      </c>
      <c r="X1002" s="55" t="inlineStr">
        <is>
          <t>± PERDA / GANHO</t>
        </is>
      </c>
      <c r="Y1002" s="55">
        <f>DADOS_INVOC!$HQ$7</f>
        <v/>
      </c>
      <c r="Z1002" s="120" t="n"/>
      <c r="AB1002" s="55" t="inlineStr">
        <is>
          <t>NOME</t>
        </is>
      </c>
      <c r="AC1002" s="16" t="n"/>
      <c r="AD1002" s="16" t="n"/>
      <c r="AE1002" s="16" t="n"/>
      <c r="AF1002" s="17" t="n"/>
      <c r="AG1002" s="120" t="n"/>
      <c r="AH1002" s="55" t="inlineStr">
        <is>
          <t>NÍVEL</t>
        </is>
      </c>
      <c r="AI1002" s="55" t="inlineStr">
        <is>
          <t>CLASSE</t>
        </is>
      </c>
      <c r="AJ1002" s="55" t="inlineStr">
        <is>
          <t>MAESTRIA</t>
        </is>
      </c>
      <c r="AK1002" s="55" t="inlineStr">
        <is>
          <t>ENTRADA</t>
        </is>
      </c>
      <c r="AL1002" s="55" t="inlineStr">
        <is>
          <t>RETORNO</t>
        </is>
      </c>
      <c r="AM1002" s="120" t="n"/>
      <c r="AN1002" s="55" t="inlineStr">
        <is>
          <t>VIDA ATUAL</t>
        </is>
      </c>
      <c r="AO1002" s="55" t="inlineStr">
        <is>
          <t>VIDA MÁXIMA</t>
        </is>
      </c>
      <c r="AP1002" s="55" t="inlineStr">
        <is>
          <t>TEMPORÁRIA</t>
        </is>
      </c>
      <c r="AQ1002" s="55" t="inlineStr">
        <is>
          <t>± PERDA / GANHO</t>
        </is>
      </c>
      <c r="AR1002" s="55">
        <f>DADOS_INVOC!$HQ$13</f>
        <v/>
      </c>
      <c r="AS1002" s="120" t="n"/>
    </row>
    <row r="1003" hidden="1" outlineLevel="1">
      <c r="A1003" s="8" t="n"/>
      <c r="B1003" s="14" t="n"/>
      <c r="C1003" s="120" t="n"/>
      <c r="D1003" s="120" t="n"/>
      <c r="E1003" s="120" t="n"/>
      <c r="F1003" s="120" t="n"/>
      <c r="G1003" s="120" t="n"/>
      <c r="I1003" s="83" t="n"/>
      <c r="J1003" s="19" t="n"/>
      <c r="K1003" s="19" t="n"/>
      <c r="L1003" s="19" t="n"/>
      <c r="M1003" s="20" t="n"/>
      <c r="N1003" s="120" t="n"/>
      <c r="O1003" s="92">
        <f>DADOS_INVOC!$FI$7</f>
        <v/>
      </c>
      <c r="P1003" s="92">
        <f>DADOS_INVOC!$FJ$7</f>
        <v/>
      </c>
      <c r="Q1003" s="92">
        <f>DADOS_INVOC!$GX$7</f>
        <v/>
      </c>
      <c r="R1003" s="92">
        <f>DADOS_INVOC!$GY$7</f>
        <v/>
      </c>
      <c r="S1003" s="92">
        <f>DADOS_INVOC!$GZ$7</f>
        <v/>
      </c>
      <c r="T1003" s="120" t="n"/>
      <c r="U1003" s="92">
        <f>DADOS_INVOC!$GA$7</f>
        <v/>
      </c>
      <c r="V1003" s="92">
        <f>DADOS_INVOC!$FZ$7</f>
        <v/>
      </c>
      <c r="W1003" s="92" t="n"/>
      <c r="X1003" s="92" t="n"/>
      <c r="Y1003" s="92" t="n"/>
      <c r="Z1003" s="120" t="n"/>
      <c r="AB1003" s="83" t="n"/>
      <c r="AC1003" s="19" t="n"/>
      <c r="AD1003" s="19" t="n"/>
      <c r="AE1003" s="19" t="n"/>
      <c r="AF1003" s="20" t="n"/>
      <c r="AG1003" s="120" t="n"/>
      <c r="AH1003" s="92">
        <f>DADOS_INVOC!$FI$13</f>
        <v/>
      </c>
      <c r="AI1003" s="92">
        <f>DADOS_INVOC!$FJ$13</f>
        <v/>
      </c>
      <c r="AJ1003" s="92">
        <f>DADOS_INVOC!$GX$13</f>
        <v/>
      </c>
      <c r="AK1003" s="92">
        <f>DADOS_INVOC!$GY$13</f>
        <v/>
      </c>
      <c r="AL1003" s="92">
        <f>DADOS_INVOC!$GZ$13</f>
        <v/>
      </c>
      <c r="AM1003" s="120" t="n"/>
      <c r="AN1003" s="92">
        <f>DADOS_INVOC!$GA$13</f>
        <v/>
      </c>
      <c r="AO1003" s="92">
        <f>DADOS_INVOC!$FZ$13</f>
        <v/>
      </c>
      <c r="AP1003" s="92" t="n"/>
      <c r="AQ1003" s="92" t="n"/>
      <c r="AR1003" s="92" t="n"/>
      <c r="AS1003" s="120" t="n"/>
    </row>
    <row r="1004" hidden="1" outlineLevel="1">
      <c r="A1004" s="8" t="n"/>
      <c r="B1004" s="14" t="n"/>
      <c r="C1004" s="120" t="n"/>
      <c r="D1004" s="120" t="n"/>
      <c r="E1004" s="120" t="n"/>
      <c r="F1004" s="120" t="n"/>
      <c r="G1004" s="120" t="n"/>
      <c r="I1004" s="23" t="n"/>
      <c r="J1004" s="24" t="n"/>
      <c r="K1004" s="24" t="n"/>
      <c r="L1004" s="24" t="n"/>
      <c r="M1004" s="25" t="n"/>
      <c r="N1004" s="120" t="n"/>
      <c r="O1004" s="125" t="n"/>
      <c r="P1004" s="125" t="n"/>
      <c r="Q1004" s="125" t="n"/>
      <c r="R1004" s="125" t="n"/>
      <c r="S1004" s="125" t="n"/>
      <c r="T1004" s="120" t="n"/>
      <c r="U1004" s="125" t="n"/>
      <c r="V1004" s="125" t="n"/>
      <c r="W1004" s="125" t="n"/>
      <c r="X1004" s="125" t="n"/>
      <c r="Y1004" s="125" t="n"/>
      <c r="Z1004" s="120" t="n"/>
      <c r="AB1004" s="23" t="n"/>
      <c r="AC1004" s="24" t="n"/>
      <c r="AD1004" s="24" t="n"/>
      <c r="AE1004" s="24" t="n"/>
      <c r="AF1004" s="25" t="n"/>
      <c r="AG1004" s="120" t="n"/>
      <c r="AH1004" s="125" t="n"/>
      <c r="AI1004" s="125" t="n"/>
      <c r="AJ1004" s="125" t="n"/>
      <c r="AK1004" s="125" t="n"/>
      <c r="AL1004" s="125" t="n"/>
      <c r="AM1004" s="120" t="n"/>
      <c r="AN1004" s="125" t="n"/>
      <c r="AO1004" s="125" t="n"/>
      <c r="AP1004" s="125" t="n"/>
      <c r="AQ1004" s="125" t="n"/>
      <c r="AR1004" s="125" t="n"/>
      <c r="AS1004" s="120" t="n"/>
    </row>
    <row r="1005" hidden="1" outlineLevel="1">
      <c r="A1005" s="8" t="n"/>
      <c r="B1005" s="14" t="n"/>
      <c r="C1005" s="120" t="n"/>
      <c r="D1005" s="120" t="n"/>
      <c r="E1005" s="120" t="n"/>
      <c r="F1005" s="120" t="n"/>
      <c r="G1005" s="120" t="n"/>
      <c r="I1005" s="141" t="inlineStr">
        <is>
          <t>FOTO
式神</t>
        </is>
      </c>
      <c r="J1005" s="19" t="n"/>
      <c r="K1005" s="19" t="n"/>
      <c r="L1005" s="19" t="n"/>
      <c r="M1005" s="20" t="n"/>
      <c r="N1005" s="120" t="n"/>
      <c r="O1005" s="120" t="n"/>
      <c r="P1005" s="120" t="n"/>
      <c r="Q1005" s="120" t="n"/>
      <c r="R1005" s="120" t="n"/>
      <c r="S1005" s="120" t="n"/>
      <c r="T1005" s="120" t="n"/>
      <c r="U1005" s="130">
        <f>IFERROR(SPARKLINE(DADOS_INVOC!$GB$7,{"charttype","bar";"max",MAX(1,DADOS_INVOC!$FZ$7);"color1",DADOS_INVOC!$CX$12}),"")</f>
        <v/>
      </c>
      <c r="V1005" s="16" t="n"/>
      <c r="W1005" s="16" t="n"/>
      <c r="X1005" s="16" t="n"/>
      <c r="Y1005" s="17" t="n"/>
      <c r="Z1005" s="120" t="n"/>
      <c r="AB1005" s="141" t="inlineStr">
        <is>
          <t>FOTO
式神</t>
        </is>
      </c>
      <c r="AC1005" s="19" t="n"/>
      <c r="AD1005" s="19" t="n"/>
      <c r="AE1005" s="19" t="n"/>
      <c r="AF1005" s="20" t="n"/>
      <c r="AG1005" s="120" t="n"/>
      <c r="AH1005" s="120" t="n"/>
      <c r="AI1005" s="120" t="n"/>
      <c r="AJ1005" s="120" t="n"/>
      <c r="AK1005" s="120" t="n"/>
      <c r="AL1005" s="120" t="n"/>
      <c r="AM1005" s="120" t="n"/>
      <c r="AN1005" s="130">
        <f>IFERROR(SPARKLINE(DADOS_INVOC!$GB$13,{"charttype","bar";"max",MAX(1,DADOS_INVOC!$FZ$13);"color1",DADOS_INVOC!$CX$12}),"")</f>
        <v/>
      </c>
      <c r="AO1005" s="16" t="n"/>
      <c r="AP1005" s="16" t="n"/>
      <c r="AQ1005" s="16" t="n"/>
      <c r="AR1005" s="17" t="n"/>
      <c r="AS1005" s="120" t="n"/>
    </row>
    <row r="1006" hidden="1" outlineLevel="1">
      <c r="A1006" s="8" t="n"/>
      <c r="B1006" s="14" t="n"/>
      <c r="C1006" s="120" t="n"/>
      <c r="D1006" s="120" t="n"/>
      <c r="E1006" s="120" t="n"/>
      <c r="F1006" s="120" t="n"/>
      <c r="G1006" s="120" t="n"/>
      <c r="I1006" s="21" t="n"/>
      <c r="M1006" s="22" t="n"/>
      <c r="N1006" s="120" t="n"/>
      <c r="O1006" s="55">
        <f>DADOS_INVOC!$HA$7</f>
        <v/>
      </c>
      <c r="P1006" s="16" t="n"/>
      <c r="Q1006" s="16" t="n"/>
      <c r="R1006" s="16" t="n"/>
      <c r="S1006" s="17" t="n"/>
      <c r="T1006" s="120" t="n"/>
      <c r="U1006" s="120" t="n"/>
      <c r="V1006" s="120" t="n"/>
      <c r="W1006" s="120" t="n"/>
      <c r="X1006" s="120" t="n"/>
      <c r="Y1006" s="120" t="n"/>
      <c r="Z1006" s="120" t="n"/>
      <c r="AB1006" s="21" t="n"/>
      <c r="AF1006" s="22" t="n"/>
      <c r="AG1006" s="120" t="n"/>
      <c r="AH1006" s="55">
        <f>DADOS_INVOC!$HA$13</f>
        <v/>
      </c>
      <c r="AI1006" s="16" t="n"/>
      <c r="AJ1006" s="16" t="n"/>
      <c r="AK1006" s="16" t="n"/>
      <c r="AL1006" s="17" t="n"/>
      <c r="AM1006" s="120" t="n"/>
      <c r="AN1006" s="120" t="n"/>
      <c r="AO1006" s="120" t="n"/>
      <c r="AP1006" s="120" t="n"/>
      <c r="AQ1006" s="120" t="n"/>
      <c r="AR1006" s="120" t="n"/>
      <c r="AS1006" s="120" t="n"/>
    </row>
    <row r="1007" hidden="1" outlineLevel="1">
      <c r="A1007" s="8" t="n"/>
      <c r="B1007" s="14" t="n"/>
      <c r="C1007" s="120" t="n"/>
      <c r="D1007" s="120" t="n"/>
      <c r="E1007" s="120" t="n"/>
      <c r="F1007" s="120" t="n"/>
      <c r="G1007" s="120" t="n"/>
      <c r="I1007" s="21" t="n"/>
      <c r="M1007" s="22" t="n"/>
      <c r="N1007" s="120" t="n"/>
      <c r="O1007" s="55" t="inlineStr">
        <is>
          <t>FOR</t>
        </is>
      </c>
      <c r="P1007" s="55" t="inlineStr">
        <is>
          <t>DES</t>
        </is>
      </c>
      <c r="Q1007" s="55" t="inlineStr">
        <is>
          <t>CON</t>
        </is>
      </c>
      <c r="R1007" s="55" t="inlineStr">
        <is>
          <t>INT</t>
        </is>
      </c>
      <c r="S1007" s="55" t="inlineStr">
        <is>
          <t>ESS</t>
        </is>
      </c>
      <c r="T1007" s="120" t="n"/>
      <c r="U1007" s="55" t="inlineStr">
        <is>
          <t>CONDIÇÕES E USOS GASTOS</t>
        </is>
      </c>
      <c r="V1007" s="16" t="n"/>
      <c r="W1007" s="16" t="n"/>
      <c r="X1007" s="16" t="n"/>
      <c r="Y1007" s="17" t="n"/>
      <c r="Z1007" s="120" t="n"/>
      <c r="AB1007" s="21" t="n"/>
      <c r="AF1007" s="22" t="n"/>
      <c r="AG1007" s="120" t="n"/>
      <c r="AH1007" s="55" t="inlineStr">
        <is>
          <t>FOR</t>
        </is>
      </c>
      <c r="AI1007" s="55" t="inlineStr">
        <is>
          <t>DES</t>
        </is>
      </c>
      <c r="AJ1007" s="55" t="inlineStr">
        <is>
          <t>CON</t>
        </is>
      </c>
      <c r="AK1007" s="55" t="inlineStr">
        <is>
          <t>INT</t>
        </is>
      </c>
      <c r="AL1007" s="55" t="inlineStr">
        <is>
          <t>ESS</t>
        </is>
      </c>
      <c r="AM1007" s="120" t="n"/>
      <c r="AN1007" s="55" t="inlineStr">
        <is>
          <t>CONDIÇÕES E USOS GASTOS</t>
        </is>
      </c>
      <c r="AO1007" s="16" t="n"/>
      <c r="AP1007" s="16" t="n"/>
      <c r="AQ1007" s="16" t="n"/>
      <c r="AR1007" s="17" t="n"/>
      <c r="AS1007" s="120" t="n"/>
    </row>
    <row r="1008" hidden="1" outlineLevel="1">
      <c r="A1008" s="8" t="n"/>
      <c r="B1008" s="14" t="n"/>
      <c r="C1008" s="120" t="n"/>
      <c r="D1008" s="120" t="n"/>
      <c r="E1008" s="120" t="n"/>
      <c r="F1008" s="120" t="n"/>
      <c r="G1008" s="120" t="n"/>
      <c r="I1008" s="21" t="n"/>
      <c r="M1008" s="22" t="n"/>
      <c r="N1008" s="120" t="n"/>
      <c r="O1008" s="92">
        <f>DADOS_INVOC!$FL$7</f>
        <v/>
      </c>
      <c r="P1008" s="92">
        <f>DADOS_INVOC!$FM$7</f>
        <v/>
      </c>
      <c r="Q1008" s="92">
        <f>DADOS_INVOC!$FN$7</f>
        <v/>
      </c>
      <c r="R1008" s="92">
        <f>DADOS_INVOC!$FO$7</f>
        <v/>
      </c>
      <c r="S1008" s="92">
        <f>DADOS_INVOC!$FP$7</f>
        <v/>
      </c>
      <c r="T1008" s="120" t="n"/>
      <c r="U1008" s="116" t="n"/>
      <c r="V1008" s="19" t="n"/>
      <c r="W1008" s="19" t="n"/>
      <c r="X1008" s="19" t="n"/>
      <c r="Y1008" s="20" t="n"/>
      <c r="Z1008" s="120" t="n"/>
      <c r="AB1008" s="21" t="n"/>
      <c r="AF1008" s="22" t="n"/>
      <c r="AG1008" s="120" t="n"/>
      <c r="AH1008" s="92">
        <f>DADOS_INVOC!$FL$13</f>
        <v/>
      </c>
      <c r="AI1008" s="92">
        <f>DADOS_INVOC!$FM$13</f>
        <v/>
      </c>
      <c r="AJ1008" s="92">
        <f>DADOS_INVOC!$FN$13</f>
        <v/>
      </c>
      <c r="AK1008" s="92">
        <f>DADOS_INVOC!$FO$13</f>
        <v/>
      </c>
      <c r="AL1008" s="92">
        <f>DADOS_INVOC!$FP$13</f>
        <v/>
      </c>
      <c r="AM1008" s="120" t="n"/>
      <c r="AN1008" s="116" t="n"/>
      <c r="AO1008" s="19" t="n"/>
      <c r="AP1008" s="19" t="n"/>
      <c r="AQ1008" s="19" t="n"/>
      <c r="AR1008" s="20" t="n"/>
      <c r="AS1008" s="120" t="n"/>
    </row>
    <row r="1009" hidden="1" outlineLevel="1">
      <c r="A1009" s="8" t="n"/>
      <c r="B1009" s="14" t="n"/>
      <c r="C1009" s="120" t="n"/>
      <c r="D1009" s="120" t="n"/>
      <c r="E1009" s="120" t="n"/>
      <c r="F1009" s="120" t="n"/>
      <c r="G1009" s="120" t="n"/>
      <c r="I1009" s="21" t="n"/>
      <c r="M1009" s="22" t="n"/>
      <c r="N1009" s="120" t="n"/>
      <c r="O1009" s="125" t="n"/>
      <c r="P1009" s="125" t="n"/>
      <c r="Q1009" s="125" t="n"/>
      <c r="R1009" s="125" t="n"/>
      <c r="S1009" s="125" t="n"/>
      <c r="T1009" s="120" t="n"/>
      <c r="U1009" s="21" t="n"/>
      <c r="Y1009" s="22" t="n"/>
      <c r="Z1009" s="120" t="n"/>
      <c r="AB1009" s="21" t="n"/>
      <c r="AF1009" s="22" t="n"/>
      <c r="AG1009" s="120" t="n"/>
      <c r="AH1009" s="125" t="n"/>
      <c r="AI1009" s="125" t="n"/>
      <c r="AJ1009" s="125" t="n"/>
      <c r="AK1009" s="125" t="n"/>
      <c r="AL1009" s="125" t="n"/>
      <c r="AM1009" s="120" t="n"/>
      <c r="AN1009" s="21" t="n"/>
      <c r="AR1009" s="22" t="n"/>
      <c r="AS1009" s="120" t="n"/>
    </row>
    <row r="1010" hidden="1" outlineLevel="1">
      <c r="A1010" s="8" t="n"/>
      <c r="B1010" s="14" t="n"/>
      <c r="C1010" s="120" t="n"/>
      <c r="D1010" s="120" t="n"/>
      <c r="E1010" s="120" t="n"/>
      <c r="F1010" s="120" t="n"/>
      <c r="G1010" s="120" t="n"/>
      <c r="I1010" s="21" t="n"/>
      <c r="M1010" s="22" t="n"/>
      <c r="N1010" s="120" t="n"/>
      <c r="O1010" s="142" t="n">
        <v>0</v>
      </c>
      <c r="P1010" s="142" t="n">
        <v>0</v>
      </c>
      <c r="Q1010" s="142" t="n">
        <v>0</v>
      </c>
      <c r="R1010" s="142" t="n">
        <v>0</v>
      </c>
      <c r="S1010" s="142" t="n">
        <v>0</v>
      </c>
      <c r="T1010" s="120" t="n"/>
      <c r="U1010" s="21" t="n"/>
      <c r="Y1010" s="22" t="n"/>
      <c r="Z1010" s="120" t="n"/>
      <c r="AB1010" s="21" t="n"/>
      <c r="AF1010" s="22" t="n"/>
      <c r="AG1010" s="120" t="n"/>
      <c r="AH1010" s="142" t="n">
        <v>0</v>
      </c>
      <c r="AI1010" s="142" t="n">
        <v>0</v>
      </c>
      <c r="AJ1010" s="142" t="n">
        <v>0</v>
      </c>
      <c r="AK1010" s="142" t="n">
        <v>0</v>
      </c>
      <c r="AL1010" s="142" t="n">
        <v>0</v>
      </c>
      <c r="AM1010" s="120" t="n"/>
      <c r="AN1010" s="21" t="n"/>
      <c r="AR1010" s="22" t="n"/>
      <c r="AS1010" s="120" t="n"/>
    </row>
    <row r="1011" hidden="1" outlineLevel="1">
      <c r="A1011" s="8" t="n"/>
      <c r="B1011" s="14" t="n"/>
      <c r="C1011" s="120" t="n"/>
      <c r="D1011" s="120" t="n"/>
      <c r="E1011" s="120" t="n"/>
      <c r="F1011" s="120" t="n"/>
      <c r="G1011" s="120" t="n"/>
      <c r="I1011" s="21" t="n"/>
      <c r="M1011" s="22" t="n"/>
      <c r="N1011" s="120" t="n"/>
      <c r="O1011" s="144" t="n">
        <v>0</v>
      </c>
      <c r="P1011" s="144" t="n">
        <v>0</v>
      </c>
      <c r="Q1011" s="144" t="n">
        <v>0</v>
      </c>
      <c r="R1011" s="144" t="n">
        <v>0</v>
      </c>
      <c r="S1011" s="144" t="n">
        <v>0</v>
      </c>
      <c r="T1011" s="120" t="n"/>
      <c r="U1011" s="21" t="n"/>
      <c r="Y1011" s="22" t="n"/>
      <c r="Z1011" s="120" t="n"/>
      <c r="AB1011" s="21" t="n"/>
      <c r="AF1011" s="22" t="n"/>
      <c r="AG1011" s="120" t="n"/>
      <c r="AH1011" s="144" t="n">
        <v>0</v>
      </c>
      <c r="AI1011" s="144" t="n">
        <v>0</v>
      </c>
      <c r="AJ1011" s="144" t="n">
        <v>0</v>
      </c>
      <c r="AK1011" s="144" t="n">
        <v>0</v>
      </c>
      <c r="AL1011" s="144" t="n">
        <v>0</v>
      </c>
      <c r="AM1011" s="120" t="n"/>
      <c r="AN1011" s="21" t="n"/>
      <c r="AR1011" s="22" t="n"/>
      <c r="AS1011" s="120" t="n"/>
    </row>
    <row r="1012" hidden="1" outlineLevel="1">
      <c r="A1012" s="8" t="n"/>
      <c r="B1012" s="14" t="n"/>
      <c r="C1012" s="120" t="n"/>
      <c r="D1012" s="120" t="n"/>
      <c r="E1012" s="120" t="n"/>
      <c r="F1012" s="120" t="n"/>
      <c r="G1012" s="120" t="n"/>
      <c r="I1012" s="21" t="n"/>
      <c r="M1012" s="22" t="n"/>
      <c r="N1012" s="120" t="n"/>
      <c r="O1012" s="120" t="n"/>
      <c r="P1012" s="120" t="n"/>
      <c r="Q1012" s="120" t="n"/>
      <c r="R1012" s="120" t="n"/>
      <c r="S1012" s="120" t="n"/>
      <c r="T1012" s="120" t="n"/>
      <c r="U1012" s="23" t="n"/>
      <c r="V1012" s="24" t="n"/>
      <c r="W1012" s="24" t="n"/>
      <c r="X1012" s="24" t="n"/>
      <c r="Y1012" s="25" t="n"/>
      <c r="Z1012" s="120" t="n"/>
      <c r="AB1012" s="21" t="n"/>
      <c r="AF1012" s="22" t="n"/>
      <c r="AG1012" s="120" t="n"/>
      <c r="AH1012" s="120" t="n"/>
      <c r="AI1012" s="120" t="n"/>
      <c r="AJ1012" s="120" t="n"/>
      <c r="AK1012" s="120" t="n"/>
      <c r="AL1012" s="120" t="n"/>
      <c r="AM1012" s="120" t="n"/>
      <c r="AN1012" s="23" t="n"/>
      <c r="AO1012" s="24" t="n"/>
      <c r="AP1012" s="24" t="n"/>
      <c r="AQ1012" s="24" t="n"/>
      <c r="AR1012" s="25" t="n"/>
      <c r="AS1012" s="120" t="n"/>
    </row>
    <row r="1013" hidden="1" outlineLevel="1">
      <c r="A1013" s="8" t="n"/>
      <c r="B1013" s="14" t="n"/>
      <c r="C1013" s="120" t="n"/>
      <c r="D1013" s="120" t="n"/>
      <c r="E1013" s="120" t="n"/>
      <c r="F1013" s="120" t="n"/>
      <c r="G1013" s="120" t="n"/>
      <c r="I1013" s="21" t="n"/>
      <c r="M1013" s="22" t="n"/>
      <c r="N1013" s="120" t="n"/>
      <c r="O1013" s="55" t="inlineStr">
        <is>
          <t>ATAQUE</t>
        </is>
      </c>
      <c r="P1013" s="55" t="inlineStr">
        <is>
          <t>CD</t>
        </is>
      </c>
      <c r="Q1013" s="55" t="inlineStr">
        <is>
          <t>DEFESA</t>
        </is>
      </c>
      <c r="R1013" s="55" t="inlineStr">
        <is>
          <t>VIDA MÁXIMA</t>
        </is>
      </c>
      <c r="S1013" s="55" t="inlineStr">
        <is>
          <t>DESLOCAMENTO</t>
        </is>
      </c>
      <c r="T1013" s="120" t="n"/>
      <c r="U1013" s="120" t="n"/>
      <c r="V1013" s="120" t="n"/>
      <c r="W1013" s="120" t="n"/>
      <c r="X1013" s="120" t="n"/>
      <c r="Y1013" s="120" t="n"/>
      <c r="Z1013" s="120" t="n"/>
      <c r="AB1013" s="21" t="n"/>
      <c r="AF1013" s="22" t="n"/>
      <c r="AG1013" s="120" t="n"/>
      <c r="AH1013" s="55" t="inlineStr">
        <is>
          <t>ATAQUE</t>
        </is>
      </c>
      <c r="AI1013" s="55" t="inlineStr">
        <is>
          <t>CD</t>
        </is>
      </c>
      <c r="AJ1013" s="55" t="inlineStr">
        <is>
          <t>DEFESA</t>
        </is>
      </c>
      <c r="AK1013" s="55" t="inlineStr">
        <is>
          <t>VIDA MÁXIMA</t>
        </is>
      </c>
      <c r="AL1013" s="55" t="inlineStr">
        <is>
          <t>DESLOCAMENTO</t>
        </is>
      </c>
      <c r="AM1013" s="120" t="n"/>
      <c r="AN1013" s="120" t="n"/>
      <c r="AO1013" s="120" t="n"/>
      <c r="AP1013" s="120" t="n"/>
      <c r="AQ1013" s="120" t="n"/>
      <c r="AR1013" s="120" t="n"/>
      <c r="AS1013" s="120" t="n"/>
    </row>
    <row r="1014" hidden="1" outlineLevel="1">
      <c r="A1014" s="8" t="n"/>
      <c r="B1014" s="14" t="n"/>
      <c r="C1014" s="120" t="n"/>
      <c r="D1014" s="120" t="n"/>
      <c r="E1014" s="120" t="n"/>
      <c r="F1014" s="120" t="n"/>
      <c r="G1014" s="120" t="n"/>
      <c r="I1014" s="21" t="n"/>
      <c r="M1014" s="22" t="n"/>
      <c r="N1014" s="120" t="n"/>
      <c r="O1014" s="92">
        <f>DADOS_INVOC!$HB$7</f>
        <v/>
      </c>
      <c r="P1014" s="92">
        <f>DADOS_INVOC!$HC$7</f>
        <v/>
      </c>
      <c r="Q1014" s="92">
        <f>DADOS_INVOC!$FX$7</f>
        <v/>
      </c>
      <c r="R1014" s="92">
        <f>DADOS_INVOC!$FZ$7</f>
        <v/>
      </c>
      <c r="S1014" s="92">
        <f>DADOS_INVOC!$HD$7</f>
        <v/>
      </c>
      <c r="T1014" s="120" t="n"/>
      <c r="U1014" s="55" t="inlineStr">
        <is>
          <t>ANOTAÇÕES</t>
        </is>
      </c>
      <c r="V1014" s="16" t="n"/>
      <c r="W1014" s="16" t="n"/>
      <c r="X1014" s="16" t="n"/>
      <c r="Y1014" s="17" t="n"/>
      <c r="Z1014" s="120" t="n"/>
      <c r="AB1014" s="21" t="n"/>
      <c r="AF1014" s="22" t="n"/>
      <c r="AG1014" s="120" t="n"/>
      <c r="AH1014" s="92">
        <f>DADOS_INVOC!$HB$13</f>
        <v/>
      </c>
      <c r="AI1014" s="92">
        <f>DADOS_INVOC!$HC$13</f>
        <v/>
      </c>
      <c r="AJ1014" s="92">
        <f>DADOS_INVOC!$FX$13</f>
        <v/>
      </c>
      <c r="AK1014" s="92">
        <f>DADOS_INVOC!$FZ$13</f>
        <v/>
      </c>
      <c r="AL1014" s="92">
        <f>DADOS_INVOC!$HD$13</f>
        <v/>
      </c>
      <c r="AM1014" s="120" t="n"/>
      <c r="AN1014" s="55" t="inlineStr">
        <is>
          <t>ANOTAÇÕES</t>
        </is>
      </c>
      <c r="AO1014" s="16" t="n"/>
      <c r="AP1014" s="16" t="n"/>
      <c r="AQ1014" s="16" t="n"/>
      <c r="AR1014" s="17" t="n"/>
      <c r="AS1014" s="120" t="n"/>
    </row>
    <row r="1015" hidden="1" outlineLevel="1">
      <c r="A1015" s="8" t="n"/>
      <c r="B1015" s="14" t="n"/>
      <c r="C1015" s="120" t="n"/>
      <c r="D1015" s="120" t="n"/>
      <c r="E1015" s="120" t="n"/>
      <c r="F1015" s="120" t="n"/>
      <c r="G1015" s="120" t="n"/>
      <c r="I1015" s="21" t="n"/>
      <c r="M1015" s="22" t="n"/>
      <c r="N1015" s="120" t="n"/>
      <c r="O1015" s="125" t="n"/>
      <c r="P1015" s="125" t="n"/>
      <c r="Q1015" s="125" t="n"/>
      <c r="R1015" s="125" t="n"/>
      <c r="S1015" s="125" t="n"/>
      <c r="T1015" s="120" t="n"/>
      <c r="U1015" s="116" t="n"/>
      <c r="V1015" s="19" t="n"/>
      <c r="W1015" s="19" t="n"/>
      <c r="X1015" s="19" t="n"/>
      <c r="Y1015" s="20" t="n"/>
      <c r="Z1015" s="120" t="n"/>
      <c r="AB1015" s="21" t="n"/>
      <c r="AF1015" s="22" t="n"/>
      <c r="AG1015" s="120" t="n"/>
      <c r="AH1015" s="125" t="n"/>
      <c r="AI1015" s="125" t="n"/>
      <c r="AJ1015" s="125" t="n"/>
      <c r="AK1015" s="125" t="n"/>
      <c r="AL1015" s="125" t="n"/>
      <c r="AM1015" s="120" t="n"/>
      <c r="AN1015" s="116" t="n"/>
      <c r="AO1015" s="19" t="n"/>
      <c r="AP1015" s="19" t="n"/>
      <c r="AQ1015" s="19" t="n"/>
      <c r="AR1015" s="20" t="n"/>
      <c r="AS1015" s="120" t="n"/>
    </row>
    <row r="1016" hidden="1" outlineLevel="1">
      <c r="A1016" s="8" t="n"/>
      <c r="B1016" s="14" t="n"/>
      <c r="C1016" s="120" t="n"/>
      <c r="D1016" s="120" t="n"/>
      <c r="E1016" s="120" t="n"/>
      <c r="F1016" s="120" t="n"/>
      <c r="G1016" s="120" t="n"/>
      <c r="I1016" s="21" t="n"/>
      <c r="M1016" s="22" t="n"/>
      <c r="N1016" s="120" t="n"/>
      <c r="O1016" s="144" t="n">
        <v>0</v>
      </c>
      <c r="P1016" s="144" t="n">
        <v>0</v>
      </c>
      <c r="Q1016" s="144" t="n">
        <v>0</v>
      </c>
      <c r="R1016" s="144" t="n">
        <v>0</v>
      </c>
      <c r="S1016" s="144" t="n">
        <v>0</v>
      </c>
      <c r="T1016" s="120" t="n"/>
      <c r="U1016" s="21" t="n"/>
      <c r="Y1016" s="22" t="n"/>
      <c r="Z1016" s="120" t="n"/>
      <c r="AB1016" s="21" t="n"/>
      <c r="AF1016" s="22" t="n"/>
      <c r="AG1016" s="120" t="n"/>
      <c r="AH1016" s="144" t="n">
        <v>0</v>
      </c>
      <c r="AI1016" s="144" t="n">
        <v>0</v>
      </c>
      <c r="AJ1016" s="144" t="n">
        <v>0</v>
      </c>
      <c r="AK1016" s="144" t="n">
        <v>0</v>
      </c>
      <c r="AL1016" s="144" t="n">
        <v>0</v>
      </c>
      <c r="AM1016" s="120" t="n"/>
      <c r="AN1016" s="21" t="n"/>
      <c r="AR1016" s="22" t="n"/>
      <c r="AS1016" s="120" t="n"/>
    </row>
    <row r="1017" hidden="1" outlineLevel="1">
      <c r="A1017" s="8" t="n"/>
      <c r="B1017" s="14" t="n"/>
      <c r="C1017" s="120" t="n"/>
      <c r="D1017" s="120" t="n"/>
      <c r="E1017" s="120" t="n"/>
      <c r="F1017" s="120" t="n"/>
      <c r="G1017" s="120" t="n"/>
      <c r="I1017" s="21" t="n"/>
      <c r="M1017" s="22" t="n"/>
      <c r="N1017" s="120" t="n"/>
      <c r="O1017" s="120" t="n"/>
      <c r="P1017" s="120" t="n"/>
      <c r="Q1017" s="120" t="n"/>
      <c r="R1017" s="120" t="n"/>
      <c r="S1017" s="120" t="n"/>
      <c r="T1017" s="120" t="n"/>
      <c r="U1017" s="21" t="n"/>
      <c r="Y1017" s="22" t="n"/>
      <c r="Z1017" s="120" t="n"/>
      <c r="AB1017" s="21" t="n"/>
      <c r="AF1017" s="22" t="n"/>
      <c r="AG1017" s="120" t="n"/>
      <c r="AH1017" s="120" t="n"/>
      <c r="AI1017" s="120" t="n"/>
      <c r="AJ1017" s="120" t="n"/>
      <c r="AK1017" s="120" t="n"/>
      <c r="AL1017" s="120" t="n"/>
      <c r="AM1017" s="120" t="n"/>
      <c r="AN1017" s="21" t="n"/>
      <c r="AR1017" s="22" t="n"/>
      <c r="AS1017" s="120" t="n"/>
    </row>
    <row r="1018" hidden="1" outlineLevel="1">
      <c r="A1018" s="8" t="n"/>
      <c r="B1018" s="14" t="n"/>
      <c r="C1018" s="120" t="n"/>
      <c r="D1018" s="120" t="n"/>
      <c r="E1018" s="120" t="n"/>
      <c r="F1018" s="120" t="n"/>
      <c r="G1018" s="120" t="n"/>
      <c r="I1018" s="21" t="n"/>
      <c r="M1018" s="22" t="n"/>
      <c r="N1018" s="120" t="n"/>
      <c r="O1018" s="55" t="inlineStr">
        <is>
          <t>FÍSICO</t>
        </is>
      </c>
      <c r="P1018" s="55" t="inlineStr">
        <is>
          <t>VIGOR</t>
        </is>
      </c>
      <c r="Q1018" s="55" t="inlineStr">
        <is>
          <t>INTELECTO</t>
        </is>
      </c>
      <c r="R1018" s="55" t="inlineStr">
        <is>
          <t>ESPÍRITO</t>
        </is>
      </c>
      <c r="S1018" s="55" t="inlineStr">
        <is>
          <t>TR TREINADO</t>
        </is>
      </c>
      <c r="T1018" s="120" t="n"/>
      <c r="U1018" s="21" t="n"/>
      <c r="Y1018" s="22" t="n"/>
      <c r="Z1018" s="120" t="n"/>
      <c r="AB1018" s="21" t="n"/>
      <c r="AF1018" s="22" t="n"/>
      <c r="AG1018" s="120" t="n"/>
      <c r="AH1018" s="55" t="inlineStr">
        <is>
          <t>FÍSICO</t>
        </is>
      </c>
      <c r="AI1018" s="55" t="inlineStr">
        <is>
          <t>VIGOR</t>
        </is>
      </c>
      <c r="AJ1018" s="55" t="inlineStr">
        <is>
          <t>INTELECTO</t>
        </is>
      </c>
      <c r="AK1018" s="55" t="inlineStr">
        <is>
          <t>ESPÍRITO</t>
        </is>
      </c>
      <c r="AL1018" s="55" t="inlineStr">
        <is>
          <t>TR TREINADO</t>
        </is>
      </c>
      <c r="AM1018" s="120" t="n"/>
      <c r="AN1018" s="21" t="n"/>
      <c r="AR1018" s="22" t="n"/>
      <c r="AS1018" s="120" t="n"/>
    </row>
    <row r="1019" hidden="1" outlineLevel="1">
      <c r="A1019" s="8" t="n"/>
      <c r="B1019" s="14" t="n"/>
      <c r="C1019" s="120" t="n"/>
      <c r="D1019" s="120" t="n"/>
      <c r="E1019" s="120" t="n"/>
      <c r="F1019" s="120" t="n"/>
      <c r="G1019" s="120" t="n"/>
      <c r="I1019" s="21" t="n"/>
      <c r="M1019" s="22" t="n"/>
      <c r="N1019" s="120" t="n"/>
      <c r="O1019" s="92">
        <f>DADOS_INVOC!$HE$7</f>
        <v/>
      </c>
      <c r="P1019" s="92">
        <f>DADOS_INVOC!$HF$7</f>
        <v/>
      </c>
      <c r="Q1019" s="92">
        <f>DADOS_INVOC!$HG$7</f>
        <v/>
      </c>
      <c r="R1019" s="92">
        <f>DADOS_INVOC!$HH$7</f>
        <v/>
      </c>
      <c r="S1019" s="124" t="n"/>
      <c r="T1019" s="120" t="n"/>
      <c r="U1019" s="21" t="n"/>
      <c r="Y1019" s="22" t="n"/>
      <c r="Z1019" s="120" t="n"/>
      <c r="AB1019" s="21" t="n"/>
      <c r="AF1019" s="22" t="n"/>
      <c r="AG1019" s="120" t="n"/>
      <c r="AH1019" s="92">
        <f>DADOS_INVOC!$HE$13</f>
        <v/>
      </c>
      <c r="AI1019" s="92">
        <f>DADOS_INVOC!$HF$13</f>
        <v/>
      </c>
      <c r="AJ1019" s="92">
        <f>DADOS_INVOC!$HG$13</f>
        <v/>
      </c>
      <c r="AK1019" s="92">
        <f>DADOS_INVOC!$HH$13</f>
        <v/>
      </c>
      <c r="AL1019" s="124" t="n"/>
      <c r="AM1019" s="120" t="n"/>
      <c r="AN1019" s="21" t="n"/>
      <c r="AR1019" s="22" t="n"/>
      <c r="AS1019" s="120" t="n"/>
    </row>
    <row r="1020" hidden="1" outlineLevel="1">
      <c r="A1020" s="8" t="n"/>
      <c r="B1020" s="14" t="n"/>
      <c r="C1020" s="120" t="n"/>
      <c r="D1020" s="120" t="n"/>
      <c r="E1020" s="120" t="n"/>
      <c r="F1020" s="120" t="n"/>
      <c r="G1020" s="120" t="n"/>
      <c r="I1020" s="21" t="n"/>
      <c r="M1020" s="22" t="n"/>
      <c r="N1020" s="120" t="n"/>
      <c r="O1020" s="125" t="n"/>
      <c r="P1020" s="125" t="n"/>
      <c r="Q1020" s="125" t="n"/>
      <c r="R1020" s="125" t="n"/>
      <c r="S1020" s="125" t="n"/>
      <c r="T1020" s="120" t="n"/>
      <c r="U1020" s="23" t="n"/>
      <c r="V1020" s="24" t="n"/>
      <c r="W1020" s="24" t="n"/>
      <c r="X1020" s="24" t="n"/>
      <c r="Y1020" s="25" t="n"/>
      <c r="Z1020" s="120" t="n"/>
      <c r="AB1020" s="21" t="n"/>
      <c r="AF1020" s="22" t="n"/>
      <c r="AG1020" s="120" t="n"/>
      <c r="AH1020" s="125" t="n"/>
      <c r="AI1020" s="125" t="n"/>
      <c r="AJ1020" s="125" t="n"/>
      <c r="AK1020" s="125" t="n"/>
      <c r="AL1020" s="125" t="n"/>
      <c r="AM1020" s="120" t="n"/>
      <c r="AN1020" s="23" t="n"/>
      <c r="AO1020" s="24" t="n"/>
      <c r="AP1020" s="24" t="n"/>
      <c r="AQ1020" s="24" t="n"/>
      <c r="AR1020" s="25" t="n"/>
      <c r="AS1020" s="120" t="n"/>
    </row>
    <row r="1021" hidden="1" outlineLevel="1">
      <c r="A1021" s="8" t="n"/>
      <c r="B1021" s="14" t="n"/>
      <c r="C1021" s="120" t="n"/>
      <c r="D1021" s="120" t="n"/>
      <c r="E1021" s="120" t="n"/>
      <c r="F1021" s="120" t="n"/>
      <c r="G1021" s="120" t="n"/>
      <c r="I1021" s="21" t="n"/>
      <c r="M1021" s="22" t="n"/>
      <c r="N1021" s="120" t="n"/>
      <c r="O1021" s="144" t="n">
        <v>0</v>
      </c>
      <c r="P1021" s="144" t="n">
        <v>0</v>
      </c>
      <c r="Q1021" s="144" t="n">
        <v>0</v>
      </c>
      <c r="R1021" s="144" t="n">
        <v>0</v>
      </c>
      <c r="S1021" s="120" t="n"/>
      <c r="T1021" s="120" t="n"/>
      <c r="U1021" s="120" t="n"/>
      <c r="V1021" s="120" t="n"/>
      <c r="W1021" s="120" t="n"/>
      <c r="X1021" s="120" t="n"/>
      <c r="Y1021" s="120" t="n"/>
      <c r="Z1021" s="120" t="n"/>
      <c r="AB1021" s="21" t="n"/>
      <c r="AF1021" s="22" t="n"/>
      <c r="AG1021" s="120" t="n"/>
      <c r="AH1021" s="144" t="n">
        <v>0</v>
      </c>
      <c r="AI1021" s="144" t="n">
        <v>0</v>
      </c>
      <c r="AJ1021" s="144" t="n">
        <v>0</v>
      </c>
      <c r="AK1021" s="144" t="n">
        <v>0</v>
      </c>
      <c r="AL1021" s="120" t="n"/>
      <c r="AM1021" s="120" t="n"/>
      <c r="AN1021" s="120" t="n"/>
      <c r="AO1021" s="120" t="n"/>
      <c r="AP1021" s="120" t="n"/>
      <c r="AQ1021" s="120" t="n"/>
      <c r="AR1021" s="120" t="n"/>
      <c r="AS1021" s="120" t="n"/>
    </row>
    <row r="1022" hidden="1" outlineLevel="1">
      <c r="A1022" s="8" t="n"/>
      <c r="B1022" s="14" t="n"/>
      <c r="C1022" s="120" t="n"/>
      <c r="D1022" s="120" t="n"/>
      <c r="E1022" s="120" t="n"/>
      <c r="F1022" s="120" t="n"/>
      <c r="G1022" s="120" t="n"/>
      <c r="I1022" s="21" t="n"/>
      <c r="M1022" s="22" t="n"/>
      <c r="N1022" s="120" t="n"/>
      <c r="O1022" s="120" t="n"/>
      <c r="P1022" s="120" t="n"/>
      <c r="Q1022" s="120" t="n"/>
      <c r="R1022" s="120" t="n"/>
      <c r="S1022" s="120" t="n"/>
      <c r="T1022" s="120" t="n"/>
      <c r="U1022" s="55">
        <f>DADOS_INVOC!$HR$7</f>
        <v/>
      </c>
      <c r="V1022" s="16" t="n"/>
      <c r="W1022" s="16" t="n"/>
      <c r="X1022" s="17" t="n"/>
      <c r="Y1022" s="55" t="inlineStr">
        <is>
          <t>VOL.</t>
        </is>
      </c>
      <c r="Z1022" s="120" t="n"/>
      <c r="AB1022" s="21" t="n"/>
      <c r="AF1022" s="22" t="n"/>
      <c r="AG1022" s="120" t="n"/>
      <c r="AH1022" s="120" t="n"/>
      <c r="AI1022" s="120" t="n"/>
      <c r="AJ1022" s="120" t="n"/>
      <c r="AK1022" s="120" t="n"/>
      <c r="AL1022" s="120" t="n"/>
      <c r="AM1022" s="120" t="n"/>
      <c r="AN1022" s="55">
        <f>DADOS_INVOC!$HR$13</f>
        <v/>
      </c>
      <c r="AO1022" s="16" t="n"/>
      <c r="AP1022" s="16" t="n"/>
      <c r="AQ1022" s="17" t="n"/>
      <c r="AR1022" s="55" t="inlineStr">
        <is>
          <t>VOL.</t>
        </is>
      </c>
      <c r="AS1022" s="120" t="n"/>
    </row>
    <row r="1023" hidden="1" outlineLevel="1">
      <c r="A1023" s="8" t="n"/>
      <c r="B1023" s="14" t="n"/>
      <c r="C1023" s="120" t="n"/>
      <c r="D1023" s="120" t="n"/>
      <c r="E1023" s="120" t="n"/>
      <c r="F1023" s="120" t="n"/>
      <c r="G1023" s="120" t="n"/>
      <c r="I1023" s="21" t="n"/>
      <c r="M1023" s="22" t="n"/>
      <c r="N1023" s="120" t="n"/>
      <c r="O1023" s="55" t="inlineStr">
        <is>
          <t>ATRIBUTO DE ACERTO</t>
        </is>
      </c>
      <c r="P1023" s="16" t="n"/>
      <c r="Q1023" s="17" t="n"/>
      <c r="R1023" s="55" t="inlineStr">
        <is>
          <t>FÍSICO USA</t>
        </is>
      </c>
      <c r="S1023" s="17" t="n"/>
      <c r="T1023" s="120" t="n"/>
      <c r="U1023" s="55" t="inlineStr">
        <is>
          <t>MÃO 1</t>
        </is>
      </c>
      <c r="V1023" s="130" t="n"/>
      <c r="W1023" s="16" t="n"/>
      <c r="X1023" s="17" t="n"/>
      <c r="Y1023" s="124" t="n"/>
      <c r="Z1023" s="120" t="n"/>
      <c r="AB1023" s="21" t="n"/>
      <c r="AF1023" s="22" t="n"/>
      <c r="AG1023" s="120" t="n"/>
      <c r="AH1023" s="55" t="inlineStr">
        <is>
          <t>ATRIBUTO DE ACERTO</t>
        </is>
      </c>
      <c r="AI1023" s="16" t="n"/>
      <c r="AJ1023" s="17" t="n"/>
      <c r="AK1023" s="55" t="inlineStr">
        <is>
          <t>FÍSICO USA</t>
        </is>
      </c>
      <c r="AL1023" s="17" t="n"/>
      <c r="AM1023" s="120" t="n"/>
      <c r="AN1023" s="55" t="inlineStr">
        <is>
          <t>MÃO 1</t>
        </is>
      </c>
      <c r="AO1023" s="130" t="n"/>
      <c r="AP1023" s="16" t="n"/>
      <c r="AQ1023" s="17" t="n"/>
      <c r="AR1023" s="124" t="n"/>
      <c r="AS1023" s="120" t="n"/>
    </row>
    <row r="1024" hidden="1" outlineLevel="1">
      <c r="A1024" s="8" t="n"/>
      <c r="B1024" s="14" t="n"/>
      <c r="C1024" s="120" t="n"/>
      <c r="D1024" s="120" t="n"/>
      <c r="E1024" s="120" t="n"/>
      <c r="F1024" s="120" t="n"/>
      <c r="G1024" s="120" t="n"/>
      <c r="I1024" s="21" t="n"/>
      <c r="M1024" s="22" t="n"/>
      <c r="N1024" s="120" t="n"/>
      <c r="O1024" s="124" t="n"/>
      <c r="P1024" s="19" t="n"/>
      <c r="Q1024" s="20" t="n"/>
      <c r="R1024" s="124" t="inlineStr">
        <is>
          <t>Força</t>
        </is>
      </c>
      <c r="S1024" s="20" t="n"/>
      <c r="T1024" s="120" t="n"/>
      <c r="U1024" s="55" t="inlineStr">
        <is>
          <t>MÃO 2</t>
        </is>
      </c>
      <c r="V1024" s="130" t="n"/>
      <c r="W1024" s="16" t="n"/>
      <c r="X1024" s="17" t="n"/>
      <c r="Y1024" s="124" t="n"/>
      <c r="Z1024" s="120" t="n"/>
      <c r="AB1024" s="21" t="n"/>
      <c r="AF1024" s="22" t="n"/>
      <c r="AG1024" s="120" t="n"/>
      <c r="AH1024" s="124" t="n"/>
      <c r="AI1024" s="19" t="n"/>
      <c r="AJ1024" s="20" t="n"/>
      <c r="AK1024" s="124" t="inlineStr">
        <is>
          <t>Força</t>
        </is>
      </c>
      <c r="AL1024" s="20" t="n"/>
      <c r="AM1024" s="120" t="n"/>
      <c r="AN1024" s="55" t="inlineStr">
        <is>
          <t>MÃO 2</t>
        </is>
      </c>
      <c r="AO1024" s="130" t="n"/>
      <c r="AP1024" s="16" t="n"/>
      <c r="AQ1024" s="17" t="n"/>
      <c r="AR1024" s="124" t="n"/>
      <c r="AS1024" s="120" t="n"/>
    </row>
    <row r="1025" hidden="1" outlineLevel="1">
      <c r="A1025" s="8" t="n"/>
      <c r="B1025" s="14" t="n"/>
      <c r="C1025" s="120" t="n"/>
      <c r="D1025" s="120" t="n"/>
      <c r="E1025" s="120" t="n"/>
      <c r="F1025" s="120" t="n"/>
      <c r="G1025" s="120" t="n"/>
      <c r="I1025" s="21" t="n"/>
      <c r="M1025" s="22" t="n"/>
      <c r="N1025" s="120" t="n"/>
      <c r="O1025" s="23" t="n"/>
      <c r="P1025" s="24" t="n"/>
      <c r="Q1025" s="25" t="n"/>
      <c r="R1025" s="23" t="n"/>
      <c r="S1025" s="25" t="n"/>
      <c r="T1025" s="120" t="n"/>
      <c r="U1025" s="55" t="inlineStr">
        <is>
          <t>VESTE</t>
        </is>
      </c>
      <c r="V1025" s="130" t="n"/>
      <c r="W1025" s="16" t="n"/>
      <c r="X1025" s="17" t="n"/>
      <c r="Y1025" s="124" t="n"/>
      <c r="Z1025" s="120" t="n"/>
      <c r="AB1025" s="21" t="n"/>
      <c r="AF1025" s="22" t="n"/>
      <c r="AG1025" s="120" t="n"/>
      <c r="AH1025" s="23" t="n"/>
      <c r="AI1025" s="24" t="n"/>
      <c r="AJ1025" s="25" t="n"/>
      <c r="AK1025" s="23" t="n"/>
      <c r="AL1025" s="25" t="n"/>
      <c r="AM1025" s="120" t="n"/>
      <c r="AN1025" s="55" t="inlineStr">
        <is>
          <t>VESTE</t>
        </is>
      </c>
      <c r="AO1025" s="130" t="n"/>
      <c r="AP1025" s="16" t="n"/>
      <c r="AQ1025" s="17" t="n"/>
      <c r="AR1025" s="124" t="n"/>
      <c r="AS1025" s="120" t="n"/>
    </row>
    <row r="1026" hidden="1" outlineLevel="1">
      <c r="A1026" s="8" t="n"/>
      <c r="B1026" s="14" t="n"/>
      <c r="C1026" s="120" t="n"/>
      <c r="D1026" s="120" t="n"/>
      <c r="E1026" s="120" t="n"/>
      <c r="F1026" s="120" t="n"/>
      <c r="G1026" s="120" t="n"/>
      <c r="I1026" s="21" t="n"/>
      <c r="M1026" s="22" t="n"/>
      <c r="N1026" s="120" t="n"/>
      <c r="O1026" s="120" t="n"/>
      <c r="P1026" s="120" t="n"/>
      <c r="Q1026" s="120" t="n"/>
      <c r="R1026" s="120" t="n"/>
      <c r="S1026" s="120" t="n"/>
      <c r="T1026" s="120" t="n"/>
      <c r="U1026" s="55" t="inlineStr">
        <is>
          <t>GUARDADO · SÓ COM A CARACTERÍSTICA DE TRANSPORTE</t>
        </is>
      </c>
      <c r="V1026" s="16" t="n"/>
      <c r="W1026" s="16" t="n"/>
      <c r="X1026" s="17" t="n"/>
      <c r="Y1026" s="55" t="inlineStr">
        <is>
          <t>VOL.</t>
        </is>
      </c>
      <c r="Z1026" s="120" t="n"/>
      <c r="AB1026" s="21" t="n"/>
      <c r="AF1026" s="22" t="n"/>
      <c r="AG1026" s="120" t="n"/>
      <c r="AH1026" s="120" t="n"/>
      <c r="AI1026" s="120" t="n"/>
      <c r="AJ1026" s="120" t="n"/>
      <c r="AK1026" s="120" t="n"/>
      <c r="AL1026" s="120" t="n"/>
      <c r="AM1026" s="120" t="n"/>
      <c r="AN1026" s="55" t="inlineStr">
        <is>
          <t>GUARDADO · SÓ COM A CARACTERÍSTICA DE TRANSPORTE</t>
        </is>
      </c>
      <c r="AO1026" s="16" t="n"/>
      <c r="AP1026" s="16" t="n"/>
      <c r="AQ1026" s="17" t="n"/>
      <c r="AR1026" s="55" t="inlineStr">
        <is>
          <t>VOL.</t>
        </is>
      </c>
      <c r="AS1026" s="120" t="n"/>
    </row>
    <row r="1027" hidden="1" outlineLevel="1">
      <c r="A1027" s="8" t="n"/>
      <c r="B1027" s="14" t="n"/>
      <c r="C1027" s="120" t="n"/>
      <c r="D1027" s="120" t="n"/>
      <c r="E1027" s="120" t="n"/>
      <c r="F1027" s="120" t="n"/>
      <c r="G1027" s="120" t="n"/>
      <c r="I1027" s="21" t="n"/>
      <c r="M1027" s="22" t="n"/>
      <c r="N1027" s="120" t="n"/>
      <c r="O1027" s="55">
        <f>DADOS_INVOC!$HI$7</f>
        <v/>
      </c>
      <c r="P1027" s="16" t="n"/>
      <c r="Q1027" s="16" t="n"/>
      <c r="R1027" s="16" t="n"/>
      <c r="S1027" s="17" t="n"/>
      <c r="T1027" s="120" t="n"/>
      <c r="U1027" s="130" t="n"/>
      <c r="V1027" s="16" t="n"/>
      <c r="W1027" s="16" t="n"/>
      <c r="X1027" s="17" t="n"/>
      <c r="Y1027" s="124" t="n"/>
      <c r="Z1027" s="120" t="n"/>
      <c r="AB1027" s="21" t="n"/>
      <c r="AF1027" s="22" t="n"/>
      <c r="AG1027" s="120" t="n"/>
      <c r="AH1027" s="55">
        <f>DADOS_INVOC!$HI$13</f>
        <v/>
      </c>
      <c r="AI1027" s="16" t="n"/>
      <c r="AJ1027" s="16" t="n"/>
      <c r="AK1027" s="16" t="n"/>
      <c r="AL1027" s="17" t="n"/>
      <c r="AM1027" s="120" t="n"/>
      <c r="AN1027" s="130" t="n"/>
      <c r="AO1027" s="16" t="n"/>
      <c r="AP1027" s="16" t="n"/>
      <c r="AQ1027" s="17" t="n"/>
      <c r="AR1027" s="124" t="n"/>
      <c r="AS1027" s="120" t="n"/>
    </row>
    <row r="1028" hidden="1" outlineLevel="1">
      <c r="A1028" s="8" t="n"/>
      <c r="B1028" s="14" t="n"/>
      <c r="C1028" s="120" t="n"/>
      <c r="D1028" s="120" t="n"/>
      <c r="E1028" s="120" t="n"/>
      <c r="F1028" s="120" t="n"/>
      <c r="G1028" s="120" t="n"/>
      <c r="I1028" s="21" t="n"/>
      <c r="M1028" s="22" t="n"/>
      <c r="N1028" s="120" t="n"/>
      <c r="O1028" s="130" t="n"/>
      <c r="P1028" s="16" t="n"/>
      <c r="Q1028" s="17" t="n"/>
      <c r="R1028" s="124">
        <f>DADOS_INVOC!$HJ$7</f>
        <v/>
      </c>
      <c r="S1028" s="17" t="n"/>
      <c r="T1028" s="120" t="n"/>
      <c r="U1028" s="130" t="n"/>
      <c r="V1028" s="16" t="n"/>
      <c r="W1028" s="16" t="n"/>
      <c r="X1028" s="17" t="n"/>
      <c r="Y1028" s="124" t="n"/>
      <c r="Z1028" s="120" t="n"/>
      <c r="AB1028" s="21" t="n"/>
      <c r="AF1028" s="22" t="n"/>
      <c r="AG1028" s="120" t="n"/>
      <c r="AH1028" s="130" t="n"/>
      <c r="AI1028" s="16" t="n"/>
      <c r="AJ1028" s="17" t="n"/>
      <c r="AK1028" s="124">
        <f>DADOS_INVOC!$HJ$13</f>
        <v/>
      </c>
      <c r="AL1028" s="17" t="n"/>
      <c r="AM1028" s="120" t="n"/>
      <c r="AN1028" s="130" t="n"/>
      <c r="AO1028" s="16" t="n"/>
      <c r="AP1028" s="16" t="n"/>
      <c r="AQ1028" s="17" t="n"/>
      <c r="AR1028" s="124" t="n"/>
      <c r="AS1028" s="120" t="n"/>
    </row>
    <row r="1029" hidden="1" outlineLevel="1">
      <c r="A1029" s="8" t="n"/>
      <c r="B1029" s="14" t="n"/>
      <c r="C1029" s="120" t="n"/>
      <c r="D1029" s="120" t="n"/>
      <c r="E1029" s="120" t="n"/>
      <c r="F1029" s="120" t="n"/>
      <c r="G1029" s="120" t="n"/>
      <c r="I1029" s="21" t="n"/>
      <c r="M1029" s="22" t="n"/>
      <c r="N1029" s="120" t="n"/>
      <c r="O1029" s="130" t="n"/>
      <c r="P1029" s="16" t="n"/>
      <c r="Q1029" s="17" t="n"/>
      <c r="R1029" s="124">
        <f>DADOS_INVOC!$HK$7</f>
        <v/>
      </c>
      <c r="S1029" s="17" t="n"/>
      <c r="T1029" s="120" t="n"/>
      <c r="U1029" s="130" t="n"/>
      <c r="V1029" s="16" t="n"/>
      <c r="W1029" s="16" t="n"/>
      <c r="X1029" s="17" t="n"/>
      <c r="Y1029" s="124" t="n"/>
      <c r="Z1029" s="120" t="n"/>
      <c r="AB1029" s="21" t="n"/>
      <c r="AF1029" s="22" t="n"/>
      <c r="AG1029" s="120" t="n"/>
      <c r="AH1029" s="130" t="n"/>
      <c r="AI1029" s="16" t="n"/>
      <c r="AJ1029" s="17" t="n"/>
      <c r="AK1029" s="124">
        <f>DADOS_INVOC!$HK$13</f>
        <v/>
      </c>
      <c r="AL1029" s="17" t="n"/>
      <c r="AM1029" s="120" t="n"/>
      <c r="AN1029" s="130" t="n"/>
      <c r="AO1029" s="16" t="n"/>
      <c r="AP1029" s="16" t="n"/>
      <c r="AQ1029" s="17" t="n"/>
      <c r="AR1029" s="124" t="n"/>
      <c r="AS1029" s="120" t="n"/>
    </row>
    <row r="1030" hidden="1" outlineLevel="1">
      <c r="A1030" s="8" t="n"/>
      <c r="B1030" s="14" t="n"/>
      <c r="C1030" s="120" t="n"/>
      <c r="D1030" s="120" t="n"/>
      <c r="E1030" s="120" t="n"/>
      <c r="F1030" s="120" t="n"/>
      <c r="G1030" s="120" t="n"/>
      <c r="I1030" s="23" t="n"/>
      <c r="J1030" s="24" t="n"/>
      <c r="K1030" s="24" t="n"/>
      <c r="L1030" s="24" t="n"/>
      <c r="M1030" s="25" t="n"/>
      <c r="N1030" s="120" t="n"/>
      <c r="O1030" s="130" t="n"/>
      <c r="P1030" s="16" t="n"/>
      <c r="Q1030" s="17" t="n"/>
      <c r="R1030" s="124">
        <f>DADOS_INVOC!$HL$7</f>
        <v/>
      </c>
      <c r="S1030" s="17" t="n"/>
      <c r="T1030" s="120" t="n"/>
      <c r="U1030" s="130" t="n"/>
      <c r="V1030" s="16" t="n"/>
      <c r="W1030" s="16" t="n"/>
      <c r="X1030" s="17" t="n"/>
      <c r="Y1030" s="124" t="n"/>
      <c r="Z1030" s="120" t="n"/>
      <c r="AB1030" s="23" t="n"/>
      <c r="AC1030" s="24" t="n"/>
      <c r="AD1030" s="24" t="n"/>
      <c r="AE1030" s="24" t="n"/>
      <c r="AF1030" s="25" t="n"/>
      <c r="AG1030" s="120" t="n"/>
      <c r="AH1030" s="130" t="n"/>
      <c r="AI1030" s="16" t="n"/>
      <c r="AJ1030" s="17" t="n"/>
      <c r="AK1030" s="124">
        <f>DADOS_INVOC!$HL$13</f>
        <v/>
      </c>
      <c r="AL1030" s="17" t="n"/>
      <c r="AM1030" s="120" t="n"/>
      <c r="AN1030" s="130" t="n"/>
      <c r="AO1030" s="16" t="n"/>
      <c r="AP1030" s="16" t="n"/>
      <c r="AQ1030" s="17" t="n"/>
      <c r="AR1030" s="124" t="n"/>
      <c r="AS1030" s="120" t="n"/>
    </row>
    <row r="1031" hidden="1" outlineLevel="1">
      <c r="A1031" s="8" t="n"/>
      <c r="B1031" s="14" t="n"/>
      <c r="C1031" s="120" t="n"/>
      <c r="D1031" s="120" t="n"/>
      <c r="E1031" s="120" t="n"/>
      <c r="F1031" s="120" t="n"/>
      <c r="G1031" s="120" t="n"/>
      <c r="I1031" s="120" t="n"/>
      <c r="J1031" s="120" t="n"/>
      <c r="K1031" s="120" t="n"/>
      <c r="L1031" s="120" t="n"/>
      <c r="M1031" s="120" t="n"/>
      <c r="N1031" s="120" t="n"/>
      <c r="O1031" s="130" t="n"/>
      <c r="P1031" s="16" t="n"/>
      <c r="Q1031" s="17" t="n"/>
      <c r="R1031" s="124">
        <f>DADOS_INVOC!$HM$7</f>
        <v/>
      </c>
      <c r="S1031" s="17" t="n"/>
      <c r="T1031" s="120" t="n"/>
      <c r="U1031" s="130" t="n"/>
      <c r="V1031" s="16" t="n"/>
      <c r="W1031" s="16" t="n"/>
      <c r="X1031" s="17" t="n"/>
      <c r="Y1031" s="124" t="n"/>
      <c r="Z1031" s="120" t="n"/>
      <c r="AB1031" s="120" t="n"/>
      <c r="AC1031" s="120" t="n"/>
      <c r="AD1031" s="120" t="n"/>
      <c r="AE1031" s="120" t="n"/>
      <c r="AF1031" s="120" t="n"/>
      <c r="AG1031" s="120" t="n"/>
      <c r="AH1031" s="130" t="n"/>
      <c r="AI1031" s="16" t="n"/>
      <c r="AJ1031" s="17" t="n"/>
      <c r="AK1031" s="124">
        <f>DADOS_INVOC!$HM$13</f>
        <v/>
      </c>
      <c r="AL1031" s="17" t="n"/>
      <c r="AM1031" s="120" t="n"/>
      <c r="AN1031" s="130" t="n"/>
      <c r="AO1031" s="16" t="n"/>
      <c r="AP1031" s="16" t="n"/>
      <c r="AQ1031" s="17" t="n"/>
      <c r="AR1031" s="124" t="n"/>
      <c r="AS1031" s="120" t="n"/>
    </row>
    <row r="1032" hidden="1" outlineLevel="1">
      <c r="A1032" s="8" t="n"/>
      <c r="B1032" s="14" t="n"/>
      <c r="C1032" s="120" t="n"/>
      <c r="D1032" s="120" t="n"/>
      <c r="E1032" s="120" t="n"/>
      <c r="F1032" s="120" t="n"/>
      <c r="G1032" s="120" t="n"/>
      <c r="I1032" s="55" t="inlineStr">
        <is>
          <t>TIPO</t>
        </is>
      </c>
      <c r="J1032" s="16" t="n"/>
      <c r="K1032" s="16" t="n"/>
      <c r="L1032" s="16" t="n"/>
      <c r="M1032" s="17" t="n"/>
      <c r="N1032" s="120" t="n"/>
      <c r="O1032" s="130" t="n"/>
      <c r="P1032" s="16" t="n"/>
      <c r="Q1032" s="17" t="n"/>
      <c r="R1032" s="124">
        <f>DADOS_INVOC!$HN$7</f>
        <v/>
      </c>
      <c r="S1032" s="17" t="n"/>
      <c r="T1032" s="120" t="n"/>
      <c r="U1032" s="130" t="n"/>
      <c r="V1032" s="16" t="n"/>
      <c r="W1032" s="16" t="n"/>
      <c r="X1032" s="17" t="n"/>
      <c r="Y1032" s="124" t="n"/>
      <c r="Z1032" s="120" t="n"/>
      <c r="AB1032" s="55" t="inlineStr">
        <is>
          <t>TIPO</t>
        </is>
      </c>
      <c r="AC1032" s="16" t="n"/>
      <c r="AD1032" s="16" t="n"/>
      <c r="AE1032" s="16" t="n"/>
      <c r="AF1032" s="17" t="n"/>
      <c r="AG1032" s="120" t="n"/>
      <c r="AH1032" s="130" t="n"/>
      <c r="AI1032" s="16" t="n"/>
      <c r="AJ1032" s="17" t="n"/>
      <c r="AK1032" s="124">
        <f>DADOS_INVOC!$HN$13</f>
        <v/>
      </c>
      <c r="AL1032" s="17" t="n"/>
      <c r="AM1032" s="120" t="n"/>
      <c r="AN1032" s="130" t="n"/>
      <c r="AO1032" s="16" t="n"/>
      <c r="AP1032" s="16" t="n"/>
      <c r="AQ1032" s="17" t="n"/>
      <c r="AR1032" s="124" t="n"/>
      <c r="AS1032" s="120" t="n"/>
    </row>
    <row r="1033" hidden="1" outlineLevel="1">
      <c r="A1033" s="8" t="n"/>
      <c r="B1033" s="14" t="n"/>
      <c r="C1033" s="120" t="n"/>
      <c r="D1033" s="120" t="n"/>
      <c r="E1033" s="120" t="n"/>
      <c r="F1033" s="120" t="n"/>
      <c r="G1033" s="120" t="n"/>
      <c r="I1033" s="124" t="inlineStr">
        <is>
          <t>Shikigami de técnica</t>
        </is>
      </c>
      <c r="J1033" s="19" t="n"/>
      <c r="K1033" s="19" t="n"/>
      <c r="L1033" s="19" t="n"/>
      <c r="M1033" s="20" t="n"/>
      <c r="N1033" s="120" t="n"/>
      <c r="O1033" s="130" t="n"/>
      <c r="P1033" s="16" t="n"/>
      <c r="Q1033" s="17" t="n"/>
      <c r="R1033" s="124">
        <f>DADOS_INVOC!$HO$7</f>
        <v/>
      </c>
      <c r="S1033" s="17" t="n"/>
      <c r="T1033" s="120" t="n"/>
      <c r="U1033" s="120" t="n"/>
      <c r="V1033" s="120" t="n"/>
      <c r="W1033" s="120" t="n"/>
      <c r="X1033" s="120" t="n"/>
      <c r="Y1033" s="120" t="n"/>
      <c r="Z1033" s="120" t="n"/>
      <c r="AB1033" s="124" t="inlineStr">
        <is>
          <t>Shikigami de técnica</t>
        </is>
      </c>
      <c r="AC1033" s="19" t="n"/>
      <c r="AD1033" s="19" t="n"/>
      <c r="AE1033" s="19" t="n"/>
      <c r="AF1033" s="20" t="n"/>
      <c r="AG1033" s="120" t="n"/>
      <c r="AH1033" s="130" t="n"/>
      <c r="AI1033" s="16" t="n"/>
      <c r="AJ1033" s="17" t="n"/>
      <c r="AK1033" s="124">
        <f>DADOS_INVOC!$HO$13</f>
        <v/>
      </c>
      <c r="AL1033" s="17" t="n"/>
      <c r="AM1033" s="120" t="n"/>
      <c r="AN1033" s="120" t="n"/>
      <c r="AO1033" s="120" t="n"/>
      <c r="AP1033" s="120" t="n"/>
      <c r="AQ1033" s="120" t="n"/>
      <c r="AR1033" s="120" t="n"/>
      <c r="AS1033" s="120" t="n"/>
    </row>
    <row r="1034" hidden="1" outlineLevel="1">
      <c r="A1034" s="8" t="n"/>
      <c r="B1034" s="14" t="n"/>
      <c r="C1034" s="120" t="n"/>
      <c r="D1034" s="120" t="n"/>
      <c r="E1034" s="120" t="n"/>
      <c r="F1034" s="120" t="n"/>
      <c r="G1034" s="120" t="n"/>
      <c r="I1034" s="23" t="n"/>
      <c r="J1034" s="24" t="n"/>
      <c r="K1034" s="24" t="n"/>
      <c r="L1034" s="24" t="n"/>
      <c r="M1034" s="25" t="n"/>
      <c r="N1034" s="120" t="n"/>
      <c r="O1034" s="130" t="n"/>
      <c r="P1034" s="16" t="n"/>
      <c r="Q1034" s="17" t="n"/>
      <c r="R1034" s="124">
        <f>DADOS_INVOC!$HP$7</f>
        <v/>
      </c>
      <c r="S1034" s="17" t="n"/>
      <c r="T1034" s="120" t="n"/>
      <c r="U1034" s="55" t="inlineStr">
        <is>
          <t>CORPO, SENTIDOS E COMUNICAÇÃO</t>
        </is>
      </c>
      <c r="V1034" s="16" t="n"/>
      <c r="W1034" s="16" t="n"/>
      <c r="X1034" s="16" t="n"/>
      <c r="Y1034" s="17" t="n"/>
      <c r="Z1034" s="120" t="n"/>
      <c r="AB1034" s="23" t="n"/>
      <c r="AC1034" s="24" t="n"/>
      <c r="AD1034" s="24" t="n"/>
      <c r="AE1034" s="24" t="n"/>
      <c r="AF1034" s="25" t="n"/>
      <c r="AG1034" s="120" t="n"/>
      <c r="AH1034" s="130" t="n"/>
      <c r="AI1034" s="16" t="n"/>
      <c r="AJ1034" s="17" t="n"/>
      <c r="AK1034" s="124">
        <f>DADOS_INVOC!$HP$13</f>
        <v/>
      </c>
      <c r="AL1034" s="17" t="n"/>
      <c r="AM1034" s="120" t="n"/>
      <c r="AN1034" s="55" t="inlineStr">
        <is>
          <t>CORPO, SENTIDOS E COMUNICAÇÃO</t>
        </is>
      </c>
      <c r="AO1034" s="16" t="n"/>
      <c r="AP1034" s="16" t="n"/>
      <c r="AQ1034" s="16" t="n"/>
      <c r="AR1034" s="17" t="n"/>
      <c r="AS1034" s="120" t="n"/>
    </row>
    <row r="1035" hidden="1" outlineLevel="1">
      <c r="A1035" s="8" t="n"/>
      <c r="B1035" s="14" t="n"/>
      <c r="C1035" s="120" t="n"/>
      <c r="D1035" s="120" t="n"/>
      <c r="E1035" s="120" t="n"/>
      <c r="F1035" s="120" t="n"/>
      <c r="G1035" s="120" t="n"/>
      <c r="I1035" s="120" t="n"/>
      <c r="J1035" s="120" t="n"/>
      <c r="K1035" s="120" t="n"/>
      <c r="L1035" s="120" t="n"/>
      <c r="M1035" s="120" t="n"/>
      <c r="N1035" s="120" t="n"/>
      <c r="O1035" s="120" t="n"/>
      <c r="P1035" s="120" t="n"/>
      <c r="Q1035" s="120" t="n"/>
      <c r="R1035" s="120" t="n"/>
      <c r="S1035" s="120" t="n"/>
      <c r="T1035" s="120" t="n"/>
      <c r="U1035" s="116" t="n"/>
      <c r="V1035" s="19" t="n"/>
      <c r="W1035" s="19" t="n"/>
      <c r="X1035" s="19" t="n"/>
      <c r="Y1035" s="20" t="n"/>
      <c r="Z1035" s="120" t="n"/>
      <c r="AB1035" s="120" t="n"/>
      <c r="AC1035" s="120" t="n"/>
      <c r="AD1035" s="120" t="n"/>
      <c r="AE1035" s="120" t="n"/>
      <c r="AF1035" s="120" t="n"/>
      <c r="AG1035" s="120" t="n"/>
      <c r="AH1035" s="120" t="n"/>
      <c r="AI1035" s="120" t="n"/>
      <c r="AJ1035" s="120" t="n"/>
      <c r="AK1035" s="120" t="n"/>
      <c r="AL1035" s="120" t="n"/>
      <c r="AM1035" s="120" t="n"/>
      <c r="AN1035" s="116" t="n"/>
      <c r="AO1035" s="19" t="n"/>
      <c r="AP1035" s="19" t="n"/>
      <c r="AQ1035" s="19" t="n"/>
      <c r="AR1035" s="20" t="n"/>
      <c r="AS1035" s="120" t="n"/>
    </row>
    <row r="1036" hidden="1" outlineLevel="1">
      <c r="A1036" s="8" t="n"/>
      <c r="B1036" s="14" t="n"/>
      <c r="C1036" s="120" t="n"/>
      <c r="D1036" s="120" t="n"/>
      <c r="E1036" s="120" t="n"/>
      <c r="F1036" s="120" t="n"/>
      <c r="G1036" s="120" t="n"/>
      <c r="I1036" s="55" t="inlineStr">
        <is>
          <t>AQUISIÇÃO</t>
        </is>
      </c>
      <c r="J1036" s="17" t="n"/>
      <c r="K1036" s="55" t="inlineStr">
        <is>
          <t>OBTIDA NO NÍVEL</t>
        </is>
      </c>
      <c r="L1036" s="55" t="inlineStr">
        <is>
          <t>TALISMÃ</t>
        </is>
      </c>
      <c r="M1036" s="17" t="n"/>
      <c r="N1036" s="120" t="n"/>
      <c r="O1036" s="55">
        <f>DADOS_INVOC!$HS$7</f>
        <v/>
      </c>
      <c r="P1036" s="16" t="n"/>
      <c r="Q1036" s="16" t="n"/>
      <c r="R1036" s="16" t="n"/>
      <c r="S1036" s="17" t="n"/>
      <c r="T1036" s="120" t="n"/>
      <c r="U1036" s="21" t="n"/>
      <c r="Y1036" s="22" t="n"/>
      <c r="Z1036" s="120" t="n"/>
      <c r="AB1036" s="55" t="inlineStr">
        <is>
          <t>AQUISIÇÃO</t>
        </is>
      </c>
      <c r="AC1036" s="17" t="n"/>
      <c r="AD1036" s="55" t="inlineStr">
        <is>
          <t>OBTIDA NO NÍVEL</t>
        </is>
      </c>
      <c r="AE1036" s="55" t="inlineStr">
        <is>
          <t>TALISMÃ</t>
        </is>
      </c>
      <c r="AF1036" s="17" t="n"/>
      <c r="AG1036" s="120" t="n"/>
      <c r="AH1036" s="55">
        <f>DADOS_INVOC!$HS$13</f>
        <v/>
      </c>
      <c r="AI1036" s="16" t="n"/>
      <c r="AJ1036" s="16" t="n"/>
      <c r="AK1036" s="16" t="n"/>
      <c r="AL1036" s="17" t="n"/>
      <c r="AM1036" s="120" t="n"/>
      <c r="AN1036" s="21" t="n"/>
      <c r="AR1036" s="22" t="n"/>
      <c r="AS1036" s="120" t="n"/>
    </row>
    <row r="1037" hidden="1" outlineLevel="1">
      <c r="A1037" s="8" t="n"/>
      <c r="B1037" s="14" t="n"/>
      <c r="C1037" s="120" t="n"/>
      <c r="D1037" s="120" t="n"/>
      <c r="E1037" s="120" t="n"/>
      <c r="F1037" s="120" t="n"/>
      <c r="G1037" s="120" t="n"/>
      <c r="I1037" s="124" t="inlineStr">
        <is>
          <t>Espaço conhecido</t>
        </is>
      </c>
      <c r="J1037" s="20" t="n"/>
      <c r="K1037" s="124" t="n"/>
      <c r="L1037" s="124" t="inlineStr">
        <is>
          <t>Sem carga</t>
        </is>
      </c>
      <c r="M1037" s="20" t="n"/>
      <c r="N1037" s="120" t="n"/>
      <c r="O1037" s="55" t="inlineStr">
        <is>
          <t>LIVRE</t>
        </is>
      </c>
      <c r="P1037" s="55" t="inlineStr">
        <is>
          <t>LIVRE · TRILHA</t>
        </is>
      </c>
      <c r="Q1037" s="55" t="inlineStr">
        <is>
          <t>ABERTA</t>
        </is>
      </c>
      <c r="R1037" s="55" t="inlineStr">
        <is>
          <t>ABERTA</t>
        </is>
      </c>
      <c r="S1037" s="55" t="inlineStr">
        <is>
          <t>ABERTA · TRILHA</t>
        </is>
      </c>
      <c r="T1037" s="120" t="n"/>
      <c r="U1037" s="21" t="n"/>
      <c r="Y1037" s="22" t="n"/>
      <c r="Z1037" s="120" t="n"/>
      <c r="AB1037" s="124" t="inlineStr">
        <is>
          <t>Espaço conhecido</t>
        </is>
      </c>
      <c r="AC1037" s="20" t="n"/>
      <c r="AD1037" s="124" t="n"/>
      <c r="AE1037" s="124" t="inlineStr">
        <is>
          <t>Sem carga</t>
        </is>
      </c>
      <c r="AF1037" s="20" t="n"/>
      <c r="AG1037" s="120" t="n"/>
      <c r="AH1037" s="55" t="inlineStr">
        <is>
          <t>LIVRE</t>
        </is>
      </c>
      <c r="AI1037" s="55" t="inlineStr">
        <is>
          <t>LIVRE · TRILHA</t>
        </is>
      </c>
      <c r="AJ1037" s="55" t="inlineStr">
        <is>
          <t>ABERTA</t>
        </is>
      </c>
      <c r="AK1037" s="55" t="inlineStr">
        <is>
          <t>ABERTA</t>
        </is>
      </c>
      <c r="AL1037" s="55" t="inlineStr">
        <is>
          <t>ABERTA · TRILHA</t>
        </is>
      </c>
      <c r="AM1037" s="120" t="n"/>
      <c r="AN1037" s="21" t="n"/>
      <c r="AR1037" s="22" t="n"/>
      <c r="AS1037" s="120" t="n"/>
    </row>
    <row r="1038" hidden="1" outlineLevel="1">
      <c r="A1038" s="8" t="n"/>
      <c r="B1038" s="14" t="n"/>
      <c r="C1038" s="120" t="n"/>
      <c r="D1038" s="120" t="n"/>
      <c r="E1038" s="120" t="n"/>
      <c r="F1038" s="120" t="n"/>
      <c r="G1038" s="120" t="n"/>
      <c r="I1038" s="23" t="n"/>
      <c r="J1038" s="25" t="n"/>
      <c r="K1038" s="125" t="n"/>
      <c r="L1038" s="23" t="n"/>
      <c r="M1038" s="25" t="n"/>
      <c r="N1038" s="120" t="n"/>
      <c r="O1038" s="124" t="n"/>
      <c r="P1038" s="124" t="n"/>
      <c r="Q1038" s="124" t="n"/>
      <c r="R1038" s="124" t="n"/>
      <c r="S1038" s="124" t="n"/>
      <c r="T1038" s="120" t="n"/>
      <c r="U1038" s="21" t="n"/>
      <c r="Y1038" s="22" t="n"/>
      <c r="Z1038" s="120" t="n"/>
      <c r="AB1038" s="23" t="n"/>
      <c r="AC1038" s="25" t="n"/>
      <c r="AD1038" s="125" t="n"/>
      <c r="AE1038" s="23" t="n"/>
      <c r="AF1038" s="25" t="n"/>
      <c r="AG1038" s="120" t="n"/>
      <c r="AH1038" s="124" t="n"/>
      <c r="AI1038" s="124" t="n"/>
      <c r="AJ1038" s="124" t="n"/>
      <c r="AK1038" s="124" t="n"/>
      <c r="AL1038" s="124" t="n"/>
      <c r="AM1038" s="120" t="n"/>
      <c r="AN1038" s="21" t="n"/>
      <c r="AR1038" s="22" t="n"/>
      <c r="AS1038" s="120" t="n"/>
    </row>
    <row r="1039" hidden="1" outlineLevel="1">
      <c r="A1039" s="8" t="n"/>
      <c r="B1039" s="14" t="n"/>
      <c r="C1039" s="120" t="n"/>
      <c r="D1039" s="120" t="n"/>
      <c r="E1039" s="120" t="n"/>
      <c r="F1039" s="120" t="n"/>
      <c r="G1039" s="120" t="n"/>
      <c r="I1039" s="120" t="n"/>
      <c r="J1039" s="120" t="n"/>
      <c r="K1039" s="120" t="n"/>
      <c r="L1039" s="120" t="n"/>
      <c r="M1039" s="120" t="n"/>
      <c r="N1039" s="120" t="n"/>
      <c r="O1039" s="125" t="n"/>
      <c r="P1039" s="125" t="n"/>
      <c r="Q1039" s="125" t="n"/>
      <c r="R1039" s="125" t="n"/>
      <c r="S1039" s="125" t="n"/>
      <c r="T1039" s="120" t="n"/>
      <c r="U1039" s="23" t="n"/>
      <c r="V1039" s="24" t="n"/>
      <c r="W1039" s="24" t="n"/>
      <c r="X1039" s="24" t="n"/>
      <c r="Y1039" s="25" t="n"/>
      <c r="Z1039" s="120" t="n"/>
      <c r="AB1039" s="120" t="n"/>
      <c r="AC1039" s="120" t="n"/>
      <c r="AD1039" s="120" t="n"/>
      <c r="AE1039" s="120" t="n"/>
      <c r="AF1039" s="120" t="n"/>
      <c r="AG1039" s="120" t="n"/>
      <c r="AH1039" s="125" t="n"/>
      <c r="AI1039" s="125" t="n"/>
      <c r="AJ1039" s="125" t="n"/>
      <c r="AK1039" s="125" t="n"/>
      <c r="AL1039" s="125" t="n"/>
      <c r="AM1039" s="120" t="n"/>
      <c r="AN1039" s="23" t="n"/>
      <c r="AO1039" s="24" t="n"/>
      <c r="AP1039" s="24" t="n"/>
      <c r="AQ1039" s="24" t="n"/>
      <c r="AR1039" s="25" t="n"/>
      <c r="AS1039" s="120" t="n"/>
    </row>
    <row r="1040" hidden="1" outlineLevel="1">
      <c r="A1040" s="8" t="n"/>
      <c r="B1040" s="14" t="n"/>
      <c r="C1040" s="120" t="n"/>
      <c r="D1040" s="120" t="n"/>
      <c r="E1040" s="120" t="n"/>
      <c r="F1040" s="120" t="n"/>
      <c r="G1040" s="120" t="n"/>
      <c r="I1040" s="120" t="n"/>
      <c r="J1040" s="120" t="n"/>
      <c r="K1040" s="120" t="n"/>
      <c r="L1040" s="120" t="n"/>
      <c r="M1040" s="120" t="n"/>
      <c r="N1040" s="120" t="n"/>
      <c r="O1040" s="120" t="n"/>
      <c r="P1040" s="120" t="n"/>
      <c r="Q1040" s="120" t="n"/>
      <c r="R1040" s="120" t="n"/>
      <c r="S1040" s="120" t="n"/>
      <c r="T1040" s="120" t="n"/>
      <c r="U1040" s="120" t="n"/>
      <c r="V1040" s="120" t="n"/>
      <c r="W1040" s="120" t="n"/>
      <c r="X1040" s="120" t="n"/>
      <c r="Y1040" s="120" t="n"/>
      <c r="Z1040" s="120" t="n"/>
      <c r="AB1040" s="120" t="n"/>
      <c r="AC1040" s="120" t="n"/>
      <c r="AD1040" s="120" t="n"/>
      <c r="AE1040" s="120" t="n"/>
      <c r="AF1040" s="120" t="n"/>
      <c r="AG1040" s="120" t="n"/>
      <c r="AH1040" s="120" t="n"/>
      <c r="AI1040" s="120" t="n"/>
      <c r="AJ1040" s="120" t="n"/>
      <c r="AK1040" s="120" t="n"/>
      <c r="AL1040" s="120" t="n"/>
      <c r="AM1040" s="120" t="n"/>
      <c r="AN1040" s="120" t="n"/>
      <c r="AO1040" s="120" t="n"/>
      <c r="AP1040" s="120" t="n"/>
      <c r="AQ1040" s="120" t="n"/>
      <c r="AR1040" s="120" t="n"/>
      <c r="AS1040" s="120" t="n"/>
    </row>
    <row r="1041" hidden="1" outlineLevel="1">
      <c r="A1041" s="8" t="n"/>
      <c r="B1041" s="14" t="n"/>
      <c r="C1041" s="120" t="n"/>
      <c r="D1041" s="120" t="n"/>
      <c r="E1041" s="120" t="n"/>
      <c r="F1041" s="120" t="n"/>
      <c r="G1041" s="120"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0"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0" t="n"/>
    </row>
    <row r="1042" hidden="1" outlineLevel="1">
      <c r="A1042" s="8" t="n"/>
      <c r="B1042" s="14" t="n"/>
      <c r="C1042" s="120" t="n"/>
      <c r="D1042" s="120" t="n"/>
      <c r="E1042" s="120" t="n"/>
      <c r="F1042" s="120" t="n"/>
      <c r="G1042" s="120" t="n"/>
      <c r="I1042" s="116" t="n"/>
      <c r="J1042" s="19" t="n"/>
      <c r="K1042" s="19" t="n"/>
      <c r="L1042" s="19" t="n"/>
      <c r="M1042" s="19" t="n"/>
      <c r="N1042" s="19" t="n"/>
      <c r="O1042" s="19" t="n"/>
      <c r="P1042" s="19" t="n"/>
      <c r="Q1042" s="19" t="n"/>
      <c r="R1042" s="19" t="n"/>
      <c r="S1042" s="19" t="n"/>
      <c r="T1042" s="19" t="n"/>
      <c r="U1042" s="19" t="n"/>
      <c r="V1042" s="19" t="n"/>
      <c r="W1042" s="19" t="n"/>
      <c r="X1042" s="19" t="n"/>
      <c r="Y1042" s="20" t="n"/>
      <c r="Z1042" s="120" t="n"/>
      <c r="AB1042" s="116"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0" t="n"/>
    </row>
    <row r="1043" hidden="1" outlineLevel="1">
      <c r="A1043" s="8" t="n"/>
      <c r="B1043" s="14" t="n"/>
      <c r="C1043" s="120" t="n"/>
      <c r="D1043" s="120" t="n"/>
      <c r="E1043" s="120" t="n"/>
      <c r="F1043" s="120" t="n"/>
      <c r="G1043" s="120"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0"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0" t="n"/>
    </row>
    <row r="1044" hidden="1" outlineLevel="1">
      <c r="A1044" s="8" t="n"/>
      <c r="B1044" s="14" t="n"/>
      <c r="C1044" s="120" t="n"/>
      <c r="D1044" s="120" t="n"/>
      <c r="E1044" s="120" t="n"/>
      <c r="F1044" s="120" t="n"/>
      <c r="G1044" s="120" t="n"/>
      <c r="I1044" s="120" t="n"/>
      <c r="J1044" s="120" t="n"/>
      <c r="K1044" s="120" t="n"/>
      <c r="L1044" s="120" t="n"/>
      <c r="M1044" s="120" t="n"/>
      <c r="N1044" s="120" t="n"/>
      <c r="O1044" s="120" t="n"/>
      <c r="P1044" s="120" t="n"/>
      <c r="Q1044" s="120" t="n"/>
      <c r="R1044" s="120" t="n"/>
      <c r="S1044" s="120" t="n"/>
      <c r="T1044" s="120" t="n"/>
      <c r="U1044" s="120" t="n"/>
      <c r="V1044" s="120" t="n"/>
      <c r="W1044" s="120" t="n"/>
      <c r="X1044" s="120" t="n"/>
      <c r="Y1044" s="120" t="n"/>
      <c r="Z1044" s="120" t="n"/>
      <c r="AB1044" s="120" t="n"/>
      <c r="AC1044" s="120" t="n"/>
      <c r="AD1044" s="120" t="n"/>
      <c r="AE1044" s="120" t="n"/>
      <c r="AF1044" s="120" t="n"/>
      <c r="AG1044" s="120" t="n"/>
      <c r="AH1044" s="120" t="n"/>
      <c r="AI1044" s="120" t="n"/>
      <c r="AJ1044" s="120" t="n"/>
      <c r="AK1044" s="120" t="n"/>
      <c r="AL1044" s="120" t="n"/>
      <c r="AM1044" s="120" t="n"/>
      <c r="AN1044" s="120" t="n"/>
      <c r="AO1044" s="120" t="n"/>
      <c r="AP1044" s="120" t="n"/>
      <c r="AQ1044" s="120" t="n"/>
      <c r="AR1044" s="120" t="n"/>
      <c r="AS1044" s="120" t="n"/>
    </row>
    <row r="1045" hidden="1" outlineLevel="1">
      <c r="A1045" s="8" t="n"/>
      <c r="B1045" s="14" t="n"/>
      <c r="C1045" s="120" t="n"/>
      <c r="D1045" s="120" t="n"/>
      <c r="E1045" s="120" t="n"/>
      <c r="F1045" s="120" t="n"/>
      <c r="G1045" s="120" t="n"/>
      <c r="I1045" s="133">
        <f>DADOS_INVOC!$HT$7</f>
        <v/>
      </c>
      <c r="J1045" s="16" t="n"/>
      <c r="K1045" s="16" t="n"/>
      <c r="L1045" s="16" t="n"/>
      <c r="M1045" s="16" t="n"/>
      <c r="N1045" s="16" t="n"/>
      <c r="O1045" s="16" t="n"/>
      <c r="P1045" s="16" t="n"/>
      <c r="Q1045" s="16" t="n"/>
      <c r="R1045" s="16" t="n"/>
      <c r="S1045" s="16" t="n"/>
      <c r="T1045" s="16" t="n"/>
      <c r="U1045" s="16" t="n"/>
      <c r="V1045" s="16" t="n"/>
      <c r="W1045" s="16" t="n"/>
      <c r="X1045" s="16" t="n"/>
      <c r="Y1045" s="17" t="n"/>
      <c r="Z1045" s="120" t="n"/>
      <c r="AB1045" s="133">
        <f>DADOS_INVOC!$HT$13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0" t="n"/>
    </row>
    <row r="1046" hidden="1" outlineLevel="1">
      <c r="A1046" s="8" t="n"/>
      <c r="B1046" s="14" t="n"/>
      <c r="C1046" s="120" t="n"/>
      <c r="D1046" s="120" t="n"/>
      <c r="E1046" s="120" t="n"/>
      <c r="F1046" s="120" t="n"/>
      <c r="G1046" s="120" t="n"/>
      <c r="I1046" s="120" t="n"/>
      <c r="J1046" s="120" t="n"/>
      <c r="K1046" s="120" t="n"/>
      <c r="L1046" s="120" t="n"/>
      <c r="M1046" s="120" t="n"/>
      <c r="N1046" s="120" t="n"/>
      <c r="O1046" s="120" t="n"/>
      <c r="P1046" s="120" t="n"/>
      <c r="Q1046" s="120" t="n"/>
      <c r="R1046" s="120" t="n"/>
      <c r="S1046" s="120" t="n"/>
      <c r="T1046" s="120" t="n"/>
      <c r="U1046" s="120" t="n"/>
      <c r="V1046" s="120" t="n"/>
      <c r="W1046" s="120" t="n"/>
      <c r="X1046" s="120" t="n"/>
      <c r="Y1046" s="120" t="n"/>
      <c r="Z1046" s="120" t="n"/>
      <c r="AB1046" s="120" t="n"/>
      <c r="AC1046" s="120" t="n"/>
      <c r="AD1046" s="120" t="n"/>
      <c r="AE1046" s="120" t="n"/>
      <c r="AF1046" s="120" t="n"/>
      <c r="AG1046" s="120" t="n"/>
      <c r="AH1046" s="120" t="n"/>
      <c r="AI1046" s="120" t="n"/>
      <c r="AJ1046" s="120" t="n"/>
      <c r="AK1046" s="120" t="n"/>
      <c r="AL1046" s="120" t="n"/>
      <c r="AM1046" s="120" t="n"/>
      <c r="AN1046" s="120" t="n"/>
      <c r="AO1046" s="120" t="n"/>
      <c r="AP1046" s="120" t="n"/>
      <c r="AQ1046" s="120" t="n"/>
      <c r="AR1046" s="120" t="n"/>
      <c r="AS1046" s="120" t="n"/>
    </row>
    <row r="1047" hidden="1" outlineLevel="1">
      <c r="A1047" s="8" t="n"/>
      <c r="B1047" s="14" t="n"/>
      <c r="C1047" s="120" t="n"/>
      <c r="D1047" s="120" t="n"/>
      <c r="E1047" s="120" t="n"/>
      <c r="F1047" s="120" t="n"/>
      <c r="G1047" s="120" t="n"/>
      <c r="I1047" s="55">
        <f>DADOS_INVOC!$PM$67</f>
        <v/>
      </c>
      <c r="J1047" s="16" t="n"/>
      <c r="K1047" s="16" t="n"/>
      <c r="L1047" s="16" t="n"/>
      <c r="M1047" s="17" t="n"/>
      <c r="N1047" s="120" t="n"/>
      <c r="O1047" s="55">
        <f>DADOS_INVOC!$PM$68</f>
        <v/>
      </c>
      <c r="P1047" s="16" t="n"/>
      <c r="Q1047" s="16" t="n"/>
      <c r="R1047" s="16" t="n"/>
      <c r="S1047" s="17" t="n"/>
      <c r="T1047" s="120" t="n"/>
      <c r="U1047" s="55">
        <f>DADOS_INVOC!$PM$69</f>
        <v/>
      </c>
      <c r="V1047" s="16" t="n"/>
      <c r="W1047" s="16" t="n"/>
      <c r="X1047" s="16" t="n"/>
      <c r="Y1047" s="17" t="n"/>
      <c r="Z1047" s="120" t="n"/>
      <c r="AB1047" s="55">
        <f>DADOS_INVOC!$PM$145</f>
        <v/>
      </c>
      <c r="AC1047" s="16" t="n"/>
      <c r="AD1047" s="16" t="n"/>
      <c r="AE1047" s="16" t="n"/>
      <c r="AF1047" s="17" t="n"/>
      <c r="AG1047" s="120" t="n"/>
      <c r="AH1047" s="55">
        <f>DADOS_INVOC!$PM$146</f>
        <v/>
      </c>
      <c r="AI1047" s="16" t="n"/>
      <c r="AJ1047" s="16" t="n"/>
      <c r="AK1047" s="16" t="n"/>
      <c r="AL1047" s="17" t="n"/>
      <c r="AM1047" s="120" t="n"/>
      <c r="AN1047" s="55">
        <f>DADOS_INVOC!$PM$147</f>
        <v/>
      </c>
      <c r="AO1047" s="16" t="n"/>
      <c r="AP1047" s="16" t="n"/>
      <c r="AQ1047" s="16" t="n"/>
      <c r="AR1047" s="17" t="n"/>
      <c r="AS1047" s="120" t="n"/>
    </row>
    <row r="1048" hidden="1" outlineLevel="1">
      <c r="A1048" s="8" t="n"/>
      <c r="B1048" s="14" t="n"/>
      <c r="C1048" s="120" t="n"/>
      <c r="D1048" s="120" t="n"/>
      <c r="E1048" s="120" t="n"/>
      <c r="F1048" s="120" t="n"/>
      <c r="G1048" s="120" t="n"/>
      <c r="I1048" s="127" t="n">
        <v>0</v>
      </c>
      <c r="J1048" s="115" t="n"/>
      <c r="K1048" s="16" t="n"/>
      <c r="L1048" s="17" t="n"/>
      <c r="M1048" s="128">
        <f>DADOS_INVOC!$PK$67</f>
        <v/>
      </c>
      <c r="N1048" s="120" t="n"/>
      <c r="O1048" s="127" t="n">
        <v>1</v>
      </c>
      <c r="P1048" s="115" t="n"/>
      <c r="Q1048" s="16" t="n"/>
      <c r="R1048" s="17" t="n"/>
      <c r="S1048" s="128">
        <f>DADOS_INVOC!$PK$68</f>
        <v/>
      </c>
      <c r="T1048" s="120" t="n"/>
      <c r="U1048" s="127" t="n">
        <v>1</v>
      </c>
      <c r="V1048" s="115" t="n"/>
      <c r="W1048" s="16" t="n"/>
      <c r="X1048" s="17" t="n"/>
      <c r="Y1048" s="128">
        <f>DADOS_INVOC!$PK$69</f>
        <v/>
      </c>
      <c r="Z1048" s="120" t="n"/>
      <c r="AB1048" s="127" t="n">
        <v>0</v>
      </c>
      <c r="AC1048" s="115" t="n"/>
      <c r="AD1048" s="16" t="n"/>
      <c r="AE1048" s="17" t="n"/>
      <c r="AF1048" s="128">
        <f>DADOS_INVOC!$PK$145</f>
        <v/>
      </c>
      <c r="AG1048" s="120" t="n"/>
      <c r="AH1048" s="127" t="n">
        <v>1</v>
      </c>
      <c r="AI1048" s="115" t="n"/>
      <c r="AJ1048" s="16" t="n"/>
      <c r="AK1048" s="17" t="n"/>
      <c r="AL1048" s="128">
        <f>DADOS_INVOC!$PK$146</f>
        <v/>
      </c>
      <c r="AM1048" s="120" t="n"/>
      <c r="AN1048" s="127" t="n">
        <v>1</v>
      </c>
      <c r="AO1048" s="115" t="n"/>
      <c r="AP1048" s="16" t="n"/>
      <c r="AQ1048" s="17" t="n"/>
      <c r="AR1048" s="128">
        <f>DADOS_INVOC!$PK$147</f>
        <v/>
      </c>
      <c r="AS1048" s="120" t="n"/>
    </row>
    <row r="1049" hidden="1" outlineLevel="2">
      <c r="A1049" s="8" t="n"/>
      <c r="B1049" s="14" t="n"/>
      <c r="C1049" s="120" t="n"/>
      <c r="D1049" s="120" t="n"/>
      <c r="E1049" s="120" t="n"/>
      <c r="F1049" s="120" t="n"/>
      <c r="G1049" s="120" t="n"/>
      <c r="I1049" s="55" t="inlineStr">
        <is>
          <t>COMO É</t>
        </is>
      </c>
      <c r="J1049" s="16" t="n"/>
      <c r="K1049" s="16" t="n"/>
      <c r="L1049" s="16" t="n"/>
      <c r="M1049" s="17" t="n"/>
      <c r="N1049" s="120" t="n"/>
      <c r="O1049" s="55" t="inlineStr">
        <is>
          <t>COMO É</t>
        </is>
      </c>
      <c r="P1049" s="16" t="n"/>
      <c r="Q1049" s="16" t="n"/>
      <c r="R1049" s="16" t="n"/>
      <c r="S1049" s="17" t="n"/>
      <c r="T1049" s="120" t="n"/>
      <c r="U1049" s="55" t="inlineStr">
        <is>
          <t>COMO É</t>
        </is>
      </c>
      <c r="V1049" s="16" t="n"/>
      <c r="W1049" s="16" t="n"/>
      <c r="X1049" s="16" t="n"/>
      <c r="Y1049" s="17" t="n"/>
      <c r="Z1049" s="120" t="n"/>
      <c r="AB1049" s="55" t="inlineStr">
        <is>
          <t>COMO É</t>
        </is>
      </c>
      <c r="AC1049" s="16" t="n"/>
      <c r="AD1049" s="16" t="n"/>
      <c r="AE1049" s="16" t="n"/>
      <c r="AF1049" s="17" t="n"/>
      <c r="AG1049" s="120" t="n"/>
      <c r="AH1049" s="55" t="inlineStr">
        <is>
          <t>COMO É</t>
        </is>
      </c>
      <c r="AI1049" s="16" t="n"/>
      <c r="AJ1049" s="16" t="n"/>
      <c r="AK1049" s="16" t="n"/>
      <c r="AL1049" s="17" t="n"/>
      <c r="AM1049" s="120" t="n"/>
      <c r="AN1049" s="55" t="inlineStr">
        <is>
          <t>COMO É</t>
        </is>
      </c>
      <c r="AO1049" s="16" t="n"/>
      <c r="AP1049" s="16" t="n"/>
      <c r="AQ1049" s="16" t="n"/>
      <c r="AR1049" s="17" t="n"/>
      <c r="AS1049" s="120" t="n"/>
    </row>
    <row r="1050" hidden="1" outlineLevel="2">
      <c r="A1050" s="8" t="n"/>
      <c r="B1050" s="14" t="n"/>
      <c r="C1050" s="120" t="n"/>
      <c r="D1050" s="120" t="n"/>
      <c r="E1050" s="120" t="n"/>
      <c r="F1050" s="120" t="n"/>
      <c r="G1050" s="120" t="n"/>
      <c r="I1050" s="116" t="n"/>
      <c r="J1050" s="19" t="n"/>
      <c r="K1050" s="19" t="n"/>
      <c r="L1050" s="19" t="n"/>
      <c r="M1050" s="20" t="n"/>
      <c r="N1050" s="120" t="n"/>
      <c r="O1050" s="116" t="n"/>
      <c r="P1050" s="19" t="n"/>
      <c r="Q1050" s="19" t="n"/>
      <c r="R1050" s="19" t="n"/>
      <c r="S1050" s="20" t="n"/>
      <c r="T1050" s="120" t="n"/>
      <c r="U1050" s="116" t="n"/>
      <c r="V1050" s="19" t="n"/>
      <c r="W1050" s="19" t="n"/>
      <c r="X1050" s="19" t="n"/>
      <c r="Y1050" s="20" t="n"/>
      <c r="Z1050" s="120" t="n"/>
      <c r="AB1050" s="116" t="n"/>
      <c r="AC1050" s="19" t="n"/>
      <c r="AD1050" s="19" t="n"/>
      <c r="AE1050" s="19" t="n"/>
      <c r="AF1050" s="20" t="n"/>
      <c r="AG1050" s="120" t="n"/>
      <c r="AH1050" s="116" t="n"/>
      <c r="AI1050" s="19" t="n"/>
      <c r="AJ1050" s="19" t="n"/>
      <c r="AK1050" s="19" t="n"/>
      <c r="AL1050" s="20" t="n"/>
      <c r="AM1050" s="120" t="n"/>
      <c r="AN1050" s="116" t="n"/>
      <c r="AO1050" s="19" t="n"/>
      <c r="AP1050" s="19" t="n"/>
      <c r="AQ1050" s="19" t="n"/>
      <c r="AR1050" s="20" t="n"/>
      <c r="AS1050" s="120" t="n"/>
    </row>
    <row r="1051" hidden="1" outlineLevel="2">
      <c r="A1051" s="8" t="n"/>
      <c r="B1051" s="14" t="n"/>
      <c r="C1051" s="120" t="n"/>
      <c r="D1051" s="120" t="n"/>
      <c r="E1051" s="120" t="n"/>
      <c r="F1051" s="120" t="n"/>
      <c r="G1051" s="120" t="n"/>
      <c r="I1051" s="21" t="n"/>
      <c r="M1051" s="22" t="n"/>
      <c r="N1051" s="120" t="n"/>
      <c r="O1051" s="21" t="n"/>
      <c r="S1051" s="22" t="n"/>
      <c r="T1051" s="120" t="n"/>
      <c r="U1051" s="21" t="n"/>
      <c r="Y1051" s="22" t="n"/>
      <c r="Z1051" s="120" t="n"/>
      <c r="AB1051" s="21" t="n"/>
      <c r="AF1051" s="22" t="n"/>
      <c r="AG1051" s="120" t="n"/>
      <c r="AH1051" s="21" t="n"/>
      <c r="AL1051" s="22" t="n"/>
      <c r="AM1051" s="120" t="n"/>
      <c r="AN1051" s="21" t="n"/>
      <c r="AR1051" s="22" t="n"/>
      <c r="AS1051" s="120" t="n"/>
    </row>
    <row r="1052" hidden="1" outlineLevel="2">
      <c r="A1052" s="8" t="n"/>
      <c r="B1052" s="14" t="n"/>
      <c r="C1052" s="120" t="n"/>
      <c r="D1052" s="120" t="n"/>
      <c r="E1052" s="120" t="n"/>
      <c r="F1052" s="120" t="n"/>
      <c r="G1052" s="120" t="n"/>
      <c r="I1052" s="23" t="n"/>
      <c r="J1052" s="24" t="n"/>
      <c r="K1052" s="24" t="n"/>
      <c r="L1052" s="24" t="n"/>
      <c r="M1052" s="25" t="n"/>
      <c r="N1052" s="120" t="n"/>
      <c r="O1052" s="23" t="n"/>
      <c r="P1052" s="24" t="n"/>
      <c r="Q1052" s="24" t="n"/>
      <c r="R1052" s="24" t="n"/>
      <c r="S1052" s="25" t="n"/>
      <c r="T1052" s="120" t="n"/>
      <c r="U1052" s="23" t="n"/>
      <c r="V1052" s="24" t="n"/>
      <c r="W1052" s="24" t="n"/>
      <c r="X1052" s="24" t="n"/>
      <c r="Y1052" s="25" t="n"/>
      <c r="Z1052" s="120" t="n"/>
      <c r="AB1052" s="23" t="n"/>
      <c r="AC1052" s="24" t="n"/>
      <c r="AD1052" s="24" t="n"/>
      <c r="AE1052" s="24" t="n"/>
      <c r="AF1052" s="25" t="n"/>
      <c r="AG1052" s="120" t="n"/>
      <c r="AH1052" s="23" t="n"/>
      <c r="AI1052" s="24" t="n"/>
      <c r="AJ1052" s="24" t="n"/>
      <c r="AK1052" s="24" t="n"/>
      <c r="AL1052" s="25" t="n"/>
      <c r="AM1052" s="120" t="n"/>
      <c r="AN1052" s="23" t="n"/>
      <c r="AO1052" s="24" t="n"/>
      <c r="AP1052" s="24" t="n"/>
      <c r="AQ1052" s="24" t="n"/>
      <c r="AR1052" s="25" t="n"/>
      <c r="AS1052" s="120" t="n"/>
    </row>
    <row r="1053" hidden="1" outlineLevel="1">
      <c r="A1053" s="8" t="n"/>
      <c r="B1053" s="14" t="n"/>
      <c r="C1053" s="120" t="n"/>
      <c r="D1053" s="120" t="n"/>
      <c r="E1053" s="120" t="n"/>
      <c r="F1053" s="120" t="n"/>
      <c r="G1053" s="120" t="n"/>
      <c r="I1053" s="124" t="inlineStr">
        <is>
          <t>Projétil</t>
        </is>
      </c>
      <c r="J1053" s="17" t="n"/>
      <c r="K1053" s="68">
        <f>DADOS_INVOC!$PR$67</f>
        <v/>
      </c>
      <c r="L1053" s="17" t="n"/>
      <c r="M1053" s="68">
        <f>DADOS_INVOC!$PN$67</f>
        <v/>
      </c>
      <c r="N1053" s="120" t="n"/>
      <c r="O1053" s="124" t="inlineStr">
        <is>
          <t>Projétil</t>
        </is>
      </c>
      <c r="P1053" s="17" t="n"/>
      <c r="Q1053" s="68">
        <f>DADOS_INVOC!$PR$68</f>
        <v/>
      </c>
      <c r="R1053" s="17" t="n"/>
      <c r="S1053" s="68">
        <f>DADOS_INVOC!$PN$68</f>
        <v/>
      </c>
      <c r="T1053" s="120" t="n"/>
      <c r="U1053" s="124" t="inlineStr">
        <is>
          <t>Projétil</t>
        </is>
      </c>
      <c r="V1053" s="17" t="n"/>
      <c r="W1053" s="68">
        <f>DADOS_INVOC!$PR$69</f>
        <v/>
      </c>
      <c r="X1053" s="17" t="n"/>
      <c r="Y1053" s="68">
        <f>DADOS_INVOC!$PN$69</f>
        <v/>
      </c>
      <c r="Z1053" s="120" t="n"/>
      <c r="AB1053" s="124" t="inlineStr">
        <is>
          <t>Projétil</t>
        </is>
      </c>
      <c r="AC1053" s="17" t="n"/>
      <c r="AD1053" s="68">
        <f>DADOS_INVOC!$PR$145</f>
        <v/>
      </c>
      <c r="AE1053" s="17" t="n"/>
      <c r="AF1053" s="68">
        <f>DADOS_INVOC!$PN$145</f>
        <v/>
      </c>
      <c r="AG1053" s="120" t="n"/>
      <c r="AH1053" s="124" t="inlineStr">
        <is>
          <t>Projétil</t>
        </is>
      </c>
      <c r="AI1053" s="17" t="n"/>
      <c r="AJ1053" s="68">
        <f>DADOS_INVOC!$PR$146</f>
        <v/>
      </c>
      <c r="AK1053" s="17" t="n"/>
      <c r="AL1053" s="68">
        <f>DADOS_INVOC!$PN$146</f>
        <v/>
      </c>
      <c r="AM1053" s="120" t="n"/>
      <c r="AN1053" s="124" t="inlineStr">
        <is>
          <t>Projétil</t>
        </is>
      </c>
      <c r="AO1053" s="17" t="n"/>
      <c r="AP1053" s="68">
        <f>DADOS_INVOC!$PR$147</f>
        <v/>
      </c>
      <c r="AQ1053" s="17" t="n"/>
      <c r="AR1053" s="68">
        <f>DADOS_INVOC!$PN$147</f>
        <v/>
      </c>
      <c r="AS1053" s="120" t="n"/>
    </row>
    <row r="1054" hidden="1" outlineLevel="1">
      <c r="A1054" s="8" t="n"/>
      <c r="B1054" s="14" t="n"/>
      <c r="C1054" s="120" t="n"/>
      <c r="D1054" s="120" t="n"/>
      <c r="E1054" s="120" t="n"/>
      <c r="F1054" s="120" t="n"/>
      <c r="G1054" s="120" t="n"/>
      <c r="I1054" s="124" t="n"/>
      <c r="J1054" s="17" t="n"/>
      <c r="K1054" s="124" t="n"/>
      <c r="L1054" s="16" t="n"/>
      <c r="M1054" s="17" t="n"/>
      <c r="N1054" s="120" t="n"/>
      <c r="O1054" s="124" t="n"/>
      <c r="P1054" s="17" t="n"/>
      <c r="Q1054" s="124" t="n"/>
      <c r="R1054" s="16" t="n"/>
      <c r="S1054" s="17" t="n"/>
      <c r="T1054" s="120" t="n"/>
      <c r="U1054" s="124" t="n"/>
      <c r="V1054" s="17" t="n"/>
      <c r="W1054" s="124" t="n"/>
      <c r="X1054" s="16" t="n"/>
      <c r="Y1054" s="17" t="n"/>
      <c r="Z1054" s="120" t="n"/>
      <c r="AB1054" s="124" t="n"/>
      <c r="AC1054" s="17" t="n"/>
      <c r="AD1054" s="124" t="n"/>
      <c r="AE1054" s="16" t="n"/>
      <c r="AF1054" s="17" t="n"/>
      <c r="AG1054" s="120" t="n"/>
      <c r="AH1054" s="124" t="n"/>
      <c r="AI1054" s="17" t="n"/>
      <c r="AJ1054" s="124" t="n"/>
      <c r="AK1054" s="16" t="n"/>
      <c r="AL1054" s="17" t="n"/>
      <c r="AM1054" s="120" t="n"/>
      <c r="AN1054" s="124" t="n"/>
      <c r="AO1054" s="17" t="n"/>
      <c r="AP1054" s="124" t="n"/>
      <c r="AQ1054" s="16" t="n"/>
      <c r="AR1054" s="17" t="n"/>
      <c r="AS1054" s="120" t="n"/>
    </row>
    <row r="1055" hidden="1" outlineLevel="1">
      <c r="A1055" s="8" t="n"/>
      <c r="B1055" s="14" t="n"/>
      <c r="C1055" s="120" t="n"/>
      <c r="D1055" s="120" t="n"/>
      <c r="E1055" s="120" t="n"/>
      <c r="F1055" s="120" t="n"/>
      <c r="G1055" s="120" t="n"/>
      <c r="I1055" s="124">
        <f>DADOS_INVOC!$PO$67</f>
        <v/>
      </c>
      <c r="J1055" s="17" t="n"/>
      <c r="K1055" s="124">
        <f>DADOS_INVOC!$PQ$67</f>
        <v/>
      </c>
      <c r="L1055" s="16" t="n"/>
      <c r="M1055" s="17" t="n"/>
      <c r="N1055" s="120" t="n"/>
      <c r="O1055" s="124">
        <f>DADOS_INVOC!$PO$68</f>
        <v/>
      </c>
      <c r="P1055" s="17" t="n"/>
      <c r="Q1055" s="124">
        <f>DADOS_INVOC!$PQ$68</f>
        <v/>
      </c>
      <c r="R1055" s="16" t="n"/>
      <c r="S1055" s="17" t="n"/>
      <c r="T1055" s="120" t="n"/>
      <c r="U1055" s="124">
        <f>DADOS_INVOC!$PO$69</f>
        <v/>
      </c>
      <c r="V1055" s="17" t="n"/>
      <c r="W1055" s="124">
        <f>DADOS_INVOC!$PQ$69</f>
        <v/>
      </c>
      <c r="X1055" s="16" t="n"/>
      <c r="Y1055" s="17" t="n"/>
      <c r="Z1055" s="120" t="n"/>
      <c r="AB1055" s="124">
        <f>DADOS_INVOC!$PO$145</f>
        <v/>
      </c>
      <c r="AC1055" s="17" t="n"/>
      <c r="AD1055" s="124">
        <f>DADOS_INVOC!$PQ$145</f>
        <v/>
      </c>
      <c r="AE1055" s="16" t="n"/>
      <c r="AF1055" s="17" t="n"/>
      <c r="AG1055" s="120" t="n"/>
      <c r="AH1055" s="124">
        <f>DADOS_INVOC!$PO$146</f>
        <v/>
      </c>
      <c r="AI1055" s="17" t="n"/>
      <c r="AJ1055" s="124">
        <f>DADOS_INVOC!$PQ$146</f>
        <v/>
      </c>
      <c r="AK1055" s="16" t="n"/>
      <c r="AL1055" s="17" t="n"/>
      <c r="AM1055" s="120" t="n"/>
      <c r="AN1055" s="124">
        <f>DADOS_INVOC!$PO$147</f>
        <v/>
      </c>
      <c r="AO1055" s="17" t="n"/>
      <c r="AP1055" s="124">
        <f>DADOS_INVOC!$PQ$147</f>
        <v/>
      </c>
      <c r="AQ1055" s="16" t="n"/>
      <c r="AR1055" s="17" t="n"/>
      <c r="AS1055" s="120" t="n"/>
    </row>
    <row r="1056" hidden="1" outlineLevel="1">
      <c r="A1056" s="8" t="n"/>
      <c r="B1056" s="14" t="n"/>
      <c r="C1056" s="120" t="n"/>
      <c r="D1056" s="120" t="n"/>
      <c r="E1056" s="120" t="n"/>
      <c r="F1056" s="120" t="n"/>
      <c r="G1056" s="120" t="n"/>
      <c r="I1056" s="129">
        <f>DADOS_INVOC!$PW$67</f>
        <v/>
      </c>
      <c r="J1056" s="16" t="n"/>
      <c r="K1056" s="16" t="n"/>
      <c r="L1056" s="16" t="n"/>
      <c r="M1056" s="17" t="n"/>
      <c r="N1056" s="120" t="n"/>
      <c r="O1056" s="129">
        <f>DADOS_INVOC!$PW$68</f>
        <v/>
      </c>
      <c r="P1056" s="16" t="n"/>
      <c r="Q1056" s="16" t="n"/>
      <c r="R1056" s="16" t="n"/>
      <c r="S1056" s="17" t="n"/>
      <c r="T1056" s="120" t="n"/>
      <c r="U1056" s="129">
        <f>DADOS_INVOC!$PW$69</f>
        <v/>
      </c>
      <c r="V1056" s="16" t="n"/>
      <c r="W1056" s="16" t="n"/>
      <c r="X1056" s="16" t="n"/>
      <c r="Y1056" s="17" t="n"/>
      <c r="Z1056" s="120" t="n"/>
      <c r="AB1056" s="129">
        <f>DADOS_INVOC!$PW$145</f>
        <v/>
      </c>
      <c r="AC1056" s="16" t="n"/>
      <c r="AD1056" s="16" t="n"/>
      <c r="AE1056" s="16" t="n"/>
      <c r="AF1056" s="17" t="n"/>
      <c r="AG1056" s="120" t="n"/>
      <c r="AH1056" s="129">
        <f>DADOS_INVOC!$PW$146</f>
        <v/>
      </c>
      <c r="AI1056" s="16" t="n"/>
      <c r="AJ1056" s="16" t="n"/>
      <c r="AK1056" s="16" t="n"/>
      <c r="AL1056" s="17" t="n"/>
      <c r="AM1056" s="120" t="n"/>
      <c r="AN1056" s="129">
        <f>DADOS_INVOC!$PW$147</f>
        <v/>
      </c>
      <c r="AO1056" s="16" t="n"/>
      <c r="AP1056" s="16" t="n"/>
      <c r="AQ1056" s="16" t="n"/>
      <c r="AR1056" s="17" t="n"/>
      <c r="AS1056" s="120" t="n"/>
    </row>
    <row r="1057" hidden="1" outlineLevel="2">
      <c r="A1057" s="8" t="n"/>
      <c r="B1057" s="14" t="n"/>
      <c r="C1057" s="120" t="n"/>
      <c r="D1057" s="120" t="n"/>
      <c r="E1057" s="120" t="n"/>
      <c r="F1057" s="120" t="n"/>
      <c r="G1057" s="120" t="n"/>
      <c r="I1057" s="55" t="inlineStr">
        <is>
          <t>MELHORIAS</t>
        </is>
      </c>
      <c r="J1057" s="130" t="n"/>
      <c r="K1057" s="16" t="n"/>
      <c r="L1057" s="17" t="n"/>
      <c r="M1057" s="129">
        <f>DADOS_INVOC!$PZ$67</f>
        <v/>
      </c>
      <c r="N1057" s="120" t="n"/>
      <c r="O1057" s="55" t="inlineStr">
        <is>
          <t>MELHORIAS</t>
        </is>
      </c>
      <c r="P1057" s="130" t="n"/>
      <c r="Q1057" s="16" t="n"/>
      <c r="R1057" s="17" t="n"/>
      <c r="S1057" s="129">
        <f>DADOS_INVOC!$PZ$68</f>
        <v/>
      </c>
      <c r="T1057" s="120" t="n"/>
      <c r="U1057" s="55" t="inlineStr">
        <is>
          <t>MELHORIAS</t>
        </is>
      </c>
      <c r="V1057" s="130" t="n"/>
      <c r="W1057" s="16" t="n"/>
      <c r="X1057" s="17" t="n"/>
      <c r="Y1057" s="129">
        <f>DADOS_INVOC!$PZ$69</f>
        <v/>
      </c>
      <c r="Z1057" s="120" t="n"/>
      <c r="AB1057" s="55" t="inlineStr">
        <is>
          <t>MELHORIAS</t>
        </is>
      </c>
      <c r="AC1057" s="130" t="n"/>
      <c r="AD1057" s="16" t="n"/>
      <c r="AE1057" s="17" t="n"/>
      <c r="AF1057" s="129">
        <f>DADOS_INVOC!$PZ$145</f>
        <v/>
      </c>
      <c r="AG1057" s="120" t="n"/>
      <c r="AH1057" s="55" t="inlineStr">
        <is>
          <t>MELHORIAS</t>
        </is>
      </c>
      <c r="AI1057" s="130" t="n"/>
      <c r="AJ1057" s="16" t="n"/>
      <c r="AK1057" s="17" t="n"/>
      <c r="AL1057" s="129">
        <f>DADOS_INVOC!$PZ$146</f>
        <v/>
      </c>
      <c r="AM1057" s="120" t="n"/>
      <c r="AN1057" s="55" t="inlineStr">
        <is>
          <t>MELHORIAS</t>
        </is>
      </c>
      <c r="AO1057" s="130" t="n"/>
      <c r="AP1057" s="16" t="n"/>
      <c r="AQ1057" s="17" t="n"/>
      <c r="AR1057" s="129">
        <f>DADOS_INVOC!$PZ$147</f>
        <v/>
      </c>
      <c r="AS1057" s="120" t="n"/>
    </row>
    <row r="1058" hidden="1" outlineLevel="2">
      <c r="A1058" s="8" t="n"/>
      <c r="B1058" s="14" t="n"/>
      <c r="C1058" s="120" t="n"/>
      <c r="D1058" s="120" t="n"/>
      <c r="E1058" s="120" t="n"/>
      <c r="F1058" s="120" t="n"/>
      <c r="G1058" s="120" t="n"/>
      <c r="I1058" s="131" t="n"/>
      <c r="J1058" s="130" t="n"/>
      <c r="K1058" s="16" t="n"/>
      <c r="L1058" s="17" t="n"/>
      <c r="M1058" s="129">
        <f>DADOS_INVOC!$QA$67</f>
        <v/>
      </c>
      <c r="N1058" s="120" t="n"/>
      <c r="O1058" s="131" t="n"/>
      <c r="P1058" s="130" t="n"/>
      <c r="Q1058" s="16" t="n"/>
      <c r="R1058" s="17" t="n"/>
      <c r="S1058" s="129">
        <f>DADOS_INVOC!$QA$68</f>
        <v/>
      </c>
      <c r="T1058" s="120" t="n"/>
      <c r="U1058" s="131" t="n"/>
      <c r="V1058" s="130" t="n"/>
      <c r="W1058" s="16" t="n"/>
      <c r="X1058" s="17" t="n"/>
      <c r="Y1058" s="129">
        <f>DADOS_INVOC!$QA$69</f>
        <v/>
      </c>
      <c r="Z1058" s="120" t="n"/>
      <c r="AB1058" s="131" t="n"/>
      <c r="AC1058" s="130" t="n"/>
      <c r="AD1058" s="16" t="n"/>
      <c r="AE1058" s="17" t="n"/>
      <c r="AF1058" s="129">
        <f>DADOS_INVOC!$QA$145</f>
        <v/>
      </c>
      <c r="AG1058" s="120" t="n"/>
      <c r="AH1058" s="131" t="n"/>
      <c r="AI1058" s="130" t="n"/>
      <c r="AJ1058" s="16" t="n"/>
      <c r="AK1058" s="17" t="n"/>
      <c r="AL1058" s="129">
        <f>DADOS_INVOC!$QA$146</f>
        <v/>
      </c>
      <c r="AM1058" s="120" t="n"/>
      <c r="AN1058" s="131" t="n"/>
      <c r="AO1058" s="130" t="n"/>
      <c r="AP1058" s="16" t="n"/>
      <c r="AQ1058" s="17" t="n"/>
      <c r="AR1058" s="129">
        <f>DADOS_INVOC!$QA$147</f>
        <v/>
      </c>
      <c r="AS1058" s="120" t="n"/>
    </row>
    <row r="1059" hidden="1" outlineLevel="2">
      <c r="A1059" s="8" t="n"/>
      <c r="B1059" s="14" t="n"/>
      <c r="C1059" s="120" t="n"/>
      <c r="D1059" s="120" t="n"/>
      <c r="E1059" s="120" t="n"/>
      <c r="F1059" s="120" t="n"/>
      <c r="G1059" s="120" t="n"/>
      <c r="I1059" s="131" t="n"/>
      <c r="J1059" s="130" t="n"/>
      <c r="K1059" s="16" t="n"/>
      <c r="L1059" s="17" t="n"/>
      <c r="M1059" s="129">
        <f>DADOS_INVOC!$QB$67</f>
        <v/>
      </c>
      <c r="N1059" s="120" t="n"/>
      <c r="O1059" s="131" t="n"/>
      <c r="P1059" s="130" t="n"/>
      <c r="Q1059" s="16" t="n"/>
      <c r="R1059" s="17" t="n"/>
      <c r="S1059" s="129">
        <f>DADOS_INVOC!$QB$68</f>
        <v/>
      </c>
      <c r="T1059" s="120" t="n"/>
      <c r="U1059" s="131" t="n"/>
      <c r="V1059" s="130" t="n"/>
      <c r="W1059" s="16" t="n"/>
      <c r="X1059" s="17" t="n"/>
      <c r="Y1059" s="129">
        <f>DADOS_INVOC!$QB$69</f>
        <v/>
      </c>
      <c r="Z1059" s="120" t="n"/>
      <c r="AB1059" s="131" t="n"/>
      <c r="AC1059" s="130" t="n"/>
      <c r="AD1059" s="16" t="n"/>
      <c r="AE1059" s="17" t="n"/>
      <c r="AF1059" s="129">
        <f>DADOS_INVOC!$QB$145</f>
        <v/>
      </c>
      <c r="AG1059" s="120" t="n"/>
      <c r="AH1059" s="131" t="n"/>
      <c r="AI1059" s="130" t="n"/>
      <c r="AJ1059" s="16" t="n"/>
      <c r="AK1059" s="17" t="n"/>
      <c r="AL1059" s="129">
        <f>DADOS_INVOC!$QB$146</f>
        <v/>
      </c>
      <c r="AM1059" s="120" t="n"/>
      <c r="AN1059" s="131" t="n"/>
      <c r="AO1059" s="130" t="n"/>
      <c r="AP1059" s="16" t="n"/>
      <c r="AQ1059" s="17" t="n"/>
      <c r="AR1059" s="129">
        <f>DADOS_INVOC!$QB$147</f>
        <v/>
      </c>
      <c r="AS1059" s="120" t="n"/>
    </row>
    <row r="1060" hidden="1" outlineLevel="2">
      <c r="A1060" s="8" t="n"/>
      <c r="B1060" s="14" t="n"/>
      <c r="C1060" s="120" t="n"/>
      <c r="D1060" s="120" t="n"/>
      <c r="E1060" s="120" t="n"/>
      <c r="F1060" s="120" t="n"/>
      <c r="G1060" s="120" t="n"/>
      <c r="I1060" s="125" t="n"/>
      <c r="J1060" s="130" t="n"/>
      <c r="K1060" s="16" t="n"/>
      <c r="L1060" s="17" t="n"/>
      <c r="M1060" s="129">
        <f>DADOS_INVOC!$QC$67</f>
        <v/>
      </c>
      <c r="N1060" s="120" t="n"/>
      <c r="O1060" s="125" t="n"/>
      <c r="P1060" s="130" t="n"/>
      <c r="Q1060" s="16" t="n"/>
      <c r="R1060" s="17" t="n"/>
      <c r="S1060" s="129">
        <f>DADOS_INVOC!$QC$68</f>
        <v/>
      </c>
      <c r="T1060" s="120" t="n"/>
      <c r="U1060" s="125" t="n"/>
      <c r="V1060" s="130" t="n"/>
      <c r="W1060" s="16" t="n"/>
      <c r="X1060" s="17" t="n"/>
      <c r="Y1060" s="129">
        <f>DADOS_INVOC!$QC$69</f>
        <v/>
      </c>
      <c r="Z1060" s="120" t="n"/>
      <c r="AB1060" s="125" t="n"/>
      <c r="AC1060" s="130" t="n"/>
      <c r="AD1060" s="16" t="n"/>
      <c r="AE1060" s="17" t="n"/>
      <c r="AF1060" s="129">
        <f>DADOS_INVOC!$QC$145</f>
        <v/>
      </c>
      <c r="AG1060" s="120" t="n"/>
      <c r="AH1060" s="125" t="n"/>
      <c r="AI1060" s="130" t="n"/>
      <c r="AJ1060" s="16" t="n"/>
      <c r="AK1060" s="17" t="n"/>
      <c r="AL1060" s="129">
        <f>DADOS_INVOC!$QC$146</f>
        <v/>
      </c>
      <c r="AM1060" s="120" t="n"/>
      <c r="AN1060" s="125" t="n"/>
      <c r="AO1060" s="130" t="n"/>
      <c r="AP1060" s="16" t="n"/>
      <c r="AQ1060" s="17" t="n"/>
      <c r="AR1060" s="129">
        <f>DADOS_INVOC!$QC$147</f>
        <v/>
      </c>
      <c r="AS1060" s="120" t="n"/>
    </row>
    <row r="1061" hidden="1" outlineLevel="2">
      <c r="A1061" s="8" t="n"/>
      <c r="B1061" s="14" t="n"/>
      <c r="C1061" s="120" t="n"/>
      <c r="D1061" s="120" t="n"/>
      <c r="E1061" s="120" t="n"/>
      <c r="F1061" s="120" t="n"/>
      <c r="G1061" s="120" t="n"/>
      <c r="I1061" s="55" t="inlineStr">
        <is>
          <t>RESTRIÇÕES</t>
        </is>
      </c>
      <c r="J1061" s="130" t="n"/>
      <c r="K1061" s="16" t="n"/>
      <c r="L1061" s="17" t="n"/>
      <c r="M1061" s="129">
        <f>DADOS_INVOC!$QD$67</f>
        <v/>
      </c>
      <c r="N1061" s="120" t="n"/>
      <c r="O1061" s="55" t="inlineStr">
        <is>
          <t>RESTRIÇÕES</t>
        </is>
      </c>
      <c r="P1061" s="130" t="n"/>
      <c r="Q1061" s="16" t="n"/>
      <c r="R1061" s="17" t="n"/>
      <c r="S1061" s="129">
        <f>DADOS_INVOC!$QD$68</f>
        <v/>
      </c>
      <c r="T1061" s="120" t="n"/>
      <c r="U1061" s="55" t="inlineStr">
        <is>
          <t>RESTRIÇÕES</t>
        </is>
      </c>
      <c r="V1061" s="130" t="n"/>
      <c r="W1061" s="16" t="n"/>
      <c r="X1061" s="17" t="n"/>
      <c r="Y1061" s="129">
        <f>DADOS_INVOC!$QD$69</f>
        <v/>
      </c>
      <c r="Z1061" s="120" t="n"/>
      <c r="AB1061" s="55" t="inlineStr">
        <is>
          <t>RESTRIÇÕES</t>
        </is>
      </c>
      <c r="AC1061" s="130" t="n"/>
      <c r="AD1061" s="16" t="n"/>
      <c r="AE1061" s="17" t="n"/>
      <c r="AF1061" s="129">
        <f>DADOS_INVOC!$QD$145</f>
        <v/>
      </c>
      <c r="AG1061" s="120" t="n"/>
      <c r="AH1061" s="55" t="inlineStr">
        <is>
          <t>RESTRIÇÕES</t>
        </is>
      </c>
      <c r="AI1061" s="130" t="n"/>
      <c r="AJ1061" s="16" t="n"/>
      <c r="AK1061" s="17" t="n"/>
      <c r="AL1061" s="129">
        <f>DADOS_INVOC!$QD$146</f>
        <v/>
      </c>
      <c r="AM1061" s="120" t="n"/>
      <c r="AN1061" s="55" t="inlineStr">
        <is>
          <t>RESTRIÇÕES</t>
        </is>
      </c>
      <c r="AO1061" s="130" t="n"/>
      <c r="AP1061" s="16" t="n"/>
      <c r="AQ1061" s="17" t="n"/>
      <c r="AR1061" s="129">
        <f>DADOS_INVOC!$QD$147</f>
        <v/>
      </c>
      <c r="AS1061" s="120" t="n"/>
    </row>
    <row r="1062" hidden="1" outlineLevel="2">
      <c r="A1062" s="8" t="n"/>
      <c r="B1062" s="14" t="n"/>
      <c r="C1062" s="120" t="n"/>
      <c r="D1062" s="120" t="n"/>
      <c r="E1062" s="120" t="n"/>
      <c r="F1062" s="120" t="n"/>
      <c r="G1062" s="120" t="n"/>
      <c r="I1062" s="125" t="n"/>
      <c r="J1062" s="130" t="n"/>
      <c r="K1062" s="16" t="n"/>
      <c r="L1062" s="17" t="n"/>
      <c r="M1062" s="129">
        <f>DADOS_INVOC!$QE$67</f>
        <v/>
      </c>
      <c r="N1062" s="120" t="n"/>
      <c r="O1062" s="125" t="n"/>
      <c r="P1062" s="130" t="n"/>
      <c r="Q1062" s="16" t="n"/>
      <c r="R1062" s="17" t="n"/>
      <c r="S1062" s="129">
        <f>DADOS_INVOC!$QE$68</f>
        <v/>
      </c>
      <c r="T1062" s="120" t="n"/>
      <c r="U1062" s="125" t="n"/>
      <c r="V1062" s="130" t="n"/>
      <c r="W1062" s="16" t="n"/>
      <c r="X1062" s="17" t="n"/>
      <c r="Y1062" s="129">
        <f>DADOS_INVOC!$QE$69</f>
        <v/>
      </c>
      <c r="Z1062" s="120" t="n"/>
      <c r="AB1062" s="125" t="n"/>
      <c r="AC1062" s="130" t="n"/>
      <c r="AD1062" s="16" t="n"/>
      <c r="AE1062" s="17" t="n"/>
      <c r="AF1062" s="129">
        <f>DADOS_INVOC!$QE$145</f>
        <v/>
      </c>
      <c r="AG1062" s="120" t="n"/>
      <c r="AH1062" s="125" t="n"/>
      <c r="AI1062" s="130" t="n"/>
      <c r="AJ1062" s="16" t="n"/>
      <c r="AK1062" s="17" t="n"/>
      <c r="AL1062" s="129">
        <f>DADOS_INVOC!$QE$146</f>
        <v/>
      </c>
      <c r="AM1062" s="120" t="n"/>
      <c r="AN1062" s="125" t="n"/>
      <c r="AO1062" s="130" t="n"/>
      <c r="AP1062" s="16" t="n"/>
      <c r="AQ1062" s="17" t="n"/>
      <c r="AR1062" s="129">
        <f>DADOS_INVOC!$QE$147</f>
        <v/>
      </c>
      <c r="AS1062" s="120" t="n"/>
    </row>
    <row r="1063" hidden="1" outlineLevel="2">
      <c r="A1063" s="8" t="n"/>
      <c r="B1063" s="14" t="n"/>
      <c r="C1063" s="120" t="n"/>
      <c r="D1063" s="120" t="n"/>
      <c r="E1063" s="120" t="n"/>
      <c r="F1063" s="120" t="n"/>
      <c r="G1063" s="120" t="n"/>
      <c r="I1063" s="55" t="inlineStr">
        <is>
          <t>CONTA</t>
        </is>
      </c>
      <c r="J1063" s="132">
        <f>DADOS_INVOC!$PX$67</f>
        <v/>
      </c>
      <c r="K1063" s="16" t="n"/>
      <c r="L1063" s="16" t="n"/>
      <c r="M1063" s="17" t="n"/>
      <c r="N1063" s="120" t="n"/>
      <c r="O1063" s="55" t="inlineStr">
        <is>
          <t>CONTA</t>
        </is>
      </c>
      <c r="P1063" s="132">
        <f>DADOS_INVOC!$PX$68</f>
        <v/>
      </c>
      <c r="Q1063" s="16" t="n"/>
      <c r="R1063" s="16" t="n"/>
      <c r="S1063" s="17" t="n"/>
      <c r="T1063" s="120" t="n"/>
      <c r="U1063" s="55" t="inlineStr">
        <is>
          <t>CONTA</t>
        </is>
      </c>
      <c r="V1063" s="132">
        <f>DADOS_INVOC!$PX$69</f>
        <v/>
      </c>
      <c r="W1063" s="16" t="n"/>
      <c r="X1063" s="16" t="n"/>
      <c r="Y1063" s="17" t="n"/>
      <c r="Z1063" s="120" t="n"/>
      <c r="AB1063" s="55" t="inlineStr">
        <is>
          <t>CONTA</t>
        </is>
      </c>
      <c r="AC1063" s="132">
        <f>DADOS_INVOC!$PX$145</f>
        <v/>
      </c>
      <c r="AD1063" s="16" t="n"/>
      <c r="AE1063" s="16" t="n"/>
      <c r="AF1063" s="17" t="n"/>
      <c r="AG1063" s="120" t="n"/>
      <c r="AH1063" s="55" t="inlineStr">
        <is>
          <t>CONTA</t>
        </is>
      </c>
      <c r="AI1063" s="132">
        <f>DADOS_INVOC!$PX$146</f>
        <v/>
      </c>
      <c r="AJ1063" s="16" t="n"/>
      <c r="AK1063" s="16" t="n"/>
      <c r="AL1063" s="17" t="n"/>
      <c r="AM1063" s="120" t="n"/>
      <c r="AN1063" s="55" t="inlineStr">
        <is>
          <t>CONTA</t>
        </is>
      </c>
      <c r="AO1063" s="132">
        <f>DADOS_INVOC!$PX$147</f>
        <v/>
      </c>
      <c r="AP1063" s="16" t="n"/>
      <c r="AQ1063" s="16" t="n"/>
      <c r="AR1063" s="17" t="n"/>
      <c r="AS1063" s="120" t="n"/>
    </row>
    <row r="1064" hidden="1" outlineLevel="2">
      <c r="A1064" s="8" t="n"/>
      <c r="B1064" s="14" t="n"/>
      <c r="C1064" s="120" t="n"/>
      <c r="D1064" s="120" t="n"/>
      <c r="E1064" s="120" t="n"/>
      <c r="F1064" s="120" t="n"/>
      <c r="G1064" s="120" t="n"/>
      <c r="I1064" s="55" t="inlineStr">
        <is>
          <t>AMPLIAR</t>
        </is>
      </c>
      <c r="J1064" s="132">
        <f>DADOS_INVOC!$PY$67</f>
        <v/>
      </c>
      <c r="K1064" s="19" t="n"/>
      <c r="L1064" s="19" t="n"/>
      <c r="M1064" s="20" t="n"/>
      <c r="N1064" s="120" t="n"/>
      <c r="O1064" s="55" t="inlineStr">
        <is>
          <t>AMPLIAR</t>
        </is>
      </c>
      <c r="P1064" s="132">
        <f>DADOS_INVOC!$PY$68</f>
        <v/>
      </c>
      <c r="Q1064" s="19" t="n"/>
      <c r="R1064" s="19" t="n"/>
      <c r="S1064" s="20" t="n"/>
      <c r="T1064" s="120" t="n"/>
      <c r="U1064" s="55" t="inlineStr">
        <is>
          <t>AMPLIAR</t>
        </is>
      </c>
      <c r="V1064" s="132">
        <f>DADOS_INVOC!$PY$69</f>
        <v/>
      </c>
      <c r="W1064" s="19" t="n"/>
      <c r="X1064" s="19" t="n"/>
      <c r="Y1064" s="20" t="n"/>
      <c r="Z1064" s="120" t="n"/>
      <c r="AB1064" s="55" t="inlineStr">
        <is>
          <t>AMPLIAR</t>
        </is>
      </c>
      <c r="AC1064" s="132">
        <f>DADOS_INVOC!$PY$145</f>
        <v/>
      </c>
      <c r="AD1064" s="19" t="n"/>
      <c r="AE1064" s="19" t="n"/>
      <c r="AF1064" s="20" t="n"/>
      <c r="AG1064" s="120" t="n"/>
      <c r="AH1064" s="55" t="inlineStr">
        <is>
          <t>AMPLIAR</t>
        </is>
      </c>
      <c r="AI1064" s="132">
        <f>DADOS_INVOC!$PY$146</f>
        <v/>
      </c>
      <c r="AJ1064" s="19" t="n"/>
      <c r="AK1064" s="19" t="n"/>
      <c r="AL1064" s="20" t="n"/>
      <c r="AM1064" s="120" t="n"/>
      <c r="AN1064" s="55" t="inlineStr">
        <is>
          <t>AMPLIAR</t>
        </is>
      </c>
      <c r="AO1064" s="132">
        <f>DADOS_INVOC!$PY$147</f>
        <v/>
      </c>
      <c r="AP1064" s="19" t="n"/>
      <c r="AQ1064" s="19" t="n"/>
      <c r="AR1064" s="20" t="n"/>
      <c r="AS1064" s="120" t="n"/>
    </row>
    <row r="1065" hidden="1" outlineLevel="2">
      <c r="A1065" s="8" t="n"/>
      <c r="B1065" s="14" t="n"/>
      <c r="C1065" s="120" t="n"/>
      <c r="D1065" s="120" t="n"/>
      <c r="E1065" s="120" t="n"/>
      <c r="F1065" s="120" t="n"/>
      <c r="G1065" s="120" t="n"/>
      <c r="I1065" s="125" t="n"/>
      <c r="J1065" s="23" t="n"/>
      <c r="K1065" s="24" t="n"/>
      <c r="L1065" s="24" t="n"/>
      <c r="M1065" s="25" t="n"/>
      <c r="N1065" s="120" t="n"/>
      <c r="O1065" s="125" t="n"/>
      <c r="P1065" s="23" t="n"/>
      <c r="Q1065" s="24" t="n"/>
      <c r="R1065" s="24" t="n"/>
      <c r="S1065" s="25" t="n"/>
      <c r="T1065" s="120" t="n"/>
      <c r="U1065" s="125" t="n"/>
      <c r="V1065" s="23" t="n"/>
      <c r="W1065" s="24" t="n"/>
      <c r="X1065" s="24" t="n"/>
      <c r="Y1065" s="25" t="n"/>
      <c r="Z1065" s="120" t="n"/>
      <c r="AB1065" s="125" t="n"/>
      <c r="AC1065" s="23" t="n"/>
      <c r="AD1065" s="24" t="n"/>
      <c r="AE1065" s="24" t="n"/>
      <c r="AF1065" s="25" t="n"/>
      <c r="AG1065" s="120" t="n"/>
      <c r="AH1065" s="125" t="n"/>
      <c r="AI1065" s="23" t="n"/>
      <c r="AJ1065" s="24" t="n"/>
      <c r="AK1065" s="24" t="n"/>
      <c r="AL1065" s="25" t="n"/>
      <c r="AM1065" s="120" t="n"/>
      <c r="AN1065" s="125" t="n"/>
      <c r="AO1065" s="23" t="n"/>
      <c r="AP1065" s="24" t="n"/>
      <c r="AQ1065" s="24" t="n"/>
      <c r="AR1065" s="25" t="n"/>
      <c r="AS1065" s="120" t="n"/>
    </row>
    <row r="1066" hidden="1" outlineLevel="2">
      <c r="A1066" s="8" t="n"/>
      <c r="B1066" s="14" t="n"/>
      <c r="C1066" s="120" t="n"/>
      <c r="D1066" s="120" t="n"/>
      <c r="E1066" s="120" t="n"/>
      <c r="F1066" s="120" t="n"/>
      <c r="G1066" s="120" t="n"/>
      <c r="I1066" s="132">
        <f>DADOS_INVOC!$PL$67</f>
        <v/>
      </c>
      <c r="J1066" s="19" t="n"/>
      <c r="K1066" s="19" t="n"/>
      <c r="L1066" s="19" t="n"/>
      <c r="M1066" s="20" t="n"/>
      <c r="N1066" s="120" t="n"/>
      <c r="O1066" s="132">
        <f>DADOS_INVOC!$PL$68</f>
        <v/>
      </c>
      <c r="P1066" s="19" t="n"/>
      <c r="Q1066" s="19" t="n"/>
      <c r="R1066" s="19" t="n"/>
      <c r="S1066" s="20" t="n"/>
      <c r="T1066" s="120" t="n"/>
      <c r="U1066" s="132">
        <f>DADOS_INVOC!$PL$69</f>
        <v/>
      </c>
      <c r="V1066" s="19" t="n"/>
      <c r="W1066" s="19" t="n"/>
      <c r="X1066" s="19" t="n"/>
      <c r="Y1066" s="20" t="n"/>
      <c r="Z1066" s="120" t="n"/>
      <c r="AB1066" s="132">
        <f>DADOS_INVOC!$PL$145</f>
        <v/>
      </c>
      <c r="AC1066" s="19" t="n"/>
      <c r="AD1066" s="19" t="n"/>
      <c r="AE1066" s="19" t="n"/>
      <c r="AF1066" s="20" t="n"/>
      <c r="AG1066" s="120" t="n"/>
      <c r="AH1066" s="132">
        <f>DADOS_INVOC!$PL$146</f>
        <v/>
      </c>
      <c r="AI1066" s="19" t="n"/>
      <c r="AJ1066" s="19" t="n"/>
      <c r="AK1066" s="19" t="n"/>
      <c r="AL1066" s="20" t="n"/>
      <c r="AM1066" s="120" t="n"/>
      <c r="AN1066" s="132">
        <f>DADOS_INVOC!$PL$147</f>
        <v/>
      </c>
      <c r="AO1066" s="19" t="n"/>
      <c r="AP1066" s="19" t="n"/>
      <c r="AQ1066" s="19" t="n"/>
      <c r="AR1066" s="20" t="n"/>
      <c r="AS1066" s="120" t="n"/>
    </row>
    <row r="1067" hidden="1" outlineLevel="2">
      <c r="A1067" s="8" t="n"/>
      <c r="B1067" s="14" t="n"/>
      <c r="C1067" s="120" t="n"/>
      <c r="D1067" s="120" t="n"/>
      <c r="E1067" s="120" t="n"/>
      <c r="F1067" s="120" t="n"/>
      <c r="G1067" s="120" t="n"/>
      <c r="I1067" s="23" t="n"/>
      <c r="J1067" s="24" t="n"/>
      <c r="K1067" s="24" t="n"/>
      <c r="L1067" s="24" t="n"/>
      <c r="M1067" s="25" t="n"/>
      <c r="N1067" s="120" t="n"/>
      <c r="O1067" s="23" t="n"/>
      <c r="P1067" s="24" t="n"/>
      <c r="Q1067" s="24" t="n"/>
      <c r="R1067" s="24" t="n"/>
      <c r="S1067" s="25" t="n"/>
      <c r="T1067" s="120" t="n"/>
      <c r="U1067" s="23" t="n"/>
      <c r="V1067" s="24" t="n"/>
      <c r="W1067" s="24" t="n"/>
      <c r="X1067" s="24" t="n"/>
      <c r="Y1067" s="25" t="n"/>
      <c r="Z1067" s="120" t="n"/>
      <c r="AB1067" s="23" t="n"/>
      <c r="AC1067" s="24" t="n"/>
      <c r="AD1067" s="24" t="n"/>
      <c r="AE1067" s="24" t="n"/>
      <c r="AF1067" s="25" t="n"/>
      <c r="AG1067" s="120" t="n"/>
      <c r="AH1067" s="23" t="n"/>
      <c r="AI1067" s="24" t="n"/>
      <c r="AJ1067" s="24" t="n"/>
      <c r="AK1067" s="24" t="n"/>
      <c r="AL1067" s="25" t="n"/>
      <c r="AM1067" s="120" t="n"/>
      <c r="AN1067" s="23" t="n"/>
      <c r="AO1067" s="24" t="n"/>
      <c r="AP1067" s="24" t="n"/>
      <c r="AQ1067" s="24" t="n"/>
      <c r="AR1067" s="25" t="n"/>
      <c r="AS1067" s="120" t="n"/>
    </row>
    <row r="1068" hidden="1" outlineLevel="1">
      <c r="A1068" s="8" t="n"/>
      <c r="B1068" s="14" t="n"/>
      <c r="C1068" s="120" t="n"/>
      <c r="D1068" s="120" t="n"/>
      <c r="E1068" s="120" t="n"/>
      <c r="F1068" s="120" t="n"/>
      <c r="G1068" s="120" t="n"/>
      <c r="I1068" s="120" t="n"/>
      <c r="J1068" s="120" t="n"/>
      <c r="K1068" s="120" t="n"/>
      <c r="L1068" s="120" t="n"/>
      <c r="M1068" s="120" t="n"/>
      <c r="N1068" s="120" t="n"/>
      <c r="O1068" s="120" t="n"/>
      <c r="P1068" s="120" t="n"/>
      <c r="Q1068" s="120" t="n"/>
      <c r="R1068" s="120" t="n"/>
      <c r="S1068" s="120" t="n"/>
      <c r="T1068" s="120" t="n"/>
      <c r="U1068" s="120" t="n"/>
      <c r="V1068" s="120" t="n"/>
      <c r="W1068" s="120" t="n"/>
      <c r="X1068" s="120" t="n"/>
      <c r="Y1068" s="120" t="n"/>
      <c r="Z1068" s="120" t="n"/>
      <c r="AB1068" s="120" t="n"/>
      <c r="AC1068" s="120" t="n"/>
      <c r="AD1068" s="120" t="n"/>
      <c r="AE1068" s="120" t="n"/>
      <c r="AF1068" s="120" t="n"/>
      <c r="AG1068" s="120" t="n"/>
      <c r="AH1068" s="120" t="n"/>
      <c r="AI1068" s="120" t="n"/>
      <c r="AJ1068" s="120" t="n"/>
      <c r="AK1068" s="120" t="n"/>
      <c r="AL1068" s="120" t="n"/>
      <c r="AM1068" s="120" t="n"/>
      <c r="AN1068" s="120" t="n"/>
      <c r="AO1068" s="120" t="n"/>
      <c r="AP1068" s="120" t="n"/>
      <c r="AQ1068" s="120" t="n"/>
      <c r="AR1068" s="120" t="n"/>
      <c r="AS1068" s="120" t="n"/>
    </row>
    <row r="1069" hidden="1" outlineLevel="1">
      <c r="A1069" s="8" t="n"/>
      <c r="B1069" s="14" t="n"/>
      <c r="C1069" s="120" t="n"/>
      <c r="D1069" s="120" t="n"/>
      <c r="E1069" s="120" t="n"/>
      <c r="F1069" s="120" t="n"/>
      <c r="G1069" s="120" t="n"/>
      <c r="I1069" s="55">
        <f>DADOS_INVOC!$HU$7</f>
        <v/>
      </c>
      <c r="J1069" s="16" t="n"/>
      <c r="K1069" s="16" t="n"/>
      <c r="L1069" s="16" t="n"/>
      <c r="M1069" s="16" t="n"/>
      <c r="N1069" s="16" t="n"/>
      <c r="O1069" s="16" t="n"/>
      <c r="P1069" s="16" t="n"/>
      <c r="Q1069" s="16" t="n"/>
      <c r="R1069" s="16" t="n"/>
      <c r="S1069" s="16" t="n"/>
      <c r="T1069" s="16" t="n"/>
      <c r="U1069" s="16" t="n"/>
      <c r="V1069" s="16" t="n"/>
      <c r="W1069" s="16" t="n"/>
      <c r="X1069" s="16" t="n"/>
      <c r="Y1069" s="17" t="n"/>
      <c r="Z1069" s="120" t="n"/>
      <c r="AB1069" s="55">
        <f>DADOS_INVOC!$HU$13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0" t="n"/>
    </row>
    <row r="1070" hidden="1" outlineLevel="1">
      <c r="A1070" s="8" t="n"/>
      <c r="B1070" s="14" t="n"/>
      <c r="C1070" s="120" t="n"/>
      <c r="D1070" s="120" t="n"/>
      <c r="E1070" s="120" t="n"/>
      <c r="F1070" s="120" t="n"/>
      <c r="G1070" s="120" t="n"/>
      <c r="I1070" s="55" t="inlineStr">
        <is>
          <t>NV 1 · CE 1</t>
        </is>
      </c>
      <c r="J1070" s="130" t="n"/>
      <c r="K1070" s="16" t="n"/>
      <c r="L1070" s="17" t="n"/>
      <c r="M1070" s="137">
        <f>DADOS_INVOC!$ID$7</f>
        <v/>
      </c>
      <c r="N1070" s="16" t="n"/>
      <c r="O1070" s="16" t="n"/>
      <c r="P1070" s="16" t="n"/>
      <c r="Q1070" s="16" t="n"/>
      <c r="R1070" s="16" t="n"/>
      <c r="S1070" s="16" t="n"/>
      <c r="T1070" s="16" t="n"/>
      <c r="U1070" s="16" t="n"/>
      <c r="V1070" s="16" t="n"/>
      <c r="W1070" s="16" t="n"/>
      <c r="X1070" s="16" t="n"/>
      <c r="Y1070" s="17" t="n"/>
      <c r="Z1070" s="120" t="n"/>
      <c r="AB1070" s="55" t="inlineStr">
        <is>
          <t>NV 1 · CE 1</t>
        </is>
      </c>
      <c r="AC1070" s="130" t="n"/>
      <c r="AD1070" s="16" t="n"/>
      <c r="AE1070" s="17" t="n"/>
      <c r="AF1070" s="137">
        <f>DADOS_INVOC!$ID$13</f>
        <v/>
      </c>
      <c r="AG1070" s="16" t="n"/>
      <c r="AH1070" s="16" t="n"/>
      <c r="AI1070" s="16" t="n"/>
      <c r="AJ1070" s="16" t="n"/>
      <c r="AK1070" s="16" t="n"/>
      <c r="AL1070" s="16" t="n"/>
      <c r="AM1070" s="16" t="n"/>
      <c r="AN1070" s="16" t="n"/>
      <c r="AO1070" s="16" t="n"/>
      <c r="AP1070" s="16" t="n"/>
      <c r="AQ1070" s="16" t="n"/>
      <c r="AR1070" s="17" t="n"/>
      <c r="AS1070" s="120" t="n"/>
    </row>
    <row r="1071" hidden="1" outlineLevel="1">
      <c r="A1071" s="8" t="n"/>
      <c r="B1071" s="14" t="n"/>
      <c r="C1071" s="120" t="n"/>
      <c r="D1071" s="120" t="n"/>
      <c r="E1071" s="120" t="n"/>
      <c r="F1071" s="120" t="n"/>
      <c r="G1071" s="120" t="n"/>
      <c r="I1071" s="55" t="inlineStr">
        <is>
          <t>NV 6 · CE 1</t>
        </is>
      </c>
      <c r="J1071" s="130" t="n"/>
      <c r="K1071" s="16" t="n"/>
      <c r="L1071" s="17" t="n"/>
      <c r="M1071" s="137">
        <f>DADOS_INVOC!$IE$7</f>
        <v/>
      </c>
      <c r="N1071" s="16" t="n"/>
      <c r="O1071" s="16" t="n"/>
      <c r="P1071" s="16" t="n"/>
      <c r="Q1071" s="16" t="n"/>
      <c r="R1071" s="16" t="n"/>
      <c r="S1071" s="16" t="n"/>
      <c r="T1071" s="16" t="n"/>
      <c r="U1071" s="16" t="n"/>
      <c r="V1071" s="16" t="n"/>
      <c r="W1071" s="16" t="n"/>
      <c r="X1071" s="16" t="n"/>
      <c r="Y1071" s="17" t="n"/>
      <c r="Z1071" s="120" t="n"/>
      <c r="AB1071" s="55" t="inlineStr">
        <is>
          <t>NV 6 · CE 1</t>
        </is>
      </c>
      <c r="AC1071" s="130" t="n"/>
      <c r="AD1071" s="16" t="n"/>
      <c r="AE1071" s="17" t="n"/>
      <c r="AF1071" s="137">
        <f>DADOS_INVOC!$IE$13</f>
        <v/>
      </c>
      <c r="AG1071" s="16" t="n"/>
      <c r="AH1071" s="16" t="n"/>
      <c r="AI1071" s="16" t="n"/>
      <c r="AJ1071" s="16" t="n"/>
      <c r="AK1071" s="16" t="n"/>
      <c r="AL1071" s="16" t="n"/>
      <c r="AM1071" s="16" t="n"/>
      <c r="AN1071" s="16" t="n"/>
      <c r="AO1071" s="16" t="n"/>
      <c r="AP1071" s="16" t="n"/>
      <c r="AQ1071" s="16" t="n"/>
      <c r="AR1071" s="17" t="n"/>
      <c r="AS1071" s="120" t="n"/>
    </row>
    <row r="1072" hidden="1" outlineLevel="1">
      <c r="A1072" s="8" t="n"/>
      <c r="B1072" s="14" t="n"/>
      <c r="C1072" s="120" t="n"/>
      <c r="D1072" s="120" t="n"/>
      <c r="E1072" s="120" t="n"/>
      <c r="F1072" s="120" t="n"/>
      <c r="G1072" s="120" t="n"/>
      <c r="I1072" s="55" t="inlineStr">
        <is>
          <t>NV 10 · CE 2</t>
        </is>
      </c>
      <c r="J1072" s="130" t="n"/>
      <c r="K1072" s="16" t="n"/>
      <c r="L1072" s="17" t="n"/>
      <c r="M1072" s="137">
        <f>DADOS_INVOC!$IF$7</f>
        <v/>
      </c>
      <c r="N1072" s="16" t="n"/>
      <c r="O1072" s="16" t="n"/>
      <c r="P1072" s="16" t="n"/>
      <c r="Q1072" s="16" t="n"/>
      <c r="R1072" s="16" t="n"/>
      <c r="S1072" s="16" t="n"/>
      <c r="T1072" s="16" t="n"/>
      <c r="U1072" s="16" t="n"/>
      <c r="V1072" s="16" t="n"/>
      <c r="W1072" s="16" t="n"/>
      <c r="X1072" s="16" t="n"/>
      <c r="Y1072" s="17" t="n"/>
      <c r="Z1072" s="120" t="n"/>
      <c r="AB1072" s="55" t="inlineStr">
        <is>
          <t>NV 10 · CE 2</t>
        </is>
      </c>
      <c r="AC1072" s="130" t="n"/>
      <c r="AD1072" s="16" t="n"/>
      <c r="AE1072" s="17" t="n"/>
      <c r="AF1072" s="137">
        <f>DADOS_INVOC!$IF$13</f>
        <v/>
      </c>
      <c r="AG1072" s="16" t="n"/>
      <c r="AH1072" s="16" t="n"/>
      <c r="AI1072" s="16" t="n"/>
      <c r="AJ1072" s="16" t="n"/>
      <c r="AK1072" s="16" t="n"/>
      <c r="AL1072" s="16" t="n"/>
      <c r="AM1072" s="16" t="n"/>
      <c r="AN1072" s="16" t="n"/>
      <c r="AO1072" s="16" t="n"/>
      <c r="AP1072" s="16" t="n"/>
      <c r="AQ1072" s="16" t="n"/>
      <c r="AR1072" s="17" t="n"/>
      <c r="AS1072" s="120" t="n"/>
    </row>
    <row r="1073" hidden="1" outlineLevel="1">
      <c r="A1073" s="8" t="n"/>
      <c r="B1073" s="14" t="n"/>
      <c r="C1073" s="120" t="n"/>
      <c r="D1073" s="120" t="n"/>
      <c r="E1073" s="120" t="n"/>
      <c r="F1073" s="120" t="n"/>
      <c r="G1073" s="120" t="n"/>
      <c r="I1073" s="55" t="inlineStr">
        <is>
          <t>NV 14 · CE 3</t>
        </is>
      </c>
      <c r="J1073" s="130" t="n"/>
      <c r="K1073" s="16" t="n"/>
      <c r="L1073" s="17" t="n"/>
      <c r="M1073" s="137">
        <f>DADOS_INVOC!$IG$7</f>
        <v/>
      </c>
      <c r="N1073" s="16" t="n"/>
      <c r="O1073" s="16" t="n"/>
      <c r="P1073" s="16" t="n"/>
      <c r="Q1073" s="16" t="n"/>
      <c r="R1073" s="16" t="n"/>
      <c r="S1073" s="16" t="n"/>
      <c r="T1073" s="16" t="n"/>
      <c r="U1073" s="16" t="n"/>
      <c r="V1073" s="16" t="n"/>
      <c r="W1073" s="16" t="n"/>
      <c r="X1073" s="16" t="n"/>
      <c r="Y1073" s="17" t="n"/>
      <c r="Z1073" s="120" t="n"/>
      <c r="AB1073" s="55" t="inlineStr">
        <is>
          <t>NV 14 · CE 3</t>
        </is>
      </c>
      <c r="AC1073" s="130" t="n"/>
      <c r="AD1073" s="16" t="n"/>
      <c r="AE1073" s="17" t="n"/>
      <c r="AF1073" s="137">
        <f>DADOS_INVOC!$IG$13</f>
        <v/>
      </c>
      <c r="AG1073" s="16" t="n"/>
      <c r="AH1073" s="16" t="n"/>
      <c r="AI1073" s="16" t="n"/>
      <c r="AJ1073" s="16" t="n"/>
      <c r="AK1073" s="16" t="n"/>
      <c r="AL1073" s="16" t="n"/>
      <c r="AM1073" s="16" t="n"/>
      <c r="AN1073" s="16" t="n"/>
      <c r="AO1073" s="16" t="n"/>
      <c r="AP1073" s="16" t="n"/>
      <c r="AQ1073" s="16" t="n"/>
      <c r="AR1073" s="17" t="n"/>
      <c r="AS1073" s="120" t="n"/>
    </row>
    <row r="1074" hidden="1" outlineLevel="1">
      <c r="A1074" s="8" t="n"/>
      <c r="B1074" s="14" t="n"/>
      <c r="C1074" s="120" t="n"/>
      <c r="D1074" s="120" t="n"/>
      <c r="E1074" s="120" t="n"/>
      <c r="F1074" s="120" t="n"/>
      <c r="G1074" s="120" t="n"/>
      <c r="I1074" s="55" t="inlineStr">
        <is>
          <t>NV 18 · CE 3</t>
        </is>
      </c>
      <c r="J1074" s="130" t="n"/>
      <c r="K1074" s="16" t="n"/>
      <c r="L1074" s="17" t="n"/>
      <c r="M1074" s="137">
        <f>DADOS_INVOC!$IH$7</f>
        <v/>
      </c>
      <c r="N1074" s="16" t="n"/>
      <c r="O1074" s="16" t="n"/>
      <c r="P1074" s="16" t="n"/>
      <c r="Q1074" s="16" t="n"/>
      <c r="R1074" s="16" t="n"/>
      <c r="S1074" s="16" t="n"/>
      <c r="T1074" s="16" t="n"/>
      <c r="U1074" s="16" t="n"/>
      <c r="V1074" s="16" t="n"/>
      <c r="W1074" s="16" t="n"/>
      <c r="X1074" s="16" t="n"/>
      <c r="Y1074" s="17" t="n"/>
      <c r="Z1074" s="120" t="n"/>
      <c r="AB1074" s="55" t="inlineStr">
        <is>
          <t>NV 18 · CE 3</t>
        </is>
      </c>
      <c r="AC1074" s="130" t="n"/>
      <c r="AD1074" s="16" t="n"/>
      <c r="AE1074" s="17" t="n"/>
      <c r="AF1074" s="137">
        <f>DADOS_INVOC!$IH$13</f>
        <v/>
      </c>
      <c r="AG1074" s="16" t="n"/>
      <c r="AH1074" s="16" t="n"/>
      <c r="AI1074" s="16" t="n"/>
      <c r="AJ1074" s="16" t="n"/>
      <c r="AK1074" s="16" t="n"/>
      <c r="AL1074" s="16" t="n"/>
      <c r="AM1074" s="16" t="n"/>
      <c r="AN1074" s="16" t="n"/>
      <c r="AO1074" s="16" t="n"/>
      <c r="AP1074" s="16" t="n"/>
      <c r="AQ1074" s="16" t="n"/>
      <c r="AR1074" s="17" t="n"/>
      <c r="AS1074" s="120" t="n"/>
    </row>
    <row r="1075" hidden="1" outlineLevel="1">
      <c r="A1075" s="8" t="n"/>
      <c r="B1075" s="14" t="n"/>
      <c r="C1075" s="120" t="n"/>
      <c r="D1075" s="120" t="n"/>
      <c r="E1075" s="120" t="n"/>
      <c r="F1075" s="120" t="n"/>
      <c r="G1075" s="120" t="n"/>
      <c r="I1075" s="55" t="inlineStr">
        <is>
          <t>NV 22 · CE 3</t>
        </is>
      </c>
      <c r="J1075" s="130" t="n"/>
      <c r="K1075" s="16" t="n"/>
      <c r="L1075" s="17" t="n"/>
      <c r="M1075" s="137">
        <f>DADOS_INVOC!$II$7</f>
        <v/>
      </c>
      <c r="N1075" s="16" t="n"/>
      <c r="O1075" s="16" t="n"/>
      <c r="P1075" s="16" t="n"/>
      <c r="Q1075" s="16" t="n"/>
      <c r="R1075" s="16" t="n"/>
      <c r="S1075" s="16" t="n"/>
      <c r="T1075" s="16" t="n"/>
      <c r="U1075" s="16" t="n"/>
      <c r="V1075" s="16" t="n"/>
      <c r="W1075" s="16" t="n"/>
      <c r="X1075" s="16" t="n"/>
      <c r="Y1075" s="17" t="n"/>
      <c r="Z1075" s="120" t="n"/>
      <c r="AB1075" s="55" t="inlineStr">
        <is>
          <t>NV 22 · CE 3</t>
        </is>
      </c>
      <c r="AC1075" s="130" t="n"/>
      <c r="AD1075" s="16" t="n"/>
      <c r="AE1075" s="17" t="n"/>
      <c r="AF1075" s="137">
        <f>DADOS_INVOC!$II$13</f>
        <v/>
      </c>
      <c r="AG1075" s="16" t="n"/>
      <c r="AH1075" s="16" t="n"/>
      <c r="AI1075" s="16" t="n"/>
      <c r="AJ1075" s="16" t="n"/>
      <c r="AK1075" s="16" t="n"/>
      <c r="AL1075" s="16" t="n"/>
      <c r="AM1075" s="16" t="n"/>
      <c r="AN1075" s="16" t="n"/>
      <c r="AO1075" s="16" t="n"/>
      <c r="AP1075" s="16" t="n"/>
      <c r="AQ1075" s="16" t="n"/>
      <c r="AR1075" s="17" t="n"/>
      <c r="AS1075" s="120" t="n"/>
    </row>
    <row r="1076" hidden="1" outlineLevel="1">
      <c r="A1076" s="8" t="n"/>
      <c r="B1076" s="14" t="n"/>
      <c r="C1076" s="120" t="n"/>
      <c r="D1076" s="120" t="n"/>
      <c r="E1076" s="120" t="n"/>
      <c r="F1076" s="120" t="n"/>
      <c r="G1076" s="120" t="n"/>
      <c r="I1076" s="55" t="inlineStr">
        <is>
          <t>NV 26 · CE 3</t>
        </is>
      </c>
      <c r="J1076" s="130" t="n"/>
      <c r="K1076" s="16" t="n"/>
      <c r="L1076" s="17" t="n"/>
      <c r="M1076" s="137">
        <f>DADOS_INVOC!$IJ$7</f>
        <v/>
      </c>
      <c r="N1076" s="16" t="n"/>
      <c r="O1076" s="16" t="n"/>
      <c r="P1076" s="16" t="n"/>
      <c r="Q1076" s="16" t="n"/>
      <c r="R1076" s="16" t="n"/>
      <c r="S1076" s="16" t="n"/>
      <c r="T1076" s="16" t="n"/>
      <c r="U1076" s="16" t="n"/>
      <c r="V1076" s="16" t="n"/>
      <c r="W1076" s="16" t="n"/>
      <c r="X1076" s="16" t="n"/>
      <c r="Y1076" s="17" t="n"/>
      <c r="Z1076" s="120" t="n"/>
      <c r="AB1076" s="55" t="inlineStr">
        <is>
          <t>NV 26 · CE 3</t>
        </is>
      </c>
      <c r="AC1076" s="130" t="n"/>
      <c r="AD1076" s="16" t="n"/>
      <c r="AE1076" s="17" t="n"/>
      <c r="AF1076" s="137">
        <f>DADOS_INVOC!$IJ$13</f>
        <v/>
      </c>
      <c r="AG1076" s="16" t="n"/>
      <c r="AH1076" s="16" t="n"/>
      <c r="AI1076" s="16" t="n"/>
      <c r="AJ1076" s="16" t="n"/>
      <c r="AK1076" s="16" t="n"/>
      <c r="AL1076" s="16" t="n"/>
      <c r="AM1076" s="16" t="n"/>
      <c r="AN1076" s="16" t="n"/>
      <c r="AO1076" s="16" t="n"/>
      <c r="AP1076" s="16" t="n"/>
      <c r="AQ1076" s="16" t="n"/>
      <c r="AR1076" s="17" t="n"/>
      <c r="AS1076" s="120" t="n"/>
    </row>
    <row r="1077" hidden="1" outlineLevel="1">
      <c r="A1077" s="8" t="n"/>
      <c r="B1077" s="14" t="n"/>
      <c r="C1077" s="120" t="n"/>
      <c r="D1077" s="120" t="n"/>
      <c r="E1077" s="120" t="n"/>
      <c r="F1077" s="120" t="n"/>
      <c r="G1077" s="120" t="n"/>
      <c r="I1077" s="55" t="inlineStr">
        <is>
          <t>NV 30 · CE 3</t>
        </is>
      </c>
      <c r="J1077" s="130" t="n"/>
      <c r="K1077" s="16" t="n"/>
      <c r="L1077" s="17" t="n"/>
      <c r="M1077" s="137">
        <f>DADOS_INVOC!$IK$7</f>
        <v/>
      </c>
      <c r="N1077" s="16" t="n"/>
      <c r="O1077" s="16" t="n"/>
      <c r="P1077" s="16" t="n"/>
      <c r="Q1077" s="16" t="n"/>
      <c r="R1077" s="16" t="n"/>
      <c r="S1077" s="16" t="n"/>
      <c r="T1077" s="16" t="n"/>
      <c r="U1077" s="16" t="n"/>
      <c r="V1077" s="16" t="n"/>
      <c r="W1077" s="16" t="n"/>
      <c r="X1077" s="16" t="n"/>
      <c r="Y1077" s="17" t="n"/>
      <c r="Z1077" s="120" t="n"/>
      <c r="AB1077" s="55" t="inlineStr">
        <is>
          <t>NV 30 · CE 3</t>
        </is>
      </c>
      <c r="AC1077" s="130" t="n"/>
      <c r="AD1077" s="16" t="n"/>
      <c r="AE1077" s="17" t="n"/>
      <c r="AF1077" s="137">
        <f>DADOS_INVOC!$IK$13</f>
        <v/>
      </c>
      <c r="AG1077" s="16" t="n"/>
      <c r="AH1077" s="16" t="n"/>
      <c r="AI1077" s="16" t="n"/>
      <c r="AJ1077" s="16" t="n"/>
      <c r="AK1077" s="16" t="n"/>
      <c r="AL1077" s="16" t="n"/>
      <c r="AM1077" s="16" t="n"/>
      <c r="AN1077" s="16" t="n"/>
      <c r="AO1077" s="16" t="n"/>
      <c r="AP1077" s="16" t="n"/>
      <c r="AQ1077" s="16" t="n"/>
      <c r="AR1077" s="17" t="n"/>
      <c r="AS1077" s="120" t="n"/>
    </row>
    <row r="1078" hidden="1" outlineLevel="1">
      <c r="A1078" s="8" t="n"/>
      <c r="B1078" s="14" t="n"/>
      <c r="C1078" s="120" t="n"/>
      <c r="D1078" s="120" t="n"/>
      <c r="E1078" s="120" t="n"/>
      <c r="F1078" s="120" t="n"/>
      <c r="G1078" s="120" t="n"/>
      <c r="I1078" s="120" t="n"/>
      <c r="J1078" s="120" t="n"/>
      <c r="K1078" s="120" t="n"/>
      <c r="L1078" s="120" t="n"/>
      <c r="M1078" s="120" t="n"/>
      <c r="N1078" s="120" t="n"/>
      <c r="O1078" s="120" t="n"/>
      <c r="P1078" s="120" t="n"/>
      <c r="Q1078" s="120" t="n"/>
      <c r="R1078" s="120" t="n"/>
      <c r="S1078" s="120" t="n"/>
      <c r="T1078" s="120" t="n"/>
      <c r="U1078" s="120" t="n"/>
      <c r="V1078" s="120" t="n"/>
      <c r="W1078" s="120" t="n"/>
      <c r="X1078" s="120" t="n"/>
      <c r="Y1078" s="120" t="n"/>
      <c r="Z1078" s="120" t="n"/>
      <c r="AB1078" s="120" t="n"/>
      <c r="AC1078" s="120" t="n"/>
      <c r="AD1078" s="120" t="n"/>
      <c r="AE1078" s="120" t="n"/>
      <c r="AF1078" s="120" t="n"/>
      <c r="AG1078" s="120" t="n"/>
      <c r="AH1078" s="120" t="n"/>
      <c r="AI1078" s="120" t="n"/>
      <c r="AJ1078" s="120" t="n"/>
      <c r="AK1078" s="120" t="n"/>
      <c r="AL1078" s="120" t="n"/>
      <c r="AM1078" s="120" t="n"/>
      <c r="AN1078" s="120" t="n"/>
      <c r="AO1078" s="120" t="n"/>
      <c r="AP1078" s="120" t="n"/>
      <c r="AQ1078" s="120" t="n"/>
      <c r="AR1078" s="120" t="n"/>
      <c r="AS1078" s="120" t="n"/>
    </row>
    <row r="1079" hidden="1" outlineLevel="1">
      <c r="A1079" s="8" t="n"/>
      <c r="B1079" s="14" t="n"/>
      <c r="C1079" s="120" t="n"/>
      <c r="D1079" s="120" t="n"/>
      <c r="E1079" s="120" t="n"/>
      <c r="F1079" s="120" t="n"/>
      <c r="G1079" s="120" t="n"/>
      <c r="I1079" s="13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0" t="n"/>
      <c r="AB1079" s="13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0" t="n"/>
    </row>
    <row r="1080" hidden="1" outlineLevel="2">
      <c r="A1080" s="8" t="n"/>
      <c r="B1080" s="14" t="n"/>
      <c r="C1080" s="120" t="n"/>
      <c r="D1080" s="120" t="n"/>
      <c r="E1080" s="120" t="n"/>
      <c r="F1080" s="120" t="n"/>
      <c r="G1080" s="120" t="n"/>
      <c r="I1080" s="120" t="n"/>
      <c r="J1080" s="120" t="n"/>
      <c r="K1080" s="120" t="n"/>
      <c r="L1080" s="120" t="n"/>
      <c r="M1080" s="120" t="n"/>
      <c r="N1080" s="120" t="n"/>
      <c r="O1080" s="120" t="n"/>
      <c r="P1080" s="120" t="n"/>
      <c r="Q1080" s="120" t="n"/>
      <c r="R1080" s="120" t="n"/>
      <c r="S1080" s="120" t="n"/>
      <c r="T1080" s="120" t="n"/>
      <c r="U1080" s="120" t="n"/>
      <c r="V1080" s="120" t="n"/>
      <c r="W1080" s="120" t="n"/>
      <c r="X1080" s="120" t="n"/>
      <c r="Y1080" s="120" t="n"/>
      <c r="Z1080" s="120" t="n"/>
      <c r="AB1080" s="120" t="n"/>
      <c r="AC1080" s="120" t="n"/>
      <c r="AD1080" s="120" t="n"/>
      <c r="AE1080" s="120" t="n"/>
      <c r="AF1080" s="120" t="n"/>
      <c r="AG1080" s="120" t="n"/>
      <c r="AH1080" s="120" t="n"/>
      <c r="AI1080" s="120" t="n"/>
      <c r="AJ1080" s="120" t="n"/>
      <c r="AK1080" s="120" t="n"/>
      <c r="AL1080" s="120" t="n"/>
      <c r="AM1080" s="120" t="n"/>
      <c r="AN1080" s="120" t="n"/>
      <c r="AO1080" s="120" t="n"/>
      <c r="AP1080" s="120" t="n"/>
      <c r="AQ1080" s="120" t="n"/>
      <c r="AR1080" s="120" t="n"/>
      <c r="AS1080" s="120" t="n"/>
    </row>
    <row r="1081" hidden="1" outlineLevel="2">
      <c r="A1081" s="8" t="n"/>
      <c r="B1081" s="14" t="n"/>
      <c r="C1081" s="120" t="n"/>
      <c r="D1081" s="120" t="n"/>
      <c r="E1081" s="120" t="n"/>
      <c r="F1081" s="120" t="n"/>
      <c r="G1081" s="120" t="n"/>
      <c r="I1081" s="55">
        <f>DADOS_INVOC!$PM$70</f>
        <v/>
      </c>
      <c r="J1081" s="16" t="n"/>
      <c r="K1081" s="16" t="n"/>
      <c r="L1081" s="16" t="n"/>
      <c r="M1081" s="17" t="n"/>
      <c r="N1081" s="120" t="n"/>
      <c r="O1081" s="55">
        <f>DADOS_INVOC!$PM$71</f>
        <v/>
      </c>
      <c r="P1081" s="16" t="n"/>
      <c r="Q1081" s="16" t="n"/>
      <c r="R1081" s="16" t="n"/>
      <c r="S1081" s="17" t="n"/>
      <c r="T1081" s="120" t="n"/>
      <c r="U1081" s="55">
        <f>DADOS_INVOC!$PM$72</f>
        <v/>
      </c>
      <c r="V1081" s="16" t="n"/>
      <c r="W1081" s="16" t="n"/>
      <c r="X1081" s="16" t="n"/>
      <c r="Y1081" s="17" t="n"/>
      <c r="Z1081" s="120" t="n"/>
      <c r="AB1081" s="55">
        <f>DADOS_INVOC!$PM$148</f>
        <v/>
      </c>
      <c r="AC1081" s="16" t="n"/>
      <c r="AD1081" s="16" t="n"/>
      <c r="AE1081" s="16" t="n"/>
      <c r="AF1081" s="17" t="n"/>
      <c r="AG1081" s="120" t="n"/>
      <c r="AH1081" s="55">
        <f>DADOS_INVOC!$PM$149</f>
        <v/>
      </c>
      <c r="AI1081" s="16" t="n"/>
      <c r="AJ1081" s="16" t="n"/>
      <c r="AK1081" s="16" t="n"/>
      <c r="AL1081" s="17" t="n"/>
      <c r="AM1081" s="120" t="n"/>
      <c r="AN1081" s="55">
        <f>DADOS_INVOC!$PM$150</f>
        <v/>
      </c>
      <c r="AO1081" s="16" t="n"/>
      <c r="AP1081" s="16" t="n"/>
      <c r="AQ1081" s="16" t="n"/>
      <c r="AR1081" s="17" t="n"/>
      <c r="AS1081" s="120" t="n"/>
    </row>
    <row r="1082" hidden="1" outlineLevel="2">
      <c r="A1082" s="8" t="n"/>
      <c r="B1082" s="14" t="n"/>
      <c r="C1082" s="120" t="n"/>
      <c r="D1082" s="120" t="n"/>
      <c r="E1082" s="120" t="n"/>
      <c r="F1082" s="120" t="n"/>
      <c r="G1082" s="120" t="n"/>
      <c r="I1082" s="127" t="n">
        <v>0</v>
      </c>
      <c r="J1082" s="115" t="n"/>
      <c r="K1082" s="16" t="n"/>
      <c r="L1082" s="17" t="n"/>
      <c r="M1082" s="128">
        <f>DADOS_INVOC!$PK$70</f>
        <v/>
      </c>
      <c r="N1082" s="120" t="n"/>
      <c r="O1082" s="127" t="n">
        <v>1</v>
      </c>
      <c r="P1082" s="115" t="n"/>
      <c r="Q1082" s="16" t="n"/>
      <c r="R1082" s="17" t="n"/>
      <c r="S1082" s="128">
        <f>DADOS_INVOC!$PK$71</f>
        <v/>
      </c>
      <c r="T1082" s="120" t="n"/>
      <c r="U1082" s="127" t="n">
        <v>1</v>
      </c>
      <c r="V1082" s="115" t="n"/>
      <c r="W1082" s="16" t="n"/>
      <c r="X1082" s="17" t="n"/>
      <c r="Y1082" s="128">
        <f>DADOS_INVOC!$PK$72</f>
        <v/>
      </c>
      <c r="Z1082" s="120" t="n"/>
      <c r="AB1082" s="127" t="n">
        <v>0</v>
      </c>
      <c r="AC1082" s="115" t="n"/>
      <c r="AD1082" s="16" t="n"/>
      <c r="AE1082" s="17" t="n"/>
      <c r="AF1082" s="128">
        <f>DADOS_INVOC!$PK$148</f>
        <v/>
      </c>
      <c r="AG1082" s="120" t="n"/>
      <c r="AH1082" s="127" t="n">
        <v>1</v>
      </c>
      <c r="AI1082" s="115" t="n"/>
      <c r="AJ1082" s="16" t="n"/>
      <c r="AK1082" s="17" t="n"/>
      <c r="AL1082" s="128">
        <f>DADOS_INVOC!$PK$149</f>
        <v/>
      </c>
      <c r="AM1082" s="120" t="n"/>
      <c r="AN1082" s="127" t="n">
        <v>1</v>
      </c>
      <c r="AO1082" s="115" t="n"/>
      <c r="AP1082" s="16" t="n"/>
      <c r="AQ1082" s="17" t="n"/>
      <c r="AR1082" s="128">
        <f>DADOS_INVOC!$PK$150</f>
        <v/>
      </c>
      <c r="AS1082" s="120" t="n"/>
    </row>
    <row r="1083" hidden="1" outlineLevel="3">
      <c r="A1083" s="8" t="n"/>
      <c r="B1083" s="14" t="n"/>
      <c r="C1083" s="120" t="n"/>
      <c r="D1083" s="120" t="n"/>
      <c r="E1083" s="120" t="n"/>
      <c r="F1083" s="120" t="n"/>
      <c r="G1083" s="120" t="n"/>
      <c r="I1083" s="55" t="inlineStr">
        <is>
          <t>COMO É</t>
        </is>
      </c>
      <c r="J1083" s="16" t="n"/>
      <c r="K1083" s="16" t="n"/>
      <c r="L1083" s="16" t="n"/>
      <c r="M1083" s="17" t="n"/>
      <c r="N1083" s="120" t="n"/>
      <c r="O1083" s="55" t="inlineStr">
        <is>
          <t>COMO É</t>
        </is>
      </c>
      <c r="P1083" s="16" t="n"/>
      <c r="Q1083" s="16" t="n"/>
      <c r="R1083" s="16" t="n"/>
      <c r="S1083" s="17" t="n"/>
      <c r="T1083" s="120" t="n"/>
      <c r="U1083" s="55" t="inlineStr">
        <is>
          <t>COMO É</t>
        </is>
      </c>
      <c r="V1083" s="16" t="n"/>
      <c r="W1083" s="16" t="n"/>
      <c r="X1083" s="16" t="n"/>
      <c r="Y1083" s="17" t="n"/>
      <c r="Z1083" s="120" t="n"/>
      <c r="AB1083" s="55" t="inlineStr">
        <is>
          <t>COMO É</t>
        </is>
      </c>
      <c r="AC1083" s="16" t="n"/>
      <c r="AD1083" s="16" t="n"/>
      <c r="AE1083" s="16" t="n"/>
      <c r="AF1083" s="17" t="n"/>
      <c r="AG1083" s="120" t="n"/>
      <c r="AH1083" s="55" t="inlineStr">
        <is>
          <t>COMO É</t>
        </is>
      </c>
      <c r="AI1083" s="16" t="n"/>
      <c r="AJ1083" s="16" t="n"/>
      <c r="AK1083" s="16" t="n"/>
      <c r="AL1083" s="17" t="n"/>
      <c r="AM1083" s="120" t="n"/>
      <c r="AN1083" s="55" t="inlineStr">
        <is>
          <t>COMO É</t>
        </is>
      </c>
      <c r="AO1083" s="16" t="n"/>
      <c r="AP1083" s="16" t="n"/>
      <c r="AQ1083" s="16" t="n"/>
      <c r="AR1083" s="17" t="n"/>
      <c r="AS1083" s="120" t="n"/>
    </row>
    <row r="1084" hidden="1" outlineLevel="3">
      <c r="A1084" s="8" t="n"/>
      <c r="B1084" s="14" t="n"/>
      <c r="C1084" s="120" t="n"/>
      <c r="D1084" s="120" t="n"/>
      <c r="E1084" s="120" t="n"/>
      <c r="F1084" s="120" t="n"/>
      <c r="G1084" s="120" t="n"/>
      <c r="I1084" s="116" t="n"/>
      <c r="J1084" s="19" t="n"/>
      <c r="K1084" s="19" t="n"/>
      <c r="L1084" s="19" t="n"/>
      <c r="M1084" s="20" t="n"/>
      <c r="N1084" s="120" t="n"/>
      <c r="O1084" s="116" t="n"/>
      <c r="P1084" s="19" t="n"/>
      <c r="Q1084" s="19" t="n"/>
      <c r="R1084" s="19" t="n"/>
      <c r="S1084" s="20" t="n"/>
      <c r="T1084" s="120" t="n"/>
      <c r="U1084" s="116" t="n"/>
      <c r="V1084" s="19" t="n"/>
      <c r="W1084" s="19" t="n"/>
      <c r="X1084" s="19" t="n"/>
      <c r="Y1084" s="20" t="n"/>
      <c r="Z1084" s="120" t="n"/>
      <c r="AB1084" s="116" t="n"/>
      <c r="AC1084" s="19" t="n"/>
      <c r="AD1084" s="19" t="n"/>
      <c r="AE1084" s="19" t="n"/>
      <c r="AF1084" s="20" t="n"/>
      <c r="AG1084" s="120" t="n"/>
      <c r="AH1084" s="116" t="n"/>
      <c r="AI1084" s="19" t="n"/>
      <c r="AJ1084" s="19" t="n"/>
      <c r="AK1084" s="19" t="n"/>
      <c r="AL1084" s="20" t="n"/>
      <c r="AM1084" s="120" t="n"/>
      <c r="AN1084" s="116" t="n"/>
      <c r="AO1084" s="19" t="n"/>
      <c r="AP1084" s="19" t="n"/>
      <c r="AQ1084" s="19" t="n"/>
      <c r="AR1084" s="20" t="n"/>
      <c r="AS1084" s="120" t="n"/>
    </row>
    <row r="1085" hidden="1" outlineLevel="3">
      <c r="A1085" s="8" t="n"/>
      <c r="B1085" s="14" t="n"/>
      <c r="C1085" s="120" t="n"/>
      <c r="D1085" s="120" t="n"/>
      <c r="E1085" s="120" t="n"/>
      <c r="F1085" s="120" t="n"/>
      <c r="G1085" s="120" t="n"/>
      <c r="I1085" s="21" t="n"/>
      <c r="M1085" s="22" t="n"/>
      <c r="N1085" s="120" t="n"/>
      <c r="O1085" s="21" t="n"/>
      <c r="S1085" s="22" t="n"/>
      <c r="T1085" s="120" t="n"/>
      <c r="U1085" s="21" t="n"/>
      <c r="Y1085" s="22" t="n"/>
      <c r="Z1085" s="120" t="n"/>
      <c r="AB1085" s="21" t="n"/>
      <c r="AF1085" s="22" t="n"/>
      <c r="AG1085" s="120" t="n"/>
      <c r="AH1085" s="21" t="n"/>
      <c r="AL1085" s="22" t="n"/>
      <c r="AM1085" s="120" t="n"/>
      <c r="AN1085" s="21" t="n"/>
      <c r="AR1085" s="22" t="n"/>
      <c r="AS1085" s="120" t="n"/>
    </row>
    <row r="1086" hidden="1" outlineLevel="3">
      <c r="A1086" s="8" t="n"/>
      <c r="B1086" s="14" t="n"/>
      <c r="C1086" s="120" t="n"/>
      <c r="D1086" s="120" t="n"/>
      <c r="E1086" s="120" t="n"/>
      <c r="F1086" s="120" t="n"/>
      <c r="G1086" s="120" t="n"/>
      <c r="I1086" s="23" t="n"/>
      <c r="J1086" s="24" t="n"/>
      <c r="K1086" s="24" t="n"/>
      <c r="L1086" s="24" t="n"/>
      <c r="M1086" s="25" t="n"/>
      <c r="N1086" s="120" t="n"/>
      <c r="O1086" s="23" t="n"/>
      <c r="P1086" s="24" t="n"/>
      <c r="Q1086" s="24" t="n"/>
      <c r="R1086" s="24" t="n"/>
      <c r="S1086" s="25" t="n"/>
      <c r="T1086" s="120" t="n"/>
      <c r="U1086" s="23" t="n"/>
      <c r="V1086" s="24" t="n"/>
      <c r="W1086" s="24" t="n"/>
      <c r="X1086" s="24" t="n"/>
      <c r="Y1086" s="25" t="n"/>
      <c r="Z1086" s="120" t="n"/>
      <c r="AB1086" s="23" t="n"/>
      <c r="AC1086" s="24" t="n"/>
      <c r="AD1086" s="24" t="n"/>
      <c r="AE1086" s="24" t="n"/>
      <c r="AF1086" s="25" t="n"/>
      <c r="AG1086" s="120" t="n"/>
      <c r="AH1086" s="23" t="n"/>
      <c r="AI1086" s="24" t="n"/>
      <c r="AJ1086" s="24" t="n"/>
      <c r="AK1086" s="24" t="n"/>
      <c r="AL1086" s="25" t="n"/>
      <c r="AM1086" s="120" t="n"/>
      <c r="AN1086" s="23" t="n"/>
      <c r="AO1086" s="24" t="n"/>
      <c r="AP1086" s="24" t="n"/>
      <c r="AQ1086" s="24" t="n"/>
      <c r="AR1086" s="25" t="n"/>
      <c r="AS1086" s="120" t="n"/>
    </row>
    <row r="1087" hidden="1" outlineLevel="2">
      <c r="A1087" s="8" t="n"/>
      <c r="B1087" s="14" t="n"/>
      <c r="C1087" s="120" t="n"/>
      <c r="D1087" s="120" t="n"/>
      <c r="E1087" s="120" t="n"/>
      <c r="F1087" s="120" t="n"/>
      <c r="G1087" s="120" t="n"/>
      <c r="I1087" s="124" t="inlineStr">
        <is>
          <t>Projétil</t>
        </is>
      </c>
      <c r="J1087" s="17" t="n"/>
      <c r="K1087" s="68">
        <f>DADOS_INVOC!$PR$70</f>
        <v/>
      </c>
      <c r="L1087" s="17" t="n"/>
      <c r="M1087" s="68">
        <f>DADOS_INVOC!$PN$70</f>
        <v/>
      </c>
      <c r="N1087" s="120" t="n"/>
      <c r="O1087" s="124" t="inlineStr">
        <is>
          <t>Projétil</t>
        </is>
      </c>
      <c r="P1087" s="17" t="n"/>
      <c r="Q1087" s="68">
        <f>DADOS_INVOC!$PR$71</f>
        <v/>
      </c>
      <c r="R1087" s="17" t="n"/>
      <c r="S1087" s="68">
        <f>DADOS_INVOC!$PN$71</f>
        <v/>
      </c>
      <c r="T1087" s="120" t="n"/>
      <c r="U1087" s="124" t="inlineStr">
        <is>
          <t>Projétil</t>
        </is>
      </c>
      <c r="V1087" s="17" t="n"/>
      <c r="W1087" s="68">
        <f>DADOS_INVOC!$PR$72</f>
        <v/>
      </c>
      <c r="X1087" s="17" t="n"/>
      <c r="Y1087" s="68">
        <f>DADOS_INVOC!$PN$72</f>
        <v/>
      </c>
      <c r="Z1087" s="120" t="n"/>
      <c r="AB1087" s="124" t="inlineStr">
        <is>
          <t>Projétil</t>
        </is>
      </c>
      <c r="AC1087" s="17" t="n"/>
      <c r="AD1087" s="68">
        <f>DADOS_INVOC!$PR$148</f>
        <v/>
      </c>
      <c r="AE1087" s="17" t="n"/>
      <c r="AF1087" s="68">
        <f>DADOS_INVOC!$PN$148</f>
        <v/>
      </c>
      <c r="AG1087" s="120" t="n"/>
      <c r="AH1087" s="124" t="inlineStr">
        <is>
          <t>Projétil</t>
        </is>
      </c>
      <c r="AI1087" s="17" t="n"/>
      <c r="AJ1087" s="68">
        <f>DADOS_INVOC!$PR$149</f>
        <v/>
      </c>
      <c r="AK1087" s="17" t="n"/>
      <c r="AL1087" s="68">
        <f>DADOS_INVOC!$PN$149</f>
        <v/>
      </c>
      <c r="AM1087" s="120" t="n"/>
      <c r="AN1087" s="124" t="inlineStr">
        <is>
          <t>Projétil</t>
        </is>
      </c>
      <c r="AO1087" s="17" t="n"/>
      <c r="AP1087" s="68">
        <f>DADOS_INVOC!$PR$150</f>
        <v/>
      </c>
      <c r="AQ1087" s="17" t="n"/>
      <c r="AR1087" s="68">
        <f>DADOS_INVOC!$PN$150</f>
        <v/>
      </c>
      <c r="AS1087" s="120" t="n"/>
    </row>
    <row r="1088" hidden="1" outlineLevel="2">
      <c r="A1088" s="8" t="n"/>
      <c r="B1088" s="14" t="n"/>
      <c r="C1088" s="120" t="n"/>
      <c r="D1088" s="120" t="n"/>
      <c r="E1088" s="120" t="n"/>
      <c r="F1088" s="120" t="n"/>
      <c r="G1088" s="120" t="n"/>
      <c r="I1088" s="124" t="n"/>
      <c r="J1088" s="17" t="n"/>
      <c r="K1088" s="124" t="n"/>
      <c r="L1088" s="16" t="n"/>
      <c r="M1088" s="17" t="n"/>
      <c r="N1088" s="120" t="n"/>
      <c r="O1088" s="124" t="n"/>
      <c r="P1088" s="17" t="n"/>
      <c r="Q1088" s="124" t="n"/>
      <c r="R1088" s="16" t="n"/>
      <c r="S1088" s="17" t="n"/>
      <c r="T1088" s="120" t="n"/>
      <c r="U1088" s="124" t="n"/>
      <c r="V1088" s="17" t="n"/>
      <c r="W1088" s="124" t="n"/>
      <c r="X1088" s="16" t="n"/>
      <c r="Y1088" s="17" t="n"/>
      <c r="Z1088" s="120" t="n"/>
      <c r="AB1088" s="124" t="n"/>
      <c r="AC1088" s="17" t="n"/>
      <c r="AD1088" s="124" t="n"/>
      <c r="AE1088" s="16" t="n"/>
      <c r="AF1088" s="17" t="n"/>
      <c r="AG1088" s="120" t="n"/>
      <c r="AH1088" s="124" t="n"/>
      <c r="AI1088" s="17" t="n"/>
      <c r="AJ1088" s="124" t="n"/>
      <c r="AK1088" s="16" t="n"/>
      <c r="AL1088" s="17" t="n"/>
      <c r="AM1088" s="120" t="n"/>
      <c r="AN1088" s="124" t="n"/>
      <c r="AO1088" s="17" t="n"/>
      <c r="AP1088" s="124" t="n"/>
      <c r="AQ1088" s="16" t="n"/>
      <c r="AR1088" s="17" t="n"/>
      <c r="AS1088" s="120" t="n"/>
    </row>
    <row r="1089" hidden="1" outlineLevel="2">
      <c r="A1089" s="8" t="n"/>
      <c r="B1089" s="14" t="n"/>
      <c r="C1089" s="120" t="n"/>
      <c r="D1089" s="120" t="n"/>
      <c r="E1089" s="120" t="n"/>
      <c r="F1089" s="120" t="n"/>
      <c r="G1089" s="120" t="n"/>
      <c r="I1089" s="124">
        <f>DADOS_INVOC!$PO$70</f>
        <v/>
      </c>
      <c r="J1089" s="17" t="n"/>
      <c r="K1089" s="124">
        <f>DADOS_INVOC!$PQ$70</f>
        <v/>
      </c>
      <c r="L1089" s="16" t="n"/>
      <c r="M1089" s="17" t="n"/>
      <c r="N1089" s="120" t="n"/>
      <c r="O1089" s="124">
        <f>DADOS_INVOC!$PO$71</f>
        <v/>
      </c>
      <c r="P1089" s="17" t="n"/>
      <c r="Q1089" s="124">
        <f>DADOS_INVOC!$PQ$71</f>
        <v/>
      </c>
      <c r="R1089" s="16" t="n"/>
      <c r="S1089" s="17" t="n"/>
      <c r="T1089" s="120" t="n"/>
      <c r="U1089" s="124">
        <f>DADOS_INVOC!$PO$72</f>
        <v/>
      </c>
      <c r="V1089" s="17" t="n"/>
      <c r="W1089" s="124">
        <f>DADOS_INVOC!$PQ$72</f>
        <v/>
      </c>
      <c r="X1089" s="16" t="n"/>
      <c r="Y1089" s="17" t="n"/>
      <c r="Z1089" s="120" t="n"/>
      <c r="AB1089" s="124">
        <f>DADOS_INVOC!$PO$148</f>
        <v/>
      </c>
      <c r="AC1089" s="17" t="n"/>
      <c r="AD1089" s="124">
        <f>DADOS_INVOC!$PQ$148</f>
        <v/>
      </c>
      <c r="AE1089" s="16" t="n"/>
      <c r="AF1089" s="17" t="n"/>
      <c r="AG1089" s="120" t="n"/>
      <c r="AH1089" s="124">
        <f>DADOS_INVOC!$PO$149</f>
        <v/>
      </c>
      <c r="AI1089" s="17" t="n"/>
      <c r="AJ1089" s="124">
        <f>DADOS_INVOC!$PQ$149</f>
        <v/>
      </c>
      <c r="AK1089" s="16" t="n"/>
      <c r="AL1089" s="17" t="n"/>
      <c r="AM1089" s="120" t="n"/>
      <c r="AN1089" s="124">
        <f>DADOS_INVOC!$PO$150</f>
        <v/>
      </c>
      <c r="AO1089" s="17" t="n"/>
      <c r="AP1089" s="124">
        <f>DADOS_INVOC!$PQ$150</f>
        <v/>
      </c>
      <c r="AQ1089" s="16" t="n"/>
      <c r="AR1089" s="17" t="n"/>
      <c r="AS1089" s="120" t="n"/>
    </row>
    <row r="1090" hidden="1" outlineLevel="2">
      <c r="A1090" s="8" t="n"/>
      <c r="B1090" s="14" t="n"/>
      <c r="C1090" s="120" t="n"/>
      <c r="D1090" s="120" t="n"/>
      <c r="E1090" s="120" t="n"/>
      <c r="F1090" s="120" t="n"/>
      <c r="G1090" s="120" t="n"/>
      <c r="I1090" s="129">
        <f>DADOS_INVOC!$PW$70</f>
        <v/>
      </c>
      <c r="J1090" s="16" t="n"/>
      <c r="K1090" s="16" t="n"/>
      <c r="L1090" s="16" t="n"/>
      <c r="M1090" s="17" t="n"/>
      <c r="N1090" s="120" t="n"/>
      <c r="O1090" s="129">
        <f>DADOS_INVOC!$PW$71</f>
        <v/>
      </c>
      <c r="P1090" s="16" t="n"/>
      <c r="Q1090" s="16" t="n"/>
      <c r="R1090" s="16" t="n"/>
      <c r="S1090" s="17" t="n"/>
      <c r="T1090" s="120" t="n"/>
      <c r="U1090" s="129">
        <f>DADOS_INVOC!$PW$72</f>
        <v/>
      </c>
      <c r="V1090" s="16" t="n"/>
      <c r="W1090" s="16" t="n"/>
      <c r="X1090" s="16" t="n"/>
      <c r="Y1090" s="17" t="n"/>
      <c r="Z1090" s="120" t="n"/>
      <c r="AB1090" s="129">
        <f>DADOS_INVOC!$PW$148</f>
        <v/>
      </c>
      <c r="AC1090" s="16" t="n"/>
      <c r="AD1090" s="16" t="n"/>
      <c r="AE1090" s="16" t="n"/>
      <c r="AF1090" s="17" t="n"/>
      <c r="AG1090" s="120" t="n"/>
      <c r="AH1090" s="129">
        <f>DADOS_INVOC!$PW$149</f>
        <v/>
      </c>
      <c r="AI1090" s="16" t="n"/>
      <c r="AJ1090" s="16" t="n"/>
      <c r="AK1090" s="16" t="n"/>
      <c r="AL1090" s="17" t="n"/>
      <c r="AM1090" s="120" t="n"/>
      <c r="AN1090" s="129">
        <f>DADOS_INVOC!$PW$150</f>
        <v/>
      </c>
      <c r="AO1090" s="16" t="n"/>
      <c r="AP1090" s="16" t="n"/>
      <c r="AQ1090" s="16" t="n"/>
      <c r="AR1090" s="17" t="n"/>
      <c r="AS1090" s="120" t="n"/>
    </row>
    <row r="1091" hidden="1" outlineLevel="3">
      <c r="A1091" s="8" t="n"/>
      <c r="B1091" s="14" t="n"/>
      <c r="C1091" s="120" t="n"/>
      <c r="D1091" s="120" t="n"/>
      <c r="E1091" s="120" t="n"/>
      <c r="F1091" s="120" t="n"/>
      <c r="G1091" s="120" t="n"/>
      <c r="I1091" s="55" t="inlineStr">
        <is>
          <t>MELHORIAS</t>
        </is>
      </c>
      <c r="J1091" s="130" t="n"/>
      <c r="K1091" s="16" t="n"/>
      <c r="L1091" s="17" t="n"/>
      <c r="M1091" s="129">
        <f>DADOS_INVOC!$PZ$70</f>
        <v/>
      </c>
      <c r="N1091" s="120" t="n"/>
      <c r="O1091" s="55" t="inlineStr">
        <is>
          <t>MELHORIAS</t>
        </is>
      </c>
      <c r="P1091" s="130" t="n"/>
      <c r="Q1091" s="16" t="n"/>
      <c r="R1091" s="17" t="n"/>
      <c r="S1091" s="129">
        <f>DADOS_INVOC!$PZ$71</f>
        <v/>
      </c>
      <c r="T1091" s="120" t="n"/>
      <c r="U1091" s="55" t="inlineStr">
        <is>
          <t>MELHORIAS</t>
        </is>
      </c>
      <c r="V1091" s="130" t="n"/>
      <c r="W1091" s="16" t="n"/>
      <c r="X1091" s="17" t="n"/>
      <c r="Y1091" s="129">
        <f>DADOS_INVOC!$PZ$72</f>
        <v/>
      </c>
      <c r="Z1091" s="120" t="n"/>
      <c r="AB1091" s="55" t="inlineStr">
        <is>
          <t>MELHORIAS</t>
        </is>
      </c>
      <c r="AC1091" s="130" t="n"/>
      <c r="AD1091" s="16" t="n"/>
      <c r="AE1091" s="17" t="n"/>
      <c r="AF1091" s="129">
        <f>DADOS_INVOC!$PZ$148</f>
        <v/>
      </c>
      <c r="AG1091" s="120" t="n"/>
      <c r="AH1091" s="55" t="inlineStr">
        <is>
          <t>MELHORIAS</t>
        </is>
      </c>
      <c r="AI1091" s="130" t="n"/>
      <c r="AJ1091" s="16" t="n"/>
      <c r="AK1091" s="17" t="n"/>
      <c r="AL1091" s="129">
        <f>DADOS_INVOC!$PZ$149</f>
        <v/>
      </c>
      <c r="AM1091" s="120" t="n"/>
      <c r="AN1091" s="55" t="inlineStr">
        <is>
          <t>MELHORIAS</t>
        </is>
      </c>
      <c r="AO1091" s="130" t="n"/>
      <c r="AP1091" s="16" t="n"/>
      <c r="AQ1091" s="17" t="n"/>
      <c r="AR1091" s="129">
        <f>DADOS_INVOC!$PZ$150</f>
        <v/>
      </c>
      <c r="AS1091" s="120" t="n"/>
    </row>
    <row r="1092" hidden="1" outlineLevel="3">
      <c r="A1092" s="8" t="n"/>
      <c r="B1092" s="14" t="n"/>
      <c r="C1092" s="120" t="n"/>
      <c r="D1092" s="120" t="n"/>
      <c r="E1092" s="120" t="n"/>
      <c r="F1092" s="120" t="n"/>
      <c r="G1092" s="120" t="n"/>
      <c r="I1092" s="131" t="n"/>
      <c r="J1092" s="130" t="n"/>
      <c r="K1092" s="16" t="n"/>
      <c r="L1092" s="17" t="n"/>
      <c r="M1092" s="129">
        <f>DADOS_INVOC!$QA$70</f>
        <v/>
      </c>
      <c r="N1092" s="120" t="n"/>
      <c r="O1092" s="131" t="n"/>
      <c r="P1092" s="130" t="n"/>
      <c r="Q1092" s="16" t="n"/>
      <c r="R1092" s="17" t="n"/>
      <c r="S1092" s="129">
        <f>DADOS_INVOC!$QA$71</f>
        <v/>
      </c>
      <c r="T1092" s="120" t="n"/>
      <c r="U1092" s="131" t="n"/>
      <c r="V1092" s="130" t="n"/>
      <c r="W1092" s="16" t="n"/>
      <c r="X1092" s="17" t="n"/>
      <c r="Y1092" s="129">
        <f>DADOS_INVOC!$QA$72</f>
        <v/>
      </c>
      <c r="Z1092" s="120" t="n"/>
      <c r="AB1092" s="131" t="n"/>
      <c r="AC1092" s="130" t="n"/>
      <c r="AD1092" s="16" t="n"/>
      <c r="AE1092" s="17" t="n"/>
      <c r="AF1092" s="129">
        <f>DADOS_INVOC!$QA$148</f>
        <v/>
      </c>
      <c r="AG1092" s="120" t="n"/>
      <c r="AH1092" s="131" t="n"/>
      <c r="AI1092" s="130" t="n"/>
      <c r="AJ1092" s="16" t="n"/>
      <c r="AK1092" s="17" t="n"/>
      <c r="AL1092" s="129">
        <f>DADOS_INVOC!$QA$149</f>
        <v/>
      </c>
      <c r="AM1092" s="120" t="n"/>
      <c r="AN1092" s="131" t="n"/>
      <c r="AO1092" s="130" t="n"/>
      <c r="AP1092" s="16" t="n"/>
      <c r="AQ1092" s="17" t="n"/>
      <c r="AR1092" s="129">
        <f>DADOS_INVOC!$QA$150</f>
        <v/>
      </c>
      <c r="AS1092" s="120" t="n"/>
    </row>
    <row r="1093" hidden="1" outlineLevel="3">
      <c r="A1093" s="8" t="n"/>
      <c r="B1093" s="14" t="n"/>
      <c r="C1093" s="120" t="n"/>
      <c r="D1093" s="120" t="n"/>
      <c r="E1093" s="120" t="n"/>
      <c r="F1093" s="120" t="n"/>
      <c r="G1093" s="120" t="n"/>
      <c r="I1093" s="131" t="n"/>
      <c r="J1093" s="130" t="n"/>
      <c r="K1093" s="16" t="n"/>
      <c r="L1093" s="17" t="n"/>
      <c r="M1093" s="129">
        <f>DADOS_INVOC!$QB$70</f>
        <v/>
      </c>
      <c r="N1093" s="120" t="n"/>
      <c r="O1093" s="131" t="n"/>
      <c r="P1093" s="130" t="n"/>
      <c r="Q1093" s="16" t="n"/>
      <c r="R1093" s="17" t="n"/>
      <c r="S1093" s="129">
        <f>DADOS_INVOC!$QB$71</f>
        <v/>
      </c>
      <c r="T1093" s="120" t="n"/>
      <c r="U1093" s="131" t="n"/>
      <c r="V1093" s="130" t="n"/>
      <c r="W1093" s="16" t="n"/>
      <c r="X1093" s="17" t="n"/>
      <c r="Y1093" s="129">
        <f>DADOS_INVOC!$QB$72</f>
        <v/>
      </c>
      <c r="Z1093" s="120" t="n"/>
      <c r="AB1093" s="131" t="n"/>
      <c r="AC1093" s="130" t="n"/>
      <c r="AD1093" s="16" t="n"/>
      <c r="AE1093" s="17" t="n"/>
      <c r="AF1093" s="129">
        <f>DADOS_INVOC!$QB$148</f>
        <v/>
      </c>
      <c r="AG1093" s="120" t="n"/>
      <c r="AH1093" s="131" t="n"/>
      <c r="AI1093" s="130" t="n"/>
      <c r="AJ1093" s="16" t="n"/>
      <c r="AK1093" s="17" t="n"/>
      <c r="AL1093" s="129">
        <f>DADOS_INVOC!$QB$149</f>
        <v/>
      </c>
      <c r="AM1093" s="120" t="n"/>
      <c r="AN1093" s="131" t="n"/>
      <c r="AO1093" s="130" t="n"/>
      <c r="AP1093" s="16" t="n"/>
      <c r="AQ1093" s="17" t="n"/>
      <c r="AR1093" s="129">
        <f>DADOS_INVOC!$QB$150</f>
        <v/>
      </c>
      <c r="AS1093" s="120" t="n"/>
    </row>
    <row r="1094" hidden="1" outlineLevel="3">
      <c r="A1094" s="8" t="n"/>
      <c r="B1094" s="14" t="n"/>
      <c r="C1094" s="120" t="n"/>
      <c r="D1094" s="120" t="n"/>
      <c r="E1094" s="120" t="n"/>
      <c r="F1094" s="120" t="n"/>
      <c r="G1094" s="120" t="n"/>
      <c r="I1094" s="125" t="n"/>
      <c r="J1094" s="130" t="n"/>
      <c r="K1094" s="16" t="n"/>
      <c r="L1094" s="17" t="n"/>
      <c r="M1094" s="129">
        <f>DADOS_INVOC!$QC$70</f>
        <v/>
      </c>
      <c r="N1094" s="120" t="n"/>
      <c r="O1094" s="125" t="n"/>
      <c r="P1094" s="130" t="n"/>
      <c r="Q1094" s="16" t="n"/>
      <c r="R1094" s="17" t="n"/>
      <c r="S1094" s="129">
        <f>DADOS_INVOC!$QC$71</f>
        <v/>
      </c>
      <c r="T1094" s="120" t="n"/>
      <c r="U1094" s="125" t="n"/>
      <c r="V1094" s="130" t="n"/>
      <c r="W1094" s="16" t="n"/>
      <c r="X1094" s="17" t="n"/>
      <c r="Y1094" s="129">
        <f>DADOS_INVOC!$QC$72</f>
        <v/>
      </c>
      <c r="Z1094" s="120" t="n"/>
      <c r="AB1094" s="125" t="n"/>
      <c r="AC1094" s="130" t="n"/>
      <c r="AD1094" s="16" t="n"/>
      <c r="AE1094" s="17" t="n"/>
      <c r="AF1094" s="129">
        <f>DADOS_INVOC!$QC$148</f>
        <v/>
      </c>
      <c r="AG1094" s="120" t="n"/>
      <c r="AH1094" s="125" t="n"/>
      <c r="AI1094" s="130" t="n"/>
      <c r="AJ1094" s="16" t="n"/>
      <c r="AK1094" s="17" t="n"/>
      <c r="AL1094" s="129">
        <f>DADOS_INVOC!$QC$149</f>
        <v/>
      </c>
      <c r="AM1094" s="120" t="n"/>
      <c r="AN1094" s="125" t="n"/>
      <c r="AO1094" s="130" t="n"/>
      <c r="AP1094" s="16" t="n"/>
      <c r="AQ1094" s="17" t="n"/>
      <c r="AR1094" s="129">
        <f>DADOS_INVOC!$QC$150</f>
        <v/>
      </c>
      <c r="AS1094" s="120" t="n"/>
    </row>
    <row r="1095" hidden="1" outlineLevel="3">
      <c r="A1095" s="8" t="n"/>
      <c r="B1095" s="14" t="n"/>
      <c r="C1095" s="120" t="n"/>
      <c r="D1095" s="120" t="n"/>
      <c r="E1095" s="120" t="n"/>
      <c r="F1095" s="120" t="n"/>
      <c r="G1095" s="120" t="n"/>
      <c r="I1095" s="55" t="inlineStr">
        <is>
          <t>RESTRIÇÕES</t>
        </is>
      </c>
      <c r="J1095" s="130" t="n"/>
      <c r="K1095" s="16" t="n"/>
      <c r="L1095" s="17" t="n"/>
      <c r="M1095" s="129">
        <f>DADOS_INVOC!$QD$70</f>
        <v/>
      </c>
      <c r="N1095" s="120" t="n"/>
      <c r="O1095" s="55" t="inlineStr">
        <is>
          <t>RESTRIÇÕES</t>
        </is>
      </c>
      <c r="P1095" s="130" t="n"/>
      <c r="Q1095" s="16" t="n"/>
      <c r="R1095" s="17" t="n"/>
      <c r="S1095" s="129">
        <f>DADOS_INVOC!$QD$71</f>
        <v/>
      </c>
      <c r="T1095" s="120" t="n"/>
      <c r="U1095" s="55" t="inlineStr">
        <is>
          <t>RESTRIÇÕES</t>
        </is>
      </c>
      <c r="V1095" s="130" t="n"/>
      <c r="W1095" s="16" t="n"/>
      <c r="X1095" s="17" t="n"/>
      <c r="Y1095" s="129">
        <f>DADOS_INVOC!$QD$72</f>
        <v/>
      </c>
      <c r="Z1095" s="120" t="n"/>
      <c r="AB1095" s="55" t="inlineStr">
        <is>
          <t>RESTRIÇÕES</t>
        </is>
      </c>
      <c r="AC1095" s="130" t="n"/>
      <c r="AD1095" s="16" t="n"/>
      <c r="AE1095" s="17" t="n"/>
      <c r="AF1095" s="129">
        <f>DADOS_INVOC!$QD$148</f>
        <v/>
      </c>
      <c r="AG1095" s="120" t="n"/>
      <c r="AH1095" s="55" t="inlineStr">
        <is>
          <t>RESTRIÇÕES</t>
        </is>
      </c>
      <c r="AI1095" s="130" t="n"/>
      <c r="AJ1095" s="16" t="n"/>
      <c r="AK1095" s="17" t="n"/>
      <c r="AL1095" s="129">
        <f>DADOS_INVOC!$QD$149</f>
        <v/>
      </c>
      <c r="AM1095" s="120" t="n"/>
      <c r="AN1095" s="55" t="inlineStr">
        <is>
          <t>RESTRIÇÕES</t>
        </is>
      </c>
      <c r="AO1095" s="130" t="n"/>
      <c r="AP1095" s="16" t="n"/>
      <c r="AQ1095" s="17" t="n"/>
      <c r="AR1095" s="129">
        <f>DADOS_INVOC!$QD$150</f>
        <v/>
      </c>
      <c r="AS1095" s="120" t="n"/>
    </row>
    <row r="1096" hidden="1" outlineLevel="3">
      <c r="A1096" s="8" t="n"/>
      <c r="B1096" s="14" t="n"/>
      <c r="C1096" s="120" t="n"/>
      <c r="D1096" s="120" t="n"/>
      <c r="E1096" s="120" t="n"/>
      <c r="F1096" s="120" t="n"/>
      <c r="G1096" s="120" t="n"/>
      <c r="I1096" s="125" t="n"/>
      <c r="J1096" s="130" t="n"/>
      <c r="K1096" s="16" t="n"/>
      <c r="L1096" s="17" t="n"/>
      <c r="M1096" s="129">
        <f>DADOS_INVOC!$QE$70</f>
        <v/>
      </c>
      <c r="N1096" s="120" t="n"/>
      <c r="O1096" s="125" t="n"/>
      <c r="P1096" s="130" t="n"/>
      <c r="Q1096" s="16" t="n"/>
      <c r="R1096" s="17" t="n"/>
      <c r="S1096" s="129">
        <f>DADOS_INVOC!$QE$71</f>
        <v/>
      </c>
      <c r="T1096" s="120" t="n"/>
      <c r="U1096" s="125" t="n"/>
      <c r="V1096" s="130" t="n"/>
      <c r="W1096" s="16" t="n"/>
      <c r="X1096" s="17" t="n"/>
      <c r="Y1096" s="129">
        <f>DADOS_INVOC!$QE$72</f>
        <v/>
      </c>
      <c r="Z1096" s="120" t="n"/>
      <c r="AB1096" s="125" t="n"/>
      <c r="AC1096" s="130" t="n"/>
      <c r="AD1096" s="16" t="n"/>
      <c r="AE1096" s="17" t="n"/>
      <c r="AF1096" s="129">
        <f>DADOS_INVOC!$QE$148</f>
        <v/>
      </c>
      <c r="AG1096" s="120" t="n"/>
      <c r="AH1096" s="125" t="n"/>
      <c r="AI1096" s="130" t="n"/>
      <c r="AJ1096" s="16" t="n"/>
      <c r="AK1096" s="17" t="n"/>
      <c r="AL1096" s="129">
        <f>DADOS_INVOC!$QE$149</f>
        <v/>
      </c>
      <c r="AM1096" s="120" t="n"/>
      <c r="AN1096" s="125" t="n"/>
      <c r="AO1096" s="130" t="n"/>
      <c r="AP1096" s="16" t="n"/>
      <c r="AQ1096" s="17" t="n"/>
      <c r="AR1096" s="129">
        <f>DADOS_INVOC!$QE$150</f>
        <v/>
      </c>
      <c r="AS1096" s="120" t="n"/>
    </row>
    <row r="1097" hidden="1" outlineLevel="3">
      <c r="A1097" s="8" t="n"/>
      <c r="B1097" s="14" t="n"/>
      <c r="C1097" s="120" t="n"/>
      <c r="D1097" s="120" t="n"/>
      <c r="E1097" s="120" t="n"/>
      <c r="F1097" s="120" t="n"/>
      <c r="G1097" s="120" t="n"/>
      <c r="I1097" s="55" t="inlineStr">
        <is>
          <t>CONTA</t>
        </is>
      </c>
      <c r="J1097" s="132">
        <f>DADOS_INVOC!$PX$70</f>
        <v/>
      </c>
      <c r="K1097" s="16" t="n"/>
      <c r="L1097" s="16" t="n"/>
      <c r="M1097" s="17" t="n"/>
      <c r="N1097" s="120" t="n"/>
      <c r="O1097" s="55" t="inlineStr">
        <is>
          <t>CONTA</t>
        </is>
      </c>
      <c r="P1097" s="132">
        <f>DADOS_INVOC!$PX$71</f>
        <v/>
      </c>
      <c r="Q1097" s="16" t="n"/>
      <c r="R1097" s="16" t="n"/>
      <c r="S1097" s="17" t="n"/>
      <c r="T1097" s="120" t="n"/>
      <c r="U1097" s="55" t="inlineStr">
        <is>
          <t>CONTA</t>
        </is>
      </c>
      <c r="V1097" s="132">
        <f>DADOS_INVOC!$PX$72</f>
        <v/>
      </c>
      <c r="W1097" s="16" t="n"/>
      <c r="X1097" s="16" t="n"/>
      <c r="Y1097" s="17" t="n"/>
      <c r="Z1097" s="120" t="n"/>
      <c r="AB1097" s="55" t="inlineStr">
        <is>
          <t>CONTA</t>
        </is>
      </c>
      <c r="AC1097" s="132">
        <f>DADOS_INVOC!$PX$148</f>
        <v/>
      </c>
      <c r="AD1097" s="16" t="n"/>
      <c r="AE1097" s="16" t="n"/>
      <c r="AF1097" s="17" t="n"/>
      <c r="AG1097" s="120" t="n"/>
      <c r="AH1097" s="55" t="inlineStr">
        <is>
          <t>CONTA</t>
        </is>
      </c>
      <c r="AI1097" s="132">
        <f>DADOS_INVOC!$PX$149</f>
        <v/>
      </c>
      <c r="AJ1097" s="16" t="n"/>
      <c r="AK1097" s="16" t="n"/>
      <c r="AL1097" s="17" t="n"/>
      <c r="AM1097" s="120" t="n"/>
      <c r="AN1097" s="55" t="inlineStr">
        <is>
          <t>CONTA</t>
        </is>
      </c>
      <c r="AO1097" s="132">
        <f>DADOS_INVOC!$PX$150</f>
        <v/>
      </c>
      <c r="AP1097" s="16" t="n"/>
      <c r="AQ1097" s="16" t="n"/>
      <c r="AR1097" s="17" t="n"/>
      <c r="AS1097" s="120" t="n"/>
    </row>
    <row r="1098" hidden="1" outlineLevel="3">
      <c r="A1098" s="8" t="n"/>
      <c r="B1098" s="14" t="n"/>
      <c r="C1098" s="120" t="n"/>
      <c r="D1098" s="120" t="n"/>
      <c r="E1098" s="120" t="n"/>
      <c r="F1098" s="120" t="n"/>
      <c r="G1098" s="120" t="n"/>
      <c r="I1098" s="55" t="inlineStr">
        <is>
          <t>AMPLIAR</t>
        </is>
      </c>
      <c r="J1098" s="132">
        <f>DADOS_INVOC!$PY$70</f>
        <v/>
      </c>
      <c r="K1098" s="19" t="n"/>
      <c r="L1098" s="19" t="n"/>
      <c r="M1098" s="20" t="n"/>
      <c r="N1098" s="120" t="n"/>
      <c r="O1098" s="55" t="inlineStr">
        <is>
          <t>AMPLIAR</t>
        </is>
      </c>
      <c r="P1098" s="132">
        <f>DADOS_INVOC!$PY$71</f>
        <v/>
      </c>
      <c r="Q1098" s="19" t="n"/>
      <c r="R1098" s="19" t="n"/>
      <c r="S1098" s="20" t="n"/>
      <c r="T1098" s="120" t="n"/>
      <c r="U1098" s="55" t="inlineStr">
        <is>
          <t>AMPLIAR</t>
        </is>
      </c>
      <c r="V1098" s="132">
        <f>DADOS_INVOC!$PY$72</f>
        <v/>
      </c>
      <c r="W1098" s="19" t="n"/>
      <c r="X1098" s="19" t="n"/>
      <c r="Y1098" s="20" t="n"/>
      <c r="Z1098" s="120" t="n"/>
      <c r="AB1098" s="55" t="inlineStr">
        <is>
          <t>AMPLIAR</t>
        </is>
      </c>
      <c r="AC1098" s="132">
        <f>DADOS_INVOC!$PY$148</f>
        <v/>
      </c>
      <c r="AD1098" s="19" t="n"/>
      <c r="AE1098" s="19" t="n"/>
      <c r="AF1098" s="20" t="n"/>
      <c r="AG1098" s="120" t="n"/>
      <c r="AH1098" s="55" t="inlineStr">
        <is>
          <t>AMPLIAR</t>
        </is>
      </c>
      <c r="AI1098" s="132">
        <f>DADOS_INVOC!$PY$149</f>
        <v/>
      </c>
      <c r="AJ1098" s="19" t="n"/>
      <c r="AK1098" s="19" t="n"/>
      <c r="AL1098" s="20" t="n"/>
      <c r="AM1098" s="120" t="n"/>
      <c r="AN1098" s="55" t="inlineStr">
        <is>
          <t>AMPLIAR</t>
        </is>
      </c>
      <c r="AO1098" s="132">
        <f>DADOS_INVOC!$PY$150</f>
        <v/>
      </c>
      <c r="AP1098" s="19" t="n"/>
      <c r="AQ1098" s="19" t="n"/>
      <c r="AR1098" s="20" t="n"/>
      <c r="AS1098" s="120" t="n"/>
    </row>
    <row r="1099" hidden="1" outlineLevel="3">
      <c r="A1099" s="8" t="n"/>
      <c r="B1099" s="14" t="n"/>
      <c r="C1099" s="120" t="n"/>
      <c r="D1099" s="120" t="n"/>
      <c r="E1099" s="120" t="n"/>
      <c r="F1099" s="120" t="n"/>
      <c r="G1099" s="120" t="n"/>
      <c r="I1099" s="125" t="n"/>
      <c r="J1099" s="23" t="n"/>
      <c r="K1099" s="24" t="n"/>
      <c r="L1099" s="24" t="n"/>
      <c r="M1099" s="25" t="n"/>
      <c r="N1099" s="120" t="n"/>
      <c r="O1099" s="125" t="n"/>
      <c r="P1099" s="23" t="n"/>
      <c r="Q1099" s="24" t="n"/>
      <c r="R1099" s="24" t="n"/>
      <c r="S1099" s="25" t="n"/>
      <c r="T1099" s="120" t="n"/>
      <c r="U1099" s="125" t="n"/>
      <c r="V1099" s="23" t="n"/>
      <c r="W1099" s="24" t="n"/>
      <c r="X1099" s="24" t="n"/>
      <c r="Y1099" s="25" t="n"/>
      <c r="Z1099" s="120" t="n"/>
      <c r="AB1099" s="125" t="n"/>
      <c r="AC1099" s="23" t="n"/>
      <c r="AD1099" s="24" t="n"/>
      <c r="AE1099" s="24" t="n"/>
      <c r="AF1099" s="25" t="n"/>
      <c r="AG1099" s="120" t="n"/>
      <c r="AH1099" s="125" t="n"/>
      <c r="AI1099" s="23" t="n"/>
      <c r="AJ1099" s="24" t="n"/>
      <c r="AK1099" s="24" t="n"/>
      <c r="AL1099" s="25" t="n"/>
      <c r="AM1099" s="120" t="n"/>
      <c r="AN1099" s="125" t="n"/>
      <c r="AO1099" s="23" t="n"/>
      <c r="AP1099" s="24" t="n"/>
      <c r="AQ1099" s="24" t="n"/>
      <c r="AR1099" s="25" t="n"/>
      <c r="AS1099" s="120" t="n"/>
    </row>
    <row r="1100" hidden="1" outlineLevel="3">
      <c r="A1100" s="8" t="n"/>
      <c r="B1100" s="14" t="n"/>
      <c r="C1100" s="120" t="n"/>
      <c r="D1100" s="120" t="n"/>
      <c r="E1100" s="120" t="n"/>
      <c r="F1100" s="120" t="n"/>
      <c r="G1100" s="120" t="n"/>
      <c r="I1100" s="132">
        <f>DADOS_INVOC!$PL$70</f>
        <v/>
      </c>
      <c r="J1100" s="19" t="n"/>
      <c r="K1100" s="19" t="n"/>
      <c r="L1100" s="19" t="n"/>
      <c r="M1100" s="20" t="n"/>
      <c r="N1100" s="120" t="n"/>
      <c r="O1100" s="132">
        <f>DADOS_INVOC!$PL$71</f>
        <v/>
      </c>
      <c r="P1100" s="19" t="n"/>
      <c r="Q1100" s="19" t="n"/>
      <c r="R1100" s="19" t="n"/>
      <c r="S1100" s="20" t="n"/>
      <c r="T1100" s="120" t="n"/>
      <c r="U1100" s="132">
        <f>DADOS_INVOC!$PL$72</f>
        <v/>
      </c>
      <c r="V1100" s="19" t="n"/>
      <c r="W1100" s="19" t="n"/>
      <c r="X1100" s="19" t="n"/>
      <c r="Y1100" s="20" t="n"/>
      <c r="Z1100" s="120" t="n"/>
      <c r="AB1100" s="132">
        <f>DADOS_INVOC!$PL$148</f>
        <v/>
      </c>
      <c r="AC1100" s="19" t="n"/>
      <c r="AD1100" s="19" t="n"/>
      <c r="AE1100" s="19" t="n"/>
      <c r="AF1100" s="20" t="n"/>
      <c r="AG1100" s="120" t="n"/>
      <c r="AH1100" s="132">
        <f>DADOS_INVOC!$PL$149</f>
        <v/>
      </c>
      <c r="AI1100" s="19" t="n"/>
      <c r="AJ1100" s="19" t="n"/>
      <c r="AK1100" s="19" t="n"/>
      <c r="AL1100" s="20" t="n"/>
      <c r="AM1100" s="120" t="n"/>
      <c r="AN1100" s="132">
        <f>DADOS_INVOC!$PL$150</f>
        <v/>
      </c>
      <c r="AO1100" s="19" t="n"/>
      <c r="AP1100" s="19" t="n"/>
      <c r="AQ1100" s="19" t="n"/>
      <c r="AR1100" s="20" t="n"/>
      <c r="AS1100" s="120" t="n"/>
    </row>
    <row r="1101" hidden="1" outlineLevel="3">
      <c r="A1101" s="8" t="n"/>
      <c r="B1101" s="14" t="n"/>
      <c r="C1101" s="120" t="n"/>
      <c r="D1101" s="120" t="n"/>
      <c r="E1101" s="120" t="n"/>
      <c r="F1101" s="120" t="n"/>
      <c r="G1101" s="120" t="n"/>
      <c r="I1101" s="23" t="n"/>
      <c r="J1101" s="24" t="n"/>
      <c r="K1101" s="24" t="n"/>
      <c r="L1101" s="24" t="n"/>
      <c r="M1101" s="25" t="n"/>
      <c r="N1101" s="120" t="n"/>
      <c r="O1101" s="23" t="n"/>
      <c r="P1101" s="24" t="n"/>
      <c r="Q1101" s="24" t="n"/>
      <c r="R1101" s="24" t="n"/>
      <c r="S1101" s="25" t="n"/>
      <c r="T1101" s="120" t="n"/>
      <c r="U1101" s="23" t="n"/>
      <c r="V1101" s="24" t="n"/>
      <c r="W1101" s="24" t="n"/>
      <c r="X1101" s="24" t="n"/>
      <c r="Y1101" s="25" t="n"/>
      <c r="Z1101" s="120" t="n"/>
      <c r="AB1101" s="23" t="n"/>
      <c r="AC1101" s="24" t="n"/>
      <c r="AD1101" s="24" t="n"/>
      <c r="AE1101" s="24" t="n"/>
      <c r="AF1101" s="25" t="n"/>
      <c r="AG1101" s="120" t="n"/>
      <c r="AH1101" s="23" t="n"/>
      <c r="AI1101" s="24" t="n"/>
      <c r="AJ1101" s="24" t="n"/>
      <c r="AK1101" s="24" t="n"/>
      <c r="AL1101" s="25" t="n"/>
      <c r="AM1101" s="120" t="n"/>
      <c r="AN1101" s="23" t="n"/>
      <c r="AO1101" s="24" t="n"/>
      <c r="AP1101" s="24" t="n"/>
      <c r="AQ1101" s="24" t="n"/>
      <c r="AR1101" s="25" t="n"/>
      <c r="AS1101" s="120" t="n"/>
    </row>
    <row r="1102" hidden="1" outlineLevel="2">
      <c r="A1102" s="8" t="n"/>
      <c r="B1102" s="14" t="n"/>
      <c r="C1102" s="120" t="n"/>
      <c r="D1102" s="120" t="n"/>
      <c r="E1102" s="120" t="n"/>
      <c r="F1102" s="120" t="n"/>
      <c r="G1102" s="120" t="n"/>
      <c r="I1102" s="120" t="n"/>
      <c r="J1102" s="120" t="n"/>
      <c r="K1102" s="120" t="n"/>
      <c r="L1102" s="120" t="n"/>
      <c r="M1102" s="120" t="n"/>
      <c r="N1102" s="120" t="n"/>
      <c r="O1102" s="120" t="n"/>
      <c r="P1102" s="120" t="n"/>
      <c r="Q1102" s="120" t="n"/>
      <c r="R1102" s="120" t="n"/>
      <c r="S1102" s="120" t="n"/>
      <c r="T1102" s="120" t="n"/>
      <c r="U1102" s="120" t="n"/>
      <c r="V1102" s="120" t="n"/>
      <c r="W1102" s="120" t="n"/>
      <c r="X1102" s="120" t="n"/>
      <c r="Y1102" s="120" t="n"/>
      <c r="Z1102" s="120" t="n"/>
      <c r="AB1102" s="120" t="n"/>
      <c r="AC1102" s="120" t="n"/>
      <c r="AD1102" s="120" t="n"/>
      <c r="AE1102" s="120" t="n"/>
      <c r="AF1102" s="120" t="n"/>
      <c r="AG1102" s="120" t="n"/>
      <c r="AH1102" s="120" t="n"/>
      <c r="AI1102" s="120" t="n"/>
      <c r="AJ1102" s="120" t="n"/>
      <c r="AK1102" s="120" t="n"/>
      <c r="AL1102" s="120" t="n"/>
      <c r="AM1102" s="120" t="n"/>
      <c r="AN1102" s="120" t="n"/>
      <c r="AO1102" s="120" t="n"/>
      <c r="AP1102" s="120" t="n"/>
      <c r="AQ1102" s="120" t="n"/>
      <c r="AR1102" s="120" t="n"/>
      <c r="AS1102" s="120" t="n"/>
    </row>
    <row r="1103" hidden="1" outlineLevel="2">
      <c r="A1103" s="8" t="n"/>
      <c r="B1103" s="14" t="n"/>
      <c r="C1103" s="120" t="n"/>
      <c r="D1103" s="120" t="n"/>
      <c r="E1103" s="120" t="n"/>
      <c r="F1103" s="120" t="n"/>
      <c r="G1103" s="120" t="n"/>
      <c r="I1103" s="55">
        <f>DADOS_INVOC!$PM$73</f>
        <v/>
      </c>
      <c r="J1103" s="16" t="n"/>
      <c r="K1103" s="16" t="n"/>
      <c r="L1103" s="16" t="n"/>
      <c r="M1103" s="17" t="n"/>
      <c r="N1103" s="120" t="n"/>
      <c r="O1103" s="55">
        <f>DADOS_INVOC!$PM$74</f>
        <v/>
      </c>
      <c r="P1103" s="16" t="n"/>
      <c r="Q1103" s="16" t="n"/>
      <c r="R1103" s="16" t="n"/>
      <c r="S1103" s="17" t="n"/>
      <c r="T1103" s="120" t="n"/>
      <c r="U1103" s="55">
        <f>DADOS_INVOC!$PM$75</f>
        <v/>
      </c>
      <c r="V1103" s="16" t="n"/>
      <c r="W1103" s="16" t="n"/>
      <c r="X1103" s="16" t="n"/>
      <c r="Y1103" s="17" t="n"/>
      <c r="Z1103" s="120" t="n"/>
      <c r="AB1103" s="55">
        <f>DADOS_INVOC!$PM$151</f>
        <v/>
      </c>
      <c r="AC1103" s="16" t="n"/>
      <c r="AD1103" s="16" t="n"/>
      <c r="AE1103" s="16" t="n"/>
      <c r="AF1103" s="17" t="n"/>
      <c r="AG1103" s="120" t="n"/>
      <c r="AH1103" s="55">
        <f>DADOS_INVOC!$PM$152</f>
        <v/>
      </c>
      <c r="AI1103" s="16" t="n"/>
      <c r="AJ1103" s="16" t="n"/>
      <c r="AK1103" s="16" t="n"/>
      <c r="AL1103" s="17" t="n"/>
      <c r="AM1103" s="120" t="n"/>
      <c r="AN1103" s="55">
        <f>DADOS_INVOC!$PM$153</f>
        <v/>
      </c>
      <c r="AO1103" s="16" t="n"/>
      <c r="AP1103" s="16" t="n"/>
      <c r="AQ1103" s="16" t="n"/>
      <c r="AR1103" s="17" t="n"/>
      <c r="AS1103" s="120" t="n"/>
    </row>
    <row r="1104" hidden="1" outlineLevel="2">
      <c r="A1104" s="8" t="n"/>
      <c r="B1104" s="14" t="n"/>
      <c r="C1104" s="120" t="n"/>
      <c r="D1104" s="120" t="n"/>
      <c r="E1104" s="120" t="n"/>
      <c r="F1104" s="120" t="n"/>
      <c r="G1104" s="120" t="n"/>
      <c r="I1104" s="127" t="n">
        <v>1</v>
      </c>
      <c r="J1104" s="115" t="n"/>
      <c r="K1104" s="16" t="n"/>
      <c r="L1104" s="17" t="n"/>
      <c r="M1104" s="128">
        <f>DADOS_INVOC!$PK$73</f>
        <v/>
      </c>
      <c r="N1104" s="120" t="n"/>
      <c r="O1104" s="127" t="n">
        <v>1</v>
      </c>
      <c r="P1104" s="115" t="n"/>
      <c r="Q1104" s="16" t="n"/>
      <c r="R1104" s="17" t="n"/>
      <c r="S1104" s="128">
        <f>DADOS_INVOC!$PK$74</f>
        <v/>
      </c>
      <c r="T1104" s="120" t="n"/>
      <c r="U1104" s="127" t="n">
        <v>1</v>
      </c>
      <c r="V1104" s="115" t="n"/>
      <c r="W1104" s="16" t="n"/>
      <c r="X1104" s="17" t="n"/>
      <c r="Y1104" s="128">
        <f>DADOS_INVOC!$PK$75</f>
        <v/>
      </c>
      <c r="Z1104" s="120" t="n"/>
      <c r="AB1104" s="127" t="n">
        <v>1</v>
      </c>
      <c r="AC1104" s="115" t="n"/>
      <c r="AD1104" s="16" t="n"/>
      <c r="AE1104" s="17" t="n"/>
      <c r="AF1104" s="128">
        <f>DADOS_INVOC!$PK$151</f>
        <v/>
      </c>
      <c r="AG1104" s="120" t="n"/>
      <c r="AH1104" s="127" t="n">
        <v>1</v>
      </c>
      <c r="AI1104" s="115" t="n"/>
      <c r="AJ1104" s="16" t="n"/>
      <c r="AK1104" s="17" t="n"/>
      <c r="AL1104" s="128">
        <f>DADOS_INVOC!$PK$152</f>
        <v/>
      </c>
      <c r="AM1104" s="120" t="n"/>
      <c r="AN1104" s="127" t="n">
        <v>1</v>
      </c>
      <c r="AO1104" s="115" t="n"/>
      <c r="AP1104" s="16" t="n"/>
      <c r="AQ1104" s="17" t="n"/>
      <c r="AR1104" s="128">
        <f>DADOS_INVOC!$PK$153</f>
        <v/>
      </c>
      <c r="AS1104" s="120" t="n"/>
    </row>
    <row r="1105" hidden="1" outlineLevel="3">
      <c r="A1105" s="8" t="n"/>
      <c r="B1105" s="14" t="n"/>
      <c r="C1105" s="120" t="n"/>
      <c r="D1105" s="120" t="n"/>
      <c r="E1105" s="120" t="n"/>
      <c r="F1105" s="120" t="n"/>
      <c r="G1105" s="120" t="n"/>
      <c r="I1105" s="55" t="inlineStr">
        <is>
          <t>COMO É</t>
        </is>
      </c>
      <c r="J1105" s="16" t="n"/>
      <c r="K1105" s="16" t="n"/>
      <c r="L1105" s="16" t="n"/>
      <c r="M1105" s="17" t="n"/>
      <c r="N1105" s="120" t="n"/>
      <c r="O1105" s="55" t="inlineStr">
        <is>
          <t>COMO É</t>
        </is>
      </c>
      <c r="P1105" s="16" t="n"/>
      <c r="Q1105" s="16" t="n"/>
      <c r="R1105" s="16" t="n"/>
      <c r="S1105" s="17" t="n"/>
      <c r="T1105" s="120" t="n"/>
      <c r="U1105" s="55" t="inlineStr">
        <is>
          <t>COMO É</t>
        </is>
      </c>
      <c r="V1105" s="16" t="n"/>
      <c r="W1105" s="16" t="n"/>
      <c r="X1105" s="16" t="n"/>
      <c r="Y1105" s="17" t="n"/>
      <c r="Z1105" s="120" t="n"/>
      <c r="AB1105" s="55" t="inlineStr">
        <is>
          <t>COMO É</t>
        </is>
      </c>
      <c r="AC1105" s="16" t="n"/>
      <c r="AD1105" s="16" t="n"/>
      <c r="AE1105" s="16" t="n"/>
      <c r="AF1105" s="17" t="n"/>
      <c r="AG1105" s="120" t="n"/>
      <c r="AH1105" s="55" t="inlineStr">
        <is>
          <t>COMO É</t>
        </is>
      </c>
      <c r="AI1105" s="16" t="n"/>
      <c r="AJ1105" s="16" t="n"/>
      <c r="AK1105" s="16" t="n"/>
      <c r="AL1105" s="17" t="n"/>
      <c r="AM1105" s="120" t="n"/>
      <c r="AN1105" s="55" t="inlineStr">
        <is>
          <t>COMO É</t>
        </is>
      </c>
      <c r="AO1105" s="16" t="n"/>
      <c r="AP1105" s="16" t="n"/>
      <c r="AQ1105" s="16" t="n"/>
      <c r="AR1105" s="17" t="n"/>
      <c r="AS1105" s="120" t="n"/>
    </row>
    <row r="1106" hidden="1" outlineLevel="3">
      <c r="A1106" s="8" t="n"/>
      <c r="B1106" s="14" t="n"/>
      <c r="C1106" s="120" t="n"/>
      <c r="D1106" s="120" t="n"/>
      <c r="E1106" s="120" t="n"/>
      <c r="F1106" s="120" t="n"/>
      <c r="G1106" s="120" t="n"/>
      <c r="I1106" s="116" t="n"/>
      <c r="J1106" s="19" t="n"/>
      <c r="K1106" s="19" t="n"/>
      <c r="L1106" s="19" t="n"/>
      <c r="M1106" s="20" t="n"/>
      <c r="N1106" s="120" t="n"/>
      <c r="O1106" s="116" t="n"/>
      <c r="P1106" s="19" t="n"/>
      <c r="Q1106" s="19" t="n"/>
      <c r="R1106" s="19" t="n"/>
      <c r="S1106" s="20" t="n"/>
      <c r="T1106" s="120" t="n"/>
      <c r="U1106" s="116" t="n"/>
      <c r="V1106" s="19" t="n"/>
      <c r="W1106" s="19" t="n"/>
      <c r="X1106" s="19" t="n"/>
      <c r="Y1106" s="20" t="n"/>
      <c r="Z1106" s="120" t="n"/>
      <c r="AB1106" s="116" t="n"/>
      <c r="AC1106" s="19" t="n"/>
      <c r="AD1106" s="19" t="n"/>
      <c r="AE1106" s="19" t="n"/>
      <c r="AF1106" s="20" t="n"/>
      <c r="AG1106" s="120" t="n"/>
      <c r="AH1106" s="116" t="n"/>
      <c r="AI1106" s="19" t="n"/>
      <c r="AJ1106" s="19" t="n"/>
      <c r="AK1106" s="19" t="n"/>
      <c r="AL1106" s="20" t="n"/>
      <c r="AM1106" s="120" t="n"/>
      <c r="AN1106" s="116" t="n"/>
      <c r="AO1106" s="19" t="n"/>
      <c r="AP1106" s="19" t="n"/>
      <c r="AQ1106" s="19" t="n"/>
      <c r="AR1106" s="20" t="n"/>
      <c r="AS1106" s="120" t="n"/>
    </row>
    <row r="1107" hidden="1" outlineLevel="3">
      <c r="A1107" s="8" t="n"/>
      <c r="B1107" s="14" t="n"/>
      <c r="C1107" s="120" t="n"/>
      <c r="D1107" s="120" t="n"/>
      <c r="E1107" s="120" t="n"/>
      <c r="F1107" s="120" t="n"/>
      <c r="G1107" s="120" t="n"/>
      <c r="I1107" s="21" t="n"/>
      <c r="M1107" s="22" t="n"/>
      <c r="N1107" s="120" t="n"/>
      <c r="O1107" s="21" t="n"/>
      <c r="S1107" s="22" t="n"/>
      <c r="T1107" s="120" t="n"/>
      <c r="U1107" s="21" t="n"/>
      <c r="Y1107" s="22" t="n"/>
      <c r="Z1107" s="120" t="n"/>
      <c r="AB1107" s="21" t="n"/>
      <c r="AF1107" s="22" t="n"/>
      <c r="AG1107" s="120" t="n"/>
      <c r="AH1107" s="21" t="n"/>
      <c r="AL1107" s="22" t="n"/>
      <c r="AM1107" s="120" t="n"/>
      <c r="AN1107" s="21" t="n"/>
      <c r="AR1107" s="22" t="n"/>
      <c r="AS1107" s="120" t="n"/>
    </row>
    <row r="1108" hidden="1" outlineLevel="3">
      <c r="A1108" s="8" t="n"/>
      <c r="B1108" s="14" t="n"/>
      <c r="C1108" s="120" t="n"/>
      <c r="D1108" s="120" t="n"/>
      <c r="E1108" s="120" t="n"/>
      <c r="F1108" s="120" t="n"/>
      <c r="G1108" s="120" t="n"/>
      <c r="I1108" s="23" t="n"/>
      <c r="J1108" s="24" t="n"/>
      <c r="K1108" s="24" t="n"/>
      <c r="L1108" s="24" t="n"/>
      <c r="M1108" s="25" t="n"/>
      <c r="N1108" s="120" t="n"/>
      <c r="O1108" s="23" t="n"/>
      <c r="P1108" s="24" t="n"/>
      <c r="Q1108" s="24" t="n"/>
      <c r="R1108" s="24" t="n"/>
      <c r="S1108" s="25" t="n"/>
      <c r="T1108" s="120" t="n"/>
      <c r="U1108" s="23" t="n"/>
      <c r="V1108" s="24" t="n"/>
      <c r="W1108" s="24" t="n"/>
      <c r="X1108" s="24" t="n"/>
      <c r="Y1108" s="25" t="n"/>
      <c r="Z1108" s="120" t="n"/>
      <c r="AB1108" s="23" t="n"/>
      <c r="AC1108" s="24" t="n"/>
      <c r="AD1108" s="24" t="n"/>
      <c r="AE1108" s="24" t="n"/>
      <c r="AF1108" s="25" t="n"/>
      <c r="AG1108" s="120" t="n"/>
      <c r="AH1108" s="23" t="n"/>
      <c r="AI1108" s="24" t="n"/>
      <c r="AJ1108" s="24" t="n"/>
      <c r="AK1108" s="24" t="n"/>
      <c r="AL1108" s="25" t="n"/>
      <c r="AM1108" s="120" t="n"/>
      <c r="AN1108" s="23" t="n"/>
      <c r="AO1108" s="24" t="n"/>
      <c r="AP1108" s="24" t="n"/>
      <c r="AQ1108" s="24" t="n"/>
      <c r="AR1108" s="25" t="n"/>
      <c r="AS1108" s="120" t="n"/>
    </row>
    <row r="1109" hidden="1" outlineLevel="2">
      <c r="A1109" s="8" t="n"/>
      <c r="B1109" s="14" t="n"/>
      <c r="C1109" s="120" t="n"/>
      <c r="D1109" s="120" t="n"/>
      <c r="E1109" s="120" t="n"/>
      <c r="F1109" s="120" t="n"/>
      <c r="G1109" s="120" t="n"/>
      <c r="I1109" s="124" t="inlineStr">
        <is>
          <t>Projétil</t>
        </is>
      </c>
      <c r="J1109" s="17" t="n"/>
      <c r="K1109" s="68">
        <f>DADOS_INVOC!$PR$73</f>
        <v/>
      </c>
      <c r="L1109" s="17" t="n"/>
      <c r="M1109" s="68">
        <f>DADOS_INVOC!$PN$73</f>
        <v/>
      </c>
      <c r="N1109" s="120" t="n"/>
      <c r="O1109" s="124" t="inlineStr">
        <is>
          <t>Projétil</t>
        </is>
      </c>
      <c r="P1109" s="17" t="n"/>
      <c r="Q1109" s="68">
        <f>DADOS_INVOC!$PR$74</f>
        <v/>
      </c>
      <c r="R1109" s="17" t="n"/>
      <c r="S1109" s="68">
        <f>DADOS_INVOC!$PN$74</f>
        <v/>
      </c>
      <c r="T1109" s="120" t="n"/>
      <c r="U1109" s="124" t="inlineStr">
        <is>
          <t>Projétil</t>
        </is>
      </c>
      <c r="V1109" s="17" t="n"/>
      <c r="W1109" s="68">
        <f>DADOS_INVOC!$PR$75</f>
        <v/>
      </c>
      <c r="X1109" s="17" t="n"/>
      <c r="Y1109" s="68">
        <f>DADOS_INVOC!$PN$75</f>
        <v/>
      </c>
      <c r="Z1109" s="120" t="n"/>
      <c r="AB1109" s="124" t="inlineStr">
        <is>
          <t>Projétil</t>
        </is>
      </c>
      <c r="AC1109" s="17" t="n"/>
      <c r="AD1109" s="68">
        <f>DADOS_INVOC!$PR$151</f>
        <v/>
      </c>
      <c r="AE1109" s="17" t="n"/>
      <c r="AF1109" s="68">
        <f>DADOS_INVOC!$PN$151</f>
        <v/>
      </c>
      <c r="AG1109" s="120" t="n"/>
      <c r="AH1109" s="124" t="inlineStr">
        <is>
          <t>Projétil</t>
        </is>
      </c>
      <c r="AI1109" s="17" t="n"/>
      <c r="AJ1109" s="68">
        <f>DADOS_INVOC!$PR$152</f>
        <v/>
      </c>
      <c r="AK1109" s="17" t="n"/>
      <c r="AL1109" s="68">
        <f>DADOS_INVOC!$PN$152</f>
        <v/>
      </c>
      <c r="AM1109" s="120" t="n"/>
      <c r="AN1109" s="124" t="inlineStr">
        <is>
          <t>Projétil</t>
        </is>
      </c>
      <c r="AO1109" s="17" t="n"/>
      <c r="AP1109" s="68">
        <f>DADOS_INVOC!$PR$153</f>
        <v/>
      </c>
      <c r="AQ1109" s="17" t="n"/>
      <c r="AR1109" s="68">
        <f>DADOS_INVOC!$PN$153</f>
        <v/>
      </c>
      <c r="AS1109" s="120" t="n"/>
    </row>
    <row r="1110" hidden="1" outlineLevel="2">
      <c r="A1110" s="8" t="n"/>
      <c r="B1110" s="14" t="n"/>
      <c r="C1110" s="120" t="n"/>
      <c r="D1110" s="120" t="n"/>
      <c r="E1110" s="120" t="n"/>
      <c r="F1110" s="120" t="n"/>
      <c r="G1110" s="120" t="n"/>
      <c r="I1110" s="124" t="n"/>
      <c r="J1110" s="17" t="n"/>
      <c r="K1110" s="124" t="n"/>
      <c r="L1110" s="16" t="n"/>
      <c r="M1110" s="17" t="n"/>
      <c r="N1110" s="120" t="n"/>
      <c r="O1110" s="124" t="n"/>
      <c r="P1110" s="17" t="n"/>
      <c r="Q1110" s="124" t="n"/>
      <c r="R1110" s="16" t="n"/>
      <c r="S1110" s="17" t="n"/>
      <c r="T1110" s="120" t="n"/>
      <c r="U1110" s="124" t="n"/>
      <c r="V1110" s="17" t="n"/>
      <c r="W1110" s="124" t="n"/>
      <c r="X1110" s="16" t="n"/>
      <c r="Y1110" s="17" t="n"/>
      <c r="Z1110" s="120" t="n"/>
      <c r="AB1110" s="124" t="n"/>
      <c r="AC1110" s="17" t="n"/>
      <c r="AD1110" s="124" t="n"/>
      <c r="AE1110" s="16" t="n"/>
      <c r="AF1110" s="17" t="n"/>
      <c r="AG1110" s="120" t="n"/>
      <c r="AH1110" s="124" t="n"/>
      <c r="AI1110" s="17" t="n"/>
      <c r="AJ1110" s="124" t="n"/>
      <c r="AK1110" s="16" t="n"/>
      <c r="AL1110" s="17" t="n"/>
      <c r="AM1110" s="120" t="n"/>
      <c r="AN1110" s="124" t="n"/>
      <c r="AO1110" s="17" t="n"/>
      <c r="AP1110" s="124" t="n"/>
      <c r="AQ1110" s="16" t="n"/>
      <c r="AR1110" s="17" t="n"/>
      <c r="AS1110" s="120" t="n"/>
    </row>
    <row r="1111" hidden="1" outlineLevel="2">
      <c r="A1111" s="8" t="n"/>
      <c r="B1111" s="14" t="n"/>
      <c r="C1111" s="120" t="n"/>
      <c r="D1111" s="120" t="n"/>
      <c r="E1111" s="120" t="n"/>
      <c r="F1111" s="120" t="n"/>
      <c r="G1111" s="120" t="n"/>
      <c r="I1111" s="124">
        <f>DADOS_INVOC!$PO$73</f>
        <v/>
      </c>
      <c r="J1111" s="17" t="n"/>
      <c r="K1111" s="124">
        <f>DADOS_INVOC!$PQ$73</f>
        <v/>
      </c>
      <c r="L1111" s="16" t="n"/>
      <c r="M1111" s="17" t="n"/>
      <c r="N1111" s="120" t="n"/>
      <c r="O1111" s="124">
        <f>DADOS_INVOC!$PO$74</f>
        <v/>
      </c>
      <c r="P1111" s="17" t="n"/>
      <c r="Q1111" s="124">
        <f>DADOS_INVOC!$PQ$74</f>
        <v/>
      </c>
      <c r="R1111" s="16" t="n"/>
      <c r="S1111" s="17" t="n"/>
      <c r="T1111" s="120" t="n"/>
      <c r="U1111" s="124">
        <f>DADOS_INVOC!$PO$75</f>
        <v/>
      </c>
      <c r="V1111" s="17" t="n"/>
      <c r="W1111" s="124">
        <f>DADOS_INVOC!$PQ$75</f>
        <v/>
      </c>
      <c r="X1111" s="16" t="n"/>
      <c r="Y1111" s="17" t="n"/>
      <c r="Z1111" s="120" t="n"/>
      <c r="AB1111" s="124">
        <f>DADOS_INVOC!$PO$151</f>
        <v/>
      </c>
      <c r="AC1111" s="17" t="n"/>
      <c r="AD1111" s="124">
        <f>DADOS_INVOC!$PQ$151</f>
        <v/>
      </c>
      <c r="AE1111" s="16" t="n"/>
      <c r="AF1111" s="17" t="n"/>
      <c r="AG1111" s="120" t="n"/>
      <c r="AH1111" s="124">
        <f>DADOS_INVOC!$PO$152</f>
        <v/>
      </c>
      <c r="AI1111" s="17" t="n"/>
      <c r="AJ1111" s="124">
        <f>DADOS_INVOC!$PQ$152</f>
        <v/>
      </c>
      <c r="AK1111" s="16" t="n"/>
      <c r="AL1111" s="17" t="n"/>
      <c r="AM1111" s="120" t="n"/>
      <c r="AN1111" s="124">
        <f>DADOS_INVOC!$PO$153</f>
        <v/>
      </c>
      <c r="AO1111" s="17" t="n"/>
      <c r="AP1111" s="124">
        <f>DADOS_INVOC!$PQ$153</f>
        <v/>
      </c>
      <c r="AQ1111" s="16" t="n"/>
      <c r="AR1111" s="17" t="n"/>
      <c r="AS1111" s="120" t="n"/>
    </row>
    <row r="1112" hidden="1" outlineLevel="2">
      <c r="A1112" s="8" t="n"/>
      <c r="B1112" s="14" t="n"/>
      <c r="C1112" s="120" t="n"/>
      <c r="D1112" s="120" t="n"/>
      <c r="E1112" s="120" t="n"/>
      <c r="F1112" s="120" t="n"/>
      <c r="G1112" s="120" t="n"/>
      <c r="I1112" s="129">
        <f>DADOS_INVOC!$PW$73</f>
        <v/>
      </c>
      <c r="J1112" s="16" t="n"/>
      <c r="K1112" s="16" t="n"/>
      <c r="L1112" s="16" t="n"/>
      <c r="M1112" s="17" t="n"/>
      <c r="N1112" s="120" t="n"/>
      <c r="O1112" s="129">
        <f>DADOS_INVOC!$PW$74</f>
        <v/>
      </c>
      <c r="P1112" s="16" t="n"/>
      <c r="Q1112" s="16" t="n"/>
      <c r="R1112" s="16" t="n"/>
      <c r="S1112" s="17" t="n"/>
      <c r="T1112" s="120" t="n"/>
      <c r="U1112" s="129">
        <f>DADOS_INVOC!$PW$75</f>
        <v/>
      </c>
      <c r="V1112" s="16" t="n"/>
      <c r="W1112" s="16" t="n"/>
      <c r="X1112" s="16" t="n"/>
      <c r="Y1112" s="17" t="n"/>
      <c r="Z1112" s="120" t="n"/>
      <c r="AB1112" s="129">
        <f>DADOS_INVOC!$PW$151</f>
        <v/>
      </c>
      <c r="AC1112" s="16" t="n"/>
      <c r="AD1112" s="16" t="n"/>
      <c r="AE1112" s="16" t="n"/>
      <c r="AF1112" s="17" t="n"/>
      <c r="AG1112" s="120" t="n"/>
      <c r="AH1112" s="129">
        <f>DADOS_INVOC!$PW$152</f>
        <v/>
      </c>
      <c r="AI1112" s="16" t="n"/>
      <c r="AJ1112" s="16" t="n"/>
      <c r="AK1112" s="16" t="n"/>
      <c r="AL1112" s="17" t="n"/>
      <c r="AM1112" s="120" t="n"/>
      <c r="AN1112" s="129">
        <f>DADOS_INVOC!$PW$153</f>
        <v/>
      </c>
      <c r="AO1112" s="16" t="n"/>
      <c r="AP1112" s="16" t="n"/>
      <c r="AQ1112" s="16" t="n"/>
      <c r="AR1112" s="17" t="n"/>
      <c r="AS1112" s="120" t="n"/>
    </row>
    <row r="1113" hidden="1" outlineLevel="3">
      <c r="A1113" s="8" t="n"/>
      <c r="B1113" s="14" t="n"/>
      <c r="C1113" s="120" t="n"/>
      <c r="D1113" s="120" t="n"/>
      <c r="E1113" s="120" t="n"/>
      <c r="F1113" s="120" t="n"/>
      <c r="G1113" s="120" t="n"/>
      <c r="I1113" s="55" t="inlineStr">
        <is>
          <t>MELHORIAS</t>
        </is>
      </c>
      <c r="J1113" s="130" t="n"/>
      <c r="K1113" s="16" t="n"/>
      <c r="L1113" s="17" t="n"/>
      <c r="M1113" s="129">
        <f>DADOS_INVOC!$PZ$73</f>
        <v/>
      </c>
      <c r="N1113" s="120" t="n"/>
      <c r="O1113" s="55" t="inlineStr">
        <is>
          <t>MELHORIAS</t>
        </is>
      </c>
      <c r="P1113" s="130" t="n"/>
      <c r="Q1113" s="16" t="n"/>
      <c r="R1113" s="17" t="n"/>
      <c r="S1113" s="129">
        <f>DADOS_INVOC!$PZ$74</f>
        <v/>
      </c>
      <c r="T1113" s="120" t="n"/>
      <c r="U1113" s="55" t="inlineStr">
        <is>
          <t>MELHORIAS</t>
        </is>
      </c>
      <c r="V1113" s="130" t="n"/>
      <c r="W1113" s="16" t="n"/>
      <c r="X1113" s="17" t="n"/>
      <c r="Y1113" s="129">
        <f>DADOS_INVOC!$PZ$75</f>
        <v/>
      </c>
      <c r="Z1113" s="120" t="n"/>
      <c r="AB1113" s="55" t="inlineStr">
        <is>
          <t>MELHORIAS</t>
        </is>
      </c>
      <c r="AC1113" s="130" t="n"/>
      <c r="AD1113" s="16" t="n"/>
      <c r="AE1113" s="17" t="n"/>
      <c r="AF1113" s="129">
        <f>DADOS_INVOC!$PZ$151</f>
        <v/>
      </c>
      <c r="AG1113" s="120" t="n"/>
      <c r="AH1113" s="55" t="inlineStr">
        <is>
          <t>MELHORIAS</t>
        </is>
      </c>
      <c r="AI1113" s="130" t="n"/>
      <c r="AJ1113" s="16" t="n"/>
      <c r="AK1113" s="17" t="n"/>
      <c r="AL1113" s="129">
        <f>DADOS_INVOC!$PZ$152</f>
        <v/>
      </c>
      <c r="AM1113" s="120" t="n"/>
      <c r="AN1113" s="55" t="inlineStr">
        <is>
          <t>MELHORIAS</t>
        </is>
      </c>
      <c r="AO1113" s="130" t="n"/>
      <c r="AP1113" s="16" t="n"/>
      <c r="AQ1113" s="17" t="n"/>
      <c r="AR1113" s="129">
        <f>DADOS_INVOC!$PZ$153</f>
        <v/>
      </c>
      <c r="AS1113" s="120" t="n"/>
    </row>
    <row r="1114" hidden="1" outlineLevel="3">
      <c r="A1114" s="8" t="n"/>
      <c r="B1114" s="14" t="n"/>
      <c r="C1114" s="120" t="n"/>
      <c r="D1114" s="120" t="n"/>
      <c r="E1114" s="120" t="n"/>
      <c r="F1114" s="120" t="n"/>
      <c r="G1114" s="120" t="n"/>
      <c r="I1114" s="131" t="n"/>
      <c r="J1114" s="130" t="n"/>
      <c r="K1114" s="16" t="n"/>
      <c r="L1114" s="17" t="n"/>
      <c r="M1114" s="129">
        <f>DADOS_INVOC!$QA$73</f>
        <v/>
      </c>
      <c r="N1114" s="120" t="n"/>
      <c r="O1114" s="131" t="n"/>
      <c r="P1114" s="130" t="n"/>
      <c r="Q1114" s="16" t="n"/>
      <c r="R1114" s="17" t="n"/>
      <c r="S1114" s="129">
        <f>DADOS_INVOC!$QA$74</f>
        <v/>
      </c>
      <c r="T1114" s="120" t="n"/>
      <c r="U1114" s="131" t="n"/>
      <c r="V1114" s="130" t="n"/>
      <c r="W1114" s="16" t="n"/>
      <c r="X1114" s="17" t="n"/>
      <c r="Y1114" s="129">
        <f>DADOS_INVOC!$QA$75</f>
        <v/>
      </c>
      <c r="Z1114" s="120" t="n"/>
      <c r="AB1114" s="131" t="n"/>
      <c r="AC1114" s="130" t="n"/>
      <c r="AD1114" s="16" t="n"/>
      <c r="AE1114" s="17" t="n"/>
      <c r="AF1114" s="129">
        <f>DADOS_INVOC!$QA$151</f>
        <v/>
      </c>
      <c r="AG1114" s="120" t="n"/>
      <c r="AH1114" s="131" t="n"/>
      <c r="AI1114" s="130" t="n"/>
      <c r="AJ1114" s="16" t="n"/>
      <c r="AK1114" s="17" t="n"/>
      <c r="AL1114" s="129">
        <f>DADOS_INVOC!$QA$152</f>
        <v/>
      </c>
      <c r="AM1114" s="120" t="n"/>
      <c r="AN1114" s="131" t="n"/>
      <c r="AO1114" s="130" t="n"/>
      <c r="AP1114" s="16" t="n"/>
      <c r="AQ1114" s="17" t="n"/>
      <c r="AR1114" s="129">
        <f>DADOS_INVOC!$QA$153</f>
        <v/>
      </c>
      <c r="AS1114" s="120" t="n"/>
    </row>
    <row r="1115" hidden="1" outlineLevel="3">
      <c r="A1115" s="8" t="n"/>
      <c r="B1115" s="14" t="n"/>
      <c r="C1115" s="120" t="n"/>
      <c r="D1115" s="120" t="n"/>
      <c r="E1115" s="120" t="n"/>
      <c r="F1115" s="120" t="n"/>
      <c r="G1115" s="120" t="n"/>
      <c r="I1115" s="131" t="n"/>
      <c r="J1115" s="130" t="n"/>
      <c r="K1115" s="16" t="n"/>
      <c r="L1115" s="17" t="n"/>
      <c r="M1115" s="129">
        <f>DADOS_INVOC!$QB$73</f>
        <v/>
      </c>
      <c r="N1115" s="120" t="n"/>
      <c r="O1115" s="131" t="n"/>
      <c r="P1115" s="130" t="n"/>
      <c r="Q1115" s="16" t="n"/>
      <c r="R1115" s="17" t="n"/>
      <c r="S1115" s="129">
        <f>DADOS_INVOC!$QB$74</f>
        <v/>
      </c>
      <c r="T1115" s="120" t="n"/>
      <c r="U1115" s="131" t="n"/>
      <c r="V1115" s="130" t="n"/>
      <c r="W1115" s="16" t="n"/>
      <c r="X1115" s="17" t="n"/>
      <c r="Y1115" s="129">
        <f>DADOS_INVOC!$QB$75</f>
        <v/>
      </c>
      <c r="Z1115" s="120" t="n"/>
      <c r="AB1115" s="131" t="n"/>
      <c r="AC1115" s="130" t="n"/>
      <c r="AD1115" s="16" t="n"/>
      <c r="AE1115" s="17" t="n"/>
      <c r="AF1115" s="129">
        <f>DADOS_INVOC!$QB$151</f>
        <v/>
      </c>
      <c r="AG1115" s="120" t="n"/>
      <c r="AH1115" s="131" t="n"/>
      <c r="AI1115" s="130" t="n"/>
      <c r="AJ1115" s="16" t="n"/>
      <c r="AK1115" s="17" t="n"/>
      <c r="AL1115" s="129">
        <f>DADOS_INVOC!$QB$152</f>
        <v/>
      </c>
      <c r="AM1115" s="120" t="n"/>
      <c r="AN1115" s="131" t="n"/>
      <c r="AO1115" s="130" t="n"/>
      <c r="AP1115" s="16" t="n"/>
      <c r="AQ1115" s="17" t="n"/>
      <c r="AR1115" s="129">
        <f>DADOS_INVOC!$QB$153</f>
        <v/>
      </c>
      <c r="AS1115" s="120" t="n"/>
    </row>
    <row r="1116" hidden="1" outlineLevel="3">
      <c r="A1116" s="8" t="n"/>
      <c r="B1116" s="14" t="n"/>
      <c r="C1116" s="120" t="n"/>
      <c r="D1116" s="120" t="n"/>
      <c r="E1116" s="120" t="n"/>
      <c r="F1116" s="120" t="n"/>
      <c r="G1116" s="120" t="n"/>
      <c r="I1116" s="125" t="n"/>
      <c r="J1116" s="130" t="n"/>
      <c r="K1116" s="16" t="n"/>
      <c r="L1116" s="17" t="n"/>
      <c r="M1116" s="129">
        <f>DADOS_INVOC!$QC$73</f>
        <v/>
      </c>
      <c r="N1116" s="120" t="n"/>
      <c r="O1116" s="125" t="n"/>
      <c r="P1116" s="130" t="n"/>
      <c r="Q1116" s="16" t="n"/>
      <c r="R1116" s="17" t="n"/>
      <c r="S1116" s="129">
        <f>DADOS_INVOC!$QC$74</f>
        <v/>
      </c>
      <c r="T1116" s="120" t="n"/>
      <c r="U1116" s="125" t="n"/>
      <c r="V1116" s="130" t="n"/>
      <c r="W1116" s="16" t="n"/>
      <c r="X1116" s="17" t="n"/>
      <c r="Y1116" s="129">
        <f>DADOS_INVOC!$QC$75</f>
        <v/>
      </c>
      <c r="Z1116" s="120" t="n"/>
      <c r="AB1116" s="125" t="n"/>
      <c r="AC1116" s="130" t="n"/>
      <c r="AD1116" s="16" t="n"/>
      <c r="AE1116" s="17" t="n"/>
      <c r="AF1116" s="129">
        <f>DADOS_INVOC!$QC$151</f>
        <v/>
      </c>
      <c r="AG1116" s="120" t="n"/>
      <c r="AH1116" s="125" t="n"/>
      <c r="AI1116" s="130" t="n"/>
      <c r="AJ1116" s="16" t="n"/>
      <c r="AK1116" s="17" t="n"/>
      <c r="AL1116" s="129">
        <f>DADOS_INVOC!$QC$152</f>
        <v/>
      </c>
      <c r="AM1116" s="120" t="n"/>
      <c r="AN1116" s="125" t="n"/>
      <c r="AO1116" s="130" t="n"/>
      <c r="AP1116" s="16" t="n"/>
      <c r="AQ1116" s="17" t="n"/>
      <c r="AR1116" s="129">
        <f>DADOS_INVOC!$QC$153</f>
        <v/>
      </c>
      <c r="AS1116" s="120" t="n"/>
    </row>
    <row r="1117" hidden="1" outlineLevel="3">
      <c r="A1117" s="8" t="n"/>
      <c r="B1117" s="14" t="n"/>
      <c r="C1117" s="120" t="n"/>
      <c r="D1117" s="120" t="n"/>
      <c r="E1117" s="120" t="n"/>
      <c r="F1117" s="120" t="n"/>
      <c r="G1117" s="120" t="n"/>
      <c r="I1117" s="55" t="inlineStr">
        <is>
          <t>RESTRIÇÕES</t>
        </is>
      </c>
      <c r="J1117" s="130" t="n"/>
      <c r="K1117" s="16" t="n"/>
      <c r="L1117" s="17" t="n"/>
      <c r="M1117" s="129">
        <f>DADOS_INVOC!$QD$73</f>
        <v/>
      </c>
      <c r="N1117" s="120" t="n"/>
      <c r="O1117" s="55" t="inlineStr">
        <is>
          <t>RESTRIÇÕES</t>
        </is>
      </c>
      <c r="P1117" s="130" t="n"/>
      <c r="Q1117" s="16" t="n"/>
      <c r="R1117" s="17" t="n"/>
      <c r="S1117" s="129">
        <f>DADOS_INVOC!$QD$74</f>
        <v/>
      </c>
      <c r="T1117" s="120" t="n"/>
      <c r="U1117" s="55" t="inlineStr">
        <is>
          <t>RESTRIÇÕES</t>
        </is>
      </c>
      <c r="V1117" s="130" t="n"/>
      <c r="W1117" s="16" t="n"/>
      <c r="X1117" s="17" t="n"/>
      <c r="Y1117" s="129">
        <f>DADOS_INVOC!$QD$75</f>
        <v/>
      </c>
      <c r="Z1117" s="120" t="n"/>
      <c r="AB1117" s="55" t="inlineStr">
        <is>
          <t>RESTRIÇÕES</t>
        </is>
      </c>
      <c r="AC1117" s="130" t="n"/>
      <c r="AD1117" s="16" t="n"/>
      <c r="AE1117" s="17" t="n"/>
      <c r="AF1117" s="129">
        <f>DADOS_INVOC!$QD$151</f>
        <v/>
      </c>
      <c r="AG1117" s="120" t="n"/>
      <c r="AH1117" s="55" t="inlineStr">
        <is>
          <t>RESTRIÇÕES</t>
        </is>
      </c>
      <c r="AI1117" s="130" t="n"/>
      <c r="AJ1117" s="16" t="n"/>
      <c r="AK1117" s="17" t="n"/>
      <c r="AL1117" s="129">
        <f>DADOS_INVOC!$QD$152</f>
        <v/>
      </c>
      <c r="AM1117" s="120" t="n"/>
      <c r="AN1117" s="55" t="inlineStr">
        <is>
          <t>RESTRIÇÕES</t>
        </is>
      </c>
      <c r="AO1117" s="130" t="n"/>
      <c r="AP1117" s="16" t="n"/>
      <c r="AQ1117" s="17" t="n"/>
      <c r="AR1117" s="129">
        <f>DADOS_INVOC!$QD$153</f>
        <v/>
      </c>
      <c r="AS1117" s="120" t="n"/>
    </row>
    <row r="1118" hidden="1" outlineLevel="3">
      <c r="A1118" s="8" t="n"/>
      <c r="B1118" s="14" t="n"/>
      <c r="C1118" s="120" t="n"/>
      <c r="D1118" s="120" t="n"/>
      <c r="E1118" s="120" t="n"/>
      <c r="F1118" s="120" t="n"/>
      <c r="G1118" s="120" t="n"/>
      <c r="I1118" s="125" t="n"/>
      <c r="J1118" s="130" t="n"/>
      <c r="K1118" s="16" t="n"/>
      <c r="L1118" s="17" t="n"/>
      <c r="M1118" s="129">
        <f>DADOS_INVOC!$QE$73</f>
        <v/>
      </c>
      <c r="N1118" s="120" t="n"/>
      <c r="O1118" s="125" t="n"/>
      <c r="P1118" s="130" t="n"/>
      <c r="Q1118" s="16" t="n"/>
      <c r="R1118" s="17" t="n"/>
      <c r="S1118" s="129">
        <f>DADOS_INVOC!$QE$74</f>
        <v/>
      </c>
      <c r="T1118" s="120" t="n"/>
      <c r="U1118" s="125" t="n"/>
      <c r="V1118" s="130" t="n"/>
      <c r="W1118" s="16" t="n"/>
      <c r="X1118" s="17" t="n"/>
      <c r="Y1118" s="129">
        <f>DADOS_INVOC!$QE$75</f>
        <v/>
      </c>
      <c r="Z1118" s="120" t="n"/>
      <c r="AB1118" s="125" t="n"/>
      <c r="AC1118" s="130" t="n"/>
      <c r="AD1118" s="16" t="n"/>
      <c r="AE1118" s="17" t="n"/>
      <c r="AF1118" s="129">
        <f>DADOS_INVOC!$QE$151</f>
        <v/>
      </c>
      <c r="AG1118" s="120" t="n"/>
      <c r="AH1118" s="125" t="n"/>
      <c r="AI1118" s="130" t="n"/>
      <c r="AJ1118" s="16" t="n"/>
      <c r="AK1118" s="17" t="n"/>
      <c r="AL1118" s="129">
        <f>DADOS_INVOC!$QE$152</f>
        <v/>
      </c>
      <c r="AM1118" s="120" t="n"/>
      <c r="AN1118" s="125" t="n"/>
      <c r="AO1118" s="130" t="n"/>
      <c r="AP1118" s="16" t="n"/>
      <c r="AQ1118" s="17" t="n"/>
      <c r="AR1118" s="129">
        <f>DADOS_INVOC!$QE$153</f>
        <v/>
      </c>
      <c r="AS1118" s="120" t="n"/>
    </row>
    <row r="1119" hidden="1" outlineLevel="3">
      <c r="A1119" s="8" t="n"/>
      <c r="B1119" s="14" t="n"/>
      <c r="C1119" s="120" t="n"/>
      <c r="D1119" s="120" t="n"/>
      <c r="E1119" s="120" t="n"/>
      <c r="F1119" s="120" t="n"/>
      <c r="G1119" s="120" t="n"/>
      <c r="I1119" s="55" t="inlineStr">
        <is>
          <t>CONTA</t>
        </is>
      </c>
      <c r="J1119" s="132">
        <f>DADOS_INVOC!$PX$73</f>
        <v/>
      </c>
      <c r="K1119" s="16" t="n"/>
      <c r="L1119" s="16" t="n"/>
      <c r="M1119" s="17" t="n"/>
      <c r="N1119" s="120" t="n"/>
      <c r="O1119" s="55" t="inlineStr">
        <is>
          <t>CONTA</t>
        </is>
      </c>
      <c r="P1119" s="132">
        <f>DADOS_INVOC!$PX$74</f>
        <v/>
      </c>
      <c r="Q1119" s="16" t="n"/>
      <c r="R1119" s="16" t="n"/>
      <c r="S1119" s="17" t="n"/>
      <c r="T1119" s="120" t="n"/>
      <c r="U1119" s="55" t="inlineStr">
        <is>
          <t>CONTA</t>
        </is>
      </c>
      <c r="V1119" s="132">
        <f>DADOS_INVOC!$PX$75</f>
        <v/>
      </c>
      <c r="W1119" s="16" t="n"/>
      <c r="X1119" s="16" t="n"/>
      <c r="Y1119" s="17" t="n"/>
      <c r="Z1119" s="120" t="n"/>
      <c r="AB1119" s="55" t="inlineStr">
        <is>
          <t>CONTA</t>
        </is>
      </c>
      <c r="AC1119" s="132">
        <f>DADOS_INVOC!$PX$151</f>
        <v/>
      </c>
      <c r="AD1119" s="16" t="n"/>
      <c r="AE1119" s="16" t="n"/>
      <c r="AF1119" s="17" t="n"/>
      <c r="AG1119" s="120" t="n"/>
      <c r="AH1119" s="55" t="inlineStr">
        <is>
          <t>CONTA</t>
        </is>
      </c>
      <c r="AI1119" s="132">
        <f>DADOS_INVOC!$PX$152</f>
        <v/>
      </c>
      <c r="AJ1119" s="16" t="n"/>
      <c r="AK1119" s="16" t="n"/>
      <c r="AL1119" s="17" t="n"/>
      <c r="AM1119" s="120" t="n"/>
      <c r="AN1119" s="55" t="inlineStr">
        <is>
          <t>CONTA</t>
        </is>
      </c>
      <c r="AO1119" s="132">
        <f>DADOS_INVOC!$PX$153</f>
        <v/>
      </c>
      <c r="AP1119" s="16" t="n"/>
      <c r="AQ1119" s="16" t="n"/>
      <c r="AR1119" s="17" t="n"/>
      <c r="AS1119" s="120" t="n"/>
    </row>
    <row r="1120" hidden="1" outlineLevel="3">
      <c r="A1120" s="8" t="n"/>
      <c r="B1120" s="14" t="n"/>
      <c r="C1120" s="120" t="n"/>
      <c r="D1120" s="120" t="n"/>
      <c r="E1120" s="120" t="n"/>
      <c r="F1120" s="120" t="n"/>
      <c r="G1120" s="120" t="n"/>
      <c r="I1120" s="55" t="inlineStr">
        <is>
          <t>AMPLIAR</t>
        </is>
      </c>
      <c r="J1120" s="132">
        <f>DADOS_INVOC!$PY$73</f>
        <v/>
      </c>
      <c r="K1120" s="19" t="n"/>
      <c r="L1120" s="19" t="n"/>
      <c r="M1120" s="20" t="n"/>
      <c r="N1120" s="120" t="n"/>
      <c r="O1120" s="55" t="inlineStr">
        <is>
          <t>AMPLIAR</t>
        </is>
      </c>
      <c r="P1120" s="132">
        <f>DADOS_INVOC!$PY$74</f>
        <v/>
      </c>
      <c r="Q1120" s="19" t="n"/>
      <c r="R1120" s="19" t="n"/>
      <c r="S1120" s="20" t="n"/>
      <c r="T1120" s="120" t="n"/>
      <c r="U1120" s="55" t="inlineStr">
        <is>
          <t>AMPLIAR</t>
        </is>
      </c>
      <c r="V1120" s="132">
        <f>DADOS_INVOC!$PY$75</f>
        <v/>
      </c>
      <c r="W1120" s="19" t="n"/>
      <c r="X1120" s="19" t="n"/>
      <c r="Y1120" s="20" t="n"/>
      <c r="Z1120" s="120" t="n"/>
      <c r="AB1120" s="55" t="inlineStr">
        <is>
          <t>AMPLIAR</t>
        </is>
      </c>
      <c r="AC1120" s="132">
        <f>DADOS_INVOC!$PY$151</f>
        <v/>
      </c>
      <c r="AD1120" s="19" t="n"/>
      <c r="AE1120" s="19" t="n"/>
      <c r="AF1120" s="20" t="n"/>
      <c r="AG1120" s="120" t="n"/>
      <c r="AH1120" s="55" t="inlineStr">
        <is>
          <t>AMPLIAR</t>
        </is>
      </c>
      <c r="AI1120" s="132">
        <f>DADOS_INVOC!$PY$152</f>
        <v/>
      </c>
      <c r="AJ1120" s="19" t="n"/>
      <c r="AK1120" s="19" t="n"/>
      <c r="AL1120" s="20" t="n"/>
      <c r="AM1120" s="120" t="n"/>
      <c r="AN1120" s="55" t="inlineStr">
        <is>
          <t>AMPLIAR</t>
        </is>
      </c>
      <c r="AO1120" s="132">
        <f>DADOS_INVOC!$PY$153</f>
        <v/>
      </c>
      <c r="AP1120" s="19" t="n"/>
      <c r="AQ1120" s="19" t="n"/>
      <c r="AR1120" s="20" t="n"/>
      <c r="AS1120" s="120" t="n"/>
    </row>
    <row r="1121" hidden="1" outlineLevel="3">
      <c r="A1121" s="8" t="n"/>
      <c r="B1121" s="14" t="n"/>
      <c r="C1121" s="120" t="n"/>
      <c r="D1121" s="120" t="n"/>
      <c r="E1121" s="120" t="n"/>
      <c r="F1121" s="120" t="n"/>
      <c r="G1121" s="120" t="n"/>
      <c r="I1121" s="125" t="n"/>
      <c r="J1121" s="23" t="n"/>
      <c r="K1121" s="24" t="n"/>
      <c r="L1121" s="24" t="n"/>
      <c r="M1121" s="25" t="n"/>
      <c r="N1121" s="120" t="n"/>
      <c r="O1121" s="125" t="n"/>
      <c r="P1121" s="23" t="n"/>
      <c r="Q1121" s="24" t="n"/>
      <c r="R1121" s="24" t="n"/>
      <c r="S1121" s="25" t="n"/>
      <c r="T1121" s="120" t="n"/>
      <c r="U1121" s="125" t="n"/>
      <c r="V1121" s="23" t="n"/>
      <c r="W1121" s="24" t="n"/>
      <c r="X1121" s="24" t="n"/>
      <c r="Y1121" s="25" t="n"/>
      <c r="Z1121" s="120" t="n"/>
      <c r="AB1121" s="125" t="n"/>
      <c r="AC1121" s="23" t="n"/>
      <c r="AD1121" s="24" t="n"/>
      <c r="AE1121" s="24" t="n"/>
      <c r="AF1121" s="25" t="n"/>
      <c r="AG1121" s="120" t="n"/>
      <c r="AH1121" s="125" t="n"/>
      <c r="AI1121" s="23" t="n"/>
      <c r="AJ1121" s="24" t="n"/>
      <c r="AK1121" s="24" t="n"/>
      <c r="AL1121" s="25" t="n"/>
      <c r="AM1121" s="120" t="n"/>
      <c r="AN1121" s="125" t="n"/>
      <c r="AO1121" s="23" t="n"/>
      <c r="AP1121" s="24" t="n"/>
      <c r="AQ1121" s="24" t="n"/>
      <c r="AR1121" s="25" t="n"/>
      <c r="AS1121" s="120" t="n"/>
    </row>
    <row r="1122" hidden="1" outlineLevel="3">
      <c r="A1122" s="8" t="n"/>
      <c r="B1122" s="14" t="n"/>
      <c r="C1122" s="120" t="n"/>
      <c r="D1122" s="120" t="n"/>
      <c r="E1122" s="120" t="n"/>
      <c r="F1122" s="120" t="n"/>
      <c r="G1122" s="120" t="n"/>
      <c r="I1122" s="132">
        <f>DADOS_INVOC!$PL$73</f>
        <v/>
      </c>
      <c r="J1122" s="19" t="n"/>
      <c r="K1122" s="19" t="n"/>
      <c r="L1122" s="19" t="n"/>
      <c r="M1122" s="20" t="n"/>
      <c r="N1122" s="120" t="n"/>
      <c r="O1122" s="132">
        <f>DADOS_INVOC!$PL$74</f>
        <v/>
      </c>
      <c r="P1122" s="19" t="n"/>
      <c r="Q1122" s="19" t="n"/>
      <c r="R1122" s="19" t="n"/>
      <c r="S1122" s="20" t="n"/>
      <c r="T1122" s="120" t="n"/>
      <c r="U1122" s="132">
        <f>DADOS_INVOC!$PL$75</f>
        <v/>
      </c>
      <c r="V1122" s="19" t="n"/>
      <c r="W1122" s="19" t="n"/>
      <c r="X1122" s="19" t="n"/>
      <c r="Y1122" s="20" t="n"/>
      <c r="Z1122" s="120" t="n"/>
      <c r="AB1122" s="132">
        <f>DADOS_INVOC!$PL$151</f>
        <v/>
      </c>
      <c r="AC1122" s="19" t="n"/>
      <c r="AD1122" s="19" t="n"/>
      <c r="AE1122" s="19" t="n"/>
      <c r="AF1122" s="20" t="n"/>
      <c r="AG1122" s="120" t="n"/>
      <c r="AH1122" s="132">
        <f>DADOS_INVOC!$PL$152</f>
        <v/>
      </c>
      <c r="AI1122" s="19" t="n"/>
      <c r="AJ1122" s="19" t="n"/>
      <c r="AK1122" s="19" t="n"/>
      <c r="AL1122" s="20" t="n"/>
      <c r="AM1122" s="120" t="n"/>
      <c r="AN1122" s="132">
        <f>DADOS_INVOC!$PL$153</f>
        <v/>
      </c>
      <c r="AO1122" s="19" t="n"/>
      <c r="AP1122" s="19" t="n"/>
      <c r="AQ1122" s="19" t="n"/>
      <c r="AR1122" s="20" t="n"/>
      <c r="AS1122" s="120" t="n"/>
    </row>
    <row r="1123" hidden="1" outlineLevel="3">
      <c r="A1123" s="8" t="n"/>
      <c r="B1123" s="14" t="n"/>
      <c r="C1123" s="120" t="n"/>
      <c r="D1123" s="120" t="n"/>
      <c r="E1123" s="120" t="n"/>
      <c r="F1123" s="120" t="n"/>
      <c r="G1123" s="120" t="n"/>
      <c r="I1123" s="23" t="n"/>
      <c r="J1123" s="24" t="n"/>
      <c r="K1123" s="24" t="n"/>
      <c r="L1123" s="24" t="n"/>
      <c r="M1123" s="25" t="n"/>
      <c r="N1123" s="120" t="n"/>
      <c r="O1123" s="23" t="n"/>
      <c r="P1123" s="24" t="n"/>
      <c r="Q1123" s="24" t="n"/>
      <c r="R1123" s="24" t="n"/>
      <c r="S1123" s="25" t="n"/>
      <c r="T1123" s="120" t="n"/>
      <c r="U1123" s="23" t="n"/>
      <c r="V1123" s="24" t="n"/>
      <c r="W1123" s="24" t="n"/>
      <c r="X1123" s="24" t="n"/>
      <c r="Y1123" s="25" t="n"/>
      <c r="Z1123" s="120" t="n"/>
      <c r="AB1123" s="23" t="n"/>
      <c r="AC1123" s="24" t="n"/>
      <c r="AD1123" s="24" t="n"/>
      <c r="AE1123" s="24" t="n"/>
      <c r="AF1123" s="25" t="n"/>
      <c r="AG1123" s="120" t="n"/>
      <c r="AH1123" s="23" t="n"/>
      <c r="AI1123" s="24" t="n"/>
      <c r="AJ1123" s="24" t="n"/>
      <c r="AK1123" s="24" t="n"/>
      <c r="AL1123" s="25" t="n"/>
      <c r="AM1123" s="120" t="n"/>
      <c r="AN1123" s="23" t="n"/>
      <c r="AO1123" s="24" t="n"/>
      <c r="AP1123" s="24" t="n"/>
      <c r="AQ1123" s="24" t="n"/>
      <c r="AR1123" s="25" t="n"/>
      <c r="AS1123" s="120" t="n"/>
    </row>
    <row r="1124" hidden="1" outlineLevel="2">
      <c r="A1124" s="8" t="n"/>
      <c r="B1124" s="14" t="n"/>
      <c r="C1124" s="120" t="n"/>
      <c r="D1124" s="120" t="n"/>
      <c r="E1124" s="120" t="n"/>
      <c r="F1124" s="120" t="n"/>
      <c r="G1124" s="120" t="n"/>
      <c r="I1124" s="120" t="n"/>
      <c r="J1124" s="120" t="n"/>
      <c r="K1124" s="120" t="n"/>
      <c r="L1124" s="120" t="n"/>
      <c r="M1124" s="120" t="n"/>
      <c r="N1124" s="120" t="n"/>
      <c r="O1124" s="120" t="n"/>
      <c r="P1124" s="120" t="n"/>
      <c r="Q1124" s="120" t="n"/>
      <c r="R1124" s="120" t="n"/>
      <c r="S1124" s="120" t="n"/>
      <c r="T1124" s="120" t="n"/>
      <c r="U1124" s="120" t="n"/>
      <c r="V1124" s="120" t="n"/>
      <c r="W1124" s="120" t="n"/>
      <c r="X1124" s="120" t="n"/>
      <c r="Y1124" s="120" t="n"/>
      <c r="Z1124" s="120" t="n"/>
      <c r="AB1124" s="120" t="n"/>
      <c r="AC1124" s="120" t="n"/>
      <c r="AD1124" s="120" t="n"/>
      <c r="AE1124" s="120" t="n"/>
      <c r="AF1124" s="120" t="n"/>
      <c r="AG1124" s="120" t="n"/>
      <c r="AH1124" s="120" t="n"/>
      <c r="AI1124" s="120" t="n"/>
      <c r="AJ1124" s="120" t="n"/>
      <c r="AK1124" s="120" t="n"/>
      <c r="AL1124" s="120" t="n"/>
      <c r="AM1124" s="120" t="n"/>
      <c r="AN1124" s="120" t="n"/>
      <c r="AO1124" s="120" t="n"/>
      <c r="AP1124" s="120" t="n"/>
      <c r="AQ1124" s="120" t="n"/>
      <c r="AR1124" s="120" t="n"/>
      <c r="AS1124" s="120" t="n"/>
    </row>
    <row r="1125" hidden="1" outlineLevel="2">
      <c r="A1125" s="8" t="n"/>
      <c r="B1125" s="14" t="n"/>
      <c r="C1125" s="120" t="n"/>
      <c r="D1125" s="120" t="n"/>
      <c r="E1125" s="120" t="n"/>
      <c r="F1125" s="120" t="n"/>
      <c r="G1125" s="120" t="n"/>
      <c r="I1125" s="55">
        <f>DADOS_INVOC!$PM$76</f>
        <v/>
      </c>
      <c r="J1125" s="16" t="n"/>
      <c r="K1125" s="16" t="n"/>
      <c r="L1125" s="16" t="n"/>
      <c r="M1125" s="17" t="n"/>
      <c r="N1125" s="120" t="n"/>
      <c r="O1125" s="120" t="n"/>
      <c r="P1125" s="120" t="n"/>
      <c r="Q1125" s="120" t="n"/>
      <c r="R1125" s="120" t="n"/>
      <c r="S1125" s="120" t="n"/>
      <c r="T1125" s="120" t="n"/>
      <c r="U1125" s="120" t="n"/>
      <c r="V1125" s="120" t="n"/>
      <c r="W1125" s="120" t="n"/>
      <c r="X1125" s="120" t="n"/>
      <c r="Y1125" s="120" t="n"/>
      <c r="Z1125" s="120" t="n"/>
      <c r="AB1125" s="55">
        <f>DADOS_INVOC!$PM$154</f>
        <v/>
      </c>
      <c r="AC1125" s="16" t="n"/>
      <c r="AD1125" s="16" t="n"/>
      <c r="AE1125" s="16" t="n"/>
      <c r="AF1125" s="17" t="n"/>
      <c r="AG1125" s="120" t="n"/>
      <c r="AH1125" s="120" t="n"/>
      <c r="AI1125" s="120" t="n"/>
      <c r="AJ1125" s="120" t="n"/>
      <c r="AK1125" s="120" t="n"/>
      <c r="AL1125" s="120" t="n"/>
      <c r="AM1125" s="120" t="n"/>
      <c r="AN1125" s="120" t="n"/>
      <c r="AO1125" s="120" t="n"/>
      <c r="AP1125" s="120" t="n"/>
      <c r="AQ1125" s="120" t="n"/>
      <c r="AR1125" s="120" t="n"/>
      <c r="AS1125" s="120" t="n"/>
    </row>
    <row r="1126" hidden="1" outlineLevel="2">
      <c r="A1126" s="8" t="n"/>
      <c r="B1126" s="14" t="n"/>
      <c r="C1126" s="120" t="n"/>
      <c r="D1126" s="120" t="n"/>
      <c r="E1126" s="120" t="n"/>
      <c r="F1126" s="120" t="n"/>
      <c r="G1126" s="120" t="n"/>
      <c r="I1126" s="127" t="n">
        <v>1</v>
      </c>
      <c r="J1126" s="115" t="n"/>
      <c r="K1126" s="16" t="n"/>
      <c r="L1126" s="17" t="n"/>
      <c r="M1126" s="128">
        <f>DADOS_INVOC!$PK$76</f>
        <v/>
      </c>
      <c r="N1126" s="120" t="n"/>
      <c r="O1126" s="120" t="n"/>
      <c r="P1126" s="120" t="n"/>
      <c r="Q1126" s="120" t="n"/>
      <c r="R1126" s="120" t="n"/>
      <c r="S1126" s="120" t="n"/>
      <c r="T1126" s="120" t="n"/>
      <c r="U1126" s="120" t="n"/>
      <c r="V1126" s="120" t="n"/>
      <c r="W1126" s="120" t="n"/>
      <c r="X1126" s="120" t="n"/>
      <c r="Y1126" s="120" t="n"/>
      <c r="Z1126" s="120" t="n"/>
      <c r="AB1126" s="127" t="n">
        <v>1</v>
      </c>
      <c r="AC1126" s="115" t="n"/>
      <c r="AD1126" s="16" t="n"/>
      <c r="AE1126" s="17" t="n"/>
      <c r="AF1126" s="128">
        <f>DADOS_INVOC!$PK$154</f>
        <v/>
      </c>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55" t="inlineStr">
        <is>
          <t>COMO É</t>
        </is>
      </c>
      <c r="J1127" s="16" t="n"/>
      <c r="K1127" s="16" t="n"/>
      <c r="L1127" s="16" t="n"/>
      <c r="M1127" s="17" t="n"/>
      <c r="N1127" s="120" t="n"/>
      <c r="O1127" s="120" t="n"/>
      <c r="P1127" s="120" t="n"/>
      <c r="Q1127" s="120" t="n"/>
      <c r="R1127" s="120" t="n"/>
      <c r="S1127" s="120" t="n"/>
      <c r="T1127" s="120" t="n"/>
      <c r="U1127" s="120" t="n"/>
      <c r="V1127" s="120" t="n"/>
      <c r="W1127" s="120" t="n"/>
      <c r="X1127" s="120" t="n"/>
      <c r="Y1127" s="120" t="n"/>
      <c r="Z1127" s="120" t="n"/>
      <c r="AB1127" s="55" t="inlineStr">
        <is>
          <t>COMO É</t>
        </is>
      </c>
      <c r="AC1127" s="16" t="n"/>
      <c r="AD1127" s="16" t="n"/>
      <c r="AE1127" s="16" t="n"/>
      <c r="AF1127" s="17" t="n"/>
      <c r="AG1127" s="120" t="n"/>
      <c r="AH1127" s="120" t="n"/>
      <c r="AI1127" s="120" t="n"/>
      <c r="AJ1127" s="120" t="n"/>
      <c r="AK1127" s="120" t="n"/>
      <c r="AL1127" s="120" t="n"/>
      <c r="AM1127" s="120" t="n"/>
      <c r="AN1127" s="120" t="n"/>
      <c r="AO1127" s="120" t="n"/>
      <c r="AP1127" s="120" t="n"/>
      <c r="AQ1127" s="120" t="n"/>
      <c r="AR1127" s="120" t="n"/>
      <c r="AS1127" s="120" t="n"/>
    </row>
    <row r="1128" hidden="1" outlineLevel="3">
      <c r="A1128" s="8" t="n"/>
      <c r="B1128" s="14" t="n"/>
      <c r="C1128" s="120" t="n"/>
      <c r="D1128" s="120" t="n"/>
      <c r="E1128" s="120" t="n"/>
      <c r="F1128" s="120" t="n"/>
      <c r="G1128" s="120" t="n"/>
      <c r="I1128" s="116" t="n"/>
      <c r="J1128" s="19" t="n"/>
      <c r="K1128" s="19" t="n"/>
      <c r="L1128" s="19" t="n"/>
      <c r="M1128" s="20" t="n"/>
      <c r="N1128" s="120" t="n"/>
      <c r="O1128" s="120" t="n"/>
      <c r="P1128" s="120" t="n"/>
      <c r="Q1128" s="120" t="n"/>
      <c r="R1128" s="120" t="n"/>
      <c r="S1128" s="120" t="n"/>
      <c r="T1128" s="120" t="n"/>
      <c r="U1128" s="120" t="n"/>
      <c r="V1128" s="120" t="n"/>
      <c r="W1128" s="120" t="n"/>
      <c r="X1128" s="120" t="n"/>
      <c r="Y1128" s="120" t="n"/>
      <c r="Z1128" s="120" t="n"/>
      <c r="AB1128" s="116" t="n"/>
      <c r="AC1128" s="19" t="n"/>
      <c r="AD1128" s="19" t="n"/>
      <c r="AE1128" s="19" t="n"/>
      <c r="AF1128" s="20" t="n"/>
      <c r="AG1128" s="120" t="n"/>
      <c r="AH1128" s="120" t="n"/>
      <c r="AI1128" s="120" t="n"/>
      <c r="AJ1128" s="120" t="n"/>
      <c r="AK1128" s="120" t="n"/>
      <c r="AL1128" s="120" t="n"/>
      <c r="AM1128" s="120" t="n"/>
      <c r="AN1128" s="120" t="n"/>
      <c r="AO1128" s="120" t="n"/>
      <c r="AP1128" s="120" t="n"/>
      <c r="AQ1128" s="120" t="n"/>
      <c r="AR1128" s="120" t="n"/>
      <c r="AS1128" s="120" t="n"/>
    </row>
    <row r="1129" hidden="1" outlineLevel="3">
      <c r="A1129" s="8" t="n"/>
      <c r="B1129" s="14" t="n"/>
      <c r="C1129" s="120" t="n"/>
      <c r="D1129" s="120" t="n"/>
      <c r="E1129" s="120" t="n"/>
      <c r="F1129" s="120" t="n"/>
      <c r="G1129" s="120" t="n"/>
      <c r="I1129" s="21" t="n"/>
      <c r="M1129" s="22" t="n"/>
      <c r="N1129" s="120" t="n"/>
      <c r="O1129" s="120" t="n"/>
      <c r="P1129" s="120" t="n"/>
      <c r="Q1129" s="120" t="n"/>
      <c r="R1129" s="120" t="n"/>
      <c r="S1129" s="120" t="n"/>
      <c r="T1129" s="120" t="n"/>
      <c r="U1129" s="120" t="n"/>
      <c r="V1129" s="120" t="n"/>
      <c r="W1129" s="120" t="n"/>
      <c r="X1129" s="120" t="n"/>
      <c r="Y1129" s="120" t="n"/>
      <c r="Z1129" s="120" t="n"/>
      <c r="AB1129" s="21" t="n"/>
      <c r="AF1129" s="22" t="n"/>
      <c r="AG1129" s="120" t="n"/>
      <c r="AH1129" s="120" t="n"/>
      <c r="AI1129" s="120" t="n"/>
      <c r="AJ1129" s="120" t="n"/>
      <c r="AK1129" s="120" t="n"/>
      <c r="AL1129" s="120" t="n"/>
      <c r="AM1129" s="120" t="n"/>
      <c r="AN1129" s="120" t="n"/>
      <c r="AO1129" s="120" t="n"/>
      <c r="AP1129" s="120" t="n"/>
      <c r="AQ1129" s="120" t="n"/>
      <c r="AR1129" s="120" t="n"/>
      <c r="AS1129" s="120" t="n"/>
    </row>
    <row r="1130" hidden="1" outlineLevel="3">
      <c r="A1130" s="8" t="n"/>
      <c r="B1130" s="14" t="n"/>
      <c r="C1130" s="120" t="n"/>
      <c r="D1130" s="120" t="n"/>
      <c r="E1130" s="120" t="n"/>
      <c r="F1130" s="120" t="n"/>
      <c r="G1130" s="120" t="n"/>
      <c r="I1130" s="23" t="n"/>
      <c r="J1130" s="24" t="n"/>
      <c r="K1130" s="24" t="n"/>
      <c r="L1130" s="24" t="n"/>
      <c r="M1130" s="25" t="n"/>
      <c r="N1130" s="120" t="n"/>
      <c r="O1130" s="120" t="n"/>
      <c r="P1130" s="120" t="n"/>
      <c r="Q1130" s="120" t="n"/>
      <c r="R1130" s="120" t="n"/>
      <c r="S1130" s="120" t="n"/>
      <c r="T1130" s="120" t="n"/>
      <c r="U1130" s="120" t="n"/>
      <c r="V1130" s="120" t="n"/>
      <c r="W1130" s="120" t="n"/>
      <c r="X1130" s="120" t="n"/>
      <c r="Y1130" s="120" t="n"/>
      <c r="Z1130" s="120" t="n"/>
      <c r="AB1130" s="23" t="n"/>
      <c r="AC1130" s="24" t="n"/>
      <c r="AD1130" s="24" t="n"/>
      <c r="AE1130" s="24" t="n"/>
      <c r="AF1130" s="25"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124" t="inlineStr">
        <is>
          <t>Projétil</t>
        </is>
      </c>
      <c r="J1131" s="17" t="n"/>
      <c r="K1131" s="68">
        <f>DADOS_INVOC!$PR$76</f>
        <v/>
      </c>
      <c r="L1131" s="17" t="n"/>
      <c r="M1131" s="68">
        <f>DADOS_INVOC!$PN$76</f>
        <v/>
      </c>
      <c r="N1131" s="120" t="n"/>
      <c r="O1131" s="120" t="n"/>
      <c r="P1131" s="120" t="n"/>
      <c r="Q1131" s="120" t="n"/>
      <c r="R1131" s="120" t="n"/>
      <c r="S1131" s="120" t="n"/>
      <c r="T1131" s="120" t="n"/>
      <c r="U1131" s="120" t="n"/>
      <c r="V1131" s="120" t="n"/>
      <c r="W1131" s="120" t="n"/>
      <c r="X1131" s="120" t="n"/>
      <c r="Y1131" s="120" t="n"/>
      <c r="Z1131" s="120" t="n"/>
      <c r="AB1131" s="124" t="inlineStr">
        <is>
          <t>Projétil</t>
        </is>
      </c>
      <c r="AC1131" s="17" t="n"/>
      <c r="AD1131" s="68">
        <f>DADOS_INVOC!$PR$154</f>
        <v/>
      </c>
      <c r="AE1131" s="17" t="n"/>
      <c r="AF1131" s="68">
        <f>DADOS_INVOC!$PN$154</f>
        <v/>
      </c>
      <c r="AG1131" s="120" t="n"/>
      <c r="AH1131" s="120" t="n"/>
      <c r="AI1131" s="120" t="n"/>
      <c r="AJ1131" s="120" t="n"/>
      <c r="AK1131" s="120" t="n"/>
      <c r="AL1131" s="120" t="n"/>
      <c r="AM1131" s="120" t="n"/>
      <c r="AN1131" s="120" t="n"/>
      <c r="AO1131" s="120" t="n"/>
      <c r="AP1131" s="120" t="n"/>
      <c r="AQ1131" s="120" t="n"/>
      <c r="AR1131" s="120" t="n"/>
      <c r="AS1131" s="120" t="n"/>
    </row>
    <row r="1132" hidden="1" outlineLevel="2">
      <c r="A1132" s="8" t="n"/>
      <c r="B1132" s="14" t="n"/>
      <c r="C1132" s="120" t="n"/>
      <c r="D1132" s="120" t="n"/>
      <c r="E1132" s="120" t="n"/>
      <c r="F1132" s="120" t="n"/>
      <c r="G1132" s="120" t="n"/>
      <c r="I1132" s="124" t="n"/>
      <c r="J1132" s="17" t="n"/>
      <c r="K1132" s="124" t="n"/>
      <c r="L1132" s="16" t="n"/>
      <c r="M1132" s="17" t="n"/>
      <c r="N1132" s="120" t="n"/>
      <c r="O1132" s="120" t="n"/>
      <c r="P1132" s="120" t="n"/>
      <c r="Q1132" s="120" t="n"/>
      <c r="R1132" s="120" t="n"/>
      <c r="S1132" s="120" t="n"/>
      <c r="T1132" s="120" t="n"/>
      <c r="U1132" s="120" t="n"/>
      <c r="V1132" s="120" t="n"/>
      <c r="W1132" s="120" t="n"/>
      <c r="X1132" s="120" t="n"/>
      <c r="Y1132" s="120" t="n"/>
      <c r="Z1132" s="120" t="n"/>
      <c r="AB1132" s="124" t="n"/>
      <c r="AC1132" s="17" t="n"/>
      <c r="AD1132" s="124" t="n"/>
      <c r="AE1132" s="16" t="n"/>
      <c r="AF1132" s="17" t="n"/>
      <c r="AG1132" s="120" t="n"/>
      <c r="AH1132" s="120" t="n"/>
      <c r="AI1132" s="120" t="n"/>
      <c r="AJ1132" s="120" t="n"/>
      <c r="AK1132" s="120" t="n"/>
      <c r="AL1132" s="120" t="n"/>
      <c r="AM1132" s="120" t="n"/>
      <c r="AN1132" s="120" t="n"/>
      <c r="AO1132" s="120" t="n"/>
      <c r="AP1132" s="120" t="n"/>
      <c r="AQ1132" s="120" t="n"/>
      <c r="AR1132" s="120" t="n"/>
      <c r="AS1132" s="120" t="n"/>
    </row>
    <row r="1133" hidden="1" outlineLevel="2">
      <c r="A1133" s="8" t="n"/>
      <c r="B1133" s="14" t="n"/>
      <c r="C1133" s="120" t="n"/>
      <c r="D1133" s="120" t="n"/>
      <c r="E1133" s="120" t="n"/>
      <c r="F1133" s="120" t="n"/>
      <c r="G1133" s="120" t="n"/>
      <c r="I1133" s="124">
        <f>DADOS_INVOC!$PO$76</f>
        <v/>
      </c>
      <c r="J1133" s="17" t="n"/>
      <c r="K1133" s="124">
        <f>DADOS_INVOC!$PQ$76</f>
        <v/>
      </c>
      <c r="L1133" s="16" t="n"/>
      <c r="M1133" s="17" t="n"/>
      <c r="N1133" s="120" t="n"/>
      <c r="O1133" s="120" t="n"/>
      <c r="P1133" s="120" t="n"/>
      <c r="Q1133" s="120" t="n"/>
      <c r="R1133" s="120" t="n"/>
      <c r="S1133" s="120" t="n"/>
      <c r="T1133" s="120" t="n"/>
      <c r="U1133" s="120" t="n"/>
      <c r="V1133" s="120" t="n"/>
      <c r="W1133" s="120" t="n"/>
      <c r="X1133" s="120" t="n"/>
      <c r="Y1133" s="120" t="n"/>
      <c r="Z1133" s="120" t="n"/>
      <c r="AB1133" s="124">
        <f>DADOS_INVOC!$PO$154</f>
        <v/>
      </c>
      <c r="AC1133" s="17" t="n"/>
      <c r="AD1133" s="124">
        <f>DADOS_INVOC!$PQ$154</f>
        <v/>
      </c>
      <c r="AE1133" s="16" t="n"/>
      <c r="AF1133" s="17" t="n"/>
      <c r="AG1133" s="120" t="n"/>
      <c r="AH1133" s="120" t="n"/>
      <c r="AI1133" s="120" t="n"/>
      <c r="AJ1133" s="120" t="n"/>
      <c r="AK1133" s="120" t="n"/>
      <c r="AL1133" s="120" t="n"/>
      <c r="AM1133" s="120" t="n"/>
      <c r="AN1133" s="120" t="n"/>
      <c r="AO1133" s="120" t="n"/>
      <c r="AP1133" s="120" t="n"/>
      <c r="AQ1133" s="120" t="n"/>
      <c r="AR1133" s="120" t="n"/>
      <c r="AS1133" s="120" t="n"/>
    </row>
    <row r="1134" hidden="1" outlineLevel="2">
      <c r="A1134" s="8" t="n"/>
      <c r="B1134" s="14" t="n"/>
      <c r="C1134" s="120" t="n"/>
      <c r="D1134" s="120" t="n"/>
      <c r="E1134" s="120" t="n"/>
      <c r="F1134" s="120" t="n"/>
      <c r="G1134" s="120" t="n"/>
      <c r="I1134" s="129">
        <f>DADOS_INVOC!$PW$76</f>
        <v/>
      </c>
      <c r="J1134" s="16" t="n"/>
      <c r="K1134" s="16" t="n"/>
      <c r="L1134" s="16" t="n"/>
      <c r="M1134" s="17" t="n"/>
      <c r="N1134" s="120" t="n"/>
      <c r="O1134" s="120" t="n"/>
      <c r="P1134" s="120" t="n"/>
      <c r="Q1134" s="120" t="n"/>
      <c r="R1134" s="120" t="n"/>
      <c r="S1134" s="120" t="n"/>
      <c r="T1134" s="120" t="n"/>
      <c r="U1134" s="120" t="n"/>
      <c r="V1134" s="120" t="n"/>
      <c r="W1134" s="120" t="n"/>
      <c r="X1134" s="120" t="n"/>
      <c r="Y1134" s="120" t="n"/>
      <c r="Z1134" s="120" t="n"/>
      <c r="AB1134" s="129">
        <f>DADOS_INVOC!$PW$154</f>
        <v/>
      </c>
      <c r="AC1134" s="16" t="n"/>
      <c r="AD1134" s="16" t="n"/>
      <c r="AE1134" s="16" t="n"/>
      <c r="AF1134" s="17" t="n"/>
      <c r="AG1134" s="120" t="n"/>
      <c r="AH1134" s="120" t="n"/>
      <c r="AI1134" s="120" t="n"/>
      <c r="AJ1134" s="120" t="n"/>
      <c r="AK1134" s="120" t="n"/>
      <c r="AL1134" s="120" t="n"/>
      <c r="AM1134" s="120" t="n"/>
      <c r="AN1134" s="120" t="n"/>
      <c r="AO1134" s="120" t="n"/>
      <c r="AP1134" s="120" t="n"/>
      <c r="AQ1134" s="120" t="n"/>
      <c r="AR1134" s="120" t="n"/>
      <c r="AS1134" s="120" t="n"/>
    </row>
    <row r="1135" hidden="1" outlineLevel="3">
      <c r="A1135" s="8" t="n"/>
      <c r="B1135" s="14" t="n"/>
      <c r="C1135" s="120" t="n"/>
      <c r="D1135" s="120" t="n"/>
      <c r="E1135" s="120" t="n"/>
      <c r="F1135" s="120" t="n"/>
      <c r="G1135" s="120" t="n"/>
      <c r="I1135" s="55" t="inlineStr">
        <is>
          <t>MELHORIAS</t>
        </is>
      </c>
      <c r="J1135" s="130" t="n"/>
      <c r="K1135" s="16" t="n"/>
      <c r="L1135" s="17" t="n"/>
      <c r="M1135" s="129">
        <f>DADOS_INVOC!$PZ$76</f>
        <v/>
      </c>
      <c r="N1135" s="120" t="n"/>
      <c r="O1135" s="120" t="n"/>
      <c r="P1135" s="120" t="n"/>
      <c r="Q1135" s="120" t="n"/>
      <c r="R1135" s="120" t="n"/>
      <c r="S1135" s="120" t="n"/>
      <c r="T1135" s="120" t="n"/>
      <c r="U1135" s="120" t="n"/>
      <c r="V1135" s="120" t="n"/>
      <c r="W1135" s="120" t="n"/>
      <c r="X1135" s="120" t="n"/>
      <c r="Y1135" s="120" t="n"/>
      <c r="Z1135" s="120" t="n"/>
      <c r="AB1135" s="55" t="inlineStr">
        <is>
          <t>MELHORIAS</t>
        </is>
      </c>
      <c r="AC1135" s="130" t="n"/>
      <c r="AD1135" s="16" t="n"/>
      <c r="AE1135" s="17" t="n"/>
      <c r="AF1135" s="129">
        <f>DADOS_INVOC!$PZ$154</f>
        <v/>
      </c>
      <c r="AG1135" s="120" t="n"/>
      <c r="AH1135" s="120" t="n"/>
      <c r="AI1135" s="120" t="n"/>
      <c r="AJ1135" s="120" t="n"/>
      <c r="AK1135" s="120" t="n"/>
      <c r="AL1135" s="120" t="n"/>
      <c r="AM1135" s="120" t="n"/>
      <c r="AN1135" s="120" t="n"/>
      <c r="AO1135" s="120" t="n"/>
      <c r="AP1135" s="120" t="n"/>
      <c r="AQ1135" s="120" t="n"/>
      <c r="AR1135" s="120" t="n"/>
      <c r="AS1135" s="120" t="n"/>
    </row>
    <row r="1136" hidden="1" outlineLevel="3">
      <c r="A1136" s="8" t="n"/>
      <c r="B1136" s="14" t="n"/>
      <c r="C1136" s="120" t="n"/>
      <c r="D1136" s="120" t="n"/>
      <c r="E1136" s="120" t="n"/>
      <c r="F1136" s="120" t="n"/>
      <c r="G1136" s="120" t="n"/>
      <c r="I1136" s="131" t="n"/>
      <c r="J1136" s="130" t="n"/>
      <c r="K1136" s="16" t="n"/>
      <c r="L1136" s="17" t="n"/>
      <c r="M1136" s="129">
        <f>DADOS_INVOC!$QA$76</f>
        <v/>
      </c>
      <c r="N1136" s="120" t="n"/>
      <c r="O1136" s="120" t="n"/>
      <c r="P1136" s="120" t="n"/>
      <c r="Q1136" s="120" t="n"/>
      <c r="R1136" s="120" t="n"/>
      <c r="S1136" s="120" t="n"/>
      <c r="T1136" s="120" t="n"/>
      <c r="U1136" s="120" t="n"/>
      <c r="V1136" s="120" t="n"/>
      <c r="W1136" s="120" t="n"/>
      <c r="X1136" s="120" t="n"/>
      <c r="Y1136" s="120" t="n"/>
      <c r="Z1136" s="120" t="n"/>
      <c r="AB1136" s="131" t="n"/>
      <c r="AC1136" s="130" t="n"/>
      <c r="AD1136" s="16" t="n"/>
      <c r="AE1136" s="17" t="n"/>
      <c r="AF1136" s="129">
        <f>DADOS_INVOC!$QA$154</f>
        <v/>
      </c>
      <c r="AG1136" s="120" t="n"/>
      <c r="AH1136" s="120" t="n"/>
      <c r="AI1136" s="120" t="n"/>
      <c r="AJ1136" s="120" t="n"/>
      <c r="AK1136" s="120" t="n"/>
      <c r="AL1136" s="120" t="n"/>
      <c r="AM1136" s="120" t="n"/>
      <c r="AN1136" s="120" t="n"/>
      <c r="AO1136" s="120" t="n"/>
      <c r="AP1136" s="120" t="n"/>
      <c r="AQ1136" s="120" t="n"/>
      <c r="AR1136" s="120" t="n"/>
      <c r="AS1136" s="120" t="n"/>
    </row>
    <row r="1137" hidden="1" outlineLevel="3">
      <c r="A1137" s="8" t="n"/>
      <c r="B1137" s="14" t="n"/>
      <c r="C1137" s="120" t="n"/>
      <c r="D1137" s="120" t="n"/>
      <c r="E1137" s="120" t="n"/>
      <c r="F1137" s="120" t="n"/>
      <c r="G1137" s="120" t="n"/>
      <c r="I1137" s="131" t="n"/>
      <c r="J1137" s="130" t="n"/>
      <c r="K1137" s="16" t="n"/>
      <c r="L1137" s="17" t="n"/>
      <c r="M1137" s="129">
        <f>DADOS_INVOC!$QB$76</f>
        <v/>
      </c>
      <c r="N1137" s="120" t="n"/>
      <c r="O1137" s="120" t="n"/>
      <c r="P1137" s="120" t="n"/>
      <c r="Q1137" s="120" t="n"/>
      <c r="R1137" s="120" t="n"/>
      <c r="S1137" s="120" t="n"/>
      <c r="T1137" s="120" t="n"/>
      <c r="U1137" s="120" t="n"/>
      <c r="V1137" s="120" t="n"/>
      <c r="W1137" s="120" t="n"/>
      <c r="X1137" s="120" t="n"/>
      <c r="Y1137" s="120" t="n"/>
      <c r="Z1137" s="120" t="n"/>
      <c r="AB1137" s="131" t="n"/>
      <c r="AC1137" s="130" t="n"/>
      <c r="AD1137" s="16" t="n"/>
      <c r="AE1137" s="17" t="n"/>
      <c r="AF1137" s="129">
        <f>DADOS_INVOC!$QB$154</f>
        <v/>
      </c>
      <c r="AG1137" s="120" t="n"/>
      <c r="AH1137" s="120" t="n"/>
      <c r="AI1137" s="120" t="n"/>
      <c r="AJ1137" s="120" t="n"/>
      <c r="AK1137" s="120" t="n"/>
      <c r="AL1137" s="120" t="n"/>
      <c r="AM1137" s="120" t="n"/>
      <c r="AN1137" s="120" t="n"/>
      <c r="AO1137" s="120" t="n"/>
      <c r="AP1137" s="120" t="n"/>
      <c r="AQ1137" s="120" t="n"/>
      <c r="AR1137" s="120" t="n"/>
      <c r="AS1137" s="120" t="n"/>
    </row>
    <row r="1138" hidden="1" outlineLevel="3">
      <c r="A1138" s="8" t="n"/>
      <c r="B1138" s="14" t="n"/>
      <c r="C1138" s="120" t="n"/>
      <c r="D1138" s="120" t="n"/>
      <c r="E1138" s="120" t="n"/>
      <c r="F1138" s="120" t="n"/>
      <c r="G1138" s="120" t="n"/>
      <c r="I1138" s="125" t="n"/>
      <c r="J1138" s="130" t="n"/>
      <c r="K1138" s="16" t="n"/>
      <c r="L1138" s="17" t="n"/>
      <c r="M1138" s="129">
        <f>DADOS_INVOC!$QC$76</f>
        <v/>
      </c>
      <c r="N1138" s="120" t="n"/>
      <c r="O1138" s="120" t="n"/>
      <c r="P1138" s="120" t="n"/>
      <c r="Q1138" s="120" t="n"/>
      <c r="R1138" s="120" t="n"/>
      <c r="S1138" s="120" t="n"/>
      <c r="T1138" s="120" t="n"/>
      <c r="U1138" s="120" t="n"/>
      <c r="V1138" s="120" t="n"/>
      <c r="W1138" s="120" t="n"/>
      <c r="X1138" s="120" t="n"/>
      <c r="Y1138" s="120" t="n"/>
      <c r="Z1138" s="120" t="n"/>
      <c r="AB1138" s="125" t="n"/>
      <c r="AC1138" s="130" t="n"/>
      <c r="AD1138" s="16" t="n"/>
      <c r="AE1138" s="17" t="n"/>
      <c r="AF1138" s="129">
        <f>DADOS_INVOC!$QC$154</f>
        <v/>
      </c>
      <c r="AG1138" s="120" t="n"/>
      <c r="AH1138" s="120" t="n"/>
      <c r="AI1138" s="120" t="n"/>
      <c r="AJ1138" s="120" t="n"/>
      <c r="AK1138" s="120" t="n"/>
      <c r="AL1138" s="120" t="n"/>
      <c r="AM1138" s="120" t="n"/>
      <c r="AN1138" s="120" t="n"/>
      <c r="AO1138" s="120" t="n"/>
      <c r="AP1138" s="120" t="n"/>
      <c r="AQ1138" s="120" t="n"/>
      <c r="AR1138" s="120" t="n"/>
      <c r="AS1138" s="120" t="n"/>
    </row>
    <row r="1139" hidden="1" outlineLevel="3">
      <c r="A1139" s="8" t="n"/>
      <c r="B1139" s="14" t="n"/>
      <c r="C1139" s="120" t="n"/>
      <c r="D1139" s="120" t="n"/>
      <c r="E1139" s="120" t="n"/>
      <c r="F1139" s="120" t="n"/>
      <c r="G1139" s="120" t="n"/>
      <c r="I1139" s="55" t="inlineStr">
        <is>
          <t>RESTRIÇÕES</t>
        </is>
      </c>
      <c r="J1139" s="130" t="n"/>
      <c r="K1139" s="16" t="n"/>
      <c r="L1139" s="17" t="n"/>
      <c r="M1139" s="129">
        <f>DADOS_INVOC!$QD$76</f>
        <v/>
      </c>
      <c r="N1139" s="120" t="n"/>
      <c r="O1139" s="120" t="n"/>
      <c r="P1139" s="120" t="n"/>
      <c r="Q1139" s="120" t="n"/>
      <c r="R1139" s="120" t="n"/>
      <c r="S1139" s="120" t="n"/>
      <c r="T1139" s="120" t="n"/>
      <c r="U1139" s="120" t="n"/>
      <c r="V1139" s="120" t="n"/>
      <c r="W1139" s="120" t="n"/>
      <c r="X1139" s="120" t="n"/>
      <c r="Y1139" s="120" t="n"/>
      <c r="Z1139" s="120" t="n"/>
      <c r="AB1139" s="55" t="inlineStr">
        <is>
          <t>RESTRIÇÕES</t>
        </is>
      </c>
      <c r="AC1139" s="130" t="n"/>
      <c r="AD1139" s="16" t="n"/>
      <c r="AE1139" s="17" t="n"/>
      <c r="AF1139" s="129">
        <f>DADOS_INVOC!$QD$154</f>
        <v/>
      </c>
      <c r="AG1139" s="120" t="n"/>
      <c r="AH1139" s="120" t="n"/>
      <c r="AI1139" s="120" t="n"/>
      <c r="AJ1139" s="120" t="n"/>
      <c r="AK1139" s="120" t="n"/>
      <c r="AL1139" s="120" t="n"/>
      <c r="AM1139" s="120" t="n"/>
      <c r="AN1139" s="120" t="n"/>
      <c r="AO1139" s="120" t="n"/>
      <c r="AP1139" s="120" t="n"/>
      <c r="AQ1139" s="120" t="n"/>
      <c r="AR1139" s="120" t="n"/>
      <c r="AS1139" s="120" t="n"/>
    </row>
    <row r="1140" hidden="1" outlineLevel="3">
      <c r="A1140" s="8" t="n"/>
      <c r="B1140" s="14" t="n"/>
      <c r="C1140" s="120" t="n"/>
      <c r="D1140" s="120" t="n"/>
      <c r="E1140" s="120" t="n"/>
      <c r="F1140" s="120" t="n"/>
      <c r="G1140" s="120" t="n"/>
      <c r="I1140" s="125" t="n"/>
      <c r="J1140" s="130" t="n"/>
      <c r="K1140" s="16" t="n"/>
      <c r="L1140" s="17" t="n"/>
      <c r="M1140" s="129">
        <f>DADOS_INVOC!$QE$76</f>
        <v/>
      </c>
      <c r="N1140" s="120" t="n"/>
      <c r="O1140" s="120" t="n"/>
      <c r="P1140" s="120" t="n"/>
      <c r="Q1140" s="120" t="n"/>
      <c r="R1140" s="120" t="n"/>
      <c r="S1140" s="120" t="n"/>
      <c r="T1140" s="120" t="n"/>
      <c r="U1140" s="120" t="n"/>
      <c r="V1140" s="120" t="n"/>
      <c r="W1140" s="120" t="n"/>
      <c r="X1140" s="120" t="n"/>
      <c r="Y1140" s="120" t="n"/>
      <c r="Z1140" s="120" t="n"/>
      <c r="AB1140" s="125" t="n"/>
      <c r="AC1140" s="130" t="n"/>
      <c r="AD1140" s="16" t="n"/>
      <c r="AE1140" s="17" t="n"/>
      <c r="AF1140" s="129">
        <f>DADOS_INVOC!$QE$154</f>
        <v/>
      </c>
      <c r="AG1140" s="120" t="n"/>
      <c r="AH1140" s="120" t="n"/>
      <c r="AI1140" s="120" t="n"/>
      <c r="AJ1140" s="120" t="n"/>
      <c r="AK1140" s="120" t="n"/>
      <c r="AL1140" s="120" t="n"/>
      <c r="AM1140" s="120" t="n"/>
      <c r="AN1140" s="120" t="n"/>
      <c r="AO1140" s="120" t="n"/>
      <c r="AP1140" s="120" t="n"/>
      <c r="AQ1140" s="120" t="n"/>
      <c r="AR1140" s="120" t="n"/>
      <c r="AS1140" s="120" t="n"/>
    </row>
    <row r="1141" hidden="1" outlineLevel="3">
      <c r="A1141" s="8" t="n"/>
      <c r="B1141" s="14" t="n"/>
      <c r="C1141" s="120" t="n"/>
      <c r="D1141" s="120" t="n"/>
      <c r="E1141" s="120" t="n"/>
      <c r="F1141" s="120" t="n"/>
      <c r="G1141" s="120" t="n"/>
      <c r="I1141" s="55" t="inlineStr">
        <is>
          <t>CONTA</t>
        </is>
      </c>
      <c r="J1141" s="132">
        <f>DADOS_INVOC!$PX$76</f>
        <v/>
      </c>
      <c r="K1141" s="16" t="n"/>
      <c r="L1141" s="16" t="n"/>
      <c r="M1141" s="17" t="n"/>
      <c r="N1141" s="120" t="n"/>
      <c r="O1141" s="120" t="n"/>
      <c r="P1141" s="120" t="n"/>
      <c r="Q1141" s="120" t="n"/>
      <c r="R1141" s="120" t="n"/>
      <c r="S1141" s="120" t="n"/>
      <c r="T1141" s="120" t="n"/>
      <c r="U1141" s="120" t="n"/>
      <c r="V1141" s="120" t="n"/>
      <c r="W1141" s="120" t="n"/>
      <c r="X1141" s="120" t="n"/>
      <c r="Y1141" s="120" t="n"/>
      <c r="Z1141" s="120" t="n"/>
      <c r="AB1141" s="55" t="inlineStr">
        <is>
          <t>CONTA</t>
        </is>
      </c>
      <c r="AC1141" s="132">
        <f>DADOS_INVOC!$PX$154</f>
        <v/>
      </c>
      <c r="AD1141" s="16" t="n"/>
      <c r="AE1141" s="16" t="n"/>
      <c r="AF1141" s="17" t="n"/>
      <c r="AG1141" s="120" t="n"/>
      <c r="AH1141" s="120" t="n"/>
      <c r="AI1141" s="120" t="n"/>
      <c r="AJ1141" s="120" t="n"/>
      <c r="AK1141" s="120" t="n"/>
      <c r="AL1141" s="120" t="n"/>
      <c r="AM1141" s="120" t="n"/>
      <c r="AN1141" s="120" t="n"/>
      <c r="AO1141" s="120" t="n"/>
      <c r="AP1141" s="120" t="n"/>
      <c r="AQ1141" s="120" t="n"/>
      <c r="AR1141" s="120" t="n"/>
      <c r="AS1141" s="120" t="n"/>
    </row>
    <row r="1142" hidden="1" outlineLevel="3">
      <c r="A1142" s="8" t="n"/>
      <c r="B1142" s="14" t="n"/>
      <c r="C1142" s="120" t="n"/>
      <c r="D1142" s="120" t="n"/>
      <c r="E1142" s="120" t="n"/>
      <c r="F1142" s="120" t="n"/>
      <c r="G1142" s="120" t="n"/>
      <c r="I1142" s="55" t="inlineStr">
        <is>
          <t>AMPLIAR</t>
        </is>
      </c>
      <c r="J1142" s="132">
        <f>DADOS_INVOC!$PY$76</f>
        <v/>
      </c>
      <c r="K1142" s="19" t="n"/>
      <c r="L1142" s="19" t="n"/>
      <c r="M1142" s="20" t="n"/>
      <c r="N1142" s="120" t="n"/>
      <c r="O1142" s="120" t="n"/>
      <c r="P1142" s="120" t="n"/>
      <c r="Q1142" s="120" t="n"/>
      <c r="R1142" s="120" t="n"/>
      <c r="S1142" s="120" t="n"/>
      <c r="T1142" s="120" t="n"/>
      <c r="U1142" s="120" t="n"/>
      <c r="V1142" s="120" t="n"/>
      <c r="W1142" s="120" t="n"/>
      <c r="X1142" s="120" t="n"/>
      <c r="Y1142" s="120" t="n"/>
      <c r="Z1142" s="120" t="n"/>
      <c r="AB1142" s="55" t="inlineStr">
        <is>
          <t>AMPLIAR</t>
        </is>
      </c>
      <c r="AC1142" s="132">
        <f>DADOS_INVOC!$PY$154</f>
        <v/>
      </c>
      <c r="AD1142" s="19" t="n"/>
      <c r="AE1142" s="19" t="n"/>
      <c r="AF1142" s="20" t="n"/>
      <c r="AG1142" s="120" t="n"/>
      <c r="AH1142" s="120" t="n"/>
      <c r="AI1142" s="120" t="n"/>
      <c r="AJ1142" s="120" t="n"/>
      <c r="AK1142" s="120" t="n"/>
      <c r="AL1142" s="120" t="n"/>
      <c r="AM1142" s="120" t="n"/>
      <c r="AN1142" s="120" t="n"/>
      <c r="AO1142" s="120" t="n"/>
      <c r="AP1142" s="120" t="n"/>
      <c r="AQ1142" s="120" t="n"/>
      <c r="AR1142" s="120" t="n"/>
      <c r="AS1142" s="120" t="n"/>
    </row>
    <row r="1143" hidden="1" outlineLevel="3">
      <c r="A1143" s="8" t="n"/>
      <c r="B1143" s="14" t="n"/>
      <c r="C1143" s="120" t="n"/>
      <c r="D1143" s="120" t="n"/>
      <c r="E1143" s="120" t="n"/>
      <c r="F1143" s="120" t="n"/>
      <c r="G1143" s="120" t="n"/>
      <c r="I1143" s="125" t="n"/>
      <c r="J1143" s="23" t="n"/>
      <c r="K1143" s="24" t="n"/>
      <c r="L1143" s="24" t="n"/>
      <c r="M1143" s="25" t="n"/>
      <c r="N1143" s="120" t="n"/>
      <c r="O1143" s="120" t="n"/>
      <c r="P1143" s="120" t="n"/>
      <c r="Q1143" s="120" t="n"/>
      <c r="R1143" s="120" t="n"/>
      <c r="S1143" s="120" t="n"/>
      <c r="T1143" s="120" t="n"/>
      <c r="U1143" s="120" t="n"/>
      <c r="V1143" s="120" t="n"/>
      <c r="W1143" s="120" t="n"/>
      <c r="X1143" s="120" t="n"/>
      <c r="Y1143" s="120" t="n"/>
      <c r="Z1143" s="120" t="n"/>
      <c r="AB1143" s="125" t="n"/>
      <c r="AC1143" s="23" t="n"/>
      <c r="AD1143" s="24" t="n"/>
      <c r="AE1143" s="24" t="n"/>
      <c r="AF1143" s="25" t="n"/>
      <c r="AG1143" s="120" t="n"/>
      <c r="AH1143" s="120" t="n"/>
      <c r="AI1143" s="120" t="n"/>
      <c r="AJ1143" s="120" t="n"/>
      <c r="AK1143" s="120" t="n"/>
      <c r="AL1143" s="120" t="n"/>
      <c r="AM1143" s="120" t="n"/>
      <c r="AN1143" s="120" t="n"/>
      <c r="AO1143" s="120" t="n"/>
      <c r="AP1143" s="120" t="n"/>
      <c r="AQ1143" s="120" t="n"/>
      <c r="AR1143" s="120" t="n"/>
      <c r="AS1143" s="120" t="n"/>
    </row>
    <row r="1144" hidden="1" outlineLevel="3">
      <c r="A1144" s="8" t="n"/>
      <c r="B1144" s="14" t="n"/>
      <c r="C1144" s="120" t="n"/>
      <c r="D1144" s="120" t="n"/>
      <c r="E1144" s="120" t="n"/>
      <c r="F1144" s="120" t="n"/>
      <c r="G1144" s="120" t="n"/>
      <c r="I1144" s="132">
        <f>DADOS_INVOC!$PL$76</f>
        <v/>
      </c>
      <c r="J1144" s="19" t="n"/>
      <c r="K1144" s="19" t="n"/>
      <c r="L1144" s="19" t="n"/>
      <c r="M1144" s="20" t="n"/>
      <c r="N1144" s="120" t="n"/>
      <c r="O1144" s="120" t="n"/>
      <c r="P1144" s="120" t="n"/>
      <c r="Q1144" s="120" t="n"/>
      <c r="R1144" s="120" t="n"/>
      <c r="S1144" s="120" t="n"/>
      <c r="T1144" s="120" t="n"/>
      <c r="U1144" s="120" t="n"/>
      <c r="V1144" s="120" t="n"/>
      <c r="W1144" s="120" t="n"/>
      <c r="X1144" s="120" t="n"/>
      <c r="Y1144" s="120" t="n"/>
      <c r="Z1144" s="120" t="n"/>
      <c r="AB1144" s="132">
        <f>DADOS_INVOC!$PL$154</f>
        <v/>
      </c>
      <c r="AC1144" s="19" t="n"/>
      <c r="AD1144" s="19" t="n"/>
      <c r="AE1144" s="19" t="n"/>
      <c r="AF1144" s="20" t="n"/>
      <c r="AG1144" s="120" t="n"/>
      <c r="AH1144" s="120" t="n"/>
      <c r="AI1144" s="120" t="n"/>
      <c r="AJ1144" s="120" t="n"/>
      <c r="AK1144" s="120" t="n"/>
      <c r="AL1144" s="120" t="n"/>
      <c r="AM1144" s="120" t="n"/>
      <c r="AN1144" s="120" t="n"/>
      <c r="AO1144" s="120" t="n"/>
      <c r="AP1144" s="120" t="n"/>
      <c r="AQ1144" s="120" t="n"/>
      <c r="AR1144" s="120" t="n"/>
      <c r="AS1144" s="120" t="n"/>
    </row>
    <row r="1145" hidden="1" outlineLevel="3">
      <c r="A1145" s="8" t="n"/>
      <c r="B1145" s="14" t="n"/>
      <c r="C1145" s="120" t="n"/>
      <c r="D1145" s="120" t="n"/>
      <c r="E1145" s="120" t="n"/>
      <c r="F1145" s="120" t="n"/>
      <c r="G1145" s="120" t="n"/>
      <c r="I1145" s="23" t="n"/>
      <c r="J1145" s="24" t="n"/>
      <c r="K1145" s="24" t="n"/>
      <c r="L1145" s="24" t="n"/>
      <c r="M1145" s="25" t="n"/>
      <c r="N1145" s="120" t="n"/>
      <c r="O1145" s="120" t="n"/>
      <c r="P1145" s="120" t="n"/>
      <c r="Q1145" s="120" t="n"/>
      <c r="R1145" s="120" t="n"/>
      <c r="S1145" s="120" t="n"/>
      <c r="T1145" s="120" t="n"/>
      <c r="U1145" s="120" t="n"/>
      <c r="V1145" s="120" t="n"/>
      <c r="W1145" s="120" t="n"/>
      <c r="X1145" s="120" t="n"/>
      <c r="Y1145" s="120" t="n"/>
      <c r="Z1145" s="120" t="n"/>
      <c r="AB1145" s="23" t="n"/>
      <c r="AC1145" s="24" t="n"/>
      <c r="AD1145" s="24" t="n"/>
      <c r="AE1145" s="24" t="n"/>
      <c r="AF1145" s="25" t="n"/>
      <c r="AG1145" s="120" t="n"/>
      <c r="AH1145" s="120" t="n"/>
      <c r="AI1145" s="120" t="n"/>
      <c r="AJ1145" s="120" t="n"/>
      <c r="AK1145" s="120" t="n"/>
      <c r="AL1145" s="120" t="n"/>
      <c r="AM1145" s="120" t="n"/>
      <c r="AN1145" s="120" t="n"/>
      <c r="AO1145" s="120" t="n"/>
      <c r="AP1145" s="120" t="n"/>
      <c r="AQ1145" s="120" t="n"/>
      <c r="AR1145" s="120" t="n"/>
      <c r="AS1145" s="120" t="n"/>
    </row>
    <row r="1146" hidden="1" outlineLevel="1">
      <c r="A1146" s="8" t="n"/>
      <c r="B1146" s="14" t="n"/>
      <c r="C1146" s="120" t="n"/>
      <c r="D1146" s="120" t="n"/>
      <c r="E1146" s="120" t="n"/>
      <c r="F1146" s="120" t="n"/>
      <c r="G1146" s="120" t="n"/>
      <c r="I1146" s="120" t="n"/>
      <c r="J1146" s="120" t="n"/>
      <c r="K1146" s="120" t="n"/>
      <c r="L1146" s="120" t="n"/>
      <c r="M1146" s="120" t="n"/>
      <c r="N1146" s="120" t="n"/>
      <c r="O1146" s="120" t="n"/>
      <c r="P1146" s="120" t="n"/>
      <c r="Q1146" s="120" t="n"/>
      <c r="R1146" s="120" t="n"/>
      <c r="S1146" s="120" t="n"/>
      <c r="T1146" s="120" t="n"/>
      <c r="U1146" s="120" t="n"/>
      <c r="V1146" s="120" t="n"/>
      <c r="W1146" s="120" t="n"/>
      <c r="X1146" s="120" t="n"/>
      <c r="Y1146" s="120" t="n"/>
      <c r="Z1146" s="120" t="n"/>
      <c r="AB1146" s="120" t="n"/>
      <c r="AC1146" s="120" t="n"/>
      <c r="AD1146" s="120" t="n"/>
      <c r="AE1146" s="120" t="n"/>
      <c r="AF1146" s="120" t="n"/>
      <c r="AG1146" s="120" t="n"/>
      <c r="AH1146" s="120" t="n"/>
      <c r="AI1146" s="120" t="n"/>
      <c r="AJ1146" s="120" t="n"/>
      <c r="AK1146" s="120" t="n"/>
      <c r="AL1146" s="120" t="n"/>
      <c r="AM1146" s="120" t="n"/>
      <c r="AN1146" s="120" t="n"/>
      <c r="AO1146" s="120" t="n"/>
      <c r="AP1146" s="120" t="n"/>
      <c r="AQ1146" s="120" t="n"/>
      <c r="AR1146" s="120" t="n"/>
      <c r="AS1146" s="120" t="n"/>
    </row>
    <row r="1147" hidden="1" outlineLevel="1">
      <c r="A1147" s="8" t="n"/>
      <c r="B1147" s="14" t="n"/>
      <c r="C1147" s="120" t="n"/>
      <c r="D1147" s="120" t="n"/>
      <c r="E1147" s="120" t="n"/>
      <c r="F1147" s="120" t="n"/>
      <c r="G1147" s="120" t="n"/>
      <c r="I1147" s="13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0" t="n"/>
      <c r="AB1147" s="13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0" t="n"/>
    </row>
    <row r="1148" hidden="1" outlineLevel="2">
      <c r="A1148" s="8" t="n"/>
      <c r="B1148" s="14" t="n"/>
      <c r="C1148" s="120" t="n"/>
      <c r="D1148" s="120" t="n"/>
      <c r="E1148" s="120" t="n"/>
      <c r="F1148" s="120" t="n"/>
      <c r="G1148" s="120" t="n"/>
      <c r="I1148" s="120" t="n"/>
      <c r="J1148" s="120" t="n"/>
      <c r="K1148" s="120" t="n"/>
      <c r="L1148" s="120" t="n"/>
      <c r="M1148" s="120" t="n"/>
      <c r="N1148" s="120" t="n"/>
      <c r="O1148" s="120" t="n"/>
      <c r="P1148" s="120" t="n"/>
      <c r="Q1148" s="120" t="n"/>
      <c r="R1148" s="120" t="n"/>
      <c r="S1148" s="120" t="n"/>
      <c r="T1148" s="120" t="n"/>
      <c r="U1148" s="120" t="n"/>
      <c r="V1148" s="120" t="n"/>
      <c r="W1148" s="120" t="n"/>
      <c r="X1148" s="120" t="n"/>
      <c r="Y1148" s="120" t="n"/>
      <c r="Z1148" s="120" t="n"/>
      <c r="AB1148" s="120" t="n"/>
      <c r="AC1148" s="120" t="n"/>
      <c r="AD1148" s="120" t="n"/>
      <c r="AE1148" s="120" t="n"/>
      <c r="AF1148" s="120" t="n"/>
      <c r="AG1148" s="120" t="n"/>
      <c r="AH1148" s="120" t="n"/>
      <c r="AI1148" s="120" t="n"/>
      <c r="AJ1148" s="120" t="n"/>
      <c r="AK1148" s="120" t="n"/>
      <c r="AL1148" s="120" t="n"/>
      <c r="AM1148" s="120" t="n"/>
      <c r="AN1148" s="120" t="n"/>
      <c r="AO1148" s="120" t="n"/>
      <c r="AP1148" s="120" t="n"/>
      <c r="AQ1148" s="120" t="n"/>
      <c r="AR1148" s="120" t="n"/>
      <c r="AS1148" s="120" t="n"/>
    </row>
    <row r="1149" hidden="1" outlineLevel="2">
      <c r="A1149" s="8" t="n"/>
      <c r="B1149" s="14" t="n"/>
      <c r="C1149" s="120" t="n"/>
      <c r="D1149" s="120" t="n"/>
      <c r="E1149" s="120" t="n"/>
      <c r="F1149" s="120" t="n"/>
      <c r="G1149" s="120" t="n"/>
      <c r="I1149" s="55">
        <f>DADOS_INVOC!$PM$77</f>
        <v/>
      </c>
      <c r="J1149" s="16" t="n"/>
      <c r="K1149" s="16" t="n"/>
      <c r="L1149" s="16" t="n"/>
      <c r="M1149" s="17" t="n"/>
      <c r="N1149" s="120" t="n"/>
      <c r="O1149" s="55">
        <f>DADOS_INVOC!$PM$78</f>
        <v/>
      </c>
      <c r="P1149" s="16" t="n"/>
      <c r="Q1149" s="16" t="n"/>
      <c r="R1149" s="16" t="n"/>
      <c r="S1149" s="17" t="n"/>
      <c r="T1149" s="120" t="n"/>
      <c r="U1149" s="55">
        <f>DADOS_INVOC!$PM$79</f>
        <v/>
      </c>
      <c r="V1149" s="16" t="n"/>
      <c r="W1149" s="16" t="n"/>
      <c r="X1149" s="16" t="n"/>
      <c r="Y1149" s="17" t="n"/>
      <c r="Z1149" s="120" t="n"/>
      <c r="AB1149" s="55">
        <f>DADOS_INVOC!$PM$155</f>
        <v/>
      </c>
      <c r="AC1149" s="16" t="n"/>
      <c r="AD1149" s="16" t="n"/>
      <c r="AE1149" s="16" t="n"/>
      <c r="AF1149" s="17" t="n"/>
      <c r="AG1149" s="120" t="n"/>
      <c r="AH1149" s="55">
        <f>DADOS_INVOC!$PM$156</f>
        <v/>
      </c>
      <c r="AI1149" s="16" t="n"/>
      <c r="AJ1149" s="16" t="n"/>
      <c r="AK1149" s="16" t="n"/>
      <c r="AL1149" s="17" t="n"/>
      <c r="AM1149" s="120" t="n"/>
      <c r="AN1149" s="55">
        <f>DADOS_INVOC!$PM$157</f>
        <v/>
      </c>
      <c r="AO1149" s="16" t="n"/>
      <c r="AP1149" s="16" t="n"/>
      <c r="AQ1149" s="16" t="n"/>
      <c r="AR1149" s="17" t="n"/>
      <c r="AS1149" s="120" t="n"/>
    </row>
    <row r="1150" hidden="1" outlineLevel="2">
      <c r="A1150" s="8" t="n"/>
      <c r="B1150" s="14" t="n"/>
      <c r="C1150" s="120" t="n"/>
      <c r="D1150" s="120" t="n"/>
      <c r="E1150" s="120" t="n"/>
      <c r="F1150" s="120" t="n"/>
      <c r="G1150" s="120" t="n"/>
      <c r="I1150" s="127" t="n">
        <v>1</v>
      </c>
      <c r="J1150" s="115" t="n"/>
      <c r="K1150" s="16" t="n"/>
      <c r="L1150" s="17" t="n"/>
      <c r="M1150" s="128">
        <f>DADOS_INVOC!$PK$77</f>
        <v/>
      </c>
      <c r="N1150" s="120" t="n"/>
      <c r="O1150" s="127" t="n">
        <v>1</v>
      </c>
      <c r="P1150" s="115" t="n"/>
      <c r="Q1150" s="16" t="n"/>
      <c r="R1150" s="17" t="n"/>
      <c r="S1150" s="128">
        <f>DADOS_INVOC!$PK$78</f>
        <v/>
      </c>
      <c r="T1150" s="120" t="n"/>
      <c r="U1150" s="127" t="n">
        <v>1</v>
      </c>
      <c r="V1150" s="115" t="n"/>
      <c r="W1150" s="16" t="n"/>
      <c r="X1150" s="17" t="n"/>
      <c r="Y1150" s="128">
        <f>DADOS_INVOC!$PK$79</f>
        <v/>
      </c>
      <c r="Z1150" s="120" t="n"/>
      <c r="AB1150" s="127" t="n">
        <v>1</v>
      </c>
      <c r="AC1150" s="115" t="n"/>
      <c r="AD1150" s="16" t="n"/>
      <c r="AE1150" s="17" t="n"/>
      <c r="AF1150" s="128">
        <f>DADOS_INVOC!$PK$155</f>
        <v/>
      </c>
      <c r="AG1150" s="120" t="n"/>
      <c r="AH1150" s="127" t="n">
        <v>1</v>
      </c>
      <c r="AI1150" s="115" t="n"/>
      <c r="AJ1150" s="16" t="n"/>
      <c r="AK1150" s="17" t="n"/>
      <c r="AL1150" s="128">
        <f>DADOS_INVOC!$PK$156</f>
        <v/>
      </c>
      <c r="AM1150" s="120" t="n"/>
      <c r="AN1150" s="127" t="n">
        <v>1</v>
      </c>
      <c r="AO1150" s="115" t="n"/>
      <c r="AP1150" s="16" t="n"/>
      <c r="AQ1150" s="17" t="n"/>
      <c r="AR1150" s="128">
        <f>DADOS_INVOC!$PK$157</f>
        <v/>
      </c>
      <c r="AS1150" s="120" t="n"/>
    </row>
    <row r="1151" hidden="1" outlineLevel="3">
      <c r="A1151" s="8" t="n"/>
      <c r="B1151" s="14" t="n"/>
      <c r="C1151" s="120" t="n"/>
      <c r="D1151" s="120" t="n"/>
      <c r="E1151" s="120" t="n"/>
      <c r="F1151" s="120" t="n"/>
      <c r="G1151" s="120" t="n"/>
      <c r="I1151" s="55" t="inlineStr">
        <is>
          <t>COMO É</t>
        </is>
      </c>
      <c r="J1151" s="16" t="n"/>
      <c r="K1151" s="16" t="n"/>
      <c r="L1151" s="16" t="n"/>
      <c r="M1151" s="17" t="n"/>
      <c r="N1151" s="120" t="n"/>
      <c r="O1151" s="55" t="inlineStr">
        <is>
          <t>COMO É</t>
        </is>
      </c>
      <c r="P1151" s="16" t="n"/>
      <c r="Q1151" s="16" t="n"/>
      <c r="R1151" s="16" t="n"/>
      <c r="S1151" s="17" t="n"/>
      <c r="T1151" s="120" t="n"/>
      <c r="U1151" s="55" t="inlineStr">
        <is>
          <t>COMO É</t>
        </is>
      </c>
      <c r="V1151" s="16" t="n"/>
      <c r="W1151" s="16" t="n"/>
      <c r="X1151" s="16" t="n"/>
      <c r="Y1151" s="17" t="n"/>
      <c r="Z1151" s="120" t="n"/>
      <c r="AB1151" s="55" t="inlineStr">
        <is>
          <t>COMO É</t>
        </is>
      </c>
      <c r="AC1151" s="16" t="n"/>
      <c r="AD1151" s="16" t="n"/>
      <c r="AE1151" s="16" t="n"/>
      <c r="AF1151" s="17" t="n"/>
      <c r="AG1151" s="120" t="n"/>
      <c r="AH1151" s="55" t="inlineStr">
        <is>
          <t>COMO É</t>
        </is>
      </c>
      <c r="AI1151" s="16" t="n"/>
      <c r="AJ1151" s="16" t="n"/>
      <c r="AK1151" s="16" t="n"/>
      <c r="AL1151" s="17" t="n"/>
      <c r="AM1151" s="120" t="n"/>
      <c r="AN1151" s="55" t="inlineStr">
        <is>
          <t>COMO É</t>
        </is>
      </c>
      <c r="AO1151" s="16" t="n"/>
      <c r="AP1151" s="16" t="n"/>
      <c r="AQ1151" s="16" t="n"/>
      <c r="AR1151" s="17" t="n"/>
      <c r="AS1151" s="120" t="n"/>
    </row>
    <row r="1152" hidden="1" outlineLevel="3">
      <c r="A1152" s="8" t="n"/>
      <c r="B1152" s="14" t="n"/>
      <c r="C1152" s="120" t="n"/>
      <c r="D1152" s="120" t="n"/>
      <c r="E1152" s="120" t="n"/>
      <c r="F1152" s="120" t="n"/>
      <c r="G1152" s="120" t="n"/>
      <c r="I1152" s="116" t="n"/>
      <c r="J1152" s="19" t="n"/>
      <c r="K1152" s="19" t="n"/>
      <c r="L1152" s="19" t="n"/>
      <c r="M1152" s="20" t="n"/>
      <c r="N1152" s="120" t="n"/>
      <c r="O1152" s="116" t="n"/>
      <c r="P1152" s="19" t="n"/>
      <c r="Q1152" s="19" t="n"/>
      <c r="R1152" s="19" t="n"/>
      <c r="S1152" s="20" t="n"/>
      <c r="T1152" s="120" t="n"/>
      <c r="U1152" s="116" t="n"/>
      <c r="V1152" s="19" t="n"/>
      <c r="W1152" s="19" t="n"/>
      <c r="X1152" s="19" t="n"/>
      <c r="Y1152" s="20" t="n"/>
      <c r="Z1152" s="120" t="n"/>
      <c r="AB1152" s="116" t="n"/>
      <c r="AC1152" s="19" t="n"/>
      <c r="AD1152" s="19" t="n"/>
      <c r="AE1152" s="19" t="n"/>
      <c r="AF1152" s="20" t="n"/>
      <c r="AG1152" s="120" t="n"/>
      <c r="AH1152" s="116" t="n"/>
      <c r="AI1152" s="19" t="n"/>
      <c r="AJ1152" s="19" t="n"/>
      <c r="AK1152" s="19" t="n"/>
      <c r="AL1152" s="20" t="n"/>
      <c r="AM1152" s="120" t="n"/>
      <c r="AN1152" s="116" t="n"/>
      <c r="AO1152" s="19" t="n"/>
      <c r="AP1152" s="19" t="n"/>
      <c r="AQ1152" s="19" t="n"/>
      <c r="AR1152" s="20" t="n"/>
      <c r="AS1152" s="120" t="n"/>
    </row>
    <row r="1153" hidden="1" outlineLevel="3">
      <c r="A1153" s="8" t="n"/>
      <c r="B1153" s="14" t="n"/>
      <c r="C1153" s="120" t="n"/>
      <c r="D1153" s="120" t="n"/>
      <c r="E1153" s="120" t="n"/>
      <c r="F1153" s="120" t="n"/>
      <c r="G1153" s="120" t="n"/>
      <c r="I1153" s="21" t="n"/>
      <c r="M1153" s="22" t="n"/>
      <c r="N1153" s="120" t="n"/>
      <c r="O1153" s="21" t="n"/>
      <c r="S1153" s="22" t="n"/>
      <c r="T1153" s="120" t="n"/>
      <c r="U1153" s="21" t="n"/>
      <c r="Y1153" s="22" t="n"/>
      <c r="Z1153" s="120" t="n"/>
      <c r="AB1153" s="21" t="n"/>
      <c r="AF1153" s="22" t="n"/>
      <c r="AG1153" s="120" t="n"/>
      <c r="AH1153" s="21" t="n"/>
      <c r="AL1153" s="22" t="n"/>
      <c r="AM1153" s="120" t="n"/>
      <c r="AN1153" s="21" t="n"/>
      <c r="AR1153" s="22" t="n"/>
      <c r="AS1153" s="120" t="n"/>
    </row>
    <row r="1154" hidden="1" outlineLevel="3">
      <c r="A1154" s="8" t="n"/>
      <c r="B1154" s="14" t="n"/>
      <c r="C1154" s="120" t="n"/>
      <c r="D1154" s="120" t="n"/>
      <c r="E1154" s="120" t="n"/>
      <c r="F1154" s="120" t="n"/>
      <c r="G1154" s="120" t="n"/>
      <c r="I1154" s="23" t="n"/>
      <c r="J1154" s="24" t="n"/>
      <c r="K1154" s="24" t="n"/>
      <c r="L1154" s="24" t="n"/>
      <c r="M1154" s="25" t="n"/>
      <c r="N1154" s="120" t="n"/>
      <c r="O1154" s="23" t="n"/>
      <c r="P1154" s="24" t="n"/>
      <c r="Q1154" s="24" t="n"/>
      <c r="R1154" s="24" t="n"/>
      <c r="S1154" s="25" t="n"/>
      <c r="T1154" s="120" t="n"/>
      <c r="U1154" s="23" t="n"/>
      <c r="V1154" s="24" t="n"/>
      <c r="W1154" s="24" t="n"/>
      <c r="X1154" s="24" t="n"/>
      <c r="Y1154" s="25" t="n"/>
      <c r="Z1154" s="120" t="n"/>
      <c r="AB1154" s="23" t="n"/>
      <c r="AC1154" s="24" t="n"/>
      <c r="AD1154" s="24" t="n"/>
      <c r="AE1154" s="24" t="n"/>
      <c r="AF1154" s="25" t="n"/>
      <c r="AG1154" s="120" t="n"/>
      <c r="AH1154" s="23" t="n"/>
      <c r="AI1154" s="24" t="n"/>
      <c r="AJ1154" s="24" t="n"/>
      <c r="AK1154" s="24" t="n"/>
      <c r="AL1154" s="25" t="n"/>
      <c r="AM1154" s="120" t="n"/>
      <c r="AN1154" s="23" t="n"/>
      <c r="AO1154" s="24" t="n"/>
      <c r="AP1154" s="24" t="n"/>
      <c r="AQ1154" s="24" t="n"/>
      <c r="AR1154" s="25" t="n"/>
      <c r="AS1154" s="120" t="n"/>
    </row>
    <row r="1155" hidden="1" outlineLevel="2">
      <c r="A1155" s="8" t="n"/>
      <c r="B1155" s="14" t="n"/>
      <c r="C1155" s="120" t="n"/>
      <c r="D1155" s="120" t="n"/>
      <c r="E1155" s="120" t="n"/>
      <c r="F1155" s="120" t="n"/>
      <c r="G1155" s="120" t="n"/>
      <c r="I1155" s="124" t="inlineStr">
        <is>
          <t>Projétil</t>
        </is>
      </c>
      <c r="J1155" s="17" t="n"/>
      <c r="K1155" s="68">
        <f>DADOS_INVOC!$PR$77</f>
        <v/>
      </c>
      <c r="L1155" s="17" t="n"/>
      <c r="M1155" s="68">
        <f>DADOS_INVOC!$PN$77</f>
        <v/>
      </c>
      <c r="N1155" s="120" t="n"/>
      <c r="O1155" s="124" t="inlineStr">
        <is>
          <t>Projétil</t>
        </is>
      </c>
      <c r="P1155" s="17" t="n"/>
      <c r="Q1155" s="68">
        <f>DADOS_INVOC!$PR$78</f>
        <v/>
      </c>
      <c r="R1155" s="17" t="n"/>
      <c r="S1155" s="68">
        <f>DADOS_INVOC!$PN$78</f>
        <v/>
      </c>
      <c r="T1155" s="120" t="n"/>
      <c r="U1155" s="124" t="inlineStr">
        <is>
          <t>Projétil</t>
        </is>
      </c>
      <c r="V1155" s="17" t="n"/>
      <c r="W1155" s="68">
        <f>DADOS_INVOC!$PR$79</f>
        <v/>
      </c>
      <c r="X1155" s="17" t="n"/>
      <c r="Y1155" s="68">
        <f>DADOS_INVOC!$PN$79</f>
        <v/>
      </c>
      <c r="Z1155" s="120" t="n"/>
      <c r="AB1155" s="124" t="inlineStr">
        <is>
          <t>Projétil</t>
        </is>
      </c>
      <c r="AC1155" s="17" t="n"/>
      <c r="AD1155" s="68">
        <f>DADOS_INVOC!$PR$155</f>
        <v/>
      </c>
      <c r="AE1155" s="17" t="n"/>
      <c r="AF1155" s="68">
        <f>DADOS_INVOC!$PN$155</f>
        <v/>
      </c>
      <c r="AG1155" s="120" t="n"/>
      <c r="AH1155" s="124" t="inlineStr">
        <is>
          <t>Projétil</t>
        </is>
      </c>
      <c r="AI1155" s="17" t="n"/>
      <c r="AJ1155" s="68">
        <f>DADOS_INVOC!$PR$156</f>
        <v/>
      </c>
      <c r="AK1155" s="17" t="n"/>
      <c r="AL1155" s="68">
        <f>DADOS_INVOC!$PN$156</f>
        <v/>
      </c>
      <c r="AM1155" s="120" t="n"/>
      <c r="AN1155" s="124" t="inlineStr">
        <is>
          <t>Projétil</t>
        </is>
      </c>
      <c r="AO1155" s="17" t="n"/>
      <c r="AP1155" s="68">
        <f>DADOS_INVOC!$PR$157</f>
        <v/>
      </c>
      <c r="AQ1155" s="17" t="n"/>
      <c r="AR1155" s="68">
        <f>DADOS_INVOC!$PN$157</f>
        <v/>
      </c>
      <c r="AS1155" s="120" t="n"/>
    </row>
    <row r="1156" hidden="1" outlineLevel="2">
      <c r="A1156" s="8" t="n"/>
      <c r="B1156" s="14" t="n"/>
      <c r="C1156" s="120" t="n"/>
      <c r="D1156" s="120" t="n"/>
      <c r="E1156" s="120" t="n"/>
      <c r="F1156" s="120" t="n"/>
      <c r="G1156" s="120" t="n"/>
      <c r="I1156" s="124" t="n"/>
      <c r="J1156" s="17" t="n"/>
      <c r="K1156" s="124" t="n"/>
      <c r="L1156" s="16" t="n"/>
      <c r="M1156" s="17" t="n"/>
      <c r="N1156" s="120" t="n"/>
      <c r="O1156" s="124" t="n"/>
      <c r="P1156" s="17" t="n"/>
      <c r="Q1156" s="124" t="n"/>
      <c r="R1156" s="16" t="n"/>
      <c r="S1156" s="17" t="n"/>
      <c r="T1156" s="120" t="n"/>
      <c r="U1156" s="124" t="n"/>
      <c r="V1156" s="17" t="n"/>
      <c r="W1156" s="124" t="n"/>
      <c r="X1156" s="16" t="n"/>
      <c r="Y1156" s="17" t="n"/>
      <c r="Z1156" s="120" t="n"/>
      <c r="AB1156" s="124" t="n"/>
      <c r="AC1156" s="17" t="n"/>
      <c r="AD1156" s="124" t="n"/>
      <c r="AE1156" s="16" t="n"/>
      <c r="AF1156" s="17" t="n"/>
      <c r="AG1156" s="120" t="n"/>
      <c r="AH1156" s="124" t="n"/>
      <c r="AI1156" s="17" t="n"/>
      <c r="AJ1156" s="124" t="n"/>
      <c r="AK1156" s="16" t="n"/>
      <c r="AL1156" s="17" t="n"/>
      <c r="AM1156" s="120" t="n"/>
      <c r="AN1156" s="124" t="n"/>
      <c r="AO1156" s="17" t="n"/>
      <c r="AP1156" s="124" t="n"/>
      <c r="AQ1156" s="16" t="n"/>
      <c r="AR1156" s="17" t="n"/>
      <c r="AS1156" s="120" t="n"/>
    </row>
    <row r="1157" hidden="1" outlineLevel="2">
      <c r="A1157" s="8" t="n"/>
      <c r="B1157" s="14" t="n"/>
      <c r="C1157" s="120" t="n"/>
      <c r="D1157" s="120" t="n"/>
      <c r="E1157" s="120" t="n"/>
      <c r="F1157" s="120" t="n"/>
      <c r="G1157" s="120" t="n"/>
      <c r="I1157" s="124">
        <f>DADOS_INVOC!$PO$77</f>
        <v/>
      </c>
      <c r="J1157" s="17" t="n"/>
      <c r="K1157" s="124">
        <f>DADOS_INVOC!$PQ$77</f>
        <v/>
      </c>
      <c r="L1157" s="16" t="n"/>
      <c r="M1157" s="17" t="n"/>
      <c r="N1157" s="120" t="n"/>
      <c r="O1157" s="124">
        <f>DADOS_INVOC!$PO$78</f>
        <v/>
      </c>
      <c r="P1157" s="17" t="n"/>
      <c r="Q1157" s="124">
        <f>DADOS_INVOC!$PQ$78</f>
        <v/>
      </c>
      <c r="R1157" s="16" t="n"/>
      <c r="S1157" s="17" t="n"/>
      <c r="T1157" s="120" t="n"/>
      <c r="U1157" s="124">
        <f>DADOS_INVOC!$PO$79</f>
        <v/>
      </c>
      <c r="V1157" s="17" t="n"/>
      <c r="W1157" s="124">
        <f>DADOS_INVOC!$PQ$79</f>
        <v/>
      </c>
      <c r="X1157" s="16" t="n"/>
      <c r="Y1157" s="17" t="n"/>
      <c r="Z1157" s="120" t="n"/>
      <c r="AB1157" s="124">
        <f>DADOS_INVOC!$PO$155</f>
        <v/>
      </c>
      <c r="AC1157" s="17" t="n"/>
      <c r="AD1157" s="124">
        <f>DADOS_INVOC!$PQ$155</f>
        <v/>
      </c>
      <c r="AE1157" s="16" t="n"/>
      <c r="AF1157" s="17" t="n"/>
      <c r="AG1157" s="120" t="n"/>
      <c r="AH1157" s="124">
        <f>DADOS_INVOC!$PO$156</f>
        <v/>
      </c>
      <c r="AI1157" s="17" t="n"/>
      <c r="AJ1157" s="124">
        <f>DADOS_INVOC!$PQ$156</f>
        <v/>
      </c>
      <c r="AK1157" s="16" t="n"/>
      <c r="AL1157" s="17" t="n"/>
      <c r="AM1157" s="120" t="n"/>
      <c r="AN1157" s="124">
        <f>DADOS_INVOC!$PO$157</f>
        <v/>
      </c>
      <c r="AO1157" s="17" t="n"/>
      <c r="AP1157" s="124">
        <f>DADOS_INVOC!$PQ$157</f>
        <v/>
      </c>
      <c r="AQ1157" s="16" t="n"/>
      <c r="AR1157" s="17" t="n"/>
      <c r="AS1157" s="120" t="n"/>
    </row>
    <row r="1158" hidden="1" outlineLevel="2">
      <c r="A1158" s="8" t="n"/>
      <c r="B1158" s="14" t="n"/>
      <c r="C1158" s="120" t="n"/>
      <c r="D1158" s="120" t="n"/>
      <c r="E1158" s="120" t="n"/>
      <c r="F1158" s="120" t="n"/>
      <c r="G1158" s="120" t="n"/>
      <c r="I1158" s="129">
        <f>DADOS_INVOC!$PW$77</f>
        <v/>
      </c>
      <c r="J1158" s="16" t="n"/>
      <c r="K1158" s="16" t="n"/>
      <c r="L1158" s="16" t="n"/>
      <c r="M1158" s="17" t="n"/>
      <c r="N1158" s="120" t="n"/>
      <c r="O1158" s="129">
        <f>DADOS_INVOC!$PW$78</f>
        <v/>
      </c>
      <c r="P1158" s="16" t="n"/>
      <c r="Q1158" s="16" t="n"/>
      <c r="R1158" s="16" t="n"/>
      <c r="S1158" s="17" t="n"/>
      <c r="T1158" s="120" t="n"/>
      <c r="U1158" s="129">
        <f>DADOS_INVOC!$PW$79</f>
        <v/>
      </c>
      <c r="V1158" s="16" t="n"/>
      <c r="W1158" s="16" t="n"/>
      <c r="X1158" s="16" t="n"/>
      <c r="Y1158" s="17" t="n"/>
      <c r="Z1158" s="120" t="n"/>
      <c r="AB1158" s="129">
        <f>DADOS_INVOC!$PW$155</f>
        <v/>
      </c>
      <c r="AC1158" s="16" t="n"/>
      <c r="AD1158" s="16" t="n"/>
      <c r="AE1158" s="16" t="n"/>
      <c r="AF1158" s="17" t="n"/>
      <c r="AG1158" s="120" t="n"/>
      <c r="AH1158" s="129">
        <f>DADOS_INVOC!$PW$156</f>
        <v/>
      </c>
      <c r="AI1158" s="16" t="n"/>
      <c r="AJ1158" s="16" t="n"/>
      <c r="AK1158" s="16" t="n"/>
      <c r="AL1158" s="17" t="n"/>
      <c r="AM1158" s="120" t="n"/>
      <c r="AN1158" s="129">
        <f>DADOS_INVOC!$PW$157</f>
        <v/>
      </c>
      <c r="AO1158" s="16" t="n"/>
      <c r="AP1158" s="16" t="n"/>
      <c r="AQ1158" s="16" t="n"/>
      <c r="AR1158" s="17" t="n"/>
      <c r="AS1158" s="120" t="n"/>
    </row>
    <row r="1159" hidden="1" outlineLevel="3">
      <c r="A1159" s="8" t="n"/>
      <c r="B1159" s="14" t="n"/>
      <c r="C1159" s="120" t="n"/>
      <c r="D1159" s="120" t="n"/>
      <c r="E1159" s="120" t="n"/>
      <c r="F1159" s="120" t="n"/>
      <c r="G1159" s="120" t="n"/>
      <c r="I1159" s="55" t="inlineStr">
        <is>
          <t>MELHORIAS</t>
        </is>
      </c>
      <c r="J1159" s="130" t="n"/>
      <c r="K1159" s="16" t="n"/>
      <c r="L1159" s="17" t="n"/>
      <c r="M1159" s="129">
        <f>DADOS_INVOC!$PZ$77</f>
        <v/>
      </c>
      <c r="N1159" s="120" t="n"/>
      <c r="O1159" s="55" t="inlineStr">
        <is>
          <t>MELHORIAS</t>
        </is>
      </c>
      <c r="P1159" s="130" t="n"/>
      <c r="Q1159" s="16" t="n"/>
      <c r="R1159" s="17" t="n"/>
      <c r="S1159" s="129">
        <f>DADOS_INVOC!$PZ$78</f>
        <v/>
      </c>
      <c r="T1159" s="120" t="n"/>
      <c r="U1159" s="55" t="inlineStr">
        <is>
          <t>MELHORIAS</t>
        </is>
      </c>
      <c r="V1159" s="130" t="n"/>
      <c r="W1159" s="16" t="n"/>
      <c r="X1159" s="17" t="n"/>
      <c r="Y1159" s="129">
        <f>DADOS_INVOC!$PZ$79</f>
        <v/>
      </c>
      <c r="Z1159" s="120" t="n"/>
      <c r="AB1159" s="55" t="inlineStr">
        <is>
          <t>MELHORIAS</t>
        </is>
      </c>
      <c r="AC1159" s="130" t="n"/>
      <c r="AD1159" s="16" t="n"/>
      <c r="AE1159" s="17" t="n"/>
      <c r="AF1159" s="129">
        <f>DADOS_INVOC!$PZ$155</f>
        <v/>
      </c>
      <c r="AG1159" s="120" t="n"/>
      <c r="AH1159" s="55" t="inlineStr">
        <is>
          <t>MELHORIAS</t>
        </is>
      </c>
      <c r="AI1159" s="130" t="n"/>
      <c r="AJ1159" s="16" t="n"/>
      <c r="AK1159" s="17" t="n"/>
      <c r="AL1159" s="129">
        <f>DADOS_INVOC!$PZ$156</f>
        <v/>
      </c>
      <c r="AM1159" s="120" t="n"/>
      <c r="AN1159" s="55" t="inlineStr">
        <is>
          <t>MELHORIAS</t>
        </is>
      </c>
      <c r="AO1159" s="130" t="n"/>
      <c r="AP1159" s="16" t="n"/>
      <c r="AQ1159" s="17" t="n"/>
      <c r="AR1159" s="129">
        <f>DADOS_INVOC!$PZ$157</f>
        <v/>
      </c>
      <c r="AS1159" s="120" t="n"/>
    </row>
    <row r="1160" hidden="1" outlineLevel="3">
      <c r="A1160" s="8" t="n"/>
      <c r="B1160" s="14" t="n"/>
      <c r="C1160" s="120" t="n"/>
      <c r="D1160" s="120" t="n"/>
      <c r="E1160" s="120" t="n"/>
      <c r="F1160" s="120" t="n"/>
      <c r="G1160" s="120" t="n"/>
      <c r="I1160" s="131" t="n"/>
      <c r="J1160" s="130" t="n"/>
      <c r="K1160" s="16" t="n"/>
      <c r="L1160" s="17" t="n"/>
      <c r="M1160" s="129">
        <f>DADOS_INVOC!$QA$77</f>
        <v/>
      </c>
      <c r="N1160" s="120" t="n"/>
      <c r="O1160" s="131" t="n"/>
      <c r="P1160" s="130" t="n"/>
      <c r="Q1160" s="16" t="n"/>
      <c r="R1160" s="17" t="n"/>
      <c r="S1160" s="129">
        <f>DADOS_INVOC!$QA$78</f>
        <v/>
      </c>
      <c r="T1160" s="120" t="n"/>
      <c r="U1160" s="131" t="n"/>
      <c r="V1160" s="130" t="n"/>
      <c r="W1160" s="16" t="n"/>
      <c r="X1160" s="17" t="n"/>
      <c r="Y1160" s="129">
        <f>DADOS_INVOC!$QA$79</f>
        <v/>
      </c>
      <c r="Z1160" s="120" t="n"/>
      <c r="AB1160" s="131" t="n"/>
      <c r="AC1160" s="130" t="n"/>
      <c r="AD1160" s="16" t="n"/>
      <c r="AE1160" s="17" t="n"/>
      <c r="AF1160" s="129">
        <f>DADOS_INVOC!$QA$155</f>
        <v/>
      </c>
      <c r="AG1160" s="120" t="n"/>
      <c r="AH1160" s="131" t="n"/>
      <c r="AI1160" s="130" t="n"/>
      <c r="AJ1160" s="16" t="n"/>
      <c r="AK1160" s="17" t="n"/>
      <c r="AL1160" s="129">
        <f>DADOS_INVOC!$QA$156</f>
        <v/>
      </c>
      <c r="AM1160" s="120" t="n"/>
      <c r="AN1160" s="131" t="n"/>
      <c r="AO1160" s="130" t="n"/>
      <c r="AP1160" s="16" t="n"/>
      <c r="AQ1160" s="17" t="n"/>
      <c r="AR1160" s="129">
        <f>DADOS_INVOC!$QA$157</f>
        <v/>
      </c>
      <c r="AS1160" s="120" t="n"/>
    </row>
    <row r="1161" hidden="1" outlineLevel="3">
      <c r="A1161" s="8" t="n"/>
      <c r="B1161" s="14" t="n"/>
      <c r="C1161" s="120" t="n"/>
      <c r="D1161" s="120" t="n"/>
      <c r="E1161" s="120" t="n"/>
      <c r="F1161" s="120" t="n"/>
      <c r="G1161" s="120" t="n"/>
      <c r="I1161" s="131" t="n"/>
      <c r="J1161" s="130" t="n"/>
      <c r="K1161" s="16" t="n"/>
      <c r="L1161" s="17" t="n"/>
      <c r="M1161" s="129">
        <f>DADOS_INVOC!$QB$77</f>
        <v/>
      </c>
      <c r="N1161" s="120" t="n"/>
      <c r="O1161" s="131" t="n"/>
      <c r="P1161" s="130" t="n"/>
      <c r="Q1161" s="16" t="n"/>
      <c r="R1161" s="17" t="n"/>
      <c r="S1161" s="129">
        <f>DADOS_INVOC!$QB$78</f>
        <v/>
      </c>
      <c r="T1161" s="120" t="n"/>
      <c r="U1161" s="131" t="n"/>
      <c r="V1161" s="130" t="n"/>
      <c r="W1161" s="16" t="n"/>
      <c r="X1161" s="17" t="n"/>
      <c r="Y1161" s="129">
        <f>DADOS_INVOC!$QB$79</f>
        <v/>
      </c>
      <c r="Z1161" s="120" t="n"/>
      <c r="AB1161" s="131" t="n"/>
      <c r="AC1161" s="130" t="n"/>
      <c r="AD1161" s="16" t="n"/>
      <c r="AE1161" s="17" t="n"/>
      <c r="AF1161" s="129">
        <f>DADOS_INVOC!$QB$155</f>
        <v/>
      </c>
      <c r="AG1161" s="120" t="n"/>
      <c r="AH1161" s="131" t="n"/>
      <c r="AI1161" s="130" t="n"/>
      <c r="AJ1161" s="16" t="n"/>
      <c r="AK1161" s="17" t="n"/>
      <c r="AL1161" s="129">
        <f>DADOS_INVOC!$QB$156</f>
        <v/>
      </c>
      <c r="AM1161" s="120" t="n"/>
      <c r="AN1161" s="131" t="n"/>
      <c r="AO1161" s="130" t="n"/>
      <c r="AP1161" s="16" t="n"/>
      <c r="AQ1161" s="17" t="n"/>
      <c r="AR1161" s="129">
        <f>DADOS_INVOC!$QB$157</f>
        <v/>
      </c>
      <c r="AS1161" s="120" t="n"/>
    </row>
    <row r="1162" hidden="1" outlineLevel="3">
      <c r="A1162" s="8" t="n"/>
      <c r="B1162" s="14" t="n"/>
      <c r="C1162" s="120" t="n"/>
      <c r="D1162" s="120" t="n"/>
      <c r="E1162" s="120" t="n"/>
      <c r="F1162" s="120" t="n"/>
      <c r="G1162" s="120" t="n"/>
      <c r="I1162" s="125" t="n"/>
      <c r="J1162" s="130" t="n"/>
      <c r="K1162" s="16" t="n"/>
      <c r="L1162" s="17" t="n"/>
      <c r="M1162" s="129">
        <f>DADOS_INVOC!$QC$77</f>
        <v/>
      </c>
      <c r="N1162" s="120" t="n"/>
      <c r="O1162" s="125" t="n"/>
      <c r="P1162" s="130" t="n"/>
      <c r="Q1162" s="16" t="n"/>
      <c r="R1162" s="17" t="n"/>
      <c r="S1162" s="129">
        <f>DADOS_INVOC!$QC$78</f>
        <v/>
      </c>
      <c r="T1162" s="120" t="n"/>
      <c r="U1162" s="125" t="n"/>
      <c r="V1162" s="130" t="n"/>
      <c r="W1162" s="16" t="n"/>
      <c r="X1162" s="17" t="n"/>
      <c r="Y1162" s="129">
        <f>DADOS_INVOC!$QC$79</f>
        <v/>
      </c>
      <c r="Z1162" s="120" t="n"/>
      <c r="AB1162" s="125" t="n"/>
      <c r="AC1162" s="130" t="n"/>
      <c r="AD1162" s="16" t="n"/>
      <c r="AE1162" s="17" t="n"/>
      <c r="AF1162" s="129">
        <f>DADOS_INVOC!$QC$155</f>
        <v/>
      </c>
      <c r="AG1162" s="120" t="n"/>
      <c r="AH1162" s="125" t="n"/>
      <c r="AI1162" s="130" t="n"/>
      <c r="AJ1162" s="16" t="n"/>
      <c r="AK1162" s="17" t="n"/>
      <c r="AL1162" s="129">
        <f>DADOS_INVOC!$QC$156</f>
        <v/>
      </c>
      <c r="AM1162" s="120" t="n"/>
      <c r="AN1162" s="125" t="n"/>
      <c r="AO1162" s="130" t="n"/>
      <c r="AP1162" s="16" t="n"/>
      <c r="AQ1162" s="17" t="n"/>
      <c r="AR1162" s="129">
        <f>DADOS_INVOC!$QC$157</f>
        <v/>
      </c>
      <c r="AS1162" s="120" t="n"/>
    </row>
    <row r="1163" hidden="1" outlineLevel="3">
      <c r="A1163" s="8" t="n"/>
      <c r="B1163" s="14" t="n"/>
      <c r="C1163" s="120" t="n"/>
      <c r="D1163" s="120" t="n"/>
      <c r="E1163" s="120" t="n"/>
      <c r="F1163" s="120" t="n"/>
      <c r="G1163" s="120" t="n"/>
      <c r="I1163" s="55" t="inlineStr">
        <is>
          <t>RESTRIÇÕES</t>
        </is>
      </c>
      <c r="J1163" s="130" t="n"/>
      <c r="K1163" s="16" t="n"/>
      <c r="L1163" s="17" t="n"/>
      <c r="M1163" s="129">
        <f>DADOS_INVOC!$QD$77</f>
        <v/>
      </c>
      <c r="N1163" s="120" t="n"/>
      <c r="O1163" s="55" t="inlineStr">
        <is>
          <t>RESTRIÇÕES</t>
        </is>
      </c>
      <c r="P1163" s="130" t="n"/>
      <c r="Q1163" s="16" t="n"/>
      <c r="R1163" s="17" t="n"/>
      <c r="S1163" s="129">
        <f>DADOS_INVOC!$QD$78</f>
        <v/>
      </c>
      <c r="T1163" s="120" t="n"/>
      <c r="U1163" s="55" t="inlineStr">
        <is>
          <t>RESTRIÇÕES</t>
        </is>
      </c>
      <c r="V1163" s="130" t="n"/>
      <c r="W1163" s="16" t="n"/>
      <c r="X1163" s="17" t="n"/>
      <c r="Y1163" s="129">
        <f>DADOS_INVOC!$QD$79</f>
        <v/>
      </c>
      <c r="Z1163" s="120" t="n"/>
      <c r="AB1163" s="55" t="inlineStr">
        <is>
          <t>RESTRIÇÕES</t>
        </is>
      </c>
      <c r="AC1163" s="130" t="n"/>
      <c r="AD1163" s="16" t="n"/>
      <c r="AE1163" s="17" t="n"/>
      <c r="AF1163" s="129">
        <f>DADOS_INVOC!$QD$155</f>
        <v/>
      </c>
      <c r="AG1163" s="120" t="n"/>
      <c r="AH1163" s="55" t="inlineStr">
        <is>
          <t>RESTRIÇÕES</t>
        </is>
      </c>
      <c r="AI1163" s="130" t="n"/>
      <c r="AJ1163" s="16" t="n"/>
      <c r="AK1163" s="17" t="n"/>
      <c r="AL1163" s="129">
        <f>DADOS_INVOC!$QD$156</f>
        <v/>
      </c>
      <c r="AM1163" s="120" t="n"/>
      <c r="AN1163" s="55" t="inlineStr">
        <is>
          <t>RESTRIÇÕES</t>
        </is>
      </c>
      <c r="AO1163" s="130" t="n"/>
      <c r="AP1163" s="16" t="n"/>
      <c r="AQ1163" s="17" t="n"/>
      <c r="AR1163" s="129">
        <f>DADOS_INVOC!$QD$157</f>
        <v/>
      </c>
      <c r="AS1163" s="120" t="n"/>
    </row>
    <row r="1164" hidden="1" outlineLevel="3">
      <c r="A1164" s="8" t="n"/>
      <c r="B1164" s="14" t="n"/>
      <c r="C1164" s="120" t="n"/>
      <c r="D1164" s="120" t="n"/>
      <c r="E1164" s="120" t="n"/>
      <c r="F1164" s="120" t="n"/>
      <c r="G1164" s="120" t="n"/>
      <c r="I1164" s="125" t="n"/>
      <c r="J1164" s="130" t="n"/>
      <c r="K1164" s="16" t="n"/>
      <c r="L1164" s="17" t="n"/>
      <c r="M1164" s="129">
        <f>DADOS_INVOC!$QE$77</f>
        <v/>
      </c>
      <c r="N1164" s="120" t="n"/>
      <c r="O1164" s="125" t="n"/>
      <c r="P1164" s="130" t="n"/>
      <c r="Q1164" s="16" t="n"/>
      <c r="R1164" s="17" t="n"/>
      <c r="S1164" s="129">
        <f>DADOS_INVOC!$QE$78</f>
        <v/>
      </c>
      <c r="T1164" s="120" t="n"/>
      <c r="U1164" s="125" t="n"/>
      <c r="V1164" s="130" t="n"/>
      <c r="W1164" s="16" t="n"/>
      <c r="X1164" s="17" t="n"/>
      <c r="Y1164" s="129">
        <f>DADOS_INVOC!$QE$79</f>
        <v/>
      </c>
      <c r="Z1164" s="120" t="n"/>
      <c r="AB1164" s="125" t="n"/>
      <c r="AC1164" s="130" t="n"/>
      <c r="AD1164" s="16" t="n"/>
      <c r="AE1164" s="17" t="n"/>
      <c r="AF1164" s="129">
        <f>DADOS_INVOC!$QE$155</f>
        <v/>
      </c>
      <c r="AG1164" s="120" t="n"/>
      <c r="AH1164" s="125" t="n"/>
      <c r="AI1164" s="130" t="n"/>
      <c r="AJ1164" s="16" t="n"/>
      <c r="AK1164" s="17" t="n"/>
      <c r="AL1164" s="129">
        <f>DADOS_INVOC!$QE$156</f>
        <v/>
      </c>
      <c r="AM1164" s="120" t="n"/>
      <c r="AN1164" s="125" t="n"/>
      <c r="AO1164" s="130" t="n"/>
      <c r="AP1164" s="16" t="n"/>
      <c r="AQ1164" s="17" t="n"/>
      <c r="AR1164" s="129">
        <f>DADOS_INVOC!$QE$157</f>
        <v/>
      </c>
      <c r="AS1164" s="120" t="n"/>
    </row>
    <row r="1165" hidden="1" outlineLevel="3">
      <c r="A1165" s="8" t="n"/>
      <c r="B1165" s="14" t="n"/>
      <c r="C1165" s="120" t="n"/>
      <c r="D1165" s="120" t="n"/>
      <c r="E1165" s="120" t="n"/>
      <c r="F1165" s="120" t="n"/>
      <c r="G1165" s="120" t="n"/>
      <c r="I1165" s="55" t="inlineStr">
        <is>
          <t>CONTA</t>
        </is>
      </c>
      <c r="J1165" s="132">
        <f>DADOS_INVOC!$PX$77</f>
        <v/>
      </c>
      <c r="K1165" s="16" t="n"/>
      <c r="L1165" s="16" t="n"/>
      <c r="M1165" s="17" t="n"/>
      <c r="N1165" s="120" t="n"/>
      <c r="O1165" s="55" t="inlineStr">
        <is>
          <t>CONTA</t>
        </is>
      </c>
      <c r="P1165" s="132">
        <f>DADOS_INVOC!$PX$78</f>
        <v/>
      </c>
      <c r="Q1165" s="16" t="n"/>
      <c r="R1165" s="16" t="n"/>
      <c r="S1165" s="17" t="n"/>
      <c r="T1165" s="120" t="n"/>
      <c r="U1165" s="55" t="inlineStr">
        <is>
          <t>CONTA</t>
        </is>
      </c>
      <c r="V1165" s="132">
        <f>DADOS_INVOC!$PX$79</f>
        <v/>
      </c>
      <c r="W1165" s="16" t="n"/>
      <c r="X1165" s="16" t="n"/>
      <c r="Y1165" s="17" t="n"/>
      <c r="Z1165" s="120" t="n"/>
      <c r="AB1165" s="55" t="inlineStr">
        <is>
          <t>CONTA</t>
        </is>
      </c>
      <c r="AC1165" s="132">
        <f>DADOS_INVOC!$PX$155</f>
        <v/>
      </c>
      <c r="AD1165" s="16" t="n"/>
      <c r="AE1165" s="16" t="n"/>
      <c r="AF1165" s="17" t="n"/>
      <c r="AG1165" s="120" t="n"/>
      <c r="AH1165" s="55" t="inlineStr">
        <is>
          <t>CONTA</t>
        </is>
      </c>
      <c r="AI1165" s="132">
        <f>DADOS_INVOC!$PX$156</f>
        <v/>
      </c>
      <c r="AJ1165" s="16" t="n"/>
      <c r="AK1165" s="16" t="n"/>
      <c r="AL1165" s="17" t="n"/>
      <c r="AM1165" s="120" t="n"/>
      <c r="AN1165" s="55" t="inlineStr">
        <is>
          <t>CONTA</t>
        </is>
      </c>
      <c r="AO1165" s="132">
        <f>DADOS_INVOC!$PX$157</f>
        <v/>
      </c>
      <c r="AP1165" s="16" t="n"/>
      <c r="AQ1165" s="16" t="n"/>
      <c r="AR1165" s="17" t="n"/>
      <c r="AS1165" s="120" t="n"/>
    </row>
    <row r="1166" hidden="1" outlineLevel="3">
      <c r="A1166" s="8" t="n"/>
      <c r="B1166" s="14" t="n"/>
      <c r="C1166" s="120" t="n"/>
      <c r="D1166" s="120" t="n"/>
      <c r="E1166" s="120" t="n"/>
      <c r="F1166" s="120" t="n"/>
      <c r="G1166" s="120" t="n"/>
      <c r="I1166" s="55" t="inlineStr">
        <is>
          <t>AMPLIAR</t>
        </is>
      </c>
      <c r="J1166" s="132">
        <f>DADOS_INVOC!$PY$77</f>
        <v/>
      </c>
      <c r="K1166" s="19" t="n"/>
      <c r="L1166" s="19" t="n"/>
      <c r="M1166" s="20" t="n"/>
      <c r="N1166" s="120" t="n"/>
      <c r="O1166" s="55" t="inlineStr">
        <is>
          <t>AMPLIAR</t>
        </is>
      </c>
      <c r="P1166" s="132">
        <f>DADOS_INVOC!$PY$78</f>
        <v/>
      </c>
      <c r="Q1166" s="19" t="n"/>
      <c r="R1166" s="19" t="n"/>
      <c r="S1166" s="20" t="n"/>
      <c r="T1166" s="120" t="n"/>
      <c r="U1166" s="55" t="inlineStr">
        <is>
          <t>AMPLIAR</t>
        </is>
      </c>
      <c r="V1166" s="132">
        <f>DADOS_INVOC!$PY$79</f>
        <v/>
      </c>
      <c r="W1166" s="19" t="n"/>
      <c r="X1166" s="19" t="n"/>
      <c r="Y1166" s="20" t="n"/>
      <c r="Z1166" s="120" t="n"/>
      <c r="AB1166" s="55" t="inlineStr">
        <is>
          <t>AMPLIAR</t>
        </is>
      </c>
      <c r="AC1166" s="132">
        <f>DADOS_INVOC!$PY$155</f>
        <v/>
      </c>
      <c r="AD1166" s="19" t="n"/>
      <c r="AE1166" s="19" t="n"/>
      <c r="AF1166" s="20" t="n"/>
      <c r="AG1166" s="120" t="n"/>
      <c r="AH1166" s="55" t="inlineStr">
        <is>
          <t>AMPLIAR</t>
        </is>
      </c>
      <c r="AI1166" s="132">
        <f>DADOS_INVOC!$PY$156</f>
        <v/>
      </c>
      <c r="AJ1166" s="19" t="n"/>
      <c r="AK1166" s="19" t="n"/>
      <c r="AL1166" s="20" t="n"/>
      <c r="AM1166" s="120" t="n"/>
      <c r="AN1166" s="55" t="inlineStr">
        <is>
          <t>AMPLIAR</t>
        </is>
      </c>
      <c r="AO1166" s="132">
        <f>DADOS_INVOC!$PY$157</f>
        <v/>
      </c>
      <c r="AP1166" s="19" t="n"/>
      <c r="AQ1166" s="19" t="n"/>
      <c r="AR1166" s="20" t="n"/>
      <c r="AS1166" s="120" t="n"/>
    </row>
    <row r="1167" hidden="1" outlineLevel="3">
      <c r="A1167" s="8" t="n"/>
      <c r="B1167" s="14" t="n"/>
      <c r="C1167" s="120" t="n"/>
      <c r="D1167" s="120" t="n"/>
      <c r="E1167" s="120" t="n"/>
      <c r="F1167" s="120" t="n"/>
      <c r="G1167" s="120" t="n"/>
      <c r="I1167" s="125" t="n"/>
      <c r="J1167" s="23" t="n"/>
      <c r="K1167" s="24" t="n"/>
      <c r="L1167" s="24" t="n"/>
      <c r="M1167" s="25" t="n"/>
      <c r="N1167" s="120" t="n"/>
      <c r="O1167" s="125" t="n"/>
      <c r="P1167" s="23" t="n"/>
      <c r="Q1167" s="24" t="n"/>
      <c r="R1167" s="24" t="n"/>
      <c r="S1167" s="25" t="n"/>
      <c r="T1167" s="120" t="n"/>
      <c r="U1167" s="125" t="n"/>
      <c r="V1167" s="23" t="n"/>
      <c r="W1167" s="24" t="n"/>
      <c r="X1167" s="24" t="n"/>
      <c r="Y1167" s="25" t="n"/>
      <c r="Z1167" s="120" t="n"/>
      <c r="AB1167" s="125" t="n"/>
      <c r="AC1167" s="23" t="n"/>
      <c r="AD1167" s="24" t="n"/>
      <c r="AE1167" s="24" t="n"/>
      <c r="AF1167" s="25" t="n"/>
      <c r="AG1167" s="120" t="n"/>
      <c r="AH1167" s="125" t="n"/>
      <c r="AI1167" s="23" t="n"/>
      <c r="AJ1167" s="24" t="n"/>
      <c r="AK1167" s="24" t="n"/>
      <c r="AL1167" s="25" t="n"/>
      <c r="AM1167" s="120" t="n"/>
      <c r="AN1167" s="125" t="n"/>
      <c r="AO1167" s="23" t="n"/>
      <c r="AP1167" s="24" t="n"/>
      <c r="AQ1167" s="24" t="n"/>
      <c r="AR1167" s="25" t="n"/>
      <c r="AS1167" s="120" t="n"/>
    </row>
    <row r="1168" hidden="1" outlineLevel="3">
      <c r="A1168" s="8" t="n"/>
      <c r="B1168" s="14" t="n"/>
      <c r="C1168" s="120" t="n"/>
      <c r="D1168" s="120" t="n"/>
      <c r="E1168" s="120" t="n"/>
      <c r="F1168" s="120" t="n"/>
      <c r="G1168" s="120" t="n"/>
      <c r="I1168" s="132">
        <f>DADOS_INVOC!$PL$77</f>
        <v/>
      </c>
      <c r="J1168" s="19" t="n"/>
      <c r="K1168" s="19" t="n"/>
      <c r="L1168" s="19" t="n"/>
      <c r="M1168" s="20" t="n"/>
      <c r="N1168" s="120" t="n"/>
      <c r="O1168" s="132">
        <f>DADOS_INVOC!$PL$78</f>
        <v/>
      </c>
      <c r="P1168" s="19" t="n"/>
      <c r="Q1168" s="19" t="n"/>
      <c r="R1168" s="19" t="n"/>
      <c r="S1168" s="20" t="n"/>
      <c r="T1168" s="120" t="n"/>
      <c r="U1168" s="132">
        <f>DADOS_INVOC!$PL$79</f>
        <v/>
      </c>
      <c r="V1168" s="19" t="n"/>
      <c r="W1168" s="19" t="n"/>
      <c r="X1168" s="19" t="n"/>
      <c r="Y1168" s="20" t="n"/>
      <c r="Z1168" s="120" t="n"/>
      <c r="AB1168" s="132">
        <f>DADOS_INVOC!$PL$155</f>
        <v/>
      </c>
      <c r="AC1168" s="19" t="n"/>
      <c r="AD1168" s="19" t="n"/>
      <c r="AE1168" s="19" t="n"/>
      <c r="AF1168" s="20" t="n"/>
      <c r="AG1168" s="120" t="n"/>
      <c r="AH1168" s="132">
        <f>DADOS_INVOC!$PL$156</f>
        <v/>
      </c>
      <c r="AI1168" s="19" t="n"/>
      <c r="AJ1168" s="19" t="n"/>
      <c r="AK1168" s="19" t="n"/>
      <c r="AL1168" s="20" t="n"/>
      <c r="AM1168" s="120" t="n"/>
      <c r="AN1168" s="132">
        <f>DADOS_INVOC!$PL$157</f>
        <v/>
      </c>
      <c r="AO1168" s="19" t="n"/>
      <c r="AP1168" s="19" t="n"/>
      <c r="AQ1168" s="19" t="n"/>
      <c r="AR1168" s="20" t="n"/>
      <c r="AS1168" s="120" t="n"/>
    </row>
    <row r="1169" hidden="1" outlineLevel="3">
      <c r="A1169" s="8" t="n"/>
      <c r="B1169" s="14" t="n"/>
      <c r="C1169" s="120" t="n"/>
      <c r="D1169" s="120" t="n"/>
      <c r="E1169" s="120" t="n"/>
      <c r="F1169" s="120" t="n"/>
      <c r="G1169" s="120" t="n"/>
      <c r="I1169" s="23" t="n"/>
      <c r="J1169" s="24" t="n"/>
      <c r="K1169" s="24" t="n"/>
      <c r="L1169" s="24" t="n"/>
      <c r="M1169" s="25" t="n"/>
      <c r="N1169" s="120" t="n"/>
      <c r="O1169" s="23" t="n"/>
      <c r="P1169" s="24" t="n"/>
      <c r="Q1169" s="24" t="n"/>
      <c r="R1169" s="24" t="n"/>
      <c r="S1169" s="25" t="n"/>
      <c r="T1169" s="120" t="n"/>
      <c r="U1169" s="23" t="n"/>
      <c r="V1169" s="24" t="n"/>
      <c r="W1169" s="24" t="n"/>
      <c r="X1169" s="24" t="n"/>
      <c r="Y1169" s="25" t="n"/>
      <c r="Z1169" s="120" t="n"/>
      <c r="AB1169" s="23" t="n"/>
      <c r="AC1169" s="24" t="n"/>
      <c r="AD1169" s="24" t="n"/>
      <c r="AE1169" s="24" t="n"/>
      <c r="AF1169" s="25" t="n"/>
      <c r="AG1169" s="120" t="n"/>
      <c r="AH1169" s="23" t="n"/>
      <c r="AI1169" s="24" t="n"/>
      <c r="AJ1169" s="24" t="n"/>
      <c r="AK1169" s="24" t="n"/>
      <c r="AL1169" s="25" t="n"/>
      <c r="AM1169" s="120" t="n"/>
      <c r="AN1169" s="23" t="n"/>
      <c r="AO1169" s="24" t="n"/>
      <c r="AP1169" s="24" t="n"/>
      <c r="AQ1169" s="24" t="n"/>
      <c r="AR1169" s="25" t="n"/>
      <c r="AS1169" s="120" t="n"/>
    </row>
    <row r="1170" hidden="1" outlineLevel="2">
      <c r="A1170" s="8" t="n"/>
      <c r="B1170" s="14" t="n"/>
      <c r="C1170" s="120" t="n"/>
      <c r="D1170" s="120" t="n"/>
      <c r="E1170" s="120" t="n"/>
      <c r="F1170" s="120" t="n"/>
      <c r="G1170" s="120" t="n"/>
      <c r="I1170" s="120" t="n"/>
      <c r="J1170" s="120" t="n"/>
      <c r="K1170" s="120" t="n"/>
      <c r="L1170" s="120" t="n"/>
      <c r="M1170" s="120" t="n"/>
      <c r="N1170" s="120" t="n"/>
      <c r="O1170" s="120" t="n"/>
      <c r="P1170" s="120" t="n"/>
      <c r="Q1170" s="120" t="n"/>
      <c r="R1170" s="120" t="n"/>
      <c r="S1170" s="120" t="n"/>
      <c r="T1170" s="120" t="n"/>
      <c r="U1170" s="120" t="n"/>
      <c r="V1170" s="120" t="n"/>
      <c r="W1170" s="120" t="n"/>
      <c r="X1170" s="120" t="n"/>
      <c r="Y1170" s="120" t="n"/>
      <c r="Z1170" s="120" t="n"/>
      <c r="AB1170" s="120" t="n"/>
      <c r="AC1170" s="120" t="n"/>
      <c r="AD1170" s="120" t="n"/>
      <c r="AE1170" s="120" t="n"/>
      <c r="AF1170" s="120" t="n"/>
      <c r="AG1170" s="120" t="n"/>
      <c r="AH1170" s="120" t="n"/>
      <c r="AI1170" s="120" t="n"/>
      <c r="AJ1170" s="120" t="n"/>
      <c r="AK1170" s="120" t="n"/>
      <c r="AL1170" s="120" t="n"/>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0"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0" t="n"/>
    </row>
    <row r="1172" hidden="1" outlineLevel="2">
      <c r="A1172" s="8" t="n"/>
      <c r="B1172" s="14" t="n"/>
      <c r="C1172" s="120" t="n"/>
      <c r="D1172" s="120" t="n"/>
      <c r="E1172" s="120" t="n"/>
      <c r="F1172" s="120" t="n"/>
      <c r="G1172" s="120" t="n"/>
      <c r="I1172" s="55" t="inlineStr">
        <is>
          <t>TRILHA · CE 1</t>
        </is>
      </c>
      <c r="J1172" s="130" t="n"/>
      <c r="K1172" s="16" t="n"/>
      <c r="L1172" s="17" t="n"/>
      <c r="M1172" s="137">
        <f>DADOS_INVOC!$IL$7</f>
        <v/>
      </c>
      <c r="N1172" s="16" t="n"/>
      <c r="O1172" s="16" t="n"/>
      <c r="P1172" s="16" t="n"/>
      <c r="Q1172" s="16" t="n"/>
      <c r="R1172" s="16" t="n"/>
      <c r="S1172" s="16" t="n"/>
      <c r="T1172" s="16" t="n"/>
      <c r="U1172" s="16" t="n"/>
      <c r="V1172" s="16" t="n"/>
      <c r="W1172" s="16" t="n"/>
      <c r="X1172" s="16" t="n"/>
      <c r="Y1172" s="17" t="n"/>
      <c r="Z1172" s="120" t="n"/>
      <c r="AB1172" s="55" t="inlineStr">
        <is>
          <t>TRILHA · CE 1</t>
        </is>
      </c>
      <c r="AC1172" s="130" t="n"/>
      <c r="AD1172" s="16" t="n"/>
      <c r="AE1172" s="17" t="n"/>
      <c r="AF1172" s="137">
        <f>DADOS_INVOC!$IL$13</f>
        <v/>
      </c>
      <c r="AG1172" s="16" t="n"/>
      <c r="AH1172" s="16" t="n"/>
      <c r="AI1172" s="16" t="n"/>
      <c r="AJ1172" s="16" t="n"/>
      <c r="AK1172" s="16" t="n"/>
      <c r="AL1172" s="16" t="n"/>
      <c r="AM1172" s="16" t="n"/>
      <c r="AN1172" s="16" t="n"/>
      <c r="AO1172" s="16" t="n"/>
      <c r="AP1172" s="16" t="n"/>
      <c r="AQ1172" s="16" t="n"/>
      <c r="AR1172" s="17" t="n"/>
      <c r="AS1172" s="120" t="n"/>
    </row>
    <row r="1173" hidden="1" outlineLevel="2">
      <c r="A1173" s="8" t="n"/>
      <c r="B1173" s="14" t="n"/>
      <c r="C1173" s="120" t="n"/>
      <c r="D1173" s="120" t="n"/>
      <c r="E1173" s="120" t="n"/>
      <c r="F1173" s="120" t="n"/>
      <c r="G1173" s="120" t="n"/>
      <c r="I1173" s="55" t="inlineStr">
        <is>
          <t>TRILHA · CE 1</t>
        </is>
      </c>
      <c r="J1173" s="130" t="n"/>
      <c r="K1173" s="16" t="n"/>
      <c r="L1173" s="17" t="n"/>
      <c r="M1173" s="137">
        <f>DADOS_INVOC!$IM$7</f>
        <v/>
      </c>
      <c r="N1173" s="16" t="n"/>
      <c r="O1173" s="16" t="n"/>
      <c r="P1173" s="16" t="n"/>
      <c r="Q1173" s="16" t="n"/>
      <c r="R1173" s="16" t="n"/>
      <c r="S1173" s="16" t="n"/>
      <c r="T1173" s="16" t="n"/>
      <c r="U1173" s="16" t="n"/>
      <c r="V1173" s="16" t="n"/>
      <c r="W1173" s="16" t="n"/>
      <c r="X1173" s="16" t="n"/>
      <c r="Y1173" s="17" t="n"/>
      <c r="Z1173" s="120" t="n"/>
      <c r="AB1173" s="55" t="inlineStr">
        <is>
          <t>TRILHA · CE 1</t>
        </is>
      </c>
      <c r="AC1173" s="130" t="n"/>
      <c r="AD1173" s="16" t="n"/>
      <c r="AE1173" s="17" t="n"/>
      <c r="AF1173" s="137">
        <f>DADOS_INVOC!$IM$13</f>
        <v/>
      </c>
      <c r="AG1173" s="16" t="n"/>
      <c r="AH1173" s="16" t="n"/>
      <c r="AI1173" s="16" t="n"/>
      <c r="AJ1173" s="16" t="n"/>
      <c r="AK1173" s="16" t="n"/>
      <c r="AL1173" s="16" t="n"/>
      <c r="AM1173" s="16" t="n"/>
      <c r="AN1173" s="16" t="n"/>
      <c r="AO1173" s="16" t="n"/>
      <c r="AP1173" s="16" t="n"/>
      <c r="AQ1173" s="16" t="n"/>
      <c r="AR1173" s="17" t="n"/>
      <c r="AS1173" s="120" t="n"/>
    </row>
    <row r="1174" hidden="1" outlineLevel="2">
      <c r="A1174" s="8" t="n"/>
      <c r="B1174" s="14" t="n"/>
      <c r="C1174" s="120" t="n"/>
      <c r="D1174" s="120" t="n"/>
      <c r="E1174" s="120" t="n"/>
      <c r="F1174" s="120" t="n"/>
      <c r="G1174" s="120" t="n"/>
      <c r="I1174" s="55" t="inlineStr">
        <is>
          <t>TRILHA · CE 1</t>
        </is>
      </c>
      <c r="J1174" s="130" t="n"/>
      <c r="K1174" s="16" t="n"/>
      <c r="L1174" s="17" t="n"/>
      <c r="M1174" s="137">
        <f>DADOS_INVOC!$IN$7</f>
        <v/>
      </c>
      <c r="N1174" s="16" t="n"/>
      <c r="O1174" s="16" t="n"/>
      <c r="P1174" s="16" t="n"/>
      <c r="Q1174" s="16" t="n"/>
      <c r="R1174" s="16" t="n"/>
      <c r="S1174" s="16" t="n"/>
      <c r="T1174" s="16" t="n"/>
      <c r="U1174" s="16" t="n"/>
      <c r="V1174" s="16" t="n"/>
      <c r="W1174" s="16" t="n"/>
      <c r="X1174" s="16" t="n"/>
      <c r="Y1174" s="17" t="n"/>
      <c r="Z1174" s="120" t="n"/>
      <c r="AB1174" s="55" t="inlineStr">
        <is>
          <t>TRILHA · CE 1</t>
        </is>
      </c>
      <c r="AC1174" s="130" t="n"/>
      <c r="AD1174" s="16" t="n"/>
      <c r="AE1174" s="17" t="n"/>
      <c r="AF1174" s="137">
        <f>DADOS_INVOC!$IN$13</f>
        <v/>
      </c>
      <c r="AG1174" s="16" t="n"/>
      <c r="AH1174" s="16" t="n"/>
      <c r="AI1174" s="16" t="n"/>
      <c r="AJ1174" s="16" t="n"/>
      <c r="AK1174" s="16" t="n"/>
      <c r="AL1174" s="16" t="n"/>
      <c r="AM1174" s="16" t="n"/>
      <c r="AN1174" s="16" t="n"/>
      <c r="AO1174" s="16" t="n"/>
      <c r="AP1174" s="16" t="n"/>
      <c r="AQ1174" s="16" t="n"/>
      <c r="AR1174" s="17" t="n"/>
      <c r="AS1174" s="120" t="n"/>
    </row>
    <row r="1175" hidden="1" outlineLevel="1">
      <c r="A1175" s="8" t="n"/>
      <c r="B1175" s="14" t="n"/>
      <c r="C1175" s="120" t="n"/>
      <c r="D1175" s="120" t="n"/>
      <c r="E1175" s="120" t="n"/>
      <c r="F1175" s="120" t="n"/>
      <c r="G1175" s="120" t="n"/>
      <c r="I1175" s="120" t="n"/>
      <c r="J1175" s="120" t="n"/>
      <c r="K1175" s="120" t="n"/>
      <c r="L1175" s="120" t="n"/>
      <c r="M1175" s="120" t="n"/>
      <c r="N1175" s="120" t="n"/>
      <c r="O1175" s="120" t="n"/>
      <c r="P1175" s="120" t="n"/>
      <c r="Q1175" s="120" t="n"/>
      <c r="R1175" s="120" t="n"/>
      <c r="S1175" s="120" t="n"/>
      <c r="T1175" s="120" t="n"/>
      <c r="U1175" s="120" t="n"/>
      <c r="V1175" s="120" t="n"/>
      <c r="W1175" s="120" t="n"/>
      <c r="X1175" s="120" t="n"/>
      <c r="Y1175" s="120" t="n"/>
      <c r="Z1175" s="120" t="n"/>
      <c r="AB1175" s="120" t="n"/>
      <c r="AC1175" s="120" t="n"/>
      <c r="AD1175" s="120" t="n"/>
      <c r="AE1175" s="120" t="n"/>
      <c r="AF1175" s="120" t="n"/>
      <c r="AG1175" s="120" t="n"/>
      <c r="AH1175" s="120" t="n"/>
      <c r="AI1175" s="120" t="n"/>
      <c r="AJ1175" s="120" t="n"/>
      <c r="AK1175" s="120" t="n"/>
      <c r="AL1175" s="120" t="n"/>
      <c r="AM1175" s="120" t="n"/>
      <c r="AN1175" s="120" t="n"/>
      <c r="AO1175" s="120" t="n"/>
      <c r="AP1175" s="120" t="n"/>
      <c r="AQ1175" s="120" t="n"/>
      <c r="AR1175" s="120" t="n"/>
      <c r="AS1175" s="120" t="n"/>
    </row>
    <row r="1176" hidden="1" outlineLevel="1">
      <c r="A1176" s="8" t="n"/>
      <c r="B1176" s="14" t="n"/>
      <c r="C1176" s="120" t="n"/>
      <c r="D1176" s="120" t="n"/>
      <c r="E1176" s="120" t="n"/>
      <c r="F1176" s="120" t="n"/>
      <c r="G1176" s="120" t="n"/>
      <c r="I1176" s="13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0" t="n"/>
      <c r="AB1176" s="13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0" t="n"/>
    </row>
    <row r="1177" hidden="1" outlineLevel="2">
      <c r="A1177" s="8" t="n"/>
      <c r="B1177" s="14" t="n"/>
      <c r="C1177" s="120" t="n"/>
      <c r="D1177" s="120" t="n"/>
      <c r="E1177" s="120" t="n"/>
      <c r="F1177" s="120" t="n"/>
      <c r="G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hidden="1" outlineLevel="2">
      <c r="A1178" s="8" t="n"/>
      <c r="B1178" s="14" t="n"/>
      <c r="C1178" s="120" t="n"/>
      <c r="D1178" s="120" t="n"/>
      <c r="E1178" s="120" t="n"/>
      <c r="F1178" s="120" t="n"/>
      <c r="G1178" s="120" t="n"/>
      <c r="I1178" s="55" t="inlineStr">
        <is>
          <t>LIBERAÇÃO MÁXIMA 1</t>
        </is>
      </c>
      <c r="J1178" s="16" t="n"/>
      <c r="K1178" s="16" t="n"/>
      <c r="L1178" s="16" t="n"/>
      <c r="M1178" s="17" t="n"/>
      <c r="N1178" s="120" t="n"/>
      <c r="O1178" s="55" t="inlineStr">
        <is>
          <t>LIBERAÇÃO MÁXIMA 2</t>
        </is>
      </c>
      <c r="P1178" s="16" t="n"/>
      <c r="Q1178" s="16" t="n"/>
      <c r="R1178" s="16" t="n"/>
      <c r="S1178" s="17" t="n"/>
      <c r="T1178" s="120" t="n"/>
      <c r="U1178" s="55" t="inlineStr">
        <is>
          <t>LIBERAÇÃO MÁXIMA 3</t>
        </is>
      </c>
      <c r="V1178" s="16" t="n"/>
      <c r="W1178" s="16" t="n"/>
      <c r="X1178" s="16" t="n"/>
      <c r="Y1178" s="17" t="n"/>
      <c r="Z1178" s="120" t="n"/>
      <c r="AB1178" s="55" t="inlineStr">
        <is>
          <t>LIBERAÇÃO MÁXIMA 1</t>
        </is>
      </c>
      <c r="AC1178" s="16" t="n"/>
      <c r="AD1178" s="16" t="n"/>
      <c r="AE1178" s="16" t="n"/>
      <c r="AF1178" s="17" t="n"/>
      <c r="AG1178" s="120" t="n"/>
      <c r="AH1178" s="55" t="inlineStr">
        <is>
          <t>LIBERAÇÃO MÁXIMA 2</t>
        </is>
      </c>
      <c r="AI1178" s="16" t="n"/>
      <c r="AJ1178" s="16" t="n"/>
      <c r="AK1178" s="16" t="n"/>
      <c r="AL1178" s="17" t="n"/>
      <c r="AM1178" s="120" t="n"/>
      <c r="AN1178" s="55" t="inlineStr">
        <is>
          <t>LIBERAÇÃO MÁXIMA 3</t>
        </is>
      </c>
      <c r="AO1178" s="16" t="n"/>
      <c r="AP1178" s="16" t="n"/>
      <c r="AQ1178" s="16" t="n"/>
      <c r="AR1178" s="17" t="n"/>
      <c r="AS1178" s="120" t="n"/>
    </row>
    <row r="1179" hidden="1" outlineLevel="2">
      <c r="A1179" s="8" t="n"/>
      <c r="B1179" s="14" t="n"/>
      <c r="C1179" s="120" t="n"/>
      <c r="D1179" s="120" t="n"/>
      <c r="E1179" s="120" t="n"/>
      <c r="F1179" s="120" t="n"/>
      <c r="G1179" s="120" t="n"/>
      <c r="I1179" s="127" t="n">
        <v>3</v>
      </c>
      <c r="J1179" s="115" t="n"/>
      <c r="K1179" s="16" t="n"/>
      <c r="L1179" s="17" t="n"/>
      <c r="M1179" s="128">
        <f>DADOS_INVOC!$IO$7</f>
        <v/>
      </c>
      <c r="N1179" s="120" t="n"/>
      <c r="O1179" s="127" t="n">
        <v>3</v>
      </c>
      <c r="P1179" s="115" t="n"/>
      <c r="Q1179" s="16" t="n"/>
      <c r="R1179" s="17" t="n"/>
      <c r="S1179" s="128">
        <f>DADOS_INVOC!$IP$7</f>
        <v/>
      </c>
      <c r="T1179" s="120" t="n"/>
      <c r="U1179" s="127" t="n">
        <v>3</v>
      </c>
      <c r="V1179" s="115" t="n"/>
      <c r="W1179" s="16" t="n"/>
      <c r="X1179" s="17" t="n"/>
      <c r="Y1179" s="128">
        <f>DADOS_INVOC!$IQ$7</f>
        <v/>
      </c>
      <c r="Z1179" s="120" t="n"/>
      <c r="AB1179" s="127" t="n">
        <v>3</v>
      </c>
      <c r="AC1179" s="115" t="n"/>
      <c r="AD1179" s="16" t="n"/>
      <c r="AE1179" s="17" t="n"/>
      <c r="AF1179" s="128">
        <f>DADOS_INVOC!$IO$13</f>
        <v/>
      </c>
      <c r="AG1179" s="120" t="n"/>
      <c r="AH1179" s="127" t="n">
        <v>3</v>
      </c>
      <c r="AI1179" s="115" t="n"/>
      <c r="AJ1179" s="16" t="n"/>
      <c r="AK1179" s="17" t="n"/>
      <c r="AL1179" s="128">
        <f>DADOS_INVOC!$IP$13</f>
        <v/>
      </c>
      <c r="AM1179" s="120" t="n"/>
      <c r="AN1179" s="127" t="n">
        <v>3</v>
      </c>
      <c r="AO1179" s="115" t="n"/>
      <c r="AP1179" s="16" t="n"/>
      <c r="AQ1179" s="17" t="n"/>
      <c r="AR1179" s="128">
        <f>DADOS_INVOC!$IQ$13</f>
        <v/>
      </c>
      <c r="AS1179" s="120" t="n"/>
    </row>
    <row r="1180" hidden="1" outlineLevel="2">
      <c r="A1180" s="8" t="n"/>
      <c r="B1180" s="14" t="n"/>
      <c r="C1180" s="120" t="n"/>
      <c r="D1180" s="120" t="n"/>
      <c r="E1180" s="120" t="n"/>
      <c r="F1180" s="120" t="n"/>
      <c r="G1180" s="120" t="n"/>
      <c r="I1180" s="116" t="n"/>
      <c r="J1180" s="19" t="n"/>
      <c r="K1180" s="19" t="n"/>
      <c r="L1180" s="19" t="n"/>
      <c r="M1180" s="20" t="n"/>
      <c r="N1180" s="120" t="n"/>
      <c r="O1180" s="116" t="n"/>
      <c r="P1180" s="19" t="n"/>
      <c r="Q1180" s="19" t="n"/>
      <c r="R1180" s="19" t="n"/>
      <c r="S1180" s="20" t="n"/>
      <c r="T1180" s="120" t="n"/>
      <c r="U1180" s="116" t="n"/>
      <c r="V1180" s="19" t="n"/>
      <c r="W1180" s="19" t="n"/>
      <c r="X1180" s="19" t="n"/>
      <c r="Y1180" s="20" t="n"/>
      <c r="Z1180" s="120" t="n"/>
      <c r="AB1180" s="116" t="n"/>
      <c r="AC1180" s="19" t="n"/>
      <c r="AD1180" s="19" t="n"/>
      <c r="AE1180" s="19" t="n"/>
      <c r="AF1180" s="20" t="n"/>
      <c r="AG1180" s="120" t="n"/>
      <c r="AH1180" s="116" t="n"/>
      <c r="AI1180" s="19" t="n"/>
      <c r="AJ1180" s="19" t="n"/>
      <c r="AK1180" s="19" t="n"/>
      <c r="AL1180" s="20" t="n"/>
      <c r="AM1180" s="120" t="n"/>
      <c r="AN1180" s="116" t="n"/>
      <c r="AO1180" s="19" t="n"/>
      <c r="AP1180" s="19" t="n"/>
      <c r="AQ1180" s="19" t="n"/>
      <c r="AR1180" s="20" t="n"/>
      <c r="AS1180" s="120" t="n"/>
    </row>
    <row r="1181" hidden="1" outlineLevel="2">
      <c r="A1181" s="8" t="n"/>
      <c r="B1181" s="14" t="n"/>
      <c r="C1181" s="120" t="n"/>
      <c r="D1181" s="120" t="n"/>
      <c r="E1181" s="120" t="n"/>
      <c r="F1181" s="120" t="n"/>
      <c r="G1181" s="120" t="n"/>
      <c r="I1181" s="21" t="n"/>
      <c r="M1181" s="22" t="n"/>
      <c r="N1181" s="120" t="n"/>
      <c r="O1181" s="21" t="n"/>
      <c r="S1181" s="22" t="n"/>
      <c r="T1181" s="120" t="n"/>
      <c r="U1181" s="21" t="n"/>
      <c r="Y1181" s="22" t="n"/>
      <c r="Z1181" s="120" t="n"/>
      <c r="AB1181" s="21" t="n"/>
      <c r="AF1181" s="22" t="n"/>
      <c r="AG1181" s="120" t="n"/>
      <c r="AH1181" s="21" t="n"/>
      <c r="AL1181" s="22" t="n"/>
      <c r="AM1181" s="120" t="n"/>
      <c r="AN1181" s="21" t="n"/>
      <c r="AR1181" s="22" t="n"/>
      <c r="AS1181" s="120" t="n"/>
    </row>
    <row r="1182" hidden="1" outlineLevel="2">
      <c r="A1182" s="8" t="n"/>
      <c r="B1182" s="14" t="n"/>
      <c r="C1182" s="120" t="n"/>
      <c r="D1182" s="120" t="n"/>
      <c r="E1182" s="120" t="n"/>
      <c r="F1182" s="120" t="n"/>
      <c r="G1182" s="120" t="n"/>
      <c r="I1182" s="21" t="n"/>
      <c r="M1182" s="22" t="n"/>
      <c r="N1182" s="120" t="n"/>
      <c r="O1182" s="21" t="n"/>
      <c r="S1182" s="22" t="n"/>
      <c r="T1182" s="120" t="n"/>
      <c r="U1182" s="21" t="n"/>
      <c r="Y1182" s="22" t="n"/>
      <c r="Z1182" s="120" t="n"/>
      <c r="AB1182" s="21" t="n"/>
      <c r="AF1182" s="22" t="n"/>
      <c r="AG1182" s="120" t="n"/>
      <c r="AH1182" s="21" t="n"/>
      <c r="AL1182" s="22" t="n"/>
      <c r="AM1182" s="120" t="n"/>
      <c r="AN1182" s="21" t="n"/>
      <c r="AR1182" s="22" t="n"/>
      <c r="AS1182" s="120" t="n"/>
    </row>
    <row r="1183" hidden="1" outlineLevel="2">
      <c r="A1183" s="8" t="n"/>
      <c r="B1183" s="14" t="n"/>
      <c r="C1183" s="120" t="n"/>
      <c r="D1183" s="120" t="n"/>
      <c r="E1183" s="120" t="n"/>
      <c r="F1183" s="120" t="n"/>
      <c r="G1183" s="120" t="n"/>
      <c r="I1183" s="23" t="n"/>
      <c r="J1183" s="24" t="n"/>
      <c r="K1183" s="24" t="n"/>
      <c r="L1183" s="24" t="n"/>
      <c r="M1183" s="25" t="n"/>
      <c r="N1183" s="120" t="n"/>
      <c r="O1183" s="23" t="n"/>
      <c r="P1183" s="24" t="n"/>
      <c r="Q1183" s="24" t="n"/>
      <c r="R1183" s="24" t="n"/>
      <c r="S1183" s="25" t="n"/>
      <c r="T1183" s="120" t="n"/>
      <c r="U1183" s="23" t="n"/>
      <c r="V1183" s="24" t="n"/>
      <c r="W1183" s="24" t="n"/>
      <c r="X1183" s="24" t="n"/>
      <c r="Y1183" s="25" t="n"/>
      <c r="Z1183" s="120" t="n"/>
      <c r="AB1183" s="23" t="n"/>
      <c r="AC1183" s="24" t="n"/>
      <c r="AD1183" s="24" t="n"/>
      <c r="AE1183" s="24" t="n"/>
      <c r="AF1183" s="25" t="n"/>
      <c r="AG1183" s="120" t="n"/>
      <c r="AH1183" s="23" t="n"/>
      <c r="AI1183" s="24" t="n"/>
      <c r="AJ1183" s="24" t="n"/>
      <c r="AK1183" s="24" t="n"/>
      <c r="AL1183" s="25" t="n"/>
      <c r="AM1183" s="120" t="n"/>
      <c r="AN1183" s="23" t="n"/>
      <c r="AO1183" s="24" t="n"/>
      <c r="AP1183" s="24" t="n"/>
      <c r="AQ1183" s="24" t="n"/>
      <c r="AR1183" s="25" t="n"/>
      <c r="AS1183" s="120" t="n"/>
    </row>
    <row r="1184" hidden="1" outlineLevel="2">
      <c r="A1184" s="8" t="n"/>
      <c r="B1184" s="14" t="n"/>
      <c r="C1184" s="120" t="n"/>
      <c r="D1184" s="120" t="n"/>
      <c r="E1184" s="120" t="n"/>
      <c r="F1184" s="120" t="n"/>
      <c r="G1184" s="120" t="n"/>
      <c r="I1184" s="68">
        <f>DADOS_INVOC!$IR$7</f>
        <v/>
      </c>
      <c r="J1184" s="16" t="n"/>
      <c r="K1184" s="16" t="n"/>
      <c r="L1184" s="16" t="n"/>
      <c r="M1184" s="17" t="n"/>
      <c r="N1184" s="120" t="n"/>
      <c r="O1184" s="68">
        <f>DADOS_INVOC!$IS$7</f>
        <v/>
      </c>
      <c r="P1184" s="16" t="n"/>
      <c r="Q1184" s="16" t="n"/>
      <c r="R1184" s="16" t="n"/>
      <c r="S1184" s="17" t="n"/>
      <c r="T1184" s="120" t="n"/>
      <c r="U1184" s="68">
        <f>DADOS_INVOC!$IT$7</f>
        <v/>
      </c>
      <c r="V1184" s="16" t="n"/>
      <c r="W1184" s="16" t="n"/>
      <c r="X1184" s="16" t="n"/>
      <c r="Y1184" s="17" t="n"/>
      <c r="Z1184" s="120" t="n"/>
      <c r="AB1184" s="68">
        <f>DADOS_INVOC!$IR$13</f>
        <v/>
      </c>
      <c r="AC1184" s="16" t="n"/>
      <c r="AD1184" s="16" t="n"/>
      <c r="AE1184" s="16" t="n"/>
      <c r="AF1184" s="17" t="n"/>
      <c r="AG1184" s="120" t="n"/>
      <c r="AH1184" s="68">
        <f>DADOS_INVOC!$IS$13</f>
        <v/>
      </c>
      <c r="AI1184" s="16" t="n"/>
      <c r="AJ1184" s="16" t="n"/>
      <c r="AK1184" s="16" t="n"/>
      <c r="AL1184" s="17" t="n"/>
      <c r="AM1184" s="120" t="n"/>
      <c r="AN1184" s="68">
        <f>DADOS_INVOC!$IT$13</f>
        <v/>
      </c>
      <c r="AO1184" s="16" t="n"/>
      <c r="AP1184" s="16" t="n"/>
      <c r="AQ1184" s="16" t="n"/>
      <c r="AR1184" s="17" t="n"/>
      <c r="AS1184" s="120" t="n"/>
    </row>
    <row r="1185" hidden="1" outlineLevel="2">
      <c r="A1185" s="8" t="n"/>
      <c r="B1185" s="14" t="n"/>
      <c r="C1185" s="120" t="n"/>
      <c r="D1185" s="120" t="n"/>
      <c r="E1185" s="120" t="n"/>
      <c r="F1185" s="120" t="n"/>
      <c r="G1185" s="120" t="n"/>
      <c r="I1185" s="124" t="inlineStr">
        <is>
          <t>Sua Ação Completa + a básica dela</t>
        </is>
      </c>
      <c r="J1185" s="16" t="n"/>
      <c r="K1185" s="16" t="n"/>
      <c r="L1185" s="16" t="n"/>
      <c r="M1185" s="17" t="n"/>
      <c r="N1185" s="120" t="n"/>
      <c r="O1185" s="124" t="inlineStr">
        <is>
          <t>Sua Ação Completa + a básica dela</t>
        </is>
      </c>
      <c r="P1185" s="16" t="n"/>
      <c r="Q1185" s="16" t="n"/>
      <c r="R1185" s="16" t="n"/>
      <c r="S1185" s="17" t="n"/>
      <c r="T1185" s="120" t="n"/>
      <c r="U1185" s="124" t="inlineStr">
        <is>
          <t>Sua Ação Completa + a básica dela</t>
        </is>
      </c>
      <c r="V1185" s="16" t="n"/>
      <c r="W1185" s="16" t="n"/>
      <c r="X1185" s="16" t="n"/>
      <c r="Y1185" s="17" t="n"/>
      <c r="Z1185" s="120" t="n"/>
      <c r="AB1185" s="124" t="inlineStr">
        <is>
          <t>Sua Ação Completa + a básica dela</t>
        </is>
      </c>
      <c r="AC1185" s="16" t="n"/>
      <c r="AD1185" s="16" t="n"/>
      <c r="AE1185" s="16" t="n"/>
      <c r="AF1185" s="17" t="n"/>
      <c r="AG1185" s="120" t="n"/>
      <c r="AH1185" s="124" t="inlineStr">
        <is>
          <t>Sua Ação Completa + a básica dela</t>
        </is>
      </c>
      <c r="AI1185" s="16" t="n"/>
      <c r="AJ1185" s="16" t="n"/>
      <c r="AK1185" s="16" t="n"/>
      <c r="AL1185" s="17" t="n"/>
      <c r="AM1185" s="120" t="n"/>
      <c r="AN1185" s="124" t="inlineStr">
        <is>
          <t>Sua Ação Completa + a básica dela</t>
        </is>
      </c>
      <c r="AO1185" s="16" t="n"/>
      <c r="AP1185" s="16" t="n"/>
      <c r="AQ1185" s="16" t="n"/>
      <c r="AR1185" s="17" t="n"/>
      <c r="AS1185" s="120" t="n"/>
    </row>
    <row r="1186" hidden="1" outlineLevel="2">
      <c r="A1186" s="8" t="n"/>
      <c r="B1186" s="14" t="n"/>
      <c r="C1186" s="120" t="n"/>
      <c r="D1186" s="120" t="n"/>
      <c r="E1186" s="120" t="n"/>
      <c r="F1186" s="120" t="n"/>
      <c r="G1186" s="120" t="n"/>
      <c r="I1186" s="120" t="n"/>
      <c r="J1186" s="120" t="n"/>
      <c r="K1186" s="120" t="n"/>
      <c r="L1186" s="120" t="n"/>
      <c r="M1186" s="120" t="n"/>
      <c r="N1186" s="120" t="n"/>
      <c r="O1186" s="120" t="n"/>
      <c r="P1186" s="120" t="n"/>
      <c r="Q1186" s="120" t="n"/>
      <c r="R1186" s="120" t="n"/>
      <c r="S1186" s="120" t="n"/>
      <c r="T1186" s="120" t="n"/>
      <c r="U1186" s="120" t="n"/>
      <c r="V1186" s="120" t="n"/>
      <c r="W1186" s="120" t="n"/>
      <c r="X1186" s="120" t="n"/>
      <c r="Y1186" s="120" t="n"/>
      <c r="Z1186" s="120" t="n"/>
      <c r="AB1186" s="120" t="n"/>
      <c r="AC1186" s="120" t="n"/>
      <c r="AD1186" s="120" t="n"/>
      <c r="AE1186" s="120" t="n"/>
      <c r="AF1186" s="120" t="n"/>
      <c r="AG1186" s="120" t="n"/>
      <c r="AH1186" s="120" t="n"/>
      <c r="AI1186" s="120" t="n"/>
      <c r="AJ1186" s="120" t="n"/>
      <c r="AK1186" s="120" t="n"/>
      <c r="AL1186" s="120" t="n"/>
      <c r="AM1186" s="120" t="n"/>
      <c r="AN1186" s="120" t="n"/>
      <c r="AO1186" s="120" t="n"/>
      <c r="AP1186" s="120" t="n"/>
      <c r="AQ1186" s="120" t="n"/>
      <c r="AR1186" s="120" t="n"/>
      <c r="AS1186" s="120" t="n"/>
    </row>
    <row r="1187" hidden="1" outlineLevel="2">
      <c r="A1187" s="8" t="n"/>
      <c r="B1187" s="14" t="n"/>
      <c r="C1187" s="120" t="n"/>
      <c r="D1187" s="120" t="n"/>
      <c r="E1187" s="120" t="n"/>
      <c r="F1187" s="120" t="n"/>
      <c r="G1187" s="120" t="n"/>
      <c r="I1187" s="55" t="inlineStr">
        <is>
          <t>TÉCNICA MÁXIMA</t>
        </is>
      </c>
      <c r="J1187" s="16" t="n"/>
      <c r="K1187" s="16" t="n"/>
      <c r="L1187" s="16" t="n"/>
      <c r="M1187" s="17" t="n"/>
      <c r="N1187" s="120" t="n"/>
      <c r="O1187" s="55" t="inlineStr">
        <is>
          <t>EXPANSÃO DE DOMÍNIO</t>
        </is>
      </c>
      <c r="P1187" s="16" t="n"/>
      <c r="Q1187" s="16" t="n"/>
      <c r="R1187" s="16" t="n"/>
      <c r="S1187" s="17" t="n"/>
      <c r="T1187" s="120" t="n"/>
      <c r="U1187" s="120" t="n"/>
      <c r="V1187" s="120" t="n"/>
      <c r="W1187" s="120" t="n"/>
      <c r="X1187" s="120" t="n"/>
      <c r="Y1187" s="120" t="n"/>
      <c r="Z1187" s="120" t="n"/>
      <c r="AB1187" s="55" t="inlineStr">
        <is>
          <t>TÉCNICA MÁXIMA</t>
        </is>
      </c>
      <c r="AC1187" s="16" t="n"/>
      <c r="AD1187" s="16" t="n"/>
      <c r="AE1187" s="16" t="n"/>
      <c r="AF1187" s="17" t="n"/>
      <c r="AG1187" s="120" t="n"/>
      <c r="AH1187" s="55" t="inlineStr">
        <is>
          <t>EXPANSÃO DE DOMÍNIO</t>
        </is>
      </c>
      <c r="AI1187" s="16" t="n"/>
      <c r="AJ1187" s="16" t="n"/>
      <c r="AK1187" s="16" t="n"/>
      <c r="AL1187" s="17" t="n"/>
      <c r="AM1187" s="120" t="n"/>
      <c r="AN1187" s="120" t="n"/>
      <c r="AO1187" s="120" t="n"/>
      <c r="AP1187" s="120" t="n"/>
      <c r="AQ1187" s="120" t="n"/>
      <c r="AR1187" s="120" t="n"/>
      <c r="AS1187" s="120" t="n"/>
    </row>
    <row r="1188" hidden="1" outlineLevel="2">
      <c r="A1188" s="8" t="n"/>
      <c r="B1188" s="14" t="n"/>
      <c r="C1188" s="120" t="n"/>
      <c r="D1188" s="120" t="n"/>
      <c r="E1188" s="120" t="n"/>
      <c r="F1188" s="120" t="n"/>
      <c r="G1188" s="120" t="n"/>
      <c r="I1188" s="115" t="n"/>
      <c r="J1188" s="16" t="n"/>
      <c r="K1188" s="16" t="n"/>
      <c r="L1188" s="17" t="n"/>
      <c r="M1188" s="128">
        <f>DADOS_INVOC!$IU$7</f>
        <v/>
      </c>
      <c r="N1188" s="120" t="n"/>
      <c r="O1188" s="115" t="n"/>
      <c r="P1188" s="16" t="n"/>
      <c r="Q1188" s="16" t="n"/>
      <c r="R1188" s="17" t="n"/>
      <c r="S1188" s="128">
        <f>DADOS_INVOC!$IW$7</f>
        <v/>
      </c>
      <c r="T1188" s="120" t="n"/>
      <c r="U1188" s="120" t="n"/>
      <c r="V1188" s="120" t="n"/>
      <c r="W1188" s="120" t="n"/>
      <c r="X1188" s="120" t="n"/>
      <c r="Y1188" s="120" t="n"/>
      <c r="Z1188" s="120" t="n"/>
      <c r="AB1188" s="115" t="n"/>
      <c r="AC1188" s="16" t="n"/>
      <c r="AD1188" s="16" t="n"/>
      <c r="AE1188" s="17" t="n"/>
      <c r="AF1188" s="128">
        <f>DADOS_INVOC!$IU$13</f>
        <v/>
      </c>
      <c r="AG1188" s="120" t="n"/>
      <c r="AH1188" s="115" t="n"/>
      <c r="AI1188" s="16" t="n"/>
      <c r="AJ1188" s="16" t="n"/>
      <c r="AK1188" s="17" t="n"/>
      <c r="AL1188" s="128">
        <f>DADOS_INVOC!$IW$13</f>
        <v/>
      </c>
      <c r="AM1188" s="120" t="n"/>
      <c r="AN1188" s="120" t="n"/>
      <c r="AO1188" s="120" t="n"/>
      <c r="AP1188" s="120" t="n"/>
      <c r="AQ1188" s="120" t="n"/>
      <c r="AR1188" s="120" t="n"/>
      <c r="AS1188" s="120" t="n"/>
    </row>
    <row r="1189" hidden="1" outlineLevel="2">
      <c r="A1189" s="8" t="n"/>
      <c r="B1189" s="14" t="n"/>
      <c r="C1189" s="120" t="n"/>
      <c r="D1189" s="120" t="n"/>
      <c r="E1189" s="120" t="n"/>
      <c r="F1189" s="120" t="n"/>
      <c r="G1189" s="120" t="n"/>
      <c r="I1189" s="116" t="n"/>
      <c r="J1189" s="19" t="n"/>
      <c r="K1189" s="19" t="n"/>
      <c r="L1189" s="19" t="n"/>
      <c r="M1189" s="20" t="n"/>
      <c r="N1189" s="120" t="n"/>
      <c r="O1189" s="116" t="n"/>
      <c r="P1189" s="19" t="n"/>
      <c r="Q1189" s="19" t="n"/>
      <c r="R1189" s="19" t="n"/>
      <c r="S1189" s="20" t="n"/>
      <c r="T1189" s="120" t="n"/>
      <c r="U1189" s="120" t="n"/>
      <c r="V1189" s="120" t="n"/>
      <c r="W1189" s="120" t="n"/>
      <c r="X1189" s="120" t="n"/>
      <c r="Y1189" s="120" t="n"/>
      <c r="Z1189" s="120" t="n"/>
      <c r="AB1189" s="116" t="n"/>
      <c r="AC1189" s="19" t="n"/>
      <c r="AD1189" s="19" t="n"/>
      <c r="AE1189" s="19" t="n"/>
      <c r="AF1189" s="20" t="n"/>
      <c r="AG1189" s="120" t="n"/>
      <c r="AH1189" s="116" t="n"/>
      <c r="AI1189" s="19" t="n"/>
      <c r="AJ1189" s="19" t="n"/>
      <c r="AK1189" s="19" t="n"/>
      <c r="AL1189" s="20" t="n"/>
      <c r="AM1189" s="120" t="n"/>
      <c r="AN1189" s="120" t="n"/>
      <c r="AO1189" s="120" t="n"/>
      <c r="AP1189" s="120" t="n"/>
      <c r="AQ1189" s="120" t="n"/>
      <c r="AR1189" s="120" t="n"/>
      <c r="AS1189" s="120" t="n"/>
    </row>
    <row r="1190" hidden="1" outlineLevel="2">
      <c r="A1190" s="8" t="n"/>
      <c r="B1190" s="14" t="n"/>
      <c r="C1190" s="120" t="n"/>
      <c r="D1190" s="120" t="n"/>
      <c r="E1190" s="120" t="n"/>
      <c r="F1190" s="120" t="n"/>
      <c r="G1190" s="120" t="n"/>
      <c r="I1190" s="21" t="n"/>
      <c r="M1190" s="22" t="n"/>
      <c r="N1190" s="120" t="n"/>
      <c r="O1190" s="21" t="n"/>
      <c r="S1190" s="22" t="n"/>
      <c r="T1190" s="120" t="n"/>
      <c r="U1190" s="120" t="n"/>
      <c r="V1190" s="120" t="n"/>
      <c r="W1190" s="120" t="n"/>
      <c r="X1190" s="120" t="n"/>
      <c r="Y1190" s="120" t="n"/>
      <c r="Z1190" s="120" t="n"/>
      <c r="AB1190" s="21" t="n"/>
      <c r="AF1190" s="22" t="n"/>
      <c r="AG1190" s="120" t="n"/>
      <c r="AH1190" s="21" t="n"/>
      <c r="AL1190" s="22" t="n"/>
      <c r="AM1190" s="120" t="n"/>
      <c r="AN1190" s="120" t="n"/>
      <c r="AO1190" s="120" t="n"/>
      <c r="AP1190" s="120" t="n"/>
      <c r="AQ1190" s="120" t="n"/>
      <c r="AR1190" s="120" t="n"/>
      <c r="AS1190" s="120" t="n"/>
    </row>
    <row r="1191" hidden="1" outlineLevel="2">
      <c r="A1191" s="8" t="n"/>
      <c r="B1191" s="14" t="n"/>
      <c r="C1191" s="120" t="n"/>
      <c r="D1191" s="120" t="n"/>
      <c r="E1191" s="120" t="n"/>
      <c r="F1191" s="120" t="n"/>
      <c r="G1191" s="120" t="n"/>
      <c r="I1191" s="21" t="n"/>
      <c r="M1191" s="22" t="n"/>
      <c r="N1191" s="120" t="n"/>
      <c r="O1191" s="21" t="n"/>
      <c r="S1191" s="22" t="n"/>
      <c r="T1191" s="120" t="n"/>
      <c r="U1191" s="120" t="n"/>
      <c r="V1191" s="120" t="n"/>
      <c r="W1191" s="120" t="n"/>
      <c r="X1191" s="120" t="n"/>
      <c r="Y1191" s="120" t="n"/>
      <c r="Z1191" s="120" t="n"/>
      <c r="AB1191" s="21" t="n"/>
      <c r="AF1191" s="22" t="n"/>
      <c r="AG1191" s="120" t="n"/>
      <c r="AH1191" s="21" t="n"/>
      <c r="AL1191" s="22" t="n"/>
      <c r="AM1191" s="120" t="n"/>
      <c r="AN1191" s="120" t="n"/>
      <c r="AO1191" s="120" t="n"/>
      <c r="AP1191" s="120" t="n"/>
      <c r="AQ1191" s="120" t="n"/>
      <c r="AR1191" s="120" t="n"/>
      <c r="AS1191" s="120" t="n"/>
    </row>
    <row r="1192" hidden="1" outlineLevel="2">
      <c r="A1192" s="8" t="n"/>
      <c r="B1192" s="14" t="n"/>
      <c r="C1192" s="120" t="n"/>
      <c r="D1192" s="120" t="n"/>
      <c r="E1192" s="120" t="n"/>
      <c r="F1192" s="120" t="n"/>
      <c r="G1192" s="120" t="n"/>
      <c r="I1192" s="23" t="n"/>
      <c r="J1192" s="24" t="n"/>
      <c r="K1192" s="24" t="n"/>
      <c r="L1192" s="24" t="n"/>
      <c r="M1192" s="25" t="n"/>
      <c r="N1192" s="120" t="n"/>
      <c r="O1192" s="23" t="n"/>
      <c r="P1192" s="24" t="n"/>
      <c r="Q1192" s="24" t="n"/>
      <c r="R1192" s="24" t="n"/>
      <c r="S1192" s="25" t="n"/>
      <c r="T1192" s="120" t="n"/>
      <c r="U1192" s="120" t="n"/>
      <c r="V1192" s="120" t="n"/>
      <c r="W1192" s="120" t="n"/>
      <c r="X1192" s="120" t="n"/>
      <c r="Y1192" s="120" t="n"/>
      <c r="Z1192" s="120" t="n"/>
      <c r="AB1192" s="23" t="n"/>
      <c r="AC1192" s="24" t="n"/>
      <c r="AD1192" s="24" t="n"/>
      <c r="AE1192" s="24" t="n"/>
      <c r="AF1192" s="25" t="n"/>
      <c r="AG1192" s="120" t="n"/>
      <c r="AH1192" s="23" t="n"/>
      <c r="AI1192" s="24" t="n"/>
      <c r="AJ1192" s="24" t="n"/>
      <c r="AK1192" s="24" t="n"/>
      <c r="AL1192" s="25" t="n"/>
      <c r="AM1192" s="120" t="n"/>
      <c r="AN1192" s="120" t="n"/>
      <c r="AO1192" s="120" t="n"/>
      <c r="AP1192" s="120" t="n"/>
      <c r="AQ1192" s="120" t="n"/>
      <c r="AR1192" s="120" t="n"/>
      <c r="AS1192" s="120" t="n"/>
    </row>
    <row r="1193" hidden="1" outlineLevel="2">
      <c r="A1193" s="8" t="n"/>
      <c r="B1193" s="14" t="n"/>
      <c r="C1193" s="120" t="n"/>
      <c r="D1193" s="120" t="n"/>
      <c r="E1193" s="120" t="n"/>
      <c r="F1193" s="120" t="n"/>
      <c r="G1193" s="120" t="n"/>
      <c r="I1193" s="68">
        <f>DADOS_INVOC!$IV$7</f>
        <v/>
      </c>
      <c r="J1193" s="16" t="n"/>
      <c r="K1193" s="16" t="n"/>
      <c r="L1193" s="16" t="n"/>
      <c r="M1193" s="17" t="n"/>
      <c r="N1193" s="120" t="n"/>
      <c r="O1193" s="124" t="n"/>
      <c r="P1193" s="17" t="n"/>
      <c r="Q1193" s="68">
        <f>DADOS_INVOC!$IX$7</f>
        <v/>
      </c>
      <c r="R1193" s="16" t="n"/>
      <c r="S1193" s="17" t="n"/>
      <c r="T1193" s="120" t="n"/>
      <c r="U1193" s="120" t="n"/>
      <c r="V1193" s="120" t="n"/>
      <c r="W1193" s="120" t="n"/>
      <c r="X1193" s="120" t="n"/>
      <c r="Y1193" s="120" t="n"/>
      <c r="Z1193" s="120" t="n"/>
      <c r="AB1193" s="68">
        <f>DADOS_INVOC!$IV$13</f>
        <v/>
      </c>
      <c r="AC1193" s="16" t="n"/>
      <c r="AD1193" s="16" t="n"/>
      <c r="AE1193" s="16" t="n"/>
      <c r="AF1193" s="17" t="n"/>
      <c r="AG1193" s="120" t="n"/>
      <c r="AH1193" s="124" t="n"/>
      <c r="AI1193" s="17" t="n"/>
      <c r="AJ1193" s="68">
        <f>DADOS_INVOC!$IX$13</f>
        <v/>
      </c>
      <c r="AK1193" s="16" t="n"/>
      <c r="AL1193" s="17" t="n"/>
      <c r="AM1193" s="120" t="n"/>
      <c r="AN1193" s="120" t="n"/>
      <c r="AO1193" s="120" t="n"/>
      <c r="AP1193" s="120" t="n"/>
      <c r="AQ1193" s="120" t="n"/>
      <c r="AR1193" s="120" t="n"/>
      <c r="AS1193" s="120" t="n"/>
    </row>
    <row r="1194" hidden="1" outlineLevel="2">
      <c r="A1194" s="8" t="n"/>
      <c r="B1194" s="14" t="n"/>
      <c r="C1194" s="120" t="n"/>
      <c r="D1194" s="120" t="n"/>
      <c r="E1194" s="120" t="n"/>
      <c r="F1194" s="120" t="n"/>
      <c r="G1194" s="120" t="n"/>
      <c r="I1194" s="124" t="inlineStr">
        <is>
          <t>Sua Ação Completa + a básica dela</t>
        </is>
      </c>
      <c r="J1194" s="16" t="n"/>
      <c r="K1194" s="16" t="n"/>
      <c r="L1194" s="16" t="n"/>
      <c r="M1194" s="17" t="n"/>
      <c r="N1194" s="120" t="n"/>
      <c r="O1194" s="129">
        <f>DADOS_INVOC!$IY$7</f>
        <v/>
      </c>
      <c r="P1194" s="16" t="n"/>
      <c r="Q1194" s="16" t="n"/>
      <c r="R1194" s="16" t="n"/>
      <c r="S1194" s="17" t="n"/>
      <c r="T1194" s="120" t="n"/>
      <c r="U1194" s="120" t="n"/>
      <c r="V1194" s="120" t="n"/>
      <c r="W1194" s="120" t="n"/>
      <c r="X1194" s="120" t="n"/>
      <c r="Y1194" s="120" t="n"/>
      <c r="Z1194" s="120" t="n"/>
      <c r="AB1194" s="124" t="inlineStr">
        <is>
          <t>Sua Ação Completa + a básica dela</t>
        </is>
      </c>
      <c r="AC1194" s="16" t="n"/>
      <c r="AD1194" s="16" t="n"/>
      <c r="AE1194" s="16" t="n"/>
      <c r="AF1194" s="17" t="n"/>
      <c r="AG1194" s="120" t="n"/>
      <c r="AH1194" s="129">
        <f>DADOS_INVOC!$IY$13</f>
        <v/>
      </c>
      <c r="AI1194" s="16" t="n"/>
      <c r="AJ1194" s="16" t="n"/>
      <c r="AK1194" s="16" t="n"/>
      <c r="AL1194" s="17" t="n"/>
      <c r="AM1194" s="120" t="n"/>
      <c r="AN1194" s="120" t="n"/>
      <c r="AO1194" s="120" t="n"/>
      <c r="AP1194" s="120" t="n"/>
      <c r="AQ1194" s="120" t="n"/>
      <c r="AR1194" s="120" t="n"/>
      <c r="AS1194" s="120" t="n"/>
    </row>
    <row r="1195">
      <c r="A1195" s="8" t="n"/>
      <c r="B1195" s="14" t="n"/>
      <c r="C1195" s="120" t="n"/>
      <c r="D1195" s="120" t="n"/>
      <c r="E1195" s="120" t="n"/>
      <c r="F1195" s="120" t="n"/>
      <c r="G1195" s="120" t="n"/>
      <c r="H1195" s="120" t="n"/>
      <c r="I1195" s="120" t="n"/>
      <c r="J1195" s="120" t="n"/>
      <c r="K1195" s="120" t="n"/>
      <c r="L1195" s="120" t="n"/>
      <c r="M1195" s="120" t="n"/>
      <c r="N1195" s="120" t="n"/>
      <c r="O1195" s="120" t="n"/>
      <c r="P1195" s="120" t="n"/>
      <c r="Q1195" s="120" t="n"/>
      <c r="R1195" s="120" t="n"/>
      <c r="S1195" s="120" t="n"/>
      <c r="T1195" s="120" t="n"/>
      <c r="U1195" s="120" t="n"/>
      <c r="V1195" s="120" t="n"/>
      <c r="W1195" s="120" t="n"/>
      <c r="X1195" s="120" t="n"/>
      <c r="Y1195" s="120" t="n"/>
      <c r="Z1195" s="120" t="n"/>
      <c r="AA1195" s="120" t="n"/>
      <c r="AB1195" s="120" t="n"/>
      <c r="AC1195" s="120" t="n"/>
      <c r="AD1195" s="120" t="n"/>
      <c r="AE1195" s="120" t="n"/>
      <c r="AF1195" s="120" t="n"/>
      <c r="AG1195" s="120" t="n"/>
      <c r="AH1195" s="120" t="n"/>
      <c r="AI1195" s="120" t="n"/>
      <c r="AJ1195" s="120" t="n"/>
      <c r="AK1195" s="120" t="n"/>
      <c r="AL1195" s="120" t="n"/>
      <c r="AM1195" s="120" t="n"/>
      <c r="AN1195" s="120" t="n"/>
      <c r="AO1195" s="120" t="n"/>
      <c r="AP1195" s="120" t="n"/>
      <c r="AQ1195" s="120" t="n"/>
      <c r="AR1195" s="120" t="n"/>
      <c r="AS1195" s="120" t="n"/>
    </row>
    <row r="1196">
      <c r="A1196" s="8" t="n"/>
      <c r="B1196" s="14" t="n"/>
      <c r="C1196" s="120" t="n"/>
      <c r="D1196" s="120" t="n"/>
      <c r="E1196" s="120" t="n"/>
      <c r="F1196" s="120" t="n"/>
      <c r="G1196" s="120" t="n"/>
      <c r="H1196" s="120" t="n"/>
      <c r="I1196" s="120" t="n"/>
      <c r="J1196" s="120" t="n"/>
      <c r="K1196" s="120" t="n"/>
      <c r="L1196" s="120" t="n"/>
      <c r="M1196" s="120" t="n"/>
      <c r="N1196" s="120" t="n"/>
      <c r="O1196" s="120" t="n"/>
      <c r="P1196" s="120" t="n"/>
      <c r="Q1196" s="120" t="n"/>
      <c r="R1196" s="120" t="n"/>
      <c r="S1196" s="120" t="n"/>
      <c r="T1196" s="120" t="n"/>
      <c r="U1196" s="120" t="n"/>
      <c r="V1196" s="120" t="n"/>
      <c r="W1196" s="120" t="n"/>
      <c r="X1196" s="120" t="n"/>
      <c r="Y1196" s="120" t="n"/>
      <c r="Z1196" s="120" t="n"/>
      <c r="AA1196" s="120" t="n"/>
      <c r="AB1196" s="120" t="n"/>
      <c r="AC1196" s="120" t="n"/>
      <c r="AD1196" s="120" t="n"/>
      <c r="AE1196" s="120" t="n"/>
      <c r="AF1196" s="120" t="n"/>
      <c r="AG1196" s="120" t="n"/>
      <c r="AH1196" s="120" t="n"/>
      <c r="AI1196" s="120" t="n"/>
      <c r="AJ1196" s="120" t="n"/>
      <c r="AK1196" s="120" t="n"/>
      <c r="AL1196" s="120" t="n"/>
      <c r="AM1196" s="120" t="n"/>
      <c r="AN1196" s="120" t="n"/>
      <c r="AO1196" s="120" t="n"/>
      <c r="AP1196" s="120" t="n"/>
      <c r="AQ1196" s="120" t="n"/>
      <c r="AR1196" s="120" t="n"/>
      <c r="AS1196" s="120" t="n"/>
    </row>
  </sheetData>
  <mergeCells count="5284">
    <mergeCell ref="J470:M471"/>
    <mergeCell ref="V963:X963"/>
    <mergeCell ref="I990:L990"/>
    <mergeCell ref="P618:P619"/>
    <mergeCell ref="V664:X664"/>
    <mergeCell ref="J482:L482"/>
    <mergeCell ref="J770:M771"/>
    <mergeCell ref="O227:O228"/>
    <mergeCell ref="AO321:AQ321"/>
    <mergeCell ref="O99:P99"/>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I967:AL967"/>
    <mergeCell ref="J543:L543"/>
    <mergeCell ref="AN105:AN106"/>
    <mergeCell ref="AC467:AE467"/>
    <mergeCell ref="J754:L754"/>
    <mergeCell ref="U392:Y392"/>
    <mergeCell ref="AO860:AQ860"/>
    <mergeCell ref="AH453:AL453"/>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U17:Y17"/>
    <mergeCell ref="AN1180:AR1183"/>
    <mergeCell ref="O321:O324"/>
    <mergeCell ref="AI572:AL573"/>
    <mergeCell ref="V708:X708"/>
    <mergeCell ref="I181:Y181"/>
    <mergeCell ref="AF681:AR681"/>
    <mergeCell ref="AB296:AC296"/>
    <mergeCell ref="AJ562:AL562"/>
    <mergeCell ref="AJ99:AL99"/>
    <mergeCell ref="O907:S907"/>
    <mergeCell ref="AO322:AQ322"/>
    <mergeCell ref="V698:X698"/>
    <mergeCell ref="AI498:AK498"/>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420:Y420"/>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N421:AR426"/>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611:AR611"/>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J87:L87"/>
    <mergeCell ref="U704:Y705"/>
    <mergeCell ref="J850:L850"/>
    <mergeCell ref="O198:R198"/>
    <mergeCell ref="I306:I307"/>
    <mergeCell ref="AH1106:AL1108"/>
    <mergeCell ref="AI369:AK369"/>
    <mergeCell ref="V965:X965"/>
    <mergeCell ref="AI700:AK700"/>
    <mergeCell ref="AN495:AO495"/>
    <mergeCell ref="AN1008:AR1012"/>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U18:Y22"/>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J516:AL516"/>
    <mergeCell ref="AC680:AE680"/>
    <mergeCell ref="J272:M273"/>
    <mergeCell ref="O1006:S1006"/>
    <mergeCell ref="R834:S834"/>
    <mergeCell ref="AC1138:AE1138"/>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U716:Y716"/>
    <mergeCell ref="W166:Y166"/>
    <mergeCell ref="AH320:AL320"/>
    <mergeCell ref="U885:Y885"/>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N1014:AR1014"/>
    <mergeCell ref="AH59:AL59"/>
    <mergeCell ref="AC741:AE741"/>
    <mergeCell ref="AH637:AJ637"/>
    <mergeCell ref="U1111:V1111"/>
    <mergeCell ref="AB461:AC461"/>
    <mergeCell ref="U162:Y164"/>
    <mergeCell ref="J1117:L1117"/>
    <mergeCell ref="AN1098:AN1099"/>
    <mergeCell ref="O1034:Q1034"/>
    <mergeCell ref="AH359:AL359"/>
    <mergeCell ref="I119:J119"/>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U619:Y624"/>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O4:Y4"/>
    <mergeCell ref="AN242:AR242"/>
    <mergeCell ref="I336:M338"/>
    <mergeCell ref="AN612:AR616"/>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AD1089:AF1089"/>
    <mergeCell ref="AO470:AR471"/>
    <mergeCell ref="AH1014:AH1015"/>
    <mergeCell ref="I518:M518"/>
    <mergeCell ref="AB905:AF905"/>
    <mergeCell ref="AB600:AF600"/>
    <mergeCell ref="V73:Y73"/>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O1048:AQ1048"/>
    <mergeCell ref="J454:L454"/>
    <mergeCell ref="AO585:AQ585"/>
    <mergeCell ref="AH710:AL712"/>
    <mergeCell ref="V961:X961"/>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H1090:AL1090"/>
    <mergeCell ref="O914:S914"/>
    <mergeCell ref="AC698:AE698"/>
    <mergeCell ref="O695:O698"/>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U409:U410"/>
    <mergeCell ref="P964:R964"/>
    <mergeCell ref="I100:M100"/>
    <mergeCell ref="AI321:AK321"/>
    <mergeCell ref="I347:I348"/>
    <mergeCell ref="AH687:AL687"/>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N816:AR816"/>
    <mergeCell ref="AJ98:AL98"/>
    <mergeCell ref="AH638:AJ638"/>
    <mergeCell ref="O401:P401"/>
    <mergeCell ref="L244:M244"/>
    <mergeCell ref="P501:R501"/>
    <mergeCell ref="J906:L906"/>
    <mergeCell ref="AN900:AN901"/>
    <mergeCell ref="AH791:AL791"/>
    <mergeCell ref="R1019:R1020"/>
    <mergeCell ref="AC862:AE86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U413:Y413"/>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C921:AF921"/>
    <mergeCell ref="AN1166:AN1167"/>
    <mergeCell ref="AN1031:AQ1031"/>
    <mergeCell ref="I317:J317"/>
    <mergeCell ref="AK840:AK841"/>
    <mergeCell ref="AC1071:AE1071"/>
    <mergeCell ref="AK238:AL238"/>
    <mergeCell ref="AB448:AR449"/>
    <mergeCell ref="AO1159:AQ1159"/>
    <mergeCell ref="AJ657:AK657"/>
    <mergeCell ref="W409:W410"/>
    <mergeCell ref="AP516:AR516"/>
    <mergeCell ref="W911:X911"/>
    <mergeCell ref="AH610:AL610"/>
    <mergeCell ref="I919:I920"/>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N216:AR220"/>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V920:X920"/>
    <mergeCell ref="AB724:AB725"/>
    <mergeCell ref="AC874:AE874"/>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AJ1038:AJ1039"/>
    <mergeCell ref="J1173:L1173"/>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U817:Y822"/>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U1014:Y1014"/>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U611:Y611"/>
    <mergeCell ref="V850:X850"/>
    <mergeCell ref="AO894:AQ894"/>
    <mergeCell ref="I1069:Y1069"/>
    <mergeCell ref="AC70:AE70"/>
    <mergeCell ref="AJ222:AJ223"/>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U414:Y418"/>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U809:Y809"/>
    <mergeCell ref="AN1090:AR1090"/>
    <mergeCell ref="AN1088:AO1088"/>
    <mergeCell ref="AH591:AL591"/>
    <mergeCell ref="AH440:AJ440"/>
    <mergeCell ref="O203:P203"/>
    <mergeCell ref="I801:I802"/>
    <mergeCell ref="AO1057:AQ1057"/>
    <mergeCell ref="AD1053:AE1053"/>
    <mergeCell ref="AC937:AE937"/>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U215:Y2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AN18:AR22"/>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U25:Y30"/>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O1103:S1103"/>
    <mergeCell ref="AB996:AF996"/>
    <mergeCell ref="I844:Y845"/>
    <mergeCell ref="AL805:AL806"/>
    <mergeCell ref="AO211:AO212"/>
    <mergeCell ref="O890:P890"/>
    <mergeCell ref="AC170:AE170"/>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U1015:Y1020"/>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U618:Y618"/>
    <mergeCell ref="AN659:AO659"/>
    <mergeCell ref="AI919:AK919"/>
    <mergeCell ref="AH900:AH901"/>
    <mergeCell ref="O1029:Q1029"/>
    <mergeCell ref="O1056:S1056"/>
    <mergeCell ref="AH797:AI797"/>
    <mergeCell ref="AN959:AO959"/>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N619:AR624"/>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N809:AR80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AN222:AR222"/>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U223:Y228"/>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U810:Y814"/>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I210:M210"/>
    <mergeCell ref="AN501:AN502"/>
    <mergeCell ref="AL1014:AL1015"/>
    <mergeCell ref="AL1008:AL1009"/>
    <mergeCell ref="AH392:AL392"/>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N413:AR413"/>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N810:AR814"/>
    <mergeCell ref="AH709:AL709"/>
    <mergeCell ref="H1001:H1194"/>
    <mergeCell ref="AH1098:AH1099"/>
    <mergeCell ref="U565:U568"/>
    <mergeCell ref="I455:M455"/>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U289:Y289"/>
    <mergeCell ref="V71:X71"/>
    <mergeCell ref="I1133:J1133"/>
    <mergeCell ref="AI290:AK290"/>
    <mergeCell ref="AF284:AR284"/>
    <mergeCell ref="AH908:AL910"/>
    <mergeCell ref="O122:S122"/>
    <mergeCell ref="O211:O212"/>
    <mergeCell ref="V523:X523"/>
    <mergeCell ref="P661:R661"/>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AN817:AR822"/>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AN420:AR420"/>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N223:AR228"/>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U1007:Y1007"/>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U24:Y24"/>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N17:AR1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U421:Y426"/>
    <mergeCell ref="J82:L82"/>
    <mergeCell ref="R628:S629"/>
    <mergeCell ref="AO862:AQ862"/>
    <mergeCell ref="AB775:AR775"/>
    <mergeCell ref="D9:F10"/>
    <mergeCell ref="O395:S395"/>
    <mergeCell ref="U694:Y694"/>
    <mergeCell ref="AO1162:AQ1162"/>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N414:AR418"/>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J479:L479"/>
    <mergeCell ref="V567:X567"/>
    <mergeCell ref="AB1147:AR1147"/>
    <mergeCell ref="O1155:P1155"/>
    <mergeCell ref="AO312:AQ312"/>
    <mergeCell ref="AD958:AF958"/>
    <mergeCell ref="AI717:AK717"/>
    <mergeCell ref="AC136:AE136"/>
    <mergeCell ref="P69:R69"/>
    <mergeCell ref="AN828:AQ828"/>
    <mergeCell ref="AO1095:AQ1095"/>
    <mergeCell ref="AH198:AK198"/>
    <mergeCell ref="AB138:AF140"/>
    <mergeCell ref="AB759:AC759"/>
    <mergeCell ref="AC374:AF375"/>
    <mergeCell ref="AI414:AI415"/>
    <mergeCell ref="U1008:Y1012"/>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N25:AR30"/>
    <mergeCell ref="AE641:AF642"/>
    <mergeCell ref="U222:Y22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AN215:AR215"/>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AN618:AR618"/>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AN24:AR24"/>
    <mergeCell ref="I695:I698"/>
    <mergeCell ref="AI70:AK70"/>
    <mergeCell ref="I13:M14"/>
    <mergeCell ref="AO571:AR571"/>
    <mergeCell ref="P425:P426"/>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1015:AR1020"/>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U612:Y616"/>
    <mergeCell ref="P1003:P1004"/>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C723:AF723"/>
    <mergeCell ref="AH970:AL971"/>
    <mergeCell ref="AC9:AR10"/>
    <mergeCell ref="O1019:O1020"/>
    <mergeCell ref="AH33:AJ33"/>
    <mergeCell ref="AF675:AR675"/>
    <mergeCell ref="AH518:AL518"/>
    <mergeCell ref="I120:J120"/>
    <mergeCell ref="I905:M905"/>
    <mergeCell ref="AN1049:AR1049"/>
    <mergeCell ref="AC501:AE501"/>
    <mergeCell ref="AI663:AK663"/>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N320:AR320"/>
    <mergeCell ref="U91:Y91"/>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AC701:AF701"/>
    <mergeCell ref="U1081:Y108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U816:Y816"/>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33:B51"/>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J97:AK97"/>
    <mergeCell ref="AC743:AE743"/>
    <mergeCell ref="AC569:AE569"/>
    <mergeCell ref="AH364:AI364"/>
    <mergeCell ref="AP1003:AP1004"/>
    <mergeCell ref="AP262:AR262"/>
    <mergeCell ref="AH634:AJ634"/>
    <mergeCell ref="AH240:AJ240"/>
    <mergeCell ref="U859:U862"/>
    <mergeCell ref="M284:Y284"/>
    <mergeCell ref="AH995:AI995"/>
    <mergeCell ref="I113:M113"/>
    <mergeCell ref="I141:J141"/>
    <mergeCell ref="F17:F18"/>
    <mergeCell ref="Q618:Q619"/>
    <mergeCell ref="J1140:L1140"/>
    <mergeCell ref="AB130:AB131"/>
    <mergeCell ref="AN1007:AR1007"/>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U216:Y220"/>
    <mergeCell ref="V522:X522"/>
    <mergeCell ref="P607:P608"/>
    <mergeCell ref="O1110:P1110"/>
    <mergeCell ref="AO173:AQ173"/>
    <mergeCell ref="AO1003:AO1004"/>
    <mergeCell ref="P324:R324"/>
    <mergeCell ref="AO719:AQ719"/>
    <mergeCell ref="S29:S30"/>
    <mergeCell ref="V663:X663"/>
    <mergeCell ref="AK13:AK14"/>
  </mergeCells>
  <dataValidations count="68">
    <dataValidation sqref="D17" showDropDown="0" showInputMessage="0" showErrorMessage="0" allowBlank="1" type="list">
      <formula1>DADOS_INVOC!$CU$2:$CU$3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DADOS_INVOC!$CD$2:$CD$3</formula1>
    </dataValidation>
    <dataValidation sqref="O20:S20 O218:S218 O416:S416 O614:S614 O812:S812 O1010:S1010 AH20:AL20 AH218:AL218 AH416:AL416 AH614:AL614 AH812:AL812 AH1010:AL1010" showDropDown="0" showInputMessage="0" showErrorMessage="0" allowBlank="1" type="list">
      <formula1>DADOS_INVOC!$CJ$2:$CJ$8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DADOS_INVOC!$CA$2:$CA$24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I63 I97" showDropDown="0" showInputMessage="0" showErrorMessage="0" allowBlank="1" type="list">
      <formula1>DADOS_INVOC!$JK$2:$JK$11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DADOS_INVOC!$CF$2:$CF$16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DADOS_INVOC!$CH$2:$CH$6</formula1>
    </dataValidation>
    <dataValidation sqref="J67:J70 J101:J104" showDropDown="0" showInputMessage="0" showErrorMessage="0" allowBlank="1" type="list">
      <formula1>DADOS_INVOC!$JH$2:$JH$84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DADOS_INVOC!$JJ$2:$JJ$11</formula1>
    </dataValidation>
    <dataValidation sqref="J123:J126 J145:J148 J169:J172 P67:P70 P101:P104 P123:P126 P169:P172 V67:V70 V101:V104 V123:V126 V169:V172" showDropDown="0" showInputMessage="0" showErrorMessage="0" allowBlank="1" type="list">
      <formula1>DADOS_INVOC!$JG$2:$JG$84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DADOS_INVOC!$CQ$2:$CQ$4</formula1>
    </dataValidation>
    <dataValidation sqref="I261 I295" showDropDown="0" showInputMessage="0" showErrorMessage="0" allowBlank="1" type="list">
      <formula1>DADOS_INVOC!$JQ$2:$JQ$11</formula1>
    </dataValidation>
    <dataValidation sqref="J265:J268 J299:J302" showDropDown="0" showInputMessage="0" showErrorMessage="0" allowBlank="1" type="list">
      <formula1>DADOS_INVOC!$JN$2:$JN$84</formula1>
    </dataValidation>
    <dataValidation sqref="I317 I339 I363 O261 O295 O317 O363 U261 U295 U317 U363" showDropDown="0" showInputMessage="0" showErrorMessage="0" allowBlank="1" type="list">
      <formula1>DADOS_INVOC!$JP$2:$JP$11</formula1>
    </dataValidation>
    <dataValidation sqref="J321:J324 J343:J346 J367:J370 P265:P268 P299:P302 P321:P324 P367:P370 V265:V268 V299:V302 V321:V324 V367:V370" showDropDown="0" showInputMessage="0" showErrorMessage="0" allowBlank="1" type="list">
      <formula1>DADOS_INVOC!$JM$2:$JM$84</formula1>
    </dataValidation>
    <dataValidation sqref="I459 I493" showDropDown="0" showInputMessage="0" showErrorMessage="0" allowBlank="1" type="list">
      <formula1>DADOS_INVOC!$JW$2:$JW$11</formula1>
    </dataValidation>
    <dataValidation sqref="J463:J466 J497:J500" showDropDown="0" showInputMessage="0" showErrorMessage="0" allowBlank="1" type="list">
      <formula1>DADOS_INVOC!$JT$2:$JT$84</formula1>
    </dataValidation>
    <dataValidation sqref="I515 I537 I561 O459 O493 O515 O561 U459 U493 U515 U561" showDropDown="0" showInputMessage="0" showErrorMessage="0" allowBlank="1" type="list">
      <formula1>DADOS_INVOC!$JV$2:$JV$11</formula1>
    </dataValidation>
    <dataValidation sqref="J519:J522 J541:J544 J565:J568 P463:P466 P497:P500 P519:P522 P565:P568 V463:V466 V497:V500 V519:V522 V565:V568" showDropDown="0" showInputMessage="0" showErrorMessage="0" allowBlank="1" type="list">
      <formula1>DADOS_INVOC!$JS$2:$JS$84</formula1>
    </dataValidation>
    <dataValidation sqref="I657 I691" showDropDown="0" showInputMessage="0" showErrorMessage="0" allowBlank="1" type="list">
      <formula1>DADOS_INVOC!$KC$2:$KC$11</formula1>
    </dataValidation>
    <dataValidation sqref="J661:J664 J695:J698" showDropDown="0" showInputMessage="0" showErrorMessage="0" allowBlank="1" type="list">
      <formula1>DADOS_INVOC!$JZ$2:$JZ$84</formula1>
    </dataValidation>
    <dataValidation sqref="I713 I735 I759 O657 O691 O713 O759 U657 U691 U713 U759" showDropDown="0" showInputMessage="0" showErrorMessage="0" allowBlank="1" type="list">
      <formula1>DADOS_INVOC!$KB$2:$KB$11</formula1>
    </dataValidation>
    <dataValidation sqref="J717:J720 J739:J742 J763:J766 P661:P664 P695:P698 P717:P720 P763:P766 V661:V664 V695:V698 V717:V720 V763:V766" showDropDown="0" showInputMessage="0" showErrorMessage="0" allowBlank="1" type="list">
      <formula1>DADOS_INVOC!$JY$2:$JY$84</formula1>
    </dataValidation>
    <dataValidation sqref="I855 I889" showDropDown="0" showInputMessage="0" showErrorMessage="0" allowBlank="1" type="list">
      <formula1>DADOS_INVOC!$KI$2:$KI$11</formula1>
    </dataValidation>
    <dataValidation sqref="J859:J862 J893:J896" showDropDown="0" showInputMessage="0" showErrorMessage="0" allowBlank="1" type="list">
      <formula1>DADOS_INVOC!$KF$2:$KF$84</formula1>
    </dataValidation>
    <dataValidation sqref="I911 I933 I957 O855 O889 O911 O957 U855 U889 U911 U957" showDropDown="0" showInputMessage="0" showErrorMessage="0" allowBlank="1" type="list">
      <formula1>DADOS_INVOC!$KH$2:$KH$11</formula1>
    </dataValidation>
    <dataValidation sqref="J915:J918 J937:J940 J961:J964 P859:P862 P893:P896 P915:P918 P961:P964 V859:V862 V893:V896 V915:V918 V961:V964" showDropDown="0" showInputMessage="0" showErrorMessage="0" allowBlank="1" type="list">
      <formula1>DADOS_INVOC!$KE$2:$KE$84</formula1>
    </dataValidation>
    <dataValidation sqref="I1053 I1087" showDropDown="0" showInputMessage="0" showErrorMessage="0" allowBlank="1" type="list">
      <formula1>DADOS_INVOC!$KO$2:$KO$11</formula1>
    </dataValidation>
    <dataValidation sqref="J1057:J1060 J1091:J1094" showDropDown="0" showInputMessage="0" showErrorMessage="0" allowBlank="1" type="list">
      <formula1>DADOS_INVOC!$KL$2:$KL$84</formula1>
    </dataValidation>
    <dataValidation sqref="I1109 I1131 I1155 O1053 O1087 O1109 O1155 U1053 U1087 U1109 U1155" showDropDown="0" showInputMessage="0" showErrorMessage="0" allowBlank="1" type="list">
      <formula1>DADOS_INVOC!$KN$2:$KN$11</formula1>
    </dataValidation>
    <dataValidation sqref="J1113:J1116 J1135:J1138 J1159:J1162 P1057:P1060 P1091:P1094 P1113:P1116 P1159:P1162 V1057:V1060 V1091:V1094 V1113:V1116 V1159:V1162" showDropDown="0" showInputMessage="0" showErrorMessage="0" allowBlank="1" type="list">
      <formula1>DADOS_INVOC!$KK$2:$KK$84</formula1>
    </dataValidation>
    <dataValidation sqref="AB63 AB97" showDropDown="0" showInputMessage="0" showErrorMessage="0" allowBlank="1" type="list">
      <formula1>DADOS_INVOC!$KU$2:$KU$11</formula1>
    </dataValidation>
    <dataValidation sqref="AC67:AC70 AC101:AC104" showDropDown="0" showInputMessage="0" showErrorMessage="0" allowBlank="1" type="list">
      <formula1>DADOS_INVOC!$KR$2:$KR$84</formula1>
    </dataValidation>
    <dataValidation sqref="AB119 AB141 AB165 AH63 AH97 AH119 AH165 AN63 AN97 AN119 AN165" showDropDown="0" showInputMessage="0" showErrorMessage="0" allowBlank="1" type="list">
      <formula1>DADOS_INVOC!$KT$2:$KT$11</formula1>
    </dataValidation>
    <dataValidation sqref="AC123:AC126 AC145:AC148 AC169:AC172 AI67:AI70 AI101:AI104 AI123:AI126 AI169:AI172 AO67:AO70 AO101:AO104 AO123:AO126 AO169:AO172" showDropDown="0" showInputMessage="0" showErrorMessage="0" allowBlank="1" type="list">
      <formula1>DADOS_INVOC!$KQ$2:$KQ$84</formula1>
    </dataValidation>
    <dataValidation sqref="AB261 AB295" showDropDown="0" showInputMessage="0" showErrorMessage="0" allowBlank="1" type="list">
      <formula1>DADOS_INVOC!$LA$2:$LA$11</formula1>
    </dataValidation>
    <dataValidation sqref="AC265:AC268 AC299:AC302" showDropDown="0" showInputMessage="0" showErrorMessage="0" allowBlank="1" type="list">
      <formula1>DADOS_INVOC!$KX$2:$KX$84</formula1>
    </dataValidation>
    <dataValidation sqref="AB317 AB339 AB363 AH261 AH295 AH317 AH363 AN261 AN295 AN317 AN363" showDropDown="0" showInputMessage="0" showErrorMessage="0" allowBlank="1" type="list">
      <formula1>DADOS_INVOC!$KZ$2:$KZ$11</formula1>
    </dataValidation>
    <dataValidation sqref="AC321:AC324 AC343:AC346 AC367:AC370 AI265:AI268 AI299:AI302 AI321:AI324 AI367:AI370 AO265:AO268 AO299:AO302 AO321:AO324 AO367:AO370" showDropDown="0" showInputMessage="0" showErrorMessage="0" allowBlank="1" type="list">
      <formula1>DADOS_INVOC!$KW$2:$KW$84</formula1>
    </dataValidation>
    <dataValidation sqref="AB459 AB493" showDropDown="0" showInputMessage="0" showErrorMessage="0" allowBlank="1" type="list">
      <formula1>DADOS_INVOC!$LG$2:$LG$11</formula1>
    </dataValidation>
    <dataValidation sqref="AC463:AC466 AC497:AC500" showDropDown="0" showInputMessage="0" showErrorMessage="0" allowBlank="1" type="list">
      <formula1>DADOS_INVOC!$LD$2:$LD$84</formula1>
    </dataValidation>
    <dataValidation sqref="AB515 AB537 AB561 AH459 AH493 AH515 AH561 AN459 AN493 AN515 AN561" showDropDown="0" showInputMessage="0" showErrorMessage="0" allowBlank="1" type="list">
      <formula1>DADOS_INVOC!$LF$2:$LF$11</formula1>
    </dataValidation>
    <dataValidation sqref="AC519:AC522 AC541:AC544 AC565:AC568 AI463:AI466 AI497:AI500 AI519:AI522 AI565:AI568 AO463:AO466 AO497:AO500 AO519:AO522 AO565:AO568" showDropDown="0" showInputMessage="0" showErrorMessage="0" allowBlank="1" type="list">
      <formula1>DADOS_INVOC!$LC$2:$LC$84</formula1>
    </dataValidation>
    <dataValidation sqref="AB657 AB691" showDropDown="0" showInputMessage="0" showErrorMessage="0" allowBlank="1" type="list">
      <formula1>DADOS_INVOC!$LM$2:$LM$11</formula1>
    </dataValidation>
    <dataValidation sqref="AC661:AC664 AC695:AC698" showDropDown="0" showInputMessage="0" showErrorMessage="0" allowBlank="1" type="list">
      <formula1>DADOS_INVOC!$LJ$2:$LJ$84</formula1>
    </dataValidation>
    <dataValidation sqref="AB713 AB735 AB759 AH657 AH691 AH713 AH759 AN657 AN691 AN713 AN759" showDropDown="0" showInputMessage="0" showErrorMessage="0" allowBlank="1" type="list">
      <formula1>DADOS_INVOC!$LL$2:$LL$11</formula1>
    </dataValidation>
    <dataValidation sqref="AC717:AC720 AC739:AC742 AC763:AC766 AI661:AI664 AI695:AI698 AI717:AI720 AI763:AI766 AO661:AO664 AO695:AO698 AO717:AO720 AO763:AO766" showDropDown="0" showInputMessage="0" showErrorMessage="0" allowBlank="1" type="list">
      <formula1>DADOS_INVOC!$LI$2:$LI$84</formula1>
    </dataValidation>
    <dataValidation sqref="AB855 AB889" showDropDown="0" showInputMessage="0" showErrorMessage="0" allowBlank="1" type="list">
      <formula1>DADOS_INVOC!$LS$2:$LS$11</formula1>
    </dataValidation>
    <dataValidation sqref="AC859:AC862 AC893:AC896" showDropDown="0" showInputMessage="0" showErrorMessage="0" allowBlank="1" type="list">
      <formula1>DADOS_INVOC!$LP$2:$LP$84</formula1>
    </dataValidation>
    <dataValidation sqref="AB911 AB933 AB957 AH855 AH889 AH911 AH957 AN855 AN889 AN911 AN957" showDropDown="0" showInputMessage="0" showErrorMessage="0" allowBlank="1" type="list">
      <formula1>DADOS_INVOC!$LR$2:$LR$11</formula1>
    </dataValidation>
    <dataValidation sqref="AC915:AC918 AC937:AC940 AC961:AC964 AI859:AI862 AI893:AI896 AI915:AI918 AI961:AI964 AO859:AO862 AO893:AO896 AO915:AO918 AO961:AO964" showDropDown="0" showInputMessage="0" showErrorMessage="0" allowBlank="1" type="list">
      <formula1>DADOS_INVOC!$LO$2:$LO$84</formula1>
    </dataValidation>
    <dataValidation sqref="AB1053 AB1087" showDropDown="0" showInputMessage="0" showErrorMessage="0" allowBlank="1" type="list">
      <formula1>DADOS_INVOC!$LY$2:$LY$11</formula1>
    </dataValidation>
    <dataValidation sqref="AC1057:AC1060 AC1091:AC1094" showDropDown="0" showInputMessage="0" showErrorMessage="0" allowBlank="1" type="list">
      <formula1>DADOS_INVOC!$LV$2:$LV$84</formula1>
    </dataValidation>
    <dataValidation sqref="AB1109 AB1131 AB1155 AH1053 AH1087 AH1109 AH1155 AN1053 AN1087 AN1109 AN1155" showDropDown="0" showInputMessage="0" showErrorMessage="0" allowBlank="1" type="list">
      <formula1>DADOS_INVOC!$LX$2:$LX$11</formula1>
    </dataValidation>
    <dataValidation sqref="AC1113:AC1116 AC1135:AC1138 AC1159:AC1162 AI1057:AI1060 AI1091:AI1094 AI1113:AI1116 AI1159:AI1162 AO1057:AO1060 AO1091:AO1094 AO1113:AO1116 AO1159:AO1162" showDropDown="0" showInputMessage="0" showErrorMessage="0" allowBlank="1" type="list">
      <formula1>DADOS_INVOC!$LU$2:$LU$84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DADOS_AM!$HK$25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DADOS_AM!$HK$24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K1" s="151" t="inlineStr">
        <is>
          <t>peça que pede TR</t>
        </is>
      </c>
      <c r="BM1" s="151" t="inlineStr">
        <is>
          <t>menu de restrição</t>
        </is>
      </c>
      <c r="BN1" s="151" t="inlineStr">
        <is>
          <t>restrição</t>
        </is>
      </c>
      <c r="BO1" s="151" t="inlineStr">
        <is>
          <t>o que devolve</t>
        </is>
      </c>
      <c r="BP1" s="151" t="inlineStr">
        <is>
          <t>é de frequência</t>
        </is>
      </c>
      <c r="BQ1" s="151" t="inlineStr">
        <is>
          <t>menu de restrição leve</t>
        </is>
      </c>
      <c r="BS1" s="151" t="inlineStr">
        <is>
          <t>passiva</t>
        </is>
      </c>
      <c r="BT1" s="151" t="inlineStr">
        <is>
          <t>classe passiva</t>
        </is>
      </c>
      <c r="BU1" s="151" t="inlineStr">
        <is>
          <t>o que a passiva faz</t>
        </is>
      </c>
      <c r="BV1" s="151" t="inlineStr">
        <is>
          <t>do fundamento</t>
        </is>
      </c>
      <c r="BW1" s="151" t="inlineStr">
        <is>
          <t>da técnica marcial</t>
        </is>
      </c>
      <c r="BX1" s="151" t="inlineStr">
        <is>
          <t>menu de passiva</t>
        </is>
      </c>
      <c r="BY1" s="151" t="inlineStr">
        <is>
          <t>resumo da passiva</t>
        </is>
      </c>
      <c r="CA1" s="151" t="inlineStr">
        <is>
          <t>classe passiva liberada</t>
        </is>
      </c>
      <c r="CB1" s="151" t="inlineStr">
        <is>
          <t>libera no nível</t>
        </is>
      </c>
      <c r="CD1" s="151" t="inlineStr">
        <is>
          <t>aptidão</t>
        </is>
      </c>
      <c r="CE1" s="151" t="inlineStr">
        <is>
          <t>requisito da aptidão</t>
        </is>
      </c>
      <c r="CF1" s="151" t="inlineStr">
        <is>
          <t>classe passiva da aptidão</t>
        </is>
      </c>
      <c r="CG1" s="151" t="inlineStr">
        <is>
          <t>o que o refino escala</t>
        </is>
      </c>
      <c r="CH1" s="151" t="inlineStr">
        <is>
          <t>o que a aptidão faz</t>
        </is>
      </c>
      <c r="CI1" s="151" t="inlineStr">
        <is>
          <t>menu de aptidão</t>
        </is>
      </c>
      <c r="CJ1" s="151" t="inlineStr">
        <is>
          <t>é bênção</t>
        </is>
      </c>
      <c r="CK1" s="151" t="inlineStr">
        <is>
          <t>é a extensão de domínio</t>
        </is>
      </c>
      <c r="CL1" s="151" t="inlineStr">
        <is>
          <t>de graça</t>
        </is>
      </c>
      <c r="CM1" s="151" t="inlineStr">
        <is>
          <t>resumo da aptidão</t>
        </is>
      </c>
      <c r="CO1" s="151" t="inlineStr">
        <is>
          <t>semente</t>
        </is>
      </c>
      <c r="CQ1" s="151" t="inlineStr">
        <is>
          <t>equipamento</t>
        </is>
      </c>
      <c r="CS1" s="151" t="inlineStr">
        <is>
          <t>menu da peça da rota</t>
        </is>
      </c>
      <c r="CU1" s="151" t="inlineStr">
        <is>
          <t>grupo de arma</t>
        </is>
      </c>
      <c r="CV1" s="151" t="inlineStr">
        <is>
          <t>acerta com força</t>
        </is>
      </c>
      <c r="CW1" s="151" t="inlineStr">
        <is>
          <t>acerta com destreza</t>
        </is>
      </c>
      <c r="CX1" s="151" t="inlineStr">
        <is>
          <t>menu de grupo</t>
        </is>
      </c>
      <c r="CZ1" s="151" t="inlineStr">
        <is>
          <t>nível da classe 0</t>
        </is>
      </c>
      <c r="DA1" s="151" t="inlineStr">
        <is>
          <t>quantos de classe 0</t>
        </is>
      </c>
      <c r="DB1" s="151" t="inlineStr">
        <is>
          <t>dados da classe 0</t>
        </is>
      </c>
      <c r="DD1" s="151" t="inlineStr">
        <is>
          <t>nível da liberação</t>
        </is>
      </c>
      <c r="DF1" s="151" t="inlineStr">
        <is>
          <t>classe da liberação</t>
        </is>
      </c>
      <c r="DH1" s="151" t="inlineStr">
        <is>
          <t>nível da técnica máxima</t>
        </is>
      </c>
      <c r="DI1" s="151" t="inlineStr">
        <is>
          <t>dados da técnica máxima</t>
        </is>
      </c>
      <c r="DJ1" s="151" t="inlineStr">
        <is>
          <t>pontos de montagem</t>
        </is>
      </c>
      <c r="DL1" s="151" t="inlineStr">
        <is>
          <t>degrau do domínio</t>
        </is>
      </c>
      <c r="DM1" s="151" t="inlineStr">
        <is>
          <t>espaços do degrau</t>
        </is>
      </c>
      <c r="DN1" s="151" t="inlineStr">
        <is>
          <t>nível do degrau</t>
        </is>
      </c>
      <c r="DO1" s="151" t="inlineStr">
        <is>
          <t>refino do degrau</t>
        </is>
      </c>
      <c r="DP1" s="151" t="inlineStr">
        <is>
          <t>o degrau abre em</t>
        </is>
      </c>
      <c r="DR1" s="151" t="inlineStr">
        <is>
          <t>forma do pacto</t>
        </is>
      </c>
      <c r="DS1" s="151" t="inlineStr">
        <is>
          <t>quando se fecha</t>
        </is>
      </c>
      <c r="DU1" s="151" t="inlineStr">
        <is>
          <t>o pacto concede</t>
        </is>
      </c>
      <c r="DW1" s="151" t="inlineStr">
        <is>
          <t>conta de feitiço</t>
        </is>
      </c>
      <c r="DX1" s="151" t="inlineStr">
        <is>
          <t>liberação</t>
        </is>
      </c>
      <c r="DY1" s="151" t="inlineStr">
        <is>
          <t>vaga</t>
        </is>
      </c>
      <c r="DZ1" s="151" t="inlineStr">
        <is>
          <t>classe</t>
        </is>
      </c>
      <c r="EA1" s="151" t="inlineStr">
        <is>
          <t>nome</t>
        </is>
      </c>
      <c r="EB1" s="151" t="inlineStr">
        <is>
          <t>forma</t>
        </is>
      </c>
      <c r="EC1" s="151" t="inlineStr">
        <is>
          <t>m1</t>
        </is>
      </c>
      <c r="ED1" s="151" t="inlineStr">
        <is>
          <t>m2</t>
        </is>
      </c>
      <c r="EE1" s="151" t="inlineStr">
        <is>
          <t>m3</t>
        </is>
      </c>
      <c r="EF1" s="151" t="inlineStr">
        <is>
          <t>m4</t>
        </is>
      </c>
      <c r="EG1" s="151" t="inlineStr">
        <is>
          <t>r1</t>
        </is>
      </c>
      <c r="EH1" s="151" t="inlineStr">
        <is>
          <t>r2</t>
        </is>
      </c>
      <c r="EI1" s="151" t="inlineStr">
        <is>
          <t>tem</t>
        </is>
      </c>
      <c r="EJ1" s="151" t="inlineStr">
        <is>
          <t>lf</t>
        </is>
      </c>
      <c r="EK1" s="151" t="inlineStr">
        <is>
          <t>k0</t>
        </is>
      </c>
      <c r="EL1" s="151" t="inlineStr">
        <is>
          <t>k1</t>
        </is>
      </c>
      <c r="EM1" s="151" t="inlineStr">
        <is>
          <t>k2</t>
        </is>
      </c>
      <c r="EN1" s="151" t="inlineStr">
        <is>
          <t>k3</t>
        </is>
      </c>
      <c r="EO1" s="151" t="inlineStr">
        <is>
          <t>k4</t>
        </is>
      </c>
      <c r="EP1" s="151" t="inlineStr">
        <is>
          <t>x0</t>
        </is>
      </c>
      <c r="EQ1" s="151" t="inlineStr">
        <is>
          <t>x1</t>
        </is>
      </c>
      <c r="ER1" s="151" t="inlineStr">
        <is>
          <t>x2</t>
        </is>
      </c>
      <c r="ES1" s="151" t="inlineStr">
        <is>
          <t>x3</t>
        </is>
      </c>
      <c r="ET1" s="151" t="inlineStr">
        <is>
          <t>x4</t>
        </is>
      </c>
      <c r="EU1" s="151" t="inlineStr">
        <is>
          <t>ct</t>
        </is>
      </c>
      <c r="EV1" s="151" t="inlineStr">
        <is>
          <t>ptr</t>
        </is>
      </c>
      <c r="EW1" s="151" t="inlineStr">
        <is>
          <t>emb</t>
        </is>
      </c>
      <c r="EX1" s="151" t="inlineStr">
        <is>
          <t>tp</t>
        </is>
      </c>
      <c r="EY1" s="151" t="inlineStr">
        <is>
          <t>tr</t>
        </is>
      </c>
      <c r="EZ1" s="151" t="inlineStr">
        <is>
          <t>c1</t>
        </is>
      </c>
      <c r="FA1" s="151" t="inlineStr">
        <is>
          <t>c2</t>
        </is>
      </c>
      <c r="FB1" s="151" t="inlineStr">
        <is>
          <t>b1</t>
        </is>
      </c>
      <c r="FC1" s="151" t="inlineStr">
        <is>
          <t>b2</t>
        </is>
      </c>
      <c r="FD1" s="151" t="inlineStr">
        <is>
          <t>n1</t>
        </is>
      </c>
      <c r="FE1" s="151" t="inlineStr">
        <is>
          <t>n2</t>
        </is>
      </c>
      <c r="FF1" s="151" t="inlineStr">
        <is>
          <t>n3</t>
        </is>
      </c>
      <c r="FG1" s="151" t="inlineStr">
        <is>
          <t>n4</t>
        </is>
      </c>
      <c r="FH1" s="151" t="inlineStr">
        <is>
          <t>n5</t>
        </is>
      </c>
      <c r="FI1" s="151" t="inlineStr">
        <is>
          <t>n6</t>
        </is>
      </c>
      <c r="FJ1" s="151" t="inlineStr">
        <is>
          <t>dL</t>
        </is>
      </c>
      <c r="FK1" s="151" t="inlineStr">
        <is>
          <t>dM</t>
        </is>
      </c>
      <c r="FL1" s="151" t="inlineStr">
        <is>
          <t>nm</t>
        </is>
      </c>
      <c r="FM1" s="151" t="inlineStr">
        <is>
          <t>nr</t>
        </is>
      </c>
      <c r="FN1" s="151" t="inlineStr">
        <is>
          <t>g</t>
        </is>
      </c>
      <c r="FO1" s="151" t="inlineStr">
        <is>
          <t>dv0</t>
        </is>
      </c>
      <c r="FP1" s="151" t="inlineStr">
        <is>
          <t>dv</t>
        </is>
      </c>
      <c r="FQ1" s="151" t="inlineStr">
        <is>
          <t>usa</t>
        </is>
      </c>
      <c r="FR1" s="151" t="inlineStr">
        <is>
          <t>perde</t>
        </is>
      </c>
      <c r="FS1" s="151" t="inlineStr">
        <is>
          <t>s</t>
        </is>
      </c>
      <c r="FT1" s="151" t="inlineStr">
        <is>
          <t>d</t>
        </is>
      </c>
      <c r="FU1" s="151" t="inlineStr">
        <is>
          <t>dep</t>
        </is>
      </c>
      <c r="FV1" s="151" t="inlineStr">
        <is>
          <t>d1</t>
        </is>
      </c>
      <c r="FW1" s="151" t="inlineStr">
        <is>
          <t>d2</t>
        </is>
      </c>
      <c r="FX1" s="151" t="inlineStr">
        <is>
          <t>d3</t>
        </is>
      </c>
      <c r="FY1" s="151" t="inlineStr">
        <is>
          <t>d4</t>
        </is>
      </c>
      <c r="FZ1" s="151" t="inlineStr">
        <is>
          <t>d5</t>
        </is>
      </c>
      <c r="GA1" s="151" t="inlineStr">
        <is>
          <t>d6</t>
        </is>
      </c>
      <c r="GB1" s="151" t="inlineStr">
        <is>
          <t>d7</t>
        </is>
      </c>
      <c r="GC1" s="151" t="inlineStr">
        <is>
          <t>t1</t>
        </is>
      </c>
      <c r="GD1" s="151" t="inlineStr">
        <is>
          <t>t2</t>
        </is>
      </c>
      <c r="GE1" s="151" t="inlineStr">
        <is>
          <t>t3</t>
        </is>
      </c>
      <c r="GF1" s="151" t="inlineStr">
        <is>
          <t>t4</t>
        </is>
      </c>
      <c r="GG1" s="151" t="inlineStr">
        <is>
          <t>t5</t>
        </is>
      </c>
      <c r="GH1" s="151" t="inlineStr">
        <is>
          <t>t6</t>
        </is>
      </c>
      <c r="GI1" s="151" t="inlineStr">
        <is>
          <t>t7</t>
        </is>
      </c>
      <c r="GJ1" s="151" t="inlineStr">
        <is>
          <t>erros</t>
        </is>
      </c>
      <c r="GK1" s="151" t="inlineStr">
        <is>
          <t>ne</t>
        </is>
      </c>
      <c r="GL1" s="151" t="inlineStr">
        <is>
          <t>avisos</t>
        </is>
      </c>
      <c r="GM1" s="151" t="inlineStr">
        <is>
          <t>na</t>
        </is>
      </c>
      <c r="GN1" s="151" t="inlineStr">
        <is>
          <t>estado</t>
        </is>
      </c>
      <c r="GO1" s="151" t="inlineStr">
        <is>
          <t>linha</t>
        </is>
      </c>
      <c r="GP1" s="151" t="inlineStr">
        <is>
          <t>pe</t>
        </is>
      </c>
      <c r="GQ1" s="151" t="inlineStr">
        <is>
          <t>acao</t>
        </is>
      </c>
      <c r="GR1" s="151" t="inlineStr">
        <is>
          <t>resolve</t>
        </is>
      </c>
      <c r="GS1" s="151" t="inlineStr">
        <is>
          <t>dano</t>
        </is>
      </c>
      <c r="GT1" s="151" t="inlineStr">
        <is>
          <t>lg</t>
        </is>
      </c>
      <c r="GU1" s="151" t="inlineStr">
        <is>
          <t>mr</t>
        </is>
      </c>
      <c r="GV1" s="151" t="inlineStr">
        <is>
          <t>q1</t>
        </is>
      </c>
      <c r="GW1" s="151" t="inlineStr">
        <is>
          <t>q2</t>
        </is>
      </c>
      <c r="GX1" s="151" t="inlineStr">
        <is>
          <t>alcance</t>
        </is>
      </c>
      <c r="GY1" s="151" t="inlineStr">
        <is>
          <t>conta</t>
        </is>
      </c>
      <c r="GZ1" s="151" t="inlineStr">
        <is>
          <t>ampliar</t>
        </is>
      </c>
      <c r="HA1" s="151" t="inlineStr">
        <is>
          <t>pt1</t>
        </is>
      </c>
      <c r="HB1" s="151" t="inlineStr">
        <is>
          <t>pt2</t>
        </is>
      </c>
      <c r="HC1" s="151" t="inlineStr">
        <is>
          <t>pt3</t>
        </is>
      </c>
      <c r="HD1" s="151" t="inlineStr">
        <is>
          <t>pt4</t>
        </is>
      </c>
      <c r="HE1" s="151" t="inlineStr">
        <is>
          <t>dt1</t>
        </is>
      </c>
      <c r="HF1" s="151" t="inlineStr">
        <is>
          <t>dt2</t>
        </is>
      </c>
      <c r="HG1" s="151" t="inlineStr">
        <is>
          <t>como</t>
        </is>
      </c>
      <c r="HH1" s="151" t="inlineStr">
        <is>
          <t>ordem</t>
        </is>
      </c>
      <c r="HJ1" s="151" t="inlineStr">
        <is>
          <t>contas da amaldiçoada</t>
        </is>
      </c>
      <c r="HK1" s="151" t="inlineStr">
        <is>
          <t>valor da amaldiçoada</t>
        </is>
      </c>
      <c r="HM1" s="151" t="inlineStr">
        <is>
          <t>carta de passiva</t>
        </is>
      </c>
      <c r="HN1" s="151" t="inlineStr">
        <is>
          <t>passiva anotada</t>
        </is>
      </c>
      <c r="HO1" s="151" t="inlineStr">
        <is>
          <t>classe passiva anotada</t>
        </is>
      </c>
      <c r="HP1" s="151" t="inlineStr">
        <is>
          <t>nível que libera</t>
        </is>
      </c>
      <c r="HQ1" s="151" t="inlineStr">
        <is>
          <t>o que ela faz</t>
        </is>
      </c>
      <c r="HR1" s="151" t="inlineStr">
        <is>
          <t>classe passiva na carta</t>
        </is>
      </c>
      <c r="HS1" s="151" t="inlineStr">
        <is>
          <t>custo na carta</t>
        </is>
      </c>
      <c r="HT1" s="151" t="inlineStr">
        <is>
          <t>seu texto da passiva</t>
        </is>
      </c>
      <c r="HU1" s="151" t="inlineStr">
        <is>
          <t>ordem da passiva</t>
        </is>
      </c>
      <c r="HW1" s="151" t="inlineStr">
        <is>
          <t>carta de aptidão</t>
        </is>
      </c>
      <c r="HX1" s="151" t="inlineStr">
        <is>
          <t>aptidão anotada</t>
        </is>
      </c>
      <c r="HY1" s="151" t="inlineStr">
        <is>
          <t>requisito na carta</t>
        </is>
      </c>
      <c r="HZ1" s="151" t="inlineStr">
        <is>
          <t>classe passiva na carta de aptidão</t>
        </is>
      </c>
      <c r="IA1" s="151" t="inlineStr">
        <is>
          <t>o refino escala na carta</t>
        </is>
      </c>
      <c r="IB1" s="151" t="inlineStr">
        <is>
          <t>o que a aptidão anotada faz</t>
        </is>
      </c>
      <c r="IC1" s="151" t="inlineStr">
        <is>
          <t>seu texto da aptidão</t>
        </is>
      </c>
      <c r="ID1" s="151" t="inlineStr">
        <is>
          <t>ordem da aptidão</t>
        </is>
      </c>
      <c r="IF1" s="151" t="inlineStr">
        <is>
          <t>classe 0 anotada</t>
        </is>
      </c>
      <c r="IG1" s="151" t="inlineStr">
        <is>
          <t>forma da classe 0</t>
        </is>
      </c>
      <c r="IH1" s="151" t="inlineStr">
        <is>
          <t>melhoria da classe 0</t>
        </is>
      </c>
      <c r="II1" s="151" t="inlineStr">
        <is>
          <t>restrição da classe 0</t>
        </is>
      </c>
      <c r="IJ1" s="151" t="inlineStr">
        <is>
          <t>linha da forma</t>
        </is>
      </c>
      <c r="IK1" s="151" t="inlineStr">
        <is>
          <t>dados dela</t>
        </is>
      </c>
      <c r="IL1" s="151" t="inlineStr">
        <is>
          <t>dano na carta</t>
        </is>
      </c>
      <c r="IM1" s="151" t="inlineStr">
        <is>
          <t>alcance na carta</t>
        </is>
      </c>
      <c r="IO1" s="151" t="inlineStr">
        <is>
          <t>salto</t>
        </is>
      </c>
      <c r="IP1" s="151" t="inlineStr">
        <is>
          <t>caixa do salto</t>
        </is>
      </c>
      <c r="IQ1" s="151" t="inlineStr">
        <is>
          <t>alvo do salto</t>
        </is>
      </c>
      <c r="IR1" s="151" t="inlineStr">
        <is>
          <t>nome do salto</t>
        </is>
      </c>
      <c r="IT1" s="151" t="inlineStr">
        <is>
          <t>habilidade: carta</t>
        </is>
      </c>
      <c r="IU1" s="151" t="inlineStr">
        <is>
          <t>nível da carta</t>
        </is>
      </c>
      <c r="IV1" s="151" t="inlineStr">
        <is>
          <t>etiqueta da carta</t>
        </is>
      </c>
      <c r="IW1" s="151" t="inlineStr">
        <is>
          <t>célula do nome</t>
        </is>
      </c>
      <c r="IX1" s="151" t="inlineStr">
        <is>
          <t>célula do texto</t>
        </is>
      </c>
      <c r="IZ1" s="151" t="inlineStr">
        <is>
          <t>habilidade livre: carta</t>
        </is>
      </c>
      <c r="JA1" s="151" t="inlineStr">
        <is>
          <t>célula do texto livre</t>
        </is>
      </c>
      <c r="JC1" s="151" t="inlineStr">
        <is>
          <t>habilidades: título</t>
        </is>
      </c>
      <c r="JD1" s="151" t="inlineStr">
        <is>
          <t>texto do título</t>
        </is>
      </c>
      <c r="JF1" s="151" t="inlineStr">
        <is>
          <t>menu: feitiço</t>
        </is>
      </c>
      <c r="JG1" s="151" t="inlineStr">
        <is>
          <t>lugar na conta</t>
        </is>
      </c>
      <c r="JH1" s="151" t="inlineStr">
        <is>
          <t>menu: classe</t>
        </is>
      </c>
      <c r="JI1" s="151" t="inlineStr">
        <is>
          <t>menu: nome</t>
        </is>
      </c>
      <c r="JJ1" s="151" t="inlineStr">
        <is>
          <t>menu: pe</t>
        </is>
      </c>
      <c r="JK1" s="151" t="inlineStr">
        <is>
          <t>menu: forma</t>
        </is>
      </c>
      <c r="JL1" s="151" t="inlineStr">
        <is>
          <t>menu: resolve</t>
        </is>
      </c>
      <c r="JM1" s="151" t="inlineStr">
        <is>
          <t>menu: como</t>
        </is>
      </c>
      <c r="JO1" s="151" t="inlineStr">
        <is>
          <t>menu: liberação</t>
        </is>
      </c>
      <c r="JP1" s="151" t="inlineStr">
        <is>
          <t>menu da liberação: classe</t>
        </is>
      </c>
      <c r="JQ1" s="151" t="inlineStr">
        <is>
          <t>menu da liberação: nome</t>
        </is>
      </c>
      <c r="JR1" s="151" t="inlineStr">
        <is>
          <t>menu da liberação: pe</t>
        </is>
      </c>
      <c r="JS1" s="151" t="inlineStr">
        <is>
          <t>menu da liberação: forma</t>
        </is>
      </c>
      <c r="JT1" s="151" t="inlineStr">
        <is>
          <t>menu da liberação: resolve</t>
        </is>
      </c>
      <c r="JU1" s="151" t="inlineStr">
        <is>
          <t>menu da liberação: como</t>
        </is>
      </c>
      <c r="JW1" s="151" t="inlineStr">
        <is>
          <t>menu: carta larga</t>
        </is>
      </c>
      <c r="JX1" s="151" t="inlineStr">
        <is>
          <t>nome dela</t>
        </is>
      </c>
      <c r="JY1" s="151" t="inlineStr">
        <is>
          <t>pe dela</t>
        </is>
      </c>
      <c r="JZ1" s="151" t="inlineStr">
        <is>
          <t>forma dela</t>
        </is>
      </c>
      <c r="KA1" s="151" t="inlineStr">
        <is>
          <t>resolve dela</t>
        </is>
      </c>
      <c r="KB1" s="151" t="inlineStr">
        <is>
          <t>como é dela</t>
        </is>
      </c>
      <c r="KD1" s="151" t="inlineStr">
        <is>
          <t>menu: passiva</t>
        </is>
      </c>
      <c r="KE1" s="151" t="inlineStr">
        <is>
          <t>lugar da passiva</t>
        </is>
      </c>
      <c r="KF1" s="151" t="inlineStr">
        <is>
          <t>classe passiva no menu</t>
        </is>
      </c>
      <c r="KG1" s="151" t="inlineStr">
        <is>
          <t>passiva no menu</t>
        </is>
      </c>
      <c r="KH1" s="151" t="inlineStr">
        <is>
          <t>texto da passiva no menu</t>
        </is>
      </c>
      <c r="KJ1" s="151" t="inlineStr">
        <is>
          <t>menu: aptidão</t>
        </is>
      </c>
      <c r="KK1" s="151" t="inlineStr">
        <is>
          <t>lugar da aptidão</t>
        </is>
      </c>
      <c r="KL1" s="151" t="inlineStr">
        <is>
          <t>classe passiva da aptidão no menu</t>
        </is>
      </c>
      <c r="KM1" s="151" t="inlineStr">
        <is>
          <t>aptidão no menu</t>
        </is>
      </c>
      <c r="KN1" s="151" t="inlineStr">
        <is>
          <t>texto da aptidão no menu</t>
        </is>
      </c>
      <c r="KP1" s="151" t="inlineStr">
        <is>
          <t>menu: rótulo</t>
        </is>
      </c>
      <c r="KQ1" s="151" t="inlineStr">
        <is>
          <t>texto do rótulo</t>
        </is>
      </c>
      <c r="KS1" s="151" t="inlineStr">
        <is>
          <t>caixa calculada</t>
        </is>
      </c>
      <c r="KT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K2" s="152" t="n">
        <v>0</v>
      </c>
      <c r="BM2" s="150" t="inlineStr">
        <is>
          <t>Corpo a Corpo</t>
        </is>
      </c>
      <c r="BN2" s="150" t="inlineStr">
        <is>
          <t>Corpo a Corpo</t>
        </is>
      </c>
      <c r="BO2" s="152" t="n">
        <v>2</v>
      </c>
      <c r="BP2" s="152" t="n">
        <v>0</v>
      </c>
      <c r="BQ2" s="150" t="inlineStr"/>
      <c r="BS2" s="150" t="inlineStr">
        <is>
          <t>Leitura</t>
        </is>
      </c>
      <c r="BT2" s="152" t="n">
        <v>1</v>
      </c>
      <c r="BU2" s="150" t="inlineStr">
        <is>
          <t>Você identifica a Classe e a Forma de qualquer feitiço conjurado a até 18 m de você. A informação não fornece a montagem completa, o custo de cada peça ou a localização de um alvo oculto.</t>
        </is>
      </c>
      <c r="BV2" s="152" t="n">
        <v>1</v>
      </c>
      <c r="BW2" s="152" t="n">
        <v>1</v>
      </c>
      <c r="BX2" s="152">
        <f>IF(OR(AND($A$2&lt;=2,$BV2=1),AND($A$2&gt;=2,$BW2=1)),$BS2,"")</f>
        <v/>
      </c>
      <c r="BY2" s="150" t="inlineStr">
        <is>
          <t>Você identifica a Classe e a Forma de qualquer feitiço conjurado a até 18 m de você. A informação não fornece a montagem completa, o custo de cada peça ou a localização de um alvo oculto.</t>
        </is>
      </c>
      <c r="CA2" s="152" t="n">
        <v>1</v>
      </c>
      <c r="CB2" s="152" t="n">
        <v>1</v>
      </c>
      <c r="CD2" s="150" t="inlineStr">
        <is>
          <t>Cobrir-se de Energia</t>
        </is>
      </c>
      <c r="CE2" s="150" t="inlineStr">
        <is>
          <t>Gratuita no Refino 1</t>
        </is>
      </c>
      <c r="CF2" s="150" t="inlineStr">
        <is>
          <t>—</t>
        </is>
      </c>
      <c r="CG2" s="150" t="inlineStr">
        <is>
          <t>Proteção e Redução de Dano da Reação</t>
        </is>
      </c>
      <c r="CH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2">
        <f>IF($CL2=1,"",IF($A$2=4,IF($CJ2=1,$CD2,""),IF(OR($CJ2=1,AND($A$2=3,$CK2=1)),"",$CD2)))</f>
        <v/>
      </c>
      <c r="CJ2" s="152" t="n">
        <v>0</v>
      </c>
      <c r="CK2" s="152" t="n">
        <v>0</v>
      </c>
      <c r="CL2" s="152" t="n">
        <v>1</v>
      </c>
      <c r="CM2" s="150" t="inlineStr">
        <is>
          <t>A energia que envolve seu corpo concede proteção e pode ser concentrada para amortecer um golpe.</t>
        </is>
      </c>
      <c r="CO2" s="150" t="inlineStr">
        <is>
          <t>Domínio Simples</t>
        </is>
      </c>
      <c r="CQ2" s="150" t="inlineStr">
        <is>
          <t>Três grupos de arma</t>
        </is>
      </c>
      <c r="CS2" s="152">
        <f>IF($A$2=2,IFERROR(INDEX($CO$2:$CO$5,1),""),IF($A$2&gt;=3,IFERROR(INDEX($CQ$2:$CQ$4,1),""),""))</f>
        <v/>
      </c>
      <c r="CU2" s="150" t="inlineStr">
        <is>
          <t>Porrete</t>
        </is>
      </c>
      <c r="CV2" s="152" t="n">
        <v>1</v>
      </c>
      <c r="CW2" s="152" t="n">
        <v>0</v>
      </c>
      <c r="CX2" s="152">
        <f>IF(AND($A$2&gt;=3,'FICHA AMALDIÇOADA'!$J$16&amp;""="Três grupos de arma"),$CU2,"")</f>
        <v/>
      </c>
      <c r="CZ2" s="152" t="n">
        <v>1</v>
      </c>
      <c r="DA2" s="152" t="n">
        <v>2</v>
      </c>
      <c r="DB2" s="152" t="n">
        <v>2</v>
      </c>
      <c r="DD2" s="152" t="n">
        <v>10</v>
      </c>
      <c r="DF2" s="152" t="n">
        <v>3</v>
      </c>
      <c r="DH2" s="152" t="n">
        <v>17</v>
      </c>
      <c r="DI2" s="152" t="n">
        <v>24</v>
      </c>
      <c r="DJ2" s="152" t="n">
        <v>8</v>
      </c>
      <c r="DL2" s="150" t="inlineStr">
        <is>
          <t>Incompleta</t>
        </is>
      </c>
      <c r="DM2" s="152" t="n">
        <v>2</v>
      </c>
      <c r="DN2" s="152" t="n">
        <v>10</v>
      </c>
      <c r="DO2" s="152" t="n">
        <v>4</v>
      </c>
      <c r="DP2" s="150" t="inlineStr">
        <is>
          <t>Nível 10 e refino 4</t>
        </is>
      </c>
      <c r="DR2" s="150" t="inlineStr">
        <is>
          <t>Permanente</t>
        </is>
      </c>
      <c r="DS2" s="150" t="inlineStr">
        <is>
          <t>Fora de cena, com registro aprovado</t>
        </is>
      </c>
      <c r="DU2" s="150" t="inlineStr">
        <is>
          <t>Uma aptidão</t>
        </is>
      </c>
      <c r="DW2" s="150" t="inlineStr">
        <is>
          <t>Feitiço 1</t>
        </is>
      </c>
      <c r="DX2" s="152" t="n">
        <v>0</v>
      </c>
      <c r="DY2" s="152" t="n">
        <v>1</v>
      </c>
      <c r="DZ2" s="152">
        <f>MAX(1,MIN(7,N('FICHA AMALDIÇOADA'!$D$51)))</f>
        <v/>
      </c>
      <c r="EA2" s="152">
        <f>'FICHA AMALDIÇOADA'!$E$51&amp;""</f>
        <v/>
      </c>
      <c r="EB2" s="152">
        <f>'FICHA AMALDIÇOADA'!$D$58&amp;""</f>
        <v/>
      </c>
      <c r="EC2" s="152">
        <f>'FICHA AMALDIÇOADA'!$E$60&amp;""</f>
        <v/>
      </c>
      <c r="ED2" s="152">
        <f>'FICHA AMALDIÇOADA'!$E$61&amp;""</f>
        <v/>
      </c>
      <c r="EE2" s="152">
        <f>'FICHA AMALDIÇOADA'!$E$62&amp;""</f>
        <v/>
      </c>
      <c r="EF2" s="152">
        <f>'FICHA AMALDIÇOADA'!$E$63&amp;""</f>
        <v/>
      </c>
      <c r="EG2" s="152">
        <f>'FICHA AMALDIÇOADA'!$E$64&amp;""</f>
        <v/>
      </c>
      <c r="EH2" s="152">
        <f>'FICHA AMALDIÇOADA'!$E$65&amp;""</f>
        <v/>
      </c>
      <c r="EI2" s="152">
        <f>IF($EA2&lt;&gt;"",1,0)</f>
        <v/>
      </c>
      <c r="EJ2" s="152">
        <f>IFERROR(MATCH($EB2,$Y$2:$Y$11,0),0)</f>
        <v/>
      </c>
      <c r="EK2" s="152">
        <f>IF($EJ2=0,0,INDEX($AB$2:$AB$11,$EJ2))</f>
        <v/>
      </c>
      <c r="EL2" s="152">
        <f>IFERROR(VLOOKUP($EC2,$BC$2:$BK$84,4,FALSE),0)</f>
        <v/>
      </c>
      <c r="EM2" s="152">
        <f>IFERROR(VLOOKUP($ED2,$BC$2:$BK$84,4,FALSE),0)</f>
        <v/>
      </c>
      <c r="EN2" s="152">
        <f>IFERROR(VLOOKUP($EE2,$BC$2:$BK$84,4,FALSE),0)</f>
        <v/>
      </c>
      <c r="EO2" s="152">
        <f>IFERROR(VLOOKUP($EF2,$BC$2:$BK$84,4,FALSE),0)</f>
        <v/>
      </c>
      <c r="EP2" s="152">
        <f>IF($EJ2=0,0,INDEX($AC$2:$AC$11,$EJ2))</f>
        <v/>
      </c>
      <c r="EQ2" s="152">
        <f>IFERROR(VLOOKUP($EC2,$BC$2:$BK$84,5,FALSE),0)</f>
        <v/>
      </c>
      <c r="ER2" s="152">
        <f>IFERROR(VLOOKUP($ED2,$BC$2:$BK$84,5,FALSE),0)</f>
        <v/>
      </c>
      <c r="ES2" s="152">
        <f>IFERROR(VLOOKUP($EE2,$BC$2:$BK$84,5,FALSE),0)</f>
        <v/>
      </c>
      <c r="ET2" s="152">
        <f>IFERROR(VLOOKUP($EF2,$BC$2:$BK$84,5,FALSE),0)</f>
        <v/>
      </c>
      <c r="EU2" s="152">
        <f>IFERROR(VLOOKUP($EC2,$BC$2:$BK$84,6,FALSE),0)+IFERROR(VLOOKUP($ED2,$BC$2:$BK$84,6,FALSE),0)+IFERROR(VLOOKUP($EE2,$BC$2:$BK$84,6,FALSE),0)+IFERROR(VLOOKUP($EF2,$BC$2:$BK$84,6,FALSE),0)</f>
        <v/>
      </c>
      <c r="EV2" s="152">
        <f>IFERROR(VLOOKUP($EC2,$BC$2:$BK$84,9,FALSE),0)+IFERROR(VLOOKUP($ED2,$BC$2:$BK$84,9,FALSE),0)+IFERROR(VLOOKUP($EE2,$BC$2:$BK$84,9,FALSE),0)+IFERROR(VLOOKUP($EF2,$BC$2:$BK$84,9,FALSE),0)</f>
        <v/>
      </c>
      <c r="EW2" s="152">
        <f>IF($EJ2=0,0,INDEX($AD$2:$AD$11,$EJ2))</f>
        <v/>
      </c>
      <c r="EX2" s="152">
        <f>IF($EJ2=0,0,INDEX($AE$2:$AE$11,$EJ2))</f>
        <v/>
      </c>
      <c r="EY2" s="152">
        <f>IF($EJ2=0,0,INDEX($AG$2:$AG$11,$EJ2))</f>
        <v/>
      </c>
      <c r="EZ2" s="152">
        <f>IFERROR(VLOOKUP($EG2,$BM$2:$BQ$24,3,FALSE),0)</f>
        <v/>
      </c>
      <c r="FA2" s="152">
        <f>IFERROR(VLOOKUP($EH2,$BM$2:$BQ$24,3,FALSE),0)</f>
        <v/>
      </c>
      <c r="FB2" s="152">
        <f>IFERROR(VLOOKUP($EG2,$BM$2:$BQ$24,2,FALSE),"")</f>
        <v/>
      </c>
      <c r="FC2" s="152">
        <f>IFERROR(VLOOKUP($EH2,$BM$2:$BQ$24,2,FALSE),"")</f>
        <v/>
      </c>
      <c r="FD2" s="152">
        <f>COUNTIF($EK2:$EO2,1)</f>
        <v/>
      </c>
      <c r="FE2" s="152">
        <f>COUNTIF($EK2:$EO2,2)</f>
        <v/>
      </c>
      <c r="FF2" s="152">
        <f>COUNTIF($EK2:$EO2,3)</f>
        <v/>
      </c>
      <c r="FG2" s="152">
        <f>COUNTIF($EK2:$EO2,4)</f>
        <v/>
      </c>
      <c r="FH2" s="152">
        <f>COUNTIF($EK2:$EO2,5)</f>
        <v/>
      </c>
      <c r="FI2" s="152">
        <f>COUNTIF($EK2:$EO2,6)</f>
        <v/>
      </c>
      <c r="FJ2" s="152">
        <f>COUNTIF($EZ2:$FA2,1)</f>
        <v/>
      </c>
      <c r="FK2" s="152">
        <f>COUNTIF($EZ2:$FA2,2)+$EW2</f>
        <v/>
      </c>
      <c r="FL2" s="152">
        <f>COUNTIF($EC2:$EF2,"?*")</f>
        <v/>
      </c>
      <c r="FM2" s="152">
        <f>COUNTIF($EG2:$EH2,"?*")+$EW2</f>
        <v/>
      </c>
      <c r="FN2" s="152">
        <f>SUMPRODUCT($FD2:$FI2,INDEX($Q$2:$V$8,$DZ2,0))</f>
        <v/>
      </c>
      <c r="FO2" s="152">
        <f>$FJ2*CEILING($DZ2/2,1)+$FK2*$DZ2</f>
        <v/>
      </c>
      <c r="FP2" s="152">
        <f>MIN(2*$DZ2,$FO2)</f>
        <v/>
      </c>
      <c r="FQ2" s="152">
        <f>MIN($FP2,$FN2)</f>
        <v/>
      </c>
      <c r="FR2" s="152">
        <f>$FP2-$FQ2</f>
        <v/>
      </c>
      <c r="FS2" s="152">
        <f>3*$DZ2-$FN2+$FQ2</f>
        <v/>
      </c>
      <c r="FT2" s="152">
        <f>MAX(0,$FS2)+$DX2*$DZ2</f>
        <v/>
      </c>
      <c r="FU2" s="152">
        <f>(IF(COUNTIF($EC2:$EF2,"Salto")&gt;0,1,0)+IF(COUNTIF($EC2:$EF2,"Queima")&gt;0,1,0)+IF(COUNTIF($EC2:$EF2,"Estilhaço")&gt;0,1,0))*FLOOR($FT2/2,1)</f>
        <v/>
      </c>
      <c r="FV2" s="152">
        <f>MAX(0,3-SUMPRODUCT($FD2:$FI2,$Q$2:$V$2)+MIN(2,$FJ2*1+$FK2*1,SUMPRODUCT($FD2:$FI2,$Q$2:$V$2)))+$DX2*1</f>
        <v/>
      </c>
      <c r="FW2" s="152">
        <f>MAX(0,6-SUMPRODUCT($FD2:$FI2,$Q$3:$V$3)+MIN(4,$FJ2*1+$FK2*2,SUMPRODUCT($FD2:$FI2,$Q$3:$V$3)))+$DX2*2</f>
        <v/>
      </c>
      <c r="FX2" s="152">
        <f>MAX(0,9-SUMPRODUCT($FD2:$FI2,$Q$4:$V$4)+MIN(6,$FJ2*2+$FK2*3,SUMPRODUCT($FD2:$FI2,$Q$4:$V$4)))+$DX2*3</f>
        <v/>
      </c>
      <c r="FY2" s="152">
        <f>MAX(0,12-SUMPRODUCT($FD2:$FI2,$Q$5:$V$5)+MIN(8,$FJ2*2+$FK2*4,SUMPRODUCT($FD2:$FI2,$Q$5:$V$5)))+$DX2*4</f>
        <v/>
      </c>
      <c r="FZ2" s="152">
        <f>MAX(0,15-SUMPRODUCT($FD2:$FI2,$Q$6:$V$6)+MIN(10,$FJ2*3+$FK2*5,SUMPRODUCT($FD2:$FI2,$Q$6:$V$6)))+$DX2*5</f>
        <v/>
      </c>
      <c r="GA2" s="152">
        <f>MAX(0,18-SUMPRODUCT($FD2:$FI2,$Q$7:$V$7)+MIN(12,$FJ2*3+$FK2*6,SUMPRODUCT($FD2:$FI2,$Q$7:$V$7)))+$DX2*6</f>
        <v/>
      </c>
      <c r="GB2" s="152">
        <f>MAX(0,21-SUMPRODUCT($FD2:$FI2,$Q$8:$V$8)+MIN(14,$FJ2*4+$FK2*7,SUMPRODUCT($FD2:$FI2,$Q$8:$V$8)))+$DX2*7</f>
        <v/>
      </c>
      <c r="GC2" s="152">
        <f>IF($EX2=2,3*$FV2&amp;" de vida temp.",IF($EX2=3,"sem dano",IF($FV2=0,IF($EX2=1,"sem cura","sem dano"),IF($EX2=1,"cura ","")&amp;$FV2&amp;"d8")))</f>
        <v/>
      </c>
      <c r="GD2" s="152">
        <f>IF($EX2=2,3*$FW2&amp;" de vida temp.",IF($EX2=3,"sem dano",IF($FW2=0,IF($EX2=1,"sem cura","sem dano"),IF($EX2=1,"cura ","")&amp;$FW2&amp;"d8")))</f>
        <v/>
      </c>
      <c r="GE2" s="152">
        <f>IF($EX2=2,3*$FX2&amp;" de vida temp.",IF($EX2=3,"sem dano",IF($FX2=0,IF($EX2=1,"sem cura","sem dano"),IF($EX2=1,"cura ","")&amp;$FX2&amp;"d8")))</f>
        <v/>
      </c>
      <c r="GF2" s="152">
        <f>IF($EX2=2,3*$FY2&amp;" de vida temp.",IF($EX2=3,"sem dano",IF($FY2=0,IF($EX2=1,"sem cura","sem dano"),IF($EX2=1,"cura ","")&amp;$FY2&amp;"d8")))</f>
        <v/>
      </c>
      <c r="GG2" s="152">
        <f>IF($EX2=2,3*$FZ2&amp;" de vida temp.",IF($EX2=3,"sem dano",IF($FZ2=0,IF($EX2=1,"sem cura","sem dano"),IF($EX2=1,"cura ","")&amp;$FZ2&amp;"d8")))</f>
        <v/>
      </c>
      <c r="GH2" s="152">
        <f>IF($EX2=2,3*$GA2&amp;" de vida temp.",IF($EX2=3,"sem dano",IF($GA2=0,IF($EX2=1,"sem cura","sem dano"),IF($EX2=1,"cura ","")&amp;$GA2&amp;"d8")))</f>
        <v/>
      </c>
      <c r="GI2" s="152">
        <f>IF($EX2=2,3*$GB2&amp;" de vida temp.",IF($EX2=3,"sem dano",IF($GB2=0,IF($EX2=1,"sem cura","sem dano"),IF($EX2=1,"cura ","")&amp;$GB2&amp;"d8")))</f>
        <v/>
      </c>
      <c r="GJ2" s="152">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2">
        <f>IF($GJ2="",0,(LEN($GJ2)-LEN(SUBSTITUTE($GJ2," · ","")))/3+1)</f>
        <v/>
      </c>
      <c r="GL2" s="152">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2">
        <f>IF($GL2="",0,(LEN($GL2)-LEN(SUBSTITUTE($GL2," · ","")))/3+1)</f>
        <v/>
      </c>
      <c r="GN2" s="152">
        <f>IF($EI2=0,IF($FL2+$FM2-$EW2&gt;0,"Dê um nome",""),IF($GK2&gt;0,"⚠ "&amp;$GK2&amp;IF($GK2&gt;1," erros"," erro"),IF($GM2&gt;0,"! "&amp;$GM2&amp;IF($GM2&gt;1," avisos"," aviso"),"Na regra")))</f>
        <v/>
      </c>
      <c r="GO2" s="152">
        <f>IF($EI2=0,"",IF($GK2+$GM2=0,"Dentro das regras que a ficha confere",$GJ2&amp;IF(AND($GK2&gt;0,$GM2&gt;0)," · ","")&amp;$GL2))</f>
        <v/>
      </c>
      <c r="GP2" s="152">
        <f>IF($EI2=0,"",IF($DX2=1,CEILING(4.5*$DZ2,1),3*$DZ2)&amp;" PE")</f>
        <v/>
      </c>
      <c r="GQ2" s="152">
        <f>IF($EI2=0,"",IF($DX2=1,"Rodada inteira",IF(COUNTIF($FB2:$FC2,"Atrasar")&gt;0,IF(COUNTIF($FB2:$FC2,"Carregar")&gt;0,"Rodada +1 turno","Rodada inteira"),IF(COUNTIF($EC2:$EF2,"Rápido")&gt;0,"Bônus",IF(COUNTIF($EC2:$EF2,"Reação")&gt;0,"Reação","Padrão"))&amp;IF(COUNTIF($FB2:$FC2,"Carregar")&gt;0," +1 turno",""))))</f>
        <v/>
      </c>
      <c r="GR2" s="152">
        <f>IF(OR($EI2=0,$EJ2=0),"",IF(COUNTIF($EC2:$EF2,"Inescapável")&gt;0,"Automático",IF(COUNTIF($EC2:$EF2,"Certeiro")&gt;0,"TR para metade",IF(AND($EV2&gt;0,$EY2=0,INDEX($AF$2:$AF$11,$EJ2)="Acerto"),"Acerto + TR",INDEX($AF$2:$AF$11,$EJ2)))))</f>
        <v/>
      </c>
      <c r="GS2" s="152">
        <f>IF(OR($EI2=0,$EJ2=0),"",IF(OR($EX2&gt;=2,$FT2=0),UPPER(LEFT(INDEX($GC2:$GI2,1,$DZ2),1))&amp;MID(INDEX($GC2:$GI2,1,$DZ2),2,99),UPPER(LEFT(INDEX($GC2:$GI2,1,$DZ2),1))&amp;MID(INDEX($GC2:$GI2,1,$DZ2),2,99)&amp;" = "&amp;FLOOR($FT2*4.5,1)&amp;IF($FU2&gt;0," · +"&amp;$FU2&amp;"d8","")))</f>
        <v/>
      </c>
      <c r="GT2" s="152">
        <f>COUNTIF($EC2:$EF2,"Longe")+3*COUNTIF($EC2:$EF2,"Muito Longe")</f>
        <v/>
      </c>
      <c r="GU2" s="152">
        <f>COUNTIF($EC2:$EF2,"Maior")+3*COUNTIF($EC2:$EF2,"Muito Maior")</f>
        <v/>
      </c>
      <c r="GV2" s="152">
        <f>IF($EJ2=0,0,CHOOSE(1+INDEX($AH$2:$AH$11,$EJ2),0,$GT2,$GU2,$GT2+$GU2))</f>
        <v/>
      </c>
      <c r="GW2" s="152">
        <f>IF($EJ2=0,0,CHOOSE(1+INDEX($AI$2:$AI$11,$EJ2),0,$GT2,$GU2,$GT2+$GU2))</f>
        <v/>
      </c>
      <c r="GX2" s="152">
        <f>IF(OR($EI2=0,$EJ2=0),"",INDEX($AP$2:$AU$31,($EJ2-1)*3+IF($DZ2&gt;=6,3,2),1+MIN(5,$GV2))&amp;INDEX($AV$2:$BA$31,($EJ2-1)*3+IF($DZ2&gt;=6,3,2),1+MIN(5,$GW2))&amp;IF(INDEX($AJ$2:$AJ$11,$EJ2)=1,IF(COUNTIF($EC2:$EF2,"Mais Um")&gt;0," · +"&amp;COUNTIF($EC2:$EF2,"Mais Um")&amp;IF(COUNTIF($EC2:$EF2,"Mais Um")&gt;1," alvos"," alvo"),"")&amp;IF(COUNTIF($EC2:$EF2,"Rajada")&gt;0," · "&amp;($DZ2+1)&amp;" tiros",""),""))</f>
        <v/>
      </c>
      <c r="GY2" s="152">
        <f>IF($EI2=0,"",3*$DZ2&amp;" − "&amp;$FN2&amp;" + "&amp;$FQ2&amp;IF($DX2=1," + "&amp;$DZ2,"")&amp;" = "&amp;$FT2&amp;"d8 · teto "&amp;4*$DZ2&amp;IF($EW2=1," · a Forma devolve "&amp;$DZ2,"")&amp;IF($FR2&gt;0," · perde "&amp;$FR2,""))</f>
        <v/>
      </c>
      <c r="GZ2" s="152">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2">
        <f>IF(OR($EI2=0,$EL2=0),"","−"&amp;INDEX($Q$2:$V$8,$DZ2,$EL2)&amp;" · "&amp;CHOOSE($EL2,"Leve","Média","Pesada","Leve · Livre","Média · Livre","Pesada · Livre"))</f>
        <v/>
      </c>
      <c r="HB2" s="152">
        <f>IF(OR($EI2=0,$EM2=0),"","−"&amp;INDEX($Q$2:$V$8,$DZ2,$EM2)&amp;" · "&amp;CHOOSE($EM2,"Leve","Média","Pesada","Leve · Livre","Média · Livre","Pesada · Livre"))</f>
        <v/>
      </c>
      <c r="HC2" s="152">
        <f>IF(OR($EI2=0,$EN2=0),"","−"&amp;INDEX($Q$2:$V$8,$DZ2,$EN2)&amp;" · "&amp;CHOOSE($EN2,"Leve","Média","Pesada","Leve · Livre","Média · Livre","Pesada · Livre"))</f>
        <v/>
      </c>
      <c r="HD2" s="152">
        <f>IF(OR($EI2=0,$EO2=0),"","−"&amp;INDEX($Q$2:$V$8,$DZ2,$EO2)&amp;" · "&amp;CHOOSE($EO2,"Leve","Média","Pesada","Leve · Livre","Média · Livre","Pesada · Livre"))</f>
        <v/>
      </c>
      <c r="HE2" s="152">
        <f>IF(OR($EI2=0,$EG2=""),"","+"&amp;IF($EZ2=1,CEILING($DZ2/2,1),$DZ2))</f>
        <v/>
      </c>
      <c r="HF2" s="152">
        <f>IF(OR($EI2=0,$EH2=""),"","+"&amp;IF($FA2=1,CEILING($DZ2/2,1),$DZ2))</f>
        <v/>
      </c>
      <c r="HG2" s="152">
        <f>'FICHA AMALDIÇOADA'!$D$53&amp;""</f>
        <v/>
      </c>
      <c r="HH2" s="152">
        <f>IF(AND($EI2=1,$DX2=0),COUNTIFS($EI$2:$EI2,1,$DX$2:$DX2,0),"")</f>
        <v/>
      </c>
      <c r="HJ2" s="150" t="inlineStr">
        <is>
          <t>nível</t>
        </is>
      </c>
      <c r="HK2" s="152">
        <f>N(FICHA!$AH$11)</f>
        <v/>
      </c>
      <c r="HM2" s="150" t="inlineStr">
        <is>
          <t>Talento 1</t>
        </is>
      </c>
      <c r="HN2" s="152">
        <f>'FICHA AMALDIÇOADA'!$D$379&amp;""</f>
        <v/>
      </c>
      <c r="HO2" s="152">
        <f>IFERROR(VLOOKUP($HN2,$BS$2:$BY$24,2,FALSE),0)</f>
        <v/>
      </c>
      <c r="HP2" s="152">
        <f>IFERROR(VLOOKUP($HO2,$CA$2:$CB$4,2,FALSE),0)</f>
        <v/>
      </c>
      <c r="HQ2" s="152">
        <f>IFERROR(VLOOKUP($HN2,$BS$2:$BY$24,3,FALSE),"")</f>
        <v/>
      </c>
      <c r="HR2" s="152">
        <f>IF($HO2=0,"",IF($HP2&gt;$HK$2,"⚠ Nível "&amp;$HP2,"CE "&amp;$HO2))</f>
        <v/>
      </c>
      <c r="HS2" s="152">
        <f>IF($HO2=0,"",$HO2&amp;" esp.")</f>
        <v/>
      </c>
      <c r="HT2" s="152">
        <f>'FICHA AMALDIÇOADA'!$E$384&amp;""</f>
        <v/>
      </c>
      <c r="HU2" s="152">
        <f>IF($HN2="","",COUNTIF($HN$2:$HN2,"?*"))</f>
        <v/>
      </c>
      <c r="HW2" s="150" t="inlineStr">
        <is>
          <t>Aptidão 1</t>
        </is>
      </c>
      <c r="HX2" s="152">
        <f>'FICHA AMALDIÇOADA'!$D$430&amp;""</f>
        <v/>
      </c>
      <c r="HY2" s="152">
        <f>IF($HX2="","","Requisito: "&amp;IFERROR(VLOOKUP($HX2,$CD$2:$CM$33,2,FALSE),""))</f>
        <v/>
      </c>
      <c r="HZ2" s="152">
        <f>IF($HX2="","",IFERROR(IF(ISNUMBER(VLOOKUP($HX2,$CD$2:$CM$33,3,FALSE)),"CE "&amp;VLOOKUP($HX2,$CD$2:$CM$33,3,FALSE),VLOOKUP($HX2,$CD$2:$CM$33,3,FALSE)),""))</f>
        <v/>
      </c>
      <c r="IA2" s="152">
        <f>IF($HX2="","",IFERROR(VLOOKUP($HX2,$CD$2:$CM$33,4,FALSE),""))</f>
        <v/>
      </c>
      <c r="IB2" s="152">
        <f>IF($HX2="","",IFERROR(VLOOKUP($HX2,$CD$2:$CM$33,5,FALSE),""))</f>
        <v/>
      </c>
      <c r="IC2" s="152">
        <f>'FICHA AMALDIÇOADA'!$E$447&amp;""</f>
        <v/>
      </c>
      <c r="ID2" s="152">
        <f>IF($HX2="","",COUNTIF($HX$2:$HX2,"?*"))</f>
        <v/>
      </c>
      <c r="IF2" s="150" t="inlineStr">
        <is>
          <t>Classe 0 · 1</t>
        </is>
      </c>
      <c r="IG2" s="152">
        <f>'FICHA AMALDIÇOADA'!$F$310&amp;""</f>
        <v/>
      </c>
      <c r="IH2" s="152">
        <f>'FICHA AMALDIÇOADA'!$J$310&amp;""</f>
        <v/>
      </c>
      <c r="II2" s="152">
        <f>'FICHA AMALDIÇOADA'!$L$310&amp;""</f>
        <v/>
      </c>
      <c r="IJ2" s="152">
        <f>IFERROR(MATCH($IG2,$Y$2:$Y$11,0),0)</f>
        <v/>
      </c>
      <c r="IK2" s="152">
        <f>$HK$11-IF($IH2&lt;&gt;"",1,0)</f>
        <v/>
      </c>
      <c r="IL2" s="152">
        <f>IF(1&gt;$HK$10,"Nível 1",IF($IJ2=0,"",IF(INDEX($AE$2:$AE$11,$IJ2)&gt;=2,"—",$IK2&amp;"d8 = "&amp;FLOOR($IK2*4.5,1))))</f>
        <v/>
      </c>
      <c r="IM2" s="152">
        <f>IF(OR(1&gt;$HK$10,$IJ2=0),"",INDEX($AP$2:$AU$31,($IJ2-1)*3+1,1+IF(OR(AND($IH2="Longe",INDEX($AH$2:$AH$11,$IJ2)&lt;&gt;2),AND($IH2="Maior",INDEX($AH$2:$AH$11,$IJ2)&gt;=2)),1,0))&amp;INDEX($AV$2:$BA$31,($IJ2-1)*3+1,1+IF(AND($IH2="Longe",INDEX($AI$2:$AI$11,$IJ2)=1),1,0)))</f>
        <v/>
      </c>
      <c r="IO2" s="150" t="inlineStr">
        <is>
          <t>Técnica</t>
        </is>
      </c>
      <c r="IP2" s="152">
        <f>ADDRESS(ROW('FICHA AMALDIÇOADA'!D7),COLUMN('FICHA AMALDIÇOADA'!D7),4)</f>
        <v/>
      </c>
      <c r="IQ2" s="152">
        <f>ADDRESS(ROW('FICHA AMALDIÇOADA'!D9),COLUMN('FICHA AMALDIÇOADA'!D9),4)</f>
        <v/>
      </c>
      <c r="IR2" s="150" t="inlineStr">
        <is>
          <t>DADOS_AM!$IO$2</t>
        </is>
      </c>
      <c r="IT2" s="150" t="inlineStr">
        <is>
          <t>Caminho 2</t>
        </is>
      </c>
      <c r="IU2" s="152" t="n">
        <v>2</v>
      </c>
      <c r="IV2" s="152">
        <f>IF($HK$2&gt;=2,"Nível 2","Abre no 2")</f>
        <v/>
      </c>
      <c r="IW2" s="152">
        <f>ADDRESS(ROW(FICHA!G92),COLUMN(FICHA!G92),4)</f>
        <v/>
      </c>
      <c r="IX2" s="152">
        <f>ADDRESS(ROW(FICHA!D93),COLUMN(FICHA!D93),4)</f>
        <v/>
      </c>
      <c r="IZ2" s="150" t="inlineStr">
        <is>
          <t>Caminho · Anotações</t>
        </is>
      </c>
      <c r="JA2" s="152">
        <f>ADDRESS(ROW(FICHA!D123),COLUMN(FICHA!D123),4)</f>
        <v/>
      </c>
      <c r="JC2" s="150" t="inlineStr">
        <is>
          <t>Caminho</t>
        </is>
      </c>
      <c r="JD2" s="152">
        <f>"CAMINHO"&amp;IF(OR(FICHA!$D$11="",LEFT(FICHA!$D$11,7)="Escolha"),"","  ·  "&amp;UPPER(FICHA!$D$11))&amp;"  ·  CINCO NÍVEIS"</f>
        <v/>
      </c>
      <c r="JF2" s="152" t="n">
        <v>1</v>
      </c>
      <c r="JG2" s="152">
        <f>IFERROR(MATCH(1,$HH$2:$HH$37,0),0)</f>
        <v/>
      </c>
      <c r="JH2" s="152">
        <f>IF($JG2=0,"",INDEX($DZ$2:$DZ$37,$JG2))</f>
        <v/>
      </c>
      <c r="JI2" s="152">
        <f>IF($JG2=0,"",INDEX($EA$2:$EA$37,$JG2))</f>
        <v/>
      </c>
      <c r="JJ2" s="152">
        <f>IF($JG2=0,"",INDEX($GP$2:$GP$37,$JG2))</f>
        <v/>
      </c>
      <c r="JK2" s="152">
        <f>IF($JG2=0,"",INDEX($EB$2:$EB$37,$JG2))</f>
        <v/>
      </c>
      <c r="JL2" s="152">
        <f>IF($JG2=0,"",INDEX($GR$2:$GR$37,$JG2))</f>
        <v/>
      </c>
      <c r="JM2" s="152">
        <f>IF($JG2=0,"",INDEX($HG$2:$HG$37,$JG2))</f>
        <v/>
      </c>
      <c r="JO2" s="152" t="n">
        <v>1</v>
      </c>
      <c r="JP2" s="152">
        <f>IF($EI$38=0,"",$DZ$38)</f>
        <v/>
      </c>
      <c r="JQ2" s="152">
        <f>IF($EI$38=0,"",$EA$38)</f>
        <v/>
      </c>
      <c r="JR2" s="152">
        <f>IF($EI$38=0,"",$GP$38)</f>
        <v/>
      </c>
      <c r="JS2" s="152">
        <f>IF($EI$38=0,"",$EB$38)</f>
        <v/>
      </c>
      <c r="JT2" s="152">
        <f>IF($EI$38=0,"",$GR$38)</f>
        <v/>
      </c>
      <c r="JU2" s="152">
        <f>IF($EI$38=0,"",$HG$38)</f>
        <v/>
      </c>
      <c r="JW2" s="150" t="inlineStr">
        <is>
          <t>Técnica Máxima</t>
        </is>
      </c>
      <c r="JX2" s="152">
        <f>'FICHA AMALDIÇOADA'!$D$343&amp;""</f>
        <v/>
      </c>
      <c r="JY2" s="152">
        <f>IF('FICHA AMALDIÇOADA'!$D$343="","",IF(ISNUMBER('FICHA AMALDIÇOADA'!$P$343),'FICHA AMALDIÇOADA'!$P$343&amp;" PE",'FICHA AMALDIÇOADA'!$P$343&amp;""))</f>
        <v/>
      </c>
      <c r="JZ2" s="152">
        <f>IF('FICHA AMALDIÇOADA'!$D$343="","",'FICHA AMALDIÇOADA'!$J$343&amp;"")</f>
        <v/>
      </c>
      <c r="KA2" s="152">
        <f>IF('FICHA AMALDIÇOADA'!$D$343="","",IFERROR(VLOOKUP('FICHA AMALDIÇOADA'!$J$343,$Y$2:$AM$11,8,FALSE),""))</f>
        <v/>
      </c>
      <c r="KB2" s="152">
        <f>'FICHA AMALDIÇOADA'!$D$349&amp;""</f>
        <v/>
      </c>
      <c r="KD2" s="150" t="inlineStr">
        <is>
          <t>Expressão da técnica</t>
        </is>
      </c>
      <c r="KE2" s="152" t="n">
        <v>0</v>
      </c>
      <c r="KF2" s="150" t="inlineStr">
        <is>
          <t>Livre</t>
        </is>
      </c>
      <c r="KG2" s="150" t="inlineStr">
        <is>
          <t>Expressão da técnica</t>
        </is>
      </c>
      <c r="KH2" s="152">
        <f>'FICHA AMALDIÇOADA'!$L$29&amp;""</f>
        <v/>
      </c>
      <c r="KJ2" s="150" t="inlineStr">
        <is>
          <t>De graça 1</t>
        </is>
      </c>
      <c r="KK2" s="152" t="n">
        <v>0</v>
      </c>
      <c r="KL2" s="150" t="inlineStr">
        <is>
          <t>—</t>
        </is>
      </c>
      <c r="KM2" s="152">
        <f>INDEX($D$9:$G$9,1,$A$2)</f>
        <v/>
      </c>
      <c r="KN2" s="152">
        <f>'FICHA AMALDIÇOADA'!$J$424&amp;" · "&amp;INDEX($D$11:$G$11,1,$A$2)&amp;": "&amp;'FICHA AMALDIÇOADA'!$P$424&amp;". "&amp;"Do livro: "&amp;IFERROR(VLOOKUP($KM2,$CD$2:$CM$33,10,FALSE),"")</f>
        <v/>
      </c>
      <c r="KP2" s="150" t="inlineStr">
        <is>
          <t>título</t>
        </is>
      </c>
      <c r="KQ2" s="152">
        <f>"MENU RÁPIDO · "&amp;UPPER(INDEX($D$3:$G$3,1,$A$2))&amp;", TALENTOS E "&amp;UPPER(INDEX($D$6:$G$6,1,$A$2))</f>
        <v/>
      </c>
      <c r="KS2" s="150" t="inlineStr">
        <is>
          <t>D12</t>
        </is>
      </c>
      <c r="KT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K3" s="152" t="n">
        <v>0</v>
      </c>
      <c r="BM3" s="150" t="inlineStr">
        <is>
          <t>Atrasar</t>
        </is>
      </c>
      <c r="BN3" s="150" t="inlineStr">
        <is>
          <t>Atrasar</t>
        </is>
      </c>
      <c r="BO3" s="152" t="n">
        <v>2</v>
      </c>
      <c r="BP3" s="152" t="n">
        <v>0</v>
      </c>
      <c r="BQ3" s="150" t="inlineStr"/>
      <c r="BS3" s="150" t="inlineStr">
        <is>
          <t>Instinto</t>
        </is>
      </c>
      <c r="BT3" s="152" t="n">
        <v>1</v>
      </c>
      <c r="BU3" s="150" t="inlineStr">
        <is>
          <t>Você não é pego de surpresa enquanto estiver acordado. Isso não revela criaturas escondidas, não muda sua posição na iniciativa e não concede uma ação adicional.</t>
        </is>
      </c>
      <c r="BV3" s="152" t="n">
        <v>1</v>
      </c>
      <c r="BW3" s="152" t="n">
        <v>0</v>
      </c>
      <c r="BX3" s="152">
        <f>IF(OR(AND($A$2&lt;=2,$BV3=1),AND($A$2&gt;=2,$BW3=1)),$BS3,"")</f>
        <v/>
      </c>
      <c r="BY3" s="150" t="inlineStr">
        <is>
          <t>Você não é pego de surpresa enquanto estiver acordado. Isso não revela criaturas escondidas, não muda sua posição na iniciativa e não concede uma ação adicional.</t>
        </is>
      </c>
      <c r="CA3" s="152" t="n">
        <v>2</v>
      </c>
      <c r="CB3" s="152" t="n">
        <v>7</v>
      </c>
      <c r="CD3" s="150" t="inlineStr">
        <is>
          <t>Canalizar Energia</t>
        </is>
      </c>
      <c r="CE3" s="150" t="inlineStr">
        <is>
          <t>Gratuita no Refino 1</t>
        </is>
      </c>
      <c r="CF3" s="150" t="inlineStr">
        <is>
          <t>—</t>
        </is>
      </c>
      <c r="CG3" s="150" t="inlineStr">
        <is>
          <t>Dados adicionais</t>
        </is>
      </c>
      <c r="CH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2">
        <f>IF($CL3=1,"",IF($A$2=4,IF($CJ3=1,$CD3,""),IF(OR($CJ3=1,AND($A$2=3,$CK3=1)),"",$CD3)))</f>
        <v/>
      </c>
      <c r="CJ3" s="152" t="n">
        <v>0</v>
      </c>
      <c r="CK3" s="152" t="n">
        <v>0</v>
      </c>
      <c r="CL3" s="152" t="n">
        <v>1</v>
      </c>
      <c r="CM3" s="150" t="inlineStr">
        <is>
          <t>Você envolve seus golpes em energia amaldiçoada.</t>
        </is>
      </c>
      <c r="CO3" s="150" t="inlineStr">
        <is>
          <t>Energia Reversa</t>
        </is>
      </c>
      <c r="CQ3" s="150" t="inlineStr">
        <is>
          <t>Ferramenta de atacar</t>
        </is>
      </c>
      <c r="CS3" s="152">
        <f>IF($A$2=2,IFERROR(INDEX($CO$2:$CO$5,2),""),IF($A$2&gt;=3,IFERROR(INDEX($CQ$2:$CQ$4,2),""),""))</f>
        <v/>
      </c>
      <c r="CU3" s="150" t="inlineStr">
        <is>
          <t>Balestra</t>
        </is>
      </c>
      <c r="CV3" s="152" t="n">
        <v>0</v>
      </c>
      <c r="CW3" s="152" t="n">
        <v>1</v>
      </c>
      <c r="CX3" s="152">
        <f>IF(AND($A$2&gt;=3,'FICHA AMALDIÇOADA'!$J$16&amp;""="Três grupos de arma"),$CU3,"")</f>
        <v/>
      </c>
      <c r="CZ3" s="152" t="n">
        <v>5</v>
      </c>
      <c r="DA3" s="152" t="n">
        <v>3</v>
      </c>
      <c r="DB3" s="152" t="n">
        <v>3</v>
      </c>
      <c r="DD3" s="152" t="n">
        <v>20</v>
      </c>
      <c r="DF3" s="152" t="n">
        <v>4</v>
      </c>
      <c r="DH3" s="152" t="n">
        <v>21</v>
      </c>
      <c r="DI3" s="152" t="n">
        <v>28</v>
      </c>
      <c r="DJ3" s="152" t="n">
        <v>12</v>
      </c>
      <c r="DL3" s="150" t="inlineStr">
        <is>
          <t>Completa</t>
        </is>
      </c>
      <c r="DM3" s="152" t="n">
        <v>3</v>
      </c>
      <c r="DN3" s="152" t="n">
        <v>14</v>
      </c>
      <c r="DO3" s="152" t="n">
        <v>5</v>
      </c>
      <c r="DP3" s="150" t="inlineStr">
        <is>
          <t>Incompleta, nível 14 e refino 5</t>
        </is>
      </c>
      <c r="DR3" s="150" t="inlineStr">
        <is>
          <t>Temporário</t>
        </is>
      </c>
      <c r="DS3" s="150" t="inlineStr">
        <is>
          <t>No seu turno, como Ação Bônus ou Reação</t>
        </is>
      </c>
      <c r="DU3" s="150" t="inlineStr">
        <is>
          <t>Um espaço conhecido</t>
        </is>
      </c>
      <c r="DW3" s="150" t="inlineStr">
        <is>
          <t>Feitiço 2</t>
        </is>
      </c>
      <c r="DX3" s="152" t="n">
        <v>0</v>
      </c>
      <c r="DY3" s="152" t="n">
        <v>2</v>
      </c>
      <c r="DZ3" s="152">
        <f>MAX(1,MIN(7,N('FICHA AMALDIÇOADA'!$J$51)))</f>
        <v/>
      </c>
      <c r="EA3" s="152">
        <f>'FICHA AMALDIÇOADA'!$K$51&amp;""</f>
        <v/>
      </c>
      <c r="EB3" s="152">
        <f>'FICHA AMALDIÇOADA'!$J$58&amp;""</f>
        <v/>
      </c>
      <c r="EC3" s="152">
        <f>'FICHA AMALDIÇOADA'!$K$60&amp;""</f>
        <v/>
      </c>
      <c r="ED3" s="152">
        <f>'FICHA AMALDIÇOADA'!$K$61&amp;""</f>
        <v/>
      </c>
      <c r="EE3" s="152">
        <f>'FICHA AMALDIÇOADA'!$K$62&amp;""</f>
        <v/>
      </c>
      <c r="EF3" s="152">
        <f>'FICHA AMALDIÇOADA'!$K$63&amp;""</f>
        <v/>
      </c>
      <c r="EG3" s="152">
        <f>'FICHA AMALDIÇOADA'!$K$64&amp;""</f>
        <v/>
      </c>
      <c r="EH3" s="152">
        <f>'FICHA AMALDIÇOADA'!$K$65&amp;""</f>
        <v/>
      </c>
      <c r="EI3" s="152">
        <f>IF($EA3&lt;&gt;"",1,0)</f>
        <v/>
      </c>
      <c r="EJ3" s="152">
        <f>IFERROR(MATCH($EB3,$Y$2:$Y$11,0),0)</f>
        <v/>
      </c>
      <c r="EK3" s="152">
        <f>IF($EJ3=0,0,INDEX($AB$2:$AB$11,$EJ3))</f>
        <v/>
      </c>
      <c r="EL3" s="152">
        <f>IFERROR(VLOOKUP($EC3,$BC$2:$BK$84,4,FALSE),0)</f>
        <v/>
      </c>
      <c r="EM3" s="152">
        <f>IFERROR(VLOOKUP($ED3,$BC$2:$BK$84,4,FALSE),0)</f>
        <v/>
      </c>
      <c r="EN3" s="152">
        <f>IFERROR(VLOOKUP($EE3,$BC$2:$BK$84,4,FALSE),0)</f>
        <v/>
      </c>
      <c r="EO3" s="152">
        <f>IFERROR(VLOOKUP($EF3,$BC$2:$BK$84,4,FALSE),0)</f>
        <v/>
      </c>
      <c r="EP3" s="152">
        <f>IF($EJ3=0,0,INDEX($AC$2:$AC$11,$EJ3))</f>
        <v/>
      </c>
      <c r="EQ3" s="152">
        <f>IFERROR(VLOOKUP($EC3,$BC$2:$BK$84,5,FALSE),0)</f>
        <v/>
      </c>
      <c r="ER3" s="152">
        <f>IFERROR(VLOOKUP($ED3,$BC$2:$BK$84,5,FALSE),0)</f>
        <v/>
      </c>
      <c r="ES3" s="152">
        <f>IFERROR(VLOOKUP($EE3,$BC$2:$BK$84,5,FALSE),0)</f>
        <v/>
      </c>
      <c r="ET3" s="152">
        <f>IFERROR(VLOOKUP($EF3,$BC$2:$BK$84,5,FALSE),0)</f>
        <v/>
      </c>
      <c r="EU3" s="152">
        <f>IFERROR(VLOOKUP($EC3,$BC$2:$BK$84,6,FALSE),0)+IFERROR(VLOOKUP($ED3,$BC$2:$BK$84,6,FALSE),0)+IFERROR(VLOOKUP($EE3,$BC$2:$BK$84,6,FALSE),0)+IFERROR(VLOOKUP($EF3,$BC$2:$BK$84,6,FALSE),0)</f>
        <v/>
      </c>
      <c r="EV3" s="152">
        <f>IFERROR(VLOOKUP($EC3,$BC$2:$BK$84,9,FALSE),0)+IFERROR(VLOOKUP($ED3,$BC$2:$BK$84,9,FALSE),0)+IFERROR(VLOOKUP($EE3,$BC$2:$BK$84,9,FALSE),0)+IFERROR(VLOOKUP($EF3,$BC$2:$BK$84,9,FALSE),0)</f>
        <v/>
      </c>
      <c r="EW3" s="152">
        <f>IF($EJ3=0,0,INDEX($AD$2:$AD$11,$EJ3))</f>
        <v/>
      </c>
      <c r="EX3" s="152">
        <f>IF($EJ3=0,0,INDEX($AE$2:$AE$11,$EJ3))</f>
        <v/>
      </c>
      <c r="EY3" s="152">
        <f>IF($EJ3=0,0,INDEX($AG$2:$AG$11,$EJ3))</f>
        <v/>
      </c>
      <c r="EZ3" s="152">
        <f>IFERROR(VLOOKUP($EG3,$BM$2:$BQ$24,3,FALSE),0)</f>
        <v/>
      </c>
      <c r="FA3" s="152">
        <f>IFERROR(VLOOKUP($EH3,$BM$2:$BQ$24,3,FALSE),0)</f>
        <v/>
      </c>
      <c r="FB3" s="152">
        <f>IFERROR(VLOOKUP($EG3,$BM$2:$BQ$24,2,FALSE),"")</f>
        <v/>
      </c>
      <c r="FC3" s="152">
        <f>IFERROR(VLOOKUP($EH3,$BM$2:$BQ$24,2,FALSE),"")</f>
        <v/>
      </c>
      <c r="FD3" s="152">
        <f>COUNTIF($EK3:$EO3,1)</f>
        <v/>
      </c>
      <c r="FE3" s="152">
        <f>COUNTIF($EK3:$EO3,2)</f>
        <v/>
      </c>
      <c r="FF3" s="152">
        <f>COUNTIF($EK3:$EO3,3)</f>
        <v/>
      </c>
      <c r="FG3" s="152">
        <f>COUNTIF($EK3:$EO3,4)</f>
        <v/>
      </c>
      <c r="FH3" s="152">
        <f>COUNTIF($EK3:$EO3,5)</f>
        <v/>
      </c>
      <c r="FI3" s="152">
        <f>COUNTIF($EK3:$EO3,6)</f>
        <v/>
      </c>
      <c r="FJ3" s="152">
        <f>COUNTIF($EZ3:$FA3,1)</f>
        <v/>
      </c>
      <c r="FK3" s="152">
        <f>COUNTIF($EZ3:$FA3,2)+$EW3</f>
        <v/>
      </c>
      <c r="FL3" s="152">
        <f>COUNTIF($EC3:$EF3,"?*")</f>
        <v/>
      </c>
      <c r="FM3" s="152">
        <f>COUNTIF($EG3:$EH3,"?*")+$EW3</f>
        <v/>
      </c>
      <c r="FN3" s="152">
        <f>SUMPRODUCT($FD3:$FI3,INDEX($Q$2:$V$8,$DZ3,0))</f>
        <v/>
      </c>
      <c r="FO3" s="152">
        <f>$FJ3*CEILING($DZ3/2,1)+$FK3*$DZ3</f>
        <v/>
      </c>
      <c r="FP3" s="152">
        <f>MIN(2*$DZ3,$FO3)</f>
        <v/>
      </c>
      <c r="FQ3" s="152">
        <f>MIN($FP3,$FN3)</f>
        <v/>
      </c>
      <c r="FR3" s="152">
        <f>$FP3-$FQ3</f>
        <v/>
      </c>
      <c r="FS3" s="152">
        <f>3*$DZ3-$FN3+$FQ3</f>
        <v/>
      </c>
      <c r="FT3" s="152">
        <f>MAX(0,$FS3)+$DX3*$DZ3</f>
        <v/>
      </c>
      <c r="FU3" s="152">
        <f>(IF(COUNTIF($EC3:$EF3,"Salto")&gt;0,1,0)+IF(COUNTIF($EC3:$EF3,"Queima")&gt;0,1,0)+IF(COUNTIF($EC3:$EF3,"Estilhaço")&gt;0,1,0))*FLOOR($FT3/2,1)</f>
        <v/>
      </c>
      <c r="FV3" s="152">
        <f>MAX(0,3-SUMPRODUCT($FD3:$FI3,$Q$2:$V$2)+MIN(2,$FJ3*1+$FK3*1,SUMPRODUCT($FD3:$FI3,$Q$2:$V$2)))+$DX3*1</f>
        <v/>
      </c>
      <c r="FW3" s="152">
        <f>MAX(0,6-SUMPRODUCT($FD3:$FI3,$Q$3:$V$3)+MIN(4,$FJ3*1+$FK3*2,SUMPRODUCT($FD3:$FI3,$Q$3:$V$3)))+$DX3*2</f>
        <v/>
      </c>
      <c r="FX3" s="152">
        <f>MAX(0,9-SUMPRODUCT($FD3:$FI3,$Q$4:$V$4)+MIN(6,$FJ3*2+$FK3*3,SUMPRODUCT($FD3:$FI3,$Q$4:$V$4)))+$DX3*3</f>
        <v/>
      </c>
      <c r="FY3" s="152">
        <f>MAX(0,12-SUMPRODUCT($FD3:$FI3,$Q$5:$V$5)+MIN(8,$FJ3*2+$FK3*4,SUMPRODUCT($FD3:$FI3,$Q$5:$V$5)))+$DX3*4</f>
        <v/>
      </c>
      <c r="FZ3" s="152">
        <f>MAX(0,15-SUMPRODUCT($FD3:$FI3,$Q$6:$V$6)+MIN(10,$FJ3*3+$FK3*5,SUMPRODUCT($FD3:$FI3,$Q$6:$V$6)))+$DX3*5</f>
        <v/>
      </c>
      <c r="GA3" s="152">
        <f>MAX(0,18-SUMPRODUCT($FD3:$FI3,$Q$7:$V$7)+MIN(12,$FJ3*3+$FK3*6,SUMPRODUCT($FD3:$FI3,$Q$7:$V$7)))+$DX3*6</f>
        <v/>
      </c>
      <c r="GB3" s="152">
        <f>MAX(0,21-SUMPRODUCT($FD3:$FI3,$Q$8:$V$8)+MIN(14,$FJ3*4+$FK3*7,SUMPRODUCT($FD3:$FI3,$Q$8:$V$8)))+$DX3*7</f>
        <v/>
      </c>
      <c r="GC3" s="152">
        <f>IF($EX3=2,3*$FV3&amp;" de vida temp.",IF($EX3=3,"sem dano",IF($FV3=0,IF($EX3=1,"sem cura","sem dano"),IF($EX3=1,"cura ","")&amp;$FV3&amp;"d8")))</f>
        <v/>
      </c>
      <c r="GD3" s="152">
        <f>IF($EX3=2,3*$FW3&amp;" de vida temp.",IF($EX3=3,"sem dano",IF($FW3=0,IF($EX3=1,"sem cura","sem dano"),IF($EX3=1,"cura ","")&amp;$FW3&amp;"d8")))</f>
        <v/>
      </c>
      <c r="GE3" s="152">
        <f>IF($EX3=2,3*$FX3&amp;" de vida temp.",IF($EX3=3,"sem dano",IF($FX3=0,IF($EX3=1,"sem cura","sem dano"),IF($EX3=1,"cura ","")&amp;$FX3&amp;"d8")))</f>
        <v/>
      </c>
      <c r="GF3" s="152">
        <f>IF($EX3=2,3*$FY3&amp;" de vida temp.",IF($EX3=3,"sem dano",IF($FY3=0,IF($EX3=1,"sem cura","sem dano"),IF($EX3=1,"cura ","")&amp;$FY3&amp;"d8")))</f>
        <v/>
      </c>
      <c r="GG3" s="152">
        <f>IF($EX3=2,3*$FZ3&amp;" de vida temp.",IF($EX3=3,"sem dano",IF($FZ3=0,IF($EX3=1,"sem cura","sem dano"),IF($EX3=1,"cura ","")&amp;$FZ3&amp;"d8")))</f>
        <v/>
      </c>
      <c r="GH3" s="152">
        <f>IF($EX3=2,3*$GA3&amp;" de vida temp.",IF($EX3=3,"sem dano",IF($GA3=0,IF($EX3=1,"sem cura","sem dano"),IF($EX3=1,"cura ","")&amp;$GA3&amp;"d8")))</f>
        <v/>
      </c>
      <c r="GI3" s="152">
        <f>IF($EX3=2,3*$GB3&amp;" de vida temp.",IF($EX3=3,"sem dano",IF($GB3=0,IF($EX3=1,"sem cura","sem dano"),IF($EX3=1,"cura ","")&amp;$GB3&amp;"d8")))</f>
        <v/>
      </c>
      <c r="GJ3" s="152">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2">
        <f>IF($GJ3="",0,(LEN($GJ3)-LEN(SUBSTITUTE($GJ3," · ","")))/3+1)</f>
        <v/>
      </c>
      <c r="GL3" s="152">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2">
        <f>IF($GL3="",0,(LEN($GL3)-LEN(SUBSTITUTE($GL3," · ","")))/3+1)</f>
        <v/>
      </c>
      <c r="GN3" s="152">
        <f>IF($EI3=0,IF($FL3+$FM3-$EW3&gt;0,"Dê um nome",""),IF($GK3&gt;0,"⚠ "&amp;$GK3&amp;IF($GK3&gt;1," erros"," erro"),IF($GM3&gt;0,"! "&amp;$GM3&amp;IF($GM3&gt;1," avisos"," aviso"),"Na regra")))</f>
        <v/>
      </c>
      <c r="GO3" s="152">
        <f>IF($EI3=0,"",IF($GK3+$GM3=0,"Dentro das regras que a ficha confere",$GJ3&amp;IF(AND($GK3&gt;0,$GM3&gt;0)," · ","")&amp;$GL3))</f>
        <v/>
      </c>
      <c r="GP3" s="152">
        <f>IF($EI3=0,"",IF($DX3=1,CEILING(4.5*$DZ3,1),3*$DZ3)&amp;" PE")</f>
        <v/>
      </c>
      <c r="GQ3" s="152">
        <f>IF($EI3=0,"",IF($DX3=1,"Rodada inteira",IF(COUNTIF($FB3:$FC3,"Atrasar")&gt;0,IF(COUNTIF($FB3:$FC3,"Carregar")&gt;0,"Rodada +1 turno","Rodada inteira"),IF(COUNTIF($EC3:$EF3,"Rápido")&gt;0,"Bônus",IF(COUNTIF($EC3:$EF3,"Reação")&gt;0,"Reação","Padrão"))&amp;IF(COUNTIF($FB3:$FC3,"Carregar")&gt;0," +1 turno",""))))</f>
        <v/>
      </c>
      <c r="GR3" s="152">
        <f>IF(OR($EI3=0,$EJ3=0),"",IF(COUNTIF($EC3:$EF3,"Inescapável")&gt;0,"Automático",IF(COUNTIF($EC3:$EF3,"Certeiro")&gt;0,"TR para metade",IF(AND($EV3&gt;0,$EY3=0,INDEX($AF$2:$AF$11,$EJ3)="Acerto"),"Acerto + TR",INDEX($AF$2:$AF$11,$EJ3)))))</f>
        <v/>
      </c>
      <c r="GS3" s="152">
        <f>IF(OR($EI3=0,$EJ3=0),"",IF(OR($EX3&gt;=2,$FT3=0),UPPER(LEFT(INDEX($GC3:$GI3,1,$DZ3),1))&amp;MID(INDEX($GC3:$GI3,1,$DZ3),2,99),UPPER(LEFT(INDEX($GC3:$GI3,1,$DZ3),1))&amp;MID(INDEX($GC3:$GI3,1,$DZ3),2,99)&amp;" = "&amp;FLOOR($FT3*4.5,1)&amp;IF($FU3&gt;0," · +"&amp;$FU3&amp;"d8","")))</f>
        <v/>
      </c>
      <c r="GT3" s="152">
        <f>COUNTIF($EC3:$EF3,"Longe")+3*COUNTIF($EC3:$EF3,"Muito Longe")</f>
        <v/>
      </c>
      <c r="GU3" s="152">
        <f>COUNTIF($EC3:$EF3,"Maior")+3*COUNTIF($EC3:$EF3,"Muito Maior")</f>
        <v/>
      </c>
      <c r="GV3" s="152">
        <f>IF($EJ3=0,0,CHOOSE(1+INDEX($AH$2:$AH$11,$EJ3),0,$GT3,$GU3,$GT3+$GU3))</f>
        <v/>
      </c>
      <c r="GW3" s="152">
        <f>IF($EJ3=0,0,CHOOSE(1+INDEX($AI$2:$AI$11,$EJ3),0,$GT3,$GU3,$GT3+$GU3))</f>
        <v/>
      </c>
      <c r="GX3" s="152">
        <f>IF(OR($EI3=0,$EJ3=0),"",INDEX($AP$2:$AU$31,($EJ3-1)*3+IF($DZ3&gt;=6,3,2),1+MIN(5,$GV3))&amp;INDEX($AV$2:$BA$31,($EJ3-1)*3+IF($DZ3&gt;=6,3,2),1+MIN(5,$GW3))&amp;IF(INDEX($AJ$2:$AJ$11,$EJ3)=1,IF(COUNTIF($EC3:$EF3,"Mais Um")&gt;0," · +"&amp;COUNTIF($EC3:$EF3,"Mais Um")&amp;IF(COUNTIF($EC3:$EF3,"Mais Um")&gt;1," alvos"," alvo"),"")&amp;IF(COUNTIF($EC3:$EF3,"Rajada")&gt;0," · "&amp;($DZ3+1)&amp;" tiros",""),""))</f>
        <v/>
      </c>
      <c r="GY3" s="152">
        <f>IF($EI3=0,"",3*$DZ3&amp;" − "&amp;$FN3&amp;" + "&amp;$FQ3&amp;IF($DX3=1," + "&amp;$DZ3,"")&amp;" = "&amp;$FT3&amp;"d8 · teto "&amp;4*$DZ3&amp;IF($EW3=1," · a Forma devolve "&amp;$DZ3,"")&amp;IF($FR3&gt;0," · perde "&amp;$FR3,""))</f>
        <v/>
      </c>
      <c r="GZ3" s="152">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2">
        <f>IF(OR($EI3=0,$EL3=0),"","−"&amp;INDEX($Q$2:$V$8,$DZ3,$EL3)&amp;" · "&amp;CHOOSE($EL3,"Leve","Média","Pesada","Leve · Livre","Média · Livre","Pesada · Livre"))</f>
        <v/>
      </c>
      <c r="HB3" s="152">
        <f>IF(OR($EI3=0,$EM3=0),"","−"&amp;INDEX($Q$2:$V$8,$DZ3,$EM3)&amp;" · "&amp;CHOOSE($EM3,"Leve","Média","Pesada","Leve · Livre","Média · Livre","Pesada · Livre"))</f>
        <v/>
      </c>
      <c r="HC3" s="152">
        <f>IF(OR($EI3=0,$EN3=0),"","−"&amp;INDEX($Q$2:$V$8,$DZ3,$EN3)&amp;" · "&amp;CHOOSE($EN3,"Leve","Média","Pesada","Leve · Livre","Média · Livre","Pesada · Livre"))</f>
        <v/>
      </c>
      <c r="HD3" s="152">
        <f>IF(OR($EI3=0,$EO3=0),"","−"&amp;INDEX($Q$2:$V$8,$DZ3,$EO3)&amp;" · "&amp;CHOOSE($EO3,"Leve","Média","Pesada","Leve · Livre","Média · Livre","Pesada · Livre"))</f>
        <v/>
      </c>
      <c r="HE3" s="152">
        <f>IF(OR($EI3=0,$EG3=""),"","+"&amp;IF($EZ3=1,CEILING($DZ3/2,1),$DZ3))</f>
        <v/>
      </c>
      <c r="HF3" s="152">
        <f>IF(OR($EI3=0,$EH3=""),"","+"&amp;IF($FA3=1,CEILING($DZ3/2,1),$DZ3))</f>
        <v/>
      </c>
      <c r="HG3" s="152">
        <f>'FICHA AMALDIÇOADA'!$J$53&amp;""</f>
        <v/>
      </c>
      <c r="HH3" s="152">
        <f>IF(AND($EI3=1,$DX3=0),COUNTIFS($EI$2:$EI3,1,$DX$2:$DX3,0),"")</f>
        <v/>
      </c>
      <c r="HJ3" s="150" t="inlineStr">
        <is>
          <t>maestria</t>
        </is>
      </c>
      <c r="HK3" s="152">
        <f>N(FICHA!$D$51)</f>
        <v/>
      </c>
      <c r="HM3" s="150" t="inlineStr">
        <is>
          <t>Talento 2</t>
        </is>
      </c>
      <c r="HN3" s="152">
        <f>'FICHA AMALDIÇOADA'!$J$379&amp;""</f>
        <v/>
      </c>
      <c r="HO3" s="152">
        <f>IFERROR(VLOOKUP($HN3,$BS$2:$BY$24,2,FALSE),0)</f>
        <v/>
      </c>
      <c r="HP3" s="152">
        <f>IFERROR(VLOOKUP($HO3,$CA$2:$CB$4,2,FALSE),0)</f>
        <v/>
      </c>
      <c r="HQ3" s="152">
        <f>IFERROR(VLOOKUP($HN3,$BS$2:$BY$24,3,FALSE),"")</f>
        <v/>
      </c>
      <c r="HR3" s="152">
        <f>IF($HO3=0,"",IF($HP3&gt;$HK$2,"⚠ Nível "&amp;$HP3,"CE "&amp;$HO3))</f>
        <v/>
      </c>
      <c r="HS3" s="152">
        <f>IF($HO3=0,"",$HO3&amp;" esp.")</f>
        <v/>
      </c>
      <c r="HT3" s="152">
        <f>'FICHA AMALDIÇOADA'!$K$384&amp;""</f>
        <v/>
      </c>
      <c r="HU3" s="152">
        <f>IF($HN3="","",COUNTIF($HN$2:$HN3,"?*"))</f>
        <v/>
      </c>
      <c r="HW3" s="150" t="inlineStr">
        <is>
          <t>Aptidão 2</t>
        </is>
      </c>
      <c r="HX3" s="152">
        <f>'FICHA AMALDIÇOADA'!$J$430&amp;""</f>
        <v/>
      </c>
      <c r="HY3" s="152">
        <f>IF($HX3="","","Requisito: "&amp;IFERROR(VLOOKUP($HX3,$CD$2:$CM$33,2,FALSE),""))</f>
        <v/>
      </c>
      <c r="HZ3" s="152">
        <f>IF($HX3="","",IFERROR(IF(ISNUMBER(VLOOKUP($HX3,$CD$2:$CM$33,3,FALSE)),"CE "&amp;VLOOKUP($HX3,$CD$2:$CM$33,3,FALSE),VLOOKUP($HX3,$CD$2:$CM$33,3,FALSE)),""))</f>
        <v/>
      </c>
      <c r="IA3" s="152">
        <f>IF($HX3="","",IFERROR(VLOOKUP($HX3,$CD$2:$CM$33,4,FALSE),""))</f>
        <v/>
      </c>
      <c r="IB3" s="152">
        <f>IF($HX3="","",IFERROR(VLOOKUP($HX3,$CD$2:$CM$33,5,FALSE),""))</f>
        <v/>
      </c>
      <c r="IC3" s="152">
        <f>'FICHA AMALDIÇOADA'!$K$447&amp;""</f>
        <v/>
      </c>
      <c r="ID3" s="152">
        <f>IF($HX3="","",COUNTIF($HX$2:$HX3,"?*"))</f>
        <v/>
      </c>
      <c r="IF3" s="150" t="inlineStr">
        <is>
          <t>Classe 0 · 2</t>
        </is>
      </c>
      <c r="IG3" s="152">
        <f>'FICHA AMALDIÇOADA'!$F$311&amp;""</f>
        <v/>
      </c>
      <c r="IH3" s="152">
        <f>'FICHA AMALDIÇOADA'!$J$311&amp;""</f>
        <v/>
      </c>
      <c r="II3" s="152">
        <f>'FICHA AMALDIÇOADA'!$L$311&amp;""</f>
        <v/>
      </c>
      <c r="IJ3" s="152">
        <f>IFERROR(MATCH($IG3,$Y$2:$Y$11,0),0)</f>
        <v/>
      </c>
      <c r="IK3" s="152">
        <f>$HK$11-IF($IH3&lt;&gt;"",1,0)</f>
        <v/>
      </c>
      <c r="IL3" s="152">
        <f>IF(2&gt;$HK$10,"Nível 1",IF($IJ3=0,"",IF(INDEX($AE$2:$AE$11,$IJ3)&gt;=2,"—",$IK3&amp;"d8 = "&amp;FLOOR($IK3*4.5,1))))</f>
        <v/>
      </c>
      <c r="IM3" s="152">
        <f>IF(OR(2&gt;$HK$10,$IJ3=0),"",INDEX($AP$2:$AU$31,($IJ3-1)*3+1,1+IF(OR(AND($IH3="Longe",INDEX($AH$2:$AH$11,$IJ3)&lt;&gt;2),AND($IH3="Maior",INDEX($AH$2:$AH$11,$IJ3)&gt;=2)),1,0))&amp;INDEX($AV$2:$BA$31,($IJ3-1)*3+1,1+IF(AND($IH3="Longe",INDEX($AI$2:$AI$11,$IJ3)=1),1,0)))</f>
        <v/>
      </c>
      <c r="IO3" s="150" t="inlineStr">
        <is>
          <t>Orçamento</t>
        </is>
      </c>
      <c r="IP3" s="152">
        <f>ADDRESS(ROW('FICHA AMALDIÇOADA'!E7),COLUMN('FICHA AMALDIÇOADA'!E7),4)</f>
        <v/>
      </c>
      <c r="IQ3" s="152">
        <f>ADDRESS(ROW('FICHA AMALDIÇOADA'!D39),COLUMN('FICHA AMALDIÇOADA'!D39),4)</f>
        <v/>
      </c>
      <c r="IR3" s="150" t="inlineStr">
        <is>
          <t>DADOS_AM!$IO$3</t>
        </is>
      </c>
      <c r="IT3" s="150" t="inlineStr">
        <is>
          <t>Caminho 7</t>
        </is>
      </c>
      <c r="IU3" s="152" t="n">
        <v>7</v>
      </c>
      <c r="IV3" s="152">
        <f>IF($HK$2&gt;=7,"Nível 7","Abre no 7")</f>
        <v/>
      </c>
      <c r="IW3" s="152">
        <f>ADDRESS(ROW(FICHA!G98),COLUMN(FICHA!G98),4)</f>
        <v/>
      </c>
      <c r="IX3" s="152">
        <f>ADDRESS(ROW(FICHA!D99),COLUMN(FICHA!D99),4)</f>
        <v/>
      </c>
      <c r="IZ3" s="150" t="inlineStr">
        <is>
          <t>Trilha · Escolhas da Trilha</t>
        </is>
      </c>
      <c r="JA3" s="152">
        <f>ADDRESS(ROW(FICHA!D154),COLUMN(FICHA!D154),4)</f>
        <v/>
      </c>
      <c r="JC3" s="150" t="inlineStr">
        <is>
          <t>Trilha</t>
        </is>
      </c>
      <c r="JD3" s="152">
        <f>"TRILHA"&amp;IF(OR(FICHA!$N$11="",LEFT(FICHA!$N$11,7)="Escolha"),"","  ·  "&amp;UPPER(FICHA!$N$11))&amp;"  ·  QUATRO NÍVEIS"</f>
        <v/>
      </c>
      <c r="JF3" s="152" t="n">
        <v>2</v>
      </c>
      <c r="JG3" s="152">
        <f>IFERROR(MATCH(2,$HH$2:$HH$37,0),0)</f>
        <v/>
      </c>
      <c r="JH3" s="152">
        <f>IF($JG3=0,"",INDEX($DZ$2:$DZ$37,$JG3))</f>
        <v/>
      </c>
      <c r="JI3" s="152">
        <f>IF($JG3=0,"",INDEX($EA$2:$EA$37,$JG3))</f>
        <v/>
      </c>
      <c r="JJ3" s="152">
        <f>IF($JG3=0,"",INDEX($GP$2:$GP$37,$JG3))</f>
        <v/>
      </c>
      <c r="JK3" s="152">
        <f>IF($JG3=0,"",INDEX($EB$2:$EB$37,$JG3))</f>
        <v/>
      </c>
      <c r="JL3" s="152">
        <f>IF($JG3=0,"",INDEX($GR$2:$GR$37,$JG3))</f>
        <v/>
      </c>
      <c r="JM3" s="152">
        <f>IF($JG3=0,"",INDEX($HG$2:$HG$37,$JG3))</f>
        <v/>
      </c>
      <c r="JO3" s="152" t="n">
        <v>2</v>
      </c>
      <c r="JP3" s="152">
        <f>IF($EI$39=0,"",$DZ$39)</f>
        <v/>
      </c>
      <c r="JQ3" s="152">
        <f>IF($EI$39=0,"",$EA$39)</f>
        <v/>
      </c>
      <c r="JR3" s="152">
        <f>IF($EI$39=0,"",$GP$39)</f>
        <v/>
      </c>
      <c r="JS3" s="152">
        <f>IF($EI$39=0,"",$EB$39)</f>
        <v/>
      </c>
      <c r="JT3" s="152">
        <f>IF($EI$39=0,"",$GR$39)</f>
        <v/>
      </c>
      <c r="JU3" s="152">
        <f>IF($EI$39=0,"",$HG$39)</f>
        <v/>
      </c>
      <c r="JW3" s="150" t="inlineStr">
        <is>
          <t>Domínio</t>
        </is>
      </c>
      <c r="JX3" s="152">
        <f>IF(DADOS_AM!$A$2&lt;&gt;1,"Esta rota não tem Expansão de Domínio",'FICHA AMALDIÇOADA'!$P$361&amp;"")</f>
        <v/>
      </c>
      <c r="JY3" s="152">
        <f>IF(OR(DADOS_AM!$A$2&lt;&gt;1,$HK$34=""),"",IF($HK$34="Sem Barreiras",7,6)*$HK$4&amp;" PE")</f>
        <v/>
      </c>
      <c r="JZ3" s="152">
        <f>IF(DADOS_AM!$A$2&lt;&gt;1,"",$HK$34)</f>
        <v/>
      </c>
      <c r="KA3" s="152">
        <f>IF(OR(DADOS_AM!$A$2&lt;&gt;1,$HK$34=""),"",IF($HK$34="Incompleta","Rola","Acontece"))</f>
        <v/>
      </c>
      <c r="KB3" s="152">
        <f>IF(DADOS_AM!$A$2&lt;&gt;1,"",'FICHA AMALDIÇOADA'!$D$371&amp;"")</f>
        <v/>
      </c>
      <c r="KD3" s="150" t="inlineStr">
        <is>
          <t>Regra Própria</t>
        </is>
      </c>
      <c r="KE3" s="152" t="n">
        <v>0</v>
      </c>
      <c r="KF3" s="152">
        <f>IF(N('FICHA AMALDIÇOADA'!$P$33)=0,"—","CE "&amp;'FICHA AMALDIÇOADA'!$P$33)</f>
        <v/>
      </c>
      <c r="KG3" s="150" t="inlineStr">
        <is>
          <t>Regra Própria</t>
        </is>
      </c>
      <c r="KH3" s="152">
        <f>IF('FICHA AMALDIÇOADA'!$D$33="","Esta técnica não tem Regra Própria",'FICHA AMALDIÇOADA'!$D$33&amp;"")</f>
        <v/>
      </c>
      <c r="KJ3" s="150" t="inlineStr">
        <is>
          <t>De graça 2</t>
        </is>
      </c>
      <c r="KK3" s="152" t="n">
        <v>0</v>
      </c>
      <c r="KL3" s="150" t="inlineStr">
        <is>
          <t>—</t>
        </is>
      </c>
      <c r="KM3" s="152">
        <f>INDEX($D$10:$G$10,1,$A$2)</f>
        <v/>
      </c>
      <c r="KN3" s="152">
        <f>'FICHA AMALDIÇOADA'!$L$424&amp;". "&amp;"Do livro: "&amp;IFERROR(VLOOKUP($KM3,$CD$2:$CM$33,10,FALSE),"")</f>
        <v/>
      </c>
      <c r="KP3" s="150" t="inlineStr">
        <is>
          <t>feitiços</t>
        </is>
      </c>
      <c r="KQ3" s="152">
        <f>UPPER(INDEX($D$3:$G$3,1,$A$2))&amp;"  ·  "&amp;$HK$15&amp;" de 36"</f>
        <v/>
      </c>
      <c r="KS3" s="150" t="inlineStr">
        <is>
          <t>L12</t>
        </is>
      </c>
      <c r="KT3" s="152">
        <f>IF(DADOS_AM!$HK$41=1,IF(DADOS_AM!$HK$48=0,"Escolha os grupos",IF(DADOS_AM!$HK$48=1,IF(DADOS_AM!$HK$42&lt;&gt;"",DADOS_AM!$HK$42,IF(DADOS_AM!$HK$43&lt;&gt;"",DADOS_AM!$HK$43,DADOS_AM!$HK$44))&amp;",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K4" s="152" t="n">
        <v>0</v>
      </c>
      <c r="BM4" s="150" t="inlineStr">
        <is>
          <t>Parado</t>
        </is>
      </c>
      <c r="BN4" s="150" t="inlineStr">
        <is>
          <t>Parado</t>
        </is>
      </c>
      <c r="BO4" s="152" t="n">
        <v>1</v>
      </c>
      <c r="BP4" s="152" t="n">
        <v>0</v>
      </c>
      <c r="BQ4" s="150" t="inlineStr">
        <is>
          <t>Parado</t>
        </is>
      </c>
      <c r="BS4" s="150" t="inlineStr">
        <is>
          <t>Raiz</t>
        </is>
      </c>
      <c r="BT4" s="152" t="n">
        <v>1</v>
      </c>
      <c r="BU4" s="150" t="inlineStr">
        <is>
          <t>Você não é movido à força nem fica Derrubado contra a sua vontade. Pode aceitar um deslocamento ou se deitar por escolha própria. O Talento não impede o dano de um efeito que também empurre ou derrube.</t>
        </is>
      </c>
      <c r="BV4" s="152" t="n">
        <v>1</v>
      </c>
      <c r="BW4" s="152" t="n">
        <v>0</v>
      </c>
      <c r="BX4" s="152">
        <f>IF(OR(AND($A$2&lt;=2,$BV4=1),AND($A$2&gt;=2,$BW4=1)),$BS4,"")</f>
        <v/>
      </c>
      <c r="BY4" s="150" t="inlineStr">
        <is>
          <t>Você não é movido à força nem fica Derrubado contra a sua vontade. Pode aceitar um deslocamento ou se deitar por escolha própria. O Talento não impede o dano de um efeito que também empurre ou derrube.</t>
        </is>
      </c>
      <c r="CA4" s="152" t="n">
        <v>3</v>
      </c>
      <c r="CB4" s="152" t="n">
        <v>13</v>
      </c>
      <c r="CD4" s="150" t="inlineStr">
        <is>
          <t>Projetar Energia</t>
        </is>
      </c>
      <c r="CE4" s="150" t="inlineStr">
        <is>
          <t>Uma escolha de aptidão</t>
        </is>
      </c>
      <c r="CF4" s="150" t="inlineStr">
        <is>
          <t>—</t>
        </is>
      </c>
      <c r="CG4" s="150" t="inlineStr">
        <is>
          <t>—</t>
        </is>
      </c>
      <c r="CH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2">
        <f>IF($CL4=1,"",IF($A$2=4,IF($CJ4=1,$CD4,""),IF(OR($CJ4=1,AND($A$2=3,$CK4=1)),"",$CD4)))</f>
        <v/>
      </c>
      <c r="CJ4" s="152" t="n">
        <v>0</v>
      </c>
      <c r="CK4" s="152" t="n">
        <v>0</v>
      </c>
      <c r="CL4" s="152" t="n">
        <v>0</v>
      </c>
      <c r="CM4" s="150" t="inlineStr">
        <is>
          <t>Você dispara energia amaldiçoada pura contra um alvo.</t>
        </is>
      </c>
      <c r="CO4" s="150" t="inlineStr">
        <is>
          <t>Pétala</t>
        </is>
      </c>
      <c r="CQ4" s="150" t="inlineStr">
        <is>
          <t>Ferramenta de carregar</t>
        </is>
      </c>
      <c r="CS4" s="152">
        <f>IF($A$2=2,IFERROR(INDEX($CO$2:$CO$5,3),""),IF($A$2&gt;=3,IFERROR(INDEX($CQ$2:$CQ$4,3),""),""))</f>
        <v/>
      </c>
      <c r="CU4" s="150" t="inlineStr">
        <is>
          <t>Lâmina Curta</t>
        </is>
      </c>
      <c r="CV4" s="152" t="n">
        <v>1</v>
      </c>
      <c r="CW4" s="152" t="n">
        <v>1</v>
      </c>
      <c r="CX4" s="152">
        <f>IF(AND($A$2&gt;=3,'FICHA AMALDIÇOADA'!$J$16&amp;""="Três grupos de arma"),$CU4,"")</f>
        <v/>
      </c>
      <c r="CZ4" s="152" t="n">
        <v>11</v>
      </c>
      <c r="DA4" s="152" t="n">
        <v>4</v>
      </c>
      <c r="DB4" s="152" t="n">
        <v>4</v>
      </c>
      <c r="DD4" s="152" t="n">
        <v>30</v>
      </c>
      <c r="DF4" s="152" t="n">
        <v>5</v>
      </c>
      <c r="DH4" s="152" t="n">
        <v>26</v>
      </c>
      <c r="DI4" s="152" t="n">
        <v>32</v>
      </c>
      <c r="DJ4" s="152" t="n">
        <v>16</v>
      </c>
      <c r="DL4" s="150" t="inlineStr">
        <is>
          <t>Sem Barreiras</t>
        </is>
      </c>
      <c r="DM4" s="152" t="n">
        <v>5</v>
      </c>
      <c r="DN4" s="152" t="n">
        <v>0</v>
      </c>
      <c r="DO4" s="152" t="n">
        <v>10</v>
      </c>
      <c r="DP4" s="150" t="inlineStr">
        <is>
          <t>Completa, refino 10 e especialização em Ocultismo</t>
        </is>
      </c>
      <c r="DR4" s="150" t="inlineStr">
        <is>
          <t>Promessa</t>
        </is>
      </c>
      <c r="DS4" s="150" t="inlineStr">
        <is>
          <t>Quando duas partes capazes de decidir aceitam os termos</t>
        </is>
      </c>
      <c r="DU4" s="150" t="inlineStr">
        <is>
          <t>PE máximo igual à maior Classe</t>
        </is>
      </c>
      <c r="DW4" s="150" t="inlineStr">
        <is>
          <t>Feitiço 3</t>
        </is>
      </c>
      <c r="DX4" s="152" t="n">
        <v>0</v>
      </c>
      <c r="DY4" s="152" t="n">
        <v>3</v>
      </c>
      <c r="DZ4" s="152">
        <f>MAX(1,MIN(7,N('FICHA AMALDIÇOADA'!$P$51)))</f>
        <v/>
      </c>
      <c r="EA4" s="152">
        <f>'FICHA AMALDIÇOADA'!$Q$51&amp;""</f>
        <v/>
      </c>
      <c r="EB4" s="152">
        <f>'FICHA AMALDIÇOADA'!$P$58&amp;""</f>
        <v/>
      </c>
      <c r="EC4" s="152">
        <f>'FICHA AMALDIÇOADA'!$Q$60&amp;""</f>
        <v/>
      </c>
      <c r="ED4" s="152">
        <f>'FICHA AMALDIÇOADA'!$Q$61&amp;""</f>
        <v/>
      </c>
      <c r="EE4" s="152">
        <f>'FICHA AMALDIÇOADA'!$Q$62&amp;""</f>
        <v/>
      </c>
      <c r="EF4" s="152">
        <f>'FICHA AMALDIÇOADA'!$Q$63&amp;""</f>
        <v/>
      </c>
      <c r="EG4" s="152">
        <f>'FICHA AMALDIÇOADA'!$Q$64&amp;""</f>
        <v/>
      </c>
      <c r="EH4" s="152">
        <f>'FICHA AMALDIÇOADA'!$Q$65&amp;""</f>
        <v/>
      </c>
      <c r="EI4" s="152">
        <f>IF($EA4&lt;&gt;"",1,0)</f>
        <v/>
      </c>
      <c r="EJ4" s="152">
        <f>IFERROR(MATCH($EB4,$Y$2:$Y$11,0),0)</f>
        <v/>
      </c>
      <c r="EK4" s="152">
        <f>IF($EJ4=0,0,INDEX($AB$2:$AB$11,$EJ4))</f>
        <v/>
      </c>
      <c r="EL4" s="152">
        <f>IFERROR(VLOOKUP($EC4,$BC$2:$BK$84,4,FALSE),0)</f>
        <v/>
      </c>
      <c r="EM4" s="152">
        <f>IFERROR(VLOOKUP($ED4,$BC$2:$BK$84,4,FALSE),0)</f>
        <v/>
      </c>
      <c r="EN4" s="152">
        <f>IFERROR(VLOOKUP($EE4,$BC$2:$BK$84,4,FALSE),0)</f>
        <v/>
      </c>
      <c r="EO4" s="152">
        <f>IFERROR(VLOOKUP($EF4,$BC$2:$BK$84,4,FALSE),0)</f>
        <v/>
      </c>
      <c r="EP4" s="152">
        <f>IF($EJ4=0,0,INDEX($AC$2:$AC$11,$EJ4))</f>
        <v/>
      </c>
      <c r="EQ4" s="152">
        <f>IFERROR(VLOOKUP($EC4,$BC$2:$BK$84,5,FALSE),0)</f>
        <v/>
      </c>
      <c r="ER4" s="152">
        <f>IFERROR(VLOOKUP($ED4,$BC$2:$BK$84,5,FALSE),0)</f>
        <v/>
      </c>
      <c r="ES4" s="152">
        <f>IFERROR(VLOOKUP($EE4,$BC$2:$BK$84,5,FALSE),0)</f>
        <v/>
      </c>
      <c r="ET4" s="152">
        <f>IFERROR(VLOOKUP($EF4,$BC$2:$BK$84,5,FALSE),0)</f>
        <v/>
      </c>
      <c r="EU4" s="152">
        <f>IFERROR(VLOOKUP($EC4,$BC$2:$BK$84,6,FALSE),0)+IFERROR(VLOOKUP($ED4,$BC$2:$BK$84,6,FALSE),0)+IFERROR(VLOOKUP($EE4,$BC$2:$BK$84,6,FALSE),0)+IFERROR(VLOOKUP($EF4,$BC$2:$BK$84,6,FALSE),0)</f>
        <v/>
      </c>
      <c r="EV4" s="152">
        <f>IFERROR(VLOOKUP($EC4,$BC$2:$BK$84,9,FALSE),0)+IFERROR(VLOOKUP($ED4,$BC$2:$BK$84,9,FALSE),0)+IFERROR(VLOOKUP($EE4,$BC$2:$BK$84,9,FALSE),0)+IFERROR(VLOOKUP($EF4,$BC$2:$BK$84,9,FALSE),0)</f>
        <v/>
      </c>
      <c r="EW4" s="152">
        <f>IF($EJ4=0,0,INDEX($AD$2:$AD$11,$EJ4))</f>
        <v/>
      </c>
      <c r="EX4" s="152">
        <f>IF($EJ4=0,0,INDEX($AE$2:$AE$11,$EJ4))</f>
        <v/>
      </c>
      <c r="EY4" s="152">
        <f>IF($EJ4=0,0,INDEX($AG$2:$AG$11,$EJ4))</f>
        <v/>
      </c>
      <c r="EZ4" s="152">
        <f>IFERROR(VLOOKUP($EG4,$BM$2:$BQ$24,3,FALSE),0)</f>
        <v/>
      </c>
      <c r="FA4" s="152">
        <f>IFERROR(VLOOKUP($EH4,$BM$2:$BQ$24,3,FALSE),0)</f>
        <v/>
      </c>
      <c r="FB4" s="152">
        <f>IFERROR(VLOOKUP($EG4,$BM$2:$BQ$24,2,FALSE),"")</f>
        <v/>
      </c>
      <c r="FC4" s="152">
        <f>IFERROR(VLOOKUP($EH4,$BM$2:$BQ$24,2,FALSE),"")</f>
        <v/>
      </c>
      <c r="FD4" s="152">
        <f>COUNTIF($EK4:$EO4,1)</f>
        <v/>
      </c>
      <c r="FE4" s="152">
        <f>COUNTIF($EK4:$EO4,2)</f>
        <v/>
      </c>
      <c r="FF4" s="152">
        <f>COUNTIF($EK4:$EO4,3)</f>
        <v/>
      </c>
      <c r="FG4" s="152">
        <f>COUNTIF($EK4:$EO4,4)</f>
        <v/>
      </c>
      <c r="FH4" s="152">
        <f>COUNTIF($EK4:$EO4,5)</f>
        <v/>
      </c>
      <c r="FI4" s="152">
        <f>COUNTIF($EK4:$EO4,6)</f>
        <v/>
      </c>
      <c r="FJ4" s="152">
        <f>COUNTIF($EZ4:$FA4,1)</f>
        <v/>
      </c>
      <c r="FK4" s="152">
        <f>COUNTIF($EZ4:$FA4,2)+$EW4</f>
        <v/>
      </c>
      <c r="FL4" s="152">
        <f>COUNTIF($EC4:$EF4,"?*")</f>
        <v/>
      </c>
      <c r="FM4" s="152">
        <f>COUNTIF($EG4:$EH4,"?*")+$EW4</f>
        <v/>
      </c>
      <c r="FN4" s="152">
        <f>SUMPRODUCT($FD4:$FI4,INDEX($Q$2:$V$8,$DZ4,0))</f>
        <v/>
      </c>
      <c r="FO4" s="152">
        <f>$FJ4*CEILING($DZ4/2,1)+$FK4*$DZ4</f>
        <v/>
      </c>
      <c r="FP4" s="152">
        <f>MIN(2*$DZ4,$FO4)</f>
        <v/>
      </c>
      <c r="FQ4" s="152">
        <f>MIN($FP4,$FN4)</f>
        <v/>
      </c>
      <c r="FR4" s="152">
        <f>$FP4-$FQ4</f>
        <v/>
      </c>
      <c r="FS4" s="152">
        <f>3*$DZ4-$FN4+$FQ4</f>
        <v/>
      </c>
      <c r="FT4" s="152">
        <f>MAX(0,$FS4)+$DX4*$DZ4</f>
        <v/>
      </c>
      <c r="FU4" s="152">
        <f>(IF(COUNTIF($EC4:$EF4,"Salto")&gt;0,1,0)+IF(COUNTIF($EC4:$EF4,"Queima")&gt;0,1,0)+IF(COUNTIF($EC4:$EF4,"Estilhaço")&gt;0,1,0))*FLOOR($FT4/2,1)</f>
        <v/>
      </c>
      <c r="FV4" s="152">
        <f>MAX(0,3-SUMPRODUCT($FD4:$FI4,$Q$2:$V$2)+MIN(2,$FJ4*1+$FK4*1,SUMPRODUCT($FD4:$FI4,$Q$2:$V$2)))+$DX4*1</f>
        <v/>
      </c>
      <c r="FW4" s="152">
        <f>MAX(0,6-SUMPRODUCT($FD4:$FI4,$Q$3:$V$3)+MIN(4,$FJ4*1+$FK4*2,SUMPRODUCT($FD4:$FI4,$Q$3:$V$3)))+$DX4*2</f>
        <v/>
      </c>
      <c r="FX4" s="152">
        <f>MAX(0,9-SUMPRODUCT($FD4:$FI4,$Q$4:$V$4)+MIN(6,$FJ4*2+$FK4*3,SUMPRODUCT($FD4:$FI4,$Q$4:$V$4)))+$DX4*3</f>
        <v/>
      </c>
      <c r="FY4" s="152">
        <f>MAX(0,12-SUMPRODUCT($FD4:$FI4,$Q$5:$V$5)+MIN(8,$FJ4*2+$FK4*4,SUMPRODUCT($FD4:$FI4,$Q$5:$V$5)))+$DX4*4</f>
        <v/>
      </c>
      <c r="FZ4" s="152">
        <f>MAX(0,15-SUMPRODUCT($FD4:$FI4,$Q$6:$V$6)+MIN(10,$FJ4*3+$FK4*5,SUMPRODUCT($FD4:$FI4,$Q$6:$V$6)))+$DX4*5</f>
        <v/>
      </c>
      <c r="GA4" s="152">
        <f>MAX(0,18-SUMPRODUCT($FD4:$FI4,$Q$7:$V$7)+MIN(12,$FJ4*3+$FK4*6,SUMPRODUCT($FD4:$FI4,$Q$7:$V$7)))+$DX4*6</f>
        <v/>
      </c>
      <c r="GB4" s="152">
        <f>MAX(0,21-SUMPRODUCT($FD4:$FI4,$Q$8:$V$8)+MIN(14,$FJ4*4+$FK4*7,SUMPRODUCT($FD4:$FI4,$Q$8:$V$8)))+$DX4*7</f>
        <v/>
      </c>
      <c r="GC4" s="152">
        <f>IF($EX4=2,3*$FV4&amp;" de vida temp.",IF($EX4=3,"sem dano",IF($FV4=0,IF($EX4=1,"sem cura","sem dano"),IF($EX4=1,"cura ","")&amp;$FV4&amp;"d8")))</f>
        <v/>
      </c>
      <c r="GD4" s="152">
        <f>IF($EX4=2,3*$FW4&amp;" de vida temp.",IF($EX4=3,"sem dano",IF($FW4=0,IF($EX4=1,"sem cura","sem dano"),IF($EX4=1,"cura ","")&amp;$FW4&amp;"d8")))</f>
        <v/>
      </c>
      <c r="GE4" s="152">
        <f>IF($EX4=2,3*$FX4&amp;" de vida temp.",IF($EX4=3,"sem dano",IF($FX4=0,IF($EX4=1,"sem cura","sem dano"),IF($EX4=1,"cura ","")&amp;$FX4&amp;"d8")))</f>
        <v/>
      </c>
      <c r="GF4" s="152">
        <f>IF($EX4=2,3*$FY4&amp;" de vida temp.",IF($EX4=3,"sem dano",IF($FY4=0,IF($EX4=1,"sem cura","sem dano"),IF($EX4=1,"cura ","")&amp;$FY4&amp;"d8")))</f>
        <v/>
      </c>
      <c r="GG4" s="152">
        <f>IF($EX4=2,3*$FZ4&amp;" de vida temp.",IF($EX4=3,"sem dano",IF($FZ4=0,IF($EX4=1,"sem cura","sem dano"),IF($EX4=1,"cura ","")&amp;$FZ4&amp;"d8")))</f>
        <v/>
      </c>
      <c r="GH4" s="152">
        <f>IF($EX4=2,3*$GA4&amp;" de vida temp.",IF($EX4=3,"sem dano",IF($GA4=0,IF($EX4=1,"sem cura","sem dano"),IF($EX4=1,"cura ","")&amp;$GA4&amp;"d8")))</f>
        <v/>
      </c>
      <c r="GI4" s="152">
        <f>IF($EX4=2,3*$GB4&amp;" de vida temp.",IF($EX4=3,"sem dano",IF($GB4=0,IF($EX4=1,"sem cura","sem dano"),IF($EX4=1,"cura ","")&amp;$GB4&amp;"d8")))</f>
        <v/>
      </c>
      <c r="GJ4" s="152">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2">
        <f>IF($GJ4="",0,(LEN($GJ4)-LEN(SUBSTITUTE($GJ4," · ","")))/3+1)</f>
        <v/>
      </c>
      <c r="GL4" s="152">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2">
        <f>IF($GL4="",0,(LEN($GL4)-LEN(SUBSTITUTE($GL4," · ","")))/3+1)</f>
        <v/>
      </c>
      <c r="GN4" s="152">
        <f>IF($EI4=0,IF($FL4+$FM4-$EW4&gt;0,"Dê um nome",""),IF($GK4&gt;0,"⚠ "&amp;$GK4&amp;IF($GK4&gt;1," erros"," erro"),IF($GM4&gt;0,"! "&amp;$GM4&amp;IF($GM4&gt;1," avisos"," aviso"),"Na regra")))</f>
        <v/>
      </c>
      <c r="GO4" s="152">
        <f>IF($EI4=0,"",IF($GK4+$GM4=0,"Dentro das regras que a ficha confere",$GJ4&amp;IF(AND($GK4&gt;0,$GM4&gt;0)," · ","")&amp;$GL4))</f>
        <v/>
      </c>
      <c r="GP4" s="152">
        <f>IF($EI4=0,"",IF($DX4=1,CEILING(4.5*$DZ4,1),3*$DZ4)&amp;" PE")</f>
        <v/>
      </c>
      <c r="GQ4" s="152">
        <f>IF($EI4=0,"",IF($DX4=1,"Rodada inteira",IF(COUNTIF($FB4:$FC4,"Atrasar")&gt;0,IF(COUNTIF($FB4:$FC4,"Carregar")&gt;0,"Rodada +1 turno","Rodada inteira"),IF(COUNTIF($EC4:$EF4,"Rápido")&gt;0,"Bônus",IF(COUNTIF($EC4:$EF4,"Reação")&gt;0,"Reação","Padrão"))&amp;IF(COUNTIF($FB4:$FC4,"Carregar")&gt;0," +1 turno",""))))</f>
        <v/>
      </c>
      <c r="GR4" s="152">
        <f>IF(OR($EI4=0,$EJ4=0),"",IF(COUNTIF($EC4:$EF4,"Inescapável")&gt;0,"Automático",IF(COUNTIF($EC4:$EF4,"Certeiro")&gt;0,"TR para metade",IF(AND($EV4&gt;0,$EY4=0,INDEX($AF$2:$AF$11,$EJ4)="Acerto"),"Acerto + TR",INDEX($AF$2:$AF$11,$EJ4)))))</f>
        <v/>
      </c>
      <c r="GS4" s="152">
        <f>IF(OR($EI4=0,$EJ4=0),"",IF(OR($EX4&gt;=2,$FT4=0),UPPER(LEFT(INDEX($GC4:$GI4,1,$DZ4),1))&amp;MID(INDEX($GC4:$GI4,1,$DZ4),2,99),UPPER(LEFT(INDEX($GC4:$GI4,1,$DZ4),1))&amp;MID(INDEX($GC4:$GI4,1,$DZ4),2,99)&amp;" = "&amp;FLOOR($FT4*4.5,1)&amp;IF($FU4&gt;0," · +"&amp;$FU4&amp;"d8","")))</f>
        <v/>
      </c>
      <c r="GT4" s="152">
        <f>COUNTIF($EC4:$EF4,"Longe")+3*COUNTIF($EC4:$EF4,"Muito Longe")</f>
        <v/>
      </c>
      <c r="GU4" s="152">
        <f>COUNTIF($EC4:$EF4,"Maior")+3*COUNTIF($EC4:$EF4,"Muito Maior")</f>
        <v/>
      </c>
      <c r="GV4" s="152">
        <f>IF($EJ4=0,0,CHOOSE(1+INDEX($AH$2:$AH$11,$EJ4),0,$GT4,$GU4,$GT4+$GU4))</f>
        <v/>
      </c>
      <c r="GW4" s="152">
        <f>IF($EJ4=0,0,CHOOSE(1+INDEX($AI$2:$AI$11,$EJ4),0,$GT4,$GU4,$GT4+$GU4))</f>
        <v/>
      </c>
      <c r="GX4" s="152">
        <f>IF(OR($EI4=0,$EJ4=0),"",INDEX($AP$2:$AU$31,($EJ4-1)*3+IF($DZ4&gt;=6,3,2),1+MIN(5,$GV4))&amp;INDEX($AV$2:$BA$31,($EJ4-1)*3+IF($DZ4&gt;=6,3,2),1+MIN(5,$GW4))&amp;IF(INDEX($AJ$2:$AJ$11,$EJ4)=1,IF(COUNTIF($EC4:$EF4,"Mais Um")&gt;0," · +"&amp;COUNTIF($EC4:$EF4,"Mais Um")&amp;IF(COUNTIF($EC4:$EF4,"Mais Um")&gt;1," alvos"," alvo"),"")&amp;IF(COUNTIF($EC4:$EF4,"Rajada")&gt;0," · "&amp;($DZ4+1)&amp;" tiros",""),""))</f>
        <v/>
      </c>
      <c r="GY4" s="152">
        <f>IF($EI4=0,"",3*$DZ4&amp;" − "&amp;$FN4&amp;" + "&amp;$FQ4&amp;IF($DX4=1," + "&amp;$DZ4,"")&amp;" = "&amp;$FT4&amp;"d8 · teto "&amp;4*$DZ4&amp;IF($EW4=1," · a Forma devolve "&amp;$DZ4,"")&amp;IF($FR4&gt;0," · perde "&amp;$FR4,""))</f>
        <v/>
      </c>
      <c r="GZ4" s="152">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2">
        <f>IF(OR($EI4=0,$EL4=0),"","−"&amp;INDEX($Q$2:$V$8,$DZ4,$EL4)&amp;" · "&amp;CHOOSE($EL4,"Leve","Média","Pesada","Leve · Livre","Média · Livre","Pesada · Livre"))</f>
        <v/>
      </c>
      <c r="HB4" s="152">
        <f>IF(OR($EI4=0,$EM4=0),"","−"&amp;INDEX($Q$2:$V$8,$DZ4,$EM4)&amp;" · "&amp;CHOOSE($EM4,"Leve","Média","Pesada","Leve · Livre","Média · Livre","Pesada · Livre"))</f>
        <v/>
      </c>
      <c r="HC4" s="152">
        <f>IF(OR($EI4=0,$EN4=0),"","−"&amp;INDEX($Q$2:$V$8,$DZ4,$EN4)&amp;" · "&amp;CHOOSE($EN4,"Leve","Média","Pesada","Leve · Livre","Média · Livre","Pesada · Livre"))</f>
        <v/>
      </c>
      <c r="HD4" s="152">
        <f>IF(OR($EI4=0,$EO4=0),"","−"&amp;INDEX($Q$2:$V$8,$DZ4,$EO4)&amp;" · "&amp;CHOOSE($EO4,"Leve","Média","Pesada","Leve · Livre","Média · Livre","Pesada · Livre"))</f>
        <v/>
      </c>
      <c r="HE4" s="152">
        <f>IF(OR($EI4=0,$EG4=""),"","+"&amp;IF($EZ4=1,CEILING($DZ4/2,1),$DZ4))</f>
        <v/>
      </c>
      <c r="HF4" s="152">
        <f>IF(OR($EI4=0,$EH4=""),"","+"&amp;IF($FA4=1,CEILING($DZ4/2,1),$DZ4))</f>
        <v/>
      </c>
      <c r="HG4" s="152">
        <f>'FICHA AMALDIÇOADA'!$P$53&amp;""</f>
        <v/>
      </c>
      <c r="HH4" s="152">
        <f>IF(AND($EI4=1,$DX4=0),COUNTIFS($EI$2:$EI4,1,$DX$2:$DX4,0),"")</f>
        <v/>
      </c>
      <c r="HJ4" s="150" t="inlineStr">
        <is>
          <t>maior classe</t>
        </is>
      </c>
      <c r="HK4" s="152">
        <f>MAX(1,MIN(7,N(FICHA!$Z$57)))</f>
        <v/>
      </c>
      <c r="HM4" s="150" t="inlineStr">
        <is>
          <t>Talento 3</t>
        </is>
      </c>
      <c r="HN4" s="152">
        <f>'FICHA AMALDIÇOADA'!$P$379&amp;""</f>
        <v/>
      </c>
      <c r="HO4" s="152">
        <f>IFERROR(VLOOKUP($HN4,$BS$2:$BY$24,2,FALSE),0)</f>
        <v/>
      </c>
      <c r="HP4" s="152">
        <f>IFERROR(VLOOKUP($HO4,$CA$2:$CB$4,2,FALSE),0)</f>
        <v/>
      </c>
      <c r="HQ4" s="152">
        <f>IFERROR(VLOOKUP($HN4,$BS$2:$BY$24,3,FALSE),"")</f>
        <v/>
      </c>
      <c r="HR4" s="152">
        <f>IF($HO4=0,"",IF($HP4&gt;$HK$2,"⚠ Nível "&amp;$HP4,"CE "&amp;$HO4))</f>
        <v/>
      </c>
      <c r="HS4" s="152">
        <f>IF($HO4=0,"",$HO4&amp;" esp.")</f>
        <v/>
      </c>
      <c r="HT4" s="152">
        <f>'FICHA AMALDIÇOADA'!$Q$384&amp;""</f>
        <v/>
      </c>
      <c r="HU4" s="152">
        <f>IF($HN4="","",COUNTIF($HN$2:$HN4,"?*"))</f>
        <v/>
      </c>
      <c r="HW4" s="150" t="inlineStr">
        <is>
          <t>Aptidão 3</t>
        </is>
      </c>
      <c r="HX4" s="152">
        <f>'FICHA AMALDIÇOADA'!$P$430&amp;""</f>
        <v/>
      </c>
      <c r="HY4" s="152">
        <f>IF($HX4="","","Requisito: "&amp;IFERROR(VLOOKUP($HX4,$CD$2:$CM$33,2,FALSE),""))</f>
        <v/>
      </c>
      <c r="HZ4" s="152">
        <f>IF($HX4="","",IFERROR(IF(ISNUMBER(VLOOKUP($HX4,$CD$2:$CM$33,3,FALSE)),"CE "&amp;VLOOKUP($HX4,$CD$2:$CM$33,3,FALSE),VLOOKUP($HX4,$CD$2:$CM$33,3,FALSE)),""))</f>
        <v/>
      </c>
      <c r="IA4" s="152">
        <f>IF($HX4="","",IFERROR(VLOOKUP($HX4,$CD$2:$CM$33,4,FALSE),""))</f>
        <v/>
      </c>
      <c r="IB4" s="152">
        <f>IF($HX4="","",IFERROR(VLOOKUP($HX4,$CD$2:$CM$33,5,FALSE),""))</f>
        <v/>
      </c>
      <c r="IC4" s="152">
        <f>'FICHA AMALDIÇOADA'!$Q$447&amp;""</f>
        <v/>
      </c>
      <c r="ID4" s="152">
        <f>IF($HX4="","",COUNTIF($HX$2:$HX4,"?*"))</f>
        <v/>
      </c>
      <c r="IF4" s="150" t="inlineStr">
        <is>
          <t>Classe 0 · 3</t>
        </is>
      </c>
      <c r="IG4" s="152">
        <f>'FICHA AMALDIÇOADA'!$F$312&amp;""</f>
        <v/>
      </c>
      <c r="IH4" s="152">
        <f>'FICHA AMALDIÇOADA'!$J$312&amp;""</f>
        <v/>
      </c>
      <c r="II4" s="152">
        <f>'FICHA AMALDIÇOADA'!$L$312&amp;""</f>
        <v/>
      </c>
      <c r="IJ4" s="152">
        <f>IFERROR(MATCH($IG4,$Y$2:$Y$11,0),0)</f>
        <v/>
      </c>
      <c r="IK4" s="152">
        <f>$HK$11-IF($IH4&lt;&gt;"",1,0)</f>
        <v/>
      </c>
      <c r="IL4" s="152">
        <f>IF(3&gt;$HK$10,"Nível 5",IF($IJ4=0,"",IF(INDEX($AE$2:$AE$11,$IJ4)&gt;=2,"—",$IK4&amp;"d8 = "&amp;FLOOR($IK4*4.5,1))))</f>
        <v/>
      </c>
      <c r="IM4" s="152">
        <f>IF(OR(3&gt;$HK$10,$IJ4=0),"",INDEX($AP$2:$AU$31,($IJ4-1)*3+1,1+IF(OR(AND($IH4="Longe",INDEX($AH$2:$AH$11,$IJ4)&lt;&gt;2),AND($IH4="Maior",INDEX($AH$2:$AH$11,$IJ4)&gt;=2)),1,0))&amp;INDEX($AV$2:$BA$31,($IJ4-1)*3+1,1+IF(AND($IH4="Longe",INDEX($AI$2:$AI$11,$IJ4)=1),1,0)))</f>
        <v/>
      </c>
      <c r="IO4" s="152">
        <f>INDEX($D$3:$G$3,1,$A$2)</f>
        <v/>
      </c>
      <c r="IP4" s="152">
        <f>ADDRESS(ROW('FICHA AMALDIÇOADA'!F7),COLUMN('FICHA AMALDIÇOADA'!F7),4)</f>
        <v/>
      </c>
      <c r="IQ4" s="152">
        <f>ADDRESS(ROW('FICHA AMALDIÇOADA'!D48),COLUMN('FICHA AMALDIÇOADA'!D48),4)</f>
        <v/>
      </c>
      <c r="IR4" s="150" t="inlineStr">
        <is>
          <t>DADOS_AM!$IO$4</t>
        </is>
      </c>
      <c r="IT4" s="150" t="inlineStr">
        <is>
          <t>Caminho 15</t>
        </is>
      </c>
      <c r="IU4" s="152" t="n">
        <v>15</v>
      </c>
      <c r="IV4" s="152">
        <f>IF($HK$2&gt;=15,"Nível 15","Abre no 15")</f>
        <v/>
      </c>
      <c r="IW4" s="152">
        <f>ADDRESS(ROW(FICHA!G104),COLUMN(FICHA!G104),4)</f>
        <v/>
      </c>
      <c r="IX4" s="152">
        <f>ADDRESS(ROW(FICHA!D105),COLUMN(FICHA!D105),4)</f>
        <v/>
      </c>
      <c r="IZ4" s="150" t="inlineStr">
        <is>
          <t>Trilha · Anotações</t>
        </is>
      </c>
      <c r="JA4" s="152">
        <f>ADDRESS(ROW(FICHA!D160),COLUMN(FICHA!D160),4)</f>
        <v/>
      </c>
      <c r="JF4" s="152" t="n">
        <v>3</v>
      </c>
      <c r="JG4" s="152">
        <f>IFERROR(MATCH(3,$HH$2:$HH$37,0),0)</f>
        <v/>
      </c>
      <c r="JH4" s="152">
        <f>IF($JG4=0,"",INDEX($DZ$2:$DZ$37,$JG4))</f>
        <v/>
      </c>
      <c r="JI4" s="152">
        <f>IF($JG4=0,"",INDEX($EA$2:$EA$37,$JG4))</f>
        <v/>
      </c>
      <c r="JJ4" s="152">
        <f>IF($JG4=0,"",INDEX($GP$2:$GP$37,$JG4))</f>
        <v/>
      </c>
      <c r="JK4" s="152">
        <f>IF($JG4=0,"",INDEX($EB$2:$EB$37,$JG4))</f>
        <v/>
      </c>
      <c r="JL4" s="152">
        <f>IF($JG4=0,"",INDEX($GR$2:$GR$37,$JG4))</f>
        <v/>
      </c>
      <c r="JM4" s="152">
        <f>IF($JG4=0,"",INDEX($HG$2:$HG$37,$JG4))</f>
        <v/>
      </c>
      <c r="JO4" s="152" t="n">
        <v>3</v>
      </c>
      <c r="JP4" s="152">
        <f>IF($EI$40=0,"",$DZ$40)</f>
        <v/>
      </c>
      <c r="JQ4" s="152">
        <f>IF($EI$40=0,"",$EA$40)</f>
        <v/>
      </c>
      <c r="JR4" s="152">
        <f>IF($EI$40=0,"",$GP$40)</f>
        <v/>
      </c>
      <c r="JS4" s="152">
        <f>IF($EI$40=0,"",$EB$40)</f>
        <v/>
      </c>
      <c r="JT4" s="152">
        <f>IF($EI$40=0,"",$GR$40)</f>
        <v/>
      </c>
      <c r="JU4" s="152">
        <f>IF($EI$40=0,"",$HG$40)</f>
        <v/>
      </c>
      <c r="KD4" s="150" t="inlineStr">
        <is>
          <t>Talento 1</t>
        </is>
      </c>
      <c r="KE4" s="152">
        <f>IFERROR(MATCH(1,$HU$2:$HU$13,0),0)</f>
        <v/>
      </c>
      <c r="KF4" s="152">
        <f>IF($KE4=0,"",IF(INDEX($HO$2:$HO$13,$KE4)=0,"","CE "&amp;INDEX($HO$2:$HO$13,$KE4)))</f>
        <v/>
      </c>
      <c r="KG4" s="152">
        <f>IF($KE4=0,"",INDEX($HN$2:$HN$13,$KE4))</f>
        <v/>
      </c>
      <c r="KH4" s="152">
        <f>IF($KE4=0,"",IF(INDEX($HT$2:$HT$13,$KE4)&lt;&gt;"",INDEX($HT$2:$HT$13,$KE4),IF(IFERROR(VLOOKUP(INDEX($HN$2:$HN$13,$KE4),$BS$2:$BY$24,7,FALSE),"")&lt;&gt;"","Do livro: "&amp;IFERROR(VLOOKUP(INDEX($HN$2:$HN$13,$KE4),$BS$2:$BY$24,7,FALSE),""),"")))</f>
        <v/>
      </c>
      <c r="KJ4" s="150" t="inlineStr">
        <is>
          <t>Aptidão 1</t>
        </is>
      </c>
      <c r="KK4" s="152">
        <f>IFERROR(MATCH(1,$ID$2:$ID$13,0),0)</f>
        <v/>
      </c>
      <c r="KL4" s="152">
        <f>IF($KK4=0,"",INDEX($HZ$2:$HZ$13,$KK4))</f>
        <v/>
      </c>
      <c r="KM4" s="152">
        <f>IF($KK4=0,"",INDEX($HX$2:$HX$13,$KK4))</f>
        <v/>
      </c>
      <c r="KN4" s="152">
        <f>IF($KK4=0,"",IF(INDEX($IC$2:$IC$13,$KK4)&lt;&gt;"",INDEX($IC$2:$IC$13,$KK4),IF(IFERROR(VLOOKUP(INDEX($HX$2:$HX$13,$KK4),$CD$2:$CM$33,10,FALSE),"")&lt;&gt;"","Do livro: "&amp;IFERROR(VLOOKUP(INDEX($HX$2:$HX$13,$KK4),$CD$2:$CM$33,10,FALSE),""),"")))</f>
        <v/>
      </c>
      <c r="KP4" s="150" t="inlineStr">
        <is>
          <t>máximas</t>
        </is>
      </c>
      <c r="KQ4" s="152">
        <f>UPPER(INDEX($D$4:$G$4,1,$A$2))&amp;", "&amp;UPPER(INDEX($D$5:$G$5,1,$A$2))&amp;IF(DADOS_AM!$A$2=1," E DOMÍNIO","")</f>
        <v/>
      </c>
      <c r="KS4" s="150" t="inlineStr">
        <is>
          <t>P12</t>
        </is>
      </c>
      <c r="KT4" s="152">
        <f>IF(DADOS_AM!$HK$41=1,IF(DADOS_AM!$HK$48=0,"—",IF(DADOS_AM!$HK$48=1,"d20 + "&amp;(DADOS_AM!$HK$3+IF(DADOS_AM!$HK$42&lt;&gt;"",DADOS_AM!$HK$45,IF(DADOS_AM!$HK$43&lt;&gt;"",DADOS_AM!$HK$46,DADOS_AM!$HK$47))+IFERROR(VALUE(FICHA!$W$47&amp;""),0)),"Por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K5" s="152" t="n">
        <v>0</v>
      </c>
      <c r="BM5" s="150" t="inlineStr">
        <is>
          <t>Gesto</t>
        </is>
      </c>
      <c r="BN5" s="150" t="inlineStr">
        <is>
          <t>Gesto</t>
        </is>
      </c>
      <c r="BO5" s="152" t="n">
        <v>1</v>
      </c>
      <c r="BP5" s="152" t="n">
        <v>0</v>
      </c>
      <c r="BQ5" s="150" t="inlineStr">
        <is>
          <t>Gesto</t>
        </is>
      </c>
      <c r="BS5" s="150" t="inlineStr">
        <is>
          <t>Mão Firme</t>
        </is>
      </c>
      <c r="BT5" s="152" t="n">
        <v>1</v>
      </c>
      <c r="BU5" s="150" t="inlineStr">
        <is>
          <t>Quando uma ocorrência de dano causar 10 pontos ou menos, você não precisa fazer o teste para manter Concentração ou Carregar. Confira o dano de cada ocorrência depois das reduções aplicáveis. Não some todos os golpes da rodada.</t>
        </is>
      </c>
      <c r="BV5" s="152" t="n">
        <v>1</v>
      </c>
      <c r="BW5" s="152" t="n">
        <v>0</v>
      </c>
      <c r="BX5" s="152">
        <f>IF(OR(AND($A$2&lt;=2,$BV5=1),AND($A$2&gt;=2,$BW5=1)),$BS5,"")</f>
        <v/>
      </c>
      <c r="BY5" s="150" t="inlineStr">
        <is>
          <t>Quando uma ocorrência de dano causar 10 pontos ou menos, você não precisa fazer o teste para manter Concentração ou Carregar. Confira o dano de cada ocorrência depois das reduções aplicáveis. Não some todos os golpes da rodada.</t>
        </is>
      </c>
      <c r="CD5" s="150" t="inlineStr">
        <is>
          <t>Energia Reversa</t>
        </is>
      </c>
      <c r="CE5" s="150" t="inlineStr">
        <is>
          <t>Refino 7 e nível 14</t>
        </is>
      </c>
      <c r="CF5" s="152" t="n">
        <v>3</v>
      </c>
      <c r="CG5" s="150" t="inlineStr">
        <is>
          <t>—</t>
        </is>
      </c>
      <c r="CH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2">
        <f>IF($CL5=1,"",IF($A$2=4,IF($CJ5=1,$CD5,""),IF(OR($CJ5=1,AND($A$2=3,$CK5=1)),"",$CD5)))</f>
        <v/>
      </c>
      <c r="CJ5" s="152" t="n">
        <v>0</v>
      </c>
      <c r="CK5" s="152" t="n">
        <v>0</v>
      </c>
      <c r="CL5" s="152" t="n">
        <v>0</v>
      </c>
      <c r="CM5" s="150" t="inlineStr">
        <is>
          <t>Você usa energia reversa para restaurar seu próprio corpo.</t>
        </is>
      </c>
      <c r="CO5" s="150" t="inlineStr">
        <is>
          <t>Aptidão Própria</t>
        </is>
      </c>
      <c r="CS5" s="152">
        <f>IF($A$2=2,IFERROR(INDEX($CO$2:$CO$5,4),""),IF($A$2&gt;=3,IFERROR(INDEX($CQ$2:$CQ$4,4),""),""))</f>
        <v/>
      </c>
      <c r="CU5" s="150" t="inlineStr">
        <is>
          <t>Arremesso</t>
        </is>
      </c>
      <c r="CV5" s="152" t="n">
        <v>1</v>
      </c>
      <c r="CW5" s="152" t="n">
        <v>1</v>
      </c>
      <c r="CX5" s="152">
        <f>IF(AND($A$2&gt;=3,'FICHA AMALDIÇOADA'!$J$16&amp;""="Três grupos de arma"),$CU5,"")</f>
        <v/>
      </c>
      <c r="CZ5" s="152" t="n">
        <v>17</v>
      </c>
      <c r="DA5" s="152" t="n">
        <v>5</v>
      </c>
      <c r="DB5" s="152" t="n">
        <v>5</v>
      </c>
      <c r="DF5" s="152" t="n">
        <v>6</v>
      </c>
      <c r="DR5" s="150" t="inlineStr">
        <is>
          <t>Pacto de restrição</t>
        </is>
      </c>
      <c r="DS5" s="150" t="inlineStr">
        <is>
          <t>Na criação, com a Origem ou técnica</t>
        </is>
      </c>
      <c r="DW5" s="150" t="inlineStr">
        <is>
          <t>Feitiço 4</t>
        </is>
      </c>
      <c r="DX5" s="152" t="n">
        <v>0</v>
      </c>
      <c r="DY5" s="152" t="n">
        <v>4</v>
      </c>
      <c r="DZ5" s="152">
        <f>MAX(1,MIN(7,N('FICHA AMALDIÇOADA'!$D$72)))</f>
        <v/>
      </c>
      <c r="EA5" s="152">
        <f>'FICHA AMALDIÇOADA'!$E$72&amp;""</f>
        <v/>
      </c>
      <c r="EB5" s="152">
        <f>'FICHA AMALDIÇOADA'!$D$79&amp;""</f>
        <v/>
      </c>
      <c r="EC5" s="152">
        <f>'FICHA AMALDIÇOADA'!$E$81&amp;""</f>
        <v/>
      </c>
      <c r="ED5" s="152">
        <f>'FICHA AMALDIÇOADA'!$E$82&amp;""</f>
        <v/>
      </c>
      <c r="EE5" s="152">
        <f>'FICHA AMALDIÇOADA'!$E$83&amp;""</f>
        <v/>
      </c>
      <c r="EF5" s="152">
        <f>'FICHA AMALDIÇOADA'!$E$84&amp;""</f>
        <v/>
      </c>
      <c r="EG5" s="152">
        <f>'FICHA AMALDIÇOADA'!$E$85&amp;""</f>
        <v/>
      </c>
      <c r="EH5" s="152">
        <f>'FICHA AMALDIÇOADA'!$E$86&amp;""</f>
        <v/>
      </c>
      <c r="EI5" s="152">
        <f>IF($EA5&lt;&gt;"",1,0)</f>
        <v/>
      </c>
      <c r="EJ5" s="152">
        <f>IFERROR(MATCH($EB5,$Y$2:$Y$11,0),0)</f>
        <v/>
      </c>
      <c r="EK5" s="152">
        <f>IF($EJ5=0,0,INDEX($AB$2:$AB$11,$EJ5))</f>
        <v/>
      </c>
      <c r="EL5" s="152">
        <f>IFERROR(VLOOKUP($EC5,$BC$2:$BK$84,4,FALSE),0)</f>
        <v/>
      </c>
      <c r="EM5" s="152">
        <f>IFERROR(VLOOKUP($ED5,$BC$2:$BK$84,4,FALSE),0)</f>
        <v/>
      </c>
      <c r="EN5" s="152">
        <f>IFERROR(VLOOKUP($EE5,$BC$2:$BK$84,4,FALSE),0)</f>
        <v/>
      </c>
      <c r="EO5" s="152">
        <f>IFERROR(VLOOKUP($EF5,$BC$2:$BK$84,4,FALSE),0)</f>
        <v/>
      </c>
      <c r="EP5" s="152">
        <f>IF($EJ5=0,0,INDEX($AC$2:$AC$11,$EJ5))</f>
        <v/>
      </c>
      <c r="EQ5" s="152">
        <f>IFERROR(VLOOKUP($EC5,$BC$2:$BK$84,5,FALSE),0)</f>
        <v/>
      </c>
      <c r="ER5" s="152">
        <f>IFERROR(VLOOKUP($ED5,$BC$2:$BK$84,5,FALSE),0)</f>
        <v/>
      </c>
      <c r="ES5" s="152">
        <f>IFERROR(VLOOKUP($EE5,$BC$2:$BK$84,5,FALSE),0)</f>
        <v/>
      </c>
      <c r="ET5" s="152">
        <f>IFERROR(VLOOKUP($EF5,$BC$2:$BK$84,5,FALSE),0)</f>
        <v/>
      </c>
      <c r="EU5" s="152">
        <f>IFERROR(VLOOKUP($EC5,$BC$2:$BK$84,6,FALSE),0)+IFERROR(VLOOKUP($ED5,$BC$2:$BK$84,6,FALSE),0)+IFERROR(VLOOKUP($EE5,$BC$2:$BK$84,6,FALSE),0)+IFERROR(VLOOKUP($EF5,$BC$2:$BK$84,6,FALSE),0)</f>
        <v/>
      </c>
      <c r="EV5" s="152">
        <f>IFERROR(VLOOKUP($EC5,$BC$2:$BK$84,9,FALSE),0)+IFERROR(VLOOKUP($ED5,$BC$2:$BK$84,9,FALSE),0)+IFERROR(VLOOKUP($EE5,$BC$2:$BK$84,9,FALSE),0)+IFERROR(VLOOKUP($EF5,$BC$2:$BK$84,9,FALSE),0)</f>
        <v/>
      </c>
      <c r="EW5" s="152">
        <f>IF($EJ5=0,0,INDEX($AD$2:$AD$11,$EJ5))</f>
        <v/>
      </c>
      <c r="EX5" s="152">
        <f>IF($EJ5=0,0,INDEX($AE$2:$AE$11,$EJ5))</f>
        <v/>
      </c>
      <c r="EY5" s="152">
        <f>IF($EJ5=0,0,INDEX($AG$2:$AG$11,$EJ5))</f>
        <v/>
      </c>
      <c r="EZ5" s="152">
        <f>IFERROR(VLOOKUP($EG5,$BM$2:$BQ$24,3,FALSE),0)</f>
        <v/>
      </c>
      <c r="FA5" s="152">
        <f>IFERROR(VLOOKUP($EH5,$BM$2:$BQ$24,3,FALSE),0)</f>
        <v/>
      </c>
      <c r="FB5" s="152">
        <f>IFERROR(VLOOKUP($EG5,$BM$2:$BQ$24,2,FALSE),"")</f>
        <v/>
      </c>
      <c r="FC5" s="152">
        <f>IFERROR(VLOOKUP($EH5,$BM$2:$BQ$24,2,FALSE),"")</f>
        <v/>
      </c>
      <c r="FD5" s="152">
        <f>COUNTIF($EK5:$EO5,1)</f>
        <v/>
      </c>
      <c r="FE5" s="152">
        <f>COUNTIF($EK5:$EO5,2)</f>
        <v/>
      </c>
      <c r="FF5" s="152">
        <f>COUNTIF($EK5:$EO5,3)</f>
        <v/>
      </c>
      <c r="FG5" s="152">
        <f>COUNTIF($EK5:$EO5,4)</f>
        <v/>
      </c>
      <c r="FH5" s="152">
        <f>COUNTIF($EK5:$EO5,5)</f>
        <v/>
      </c>
      <c r="FI5" s="152">
        <f>COUNTIF($EK5:$EO5,6)</f>
        <v/>
      </c>
      <c r="FJ5" s="152">
        <f>COUNTIF($EZ5:$FA5,1)</f>
        <v/>
      </c>
      <c r="FK5" s="152">
        <f>COUNTIF($EZ5:$FA5,2)+$EW5</f>
        <v/>
      </c>
      <c r="FL5" s="152">
        <f>COUNTIF($EC5:$EF5,"?*")</f>
        <v/>
      </c>
      <c r="FM5" s="152">
        <f>COUNTIF($EG5:$EH5,"?*")+$EW5</f>
        <v/>
      </c>
      <c r="FN5" s="152">
        <f>SUMPRODUCT($FD5:$FI5,INDEX($Q$2:$V$8,$DZ5,0))</f>
        <v/>
      </c>
      <c r="FO5" s="152">
        <f>$FJ5*CEILING($DZ5/2,1)+$FK5*$DZ5</f>
        <v/>
      </c>
      <c r="FP5" s="152">
        <f>MIN(2*$DZ5,$FO5)</f>
        <v/>
      </c>
      <c r="FQ5" s="152">
        <f>MIN($FP5,$FN5)</f>
        <v/>
      </c>
      <c r="FR5" s="152">
        <f>$FP5-$FQ5</f>
        <v/>
      </c>
      <c r="FS5" s="152">
        <f>3*$DZ5-$FN5+$FQ5</f>
        <v/>
      </c>
      <c r="FT5" s="152">
        <f>MAX(0,$FS5)+$DX5*$DZ5</f>
        <v/>
      </c>
      <c r="FU5" s="152">
        <f>(IF(COUNTIF($EC5:$EF5,"Salto")&gt;0,1,0)+IF(COUNTIF($EC5:$EF5,"Queima")&gt;0,1,0)+IF(COUNTIF($EC5:$EF5,"Estilhaço")&gt;0,1,0))*FLOOR($FT5/2,1)</f>
        <v/>
      </c>
      <c r="FV5" s="152">
        <f>MAX(0,3-SUMPRODUCT($FD5:$FI5,$Q$2:$V$2)+MIN(2,$FJ5*1+$FK5*1,SUMPRODUCT($FD5:$FI5,$Q$2:$V$2)))+$DX5*1</f>
        <v/>
      </c>
      <c r="FW5" s="152">
        <f>MAX(0,6-SUMPRODUCT($FD5:$FI5,$Q$3:$V$3)+MIN(4,$FJ5*1+$FK5*2,SUMPRODUCT($FD5:$FI5,$Q$3:$V$3)))+$DX5*2</f>
        <v/>
      </c>
      <c r="FX5" s="152">
        <f>MAX(0,9-SUMPRODUCT($FD5:$FI5,$Q$4:$V$4)+MIN(6,$FJ5*2+$FK5*3,SUMPRODUCT($FD5:$FI5,$Q$4:$V$4)))+$DX5*3</f>
        <v/>
      </c>
      <c r="FY5" s="152">
        <f>MAX(0,12-SUMPRODUCT($FD5:$FI5,$Q$5:$V$5)+MIN(8,$FJ5*2+$FK5*4,SUMPRODUCT($FD5:$FI5,$Q$5:$V$5)))+$DX5*4</f>
        <v/>
      </c>
      <c r="FZ5" s="152">
        <f>MAX(0,15-SUMPRODUCT($FD5:$FI5,$Q$6:$V$6)+MIN(10,$FJ5*3+$FK5*5,SUMPRODUCT($FD5:$FI5,$Q$6:$V$6)))+$DX5*5</f>
        <v/>
      </c>
      <c r="GA5" s="152">
        <f>MAX(0,18-SUMPRODUCT($FD5:$FI5,$Q$7:$V$7)+MIN(12,$FJ5*3+$FK5*6,SUMPRODUCT($FD5:$FI5,$Q$7:$V$7)))+$DX5*6</f>
        <v/>
      </c>
      <c r="GB5" s="152">
        <f>MAX(0,21-SUMPRODUCT($FD5:$FI5,$Q$8:$V$8)+MIN(14,$FJ5*4+$FK5*7,SUMPRODUCT($FD5:$FI5,$Q$8:$V$8)))+$DX5*7</f>
        <v/>
      </c>
      <c r="GC5" s="152">
        <f>IF($EX5=2,3*$FV5&amp;" de vida temp.",IF($EX5=3,"sem dano",IF($FV5=0,IF($EX5=1,"sem cura","sem dano"),IF($EX5=1,"cura ","")&amp;$FV5&amp;"d8")))</f>
        <v/>
      </c>
      <c r="GD5" s="152">
        <f>IF($EX5=2,3*$FW5&amp;" de vida temp.",IF($EX5=3,"sem dano",IF($FW5=0,IF($EX5=1,"sem cura","sem dano"),IF($EX5=1,"cura ","")&amp;$FW5&amp;"d8")))</f>
        <v/>
      </c>
      <c r="GE5" s="152">
        <f>IF($EX5=2,3*$FX5&amp;" de vida temp.",IF($EX5=3,"sem dano",IF($FX5=0,IF($EX5=1,"sem cura","sem dano"),IF($EX5=1,"cura ","")&amp;$FX5&amp;"d8")))</f>
        <v/>
      </c>
      <c r="GF5" s="152">
        <f>IF($EX5=2,3*$FY5&amp;" de vida temp.",IF($EX5=3,"sem dano",IF($FY5=0,IF($EX5=1,"sem cura","sem dano"),IF($EX5=1,"cura ","")&amp;$FY5&amp;"d8")))</f>
        <v/>
      </c>
      <c r="GG5" s="152">
        <f>IF($EX5=2,3*$FZ5&amp;" de vida temp.",IF($EX5=3,"sem dano",IF($FZ5=0,IF($EX5=1,"sem cura","sem dano"),IF($EX5=1,"cura ","")&amp;$FZ5&amp;"d8")))</f>
        <v/>
      </c>
      <c r="GH5" s="152">
        <f>IF($EX5=2,3*$GA5&amp;" de vida temp.",IF($EX5=3,"sem dano",IF($GA5=0,IF($EX5=1,"sem cura","sem dano"),IF($EX5=1,"cura ","")&amp;$GA5&amp;"d8")))</f>
        <v/>
      </c>
      <c r="GI5" s="152">
        <f>IF($EX5=2,3*$GB5&amp;" de vida temp.",IF($EX5=3,"sem dano",IF($GB5=0,IF($EX5=1,"sem cura","sem dano"),IF($EX5=1,"cura ","")&amp;$GB5&amp;"d8")))</f>
        <v/>
      </c>
      <c r="GJ5" s="152">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2">
        <f>IF($GJ5="",0,(LEN($GJ5)-LEN(SUBSTITUTE($GJ5," · ","")))/3+1)</f>
        <v/>
      </c>
      <c r="GL5" s="152">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2">
        <f>IF($GL5="",0,(LEN($GL5)-LEN(SUBSTITUTE($GL5," · ","")))/3+1)</f>
        <v/>
      </c>
      <c r="GN5" s="152">
        <f>IF($EI5=0,IF($FL5+$FM5-$EW5&gt;0,"Dê um nome",""),IF($GK5&gt;0,"⚠ "&amp;$GK5&amp;IF($GK5&gt;1," erros"," erro"),IF($GM5&gt;0,"! "&amp;$GM5&amp;IF($GM5&gt;1," avisos"," aviso"),"Na regra")))</f>
        <v/>
      </c>
      <c r="GO5" s="152">
        <f>IF($EI5=0,"",IF($GK5+$GM5=0,"Dentro das regras que a ficha confere",$GJ5&amp;IF(AND($GK5&gt;0,$GM5&gt;0)," · ","")&amp;$GL5))</f>
        <v/>
      </c>
      <c r="GP5" s="152">
        <f>IF($EI5=0,"",IF($DX5=1,CEILING(4.5*$DZ5,1),3*$DZ5)&amp;" PE")</f>
        <v/>
      </c>
      <c r="GQ5" s="152">
        <f>IF($EI5=0,"",IF($DX5=1,"Rodada inteira",IF(COUNTIF($FB5:$FC5,"Atrasar")&gt;0,IF(COUNTIF($FB5:$FC5,"Carregar")&gt;0,"Rodada +1 turno","Rodada inteira"),IF(COUNTIF($EC5:$EF5,"Rápido")&gt;0,"Bônus",IF(COUNTIF($EC5:$EF5,"Reação")&gt;0,"Reação","Padrão"))&amp;IF(COUNTIF($FB5:$FC5,"Carregar")&gt;0," +1 turno",""))))</f>
        <v/>
      </c>
      <c r="GR5" s="152">
        <f>IF(OR($EI5=0,$EJ5=0),"",IF(COUNTIF($EC5:$EF5,"Inescapável")&gt;0,"Automático",IF(COUNTIF($EC5:$EF5,"Certeiro")&gt;0,"TR para metade",IF(AND($EV5&gt;0,$EY5=0,INDEX($AF$2:$AF$11,$EJ5)="Acerto"),"Acerto + TR",INDEX($AF$2:$AF$11,$EJ5)))))</f>
        <v/>
      </c>
      <c r="GS5" s="152">
        <f>IF(OR($EI5=0,$EJ5=0),"",IF(OR($EX5&gt;=2,$FT5=0),UPPER(LEFT(INDEX($GC5:$GI5,1,$DZ5),1))&amp;MID(INDEX($GC5:$GI5,1,$DZ5),2,99),UPPER(LEFT(INDEX($GC5:$GI5,1,$DZ5),1))&amp;MID(INDEX($GC5:$GI5,1,$DZ5),2,99)&amp;" = "&amp;FLOOR($FT5*4.5,1)&amp;IF($FU5&gt;0," · +"&amp;$FU5&amp;"d8","")))</f>
        <v/>
      </c>
      <c r="GT5" s="152">
        <f>COUNTIF($EC5:$EF5,"Longe")+3*COUNTIF($EC5:$EF5,"Muito Longe")</f>
        <v/>
      </c>
      <c r="GU5" s="152">
        <f>COUNTIF($EC5:$EF5,"Maior")+3*COUNTIF($EC5:$EF5,"Muito Maior")</f>
        <v/>
      </c>
      <c r="GV5" s="152">
        <f>IF($EJ5=0,0,CHOOSE(1+INDEX($AH$2:$AH$11,$EJ5),0,$GT5,$GU5,$GT5+$GU5))</f>
        <v/>
      </c>
      <c r="GW5" s="152">
        <f>IF($EJ5=0,0,CHOOSE(1+INDEX($AI$2:$AI$11,$EJ5),0,$GT5,$GU5,$GT5+$GU5))</f>
        <v/>
      </c>
      <c r="GX5" s="152">
        <f>IF(OR($EI5=0,$EJ5=0),"",INDEX($AP$2:$AU$31,($EJ5-1)*3+IF($DZ5&gt;=6,3,2),1+MIN(5,$GV5))&amp;INDEX($AV$2:$BA$31,($EJ5-1)*3+IF($DZ5&gt;=6,3,2),1+MIN(5,$GW5))&amp;IF(INDEX($AJ$2:$AJ$11,$EJ5)=1,IF(COUNTIF($EC5:$EF5,"Mais Um")&gt;0," · +"&amp;COUNTIF($EC5:$EF5,"Mais Um")&amp;IF(COUNTIF($EC5:$EF5,"Mais Um")&gt;1," alvos"," alvo"),"")&amp;IF(COUNTIF($EC5:$EF5,"Rajada")&gt;0," · "&amp;($DZ5+1)&amp;" tiros",""),""))</f>
        <v/>
      </c>
      <c r="GY5" s="152">
        <f>IF($EI5=0,"",3*$DZ5&amp;" − "&amp;$FN5&amp;" + "&amp;$FQ5&amp;IF($DX5=1," + "&amp;$DZ5,"")&amp;" = "&amp;$FT5&amp;"d8 · teto "&amp;4*$DZ5&amp;IF($EW5=1," · a Forma devolve "&amp;$DZ5,"")&amp;IF($FR5&gt;0," · perde "&amp;$FR5,""))</f>
        <v/>
      </c>
      <c r="GZ5" s="152">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2">
        <f>IF(OR($EI5=0,$EL5=0),"","−"&amp;INDEX($Q$2:$V$8,$DZ5,$EL5)&amp;" · "&amp;CHOOSE($EL5,"Leve","Média","Pesada","Leve · Livre","Média · Livre","Pesada · Livre"))</f>
        <v/>
      </c>
      <c r="HB5" s="152">
        <f>IF(OR($EI5=0,$EM5=0),"","−"&amp;INDEX($Q$2:$V$8,$DZ5,$EM5)&amp;" · "&amp;CHOOSE($EM5,"Leve","Média","Pesada","Leve · Livre","Média · Livre","Pesada · Livre"))</f>
        <v/>
      </c>
      <c r="HC5" s="152">
        <f>IF(OR($EI5=0,$EN5=0),"","−"&amp;INDEX($Q$2:$V$8,$DZ5,$EN5)&amp;" · "&amp;CHOOSE($EN5,"Leve","Média","Pesada","Leve · Livre","Média · Livre","Pesada · Livre"))</f>
        <v/>
      </c>
      <c r="HD5" s="152">
        <f>IF(OR($EI5=0,$EO5=0),"","−"&amp;INDEX($Q$2:$V$8,$DZ5,$EO5)&amp;" · "&amp;CHOOSE($EO5,"Leve","Média","Pesada","Leve · Livre","Média · Livre","Pesada · Livre"))</f>
        <v/>
      </c>
      <c r="HE5" s="152">
        <f>IF(OR($EI5=0,$EG5=""),"","+"&amp;IF($EZ5=1,CEILING($DZ5/2,1),$DZ5))</f>
        <v/>
      </c>
      <c r="HF5" s="152">
        <f>IF(OR($EI5=0,$EH5=""),"","+"&amp;IF($FA5=1,CEILING($DZ5/2,1),$DZ5))</f>
        <v/>
      </c>
      <c r="HG5" s="152">
        <f>'FICHA AMALDIÇOADA'!$D$74&amp;""</f>
        <v/>
      </c>
      <c r="HH5" s="152">
        <f>IF(AND($EI5=1,$DX5=0),COUNTIFS($EI$2:$EI5,1,$DX$2:$DX5,0),"")</f>
        <v/>
      </c>
      <c r="HJ5" s="150" t="inlineStr">
        <is>
          <t>marcos</t>
        </is>
      </c>
      <c r="HK5" s="152">
        <f>N(DADOS!$AK$5)</f>
        <v/>
      </c>
      <c r="HM5" s="150" t="inlineStr">
        <is>
          <t>Talento 4</t>
        </is>
      </c>
      <c r="HN5" s="152">
        <f>'FICHA AMALDIÇOADA'!$D$387&amp;""</f>
        <v/>
      </c>
      <c r="HO5" s="152">
        <f>IFERROR(VLOOKUP($HN5,$BS$2:$BY$24,2,FALSE),0)</f>
        <v/>
      </c>
      <c r="HP5" s="152">
        <f>IFERROR(VLOOKUP($HO5,$CA$2:$CB$4,2,FALSE),0)</f>
        <v/>
      </c>
      <c r="HQ5" s="152">
        <f>IFERROR(VLOOKUP($HN5,$BS$2:$BY$24,3,FALSE),"")</f>
        <v/>
      </c>
      <c r="HR5" s="152">
        <f>IF($HO5=0,"",IF($HP5&gt;$HK$2,"⚠ Nível "&amp;$HP5,"CE "&amp;$HO5))</f>
        <v/>
      </c>
      <c r="HS5" s="152">
        <f>IF($HO5=0,"",$HO5&amp;" esp.")</f>
        <v/>
      </c>
      <c r="HT5" s="152">
        <f>'FICHA AMALDIÇOADA'!$E$392&amp;""</f>
        <v/>
      </c>
      <c r="HU5" s="152">
        <f>IF($HN5="","",COUNTIF($HN$2:$HN5,"?*"))</f>
        <v/>
      </c>
      <c r="HW5" s="150" t="inlineStr">
        <is>
          <t>Aptidão 4</t>
        </is>
      </c>
      <c r="HX5" s="152">
        <f>'FICHA AMALDIÇOADA'!$D$450&amp;""</f>
        <v/>
      </c>
      <c r="HY5" s="152">
        <f>IF($HX5="","","Requisito: "&amp;IFERROR(VLOOKUP($HX5,$CD$2:$CM$33,2,FALSE),""))</f>
        <v/>
      </c>
      <c r="HZ5" s="152">
        <f>IF($HX5="","",IFERROR(IF(ISNUMBER(VLOOKUP($HX5,$CD$2:$CM$33,3,FALSE)),"CE "&amp;VLOOKUP($HX5,$CD$2:$CM$33,3,FALSE),VLOOKUP($HX5,$CD$2:$CM$33,3,FALSE)),""))</f>
        <v/>
      </c>
      <c r="IA5" s="152">
        <f>IF($HX5="","",IFERROR(VLOOKUP($HX5,$CD$2:$CM$33,4,FALSE),""))</f>
        <v/>
      </c>
      <c r="IB5" s="152">
        <f>IF($HX5="","",IFERROR(VLOOKUP($HX5,$CD$2:$CM$33,5,FALSE),""))</f>
        <v/>
      </c>
      <c r="IC5" s="152">
        <f>'FICHA AMALDIÇOADA'!$E$467&amp;""</f>
        <v/>
      </c>
      <c r="ID5" s="152">
        <f>IF($HX5="","",COUNTIF($HX$2:$HX5,"?*"))</f>
        <v/>
      </c>
      <c r="IF5" s="150" t="inlineStr">
        <is>
          <t>Classe 0 · 4</t>
        </is>
      </c>
      <c r="IG5" s="152">
        <f>'FICHA AMALDIÇOADA'!$F$313&amp;""</f>
        <v/>
      </c>
      <c r="IH5" s="152">
        <f>'FICHA AMALDIÇOADA'!$J$313&amp;""</f>
        <v/>
      </c>
      <c r="II5" s="152">
        <f>'FICHA AMALDIÇOADA'!$L$313&amp;""</f>
        <v/>
      </c>
      <c r="IJ5" s="152">
        <f>IFERROR(MATCH($IG5,$Y$2:$Y$11,0),0)</f>
        <v/>
      </c>
      <c r="IK5" s="152">
        <f>$HK$11-IF($IH5&lt;&gt;"",1,0)</f>
        <v/>
      </c>
      <c r="IL5" s="152">
        <f>IF(4&gt;$HK$10,"Nível 11",IF($IJ5=0,"",IF(INDEX($AE$2:$AE$11,$IJ5)&gt;=2,"—",$IK5&amp;"d8 = "&amp;FLOOR($IK5*4.5,1))))</f>
        <v/>
      </c>
      <c r="IM5" s="152">
        <f>IF(OR(4&gt;$HK$10,$IJ5=0),"",INDEX($AP$2:$AU$31,($IJ5-1)*3+1,1+IF(OR(AND($IH5="Longe",INDEX($AH$2:$AH$11,$IJ5)&lt;&gt;2),AND($IH5="Maior",INDEX($AH$2:$AH$11,$IJ5)&gt;=2)),1,0))&amp;INDEX($AV$2:$BA$31,($IJ5-1)*3+1,1+IF(AND($IH5="Longe",INDEX($AI$2:$AI$11,$IJ5)=1),1,0)))</f>
        <v/>
      </c>
      <c r="IO5" s="150" t="inlineStr">
        <is>
          <t>Classe 0</t>
        </is>
      </c>
      <c r="IP5" s="152">
        <f>ADDRESS(ROW('FICHA AMALDIÇOADA'!G7),COLUMN('FICHA AMALDIÇOADA'!G7),4)</f>
        <v/>
      </c>
      <c r="IQ5" s="152">
        <f>ADDRESS(ROW('FICHA AMALDIÇOADA'!D307),COLUMN('FICHA AMALDIÇOADA'!D307),4)</f>
        <v/>
      </c>
      <c r="IR5" s="150" t="inlineStr">
        <is>
          <t>DADOS_AM!$IO$5</t>
        </is>
      </c>
      <c r="IT5" s="150" t="inlineStr">
        <is>
          <t>Caminho 23</t>
        </is>
      </c>
      <c r="IU5" s="152" t="n">
        <v>23</v>
      </c>
      <c r="IV5" s="152">
        <f>IF($HK$2&gt;=23,"Nível 23","Abre no 23")</f>
        <v/>
      </c>
      <c r="IW5" s="152">
        <f>ADDRESS(ROW(FICHA!G110),COLUMN(FICHA!G110),4)</f>
        <v/>
      </c>
      <c r="IX5" s="152">
        <f>ADDRESS(ROW(FICHA!D111),COLUMN(FICHA!D111),4)</f>
        <v/>
      </c>
      <c r="JF5" s="152" t="n">
        <v>4</v>
      </c>
      <c r="JG5" s="152">
        <f>IFERROR(MATCH(4,$HH$2:$HH$37,0),0)</f>
        <v/>
      </c>
      <c r="JH5" s="152">
        <f>IF($JG5=0,"",INDEX($DZ$2:$DZ$37,$JG5))</f>
        <v/>
      </c>
      <c r="JI5" s="152">
        <f>IF($JG5=0,"",INDEX($EA$2:$EA$37,$JG5))</f>
        <v/>
      </c>
      <c r="JJ5" s="152">
        <f>IF($JG5=0,"",INDEX($GP$2:$GP$37,$JG5))</f>
        <v/>
      </c>
      <c r="JK5" s="152">
        <f>IF($JG5=0,"",INDEX($EB$2:$EB$37,$JG5))</f>
        <v/>
      </c>
      <c r="JL5" s="152">
        <f>IF($JG5=0,"",INDEX($GR$2:$GR$37,$JG5))</f>
        <v/>
      </c>
      <c r="JM5" s="152">
        <f>IF($JG5=0,"",INDEX($HG$2:$HG$37,$JG5))</f>
        <v/>
      </c>
      <c r="KD5" s="150" t="inlineStr">
        <is>
          <t>Talento 2</t>
        </is>
      </c>
      <c r="KE5" s="152">
        <f>IFERROR(MATCH(2,$HU$2:$HU$13,0),0)</f>
        <v/>
      </c>
      <c r="KF5" s="152">
        <f>IF($KE5=0,"",IF(INDEX($HO$2:$HO$13,$KE5)=0,"","CE "&amp;INDEX($HO$2:$HO$13,$KE5)))</f>
        <v/>
      </c>
      <c r="KG5" s="152">
        <f>IF($KE5=0,"",INDEX($HN$2:$HN$13,$KE5))</f>
        <v/>
      </c>
      <c r="KH5" s="152">
        <f>IF($KE5=0,"",IF(INDEX($HT$2:$HT$13,$KE5)&lt;&gt;"",INDEX($HT$2:$HT$13,$KE5),IF(IFERROR(VLOOKUP(INDEX($HN$2:$HN$13,$KE5),$BS$2:$BY$24,7,FALSE),"")&lt;&gt;"","Do livro: "&amp;IFERROR(VLOOKUP(INDEX($HN$2:$HN$13,$KE5),$BS$2:$BY$24,7,FALSE),""),"")))</f>
        <v/>
      </c>
      <c r="KJ5" s="150" t="inlineStr">
        <is>
          <t>Aptidão 2</t>
        </is>
      </c>
      <c r="KK5" s="152">
        <f>IFERROR(MATCH(2,$ID$2:$ID$13,0),0)</f>
        <v/>
      </c>
      <c r="KL5" s="152">
        <f>IF($KK5=0,"",INDEX($HZ$2:$HZ$13,$KK5))</f>
        <v/>
      </c>
      <c r="KM5" s="152">
        <f>IF($KK5=0,"",INDEX($HX$2:$HX$13,$KK5))</f>
        <v/>
      </c>
      <c r="KN5" s="152">
        <f>IF($KK5=0,"",IF(INDEX($IC$2:$IC$13,$KK5)&lt;&gt;"",INDEX($IC$2:$IC$13,$KK5),IF(IFERROR(VLOOKUP(INDEX($HX$2:$HX$13,$KK5),$CD$2:$CM$33,10,FALSE),"")&lt;&gt;"","Do livro: "&amp;IFERROR(VLOOKUP(INDEX($HX$2:$HX$13,$KK5),$CD$2:$CM$33,10,FALSE),""),"")))</f>
        <v/>
      </c>
      <c r="KP5" s="150" t="inlineStr">
        <is>
          <t>passivas</t>
        </is>
      </c>
      <c r="KQ5" s="152">
        <f>"TALENTOS  ·  "&amp;(COUNTIF($KG$2:$KG$15,"?*")-2)&amp;" de 12, mais a Expressão e a Regra Própria"</f>
        <v/>
      </c>
      <c r="KS5" s="150" t="inlineStr">
        <is>
          <t>R12</t>
        </is>
      </c>
      <c r="KT5" s="152">
        <f>IF(DADOS_AM!$HK$41=1,IF(DADOS_AM!$HK$48=0,"—",IF(DADOS_AM!$HK$48=1,(8+DADOS_AM!$HK$3+IF(DADOS_AM!$HK$42&lt;&gt;"",DADOS_AM!$HK$45,IF(DADOS_AM!$HK$43&lt;&gt;"",DADOS_AM!$HK$46,DADOS_AM!$HK$47))+IFERROR(VALUE(FICHA!$L$47&amp;""),0)),"Por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K6" s="152" t="n">
        <v>0</v>
      </c>
      <c r="BM6" s="150" t="inlineStr">
        <is>
          <t>Carregar</t>
        </is>
      </c>
      <c r="BN6" s="150" t="inlineStr">
        <is>
          <t>Carregar</t>
        </is>
      </c>
      <c r="BO6" s="152" t="n">
        <v>2</v>
      </c>
      <c r="BP6" s="152" t="n">
        <v>0</v>
      </c>
      <c r="BQ6" s="150" t="inlineStr"/>
      <c r="BS6" s="150" t="inlineStr">
        <is>
          <t>Farejador</t>
        </is>
      </c>
      <c r="BT6" s="152" t="n">
        <v>1</v>
      </c>
      <c r="BU6" s="150" t="inlineStr">
        <is>
          <t>Você sente se houve uma conjuração no local onde está nas últimas 24 horas, e identifica a Classe deixada por ela. Se houver vestígios de mais de uma Classe, reconhece essas Classes.</t>
        </is>
      </c>
      <c r="BV6" s="152" t="n">
        <v>1</v>
      </c>
      <c r="BW6" s="152" t="n">
        <v>0</v>
      </c>
      <c r="BX6" s="152">
        <f>IF(OR(AND($A$2&lt;=2,$BV6=1),AND($A$2&gt;=2,$BW6=1)),$BS6,"")</f>
        <v/>
      </c>
      <c r="BY6" s="150" t="inlineStr">
        <is>
          <t>Você sente se houve uma conjuração no local onde está nas últimas 24 horas, e identifica a Classe deixada por ela. Se houver vestígios de mais de uma Classe, reconhece essas Classes.</t>
        </is>
      </c>
      <c r="CD6" s="150" t="inlineStr">
        <is>
          <t>Circulação</t>
        </is>
      </c>
      <c r="CE6" s="150" t="inlineStr">
        <is>
          <t>Energia Reversa e Refino 8</t>
        </is>
      </c>
      <c r="CF6" s="152" t="n">
        <v>3</v>
      </c>
      <c r="CG6" s="150" t="inlineStr">
        <is>
          <t>—</t>
        </is>
      </c>
      <c r="CH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2">
        <f>IF($CL6=1,"",IF($A$2=4,IF($CJ6=1,$CD6,""),IF(OR($CJ6=1,AND($A$2=3,$CK6=1)),"",$CD6)))</f>
        <v/>
      </c>
      <c r="CJ6" s="152" t="n">
        <v>0</v>
      </c>
      <c r="CK6" s="152" t="n">
        <v>0</v>
      </c>
      <c r="CL6" s="152" t="n">
        <v>0</v>
      </c>
      <c r="CM6" s="150" t="inlineStr">
        <is>
          <t>Você melhora o uso de Energia Reversa e aprende a reconstruir partes perdidas do corpo.</t>
        </is>
      </c>
      <c r="CU6" s="150" t="inlineStr">
        <is>
          <t>Flexível</t>
        </is>
      </c>
      <c r="CV6" s="152" t="n">
        <v>1</v>
      </c>
      <c r="CW6" s="152" t="n">
        <v>0</v>
      </c>
      <c r="CX6" s="152">
        <f>IF(AND($A$2&gt;=3,'FICHA AMALDIÇOADA'!$J$16&amp;""="Três grupos de arma"),$CU6,"")</f>
        <v/>
      </c>
      <c r="CZ6" s="152" t="n">
        <v>25</v>
      </c>
      <c r="DA6" s="152" t="n">
        <v>5</v>
      </c>
      <c r="DB6" s="152" t="n">
        <v>6</v>
      </c>
      <c r="DF6" s="152" t="n">
        <v>7</v>
      </c>
      <c r="DW6" s="150" t="inlineStr">
        <is>
          <t>Feitiço 5</t>
        </is>
      </c>
      <c r="DX6" s="152" t="n">
        <v>0</v>
      </c>
      <c r="DY6" s="152" t="n">
        <v>5</v>
      </c>
      <c r="DZ6" s="152">
        <f>MAX(1,MIN(7,N('FICHA AMALDIÇOADA'!$J$72)))</f>
        <v/>
      </c>
      <c r="EA6" s="152">
        <f>'FICHA AMALDIÇOADA'!$K$72&amp;""</f>
        <v/>
      </c>
      <c r="EB6" s="152">
        <f>'FICHA AMALDIÇOADA'!$J$79&amp;""</f>
        <v/>
      </c>
      <c r="EC6" s="152">
        <f>'FICHA AMALDIÇOADA'!$K$81&amp;""</f>
        <v/>
      </c>
      <c r="ED6" s="152">
        <f>'FICHA AMALDIÇOADA'!$K$82&amp;""</f>
        <v/>
      </c>
      <c r="EE6" s="152">
        <f>'FICHA AMALDIÇOADA'!$K$83&amp;""</f>
        <v/>
      </c>
      <c r="EF6" s="152">
        <f>'FICHA AMALDIÇOADA'!$K$84&amp;""</f>
        <v/>
      </c>
      <c r="EG6" s="152">
        <f>'FICHA AMALDIÇOADA'!$K$85&amp;""</f>
        <v/>
      </c>
      <c r="EH6" s="152">
        <f>'FICHA AMALDIÇOADA'!$K$86&amp;""</f>
        <v/>
      </c>
      <c r="EI6" s="152">
        <f>IF($EA6&lt;&gt;"",1,0)</f>
        <v/>
      </c>
      <c r="EJ6" s="152">
        <f>IFERROR(MATCH($EB6,$Y$2:$Y$11,0),0)</f>
        <v/>
      </c>
      <c r="EK6" s="152">
        <f>IF($EJ6=0,0,INDEX($AB$2:$AB$11,$EJ6))</f>
        <v/>
      </c>
      <c r="EL6" s="152">
        <f>IFERROR(VLOOKUP($EC6,$BC$2:$BK$84,4,FALSE),0)</f>
        <v/>
      </c>
      <c r="EM6" s="152">
        <f>IFERROR(VLOOKUP($ED6,$BC$2:$BK$84,4,FALSE),0)</f>
        <v/>
      </c>
      <c r="EN6" s="152">
        <f>IFERROR(VLOOKUP($EE6,$BC$2:$BK$84,4,FALSE),0)</f>
        <v/>
      </c>
      <c r="EO6" s="152">
        <f>IFERROR(VLOOKUP($EF6,$BC$2:$BK$84,4,FALSE),0)</f>
        <v/>
      </c>
      <c r="EP6" s="152">
        <f>IF($EJ6=0,0,INDEX($AC$2:$AC$11,$EJ6))</f>
        <v/>
      </c>
      <c r="EQ6" s="152">
        <f>IFERROR(VLOOKUP($EC6,$BC$2:$BK$84,5,FALSE),0)</f>
        <v/>
      </c>
      <c r="ER6" s="152">
        <f>IFERROR(VLOOKUP($ED6,$BC$2:$BK$84,5,FALSE),0)</f>
        <v/>
      </c>
      <c r="ES6" s="152">
        <f>IFERROR(VLOOKUP($EE6,$BC$2:$BK$84,5,FALSE),0)</f>
        <v/>
      </c>
      <c r="ET6" s="152">
        <f>IFERROR(VLOOKUP($EF6,$BC$2:$BK$84,5,FALSE),0)</f>
        <v/>
      </c>
      <c r="EU6" s="152">
        <f>IFERROR(VLOOKUP($EC6,$BC$2:$BK$84,6,FALSE),0)+IFERROR(VLOOKUP($ED6,$BC$2:$BK$84,6,FALSE),0)+IFERROR(VLOOKUP($EE6,$BC$2:$BK$84,6,FALSE),0)+IFERROR(VLOOKUP($EF6,$BC$2:$BK$84,6,FALSE),0)</f>
        <v/>
      </c>
      <c r="EV6" s="152">
        <f>IFERROR(VLOOKUP($EC6,$BC$2:$BK$84,9,FALSE),0)+IFERROR(VLOOKUP($ED6,$BC$2:$BK$84,9,FALSE),0)+IFERROR(VLOOKUP($EE6,$BC$2:$BK$84,9,FALSE),0)+IFERROR(VLOOKUP($EF6,$BC$2:$BK$84,9,FALSE),0)</f>
        <v/>
      </c>
      <c r="EW6" s="152">
        <f>IF($EJ6=0,0,INDEX($AD$2:$AD$11,$EJ6))</f>
        <v/>
      </c>
      <c r="EX6" s="152">
        <f>IF($EJ6=0,0,INDEX($AE$2:$AE$11,$EJ6))</f>
        <v/>
      </c>
      <c r="EY6" s="152">
        <f>IF($EJ6=0,0,INDEX($AG$2:$AG$11,$EJ6))</f>
        <v/>
      </c>
      <c r="EZ6" s="152">
        <f>IFERROR(VLOOKUP($EG6,$BM$2:$BQ$24,3,FALSE),0)</f>
        <v/>
      </c>
      <c r="FA6" s="152">
        <f>IFERROR(VLOOKUP($EH6,$BM$2:$BQ$24,3,FALSE),0)</f>
        <v/>
      </c>
      <c r="FB6" s="152">
        <f>IFERROR(VLOOKUP($EG6,$BM$2:$BQ$24,2,FALSE),"")</f>
        <v/>
      </c>
      <c r="FC6" s="152">
        <f>IFERROR(VLOOKUP($EH6,$BM$2:$BQ$24,2,FALSE),"")</f>
        <v/>
      </c>
      <c r="FD6" s="152">
        <f>COUNTIF($EK6:$EO6,1)</f>
        <v/>
      </c>
      <c r="FE6" s="152">
        <f>COUNTIF($EK6:$EO6,2)</f>
        <v/>
      </c>
      <c r="FF6" s="152">
        <f>COUNTIF($EK6:$EO6,3)</f>
        <v/>
      </c>
      <c r="FG6" s="152">
        <f>COUNTIF($EK6:$EO6,4)</f>
        <v/>
      </c>
      <c r="FH6" s="152">
        <f>COUNTIF($EK6:$EO6,5)</f>
        <v/>
      </c>
      <c r="FI6" s="152">
        <f>COUNTIF($EK6:$EO6,6)</f>
        <v/>
      </c>
      <c r="FJ6" s="152">
        <f>COUNTIF($EZ6:$FA6,1)</f>
        <v/>
      </c>
      <c r="FK6" s="152">
        <f>COUNTIF($EZ6:$FA6,2)+$EW6</f>
        <v/>
      </c>
      <c r="FL6" s="152">
        <f>COUNTIF($EC6:$EF6,"?*")</f>
        <v/>
      </c>
      <c r="FM6" s="152">
        <f>COUNTIF($EG6:$EH6,"?*")+$EW6</f>
        <v/>
      </c>
      <c r="FN6" s="152">
        <f>SUMPRODUCT($FD6:$FI6,INDEX($Q$2:$V$8,$DZ6,0))</f>
        <v/>
      </c>
      <c r="FO6" s="152">
        <f>$FJ6*CEILING($DZ6/2,1)+$FK6*$DZ6</f>
        <v/>
      </c>
      <c r="FP6" s="152">
        <f>MIN(2*$DZ6,$FO6)</f>
        <v/>
      </c>
      <c r="FQ6" s="152">
        <f>MIN($FP6,$FN6)</f>
        <v/>
      </c>
      <c r="FR6" s="152">
        <f>$FP6-$FQ6</f>
        <v/>
      </c>
      <c r="FS6" s="152">
        <f>3*$DZ6-$FN6+$FQ6</f>
        <v/>
      </c>
      <c r="FT6" s="152">
        <f>MAX(0,$FS6)+$DX6*$DZ6</f>
        <v/>
      </c>
      <c r="FU6" s="152">
        <f>(IF(COUNTIF($EC6:$EF6,"Salto")&gt;0,1,0)+IF(COUNTIF($EC6:$EF6,"Queima")&gt;0,1,0)+IF(COUNTIF($EC6:$EF6,"Estilhaço")&gt;0,1,0))*FLOOR($FT6/2,1)</f>
        <v/>
      </c>
      <c r="FV6" s="152">
        <f>MAX(0,3-SUMPRODUCT($FD6:$FI6,$Q$2:$V$2)+MIN(2,$FJ6*1+$FK6*1,SUMPRODUCT($FD6:$FI6,$Q$2:$V$2)))+$DX6*1</f>
        <v/>
      </c>
      <c r="FW6" s="152">
        <f>MAX(0,6-SUMPRODUCT($FD6:$FI6,$Q$3:$V$3)+MIN(4,$FJ6*1+$FK6*2,SUMPRODUCT($FD6:$FI6,$Q$3:$V$3)))+$DX6*2</f>
        <v/>
      </c>
      <c r="FX6" s="152">
        <f>MAX(0,9-SUMPRODUCT($FD6:$FI6,$Q$4:$V$4)+MIN(6,$FJ6*2+$FK6*3,SUMPRODUCT($FD6:$FI6,$Q$4:$V$4)))+$DX6*3</f>
        <v/>
      </c>
      <c r="FY6" s="152">
        <f>MAX(0,12-SUMPRODUCT($FD6:$FI6,$Q$5:$V$5)+MIN(8,$FJ6*2+$FK6*4,SUMPRODUCT($FD6:$FI6,$Q$5:$V$5)))+$DX6*4</f>
        <v/>
      </c>
      <c r="FZ6" s="152">
        <f>MAX(0,15-SUMPRODUCT($FD6:$FI6,$Q$6:$V$6)+MIN(10,$FJ6*3+$FK6*5,SUMPRODUCT($FD6:$FI6,$Q$6:$V$6)))+$DX6*5</f>
        <v/>
      </c>
      <c r="GA6" s="152">
        <f>MAX(0,18-SUMPRODUCT($FD6:$FI6,$Q$7:$V$7)+MIN(12,$FJ6*3+$FK6*6,SUMPRODUCT($FD6:$FI6,$Q$7:$V$7)))+$DX6*6</f>
        <v/>
      </c>
      <c r="GB6" s="152">
        <f>MAX(0,21-SUMPRODUCT($FD6:$FI6,$Q$8:$V$8)+MIN(14,$FJ6*4+$FK6*7,SUMPRODUCT($FD6:$FI6,$Q$8:$V$8)))+$DX6*7</f>
        <v/>
      </c>
      <c r="GC6" s="152">
        <f>IF($EX6=2,3*$FV6&amp;" de vida temp.",IF($EX6=3,"sem dano",IF($FV6=0,IF($EX6=1,"sem cura","sem dano"),IF($EX6=1,"cura ","")&amp;$FV6&amp;"d8")))</f>
        <v/>
      </c>
      <c r="GD6" s="152">
        <f>IF($EX6=2,3*$FW6&amp;" de vida temp.",IF($EX6=3,"sem dano",IF($FW6=0,IF($EX6=1,"sem cura","sem dano"),IF($EX6=1,"cura ","")&amp;$FW6&amp;"d8")))</f>
        <v/>
      </c>
      <c r="GE6" s="152">
        <f>IF($EX6=2,3*$FX6&amp;" de vida temp.",IF($EX6=3,"sem dano",IF($FX6=0,IF($EX6=1,"sem cura","sem dano"),IF($EX6=1,"cura ","")&amp;$FX6&amp;"d8")))</f>
        <v/>
      </c>
      <c r="GF6" s="152">
        <f>IF($EX6=2,3*$FY6&amp;" de vida temp.",IF($EX6=3,"sem dano",IF($FY6=0,IF($EX6=1,"sem cura","sem dano"),IF($EX6=1,"cura ","")&amp;$FY6&amp;"d8")))</f>
        <v/>
      </c>
      <c r="GG6" s="152">
        <f>IF($EX6=2,3*$FZ6&amp;" de vida temp.",IF($EX6=3,"sem dano",IF($FZ6=0,IF($EX6=1,"sem cura","sem dano"),IF($EX6=1,"cura ","")&amp;$FZ6&amp;"d8")))</f>
        <v/>
      </c>
      <c r="GH6" s="152">
        <f>IF($EX6=2,3*$GA6&amp;" de vida temp.",IF($EX6=3,"sem dano",IF($GA6=0,IF($EX6=1,"sem cura","sem dano"),IF($EX6=1,"cura ","")&amp;$GA6&amp;"d8")))</f>
        <v/>
      </c>
      <c r="GI6" s="152">
        <f>IF($EX6=2,3*$GB6&amp;" de vida temp.",IF($EX6=3,"sem dano",IF($GB6=0,IF($EX6=1,"sem cura","sem dano"),IF($EX6=1,"cura ","")&amp;$GB6&amp;"d8")))</f>
        <v/>
      </c>
      <c r="GJ6" s="152">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2">
        <f>IF($GJ6="",0,(LEN($GJ6)-LEN(SUBSTITUTE($GJ6," · ","")))/3+1)</f>
        <v/>
      </c>
      <c r="GL6" s="152">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2">
        <f>IF($GL6="",0,(LEN($GL6)-LEN(SUBSTITUTE($GL6," · ","")))/3+1)</f>
        <v/>
      </c>
      <c r="GN6" s="152">
        <f>IF($EI6=0,IF($FL6+$FM6-$EW6&gt;0,"Dê um nome",""),IF($GK6&gt;0,"⚠ "&amp;$GK6&amp;IF($GK6&gt;1," erros"," erro"),IF($GM6&gt;0,"! "&amp;$GM6&amp;IF($GM6&gt;1," avisos"," aviso"),"Na regra")))</f>
        <v/>
      </c>
      <c r="GO6" s="152">
        <f>IF($EI6=0,"",IF($GK6+$GM6=0,"Dentro das regras que a ficha confere",$GJ6&amp;IF(AND($GK6&gt;0,$GM6&gt;0)," · ","")&amp;$GL6))</f>
        <v/>
      </c>
      <c r="GP6" s="152">
        <f>IF($EI6=0,"",IF($DX6=1,CEILING(4.5*$DZ6,1),3*$DZ6)&amp;" PE")</f>
        <v/>
      </c>
      <c r="GQ6" s="152">
        <f>IF($EI6=0,"",IF($DX6=1,"Rodada inteira",IF(COUNTIF($FB6:$FC6,"Atrasar")&gt;0,IF(COUNTIF($FB6:$FC6,"Carregar")&gt;0,"Rodada +1 turno","Rodada inteira"),IF(COUNTIF($EC6:$EF6,"Rápido")&gt;0,"Bônus",IF(COUNTIF($EC6:$EF6,"Reação")&gt;0,"Reação","Padrão"))&amp;IF(COUNTIF($FB6:$FC6,"Carregar")&gt;0," +1 turno",""))))</f>
        <v/>
      </c>
      <c r="GR6" s="152">
        <f>IF(OR($EI6=0,$EJ6=0),"",IF(COUNTIF($EC6:$EF6,"Inescapável")&gt;0,"Automático",IF(COUNTIF($EC6:$EF6,"Certeiro")&gt;0,"TR para metade",IF(AND($EV6&gt;0,$EY6=0,INDEX($AF$2:$AF$11,$EJ6)="Acerto"),"Acerto + TR",INDEX($AF$2:$AF$11,$EJ6)))))</f>
        <v/>
      </c>
      <c r="GS6" s="152">
        <f>IF(OR($EI6=0,$EJ6=0),"",IF(OR($EX6&gt;=2,$FT6=0),UPPER(LEFT(INDEX($GC6:$GI6,1,$DZ6),1))&amp;MID(INDEX($GC6:$GI6,1,$DZ6),2,99),UPPER(LEFT(INDEX($GC6:$GI6,1,$DZ6),1))&amp;MID(INDEX($GC6:$GI6,1,$DZ6),2,99)&amp;" = "&amp;FLOOR($FT6*4.5,1)&amp;IF($FU6&gt;0," · +"&amp;$FU6&amp;"d8","")))</f>
        <v/>
      </c>
      <c r="GT6" s="152">
        <f>COUNTIF($EC6:$EF6,"Longe")+3*COUNTIF($EC6:$EF6,"Muito Longe")</f>
        <v/>
      </c>
      <c r="GU6" s="152">
        <f>COUNTIF($EC6:$EF6,"Maior")+3*COUNTIF($EC6:$EF6,"Muito Maior")</f>
        <v/>
      </c>
      <c r="GV6" s="152">
        <f>IF($EJ6=0,0,CHOOSE(1+INDEX($AH$2:$AH$11,$EJ6),0,$GT6,$GU6,$GT6+$GU6))</f>
        <v/>
      </c>
      <c r="GW6" s="152">
        <f>IF($EJ6=0,0,CHOOSE(1+INDEX($AI$2:$AI$11,$EJ6),0,$GT6,$GU6,$GT6+$GU6))</f>
        <v/>
      </c>
      <c r="GX6" s="152">
        <f>IF(OR($EI6=0,$EJ6=0),"",INDEX($AP$2:$AU$31,($EJ6-1)*3+IF($DZ6&gt;=6,3,2),1+MIN(5,$GV6))&amp;INDEX($AV$2:$BA$31,($EJ6-1)*3+IF($DZ6&gt;=6,3,2),1+MIN(5,$GW6))&amp;IF(INDEX($AJ$2:$AJ$11,$EJ6)=1,IF(COUNTIF($EC6:$EF6,"Mais Um")&gt;0," · +"&amp;COUNTIF($EC6:$EF6,"Mais Um")&amp;IF(COUNTIF($EC6:$EF6,"Mais Um")&gt;1," alvos"," alvo"),"")&amp;IF(COUNTIF($EC6:$EF6,"Rajada")&gt;0," · "&amp;($DZ6+1)&amp;" tiros",""),""))</f>
        <v/>
      </c>
      <c r="GY6" s="152">
        <f>IF($EI6=0,"",3*$DZ6&amp;" − "&amp;$FN6&amp;" + "&amp;$FQ6&amp;IF($DX6=1," + "&amp;$DZ6,"")&amp;" = "&amp;$FT6&amp;"d8 · teto "&amp;4*$DZ6&amp;IF($EW6=1," · a Forma devolve "&amp;$DZ6,"")&amp;IF($FR6&gt;0," · perde "&amp;$FR6,""))</f>
        <v/>
      </c>
      <c r="GZ6" s="152">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2">
        <f>IF(OR($EI6=0,$EL6=0),"","−"&amp;INDEX($Q$2:$V$8,$DZ6,$EL6)&amp;" · "&amp;CHOOSE($EL6,"Leve","Média","Pesada","Leve · Livre","Média · Livre","Pesada · Livre"))</f>
        <v/>
      </c>
      <c r="HB6" s="152">
        <f>IF(OR($EI6=0,$EM6=0),"","−"&amp;INDEX($Q$2:$V$8,$DZ6,$EM6)&amp;" · "&amp;CHOOSE($EM6,"Leve","Média","Pesada","Leve · Livre","Média · Livre","Pesada · Livre"))</f>
        <v/>
      </c>
      <c r="HC6" s="152">
        <f>IF(OR($EI6=0,$EN6=0),"","−"&amp;INDEX($Q$2:$V$8,$DZ6,$EN6)&amp;" · "&amp;CHOOSE($EN6,"Leve","Média","Pesada","Leve · Livre","Média · Livre","Pesada · Livre"))</f>
        <v/>
      </c>
      <c r="HD6" s="152">
        <f>IF(OR($EI6=0,$EO6=0),"","−"&amp;INDEX($Q$2:$V$8,$DZ6,$EO6)&amp;" · "&amp;CHOOSE($EO6,"Leve","Média","Pesada","Leve · Livre","Média · Livre","Pesada · Livre"))</f>
        <v/>
      </c>
      <c r="HE6" s="152">
        <f>IF(OR($EI6=0,$EG6=""),"","+"&amp;IF($EZ6=1,CEILING($DZ6/2,1),$DZ6))</f>
        <v/>
      </c>
      <c r="HF6" s="152">
        <f>IF(OR($EI6=0,$EH6=""),"","+"&amp;IF($FA6=1,CEILING($DZ6/2,1),$DZ6))</f>
        <v/>
      </c>
      <c r="HG6" s="152">
        <f>'FICHA AMALDIÇOADA'!$J$74&amp;""</f>
        <v/>
      </c>
      <c r="HH6" s="152">
        <f>IF(AND($EI6=1,$DX6=0),COUNTIFS($EI$2:$EI6,1,$DX$2:$DX6,0),"")</f>
        <v/>
      </c>
      <c r="HJ6" s="150" t="inlineStr">
        <is>
          <t>refino</t>
        </is>
      </c>
      <c r="HK6" s="152">
        <f>MAX(1,N(DADOS!$AK$34))</f>
        <v/>
      </c>
      <c r="HM6" s="150" t="inlineStr">
        <is>
          <t>Talento 5</t>
        </is>
      </c>
      <c r="HN6" s="152">
        <f>'FICHA AMALDIÇOADA'!$J$387&amp;""</f>
        <v/>
      </c>
      <c r="HO6" s="152">
        <f>IFERROR(VLOOKUP($HN6,$BS$2:$BY$24,2,FALSE),0)</f>
        <v/>
      </c>
      <c r="HP6" s="152">
        <f>IFERROR(VLOOKUP($HO6,$CA$2:$CB$4,2,FALSE),0)</f>
        <v/>
      </c>
      <c r="HQ6" s="152">
        <f>IFERROR(VLOOKUP($HN6,$BS$2:$BY$24,3,FALSE),"")</f>
        <v/>
      </c>
      <c r="HR6" s="152">
        <f>IF($HO6=0,"",IF($HP6&gt;$HK$2,"⚠ Nível "&amp;$HP6,"CE "&amp;$HO6))</f>
        <v/>
      </c>
      <c r="HS6" s="152">
        <f>IF($HO6=0,"",$HO6&amp;" esp.")</f>
        <v/>
      </c>
      <c r="HT6" s="152">
        <f>'FICHA AMALDIÇOADA'!$K$392&amp;""</f>
        <v/>
      </c>
      <c r="HU6" s="152">
        <f>IF($HN6="","",COUNTIF($HN$2:$HN6,"?*"))</f>
        <v/>
      </c>
      <c r="HW6" s="150" t="inlineStr">
        <is>
          <t>Aptidão 5</t>
        </is>
      </c>
      <c r="HX6" s="152">
        <f>'FICHA AMALDIÇOADA'!$J$450&amp;""</f>
        <v/>
      </c>
      <c r="HY6" s="152">
        <f>IF($HX6="","","Requisito: "&amp;IFERROR(VLOOKUP($HX6,$CD$2:$CM$33,2,FALSE),""))</f>
        <v/>
      </c>
      <c r="HZ6" s="152">
        <f>IF($HX6="","",IFERROR(IF(ISNUMBER(VLOOKUP($HX6,$CD$2:$CM$33,3,FALSE)),"CE "&amp;VLOOKUP($HX6,$CD$2:$CM$33,3,FALSE),VLOOKUP($HX6,$CD$2:$CM$33,3,FALSE)),""))</f>
        <v/>
      </c>
      <c r="IA6" s="152">
        <f>IF($HX6="","",IFERROR(VLOOKUP($HX6,$CD$2:$CM$33,4,FALSE),""))</f>
        <v/>
      </c>
      <c r="IB6" s="152">
        <f>IF($HX6="","",IFERROR(VLOOKUP($HX6,$CD$2:$CM$33,5,FALSE),""))</f>
        <v/>
      </c>
      <c r="IC6" s="152">
        <f>'FICHA AMALDIÇOADA'!$K$467&amp;""</f>
        <v/>
      </c>
      <c r="ID6" s="152">
        <f>IF($HX6="","",COUNTIF($HX$2:$HX6,"?*"))</f>
        <v/>
      </c>
      <c r="IF6" s="150" t="inlineStr">
        <is>
          <t>Classe 0 · 5</t>
        </is>
      </c>
      <c r="IG6" s="152">
        <f>'FICHA AMALDIÇOADA'!$F$314&amp;""</f>
        <v/>
      </c>
      <c r="IH6" s="152">
        <f>'FICHA AMALDIÇOADA'!$J$314&amp;""</f>
        <v/>
      </c>
      <c r="II6" s="152">
        <f>'FICHA AMALDIÇOADA'!$L$314&amp;""</f>
        <v/>
      </c>
      <c r="IJ6" s="152">
        <f>IFERROR(MATCH($IG6,$Y$2:$Y$11,0),0)</f>
        <v/>
      </c>
      <c r="IK6" s="152">
        <f>$HK$11-IF($IH6&lt;&gt;"",1,0)</f>
        <v/>
      </c>
      <c r="IL6" s="152">
        <f>IF(5&gt;$HK$10,"Nível 17",IF($IJ6=0,"",IF(INDEX($AE$2:$AE$11,$IJ6)&gt;=2,"—",$IK6&amp;"d8 = "&amp;FLOOR($IK6*4.5,1))))</f>
        <v/>
      </c>
      <c r="IM6" s="152">
        <f>IF(OR(5&gt;$HK$10,$IJ6=0),"",INDEX($AP$2:$AU$31,($IJ6-1)*3+1,1+IF(OR(AND($IH6="Longe",INDEX($AH$2:$AH$11,$IJ6)&lt;&gt;2),AND($IH6="Maior",INDEX($AH$2:$AH$11,$IJ6)&gt;=2)),1,0))&amp;INDEX($AV$2:$BA$31,($IJ6-1)*3+1,1+IF(AND($IH6="Longe",INDEX($AI$2:$AI$11,$IJ6)=1),1,0)))</f>
        <v/>
      </c>
      <c r="IO6" s="152">
        <f>IF($A$2&gt;=3,INDEX($D$4:$G$4,1,$A$2),"Liberação")</f>
        <v/>
      </c>
      <c r="IP6" s="152">
        <f>ADDRESS(ROW('FICHA AMALDIÇOADA'!J7),COLUMN('FICHA AMALDIÇOADA'!J7),4)</f>
        <v/>
      </c>
      <c r="IQ6" s="152">
        <f>ADDRESS(ROW('FICHA AMALDIÇOADA'!D316),COLUMN('FICHA AMALDIÇOADA'!D316),4)</f>
        <v/>
      </c>
      <c r="IR6" s="150" t="inlineStr">
        <is>
          <t>DADOS_AM!$IO$6</t>
        </is>
      </c>
      <c r="IT6" s="150" t="inlineStr">
        <is>
          <t>Caminho 30</t>
        </is>
      </c>
      <c r="IU6" s="152" t="n">
        <v>30</v>
      </c>
      <c r="IV6" s="152">
        <f>IF($HK$2&gt;=30,"Nível 30","Abre no 30")</f>
        <v/>
      </c>
      <c r="IW6" s="152">
        <f>ADDRESS(ROW(FICHA!G116),COLUMN(FICHA!G116),4)</f>
        <v/>
      </c>
      <c r="IX6" s="152">
        <f>ADDRESS(ROW(FICHA!D117),COLUMN(FICHA!D117),4)</f>
        <v/>
      </c>
      <c r="JF6" s="152" t="n">
        <v>5</v>
      </c>
      <c r="JG6" s="152">
        <f>IFERROR(MATCH(5,$HH$2:$HH$37,0),0)</f>
        <v/>
      </c>
      <c r="JH6" s="152">
        <f>IF($JG6=0,"",INDEX($DZ$2:$DZ$37,$JG6))</f>
        <v/>
      </c>
      <c r="JI6" s="152">
        <f>IF($JG6=0,"",INDEX($EA$2:$EA$37,$JG6))</f>
        <v/>
      </c>
      <c r="JJ6" s="152">
        <f>IF($JG6=0,"",INDEX($GP$2:$GP$37,$JG6))</f>
        <v/>
      </c>
      <c r="JK6" s="152">
        <f>IF($JG6=0,"",INDEX($EB$2:$EB$37,$JG6))</f>
        <v/>
      </c>
      <c r="JL6" s="152">
        <f>IF($JG6=0,"",INDEX($GR$2:$GR$37,$JG6))</f>
        <v/>
      </c>
      <c r="JM6" s="152">
        <f>IF($JG6=0,"",INDEX($HG$2:$HG$37,$JG6))</f>
        <v/>
      </c>
      <c r="KD6" s="150" t="inlineStr">
        <is>
          <t>Talento 3</t>
        </is>
      </c>
      <c r="KE6" s="152">
        <f>IFERROR(MATCH(3,$HU$2:$HU$13,0),0)</f>
        <v/>
      </c>
      <c r="KF6" s="152">
        <f>IF($KE6=0,"",IF(INDEX($HO$2:$HO$13,$KE6)=0,"","CE "&amp;INDEX($HO$2:$HO$13,$KE6)))</f>
        <v/>
      </c>
      <c r="KG6" s="152">
        <f>IF($KE6=0,"",INDEX($HN$2:$HN$13,$KE6))</f>
        <v/>
      </c>
      <c r="KH6" s="152">
        <f>IF($KE6=0,"",IF(INDEX($HT$2:$HT$13,$KE6)&lt;&gt;"",INDEX($HT$2:$HT$13,$KE6),IF(IFERROR(VLOOKUP(INDEX($HN$2:$HN$13,$KE6),$BS$2:$BY$24,7,FALSE),"")&lt;&gt;"","Do livro: "&amp;IFERROR(VLOOKUP(INDEX($HN$2:$HN$13,$KE6),$BS$2:$BY$24,7,FALSE),""),"")))</f>
        <v/>
      </c>
      <c r="KJ6" s="150" t="inlineStr">
        <is>
          <t>Aptidão 3</t>
        </is>
      </c>
      <c r="KK6" s="152">
        <f>IFERROR(MATCH(3,$ID$2:$ID$13,0),0)</f>
        <v/>
      </c>
      <c r="KL6" s="152">
        <f>IF($KK6=0,"",INDEX($HZ$2:$HZ$13,$KK6))</f>
        <v/>
      </c>
      <c r="KM6" s="152">
        <f>IF($KK6=0,"",INDEX($HX$2:$HX$13,$KK6))</f>
        <v/>
      </c>
      <c r="KN6" s="152">
        <f>IF($KK6=0,"",IF(INDEX($IC$2:$IC$13,$KK6)&lt;&gt;"",INDEX($IC$2:$IC$13,$KK6),IF(IFERROR(VLOOKUP(INDEX($HX$2:$HX$13,$KK6),$CD$2:$CM$33,10,FALSE),"")&lt;&gt;"","Do livro: "&amp;IFERROR(VLOOKUP(INDEX($HX$2:$HX$13,$KK6),$CD$2:$CM$33,10,FALSE),""),"")))</f>
        <v/>
      </c>
      <c r="KP6" s="150" t="inlineStr">
        <is>
          <t>aptidões</t>
        </is>
      </c>
      <c r="KQ6" s="152">
        <f>UPPER(INDEX($D$6:$G$6,1,$A$2))&amp;"  ·  "&amp;COUNTIF($KM$4:$KM$15,"?*")&amp;" de 12, mais as duas de graça"</f>
        <v/>
      </c>
      <c r="KS6" s="150" t="inlineStr">
        <is>
          <t>J15</t>
        </is>
      </c>
      <c r="KT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K7" s="152" t="n">
        <v>0</v>
      </c>
      <c r="BM7" s="150" t="inlineStr">
        <is>
          <t>Sangra</t>
        </is>
      </c>
      <c r="BN7" s="150" t="inlineStr">
        <is>
          <t>Sangra</t>
        </is>
      </c>
      <c r="BO7" s="152" t="n">
        <v>2</v>
      </c>
      <c r="BP7" s="152" t="n">
        <v>0</v>
      </c>
      <c r="BQ7" s="150" t="inlineStr"/>
      <c r="BS7" s="150" t="inlineStr">
        <is>
          <t>Leitura de Feitiços</t>
        </is>
      </c>
      <c r="BT7" s="152" t="n">
        <v>1</v>
      </c>
      <c r="BU7" s="150" t="inlineStr">
        <is>
          <t>Ao ter um inimigo à vista, você sabe qual foi o último feitiço que ele usou, mesmo que não tenha presenciado aquela conjuração. Recebe o nome ou uma descrição suficiente para reconhecer a aplicação, não sua ficha completa.</t>
        </is>
      </c>
      <c r="BV7" s="152" t="n">
        <v>1</v>
      </c>
      <c r="BW7" s="152" t="n">
        <v>0</v>
      </c>
      <c r="BX7" s="152">
        <f>IF(OR(AND($A$2&lt;=2,$BV7=1),AND($A$2&gt;=2,$BW7=1)),$BS7,"")</f>
        <v/>
      </c>
      <c r="BY7" s="150" t="inlineStr">
        <is>
          <t>Ao ter um inimigo à vista, você sabe qual foi o último feitiço que ele usou, mesmo que não tenha presenciado aquela conjuração. Recebe o nome ou uma descrição suficiente para reconhecer a aplicação, não sua ficha completa.</t>
        </is>
      </c>
      <c r="CD7" s="150" t="inlineStr">
        <is>
          <t>Regravação</t>
        </is>
      </c>
      <c r="CE7" s="150" t="inlineStr">
        <is>
          <t>Circulação</t>
        </is>
      </c>
      <c r="CF7" s="152" t="n">
        <v>3</v>
      </c>
      <c r="CG7" s="150" t="inlineStr">
        <is>
          <t>—</t>
        </is>
      </c>
      <c r="CH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2">
        <f>IF($CL7=1,"",IF($A$2=4,IF($CJ7=1,$CD7,""),IF(OR($CJ7=1,AND($A$2=3,$CK7=1)),"",$CD7)))</f>
        <v/>
      </c>
      <c r="CJ7" s="152" t="n">
        <v>0</v>
      </c>
      <c r="CK7" s="152" t="n">
        <v>0</v>
      </c>
      <c r="CL7" s="152" t="n">
        <v>0</v>
      </c>
      <c r="CM7" s="150" t="inlineStr">
        <is>
          <t>Você pode encerrar o Rescaldo de sua técnica antes do fim da cena, mas usos repetidos impedem novas Expansões de Domínio naquele dia.</t>
        </is>
      </c>
      <c r="CU7" s="150" t="inlineStr">
        <is>
          <t>Yumi</t>
        </is>
      </c>
      <c r="CV7" s="152" t="n">
        <v>0</v>
      </c>
      <c r="CW7" s="152" t="n">
        <v>1</v>
      </c>
      <c r="CX7" s="152">
        <f>IF(AND($A$2&gt;=3,'FICHA AMALDIÇOADA'!$J$16&amp;""="Três grupos de arma"),$CU7,"")</f>
        <v/>
      </c>
      <c r="DW7" s="150" t="inlineStr">
        <is>
          <t>Feitiço 6</t>
        </is>
      </c>
      <c r="DX7" s="152" t="n">
        <v>0</v>
      </c>
      <c r="DY7" s="152" t="n">
        <v>6</v>
      </c>
      <c r="DZ7" s="152">
        <f>MAX(1,MIN(7,N('FICHA AMALDIÇOADA'!$P$72)))</f>
        <v/>
      </c>
      <c r="EA7" s="152">
        <f>'FICHA AMALDIÇOADA'!$Q$72&amp;""</f>
        <v/>
      </c>
      <c r="EB7" s="152">
        <f>'FICHA AMALDIÇOADA'!$P$79&amp;""</f>
        <v/>
      </c>
      <c r="EC7" s="152">
        <f>'FICHA AMALDIÇOADA'!$Q$81&amp;""</f>
        <v/>
      </c>
      <c r="ED7" s="152">
        <f>'FICHA AMALDIÇOADA'!$Q$82&amp;""</f>
        <v/>
      </c>
      <c r="EE7" s="152">
        <f>'FICHA AMALDIÇOADA'!$Q$83&amp;""</f>
        <v/>
      </c>
      <c r="EF7" s="152">
        <f>'FICHA AMALDIÇOADA'!$Q$84&amp;""</f>
        <v/>
      </c>
      <c r="EG7" s="152">
        <f>'FICHA AMALDIÇOADA'!$Q$85&amp;""</f>
        <v/>
      </c>
      <c r="EH7" s="152">
        <f>'FICHA AMALDIÇOADA'!$Q$86&amp;""</f>
        <v/>
      </c>
      <c r="EI7" s="152">
        <f>IF($EA7&lt;&gt;"",1,0)</f>
        <v/>
      </c>
      <c r="EJ7" s="152">
        <f>IFERROR(MATCH($EB7,$Y$2:$Y$11,0),0)</f>
        <v/>
      </c>
      <c r="EK7" s="152">
        <f>IF($EJ7=0,0,INDEX($AB$2:$AB$11,$EJ7))</f>
        <v/>
      </c>
      <c r="EL7" s="152">
        <f>IFERROR(VLOOKUP($EC7,$BC$2:$BK$84,4,FALSE),0)</f>
        <v/>
      </c>
      <c r="EM7" s="152">
        <f>IFERROR(VLOOKUP($ED7,$BC$2:$BK$84,4,FALSE),0)</f>
        <v/>
      </c>
      <c r="EN7" s="152">
        <f>IFERROR(VLOOKUP($EE7,$BC$2:$BK$84,4,FALSE),0)</f>
        <v/>
      </c>
      <c r="EO7" s="152">
        <f>IFERROR(VLOOKUP($EF7,$BC$2:$BK$84,4,FALSE),0)</f>
        <v/>
      </c>
      <c r="EP7" s="152">
        <f>IF($EJ7=0,0,INDEX($AC$2:$AC$11,$EJ7))</f>
        <v/>
      </c>
      <c r="EQ7" s="152">
        <f>IFERROR(VLOOKUP($EC7,$BC$2:$BK$84,5,FALSE),0)</f>
        <v/>
      </c>
      <c r="ER7" s="152">
        <f>IFERROR(VLOOKUP($ED7,$BC$2:$BK$84,5,FALSE),0)</f>
        <v/>
      </c>
      <c r="ES7" s="152">
        <f>IFERROR(VLOOKUP($EE7,$BC$2:$BK$84,5,FALSE),0)</f>
        <v/>
      </c>
      <c r="ET7" s="152">
        <f>IFERROR(VLOOKUP($EF7,$BC$2:$BK$84,5,FALSE),0)</f>
        <v/>
      </c>
      <c r="EU7" s="152">
        <f>IFERROR(VLOOKUP($EC7,$BC$2:$BK$84,6,FALSE),0)+IFERROR(VLOOKUP($ED7,$BC$2:$BK$84,6,FALSE),0)+IFERROR(VLOOKUP($EE7,$BC$2:$BK$84,6,FALSE),0)+IFERROR(VLOOKUP($EF7,$BC$2:$BK$84,6,FALSE),0)</f>
        <v/>
      </c>
      <c r="EV7" s="152">
        <f>IFERROR(VLOOKUP($EC7,$BC$2:$BK$84,9,FALSE),0)+IFERROR(VLOOKUP($ED7,$BC$2:$BK$84,9,FALSE),0)+IFERROR(VLOOKUP($EE7,$BC$2:$BK$84,9,FALSE),0)+IFERROR(VLOOKUP($EF7,$BC$2:$BK$84,9,FALSE),0)</f>
        <v/>
      </c>
      <c r="EW7" s="152">
        <f>IF($EJ7=0,0,INDEX($AD$2:$AD$11,$EJ7))</f>
        <v/>
      </c>
      <c r="EX7" s="152">
        <f>IF($EJ7=0,0,INDEX($AE$2:$AE$11,$EJ7))</f>
        <v/>
      </c>
      <c r="EY7" s="152">
        <f>IF($EJ7=0,0,INDEX($AG$2:$AG$11,$EJ7))</f>
        <v/>
      </c>
      <c r="EZ7" s="152">
        <f>IFERROR(VLOOKUP($EG7,$BM$2:$BQ$24,3,FALSE),0)</f>
        <v/>
      </c>
      <c r="FA7" s="152">
        <f>IFERROR(VLOOKUP($EH7,$BM$2:$BQ$24,3,FALSE),0)</f>
        <v/>
      </c>
      <c r="FB7" s="152">
        <f>IFERROR(VLOOKUP($EG7,$BM$2:$BQ$24,2,FALSE),"")</f>
        <v/>
      </c>
      <c r="FC7" s="152">
        <f>IFERROR(VLOOKUP($EH7,$BM$2:$BQ$24,2,FALSE),"")</f>
        <v/>
      </c>
      <c r="FD7" s="152">
        <f>COUNTIF($EK7:$EO7,1)</f>
        <v/>
      </c>
      <c r="FE7" s="152">
        <f>COUNTIF($EK7:$EO7,2)</f>
        <v/>
      </c>
      <c r="FF7" s="152">
        <f>COUNTIF($EK7:$EO7,3)</f>
        <v/>
      </c>
      <c r="FG7" s="152">
        <f>COUNTIF($EK7:$EO7,4)</f>
        <v/>
      </c>
      <c r="FH7" s="152">
        <f>COUNTIF($EK7:$EO7,5)</f>
        <v/>
      </c>
      <c r="FI7" s="152">
        <f>COUNTIF($EK7:$EO7,6)</f>
        <v/>
      </c>
      <c r="FJ7" s="152">
        <f>COUNTIF($EZ7:$FA7,1)</f>
        <v/>
      </c>
      <c r="FK7" s="152">
        <f>COUNTIF($EZ7:$FA7,2)+$EW7</f>
        <v/>
      </c>
      <c r="FL7" s="152">
        <f>COUNTIF($EC7:$EF7,"?*")</f>
        <v/>
      </c>
      <c r="FM7" s="152">
        <f>COUNTIF($EG7:$EH7,"?*")+$EW7</f>
        <v/>
      </c>
      <c r="FN7" s="152">
        <f>SUMPRODUCT($FD7:$FI7,INDEX($Q$2:$V$8,$DZ7,0))</f>
        <v/>
      </c>
      <c r="FO7" s="152">
        <f>$FJ7*CEILING($DZ7/2,1)+$FK7*$DZ7</f>
        <v/>
      </c>
      <c r="FP7" s="152">
        <f>MIN(2*$DZ7,$FO7)</f>
        <v/>
      </c>
      <c r="FQ7" s="152">
        <f>MIN($FP7,$FN7)</f>
        <v/>
      </c>
      <c r="FR7" s="152">
        <f>$FP7-$FQ7</f>
        <v/>
      </c>
      <c r="FS7" s="152">
        <f>3*$DZ7-$FN7+$FQ7</f>
        <v/>
      </c>
      <c r="FT7" s="152">
        <f>MAX(0,$FS7)+$DX7*$DZ7</f>
        <v/>
      </c>
      <c r="FU7" s="152">
        <f>(IF(COUNTIF($EC7:$EF7,"Salto")&gt;0,1,0)+IF(COUNTIF($EC7:$EF7,"Queima")&gt;0,1,0)+IF(COUNTIF($EC7:$EF7,"Estilhaço")&gt;0,1,0))*FLOOR($FT7/2,1)</f>
        <v/>
      </c>
      <c r="FV7" s="152">
        <f>MAX(0,3-SUMPRODUCT($FD7:$FI7,$Q$2:$V$2)+MIN(2,$FJ7*1+$FK7*1,SUMPRODUCT($FD7:$FI7,$Q$2:$V$2)))+$DX7*1</f>
        <v/>
      </c>
      <c r="FW7" s="152">
        <f>MAX(0,6-SUMPRODUCT($FD7:$FI7,$Q$3:$V$3)+MIN(4,$FJ7*1+$FK7*2,SUMPRODUCT($FD7:$FI7,$Q$3:$V$3)))+$DX7*2</f>
        <v/>
      </c>
      <c r="FX7" s="152">
        <f>MAX(0,9-SUMPRODUCT($FD7:$FI7,$Q$4:$V$4)+MIN(6,$FJ7*2+$FK7*3,SUMPRODUCT($FD7:$FI7,$Q$4:$V$4)))+$DX7*3</f>
        <v/>
      </c>
      <c r="FY7" s="152">
        <f>MAX(0,12-SUMPRODUCT($FD7:$FI7,$Q$5:$V$5)+MIN(8,$FJ7*2+$FK7*4,SUMPRODUCT($FD7:$FI7,$Q$5:$V$5)))+$DX7*4</f>
        <v/>
      </c>
      <c r="FZ7" s="152">
        <f>MAX(0,15-SUMPRODUCT($FD7:$FI7,$Q$6:$V$6)+MIN(10,$FJ7*3+$FK7*5,SUMPRODUCT($FD7:$FI7,$Q$6:$V$6)))+$DX7*5</f>
        <v/>
      </c>
      <c r="GA7" s="152">
        <f>MAX(0,18-SUMPRODUCT($FD7:$FI7,$Q$7:$V$7)+MIN(12,$FJ7*3+$FK7*6,SUMPRODUCT($FD7:$FI7,$Q$7:$V$7)))+$DX7*6</f>
        <v/>
      </c>
      <c r="GB7" s="152">
        <f>MAX(0,21-SUMPRODUCT($FD7:$FI7,$Q$8:$V$8)+MIN(14,$FJ7*4+$FK7*7,SUMPRODUCT($FD7:$FI7,$Q$8:$V$8)))+$DX7*7</f>
        <v/>
      </c>
      <c r="GC7" s="152">
        <f>IF($EX7=2,3*$FV7&amp;" de vida temp.",IF($EX7=3,"sem dano",IF($FV7=0,IF($EX7=1,"sem cura","sem dano"),IF($EX7=1,"cura ","")&amp;$FV7&amp;"d8")))</f>
        <v/>
      </c>
      <c r="GD7" s="152">
        <f>IF($EX7=2,3*$FW7&amp;" de vida temp.",IF($EX7=3,"sem dano",IF($FW7=0,IF($EX7=1,"sem cura","sem dano"),IF($EX7=1,"cura ","")&amp;$FW7&amp;"d8")))</f>
        <v/>
      </c>
      <c r="GE7" s="152">
        <f>IF($EX7=2,3*$FX7&amp;" de vida temp.",IF($EX7=3,"sem dano",IF($FX7=0,IF($EX7=1,"sem cura","sem dano"),IF($EX7=1,"cura ","")&amp;$FX7&amp;"d8")))</f>
        <v/>
      </c>
      <c r="GF7" s="152">
        <f>IF($EX7=2,3*$FY7&amp;" de vida temp.",IF($EX7=3,"sem dano",IF($FY7=0,IF($EX7=1,"sem cura","sem dano"),IF($EX7=1,"cura ","")&amp;$FY7&amp;"d8")))</f>
        <v/>
      </c>
      <c r="GG7" s="152">
        <f>IF($EX7=2,3*$FZ7&amp;" de vida temp.",IF($EX7=3,"sem dano",IF($FZ7=0,IF($EX7=1,"sem cura","sem dano"),IF($EX7=1,"cura ","")&amp;$FZ7&amp;"d8")))</f>
        <v/>
      </c>
      <c r="GH7" s="152">
        <f>IF($EX7=2,3*$GA7&amp;" de vida temp.",IF($EX7=3,"sem dano",IF($GA7=0,IF($EX7=1,"sem cura","sem dano"),IF($EX7=1,"cura ","")&amp;$GA7&amp;"d8")))</f>
        <v/>
      </c>
      <c r="GI7" s="152">
        <f>IF($EX7=2,3*$GB7&amp;" de vida temp.",IF($EX7=3,"sem dano",IF($GB7=0,IF($EX7=1,"sem cura","sem dano"),IF($EX7=1,"cura ","")&amp;$GB7&amp;"d8")))</f>
        <v/>
      </c>
      <c r="GJ7" s="152">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2">
        <f>IF($GJ7="",0,(LEN($GJ7)-LEN(SUBSTITUTE($GJ7," · ","")))/3+1)</f>
        <v/>
      </c>
      <c r="GL7" s="152">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2">
        <f>IF($GL7="",0,(LEN($GL7)-LEN(SUBSTITUTE($GL7," · ","")))/3+1)</f>
        <v/>
      </c>
      <c r="GN7" s="152">
        <f>IF($EI7=0,IF($FL7+$FM7-$EW7&gt;0,"Dê um nome",""),IF($GK7&gt;0,"⚠ "&amp;$GK7&amp;IF($GK7&gt;1," erros"," erro"),IF($GM7&gt;0,"! "&amp;$GM7&amp;IF($GM7&gt;1," avisos"," aviso"),"Na regra")))</f>
        <v/>
      </c>
      <c r="GO7" s="152">
        <f>IF($EI7=0,"",IF($GK7+$GM7=0,"Dentro das regras que a ficha confere",$GJ7&amp;IF(AND($GK7&gt;0,$GM7&gt;0)," · ","")&amp;$GL7))</f>
        <v/>
      </c>
      <c r="GP7" s="152">
        <f>IF($EI7=0,"",IF($DX7=1,CEILING(4.5*$DZ7,1),3*$DZ7)&amp;" PE")</f>
        <v/>
      </c>
      <c r="GQ7" s="152">
        <f>IF($EI7=0,"",IF($DX7=1,"Rodada inteira",IF(COUNTIF($FB7:$FC7,"Atrasar")&gt;0,IF(COUNTIF($FB7:$FC7,"Carregar")&gt;0,"Rodada +1 turno","Rodada inteira"),IF(COUNTIF($EC7:$EF7,"Rápido")&gt;0,"Bônus",IF(COUNTIF($EC7:$EF7,"Reação")&gt;0,"Reação","Padrão"))&amp;IF(COUNTIF($FB7:$FC7,"Carregar")&gt;0," +1 turno",""))))</f>
        <v/>
      </c>
      <c r="GR7" s="152">
        <f>IF(OR($EI7=0,$EJ7=0),"",IF(COUNTIF($EC7:$EF7,"Inescapável")&gt;0,"Automático",IF(COUNTIF($EC7:$EF7,"Certeiro")&gt;0,"TR para metade",IF(AND($EV7&gt;0,$EY7=0,INDEX($AF$2:$AF$11,$EJ7)="Acerto"),"Acerto + TR",INDEX($AF$2:$AF$11,$EJ7)))))</f>
        <v/>
      </c>
      <c r="GS7" s="152">
        <f>IF(OR($EI7=0,$EJ7=0),"",IF(OR($EX7&gt;=2,$FT7=0),UPPER(LEFT(INDEX($GC7:$GI7,1,$DZ7),1))&amp;MID(INDEX($GC7:$GI7,1,$DZ7),2,99),UPPER(LEFT(INDEX($GC7:$GI7,1,$DZ7),1))&amp;MID(INDEX($GC7:$GI7,1,$DZ7),2,99)&amp;" = "&amp;FLOOR($FT7*4.5,1)&amp;IF($FU7&gt;0," · +"&amp;$FU7&amp;"d8","")))</f>
        <v/>
      </c>
      <c r="GT7" s="152">
        <f>COUNTIF($EC7:$EF7,"Longe")+3*COUNTIF($EC7:$EF7,"Muito Longe")</f>
        <v/>
      </c>
      <c r="GU7" s="152">
        <f>COUNTIF($EC7:$EF7,"Maior")+3*COUNTIF($EC7:$EF7,"Muito Maior")</f>
        <v/>
      </c>
      <c r="GV7" s="152">
        <f>IF($EJ7=0,0,CHOOSE(1+INDEX($AH$2:$AH$11,$EJ7),0,$GT7,$GU7,$GT7+$GU7))</f>
        <v/>
      </c>
      <c r="GW7" s="152">
        <f>IF($EJ7=0,0,CHOOSE(1+INDEX($AI$2:$AI$11,$EJ7),0,$GT7,$GU7,$GT7+$GU7))</f>
        <v/>
      </c>
      <c r="GX7" s="152">
        <f>IF(OR($EI7=0,$EJ7=0),"",INDEX($AP$2:$AU$31,($EJ7-1)*3+IF($DZ7&gt;=6,3,2),1+MIN(5,$GV7))&amp;INDEX($AV$2:$BA$31,($EJ7-1)*3+IF($DZ7&gt;=6,3,2),1+MIN(5,$GW7))&amp;IF(INDEX($AJ$2:$AJ$11,$EJ7)=1,IF(COUNTIF($EC7:$EF7,"Mais Um")&gt;0," · +"&amp;COUNTIF($EC7:$EF7,"Mais Um")&amp;IF(COUNTIF($EC7:$EF7,"Mais Um")&gt;1," alvos"," alvo"),"")&amp;IF(COUNTIF($EC7:$EF7,"Rajada")&gt;0," · "&amp;($DZ7+1)&amp;" tiros",""),""))</f>
        <v/>
      </c>
      <c r="GY7" s="152">
        <f>IF($EI7=0,"",3*$DZ7&amp;" − "&amp;$FN7&amp;" + "&amp;$FQ7&amp;IF($DX7=1," + "&amp;$DZ7,"")&amp;" = "&amp;$FT7&amp;"d8 · teto "&amp;4*$DZ7&amp;IF($EW7=1," · a Forma devolve "&amp;$DZ7,"")&amp;IF($FR7&gt;0," · perde "&amp;$FR7,""))</f>
        <v/>
      </c>
      <c r="GZ7" s="152">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2">
        <f>IF(OR($EI7=0,$EL7=0),"","−"&amp;INDEX($Q$2:$V$8,$DZ7,$EL7)&amp;" · "&amp;CHOOSE($EL7,"Leve","Média","Pesada","Leve · Livre","Média · Livre","Pesada · Livre"))</f>
        <v/>
      </c>
      <c r="HB7" s="152">
        <f>IF(OR($EI7=0,$EM7=0),"","−"&amp;INDEX($Q$2:$V$8,$DZ7,$EM7)&amp;" · "&amp;CHOOSE($EM7,"Leve","Média","Pesada","Leve · Livre","Média · Livre","Pesada · Livre"))</f>
        <v/>
      </c>
      <c r="HC7" s="152">
        <f>IF(OR($EI7=0,$EN7=0),"","−"&amp;INDEX($Q$2:$V$8,$DZ7,$EN7)&amp;" · "&amp;CHOOSE($EN7,"Leve","Média","Pesada","Leve · Livre","Média · Livre","Pesada · Livre"))</f>
        <v/>
      </c>
      <c r="HD7" s="152">
        <f>IF(OR($EI7=0,$EO7=0),"","−"&amp;INDEX($Q$2:$V$8,$DZ7,$EO7)&amp;" · "&amp;CHOOSE($EO7,"Leve","Média","Pesada","Leve · Livre","Média · Livre","Pesada · Livre"))</f>
        <v/>
      </c>
      <c r="HE7" s="152">
        <f>IF(OR($EI7=0,$EG7=""),"","+"&amp;IF($EZ7=1,CEILING($DZ7/2,1),$DZ7))</f>
        <v/>
      </c>
      <c r="HF7" s="152">
        <f>IF(OR($EI7=0,$EH7=""),"","+"&amp;IF($FA7=1,CEILING($DZ7/2,1),$DZ7))</f>
        <v/>
      </c>
      <c r="HG7" s="152">
        <f>'FICHA AMALDIÇOADA'!$P$74&amp;""</f>
        <v/>
      </c>
      <c r="HH7" s="152">
        <f>IF(AND($EI7=1,$DX7=0),COUNTIFS($EI$2:$EI7,1,$DX$2:$DX7,0),"")</f>
        <v/>
      </c>
      <c r="HJ7" s="150" t="inlineStr">
        <is>
          <t>essência</t>
        </is>
      </c>
      <c r="HK7" s="152">
        <f>N(FICHA!$AJ$19)</f>
        <v/>
      </c>
      <c r="HM7" s="150" t="inlineStr">
        <is>
          <t>Talento 6 · Leque</t>
        </is>
      </c>
      <c r="HN7" s="152">
        <f>'FICHA AMALDIÇOADA'!$D$397&amp;""</f>
        <v/>
      </c>
      <c r="HO7" s="152">
        <f>IFERROR(VLOOKUP($HN7,$BS$2:$BY$24,2,FALSE),0)</f>
        <v/>
      </c>
      <c r="HP7" s="152">
        <f>IFERROR(VLOOKUP($HO7,$CA$2:$CB$4,2,FALSE),0)</f>
        <v/>
      </c>
      <c r="HQ7" s="152">
        <f>IFERROR(VLOOKUP($HN7,$BS$2:$BY$24,3,FALSE),"")</f>
        <v/>
      </c>
      <c r="HR7" s="152">
        <f>IF($HO7=0,"",IF($HP7&gt;$HK$2,"⚠ Nível "&amp;$HP7,"CE "&amp;$HO7))</f>
        <v/>
      </c>
      <c r="HS7" s="152">
        <f>IF($HO7=0,"",IF(1&gt;$HK$8,"⚠ Vaga","Grátis"))</f>
        <v/>
      </c>
      <c r="HT7" s="152">
        <f>'FICHA AMALDIÇOADA'!$E$402&amp;""</f>
        <v/>
      </c>
      <c r="HU7" s="152">
        <f>IF($HN7="","",COUNTIF($HN$2:$HN7,"?*"))</f>
        <v/>
      </c>
      <c r="HW7" s="150" t="inlineStr">
        <is>
          <t>Aptidão 6</t>
        </is>
      </c>
      <c r="HX7" s="152">
        <f>'FICHA AMALDIÇOADA'!$P$450&amp;""</f>
        <v/>
      </c>
      <c r="HY7" s="152">
        <f>IF($HX7="","","Requisito: "&amp;IFERROR(VLOOKUP($HX7,$CD$2:$CM$33,2,FALSE),""))</f>
        <v/>
      </c>
      <c r="HZ7" s="152">
        <f>IF($HX7="","",IFERROR(IF(ISNUMBER(VLOOKUP($HX7,$CD$2:$CM$33,3,FALSE)),"CE "&amp;VLOOKUP($HX7,$CD$2:$CM$33,3,FALSE),VLOOKUP($HX7,$CD$2:$CM$33,3,FALSE)),""))</f>
        <v/>
      </c>
      <c r="IA7" s="152">
        <f>IF($HX7="","",IFERROR(VLOOKUP($HX7,$CD$2:$CM$33,4,FALSE),""))</f>
        <v/>
      </c>
      <c r="IB7" s="152">
        <f>IF($HX7="","",IFERROR(VLOOKUP($HX7,$CD$2:$CM$33,5,FALSE),""))</f>
        <v/>
      </c>
      <c r="IC7" s="152">
        <f>'FICHA AMALDIÇOADA'!$Q$467&amp;""</f>
        <v/>
      </c>
      <c r="ID7" s="152">
        <f>IF($HX7="","",COUNTIF($HX$2:$HX7,"?*"))</f>
        <v/>
      </c>
      <c r="IO7" s="152">
        <f>IF($A$2=1,"T. Máxima",INDEX($D$5:$G$5,1,$A$2))</f>
        <v/>
      </c>
      <c r="IP7" s="152">
        <f>ADDRESS(ROW('FICHA AMALDIÇOADA'!K7),COLUMN('FICHA AMALDIÇOADA'!K7),4)</f>
        <v/>
      </c>
      <c r="IQ7" s="152">
        <f>ADDRESS(ROW('FICHA AMALDIÇOADA'!D340),COLUMN('FICHA AMALDIÇOADA'!D340),4)</f>
        <v/>
      </c>
      <c r="IR7" s="150" t="inlineStr">
        <is>
          <t>DADOS_AM!$IO$7</t>
        </is>
      </c>
      <c r="IT7" s="150" t="inlineStr">
        <is>
          <t>Trilha 2</t>
        </is>
      </c>
      <c r="IU7" s="152" t="n">
        <v>2</v>
      </c>
      <c r="IV7" s="152">
        <f>IF($HK$2&gt;=2,"Nível 2","Abre no 2")</f>
        <v/>
      </c>
      <c r="IW7" s="152">
        <f>ADDRESS(ROW(FICHA!G129),COLUMN(FICHA!G129),4)</f>
        <v/>
      </c>
      <c r="IX7" s="152">
        <f>ADDRESS(ROW(FICHA!D130),COLUMN(FICHA!D130),4)</f>
        <v/>
      </c>
      <c r="JF7" s="152" t="n">
        <v>6</v>
      </c>
      <c r="JG7" s="152">
        <f>IFERROR(MATCH(6,$HH$2:$HH$37,0),0)</f>
        <v/>
      </c>
      <c r="JH7" s="152">
        <f>IF($JG7=0,"",INDEX($DZ$2:$DZ$37,$JG7))</f>
        <v/>
      </c>
      <c r="JI7" s="152">
        <f>IF($JG7=0,"",INDEX($EA$2:$EA$37,$JG7))</f>
        <v/>
      </c>
      <c r="JJ7" s="152">
        <f>IF($JG7=0,"",INDEX($GP$2:$GP$37,$JG7))</f>
        <v/>
      </c>
      <c r="JK7" s="152">
        <f>IF($JG7=0,"",INDEX($EB$2:$EB$37,$JG7))</f>
        <v/>
      </c>
      <c r="JL7" s="152">
        <f>IF($JG7=0,"",INDEX($GR$2:$GR$37,$JG7))</f>
        <v/>
      </c>
      <c r="JM7" s="152">
        <f>IF($JG7=0,"",INDEX($HG$2:$HG$37,$JG7))</f>
        <v/>
      </c>
      <c r="KD7" s="150" t="inlineStr">
        <is>
          <t>Talento 4</t>
        </is>
      </c>
      <c r="KE7" s="152">
        <f>IFERROR(MATCH(4,$HU$2:$HU$13,0),0)</f>
        <v/>
      </c>
      <c r="KF7" s="152">
        <f>IF($KE7=0,"",IF(INDEX($HO$2:$HO$13,$KE7)=0,"","CE "&amp;INDEX($HO$2:$HO$13,$KE7)))</f>
        <v/>
      </c>
      <c r="KG7" s="152">
        <f>IF($KE7=0,"",INDEX($HN$2:$HN$13,$KE7))</f>
        <v/>
      </c>
      <c r="KH7" s="152">
        <f>IF($KE7=0,"",IF(INDEX($HT$2:$HT$13,$KE7)&lt;&gt;"",INDEX($HT$2:$HT$13,$KE7),IF(IFERROR(VLOOKUP(INDEX($HN$2:$HN$13,$KE7),$BS$2:$BY$24,7,FALSE),"")&lt;&gt;"","Do livro: "&amp;IFERROR(VLOOKUP(INDEX($HN$2:$HN$13,$KE7),$BS$2:$BY$24,7,FALSE),""),"")))</f>
        <v/>
      </c>
      <c r="KJ7" s="150" t="inlineStr">
        <is>
          <t>Aptidão 4</t>
        </is>
      </c>
      <c r="KK7" s="152">
        <f>IFERROR(MATCH(4,$ID$2:$ID$13,0),0)</f>
        <v/>
      </c>
      <c r="KL7" s="152">
        <f>IF($KK7=0,"",INDEX($HZ$2:$HZ$13,$KK7))</f>
        <v/>
      </c>
      <c r="KM7" s="152">
        <f>IF($KK7=0,"",INDEX($HX$2:$HX$13,$KK7))</f>
        <v/>
      </c>
      <c r="KN7" s="152">
        <f>IF($KK7=0,"",IF(INDEX($IC$2:$IC$13,$KK7)&lt;&gt;"",INDEX($IC$2:$IC$13,$KK7),IF(IFERROR(VLOOKUP(INDEX($HX$2:$HX$13,$KK7),$CD$2:$CM$33,10,FALSE),"")&lt;&gt;"","Do livro: "&amp;IFERROR(VLOOKUP(INDEX($HX$2:$HX$13,$KK7),$CD$2:$CM$33,10,FALSE),""),"")))</f>
        <v/>
      </c>
      <c r="KP7" s="150" t="inlineStr">
        <is>
          <t>tag lib</t>
        </is>
      </c>
      <c r="KQ7" s="152">
        <f>IF(DADOS_AM!$A$2&gt;=3,"Rup","Lib")</f>
        <v/>
      </c>
      <c r="KS7" s="150" t="inlineStr">
        <is>
          <t>P15</t>
        </is>
      </c>
      <c r="KT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K8" s="152" t="n">
        <v>0</v>
      </c>
      <c r="BM8" s="150" t="inlineStr">
        <is>
          <t>Recuo (Leve)</t>
        </is>
      </c>
      <c r="BN8" s="150" t="inlineStr">
        <is>
          <t>Recuo</t>
        </is>
      </c>
      <c r="BO8" s="152" t="n">
        <v>1</v>
      </c>
      <c r="BP8" s="152" t="n">
        <v>0</v>
      </c>
      <c r="BQ8" s="150" t="inlineStr">
        <is>
          <t>Recuo (Leve)</t>
        </is>
      </c>
      <c r="BS8" s="150" t="inlineStr">
        <is>
          <t>Fluxo</t>
        </is>
      </c>
      <c r="BT8" s="152" t="n">
        <v>2</v>
      </c>
      <c r="BU8" s="150" t="inlineStr">
        <is>
          <t>Ao conjurar um feitiço de Classe 3 ou maior, você recebe 2 × a Classe usada em pontos de vida temporária. Uma conjuração concede a reserva uma vez, mesmo que alcance vários alvos ou produza vários ataques.</t>
        </is>
      </c>
      <c r="BV8" s="152" t="n">
        <v>1</v>
      </c>
      <c r="BW8" s="152" t="n">
        <v>0</v>
      </c>
      <c r="BX8" s="152">
        <f>IF(OR(AND($A$2&lt;=2,$BV8=1),AND($A$2&gt;=2,$BW8=1)),$BS8,"")</f>
        <v/>
      </c>
      <c r="BY8" s="150" t="inlineStr">
        <is>
          <t>Ao conjurar um feitiço de Classe 3 ou maior, você recebe 2 × a Classe usada em pontos de vida temporária. Uma conjuração concede a reserva uma vez, mesmo que alcance vários alvos ou produza vários ataques.</t>
        </is>
      </c>
      <c r="CD8" s="150" t="inlineStr">
        <is>
          <t>Kokusen Melhorado</t>
        </is>
      </c>
      <c r="CE8" s="150" t="inlineStr">
        <is>
          <t>Refino 5 e nível 14</t>
        </is>
      </c>
      <c r="CF8" s="150" t="inlineStr">
        <is>
          <t>—</t>
        </is>
      </c>
      <c r="CG8" s="150" t="inlineStr">
        <is>
          <t>—</t>
        </is>
      </c>
      <c r="CH8" s="150" t="inlineStr">
        <is>
          <t>Em cada teste de Kokusen, role dois d100 e use o menor. Se os dois resultados falharem, acrescente +2 ao bônus acumulado uma vez, não duas.</t>
        </is>
      </c>
      <c r="CI8" s="152">
        <f>IF($CL8=1,"",IF($A$2=4,IF($CJ8=1,$CD8,""),IF(OR($CJ8=1,AND($A$2=3,$CK8=1)),"",$CD8)))</f>
        <v/>
      </c>
      <c r="CJ8" s="152" t="n">
        <v>0</v>
      </c>
      <c r="CK8" s="152" t="n">
        <v>0</v>
      </c>
      <c r="CL8" s="152" t="n">
        <v>0</v>
      </c>
      <c r="CM8" s="150" t="inlineStr">
        <is>
          <t>Em cada teste de Kokusen, role dois d100 e use o menor. Se os dois resultados falharem, acrescente +2 ao bônus acumulado uma vez, não duas.</t>
        </is>
      </c>
      <c r="CU8" s="150" t="inlineStr">
        <is>
          <t>Lâmina Longa</t>
        </is>
      </c>
      <c r="CV8" s="152" t="n">
        <v>1</v>
      </c>
      <c r="CW8" s="152" t="n">
        <v>1</v>
      </c>
      <c r="CX8" s="152">
        <f>IF(AND($A$2&gt;=3,'FICHA AMALDIÇOADA'!$J$16&amp;""="Três grupos de arma"),$CU8,"")</f>
        <v/>
      </c>
      <c r="DW8" s="150" t="inlineStr">
        <is>
          <t>Feitiço 7</t>
        </is>
      </c>
      <c r="DX8" s="152" t="n">
        <v>0</v>
      </c>
      <c r="DY8" s="152" t="n">
        <v>7</v>
      </c>
      <c r="DZ8" s="152">
        <f>MAX(1,MIN(7,N('FICHA AMALDIÇOADA'!$D$93)))</f>
        <v/>
      </c>
      <c r="EA8" s="152">
        <f>'FICHA AMALDIÇOADA'!$E$93&amp;""</f>
        <v/>
      </c>
      <c r="EB8" s="152">
        <f>'FICHA AMALDIÇOADA'!$D$100&amp;""</f>
        <v/>
      </c>
      <c r="EC8" s="152">
        <f>'FICHA AMALDIÇOADA'!$E$102&amp;""</f>
        <v/>
      </c>
      <c r="ED8" s="152">
        <f>'FICHA AMALDIÇOADA'!$E$103&amp;""</f>
        <v/>
      </c>
      <c r="EE8" s="152">
        <f>'FICHA AMALDIÇOADA'!$E$104&amp;""</f>
        <v/>
      </c>
      <c r="EF8" s="152">
        <f>'FICHA AMALDIÇOADA'!$E$105&amp;""</f>
        <v/>
      </c>
      <c r="EG8" s="152">
        <f>'FICHA AMALDIÇOADA'!$E$106&amp;""</f>
        <v/>
      </c>
      <c r="EH8" s="152">
        <f>'FICHA AMALDIÇOADA'!$E$107&amp;""</f>
        <v/>
      </c>
      <c r="EI8" s="152">
        <f>IF($EA8&lt;&gt;"",1,0)</f>
        <v/>
      </c>
      <c r="EJ8" s="152">
        <f>IFERROR(MATCH($EB8,$Y$2:$Y$11,0),0)</f>
        <v/>
      </c>
      <c r="EK8" s="152">
        <f>IF($EJ8=0,0,INDEX($AB$2:$AB$11,$EJ8))</f>
        <v/>
      </c>
      <c r="EL8" s="152">
        <f>IFERROR(VLOOKUP($EC8,$BC$2:$BK$84,4,FALSE),0)</f>
        <v/>
      </c>
      <c r="EM8" s="152">
        <f>IFERROR(VLOOKUP($ED8,$BC$2:$BK$84,4,FALSE),0)</f>
        <v/>
      </c>
      <c r="EN8" s="152">
        <f>IFERROR(VLOOKUP($EE8,$BC$2:$BK$84,4,FALSE),0)</f>
        <v/>
      </c>
      <c r="EO8" s="152">
        <f>IFERROR(VLOOKUP($EF8,$BC$2:$BK$84,4,FALSE),0)</f>
        <v/>
      </c>
      <c r="EP8" s="152">
        <f>IF($EJ8=0,0,INDEX($AC$2:$AC$11,$EJ8))</f>
        <v/>
      </c>
      <c r="EQ8" s="152">
        <f>IFERROR(VLOOKUP($EC8,$BC$2:$BK$84,5,FALSE),0)</f>
        <v/>
      </c>
      <c r="ER8" s="152">
        <f>IFERROR(VLOOKUP($ED8,$BC$2:$BK$84,5,FALSE),0)</f>
        <v/>
      </c>
      <c r="ES8" s="152">
        <f>IFERROR(VLOOKUP($EE8,$BC$2:$BK$84,5,FALSE),0)</f>
        <v/>
      </c>
      <c r="ET8" s="152">
        <f>IFERROR(VLOOKUP($EF8,$BC$2:$BK$84,5,FALSE),0)</f>
        <v/>
      </c>
      <c r="EU8" s="152">
        <f>IFERROR(VLOOKUP($EC8,$BC$2:$BK$84,6,FALSE),0)+IFERROR(VLOOKUP($ED8,$BC$2:$BK$84,6,FALSE),0)+IFERROR(VLOOKUP($EE8,$BC$2:$BK$84,6,FALSE),0)+IFERROR(VLOOKUP($EF8,$BC$2:$BK$84,6,FALSE),0)</f>
        <v/>
      </c>
      <c r="EV8" s="152">
        <f>IFERROR(VLOOKUP($EC8,$BC$2:$BK$84,9,FALSE),0)+IFERROR(VLOOKUP($ED8,$BC$2:$BK$84,9,FALSE),0)+IFERROR(VLOOKUP($EE8,$BC$2:$BK$84,9,FALSE),0)+IFERROR(VLOOKUP($EF8,$BC$2:$BK$84,9,FALSE),0)</f>
        <v/>
      </c>
      <c r="EW8" s="152">
        <f>IF($EJ8=0,0,INDEX($AD$2:$AD$11,$EJ8))</f>
        <v/>
      </c>
      <c r="EX8" s="152">
        <f>IF($EJ8=0,0,INDEX($AE$2:$AE$11,$EJ8))</f>
        <v/>
      </c>
      <c r="EY8" s="152">
        <f>IF($EJ8=0,0,INDEX($AG$2:$AG$11,$EJ8))</f>
        <v/>
      </c>
      <c r="EZ8" s="152">
        <f>IFERROR(VLOOKUP($EG8,$BM$2:$BQ$24,3,FALSE),0)</f>
        <v/>
      </c>
      <c r="FA8" s="152">
        <f>IFERROR(VLOOKUP($EH8,$BM$2:$BQ$24,3,FALSE),0)</f>
        <v/>
      </c>
      <c r="FB8" s="152">
        <f>IFERROR(VLOOKUP($EG8,$BM$2:$BQ$24,2,FALSE),"")</f>
        <v/>
      </c>
      <c r="FC8" s="152">
        <f>IFERROR(VLOOKUP($EH8,$BM$2:$BQ$24,2,FALSE),"")</f>
        <v/>
      </c>
      <c r="FD8" s="152">
        <f>COUNTIF($EK8:$EO8,1)</f>
        <v/>
      </c>
      <c r="FE8" s="152">
        <f>COUNTIF($EK8:$EO8,2)</f>
        <v/>
      </c>
      <c r="FF8" s="152">
        <f>COUNTIF($EK8:$EO8,3)</f>
        <v/>
      </c>
      <c r="FG8" s="152">
        <f>COUNTIF($EK8:$EO8,4)</f>
        <v/>
      </c>
      <c r="FH8" s="152">
        <f>COUNTIF($EK8:$EO8,5)</f>
        <v/>
      </c>
      <c r="FI8" s="152">
        <f>COUNTIF($EK8:$EO8,6)</f>
        <v/>
      </c>
      <c r="FJ8" s="152">
        <f>COUNTIF($EZ8:$FA8,1)</f>
        <v/>
      </c>
      <c r="FK8" s="152">
        <f>COUNTIF($EZ8:$FA8,2)+$EW8</f>
        <v/>
      </c>
      <c r="FL8" s="152">
        <f>COUNTIF($EC8:$EF8,"?*")</f>
        <v/>
      </c>
      <c r="FM8" s="152">
        <f>COUNTIF($EG8:$EH8,"?*")+$EW8</f>
        <v/>
      </c>
      <c r="FN8" s="152">
        <f>SUMPRODUCT($FD8:$FI8,INDEX($Q$2:$V$8,$DZ8,0))</f>
        <v/>
      </c>
      <c r="FO8" s="152">
        <f>$FJ8*CEILING($DZ8/2,1)+$FK8*$DZ8</f>
        <v/>
      </c>
      <c r="FP8" s="152">
        <f>MIN(2*$DZ8,$FO8)</f>
        <v/>
      </c>
      <c r="FQ8" s="152">
        <f>MIN($FP8,$FN8)</f>
        <v/>
      </c>
      <c r="FR8" s="152">
        <f>$FP8-$FQ8</f>
        <v/>
      </c>
      <c r="FS8" s="152">
        <f>3*$DZ8-$FN8+$FQ8</f>
        <v/>
      </c>
      <c r="FT8" s="152">
        <f>MAX(0,$FS8)+$DX8*$DZ8</f>
        <v/>
      </c>
      <c r="FU8" s="152">
        <f>(IF(COUNTIF($EC8:$EF8,"Salto")&gt;0,1,0)+IF(COUNTIF($EC8:$EF8,"Queima")&gt;0,1,0)+IF(COUNTIF($EC8:$EF8,"Estilhaço")&gt;0,1,0))*FLOOR($FT8/2,1)</f>
        <v/>
      </c>
      <c r="FV8" s="152">
        <f>MAX(0,3-SUMPRODUCT($FD8:$FI8,$Q$2:$V$2)+MIN(2,$FJ8*1+$FK8*1,SUMPRODUCT($FD8:$FI8,$Q$2:$V$2)))+$DX8*1</f>
        <v/>
      </c>
      <c r="FW8" s="152">
        <f>MAX(0,6-SUMPRODUCT($FD8:$FI8,$Q$3:$V$3)+MIN(4,$FJ8*1+$FK8*2,SUMPRODUCT($FD8:$FI8,$Q$3:$V$3)))+$DX8*2</f>
        <v/>
      </c>
      <c r="FX8" s="152">
        <f>MAX(0,9-SUMPRODUCT($FD8:$FI8,$Q$4:$V$4)+MIN(6,$FJ8*2+$FK8*3,SUMPRODUCT($FD8:$FI8,$Q$4:$V$4)))+$DX8*3</f>
        <v/>
      </c>
      <c r="FY8" s="152">
        <f>MAX(0,12-SUMPRODUCT($FD8:$FI8,$Q$5:$V$5)+MIN(8,$FJ8*2+$FK8*4,SUMPRODUCT($FD8:$FI8,$Q$5:$V$5)))+$DX8*4</f>
        <v/>
      </c>
      <c r="FZ8" s="152">
        <f>MAX(0,15-SUMPRODUCT($FD8:$FI8,$Q$6:$V$6)+MIN(10,$FJ8*3+$FK8*5,SUMPRODUCT($FD8:$FI8,$Q$6:$V$6)))+$DX8*5</f>
        <v/>
      </c>
      <c r="GA8" s="152">
        <f>MAX(0,18-SUMPRODUCT($FD8:$FI8,$Q$7:$V$7)+MIN(12,$FJ8*3+$FK8*6,SUMPRODUCT($FD8:$FI8,$Q$7:$V$7)))+$DX8*6</f>
        <v/>
      </c>
      <c r="GB8" s="152">
        <f>MAX(0,21-SUMPRODUCT($FD8:$FI8,$Q$8:$V$8)+MIN(14,$FJ8*4+$FK8*7,SUMPRODUCT($FD8:$FI8,$Q$8:$V$8)))+$DX8*7</f>
        <v/>
      </c>
      <c r="GC8" s="152">
        <f>IF($EX8=2,3*$FV8&amp;" de vida temp.",IF($EX8=3,"sem dano",IF($FV8=0,IF($EX8=1,"sem cura","sem dano"),IF($EX8=1,"cura ","")&amp;$FV8&amp;"d8")))</f>
        <v/>
      </c>
      <c r="GD8" s="152">
        <f>IF($EX8=2,3*$FW8&amp;" de vida temp.",IF($EX8=3,"sem dano",IF($FW8=0,IF($EX8=1,"sem cura","sem dano"),IF($EX8=1,"cura ","")&amp;$FW8&amp;"d8")))</f>
        <v/>
      </c>
      <c r="GE8" s="152">
        <f>IF($EX8=2,3*$FX8&amp;" de vida temp.",IF($EX8=3,"sem dano",IF($FX8=0,IF($EX8=1,"sem cura","sem dano"),IF($EX8=1,"cura ","")&amp;$FX8&amp;"d8")))</f>
        <v/>
      </c>
      <c r="GF8" s="152">
        <f>IF($EX8=2,3*$FY8&amp;" de vida temp.",IF($EX8=3,"sem dano",IF($FY8=0,IF($EX8=1,"sem cura","sem dano"),IF($EX8=1,"cura ","")&amp;$FY8&amp;"d8")))</f>
        <v/>
      </c>
      <c r="GG8" s="152">
        <f>IF($EX8=2,3*$FZ8&amp;" de vida temp.",IF($EX8=3,"sem dano",IF($FZ8=0,IF($EX8=1,"sem cura","sem dano"),IF($EX8=1,"cura ","")&amp;$FZ8&amp;"d8")))</f>
        <v/>
      </c>
      <c r="GH8" s="152">
        <f>IF($EX8=2,3*$GA8&amp;" de vida temp.",IF($EX8=3,"sem dano",IF($GA8=0,IF($EX8=1,"sem cura","sem dano"),IF($EX8=1,"cura ","")&amp;$GA8&amp;"d8")))</f>
        <v/>
      </c>
      <c r="GI8" s="152">
        <f>IF($EX8=2,3*$GB8&amp;" de vida temp.",IF($EX8=3,"sem dano",IF($GB8=0,IF($EX8=1,"sem cura","sem dano"),IF($EX8=1,"cura ","")&amp;$GB8&amp;"d8")))</f>
        <v/>
      </c>
      <c r="GJ8" s="152">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2">
        <f>IF($GJ8="",0,(LEN($GJ8)-LEN(SUBSTITUTE($GJ8," · ","")))/3+1)</f>
        <v/>
      </c>
      <c r="GL8" s="152">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2">
        <f>IF($GL8="",0,(LEN($GL8)-LEN(SUBSTITUTE($GL8," · ","")))/3+1)</f>
        <v/>
      </c>
      <c r="GN8" s="152">
        <f>IF($EI8=0,IF($FL8+$FM8-$EW8&gt;0,"Dê um nome",""),IF($GK8&gt;0,"⚠ "&amp;$GK8&amp;IF($GK8&gt;1," erros"," erro"),IF($GM8&gt;0,"! "&amp;$GM8&amp;IF($GM8&gt;1," avisos"," aviso"),"Na regra")))</f>
        <v/>
      </c>
      <c r="GO8" s="152">
        <f>IF($EI8=0,"",IF($GK8+$GM8=0,"Dentro das regras que a ficha confere",$GJ8&amp;IF(AND($GK8&gt;0,$GM8&gt;0)," · ","")&amp;$GL8))</f>
        <v/>
      </c>
      <c r="GP8" s="152">
        <f>IF($EI8=0,"",IF($DX8=1,CEILING(4.5*$DZ8,1),3*$DZ8)&amp;" PE")</f>
        <v/>
      </c>
      <c r="GQ8" s="152">
        <f>IF($EI8=0,"",IF($DX8=1,"Rodada inteira",IF(COUNTIF($FB8:$FC8,"Atrasar")&gt;0,IF(COUNTIF($FB8:$FC8,"Carregar")&gt;0,"Rodada +1 turno","Rodada inteira"),IF(COUNTIF($EC8:$EF8,"Rápido")&gt;0,"Bônus",IF(COUNTIF($EC8:$EF8,"Reação")&gt;0,"Reação","Padrão"))&amp;IF(COUNTIF($FB8:$FC8,"Carregar")&gt;0," +1 turno",""))))</f>
        <v/>
      </c>
      <c r="GR8" s="152">
        <f>IF(OR($EI8=0,$EJ8=0),"",IF(COUNTIF($EC8:$EF8,"Inescapável")&gt;0,"Automático",IF(COUNTIF($EC8:$EF8,"Certeiro")&gt;0,"TR para metade",IF(AND($EV8&gt;0,$EY8=0,INDEX($AF$2:$AF$11,$EJ8)="Acerto"),"Acerto + TR",INDEX($AF$2:$AF$11,$EJ8)))))</f>
        <v/>
      </c>
      <c r="GS8" s="152">
        <f>IF(OR($EI8=0,$EJ8=0),"",IF(OR($EX8&gt;=2,$FT8=0),UPPER(LEFT(INDEX($GC8:$GI8,1,$DZ8),1))&amp;MID(INDEX($GC8:$GI8,1,$DZ8),2,99),UPPER(LEFT(INDEX($GC8:$GI8,1,$DZ8),1))&amp;MID(INDEX($GC8:$GI8,1,$DZ8),2,99)&amp;" = "&amp;FLOOR($FT8*4.5,1)&amp;IF($FU8&gt;0," · +"&amp;$FU8&amp;"d8","")))</f>
        <v/>
      </c>
      <c r="GT8" s="152">
        <f>COUNTIF($EC8:$EF8,"Longe")+3*COUNTIF($EC8:$EF8,"Muito Longe")</f>
        <v/>
      </c>
      <c r="GU8" s="152">
        <f>COUNTIF($EC8:$EF8,"Maior")+3*COUNTIF($EC8:$EF8,"Muito Maior")</f>
        <v/>
      </c>
      <c r="GV8" s="152">
        <f>IF($EJ8=0,0,CHOOSE(1+INDEX($AH$2:$AH$11,$EJ8),0,$GT8,$GU8,$GT8+$GU8))</f>
        <v/>
      </c>
      <c r="GW8" s="152">
        <f>IF($EJ8=0,0,CHOOSE(1+INDEX($AI$2:$AI$11,$EJ8),0,$GT8,$GU8,$GT8+$GU8))</f>
        <v/>
      </c>
      <c r="GX8" s="152">
        <f>IF(OR($EI8=0,$EJ8=0),"",INDEX($AP$2:$AU$31,($EJ8-1)*3+IF($DZ8&gt;=6,3,2),1+MIN(5,$GV8))&amp;INDEX($AV$2:$BA$31,($EJ8-1)*3+IF($DZ8&gt;=6,3,2),1+MIN(5,$GW8))&amp;IF(INDEX($AJ$2:$AJ$11,$EJ8)=1,IF(COUNTIF($EC8:$EF8,"Mais Um")&gt;0," · +"&amp;COUNTIF($EC8:$EF8,"Mais Um")&amp;IF(COUNTIF($EC8:$EF8,"Mais Um")&gt;1," alvos"," alvo"),"")&amp;IF(COUNTIF($EC8:$EF8,"Rajada")&gt;0," · "&amp;($DZ8+1)&amp;" tiros",""),""))</f>
        <v/>
      </c>
      <c r="GY8" s="152">
        <f>IF($EI8=0,"",3*$DZ8&amp;" − "&amp;$FN8&amp;" + "&amp;$FQ8&amp;IF($DX8=1," + "&amp;$DZ8,"")&amp;" = "&amp;$FT8&amp;"d8 · teto "&amp;4*$DZ8&amp;IF($EW8=1," · a Forma devolve "&amp;$DZ8,"")&amp;IF($FR8&gt;0," · perde "&amp;$FR8,""))</f>
        <v/>
      </c>
      <c r="GZ8" s="152">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2">
        <f>IF(OR($EI8=0,$EL8=0),"","−"&amp;INDEX($Q$2:$V$8,$DZ8,$EL8)&amp;" · "&amp;CHOOSE($EL8,"Leve","Média","Pesada","Leve · Livre","Média · Livre","Pesada · Livre"))</f>
        <v/>
      </c>
      <c r="HB8" s="152">
        <f>IF(OR($EI8=0,$EM8=0),"","−"&amp;INDEX($Q$2:$V$8,$DZ8,$EM8)&amp;" · "&amp;CHOOSE($EM8,"Leve","Média","Pesada","Leve · Livre","Média · Livre","Pesada · Livre"))</f>
        <v/>
      </c>
      <c r="HC8" s="152">
        <f>IF(OR($EI8=0,$EN8=0),"","−"&amp;INDEX($Q$2:$V$8,$DZ8,$EN8)&amp;" · "&amp;CHOOSE($EN8,"Leve","Média","Pesada","Leve · Livre","Média · Livre","Pesada · Livre"))</f>
        <v/>
      </c>
      <c r="HD8" s="152">
        <f>IF(OR($EI8=0,$EO8=0),"","−"&amp;INDEX($Q$2:$V$8,$DZ8,$EO8)&amp;" · "&amp;CHOOSE($EO8,"Leve","Média","Pesada","Leve · Livre","Média · Livre","Pesada · Livre"))</f>
        <v/>
      </c>
      <c r="HE8" s="152">
        <f>IF(OR($EI8=0,$EG8=""),"","+"&amp;IF($EZ8=1,CEILING($DZ8/2,1),$DZ8))</f>
        <v/>
      </c>
      <c r="HF8" s="152">
        <f>IF(OR($EI8=0,$EH8=""),"","+"&amp;IF($FA8=1,CEILING($DZ8/2,1),$DZ8))</f>
        <v/>
      </c>
      <c r="HG8" s="152">
        <f>'FICHA AMALDIÇOADA'!$D$95&amp;""</f>
        <v/>
      </c>
      <c r="HH8" s="152">
        <f>IF(AND($EI8=1,$DX8=0),COUNTIFS($EI$2:$EI8,1,$DX$2:$DX8,0),"")</f>
        <v/>
      </c>
      <c r="HJ8" s="150" t="inlineStr">
        <is>
          <t>escolhas de Leque</t>
        </is>
      </c>
      <c r="HK8" s="152">
        <f>MIN(N(DADOS!$AK$38),$HK$5)</f>
        <v/>
      </c>
      <c r="HM8" s="150" t="inlineStr">
        <is>
          <t>Talento 7 · Leque</t>
        </is>
      </c>
      <c r="HN8" s="152">
        <f>'FICHA AMALDIÇOADA'!$J$397&amp;""</f>
        <v/>
      </c>
      <c r="HO8" s="152">
        <f>IFERROR(VLOOKUP($HN8,$BS$2:$BY$24,2,FALSE),0)</f>
        <v/>
      </c>
      <c r="HP8" s="152">
        <f>IFERROR(VLOOKUP($HO8,$CA$2:$CB$4,2,FALSE),0)</f>
        <v/>
      </c>
      <c r="HQ8" s="152">
        <f>IFERROR(VLOOKUP($HN8,$BS$2:$BY$24,3,FALSE),"")</f>
        <v/>
      </c>
      <c r="HR8" s="152">
        <f>IF($HO8=0,"",IF($HP8&gt;$HK$2,"⚠ Nível "&amp;$HP8,"CE "&amp;$HO8))</f>
        <v/>
      </c>
      <c r="HS8" s="152">
        <f>IF($HO8=0,"",IF(2&gt;$HK$8,"⚠ Vaga","Grátis"))</f>
        <v/>
      </c>
      <c r="HT8" s="152">
        <f>'FICHA AMALDIÇOADA'!$K$402&amp;""</f>
        <v/>
      </c>
      <c r="HU8" s="152">
        <f>IF($HN8="","",COUNTIF($HN$2:$HN8,"?*"))</f>
        <v/>
      </c>
      <c r="HW8" s="150" t="inlineStr">
        <is>
          <t>Aptidão 7</t>
        </is>
      </c>
      <c r="HX8" s="152">
        <f>'FICHA AMALDIÇOADA'!$D$472&amp;""</f>
        <v/>
      </c>
      <c r="HY8" s="152">
        <f>IF($HX8="","","Requisito: "&amp;IFERROR(VLOOKUP($HX8,$CD$2:$CM$33,2,FALSE),""))</f>
        <v/>
      </c>
      <c r="HZ8" s="152">
        <f>IF($HX8="","",IFERROR(IF(ISNUMBER(VLOOKUP($HX8,$CD$2:$CM$33,3,FALSE)),"CE "&amp;VLOOKUP($HX8,$CD$2:$CM$33,3,FALSE),VLOOKUP($HX8,$CD$2:$CM$33,3,FALSE)),""))</f>
        <v/>
      </c>
      <c r="IA8" s="152">
        <f>IF($HX8="","",IFERROR(VLOOKUP($HX8,$CD$2:$CM$33,4,FALSE),""))</f>
        <v/>
      </c>
      <c r="IB8" s="152">
        <f>IF($HX8="","",IFERROR(VLOOKUP($HX8,$CD$2:$CM$33,5,FALSE),""))</f>
        <v/>
      </c>
      <c r="IC8" s="152">
        <f>'FICHA AMALDIÇOADA'!$E$489&amp;""</f>
        <v/>
      </c>
      <c r="ID8" s="152">
        <f>IF($HX8="","",COUNTIF($HX$2:$HX8,"?*"))</f>
        <v/>
      </c>
      <c r="IO8" s="150" t="inlineStr">
        <is>
          <t>Domínio</t>
        </is>
      </c>
      <c r="IP8" s="152">
        <f>ADDRESS(ROW('FICHA AMALDIÇOADA'!L7),COLUMN('FICHA AMALDIÇOADA'!L7),4)</f>
        <v/>
      </c>
      <c r="IQ8" s="152">
        <f>ADDRESS(ROW('FICHA AMALDIÇOADA'!D354),COLUMN('FICHA AMALDIÇOADA'!D354),4)</f>
        <v/>
      </c>
      <c r="IR8" s="150" t="inlineStr">
        <is>
          <t>DADOS_AM!$IO$8</t>
        </is>
      </c>
      <c r="IT8" s="150" t="inlineStr">
        <is>
          <t>Trilha 11</t>
        </is>
      </c>
      <c r="IU8" s="152" t="n">
        <v>11</v>
      </c>
      <c r="IV8" s="152">
        <f>IF($HK$2&gt;=11,"Nível 11","Abre no 11")</f>
        <v/>
      </c>
      <c r="IW8" s="152">
        <f>ADDRESS(ROW(FICHA!G135),COLUMN(FICHA!G135),4)</f>
        <v/>
      </c>
      <c r="IX8" s="152">
        <f>ADDRESS(ROW(FICHA!D136),COLUMN(FICHA!D136),4)</f>
        <v/>
      </c>
      <c r="JF8" s="152" t="n">
        <v>7</v>
      </c>
      <c r="JG8" s="152">
        <f>IFERROR(MATCH(7,$HH$2:$HH$37,0),0)</f>
        <v/>
      </c>
      <c r="JH8" s="152">
        <f>IF($JG8=0,"",INDEX($DZ$2:$DZ$37,$JG8))</f>
        <v/>
      </c>
      <c r="JI8" s="152">
        <f>IF($JG8=0,"",INDEX($EA$2:$EA$37,$JG8))</f>
        <v/>
      </c>
      <c r="JJ8" s="152">
        <f>IF($JG8=0,"",INDEX($GP$2:$GP$37,$JG8))</f>
        <v/>
      </c>
      <c r="JK8" s="152">
        <f>IF($JG8=0,"",INDEX($EB$2:$EB$37,$JG8))</f>
        <v/>
      </c>
      <c r="JL8" s="152">
        <f>IF($JG8=0,"",INDEX($GR$2:$GR$37,$JG8))</f>
        <v/>
      </c>
      <c r="JM8" s="152">
        <f>IF($JG8=0,"",INDEX($HG$2:$HG$37,$JG8))</f>
        <v/>
      </c>
      <c r="KD8" s="150" t="inlineStr">
        <is>
          <t>Talento 5</t>
        </is>
      </c>
      <c r="KE8" s="152">
        <f>IFERROR(MATCH(5,$HU$2:$HU$13,0),0)</f>
        <v/>
      </c>
      <c r="KF8" s="152">
        <f>IF($KE8=0,"",IF(INDEX($HO$2:$HO$13,$KE8)=0,"","CE "&amp;INDEX($HO$2:$HO$13,$KE8)))</f>
        <v/>
      </c>
      <c r="KG8" s="152">
        <f>IF($KE8=0,"",INDEX($HN$2:$HN$13,$KE8))</f>
        <v/>
      </c>
      <c r="KH8" s="152">
        <f>IF($KE8=0,"",IF(INDEX($HT$2:$HT$13,$KE8)&lt;&gt;"",INDEX($HT$2:$HT$13,$KE8),IF(IFERROR(VLOOKUP(INDEX($HN$2:$HN$13,$KE8),$BS$2:$BY$24,7,FALSE),"")&lt;&gt;"","Do livro: "&amp;IFERROR(VLOOKUP(INDEX($HN$2:$HN$13,$KE8),$BS$2:$BY$24,7,FALSE),""),"")))</f>
        <v/>
      </c>
      <c r="KJ8" s="150" t="inlineStr">
        <is>
          <t>Aptidão 5</t>
        </is>
      </c>
      <c r="KK8" s="152">
        <f>IFERROR(MATCH(5,$ID$2:$ID$13,0),0)</f>
        <v/>
      </c>
      <c r="KL8" s="152">
        <f>IF($KK8=0,"",INDEX($HZ$2:$HZ$13,$KK8))</f>
        <v/>
      </c>
      <c r="KM8" s="152">
        <f>IF($KK8=0,"",INDEX($HX$2:$HX$13,$KK8))</f>
        <v/>
      </c>
      <c r="KN8" s="152">
        <f>IF($KK8=0,"",IF(INDEX($IC$2:$IC$13,$KK8)&lt;&gt;"",INDEX($IC$2:$IC$13,$KK8),IF(IFERROR(VLOOKUP(INDEX($HX$2:$HX$13,$KK8),$CD$2:$CM$33,10,FALSE),"")&lt;&gt;"","Do livro: "&amp;IFERROR(VLOOKUP(INDEX($HX$2:$HX$13,$KK8),$CD$2:$CM$33,10,FALSE),""),"")))</f>
        <v/>
      </c>
      <c r="KP8" s="150" t="inlineStr">
        <is>
          <t>tag tm</t>
        </is>
      </c>
      <c r="KQ8" s="152">
        <f>IF(DADOS_AM!$A$2=1,"Máx",IF(DADOS_AM!$A$2=2,"Auge","Ōgi"))</f>
        <v/>
      </c>
      <c r="KS8" s="150" t="inlineStr">
        <is>
          <t>D16</t>
        </is>
      </c>
      <c r="KT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K9" s="152" t="n">
        <v>0</v>
      </c>
      <c r="BM9" s="150" t="inlineStr">
        <is>
          <t>Recuo (Média)</t>
        </is>
      </c>
      <c r="BN9" s="150" t="inlineStr">
        <is>
          <t>Recuo</t>
        </is>
      </c>
      <c r="BO9" s="152" t="n">
        <v>2</v>
      </c>
      <c r="BP9" s="152" t="n">
        <v>0</v>
      </c>
      <c r="BQ9" s="150" t="inlineStr"/>
      <c r="BS9" s="150" t="inlineStr">
        <is>
          <t>Recomposição</t>
        </is>
      </c>
      <c r="BT9" s="152" t="n">
        <v>2</v>
      </c>
      <c r="BU9" s="150" t="inlineStr">
        <is>
          <t>Uma vez por descanso curto, use Ação Padrão para recuperar 5 × sua maior Classe em pontos de vida, até sua vida máxima. Não gasta PE. Recuperar vida não remove condições por conta própria.</t>
        </is>
      </c>
      <c r="BV9" s="152" t="n">
        <v>1</v>
      </c>
      <c r="BW9" s="152" t="n">
        <v>0</v>
      </c>
      <c r="BX9" s="152">
        <f>IF(OR(AND($A$2&lt;=2,$BV9=1),AND($A$2&gt;=2,$BW9=1)),$BS9,"")</f>
        <v/>
      </c>
      <c r="BY9" s="150" t="inlineStr">
        <is>
          <t>Uma vez por descanso curto, use Ação Padrão para recuperar 5 × sua maior Classe em pontos de vida, até sua vida máxima. Não gasta PE. Recuperar vida não remove condições por conta própria.</t>
        </is>
      </c>
      <c r="CD9" s="150" t="inlineStr">
        <is>
          <t>Kokusen Constante</t>
        </is>
      </c>
      <c r="CE9" s="150" t="inlineStr">
        <is>
          <t>Refino 5</t>
        </is>
      </c>
      <c r="CF9" s="150" t="inlineStr">
        <is>
          <t>—</t>
        </is>
      </c>
      <c r="CG9" s="150" t="inlineStr">
        <is>
          <t>—</t>
        </is>
      </c>
      <c r="CH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2">
        <f>IF($CL9=1,"",IF($A$2=4,IF($CJ9=1,$CD9,""),IF(OR($CJ9=1,AND($A$2=3,$CK9=1)),"",$CD9)))</f>
        <v/>
      </c>
      <c r="CJ9" s="152" t="n">
        <v>0</v>
      </c>
      <c r="CK9" s="152" t="n">
        <v>0</v>
      </c>
      <c r="CL9" s="152" t="n">
        <v>0</v>
      </c>
      <c r="CM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0" t="inlineStr">
        <is>
          <t>Arma de Fogo</t>
        </is>
      </c>
      <c r="CV9" s="152" t="n">
        <v>0</v>
      </c>
      <c r="CW9" s="152" t="n">
        <v>1</v>
      </c>
      <c r="CX9" s="152">
        <f>IF(AND($A$2&gt;=3,'FICHA AMALDIÇOADA'!$J$16&amp;""="Três grupos de arma"),$CU9,"")</f>
        <v/>
      </c>
      <c r="DW9" s="150" t="inlineStr">
        <is>
          <t>Feitiço 8</t>
        </is>
      </c>
      <c r="DX9" s="152" t="n">
        <v>0</v>
      </c>
      <c r="DY9" s="152" t="n">
        <v>8</v>
      </c>
      <c r="DZ9" s="152">
        <f>MAX(1,MIN(7,N('FICHA AMALDIÇOADA'!$J$93)))</f>
        <v/>
      </c>
      <c r="EA9" s="152">
        <f>'FICHA AMALDIÇOADA'!$K$93&amp;""</f>
        <v/>
      </c>
      <c r="EB9" s="152">
        <f>'FICHA AMALDIÇOADA'!$J$100&amp;""</f>
        <v/>
      </c>
      <c r="EC9" s="152">
        <f>'FICHA AMALDIÇOADA'!$K$102&amp;""</f>
        <v/>
      </c>
      <c r="ED9" s="152">
        <f>'FICHA AMALDIÇOADA'!$K$103&amp;""</f>
        <v/>
      </c>
      <c r="EE9" s="152">
        <f>'FICHA AMALDIÇOADA'!$K$104&amp;""</f>
        <v/>
      </c>
      <c r="EF9" s="152">
        <f>'FICHA AMALDIÇOADA'!$K$105&amp;""</f>
        <v/>
      </c>
      <c r="EG9" s="152">
        <f>'FICHA AMALDIÇOADA'!$K$106&amp;""</f>
        <v/>
      </c>
      <c r="EH9" s="152">
        <f>'FICHA AMALDIÇOADA'!$K$107&amp;""</f>
        <v/>
      </c>
      <c r="EI9" s="152">
        <f>IF($EA9&lt;&gt;"",1,0)</f>
        <v/>
      </c>
      <c r="EJ9" s="152">
        <f>IFERROR(MATCH($EB9,$Y$2:$Y$11,0),0)</f>
        <v/>
      </c>
      <c r="EK9" s="152">
        <f>IF($EJ9=0,0,INDEX($AB$2:$AB$11,$EJ9))</f>
        <v/>
      </c>
      <c r="EL9" s="152">
        <f>IFERROR(VLOOKUP($EC9,$BC$2:$BK$84,4,FALSE),0)</f>
        <v/>
      </c>
      <c r="EM9" s="152">
        <f>IFERROR(VLOOKUP($ED9,$BC$2:$BK$84,4,FALSE),0)</f>
        <v/>
      </c>
      <c r="EN9" s="152">
        <f>IFERROR(VLOOKUP($EE9,$BC$2:$BK$84,4,FALSE),0)</f>
        <v/>
      </c>
      <c r="EO9" s="152">
        <f>IFERROR(VLOOKUP($EF9,$BC$2:$BK$84,4,FALSE),0)</f>
        <v/>
      </c>
      <c r="EP9" s="152">
        <f>IF($EJ9=0,0,INDEX($AC$2:$AC$11,$EJ9))</f>
        <v/>
      </c>
      <c r="EQ9" s="152">
        <f>IFERROR(VLOOKUP($EC9,$BC$2:$BK$84,5,FALSE),0)</f>
        <v/>
      </c>
      <c r="ER9" s="152">
        <f>IFERROR(VLOOKUP($ED9,$BC$2:$BK$84,5,FALSE),0)</f>
        <v/>
      </c>
      <c r="ES9" s="152">
        <f>IFERROR(VLOOKUP($EE9,$BC$2:$BK$84,5,FALSE),0)</f>
        <v/>
      </c>
      <c r="ET9" s="152">
        <f>IFERROR(VLOOKUP($EF9,$BC$2:$BK$84,5,FALSE),0)</f>
        <v/>
      </c>
      <c r="EU9" s="152">
        <f>IFERROR(VLOOKUP($EC9,$BC$2:$BK$84,6,FALSE),0)+IFERROR(VLOOKUP($ED9,$BC$2:$BK$84,6,FALSE),0)+IFERROR(VLOOKUP($EE9,$BC$2:$BK$84,6,FALSE),0)+IFERROR(VLOOKUP($EF9,$BC$2:$BK$84,6,FALSE),0)</f>
        <v/>
      </c>
      <c r="EV9" s="152">
        <f>IFERROR(VLOOKUP($EC9,$BC$2:$BK$84,9,FALSE),0)+IFERROR(VLOOKUP($ED9,$BC$2:$BK$84,9,FALSE),0)+IFERROR(VLOOKUP($EE9,$BC$2:$BK$84,9,FALSE),0)+IFERROR(VLOOKUP($EF9,$BC$2:$BK$84,9,FALSE),0)</f>
        <v/>
      </c>
      <c r="EW9" s="152">
        <f>IF($EJ9=0,0,INDEX($AD$2:$AD$11,$EJ9))</f>
        <v/>
      </c>
      <c r="EX9" s="152">
        <f>IF($EJ9=0,0,INDEX($AE$2:$AE$11,$EJ9))</f>
        <v/>
      </c>
      <c r="EY9" s="152">
        <f>IF($EJ9=0,0,INDEX($AG$2:$AG$11,$EJ9))</f>
        <v/>
      </c>
      <c r="EZ9" s="152">
        <f>IFERROR(VLOOKUP($EG9,$BM$2:$BQ$24,3,FALSE),0)</f>
        <v/>
      </c>
      <c r="FA9" s="152">
        <f>IFERROR(VLOOKUP($EH9,$BM$2:$BQ$24,3,FALSE),0)</f>
        <v/>
      </c>
      <c r="FB9" s="152">
        <f>IFERROR(VLOOKUP($EG9,$BM$2:$BQ$24,2,FALSE),"")</f>
        <v/>
      </c>
      <c r="FC9" s="152">
        <f>IFERROR(VLOOKUP($EH9,$BM$2:$BQ$24,2,FALSE),"")</f>
        <v/>
      </c>
      <c r="FD9" s="152">
        <f>COUNTIF($EK9:$EO9,1)</f>
        <v/>
      </c>
      <c r="FE9" s="152">
        <f>COUNTIF($EK9:$EO9,2)</f>
        <v/>
      </c>
      <c r="FF9" s="152">
        <f>COUNTIF($EK9:$EO9,3)</f>
        <v/>
      </c>
      <c r="FG9" s="152">
        <f>COUNTIF($EK9:$EO9,4)</f>
        <v/>
      </c>
      <c r="FH9" s="152">
        <f>COUNTIF($EK9:$EO9,5)</f>
        <v/>
      </c>
      <c r="FI9" s="152">
        <f>COUNTIF($EK9:$EO9,6)</f>
        <v/>
      </c>
      <c r="FJ9" s="152">
        <f>COUNTIF($EZ9:$FA9,1)</f>
        <v/>
      </c>
      <c r="FK9" s="152">
        <f>COUNTIF($EZ9:$FA9,2)+$EW9</f>
        <v/>
      </c>
      <c r="FL9" s="152">
        <f>COUNTIF($EC9:$EF9,"?*")</f>
        <v/>
      </c>
      <c r="FM9" s="152">
        <f>COUNTIF($EG9:$EH9,"?*")+$EW9</f>
        <v/>
      </c>
      <c r="FN9" s="152">
        <f>SUMPRODUCT($FD9:$FI9,INDEX($Q$2:$V$8,$DZ9,0))</f>
        <v/>
      </c>
      <c r="FO9" s="152">
        <f>$FJ9*CEILING($DZ9/2,1)+$FK9*$DZ9</f>
        <v/>
      </c>
      <c r="FP9" s="152">
        <f>MIN(2*$DZ9,$FO9)</f>
        <v/>
      </c>
      <c r="FQ9" s="152">
        <f>MIN($FP9,$FN9)</f>
        <v/>
      </c>
      <c r="FR9" s="152">
        <f>$FP9-$FQ9</f>
        <v/>
      </c>
      <c r="FS9" s="152">
        <f>3*$DZ9-$FN9+$FQ9</f>
        <v/>
      </c>
      <c r="FT9" s="152">
        <f>MAX(0,$FS9)+$DX9*$DZ9</f>
        <v/>
      </c>
      <c r="FU9" s="152">
        <f>(IF(COUNTIF($EC9:$EF9,"Salto")&gt;0,1,0)+IF(COUNTIF($EC9:$EF9,"Queima")&gt;0,1,0)+IF(COUNTIF($EC9:$EF9,"Estilhaço")&gt;0,1,0))*FLOOR($FT9/2,1)</f>
        <v/>
      </c>
      <c r="FV9" s="152">
        <f>MAX(0,3-SUMPRODUCT($FD9:$FI9,$Q$2:$V$2)+MIN(2,$FJ9*1+$FK9*1,SUMPRODUCT($FD9:$FI9,$Q$2:$V$2)))+$DX9*1</f>
        <v/>
      </c>
      <c r="FW9" s="152">
        <f>MAX(0,6-SUMPRODUCT($FD9:$FI9,$Q$3:$V$3)+MIN(4,$FJ9*1+$FK9*2,SUMPRODUCT($FD9:$FI9,$Q$3:$V$3)))+$DX9*2</f>
        <v/>
      </c>
      <c r="FX9" s="152">
        <f>MAX(0,9-SUMPRODUCT($FD9:$FI9,$Q$4:$V$4)+MIN(6,$FJ9*2+$FK9*3,SUMPRODUCT($FD9:$FI9,$Q$4:$V$4)))+$DX9*3</f>
        <v/>
      </c>
      <c r="FY9" s="152">
        <f>MAX(0,12-SUMPRODUCT($FD9:$FI9,$Q$5:$V$5)+MIN(8,$FJ9*2+$FK9*4,SUMPRODUCT($FD9:$FI9,$Q$5:$V$5)))+$DX9*4</f>
        <v/>
      </c>
      <c r="FZ9" s="152">
        <f>MAX(0,15-SUMPRODUCT($FD9:$FI9,$Q$6:$V$6)+MIN(10,$FJ9*3+$FK9*5,SUMPRODUCT($FD9:$FI9,$Q$6:$V$6)))+$DX9*5</f>
        <v/>
      </c>
      <c r="GA9" s="152">
        <f>MAX(0,18-SUMPRODUCT($FD9:$FI9,$Q$7:$V$7)+MIN(12,$FJ9*3+$FK9*6,SUMPRODUCT($FD9:$FI9,$Q$7:$V$7)))+$DX9*6</f>
        <v/>
      </c>
      <c r="GB9" s="152">
        <f>MAX(0,21-SUMPRODUCT($FD9:$FI9,$Q$8:$V$8)+MIN(14,$FJ9*4+$FK9*7,SUMPRODUCT($FD9:$FI9,$Q$8:$V$8)))+$DX9*7</f>
        <v/>
      </c>
      <c r="GC9" s="152">
        <f>IF($EX9=2,3*$FV9&amp;" de vida temp.",IF($EX9=3,"sem dano",IF($FV9=0,IF($EX9=1,"sem cura","sem dano"),IF($EX9=1,"cura ","")&amp;$FV9&amp;"d8")))</f>
        <v/>
      </c>
      <c r="GD9" s="152">
        <f>IF($EX9=2,3*$FW9&amp;" de vida temp.",IF($EX9=3,"sem dano",IF($FW9=0,IF($EX9=1,"sem cura","sem dano"),IF($EX9=1,"cura ","")&amp;$FW9&amp;"d8")))</f>
        <v/>
      </c>
      <c r="GE9" s="152">
        <f>IF($EX9=2,3*$FX9&amp;" de vida temp.",IF($EX9=3,"sem dano",IF($FX9=0,IF($EX9=1,"sem cura","sem dano"),IF($EX9=1,"cura ","")&amp;$FX9&amp;"d8")))</f>
        <v/>
      </c>
      <c r="GF9" s="152">
        <f>IF($EX9=2,3*$FY9&amp;" de vida temp.",IF($EX9=3,"sem dano",IF($FY9=0,IF($EX9=1,"sem cura","sem dano"),IF($EX9=1,"cura ","")&amp;$FY9&amp;"d8")))</f>
        <v/>
      </c>
      <c r="GG9" s="152">
        <f>IF($EX9=2,3*$FZ9&amp;" de vida temp.",IF($EX9=3,"sem dano",IF($FZ9=0,IF($EX9=1,"sem cura","sem dano"),IF($EX9=1,"cura ","")&amp;$FZ9&amp;"d8")))</f>
        <v/>
      </c>
      <c r="GH9" s="152">
        <f>IF($EX9=2,3*$GA9&amp;" de vida temp.",IF($EX9=3,"sem dano",IF($GA9=0,IF($EX9=1,"sem cura","sem dano"),IF($EX9=1,"cura ","")&amp;$GA9&amp;"d8")))</f>
        <v/>
      </c>
      <c r="GI9" s="152">
        <f>IF($EX9=2,3*$GB9&amp;" de vida temp.",IF($EX9=3,"sem dano",IF($GB9=0,IF($EX9=1,"sem cura","sem dano"),IF($EX9=1,"cura ","")&amp;$GB9&amp;"d8")))</f>
        <v/>
      </c>
      <c r="GJ9" s="152">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2">
        <f>IF($GJ9="",0,(LEN($GJ9)-LEN(SUBSTITUTE($GJ9," · ","")))/3+1)</f>
        <v/>
      </c>
      <c r="GL9" s="152">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2">
        <f>IF($GL9="",0,(LEN($GL9)-LEN(SUBSTITUTE($GL9," · ","")))/3+1)</f>
        <v/>
      </c>
      <c r="GN9" s="152">
        <f>IF($EI9=0,IF($FL9+$FM9-$EW9&gt;0,"Dê um nome",""),IF($GK9&gt;0,"⚠ "&amp;$GK9&amp;IF($GK9&gt;1," erros"," erro"),IF($GM9&gt;0,"! "&amp;$GM9&amp;IF($GM9&gt;1," avisos"," aviso"),"Na regra")))</f>
        <v/>
      </c>
      <c r="GO9" s="152">
        <f>IF($EI9=0,"",IF($GK9+$GM9=0,"Dentro das regras que a ficha confere",$GJ9&amp;IF(AND($GK9&gt;0,$GM9&gt;0)," · ","")&amp;$GL9))</f>
        <v/>
      </c>
      <c r="GP9" s="152">
        <f>IF($EI9=0,"",IF($DX9=1,CEILING(4.5*$DZ9,1),3*$DZ9)&amp;" PE")</f>
        <v/>
      </c>
      <c r="GQ9" s="152">
        <f>IF($EI9=0,"",IF($DX9=1,"Rodada inteira",IF(COUNTIF($FB9:$FC9,"Atrasar")&gt;0,IF(COUNTIF($FB9:$FC9,"Carregar")&gt;0,"Rodada +1 turno","Rodada inteira"),IF(COUNTIF($EC9:$EF9,"Rápido")&gt;0,"Bônus",IF(COUNTIF($EC9:$EF9,"Reação")&gt;0,"Reação","Padrão"))&amp;IF(COUNTIF($FB9:$FC9,"Carregar")&gt;0," +1 turno",""))))</f>
        <v/>
      </c>
      <c r="GR9" s="152">
        <f>IF(OR($EI9=0,$EJ9=0),"",IF(COUNTIF($EC9:$EF9,"Inescapável")&gt;0,"Automático",IF(COUNTIF($EC9:$EF9,"Certeiro")&gt;0,"TR para metade",IF(AND($EV9&gt;0,$EY9=0,INDEX($AF$2:$AF$11,$EJ9)="Acerto"),"Acerto + TR",INDEX($AF$2:$AF$11,$EJ9)))))</f>
        <v/>
      </c>
      <c r="GS9" s="152">
        <f>IF(OR($EI9=0,$EJ9=0),"",IF(OR($EX9&gt;=2,$FT9=0),UPPER(LEFT(INDEX($GC9:$GI9,1,$DZ9),1))&amp;MID(INDEX($GC9:$GI9,1,$DZ9),2,99),UPPER(LEFT(INDEX($GC9:$GI9,1,$DZ9),1))&amp;MID(INDEX($GC9:$GI9,1,$DZ9),2,99)&amp;" = "&amp;FLOOR($FT9*4.5,1)&amp;IF($FU9&gt;0," · +"&amp;$FU9&amp;"d8","")))</f>
        <v/>
      </c>
      <c r="GT9" s="152">
        <f>COUNTIF($EC9:$EF9,"Longe")+3*COUNTIF($EC9:$EF9,"Muito Longe")</f>
        <v/>
      </c>
      <c r="GU9" s="152">
        <f>COUNTIF($EC9:$EF9,"Maior")+3*COUNTIF($EC9:$EF9,"Muito Maior")</f>
        <v/>
      </c>
      <c r="GV9" s="152">
        <f>IF($EJ9=0,0,CHOOSE(1+INDEX($AH$2:$AH$11,$EJ9),0,$GT9,$GU9,$GT9+$GU9))</f>
        <v/>
      </c>
      <c r="GW9" s="152">
        <f>IF($EJ9=0,0,CHOOSE(1+INDEX($AI$2:$AI$11,$EJ9),0,$GT9,$GU9,$GT9+$GU9))</f>
        <v/>
      </c>
      <c r="GX9" s="152">
        <f>IF(OR($EI9=0,$EJ9=0),"",INDEX($AP$2:$AU$31,($EJ9-1)*3+IF($DZ9&gt;=6,3,2),1+MIN(5,$GV9))&amp;INDEX($AV$2:$BA$31,($EJ9-1)*3+IF($DZ9&gt;=6,3,2),1+MIN(5,$GW9))&amp;IF(INDEX($AJ$2:$AJ$11,$EJ9)=1,IF(COUNTIF($EC9:$EF9,"Mais Um")&gt;0," · +"&amp;COUNTIF($EC9:$EF9,"Mais Um")&amp;IF(COUNTIF($EC9:$EF9,"Mais Um")&gt;1," alvos"," alvo"),"")&amp;IF(COUNTIF($EC9:$EF9,"Rajada")&gt;0," · "&amp;($DZ9+1)&amp;" tiros",""),""))</f>
        <v/>
      </c>
      <c r="GY9" s="152">
        <f>IF($EI9=0,"",3*$DZ9&amp;" − "&amp;$FN9&amp;" + "&amp;$FQ9&amp;IF($DX9=1," + "&amp;$DZ9,"")&amp;" = "&amp;$FT9&amp;"d8 · teto "&amp;4*$DZ9&amp;IF($EW9=1," · a Forma devolve "&amp;$DZ9,"")&amp;IF($FR9&gt;0," · perde "&amp;$FR9,""))</f>
        <v/>
      </c>
      <c r="GZ9" s="152">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2">
        <f>IF(OR($EI9=0,$EL9=0),"","−"&amp;INDEX($Q$2:$V$8,$DZ9,$EL9)&amp;" · "&amp;CHOOSE($EL9,"Leve","Média","Pesada","Leve · Livre","Média · Livre","Pesada · Livre"))</f>
        <v/>
      </c>
      <c r="HB9" s="152">
        <f>IF(OR($EI9=0,$EM9=0),"","−"&amp;INDEX($Q$2:$V$8,$DZ9,$EM9)&amp;" · "&amp;CHOOSE($EM9,"Leve","Média","Pesada","Leve · Livre","Média · Livre","Pesada · Livre"))</f>
        <v/>
      </c>
      <c r="HC9" s="152">
        <f>IF(OR($EI9=0,$EN9=0),"","−"&amp;INDEX($Q$2:$V$8,$DZ9,$EN9)&amp;" · "&amp;CHOOSE($EN9,"Leve","Média","Pesada","Leve · Livre","Média · Livre","Pesada · Livre"))</f>
        <v/>
      </c>
      <c r="HD9" s="152">
        <f>IF(OR($EI9=0,$EO9=0),"","−"&amp;INDEX($Q$2:$V$8,$DZ9,$EO9)&amp;" · "&amp;CHOOSE($EO9,"Leve","Média","Pesada","Leve · Livre","Média · Livre","Pesada · Livre"))</f>
        <v/>
      </c>
      <c r="HE9" s="152">
        <f>IF(OR($EI9=0,$EG9=""),"","+"&amp;IF($EZ9=1,CEILING($DZ9/2,1),$DZ9))</f>
        <v/>
      </c>
      <c r="HF9" s="152">
        <f>IF(OR($EI9=0,$EH9=""),"","+"&amp;IF($FA9=1,CEILING($DZ9/2,1),$DZ9))</f>
        <v/>
      </c>
      <c r="HG9" s="152">
        <f>'FICHA AMALDIÇOADA'!$J$95&amp;""</f>
        <v/>
      </c>
      <c r="HH9" s="152">
        <f>IF(AND($EI9=1,$DX9=0),COUNTIFS($EI$2:$EI9,1,$DX$2:$DX9,0),"")</f>
        <v/>
      </c>
      <c r="HJ9" s="150" t="inlineStr">
        <is>
          <t>liberações</t>
        </is>
      </c>
      <c r="HK9" s="152">
        <f>COUNTIF($DD$2:$DD$4,"&lt;="&amp;$HK$2)</f>
        <v/>
      </c>
      <c r="HM9" s="150" t="inlineStr">
        <is>
          <t>Talento 8 · Leque</t>
        </is>
      </c>
      <c r="HN9" s="152">
        <f>'FICHA AMALDIÇOADA'!$P$397&amp;""</f>
        <v/>
      </c>
      <c r="HO9" s="152">
        <f>IFERROR(VLOOKUP($HN9,$BS$2:$BY$24,2,FALSE),0)</f>
        <v/>
      </c>
      <c r="HP9" s="152">
        <f>IFERROR(VLOOKUP($HO9,$CA$2:$CB$4,2,FALSE),0)</f>
        <v/>
      </c>
      <c r="HQ9" s="152">
        <f>IFERROR(VLOOKUP($HN9,$BS$2:$BY$24,3,FALSE),"")</f>
        <v/>
      </c>
      <c r="HR9" s="152">
        <f>IF($HO9=0,"",IF($HP9&gt;$HK$2,"⚠ Nível "&amp;$HP9,"CE "&amp;$HO9))</f>
        <v/>
      </c>
      <c r="HS9" s="152">
        <f>IF($HO9=0,"",IF(3&gt;$HK$8,"⚠ Vaga","Grátis"))</f>
        <v/>
      </c>
      <c r="HT9" s="152">
        <f>'FICHA AMALDIÇOADA'!$Q$402&amp;""</f>
        <v/>
      </c>
      <c r="HU9" s="152">
        <f>IF($HN9="","",COUNTIF($HN$2:$HN9,"?*"))</f>
        <v/>
      </c>
      <c r="HW9" s="150" t="inlineStr">
        <is>
          <t>Aptidão 8</t>
        </is>
      </c>
      <c r="HX9" s="152">
        <f>'FICHA AMALDIÇOADA'!$J$472&amp;""</f>
        <v/>
      </c>
      <c r="HY9" s="152">
        <f>IF($HX9="","","Requisito: "&amp;IFERROR(VLOOKUP($HX9,$CD$2:$CM$33,2,FALSE),""))</f>
        <v/>
      </c>
      <c r="HZ9" s="152">
        <f>IF($HX9="","",IFERROR(IF(ISNUMBER(VLOOKUP($HX9,$CD$2:$CM$33,3,FALSE)),"CE "&amp;VLOOKUP($HX9,$CD$2:$CM$33,3,FALSE),VLOOKUP($HX9,$CD$2:$CM$33,3,FALSE)),""))</f>
        <v/>
      </c>
      <c r="IA9" s="152">
        <f>IF($HX9="","",IFERROR(VLOOKUP($HX9,$CD$2:$CM$33,4,FALSE),""))</f>
        <v/>
      </c>
      <c r="IB9" s="152">
        <f>IF($HX9="","",IFERROR(VLOOKUP($HX9,$CD$2:$CM$33,5,FALSE),""))</f>
        <v/>
      </c>
      <c r="IC9" s="152">
        <f>'FICHA AMALDIÇOADA'!$K$489&amp;""</f>
        <v/>
      </c>
      <c r="ID9" s="152">
        <f>IF($HX9="","",COUNTIF($HX$2:$HX9,"?*"))</f>
        <v/>
      </c>
      <c r="IO9" s="150" t="inlineStr">
        <is>
          <t>Talentos</t>
        </is>
      </c>
      <c r="IP9" s="152">
        <f>ADDRESS(ROW('FICHA AMALDIÇOADA'!M7),COLUMN('FICHA AMALDIÇOADA'!M7),4)</f>
        <v/>
      </c>
      <c r="IQ9" s="152">
        <f>ADDRESS(ROW('FICHA AMALDIÇOADA'!D376),COLUMN('FICHA AMALDIÇOADA'!D376),4)</f>
        <v/>
      </c>
      <c r="IR9" s="150" t="inlineStr">
        <is>
          <t>DADOS_AM!$IO$9</t>
        </is>
      </c>
      <c r="IT9" s="150" t="inlineStr">
        <is>
          <t>Trilha 19</t>
        </is>
      </c>
      <c r="IU9" s="152" t="n">
        <v>19</v>
      </c>
      <c r="IV9" s="152">
        <f>IF($HK$2&gt;=19,"Nível 19","Abre no 19")</f>
        <v/>
      </c>
      <c r="IW9" s="152">
        <f>ADDRESS(ROW(FICHA!G141),COLUMN(FICHA!G141),4)</f>
        <v/>
      </c>
      <c r="IX9" s="152">
        <f>ADDRESS(ROW(FICHA!D142),COLUMN(FICHA!D142),4)</f>
        <v/>
      </c>
      <c r="JF9" s="152" t="n">
        <v>8</v>
      </c>
      <c r="JG9" s="152">
        <f>IFERROR(MATCH(8,$HH$2:$HH$37,0),0)</f>
        <v/>
      </c>
      <c r="JH9" s="152">
        <f>IF($JG9=0,"",INDEX($DZ$2:$DZ$37,$JG9))</f>
        <v/>
      </c>
      <c r="JI9" s="152">
        <f>IF($JG9=0,"",INDEX($EA$2:$EA$37,$JG9))</f>
        <v/>
      </c>
      <c r="JJ9" s="152">
        <f>IF($JG9=0,"",INDEX($GP$2:$GP$37,$JG9))</f>
        <v/>
      </c>
      <c r="JK9" s="152">
        <f>IF($JG9=0,"",INDEX($EB$2:$EB$37,$JG9))</f>
        <v/>
      </c>
      <c r="JL9" s="152">
        <f>IF($JG9=0,"",INDEX($GR$2:$GR$37,$JG9))</f>
        <v/>
      </c>
      <c r="JM9" s="152">
        <f>IF($JG9=0,"",INDEX($HG$2:$HG$37,$JG9))</f>
        <v/>
      </c>
      <c r="KD9" s="150" t="inlineStr">
        <is>
          <t>Talento 6</t>
        </is>
      </c>
      <c r="KE9" s="152">
        <f>IFERROR(MATCH(6,$HU$2:$HU$13,0),0)</f>
        <v/>
      </c>
      <c r="KF9" s="152">
        <f>IF($KE9=0,"",IF(INDEX($HO$2:$HO$13,$KE9)=0,"","CE "&amp;INDEX($HO$2:$HO$13,$KE9)))</f>
        <v/>
      </c>
      <c r="KG9" s="152">
        <f>IF($KE9=0,"",INDEX($HN$2:$HN$13,$KE9))</f>
        <v/>
      </c>
      <c r="KH9" s="152">
        <f>IF($KE9=0,"",IF(INDEX($HT$2:$HT$13,$KE9)&lt;&gt;"",INDEX($HT$2:$HT$13,$KE9),IF(IFERROR(VLOOKUP(INDEX($HN$2:$HN$13,$KE9),$BS$2:$BY$24,7,FALSE),"")&lt;&gt;"","Do livro: "&amp;IFERROR(VLOOKUP(INDEX($HN$2:$HN$13,$KE9),$BS$2:$BY$24,7,FALSE),""),"")))</f>
        <v/>
      </c>
      <c r="KJ9" s="150" t="inlineStr">
        <is>
          <t>Aptidão 6</t>
        </is>
      </c>
      <c r="KK9" s="152">
        <f>IFERROR(MATCH(6,$ID$2:$ID$13,0),0)</f>
        <v/>
      </c>
      <c r="KL9" s="152">
        <f>IF($KK9=0,"",INDEX($HZ$2:$HZ$13,$KK9))</f>
        <v/>
      </c>
      <c r="KM9" s="152">
        <f>IF($KK9=0,"",INDEX($HX$2:$HX$13,$KK9))</f>
        <v/>
      </c>
      <c r="KN9" s="152">
        <f>IF($KK9=0,"",IF(INDEX($IC$2:$IC$13,$KK9)&lt;&gt;"",INDEX($IC$2:$IC$13,$KK9),IF(IFERROR(VLOOKUP(INDEX($HX$2:$HX$13,$KK9),$CD$2:$CM$33,10,FALSE),"")&lt;&gt;"","Do livro: "&amp;IFERROR(VLOOKUP(INDEX($HX$2:$HX$13,$KK9),$CD$2:$CM$33,10,FALSE),""),"")))</f>
        <v/>
      </c>
      <c r="KP9" s="150" t="inlineStr">
        <is>
          <t>tag dom</t>
        </is>
      </c>
      <c r="KQ9" s="152">
        <f>"Dom"</f>
        <v/>
      </c>
      <c r="KS9" s="150" t="inlineStr">
        <is>
          <t>P16</t>
        </is>
      </c>
      <c r="KT9" s="152">
        <f>IF(DADOS_AM!$A$2=2,IF(DADOS_AM!$HK$40="","","Aberta, sem os gates de nível e de refino · conta como uma aptidão a mais"),IF(DADOS_AM!$A$2=3,"Fere maldição: o Corpo Amaldiçoado tem Canalizar Energia",IF(DADOS_AM!$A$2=4,IF(DADOS_AM!$HK$40="","",IF(DADOS_AM!$HK$40="Ferramenta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K10" s="152" t="n">
        <v>0</v>
      </c>
      <c r="BM10" s="150" t="inlineStr">
        <is>
          <t>Fraqueza (Leve)</t>
        </is>
      </c>
      <c r="BN10" s="150" t="inlineStr">
        <is>
          <t>Fraqueza</t>
        </is>
      </c>
      <c r="BO10" s="152" t="n">
        <v>1</v>
      </c>
      <c r="BP10" s="152" t="n">
        <v>0</v>
      </c>
      <c r="BQ10" s="150" t="inlineStr">
        <is>
          <t>Fraqueza (Leve)</t>
        </is>
      </c>
      <c r="BS10" s="150" t="inlineStr">
        <is>
          <t>Segunda Natureza</t>
        </is>
      </c>
      <c r="BT10" s="152" t="n">
        <v>2</v>
      </c>
      <c r="BU10" s="150" t="inlineStr">
        <is>
          <t>Uma vez por dia, você pode conjurar um feitiço conhecido de Classe até metade da sua maior Classe, arredondada para baixo, sem pagar seu custo normal de PE. Declare o uso antes de conjurar.</t>
        </is>
      </c>
      <c r="BV10" s="152" t="n">
        <v>1</v>
      </c>
      <c r="BW10" s="152" t="n">
        <v>0</v>
      </c>
      <c r="BX10" s="152">
        <f>IF(OR(AND($A$2&lt;=2,$BV10=1),AND($A$2&gt;=2,$BW10=1)),$BS10,"")</f>
        <v/>
      </c>
      <c r="BY10" s="150" t="inlineStr">
        <is>
          <t>Uma vez por dia, você pode conjurar um feitiço conhecido de Classe até metade da sua maior Classe, arredondada para baixo, sem pagar seu custo normal de PE. Declare o uso antes de conjurar.</t>
        </is>
      </c>
      <c r="CD10" s="150" t="inlineStr">
        <is>
          <t>Cesta Oca de Vime</t>
        </is>
      </c>
      <c r="CE10" s="150" t="inlineStr">
        <is>
          <t>Ser Encarnado ou treinado em História</t>
        </is>
      </c>
      <c r="CF10" s="152" t="n">
        <v>1</v>
      </c>
      <c r="CG10" s="150" t="inlineStr">
        <is>
          <t>—</t>
        </is>
      </c>
      <c r="CH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2">
        <f>IF($CL10=1,"",IF($A$2=4,IF($CJ10=1,$CD10,""),IF(OR($CJ10=1,AND($A$2=3,$CK10=1)),"",$CD10)))</f>
        <v/>
      </c>
      <c r="CJ10" s="152" t="n">
        <v>0</v>
      </c>
      <c r="CK10" s="152" t="n">
        <v>0</v>
      </c>
      <c r="CL10" s="152" t="n">
        <v>0</v>
      </c>
      <c r="CM10" s="150" t="inlineStr">
        <is>
          <t>Você forma um símbolo com as duas mãos e cria uma barreira em volta de si.</t>
        </is>
      </c>
      <c r="CU10" s="150" t="inlineStr">
        <is>
          <t>Ceifa</t>
        </is>
      </c>
      <c r="CV10" s="152" t="n">
        <v>1</v>
      </c>
      <c r="CW10" s="152" t="n">
        <v>1</v>
      </c>
      <c r="CX10" s="152">
        <f>IF(AND($A$2&gt;=3,'FICHA AMALDIÇOADA'!$J$16&amp;""="Três grupos de arma"),$CU10,"")</f>
        <v/>
      </c>
      <c r="DW10" s="150" t="inlineStr">
        <is>
          <t>Feitiço 9</t>
        </is>
      </c>
      <c r="DX10" s="152" t="n">
        <v>0</v>
      </c>
      <c r="DY10" s="152" t="n">
        <v>9</v>
      </c>
      <c r="DZ10" s="152">
        <f>MAX(1,MIN(7,N('FICHA AMALDIÇOADA'!$P$93)))</f>
        <v/>
      </c>
      <c r="EA10" s="152">
        <f>'FICHA AMALDIÇOADA'!$Q$93&amp;""</f>
        <v/>
      </c>
      <c r="EB10" s="152">
        <f>'FICHA AMALDIÇOADA'!$P$100&amp;""</f>
        <v/>
      </c>
      <c r="EC10" s="152">
        <f>'FICHA AMALDIÇOADA'!$Q$102&amp;""</f>
        <v/>
      </c>
      <c r="ED10" s="152">
        <f>'FICHA AMALDIÇOADA'!$Q$103&amp;""</f>
        <v/>
      </c>
      <c r="EE10" s="152">
        <f>'FICHA AMALDIÇOADA'!$Q$104&amp;""</f>
        <v/>
      </c>
      <c r="EF10" s="152">
        <f>'FICHA AMALDIÇOADA'!$Q$105&amp;""</f>
        <v/>
      </c>
      <c r="EG10" s="152">
        <f>'FICHA AMALDIÇOADA'!$Q$106&amp;""</f>
        <v/>
      </c>
      <c r="EH10" s="152">
        <f>'FICHA AMALDIÇOADA'!$Q$107&amp;""</f>
        <v/>
      </c>
      <c r="EI10" s="152">
        <f>IF($EA10&lt;&gt;"",1,0)</f>
        <v/>
      </c>
      <c r="EJ10" s="152">
        <f>IFERROR(MATCH($EB10,$Y$2:$Y$11,0),0)</f>
        <v/>
      </c>
      <c r="EK10" s="152">
        <f>IF($EJ10=0,0,INDEX($AB$2:$AB$11,$EJ10))</f>
        <v/>
      </c>
      <c r="EL10" s="152">
        <f>IFERROR(VLOOKUP($EC10,$BC$2:$BK$84,4,FALSE),0)</f>
        <v/>
      </c>
      <c r="EM10" s="152">
        <f>IFERROR(VLOOKUP($ED10,$BC$2:$BK$84,4,FALSE),0)</f>
        <v/>
      </c>
      <c r="EN10" s="152">
        <f>IFERROR(VLOOKUP($EE10,$BC$2:$BK$84,4,FALSE),0)</f>
        <v/>
      </c>
      <c r="EO10" s="152">
        <f>IFERROR(VLOOKUP($EF10,$BC$2:$BK$84,4,FALSE),0)</f>
        <v/>
      </c>
      <c r="EP10" s="152">
        <f>IF($EJ10=0,0,INDEX($AC$2:$AC$11,$EJ10))</f>
        <v/>
      </c>
      <c r="EQ10" s="152">
        <f>IFERROR(VLOOKUP($EC10,$BC$2:$BK$84,5,FALSE),0)</f>
        <v/>
      </c>
      <c r="ER10" s="152">
        <f>IFERROR(VLOOKUP($ED10,$BC$2:$BK$84,5,FALSE),0)</f>
        <v/>
      </c>
      <c r="ES10" s="152">
        <f>IFERROR(VLOOKUP($EE10,$BC$2:$BK$84,5,FALSE),0)</f>
        <v/>
      </c>
      <c r="ET10" s="152">
        <f>IFERROR(VLOOKUP($EF10,$BC$2:$BK$84,5,FALSE),0)</f>
        <v/>
      </c>
      <c r="EU10" s="152">
        <f>IFERROR(VLOOKUP($EC10,$BC$2:$BK$84,6,FALSE),0)+IFERROR(VLOOKUP($ED10,$BC$2:$BK$84,6,FALSE),0)+IFERROR(VLOOKUP($EE10,$BC$2:$BK$84,6,FALSE),0)+IFERROR(VLOOKUP($EF10,$BC$2:$BK$84,6,FALSE),0)</f>
        <v/>
      </c>
      <c r="EV10" s="152">
        <f>IFERROR(VLOOKUP($EC10,$BC$2:$BK$84,9,FALSE),0)+IFERROR(VLOOKUP($ED10,$BC$2:$BK$84,9,FALSE),0)+IFERROR(VLOOKUP($EE10,$BC$2:$BK$84,9,FALSE),0)+IFERROR(VLOOKUP($EF10,$BC$2:$BK$84,9,FALSE),0)</f>
        <v/>
      </c>
      <c r="EW10" s="152">
        <f>IF($EJ10=0,0,INDEX($AD$2:$AD$11,$EJ10))</f>
        <v/>
      </c>
      <c r="EX10" s="152">
        <f>IF($EJ10=0,0,INDEX($AE$2:$AE$11,$EJ10))</f>
        <v/>
      </c>
      <c r="EY10" s="152">
        <f>IF($EJ10=0,0,INDEX($AG$2:$AG$11,$EJ10))</f>
        <v/>
      </c>
      <c r="EZ10" s="152">
        <f>IFERROR(VLOOKUP($EG10,$BM$2:$BQ$24,3,FALSE),0)</f>
        <v/>
      </c>
      <c r="FA10" s="152">
        <f>IFERROR(VLOOKUP($EH10,$BM$2:$BQ$24,3,FALSE),0)</f>
        <v/>
      </c>
      <c r="FB10" s="152">
        <f>IFERROR(VLOOKUP($EG10,$BM$2:$BQ$24,2,FALSE),"")</f>
        <v/>
      </c>
      <c r="FC10" s="152">
        <f>IFERROR(VLOOKUP($EH10,$BM$2:$BQ$24,2,FALSE),"")</f>
        <v/>
      </c>
      <c r="FD10" s="152">
        <f>COUNTIF($EK10:$EO10,1)</f>
        <v/>
      </c>
      <c r="FE10" s="152">
        <f>COUNTIF($EK10:$EO10,2)</f>
        <v/>
      </c>
      <c r="FF10" s="152">
        <f>COUNTIF($EK10:$EO10,3)</f>
        <v/>
      </c>
      <c r="FG10" s="152">
        <f>COUNTIF($EK10:$EO10,4)</f>
        <v/>
      </c>
      <c r="FH10" s="152">
        <f>COUNTIF($EK10:$EO10,5)</f>
        <v/>
      </c>
      <c r="FI10" s="152">
        <f>COUNTIF($EK10:$EO10,6)</f>
        <v/>
      </c>
      <c r="FJ10" s="152">
        <f>COUNTIF($EZ10:$FA10,1)</f>
        <v/>
      </c>
      <c r="FK10" s="152">
        <f>COUNTIF($EZ10:$FA10,2)+$EW10</f>
        <v/>
      </c>
      <c r="FL10" s="152">
        <f>COUNTIF($EC10:$EF10,"?*")</f>
        <v/>
      </c>
      <c r="FM10" s="152">
        <f>COUNTIF($EG10:$EH10,"?*")+$EW10</f>
        <v/>
      </c>
      <c r="FN10" s="152">
        <f>SUMPRODUCT($FD10:$FI10,INDEX($Q$2:$V$8,$DZ10,0))</f>
        <v/>
      </c>
      <c r="FO10" s="152">
        <f>$FJ10*CEILING($DZ10/2,1)+$FK10*$DZ10</f>
        <v/>
      </c>
      <c r="FP10" s="152">
        <f>MIN(2*$DZ10,$FO10)</f>
        <v/>
      </c>
      <c r="FQ10" s="152">
        <f>MIN($FP10,$FN10)</f>
        <v/>
      </c>
      <c r="FR10" s="152">
        <f>$FP10-$FQ10</f>
        <v/>
      </c>
      <c r="FS10" s="152">
        <f>3*$DZ10-$FN10+$FQ10</f>
        <v/>
      </c>
      <c r="FT10" s="152">
        <f>MAX(0,$FS10)+$DX10*$DZ10</f>
        <v/>
      </c>
      <c r="FU10" s="152">
        <f>(IF(COUNTIF($EC10:$EF10,"Salto")&gt;0,1,0)+IF(COUNTIF($EC10:$EF10,"Queima")&gt;0,1,0)+IF(COUNTIF($EC10:$EF10,"Estilhaço")&gt;0,1,0))*FLOOR($FT10/2,1)</f>
        <v/>
      </c>
      <c r="FV10" s="152">
        <f>MAX(0,3-SUMPRODUCT($FD10:$FI10,$Q$2:$V$2)+MIN(2,$FJ10*1+$FK10*1,SUMPRODUCT($FD10:$FI10,$Q$2:$V$2)))+$DX10*1</f>
        <v/>
      </c>
      <c r="FW10" s="152">
        <f>MAX(0,6-SUMPRODUCT($FD10:$FI10,$Q$3:$V$3)+MIN(4,$FJ10*1+$FK10*2,SUMPRODUCT($FD10:$FI10,$Q$3:$V$3)))+$DX10*2</f>
        <v/>
      </c>
      <c r="FX10" s="152">
        <f>MAX(0,9-SUMPRODUCT($FD10:$FI10,$Q$4:$V$4)+MIN(6,$FJ10*2+$FK10*3,SUMPRODUCT($FD10:$FI10,$Q$4:$V$4)))+$DX10*3</f>
        <v/>
      </c>
      <c r="FY10" s="152">
        <f>MAX(0,12-SUMPRODUCT($FD10:$FI10,$Q$5:$V$5)+MIN(8,$FJ10*2+$FK10*4,SUMPRODUCT($FD10:$FI10,$Q$5:$V$5)))+$DX10*4</f>
        <v/>
      </c>
      <c r="FZ10" s="152">
        <f>MAX(0,15-SUMPRODUCT($FD10:$FI10,$Q$6:$V$6)+MIN(10,$FJ10*3+$FK10*5,SUMPRODUCT($FD10:$FI10,$Q$6:$V$6)))+$DX10*5</f>
        <v/>
      </c>
      <c r="GA10" s="152">
        <f>MAX(0,18-SUMPRODUCT($FD10:$FI10,$Q$7:$V$7)+MIN(12,$FJ10*3+$FK10*6,SUMPRODUCT($FD10:$FI10,$Q$7:$V$7)))+$DX10*6</f>
        <v/>
      </c>
      <c r="GB10" s="152">
        <f>MAX(0,21-SUMPRODUCT($FD10:$FI10,$Q$8:$V$8)+MIN(14,$FJ10*4+$FK10*7,SUMPRODUCT($FD10:$FI10,$Q$8:$V$8)))+$DX10*7</f>
        <v/>
      </c>
      <c r="GC10" s="152">
        <f>IF($EX10=2,3*$FV10&amp;" de vida temp.",IF($EX10=3,"sem dano",IF($FV10=0,IF($EX10=1,"sem cura","sem dano"),IF($EX10=1,"cura ","")&amp;$FV10&amp;"d8")))</f>
        <v/>
      </c>
      <c r="GD10" s="152">
        <f>IF($EX10=2,3*$FW10&amp;" de vida temp.",IF($EX10=3,"sem dano",IF($FW10=0,IF($EX10=1,"sem cura","sem dano"),IF($EX10=1,"cura ","")&amp;$FW10&amp;"d8")))</f>
        <v/>
      </c>
      <c r="GE10" s="152">
        <f>IF($EX10=2,3*$FX10&amp;" de vida temp.",IF($EX10=3,"sem dano",IF($FX10=0,IF($EX10=1,"sem cura","sem dano"),IF($EX10=1,"cura ","")&amp;$FX10&amp;"d8")))</f>
        <v/>
      </c>
      <c r="GF10" s="152">
        <f>IF($EX10=2,3*$FY10&amp;" de vida temp.",IF($EX10=3,"sem dano",IF($FY10=0,IF($EX10=1,"sem cura","sem dano"),IF($EX10=1,"cura ","")&amp;$FY10&amp;"d8")))</f>
        <v/>
      </c>
      <c r="GG10" s="152">
        <f>IF($EX10=2,3*$FZ10&amp;" de vida temp.",IF($EX10=3,"sem dano",IF($FZ10=0,IF($EX10=1,"sem cura","sem dano"),IF($EX10=1,"cura ","")&amp;$FZ10&amp;"d8")))</f>
        <v/>
      </c>
      <c r="GH10" s="152">
        <f>IF($EX10=2,3*$GA10&amp;" de vida temp.",IF($EX10=3,"sem dano",IF($GA10=0,IF($EX10=1,"sem cura","sem dano"),IF($EX10=1,"cura ","")&amp;$GA10&amp;"d8")))</f>
        <v/>
      </c>
      <c r="GI10" s="152">
        <f>IF($EX10=2,3*$GB10&amp;" de vida temp.",IF($EX10=3,"sem dano",IF($GB10=0,IF($EX10=1,"sem cura","sem dano"),IF($EX10=1,"cura ","")&amp;$GB10&amp;"d8")))</f>
        <v/>
      </c>
      <c r="GJ10" s="152">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2">
        <f>IF($GJ10="",0,(LEN($GJ10)-LEN(SUBSTITUTE($GJ10," · ","")))/3+1)</f>
        <v/>
      </c>
      <c r="GL10" s="152">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2">
        <f>IF($GL10="",0,(LEN($GL10)-LEN(SUBSTITUTE($GL10," · ","")))/3+1)</f>
        <v/>
      </c>
      <c r="GN10" s="152">
        <f>IF($EI10=0,IF($FL10+$FM10-$EW10&gt;0,"Dê um nome",""),IF($GK10&gt;0,"⚠ "&amp;$GK10&amp;IF($GK10&gt;1," erros"," erro"),IF($GM10&gt;0,"! "&amp;$GM10&amp;IF($GM10&gt;1," avisos"," aviso"),"Na regra")))</f>
        <v/>
      </c>
      <c r="GO10" s="152">
        <f>IF($EI10=0,"",IF($GK10+$GM10=0,"Dentro das regras que a ficha confere",$GJ10&amp;IF(AND($GK10&gt;0,$GM10&gt;0)," · ","")&amp;$GL10))</f>
        <v/>
      </c>
      <c r="GP10" s="152">
        <f>IF($EI10=0,"",IF($DX10=1,CEILING(4.5*$DZ10,1),3*$DZ10)&amp;" PE")</f>
        <v/>
      </c>
      <c r="GQ10" s="152">
        <f>IF($EI10=0,"",IF($DX10=1,"Rodada inteira",IF(COUNTIF($FB10:$FC10,"Atrasar")&gt;0,IF(COUNTIF($FB10:$FC10,"Carregar")&gt;0,"Rodada +1 turno","Rodada inteira"),IF(COUNTIF($EC10:$EF10,"Rápido")&gt;0,"Bônus",IF(COUNTIF($EC10:$EF10,"Reação")&gt;0,"Reação","Padrão"))&amp;IF(COUNTIF($FB10:$FC10,"Carregar")&gt;0," +1 turno",""))))</f>
        <v/>
      </c>
      <c r="GR10" s="152">
        <f>IF(OR($EI10=0,$EJ10=0),"",IF(COUNTIF($EC10:$EF10,"Inescapável")&gt;0,"Automático",IF(COUNTIF($EC10:$EF10,"Certeiro")&gt;0,"TR para metade",IF(AND($EV10&gt;0,$EY10=0,INDEX($AF$2:$AF$11,$EJ10)="Acerto"),"Acerto + TR",INDEX($AF$2:$AF$11,$EJ10)))))</f>
        <v/>
      </c>
      <c r="GS10" s="152">
        <f>IF(OR($EI10=0,$EJ10=0),"",IF(OR($EX10&gt;=2,$FT10=0),UPPER(LEFT(INDEX($GC10:$GI10,1,$DZ10),1))&amp;MID(INDEX($GC10:$GI10,1,$DZ10),2,99),UPPER(LEFT(INDEX($GC10:$GI10,1,$DZ10),1))&amp;MID(INDEX($GC10:$GI10,1,$DZ10),2,99)&amp;" = "&amp;FLOOR($FT10*4.5,1)&amp;IF($FU10&gt;0," · +"&amp;$FU10&amp;"d8","")))</f>
        <v/>
      </c>
      <c r="GT10" s="152">
        <f>COUNTIF($EC10:$EF10,"Longe")+3*COUNTIF($EC10:$EF10,"Muito Longe")</f>
        <v/>
      </c>
      <c r="GU10" s="152">
        <f>COUNTIF($EC10:$EF10,"Maior")+3*COUNTIF($EC10:$EF10,"Muito Maior")</f>
        <v/>
      </c>
      <c r="GV10" s="152">
        <f>IF($EJ10=0,0,CHOOSE(1+INDEX($AH$2:$AH$11,$EJ10),0,$GT10,$GU10,$GT10+$GU10))</f>
        <v/>
      </c>
      <c r="GW10" s="152">
        <f>IF($EJ10=0,0,CHOOSE(1+INDEX($AI$2:$AI$11,$EJ10),0,$GT10,$GU10,$GT10+$GU10))</f>
        <v/>
      </c>
      <c r="GX10" s="152">
        <f>IF(OR($EI10=0,$EJ10=0),"",INDEX($AP$2:$AU$31,($EJ10-1)*3+IF($DZ10&gt;=6,3,2),1+MIN(5,$GV10))&amp;INDEX($AV$2:$BA$31,($EJ10-1)*3+IF($DZ10&gt;=6,3,2),1+MIN(5,$GW10))&amp;IF(INDEX($AJ$2:$AJ$11,$EJ10)=1,IF(COUNTIF($EC10:$EF10,"Mais Um")&gt;0," · +"&amp;COUNTIF($EC10:$EF10,"Mais Um")&amp;IF(COUNTIF($EC10:$EF10,"Mais Um")&gt;1," alvos"," alvo"),"")&amp;IF(COUNTIF($EC10:$EF10,"Rajada")&gt;0," · "&amp;($DZ10+1)&amp;" tiros",""),""))</f>
        <v/>
      </c>
      <c r="GY10" s="152">
        <f>IF($EI10=0,"",3*$DZ10&amp;" − "&amp;$FN10&amp;" + "&amp;$FQ10&amp;IF($DX10=1," + "&amp;$DZ10,"")&amp;" = "&amp;$FT10&amp;"d8 · teto "&amp;4*$DZ10&amp;IF($EW10=1," · a Forma devolve "&amp;$DZ10,"")&amp;IF($FR10&gt;0," · perde "&amp;$FR10,""))</f>
        <v/>
      </c>
      <c r="GZ10" s="152">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2">
        <f>IF(OR($EI10=0,$EL10=0),"","−"&amp;INDEX($Q$2:$V$8,$DZ10,$EL10)&amp;" · "&amp;CHOOSE($EL10,"Leve","Média","Pesada","Leve · Livre","Média · Livre","Pesada · Livre"))</f>
        <v/>
      </c>
      <c r="HB10" s="152">
        <f>IF(OR($EI10=0,$EM10=0),"","−"&amp;INDEX($Q$2:$V$8,$DZ10,$EM10)&amp;" · "&amp;CHOOSE($EM10,"Leve","Média","Pesada","Leve · Livre","Média · Livre","Pesada · Livre"))</f>
        <v/>
      </c>
      <c r="HC10" s="152">
        <f>IF(OR($EI10=0,$EN10=0),"","−"&amp;INDEX($Q$2:$V$8,$DZ10,$EN10)&amp;" · "&amp;CHOOSE($EN10,"Leve","Média","Pesada","Leve · Livre","Média · Livre","Pesada · Livre"))</f>
        <v/>
      </c>
      <c r="HD10" s="152">
        <f>IF(OR($EI10=0,$EO10=0),"","−"&amp;INDEX($Q$2:$V$8,$DZ10,$EO10)&amp;" · "&amp;CHOOSE($EO10,"Leve","Média","Pesada","Leve · Livre","Média · Livre","Pesada · Livre"))</f>
        <v/>
      </c>
      <c r="HE10" s="152">
        <f>IF(OR($EI10=0,$EG10=""),"","+"&amp;IF($EZ10=1,CEILING($DZ10/2,1),$DZ10))</f>
        <v/>
      </c>
      <c r="HF10" s="152">
        <f>IF(OR($EI10=0,$EH10=""),"","+"&amp;IF($FA10=1,CEILING($DZ10/2,1),$DZ10))</f>
        <v/>
      </c>
      <c r="HG10" s="152">
        <f>'FICHA AMALDIÇOADA'!$P$95&amp;""</f>
        <v/>
      </c>
      <c r="HH10" s="152">
        <f>IF(AND($EI10=1,$DX10=0),COUNTIFS($EI$2:$EI10,1,$DX$2:$DX10,0),"")</f>
        <v/>
      </c>
      <c r="HJ10" s="150" t="inlineStr">
        <is>
          <t>classe 0 quantos</t>
        </is>
      </c>
      <c r="HK10" s="152">
        <f>IFERROR(INDEX($DA$2:$DA$6,MATCH($HK$2,$CZ$2:$CZ$6,1)),0)</f>
        <v/>
      </c>
      <c r="HM10" s="150" t="inlineStr">
        <is>
          <t>Talento 9 · Leque</t>
        </is>
      </c>
      <c r="HN10" s="152">
        <f>'FICHA AMALDIÇOADA'!$D$405&amp;""</f>
        <v/>
      </c>
      <c r="HO10" s="152">
        <f>IFERROR(VLOOKUP($HN10,$BS$2:$BY$24,2,FALSE),0)</f>
        <v/>
      </c>
      <c r="HP10" s="152">
        <f>IFERROR(VLOOKUP($HO10,$CA$2:$CB$4,2,FALSE),0)</f>
        <v/>
      </c>
      <c r="HQ10" s="152">
        <f>IFERROR(VLOOKUP($HN10,$BS$2:$BY$24,3,FALSE),"")</f>
        <v/>
      </c>
      <c r="HR10" s="152">
        <f>IF($HO10=0,"",IF($HP10&gt;$HK$2,"⚠ Nível "&amp;$HP10,"CE "&amp;$HO10))</f>
        <v/>
      </c>
      <c r="HS10" s="152">
        <f>IF($HO10=0,"",IF(4&gt;$HK$8,"⚠ Vaga","Grátis"))</f>
        <v/>
      </c>
      <c r="HT10" s="152">
        <f>'FICHA AMALDIÇOADA'!$E$410&amp;""</f>
        <v/>
      </c>
      <c r="HU10" s="152">
        <f>IF($HN10="","",COUNTIF($HN$2:$HN10,"?*"))</f>
        <v/>
      </c>
      <c r="HW10" s="150" t="inlineStr">
        <is>
          <t>Aptidão 9</t>
        </is>
      </c>
      <c r="HX10" s="152">
        <f>'FICHA AMALDIÇOADA'!$P$472&amp;""</f>
        <v/>
      </c>
      <c r="HY10" s="152">
        <f>IF($HX10="","","Requisito: "&amp;IFERROR(VLOOKUP($HX10,$CD$2:$CM$33,2,FALSE),""))</f>
        <v/>
      </c>
      <c r="HZ10" s="152">
        <f>IF($HX10="","",IFERROR(IF(ISNUMBER(VLOOKUP($HX10,$CD$2:$CM$33,3,FALSE)),"CE "&amp;VLOOKUP($HX10,$CD$2:$CM$33,3,FALSE),VLOOKUP($HX10,$CD$2:$CM$33,3,FALSE)),""))</f>
        <v/>
      </c>
      <c r="IA10" s="152">
        <f>IF($HX10="","",IFERROR(VLOOKUP($HX10,$CD$2:$CM$33,4,FALSE),""))</f>
        <v/>
      </c>
      <c r="IB10" s="152">
        <f>IF($HX10="","",IFERROR(VLOOKUP($HX10,$CD$2:$CM$33,5,FALSE),""))</f>
        <v/>
      </c>
      <c r="IC10" s="152">
        <f>'FICHA AMALDIÇOADA'!$Q$489&amp;""</f>
        <v/>
      </c>
      <c r="ID10" s="152">
        <f>IF($HX10="","",COUNTIF($HX$2:$HX10,"?*"))</f>
        <v/>
      </c>
      <c r="IO10" s="152">
        <f>INDEX($D$6:$G$6,1,$A$2)</f>
        <v/>
      </c>
      <c r="IP10" s="152">
        <f>ADDRESS(ROW('FICHA AMALDIÇOADA'!P7),COLUMN('FICHA AMALDIÇOADA'!P7),4)</f>
        <v/>
      </c>
      <c r="IQ10" s="152">
        <f>ADDRESS(ROW('FICHA AMALDIÇOADA'!D421),COLUMN('FICHA AMALDIÇOADA'!D421),4)</f>
        <v/>
      </c>
      <c r="IR10" s="150" t="inlineStr">
        <is>
          <t>DADOS_AM!$IO$10</t>
        </is>
      </c>
      <c r="IT10" s="150" t="inlineStr">
        <is>
          <t>Trilha 27</t>
        </is>
      </c>
      <c r="IU10" s="152" t="n">
        <v>27</v>
      </c>
      <c r="IV10" s="152">
        <f>IF($HK$2&gt;=27,"Nível 27","Abre no 27")</f>
        <v/>
      </c>
      <c r="IW10" s="152">
        <f>ADDRESS(ROW(FICHA!G147),COLUMN(FICHA!G147),4)</f>
        <v/>
      </c>
      <c r="IX10" s="152">
        <f>ADDRESS(ROW(FICHA!D148),COLUMN(FICHA!D148),4)</f>
        <v/>
      </c>
      <c r="JF10" s="152" t="n">
        <v>9</v>
      </c>
      <c r="JG10" s="152">
        <f>IFERROR(MATCH(9,$HH$2:$HH$37,0),0)</f>
        <v/>
      </c>
      <c r="JH10" s="152">
        <f>IF($JG10=0,"",INDEX($DZ$2:$DZ$37,$JG10))</f>
        <v/>
      </c>
      <c r="JI10" s="152">
        <f>IF($JG10=0,"",INDEX($EA$2:$EA$37,$JG10))</f>
        <v/>
      </c>
      <c r="JJ10" s="152">
        <f>IF($JG10=0,"",INDEX($GP$2:$GP$37,$JG10))</f>
        <v/>
      </c>
      <c r="JK10" s="152">
        <f>IF($JG10=0,"",INDEX($EB$2:$EB$37,$JG10))</f>
        <v/>
      </c>
      <c r="JL10" s="152">
        <f>IF($JG10=0,"",INDEX($GR$2:$GR$37,$JG10))</f>
        <v/>
      </c>
      <c r="JM10" s="152">
        <f>IF($JG10=0,"",INDEX($HG$2:$HG$37,$JG10))</f>
        <v/>
      </c>
      <c r="KD10" s="150" t="inlineStr">
        <is>
          <t>Talento 7</t>
        </is>
      </c>
      <c r="KE10" s="152">
        <f>IFERROR(MATCH(7,$HU$2:$HU$13,0),0)</f>
        <v/>
      </c>
      <c r="KF10" s="152">
        <f>IF($KE10=0,"",IF(INDEX($HO$2:$HO$13,$KE10)=0,"","CE "&amp;INDEX($HO$2:$HO$13,$KE10)))</f>
        <v/>
      </c>
      <c r="KG10" s="152">
        <f>IF($KE10=0,"",INDEX($HN$2:$HN$13,$KE10))</f>
        <v/>
      </c>
      <c r="KH10" s="152">
        <f>IF($KE10=0,"",IF(INDEX($HT$2:$HT$13,$KE10)&lt;&gt;"",INDEX($HT$2:$HT$13,$KE10),IF(IFERROR(VLOOKUP(INDEX($HN$2:$HN$13,$KE10),$BS$2:$BY$24,7,FALSE),"")&lt;&gt;"","Do livro: "&amp;IFERROR(VLOOKUP(INDEX($HN$2:$HN$13,$KE10),$BS$2:$BY$24,7,FALSE),""),"")))</f>
        <v/>
      </c>
      <c r="KJ10" s="150" t="inlineStr">
        <is>
          <t>Aptidão 7</t>
        </is>
      </c>
      <c r="KK10" s="152">
        <f>IFERROR(MATCH(7,$ID$2:$ID$13,0),0)</f>
        <v/>
      </c>
      <c r="KL10" s="152">
        <f>IF($KK10=0,"",INDEX($HZ$2:$HZ$13,$KK10))</f>
        <v/>
      </c>
      <c r="KM10" s="152">
        <f>IF($KK10=0,"",INDEX($HX$2:$HX$13,$KK10))</f>
        <v/>
      </c>
      <c r="KN10" s="152">
        <f>IF($KK10=0,"",IF(INDEX($IC$2:$IC$13,$KK10)&lt;&gt;"",INDEX($IC$2:$IC$13,$KK10),IF(IFERROR(VLOOKUP(INDEX($HX$2:$HX$13,$KK10),$CD$2:$CM$33,10,FALSE),"")&lt;&gt;"","Do livro: "&amp;IFERROR(VLOOKUP(INDEX($HX$2:$HX$13,$KK10),$CD$2:$CM$33,10,FALSE),""),"")))</f>
        <v/>
      </c>
      <c r="KP10" s="150" t="inlineStr">
        <is>
          <t>par 2</t>
        </is>
      </c>
      <c r="KQ10" s="152">
        <f>UPPER(INDEX($D$3:$G$3,1,$A$2))&amp;" 7 A 12"</f>
        <v/>
      </c>
      <c r="KS10" s="150" t="inlineStr">
        <is>
          <t>D17</t>
        </is>
      </c>
      <c r="KT10" s="152">
        <f>IF(DADOS_AM!$HK$41=1,"GRUPO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K11" s="152" t="n">
        <v>0</v>
      </c>
      <c r="BM11" s="150" t="inlineStr">
        <is>
          <t>Fraqueza (Média)</t>
        </is>
      </c>
      <c r="BN11" s="150" t="inlineStr">
        <is>
          <t>Fraqueza</t>
        </is>
      </c>
      <c r="BO11" s="152" t="n">
        <v>2</v>
      </c>
      <c r="BP11" s="152" t="n">
        <v>0</v>
      </c>
      <c r="BQ11" s="150" t="inlineStr"/>
      <c r="BS11" s="150" t="inlineStr">
        <is>
          <t>Eco</t>
        </is>
      </c>
      <c r="BT11" s="152" t="n">
        <v>2</v>
      </c>
      <c r="BU11" s="150" t="inlineStr">
        <is>
          <t>Quando um feitiço seu reduzir um inimigo a 0 pontos de vida, o próximo feitiço que você conjurar nesta cena custa metade do seu PE normal, arredondada para cima. Derrubado, a condição, não ativa Eco.</t>
        </is>
      </c>
      <c r="BV11" s="152" t="n">
        <v>1</v>
      </c>
      <c r="BW11" s="152" t="n">
        <v>0</v>
      </c>
      <c r="BX11" s="152">
        <f>IF(OR(AND($A$2&lt;=2,$BV11=1),AND($A$2&gt;=2,$BW11=1)),$BS11,"")</f>
        <v/>
      </c>
      <c r="BY11" s="150" t="inlineStr">
        <is>
          <t>Quando um feitiço seu reduzir um inimigo a 0 pontos de vida, o próximo feitiço que você conjurar nesta cena custa metade do seu PE normal, arredondada para cima. Derrubado, a condição, não ativa Eco.</t>
        </is>
      </c>
      <c r="CD11" s="150" t="inlineStr">
        <is>
          <t>Domínio Simples</t>
        </is>
      </c>
      <c r="CE11" s="150" t="inlineStr">
        <is>
          <t>Refino 5, ou 4 com o voto do iniciante; aprendizado registrado</t>
        </is>
      </c>
      <c r="CF11" s="152" t="n">
        <v>2</v>
      </c>
      <c r="CG11" s="150" t="inlineStr">
        <is>
          <t>Raio</t>
        </is>
      </c>
      <c r="CH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2">
        <f>IF($CL11=1,"",IF($A$2=4,IF($CJ11=1,$CD11,""),IF(OR($CJ11=1,AND($A$2=3,$CK11=1)),"",$CD11)))</f>
        <v/>
      </c>
      <c r="CJ11" s="152" t="n">
        <v>0</v>
      </c>
      <c r="CK11" s="152" t="n">
        <v>0</v>
      </c>
      <c r="CL11" s="152" t="n">
        <v>0</v>
      </c>
      <c r="CM11" s="150" t="inlineStr">
        <is>
          <t>Você precisa ter visto um Domínio Simples sendo usado ou ter aprendido com alguém.</t>
        </is>
      </c>
      <c r="CU11" s="150" t="inlineStr">
        <is>
          <t>Massa</t>
        </is>
      </c>
      <c r="CV11" s="152" t="n">
        <v>1</v>
      </c>
      <c r="CW11" s="152" t="n">
        <v>0</v>
      </c>
      <c r="CX11" s="152">
        <f>IF(AND($A$2&gt;=3,'FICHA AMALDIÇOADA'!$J$16&amp;""="Três grupos de arma"),$CU11,"")</f>
        <v/>
      </c>
      <c r="DW11" s="150" t="inlineStr">
        <is>
          <t>Feitiço 10</t>
        </is>
      </c>
      <c r="DX11" s="152" t="n">
        <v>0</v>
      </c>
      <c r="DY11" s="152" t="n">
        <v>10</v>
      </c>
      <c r="DZ11" s="152">
        <f>MAX(1,MIN(7,N('FICHA AMALDIÇOADA'!$D$114)))</f>
        <v/>
      </c>
      <c r="EA11" s="152">
        <f>'FICHA AMALDIÇOADA'!$E$114&amp;""</f>
        <v/>
      </c>
      <c r="EB11" s="152">
        <f>'FICHA AMALDIÇOADA'!$D$121&amp;""</f>
        <v/>
      </c>
      <c r="EC11" s="152">
        <f>'FICHA AMALDIÇOADA'!$E$123&amp;""</f>
        <v/>
      </c>
      <c r="ED11" s="152">
        <f>'FICHA AMALDIÇOADA'!$E$124&amp;""</f>
        <v/>
      </c>
      <c r="EE11" s="152">
        <f>'FICHA AMALDIÇOADA'!$E$125&amp;""</f>
        <v/>
      </c>
      <c r="EF11" s="152">
        <f>'FICHA AMALDIÇOADA'!$E$126&amp;""</f>
        <v/>
      </c>
      <c r="EG11" s="152">
        <f>'FICHA AMALDIÇOADA'!$E$127&amp;""</f>
        <v/>
      </c>
      <c r="EH11" s="152">
        <f>'FICHA AMALDIÇOADA'!$E$128&amp;""</f>
        <v/>
      </c>
      <c r="EI11" s="152">
        <f>IF($EA11&lt;&gt;"",1,0)</f>
        <v/>
      </c>
      <c r="EJ11" s="152">
        <f>IFERROR(MATCH($EB11,$Y$2:$Y$11,0),0)</f>
        <v/>
      </c>
      <c r="EK11" s="152">
        <f>IF($EJ11=0,0,INDEX($AB$2:$AB$11,$EJ11))</f>
        <v/>
      </c>
      <c r="EL11" s="152">
        <f>IFERROR(VLOOKUP($EC11,$BC$2:$BK$84,4,FALSE),0)</f>
        <v/>
      </c>
      <c r="EM11" s="152">
        <f>IFERROR(VLOOKUP($ED11,$BC$2:$BK$84,4,FALSE),0)</f>
        <v/>
      </c>
      <c r="EN11" s="152">
        <f>IFERROR(VLOOKUP($EE11,$BC$2:$BK$84,4,FALSE),0)</f>
        <v/>
      </c>
      <c r="EO11" s="152">
        <f>IFERROR(VLOOKUP($EF11,$BC$2:$BK$84,4,FALSE),0)</f>
        <v/>
      </c>
      <c r="EP11" s="152">
        <f>IF($EJ11=0,0,INDEX($AC$2:$AC$11,$EJ11))</f>
        <v/>
      </c>
      <c r="EQ11" s="152">
        <f>IFERROR(VLOOKUP($EC11,$BC$2:$BK$84,5,FALSE),0)</f>
        <v/>
      </c>
      <c r="ER11" s="152">
        <f>IFERROR(VLOOKUP($ED11,$BC$2:$BK$84,5,FALSE),0)</f>
        <v/>
      </c>
      <c r="ES11" s="152">
        <f>IFERROR(VLOOKUP($EE11,$BC$2:$BK$84,5,FALSE),0)</f>
        <v/>
      </c>
      <c r="ET11" s="152">
        <f>IFERROR(VLOOKUP($EF11,$BC$2:$BK$84,5,FALSE),0)</f>
        <v/>
      </c>
      <c r="EU11" s="152">
        <f>IFERROR(VLOOKUP($EC11,$BC$2:$BK$84,6,FALSE),0)+IFERROR(VLOOKUP($ED11,$BC$2:$BK$84,6,FALSE),0)+IFERROR(VLOOKUP($EE11,$BC$2:$BK$84,6,FALSE),0)+IFERROR(VLOOKUP($EF11,$BC$2:$BK$84,6,FALSE),0)</f>
        <v/>
      </c>
      <c r="EV11" s="152">
        <f>IFERROR(VLOOKUP($EC11,$BC$2:$BK$84,9,FALSE),0)+IFERROR(VLOOKUP($ED11,$BC$2:$BK$84,9,FALSE),0)+IFERROR(VLOOKUP($EE11,$BC$2:$BK$84,9,FALSE),0)+IFERROR(VLOOKUP($EF11,$BC$2:$BK$84,9,FALSE),0)</f>
        <v/>
      </c>
      <c r="EW11" s="152">
        <f>IF($EJ11=0,0,INDEX($AD$2:$AD$11,$EJ11))</f>
        <v/>
      </c>
      <c r="EX11" s="152">
        <f>IF($EJ11=0,0,INDEX($AE$2:$AE$11,$EJ11))</f>
        <v/>
      </c>
      <c r="EY11" s="152">
        <f>IF($EJ11=0,0,INDEX($AG$2:$AG$11,$EJ11))</f>
        <v/>
      </c>
      <c r="EZ11" s="152">
        <f>IFERROR(VLOOKUP($EG11,$BM$2:$BQ$24,3,FALSE),0)</f>
        <v/>
      </c>
      <c r="FA11" s="152">
        <f>IFERROR(VLOOKUP($EH11,$BM$2:$BQ$24,3,FALSE),0)</f>
        <v/>
      </c>
      <c r="FB11" s="152">
        <f>IFERROR(VLOOKUP($EG11,$BM$2:$BQ$24,2,FALSE),"")</f>
        <v/>
      </c>
      <c r="FC11" s="152">
        <f>IFERROR(VLOOKUP($EH11,$BM$2:$BQ$24,2,FALSE),"")</f>
        <v/>
      </c>
      <c r="FD11" s="152">
        <f>COUNTIF($EK11:$EO11,1)</f>
        <v/>
      </c>
      <c r="FE11" s="152">
        <f>COUNTIF($EK11:$EO11,2)</f>
        <v/>
      </c>
      <c r="FF11" s="152">
        <f>COUNTIF($EK11:$EO11,3)</f>
        <v/>
      </c>
      <c r="FG11" s="152">
        <f>COUNTIF($EK11:$EO11,4)</f>
        <v/>
      </c>
      <c r="FH11" s="152">
        <f>COUNTIF($EK11:$EO11,5)</f>
        <v/>
      </c>
      <c r="FI11" s="152">
        <f>COUNTIF($EK11:$EO11,6)</f>
        <v/>
      </c>
      <c r="FJ11" s="152">
        <f>COUNTIF($EZ11:$FA11,1)</f>
        <v/>
      </c>
      <c r="FK11" s="152">
        <f>COUNTIF($EZ11:$FA11,2)+$EW11</f>
        <v/>
      </c>
      <c r="FL11" s="152">
        <f>COUNTIF($EC11:$EF11,"?*")</f>
        <v/>
      </c>
      <c r="FM11" s="152">
        <f>COUNTIF($EG11:$EH11,"?*")+$EW11</f>
        <v/>
      </c>
      <c r="FN11" s="152">
        <f>SUMPRODUCT($FD11:$FI11,INDEX($Q$2:$V$8,$DZ11,0))</f>
        <v/>
      </c>
      <c r="FO11" s="152">
        <f>$FJ11*CEILING($DZ11/2,1)+$FK11*$DZ11</f>
        <v/>
      </c>
      <c r="FP11" s="152">
        <f>MIN(2*$DZ11,$FO11)</f>
        <v/>
      </c>
      <c r="FQ11" s="152">
        <f>MIN($FP11,$FN11)</f>
        <v/>
      </c>
      <c r="FR11" s="152">
        <f>$FP11-$FQ11</f>
        <v/>
      </c>
      <c r="FS11" s="152">
        <f>3*$DZ11-$FN11+$FQ11</f>
        <v/>
      </c>
      <c r="FT11" s="152">
        <f>MAX(0,$FS11)+$DX11*$DZ11</f>
        <v/>
      </c>
      <c r="FU11" s="152">
        <f>(IF(COUNTIF($EC11:$EF11,"Salto")&gt;0,1,0)+IF(COUNTIF($EC11:$EF11,"Queima")&gt;0,1,0)+IF(COUNTIF($EC11:$EF11,"Estilhaço")&gt;0,1,0))*FLOOR($FT11/2,1)</f>
        <v/>
      </c>
      <c r="FV11" s="152">
        <f>MAX(0,3-SUMPRODUCT($FD11:$FI11,$Q$2:$V$2)+MIN(2,$FJ11*1+$FK11*1,SUMPRODUCT($FD11:$FI11,$Q$2:$V$2)))+$DX11*1</f>
        <v/>
      </c>
      <c r="FW11" s="152">
        <f>MAX(0,6-SUMPRODUCT($FD11:$FI11,$Q$3:$V$3)+MIN(4,$FJ11*1+$FK11*2,SUMPRODUCT($FD11:$FI11,$Q$3:$V$3)))+$DX11*2</f>
        <v/>
      </c>
      <c r="FX11" s="152">
        <f>MAX(0,9-SUMPRODUCT($FD11:$FI11,$Q$4:$V$4)+MIN(6,$FJ11*2+$FK11*3,SUMPRODUCT($FD11:$FI11,$Q$4:$V$4)))+$DX11*3</f>
        <v/>
      </c>
      <c r="FY11" s="152">
        <f>MAX(0,12-SUMPRODUCT($FD11:$FI11,$Q$5:$V$5)+MIN(8,$FJ11*2+$FK11*4,SUMPRODUCT($FD11:$FI11,$Q$5:$V$5)))+$DX11*4</f>
        <v/>
      </c>
      <c r="FZ11" s="152">
        <f>MAX(0,15-SUMPRODUCT($FD11:$FI11,$Q$6:$V$6)+MIN(10,$FJ11*3+$FK11*5,SUMPRODUCT($FD11:$FI11,$Q$6:$V$6)))+$DX11*5</f>
        <v/>
      </c>
      <c r="GA11" s="152">
        <f>MAX(0,18-SUMPRODUCT($FD11:$FI11,$Q$7:$V$7)+MIN(12,$FJ11*3+$FK11*6,SUMPRODUCT($FD11:$FI11,$Q$7:$V$7)))+$DX11*6</f>
        <v/>
      </c>
      <c r="GB11" s="152">
        <f>MAX(0,21-SUMPRODUCT($FD11:$FI11,$Q$8:$V$8)+MIN(14,$FJ11*4+$FK11*7,SUMPRODUCT($FD11:$FI11,$Q$8:$V$8)))+$DX11*7</f>
        <v/>
      </c>
      <c r="GC11" s="152">
        <f>IF($EX11=2,3*$FV11&amp;" de vida temp.",IF($EX11=3,"sem dano",IF($FV11=0,IF($EX11=1,"sem cura","sem dano"),IF($EX11=1,"cura ","")&amp;$FV11&amp;"d8")))</f>
        <v/>
      </c>
      <c r="GD11" s="152">
        <f>IF($EX11=2,3*$FW11&amp;" de vida temp.",IF($EX11=3,"sem dano",IF($FW11=0,IF($EX11=1,"sem cura","sem dano"),IF($EX11=1,"cura ","")&amp;$FW11&amp;"d8")))</f>
        <v/>
      </c>
      <c r="GE11" s="152">
        <f>IF($EX11=2,3*$FX11&amp;" de vida temp.",IF($EX11=3,"sem dano",IF($FX11=0,IF($EX11=1,"sem cura","sem dano"),IF($EX11=1,"cura ","")&amp;$FX11&amp;"d8")))</f>
        <v/>
      </c>
      <c r="GF11" s="152">
        <f>IF($EX11=2,3*$FY11&amp;" de vida temp.",IF($EX11=3,"sem dano",IF($FY11=0,IF($EX11=1,"sem cura","sem dano"),IF($EX11=1,"cura ","")&amp;$FY11&amp;"d8")))</f>
        <v/>
      </c>
      <c r="GG11" s="152">
        <f>IF($EX11=2,3*$FZ11&amp;" de vida temp.",IF($EX11=3,"sem dano",IF($FZ11=0,IF($EX11=1,"sem cura","sem dano"),IF($EX11=1,"cura ","")&amp;$FZ11&amp;"d8")))</f>
        <v/>
      </c>
      <c r="GH11" s="152">
        <f>IF($EX11=2,3*$GA11&amp;" de vida temp.",IF($EX11=3,"sem dano",IF($GA11=0,IF($EX11=1,"sem cura","sem dano"),IF($EX11=1,"cura ","")&amp;$GA11&amp;"d8")))</f>
        <v/>
      </c>
      <c r="GI11" s="152">
        <f>IF($EX11=2,3*$GB11&amp;" de vida temp.",IF($EX11=3,"sem dano",IF($GB11=0,IF($EX11=1,"sem cura","sem dano"),IF($EX11=1,"cura ","")&amp;$GB11&amp;"d8")))</f>
        <v/>
      </c>
      <c r="GJ11" s="152">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2">
        <f>IF($GJ11="",0,(LEN($GJ11)-LEN(SUBSTITUTE($GJ11," · ","")))/3+1)</f>
        <v/>
      </c>
      <c r="GL11" s="152">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2">
        <f>IF($GL11="",0,(LEN($GL11)-LEN(SUBSTITUTE($GL11," · ","")))/3+1)</f>
        <v/>
      </c>
      <c r="GN11" s="152">
        <f>IF($EI11=0,IF($FL11+$FM11-$EW11&gt;0,"Dê um nome",""),IF($GK11&gt;0,"⚠ "&amp;$GK11&amp;IF($GK11&gt;1," erros"," erro"),IF($GM11&gt;0,"! "&amp;$GM11&amp;IF($GM11&gt;1," avisos"," aviso"),"Na regra")))</f>
        <v/>
      </c>
      <c r="GO11" s="152">
        <f>IF($EI11=0,"",IF($GK11+$GM11=0,"Dentro das regras que a ficha confere",$GJ11&amp;IF(AND($GK11&gt;0,$GM11&gt;0)," · ","")&amp;$GL11))</f>
        <v/>
      </c>
      <c r="GP11" s="152">
        <f>IF($EI11=0,"",IF($DX11=1,CEILING(4.5*$DZ11,1),3*$DZ11)&amp;" PE")</f>
        <v/>
      </c>
      <c r="GQ11" s="152">
        <f>IF($EI11=0,"",IF($DX11=1,"Rodada inteira",IF(COUNTIF($FB11:$FC11,"Atrasar")&gt;0,IF(COUNTIF($FB11:$FC11,"Carregar")&gt;0,"Rodada +1 turno","Rodada inteira"),IF(COUNTIF($EC11:$EF11,"Rápido")&gt;0,"Bônus",IF(COUNTIF($EC11:$EF11,"Reação")&gt;0,"Reação","Padrão"))&amp;IF(COUNTIF($FB11:$FC11,"Carregar")&gt;0," +1 turno",""))))</f>
        <v/>
      </c>
      <c r="GR11" s="152">
        <f>IF(OR($EI11=0,$EJ11=0),"",IF(COUNTIF($EC11:$EF11,"Inescapável")&gt;0,"Automático",IF(COUNTIF($EC11:$EF11,"Certeiro")&gt;0,"TR para metade",IF(AND($EV11&gt;0,$EY11=0,INDEX($AF$2:$AF$11,$EJ11)="Acerto"),"Acerto + TR",INDEX($AF$2:$AF$11,$EJ11)))))</f>
        <v/>
      </c>
      <c r="GS11" s="152">
        <f>IF(OR($EI11=0,$EJ11=0),"",IF(OR($EX11&gt;=2,$FT11=0),UPPER(LEFT(INDEX($GC11:$GI11,1,$DZ11),1))&amp;MID(INDEX($GC11:$GI11,1,$DZ11),2,99),UPPER(LEFT(INDEX($GC11:$GI11,1,$DZ11),1))&amp;MID(INDEX($GC11:$GI11,1,$DZ11),2,99)&amp;" = "&amp;FLOOR($FT11*4.5,1)&amp;IF($FU11&gt;0," · +"&amp;$FU11&amp;"d8","")))</f>
        <v/>
      </c>
      <c r="GT11" s="152">
        <f>COUNTIF($EC11:$EF11,"Longe")+3*COUNTIF($EC11:$EF11,"Muito Longe")</f>
        <v/>
      </c>
      <c r="GU11" s="152">
        <f>COUNTIF($EC11:$EF11,"Maior")+3*COUNTIF($EC11:$EF11,"Muito Maior")</f>
        <v/>
      </c>
      <c r="GV11" s="152">
        <f>IF($EJ11=0,0,CHOOSE(1+INDEX($AH$2:$AH$11,$EJ11),0,$GT11,$GU11,$GT11+$GU11))</f>
        <v/>
      </c>
      <c r="GW11" s="152">
        <f>IF($EJ11=0,0,CHOOSE(1+INDEX($AI$2:$AI$11,$EJ11),0,$GT11,$GU11,$GT11+$GU11))</f>
        <v/>
      </c>
      <c r="GX11" s="152">
        <f>IF(OR($EI11=0,$EJ11=0),"",INDEX($AP$2:$AU$31,($EJ11-1)*3+IF($DZ11&gt;=6,3,2),1+MIN(5,$GV11))&amp;INDEX($AV$2:$BA$31,($EJ11-1)*3+IF($DZ11&gt;=6,3,2),1+MIN(5,$GW11))&amp;IF(INDEX($AJ$2:$AJ$11,$EJ11)=1,IF(COUNTIF($EC11:$EF11,"Mais Um")&gt;0," · +"&amp;COUNTIF($EC11:$EF11,"Mais Um")&amp;IF(COUNTIF($EC11:$EF11,"Mais Um")&gt;1," alvos"," alvo"),"")&amp;IF(COUNTIF($EC11:$EF11,"Rajada")&gt;0," · "&amp;($DZ11+1)&amp;" tiros",""),""))</f>
        <v/>
      </c>
      <c r="GY11" s="152">
        <f>IF($EI11=0,"",3*$DZ11&amp;" − "&amp;$FN11&amp;" + "&amp;$FQ11&amp;IF($DX11=1," + "&amp;$DZ11,"")&amp;" = "&amp;$FT11&amp;"d8 · teto "&amp;4*$DZ11&amp;IF($EW11=1," · a Forma devolve "&amp;$DZ11,"")&amp;IF($FR11&gt;0," · perde "&amp;$FR11,""))</f>
        <v/>
      </c>
      <c r="GZ11" s="152">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2">
        <f>IF(OR($EI11=0,$EL11=0),"","−"&amp;INDEX($Q$2:$V$8,$DZ11,$EL11)&amp;" · "&amp;CHOOSE($EL11,"Leve","Média","Pesada","Leve · Livre","Média · Livre","Pesada · Livre"))</f>
        <v/>
      </c>
      <c r="HB11" s="152">
        <f>IF(OR($EI11=0,$EM11=0),"","−"&amp;INDEX($Q$2:$V$8,$DZ11,$EM11)&amp;" · "&amp;CHOOSE($EM11,"Leve","Média","Pesada","Leve · Livre","Média · Livre","Pesada · Livre"))</f>
        <v/>
      </c>
      <c r="HC11" s="152">
        <f>IF(OR($EI11=0,$EN11=0),"","−"&amp;INDEX($Q$2:$V$8,$DZ11,$EN11)&amp;" · "&amp;CHOOSE($EN11,"Leve","Média","Pesada","Leve · Livre","Média · Livre","Pesada · Livre"))</f>
        <v/>
      </c>
      <c r="HD11" s="152">
        <f>IF(OR($EI11=0,$EO11=0),"","−"&amp;INDEX($Q$2:$V$8,$DZ11,$EO11)&amp;" · "&amp;CHOOSE($EO11,"Leve","Média","Pesada","Leve · Livre","Média · Livre","Pesada · Livre"))</f>
        <v/>
      </c>
      <c r="HE11" s="152">
        <f>IF(OR($EI11=0,$EG11=""),"","+"&amp;IF($EZ11=1,CEILING($DZ11/2,1),$DZ11))</f>
        <v/>
      </c>
      <c r="HF11" s="152">
        <f>IF(OR($EI11=0,$EH11=""),"","+"&amp;IF($FA11=1,CEILING($DZ11/2,1),$DZ11))</f>
        <v/>
      </c>
      <c r="HG11" s="152">
        <f>'FICHA AMALDIÇOADA'!$D$116&amp;""</f>
        <v/>
      </c>
      <c r="HH11" s="152">
        <f>IF(AND($EI11=1,$DX11=0),COUNTIFS($EI$2:$EI11,1,$DX$2:$DX11,0),"")</f>
        <v/>
      </c>
      <c r="HJ11" s="150" t="inlineStr">
        <is>
          <t>classe 0 dados</t>
        </is>
      </c>
      <c r="HK11" s="152">
        <f>IFERROR(INDEX($DB$2:$DB$6,MATCH($HK$2,$CZ$2:$CZ$6,1)),0)</f>
        <v/>
      </c>
      <c r="HM11" s="150" t="inlineStr">
        <is>
          <t>Talento 10 · Leque</t>
        </is>
      </c>
      <c r="HN11" s="152">
        <f>'FICHA AMALDIÇOADA'!$J$405&amp;""</f>
        <v/>
      </c>
      <c r="HO11" s="152">
        <f>IFERROR(VLOOKUP($HN11,$BS$2:$BY$24,2,FALSE),0)</f>
        <v/>
      </c>
      <c r="HP11" s="152">
        <f>IFERROR(VLOOKUP($HO11,$CA$2:$CB$4,2,FALSE),0)</f>
        <v/>
      </c>
      <c r="HQ11" s="152">
        <f>IFERROR(VLOOKUP($HN11,$BS$2:$BY$24,3,FALSE),"")</f>
        <v/>
      </c>
      <c r="HR11" s="152">
        <f>IF($HO11=0,"",IF($HP11&gt;$HK$2,"⚠ Nível "&amp;$HP11,"CE "&amp;$HO11))</f>
        <v/>
      </c>
      <c r="HS11" s="152">
        <f>IF($HO11=0,"",IF(5&gt;$HK$8,"⚠ Vaga","Grátis"))</f>
        <v/>
      </c>
      <c r="HT11" s="152">
        <f>'FICHA AMALDIÇOADA'!$K$410&amp;""</f>
        <v/>
      </c>
      <c r="HU11" s="152">
        <f>IF($HN11="","",COUNTIF($HN$2:$HN11,"?*"))</f>
        <v/>
      </c>
      <c r="HW11" s="150" t="inlineStr">
        <is>
          <t>Aptidão 10</t>
        </is>
      </c>
      <c r="HX11" s="152">
        <f>'FICHA AMALDIÇOADA'!$D$492&amp;""</f>
        <v/>
      </c>
      <c r="HY11" s="152">
        <f>IF($HX11="","","Requisito: "&amp;IFERROR(VLOOKUP($HX11,$CD$2:$CM$33,2,FALSE),""))</f>
        <v/>
      </c>
      <c r="HZ11" s="152">
        <f>IF($HX11="","",IFERROR(IF(ISNUMBER(VLOOKUP($HX11,$CD$2:$CM$33,3,FALSE)),"CE "&amp;VLOOKUP($HX11,$CD$2:$CM$33,3,FALSE),VLOOKUP($HX11,$CD$2:$CM$33,3,FALSE)),""))</f>
        <v/>
      </c>
      <c r="IA11" s="152">
        <f>IF($HX11="","",IFERROR(VLOOKUP($HX11,$CD$2:$CM$33,4,FALSE),""))</f>
        <v/>
      </c>
      <c r="IB11" s="152">
        <f>IF($HX11="","",IFERROR(VLOOKUP($HX11,$CD$2:$CM$33,5,FALSE),""))</f>
        <v/>
      </c>
      <c r="IC11" s="152">
        <f>'FICHA AMALDIÇOADA'!$E$509&amp;""</f>
        <v/>
      </c>
      <c r="ID11" s="152">
        <f>IF($HX11="","",COUNTIF($HX$2:$HX11,"?*"))</f>
        <v/>
      </c>
      <c r="IO11" s="150" t="inlineStr">
        <is>
          <t>Pactos</t>
        </is>
      </c>
      <c r="IP11" s="152">
        <f>ADDRESS(ROW('FICHA AMALDIÇOADA'!Q7),COLUMN('FICHA AMALDIÇOADA'!Q7),4)</f>
        <v/>
      </c>
      <c r="IQ11" s="152">
        <f>ADDRESS(ROW('FICHA AMALDIÇOADA'!D512),COLUMN('FICHA AMALDIÇOADA'!D512),4)</f>
        <v/>
      </c>
      <c r="IR11" s="150" t="inlineStr">
        <is>
          <t>DADOS_AM!$IO$11</t>
        </is>
      </c>
      <c r="JF11" s="152" t="n">
        <v>10</v>
      </c>
      <c r="JG11" s="152">
        <f>IFERROR(MATCH(10,$HH$2:$HH$37,0),0)</f>
        <v/>
      </c>
      <c r="JH11" s="152">
        <f>IF($JG11=0,"",INDEX($DZ$2:$DZ$37,$JG11))</f>
        <v/>
      </c>
      <c r="JI11" s="152">
        <f>IF($JG11=0,"",INDEX($EA$2:$EA$37,$JG11))</f>
        <v/>
      </c>
      <c r="JJ11" s="152">
        <f>IF($JG11=0,"",INDEX($GP$2:$GP$37,$JG11))</f>
        <v/>
      </c>
      <c r="JK11" s="152">
        <f>IF($JG11=0,"",INDEX($EB$2:$EB$37,$JG11))</f>
        <v/>
      </c>
      <c r="JL11" s="152">
        <f>IF($JG11=0,"",INDEX($GR$2:$GR$37,$JG11))</f>
        <v/>
      </c>
      <c r="JM11" s="152">
        <f>IF($JG11=0,"",INDEX($HG$2:$HG$37,$JG11))</f>
        <v/>
      </c>
      <c r="KD11" s="150" t="inlineStr">
        <is>
          <t>Talento 8</t>
        </is>
      </c>
      <c r="KE11" s="152">
        <f>IFERROR(MATCH(8,$HU$2:$HU$13,0),0)</f>
        <v/>
      </c>
      <c r="KF11" s="152">
        <f>IF($KE11=0,"",IF(INDEX($HO$2:$HO$13,$KE11)=0,"","CE "&amp;INDEX($HO$2:$HO$13,$KE11)))</f>
        <v/>
      </c>
      <c r="KG11" s="152">
        <f>IF($KE11=0,"",INDEX($HN$2:$HN$13,$KE11))</f>
        <v/>
      </c>
      <c r="KH11" s="152">
        <f>IF($KE11=0,"",IF(INDEX($HT$2:$HT$13,$KE11)&lt;&gt;"",INDEX($HT$2:$HT$13,$KE11),IF(IFERROR(VLOOKUP(INDEX($HN$2:$HN$13,$KE11),$BS$2:$BY$24,7,FALSE),"")&lt;&gt;"","Do livro: "&amp;IFERROR(VLOOKUP(INDEX($HN$2:$HN$13,$KE11),$BS$2:$BY$24,7,FALSE),""),"")))</f>
        <v/>
      </c>
      <c r="KJ11" s="150" t="inlineStr">
        <is>
          <t>Aptidão 8</t>
        </is>
      </c>
      <c r="KK11" s="152">
        <f>IFERROR(MATCH(8,$ID$2:$ID$13,0),0)</f>
        <v/>
      </c>
      <c r="KL11" s="152">
        <f>IF($KK11=0,"",INDEX($HZ$2:$HZ$13,$KK11))</f>
        <v/>
      </c>
      <c r="KM11" s="152">
        <f>IF($KK11=0,"",INDEX($HX$2:$HX$13,$KK11))</f>
        <v/>
      </c>
      <c r="KN11" s="152">
        <f>IF($KK11=0,"",IF(INDEX($IC$2:$IC$13,$KK11)&lt;&gt;"",INDEX($IC$2:$IC$13,$KK11),IF(IFERROR(VLOOKUP(INDEX($HX$2:$HX$13,$KK11),$CD$2:$CM$33,10,FALSE),"")&lt;&gt;"","Do livro: "&amp;IFERROR(VLOOKUP(INDEX($HX$2:$HX$13,$KK11),$CD$2:$CM$33,10,FALSE),""),"")))</f>
        <v/>
      </c>
      <c r="KP11" s="150" t="inlineStr">
        <is>
          <t>par 4</t>
        </is>
      </c>
      <c r="KQ11" s="152">
        <f>UPPER(INDEX($D$3:$G$3,1,$A$2))&amp;" 13 A 18"</f>
        <v/>
      </c>
      <c r="KS11" s="150" t="inlineStr">
        <is>
          <t>D19</t>
        </is>
      </c>
      <c r="KT11" s="152">
        <f>IF(DADOS_AM!$HK$42="","",DADOS_AM!$HK$42&amp;" · "&amp;"d20 + "&amp;(DADOS_AM!$HK$3+DADOS_AM!$HK$45+IFERROR(VALUE(FICHA!$W$47&amp;""),0))&amp;" · CD "&amp;(8+DADOS_AM!$HK$3+DADOS_AM!$HK$45+IFERROR(VALUE(FICHA!$L$47&amp;""),0)))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K12" s="152" t="n">
        <v>0</v>
      </c>
      <c r="BM12" s="150" t="inlineStr">
        <is>
          <t>Peso Morto</t>
        </is>
      </c>
      <c r="BN12" s="150" t="inlineStr">
        <is>
          <t>Peso Morto</t>
        </is>
      </c>
      <c r="BO12" s="152" t="n">
        <v>1</v>
      </c>
      <c r="BP12" s="152" t="n">
        <v>0</v>
      </c>
      <c r="BQ12" s="150" t="inlineStr">
        <is>
          <t>Peso Morto</t>
        </is>
      </c>
      <c r="BS12" s="150" t="inlineStr">
        <is>
          <t>Costura</t>
        </is>
      </c>
      <c r="BT12" s="152" t="n">
        <v>2</v>
      </c>
      <c r="BU12" s="150" t="inlineStr">
        <is>
          <t>Uma vez por cena, quando um aliado a até 9 m sofreria uma redução de seus pontos de vida a 0, você pode fazer com que ele permaneça com 1 ponto de vida. Não exige ação nem Reação.</t>
        </is>
      </c>
      <c r="BV12" s="152" t="n">
        <v>1</v>
      </c>
      <c r="BW12" s="152" t="n">
        <v>0</v>
      </c>
      <c r="BX12" s="152">
        <f>IF(OR(AND($A$2&lt;=2,$BV12=1),AND($A$2&gt;=2,$BW12=1)),$BS12,"")</f>
        <v/>
      </c>
      <c r="BY12" s="150" t="inlineStr">
        <is>
          <t>Uma vez por cena, quando um aliado a até 9 m sofreria uma redução de seus pontos de vida a 0, você pode fazer com que ele permaneça com 1 ponto de vida. Não exige ação nem Reação.</t>
        </is>
      </c>
      <c r="CD12" s="150" t="inlineStr">
        <is>
          <t>Pétala</t>
        </is>
      </c>
      <c r="CE12" s="150" t="inlineStr">
        <is>
          <t>Refino 4 e nível 10; ser Descendente ou aprendizado com alguém de um clã</t>
        </is>
      </c>
      <c r="CF12" s="152" t="n">
        <v>2</v>
      </c>
      <c r="CG12" s="150" t="inlineStr">
        <is>
          <t>—</t>
        </is>
      </c>
      <c r="CH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2">
        <f>IF($CL12=1,"",IF($A$2=4,IF($CJ12=1,$CD12,""),IF(OR($CJ12=1,AND($A$2=3,$CK12=1)),"",$CD12)))</f>
        <v/>
      </c>
      <c r="CJ12" s="152" t="n">
        <v>0</v>
      </c>
      <c r="CK12" s="152" t="n">
        <v>0</v>
      </c>
      <c r="CL12" s="152" t="n">
        <v>0</v>
      </c>
      <c r="CM12" s="150" t="inlineStr">
        <is>
          <t>Sua energia reage ao contato do Acerto de uma Expansão.</t>
        </is>
      </c>
      <c r="CU12" s="150" t="inlineStr">
        <is>
          <t>Armas Longas</t>
        </is>
      </c>
      <c r="CV12" s="152" t="n">
        <v>1</v>
      </c>
      <c r="CW12" s="152" t="n">
        <v>1</v>
      </c>
      <c r="CX12" s="152">
        <f>IF(AND($A$2&gt;=3,'FICHA AMALDIÇOADA'!$J$16&amp;""="Três grupos de arma"),$CU12,"")</f>
        <v/>
      </c>
      <c r="DW12" s="150" t="inlineStr">
        <is>
          <t>Feitiço 11</t>
        </is>
      </c>
      <c r="DX12" s="152" t="n">
        <v>0</v>
      </c>
      <c r="DY12" s="152" t="n">
        <v>11</v>
      </c>
      <c r="DZ12" s="152">
        <f>MAX(1,MIN(7,N('FICHA AMALDIÇOADA'!$J$114)))</f>
        <v/>
      </c>
      <c r="EA12" s="152">
        <f>'FICHA AMALDIÇOADA'!$K$114&amp;""</f>
        <v/>
      </c>
      <c r="EB12" s="152">
        <f>'FICHA AMALDIÇOADA'!$J$121&amp;""</f>
        <v/>
      </c>
      <c r="EC12" s="152">
        <f>'FICHA AMALDIÇOADA'!$K$123&amp;""</f>
        <v/>
      </c>
      <c r="ED12" s="152">
        <f>'FICHA AMALDIÇOADA'!$K$124&amp;""</f>
        <v/>
      </c>
      <c r="EE12" s="152">
        <f>'FICHA AMALDIÇOADA'!$K$125&amp;""</f>
        <v/>
      </c>
      <c r="EF12" s="152">
        <f>'FICHA AMALDIÇOADA'!$K$126&amp;""</f>
        <v/>
      </c>
      <c r="EG12" s="152">
        <f>'FICHA AMALDIÇOADA'!$K$127&amp;""</f>
        <v/>
      </c>
      <c r="EH12" s="152">
        <f>'FICHA AMALDIÇOADA'!$K$128&amp;""</f>
        <v/>
      </c>
      <c r="EI12" s="152">
        <f>IF($EA12&lt;&gt;"",1,0)</f>
        <v/>
      </c>
      <c r="EJ12" s="152">
        <f>IFERROR(MATCH($EB12,$Y$2:$Y$11,0),0)</f>
        <v/>
      </c>
      <c r="EK12" s="152">
        <f>IF($EJ12=0,0,INDEX($AB$2:$AB$11,$EJ12))</f>
        <v/>
      </c>
      <c r="EL12" s="152">
        <f>IFERROR(VLOOKUP($EC12,$BC$2:$BK$84,4,FALSE),0)</f>
        <v/>
      </c>
      <c r="EM12" s="152">
        <f>IFERROR(VLOOKUP($ED12,$BC$2:$BK$84,4,FALSE),0)</f>
        <v/>
      </c>
      <c r="EN12" s="152">
        <f>IFERROR(VLOOKUP($EE12,$BC$2:$BK$84,4,FALSE),0)</f>
        <v/>
      </c>
      <c r="EO12" s="152">
        <f>IFERROR(VLOOKUP($EF12,$BC$2:$BK$84,4,FALSE),0)</f>
        <v/>
      </c>
      <c r="EP12" s="152">
        <f>IF($EJ12=0,0,INDEX($AC$2:$AC$11,$EJ12))</f>
        <v/>
      </c>
      <c r="EQ12" s="152">
        <f>IFERROR(VLOOKUP($EC12,$BC$2:$BK$84,5,FALSE),0)</f>
        <v/>
      </c>
      <c r="ER12" s="152">
        <f>IFERROR(VLOOKUP($ED12,$BC$2:$BK$84,5,FALSE),0)</f>
        <v/>
      </c>
      <c r="ES12" s="152">
        <f>IFERROR(VLOOKUP($EE12,$BC$2:$BK$84,5,FALSE),0)</f>
        <v/>
      </c>
      <c r="ET12" s="152">
        <f>IFERROR(VLOOKUP($EF12,$BC$2:$BK$84,5,FALSE),0)</f>
        <v/>
      </c>
      <c r="EU12" s="152">
        <f>IFERROR(VLOOKUP($EC12,$BC$2:$BK$84,6,FALSE),0)+IFERROR(VLOOKUP($ED12,$BC$2:$BK$84,6,FALSE),0)+IFERROR(VLOOKUP($EE12,$BC$2:$BK$84,6,FALSE),0)+IFERROR(VLOOKUP($EF12,$BC$2:$BK$84,6,FALSE),0)</f>
        <v/>
      </c>
      <c r="EV12" s="152">
        <f>IFERROR(VLOOKUP($EC12,$BC$2:$BK$84,9,FALSE),0)+IFERROR(VLOOKUP($ED12,$BC$2:$BK$84,9,FALSE),0)+IFERROR(VLOOKUP($EE12,$BC$2:$BK$84,9,FALSE),0)+IFERROR(VLOOKUP($EF12,$BC$2:$BK$84,9,FALSE),0)</f>
        <v/>
      </c>
      <c r="EW12" s="152">
        <f>IF($EJ12=0,0,INDEX($AD$2:$AD$11,$EJ12))</f>
        <v/>
      </c>
      <c r="EX12" s="152">
        <f>IF($EJ12=0,0,INDEX($AE$2:$AE$11,$EJ12))</f>
        <v/>
      </c>
      <c r="EY12" s="152">
        <f>IF($EJ12=0,0,INDEX($AG$2:$AG$11,$EJ12))</f>
        <v/>
      </c>
      <c r="EZ12" s="152">
        <f>IFERROR(VLOOKUP($EG12,$BM$2:$BQ$24,3,FALSE),0)</f>
        <v/>
      </c>
      <c r="FA12" s="152">
        <f>IFERROR(VLOOKUP($EH12,$BM$2:$BQ$24,3,FALSE),0)</f>
        <v/>
      </c>
      <c r="FB12" s="152">
        <f>IFERROR(VLOOKUP($EG12,$BM$2:$BQ$24,2,FALSE),"")</f>
        <v/>
      </c>
      <c r="FC12" s="152">
        <f>IFERROR(VLOOKUP($EH12,$BM$2:$BQ$24,2,FALSE),"")</f>
        <v/>
      </c>
      <c r="FD12" s="152">
        <f>COUNTIF($EK12:$EO12,1)</f>
        <v/>
      </c>
      <c r="FE12" s="152">
        <f>COUNTIF($EK12:$EO12,2)</f>
        <v/>
      </c>
      <c r="FF12" s="152">
        <f>COUNTIF($EK12:$EO12,3)</f>
        <v/>
      </c>
      <c r="FG12" s="152">
        <f>COUNTIF($EK12:$EO12,4)</f>
        <v/>
      </c>
      <c r="FH12" s="152">
        <f>COUNTIF($EK12:$EO12,5)</f>
        <v/>
      </c>
      <c r="FI12" s="152">
        <f>COUNTIF($EK12:$EO12,6)</f>
        <v/>
      </c>
      <c r="FJ12" s="152">
        <f>COUNTIF($EZ12:$FA12,1)</f>
        <v/>
      </c>
      <c r="FK12" s="152">
        <f>COUNTIF($EZ12:$FA12,2)+$EW12</f>
        <v/>
      </c>
      <c r="FL12" s="152">
        <f>COUNTIF($EC12:$EF12,"?*")</f>
        <v/>
      </c>
      <c r="FM12" s="152">
        <f>COUNTIF($EG12:$EH12,"?*")+$EW12</f>
        <v/>
      </c>
      <c r="FN12" s="152">
        <f>SUMPRODUCT($FD12:$FI12,INDEX($Q$2:$V$8,$DZ12,0))</f>
        <v/>
      </c>
      <c r="FO12" s="152">
        <f>$FJ12*CEILING($DZ12/2,1)+$FK12*$DZ12</f>
        <v/>
      </c>
      <c r="FP12" s="152">
        <f>MIN(2*$DZ12,$FO12)</f>
        <v/>
      </c>
      <c r="FQ12" s="152">
        <f>MIN($FP12,$FN12)</f>
        <v/>
      </c>
      <c r="FR12" s="152">
        <f>$FP12-$FQ12</f>
        <v/>
      </c>
      <c r="FS12" s="152">
        <f>3*$DZ12-$FN12+$FQ12</f>
        <v/>
      </c>
      <c r="FT12" s="152">
        <f>MAX(0,$FS12)+$DX12*$DZ12</f>
        <v/>
      </c>
      <c r="FU12" s="152">
        <f>(IF(COUNTIF($EC12:$EF12,"Salto")&gt;0,1,0)+IF(COUNTIF($EC12:$EF12,"Queima")&gt;0,1,0)+IF(COUNTIF($EC12:$EF12,"Estilhaço")&gt;0,1,0))*FLOOR($FT12/2,1)</f>
        <v/>
      </c>
      <c r="FV12" s="152">
        <f>MAX(0,3-SUMPRODUCT($FD12:$FI12,$Q$2:$V$2)+MIN(2,$FJ12*1+$FK12*1,SUMPRODUCT($FD12:$FI12,$Q$2:$V$2)))+$DX12*1</f>
        <v/>
      </c>
      <c r="FW12" s="152">
        <f>MAX(0,6-SUMPRODUCT($FD12:$FI12,$Q$3:$V$3)+MIN(4,$FJ12*1+$FK12*2,SUMPRODUCT($FD12:$FI12,$Q$3:$V$3)))+$DX12*2</f>
        <v/>
      </c>
      <c r="FX12" s="152">
        <f>MAX(0,9-SUMPRODUCT($FD12:$FI12,$Q$4:$V$4)+MIN(6,$FJ12*2+$FK12*3,SUMPRODUCT($FD12:$FI12,$Q$4:$V$4)))+$DX12*3</f>
        <v/>
      </c>
      <c r="FY12" s="152">
        <f>MAX(0,12-SUMPRODUCT($FD12:$FI12,$Q$5:$V$5)+MIN(8,$FJ12*2+$FK12*4,SUMPRODUCT($FD12:$FI12,$Q$5:$V$5)))+$DX12*4</f>
        <v/>
      </c>
      <c r="FZ12" s="152">
        <f>MAX(0,15-SUMPRODUCT($FD12:$FI12,$Q$6:$V$6)+MIN(10,$FJ12*3+$FK12*5,SUMPRODUCT($FD12:$FI12,$Q$6:$V$6)))+$DX12*5</f>
        <v/>
      </c>
      <c r="GA12" s="152">
        <f>MAX(0,18-SUMPRODUCT($FD12:$FI12,$Q$7:$V$7)+MIN(12,$FJ12*3+$FK12*6,SUMPRODUCT($FD12:$FI12,$Q$7:$V$7)))+$DX12*6</f>
        <v/>
      </c>
      <c r="GB12" s="152">
        <f>MAX(0,21-SUMPRODUCT($FD12:$FI12,$Q$8:$V$8)+MIN(14,$FJ12*4+$FK12*7,SUMPRODUCT($FD12:$FI12,$Q$8:$V$8)))+$DX12*7</f>
        <v/>
      </c>
      <c r="GC12" s="152">
        <f>IF($EX12=2,3*$FV12&amp;" de vida temp.",IF($EX12=3,"sem dano",IF($FV12=0,IF($EX12=1,"sem cura","sem dano"),IF($EX12=1,"cura ","")&amp;$FV12&amp;"d8")))</f>
        <v/>
      </c>
      <c r="GD12" s="152">
        <f>IF($EX12=2,3*$FW12&amp;" de vida temp.",IF($EX12=3,"sem dano",IF($FW12=0,IF($EX12=1,"sem cura","sem dano"),IF($EX12=1,"cura ","")&amp;$FW12&amp;"d8")))</f>
        <v/>
      </c>
      <c r="GE12" s="152">
        <f>IF($EX12=2,3*$FX12&amp;" de vida temp.",IF($EX12=3,"sem dano",IF($FX12=0,IF($EX12=1,"sem cura","sem dano"),IF($EX12=1,"cura ","")&amp;$FX12&amp;"d8")))</f>
        <v/>
      </c>
      <c r="GF12" s="152">
        <f>IF($EX12=2,3*$FY12&amp;" de vida temp.",IF($EX12=3,"sem dano",IF($FY12=0,IF($EX12=1,"sem cura","sem dano"),IF($EX12=1,"cura ","")&amp;$FY12&amp;"d8")))</f>
        <v/>
      </c>
      <c r="GG12" s="152">
        <f>IF($EX12=2,3*$FZ12&amp;" de vida temp.",IF($EX12=3,"sem dano",IF($FZ12=0,IF($EX12=1,"sem cura","sem dano"),IF($EX12=1,"cura ","")&amp;$FZ12&amp;"d8")))</f>
        <v/>
      </c>
      <c r="GH12" s="152">
        <f>IF($EX12=2,3*$GA12&amp;" de vida temp.",IF($EX12=3,"sem dano",IF($GA12=0,IF($EX12=1,"sem cura","sem dano"),IF($EX12=1,"cura ","")&amp;$GA12&amp;"d8")))</f>
        <v/>
      </c>
      <c r="GI12" s="152">
        <f>IF($EX12=2,3*$GB12&amp;" de vida temp.",IF($EX12=3,"sem dano",IF($GB12=0,IF($EX12=1,"sem cura","sem dano"),IF($EX12=1,"cura ","")&amp;$GB12&amp;"d8")))</f>
        <v/>
      </c>
      <c r="GJ12" s="152">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2">
        <f>IF($GJ12="",0,(LEN($GJ12)-LEN(SUBSTITUTE($GJ12," · ","")))/3+1)</f>
        <v/>
      </c>
      <c r="GL12" s="152">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2">
        <f>IF($GL12="",0,(LEN($GL12)-LEN(SUBSTITUTE($GL12," · ","")))/3+1)</f>
        <v/>
      </c>
      <c r="GN12" s="152">
        <f>IF($EI12=0,IF($FL12+$FM12-$EW12&gt;0,"Dê um nome",""),IF($GK12&gt;0,"⚠ "&amp;$GK12&amp;IF($GK12&gt;1," erros"," erro"),IF($GM12&gt;0,"! "&amp;$GM12&amp;IF($GM12&gt;1," avisos"," aviso"),"Na regra")))</f>
        <v/>
      </c>
      <c r="GO12" s="152">
        <f>IF($EI12=0,"",IF($GK12+$GM12=0,"Dentro das regras que a ficha confere",$GJ12&amp;IF(AND($GK12&gt;0,$GM12&gt;0)," · ","")&amp;$GL12))</f>
        <v/>
      </c>
      <c r="GP12" s="152">
        <f>IF($EI12=0,"",IF($DX12=1,CEILING(4.5*$DZ12,1),3*$DZ12)&amp;" PE")</f>
        <v/>
      </c>
      <c r="GQ12" s="152">
        <f>IF($EI12=0,"",IF($DX12=1,"Rodada inteira",IF(COUNTIF($FB12:$FC12,"Atrasar")&gt;0,IF(COUNTIF($FB12:$FC12,"Carregar")&gt;0,"Rodada +1 turno","Rodada inteira"),IF(COUNTIF($EC12:$EF12,"Rápido")&gt;0,"Bônus",IF(COUNTIF($EC12:$EF12,"Reação")&gt;0,"Reação","Padrão"))&amp;IF(COUNTIF($FB12:$FC12,"Carregar")&gt;0," +1 turno",""))))</f>
        <v/>
      </c>
      <c r="GR12" s="152">
        <f>IF(OR($EI12=0,$EJ12=0),"",IF(COUNTIF($EC12:$EF12,"Inescapável")&gt;0,"Automático",IF(COUNTIF($EC12:$EF12,"Certeiro")&gt;0,"TR para metade",IF(AND($EV12&gt;0,$EY12=0,INDEX($AF$2:$AF$11,$EJ12)="Acerto"),"Acerto + TR",INDEX($AF$2:$AF$11,$EJ12)))))</f>
        <v/>
      </c>
      <c r="GS12" s="152">
        <f>IF(OR($EI12=0,$EJ12=0),"",IF(OR($EX12&gt;=2,$FT12=0),UPPER(LEFT(INDEX($GC12:$GI12,1,$DZ12),1))&amp;MID(INDEX($GC12:$GI12,1,$DZ12),2,99),UPPER(LEFT(INDEX($GC12:$GI12,1,$DZ12),1))&amp;MID(INDEX($GC12:$GI12,1,$DZ12),2,99)&amp;" = "&amp;FLOOR($FT12*4.5,1)&amp;IF($FU12&gt;0," · +"&amp;$FU12&amp;"d8","")))</f>
        <v/>
      </c>
      <c r="GT12" s="152">
        <f>COUNTIF($EC12:$EF12,"Longe")+3*COUNTIF($EC12:$EF12,"Muito Longe")</f>
        <v/>
      </c>
      <c r="GU12" s="152">
        <f>COUNTIF($EC12:$EF12,"Maior")+3*COUNTIF($EC12:$EF12,"Muito Maior")</f>
        <v/>
      </c>
      <c r="GV12" s="152">
        <f>IF($EJ12=0,0,CHOOSE(1+INDEX($AH$2:$AH$11,$EJ12),0,$GT12,$GU12,$GT12+$GU12))</f>
        <v/>
      </c>
      <c r="GW12" s="152">
        <f>IF($EJ12=0,0,CHOOSE(1+INDEX($AI$2:$AI$11,$EJ12),0,$GT12,$GU12,$GT12+$GU12))</f>
        <v/>
      </c>
      <c r="GX12" s="152">
        <f>IF(OR($EI12=0,$EJ12=0),"",INDEX($AP$2:$AU$31,($EJ12-1)*3+IF($DZ12&gt;=6,3,2),1+MIN(5,$GV12))&amp;INDEX($AV$2:$BA$31,($EJ12-1)*3+IF($DZ12&gt;=6,3,2),1+MIN(5,$GW12))&amp;IF(INDEX($AJ$2:$AJ$11,$EJ12)=1,IF(COUNTIF($EC12:$EF12,"Mais Um")&gt;0," · +"&amp;COUNTIF($EC12:$EF12,"Mais Um")&amp;IF(COUNTIF($EC12:$EF12,"Mais Um")&gt;1," alvos"," alvo"),"")&amp;IF(COUNTIF($EC12:$EF12,"Rajada")&gt;0," · "&amp;($DZ12+1)&amp;" tiros",""),""))</f>
        <v/>
      </c>
      <c r="GY12" s="152">
        <f>IF($EI12=0,"",3*$DZ12&amp;" − "&amp;$FN12&amp;" + "&amp;$FQ12&amp;IF($DX12=1," + "&amp;$DZ12,"")&amp;" = "&amp;$FT12&amp;"d8 · teto "&amp;4*$DZ12&amp;IF($EW12=1," · a Forma devolve "&amp;$DZ12,"")&amp;IF($FR12&gt;0," · perde "&amp;$FR12,""))</f>
        <v/>
      </c>
      <c r="GZ12" s="152">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2">
        <f>IF(OR($EI12=0,$EL12=0),"","−"&amp;INDEX($Q$2:$V$8,$DZ12,$EL12)&amp;" · "&amp;CHOOSE($EL12,"Leve","Média","Pesada","Leve · Livre","Média · Livre","Pesada · Livre"))</f>
        <v/>
      </c>
      <c r="HB12" s="152">
        <f>IF(OR($EI12=0,$EM12=0),"","−"&amp;INDEX($Q$2:$V$8,$DZ12,$EM12)&amp;" · "&amp;CHOOSE($EM12,"Leve","Média","Pesada","Leve · Livre","Média · Livre","Pesada · Livre"))</f>
        <v/>
      </c>
      <c r="HC12" s="152">
        <f>IF(OR($EI12=0,$EN12=0),"","−"&amp;INDEX($Q$2:$V$8,$DZ12,$EN12)&amp;" · "&amp;CHOOSE($EN12,"Leve","Média","Pesada","Leve · Livre","Média · Livre","Pesada · Livre"))</f>
        <v/>
      </c>
      <c r="HD12" s="152">
        <f>IF(OR($EI12=0,$EO12=0),"","−"&amp;INDEX($Q$2:$V$8,$DZ12,$EO12)&amp;" · "&amp;CHOOSE($EO12,"Leve","Média","Pesada","Leve · Livre","Média · Livre","Pesada · Livre"))</f>
        <v/>
      </c>
      <c r="HE12" s="152">
        <f>IF(OR($EI12=0,$EG12=""),"","+"&amp;IF($EZ12=1,CEILING($DZ12/2,1),$DZ12))</f>
        <v/>
      </c>
      <c r="HF12" s="152">
        <f>IF(OR($EI12=0,$EH12=""),"","+"&amp;IF($FA12=1,CEILING($DZ12/2,1),$DZ12))</f>
        <v/>
      </c>
      <c r="HG12" s="152">
        <f>'FICHA AMALDIÇOADA'!$J$116&amp;""</f>
        <v/>
      </c>
      <c r="HH12" s="152">
        <f>IF(AND($EI12=1,$DX12=0),COUNTIFS($EI$2:$EI12,1,$DX$2:$DX12,0),"")</f>
        <v/>
      </c>
      <c r="HJ12" s="150" t="inlineStr">
        <is>
          <t>espaços do nível</t>
        </is>
      </c>
      <c r="HK12" s="152">
        <f>2+INT($HK$2/2)+$HK$5</f>
        <v/>
      </c>
      <c r="HM12" s="150" t="inlineStr">
        <is>
          <t>Talento 11 · Leque</t>
        </is>
      </c>
      <c r="HN12" s="152">
        <f>'FICHA AMALDIÇOADA'!$P$405&amp;""</f>
        <v/>
      </c>
      <c r="HO12" s="152">
        <f>IFERROR(VLOOKUP($HN12,$BS$2:$BY$24,2,FALSE),0)</f>
        <v/>
      </c>
      <c r="HP12" s="152">
        <f>IFERROR(VLOOKUP($HO12,$CA$2:$CB$4,2,FALSE),0)</f>
        <v/>
      </c>
      <c r="HQ12" s="152">
        <f>IFERROR(VLOOKUP($HN12,$BS$2:$BY$24,3,FALSE),"")</f>
        <v/>
      </c>
      <c r="HR12" s="152">
        <f>IF($HO12=0,"",IF($HP12&gt;$HK$2,"⚠ Nível "&amp;$HP12,"CE "&amp;$HO12))</f>
        <v/>
      </c>
      <c r="HS12" s="152">
        <f>IF($HO12=0,"",IF(6&gt;$HK$8,"⚠ Vaga","Grátis"))</f>
        <v/>
      </c>
      <c r="HT12" s="152">
        <f>'FICHA AMALDIÇOADA'!$Q$410&amp;""</f>
        <v/>
      </c>
      <c r="HU12" s="152">
        <f>IF($HN12="","",COUNTIF($HN$2:$HN12,"?*"))</f>
        <v/>
      </c>
      <c r="HW12" s="150" t="inlineStr">
        <is>
          <t>Aptidão 11</t>
        </is>
      </c>
      <c r="HX12" s="152">
        <f>'FICHA AMALDIÇOADA'!$J$492&amp;""</f>
        <v/>
      </c>
      <c r="HY12" s="152">
        <f>IF($HX12="","","Requisito: "&amp;IFERROR(VLOOKUP($HX12,$CD$2:$CM$33,2,FALSE),""))</f>
        <v/>
      </c>
      <c r="HZ12" s="152">
        <f>IF($HX12="","",IFERROR(IF(ISNUMBER(VLOOKUP($HX12,$CD$2:$CM$33,3,FALSE)),"CE "&amp;VLOOKUP($HX12,$CD$2:$CM$33,3,FALSE),VLOOKUP($HX12,$CD$2:$CM$33,3,FALSE)),""))</f>
        <v/>
      </c>
      <c r="IA12" s="152">
        <f>IF($HX12="","",IFERROR(VLOOKUP($HX12,$CD$2:$CM$33,4,FALSE),""))</f>
        <v/>
      </c>
      <c r="IB12" s="152">
        <f>IF($HX12="","",IFERROR(VLOOKUP($HX12,$CD$2:$CM$33,5,FALSE),""))</f>
        <v/>
      </c>
      <c r="IC12" s="152">
        <f>'FICHA AMALDIÇOADA'!$K$509&amp;""</f>
        <v/>
      </c>
      <c r="ID12" s="152">
        <f>IF($HX12="","",COUNTIF($HX$2:$HX12,"?*"))</f>
        <v/>
      </c>
      <c r="JF12" s="152" t="n">
        <v>11</v>
      </c>
      <c r="JG12" s="152">
        <f>IFERROR(MATCH(11,$HH$2:$HH$37,0),0)</f>
        <v/>
      </c>
      <c r="JH12" s="152">
        <f>IF($JG12=0,"",INDEX($DZ$2:$DZ$37,$JG12))</f>
        <v/>
      </c>
      <c r="JI12" s="152">
        <f>IF($JG12=0,"",INDEX($EA$2:$EA$37,$JG12))</f>
        <v/>
      </c>
      <c r="JJ12" s="152">
        <f>IF($JG12=0,"",INDEX($GP$2:$GP$37,$JG12))</f>
        <v/>
      </c>
      <c r="JK12" s="152">
        <f>IF($JG12=0,"",INDEX($EB$2:$EB$37,$JG12))</f>
        <v/>
      </c>
      <c r="JL12" s="152">
        <f>IF($JG12=0,"",INDEX($GR$2:$GR$37,$JG12))</f>
        <v/>
      </c>
      <c r="JM12" s="152">
        <f>IF($JG12=0,"",INDEX($HG$2:$HG$37,$JG12))</f>
        <v/>
      </c>
      <c r="KD12" s="150" t="inlineStr">
        <is>
          <t>Talento 9</t>
        </is>
      </c>
      <c r="KE12" s="152">
        <f>IFERROR(MATCH(9,$HU$2:$HU$13,0),0)</f>
        <v/>
      </c>
      <c r="KF12" s="152">
        <f>IF($KE12=0,"",IF(INDEX($HO$2:$HO$13,$KE12)=0,"","CE "&amp;INDEX($HO$2:$HO$13,$KE12)))</f>
        <v/>
      </c>
      <c r="KG12" s="152">
        <f>IF($KE12=0,"",INDEX($HN$2:$HN$13,$KE12))</f>
        <v/>
      </c>
      <c r="KH12" s="152">
        <f>IF($KE12=0,"",IF(INDEX($HT$2:$HT$13,$KE12)&lt;&gt;"",INDEX($HT$2:$HT$13,$KE12),IF(IFERROR(VLOOKUP(INDEX($HN$2:$HN$13,$KE12),$BS$2:$BY$24,7,FALSE),"")&lt;&gt;"","Do livro: "&amp;IFERROR(VLOOKUP(INDEX($HN$2:$HN$13,$KE12),$BS$2:$BY$24,7,FALSE),""),"")))</f>
        <v/>
      </c>
      <c r="KJ12" s="150" t="inlineStr">
        <is>
          <t>Aptidão 9</t>
        </is>
      </c>
      <c r="KK12" s="152">
        <f>IFERROR(MATCH(9,$ID$2:$ID$13,0),0)</f>
        <v/>
      </c>
      <c r="KL12" s="152">
        <f>IF($KK12=0,"",INDEX($HZ$2:$HZ$13,$KK12))</f>
        <v/>
      </c>
      <c r="KM12" s="152">
        <f>IF($KK12=0,"",INDEX($HX$2:$HX$13,$KK12))</f>
        <v/>
      </c>
      <c r="KN12" s="152">
        <f>IF($KK12=0,"",IF(INDEX($IC$2:$IC$13,$KK12)&lt;&gt;"",INDEX($IC$2:$IC$13,$KK12),IF(IFERROR(VLOOKUP(INDEX($HX$2:$HX$13,$KK12),$CD$2:$CM$33,10,FALSE),"")&lt;&gt;"","Do livro: "&amp;IFERROR(VLOOKUP(INDEX($HX$2:$HX$13,$KK12),$CD$2:$CM$33,10,FALSE),""),"")))</f>
        <v/>
      </c>
      <c r="KP12" s="150" t="inlineStr">
        <is>
          <t>par 6</t>
        </is>
      </c>
      <c r="KQ12" s="152">
        <f>UPPER(INDEX($D$3:$G$3,1,$A$2))&amp;" 19 A 24"</f>
        <v/>
      </c>
      <c r="KS12" s="150" t="inlineStr">
        <is>
          <t>J17</t>
        </is>
      </c>
      <c r="KT12" s="152">
        <f>IF(DADOS_AM!$HK$41=1,"GRUPO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K13" s="152" t="n">
        <v>0</v>
      </c>
      <c r="BM13" s="150" t="inlineStr">
        <is>
          <t>Frágil</t>
        </is>
      </c>
      <c r="BN13" s="150" t="inlineStr">
        <is>
          <t>Frágil</t>
        </is>
      </c>
      <c r="BO13" s="152" t="n">
        <v>1</v>
      </c>
      <c r="BP13" s="152" t="n">
        <v>0</v>
      </c>
      <c r="BQ13" s="150" t="inlineStr">
        <is>
          <t>Frágil</t>
        </is>
      </c>
      <c r="BS13" s="150" t="inlineStr">
        <is>
          <t>Contramedida</t>
        </is>
      </c>
      <c r="BT13" s="152" t="n">
        <v>2</v>
      </c>
      <c r="BU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2" t="n">
        <v>1</v>
      </c>
      <c r="BW13" s="152" t="n">
        <v>0</v>
      </c>
      <c r="BX13" s="152">
        <f>IF(OR(AND($A$2&lt;=2,$BV13=1),AND($A$2&gt;=2,$BW13=1)),$BS13,"")</f>
        <v/>
      </c>
      <c r="BY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0" t="inlineStr">
        <is>
          <t>Extensão de Domínio</t>
        </is>
      </c>
      <c r="CE13" s="150" t="inlineStr">
        <is>
          <t>Refino 7 e nível 18; aprendizado registrado; indisponível ao Corpo Amaldiçoado</t>
        </is>
      </c>
      <c r="CF13" s="152" t="n">
        <v>3</v>
      </c>
      <c r="CG13" s="150" t="inlineStr">
        <is>
          <t>—</t>
        </is>
      </c>
      <c r="CH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2">
        <f>IF($CL13=1,"",IF($A$2=4,IF($CJ13=1,$CD13,""),IF(OR($CJ13=1,AND($A$2=3,$CK13=1)),"",$CD13)))</f>
        <v/>
      </c>
      <c r="CJ13" s="152" t="n">
        <v>0</v>
      </c>
      <c r="CK13" s="152" t="n">
        <v>1</v>
      </c>
      <c r="CL13" s="152" t="n">
        <v>0</v>
      </c>
      <c r="CM13" s="150" t="inlineStr">
        <is>
          <t>Você precisa ter visto uma Extensão em uso, estudado seu funcionamento ou aprendido com alguém.</t>
        </is>
      </c>
      <c r="CU13" s="150" t="inlineStr">
        <is>
          <t>Machado</t>
        </is>
      </c>
      <c r="CV13" s="152" t="n">
        <v>1</v>
      </c>
      <c r="CW13" s="152" t="n">
        <v>1</v>
      </c>
      <c r="CX13" s="152">
        <f>IF(AND($A$2&gt;=3,'FICHA AMALDIÇOADA'!$J$16&amp;""="Três grupos de arma"),$CU13,"")</f>
        <v/>
      </c>
      <c r="DW13" s="150" t="inlineStr">
        <is>
          <t>Feitiço 12</t>
        </is>
      </c>
      <c r="DX13" s="152" t="n">
        <v>0</v>
      </c>
      <c r="DY13" s="152" t="n">
        <v>12</v>
      </c>
      <c r="DZ13" s="152">
        <f>MAX(1,MIN(7,N('FICHA AMALDIÇOADA'!$P$114)))</f>
        <v/>
      </c>
      <c r="EA13" s="152">
        <f>'FICHA AMALDIÇOADA'!$Q$114&amp;""</f>
        <v/>
      </c>
      <c r="EB13" s="152">
        <f>'FICHA AMALDIÇOADA'!$P$121&amp;""</f>
        <v/>
      </c>
      <c r="EC13" s="152">
        <f>'FICHA AMALDIÇOADA'!$Q$123&amp;""</f>
        <v/>
      </c>
      <c r="ED13" s="152">
        <f>'FICHA AMALDIÇOADA'!$Q$124&amp;""</f>
        <v/>
      </c>
      <c r="EE13" s="152">
        <f>'FICHA AMALDIÇOADA'!$Q$125&amp;""</f>
        <v/>
      </c>
      <c r="EF13" s="152">
        <f>'FICHA AMALDIÇOADA'!$Q$126&amp;""</f>
        <v/>
      </c>
      <c r="EG13" s="152">
        <f>'FICHA AMALDIÇOADA'!$Q$127&amp;""</f>
        <v/>
      </c>
      <c r="EH13" s="152">
        <f>'FICHA AMALDIÇOADA'!$Q$128&amp;""</f>
        <v/>
      </c>
      <c r="EI13" s="152">
        <f>IF($EA13&lt;&gt;"",1,0)</f>
        <v/>
      </c>
      <c r="EJ13" s="152">
        <f>IFERROR(MATCH($EB13,$Y$2:$Y$11,0),0)</f>
        <v/>
      </c>
      <c r="EK13" s="152">
        <f>IF($EJ13=0,0,INDEX($AB$2:$AB$11,$EJ13))</f>
        <v/>
      </c>
      <c r="EL13" s="152">
        <f>IFERROR(VLOOKUP($EC13,$BC$2:$BK$84,4,FALSE),0)</f>
        <v/>
      </c>
      <c r="EM13" s="152">
        <f>IFERROR(VLOOKUP($ED13,$BC$2:$BK$84,4,FALSE),0)</f>
        <v/>
      </c>
      <c r="EN13" s="152">
        <f>IFERROR(VLOOKUP($EE13,$BC$2:$BK$84,4,FALSE),0)</f>
        <v/>
      </c>
      <c r="EO13" s="152">
        <f>IFERROR(VLOOKUP($EF13,$BC$2:$BK$84,4,FALSE),0)</f>
        <v/>
      </c>
      <c r="EP13" s="152">
        <f>IF($EJ13=0,0,INDEX($AC$2:$AC$11,$EJ13))</f>
        <v/>
      </c>
      <c r="EQ13" s="152">
        <f>IFERROR(VLOOKUP($EC13,$BC$2:$BK$84,5,FALSE),0)</f>
        <v/>
      </c>
      <c r="ER13" s="152">
        <f>IFERROR(VLOOKUP($ED13,$BC$2:$BK$84,5,FALSE),0)</f>
        <v/>
      </c>
      <c r="ES13" s="152">
        <f>IFERROR(VLOOKUP($EE13,$BC$2:$BK$84,5,FALSE),0)</f>
        <v/>
      </c>
      <c r="ET13" s="152">
        <f>IFERROR(VLOOKUP($EF13,$BC$2:$BK$84,5,FALSE),0)</f>
        <v/>
      </c>
      <c r="EU13" s="152">
        <f>IFERROR(VLOOKUP($EC13,$BC$2:$BK$84,6,FALSE),0)+IFERROR(VLOOKUP($ED13,$BC$2:$BK$84,6,FALSE),0)+IFERROR(VLOOKUP($EE13,$BC$2:$BK$84,6,FALSE),0)+IFERROR(VLOOKUP($EF13,$BC$2:$BK$84,6,FALSE),0)</f>
        <v/>
      </c>
      <c r="EV13" s="152">
        <f>IFERROR(VLOOKUP($EC13,$BC$2:$BK$84,9,FALSE),0)+IFERROR(VLOOKUP($ED13,$BC$2:$BK$84,9,FALSE),0)+IFERROR(VLOOKUP($EE13,$BC$2:$BK$84,9,FALSE),0)+IFERROR(VLOOKUP($EF13,$BC$2:$BK$84,9,FALSE),0)</f>
        <v/>
      </c>
      <c r="EW13" s="152">
        <f>IF($EJ13=0,0,INDEX($AD$2:$AD$11,$EJ13))</f>
        <v/>
      </c>
      <c r="EX13" s="152">
        <f>IF($EJ13=0,0,INDEX($AE$2:$AE$11,$EJ13))</f>
        <v/>
      </c>
      <c r="EY13" s="152">
        <f>IF($EJ13=0,0,INDEX($AG$2:$AG$11,$EJ13))</f>
        <v/>
      </c>
      <c r="EZ13" s="152">
        <f>IFERROR(VLOOKUP($EG13,$BM$2:$BQ$24,3,FALSE),0)</f>
        <v/>
      </c>
      <c r="FA13" s="152">
        <f>IFERROR(VLOOKUP($EH13,$BM$2:$BQ$24,3,FALSE),0)</f>
        <v/>
      </c>
      <c r="FB13" s="152">
        <f>IFERROR(VLOOKUP($EG13,$BM$2:$BQ$24,2,FALSE),"")</f>
        <v/>
      </c>
      <c r="FC13" s="152">
        <f>IFERROR(VLOOKUP($EH13,$BM$2:$BQ$24,2,FALSE),"")</f>
        <v/>
      </c>
      <c r="FD13" s="152">
        <f>COUNTIF($EK13:$EO13,1)</f>
        <v/>
      </c>
      <c r="FE13" s="152">
        <f>COUNTIF($EK13:$EO13,2)</f>
        <v/>
      </c>
      <c r="FF13" s="152">
        <f>COUNTIF($EK13:$EO13,3)</f>
        <v/>
      </c>
      <c r="FG13" s="152">
        <f>COUNTIF($EK13:$EO13,4)</f>
        <v/>
      </c>
      <c r="FH13" s="152">
        <f>COUNTIF($EK13:$EO13,5)</f>
        <v/>
      </c>
      <c r="FI13" s="152">
        <f>COUNTIF($EK13:$EO13,6)</f>
        <v/>
      </c>
      <c r="FJ13" s="152">
        <f>COUNTIF($EZ13:$FA13,1)</f>
        <v/>
      </c>
      <c r="FK13" s="152">
        <f>COUNTIF($EZ13:$FA13,2)+$EW13</f>
        <v/>
      </c>
      <c r="FL13" s="152">
        <f>COUNTIF($EC13:$EF13,"?*")</f>
        <v/>
      </c>
      <c r="FM13" s="152">
        <f>COUNTIF($EG13:$EH13,"?*")+$EW13</f>
        <v/>
      </c>
      <c r="FN13" s="152">
        <f>SUMPRODUCT($FD13:$FI13,INDEX($Q$2:$V$8,$DZ13,0))</f>
        <v/>
      </c>
      <c r="FO13" s="152">
        <f>$FJ13*CEILING($DZ13/2,1)+$FK13*$DZ13</f>
        <v/>
      </c>
      <c r="FP13" s="152">
        <f>MIN(2*$DZ13,$FO13)</f>
        <v/>
      </c>
      <c r="FQ13" s="152">
        <f>MIN($FP13,$FN13)</f>
        <v/>
      </c>
      <c r="FR13" s="152">
        <f>$FP13-$FQ13</f>
        <v/>
      </c>
      <c r="FS13" s="152">
        <f>3*$DZ13-$FN13+$FQ13</f>
        <v/>
      </c>
      <c r="FT13" s="152">
        <f>MAX(0,$FS13)+$DX13*$DZ13</f>
        <v/>
      </c>
      <c r="FU13" s="152">
        <f>(IF(COUNTIF($EC13:$EF13,"Salto")&gt;0,1,0)+IF(COUNTIF($EC13:$EF13,"Queima")&gt;0,1,0)+IF(COUNTIF($EC13:$EF13,"Estilhaço")&gt;0,1,0))*FLOOR($FT13/2,1)</f>
        <v/>
      </c>
      <c r="FV13" s="152">
        <f>MAX(0,3-SUMPRODUCT($FD13:$FI13,$Q$2:$V$2)+MIN(2,$FJ13*1+$FK13*1,SUMPRODUCT($FD13:$FI13,$Q$2:$V$2)))+$DX13*1</f>
        <v/>
      </c>
      <c r="FW13" s="152">
        <f>MAX(0,6-SUMPRODUCT($FD13:$FI13,$Q$3:$V$3)+MIN(4,$FJ13*1+$FK13*2,SUMPRODUCT($FD13:$FI13,$Q$3:$V$3)))+$DX13*2</f>
        <v/>
      </c>
      <c r="FX13" s="152">
        <f>MAX(0,9-SUMPRODUCT($FD13:$FI13,$Q$4:$V$4)+MIN(6,$FJ13*2+$FK13*3,SUMPRODUCT($FD13:$FI13,$Q$4:$V$4)))+$DX13*3</f>
        <v/>
      </c>
      <c r="FY13" s="152">
        <f>MAX(0,12-SUMPRODUCT($FD13:$FI13,$Q$5:$V$5)+MIN(8,$FJ13*2+$FK13*4,SUMPRODUCT($FD13:$FI13,$Q$5:$V$5)))+$DX13*4</f>
        <v/>
      </c>
      <c r="FZ13" s="152">
        <f>MAX(0,15-SUMPRODUCT($FD13:$FI13,$Q$6:$V$6)+MIN(10,$FJ13*3+$FK13*5,SUMPRODUCT($FD13:$FI13,$Q$6:$V$6)))+$DX13*5</f>
        <v/>
      </c>
      <c r="GA13" s="152">
        <f>MAX(0,18-SUMPRODUCT($FD13:$FI13,$Q$7:$V$7)+MIN(12,$FJ13*3+$FK13*6,SUMPRODUCT($FD13:$FI13,$Q$7:$V$7)))+$DX13*6</f>
        <v/>
      </c>
      <c r="GB13" s="152">
        <f>MAX(0,21-SUMPRODUCT($FD13:$FI13,$Q$8:$V$8)+MIN(14,$FJ13*4+$FK13*7,SUMPRODUCT($FD13:$FI13,$Q$8:$V$8)))+$DX13*7</f>
        <v/>
      </c>
      <c r="GC13" s="152">
        <f>IF($EX13=2,3*$FV13&amp;" de vida temp.",IF($EX13=3,"sem dano",IF($FV13=0,IF($EX13=1,"sem cura","sem dano"),IF($EX13=1,"cura ","")&amp;$FV13&amp;"d8")))</f>
        <v/>
      </c>
      <c r="GD13" s="152">
        <f>IF($EX13=2,3*$FW13&amp;" de vida temp.",IF($EX13=3,"sem dano",IF($FW13=0,IF($EX13=1,"sem cura","sem dano"),IF($EX13=1,"cura ","")&amp;$FW13&amp;"d8")))</f>
        <v/>
      </c>
      <c r="GE13" s="152">
        <f>IF($EX13=2,3*$FX13&amp;" de vida temp.",IF($EX13=3,"sem dano",IF($FX13=0,IF($EX13=1,"sem cura","sem dano"),IF($EX13=1,"cura ","")&amp;$FX13&amp;"d8")))</f>
        <v/>
      </c>
      <c r="GF13" s="152">
        <f>IF($EX13=2,3*$FY13&amp;" de vida temp.",IF($EX13=3,"sem dano",IF($FY13=0,IF($EX13=1,"sem cura","sem dano"),IF($EX13=1,"cura ","")&amp;$FY13&amp;"d8")))</f>
        <v/>
      </c>
      <c r="GG13" s="152">
        <f>IF($EX13=2,3*$FZ13&amp;" de vida temp.",IF($EX13=3,"sem dano",IF($FZ13=0,IF($EX13=1,"sem cura","sem dano"),IF($EX13=1,"cura ","")&amp;$FZ13&amp;"d8")))</f>
        <v/>
      </c>
      <c r="GH13" s="152">
        <f>IF($EX13=2,3*$GA13&amp;" de vida temp.",IF($EX13=3,"sem dano",IF($GA13=0,IF($EX13=1,"sem cura","sem dano"),IF($EX13=1,"cura ","")&amp;$GA13&amp;"d8")))</f>
        <v/>
      </c>
      <c r="GI13" s="152">
        <f>IF($EX13=2,3*$GB13&amp;" de vida temp.",IF($EX13=3,"sem dano",IF($GB13=0,IF($EX13=1,"sem cura","sem dano"),IF($EX13=1,"cura ","")&amp;$GB13&amp;"d8")))</f>
        <v/>
      </c>
      <c r="GJ13" s="152">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2">
        <f>IF($GJ13="",0,(LEN($GJ13)-LEN(SUBSTITUTE($GJ13," · ","")))/3+1)</f>
        <v/>
      </c>
      <c r="GL13" s="152">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2">
        <f>IF($GL13="",0,(LEN($GL13)-LEN(SUBSTITUTE($GL13," · ","")))/3+1)</f>
        <v/>
      </c>
      <c r="GN13" s="152">
        <f>IF($EI13=0,IF($FL13+$FM13-$EW13&gt;0,"Dê um nome",""),IF($GK13&gt;0,"⚠ "&amp;$GK13&amp;IF($GK13&gt;1," erros"," erro"),IF($GM13&gt;0,"! "&amp;$GM13&amp;IF($GM13&gt;1," avisos"," aviso"),"Na regra")))</f>
        <v/>
      </c>
      <c r="GO13" s="152">
        <f>IF($EI13=0,"",IF($GK13+$GM13=0,"Dentro das regras que a ficha confere",$GJ13&amp;IF(AND($GK13&gt;0,$GM13&gt;0)," · ","")&amp;$GL13))</f>
        <v/>
      </c>
      <c r="GP13" s="152">
        <f>IF($EI13=0,"",IF($DX13=1,CEILING(4.5*$DZ13,1),3*$DZ13)&amp;" PE")</f>
        <v/>
      </c>
      <c r="GQ13" s="152">
        <f>IF($EI13=0,"",IF($DX13=1,"Rodada inteira",IF(COUNTIF($FB13:$FC13,"Atrasar")&gt;0,IF(COUNTIF($FB13:$FC13,"Carregar")&gt;0,"Rodada +1 turno","Rodada inteira"),IF(COUNTIF($EC13:$EF13,"Rápido")&gt;0,"Bônus",IF(COUNTIF($EC13:$EF13,"Reação")&gt;0,"Reação","Padrão"))&amp;IF(COUNTIF($FB13:$FC13,"Carregar")&gt;0," +1 turno",""))))</f>
        <v/>
      </c>
      <c r="GR13" s="152">
        <f>IF(OR($EI13=0,$EJ13=0),"",IF(COUNTIF($EC13:$EF13,"Inescapável")&gt;0,"Automático",IF(COUNTIF($EC13:$EF13,"Certeiro")&gt;0,"TR para metade",IF(AND($EV13&gt;0,$EY13=0,INDEX($AF$2:$AF$11,$EJ13)="Acerto"),"Acerto + TR",INDEX($AF$2:$AF$11,$EJ13)))))</f>
        <v/>
      </c>
      <c r="GS13" s="152">
        <f>IF(OR($EI13=0,$EJ13=0),"",IF(OR($EX13&gt;=2,$FT13=0),UPPER(LEFT(INDEX($GC13:$GI13,1,$DZ13),1))&amp;MID(INDEX($GC13:$GI13,1,$DZ13),2,99),UPPER(LEFT(INDEX($GC13:$GI13,1,$DZ13),1))&amp;MID(INDEX($GC13:$GI13,1,$DZ13),2,99)&amp;" = "&amp;FLOOR($FT13*4.5,1)&amp;IF($FU13&gt;0," · +"&amp;$FU13&amp;"d8","")))</f>
        <v/>
      </c>
      <c r="GT13" s="152">
        <f>COUNTIF($EC13:$EF13,"Longe")+3*COUNTIF($EC13:$EF13,"Muito Longe")</f>
        <v/>
      </c>
      <c r="GU13" s="152">
        <f>COUNTIF($EC13:$EF13,"Maior")+3*COUNTIF($EC13:$EF13,"Muito Maior")</f>
        <v/>
      </c>
      <c r="GV13" s="152">
        <f>IF($EJ13=0,0,CHOOSE(1+INDEX($AH$2:$AH$11,$EJ13),0,$GT13,$GU13,$GT13+$GU13))</f>
        <v/>
      </c>
      <c r="GW13" s="152">
        <f>IF($EJ13=0,0,CHOOSE(1+INDEX($AI$2:$AI$11,$EJ13),0,$GT13,$GU13,$GT13+$GU13))</f>
        <v/>
      </c>
      <c r="GX13" s="152">
        <f>IF(OR($EI13=0,$EJ13=0),"",INDEX($AP$2:$AU$31,($EJ13-1)*3+IF($DZ13&gt;=6,3,2),1+MIN(5,$GV13))&amp;INDEX($AV$2:$BA$31,($EJ13-1)*3+IF($DZ13&gt;=6,3,2),1+MIN(5,$GW13))&amp;IF(INDEX($AJ$2:$AJ$11,$EJ13)=1,IF(COUNTIF($EC13:$EF13,"Mais Um")&gt;0," · +"&amp;COUNTIF($EC13:$EF13,"Mais Um")&amp;IF(COUNTIF($EC13:$EF13,"Mais Um")&gt;1," alvos"," alvo"),"")&amp;IF(COUNTIF($EC13:$EF13,"Rajada")&gt;0," · "&amp;($DZ13+1)&amp;" tiros",""),""))</f>
        <v/>
      </c>
      <c r="GY13" s="152">
        <f>IF($EI13=0,"",3*$DZ13&amp;" − "&amp;$FN13&amp;" + "&amp;$FQ13&amp;IF($DX13=1," + "&amp;$DZ13,"")&amp;" = "&amp;$FT13&amp;"d8 · teto "&amp;4*$DZ13&amp;IF($EW13=1," · a Forma devolve "&amp;$DZ13,"")&amp;IF($FR13&gt;0," · perde "&amp;$FR13,""))</f>
        <v/>
      </c>
      <c r="GZ13" s="152">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2">
        <f>IF(OR($EI13=0,$EL13=0),"","−"&amp;INDEX($Q$2:$V$8,$DZ13,$EL13)&amp;" · "&amp;CHOOSE($EL13,"Leve","Média","Pesada","Leve · Livre","Média · Livre","Pesada · Livre"))</f>
        <v/>
      </c>
      <c r="HB13" s="152">
        <f>IF(OR($EI13=0,$EM13=0),"","−"&amp;INDEX($Q$2:$V$8,$DZ13,$EM13)&amp;" · "&amp;CHOOSE($EM13,"Leve","Média","Pesada","Leve · Livre","Média · Livre","Pesada · Livre"))</f>
        <v/>
      </c>
      <c r="HC13" s="152">
        <f>IF(OR($EI13=0,$EN13=0),"","−"&amp;INDEX($Q$2:$V$8,$DZ13,$EN13)&amp;" · "&amp;CHOOSE($EN13,"Leve","Média","Pesada","Leve · Livre","Média · Livre","Pesada · Livre"))</f>
        <v/>
      </c>
      <c r="HD13" s="152">
        <f>IF(OR($EI13=0,$EO13=0),"","−"&amp;INDEX($Q$2:$V$8,$DZ13,$EO13)&amp;" · "&amp;CHOOSE($EO13,"Leve","Média","Pesada","Leve · Livre","Média · Livre","Pesada · Livre"))</f>
        <v/>
      </c>
      <c r="HE13" s="152">
        <f>IF(OR($EI13=0,$EG13=""),"","+"&amp;IF($EZ13=1,CEILING($DZ13/2,1),$DZ13))</f>
        <v/>
      </c>
      <c r="HF13" s="152">
        <f>IF(OR($EI13=0,$EH13=""),"","+"&amp;IF($FA13=1,CEILING($DZ13/2,1),$DZ13))</f>
        <v/>
      </c>
      <c r="HG13" s="152">
        <f>'FICHA AMALDIÇOADA'!$P$116&amp;""</f>
        <v/>
      </c>
      <c r="HH13" s="152">
        <f>IF(AND($EI13=1,$DX13=0),COUNTIFS($EI$2:$EI13,1,$DX$2:$DX13,0),"")</f>
        <v/>
      </c>
      <c r="HJ13" s="150" t="inlineStr">
        <is>
          <t>espaços de pacto</t>
        </is>
      </c>
      <c r="HK13" s="152">
        <f>IF(AND('FICHA AMALDIÇOADA'!$L$518="Permanente",'FICHA AMALDIÇOADA'!$P$518="Um espaço conhecido"),1,0)+IF(AND('FICHA AMALDIÇOADA'!$L$528="Permanente",'FICHA AMALDIÇOADA'!$P$528="Um espaço conhecido"),1,0)+IF(AND('FICHA AMALDIÇOADA'!$L$538="Permanente",'FICHA AMALDIÇOADA'!$P$538="Um espaço conhecido"),1,0)</f>
        <v/>
      </c>
      <c r="HM13" s="150" t="inlineStr">
        <is>
          <t>Talento 12 · Leque</t>
        </is>
      </c>
      <c r="HN13" s="152">
        <f>'FICHA AMALDIÇOADA'!$D$413&amp;""</f>
        <v/>
      </c>
      <c r="HO13" s="152">
        <f>IFERROR(VLOOKUP($HN13,$BS$2:$BY$24,2,FALSE),0)</f>
        <v/>
      </c>
      <c r="HP13" s="152">
        <f>IFERROR(VLOOKUP($HO13,$CA$2:$CB$4,2,FALSE),0)</f>
        <v/>
      </c>
      <c r="HQ13" s="152">
        <f>IFERROR(VLOOKUP($HN13,$BS$2:$BY$24,3,FALSE),"")</f>
        <v/>
      </c>
      <c r="HR13" s="152">
        <f>IF($HO13=0,"",IF($HP13&gt;$HK$2,"⚠ Nível "&amp;$HP13,"CE "&amp;$HO13))</f>
        <v/>
      </c>
      <c r="HS13" s="152">
        <f>IF($HO13=0,"",IF(7&gt;$HK$8,"⚠ Vaga","Grátis"))</f>
        <v/>
      </c>
      <c r="HT13" s="152">
        <f>'FICHA AMALDIÇOADA'!$E$418&amp;""</f>
        <v/>
      </c>
      <c r="HU13" s="152">
        <f>IF($HN13="","",COUNTIF($HN$2:$HN13,"?*"))</f>
        <v/>
      </c>
      <c r="HW13" s="150" t="inlineStr">
        <is>
          <t>Aptidão 12</t>
        </is>
      </c>
      <c r="HX13" s="152">
        <f>'FICHA AMALDIÇOADA'!$P$492&amp;""</f>
        <v/>
      </c>
      <c r="HY13" s="152">
        <f>IF($HX13="","","Requisito: "&amp;IFERROR(VLOOKUP($HX13,$CD$2:$CM$33,2,FALSE),""))</f>
        <v/>
      </c>
      <c r="HZ13" s="152">
        <f>IF($HX13="","",IFERROR(IF(ISNUMBER(VLOOKUP($HX13,$CD$2:$CM$33,3,FALSE)),"CE "&amp;VLOOKUP($HX13,$CD$2:$CM$33,3,FALSE),VLOOKUP($HX13,$CD$2:$CM$33,3,FALSE)),""))</f>
        <v/>
      </c>
      <c r="IA13" s="152">
        <f>IF($HX13="","",IFERROR(VLOOKUP($HX13,$CD$2:$CM$33,4,FALSE),""))</f>
        <v/>
      </c>
      <c r="IB13" s="152">
        <f>IF($HX13="","",IFERROR(VLOOKUP($HX13,$CD$2:$CM$33,5,FALSE),""))</f>
        <v/>
      </c>
      <c r="IC13" s="152">
        <f>'FICHA AMALDIÇOADA'!$Q$509&amp;""</f>
        <v/>
      </c>
      <c r="ID13" s="152">
        <f>IF($HX13="","",COUNTIF($HX$2:$HX13,"?*"))</f>
        <v/>
      </c>
      <c r="JF13" s="152" t="n">
        <v>12</v>
      </c>
      <c r="JG13" s="152">
        <f>IFERROR(MATCH(12,$HH$2:$HH$37,0),0)</f>
        <v/>
      </c>
      <c r="JH13" s="152">
        <f>IF($JG13=0,"",INDEX($DZ$2:$DZ$37,$JG13))</f>
        <v/>
      </c>
      <c r="JI13" s="152">
        <f>IF($JG13=0,"",INDEX($EA$2:$EA$37,$JG13))</f>
        <v/>
      </c>
      <c r="JJ13" s="152">
        <f>IF($JG13=0,"",INDEX($GP$2:$GP$37,$JG13))</f>
        <v/>
      </c>
      <c r="JK13" s="152">
        <f>IF($JG13=0,"",INDEX($EB$2:$EB$37,$JG13))</f>
        <v/>
      </c>
      <c r="JL13" s="152">
        <f>IF($JG13=0,"",INDEX($GR$2:$GR$37,$JG13))</f>
        <v/>
      </c>
      <c r="JM13" s="152">
        <f>IF($JG13=0,"",INDEX($HG$2:$HG$37,$JG13))</f>
        <v/>
      </c>
      <c r="KD13" s="150" t="inlineStr">
        <is>
          <t>Talento 10</t>
        </is>
      </c>
      <c r="KE13" s="152">
        <f>IFERROR(MATCH(10,$HU$2:$HU$13,0),0)</f>
        <v/>
      </c>
      <c r="KF13" s="152">
        <f>IF($KE13=0,"",IF(INDEX($HO$2:$HO$13,$KE13)=0,"","CE "&amp;INDEX($HO$2:$HO$13,$KE13)))</f>
        <v/>
      </c>
      <c r="KG13" s="152">
        <f>IF($KE13=0,"",INDEX($HN$2:$HN$13,$KE13))</f>
        <v/>
      </c>
      <c r="KH13" s="152">
        <f>IF($KE13=0,"",IF(INDEX($HT$2:$HT$13,$KE13)&lt;&gt;"",INDEX($HT$2:$HT$13,$KE13),IF(IFERROR(VLOOKUP(INDEX($HN$2:$HN$13,$KE13),$BS$2:$BY$24,7,FALSE),"")&lt;&gt;"","Do livro: "&amp;IFERROR(VLOOKUP(INDEX($HN$2:$HN$13,$KE13),$BS$2:$BY$24,7,FALSE),""),"")))</f>
        <v/>
      </c>
      <c r="KJ13" s="150" t="inlineStr">
        <is>
          <t>Aptidão 10</t>
        </is>
      </c>
      <c r="KK13" s="152">
        <f>IFERROR(MATCH(10,$ID$2:$ID$13,0),0)</f>
        <v/>
      </c>
      <c r="KL13" s="152">
        <f>IF($KK13=0,"",INDEX($HZ$2:$HZ$13,$KK13))</f>
        <v/>
      </c>
      <c r="KM13" s="152">
        <f>IF($KK13=0,"",INDEX($HX$2:$HX$13,$KK13))</f>
        <v/>
      </c>
      <c r="KN13" s="152">
        <f>IF($KK13=0,"",IF(INDEX($IC$2:$IC$13,$KK13)&lt;&gt;"",INDEX($IC$2:$IC$13,$KK13),IF(IFERROR(VLOOKUP(INDEX($HX$2:$HX$13,$KK13),$CD$2:$CM$33,10,FALSE),"")&lt;&gt;"","Do livro: "&amp;IFERROR(VLOOKUP(INDEX($HX$2:$HX$13,$KK13),$CD$2:$CM$33,10,FALSE),""),"")))</f>
        <v/>
      </c>
      <c r="KP13" s="150" t="inlineStr">
        <is>
          <t>par 8</t>
        </is>
      </c>
      <c r="KQ13" s="152">
        <f>UPPER(INDEX($D$3:$G$3,1,$A$2))&amp;" 25 A 30"</f>
        <v/>
      </c>
      <c r="KS13" s="150" t="inlineStr">
        <is>
          <t>J19</t>
        </is>
      </c>
      <c r="KT13" s="152">
        <f>IF(DADOS_AM!$HK$43="","",DADOS_AM!$HK$43&amp;" · "&amp;"d20 + "&amp;(DADOS_AM!$HK$3+DADOS_AM!$HK$46+IFERROR(VALUE(FICHA!$W$47&amp;""),0))&amp;" · CD "&amp;(8+DADOS_AM!$HK$3+DADOS_AM!$HK$46+IFERROR(VALUE(FICHA!$L$47&amp;""),0)))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K14" s="152" t="n">
        <v>0</v>
      </c>
      <c r="BM14" s="150" t="inlineStr">
        <is>
          <t>Sem Volta</t>
        </is>
      </c>
      <c r="BN14" s="150" t="inlineStr">
        <is>
          <t>Sem Volta</t>
        </is>
      </c>
      <c r="BO14" s="152" t="n">
        <v>2</v>
      </c>
      <c r="BP14" s="152" t="n">
        <v>0</v>
      </c>
      <c r="BQ14" s="150" t="inlineStr"/>
      <c r="BS14" s="150" t="inlineStr">
        <is>
          <t>Peso da Presença</t>
        </is>
      </c>
      <c r="BT14" s="152" t="n">
        <v>2</v>
      </c>
      <c r="BU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2" t="n">
        <v>1</v>
      </c>
      <c r="BW14" s="152" t="n">
        <v>0</v>
      </c>
      <c r="BX14" s="152">
        <f>IF(OR(AND($A$2&lt;=2,$BV14=1),AND($A$2&gt;=2,$BW14=1)),$BS14,"")</f>
        <v/>
      </c>
      <c r="BY14" s="150" t="inlineStr">
        <is>
          <t>Um inimigo da categoria Capanga que comece o turno a até 6 m de você faz um TR Espírito contra a CD da sua técnica.</t>
        </is>
      </c>
      <c r="CD14" s="150" t="inlineStr">
        <is>
          <t>Barreira Simples</t>
        </is>
      </c>
      <c r="CE14" s="150" t="inlineStr">
        <is>
          <t>Uma escolha de aptidão</t>
        </is>
      </c>
      <c r="CF14" s="150" t="inlineStr">
        <is>
          <t>—</t>
        </is>
      </c>
      <c r="CG14" s="150" t="inlineStr">
        <is>
          <t>—</t>
        </is>
      </c>
      <c r="CH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2">
        <f>IF($CL14=1,"",IF($A$2=4,IF($CJ14=1,$CD14,""),IF(OR($CJ14=1,AND($A$2=3,$CK14=1)),"",$CD14)))</f>
        <v/>
      </c>
      <c r="CJ14" s="152" t="n">
        <v>0</v>
      </c>
      <c r="CK14" s="152" t="n">
        <v>0</v>
      </c>
      <c r="CL14" s="152" t="n">
        <v>0</v>
      </c>
      <c r="CM14" s="150" t="inlineStr">
        <is>
          <t>Você ergue um domo fixo para impedir a passagem por um lugar.</t>
        </is>
      </c>
      <c r="CU14" s="150" t="inlineStr">
        <is>
          <t>Manopla</t>
        </is>
      </c>
      <c r="CV14" s="152" t="n">
        <v>1</v>
      </c>
      <c r="CW14" s="152" t="n">
        <v>0</v>
      </c>
      <c r="CX14" s="152">
        <f>IF(AND($A$2&gt;=3,'FICHA AMALDIÇOADA'!$J$16&amp;""="Três grupos de arma"),$CU14,"")</f>
        <v/>
      </c>
      <c r="DW14" s="150" t="inlineStr">
        <is>
          <t>Feitiço 13</t>
        </is>
      </c>
      <c r="DX14" s="152" t="n">
        <v>0</v>
      </c>
      <c r="DY14" s="152" t="n">
        <v>13</v>
      </c>
      <c r="DZ14" s="152">
        <f>MAX(1,MIN(7,N('FICHA AMALDIÇOADA'!$D$137)))</f>
        <v/>
      </c>
      <c r="EA14" s="152">
        <f>'FICHA AMALDIÇOADA'!$E$137&amp;""</f>
        <v/>
      </c>
      <c r="EB14" s="152">
        <f>'FICHA AMALDIÇOADA'!$D$144&amp;""</f>
        <v/>
      </c>
      <c r="EC14" s="152">
        <f>'FICHA AMALDIÇOADA'!$E$146&amp;""</f>
        <v/>
      </c>
      <c r="ED14" s="152">
        <f>'FICHA AMALDIÇOADA'!$E$147&amp;""</f>
        <v/>
      </c>
      <c r="EE14" s="152">
        <f>'FICHA AMALDIÇOADA'!$E$148&amp;""</f>
        <v/>
      </c>
      <c r="EF14" s="152">
        <f>'FICHA AMALDIÇOADA'!$E$149&amp;""</f>
        <v/>
      </c>
      <c r="EG14" s="152">
        <f>'FICHA AMALDIÇOADA'!$E$150&amp;""</f>
        <v/>
      </c>
      <c r="EH14" s="152">
        <f>'FICHA AMALDIÇOADA'!$E$151&amp;""</f>
        <v/>
      </c>
      <c r="EI14" s="152">
        <f>IF($EA14&lt;&gt;"",1,0)</f>
        <v/>
      </c>
      <c r="EJ14" s="152">
        <f>IFERROR(MATCH($EB14,$Y$2:$Y$11,0),0)</f>
        <v/>
      </c>
      <c r="EK14" s="152">
        <f>IF($EJ14=0,0,INDEX($AB$2:$AB$11,$EJ14))</f>
        <v/>
      </c>
      <c r="EL14" s="152">
        <f>IFERROR(VLOOKUP($EC14,$BC$2:$BK$84,4,FALSE),0)</f>
        <v/>
      </c>
      <c r="EM14" s="152">
        <f>IFERROR(VLOOKUP($ED14,$BC$2:$BK$84,4,FALSE),0)</f>
        <v/>
      </c>
      <c r="EN14" s="152">
        <f>IFERROR(VLOOKUP($EE14,$BC$2:$BK$84,4,FALSE),0)</f>
        <v/>
      </c>
      <c r="EO14" s="152">
        <f>IFERROR(VLOOKUP($EF14,$BC$2:$BK$84,4,FALSE),0)</f>
        <v/>
      </c>
      <c r="EP14" s="152">
        <f>IF($EJ14=0,0,INDEX($AC$2:$AC$11,$EJ14))</f>
        <v/>
      </c>
      <c r="EQ14" s="152">
        <f>IFERROR(VLOOKUP($EC14,$BC$2:$BK$84,5,FALSE),0)</f>
        <v/>
      </c>
      <c r="ER14" s="152">
        <f>IFERROR(VLOOKUP($ED14,$BC$2:$BK$84,5,FALSE),0)</f>
        <v/>
      </c>
      <c r="ES14" s="152">
        <f>IFERROR(VLOOKUP($EE14,$BC$2:$BK$84,5,FALSE),0)</f>
        <v/>
      </c>
      <c r="ET14" s="152">
        <f>IFERROR(VLOOKUP($EF14,$BC$2:$BK$84,5,FALSE),0)</f>
        <v/>
      </c>
      <c r="EU14" s="152">
        <f>IFERROR(VLOOKUP($EC14,$BC$2:$BK$84,6,FALSE),0)+IFERROR(VLOOKUP($ED14,$BC$2:$BK$84,6,FALSE),0)+IFERROR(VLOOKUP($EE14,$BC$2:$BK$84,6,FALSE),0)+IFERROR(VLOOKUP($EF14,$BC$2:$BK$84,6,FALSE),0)</f>
        <v/>
      </c>
      <c r="EV14" s="152">
        <f>IFERROR(VLOOKUP($EC14,$BC$2:$BK$84,9,FALSE),0)+IFERROR(VLOOKUP($ED14,$BC$2:$BK$84,9,FALSE),0)+IFERROR(VLOOKUP($EE14,$BC$2:$BK$84,9,FALSE),0)+IFERROR(VLOOKUP($EF14,$BC$2:$BK$84,9,FALSE),0)</f>
        <v/>
      </c>
      <c r="EW14" s="152">
        <f>IF($EJ14=0,0,INDEX($AD$2:$AD$11,$EJ14))</f>
        <v/>
      </c>
      <c r="EX14" s="152">
        <f>IF($EJ14=0,0,INDEX($AE$2:$AE$11,$EJ14))</f>
        <v/>
      </c>
      <c r="EY14" s="152">
        <f>IF($EJ14=0,0,INDEX($AG$2:$AG$11,$EJ14))</f>
        <v/>
      </c>
      <c r="EZ14" s="152">
        <f>IFERROR(VLOOKUP($EG14,$BM$2:$BQ$24,3,FALSE),0)</f>
        <v/>
      </c>
      <c r="FA14" s="152">
        <f>IFERROR(VLOOKUP($EH14,$BM$2:$BQ$24,3,FALSE),0)</f>
        <v/>
      </c>
      <c r="FB14" s="152">
        <f>IFERROR(VLOOKUP($EG14,$BM$2:$BQ$24,2,FALSE),"")</f>
        <v/>
      </c>
      <c r="FC14" s="152">
        <f>IFERROR(VLOOKUP($EH14,$BM$2:$BQ$24,2,FALSE),"")</f>
        <v/>
      </c>
      <c r="FD14" s="152">
        <f>COUNTIF($EK14:$EO14,1)</f>
        <v/>
      </c>
      <c r="FE14" s="152">
        <f>COUNTIF($EK14:$EO14,2)</f>
        <v/>
      </c>
      <c r="FF14" s="152">
        <f>COUNTIF($EK14:$EO14,3)</f>
        <v/>
      </c>
      <c r="FG14" s="152">
        <f>COUNTIF($EK14:$EO14,4)</f>
        <v/>
      </c>
      <c r="FH14" s="152">
        <f>COUNTIF($EK14:$EO14,5)</f>
        <v/>
      </c>
      <c r="FI14" s="152">
        <f>COUNTIF($EK14:$EO14,6)</f>
        <v/>
      </c>
      <c r="FJ14" s="152">
        <f>COUNTIF($EZ14:$FA14,1)</f>
        <v/>
      </c>
      <c r="FK14" s="152">
        <f>COUNTIF($EZ14:$FA14,2)+$EW14</f>
        <v/>
      </c>
      <c r="FL14" s="152">
        <f>COUNTIF($EC14:$EF14,"?*")</f>
        <v/>
      </c>
      <c r="FM14" s="152">
        <f>COUNTIF($EG14:$EH14,"?*")+$EW14</f>
        <v/>
      </c>
      <c r="FN14" s="152">
        <f>SUMPRODUCT($FD14:$FI14,INDEX($Q$2:$V$8,$DZ14,0))</f>
        <v/>
      </c>
      <c r="FO14" s="152">
        <f>$FJ14*CEILING($DZ14/2,1)+$FK14*$DZ14</f>
        <v/>
      </c>
      <c r="FP14" s="152">
        <f>MIN(2*$DZ14,$FO14)</f>
        <v/>
      </c>
      <c r="FQ14" s="152">
        <f>MIN($FP14,$FN14)</f>
        <v/>
      </c>
      <c r="FR14" s="152">
        <f>$FP14-$FQ14</f>
        <v/>
      </c>
      <c r="FS14" s="152">
        <f>3*$DZ14-$FN14+$FQ14</f>
        <v/>
      </c>
      <c r="FT14" s="152">
        <f>MAX(0,$FS14)+$DX14*$DZ14</f>
        <v/>
      </c>
      <c r="FU14" s="152">
        <f>(IF(COUNTIF($EC14:$EF14,"Salto")&gt;0,1,0)+IF(COUNTIF($EC14:$EF14,"Queima")&gt;0,1,0)+IF(COUNTIF($EC14:$EF14,"Estilhaço")&gt;0,1,0))*FLOOR($FT14/2,1)</f>
        <v/>
      </c>
      <c r="FV14" s="152">
        <f>MAX(0,3-SUMPRODUCT($FD14:$FI14,$Q$2:$V$2)+MIN(2,$FJ14*1+$FK14*1,SUMPRODUCT($FD14:$FI14,$Q$2:$V$2)))+$DX14*1</f>
        <v/>
      </c>
      <c r="FW14" s="152">
        <f>MAX(0,6-SUMPRODUCT($FD14:$FI14,$Q$3:$V$3)+MIN(4,$FJ14*1+$FK14*2,SUMPRODUCT($FD14:$FI14,$Q$3:$V$3)))+$DX14*2</f>
        <v/>
      </c>
      <c r="FX14" s="152">
        <f>MAX(0,9-SUMPRODUCT($FD14:$FI14,$Q$4:$V$4)+MIN(6,$FJ14*2+$FK14*3,SUMPRODUCT($FD14:$FI14,$Q$4:$V$4)))+$DX14*3</f>
        <v/>
      </c>
      <c r="FY14" s="152">
        <f>MAX(0,12-SUMPRODUCT($FD14:$FI14,$Q$5:$V$5)+MIN(8,$FJ14*2+$FK14*4,SUMPRODUCT($FD14:$FI14,$Q$5:$V$5)))+$DX14*4</f>
        <v/>
      </c>
      <c r="FZ14" s="152">
        <f>MAX(0,15-SUMPRODUCT($FD14:$FI14,$Q$6:$V$6)+MIN(10,$FJ14*3+$FK14*5,SUMPRODUCT($FD14:$FI14,$Q$6:$V$6)))+$DX14*5</f>
        <v/>
      </c>
      <c r="GA14" s="152">
        <f>MAX(0,18-SUMPRODUCT($FD14:$FI14,$Q$7:$V$7)+MIN(12,$FJ14*3+$FK14*6,SUMPRODUCT($FD14:$FI14,$Q$7:$V$7)))+$DX14*6</f>
        <v/>
      </c>
      <c r="GB14" s="152">
        <f>MAX(0,21-SUMPRODUCT($FD14:$FI14,$Q$8:$V$8)+MIN(14,$FJ14*4+$FK14*7,SUMPRODUCT($FD14:$FI14,$Q$8:$V$8)))+$DX14*7</f>
        <v/>
      </c>
      <c r="GC14" s="152">
        <f>IF($EX14=2,3*$FV14&amp;" de vida temp.",IF($EX14=3,"sem dano",IF($FV14=0,IF($EX14=1,"sem cura","sem dano"),IF($EX14=1,"cura ","")&amp;$FV14&amp;"d8")))</f>
        <v/>
      </c>
      <c r="GD14" s="152">
        <f>IF($EX14=2,3*$FW14&amp;" de vida temp.",IF($EX14=3,"sem dano",IF($FW14=0,IF($EX14=1,"sem cura","sem dano"),IF($EX14=1,"cura ","")&amp;$FW14&amp;"d8")))</f>
        <v/>
      </c>
      <c r="GE14" s="152">
        <f>IF($EX14=2,3*$FX14&amp;" de vida temp.",IF($EX14=3,"sem dano",IF($FX14=0,IF($EX14=1,"sem cura","sem dano"),IF($EX14=1,"cura ","")&amp;$FX14&amp;"d8")))</f>
        <v/>
      </c>
      <c r="GF14" s="152">
        <f>IF($EX14=2,3*$FY14&amp;" de vida temp.",IF($EX14=3,"sem dano",IF($FY14=0,IF($EX14=1,"sem cura","sem dano"),IF($EX14=1,"cura ","")&amp;$FY14&amp;"d8")))</f>
        <v/>
      </c>
      <c r="GG14" s="152">
        <f>IF($EX14=2,3*$FZ14&amp;" de vida temp.",IF($EX14=3,"sem dano",IF($FZ14=0,IF($EX14=1,"sem cura","sem dano"),IF($EX14=1,"cura ","")&amp;$FZ14&amp;"d8")))</f>
        <v/>
      </c>
      <c r="GH14" s="152">
        <f>IF($EX14=2,3*$GA14&amp;" de vida temp.",IF($EX14=3,"sem dano",IF($GA14=0,IF($EX14=1,"sem cura","sem dano"),IF($EX14=1,"cura ","")&amp;$GA14&amp;"d8")))</f>
        <v/>
      </c>
      <c r="GI14" s="152">
        <f>IF($EX14=2,3*$GB14&amp;" de vida temp.",IF($EX14=3,"sem dano",IF($GB14=0,IF($EX14=1,"sem cura","sem dano"),IF($EX14=1,"cura ","")&amp;$GB14&amp;"d8")))</f>
        <v/>
      </c>
      <c r="GJ14" s="152">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2">
        <f>IF($GJ14="",0,(LEN($GJ14)-LEN(SUBSTITUTE($GJ14," · ","")))/3+1)</f>
        <v/>
      </c>
      <c r="GL14" s="152">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2">
        <f>IF($GL14="",0,(LEN($GL14)-LEN(SUBSTITUTE($GL14," · ","")))/3+1)</f>
        <v/>
      </c>
      <c r="GN14" s="152">
        <f>IF($EI14=0,IF($FL14+$FM14-$EW14&gt;0,"Dê um nome",""),IF($GK14&gt;0,"⚠ "&amp;$GK14&amp;IF($GK14&gt;1," erros"," erro"),IF($GM14&gt;0,"! "&amp;$GM14&amp;IF($GM14&gt;1," avisos"," aviso"),"Na regra")))</f>
        <v/>
      </c>
      <c r="GO14" s="152">
        <f>IF($EI14=0,"",IF($GK14+$GM14=0,"Dentro das regras que a ficha confere",$GJ14&amp;IF(AND($GK14&gt;0,$GM14&gt;0)," · ","")&amp;$GL14))</f>
        <v/>
      </c>
      <c r="GP14" s="152">
        <f>IF($EI14=0,"",IF($DX14=1,CEILING(4.5*$DZ14,1),3*$DZ14)&amp;" PE")</f>
        <v/>
      </c>
      <c r="GQ14" s="152">
        <f>IF($EI14=0,"",IF($DX14=1,"Rodada inteira",IF(COUNTIF($FB14:$FC14,"Atrasar")&gt;0,IF(COUNTIF($FB14:$FC14,"Carregar")&gt;0,"Rodada +1 turno","Rodada inteira"),IF(COUNTIF($EC14:$EF14,"Rápido")&gt;0,"Bônus",IF(COUNTIF($EC14:$EF14,"Reação")&gt;0,"Reação","Padrão"))&amp;IF(COUNTIF($FB14:$FC14,"Carregar")&gt;0," +1 turno",""))))</f>
        <v/>
      </c>
      <c r="GR14" s="152">
        <f>IF(OR($EI14=0,$EJ14=0),"",IF(COUNTIF($EC14:$EF14,"Inescapável")&gt;0,"Automático",IF(COUNTIF($EC14:$EF14,"Certeiro")&gt;0,"TR para metade",IF(AND($EV14&gt;0,$EY14=0,INDEX($AF$2:$AF$11,$EJ14)="Acerto"),"Acerto + TR",INDEX($AF$2:$AF$11,$EJ14)))))</f>
        <v/>
      </c>
      <c r="GS14" s="152">
        <f>IF(OR($EI14=0,$EJ14=0),"",IF(OR($EX14&gt;=2,$FT14=0),UPPER(LEFT(INDEX($GC14:$GI14,1,$DZ14),1))&amp;MID(INDEX($GC14:$GI14,1,$DZ14),2,99),UPPER(LEFT(INDEX($GC14:$GI14,1,$DZ14),1))&amp;MID(INDEX($GC14:$GI14,1,$DZ14),2,99)&amp;" = "&amp;FLOOR($FT14*4.5,1)&amp;IF($FU14&gt;0," · +"&amp;$FU14&amp;"d8","")))</f>
        <v/>
      </c>
      <c r="GT14" s="152">
        <f>COUNTIF($EC14:$EF14,"Longe")+3*COUNTIF($EC14:$EF14,"Muito Longe")</f>
        <v/>
      </c>
      <c r="GU14" s="152">
        <f>COUNTIF($EC14:$EF14,"Maior")+3*COUNTIF($EC14:$EF14,"Muito Maior")</f>
        <v/>
      </c>
      <c r="GV14" s="152">
        <f>IF($EJ14=0,0,CHOOSE(1+INDEX($AH$2:$AH$11,$EJ14),0,$GT14,$GU14,$GT14+$GU14))</f>
        <v/>
      </c>
      <c r="GW14" s="152">
        <f>IF($EJ14=0,0,CHOOSE(1+INDEX($AI$2:$AI$11,$EJ14),0,$GT14,$GU14,$GT14+$GU14))</f>
        <v/>
      </c>
      <c r="GX14" s="152">
        <f>IF(OR($EI14=0,$EJ14=0),"",INDEX($AP$2:$AU$31,($EJ14-1)*3+IF($DZ14&gt;=6,3,2),1+MIN(5,$GV14))&amp;INDEX($AV$2:$BA$31,($EJ14-1)*3+IF($DZ14&gt;=6,3,2),1+MIN(5,$GW14))&amp;IF(INDEX($AJ$2:$AJ$11,$EJ14)=1,IF(COUNTIF($EC14:$EF14,"Mais Um")&gt;0," · +"&amp;COUNTIF($EC14:$EF14,"Mais Um")&amp;IF(COUNTIF($EC14:$EF14,"Mais Um")&gt;1," alvos"," alvo"),"")&amp;IF(COUNTIF($EC14:$EF14,"Rajada")&gt;0," · "&amp;($DZ14+1)&amp;" tiros",""),""))</f>
        <v/>
      </c>
      <c r="GY14" s="152">
        <f>IF($EI14=0,"",3*$DZ14&amp;" − "&amp;$FN14&amp;" + "&amp;$FQ14&amp;IF($DX14=1," + "&amp;$DZ14,"")&amp;" = "&amp;$FT14&amp;"d8 · teto "&amp;4*$DZ14&amp;IF($EW14=1," · a Forma devolve "&amp;$DZ14,"")&amp;IF($FR14&gt;0," · perde "&amp;$FR14,""))</f>
        <v/>
      </c>
      <c r="GZ14" s="152">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2">
        <f>IF(OR($EI14=0,$EL14=0),"","−"&amp;INDEX($Q$2:$V$8,$DZ14,$EL14)&amp;" · "&amp;CHOOSE($EL14,"Leve","Média","Pesada","Leve · Livre","Média · Livre","Pesada · Livre"))</f>
        <v/>
      </c>
      <c r="HB14" s="152">
        <f>IF(OR($EI14=0,$EM14=0),"","−"&amp;INDEX($Q$2:$V$8,$DZ14,$EM14)&amp;" · "&amp;CHOOSE($EM14,"Leve","Média","Pesada","Leve · Livre","Média · Livre","Pesada · Livre"))</f>
        <v/>
      </c>
      <c r="HC14" s="152">
        <f>IF(OR($EI14=0,$EN14=0),"","−"&amp;INDEX($Q$2:$V$8,$DZ14,$EN14)&amp;" · "&amp;CHOOSE($EN14,"Leve","Média","Pesada","Leve · Livre","Média · Livre","Pesada · Livre"))</f>
        <v/>
      </c>
      <c r="HD14" s="152">
        <f>IF(OR($EI14=0,$EO14=0),"","−"&amp;INDEX($Q$2:$V$8,$DZ14,$EO14)&amp;" · "&amp;CHOOSE($EO14,"Leve","Média","Pesada","Leve · Livre","Média · Livre","Pesada · Livre"))</f>
        <v/>
      </c>
      <c r="HE14" s="152">
        <f>IF(OR($EI14=0,$EG14=""),"","+"&amp;IF($EZ14=1,CEILING($DZ14/2,1),$DZ14))</f>
        <v/>
      </c>
      <c r="HF14" s="152">
        <f>IF(OR($EI14=0,$EH14=""),"","+"&amp;IF($FA14=1,CEILING($DZ14/2,1),$DZ14))</f>
        <v/>
      </c>
      <c r="HG14" s="152">
        <f>'FICHA AMALDIÇOADA'!$D$139&amp;""</f>
        <v/>
      </c>
      <c r="HH14" s="152">
        <f>IF(AND($EI14=1,$DX14=0),COUNTIFS($EI$2:$EI14,1,$DX$2:$DX14,0),"")</f>
        <v/>
      </c>
      <c r="HJ14" s="150" t="inlineStr">
        <is>
          <t>espaços</t>
        </is>
      </c>
      <c r="HK14" s="152">
        <f>$HK$12+$HK$13</f>
        <v/>
      </c>
      <c r="JF14" s="152" t="n">
        <v>13</v>
      </c>
      <c r="JG14" s="152">
        <f>IFERROR(MATCH(13,$HH$2:$HH$37,0),0)</f>
        <v/>
      </c>
      <c r="JH14" s="152">
        <f>IF($JG14=0,"",INDEX($DZ$2:$DZ$37,$JG14))</f>
        <v/>
      </c>
      <c r="JI14" s="152">
        <f>IF($JG14=0,"",INDEX($EA$2:$EA$37,$JG14))</f>
        <v/>
      </c>
      <c r="JJ14" s="152">
        <f>IF($JG14=0,"",INDEX($GP$2:$GP$37,$JG14))</f>
        <v/>
      </c>
      <c r="JK14" s="152">
        <f>IF($JG14=0,"",INDEX($EB$2:$EB$37,$JG14))</f>
        <v/>
      </c>
      <c r="JL14" s="152">
        <f>IF($JG14=0,"",INDEX($GR$2:$GR$37,$JG14))</f>
        <v/>
      </c>
      <c r="JM14" s="152">
        <f>IF($JG14=0,"",INDEX($HG$2:$HG$37,$JG14))</f>
        <v/>
      </c>
      <c r="KD14" s="150" t="inlineStr">
        <is>
          <t>Talento 11</t>
        </is>
      </c>
      <c r="KE14" s="152">
        <f>IFERROR(MATCH(11,$HU$2:$HU$13,0),0)</f>
        <v/>
      </c>
      <c r="KF14" s="152">
        <f>IF($KE14=0,"",IF(INDEX($HO$2:$HO$13,$KE14)=0,"","CE "&amp;INDEX($HO$2:$HO$13,$KE14)))</f>
        <v/>
      </c>
      <c r="KG14" s="152">
        <f>IF($KE14=0,"",INDEX($HN$2:$HN$13,$KE14))</f>
        <v/>
      </c>
      <c r="KH14" s="152">
        <f>IF($KE14=0,"",IF(INDEX($HT$2:$HT$13,$KE14)&lt;&gt;"",INDEX($HT$2:$HT$13,$KE14),IF(IFERROR(VLOOKUP(INDEX($HN$2:$HN$13,$KE14),$BS$2:$BY$24,7,FALSE),"")&lt;&gt;"","Do livro: "&amp;IFERROR(VLOOKUP(INDEX($HN$2:$HN$13,$KE14),$BS$2:$BY$24,7,FALSE),""),"")))</f>
        <v/>
      </c>
      <c r="KJ14" s="150" t="inlineStr">
        <is>
          <t>Aptidão 11</t>
        </is>
      </c>
      <c r="KK14" s="152">
        <f>IFERROR(MATCH(11,$ID$2:$ID$13,0),0)</f>
        <v/>
      </c>
      <c r="KL14" s="152">
        <f>IF($KK14=0,"",INDEX($HZ$2:$HZ$13,$KK14))</f>
        <v/>
      </c>
      <c r="KM14" s="152">
        <f>IF($KK14=0,"",INDEX($HX$2:$HX$13,$KK14))</f>
        <v/>
      </c>
      <c r="KN14" s="152">
        <f>IF($KK14=0,"",IF(INDEX($IC$2:$IC$13,$KK14)&lt;&gt;"",INDEX($IC$2:$IC$13,$KK14),IF(IFERROR(VLOOKUP(INDEX($HX$2:$HX$13,$KK14),$CD$2:$CM$33,10,FALSE),"")&lt;&gt;"","Do livro: "&amp;IFERROR(VLOOKUP(INDEX($HX$2:$HX$13,$KK14),$CD$2:$CM$33,10,FALSE),""),"")))</f>
        <v/>
      </c>
      <c r="KP14" s="150" t="inlineStr">
        <is>
          <t>par 10</t>
        </is>
      </c>
      <c r="KQ14" s="152">
        <f>UPPER(INDEX($D$3:$G$3,1,$A$2))&amp;" 31 A 36"</f>
        <v/>
      </c>
      <c r="KS14" s="150" t="inlineStr">
        <is>
          <t>P17</t>
        </is>
      </c>
      <c r="KT14" s="152">
        <f>IF(DADOS_AM!$HK$41=1,"GRUPO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K15" s="152" t="n">
        <v>0</v>
      </c>
      <c r="BM15" s="150" t="inlineStr">
        <is>
          <t>Uma Vez</t>
        </is>
      </c>
      <c r="BN15" s="150" t="inlineStr">
        <is>
          <t>Uma Vez</t>
        </is>
      </c>
      <c r="BO15" s="152" t="n">
        <v>1</v>
      </c>
      <c r="BP15" s="152" t="n">
        <v>1</v>
      </c>
      <c r="BQ15" s="150" t="inlineStr">
        <is>
          <t>Uma Vez</t>
        </is>
      </c>
      <c r="BS15" s="150" t="inlineStr">
        <is>
          <t>Escama</t>
        </is>
      </c>
      <c r="BT15" s="152" t="n">
        <v>3</v>
      </c>
      <c r="BU15" s="150" t="inlineStr">
        <is>
          <t>Escolha um tipo de dano que a Regra da sua técnica justifique. Você tem resistência a esse tipo: sofre metade do dano, com o arredondamento das regras de dano.</t>
        </is>
      </c>
      <c r="BV15" s="152" t="n">
        <v>1</v>
      </c>
      <c r="BW15" s="152" t="n">
        <v>0</v>
      </c>
      <c r="BX15" s="152">
        <f>IF(OR(AND($A$2&lt;=2,$BV15=1),AND($A$2&gt;=2,$BW15=1)),$BS15,"")</f>
        <v/>
      </c>
      <c r="BY15" s="150" t="inlineStr">
        <is>
          <t>Escolha um tipo de dano que a Regra da sua técnica justifique. Você tem resistência a esse tipo: sofre metade do dano, com o arredondamento das regras de dano.</t>
        </is>
      </c>
      <c r="CD15" s="150" t="inlineStr">
        <is>
          <t>Cortina</t>
        </is>
      </c>
      <c r="CE15" s="150" t="inlineStr">
        <is>
          <t>Barreira Simples</t>
        </is>
      </c>
      <c r="CF15" s="150" t="inlineStr">
        <is>
          <t>—</t>
        </is>
      </c>
      <c r="CG15" s="150" t="inlineStr">
        <is>
          <t>—</t>
        </is>
      </c>
      <c r="CH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2">
        <f>IF($CL15=1,"",IF($A$2=4,IF($CJ15=1,$CD15,""),IF(OR($CJ15=1,AND($A$2=3,$CK15=1)),"",$CD15)))</f>
        <v/>
      </c>
      <c r="CJ15" s="152" t="n">
        <v>0</v>
      </c>
      <c r="CK15" s="152" t="n">
        <v>0</v>
      </c>
      <c r="CL15" s="152" t="n">
        <v>0</v>
      </c>
      <c r="CM15" s="150" t="inlineStr">
        <is>
          <t>Você delimita uma área para esconder seu interior de pessoas que não são feiticeiras e controlar a passagem por suas bordas.</t>
        </is>
      </c>
      <c r="DW15" s="150" t="inlineStr">
        <is>
          <t>Feitiço 14</t>
        </is>
      </c>
      <c r="DX15" s="152" t="n">
        <v>0</v>
      </c>
      <c r="DY15" s="152" t="n">
        <v>14</v>
      </c>
      <c r="DZ15" s="152">
        <f>MAX(1,MIN(7,N('FICHA AMALDIÇOADA'!$J$137)))</f>
        <v/>
      </c>
      <c r="EA15" s="152">
        <f>'FICHA AMALDIÇOADA'!$K$137&amp;""</f>
        <v/>
      </c>
      <c r="EB15" s="152">
        <f>'FICHA AMALDIÇOADA'!$J$144&amp;""</f>
        <v/>
      </c>
      <c r="EC15" s="152">
        <f>'FICHA AMALDIÇOADA'!$K$146&amp;""</f>
        <v/>
      </c>
      <c r="ED15" s="152">
        <f>'FICHA AMALDIÇOADA'!$K$147&amp;""</f>
        <v/>
      </c>
      <c r="EE15" s="152">
        <f>'FICHA AMALDIÇOADA'!$K$148&amp;""</f>
        <v/>
      </c>
      <c r="EF15" s="152">
        <f>'FICHA AMALDIÇOADA'!$K$149&amp;""</f>
        <v/>
      </c>
      <c r="EG15" s="152">
        <f>'FICHA AMALDIÇOADA'!$K$150&amp;""</f>
        <v/>
      </c>
      <c r="EH15" s="152">
        <f>'FICHA AMALDIÇOADA'!$K$151&amp;""</f>
        <v/>
      </c>
      <c r="EI15" s="152">
        <f>IF($EA15&lt;&gt;"",1,0)</f>
        <v/>
      </c>
      <c r="EJ15" s="152">
        <f>IFERROR(MATCH($EB15,$Y$2:$Y$11,0),0)</f>
        <v/>
      </c>
      <c r="EK15" s="152">
        <f>IF($EJ15=0,0,INDEX($AB$2:$AB$11,$EJ15))</f>
        <v/>
      </c>
      <c r="EL15" s="152">
        <f>IFERROR(VLOOKUP($EC15,$BC$2:$BK$84,4,FALSE),0)</f>
        <v/>
      </c>
      <c r="EM15" s="152">
        <f>IFERROR(VLOOKUP($ED15,$BC$2:$BK$84,4,FALSE),0)</f>
        <v/>
      </c>
      <c r="EN15" s="152">
        <f>IFERROR(VLOOKUP($EE15,$BC$2:$BK$84,4,FALSE),0)</f>
        <v/>
      </c>
      <c r="EO15" s="152">
        <f>IFERROR(VLOOKUP($EF15,$BC$2:$BK$84,4,FALSE),0)</f>
        <v/>
      </c>
      <c r="EP15" s="152">
        <f>IF($EJ15=0,0,INDEX($AC$2:$AC$11,$EJ15))</f>
        <v/>
      </c>
      <c r="EQ15" s="152">
        <f>IFERROR(VLOOKUP($EC15,$BC$2:$BK$84,5,FALSE),0)</f>
        <v/>
      </c>
      <c r="ER15" s="152">
        <f>IFERROR(VLOOKUP($ED15,$BC$2:$BK$84,5,FALSE),0)</f>
        <v/>
      </c>
      <c r="ES15" s="152">
        <f>IFERROR(VLOOKUP($EE15,$BC$2:$BK$84,5,FALSE),0)</f>
        <v/>
      </c>
      <c r="ET15" s="152">
        <f>IFERROR(VLOOKUP($EF15,$BC$2:$BK$84,5,FALSE),0)</f>
        <v/>
      </c>
      <c r="EU15" s="152">
        <f>IFERROR(VLOOKUP($EC15,$BC$2:$BK$84,6,FALSE),0)+IFERROR(VLOOKUP($ED15,$BC$2:$BK$84,6,FALSE),0)+IFERROR(VLOOKUP($EE15,$BC$2:$BK$84,6,FALSE),0)+IFERROR(VLOOKUP($EF15,$BC$2:$BK$84,6,FALSE),0)</f>
        <v/>
      </c>
      <c r="EV15" s="152">
        <f>IFERROR(VLOOKUP($EC15,$BC$2:$BK$84,9,FALSE),0)+IFERROR(VLOOKUP($ED15,$BC$2:$BK$84,9,FALSE),0)+IFERROR(VLOOKUP($EE15,$BC$2:$BK$84,9,FALSE),0)+IFERROR(VLOOKUP($EF15,$BC$2:$BK$84,9,FALSE),0)</f>
        <v/>
      </c>
      <c r="EW15" s="152">
        <f>IF($EJ15=0,0,INDEX($AD$2:$AD$11,$EJ15))</f>
        <v/>
      </c>
      <c r="EX15" s="152">
        <f>IF($EJ15=0,0,INDEX($AE$2:$AE$11,$EJ15))</f>
        <v/>
      </c>
      <c r="EY15" s="152">
        <f>IF($EJ15=0,0,INDEX($AG$2:$AG$11,$EJ15))</f>
        <v/>
      </c>
      <c r="EZ15" s="152">
        <f>IFERROR(VLOOKUP($EG15,$BM$2:$BQ$24,3,FALSE),0)</f>
        <v/>
      </c>
      <c r="FA15" s="152">
        <f>IFERROR(VLOOKUP($EH15,$BM$2:$BQ$24,3,FALSE),0)</f>
        <v/>
      </c>
      <c r="FB15" s="152">
        <f>IFERROR(VLOOKUP($EG15,$BM$2:$BQ$24,2,FALSE),"")</f>
        <v/>
      </c>
      <c r="FC15" s="152">
        <f>IFERROR(VLOOKUP($EH15,$BM$2:$BQ$24,2,FALSE),"")</f>
        <v/>
      </c>
      <c r="FD15" s="152">
        <f>COUNTIF($EK15:$EO15,1)</f>
        <v/>
      </c>
      <c r="FE15" s="152">
        <f>COUNTIF($EK15:$EO15,2)</f>
        <v/>
      </c>
      <c r="FF15" s="152">
        <f>COUNTIF($EK15:$EO15,3)</f>
        <v/>
      </c>
      <c r="FG15" s="152">
        <f>COUNTIF($EK15:$EO15,4)</f>
        <v/>
      </c>
      <c r="FH15" s="152">
        <f>COUNTIF($EK15:$EO15,5)</f>
        <v/>
      </c>
      <c r="FI15" s="152">
        <f>COUNTIF($EK15:$EO15,6)</f>
        <v/>
      </c>
      <c r="FJ15" s="152">
        <f>COUNTIF($EZ15:$FA15,1)</f>
        <v/>
      </c>
      <c r="FK15" s="152">
        <f>COUNTIF($EZ15:$FA15,2)+$EW15</f>
        <v/>
      </c>
      <c r="FL15" s="152">
        <f>COUNTIF($EC15:$EF15,"?*")</f>
        <v/>
      </c>
      <c r="FM15" s="152">
        <f>COUNTIF($EG15:$EH15,"?*")+$EW15</f>
        <v/>
      </c>
      <c r="FN15" s="152">
        <f>SUMPRODUCT($FD15:$FI15,INDEX($Q$2:$V$8,$DZ15,0))</f>
        <v/>
      </c>
      <c r="FO15" s="152">
        <f>$FJ15*CEILING($DZ15/2,1)+$FK15*$DZ15</f>
        <v/>
      </c>
      <c r="FP15" s="152">
        <f>MIN(2*$DZ15,$FO15)</f>
        <v/>
      </c>
      <c r="FQ15" s="152">
        <f>MIN($FP15,$FN15)</f>
        <v/>
      </c>
      <c r="FR15" s="152">
        <f>$FP15-$FQ15</f>
        <v/>
      </c>
      <c r="FS15" s="152">
        <f>3*$DZ15-$FN15+$FQ15</f>
        <v/>
      </c>
      <c r="FT15" s="152">
        <f>MAX(0,$FS15)+$DX15*$DZ15</f>
        <v/>
      </c>
      <c r="FU15" s="152">
        <f>(IF(COUNTIF($EC15:$EF15,"Salto")&gt;0,1,0)+IF(COUNTIF($EC15:$EF15,"Queima")&gt;0,1,0)+IF(COUNTIF($EC15:$EF15,"Estilhaço")&gt;0,1,0))*FLOOR($FT15/2,1)</f>
        <v/>
      </c>
      <c r="FV15" s="152">
        <f>MAX(0,3-SUMPRODUCT($FD15:$FI15,$Q$2:$V$2)+MIN(2,$FJ15*1+$FK15*1,SUMPRODUCT($FD15:$FI15,$Q$2:$V$2)))+$DX15*1</f>
        <v/>
      </c>
      <c r="FW15" s="152">
        <f>MAX(0,6-SUMPRODUCT($FD15:$FI15,$Q$3:$V$3)+MIN(4,$FJ15*1+$FK15*2,SUMPRODUCT($FD15:$FI15,$Q$3:$V$3)))+$DX15*2</f>
        <v/>
      </c>
      <c r="FX15" s="152">
        <f>MAX(0,9-SUMPRODUCT($FD15:$FI15,$Q$4:$V$4)+MIN(6,$FJ15*2+$FK15*3,SUMPRODUCT($FD15:$FI15,$Q$4:$V$4)))+$DX15*3</f>
        <v/>
      </c>
      <c r="FY15" s="152">
        <f>MAX(0,12-SUMPRODUCT($FD15:$FI15,$Q$5:$V$5)+MIN(8,$FJ15*2+$FK15*4,SUMPRODUCT($FD15:$FI15,$Q$5:$V$5)))+$DX15*4</f>
        <v/>
      </c>
      <c r="FZ15" s="152">
        <f>MAX(0,15-SUMPRODUCT($FD15:$FI15,$Q$6:$V$6)+MIN(10,$FJ15*3+$FK15*5,SUMPRODUCT($FD15:$FI15,$Q$6:$V$6)))+$DX15*5</f>
        <v/>
      </c>
      <c r="GA15" s="152">
        <f>MAX(0,18-SUMPRODUCT($FD15:$FI15,$Q$7:$V$7)+MIN(12,$FJ15*3+$FK15*6,SUMPRODUCT($FD15:$FI15,$Q$7:$V$7)))+$DX15*6</f>
        <v/>
      </c>
      <c r="GB15" s="152">
        <f>MAX(0,21-SUMPRODUCT($FD15:$FI15,$Q$8:$V$8)+MIN(14,$FJ15*4+$FK15*7,SUMPRODUCT($FD15:$FI15,$Q$8:$V$8)))+$DX15*7</f>
        <v/>
      </c>
      <c r="GC15" s="152">
        <f>IF($EX15=2,3*$FV15&amp;" de vida temp.",IF($EX15=3,"sem dano",IF($FV15=0,IF($EX15=1,"sem cura","sem dano"),IF($EX15=1,"cura ","")&amp;$FV15&amp;"d8")))</f>
        <v/>
      </c>
      <c r="GD15" s="152">
        <f>IF($EX15=2,3*$FW15&amp;" de vida temp.",IF($EX15=3,"sem dano",IF($FW15=0,IF($EX15=1,"sem cura","sem dano"),IF($EX15=1,"cura ","")&amp;$FW15&amp;"d8")))</f>
        <v/>
      </c>
      <c r="GE15" s="152">
        <f>IF($EX15=2,3*$FX15&amp;" de vida temp.",IF($EX15=3,"sem dano",IF($FX15=0,IF($EX15=1,"sem cura","sem dano"),IF($EX15=1,"cura ","")&amp;$FX15&amp;"d8")))</f>
        <v/>
      </c>
      <c r="GF15" s="152">
        <f>IF($EX15=2,3*$FY15&amp;" de vida temp.",IF($EX15=3,"sem dano",IF($FY15=0,IF($EX15=1,"sem cura","sem dano"),IF($EX15=1,"cura ","")&amp;$FY15&amp;"d8")))</f>
        <v/>
      </c>
      <c r="GG15" s="152">
        <f>IF($EX15=2,3*$FZ15&amp;" de vida temp.",IF($EX15=3,"sem dano",IF($FZ15=0,IF($EX15=1,"sem cura","sem dano"),IF($EX15=1,"cura ","")&amp;$FZ15&amp;"d8")))</f>
        <v/>
      </c>
      <c r="GH15" s="152">
        <f>IF($EX15=2,3*$GA15&amp;" de vida temp.",IF($EX15=3,"sem dano",IF($GA15=0,IF($EX15=1,"sem cura","sem dano"),IF($EX15=1,"cura ","")&amp;$GA15&amp;"d8")))</f>
        <v/>
      </c>
      <c r="GI15" s="152">
        <f>IF($EX15=2,3*$GB15&amp;" de vida temp.",IF($EX15=3,"sem dano",IF($GB15=0,IF($EX15=1,"sem cura","sem dano"),IF($EX15=1,"cura ","")&amp;$GB15&amp;"d8")))</f>
        <v/>
      </c>
      <c r="GJ15" s="152">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2">
        <f>IF($GJ15="",0,(LEN($GJ15)-LEN(SUBSTITUTE($GJ15," · ","")))/3+1)</f>
        <v/>
      </c>
      <c r="GL15" s="152">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2">
        <f>IF($GL15="",0,(LEN($GL15)-LEN(SUBSTITUTE($GL15," · ","")))/3+1)</f>
        <v/>
      </c>
      <c r="GN15" s="152">
        <f>IF($EI15=0,IF($FL15+$FM15-$EW15&gt;0,"Dê um nome",""),IF($GK15&gt;0,"⚠ "&amp;$GK15&amp;IF($GK15&gt;1," erros"," erro"),IF($GM15&gt;0,"! "&amp;$GM15&amp;IF($GM15&gt;1," avisos"," aviso"),"Na regra")))</f>
        <v/>
      </c>
      <c r="GO15" s="152">
        <f>IF($EI15=0,"",IF($GK15+$GM15=0,"Dentro das regras que a ficha confere",$GJ15&amp;IF(AND($GK15&gt;0,$GM15&gt;0)," · ","")&amp;$GL15))</f>
        <v/>
      </c>
      <c r="GP15" s="152">
        <f>IF($EI15=0,"",IF($DX15=1,CEILING(4.5*$DZ15,1),3*$DZ15)&amp;" PE")</f>
        <v/>
      </c>
      <c r="GQ15" s="152">
        <f>IF($EI15=0,"",IF($DX15=1,"Rodada inteira",IF(COUNTIF($FB15:$FC15,"Atrasar")&gt;0,IF(COUNTIF($FB15:$FC15,"Carregar")&gt;0,"Rodada +1 turno","Rodada inteira"),IF(COUNTIF($EC15:$EF15,"Rápido")&gt;0,"Bônus",IF(COUNTIF($EC15:$EF15,"Reação")&gt;0,"Reação","Padrão"))&amp;IF(COUNTIF($FB15:$FC15,"Carregar")&gt;0," +1 turno",""))))</f>
        <v/>
      </c>
      <c r="GR15" s="152">
        <f>IF(OR($EI15=0,$EJ15=0),"",IF(COUNTIF($EC15:$EF15,"Inescapável")&gt;0,"Automático",IF(COUNTIF($EC15:$EF15,"Certeiro")&gt;0,"TR para metade",IF(AND($EV15&gt;0,$EY15=0,INDEX($AF$2:$AF$11,$EJ15)="Acerto"),"Acerto + TR",INDEX($AF$2:$AF$11,$EJ15)))))</f>
        <v/>
      </c>
      <c r="GS15" s="152">
        <f>IF(OR($EI15=0,$EJ15=0),"",IF(OR($EX15&gt;=2,$FT15=0),UPPER(LEFT(INDEX($GC15:$GI15,1,$DZ15),1))&amp;MID(INDEX($GC15:$GI15,1,$DZ15),2,99),UPPER(LEFT(INDEX($GC15:$GI15,1,$DZ15),1))&amp;MID(INDEX($GC15:$GI15,1,$DZ15),2,99)&amp;" = "&amp;FLOOR($FT15*4.5,1)&amp;IF($FU15&gt;0," · +"&amp;$FU15&amp;"d8","")))</f>
        <v/>
      </c>
      <c r="GT15" s="152">
        <f>COUNTIF($EC15:$EF15,"Longe")+3*COUNTIF($EC15:$EF15,"Muito Longe")</f>
        <v/>
      </c>
      <c r="GU15" s="152">
        <f>COUNTIF($EC15:$EF15,"Maior")+3*COUNTIF($EC15:$EF15,"Muito Maior")</f>
        <v/>
      </c>
      <c r="GV15" s="152">
        <f>IF($EJ15=0,0,CHOOSE(1+INDEX($AH$2:$AH$11,$EJ15),0,$GT15,$GU15,$GT15+$GU15))</f>
        <v/>
      </c>
      <c r="GW15" s="152">
        <f>IF($EJ15=0,0,CHOOSE(1+INDEX($AI$2:$AI$11,$EJ15),0,$GT15,$GU15,$GT15+$GU15))</f>
        <v/>
      </c>
      <c r="GX15" s="152">
        <f>IF(OR($EI15=0,$EJ15=0),"",INDEX($AP$2:$AU$31,($EJ15-1)*3+IF($DZ15&gt;=6,3,2),1+MIN(5,$GV15))&amp;INDEX($AV$2:$BA$31,($EJ15-1)*3+IF($DZ15&gt;=6,3,2),1+MIN(5,$GW15))&amp;IF(INDEX($AJ$2:$AJ$11,$EJ15)=1,IF(COUNTIF($EC15:$EF15,"Mais Um")&gt;0," · +"&amp;COUNTIF($EC15:$EF15,"Mais Um")&amp;IF(COUNTIF($EC15:$EF15,"Mais Um")&gt;1," alvos"," alvo"),"")&amp;IF(COUNTIF($EC15:$EF15,"Rajada")&gt;0," · "&amp;($DZ15+1)&amp;" tiros",""),""))</f>
        <v/>
      </c>
      <c r="GY15" s="152">
        <f>IF($EI15=0,"",3*$DZ15&amp;" − "&amp;$FN15&amp;" + "&amp;$FQ15&amp;IF($DX15=1," + "&amp;$DZ15,"")&amp;" = "&amp;$FT15&amp;"d8 · teto "&amp;4*$DZ15&amp;IF($EW15=1," · a Forma devolve "&amp;$DZ15,"")&amp;IF($FR15&gt;0," · perde "&amp;$FR15,""))</f>
        <v/>
      </c>
      <c r="GZ15" s="152">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2">
        <f>IF(OR($EI15=0,$EL15=0),"","−"&amp;INDEX($Q$2:$V$8,$DZ15,$EL15)&amp;" · "&amp;CHOOSE($EL15,"Leve","Média","Pesada","Leve · Livre","Média · Livre","Pesada · Livre"))</f>
        <v/>
      </c>
      <c r="HB15" s="152">
        <f>IF(OR($EI15=0,$EM15=0),"","−"&amp;INDEX($Q$2:$V$8,$DZ15,$EM15)&amp;" · "&amp;CHOOSE($EM15,"Leve","Média","Pesada","Leve · Livre","Média · Livre","Pesada · Livre"))</f>
        <v/>
      </c>
      <c r="HC15" s="152">
        <f>IF(OR($EI15=0,$EN15=0),"","−"&amp;INDEX($Q$2:$V$8,$DZ15,$EN15)&amp;" · "&amp;CHOOSE($EN15,"Leve","Média","Pesada","Leve · Livre","Média · Livre","Pesada · Livre"))</f>
        <v/>
      </c>
      <c r="HD15" s="152">
        <f>IF(OR($EI15=0,$EO15=0),"","−"&amp;INDEX($Q$2:$V$8,$DZ15,$EO15)&amp;" · "&amp;CHOOSE($EO15,"Leve","Média","Pesada","Leve · Livre","Média · Livre","Pesada · Livre"))</f>
        <v/>
      </c>
      <c r="HE15" s="152">
        <f>IF(OR($EI15=0,$EG15=""),"","+"&amp;IF($EZ15=1,CEILING($DZ15/2,1),$DZ15))</f>
        <v/>
      </c>
      <c r="HF15" s="152">
        <f>IF(OR($EI15=0,$EH15=""),"","+"&amp;IF($FA15=1,CEILING($DZ15/2,1),$DZ15))</f>
        <v/>
      </c>
      <c r="HG15" s="152">
        <f>'FICHA AMALDIÇOADA'!$J$139&amp;""</f>
        <v/>
      </c>
      <c r="HH15" s="152">
        <f>IF(AND($EI15=1,$DX15=0),COUNTIFS($EI$2:$EI15,1,$DX$2:$DX15,0),"")</f>
        <v/>
      </c>
      <c r="HJ15" s="150" t="inlineStr">
        <is>
          <t>feitiços montados</t>
        </is>
      </c>
      <c r="HK15" s="152">
        <f>SUM($EI$2:$EI$37)</f>
        <v/>
      </c>
      <c r="JF15" s="152" t="n">
        <v>14</v>
      </c>
      <c r="JG15" s="152">
        <f>IFERROR(MATCH(14,$HH$2:$HH$37,0),0)</f>
        <v/>
      </c>
      <c r="JH15" s="152">
        <f>IF($JG15=0,"",INDEX($DZ$2:$DZ$37,$JG15))</f>
        <v/>
      </c>
      <c r="JI15" s="152">
        <f>IF($JG15=0,"",INDEX($EA$2:$EA$37,$JG15))</f>
        <v/>
      </c>
      <c r="JJ15" s="152">
        <f>IF($JG15=0,"",INDEX($GP$2:$GP$37,$JG15))</f>
        <v/>
      </c>
      <c r="JK15" s="152">
        <f>IF($JG15=0,"",INDEX($EB$2:$EB$37,$JG15))</f>
        <v/>
      </c>
      <c r="JL15" s="152">
        <f>IF($JG15=0,"",INDEX($GR$2:$GR$37,$JG15))</f>
        <v/>
      </c>
      <c r="JM15" s="152">
        <f>IF($JG15=0,"",INDEX($HG$2:$HG$37,$JG15))</f>
        <v/>
      </c>
      <c r="KD15" s="150" t="inlineStr">
        <is>
          <t>Talento 12</t>
        </is>
      </c>
      <c r="KE15" s="152">
        <f>IFERROR(MATCH(12,$HU$2:$HU$13,0),0)</f>
        <v/>
      </c>
      <c r="KF15" s="152">
        <f>IF($KE15=0,"",IF(INDEX($HO$2:$HO$13,$KE15)=0,"","CE "&amp;INDEX($HO$2:$HO$13,$KE15)))</f>
        <v/>
      </c>
      <c r="KG15" s="152">
        <f>IF($KE15=0,"",INDEX($HN$2:$HN$13,$KE15))</f>
        <v/>
      </c>
      <c r="KH15" s="152">
        <f>IF($KE15=0,"",IF(INDEX($HT$2:$HT$13,$KE15)&lt;&gt;"",INDEX($HT$2:$HT$13,$KE15),IF(IFERROR(VLOOKUP(INDEX($HN$2:$HN$13,$KE15),$BS$2:$BY$24,7,FALSE),"")&lt;&gt;"","Do livro: "&amp;IFERROR(VLOOKUP(INDEX($HN$2:$HN$13,$KE15),$BS$2:$BY$24,7,FALSE),""),"")))</f>
        <v/>
      </c>
      <c r="KJ15" s="150" t="inlineStr">
        <is>
          <t>Aptidão 12</t>
        </is>
      </c>
      <c r="KK15" s="152">
        <f>IFERROR(MATCH(12,$ID$2:$ID$13,0),0)</f>
        <v/>
      </c>
      <c r="KL15" s="152">
        <f>IF($KK15=0,"",INDEX($HZ$2:$HZ$13,$KK15))</f>
        <v/>
      </c>
      <c r="KM15" s="152">
        <f>IF($KK15=0,"",INDEX($HX$2:$HX$13,$KK15))</f>
        <v/>
      </c>
      <c r="KN15" s="152">
        <f>IF($KK15=0,"",IF(INDEX($IC$2:$IC$13,$KK15)&lt;&gt;"",INDEX($IC$2:$IC$13,$KK15),IF(IFERROR(VLOOKUP(INDEX($HX$2:$HX$13,$KK15),$CD$2:$CM$33,10,FALSE),"")&lt;&gt;"","Do livro: "&amp;IFERROR(VLOOKUP(INDEX($HX$2:$HX$13,$KK15),$CD$2:$CM$33,10,FALSE),""),"")))</f>
        <v/>
      </c>
      <c r="KP15" s="150" t="inlineStr">
        <is>
          <t>par passivas 2</t>
        </is>
      </c>
      <c r="KQ15" s="152">
        <f>"TALENTOS 7 A 12"</f>
        <v/>
      </c>
      <c r="KS15" s="150" t="inlineStr">
        <is>
          <t>P19</t>
        </is>
      </c>
      <c r="KT15" s="152">
        <f>IF(DADOS_AM!$HK$44="","",DADOS_AM!$HK$44&amp;" · "&amp;"d20 + "&amp;(DADOS_AM!$HK$3+DADOS_AM!$HK$47+IFERROR(VALUE(FICHA!$W$47&amp;""),0))&amp;" · CD "&amp;(8+DADOS_AM!$HK$3+DADOS_AM!$HK$47+IFERROR(VALUE(FICHA!$L$47&amp;""),0)))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K16" s="152" t="n">
        <v>0</v>
      </c>
      <c r="BM16" s="150" t="inlineStr">
        <is>
          <t>Condicional (Leve)</t>
        </is>
      </c>
      <c r="BN16" s="150" t="inlineStr">
        <is>
          <t>Condicional</t>
        </is>
      </c>
      <c r="BO16" s="152" t="n">
        <v>1</v>
      </c>
      <c r="BP16" s="152" t="n">
        <v>1</v>
      </c>
      <c r="BQ16" s="150" t="inlineStr">
        <is>
          <t>Condicional (Leve)</t>
        </is>
      </c>
      <c r="BS16" s="150" t="inlineStr">
        <is>
          <t>Afinidade</t>
        </is>
      </c>
      <c r="BT16" s="152" t="n">
        <v>3</v>
      </c>
      <c r="BU16" s="150" t="inlineStr">
        <is>
          <t>Escolha um tema presente na Regra da sua técnica. Seus feitiços desse tema ignoram cobertura Parcial e resistência ao tipo de dano que causam.</t>
        </is>
      </c>
      <c r="BV16" s="152" t="n">
        <v>1</v>
      </c>
      <c r="BW16" s="152" t="n">
        <v>0</v>
      </c>
      <c r="BX16" s="152">
        <f>IF(OR(AND($A$2&lt;=2,$BV16=1),AND($A$2&gt;=2,$BW16=1)),$BS16,"")</f>
        <v/>
      </c>
      <c r="BY16" s="150" t="inlineStr">
        <is>
          <t>Escolha um tema presente na Regra da sua técnica. Seus feitiços desse tema ignoram cobertura Parcial e resistência ao tipo de dano que causam.</t>
        </is>
      </c>
      <c r="CD16" s="150" t="inlineStr">
        <is>
          <t>Ritual</t>
        </is>
      </c>
      <c r="CE16" s="150" t="inlineStr">
        <is>
          <t>Inteligência 5, nível 10 e Técnica Inata. Regras em Ritual e Pactos</t>
        </is>
      </c>
      <c r="CF16" s="150" t="inlineStr">
        <is>
          <t>—</t>
        </is>
      </c>
      <c r="CG16" s="150" t="inlineStr">
        <is>
          <t>—</t>
        </is>
      </c>
      <c r="CH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2">
        <f>IF($CL16=1,"",IF($A$2=4,IF($CJ16=1,$CD16,""),IF(OR($CJ16=1,AND($A$2=3,$CK16=1)),"",$CD16)))</f>
        <v/>
      </c>
      <c r="CJ16" s="152" t="n">
        <v>0</v>
      </c>
      <c r="CK16" s="152" t="n">
        <v>0</v>
      </c>
      <c r="CL16" s="152" t="n">
        <v>0</v>
      </c>
      <c r="CM16" s="150" t="inlineStr">
        <is>
          <t>Um Ritual reforça um feitiço com gestos e recitação.</t>
        </is>
      </c>
      <c r="DW16" s="150" t="inlineStr">
        <is>
          <t>Feitiço 15</t>
        </is>
      </c>
      <c r="DX16" s="152" t="n">
        <v>0</v>
      </c>
      <c r="DY16" s="152" t="n">
        <v>15</v>
      </c>
      <c r="DZ16" s="152">
        <f>MAX(1,MIN(7,N('FICHA AMALDIÇOADA'!$P$137)))</f>
        <v/>
      </c>
      <c r="EA16" s="152">
        <f>'FICHA AMALDIÇOADA'!$Q$137&amp;""</f>
        <v/>
      </c>
      <c r="EB16" s="152">
        <f>'FICHA AMALDIÇOADA'!$P$144&amp;""</f>
        <v/>
      </c>
      <c r="EC16" s="152">
        <f>'FICHA AMALDIÇOADA'!$Q$146&amp;""</f>
        <v/>
      </c>
      <c r="ED16" s="152">
        <f>'FICHA AMALDIÇOADA'!$Q$147&amp;""</f>
        <v/>
      </c>
      <c r="EE16" s="152">
        <f>'FICHA AMALDIÇOADA'!$Q$148&amp;""</f>
        <v/>
      </c>
      <c r="EF16" s="152">
        <f>'FICHA AMALDIÇOADA'!$Q$149&amp;""</f>
        <v/>
      </c>
      <c r="EG16" s="152">
        <f>'FICHA AMALDIÇOADA'!$Q$150&amp;""</f>
        <v/>
      </c>
      <c r="EH16" s="152">
        <f>'FICHA AMALDIÇOADA'!$Q$151&amp;""</f>
        <v/>
      </c>
      <c r="EI16" s="152">
        <f>IF($EA16&lt;&gt;"",1,0)</f>
        <v/>
      </c>
      <c r="EJ16" s="152">
        <f>IFERROR(MATCH($EB16,$Y$2:$Y$11,0),0)</f>
        <v/>
      </c>
      <c r="EK16" s="152">
        <f>IF($EJ16=0,0,INDEX($AB$2:$AB$11,$EJ16))</f>
        <v/>
      </c>
      <c r="EL16" s="152">
        <f>IFERROR(VLOOKUP($EC16,$BC$2:$BK$84,4,FALSE),0)</f>
        <v/>
      </c>
      <c r="EM16" s="152">
        <f>IFERROR(VLOOKUP($ED16,$BC$2:$BK$84,4,FALSE),0)</f>
        <v/>
      </c>
      <c r="EN16" s="152">
        <f>IFERROR(VLOOKUP($EE16,$BC$2:$BK$84,4,FALSE),0)</f>
        <v/>
      </c>
      <c r="EO16" s="152">
        <f>IFERROR(VLOOKUP($EF16,$BC$2:$BK$84,4,FALSE),0)</f>
        <v/>
      </c>
      <c r="EP16" s="152">
        <f>IF($EJ16=0,0,INDEX($AC$2:$AC$11,$EJ16))</f>
        <v/>
      </c>
      <c r="EQ16" s="152">
        <f>IFERROR(VLOOKUP($EC16,$BC$2:$BK$84,5,FALSE),0)</f>
        <v/>
      </c>
      <c r="ER16" s="152">
        <f>IFERROR(VLOOKUP($ED16,$BC$2:$BK$84,5,FALSE),0)</f>
        <v/>
      </c>
      <c r="ES16" s="152">
        <f>IFERROR(VLOOKUP($EE16,$BC$2:$BK$84,5,FALSE),0)</f>
        <v/>
      </c>
      <c r="ET16" s="152">
        <f>IFERROR(VLOOKUP($EF16,$BC$2:$BK$84,5,FALSE),0)</f>
        <v/>
      </c>
      <c r="EU16" s="152">
        <f>IFERROR(VLOOKUP($EC16,$BC$2:$BK$84,6,FALSE),0)+IFERROR(VLOOKUP($ED16,$BC$2:$BK$84,6,FALSE),0)+IFERROR(VLOOKUP($EE16,$BC$2:$BK$84,6,FALSE),0)+IFERROR(VLOOKUP($EF16,$BC$2:$BK$84,6,FALSE),0)</f>
        <v/>
      </c>
      <c r="EV16" s="152">
        <f>IFERROR(VLOOKUP($EC16,$BC$2:$BK$84,9,FALSE),0)+IFERROR(VLOOKUP($ED16,$BC$2:$BK$84,9,FALSE),0)+IFERROR(VLOOKUP($EE16,$BC$2:$BK$84,9,FALSE),0)+IFERROR(VLOOKUP($EF16,$BC$2:$BK$84,9,FALSE),0)</f>
        <v/>
      </c>
      <c r="EW16" s="152">
        <f>IF($EJ16=0,0,INDEX($AD$2:$AD$11,$EJ16))</f>
        <v/>
      </c>
      <c r="EX16" s="152">
        <f>IF($EJ16=0,0,INDEX($AE$2:$AE$11,$EJ16))</f>
        <v/>
      </c>
      <c r="EY16" s="152">
        <f>IF($EJ16=0,0,INDEX($AG$2:$AG$11,$EJ16))</f>
        <v/>
      </c>
      <c r="EZ16" s="152">
        <f>IFERROR(VLOOKUP($EG16,$BM$2:$BQ$24,3,FALSE),0)</f>
        <v/>
      </c>
      <c r="FA16" s="152">
        <f>IFERROR(VLOOKUP($EH16,$BM$2:$BQ$24,3,FALSE),0)</f>
        <v/>
      </c>
      <c r="FB16" s="152">
        <f>IFERROR(VLOOKUP($EG16,$BM$2:$BQ$24,2,FALSE),"")</f>
        <v/>
      </c>
      <c r="FC16" s="152">
        <f>IFERROR(VLOOKUP($EH16,$BM$2:$BQ$24,2,FALSE),"")</f>
        <v/>
      </c>
      <c r="FD16" s="152">
        <f>COUNTIF($EK16:$EO16,1)</f>
        <v/>
      </c>
      <c r="FE16" s="152">
        <f>COUNTIF($EK16:$EO16,2)</f>
        <v/>
      </c>
      <c r="FF16" s="152">
        <f>COUNTIF($EK16:$EO16,3)</f>
        <v/>
      </c>
      <c r="FG16" s="152">
        <f>COUNTIF($EK16:$EO16,4)</f>
        <v/>
      </c>
      <c r="FH16" s="152">
        <f>COUNTIF($EK16:$EO16,5)</f>
        <v/>
      </c>
      <c r="FI16" s="152">
        <f>COUNTIF($EK16:$EO16,6)</f>
        <v/>
      </c>
      <c r="FJ16" s="152">
        <f>COUNTIF($EZ16:$FA16,1)</f>
        <v/>
      </c>
      <c r="FK16" s="152">
        <f>COUNTIF($EZ16:$FA16,2)+$EW16</f>
        <v/>
      </c>
      <c r="FL16" s="152">
        <f>COUNTIF($EC16:$EF16,"?*")</f>
        <v/>
      </c>
      <c r="FM16" s="152">
        <f>COUNTIF($EG16:$EH16,"?*")+$EW16</f>
        <v/>
      </c>
      <c r="FN16" s="152">
        <f>SUMPRODUCT($FD16:$FI16,INDEX($Q$2:$V$8,$DZ16,0))</f>
        <v/>
      </c>
      <c r="FO16" s="152">
        <f>$FJ16*CEILING($DZ16/2,1)+$FK16*$DZ16</f>
        <v/>
      </c>
      <c r="FP16" s="152">
        <f>MIN(2*$DZ16,$FO16)</f>
        <v/>
      </c>
      <c r="FQ16" s="152">
        <f>MIN($FP16,$FN16)</f>
        <v/>
      </c>
      <c r="FR16" s="152">
        <f>$FP16-$FQ16</f>
        <v/>
      </c>
      <c r="FS16" s="152">
        <f>3*$DZ16-$FN16+$FQ16</f>
        <v/>
      </c>
      <c r="FT16" s="152">
        <f>MAX(0,$FS16)+$DX16*$DZ16</f>
        <v/>
      </c>
      <c r="FU16" s="152">
        <f>(IF(COUNTIF($EC16:$EF16,"Salto")&gt;0,1,0)+IF(COUNTIF($EC16:$EF16,"Queima")&gt;0,1,0)+IF(COUNTIF($EC16:$EF16,"Estilhaço")&gt;0,1,0))*FLOOR($FT16/2,1)</f>
        <v/>
      </c>
      <c r="FV16" s="152">
        <f>MAX(0,3-SUMPRODUCT($FD16:$FI16,$Q$2:$V$2)+MIN(2,$FJ16*1+$FK16*1,SUMPRODUCT($FD16:$FI16,$Q$2:$V$2)))+$DX16*1</f>
        <v/>
      </c>
      <c r="FW16" s="152">
        <f>MAX(0,6-SUMPRODUCT($FD16:$FI16,$Q$3:$V$3)+MIN(4,$FJ16*1+$FK16*2,SUMPRODUCT($FD16:$FI16,$Q$3:$V$3)))+$DX16*2</f>
        <v/>
      </c>
      <c r="FX16" s="152">
        <f>MAX(0,9-SUMPRODUCT($FD16:$FI16,$Q$4:$V$4)+MIN(6,$FJ16*2+$FK16*3,SUMPRODUCT($FD16:$FI16,$Q$4:$V$4)))+$DX16*3</f>
        <v/>
      </c>
      <c r="FY16" s="152">
        <f>MAX(0,12-SUMPRODUCT($FD16:$FI16,$Q$5:$V$5)+MIN(8,$FJ16*2+$FK16*4,SUMPRODUCT($FD16:$FI16,$Q$5:$V$5)))+$DX16*4</f>
        <v/>
      </c>
      <c r="FZ16" s="152">
        <f>MAX(0,15-SUMPRODUCT($FD16:$FI16,$Q$6:$V$6)+MIN(10,$FJ16*3+$FK16*5,SUMPRODUCT($FD16:$FI16,$Q$6:$V$6)))+$DX16*5</f>
        <v/>
      </c>
      <c r="GA16" s="152">
        <f>MAX(0,18-SUMPRODUCT($FD16:$FI16,$Q$7:$V$7)+MIN(12,$FJ16*3+$FK16*6,SUMPRODUCT($FD16:$FI16,$Q$7:$V$7)))+$DX16*6</f>
        <v/>
      </c>
      <c r="GB16" s="152">
        <f>MAX(0,21-SUMPRODUCT($FD16:$FI16,$Q$8:$V$8)+MIN(14,$FJ16*4+$FK16*7,SUMPRODUCT($FD16:$FI16,$Q$8:$V$8)))+$DX16*7</f>
        <v/>
      </c>
      <c r="GC16" s="152">
        <f>IF($EX16=2,3*$FV16&amp;" de vida temp.",IF($EX16=3,"sem dano",IF($FV16=0,IF($EX16=1,"sem cura","sem dano"),IF($EX16=1,"cura ","")&amp;$FV16&amp;"d8")))</f>
        <v/>
      </c>
      <c r="GD16" s="152">
        <f>IF($EX16=2,3*$FW16&amp;" de vida temp.",IF($EX16=3,"sem dano",IF($FW16=0,IF($EX16=1,"sem cura","sem dano"),IF($EX16=1,"cura ","")&amp;$FW16&amp;"d8")))</f>
        <v/>
      </c>
      <c r="GE16" s="152">
        <f>IF($EX16=2,3*$FX16&amp;" de vida temp.",IF($EX16=3,"sem dano",IF($FX16=0,IF($EX16=1,"sem cura","sem dano"),IF($EX16=1,"cura ","")&amp;$FX16&amp;"d8")))</f>
        <v/>
      </c>
      <c r="GF16" s="152">
        <f>IF($EX16=2,3*$FY16&amp;" de vida temp.",IF($EX16=3,"sem dano",IF($FY16=0,IF($EX16=1,"sem cura","sem dano"),IF($EX16=1,"cura ","")&amp;$FY16&amp;"d8")))</f>
        <v/>
      </c>
      <c r="GG16" s="152">
        <f>IF($EX16=2,3*$FZ16&amp;" de vida temp.",IF($EX16=3,"sem dano",IF($FZ16=0,IF($EX16=1,"sem cura","sem dano"),IF($EX16=1,"cura ","")&amp;$FZ16&amp;"d8")))</f>
        <v/>
      </c>
      <c r="GH16" s="152">
        <f>IF($EX16=2,3*$GA16&amp;" de vida temp.",IF($EX16=3,"sem dano",IF($GA16=0,IF($EX16=1,"sem cura","sem dano"),IF($EX16=1,"cura ","")&amp;$GA16&amp;"d8")))</f>
        <v/>
      </c>
      <c r="GI16" s="152">
        <f>IF($EX16=2,3*$GB16&amp;" de vida temp.",IF($EX16=3,"sem dano",IF($GB16=0,IF($EX16=1,"sem cura","sem dano"),IF($EX16=1,"cura ","")&amp;$GB16&amp;"d8")))</f>
        <v/>
      </c>
      <c r="GJ16" s="152">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2">
        <f>IF($GJ16="",0,(LEN($GJ16)-LEN(SUBSTITUTE($GJ16," · ","")))/3+1)</f>
        <v/>
      </c>
      <c r="GL16" s="152">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2">
        <f>IF($GL16="",0,(LEN($GL16)-LEN(SUBSTITUTE($GL16," · ","")))/3+1)</f>
        <v/>
      </c>
      <c r="GN16" s="152">
        <f>IF($EI16=0,IF($FL16+$FM16-$EW16&gt;0,"Dê um nome",""),IF($GK16&gt;0,"⚠ "&amp;$GK16&amp;IF($GK16&gt;1," erros"," erro"),IF($GM16&gt;0,"! "&amp;$GM16&amp;IF($GM16&gt;1," avisos"," aviso"),"Na regra")))</f>
        <v/>
      </c>
      <c r="GO16" s="152">
        <f>IF($EI16=0,"",IF($GK16+$GM16=0,"Dentro das regras que a ficha confere",$GJ16&amp;IF(AND($GK16&gt;0,$GM16&gt;0)," · ","")&amp;$GL16))</f>
        <v/>
      </c>
      <c r="GP16" s="152">
        <f>IF($EI16=0,"",IF($DX16=1,CEILING(4.5*$DZ16,1),3*$DZ16)&amp;" PE")</f>
        <v/>
      </c>
      <c r="GQ16" s="152">
        <f>IF($EI16=0,"",IF($DX16=1,"Rodada inteira",IF(COUNTIF($FB16:$FC16,"Atrasar")&gt;0,IF(COUNTIF($FB16:$FC16,"Carregar")&gt;0,"Rodada +1 turno","Rodada inteira"),IF(COUNTIF($EC16:$EF16,"Rápido")&gt;0,"Bônus",IF(COUNTIF($EC16:$EF16,"Reação")&gt;0,"Reação","Padrão"))&amp;IF(COUNTIF($FB16:$FC16,"Carregar")&gt;0," +1 turno",""))))</f>
        <v/>
      </c>
      <c r="GR16" s="152">
        <f>IF(OR($EI16=0,$EJ16=0),"",IF(COUNTIF($EC16:$EF16,"Inescapável")&gt;0,"Automático",IF(COUNTIF($EC16:$EF16,"Certeiro")&gt;0,"TR para metade",IF(AND($EV16&gt;0,$EY16=0,INDEX($AF$2:$AF$11,$EJ16)="Acerto"),"Acerto + TR",INDEX($AF$2:$AF$11,$EJ16)))))</f>
        <v/>
      </c>
      <c r="GS16" s="152">
        <f>IF(OR($EI16=0,$EJ16=0),"",IF(OR($EX16&gt;=2,$FT16=0),UPPER(LEFT(INDEX($GC16:$GI16,1,$DZ16),1))&amp;MID(INDEX($GC16:$GI16,1,$DZ16),2,99),UPPER(LEFT(INDEX($GC16:$GI16,1,$DZ16),1))&amp;MID(INDEX($GC16:$GI16,1,$DZ16),2,99)&amp;" = "&amp;FLOOR($FT16*4.5,1)&amp;IF($FU16&gt;0," · +"&amp;$FU16&amp;"d8","")))</f>
        <v/>
      </c>
      <c r="GT16" s="152">
        <f>COUNTIF($EC16:$EF16,"Longe")+3*COUNTIF($EC16:$EF16,"Muito Longe")</f>
        <v/>
      </c>
      <c r="GU16" s="152">
        <f>COUNTIF($EC16:$EF16,"Maior")+3*COUNTIF($EC16:$EF16,"Muito Maior")</f>
        <v/>
      </c>
      <c r="GV16" s="152">
        <f>IF($EJ16=0,0,CHOOSE(1+INDEX($AH$2:$AH$11,$EJ16),0,$GT16,$GU16,$GT16+$GU16))</f>
        <v/>
      </c>
      <c r="GW16" s="152">
        <f>IF($EJ16=0,0,CHOOSE(1+INDEX($AI$2:$AI$11,$EJ16),0,$GT16,$GU16,$GT16+$GU16))</f>
        <v/>
      </c>
      <c r="GX16" s="152">
        <f>IF(OR($EI16=0,$EJ16=0),"",INDEX($AP$2:$AU$31,($EJ16-1)*3+IF($DZ16&gt;=6,3,2),1+MIN(5,$GV16))&amp;INDEX($AV$2:$BA$31,($EJ16-1)*3+IF($DZ16&gt;=6,3,2),1+MIN(5,$GW16))&amp;IF(INDEX($AJ$2:$AJ$11,$EJ16)=1,IF(COUNTIF($EC16:$EF16,"Mais Um")&gt;0," · +"&amp;COUNTIF($EC16:$EF16,"Mais Um")&amp;IF(COUNTIF($EC16:$EF16,"Mais Um")&gt;1," alvos"," alvo"),"")&amp;IF(COUNTIF($EC16:$EF16,"Rajada")&gt;0," · "&amp;($DZ16+1)&amp;" tiros",""),""))</f>
        <v/>
      </c>
      <c r="GY16" s="152">
        <f>IF($EI16=0,"",3*$DZ16&amp;" − "&amp;$FN16&amp;" + "&amp;$FQ16&amp;IF($DX16=1," + "&amp;$DZ16,"")&amp;" = "&amp;$FT16&amp;"d8 · teto "&amp;4*$DZ16&amp;IF($EW16=1," · a Forma devolve "&amp;$DZ16,"")&amp;IF($FR16&gt;0," · perde "&amp;$FR16,""))</f>
        <v/>
      </c>
      <c r="GZ16" s="152">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2">
        <f>IF(OR($EI16=0,$EL16=0),"","−"&amp;INDEX($Q$2:$V$8,$DZ16,$EL16)&amp;" · "&amp;CHOOSE($EL16,"Leve","Média","Pesada","Leve · Livre","Média · Livre","Pesada · Livre"))</f>
        <v/>
      </c>
      <c r="HB16" s="152">
        <f>IF(OR($EI16=0,$EM16=0),"","−"&amp;INDEX($Q$2:$V$8,$DZ16,$EM16)&amp;" · "&amp;CHOOSE($EM16,"Leve","Média","Pesada","Leve · Livre","Média · Livre","Pesada · Livre"))</f>
        <v/>
      </c>
      <c r="HC16" s="152">
        <f>IF(OR($EI16=0,$EN16=0),"","−"&amp;INDEX($Q$2:$V$8,$DZ16,$EN16)&amp;" · "&amp;CHOOSE($EN16,"Leve","Média","Pesada","Leve · Livre","Média · Livre","Pesada · Livre"))</f>
        <v/>
      </c>
      <c r="HD16" s="152">
        <f>IF(OR($EI16=0,$EO16=0),"","−"&amp;INDEX($Q$2:$V$8,$DZ16,$EO16)&amp;" · "&amp;CHOOSE($EO16,"Leve","Média","Pesada","Leve · Livre","Média · Livre","Pesada · Livre"))</f>
        <v/>
      </c>
      <c r="HE16" s="152">
        <f>IF(OR($EI16=0,$EG16=""),"","+"&amp;IF($EZ16=1,CEILING($DZ16/2,1),$DZ16))</f>
        <v/>
      </c>
      <c r="HF16" s="152">
        <f>IF(OR($EI16=0,$EH16=""),"","+"&amp;IF($FA16=1,CEILING($DZ16/2,1),$DZ16))</f>
        <v/>
      </c>
      <c r="HG16" s="152">
        <f>'FICHA AMALDIÇOADA'!$P$139&amp;""</f>
        <v/>
      </c>
      <c r="HH16" s="152">
        <f>IF(AND($EI16=1,$DX16=0),COUNTIFS($EI$2:$EI16,1,$DX$2:$DX16,0),"")</f>
        <v/>
      </c>
      <c r="HJ16" s="150" t="inlineStr">
        <is>
          <t>classe passiva da regra própria</t>
        </is>
      </c>
      <c r="HK16" s="152">
        <f>N('FICHA AMALDIÇOADA'!$P$33)</f>
        <v/>
      </c>
      <c r="JF16" s="152" t="n">
        <v>15</v>
      </c>
      <c r="JG16" s="152">
        <f>IFERROR(MATCH(15,$HH$2:$HH$37,0),0)</f>
        <v/>
      </c>
      <c r="JH16" s="152">
        <f>IF($JG16=0,"",INDEX($DZ$2:$DZ$37,$JG16))</f>
        <v/>
      </c>
      <c r="JI16" s="152">
        <f>IF($JG16=0,"",INDEX($EA$2:$EA$37,$JG16))</f>
        <v/>
      </c>
      <c r="JJ16" s="152">
        <f>IF($JG16=0,"",INDEX($GP$2:$GP$37,$JG16))</f>
        <v/>
      </c>
      <c r="JK16" s="152">
        <f>IF($JG16=0,"",INDEX($EB$2:$EB$37,$JG16))</f>
        <v/>
      </c>
      <c r="JL16" s="152">
        <f>IF($JG16=0,"",INDEX($GR$2:$GR$37,$JG16))</f>
        <v/>
      </c>
      <c r="JM16" s="152">
        <f>IF($JG16=0,"",INDEX($HG$2:$HG$37,$JG16))</f>
        <v/>
      </c>
      <c r="KP16" s="150" t="inlineStr">
        <is>
          <t>par passivas 4</t>
        </is>
      </c>
      <c r="KQ16" s="152">
        <f>"TALENTOS 13 A 14"</f>
        <v/>
      </c>
      <c r="KS16" s="150" t="inlineStr">
        <is>
          <t>L25</t>
        </is>
      </c>
      <c r="KT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K17" s="152" t="n">
        <v>0</v>
      </c>
      <c r="BM17" s="150" t="inlineStr">
        <is>
          <t>Condicional (Média)</t>
        </is>
      </c>
      <c r="BN17" s="150" t="inlineStr">
        <is>
          <t>Condicional</t>
        </is>
      </c>
      <c r="BO17" s="152" t="n">
        <v>2</v>
      </c>
      <c r="BP17" s="152" t="n">
        <v>1</v>
      </c>
      <c r="BQ17" s="150" t="inlineStr"/>
      <c r="BS17" s="150" t="inlineStr">
        <is>
          <t>Reserva Profunda</t>
        </is>
      </c>
      <c r="BT17" s="152" t="n">
        <v>3</v>
      </c>
      <c r="BU17" s="150" t="inlineStr">
        <is>
          <t>Seu PE máximo aumenta em 3 × sua maior Classe. Atualize esse acréscimo quando sua maior Classe aumentar.</t>
        </is>
      </c>
      <c r="BV17" s="152" t="n">
        <v>1</v>
      </c>
      <c r="BW17" s="152" t="n">
        <v>0</v>
      </c>
      <c r="BX17" s="152">
        <f>IF(OR(AND($A$2&lt;=2,$BV17=1),AND($A$2&gt;=2,$BW17=1)),$BS17,"")</f>
        <v/>
      </c>
      <c r="BY17" s="150" t="inlineStr">
        <is>
          <t>Seu PE máximo aumenta em 3 × sua maior Classe. Atualize esse acréscimo quando sua maior Classe aumentar.</t>
        </is>
      </c>
      <c r="CD17" s="150" t="inlineStr">
        <is>
          <t>Aptidão Própria (CE 1)</t>
        </is>
      </c>
      <c r="CE17" s="150" t="inlineStr">
        <is>
          <t>Uma única vez na ficha</t>
        </is>
      </c>
      <c r="CF17" s="152" t="n">
        <v>1</v>
      </c>
      <c r="CG17" s="150" t="inlineStr">
        <is>
          <t>—</t>
        </is>
      </c>
      <c r="CH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2">
        <f>IF($CL17=1,"",IF($A$2=4,IF($CJ17=1,$CD17,""),IF(OR($CJ17=1,AND($A$2=3,$CK17=1)),"",$CD17)))</f>
        <v/>
      </c>
      <c r="CJ17" s="152" t="n">
        <v>0</v>
      </c>
      <c r="CK17" s="152" t="n">
        <v>0</v>
      </c>
      <c r="CL17" s="152" t="n">
        <v>0</v>
      </c>
      <c r="CM17" s="150" t="inlineStr">
        <is>
          <t>Você cria uma aptidão com o mestre antes da sessão.</t>
        </is>
      </c>
      <c r="DW17" s="150" t="inlineStr">
        <is>
          <t>Feitiço 16</t>
        </is>
      </c>
      <c r="DX17" s="152" t="n">
        <v>0</v>
      </c>
      <c r="DY17" s="152" t="n">
        <v>16</v>
      </c>
      <c r="DZ17" s="152">
        <f>MAX(1,MIN(7,N('FICHA AMALDIÇOADA'!$D$158)))</f>
        <v/>
      </c>
      <c r="EA17" s="152">
        <f>'FICHA AMALDIÇOADA'!$E$158&amp;""</f>
        <v/>
      </c>
      <c r="EB17" s="152">
        <f>'FICHA AMALDIÇOADA'!$D$165&amp;""</f>
        <v/>
      </c>
      <c r="EC17" s="152">
        <f>'FICHA AMALDIÇOADA'!$E$167&amp;""</f>
        <v/>
      </c>
      <c r="ED17" s="152">
        <f>'FICHA AMALDIÇOADA'!$E$168&amp;""</f>
        <v/>
      </c>
      <c r="EE17" s="152">
        <f>'FICHA AMALDIÇOADA'!$E$169&amp;""</f>
        <v/>
      </c>
      <c r="EF17" s="152">
        <f>'FICHA AMALDIÇOADA'!$E$170&amp;""</f>
        <v/>
      </c>
      <c r="EG17" s="152">
        <f>'FICHA AMALDIÇOADA'!$E$171&amp;""</f>
        <v/>
      </c>
      <c r="EH17" s="152">
        <f>'FICHA AMALDIÇOADA'!$E$172&amp;""</f>
        <v/>
      </c>
      <c r="EI17" s="152">
        <f>IF($EA17&lt;&gt;"",1,0)</f>
        <v/>
      </c>
      <c r="EJ17" s="152">
        <f>IFERROR(MATCH($EB17,$Y$2:$Y$11,0),0)</f>
        <v/>
      </c>
      <c r="EK17" s="152">
        <f>IF($EJ17=0,0,INDEX($AB$2:$AB$11,$EJ17))</f>
        <v/>
      </c>
      <c r="EL17" s="152">
        <f>IFERROR(VLOOKUP($EC17,$BC$2:$BK$84,4,FALSE),0)</f>
        <v/>
      </c>
      <c r="EM17" s="152">
        <f>IFERROR(VLOOKUP($ED17,$BC$2:$BK$84,4,FALSE),0)</f>
        <v/>
      </c>
      <c r="EN17" s="152">
        <f>IFERROR(VLOOKUP($EE17,$BC$2:$BK$84,4,FALSE),0)</f>
        <v/>
      </c>
      <c r="EO17" s="152">
        <f>IFERROR(VLOOKUP($EF17,$BC$2:$BK$84,4,FALSE),0)</f>
        <v/>
      </c>
      <c r="EP17" s="152">
        <f>IF($EJ17=0,0,INDEX($AC$2:$AC$11,$EJ17))</f>
        <v/>
      </c>
      <c r="EQ17" s="152">
        <f>IFERROR(VLOOKUP($EC17,$BC$2:$BK$84,5,FALSE),0)</f>
        <v/>
      </c>
      <c r="ER17" s="152">
        <f>IFERROR(VLOOKUP($ED17,$BC$2:$BK$84,5,FALSE),0)</f>
        <v/>
      </c>
      <c r="ES17" s="152">
        <f>IFERROR(VLOOKUP($EE17,$BC$2:$BK$84,5,FALSE),0)</f>
        <v/>
      </c>
      <c r="ET17" s="152">
        <f>IFERROR(VLOOKUP($EF17,$BC$2:$BK$84,5,FALSE),0)</f>
        <v/>
      </c>
      <c r="EU17" s="152">
        <f>IFERROR(VLOOKUP($EC17,$BC$2:$BK$84,6,FALSE),0)+IFERROR(VLOOKUP($ED17,$BC$2:$BK$84,6,FALSE),0)+IFERROR(VLOOKUP($EE17,$BC$2:$BK$84,6,FALSE),0)+IFERROR(VLOOKUP($EF17,$BC$2:$BK$84,6,FALSE),0)</f>
        <v/>
      </c>
      <c r="EV17" s="152">
        <f>IFERROR(VLOOKUP($EC17,$BC$2:$BK$84,9,FALSE),0)+IFERROR(VLOOKUP($ED17,$BC$2:$BK$84,9,FALSE),0)+IFERROR(VLOOKUP($EE17,$BC$2:$BK$84,9,FALSE),0)+IFERROR(VLOOKUP($EF17,$BC$2:$BK$84,9,FALSE),0)</f>
        <v/>
      </c>
      <c r="EW17" s="152">
        <f>IF($EJ17=0,0,INDEX($AD$2:$AD$11,$EJ17))</f>
        <v/>
      </c>
      <c r="EX17" s="152">
        <f>IF($EJ17=0,0,INDEX($AE$2:$AE$11,$EJ17))</f>
        <v/>
      </c>
      <c r="EY17" s="152">
        <f>IF($EJ17=0,0,INDEX($AG$2:$AG$11,$EJ17))</f>
        <v/>
      </c>
      <c r="EZ17" s="152">
        <f>IFERROR(VLOOKUP($EG17,$BM$2:$BQ$24,3,FALSE),0)</f>
        <v/>
      </c>
      <c r="FA17" s="152">
        <f>IFERROR(VLOOKUP($EH17,$BM$2:$BQ$24,3,FALSE),0)</f>
        <v/>
      </c>
      <c r="FB17" s="152">
        <f>IFERROR(VLOOKUP($EG17,$BM$2:$BQ$24,2,FALSE),"")</f>
        <v/>
      </c>
      <c r="FC17" s="152">
        <f>IFERROR(VLOOKUP($EH17,$BM$2:$BQ$24,2,FALSE),"")</f>
        <v/>
      </c>
      <c r="FD17" s="152">
        <f>COUNTIF($EK17:$EO17,1)</f>
        <v/>
      </c>
      <c r="FE17" s="152">
        <f>COUNTIF($EK17:$EO17,2)</f>
        <v/>
      </c>
      <c r="FF17" s="152">
        <f>COUNTIF($EK17:$EO17,3)</f>
        <v/>
      </c>
      <c r="FG17" s="152">
        <f>COUNTIF($EK17:$EO17,4)</f>
        <v/>
      </c>
      <c r="FH17" s="152">
        <f>COUNTIF($EK17:$EO17,5)</f>
        <v/>
      </c>
      <c r="FI17" s="152">
        <f>COUNTIF($EK17:$EO17,6)</f>
        <v/>
      </c>
      <c r="FJ17" s="152">
        <f>COUNTIF($EZ17:$FA17,1)</f>
        <v/>
      </c>
      <c r="FK17" s="152">
        <f>COUNTIF($EZ17:$FA17,2)+$EW17</f>
        <v/>
      </c>
      <c r="FL17" s="152">
        <f>COUNTIF($EC17:$EF17,"?*")</f>
        <v/>
      </c>
      <c r="FM17" s="152">
        <f>COUNTIF($EG17:$EH17,"?*")+$EW17</f>
        <v/>
      </c>
      <c r="FN17" s="152">
        <f>SUMPRODUCT($FD17:$FI17,INDEX($Q$2:$V$8,$DZ17,0))</f>
        <v/>
      </c>
      <c r="FO17" s="152">
        <f>$FJ17*CEILING($DZ17/2,1)+$FK17*$DZ17</f>
        <v/>
      </c>
      <c r="FP17" s="152">
        <f>MIN(2*$DZ17,$FO17)</f>
        <v/>
      </c>
      <c r="FQ17" s="152">
        <f>MIN($FP17,$FN17)</f>
        <v/>
      </c>
      <c r="FR17" s="152">
        <f>$FP17-$FQ17</f>
        <v/>
      </c>
      <c r="FS17" s="152">
        <f>3*$DZ17-$FN17+$FQ17</f>
        <v/>
      </c>
      <c r="FT17" s="152">
        <f>MAX(0,$FS17)+$DX17*$DZ17</f>
        <v/>
      </c>
      <c r="FU17" s="152">
        <f>(IF(COUNTIF($EC17:$EF17,"Salto")&gt;0,1,0)+IF(COUNTIF($EC17:$EF17,"Queima")&gt;0,1,0)+IF(COUNTIF($EC17:$EF17,"Estilhaço")&gt;0,1,0))*FLOOR($FT17/2,1)</f>
        <v/>
      </c>
      <c r="FV17" s="152">
        <f>MAX(0,3-SUMPRODUCT($FD17:$FI17,$Q$2:$V$2)+MIN(2,$FJ17*1+$FK17*1,SUMPRODUCT($FD17:$FI17,$Q$2:$V$2)))+$DX17*1</f>
        <v/>
      </c>
      <c r="FW17" s="152">
        <f>MAX(0,6-SUMPRODUCT($FD17:$FI17,$Q$3:$V$3)+MIN(4,$FJ17*1+$FK17*2,SUMPRODUCT($FD17:$FI17,$Q$3:$V$3)))+$DX17*2</f>
        <v/>
      </c>
      <c r="FX17" s="152">
        <f>MAX(0,9-SUMPRODUCT($FD17:$FI17,$Q$4:$V$4)+MIN(6,$FJ17*2+$FK17*3,SUMPRODUCT($FD17:$FI17,$Q$4:$V$4)))+$DX17*3</f>
        <v/>
      </c>
      <c r="FY17" s="152">
        <f>MAX(0,12-SUMPRODUCT($FD17:$FI17,$Q$5:$V$5)+MIN(8,$FJ17*2+$FK17*4,SUMPRODUCT($FD17:$FI17,$Q$5:$V$5)))+$DX17*4</f>
        <v/>
      </c>
      <c r="FZ17" s="152">
        <f>MAX(0,15-SUMPRODUCT($FD17:$FI17,$Q$6:$V$6)+MIN(10,$FJ17*3+$FK17*5,SUMPRODUCT($FD17:$FI17,$Q$6:$V$6)))+$DX17*5</f>
        <v/>
      </c>
      <c r="GA17" s="152">
        <f>MAX(0,18-SUMPRODUCT($FD17:$FI17,$Q$7:$V$7)+MIN(12,$FJ17*3+$FK17*6,SUMPRODUCT($FD17:$FI17,$Q$7:$V$7)))+$DX17*6</f>
        <v/>
      </c>
      <c r="GB17" s="152">
        <f>MAX(0,21-SUMPRODUCT($FD17:$FI17,$Q$8:$V$8)+MIN(14,$FJ17*4+$FK17*7,SUMPRODUCT($FD17:$FI17,$Q$8:$V$8)))+$DX17*7</f>
        <v/>
      </c>
      <c r="GC17" s="152">
        <f>IF($EX17=2,3*$FV17&amp;" de vida temp.",IF($EX17=3,"sem dano",IF($FV17=0,IF($EX17=1,"sem cura","sem dano"),IF($EX17=1,"cura ","")&amp;$FV17&amp;"d8")))</f>
        <v/>
      </c>
      <c r="GD17" s="152">
        <f>IF($EX17=2,3*$FW17&amp;" de vida temp.",IF($EX17=3,"sem dano",IF($FW17=0,IF($EX17=1,"sem cura","sem dano"),IF($EX17=1,"cura ","")&amp;$FW17&amp;"d8")))</f>
        <v/>
      </c>
      <c r="GE17" s="152">
        <f>IF($EX17=2,3*$FX17&amp;" de vida temp.",IF($EX17=3,"sem dano",IF($FX17=0,IF($EX17=1,"sem cura","sem dano"),IF($EX17=1,"cura ","")&amp;$FX17&amp;"d8")))</f>
        <v/>
      </c>
      <c r="GF17" s="152">
        <f>IF($EX17=2,3*$FY17&amp;" de vida temp.",IF($EX17=3,"sem dano",IF($FY17=0,IF($EX17=1,"sem cura","sem dano"),IF($EX17=1,"cura ","")&amp;$FY17&amp;"d8")))</f>
        <v/>
      </c>
      <c r="GG17" s="152">
        <f>IF($EX17=2,3*$FZ17&amp;" de vida temp.",IF($EX17=3,"sem dano",IF($FZ17=0,IF($EX17=1,"sem cura","sem dano"),IF($EX17=1,"cura ","")&amp;$FZ17&amp;"d8")))</f>
        <v/>
      </c>
      <c r="GH17" s="152">
        <f>IF($EX17=2,3*$GA17&amp;" de vida temp.",IF($EX17=3,"sem dano",IF($GA17=0,IF($EX17=1,"sem cura","sem dano"),IF($EX17=1,"cura ","")&amp;$GA17&amp;"d8")))</f>
        <v/>
      </c>
      <c r="GI17" s="152">
        <f>IF($EX17=2,3*$GB17&amp;" de vida temp.",IF($EX17=3,"sem dano",IF($GB17=0,IF($EX17=1,"sem cura","sem dano"),IF($EX17=1,"cura ","")&amp;$GB17&amp;"d8")))</f>
        <v/>
      </c>
      <c r="GJ17" s="152">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2">
        <f>IF($GJ17="",0,(LEN($GJ17)-LEN(SUBSTITUTE($GJ17," · ","")))/3+1)</f>
        <v/>
      </c>
      <c r="GL17" s="152">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2">
        <f>IF($GL17="",0,(LEN($GL17)-LEN(SUBSTITUTE($GL17," · ","")))/3+1)</f>
        <v/>
      </c>
      <c r="GN17" s="152">
        <f>IF($EI17=0,IF($FL17+$FM17-$EW17&gt;0,"Dê um nome",""),IF($GK17&gt;0,"⚠ "&amp;$GK17&amp;IF($GK17&gt;1," erros"," erro"),IF($GM17&gt;0,"! "&amp;$GM17&amp;IF($GM17&gt;1," avisos"," aviso"),"Na regra")))</f>
        <v/>
      </c>
      <c r="GO17" s="152">
        <f>IF($EI17=0,"",IF($GK17+$GM17=0,"Dentro das regras que a ficha confere",$GJ17&amp;IF(AND($GK17&gt;0,$GM17&gt;0)," · ","")&amp;$GL17))</f>
        <v/>
      </c>
      <c r="GP17" s="152">
        <f>IF($EI17=0,"",IF($DX17=1,CEILING(4.5*$DZ17,1),3*$DZ17)&amp;" PE")</f>
        <v/>
      </c>
      <c r="GQ17" s="152">
        <f>IF($EI17=0,"",IF($DX17=1,"Rodada inteira",IF(COUNTIF($FB17:$FC17,"Atrasar")&gt;0,IF(COUNTIF($FB17:$FC17,"Carregar")&gt;0,"Rodada +1 turno","Rodada inteira"),IF(COUNTIF($EC17:$EF17,"Rápido")&gt;0,"Bônus",IF(COUNTIF($EC17:$EF17,"Reação")&gt;0,"Reação","Padrão"))&amp;IF(COUNTIF($FB17:$FC17,"Carregar")&gt;0," +1 turno",""))))</f>
        <v/>
      </c>
      <c r="GR17" s="152">
        <f>IF(OR($EI17=0,$EJ17=0),"",IF(COUNTIF($EC17:$EF17,"Inescapável")&gt;0,"Automático",IF(COUNTIF($EC17:$EF17,"Certeiro")&gt;0,"TR para metade",IF(AND($EV17&gt;0,$EY17=0,INDEX($AF$2:$AF$11,$EJ17)="Acerto"),"Acerto + TR",INDEX($AF$2:$AF$11,$EJ17)))))</f>
        <v/>
      </c>
      <c r="GS17" s="152">
        <f>IF(OR($EI17=0,$EJ17=0),"",IF(OR($EX17&gt;=2,$FT17=0),UPPER(LEFT(INDEX($GC17:$GI17,1,$DZ17),1))&amp;MID(INDEX($GC17:$GI17,1,$DZ17),2,99),UPPER(LEFT(INDEX($GC17:$GI17,1,$DZ17),1))&amp;MID(INDEX($GC17:$GI17,1,$DZ17),2,99)&amp;" = "&amp;FLOOR($FT17*4.5,1)&amp;IF($FU17&gt;0," · +"&amp;$FU17&amp;"d8","")))</f>
        <v/>
      </c>
      <c r="GT17" s="152">
        <f>COUNTIF($EC17:$EF17,"Longe")+3*COUNTIF($EC17:$EF17,"Muito Longe")</f>
        <v/>
      </c>
      <c r="GU17" s="152">
        <f>COUNTIF($EC17:$EF17,"Maior")+3*COUNTIF($EC17:$EF17,"Muito Maior")</f>
        <v/>
      </c>
      <c r="GV17" s="152">
        <f>IF($EJ17=0,0,CHOOSE(1+INDEX($AH$2:$AH$11,$EJ17),0,$GT17,$GU17,$GT17+$GU17))</f>
        <v/>
      </c>
      <c r="GW17" s="152">
        <f>IF($EJ17=0,0,CHOOSE(1+INDEX($AI$2:$AI$11,$EJ17),0,$GT17,$GU17,$GT17+$GU17))</f>
        <v/>
      </c>
      <c r="GX17" s="152">
        <f>IF(OR($EI17=0,$EJ17=0),"",INDEX($AP$2:$AU$31,($EJ17-1)*3+IF($DZ17&gt;=6,3,2),1+MIN(5,$GV17))&amp;INDEX($AV$2:$BA$31,($EJ17-1)*3+IF($DZ17&gt;=6,3,2),1+MIN(5,$GW17))&amp;IF(INDEX($AJ$2:$AJ$11,$EJ17)=1,IF(COUNTIF($EC17:$EF17,"Mais Um")&gt;0," · +"&amp;COUNTIF($EC17:$EF17,"Mais Um")&amp;IF(COUNTIF($EC17:$EF17,"Mais Um")&gt;1," alvos"," alvo"),"")&amp;IF(COUNTIF($EC17:$EF17,"Rajada")&gt;0," · "&amp;($DZ17+1)&amp;" tiros",""),""))</f>
        <v/>
      </c>
      <c r="GY17" s="152">
        <f>IF($EI17=0,"",3*$DZ17&amp;" − "&amp;$FN17&amp;" + "&amp;$FQ17&amp;IF($DX17=1," + "&amp;$DZ17,"")&amp;" = "&amp;$FT17&amp;"d8 · teto "&amp;4*$DZ17&amp;IF($EW17=1," · a Forma devolve "&amp;$DZ17,"")&amp;IF($FR17&gt;0," · perde "&amp;$FR17,""))</f>
        <v/>
      </c>
      <c r="GZ17" s="152">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2">
        <f>IF(OR($EI17=0,$EL17=0),"","−"&amp;INDEX($Q$2:$V$8,$DZ17,$EL17)&amp;" · "&amp;CHOOSE($EL17,"Leve","Média","Pesada","Leve · Livre","Média · Livre","Pesada · Livre"))</f>
        <v/>
      </c>
      <c r="HB17" s="152">
        <f>IF(OR($EI17=0,$EM17=0),"","−"&amp;INDEX($Q$2:$V$8,$DZ17,$EM17)&amp;" · "&amp;CHOOSE($EM17,"Leve","Média","Pesada","Leve · Livre","Média · Livre","Pesada · Livre"))</f>
        <v/>
      </c>
      <c r="HC17" s="152">
        <f>IF(OR($EI17=0,$EN17=0),"","−"&amp;INDEX($Q$2:$V$8,$DZ17,$EN17)&amp;" · "&amp;CHOOSE($EN17,"Leve","Média","Pesada","Leve · Livre","Média · Livre","Pesada · Livre"))</f>
        <v/>
      </c>
      <c r="HD17" s="152">
        <f>IF(OR($EI17=0,$EO17=0),"","−"&amp;INDEX($Q$2:$V$8,$DZ17,$EO17)&amp;" · "&amp;CHOOSE($EO17,"Leve","Média","Pesada","Leve · Livre","Média · Livre","Pesada · Livre"))</f>
        <v/>
      </c>
      <c r="HE17" s="152">
        <f>IF(OR($EI17=0,$EG17=""),"","+"&amp;IF($EZ17=1,CEILING($DZ17/2,1),$DZ17))</f>
        <v/>
      </c>
      <c r="HF17" s="152">
        <f>IF(OR($EI17=0,$EH17=""),"","+"&amp;IF($FA17=1,CEILING($DZ17/2,1),$DZ17))</f>
        <v/>
      </c>
      <c r="HG17" s="152">
        <f>'FICHA AMALDIÇOADA'!$D$160&amp;""</f>
        <v/>
      </c>
      <c r="HH17" s="152">
        <f>IF(AND($EI17=1,$DX17=0),COUNTIFS($EI$2:$EI17,1,$DX$2:$DX17,0),"")</f>
        <v/>
      </c>
      <c r="HJ17" s="150" t="inlineStr">
        <is>
          <t>espaços da regra própria</t>
        </is>
      </c>
      <c r="HK17" s="152">
        <f>MAX(0,$HK$16-1)</f>
        <v/>
      </c>
      <c r="JF17" s="152" t="n">
        <v>16</v>
      </c>
      <c r="JG17" s="152">
        <f>IFERROR(MATCH(16,$HH$2:$HH$37,0),0)</f>
        <v/>
      </c>
      <c r="JH17" s="152">
        <f>IF($JG17=0,"",INDEX($DZ$2:$DZ$37,$JG17))</f>
        <v/>
      </c>
      <c r="JI17" s="152">
        <f>IF($JG17=0,"",INDEX($EA$2:$EA$37,$JG17))</f>
        <v/>
      </c>
      <c r="JJ17" s="152">
        <f>IF($JG17=0,"",INDEX($GP$2:$GP$37,$JG17))</f>
        <v/>
      </c>
      <c r="JK17" s="152">
        <f>IF($JG17=0,"",INDEX($EB$2:$EB$37,$JG17))</f>
        <v/>
      </c>
      <c r="JL17" s="152">
        <f>IF($JG17=0,"",INDEX($GR$2:$GR$37,$JG17))</f>
        <v/>
      </c>
      <c r="JM17" s="152">
        <f>IF($JG17=0,"",INDEX($HG$2:$HG$37,$JG17))</f>
        <v/>
      </c>
      <c r="KP17" s="150" t="inlineStr">
        <is>
          <t>par aptidões 2</t>
        </is>
      </c>
      <c r="KQ17" s="152">
        <f>UPPER(INDEX($D$6:$G$6,1,$A$2))&amp;" 7 A 12"</f>
        <v/>
      </c>
      <c r="KS17" s="150" t="inlineStr">
        <is>
          <t>R33</t>
        </is>
      </c>
      <c r="KT17" s="152">
        <f>IF(DADOS_AM!$HK$16=0,"—",IF(IFERROR(VLOOKUP(DADOS_AM!$HK$16,DADOS_AM!$CA$2:$CB$4,2,FALSE),0)&gt;DADOS_AM!$HK$2,"⚠ Nível "&amp;VLOOKUP(DADOS_AM!$HK$16,DADOS_AM!$CA$2:$CB$4,2,FALSE),IF(DADOS_AM!$HK$16&gt;1,DADOS_AM!$HK$16-1,"De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K18" s="152" t="n">
        <v>0</v>
      </c>
      <c r="BM18" s="150" t="inlineStr">
        <is>
          <t>Aquecer</t>
        </is>
      </c>
      <c r="BN18" s="150" t="inlineStr">
        <is>
          <t>Aquecer</t>
        </is>
      </c>
      <c r="BO18" s="152" t="n">
        <v>1</v>
      </c>
      <c r="BP18" s="152" t="n">
        <v>1</v>
      </c>
      <c r="BQ18" s="150" t="inlineStr">
        <is>
          <t>Aquecer</t>
        </is>
      </c>
      <c r="BS18" s="150" t="inlineStr">
        <is>
          <t>Talento Próprio (CE 1)</t>
        </is>
      </c>
      <c r="BT18" s="152" t="n">
        <v>1</v>
      </c>
      <c r="BU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2" t="n">
        <v>1</v>
      </c>
      <c r="BW18" s="152" t="n">
        <v>1</v>
      </c>
      <c r="BX18" s="152">
        <f>IF(OR(AND($A$2&lt;=2,$BV18=1),AND($A$2&gt;=2,$BW18=1)),$BS18,"")</f>
        <v/>
      </c>
      <c r="BY18" s="150" t="inlineStr">
        <is>
          <t>Categoria de Efeito 1, 2 ou 3. Custos e níveis da Categoria escolhida. Se o catálogo não representar a ideia, escreva o efeito com o mestre antes da sessão. Ele ocupa os espaços correspondentes e conta no máximo de cinco Talentos pagos.</t>
        </is>
      </c>
      <c r="CD18" s="150" t="inlineStr">
        <is>
          <t>Aptidão Própria (CE 2)</t>
        </is>
      </c>
      <c r="CE18" s="150" t="inlineStr">
        <is>
          <t>Uma única vez na ficha</t>
        </is>
      </c>
      <c r="CF18" s="152" t="n">
        <v>2</v>
      </c>
      <c r="CG18" s="150" t="inlineStr">
        <is>
          <t>—</t>
        </is>
      </c>
      <c r="CH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2">
        <f>IF($CL18=1,"",IF($A$2=4,IF($CJ18=1,$CD18,""),IF(OR($CJ18=1,AND($A$2=3,$CK18=1)),"",$CD18)))</f>
        <v/>
      </c>
      <c r="CJ18" s="152" t="n">
        <v>0</v>
      </c>
      <c r="CK18" s="152" t="n">
        <v>0</v>
      </c>
      <c r="CL18" s="152" t="n">
        <v>0</v>
      </c>
      <c r="CM18" s="150" t="inlineStr">
        <is>
          <t>Você cria uma aptidão com o mestre antes da sessão.</t>
        </is>
      </c>
      <c r="DW18" s="150" t="inlineStr">
        <is>
          <t>Feitiço 17</t>
        </is>
      </c>
      <c r="DX18" s="152" t="n">
        <v>0</v>
      </c>
      <c r="DY18" s="152" t="n">
        <v>17</v>
      </c>
      <c r="DZ18" s="152">
        <f>MAX(1,MIN(7,N('FICHA AMALDIÇOADA'!$J$158)))</f>
        <v/>
      </c>
      <c r="EA18" s="152">
        <f>'FICHA AMALDIÇOADA'!$K$158&amp;""</f>
        <v/>
      </c>
      <c r="EB18" s="152">
        <f>'FICHA AMALDIÇOADA'!$J$165&amp;""</f>
        <v/>
      </c>
      <c r="EC18" s="152">
        <f>'FICHA AMALDIÇOADA'!$K$167&amp;""</f>
        <v/>
      </c>
      <c r="ED18" s="152">
        <f>'FICHA AMALDIÇOADA'!$K$168&amp;""</f>
        <v/>
      </c>
      <c r="EE18" s="152">
        <f>'FICHA AMALDIÇOADA'!$K$169&amp;""</f>
        <v/>
      </c>
      <c r="EF18" s="152">
        <f>'FICHA AMALDIÇOADA'!$K$170&amp;""</f>
        <v/>
      </c>
      <c r="EG18" s="152">
        <f>'FICHA AMALDIÇOADA'!$K$171&amp;""</f>
        <v/>
      </c>
      <c r="EH18" s="152">
        <f>'FICHA AMALDIÇOADA'!$K$172&amp;""</f>
        <v/>
      </c>
      <c r="EI18" s="152">
        <f>IF($EA18&lt;&gt;"",1,0)</f>
        <v/>
      </c>
      <c r="EJ18" s="152">
        <f>IFERROR(MATCH($EB18,$Y$2:$Y$11,0),0)</f>
        <v/>
      </c>
      <c r="EK18" s="152">
        <f>IF($EJ18=0,0,INDEX($AB$2:$AB$11,$EJ18))</f>
        <v/>
      </c>
      <c r="EL18" s="152">
        <f>IFERROR(VLOOKUP($EC18,$BC$2:$BK$84,4,FALSE),0)</f>
        <v/>
      </c>
      <c r="EM18" s="152">
        <f>IFERROR(VLOOKUP($ED18,$BC$2:$BK$84,4,FALSE),0)</f>
        <v/>
      </c>
      <c r="EN18" s="152">
        <f>IFERROR(VLOOKUP($EE18,$BC$2:$BK$84,4,FALSE),0)</f>
        <v/>
      </c>
      <c r="EO18" s="152">
        <f>IFERROR(VLOOKUP($EF18,$BC$2:$BK$84,4,FALSE),0)</f>
        <v/>
      </c>
      <c r="EP18" s="152">
        <f>IF($EJ18=0,0,INDEX($AC$2:$AC$11,$EJ18))</f>
        <v/>
      </c>
      <c r="EQ18" s="152">
        <f>IFERROR(VLOOKUP($EC18,$BC$2:$BK$84,5,FALSE),0)</f>
        <v/>
      </c>
      <c r="ER18" s="152">
        <f>IFERROR(VLOOKUP($ED18,$BC$2:$BK$84,5,FALSE),0)</f>
        <v/>
      </c>
      <c r="ES18" s="152">
        <f>IFERROR(VLOOKUP($EE18,$BC$2:$BK$84,5,FALSE),0)</f>
        <v/>
      </c>
      <c r="ET18" s="152">
        <f>IFERROR(VLOOKUP($EF18,$BC$2:$BK$84,5,FALSE),0)</f>
        <v/>
      </c>
      <c r="EU18" s="152">
        <f>IFERROR(VLOOKUP($EC18,$BC$2:$BK$84,6,FALSE),0)+IFERROR(VLOOKUP($ED18,$BC$2:$BK$84,6,FALSE),0)+IFERROR(VLOOKUP($EE18,$BC$2:$BK$84,6,FALSE),0)+IFERROR(VLOOKUP($EF18,$BC$2:$BK$84,6,FALSE),0)</f>
        <v/>
      </c>
      <c r="EV18" s="152">
        <f>IFERROR(VLOOKUP($EC18,$BC$2:$BK$84,9,FALSE),0)+IFERROR(VLOOKUP($ED18,$BC$2:$BK$84,9,FALSE),0)+IFERROR(VLOOKUP($EE18,$BC$2:$BK$84,9,FALSE),0)+IFERROR(VLOOKUP($EF18,$BC$2:$BK$84,9,FALSE),0)</f>
        <v/>
      </c>
      <c r="EW18" s="152">
        <f>IF($EJ18=0,0,INDEX($AD$2:$AD$11,$EJ18))</f>
        <v/>
      </c>
      <c r="EX18" s="152">
        <f>IF($EJ18=0,0,INDEX($AE$2:$AE$11,$EJ18))</f>
        <v/>
      </c>
      <c r="EY18" s="152">
        <f>IF($EJ18=0,0,INDEX($AG$2:$AG$11,$EJ18))</f>
        <v/>
      </c>
      <c r="EZ18" s="152">
        <f>IFERROR(VLOOKUP($EG18,$BM$2:$BQ$24,3,FALSE),0)</f>
        <v/>
      </c>
      <c r="FA18" s="152">
        <f>IFERROR(VLOOKUP($EH18,$BM$2:$BQ$24,3,FALSE),0)</f>
        <v/>
      </c>
      <c r="FB18" s="152">
        <f>IFERROR(VLOOKUP($EG18,$BM$2:$BQ$24,2,FALSE),"")</f>
        <v/>
      </c>
      <c r="FC18" s="152">
        <f>IFERROR(VLOOKUP($EH18,$BM$2:$BQ$24,2,FALSE),"")</f>
        <v/>
      </c>
      <c r="FD18" s="152">
        <f>COUNTIF($EK18:$EO18,1)</f>
        <v/>
      </c>
      <c r="FE18" s="152">
        <f>COUNTIF($EK18:$EO18,2)</f>
        <v/>
      </c>
      <c r="FF18" s="152">
        <f>COUNTIF($EK18:$EO18,3)</f>
        <v/>
      </c>
      <c r="FG18" s="152">
        <f>COUNTIF($EK18:$EO18,4)</f>
        <v/>
      </c>
      <c r="FH18" s="152">
        <f>COUNTIF($EK18:$EO18,5)</f>
        <v/>
      </c>
      <c r="FI18" s="152">
        <f>COUNTIF($EK18:$EO18,6)</f>
        <v/>
      </c>
      <c r="FJ18" s="152">
        <f>COUNTIF($EZ18:$FA18,1)</f>
        <v/>
      </c>
      <c r="FK18" s="152">
        <f>COUNTIF($EZ18:$FA18,2)+$EW18</f>
        <v/>
      </c>
      <c r="FL18" s="152">
        <f>COUNTIF($EC18:$EF18,"?*")</f>
        <v/>
      </c>
      <c r="FM18" s="152">
        <f>COUNTIF($EG18:$EH18,"?*")+$EW18</f>
        <v/>
      </c>
      <c r="FN18" s="152">
        <f>SUMPRODUCT($FD18:$FI18,INDEX($Q$2:$V$8,$DZ18,0))</f>
        <v/>
      </c>
      <c r="FO18" s="152">
        <f>$FJ18*CEILING($DZ18/2,1)+$FK18*$DZ18</f>
        <v/>
      </c>
      <c r="FP18" s="152">
        <f>MIN(2*$DZ18,$FO18)</f>
        <v/>
      </c>
      <c r="FQ18" s="152">
        <f>MIN($FP18,$FN18)</f>
        <v/>
      </c>
      <c r="FR18" s="152">
        <f>$FP18-$FQ18</f>
        <v/>
      </c>
      <c r="FS18" s="152">
        <f>3*$DZ18-$FN18+$FQ18</f>
        <v/>
      </c>
      <c r="FT18" s="152">
        <f>MAX(0,$FS18)+$DX18*$DZ18</f>
        <v/>
      </c>
      <c r="FU18" s="152">
        <f>(IF(COUNTIF($EC18:$EF18,"Salto")&gt;0,1,0)+IF(COUNTIF($EC18:$EF18,"Queima")&gt;0,1,0)+IF(COUNTIF($EC18:$EF18,"Estilhaço")&gt;0,1,0))*FLOOR($FT18/2,1)</f>
        <v/>
      </c>
      <c r="FV18" s="152">
        <f>MAX(0,3-SUMPRODUCT($FD18:$FI18,$Q$2:$V$2)+MIN(2,$FJ18*1+$FK18*1,SUMPRODUCT($FD18:$FI18,$Q$2:$V$2)))+$DX18*1</f>
        <v/>
      </c>
      <c r="FW18" s="152">
        <f>MAX(0,6-SUMPRODUCT($FD18:$FI18,$Q$3:$V$3)+MIN(4,$FJ18*1+$FK18*2,SUMPRODUCT($FD18:$FI18,$Q$3:$V$3)))+$DX18*2</f>
        <v/>
      </c>
      <c r="FX18" s="152">
        <f>MAX(0,9-SUMPRODUCT($FD18:$FI18,$Q$4:$V$4)+MIN(6,$FJ18*2+$FK18*3,SUMPRODUCT($FD18:$FI18,$Q$4:$V$4)))+$DX18*3</f>
        <v/>
      </c>
      <c r="FY18" s="152">
        <f>MAX(0,12-SUMPRODUCT($FD18:$FI18,$Q$5:$V$5)+MIN(8,$FJ18*2+$FK18*4,SUMPRODUCT($FD18:$FI18,$Q$5:$V$5)))+$DX18*4</f>
        <v/>
      </c>
      <c r="FZ18" s="152">
        <f>MAX(0,15-SUMPRODUCT($FD18:$FI18,$Q$6:$V$6)+MIN(10,$FJ18*3+$FK18*5,SUMPRODUCT($FD18:$FI18,$Q$6:$V$6)))+$DX18*5</f>
        <v/>
      </c>
      <c r="GA18" s="152">
        <f>MAX(0,18-SUMPRODUCT($FD18:$FI18,$Q$7:$V$7)+MIN(12,$FJ18*3+$FK18*6,SUMPRODUCT($FD18:$FI18,$Q$7:$V$7)))+$DX18*6</f>
        <v/>
      </c>
      <c r="GB18" s="152">
        <f>MAX(0,21-SUMPRODUCT($FD18:$FI18,$Q$8:$V$8)+MIN(14,$FJ18*4+$FK18*7,SUMPRODUCT($FD18:$FI18,$Q$8:$V$8)))+$DX18*7</f>
        <v/>
      </c>
      <c r="GC18" s="152">
        <f>IF($EX18=2,3*$FV18&amp;" de vida temp.",IF($EX18=3,"sem dano",IF($FV18=0,IF($EX18=1,"sem cura","sem dano"),IF($EX18=1,"cura ","")&amp;$FV18&amp;"d8")))</f>
        <v/>
      </c>
      <c r="GD18" s="152">
        <f>IF($EX18=2,3*$FW18&amp;" de vida temp.",IF($EX18=3,"sem dano",IF($FW18=0,IF($EX18=1,"sem cura","sem dano"),IF($EX18=1,"cura ","")&amp;$FW18&amp;"d8")))</f>
        <v/>
      </c>
      <c r="GE18" s="152">
        <f>IF($EX18=2,3*$FX18&amp;" de vida temp.",IF($EX18=3,"sem dano",IF($FX18=0,IF($EX18=1,"sem cura","sem dano"),IF($EX18=1,"cura ","")&amp;$FX18&amp;"d8")))</f>
        <v/>
      </c>
      <c r="GF18" s="152">
        <f>IF($EX18=2,3*$FY18&amp;" de vida temp.",IF($EX18=3,"sem dano",IF($FY18=0,IF($EX18=1,"sem cura","sem dano"),IF($EX18=1,"cura ","")&amp;$FY18&amp;"d8")))</f>
        <v/>
      </c>
      <c r="GG18" s="152">
        <f>IF($EX18=2,3*$FZ18&amp;" de vida temp.",IF($EX18=3,"sem dano",IF($FZ18=0,IF($EX18=1,"sem cura","sem dano"),IF($EX18=1,"cura ","")&amp;$FZ18&amp;"d8")))</f>
        <v/>
      </c>
      <c r="GH18" s="152">
        <f>IF($EX18=2,3*$GA18&amp;" de vida temp.",IF($EX18=3,"sem dano",IF($GA18=0,IF($EX18=1,"sem cura","sem dano"),IF($EX18=1,"cura ","")&amp;$GA18&amp;"d8")))</f>
        <v/>
      </c>
      <c r="GI18" s="152">
        <f>IF($EX18=2,3*$GB18&amp;" de vida temp.",IF($EX18=3,"sem dano",IF($GB18=0,IF($EX18=1,"sem cura","sem dano"),IF($EX18=1,"cura ","")&amp;$GB18&amp;"d8")))</f>
        <v/>
      </c>
      <c r="GJ18" s="152">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2">
        <f>IF($GJ18="",0,(LEN($GJ18)-LEN(SUBSTITUTE($GJ18," · ","")))/3+1)</f>
        <v/>
      </c>
      <c r="GL18" s="152">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2">
        <f>IF($GL18="",0,(LEN($GL18)-LEN(SUBSTITUTE($GL18," · ","")))/3+1)</f>
        <v/>
      </c>
      <c r="GN18" s="152">
        <f>IF($EI18=0,IF($FL18+$FM18-$EW18&gt;0,"Dê um nome",""),IF($GK18&gt;0,"⚠ "&amp;$GK18&amp;IF($GK18&gt;1," erros"," erro"),IF($GM18&gt;0,"! "&amp;$GM18&amp;IF($GM18&gt;1," avisos"," aviso"),"Na regra")))</f>
        <v/>
      </c>
      <c r="GO18" s="152">
        <f>IF($EI18=0,"",IF($GK18+$GM18=0,"Dentro das regras que a ficha confere",$GJ18&amp;IF(AND($GK18&gt;0,$GM18&gt;0)," · ","")&amp;$GL18))</f>
        <v/>
      </c>
      <c r="GP18" s="152">
        <f>IF($EI18=0,"",IF($DX18=1,CEILING(4.5*$DZ18,1),3*$DZ18)&amp;" PE")</f>
        <v/>
      </c>
      <c r="GQ18" s="152">
        <f>IF($EI18=0,"",IF($DX18=1,"Rodada inteira",IF(COUNTIF($FB18:$FC18,"Atrasar")&gt;0,IF(COUNTIF($FB18:$FC18,"Carregar")&gt;0,"Rodada +1 turno","Rodada inteira"),IF(COUNTIF($EC18:$EF18,"Rápido")&gt;0,"Bônus",IF(COUNTIF($EC18:$EF18,"Reação")&gt;0,"Reação","Padrão"))&amp;IF(COUNTIF($FB18:$FC18,"Carregar")&gt;0," +1 turno",""))))</f>
        <v/>
      </c>
      <c r="GR18" s="152">
        <f>IF(OR($EI18=0,$EJ18=0),"",IF(COUNTIF($EC18:$EF18,"Inescapável")&gt;0,"Automático",IF(COUNTIF($EC18:$EF18,"Certeiro")&gt;0,"TR para metade",IF(AND($EV18&gt;0,$EY18=0,INDEX($AF$2:$AF$11,$EJ18)="Acerto"),"Acerto + TR",INDEX($AF$2:$AF$11,$EJ18)))))</f>
        <v/>
      </c>
      <c r="GS18" s="152">
        <f>IF(OR($EI18=0,$EJ18=0),"",IF(OR($EX18&gt;=2,$FT18=0),UPPER(LEFT(INDEX($GC18:$GI18,1,$DZ18),1))&amp;MID(INDEX($GC18:$GI18,1,$DZ18),2,99),UPPER(LEFT(INDEX($GC18:$GI18,1,$DZ18),1))&amp;MID(INDEX($GC18:$GI18,1,$DZ18),2,99)&amp;" = "&amp;FLOOR($FT18*4.5,1)&amp;IF($FU18&gt;0," · +"&amp;$FU18&amp;"d8","")))</f>
        <v/>
      </c>
      <c r="GT18" s="152">
        <f>COUNTIF($EC18:$EF18,"Longe")+3*COUNTIF($EC18:$EF18,"Muito Longe")</f>
        <v/>
      </c>
      <c r="GU18" s="152">
        <f>COUNTIF($EC18:$EF18,"Maior")+3*COUNTIF($EC18:$EF18,"Muito Maior")</f>
        <v/>
      </c>
      <c r="GV18" s="152">
        <f>IF($EJ18=0,0,CHOOSE(1+INDEX($AH$2:$AH$11,$EJ18),0,$GT18,$GU18,$GT18+$GU18))</f>
        <v/>
      </c>
      <c r="GW18" s="152">
        <f>IF($EJ18=0,0,CHOOSE(1+INDEX($AI$2:$AI$11,$EJ18),0,$GT18,$GU18,$GT18+$GU18))</f>
        <v/>
      </c>
      <c r="GX18" s="152">
        <f>IF(OR($EI18=0,$EJ18=0),"",INDEX($AP$2:$AU$31,($EJ18-1)*3+IF($DZ18&gt;=6,3,2),1+MIN(5,$GV18))&amp;INDEX($AV$2:$BA$31,($EJ18-1)*3+IF($DZ18&gt;=6,3,2),1+MIN(5,$GW18))&amp;IF(INDEX($AJ$2:$AJ$11,$EJ18)=1,IF(COUNTIF($EC18:$EF18,"Mais Um")&gt;0," · +"&amp;COUNTIF($EC18:$EF18,"Mais Um")&amp;IF(COUNTIF($EC18:$EF18,"Mais Um")&gt;1," alvos"," alvo"),"")&amp;IF(COUNTIF($EC18:$EF18,"Rajada")&gt;0," · "&amp;($DZ18+1)&amp;" tiros",""),""))</f>
        <v/>
      </c>
      <c r="GY18" s="152">
        <f>IF($EI18=0,"",3*$DZ18&amp;" − "&amp;$FN18&amp;" + "&amp;$FQ18&amp;IF($DX18=1," + "&amp;$DZ18,"")&amp;" = "&amp;$FT18&amp;"d8 · teto "&amp;4*$DZ18&amp;IF($EW18=1," · a Forma devolve "&amp;$DZ18,"")&amp;IF($FR18&gt;0," · perde "&amp;$FR18,""))</f>
        <v/>
      </c>
      <c r="GZ18" s="152">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2">
        <f>IF(OR($EI18=0,$EL18=0),"","−"&amp;INDEX($Q$2:$V$8,$DZ18,$EL18)&amp;" · "&amp;CHOOSE($EL18,"Leve","Média","Pesada","Leve · Livre","Média · Livre","Pesada · Livre"))</f>
        <v/>
      </c>
      <c r="HB18" s="152">
        <f>IF(OR($EI18=0,$EM18=0),"","−"&amp;INDEX($Q$2:$V$8,$DZ18,$EM18)&amp;" · "&amp;CHOOSE($EM18,"Leve","Média","Pesada","Leve · Livre","Média · Livre","Pesada · Livre"))</f>
        <v/>
      </c>
      <c r="HC18" s="152">
        <f>IF(OR($EI18=0,$EN18=0),"","−"&amp;INDEX($Q$2:$V$8,$DZ18,$EN18)&amp;" · "&amp;CHOOSE($EN18,"Leve","Média","Pesada","Leve · Livre","Média · Livre","Pesada · Livre"))</f>
        <v/>
      </c>
      <c r="HD18" s="152">
        <f>IF(OR($EI18=0,$EO18=0),"","−"&amp;INDEX($Q$2:$V$8,$DZ18,$EO18)&amp;" · "&amp;CHOOSE($EO18,"Leve","Média","Pesada","Leve · Livre","Média · Livre","Pesada · Livre"))</f>
        <v/>
      </c>
      <c r="HE18" s="152">
        <f>IF(OR($EI18=0,$EG18=""),"","+"&amp;IF($EZ18=1,CEILING($DZ18/2,1),$DZ18))</f>
        <v/>
      </c>
      <c r="HF18" s="152">
        <f>IF(OR($EI18=0,$EH18=""),"","+"&amp;IF($FA18=1,CEILING($DZ18/2,1),$DZ18))</f>
        <v/>
      </c>
      <c r="HG18" s="152">
        <f>'FICHA AMALDIÇOADA'!$J$160&amp;""</f>
        <v/>
      </c>
      <c r="HH18" s="152">
        <f>IF(AND($EI18=1,$DX18=0),COUNTIFS($EI$2:$EI18,1,$DX$2:$DX18,0),"")</f>
        <v/>
      </c>
      <c r="HJ18" s="150" t="inlineStr">
        <is>
          <t>espaços em passivas</t>
        </is>
      </c>
      <c r="HK18" s="152">
        <f>IFERROR(VLOOKUP('FICHA AMALDIÇOADA'!$D$379,$BS$2:$BY$24,2,FALSE),0)+IFERROR(VLOOKUP('FICHA AMALDIÇOADA'!$J$379,$BS$2:$BY$24,2,FALSE),0)+IFERROR(VLOOKUP('FICHA AMALDIÇOADA'!$P$379,$BS$2:$BY$24,2,FALSE),0)+IFERROR(VLOOKUP('FICHA AMALDIÇOADA'!$D$387,$BS$2:$BY$24,2,FALSE),0)+IFERROR(VLOOKUP('FICHA AMALDIÇOADA'!$J$387,$BS$2:$BY$24,2,FALSE),0)+$HK$17</f>
        <v/>
      </c>
      <c r="JF18" s="152" t="n">
        <v>17</v>
      </c>
      <c r="JG18" s="152">
        <f>IFERROR(MATCH(17,$HH$2:$HH$37,0),0)</f>
        <v/>
      </c>
      <c r="JH18" s="152">
        <f>IF($JG18=0,"",INDEX($DZ$2:$DZ$37,$JG18))</f>
        <v/>
      </c>
      <c r="JI18" s="152">
        <f>IF($JG18=0,"",INDEX($EA$2:$EA$37,$JG18))</f>
        <v/>
      </c>
      <c r="JJ18" s="152">
        <f>IF($JG18=0,"",INDEX($GP$2:$GP$37,$JG18))</f>
        <v/>
      </c>
      <c r="JK18" s="152">
        <f>IF($JG18=0,"",INDEX($EB$2:$EB$37,$JG18))</f>
        <v/>
      </c>
      <c r="JL18" s="152">
        <f>IF($JG18=0,"",INDEX($GR$2:$GR$37,$JG18))</f>
        <v/>
      </c>
      <c r="JM18" s="152">
        <f>IF($JG18=0,"",INDEX($HG$2:$HG$37,$JG18))</f>
        <v/>
      </c>
      <c r="KP18" s="150" t="inlineStr">
        <is>
          <t>par aptidões 4</t>
        </is>
      </c>
      <c r="KQ18" s="152">
        <f>UPPER(INDEX($D$6:$G$6,1,$A$2))&amp;" 13 A 14"</f>
        <v/>
      </c>
      <c r="KS18" s="150" t="inlineStr">
        <is>
          <t>Q37</t>
        </is>
      </c>
      <c r="KT18" s="152">
        <f>IF(OR(DADOS_AM!$HK$30&lt;&gt;2,DADOS_AM!$HK$31&lt;&gt;3),"⚠ ","")&amp;DADOS_AM!$HK$30&amp;" de 2 · "&amp;DADOS_AM!$HK$31&amp;"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K19" s="152" t="n">
        <v>0</v>
      </c>
      <c r="BM19" s="150" t="inlineStr">
        <is>
          <t>Dívida</t>
        </is>
      </c>
      <c r="BN19" s="150" t="inlineStr">
        <is>
          <t>Dívida</t>
        </is>
      </c>
      <c r="BO19" s="152" t="n">
        <v>2</v>
      </c>
      <c r="BP19" s="152" t="n">
        <v>1</v>
      </c>
      <c r="BQ19" s="150" t="inlineStr"/>
      <c r="BS19" s="150" t="inlineStr">
        <is>
          <t>Talento Próprio (CE 2)</t>
        </is>
      </c>
      <c r="BT19" s="152" t="n">
        <v>2</v>
      </c>
      <c r="BU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2" t="n">
        <v>1</v>
      </c>
      <c r="BW19" s="152" t="n">
        <v>1</v>
      </c>
      <c r="BX19" s="152">
        <f>IF(OR(AND($A$2&lt;=2,$BV19=1),AND($A$2&gt;=2,$BW19=1)),$BS19,"")</f>
        <v/>
      </c>
      <c r="BY19" s="150" t="inlineStr">
        <is>
          <t>Categoria de Efeito 1, 2 ou 3. Custos e níveis da Categoria escolhida. Se o catálogo não representar a ideia, escreva o efeito com o mestre antes da sessão. Ele ocupa os espaços correspondentes e conta no máximo de cinco Talentos pagos.</t>
        </is>
      </c>
      <c r="CD19" s="150" t="inlineStr">
        <is>
          <t>Defesa sem Armadura</t>
        </is>
      </c>
      <c r="CE19" s="150" t="inlineStr">
        <is>
          <t>Gratuita na Lapidação 1</t>
        </is>
      </c>
      <c r="CF19" s="150" t="inlineStr">
        <is>
          <t>—</t>
        </is>
      </c>
      <c r="CG19" s="150" t="inlineStr">
        <is>
          <t>Proteção</t>
        </is>
      </c>
      <c r="CH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2">
        <f>IF($CL19=1,"",IF($A$2=4,IF($CJ19=1,$CD19,""),IF(OR($CJ19=1,AND($A$2=3,$CK19=1)),"",$CD19)))</f>
        <v/>
      </c>
      <c r="CJ19" s="152" t="n">
        <v>1</v>
      </c>
      <c r="CK19" s="152" t="n">
        <v>0</v>
      </c>
      <c r="CL19" s="152" t="n">
        <v>1</v>
      </c>
      <c r="CM19" s="150" t="inlineStr">
        <is>
          <t>Enquanto não usar Traje nem Revestimento, você recebe proteção igual a um terço da Lapidação, arredondado para baixo, +1.</t>
        </is>
      </c>
      <c r="DW19" s="150" t="inlineStr">
        <is>
          <t>Feitiço 18</t>
        </is>
      </c>
      <c r="DX19" s="152" t="n">
        <v>0</v>
      </c>
      <c r="DY19" s="152" t="n">
        <v>18</v>
      </c>
      <c r="DZ19" s="152">
        <f>MAX(1,MIN(7,N('FICHA AMALDIÇOADA'!$P$158)))</f>
        <v/>
      </c>
      <c r="EA19" s="152">
        <f>'FICHA AMALDIÇOADA'!$Q$158&amp;""</f>
        <v/>
      </c>
      <c r="EB19" s="152">
        <f>'FICHA AMALDIÇOADA'!$P$165&amp;""</f>
        <v/>
      </c>
      <c r="EC19" s="152">
        <f>'FICHA AMALDIÇOADA'!$Q$167&amp;""</f>
        <v/>
      </c>
      <c r="ED19" s="152">
        <f>'FICHA AMALDIÇOADA'!$Q$168&amp;""</f>
        <v/>
      </c>
      <c r="EE19" s="152">
        <f>'FICHA AMALDIÇOADA'!$Q$169&amp;""</f>
        <v/>
      </c>
      <c r="EF19" s="152">
        <f>'FICHA AMALDIÇOADA'!$Q$170&amp;""</f>
        <v/>
      </c>
      <c r="EG19" s="152">
        <f>'FICHA AMALDIÇOADA'!$Q$171&amp;""</f>
        <v/>
      </c>
      <c r="EH19" s="152">
        <f>'FICHA AMALDIÇOADA'!$Q$172&amp;""</f>
        <v/>
      </c>
      <c r="EI19" s="152">
        <f>IF($EA19&lt;&gt;"",1,0)</f>
        <v/>
      </c>
      <c r="EJ19" s="152">
        <f>IFERROR(MATCH($EB19,$Y$2:$Y$11,0),0)</f>
        <v/>
      </c>
      <c r="EK19" s="152">
        <f>IF($EJ19=0,0,INDEX($AB$2:$AB$11,$EJ19))</f>
        <v/>
      </c>
      <c r="EL19" s="152">
        <f>IFERROR(VLOOKUP($EC19,$BC$2:$BK$84,4,FALSE),0)</f>
        <v/>
      </c>
      <c r="EM19" s="152">
        <f>IFERROR(VLOOKUP($ED19,$BC$2:$BK$84,4,FALSE),0)</f>
        <v/>
      </c>
      <c r="EN19" s="152">
        <f>IFERROR(VLOOKUP($EE19,$BC$2:$BK$84,4,FALSE),0)</f>
        <v/>
      </c>
      <c r="EO19" s="152">
        <f>IFERROR(VLOOKUP($EF19,$BC$2:$BK$84,4,FALSE),0)</f>
        <v/>
      </c>
      <c r="EP19" s="152">
        <f>IF($EJ19=0,0,INDEX($AC$2:$AC$11,$EJ19))</f>
        <v/>
      </c>
      <c r="EQ19" s="152">
        <f>IFERROR(VLOOKUP($EC19,$BC$2:$BK$84,5,FALSE),0)</f>
        <v/>
      </c>
      <c r="ER19" s="152">
        <f>IFERROR(VLOOKUP($ED19,$BC$2:$BK$84,5,FALSE),0)</f>
        <v/>
      </c>
      <c r="ES19" s="152">
        <f>IFERROR(VLOOKUP($EE19,$BC$2:$BK$84,5,FALSE),0)</f>
        <v/>
      </c>
      <c r="ET19" s="152">
        <f>IFERROR(VLOOKUP($EF19,$BC$2:$BK$84,5,FALSE),0)</f>
        <v/>
      </c>
      <c r="EU19" s="152">
        <f>IFERROR(VLOOKUP($EC19,$BC$2:$BK$84,6,FALSE),0)+IFERROR(VLOOKUP($ED19,$BC$2:$BK$84,6,FALSE),0)+IFERROR(VLOOKUP($EE19,$BC$2:$BK$84,6,FALSE),0)+IFERROR(VLOOKUP($EF19,$BC$2:$BK$84,6,FALSE),0)</f>
        <v/>
      </c>
      <c r="EV19" s="152">
        <f>IFERROR(VLOOKUP($EC19,$BC$2:$BK$84,9,FALSE),0)+IFERROR(VLOOKUP($ED19,$BC$2:$BK$84,9,FALSE),0)+IFERROR(VLOOKUP($EE19,$BC$2:$BK$84,9,FALSE),0)+IFERROR(VLOOKUP($EF19,$BC$2:$BK$84,9,FALSE),0)</f>
        <v/>
      </c>
      <c r="EW19" s="152">
        <f>IF($EJ19=0,0,INDEX($AD$2:$AD$11,$EJ19))</f>
        <v/>
      </c>
      <c r="EX19" s="152">
        <f>IF($EJ19=0,0,INDEX($AE$2:$AE$11,$EJ19))</f>
        <v/>
      </c>
      <c r="EY19" s="152">
        <f>IF($EJ19=0,0,INDEX($AG$2:$AG$11,$EJ19))</f>
        <v/>
      </c>
      <c r="EZ19" s="152">
        <f>IFERROR(VLOOKUP($EG19,$BM$2:$BQ$24,3,FALSE),0)</f>
        <v/>
      </c>
      <c r="FA19" s="152">
        <f>IFERROR(VLOOKUP($EH19,$BM$2:$BQ$24,3,FALSE),0)</f>
        <v/>
      </c>
      <c r="FB19" s="152">
        <f>IFERROR(VLOOKUP($EG19,$BM$2:$BQ$24,2,FALSE),"")</f>
        <v/>
      </c>
      <c r="FC19" s="152">
        <f>IFERROR(VLOOKUP($EH19,$BM$2:$BQ$24,2,FALSE),"")</f>
        <v/>
      </c>
      <c r="FD19" s="152">
        <f>COUNTIF($EK19:$EO19,1)</f>
        <v/>
      </c>
      <c r="FE19" s="152">
        <f>COUNTIF($EK19:$EO19,2)</f>
        <v/>
      </c>
      <c r="FF19" s="152">
        <f>COUNTIF($EK19:$EO19,3)</f>
        <v/>
      </c>
      <c r="FG19" s="152">
        <f>COUNTIF($EK19:$EO19,4)</f>
        <v/>
      </c>
      <c r="FH19" s="152">
        <f>COUNTIF($EK19:$EO19,5)</f>
        <v/>
      </c>
      <c r="FI19" s="152">
        <f>COUNTIF($EK19:$EO19,6)</f>
        <v/>
      </c>
      <c r="FJ19" s="152">
        <f>COUNTIF($EZ19:$FA19,1)</f>
        <v/>
      </c>
      <c r="FK19" s="152">
        <f>COUNTIF($EZ19:$FA19,2)+$EW19</f>
        <v/>
      </c>
      <c r="FL19" s="152">
        <f>COUNTIF($EC19:$EF19,"?*")</f>
        <v/>
      </c>
      <c r="FM19" s="152">
        <f>COUNTIF($EG19:$EH19,"?*")+$EW19</f>
        <v/>
      </c>
      <c r="FN19" s="152">
        <f>SUMPRODUCT($FD19:$FI19,INDEX($Q$2:$V$8,$DZ19,0))</f>
        <v/>
      </c>
      <c r="FO19" s="152">
        <f>$FJ19*CEILING($DZ19/2,1)+$FK19*$DZ19</f>
        <v/>
      </c>
      <c r="FP19" s="152">
        <f>MIN(2*$DZ19,$FO19)</f>
        <v/>
      </c>
      <c r="FQ19" s="152">
        <f>MIN($FP19,$FN19)</f>
        <v/>
      </c>
      <c r="FR19" s="152">
        <f>$FP19-$FQ19</f>
        <v/>
      </c>
      <c r="FS19" s="152">
        <f>3*$DZ19-$FN19+$FQ19</f>
        <v/>
      </c>
      <c r="FT19" s="152">
        <f>MAX(0,$FS19)+$DX19*$DZ19</f>
        <v/>
      </c>
      <c r="FU19" s="152">
        <f>(IF(COUNTIF($EC19:$EF19,"Salto")&gt;0,1,0)+IF(COUNTIF($EC19:$EF19,"Queima")&gt;0,1,0)+IF(COUNTIF($EC19:$EF19,"Estilhaço")&gt;0,1,0))*FLOOR($FT19/2,1)</f>
        <v/>
      </c>
      <c r="FV19" s="152">
        <f>MAX(0,3-SUMPRODUCT($FD19:$FI19,$Q$2:$V$2)+MIN(2,$FJ19*1+$FK19*1,SUMPRODUCT($FD19:$FI19,$Q$2:$V$2)))+$DX19*1</f>
        <v/>
      </c>
      <c r="FW19" s="152">
        <f>MAX(0,6-SUMPRODUCT($FD19:$FI19,$Q$3:$V$3)+MIN(4,$FJ19*1+$FK19*2,SUMPRODUCT($FD19:$FI19,$Q$3:$V$3)))+$DX19*2</f>
        <v/>
      </c>
      <c r="FX19" s="152">
        <f>MAX(0,9-SUMPRODUCT($FD19:$FI19,$Q$4:$V$4)+MIN(6,$FJ19*2+$FK19*3,SUMPRODUCT($FD19:$FI19,$Q$4:$V$4)))+$DX19*3</f>
        <v/>
      </c>
      <c r="FY19" s="152">
        <f>MAX(0,12-SUMPRODUCT($FD19:$FI19,$Q$5:$V$5)+MIN(8,$FJ19*2+$FK19*4,SUMPRODUCT($FD19:$FI19,$Q$5:$V$5)))+$DX19*4</f>
        <v/>
      </c>
      <c r="FZ19" s="152">
        <f>MAX(0,15-SUMPRODUCT($FD19:$FI19,$Q$6:$V$6)+MIN(10,$FJ19*3+$FK19*5,SUMPRODUCT($FD19:$FI19,$Q$6:$V$6)))+$DX19*5</f>
        <v/>
      </c>
      <c r="GA19" s="152">
        <f>MAX(0,18-SUMPRODUCT($FD19:$FI19,$Q$7:$V$7)+MIN(12,$FJ19*3+$FK19*6,SUMPRODUCT($FD19:$FI19,$Q$7:$V$7)))+$DX19*6</f>
        <v/>
      </c>
      <c r="GB19" s="152">
        <f>MAX(0,21-SUMPRODUCT($FD19:$FI19,$Q$8:$V$8)+MIN(14,$FJ19*4+$FK19*7,SUMPRODUCT($FD19:$FI19,$Q$8:$V$8)))+$DX19*7</f>
        <v/>
      </c>
      <c r="GC19" s="152">
        <f>IF($EX19=2,3*$FV19&amp;" de vida temp.",IF($EX19=3,"sem dano",IF($FV19=0,IF($EX19=1,"sem cura","sem dano"),IF($EX19=1,"cura ","")&amp;$FV19&amp;"d8")))</f>
        <v/>
      </c>
      <c r="GD19" s="152">
        <f>IF($EX19=2,3*$FW19&amp;" de vida temp.",IF($EX19=3,"sem dano",IF($FW19=0,IF($EX19=1,"sem cura","sem dano"),IF($EX19=1,"cura ","")&amp;$FW19&amp;"d8")))</f>
        <v/>
      </c>
      <c r="GE19" s="152">
        <f>IF($EX19=2,3*$FX19&amp;" de vida temp.",IF($EX19=3,"sem dano",IF($FX19=0,IF($EX19=1,"sem cura","sem dano"),IF($EX19=1,"cura ","")&amp;$FX19&amp;"d8")))</f>
        <v/>
      </c>
      <c r="GF19" s="152">
        <f>IF($EX19=2,3*$FY19&amp;" de vida temp.",IF($EX19=3,"sem dano",IF($FY19=0,IF($EX19=1,"sem cura","sem dano"),IF($EX19=1,"cura ","")&amp;$FY19&amp;"d8")))</f>
        <v/>
      </c>
      <c r="GG19" s="152">
        <f>IF($EX19=2,3*$FZ19&amp;" de vida temp.",IF($EX19=3,"sem dano",IF($FZ19=0,IF($EX19=1,"sem cura","sem dano"),IF($EX19=1,"cura ","")&amp;$FZ19&amp;"d8")))</f>
        <v/>
      </c>
      <c r="GH19" s="152">
        <f>IF($EX19=2,3*$GA19&amp;" de vida temp.",IF($EX19=3,"sem dano",IF($GA19=0,IF($EX19=1,"sem cura","sem dano"),IF($EX19=1,"cura ","")&amp;$GA19&amp;"d8")))</f>
        <v/>
      </c>
      <c r="GI19" s="152">
        <f>IF($EX19=2,3*$GB19&amp;" de vida temp.",IF($EX19=3,"sem dano",IF($GB19=0,IF($EX19=1,"sem cura","sem dano"),IF($EX19=1,"cura ","")&amp;$GB19&amp;"d8")))</f>
        <v/>
      </c>
      <c r="GJ19" s="152">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2">
        <f>IF($GJ19="",0,(LEN($GJ19)-LEN(SUBSTITUTE($GJ19," · ","")))/3+1)</f>
        <v/>
      </c>
      <c r="GL19" s="152">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2">
        <f>IF($GL19="",0,(LEN($GL19)-LEN(SUBSTITUTE($GL19," · ","")))/3+1)</f>
        <v/>
      </c>
      <c r="GN19" s="152">
        <f>IF($EI19=0,IF($FL19+$FM19-$EW19&gt;0,"Dê um nome",""),IF($GK19&gt;0,"⚠ "&amp;$GK19&amp;IF($GK19&gt;1," erros"," erro"),IF($GM19&gt;0,"! "&amp;$GM19&amp;IF($GM19&gt;1," avisos"," aviso"),"Na regra")))</f>
        <v/>
      </c>
      <c r="GO19" s="152">
        <f>IF($EI19=0,"",IF($GK19+$GM19=0,"Dentro das regras que a ficha confere",$GJ19&amp;IF(AND($GK19&gt;0,$GM19&gt;0)," · ","")&amp;$GL19))</f>
        <v/>
      </c>
      <c r="GP19" s="152">
        <f>IF($EI19=0,"",IF($DX19=1,CEILING(4.5*$DZ19,1),3*$DZ19)&amp;" PE")</f>
        <v/>
      </c>
      <c r="GQ19" s="152">
        <f>IF($EI19=0,"",IF($DX19=1,"Rodada inteira",IF(COUNTIF($FB19:$FC19,"Atrasar")&gt;0,IF(COUNTIF($FB19:$FC19,"Carregar")&gt;0,"Rodada +1 turno","Rodada inteira"),IF(COUNTIF($EC19:$EF19,"Rápido")&gt;0,"Bônus",IF(COUNTIF($EC19:$EF19,"Reação")&gt;0,"Reação","Padrão"))&amp;IF(COUNTIF($FB19:$FC19,"Carregar")&gt;0," +1 turno",""))))</f>
        <v/>
      </c>
      <c r="GR19" s="152">
        <f>IF(OR($EI19=0,$EJ19=0),"",IF(COUNTIF($EC19:$EF19,"Inescapável")&gt;0,"Automático",IF(COUNTIF($EC19:$EF19,"Certeiro")&gt;0,"TR para metade",IF(AND($EV19&gt;0,$EY19=0,INDEX($AF$2:$AF$11,$EJ19)="Acerto"),"Acerto + TR",INDEX($AF$2:$AF$11,$EJ19)))))</f>
        <v/>
      </c>
      <c r="GS19" s="152">
        <f>IF(OR($EI19=0,$EJ19=0),"",IF(OR($EX19&gt;=2,$FT19=0),UPPER(LEFT(INDEX($GC19:$GI19,1,$DZ19),1))&amp;MID(INDEX($GC19:$GI19,1,$DZ19),2,99),UPPER(LEFT(INDEX($GC19:$GI19,1,$DZ19),1))&amp;MID(INDEX($GC19:$GI19,1,$DZ19),2,99)&amp;" = "&amp;FLOOR($FT19*4.5,1)&amp;IF($FU19&gt;0," · +"&amp;$FU19&amp;"d8","")))</f>
        <v/>
      </c>
      <c r="GT19" s="152">
        <f>COUNTIF($EC19:$EF19,"Longe")+3*COUNTIF($EC19:$EF19,"Muito Longe")</f>
        <v/>
      </c>
      <c r="GU19" s="152">
        <f>COUNTIF($EC19:$EF19,"Maior")+3*COUNTIF($EC19:$EF19,"Muito Maior")</f>
        <v/>
      </c>
      <c r="GV19" s="152">
        <f>IF($EJ19=0,0,CHOOSE(1+INDEX($AH$2:$AH$11,$EJ19),0,$GT19,$GU19,$GT19+$GU19))</f>
        <v/>
      </c>
      <c r="GW19" s="152">
        <f>IF($EJ19=0,0,CHOOSE(1+INDEX($AI$2:$AI$11,$EJ19),0,$GT19,$GU19,$GT19+$GU19))</f>
        <v/>
      </c>
      <c r="GX19" s="152">
        <f>IF(OR($EI19=0,$EJ19=0),"",INDEX($AP$2:$AU$31,($EJ19-1)*3+IF($DZ19&gt;=6,3,2),1+MIN(5,$GV19))&amp;INDEX($AV$2:$BA$31,($EJ19-1)*3+IF($DZ19&gt;=6,3,2),1+MIN(5,$GW19))&amp;IF(INDEX($AJ$2:$AJ$11,$EJ19)=1,IF(COUNTIF($EC19:$EF19,"Mais Um")&gt;0," · +"&amp;COUNTIF($EC19:$EF19,"Mais Um")&amp;IF(COUNTIF($EC19:$EF19,"Mais Um")&gt;1," alvos"," alvo"),"")&amp;IF(COUNTIF($EC19:$EF19,"Rajada")&gt;0," · "&amp;($DZ19+1)&amp;" tiros",""),""))</f>
        <v/>
      </c>
      <c r="GY19" s="152">
        <f>IF($EI19=0,"",3*$DZ19&amp;" − "&amp;$FN19&amp;" + "&amp;$FQ19&amp;IF($DX19=1," + "&amp;$DZ19,"")&amp;" = "&amp;$FT19&amp;"d8 · teto "&amp;4*$DZ19&amp;IF($EW19=1," · a Forma devolve "&amp;$DZ19,"")&amp;IF($FR19&gt;0," · perde "&amp;$FR19,""))</f>
        <v/>
      </c>
      <c r="GZ19" s="152">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2">
        <f>IF(OR($EI19=0,$EL19=0),"","−"&amp;INDEX($Q$2:$V$8,$DZ19,$EL19)&amp;" · "&amp;CHOOSE($EL19,"Leve","Média","Pesada","Leve · Livre","Média · Livre","Pesada · Livre"))</f>
        <v/>
      </c>
      <c r="HB19" s="152">
        <f>IF(OR($EI19=0,$EM19=0),"","−"&amp;INDEX($Q$2:$V$8,$DZ19,$EM19)&amp;" · "&amp;CHOOSE($EM19,"Leve","Média","Pesada","Leve · Livre","Média · Livre","Pesada · Livre"))</f>
        <v/>
      </c>
      <c r="HC19" s="152">
        <f>IF(OR($EI19=0,$EN19=0),"","−"&amp;INDEX($Q$2:$V$8,$DZ19,$EN19)&amp;" · "&amp;CHOOSE($EN19,"Leve","Média","Pesada","Leve · Livre","Média · Livre","Pesada · Livre"))</f>
        <v/>
      </c>
      <c r="HD19" s="152">
        <f>IF(OR($EI19=0,$EO19=0),"","−"&amp;INDEX($Q$2:$V$8,$DZ19,$EO19)&amp;" · "&amp;CHOOSE($EO19,"Leve","Média","Pesada","Leve · Livre","Média · Livre","Pesada · Livre"))</f>
        <v/>
      </c>
      <c r="HE19" s="152">
        <f>IF(OR($EI19=0,$EG19=""),"","+"&amp;IF($EZ19=1,CEILING($DZ19/2,1),$DZ19))</f>
        <v/>
      </c>
      <c r="HF19" s="152">
        <f>IF(OR($EI19=0,$EH19=""),"","+"&amp;IF($FA19=1,CEILING($DZ19/2,1),$DZ19))</f>
        <v/>
      </c>
      <c r="HG19" s="152">
        <f>'FICHA AMALDIÇOADA'!$P$160&amp;""</f>
        <v/>
      </c>
      <c r="HH19" s="152">
        <f>IF(AND($EI19=1,$DX19=0),COUNTIFS($EI$2:$EI19,1,$DX$2:$DX19,0),"")</f>
        <v/>
      </c>
      <c r="HJ19" s="150" t="inlineStr">
        <is>
          <t>espaços no domínio</t>
        </is>
      </c>
      <c r="HK19" s="152">
        <f>IF($A$2&lt;&gt;1,0,IFERROR(VLOOKUP($HK$34,$DL$2:$DP$4,2,FALSE),0))</f>
        <v/>
      </c>
      <c r="JF19" s="152" t="n">
        <v>18</v>
      </c>
      <c r="JG19" s="152">
        <f>IFERROR(MATCH(18,$HH$2:$HH$37,0),0)</f>
        <v/>
      </c>
      <c r="JH19" s="152">
        <f>IF($JG19=0,"",INDEX($DZ$2:$DZ$37,$JG19))</f>
        <v/>
      </c>
      <c r="JI19" s="152">
        <f>IF($JG19=0,"",INDEX($EA$2:$EA$37,$JG19))</f>
        <v/>
      </c>
      <c r="JJ19" s="152">
        <f>IF($JG19=0,"",INDEX($GP$2:$GP$37,$JG19))</f>
        <v/>
      </c>
      <c r="JK19" s="152">
        <f>IF($JG19=0,"",INDEX($EB$2:$EB$37,$JG19))</f>
        <v/>
      </c>
      <c r="JL19" s="152">
        <f>IF($JG19=0,"",INDEX($GR$2:$GR$37,$JG19))</f>
        <v/>
      </c>
      <c r="JM19" s="152">
        <f>IF($JG19=0,"",INDEX($HG$2:$HG$37,$JG19))</f>
        <v/>
      </c>
      <c r="KS19" s="150" t="inlineStr">
        <is>
          <t>J42</t>
        </is>
      </c>
      <c r="KT19" s="152">
        <f>"+"&amp;DADOS_AM!$HK$8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K20" s="152" t="n">
        <v>0</v>
      </c>
      <c r="BM20" s="150" t="inlineStr">
        <is>
          <t>Tudo ou Nada</t>
        </is>
      </c>
      <c r="BN20" s="150" t="inlineStr">
        <is>
          <t>Tudo ou Nada</t>
        </is>
      </c>
      <c r="BO20" s="152" t="n">
        <v>1</v>
      </c>
      <c r="BP20" s="152" t="n">
        <v>0</v>
      </c>
      <c r="BQ20" s="150" t="inlineStr">
        <is>
          <t>Tudo ou Nada</t>
        </is>
      </c>
      <c r="BS20" s="150" t="inlineStr">
        <is>
          <t>Talento Próprio (CE 3)</t>
        </is>
      </c>
      <c r="BT20" s="152" t="n">
        <v>3</v>
      </c>
      <c r="BU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2" t="n">
        <v>1</v>
      </c>
      <c r="BW20" s="152" t="n">
        <v>1</v>
      </c>
      <c r="BX20" s="152">
        <f>IF(OR(AND($A$2&lt;=2,$BV20=1),AND($A$2&gt;=2,$BW20=1)),$BS20,"")</f>
        <v/>
      </c>
      <c r="BY20" s="150" t="inlineStr">
        <is>
          <t>Categoria de Efeito 1, 2 ou 3. Custos e níveis da Categoria escolhida. Se o catálogo não representar a ideia, escreva o efeito com o mestre antes da sessão. Ele ocupa os espaços correspondentes e conta no máximo de cinco Talentos pagos.</t>
        </is>
      </c>
      <c r="CD20" s="150" t="inlineStr">
        <is>
          <t>Estímulo Muscular</t>
        </is>
      </c>
      <c r="CE20" s="150" t="inlineStr">
        <is>
          <t>Gratuita na Lapidação 1</t>
        </is>
      </c>
      <c r="CF20" s="150" t="inlineStr">
        <is>
          <t>—</t>
        </is>
      </c>
      <c r="CG20" s="150" t="inlineStr">
        <is>
          <t>Dano adicional</t>
        </is>
      </c>
      <c r="CH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2">
        <f>IF($CL20=1,"",IF($A$2=4,IF($CJ20=1,$CD20,""),IF(OR($CJ20=1,AND($A$2=3,$CK20=1)),"",$CD20)))</f>
        <v/>
      </c>
      <c r="CJ20" s="152" t="n">
        <v>1</v>
      </c>
      <c r="CK20" s="152" t="n">
        <v>0</v>
      </c>
      <c r="CL20" s="152" t="n">
        <v>1</v>
      </c>
      <c r="CM20" s="150" t="inlineStr">
        <is>
          <t>Escolha uma perícia e um Teste de Resistência na criação.</t>
        </is>
      </c>
      <c r="DW20" s="150" t="inlineStr">
        <is>
          <t>Feitiço 19</t>
        </is>
      </c>
      <c r="DX20" s="152" t="n">
        <v>0</v>
      </c>
      <c r="DY20" s="152" t="n">
        <v>19</v>
      </c>
      <c r="DZ20" s="152">
        <f>MAX(1,MIN(7,N('FICHA AMALDIÇOADA'!$D$179)))</f>
        <v/>
      </c>
      <c r="EA20" s="152">
        <f>'FICHA AMALDIÇOADA'!$E$179&amp;""</f>
        <v/>
      </c>
      <c r="EB20" s="152">
        <f>'FICHA AMALDIÇOADA'!$D$186&amp;""</f>
        <v/>
      </c>
      <c r="EC20" s="152">
        <f>'FICHA AMALDIÇOADA'!$E$188&amp;""</f>
        <v/>
      </c>
      <c r="ED20" s="152">
        <f>'FICHA AMALDIÇOADA'!$E$189&amp;""</f>
        <v/>
      </c>
      <c r="EE20" s="152">
        <f>'FICHA AMALDIÇOADA'!$E$190&amp;""</f>
        <v/>
      </c>
      <c r="EF20" s="152">
        <f>'FICHA AMALDIÇOADA'!$E$191&amp;""</f>
        <v/>
      </c>
      <c r="EG20" s="152">
        <f>'FICHA AMALDIÇOADA'!$E$192&amp;""</f>
        <v/>
      </c>
      <c r="EH20" s="152">
        <f>'FICHA AMALDIÇOADA'!$E$193&amp;""</f>
        <v/>
      </c>
      <c r="EI20" s="152">
        <f>IF($EA20&lt;&gt;"",1,0)</f>
        <v/>
      </c>
      <c r="EJ20" s="152">
        <f>IFERROR(MATCH($EB20,$Y$2:$Y$11,0),0)</f>
        <v/>
      </c>
      <c r="EK20" s="152">
        <f>IF($EJ20=0,0,INDEX($AB$2:$AB$11,$EJ20))</f>
        <v/>
      </c>
      <c r="EL20" s="152">
        <f>IFERROR(VLOOKUP($EC20,$BC$2:$BK$84,4,FALSE),0)</f>
        <v/>
      </c>
      <c r="EM20" s="152">
        <f>IFERROR(VLOOKUP($ED20,$BC$2:$BK$84,4,FALSE),0)</f>
        <v/>
      </c>
      <c r="EN20" s="152">
        <f>IFERROR(VLOOKUP($EE20,$BC$2:$BK$84,4,FALSE),0)</f>
        <v/>
      </c>
      <c r="EO20" s="152">
        <f>IFERROR(VLOOKUP($EF20,$BC$2:$BK$84,4,FALSE),0)</f>
        <v/>
      </c>
      <c r="EP20" s="152">
        <f>IF($EJ20=0,0,INDEX($AC$2:$AC$11,$EJ20))</f>
        <v/>
      </c>
      <c r="EQ20" s="152">
        <f>IFERROR(VLOOKUP($EC20,$BC$2:$BK$84,5,FALSE),0)</f>
        <v/>
      </c>
      <c r="ER20" s="152">
        <f>IFERROR(VLOOKUP($ED20,$BC$2:$BK$84,5,FALSE),0)</f>
        <v/>
      </c>
      <c r="ES20" s="152">
        <f>IFERROR(VLOOKUP($EE20,$BC$2:$BK$84,5,FALSE),0)</f>
        <v/>
      </c>
      <c r="ET20" s="152">
        <f>IFERROR(VLOOKUP($EF20,$BC$2:$BK$84,5,FALSE),0)</f>
        <v/>
      </c>
      <c r="EU20" s="152">
        <f>IFERROR(VLOOKUP($EC20,$BC$2:$BK$84,6,FALSE),0)+IFERROR(VLOOKUP($ED20,$BC$2:$BK$84,6,FALSE),0)+IFERROR(VLOOKUP($EE20,$BC$2:$BK$84,6,FALSE),0)+IFERROR(VLOOKUP($EF20,$BC$2:$BK$84,6,FALSE),0)</f>
        <v/>
      </c>
      <c r="EV20" s="152">
        <f>IFERROR(VLOOKUP($EC20,$BC$2:$BK$84,9,FALSE),0)+IFERROR(VLOOKUP($ED20,$BC$2:$BK$84,9,FALSE),0)+IFERROR(VLOOKUP($EE20,$BC$2:$BK$84,9,FALSE),0)+IFERROR(VLOOKUP($EF20,$BC$2:$BK$84,9,FALSE),0)</f>
        <v/>
      </c>
      <c r="EW20" s="152">
        <f>IF($EJ20=0,0,INDEX($AD$2:$AD$11,$EJ20))</f>
        <v/>
      </c>
      <c r="EX20" s="152">
        <f>IF($EJ20=0,0,INDEX($AE$2:$AE$11,$EJ20))</f>
        <v/>
      </c>
      <c r="EY20" s="152">
        <f>IF($EJ20=0,0,INDEX($AG$2:$AG$11,$EJ20))</f>
        <v/>
      </c>
      <c r="EZ20" s="152">
        <f>IFERROR(VLOOKUP($EG20,$BM$2:$BQ$24,3,FALSE),0)</f>
        <v/>
      </c>
      <c r="FA20" s="152">
        <f>IFERROR(VLOOKUP($EH20,$BM$2:$BQ$24,3,FALSE),0)</f>
        <v/>
      </c>
      <c r="FB20" s="152">
        <f>IFERROR(VLOOKUP($EG20,$BM$2:$BQ$24,2,FALSE),"")</f>
        <v/>
      </c>
      <c r="FC20" s="152">
        <f>IFERROR(VLOOKUP($EH20,$BM$2:$BQ$24,2,FALSE),"")</f>
        <v/>
      </c>
      <c r="FD20" s="152">
        <f>COUNTIF($EK20:$EO20,1)</f>
        <v/>
      </c>
      <c r="FE20" s="152">
        <f>COUNTIF($EK20:$EO20,2)</f>
        <v/>
      </c>
      <c r="FF20" s="152">
        <f>COUNTIF($EK20:$EO20,3)</f>
        <v/>
      </c>
      <c r="FG20" s="152">
        <f>COUNTIF($EK20:$EO20,4)</f>
        <v/>
      </c>
      <c r="FH20" s="152">
        <f>COUNTIF($EK20:$EO20,5)</f>
        <v/>
      </c>
      <c r="FI20" s="152">
        <f>COUNTIF($EK20:$EO20,6)</f>
        <v/>
      </c>
      <c r="FJ20" s="152">
        <f>COUNTIF($EZ20:$FA20,1)</f>
        <v/>
      </c>
      <c r="FK20" s="152">
        <f>COUNTIF($EZ20:$FA20,2)+$EW20</f>
        <v/>
      </c>
      <c r="FL20" s="152">
        <f>COUNTIF($EC20:$EF20,"?*")</f>
        <v/>
      </c>
      <c r="FM20" s="152">
        <f>COUNTIF($EG20:$EH20,"?*")+$EW20</f>
        <v/>
      </c>
      <c r="FN20" s="152">
        <f>SUMPRODUCT($FD20:$FI20,INDEX($Q$2:$V$8,$DZ20,0))</f>
        <v/>
      </c>
      <c r="FO20" s="152">
        <f>$FJ20*CEILING($DZ20/2,1)+$FK20*$DZ20</f>
        <v/>
      </c>
      <c r="FP20" s="152">
        <f>MIN(2*$DZ20,$FO20)</f>
        <v/>
      </c>
      <c r="FQ20" s="152">
        <f>MIN($FP20,$FN20)</f>
        <v/>
      </c>
      <c r="FR20" s="152">
        <f>$FP20-$FQ20</f>
        <v/>
      </c>
      <c r="FS20" s="152">
        <f>3*$DZ20-$FN20+$FQ20</f>
        <v/>
      </c>
      <c r="FT20" s="152">
        <f>MAX(0,$FS20)+$DX20*$DZ20</f>
        <v/>
      </c>
      <c r="FU20" s="152">
        <f>(IF(COUNTIF($EC20:$EF20,"Salto")&gt;0,1,0)+IF(COUNTIF($EC20:$EF20,"Queima")&gt;0,1,0)+IF(COUNTIF($EC20:$EF20,"Estilhaço")&gt;0,1,0))*FLOOR($FT20/2,1)</f>
        <v/>
      </c>
      <c r="FV20" s="152">
        <f>MAX(0,3-SUMPRODUCT($FD20:$FI20,$Q$2:$V$2)+MIN(2,$FJ20*1+$FK20*1,SUMPRODUCT($FD20:$FI20,$Q$2:$V$2)))+$DX20*1</f>
        <v/>
      </c>
      <c r="FW20" s="152">
        <f>MAX(0,6-SUMPRODUCT($FD20:$FI20,$Q$3:$V$3)+MIN(4,$FJ20*1+$FK20*2,SUMPRODUCT($FD20:$FI20,$Q$3:$V$3)))+$DX20*2</f>
        <v/>
      </c>
      <c r="FX20" s="152">
        <f>MAX(0,9-SUMPRODUCT($FD20:$FI20,$Q$4:$V$4)+MIN(6,$FJ20*2+$FK20*3,SUMPRODUCT($FD20:$FI20,$Q$4:$V$4)))+$DX20*3</f>
        <v/>
      </c>
      <c r="FY20" s="152">
        <f>MAX(0,12-SUMPRODUCT($FD20:$FI20,$Q$5:$V$5)+MIN(8,$FJ20*2+$FK20*4,SUMPRODUCT($FD20:$FI20,$Q$5:$V$5)))+$DX20*4</f>
        <v/>
      </c>
      <c r="FZ20" s="152">
        <f>MAX(0,15-SUMPRODUCT($FD20:$FI20,$Q$6:$V$6)+MIN(10,$FJ20*3+$FK20*5,SUMPRODUCT($FD20:$FI20,$Q$6:$V$6)))+$DX20*5</f>
        <v/>
      </c>
      <c r="GA20" s="152">
        <f>MAX(0,18-SUMPRODUCT($FD20:$FI20,$Q$7:$V$7)+MIN(12,$FJ20*3+$FK20*6,SUMPRODUCT($FD20:$FI20,$Q$7:$V$7)))+$DX20*6</f>
        <v/>
      </c>
      <c r="GB20" s="152">
        <f>MAX(0,21-SUMPRODUCT($FD20:$FI20,$Q$8:$V$8)+MIN(14,$FJ20*4+$FK20*7,SUMPRODUCT($FD20:$FI20,$Q$8:$V$8)))+$DX20*7</f>
        <v/>
      </c>
      <c r="GC20" s="152">
        <f>IF($EX20=2,3*$FV20&amp;" de vida temp.",IF($EX20=3,"sem dano",IF($FV20=0,IF($EX20=1,"sem cura","sem dano"),IF($EX20=1,"cura ","")&amp;$FV20&amp;"d8")))</f>
        <v/>
      </c>
      <c r="GD20" s="152">
        <f>IF($EX20=2,3*$FW20&amp;" de vida temp.",IF($EX20=3,"sem dano",IF($FW20=0,IF($EX20=1,"sem cura","sem dano"),IF($EX20=1,"cura ","")&amp;$FW20&amp;"d8")))</f>
        <v/>
      </c>
      <c r="GE20" s="152">
        <f>IF($EX20=2,3*$FX20&amp;" de vida temp.",IF($EX20=3,"sem dano",IF($FX20=0,IF($EX20=1,"sem cura","sem dano"),IF($EX20=1,"cura ","")&amp;$FX20&amp;"d8")))</f>
        <v/>
      </c>
      <c r="GF20" s="152">
        <f>IF($EX20=2,3*$FY20&amp;" de vida temp.",IF($EX20=3,"sem dano",IF($FY20=0,IF($EX20=1,"sem cura","sem dano"),IF($EX20=1,"cura ","")&amp;$FY20&amp;"d8")))</f>
        <v/>
      </c>
      <c r="GG20" s="152">
        <f>IF($EX20=2,3*$FZ20&amp;" de vida temp.",IF($EX20=3,"sem dano",IF($FZ20=0,IF($EX20=1,"sem cura","sem dano"),IF($EX20=1,"cura ","")&amp;$FZ20&amp;"d8")))</f>
        <v/>
      </c>
      <c r="GH20" s="152">
        <f>IF($EX20=2,3*$GA20&amp;" de vida temp.",IF($EX20=3,"sem dano",IF($GA20=0,IF($EX20=1,"sem cura","sem dano"),IF($EX20=1,"cura ","")&amp;$GA20&amp;"d8")))</f>
        <v/>
      </c>
      <c r="GI20" s="152">
        <f>IF($EX20=2,3*$GB20&amp;" de vida temp.",IF($EX20=3,"sem dano",IF($GB20=0,IF($EX20=1,"sem cura","sem dano"),IF($EX20=1,"cura ","")&amp;$GB20&amp;"d8")))</f>
        <v/>
      </c>
      <c r="GJ20" s="152">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2">
        <f>IF($GJ20="",0,(LEN($GJ20)-LEN(SUBSTITUTE($GJ20," · ","")))/3+1)</f>
        <v/>
      </c>
      <c r="GL20" s="152">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2">
        <f>IF($GL20="",0,(LEN($GL20)-LEN(SUBSTITUTE($GL20," · ","")))/3+1)</f>
        <v/>
      </c>
      <c r="GN20" s="152">
        <f>IF($EI20=0,IF($FL20+$FM20-$EW20&gt;0,"Dê um nome",""),IF($GK20&gt;0,"⚠ "&amp;$GK20&amp;IF($GK20&gt;1," erros"," erro"),IF($GM20&gt;0,"! "&amp;$GM20&amp;IF($GM20&gt;1," avisos"," aviso"),"Na regra")))</f>
        <v/>
      </c>
      <c r="GO20" s="152">
        <f>IF($EI20=0,"",IF($GK20+$GM20=0,"Dentro das regras que a ficha confere",$GJ20&amp;IF(AND($GK20&gt;0,$GM20&gt;0)," · ","")&amp;$GL20))</f>
        <v/>
      </c>
      <c r="GP20" s="152">
        <f>IF($EI20=0,"",IF($DX20=1,CEILING(4.5*$DZ20,1),3*$DZ20)&amp;" PE")</f>
        <v/>
      </c>
      <c r="GQ20" s="152">
        <f>IF($EI20=0,"",IF($DX20=1,"Rodada inteira",IF(COUNTIF($FB20:$FC20,"Atrasar")&gt;0,IF(COUNTIF($FB20:$FC20,"Carregar")&gt;0,"Rodada +1 turno","Rodada inteira"),IF(COUNTIF($EC20:$EF20,"Rápido")&gt;0,"Bônus",IF(COUNTIF($EC20:$EF20,"Reação")&gt;0,"Reação","Padrão"))&amp;IF(COUNTIF($FB20:$FC20,"Carregar")&gt;0," +1 turno",""))))</f>
        <v/>
      </c>
      <c r="GR20" s="152">
        <f>IF(OR($EI20=0,$EJ20=0),"",IF(COUNTIF($EC20:$EF20,"Inescapável")&gt;0,"Automático",IF(COUNTIF($EC20:$EF20,"Certeiro")&gt;0,"TR para metade",IF(AND($EV20&gt;0,$EY20=0,INDEX($AF$2:$AF$11,$EJ20)="Acerto"),"Acerto + TR",INDEX($AF$2:$AF$11,$EJ20)))))</f>
        <v/>
      </c>
      <c r="GS20" s="152">
        <f>IF(OR($EI20=0,$EJ20=0),"",IF(OR($EX20&gt;=2,$FT20=0),UPPER(LEFT(INDEX($GC20:$GI20,1,$DZ20),1))&amp;MID(INDEX($GC20:$GI20,1,$DZ20),2,99),UPPER(LEFT(INDEX($GC20:$GI20,1,$DZ20),1))&amp;MID(INDEX($GC20:$GI20,1,$DZ20),2,99)&amp;" = "&amp;FLOOR($FT20*4.5,1)&amp;IF($FU20&gt;0," · +"&amp;$FU20&amp;"d8","")))</f>
        <v/>
      </c>
      <c r="GT20" s="152">
        <f>COUNTIF($EC20:$EF20,"Longe")+3*COUNTIF($EC20:$EF20,"Muito Longe")</f>
        <v/>
      </c>
      <c r="GU20" s="152">
        <f>COUNTIF($EC20:$EF20,"Maior")+3*COUNTIF($EC20:$EF20,"Muito Maior")</f>
        <v/>
      </c>
      <c r="GV20" s="152">
        <f>IF($EJ20=0,0,CHOOSE(1+INDEX($AH$2:$AH$11,$EJ20),0,$GT20,$GU20,$GT20+$GU20))</f>
        <v/>
      </c>
      <c r="GW20" s="152">
        <f>IF($EJ20=0,0,CHOOSE(1+INDEX($AI$2:$AI$11,$EJ20),0,$GT20,$GU20,$GT20+$GU20))</f>
        <v/>
      </c>
      <c r="GX20" s="152">
        <f>IF(OR($EI20=0,$EJ20=0),"",INDEX($AP$2:$AU$31,($EJ20-1)*3+IF($DZ20&gt;=6,3,2),1+MIN(5,$GV20))&amp;INDEX($AV$2:$BA$31,($EJ20-1)*3+IF($DZ20&gt;=6,3,2),1+MIN(5,$GW20))&amp;IF(INDEX($AJ$2:$AJ$11,$EJ20)=1,IF(COUNTIF($EC20:$EF20,"Mais Um")&gt;0," · +"&amp;COUNTIF($EC20:$EF20,"Mais Um")&amp;IF(COUNTIF($EC20:$EF20,"Mais Um")&gt;1," alvos"," alvo"),"")&amp;IF(COUNTIF($EC20:$EF20,"Rajada")&gt;0," · "&amp;($DZ20+1)&amp;" tiros",""),""))</f>
        <v/>
      </c>
      <c r="GY20" s="152">
        <f>IF($EI20=0,"",3*$DZ20&amp;" − "&amp;$FN20&amp;" + "&amp;$FQ20&amp;IF($DX20=1," + "&amp;$DZ20,"")&amp;" = "&amp;$FT20&amp;"d8 · teto "&amp;4*$DZ20&amp;IF($EW20=1," · a Forma devolve "&amp;$DZ20,"")&amp;IF($FR20&gt;0," · perde "&amp;$FR20,""))</f>
        <v/>
      </c>
      <c r="GZ20" s="152">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2">
        <f>IF(OR($EI20=0,$EL20=0),"","−"&amp;INDEX($Q$2:$V$8,$DZ20,$EL20)&amp;" · "&amp;CHOOSE($EL20,"Leve","Média","Pesada","Leve · Livre","Média · Livre","Pesada · Livre"))</f>
        <v/>
      </c>
      <c r="HB20" s="152">
        <f>IF(OR($EI20=0,$EM20=0),"","−"&amp;INDEX($Q$2:$V$8,$DZ20,$EM20)&amp;" · "&amp;CHOOSE($EM20,"Leve","Média","Pesada","Leve · Livre","Média · Livre","Pesada · Livre"))</f>
        <v/>
      </c>
      <c r="HC20" s="152">
        <f>IF(OR($EI20=0,$EN20=0),"","−"&amp;INDEX($Q$2:$V$8,$DZ20,$EN20)&amp;" · "&amp;CHOOSE($EN20,"Leve","Média","Pesada","Leve · Livre","Média · Livre","Pesada · Livre"))</f>
        <v/>
      </c>
      <c r="HD20" s="152">
        <f>IF(OR($EI20=0,$EO20=0),"","−"&amp;INDEX($Q$2:$V$8,$DZ20,$EO20)&amp;" · "&amp;CHOOSE($EO20,"Leve","Média","Pesada","Leve · Livre","Média · Livre","Pesada · Livre"))</f>
        <v/>
      </c>
      <c r="HE20" s="152">
        <f>IF(OR($EI20=0,$EG20=""),"","+"&amp;IF($EZ20=1,CEILING($DZ20/2,1),$DZ20))</f>
        <v/>
      </c>
      <c r="HF20" s="152">
        <f>IF(OR($EI20=0,$EH20=""),"","+"&amp;IF($FA20=1,CEILING($DZ20/2,1),$DZ20))</f>
        <v/>
      </c>
      <c r="HG20" s="152">
        <f>'FICHA AMALDIÇOADA'!$D$181&amp;""</f>
        <v/>
      </c>
      <c r="HH20" s="152">
        <f>IF(AND($EI20=1,$DX20=0),COUNTIFS($EI$2:$EI20,1,$DX$2:$DX20,0),"")</f>
        <v/>
      </c>
      <c r="HJ20" s="150" t="inlineStr">
        <is>
          <t>sem espaço</t>
        </is>
      </c>
      <c r="HK20" s="152">
        <f>IF($HK$18+$HK$19&gt;$HK$14,1,0)</f>
        <v/>
      </c>
      <c r="JF20" s="152" t="n">
        <v>19</v>
      </c>
      <c r="JG20" s="152">
        <f>IFERROR(MATCH(19,$HH$2:$HH$37,0),0)</f>
        <v/>
      </c>
      <c r="JH20" s="152">
        <f>IF($JG20=0,"",INDEX($DZ$2:$DZ$37,$JG20))</f>
        <v/>
      </c>
      <c r="JI20" s="152">
        <f>IF($JG20=0,"",INDEX($EA$2:$EA$37,$JG20))</f>
        <v/>
      </c>
      <c r="JJ20" s="152">
        <f>IF($JG20=0,"",INDEX($GP$2:$GP$37,$JG20))</f>
        <v/>
      </c>
      <c r="JK20" s="152">
        <f>IF($JG20=0,"",INDEX($EB$2:$EB$37,$JG20))</f>
        <v/>
      </c>
      <c r="JL20" s="152">
        <f>IF($JG20=0,"",INDEX($GR$2:$GR$37,$JG20))</f>
        <v/>
      </c>
      <c r="JM20" s="152">
        <f>IF($JG20=0,"",INDEX($HG$2:$HG$37,$JG20))</f>
        <v/>
      </c>
      <c r="KS20" s="150" t="inlineStr">
        <is>
          <t>L41</t>
        </is>
      </c>
      <c r="KT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K21" s="152" t="n">
        <v>0</v>
      </c>
      <c r="BM21" s="150" t="inlineStr">
        <is>
          <t>Barulho</t>
        </is>
      </c>
      <c r="BN21" s="150" t="inlineStr">
        <is>
          <t>Barulho</t>
        </is>
      </c>
      <c r="BO21" s="152" t="n">
        <v>1</v>
      </c>
      <c r="BP21" s="152" t="n">
        <v>0</v>
      </c>
      <c r="BQ21" s="150" t="inlineStr">
        <is>
          <t>Barulho</t>
        </is>
      </c>
      <c r="BS21" s="150" t="inlineStr">
        <is>
          <t>Maldição do Inventário</t>
        </is>
      </c>
      <c r="BT21" s="152" t="n">
        <v>1</v>
      </c>
      <c r="BU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2" t="n">
        <v>0</v>
      </c>
      <c r="BW21" s="152" t="n">
        <v>1</v>
      </c>
      <c r="BX21" s="152">
        <f>IF(OR(AND($A$2&lt;=2,$BV21=1),AND($A$2&gt;=2,$BW21=1)),$BS21,"")</f>
        <v/>
      </c>
      <c r="BY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0" t="inlineStr">
        <is>
          <t>Ímpeto</t>
        </is>
      </c>
      <c r="CE21" s="150" t="inlineStr">
        <is>
          <t>Lapidação 4 e Destreza 4</t>
        </is>
      </c>
      <c r="CF21" s="152" t="n">
        <v>2</v>
      </c>
      <c r="CG21" s="150" t="inlineStr">
        <is>
          <t>—</t>
        </is>
      </c>
      <c r="CH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2">
        <f>IF($CL21=1,"",IF($A$2=4,IF($CJ21=1,$CD21,""),IF(OR($CJ21=1,AND($A$2=3,$CK21=1)),"",$CD21)))</f>
        <v/>
      </c>
      <c r="CJ21" s="152" t="n">
        <v>1</v>
      </c>
      <c r="CK21" s="152" t="n">
        <v>0</v>
      </c>
      <c r="CL21" s="152" t="n">
        <v>0</v>
      </c>
      <c r="CM21" s="150" t="inlineStr">
        <is>
          <t>Como Ação Bônus, mova-se até seu deslocamento sem provocar ataques de oportunidade.</t>
        </is>
      </c>
      <c r="DW21" s="150" t="inlineStr">
        <is>
          <t>Feitiço 20</t>
        </is>
      </c>
      <c r="DX21" s="152" t="n">
        <v>0</v>
      </c>
      <c r="DY21" s="152" t="n">
        <v>20</v>
      </c>
      <c r="DZ21" s="152">
        <f>MAX(1,MIN(7,N('FICHA AMALDIÇOADA'!$J$179)))</f>
        <v/>
      </c>
      <c r="EA21" s="152">
        <f>'FICHA AMALDIÇOADA'!$K$179&amp;""</f>
        <v/>
      </c>
      <c r="EB21" s="152">
        <f>'FICHA AMALDIÇOADA'!$J$186&amp;""</f>
        <v/>
      </c>
      <c r="EC21" s="152">
        <f>'FICHA AMALDIÇOADA'!$K$188&amp;""</f>
        <v/>
      </c>
      <c r="ED21" s="152">
        <f>'FICHA AMALDIÇOADA'!$K$189&amp;""</f>
        <v/>
      </c>
      <c r="EE21" s="152">
        <f>'FICHA AMALDIÇOADA'!$K$190&amp;""</f>
        <v/>
      </c>
      <c r="EF21" s="152">
        <f>'FICHA AMALDIÇOADA'!$K$191&amp;""</f>
        <v/>
      </c>
      <c r="EG21" s="152">
        <f>'FICHA AMALDIÇOADA'!$K$192&amp;""</f>
        <v/>
      </c>
      <c r="EH21" s="152">
        <f>'FICHA AMALDIÇOADA'!$K$193&amp;""</f>
        <v/>
      </c>
      <c r="EI21" s="152">
        <f>IF($EA21&lt;&gt;"",1,0)</f>
        <v/>
      </c>
      <c r="EJ21" s="152">
        <f>IFERROR(MATCH($EB21,$Y$2:$Y$11,0),0)</f>
        <v/>
      </c>
      <c r="EK21" s="152">
        <f>IF($EJ21=0,0,INDEX($AB$2:$AB$11,$EJ21))</f>
        <v/>
      </c>
      <c r="EL21" s="152">
        <f>IFERROR(VLOOKUP($EC21,$BC$2:$BK$84,4,FALSE),0)</f>
        <v/>
      </c>
      <c r="EM21" s="152">
        <f>IFERROR(VLOOKUP($ED21,$BC$2:$BK$84,4,FALSE),0)</f>
        <v/>
      </c>
      <c r="EN21" s="152">
        <f>IFERROR(VLOOKUP($EE21,$BC$2:$BK$84,4,FALSE),0)</f>
        <v/>
      </c>
      <c r="EO21" s="152">
        <f>IFERROR(VLOOKUP($EF21,$BC$2:$BK$84,4,FALSE),0)</f>
        <v/>
      </c>
      <c r="EP21" s="152">
        <f>IF($EJ21=0,0,INDEX($AC$2:$AC$11,$EJ21))</f>
        <v/>
      </c>
      <c r="EQ21" s="152">
        <f>IFERROR(VLOOKUP($EC21,$BC$2:$BK$84,5,FALSE),0)</f>
        <v/>
      </c>
      <c r="ER21" s="152">
        <f>IFERROR(VLOOKUP($ED21,$BC$2:$BK$84,5,FALSE),0)</f>
        <v/>
      </c>
      <c r="ES21" s="152">
        <f>IFERROR(VLOOKUP($EE21,$BC$2:$BK$84,5,FALSE),0)</f>
        <v/>
      </c>
      <c r="ET21" s="152">
        <f>IFERROR(VLOOKUP($EF21,$BC$2:$BK$84,5,FALSE),0)</f>
        <v/>
      </c>
      <c r="EU21" s="152">
        <f>IFERROR(VLOOKUP($EC21,$BC$2:$BK$84,6,FALSE),0)+IFERROR(VLOOKUP($ED21,$BC$2:$BK$84,6,FALSE),0)+IFERROR(VLOOKUP($EE21,$BC$2:$BK$84,6,FALSE),0)+IFERROR(VLOOKUP($EF21,$BC$2:$BK$84,6,FALSE),0)</f>
        <v/>
      </c>
      <c r="EV21" s="152">
        <f>IFERROR(VLOOKUP($EC21,$BC$2:$BK$84,9,FALSE),0)+IFERROR(VLOOKUP($ED21,$BC$2:$BK$84,9,FALSE),0)+IFERROR(VLOOKUP($EE21,$BC$2:$BK$84,9,FALSE),0)+IFERROR(VLOOKUP($EF21,$BC$2:$BK$84,9,FALSE),0)</f>
        <v/>
      </c>
      <c r="EW21" s="152">
        <f>IF($EJ21=0,0,INDEX($AD$2:$AD$11,$EJ21))</f>
        <v/>
      </c>
      <c r="EX21" s="152">
        <f>IF($EJ21=0,0,INDEX($AE$2:$AE$11,$EJ21))</f>
        <v/>
      </c>
      <c r="EY21" s="152">
        <f>IF($EJ21=0,0,INDEX($AG$2:$AG$11,$EJ21))</f>
        <v/>
      </c>
      <c r="EZ21" s="152">
        <f>IFERROR(VLOOKUP($EG21,$BM$2:$BQ$24,3,FALSE),0)</f>
        <v/>
      </c>
      <c r="FA21" s="152">
        <f>IFERROR(VLOOKUP($EH21,$BM$2:$BQ$24,3,FALSE),0)</f>
        <v/>
      </c>
      <c r="FB21" s="152">
        <f>IFERROR(VLOOKUP($EG21,$BM$2:$BQ$24,2,FALSE),"")</f>
        <v/>
      </c>
      <c r="FC21" s="152">
        <f>IFERROR(VLOOKUP($EH21,$BM$2:$BQ$24,2,FALSE),"")</f>
        <v/>
      </c>
      <c r="FD21" s="152">
        <f>COUNTIF($EK21:$EO21,1)</f>
        <v/>
      </c>
      <c r="FE21" s="152">
        <f>COUNTIF($EK21:$EO21,2)</f>
        <v/>
      </c>
      <c r="FF21" s="152">
        <f>COUNTIF($EK21:$EO21,3)</f>
        <v/>
      </c>
      <c r="FG21" s="152">
        <f>COUNTIF($EK21:$EO21,4)</f>
        <v/>
      </c>
      <c r="FH21" s="152">
        <f>COUNTIF($EK21:$EO21,5)</f>
        <v/>
      </c>
      <c r="FI21" s="152">
        <f>COUNTIF($EK21:$EO21,6)</f>
        <v/>
      </c>
      <c r="FJ21" s="152">
        <f>COUNTIF($EZ21:$FA21,1)</f>
        <v/>
      </c>
      <c r="FK21" s="152">
        <f>COUNTIF($EZ21:$FA21,2)+$EW21</f>
        <v/>
      </c>
      <c r="FL21" s="152">
        <f>COUNTIF($EC21:$EF21,"?*")</f>
        <v/>
      </c>
      <c r="FM21" s="152">
        <f>COUNTIF($EG21:$EH21,"?*")+$EW21</f>
        <v/>
      </c>
      <c r="FN21" s="152">
        <f>SUMPRODUCT($FD21:$FI21,INDEX($Q$2:$V$8,$DZ21,0))</f>
        <v/>
      </c>
      <c r="FO21" s="152">
        <f>$FJ21*CEILING($DZ21/2,1)+$FK21*$DZ21</f>
        <v/>
      </c>
      <c r="FP21" s="152">
        <f>MIN(2*$DZ21,$FO21)</f>
        <v/>
      </c>
      <c r="FQ21" s="152">
        <f>MIN($FP21,$FN21)</f>
        <v/>
      </c>
      <c r="FR21" s="152">
        <f>$FP21-$FQ21</f>
        <v/>
      </c>
      <c r="FS21" s="152">
        <f>3*$DZ21-$FN21+$FQ21</f>
        <v/>
      </c>
      <c r="FT21" s="152">
        <f>MAX(0,$FS21)+$DX21*$DZ21</f>
        <v/>
      </c>
      <c r="FU21" s="152">
        <f>(IF(COUNTIF($EC21:$EF21,"Salto")&gt;0,1,0)+IF(COUNTIF($EC21:$EF21,"Queima")&gt;0,1,0)+IF(COUNTIF($EC21:$EF21,"Estilhaço")&gt;0,1,0))*FLOOR($FT21/2,1)</f>
        <v/>
      </c>
      <c r="FV21" s="152">
        <f>MAX(0,3-SUMPRODUCT($FD21:$FI21,$Q$2:$V$2)+MIN(2,$FJ21*1+$FK21*1,SUMPRODUCT($FD21:$FI21,$Q$2:$V$2)))+$DX21*1</f>
        <v/>
      </c>
      <c r="FW21" s="152">
        <f>MAX(0,6-SUMPRODUCT($FD21:$FI21,$Q$3:$V$3)+MIN(4,$FJ21*1+$FK21*2,SUMPRODUCT($FD21:$FI21,$Q$3:$V$3)))+$DX21*2</f>
        <v/>
      </c>
      <c r="FX21" s="152">
        <f>MAX(0,9-SUMPRODUCT($FD21:$FI21,$Q$4:$V$4)+MIN(6,$FJ21*2+$FK21*3,SUMPRODUCT($FD21:$FI21,$Q$4:$V$4)))+$DX21*3</f>
        <v/>
      </c>
      <c r="FY21" s="152">
        <f>MAX(0,12-SUMPRODUCT($FD21:$FI21,$Q$5:$V$5)+MIN(8,$FJ21*2+$FK21*4,SUMPRODUCT($FD21:$FI21,$Q$5:$V$5)))+$DX21*4</f>
        <v/>
      </c>
      <c r="FZ21" s="152">
        <f>MAX(0,15-SUMPRODUCT($FD21:$FI21,$Q$6:$V$6)+MIN(10,$FJ21*3+$FK21*5,SUMPRODUCT($FD21:$FI21,$Q$6:$V$6)))+$DX21*5</f>
        <v/>
      </c>
      <c r="GA21" s="152">
        <f>MAX(0,18-SUMPRODUCT($FD21:$FI21,$Q$7:$V$7)+MIN(12,$FJ21*3+$FK21*6,SUMPRODUCT($FD21:$FI21,$Q$7:$V$7)))+$DX21*6</f>
        <v/>
      </c>
      <c r="GB21" s="152">
        <f>MAX(0,21-SUMPRODUCT($FD21:$FI21,$Q$8:$V$8)+MIN(14,$FJ21*4+$FK21*7,SUMPRODUCT($FD21:$FI21,$Q$8:$V$8)))+$DX21*7</f>
        <v/>
      </c>
      <c r="GC21" s="152">
        <f>IF($EX21=2,3*$FV21&amp;" de vida temp.",IF($EX21=3,"sem dano",IF($FV21=0,IF($EX21=1,"sem cura","sem dano"),IF($EX21=1,"cura ","")&amp;$FV21&amp;"d8")))</f>
        <v/>
      </c>
      <c r="GD21" s="152">
        <f>IF($EX21=2,3*$FW21&amp;" de vida temp.",IF($EX21=3,"sem dano",IF($FW21=0,IF($EX21=1,"sem cura","sem dano"),IF($EX21=1,"cura ","")&amp;$FW21&amp;"d8")))</f>
        <v/>
      </c>
      <c r="GE21" s="152">
        <f>IF($EX21=2,3*$FX21&amp;" de vida temp.",IF($EX21=3,"sem dano",IF($FX21=0,IF($EX21=1,"sem cura","sem dano"),IF($EX21=1,"cura ","")&amp;$FX21&amp;"d8")))</f>
        <v/>
      </c>
      <c r="GF21" s="152">
        <f>IF($EX21=2,3*$FY21&amp;" de vida temp.",IF($EX21=3,"sem dano",IF($FY21=0,IF($EX21=1,"sem cura","sem dano"),IF($EX21=1,"cura ","")&amp;$FY21&amp;"d8")))</f>
        <v/>
      </c>
      <c r="GG21" s="152">
        <f>IF($EX21=2,3*$FZ21&amp;" de vida temp.",IF($EX21=3,"sem dano",IF($FZ21=0,IF($EX21=1,"sem cura","sem dano"),IF($EX21=1,"cura ","")&amp;$FZ21&amp;"d8")))</f>
        <v/>
      </c>
      <c r="GH21" s="152">
        <f>IF($EX21=2,3*$GA21&amp;" de vida temp.",IF($EX21=3,"sem dano",IF($GA21=0,IF($EX21=1,"sem cura","sem dano"),IF($EX21=1,"cura ","")&amp;$GA21&amp;"d8")))</f>
        <v/>
      </c>
      <c r="GI21" s="152">
        <f>IF($EX21=2,3*$GB21&amp;" de vida temp.",IF($EX21=3,"sem dano",IF($GB21=0,IF($EX21=1,"sem cura","sem dano"),IF($EX21=1,"cura ","")&amp;$GB21&amp;"d8")))</f>
        <v/>
      </c>
      <c r="GJ21" s="152">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2">
        <f>IF($GJ21="",0,(LEN($GJ21)-LEN(SUBSTITUTE($GJ21," · ","")))/3+1)</f>
        <v/>
      </c>
      <c r="GL21" s="152">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2">
        <f>IF($GL21="",0,(LEN($GL21)-LEN(SUBSTITUTE($GL21," · ","")))/3+1)</f>
        <v/>
      </c>
      <c r="GN21" s="152">
        <f>IF($EI21=0,IF($FL21+$FM21-$EW21&gt;0,"Dê um nome",""),IF($GK21&gt;0,"⚠ "&amp;$GK21&amp;IF($GK21&gt;1," erros"," erro"),IF($GM21&gt;0,"! "&amp;$GM21&amp;IF($GM21&gt;1," avisos"," aviso"),"Na regra")))</f>
        <v/>
      </c>
      <c r="GO21" s="152">
        <f>IF($EI21=0,"",IF($GK21+$GM21=0,"Dentro das regras que a ficha confere",$GJ21&amp;IF(AND($GK21&gt;0,$GM21&gt;0)," · ","")&amp;$GL21))</f>
        <v/>
      </c>
      <c r="GP21" s="152">
        <f>IF($EI21=0,"",IF($DX21=1,CEILING(4.5*$DZ21,1),3*$DZ21)&amp;" PE")</f>
        <v/>
      </c>
      <c r="GQ21" s="152">
        <f>IF($EI21=0,"",IF($DX21=1,"Rodada inteira",IF(COUNTIF($FB21:$FC21,"Atrasar")&gt;0,IF(COUNTIF($FB21:$FC21,"Carregar")&gt;0,"Rodada +1 turno","Rodada inteira"),IF(COUNTIF($EC21:$EF21,"Rápido")&gt;0,"Bônus",IF(COUNTIF($EC21:$EF21,"Reação")&gt;0,"Reação","Padrão"))&amp;IF(COUNTIF($FB21:$FC21,"Carregar")&gt;0," +1 turno",""))))</f>
        <v/>
      </c>
      <c r="GR21" s="152">
        <f>IF(OR($EI21=0,$EJ21=0),"",IF(COUNTIF($EC21:$EF21,"Inescapável")&gt;0,"Automático",IF(COUNTIF($EC21:$EF21,"Certeiro")&gt;0,"TR para metade",IF(AND($EV21&gt;0,$EY21=0,INDEX($AF$2:$AF$11,$EJ21)="Acerto"),"Acerto + TR",INDEX($AF$2:$AF$11,$EJ21)))))</f>
        <v/>
      </c>
      <c r="GS21" s="152">
        <f>IF(OR($EI21=0,$EJ21=0),"",IF(OR($EX21&gt;=2,$FT21=0),UPPER(LEFT(INDEX($GC21:$GI21,1,$DZ21),1))&amp;MID(INDEX($GC21:$GI21,1,$DZ21),2,99),UPPER(LEFT(INDEX($GC21:$GI21,1,$DZ21),1))&amp;MID(INDEX($GC21:$GI21,1,$DZ21),2,99)&amp;" = "&amp;FLOOR($FT21*4.5,1)&amp;IF($FU21&gt;0," · +"&amp;$FU21&amp;"d8","")))</f>
        <v/>
      </c>
      <c r="GT21" s="152">
        <f>COUNTIF($EC21:$EF21,"Longe")+3*COUNTIF($EC21:$EF21,"Muito Longe")</f>
        <v/>
      </c>
      <c r="GU21" s="152">
        <f>COUNTIF($EC21:$EF21,"Maior")+3*COUNTIF($EC21:$EF21,"Muito Maior")</f>
        <v/>
      </c>
      <c r="GV21" s="152">
        <f>IF($EJ21=0,0,CHOOSE(1+INDEX($AH$2:$AH$11,$EJ21),0,$GT21,$GU21,$GT21+$GU21))</f>
        <v/>
      </c>
      <c r="GW21" s="152">
        <f>IF($EJ21=0,0,CHOOSE(1+INDEX($AI$2:$AI$11,$EJ21),0,$GT21,$GU21,$GT21+$GU21))</f>
        <v/>
      </c>
      <c r="GX21" s="152">
        <f>IF(OR($EI21=0,$EJ21=0),"",INDEX($AP$2:$AU$31,($EJ21-1)*3+IF($DZ21&gt;=6,3,2),1+MIN(5,$GV21))&amp;INDEX($AV$2:$BA$31,($EJ21-1)*3+IF($DZ21&gt;=6,3,2),1+MIN(5,$GW21))&amp;IF(INDEX($AJ$2:$AJ$11,$EJ21)=1,IF(COUNTIF($EC21:$EF21,"Mais Um")&gt;0," · +"&amp;COUNTIF($EC21:$EF21,"Mais Um")&amp;IF(COUNTIF($EC21:$EF21,"Mais Um")&gt;1," alvos"," alvo"),"")&amp;IF(COUNTIF($EC21:$EF21,"Rajada")&gt;0," · "&amp;($DZ21+1)&amp;" tiros",""),""))</f>
        <v/>
      </c>
      <c r="GY21" s="152">
        <f>IF($EI21=0,"",3*$DZ21&amp;" − "&amp;$FN21&amp;" + "&amp;$FQ21&amp;IF($DX21=1," + "&amp;$DZ21,"")&amp;" = "&amp;$FT21&amp;"d8 · teto "&amp;4*$DZ21&amp;IF($EW21=1," · a Forma devolve "&amp;$DZ21,"")&amp;IF($FR21&gt;0," · perde "&amp;$FR21,""))</f>
        <v/>
      </c>
      <c r="GZ21" s="152">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2">
        <f>IF(OR($EI21=0,$EL21=0),"","−"&amp;INDEX($Q$2:$V$8,$DZ21,$EL21)&amp;" · "&amp;CHOOSE($EL21,"Leve","Média","Pesada","Leve · Livre","Média · Livre","Pesada · Livre"))</f>
        <v/>
      </c>
      <c r="HB21" s="152">
        <f>IF(OR($EI21=0,$EM21=0),"","−"&amp;INDEX($Q$2:$V$8,$DZ21,$EM21)&amp;" · "&amp;CHOOSE($EM21,"Leve","Média","Pesada","Leve · Livre","Média · Livre","Pesada · Livre"))</f>
        <v/>
      </c>
      <c r="HC21" s="152">
        <f>IF(OR($EI21=0,$EN21=0),"","−"&amp;INDEX($Q$2:$V$8,$DZ21,$EN21)&amp;" · "&amp;CHOOSE($EN21,"Leve","Média","Pesada","Leve · Livre","Média · Livre","Pesada · Livre"))</f>
        <v/>
      </c>
      <c r="HD21" s="152">
        <f>IF(OR($EI21=0,$EO21=0),"","−"&amp;INDEX($Q$2:$V$8,$DZ21,$EO21)&amp;" · "&amp;CHOOSE($EO21,"Leve","Média","Pesada","Leve · Livre","Média · Livre","Pesada · Livre"))</f>
        <v/>
      </c>
      <c r="HE21" s="152">
        <f>IF(OR($EI21=0,$EG21=""),"","+"&amp;IF($EZ21=1,CEILING($DZ21/2,1),$DZ21))</f>
        <v/>
      </c>
      <c r="HF21" s="152">
        <f>IF(OR($EI21=0,$EH21=""),"","+"&amp;IF($FA21=1,CEILING($DZ21/2,1),$DZ21))</f>
        <v/>
      </c>
      <c r="HG21" s="152">
        <f>'FICHA AMALDIÇOADA'!$J$181&amp;""</f>
        <v/>
      </c>
      <c r="HH21" s="152">
        <f>IF(AND($EI21=1,$DX21=0),COUNTIFS($EI$2:$EI21,1,$DX$2:$DX21,0),"")</f>
        <v/>
      </c>
      <c r="HJ21" s="150" t="inlineStr">
        <is>
          <t>cabem</t>
        </is>
      </c>
      <c r="HK21" s="152">
        <f>$HK$14+$HK$8-$HK$18-$HK$19</f>
        <v/>
      </c>
      <c r="JF21" s="152" t="n">
        <v>20</v>
      </c>
      <c r="JG21" s="152">
        <f>IFERROR(MATCH(20,$HH$2:$HH$37,0),0)</f>
        <v/>
      </c>
      <c r="JH21" s="152">
        <f>IF($JG21=0,"",INDEX($DZ$2:$DZ$37,$JG21))</f>
        <v/>
      </c>
      <c r="JI21" s="152">
        <f>IF($JG21=0,"",INDEX($EA$2:$EA$37,$JG21))</f>
        <v/>
      </c>
      <c r="JJ21" s="152">
        <f>IF($JG21=0,"",INDEX($GP$2:$GP$37,$JG21))</f>
        <v/>
      </c>
      <c r="JK21" s="152">
        <f>IF($JG21=0,"",INDEX($EB$2:$EB$37,$JG21))</f>
        <v/>
      </c>
      <c r="JL21" s="152">
        <f>IF($JG21=0,"",INDEX($GR$2:$GR$37,$JG21))</f>
        <v/>
      </c>
      <c r="JM21" s="152">
        <f>IF($JG21=0,"",INDEX($HG$2:$HG$37,$JG21))</f>
        <v/>
      </c>
      <c r="KS21" s="150" t="inlineStr">
        <is>
          <t>P42</t>
        </is>
      </c>
      <c r="KT21" s="152">
        <f>IF(DADOS_AM!$HK$20=1,"⚠ ","")&amp;DADOS_AM!$HK$18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K22" s="152" t="n">
        <v>0</v>
      </c>
      <c r="BM22" s="150" t="inlineStr">
        <is>
          <t>Assinatura</t>
        </is>
      </c>
      <c r="BN22" s="150" t="inlineStr">
        <is>
          <t>Assinatura</t>
        </is>
      </c>
      <c r="BO22" s="152" t="n">
        <v>1</v>
      </c>
      <c r="BP22" s="152" t="n">
        <v>0</v>
      </c>
      <c r="BQ22" s="150" t="inlineStr">
        <is>
          <t>Assinatura</t>
        </is>
      </c>
      <c r="BS22" s="150" t="inlineStr">
        <is>
          <t>Segundo Fôlego</t>
        </is>
      </c>
      <c r="BT22" s="152" t="n">
        <v>2</v>
      </c>
      <c r="BU22" s="150" t="inlineStr">
        <is>
          <t>Uma vez por descanso longo, ao escolher Insistir, você pode dispensar o primeiro custo de vida máxima, correspondente a 1/8 do máximo de referência daquela queda.</t>
        </is>
      </c>
      <c r="BV22" s="152" t="n">
        <v>0</v>
      </c>
      <c r="BW22" s="152" t="n">
        <v>1</v>
      </c>
      <c r="BX22" s="152">
        <f>IF(OR(AND($A$2&lt;=2,$BV22=1),AND($A$2&gt;=2,$BW22=1)),$BS22,"")</f>
        <v/>
      </c>
      <c r="BY22" s="150" t="inlineStr">
        <is>
          <t>Uma vez por descanso longo, ao escolher Insistir, você pode dispensar o primeiro custo de vida máxima, correspondente a 1/8 do máximo de referência daquela queda.</t>
        </is>
      </c>
      <c r="CD22" s="150" t="inlineStr">
        <is>
          <t>Casco</t>
        </is>
      </c>
      <c r="CE22" s="150" t="inlineStr">
        <is>
          <t>Lapidação 7 e Constituição 4</t>
        </is>
      </c>
      <c r="CF22" s="152" t="n">
        <v>3</v>
      </c>
      <c r="CG22" s="150" t="inlineStr">
        <is>
          <t>—</t>
        </is>
      </c>
      <c r="CH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2">
        <f>IF($CL22=1,"",IF($A$2=4,IF($CJ22=1,$CD22,""),IF(OR($CJ22=1,AND($A$2=3,$CK22=1)),"",$CD22)))</f>
        <v/>
      </c>
      <c r="CJ22" s="152" t="n">
        <v>1</v>
      </c>
      <c r="CK22" s="152" t="n">
        <v>0</v>
      </c>
      <c r="CL22" s="152" t="n">
        <v>0</v>
      </c>
      <c r="CM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0" t="inlineStr">
        <is>
          <t>Feitiço 21</t>
        </is>
      </c>
      <c r="DX22" s="152" t="n">
        <v>0</v>
      </c>
      <c r="DY22" s="152" t="n">
        <v>21</v>
      </c>
      <c r="DZ22" s="152">
        <f>MAX(1,MIN(7,N('FICHA AMALDIÇOADA'!$P$179)))</f>
        <v/>
      </c>
      <c r="EA22" s="152">
        <f>'FICHA AMALDIÇOADA'!$Q$179&amp;""</f>
        <v/>
      </c>
      <c r="EB22" s="152">
        <f>'FICHA AMALDIÇOADA'!$P$186&amp;""</f>
        <v/>
      </c>
      <c r="EC22" s="152">
        <f>'FICHA AMALDIÇOADA'!$Q$188&amp;""</f>
        <v/>
      </c>
      <c r="ED22" s="152">
        <f>'FICHA AMALDIÇOADA'!$Q$189&amp;""</f>
        <v/>
      </c>
      <c r="EE22" s="152">
        <f>'FICHA AMALDIÇOADA'!$Q$190&amp;""</f>
        <v/>
      </c>
      <c r="EF22" s="152">
        <f>'FICHA AMALDIÇOADA'!$Q$191&amp;""</f>
        <v/>
      </c>
      <c r="EG22" s="152">
        <f>'FICHA AMALDIÇOADA'!$Q$192&amp;""</f>
        <v/>
      </c>
      <c r="EH22" s="152">
        <f>'FICHA AMALDIÇOADA'!$Q$193&amp;""</f>
        <v/>
      </c>
      <c r="EI22" s="152">
        <f>IF($EA22&lt;&gt;"",1,0)</f>
        <v/>
      </c>
      <c r="EJ22" s="152">
        <f>IFERROR(MATCH($EB22,$Y$2:$Y$11,0),0)</f>
        <v/>
      </c>
      <c r="EK22" s="152">
        <f>IF($EJ22=0,0,INDEX($AB$2:$AB$11,$EJ22))</f>
        <v/>
      </c>
      <c r="EL22" s="152">
        <f>IFERROR(VLOOKUP($EC22,$BC$2:$BK$84,4,FALSE),0)</f>
        <v/>
      </c>
      <c r="EM22" s="152">
        <f>IFERROR(VLOOKUP($ED22,$BC$2:$BK$84,4,FALSE),0)</f>
        <v/>
      </c>
      <c r="EN22" s="152">
        <f>IFERROR(VLOOKUP($EE22,$BC$2:$BK$84,4,FALSE),0)</f>
        <v/>
      </c>
      <c r="EO22" s="152">
        <f>IFERROR(VLOOKUP($EF22,$BC$2:$BK$84,4,FALSE),0)</f>
        <v/>
      </c>
      <c r="EP22" s="152">
        <f>IF($EJ22=0,0,INDEX($AC$2:$AC$11,$EJ22))</f>
        <v/>
      </c>
      <c r="EQ22" s="152">
        <f>IFERROR(VLOOKUP($EC22,$BC$2:$BK$84,5,FALSE),0)</f>
        <v/>
      </c>
      <c r="ER22" s="152">
        <f>IFERROR(VLOOKUP($ED22,$BC$2:$BK$84,5,FALSE),0)</f>
        <v/>
      </c>
      <c r="ES22" s="152">
        <f>IFERROR(VLOOKUP($EE22,$BC$2:$BK$84,5,FALSE),0)</f>
        <v/>
      </c>
      <c r="ET22" s="152">
        <f>IFERROR(VLOOKUP($EF22,$BC$2:$BK$84,5,FALSE),0)</f>
        <v/>
      </c>
      <c r="EU22" s="152">
        <f>IFERROR(VLOOKUP($EC22,$BC$2:$BK$84,6,FALSE),0)+IFERROR(VLOOKUP($ED22,$BC$2:$BK$84,6,FALSE),0)+IFERROR(VLOOKUP($EE22,$BC$2:$BK$84,6,FALSE),0)+IFERROR(VLOOKUP($EF22,$BC$2:$BK$84,6,FALSE),0)</f>
        <v/>
      </c>
      <c r="EV22" s="152">
        <f>IFERROR(VLOOKUP($EC22,$BC$2:$BK$84,9,FALSE),0)+IFERROR(VLOOKUP($ED22,$BC$2:$BK$84,9,FALSE),0)+IFERROR(VLOOKUP($EE22,$BC$2:$BK$84,9,FALSE),0)+IFERROR(VLOOKUP($EF22,$BC$2:$BK$84,9,FALSE),0)</f>
        <v/>
      </c>
      <c r="EW22" s="152">
        <f>IF($EJ22=0,0,INDEX($AD$2:$AD$11,$EJ22))</f>
        <v/>
      </c>
      <c r="EX22" s="152">
        <f>IF($EJ22=0,0,INDEX($AE$2:$AE$11,$EJ22))</f>
        <v/>
      </c>
      <c r="EY22" s="152">
        <f>IF($EJ22=0,0,INDEX($AG$2:$AG$11,$EJ22))</f>
        <v/>
      </c>
      <c r="EZ22" s="152">
        <f>IFERROR(VLOOKUP($EG22,$BM$2:$BQ$24,3,FALSE),0)</f>
        <v/>
      </c>
      <c r="FA22" s="152">
        <f>IFERROR(VLOOKUP($EH22,$BM$2:$BQ$24,3,FALSE),0)</f>
        <v/>
      </c>
      <c r="FB22" s="152">
        <f>IFERROR(VLOOKUP($EG22,$BM$2:$BQ$24,2,FALSE),"")</f>
        <v/>
      </c>
      <c r="FC22" s="152">
        <f>IFERROR(VLOOKUP($EH22,$BM$2:$BQ$24,2,FALSE),"")</f>
        <v/>
      </c>
      <c r="FD22" s="152">
        <f>COUNTIF($EK22:$EO22,1)</f>
        <v/>
      </c>
      <c r="FE22" s="152">
        <f>COUNTIF($EK22:$EO22,2)</f>
        <v/>
      </c>
      <c r="FF22" s="152">
        <f>COUNTIF($EK22:$EO22,3)</f>
        <v/>
      </c>
      <c r="FG22" s="152">
        <f>COUNTIF($EK22:$EO22,4)</f>
        <v/>
      </c>
      <c r="FH22" s="152">
        <f>COUNTIF($EK22:$EO22,5)</f>
        <v/>
      </c>
      <c r="FI22" s="152">
        <f>COUNTIF($EK22:$EO22,6)</f>
        <v/>
      </c>
      <c r="FJ22" s="152">
        <f>COUNTIF($EZ22:$FA22,1)</f>
        <v/>
      </c>
      <c r="FK22" s="152">
        <f>COUNTIF($EZ22:$FA22,2)+$EW22</f>
        <v/>
      </c>
      <c r="FL22" s="152">
        <f>COUNTIF($EC22:$EF22,"?*")</f>
        <v/>
      </c>
      <c r="FM22" s="152">
        <f>COUNTIF($EG22:$EH22,"?*")+$EW22</f>
        <v/>
      </c>
      <c r="FN22" s="152">
        <f>SUMPRODUCT($FD22:$FI22,INDEX($Q$2:$V$8,$DZ22,0))</f>
        <v/>
      </c>
      <c r="FO22" s="152">
        <f>$FJ22*CEILING($DZ22/2,1)+$FK22*$DZ22</f>
        <v/>
      </c>
      <c r="FP22" s="152">
        <f>MIN(2*$DZ22,$FO22)</f>
        <v/>
      </c>
      <c r="FQ22" s="152">
        <f>MIN($FP22,$FN22)</f>
        <v/>
      </c>
      <c r="FR22" s="152">
        <f>$FP22-$FQ22</f>
        <v/>
      </c>
      <c r="FS22" s="152">
        <f>3*$DZ22-$FN22+$FQ22</f>
        <v/>
      </c>
      <c r="FT22" s="152">
        <f>MAX(0,$FS22)+$DX22*$DZ22</f>
        <v/>
      </c>
      <c r="FU22" s="152">
        <f>(IF(COUNTIF($EC22:$EF22,"Salto")&gt;0,1,0)+IF(COUNTIF($EC22:$EF22,"Queima")&gt;0,1,0)+IF(COUNTIF($EC22:$EF22,"Estilhaço")&gt;0,1,0))*FLOOR($FT22/2,1)</f>
        <v/>
      </c>
      <c r="FV22" s="152">
        <f>MAX(0,3-SUMPRODUCT($FD22:$FI22,$Q$2:$V$2)+MIN(2,$FJ22*1+$FK22*1,SUMPRODUCT($FD22:$FI22,$Q$2:$V$2)))+$DX22*1</f>
        <v/>
      </c>
      <c r="FW22" s="152">
        <f>MAX(0,6-SUMPRODUCT($FD22:$FI22,$Q$3:$V$3)+MIN(4,$FJ22*1+$FK22*2,SUMPRODUCT($FD22:$FI22,$Q$3:$V$3)))+$DX22*2</f>
        <v/>
      </c>
      <c r="FX22" s="152">
        <f>MAX(0,9-SUMPRODUCT($FD22:$FI22,$Q$4:$V$4)+MIN(6,$FJ22*2+$FK22*3,SUMPRODUCT($FD22:$FI22,$Q$4:$V$4)))+$DX22*3</f>
        <v/>
      </c>
      <c r="FY22" s="152">
        <f>MAX(0,12-SUMPRODUCT($FD22:$FI22,$Q$5:$V$5)+MIN(8,$FJ22*2+$FK22*4,SUMPRODUCT($FD22:$FI22,$Q$5:$V$5)))+$DX22*4</f>
        <v/>
      </c>
      <c r="FZ22" s="152">
        <f>MAX(0,15-SUMPRODUCT($FD22:$FI22,$Q$6:$V$6)+MIN(10,$FJ22*3+$FK22*5,SUMPRODUCT($FD22:$FI22,$Q$6:$V$6)))+$DX22*5</f>
        <v/>
      </c>
      <c r="GA22" s="152">
        <f>MAX(0,18-SUMPRODUCT($FD22:$FI22,$Q$7:$V$7)+MIN(12,$FJ22*3+$FK22*6,SUMPRODUCT($FD22:$FI22,$Q$7:$V$7)))+$DX22*6</f>
        <v/>
      </c>
      <c r="GB22" s="152">
        <f>MAX(0,21-SUMPRODUCT($FD22:$FI22,$Q$8:$V$8)+MIN(14,$FJ22*4+$FK22*7,SUMPRODUCT($FD22:$FI22,$Q$8:$V$8)))+$DX22*7</f>
        <v/>
      </c>
      <c r="GC22" s="152">
        <f>IF($EX22=2,3*$FV22&amp;" de vida temp.",IF($EX22=3,"sem dano",IF($FV22=0,IF($EX22=1,"sem cura","sem dano"),IF($EX22=1,"cura ","")&amp;$FV22&amp;"d8")))</f>
        <v/>
      </c>
      <c r="GD22" s="152">
        <f>IF($EX22=2,3*$FW22&amp;" de vida temp.",IF($EX22=3,"sem dano",IF($FW22=0,IF($EX22=1,"sem cura","sem dano"),IF($EX22=1,"cura ","")&amp;$FW22&amp;"d8")))</f>
        <v/>
      </c>
      <c r="GE22" s="152">
        <f>IF($EX22=2,3*$FX22&amp;" de vida temp.",IF($EX22=3,"sem dano",IF($FX22=0,IF($EX22=1,"sem cura","sem dano"),IF($EX22=1,"cura ","")&amp;$FX22&amp;"d8")))</f>
        <v/>
      </c>
      <c r="GF22" s="152">
        <f>IF($EX22=2,3*$FY22&amp;" de vida temp.",IF($EX22=3,"sem dano",IF($FY22=0,IF($EX22=1,"sem cura","sem dano"),IF($EX22=1,"cura ","")&amp;$FY22&amp;"d8")))</f>
        <v/>
      </c>
      <c r="GG22" s="152">
        <f>IF($EX22=2,3*$FZ22&amp;" de vida temp.",IF($EX22=3,"sem dano",IF($FZ22=0,IF($EX22=1,"sem cura","sem dano"),IF($EX22=1,"cura ","")&amp;$FZ22&amp;"d8")))</f>
        <v/>
      </c>
      <c r="GH22" s="152">
        <f>IF($EX22=2,3*$GA22&amp;" de vida temp.",IF($EX22=3,"sem dano",IF($GA22=0,IF($EX22=1,"sem cura","sem dano"),IF($EX22=1,"cura ","")&amp;$GA22&amp;"d8")))</f>
        <v/>
      </c>
      <c r="GI22" s="152">
        <f>IF($EX22=2,3*$GB22&amp;" de vida temp.",IF($EX22=3,"sem dano",IF($GB22=0,IF($EX22=1,"sem cura","sem dano"),IF($EX22=1,"cura ","")&amp;$GB22&amp;"d8")))</f>
        <v/>
      </c>
      <c r="GJ22" s="152">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2">
        <f>IF($GJ22="",0,(LEN($GJ22)-LEN(SUBSTITUTE($GJ22," · ","")))/3+1)</f>
        <v/>
      </c>
      <c r="GL22" s="152">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2">
        <f>IF($GL22="",0,(LEN($GL22)-LEN(SUBSTITUTE($GL22," · ","")))/3+1)</f>
        <v/>
      </c>
      <c r="GN22" s="152">
        <f>IF($EI22=0,IF($FL22+$FM22-$EW22&gt;0,"Dê um nome",""),IF($GK22&gt;0,"⚠ "&amp;$GK22&amp;IF($GK22&gt;1," erros"," erro"),IF($GM22&gt;0,"! "&amp;$GM22&amp;IF($GM22&gt;1," avisos"," aviso"),"Na regra")))</f>
        <v/>
      </c>
      <c r="GO22" s="152">
        <f>IF($EI22=0,"",IF($GK22+$GM22=0,"Dentro das regras que a ficha confere",$GJ22&amp;IF(AND($GK22&gt;0,$GM22&gt;0)," · ","")&amp;$GL22))</f>
        <v/>
      </c>
      <c r="GP22" s="152">
        <f>IF($EI22=0,"",IF($DX22=1,CEILING(4.5*$DZ22,1),3*$DZ22)&amp;" PE")</f>
        <v/>
      </c>
      <c r="GQ22" s="152">
        <f>IF($EI22=0,"",IF($DX22=1,"Rodada inteira",IF(COUNTIF($FB22:$FC22,"Atrasar")&gt;0,IF(COUNTIF($FB22:$FC22,"Carregar")&gt;0,"Rodada +1 turno","Rodada inteira"),IF(COUNTIF($EC22:$EF22,"Rápido")&gt;0,"Bônus",IF(COUNTIF($EC22:$EF22,"Reação")&gt;0,"Reação","Padrão"))&amp;IF(COUNTIF($FB22:$FC22,"Carregar")&gt;0," +1 turno",""))))</f>
        <v/>
      </c>
      <c r="GR22" s="152">
        <f>IF(OR($EI22=0,$EJ22=0),"",IF(COUNTIF($EC22:$EF22,"Inescapável")&gt;0,"Automático",IF(COUNTIF($EC22:$EF22,"Certeiro")&gt;0,"TR para metade",IF(AND($EV22&gt;0,$EY22=0,INDEX($AF$2:$AF$11,$EJ22)="Acerto"),"Acerto + TR",INDEX($AF$2:$AF$11,$EJ22)))))</f>
        <v/>
      </c>
      <c r="GS22" s="152">
        <f>IF(OR($EI22=0,$EJ22=0),"",IF(OR($EX22&gt;=2,$FT22=0),UPPER(LEFT(INDEX($GC22:$GI22,1,$DZ22),1))&amp;MID(INDEX($GC22:$GI22,1,$DZ22),2,99),UPPER(LEFT(INDEX($GC22:$GI22,1,$DZ22),1))&amp;MID(INDEX($GC22:$GI22,1,$DZ22),2,99)&amp;" = "&amp;FLOOR($FT22*4.5,1)&amp;IF($FU22&gt;0," · +"&amp;$FU22&amp;"d8","")))</f>
        <v/>
      </c>
      <c r="GT22" s="152">
        <f>COUNTIF($EC22:$EF22,"Longe")+3*COUNTIF($EC22:$EF22,"Muito Longe")</f>
        <v/>
      </c>
      <c r="GU22" s="152">
        <f>COUNTIF($EC22:$EF22,"Maior")+3*COUNTIF($EC22:$EF22,"Muito Maior")</f>
        <v/>
      </c>
      <c r="GV22" s="152">
        <f>IF($EJ22=0,0,CHOOSE(1+INDEX($AH$2:$AH$11,$EJ22),0,$GT22,$GU22,$GT22+$GU22))</f>
        <v/>
      </c>
      <c r="GW22" s="152">
        <f>IF($EJ22=0,0,CHOOSE(1+INDEX($AI$2:$AI$11,$EJ22),0,$GT22,$GU22,$GT22+$GU22))</f>
        <v/>
      </c>
      <c r="GX22" s="152">
        <f>IF(OR($EI22=0,$EJ22=0),"",INDEX($AP$2:$AU$31,($EJ22-1)*3+IF($DZ22&gt;=6,3,2),1+MIN(5,$GV22))&amp;INDEX($AV$2:$BA$31,($EJ22-1)*3+IF($DZ22&gt;=6,3,2),1+MIN(5,$GW22))&amp;IF(INDEX($AJ$2:$AJ$11,$EJ22)=1,IF(COUNTIF($EC22:$EF22,"Mais Um")&gt;0," · +"&amp;COUNTIF($EC22:$EF22,"Mais Um")&amp;IF(COUNTIF($EC22:$EF22,"Mais Um")&gt;1," alvos"," alvo"),"")&amp;IF(COUNTIF($EC22:$EF22,"Rajada")&gt;0," · "&amp;($DZ22+1)&amp;" tiros",""),""))</f>
        <v/>
      </c>
      <c r="GY22" s="152">
        <f>IF($EI22=0,"",3*$DZ22&amp;" − "&amp;$FN22&amp;" + "&amp;$FQ22&amp;IF($DX22=1," + "&amp;$DZ22,"")&amp;" = "&amp;$FT22&amp;"d8 · teto "&amp;4*$DZ22&amp;IF($EW22=1," · a Forma devolve "&amp;$DZ22,"")&amp;IF($FR22&gt;0," · perde "&amp;$FR22,""))</f>
        <v/>
      </c>
      <c r="GZ22" s="152">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2">
        <f>IF(OR($EI22=0,$EL22=0),"","−"&amp;INDEX($Q$2:$V$8,$DZ22,$EL22)&amp;" · "&amp;CHOOSE($EL22,"Leve","Média","Pesada","Leve · Livre","Média · Livre","Pesada · Livre"))</f>
        <v/>
      </c>
      <c r="HB22" s="152">
        <f>IF(OR($EI22=0,$EM22=0),"","−"&amp;INDEX($Q$2:$V$8,$DZ22,$EM22)&amp;" · "&amp;CHOOSE($EM22,"Leve","Média","Pesada","Leve · Livre","Média · Livre","Pesada · Livre"))</f>
        <v/>
      </c>
      <c r="HC22" s="152">
        <f>IF(OR($EI22=0,$EN22=0),"","−"&amp;INDEX($Q$2:$V$8,$DZ22,$EN22)&amp;" · "&amp;CHOOSE($EN22,"Leve","Média","Pesada","Leve · Livre","Média · Livre","Pesada · Livre"))</f>
        <v/>
      </c>
      <c r="HD22" s="152">
        <f>IF(OR($EI22=0,$EO22=0),"","−"&amp;INDEX($Q$2:$V$8,$DZ22,$EO22)&amp;" · "&amp;CHOOSE($EO22,"Leve","Média","Pesada","Leve · Livre","Média · Livre","Pesada · Livre"))</f>
        <v/>
      </c>
      <c r="HE22" s="152">
        <f>IF(OR($EI22=0,$EG22=""),"","+"&amp;IF($EZ22=1,CEILING($DZ22/2,1),$DZ22))</f>
        <v/>
      </c>
      <c r="HF22" s="152">
        <f>IF(OR($EI22=0,$EH22=""),"","+"&amp;IF($FA22=1,CEILING($DZ22/2,1),$DZ22))</f>
        <v/>
      </c>
      <c r="HG22" s="152">
        <f>'FICHA AMALDIÇOADA'!$P$181&amp;""</f>
        <v/>
      </c>
      <c r="HH22" s="152">
        <f>IF(AND($EI22=1,$DX22=0),COUNTIFS($EI$2:$EI22,1,$DX$2:$DX22,0),"")</f>
        <v/>
      </c>
      <c r="HJ22" s="150" t="inlineStr">
        <is>
          <t>livres</t>
        </is>
      </c>
      <c r="HK22" s="152">
        <f>$HK$21-$HK$15</f>
        <v/>
      </c>
      <c r="JF22" s="152" t="n">
        <v>21</v>
      </c>
      <c r="JG22" s="152">
        <f>IFERROR(MATCH(21,$HH$2:$HH$37,0),0)</f>
        <v/>
      </c>
      <c r="JH22" s="152">
        <f>IF($JG22=0,"",INDEX($DZ$2:$DZ$37,$JG22))</f>
        <v/>
      </c>
      <c r="JI22" s="152">
        <f>IF($JG22=0,"",INDEX($EA$2:$EA$37,$JG22))</f>
        <v/>
      </c>
      <c r="JJ22" s="152">
        <f>IF($JG22=0,"",INDEX($GP$2:$GP$37,$JG22))</f>
        <v/>
      </c>
      <c r="JK22" s="152">
        <f>IF($JG22=0,"",INDEX($EB$2:$EB$37,$JG22))</f>
        <v/>
      </c>
      <c r="JL22" s="152">
        <f>IF($JG22=0,"",INDEX($GR$2:$GR$37,$JG22))</f>
        <v/>
      </c>
      <c r="JM22" s="152">
        <f>IF($JG22=0,"",INDEX($HG$2:$HG$37,$JG22))</f>
        <v/>
      </c>
      <c r="KS22" s="150" t="inlineStr">
        <is>
          <t>Q42</t>
        </is>
      </c>
      <c r="KT22" s="152">
        <f>IF(DADOS_AM!$HK$20=1,"⚠ ","")&amp;DADOS_AM!$HK$19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K23" s="152" t="n">
        <v>0</v>
      </c>
      <c r="BM23" s="150" t="inlineStr">
        <is>
          <t>Restrição Própria (Leve)</t>
        </is>
      </c>
      <c r="BN23" s="150" t="inlineStr">
        <is>
          <t>Restrição Própria</t>
        </is>
      </c>
      <c r="BO23" s="152" t="n">
        <v>1</v>
      </c>
      <c r="BP23" s="152" t="n">
        <v>0</v>
      </c>
      <c r="BQ23" s="150" t="inlineStr">
        <is>
          <t>Restrição Própria (Leve)</t>
        </is>
      </c>
      <c r="BS23" s="150" t="inlineStr">
        <is>
          <t>Contragolpe</t>
        </is>
      </c>
      <c r="BT23" s="152" t="n">
        <v>2</v>
      </c>
      <c r="BU23" s="150" t="inlineStr">
        <is>
          <t>Quando uma criatura errar um ataque corpo a corpo contra você, pode guardar uma resposta contra ela. Sua próxima rolagem de ataque de uma Kata contra essa criatura tem vantagem. O benefício termina depois dessa rolagem ou ao fim da cena.</t>
        </is>
      </c>
      <c r="BV23" s="152" t="n">
        <v>0</v>
      </c>
      <c r="BW23" s="152" t="n">
        <v>1</v>
      </c>
      <c r="BX23" s="152">
        <f>IF(OR(AND($A$2&lt;=2,$BV23=1),AND($A$2&gt;=2,$BW23=1)),$BS23,"")</f>
        <v/>
      </c>
      <c r="BY23" s="150" t="inlineStr">
        <is>
          <t>Quando uma criatura errar um ataque corpo a corpo contra você, pode guardar uma resposta contra ela. Sua próxima rolagem de ataque de uma Kata contra essa criatura tem vantagem. O benefício termina depois dessa rolagem ou ao fim da cena.</t>
        </is>
      </c>
      <c r="CD23" s="150" t="inlineStr">
        <is>
          <t>Presilha</t>
        </is>
      </c>
      <c r="CE23" s="150" t="inlineStr">
        <is>
          <t>Lapidação 4 e Força 4</t>
        </is>
      </c>
      <c r="CF23" s="152" t="n">
        <v>2</v>
      </c>
      <c r="CG23" s="150" t="inlineStr">
        <is>
          <t>—</t>
        </is>
      </c>
      <c r="CH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2">
        <f>IF($CL23=1,"",IF($A$2=4,IF($CJ23=1,$CD23,""),IF(OR($CJ23=1,AND($A$2=3,$CK23=1)),"",$CD23)))</f>
        <v/>
      </c>
      <c r="CJ23" s="152" t="n">
        <v>1</v>
      </c>
      <c r="CK23" s="152" t="n">
        <v>0</v>
      </c>
      <c r="CL23" s="152" t="n">
        <v>0</v>
      </c>
      <c r="CM23" s="150" t="inlineStr">
        <is>
          <t>Uma vez por rodada, quando uma criatura passar num TR para evitar que você a agarre, derrube ou mova à força, pode obrigá-la a repetir esse TR.</t>
        </is>
      </c>
      <c r="DW23" s="150" t="inlineStr">
        <is>
          <t>Feitiço 22</t>
        </is>
      </c>
      <c r="DX23" s="152" t="n">
        <v>0</v>
      </c>
      <c r="DY23" s="152" t="n">
        <v>22</v>
      </c>
      <c r="DZ23" s="152">
        <f>MAX(1,MIN(7,N('FICHA AMALDIÇOADA'!$D$200)))</f>
        <v/>
      </c>
      <c r="EA23" s="152">
        <f>'FICHA AMALDIÇOADA'!$E$200&amp;""</f>
        <v/>
      </c>
      <c r="EB23" s="152">
        <f>'FICHA AMALDIÇOADA'!$D$207&amp;""</f>
        <v/>
      </c>
      <c r="EC23" s="152">
        <f>'FICHA AMALDIÇOADA'!$E$209&amp;""</f>
        <v/>
      </c>
      <c r="ED23" s="152">
        <f>'FICHA AMALDIÇOADA'!$E$210&amp;""</f>
        <v/>
      </c>
      <c r="EE23" s="152">
        <f>'FICHA AMALDIÇOADA'!$E$211&amp;""</f>
        <v/>
      </c>
      <c r="EF23" s="152">
        <f>'FICHA AMALDIÇOADA'!$E$212&amp;""</f>
        <v/>
      </c>
      <c r="EG23" s="152">
        <f>'FICHA AMALDIÇOADA'!$E$213&amp;""</f>
        <v/>
      </c>
      <c r="EH23" s="152">
        <f>'FICHA AMALDIÇOADA'!$E$214&amp;""</f>
        <v/>
      </c>
      <c r="EI23" s="152">
        <f>IF($EA23&lt;&gt;"",1,0)</f>
        <v/>
      </c>
      <c r="EJ23" s="152">
        <f>IFERROR(MATCH($EB23,$Y$2:$Y$11,0),0)</f>
        <v/>
      </c>
      <c r="EK23" s="152">
        <f>IF($EJ23=0,0,INDEX($AB$2:$AB$11,$EJ23))</f>
        <v/>
      </c>
      <c r="EL23" s="152">
        <f>IFERROR(VLOOKUP($EC23,$BC$2:$BK$84,4,FALSE),0)</f>
        <v/>
      </c>
      <c r="EM23" s="152">
        <f>IFERROR(VLOOKUP($ED23,$BC$2:$BK$84,4,FALSE),0)</f>
        <v/>
      </c>
      <c r="EN23" s="152">
        <f>IFERROR(VLOOKUP($EE23,$BC$2:$BK$84,4,FALSE),0)</f>
        <v/>
      </c>
      <c r="EO23" s="152">
        <f>IFERROR(VLOOKUP($EF23,$BC$2:$BK$84,4,FALSE),0)</f>
        <v/>
      </c>
      <c r="EP23" s="152">
        <f>IF($EJ23=0,0,INDEX($AC$2:$AC$11,$EJ23))</f>
        <v/>
      </c>
      <c r="EQ23" s="152">
        <f>IFERROR(VLOOKUP($EC23,$BC$2:$BK$84,5,FALSE),0)</f>
        <v/>
      </c>
      <c r="ER23" s="152">
        <f>IFERROR(VLOOKUP($ED23,$BC$2:$BK$84,5,FALSE),0)</f>
        <v/>
      </c>
      <c r="ES23" s="152">
        <f>IFERROR(VLOOKUP($EE23,$BC$2:$BK$84,5,FALSE),0)</f>
        <v/>
      </c>
      <c r="ET23" s="152">
        <f>IFERROR(VLOOKUP($EF23,$BC$2:$BK$84,5,FALSE),0)</f>
        <v/>
      </c>
      <c r="EU23" s="152">
        <f>IFERROR(VLOOKUP($EC23,$BC$2:$BK$84,6,FALSE),0)+IFERROR(VLOOKUP($ED23,$BC$2:$BK$84,6,FALSE),0)+IFERROR(VLOOKUP($EE23,$BC$2:$BK$84,6,FALSE),0)+IFERROR(VLOOKUP($EF23,$BC$2:$BK$84,6,FALSE),0)</f>
        <v/>
      </c>
      <c r="EV23" s="152">
        <f>IFERROR(VLOOKUP($EC23,$BC$2:$BK$84,9,FALSE),0)+IFERROR(VLOOKUP($ED23,$BC$2:$BK$84,9,FALSE),0)+IFERROR(VLOOKUP($EE23,$BC$2:$BK$84,9,FALSE),0)+IFERROR(VLOOKUP($EF23,$BC$2:$BK$84,9,FALSE),0)</f>
        <v/>
      </c>
      <c r="EW23" s="152">
        <f>IF($EJ23=0,0,INDEX($AD$2:$AD$11,$EJ23))</f>
        <v/>
      </c>
      <c r="EX23" s="152">
        <f>IF($EJ23=0,0,INDEX($AE$2:$AE$11,$EJ23))</f>
        <v/>
      </c>
      <c r="EY23" s="152">
        <f>IF($EJ23=0,0,INDEX($AG$2:$AG$11,$EJ23))</f>
        <v/>
      </c>
      <c r="EZ23" s="152">
        <f>IFERROR(VLOOKUP($EG23,$BM$2:$BQ$24,3,FALSE),0)</f>
        <v/>
      </c>
      <c r="FA23" s="152">
        <f>IFERROR(VLOOKUP($EH23,$BM$2:$BQ$24,3,FALSE),0)</f>
        <v/>
      </c>
      <c r="FB23" s="152">
        <f>IFERROR(VLOOKUP($EG23,$BM$2:$BQ$24,2,FALSE),"")</f>
        <v/>
      </c>
      <c r="FC23" s="152">
        <f>IFERROR(VLOOKUP($EH23,$BM$2:$BQ$24,2,FALSE),"")</f>
        <v/>
      </c>
      <c r="FD23" s="152">
        <f>COUNTIF($EK23:$EO23,1)</f>
        <v/>
      </c>
      <c r="FE23" s="152">
        <f>COUNTIF($EK23:$EO23,2)</f>
        <v/>
      </c>
      <c r="FF23" s="152">
        <f>COUNTIF($EK23:$EO23,3)</f>
        <v/>
      </c>
      <c r="FG23" s="152">
        <f>COUNTIF($EK23:$EO23,4)</f>
        <v/>
      </c>
      <c r="FH23" s="152">
        <f>COUNTIF($EK23:$EO23,5)</f>
        <v/>
      </c>
      <c r="FI23" s="152">
        <f>COUNTIF($EK23:$EO23,6)</f>
        <v/>
      </c>
      <c r="FJ23" s="152">
        <f>COUNTIF($EZ23:$FA23,1)</f>
        <v/>
      </c>
      <c r="FK23" s="152">
        <f>COUNTIF($EZ23:$FA23,2)+$EW23</f>
        <v/>
      </c>
      <c r="FL23" s="152">
        <f>COUNTIF($EC23:$EF23,"?*")</f>
        <v/>
      </c>
      <c r="FM23" s="152">
        <f>COUNTIF($EG23:$EH23,"?*")+$EW23</f>
        <v/>
      </c>
      <c r="FN23" s="152">
        <f>SUMPRODUCT($FD23:$FI23,INDEX($Q$2:$V$8,$DZ23,0))</f>
        <v/>
      </c>
      <c r="FO23" s="152">
        <f>$FJ23*CEILING($DZ23/2,1)+$FK23*$DZ23</f>
        <v/>
      </c>
      <c r="FP23" s="152">
        <f>MIN(2*$DZ23,$FO23)</f>
        <v/>
      </c>
      <c r="FQ23" s="152">
        <f>MIN($FP23,$FN23)</f>
        <v/>
      </c>
      <c r="FR23" s="152">
        <f>$FP23-$FQ23</f>
        <v/>
      </c>
      <c r="FS23" s="152">
        <f>3*$DZ23-$FN23+$FQ23</f>
        <v/>
      </c>
      <c r="FT23" s="152">
        <f>MAX(0,$FS23)+$DX23*$DZ23</f>
        <v/>
      </c>
      <c r="FU23" s="152">
        <f>(IF(COUNTIF($EC23:$EF23,"Salto")&gt;0,1,0)+IF(COUNTIF($EC23:$EF23,"Queima")&gt;0,1,0)+IF(COUNTIF($EC23:$EF23,"Estilhaço")&gt;0,1,0))*FLOOR($FT23/2,1)</f>
        <v/>
      </c>
      <c r="FV23" s="152">
        <f>MAX(0,3-SUMPRODUCT($FD23:$FI23,$Q$2:$V$2)+MIN(2,$FJ23*1+$FK23*1,SUMPRODUCT($FD23:$FI23,$Q$2:$V$2)))+$DX23*1</f>
        <v/>
      </c>
      <c r="FW23" s="152">
        <f>MAX(0,6-SUMPRODUCT($FD23:$FI23,$Q$3:$V$3)+MIN(4,$FJ23*1+$FK23*2,SUMPRODUCT($FD23:$FI23,$Q$3:$V$3)))+$DX23*2</f>
        <v/>
      </c>
      <c r="FX23" s="152">
        <f>MAX(0,9-SUMPRODUCT($FD23:$FI23,$Q$4:$V$4)+MIN(6,$FJ23*2+$FK23*3,SUMPRODUCT($FD23:$FI23,$Q$4:$V$4)))+$DX23*3</f>
        <v/>
      </c>
      <c r="FY23" s="152">
        <f>MAX(0,12-SUMPRODUCT($FD23:$FI23,$Q$5:$V$5)+MIN(8,$FJ23*2+$FK23*4,SUMPRODUCT($FD23:$FI23,$Q$5:$V$5)))+$DX23*4</f>
        <v/>
      </c>
      <c r="FZ23" s="152">
        <f>MAX(0,15-SUMPRODUCT($FD23:$FI23,$Q$6:$V$6)+MIN(10,$FJ23*3+$FK23*5,SUMPRODUCT($FD23:$FI23,$Q$6:$V$6)))+$DX23*5</f>
        <v/>
      </c>
      <c r="GA23" s="152">
        <f>MAX(0,18-SUMPRODUCT($FD23:$FI23,$Q$7:$V$7)+MIN(12,$FJ23*3+$FK23*6,SUMPRODUCT($FD23:$FI23,$Q$7:$V$7)))+$DX23*6</f>
        <v/>
      </c>
      <c r="GB23" s="152">
        <f>MAX(0,21-SUMPRODUCT($FD23:$FI23,$Q$8:$V$8)+MIN(14,$FJ23*4+$FK23*7,SUMPRODUCT($FD23:$FI23,$Q$8:$V$8)))+$DX23*7</f>
        <v/>
      </c>
      <c r="GC23" s="152">
        <f>IF($EX23=2,3*$FV23&amp;" de vida temp.",IF($EX23=3,"sem dano",IF($FV23=0,IF($EX23=1,"sem cura","sem dano"),IF($EX23=1,"cura ","")&amp;$FV23&amp;"d8")))</f>
        <v/>
      </c>
      <c r="GD23" s="152">
        <f>IF($EX23=2,3*$FW23&amp;" de vida temp.",IF($EX23=3,"sem dano",IF($FW23=0,IF($EX23=1,"sem cura","sem dano"),IF($EX23=1,"cura ","")&amp;$FW23&amp;"d8")))</f>
        <v/>
      </c>
      <c r="GE23" s="152">
        <f>IF($EX23=2,3*$FX23&amp;" de vida temp.",IF($EX23=3,"sem dano",IF($FX23=0,IF($EX23=1,"sem cura","sem dano"),IF($EX23=1,"cura ","")&amp;$FX23&amp;"d8")))</f>
        <v/>
      </c>
      <c r="GF23" s="152">
        <f>IF($EX23=2,3*$FY23&amp;" de vida temp.",IF($EX23=3,"sem dano",IF($FY23=0,IF($EX23=1,"sem cura","sem dano"),IF($EX23=1,"cura ","")&amp;$FY23&amp;"d8")))</f>
        <v/>
      </c>
      <c r="GG23" s="152">
        <f>IF($EX23=2,3*$FZ23&amp;" de vida temp.",IF($EX23=3,"sem dano",IF($FZ23=0,IF($EX23=1,"sem cura","sem dano"),IF($EX23=1,"cura ","")&amp;$FZ23&amp;"d8")))</f>
        <v/>
      </c>
      <c r="GH23" s="152">
        <f>IF($EX23=2,3*$GA23&amp;" de vida temp.",IF($EX23=3,"sem dano",IF($GA23=0,IF($EX23=1,"sem cura","sem dano"),IF($EX23=1,"cura ","")&amp;$GA23&amp;"d8")))</f>
        <v/>
      </c>
      <c r="GI23" s="152">
        <f>IF($EX23=2,3*$GB23&amp;" de vida temp.",IF($EX23=3,"sem dano",IF($GB23=0,IF($EX23=1,"sem cura","sem dano"),IF($EX23=1,"cura ","")&amp;$GB23&amp;"d8")))</f>
        <v/>
      </c>
      <c r="GJ23" s="152">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2">
        <f>IF($GJ23="",0,(LEN($GJ23)-LEN(SUBSTITUTE($GJ23," · ","")))/3+1)</f>
        <v/>
      </c>
      <c r="GL23" s="152">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2">
        <f>IF($GL23="",0,(LEN($GL23)-LEN(SUBSTITUTE($GL23," · ","")))/3+1)</f>
        <v/>
      </c>
      <c r="GN23" s="152">
        <f>IF($EI23=0,IF($FL23+$FM23-$EW23&gt;0,"Dê um nome",""),IF($GK23&gt;0,"⚠ "&amp;$GK23&amp;IF($GK23&gt;1," erros"," erro"),IF($GM23&gt;0,"! "&amp;$GM23&amp;IF($GM23&gt;1," avisos"," aviso"),"Na regra")))</f>
        <v/>
      </c>
      <c r="GO23" s="152">
        <f>IF($EI23=0,"",IF($GK23+$GM23=0,"Dentro das regras que a ficha confere",$GJ23&amp;IF(AND($GK23&gt;0,$GM23&gt;0)," · ","")&amp;$GL23))</f>
        <v/>
      </c>
      <c r="GP23" s="152">
        <f>IF($EI23=0,"",IF($DX23=1,CEILING(4.5*$DZ23,1),3*$DZ23)&amp;" PE")</f>
        <v/>
      </c>
      <c r="GQ23" s="152">
        <f>IF($EI23=0,"",IF($DX23=1,"Rodada inteira",IF(COUNTIF($FB23:$FC23,"Atrasar")&gt;0,IF(COUNTIF($FB23:$FC23,"Carregar")&gt;0,"Rodada +1 turno","Rodada inteira"),IF(COUNTIF($EC23:$EF23,"Rápido")&gt;0,"Bônus",IF(COUNTIF($EC23:$EF23,"Reação")&gt;0,"Reação","Padrão"))&amp;IF(COUNTIF($FB23:$FC23,"Carregar")&gt;0," +1 turno",""))))</f>
        <v/>
      </c>
      <c r="GR23" s="152">
        <f>IF(OR($EI23=0,$EJ23=0),"",IF(COUNTIF($EC23:$EF23,"Inescapável")&gt;0,"Automático",IF(COUNTIF($EC23:$EF23,"Certeiro")&gt;0,"TR para metade",IF(AND($EV23&gt;0,$EY23=0,INDEX($AF$2:$AF$11,$EJ23)="Acerto"),"Acerto + TR",INDEX($AF$2:$AF$11,$EJ23)))))</f>
        <v/>
      </c>
      <c r="GS23" s="152">
        <f>IF(OR($EI23=0,$EJ23=0),"",IF(OR($EX23&gt;=2,$FT23=0),UPPER(LEFT(INDEX($GC23:$GI23,1,$DZ23),1))&amp;MID(INDEX($GC23:$GI23,1,$DZ23),2,99),UPPER(LEFT(INDEX($GC23:$GI23,1,$DZ23),1))&amp;MID(INDEX($GC23:$GI23,1,$DZ23),2,99)&amp;" = "&amp;FLOOR($FT23*4.5,1)&amp;IF($FU23&gt;0," · +"&amp;$FU23&amp;"d8","")))</f>
        <v/>
      </c>
      <c r="GT23" s="152">
        <f>COUNTIF($EC23:$EF23,"Longe")+3*COUNTIF($EC23:$EF23,"Muito Longe")</f>
        <v/>
      </c>
      <c r="GU23" s="152">
        <f>COUNTIF($EC23:$EF23,"Maior")+3*COUNTIF($EC23:$EF23,"Muito Maior")</f>
        <v/>
      </c>
      <c r="GV23" s="152">
        <f>IF($EJ23=0,0,CHOOSE(1+INDEX($AH$2:$AH$11,$EJ23),0,$GT23,$GU23,$GT23+$GU23))</f>
        <v/>
      </c>
      <c r="GW23" s="152">
        <f>IF($EJ23=0,0,CHOOSE(1+INDEX($AI$2:$AI$11,$EJ23),0,$GT23,$GU23,$GT23+$GU23))</f>
        <v/>
      </c>
      <c r="GX23" s="152">
        <f>IF(OR($EI23=0,$EJ23=0),"",INDEX($AP$2:$AU$31,($EJ23-1)*3+IF($DZ23&gt;=6,3,2),1+MIN(5,$GV23))&amp;INDEX($AV$2:$BA$31,($EJ23-1)*3+IF($DZ23&gt;=6,3,2),1+MIN(5,$GW23))&amp;IF(INDEX($AJ$2:$AJ$11,$EJ23)=1,IF(COUNTIF($EC23:$EF23,"Mais Um")&gt;0," · +"&amp;COUNTIF($EC23:$EF23,"Mais Um")&amp;IF(COUNTIF($EC23:$EF23,"Mais Um")&gt;1," alvos"," alvo"),"")&amp;IF(COUNTIF($EC23:$EF23,"Rajada")&gt;0," · "&amp;($DZ23+1)&amp;" tiros",""),""))</f>
        <v/>
      </c>
      <c r="GY23" s="152">
        <f>IF($EI23=0,"",3*$DZ23&amp;" − "&amp;$FN23&amp;" + "&amp;$FQ23&amp;IF($DX23=1," + "&amp;$DZ23,"")&amp;" = "&amp;$FT23&amp;"d8 · teto "&amp;4*$DZ23&amp;IF($EW23=1," · a Forma devolve "&amp;$DZ23,"")&amp;IF($FR23&gt;0," · perde "&amp;$FR23,""))</f>
        <v/>
      </c>
      <c r="GZ23" s="152">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2">
        <f>IF(OR($EI23=0,$EL23=0),"","−"&amp;INDEX($Q$2:$V$8,$DZ23,$EL23)&amp;" · "&amp;CHOOSE($EL23,"Leve","Média","Pesada","Leve · Livre","Média · Livre","Pesada · Livre"))</f>
        <v/>
      </c>
      <c r="HB23" s="152">
        <f>IF(OR($EI23=0,$EM23=0),"","−"&amp;INDEX($Q$2:$V$8,$DZ23,$EM23)&amp;" · "&amp;CHOOSE($EM23,"Leve","Média","Pesada","Leve · Livre","Média · Livre","Pesada · Livre"))</f>
        <v/>
      </c>
      <c r="HC23" s="152">
        <f>IF(OR($EI23=0,$EN23=0),"","−"&amp;INDEX($Q$2:$V$8,$DZ23,$EN23)&amp;" · "&amp;CHOOSE($EN23,"Leve","Média","Pesada","Leve · Livre","Média · Livre","Pesada · Livre"))</f>
        <v/>
      </c>
      <c r="HD23" s="152">
        <f>IF(OR($EI23=0,$EO23=0),"","−"&amp;INDEX($Q$2:$V$8,$DZ23,$EO23)&amp;" · "&amp;CHOOSE($EO23,"Leve","Média","Pesada","Leve · Livre","Média · Livre","Pesada · Livre"))</f>
        <v/>
      </c>
      <c r="HE23" s="152">
        <f>IF(OR($EI23=0,$EG23=""),"","+"&amp;IF($EZ23=1,CEILING($DZ23/2,1),$DZ23))</f>
        <v/>
      </c>
      <c r="HF23" s="152">
        <f>IF(OR($EI23=0,$EH23=""),"","+"&amp;IF($FA23=1,CEILING($DZ23/2,1),$DZ23))</f>
        <v/>
      </c>
      <c r="HG23" s="152">
        <f>'FICHA AMALDIÇOADA'!$D$202&amp;""</f>
        <v/>
      </c>
      <c r="HH23" s="152">
        <f>IF(AND($EI23=1,$DX23=0),COUNTIFS($EI$2:$EI23,1,$DX$2:$DX23,0),"")</f>
        <v/>
      </c>
      <c r="HJ23" s="150" t="inlineStr">
        <is>
          <t>passivas pagas</t>
        </is>
      </c>
      <c r="HK23" s="152">
        <f>IF('FICHA AMALDIÇOADA'!$D$379&lt;&gt;"",1,0)+IF('FICHA AMALDIÇOADA'!$J$379&lt;&gt;"",1,0)+IF('FICHA AMALDIÇOADA'!$P$379&lt;&gt;"",1,0)+IF('FICHA AMALDIÇOADA'!$D$387&lt;&gt;"",1,0)+IF('FICHA AMALDIÇOADA'!$J$387&lt;&gt;"",1,0)</f>
        <v/>
      </c>
      <c r="JF23" s="152" t="n">
        <v>22</v>
      </c>
      <c r="JG23" s="152">
        <f>IFERROR(MATCH(22,$HH$2:$HH$37,0),0)</f>
        <v/>
      </c>
      <c r="JH23" s="152">
        <f>IF($JG23=0,"",INDEX($DZ$2:$DZ$37,$JG23))</f>
        <v/>
      </c>
      <c r="JI23" s="152">
        <f>IF($JG23=0,"",INDEX($EA$2:$EA$37,$JG23))</f>
        <v/>
      </c>
      <c r="JJ23" s="152">
        <f>IF($JG23=0,"",INDEX($GP$2:$GP$37,$JG23))</f>
        <v/>
      </c>
      <c r="JK23" s="152">
        <f>IF($JG23=0,"",INDEX($EB$2:$EB$37,$JG23))</f>
        <v/>
      </c>
      <c r="JL23" s="152">
        <f>IF($JG23=0,"",INDEX($GR$2:$GR$37,$JG23))</f>
        <v/>
      </c>
      <c r="JM23" s="152">
        <f>IF($JG23=0,"",INDEX($HG$2:$HG$37,$JG23))</f>
        <v/>
      </c>
      <c r="KS23" s="150" t="inlineStr">
        <is>
          <t>R42</t>
        </is>
      </c>
      <c r="KT23" s="152">
        <f>IF(DADOS_AM!$HK$22&lt;0,"⚠ ","")&amp;DADOS_AM!$HK$22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K24" s="152" t="n">
        <v>0</v>
      </c>
      <c r="BM24" s="150" t="inlineStr">
        <is>
          <t>Restrição Própria (Média)</t>
        </is>
      </c>
      <c r="BN24" s="150" t="inlineStr">
        <is>
          <t>Restrição Própria</t>
        </is>
      </c>
      <c r="BO24" s="152" t="n">
        <v>2</v>
      </c>
      <c r="BP24" s="152" t="n">
        <v>0</v>
      </c>
      <c r="BQ24" s="150" t="inlineStr"/>
      <c r="BS24" s="150" t="inlineStr">
        <is>
          <t>Aliança</t>
        </is>
      </c>
      <c r="BT24" s="152" t="n">
        <v>3</v>
      </c>
      <c r="BU24" s="150" t="inlineStr">
        <is>
          <t>Escolha uma de suas armas ao adquirir este Talento. Ela não pode ser desarmada contra sua vontade e somente você pode empunhá-la para utilizá-la.</t>
        </is>
      </c>
      <c r="BV24" s="152" t="n">
        <v>0</v>
      </c>
      <c r="BW24" s="152" t="n">
        <v>1</v>
      </c>
      <c r="BX24" s="152">
        <f>IF(OR(AND($A$2&lt;=2,$BV24=1),AND($A$2&gt;=2,$BW24=1)),$BS24,"")</f>
        <v/>
      </c>
      <c r="BY24" s="150" t="inlineStr">
        <is>
          <t>Escolha uma de suas armas ao adquirir este Talento. Ela não pode ser desarmada contra sua vontade e somente você pode empunhá-la para utilizá-la.</t>
        </is>
      </c>
      <c r="CD24" s="150" t="inlineStr">
        <is>
          <t>Vigília</t>
        </is>
      </c>
      <c r="CE24" s="150" t="inlineStr">
        <is>
          <t>Lapidação 4</t>
        </is>
      </c>
      <c r="CF24" s="152" t="n">
        <v>2</v>
      </c>
      <c r="CG24" s="150" t="inlineStr">
        <is>
          <t>—</t>
        </is>
      </c>
      <c r="CH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2">
        <f>IF($CL24=1,"",IF($A$2=4,IF($CJ24=1,$CD24,""),IF(OR($CJ24=1,AND($A$2=3,$CK24=1)),"",$CD24)))</f>
        <v/>
      </c>
      <c r="CJ24" s="152" t="n">
        <v>1</v>
      </c>
      <c r="CK24" s="152" t="n">
        <v>0</v>
      </c>
      <c r="CL24" s="152" t="n">
        <v>0</v>
      </c>
      <c r="CM24" s="150" t="inlineStr">
        <is>
          <t>Ao aplicar as consequências de Exaustão, conte um estágio a menos, até o mínimo de zero.</t>
        </is>
      </c>
      <c r="DW24" s="150" t="inlineStr">
        <is>
          <t>Feitiço 23</t>
        </is>
      </c>
      <c r="DX24" s="152" t="n">
        <v>0</v>
      </c>
      <c r="DY24" s="152" t="n">
        <v>23</v>
      </c>
      <c r="DZ24" s="152">
        <f>MAX(1,MIN(7,N('FICHA AMALDIÇOADA'!$J$200)))</f>
        <v/>
      </c>
      <c r="EA24" s="152">
        <f>'FICHA AMALDIÇOADA'!$K$200&amp;""</f>
        <v/>
      </c>
      <c r="EB24" s="152">
        <f>'FICHA AMALDIÇOADA'!$J$207&amp;""</f>
        <v/>
      </c>
      <c r="EC24" s="152">
        <f>'FICHA AMALDIÇOADA'!$K$209&amp;""</f>
        <v/>
      </c>
      <c r="ED24" s="152">
        <f>'FICHA AMALDIÇOADA'!$K$210&amp;""</f>
        <v/>
      </c>
      <c r="EE24" s="152">
        <f>'FICHA AMALDIÇOADA'!$K$211&amp;""</f>
        <v/>
      </c>
      <c r="EF24" s="152">
        <f>'FICHA AMALDIÇOADA'!$K$212&amp;""</f>
        <v/>
      </c>
      <c r="EG24" s="152">
        <f>'FICHA AMALDIÇOADA'!$K$213&amp;""</f>
        <v/>
      </c>
      <c r="EH24" s="152">
        <f>'FICHA AMALDIÇOADA'!$K$214&amp;""</f>
        <v/>
      </c>
      <c r="EI24" s="152">
        <f>IF($EA24&lt;&gt;"",1,0)</f>
        <v/>
      </c>
      <c r="EJ24" s="152">
        <f>IFERROR(MATCH($EB24,$Y$2:$Y$11,0),0)</f>
        <v/>
      </c>
      <c r="EK24" s="152">
        <f>IF($EJ24=0,0,INDEX($AB$2:$AB$11,$EJ24))</f>
        <v/>
      </c>
      <c r="EL24" s="152">
        <f>IFERROR(VLOOKUP($EC24,$BC$2:$BK$84,4,FALSE),0)</f>
        <v/>
      </c>
      <c r="EM24" s="152">
        <f>IFERROR(VLOOKUP($ED24,$BC$2:$BK$84,4,FALSE),0)</f>
        <v/>
      </c>
      <c r="EN24" s="152">
        <f>IFERROR(VLOOKUP($EE24,$BC$2:$BK$84,4,FALSE),0)</f>
        <v/>
      </c>
      <c r="EO24" s="152">
        <f>IFERROR(VLOOKUP($EF24,$BC$2:$BK$84,4,FALSE),0)</f>
        <v/>
      </c>
      <c r="EP24" s="152">
        <f>IF($EJ24=0,0,INDEX($AC$2:$AC$11,$EJ24))</f>
        <v/>
      </c>
      <c r="EQ24" s="152">
        <f>IFERROR(VLOOKUP($EC24,$BC$2:$BK$84,5,FALSE),0)</f>
        <v/>
      </c>
      <c r="ER24" s="152">
        <f>IFERROR(VLOOKUP($ED24,$BC$2:$BK$84,5,FALSE),0)</f>
        <v/>
      </c>
      <c r="ES24" s="152">
        <f>IFERROR(VLOOKUP($EE24,$BC$2:$BK$84,5,FALSE),0)</f>
        <v/>
      </c>
      <c r="ET24" s="152">
        <f>IFERROR(VLOOKUP($EF24,$BC$2:$BK$84,5,FALSE),0)</f>
        <v/>
      </c>
      <c r="EU24" s="152">
        <f>IFERROR(VLOOKUP($EC24,$BC$2:$BK$84,6,FALSE),0)+IFERROR(VLOOKUP($ED24,$BC$2:$BK$84,6,FALSE),0)+IFERROR(VLOOKUP($EE24,$BC$2:$BK$84,6,FALSE),0)+IFERROR(VLOOKUP($EF24,$BC$2:$BK$84,6,FALSE),0)</f>
        <v/>
      </c>
      <c r="EV24" s="152">
        <f>IFERROR(VLOOKUP($EC24,$BC$2:$BK$84,9,FALSE),0)+IFERROR(VLOOKUP($ED24,$BC$2:$BK$84,9,FALSE),0)+IFERROR(VLOOKUP($EE24,$BC$2:$BK$84,9,FALSE),0)+IFERROR(VLOOKUP($EF24,$BC$2:$BK$84,9,FALSE),0)</f>
        <v/>
      </c>
      <c r="EW24" s="152">
        <f>IF($EJ24=0,0,INDEX($AD$2:$AD$11,$EJ24))</f>
        <v/>
      </c>
      <c r="EX24" s="152">
        <f>IF($EJ24=0,0,INDEX($AE$2:$AE$11,$EJ24))</f>
        <v/>
      </c>
      <c r="EY24" s="152">
        <f>IF($EJ24=0,0,INDEX($AG$2:$AG$11,$EJ24))</f>
        <v/>
      </c>
      <c r="EZ24" s="152">
        <f>IFERROR(VLOOKUP($EG24,$BM$2:$BQ$24,3,FALSE),0)</f>
        <v/>
      </c>
      <c r="FA24" s="152">
        <f>IFERROR(VLOOKUP($EH24,$BM$2:$BQ$24,3,FALSE),0)</f>
        <v/>
      </c>
      <c r="FB24" s="152">
        <f>IFERROR(VLOOKUP($EG24,$BM$2:$BQ$24,2,FALSE),"")</f>
        <v/>
      </c>
      <c r="FC24" s="152">
        <f>IFERROR(VLOOKUP($EH24,$BM$2:$BQ$24,2,FALSE),"")</f>
        <v/>
      </c>
      <c r="FD24" s="152">
        <f>COUNTIF($EK24:$EO24,1)</f>
        <v/>
      </c>
      <c r="FE24" s="152">
        <f>COUNTIF($EK24:$EO24,2)</f>
        <v/>
      </c>
      <c r="FF24" s="152">
        <f>COUNTIF($EK24:$EO24,3)</f>
        <v/>
      </c>
      <c r="FG24" s="152">
        <f>COUNTIF($EK24:$EO24,4)</f>
        <v/>
      </c>
      <c r="FH24" s="152">
        <f>COUNTIF($EK24:$EO24,5)</f>
        <v/>
      </c>
      <c r="FI24" s="152">
        <f>COUNTIF($EK24:$EO24,6)</f>
        <v/>
      </c>
      <c r="FJ24" s="152">
        <f>COUNTIF($EZ24:$FA24,1)</f>
        <v/>
      </c>
      <c r="FK24" s="152">
        <f>COUNTIF($EZ24:$FA24,2)+$EW24</f>
        <v/>
      </c>
      <c r="FL24" s="152">
        <f>COUNTIF($EC24:$EF24,"?*")</f>
        <v/>
      </c>
      <c r="FM24" s="152">
        <f>COUNTIF($EG24:$EH24,"?*")+$EW24</f>
        <v/>
      </c>
      <c r="FN24" s="152">
        <f>SUMPRODUCT($FD24:$FI24,INDEX($Q$2:$V$8,$DZ24,0))</f>
        <v/>
      </c>
      <c r="FO24" s="152">
        <f>$FJ24*CEILING($DZ24/2,1)+$FK24*$DZ24</f>
        <v/>
      </c>
      <c r="FP24" s="152">
        <f>MIN(2*$DZ24,$FO24)</f>
        <v/>
      </c>
      <c r="FQ24" s="152">
        <f>MIN($FP24,$FN24)</f>
        <v/>
      </c>
      <c r="FR24" s="152">
        <f>$FP24-$FQ24</f>
        <v/>
      </c>
      <c r="FS24" s="152">
        <f>3*$DZ24-$FN24+$FQ24</f>
        <v/>
      </c>
      <c r="FT24" s="152">
        <f>MAX(0,$FS24)+$DX24*$DZ24</f>
        <v/>
      </c>
      <c r="FU24" s="152">
        <f>(IF(COUNTIF($EC24:$EF24,"Salto")&gt;0,1,0)+IF(COUNTIF($EC24:$EF24,"Queima")&gt;0,1,0)+IF(COUNTIF($EC24:$EF24,"Estilhaço")&gt;0,1,0))*FLOOR($FT24/2,1)</f>
        <v/>
      </c>
      <c r="FV24" s="152">
        <f>MAX(0,3-SUMPRODUCT($FD24:$FI24,$Q$2:$V$2)+MIN(2,$FJ24*1+$FK24*1,SUMPRODUCT($FD24:$FI24,$Q$2:$V$2)))+$DX24*1</f>
        <v/>
      </c>
      <c r="FW24" s="152">
        <f>MAX(0,6-SUMPRODUCT($FD24:$FI24,$Q$3:$V$3)+MIN(4,$FJ24*1+$FK24*2,SUMPRODUCT($FD24:$FI24,$Q$3:$V$3)))+$DX24*2</f>
        <v/>
      </c>
      <c r="FX24" s="152">
        <f>MAX(0,9-SUMPRODUCT($FD24:$FI24,$Q$4:$V$4)+MIN(6,$FJ24*2+$FK24*3,SUMPRODUCT($FD24:$FI24,$Q$4:$V$4)))+$DX24*3</f>
        <v/>
      </c>
      <c r="FY24" s="152">
        <f>MAX(0,12-SUMPRODUCT($FD24:$FI24,$Q$5:$V$5)+MIN(8,$FJ24*2+$FK24*4,SUMPRODUCT($FD24:$FI24,$Q$5:$V$5)))+$DX24*4</f>
        <v/>
      </c>
      <c r="FZ24" s="152">
        <f>MAX(0,15-SUMPRODUCT($FD24:$FI24,$Q$6:$V$6)+MIN(10,$FJ24*3+$FK24*5,SUMPRODUCT($FD24:$FI24,$Q$6:$V$6)))+$DX24*5</f>
        <v/>
      </c>
      <c r="GA24" s="152">
        <f>MAX(0,18-SUMPRODUCT($FD24:$FI24,$Q$7:$V$7)+MIN(12,$FJ24*3+$FK24*6,SUMPRODUCT($FD24:$FI24,$Q$7:$V$7)))+$DX24*6</f>
        <v/>
      </c>
      <c r="GB24" s="152">
        <f>MAX(0,21-SUMPRODUCT($FD24:$FI24,$Q$8:$V$8)+MIN(14,$FJ24*4+$FK24*7,SUMPRODUCT($FD24:$FI24,$Q$8:$V$8)))+$DX24*7</f>
        <v/>
      </c>
      <c r="GC24" s="152">
        <f>IF($EX24=2,3*$FV24&amp;" de vida temp.",IF($EX24=3,"sem dano",IF($FV24=0,IF($EX24=1,"sem cura","sem dano"),IF($EX24=1,"cura ","")&amp;$FV24&amp;"d8")))</f>
        <v/>
      </c>
      <c r="GD24" s="152">
        <f>IF($EX24=2,3*$FW24&amp;" de vida temp.",IF($EX24=3,"sem dano",IF($FW24=0,IF($EX24=1,"sem cura","sem dano"),IF($EX24=1,"cura ","")&amp;$FW24&amp;"d8")))</f>
        <v/>
      </c>
      <c r="GE24" s="152">
        <f>IF($EX24=2,3*$FX24&amp;" de vida temp.",IF($EX24=3,"sem dano",IF($FX24=0,IF($EX24=1,"sem cura","sem dano"),IF($EX24=1,"cura ","")&amp;$FX24&amp;"d8")))</f>
        <v/>
      </c>
      <c r="GF24" s="152">
        <f>IF($EX24=2,3*$FY24&amp;" de vida temp.",IF($EX24=3,"sem dano",IF($FY24=0,IF($EX24=1,"sem cura","sem dano"),IF($EX24=1,"cura ","")&amp;$FY24&amp;"d8")))</f>
        <v/>
      </c>
      <c r="GG24" s="152">
        <f>IF($EX24=2,3*$FZ24&amp;" de vida temp.",IF($EX24=3,"sem dano",IF($FZ24=0,IF($EX24=1,"sem cura","sem dano"),IF($EX24=1,"cura ","")&amp;$FZ24&amp;"d8")))</f>
        <v/>
      </c>
      <c r="GH24" s="152">
        <f>IF($EX24=2,3*$GA24&amp;" de vida temp.",IF($EX24=3,"sem dano",IF($GA24=0,IF($EX24=1,"sem cura","sem dano"),IF($EX24=1,"cura ","")&amp;$GA24&amp;"d8")))</f>
        <v/>
      </c>
      <c r="GI24" s="152">
        <f>IF($EX24=2,3*$GB24&amp;" de vida temp.",IF($EX24=3,"sem dano",IF($GB24=0,IF($EX24=1,"sem cura","sem dano"),IF($EX24=1,"cura ","")&amp;$GB24&amp;"d8")))</f>
        <v/>
      </c>
      <c r="GJ24" s="152">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2">
        <f>IF($GJ24="",0,(LEN($GJ24)-LEN(SUBSTITUTE($GJ24," · ","")))/3+1)</f>
        <v/>
      </c>
      <c r="GL24" s="152">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2">
        <f>IF($GL24="",0,(LEN($GL24)-LEN(SUBSTITUTE($GL24," · ","")))/3+1)</f>
        <v/>
      </c>
      <c r="GN24" s="152">
        <f>IF($EI24=0,IF($FL24+$FM24-$EW24&gt;0,"Dê um nome",""),IF($GK24&gt;0,"⚠ "&amp;$GK24&amp;IF($GK24&gt;1," erros"," erro"),IF($GM24&gt;0,"! "&amp;$GM24&amp;IF($GM24&gt;1," avisos"," aviso"),"Na regra")))</f>
        <v/>
      </c>
      <c r="GO24" s="152">
        <f>IF($EI24=0,"",IF($GK24+$GM24=0,"Dentro das regras que a ficha confere",$GJ24&amp;IF(AND($GK24&gt;0,$GM24&gt;0)," · ","")&amp;$GL24))</f>
        <v/>
      </c>
      <c r="GP24" s="152">
        <f>IF($EI24=0,"",IF($DX24=1,CEILING(4.5*$DZ24,1),3*$DZ24)&amp;" PE")</f>
        <v/>
      </c>
      <c r="GQ24" s="152">
        <f>IF($EI24=0,"",IF($DX24=1,"Rodada inteira",IF(COUNTIF($FB24:$FC24,"Atrasar")&gt;0,IF(COUNTIF($FB24:$FC24,"Carregar")&gt;0,"Rodada +1 turno","Rodada inteira"),IF(COUNTIF($EC24:$EF24,"Rápido")&gt;0,"Bônus",IF(COUNTIF($EC24:$EF24,"Reação")&gt;0,"Reação","Padrão"))&amp;IF(COUNTIF($FB24:$FC24,"Carregar")&gt;0," +1 turno",""))))</f>
        <v/>
      </c>
      <c r="GR24" s="152">
        <f>IF(OR($EI24=0,$EJ24=0),"",IF(COUNTIF($EC24:$EF24,"Inescapável")&gt;0,"Automático",IF(COUNTIF($EC24:$EF24,"Certeiro")&gt;0,"TR para metade",IF(AND($EV24&gt;0,$EY24=0,INDEX($AF$2:$AF$11,$EJ24)="Acerto"),"Acerto + TR",INDEX($AF$2:$AF$11,$EJ24)))))</f>
        <v/>
      </c>
      <c r="GS24" s="152">
        <f>IF(OR($EI24=0,$EJ24=0),"",IF(OR($EX24&gt;=2,$FT24=0),UPPER(LEFT(INDEX($GC24:$GI24,1,$DZ24),1))&amp;MID(INDEX($GC24:$GI24,1,$DZ24),2,99),UPPER(LEFT(INDEX($GC24:$GI24,1,$DZ24),1))&amp;MID(INDEX($GC24:$GI24,1,$DZ24),2,99)&amp;" = "&amp;FLOOR($FT24*4.5,1)&amp;IF($FU24&gt;0," · +"&amp;$FU24&amp;"d8","")))</f>
        <v/>
      </c>
      <c r="GT24" s="152">
        <f>COUNTIF($EC24:$EF24,"Longe")+3*COUNTIF($EC24:$EF24,"Muito Longe")</f>
        <v/>
      </c>
      <c r="GU24" s="152">
        <f>COUNTIF($EC24:$EF24,"Maior")+3*COUNTIF($EC24:$EF24,"Muito Maior")</f>
        <v/>
      </c>
      <c r="GV24" s="152">
        <f>IF($EJ24=0,0,CHOOSE(1+INDEX($AH$2:$AH$11,$EJ24),0,$GT24,$GU24,$GT24+$GU24))</f>
        <v/>
      </c>
      <c r="GW24" s="152">
        <f>IF($EJ24=0,0,CHOOSE(1+INDEX($AI$2:$AI$11,$EJ24),0,$GT24,$GU24,$GT24+$GU24))</f>
        <v/>
      </c>
      <c r="GX24" s="152">
        <f>IF(OR($EI24=0,$EJ24=0),"",INDEX($AP$2:$AU$31,($EJ24-1)*3+IF($DZ24&gt;=6,3,2),1+MIN(5,$GV24))&amp;INDEX($AV$2:$BA$31,($EJ24-1)*3+IF($DZ24&gt;=6,3,2),1+MIN(5,$GW24))&amp;IF(INDEX($AJ$2:$AJ$11,$EJ24)=1,IF(COUNTIF($EC24:$EF24,"Mais Um")&gt;0," · +"&amp;COUNTIF($EC24:$EF24,"Mais Um")&amp;IF(COUNTIF($EC24:$EF24,"Mais Um")&gt;1," alvos"," alvo"),"")&amp;IF(COUNTIF($EC24:$EF24,"Rajada")&gt;0," · "&amp;($DZ24+1)&amp;" tiros",""),""))</f>
        <v/>
      </c>
      <c r="GY24" s="152">
        <f>IF($EI24=0,"",3*$DZ24&amp;" − "&amp;$FN24&amp;" + "&amp;$FQ24&amp;IF($DX24=1," + "&amp;$DZ24,"")&amp;" = "&amp;$FT24&amp;"d8 · teto "&amp;4*$DZ24&amp;IF($EW24=1," · a Forma devolve "&amp;$DZ24,"")&amp;IF($FR24&gt;0," · perde "&amp;$FR24,""))</f>
        <v/>
      </c>
      <c r="GZ24" s="152">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2">
        <f>IF(OR($EI24=0,$EL24=0),"","−"&amp;INDEX($Q$2:$V$8,$DZ24,$EL24)&amp;" · "&amp;CHOOSE($EL24,"Leve","Média","Pesada","Leve · Livre","Média · Livre","Pesada · Livre"))</f>
        <v/>
      </c>
      <c r="HB24" s="152">
        <f>IF(OR($EI24=0,$EM24=0),"","−"&amp;INDEX($Q$2:$V$8,$DZ24,$EM24)&amp;" · "&amp;CHOOSE($EM24,"Leve","Média","Pesada","Leve · Livre","Média · Livre","Pesada · Livre"))</f>
        <v/>
      </c>
      <c r="HC24" s="152">
        <f>IF(OR($EI24=0,$EN24=0),"","−"&amp;INDEX($Q$2:$V$8,$DZ24,$EN24)&amp;" · "&amp;CHOOSE($EN24,"Leve","Média","Pesada","Leve · Livre","Média · Livre","Pesada · Livre"))</f>
        <v/>
      </c>
      <c r="HD24" s="152">
        <f>IF(OR($EI24=0,$EO24=0),"","−"&amp;INDEX($Q$2:$V$8,$DZ24,$EO24)&amp;" · "&amp;CHOOSE($EO24,"Leve","Média","Pesada","Leve · Livre","Média · Livre","Pesada · Livre"))</f>
        <v/>
      </c>
      <c r="HE24" s="152">
        <f>IF(OR($EI24=0,$EG24=""),"","+"&amp;IF($EZ24=1,CEILING($DZ24/2,1),$DZ24))</f>
        <v/>
      </c>
      <c r="HF24" s="152">
        <f>IF(OR($EI24=0,$EH24=""),"","+"&amp;IF($FA24=1,CEILING($DZ24/2,1),$DZ24))</f>
        <v/>
      </c>
      <c r="HG24" s="152">
        <f>'FICHA AMALDIÇOADA'!$J$202&amp;""</f>
        <v/>
      </c>
      <c r="HH24" s="152">
        <f>IF(AND($EI24=1,$DX24=0),COUNTIFS($EI$2:$EI24,1,$DX$2:$DX24,0),"")</f>
        <v/>
      </c>
      <c r="HJ24" s="150" t="inlineStr">
        <is>
          <t>passivas do Leque</t>
        </is>
      </c>
      <c r="HK24" s="152">
        <f>IF('FICHA AMALDIÇOADA'!$D$397&lt;&gt;"",1,0)+IF('FICHA AMALDIÇOADA'!$J$397&lt;&gt;"",1,0)+IF('FICHA AMALDIÇOADA'!$P$397&lt;&gt;"",1,0)+IF('FICHA AMALDIÇOADA'!$D$405&lt;&gt;"",1,0)+IF('FICHA AMALDIÇOADA'!$J$405&lt;&gt;"",1,0)+IF('FICHA AMALDIÇOADA'!$P$405&lt;&gt;"",1,0)+IF('FICHA AMALDIÇOADA'!$D$413&lt;&gt;"",1,0)</f>
        <v/>
      </c>
      <c r="JF24" s="152" t="n">
        <v>23</v>
      </c>
      <c r="JG24" s="152">
        <f>IFERROR(MATCH(23,$HH$2:$HH$37,0),0)</f>
        <v/>
      </c>
      <c r="JH24" s="152">
        <f>IF($JG24=0,"",INDEX($DZ$2:$DZ$37,$JG24))</f>
        <v/>
      </c>
      <c r="JI24" s="152">
        <f>IF($JG24=0,"",INDEX($EA$2:$EA$37,$JG24))</f>
        <v/>
      </c>
      <c r="JJ24" s="152">
        <f>IF($JG24=0,"",INDEX($GP$2:$GP$37,$JG24))</f>
        <v/>
      </c>
      <c r="JK24" s="152">
        <f>IF($JG24=0,"",INDEX($EB$2:$EB$37,$JG24))</f>
        <v/>
      </c>
      <c r="JL24" s="152">
        <f>IF($JG24=0,"",INDEX($GR$2:$GR$37,$JG24))</f>
        <v/>
      </c>
      <c r="JM24" s="152">
        <f>IF($JG24=0,"",INDEX($HG$2:$HG$37,$JG24))</f>
        <v/>
      </c>
      <c r="KS24" s="150" t="inlineStr">
        <is>
          <t>E46</t>
        </is>
      </c>
      <c r="KT24" s="152">
        <f>3*DADOS_AM!$HK$29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BK25" s="152" t="n">
        <v>1</v>
      </c>
      <c r="CD25" s="150" t="inlineStr">
        <is>
          <t>Faro</t>
        </is>
      </c>
      <c r="CE25" s="150" t="inlineStr">
        <is>
          <t>Lapidação 1</t>
        </is>
      </c>
      <c r="CF25" s="152" t="n">
        <v>1</v>
      </c>
      <c r="CG25" s="150" t="inlineStr">
        <is>
          <t>—</t>
        </is>
      </c>
      <c r="CH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2">
        <f>IF($CL25=1,"",IF($A$2=4,IF($CJ25=1,$CD25,""),IF(OR($CJ25=1,AND($A$2=3,$CK25=1)),"",$CD25)))</f>
        <v/>
      </c>
      <c r="CJ25" s="152" t="n">
        <v>1</v>
      </c>
      <c r="CK25" s="152" t="n">
        <v>0</v>
      </c>
      <c r="CL25" s="152" t="n">
        <v>0</v>
      </c>
      <c r="CM25" s="150" t="inlineStr">
        <is>
          <t>Você pode seguir feiticeiros e maldições pelos vestígios físicos que deixaram: cheiro, marcas e objetos fora do lugar.</t>
        </is>
      </c>
      <c r="DW25" s="150" t="inlineStr">
        <is>
          <t>Feitiço 24</t>
        </is>
      </c>
      <c r="DX25" s="152" t="n">
        <v>0</v>
      </c>
      <c r="DY25" s="152" t="n">
        <v>24</v>
      </c>
      <c r="DZ25" s="152">
        <f>MAX(1,MIN(7,N('FICHA AMALDIÇOADA'!$P$200)))</f>
        <v/>
      </c>
      <c r="EA25" s="152">
        <f>'FICHA AMALDIÇOADA'!$Q$200&amp;""</f>
        <v/>
      </c>
      <c r="EB25" s="152">
        <f>'FICHA AMALDIÇOADA'!$P$207&amp;""</f>
        <v/>
      </c>
      <c r="EC25" s="152">
        <f>'FICHA AMALDIÇOADA'!$Q$209&amp;""</f>
        <v/>
      </c>
      <c r="ED25" s="152">
        <f>'FICHA AMALDIÇOADA'!$Q$210&amp;""</f>
        <v/>
      </c>
      <c r="EE25" s="152">
        <f>'FICHA AMALDIÇOADA'!$Q$211&amp;""</f>
        <v/>
      </c>
      <c r="EF25" s="152">
        <f>'FICHA AMALDIÇOADA'!$Q$212&amp;""</f>
        <v/>
      </c>
      <c r="EG25" s="152">
        <f>'FICHA AMALDIÇOADA'!$Q$213&amp;""</f>
        <v/>
      </c>
      <c r="EH25" s="152">
        <f>'FICHA AMALDIÇOADA'!$Q$214&amp;""</f>
        <v/>
      </c>
      <c r="EI25" s="152">
        <f>IF($EA25&lt;&gt;"",1,0)</f>
        <v/>
      </c>
      <c r="EJ25" s="152">
        <f>IFERROR(MATCH($EB25,$Y$2:$Y$11,0),0)</f>
        <v/>
      </c>
      <c r="EK25" s="152">
        <f>IF($EJ25=0,0,INDEX($AB$2:$AB$11,$EJ25))</f>
        <v/>
      </c>
      <c r="EL25" s="152">
        <f>IFERROR(VLOOKUP($EC25,$BC$2:$BK$84,4,FALSE),0)</f>
        <v/>
      </c>
      <c r="EM25" s="152">
        <f>IFERROR(VLOOKUP($ED25,$BC$2:$BK$84,4,FALSE),0)</f>
        <v/>
      </c>
      <c r="EN25" s="152">
        <f>IFERROR(VLOOKUP($EE25,$BC$2:$BK$84,4,FALSE),0)</f>
        <v/>
      </c>
      <c r="EO25" s="152">
        <f>IFERROR(VLOOKUP($EF25,$BC$2:$BK$84,4,FALSE),0)</f>
        <v/>
      </c>
      <c r="EP25" s="152">
        <f>IF($EJ25=0,0,INDEX($AC$2:$AC$11,$EJ25))</f>
        <v/>
      </c>
      <c r="EQ25" s="152">
        <f>IFERROR(VLOOKUP($EC25,$BC$2:$BK$84,5,FALSE),0)</f>
        <v/>
      </c>
      <c r="ER25" s="152">
        <f>IFERROR(VLOOKUP($ED25,$BC$2:$BK$84,5,FALSE),0)</f>
        <v/>
      </c>
      <c r="ES25" s="152">
        <f>IFERROR(VLOOKUP($EE25,$BC$2:$BK$84,5,FALSE),0)</f>
        <v/>
      </c>
      <c r="ET25" s="152">
        <f>IFERROR(VLOOKUP($EF25,$BC$2:$BK$84,5,FALSE),0)</f>
        <v/>
      </c>
      <c r="EU25" s="152">
        <f>IFERROR(VLOOKUP($EC25,$BC$2:$BK$84,6,FALSE),0)+IFERROR(VLOOKUP($ED25,$BC$2:$BK$84,6,FALSE),0)+IFERROR(VLOOKUP($EE25,$BC$2:$BK$84,6,FALSE),0)+IFERROR(VLOOKUP($EF25,$BC$2:$BK$84,6,FALSE),0)</f>
        <v/>
      </c>
      <c r="EV25" s="152">
        <f>IFERROR(VLOOKUP($EC25,$BC$2:$BK$84,9,FALSE),0)+IFERROR(VLOOKUP($ED25,$BC$2:$BK$84,9,FALSE),0)+IFERROR(VLOOKUP($EE25,$BC$2:$BK$84,9,FALSE),0)+IFERROR(VLOOKUP($EF25,$BC$2:$BK$84,9,FALSE),0)</f>
        <v/>
      </c>
      <c r="EW25" s="152">
        <f>IF($EJ25=0,0,INDEX($AD$2:$AD$11,$EJ25))</f>
        <v/>
      </c>
      <c r="EX25" s="152">
        <f>IF($EJ25=0,0,INDEX($AE$2:$AE$11,$EJ25))</f>
        <v/>
      </c>
      <c r="EY25" s="152">
        <f>IF($EJ25=0,0,INDEX($AG$2:$AG$11,$EJ25))</f>
        <v/>
      </c>
      <c r="EZ25" s="152">
        <f>IFERROR(VLOOKUP($EG25,$BM$2:$BQ$24,3,FALSE),0)</f>
        <v/>
      </c>
      <c r="FA25" s="152">
        <f>IFERROR(VLOOKUP($EH25,$BM$2:$BQ$24,3,FALSE),0)</f>
        <v/>
      </c>
      <c r="FB25" s="152">
        <f>IFERROR(VLOOKUP($EG25,$BM$2:$BQ$24,2,FALSE),"")</f>
        <v/>
      </c>
      <c r="FC25" s="152">
        <f>IFERROR(VLOOKUP($EH25,$BM$2:$BQ$24,2,FALSE),"")</f>
        <v/>
      </c>
      <c r="FD25" s="152">
        <f>COUNTIF($EK25:$EO25,1)</f>
        <v/>
      </c>
      <c r="FE25" s="152">
        <f>COUNTIF($EK25:$EO25,2)</f>
        <v/>
      </c>
      <c r="FF25" s="152">
        <f>COUNTIF($EK25:$EO25,3)</f>
        <v/>
      </c>
      <c r="FG25" s="152">
        <f>COUNTIF($EK25:$EO25,4)</f>
        <v/>
      </c>
      <c r="FH25" s="152">
        <f>COUNTIF($EK25:$EO25,5)</f>
        <v/>
      </c>
      <c r="FI25" s="152">
        <f>COUNTIF($EK25:$EO25,6)</f>
        <v/>
      </c>
      <c r="FJ25" s="152">
        <f>COUNTIF($EZ25:$FA25,1)</f>
        <v/>
      </c>
      <c r="FK25" s="152">
        <f>COUNTIF($EZ25:$FA25,2)+$EW25</f>
        <v/>
      </c>
      <c r="FL25" s="152">
        <f>COUNTIF($EC25:$EF25,"?*")</f>
        <v/>
      </c>
      <c r="FM25" s="152">
        <f>COUNTIF($EG25:$EH25,"?*")+$EW25</f>
        <v/>
      </c>
      <c r="FN25" s="152">
        <f>SUMPRODUCT($FD25:$FI25,INDEX($Q$2:$V$8,$DZ25,0))</f>
        <v/>
      </c>
      <c r="FO25" s="152">
        <f>$FJ25*CEILING($DZ25/2,1)+$FK25*$DZ25</f>
        <v/>
      </c>
      <c r="FP25" s="152">
        <f>MIN(2*$DZ25,$FO25)</f>
        <v/>
      </c>
      <c r="FQ25" s="152">
        <f>MIN($FP25,$FN25)</f>
        <v/>
      </c>
      <c r="FR25" s="152">
        <f>$FP25-$FQ25</f>
        <v/>
      </c>
      <c r="FS25" s="152">
        <f>3*$DZ25-$FN25+$FQ25</f>
        <v/>
      </c>
      <c r="FT25" s="152">
        <f>MAX(0,$FS25)+$DX25*$DZ25</f>
        <v/>
      </c>
      <c r="FU25" s="152">
        <f>(IF(COUNTIF($EC25:$EF25,"Salto")&gt;0,1,0)+IF(COUNTIF($EC25:$EF25,"Queima")&gt;0,1,0)+IF(COUNTIF($EC25:$EF25,"Estilhaço")&gt;0,1,0))*FLOOR($FT25/2,1)</f>
        <v/>
      </c>
      <c r="FV25" s="152">
        <f>MAX(0,3-SUMPRODUCT($FD25:$FI25,$Q$2:$V$2)+MIN(2,$FJ25*1+$FK25*1,SUMPRODUCT($FD25:$FI25,$Q$2:$V$2)))+$DX25*1</f>
        <v/>
      </c>
      <c r="FW25" s="152">
        <f>MAX(0,6-SUMPRODUCT($FD25:$FI25,$Q$3:$V$3)+MIN(4,$FJ25*1+$FK25*2,SUMPRODUCT($FD25:$FI25,$Q$3:$V$3)))+$DX25*2</f>
        <v/>
      </c>
      <c r="FX25" s="152">
        <f>MAX(0,9-SUMPRODUCT($FD25:$FI25,$Q$4:$V$4)+MIN(6,$FJ25*2+$FK25*3,SUMPRODUCT($FD25:$FI25,$Q$4:$V$4)))+$DX25*3</f>
        <v/>
      </c>
      <c r="FY25" s="152">
        <f>MAX(0,12-SUMPRODUCT($FD25:$FI25,$Q$5:$V$5)+MIN(8,$FJ25*2+$FK25*4,SUMPRODUCT($FD25:$FI25,$Q$5:$V$5)))+$DX25*4</f>
        <v/>
      </c>
      <c r="FZ25" s="152">
        <f>MAX(0,15-SUMPRODUCT($FD25:$FI25,$Q$6:$V$6)+MIN(10,$FJ25*3+$FK25*5,SUMPRODUCT($FD25:$FI25,$Q$6:$V$6)))+$DX25*5</f>
        <v/>
      </c>
      <c r="GA25" s="152">
        <f>MAX(0,18-SUMPRODUCT($FD25:$FI25,$Q$7:$V$7)+MIN(12,$FJ25*3+$FK25*6,SUMPRODUCT($FD25:$FI25,$Q$7:$V$7)))+$DX25*6</f>
        <v/>
      </c>
      <c r="GB25" s="152">
        <f>MAX(0,21-SUMPRODUCT($FD25:$FI25,$Q$8:$V$8)+MIN(14,$FJ25*4+$FK25*7,SUMPRODUCT($FD25:$FI25,$Q$8:$V$8)))+$DX25*7</f>
        <v/>
      </c>
      <c r="GC25" s="152">
        <f>IF($EX25=2,3*$FV25&amp;" de vida temp.",IF($EX25=3,"sem dano",IF($FV25=0,IF($EX25=1,"sem cura","sem dano"),IF($EX25=1,"cura ","")&amp;$FV25&amp;"d8")))</f>
        <v/>
      </c>
      <c r="GD25" s="152">
        <f>IF($EX25=2,3*$FW25&amp;" de vida temp.",IF($EX25=3,"sem dano",IF($FW25=0,IF($EX25=1,"sem cura","sem dano"),IF($EX25=1,"cura ","")&amp;$FW25&amp;"d8")))</f>
        <v/>
      </c>
      <c r="GE25" s="152">
        <f>IF($EX25=2,3*$FX25&amp;" de vida temp.",IF($EX25=3,"sem dano",IF($FX25=0,IF($EX25=1,"sem cura","sem dano"),IF($EX25=1,"cura ","")&amp;$FX25&amp;"d8")))</f>
        <v/>
      </c>
      <c r="GF25" s="152">
        <f>IF($EX25=2,3*$FY25&amp;" de vida temp.",IF($EX25=3,"sem dano",IF($FY25=0,IF($EX25=1,"sem cura","sem dano"),IF($EX25=1,"cura ","")&amp;$FY25&amp;"d8")))</f>
        <v/>
      </c>
      <c r="GG25" s="152">
        <f>IF($EX25=2,3*$FZ25&amp;" de vida temp.",IF($EX25=3,"sem dano",IF($FZ25=0,IF($EX25=1,"sem cura","sem dano"),IF($EX25=1,"cura ","")&amp;$FZ25&amp;"d8")))</f>
        <v/>
      </c>
      <c r="GH25" s="152">
        <f>IF($EX25=2,3*$GA25&amp;" de vida temp.",IF($EX25=3,"sem dano",IF($GA25=0,IF($EX25=1,"sem cura","sem dano"),IF($EX25=1,"cura ","")&amp;$GA25&amp;"d8")))</f>
        <v/>
      </c>
      <c r="GI25" s="152">
        <f>IF($EX25=2,3*$GB25&amp;" de vida temp.",IF($EX25=3,"sem dano",IF($GB25=0,IF($EX25=1,"sem cura","sem dano"),IF($EX25=1,"cura ","")&amp;$GB25&amp;"d8")))</f>
        <v/>
      </c>
      <c r="GJ25" s="152">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2">
        <f>IF($GJ25="",0,(LEN($GJ25)-LEN(SUBSTITUTE($GJ25," · ","")))/3+1)</f>
        <v/>
      </c>
      <c r="GL25" s="152">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2">
        <f>IF($GL25="",0,(LEN($GL25)-LEN(SUBSTITUTE($GL25," · ","")))/3+1)</f>
        <v/>
      </c>
      <c r="GN25" s="152">
        <f>IF($EI25=0,IF($FL25+$FM25-$EW25&gt;0,"Dê um nome",""),IF($GK25&gt;0,"⚠ "&amp;$GK25&amp;IF($GK25&gt;1," erros"," erro"),IF($GM25&gt;0,"! "&amp;$GM25&amp;IF($GM25&gt;1," avisos"," aviso"),"Na regra")))</f>
        <v/>
      </c>
      <c r="GO25" s="152">
        <f>IF($EI25=0,"",IF($GK25+$GM25=0,"Dentro das regras que a ficha confere",$GJ25&amp;IF(AND($GK25&gt;0,$GM25&gt;0)," · ","")&amp;$GL25))</f>
        <v/>
      </c>
      <c r="GP25" s="152">
        <f>IF($EI25=0,"",IF($DX25=1,CEILING(4.5*$DZ25,1),3*$DZ25)&amp;" PE")</f>
        <v/>
      </c>
      <c r="GQ25" s="152">
        <f>IF($EI25=0,"",IF($DX25=1,"Rodada inteira",IF(COUNTIF($FB25:$FC25,"Atrasar")&gt;0,IF(COUNTIF($FB25:$FC25,"Carregar")&gt;0,"Rodada +1 turno","Rodada inteira"),IF(COUNTIF($EC25:$EF25,"Rápido")&gt;0,"Bônus",IF(COUNTIF($EC25:$EF25,"Reação")&gt;0,"Reação","Padrão"))&amp;IF(COUNTIF($FB25:$FC25,"Carregar")&gt;0," +1 turno",""))))</f>
        <v/>
      </c>
      <c r="GR25" s="152">
        <f>IF(OR($EI25=0,$EJ25=0),"",IF(COUNTIF($EC25:$EF25,"Inescapável")&gt;0,"Automático",IF(COUNTIF($EC25:$EF25,"Certeiro")&gt;0,"TR para metade",IF(AND($EV25&gt;0,$EY25=0,INDEX($AF$2:$AF$11,$EJ25)="Acerto"),"Acerto + TR",INDEX($AF$2:$AF$11,$EJ25)))))</f>
        <v/>
      </c>
      <c r="GS25" s="152">
        <f>IF(OR($EI25=0,$EJ25=0),"",IF(OR($EX25&gt;=2,$FT25=0),UPPER(LEFT(INDEX($GC25:$GI25,1,$DZ25),1))&amp;MID(INDEX($GC25:$GI25,1,$DZ25),2,99),UPPER(LEFT(INDEX($GC25:$GI25,1,$DZ25),1))&amp;MID(INDEX($GC25:$GI25,1,$DZ25),2,99)&amp;" = "&amp;FLOOR($FT25*4.5,1)&amp;IF($FU25&gt;0," · +"&amp;$FU25&amp;"d8","")))</f>
        <v/>
      </c>
      <c r="GT25" s="152">
        <f>COUNTIF($EC25:$EF25,"Longe")+3*COUNTIF($EC25:$EF25,"Muito Longe")</f>
        <v/>
      </c>
      <c r="GU25" s="152">
        <f>COUNTIF($EC25:$EF25,"Maior")+3*COUNTIF($EC25:$EF25,"Muito Maior")</f>
        <v/>
      </c>
      <c r="GV25" s="152">
        <f>IF($EJ25=0,0,CHOOSE(1+INDEX($AH$2:$AH$11,$EJ25),0,$GT25,$GU25,$GT25+$GU25))</f>
        <v/>
      </c>
      <c r="GW25" s="152">
        <f>IF($EJ25=0,0,CHOOSE(1+INDEX($AI$2:$AI$11,$EJ25),0,$GT25,$GU25,$GT25+$GU25))</f>
        <v/>
      </c>
      <c r="GX25" s="152">
        <f>IF(OR($EI25=0,$EJ25=0),"",INDEX($AP$2:$AU$31,($EJ25-1)*3+IF($DZ25&gt;=6,3,2),1+MIN(5,$GV25))&amp;INDEX($AV$2:$BA$31,($EJ25-1)*3+IF($DZ25&gt;=6,3,2),1+MIN(5,$GW25))&amp;IF(INDEX($AJ$2:$AJ$11,$EJ25)=1,IF(COUNTIF($EC25:$EF25,"Mais Um")&gt;0," · +"&amp;COUNTIF($EC25:$EF25,"Mais Um")&amp;IF(COUNTIF($EC25:$EF25,"Mais Um")&gt;1," alvos"," alvo"),"")&amp;IF(COUNTIF($EC25:$EF25,"Rajada")&gt;0," · "&amp;($DZ25+1)&amp;" tiros",""),""))</f>
        <v/>
      </c>
      <c r="GY25" s="152">
        <f>IF($EI25=0,"",3*$DZ25&amp;" − "&amp;$FN25&amp;" + "&amp;$FQ25&amp;IF($DX25=1," + "&amp;$DZ25,"")&amp;" = "&amp;$FT25&amp;"d8 · teto "&amp;4*$DZ25&amp;IF($EW25=1," · a Forma devolve "&amp;$DZ25,"")&amp;IF($FR25&gt;0," · perde "&amp;$FR25,""))</f>
        <v/>
      </c>
      <c r="GZ25" s="152">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2">
        <f>IF(OR($EI25=0,$EL25=0),"","−"&amp;INDEX($Q$2:$V$8,$DZ25,$EL25)&amp;" · "&amp;CHOOSE($EL25,"Leve","Média","Pesada","Leve · Livre","Média · Livre","Pesada · Livre"))</f>
        <v/>
      </c>
      <c r="HB25" s="152">
        <f>IF(OR($EI25=0,$EM25=0),"","−"&amp;INDEX($Q$2:$V$8,$DZ25,$EM25)&amp;" · "&amp;CHOOSE($EM25,"Leve","Média","Pesada","Leve · Livre","Média · Livre","Pesada · Livre"))</f>
        <v/>
      </c>
      <c r="HC25" s="152">
        <f>IF(OR($EI25=0,$EN25=0),"","−"&amp;INDEX($Q$2:$V$8,$DZ25,$EN25)&amp;" · "&amp;CHOOSE($EN25,"Leve","Média","Pesada","Leve · Livre","Média · Livre","Pesada · Livre"))</f>
        <v/>
      </c>
      <c r="HD25" s="152">
        <f>IF(OR($EI25=0,$EO25=0),"","−"&amp;INDEX($Q$2:$V$8,$DZ25,$EO25)&amp;" · "&amp;CHOOSE($EO25,"Leve","Média","Pesada","Leve · Livre","Média · Livre","Pesada · Livre"))</f>
        <v/>
      </c>
      <c r="HE25" s="152">
        <f>IF(OR($EI25=0,$EG25=""),"","+"&amp;IF($EZ25=1,CEILING($DZ25/2,1),$DZ25))</f>
        <v/>
      </c>
      <c r="HF25" s="152">
        <f>IF(OR($EI25=0,$EH25=""),"","+"&amp;IF($FA25=1,CEILING($DZ25/2,1),$DZ25))</f>
        <v/>
      </c>
      <c r="HG25" s="152">
        <f>'FICHA AMALDIÇOADA'!$P$202&amp;""</f>
        <v/>
      </c>
      <c r="HH25" s="152">
        <f>IF(AND($EI25=1,$DX25=0),COUNTIFS($EI$2:$EI25,1,$DX$2:$DX25,0),"")</f>
        <v/>
      </c>
      <c r="HJ25" s="150" t="inlineStr">
        <is>
          <t>aptidões anotadas</t>
        </is>
      </c>
      <c r="HK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5" s="152" t="n">
        <v>24</v>
      </c>
      <c r="JG25" s="152">
        <f>IFERROR(MATCH(24,$HH$2:$HH$37,0),0)</f>
        <v/>
      </c>
      <c r="JH25" s="152">
        <f>IF($JG25=0,"",INDEX($DZ$2:$DZ$37,$JG25))</f>
        <v/>
      </c>
      <c r="JI25" s="152">
        <f>IF($JG25=0,"",INDEX($EA$2:$EA$37,$JG25))</f>
        <v/>
      </c>
      <c r="JJ25" s="152">
        <f>IF($JG25=0,"",INDEX($GP$2:$GP$37,$JG25))</f>
        <v/>
      </c>
      <c r="JK25" s="152">
        <f>IF($JG25=0,"",INDEX($EB$2:$EB$37,$JG25))</f>
        <v/>
      </c>
      <c r="JL25" s="152">
        <f>IF($JG25=0,"",INDEX($GR$2:$GR$37,$JG25))</f>
        <v/>
      </c>
      <c r="JM25" s="152">
        <f>IF($JG25=0,"",INDEX($HG$2:$HG$37,$JG25))</f>
        <v/>
      </c>
      <c r="KS25" s="150" t="inlineStr">
        <is>
          <t>F46</t>
        </is>
      </c>
      <c r="KT25" s="152">
        <f>INDEX(DADOS_AM!$P$2:$W$8,DADOS_AM!$HK$29,2)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BK26" s="152" t="n">
        <v>1</v>
      </c>
      <c r="CD26" s="150" t="inlineStr">
        <is>
          <t>Sem Pegada</t>
        </is>
      </c>
      <c r="CE26" s="150" t="inlineStr">
        <is>
          <t>Lapidação 1</t>
        </is>
      </c>
      <c r="CF26" s="152" t="n">
        <v>1</v>
      </c>
      <c r="CG26" s="150" t="inlineStr">
        <is>
          <t>—</t>
        </is>
      </c>
      <c r="CH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2">
        <f>IF($CL26=1,"",IF($A$2=4,IF($CJ26=1,$CD26,""),IF(OR($CJ26=1,AND($A$2=3,$CK26=1)),"",$CD26)))</f>
        <v/>
      </c>
      <c r="CJ26" s="152" t="n">
        <v>1</v>
      </c>
      <c r="CK26" s="152" t="n">
        <v>0</v>
      </c>
      <c r="CL26" s="152" t="n">
        <v>0</v>
      </c>
      <c r="CM26" s="150" t="inlineStr">
        <is>
          <t>Sua passagem não deixa pegadas, cheiro, marcas ou som de passos que possam servir de rastro.</t>
        </is>
      </c>
      <c r="DW26" s="150" t="inlineStr">
        <is>
          <t>Feitiço 25</t>
        </is>
      </c>
      <c r="DX26" s="152" t="n">
        <v>0</v>
      </c>
      <c r="DY26" s="152" t="n">
        <v>25</v>
      </c>
      <c r="DZ26" s="152">
        <f>MAX(1,MIN(7,N('FICHA AMALDIÇOADA'!$D$223)))</f>
        <v/>
      </c>
      <c r="EA26" s="152">
        <f>'FICHA AMALDIÇOADA'!$E$223&amp;""</f>
        <v/>
      </c>
      <c r="EB26" s="152">
        <f>'FICHA AMALDIÇOADA'!$D$230&amp;""</f>
        <v/>
      </c>
      <c r="EC26" s="152">
        <f>'FICHA AMALDIÇOADA'!$E$232&amp;""</f>
        <v/>
      </c>
      <c r="ED26" s="152">
        <f>'FICHA AMALDIÇOADA'!$E$233&amp;""</f>
        <v/>
      </c>
      <c r="EE26" s="152">
        <f>'FICHA AMALDIÇOADA'!$E$234&amp;""</f>
        <v/>
      </c>
      <c r="EF26" s="152">
        <f>'FICHA AMALDIÇOADA'!$E$235&amp;""</f>
        <v/>
      </c>
      <c r="EG26" s="152">
        <f>'FICHA AMALDIÇOADA'!$E$236&amp;""</f>
        <v/>
      </c>
      <c r="EH26" s="152">
        <f>'FICHA AMALDIÇOADA'!$E$237&amp;""</f>
        <v/>
      </c>
      <c r="EI26" s="152">
        <f>IF($EA26&lt;&gt;"",1,0)</f>
        <v/>
      </c>
      <c r="EJ26" s="152">
        <f>IFERROR(MATCH($EB26,$Y$2:$Y$11,0),0)</f>
        <v/>
      </c>
      <c r="EK26" s="152">
        <f>IF($EJ26=0,0,INDEX($AB$2:$AB$11,$EJ26))</f>
        <v/>
      </c>
      <c r="EL26" s="152">
        <f>IFERROR(VLOOKUP($EC26,$BC$2:$BK$84,4,FALSE),0)</f>
        <v/>
      </c>
      <c r="EM26" s="152">
        <f>IFERROR(VLOOKUP($ED26,$BC$2:$BK$84,4,FALSE),0)</f>
        <v/>
      </c>
      <c r="EN26" s="152">
        <f>IFERROR(VLOOKUP($EE26,$BC$2:$BK$84,4,FALSE),0)</f>
        <v/>
      </c>
      <c r="EO26" s="152">
        <f>IFERROR(VLOOKUP($EF26,$BC$2:$BK$84,4,FALSE),0)</f>
        <v/>
      </c>
      <c r="EP26" s="152">
        <f>IF($EJ26=0,0,INDEX($AC$2:$AC$11,$EJ26))</f>
        <v/>
      </c>
      <c r="EQ26" s="152">
        <f>IFERROR(VLOOKUP($EC26,$BC$2:$BK$84,5,FALSE),0)</f>
        <v/>
      </c>
      <c r="ER26" s="152">
        <f>IFERROR(VLOOKUP($ED26,$BC$2:$BK$84,5,FALSE),0)</f>
        <v/>
      </c>
      <c r="ES26" s="152">
        <f>IFERROR(VLOOKUP($EE26,$BC$2:$BK$84,5,FALSE),0)</f>
        <v/>
      </c>
      <c r="ET26" s="152">
        <f>IFERROR(VLOOKUP($EF26,$BC$2:$BK$84,5,FALSE),0)</f>
        <v/>
      </c>
      <c r="EU26" s="152">
        <f>IFERROR(VLOOKUP($EC26,$BC$2:$BK$84,6,FALSE),0)+IFERROR(VLOOKUP($ED26,$BC$2:$BK$84,6,FALSE),0)+IFERROR(VLOOKUP($EE26,$BC$2:$BK$84,6,FALSE),0)+IFERROR(VLOOKUP($EF26,$BC$2:$BK$84,6,FALSE),0)</f>
        <v/>
      </c>
      <c r="EV26" s="152">
        <f>IFERROR(VLOOKUP($EC26,$BC$2:$BK$84,9,FALSE),0)+IFERROR(VLOOKUP($ED26,$BC$2:$BK$84,9,FALSE),0)+IFERROR(VLOOKUP($EE26,$BC$2:$BK$84,9,FALSE),0)+IFERROR(VLOOKUP($EF26,$BC$2:$BK$84,9,FALSE),0)</f>
        <v/>
      </c>
      <c r="EW26" s="152">
        <f>IF($EJ26=0,0,INDEX($AD$2:$AD$11,$EJ26))</f>
        <v/>
      </c>
      <c r="EX26" s="152">
        <f>IF($EJ26=0,0,INDEX($AE$2:$AE$11,$EJ26))</f>
        <v/>
      </c>
      <c r="EY26" s="152">
        <f>IF($EJ26=0,0,INDEX($AG$2:$AG$11,$EJ26))</f>
        <v/>
      </c>
      <c r="EZ26" s="152">
        <f>IFERROR(VLOOKUP($EG26,$BM$2:$BQ$24,3,FALSE),0)</f>
        <v/>
      </c>
      <c r="FA26" s="152">
        <f>IFERROR(VLOOKUP($EH26,$BM$2:$BQ$24,3,FALSE),0)</f>
        <v/>
      </c>
      <c r="FB26" s="152">
        <f>IFERROR(VLOOKUP($EG26,$BM$2:$BQ$24,2,FALSE),"")</f>
        <v/>
      </c>
      <c r="FC26" s="152">
        <f>IFERROR(VLOOKUP($EH26,$BM$2:$BQ$24,2,FALSE),"")</f>
        <v/>
      </c>
      <c r="FD26" s="152">
        <f>COUNTIF($EK26:$EO26,1)</f>
        <v/>
      </c>
      <c r="FE26" s="152">
        <f>COUNTIF($EK26:$EO26,2)</f>
        <v/>
      </c>
      <c r="FF26" s="152">
        <f>COUNTIF($EK26:$EO26,3)</f>
        <v/>
      </c>
      <c r="FG26" s="152">
        <f>COUNTIF($EK26:$EO26,4)</f>
        <v/>
      </c>
      <c r="FH26" s="152">
        <f>COUNTIF($EK26:$EO26,5)</f>
        <v/>
      </c>
      <c r="FI26" s="152">
        <f>COUNTIF($EK26:$EO26,6)</f>
        <v/>
      </c>
      <c r="FJ26" s="152">
        <f>COUNTIF($EZ26:$FA26,1)</f>
        <v/>
      </c>
      <c r="FK26" s="152">
        <f>COUNTIF($EZ26:$FA26,2)+$EW26</f>
        <v/>
      </c>
      <c r="FL26" s="152">
        <f>COUNTIF($EC26:$EF26,"?*")</f>
        <v/>
      </c>
      <c r="FM26" s="152">
        <f>COUNTIF($EG26:$EH26,"?*")+$EW26</f>
        <v/>
      </c>
      <c r="FN26" s="152">
        <f>SUMPRODUCT($FD26:$FI26,INDEX($Q$2:$V$8,$DZ26,0))</f>
        <v/>
      </c>
      <c r="FO26" s="152">
        <f>$FJ26*CEILING($DZ26/2,1)+$FK26*$DZ26</f>
        <v/>
      </c>
      <c r="FP26" s="152">
        <f>MIN(2*$DZ26,$FO26)</f>
        <v/>
      </c>
      <c r="FQ26" s="152">
        <f>MIN($FP26,$FN26)</f>
        <v/>
      </c>
      <c r="FR26" s="152">
        <f>$FP26-$FQ26</f>
        <v/>
      </c>
      <c r="FS26" s="152">
        <f>3*$DZ26-$FN26+$FQ26</f>
        <v/>
      </c>
      <c r="FT26" s="152">
        <f>MAX(0,$FS26)+$DX26*$DZ26</f>
        <v/>
      </c>
      <c r="FU26" s="152">
        <f>(IF(COUNTIF($EC26:$EF26,"Salto")&gt;0,1,0)+IF(COUNTIF($EC26:$EF26,"Queima")&gt;0,1,0)+IF(COUNTIF($EC26:$EF26,"Estilhaço")&gt;0,1,0))*FLOOR($FT26/2,1)</f>
        <v/>
      </c>
      <c r="FV26" s="152">
        <f>MAX(0,3-SUMPRODUCT($FD26:$FI26,$Q$2:$V$2)+MIN(2,$FJ26*1+$FK26*1,SUMPRODUCT($FD26:$FI26,$Q$2:$V$2)))+$DX26*1</f>
        <v/>
      </c>
      <c r="FW26" s="152">
        <f>MAX(0,6-SUMPRODUCT($FD26:$FI26,$Q$3:$V$3)+MIN(4,$FJ26*1+$FK26*2,SUMPRODUCT($FD26:$FI26,$Q$3:$V$3)))+$DX26*2</f>
        <v/>
      </c>
      <c r="FX26" s="152">
        <f>MAX(0,9-SUMPRODUCT($FD26:$FI26,$Q$4:$V$4)+MIN(6,$FJ26*2+$FK26*3,SUMPRODUCT($FD26:$FI26,$Q$4:$V$4)))+$DX26*3</f>
        <v/>
      </c>
      <c r="FY26" s="152">
        <f>MAX(0,12-SUMPRODUCT($FD26:$FI26,$Q$5:$V$5)+MIN(8,$FJ26*2+$FK26*4,SUMPRODUCT($FD26:$FI26,$Q$5:$V$5)))+$DX26*4</f>
        <v/>
      </c>
      <c r="FZ26" s="152">
        <f>MAX(0,15-SUMPRODUCT($FD26:$FI26,$Q$6:$V$6)+MIN(10,$FJ26*3+$FK26*5,SUMPRODUCT($FD26:$FI26,$Q$6:$V$6)))+$DX26*5</f>
        <v/>
      </c>
      <c r="GA26" s="152">
        <f>MAX(0,18-SUMPRODUCT($FD26:$FI26,$Q$7:$V$7)+MIN(12,$FJ26*3+$FK26*6,SUMPRODUCT($FD26:$FI26,$Q$7:$V$7)))+$DX26*6</f>
        <v/>
      </c>
      <c r="GB26" s="152">
        <f>MAX(0,21-SUMPRODUCT($FD26:$FI26,$Q$8:$V$8)+MIN(14,$FJ26*4+$FK26*7,SUMPRODUCT($FD26:$FI26,$Q$8:$V$8)))+$DX26*7</f>
        <v/>
      </c>
      <c r="GC26" s="152">
        <f>IF($EX26=2,3*$FV26&amp;" de vida temp.",IF($EX26=3,"sem dano",IF($FV26=0,IF($EX26=1,"sem cura","sem dano"),IF($EX26=1,"cura ","")&amp;$FV26&amp;"d8")))</f>
        <v/>
      </c>
      <c r="GD26" s="152">
        <f>IF($EX26=2,3*$FW26&amp;" de vida temp.",IF($EX26=3,"sem dano",IF($FW26=0,IF($EX26=1,"sem cura","sem dano"),IF($EX26=1,"cura ","")&amp;$FW26&amp;"d8")))</f>
        <v/>
      </c>
      <c r="GE26" s="152">
        <f>IF($EX26=2,3*$FX26&amp;" de vida temp.",IF($EX26=3,"sem dano",IF($FX26=0,IF($EX26=1,"sem cura","sem dano"),IF($EX26=1,"cura ","")&amp;$FX26&amp;"d8")))</f>
        <v/>
      </c>
      <c r="GF26" s="152">
        <f>IF($EX26=2,3*$FY26&amp;" de vida temp.",IF($EX26=3,"sem dano",IF($FY26=0,IF($EX26=1,"sem cura","sem dano"),IF($EX26=1,"cura ","")&amp;$FY26&amp;"d8")))</f>
        <v/>
      </c>
      <c r="GG26" s="152">
        <f>IF($EX26=2,3*$FZ26&amp;" de vida temp.",IF($EX26=3,"sem dano",IF($FZ26=0,IF($EX26=1,"sem cura","sem dano"),IF($EX26=1,"cura ","")&amp;$FZ26&amp;"d8")))</f>
        <v/>
      </c>
      <c r="GH26" s="152">
        <f>IF($EX26=2,3*$GA26&amp;" de vida temp.",IF($EX26=3,"sem dano",IF($GA26=0,IF($EX26=1,"sem cura","sem dano"),IF($EX26=1,"cura ","")&amp;$GA26&amp;"d8")))</f>
        <v/>
      </c>
      <c r="GI26" s="152">
        <f>IF($EX26=2,3*$GB26&amp;" de vida temp.",IF($EX26=3,"sem dano",IF($GB26=0,IF($EX26=1,"sem cura","sem dano"),IF($EX26=1,"cura ","")&amp;$GB26&amp;"d8")))</f>
        <v/>
      </c>
      <c r="GJ26" s="152">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2">
        <f>IF($GJ26="",0,(LEN($GJ26)-LEN(SUBSTITUTE($GJ26," · ","")))/3+1)</f>
        <v/>
      </c>
      <c r="GL26" s="152">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2">
        <f>IF($GL26="",0,(LEN($GL26)-LEN(SUBSTITUTE($GL26," · ","")))/3+1)</f>
        <v/>
      </c>
      <c r="GN26" s="152">
        <f>IF($EI26=0,IF($FL26+$FM26-$EW26&gt;0,"Dê um nome",""),IF($GK26&gt;0,"⚠ "&amp;$GK26&amp;IF($GK26&gt;1," erros"," erro"),IF($GM26&gt;0,"! "&amp;$GM26&amp;IF($GM26&gt;1," avisos"," aviso"),"Na regra")))</f>
        <v/>
      </c>
      <c r="GO26" s="152">
        <f>IF($EI26=0,"",IF($GK26+$GM26=0,"Dentro das regras que a ficha confere",$GJ26&amp;IF(AND($GK26&gt;0,$GM26&gt;0)," · ","")&amp;$GL26))</f>
        <v/>
      </c>
      <c r="GP26" s="152">
        <f>IF($EI26=0,"",IF($DX26=1,CEILING(4.5*$DZ26,1),3*$DZ26)&amp;" PE")</f>
        <v/>
      </c>
      <c r="GQ26" s="152">
        <f>IF($EI26=0,"",IF($DX26=1,"Rodada inteira",IF(COUNTIF($FB26:$FC26,"Atrasar")&gt;0,IF(COUNTIF($FB26:$FC26,"Carregar")&gt;0,"Rodada +1 turno","Rodada inteira"),IF(COUNTIF($EC26:$EF26,"Rápido")&gt;0,"Bônus",IF(COUNTIF($EC26:$EF26,"Reação")&gt;0,"Reação","Padrão"))&amp;IF(COUNTIF($FB26:$FC26,"Carregar")&gt;0," +1 turno",""))))</f>
        <v/>
      </c>
      <c r="GR26" s="152">
        <f>IF(OR($EI26=0,$EJ26=0),"",IF(COUNTIF($EC26:$EF26,"Inescapável")&gt;0,"Automático",IF(COUNTIF($EC26:$EF26,"Certeiro")&gt;0,"TR para metade",IF(AND($EV26&gt;0,$EY26=0,INDEX($AF$2:$AF$11,$EJ26)="Acerto"),"Acerto + TR",INDEX($AF$2:$AF$11,$EJ26)))))</f>
        <v/>
      </c>
      <c r="GS26" s="152">
        <f>IF(OR($EI26=0,$EJ26=0),"",IF(OR($EX26&gt;=2,$FT26=0),UPPER(LEFT(INDEX($GC26:$GI26,1,$DZ26),1))&amp;MID(INDEX($GC26:$GI26,1,$DZ26),2,99),UPPER(LEFT(INDEX($GC26:$GI26,1,$DZ26),1))&amp;MID(INDEX($GC26:$GI26,1,$DZ26),2,99)&amp;" = "&amp;FLOOR($FT26*4.5,1)&amp;IF($FU26&gt;0," · +"&amp;$FU26&amp;"d8","")))</f>
        <v/>
      </c>
      <c r="GT26" s="152">
        <f>COUNTIF($EC26:$EF26,"Longe")+3*COUNTIF($EC26:$EF26,"Muito Longe")</f>
        <v/>
      </c>
      <c r="GU26" s="152">
        <f>COUNTIF($EC26:$EF26,"Maior")+3*COUNTIF($EC26:$EF26,"Muito Maior")</f>
        <v/>
      </c>
      <c r="GV26" s="152">
        <f>IF($EJ26=0,0,CHOOSE(1+INDEX($AH$2:$AH$11,$EJ26),0,$GT26,$GU26,$GT26+$GU26))</f>
        <v/>
      </c>
      <c r="GW26" s="152">
        <f>IF($EJ26=0,0,CHOOSE(1+INDEX($AI$2:$AI$11,$EJ26),0,$GT26,$GU26,$GT26+$GU26))</f>
        <v/>
      </c>
      <c r="GX26" s="152">
        <f>IF(OR($EI26=0,$EJ26=0),"",INDEX($AP$2:$AU$31,($EJ26-1)*3+IF($DZ26&gt;=6,3,2),1+MIN(5,$GV26))&amp;INDEX($AV$2:$BA$31,($EJ26-1)*3+IF($DZ26&gt;=6,3,2),1+MIN(5,$GW26))&amp;IF(INDEX($AJ$2:$AJ$11,$EJ26)=1,IF(COUNTIF($EC26:$EF26,"Mais Um")&gt;0," · +"&amp;COUNTIF($EC26:$EF26,"Mais Um")&amp;IF(COUNTIF($EC26:$EF26,"Mais Um")&gt;1," alvos"," alvo"),"")&amp;IF(COUNTIF($EC26:$EF26,"Rajada")&gt;0," · "&amp;($DZ26+1)&amp;" tiros",""),""))</f>
        <v/>
      </c>
      <c r="GY26" s="152">
        <f>IF($EI26=0,"",3*$DZ26&amp;" − "&amp;$FN26&amp;" + "&amp;$FQ26&amp;IF($DX26=1," + "&amp;$DZ26,"")&amp;" = "&amp;$FT26&amp;"d8 · teto "&amp;4*$DZ26&amp;IF($EW26=1," · a Forma devolve "&amp;$DZ26,"")&amp;IF($FR26&gt;0," · perde "&amp;$FR26,""))</f>
        <v/>
      </c>
      <c r="GZ26" s="152">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2">
        <f>IF(OR($EI26=0,$EL26=0),"","−"&amp;INDEX($Q$2:$V$8,$DZ26,$EL26)&amp;" · "&amp;CHOOSE($EL26,"Leve","Média","Pesada","Leve · Livre","Média · Livre","Pesada · Livre"))</f>
        <v/>
      </c>
      <c r="HB26" s="152">
        <f>IF(OR($EI26=0,$EM26=0),"","−"&amp;INDEX($Q$2:$V$8,$DZ26,$EM26)&amp;" · "&amp;CHOOSE($EM26,"Leve","Média","Pesada","Leve · Livre","Média · Livre","Pesada · Livre"))</f>
        <v/>
      </c>
      <c r="HC26" s="152">
        <f>IF(OR($EI26=0,$EN26=0),"","−"&amp;INDEX($Q$2:$V$8,$DZ26,$EN26)&amp;" · "&amp;CHOOSE($EN26,"Leve","Média","Pesada","Leve · Livre","Média · Livre","Pesada · Livre"))</f>
        <v/>
      </c>
      <c r="HD26" s="152">
        <f>IF(OR($EI26=0,$EO26=0),"","−"&amp;INDEX($Q$2:$V$8,$DZ26,$EO26)&amp;" · "&amp;CHOOSE($EO26,"Leve","Média","Pesada","Leve · Livre","Média · Livre","Pesada · Livre"))</f>
        <v/>
      </c>
      <c r="HE26" s="152">
        <f>IF(OR($EI26=0,$EG26=""),"","+"&amp;IF($EZ26=1,CEILING($DZ26/2,1),$DZ26))</f>
        <v/>
      </c>
      <c r="HF26" s="152">
        <f>IF(OR($EI26=0,$EH26=""),"","+"&amp;IF($FA26=1,CEILING($DZ26/2,1),$DZ26))</f>
        <v/>
      </c>
      <c r="HG26" s="152">
        <f>'FICHA AMALDIÇOADA'!$D$225&amp;""</f>
        <v/>
      </c>
      <c r="HH26" s="152">
        <f>IF(AND($EI26=1,$DX26=0),COUNTIFS($EI$2:$EI26,1,$DX$2:$DX26,0),"")</f>
        <v/>
      </c>
      <c r="HJ26" s="150" t="inlineStr">
        <is>
          <t>aptidões compráveis</t>
        </is>
      </c>
      <c r="HK26" s="152">
        <f>MAX(0,N(DADOS!$AK$36)-2)</f>
        <v/>
      </c>
      <c r="JF26" s="152" t="n">
        <v>25</v>
      </c>
      <c r="JG26" s="152">
        <f>IFERROR(MATCH(25,$HH$2:$HH$37,0),0)</f>
        <v/>
      </c>
      <c r="JH26" s="152">
        <f>IF($JG26=0,"",INDEX($DZ$2:$DZ$37,$JG26))</f>
        <v/>
      </c>
      <c r="JI26" s="152">
        <f>IF($JG26=0,"",INDEX($EA$2:$EA$37,$JG26))</f>
        <v/>
      </c>
      <c r="JJ26" s="152">
        <f>IF($JG26=0,"",INDEX($GP$2:$GP$37,$JG26))</f>
        <v/>
      </c>
      <c r="JK26" s="152">
        <f>IF($JG26=0,"",INDEX($EB$2:$EB$37,$JG26))</f>
        <v/>
      </c>
      <c r="JL26" s="152">
        <f>IF($JG26=0,"",INDEX($GR$2:$GR$37,$JG26))</f>
        <v/>
      </c>
      <c r="JM26" s="152">
        <f>IF($JG26=0,"",INDEX($HG$2:$HG$37,$JG26))</f>
        <v/>
      </c>
      <c r="KS26" s="150" t="inlineStr">
        <is>
          <t>G46</t>
        </is>
      </c>
      <c r="KT26" s="152">
        <f>INDEX(DADOS_AM!$P$2:$W$8,DADOS_AM!$HK$29,3)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BK27" s="152" t="n">
        <v>1</v>
      </c>
      <c r="CD27" s="150" t="inlineStr">
        <is>
          <t>Vulto</t>
        </is>
      </c>
      <c r="CE27" s="150" t="inlineStr">
        <is>
          <t>Lapidação 4</t>
        </is>
      </c>
      <c r="CF27" s="152" t="n">
        <v>2</v>
      </c>
      <c r="CG27" s="150" t="inlineStr">
        <is>
          <t>—</t>
        </is>
      </c>
      <c r="CH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2">
        <f>IF($CL27=1,"",IF($A$2=4,IF($CJ27=1,$CD27,""),IF(OR($CJ27=1,AND($A$2=3,$CK27=1)),"",$CD27)))</f>
        <v/>
      </c>
      <c r="CJ27" s="152" t="n">
        <v>1</v>
      </c>
      <c r="CK27" s="152" t="n">
        <v>0</v>
      </c>
      <c r="CL27" s="152" t="n">
        <v>0</v>
      </c>
      <c r="CM27" s="150" t="inlineStr">
        <is>
          <t>Você possui visão às cegas a até 1,5 m × metade da Lapidação, arredondada para baixo.</t>
        </is>
      </c>
      <c r="DW27" s="150" t="inlineStr">
        <is>
          <t>Feitiço 26</t>
        </is>
      </c>
      <c r="DX27" s="152" t="n">
        <v>0</v>
      </c>
      <c r="DY27" s="152" t="n">
        <v>26</v>
      </c>
      <c r="DZ27" s="152">
        <f>MAX(1,MIN(7,N('FICHA AMALDIÇOADA'!$J$223)))</f>
        <v/>
      </c>
      <c r="EA27" s="152">
        <f>'FICHA AMALDIÇOADA'!$K$223&amp;""</f>
        <v/>
      </c>
      <c r="EB27" s="152">
        <f>'FICHA AMALDIÇOADA'!$J$230&amp;""</f>
        <v/>
      </c>
      <c r="EC27" s="152">
        <f>'FICHA AMALDIÇOADA'!$K$232&amp;""</f>
        <v/>
      </c>
      <c r="ED27" s="152">
        <f>'FICHA AMALDIÇOADA'!$K$233&amp;""</f>
        <v/>
      </c>
      <c r="EE27" s="152">
        <f>'FICHA AMALDIÇOADA'!$K$234&amp;""</f>
        <v/>
      </c>
      <c r="EF27" s="152">
        <f>'FICHA AMALDIÇOADA'!$K$235&amp;""</f>
        <v/>
      </c>
      <c r="EG27" s="152">
        <f>'FICHA AMALDIÇOADA'!$K$236&amp;""</f>
        <v/>
      </c>
      <c r="EH27" s="152">
        <f>'FICHA AMALDIÇOADA'!$K$237&amp;""</f>
        <v/>
      </c>
      <c r="EI27" s="152">
        <f>IF($EA27&lt;&gt;"",1,0)</f>
        <v/>
      </c>
      <c r="EJ27" s="152">
        <f>IFERROR(MATCH($EB27,$Y$2:$Y$11,0),0)</f>
        <v/>
      </c>
      <c r="EK27" s="152">
        <f>IF($EJ27=0,0,INDEX($AB$2:$AB$11,$EJ27))</f>
        <v/>
      </c>
      <c r="EL27" s="152">
        <f>IFERROR(VLOOKUP($EC27,$BC$2:$BK$84,4,FALSE),0)</f>
        <v/>
      </c>
      <c r="EM27" s="152">
        <f>IFERROR(VLOOKUP($ED27,$BC$2:$BK$84,4,FALSE),0)</f>
        <v/>
      </c>
      <c r="EN27" s="152">
        <f>IFERROR(VLOOKUP($EE27,$BC$2:$BK$84,4,FALSE),0)</f>
        <v/>
      </c>
      <c r="EO27" s="152">
        <f>IFERROR(VLOOKUP($EF27,$BC$2:$BK$84,4,FALSE),0)</f>
        <v/>
      </c>
      <c r="EP27" s="152">
        <f>IF($EJ27=0,0,INDEX($AC$2:$AC$11,$EJ27))</f>
        <v/>
      </c>
      <c r="EQ27" s="152">
        <f>IFERROR(VLOOKUP($EC27,$BC$2:$BK$84,5,FALSE),0)</f>
        <v/>
      </c>
      <c r="ER27" s="152">
        <f>IFERROR(VLOOKUP($ED27,$BC$2:$BK$84,5,FALSE),0)</f>
        <v/>
      </c>
      <c r="ES27" s="152">
        <f>IFERROR(VLOOKUP($EE27,$BC$2:$BK$84,5,FALSE),0)</f>
        <v/>
      </c>
      <c r="ET27" s="152">
        <f>IFERROR(VLOOKUP($EF27,$BC$2:$BK$84,5,FALSE),0)</f>
        <v/>
      </c>
      <c r="EU27" s="152">
        <f>IFERROR(VLOOKUP($EC27,$BC$2:$BK$84,6,FALSE),0)+IFERROR(VLOOKUP($ED27,$BC$2:$BK$84,6,FALSE),0)+IFERROR(VLOOKUP($EE27,$BC$2:$BK$84,6,FALSE),0)+IFERROR(VLOOKUP($EF27,$BC$2:$BK$84,6,FALSE),0)</f>
        <v/>
      </c>
      <c r="EV27" s="152">
        <f>IFERROR(VLOOKUP($EC27,$BC$2:$BK$84,9,FALSE),0)+IFERROR(VLOOKUP($ED27,$BC$2:$BK$84,9,FALSE),0)+IFERROR(VLOOKUP($EE27,$BC$2:$BK$84,9,FALSE),0)+IFERROR(VLOOKUP($EF27,$BC$2:$BK$84,9,FALSE),0)</f>
        <v/>
      </c>
      <c r="EW27" s="152">
        <f>IF($EJ27=0,0,INDEX($AD$2:$AD$11,$EJ27))</f>
        <v/>
      </c>
      <c r="EX27" s="152">
        <f>IF($EJ27=0,0,INDEX($AE$2:$AE$11,$EJ27))</f>
        <v/>
      </c>
      <c r="EY27" s="152">
        <f>IF($EJ27=0,0,INDEX($AG$2:$AG$11,$EJ27))</f>
        <v/>
      </c>
      <c r="EZ27" s="152">
        <f>IFERROR(VLOOKUP($EG27,$BM$2:$BQ$24,3,FALSE),0)</f>
        <v/>
      </c>
      <c r="FA27" s="152">
        <f>IFERROR(VLOOKUP($EH27,$BM$2:$BQ$24,3,FALSE),0)</f>
        <v/>
      </c>
      <c r="FB27" s="152">
        <f>IFERROR(VLOOKUP($EG27,$BM$2:$BQ$24,2,FALSE),"")</f>
        <v/>
      </c>
      <c r="FC27" s="152">
        <f>IFERROR(VLOOKUP($EH27,$BM$2:$BQ$24,2,FALSE),"")</f>
        <v/>
      </c>
      <c r="FD27" s="152">
        <f>COUNTIF($EK27:$EO27,1)</f>
        <v/>
      </c>
      <c r="FE27" s="152">
        <f>COUNTIF($EK27:$EO27,2)</f>
        <v/>
      </c>
      <c r="FF27" s="152">
        <f>COUNTIF($EK27:$EO27,3)</f>
        <v/>
      </c>
      <c r="FG27" s="152">
        <f>COUNTIF($EK27:$EO27,4)</f>
        <v/>
      </c>
      <c r="FH27" s="152">
        <f>COUNTIF($EK27:$EO27,5)</f>
        <v/>
      </c>
      <c r="FI27" s="152">
        <f>COUNTIF($EK27:$EO27,6)</f>
        <v/>
      </c>
      <c r="FJ27" s="152">
        <f>COUNTIF($EZ27:$FA27,1)</f>
        <v/>
      </c>
      <c r="FK27" s="152">
        <f>COUNTIF($EZ27:$FA27,2)+$EW27</f>
        <v/>
      </c>
      <c r="FL27" s="152">
        <f>COUNTIF($EC27:$EF27,"?*")</f>
        <v/>
      </c>
      <c r="FM27" s="152">
        <f>COUNTIF($EG27:$EH27,"?*")+$EW27</f>
        <v/>
      </c>
      <c r="FN27" s="152">
        <f>SUMPRODUCT($FD27:$FI27,INDEX($Q$2:$V$8,$DZ27,0))</f>
        <v/>
      </c>
      <c r="FO27" s="152">
        <f>$FJ27*CEILING($DZ27/2,1)+$FK27*$DZ27</f>
        <v/>
      </c>
      <c r="FP27" s="152">
        <f>MIN(2*$DZ27,$FO27)</f>
        <v/>
      </c>
      <c r="FQ27" s="152">
        <f>MIN($FP27,$FN27)</f>
        <v/>
      </c>
      <c r="FR27" s="152">
        <f>$FP27-$FQ27</f>
        <v/>
      </c>
      <c r="FS27" s="152">
        <f>3*$DZ27-$FN27+$FQ27</f>
        <v/>
      </c>
      <c r="FT27" s="152">
        <f>MAX(0,$FS27)+$DX27*$DZ27</f>
        <v/>
      </c>
      <c r="FU27" s="152">
        <f>(IF(COUNTIF($EC27:$EF27,"Salto")&gt;0,1,0)+IF(COUNTIF($EC27:$EF27,"Queima")&gt;0,1,0)+IF(COUNTIF($EC27:$EF27,"Estilhaço")&gt;0,1,0))*FLOOR($FT27/2,1)</f>
        <v/>
      </c>
      <c r="FV27" s="152">
        <f>MAX(0,3-SUMPRODUCT($FD27:$FI27,$Q$2:$V$2)+MIN(2,$FJ27*1+$FK27*1,SUMPRODUCT($FD27:$FI27,$Q$2:$V$2)))+$DX27*1</f>
        <v/>
      </c>
      <c r="FW27" s="152">
        <f>MAX(0,6-SUMPRODUCT($FD27:$FI27,$Q$3:$V$3)+MIN(4,$FJ27*1+$FK27*2,SUMPRODUCT($FD27:$FI27,$Q$3:$V$3)))+$DX27*2</f>
        <v/>
      </c>
      <c r="FX27" s="152">
        <f>MAX(0,9-SUMPRODUCT($FD27:$FI27,$Q$4:$V$4)+MIN(6,$FJ27*2+$FK27*3,SUMPRODUCT($FD27:$FI27,$Q$4:$V$4)))+$DX27*3</f>
        <v/>
      </c>
      <c r="FY27" s="152">
        <f>MAX(0,12-SUMPRODUCT($FD27:$FI27,$Q$5:$V$5)+MIN(8,$FJ27*2+$FK27*4,SUMPRODUCT($FD27:$FI27,$Q$5:$V$5)))+$DX27*4</f>
        <v/>
      </c>
      <c r="FZ27" s="152">
        <f>MAX(0,15-SUMPRODUCT($FD27:$FI27,$Q$6:$V$6)+MIN(10,$FJ27*3+$FK27*5,SUMPRODUCT($FD27:$FI27,$Q$6:$V$6)))+$DX27*5</f>
        <v/>
      </c>
      <c r="GA27" s="152">
        <f>MAX(0,18-SUMPRODUCT($FD27:$FI27,$Q$7:$V$7)+MIN(12,$FJ27*3+$FK27*6,SUMPRODUCT($FD27:$FI27,$Q$7:$V$7)))+$DX27*6</f>
        <v/>
      </c>
      <c r="GB27" s="152">
        <f>MAX(0,21-SUMPRODUCT($FD27:$FI27,$Q$8:$V$8)+MIN(14,$FJ27*4+$FK27*7,SUMPRODUCT($FD27:$FI27,$Q$8:$V$8)))+$DX27*7</f>
        <v/>
      </c>
      <c r="GC27" s="152">
        <f>IF($EX27=2,3*$FV27&amp;" de vida temp.",IF($EX27=3,"sem dano",IF($FV27=0,IF($EX27=1,"sem cura","sem dano"),IF($EX27=1,"cura ","")&amp;$FV27&amp;"d8")))</f>
        <v/>
      </c>
      <c r="GD27" s="152">
        <f>IF($EX27=2,3*$FW27&amp;" de vida temp.",IF($EX27=3,"sem dano",IF($FW27=0,IF($EX27=1,"sem cura","sem dano"),IF($EX27=1,"cura ","")&amp;$FW27&amp;"d8")))</f>
        <v/>
      </c>
      <c r="GE27" s="152">
        <f>IF($EX27=2,3*$FX27&amp;" de vida temp.",IF($EX27=3,"sem dano",IF($FX27=0,IF($EX27=1,"sem cura","sem dano"),IF($EX27=1,"cura ","")&amp;$FX27&amp;"d8")))</f>
        <v/>
      </c>
      <c r="GF27" s="152">
        <f>IF($EX27=2,3*$FY27&amp;" de vida temp.",IF($EX27=3,"sem dano",IF($FY27=0,IF($EX27=1,"sem cura","sem dano"),IF($EX27=1,"cura ","")&amp;$FY27&amp;"d8")))</f>
        <v/>
      </c>
      <c r="GG27" s="152">
        <f>IF($EX27=2,3*$FZ27&amp;" de vida temp.",IF($EX27=3,"sem dano",IF($FZ27=0,IF($EX27=1,"sem cura","sem dano"),IF($EX27=1,"cura ","")&amp;$FZ27&amp;"d8")))</f>
        <v/>
      </c>
      <c r="GH27" s="152">
        <f>IF($EX27=2,3*$GA27&amp;" de vida temp.",IF($EX27=3,"sem dano",IF($GA27=0,IF($EX27=1,"sem cura","sem dano"),IF($EX27=1,"cura ","")&amp;$GA27&amp;"d8")))</f>
        <v/>
      </c>
      <c r="GI27" s="152">
        <f>IF($EX27=2,3*$GB27&amp;" de vida temp.",IF($EX27=3,"sem dano",IF($GB27=0,IF($EX27=1,"sem cura","sem dano"),IF($EX27=1,"cura ","")&amp;$GB27&amp;"d8")))</f>
        <v/>
      </c>
      <c r="GJ27" s="152">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2">
        <f>IF($GJ27="",0,(LEN($GJ27)-LEN(SUBSTITUTE($GJ27," · ","")))/3+1)</f>
        <v/>
      </c>
      <c r="GL27" s="152">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2">
        <f>IF($GL27="",0,(LEN($GL27)-LEN(SUBSTITUTE($GL27," · ","")))/3+1)</f>
        <v/>
      </c>
      <c r="GN27" s="152">
        <f>IF($EI27=0,IF($FL27+$FM27-$EW27&gt;0,"Dê um nome",""),IF($GK27&gt;0,"⚠ "&amp;$GK27&amp;IF($GK27&gt;1," erros"," erro"),IF($GM27&gt;0,"! "&amp;$GM27&amp;IF($GM27&gt;1," avisos"," aviso"),"Na regra")))</f>
        <v/>
      </c>
      <c r="GO27" s="152">
        <f>IF($EI27=0,"",IF($GK27+$GM27=0,"Dentro das regras que a ficha confere",$GJ27&amp;IF(AND($GK27&gt;0,$GM27&gt;0)," · ","")&amp;$GL27))</f>
        <v/>
      </c>
      <c r="GP27" s="152">
        <f>IF($EI27=0,"",IF($DX27=1,CEILING(4.5*$DZ27,1),3*$DZ27)&amp;" PE")</f>
        <v/>
      </c>
      <c r="GQ27" s="152">
        <f>IF($EI27=0,"",IF($DX27=1,"Rodada inteira",IF(COUNTIF($FB27:$FC27,"Atrasar")&gt;0,IF(COUNTIF($FB27:$FC27,"Carregar")&gt;0,"Rodada +1 turno","Rodada inteira"),IF(COUNTIF($EC27:$EF27,"Rápido")&gt;0,"Bônus",IF(COUNTIF($EC27:$EF27,"Reação")&gt;0,"Reação","Padrão"))&amp;IF(COUNTIF($FB27:$FC27,"Carregar")&gt;0," +1 turno",""))))</f>
        <v/>
      </c>
      <c r="GR27" s="152">
        <f>IF(OR($EI27=0,$EJ27=0),"",IF(COUNTIF($EC27:$EF27,"Inescapável")&gt;0,"Automático",IF(COUNTIF($EC27:$EF27,"Certeiro")&gt;0,"TR para metade",IF(AND($EV27&gt;0,$EY27=0,INDEX($AF$2:$AF$11,$EJ27)="Acerto"),"Acerto + TR",INDEX($AF$2:$AF$11,$EJ27)))))</f>
        <v/>
      </c>
      <c r="GS27" s="152">
        <f>IF(OR($EI27=0,$EJ27=0),"",IF(OR($EX27&gt;=2,$FT27=0),UPPER(LEFT(INDEX($GC27:$GI27,1,$DZ27),1))&amp;MID(INDEX($GC27:$GI27,1,$DZ27),2,99),UPPER(LEFT(INDEX($GC27:$GI27,1,$DZ27),1))&amp;MID(INDEX($GC27:$GI27,1,$DZ27),2,99)&amp;" = "&amp;FLOOR($FT27*4.5,1)&amp;IF($FU27&gt;0," · +"&amp;$FU27&amp;"d8","")))</f>
        <v/>
      </c>
      <c r="GT27" s="152">
        <f>COUNTIF($EC27:$EF27,"Longe")+3*COUNTIF($EC27:$EF27,"Muito Longe")</f>
        <v/>
      </c>
      <c r="GU27" s="152">
        <f>COUNTIF($EC27:$EF27,"Maior")+3*COUNTIF($EC27:$EF27,"Muito Maior")</f>
        <v/>
      </c>
      <c r="GV27" s="152">
        <f>IF($EJ27=0,0,CHOOSE(1+INDEX($AH$2:$AH$11,$EJ27),0,$GT27,$GU27,$GT27+$GU27))</f>
        <v/>
      </c>
      <c r="GW27" s="152">
        <f>IF($EJ27=0,0,CHOOSE(1+INDEX($AI$2:$AI$11,$EJ27),0,$GT27,$GU27,$GT27+$GU27))</f>
        <v/>
      </c>
      <c r="GX27" s="152">
        <f>IF(OR($EI27=0,$EJ27=0),"",INDEX($AP$2:$AU$31,($EJ27-1)*3+IF($DZ27&gt;=6,3,2),1+MIN(5,$GV27))&amp;INDEX($AV$2:$BA$31,($EJ27-1)*3+IF($DZ27&gt;=6,3,2),1+MIN(5,$GW27))&amp;IF(INDEX($AJ$2:$AJ$11,$EJ27)=1,IF(COUNTIF($EC27:$EF27,"Mais Um")&gt;0," · +"&amp;COUNTIF($EC27:$EF27,"Mais Um")&amp;IF(COUNTIF($EC27:$EF27,"Mais Um")&gt;1," alvos"," alvo"),"")&amp;IF(COUNTIF($EC27:$EF27,"Rajada")&gt;0," · "&amp;($DZ27+1)&amp;" tiros",""),""))</f>
        <v/>
      </c>
      <c r="GY27" s="152">
        <f>IF($EI27=0,"",3*$DZ27&amp;" − "&amp;$FN27&amp;" + "&amp;$FQ27&amp;IF($DX27=1," + "&amp;$DZ27,"")&amp;" = "&amp;$FT27&amp;"d8 · teto "&amp;4*$DZ27&amp;IF($EW27=1," · a Forma devolve "&amp;$DZ27,"")&amp;IF($FR27&gt;0," · perde "&amp;$FR27,""))</f>
        <v/>
      </c>
      <c r="GZ27" s="152">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2">
        <f>IF(OR($EI27=0,$EL27=0),"","−"&amp;INDEX($Q$2:$V$8,$DZ27,$EL27)&amp;" · "&amp;CHOOSE($EL27,"Leve","Média","Pesada","Leve · Livre","Média · Livre","Pesada · Livre"))</f>
        <v/>
      </c>
      <c r="HB27" s="152">
        <f>IF(OR($EI27=0,$EM27=0),"","−"&amp;INDEX($Q$2:$V$8,$DZ27,$EM27)&amp;" · "&amp;CHOOSE($EM27,"Leve","Média","Pesada","Leve · Livre","Média · Livre","Pesada · Livre"))</f>
        <v/>
      </c>
      <c r="HC27" s="152">
        <f>IF(OR($EI27=0,$EN27=0),"","−"&amp;INDEX($Q$2:$V$8,$DZ27,$EN27)&amp;" · "&amp;CHOOSE($EN27,"Leve","Média","Pesada","Leve · Livre","Média · Livre","Pesada · Livre"))</f>
        <v/>
      </c>
      <c r="HD27" s="152">
        <f>IF(OR($EI27=0,$EO27=0),"","−"&amp;INDEX($Q$2:$V$8,$DZ27,$EO27)&amp;" · "&amp;CHOOSE($EO27,"Leve","Média","Pesada","Leve · Livre","Média · Livre","Pesada · Livre"))</f>
        <v/>
      </c>
      <c r="HE27" s="152">
        <f>IF(OR($EI27=0,$EG27=""),"","+"&amp;IF($EZ27=1,CEILING($DZ27/2,1),$DZ27))</f>
        <v/>
      </c>
      <c r="HF27" s="152">
        <f>IF(OR($EI27=0,$EH27=""),"","+"&amp;IF($FA27=1,CEILING($DZ27/2,1),$DZ27))</f>
        <v/>
      </c>
      <c r="HG27" s="152">
        <f>'FICHA AMALDIÇOADA'!$J$225&amp;""</f>
        <v/>
      </c>
      <c r="HH27" s="152">
        <f>IF(AND($EI27=1,$DX27=0),COUNTIFS($EI$2:$EI27,1,$DX$2:$DX27,0),"")</f>
        <v/>
      </c>
      <c r="HJ27" s="150" t="inlineStr">
        <is>
          <t>pactos permanentes</t>
        </is>
      </c>
      <c r="HK27" s="152">
        <f>IF('FICHA AMALDIÇOADA'!$L$518="Permanente",1,0)+IF('FICHA AMALDIÇOADA'!$L$528="Permanente",1,0)+IF('FICHA AMALDIÇOADA'!$L$538="Permanente",1,0)</f>
        <v/>
      </c>
      <c r="JF27" s="152" t="n">
        <v>26</v>
      </c>
      <c r="JG27" s="152">
        <f>IFERROR(MATCH(26,$HH$2:$HH$37,0),0)</f>
        <v/>
      </c>
      <c r="JH27" s="152">
        <f>IF($JG27=0,"",INDEX($DZ$2:$DZ$37,$JG27))</f>
        <v/>
      </c>
      <c r="JI27" s="152">
        <f>IF($JG27=0,"",INDEX($EA$2:$EA$37,$JG27))</f>
        <v/>
      </c>
      <c r="JJ27" s="152">
        <f>IF($JG27=0,"",INDEX($GP$2:$GP$37,$JG27))</f>
        <v/>
      </c>
      <c r="JK27" s="152">
        <f>IF($JG27=0,"",INDEX($EB$2:$EB$37,$JG27))</f>
        <v/>
      </c>
      <c r="JL27" s="152">
        <f>IF($JG27=0,"",INDEX($GR$2:$GR$37,$JG27))</f>
        <v/>
      </c>
      <c r="JM27" s="152">
        <f>IF($JG27=0,"",INDEX($HG$2:$HG$37,$JG27))</f>
        <v/>
      </c>
      <c r="KS27" s="150" t="inlineStr">
        <is>
          <t>J46</t>
        </is>
      </c>
      <c r="KT27" s="152">
        <f>INDEX(DADOS_AM!$P$2:$W$8,DADOS_AM!$HK$29,4)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BK28" s="152" t="n">
        <v>1</v>
      </c>
      <c r="CD28" s="150" t="inlineStr">
        <is>
          <t>Esteio</t>
        </is>
      </c>
      <c r="CE28" s="150" t="inlineStr">
        <is>
          <t>Lapidação 7</t>
        </is>
      </c>
      <c r="CF28" s="152" t="n">
        <v>3</v>
      </c>
      <c r="CG28" s="150" t="inlineStr">
        <is>
          <t>—</t>
        </is>
      </c>
      <c r="CH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2">
        <f>IF($CL28=1,"",IF($A$2=4,IF($CJ28=1,$CD28,""),IF(OR($CJ28=1,AND($A$2=3,$CK28=1)),"",$CD28)))</f>
        <v/>
      </c>
      <c r="CJ28" s="152" t="n">
        <v>1</v>
      </c>
      <c r="CK28" s="152" t="n">
        <v>0</v>
      </c>
      <c r="CL28" s="152" t="n">
        <v>0</v>
      </c>
      <c r="CM28" s="150" t="inlineStr">
        <is>
          <t>Ao adquirir a Bênção, escolha um TR: Físico, Vigor, Intelecto ou Espírito.</t>
        </is>
      </c>
      <c r="DW28" s="150" t="inlineStr">
        <is>
          <t>Feitiço 27</t>
        </is>
      </c>
      <c r="DX28" s="152" t="n">
        <v>0</v>
      </c>
      <c r="DY28" s="152" t="n">
        <v>27</v>
      </c>
      <c r="DZ28" s="152">
        <f>MAX(1,MIN(7,N('FICHA AMALDIÇOADA'!$P$223)))</f>
        <v/>
      </c>
      <c r="EA28" s="152">
        <f>'FICHA AMALDIÇOADA'!$Q$223&amp;""</f>
        <v/>
      </c>
      <c r="EB28" s="152">
        <f>'FICHA AMALDIÇOADA'!$P$230&amp;""</f>
        <v/>
      </c>
      <c r="EC28" s="152">
        <f>'FICHA AMALDIÇOADA'!$Q$232&amp;""</f>
        <v/>
      </c>
      <c r="ED28" s="152">
        <f>'FICHA AMALDIÇOADA'!$Q$233&amp;""</f>
        <v/>
      </c>
      <c r="EE28" s="152">
        <f>'FICHA AMALDIÇOADA'!$Q$234&amp;""</f>
        <v/>
      </c>
      <c r="EF28" s="152">
        <f>'FICHA AMALDIÇOADA'!$Q$235&amp;""</f>
        <v/>
      </c>
      <c r="EG28" s="152">
        <f>'FICHA AMALDIÇOADA'!$Q$236&amp;""</f>
        <v/>
      </c>
      <c r="EH28" s="152">
        <f>'FICHA AMALDIÇOADA'!$Q$237&amp;""</f>
        <v/>
      </c>
      <c r="EI28" s="152">
        <f>IF($EA28&lt;&gt;"",1,0)</f>
        <v/>
      </c>
      <c r="EJ28" s="152">
        <f>IFERROR(MATCH($EB28,$Y$2:$Y$11,0),0)</f>
        <v/>
      </c>
      <c r="EK28" s="152">
        <f>IF($EJ28=0,0,INDEX($AB$2:$AB$11,$EJ28))</f>
        <v/>
      </c>
      <c r="EL28" s="152">
        <f>IFERROR(VLOOKUP($EC28,$BC$2:$BK$84,4,FALSE),0)</f>
        <v/>
      </c>
      <c r="EM28" s="152">
        <f>IFERROR(VLOOKUP($ED28,$BC$2:$BK$84,4,FALSE),0)</f>
        <v/>
      </c>
      <c r="EN28" s="152">
        <f>IFERROR(VLOOKUP($EE28,$BC$2:$BK$84,4,FALSE),0)</f>
        <v/>
      </c>
      <c r="EO28" s="152">
        <f>IFERROR(VLOOKUP($EF28,$BC$2:$BK$84,4,FALSE),0)</f>
        <v/>
      </c>
      <c r="EP28" s="152">
        <f>IF($EJ28=0,0,INDEX($AC$2:$AC$11,$EJ28))</f>
        <v/>
      </c>
      <c r="EQ28" s="152">
        <f>IFERROR(VLOOKUP($EC28,$BC$2:$BK$84,5,FALSE),0)</f>
        <v/>
      </c>
      <c r="ER28" s="152">
        <f>IFERROR(VLOOKUP($ED28,$BC$2:$BK$84,5,FALSE),0)</f>
        <v/>
      </c>
      <c r="ES28" s="152">
        <f>IFERROR(VLOOKUP($EE28,$BC$2:$BK$84,5,FALSE),0)</f>
        <v/>
      </c>
      <c r="ET28" s="152">
        <f>IFERROR(VLOOKUP($EF28,$BC$2:$BK$84,5,FALSE),0)</f>
        <v/>
      </c>
      <c r="EU28" s="152">
        <f>IFERROR(VLOOKUP($EC28,$BC$2:$BK$84,6,FALSE),0)+IFERROR(VLOOKUP($ED28,$BC$2:$BK$84,6,FALSE),0)+IFERROR(VLOOKUP($EE28,$BC$2:$BK$84,6,FALSE),0)+IFERROR(VLOOKUP($EF28,$BC$2:$BK$84,6,FALSE),0)</f>
        <v/>
      </c>
      <c r="EV28" s="152">
        <f>IFERROR(VLOOKUP($EC28,$BC$2:$BK$84,9,FALSE),0)+IFERROR(VLOOKUP($ED28,$BC$2:$BK$84,9,FALSE),0)+IFERROR(VLOOKUP($EE28,$BC$2:$BK$84,9,FALSE),0)+IFERROR(VLOOKUP($EF28,$BC$2:$BK$84,9,FALSE),0)</f>
        <v/>
      </c>
      <c r="EW28" s="152">
        <f>IF($EJ28=0,0,INDEX($AD$2:$AD$11,$EJ28))</f>
        <v/>
      </c>
      <c r="EX28" s="152">
        <f>IF($EJ28=0,0,INDEX($AE$2:$AE$11,$EJ28))</f>
        <v/>
      </c>
      <c r="EY28" s="152">
        <f>IF($EJ28=0,0,INDEX($AG$2:$AG$11,$EJ28))</f>
        <v/>
      </c>
      <c r="EZ28" s="152">
        <f>IFERROR(VLOOKUP($EG28,$BM$2:$BQ$24,3,FALSE),0)</f>
        <v/>
      </c>
      <c r="FA28" s="152">
        <f>IFERROR(VLOOKUP($EH28,$BM$2:$BQ$24,3,FALSE),0)</f>
        <v/>
      </c>
      <c r="FB28" s="152">
        <f>IFERROR(VLOOKUP($EG28,$BM$2:$BQ$24,2,FALSE),"")</f>
        <v/>
      </c>
      <c r="FC28" s="152">
        <f>IFERROR(VLOOKUP($EH28,$BM$2:$BQ$24,2,FALSE),"")</f>
        <v/>
      </c>
      <c r="FD28" s="152">
        <f>COUNTIF($EK28:$EO28,1)</f>
        <v/>
      </c>
      <c r="FE28" s="152">
        <f>COUNTIF($EK28:$EO28,2)</f>
        <v/>
      </c>
      <c r="FF28" s="152">
        <f>COUNTIF($EK28:$EO28,3)</f>
        <v/>
      </c>
      <c r="FG28" s="152">
        <f>COUNTIF($EK28:$EO28,4)</f>
        <v/>
      </c>
      <c r="FH28" s="152">
        <f>COUNTIF($EK28:$EO28,5)</f>
        <v/>
      </c>
      <c r="FI28" s="152">
        <f>COUNTIF($EK28:$EO28,6)</f>
        <v/>
      </c>
      <c r="FJ28" s="152">
        <f>COUNTIF($EZ28:$FA28,1)</f>
        <v/>
      </c>
      <c r="FK28" s="152">
        <f>COUNTIF($EZ28:$FA28,2)+$EW28</f>
        <v/>
      </c>
      <c r="FL28" s="152">
        <f>COUNTIF($EC28:$EF28,"?*")</f>
        <v/>
      </c>
      <c r="FM28" s="152">
        <f>COUNTIF($EG28:$EH28,"?*")+$EW28</f>
        <v/>
      </c>
      <c r="FN28" s="152">
        <f>SUMPRODUCT($FD28:$FI28,INDEX($Q$2:$V$8,$DZ28,0))</f>
        <v/>
      </c>
      <c r="FO28" s="152">
        <f>$FJ28*CEILING($DZ28/2,1)+$FK28*$DZ28</f>
        <v/>
      </c>
      <c r="FP28" s="152">
        <f>MIN(2*$DZ28,$FO28)</f>
        <v/>
      </c>
      <c r="FQ28" s="152">
        <f>MIN($FP28,$FN28)</f>
        <v/>
      </c>
      <c r="FR28" s="152">
        <f>$FP28-$FQ28</f>
        <v/>
      </c>
      <c r="FS28" s="152">
        <f>3*$DZ28-$FN28+$FQ28</f>
        <v/>
      </c>
      <c r="FT28" s="152">
        <f>MAX(0,$FS28)+$DX28*$DZ28</f>
        <v/>
      </c>
      <c r="FU28" s="152">
        <f>(IF(COUNTIF($EC28:$EF28,"Salto")&gt;0,1,0)+IF(COUNTIF($EC28:$EF28,"Queima")&gt;0,1,0)+IF(COUNTIF($EC28:$EF28,"Estilhaço")&gt;0,1,0))*FLOOR($FT28/2,1)</f>
        <v/>
      </c>
      <c r="FV28" s="152">
        <f>MAX(0,3-SUMPRODUCT($FD28:$FI28,$Q$2:$V$2)+MIN(2,$FJ28*1+$FK28*1,SUMPRODUCT($FD28:$FI28,$Q$2:$V$2)))+$DX28*1</f>
        <v/>
      </c>
      <c r="FW28" s="152">
        <f>MAX(0,6-SUMPRODUCT($FD28:$FI28,$Q$3:$V$3)+MIN(4,$FJ28*1+$FK28*2,SUMPRODUCT($FD28:$FI28,$Q$3:$V$3)))+$DX28*2</f>
        <v/>
      </c>
      <c r="FX28" s="152">
        <f>MAX(0,9-SUMPRODUCT($FD28:$FI28,$Q$4:$V$4)+MIN(6,$FJ28*2+$FK28*3,SUMPRODUCT($FD28:$FI28,$Q$4:$V$4)))+$DX28*3</f>
        <v/>
      </c>
      <c r="FY28" s="152">
        <f>MAX(0,12-SUMPRODUCT($FD28:$FI28,$Q$5:$V$5)+MIN(8,$FJ28*2+$FK28*4,SUMPRODUCT($FD28:$FI28,$Q$5:$V$5)))+$DX28*4</f>
        <v/>
      </c>
      <c r="FZ28" s="152">
        <f>MAX(0,15-SUMPRODUCT($FD28:$FI28,$Q$6:$V$6)+MIN(10,$FJ28*3+$FK28*5,SUMPRODUCT($FD28:$FI28,$Q$6:$V$6)))+$DX28*5</f>
        <v/>
      </c>
      <c r="GA28" s="152">
        <f>MAX(0,18-SUMPRODUCT($FD28:$FI28,$Q$7:$V$7)+MIN(12,$FJ28*3+$FK28*6,SUMPRODUCT($FD28:$FI28,$Q$7:$V$7)))+$DX28*6</f>
        <v/>
      </c>
      <c r="GB28" s="152">
        <f>MAX(0,21-SUMPRODUCT($FD28:$FI28,$Q$8:$V$8)+MIN(14,$FJ28*4+$FK28*7,SUMPRODUCT($FD28:$FI28,$Q$8:$V$8)))+$DX28*7</f>
        <v/>
      </c>
      <c r="GC28" s="152">
        <f>IF($EX28=2,3*$FV28&amp;" de vida temp.",IF($EX28=3,"sem dano",IF($FV28=0,IF($EX28=1,"sem cura","sem dano"),IF($EX28=1,"cura ","")&amp;$FV28&amp;"d8")))</f>
        <v/>
      </c>
      <c r="GD28" s="152">
        <f>IF($EX28=2,3*$FW28&amp;" de vida temp.",IF($EX28=3,"sem dano",IF($FW28=0,IF($EX28=1,"sem cura","sem dano"),IF($EX28=1,"cura ","")&amp;$FW28&amp;"d8")))</f>
        <v/>
      </c>
      <c r="GE28" s="152">
        <f>IF($EX28=2,3*$FX28&amp;" de vida temp.",IF($EX28=3,"sem dano",IF($FX28=0,IF($EX28=1,"sem cura","sem dano"),IF($EX28=1,"cura ","")&amp;$FX28&amp;"d8")))</f>
        <v/>
      </c>
      <c r="GF28" s="152">
        <f>IF($EX28=2,3*$FY28&amp;" de vida temp.",IF($EX28=3,"sem dano",IF($FY28=0,IF($EX28=1,"sem cura","sem dano"),IF($EX28=1,"cura ","")&amp;$FY28&amp;"d8")))</f>
        <v/>
      </c>
      <c r="GG28" s="152">
        <f>IF($EX28=2,3*$FZ28&amp;" de vida temp.",IF($EX28=3,"sem dano",IF($FZ28=0,IF($EX28=1,"sem cura","sem dano"),IF($EX28=1,"cura ","")&amp;$FZ28&amp;"d8")))</f>
        <v/>
      </c>
      <c r="GH28" s="152">
        <f>IF($EX28=2,3*$GA28&amp;" de vida temp.",IF($EX28=3,"sem dano",IF($GA28=0,IF($EX28=1,"sem cura","sem dano"),IF($EX28=1,"cura ","")&amp;$GA28&amp;"d8")))</f>
        <v/>
      </c>
      <c r="GI28" s="152">
        <f>IF($EX28=2,3*$GB28&amp;" de vida temp.",IF($EX28=3,"sem dano",IF($GB28=0,IF($EX28=1,"sem cura","sem dano"),IF($EX28=1,"cura ","")&amp;$GB28&amp;"d8")))</f>
        <v/>
      </c>
      <c r="GJ28" s="152">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2">
        <f>IF($GJ28="",0,(LEN($GJ28)-LEN(SUBSTITUTE($GJ28," · ","")))/3+1)</f>
        <v/>
      </c>
      <c r="GL28" s="152">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2">
        <f>IF($GL28="",0,(LEN($GL28)-LEN(SUBSTITUTE($GL28," · ","")))/3+1)</f>
        <v/>
      </c>
      <c r="GN28" s="152">
        <f>IF($EI28=0,IF($FL28+$FM28-$EW28&gt;0,"Dê um nome",""),IF($GK28&gt;0,"⚠ "&amp;$GK28&amp;IF($GK28&gt;1," erros"," erro"),IF($GM28&gt;0,"! "&amp;$GM28&amp;IF($GM28&gt;1," avisos"," aviso"),"Na regra")))</f>
        <v/>
      </c>
      <c r="GO28" s="152">
        <f>IF($EI28=0,"",IF($GK28+$GM28=0,"Dentro das regras que a ficha confere",$GJ28&amp;IF(AND($GK28&gt;0,$GM28&gt;0)," · ","")&amp;$GL28))</f>
        <v/>
      </c>
      <c r="GP28" s="152">
        <f>IF($EI28=0,"",IF($DX28=1,CEILING(4.5*$DZ28,1),3*$DZ28)&amp;" PE")</f>
        <v/>
      </c>
      <c r="GQ28" s="152">
        <f>IF($EI28=0,"",IF($DX28=1,"Rodada inteira",IF(COUNTIF($FB28:$FC28,"Atrasar")&gt;0,IF(COUNTIF($FB28:$FC28,"Carregar")&gt;0,"Rodada +1 turno","Rodada inteira"),IF(COUNTIF($EC28:$EF28,"Rápido")&gt;0,"Bônus",IF(COUNTIF($EC28:$EF28,"Reação")&gt;0,"Reação","Padrão"))&amp;IF(COUNTIF($FB28:$FC28,"Carregar")&gt;0," +1 turno",""))))</f>
        <v/>
      </c>
      <c r="GR28" s="152">
        <f>IF(OR($EI28=0,$EJ28=0),"",IF(COUNTIF($EC28:$EF28,"Inescapável")&gt;0,"Automático",IF(COUNTIF($EC28:$EF28,"Certeiro")&gt;0,"TR para metade",IF(AND($EV28&gt;0,$EY28=0,INDEX($AF$2:$AF$11,$EJ28)="Acerto"),"Acerto + TR",INDEX($AF$2:$AF$11,$EJ28)))))</f>
        <v/>
      </c>
      <c r="GS28" s="152">
        <f>IF(OR($EI28=0,$EJ28=0),"",IF(OR($EX28&gt;=2,$FT28=0),UPPER(LEFT(INDEX($GC28:$GI28,1,$DZ28),1))&amp;MID(INDEX($GC28:$GI28,1,$DZ28),2,99),UPPER(LEFT(INDEX($GC28:$GI28,1,$DZ28),1))&amp;MID(INDEX($GC28:$GI28,1,$DZ28),2,99)&amp;" = "&amp;FLOOR($FT28*4.5,1)&amp;IF($FU28&gt;0," · +"&amp;$FU28&amp;"d8","")))</f>
        <v/>
      </c>
      <c r="GT28" s="152">
        <f>COUNTIF($EC28:$EF28,"Longe")+3*COUNTIF($EC28:$EF28,"Muito Longe")</f>
        <v/>
      </c>
      <c r="GU28" s="152">
        <f>COUNTIF($EC28:$EF28,"Maior")+3*COUNTIF($EC28:$EF28,"Muito Maior")</f>
        <v/>
      </c>
      <c r="GV28" s="152">
        <f>IF($EJ28=0,0,CHOOSE(1+INDEX($AH$2:$AH$11,$EJ28),0,$GT28,$GU28,$GT28+$GU28))</f>
        <v/>
      </c>
      <c r="GW28" s="152">
        <f>IF($EJ28=0,0,CHOOSE(1+INDEX($AI$2:$AI$11,$EJ28),0,$GT28,$GU28,$GT28+$GU28))</f>
        <v/>
      </c>
      <c r="GX28" s="152">
        <f>IF(OR($EI28=0,$EJ28=0),"",INDEX($AP$2:$AU$31,($EJ28-1)*3+IF($DZ28&gt;=6,3,2),1+MIN(5,$GV28))&amp;INDEX($AV$2:$BA$31,($EJ28-1)*3+IF($DZ28&gt;=6,3,2),1+MIN(5,$GW28))&amp;IF(INDEX($AJ$2:$AJ$11,$EJ28)=1,IF(COUNTIF($EC28:$EF28,"Mais Um")&gt;0," · +"&amp;COUNTIF($EC28:$EF28,"Mais Um")&amp;IF(COUNTIF($EC28:$EF28,"Mais Um")&gt;1," alvos"," alvo"),"")&amp;IF(COUNTIF($EC28:$EF28,"Rajada")&gt;0," · "&amp;($DZ28+1)&amp;" tiros",""),""))</f>
        <v/>
      </c>
      <c r="GY28" s="152">
        <f>IF($EI28=0,"",3*$DZ28&amp;" − "&amp;$FN28&amp;" + "&amp;$FQ28&amp;IF($DX28=1," + "&amp;$DZ28,"")&amp;" = "&amp;$FT28&amp;"d8 · teto "&amp;4*$DZ28&amp;IF($EW28=1," · a Forma devolve "&amp;$DZ28,"")&amp;IF($FR28&gt;0," · perde "&amp;$FR28,""))</f>
        <v/>
      </c>
      <c r="GZ28" s="152">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2">
        <f>IF(OR($EI28=0,$EL28=0),"","−"&amp;INDEX($Q$2:$V$8,$DZ28,$EL28)&amp;" · "&amp;CHOOSE($EL28,"Leve","Média","Pesada","Leve · Livre","Média · Livre","Pesada · Livre"))</f>
        <v/>
      </c>
      <c r="HB28" s="152">
        <f>IF(OR($EI28=0,$EM28=0),"","−"&amp;INDEX($Q$2:$V$8,$DZ28,$EM28)&amp;" · "&amp;CHOOSE($EM28,"Leve","Média","Pesada","Leve · Livre","Média · Livre","Pesada · Livre"))</f>
        <v/>
      </c>
      <c r="HC28" s="152">
        <f>IF(OR($EI28=0,$EN28=0),"","−"&amp;INDEX($Q$2:$V$8,$DZ28,$EN28)&amp;" · "&amp;CHOOSE($EN28,"Leve","Média","Pesada","Leve · Livre","Média · Livre","Pesada · Livre"))</f>
        <v/>
      </c>
      <c r="HD28" s="152">
        <f>IF(OR($EI28=0,$EO28=0),"","−"&amp;INDEX($Q$2:$V$8,$DZ28,$EO28)&amp;" · "&amp;CHOOSE($EO28,"Leve","Média","Pesada","Leve · Livre","Média · Livre","Pesada · Livre"))</f>
        <v/>
      </c>
      <c r="HE28" s="152">
        <f>IF(OR($EI28=0,$EG28=""),"","+"&amp;IF($EZ28=1,CEILING($DZ28/2,1),$DZ28))</f>
        <v/>
      </c>
      <c r="HF28" s="152">
        <f>IF(OR($EI28=0,$EH28=""),"","+"&amp;IF($FA28=1,CEILING($DZ28/2,1),$DZ28))</f>
        <v/>
      </c>
      <c r="HG28" s="152">
        <f>'FICHA AMALDIÇOADA'!$P$225&amp;""</f>
        <v/>
      </c>
      <c r="HH28" s="152">
        <f>IF(AND($EI28=1,$DX28=0),COUNTIFS($EI$2:$EI28,1,$DX$2:$DX28,0),"")</f>
        <v/>
      </c>
      <c r="HJ28" s="150" t="inlineStr">
        <is>
          <t>teto de pactos</t>
        </is>
      </c>
      <c r="HK28" s="152">
        <f>FLOOR($HK$7/2,1)</f>
        <v/>
      </c>
      <c r="JF28" s="152" t="n">
        <v>27</v>
      </c>
      <c r="JG28" s="152">
        <f>IFERROR(MATCH(27,$HH$2:$HH$37,0),0)</f>
        <v/>
      </c>
      <c r="JH28" s="152">
        <f>IF($JG28=0,"",INDEX($DZ$2:$DZ$37,$JG28))</f>
        <v/>
      </c>
      <c r="JI28" s="152">
        <f>IF($JG28=0,"",INDEX($EA$2:$EA$37,$JG28))</f>
        <v/>
      </c>
      <c r="JJ28" s="152">
        <f>IF($JG28=0,"",INDEX($GP$2:$GP$37,$JG28))</f>
        <v/>
      </c>
      <c r="JK28" s="152">
        <f>IF($JG28=0,"",INDEX($EB$2:$EB$37,$JG28))</f>
        <v/>
      </c>
      <c r="JL28" s="152">
        <f>IF($JG28=0,"",INDEX($GR$2:$GR$37,$JG28))</f>
        <v/>
      </c>
      <c r="JM28" s="152">
        <f>IF($JG28=0,"",INDEX($HG$2:$HG$37,$JG28))</f>
        <v/>
      </c>
      <c r="KS28" s="150" t="inlineStr">
        <is>
          <t>K46</t>
        </is>
      </c>
      <c r="KT28" s="152">
        <f>2*DADOS_AM!$HK$29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BK29" s="152" t="n">
        <v>1</v>
      </c>
      <c r="CD29" s="150" t="inlineStr">
        <is>
          <t>Antecipar</t>
        </is>
      </c>
      <c r="CE29" s="150" t="inlineStr">
        <is>
          <t>Lapidação 4 e Inteligência 4</t>
        </is>
      </c>
      <c r="CF29" s="152" t="n">
        <v>2</v>
      </c>
      <c r="CG29" s="150" t="inlineStr">
        <is>
          <t>—</t>
        </is>
      </c>
      <c r="CH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2">
        <f>IF($CL29=1,"",IF($A$2=4,IF($CJ29=1,$CD29,""),IF(OR($CJ29=1,AND($A$2=3,$CK29=1)),"",$CD29)))</f>
        <v/>
      </c>
      <c r="CJ29" s="152" t="n">
        <v>1</v>
      </c>
      <c r="CK29" s="152" t="n">
        <v>0</v>
      </c>
      <c r="CL29" s="152" t="n">
        <v>0</v>
      </c>
      <c r="CM29" s="150" t="inlineStr">
        <is>
          <t>Depois de falhar num TR contra um efeito, você recebe vantagem nos próximos TRs contra esse mesmo efeito, produzido pela mesma fonte, até o fim da cena.</t>
        </is>
      </c>
      <c r="DW29" s="150" t="inlineStr">
        <is>
          <t>Feitiço 28</t>
        </is>
      </c>
      <c r="DX29" s="152" t="n">
        <v>0</v>
      </c>
      <c r="DY29" s="152" t="n">
        <v>28</v>
      </c>
      <c r="DZ29" s="152">
        <f>MAX(1,MIN(7,N('FICHA AMALDIÇOADA'!$D$244)))</f>
        <v/>
      </c>
      <c r="EA29" s="152">
        <f>'FICHA AMALDIÇOADA'!$E$244&amp;""</f>
        <v/>
      </c>
      <c r="EB29" s="152">
        <f>'FICHA AMALDIÇOADA'!$D$251&amp;""</f>
        <v/>
      </c>
      <c r="EC29" s="152">
        <f>'FICHA AMALDIÇOADA'!$E$253&amp;""</f>
        <v/>
      </c>
      <c r="ED29" s="152">
        <f>'FICHA AMALDIÇOADA'!$E$254&amp;""</f>
        <v/>
      </c>
      <c r="EE29" s="152">
        <f>'FICHA AMALDIÇOADA'!$E$255&amp;""</f>
        <v/>
      </c>
      <c r="EF29" s="152">
        <f>'FICHA AMALDIÇOADA'!$E$256&amp;""</f>
        <v/>
      </c>
      <c r="EG29" s="152">
        <f>'FICHA AMALDIÇOADA'!$E$257&amp;""</f>
        <v/>
      </c>
      <c r="EH29" s="152">
        <f>'FICHA AMALDIÇOADA'!$E$258&amp;""</f>
        <v/>
      </c>
      <c r="EI29" s="152">
        <f>IF($EA29&lt;&gt;"",1,0)</f>
        <v/>
      </c>
      <c r="EJ29" s="152">
        <f>IFERROR(MATCH($EB29,$Y$2:$Y$11,0),0)</f>
        <v/>
      </c>
      <c r="EK29" s="152">
        <f>IF($EJ29=0,0,INDEX($AB$2:$AB$11,$EJ29))</f>
        <v/>
      </c>
      <c r="EL29" s="152">
        <f>IFERROR(VLOOKUP($EC29,$BC$2:$BK$84,4,FALSE),0)</f>
        <v/>
      </c>
      <c r="EM29" s="152">
        <f>IFERROR(VLOOKUP($ED29,$BC$2:$BK$84,4,FALSE),0)</f>
        <v/>
      </c>
      <c r="EN29" s="152">
        <f>IFERROR(VLOOKUP($EE29,$BC$2:$BK$84,4,FALSE),0)</f>
        <v/>
      </c>
      <c r="EO29" s="152">
        <f>IFERROR(VLOOKUP($EF29,$BC$2:$BK$84,4,FALSE),0)</f>
        <v/>
      </c>
      <c r="EP29" s="152">
        <f>IF($EJ29=0,0,INDEX($AC$2:$AC$11,$EJ29))</f>
        <v/>
      </c>
      <c r="EQ29" s="152">
        <f>IFERROR(VLOOKUP($EC29,$BC$2:$BK$84,5,FALSE),0)</f>
        <v/>
      </c>
      <c r="ER29" s="152">
        <f>IFERROR(VLOOKUP($ED29,$BC$2:$BK$84,5,FALSE),0)</f>
        <v/>
      </c>
      <c r="ES29" s="152">
        <f>IFERROR(VLOOKUP($EE29,$BC$2:$BK$84,5,FALSE),0)</f>
        <v/>
      </c>
      <c r="ET29" s="152">
        <f>IFERROR(VLOOKUP($EF29,$BC$2:$BK$84,5,FALSE),0)</f>
        <v/>
      </c>
      <c r="EU29" s="152">
        <f>IFERROR(VLOOKUP($EC29,$BC$2:$BK$84,6,FALSE),0)+IFERROR(VLOOKUP($ED29,$BC$2:$BK$84,6,FALSE),0)+IFERROR(VLOOKUP($EE29,$BC$2:$BK$84,6,FALSE),0)+IFERROR(VLOOKUP($EF29,$BC$2:$BK$84,6,FALSE),0)</f>
        <v/>
      </c>
      <c r="EV29" s="152">
        <f>IFERROR(VLOOKUP($EC29,$BC$2:$BK$84,9,FALSE),0)+IFERROR(VLOOKUP($ED29,$BC$2:$BK$84,9,FALSE),0)+IFERROR(VLOOKUP($EE29,$BC$2:$BK$84,9,FALSE),0)+IFERROR(VLOOKUP($EF29,$BC$2:$BK$84,9,FALSE),0)</f>
        <v/>
      </c>
      <c r="EW29" s="152">
        <f>IF($EJ29=0,0,INDEX($AD$2:$AD$11,$EJ29))</f>
        <v/>
      </c>
      <c r="EX29" s="152">
        <f>IF($EJ29=0,0,INDEX($AE$2:$AE$11,$EJ29))</f>
        <v/>
      </c>
      <c r="EY29" s="152">
        <f>IF($EJ29=0,0,INDEX($AG$2:$AG$11,$EJ29))</f>
        <v/>
      </c>
      <c r="EZ29" s="152">
        <f>IFERROR(VLOOKUP($EG29,$BM$2:$BQ$24,3,FALSE),0)</f>
        <v/>
      </c>
      <c r="FA29" s="152">
        <f>IFERROR(VLOOKUP($EH29,$BM$2:$BQ$24,3,FALSE),0)</f>
        <v/>
      </c>
      <c r="FB29" s="152">
        <f>IFERROR(VLOOKUP($EG29,$BM$2:$BQ$24,2,FALSE),"")</f>
        <v/>
      </c>
      <c r="FC29" s="152">
        <f>IFERROR(VLOOKUP($EH29,$BM$2:$BQ$24,2,FALSE),"")</f>
        <v/>
      </c>
      <c r="FD29" s="152">
        <f>COUNTIF($EK29:$EO29,1)</f>
        <v/>
      </c>
      <c r="FE29" s="152">
        <f>COUNTIF($EK29:$EO29,2)</f>
        <v/>
      </c>
      <c r="FF29" s="152">
        <f>COUNTIF($EK29:$EO29,3)</f>
        <v/>
      </c>
      <c r="FG29" s="152">
        <f>COUNTIF($EK29:$EO29,4)</f>
        <v/>
      </c>
      <c r="FH29" s="152">
        <f>COUNTIF($EK29:$EO29,5)</f>
        <v/>
      </c>
      <c r="FI29" s="152">
        <f>COUNTIF($EK29:$EO29,6)</f>
        <v/>
      </c>
      <c r="FJ29" s="152">
        <f>COUNTIF($EZ29:$FA29,1)</f>
        <v/>
      </c>
      <c r="FK29" s="152">
        <f>COUNTIF($EZ29:$FA29,2)+$EW29</f>
        <v/>
      </c>
      <c r="FL29" s="152">
        <f>COUNTIF($EC29:$EF29,"?*")</f>
        <v/>
      </c>
      <c r="FM29" s="152">
        <f>COUNTIF($EG29:$EH29,"?*")+$EW29</f>
        <v/>
      </c>
      <c r="FN29" s="152">
        <f>SUMPRODUCT($FD29:$FI29,INDEX($Q$2:$V$8,$DZ29,0))</f>
        <v/>
      </c>
      <c r="FO29" s="152">
        <f>$FJ29*CEILING($DZ29/2,1)+$FK29*$DZ29</f>
        <v/>
      </c>
      <c r="FP29" s="152">
        <f>MIN(2*$DZ29,$FO29)</f>
        <v/>
      </c>
      <c r="FQ29" s="152">
        <f>MIN($FP29,$FN29)</f>
        <v/>
      </c>
      <c r="FR29" s="152">
        <f>$FP29-$FQ29</f>
        <v/>
      </c>
      <c r="FS29" s="152">
        <f>3*$DZ29-$FN29+$FQ29</f>
        <v/>
      </c>
      <c r="FT29" s="152">
        <f>MAX(0,$FS29)+$DX29*$DZ29</f>
        <v/>
      </c>
      <c r="FU29" s="152">
        <f>(IF(COUNTIF($EC29:$EF29,"Salto")&gt;0,1,0)+IF(COUNTIF($EC29:$EF29,"Queima")&gt;0,1,0)+IF(COUNTIF($EC29:$EF29,"Estilhaço")&gt;0,1,0))*FLOOR($FT29/2,1)</f>
        <v/>
      </c>
      <c r="FV29" s="152">
        <f>MAX(0,3-SUMPRODUCT($FD29:$FI29,$Q$2:$V$2)+MIN(2,$FJ29*1+$FK29*1,SUMPRODUCT($FD29:$FI29,$Q$2:$V$2)))+$DX29*1</f>
        <v/>
      </c>
      <c r="FW29" s="152">
        <f>MAX(0,6-SUMPRODUCT($FD29:$FI29,$Q$3:$V$3)+MIN(4,$FJ29*1+$FK29*2,SUMPRODUCT($FD29:$FI29,$Q$3:$V$3)))+$DX29*2</f>
        <v/>
      </c>
      <c r="FX29" s="152">
        <f>MAX(0,9-SUMPRODUCT($FD29:$FI29,$Q$4:$V$4)+MIN(6,$FJ29*2+$FK29*3,SUMPRODUCT($FD29:$FI29,$Q$4:$V$4)))+$DX29*3</f>
        <v/>
      </c>
      <c r="FY29" s="152">
        <f>MAX(0,12-SUMPRODUCT($FD29:$FI29,$Q$5:$V$5)+MIN(8,$FJ29*2+$FK29*4,SUMPRODUCT($FD29:$FI29,$Q$5:$V$5)))+$DX29*4</f>
        <v/>
      </c>
      <c r="FZ29" s="152">
        <f>MAX(0,15-SUMPRODUCT($FD29:$FI29,$Q$6:$V$6)+MIN(10,$FJ29*3+$FK29*5,SUMPRODUCT($FD29:$FI29,$Q$6:$V$6)))+$DX29*5</f>
        <v/>
      </c>
      <c r="GA29" s="152">
        <f>MAX(0,18-SUMPRODUCT($FD29:$FI29,$Q$7:$V$7)+MIN(12,$FJ29*3+$FK29*6,SUMPRODUCT($FD29:$FI29,$Q$7:$V$7)))+$DX29*6</f>
        <v/>
      </c>
      <c r="GB29" s="152">
        <f>MAX(0,21-SUMPRODUCT($FD29:$FI29,$Q$8:$V$8)+MIN(14,$FJ29*4+$FK29*7,SUMPRODUCT($FD29:$FI29,$Q$8:$V$8)))+$DX29*7</f>
        <v/>
      </c>
      <c r="GC29" s="152">
        <f>IF($EX29=2,3*$FV29&amp;" de vida temp.",IF($EX29=3,"sem dano",IF($FV29=0,IF($EX29=1,"sem cura","sem dano"),IF($EX29=1,"cura ","")&amp;$FV29&amp;"d8")))</f>
        <v/>
      </c>
      <c r="GD29" s="152">
        <f>IF($EX29=2,3*$FW29&amp;" de vida temp.",IF($EX29=3,"sem dano",IF($FW29=0,IF($EX29=1,"sem cura","sem dano"),IF($EX29=1,"cura ","")&amp;$FW29&amp;"d8")))</f>
        <v/>
      </c>
      <c r="GE29" s="152">
        <f>IF($EX29=2,3*$FX29&amp;" de vida temp.",IF($EX29=3,"sem dano",IF($FX29=0,IF($EX29=1,"sem cura","sem dano"),IF($EX29=1,"cura ","")&amp;$FX29&amp;"d8")))</f>
        <v/>
      </c>
      <c r="GF29" s="152">
        <f>IF($EX29=2,3*$FY29&amp;" de vida temp.",IF($EX29=3,"sem dano",IF($FY29=0,IF($EX29=1,"sem cura","sem dano"),IF($EX29=1,"cura ","")&amp;$FY29&amp;"d8")))</f>
        <v/>
      </c>
      <c r="GG29" s="152">
        <f>IF($EX29=2,3*$FZ29&amp;" de vida temp.",IF($EX29=3,"sem dano",IF($FZ29=0,IF($EX29=1,"sem cura","sem dano"),IF($EX29=1,"cura ","")&amp;$FZ29&amp;"d8")))</f>
        <v/>
      </c>
      <c r="GH29" s="152">
        <f>IF($EX29=2,3*$GA29&amp;" de vida temp.",IF($EX29=3,"sem dano",IF($GA29=0,IF($EX29=1,"sem cura","sem dano"),IF($EX29=1,"cura ","")&amp;$GA29&amp;"d8")))</f>
        <v/>
      </c>
      <c r="GI29" s="152">
        <f>IF($EX29=2,3*$GB29&amp;" de vida temp.",IF($EX29=3,"sem dano",IF($GB29=0,IF($EX29=1,"sem cura","sem dano"),IF($EX29=1,"cura ","")&amp;$GB29&amp;"d8")))</f>
        <v/>
      </c>
      <c r="GJ29" s="152">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2">
        <f>IF($GJ29="",0,(LEN($GJ29)-LEN(SUBSTITUTE($GJ29," · ","")))/3+1)</f>
        <v/>
      </c>
      <c r="GL29" s="152">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2">
        <f>IF($GL29="",0,(LEN($GL29)-LEN(SUBSTITUTE($GL29," · ","")))/3+1)</f>
        <v/>
      </c>
      <c r="GN29" s="152">
        <f>IF($EI29=0,IF($FL29+$FM29-$EW29&gt;0,"Dê um nome",""),IF($GK29&gt;0,"⚠ "&amp;$GK29&amp;IF($GK29&gt;1," erros"," erro"),IF($GM29&gt;0,"! "&amp;$GM29&amp;IF($GM29&gt;1," avisos"," aviso"),"Na regra")))</f>
        <v/>
      </c>
      <c r="GO29" s="152">
        <f>IF($EI29=0,"",IF($GK29+$GM29=0,"Dentro das regras que a ficha confere",$GJ29&amp;IF(AND($GK29&gt;0,$GM29&gt;0)," · ","")&amp;$GL29))</f>
        <v/>
      </c>
      <c r="GP29" s="152">
        <f>IF($EI29=0,"",IF($DX29=1,CEILING(4.5*$DZ29,1),3*$DZ29)&amp;" PE")</f>
        <v/>
      </c>
      <c r="GQ29" s="152">
        <f>IF($EI29=0,"",IF($DX29=1,"Rodada inteira",IF(COUNTIF($FB29:$FC29,"Atrasar")&gt;0,IF(COUNTIF($FB29:$FC29,"Carregar")&gt;0,"Rodada +1 turno","Rodada inteira"),IF(COUNTIF($EC29:$EF29,"Rápido")&gt;0,"Bônus",IF(COUNTIF($EC29:$EF29,"Reação")&gt;0,"Reação","Padrão"))&amp;IF(COUNTIF($FB29:$FC29,"Carregar")&gt;0," +1 turno",""))))</f>
        <v/>
      </c>
      <c r="GR29" s="152">
        <f>IF(OR($EI29=0,$EJ29=0),"",IF(COUNTIF($EC29:$EF29,"Inescapável")&gt;0,"Automático",IF(COUNTIF($EC29:$EF29,"Certeiro")&gt;0,"TR para metade",IF(AND($EV29&gt;0,$EY29=0,INDEX($AF$2:$AF$11,$EJ29)="Acerto"),"Acerto + TR",INDEX($AF$2:$AF$11,$EJ29)))))</f>
        <v/>
      </c>
      <c r="GS29" s="152">
        <f>IF(OR($EI29=0,$EJ29=0),"",IF(OR($EX29&gt;=2,$FT29=0),UPPER(LEFT(INDEX($GC29:$GI29,1,$DZ29),1))&amp;MID(INDEX($GC29:$GI29,1,$DZ29),2,99),UPPER(LEFT(INDEX($GC29:$GI29,1,$DZ29),1))&amp;MID(INDEX($GC29:$GI29,1,$DZ29),2,99)&amp;" = "&amp;FLOOR($FT29*4.5,1)&amp;IF($FU29&gt;0," · +"&amp;$FU29&amp;"d8","")))</f>
        <v/>
      </c>
      <c r="GT29" s="152">
        <f>COUNTIF($EC29:$EF29,"Longe")+3*COUNTIF($EC29:$EF29,"Muito Longe")</f>
        <v/>
      </c>
      <c r="GU29" s="152">
        <f>COUNTIF($EC29:$EF29,"Maior")+3*COUNTIF($EC29:$EF29,"Muito Maior")</f>
        <v/>
      </c>
      <c r="GV29" s="152">
        <f>IF($EJ29=0,0,CHOOSE(1+INDEX($AH$2:$AH$11,$EJ29),0,$GT29,$GU29,$GT29+$GU29))</f>
        <v/>
      </c>
      <c r="GW29" s="152">
        <f>IF($EJ29=0,0,CHOOSE(1+INDEX($AI$2:$AI$11,$EJ29),0,$GT29,$GU29,$GT29+$GU29))</f>
        <v/>
      </c>
      <c r="GX29" s="152">
        <f>IF(OR($EI29=0,$EJ29=0),"",INDEX($AP$2:$AU$31,($EJ29-1)*3+IF($DZ29&gt;=6,3,2),1+MIN(5,$GV29))&amp;INDEX($AV$2:$BA$31,($EJ29-1)*3+IF($DZ29&gt;=6,3,2),1+MIN(5,$GW29))&amp;IF(INDEX($AJ$2:$AJ$11,$EJ29)=1,IF(COUNTIF($EC29:$EF29,"Mais Um")&gt;0," · +"&amp;COUNTIF($EC29:$EF29,"Mais Um")&amp;IF(COUNTIF($EC29:$EF29,"Mais Um")&gt;1," alvos"," alvo"),"")&amp;IF(COUNTIF($EC29:$EF29,"Rajada")&gt;0," · "&amp;($DZ29+1)&amp;" tiros",""),""))</f>
        <v/>
      </c>
      <c r="GY29" s="152">
        <f>IF($EI29=0,"",3*$DZ29&amp;" − "&amp;$FN29&amp;" + "&amp;$FQ29&amp;IF($DX29=1," + "&amp;$DZ29,"")&amp;" = "&amp;$FT29&amp;"d8 · teto "&amp;4*$DZ29&amp;IF($EW29=1," · a Forma devolve "&amp;$DZ29,"")&amp;IF($FR29&gt;0," · perde "&amp;$FR29,""))</f>
        <v/>
      </c>
      <c r="GZ29" s="152">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2">
        <f>IF(OR($EI29=0,$EL29=0),"","−"&amp;INDEX($Q$2:$V$8,$DZ29,$EL29)&amp;" · "&amp;CHOOSE($EL29,"Leve","Média","Pesada","Leve · Livre","Média · Livre","Pesada · Livre"))</f>
        <v/>
      </c>
      <c r="HB29" s="152">
        <f>IF(OR($EI29=0,$EM29=0),"","−"&amp;INDEX($Q$2:$V$8,$DZ29,$EM29)&amp;" · "&amp;CHOOSE($EM29,"Leve","Média","Pesada","Leve · Livre","Média · Livre","Pesada · Livre"))</f>
        <v/>
      </c>
      <c r="HC29" s="152">
        <f>IF(OR($EI29=0,$EN29=0),"","−"&amp;INDEX($Q$2:$V$8,$DZ29,$EN29)&amp;" · "&amp;CHOOSE($EN29,"Leve","Média","Pesada","Leve · Livre","Média · Livre","Pesada · Livre"))</f>
        <v/>
      </c>
      <c r="HD29" s="152">
        <f>IF(OR($EI29=0,$EO29=0),"","−"&amp;INDEX($Q$2:$V$8,$DZ29,$EO29)&amp;" · "&amp;CHOOSE($EO29,"Leve","Média","Pesada","Leve · Livre","Média · Livre","Pesada · Livre"))</f>
        <v/>
      </c>
      <c r="HE29" s="152">
        <f>IF(OR($EI29=0,$EG29=""),"","+"&amp;IF($EZ29=1,CEILING($DZ29/2,1),$DZ29))</f>
        <v/>
      </c>
      <c r="HF29" s="152">
        <f>IF(OR($EI29=0,$EH29=""),"","+"&amp;IF($FA29=1,CEILING($DZ29/2,1),$DZ29))</f>
        <v/>
      </c>
      <c r="HG29" s="152">
        <f>'FICHA AMALDIÇOADA'!$D$246&amp;""</f>
        <v/>
      </c>
      <c r="HH29" s="152">
        <f>IF(AND($EI29=1,$DX29=0),COUNTIFS($EI$2:$EI29,1,$DX$2:$DX29,0),"")</f>
        <v/>
      </c>
      <c r="HJ29" s="150" t="inlineStr">
        <is>
          <t>classe do índice</t>
        </is>
      </c>
      <c r="HK29" s="152">
        <f>IF(N('FICHA AMALDIÇOADA'!$D$46)&lt;1,$HK$4,MIN(7,N('FICHA AMALDIÇOADA'!$D$46)))</f>
        <v/>
      </c>
      <c r="JF29" s="152" t="n">
        <v>28</v>
      </c>
      <c r="JG29" s="152">
        <f>IFERROR(MATCH(28,$HH$2:$HH$37,0),0)</f>
        <v/>
      </c>
      <c r="JH29" s="152">
        <f>IF($JG29=0,"",INDEX($DZ$2:$DZ$37,$JG29))</f>
        <v/>
      </c>
      <c r="JI29" s="152">
        <f>IF($JG29=0,"",INDEX($EA$2:$EA$37,$JG29))</f>
        <v/>
      </c>
      <c r="JJ29" s="152">
        <f>IF($JG29=0,"",INDEX($GP$2:$GP$37,$JG29))</f>
        <v/>
      </c>
      <c r="JK29" s="152">
        <f>IF($JG29=0,"",INDEX($EB$2:$EB$37,$JG29))</f>
        <v/>
      </c>
      <c r="JL29" s="152">
        <f>IF($JG29=0,"",INDEX($GR$2:$GR$37,$JG29))</f>
        <v/>
      </c>
      <c r="JM29" s="152">
        <f>IF($JG29=0,"",INDEX($HG$2:$HG$37,$JG29))</f>
        <v/>
      </c>
      <c r="KS29" s="150" t="inlineStr">
        <is>
          <t>L46</t>
        </is>
      </c>
      <c r="KT29" s="152">
        <f>4*DADOS_AM!$HK$29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BK30" s="152" t="n">
        <v>1</v>
      </c>
      <c r="CD30" s="150" t="inlineStr">
        <is>
          <t>Campo</t>
        </is>
      </c>
      <c r="CE30" s="150" t="inlineStr">
        <is>
          <t>Lapidação 1</t>
        </is>
      </c>
      <c r="CF30" s="152" t="n">
        <v>1</v>
      </c>
      <c r="CG30" s="150" t="inlineStr">
        <is>
          <t>—</t>
        </is>
      </c>
      <c r="CH30" s="150" t="inlineStr">
        <is>
          <t>Uma vez por cena, você pode realizar Estudar como Ação Bônus, em vez de Ação Padrão. Use a ação descrita em Ações — Estudar, com seus alvos, testes e informações disponíveis.</t>
        </is>
      </c>
      <c r="CI30" s="152">
        <f>IF($CL30=1,"",IF($A$2=4,IF($CJ30=1,$CD30,""),IF(OR($CJ30=1,AND($A$2=3,$CK30=1)),"",$CD30)))</f>
        <v/>
      </c>
      <c r="CJ30" s="152" t="n">
        <v>1</v>
      </c>
      <c r="CK30" s="152" t="n">
        <v>0</v>
      </c>
      <c r="CL30" s="152" t="n">
        <v>0</v>
      </c>
      <c r="CM30" s="150" t="inlineStr">
        <is>
          <t>Uma vez por cena, você pode realizar Estudar como Ação Bônus, em vez de Ação Padrão. Use a ação descrita em Ações — Estudar, com seus alvos, testes e informações disponíveis.</t>
        </is>
      </c>
      <c r="DW30" s="150" t="inlineStr">
        <is>
          <t>Feitiço 29</t>
        </is>
      </c>
      <c r="DX30" s="152" t="n">
        <v>0</v>
      </c>
      <c r="DY30" s="152" t="n">
        <v>29</v>
      </c>
      <c r="DZ30" s="152">
        <f>MAX(1,MIN(7,N('FICHA AMALDIÇOADA'!$J$244)))</f>
        <v/>
      </c>
      <c r="EA30" s="152">
        <f>'FICHA AMALDIÇOADA'!$K$244&amp;""</f>
        <v/>
      </c>
      <c r="EB30" s="152">
        <f>'FICHA AMALDIÇOADA'!$J$251&amp;""</f>
        <v/>
      </c>
      <c r="EC30" s="152">
        <f>'FICHA AMALDIÇOADA'!$K$253&amp;""</f>
        <v/>
      </c>
      <c r="ED30" s="152">
        <f>'FICHA AMALDIÇOADA'!$K$254&amp;""</f>
        <v/>
      </c>
      <c r="EE30" s="152">
        <f>'FICHA AMALDIÇOADA'!$K$255&amp;""</f>
        <v/>
      </c>
      <c r="EF30" s="152">
        <f>'FICHA AMALDIÇOADA'!$K$256&amp;""</f>
        <v/>
      </c>
      <c r="EG30" s="152">
        <f>'FICHA AMALDIÇOADA'!$K$257&amp;""</f>
        <v/>
      </c>
      <c r="EH30" s="152">
        <f>'FICHA AMALDIÇOADA'!$K$258&amp;""</f>
        <v/>
      </c>
      <c r="EI30" s="152">
        <f>IF($EA30&lt;&gt;"",1,0)</f>
        <v/>
      </c>
      <c r="EJ30" s="152">
        <f>IFERROR(MATCH($EB30,$Y$2:$Y$11,0),0)</f>
        <v/>
      </c>
      <c r="EK30" s="152">
        <f>IF($EJ30=0,0,INDEX($AB$2:$AB$11,$EJ30))</f>
        <v/>
      </c>
      <c r="EL30" s="152">
        <f>IFERROR(VLOOKUP($EC30,$BC$2:$BK$84,4,FALSE),0)</f>
        <v/>
      </c>
      <c r="EM30" s="152">
        <f>IFERROR(VLOOKUP($ED30,$BC$2:$BK$84,4,FALSE),0)</f>
        <v/>
      </c>
      <c r="EN30" s="152">
        <f>IFERROR(VLOOKUP($EE30,$BC$2:$BK$84,4,FALSE),0)</f>
        <v/>
      </c>
      <c r="EO30" s="152">
        <f>IFERROR(VLOOKUP($EF30,$BC$2:$BK$84,4,FALSE),0)</f>
        <v/>
      </c>
      <c r="EP30" s="152">
        <f>IF($EJ30=0,0,INDEX($AC$2:$AC$11,$EJ30))</f>
        <v/>
      </c>
      <c r="EQ30" s="152">
        <f>IFERROR(VLOOKUP($EC30,$BC$2:$BK$84,5,FALSE),0)</f>
        <v/>
      </c>
      <c r="ER30" s="152">
        <f>IFERROR(VLOOKUP($ED30,$BC$2:$BK$84,5,FALSE),0)</f>
        <v/>
      </c>
      <c r="ES30" s="152">
        <f>IFERROR(VLOOKUP($EE30,$BC$2:$BK$84,5,FALSE),0)</f>
        <v/>
      </c>
      <c r="ET30" s="152">
        <f>IFERROR(VLOOKUP($EF30,$BC$2:$BK$84,5,FALSE),0)</f>
        <v/>
      </c>
      <c r="EU30" s="152">
        <f>IFERROR(VLOOKUP($EC30,$BC$2:$BK$84,6,FALSE),0)+IFERROR(VLOOKUP($ED30,$BC$2:$BK$84,6,FALSE),0)+IFERROR(VLOOKUP($EE30,$BC$2:$BK$84,6,FALSE),0)+IFERROR(VLOOKUP($EF30,$BC$2:$BK$84,6,FALSE),0)</f>
        <v/>
      </c>
      <c r="EV30" s="152">
        <f>IFERROR(VLOOKUP($EC30,$BC$2:$BK$84,9,FALSE),0)+IFERROR(VLOOKUP($ED30,$BC$2:$BK$84,9,FALSE),0)+IFERROR(VLOOKUP($EE30,$BC$2:$BK$84,9,FALSE),0)+IFERROR(VLOOKUP($EF30,$BC$2:$BK$84,9,FALSE),0)</f>
        <v/>
      </c>
      <c r="EW30" s="152">
        <f>IF($EJ30=0,0,INDEX($AD$2:$AD$11,$EJ30))</f>
        <v/>
      </c>
      <c r="EX30" s="152">
        <f>IF($EJ30=0,0,INDEX($AE$2:$AE$11,$EJ30))</f>
        <v/>
      </c>
      <c r="EY30" s="152">
        <f>IF($EJ30=0,0,INDEX($AG$2:$AG$11,$EJ30))</f>
        <v/>
      </c>
      <c r="EZ30" s="152">
        <f>IFERROR(VLOOKUP($EG30,$BM$2:$BQ$24,3,FALSE),0)</f>
        <v/>
      </c>
      <c r="FA30" s="152">
        <f>IFERROR(VLOOKUP($EH30,$BM$2:$BQ$24,3,FALSE),0)</f>
        <v/>
      </c>
      <c r="FB30" s="152">
        <f>IFERROR(VLOOKUP($EG30,$BM$2:$BQ$24,2,FALSE),"")</f>
        <v/>
      </c>
      <c r="FC30" s="152">
        <f>IFERROR(VLOOKUP($EH30,$BM$2:$BQ$24,2,FALSE),"")</f>
        <v/>
      </c>
      <c r="FD30" s="152">
        <f>COUNTIF($EK30:$EO30,1)</f>
        <v/>
      </c>
      <c r="FE30" s="152">
        <f>COUNTIF($EK30:$EO30,2)</f>
        <v/>
      </c>
      <c r="FF30" s="152">
        <f>COUNTIF($EK30:$EO30,3)</f>
        <v/>
      </c>
      <c r="FG30" s="152">
        <f>COUNTIF($EK30:$EO30,4)</f>
        <v/>
      </c>
      <c r="FH30" s="152">
        <f>COUNTIF($EK30:$EO30,5)</f>
        <v/>
      </c>
      <c r="FI30" s="152">
        <f>COUNTIF($EK30:$EO30,6)</f>
        <v/>
      </c>
      <c r="FJ30" s="152">
        <f>COUNTIF($EZ30:$FA30,1)</f>
        <v/>
      </c>
      <c r="FK30" s="152">
        <f>COUNTIF($EZ30:$FA30,2)+$EW30</f>
        <v/>
      </c>
      <c r="FL30" s="152">
        <f>COUNTIF($EC30:$EF30,"?*")</f>
        <v/>
      </c>
      <c r="FM30" s="152">
        <f>COUNTIF($EG30:$EH30,"?*")+$EW30</f>
        <v/>
      </c>
      <c r="FN30" s="152">
        <f>SUMPRODUCT($FD30:$FI30,INDEX($Q$2:$V$8,$DZ30,0))</f>
        <v/>
      </c>
      <c r="FO30" s="152">
        <f>$FJ30*CEILING($DZ30/2,1)+$FK30*$DZ30</f>
        <v/>
      </c>
      <c r="FP30" s="152">
        <f>MIN(2*$DZ30,$FO30)</f>
        <v/>
      </c>
      <c r="FQ30" s="152">
        <f>MIN($FP30,$FN30)</f>
        <v/>
      </c>
      <c r="FR30" s="152">
        <f>$FP30-$FQ30</f>
        <v/>
      </c>
      <c r="FS30" s="152">
        <f>3*$DZ30-$FN30+$FQ30</f>
        <v/>
      </c>
      <c r="FT30" s="152">
        <f>MAX(0,$FS30)+$DX30*$DZ30</f>
        <v/>
      </c>
      <c r="FU30" s="152">
        <f>(IF(COUNTIF($EC30:$EF30,"Salto")&gt;0,1,0)+IF(COUNTIF($EC30:$EF30,"Queima")&gt;0,1,0)+IF(COUNTIF($EC30:$EF30,"Estilhaço")&gt;0,1,0))*FLOOR($FT30/2,1)</f>
        <v/>
      </c>
      <c r="FV30" s="152">
        <f>MAX(0,3-SUMPRODUCT($FD30:$FI30,$Q$2:$V$2)+MIN(2,$FJ30*1+$FK30*1,SUMPRODUCT($FD30:$FI30,$Q$2:$V$2)))+$DX30*1</f>
        <v/>
      </c>
      <c r="FW30" s="152">
        <f>MAX(0,6-SUMPRODUCT($FD30:$FI30,$Q$3:$V$3)+MIN(4,$FJ30*1+$FK30*2,SUMPRODUCT($FD30:$FI30,$Q$3:$V$3)))+$DX30*2</f>
        <v/>
      </c>
      <c r="FX30" s="152">
        <f>MAX(0,9-SUMPRODUCT($FD30:$FI30,$Q$4:$V$4)+MIN(6,$FJ30*2+$FK30*3,SUMPRODUCT($FD30:$FI30,$Q$4:$V$4)))+$DX30*3</f>
        <v/>
      </c>
      <c r="FY30" s="152">
        <f>MAX(0,12-SUMPRODUCT($FD30:$FI30,$Q$5:$V$5)+MIN(8,$FJ30*2+$FK30*4,SUMPRODUCT($FD30:$FI30,$Q$5:$V$5)))+$DX30*4</f>
        <v/>
      </c>
      <c r="FZ30" s="152">
        <f>MAX(0,15-SUMPRODUCT($FD30:$FI30,$Q$6:$V$6)+MIN(10,$FJ30*3+$FK30*5,SUMPRODUCT($FD30:$FI30,$Q$6:$V$6)))+$DX30*5</f>
        <v/>
      </c>
      <c r="GA30" s="152">
        <f>MAX(0,18-SUMPRODUCT($FD30:$FI30,$Q$7:$V$7)+MIN(12,$FJ30*3+$FK30*6,SUMPRODUCT($FD30:$FI30,$Q$7:$V$7)))+$DX30*6</f>
        <v/>
      </c>
      <c r="GB30" s="152">
        <f>MAX(0,21-SUMPRODUCT($FD30:$FI30,$Q$8:$V$8)+MIN(14,$FJ30*4+$FK30*7,SUMPRODUCT($FD30:$FI30,$Q$8:$V$8)))+$DX30*7</f>
        <v/>
      </c>
      <c r="GC30" s="152">
        <f>IF($EX30=2,3*$FV30&amp;" de vida temp.",IF($EX30=3,"sem dano",IF($FV30=0,IF($EX30=1,"sem cura","sem dano"),IF($EX30=1,"cura ","")&amp;$FV30&amp;"d8")))</f>
        <v/>
      </c>
      <c r="GD30" s="152">
        <f>IF($EX30=2,3*$FW30&amp;" de vida temp.",IF($EX30=3,"sem dano",IF($FW30=0,IF($EX30=1,"sem cura","sem dano"),IF($EX30=1,"cura ","")&amp;$FW30&amp;"d8")))</f>
        <v/>
      </c>
      <c r="GE30" s="152">
        <f>IF($EX30=2,3*$FX30&amp;" de vida temp.",IF($EX30=3,"sem dano",IF($FX30=0,IF($EX30=1,"sem cura","sem dano"),IF($EX30=1,"cura ","")&amp;$FX30&amp;"d8")))</f>
        <v/>
      </c>
      <c r="GF30" s="152">
        <f>IF($EX30=2,3*$FY30&amp;" de vida temp.",IF($EX30=3,"sem dano",IF($FY30=0,IF($EX30=1,"sem cura","sem dano"),IF($EX30=1,"cura ","")&amp;$FY30&amp;"d8")))</f>
        <v/>
      </c>
      <c r="GG30" s="152">
        <f>IF($EX30=2,3*$FZ30&amp;" de vida temp.",IF($EX30=3,"sem dano",IF($FZ30=0,IF($EX30=1,"sem cura","sem dano"),IF($EX30=1,"cura ","")&amp;$FZ30&amp;"d8")))</f>
        <v/>
      </c>
      <c r="GH30" s="152">
        <f>IF($EX30=2,3*$GA30&amp;" de vida temp.",IF($EX30=3,"sem dano",IF($GA30=0,IF($EX30=1,"sem cura","sem dano"),IF($EX30=1,"cura ","")&amp;$GA30&amp;"d8")))</f>
        <v/>
      </c>
      <c r="GI30" s="152">
        <f>IF($EX30=2,3*$GB30&amp;" de vida temp.",IF($EX30=3,"sem dano",IF($GB30=0,IF($EX30=1,"sem cura","sem dano"),IF($EX30=1,"cura ","")&amp;$GB30&amp;"d8")))</f>
        <v/>
      </c>
      <c r="GJ30" s="152">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2">
        <f>IF($GJ30="",0,(LEN($GJ30)-LEN(SUBSTITUTE($GJ30," · ","")))/3+1)</f>
        <v/>
      </c>
      <c r="GL30" s="152">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2">
        <f>IF($GL30="",0,(LEN($GL30)-LEN(SUBSTITUTE($GL30," · ","")))/3+1)</f>
        <v/>
      </c>
      <c r="GN30" s="152">
        <f>IF($EI30=0,IF($FL30+$FM30-$EW30&gt;0,"Dê um nome",""),IF($GK30&gt;0,"⚠ "&amp;$GK30&amp;IF($GK30&gt;1," erros"," erro"),IF($GM30&gt;0,"! "&amp;$GM30&amp;IF($GM30&gt;1," avisos"," aviso"),"Na regra")))</f>
        <v/>
      </c>
      <c r="GO30" s="152">
        <f>IF($EI30=0,"",IF($GK30+$GM30=0,"Dentro das regras que a ficha confere",$GJ30&amp;IF(AND($GK30&gt;0,$GM30&gt;0)," · ","")&amp;$GL30))</f>
        <v/>
      </c>
      <c r="GP30" s="152">
        <f>IF($EI30=0,"",IF($DX30=1,CEILING(4.5*$DZ30,1),3*$DZ30)&amp;" PE")</f>
        <v/>
      </c>
      <c r="GQ30" s="152">
        <f>IF($EI30=0,"",IF($DX30=1,"Rodada inteira",IF(COUNTIF($FB30:$FC30,"Atrasar")&gt;0,IF(COUNTIF($FB30:$FC30,"Carregar")&gt;0,"Rodada +1 turno","Rodada inteira"),IF(COUNTIF($EC30:$EF30,"Rápido")&gt;0,"Bônus",IF(COUNTIF($EC30:$EF30,"Reação")&gt;0,"Reação","Padrão"))&amp;IF(COUNTIF($FB30:$FC30,"Carregar")&gt;0," +1 turno",""))))</f>
        <v/>
      </c>
      <c r="GR30" s="152">
        <f>IF(OR($EI30=0,$EJ30=0),"",IF(COUNTIF($EC30:$EF30,"Inescapável")&gt;0,"Automático",IF(COUNTIF($EC30:$EF30,"Certeiro")&gt;0,"TR para metade",IF(AND($EV30&gt;0,$EY30=0,INDEX($AF$2:$AF$11,$EJ30)="Acerto"),"Acerto + TR",INDEX($AF$2:$AF$11,$EJ30)))))</f>
        <v/>
      </c>
      <c r="GS30" s="152">
        <f>IF(OR($EI30=0,$EJ30=0),"",IF(OR($EX30&gt;=2,$FT30=0),UPPER(LEFT(INDEX($GC30:$GI30,1,$DZ30),1))&amp;MID(INDEX($GC30:$GI30,1,$DZ30),2,99),UPPER(LEFT(INDEX($GC30:$GI30,1,$DZ30),1))&amp;MID(INDEX($GC30:$GI30,1,$DZ30),2,99)&amp;" = "&amp;FLOOR($FT30*4.5,1)&amp;IF($FU30&gt;0," · +"&amp;$FU30&amp;"d8","")))</f>
        <v/>
      </c>
      <c r="GT30" s="152">
        <f>COUNTIF($EC30:$EF30,"Longe")+3*COUNTIF($EC30:$EF30,"Muito Longe")</f>
        <v/>
      </c>
      <c r="GU30" s="152">
        <f>COUNTIF($EC30:$EF30,"Maior")+3*COUNTIF($EC30:$EF30,"Muito Maior")</f>
        <v/>
      </c>
      <c r="GV30" s="152">
        <f>IF($EJ30=0,0,CHOOSE(1+INDEX($AH$2:$AH$11,$EJ30),0,$GT30,$GU30,$GT30+$GU30))</f>
        <v/>
      </c>
      <c r="GW30" s="152">
        <f>IF($EJ30=0,0,CHOOSE(1+INDEX($AI$2:$AI$11,$EJ30),0,$GT30,$GU30,$GT30+$GU30))</f>
        <v/>
      </c>
      <c r="GX30" s="152">
        <f>IF(OR($EI30=0,$EJ30=0),"",INDEX($AP$2:$AU$31,($EJ30-1)*3+IF($DZ30&gt;=6,3,2),1+MIN(5,$GV30))&amp;INDEX($AV$2:$BA$31,($EJ30-1)*3+IF($DZ30&gt;=6,3,2),1+MIN(5,$GW30))&amp;IF(INDEX($AJ$2:$AJ$11,$EJ30)=1,IF(COUNTIF($EC30:$EF30,"Mais Um")&gt;0," · +"&amp;COUNTIF($EC30:$EF30,"Mais Um")&amp;IF(COUNTIF($EC30:$EF30,"Mais Um")&gt;1," alvos"," alvo"),"")&amp;IF(COUNTIF($EC30:$EF30,"Rajada")&gt;0," · "&amp;($DZ30+1)&amp;" tiros",""),""))</f>
        <v/>
      </c>
      <c r="GY30" s="152">
        <f>IF($EI30=0,"",3*$DZ30&amp;" − "&amp;$FN30&amp;" + "&amp;$FQ30&amp;IF($DX30=1," + "&amp;$DZ30,"")&amp;" = "&amp;$FT30&amp;"d8 · teto "&amp;4*$DZ30&amp;IF($EW30=1," · a Forma devolve "&amp;$DZ30,"")&amp;IF($FR30&gt;0," · perde "&amp;$FR30,""))</f>
        <v/>
      </c>
      <c r="GZ30" s="152">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2">
        <f>IF(OR($EI30=0,$EL30=0),"","−"&amp;INDEX($Q$2:$V$8,$DZ30,$EL30)&amp;" · "&amp;CHOOSE($EL30,"Leve","Média","Pesada","Leve · Livre","Média · Livre","Pesada · Livre"))</f>
        <v/>
      </c>
      <c r="HB30" s="152">
        <f>IF(OR($EI30=0,$EM30=0),"","−"&amp;INDEX($Q$2:$V$8,$DZ30,$EM30)&amp;" · "&amp;CHOOSE($EM30,"Leve","Média","Pesada","Leve · Livre","Média · Livre","Pesada · Livre"))</f>
        <v/>
      </c>
      <c r="HC30" s="152">
        <f>IF(OR($EI30=0,$EN30=0),"","−"&amp;INDEX($Q$2:$V$8,$DZ30,$EN30)&amp;" · "&amp;CHOOSE($EN30,"Leve","Média","Pesada","Leve · Livre","Média · Livre","Pesada · Livre"))</f>
        <v/>
      </c>
      <c r="HD30" s="152">
        <f>IF(OR($EI30=0,$EO30=0),"","−"&amp;INDEX($Q$2:$V$8,$DZ30,$EO30)&amp;" · "&amp;CHOOSE($EO30,"Leve","Média","Pesada","Leve · Livre","Média · Livre","Pesada · Livre"))</f>
        <v/>
      </c>
      <c r="HE30" s="152">
        <f>IF(OR($EI30=0,$EG30=""),"","+"&amp;IF($EZ30=1,CEILING($DZ30/2,1),$DZ30))</f>
        <v/>
      </c>
      <c r="HF30" s="152">
        <f>IF(OR($EI30=0,$EH30=""),"","+"&amp;IF($FA30=1,CEILING($DZ30/2,1),$DZ30))</f>
        <v/>
      </c>
      <c r="HG30" s="152">
        <f>'FICHA AMALDIÇOADA'!$J$246&amp;""</f>
        <v/>
      </c>
      <c r="HH30" s="152">
        <f>IF(AND($EI30=1,$DX30=0),COUNTIFS($EI$2:$EI30,1,$DX$2:$DX30,0),"")</f>
        <v/>
      </c>
      <c r="HJ30" s="150" t="inlineStr">
        <is>
          <t>famílias livres</t>
        </is>
      </c>
      <c r="HK30" s="152">
        <f>COUNTIF($J$2:$J$10,"Livre")</f>
        <v/>
      </c>
      <c r="JF30" s="152" t="n">
        <v>29</v>
      </c>
      <c r="JG30" s="152">
        <f>IFERROR(MATCH(29,$HH$2:$HH$37,0),0)</f>
        <v/>
      </c>
      <c r="JH30" s="152">
        <f>IF($JG30=0,"",INDEX($DZ$2:$DZ$37,$JG30))</f>
        <v/>
      </c>
      <c r="JI30" s="152">
        <f>IF($JG30=0,"",INDEX($EA$2:$EA$37,$JG30))</f>
        <v/>
      </c>
      <c r="JJ30" s="152">
        <f>IF($JG30=0,"",INDEX($GP$2:$GP$37,$JG30))</f>
        <v/>
      </c>
      <c r="JK30" s="152">
        <f>IF($JG30=0,"",INDEX($EB$2:$EB$37,$JG30))</f>
        <v/>
      </c>
      <c r="JL30" s="152">
        <f>IF($JG30=0,"",INDEX($GR$2:$GR$37,$JG30))</f>
        <v/>
      </c>
      <c r="JM30" s="152">
        <f>IF($JG30=0,"",INDEX($HG$2:$HG$37,$JG30))</f>
        <v/>
      </c>
      <c r="KS30" s="150" t="inlineStr">
        <is>
          <t>M46</t>
        </is>
      </c>
      <c r="KT30" s="152">
        <f>INDEX(DADOS_AM!$P$2:$W$8,DADOS_AM!$HK$29,8)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BK31" s="152" t="n">
        <v>1</v>
      </c>
      <c r="CD31" s="150" t="inlineStr">
        <is>
          <t>Assombro</t>
        </is>
      </c>
      <c r="CE31" s="150" t="inlineStr">
        <is>
          <t>Lapidação 1 e Essência 4</t>
        </is>
      </c>
      <c r="CF31" s="152" t="n">
        <v>1</v>
      </c>
      <c r="CG31" s="150" t="inlineStr">
        <is>
          <t>—</t>
        </is>
      </c>
      <c r="CH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2">
        <f>IF($CL31=1,"",IF($A$2=4,IF($CJ31=1,$CD31,""),IF(OR($CJ31=1,AND($A$2=3,$CK31=1)),"",$CD31)))</f>
        <v/>
      </c>
      <c r="CJ31" s="152" t="n">
        <v>1</v>
      </c>
      <c r="CK31" s="152" t="n">
        <v>0</v>
      </c>
      <c r="CL31" s="152" t="n">
        <v>0</v>
      </c>
      <c r="CM31" s="150" t="inlineStr">
        <is>
          <t>Uma vez por cena, ao entrar nela ou ser visto pela primeira vez, escolha até metade de sua Lapidação, arredondada para baixo, mínimo 1, entre as criaturas presentes que enxerguem você.</t>
        </is>
      </c>
      <c r="DW31" s="150" t="inlineStr">
        <is>
          <t>Feitiço 30</t>
        </is>
      </c>
      <c r="DX31" s="152" t="n">
        <v>0</v>
      </c>
      <c r="DY31" s="152" t="n">
        <v>30</v>
      </c>
      <c r="DZ31" s="152">
        <f>MAX(1,MIN(7,N('FICHA AMALDIÇOADA'!$P$244)))</f>
        <v/>
      </c>
      <c r="EA31" s="152">
        <f>'FICHA AMALDIÇOADA'!$Q$244&amp;""</f>
        <v/>
      </c>
      <c r="EB31" s="152">
        <f>'FICHA AMALDIÇOADA'!$P$251&amp;""</f>
        <v/>
      </c>
      <c r="EC31" s="152">
        <f>'FICHA AMALDIÇOADA'!$Q$253&amp;""</f>
        <v/>
      </c>
      <c r="ED31" s="152">
        <f>'FICHA AMALDIÇOADA'!$Q$254&amp;""</f>
        <v/>
      </c>
      <c r="EE31" s="152">
        <f>'FICHA AMALDIÇOADA'!$Q$255&amp;""</f>
        <v/>
      </c>
      <c r="EF31" s="152">
        <f>'FICHA AMALDIÇOADA'!$Q$256&amp;""</f>
        <v/>
      </c>
      <c r="EG31" s="152">
        <f>'FICHA AMALDIÇOADA'!$Q$257&amp;""</f>
        <v/>
      </c>
      <c r="EH31" s="152">
        <f>'FICHA AMALDIÇOADA'!$Q$258&amp;""</f>
        <v/>
      </c>
      <c r="EI31" s="152">
        <f>IF($EA31&lt;&gt;"",1,0)</f>
        <v/>
      </c>
      <c r="EJ31" s="152">
        <f>IFERROR(MATCH($EB31,$Y$2:$Y$11,0),0)</f>
        <v/>
      </c>
      <c r="EK31" s="152">
        <f>IF($EJ31=0,0,INDEX($AB$2:$AB$11,$EJ31))</f>
        <v/>
      </c>
      <c r="EL31" s="152">
        <f>IFERROR(VLOOKUP($EC31,$BC$2:$BK$84,4,FALSE),0)</f>
        <v/>
      </c>
      <c r="EM31" s="152">
        <f>IFERROR(VLOOKUP($ED31,$BC$2:$BK$84,4,FALSE),0)</f>
        <v/>
      </c>
      <c r="EN31" s="152">
        <f>IFERROR(VLOOKUP($EE31,$BC$2:$BK$84,4,FALSE),0)</f>
        <v/>
      </c>
      <c r="EO31" s="152">
        <f>IFERROR(VLOOKUP($EF31,$BC$2:$BK$84,4,FALSE),0)</f>
        <v/>
      </c>
      <c r="EP31" s="152">
        <f>IF($EJ31=0,0,INDEX($AC$2:$AC$11,$EJ31))</f>
        <v/>
      </c>
      <c r="EQ31" s="152">
        <f>IFERROR(VLOOKUP($EC31,$BC$2:$BK$84,5,FALSE),0)</f>
        <v/>
      </c>
      <c r="ER31" s="152">
        <f>IFERROR(VLOOKUP($ED31,$BC$2:$BK$84,5,FALSE),0)</f>
        <v/>
      </c>
      <c r="ES31" s="152">
        <f>IFERROR(VLOOKUP($EE31,$BC$2:$BK$84,5,FALSE),0)</f>
        <v/>
      </c>
      <c r="ET31" s="152">
        <f>IFERROR(VLOOKUP($EF31,$BC$2:$BK$84,5,FALSE),0)</f>
        <v/>
      </c>
      <c r="EU31" s="152">
        <f>IFERROR(VLOOKUP($EC31,$BC$2:$BK$84,6,FALSE),0)+IFERROR(VLOOKUP($ED31,$BC$2:$BK$84,6,FALSE),0)+IFERROR(VLOOKUP($EE31,$BC$2:$BK$84,6,FALSE),0)+IFERROR(VLOOKUP($EF31,$BC$2:$BK$84,6,FALSE),0)</f>
        <v/>
      </c>
      <c r="EV31" s="152">
        <f>IFERROR(VLOOKUP($EC31,$BC$2:$BK$84,9,FALSE),0)+IFERROR(VLOOKUP($ED31,$BC$2:$BK$84,9,FALSE),0)+IFERROR(VLOOKUP($EE31,$BC$2:$BK$84,9,FALSE),0)+IFERROR(VLOOKUP($EF31,$BC$2:$BK$84,9,FALSE),0)</f>
        <v/>
      </c>
      <c r="EW31" s="152">
        <f>IF($EJ31=0,0,INDEX($AD$2:$AD$11,$EJ31))</f>
        <v/>
      </c>
      <c r="EX31" s="152">
        <f>IF($EJ31=0,0,INDEX($AE$2:$AE$11,$EJ31))</f>
        <v/>
      </c>
      <c r="EY31" s="152">
        <f>IF($EJ31=0,0,INDEX($AG$2:$AG$11,$EJ31))</f>
        <v/>
      </c>
      <c r="EZ31" s="152">
        <f>IFERROR(VLOOKUP($EG31,$BM$2:$BQ$24,3,FALSE),0)</f>
        <v/>
      </c>
      <c r="FA31" s="152">
        <f>IFERROR(VLOOKUP($EH31,$BM$2:$BQ$24,3,FALSE),0)</f>
        <v/>
      </c>
      <c r="FB31" s="152">
        <f>IFERROR(VLOOKUP($EG31,$BM$2:$BQ$24,2,FALSE),"")</f>
        <v/>
      </c>
      <c r="FC31" s="152">
        <f>IFERROR(VLOOKUP($EH31,$BM$2:$BQ$24,2,FALSE),"")</f>
        <v/>
      </c>
      <c r="FD31" s="152">
        <f>COUNTIF($EK31:$EO31,1)</f>
        <v/>
      </c>
      <c r="FE31" s="152">
        <f>COUNTIF($EK31:$EO31,2)</f>
        <v/>
      </c>
      <c r="FF31" s="152">
        <f>COUNTIF($EK31:$EO31,3)</f>
        <v/>
      </c>
      <c r="FG31" s="152">
        <f>COUNTIF($EK31:$EO31,4)</f>
        <v/>
      </c>
      <c r="FH31" s="152">
        <f>COUNTIF($EK31:$EO31,5)</f>
        <v/>
      </c>
      <c r="FI31" s="152">
        <f>COUNTIF($EK31:$EO31,6)</f>
        <v/>
      </c>
      <c r="FJ31" s="152">
        <f>COUNTIF($EZ31:$FA31,1)</f>
        <v/>
      </c>
      <c r="FK31" s="152">
        <f>COUNTIF($EZ31:$FA31,2)+$EW31</f>
        <v/>
      </c>
      <c r="FL31" s="152">
        <f>COUNTIF($EC31:$EF31,"?*")</f>
        <v/>
      </c>
      <c r="FM31" s="152">
        <f>COUNTIF($EG31:$EH31,"?*")+$EW31</f>
        <v/>
      </c>
      <c r="FN31" s="152">
        <f>SUMPRODUCT($FD31:$FI31,INDEX($Q$2:$V$8,$DZ31,0))</f>
        <v/>
      </c>
      <c r="FO31" s="152">
        <f>$FJ31*CEILING($DZ31/2,1)+$FK31*$DZ31</f>
        <v/>
      </c>
      <c r="FP31" s="152">
        <f>MIN(2*$DZ31,$FO31)</f>
        <v/>
      </c>
      <c r="FQ31" s="152">
        <f>MIN($FP31,$FN31)</f>
        <v/>
      </c>
      <c r="FR31" s="152">
        <f>$FP31-$FQ31</f>
        <v/>
      </c>
      <c r="FS31" s="152">
        <f>3*$DZ31-$FN31+$FQ31</f>
        <v/>
      </c>
      <c r="FT31" s="152">
        <f>MAX(0,$FS31)+$DX31*$DZ31</f>
        <v/>
      </c>
      <c r="FU31" s="152">
        <f>(IF(COUNTIF($EC31:$EF31,"Salto")&gt;0,1,0)+IF(COUNTIF($EC31:$EF31,"Queima")&gt;0,1,0)+IF(COUNTIF($EC31:$EF31,"Estilhaço")&gt;0,1,0))*FLOOR($FT31/2,1)</f>
        <v/>
      </c>
      <c r="FV31" s="152">
        <f>MAX(0,3-SUMPRODUCT($FD31:$FI31,$Q$2:$V$2)+MIN(2,$FJ31*1+$FK31*1,SUMPRODUCT($FD31:$FI31,$Q$2:$V$2)))+$DX31*1</f>
        <v/>
      </c>
      <c r="FW31" s="152">
        <f>MAX(0,6-SUMPRODUCT($FD31:$FI31,$Q$3:$V$3)+MIN(4,$FJ31*1+$FK31*2,SUMPRODUCT($FD31:$FI31,$Q$3:$V$3)))+$DX31*2</f>
        <v/>
      </c>
      <c r="FX31" s="152">
        <f>MAX(0,9-SUMPRODUCT($FD31:$FI31,$Q$4:$V$4)+MIN(6,$FJ31*2+$FK31*3,SUMPRODUCT($FD31:$FI31,$Q$4:$V$4)))+$DX31*3</f>
        <v/>
      </c>
      <c r="FY31" s="152">
        <f>MAX(0,12-SUMPRODUCT($FD31:$FI31,$Q$5:$V$5)+MIN(8,$FJ31*2+$FK31*4,SUMPRODUCT($FD31:$FI31,$Q$5:$V$5)))+$DX31*4</f>
        <v/>
      </c>
      <c r="FZ31" s="152">
        <f>MAX(0,15-SUMPRODUCT($FD31:$FI31,$Q$6:$V$6)+MIN(10,$FJ31*3+$FK31*5,SUMPRODUCT($FD31:$FI31,$Q$6:$V$6)))+$DX31*5</f>
        <v/>
      </c>
      <c r="GA31" s="152">
        <f>MAX(0,18-SUMPRODUCT($FD31:$FI31,$Q$7:$V$7)+MIN(12,$FJ31*3+$FK31*6,SUMPRODUCT($FD31:$FI31,$Q$7:$V$7)))+$DX31*6</f>
        <v/>
      </c>
      <c r="GB31" s="152">
        <f>MAX(0,21-SUMPRODUCT($FD31:$FI31,$Q$8:$V$8)+MIN(14,$FJ31*4+$FK31*7,SUMPRODUCT($FD31:$FI31,$Q$8:$V$8)))+$DX31*7</f>
        <v/>
      </c>
      <c r="GC31" s="152">
        <f>IF($EX31=2,3*$FV31&amp;" de vida temp.",IF($EX31=3,"sem dano",IF($FV31=0,IF($EX31=1,"sem cura","sem dano"),IF($EX31=1,"cura ","")&amp;$FV31&amp;"d8")))</f>
        <v/>
      </c>
      <c r="GD31" s="152">
        <f>IF($EX31=2,3*$FW31&amp;" de vida temp.",IF($EX31=3,"sem dano",IF($FW31=0,IF($EX31=1,"sem cura","sem dano"),IF($EX31=1,"cura ","")&amp;$FW31&amp;"d8")))</f>
        <v/>
      </c>
      <c r="GE31" s="152">
        <f>IF($EX31=2,3*$FX31&amp;" de vida temp.",IF($EX31=3,"sem dano",IF($FX31=0,IF($EX31=1,"sem cura","sem dano"),IF($EX31=1,"cura ","")&amp;$FX31&amp;"d8")))</f>
        <v/>
      </c>
      <c r="GF31" s="152">
        <f>IF($EX31=2,3*$FY31&amp;" de vida temp.",IF($EX31=3,"sem dano",IF($FY31=0,IF($EX31=1,"sem cura","sem dano"),IF($EX31=1,"cura ","")&amp;$FY31&amp;"d8")))</f>
        <v/>
      </c>
      <c r="GG31" s="152">
        <f>IF($EX31=2,3*$FZ31&amp;" de vida temp.",IF($EX31=3,"sem dano",IF($FZ31=0,IF($EX31=1,"sem cura","sem dano"),IF($EX31=1,"cura ","")&amp;$FZ31&amp;"d8")))</f>
        <v/>
      </c>
      <c r="GH31" s="152">
        <f>IF($EX31=2,3*$GA31&amp;" de vida temp.",IF($EX31=3,"sem dano",IF($GA31=0,IF($EX31=1,"sem cura","sem dano"),IF($EX31=1,"cura ","")&amp;$GA31&amp;"d8")))</f>
        <v/>
      </c>
      <c r="GI31" s="152">
        <f>IF($EX31=2,3*$GB31&amp;" de vida temp.",IF($EX31=3,"sem dano",IF($GB31=0,IF($EX31=1,"sem cura","sem dano"),IF($EX31=1,"cura ","")&amp;$GB31&amp;"d8")))</f>
        <v/>
      </c>
      <c r="GJ31" s="152">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2">
        <f>IF($GJ31="",0,(LEN($GJ31)-LEN(SUBSTITUTE($GJ31," · ","")))/3+1)</f>
        <v/>
      </c>
      <c r="GL31" s="152">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2">
        <f>IF($GL31="",0,(LEN($GL31)-LEN(SUBSTITUTE($GL31," · ","")))/3+1)</f>
        <v/>
      </c>
      <c r="GN31" s="152">
        <f>IF($EI31=0,IF($FL31+$FM31-$EW31&gt;0,"Dê um nome",""),IF($GK31&gt;0,"⚠ "&amp;$GK31&amp;IF($GK31&gt;1," erros"," erro"),IF($GM31&gt;0,"! "&amp;$GM31&amp;IF($GM31&gt;1," avisos"," aviso"),"Na regra")))</f>
        <v/>
      </c>
      <c r="GO31" s="152">
        <f>IF($EI31=0,"",IF($GK31+$GM31=0,"Dentro das regras que a ficha confere",$GJ31&amp;IF(AND($GK31&gt;0,$GM31&gt;0)," · ","")&amp;$GL31))</f>
        <v/>
      </c>
      <c r="GP31" s="152">
        <f>IF($EI31=0,"",IF($DX31=1,CEILING(4.5*$DZ31,1),3*$DZ31)&amp;" PE")</f>
        <v/>
      </c>
      <c r="GQ31" s="152">
        <f>IF($EI31=0,"",IF($DX31=1,"Rodada inteira",IF(COUNTIF($FB31:$FC31,"Atrasar")&gt;0,IF(COUNTIF($FB31:$FC31,"Carregar")&gt;0,"Rodada +1 turno","Rodada inteira"),IF(COUNTIF($EC31:$EF31,"Rápido")&gt;0,"Bônus",IF(COUNTIF($EC31:$EF31,"Reação")&gt;0,"Reação","Padrão"))&amp;IF(COUNTIF($FB31:$FC31,"Carregar")&gt;0," +1 turno",""))))</f>
        <v/>
      </c>
      <c r="GR31" s="152">
        <f>IF(OR($EI31=0,$EJ31=0),"",IF(COUNTIF($EC31:$EF31,"Inescapável")&gt;0,"Automático",IF(COUNTIF($EC31:$EF31,"Certeiro")&gt;0,"TR para metade",IF(AND($EV31&gt;0,$EY31=0,INDEX($AF$2:$AF$11,$EJ31)="Acerto"),"Acerto + TR",INDEX($AF$2:$AF$11,$EJ31)))))</f>
        <v/>
      </c>
      <c r="GS31" s="152">
        <f>IF(OR($EI31=0,$EJ31=0),"",IF(OR($EX31&gt;=2,$FT31=0),UPPER(LEFT(INDEX($GC31:$GI31,1,$DZ31),1))&amp;MID(INDEX($GC31:$GI31,1,$DZ31),2,99),UPPER(LEFT(INDEX($GC31:$GI31,1,$DZ31),1))&amp;MID(INDEX($GC31:$GI31,1,$DZ31),2,99)&amp;" = "&amp;FLOOR($FT31*4.5,1)&amp;IF($FU31&gt;0," · +"&amp;$FU31&amp;"d8","")))</f>
        <v/>
      </c>
      <c r="GT31" s="152">
        <f>COUNTIF($EC31:$EF31,"Longe")+3*COUNTIF($EC31:$EF31,"Muito Longe")</f>
        <v/>
      </c>
      <c r="GU31" s="152">
        <f>COUNTIF($EC31:$EF31,"Maior")+3*COUNTIF($EC31:$EF31,"Muito Maior")</f>
        <v/>
      </c>
      <c r="GV31" s="152">
        <f>IF($EJ31=0,0,CHOOSE(1+INDEX($AH$2:$AH$11,$EJ31),0,$GT31,$GU31,$GT31+$GU31))</f>
        <v/>
      </c>
      <c r="GW31" s="152">
        <f>IF($EJ31=0,0,CHOOSE(1+INDEX($AI$2:$AI$11,$EJ31),0,$GT31,$GU31,$GT31+$GU31))</f>
        <v/>
      </c>
      <c r="GX31" s="152">
        <f>IF(OR($EI31=0,$EJ31=0),"",INDEX($AP$2:$AU$31,($EJ31-1)*3+IF($DZ31&gt;=6,3,2),1+MIN(5,$GV31))&amp;INDEX($AV$2:$BA$31,($EJ31-1)*3+IF($DZ31&gt;=6,3,2),1+MIN(5,$GW31))&amp;IF(INDEX($AJ$2:$AJ$11,$EJ31)=1,IF(COUNTIF($EC31:$EF31,"Mais Um")&gt;0," · +"&amp;COUNTIF($EC31:$EF31,"Mais Um")&amp;IF(COUNTIF($EC31:$EF31,"Mais Um")&gt;1," alvos"," alvo"),"")&amp;IF(COUNTIF($EC31:$EF31,"Rajada")&gt;0," · "&amp;($DZ31+1)&amp;" tiros",""),""))</f>
        <v/>
      </c>
      <c r="GY31" s="152">
        <f>IF($EI31=0,"",3*$DZ31&amp;" − "&amp;$FN31&amp;" + "&amp;$FQ31&amp;IF($DX31=1," + "&amp;$DZ31,"")&amp;" = "&amp;$FT31&amp;"d8 · teto "&amp;4*$DZ31&amp;IF($EW31=1," · a Forma devolve "&amp;$DZ31,"")&amp;IF($FR31&gt;0," · perde "&amp;$FR31,""))</f>
        <v/>
      </c>
      <c r="GZ31" s="152">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2">
        <f>IF(OR($EI31=0,$EL31=0),"","−"&amp;INDEX($Q$2:$V$8,$DZ31,$EL31)&amp;" · "&amp;CHOOSE($EL31,"Leve","Média","Pesada","Leve · Livre","Média · Livre","Pesada · Livre"))</f>
        <v/>
      </c>
      <c r="HB31" s="152">
        <f>IF(OR($EI31=0,$EM31=0),"","−"&amp;INDEX($Q$2:$V$8,$DZ31,$EM31)&amp;" · "&amp;CHOOSE($EM31,"Leve","Média","Pesada","Leve · Livre","Média · Livre","Pesada · Livre"))</f>
        <v/>
      </c>
      <c r="HC31" s="152">
        <f>IF(OR($EI31=0,$EN31=0),"","−"&amp;INDEX($Q$2:$V$8,$DZ31,$EN31)&amp;" · "&amp;CHOOSE($EN31,"Leve","Média","Pesada","Leve · Livre","Média · Livre","Pesada · Livre"))</f>
        <v/>
      </c>
      <c r="HD31" s="152">
        <f>IF(OR($EI31=0,$EO31=0),"","−"&amp;INDEX($Q$2:$V$8,$DZ31,$EO31)&amp;" · "&amp;CHOOSE($EO31,"Leve","Média","Pesada","Leve · Livre","Média · Livre","Pesada · Livre"))</f>
        <v/>
      </c>
      <c r="HE31" s="152">
        <f>IF(OR($EI31=0,$EG31=""),"","+"&amp;IF($EZ31=1,CEILING($DZ31/2,1),$DZ31))</f>
        <v/>
      </c>
      <c r="HF31" s="152">
        <f>IF(OR($EI31=0,$EH31=""),"","+"&amp;IF($FA31=1,CEILING($DZ31/2,1),$DZ31))</f>
        <v/>
      </c>
      <c r="HG31" s="152">
        <f>'FICHA AMALDIÇOADA'!$P$246&amp;""</f>
        <v/>
      </c>
      <c r="HH31" s="152">
        <f>IF(AND($EI31=1,$DX31=0),COUNTIFS($EI$2:$EI31,1,$DX$2:$DX31,0),"")</f>
        <v/>
      </c>
      <c r="HJ31" s="150" t="inlineStr">
        <is>
          <t>famílias fechadas</t>
        </is>
      </c>
      <c r="HK31" s="152">
        <f>COUNTIF($J$2:$J$10,"Fechada")</f>
        <v/>
      </c>
      <c r="JF31" s="152" t="n">
        <v>30</v>
      </c>
      <c r="JG31" s="152">
        <f>IFERROR(MATCH(30,$HH$2:$HH$37,0),0)</f>
        <v/>
      </c>
      <c r="JH31" s="152">
        <f>IF($JG31=0,"",INDEX($DZ$2:$DZ$37,$JG31))</f>
        <v/>
      </c>
      <c r="JI31" s="152">
        <f>IF($JG31=0,"",INDEX($EA$2:$EA$37,$JG31))</f>
        <v/>
      </c>
      <c r="JJ31" s="152">
        <f>IF($JG31=0,"",INDEX($GP$2:$GP$37,$JG31))</f>
        <v/>
      </c>
      <c r="JK31" s="152">
        <f>IF($JG31=0,"",INDEX($EB$2:$EB$37,$JG31))</f>
        <v/>
      </c>
      <c r="JL31" s="152">
        <f>IF($JG31=0,"",INDEX($GR$2:$GR$37,$JG31))</f>
        <v/>
      </c>
      <c r="JM31" s="152">
        <f>IF($JG31=0,"",INDEX($HG$2:$HG$37,$JG31))</f>
        <v/>
      </c>
      <c r="KS31" s="150" t="inlineStr">
        <is>
          <t>P46</t>
        </is>
      </c>
      <c r="KT31" s="152">
        <f>DADOS_AM!$HK$10&amp;" feitiços grátis · "&amp;DADOS_AM!$HK$11&amp;"d8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BK32" s="152" t="n">
        <v>1</v>
      </c>
      <c r="CD32" s="150" t="inlineStr">
        <is>
          <t>Bênção Própria (CE 1)</t>
        </is>
      </c>
      <c r="CE32" s="150" t="inlineStr">
        <is>
          <t>Uma por personagem</t>
        </is>
      </c>
      <c r="CF32" s="152" t="n">
        <v>1</v>
      </c>
      <c r="CG32" s="150" t="inlineStr">
        <is>
          <t>—</t>
        </is>
      </c>
      <c r="CH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2">
        <f>IF($CL32=1,"",IF($A$2=4,IF($CJ32=1,$CD32,""),IF(OR($CJ32=1,AND($A$2=3,$CK32=1)),"",$CD32)))</f>
        <v/>
      </c>
      <c r="CJ32" s="152" t="n">
        <v>1</v>
      </c>
      <c r="CK32" s="152" t="n">
        <v>0</v>
      </c>
      <c r="CL32" s="152" t="n">
        <v>0</v>
      </c>
      <c r="CM32" s="150" t="inlineStr">
        <is>
          <t>Você pode desenvolver uma Bênção Própria por personagem, de Categoria de Efeito 1 ou 2.</t>
        </is>
      </c>
      <c r="DW32" s="150" t="inlineStr">
        <is>
          <t>Feitiço 31</t>
        </is>
      </c>
      <c r="DX32" s="152" t="n">
        <v>0</v>
      </c>
      <c r="DY32" s="152" t="n">
        <v>31</v>
      </c>
      <c r="DZ32" s="152">
        <f>MAX(1,MIN(7,N('FICHA AMALDIÇOADA'!$D$265)))</f>
        <v/>
      </c>
      <c r="EA32" s="152">
        <f>'FICHA AMALDIÇOADA'!$E$265&amp;""</f>
        <v/>
      </c>
      <c r="EB32" s="152">
        <f>'FICHA AMALDIÇOADA'!$D$272&amp;""</f>
        <v/>
      </c>
      <c r="EC32" s="152">
        <f>'FICHA AMALDIÇOADA'!$E$274&amp;""</f>
        <v/>
      </c>
      <c r="ED32" s="152">
        <f>'FICHA AMALDIÇOADA'!$E$275&amp;""</f>
        <v/>
      </c>
      <c r="EE32" s="152">
        <f>'FICHA AMALDIÇOADA'!$E$276&amp;""</f>
        <v/>
      </c>
      <c r="EF32" s="152">
        <f>'FICHA AMALDIÇOADA'!$E$277&amp;""</f>
        <v/>
      </c>
      <c r="EG32" s="152">
        <f>'FICHA AMALDIÇOADA'!$E$278&amp;""</f>
        <v/>
      </c>
      <c r="EH32" s="152">
        <f>'FICHA AMALDIÇOADA'!$E$279&amp;""</f>
        <v/>
      </c>
      <c r="EI32" s="152">
        <f>IF($EA32&lt;&gt;"",1,0)</f>
        <v/>
      </c>
      <c r="EJ32" s="152">
        <f>IFERROR(MATCH($EB32,$Y$2:$Y$11,0),0)</f>
        <v/>
      </c>
      <c r="EK32" s="152">
        <f>IF($EJ32=0,0,INDEX($AB$2:$AB$11,$EJ32))</f>
        <v/>
      </c>
      <c r="EL32" s="152">
        <f>IFERROR(VLOOKUP($EC32,$BC$2:$BK$84,4,FALSE),0)</f>
        <v/>
      </c>
      <c r="EM32" s="152">
        <f>IFERROR(VLOOKUP($ED32,$BC$2:$BK$84,4,FALSE),0)</f>
        <v/>
      </c>
      <c r="EN32" s="152">
        <f>IFERROR(VLOOKUP($EE32,$BC$2:$BK$84,4,FALSE),0)</f>
        <v/>
      </c>
      <c r="EO32" s="152">
        <f>IFERROR(VLOOKUP($EF32,$BC$2:$BK$84,4,FALSE),0)</f>
        <v/>
      </c>
      <c r="EP32" s="152">
        <f>IF($EJ32=0,0,INDEX($AC$2:$AC$11,$EJ32))</f>
        <v/>
      </c>
      <c r="EQ32" s="152">
        <f>IFERROR(VLOOKUP($EC32,$BC$2:$BK$84,5,FALSE),0)</f>
        <v/>
      </c>
      <c r="ER32" s="152">
        <f>IFERROR(VLOOKUP($ED32,$BC$2:$BK$84,5,FALSE),0)</f>
        <v/>
      </c>
      <c r="ES32" s="152">
        <f>IFERROR(VLOOKUP($EE32,$BC$2:$BK$84,5,FALSE),0)</f>
        <v/>
      </c>
      <c r="ET32" s="152">
        <f>IFERROR(VLOOKUP($EF32,$BC$2:$BK$84,5,FALSE),0)</f>
        <v/>
      </c>
      <c r="EU32" s="152">
        <f>IFERROR(VLOOKUP($EC32,$BC$2:$BK$84,6,FALSE),0)+IFERROR(VLOOKUP($ED32,$BC$2:$BK$84,6,FALSE),0)+IFERROR(VLOOKUP($EE32,$BC$2:$BK$84,6,FALSE),0)+IFERROR(VLOOKUP($EF32,$BC$2:$BK$84,6,FALSE),0)</f>
        <v/>
      </c>
      <c r="EV32" s="152">
        <f>IFERROR(VLOOKUP($EC32,$BC$2:$BK$84,9,FALSE),0)+IFERROR(VLOOKUP($ED32,$BC$2:$BK$84,9,FALSE),0)+IFERROR(VLOOKUP($EE32,$BC$2:$BK$84,9,FALSE),0)+IFERROR(VLOOKUP($EF32,$BC$2:$BK$84,9,FALSE),0)</f>
        <v/>
      </c>
      <c r="EW32" s="152">
        <f>IF($EJ32=0,0,INDEX($AD$2:$AD$11,$EJ32))</f>
        <v/>
      </c>
      <c r="EX32" s="152">
        <f>IF($EJ32=0,0,INDEX($AE$2:$AE$11,$EJ32))</f>
        <v/>
      </c>
      <c r="EY32" s="152">
        <f>IF($EJ32=0,0,INDEX($AG$2:$AG$11,$EJ32))</f>
        <v/>
      </c>
      <c r="EZ32" s="152">
        <f>IFERROR(VLOOKUP($EG32,$BM$2:$BQ$24,3,FALSE),0)</f>
        <v/>
      </c>
      <c r="FA32" s="152">
        <f>IFERROR(VLOOKUP($EH32,$BM$2:$BQ$24,3,FALSE),0)</f>
        <v/>
      </c>
      <c r="FB32" s="152">
        <f>IFERROR(VLOOKUP($EG32,$BM$2:$BQ$24,2,FALSE),"")</f>
        <v/>
      </c>
      <c r="FC32" s="152">
        <f>IFERROR(VLOOKUP($EH32,$BM$2:$BQ$24,2,FALSE),"")</f>
        <v/>
      </c>
      <c r="FD32" s="152">
        <f>COUNTIF($EK32:$EO32,1)</f>
        <v/>
      </c>
      <c r="FE32" s="152">
        <f>COUNTIF($EK32:$EO32,2)</f>
        <v/>
      </c>
      <c r="FF32" s="152">
        <f>COUNTIF($EK32:$EO32,3)</f>
        <v/>
      </c>
      <c r="FG32" s="152">
        <f>COUNTIF($EK32:$EO32,4)</f>
        <v/>
      </c>
      <c r="FH32" s="152">
        <f>COUNTIF($EK32:$EO32,5)</f>
        <v/>
      </c>
      <c r="FI32" s="152">
        <f>COUNTIF($EK32:$EO32,6)</f>
        <v/>
      </c>
      <c r="FJ32" s="152">
        <f>COUNTIF($EZ32:$FA32,1)</f>
        <v/>
      </c>
      <c r="FK32" s="152">
        <f>COUNTIF($EZ32:$FA32,2)+$EW32</f>
        <v/>
      </c>
      <c r="FL32" s="152">
        <f>COUNTIF($EC32:$EF32,"?*")</f>
        <v/>
      </c>
      <c r="FM32" s="152">
        <f>COUNTIF($EG32:$EH32,"?*")+$EW32</f>
        <v/>
      </c>
      <c r="FN32" s="152">
        <f>SUMPRODUCT($FD32:$FI32,INDEX($Q$2:$V$8,$DZ32,0))</f>
        <v/>
      </c>
      <c r="FO32" s="152">
        <f>$FJ32*CEILING($DZ32/2,1)+$FK32*$DZ32</f>
        <v/>
      </c>
      <c r="FP32" s="152">
        <f>MIN(2*$DZ32,$FO32)</f>
        <v/>
      </c>
      <c r="FQ32" s="152">
        <f>MIN($FP32,$FN32)</f>
        <v/>
      </c>
      <c r="FR32" s="152">
        <f>$FP32-$FQ32</f>
        <v/>
      </c>
      <c r="FS32" s="152">
        <f>3*$DZ32-$FN32+$FQ32</f>
        <v/>
      </c>
      <c r="FT32" s="152">
        <f>MAX(0,$FS32)+$DX32*$DZ32</f>
        <v/>
      </c>
      <c r="FU32" s="152">
        <f>(IF(COUNTIF($EC32:$EF32,"Salto")&gt;0,1,0)+IF(COUNTIF($EC32:$EF32,"Queima")&gt;0,1,0)+IF(COUNTIF($EC32:$EF32,"Estilhaço")&gt;0,1,0))*FLOOR($FT32/2,1)</f>
        <v/>
      </c>
      <c r="FV32" s="152">
        <f>MAX(0,3-SUMPRODUCT($FD32:$FI32,$Q$2:$V$2)+MIN(2,$FJ32*1+$FK32*1,SUMPRODUCT($FD32:$FI32,$Q$2:$V$2)))+$DX32*1</f>
        <v/>
      </c>
      <c r="FW32" s="152">
        <f>MAX(0,6-SUMPRODUCT($FD32:$FI32,$Q$3:$V$3)+MIN(4,$FJ32*1+$FK32*2,SUMPRODUCT($FD32:$FI32,$Q$3:$V$3)))+$DX32*2</f>
        <v/>
      </c>
      <c r="FX32" s="152">
        <f>MAX(0,9-SUMPRODUCT($FD32:$FI32,$Q$4:$V$4)+MIN(6,$FJ32*2+$FK32*3,SUMPRODUCT($FD32:$FI32,$Q$4:$V$4)))+$DX32*3</f>
        <v/>
      </c>
      <c r="FY32" s="152">
        <f>MAX(0,12-SUMPRODUCT($FD32:$FI32,$Q$5:$V$5)+MIN(8,$FJ32*2+$FK32*4,SUMPRODUCT($FD32:$FI32,$Q$5:$V$5)))+$DX32*4</f>
        <v/>
      </c>
      <c r="FZ32" s="152">
        <f>MAX(0,15-SUMPRODUCT($FD32:$FI32,$Q$6:$V$6)+MIN(10,$FJ32*3+$FK32*5,SUMPRODUCT($FD32:$FI32,$Q$6:$V$6)))+$DX32*5</f>
        <v/>
      </c>
      <c r="GA32" s="152">
        <f>MAX(0,18-SUMPRODUCT($FD32:$FI32,$Q$7:$V$7)+MIN(12,$FJ32*3+$FK32*6,SUMPRODUCT($FD32:$FI32,$Q$7:$V$7)))+$DX32*6</f>
        <v/>
      </c>
      <c r="GB32" s="152">
        <f>MAX(0,21-SUMPRODUCT($FD32:$FI32,$Q$8:$V$8)+MIN(14,$FJ32*4+$FK32*7,SUMPRODUCT($FD32:$FI32,$Q$8:$V$8)))+$DX32*7</f>
        <v/>
      </c>
      <c r="GC32" s="152">
        <f>IF($EX32=2,3*$FV32&amp;" de vida temp.",IF($EX32=3,"sem dano",IF($FV32=0,IF($EX32=1,"sem cura","sem dano"),IF($EX32=1,"cura ","")&amp;$FV32&amp;"d8")))</f>
        <v/>
      </c>
      <c r="GD32" s="152">
        <f>IF($EX32=2,3*$FW32&amp;" de vida temp.",IF($EX32=3,"sem dano",IF($FW32=0,IF($EX32=1,"sem cura","sem dano"),IF($EX32=1,"cura ","")&amp;$FW32&amp;"d8")))</f>
        <v/>
      </c>
      <c r="GE32" s="152">
        <f>IF($EX32=2,3*$FX32&amp;" de vida temp.",IF($EX32=3,"sem dano",IF($FX32=0,IF($EX32=1,"sem cura","sem dano"),IF($EX32=1,"cura ","")&amp;$FX32&amp;"d8")))</f>
        <v/>
      </c>
      <c r="GF32" s="152">
        <f>IF($EX32=2,3*$FY32&amp;" de vida temp.",IF($EX32=3,"sem dano",IF($FY32=0,IF($EX32=1,"sem cura","sem dano"),IF($EX32=1,"cura ","")&amp;$FY32&amp;"d8")))</f>
        <v/>
      </c>
      <c r="GG32" s="152">
        <f>IF($EX32=2,3*$FZ32&amp;" de vida temp.",IF($EX32=3,"sem dano",IF($FZ32=0,IF($EX32=1,"sem cura","sem dano"),IF($EX32=1,"cura ","")&amp;$FZ32&amp;"d8")))</f>
        <v/>
      </c>
      <c r="GH32" s="152">
        <f>IF($EX32=2,3*$GA32&amp;" de vida temp.",IF($EX32=3,"sem dano",IF($GA32=0,IF($EX32=1,"sem cura","sem dano"),IF($EX32=1,"cura ","")&amp;$GA32&amp;"d8")))</f>
        <v/>
      </c>
      <c r="GI32" s="152">
        <f>IF($EX32=2,3*$GB32&amp;" de vida temp.",IF($EX32=3,"sem dano",IF($GB32=0,IF($EX32=1,"sem cura","sem dano"),IF($EX32=1,"cura ","")&amp;$GB32&amp;"d8")))</f>
        <v/>
      </c>
      <c r="GJ32" s="152">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2">
        <f>IF($GJ32="",0,(LEN($GJ32)-LEN(SUBSTITUTE($GJ32," · ","")))/3+1)</f>
        <v/>
      </c>
      <c r="GL32" s="152">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2">
        <f>IF($GL32="",0,(LEN($GL32)-LEN(SUBSTITUTE($GL32," · ","")))/3+1)</f>
        <v/>
      </c>
      <c r="GN32" s="152">
        <f>IF($EI32=0,IF($FL32+$FM32-$EW32&gt;0,"Dê um nome",""),IF($GK32&gt;0,"⚠ "&amp;$GK32&amp;IF($GK32&gt;1," erros"," erro"),IF($GM32&gt;0,"! "&amp;$GM32&amp;IF($GM32&gt;1," avisos"," aviso"),"Na regra")))</f>
        <v/>
      </c>
      <c r="GO32" s="152">
        <f>IF($EI32=0,"",IF($GK32+$GM32=0,"Dentro das regras que a ficha confere",$GJ32&amp;IF(AND($GK32&gt;0,$GM32&gt;0)," · ","")&amp;$GL32))</f>
        <v/>
      </c>
      <c r="GP32" s="152">
        <f>IF($EI32=0,"",IF($DX32=1,CEILING(4.5*$DZ32,1),3*$DZ32)&amp;" PE")</f>
        <v/>
      </c>
      <c r="GQ32" s="152">
        <f>IF($EI32=0,"",IF($DX32=1,"Rodada inteira",IF(COUNTIF($FB32:$FC32,"Atrasar")&gt;0,IF(COUNTIF($FB32:$FC32,"Carregar")&gt;0,"Rodada +1 turno","Rodada inteira"),IF(COUNTIF($EC32:$EF32,"Rápido")&gt;0,"Bônus",IF(COUNTIF($EC32:$EF32,"Reação")&gt;0,"Reação","Padrão"))&amp;IF(COUNTIF($FB32:$FC32,"Carregar")&gt;0," +1 turno",""))))</f>
        <v/>
      </c>
      <c r="GR32" s="152">
        <f>IF(OR($EI32=0,$EJ32=0),"",IF(COUNTIF($EC32:$EF32,"Inescapável")&gt;0,"Automático",IF(COUNTIF($EC32:$EF32,"Certeiro")&gt;0,"TR para metade",IF(AND($EV32&gt;0,$EY32=0,INDEX($AF$2:$AF$11,$EJ32)="Acerto"),"Acerto + TR",INDEX($AF$2:$AF$11,$EJ32)))))</f>
        <v/>
      </c>
      <c r="GS32" s="152">
        <f>IF(OR($EI32=0,$EJ32=0),"",IF(OR($EX32&gt;=2,$FT32=0),UPPER(LEFT(INDEX($GC32:$GI32,1,$DZ32),1))&amp;MID(INDEX($GC32:$GI32,1,$DZ32),2,99),UPPER(LEFT(INDEX($GC32:$GI32,1,$DZ32),1))&amp;MID(INDEX($GC32:$GI32,1,$DZ32),2,99)&amp;" = "&amp;FLOOR($FT32*4.5,1)&amp;IF($FU32&gt;0," · +"&amp;$FU32&amp;"d8","")))</f>
        <v/>
      </c>
      <c r="GT32" s="152">
        <f>COUNTIF($EC32:$EF32,"Longe")+3*COUNTIF($EC32:$EF32,"Muito Longe")</f>
        <v/>
      </c>
      <c r="GU32" s="152">
        <f>COUNTIF($EC32:$EF32,"Maior")+3*COUNTIF($EC32:$EF32,"Muito Maior")</f>
        <v/>
      </c>
      <c r="GV32" s="152">
        <f>IF($EJ32=0,0,CHOOSE(1+INDEX($AH$2:$AH$11,$EJ32),0,$GT32,$GU32,$GT32+$GU32))</f>
        <v/>
      </c>
      <c r="GW32" s="152">
        <f>IF($EJ32=0,0,CHOOSE(1+INDEX($AI$2:$AI$11,$EJ32),0,$GT32,$GU32,$GT32+$GU32))</f>
        <v/>
      </c>
      <c r="GX32" s="152">
        <f>IF(OR($EI32=0,$EJ32=0),"",INDEX($AP$2:$AU$31,($EJ32-1)*3+IF($DZ32&gt;=6,3,2),1+MIN(5,$GV32))&amp;INDEX($AV$2:$BA$31,($EJ32-1)*3+IF($DZ32&gt;=6,3,2),1+MIN(5,$GW32))&amp;IF(INDEX($AJ$2:$AJ$11,$EJ32)=1,IF(COUNTIF($EC32:$EF32,"Mais Um")&gt;0," · +"&amp;COUNTIF($EC32:$EF32,"Mais Um")&amp;IF(COUNTIF($EC32:$EF32,"Mais Um")&gt;1," alvos"," alvo"),"")&amp;IF(COUNTIF($EC32:$EF32,"Rajada")&gt;0," · "&amp;($DZ32+1)&amp;" tiros",""),""))</f>
        <v/>
      </c>
      <c r="GY32" s="152">
        <f>IF($EI32=0,"",3*$DZ32&amp;" − "&amp;$FN32&amp;" + "&amp;$FQ32&amp;IF($DX32=1," + "&amp;$DZ32,"")&amp;" = "&amp;$FT32&amp;"d8 · teto "&amp;4*$DZ32&amp;IF($EW32=1," · a Forma devolve "&amp;$DZ32,"")&amp;IF($FR32&gt;0," · perde "&amp;$FR32,""))</f>
        <v/>
      </c>
      <c r="GZ32" s="152">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2">
        <f>IF(OR($EI32=0,$EL32=0),"","−"&amp;INDEX($Q$2:$V$8,$DZ32,$EL32)&amp;" · "&amp;CHOOSE($EL32,"Leve","Média","Pesada","Leve · Livre","Média · Livre","Pesada · Livre"))</f>
        <v/>
      </c>
      <c r="HB32" s="152">
        <f>IF(OR($EI32=0,$EM32=0),"","−"&amp;INDEX($Q$2:$V$8,$DZ32,$EM32)&amp;" · "&amp;CHOOSE($EM32,"Leve","Média","Pesada","Leve · Livre","Média · Livre","Pesada · Livre"))</f>
        <v/>
      </c>
      <c r="HC32" s="152">
        <f>IF(OR($EI32=0,$EN32=0),"","−"&amp;INDEX($Q$2:$V$8,$DZ32,$EN32)&amp;" · "&amp;CHOOSE($EN32,"Leve","Média","Pesada","Leve · Livre","Média · Livre","Pesada · Livre"))</f>
        <v/>
      </c>
      <c r="HD32" s="152">
        <f>IF(OR($EI32=0,$EO32=0),"","−"&amp;INDEX($Q$2:$V$8,$DZ32,$EO32)&amp;" · "&amp;CHOOSE($EO32,"Leve","Média","Pesada","Leve · Livre","Média · Livre","Pesada · Livre"))</f>
        <v/>
      </c>
      <c r="HE32" s="152">
        <f>IF(OR($EI32=0,$EG32=""),"","+"&amp;IF($EZ32=1,CEILING($DZ32/2,1),$DZ32))</f>
        <v/>
      </c>
      <c r="HF32" s="152">
        <f>IF(OR($EI32=0,$EH32=""),"","+"&amp;IF($FA32=1,CEILING($DZ32/2,1),$DZ32))</f>
        <v/>
      </c>
      <c r="HG32" s="152">
        <f>'FICHA AMALDIÇOADA'!$D$267&amp;""</f>
        <v/>
      </c>
      <c r="HH32" s="152">
        <f>IF(AND($EI32=1,$DX32=0),COUNTIFS($EI$2:$EI32,1,$DX$2:$DX32,0),"")</f>
        <v/>
      </c>
      <c r="HJ32" s="150" t="inlineStr">
        <is>
          <t>metade do refino</t>
        </is>
      </c>
      <c r="HK32" s="152">
        <f>MAX(1,FLOOR($HK$6/2,1))</f>
        <v/>
      </c>
      <c r="JF32" s="152" t="n">
        <v>31</v>
      </c>
      <c r="JG32" s="152">
        <f>IFERROR(MATCH(31,$HH$2:$HH$37,0),0)</f>
        <v/>
      </c>
      <c r="JH32" s="152">
        <f>IF($JG32=0,"",INDEX($DZ$2:$DZ$37,$JG32))</f>
        <v/>
      </c>
      <c r="JI32" s="152">
        <f>IF($JG32=0,"",INDEX($EA$2:$EA$37,$JG32))</f>
        <v/>
      </c>
      <c r="JJ32" s="152">
        <f>IF($JG32=0,"",INDEX($GP$2:$GP$37,$JG32))</f>
        <v/>
      </c>
      <c r="JK32" s="152">
        <f>IF($JG32=0,"",INDEX($EB$2:$EB$37,$JG32))</f>
        <v/>
      </c>
      <c r="JL32" s="152">
        <f>IF($JG32=0,"",INDEX($GR$2:$GR$37,$JG32))</f>
        <v/>
      </c>
      <c r="JM32" s="152">
        <f>IF($JG32=0,"",INDEX($HG$2:$HG$37,$JG32))</f>
        <v/>
      </c>
      <c r="KS32" s="150" t="inlineStr">
        <is>
          <t>D48</t>
        </is>
      </c>
      <c r="KT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BK33" s="152" t="n">
        <v>1</v>
      </c>
      <c r="CD33" s="150" t="inlineStr">
        <is>
          <t>Bênção Própria (CE 2)</t>
        </is>
      </c>
      <c r="CE33" s="150" t="inlineStr">
        <is>
          <t>Uma por personagem</t>
        </is>
      </c>
      <c r="CF33" s="152" t="n">
        <v>2</v>
      </c>
      <c r="CG33" s="150" t="inlineStr">
        <is>
          <t>—</t>
        </is>
      </c>
      <c r="CH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2">
        <f>IF($CL33=1,"",IF($A$2=4,IF($CJ33=1,$CD33,""),IF(OR($CJ33=1,AND($A$2=3,$CK33=1)),"",$CD33)))</f>
        <v/>
      </c>
      <c r="CJ33" s="152" t="n">
        <v>1</v>
      </c>
      <c r="CK33" s="152" t="n">
        <v>0</v>
      </c>
      <c r="CL33" s="152" t="n">
        <v>0</v>
      </c>
      <c r="CM33" s="150" t="inlineStr">
        <is>
          <t>Você pode desenvolver uma Bênção Própria por personagem, de Categoria de Efeito 1 ou 2.</t>
        </is>
      </c>
      <c r="DW33" s="150" t="inlineStr">
        <is>
          <t>Feitiço 32</t>
        </is>
      </c>
      <c r="DX33" s="152" t="n">
        <v>0</v>
      </c>
      <c r="DY33" s="152" t="n">
        <v>32</v>
      </c>
      <c r="DZ33" s="152">
        <f>MAX(1,MIN(7,N('FICHA AMALDIÇOADA'!$J$265)))</f>
        <v/>
      </c>
      <c r="EA33" s="152">
        <f>'FICHA AMALDIÇOADA'!$K$265&amp;""</f>
        <v/>
      </c>
      <c r="EB33" s="152">
        <f>'FICHA AMALDIÇOADA'!$J$272&amp;""</f>
        <v/>
      </c>
      <c r="EC33" s="152">
        <f>'FICHA AMALDIÇOADA'!$K$274&amp;""</f>
        <v/>
      </c>
      <c r="ED33" s="152">
        <f>'FICHA AMALDIÇOADA'!$K$275&amp;""</f>
        <v/>
      </c>
      <c r="EE33" s="152">
        <f>'FICHA AMALDIÇOADA'!$K$276&amp;""</f>
        <v/>
      </c>
      <c r="EF33" s="152">
        <f>'FICHA AMALDIÇOADA'!$K$277&amp;""</f>
        <v/>
      </c>
      <c r="EG33" s="152">
        <f>'FICHA AMALDIÇOADA'!$K$278&amp;""</f>
        <v/>
      </c>
      <c r="EH33" s="152">
        <f>'FICHA AMALDIÇOADA'!$K$279&amp;""</f>
        <v/>
      </c>
      <c r="EI33" s="152">
        <f>IF($EA33&lt;&gt;"",1,0)</f>
        <v/>
      </c>
      <c r="EJ33" s="152">
        <f>IFERROR(MATCH($EB33,$Y$2:$Y$11,0),0)</f>
        <v/>
      </c>
      <c r="EK33" s="152">
        <f>IF($EJ33=0,0,INDEX($AB$2:$AB$11,$EJ33))</f>
        <v/>
      </c>
      <c r="EL33" s="152">
        <f>IFERROR(VLOOKUP($EC33,$BC$2:$BK$84,4,FALSE),0)</f>
        <v/>
      </c>
      <c r="EM33" s="152">
        <f>IFERROR(VLOOKUP($ED33,$BC$2:$BK$84,4,FALSE),0)</f>
        <v/>
      </c>
      <c r="EN33" s="152">
        <f>IFERROR(VLOOKUP($EE33,$BC$2:$BK$84,4,FALSE),0)</f>
        <v/>
      </c>
      <c r="EO33" s="152">
        <f>IFERROR(VLOOKUP($EF33,$BC$2:$BK$84,4,FALSE),0)</f>
        <v/>
      </c>
      <c r="EP33" s="152">
        <f>IF($EJ33=0,0,INDEX($AC$2:$AC$11,$EJ33))</f>
        <v/>
      </c>
      <c r="EQ33" s="152">
        <f>IFERROR(VLOOKUP($EC33,$BC$2:$BK$84,5,FALSE),0)</f>
        <v/>
      </c>
      <c r="ER33" s="152">
        <f>IFERROR(VLOOKUP($ED33,$BC$2:$BK$84,5,FALSE),0)</f>
        <v/>
      </c>
      <c r="ES33" s="152">
        <f>IFERROR(VLOOKUP($EE33,$BC$2:$BK$84,5,FALSE),0)</f>
        <v/>
      </c>
      <c r="ET33" s="152">
        <f>IFERROR(VLOOKUP($EF33,$BC$2:$BK$84,5,FALSE),0)</f>
        <v/>
      </c>
      <c r="EU33" s="152">
        <f>IFERROR(VLOOKUP($EC33,$BC$2:$BK$84,6,FALSE),0)+IFERROR(VLOOKUP($ED33,$BC$2:$BK$84,6,FALSE),0)+IFERROR(VLOOKUP($EE33,$BC$2:$BK$84,6,FALSE),0)+IFERROR(VLOOKUP($EF33,$BC$2:$BK$84,6,FALSE),0)</f>
        <v/>
      </c>
      <c r="EV33" s="152">
        <f>IFERROR(VLOOKUP($EC33,$BC$2:$BK$84,9,FALSE),0)+IFERROR(VLOOKUP($ED33,$BC$2:$BK$84,9,FALSE),0)+IFERROR(VLOOKUP($EE33,$BC$2:$BK$84,9,FALSE),0)+IFERROR(VLOOKUP($EF33,$BC$2:$BK$84,9,FALSE),0)</f>
        <v/>
      </c>
      <c r="EW33" s="152">
        <f>IF($EJ33=0,0,INDEX($AD$2:$AD$11,$EJ33))</f>
        <v/>
      </c>
      <c r="EX33" s="152">
        <f>IF($EJ33=0,0,INDEX($AE$2:$AE$11,$EJ33))</f>
        <v/>
      </c>
      <c r="EY33" s="152">
        <f>IF($EJ33=0,0,INDEX($AG$2:$AG$11,$EJ33))</f>
        <v/>
      </c>
      <c r="EZ33" s="152">
        <f>IFERROR(VLOOKUP($EG33,$BM$2:$BQ$24,3,FALSE),0)</f>
        <v/>
      </c>
      <c r="FA33" s="152">
        <f>IFERROR(VLOOKUP($EH33,$BM$2:$BQ$24,3,FALSE),0)</f>
        <v/>
      </c>
      <c r="FB33" s="152">
        <f>IFERROR(VLOOKUP($EG33,$BM$2:$BQ$24,2,FALSE),"")</f>
        <v/>
      </c>
      <c r="FC33" s="152">
        <f>IFERROR(VLOOKUP($EH33,$BM$2:$BQ$24,2,FALSE),"")</f>
        <v/>
      </c>
      <c r="FD33" s="152">
        <f>COUNTIF($EK33:$EO33,1)</f>
        <v/>
      </c>
      <c r="FE33" s="152">
        <f>COUNTIF($EK33:$EO33,2)</f>
        <v/>
      </c>
      <c r="FF33" s="152">
        <f>COUNTIF($EK33:$EO33,3)</f>
        <v/>
      </c>
      <c r="FG33" s="152">
        <f>COUNTIF($EK33:$EO33,4)</f>
        <v/>
      </c>
      <c r="FH33" s="152">
        <f>COUNTIF($EK33:$EO33,5)</f>
        <v/>
      </c>
      <c r="FI33" s="152">
        <f>COUNTIF($EK33:$EO33,6)</f>
        <v/>
      </c>
      <c r="FJ33" s="152">
        <f>COUNTIF($EZ33:$FA33,1)</f>
        <v/>
      </c>
      <c r="FK33" s="152">
        <f>COUNTIF($EZ33:$FA33,2)+$EW33</f>
        <v/>
      </c>
      <c r="FL33" s="152">
        <f>COUNTIF($EC33:$EF33,"?*")</f>
        <v/>
      </c>
      <c r="FM33" s="152">
        <f>COUNTIF($EG33:$EH33,"?*")+$EW33</f>
        <v/>
      </c>
      <c r="FN33" s="152">
        <f>SUMPRODUCT($FD33:$FI33,INDEX($Q$2:$V$8,$DZ33,0))</f>
        <v/>
      </c>
      <c r="FO33" s="152">
        <f>$FJ33*CEILING($DZ33/2,1)+$FK33*$DZ33</f>
        <v/>
      </c>
      <c r="FP33" s="152">
        <f>MIN(2*$DZ33,$FO33)</f>
        <v/>
      </c>
      <c r="FQ33" s="152">
        <f>MIN($FP33,$FN33)</f>
        <v/>
      </c>
      <c r="FR33" s="152">
        <f>$FP33-$FQ33</f>
        <v/>
      </c>
      <c r="FS33" s="152">
        <f>3*$DZ33-$FN33+$FQ33</f>
        <v/>
      </c>
      <c r="FT33" s="152">
        <f>MAX(0,$FS33)+$DX33*$DZ33</f>
        <v/>
      </c>
      <c r="FU33" s="152">
        <f>(IF(COUNTIF($EC33:$EF33,"Salto")&gt;0,1,0)+IF(COUNTIF($EC33:$EF33,"Queima")&gt;0,1,0)+IF(COUNTIF($EC33:$EF33,"Estilhaço")&gt;0,1,0))*FLOOR($FT33/2,1)</f>
        <v/>
      </c>
      <c r="FV33" s="152">
        <f>MAX(0,3-SUMPRODUCT($FD33:$FI33,$Q$2:$V$2)+MIN(2,$FJ33*1+$FK33*1,SUMPRODUCT($FD33:$FI33,$Q$2:$V$2)))+$DX33*1</f>
        <v/>
      </c>
      <c r="FW33" s="152">
        <f>MAX(0,6-SUMPRODUCT($FD33:$FI33,$Q$3:$V$3)+MIN(4,$FJ33*1+$FK33*2,SUMPRODUCT($FD33:$FI33,$Q$3:$V$3)))+$DX33*2</f>
        <v/>
      </c>
      <c r="FX33" s="152">
        <f>MAX(0,9-SUMPRODUCT($FD33:$FI33,$Q$4:$V$4)+MIN(6,$FJ33*2+$FK33*3,SUMPRODUCT($FD33:$FI33,$Q$4:$V$4)))+$DX33*3</f>
        <v/>
      </c>
      <c r="FY33" s="152">
        <f>MAX(0,12-SUMPRODUCT($FD33:$FI33,$Q$5:$V$5)+MIN(8,$FJ33*2+$FK33*4,SUMPRODUCT($FD33:$FI33,$Q$5:$V$5)))+$DX33*4</f>
        <v/>
      </c>
      <c r="FZ33" s="152">
        <f>MAX(0,15-SUMPRODUCT($FD33:$FI33,$Q$6:$V$6)+MIN(10,$FJ33*3+$FK33*5,SUMPRODUCT($FD33:$FI33,$Q$6:$V$6)))+$DX33*5</f>
        <v/>
      </c>
      <c r="GA33" s="152">
        <f>MAX(0,18-SUMPRODUCT($FD33:$FI33,$Q$7:$V$7)+MIN(12,$FJ33*3+$FK33*6,SUMPRODUCT($FD33:$FI33,$Q$7:$V$7)))+$DX33*6</f>
        <v/>
      </c>
      <c r="GB33" s="152">
        <f>MAX(0,21-SUMPRODUCT($FD33:$FI33,$Q$8:$V$8)+MIN(14,$FJ33*4+$FK33*7,SUMPRODUCT($FD33:$FI33,$Q$8:$V$8)))+$DX33*7</f>
        <v/>
      </c>
      <c r="GC33" s="152">
        <f>IF($EX33=2,3*$FV33&amp;" de vida temp.",IF($EX33=3,"sem dano",IF($FV33=0,IF($EX33=1,"sem cura","sem dano"),IF($EX33=1,"cura ","")&amp;$FV33&amp;"d8")))</f>
        <v/>
      </c>
      <c r="GD33" s="152">
        <f>IF($EX33=2,3*$FW33&amp;" de vida temp.",IF($EX33=3,"sem dano",IF($FW33=0,IF($EX33=1,"sem cura","sem dano"),IF($EX33=1,"cura ","")&amp;$FW33&amp;"d8")))</f>
        <v/>
      </c>
      <c r="GE33" s="152">
        <f>IF($EX33=2,3*$FX33&amp;" de vida temp.",IF($EX33=3,"sem dano",IF($FX33=0,IF($EX33=1,"sem cura","sem dano"),IF($EX33=1,"cura ","")&amp;$FX33&amp;"d8")))</f>
        <v/>
      </c>
      <c r="GF33" s="152">
        <f>IF($EX33=2,3*$FY33&amp;" de vida temp.",IF($EX33=3,"sem dano",IF($FY33=0,IF($EX33=1,"sem cura","sem dano"),IF($EX33=1,"cura ","")&amp;$FY33&amp;"d8")))</f>
        <v/>
      </c>
      <c r="GG33" s="152">
        <f>IF($EX33=2,3*$FZ33&amp;" de vida temp.",IF($EX33=3,"sem dano",IF($FZ33=0,IF($EX33=1,"sem cura","sem dano"),IF($EX33=1,"cura ","")&amp;$FZ33&amp;"d8")))</f>
        <v/>
      </c>
      <c r="GH33" s="152">
        <f>IF($EX33=2,3*$GA33&amp;" de vida temp.",IF($EX33=3,"sem dano",IF($GA33=0,IF($EX33=1,"sem cura","sem dano"),IF($EX33=1,"cura ","")&amp;$GA33&amp;"d8")))</f>
        <v/>
      </c>
      <c r="GI33" s="152">
        <f>IF($EX33=2,3*$GB33&amp;" de vida temp.",IF($EX33=3,"sem dano",IF($GB33=0,IF($EX33=1,"sem cura","sem dano"),IF($EX33=1,"cura ","")&amp;$GB33&amp;"d8")))</f>
        <v/>
      </c>
      <c r="GJ33" s="152">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2">
        <f>IF($GJ33="",0,(LEN($GJ33)-LEN(SUBSTITUTE($GJ33," · ","")))/3+1)</f>
        <v/>
      </c>
      <c r="GL33" s="152">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2">
        <f>IF($GL33="",0,(LEN($GL33)-LEN(SUBSTITUTE($GL33," · ","")))/3+1)</f>
        <v/>
      </c>
      <c r="GN33" s="152">
        <f>IF($EI33=0,IF($FL33+$FM33-$EW33&gt;0,"Dê um nome",""),IF($GK33&gt;0,"⚠ "&amp;$GK33&amp;IF($GK33&gt;1," erros"," erro"),IF($GM33&gt;0,"! "&amp;$GM33&amp;IF($GM33&gt;1," avisos"," aviso"),"Na regra")))</f>
        <v/>
      </c>
      <c r="GO33" s="152">
        <f>IF($EI33=0,"",IF($GK33+$GM33=0,"Dentro das regras que a ficha confere",$GJ33&amp;IF(AND($GK33&gt;0,$GM33&gt;0)," · ","")&amp;$GL33))</f>
        <v/>
      </c>
      <c r="GP33" s="152">
        <f>IF($EI33=0,"",IF($DX33=1,CEILING(4.5*$DZ33,1),3*$DZ33)&amp;" PE")</f>
        <v/>
      </c>
      <c r="GQ33" s="152">
        <f>IF($EI33=0,"",IF($DX33=1,"Rodada inteira",IF(COUNTIF($FB33:$FC33,"Atrasar")&gt;0,IF(COUNTIF($FB33:$FC33,"Carregar")&gt;0,"Rodada +1 turno","Rodada inteira"),IF(COUNTIF($EC33:$EF33,"Rápido")&gt;0,"Bônus",IF(COUNTIF($EC33:$EF33,"Reação")&gt;0,"Reação","Padrão"))&amp;IF(COUNTIF($FB33:$FC33,"Carregar")&gt;0," +1 turno",""))))</f>
        <v/>
      </c>
      <c r="GR33" s="152">
        <f>IF(OR($EI33=0,$EJ33=0),"",IF(COUNTIF($EC33:$EF33,"Inescapável")&gt;0,"Automático",IF(COUNTIF($EC33:$EF33,"Certeiro")&gt;0,"TR para metade",IF(AND($EV33&gt;0,$EY33=0,INDEX($AF$2:$AF$11,$EJ33)="Acerto"),"Acerto + TR",INDEX($AF$2:$AF$11,$EJ33)))))</f>
        <v/>
      </c>
      <c r="GS33" s="152">
        <f>IF(OR($EI33=0,$EJ33=0),"",IF(OR($EX33&gt;=2,$FT33=0),UPPER(LEFT(INDEX($GC33:$GI33,1,$DZ33),1))&amp;MID(INDEX($GC33:$GI33,1,$DZ33),2,99),UPPER(LEFT(INDEX($GC33:$GI33,1,$DZ33),1))&amp;MID(INDEX($GC33:$GI33,1,$DZ33),2,99)&amp;" = "&amp;FLOOR($FT33*4.5,1)&amp;IF($FU33&gt;0," · +"&amp;$FU33&amp;"d8","")))</f>
        <v/>
      </c>
      <c r="GT33" s="152">
        <f>COUNTIF($EC33:$EF33,"Longe")+3*COUNTIF($EC33:$EF33,"Muito Longe")</f>
        <v/>
      </c>
      <c r="GU33" s="152">
        <f>COUNTIF($EC33:$EF33,"Maior")+3*COUNTIF($EC33:$EF33,"Muito Maior")</f>
        <v/>
      </c>
      <c r="GV33" s="152">
        <f>IF($EJ33=0,0,CHOOSE(1+INDEX($AH$2:$AH$11,$EJ33),0,$GT33,$GU33,$GT33+$GU33))</f>
        <v/>
      </c>
      <c r="GW33" s="152">
        <f>IF($EJ33=0,0,CHOOSE(1+INDEX($AI$2:$AI$11,$EJ33),0,$GT33,$GU33,$GT33+$GU33))</f>
        <v/>
      </c>
      <c r="GX33" s="152">
        <f>IF(OR($EI33=0,$EJ33=0),"",INDEX($AP$2:$AU$31,($EJ33-1)*3+IF($DZ33&gt;=6,3,2),1+MIN(5,$GV33))&amp;INDEX($AV$2:$BA$31,($EJ33-1)*3+IF($DZ33&gt;=6,3,2),1+MIN(5,$GW33))&amp;IF(INDEX($AJ$2:$AJ$11,$EJ33)=1,IF(COUNTIF($EC33:$EF33,"Mais Um")&gt;0," · +"&amp;COUNTIF($EC33:$EF33,"Mais Um")&amp;IF(COUNTIF($EC33:$EF33,"Mais Um")&gt;1," alvos"," alvo"),"")&amp;IF(COUNTIF($EC33:$EF33,"Rajada")&gt;0," · "&amp;($DZ33+1)&amp;" tiros",""),""))</f>
        <v/>
      </c>
      <c r="GY33" s="152">
        <f>IF($EI33=0,"",3*$DZ33&amp;" − "&amp;$FN33&amp;" + "&amp;$FQ33&amp;IF($DX33=1," + "&amp;$DZ33,"")&amp;" = "&amp;$FT33&amp;"d8 · teto "&amp;4*$DZ33&amp;IF($EW33=1," · a Forma devolve "&amp;$DZ33,"")&amp;IF($FR33&gt;0," · perde "&amp;$FR33,""))</f>
        <v/>
      </c>
      <c r="GZ33" s="152">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2">
        <f>IF(OR($EI33=0,$EL33=0),"","−"&amp;INDEX($Q$2:$V$8,$DZ33,$EL33)&amp;" · "&amp;CHOOSE($EL33,"Leve","Média","Pesada","Leve · Livre","Média · Livre","Pesada · Livre"))</f>
        <v/>
      </c>
      <c r="HB33" s="152">
        <f>IF(OR($EI33=0,$EM33=0),"","−"&amp;INDEX($Q$2:$V$8,$DZ33,$EM33)&amp;" · "&amp;CHOOSE($EM33,"Leve","Média","Pesada","Leve · Livre","Média · Livre","Pesada · Livre"))</f>
        <v/>
      </c>
      <c r="HC33" s="152">
        <f>IF(OR($EI33=0,$EN33=0),"","−"&amp;INDEX($Q$2:$V$8,$DZ33,$EN33)&amp;" · "&amp;CHOOSE($EN33,"Leve","Média","Pesada","Leve · Livre","Média · Livre","Pesada · Livre"))</f>
        <v/>
      </c>
      <c r="HD33" s="152">
        <f>IF(OR($EI33=0,$EO33=0),"","−"&amp;INDEX($Q$2:$V$8,$DZ33,$EO33)&amp;" · "&amp;CHOOSE($EO33,"Leve","Média","Pesada","Leve · Livre","Média · Livre","Pesada · Livre"))</f>
        <v/>
      </c>
      <c r="HE33" s="152">
        <f>IF(OR($EI33=0,$EG33=""),"","+"&amp;IF($EZ33=1,CEILING($DZ33/2,1),$DZ33))</f>
        <v/>
      </c>
      <c r="HF33" s="152">
        <f>IF(OR($EI33=0,$EH33=""),"","+"&amp;IF($FA33=1,CEILING($DZ33/2,1),$DZ33))</f>
        <v/>
      </c>
      <c r="HG33" s="152">
        <f>'FICHA AMALDIÇOADA'!$J$267&amp;""</f>
        <v/>
      </c>
      <c r="HH33" s="152">
        <f>IF(AND($EI33=1,$DX33=0),COUNTIFS($EI$2:$EI33,1,$DX$2:$DX33,0),"")</f>
        <v/>
      </c>
      <c r="HJ33" s="150" t="inlineStr">
        <is>
          <t>terço do refino</t>
        </is>
      </c>
      <c r="HK33" s="152">
        <f>MAX(1,FLOOR($HK$6/3,1))</f>
        <v/>
      </c>
      <c r="JF33" s="152" t="n">
        <v>32</v>
      </c>
      <c r="JG33" s="152">
        <f>IFERROR(MATCH(32,$HH$2:$HH$37,0),0)</f>
        <v/>
      </c>
      <c r="JH33" s="152">
        <f>IF($JG33=0,"",INDEX($DZ$2:$DZ$37,$JG33))</f>
        <v/>
      </c>
      <c r="JI33" s="152">
        <f>IF($JG33=0,"",INDEX($EA$2:$EA$37,$JG33))</f>
        <v/>
      </c>
      <c r="JJ33" s="152">
        <f>IF($JG33=0,"",INDEX($GP$2:$GP$37,$JG33))</f>
        <v/>
      </c>
      <c r="JK33" s="152">
        <f>IF($JG33=0,"",INDEX($EB$2:$EB$37,$JG33))</f>
        <v/>
      </c>
      <c r="JL33" s="152">
        <f>IF($JG33=0,"",INDEX($GR$2:$GR$37,$JG33))</f>
        <v/>
      </c>
      <c r="JM33" s="152">
        <f>IF($JG33=0,"",INDEX($HG$2:$HG$37,$JG33))</f>
        <v/>
      </c>
      <c r="KS33" s="150" t="inlineStr">
        <is>
          <t>D135</t>
        </is>
      </c>
      <c r="KT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BK34" s="152" t="n">
        <v>1</v>
      </c>
      <c r="DW34" s="150" t="inlineStr">
        <is>
          <t>Feitiço 33</t>
        </is>
      </c>
      <c r="DX34" s="152" t="n">
        <v>0</v>
      </c>
      <c r="DY34" s="152" t="n">
        <v>33</v>
      </c>
      <c r="DZ34" s="152">
        <f>MAX(1,MIN(7,N('FICHA AMALDIÇOADA'!$P$265)))</f>
        <v/>
      </c>
      <c r="EA34" s="152">
        <f>'FICHA AMALDIÇOADA'!$Q$265&amp;""</f>
        <v/>
      </c>
      <c r="EB34" s="152">
        <f>'FICHA AMALDIÇOADA'!$P$272&amp;""</f>
        <v/>
      </c>
      <c r="EC34" s="152">
        <f>'FICHA AMALDIÇOADA'!$Q$274&amp;""</f>
        <v/>
      </c>
      <c r="ED34" s="152">
        <f>'FICHA AMALDIÇOADA'!$Q$275&amp;""</f>
        <v/>
      </c>
      <c r="EE34" s="152">
        <f>'FICHA AMALDIÇOADA'!$Q$276&amp;""</f>
        <v/>
      </c>
      <c r="EF34" s="152">
        <f>'FICHA AMALDIÇOADA'!$Q$277&amp;""</f>
        <v/>
      </c>
      <c r="EG34" s="152">
        <f>'FICHA AMALDIÇOADA'!$Q$278&amp;""</f>
        <v/>
      </c>
      <c r="EH34" s="152">
        <f>'FICHA AMALDIÇOADA'!$Q$279&amp;""</f>
        <v/>
      </c>
      <c r="EI34" s="152">
        <f>IF($EA34&lt;&gt;"",1,0)</f>
        <v/>
      </c>
      <c r="EJ34" s="152">
        <f>IFERROR(MATCH($EB34,$Y$2:$Y$11,0),0)</f>
        <v/>
      </c>
      <c r="EK34" s="152">
        <f>IF($EJ34=0,0,INDEX($AB$2:$AB$11,$EJ34))</f>
        <v/>
      </c>
      <c r="EL34" s="152">
        <f>IFERROR(VLOOKUP($EC34,$BC$2:$BK$84,4,FALSE),0)</f>
        <v/>
      </c>
      <c r="EM34" s="152">
        <f>IFERROR(VLOOKUP($ED34,$BC$2:$BK$84,4,FALSE),0)</f>
        <v/>
      </c>
      <c r="EN34" s="152">
        <f>IFERROR(VLOOKUP($EE34,$BC$2:$BK$84,4,FALSE),0)</f>
        <v/>
      </c>
      <c r="EO34" s="152">
        <f>IFERROR(VLOOKUP($EF34,$BC$2:$BK$84,4,FALSE),0)</f>
        <v/>
      </c>
      <c r="EP34" s="152">
        <f>IF($EJ34=0,0,INDEX($AC$2:$AC$11,$EJ34))</f>
        <v/>
      </c>
      <c r="EQ34" s="152">
        <f>IFERROR(VLOOKUP($EC34,$BC$2:$BK$84,5,FALSE),0)</f>
        <v/>
      </c>
      <c r="ER34" s="152">
        <f>IFERROR(VLOOKUP($ED34,$BC$2:$BK$84,5,FALSE),0)</f>
        <v/>
      </c>
      <c r="ES34" s="152">
        <f>IFERROR(VLOOKUP($EE34,$BC$2:$BK$84,5,FALSE),0)</f>
        <v/>
      </c>
      <c r="ET34" s="152">
        <f>IFERROR(VLOOKUP($EF34,$BC$2:$BK$84,5,FALSE),0)</f>
        <v/>
      </c>
      <c r="EU34" s="152">
        <f>IFERROR(VLOOKUP($EC34,$BC$2:$BK$84,6,FALSE),0)+IFERROR(VLOOKUP($ED34,$BC$2:$BK$84,6,FALSE),0)+IFERROR(VLOOKUP($EE34,$BC$2:$BK$84,6,FALSE),0)+IFERROR(VLOOKUP($EF34,$BC$2:$BK$84,6,FALSE),0)</f>
        <v/>
      </c>
      <c r="EV34" s="152">
        <f>IFERROR(VLOOKUP($EC34,$BC$2:$BK$84,9,FALSE),0)+IFERROR(VLOOKUP($ED34,$BC$2:$BK$84,9,FALSE),0)+IFERROR(VLOOKUP($EE34,$BC$2:$BK$84,9,FALSE),0)+IFERROR(VLOOKUP($EF34,$BC$2:$BK$84,9,FALSE),0)</f>
        <v/>
      </c>
      <c r="EW34" s="152">
        <f>IF($EJ34=0,0,INDEX($AD$2:$AD$11,$EJ34))</f>
        <v/>
      </c>
      <c r="EX34" s="152">
        <f>IF($EJ34=0,0,INDEX($AE$2:$AE$11,$EJ34))</f>
        <v/>
      </c>
      <c r="EY34" s="152">
        <f>IF($EJ34=0,0,INDEX($AG$2:$AG$11,$EJ34))</f>
        <v/>
      </c>
      <c r="EZ34" s="152">
        <f>IFERROR(VLOOKUP($EG34,$BM$2:$BQ$24,3,FALSE),0)</f>
        <v/>
      </c>
      <c r="FA34" s="152">
        <f>IFERROR(VLOOKUP($EH34,$BM$2:$BQ$24,3,FALSE),0)</f>
        <v/>
      </c>
      <c r="FB34" s="152">
        <f>IFERROR(VLOOKUP($EG34,$BM$2:$BQ$24,2,FALSE),"")</f>
        <v/>
      </c>
      <c r="FC34" s="152">
        <f>IFERROR(VLOOKUP($EH34,$BM$2:$BQ$24,2,FALSE),"")</f>
        <v/>
      </c>
      <c r="FD34" s="152">
        <f>COUNTIF($EK34:$EO34,1)</f>
        <v/>
      </c>
      <c r="FE34" s="152">
        <f>COUNTIF($EK34:$EO34,2)</f>
        <v/>
      </c>
      <c r="FF34" s="152">
        <f>COUNTIF($EK34:$EO34,3)</f>
        <v/>
      </c>
      <c r="FG34" s="152">
        <f>COUNTIF($EK34:$EO34,4)</f>
        <v/>
      </c>
      <c r="FH34" s="152">
        <f>COUNTIF($EK34:$EO34,5)</f>
        <v/>
      </c>
      <c r="FI34" s="152">
        <f>COUNTIF($EK34:$EO34,6)</f>
        <v/>
      </c>
      <c r="FJ34" s="152">
        <f>COUNTIF($EZ34:$FA34,1)</f>
        <v/>
      </c>
      <c r="FK34" s="152">
        <f>COUNTIF($EZ34:$FA34,2)+$EW34</f>
        <v/>
      </c>
      <c r="FL34" s="152">
        <f>COUNTIF($EC34:$EF34,"?*")</f>
        <v/>
      </c>
      <c r="FM34" s="152">
        <f>COUNTIF($EG34:$EH34,"?*")+$EW34</f>
        <v/>
      </c>
      <c r="FN34" s="152">
        <f>SUMPRODUCT($FD34:$FI34,INDEX($Q$2:$V$8,$DZ34,0))</f>
        <v/>
      </c>
      <c r="FO34" s="152">
        <f>$FJ34*CEILING($DZ34/2,1)+$FK34*$DZ34</f>
        <v/>
      </c>
      <c r="FP34" s="152">
        <f>MIN(2*$DZ34,$FO34)</f>
        <v/>
      </c>
      <c r="FQ34" s="152">
        <f>MIN($FP34,$FN34)</f>
        <v/>
      </c>
      <c r="FR34" s="152">
        <f>$FP34-$FQ34</f>
        <v/>
      </c>
      <c r="FS34" s="152">
        <f>3*$DZ34-$FN34+$FQ34</f>
        <v/>
      </c>
      <c r="FT34" s="152">
        <f>MAX(0,$FS34)+$DX34*$DZ34</f>
        <v/>
      </c>
      <c r="FU34" s="152">
        <f>(IF(COUNTIF($EC34:$EF34,"Salto")&gt;0,1,0)+IF(COUNTIF($EC34:$EF34,"Queima")&gt;0,1,0)+IF(COUNTIF($EC34:$EF34,"Estilhaço")&gt;0,1,0))*FLOOR($FT34/2,1)</f>
        <v/>
      </c>
      <c r="FV34" s="152">
        <f>MAX(0,3-SUMPRODUCT($FD34:$FI34,$Q$2:$V$2)+MIN(2,$FJ34*1+$FK34*1,SUMPRODUCT($FD34:$FI34,$Q$2:$V$2)))+$DX34*1</f>
        <v/>
      </c>
      <c r="FW34" s="152">
        <f>MAX(0,6-SUMPRODUCT($FD34:$FI34,$Q$3:$V$3)+MIN(4,$FJ34*1+$FK34*2,SUMPRODUCT($FD34:$FI34,$Q$3:$V$3)))+$DX34*2</f>
        <v/>
      </c>
      <c r="FX34" s="152">
        <f>MAX(0,9-SUMPRODUCT($FD34:$FI34,$Q$4:$V$4)+MIN(6,$FJ34*2+$FK34*3,SUMPRODUCT($FD34:$FI34,$Q$4:$V$4)))+$DX34*3</f>
        <v/>
      </c>
      <c r="FY34" s="152">
        <f>MAX(0,12-SUMPRODUCT($FD34:$FI34,$Q$5:$V$5)+MIN(8,$FJ34*2+$FK34*4,SUMPRODUCT($FD34:$FI34,$Q$5:$V$5)))+$DX34*4</f>
        <v/>
      </c>
      <c r="FZ34" s="152">
        <f>MAX(0,15-SUMPRODUCT($FD34:$FI34,$Q$6:$V$6)+MIN(10,$FJ34*3+$FK34*5,SUMPRODUCT($FD34:$FI34,$Q$6:$V$6)))+$DX34*5</f>
        <v/>
      </c>
      <c r="GA34" s="152">
        <f>MAX(0,18-SUMPRODUCT($FD34:$FI34,$Q$7:$V$7)+MIN(12,$FJ34*3+$FK34*6,SUMPRODUCT($FD34:$FI34,$Q$7:$V$7)))+$DX34*6</f>
        <v/>
      </c>
      <c r="GB34" s="152">
        <f>MAX(0,21-SUMPRODUCT($FD34:$FI34,$Q$8:$V$8)+MIN(14,$FJ34*4+$FK34*7,SUMPRODUCT($FD34:$FI34,$Q$8:$V$8)))+$DX34*7</f>
        <v/>
      </c>
      <c r="GC34" s="152">
        <f>IF($EX34=2,3*$FV34&amp;" de vida temp.",IF($EX34=3,"sem dano",IF($FV34=0,IF($EX34=1,"sem cura","sem dano"),IF($EX34=1,"cura ","")&amp;$FV34&amp;"d8")))</f>
        <v/>
      </c>
      <c r="GD34" s="152">
        <f>IF($EX34=2,3*$FW34&amp;" de vida temp.",IF($EX34=3,"sem dano",IF($FW34=0,IF($EX34=1,"sem cura","sem dano"),IF($EX34=1,"cura ","")&amp;$FW34&amp;"d8")))</f>
        <v/>
      </c>
      <c r="GE34" s="152">
        <f>IF($EX34=2,3*$FX34&amp;" de vida temp.",IF($EX34=3,"sem dano",IF($FX34=0,IF($EX34=1,"sem cura","sem dano"),IF($EX34=1,"cura ","")&amp;$FX34&amp;"d8")))</f>
        <v/>
      </c>
      <c r="GF34" s="152">
        <f>IF($EX34=2,3*$FY34&amp;" de vida temp.",IF($EX34=3,"sem dano",IF($FY34=0,IF($EX34=1,"sem cura","sem dano"),IF($EX34=1,"cura ","")&amp;$FY34&amp;"d8")))</f>
        <v/>
      </c>
      <c r="GG34" s="152">
        <f>IF($EX34=2,3*$FZ34&amp;" de vida temp.",IF($EX34=3,"sem dano",IF($FZ34=0,IF($EX34=1,"sem cura","sem dano"),IF($EX34=1,"cura ","")&amp;$FZ34&amp;"d8")))</f>
        <v/>
      </c>
      <c r="GH34" s="152">
        <f>IF($EX34=2,3*$GA34&amp;" de vida temp.",IF($EX34=3,"sem dano",IF($GA34=0,IF($EX34=1,"sem cura","sem dano"),IF($EX34=1,"cura ","")&amp;$GA34&amp;"d8")))</f>
        <v/>
      </c>
      <c r="GI34" s="152">
        <f>IF($EX34=2,3*$GB34&amp;" de vida temp.",IF($EX34=3,"sem dano",IF($GB34=0,IF($EX34=1,"sem cura","sem dano"),IF($EX34=1,"cura ","")&amp;$GB34&amp;"d8")))</f>
        <v/>
      </c>
      <c r="GJ34" s="152">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2">
        <f>IF($GJ34="",0,(LEN($GJ34)-LEN(SUBSTITUTE($GJ34," · ","")))/3+1)</f>
        <v/>
      </c>
      <c r="GL34" s="152">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2">
        <f>IF($GL34="",0,(LEN($GL34)-LEN(SUBSTITUTE($GL34," · ","")))/3+1)</f>
        <v/>
      </c>
      <c r="GN34" s="152">
        <f>IF($EI34=0,IF($FL34+$FM34-$EW34&gt;0,"Dê um nome",""),IF($GK34&gt;0,"⚠ "&amp;$GK34&amp;IF($GK34&gt;1," erros"," erro"),IF($GM34&gt;0,"! "&amp;$GM34&amp;IF($GM34&gt;1," avisos"," aviso"),"Na regra")))</f>
        <v/>
      </c>
      <c r="GO34" s="152">
        <f>IF($EI34=0,"",IF($GK34+$GM34=0,"Dentro das regras que a ficha confere",$GJ34&amp;IF(AND($GK34&gt;0,$GM34&gt;0)," · ","")&amp;$GL34))</f>
        <v/>
      </c>
      <c r="GP34" s="152">
        <f>IF($EI34=0,"",IF($DX34=1,CEILING(4.5*$DZ34,1),3*$DZ34)&amp;" PE")</f>
        <v/>
      </c>
      <c r="GQ34" s="152">
        <f>IF($EI34=0,"",IF($DX34=1,"Rodada inteira",IF(COUNTIF($FB34:$FC34,"Atrasar")&gt;0,IF(COUNTIF($FB34:$FC34,"Carregar")&gt;0,"Rodada +1 turno","Rodada inteira"),IF(COUNTIF($EC34:$EF34,"Rápido")&gt;0,"Bônus",IF(COUNTIF($EC34:$EF34,"Reação")&gt;0,"Reação","Padrão"))&amp;IF(COUNTIF($FB34:$FC34,"Carregar")&gt;0," +1 turno",""))))</f>
        <v/>
      </c>
      <c r="GR34" s="152">
        <f>IF(OR($EI34=0,$EJ34=0),"",IF(COUNTIF($EC34:$EF34,"Inescapável")&gt;0,"Automático",IF(COUNTIF($EC34:$EF34,"Certeiro")&gt;0,"TR para metade",IF(AND($EV34&gt;0,$EY34=0,INDEX($AF$2:$AF$11,$EJ34)="Acerto"),"Acerto + TR",INDEX($AF$2:$AF$11,$EJ34)))))</f>
        <v/>
      </c>
      <c r="GS34" s="152">
        <f>IF(OR($EI34=0,$EJ34=0),"",IF(OR($EX34&gt;=2,$FT34=0),UPPER(LEFT(INDEX($GC34:$GI34,1,$DZ34),1))&amp;MID(INDEX($GC34:$GI34,1,$DZ34),2,99),UPPER(LEFT(INDEX($GC34:$GI34,1,$DZ34),1))&amp;MID(INDEX($GC34:$GI34,1,$DZ34),2,99)&amp;" = "&amp;FLOOR($FT34*4.5,1)&amp;IF($FU34&gt;0," · +"&amp;$FU34&amp;"d8","")))</f>
        <v/>
      </c>
      <c r="GT34" s="152">
        <f>COUNTIF($EC34:$EF34,"Longe")+3*COUNTIF($EC34:$EF34,"Muito Longe")</f>
        <v/>
      </c>
      <c r="GU34" s="152">
        <f>COUNTIF($EC34:$EF34,"Maior")+3*COUNTIF($EC34:$EF34,"Muito Maior")</f>
        <v/>
      </c>
      <c r="GV34" s="152">
        <f>IF($EJ34=0,0,CHOOSE(1+INDEX($AH$2:$AH$11,$EJ34),0,$GT34,$GU34,$GT34+$GU34))</f>
        <v/>
      </c>
      <c r="GW34" s="152">
        <f>IF($EJ34=0,0,CHOOSE(1+INDEX($AI$2:$AI$11,$EJ34),0,$GT34,$GU34,$GT34+$GU34))</f>
        <v/>
      </c>
      <c r="GX34" s="152">
        <f>IF(OR($EI34=0,$EJ34=0),"",INDEX($AP$2:$AU$31,($EJ34-1)*3+IF($DZ34&gt;=6,3,2),1+MIN(5,$GV34))&amp;INDEX($AV$2:$BA$31,($EJ34-1)*3+IF($DZ34&gt;=6,3,2),1+MIN(5,$GW34))&amp;IF(INDEX($AJ$2:$AJ$11,$EJ34)=1,IF(COUNTIF($EC34:$EF34,"Mais Um")&gt;0," · +"&amp;COUNTIF($EC34:$EF34,"Mais Um")&amp;IF(COUNTIF($EC34:$EF34,"Mais Um")&gt;1," alvos"," alvo"),"")&amp;IF(COUNTIF($EC34:$EF34,"Rajada")&gt;0," · "&amp;($DZ34+1)&amp;" tiros",""),""))</f>
        <v/>
      </c>
      <c r="GY34" s="152">
        <f>IF($EI34=0,"",3*$DZ34&amp;" − "&amp;$FN34&amp;" + "&amp;$FQ34&amp;IF($DX34=1," + "&amp;$DZ34,"")&amp;" = "&amp;$FT34&amp;"d8 · teto "&amp;4*$DZ34&amp;IF($EW34=1," · a Forma devolve "&amp;$DZ34,"")&amp;IF($FR34&gt;0," · perde "&amp;$FR34,""))</f>
        <v/>
      </c>
      <c r="GZ34" s="152">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2">
        <f>IF(OR($EI34=0,$EL34=0),"","−"&amp;INDEX($Q$2:$V$8,$DZ34,$EL34)&amp;" · "&amp;CHOOSE($EL34,"Leve","Média","Pesada","Leve · Livre","Média · Livre","Pesada · Livre"))</f>
        <v/>
      </c>
      <c r="HB34" s="152">
        <f>IF(OR($EI34=0,$EM34=0),"","−"&amp;INDEX($Q$2:$V$8,$DZ34,$EM34)&amp;" · "&amp;CHOOSE($EM34,"Leve","Média","Pesada","Leve · Livre","Média · Livre","Pesada · Livre"))</f>
        <v/>
      </c>
      <c r="HC34" s="152">
        <f>IF(OR($EI34=0,$EN34=0),"","−"&amp;INDEX($Q$2:$V$8,$DZ34,$EN34)&amp;" · "&amp;CHOOSE($EN34,"Leve","Média","Pesada","Leve · Livre","Média · Livre","Pesada · Livre"))</f>
        <v/>
      </c>
      <c r="HD34" s="152">
        <f>IF(OR($EI34=0,$EO34=0),"","−"&amp;INDEX($Q$2:$V$8,$DZ34,$EO34)&amp;" · "&amp;CHOOSE($EO34,"Leve","Média","Pesada","Leve · Livre","Média · Livre","Pesada · Livre"))</f>
        <v/>
      </c>
      <c r="HE34" s="152">
        <f>IF(OR($EI34=0,$EG34=""),"","+"&amp;IF($EZ34=1,CEILING($DZ34/2,1),$DZ34))</f>
        <v/>
      </c>
      <c r="HF34" s="152">
        <f>IF(OR($EI34=0,$EH34=""),"","+"&amp;IF($FA34=1,CEILING($DZ34/2,1),$DZ34))</f>
        <v/>
      </c>
      <c r="HG34" s="152">
        <f>'FICHA AMALDIÇOADA'!$P$267&amp;""</f>
        <v/>
      </c>
      <c r="HH34" s="152">
        <f>IF(AND($EI34=1,$DX34=0),COUNTIFS($EI$2:$EI34,1,$DX$2:$DX34,0),"")</f>
        <v/>
      </c>
      <c r="HJ34" s="150" t="inlineStr">
        <is>
          <t>degrau do domínio</t>
        </is>
      </c>
      <c r="HK34" s="152">
        <f>'FICHA AMALDIÇOADA'!$D$357&amp;""</f>
        <v/>
      </c>
      <c r="JF34" s="152" t="n">
        <v>33</v>
      </c>
      <c r="JG34" s="152">
        <f>IFERROR(MATCH(33,$HH$2:$HH$37,0),0)</f>
        <v/>
      </c>
      <c r="JH34" s="152">
        <f>IF($JG34=0,"",INDEX($DZ$2:$DZ$37,$JG34))</f>
        <v/>
      </c>
      <c r="JI34" s="152">
        <f>IF($JG34=0,"",INDEX($EA$2:$EA$37,$JG34))</f>
        <v/>
      </c>
      <c r="JJ34" s="152">
        <f>IF($JG34=0,"",INDEX($GP$2:$GP$37,$JG34))</f>
        <v/>
      </c>
      <c r="JK34" s="152">
        <f>IF($JG34=0,"",INDEX($EB$2:$EB$37,$JG34))</f>
        <v/>
      </c>
      <c r="JL34" s="152">
        <f>IF($JG34=0,"",INDEX($GR$2:$GR$37,$JG34))</f>
        <v/>
      </c>
      <c r="JM34" s="152">
        <f>IF($JG34=0,"",INDEX($HG$2:$HG$37,$JG34))</f>
        <v/>
      </c>
      <c r="KS34" s="150" t="inlineStr">
        <is>
          <t>D221</t>
        </is>
      </c>
      <c r="KT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BK35" s="152" t="n">
        <v>1</v>
      </c>
      <c r="DW35" s="150" t="inlineStr">
        <is>
          <t>Feitiço 34</t>
        </is>
      </c>
      <c r="DX35" s="152" t="n">
        <v>0</v>
      </c>
      <c r="DY35" s="152" t="n">
        <v>34</v>
      </c>
      <c r="DZ35" s="152">
        <f>MAX(1,MIN(7,N('FICHA AMALDIÇOADA'!$D$286)))</f>
        <v/>
      </c>
      <c r="EA35" s="152">
        <f>'FICHA AMALDIÇOADA'!$E$286&amp;""</f>
        <v/>
      </c>
      <c r="EB35" s="152">
        <f>'FICHA AMALDIÇOADA'!$D$293&amp;""</f>
        <v/>
      </c>
      <c r="EC35" s="152">
        <f>'FICHA AMALDIÇOADA'!$E$295&amp;""</f>
        <v/>
      </c>
      <c r="ED35" s="152">
        <f>'FICHA AMALDIÇOADA'!$E$296&amp;""</f>
        <v/>
      </c>
      <c r="EE35" s="152">
        <f>'FICHA AMALDIÇOADA'!$E$297&amp;""</f>
        <v/>
      </c>
      <c r="EF35" s="152">
        <f>'FICHA AMALDIÇOADA'!$E$298&amp;""</f>
        <v/>
      </c>
      <c r="EG35" s="152">
        <f>'FICHA AMALDIÇOADA'!$E$299&amp;""</f>
        <v/>
      </c>
      <c r="EH35" s="152">
        <f>'FICHA AMALDIÇOADA'!$E$300&amp;""</f>
        <v/>
      </c>
      <c r="EI35" s="152">
        <f>IF($EA35&lt;&gt;"",1,0)</f>
        <v/>
      </c>
      <c r="EJ35" s="152">
        <f>IFERROR(MATCH($EB35,$Y$2:$Y$11,0),0)</f>
        <v/>
      </c>
      <c r="EK35" s="152">
        <f>IF($EJ35=0,0,INDEX($AB$2:$AB$11,$EJ35))</f>
        <v/>
      </c>
      <c r="EL35" s="152">
        <f>IFERROR(VLOOKUP($EC35,$BC$2:$BK$84,4,FALSE),0)</f>
        <v/>
      </c>
      <c r="EM35" s="152">
        <f>IFERROR(VLOOKUP($ED35,$BC$2:$BK$84,4,FALSE),0)</f>
        <v/>
      </c>
      <c r="EN35" s="152">
        <f>IFERROR(VLOOKUP($EE35,$BC$2:$BK$84,4,FALSE),0)</f>
        <v/>
      </c>
      <c r="EO35" s="152">
        <f>IFERROR(VLOOKUP($EF35,$BC$2:$BK$84,4,FALSE),0)</f>
        <v/>
      </c>
      <c r="EP35" s="152">
        <f>IF($EJ35=0,0,INDEX($AC$2:$AC$11,$EJ35))</f>
        <v/>
      </c>
      <c r="EQ35" s="152">
        <f>IFERROR(VLOOKUP($EC35,$BC$2:$BK$84,5,FALSE),0)</f>
        <v/>
      </c>
      <c r="ER35" s="152">
        <f>IFERROR(VLOOKUP($ED35,$BC$2:$BK$84,5,FALSE),0)</f>
        <v/>
      </c>
      <c r="ES35" s="152">
        <f>IFERROR(VLOOKUP($EE35,$BC$2:$BK$84,5,FALSE),0)</f>
        <v/>
      </c>
      <c r="ET35" s="152">
        <f>IFERROR(VLOOKUP($EF35,$BC$2:$BK$84,5,FALSE),0)</f>
        <v/>
      </c>
      <c r="EU35" s="152">
        <f>IFERROR(VLOOKUP($EC35,$BC$2:$BK$84,6,FALSE),0)+IFERROR(VLOOKUP($ED35,$BC$2:$BK$84,6,FALSE),0)+IFERROR(VLOOKUP($EE35,$BC$2:$BK$84,6,FALSE),0)+IFERROR(VLOOKUP($EF35,$BC$2:$BK$84,6,FALSE),0)</f>
        <v/>
      </c>
      <c r="EV35" s="152">
        <f>IFERROR(VLOOKUP($EC35,$BC$2:$BK$84,9,FALSE),0)+IFERROR(VLOOKUP($ED35,$BC$2:$BK$84,9,FALSE),0)+IFERROR(VLOOKUP($EE35,$BC$2:$BK$84,9,FALSE),0)+IFERROR(VLOOKUP($EF35,$BC$2:$BK$84,9,FALSE),0)</f>
        <v/>
      </c>
      <c r="EW35" s="152">
        <f>IF($EJ35=0,0,INDEX($AD$2:$AD$11,$EJ35))</f>
        <v/>
      </c>
      <c r="EX35" s="152">
        <f>IF($EJ35=0,0,INDEX($AE$2:$AE$11,$EJ35))</f>
        <v/>
      </c>
      <c r="EY35" s="152">
        <f>IF($EJ35=0,0,INDEX($AG$2:$AG$11,$EJ35))</f>
        <v/>
      </c>
      <c r="EZ35" s="152">
        <f>IFERROR(VLOOKUP($EG35,$BM$2:$BQ$24,3,FALSE),0)</f>
        <v/>
      </c>
      <c r="FA35" s="152">
        <f>IFERROR(VLOOKUP($EH35,$BM$2:$BQ$24,3,FALSE),0)</f>
        <v/>
      </c>
      <c r="FB35" s="152">
        <f>IFERROR(VLOOKUP($EG35,$BM$2:$BQ$24,2,FALSE),"")</f>
        <v/>
      </c>
      <c r="FC35" s="152">
        <f>IFERROR(VLOOKUP($EH35,$BM$2:$BQ$24,2,FALSE),"")</f>
        <v/>
      </c>
      <c r="FD35" s="152">
        <f>COUNTIF($EK35:$EO35,1)</f>
        <v/>
      </c>
      <c r="FE35" s="152">
        <f>COUNTIF($EK35:$EO35,2)</f>
        <v/>
      </c>
      <c r="FF35" s="152">
        <f>COUNTIF($EK35:$EO35,3)</f>
        <v/>
      </c>
      <c r="FG35" s="152">
        <f>COUNTIF($EK35:$EO35,4)</f>
        <v/>
      </c>
      <c r="FH35" s="152">
        <f>COUNTIF($EK35:$EO35,5)</f>
        <v/>
      </c>
      <c r="FI35" s="152">
        <f>COUNTIF($EK35:$EO35,6)</f>
        <v/>
      </c>
      <c r="FJ35" s="152">
        <f>COUNTIF($EZ35:$FA35,1)</f>
        <v/>
      </c>
      <c r="FK35" s="152">
        <f>COUNTIF($EZ35:$FA35,2)+$EW35</f>
        <v/>
      </c>
      <c r="FL35" s="152">
        <f>COUNTIF($EC35:$EF35,"?*")</f>
        <v/>
      </c>
      <c r="FM35" s="152">
        <f>COUNTIF($EG35:$EH35,"?*")+$EW35</f>
        <v/>
      </c>
      <c r="FN35" s="152">
        <f>SUMPRODUCT($FD35:$FI35,INDEX($Q$2:$V$8,$DZ35,0))</f>
        <v/>
      </c>
      <c r="FO35" s="152">
        <f>$FJ35*CEILING($DZ35/2,1)+$FK35*$DZ35</f>
        <v/>
      </c>
      <c r="FP35" s="152">
        <f>MIN(2*$DZ35,$FO35)</f>
        <v/>
      </c>
      <c r="FQ35" s="152">
        <f>MIN($FP35,$FN35)</f>
        <v/>
      </c>
      <c r="FR35" s="152">
        <f>$FP35-$FQ35</f>
        <v/>
      </c>
      <c r="FS35" s="152">
        <f>3*$DZ35-$FN35+$FQ35</f>
        <v/>
      </c>
      <c r="FT35" s="152">
        <f>MAX(0,$FS35)+$DX35*$DZ35</f>
        <v/>
      </c>
      <c r="FU35" s="152">
        <f>(IF(COUNTIF($EC35:$EF35,"Salto")&gt;0,1,0)+IF(COUNTIF($EC35:$EF35,"Queima")&gt;0,1,0)+IF(COUNTIF($EC35:$EF35,"Estilhaço")&gt;0,1,0))*FLOOR($FT35/2,1)</f>
        <v/>
      </c>
      <c r="FV35" s="152">
        <f>MAX(0,3-SUMPRODUCT($FD35:$FI35,$Q$2:$V$2)+MIN(2,$FJ35*1+$FK35*1,SUMPRODUCT($FD35:$FI35,$Q$2:$V$2)))+$DX35*1</f>
        <v/>
      </c>
      <c r="FW35" s="152">
        <f>MAX(0,6-SUMPRODUCT($FD35:$FI35,$Q$3:$V$3)+MIN(4,$FJ35*1+$FK35*2,SUMPRODUCT($FD35:$FI35,$Q$3:$V$3)))+$DX35*2</f>
        <v/>
      </c>
      <c r="FX35" s="152">
        <f>MAX(0,9-SUMPRODUCT($FD35:$FI35,$Q$4:$V$4)+MIN(6,$FJ35*2+$FK35*3,SUMPRODUCT($FD35:$FI35,$Q$4:$V$4)))+$DX35*3</f>
        <v/>
      </c>
      <c r="FY35" s="152">
        <f>MAX(0,12-SUMPRODUCT($FD35:$FI35,$Q$5:$V$5)+MIN(8,$FJ35*2+$FK35*4,SUMPRODUCT($FD35:$FI35,$Q$5:$V$5)))+$DX35*4</f>
        <v/>
      </c>
      <c r="FZ35" s="152">
        <f>MAX(0,15-SUMPRODUCT($FD35:$FI35,$Q$6:$V$6)+MIN(10,$FJ35*3+$FK35*5,SUMPRODUCT($FD35:$FI35,$Q$6:$V$6)))+$DX35*5</f>
        <v/>
      </c>
      <c r="GA35" s="152">
        <f>MAX(0,18-SUMPRODUCT($FD35:$FI35,$Q$7:$V$7)+MIN(12,$FJ35*3+$FK35*6,SUMPRODUCT($FD35:$FI35,$Q$7:$V$7)))+$DX35*6</f>
        <v/>
      </c>
      <c r="GB35" s="152">
        <f>MAX(0,21-SUMPRODUCT($FD35:$FI35,$Q$8:$V$8)+MIN(14,$FJ35*4+$FK35*7,SUMPRODUCT($FD35:$FI35,$Q$8:$V$8)))+$DX35*7</f>
        <v/>
      </c>
      <c r="GC35" s="152">
        <f>IF($EX35=2,3*$FV35&amp;" de vida temp.",IF($EX35=3,"sem dano",IF($FV35=0,IF($EX35=1,"sem cura","sem dano"),IF($EX35=1,"cura ","")&amp;$FV35&amp;"d8")))</f>
        <v/>
      </c>
      <c r="GD35" s="152">
        <f>IF($EX35=2,3*$FW35&amp;" de vida temp.",IF($EX35=3,"sem dano",IF($FW35=0,IF($EX35=1,"sem cura","sem dano"),IF($EX35=1,"cura ","")&amp;$FW35&amp;"d8")))</f>
        <v/>
      </c>
      <c r="GE35" s="152">
        <f>IF($EX35=2,3*$FX35&amp;" de vida temp.",IF($EX35=3,"sem dano",IF($FX35=0,IF($EX35=1,"sem cura","sem dano"),IF($EX35=1,"cura ","")&amp;$FX35&amp;"d8")))</f>
        <v/>
      </c>
      <c r="GF35" s="152">
        <f>IF($EX35=2,3*$FY35&amp;" de vida temp.",IF($EX35=3,"sem dano",IF($FY35=0,IF($EX35=1,"sem cura","sem dano"),IF($EX35=1,"cura ","")&amp;$FY35&amp;"d8")))</f>
        <v/>
      </c>
      <c r="GG35" s="152">
        <f>IF($EX35=2,3*$FZ35&amp;" de vida temp.",IF($EX35=3,"sem dano",IF($FZ35=0,IF($EX35=1,"sem cura","sem dano"),IF($EX35=1,"cura ","")&amp;$FZ35&amp;"d8")))</f>
        <v/>
      </c>
      <c r="GH35" s="152">
        <f>IF($EX35=2,3*$GA35&amp;" de vida temp.",IF($EX35=3,"sem dano",IF($GA35=0,IF($EX35=1,"sem cura","sem dano"),IF($EX35=1,"cura ","")&amp;$GA35&amp;"d8")))</f>
        <v/>
      </c>
      <c r="GI35" s="152">
        <f>IF($EX35=2,3*$GB35&amp;" de vida temp.",IF($EX35=3,"sem dano",IF($GB35=0,IF($EX35=1,"sem cura","sem dano"),IF($EX35=1,"cura ","")&amp;$GB35&amp;"d8")))</f>
        <v/>
      </c>
      <c r="GJ35" s="152">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2">
        <f>IF($GJ35="",0,(LEN($GJ35)-LEN(SUBSTITUTE($GJ35," · ","")))/3+1)</f>
        <v/>
      </c>
      <c r="GL35" s="152">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2">
        <f>IF($GL35="",0,(LEN($GL35)-LEN(SUBSTITUTE($GL35," · ","")))/3+1)</f>
        <v/>
      </c>
      <c r="GN35" s="152">
        <f>IF($EI35=0,IF($FL35+$FM35-$EW35&gt;0,"Dê um nome",""),IF($GK35&gt;0,"⚠ "&amp;$GK35&amp;IF($GK35&gt;1," erros"," erro"),IF($GM35&gt;0,"! "&amp;$GM35&amp;IF($GM35&gt;1," avisos"," aviso"),"Na regra")))</f>
        <v/>
      </c>
      <c r="GO35" s="152">
        <f>IF($EI35=0,"",IF($GK35+$GM35=0,"Dentro das regras que a ficha confere",$GJ35&amp;IF(AND($GK35&gt;0,$GM35&gt;0)," · ","")&amp;$GL35))</f>
        <v/>
      </c>
      <c r="GP35" s="152">
        <f>IF($EI35=0,"",IF($DX35=1,CEILING(4.5*$DZ35,1),3*$DZ35)&amp;" PE")</f>
        <v/>
      </c>
      <c r="GQ35" s="152">
        <f>IF($EI35=0,"",IF($DX35=1,"Rodada inteira",IF(COUNTIF($FB35:$FC35,"Atrasar")&gt;0,IF(COUNTIF($FB35:$FC35,"Carregar")&gt;0,"Rodada +1 turno","Rodada inteira"),IF(COUNTIF($EC35:$EF35,"Rápido")&gt;0,"Bônus",IF(COUNTIF($EC35:$EF35,"Reação")&gt;0,"Reação","Padrão"))&amp;IF(COUNTIF($FB35:$FC35,"Carregar")&gt;0," +1 turno",""))))</f>
        <v/>
      </c>
      <c r="GR35" s="152">
        <f>IF(OR($EI35=0,$EJ35=0),"",IF(COUNTIF($EC35:$EF35,"Inescapável")&gt;0,"Automático",IF(COUNTIF($EC35:$EF35,"Certeiro")&gt;0,"TR para metade",IF(AND($EV35&gt;0,$EY35=0,INDEX($AF$2:$AF$11,$EJ35)="Acerto"),"Acerto + TR",INDEX($AF$2:$AF$11,$EJ35)))))</f>
        <v/>
      </c>
      <c r="GS35" s="152">
        <f>IF(OR($EI35=0,$EJ35=0),"",IF(OR($EX35&gt;=2,$FT35=0),UPPER(LEFT(INDEX($GC35:$GI35,1,$DZ35),1))&amp;MID(INDEX($GC35:$GI35,1,$DZ35),2,99),UPPER(LEFT(INDEX($GC35:$GI35,1,$DZ35),1))&amp;MID(INDEX($GC35:$GI35,1,$DZ35),2,99)&amp;" = "&amp;FLOOR($FT35*4.5,1)&amp;IF($FU35&gt;0," · +"&amp;$FU35&amp;"d8","")))</f>
        <v/>
      </c>
      <c r="GT35" s="152">
        <f>COUNTIF($EC35:$EF35,"Longe")+3*COUNTIF($EC35:$EF35,"Muito Longe")</f>
        <v/>
      </c>
      <c r="GU35" s="152">
        <f>COUNTIF($EC35:$EF35,"Maior")+3*COUNTIF($EC35:$EF35,"Muito Maior")</f>
        <v/>
      </c>
      <c r="GV35" s="152">
        <f>IF($EJ35=0,0,CHOOSE(1+INDEX($AH$2:$AH$11,$EJ35),0,$GT35,$GU35,$GT35+$GU35))</f>
        <v/>
      </c>
      <c r="GW35" s="152">
        <f>IF($EJ35=0,0,CHOOSE(1+INDEX($AI$2:$AI$11,$EJ35),0,$GT35,$GU35,$GT35+$GU35))</f>
        <v/>
      </c>
      <c r="GX35" s="152">
        <f>IF(OR($EI35=0,$EJ35=0),"",INDEX($AP$2:$AU$31,($EJ35-1)*3+IF($DZ35&gt;=6,3,2),1+MIN(5,$GV35))&amp;INDEX($AV$2:$BA$31,($EJ35-1)*3+IF($DZ35&gt;=6,3,2),1+MIN(5,$GW35))&amp;IF(INDEX($AJ$2:$AJ$11,$EJ35)=1,IF(COUNTIF($EC35:$EF35,"Mais Um")&gt;0," · +"&amp;COUNTIF($EC35:$EF35,"Mais Um")&amp;IF(COUNTIF($EC35:$EF35,"Mais Um")&gt;1," alvos"," alvo"),"")&amp;IF(COUNTIF($EC35:$EF35,"Rajada")&gt;0," · "&amp;($DZ35+1)&amp;" tiros",""),""))</f>
        <v/>
      </c>
      <c r="GY35" s="152">
        <f>IF($EI35=0,"",3*$DZ35&amp;" − "&amp;$FN35&amp;" + "&amp;$FQ35&amp;IF($DX35=1," + "&amp;$DZ35,"")&amp;" = "&amp;$FT35&amp;"d8 · teto "&amp;4*$DZ35&amp;IF($EW35=1," · a Forma devolve "&amp;$DZ35,"")&amp;IF($FR35&gt;0," · perde "&amp;$FR35,""))</f>
        <v/>
      </c>
      <c r="GZ35" s="152">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2">
        <f>IF(OR($EI35=0,$EL35=0),"","−"&amp;INDEX($Q$2:$V$8,$DZ35,$EL35)&amp;" · "&amp;CHOOSE($EL35,"Leve","Média","Pesada","Leve · Livre","Média · Livre","Pesada · Livre"))</f>
        <v/>
      </c>
      <c r="HB35" s="152">
        <f>IF(OR($EI35=0,$EM35=0),"","−"&amp;INDEX($Q$2:$V$8,$DZ35,$EM35)&amp;" · "&amp;CHOOSE($EM35,"Leve","Média","Pesada","Leve · Livre","Média · Livre","Pesada · Livre"))</f>
        <v/>
      </c>
      <c r="HC35" s="152">
        <f>IF(OR($EI35=0,$EN35=0),"","−"&amp;INDEX($Q$2:$V$8,$DZ35,$EN35)&amp;" · "&amp;CHOOSE($EN35,"Leve","Média","Pesada","Leve · Livre","Média · Livre","Pesada · Livre"))</f>
        <v/>
      </c>
      <c r="HD35" s="152">
        <f>IF(OR($EI35=0,$EO35=0),"","−"&amp;INDEX($Q$2:$V$8,$DZ35,$EO35)&amp;" · "&amp;CHOOSE($EO35,"Leve","Média","Pesada","Leve · Livre","Média · Livre","Pesada · Livre"))</f>
        <v/>
      </c>
      <c r="HE35" s="152">
        <f>IF(OR($EI35=0,$EG35=""),"","+"&amp;IF($EZ35=1,CEILING($DZ35/2,1),$DZ35))</f>
        <v/>
      </c>
      <c r="HF35" s="152">
        <f>IF(OR($EI35=0,$EH35=""),"","+"&amp;IF($FA35=1,CEILING($DZ35/2,1),$DZ35))</f>
        <v/>
      </c>
      <c r="HG35" s="152">
        <f>'FICHA AMALDIÇOADA'!$D$288&amp;""</f>
        <v/>
      </c>
      <c r="HH35" s="152">
        <f>IF(AND($EI35=1,$DX35=0),COUNTIFS($EI$2:$EI35,1,$DX$2:$DX35,0),"")</f>
        <v/>
      </c>
      <c r="HJ35" s="150" t="inlineStr">
        <is>
          <t>dados da técnica máxima</t>
        </is>
      </c>
      <c r="HK35" s="152">
        <f>IFERROR(VLOOKUP($HK$2,$DH$2:$DJ$4,2,TRUE),0)</f>
        <v/>
      </c>
      <c r="JF35" s="152" t="n">
        <v>34</v>
      </c>
      <c r="JG35" s="152">
        <f>IFERROR(MATCH(34,$HH$2:$HH$37,0),0)</f>
        <v/>
      </c>
      <c r="JH35" s="152">
        <f>IF($JG35=0,"",INDEX($DZ$2:$DZ$37,$JG35))</f>
        <v/>
      </c>
      <c r="JI35" s="152">
        <f>IF($JG35=0,"",INDEX($EA$2:$EA$37,$JG35))</f>
        <v/>
      </c>
      <c r="JJ35" s="152">
        <f>IF($JG35=0,"",INDEX($GP$2:$GP$37,$JG35))</f>
        <v/>
      </c>
      <c r="JK35" s="152">
        <f>IF($JG35=0,"",INDEX($EB$2:$EB$37,$JG35))</f>
        <v/>
      </c>
      <c r="JL35" s="152">
        <f>IF($JG35=0,"",INDEX($GR$2:$GR$37,$JG35))</f>
        <v/>
      </c>
      <c r="JM35" s="152">
        <f>IF($JG35=0,"",INDEX($HG$2:$HG$37,$JG35))</f>
        <v/>
      </c>
      <c r="KS35" s="150" t="inlineStr">
        <is>
          <t>D316</t>
        </is>
      </c>
      <c r="KT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BK36" s="152" t="n">
        <v>1</v>
      </c>
      <c r="DW36" s="150" t="inlineStr">
        <is>
          <t>Feitiço 35</t>
        </is>
      </c>
      <c r="DX36" s="152" t="n">
        <v>0</v>
      </c>
      <c r="DY36" s="152" t="n">
        <v>35</v>
      </c>
      <c r="DZ36" s="152">
        <f>MAX(1,MIN(7,N('FICHA AMALDIÇOADA'!$J$286)))</f>
        <v/>
      </c>
      <c r="EA36" s="152">
        <f>'FICHA AMALDIÇOADA'!$K$286&amp;""</f>
        <v/>
      </c>
      <c r="EB36" s="152">
        <f>'FICHA AMALDIÇOADA'!$J$293&amp;""</f>
        <v/>
      </c>
      <c r="EC36" s="152">
        <f>'FICHA AMALDIÇOADA'!$K$295&amp;""</f>
        <v/>
      </c>
      <c r="ED36" s="152">
        <f>'FICHA AMALDIÇOADA'!$K$296&amp;""</f>
        <v/>
      </c>
      <c r="EE36" s="152">
        <f>'FICHA AMALDIÇOADA'!$K$297&amp;""</f>
        <v/>
      </c>
      <c r="EF36" s="152">
        <f>'FICHA AMALDIÇOADA'!$K$298&amp;""</f>
        <v/>
      </c>
      <c r="EG36" s="152">
        <f>'FICHA AMALDIÇOADA'!$K$299&amp;""</f>
        <v/>
      </c>
      <c r="EH36" s="152">
        <f>'FICHA AMALDIÇOADA'!$K$300&amp;""</f>
        <v/>
      </c>
      <c r="EI36" s="152">
        <f>IF($EA36&lt;&gt;"",1,0)</f>
        <v/>
      </c>
      <c r="EJ36" s="152">
        <f>IFERROR(MATCH($EB36,$Y$2:$Y$11,0),0)</f>
        <v/>
      </c>
      <c r="EK36" s="152">
        <f>IF($EJ36=0,0,INDEX($AB$2:$AB$11,$EJ36))</f>
        <v/>
      </c>
      <c r="EL36" s="152">
        <f>IFERROR(VLOOKUP($EC36,$BC$2:$BK$84,4,FALSE),0)</f>
        <v/>
      </c>
      <c r="EM36" s="152">
        <f>IFERROR(VLOOKUP($ED36,$BC$2:$BK$84,4,FALSE),0)</f>
        <v/>
      </c>
      <c r="EN36" s="152">
        <f>IFERROR(VLOOKUP($EE36,$BC$2:$BK$84,4,FALSE),0)</f>
        <v/>
      </c>
      <c r="EO36" s="152">
        <f>IFERROR(VLOOKUP($EF36,$BC$2:$BK$84,4,FALSE),0)</f>
        <v/>
      </c>
      <c r="EP36" s="152">
        <f>IF($EJ36=0,0,INDEX($AC$2:$AC$11,$EJ36))</f>
        <v/>
      </c>
      <c r="EQ36" s="152">
        <f>IFERROR(VLOOKUP($EC36,$BC$2:$BK$84,5,FALSE),0)</f>
        <v/>
      </c>
      <c r="ER36" s="152">
        <f>IFERROR(VLOOKUP($ED36,$BC$2:$BK$84,5,FALSE),0)</f>
        <v/>
      </c>
      <c r="ES36" s="152">
        <f>IFERROR(VLOOKUP($EE36,$BC$2:$BK$84,5,FALSE),0)</f>
        <v/>
      </c>
      <c r="ET36" s="152">
        <f>IFERROR(VLOOKUP($EF36,$BC$2:$BK$84,5,FALSE),0)</f>
        <v/>
      </c>
      <c r="EU36" s="152">
        <f>IFERROR(VLOOKUP($EC36,$BC$2:$BK$84,6,FALSE),0)+IFERROR(VLOOKUP($ED36,$BC$2:$BK$84,6,FALSE),0)+IFERROR(VLOOKUP($EE36,$BC$2:$BK$84,6,FALSE),0)+IFERROR(VLOOKUP($EF36,$BC$2:$BK$84,6,FALSE),0)</f>
        <v/>
      </c>
      <c r="EV36" s="152">
        <f>IFERROR(VLOOKUP($EC36,$BC$2:$BK$84,9,FALSE),0)+IFERROR(VLOOKUP($ED36,$BC$2:$BK$84,9,FALSE),0)+IFERROR(VLOOKUP($EE36,$BC$2:$BK$84,9,FALSE),0)+IFERROR(VLOOKUP($EF36,$BC$2:$BK$84,9,FALSE),0)</f>
        <v/>
      </c>
      <c r="EW36" s="152">
        <f>IF($EJ36=0,0,INDEX($AD$2:$AD$11,$EJ36))</f>
        <v/>
      </c>
      <c r="EX36" s="152">
        <f>IF($EJ36=0,0,INDEX($AE$2:$AE$11,$EJ36))</f>
        <v/>
      </c>
      <c r="EY36" s="152">
        <f>IF($EJ36=0,0,INDEX($AG$2:$AG$11,$EJ36))</f>
        <v/>
      </c>
      <c r="EZ36" s="152">
        <f>IFERROR(VLOOKUP($EG36,$BM$2:$BQ$24,3,FALSE),0)</f>
        <v/>
      </c>
      <c r="FA36" s="152">
        <f>IFERROR(VLOOKUP($EH36,$BM$2:$BQ$24,3,FALSE),0)</f>
        <v/>
      </c>
      <c r="FB36" s="152">
        <f>IFERROR(VLOOKUP($EG36,$BM$2:$BQ$24,2,FALSE),"")</f>
        <v/>
      </c>
      <c r="FC36" s="152">
        <f>IFERROR(VLOOKUP($EH36,$BM$2:$BQ$24,2,FALSE),"")</f>
        <v/>
      </c>
      <c r="FD36" s="152">
        <f>COUNTIF($EK36:$EO36,1)</f>
        <v/>
      </c>
      <c r="FE36" s="152">
        <f>COUNTIF($EK36:$EO36,2)</f>
        <v/>
      </c>
      <c r="FF36" s="152">
        <f>COUNTIF($EK36:$EO36,3)</f>
        <v/>
      </c>
      <c r="FG36" s="152">
        <f>COUNTIF($EK36:$EO36,4)</f>
        <v/>
      </c>
      <c r="FH36" s="152">
        <f>COUNTIF($EK36:$EO36,5)</f>
        <v/>
      </c>
      <c r="FI36" s="152">
        <f>COUNTIF($EK36:$EO36,6)</f>
        <v/>
      </c>
      <c r="FJ36" s="152">
        <f>COUNTIF($EZ36:$FA36,1)</f>
        <v/>
      </c>
      <c r="FK36" s="152">
        <f>COUNTIF($EZ36:$FA36,2)+$EW36</f>
        <v/>
      </c>
      <c r="FL36" s="152">
        <f>COUNTIF($EC36:$EF36,"?*")</f>
        <v/>
      </c>
      <c r="FM36" s="152">
        <f>COUNTIF($EG36:$EH36,"?*")+$EW36</f>
        <v/>
      </c>
      <c r="FN36" s="152">
        <f>SUMPRODUCT($FD36:$FI36,INDEX($Q$2:$V$8,$DZ36,0))</f>
        <v/>
      </c>
      <c r="FO36" s="152">
        <f>$FJ36*CEILING($DZ36/2,1)+$FK36*$DZ36</f>
        <v/>
      </c>
      <c r="FP36" s="152">
        <f>MIN(2*$DZ36,$FO36)</f>
        <v/>
      </c>
      <c r="FQ36" s="152">
        <f>MIN($FP36,$FN36)</f>
        <v/>
      </c>
      <c r="FR36" s="152">
        <f>$FP36-$FQ36</f>
        <v/>
      </c>
      <c r="FS36" s="152">
        <f>3*$DZ36-$FN36+$FQ36</f>
        <v/>
      </c>
      <c r="FT36" s="152">
        <f>MAX(0,$FS36)+$DX36*$DZ36</f>
        <v/>
      </c>
      <c r="FU36" s="152">
        <f>(IF(COUNTIF($EC36:$EF36,"Salto")&gt;0,1,0)+IF(COUNTIF($EC36:$EF36,"Queima")&gt;0,1,0)+IF(COUNTIF($EC36:$EF36,"Estilhaço")&gt;0,1,0))*FLOOR($FT36/2,1)</f>
        <v/>
      </c>
      <c r="FV36" s="152">
        <f>MAX(0,3-SUMPRODUCT($FD36:$FI36,$Q$2:$V$2)+MIN(2,$FJ36*1+$FK36*1,SUMPRODUCT($FD36:$FI36,$Q$2:$V$2)))+$DX36*1</f>
        <v/>
      </c>
      <c r="FW36" s="152">
        <f>MAX(0,6-SUMPRODUCT($FD36:$FI36,$Q$3:$V$3)+MIN(4,$FJ36*1+$FK36*2,SUMPRODUCT($FD36:$FI36,$Q$3:$V$3)))+$DX36*2</f>
        <v/>
      </c>
      <c r="FX36" s="152">
        <f>MAX(0,9-SUMPRODUCT($FD36:$FI36,$Q$4:$V$4)+MIN(6,$FJ36*2+$FK36*3,SUMPRODUCT($FD36:$FI36,$Q$4:$V$4)))+$DX36*3</f>
        <v/>
      </c>
      <c r="FY36" s="152">
        <f>MAX(0,12-SUMPRODUCT($FD36:$FI36,$Q$5:$V$5)+MIN(8,$FJ36*2+$FK36*4,SUMPRODUCT($FD36:$FI36,$Q$5:$V$5)))+$DX36*4</f>
        <v/>
      </c>
      <c r="FZ36" s="152">
        <f>MAX(0,15-SUMPRODUCT($FD36:$FI36,$Q$6:$V$6)+MIN(10,$FJ36*3+$FK36*5,SUMPRODUCT($FD36:$FI36,$Q$6:$V$6)))+$DX36*5</f>
        <v/>
      </c>
      <c r="GA36" s="152">
        <f>MAX(0,18-SUMPRODUCT($FD36:$FI36,$Q$7:$V$7)+MIN(12,$FJ36*3+$FK36*6,SUMPRODUCT($FD36:$FI36,$Q$7:$V$7)))+$DX36*6</f>
        <v/>
      </c>
      <c r="GB36" s="152">
        <f>MAX(0,21-SUMPRODUCT($FD36:$FI36,$Q$8:$V$8)+MIN(14,$FJ36*4+$FK36*7,SUMPRODUCT($FD36:$FI36,$Q$8:$V$8)))+$DX36*7</f>
        <v/>
      </c>
      <c r="GC36" s="152">
        <f>IF($EX36=2,3*$FV36&amp;" de vida temp.",IF($EX36=3,"sem dano",IF($FV36=0,IF($EX36=1,"sem cura","sem dano"),IF($EX36=1,"cura ","")&amp;$FV36&amp;"d8")))</f>
        <v/>
      </c>
      <c r="GD36" s="152">
        <f>IF($EX36=2,3*$FW36&amp;" de vida temp.",IF($EX36=3,"sem dano",IF($FW36=0,IF($EX36=1,"sem cura","sem dano"),IF($EX36=1,"cura ","")&amp;$FW36&amp;"d8")))</f>
        <v/>
      </c>
      <c r="GE36" s="152">
        <f>IF($EX36=2,3*$FX36&amp;" de vida temp.",IF($EX36=3,"sem dano",IF($FX36=0,IF($EX36=1,"sem cura","sem dano"),IF($EX36=1,"cura ","")&amp;$FX36&amp;"d8")))</f>
        <v/>
      </c>
      <c r="GF36" s="152">
        <f>IF($EX36=2,3*$FY36&amp;" de vida temp.",IF($EX36=3,"sem dano",IF($FY36=0,IF($EX36=1,"sem cura","sem dano"),IF($EX36=1,"cura ","")&amp;$FY36&amp;"d8")))</f>
        <v/>
      </c>
      <c r="GG36" s="152">
        <f>IF($EX36=2,3*$FZ36&amp;" de vida temp.",IF($EX36=3,"sem dano",IF($FZ36=0,IF($EX36=1,"sem cura","sem dano"),IF($EX36=1,"cura ","")&amp;$FZ36&amp;"d8")))</f>
        <v/>
      </c>
      <c r="GH36" s="152">
        <f>IF($EX36=2,3*$GA36&amp;" de vida temp.",IF($EX36=3,"sem dano",IF($GA36=0,IF($EX36=1,"sem cura","sem dano"),IF($EX36=1,"cura ","")&amp;$GA36&amp;"d8")))</f>
        <v/>
      </c>
      <c r="GI36" s="152">
        <f>IF($EX36=2,3*$GB36&amp;" de vida temp.",IF($EX36=3,"sem dano",IF($GB36=0,IF($EX36=1,"sem cura","sem dano"),IF($EX36=1,"cura ","")&amp;$GB36&amp;"d8")))</f>
        <v/>
      </c>
      <c r="GJ36" s="152">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2">
        <f>IF($GJ36="",0,(LEN($GJ36)-LEN(SUBSTITUTE($GJ36," · ","")))/3+1)</f>
        <v/>
      </c>
      <c r="GL36" s="152">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2">
        <f>IF($GL36="",0,(LEN($GL36)-LEN(SUBSTITUTE($GL36," · ","")))/3+1)</f>
        <v/>
      </c>
      <c r="GN36" s="152">
        <f>IF($EI36=0,IF($FL36+$FM36-$EW36&gt;0,"Dê um nome",""),IF($GK36&gt;0,"⚠ "&amp;$GK36&amp;IF($GK36&gt;1," erros"," erro"),IF($GM36&gt;0,"! "&amp;$GM36&amp;IF($GM36&gt;1," avisos"," aviso"),"Na regra")))</f>
        <v/>
      </c>
      <c r="GO36" s="152">
        <f>IF($EI36=0,"",IF($GK36+$GM36=0,"Dentro das regras que a ficha confere",$GJ36&amp;IF(AND($GK36&gt;0,$GM36&gt;0)," · ","")&amp;$GL36))</f>
        <v/>
      </c>
      <c r="GP36" s="152">
        <f>IF($EI36=0,"",IF($DX36=1,CEILING(4.5*$DZ36,1),3*$DZ36)&amp;" PE")</f>
        <v/>
      </c>
      <c r="GQ36" s="152">
        <f>IF($EI36=0,"",IF($DX36=1,"Rodada inteira",IF(COUNTIF($FB36:$FC36,"Atrasar")&gt;0,IF(COUNTIF($FB36:$FC36,"Carregar")&gt;0,"Rodada +1 turno","Rodada inteira"),IF(COUNTIF($EC36:$EF36,"Rápido")&gt;0,"Bônus",IF(COUNTIF($EC36:$EF36,"Reação")&gt;0,"Reação","Padrão"))&amp;IF(COUNTIF($FB36:$FC36,"Carregar")&gt;0," +1 turno",""))))</f>
        <v/>
      </c>
      <c r="GR36" s="152">
        <f>IF(OR($EI36=0,$EJ36=0),"",IF(COUNTIF($EC36:$EF36,"Inescapável")&gt;0,"Automático",IF(COUNTIF($EC36:$EF36,"Certeiro")&gt;0,"TR para metade",IF(AND($EV36&gt;0,$EY36=0,INDEX($AF$2:$AF$11,$EJ36)="Acerto"),"Acerto + TR",INDEX($AF$2:$AF$11,$EJ36)))))</f>
        <v/>
      </c>
      <c r="GS36" s="152">
        <f>IF(OR($EI36=0,$EJ36=0),"",IF(OR($EX36&gt;=2,$FT36=0),UPPER(LEFT(INDEX($GC36:$GI36,1,$DZ36),1))&amp;MID(INDEX($GC36:$GI36,1,$DZ36),2,99),UPPER(LEFT(INDEX($GC36:$GI36,1,$DZ36),1))&amp;MID(INDEX($GC36:$GI36,1,$DZ36),2,99)&amp;" = "&amp;FLOOR($FT36*4.5,1)&amp;IF($FU36&gt;0," · +"&amp;$FU36&amp;"d8","")))</f>
        <v/>
      </c>
      <c r="GT36" s="152">
        <f>COUNTIF($EC36:$EF36,"Longe")+3*COUNTIF($EC36:$EF36,"Muito Longe")</f>
        <v/>
      </c>
      <c r="GU36" s="152">
        <f>COUNTIF($EC36:$EF36,"Maior")+3*COUNTIF($EC36:$EF36,"Muito Maior")</f>
        <v/>
      </c>
      <c r="GV36" s="152">
        <f>IF($EJ36=0,0,CHOOSE(1+INDEX($AH$2:$AH$11,$EJ36),0,$GT36,$GU36,$GT36+$GU36))</f>
        <v/>
      </c>
      <c r="GW36" s="152">
        <f>IF($EJ36=0,0,CHOOSE(1+INDEX($AI$2:$AI$11,$EJ36),0,$GT36,$GU36,$GT36+$GU36))</f>
        <v/>
      </c>
      <c r="GX36" s="152">
        <f>IF(OR($EI36=0,$EJ36=0),"",INDEX($AP$2:$AU$31,($EJ36-1)*3+IF($DZ36&gt;=6,3,2),1+MIN(5,$GV36))&amp;INDEX($AV$2:$BA$31,($EJ36-1)*3+IF($DZ36&gt;=6,3,2),1+MIN(5,$GW36))&amp;IF(INDEX($AJ$2:$AJ$11,$EJ36)=1,IF(COUNTIF($EC36:$EF36,"Mais Um")&gt;0," · +"&amp;COUNTIF($EC36:$EF36,"Mais Um")&amp;IF(COUNTIF($EC36:$EF36,"Mais Um")&gt;1," alvos"," alvo"),"")&amp;IF(COUNTIF($EC36:$EF36,"Rajada")&gt;0," · "&amp;($DZ36+1)&amp;" tiros",""),""))</f>
        <v/>
      </c>
      <c r="GY36" s="152">
        <f>IF($EI36=0,"",3*$DZ36&amp;" − "&amp;$FN36&amp;" + "&amp;$FQ36&amp;IF($DX36=1," + "&amp;$DZ36,"")&amp;" = "&amp;$FT36&amp;"d8 · teto "&amp;4*$DZ36&amp;IF($EW36=1," · a Forma devolve "&amp;$DZ36,"")&amp;IF($FR36&gt;0," · perde "&amp;$FR36,""))</f>
        <v/>
      </c>
      <c r="GZ36" s="152">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2">
        <f>IF(OR($EI36=0,$EL36=0),"","−"&amp;INDEX($Q$2:$V$8,$DZ36,$EL36)&amp;" · "&amp;CHOOSE($EL36,"Leve","Média","Pesada","Leve · Livre","Média · Livre","Pesada · Livre"))</f>
        <v/>
      </c>
      <c r="HB36" s="152">
        <f>IF(OR($EI36=0,$EM36=0),"","−"&amp;INDEX($Q$2:$V$8,$DZ36,$EM36)&amp;" · "&amp;CHOOSE($EM36,"Leve","Média","Pesada","Leve · Livre","Média · Livre","Pesada · Livre"))</f>
        <v/>
      </c>
      <c r="HC36" s="152">
        <f>IF(OR($EI36=0,$EN36=0),"","−"&amp;INDEX($Q$2:$V$8,$DZ36,$EN36)&amp;" · "&amp;CHOOSE($EN36,"Leve","Média","Pesada","Leve · Livre","Média · Livre","Pesada · Livre"))</f>
        <v/>
      </c>
      <c r="HD36" s="152">
        <f>IF(OR($EI36=0,$EO36=0),"","−"&amp;INDEX($Q$2:$V$8,$DZ36,$EO36)&amp;" · "&amp;CHOOSE($EO36,"Leve","Média","Pesada","Leve · Livre","Média · Livre","Pesada · Livre"))</f>
        <v/>
      </c>
      <c r="HE36" s="152">
        <f>IF(OR($EI36=0,$EG36=""),"","+"&amp;IF($EZ36=1,CEILING($DZ36/2,1),$DZ36))</f>
        <v/>
      </c>
      <c r="HF36" s="152">
        <f>IF(OR($EI36=0,$EH36=""),"","+"&amp;IF($FA36=1,CEILING($DZ36/2,1),$DZ36))</f>
        <v/>
      </c>
      <c r="HG36" s="152">
        <f>'FICHA AMALDIÇOADA'!$J$288&amp;""</f>
        <v/>
      </c>
      <c r="HH36" s="152">
        <f>IF(AND($EI36=1,$DX36=0),COUNTIFS($EI$2:$EI36,1,$DX$2:$DX36,0),"")</f>
        <v/>
      </c>
      <c r="HJ36" s="150" t="inlineStr">
        <is>
          <t>montagem da técnica máxima</t>
        </is>
      </c>
      <c r="HK36" s="152">
        <f>IFERROR(VLOOKUP($HK$2,$DH$2:$DJ$4,3,TRUE),0)</f>
        <v/>
      </c>
      <c r="JF36" s="152" t="n">
        <v>35</v>
      </c>
      <c r="JG36" s="152">
        <f>IFERROR(MATCH(35,$HH$2:$HH$37,0),0)</f>
        <v/>
      </c>
      <c r="JH36" s="152">
        <f>IF($JG36=0,"",INDEX($DZ$2:$DZ$37,$JG36))</f>
        <v/>
      </c>
      <c r="JI36" s="152">
        <f>IF($JG36=0,"",INDEX($EA$2:$EA$37,$JG36))</f>
        <v/>
      </c>
      <c r="JJ36" s="152">
        <f>IF($JG36=0,"",INDEX($GP$2:$GP$37,$JG36))</f>
        <v/>
      </c>
      <c r="JK36" s="152">
        <f>IF($JG36=0,"",INDEX($EB$2:$EB$37,$JG36))</f>
        <v/>
      </c>
      <c r="JL36" s="152">
        <f>IF($JG36=0,"",INDEX($GR$2:$GR$37,$JG36))</f>
        <v/>
      </c>
      <c r="JM36" s="152">
        <f>IF($JG36=0,"",INDEX($HG$2:$HG$37,$JG36))</f>
        <v/>
      </c>
      <c r="KS36" s="150" t="inlineStr">
        <is>
          <t>D340</t>
        </is>
      </c>
      <c r="KT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BK37" s="152" t="n">
        <v>1</v>
      </c>
      <c r="DW37" s="150" t="inlineStr">
        <is>
          <t>Feitiço 36</t>
        </is>
      </c>
      <c r="DX37" s="152" t="n">
        <v>0</v>
      </c>
      <c r="DY37" s="152" t="n">
        <v>36</v>
      </c>
      <c r="DZ37" s="152">
        <f>MAX(1,MIN(7,N('FICHA AMALDIÇOADA'!$P$286)))</f>
        <v/>
      </c>
      <c r="EA37" s="152">
        <f>'FICHA AMALDIÇOADA'!$Q$286&amp;""</f>
        <v/>
      </c>
      <c r="EB37" s="152">
        <f>'FICHA AMALDIÇOADA'!$P$293&amp;""</f>
        <v/>
      </c>
      <c r="EC37" s="152">
        <f>'FICHA AMALDIÇOADA'!$Q$295&amp;""</f>
        <v/>
      </c>
      <c r="ED37" s="152">
        <f>'FICHA AMALDIÇOADA'!$Q$296&amp;""</f>
        <v/>
      </c>
      <c r="EE37" s="152">
        <f>'FICHA AMALDIÇOADA'!$Q$297&amp;""</f>
        <v/>
      </c>
      <c r="EF37" s="152">
        <f>'FICHA AMALDIÇOADA'!$Q$298&amp;""</f>
        <v/>
      </c>
      <c r="EG37" s="152">
        <f>'FICHA AMALDIÇOADA'!$Q$299&amp;""</f>
        <v/>
      </c>
      <c r="EH37" s="152">
        <f>'FICHA AMALDIÇOADA'!$Q$300&amp;""</f>
        <v/>
      </c>
      <c r="EI37" s="152">
        <f>IF($EA37&lt;&gt;"",1,0)</f>
        <v/>
      </c>
      <c r="EJ37" s="152">
        <f>IFERROR(MATCH($EB37,$Y$2:$Y$11,0),0)</f>
        <v/>
      </c>
      <c r="EK37" s="152">
        <f>IF($EJ37=0,0,INDEX($AB$2:$AB$11,$EJ37))</f>
        <v/>
      </c>
      <c r="EL37" s="152">
        <f>IFERROR(VLOOKUP($EC37,$BC$2:$BK$84,4,FALSE),0)</f>
        <v/>
      </c>
      <c r="EM37" s="152">
        <f>IFERROR(VLOOKUP($ED37,$BC$2:$BK$84,4,FALSE),0)</f>
        <v/>
      </c>
      <c r="EN37" s="152">
        <f>IFERROR(VLOOKUP($EE37,$BC$2:$BK$84,4,FALSE),0)</f>
        <v/>
      </c>
      <c r="EO37" s="152">
        <f>IFERROR(VLOOKUP($EF37,$BC$2:$BK$84,4,FALSE),0)</f>
        <v/>
      </c>
      <c r="EP37" s="152">
        <f>IF($EJ37=0,0,INDEX($AC$2:$AC$11,$EJ37))</f>
        <v/>
      </c>
      <c r="EQ37" s="152">
        <f>IFERROR(VLOOKUP($EC37,$BC$2:$BK$84,5,FALSE),0)</f>
        <v/>
      </c>
      <c r="ER37" s="152">
        <f>IFERROR(VLOOKUP($ED37,$BC$2:$BK$84,5,FALSE),0)</f>
        <v/>
      </c>
      <c r="ES37" s="152">
        <f>IFERROR(VLOOKUP($EE37,$BC$2:$BK$84,5,FALSE),0)</f>
        <v/>
      </c>
      <c r="ET37" s="152">
        <f>IFERROR(VLOOKUP($EF37,$BC$2:$BK$84,5,FALSE),0)</f>
        <v/>
      </c>
      <c r="EU37" s="152">
        <f>IFERROR(VLOOKUP($EC37,$BC$2:$BK$84,6,FALSE),0)+IFERROR(VLOOKUP($ED37,$BC$2:$BK$84,6,FALSE),0)+IFERROR(VLOOKUP($EE37,$BC$2:$BK$84,6,FALSE),0)+IFERROR(VLOOKUP($EF37,$BC$2:$BK$84,6,FALSE),0)</f>
        <v/>
      </c>
      <c r="EV37" s="152">
        <f>IFERROR(VLOOKUP($EC37,$BC$2:$BK$84,9,FALSE),0)+IFERROR(VLOOKUP($ED37,$BC$2:$BK$84,9,FALSE),0)+IFERROR(VLOOKUP($EE37,$BC$2:$BK$84,9,FALSE),0)+IFERROR(VLOOKUP($EF37,$BC$2:$BK$84,9,FALSE),0)</f>
        <v/>
      </c>
      <c r="EW37" s="152">
        <f>IF($EJ37=0,0,INDEX($AD$2:$AD$11,$EJ37))</f>
        <v/>
      </c>
      <c r="EX37" s="152">
        <f>IF($EJ37=0,0,INDEX($AE$2:$AE$11,$EJ37))</f>
        <v/>
      </c>
      <c r="EY37" s="152">
        <f>IF($EJ37=0,0,INDEX($AG$2:$AG$11,$EJ37))</f>
        <v/>
      </c>
      <c r="EZ37" s="152">
        <f>IFERROR(VLOOKUP($EG37,$BM$2:$BQ$24,3,FALSE),0)</f>
        <v/>
      </c>
      <c r="FA37" s="152">
        <f>IFERROR(VLOOKUP($EH37,$BM$2:$BQ$24,3,FALSE),0)</f>
        <v/>
      </c>
      <c r="FB37" s="152">
        <f>IFERROR(VLOOKUP($EG37,$BM$2:$BQ$24,2,FALSE),"")</f>
        <v/>
      </c>
      <c r="FC37" s="152">
        <f>IFERROR(VLOOKUP($EH37,$BM$2:$BQ$24,2,FALSE),"")</f>
        <v/>
      </c>
      <c r="FD37" s="152">
        <f>COUNTIF($EK37:$EO37,1)</f>
        <v/>
      </c>
      <c r="FE37" s="152">
        <f>COUNTIF($EK37:$EO37,2)</f>
        <v/>
      </c>
      <c r="FF37" s="152">
        <f>COUNTIF($EK37:$EO37,3)</f>
        <v/>
      </c>
      <c r="FG37" s="152">
        <f>COUNTIF($EK37:$EO37,4)</f>
        <v/>
      </c>
      <c r="FH37" s="152">
        <f>COUNTIF($EK37:$EO37,5)</f>
        <v/>
      </c>
      <c r="FI37" s="152">
        <f>COUNTIF($EK37:$EO37,6)</f>
        <v/>
      </c>
      <c r="FJ37" s="152">
        <f>COUNTIF($EZ37:$FA37,1)</f>
        <v/>
      </c>
      <c r="FK37" s="152">
        <f>COUNTIF($EZ37:$FA37,2)+$EW37</f>
        <v/>
      </c>
      <c r="FL37" s="152">
        <f>COUNTIF($EC37:$EF37,"?*")</f>
        <v/>
      </c>
      <c r="FM37" s="152">
        <f>COUNTIF($EG37:$EH37,"?*")+$EW37</f>
        <v/>
      </c>
      <c r="FN37" s="152">
        <f>SUMPRODUCT($FD37:$FI37,INDEX($Q$2:$V$8,$DZ37,0))</f>
        <v/>
      </c>
      <c r="FO37" s="152">
        <f>$FJ37*CEILING($DZ37/2,1)+$FK37*$DZ37</f>
        <v/>
      </c>
      <c r="FP37" s="152">
        <f>MIN(2*$DZ37,$FO37)</f>
        <v/>
      </c>
      <c r="FQ37" s="152">
        <f>MIN($FP37,$FN37)</f>
        <v/>
      </c>
      <c r="FR37" s="152">
        <f>$FP37-$FQ37</f>
        <v/>
      </c>
      <c r="FS37" s="152">
        <f>3*$DZ37-$FN37+$FQ37</f>
        <v/>
      </c>
      <c r="FT37" s="152">
        <f>MAX(0,$FS37)+$DX37*$DZ37</f>
        <v/>
      </c>
      <c r="FU37" s="152">
        <f>(IF(COUNTIF($EC37:$EF37,"Salto")&gt;0,1,0)+IF(COUNTIF($EC37:$EF37,"Queima")&gt;0,1,0)+IF(COUNTIF($EC37:$EF37,"Estilhaço")&gt;0,1,0))*FLOOR($FT37/2,1)</f>
        <v/>
      </c>
      <c r="FV37" s="152">
        <f>MAX(0,3-SUMPRODUCT($FD37:$FI37,$Q$2:$V$2)+MIN(2,$FJ37*1+$FK37*1,SUMPRODUCT($FD37:$FI37,$Q$2:$V$2)))+$DX37*1</f>
        <v/>
      </c>
      <c r="FW37" s="152">
        <f>MAX(0,6-SUMPRODUCT($FD37:$FI37,$Q$3:$V$3)+MIN(4,$FJ37*1+$FK37*2,SUMPRODUCT($FD37:$FI37,$Q$3:$V$3)))+$DX37*2</f>
        <v/>
      </c>
      <c r="FX37" s="152">
        <f>MAX(0,9-SUMPRODUCT($FD37:$FI37,$Q$4:$V$4)+MIN(6,$FJ37*2+$FK37*3,SUMPRODUCT($FD37:$FI37,$Q$4:$V$4)))+$DX37*3</f>
        <v/>
      </c>
      <c r="FY37" s="152">
        <f>MAX(0,12-SUMPRODUCT($FD37:$FI37,$Q$5:$V$5)+MIN(8,$FJ37*2+$FK37*4,SUMPRODUCT($FD37:$FI37,$Q$5:$V$5)))+$DX37*4</f>
        <v/>
      </c>
      <c r="FZ37" s="152">
        <f>MAX(0,15-SUMPRODUCT($FD37:$FI37,$Q$6:$V$6)+MIN(10,$FJ37*3+$FK37*5,SUMPRODUCT($FD37:$FI37,$Q$6:$V$6)))+$DX37*5</f>
        <v/>
      </c>
      <c r="GA37" s="152">
        <f>MAX(0,18-SUMPRODUCT($FD37:$FI37,$Q$7:$V$7)+MIN(12,$FJ37*3+$FK37*6,SUMPRODUCT($FD37:$FI37,$Q$7:$V$7)))+$DX37*6</f>
        <v/>
      </c>
      <c r="GB37" s="152">
        <f>MAX(0,21-SUMPRODUCT($FD37:$FI37,$Q$8:$V$8)+MIN(14,$FJ37*4+$FK37*7,SUMPRODUCT($FD37:$FI37,$Q$8:$V$8)))+$DX37*7</f>
        <v/>
      </c>
      <c r="GC37" s="152">
        <f>IF($EX37=2,3*$FV37&amp;" de vida temp.",IF($EX37=3,"sem dano",IF($FV37=0,IF($EX37=1,"sem cura","sem dano"),IF($EX37=1,"cura ","")&amp;$FV37&amp;"d8")))</f>
        <v/>
      </c>
      <c r="GD37" s="152">
        <f>IF($EX37=2,3*$FW37&amp;" de vida temp.",IF($EX37=3,"sem dano",IF($FW37=0,IF($EX37=1,"sem cura","sem dano"),IF($EX37=1,"cura ","")&amp;$FW37&amp;"d8")))</f>
        <v/>
      </c>
      <c r="GE37" s="152">
        <f>IF($EX37=2,3*$FX37&amp;" de vida temp.",IF($EX37=3,"sem dano",IF($FX37=0,IF($EX37=1,"sem cura","sem dano"),IF($EX37=1,"cura ","")&amp;$FX37&amp;"d8")))</f>
        <v/>
      </c>
      <c r="GF37" s="152">
        <f>IF($EX37=2,3*$FY37&amp;" de vida temp.",IF($EX37=3,"sem dano",IF($FY37=0,IF($EX37=1,"sem cura","sem dano"),IF($EX37=1,"cura ","")&amp;$FY37&amp;"d8")))</f>
        <v/>
      </c>
      <c r="GG37" s="152">
        <f>IF($EX37=2,3*$FZ37&amp;" de vida temp.",IF($EX37=3,"sem dano",IF($FZ37=0,IF($EX37=1,"sem cura","sem dano"),IF($EX37=1,"cura ","")&amp;$FZ37&amp;"d8")))</f>
        <v/>
      </c>
      <c r="GH37" s="152">
        <f>IF($EX37=2,3*$GA37&amp;" de vida temp.",IF($EX37=3,"sem dano",IF($GA37=0,IF($EX37=1,"sem cura","sem dano"),IF($EX37=1,"cura ","")&amp;$GA37&amp;"d8")))</f>
        <v/>
      </c>
      <c r="GI37" s="152">
        <f>IF($EX37=2,3*$GB37&amp;" de vida temp.",IF($EX37=3,"sem dano",IF($GB37=0,IF($EX37=1,"sem cura","sem dano"),IF($EX37=1,"cura ","")&amp;$GB37&amp;"d8")))</f>
        <v/>
      </c>
      <c r="GJ37" s="152">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2">
        <f>IF($GJ37="",0,(LEN($GJ37)-LEN(SUBSTITUTE($GJ37," · ","")))/3+1)</f>
        <v/>
      </c>
      <c r="GL37" s="152">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2">
        <f>IF($GL37="",0,(LEN($GL37)-LEN(SUBSTITUTE($GL37," · ","")))/3+1)</f>
        <v/>
      </c>
      <c r="GN37" s="152">
        <f>IF($EI37=0,IF($FL37+$FM37-$EW37&gt;0,"Dê um nome",""),IF($GK37&gt;0,"⚠ "&amp;$GK37&amp;IF($GK37&gt;1," erros"," erro"),IF($GM37&gt;0,"! "&amp;$GM37&amp;IF($GM37&gt;1," avisos"," aviso"),"Na regra")))</f>
        <v/>
      </c>
      <c r="GO37" s="152">
        <f>IF($EI37=0,"",IF($GK37+$GM37=0,"Dentro das regras que a ficha confere",$GJ37&amp;IF(AND($GK37&gt;0,$GM37&gt;0)," · ","")&amp;$GL37))</f>
        <v/>
      </c>
      <c r="GP37" s="152">
        <f>IF($EI37=0,"",IF($DX37=1,CEILING(4.5*$DZ37,1),3*$DZ37)&amp;" PE")</f>
        <v/>
      </c>
      <c r="GQ37" s="152">
        <f>IF($EI37=0,"",IF($DX37=1,"Rodada inteira",IF(COUNTIF($FB37:$FC37,"Atrasar")&gt;0,IF(COUNTIF($FB37:$FC37,"Carregar")&gt;0,"Rodada +1 turno","Rodada inteira"),IF(COUNTIF($EC37:$EF37,"Rápido")&gt;0,"Bônus",IF(COUNTIF($EC37:$EF37,"Reação")&gt;0,"Reação","Padrão"))&amp;IF(COUNTIF($FB37:$FC37,"Carregar")&gt;0," +1 turno",""))))</f>
        <v/>
      </c>
      <c r="GR37" s="152">
        <f>IF(OR($EI37=0,$EJ37=0),"",IF(COUNTIF($EC37:$EF37,"Inescapável")&gt;0,"Automático",IF(COUNTIF($EC37:$EF37,"Certeiro")&gt;0,"TR para metade",IF(AND($EV37&gt;0,$EY37=0,INDEX($AF$2:$AF$11,$EJ37)="Acerto"),"Acerto + TR",INDEX($AF$2:$AF$11,$EJ37)))))</f>
        <v/>
      </c>
      <c r="GS37" s="152">
        <f>IF(OR($EI37=0,$EJ37=0),"",IF(OR($EX37&gt;=2,$FT37=0),UPPER(LEFT(INDEX($GC37:$GI37,1,$DZ37),1))&amp;MID(INDEX($GC37:$GI37,1,$DZ37),2,99),UPPER(LEFT(INDEX($GC37:$GI37,1,$DZ37),1))&amp;MID(INDEX($GC37:$GI37,1,$DZ37),2,99)&amp;" = "&amp;FLOOR($FT37*4.5,1)&amp;IF($FU37&gt;0," · +"&amp;$FU37&amp;"d8","")))</f>
        <v/>
      </c>
      <c r="GT37" s="152">
        <f>COUNTIF($EC37:$EF37,"Longe")+3*COUNTIF($EC37:$EF37,"Muito Longe")</f>
        <v/>
      </c>
      <c r="GU37" s="152">
        <f>COUNTIF($EC37:$EF37,"Maior")+3*COUNTIF($EC37:$EF37,"Muito Maior")</f>
        <v/>
      </c>
      <c r="GV37" s="152">
        <f>IF($EJ37=0,0,CHOOSE(1+INDEX($AH$2:$AH$11,$EJ37),0,$GT37,$GU37,$GT37+$GU37))</f>
        <v/>
      </c>
      <c r="GW37" s="152">
        <f>IF($EJ37=0,0,CHOOSE(1+INDEX($AI$2:$AI$11,$EJ37),0,$GT37,$GU37,$GT37+$GU37))</f>
        <v/>
      </c>
      <c r="GX37" s="152">
        <f>IF(OR($EI37=0,$EJ37=0),"",INDEX($AP$2:$AU$31,($EJ37-1)*3+IF($DZ37&gt;=6,3,2),1+MIN(5,$GV37))&amp;INDEX($AV$2:$BA$31,($EJ37-1)*3+IF($DZ37&gt;=6,3,2),1+MIN(5,$GW37))&amp;IF(INDEX($AJ$2:$AJ$11,$EJ37)=1,IF(COUNTIF($EC37:$EF37,"Mais Um")&gt;0," · +"&amp;COUNTIF($EC37:$EF37,"Mais Um")&amp;IF(COUNTIF($EC37:$EF37,"Mais Um")&gt;1," alvos"," alvo"),"")&amp;IF(COUNTIF($EC37:$EF37,"Rajada")&gt;0," · "&amp;($DZ37+1)&amp;" tiros",""),""))</f>
        <v/>
      </c>
      <c r="GY37" s="152">
        <f>IF($EI37=0,"",3*$DZ37&amp;" − "&amp;$FN37&amp;" + "&amp;$FQ37&amp;IF($DX37=1," + "&amp;$DZ37,"")&amp;" = "&amp;$FT37&amp;"d8 · teto "&amp;4*$DZ37&amp;IF($EW37=1," · a Forma devolve "&amp;$DZ37,"")&amp;IF($FR37&gt;0," · perde "&amp;$FR37,""))</f>
        <v/>
      </c>
      <c r="GZ37" s="152">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2">
        <f>IF(OR($EI37=0,$EL37=0),"","−"&amp;INDEX($Q$2:$V$8,$DZ37,$EL37)&amp;" · "&amp;CHOOSE($EL37,"Leve","Média","Pesada","Leve · Livre","Média · Livre","Pesada · Livre"))</f>
        <v/>
      </c>
      <c r="HB37" s="152">
        <f>IF(OR($EI37=0,$EM37=0),"","−"&amp;INDEX($Q$2:$V$8,$DZ37,$EM37)&amp;" · "&amp;CHOOSE($EM37,"Leve","Média","Pesada","Leve · Livre","Média · Livre","Pesada · Livre"))</f>
        <v/>
      </c>
      <c r="HC37" s="152">
        <f>IF(OR($EI37=0,$EN37=0),"","−"&amp;INDEX($Q$2:$V$8,$DZ37,$EN37)&amp;" · "&amp;CHOOSE($EN37,"Leve","Média","Pesada","Leve · Livre","Média · Livre","Pesada · Livre"))</f>
        <v/>
      </c>
      <c r="HD37" s="152">
        <f>IF(OR($EI37=0,$EO37=0),"","−"&amp;INDEX($Q$2:$V$8,$DZ37,$EO37)&amp;" · "&amp;CHOOSE($EO37,"Leve","Média","Pesada","Leve · Livre","Média · Livre","Pesada · Livre"))</f>
        <v/>
      </c>
      <c r="HE37" s="152">
        <f>IF(OR($EI37=0,$EG37=""),"","+"&amp;IF($EZ37=1,CEILING($DZ37/2,1),$DZ37))</f>
        <v/>
      </c>
      <c r="HF37" s="152">
        <f>IF(OR($EI37=0,$EH37=""),"","+"&amp;IF($FA37=1,CEILING($DZ37/2,1),$DZ37))</f>
        <v/>
      </c>
      <c r="HG37" s="152">
        <f>'FICHA AMALDIÇOADA'!$P$288&amp;""</f>
        <v/>
      </c>
      <c r="HH37" s="152">
        <f>IF(AND($EI37=1,$DX37=0),COUNTIFS($EI$2:$EI37,1,$DX$2:$DX37,0),"")</f>
        <v/>
      </c>
      <c r="HJ37" s="150" t="inlineStr">
        <is>
          <t>gasto da técnica máxima</t>
        </is>
      </c>
      <c r="HK37" s="152">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JF37" s="152" t="n">
        <v>36</v>
      </c>
      <c r="JG37" s="152">
        <f>IFERROR(MATCH(36,$HH$2:$HH$37,0),0)</f>
        <v/>
      </c>
      <c r="JH37" s="152">
        <f>IF($JG37=0,"",INDEX($DZ$2:$DZ$37,$JG37))</f>
        <v/>
      </c>
      <c r="JI37" s="152">
        <f>IF($JG37=0,"",INDEX($EA$2:$EA$37,$JG37))</f>
        <v/>
      </c>
      <c r="JJ37" s="152">
        <f>IF($JG37=0,"",INDEX($GP$2:$GP$37,$JG37))</f>
        <v/>
      </c>
      <c r="JK37" s="152">
        <f>IF($JG37=0,"",INDEX($EB$2:$EB$37,$JG37))</f>
        <v/>
      </c>
      <c r="JL37" s="152">
        <f>IF($JG37=0,"",INDEX($GR$2:$GR$37,$JG37))</f>
        <v/>
      </c>
      <c r="JM37" s="152">
        <f>IF($JG37=0,"",INDEX($HG$2:$HG$37,$JG37))</f>
        <v/>
      </c>
      <c r="KS37" s="150" t="inlineStr">
        <is>
          <t>L343</t>
        </is>
      </c>
      <c r="KT37" s="152">
        <f>IF(DADOS_AM!$HK$35=0,"Nível 17",DADOS_AM!$HK$35&amp;"d8 = "&amp;FLOOR(DADOS_AM!$HK$35*4.5,1))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BK38" s="152" t="n">
        <v>0</v>
      </c>
      <c r="DW38" s="150" t="inlineStr">
        <is>
          <t>Liberação 1</t>
        </is>
      </c>
      <c r="DX38" s="152" t="n">
        <v>1</v>
      </c>
      <c r="DY38" s="152" t="n">
        <v>1</v>
      </c>
      <c r="DZ38" s="152">
        <f>MAX(1,MIN(7,N('FICHA AMALDIÇOADA'!$D$319)))</f>
        <v/>
      </c>
      <c r="EA38" s="152">
        <f>'FICHA AMALDIÇOADA'!$E$319&amp;""</f>
        <v/>
      </c>
      <c r="EB38" s="152">
        <f>'FICHA AMALDIÇOADA'!$D$326&amp;""</f>
        <v/>
      </c>
      <c r="EC38" s="152">
        <f>'FICHA AMALDIÇOADA'!$E$328&amp;""</f>
        <v/>
      </c>
      <c r="ED38" s="152">
        <f>'FICHA AMALDIÇOADA'!$E$329&amp;""</f>
        <v/>
      </c>
      <c r="EE38" s="152">
        <f>'FICHA AMALDIÇOADA'!$E$330&amp;""</f>
        <v/>
      </c>
      <c r="EF38" s="152">
        <f>'FICHA AMALDIÇOADA'!$E$331&amp;""</f>
        <v/>
      </c>
      <c r="EG38" s="152">
        <f>'FICHA AMALDIÇOADA'!$E$332&amp;""</f>
        <v/>
      </c>
      <c r="EH38" s="152">
        <f>'FICHA AMALDIÇOADA'!$E$333&amp;""</f>
        <v/>
      </c>
      <c r="EI38" s="152">
        <f>IF($EA38&lt;&gt;"",1,0)</f>
        <v/>
      </c>
      <c r="EJ38" s="152">
        <f>IFERROR(MATCH($EB38,$Y$2:$Y$11,0),0)</f>
        <v/>
      </c>
      <c r="EK38" s="152">
        <f>IF($EJ38=0,0,INDEX($AB$2:$AB$11,$EJ38))</f>
        <v/>
      </c>
      <c r="EL38" s="152">
        <f>IFERROR(VLOOKUP($EC38,$BC$2:$BK$84,4,FALSE),0)</f>
        <v/>
      </c>
      <c r="EM38" s="152">
        <f>IFERROR(VLOOKUP($ED38,$BC$2:$BK$84,4,FALSE),0)</f>
        <v/>
      </c>
      <c r="EN38" s="152">
        <f>IFERROR(VLOOKUP($EE38,$BC$2:$BK$84,4,FALSE),0)</f>
        <v/>
      </c>
      <c r="EO38" s="152">
        <f>IFERROR(VLOOKUP($EF38,$BC$2:$BK$84,4,FALSE),0)</f>
        <v/>
      </c>
      <c r="EP38" s="152">
        <f>IF($EJ38=0,0,INDEX($AC$2:$AC$11,$EJ38))</f>
        <v/>
      </c>
      <c r="EQ38" s="152">
        <f>IFERROR(VLOOKUP($EC38,$BC$2:$BK$84,5,FALSE),0)</f>
        <v/>
      </c>
      <c r="ER38" s="152">
        <f>IFERROR(VLOOKUP($ED38,$BC$2:$BK$84,5,FALSE),0)</f>
        <v/>
      </c>
      <c r="ES38" s="152">
        <f>IFERROR(VLOOKUP($EE38,$BC$2:$BK$84,5,FALSE),0)</f>
        <v/>
      </c>
      <c r="ET38" s="152">
        <f>IFERROR(VLOOKUP($EF38,$BC$2:$BK$84,5,FALSE),0)</f>
        <v/>
      </c>
      <c r="EU38" s="152">
        <f>IFERROR(VLOOKUP($EC38,$BC$2:$BK$84,6,FALSE),0)+IFERROR(VLOOKUP($ED38,$BC$2:$BK$84,6,FALSE),0)+IFERROR(VLOOKUP($EE38,$BC$2:$BK$84,6,FALSE),0)+IFERROR(VLOOKUP($EF38,$BC$2:$BK$84,6,FALSE),0)</f>
        <v/>
      </c>
      <c r="EV38" s="152">
        <f>IFERROR(VLOOKUP($EC38,$BC$2:$BK$84,9,FALSE),0)+IFERROR(VLOOKUP($ED38,$BC$2:$BK$84,9,FALSE),0)+IFERROR(VLOOKUP($EE38,$BC$2:$BK$84,9,FALSE),0)+IFERROR(VLOOKUP($EF38,$BC$2:$BK$84,9,FALSE),0)</f>
        <v/>
      </c>
      <c r="EW38" s="152">
        <f>IF($EJ38=0,0,INDEX($AD$2:$AD$11,$EJ38))</f>
        <v/>
      </c>
      <c r="EX38" s="152">
        <f>IF($EJ38=0,0,INDEX($AE$2:$AE$11,$EJ38))</f>
        <v/>
      </c>
      <c r="EY38" s="152">
        <f>IF($EJ38=0,0,INDEX($AG$2:$AG$11,$EJ38))</f>
        <v/>
      </c>
      <c r="EZ38" s="152">
        <f>IFERROR(VLOOKUP($EG38,$BM$2:$BQ$24,3,FALSE),0)</f>
        <v/>
      </c>
      <c r="FA38" s="152">
        <f>IFERROR(VLOOKUP($EH38,$BM$2:$BQ$24,3,FALSE),0)</f>
        <v/>
      </c>
      <c r="FB38" s="152">
        <f>IFERROR(VLOOKUP($EG38,$BM$2:$BQ$24,2,FALSE),"")</f>
        <v/>
      </c>
      <c r="FC38" s="152">
        <f>IFERROR(VLOOKUP($EH38,$BM$2:$BQ$24,2,FALSE),"")</f>
        <v/>
      </c>
      <c r="FD38" s="152">
        <f>COUNTIF($EK38:$EO38,1)</f>
        <v/>
      </c>
      <c r="FE38" s="152">
        <f>COUNTIF($EK38:$EO38,2)</f>
        <v/>
      </c>
      <c r="FF38" s="152">
        <f>COUNTIF($EK38:$EO38,3)</f>
        <v/>
      </c>
      <c r="FG38" s="152">
        <f>COUNTIF($EK38:$EO38,4)</f>
        <v/>
      </c>
      <c r="FH38" s="152">
        <f>COUNTIF($EK38:$EO38,5)</f>
        <v/>
      </c>
      <c r="FI38" s="152">
        <f>COUNTIF($EK38:$EO38,6)</f>
        <v/>
      </c>
      <c r="FJ38" s="152">
        <f>COUNTIF($EZ38:$FA38,1)</f>
        <v/>
      </c>
      <c r="FK38" s="152">
        <f>COUNTIF($EZ38:$FA38,2)+$EW38</f>
        <v/>
      </c>
      <c r="FL38" s="152">
        <f>COUNTIF($EC38:$EF38,"?*")</f>
        <v/>
      </c>
      <c r="FM38" s="152">
        <f>COUNTIF($EG38:$EH38,"?*")+$EW38</f>
        <v/>
      </c>
      <c r="FN38" s="152">
        <f>SUMPRODUCT($FD38:$FI38,INDEX($Q$2:$V$8,$DZ38,0))</f>
        <v/>
      </c>
      <c r="FO38" s="152">
        <f>$FJ38*CEILING($DZ38/2,1)+$FK38*$DZ38</f>
        <v/>
      </c>
      <c r="FP38" s="152">
        <f>MIN(2*$DZ38,$FO38)</f>
        <v/>
      </c>
      <c r="FQ38" s="152">
        <f>MIN($FP38,$FN38)</f>
        <v/>
      </c>
      <c r="FR38" s="152">
        <f>$FP38-$FQ38</f>
        <v/>
      </c>
      <c r="FS38" s="152">
        <f>3*$DZ38-$FN38+$FQ38</f>
        <v/>
      </c>
      <c r="FT38" s="152">
        <f>MAX(0,$FS38)+$DX38*$DZ38</f>
        <v/>
      </c>
      <c r="FU38" s="152">
        <f>(IF(COUNTIF($EC38:$EF38,"Salto")&gt;0,1,0)+IF(COUNTIF($EC38:$EF38,"Queima")&gt;0,1,0)+IF(COUNTIF($EC38:$EF38,"Estilhaço")&gt;0,1,0))*FLOOR($FT38/2,1)</f>
        <v/>
      </c>
      <c r="FV38" s="152">
        <f>MAX(0,3-SUMPRODUCT($FD38:$FI38,$Q$2:$V$2)+MIN(2,$FJ38*1+$FK38*1,SUMPRODUCT($FD38:$FI38,$Q$2:$V$2)))+$DX38*1</f>
        <v/>
      </c>
      <c r="FW38" s="152">
        <f>MAX(0,6-SUMPRODUCT($FD38:$FI38,$Q$3:$V$3)+MIN(4,$FJ38*1+$FK38*2,SUMPRODUCT($FD38:$FI38,$Q$3:$V$3)))+$DX38*2</f>
        <v/>
      </c>
      <c r="FX38" s="152">
        <f>MAX(0,9-SUMPRODUCT($FD38:$FI38,$Q$4:$V$4)+MIN(6,$FJ38*2+$FK38*3,SUMPRODUCT($FD38:$FI38,$Q$4:$V$4)))+$DX38*3</f>
        <v/>
      </c>
      <c r="FY38" s="152">
        <f>MAX(0,12-SUMPRODUCT($FD38:$FI38,$Q$5:$V$5)+MIN(8,$FJ38*2+$FK38*4,SUMPRODUCT($FD38:$FI38,$Q$5:$V$5)))+$DX38*4</f>
        <v/>
      </c>
      <c r="FZ38" s="152">
        <f>MAX(0,15-SUMPRODUCT($FD38:$FI38,$Q$6:$V$6)+MIN(10,$FJ38*3+$FK38*5,SUMPRODUCT($FD38:$FI38,$Q$6:$V$6)))+$DX38*5</f>
        <v/>
      </c>
      <c r="GA38" s="152">
        <f>MAX(0,18-SUMPRODUCT($FD38:$FI38,$Q$7:$V$7)+MIN(12,$FJ38*3+$FK38*6,SUMPRODUCT($FD38:$FI38,$Q$7:$V$7)))+$DX38*6</f>
        <v/>
      </c>
      <c r="GB38" s="152">
        <f>MAX(0,21-SUMPRODUCT($FD38:$FI38,$Q$8:$V$8)+MIN(14,$FJ38*4+$FK38*7,SUMPRODUCT($FD38:$FI38,$Q$8:$V$8)))+$DX38*7</f>
        <v/>
      </c>
      <c r="GC38" s="152">
        <f>IF($EX38=2,3*$FV38&amp;" de vida temp.",IF($EX38=3,"sem dano",IF($FV38=0,IF($EX38=1,"sem cura","sem dano"),IF($EX38=1,"cura ","")&amp;$FV38&amp;"d8")))</f>
        <v/>
      </c>
      <c r="GD38" s="152">
        <f>IF($EX38=2,3*$FW38&amp;" de vida temp.",IF($EX38=3,"sem dano",IF($FW38=0,IF($EX38=1,"sem cura","sem dano"),IF($EX38=1,"cura ","")&amp;$FW38&amp;"d8")))</f>
        <v/>
      </c>
      <c r="GE38" s="152">
        <f>IF($EX38=2,3*$FX38&amp;" de vida temp.",IF($EX38=3,"sem dano",IF($FX38=0,IF($EX38=1,"sem cura","sem dano"),IF($EX38=1,"cura ","")&amp;$FX38&amp;"d8")))</f>
        <v/>
      </c>
      <c r="GF38" s="152">
        <f>IF($EX38=2,3*$FY38&amp;" de vida temp.",IF($EX38=3,"sem dano",IF($FY38=0,IF($EX38=1,"sem cura","sem dano"),IF($EX38=1,"cura ","")&amp;$FY38&amp;"d8")))</f>
        <v/>
      </c>
      <c r="GG38" s="152">
        <f>IF($EX38=2,3*$FZ38&amp;" de vida temp.",IF($EX38=3,"sem dano",IF($FZ38=0,IF($EX38=1,"sem cura","sem dano"),IF($EX38=1,"cura ","")&amp;$FZ38&amp;"d8")))</f>
        <v/>
      </c>
      <c r="GH38" s="152">
        <f>IF($EX38=2,3*$GA38&amp;" de vida temp.",IF($EX38=3,"sem dano",IF($GA38=0,IF($EX38=1,"sem cura","sem dano"),IF($EX38=1,"cura ","")&amp;$GA38&amp;"d8")))</f>
        <v/>
      </c>
      <c r="GI38" s="152">
        <f>IF($EX38=2,3*$GB38&amp;" de vida temp.",IF($EX38=3,"sem dano",IF($GB38=0,IF($EX38=1,"sem cura","sem dano"),IF($EX38=1,"cura ","")&amp;$GB38&amp;"d8")))</f>
        <v/>
      </c>
      <c r="GJ38" s="152">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2">
        <f>IF($GJ38="",0,(LEN($GJ38)-LEN(SUBSTITUTE($GJ38," · ","")))/3+1)</f>
        <v/>
      </c>
      <c r="GL38" s="152">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2">
        <f>IF($GL38="",0,(LEN($GL38)-LEN(SUBSTITUTE($GL38," · ","")))/3+1)</f>
        <v/>
      </c>
      <c r="GN38" s="152">
        <f>IF($EI38=0,IF($FL38+$FM38-$EW38&gt;0,"Dê um nome",""),IF($GK38&gt;0,"⚠ "&amp;$GK38&amp;IF($GK38&gt;1," erros"," erro"),IF($GM38&gt;0,"! "&amp;$GM38&amp;IF($GM38&gt;1," avisos"," aviso"),"Na regra")))</f>
        <v/>
      </c>
      <c r="GO38" s="152">
        <f>IF($EI38=0,"",IF($GK38+$GM38=0,"Dentro das regras que a ficha confere",$GJ38&amp;IF(AND($GK38&gt;0,$GM38&gt;0)," · ","")&amp;$GL38))</f>
        <v/>
      </c>
      <c r="GP38" s="152">
        <f>IF($EI38=0,"",IF($DX38=1,CEILING(4.5*$DZ38,1),3*$DZ38)&amp;" PE")</f>
        <v/>
      </c>
      <c r="GQ38" s="152">
        <f>IF($EI38=0,"",IF($DX38=1,"Rodada inteira",IF(COUNTIF($FB38:$FC38,"Atrasar")&gt;0,IF(COUNTIF($FB38:$FC38,"Carregar")&gt;0,"Rodada +1 turno","Rodada inteira"),IF(COUNTIF($EC38:$EF38,"Rápido")&gt;0,"Bônus",IF(COUNTIF($EC38:$EF38,"Reação")&gt;0,"Reação","Padrão"))&amp;IF(COUNTIF($FB38:$FC38,"Carregar")&gt;0," +1 turno",""))))</f>
        <v/>
      </c>
      <c r="GR38" s="152">
        <f>IF(OR($EI38=0,$EJ38=0),"",IF(COUNTIF($EC38:$EF38,"Inescapável")&gt;0,"Automático",IF(COUNTIF($EC38:$EF38,"Certeiro")&gt;0,"TR para metade",IF(AND($EV38&gt;0,$EY38=0,INDEX($AF$2:$AF$11,$EJ38)="Acerto"),"Acerto + TR",INDEX($AF$2:$AF$11,$EJ38)))))</f>
        <v/>
      </c>
      <c r="GS38" s="152">
        <f>IF(OR($EI38=0,$EJ38=0),"",IF(OR($EX38&gt;=2,$FT38=0),UPPER(LEFT(INDEX($GC38:$GI38,1,$DZ38),1))&amp;MID(INDEX($GC38:$GI38,1,$DZ38),2,99),UPPER(LEFT(INDEX($GC38:$GI38,1,$DZ38),1))&amp;MID(INDEX($GC38:$GI38,1,$DZ38),2,99)&amp;" = "&amp;FLOOR($FT38*4.5,1)&amp;IF($FU38&gt;0," · +"&amp;$FU38&amp;"d8","")))</f>
        <v/>
      </c>
      <c r="GT38" s="152">
        <f>COUNTIF($EC38:$EF38,"Longe")+3*COUNTIF($EC38:$EF38,"Muito Longe")</f>
        <v/>
      </c>
      <c r="GU38" s="152">
        <f>COUNTIF($EC38:$EF38,"Maior")+3*COUNTIF($EC38:$EF38,"Muito Maior")</f>
        <v/>
      </c>
      <c r="GV38" s="152">
        <f>IF($EJ38=0,0,CHOOSE(1+INDEX($AH$2:$AH$11,$EJ38),0,$GT38,$GU38,$GT38+$GU38))</f>
        <v/>
      </c>
      <c r="GW38" s="152">
        <f>IF($EJ38=0,0,CHOOSE(1+INDEX($AI$2:$AI$11,$EJ38),0,$GT38,$GU38,$GT38+$GU38))</f>
        <v/>
      </c>
      <c r="GX38" s="152">
        <f>IF(OR($EI38=0,$EJ38=0),"",INDEX($AP$2:$AU$31,($EJ38-1)*3+IF($DZ38&gt;=6,3,2),1+MIN(5,$GV38))&amp;INDEX($AV$2:$BA$31,($EJ38-1)*3+IF($DZ38&gt;=6,3,2),1+MIN(5,$GW38))&amp;IF(INDEX($AJ$2:$AJ$11,$EJ38)=1,IF(COUNTIF($EC38:$EF38,"Mais Um")&gt;0," · +"&amp;COUNTIF($EC38:$EF38,"Mais Um")&amp;IF(COUNTIF($EC38:$EF38,"Mais Um")&gt;1," alvos"," alvo"),"")&amp;IF(COUNTIF($EC38:$EF38,"Rajada")&gt;0," · "&amp;($DZ38+1)&amp;" tiros",""),""))</f>
        <v/>
      </c>
      <c r="GY38" s="152">
        <f>IF($EI38=0,"",3*$DZ38&amp;" − "&amp;$FN38&amp;" + "&amp;$FQ38&amp;IF($DX38=1," + "&amp;$DZ38,"")&amp;" = "&amp;$FT38&amp;"d8 · teto "&amp;4*$DZ38&amp;IF($EW38=1," · a Forma devolve "&amp;$DZ38,"")&amp;IF($FR38&gt;0," · perde "&amp;$FR38,""))</f>
        <v/>
      </c>
      <c r="GZ38" s="152">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2">
        <f>IF(OR($EI38=0,$EL38=0),"","−"&amp;INDEX($Q$2:$V$8,$DZ38,$EL38)&amp;" · "&amp;CHOOSE($EL38,"Leve","Média","Pesada","Leve · Livre","Média · Livre","Pesada · Livre"))</f>
        <v/>
      </c>
      <c r="HB38" s="152">
        <f>IF(OR($EI38=0,$EM38=0),"","−"&amp;INDEX($Q$2:$V$8,$DZ38,$EM38)&amp;" · "&amp;CHOOSE($EM38,"Leve","Média","Pesada","Leve · Livre","Média · Livre","Pesada · Livre"))</f>
        <v/>
      </c>
      <c r="HC38" s="152">
        <f>IF(OR($EI38=0,$EN38=0),"","−"&amp;INDEX($Q$2:$V$8,$DZ38,$EN38)&amp;" · "&amp;CHOOSE($EN38,"Leve","Média","Pesada","Leve · Livre","Média · Livre","Pesada · Livre"))</f>
        <v/>
      </c>
      <c r="HD38" s="152">
        <f>IF(OR($EI38=0,$EO38=0),"","−"&amp;INDEX($Q$2:$V$8,$DZ38,$EO38)&amp;" · "&amp;CHOOSE($EO38,"Leve","Média","Pesada","Leve · Livre","Média · Livre","Pesada · Livre"))</f>
        <v/>
      </c>
      <c r="HE38" s="152">
        <f>IF(OR($EI38=0,$EG38=""),"","+"&amp;IF($EZ38=1,CEILING($DZ38/2,1),$DZ38))</f>
        <v/>
      </c>
      <c r="HF38" s="152">
        <f>IF(OR($EI38=0,$EH38=""),"","+"&amp;IF($FA38=1,CEILING($DZ38/2,1),$DZ38))</f>
        <v/>
      </c>
      <c r="HG38" s="152">
        <f>'FICHA AMALDIÇOADA'!$D$321&amp;""</f>
        <v/>
      </c>
      <c r="HH38" s="152">
        <f>IF(AND($EI38=1,$DX38=0),COUNTIFS($EI$2:$EI38,1,$DX$2:$DX38,0),"")</f>
        <v/>
      </c>
      <c r="HJ38" s="150" t="inlineStr">
        <is>
          <t>fechada na técnica máxima</t>
        </is>
      </c>
      <c r="HK38" s="152">
        <f>IFERROR(VLOOKUP('FICHA AMALDIÇOADA'!$J$343,$Y$2:$AC$11,5,FALSE),0)+IFERROR(VLOOKUP('FICHA AMALDIÇOADA'!$J$346,$BC$2:$BK$84,5,FALSE),0)+IFERROR(VLOOKUP('FICHA AMALDIÇOADA'!$L$346,$BC$2:$BK$84,5,FALSE),0)+IFERROR(VLOOKUP('FICHA AMALDIÇOADA'!$P$346,$BC$2:$BK$84,5,FALSE),0)+IFERROR(VLOOKUP('FICHA AMALDIÇOADA'!$R$346,$BC$2:$BK$84,5,FALSE),0)</f>
        <v/>
      </c>
      <c r="KS38" s="150" t="inlineStr">
        <is>
          <t>P343</t>
        </is>
      </c>
      <c r="KT38" s="152">
        <f>IF(DADOS_AM!$HK$35=0,"—",5*DADOS_AM!$HK$4)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BK39" s="152" t="n">
        <v>1</v>
      </c>
      <c r="DW39" s="150" t="inlineStr">
        <is>
          <t>Liberação 2</t>
        </is>
      </c>
      <c r="DX39" s="152" t="n">
        <v>1</v>
      </c>
      <c r="DY39" s="152" t="n">
        <v>2</v>
      </c>
      <c r="DZ39" s="152">
        <f>MAX(1,MIN(7,N('FICHA AMALDIÇOADA'!$J$319)))</f>
        <v/>
      </c>
      <c r="EA39" s="152">
        <f>'FICHA AMALDIÇOADA'!$K$319&amp;""</f>
        <v/>
      </c>
      <c r="EB39" s="152">
        <f>'FICHA AMALDIÇOADA'!$J$326&amp;""</f>
        <v/>
      </c>
      <c r="EC39" s="152">
        <f>'FICHA AMALDIÇOADA'!$K$328&amp;""</f>
        <v/>
      </c>
      <c r="ED39" s="152">
        <f>'FICHA AMALDIÇOADA'!$K$329&amp;""</f>
        <v/>
      </c>
      <c r="EE39" s="152">
        <f>'FICHA AMALDIÇOADA'!$K$330&amp;""</f>
        <v/>
      </c>
      <c r="EF39" s="152">
        <f>'FICHA AMALDIÇOADA'!$K$331&amp;""</f>
        <v/>
      </c>
      <c r="EG39" s="152">
        <f>'FICHA AMALDIÇOADA'!$K$332&amp;""</f>
        <v/>
      </c>
      <c r="EH39" s="152">
        <f>'FICHA AMALDIÇOADA'!$K$333&amp;""</f>
        <v/>
      </c>
      <c r="EI39" s="152">
        <f>IF($EA39&lt;&gt;"",1,0)</f>
        <v/>
      </c>
      <c r="EJ39" s="152">
        <f>IFERROR(MATCH($EB39,$Y$2:$Y$11,0),0)</f>
        <v/>
      </c>
      <c r="EK39" s="152">
        <f>IF($EJ39=0,0,INDEX($AB$2:$AB$11,$EJ39))</f>
        <v/>
      </c>
      <c r="EL39" s="152">
        <f>IFERROR(VLOOKUP($EC39,$BC$2:$BK$84,4,FALSE),0)</f>
        <v/>
      </c>
      <c r="EM39" s="152">
        <f>IFERROR(VLOOKUP($ED39,$BC$2:$BK$84,4,FALSE),0)</f>
        <v/>
      </c>
      <c r="EN39" s="152">
        <f>IFERROR(VLOOKUP($EE39,$BC$2:$BK$84,4,FALSE),0)</f>
        <v/>
      </c>
      <c r="EO39" s="152">
        <f>IFERROR(VLOOKUP($EF39,$BC$2:$BK$84,4,FALSE),0)</f>
        <v/>
      </c>
      <c r="EP39" s="152">
        <f>IF($EJ39=0,0,INDEX($AC$2:$AC$11,$EJ39))</f>
        <v/>
      </c>
      <c r="EQ39" s="152">
        <f>IFERROR(VLOOKUP($EC39,$BC$2:$BK$84,5,FALSE),0)</f>
        <v/>
      </c>
      <c r="ER39" s="152">
        <f>IFERROR(VLOOKUP($ED39,$BC$2:$BK$84,5,FALSE),0)</f>
        <v/>
      </c>
      <c r="ES39" s="152">
        <f>IFERROR(VLOOKUP($EE39,$BC$2:$BK$84,5,FALSE),0)</f>
        <v/>
      </c>
      <c r="ET39" s="152">
        <f>IFERROR(VLOOKUP($EF39,$BC$2:$BK$84,5,FALSE),0)</f>
        <v/>
      </c>
      <c r="EU39" s="152">
        <f>IFERROR(VLOOKUP($EC39,$BC$2:$BK$84,6,FALSE),0)+IFERROR(VLOOKUP($ED39,$BC$2:$BK$84,6,FALSE),0)+IFERROR(VLOOKUP($EE39,$BC$2:$BK$84,6,FALSE),0)+IFERROR(VLOOKUP($EF39,$BC$2:$BK$84,6,FALSE),0)</f>
        <v/>
      </c>
      <c r="EV39" s="152">
        <f>IFERROR(VLOOKUP($EC39,$BC$2:$BK$84,9,FALSE),0)+IFERROR(VLOOKUP($ED39,$BC$2:$BK$84,9,FALSE),0)+IFERROR(VLOOKUP($EE39,$BC$2:$BK$84,9,FALSE),0)+IFERROR(VLOOKUP($EF39,$BC$2:$BK$84,9,FALSE),0)</f>
        <v/>
      </c>
      <c r="EW39" s="152">
        <f>IF($EJ39=0,0,INDEX($AD$2:$AD$11,$EJ39))</f>
        <v/>
      </c>
      <c r="EX39" s="152">
        <f>IF($EJ39=0,0,INDEX($AE$2:$AE$11,$EJ39))</f>
        <v/>
      </c>
      <c r="EY39" s="152">
        <f>IF($EJ39=0,0,INDEX($AG$2:$AG$11,$EJ39))</f>
        <v/>
      </c>
      <c r="EZ39" s="152">
        <f>IFERROR(VLOOKUP($EG39,$BM$2:$BQ$24,3,FALSE),0)</f>
        <v/>
      </c>
      <c r="FA39" s="152">
        <f>IFERROR(VLOOKUP($EH39,$BM$2:$BQ$24,3,FALSE),0)</f>
        <v/>
      </c>
      <c r="FB39" s="152">
        <f>IFERROR(VLOOKUP($EG39,$BM$2:$BQ$24,2,FALSE),"")</f>
        <v/>
      </c>
      <c r="FC39" s="152">
        <f>IFERROR(VLOOKUP($EH39,$BM$2:$BQ$24,2,FALSE),"")</f>
        <v/>
      </c>
      <c r="FD39" s="152">
        <f>COUNTIF($EK39:$EO39,1)</f>
        <v/>
      </c>
      <c r="FE39" s="152">
        <f>COUNTIF($EK39:$EO39,2)</f>
        <v/>
      </c>
      <c r="FF39" s="152">
        <f>COUNTIF($EK39:$EO39,3)</f>
        <v/>
      </c>
      <c r="FG39" s="152">
        <f>COUNTIF($EK39:$EO39,4)</f>
        <v/>
      </c>
      <c r="FH39" s="152">
        <f>COUNTIF($EK39:$EO39,5)</f>
        <v/>
      </c>
      <c r="FI39" s="152">
        <f>COUNTIF($EK39:$EO39,6)</f>
        <v/>
      </c>
      <c r="FJ39" s="152">
        <f>COUNTIF($EZ39:$FA39,1)</f>
        <v/>
      </c>
      <c r="FK39" s="152">
        <f>COUNTIF($EZ39:$FA39,2)+$EW39</f>
        <v/>
      </c>
      <c r="FL39" s="152">
        <f>COUNTIF($EC39:$EF39,"?*")</f>
        <v/>
      </c>
      <c r="FM39" s="152">
        <f>COUNTIF($EG39:$EH39,"?*")+$EW39</f>
        <v/>
      </c>
      <c r="FN39" s="152">
        <f>SUMPRODUCT($FD39:$FI39,INDEX($Q$2:$V$8,$DZ39,0))</f>
        <v/>
      </c>
      <c r="FO39" s="152">
        <f>$FJ39*CEILING($DZ39/2,1)+$FK39*$DZ39</f>
        <v/>
      </c>
      <c r="FP39" s="152">
        <f>MIN(2*$DZ39,$FO39)</f>
        <v/>
      </c>
      <c r="FQ39" s="152">
        <f>MIN($FP39,$FN39)</f>
        <v/>
      </c>
      <c r="FR39" s="152">
        <f>$FP39-$FQ39</f>
        <v/>
      </c>
      <c r="FS39" s="152">
        <f>3*$DZ39-$FN39+$FQ39</f>
        <v/>
      </c>
      <c r="FT39" s="152">
        <f>MAX(0,$FS39)+$DX39*$DZ39</f>
        <v/>
      </c>
      <c r="FU39" s="152">
        <f>(IF(COUNTIF($EC39:$EF39,"Salto")&gt;0,1,0)+IF(COUNTIF($EC39:$EF39,"Queima")&gt;0,1,0)+IF(COUNTIF($EC39:$EF39,"Estilhaço")&gt;0,1,0))*FLOOR($FT39/2,1)</f>
        <v/>
      </c>
      <c r="FV39" s="152">
        <f>MAX(0,3-SUMPRODUCT($FD39:$FI39,$Q$2:$V$2)+MIN(2,$FJ39*1+$FK39*1,SUMPRODUCT($FD39:$FI39,$Q$2:$V$2)))+$DX39*1</f>
        <v/>
      </c>
      <c r="FW39" s="152">
        <f>MAX(0,6-SUMPRODUCT($FD39:$FI39,$Q$3:$V$3)+MIN(4,$FJ39*1+$FK39*2,SUMPRODUCT($FD39:$FI39,$Q$3:$V$3)))+$DX39*2</f>
        <v/>
      </c>
      <c r="FX39" s="152">
        <f>MAX(0,9-SUMPRODUCT($FD39:$FI39,$Q$4:$V$4)+MIN(6,$FJ39*2+$FK39*3,SUMPRODUCT($FD39:$FI39,$Q$4:$V$4)))+$DX39*3</f>
        <v/>
      </c>
      <c r="FY39" s="152">
        <f>MAX(0,12-SUMPRODUCT($FD39:$FI39,$Q$5:$V$5)+MIN(8,$FJ39*2+$FK39*4,SUMPRODUCT($FD39:$FI39,$Q$5:$V$5)))+$DX39*4</f>
        <v/>
      </c>
      <c r="FZ39" s="152">
        <f>MAX(0,15-SUMPRODUCT($FD39:$FI39,$Q$6:$V$6)+MIN(10,$FJ39*3+$FK39*5,SUMPRODUCT($FD39:$FI39,$Q$6:$V$6)))+$DX39*5</f>
        <v/>
      </c>
      <c r="GA39" s="152">
        <f>MAX(0,18-SUMPRODUCT($FD39:$FI39,$Q$7:$V$7)+MIN(12,$FJ39*3+$FK39*6,SUMPRODUCT($FD39:$FI39,$Q$7:$V$7)))+$DX39*6</f>
        <v/>
      </c>
      <c r="GB39" s="152">
        <f>MAX(0,21-SUMPRODUCT($FD39:$FI39,$Q$8:$V$8)+MIN(14,$FJ39*4+$FK39*7,SUMPRODUCT($FD39:$FI39,$Q$8:$V$8)))+$DX39*7</f>
        <v/>
      </c>
      <c r="GC39" s="152">
        <f>IF($EX39=2,3*$FV39&amp;" de vida temp.",IF($EX39=3,"sem dano",IF($FV39=0,IF($EX39=1,"sem cura","sem dano"),IF($EX39=1,"cura ","")&amp;$FV39&amp;"d8")))</f>
        <v/>
      </c>
      <c r="GD39" s="152">
        <f>IF($EX39=2,3*$FW39&amp;" de vida temp.",IF($EX39=3,"sem dano",IF($FW39=0,IF($EX39=1,"sem cura","sem dano"),IF($EX39=1,"cura ","")&amp;$FW39&amp;"d8")))</f>
        <v/>
      </c>
      <c r="GE39" s="152">
        <f>IF($EX39=2,3*$FX39&amp;" de vida temp.",IF($EX39=3,"sem dano",IF($FX39=0,IF($EX39=1,"sem cura","sem dano"),IF($EX39=1,"cura ","")&amp;$FX39&amp;"d8")))</f>
        <v/>
      </c>
      <c r="GF39" s="152">
        <f>IF($EX39=2,3*$FY39&amp;" de vida temp.",IF($EX39=3,"sem dano",IF($FY39=0,IF($EX39=1,"sem cura","sem dano"),IF($EX39=1,"cura ","")&amp;$FY39&amp;"d8")))</f>
        <v/>
      </c>
      <c r="GG39" s="152">
        <f>IF($EX39=2,3*$FZ39&amp;" de vida temp.",IF($EX39=3,"sem dano",IF($FZ39=0,IF($EX39=1,"sem cura","sem dano"),IF($EX39=1,"cura ","")&amp;$FZ39&amp;"d8")))</f>
        <v/>
      </c>
      <c r="GH39" s="152">
        <f>IF($EX39=2,3*$GA39&amp;" de vida temp.",IF($EX39=3,"sem dano",IF($GA39=0,IF($EX39=1,"sem cura","sem dano"),IF($EX39=1,"cura ","")&amp;$GA39&amp;"d8")))</f>
        <v/>
      </c>
      <c r="GI39" s="152">
        <f>IF($EX39=2,3*$GB39&amp;" de vida temp.",IF($EX39=3,"sem dano",IF($GB39=0,IF($EX39=1,"sem cura","sem dano"),IF($EX39=1,"cura ","")&amp;$GB39&amp;"d8")))</f>
        <v/>
      </c>
      <c r="GJ39" s="152">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2">
        <f>IF($GJ39="",0,(LEN($GJ39)-LEN(SUBSTITUTE($GJ39," · ","")))/3+1)</f>
        <v/>
      </c>
      <c r="GL39" s="152">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2">
        <f>IF($GL39="",0,(LEN($GL39)-LEN(SUBSTITUTE($GL39," · ","")))/3+1)</f>
        <v/>
      </c>
      <c r="GN39" s="152">
        <f>IF($EI39=0,IF($FL39+$FM39-$EW39&gt;0,"Dê um nome",""),IF($GK39&gt;0,"⚠ "&amp;$GK39&amp;IF($GK39&gt;1," erros"," erro"),IF($GM39&gt;0,"! "&amp;$GM39&amp;IF($GM39&gt;1," avisos"," aviso"),"Na regra")))</f>
        <v/>
      </c>
      <c r="GO39" s="152">
        <f>IF($EI39=0,"",IF($GK39+$GM39=0,"Dentro das regras que a ficha confere",$GJ39&amp;IF(AND($GK39&gt;0,$GM39&gt;0)," · ","")&amp;$GL39))</f>
        <v/>
      </c>
      <c r="GP39" s="152">
        <f>IF($EI39=0,"",IF($DX39=1,CEILING(4.5*$DZ39,1),3*$DZ39)&amp;" PE")</f>
        <v/>
      </c>
      <c r="GQ39" s="152">
        <f>IF($EI39=0,"",IF($DX39=1,"Rodada inteira",IF(COUNTIF($FB39:$FC39,"Atrasar")&gt;0,IF(COUNTIF($FB39:$FC39,"Carregar")&gt;0,"Rodada +1 turno","Rodada inteira"),IF(COUNTIF($EC39:$EF39,"Rápido")&gt;0,"Bônus",IF(COUNTIF($EC39:$EF39,"Reação")&gt;0,"Reação","Padrão"))&amp;IF(COUNTIF($FB39:$FC39,"Carregar")&gt;0," +1 turno",""))))</f>
        <v/>
      </c>
      <c r="GR39" s="152">
        <f>IF(OR($EI39=0,$EJ39=0),"",IF(COUNTIF($EC39:$EF39,"Inescapável")&gt;0,"Automático",IF(COUNTIF($EC39:$EF39,"Certeiro")&gt;0,"TR para metade",IF(AND($EV39&gt;0,$EY39=0,INDEX($AF$2:$AF$11,$EJ39)="Acerto"),"Acerto + TR",INDEX($AF$2:$AF$11,$EJ39)))))</f>
        <v/>
      </c>
      <c r="GS39" s="152">
        <f>IF(OR($EI39=0,$EJ39=0),"",IF(OR($EX39&gt;=2,$FT39=0),UPPER(LEFT(INDEX($GC39:$GI39,1,$DZ39),1))&amp;MID(INDEX($GC39:$GI39,1,$DZ39),2,99),UPPER(LEFT(INDEX($GC39:$GI39,1,$DZ39),1))&amp;MID(INDEX($GC39:$GI39,1,$DZ39),2,99)&amp;" = "&amp;FLOOR($FT39*4.5,1)&amp;IF($FU39&gt;0," · +"&amp;$FU39&amp;"d8","")))</f>
        <v/>
      </c>
      <c r="GT39" s="152">
        <f>COUNTIF($EC39:$EF39,"Longe")+3*COUNTIF($EC39:$EF39,"Muito Longe")</f>
        <v/>
      </c>
      <c r="GU39" s="152">
        <f>COUNTIF($EC39:$EF39,"Maior")+3*COUNTIF($EC39:$EF39,"Muito Maior")</f>
        <v/>
      </c>
      <c r="GV39" s="152">
        <f>IF($EJ39=0,0,CHOOSE(1+INDEX($AH$2:$AH$11,$EJ39),0,$GT39,$GU39,$GT39+$GU39))</f>
        <v/>
      </c>
      <c r="GW39" s="152">
        <f>IF($EJ39=0,0,CHOOSE(1+INDEX($AI$2:$AI$11,$EJ39),0,$GT39,$GU39,$GT39+$GU39))</f>
        <v/>
      </c>
      <c r="GX39" s="152">
        <f>IF(OR($EI39=0,$EJ39=0),"",INDEX($AP$2:$AU$31,($EJ39-1)*3+IF($DZ39&gt;=6,3,2),1+MIN(5,$GV39))&amp;INDEX($AV$2:$BA$31,($EJ39-1)*3+IF($DZ39&gt;=6,3,2),1+MIN(5,$GW39))&amp;IF(INDEX($AJ$2:$AJ$11,$EJ39)=1,IF(COUNTIF($EC39:$EF39,"Mais Um")&gt;0," · +"&amp;COUNTIF($EC39:$EF39,"Mais Um")&amp;IF(COUNTIF($EC39:$EF39,"Mais Um")&gt;1," alvos"," alvo"),"")&amp;IF(COUNTIF($EC39:$EF39,"Rajada")&gt;0," · "&amp;($DZ39+1)&amp;" tiros",""),""))</f>
        <v/>
      </c>
      <c r="GY39" s="152">
        <f>IF($EI39=0,"",3*$DZ39&amp;" − "&amp;$FN39&amp;" + "&amp;$FQ39&amp;IF($DX39=1," + "&amp;$DZ39,"")&amp;" = "&amp;$FT39&amp;"d8 · teto "&amp;4*$DZ39&amp;IF($EW39=1," · a Forma devolve "&amp;$DZ39,"")&amp;IF($FR39&gt;0," · perde "&amp;$FR39,""))</f>
        <v/>
      </c>
      <c r="GZ39" s="152">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2">
        <f>IF(OR($EI39=0,$EL39=0),"","−"&amp;INDEX($Q$2:$V$8,$DZ39,$EL39)&amp;" · "&amp;CHOOSE($EL39,"Leve","Média","Pesada","Leve · Livre","Média · Livre","Pesada · Livre"))</f>
        <v/>
      </c>
      <c r="HB39" s="152">
        <f>IF(OR($EI39=0,$EM39=0),"","−"&amp;INDEX($Q$2:$V$8,$DZ39,$EM39)&amp;" · "&amp;CHOOSE($EM39,"Leve","Média","Pesada","Leve · Livre","Média · Livre","Pesada · Livre"))</f>
        <v/>
      </c>
      <c r="HC39" s="152">
        <f>IF(OR($EI39=0,$EN39=0),"","−"&amp;INDEX($Q$2:$V$8,$DZ39,$EN39)&amp;" · "&amp;CHOOSE($EN39,"Leve","Média","Pesada","Leve · Livre","Média · Livre","Pesada · Livre"))</f>
        <v/>
      </c>
      <c r="HD39" s="152">
        <f>IF(OR($EI39=0,$EO39=0),"","−"&amp;INDEX($Q$2:$V$8,$DZ39,$EO39)&amp;" · "&amp;CHOOSE($EO39,"Leve","Média","Pesada","Leve · Livre","Média · Livre","Pesada · Livre"))</f>
        <v/>
      </c>
      <c r="HE39" s="152">
        <f>IF(OR($EI39=0,$EG39=""),"","+"&amp;IF($EZ39=1,CEILING($DZ39/2,1),$DZ39))</f>
        <v/>
      </c>
      <c r="HF39" s="152">
        <f>IF(OR($EI39=0,$EH39=""),"","+"&amp;IF($FA39=1,CEILING($DZ39/2,1),$DZ39))</f>
        <v/>
      </c>
      <c r="HG39" s="152">
        <f>'FICHA AMALDIÇOADA'!$J$321&amp;""</f>
        <v/>
      </c>
      <c r="HH39" s="152">
        <f>IF(AND($EI39=1,$DX39=0),COUNTIFS($EI$2:$EI39,1,$DX$2:$DX39,0),"")</f>
        <v/>
      </c>
      <c r="HJ39" s="150" t="inlineStr">
        <is>
          <t>rota</t>
        </is>
      </c>
      <c r="HK39" s="152">
        <f>$A$2</f>
        <v/>
      </c>
      <c r="KS39" s="150" t="inlineStr">
        <is>
          <t>R343</t>
        </is>
      </c>
      <c r="KT39" s="152">
        <f>IF(DADOS_AM!$HK$35=0,"—",IF(OR(DADOS_AM!$HK$37&gt;DADOS_AM!$HK$36,DADOS_AM!$HK$38&gt;0),"⚠ ","")&amp;DADOS_AM!$HK$37&amp;" de "&amp;DADOS_AM!$HK$36&amp;IF(DADOS_AM!$HK$38&gt;0,"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BK40" s="152" t="n">
        <v>0</v>
      </c>
      <c r="DW40" s="150" t="inlineStr">
        <is>
          <t>Liberação 3</t>
        </is>
      </c>
      <c r="DX40" s="152" t="n">
        <v>1</v>
      </c>
      <c r="DY40" s="152" t="n">
        <v>3</v>
      </c>
      <c r="DZ40" s="152">
        <f>MAX(1,MIN(7,N('FICHA AMALDIÇOADA'!$P$319)))</f>
        <v/>
      </c>
      <c r="EA40" s="152">
        <f>'FICHA AMALDIÇOADA'!$Q$319&amp;""</f>
        <v/>
      </c>
      <c r="EB40" s="152">
        <f>'FICHA AMALDIÇOADA'!$P$326&amp;""</f>
        <v/>
      </c>
      <c r="EC40" s="152">
        <f>'FICHA AMALDIÇOADA'!$Q$328&amp;""</f>
        <v/>
      </c>
      <c r="ED40" s="152">
        <f>'FICHA AMALDIÇOADA'!$Q$329&amp;""</f>
        <v/>
      </c>
      <c r="EE40" s="152">
        <f>'FICHA AMALDIÇOADA'!$Q$330&amp;""</f>
        <v/>
      </c>
      <c r="EF40" s="152">
        <f>'FICHA AMALDIÇOADA'!$Q$331&amp;""</f>
        <v/>
      </c>
      <c r="EG40" s="152">
        <f>'FICHA AMALDIÇOADA'!$Q$332&amp;""</f>
        <v/>
      </c>
      <c r="EH40" s="152">
        <f>'FICHA AMALDIÇOADA'!$Q$333&amp;""</f>
        <v/>
      </c>
      <c r="EI40" s="152">
        <f>IF($EA40&lt;&gt;"",1,0)</f>
        <v/>
      </c>
      <c r="EJ40" s="152">
        <f>IFERROR(MATCH($EB40,$Y$2:$Y$11,0),0)</f>
        <v/>
      </c>
      <c r="EK40" s="152">
        <f>IF($EJ40=0,0,INDEX($AB$2:$AB$11,$EJ40))</f>
        <v/>
      </c>
      <c r="EL40" s="152">
        <f>IFERROR(VLOOKUP($EC40,$BC$2:$BK$84,4,FALSE),0)</f>
        <v/>
      </c>
      <c r="EM40" s="152">
        <f>IFERROR(VLOOKUP($ED40,$BC$2:$BK$84,4,FALSE),0)</f>
        <v/>
      </c>
      <c r="EN40" s="152">
        <f>IFERROR(VLOOKUP($EE40,$BC$2:$BK$84,4,FALSE),0)</f>
        <v/>
      </c>
      <c r="EO40" s="152">
        <f>IFERROR(VLOOKUP($EF40,$BC$2:$BK$84,4,FALSE),0)</f>
        <v/>
      </c>
      <c r="EP40" s="152">
        <f>IF($EJ40=0,0,INDEX($AC$2:$AC$11,$EJ40))</f>
        <v/>
      </c>
      <c r="EQ40" s="152">
        <f>IFERROR(VLOOKUP($EC40,$BC$2:$BK$84,5,FALSE),0)</f>
        <v/>
      </c>
      <c r="ER40" s="152">
        <f>IFERROR(VLOOKUP($ED40,$BC$2:$BK$84,5,FALSE),0)</f>
        <v/>
      </c>
      <c r="ES40" s="152">
        <f>IFERROR(VLOOKUP($EE40,$BC$2:$BK$84,5,FALSE),0)</f>
        <v/>
      </c>
      <c r="ET40" s="152">
        <f>IFERROR(VLOOKUP($EF40,$BC$2:$BK$84,5,FALSE),0)</f>
        <v/>
      </c>
      <c r="EU40" s="152">
        <f>IFERROR(VLOOKUP($EC40,$BC$2:$BK$84,6,FALSE),0)+IFERROR(VLOOKUP($ED40,$BC$2:$BK$84,6,FALSE),0)+IFERROR(VLOOKUP($EE40,$BC$2:$BK$84,6,FALSE),0)+IFERROR(VLOOKUP($EF40,$BC$2:$BK$84,6,FALSE),0)</f>
        <v/>
      </c>
      <c r="EV40" s="152">
        <f>IFERROR(VLOOKUP($EC40,$BC$2:$BK$84,9,FALSE),0)+IFERROR(VLOOKUP($ED40,$BC$2:$BK$84,9,FALSE),0)+IFERROR(VLOOKUP($EE40,$BC$2:$BK$84,9,FALSE),0)+IFERROR(VLOOKUP($EF40,$BC$2:$BK$84,9,FALSE),0)</f>
        <v/>
      </c>
      <c r="EW40" s="152">
        <f>IF($EJ40=0,0,INDEX($AD$2:$AD$11,$EJ40))</f>
        <v/>
      </c>
      <c r="EX40" s="152">
        <f>IF($EJ40=0,0,INDEX($AE$2:$AE$11,$EJ40))</f>
        <v/>
      </c>
      <c r="EY40" s="152">
        <f>IF($EJ40=0,0,INDEX($AG$2:$AG$11,$EJ40))</f>
        <v/>
      </c>
      <c r="EZ40" s="152">
        <f>IFERROR(VLOOKUP($EG40,$BM$2:$BQ$24,3,FALSE),0)</f>
        <v/>
      </c>
      <c r="FA40" s="152">
        <f>IFERROR(VLOOKUP($EH40,$BM$2:$BQ$24,3,FALSE),0)</f>
        <v/>
      </c>
      <c r="FB40" s="152">
        <f>IFERROR(VLOOKUP($EG40,$BM$2:$BQ$24,2,FALSE),"")</f>
        <v/>
      </c>
      <c r="FC40" s="152">
        <f>IFERROR(VLOOKUP($EH40,$BM$2:$BQ$24,2,FALSE),"")</f>
        <v/>
      </c>
      <c r="FD40" s="152">
        <f>COUNTIF($EK40:$EO40,1)</f>
        <v/>
      </c>
      <c r="FE40" s="152">
        <f>COUNTIF($EK40:$EO40,2)</f>
        <v/>
      </c>
      <c r="FF40" s="152">
        <f>COUNTIF($EK40:$EO40,3)</f>
        <v/>
      </c>
      <c r="FG40" s="152">
        <f>COUNTIF($EK40:$EO40,4)</f>
        <v/>
      </c>
      <c r="FH40" s="152">
        <f>COUNTIF($EK40:$EO40,5)</f>
        <v/>
      </c>
      <c r="FI40" s="152">
        <f>COUNTIF($EK40:$EO40,6)</f>
        <v/>
      </c>
      <c r="FJ40" s="152">
        <f>COUNTIF($EZ40:$FA40,1)</f>
        <v/>
      </c>
      <c r="FK40" s="152">
        <f>COUNTIF($EZ40:$FA40,2)+$EW40</f>
        <v/>
      </c>
      <c r="FL40" s="152">
        <f>COUNTIF($EC40:$EF40,"?*")</f>
        <v/>
      </c>
      <c r="FM40" s="152">
        <f>COUNTIF($EG40:$EH40,"?*")+$EW40</f>
        <v/>
      </c>
      <c r="FN40" s="152">
        <f>SUMPRODUCT($FD40:$FI40,INDEX($Q$2:$V$8,$DZ40,0))</f>
        <v/>
      </c>
      <c r="FO40" s="152">
        <f>$FJ40*CEILING($DZ40/2,1)+$FK40*$DZ40</f>
        <v/>
      </c>
      <c r="FP40" s="152">
        <f>MIN(2*$DZ40,$FO40)</f>
        <v/>
      </c>
      <c r="FQ40" s="152">
        <f>MIN($FP40,$FN40)</f>
        <v/>
      </c>
      <c r="FR40" s="152">
        <f>$FP40-$FQ40</f>
        <v/>
      </c>
      <c r="FS40" s="152">
        <f>3*$DZ40-$FN40+$FQ40</f>
        <v/>
      </c>
      <c r="FT40" s="152">
        <f>MAX(0,$FS40)+$DX40*$DZ40</f>
        <v/>
      </c>
      <c r="FU40" s="152">
        <f>(IF(COUNTIF($EC40:$EF40,"Salto")&gt;0,1,0)+IF(COUNTIF($EC40:$EF40,"Queima")&gt;0,1,0)+IF(COUNTIF($EC40:$EF40,"Estilhaço")&gt;0,1,0))*FLOOR($FT40/2,1)</f>
        <v/>
      </c>
      <c r="FV40" s="152">
        <f>MAX(0,3-SUMPRODUCT($FD40:$FI40,$Q$2:$V$2)+MIN(2,$FJ40*1+$FK40*1,SUMPRODUCT($FD40:$FI40,$Q$2:$V$2)))+$DX40*1</f>
        <v/>
      </c>
      <c r="FW40" s="152">
        <f>MAX(0,6-SUMPRODUCT($FD40:$FI40,$Q$3:$V$3)+MIN(4,$FJ40*1+$FK40*2,SUMPRODUCT($FD40:$FI40,$Q$3:$V$3)))+$DX40*2</f>
        <v/>
      </c>
      <c r="FX40" s="152">
        <f>MAX(0,9-SUMPRODUCT($FD40:$FI40,$Q$4:$V$4)+MIN(6,$FJ40*2+$FK40*3,SUMPRODUCT($FD40:$FI40,$Q$4:$V$4)))+$DX40*3</f>
        <v/>
      </c>
      <c r="FY40" s="152">
        <f>MAX(0,12-SUMPRODUCT($FD40:$FI40,$Q$5:$V$5)+MIN(8,$FJ40*2+$FK40*4,SUMPRODUCT($FD40:$FI40,$Q$5:$V$5)))+$DX40*4</f>
        <v/>
      </c>
      <c r="FZ40" s="152">
        <f>MAX(0,15-SUMPRODUCT($FD40:$FI40,$Q$6:$V$6)+MIN(10,$FJ40*3+$FK40*5,SUMPRODUCT($FD40:$FI40,$Q$6:$V$6)))+$DX40*5</f>
        <v/>
      </c>
      <c r="GA40" s="152">
        <f>MAX(0,18-SUMPRODUCT($FD40:$FI40,$Q$7:$V$7)+MIN(12,$FJ40*3+$FK40*6,SUMPRODUCT($FD40:$FI40,$Q$7:$V$7)))+$DX40*6</f>
        <v/>
      </c>
      <c r="GB40" s="152">
        <f>MAX(0,21-SUMPRODUCT($FD40:$FI40,$Q$8:$V$8)+MIN(14,$FJ40*4+$FK40*7,SUMPRODUCT($FD40:$FI40,$Q$8:$V$8)))+$DX40*7</f>
        <v/>
      </c>
      <c r="GC40" s="152">
        <f>IF($EX40=2,3*$FV40&amp;" de vida temp.",IF($EX40=3,"sem dano",IF($FV40=0,IF($EX40=1,"sem cura","sem dano"),IF($EX40=1,"cura ","")&amp;$FV40&amp;"d8")))</f>
        <v/>
      </c>
      <c r="GD40" s="152">
        <f>IF($EX40=2,3*$FW40&amp;" de vida temp.",IF($EX40=3,"sem dano",IF($FW40=0,IF($EX40=1,"sem cura","sem dano"),IF($EX40=1,"cura ","")&amp;$FW40&amp;"d8")))</f>
        <v/>
      </c>
      <c r="GE40" s="152">
        <f>IF($EX40=2,3*$FX40&amp;" de vida temp.",IF($EX40=3,"sem dano",IF($FX40=0,IF($EX40=1,"sem cura","sem dano"),IF($EX40=1,"cura ","")&amp;$FX40&amp;"d8")))</f>
        <v/>
      </c>
      <c r="GF40" s="152">
        <f>IF($EX40=2,3*$FY40&amp;" de vida temp.",IF($EX40=3,"sem dano",IF($FY40=0,IF($EX40=1,"sem cura","sem dano"),IF($EX40=1,"cura ","")&amp;$FY40&amp;"d8")))</f>
        <v/>
      </c>
      <c r="GG40" s="152">
        <f>IF($EX40=2,3*$FZ40&amp;" de vida temp.",IF($EX40=3,"sem dano",IF($FZ40=0,IF($EX40=1,"sem cura","sem dano"),IF($EX40=1,"cura ","")&amp;$FZ40&amp;"d8")))</f>
        <v/>
      </c>
      <c r="GH40" s="152">
        <f>IF($EX40=2,3*$GA40&amp;" de vida temp.",IF($EX40=3,"sem dano",IF($GA40=0,IF($EX40=1,"sem cura","sem dano"),IF($EX40=1,"cura ","")&amp;$GA40&amp;"d8")))</f>
        <v/>
      </c>
      <c r="GI40" s="152">
        <f>IF($EX40=2,3*$GB40&amp;" de vida temp.",IF($EX40=3,"sem dano",IF($GB40=0,IF($EX40=1,"sem cura","sem dano"),IF($EX40=1,"cura ","")&amp;$GB40&amp;"d8")))</f>
        <v/>
      </c>
      <c r="GJ40" s="152">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2">
        <f>IF($GJ40="",0,(LEN($GJ40)-LEN(SUBSTITUTE($GJ40," · ","")))/3+1)</f>
        <v/>
      </c>
      <c r="GL40" s="152">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2">
        <f>IF($GL40="",0,(LEN($GL40)-LEN(SUBSTITUTE($GL40," · ","")))/3+1)</f>
        <v/>
      </c>
      <c r="GN40" s="152">
        <f>IF($EI40=0,IF($FL40+$FM40-$EW40&gt;0,"Dê um nome",""),IF($GK40&gt;0,"⚠ "&amp;$GK40&amp;IF($GK40&gt;1," erros"," erro"),IF($GM40&gt;0,"! "&amp;$GM40&amp;IF($GM40&gt;1," avisos"," aviso"),"Na regra")))</f>
        <v/>
      </c>
      <c r="GO40" s="152">
        <f>IF($EI40=0,"",IF($GK40+$GM40=0,"Dentro das regras que a ficha confere",$GJ40&amp;IF(AND($GK40&gt;0,$GM40&gt;0)," · ","")&amp;$GL40))</f>
        <v/>
      </c>
      <c r="GP40" s="152">
        <f>IF($EI40=0,"",IF($DX40=1,CEILING(4.5*$DZ40,1),3*$DZ40)&amp;" PE")</f>
        <v/>
      </c>
      <c r="GQ40" s="152">
        <f>IF($EI40=0,"",IF($DX40=1,"Rodada inteira",IF(COUNTIF($FB40:$FC40,"Atrasar")&gt;0,IF(COUNTIF($FB40:$FC40,"Carregar")&gt;0,"Rodada +1 turno","Rodada inteira"),IF(COUNTIF($EC40:$EF40,"Rápido")&gt;0,"Bônus",IF(COUNTIF($EC40:$EF40,"Reação")&gt;0,"Reação","Padrão"))&amp;IF(COUNTIF($FB40:$FC40,"Carregar")&gt;0," +1 turno",""))))</f>
        <v/>
      </c>
      <c r="GR40" s="152">
        <f>IF(OR($EI40=0,$EJ40=0),"",IF(COUNTIF($EC40:$EF40,"Inescapável")&gt;0,"Automático",IF(COUNTIF($EC40:$EF40,"Certeiro")&gt;0,"TR para metade",IF(AND($EV40&gt;0,$EY40=0,INDEX($AF$2:$AF$11,$EJ40)="Acerto"),"Acerto + TR",INDEX($AF$2:$AF$11,$EJ40)))))</f>
        <v/>
      </c>
      <c r="GS40" s="152">
        <f>IF(OR($EI40=0,$EJ40=0),"",IF(OR($EX40&gt;=2,$FT40=0),UPPER(LEFT(INDEX($GC40:$GI40,1,$DZ40),1))&amp;MID(INDEX($GC40:$GI40,1,$DZ40),2,99),UPPER(LEFT(INDEX($GC40:$GI40,1,$DZ40),1))&amp;MID(INDEX($GC40:$GI40,1,$DZ40),2,99)&amp;" = "&amp;FLOOR($FT40*4.5,1)&amp;IF($FU40&gt;0," · +"&amp;$FU40&amp;"d8","")))</f>
        <v/>
      </c>
      <c r="GT40" s="152">
        <f>COUNTIF($EC40:$EF40,"Longe")+3*COUNTIF($EC40:$EF40,"Muito Longe")</f>
        <v/>
      </c>
      <c r="GU40" s="152">
        <f>COUNTIF($EC40:$EF40,"Maior")+3*COUNTIF($EC40:$EF40,"Muito Maior")</f>
        <v/>
      </c>
      <c r="GV40" s="152">
        <f>IF($EJ40=0,0,CHOOSE(1+INDEX($AH$2:$AH$11,$EJ40),0,$GT40,$GU40,$GT40+$GU40))</f>
        <v/>
      </c>
      <c r="GW40" s="152">
        <f>IF($EJ40=0,0,CHOOSE(1+INDEX($AI$2:$AI$11,$EJ40),0,$GT40,$GU40,$GT40+$GU40))</f>
        <v/>
      </c>
      <c r="GX40" s="152">
        <f>IF(OR($EI40=0,$EJ40=0),"",INDEX($AP$2:$AU$31,($EJ40-1)*3+IF($DZ40&gt;=6,3,2),1+MIN(5,$GV40))&amp;INDEX($AV$2:$BA$31,($EJ40-1)*3+IF($DZ40&gt;=6,3,2),1+MIN(5,$GW40))&amp;IF(INDEX($AJ$2:$AJ$11,$EJ40)=1,IF(COUNTIF($EC40:$EF40,"Mais Um")&gt;0," · +"&amp;COUNTIF($EC40:$EF40,"Mais Um")&amp;IF(COUNTIF($EC40:$EF40,"Mais Um")&gt;1," alvos"," alvo"),"")&amp;IF(COUNTIF($EC40:$EF40,"Rajada")&gt;0," · "&amp;($DZ40+1)&amp;" tiros",""),""))</f>
        <v/>
      </c>
      <c r="GY40" s="152">
        <f>IF($EI40=0,"",3*$DZ40&amp;" − "&amp;$FN40&amp;" + "&amp;$FQ40&amp;IF($DX40=1," + "&amp;$DZ40,"")&amp;" = "&amp;$FT40&amp;"d8 · teto "&amp;4*$DZ40&amp;IF($EW40=1," · a Forma devolve "&amp;$DZ40,"")&amp;IF($FR40&gt;0," · perde "&amp;$FR40,""))</f>
        <v/>
      </c>
      <c r="GZ40" s="152">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2">
        <f>IF(OR($EI40=0,$EL40=0),"","−"&amp;INDEX($Q$2:$V$8,$DZ40,$EL40)&amp;" · "&amp;CHOOSE($EL40,"Leve","Média","Pesada","Leve · Livre","Média · Livre","Pesada · Livre"))</f>
        <v/>
      </c>
      <c r="HB40" s="152">
        <f>IF(OR($EI40=0,$EM40=0),"","−"&amp;INDEX($Q$2:$V$8,$DZ40,$EM40)&amp;" · "&amp;CHOOSE($EM40,"Leve","Média","Pesada","Leve · Livre","Média · Livre","Pesada · Livre"))</f>
        <v/>
      </c>
      <c r="HC40" s="152">
        <f>IF(OR($EI40=0,$EN40=0),"","−"&amp;INDEX($Q$2:$V$8,$DZ40,$EN40)&amp;" · "&amp;CHOOSE($EN40,"Leve","Média","Pesada","Leve · Livre","Média · Livre","Pesada · Livre"))</f>
        <v/>
      </c>
      <c r="HD40" s="152">
        <f>IF(OR($EI40=0,$EO40=0),"","−"&amp;INDEX($Q$2:$V$8,$DZ40,$EO40)&amp;" · "&amp;CHOOSE($EO40,"Leve","Média","Pesada","Leve · Livre","Média · Livre","Pesada · Livre"))</f>
        <v/>
      </c>
      <c r="HE40" s="152">
        <f>IF(OR($EI40=0,$EG40=""),"","+"&amp;IF($EZ40=1,CEILING($DZ40/2,1),$DZ40))</f>
        <v/>
      </c>
      <c r="HF40" s="152">
        <f>IF(OR($EI40=0,$EH40=""),"","+"&amp;IF($FA40=1,CEILING($DZ40/2,1),$DZ40))</f>
        <v/>
      </c>
      <c r="HG40" s="152">
        <f>'FICHA AMALDIÇOADA'!$P$321&amp;""</f>
        <v/>
      </c>
      <c r="HH40" s="152">
        <f>IF(AND($EI40=1,$DX40=0),COUNTIFS($EI$2:$EI40,1,$DX$2:$DX40,0),"")</f>
        <v/>
      </c>
      <c r="HJ40" s="150" t="inlineStr">
        <is>
          <t>equipamento</t>
        </is>
      </c>
      <c r="HK40" s="152">
        <f>'FICHA AMALDIÇOADA'!$J$16&amp;""</f>
        <v/>
      </c>
      <c r="KS40" s="150" t="inlineStr">
        <is>
          <t>D354</t>
        </is>
      </c>
      <c r="KT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BK41" s="152" t="n">
        <v>0</v>
      </c>
      <c r="HJ41" s="150" t="inlineStr">
        <is>
          <t>arma</t>
        </is>
      </c>
      <c r="HK41" s="152">
        <f>IF(AND($A$2&gt;=3,'FICHA AMALDIÇOADA'!$J$16&amp;""="Três grupos de arma"),1,0)</f>
        <v/>
      </c>
      <c r="KS41" s="150" t="inlineStr">
        <is>
          <t>F357</t>
        </is>
      </c>
      <c r="KT41" s="152">
        <f>IF(OR(DADOS_AM!$A$2&lt;&gt;1,DADOS_AM!$HK$34=""),"—",DADOS_AM!$HK$19&amp;"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BK42" s="152" t="n">
        <v>1</v>
      </c>
      <c r="HJ42" s="150" t="inlineStr">
        <is>
          <t>atributo do grupo 1</t>
        </is>
      </c>
      <c r="HK42" s="152">
        <f>IF(OR($HK$41=0,'FICHA AMALDIÇOADA'!$D$18=""),"",IF(IFERROR(VLOOKUP('FICHA AMALDIÇOADA'!$D$18,$CU$2:$CX$14,2,FALSE),0)=1,IF(AND(IFERROR(VLOOKUP('FICHA AMALDIÇOADA'!$D$18,$CU$2:$CX$14,3,FALSE),0)=1,N(FICHA!$L$19)&gt;N(FICHA!$D$19)),"Destreza","Força"),"Destreza"))</f>
        <v/>
      </c>
      <c r="KS42" s="150" t="inlineStr">
        <is>
          <t>J357</t>
        </is>
      </c>
      <c r="KT42" s="152">
        <f>IF(DADOS_AM!$A$2&lt;&gt;1,"Só o Fundamento tem",IF(DADOS_AM!$HK$34="","—",IF(AND(DADOS_AM!$HK$2&gt;=IFERROR(VLOOKUP(DADOS_AM!$HK$34,DADOS_AM!$DL$2:$DP$4,3,FALSE),0),DADOS_AM!$HK$6&gt;=IFERROR(VLOOKUP(DADOS_AM!$HK$34,DADOS_AM!$DL$2:$DP$4,4,FALSE),0)),"","⚠ ")&amp;IFERROR(VLOOKUP(DADOS_AM!$HK$34,DADOS_AM!$DL$2:$DP$4,5,FALSE),"")))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BK43" s="152" t="n">
        <v>0</v>
      </c>
      <c r="HJ43" s="150" t="inlineStr">
        <is>
          <t>atributo do grupo 2</t>
        </is>
      </c>
      <c r="HK43" s="152">
        <f>IF(OR($HK$41=0,'FICHA AMALDIÇOADA'!$J$18=""),"",IF(IFERROR(VLOOKUP('FICHA AMALDIÇOADA'!$J$18,$CU$2:$CX$14,2,FALSE),0)=1,IF(AND(IFERROR(VLOOKUP('FICHA AMALDIÇOADA'!$J$18,$CU$2:$CX$14,3,FALSE),0)=1,N(FICHA!$L$19)&gt;N(FICHA!$D$19)),"Destreza","Força"),"Destreza"))</f>
        <v/>
      </c>
      <c r="KS43" s="150" t="inlineStr">
        <is>
          <t>P357</t>
        </is>
      </c>
      <c r="KT43" s="152">
        <f>IF(DADOS_AM!$A$2&lt;&gt;1,"—",DADOS_AM!$HK$6)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BK44" s="152" t="n">
        <v>0</v>
      </c>
      <c r="HJ44" s="150" t="inlineStr">
        <is>
          <t>atributo do grupo 3</t>
        </is>
      </c>
      <c r="HK44" s="152">
        <f>IF(OR($HK$41=0,'FICHA AMALDIÇOADA'!$P$18=""),"",IF(IFERROR(VLOOKUP('FICHA AMALDIÇOADA'!$P$18,$CU$2:$CX$14,2,FALSE),0)=1,IF(AND(IFERROR(VLOOKUP('FICHA AMALDIÇOADA'!$P$18,$CU$2:$CX$14,3,FALSE),0)=1,N(FICHA!$L$19)&gt;N(FICHA!$D$19)),"Destreza","Força"),"Destreza"))</f>
        <v/>
      </c>
      <c r="KS44" s="150" t="inlineStr">
        <is>
          <t>R357</t>
        </is>
      </c>
      <c r="KT44" s="152">
        <f>IF(DADOS_AM!$A$2&lt;&gt;1,"—","Cai na "&amp;MAX(1,FLOOR(DADOS_AM!$HK$7/2,1))&amp;"ª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BK45" s="152" t="n">
        <v>0</v>
      </c>
      <c r="HJ45" s="150" t="inlineStr">
        <is>
          <t>valor do grupo 1</t>
        </is>
      </c>
      <c r="HK45" s="152">
        <f>IF($HK$42="",0,IF($HK$42="Força",N(FICHA!$D$19),N(FICHA!$L$19)))</f>
        <v/>
      </c>
      <c r="KS45" s="150" t="inlineStr">
        <is>
          <t>D361</t>
        </is>
      </c>
      <c r="KT45" s="152">
        <f>IF(DADOS_AM!$A$2&lt;&gt;1,"—","Incompleta"&amp;IF(DADOS_AM!$HK$34="Incompleta","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BK46" s="152" t="n">
        <v>0</v>
      </c>
      <c r="HJ46" s="150" t="inlineStr">
        <is>
          <t>valor do grupo 2</t>
        </is>
      </c>
      <c r="HK46" s="152">
        <f>IF($HK$43="",0,IF($HK$43="Força",N(FICHA!$D$19),N(FICHA!$L$19)))</f>
        <v/>
      </c>
      <c r="KS46" s="150" t="inlineStr">
        <is>
          <t>F361</t>
        </is>
      </c>
      <c r="KT46" s="152">
        <f>IF(DADOS_AM!$A$2&lt;&gt;1,"—",6*DADOS_AM!$HK$4)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BK47" s="152" t="n">
        <v>0</v>
      </c>
      <c r="HJ47" s="150" t="inlineStr">
        <is>
          <t>valor do grupo 3</t>
        </is>
      </c>
      <c r="HK47" s="152">
        <f>IF($HK$44="",0,IF($HK$44="Força",N(FICHA!$D$19),N(FICHA!$L$19)))</f>
        <v/>
      </c>
      <c r="KS47" s="150" t="inlineStr">
        <is>
          <t>G361</t>
        </is>
      </c>
      <c r="KT47" s="152">
        <f>IF(DADOS_AM!$A$2&lt;&gt;1,"—",DADOS_AM!$HK$32&amp;IF(DADOS_AM!$HK$32&gt;1,"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BK48" s="152" t="n">
        <v>0</v>
      </c>
      <c r="HJ48" s="150" t="inlineStr">
        <is>
          <t>atributos dos grupos</t>
        </is>
      </c>
      <c r="HK48" s="152">
        <f>IF(AND($HK$42&lt;&gt;""),1,0)+IF(AND($HK$43&lt;&gt;"",$HK$43&lt;&gt;$HK$42),1,0)+IF(AND($HK$44&lt;&gt;"",$HK$44&lt;&gt;$HK$42,$HK$44&lt;&gt;$HK$43),1,0)</f>
        <v/>
      </c>
      <c r="KS48" s="150" t="inlineStr">
        <is>
          <t>J361</t>
        </is>
      </c>
      <c r="KT48" s="152">
        <f>IF(DADOS_AM!$A$2&lt;&gt;1,"—",SUBSTITUTE(MIN(7.5,1.5*DADOS_AM!$HK$6)&amp;"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BK49" s="152" t="n">
        <v>0</v>
      </c>
      <c r="HJ49" s="150" t="inlineStr">
        <is>
          <t>usos do estímulo</t>
        </is>
      </c>
      <c r="HK49" s="152">
        <f>IF($HK$6&gt;=10,2,1)&amp;"× por cena"</f>
        <v/>
      </c>
      <c r="KS49" s="150" t="inlineStr">
        <is>
          <t>K361</t>
        </is>
      </c>
      <c r="KT49" s="152">
        <f>IF(DADOS_AM!$A$2&lt;&gt;1,"—","−"&amp;DADOS_AM!$HK$33&amp;"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BK50" s="152" t="n">
        <v>0</v>
      </c>
      <c r="KS50" s="150" t="inlineStr">
        <is>
          <t>D362</t>
        </is>
      </c>
      <c r="KT50" s="152">
        <f>IF(DADOS_AM!$A$2&lt;&gt;1,"—","Completa"&amp;IF(OR(DADOS_AM!$HK$34="Completa",DADOS_AM!$HK$34="Sem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BK51" s="152" t="n">
        <v>0</v>
      </c>
      <c r="KS51" s="150" t="inlineStr">
        <is>
          <t>F362</t>
        </is>
      </c>
      <c r="KT51" s="152">
        <f>IF(DADOS_AM!$A$2&lt;&gt;1,"—",6*DADOS_AM!$HK$4)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BK52" s="152" t="n">
        <v>0</v>
      </c>
      <c r="KS52" s="150" t="inlineStr">
        <is>
          <t>G362</t>
        </is>
      </c>
      <c r="KT52" s="152">
        <f>IF(DADOS_AM!$A$2&lt;&gt;1,"—",DADOS_AM!$HK$32&amp;IF(DADOS_AM!$HK$32&gt;1,"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BK53" s="152" t="n">
        <v>0</v>
      </c>
      <c r="KS53" s="150" t="inlineStr">
        <is>
          <t>J362</t>
        </is>
      </c>
      <c r="KT53" s="152">
        <f>IF(DADOS_AM!$A$2&lt;&gt;1,"—",SUBSTITUTE(1.5*DADOS_AM!$HK$6&amp;"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BK54" s="152" t="n">
        <v>0</v>
      </c>
      <c r="KS54" s="150" t="inlineStr">
        <is>
          <t>K362</t>
        </is>
      </c>
      <c r="KT54" s="152">
        <f>IF(DADOS_AM!$A$2&lt;&gt;1,"—","−"&amp;DADOS_AM!$HK$32&amp;"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BK55" s="152" t="n">
        <v>0</v>
      </c>
      <c r="KS55" s="150" t="inlineStr">
        <is>
          <t>L362</t>
        </is>
      </c>
      <c r="KT55" s="152">
        <f>IF(DADOS_AM!$A$2&lt;&gt;1,"—",50*DADOS_AM!$HK$32&amp;"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BK56" s="152" t="n">
        <v>0</v>
      </c>
      <c r="KS56" s="150" t="inlineStr">
        <is>
          <t>D363</t>
        </is>
      </c>
      <c r="KT56" s="152">
        <f>IF(DADOS_AM!$A$2&lt;&gt;1,"—","Sem barreira"&amp;IF(DADOS_AM!$HK$34="Sem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BK57" s="152" t="n">
        <v>0</v>
      </c>
      <c r="KS57" s="150" t="inlineStr">
        <is>
          <t>F363</t>
        </is>
      </c>
      <c r="KT57" s="152">
        <f>IF(DADOS_AM!$A$2&lt;&gt;1,"—",7*DADOS_AM!$HK$4)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BK58" s="152" t="n">
        <v>0</v>
      </c>
      <c r="KS58" s="150" t="inlineStr">
        <is>
          <t>G363</t>
        </is>
      </c>
      <c r="KT58" s="152">
        <f>IF(DADOS_AM!$A$2&lt;&gt;1,"—",DADOS_AM!$HK$32&amp;IF(DADOS_AM!$HK$32&gt;1,"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BK59" s="152" t="n">
        <v>0</v>
      </c>
      <c r="KS59" s="150" t="inlineStr">
        <is>
          <t>K363</t>
        </is>
      </c>
      <c r="KT59" s="152">
        <f>IF(DADOS_AM!$A$2&lt;&gt;1,"—","−"&amp;2*DADOS_AM!$HK$3&amp;"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BK60" s="152" t="n">
        <v>0</v>
      </c>
      <c r="KS60" s="150" t="inlineStr">
        <is>
          <t>D421</t>
        </is>
      </c>
      <c r="KT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BK61" s="152" t="n">
        <v>0</v>
      </c>
      <c r="KS61" s="150" t="inlineStr">
        <is>
          <t>D423</t>
        </is>
      </c>
      <c r="KT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BK62" s="152" t="n">
        <v>0</v>
      </c>
      <c r="KS62" s="150" t="inlineStr">
        <is>
          <t>F424</t>
        </is>
      </c>
      <c r="KT62" s="152">
        <f>IF(DADOS_AM!$HK$25&gt;DADOS_AM!$HK$26,"⚠ ","")&amp;DADOS_AM!$HK$25&amp;" de "&amp;DADOS_AM!$HK$26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BK63" s="152" t="n">
        <v>0</v>
      </c>
      <c r="KS63" s="150" t="inlineStr">
        <is>
          <t>J423</t>
        </is>
      </c>
      <c r="KT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BK64" s="152" t="n">
        <v>0</v>
      </c>
      <c r="KS64" s="150" t="inlineStr">
        <is>
          <t>J424</t>
        </is>
      </c>
      <c r="KT64" s="152">
        <f>"Proteção "&amp;(FLOOR(DADOS_AM!$HK$6/3,1)+1)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BK65" s="152" t="n">
        <v>0</v>
      </c>
      <c r="KS65" s="150" t="inlineStr">
        <is>
          <t>L423</t>
        </is>
      </c>
      <c r="KT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BK66" s="152" t="n">
        <v>0</v>
      </c>
      <c r="KS66" s="150" t="inlineStr">
        <is>
          <t>L424</t>
        </is>
      </c>
      <c r="KT66" s="152">
        <f>"+"&amp;IF(DADOS_AM!$HK$6&gt;=9,4,IF(DADOS_AM!$HK$6&gt;=6,3,IF(DADOS_AM!$HK$6&gt;=3,2,1)))&amp;IF(DADOS_AM!$HK$6&gt;=10,"d6","d4")&amp;"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BK67" s="152" t="n">
        <v>0</v>
      </c>
      <c r="KS67" s="150" t="inlineStr">
        <is>
          <t>P423</t>
        </is>
      </c>
      <c r="KT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BK68" s="152" t="n">
        <v>0</v>
      </c>
      <c r="KS68" s="150" t="inlineStr">
        <is>
          <t>P424</t>
        </is>
      </c>
      <c r="KT68" s="152">
        <f>"RD "&amp;FLOOR(1.5*DADOS_AM!$HK$6,1)&amp;"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BK69" s="152" t="n">
        <v>0</v>
      </c>
      <c r="KS69" s="150" t="inlineStr">
        <is>
          <t>D427</t>
        </is>
      </c>
      <c r="KT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BK70" s="152" t="n">
        <v>0</v>
      </c>
      <c r="KS70" s="150" t="inlineStr">
        <is>
          <t>J427</t>
        </is>
      </c>
      <c r="KT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BK71" s="152" t="n">
        <v>0</v>
      </c>
      <c r="KS71" s="150" t="inlineStr">
        <is>
          <t>P427</t>
        </is>
      </c>
      <c r="KT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BK72" s="152" t="n">
        <v>0</v>
      </c>
      <c r="KS72" s="150" t="inlineStr">
        <is>
          <t>P428</t>
        </is>
      </c>
      <c r="KT72" s="152">
        <f>IF(DADOS_AM!$A$2=4,DADOS_AM!$HK$49,"—")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BK73" s="152" t="n">
        <v>0</v>
      </c>
      <c r="KS73" s="150" t="inlineStr">
        <is>
          <t>D446</t>
        </is>
      </c>
      <c r="KT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BK74" s="152" t="n">
        <v>0</v>
      </c>
      <c r="KS74" s="150" t="inlineStr">
        <is>
          <t>J446</t>
        </is>
      </c>
      <c r="KT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BK75" s="152" t="n">
        <v>0</v>
      </c>
      <c r="KS75" s="150" t="inlineStr">
        <is>
          <t>P446</t>
        </is>
      </c>
      <c r="KT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BK76" s="152" t="n">
        <v>0</v>
      </c>
      <c r="KS76" s="150" t="inlineStr">
        <is>
          <t>D466</t>
        </is>
      </c>
      <c r="KT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BK77" s="152" t="n">
        <v>0</v>
      </c>
      <c r="KS77" s="150" t="inlineStr">
        <is>
          <t>J466</t>
        </is>
      </c>
      <c r="KT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BK78" s="152" t="n">
        <v>0</v>
      </c>
      <c r="KS78" s="150" t="inlineStr">
        <is>
          <t>P466</t>
        </is>
      </c>
      <c r="KT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BK79" s="152" t="n">
        <v>0</v>
      </c>
      <c r="KS79" s="150" t="inlineStr">
        <is>
          <t>D488</t>
        </is>
      </c>
      <c r="KT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BK80" s="152" t="n">
        <v>0</v>
      </c>
      <c r="KS80" s="150" t="inlineStr">
        <is>
          <t>J488</t>
        </is>
      </c>
      <c r="KT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BK81" s="152" t="n">
        <v>0</v>
      </c>
      <c r="KS81" s="150" t="inlineStr">
        <is>
          <t>P488</t>
        </is>
      </c>
      <c r="KT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BK82" s="152" t="n">
        <v>0</v>
      </c>
      <c r="KS82" s="150" t="inlineStr">
        <is>
          <t>D508</t>
        </is>
      </c>
      <c r="KT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BK83" s="152" t="n">
        <v>0</v>
      </c>
      <c r="KS83" s="150" t="inlineStr">
        <is>
          <t>J508</t>
        </is>
      </c>
      <c r="KT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BK84" s="152" t="n">
        <v>0</v>
      </c>
      <c r="KS84" s="150" t="inlineStr">
        <is>
          <t>P508</t>
        </is>
      </c>
      <c r="KT84" s="152">
        <f>UPPER(INDEX(DADOS_AM!$D$8:$G$8,1,DADOS_AM!$A$2))</f>
        <v/>
      </c>
    </row>
    <row r="85">
      <c r="KS85" s="150" t="inlineStr">
        <is>
          <t>D470</t>
        </is>
      </c>
      <c r="KT85" s="152">
        <f>UPPER(INDEX(DADOS_AM!$D$6:$G$6,1,DADOS_AM!$A$2))&amp;" 7 A 12 · abra quando faltar lugar"</f>
        <v/>
      </c>
    </row>
    <row r="86">
      <c r="KS86" s="150" t="inlineStr">
        <is>
          <t>D515</t>
        </is>
      </c>
      <c r="KT86" s="152">
        <f>IF(DADOS_AM!$HK$27&gt;DADOS_AM!$HK$28,"⚠ ","")&amp;DADOS_AM!$HK$27&amp;" de "&amp;DADOS_AM!$HK$28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H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A1" s="151" t="inlineStr">
        <is>
          <t>peça que pede TR</t>
        </is>
      </c>
      <c r="BC1" s="151" t="inlineStr">
        <is>
          <t>menu de restrição</t>
        </is>
      </c>
      <c r="BD1" s="151" t="inlineStr">
        <is>
          <t>restrição</t>
        </is>
      </c>
      <c r="BE1" s="151" t="inlineStr">
        <is>
          <t>o que devolve</t>
        </is>
      </c>
      <c r="BF1" s="151" t="inlineStr">
        <is>
          <t>é de frequência</t>
        </is>
      </c>
      <c r="BG1" s="151" t="inlineStr">
        <is>
          <t>menu de restrição leve</t>
        </is>
      </c>
      <c r="BI1" s="151" t="inlineStr">
        <is>
          <t>talento</t>
        </is>
      </c>
      <c r="BJ1" s="151" t="inlineStr">
        <is>
          <t>categoria de efeito</t>
        </is>
      </c>
      <c r="BK1" s="151" t="inlineStr">
        <is>
          <t>o que o talento faz</t>
        </is>
      </c>
      <c r="BL1" s="151" t="inlineStr">
        <is>
          <t>menu de talento da trilha</t>
        </is>
      </c>
      <c r="BN1" s="151" t="inlineStr">
        <is>
          <t>tipo de entidade</t>
        </is>
      </c>
      <c r="BP1" s="151" t="inlineStr">
        <is>
          <t>aquisição</t>
        </is>
      </c>
      <c r="BQ1" s="151" t="inlineStr">
        <is>
          <t>acompanha o nível</t>
        </is>
      </c>
      <c r="BS1" s="151" t="inlineStr">
        <is>
          <t>família</t>
        </is>
      </c>
      <c r="BU1" s="151" t="inlineStr">
        <is>
          <t>atributo</t>
        </is>
      </c>
      <c r="BW1" s="151" t="inlineStr">
        <is>
          <t>teste de resistência</t>
        </is>
      </c>
      <c r="BY1" s="151" t="inlineStr">
        <is>
          <t>físico usa</t>
        </is>
      </c>
      <c r="CA1" s="151" t="inlineStr">
        <is>
          <t>perícia</t>
        </is>
      </c>
      <c r="CB1" s="151" t="inlineStr">
        <is>
          <t>atributo da perícia</t>
        </is>
      </c>
      <c r="CD1" s="151" t="inlineStr">
        <is>
          <t>carga do talismã</t>
        </is>
      </c>
      <c r="CF1" s="151" t="inlineStr">
        <is>
          <t>tipo de dano</t>
        </is>
      </c>
      <c r="CH1" s="151" t="inlineStr">
        <is>
          <t>resolução</t>
        </is>
      </c>
      <c r="CJ1" s="151" t="inlineStr">
        <is>
          <t>pontos no atributo</t>
        </is>
      </c>
      <c r="CL1" s="151" t="inlineStr">
        <is>
          <t>nível da técnica máxima</t>
        </is>
      </c>
      <c r="CM1" s="151" t="inlineStr">
        <is>
          <t>dados fixos</t>
        </is>
      </c>
      <c r="CN1" s="151" t="inlineStr">
        <is>
          <t>pontos de montagem da máxima</t>
        </is>
      </c>
      <c r="CO1" s="151" t="inlineStr">
        <is>
          <t>pe da máxima</t>
        </is>
      </c>
      <c r="CQ1" s="151" t="inlineStr">
        <is>
          <t>degrau da expansão</t>
        </is>
      </c>
      <c r="CR1" s="151" t="inlineStr">
        <is>
          <t>aquisição do degrau</t>
        </is>
      </c>
      <c r="CS1" s="151" t="inlineStr">
        <is>
          <t>requisito do degrau</t>
        </is>
      </c>
      <c r="CU1" s="151" t="inlineStr">
        <is>
          <t>a defesa usa</t>
        </is>
      </c>
      <c r="CW1" s="151" t="inlineStr">
        <is>
          <t>contas do conjunto</t>
        </is>
      </c>
      <c r="CX1" s="151" t="inlineStr">
        <is>
          <t>valor do conjunto</t>
        </is>
      </c>
      <c r="CZ1" s="151" t="inlineStr">
        <is>
          <t>conta de ficha</t>
        </is>
      </c>
      <c r="DA1" s="151" t="inlineStr">
        <is>
          <t>nome</t>
        </is>
      </c>
      <c r="DB1" s="151" t="inlineStr">
        <is>
          <t>tipo</t>
        </is>
      </c>
      <c r="DC1" s="151" t="inlineStr">
        <is>
          <t>aquis</t>
        </is>
      </c>
      <c r="DD1" s="151" t="inlineStr">
        <is>
          <t>nfixo</t>
        </is>
      </c>
      <c r="DE1" s="151" t="inlineStr">
        <is>
          <t>talisma</t>
        </is>
      </c>
      <c r="DF1" s="151" t="inlineStr">
        <is>
          <t>p0</t>
        </is>
      </c>
      <c r="DG1" s="151" t="inlineStr">
        <is>
          <t>p1</t>
        </is>
      </c>
      <c r="DH1" s="151" t="inlineStr">
        <is>
          <t>p2</t>
        </is>
      </c>
      <c r="DI1" s="151" t="inlineStr">
        <is>
          <t>p3</t>
        </is>
      </c>
      <c r="DJ1" s="151" t="inlineStr">
        <is>
          <t>p4</t>
        </is>
      </c>
      <c r="DK1" s="151" t="inlineStr">
        <is>
          <t>u0</t>
        </is>
      </c>
      <c r="DL1" s="151" t="inlineStr">
        <is>
          <t>u1</t>
        </is>
      </c>
      <c r="DM1" s="151" t="inlineStr">
        <is>
          <t>u2</t>
        </is>
      </c>
      <c r="DN1" s="151" t="inlineStr">
        <is>
          <t>u3</t>
        </is>
      </c>
      <c r="DO1" s="151" t="inlineStr">
        <is>
          <t>u4</t>
        </is>
      </c>
      <c r="DP1" s="151" t="inlineStr">
        <is>
          <t>acerto</t>
        </is>
      </c>
      <c r="DQ1" s="151" t="inlineStr">
        <is>
          <t>fis</t>
        </is>
      </c>
      <c r="DR1" s="151" t="inlineStr">
        <is>
          <t>trT</t>
        </is>
      </c>
      <c r="DS1" s="151" t="inlineStr">
        <is>
          <t>us0</t>
        </is>
      </c>
      <c r="DT1" s="151" t="inlineStr">
        <is>
          <t>us1</t>
        </is>
      </c>
      <c r="DU1" s="151" t="inlineStr">
        <is>
          <t>us2</t>
        </is>
      </c>
      <c r="DV1" s="151" t="inlineStr">
        <is>
          <t>us3</t>
        </is>
      </c>
      <c r="DW1" s="151" t="inlineStr">
        <is>
          <t>us4</t>
        </is>
      </c>
      <c r="DX1" s="151" t="inlineStr">
        <is>
          <t>ut0</t>
        </is>
      </c>
      <c r="DY1" s="151" t="inlineStr">
        <is>
          <t>ut1</t>
        </is>
      </c>
      <c r="DZ1" s="151" t="inlineStr">
        <is>
          <t>ut2</t>
        </is>
      </c>
      <c r="EA1" s="151" t="inlineStr">
        <is>
          <t>ut3</t>
        </is>
      </c>
      <c r="EB1" s="151" t="inlineStr">
        <is>
          <t>vida_c</t>
        </is>
      </c>
      <c r="EC1" s="151" t="inlineStr">
        <is>
          <t>temp</t>
        </is>
      </c>
      <c r="ED1" s="151" t="inlineStr">
        <is>
          <t>reserva</t>
        </is>
      </c>
      <c r="EE1" s="151" t="inlineStr">
        <is>
          <t>evol</t>
        </is>
      </c>
      <c r="EF1" s="151" t="inlineStr">
        <is>
          <t>f0</t>
        </is>
      </c>
      <c r="EG1" s="151" t="inlineStr">
        <is>
          <t>f1</t>
        </is>
      </c>
      <c r="EH1" s="151" t="inlineStr">
        <is>
          <t>f2</t>
        </is>
      </c>
      <c r="EI1" s="151" t="inlineStr">
        <is>
          <t>f3</t>
        </is>
      </c>
      <c r="EJ1" s="151" t="inlineStr">
        <is>
          <t>f4</t>
        </is>
      </c>
      <c r="EK1" s="151" t="inlineStr">
        <is>
          <t>per0</t>
        </is>
      </c>
      <c r="EL1" s="151" t="inlineStr">
        <is>
          <t>per1</t>
        </is>
      </c>
      <c r="EM1" s="151" t="inlineStr">
        <is>
          <t>per2</t>
        </is>
      </c>
      <c r="EN1" s="151" t="inlineStr">
        <is>
          <t>per3</t>
        </is>
      </c>
      <c r="EO1" s="151" t="inlineStr">
        <is>
          <t>per4</t>
        </is>
      </c>
      <c r="EP1" s="151" t="inlineStr">
        <is>
          <t>per5</t>
        </is>
      </c>
      <c r="EQ1" s="151" t="inlineStr">
        <is>
          <t>per6</t>
        </is>
      </c>
      <c r="ER1" s="151" t="inlineStr">
        <is>
          <t>tal0</t>
        </is>
      </c>
      <c r="ES1" s="151" t="inlineStr">
        <is>
          <t>tal1</t>
        </is>
      </c>
      <c r="ET1" s="151" t="inlineStr">
        <is>
          <t>tal2</t>
        </is>
      </c>
      <c r="EU1" s="151" t="inlineStr">
        <is>
          <t>tal3</t>
        </is>
      </c>
      <c r="EV1" s="151" t="inlineStr">
        <is>
          <t>tal4</t>
        </is>
      </c>
      <c r="EW1" s="151" t="inlineStr">
        <is>
          <t>tal5</t>
        </is>
      </c>
      <c r="EX1" s="151" t="inlineStr">
        <is>
          <t>tal6</t>
        </is>
      </c>
      <c r="EY1" s="151" t="inlineStr">
        <is>
          <t>tal7</t>
        </is>
      </c>
      <c r="EZ1" s="151" t="inlineStr">
        <is>
          <t>tx0</t>
        </is>
      </c>
      <c r="FA1" s="151" t="inlineStr">
        <is>
          <t>tx1</t>
        </is>
      </c>
      <c r="FB1" s="151" t="inlineStr">
        <is>
          <t>tx2</t>
        </is>
      </c>
      <c r="FC1" s="151" t="inlineStr">
        <is>
          <t>lc0</t>
        </is>
      </c>
      <c r="FD1" s="151" t="inlineStr">
        <is>
          <t>lc1</t>
        </is>
      </c>
      <c r="FE1" s="151" t="inlineStr">
        <is>
          <t>lc2</t>
        </is>
      </c>
      <c r="FF1" s="151" t="inlineStr">
        <is>
          <t>exp</t>
        </is>
      </c>
      <c r="FG1" s="151" t="inlineStr">
        <is>
          <t>tem</t>
        </is>
      </c>
      <c r="FH1" s="151" t="inlineStr">
        <is>
          <t>acomp</t>
        </is>
      </c>
      <c r="FI1" s="151" t="inlineStr">
        <is>
          <t>n</t>
        </is>
      </c>
      <c r="FJ1" s="151" t="inlineStr">
        <is>
          <t>cl</t>
        </is>
      </c>
      <c r="FK1" s="151" t="inlineStr">
        <is>
          <t>db</t>
        </is>
      </c>
      <c r="FL1" s="151" t="inlineStr">
        <is>
          <t>t0</t>
        </is>
      </c>
      <c r="FM1" s="151" t="inlineStr">
        <is>
          <t>t1</t>
        </is>
      </c>
      <c r="FN1" s="151" t="inlineStr">
        <is>
          <t>t2</t>
        </is>
      </c>
      <c r="FO1" s="151" t="inlineStr">
        <is>
          <t>t3</t>
        </is>
      </c>
      <c r="FP1" s="151" t="inlineStr">
        <is>
          <t>t4</t>
        </is>
      </c>
      <c r="FQ1" s="151" t="inlineStr">
        <is>
          <t>gastos</t>
        </is>
      </c>
      <c r="FR1" s="151" t="inlineStr">
        <is>
          <t>disp</t>
        </is>
      </c>
      <c r="FS1" s="151" t="inlineStr">
        <is>
          <t>marc</t>
        </is>
      </c>
      <c r="FT1" s="151" t="inlineStr">
        <is>
          <t>acima</t>
        </is>
      </c>
      <c r="FU1" s="151" t="inlineStr">
        <is>
          <t>va</t>
        </is>
      </c>
      <c r="FV1" s="151" t="inlineStr">
        <is>
          <t>atq</t>
        </is>
      </c>
      <c r="FW1" s="151" t="inlineStr">
        <is>
          <t>cd</t>
        </is>
      </c>
      <c r="FX1" s="151" t="inlineStr">
        <is>
          <t>def</t>
        </is>
      </c>
      <c r="FY1" s="151" t="inlineStr">
        <is>
          <t>cri</t>
        </is>
      </c>
      <c r="FZ1" s="151" t="inlineStr">
        <is>
          <t>vida</t>
        </is>
      </c>
      <c r="GA1" s="151" t="inlineStr">
        <is>
          <t>vida0</t>
        </is>
      </c>
      <c r="GB1" s="151" t="inlineStr">
        <is>
          <t>atual</t>
        </is>
      </c>
      <c r="GC1" s="151" t="inlineStr">
        <is>
          <t>desl</t>
        </is>
      </c>
      <c r="GD1" s="151" t="inlineStr">
        <is>
          <t>vf</t>
        </is>
      </c>
      <c r="GE1" s="151" t="inlineStr">
        <is>
          <t>tr0</t>
        </is>
      </c>
      <c r="GF1" s="151" t="inlineStr">
        <is>
          <t>tr1</t>
        </is>
      </c>
      <c r="GG1" s="151" t="inlineStr">
        <is>
          <t>tr2</t>
        </is>
      </c>
      <c r="GH1" s="151" t="inlineStr">
        <is>
          <t>tr3</t>
        </is>
      </c>
      <c r="GI1" s="151" t="inlineStr">
        <is>
          <t>nper</t>
        </is>
      </c>
      <c r="GJ1" s="151" t="inlineStr">
        <is>
          <t>tper</t>
        </is>
      </c>
      <c r="GK1" s="151" t="inlineStr">
        <is>
          <t>esp</t>
        </is>
      </c>
      <c r="GL1" s="151" t="inlineStr">
        <is>
          <t>nbas</t>
        </is>
      </c>
      <c r="GM1" s="151" t="inlineStr">
        <is>
          <t>ntal</t>
        </is>
      </c>
      <c r="GN1" s="151" t="inlineStr">
        <is>
          <t>ttal</t>
        </is>
      </c>
      <c r="GO1" s="151" t="inlineStr">
        <is>
          <t>ent</t>
        </is>
      </c>
      <c r="GP1" s="151" t="inlineStr">
        <is>
          <t>ret</t>
        </is>
      </c>
      <c r="GQ1" s="151" t="inlineStr">
        <is>
          <t>resmax</t>
        </is>
      </c>
      <c r="GR1" s="151" t="inlineStr">
        <is>
          <t>carga</t>
        </is>
      </c>
      <c r="GS1" s="151" t="inlineStr">
        <is>
          <t>nfam</t>
        </is>
      </c>
      <c r="GT1" s="151" t="inlineStr">
        <is>
          <t>rep</t>
        </is>
      </c>
      <c r="GU1" s="151" t="inlineStr">
        <is>
          <t>maxfam</t>
        </is>
      </c>
      <c r="GV1" s="151" t="inlineStr">
        <is>
          <t>d_titulo</t>
        </is>
      </c>
      <c r="GW1" s="151" t="inlineStr">
        <is>
          <t>d_lomb</t>
        </is>
      </c>
      <c r="GX1" s="151" t="inlineStr">
        <is>
          <t>d_mae</t>
        </is>
      </c>
      <c r="GY1" s="151" t="inlineStr">
        <is>
          <t>d_ent</t>
        </is>
      </c>
      <c r="GZ1" s="151" t="inlineStr">
        <is>
          <t>d_ret</t>
        </is>
      </c>
      <c r="HA1" s="151" t="inlineStr">
        <is>
          <t>d_pontos</t>
        </is>
      </c>
      <c r="HB1" s="151" t="inlineStr">
        <is>
          <t>d_atq</t>
        </is>
      </c>
      <c r="HC1" s="151" t="inlineStr">
        <is>
          <t>d_cd</t>
        </is>
      </c>
      <c r="HD1" s="151" t="inlineStr">
        <is>
          <t>d_desl</t>
        </is>
      </c>
      <c r="HE1" s="151" t="inlineStr">
        <is>
          <t>d_tr0</t>
        </is>
      </c>
      <c r="HF1" s="151" t="inlineStr">
        <is>
          <t>d_tr1</t>
        </is>
      </c>
      <c r="HG1" s="151" t="inlineStr">
        <is>
          <t>d_tr2</t>
        </is>
      </c>
      <c r="HH1" s="151" t="inlineStr">
        <is>
          <t>d_tr3</t>
        </is>
      </c>
      <c r="HI1" s="151" t="inlineStr">
        <is>
          <t>d_per</t>
        </is>
      </c>
      <c r="HJ1" s="151" t="inlineStr">
        <is>
          <t>d_pb0</t>
        </is>
      </c>
      <c r="HK1" s="151" t="inlineStr">
        <is>
          <t>d_pb1</t>
        </is>
      </c>
      <c r="HL1" s="151" t="inlineStr">
        <is>
          <t>d_pb2</t>
        </is>
      </c>
      <c r="HM1" s="151" t="inlineStr">
        <is>
          <t>d_pb3</t>
        </is>
      </c>
      <c r="HN1" s="151" t="inlineStr">
        <is>
          <t>d_pb4</t>
        </is>
      </c>
      <c r="HO1" s="151" t="inlineStr">
        <is>
          <t>d_pb5</t>
        </is>
      </c>
      <c r="HP1" s="151" t="inlineStr">
        <is>
          <t>d_pb6</t>
        </is>
      </c>
      <c r="HQ1" s="151" t="inlineStr">
        <is>
          <t>d_res</t>
        </is>
      </c>
      <c r="HR1" s="151" t="inlineStr">
        <is>
          <t>d_equip</t>
        </is>
      </c>
      <c r="HS1" s="151" t="inlineStr">
        <is>
          <t>d_fam</t>
        </is>
      </c>
      <c r="HT1" s="151" t="inlineStr">
        <is>
          <t>d_hab</t>
        </is>
      </c>
      <c r="HU1" s="151" t="inlineStr">
        <is>
          <t>d_tal</t>
        </is>
      </c>
      <c r="HV1" s="151" t="inlineStr">
        <is>
          <t>ce0</t>
        </is>
      </c>
      <c r="HW1" s="151" t="inlineStr">
        <is>
          <t>ce1</t>
        </is>
      </c>
      <c r="HX1" s="151" t="inlineStr">
        <is>
          <t>ce2</t>
        </is>
      </c>
      <c r="HY1" s="151" t="inlineStr">
        <is>
          <t>ce3</t>
        </is>
      </c>
      <c r="HZ1" s="151" t="inlineStr">
        <is>
          <t>ce4</t>
        </is>
      </c>
      <c r="IA1" s="151" t="inlineStr">
        <is>
          <t>ce5</t>
        </is>
      </c>
      <c r="IB1" s="151" t="inlineStr">
        <is>
          <t>ce6</t>
        </is>
      </c>
      <c r="IC1" s="151" t="inlineStr">
        <is>
          <t>ce7</t>
        </is>
      </c>
      <c r="ID1" s="151" t="inlineStr">
        <is>
          <t>d_tt0</t>
        </is>
      </c>
      <c r="IE1" s="151" t="inlineStr">
        <is>
          <t>d_tt1</t>
        </is>
      </c>
      <c r="IF1" s="151" t="inlineStr">
        <is>
          <t>d_tt2</t>
        </is>
      </c>
      <c r="IG1" s="151" t="inlineStr">
        <is>
          <t>d_tt3</t>
        </is>
      </c>
      <c r="IH1" s="151" t="inlineStr">
        <is>
          <t>d_tt4</t>
        </is>
      </c>
      <c r="II1" s="151" t="inlineStr">
        <is>
          <t>d_tt5</t>
        </is>
      </c>
      <c r="IJ1" s="151" t="inlineStr">
        <is>
          <t>d_tt6</t>
        </is>
      </c>
      <c r="IK1" s="151" t="inlineStr">
        <is>
          <t>d_tt7</t>
        </is>
      </c>
      <c r="IL1" s="151" t="inlineStr">
        <is>
          <t>d_xt0</t>
        </is>
      </c>
      <c r="IM1" s="151" t="inlineStr">
        <is>
          <t>d_xt1</t>
        </is>
      </c>
      <c r="IN1" s="151" t="inlineStr">
        <is>
          <t>d_xt2</t>
        </is>
      </c>
      <c r="IO1" s="151" t="inlineStr">
        <is>
          <t>d_lp0</t>
        </is>
      </c>
      <c r="IP1" s="151" t="inlineStr">
        <is>
          <t>d_lp1</t>
        </is>
      </c>
      <c r="IQ1" s="151" t="inlineStr">
        <is>
          <t>d_lp2</t>
        </is>
      </c>
      <c r="IR1" s="151" t="inlineStr">
        <is>
          <t>d_ld0</t>
        </is>
      </c>
      <c r="IS1" s="151" t="inlineStr">
        <is>
          <t>d_ld1</t>
        </is>
      </c>
      <c r="IT1" s="151" t="inlineStr">
        <is>
          <t>d_ld2</t>
        </is>
      </c>
      <c r="IU1" s="151" t="inlineStr">
        <is>
          <t>d_mp</t>
        </is>
      </c>
      <c r="IV1" s="151" t="inlineStr">
        <is>
          <t>d_md</t>
        </is>
      </c>
      <c r="IW1" s="151" t="inlineStr">
        <is>
          <t>d_ep</t>
        </is>
      </c>
      <c r="IX1" s="151" t="inlineStr">
        <is>
          <t>d_ea</t>
        </is>
      </c>
      <c r="IY1" s="151" t="inlineStr">
        <is>
          <t>d_er</t>
        </is>
      </c>
      <c r="IZ1" s="151" t="inlineStr">
        <is>
          <t>d_rol</t>
        </is>
      </c>
      <c r="JB1" s="151" t="inlineStr">
        <is>
          <t>salto</t>
        </is>
      </c>
      <c r="JC1" s="151" t="inlineStr">
        <is>
          <t>caixa do salto</t>
        </is>
      </c>
      <c r="JD1" s="151" t="inlineStr">
        <is>
          <t>alvo do salto</t>
        </is>
      </c>
      <c r="JE1" s="151" t="inlineStr">
        <is>
          <t>nome do salto</t>
        </is>
      </c>
      <c r="JG1" s="151" t="inlineStr">
        <is>
          <t>menu de melhoria da ficha 1</t>
        </is>
      </c>
      <c r="JH1" s="151" t="inlineStr">
        <is>
          <t>menu de melhoria leve da ficha 1</t>
        </is>
      </c>
      <c r="JJ1" s="151" t="inlineStr">
        <is>
          <t>menu de forma da ficha 1</t>
        </is>
      </c>
      <c r="JK1" s="151" t="inlineStr">
        <is>
          <t>menu de forma da classe 0 da ficha 1</t>
        </is>
      </c>
      <c r="JM1" s="151" t="inlineStr">
        <is>
          <t>menu de melhoria da ficha 2</t>
        </is>
      </c>
      <c r="JN1" s="151" t="inlineStr">
        <is>
          <t>menu de melhoria leve da ficha 2</t>
        </is>
      </c>
      <c r="JP1" s="151" t="inlineStr">
        <is>
          <t>menu de forma da ficha 2</t>
        </is>
      </c>
      <c r="JQ1" s="151" t="inlineStr">
        <is>
          <t>menu de forma da classe 0 da ficha 2</t>
        </is>
      </c>
      <c r="JS1" s="151" t="inlineStr">
        <is>
          <t>menu de melhoria da ficha 3</t>
        </is>
      </c>
      <c r="JT1" s="151" t="inlineStr">
        <is>
          <t>menu de melhoria leve da ficha 3</t>
        </is>
      </c>
      <c r="JV1" s="151" t="inlineStr">
        <is>
          <t>menu de forma da ficha 3</t>
        </is>
      </c>
      <c r="JW1" s="151" t="inlineStr">
        <is>
          <t>menu de forma da classe 0 da ficha 3</t>
        </is>
      </c>
      <c r="JY1" s="151" t="inlineStr">
        <is>
          <t>menu de melhoria da ficha 4</t>
        </is>
      </c>
      <c r="JZ1" s="151" t="inlineStr">
        <is>
          <t>menu de melhoria leve da ficha 4</t>
        </is>
      </c>
      <c r="KB1" s="151" t="inlineStr">
        <is>
          <t>menu de forma da ficha 4</t>
        </is>
      </c>
      <c r="KC1" s="151" t="inlineStr">
        <is>
          <t>menu de forma da classe 0 da ficha 4</t>
        </is>
      </c>
      <c r="KE1" s="151" t="inlineStr">
        <is>
          <t>menu de melhoria da ficha 5</t>
        </is>
      </c>
      <c r="KF1" s="151" t="inlineStr">
        <is>
          <t>menu de melhoria leve da ficha 5</t>
        </is>
      </c>
      <c r="KH1" s="151" t="inlineStr">
        <is>
          <t>menu de forma da ficha 5</t>
        </is>
      </c>
      <c r="KI1" s="151" t="inlineStr">
        <is>
          <t>menu de forma da classe 0 da ficha 5</t>
        </is>
      </c>
      <c r="KK1" s="151" t="inlineStr">
        <is>
          <t>menu de melhoria da ficha 6</t>
        </is>
      </c>
      <c r="KL1" s="151" t="inlineStr">
        <is>
          <t>menu de melhoria leve da ficha 6</t>
        </is>
      </c>
      <c r="KN1" s="151" t="inlineStr">
        <is>
          <t>menu de forma da ficha 6</t>
        </is>
      </c>
      <c r="KO1" s="151" t="inlineStr">
        <is>
          <t>menu de forma da classe 0 da ficha 6</t>
        </is>
      </c>
      <c r="KQ1" s="151" t="inlineStr">
        <is>
          <t>menu de melhoria da ficha 7</t>
        </is>
      </c>
      <c r="KR1" s="151" t="inlineStr">
        <is>
          <t>menu de melhoria leve da ficha 7</t>
        </is>
      </c>
      <c r="KT1" s="151" t="inlineStr">
        <is>
          <t>menu de forma da ficha 7</t>
        </is>
      </c>
      <c r="KU1" s="151" t="inlineStr">
        <is>
          <t>menu de forma da classe 0 da ficha 7</t>
        </is>
      </c>
      <c r="KW1" s="151" t="inlineStr">
        <is>
          <t>menu de melhoria da ficha 8</t>
        </is>
      </c>
      <c r="KX1" s="151" t="inlineStr">
        <is>
          <t>menu de melhoria leve da ficha 8</t>
        </is>
      </c>
      <c r="KZ1" s="151" t="inlineStr">
        <is>
          <t>menu de forma da ficha 8</t>
        </is>
      </c>
      <c r="LA1" s="151" t="inlineStr">
        <is>
          <t>menu de forma da classe 0 da ficha 8</t>
        </is>
      </c>
      <c r="LC1" s="151" t="inlineStr">
        <is>
          <t>menu de melhoria da ficha 9</t>
        </is>
      </c>
      <c r="LD1" s="151" t="inlineStr">
        <is>
          <t>menu de melhoria leve da ficha 9</t>
        </is>
      </c>
      <c r="LF1" s="151" t="inlineStr">
        <is>
          <t>menu de forma da ficha 9</t>
        </is>
      </c>
      <c r="LG1" s="151" t="inlineStr">
        <is>
          <t>menu de forma da classe 0 da ficha 9</t>
        </is>
      </c>
      <c r="LI1" s="151" t="inlineStr">
        <is>
          <t>menu de melhoria da ficha 10</t>
        </is>
      </c>
      <c r="LJ1" s="151" t="inlineStr">
        <is>
          <t>menu de melhoria leve da ficha 10</t>
        </is>
      </c>
      <c r="LL1" s="151" t="inlineStr">
        <is>
          <t>menu de forma da ficha 10</t>
        </is>
      </c>
      <c r="LM1" s="151" t="inlineStr">
        <is>
          <t>menu de forma da classe 0 da ficha 10</t>
        </is>
      </c>
      <c r="LO1" s="151" t="inlineStr">
        <is>
          <t>menu de melhoria da ficha 11</t>
        </is>
      </c>
      <c r="LP1" s="151" t="inlineStr">
        <is>
          <t>menu de melhoria leve da ficha 11</t>
        </is>
      </c>
      <c r="LR1" s="151" t="inlineStr">
        <is>
          <t>menu de forma da ficha 11</t>
        </is>
      </c>
      <c r="LS1" s="151" t="inlineStr">
        <is>
          <t>menu de forma da classe 0 da ficha 11</t>
        </is>
      </c>
      <c r="LU1" s="151" t="inlineStr">
        <is>
          <t>menu de melhoria da ficha 12</t>
        </is>
      </c>
      <c r="LV1" s="151" t="inlineStr">
        <is>
          <t>menu de melhoria leve da ficha 12</t>
        </is>
      </c>
      <c r="LX1" s="151" t="inlineStr">
        <is>
          <t>menu de forma da ficha 12</t>
        </is>
      </c>
      <c r="LY1" s="151" t="inlineStr">
        <is>
          <t>menu de forma da classe 0 da ficha 12</t>
        </is>
      </c>
      <c r="MA1" s="151" t="inlineStr">
        <is>
          <t>conta de habilidade</t>
        </is>
      </c>
      <c r="MB1" s="151" t="inlineStr">
        <is>
          <t>ficha</t>
        </is>
      </c>
      <c r="MC1" s="151" t="inlineStr">
        <is>
          <t>tipo</t>
        </is>
      </c>
      <c r="MD1" s="151" t="inlineStr">
        <is>
          <t>abre</t>
        </is>
      </c>
      <c r="ME1" s="151" t="inlineStr">
        <is>
          <t>tit</t>
        </is>
      </c>
      <c r="MF1" s="151" t="inlineStr">
        <is>
          <t>classe</t>
        </is>
      </c>
      <c r="MG1" s="151" t="inlineStr">
        <is>
          <t>nome</t>
        </is>
      </c>
      <c r="MH1" s="151" t="inlineStr">
        <is>
          <t>forma</t>
        </is>
      </c>
      <c r="MI1" s="151" t="inlineStr">
        <is>
          <t>tdano</t>
        </is>
      </c>
      <c r="MJ1" s="151" t="inlineStr">
        <is>
          <t>rmenu</t>
        </is>
      </c>
      <c r="MK1" s="151" t="inlineStr">
        <is>
          <t>m1</t>
        </is>
      </c>
      <c r="ML1" s="151" t="inlineStr">
        <is>
          <t>m2</t>
        </is>
      </c>
      <c r="MM1" s="151" t="inlineStr">
        <is>
          <t>m3</t>
        </is>
      </c>
      <c r="MN1" s="151" t="inlineStr">
        <is>
          <t>m4</t>
        </is>
      </c>
      <c r="MO1" s="151" t="inlineStr">
        <is>
          <t>r1</t>
        </is>
      </c>
      <c r="MP1" s="151" t="inlineStr">
        <is>
          <t>r2</t>
        </is>
      </c>
      <c r="MQ1" s="151" t="inlineStr">
        <is>
          <t>tem</t>
        </is>
      </c>
      <c r="MR1" s="151" t="inlineStr">
        <is>
          <t>nv</t>
        </is>
      </c>
      <c r="MS1" s="151" t="inlineStr">
        <is>
          <t>mx</t>
        </is>
      </c>
      <c r="MT1" s="151" t="inlineStr">
        <is>
          <t>db</t>
        </is>
      </c>
      <c r="MU1" s="151" t="inlineStr">
        <is>
          <t>atk</t>
        </is>
      </c>
      <c r="MV1" s="151" t="inlineStr">
        <is>
          <t>cdf</t>
        </is>
      </c>
      <c r="MW1" s="151" t="inlineStr">
        <is>
          <t>lf</t>
        </is>
      </c>
      <c r="MX1" s="151" t="inlineStr">
        <is>
          <t>f1</t>
        </is>
      </c>
      <c r="MY1" s="151" t="inlineStr">
        <is>
          <t>f2</t>
        </is>
      </c>
      <c r="MZ1" s="151" t="inlineStr">
        <is>
          <t>f3</t>
        </is>
      </c>
      <c r="NA1" s="151" t="inlineStr">
        <is>
          <t>f4</t>
        </is>
      </c>
      <c r="NB1" s="151" t="inlineStr">
        <is>
          <t>w1</t>
        </is>
      </c>
      <c r="NC1" s="151" t="inlineStr">
        <is>
          <t>w2</t>
        </is>
      </c>
      <c r="ND1" s="151" t="inlineStr">
        <is>
          <t>w3</t>
        </is>
      </c>
      <c r="NE1" s="151" t="inlineStr">
        <is>
          <t>w4</t>
        </is>
      </c>
      <c r="NF1" s="151" t="inlineStr">
        <is>
          <t>k0</t>
        </is>
      </c>
      <c r="NG1" s="151" t="inlineStr">
        <is>
          <t>k1</t>
        </is>
      </c>
      <c r="NH1" s="151" t="inlineStr">
        <is>
          <t>k2</t>
        </is>
      </c>
      <c r="NI1" s="151" t="inlineStr">
        <is>
          <t>k3</t>
        </is>
      </c>
      <c r="NJ1" s="151" t="inlineStr">
        <is>
          <t>k4</t>
        </is>
      </c>
      <c r="NK1" s="151" t="inlineStr">
        <is>
          <t>x0</t>
        </is>
      </c>
      <c r="NL1" s="151" t="inlineStr">
        <is>
          <t>x1</t>
        </is>
      </c>
      <c r="NM1" s="151" t="inlineStr">
        <is>
          <t>x2</t>
        </is>
      </c>
      <c r="NN1" s="151" t="inlineStr">
        <is>
          <t>x3</t>
        </is>
      </c>
      <c r="NO1" s="151" t="inlineStr">
        <is>
          <t>x4</t>
        </is>
      </c>
      <c r="NP1" s="151" t="inlineStr">
        <is>
          <t>ct</t>
        </is>
      </c>
      <c r="NQ1" s="151" t="inlineStr">
        <is>
          <t>ptr</t>
        </is>
      </c>
      <c r="NR1" s="151" t="inlineStr">
        <is>
          <t>rdz</t>
        </is>
      </c>
      <c r="NS1" s="151" t="inlineStr">
        <is>
          <t>emb</t>
        </is>
      </c>
      <c r="NT1" s="151" t="inlineStr">
        <is>
          <t>tp</t>
        </is>
      </c>
      <c r="NU1" s="151" t="inlineStr">
        <is>
          <t>tr</t>
        </is>
      </c>
      <c r="NV1" s="151" t="inlineStr">
        <is>
          <t>c1</t>
        </is>
      </c>
      <c r="NW1" s="151" t="inlineStr">
        <is>
          <t>c2</t>
        </is>
      </c>
      <c r="NX1" s="151" t="inlineStr">
        <is>
          <t>b1</t>
        </is>
      </c>
      <c r="NY1" s="151" t="inlineStr">
        <is>
          <t>b2</t>
        </is>
      </c>
      <c r="NZ1" s="151" t="inlineStr">
        <is>
          <t>n1</t>
        </is>
      </c>
      <c r="OA1" s="151" t="inlineStr">
        <is>
          <t>n2</t>
        </is>
      </c>
      <c r="OB1" s="151" t="inlineStr">
        <is>
          <t>n3</t>
        </is>
      </c>
      <c r="OC1" s="151" t="inlineStr">
        <is>
          <t>n4</t>
        </is>
      </c>
      <c r="OD1" s="151" t="inlineStr">
        <is>
          <t>n5</t>
        </is>
      </c>
      <c r="OE1" s="151" t="inlineStr">
        <is>
          <t>n6</t>
        </is>
      </c>
      <c r="OF1" s="151" t="inlineStr">
        <is>
          <t>dL</t>
        </is>
      </c>
      <c r="OG1" s="151" t="inlineStr">
        <is>
          <t>dM</t>
        </is>
      </c>
      <c r="OH1" s="151" t="inlineStr">
        <is>
          <t>nm</t>
        </is>
      </c>
      <c r="OI1" s="151" t="inlineStr">
        <is>
          <t>nr</t>
        </is>
      </c>
      <c r="OJ1" s="151" t="inlineStr">
        <is>
          <t>g</t>
        </is>
      </c>
      <c r="OK1" s="151" t="inlineStr">
        <is>
          <t>dv0</t>
        </is>
      </c>
      <c r="OL1" s="151" t="inlineStr">
        <is>
          <t>dv</t>
        </is>
      </c>
      <c r="OM1" s="151" t="inlineStr">
        <is>
          <t>usa</t>
        </is>
      </c>
      <c r="ON1" s="151" t="inlineStr">
        <is>
          <t>perde</t>
        </is>
      </c>
      <c r="OO1" s="151" t="inlineStr">
        <is>
          <t>pts</t>
        </is>
      </c>
      <c r="OP1" s="151" t="inlineStr">
        <is>
          <t>s</t>
        </is>
      </c>
      <c r="OQ1" s="151" t="inlineStr">
        <is>
          <t>d</t>
        </is>
      </c>
      <c r="OR1" s="151" t="inlineStr">
        <is>
          <t>dep</t>
        </is>
      </c>
      <c r="OS1" s="151" t="inlineStr">
        <is>
          <t>d1</t>
        </is>
      </c>
      <c r="OT1" s="151" t="inlineStr">
        <is>
          <t>d2</t>
        </is>
      </c>
      <c r="OU1" s="151" t="inlineStr">
        <is>
          <t>d3</t>
        </is>
      </c>
      <c r="OV1" s="151" t="inlineStr">
        <is>
          <t>d4</t>
        </is>
      </c>
      <c r="OW1" s="151" t="inlineStr">
        <is>
          <t>d5</t>
        </is>
      </c>
      <c r="OX1" s="151" t="inlineStr">
        <is>
          <t>d6</t>
        </is>
      </c>
      <c r="OY1" s="151" t="inlineStr">
        <is>
          <t>d7</t>
        </is>
      </c>
      <c r="OZ1" s="151" t="inlineStr">
        <is>
          <t>t1</t>
        </is>
      </c>
      <c r="PA1" s="151" t="inlineStr">
        <is>
          <t>t2</t>
        </is>
      </c>
      <c r="PB1" s="151" t="inlineStr">
        <is>
          <t>t3</t>
        </is>
      </c>
      <c r="PC1" s="151" t="inlineStr">
        <is>
          <t>t4</t>
        </is>
      </c>
      <c r="PD1" s="151" t="inlineStr">
        <is>
          <t>t5</t>
        </is>
      </c>
      <c r="PE1" s="151" t="inlineStr">
        <is>
          <t>t6</t>
        </is>
      </c>
      <c r="PF1" s="151" t="inlineStr">
        <is>
          <t>t7</t>
        </is>
      </c>
      <c r="PG1" s="151" t="inlineStr">
        <is>
          <t>erros</t>
        </is>
      </c>
      <c r="PH1" s="151" t="inlineStr">
        <is>
          <t>ne</t>
        </is>
      </c>
      <c r="PI1" s="151" t="inlineStr">
        <is>
          <t>avisos</t>
        </is>
      </c>
      <c r="PJ1" s="151" t="inlineStr">
        <is>
          <t>na</t>
        </is>
      </c>
      <c r="PK1" s="151" t="inlineStr">
        <is>
          <t>estado</t>
        </is>
      </c>
      <c r="PL1" s="151" t="inlineStr">
        <is>
          <t>linha</t>
        </is>
      </c>
      <c r="PM1" s="151" t="inlineStr">
        <is>
          <t>titulo</t>
        </is>
      </c>
      <c r="PN1" s="151" t="inlineStr">
        <is>
          <t>pe</t>
        </is>
      </c>
      <c r="PO1" s="151" t="inlineStr">
        <is>
          <t>acao</t>
        </is>
      </c>
      <c r="PP1" s="151" t="inlineStr">
        <is>
          <t>rs</t>
        </is>
      </c>
      <c r="PQ1" s="151" t="inlineStr">
        <is>
          <t>resolve</t>
        </is>
      </c>
      <c r="PR1" s="151" t="inlineStr">
        <is>
          <t>dano</t>
        </is>
      </c>
      <c r="PS1" s="151" t="inlineStr">
        <is>
          <t>lg</t>
        </is>
      </c>
      <c r="PT1" s="151" t="inlineStr">
        <is>
          <t>mr</t>
        </is>
      </c>
      <c r="PU1" s="151" t="inlineStr">
        <is>
          <t>q1</t>
        </is>
      </c>
      <c r="PV1" s="151" t="inlineStr">
        <is>
          <t>q2</t>
        </is>
      </c>
      <c r="PW1" s="151" t="inlineStr">
        <is>
          <t>alcance</t>
        </is>
      </c>
      <c r="PX1" s="151" t="inlineStr">
        <is>
          <t>conta</t>
        </is>
      </c>
      <c r="PY1" s="151" t="inlineStr">
        <is>
          <t>ampliar</t>
        </is>
      </c>
      <c r="PZ1" s="151" t="inlineStr">
        <is>
          <t>pt1</t>
        </is>
      </c>
      <c r="QA1" s="151" t="inlineStr">
        <is>
          <t>pt2</t>
        </is>
      </c>
      <c r="QB1" s="151" t="inlineStr">
        <is>
          <t>pt3</t>
        </is>
      </c>
      <c r="QC1" s="151" t="inlineStr">
        <is>
          <t>pt4</t>
        </is>
      </c>
      <c r="QD1" s="151" t="inlineStr">
        <is>
          <t>dt1</t>
        </is>
      </c>
      <c r="QE1" s="151" t="inlineStr">
        <is>
          <t>dt2</t>
        </is>
      </c>
      <c r="QG1" s="151" t="inlineStr">
        <is>
          <t>caixa calculada</t>
        </is>
      </c>
      <c r="QH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A2" s="152" t="n">
        <v>0</v>
      </c>
      <c r="BC2" s="150" t="inlineStr">
        <is>
          <t>Corpo a Corpo</t>
        </is>
      </c>
      <c r="BD2" s="150" t="inlineStr">
        <is>
          <t>Corpo a Corpo</t>
        </is>
      </c>
      <c r="BE2" s="152" t="n">
        <v>2</v>
      </c>
      <c r="BF2" s="152" t="n">
        <v>0</v>
      </c>
      <c r="BG2" s="150" t="inlineStr"/>
      <c r="BI2" s="150" t="inlineStr">
        <is>
          <t>Leitura</t>
        </is>
      </c>
      <c r="BJ2" s="152" t="n">
        <v>1</v>
      </c>
      <c r="BK2" s="150" t="inlineStr">
        <is>
          <t>Você identifica a Classe e a Forma de qualquer feitiço conjurado a até 18 m de você. A informação não fornece a montagem completa, o custo de cada peça ou a localização de um alvo oculto.</t>
        </is>
      </c>
      <c r="BL2" s="150" t="inlineStr">
        <is>
          <t>Leitura</t>
        </is>
      </c>
      <c r="BN2" s="150" t="inlineStr">
        <is>
          <t>Shikigami de técnica</t>
        </is>
      </c>
      <c r="BP2" s="150" t="inlineStr">
        <is>
          <t>Espaço conhecido</t>
        </is>
      </c>
      <c r="BQ2" s="152" t="n">
        <v>1</v>
      </c>
      <c r="BS2" s="150" t="inlineStr">
        <is>
          <t>Alcance</t>
        </is>
      </c>
      <c r="BU2" s="150" t="inlineStr">
        <is>
          <t>Força</t>
        </is>
      </c>
      <c r="BW2" s="150" t="inlineStr">
        <is>
          <t>Físico</t>
        </is>
      </c>
      <c r="BY2" s="150" t="inlineStr">
        <is>
          <t>Força</t>
        </is>
      </c>
      <c r="CA2" s="150" t="inlineStr">
        <is>
          <t>Atletismo</t>
        </is>
      </c>
      <c r="CB2" s="150" t="inlineStr">
        <is>
          <t>Força</t>
        </is>
      </c>
      <c r="CD2" s="150" t="inlineStr">
        <is>
          <t>Sem carga</t>
        </is>
      </c>
      <c r="CF2" s="150" t="inlineStr">
        <is>
          <t>Cortante</t>
        </is>
      </c>
      <c r="CH2" s="150" t="inlineStr">
        <is>
          <t>Ataque</t>
        </is>
      </c>
      <c r="CJ2" s="152" t="n">
        <v>0</v>
      </c>
      <c r="CL2" s="152" t="n">
        <v>17</v>
      </c>
      <c r="CM2" s="150" t="inlineStr">
        <is>
          <t>19d8</t>
        </is>
      </c>
      <c r="CN2" s="152" t="n">
        <v>8</v>
      </c>
      <c r="CO2" s="152" t="n">
        <v>25</v>
      </c>
      <c r="CQ2" s="150" t="inlineStr">
        <is>
          <t>Incompleta</t>
        </is>
      </c>
      <c r="CR2" s="150" t="inlineStr">
        <is>
          <t>2 espaços.</t>
        </is>
      </c>
      <c r="CS2" s="150" t="inlineStr">
        <is>
          <t>Nível 10 dela e seu refino 4.</t>
        </is>
      </c>
      <c r="CU2" s="150" t="inlineStr">
        <is>
          <t>Essência</t>
        </is>
      </c>
      <c r="CW2" s="150" t="inlineStr">
        <is>
          <t>nível</t>
        </is>
      </c>
      <c r="CX2" s="152">
        <f>MAX(1,N(FICHA!$AH$11))</f>
        <v/>
      </c>
      <c r="CZ2" s="152" t="n">
        <v>1</v>
      </c>
      <c r="DA2" s="152">
        <f>'INVOCAÇÕES'!$I$13&amp;""</f>
        <v/>
      </c>
      <c r="DB2" s="152">
        <f>'INVOCAÇÕES'!$I$43&amp;""</f>
        <v/>
      </c>
      <c r="DC2" s="152">
        <f>'INVOCAÇÕES'!$I$47&amp;""</f>
        <v/>
      </c>
      <c r="DD2" s="152">
        <f>N('INVOCAÇÕES'!$K$47)</f>
        <v/>
      </c>
      <c r="DE2" s="152">
        <f>'INVOCAÇÕES'!$L$47&amp;""</f>
        <v/>
      </c>
      <c r="DF2" s="152">
        <f>N('INVOCAÇÕES'!$O$20)</f>
        <v/>
      </c>
      <c r="DG2" s="152">
        <f>N('INVOCAÇÕES'!$P$20)</f>
        <v/>
      </c>
      <c r="DH2" s="152">
        <f>N('INVOCAÇÕES'!$Q$20)</f>
        <v/>
      </c>
      <c r="DI2" s="152">
        <f>N('INVOCAÇÕES'!$R$20)</f>
        <v/>
      </c>
      <c r="DJ2" s="152">
        <f>N('INVOCAÇÕES'!$S$20)</f>
        <v/>
      </c>
      <c r="DK2" s="152">
        <f>N('INVOCAÇÕES'!$O$21)</f>
        <v/>
      </c>
      <c r="DL2" s="152">
        <f>N('INVOCAÇÕES'!$P$21)</f>
        <v/>
      </c>
      <c r="DM2" s="152">
        <f>N('INVOCAÇÕES'!$Q$21)</f>
        <v/>
      </c>
      <c r="DN2" s="152">
        <f>N('INVOCAÇÕES'!$R$21)</f>
        <v/>
      </c>
      <c r="DO2" s="152">
        <f>N('INVOCAÇÕES'!$S$21)</f>
        <v/>
      </c>
      <c r="DP2" s="152">
        <f>'INVOCAÇÕES'!$O$34&amp;""</f>
        <v/>
      </c>
      <c r="DQ2" s="152">
        <f>'INVOCAÇÕES'!$R$34&amp;""</f>
        <v/>
      </c>
      <c r="DR2" s="152">
        <f>'INVOCAÇÕES'!$S$29&amp;""</f>
        <v/>
      </c>
      <c r="DS2" s="152">
        <f>N('INVOCAÇÕES'!$O$26)</f>
        <v/>
      </c>
      <c r="DT2" s="152">
        <f>N('INVOCAÇÕES'!$P$26)</f>
        <v/>
      </c>
      <c r="DU2" s="152">
        <f>N('INVOCAÇÕES'!$Q$26)</f>
        <v/>
      </c>
      <c r="DV2" s="152">
        <f>N('INVOCAÇÕES'!$R$26)</f>
        <v/>
      </c>
      <c r="DW2" s="152">
        <f>N('INVOCAÇÕES'!$S$26)</f>
        <v/>
      </c>
      <c r="DX2" s="152">
        <f>N('INVOCAÇÕES'!$O$31)</f>
        <v/>
      </c>
      <c r="DY2" s="152">
        <f>N('INVOCAÇÕES'!$P$31)</f>
        <v/>
      </c>
      <c r="DZ2" s="152">
        <f>N('INVOCAÇÕES'!$Q$31)</f>
        <v/>
      </c>
      <c r="EA2" s="152">
        <f>N('INVOCAÇÕES'!$R$31)</f>
        <v/>
      </c>
      <c r="EB2" s="152">
        <f>'INVOCAÇÕES'!$U$13&amp;""</f>
        <v/>
      </c>
      <c r="EC2" s="152">
        <f>N('INVOCAÇÕES'!$W$13)</f>
        <v/>
      </c>
      <c r="ED2" s="152">
        <f>'INVOCAÇÕES'!$Y$13&amp;""</f>
        <v/>
      </c>
      <c r="EE2" s="152">
        <f>SUM('INVOCAÇÕES'!$Y$33:'INVOCAÇÕES'!$Y$35,'INVOCAÇÕES'!$Y$37:'INVOCAÇÕES'!$Y$42)</f>
        <v/>
      </c>
      <c r="EF2" s="152">
        <f>'INVOCAÇÕES'!$O$48&amp;""</f>
        <v/>
      </c>
      <c r="EG2" s="152">
        <f>'INVOCAÇÕES'!$P$48&amp;""</f>
        <v/>
      </c>
      <c r="EH2" s="152">
        <f>'INVOCAÇÕES'!$Q$48&amp;""</f>
        <v/>
      </c>
      <c r="EI2" s="152">
        <f>'INVOCAÇÕES'!$R$48&amp;""</f>
        <v/>
      </c>
      <c r="EJ2" s="152">
        <f>'INVOCAÇÕES'!$S$48&amp;""</f>
        <v/>
      </c>
      <c r="EK2" s="152">
        <f>'INVOCAÇÕES'!$O$38&amp;""</f>
        <v/>
      </c>
      <c r="EL2" s="152">
        <f>'INVOCAÇÕES'!$O$39&amp;""</f>
        <v/>
      </c>
      <c r="EM2" s="152">
        <f>'INVOCAÇÕES'!$O$40&amp;""</f>
        <v/>
      </c>
      <c r="EN2" s="152">
        <f>'INVOCAÇÕES'!$O$41&amp;""</f>
        <v/>
      </c>
      <c r="EO2" s="152">
        <f>'INVOCAÇÕES'!$O$42&amp;""</f>
        <v/>
      </c>
      <c r="EP2" s="152">
        <f>'INVOCAÇÕES'!$O$43&amp;""</f>
        <v/>
      </c>
      <c r="EQ2" s="152">
        <f>'INVOCAÇÕES'!$O$44&amp;""</f>
        <v/>
      </c>
      <c r="ER2" s="152">
        <f>'INVOCAÇÕES'!$J$80&amp;""</f>
        <v/>
      </c>
      <c r="ES2" s="152">
        <f>'INVOCAÇÕES'!$J$81&amp;""</f>
        <v/>
      </c>
      <c r="ET2" s="152">
        <f>'INVOCAÇÕES'!$J$82&amp;""</f>
        <v/>
      </c>
      <c r="EU2" s="152">
        <f>'INVOCAÇÕES'!$J$83&amp;""</f>
        <v/>
      </c>
      <c r="EV2" s="152">
        <f>'INVOCAÇÕES'!$J$84&amp;""</f>
        <v/>
      </c>
      <c r="EW2" s="152">
        <f>'INVOCAÇÕES'!$J$85&amp;""</f>
        <v/>
      </c>
      <c r="EX2" s="152">
        <f>'INVOCAÇÕES'!$J$86&amp;""</f>
        <v/>
      </c>
      <c r="EY2" s="152">
        <f>'INVOCAÇÕES'!$J$87&amp;""</f>
        <v/>
      </c>
      <c r="EZ2" s="152">
        <f>'INVOCAÇÕES'!$J$182&amp;""</f>
        <v/>
      </c>
      <c r="FA2" s="152">
        <f>'INVOCAÇÕES'!$J$183&amp;""</f>
        <v/>
      </c>
      <c r="FB2" s="152">
        <f>'INVOCAÇÕES'!$J$184&amp;""</f>
        <v/>
      </c>
      <c r="FC2" s="152">
        <f>MAX(3,MIN(7,N('INVOCAÇÕES'!$I$189)))</f>
        <v/>
      </c>
      <c r="FD2" s="152">
        <f>MAX(3,MIN(7,N('INVOCAÇÕES'!$O$189)))</f>
        <v/>
      </c>
      <c r="FE2" s="152">
        <f>MAX(3,MIN(7,N('INVOCAÇÕES'!$U$189)))</f>
        <v/>
      </c>
      <c r="FF2" s="152">
        <f>'INVOCAÇÕES'!$O$203&amp;""</f>
        <v/>
      </c>
      <c r="FG2" s="152">
        <f>IF($DA2&lt;&gt;"",1,0)</f>
        <v/>
      </c>
      <c r="FH2" s="152">
        <f>IFERROR(VLOOKUP($DC2,$BP$2:$BQ$5,2,FALSE),1)</f>
        <v/>
      </c>
      <c r="FI2" s="152">
        <f>IF($FH2=1,$CX$2,MAX(1,MIN($CX$2,IF($DD2=0,$CX$2,$DD2))))</f>
        <v/>
      </c>
      <c r="FJ2" s="152">
        <f>VLOOKUP(MAX(1,$FI2),$A$2:$D$8,2,TRUE)</f>
        <v/>
      </c>
      <c r="FK2" s="152">
        <f>VLOOKUP(MAX(1,$FI2),$A$2:$D$8,3,TRUE)</f>
        <v/>
      </c>
      <c r="FL2" s="152">
        <f>$DF2+$DK2</f>
        <v/>
      </c>
      <c r="FM2" s="152">
        <f>$DG2+$DL2</f>
        <v/>
      </c>
      <c r="FN2" s="152">
        <f>$DH2+$DM2</f>
        <v/>
      </c>
      <c r="FO2" s="152">
        <f>$DI2+$DN2</f>
        <v/>
      </c>
      <c r="FP2" s="152">
        <f>$DJ2+$DO2</f>
        <v/>
      </c>
      <c r="FQ2" s="152">
        <f>SUM($DF2:$DJ2)</f>
        <v/>
      </c>
      <c r="FR2" s="152">
        <f>9+$FS2</f>
        <v/>
      </c>
      <c r="FS2" s="152">
        <f>COUNTIF($F$2:$F$8,"&lt;="&amp;$FI2)</f>
        <v/>
      </c>
      <c r="FT2" s="152">
        <f>MAX(0,$DF2-3)+MAX(0,$DG2-3)+MAX(0,$DH2-3)+MAX(0,$DI2-3)+MAX(0,$DJ2-3)</f>
        <v/>
      </c>
      <c r="FU2" s="152">
        <f>IFERROR(INDEX($FL2:$FP2,1,MATCH($DP2,$BU$2:$BU$6,0)),"")</f>
        <v/>
      </c>
      <c r="FV2" s="152">
        <f>IF($FU2="","",$FU2+$CX$3+$DS2)</f>
        <v/>
      </c>
      <c r="FW2" s="152">
        <f>IF($FU2="","",8+$FU2+$CX$3+$DT2)</f>
        <v/>
      </c>
      <c r="FX2" s="152">
        <f>10+$FM2+$CX$7+$DU2</f>
        <v/>
      </c>
      <c r="FY2" s="152">
        <f>IF($DB2="Corpo amaldiçoado de criação",1,0)</f>
        <v/>
      </c>
      <c r="FZ2" s="152">
        <f>5+$FN2+(3+$FY2+$FN2)*($FI2-1)+$DV2</f>
        <v/>
      </c>
      <c r="GA2" s="152">
        <f>IF($FG2=0,"",$FZ2)</f>
        <v/>
      </c>
      <c r="GB2" s="152">
        <f>IF($EB2="",$FZ2,MAX(0,MIN(IFERROR(VALUE($EB2),$FZ2),$FZ2)))</f>
        <v/>
      </c>
      <c r="GC2" s="152">
        <f>9+$DW2</f>
        <v/>
      </c>
      <c r="GD2" s="152">
        <f>IF($DQ2="Destreza",$FM2,$FL2)</f>
        <v/>
      </c>
      <c r="GE2" s="152">
        <f>$GD2+IF($DR2="Físico",$CX$3,0)+$DX2</f>
        <v/>
      </c>
      <c r="GF2" s="152">
        <f>$FN2+IF($DR2="Vigor",$CX$3,0)+$DY2</f>
        <v/>
      </c>
      <c r="GG2" s="152">
        <f>$FO2+IF($DR2="Intelecto",$CX$3,0)+$DZ2</f>
        <v/>
      </c>
      <c r="GH2" s="152">
        <f>$FP2+IF($DR2="Espírito",$CX$3,0)+$EA2</f>
        <v/>
      </c>
      <c r="GI2" s="152">
        <f>4+INT($DI2/2)</f>
        <v/>
      </c>
      <c r="GJ2" s="152">
        <f>COUNTIF($EK2:$EQ2,"?*")</f>
        <v/>
      </c>
      <c r="GK2" s="152">
        <f>INT((2+$FI2/2)/2)</f>
        <v/>
      </c>
      <c r="GL2" s="152">
        <f>IF($FI2&gt;=11,2,1)</f>
        <v/>
      </c>
      <c r="GM2" s="152">
        <f>1+$FS2</f>
        <v/>
      </c>
      <c r="GN2" s="152">
        <f>COUNTIF($ER2:$EY2,"?*")</f>
        <v/>
      </c>
      <c r="GO2" s="152">
        <f>IF(AND($DB2="Shikigami de criação",$DE2="Com carga"),MAX(1,CEILING($FJ2/2,1)),$FJ2)</f>
        <v/>
      </c>
      <c r="GP2" s="152">
        <f>$FJ2+$GO2</f>
        <v/>
      </c>
      <c r="GQ2" s="152">
        <f>$FI2*(1+INT($DJ2/3))</f>
        <v/>
      </c>
      <c r="GR2" s="152">
        <f>5+$FL2</f>
        <v/>
      </c>
      <c r="GS2" s="152">
        <f>COUNTIF($EF2:$EJ2,"?*")</f>
        <v/>
      </c>
      <c r="GT2" s="152">
        <f>IF($EF2="",0,IF(COUNTIF($EF2:$EJ2,$EF2)&gt;1,1,0))+IF($EG2="",0,IF(COUNTIF($EF2:$EJ2,$EG2)&gt;1,1,0))+IF($EH2="",0,IF(COUNTIF($EF2:$EJ2,$EH2)&gt;1,1,0))+IF($EI2="",0,IF(COUNTIF($EF2:$EJ2,$EI2)&gt;1,1,0))+IF($EJ2="",0,IF(COUNTIF($EF2:$EJ2,$EJ2)&gt;1,1,0))</f>
        <v/>
      </c>
      <c r="GU2" s="152">
        <f>$CX$11</f>
        <v/>
      </c>
      <c r="GV2" s="152">
        <f>IF($FG2=0,"INVOCAÇÃO 1 · lugar vazio",$DA2&amp;" · "&amp;$DB2&amp;" · nível "&amp;$FI2&amp;" · vida "&amp;$GB2&amp;" de "&amp;$FZ2)</f>
        <v/>
      </c>
      <c r="GW2" s="152">
        <f>IF($FG2=0,"VAZIA",UPPER($DA2))</f>
        <v/>
      </c>
      <c r="GX2" s="152">
        <f>IF($CX$3&gt;=0,"+","−")&amp;ABS($CX$3)</f>
        <v/>
      </c>
      <c r="GY2" s="152">
        <f>$GO2&amp;" PE"</f>
        <v/>
      </c>
      <c r="GZ2" s="152">
        <f>$GP2&amp;" PE"</f>
        <v/>
      </c>
      <c r="HA2" s="152">
        <f>IF(OR($FQ2&gt;$FR2,$FT2&gt;$FS2),"⚠ ",IF(AND($FG2=1,$FQ2&lt;$FR2),"! ",""))&amp;"ATRIBUTOS · "&amp;$FQ2&amp;" DE "&amp;$FR2&amp;" PONTOS"&amp;IF($FT2&gt;$FS2," · ACIMA DE 3 SÓ COM MARCO","")</f>
        <v/>
      </c>
      <c r="HB2" s="152">
        <f>IF($FV2="","",IF($FV2&gt;=0,"+","−")&amp;ABS($FV2))</f>
        <v/>
      </c>
      <c r="HC2" s="152">
        <f>IF($FW2="","",$FW2)</f>
        <v/>
      </c>
      <c r="HD2" s="152">
        <f>SUBSTITUTE($GC2&amp;" m",".",",")</f>
        <v/>
      </c>
      <c r="HE2" s="152">
        <f>IF($GE2&gt;=0,"+","−")&amp;ABS($GE2)</f>
        <v/>
      </c>
      <c r="HF2" s="152">
        <f>IF($GF2&gt;=0,"+","−")&amp;ABS($GF2)</f>
        <v/>
      </c>
      <c r="HG2" s="152">
        <f>IF($GG2&gt;=0,"+","−")&amp;ABS($GG2)</f>
        <v/>
      </c>
      <c r="HH2" s="152">
        <f>IF($GH2&gt;=0,"+","−")&amp;ABS($GH2)</f>
        <v/>
      </c>
      <c r="HI2" s="152">
        <f>IF($GJ2&gt;$GI2,"⚠ ","")&amp;"PERÍCIAS · "&amp;$GJ2&amp;" DE "&amp;$GI2</f>
        <v/>
      </c>
      <c r="HJ2" s="152">
        <f>IF($EK2="","",IFERROR(IF((INDEX($FL2:$FP2,1,MATCH(VLOOKUP($EK2,$CA$2:$CB$24,2,FALSE),$BU$2:$BU$6,0))+$CX$3)&gt;=0,"+","−")&amp;ABS((INDEX($FL2:$FP2,1,MATCH(VLOOKUP($EK2,$CA$2:$CB$24,2,FALSE),$BU$2:$BU$6,0))+$CX$3)),""))</f>
        <v/>
      </c>
      <c r="HK2" s="152">
        <f>IF($EL2="","",IFERROR(IF((INDEX($FL2:$FP2,1,MATCH(VLOOKUP($EL2,$CA$2:$CB$24,2,FALSE),$BU$2:$BU$6,0))+$CX$3)&gt;=0,"+","−")&amp;ABS((INDEX($FL2:$FP2,1,MATCH(VLOOKUP($EL2,$CA$2:$CB$24,2,FALSE),$BU$2:$BU$6,0))+$CX$3)),""))</f>
        <v/>
      </c>
      <c r="HL2" s="152">
        <f>IF($EM2="","",IFERROR(IF((INDEX($FL2:$FP2,1,MATCH(VLOOKUP($EM2,$CA$2:$CB$24,2,FALSE),$BU$2:$BU$6,0))+$CX$3)&gt;=0,"+","−")&amp;ABS((INDEX($FL2:$FP2,1,MATCH(VLOOKUP($EM2,$CA$2:$CB$24,2,FALSE),$BU$2:$BU$6,0))+$CX$3)),""))</f>
        <v/>
      </c>
      <c r="HM2" s="152">
        <f>IF($EN2="","",IFERROR(IF((INDEX($FL2:$FP2,1,MATCH(VLOOKUP($EN2,$CA$2:$CB$24,2,FALSE),$BU$2:$BU$6,0))+$CX$3)&gt;=0,"+","−")&amp;ABS((INDEX($FL2:$FP2,1,MATCH(VLOOKUP($EN2,$CA$2:$CB$24,2,FALSE),$BU$2:$BU$6,0))+$CX$3)),""))</f>
        <v/>
      </c>
      <c r="HN2" s="152">
        <f>IF($EO2="","",IFERROR(IF((INDEX($FL2:$FP2,1,MATCH(VLOOKUP($EO2,$CA$2:$CB$24,2,FALSE),$BU$2:$BU$6,0))+$CX$3)&gt;=0,"+","−")&amp;ABS((INDEX($FL2:$FP2,1,MATCH(VLOOKUP($EO2,$CA$2:$CB$24,2,FALSE),$BU$2:$BU$6,0))+$CX$3)),""))</f>
        <v/>
      </c>
      <c r="HO2" s="152">
        <f>IF($EP2="","",IFERROR(IF((INDEX($FL2:$FP2,1,MATCH(VLOOKUP($EP2,$CA$2:$CB$24,2,FALSE),$BU$2:$BU$6,0))+$CX$3)&gt;=0,"+","−")&amp;ABS((INDEX($FL2:$FP2,1,MATCH(VLOOKUP($EP2,$CA$2:$CB$24,2,FALSE),$BU$2:$BU$6,0))+$CX$3)),""))</f>
        <v/>
      </c>
      <c r="HP2" s="152">
        <f>IF($EQ2="","",IFERROR(IF((INDEX($FL2:$FP2,1,MATCH(VLOOKUP($EQ2,$CA$2:$CB$24,2,FALSE),$BU$2:$BU$6,0))+$CX$3)&gt;=0,"+","−")&amp;ABS((INDEX($FL2:$FP2,1,MATCH(VLOOKUP($EQ2,$CA$2:$CB$24,2,FALSE),$BU$2:$BU$6,0))+$CX$3)),""))</f>
        <v/>
      </c>
      <c r="HQ2" s="152">
        <f>IF($DB2="Maldição domada","RESERVA · MÁX. "&amp;$GQ2,"RESERVA DE PE")</f>
        <v/>
      </c>
      <c r="HR2" s="152">
        <f>IF($EE2&gt;$GR2,"⚠ ","")&amp;"EQUIPAMENTO · "&amp;$EE2&amp;" DE "&amp;$GR2&amp;" DE VOLUME"&amp;IF($EE2&gt;$GR2," · PASSOU DO LIMITE","")</f>
        <v/>
      </c>
      <c r="HS2" s="152">
        <f>IF(OR($GT2&gt;0,$GS2&gt;$GU2),"⚠ ","")&amp;"FAMÍLIAS · "&amp;$GS2&amp;" ABERTAS"&amp;IF($GT2&gt;0," · REPETIDA","")&amp;IF($GS2&gt;$GU2," · O LIMITE É "&amp;$GU2,"")</f>
        <v/>
      </c>
      <c r="HT2" s="152">
        <f>"HABILIDADES · básica de "&amp;$FK2&amp;"d6 · "&amp;$GK2&amp;IF($GK2&gt;1," espaços"," espaço")&amp;" de especial até a Classe "&amp;$FJ2&amp;" · "&amp;$GM2&amp;IF($GM2&gt;1," talentos"," talento")</f>
        <v/>
      </c>
      <c r="HU2" s="152">
        <f>IF($GN2&gt;$GM2,"⚠ ","")&amp;"TALENTOS · "&amp;$GN2&amp;" DE "&amp;$GM2</f>
        <v/>
      </c>
      <c r="HV2" s="152">
        <f>IFERROR(VLOOKUP($ER2,$BI$2:$BL$15,2,FALSE),0)</f>
        <v/>
      </c>
      <c r="HW2" s="152">
        <f>IFERROR(VLOOKUP($ES2,$BI$2:$BL$15,2,FALSE),0)</f>
        <v/>
      </c>
      <c r="HX2" s="152">
        <f>IFERROR(VLOOKUP($ET2,$BI$2:$BL$15,2,FALSE),0)</f>
        <v/>
      </c>
      <c r="HY2" s="152">
        <f>IFERROR(VLOOKUP($EU2,$BI$2:$BL$15,2,FALSE),0)</f>
        <v/>
      </c>
      <c r="HZ2" s="152">
        <f>IFERROR(VLOOKUP($EV2,$BI$2:$BL$15,2,FALSE),0)</f>
        <v/>
      </c>
      <c r="IA2" s="152">
        <f>IFERROR(VLOOKUP($EW2,$BI$2:$BL$15,2,FALSE),0)</f>
        <v/>
      </c>
      <c r="IB2" s="152">
        <f>IFERROR(VLOOKUP($EX2,$BI$2:$BL$15,2,FALSE),0)</f>
        <v/>
      </c>
      <c r="IC2" s="152">
        <f>IFERROR(VLOOKUP($EY2,$BI$2:$BL$15,2,FALSE),0)</f>
        <v/>
      </c>
      <c r="ID2" s="152">
        <f>IF($ER2="","",IF(1&gt;$FI2,"⚠ Este talento abre no nível 1",IF($HV2&gt;1,"⚠ Categoria "&amp;$HV2&amp;": este ganho vai até a 1 · ","")&amp;IFERROR(VLOOKUP($ER2,$BI$2:$BL$15,3,FALSE),"")))</f>
        <v/>
      </c>
      <c r="IE2" s="152">
        <f>IF($ES2="","",IF(6&gt;$FI2,"⚠ Este talento abre no nível 6",IF($HW2&gt;1,"⚠ Categoria "&amp;$HW2&amp;": este ganho vai até a 1 · ","")&amp;IFERROR(VLOOKUP($ES2,$BI$2:$BL$15,3,FALSE),"")))</f>
        <v/>
      </c>
      <c r="IF2" s="152">
        <f>IF($ET2="","",IF(10&gt;$FI2,"⚠ Este talento abre no nível 10",IF($HX2&gt;2,"⚠ Categoria "&amp;$HX2&amp;": este ganho vai até a 2 · ","")&amp;IFERROR(VLOOKUP($ET2,$BI$2:$BL$15,3,FALSE),"")))</f>
        <v/>
      </c>
      <c r="IG2" s="152">
        <f>IF($EU2="","",IF(14&gt;$FI2,"⚠ Este talento abre no nível 14",IF($HY2&gt;3,"⚠ Categoria "&amp;$HY2&amp;": este ganho vai até a 3 · ","")&amp;IFERROR(VLOOKUP($EU2,$BI$2:$BL$15,3,FALSE),"")))</f>
        <v/>
      </c>
      <c r="IH2" s="152">
        <f>IF($EV2="","",IF(18&gt;$FI2,"⚠ Este talento abre no nível 18",IF($HZ2&gt;3,"⚠ Categoria "&amp;$HZ2&amp;": este ganho vai até a 3 · ","")&amp;IFERROR(VLOOKUP($EV2,$BI$2:$BL$15,3,FALSE),"")))</f>
        <v/>
      </c>
      <c r="II2" s="152">
        <f>IF($EW2="","",IF(22&gt;$FI2,"⚠ Este talento abre no nível 22",IF($IA2&gt;3,"⚠ Categoria "&amp;$IA2&amp;": este ganho vai até a 3 · ","")&amp;IFERROR(VLOOKUP($EW2,$BI$2:$BL$15,3,FALSE),"")))</f>
        <v/>
      </c>
      <c r="IJ2" s="152">
        <f>IF($EX2="","",IF(26&gt;$FI2,"⚠ Este talento abre no nível 26",IF($IB2&gt;3,"⚠ Categoria "&amp;$IB2&amp;": este ganho vai até a 3 · ","")&amp;IFERROR(VLOOKUP($EX2,$BI$2:$BL$15,3,FALSE),"")))</f>
        <v/>
      </c>
      <c r="IK2" s="152">
        <f>IF($EY2="","",IF(30&gt;$FI2,"⚠ Este talento abre no nível 30",IF($IC2&gt;3,"⚠ Categoria "&amp;$IC2&amp;": este ganho vai até a 3 · ","")&amp;IFERROR(VLOOKUP($EY2,$BI$2:$BL$15,3,FALSE),"")))</f>
        <v/>
      </c>
      <c r="IL2" s="152">
        <f>IF($EZ2="","",IFERROR(VLOOKUP($EZ2,$BI$2:$BL$15,3,FALSE),""))</f>
        <v/>
      </c>
      <c r="IM2" s="152">
        <f>IF($FA2="","",IFERROR(VLOOKUP($FA2,$BI$2:$BL$15,3,FALSE),""))</f>
        <v/>
      </c>
      <c r="IN2" s="152">
        <f>IF($FB2="","",IFERROR(VLOOKUP($FB2,$BI$2:$BL$15,3,FALSE),""))</f>
        <v/>
      </c>
      <c r="IO2" s="152">
        <f>CEILING(4.5*$FC2,1)&amp;" PE"</f>
        <v/>
      </c>
      <c r="IP2" s="152">
        <f>CEILING(4.5*$FD2,1)&amp;" PE"</f>
        <v/>
      </c>
      <c r="IQ2" s="152">
        <f>CEILING(4.5*$FE2,1)&amp;" PE"</f>
        <v/>
      </c>
      <c r="IR2" s="152">
        <f>INDEX($P$2:$P$8,$FC2)&amp;" pontos + "&amp;$FC2&amp;"d8"</f>
        <v/>
      </c>
      <c r="IS2" s="152">
        <f>INDEX($P$2:$P$8,$FD2)&amp;" pontos + "&amp;$FD2&amp;"d8"</f>
        <v/>
      </c>
      <c r="IT2" s="152">
        <f>INDEX($P$2:$P$8,$FE2)&amp;" pontos + "&amp;$FE2&amp;"d8"</f>
        <v/>
      </c>
      <c r="IU2" s="152">
        <f>IF($FI2&lt;17,"—",VLOOKUP($FI2,$CL$2:$CO$4,4,TRUE)&amp;" PE")</f>
        <v/>
      </c>
      <c r="IV2" s="152">
        <f>IF($FI2&lt;17,"Abre no nível 17",VLOOKUP($FI2,$CL$2:$CO$4,2,TRUE)&amp;" fixos · "&amp;VLOOKUP($FI2,$CL$2:$CO$4,3,TRUE)&amp;" pontos")</f>
        <v/>
      </c>
      <c r="IW2" s="152">
        <f>IF($FF2="Sem Barreiras",7,6)*$FJ2&amp;" PE"</f>
        <v/>
      </c>
      <c r="IX2" s="152">
        <f>"Acerto "&amp;$FJ2&amp;"d8"</f>
        <v/>
      </c>
      <c r="IY2" s="152">
        <f>IFERROR(VLOOKUP($FF2,$CQ$2:$CS$4,3,FALSE),"Escolha o degrau")</f>
        <v/>
      </c>
      <c r="IZ2" s="152">
        <f>1&amp;" · "&amp;IF($FG2=0,"vazia",$DA2&amp;" · nv "&amp;$FI2&amp;" · "&amp;$GB2&amp;"/"&amp;$FZ2)</f>
        <v/>
      </c>
      <c r="JB2" s="150" t="inlineStr">
        <is>
          <t>Invocação 1</t>
        </is>
      </c>
      <c r="JC2" s="152">
        <f>ADDRESS(ROW('INVOCAÇÕES'!D21),COLUMN('INVOCAÇÕES'!D21),4)</f>
        <v/>
      </c>
      <c r="JD2" s="152">
        <f>ADDRESS(ROW('INVOCAÇÕES'!H9),COLUMN('INVOCAÇÕES'!H9),4)</f>
        <v/>
      </c>
      <c r="JE2" s="150" t="inlineStr">
        <is>
          <t>DADOS_INVOC!$IZ$2</t>
        </is>
      </c>
      <c r="JG2" s="152">
        <f>IF(OR($AW2="",COUNTIF($EF$2:$EJ$2,$AW2)&gt;0),$AV2,"")</f>
        <v/>
      </c>
      <c r="JH2" s="152">
        <f>IF(AND($AX2=1,OR($AW2="",COUNTIF($EF$2:$EJ$2,$AW2)&gt;0)),$AV2,"")</f>
        <v/>
      </c>
      <c r="JJ2" s="152">
        <f>IF(OR($W2="",COUNTIF($EF$2:$EJ$2,$W2)&gt;0),$V2,"")</f>
        <v/>
      </c>
      <c r="JK2" s="152">
        <f>IF(AND($AF2=1,OR($W2="",COUNTIF($EF$2:$EJ$2,$W2)&gt;0)),$V2,"")</f>
        <v/>
      </c>
      <c r="JM2" s="152">
        <f>IF(OR($AW2="",COUNTIF($EF$3:$EJ$3,$AW2)&gt;0),$AV2,"")</f>
        <v/>
      </c>
      <c r="JN2" s="152">
        <f>IF(AND($AX2=1,OR($AW2="",COUNTIF($EF$3:$EJ$3,$AW2)&gt;0)),$AV2,"")</f>
        <v/>
      </c>
      <c r="JP2" s="152">
        <f>IF(OR($W2="",COUNTIF($EF$3:$EJ$3,$W2)&gt;0),$V2,"")</f>
        <v/>
      </c>
      <c r="JQ2" s="152">
        <f>IF(AND($AF2=1,OR($W2="",COUNTIF($EF$3:$EJ$3,$W2)&gt;0)),$V2,"")</f>
        <v/>
      </c>
      <c r="JS2" s="152">
        <f>IF(OR($AW2="",COUNTIF($EF$4:$EJ$4,$AW2)&gt;0),$AV2,"")</f>
        <v/>
      </c>
      <c r="JT2" s="152">
        <f>IF(AND($AX2=1,OR($AW2="",COUNTIF($EF$4:$EJ$4,$AW2)&gt;0)),$AV2,"")</f>
        <v/>
      </c>
      <c r="JV2" s="152">
        <f>IF(OR($W2="",COUNTIF($EF$4:$EJ$4,$W2)&gt;0),$V2,"")</f>
        <v/>
      </c>
      <c r="JW2" s="152">
        <f>IF(AND($AF2=1,OR($W2="",COUNTIF($EF$4:$EJ$4,$W2)&gt;0)),$V2,"")</f>
        <v/>
      </c>
      <c r="JY2" s="152">
        <f>IF(OR($AW2="",COUNTIF($EF$5:$EJ$5,$AW2)&gt;0),$AV2,"")</f>
        <v/>
      </c>
      <c r="JZ2" s="152">
        <f>IF(AND($AX2=1,OR($AW2="",COUNTIF($EF$5:$EJ$5,$AW2)&gt;0)),$AV2,"")</f>
        <v/>
      </c>
      <c r="KB2" s="152">
        <f>IF(OR($W2="",COUNTIF($EF$5:$EJ$5,$W2)&gt;0),$V2,"")</f>
        <v/>
      </c>
      <c r="KC2" s="152">
        <f>IF(AND($AF2=1,OR($W2="",COUNTIF($EF$5:$EJ$5,$W2)&gt;0)),$V2,"")</f>
        <v/>
      </c>
      <c r="KE2" s="152">
        <f>IF(OR($AW2="",COUNTIF($EF$6:$EJ$6,$AW2)&gt;0),$AV2,"")</f>
        <v/>
      </c>
      <c r="KF2" s="152">
        <f>IF(AND($AX2=1,OR($AW2="",COUNTIF($EF$6:$EJ$6,$AW2)&gt;0)),$AV2,"")</f>
        <v/>
      </c>
      <c r="KH2" s="152">
        <f>IF(OR($W2="",COUNTIF($EF$6:$EJ$6,$W2)&gt;0),$V2,"")</f>
        <v/>
      </c>
      <c r="KI2" s="152">
        <f>IF(AND($AF2=1,OR($W2="",COUNTIF($EF$6:$EJ$6,$W2)&gt;0)),$V2,"")</f>
        <v/>
      </c>
      <c r="KK2" s="152">
        <f>IF(OR($AW2="",COUNTIF($EF$7:$EJ$7,$AW2)&gt;0),$AV2,"")</f>
        <v/>
      </c>
      <c r="KL2" s="152">
        <f>IF(AND($AX2=1,OR($AW2="",COUNTIF($EF$7:$EJ$7,$AW2)&gt;0)),$AV2,"")</f>
        <v/>
      </c>
      <c r="KN2" s="152">
        <f>IF(OR($W2="",COUNTIF($EF$7:$EJ$7,$W2)&gt;0),$V2,"")</f>
        <v/>
      </c>
      <c r="KO2" s="152">
        <f>IF(AND($AF2=1,OR($W2="",COUNTIF($EF$7:$EJ$7,$W2)&gt;0)),$V2,"")</f>
        <v/>
      </c>
      <c r="KQ2" s="152">
        <f>IF(OR($AW2="",COUNTIF($EF$8:$EJ$8,$AW2)&gt;0),$AV2,"")</f>
        <v/>
      </c>
      <c r="KR2" s="152">
        <f>IF(AND($AX2=1,OR($AW2="",COUNTIF($EF$8:$EJ$8,$AW2)&gt;0)),$AV2,"")</f>
        <v/>
      </c>
      <c r="KT2" s="152">
        <f>IF(OR($W2="",COUNTIF($EF$8:$EJ$8,$W2)&gt;0),$V2,"")</f>
        <v/>
      </c>
      <c r="KU2" s="152">
        <f>IF(AND($AF2=1,OR($W2="",COUNTIF($EF$8:$EJ$8,$W2)&gt;0)),$V2,"")</f>
        <v/>
      </c>
      <c r="KW2" s="152">
        <f>IF(OR($AW2="",COUNTIF($EF$9:$EJ$9,$AW2)&gt;0),$AV2,"")</f>
        <v/>
      </c>
      <c r="KX2" s="152">
        <f>IF(AND($AX2=1,OR($AW2="",COUNTIF($EF$9:$EJ$9,$AW2)&gt;0)),$AV2,"")</f>
        <v/>
      </c>
      <c r="KZ2" s="152">
        <f>IF(OR($W2="",COUNTIF($EF$9:$EJ$9,$W2)&gt;0),$V2,"")</f>
        <v/>
      </c>
      <c r="LA2" s="152">
        <f>IF(AND($AF2=1,OR($W2="",COUNTIF($EF$9:$EJ$9,$W2)&gt;0)),$V2,"")</f>
        <v/>
      </c>
      <c r="LC2" s="152">
        <f>IF(OR($AW2="",COUNTIF($EF$10:$EJ$10,$AW2)&gt;0),$AV2,"")</f>
        <v/>
      </c>
      <c r="LD2" s="152">
        <f>IF(AND($AX2=1,OR($AW2="",COUNTIF($EF$10:$EJ$10,$AW2)&gt;0)),$AV2,"")</f>
        <v/>
      </c>
      <c r="LF2" s="152">
        <f>IF(OR($W2="",COUNTIF($EF$10:$EJ$10,$W2)&gt;0),$V2,"")</f>
        <v/>
      </c>
      <c r="LG2" s="152">
        <f>IF(AND($AF2=1,OR($W2="",COUNTIF($EF$10:$EJ$10,$W2)&gt;0)),$V2,"")</f>
        <v/>
      </c>
      <c r="LI2" s="152">
        <f>IF(OR($AW2="",COUNTIF($EF$11:$EJ$11,$AW2)&gt;0),$AV2,"")</f>
        <v/>
      </c>
      <c r="LJ2" s="152">
        <f>IF(AND($AX2=1,OR($AW2="",COUNTIF($EF$11:$EJ$11,$AW2)&gt;0)),$AV2,"")</f>
        <v/>
      </c>
      <c r="LL2" s="152">
        <f>IF(OR($W2="",COUNTIF($EF$11:$EJ$11,$W2)&gt;0),$V2,"")</f>
        <v/>
      </c>
      <c r="LM2" s="152">
        <f>IF(AND($AF2=1,OR($W2="",COUNTIF($EF$11:$EJ$11,$W2)&gt;0)),$V2,"")</f>
        <v/>
      </c>
      <c r="LO2" s="152">
        <f>IF(OR($AW2="",COUNTIF($EF$12:$EJ$12,$AW2)&gt;0),$AV2,"")</f>
        <v/>
      </c>
      <c r="LP2" s="152">
        <f>IF(AND($AX2=1,OR($AW2="",COUNTIF($EF$12:$EJ$12,$AW2)&gt;0)),$AV2,"")</f>
        <v/>
      </c>
      <c r="LR2" s="152">
        <f>IF(OR($W2="",COUNTIF($EF$12:$EJ$12,$W2)&gt;0),$V2,"")</f>
        <v/>
      </c>
      <c r="LS2" s="152">
        <f>IF(AND($AF2=1,OR($W2="",COUNTIF($EF$12:$EJ$12,$W2)&gt;0)),$V2,"")</f>
        <v/>
      </c>
      <c r="LU2" s="152">
        <f>IF(OR($AW2="",COUNTIF($EF$13:$EJ$13,$AW2)&gt;0),$AV2,"")</f>
        <v/>
      </c>
      <c r="LV2" s="152">
        <f>IF(AND($AX2=1,OR($AW2="",COUNTIF($EF$13:$EJ$13,$AW2)&gt;0)),$AV2,"")</f>
        <v/>
      </c>
      <c r="LX2" s="152">
        <f>IF(OR($W2="",COUNTIF($EF$13:$EJ$13,$W2)&gt;0),$V2,"")</f>
        <v/>
      </c>
      <c r="LY2" s="152">
        <f>IF(AND($AF2=1,OR($W2="",COUNTIF($EF$13:$EJ$13,$W2)&gt;0)),$V2,"")</f>
        <v/>
      </c>
      <c r="MA2" s="150" t="inlineStr">
        <is>
          <t>Ficha 1 · Básica 1</t>
        </is>
      </c>
      <c r="MB2" s="152" t="n">
        <v>1</v>
      </c>
      <c r="MC2" s="152" t="n">
        <v>0</v>
      </c>
      <c r="MD2" s="152" t="n">
        <v>1</v>
      </c>
      <c r="ME2" s="150" t="inlineStr">
        <is>
          <t>BÁSICA 1</t>
        </is>
      </c>
      <c r="MF2" s="152" t="n">
        <v>0</v>
      </c>
      <c r="MG2" s="152">
        <f>'INVOCAÇÕES'!$J$58&amp;""</f>
        <v/>
      </c>
      <c r="MH2" s="152">
        <f>'INVOCAÇÕES'!$I$63&amp;""</f>
        <v/>
      </c>
      <c r="MI2" s="152">
        <f>'INVOCAÇÕES'!$I$64&amp;""</f>
        <v/>
      </c>
      <c r="MJ2" s="152">
        <f>'INVOCAÇÕES'!$K$64&amp;""</f>
        <v/>
      </c>
      <c r="MK2" s="152">
        <f>'INVOCAÇÕES'!$J$67&amp;""</f>
        <v/>
      </c>
      <c r="ML2" s="152">
        <f>'INVOCAÇÕES'!$J$68&amp;""</f>
        <v/>
      </c>
      <c r="MM2" s="152">
        <f>'INVOCAÇÕES'!$J$69&amp;""</f>
        <v/>
      </c>
      <c r="MN2" s="152">
        <f>'INVOCAÇÕES'!$J$70&amp;""</f>
        <v/>
      </c>
      <c r="MO2" s="152">
        <f>'INVOCAÇÕES'!$J$71&amp;""</f>
        <v/>
      </c>
      <c r="MP2" s="152">
        <f>'INVOCAÇÕES'!$J$72&amp;""</f>
        <v/>
      </c>
      <c r="MQ2" s="152">
        <f>IF($MG2&lt;&gt;"",1,0)</f>
        <v/>
      </c>
      <c r="MR2" s="152">
        <f>INDEX($FI$2:$FI$13,$MB2)</f>
        <v/>
      </c>
      <c r="MS2" s="152">
        <f>INDEX($FJ$2:$FJ$13,$MB2)</f>
        <v/>
      </c>
      <c r="MT2" s="152">
        <f>INDEX($FK$2:$FK$13,$MB2)</f>
        <v/>
      </c>
      <c r="MU2" s="152">
        <f>INDEX($FV$2:$FV$13,$MB2)</f>
        <v/>
      </c>
      <c r="MV2" s="152">
        <f>INDEX($FW$2:$FW$13,$MB2)</f>
        <v/>
      </c>
      <c r="MW2" s="152">
        <f>IFERROR(MATCH($MH2,$V$2:$V$11,0),0)</f>
        <v/>
      </c>
      <c r="MX2" s="152">
        <f>IFERROR(VLOOKUP($MK2,$AV$2:$BA$84,2,FALSE),"")</f>
        <v/>
      </c>
      <c r="MY2" s="152">
        <f>IFERROR(VLOOKUP($ML2,$AV$2:$BA$84,2,FALSE),"")</f>
        <v/>
      </c>
      <c r="MZ2" s="152">
        <f>IFERROR(VLOOKUP($MM2,$AV$2:$BA$84,2,FALSE),"")</f>
        <v/>
      </c>
      <c r="NA2" s="152">
        <f>IFERROR(VLOOKUP($MN2,$AV$2:$BA$84,2,FALSE),"")</f>
        <v/>
      </c>
      <c r="NB2" s="152">
        <f>IFERROR(VLOOKUP($MK2,$AV$2:$BA$84,3,FALSE),0)</f>
        <v/>
      </c>
      <c r="NC2" s="152">
        <f>IFERROR(VLOOKUP($ML2,$AV$2:$BA$84,3,FALSE),0)</f>
        <v/>
      </c>
      <c r="ND2" s="152">
        <f>IFERROR(VLOOKUP($MM2,$AV$2:$BA$84,3,FALSE),0)</f>
        <v/>
      </c>
      <c r="NE2" s="152">
        <f>IFERROR(VLOOKUP($MN2,$AV$2:$BA$84,3,FALSE),0)</f>
        <v/>
      </c>
      <c r="NF2" s="152">
        <f>IF($MF2=0,0,IF($MW2=0,0,INDEX($X$2:$X$11,$MW2)))</f>
        <v/>
      </c>
      <c r="NG2" s="152">
        <f>IF(OR($NB2=0,$MF2=0),0,$NB2+3*IF(AND($MX2&lt;&gt;"",OR($MX2=INDEX($EF$2:$EF$13,$MB2),$MX2=INDEX($EG$2:$EG$13,$MB2))),1,0))</f>
        <v/>
      </c>
      <c r="NH2" s="152">
        <f>IF(OR($NC2=0,$MF2=0),0,$NC2+3*IF(AND($MY2&lt;&gt;"",OR($MY2=INDEX($EF$2:$EF$13,$MB2),$MY2=INDEX($EG$2:$EG$13,$MB2))),1,0))</f>
        <v/>
      </c>
      <c r="NI2" s="152">
        <f>IF(OR($ND2=0,$MF2=0),0,$ND2+3*IF(AND($MZ2&lt;&gt;"",OR($MZ2=INDEX($EF$2:$EF$13,$MB2),$MZ2=INDEX($EG$2:$EG$13,$MB2))),1,0))</f>
        <v/>
      </c>
      <c r="NJ2" s="152">
        <f>IF(OR($NE2=0,$MF2=0),0,$NE2+3*IF(AND($NA2&lt;&gt;"",OR($NA2=INDEX($EF$2:$EF$13,$MB2),$NA2=INDEX($EG$2:$EG$13,$MB2))),1,0))</f>
        <v/>
      </c>
      <c r="NK2" s="152">
        <f>IF($MW2=0,0,IF(INDEX($W$2:$W$11,$MW2)="",0,IF(COUNTIF(INDEX($EF$2:$EJ$13,$MB2,0),INDEX($W$2:$W$11,$MW2))=0,1,0)))</f>
        <v/>
      </c>
      <c r="NL2" s="152">
        <f>IF(OR($NB2=0,$MX2=""),0,IF(COUNTIF(INDEX($EF$2:$EJ$13,$MB2,0),$MX2)=0,1,0))</f>
        <v/>
      </c>
      <c r="NM2" s="152">
        <f>IF(OR($NC2=0,$MY2=""),0,IF(COUNTIF(INDEX($EF$2:$EJ$13,$MB2,0),$MY2)=0,1,0))</f>
        <v/>
      </c>
      <c r="NN2" s="152">
        <f>IF(OR($ND2=0,$MZ2=""),0,IF(COUNTIF(INDEX($EF$2:$EJ$13,$MB2,0),$MZ2)=0,1,0))</f>
        <v/>
      </c>
      <c r="NO2" s="152">
        <f>IF(OR($NE2=0,$NA2=""),0,IF(COUNTIF(INDEX($EF$2:$EJ$13,$MB2,0),$NA2)=0,1,0))</f>
        <v/>
      </c>
      <c r="NP2" s="152">
        <f>IFERROR(VLOOKUP($MK2,$AV$2:$BA$84,4,FALSE),0)+IFERROR(VLOOKUP($ML2,$AV$2:$BA$84,4,FALSE),0)+IFERROR(VLOOKUP($MM2,$AV$2:$BA$84,4,FALSE),0)+IFERROR(VLOOKUP($MN2,$AV$2:$BA$84,4,FALSE),0)</f>
        <v/>
      </c>
      <c r="NQ2" s="152">
        <f>IFERROR(VLOOKUP($MK2,$AV$2:$BA$84,6,FALSE),0)+IFERROR(VLOOKUP($ML2,$AV$2:$BA$84,6,FALSE),0)+IFERROR(VLOOKUP($MM2,$AV$2:$BA$84,6,FALSE),0)+IFERROR(VLOOKUP($MN2,$AV$2:$BA$84,6,FALSE),0)</f>
        <v/>
      </c>
      <c r="NR2" s="152">
        <f>TEXTJOIN(", ",TRUE,IF(IFERROR(VLOOKUP($MK2,$AV$2:$BA$84,5,FALSE),0)=1,$MK2,""),IF(IFERROR(VLOOKUP($ML2,$AV$2:$BA$84,5,FALSE),0)=1,$ML2,""),IF(IFERROR(VLOOKUP($MM2,$AV$2:$BA$84,5,FALSE),0)=1,$MM2,""),IF(IFERROR(VLOOKUP($MN2,$AV$2:$BA$84,5,FALSE),0)=1,$MN2,""))</f>
        <v/>
      </c>
      <c r="NS2" s="152">
        <f>IF($MW2=0,0,INDEX($Y$2:$Y$11,$MW2))</f>
        <v/>
      </c>
      <c r="NT2" s="152">
        <f>IF($MW2=0,0,INDEX($Z$2:$Z$11,$MW2))</f>
        <v/>
      </c>
      <c r="NU2" s="152">
        <f>IF($MW2=0,0,INDEX($AB$2:$AB$11,$MW2))</f>
        <v/>
      </c>
      <c r="NV2" s="152">
        <f>IFERROR(VLOOKUP($MO2,$BC$2:$BG$24,3,FALSE),0)</f>
        <v/>
      </c>
      <c r="NW2" s="152">
        <f>IFERROR(VLOOKUP($MP2,$BC$2:$BG$24,3,FALSE),0)</f>
        <v/>
      </c>
      <c r="NX2" s="152">
        <f>IFERROR(VLOOKUP($MO2,$BC$2:$BG$24,2,FALSE),"")</f>
        <v/>
      </c>
      <c r="NY2" s="152">
        <f>IFERROR(VLOOKUP($MP2,$BC$2:$BG$24,2,FALSE),"")</f>
        <v/>
      </c>
      <c r="NZ2" s="152">
        <f>COUNTIF($NF2:$NJ2,1)</f>
        <v/>
      </c>
      <c r="OA2" s="152">
        <f>COUNTIF($NF2:$NJ2,2)</f>
        <v/>
      </c>
      <c r="OB2" s="152">
        <f>COUNTIF($NF2:$NJ2,3)</f>
        <v/>
      </c>
      <c r="OC2" s="152">
        <f>COUNTIF($NF2:$NJ2,4)</f>
        <v/>
      </c>
      <c r="OD2" s="152">
        <f>COUNTIF($NF2:$NJ2,5)</f>
        <v/>
      </c>
      <c r="OE2" s="152">
        <f>COUNTIF($NF2:$NJ2,6)</f>
        <v/>
      </c>
      <c r="OF2" s="152">
        <f>COUNTIF($NV2:$NW2,1)</f>
        <v/>
      </c>
      <c r="OG2" s="152">
        <f>COUNTIF($NV2:$NW2,2)+$NS2</f>
        <v/>
      </c>
      <c r="OH2" s="152">
        <f>COUNTIF($MK2:$MN2,"?*")</f>
        <v/>
      </c>
      <c r="OI2" s="152">
        <f>COUNTIF($MO2:$MP2,"?*")+$NS2</f>
        <v/>
      </c>
      <c r="OJ2" s="152">
        <f>IF($MF2=0,0,SUMPRODUCT($NZ2:$OE2,INDEX($I$2:$N$8,MAX(1,$MF2),0)))</f>
        <v/>
      </c>
      <c r="OK2" s="152">
        <f>IF($MF2=0,0,$OF2*CEILING($MF2/2,1)+$OG2*$MF2)</f>
        <v/>
      </c>
      <c r="OL2" s="152">
        <f>MIN(2*$MF2,$OK2)</f>
        <v/>
      </c>
      <c r="OM2" s="152">
        <f>MIN($OL2,$OJ2)</f>
        <v/>
      </c>
      <c r="ON2" s="152">
        <f>$OL2-$OM2</f>
        <v/>
      </c>
      <c r="OO2" s="152">
        <f>IF($MF2=0,0,INDEX($P$2:$P$8,MAX(1,$MF2)))</f>
        <v/>
      </c>
      <c r="OP2" s="152">
        <f>$OO2-$OJ2+$OM2</f>
        <v/>
      </c>
      <c r="OQ2" s="152">
        <f>IF($MF2=0,MAX(0,$MT2-IF($OH2&gt;0,1,0)),MAX(0,$OP2))</f>
        <v/>
      </c>
      <c r="OR2" s="152">
        <f>IF($MF2=0,0,(IF(COUNTIF($MK2:$MN2,"Salto")&gt;0,1,0)+IF(COUNTIF($MK2:$MN2,"Queima")&gt;0,1,0)+IF(COUNTIF($MK2:$MN2,"Estilhaço")&gt;0,1,0))*FLOOR($OQ2/2,1))</f>
        <v/>
      </c>
      <c r="OS2" s="152">
        <f>MAX(0,2-SUMPRODUCT($NZ2:$OE2,$I$2:$N$2)+MIN(2,$OF2*1+$OG2*1,SUMPRODUCT($NZ2:$OE2,$I$2:$N$2)))</f>
        <v/>
      </c>
      <c r="OT2" s="152">
        <f>MAX(0,4-SUMPRODUCT($NZ2:$OE2,$I$3:$N$3)+MIN(4,$OF2*1+$OG2*2,SUMPRODUCT($NZ2:$OE2,$I$3:$N$3)))</f>
        <v/>
      </c>
      <c r="OU2" s="152">
        <f>MAX(0,6-SUMPRODUCT($NZ2:$OE2,$I$4:$N$4)+MIN(6,$OF2*2+$OG2*3,SUMPRODUCT($NZ2:$OE2,$I$4:$N$4)))</f>
        <v/>
      </c>
      <c r="OV2" s="152">
        <f>MAX(0,9-SUMPRODUCT($NZ2:$OE2,$I$5:$N$5)+MIN(8,$OF2*2+$OG2*4,SUMPRODUCT($NZ2:$OE2,$I$5:$N$5)))</f>
        <v/>
      </c>
      <c r="OW2" s="152">
        <f>MAX(0,11-SUMPRODUCT($NZ2:$OE2,$I$6:$N$6)+MIN(10,$OF2*3+$OG2*5,SUMPRODUCT($NZ2:$OE2,$I$6:$N$6)))</f>
        <v/>
      </c>
      <c r="OX2" s="152">
        <f>MAX(0,13-SUMPRODUCT($NZ2:$OE2,$I$7:$N$7)+MIN(12,$OF2*3+$OG2*6,SUMPRODUCT($NZ2:$OE2,$I$7:$N$7)))</f>
        <v/>
      </c>
      <c r="OY2" s="152">
        <f>MAX(0,16-SUMPRODUCT($NZ2:$OE2,$I$8:$N$8)+MIN(14,$OF2*4+$OG2*7,SUMPRODUCT($NZ2:$OE2,$I$8:$N$8)))</f>
        <v/>
      </c>
      <c r="OZ2" s="152">
        <f>IF($NT2=2,3*$OS2&amp;" de vida temp.",IF($NT2=3,"sem dano",IF($OS2=0,IF($NT2=1,"sem cura","sem dano"),IF($NT2=1,"cura ","")&amp;$OS2&amp;"d8")))</f>
        <v/>
      </c>
      <c r="PA2" s="152">
        <f>IF($NT2=2,3*$OT2&amp;" de vida temp.",IF($NT2=3,"sem dano",IF($OT2=0,IF($NT2=1,"sem cura","sem dano"),IF($NT2=1,"cura ","")&amp;$OT2&amp;"d8")))</f>
        <v/>
      </c>
      <c r="PB2" s="152">
        <f>IF($NT2=2,3*$OU2&amp;" de vida temp.",IF($NT2=3,"sem dano",IF($OU2=0,IF($NT2=1,"sem cura","sem dano"),IF($NT2=1,"cura ","")&amp;$OU2&amp;"d8")))</f>
        <v/>
      </c>
      <c r="PC2" s="152">
        <f>IF($NT2=2,3*$OV2&amp;" de vida temp.",IF($NT2=3,"sem dano",IF($OV2=0,IF($NT2=1,"sem cura","sem dano"),IF($NT2=1,"cura ","")&amp;$OV2&amp;"d8")))</f>
        <v/>
      </c>
      <c r="PD2" s="152">
        <f>IF($NT2=2,3*$OW2&amp;" de vida temp.",IF($NT2=3,"sem dano",IF($OW2=0,IF($NT2=1,"sem cura","sem dano"),IF($NT2=1,"cura ","")&amp;$OW2&amp;"d8")))</f>
        <v/>
      </c>
      <c r="PE2" s="152">
        <f>IF($NT2=2,3*$OX2&amp;" de vida temp.",IF($NT2=3,"sem dano",IF($OX2=0,IF($NT2=1,"sem cura","sem dano"),IF($NT2=1,"cura ","")&amp;$OX2&amp;"d8")))</f>
        <v/>
      </c>
      <c r="PF2" s="152">
        <f>IF($NT2=2,3*$OY2&amp;" de vida temp.",IF($NT2=3,"sem dano",IF($OY2=0,IF($NT2=1,"sem cura","sem dano"),IF($NT2=1,"cura ","")&amp;$OY2&amp;"d8")))</f>
        <v/>
      </c>
      <c r="PG2" s="152">
        <f>IF($MQ2=0,"",TEXTJOIN(" · ",TRUE,IF($MD2&gt;$MR2,"Este lugar abre no nível "&amp;$MD2,""),IF($MF2&gt;$MS2,"Classe "&amp;$MF2&amp;": o nível "&amp;$MR2&amp;" libera até a "&amp;$MS2,""),IF($NK2=1,"A Forma "&amp;$MH2&amp;" pede "&amp;INDEX($W$2:$W$11,$MW2)&amp;" aberta",""),IF(AND($MF2=0,$MW2&gt;0,IF($MW2=0,0,INDEX($AF$2:$AF$11,$MW2))=0),$MH2&amp;" não existe na Classe 0",""),IF($NL2=1,"Família Fechada: "&amp;$MK2,""),IF($NM2=1,"Família Fechada: "&amp;$ML2,""),IF($NN2=1,"Família Fechada: "&amp;$MM2,""),IF($NO2=1,"Família Fechada: "&amp;$MN2,""),IF(AND($MF2&gt;0,$OH2&gt;INDEX($O$2:$O$8,MAX(1,$MF2))),$OH2&amp;" Melhorias: a Classe "&amp;$MF2&amp;" aceita "&amp;INDEX($O$2:$O$8,MAX(1,$MF2)),""),IF(AND($MF2=0,$OH2&gt;1),"A básica aceita uma Melhoria",""),IF(AND($MF2=0,COUNTIF($NB2:$NE2,"&gt;1")&gt;0),"A básica só aceita Melhoria Leve",""),IF(AND($MF2&gt;0,$OI2&gt;2),$OI2&amp;" Restrições"&amp;IF($NS2=1,", contando a que a Forma "&amp;$MH2&amp;" já traz","")&amp;": o limite é 2",""),IF(AND($MF2=0,COUNTIF($MO2:$MP2,"?*")&gt;1),"A básica aceita uma Restrição Leve",""),IF(AND($MF2=0,COUNTIF($NV2:$NW2,2)&gt;0),"A básica só aceita Restrição Leve",""),IF(AND($MF2&gt;0,$OP2&lt;0),"Orçamento estourado: faltam "&amp;(-$OP2)&amp;IF($OP2&lt;-1," pontos"," ponto"),""),IF(IFERROR(VLOOKUP($MO2,$BC$2:$BG$24,4,FALSE),0)+IFERROR(VLOOKUP($MP2,$BC$2:$BG$24,4,FALSE),0)&gt;1,$NX2&amp;" e "&amp;$NY2&amp;" são as duas de frequência",""),IF(AND((COUNTIF($MK2:$MN2,"Rápido")+COUNTIF($NX2:$NY2,"Rápido"))&gt;0,(COUNTIF($MK2:$MN2,"Atrasar")+COUNTIF($NX2:$NY2,"Atrasar"))&gt;0),"Rápido não entra com Atrasar",""),IF(AND((COUNTIF($MK2:$MN2,"Reação")+COUNTIF($NX2:$NY2,"Reação"))&gt;0,(COUNTIF($MK2:$MN2,"Rápido")+COUNTIF($NX2:$NY2,"Rápido"))&gt;0),"Reação não entra com Rápido",""),IF(AND((COUNTIF($MK2:$MN2,"Reação")+COUNTIF($NX2:$NY2,"Reação"))&gt;0,(COUNTIF($MK2:$MN2,"Armado")+COUNTIF($NX2:$NY2,"Armado"))&gt;0),"Reação não entra com Armado",""),IF(AND((COUNTIF($MK2:$MN2,"Reação")+COUNTIF($NX2:$NY2,"Reação"))&gt;0,(COUNTIF($MK2:$MN2,"Atrasar")+COUNTIF($NX2:$NY2,"Atrasar"))&gt;0),"Reação não entra com Atrasar",""),IF(AND((COUNTIF($MK2:$MN2,"Reação")+COUNTIF($NX2:$NY2,"Reação"))&gt;0,(COUNTIF($MK2:$MN2,"Parado")+COUNTIF($NX2:$NY2,"Parado"))&gt;0),"Reação não entra com Parado",""),IF(AND((COUNTIF($MK2:$MN2,"Atrasar")+COUNTIF($NX2:$NY2,"Atrasar"))&gt;0,(COUNTIF($MK2:$MN2,"Parado")+COUNTIF($NX2:$NY2,"Parado"))&gt;0),"Atrasar não entra com Parado",""),IF(AND((COUNTIF($MK2:$MN2,"Armado")+COUNTIF($NX2:$NY2,"Armado"))&gt;0,(COUNTIF($MK2:$MN2,"Carregar")+COUNTIF($NX2:$NY2,"Carregar"))&gt;0),"Armado não entra com Carregar",""),IF(AND(COUNTIF($NX2:$NY2,"Corpo a Corpo")&gt;0,$NS2=0,OR($MH2="Cone",$MH2="Linha")),"Corpo a Corpo não entra em "&amp;$MH2,""),IF(AND(COUNTIF($NX2:$NY2,"Corpo a Corpo")&gt;0,$NS2=1),"A Forma "&amp;$MH2&amp;" já traz o Corpo a Corpo",""),IF(AND(COUNTIF($NX2:$NY2,"Tudo ou Nada")&gt;0,$NU2=0),"Tudo ou Nada só entra em habilidade de Teste de Resistência",""),IF(AND(COUNTIF($MK2:$MN2,"Inescapável")&gt;0,OR($OH2&gt;1,$OI2&gt;0)),"Inescapável não aceita outra peça",""),IF(AND($MF2&gt;0,$OQ2*IF(COUNTIF($MK2:$MN2,"Remate")&gt;0,1.25,1)+$OR2&gt;4*$MF2),($OQ2*IF(COUNTIF($MK2:$MN2,"Remate")&gt;0,1.25,1)+$OR2)&amp;" dados somando repetições"&amp;IF(COUNTIF($MK2:$MN2,"Remate")&gt;0," e o Remate","")&amp;": o teto da Classe "&amp;$MF2&amp;" é "&amp;4*$MF2,"")))</f>
        <v/>
      </c>
      <c r="PH2" s="152">
        <f>IF($PG2="",0,(LEN($PG2)-LEN(SUBSTITUTE($PG2," · ","")))/3+1)</f>
        <v/>
      </c>
      <c r="PI2" s="152">
        <f>IF($MQ2=0,"",TEXTJOIN(" · ",TRUE,IF($OK2&gt;2*$MF2,"A devolução parou no teto de "&amp;2*$MF2,""),IF($ON2&gt;0,"Devolução perdida: "&amp;$ON2&amp;IF($ON2&gt;1," pontos"," ponto")&amp;" sem peça para pagar",""),IF(AND($NP2&gt;0,AND($MF2&gt;0,$NT2=0),$OQ2=0),"Controle sem dano: uma rodada a mais e CD +2",""),IF(AND($NP2&gt;0,AND($MF2&gt;0,$NT2=0),$OQ2&gt;0,$OQ2&lt;=$MF2),"Controle com saldo até a Classe: uma rodada a mais",""),IF(AND($MF2&gt;0,$NR2&lt;&gt;""),"Efeito de "&amp;$NR2&amp;" pela Classe "&amp;MAX(1,$MF2-1),"")))</f>
        <v/>
      </c>
      <c r="PJ2" s="152">
        <f>IF($PI2="",0,(LEN($PI2)-LEN(SUBSTITUTE($PI2," · ","")))/3+1)</f>
        <v/>
      </c>
      <c r="PK2" s="152">
        <f>IF($MQ2=0,IF($OH2+COUNTIF($MO2:$MP2,"?*")&gt;0,"Dê um nome",""),IF($PH2&gt;0,"⚠ "&amp;$PH2&amp;IF($PH2&gt;1," erros"," erro"),IF($PJ2&gt;0,"! "&amp;$PJ2&amp;IF($PJ2&gt;1," avisos"," aviso"),"Na regra")))</f>
        <v/>
      </c>
      <c r="PL2" s="152">
        <f>IF($MQ2=0,"",IF($PH2+$PJ2=0,"Dentro das regras que a ficha confere",$PG2&amp;IF(AND($PH2&gt;0,$PJ2&gt;0)," · ","")&amp;$PI2))</f>
        <v/>
      </c>
      <c r="PM2" s="152">
        <f>IF($MD2&gt;$MR2,$ME2&amp;" · ABRE NO NÍVEL "&amp;$MD2,$ME2)</f>
        <v/>
      </c>
      <c r="PN2" s="152">
        <f>IF($MQ2=0,"",IF($MF2=0,"Sem PE",3*$MF2&amp;" PE"))</f>
        <v/>
      </c>
      <c r="PO2" s="152">
        <f>IF($MQ2=0,"",IF($MF2=0,"A atuação básica dela",IF(COUNTIF($NX2:$NY2,"Atrasar")&gt;0,"Sua Ação Completa",IF(COUNTIF($MK2:$MN2,"Rápido")&gt;0,"Sua Bônus",IF(COUNTIF($MK2:$MN2,"Reação")&gt;0,"Sua Reação","Sua Padrão")))&amp;" + a básica dela"&amp;IF(COUNTIF($MK2:$MN2,"Reação")&gt;0," e a coletiva","")&amp;IF(COUNTIF($NX2:$NY2,"Carregar")&gt;0," · em dois turnos","")))</f>
        <v/>
      </c>
      <c r="PP2" s="152">
        <f>IF($MJ2&lt;&gt;"",$MJ2,IF($MW2=0,"",INDEX($AA$2:$AA$11,$MW2)))</f>
        <v/>
      </c>
      <c r="PQ2" s="152">
        <f>IF(OR($MQ2=0,$MW2=0),"",IF(COUNTIF($MK2:$MN2,"Inescapável")&gt;0,"Automático",IF($PP2="Ataque",IF($MU2="","Ataque","Ataque "&amp;IF(($MU2+2*IF(COUNTIF($MK2:$MN2,"Precisão")&gt;0,1,0))&gt;=0,"+","−")&amp;ABS(($MU2+2*IF(COUNTIF($MK2:$MN2,"Precisão")&gt;0,1,0))))&amp;IF($NQ2&gt;0," · TR"&amp;IF($MV2="",""," CD "&amp;$MV2),""),IF(LEFT($PP2,2)="TR",$PP2&amp;IF($MV2="",""," · CD "&amp;$MV2)&amp;IF(COUNTIF($MK2:$MN2,"Certeiro")&gt;0," · metade",""),"Sem rolagem"))))</f>
        <v/>
      </c>
      <c r="PR2" s="152">
        <f>IF(OR($MQ2=0,$MW2=0),"",IF($MF2=0,IF(OR($NT2&gt;=1,$OQ2=0),"Sem dano",$OQ2&amp;"d6"&amp;IF($MI2="",""," "&amp;$MI2)),IF(OR($NT2&gt;=1,$OQ2=0),UPPER(LEFT(INDEX($OZ2:$PF2,1,MAX(1,$MF2)),1))&amp;MID(INDEX($OZ2:$PF2,1,MAX(1,$MF2)),2,99),UPPER(LEFT(INDEX($OZ2:$PF2,1,MAX(1,$MF2)),1))&amp;MID(INDEX($OZ2:$PF2,1,MAX(1,$MF2)),2,99)&amp;IF($MI2="",""," "&amp;$MI2)&amp;IF($OR2&gt;0," · +"&amp;$OR2&amp;"d8",""))))</f>
        <v/>
      </c>
      <c r="PS2" s="152">
        <f>COUNTIF($MK2:$MN2,"Longe")+3*COUNTIF($MK2:$MN2,"Muito Longe")</f>
        <v/>
      </c>
      <c r="PT2" s="152">
        <f>COUNTIF($MK2:$MN2,"Maior")+3*COUNTIF($MK2:$MN2,"Muito Maior")</f>
        <v/>
      </c>
      <c r="PU2" s="152">
        <f>IF($MW2=0,0,CHOOSE(1+INDEX($AC$2:$AC$11,$MW2),0,$PS2,$PT2,$PS2+$PT2))</f>
        <v/>
      </c>
      <c r="PV2" s="152">
        <f>IF($MW2=0,0,CHOOSE(1+INDEX($AD$2:$AD$11,$MW2),0,$PS2,$PT2,$PS2+$PT2))</f>
        <v/>
      </c>
      <c r="PW2" s="152">
        <f>IF(OR($MQ2=0,$MW2=0),"",INDEX($AI$2:$AN$41,($MW2-1)*4+IF($MF2=0,1,IF($MF2&lt;=5,2,IF($MF2=6,3,4))),1+MIN(5,$PU2))&amp;INDEX($AO$2:$AT$41,($MW2-1)*4+IF($MF2=0,1,IF($MF2&lt;=5,2,IF($MF2=6,3,4))),1+MIN(5,$PV2))&amp;IF(INDEX($AE$2:$AE$11,$MW2)=1,IF(COUNTIF($MK2:$MN2,"Mais Um")&gt;0," · +"&amp;COUNTIF($MK2:$MN2,"Mais Um")&amp;IF(COUNTIF($MK2:$MN2,"Mais Um")&gt;1," alvos"," alvo"),"")&amp;IF(COUNTIF($MK2:$MN2,"Rajada")&gt;0,IF($MF2=0," · 1 tiro"," · "&amp;(MAX(1,$MF2-1)+1)&amp;" tiros"),""),""))</f>
        <v/>
      </c>
      <c r="PX2" s="152">
        <f>IF($MQ2=0,"",IF($MF2=0,$MT2&amp;"d6"&amp;IF($OH2&gt;0," − 1 = "&amp;$OQ2&amp;"d6"," da básica do nível "&amp;$MR2),$OO2&amp;" − "&amp;$OJ2&amp;" + "&amp;$OM2&amp;" = "&amp;$OP2&amp;" · teto "&amp;4*$MF2&amp;"d8"&amp;IF($NS2=1," · a Forma devolve "&amp;$MF2,"")&amp;IF($ON2&gt;0," · perde "&amp;$ON2,"")))</f>
        <v/>
      </c>
      <c r="PY2" s="152">
        <f>IF($MQ2=0,"",IF($MF2=0,"A básica não amplia: os dados dela sobem com o nível",IF($MF2&gt;=$MS2,"Já está na maior Classe que o nível liberou",TEXTJOIN(" · ",TRUE,IF(AND(2&gt;$MF2,2&lt;=$MS2),"2 → "&amp;$PA2&amp;", 6 PE",""),IF(AND(3&gt;$MF2,3&lt;=$MS2),"3 → "&amp;$PB2&amp;", 9 PE",""),IF(AND(4&gt;$MF2,4&lt;=$MS2),"4 → "&amp;$PC2&amp;", 12 PE",""),IF(AND(5&gt;$MF2,5&lt;=$MS2),"5 → "&amp;$PD2&amp;", 15 PE",""),IF(AND(6&gt;$MF2,6&lt;=$MS2),"6 → "&amp;$PE2&amp;", 18 PE",""),IF(AND(7&gt;$MF2,7&lt;=$MS2),"7 → "&amp;$PF2&amp;", 21 PE","")))))</f>
        <v/>
      </c>
      <c r="PZ2" s="152">
        <f>IF(OR($MQ2=0,$NB2=0),"",IF($MF2=0,"−1 dado","−"&amp;INDEX($I$2:$N$8,MAX(1,$MF2),MAX(1,$NG2))&amp;" · "&amp;CHOOSE(MAX(1,$NG2),"Leve","Média","Pesada","Leve · Livre","Média · Livre","Pesada · Livre")))</f>
        <v/>
      </c>
      <c r="QA2" s="152">
        <f>IF(OR($MQ2=0,$NC2=0),"",IF($MF2=0,"−1 dado","−"&amp;INDEX($I$2:$N$8,MAX(1,$MF2),MAX(1,$NH2))&amp;" · "&amp;CHOOSE(MAX(1,$NH2),"Leve","Média","Pesada","Leve · Livre","Média · Livre","Pesada · Livre")))</f>
        <v/>
      </c>
      <c r="QB2" s="152">
        <f>IF(OR($MQ2=0,$ND2=0),"",IF($MF2=0,"−1 dado","−"&amp;INDEX($I$2:$N$8,MAX(1,$MF2),MAX(1,$NI2))&amp;" · "&amp;CHOOSE(MAX(1,$NI2),"Leve","Média","Pesada","Leve · Livre","Média · Livre","Pesada · Livre")))</f>
        <v/>
      </c>
      <c r="QC2" s="152">
        <f>IF(OR($MQ2=0,$NE2=0),"",IF($MF2=0,"−1 dado","−"&amp;INDEX($I$2:$N$8,MAX(1,$MF2),MAX(1,$NJ2))&amp;" · "&amp;CHOOSE(MAX(1,$NJ2),"Leve","Média","Pesada","Leve · Livre","Média · Livre","Pesada · Livre")))</f>
        <v/>
      </c>
      <c r="QD2" s="152">
        <f>IF(OR($MQ2=0,$MO2=""),"",IF($MF2=0,"não devolve","+"&amp;IF($NV2=1,CEILING($MF2/2,1),$MF2)))</f>
        <v/>
      </c>
      <c r="QE2" s="152">
        <f>IF(OR($MQ2=0,$MP2=""),"",IF($MF2=0,"não devolve","+"&amp;IF($NW2=1,CEILING($MF2/2,1),$MF2)))</f>
        <v/>
      </c>
      <c r="QG2" s="150" t="inlineStr">
        <is>
          <t>E13</t>
        </is>
      </c>
      <c r="QH2" s="152">
        <f>IF(DADOS_INVOC!$CX$3&gt;=0,"+","−")&amp;ABS(DADOS_INVOC!$CX$3)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A3" s="152" t="n">
        <v>0</v>
      </c>
      <c r="BC3" s="150" t="inlineStr">
        <is>
          <t>Atrasar</t>
        </is>
      </c>
      <c r="BD3" s="150" t="inlineStr">
        <is>
          <t>Atrasar</t>
        </is>
      </c>
      <c r="BE3" s="152" t="n">
        <v>2</v>
      </c>
      <c r="BF3" s="152" t="n">
        <v>0</v>
      </c>
      <c r="BG3" s="150" t="inlineStr"/>
      <c r="BI3" s="150" t="inlineStr">
        <is>
          <t>Instinto</t>
        </is>
      </c>
      <c r="BJ3" s="152" t="n">
        <v>1</v>
      </c>
      <c r="BK3" s="150" t="inlineStr">
        <is>
          <t>Você não é pego de surpresa enquanto estiver acordado. Isso não revela criaturas escondidas, não muda sua posição na iniciativa e não concede uma ação adicional.</t>
        </is>
      </c>
      <c r="BL3" s="150" t="inlineStr">
        <is>
          <t>Instinto</t>
        </is>
      </c>
      <c r="BN3" s="150" t="inlineStr">
        <is>
          <t>Corpo amaldiçoado de técnica</t>
        </is>
      </c>
      <c r="BP3" s="150" t="inlineStr">
        <is>
          <t>Lista de ritual</t>
        </is>
      </c>
      <c r="BQ3" s="152" t="n">
        <v>1</v>
      </c>
      <c r="BS3" s="150" t="inlineStr">
        <is>
          <t>Área</t>
        </is>
      </c>
      <c r="BU3" s="150" t="inlineStr">
        <is>
          <t>Destreza</t>
        </is>
      </c>
      <c r="BW3" s="150" t="inlineStr">
        <is>
          <t>Vigor</t>
        </is>
      </c>
      <c r="BY3" s="150" t="inlineStr">
        <is>
          <t>Destreza</t>
        </is>
      </c>
      <c r="CA3" s="150" t="inlineStr">
        <is>
          <t>Acrobacia</t>
        </is>
      </c>
      <c r="CB3" s="150" t="inlineStr">
        <is>
          <t>Destreza</t>
        </is>
      </c>
      <c r="CD3" s="150" t="inlineStr">
        <is>
          <t>Com carga</t>
        </is>
      </c>
      <c r="CF3" s="150" t="inlineStr">
        <is>
          <t>Perfurante</t>
        </is>
      </c>
      <c r="CH3" s="150" t="inlineStr">
        <is>
          <t>TR Físico</t>
        </is>
      </c>
      <c r="CJ3" s="152" t="n">
        <v>1</v>
      </c>
      <c r="CL3" s="152" t="n">
        <v>21</v>
      </c>
      <c r="CM3" s="150" t="inlineStr">
        <is>
          <t>22d8</t>
        </is>
      </c>
      <c r="CN3" s="152" t="n">
        <v>12</v>
      </c>
      <c r="CO3" s="152" t="n">
        <v>30</v>
      </c>
      <c r="CQ3" s="150" t="inlineStr">
        <is>
          <t>Completa</t>
        </is>
      </c>
      <c r="CR3" s="150" t="inlineStr">
        <is>
          <t>Mais 1 espaço; total 3.</t>
        </is>
      </c>
      <c r="CS3" s="150" t="inlineStr">
        <is>
          <t>Incompleta, nível 14 dela e seu refino 5.</t>
        </is>
      </c>
      <c r="CU3" s="150" t="inlineStr">
        <is>
          <t>Inteligência</t>
        </is>
      </c>
      <c r="CW3" s="150" t="inlineStr">
        <is>
          <t>maestria</t>
        </is>
      </c>
      <c r="CX3" s="152">
        <f>N(FICHA!$D$51)</f>
        <v/>
      </c>
      <c r="CZ3" s="152" t="n">
        <v>2</v>
      </c>
      <c r="DA3" s="152">
        <f>'INVOCAÇÕES'!$I$211&amp;""</f>
        <v/>
      </c>
      <c r="DB3" s="152">
        <f>'INVOCAÇÕES'!$I$241&amp;""</f>
        <v/>
      </c>
      <c r="DC3" s="152">
        <f>'INVOCAÇÕES'!$I$245&amp;""</f>
        <v/>
      </c>
      <c r="DD3" s="152">
        <f>N('INVOCAÇÕES'!$K$245)</f>
        <v/>
      </c>
      <c r="DE3" s="152">
        <f>'INVOCAÇÕES'!$L$245&amp;""</f>
        <v/>
      </c>
      <c r="DF3" s="152">
        <f>N('INVOCAÇÕES'!$O$218)</f>
        <v/>
      </c>
      <c r="DG3" s="152">
        <f>N('INVOCAÇÕES'!$P$218)</f>
        <v/>
      </c>
      <c r="DH3" s="152">
        <f>N('INVOCAÇÕES'!$Q$218)</f>
        <v/>
      </c>
      <c r="DI3" s="152">
        <f>N('INVOCAÇÕES'!$R$218)</f>
        <v/>
      </c>
      <c r="DJ3" s="152">
        <f>N('INVOCAÇÕES'!$S$218)</f>
        <v/>
      </c>
      <c r="DK3" s="152">
        <f>N('INVOCAÇÕES'!$O$219)</f>
        <v/>
      </c>
      <c r="DL3" s="152">
        <f>N('INVOCAÇÕES'!$P$219)</f>
        <v/>
      </c>
      <c r="DM3" s="152">
        <f>N('INVOCAÇÕES'!$Q$219)</f>
        <v/>
      </c>
      <c r="DN3" s="152">
        <f>N('INVOCAÇÕES'!$R$219)</f>
        <v/>
      </c>
      <c r="DO3" s="152">
        <f>N('INVOCAÇÕES'!$S$219)</f>
        <v/>
      </c>
      <c r="DP3" s="152">
        <f>'INVOCAÇÕES'!$O$232&amp;""</f>
        <v/>
      </c>
      <c r="DQ3" s="152">
        <f>'INVOCAÇÕES'!$R$232&amp;""</f>
        <v/>
      </c>
      <c r="DR3" s="152">
        <f>'INVOCAÇÕES'!$S$227&amp;""</f>
        <v/>
      </c>
      <c r="DS3" s="152">
        <f>N('INVOCAÇÕES'!$O$224)</f>
        <v/>
      </c>
      <c r="DT3" s="152">
        <f>N('INVOCAÇÕES'!$P$224)</f>
        <v/>
      </c>
      <c r="DU3" s="152">
        <f>N('INVOCAÇÕES'!$Q$224)</f>
        <v/>
      </c>
      <c r="DV3" s="152">
        <f>N('INVOCAÇÕES'!$R$224)</f>
        <v/>
      </c>
      <c r="DW3" s="152">
        <f>N('INVOCAÇÕES'!$S$224)</f>
        <v/>
      </c>
      <c r="DX3" s="152">
        <f>N('INVOCAÇÕES'!$O$229)</f>
        <v/>
      </c>
      <c r="DY3" s="152">
        <f>N('INVOCAÇÕES'!$P$229)</f>
        <v/>
      </c>
      <c r="DZ3" s="152">
        <f>N('INVOCAÇÕES'!$Q$229)</f>
        <v/>
      </c>
      <c r="EA3" s="152">
        <f>N('INVOCAÇÕES'!$R$229)</f>
        <v/>
      </c>
      <c r="EB3" s="152">
        <f>'INVOCAÇÕES'!$U$211&amp;""</f>
        <v/>
      </c>
      <c r="EC3" s="152">
        <f>N('INVOCAÇÕES'!$W$211)</f>
        <v/>
      </c>
      <c r="ED3" s="152">
        <f>'INVOCAÇÕES'!$Y$211&amp;""</f>
        <v/>
      </c>
      <c r="EE3" s="152">
        <f>SUM('INVOCAÇÕES'!$Y$231:'INVOCAÇÕES'!$Y$233,'INVOCAÇÕES'!$Y$235:'INVOCAÇÕES'!$Y$240)</f>
        <v/>
      </c>
      <c r="EF3" s="152">
        <f>'INVOCAÇÕES'!$O$246&amp;""</f>
        <v/>
      </c>
      <c r="EG3" s="152">
        <f>'INVOCAÇÕES'!$P$246&amp;""</f>
        <v/>
      </c>
      <c r="EH3" s="152">
        <f>'INVOCAÇÕES'!$Q$246&amp;""</f>
        <v/>
      </c>
      <c r="EI3" s="152">
        <f>'INVOCAÇÕES'!$R$246&amp;""</f>
        <v/>
      </c>
      <c r="EJ3" s="152">
        <f>'INVOCAÇÕES'!$S$246&amp;""</f>
        <v/>
      </c>
      <c r="EK3" s="152">
        <f>'INVOCAÇÕES'!$O$236&amp;""</f>
        <v/>
      </c>
      <c r="EL3" s="152">
        <f>'INVOCAÇÕES'!$O$237&amp;""</f>
        <v/>
      </c>
      <c r="EM3" s="152">
        <f>'INVOCAÇÕES'!$O$238&amp;""</f>
        <v/>
      </c>
      <c r="EN3" s="152">
        <f>'INVOCAÇÕES'!$O$239&amp;""</f>
        <v/>
      </c>
      <c r="EO3" s="152">
        <f>'INVOCAÇÕES'!$O$240&amp;""</f>
        <v/>
      </c>
      <c r="EP3" s="152">
        <f>'INVOCAÇÕES'!$O$241&amp;""</f>
        <v/>
      </c>
      <c r="EQ3" s="152">
        <f>'INVOCAÇÕES'!$O$242&amp;""</f>
        <v/>
      </c>
      <c r="ER3" s="152">
        <f>'INVOCAÇÕES'!$J$278&amp;""</f>
        <v/>
      </c>
      <c r="ES3" s="152">
        <f>'INVOCAÇÕES'!$J$279&amp;""</f>
        <v/>
      </c>
      <c r="ET3" s="152">
        <f>'INVOCAÇÕES'!$J$280&amp;""</f>
        <v/>
      </c>
      <c r="EU3" s="152">
        <f>'INVOCAÇÕES'!$J$281&amp;""</f>
        <v/>
      </c>
      <c r="EV3" s="152">
        <f>'INVOCAÇÕES'!$J$282&amp;""</f>
        <v/>
      </c>
      <c r="EW3" s="152">
        <f>'INVOCAÇÕES'!$J$283&amp;""</f>
        <v/>
      </c>
      <c r="EX3" s="152">
        <f>'INVOCAÇÕES'!$J$284&amp;""</f>
        <v/>
      </c>
      <c r="EY3" s="152">
        <f>'INVOCAÇÕES'!$J$285&amp;""</f>
        <v/>
      </c>
      <c r="EZ3" s="152">
        <f>'INVOCAÇÕES'!$J$380&amp;""</f>
        <v/>
      </c>
      <c r="FA3" s="152">
        <f>'INVOCAÇÕES'!$J$381&amp;""</f>
        <v/>
      </c>
      <c r="FB3" s="152">
        <f>'INVOCAÇÕES'!$J$382&amp;""</f>
        <v/>
      </c>
      <c r="FC3" s="152">
        <f>MAX(3,MIN(7,N('INVOCAÇÕES'!$I$387)))</f>
        <v/>
      </c>
      <c r="FD3" s="152">
        <f>MAX(3,MIN(7,N('INVOCAÇÕES'!$O$387)))</f>
        <v/>
      </c>
      <c r="FE3" s="152">
        <f>MAX(3,MIN(7,N('INVOCAÇÕES'!$U$387)))</f>
        <v/>
      </c>
      <c r="FF3" s="152">
        <f>'INVOCAÇÕES'!$O$401&amp;""</f>
        <v/>
      </c>
      <c r="FG3" s="152">
        <f>IF($DA3&lt;&gt;"",1,0)</f>
        <v/>
      </c>
      <c r="FH3" s="152">
        <f>IFERROR(VLOOKUP($DC3,$BP$2:$BQ$5,2,FALSE),1)</f>
        <v/>
      </c>
      <c r="FI3" s="152">
        <f>IF($FH3=1,$CX$2,MAX(1,MIN($CX$2,IF($DD3=0,$CX$2,$DD3))))</f>
        <v/>
      </c>
      <c r="FJ3" s="152">
        <f>VLOOKUP(MAX(1,$FI3),$A$2:$D$8,2,TRUE)</f>
        <v/>
      </c>
      <c r="FK3" s="152">
        <f>VLOOKUP(MAX(1,$FI3),$A$2:$D$8,3,TRUE)</f>
        <v/>
      </c>
      <c r="FL3" s="152">
        <f>$DF3+$DK3</f>
        <v/>
      </c>
      <c r="FM3" s="152">
        <f>$DG3+$DL3</f>
        <v/>
      </c>
      <c r="FN3" s="152">
        <f>$DH3+$DM3</f>
        <v/>
      </c>
      <c r="FO3" s="152">
        <f>$DI3+$DN3</f>
        <v/>
      </c>
      <c r="FP3" s="152">
        <f>$DJ3+$DO3</f>
        <v/>
      </c>
      <c r="FQ3" s="152">
        <f>SUM($DF3:$DJ3)</f>
        <v/>
      </c>
      <c r="FR3" s="152">
        <f>9+$FS3</f>
        <v/>
      </c>
      <c r="FS3" s="152">
        <f>COUNTIF($F$2:$F$8,"&lt;="&amp;$FI3)</f>
        <v/>
      </c>
      <c r="FT3" s="152">
        <f>MAX(0,$DF3-3)+MAX(0,$DG3-3)+MAX(0,$DH3-3)+MAX(0,$DI3-3)+MAX(0,$DJ3-3)</f>
        <v/>
      </c>
      <c r="FU3" s="152">
        <f>IFERROR(INDEX($FL3:$FP3,1,MATCH($DP3,$BU$2:$BU$6,0)),"")</f>
        <v/>
      </c>
      <c r="FV3" s="152">
        <f>IF($FU3="","",$FU3+$CX$3+$DS3)</f>
        <v/>
      </c>
      <c r="FW3" s="152">
        <f>IF($FU3="","",8+$FU3+$CX$3+$DT3)</f>
        <v/>
      </c>
      <c r="FX3" s="152">
        <f>10+$FM3+$CX$7+$DU3</f>
        <v/>
      </c>
      <c r="FY3" s="152">
        <f>IF($DB3="Corpo amaldiçoado de criação",1,0)</f>
        <v/>
      </c>
      <c r="FZ3" s="152">
        <f>5+$FN3+(3+$FY3+$FN3)*($FI3-1)+$DV3</f>
        <v/>
      </c>
      <c r="GA3" s="152">
        <f>IF($FG3=0,"",$FZ3)</f>
        <v/>
      </c>
      <c r="GB3" s="152">
        <f>IF($EB3="",$FZ3,MAX(0,MIN(IFERROR(VALUE($EB3),$FZ3),$FZ3)))</f>
        <v/>
      </c>
      <c r="GC3" s="152">
        <f>9+$DW3</f>
        <v/>
      </c>
      <c r="GD3" s="152">
        <f>IF($DQ3="Destreza",$FM3,$FL3)</f>
        <v/>
      </c>
      <c r="GE3" s="152">
        <f>$GD3+IF($DR3="Físico",$CX$3,0)+$DX3</f>
        <v/>
      </c>
      <c r="GF3" s="152">
        <f>$FN3+IF($DR3="Vigor",$CX$3,0)+$DY3</f>
        <v/>
      </c>
      <c r="GG3" s="152">
        <f>$FO3+IF($DR3="Intelecto",$CX$3,0)+$DZ3</f>
        <v/>
      </c>
      <c r="GH3" s="152">
        <f>$FP3+IF($DR3="Espírito",$CX$3,0)+$EA3</f>
        <v/>
      </c>
      <c r="GI3" s="152">
        <f>4+INT($DI3/2)</f>
        <v/>
      </c>
      <c r="GJ3" s="152">
        <f>COUNTIF($EK3:$EQ3,"?*")</f>
        <v/>
      </c>
      <c r="GK3" s="152">
        <f>INT((2+$FI3/2)/2)</f>
        <v/>
      </c>
      <c r="GL3" s="152">
        <f>IF($FI3&gt;=11,2,1)</f>
        <v/>
      </c>
      <c r="GM3" s="152">
        <f>1+$FS3</f>
        <v/>
      </c>
      <c r="GN3" s="152">
        <f>COUNTIF($ER3:$EY3,"?*")</f>
        <v/>
      </c>
      <c r="GO3" s="152">
        <f>IF(AND($DB3="Shikigami de criação",$DE3="Com carga"),MAX(1,CEILING($FJ3/2,1)),$FJ3)</f>
        <v/>
      </c>
      <c r="GP3" s="152">
        <f>$FJ3+$GO3</f>
        <v/>
      </c>
      <c r="GQ3" s="152">
        <f>$FI3*(1+INT($DJ3/3))</f>
        <v/>
      </c>
      <c r="GR3" s="152">
        <f>5+$FL3</f>
        <v/>
      </c>
      <c r="GS3" s="152">
        <f>COUNTIF($EF3:$EJ3,"?*")</f>
        <v/>
      </c>
      <c r="GT3" s="152">
        <f>IF($EF3="",0,IF(COUNTIF($EF3:$EJ3,$EF3)&gt;1,1,0))+IF($EG3="",0,IF(COUNTIF($EF3:$EJ3,$EG3)&gt;1,1,0))+IF($EH3="",0,IF(COUNTIF($EF3:$EJ3,$EH3)&gt;1,1,0))+IF($EI3="",0,IF(COUNTIF($EF3:$EJ3,$EI3)&gt;1,1,0))+IF($EJ3="",0,IF(COUNTIF($EF3:$EJ3,$EJ3)&gt;1,1,0))</f>
        <v/>
      </c>
      <c r="GU3" s="152">
        <f>$CX$11</f>
        <v/>
      </c>
      <c r="GV3" s="152">
        <f>IF($FG3=0,"INVOCAÇÃO 2 · lugar vazio",$DA3&amp;" · "&amp;$DB3&amp;" · nível "&amp;$FI3&amp;" · vida "&amp;$GB3&amp;" de "&amp;$FZ3)</f>
        <v/>
      </c>
      <c r="GW3" s="152">
        <f>IF($FG3=0,"VAZIA",UPPER($DA3))</f>
        <v/>
      </c>
      <c r="GX3" s="152">
        <f>IF($CX$3&gt;=0,"+","−")&amp;ABS($CX$3)</f>
        <v/>
      </c>
      <c r="GY3" s="152">
        <f>$GO3&amp;" PE"</f>
        <v/>
      </c>
      <c r="GZ3" s="152">
        <f>$GP3&amp;" PE"</f>
        <v/>
      </c>
      <c r="HA3" s="152">
        <f>IF(OR($FQ3&gt;$FR3,$FT3&gt;$FS3),"⚠ ",IF(AND($FG3=1,$FQ3&lt;$FR3),"! ",""))&amp;"ATRIBUTOS · "&amp;$FQ3&amp;" DE "&amp;$FR3&amp;" PONTOS"&amp;IF($FT3&gt;$FS3," · ACIMA DE 3 SÓ COM MARCO","")</f>
        <v/>
      </c>
      <c r="HB3" s="152">
        <f>IF($FV3="","",IF($FV3&gt;=0,"+","−")&amp;ABS($FV3))</f>
        <v/>
      </c>
      <c r="HC3" s="152">
        <f>IF($FW3="","",$FW3)</f>
        <v/>
      </c>
      <c r="HD3" s="152">
        <f>SUBSTITUTE($GC3&amp;" m",".",",")</f>
        <v/>
      </c>
      <c r="HE3" s="152">
        <f>IF($GE3&gt;=0,"+","−")&amp;ABS($GE3)</f>
        <v/>
      </c>
      <c r="HF3" s="152">
        <f>IF($GF3&gt;=0,"+","−")&amp;ABS($GF3)</f>
        <v/>
      </c>
      <c r="HG3" s="152">
        <f>IF($GG3&gt;=0,"+","−")&amp;ABS($GG3)</f>
        <v/>
      </c>
      <c r="HH3" s="152">
        <f>IF($GH3&gt;=0,"+","−")&amp;ABS($GH3)</f>
        <v/>
      </c>
      <c r="HI3" s="152">
        <f>IF($GJ3&gt;$GI3,"⚠ ","")&amp;"PERÍCIAS · "&amp;$GJ3&amp;" DE "&amp;$GI3</f>
        <v/>
      </c>
      <c r="HJ3" s="152">
        <f>IF($EK3="","",IFERROR(IF((INDEX($FL3:$FP3,1,MATCH(VLOOKUP($EK3,$CA$2:$CB$24,2,FALSE),$BU$2:$BU$6,0))+$CX$3)&gt;=0,"+","−")&amp;ABS((INDEX($FL3:$FP3,1,MATCH(VLOOKUP($EK3,$CA$2:$CB$24,2,FALSE),$BU$2:$BU$6,0))+$CX$3)),""))</f>
        <v/>
      </c>
      <c r="HK3" s="152">
        <f>IF($EL3="","",IFERROR(IF((INDEX($FL3:$FP3,1,MATCH(VLOOKUP($EL3,$CA$2:$CB$24,2,FALSE),$BU$2:$BU$6,0))+$CX$3)&gt;=0,"+","−")&amp;ABS((INDEX($FL3:$FP3,1,MATCH(VLOOKUP($EL3,$CA$2:$CB$24,2,FALSE),$BU$2:$BU$6,0))+$CX$3)),""))</f>
        <v/>
      </c>
      <c r="HL3" s="152">
        <f>IF($EM3="","",IFERROR(IF((INDEX($FL3:$FP3,1,MATCH(VLOOKUP($EM3,$CA$2:$CB$24,2,FALSE),$BU$2:$BU$6,0))+$CX$3)&gt;=0,"+","−")&amp;ABS((INDEX($FL3:$FP3,1,MATCH(VLOOKUP($EM3,$CA$2:$CB$24,2,FALSE),$BU$2:$BU$6,0))+$CX$3)),""))</f>
        <v/>
      </c>
      <c r="HM3" s="152">
        <f>IF($EN3="","",IFERROR(IF((INDEX($FL3:$FP3,1,MATCH(VLOOKUP($EN3,$CA$2:$CB$24,2,FALSE),$BU$2:$BU$6,0))+$CX$3)&gt;=0,"+","−")&amp;ABS((INDEX($FL3:$FP3,1,MATCH(VLOOKUP($EN3,$CA$2:$CB$24,2,FALSE),$BU$2:$BU$6,0))+$CX$3)),""))</f>
        <v/>
      </c>
      <c r="HN3" s="152">
        <f>IF($EO3="","",IFERROR(IF((INDEX($FL3:$FP3,1,MATCH(VLOOKUP($EO3,$CA$2:$CB$24,2,FALSE),$BU$2:$BU$6,0))+$CX$3)&gt;=0,"+","−")&amp;ABS((INDEX($FL3:$FP3,1,MATCH(VLOOKUP($EO3,$CA$2:$CB$24,2,FALSE),$BU$2:$BU$6,0))+$CX$3)),""))</f>
        <v/>
      </c>
      <c r="HO3" s="152">
        <f>IF($EP3="","",IFERROR(IF((INDEX($FL3:$FP3,1,MATCH(VLOOKUP($EP3,$CA$2:$CB$24,2,FALSE),$BU$2:$BU$6,0))+$CX$3)&gt;=0,"+","−")&amp;ABS((INDEX($FL3:$FP3,1,MATCH(VLOOKUP($EP3,$CA$2:$CB$24,2,FALSE),$BU$2:$BU$6,0))+$CX$3)),""))</f>
        <v/>
      </c>
      <c r="HP3" s="152">
        <f>IF($EQ3="","",IFERROR(IF((INDEX($FL3:$FP3,1,MATCH(VLOOKUP($EQ3,$CA$2:$CB$24,2,FALSE),$BU$2:$BU$6,0))+$CX$3)&gt;=0,"+","−")&amp;ABS((INDEX($FL3:$FP3,1,MATCH(VLOOKUP($EQ3,$CA$2:$CB$24,2,FALSE),$BU$2:$BU$6,0))+$CX$3)),""))</f>
        <v/>
      </c>
      <c r="HQ3" s="152">
        <f>IF($DB3="Maldição domada","RESERVA · MÁX. "&amp;$GQ3,"RESERVA DE PE")</f>
        <v/>
      </c>
      <c r="HR3" s="152">
        <f>IF($EE3&gt;$GR3,"⚠ ","")&amp;"EQUIPAMENTO · "&amp;$EE3&amp;" DE "&amp;$GR3&amp;" DE VOLUME"&amp;IF($EE3&gt;$GR3," · PASSOU DO LIMITE","")</f>
        <v/>
      </c>
      <c r="HS3" s="152">
        <f>IF(OR($GT3&gt;0,$GS3&gt;$GU3),"⚠ ","")&amp;"FAMÍLIAS · "&amp;$GS3&amp;" ABERTAS"&amp;IF($GT3&gt;0," · REPETIDA","")&amp;IF($GS3&gt;$GU3," · O LIMITE É "&amp;$GU3,"")</f>
        <v/>
      </c>
      <c r="HT3" s="152">
        <f>"HABILIDADES · básica de "&amp;$FK3&amp;"d6 · "&amp;$GK3&amp;IF($GK3&gt;1," espaços"," espaço")&amp;" de especial até a Classe "&amp;$FJ3&amp;" · "&amp;$GM3&amp;IF($GM3&gt;1," talentos"," talento")</f>
        <v/>
      </c>
      <c r="HU3" s="152">
        <f>IF($GN3&gt;$GM3,"⚠ ","")&amp;"TALENTOS · "&amp;$GN3&amp;" DE "&amp;$GM3</f>
        <v/>
      </c>
      <c r="HV3" s="152">
        <f>IFERROR(VLOOKUP($ER3,$BI$2:$BL$15,2,FALSE),0)</f>
        <v/>
      </c>
      <c r="HW3" s="152">
        <f>IFERROR(VLOOKUP($ES3,$BI$2:$BL$15,2,FALSE),0)</f>
        <v/>
      </c>
      <c r="HX3" s="152">
        <f>IFERROR(VLOOKUP($ET3,$BI$2:$BL$15,2,FALSE),0)</f>
        <v/>
      </c>
      <c r="HY3" s="152">
        <f>IFERROR(VLOOKUP($EU3,$BI$2:$BL$15,2,FALSE),0)</f>
        <v/>
      </c>
      <c r="HZ3" s="152">
        <f>IFERROR(VLOOKUP($EV3,$BI$2:$BL$15,2,FALSE),0)</f>
        <v/>
      </c>
      <c r="IA3" s="152">
        <f>IFERROR(VLOOKUP($EW3,$BI$2:$BL$15,2,FALSE),0)</f>
        <v/>
      </c>
      <c r="IB3" s="152">
        <f>IFERROR(VLOOKUP($EX3,$BI$2:$BL$15,2,FALSE),0)</f>
        <v/>
      </c>
      <c r="IC3" s="152">
        <f>IFERROR(VLOOKUP($EY3,$BI$2:$BL$15,2,FALSE),0)</f>
        <v/>
      </c>
      <c r="ID3" s="152">
        <f>IF($ER3="","",IF(1&gt;$FI3,"⚠ Este talento abre no nível 1",IF($HV3&gt;1,"⚠ Categoria "&amp;$HV3&amp;": este ganho vai até a 1 · ","")&amp;IFERROR(VLOOKUP($ER3,$BI$2:$BL$15,3,FALSE),"")))</f>
        <v/>
      </c>
      <c r="IE3" s="152">
        <f>IF($ES3="","",IF(6&gt;$FI3,"⚠ Este talento abre no nível 6",IF($HW3&gt;1,"⚠ Categoria "&amp;$HW3&amp;": este ganho vai até a 1 · ","")&amp;IFERROR(VLOOKUP($ES3,$BI$2:$BL$15,3,FALSE),"")))</f>
        <v/>
      </c>
      <c r="IF3" s="152">
        <f>IF($ET3="","",IF(10&gt;$FI3,"⚠ Este talento abre no nível 10",IF($HX3&gt;2,"⚠ Categoria "&amp;$HX3&amp;": este ganho vai até a 2 · ","")&amp;IFERROR(VLOOKUP($ET3,$BI$2:$BL$15,3,FALSE),"")))</f>
        <v/>
      </c>
      <c r="IG3" s="152">
        <f>IF($EU3="","",IF(14&gt;$FI3,"⚠ Este talento abre no nível 14",IF($HY3&gt;3,"⚠ Categoria "&amp;$HY3&amp;": este ganho vai até a 3 · ","")&amp;IFERROR(VLOOKUP($EU3,$BI$2:$BL$15,3,FALSE),"")))</f>
        <v/>
      </c>
      <c r="IH3" s="152">
        <f>IF($EV3="","",IF(18&gt;$FI3,"⚠ Este talento abre no nível 18",IF($HZ3&gt;3,"⚠ Categoria "&amp;$HZ3&amp;": este ganho vai até a 3 · ","")&amp;IFERROR(VLOOKUP($EV3,$BI$2:$BL$15,3,FALSE),"")))</f>
        <v/>
      </c>
      <c r="II3" s="152">
        <f>IF($EW3="","",IF(22&gt;$FI3,"⚠ Este talento abre no nível 22",IF($IA3&gt;3,"⚠ Categoria "&amp;$IA3&amp;": este ganho vai até a 3 · ","")&amp;IFERROR(VLOOKUP($EW3,$BI$2:$BL$15,3,FALSE),"")))</f>
        <v/>
      </c>
      <c r="IJ3" s="152">
        <f>IF($EX3="","",IF(26&gt;$FI3,"⚠ Este talento abre no nível 26",IF($IB3&gt;3,"⚠ Categoria "&amp;$IB3&amp;": este ganho vai até a 3 · ","")&amp;IFERROR(VLOOKUP($EX3,$BI$2:$BL$15,3,FALSE),"")))</f>
        <v/>
      </c>
      <c r="IK3" s="152">
        <f>IF($EY3="","",IF(30&gt;$FI3,"⚠ Este talento abre no nível 30",IF($IC3&gt;3,"⚠ Categoria "&amp;$IC3&amp;": este ganho vai até a 3 · ","")&amp;IFERROR(VLOOKUP($EY3,$BI$2:$BL$15,3,FALSE),"")))</f>
        <v/>
      </c>
      <c r="IL3" s="152">
        <f>IF($EZ3="","",IFERROR(VLOOKUP($EZ3,$BI$2:$BL$15,3,FALSE),""))</f>
        <v/>
      </c>
      <c r="IM3" s="152">
        <f>IF($FA3="","",IFERROR(VLOOKUP($FA3,$BI$2:$BL$15,3,FALSE),""))</f>
        <v/>
      </c>
      <c r="IN3" s="152">
        <f>IF($FB3="","",IFERROR(VLOOKUP($FB3,$BI$2:$BL$15,3,FALSE),""))</f>
        <v/>
      </c>
      <c r="IO3" s="152">
        <f>CEILING(4.5*$FC3,1)&amp;" PE"</f>
        <v/>
      </c>
      <c r="IP3" s="152">
        <f>CEILING(4.5*$FD3,1)&amp;" PE"</f>
        <v/>
      </c>
      <c r="IQ3" s="152">
        <f>CEILING(4.5*$FE3,1)&amp;" PE"</f>
        <v/>
      </c>
      <c r="IR3" s="152">
        <f>INDEX($P$2:$P$8,$FC3)&amp;" pontos + "&amp;$FC3&amp;"d8"</f>
        <v/>
      </c>
      <c r="IS3" s="152">
        <f>INDEX($P$2:$P$8,$FD3)&amp;" pontos + "&amp;$FD3&amp;"d8"</f>
        <v/>
      </c>
      <c r="IT3" s="152">
        <f>INDEX($P$2:$P$8,$FE3)&amp;" pontos + "&amp;$FE3&amp;"d8"</f>
        <v/>
      </c>
      <c r="IU3" s="152">
        <f>IF($FI3&lt;17,"—",VLOOKUP($FI3,$CL$2:$CO$4,4,TRUE)&amp;" PE")</f>
        <v/>
      </c>
      <c r="IV3" s="152">
        <f>IF($FI3&lt;17,"Abre no nível 17",VLOOKUP($FI3,$CL$2:$CO$4,2,TRUE)&amp;" fixos · "&amp;VLOOKUP($FI3,$CL$2:$CO$4,3,TRUE)&amp;" pontos")</f>
        <v/>
      </c>
      <c r="IW3" s="152">
        <f>IF($FF3="Sem Barreiras",7,6)*$FJ3&amp;" PE"</f>
        <v/>
      </c>
      <c r="IX3" s="152">
        <f>"Acerto "&amp;$FJ3&amp;"d8"</f>
        <v/>
      </c>
      <c r="IY3" s="152">
        <f>IFERROR(VLOOKUP($FF3,$CQ$2:$CS$4,3,FALSE),"Escolha o degrau")</f>
        <v/>
      </c>
      <c r="IZ3" s="152">
        <f>2&amp;" · "&amp;IF($FG3=0,"vazia",$DA3&amp;" · nv "&amp;$FI3&amp;" · "&amp;$GB3&amp;"/"&amp;$FZ3)</f>
        <v/>
      </c>
      <c r="JB3" s="150" t="inlineStr">
        <is>
          <t>Invocação 2</t>
        </is>
      </c>
      <c r="JC3" s="152">
        <f>ADDRESS(ROW('INVOCAÇÕES'!D22),COLUMN('INVOCAÇÕES'!D22),4)</f>
        <v/>
      </c>
      <c r="JD3" s="152">
        <f>ADDRESS(ROW('INVOCAÇÕES'!H207),COLUMN('INVOCAÇÕES'!H207),4)</f>
        <v/>
      </c>
      <c r="JE3" s="150" t="inlineStr">
        <is>
          <t>DADOS_INVOC!$IZ$3</t>
        </is>
      </c>
      <c r="JG3" s="152">
        <f>IF(OR($AW3="",COUNTIF($EF$2:$EJ$2,$AW3)&gt;0),$AV3,"")</f>
        <v/>
      </c>
      <c r="JH3" s="152">
        <f>IF(AND($AX3=1,OR($AW3="",COUNTIF($EF$2:$EJ$2,$AW3)&gt;0)),$AV3,"")</f>
        <v/>
      </c>
      <c r="JJ3" s="152">
        <f>IF(OR($W3="",COUNTIF($EF$2:$EJ$2,$W3)&gt;0),$V3,"")</f>
        <v/>
      </c>
      <c r="JK3" s="152">
        <f>IF(AND($AF3=1,OR($W3="",COUNTIF($EF$2:$EJ$2,$W3)&gt;0)),$V3,"")</f>
        <v/>
      </c>
      <c r="JM3" s="152">
        <f>IF(OR($AW3="",COUNTIF($EF$3:$EJ$3,$AW3)&gt;0),$AV3,"")</f>
        <v/>
      </c>
      <c r="JN3" s="152">
        <f>IF(AND($AX3=1,OR($AW3="",COUNTIF($EF$3:$EJ$3,$AW3)&gt;0)),$AV3,"")</f>
        <v/>
      </c>
      <c r="JP3" s="152">
        <f>IF(OR($W3="",COUNTIF($EF$3:$EJ$3,$W3)&gt;0),$V3,"")</f>
        <v/>
      </c>
      <c r="JQ3" s="152">
        <f>IF(AND($AF3=1,OR($W3="",COUNTIF($EF$3:$EJ$3,$W3)&gt;0)),$V3,"")</f>
        <v/>
      </c>
      <c r="JS3" s="152">
        <f>IF(OR($AW3="",COUNTIF($EF$4:$EJ$4,$AW3)&gt;0),$AV3,"")</f>
        <v/>
      </c>
      <c r="JT3" s="152">
        <f>IF(AND($AX3=1,OR($AW3="",COUNTIF($EF$4:$EJ$4,$AW3)&gt;0)),$AV3,"")</f>
        <v/>
      </c>
      <c r="JV3" s="152">
        <f>IF(OR($W3="",COUNTIF($EF$4:$EJ$4,$W3)&gt;0),$V3,"")</f>
        <v/>
      </c>
      <c r="JW3" s="152">
        <f>IF(AND($AF3=1,OR($W3="",COUNTIF($EF$4:$EJ$4,$W3)&gt;0)),$V3,"")</f>
        <v/>
      </c>
      <c r="JY3" s="152">
        <f>IF(OR($AW3="",COUNTIF($EF$5:$EJ$5,$AW3)&gt;0),$AV3,"")</f>
        <v/>
      </c>
      <c r="JZ3" s="152">
        <f>IF(AND($AX3=1,OR($AW3="",COUNTIF($EF$5:$EJ$5,$AW3)&gt;0)),$AV3,"")</f>
        <v/>
      </c>
      <c r="KB3" s="152">
        <f>IF(OR($W3="",COUNTIF($EF$5:$EJ$5,$W3)&gt;0),$V3,"")</f>
        <v/>
      </c>
      <c r="KC3" s="152">
        <f>IF(AND($AF3=1,OR($W3="",COUNTIF($EF$5:$EJ$5,$W3)&gt;0)),$V3,"")</f>
        <v/>
      </c>
      <c r="KE3" s="152">
        <f>IF(OR($AW3="",COUNTIF($EF$6:$EJ$6,$AW3)&gt;0),$AV3,"")</f>
        <v/>
      </c>
      <c r="KF3" s="152">
        <f>IF(AND($AX3=1,OR($AW3="",COUNTIF($EF$6:$EJ$6,$AW3)&gt;0)),$AV3,"")</f>
        <v/>
      </c>
      <c r="KH3" s="152">
        <f>IF(OR($W3="",COUNTIF($EF$6:$EJ$6,$W3)&gt;0),$V3,"")</f>
        <v/>
      </c>
      <c r="KI3" s="152">
        <f>IF(AND($AF3=1,OR($W3="",COUNTIF($EF$6:$EJ$6,$W3)&gt;0)),$V3,"")</f>
        <v/>
      </c>
      <c r="KK3" s="152">
        <f>IF(OR($AW3="",COUNTIF($EF$7:$EJ$7,$AW3)&gt;0),$AV3,"")</f>
        <v/>
      </c>
      <c r="KL3" s="152">
        <f>IF(AND($AX3=1,OR($AW3="",COUNTIF($EF$7:$EJ$7,$AW3)&gt;0)),$AV3,"")</f>
        <v/>
      </c>
      <c r="KN3" s="152">
        <f>IF(OR($W3="",COUNTIF($EF$7:$EJ$7,$W3)&gt;0),$V3,"")</f>
        <v/>
      </c>
      <c r="KO3" s="152">
        <f>IF(AND($AF3=1,OR($W3="",COUNTIF($EF$7:$EJ$7,$W3)&gt;0)),$V3,"")</f>
        <v/>
      </c>
      <c r="KQ3" s="152">
        <f>IF(OR($AW3="",COUNTIF($EF$8:$EJ$8,$AW3)&gt;0),$AV3,"")</f>
        <v/>
      </c>
      <c r="KR3" s="152">
        <f>IF(AND($AX3=1,OR($AW3="",COUNTIF($EF$8:$EJ$8,$AW3)&gt;0)),$AV3,"")</f>
        <v/>
      </c>
      <c r="KT3" s="152">
        <f>IF(OR($W3="",COUNTIF($EF$8:$EJ$8,$W3)&gt;0),$V3,"")</f>
        <v/>
      </c>
      <c r="KU3" s="152">
        <f>IF(AND($AF3=1,OR($W3="",COUNTIF($EF$8:$EJ$8,$W3)&gt;0)),$V3,"")</f>
        <v/>
      </c>
      <c r="KW3" s="152">
        <f>IF(OR($AW3="",COUNTIF($EF$9:$EJ$9,$AW3)&gt;0),$AV3,"")</f>
        <v/>
      </c>
      <c r="KX3" s="152">
        <f>IF(AND($AX3=1,OR($AW3="",COUNTIF($EF$9:$EJ$9,$AW3)&gt;0)),$AV3,"")</f>
        <v/>
      </c>
      <c r="KZ3" s="152">
        <f>IF(OR($W3="",COUNTIF($EF$9:$EJ$9,$W3)&gt;0),$V3,"")</f>
        <v/>
      </c>
      <c r="LA3" s="152">
        <f>IF(AND($AF3=1,OR($W3="",COUNTIF($EF$9:$EJ$9,$W3)&gt;0)),$V3,"")</f>
        <v/>
      </c>
      <c r="LC3" s="152">
        <f>IF(OR($AW3="",COUNTIF($EF$10:$EJ$10,$AW3)&gt;0),$AV3,"")</f>
        <v/>
      </c>
      <c r="LD3" s="152">
        <f>IF(AND($AX3=1,OR($AW3="",COUNTIF($EF$10:$EJ$10,$AW3)&gt;0)),$AV3,"")</f>
        <v/>
      </c>
      <c r="LF3" s="152">
        <f>IF(OR($W3="",COUNTIF($EF$10:$EJ$10,$W3)&gt;0),$V3,"")</f>
        <v/>
      </c>
      <c r="LG3" s="152">
        <f>IF(AND($AF3=1,OR($W3="",COUNTIF($EF$10:$EJ$10,$W3)&gt;0)),$V3,"")</f>
        <v/>
      </c>
      <c r="LI3" s="152">
        <f>IF(OR($AW3="",COUNTIF($EF$11:$EJ$11,$AW3)&gt;0),$AV3,"")</f>
        <v/>
      </c>
      <c r="LJ3" s="152">
        <f>IF(AND($AX3=1,OR($AW3="",COUNTIF($EF$11:$EJ$11,$AW3)&gt;0)),$AV3,"")</f>
        <v/>
      </c>
      <c r="LL3" s="152">
        <f>IF(OR($W3="",COUNTIF($EF$11:$EJ$11,$W3)&gt;0),$V3,"")</f>
        <v/>
      </c>
      <c r="LM3" s="152">
        <f>IF(AND($AF3=1,OR($W3="",COUNTIF($EF$11:$EJ$11,$W3)&gt;0)),$V3,"")</f>
        <v/>
      </c>
      <c r="LO3" s="152">
        <f>IF(OR($AW3="",COUNTIF($EF$12:$EJ$12,$AW3)&gt;0),$AV3,"")</f>
        <v/>
      </c>
      <c r="LP3" s="152">
        <f>IF(AND($AX3=1,OR($AW3="",COUNTIF($EF$12:$EJ$12,$AW3)&gt;0)),$AV3,"")</f>
        <v/>
      </c>
      <c r="LR3" s="152">
        <f>IF(OR($W3="",COUNTIF($EF$12:$EJ$12,$W3)&gt;0),$V3,"")</f>
        <v/>
      </c>
      <c r="LS3" s="152">
        <f>IF(AND($AF3=1,OR($W3="",COUNTIF($EF$12:$EJ$12,$W3)&gt;0)),$V3,"")</f>
        <v/>
      </c>
      <c r="LU3" s="152">
        <f>IF(OR($AW3="",COUNTIF($EF$13:$EJ$13,$AW3)&gt;0),$AV3,"")</f>
        <v/>
      </c>
      <c r="LV3" s="152">
        <f>IF(AND($AX3=1,OR($AW3="",COUNTIF($EF$13:$EJ$13,$AW3)&gt;0)),$AV3,"")</f>
        <v/>
      </c>
      <c r="LX3" s="152">
        <f>IF(OR($W3="",COUNTIF($EF$13:$EJ$13,$W3)&gt;0),$V3,"")</f>
        <v/>
      </c>
      <c r="LY3" s="152">
        <f>IF(AND($AF3=1,OR($W3="",COUNTIF($EF$13:$EJ$13,$W3)&gt;0)),$V3,"")</f>
        <v/>
      </c>
      <c r="MA3" s="150" t="inlineStr">
        <is>
          <t>Ficha 1 · Especial 1</t>
        </is>
      </c>
      <c r="MB3" s="152" t="n">
        <v>1</v>
      </c>
      <c r="MC3" s="152" t="n">
        <v>1</v>
      </c>
      <c r="MD3" s="152" t="n">
        <v>1</v>
      </c>
      <c r="ME3" s="150" t="inlineStr">
        <is>
          <t>ESPECIAL 1</t>
        </is>
      </c>
      <c r="MF3" s="152">
        <f>MAX(1,MIN(7,N('INVOCAÇÕES'!$O$58)))</f>
        <v/>
      </c>
      <c r="MG3" s="152">
        <f>'INVOCAÇÕES'!$P$58&amp;""</f>
        <v/>
      </c>
      <c r="MH3" s="152">
        <f>'INVOCAÇÕES'!$O$63&amp;""</f>
        <v/>
      </c>
      <c r="MI3" s="152">
        <f>'INVOCAÇÕES'!$O$64&amp;""</f>
        <v/>
      </c>
      <c r="MJ3" s="152">
        <f>'INVOCAÇÕES'!$Q$64&amp;""</f>
        <v/>
      </c>
      <c r="MK3" s="152">
        <f>'INVOCAÇÕES'!$P$67&amp;""</f>
        <v/>
      </c>
      <c r="ML3" s="152">
        <f>'INVOCAÇÕES'!$P$68&amp;""</f>
        <v/>
      </c>
      <c r="MM3" s="152">
        <f>'INVOCAÇÕES'!$P$69&amp;""</f>
        <v/>
      </c>
      <c r="MN3" s="152">
        <f>'INVOCAÇÕES'!$P$70&amp;""</f>
        <v/>
      </c>
      <c r="MO3" s="152">
        <f>'INVOCAÇÕES'!$P$71&amp;""</f>
        <v/>
      </c>
      <c r="MP3" s="152">
        <f>'INVOCAÇÕES'!$P$72&amp;""</f>
        <v/>
      </c>
      <c r="MQ3" s="152">
        <f>IF($MG3&lt;&gt;"",1,0)</f>
        <v/>
      </c>
      <c r="MR3" s="152">
        <f>INDEX($FI$2:$FI$13,$MB3)</f>
        <v/>
      </c>
      <c r="MS3" s="152">
        <f>INDEX($FJ$2:$FJ$13,$MB3)</f>
        <v/>
      </c>
      <c r="MT3" s="152">
        <f>INDEX($FK$2:$FK$13,$MB3)</f>
        <v/>
      </c>
      <c r="MU3" s="152">
        <f>INDEX($FV$2:$FV$13,$MB3)</f>
        <v/>
      </c>
      <c r="MV3" s="152">
        <f>INDEX($FW$2:$FW$13,$MB3)</f>
        <v/>
      </c>
      <c r="MW3" s="152">
        <f>IFERROR(MATCH($MH3,$V$2:$V$11,0),0)</f>
        <v/>
      </c>
      <c r="MX3" s="152">
        <f>IFERROR(VLOOKUP($MK3,$AV$2:$BA$84,2,FALSE),"")</f>
        <v/>
      </c>
      <c r="MY3" s="152">
        <f>IFERROR(VLOOKUP($ML3,$AV$2:$BA$84,2,FALSE),"")</f>
        <v/>
      </c>
      <c r="MZ3" s="152">
        <f>IFERROR(VLOOKUP($MM3,$AV$2:$BA$84,2,FALSE),"")</f>
        <v/>
      </c>
      <c r="NA3" s="152">
        <f>IFERROR(VLOOKUP($MN3,$AV$2:$BA$84,2,FALSE),"")</f>
        <v/>
      </c>
      <c r="NB3" s="152">
        <f>IFERROR(VLOOKUP($MK3,$AV$2:$BA$84,3,FALSE),0)</f>
        <v/>
      </c>
      <c r="NC3" s="152">
        <f>IFERROR(VLOOKUP($ML3,$AV$2:$BA$84,3,FALSE),0)</f>
        <v/>
      </c>
      <c r="ND3" s="152">
        <f>IFERROR(VLOOKUP($MM3,$AV$2:$BA$84,3,FALSE),0)</f>
        <v/>
      </c>
      <c r="NE3" s="152">
        <f>IFERROR(VLOOKUP($MN3,$AV$2:$BA$84,3,FALSE),0)</f>
        <v/>
      </c>
      <c r="NF3" s="152">
        <f>IF($MF3=0,0,IF($MW3=0,0,INDEX($X$2:$X$11,$MW3)))</f>
        <v/>
      </c>
      <c r="NG3" s="152">
        <f>IF(OR($NB3=0,$MF3=0),0,$NB3+3*IF(AND($MX3&lt;&gt;"",OR($MX3=INDEX($EF$2:$EF$13,$MB3),$MX3=INDEX($EG$2:$EG$13,$MB3))),1,0))</f>
        <v/>
      </c>
      <c r="NH3" s="152">
        <f>IF(OR($NC3=0,$MF3=0),0,$NC3+3*IF(AND($MY3&lt;&gt;"",OR($MY3=INDEX($EF$2:$EF$13,$MB3),$MY3=INDEX($EG$2:$EG$13,$MB3))),1,0))</f>
        <v/>
      </c>
      <c r="NI3" s="152">
        <f>IF(OR($ND3=0,$MF3=0),0,$ND3+3*IF(AND($MZ3&lt;&gt;"",OR($MZ3=INDEX($EF$2:$EF$13,$MB3),$MZ3=INDEX($EG$2:$EG$13,$MB3))),1,0))</f>
        <v/>
      </c>
      <c r="NJ3" s="152">
        <f>IF(OR($NE3=0,$MF3=0),0,$NE3+3*IF(AND($NA3&lt;&gt;"",OR($NA3=INDEX($EF$2:$EF$13,$MB3),$NA3=INDEX($EG$2:$EG$13,$MB3))),1,0))</f>
        <v/>
      </c>
      <c r="NK3" s="152">
        <f>IF($MW3=0,0,IF(INDEX($W$2:$W$11,$MW3)="",0,IF(COUNTIF(INDEX($EF$2:$EJ$13,$MB3,0),INDEX($W$2:$W$11,$MW3))=0,1,0)))</f>
        <v/>
      </c>
      <c r="NL3" s="152">
        <f>IF(OR($NB3=0,$MX3=""),0,IF(COUNTIF(INDEX($EF$2:$EJ$13,$MB3,0),$MX3)=0,1,0))</f>
        <v/>
      </c>
      <c r="NM3" s="152">
        <f>IF(OR($NC3=0,$MY3=""),0,IF(COUNTIF(INDEX($EF$2:$EJ$13,$MB3,0),$MY3)=0,1,0))</f>
        <v/>
      </c>
      <c r="NN3" s="152">
        <f>IF(OR($ND3=0,$MZ3=""),0,IF(COUNTIF(INDEX($EF$2:$EJ$13,$MB3,0),$MZ3)=0,1,0))</f>
        <v/>
      </c>
      <c r="NO3" s="152">
        <f>IF(OR($NE3=0,$NA3=""),0,IF(COUNTIF(INDEX($EF$2:$EJ$13,$MB3,0),$NA3)=0,1,0))</f>
        <v/>
      </c>
      <c r="NP3" s="152">
        <f>IFERROR(VLOOKUP($MK3,$AV$2:$BA$84,4,FALSE),0)+IFERROR(VLOOKUP($ML3,$AV$2:$BA$84,4,FALSE),0)+IFERROR(VLOOKUP($MM3,$AV$2:$BA$84,4,FALSE),0)+IFERROR(VLOOKUP($MN3,$AV$2:$BA$84,4,FALSE),0)</f>
        <v/>
      </c>
      <c r="NQ3" s="152">
        <f>IFERROR(VLOOKUP($MK3,$AV$2:$BA$84,6,FALSE),0)+IFERROR(VLOOKUP($ML3,$AV$2:$BA$84,6,FALSE),0)+IFERROR(VLOOKUP($MM3,$AV$2:$BA$84,6,FALSE),0)+IFERROR(VLOOKUP($MN3,$AV$2:$BA$84,6,FALSE),0)</f>
        <v/>
      </c>
      <c r="NR3" s="152">
        <f>TEXTJOIN(", ",TRUE,IF(IFERROR(VLOOKUP($MK3,$AV$2:$BA$84,5,FALSE),0)=1,$MK3,""),IF(IFERROR(VLOOKUP($ML3,$AV$2:$BA$84,5,FALSE),0)=1,$ML3,""),IF(IFERROR(VLOOKUP($MM3,$AV$2:$BA$84,5,FALSE),0)=1,$MM3,""),IF(IFERROR(VLOOKUP($MN3,$AV$2:$BA$84,5,FALSE),0)=1,$MN3,""))</f>
        <v/>
      </c>
      <c r="NS3" s="152">
        <f>IF($MW3=0,0,INDEX($Y$2:$Y$11,$MW3))</f>
        <v/>
      </c>
      <c r="NT3" s="152">
        <f>IF($MW3=0,0,INDEX($Z$2:$Z$11,$MW3))</f>
        <v/>
      </c>
      <c r="NU3" s="152">
        <f>IF($MW3=0,0,INDEX($AB$2:$AB$11,$MW3))</f>
        <v/>
      </c>
      <c r="NV3" s="152">
        <f>IFERROR(VLOOKUP($MO3,$BC$2:$BG$24,3,FALSE),0)</f>
        <v/>
      </c>
      <c r="NW3" s="152">
        <f>IFERROR(VLOOKUP($MP3,$BC$2:$BG$24,3,FALSE),0)</f>
        <v/>
      </c>
      <c r="NX3" s="152">
        <f>IFERROR(VLOOKUP($MO3,$BC$2:$BG$24,2,FALSE),"")</f>
        <v/>
      </c>
      <c r="NY3" s="152">
        <f>IFERROR(VLOOKUP($MP3,$BC$2:$BG$24,2,FALSE),"")</f>
        <v/>
      </c>
      <c r="NZ3" s="152">
        <f>COUNTIF($NF3:$NJ3,1)</f>
        <v/>
      </c>
      <c r="OA3" s="152">
        <f>COUNTIF($NF3:$NJ3,2)</f>
        <v/>
      </c>
      <c r="OB3" s="152">
        <f>COUNTIF($NF3:$NJ3,3)</f>
        <v/>
      </c>
      <c r="OC3" s="152">
        <f>COUNTIF($NF3:$NJ3,4)</f>
        <v/>
      </c>
      <c r="OD3" s="152">
        <f>COUNTIF($NF3:$NJ3,5)</f>
        <v/>
      </c>
      <c r="OE3" s="152">
        <f>COUNTIF($NF3:$NJ3,6)</f>
        <v/>
      </c>
      <c r="OF3" s="152">
        <f>COUNTIF($NV3:$NW3,1)</f>
        <v/>
      </c>
      <c r="OG3" s="152">
        <f>COUNTIF($NV3:$NW3,2)+$NS3</f>
        <v/>
      </c>
      <c r="OH3" s="152">
        <f>COUNTIF($MK3:$MN3,"?*")</f>
        <v/>
      </c>
      <c r="OI3" s="152">
        <f>COUNTIF($MO3:$MP3,"?*")+$NS3</f>
        <v/>
      </c>
      <c r="OJ3" s="152">
        <f>IF($MF3=0,0,SUMPRODUCT($NZ3:$OE3,INDEX($I$2:$N$8,MAX(1,$MF3),0)))</f>
        <v/>
      </c>
      <c r="OK3" s="152">
        <f>IF($MF3=0,0,$OF3*CEILING($MF3/2,1)+$OG3*$MF3)</f>
        <v/>
      </c>
      <c r="OL3" s="152">
        <f>MIN(2*$MF3,$OK3)</f>
        <v/>
      </c>
      <c r="OM3" s="152">
        <f>MIN($OL3,$OJ3)</f>
        <v/>
      </c>
      <c r="ON3" s="152">
        <f>$OL3-$OM3</f>
        <v/>
      </c>
      <c r="OO3" s="152">
        <f>IF($MF3=0,0,INDEX($P$2:$P$8,MAX(1,$MF3)))</f>
        <v/>
      </c>
      <c r="OP3" s="152">
        <f>$OO3-$OJ3+$OM3</f>
        <v/>
      </c>
      <c r="OQ3" s="152">
        <f>IF($MF3=0,MAX(0,$MT3-IF($OH3&gt;0,1,0)),MAX(0,$OP3))</f>
        <v/>
      </c>
      <c r="OR3" s="152">
        <f>IF($MF3=0,0,(IF(COUNTIF($MK3:$MN3,"Salto")&gt;0,1,0)+IF(COUNTIF($MK3:$MN3,"Queima")&gt;0,1,0)+IF(COUNTIF($MK3:$MN3,"Estilhaço")&gt;0,1,0))*FLOOR($OQ3/2,1))</f>
        <v/>
      </c>
      <c r="OS3" s="152">
        <f>MAX(0,2-SUMPRODUCT($NZ3:$OE3,$I$2:$N$2)+MIN(2,$OF3*1+$OG3*1,SUMPRODUCT($NZ3:$OE3,$I$2:$N$2)))</f>
        <v/>
      </c>
      <c r="OT3" s="152">
        <f>MAX(0,4-SUMPRODUCT($NZ3:$OE3,$I$3:$N$3)+MIN(4,$OF3*1+$OG3*2,SUMPRODUCT($NZ3:$OE3,$I$3:$N$3)))</f>
        <v/>
      </c>
      <c r="OU3" s="152">
        <f>MAX(0,6-SUMPRODUCT($NZ3:$OE3,$I$4:$N$4)+MIN(6,$OF3*2+$OG3*3,SUMPRODUCT($NZ3:$OE3,$I$4:$N$4)))</f>
        <v/>
      </c>
      <c r="OV3" s="152">
        <f>MAX(0,9-SUMPRODUCT($NZ3:$OE3,$I$5:$N$5)+MIN(8,$OF3*2+$OG3*4,SUMPRODUCT($NZ3:$OE3,$I$5:$N$5)))</f>
        <v/>
      </c>
      <c r="OW3" s="152">
        <f>MAX(0,11-SUMPRODUCT($NZ3:$OE3,$I$6:$N$6)+MIN(10,$OF3*3+$OG3*5,SUMPRODUCT($NZ3:$OE3,$I$6:$N$6)))</f>
        <v/>
      </c>
      <c r="OX3" s="152">
        <f>MAX(0,13-SUMPRODUCT($NZ3:$OE3,$I$7:$N$7)+MIN(12,$OF3*3+$OG3*6,SUMPRODUCT($NZ3:$OE3,$I$7:$N$7)))</f>
        <v/>
      </c>
      <c r="OY3" s="152">
        <f>MAX(0,16-SUMPRODUCT($NZ3:$OE3,$I$8:$N$8)+MIN(14,$OF3*4+$OG3*7,SUMPRODUCT($NZ3:$OE3,$I$8:$N$8)))</f>
        <v/>
      </c>
      <c r="OZ3" s="152">
        <f>IF($NT3=2,3*$OS3&amp;" de vida temp.",IF($NT3=3,"sem dano",IF($OS3=0,IF($NT3=1,"sem cura","sem dano"),IF($NT3=1,"cura ","")&amp;$OS3&amp;"d8")))</f>
        <v/>
      </c>
      <c r="PA3" s="152">
        <f>IF($NT3=2,3*$OT3&amp;" de vida temp.",IF($NT3=3,"sem dano",IF($OT3=0,IF($NT3=1,"sem cura","sem dano"),IF($NT3=1,"cura ","")&amp;$OT3&amp;"d8")))</f>
        <v/>
      </c>
      <c r="PB3" s="152">
        <f>IF($NT3=2,3*$OU3&amp;" de vida temp.",IF($NT3=3,"sem dano",IF($OU3=0,IF($NT3=1,"sem cura","sem dano"),IF($NT3=1,"cura ","")&amp;$OU3&amp;"d8")))</f>
        <v/>
      </c>
      <c r="PC3" s="152">
        <f>IF($NT3=2,3*$OV3&amp;" de vida temp.",IF($NT3=3,"sem dano",IF($OV3=0,IF($NT3=1,"sem cura","sem dano"),IF($NT3=1,"cura ","")&amp;$OV3&amp;"d8")))</f>
        <v/>
      </c>
      <c r="PD3" s="152">
        <f>IF($NT3=2,3*$OW3&amp;" de vida temp.",IF($NT3=3,"sem dano",IF($OW3=0,IF($NT3=1,"sem cura","sem dano"),IF($NT3=1,"cura ","")&amp;$OW3&amp;"d8")))</f>
        <v/>
      </c>
      <c r="PE3" s="152">
        <f>IF($NT3=2,3*$OX3&amp;" de vida temp.",IF($NT3=3,"sem dano",IF($OX3=0,IF($NT3=1,"sem cura","sem dano"),IF($NT3=1,"cura ","")&amp;$OX3&amp;"d8")))</f>
        <v/>
      </c>
      <c r="PF3" s="152">
        <f>IF($NT3=2,3*$OY3&amp;" de vida temp.",IF($NT3=3,"sem dano",IF($OY3=0,IF($NT3=1,"sem cura","sem dano"),IF($NT3=1,"cura ","")&amp;$OY3&amp;"d8")))</f>
        <v/>
      </c>
      <c r="PG3" s="152">
        <f>IF($MQ3=0,"",TEXTJOIN(" · ",TRUE,IF($MD3&gt;$MR3,"Este lugar abre no nível "&amp;$MD3,""),IF($MF3&gt;$MS3,"Classe "&amp;$MF3&amp;": o nível "&amp;$MR3&amp;" libera até a "&amp;$MS3,""),IF($NK3=1,"A Forma "&amp;$MH3&amp;" pede "&amp;INDEX($W$2:$W$11,$MW3)&amp;" aberta",""),IF(AND($MF3=0,$MW3&gt;0,IF($MW3=0,0,INDEX($AF$2:$AF$11,$MW3))=0),$MH3&amp;" não existe na Classe 0",""),IF($NL3=1,"Família Fechada: "&amp;$MK3,""),IF($NM3=1,"Família Fechada: "&amp;$ML3,""),IF($NN3=1,"Família Fechada: "&amp;$MM3,""),IF($NO3=1,"Família Fechada: "&amp;$MN3,""),IF(AND($MF3&gt;0,$OH3&gt;INDEX($O$2:$O$8,MAX(1,$MF3))),$OH3&amp;" Melhorias: a Classe "&amp;$MF3&amp;" aceita "&amp;INDEX($O$2:$O$8,MAX(1,$MF3)),""),IF(AND($MF3=0,$OH3&gt;1),"A básica aceita uma Melhoria",""),IF(AND($MF3=0,COUNTIF($NB3:$NE3,"&gt;1")&gt;0),"A básica só aceita Melhoria Leve",""),IF(AND($MF3&gt;0,$OI3&gt;2),$OI3&amp;" Restrições"&amp;IF($NS3=1,", contando a que a Forma "&amp;$MH3&amp;" já traz","")&amp;": o limite é 2",""),IF(AND($MF3=0,COUNTIF($MO3:$MP3,"?*")&gt;1),"A básica aceita uma Restrição Leve",""),IF(AND($MF3=0,COUNTIF($NV3:$NW3,2)&gt;0),"A básica só aceita Restrição Leve",""),IF(AND($MF3&gt;0,$OP3&lt;0),"Orçamento estourado: faltam "&amp;(-$OP3)&amp;IF($OP3&lt;-1," pontos"," ponto"),""),IF(IFERROR(VLOOKUP($MO3,$BC$2:$BG$24,4,FALSE),0)+IFERROR(VLOOKUP($MP3,$BC$2:$BG$24,4,FALSE),0)&gt;1,$NX3&amp;" e "&amp;$NY3&amp;" são as duas de frequência",""),IF(AND((COUNTIF($MK3:$MN3,"Rápido")+COUNTIF($NX3:$NY3,"Rápido"))&gt;0,(COUNTIF($MK3:$MN3,"Atrasar")+COUNTIF($NX3:$NY3,"Atrasar"))&gt;0),"Rápido não entra com Atrasar",""),IF(AND((COUNTIF($MK3:$MN3,"Reação")+COUNTIF($NX3:$NY3,"Reação"))&gt;0,(COUNTIF($MK3:$MN3,"Rápido")+COUNTIF($NX3:$NY3,"Rápido"))&gt;0),"Reação não entra com Rápido",""),IF(AND((COUNTIF($MK3:$MN3,"Reação")+COUNTIF($NX3:$NY3,"Reação"))&gt;0,(COUNTIF($MK3:$MN3,"Armado")+COUNTIF($NX3:$NY3,"Armado"))&gt;0),"Reação não entra com Armado",""),IF(AND((COUNTIF($MK3:$MN3,"Reação")+COUNTIF($NX3:$NY3,"Reação"))&gt;0,(COUNTIF($MK3:$MN3,"Atrasar")+COUNTIF($NX3:$NY3,"Atrasar"))&gt;0),"Reação não entra com Atrasar",""),IF(AND((COUNTIF($MK3:$MN3,"Reação")+COUNTIF($NX3:$NY3,"Reação"))&gt;0,(COUNTIF($MK3:$MN3,"Parado")+COUNTIF($NX3:$NY3,"Parado"))&gt;0),"Reação não entra com Parado",""),IF(AND((COUNTIF($MK3:$MN3,"Atrasar")+COUNTIF($NX3:$NY3,"Atrasar"))&gt;0,(COUNTIF($MK3:$MN3,"Parado")+COUNTIF($NX3:$NY3,"Parado"))&gt;0),"Atrasar não entra com Parado",""),IF(AND((COUNTIF($MK3:$MN3,"Armado")+COUNTIF($NX3:$NY3,"Armado"))&gt;0,(COUNTIF($MK3:$MN3,"Carregar")+COUNTIF($NX3:$NY3,"Carregar"))&gt;0),"Armado não entra com Carregar",""),IF(AND(COUNTIF($NX3:$NY3,"Corpo a Corpo")&gt;0,$NS3=0,OR($MH3="Cone",$MH3="Linha")),"Corpo a Corpo não entra em "&amp;$MH3,""),IF(AND(COUNTIF($NX3:$NY3,"Corpo a Corpo")&gt;0,$NS3=1),"A Forma "&amp;$MH3&amp;" já traz o Corpo a Corpo",""),IF(AND(COUNTIF($NX3:$NY3,"Tudo ou Nada")&gt;0,$NU3=0),"Tudo ou Nada só entra em habilidade de Teste de Resistência",""),IF(AND(COUNTIF($MK3:$MN3,"Inescapável")&gt;0,OR($OH3&gt;1,$OI3&gt;0)),"Inescapável não aceita outra peça",""),IF(AND($MF3&gt;0,$OQ3*IF(COUNTIF($MK3:$MN3,"Remate")&gt;0,1.25,1)+$OR3&gt;4*$MF3),($OQ3*IF(COUNTIF($MK3:$MN3,"Remate")&gt;0,1.25,1)+$OR3)&amp;" dados somando repetições"&amp;IF(COUNTIF($MK3:$MN3,"Remate")&gt;0," e o Remate","")&amp;": o teto da Classe "&amp;$MF3&amp;" é "&amp;4*$MF3,"")))</f>
        <v/>
      </c>
      <c r="PH3" s="152">
        <f>IF($PG3="",0,(LEN($PG3)-LEN(SUBSTITUTE($PG3," · ","")))/3+1)</f>
        <v/>
      </c>
      <c r="PI3" s="152">
        <f>IF($MQ3=0,"",TEXTJOIN(" · ",TRUE,IF($OK3&gt;2*$MF3,"A devolução parou no teto de "&amp;2*$MF3,""),IF($ON3&gt;0,"Devolução perdida: "&amp;$ON3&amp;IF($ON3&gt;1," pontos"," ponto")&amp;" sem peça para pagar",""),IF(AND($NP3&gt;0,AND($MF3&gt;0,$NT3=0),$OQ3=0),"Controle sem dano: uma rodada a mais e CD +2",""),IF(AND($NP3&gt;0,AND($MF3&gt;0,$NT3=0),$OQ3&gt;0,$OQ3&lt;=$MF3),"Controle com saldo até a Classe: uma rodada a mais",""),IF(AND($MF3&gt;0,$NR3&lt;&gt;""),"Efeito de "&amp;$NR3&amp;" pela Classe "&amp;MAX(1,$MF3-1),"")))</f>
        <v/>
      </c>
      <c r="PJ3" s="152">
        <f>IF($PI3="",0,(LEN($PI3)-LEN(SUBSTITUTE($PI3," · ","")))/3+1)</f>
        <v/>
      </c>
      <c r="PK3" s="152">
        <f>IF($MQ3=0,IF($OH3+COUNTIF($MO3:$MP3,"?*")&gt;0,"Dê um nome",""),IF($PH3&gt;0,"⚠ "&amp;$PH3&amp;IF($PH3&gt;1," erros"," erro"),IF($PJ3&gt;0,"! "&amp;$PJ3&amp;IF($PJ3&gt;1," avisos"," aviso"),"Na regra")))</f>
        <v/>
      </c>
      <c r="PL3" s="152">
        <f>IF($MQ3=0,"",IF($PH3+$PJ3=0,"Dentro das regras que a ficha confere",$PG3&amp;IF(AND($PH3&gt;0,$PJ3&gt;0)," · ","")&amp;$PI3))</f>
        <v/>
      </c>
      <c r="PM3" s="152">
        <f>IF($MD3&gt;$MR3,$ME3&amp;" · ABRE NO NÍVEL "&amp;$MD3,$ME3)</f>
        <v/>
      </c>
      <c r="PN3" s="152">
        <f>IF($MQ3=0,"",IF($MF3=0,"Sem PE",3*$MF3&amp;" PE"))</f>
        <v/>
      </c>
      <c r="PO3" s="152">
        <f>IF($MQ3=0,"",IF($MF3=0,"A atuação básica dela",IF(COUNTIF($NX3:$NY3,"Atrasar")&gt;0,"Sua Ação Completa",IF(COUNTIF($MK3:$MN3,"Rápido")&gt;0,"Sua Bônus",IF(COUNTIF($MK3:$MN3,"Reação")&gt;0,"Sua Reação","Sua Padrão")))&amp;" + a básica dela"&amp;IF(COUNTIF($MK3:$MN3,"Reação")&gt;0," e a coletiva","")&amp;IF(COUNTIF($NX3:$NY3,"Carregar")&gt;0," · em dois turnos","")))</f>
        <v/>
      </c>
      <c r="PP3" s="152">
        <f>IF($MJ3&lt;&gt;"",$MJ3,IF($MW3=0,"",INDEX($AA$2:$AA$11,$MW3)))</f>
        <v/>
      </c>
      <c r="PQ3" s="152">
        <f>IF(OR($MQ3=0,$MW3=0),"",IF(COUNTIF($MK3:$MN3,"Inescapável")&gt;0,"Automático",IF($PP3="Ataque",IF($MU3="","Ataque","Ataque "&amp;IF(($MU3+2*IF(COUNTIF($MK3:$MN3,"Precisão")&gt;0,1,0))&gt;=0,"+","−")&amp;ABS(($MU3+2*IF(COUNTIF($MK3:$MN3,"Precisão")&gt;0,1,0))))&amp;IF($NQ3&gt;0," · TR"&amp;IF($MV3="",""," CD "&amp;$MV3),""),IF(LEFT($PP3,2)="TR",$PP3&amp;IF($MV3="",""," · CD "&amp;$MV3)&amp;IF(COUNTIF($MK3:$MN3,"Certeiro")&gt;0," · metade",""),"Sem rolagem"))))</f>
        <v/>
      </c>
      <c r="PR3" s="152">
        <f>IF(OR($MQ3=0,$MW3=0),"",IF($MF3=0,IF(OR($NT3&gt;=1,$OQ3=0),"Sem dano",$OQ3&amp;"d6"&amp;IF($MI3="",""," "&amp;$MI3)),IF(OR($NT3&gt;=1,$OQ3=0),UPPER(LEFT(INDEX($OZ3:$PF3,1,MAX(1,$MF3)),1))&amp;MID(INDEX($OZ3:$PF3,1,MAX(1,$MF3)),2,99),UPPER(LEFT(INDEX($OZ3:$PF3,1,MAX(1,$MF3)),1))&amp;MID(INDEX($OZ3:$PF3,1,MAX(1,$MF3)),2,99)&amp;IF($MI3="",""," "&amp;$MI3)&amp;IF($OR3&gt;0," · +"&amp;$OR3&amp;"d8",""))))</f>
        <v/>
      </c>
      <c r="PS3" s="152">
        <f>COUNTIF($MK3:$MN3,"Longe")+3*COUNTIF($MK3:$MN3,"Muito Longe")</f>
        <v/>
      </c>
      <c r="PT3" s="152">
        <f>COUNTIF($MK3:$MN3,"Maior")+3*COUNTIF($MK3:$MN3,"Muito Maior")</f>
        <v/>
      </c>
      <c r="PU3" s="152">
        <f>IF($MW3=0,0,CHOOSE(1+INDEX($AC$2:$AC$11,$MW3),0,$PS3,$PT3,$PS3+$PT3))</f>
        <v/>
      </c>
      <c r="PV3" s="152">
        <f>IF($MW3=0,0,CHOOSE(1+INDEX($AD$2:$AD$11,$MW3),0,$PS3,$PT3,$PS3+$PT3))</f>
        <v/>
      </c>
      <c r="PW3" s="152">
        <f>IF(OR($MQ3=0,$MW3=0),"",INDEX($AI$2:$AN$41,($MW3-1)*4+IF($MF3=0,1,IF($MF3&lt;=5,2,IF($MF3=6,3,4))),1+MIN(5,$PU3))&amp;INDEX($AO$2:$AT$41,($MW3-1)*4+IF($MF3=0,1,IF($MF3&lt;=5,2,IF($MF3=6,3,4))),1+MIN(5,$PV3))&amp;IF(INDEX($AE$2:$AE$11,$MW3)=1,IF(COUNTIF($MK3:$MN3,"Mais Um")&gt;0," · +"&amp;COUNTIF($MK3:$MN3,"Mais Um")&amp;IF(COUNTIF($MK3:$MN3,"Mais Um")&gt;1," alvos"," alvo"),"")&amp;IF(COUNTIF($MK3:$MN3,"Rajada")&gt;0,IF($MF3=0," · 1 tiro"," · "&amp;(MAX(1,$MF3-1)+1)&amp;" tiros"),""),""))</f>
        <v/>
      </c>
      <c r="PX3" s="152">
        <f>IF($MQ3=0,"",IF($MF3=0,$MT3&amp;"d6"&amp;IF($OH3&gt;0," − 1 = "&amp;$OQ3&amp;"d6"," da básica do nível "&amp;$MR3),$OO3&amp;" − "&amp;$OJ3&amp;" + "&amp;$OM3&amp;" = "&amp;$OP3&amp;" · teto "&amp;4*$MF3&amp;"d8"&amp;IF($NS3=1," · a Forma devolve "&amp;$MF3,"")&amp;IF($ON3&gt;0," · perde "&amp;$ON3,"")))</f>
        <v/>
      </c>
      <c r="PY3" s="152">
        <f>IF($MQ3=0,"",IF($MF3=0,"A básica não amplia: os dados dela sobem com o nível",IF($MF3&gt;=$MS3,"Já está na maior Classe que o nível liberou",TEXTJOIN(" · ",TRUE,IF(AND(2&gt;$MF3,2&lt;=$MS3),"2 → "&amp;$PA3&amp;", 6 PE",""),IF(AND(3&gt;$MF3,3&lt;=$MS3),"3 → "&amp;$PB3&amp;", 9 PE",""),IF(AND(4&gt;$MF3,4&lt;=$MS3),"4 → "&amp;$PC3&amp;", 12 PE",""),IF(AND(5&gt;$MF3,5&lt;=$MS3),"5 → "&amp;$PD3&amp;", 15 PE",""),IF(AND(6&gt;$MF3,6&lt;=$MS3),"6 → "&amp;$PE3&amp;", 18 PE",""),IF(AND(7&gt;$MF3,7&lt;=$MS3),"7 → "&amp;$PF3&amp;", 21 PE","")))))</f>
        <v/>
      </c>
      <c r="PZ3" s="152">
        <f>IF(OR($MQ3=0,$NB3=0),"",IF($MF3=0,"−1 dado","−"&amp;INDEX($I$2:$N$8,MAX(1,$MF3),MAX(1,$NG3))&amp;" · "&amp;CHOOSE(MAX(1,$NG3),"Leve","Média","Pesada","Leve · Livre","Média · Livre","Pesada · Livre")))</f>
        <v/>
      </c>
      <c r="QA3" s="152">
        <f>IF(OR($MQ3=0,$NC3=0),"",IF($MF3=0,"−1 dado","−"&amp;INDEX($I$2:$N$8,MAX(1,$MF3),MAX(1,$NH3))&amp;" · "&amp;CHOOSE(MAX(1,$NH3),"Leve","Média","Pesada","Leve · Livre","Média · Livre","Pesada · Livre")))</f>
        <v/>
      </c>
      <c r="QB3" s="152">
        <f>IF(OR($MQ3=0,$ND3=0),"",IF($MF3=0,"−1 dado","−"&amp;INDEX($I$2:$N$8,MAX(1,$MF3),MAX(1,$NI3))&amp;" · "&amp;CHOOSE(MAX(1,$NI3),"Leve","Média","Pesada","Leve · Livre","Média · Livre","Pesada · Livre")))</f>
        <v/>
      </c>
      <c r="QC3" s="152">
        <f>IF(OR($MQ3=0,$NE3=0),"",IF($MF3=0,"−1 dado","−"&amp;INDEX($I$2:$N$8,MAX(1,$MF3),MAX(1,$NJ3))&amp;" · "&amp;CHOOSE(MAX(1,$NJ3),"Leve","Média","Pesada","Leve · Livre","Média · Livre","Pesada · Livre")))</f>
        <v/>
      </c>
      <c r="QD3" s="152">
        <f>IF(OR($MQ3=0,$MO3=""),"",IF($MF3=0,"não devolve","+"&amp;IF($NV3=1,CEILING($MF3/2,1),$MF3)))</f>
        <v/>
      </c>
      <c r="QE3" s="152">
        <f>IF(OR($MQ3=0,$MP3=""),"",IF($MF3=0,"não devolve","+"&amp;IF($NW3=1,CEILING($MF3/2,1),$MF3)))</f>
        <v/>
      </c>
      <c r="QG3" s="150" t="inlineStr">
        <is>
          <t>F13</t>
        </is>
      </c>
      <c r="QH3" s="152">
        <f>IF(OR(DADOS_INVOC!$CX$4="",LEFT(DADOS_INVOC!$CX$4,7)="Escolha"),"—",DADOS_INVOC!$CX$4)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A4" s="152" t="n">
        <v>0</v>
      </c>
      <c r="BC4" s="150" t="inlineStr">
        <is>
          <t>Parado</t>
        </is>
      </c>
      <c r="BD4" s="150" t="inlineStr">
        <is>
          <t>Parado</t>
        </is>
      </c>
      <c r="BE4" s="152" t="n">
        <v>1</v>
      </c>
      <c r="BF4" s="152" t="n">
        <v>0</v>
      </c>
      <c r="BG4" s="150" t="inlineStr">
        <is>
          <t>Parado</t>
        </is>
      </c>
      <c r="BI4" s="150" t="inlineStr">
        <is>
          <t>Raiz</t>
        </is>
      </c>
      <c r="BJ4" s="152" t="n">
        <v>1</v>
      </c>
      <c r="BK4" s="150" t="inlineStr">
        <is>
          <t>Você não é movido à força nem fica Derrubado contra a sua vontade. Pode aceitar um deslocamento ou se deitar por escolha própria. O Talento não impede o dano de um efeito que também empurre ou derrube.</t>
        </is>
      </c>
      <c r="BL4" s="150" t="inlineStr">
        <is>
          <t>Raiz</t>
        </is>
      </c>
      <c r="BN4" s="150" t="inlineStr">
        <is>
          <t>Shikigami de criação</t>
        </is>
      </c>
      <c r="BP4" s="150" t="inlineStr">
        <is>
          <t>Maldição domada</t>
        </is>
      </c>
      <c r="BQ4" s="152" t="n">
        <v>0</v>
      </c>
      <c r="BS4" s="150" t="inlineStr">
        <is>
          <t>Mira</t>
        </is>
      </c>
      <c r="BU4" s="150" t="inlineStr">
        <is>
          <t>Constituição</t>
        </is>
      </c>
      <c r="BW4" s="150" t="inlineStr">
        <is>
          <t>Intelecto</t>
        </is>
      </c>
      <c r="CA4" s="150" t="inlineStr">
        <is>
          <t>Furtividade</t>
        </is>
      </c>
      <c r="CB4" s="150" t="inlineStr">
        <is>
          <t>Destreza</t>
        </is>
      </c>
      <c r="CF4" s="150" t="inlineStr">
        <is>
          <t>Concussão</t>
        </is>
      </c>
      <c r="CH4" s="150" t="inlineStr">
        <is>
          <t>TR Vigor</t>
        </is>
      </c>
      <c r="CJ4" s="152" t="n">
        <v>2</v>
      </c>
      <c r="CL4" s="152" t="n">
        <v>26</v>
      </c>
      <c r="CM4" s="150" t="inlineStr">
        <is>
          <t>26d8</t>
        </is>
      </c>
      <c r="CN4" s="152" t="n">
        <v>16</v>
      </c>
      <c r="CO4" s="152" t="n">
        <v>35</v>
      </c>
      <c r="CQ4" s="150" t="inlineStr">
        <is>
          <t>Sem Barreiras</t>
        </is>
      </c>
      <c r="CR4" s="150" t="inlineStr">
        <is>
          <t>Mais 2 espaços; total 5.</t>
        </is>
      </c>
      <c r="CS4" s="150" t="inlineStr">
        <is>
          <t>Completa, seu refino 10 e sua especialização em Ocultismo.</t>
        </is>
      </c>
      <c r="CW4" s="150" t="inlineStr">
        <is>
          <t>trilha</t>
        </is>
      </c>
      <c r="CX4" s="152">
        <f>FICHA!$N$11&amp;""</f>
        <v/>
      </c>
      <c r="CZ4" s="152" t="n">
        <v>3</v>
      </c>
      <c r="DA4" s="152">
        <f>'INVOCAÇÕES'!$I$409&amp;""</f>
        <v/>
      </c>
      <c r="DB4" s="152">
        <f>'INVOCAÇÕES'!$I$439&amp;""</f>
        <v/>
      </c>
      <c r="DC4" s="152">
        <f>'INVOCAÇÕES'!$I$443&amp;""</f>
        <v/>
      </c>
      <c r="DD4" s="152">
        <f>N('INVOCAÇÕES'!$K$443)</f>
        <v/>
      </c>
      <c r="DE4" s="152">
        <f>'INVOCAÇÕES'!$L$443&amp;""</f>
        <v/>
      </c>
      <c r="DF4" s="152">
        <f>N('INVOCAÇÕES'!$O$416)</f>
        <v/>
      </c>
      <c r="DG4" s="152">
        <f>N('INVOCAÇÕES'!$P$416)</f>
        <v/>
      </c>
      <c r="DH4" s="152">
        <f>N('INVOCAÇÕES'!$Q$416)</f>
        <v/>
      </c>
      <c r="DI4" s="152">
        <f>N('INVOCAÇÕES'!$R$416)</f>
        <v/>
      </c>
      <c r="DJ4" s="152">
        <f>N('INVOCAÇÕES'!$S$416)</f>
        <v/>
      </c>
      <c r="DK4" s="152">
        <f>N('INVOCAÇÕES'!$O$417)</f>
        <v/>
      </c>
      <c r="DL4" s="152">
        <f>N('INVOCAÇÕES'!$P$417)</f>
        <v/>
      </c>
      <c r="DM4" s="152">
        <f>N('INVOCAÇÕES'!$Q$417)</f>
        <v/>
      </c>
      <c r="DN4" s="152">
        <f>N('INVOCAÇÕES'!$R$417)</f>
        <v/>
      </c>
      <c r="DO4" s="152">
        <f>N('INVOCAÇÕES'!$S$417)</f>
        <v/>
      </c>
      <c r="DP4" s="152">
        <f>'INVOCAÇÕES'!$O$430&amp;""</f>
        <v/>
      </c>
      <c r="DQ4" s="152">
        <f>'INVOCAÇÕES'!$R$430&amp;""</f>
        <v/>
      </c>
      <c r="DR4" s="152">
        <f>'INVOCAÇÕES'!$S$425&amp;""</f>
        <v/>
      </c>
      <c r="DS4" s="152">
        <f>N('INVOCAÇÕES'!$O$422)</f>
        <v/>
      </c>
      <c r="DT4" s="152">
        <f>N('INVOCAÇÕES'!$P$422)</f>
        <v/>
      </c>
      <c r="DU4" s="152">
        <f>N('INVOCAÇÕES'!$Q$422)</f>
        <v/>
      </c>
      <c r="DV4" s="152">
        <f>N('INVOCAÇÕES'!$R$422)</f>
        <v/>
      </c>
      <c r="DW4" s="152">
        <f>N('INVOCAÇÕES'!$S$422)</f>
        <v/>
      </c>
      <c r="DX4" s="152">
        <f>N('INVOCAÇÕES'!$O$427)</f>
        <v/>
      </c>
      <c r="DY4" s="152">
        <f>N('INVOCAÇÕES'!$P$427)</f>
        <v/>
      </c>
      <c r="DZ4" s="152">
        <f>N('INVOCAÇÕES'!$Q$427)</f>
        <v/>
      </c>
      <c r="EA4" s="152">
        <f>N('INVOCAÇÕES'!$R$427)</f>
        <v/>
      </c>
      <c r="EB4" s="152">
        <f>'INVOCAÇÕES'!$U$409&amp;""</f>
        <v/>
      </c>
      <c r="EC4" s="152">
        <f>N('INVOCAÇÕES'!$W$409)</f>
        <v/>
      </c>
      <c r="ED4" s="152">
        <f>'INVOCAÇÕES'!$Y$409&amp;""</f>
        <v/>
      </c>
      <c r="EE4" s="152">
        <f>SUM('INVOCAÇÕES'!$Y$429:'INVOCAÇÕES'!$Y$431,'INVOCAÇÕES'!$Y$433:'INVOCAÇÕES'!$Y$438)</f>
        <v/>
      </c>
      <c r="EF4" s="152">
        <f>'INVOCAÇÕES'!$O$444&amp;""</f>
        <v/>
      </c>
      <c r="EG4" s="152">
        <f>'INVOCAÇÕES'!$P$444&amp;""</f>
        <v/>
      </c>
      <c r="EH4" s="152">
        <f>'INVOCAÇÕES'!$Q$444&amp;""</f>
        <v/>
      </c>
      <c r="EI4" s="152">
        <f>'INVOCAÇÕES'!$R$444&amp;""</f>
        <v/>
      </c>
      <c r="EJ4" s="152">
        <f>'INVOCAÇÕES'!$S$444&amp;""</f>
        <v/>
      </c>
      <c r="EK4" s="152">
        <f>'INVOCAÇÕES'!$O$434&amp;""</f>
        <v/>
      </c>
      <c r="EL4" s="152">
        <f>'INVOCAÇÕES'!$O$435&amp;""</f>
        <v/>
      </c>
      <c r="EM4" s="152">
        <f>'INVOCAÇÕES'!$O$436&amp;""</f>
        <v/>
      </c>
      <c r="EN4" s="152">
        <f>'INVOCAÇÕES'!$O$437&amp;""</f>
        <v/>
      </c>
      <c r="EO4" s="152">
        <f>'INVOCAÇÕES'!$O$438&amp;""</f>
        <v/>
      </c>
      <c r="EP4" s="152">
        <f>'INVOCAÇÕES'!$O$439&amp;""</f>
        <v/>
      </c>
      <c r="EQ4" s="152">
        <f>'INVOCAÇÕES'!$O$440&amp;""</f>
        <v/>
      </c>
      <c r="ER4" s="152">
        <f>'INVOCAÇÕES'!$J$476&amp;""</f>
        <v/>
      </c>
      <c r="ES4" s="152">
        <f>'INVOCAÇÕES'!$J$477&amp;""</f>
        <v/>
      </c>
      <c r="ET4" s="152">
        <f>'INVOCAÇÕES'!$J$478&amp;""</f>
        <v/>
      </c>
      <c r="EU4" s="152">
        <f>'INVOCAÇÕES'!$J$479&amp;""</f>
        <v/>
      </c>
      <c r="EV4" s="152">
        <f>'INVOCAÇÕES'!$J$480&amp;""</f>
        <v/>
      </c>
      <c r="EW4" s="152">
        <f>'INVOCAÇÕES'!$J$481&amp;""</f>
        <v/>
      </c>
      <c r="EX4" s="152">
        <f>'INVOCAÇÕES'!$J$482&amp;""</f>
        <v/>
      </c>
      <c r="EY4" s="152">
        <f>'INVOCAÇÕES'!$J$483&amp;""</f>
        <v/>
      </c>
      <c r="EZ4" s="152">
        <f>'INVOCAÇÕES'!$J$578&amp;""</f>
        <v/>
      </c>
      <c r="FA4" s="152">
        <f>'INVOCAÇÕES'!$J$579&amp;""</f>
        <v/>
      </c>
      <c r="FB4" s="152">
        <f>'INVOCAÇÕES'!$J$580&amp;""</f>
        <v/>
      </c>
      <c r="FC4" s="152">
        <f>MAX(3,MIN(7,N('INVOCAÇÕES'!$I$585)))</f>
        <v/>
      </c>
      <c r="FD4" s="152">
        <f>MAX(3,MIN(7,N('INVOCAÇÕES'!$O$585)))</f>
        <v/>
      </c>
      <c r="FE4" s="152">
        <f>MAX(3,MIN(7,N('INVOCAÇÕES'!$U$585)))</f>
        <v/>
      </c>
      <c r="FF4" s="152">
        <f>'INVOCAÇÕES'!$O$599&amp;""</f>
        <v/>
      </c>
      <c r="FG4" s="152">
        <f>IF($DA4&lt;&gt;"",1,0)</f>
        <v/>
      </c>
      <c r="FH4" s="152">
        <f>IFERROR(VLOOKUP($DC4,$BP$2:$BQ$5,2,FALSE),1)</f>
        <v/>
      </c>
      <c r="FI4" s="152">
        <f>IF($FH4=1,$CX$2,MAX(1,MIN($CX$2,IF($DD4=0,$CX$2,$DD4))))</f>
        <v/>
      </c>
      <c r="FJ4" s="152">
        <f>VLOOKUP(MAX(1,$FI4),$A$2:$D$8,2,TRUE)</f>
        <v/>
      </c>
      <c r="FK4" s="152">
        <f>VLOOKUP(MAX(1,$FI4),$A$2:$D$8,3,TRUE)</f>
        <v/>
      </c>
      <c r="FL4" s="152">
        <f>$DF4+$DK4</f>
        <v/>
      </c>
      <c r="FM4" s="152">
        <f>$DG4+$DL4</f>
        <v/>
      </c>
      <c r="FN4" s="152">
        <f>$DH4+$DM4</f>
        <v/>
      </c>
      <c r="FO4" s="152">
        <f>$DI4+$DN4</f>
        <v/>
      </c>
      <c r="FP4" s="152">
        <f>$DJ4+$DO4</f>
        <v/>
      </c>
      <c r="FQ4" s="152">
        <f>SUM($DF4:$DJ4)</f>
        <v/>
      </c>
      <c r="FR4" s="152">
        <f>9+$FS4</f>
        <v/>
      </c>
      <c r="FS4" s="152">
        <f>COUNTIF($F$2:$F$8,"&lt;="&amp;$FI4)</f>
        <v/>
      </c>
      <c r="FT4" s="152">
        <f>MAX(0,$DF4-3)+MAX(0,$DG4-3)+MAX(0,$DH4-3)+MAX(0,$DI4-3)+MAX(0,$DJ4-3)</f>
        <v/>
      </c>
      <c r="FU4" s="152">
        <f>IFERROR(INDEX($FL4:$FP4,1,MATCH($DP4,$BU$2:$BU$6,0)),"")</f>
        <v/>
      </c>
      <c r="FV4" s="152">
        <f>IF($FU4="","",$FU4+$CX$3+$DS4)</f>
        <v/>
      </c>
      <c r="FW4" s="152">
        <f>IF($FU4="","",8+$FU4+$CX$3+$DT4)</f>
        <v/>
      </c>
      <c r="FX4" s="152">
        <f>10+$FM4+$CX$7+$DU4</f>
        <v/>
      </c>
      <c r="FY4" s="152">
        <f>IF($DB4="Corpo amaldiçoado de criação",1,0)</f>
        <v/>
      </c>
      <c r="FZ4" s="152">
        <f>5+$FN4+(3+$FY4+$FN4)*($FI4-1)+$DV4</f>
        <v/>
      </c>
      <c r="GA4" s="152">
        <f>IF($FG4=0,"",$FZ4)</f>
        <v/>
      </c>
      <c r="GB4" s="152">
        <f>IF($EB4="",$FZ4,MAX(0,MIN(IFERROR(VALUE($EB4),$FZ4),$FZ4)))</f>
        <v/>
      </c>
      <c r="GC4" s="152">
        <f>9+$DW4</f>
        <v/>
      </c>
      <c r="GD4" s="152">
        <f>IF($DQ4="Destreza",$FM4,$FL4)</f>
        <v/>
      </c>
      <c r="GE4" s="152">
        <f>$GD4+IF($DR4="Físico",$CX$3,0)+$DX4</f>
        <v/>
      </c>
      <c r="GF4" s="152">
        <f>$FN4+IF($DR4="Vigor",$CX$3,0)+$DY4</f>
        <v/>
      </c>
      <c r="GG4" s="152">
        <f>$FO4+IF($DR4="Intelecto",$CX$3,0)+$DZ4</f>
        <v/>
      </c>
      <c r="GH4" s="152">
        <f>$FP4+IF($DR4="Espírito",$CX$3,0)+$EA4</f>
        <v/>
      </c>
      <c r="GI4" s="152">
        <f>4+INT($DI4/2)</f>
        <v/>
      </c>
      <c r="GJ4" s="152">
        <f>COUNTIF($EK4:$EQ4,"?*")</f>
        <v/>
      </c>
      <c r="GK4" s="152">
        <f>INT((2+$FI4/2)/2)</f>
        <v/>
      </c>
      <c r="GL4" s="152">
        <f>IF($FI4&gt;=11,2,1)</f>
        <v/>
      </c>
      <c r="GM4" s="152">
        <f>1+$FS4</f>
        <v/>
      </c>
      <c r="GN4" s="152">
        <f>COUNTIF($ER4:$EY4,"?*")</f>
        <v/>
      </c>
      <c r="GO4" s="152">
        <f>IF(AND($DB4="Shikigami de criação",$DE4="Com carga"),MAX(1,CEILING($FJ4/2,1)),$FJ4)</f>
        <v/>
      </c>
      <c r="GP4" s="152">
        <f>$FJ4+$GO4</f>
        <v/>
      </c>
      <c r="GQ4" s="152">
        <f>$FI4*(1+INT($DJ4/3))</f>
        <v/>
      </c>
      <c r="GR4" s="152">
        <f>5+$FL4</f>
        <v/>
      </c>
      <c r="GS4" s="152">
        <f>COUNTIF($EF4:$EJ4,"?*")</f>
        <v/>
      </c>
      <c r="GT4" s="152">
        <f>IF($EF4="",0,IF(COUNTIF($EF4:$EJ4,$EF4)&gt;1,1,0))+IF($EG4="",0,IF(COUNTIF($EF4:$EJ4,$EG4)&gt;1,1,0))+IF($EH4="",0,IF(COUNTIF($EF4:$EJ4,$EH4)&gt;1,1,0))+IF($EI4="",0,IF(COUNTIF($EF4:$EJ4,$EI4)&gt;1,1,0))+IF($EJ4="",0,IF(COUNTIF($EF4:$EJ4,$EJ4)&gt;1,1,0))</f>
        <v/>
      </c>
      <c r="GU4" s="152">
        <f>$CX$11</f>
        <v/>
      </c>
      <c r="GV4" s="152">
        <f>IF($FG4=0,"INVOCAÇÃO 3 · lugar vazio",$DA4&amp;" · "&amp;$DB4&amp;" · nível "&amp;$FI4&amp;" · vida "&amp;$GB4&amp;" de "&amp;$FZ4)</f>
        <v/>
      </c>
      <c r="GW4" s="152">
        <f>IF($FG4=0,"VAZIA",UPPER($DA4))</f>
        <v/>
      </c>
      <c r="GX4" s="152">
        <f>IF($CX$3&gt;=0,"+","−")&amp;ABS($CX$3)</f>
        <v/>
      </c>
      <c r="GY4" s="152">
        <f>$GO4&amp;" PE"</f>
        <v/>
      </c>
      <c r="GZ4" s="152">
        <f>$GP4&amp;" PE"</f>
        <v/>
      </c>
      <c r="HA4" s="152">
        <f>IF(OR($FQ4&gt;$FR4,$FT4&gt;$FS4),"⚠ ",IF(AND($FG4=1,$FQ4&lt;$FR4),"! ",""))&amp;"ATRIBUTOS · "&amp;$FQ4&amp;" DE "&amp;$FR4&amp;" PONTOS"&amp;IF($FT4&gt;$FS4," · ACIMA DE 3 SÓ COM MARCO","")</f>
        <v/>
      </c>
      <c r="HB4" s="152">
        <f>IF($FV4="","",IF($FV4&gt;=0,"+","−")&amp;ABS($FV4))</f>
        <v/>
      </c>
      <c r="HC4" s="152">
        <f>IF($FW4="","",$FW4)</f>
        <v/>
      </c>
      <c r="HD4" s="152">
        <f>SUBSTITUTE($GC4&amp;" m",".",",")</f>
        <v/>
      </c>
      <c r="HE4" s="152">
        <f>IF($GE4&gt;=0,"+","−")&amp;ABS($GE4)</f>
        <v/>
      </c>
      <c r="HF4" s="152">
        <f>IF($GF4&gt;=0,"+","−")&amp;ABS($GF4)</f>
        <v/>
      </c>
      <c r="HG4" s="152">
        <f>IF($GG4&gt;=0,"+","−")&amp;ABS($GG4)</f>
        <v/>
      </c>
      <c r="HH4" s="152">
        <f>IF($GH4&gt;=0,"+","−")&amp;ABS($GH4)</f>
        <v/>
      </c>
      <c r="HI4" s="152">
        <f>IF($GJ4&gt;$GI4,"⚠ ","")&amp;"PERÍCIAS · "&amp;$GJ4&amp;" DE "&amp;$GI4</f>
        <v/>
      </c>
      <c r="HJ4" s="152">
        <f>IF($EK4="","",IFERROR(IF((INDEX($FL4:$FP4,1,MATCH(VLOOKUP($EK4,$CA$2:$CB$24,2,FALSE),$BU$2:$BU$6,0))+$CX$3)&gt;=0,"+","−")&amp;ABS((INDEX($FL4:$FP4,1,MATCH(VLOOKUP($EK4,$CA$2:$CB$24,2,FALSE),$BU$2:$BU$6,0))+$CX$3)),""))</f>
        <v/>
      </c>
      <c r="HK4" s="152">
        <f>IF($EL4="","",IFERROR(IF((INDEX($FL4:$FP4,1,MATCH(VLOOKUP($EL4,$CA$2:$CB$24,2,FALSE),$BU$2:$BU$6,0))+$CX$3)&gt;=0,"+","−")&amp;ABS((INDEX($FL4:$FP4,1,MATCH(VLOOKUP($EL4,$CA$2:$CB$24,2,FALSE),$BU$2:$BU$6,0))+$CX$3)),""))</f>
        <v/>
      </c>
      <c r="HL4" s="152">
        <f>IF($EM4="","",IFERROR(IF((INDEX($FL4:$FP4,1,MATCH(VLOOKUP($EM4,$CA$2:$CB$24,2,FALSE),$BU$2:$BU$6,0))+$CX$3)&gt;=0,"+","−")&amp;ABS((INDEX($FL4:$FP4,1,MATCH(VLOOKUP($EM4,$CA$2:$CB$24,2,FALSE),$BU$2:$BU$6,0))+$CX$3)),""))</f>
        <v/>
      </c>
      <c r="HM4" s="152">
        <f>IF($EN4="","",IFERROR(IF((INDEX($FL4:$FP4,1,MATCH(VLOOKUP($EN4,$CA$2:$CB$24,2,FALSE),$BU$2:$BU$6,0))+$CX$3)&gt;=0,"+","−")&amp;ABS((INDEX($FL4:$FP4,1,MATCH(VLOOKUP($EN4,$CA$2:$CB$24,2,FALSE),$BU$2:$BU$6,0))+$CX$3)),""))</f>
        <v/>
      </c>
      <c r="HN4" s="152">
        <f>IF($EO4="","",IFERROR(IF((INDEX($FL4:$FP4,1,MATCH(VLOOKUP($EO4,$CA$2:$CB$24,2,FALSE),$BU$2:$BU$6,0))+$CX$3)&gt;=0,"+","−")&amp;ABS((INDEX($FL4:$FP4,1,MATCH(VLOOKUP($EO4,$CA$2:$CB$24,2,FALSE),$BU$2:$BU$6,0))+$CX$3)),""))</f>
        <v/>
      </c>
      <c r="HO4" s="152">
        <f>IF($EP4="","",IFERROR(IF((INDEX($FL4:$FP4,1,MATCH(VLOOKUP($EP4,$CA$2:$CB$24,2,FALSE),$BU$2:$BU$6,0))+$CX$3)&gt;=0,"+","−")&amp;ABS((INDEX($FL4:$FP4,1,MATCH(VLOOKUP($EP4,$CA$2:$CB$24,2,FALSE),$BU$2:$BU$6,0))+$CX$3)),""))</f>
        <v/>
      </c>
      <c r="HP4" s="152">
        <f>IF($EQ4="","",IFERROR(IF((INDEX($FL4:$FP4,1,MATCH(VLOOKUP($EQ4,$CA$2:$CB$24,2,FALSE),$BU$2:$BU$6,0))+$CX$3)&gt;=0,"+","−")&amp;ABS((INDEX($FL4:$FP4,1,MATCH(VLOOKUP($EQ4,$CA$2:$CB$24,2,FALSE),$BU$2:$BU$6,0))+$CX$3)),""))</f>
        <v/>
      </c>
      <c r="HQ4" s="152">
        <f>IF($DB4="Maldição domada","RESERVA · MÁX. "&amp;$GQ4,"RESERVA DE PE")</f>
        <v/>
      </c>
      <c r="HR4" s="152">
        <f>IF($EE4&gt;$GR4,"⚠ ","")&amp;"EQUIPAMENTO · "&amp;$EE4&amp;" DE "&amp;$GR4&amp;" DE VOLUME"&amp;IF($EE4&gt;$GR4," · PASSOU DO LIMITE","")</f>
        <v/>
      </c>
      <c r="HS4" s="152">
        <f>IF(OR($GT4&gt;0,$GS4&gt;$GU4),"⚠ ","")&amp;"FAMÍLIAS · "&amp;$GS4&amp;" ABERTAS"&amp;IF($GT4&gt;0," · REPETIDA","")&amp;IF($GS4&gt;$GU4," · O LIMITE É "&amp;$GU4,"")</f>
        <v/>
      </c>
      <c r="HT4" s="152">
        <f>"HABILIDADES · básica de "&amp;$FK4&amp;"d6 · "&amp;$GK4&amp;IF($GK4&gt;1," espaços"," espaço")&amp;" de especial até a Classe "&amp;$FJ4&amp;" · "&amp;$GM4&amp;IF($GM4&gt;1," talentos"," talento")</f>
        <v/>
      </c>
      <c r="HU4" s="152">
        <f>IF($GN4&gt;$GM4,"⚠ ","")&amp;"TALENTOS · "&amp;$GN4&amp;" DE "&amp;$GM4</f>
        <v/>
      </c>
      <c r="HV4" s="152">
        <f>IFERROR(VLOOKUP($ER4,$BI$2:$BL$15,2,FALSE),0)</f>
        <v/>
      </c>
      <c r="HW4" s="152">
        <f>IFERROR(VLOOKUP($ES4,$BI$2:$BL$15,2,FALSE),0)</f>
        <v/>
      </c>
      <c r="HX4" s="152">
        <f>IFERROR(VLOOKUP($ET4,$BI$2:$BL$15,2,FALSE),0)</f>
        <v/>
      </c>
      <c r="HY4" s="152">
        <f>IFERROR(VLOOKUP($EU4,$BI$2:$BL$15,2,FALSE),0)</f>
        <v/>
      </c>
      <c r="HZ4" s="152">
        <f>IFERROR(VLOOKUP($EV4,$BI$2:$BL$15,2,FALSE),0)</f>
        <v/>
      </c>
      <c r="IA4" s="152">
        <f>IFERROR(VLOOKUP($EW4,$BI$2:$BL$15,2,FALSE),0)</f>
        <v/>
      </c>
      <c r="IB4" s="152">
        <f>IFERROR(VLOOKUP($EX4,$BI$2:$BL$15,2,FALSE),0)</f>
        <v/>
      </c>
      <c r="IC4" s="152">
        <f>IFERROR(VLOOKUP($EY4,$BI$2:$BL$15,2,FALSE),0)</f>
        <v/>
      </c>
      <c r="ID4" s="152">
        <f>IF($ER4="","",IF(1&gt;$FI4,"⚠ Este talento abre no nível 1",IF($HV4&gt;1,"⚠ Categoria "&amp;$HV4&amp;": este ganho vai até a 1 · ","")&amp;IFERROR(VLOOKUP($ER4,$BI$2:$BL$15,3,FALSE),"")))</f>
        <v/>
      </c>
      <c r="IE4" s="152">
        <f>IF($ES4="","",IF(6&gt;$FI4,"⚠ Este talento abre no nível 6",IF($HW4&gt;1,"⚠ Categoria "&amp;$HW4&amp;": este ganho vai até a 1 · ","")&amp;IFERROR(VLOOKUP($ES4,$BI$2:$BL$15,3,FALSE),"")))</f>
        <v/>
      </c>
      <c r="IF4" s="152">
        <f>IF($ET4="","",IF(10&gt;$FI4,"⚠ Este talento abre no nível 10",IF($HX4&gt;2,"⚠ Categoria "&amp;$HX4&amp;": este ganho vai até a 2 · ","")&amp;IFERROR(VLOOKUP($ET4,$BI$2:$BL$15,3,FALSE),"")))</f>
        <v/>
      </c>
      <c r="IG4" s="152">
        <f>IF($EU4="","",IF(14&gt;$FI4,"⚠ Este talento abre no nível 14",IF($HY4&gt;3,"⚠ Categoria "&amp;$HY4&amp;": este ganho vai até a 3 · ","")&amp;IFERROR(VLOOKUP($EU4,$BI$2:$BL$15,3,FALSE),"")))</f>
        <v/>
      </c>
      <c r="IH4" s="152">
        <f>IF($EV4="","",IF(18&gt;$FI4,"⚠ Este talento abre no nível 18",IF($HZ4&gt;3,"⚠ Categoria "&amp;$HZ4&amp;": este ganho vai até a 3 · ","")&amp;IFERROR(VLOOKUP($EV4,$BI$2:$BL$15,3,FALSE),"")))</f>
        <v/>
      </c>
      <c r="II4" s="152">
        <f>IF($EW4="","",IF(22&gt;$FI4,"⚠ Este talento abre no nível 22",IF($IA4&gt;3,"⚠ Categoria "&amp;$IA4&amp;": este ganho vai até a 3 · ","")&amp;IFERROR(VLOOKUP($EW4,$BI$2:$BL$15,3,FALSE),"")))</f>
        <v/>
      </c>
      <c r="IJ4" s="152">
        <f>IF($EX4="","",IF(26&gt;$FI4,"⚠ Este talento abre no nível 26",IF($IB4&gt;3,"⚠ Categoria "&amp;$IB4&amp;": este ganho vai até a 3 · ","")&amp;IFERROR(VLOOKUP($EX4,$BI$2:$BL$15,3,FALSE),"")))</f>
        <v/>
      </c>
      <c r="IK4" s="152">
        <f>IF($EY4="","",IF(30&gt;$FI4,"⚠ Este talento abre no nível 30",IF($IC4&gt;3,"⚠ Categoria "&amp;$IC4&amp;": este ganho vai até a 3 · ","")&amp;IFERROR(VLOOKUP($EY4,$BI$2:$BL$15,3,FALSE),"")))</f>
        <v/>
      </c>
      <c r="IL4" s="152">
        <f>IF($EZ4="","",IFERROR(VLOOKUP($EZ4,$BI$2:$BL$15,3,FALSE),""))</f>
        <v/>
      </c>
      <c r="IM4" s="152">
        <f>IF($FA4="","",IFERROR(VLOOKUP($FA4,$BI$2:$BL$15,3,FALSE),""))</f>
        <v/>
      </c>
      <c r="IN4" s="152">
        <f>IF($FB4="","",IFERROR(VLOOKUP($FB4,$BI$2:$BL$15,3,FALSE),""))</f>
        <v/>
      </c>
      <c r="IO4" s="152">
        <f>CEILING(4.5*$FC4,1)&amp;" PE"</f>
        <v/>
      </c>
      <c r="IP4" s="152">
        <f>CEILING(4.5*$FD4,1)&amp;" PE"</f>
        <v/>
      </c>
      <c r="IQ4" s="152">
        <f>CEILING(4.5*$FE4,1)&amp;" PE"</f>
        <v/>
      </c>
      <c r="IR4" s="152">
        <f>INDEX($P$2:$P$8,$FC4)&amp;" pontos + "&amp;$FC4&amp;"d8"</f>
        <v/>
      </c>
      <c r="IS4" s="152">
        <f>INDEX($P$2:$P$8,$FD4)&amp;" pontos + "&amp;$FD4&amp;"d8"</f>
        <v/>
      </c>
      <c r="IT4" s="152">
        <f>INDEX($P$2:$P$8,$FE4)&amp;" pontos + "&amp;$FE4&amp;"d8"</f>
        <v/>
      </c>
      <c r="IU4" s="152">
        <f>IF($FI4&lt;17,"—",VLOOKUP($FI4,$CL$2:$CO$4,4,TRUE)&amp;" PE")</f>
        <v/>
      </c>
      <c r="IV4" s="152">
        <f>IF($FI4&lt;17,"Abre no nível 17",VLOOKUP($FI4,$CL$2:$CO$4,2,TRUE)&amp;" fixos · "&amp;VLOOKUP($FI4,$CL$2:$CO$4,3,TRUE)&amp;" pontos")</f>
        <v/>
      </c>
      <c r="IW4" s="152">
        <f>IF($FF4="Sem Barreiras",7,6)*$FJ4&amp;" PE"</f>
        <v/>
      </c>
      <c r="IX4" s="152">
        <f>"Acerto "&amp;$FJ4&amp;"d8"</f>
        <v/>
      </c>
      <c r="IY4" s="152">
        <f>IFERROR(VLOOKUP($FF4,$CQ$2:$CS$4,3,FALSE),"Escolha o degrau")</f>
        <v/>
      </c>
      <c r="IZ4" s="152">
        <f>3&amp;" · "&amp;IF($FG4=0,"vazia",$DA4&amp;" · nv "&amp;$FI4&amp;" · "&amp;$GB4&amp;"/"&amp;$FZ4)</f>
        <v/>
      </c>
      <c r="JB4" s="150" t="inlineStr">
        <is>
          <t>Invocação 3</t>
        </is>
      </c>
      <c r="JC4" s="152">
        <f>ADDRESS(ROW('INVOCAÇÕES'!D23),COLUMN('INVOCAÇÕES'!D23),4)</f>
        <v/>
      </c>
      <c r="JD4" s="152">
        <f>ADDRESS(ROW('INVOCAÇÕES'!H405),COLUMN('INVOCAÇÕES'!H405),4)</f>
        <v/>
      </c>
      <c r="JE4" s="150" t="inlineStr">
        <is>
          <t>DADOS_INVOC!$IZ$4</t>
        </is>
      </c>
      <c r="JG4" s="152">
        <f>IF(OR($AW4="",COUNTIF($EF$2:$EJ$2,$AW4)&gt;0),$AV4,"")</f>
        <v/>
      </c>
      <c r="JH4" s="152">
        <f>IF(AND($AX4=1,OR($AW4="",COUNTIF($EF$2:$EJ$2,$AW4)&gt;0)),$AV4,"")</f>
        <v/>
      </c>
      <c r="JJ4" s="152">
        <f>IF(OR($W4="",COUNTIF($EF$2:$EJ$2,$W4)&gt;0),$V4,"")</f>
        <v/>
      </c>
      <c r="JK4" s="152">
        <f>IF(AND($AF4=1,OR($W4="",COUNTIF($EF$2:$EJ$2,$W4)&gt;0)),$V4,"")</f>
        <v/>
      </c>
      <c r="JM4" s="152">
        <f>IF(OR($AW4="",COUNTIF($EF$3:$EJ$3,$AW4)&gt;0),$AV4,"")</f>
        <v/>
      </c>
      <c r="JN4" s="152">
        <f>IF(AND($AX4=1,OR($AW4="",COUNTIF($EF$3:$EJ$3,$AW4)&gt;0)),$AV4,"")</f>
        <v/>
      </c>
      <c r="JP4" s="152">
        <f>IF(OR($W4="",COUNTIF($EF$3:$EJ$3,$W4)&gt;0),$V4,"")</f>
        <v/>
      </c>
      <c r="JQ4" s="152">
        <f>IF(AND($AF4=1,OR($W4="",COUNTIF($EF$3:$EJ$3,$W4)&gt;0)),$V4,"")</f>
        <v/>
      </c>
      <c r="JS4" s="152">
        <f>IF(OR($AW4="",COUNTIF($EF$4:$EJ$4,$AW4)&gt;0),$AV4,"")</f>
        <v/>
      </c>
      <c r="JT4" s="152">
        <f>IF(AND($AX4=1,OR($AW4="",COUNTIF($EF$4:$EJ$4,$AW4)&gt;0)),$AV4,"")</f>
        <v/>
      </c>
      <c r="JV4" s="152">
        <f>IF(OR($W4="",COUNTIF($EF$4:$EJ$4,$W4)&gt;0),$V4,"")</f>
        <v/>
      </c>
      <c r="JW4" s="152">
        <f>IF(AND($AF4=1,OR($W4="",COUNTIF($EF$4:$EJ$4,$W4)&gt;0)),$V4,"")</f>
        <v/>
      </c>
      <c r="JY4" s="152">
        <f>IF(OR($AW4="",COUNTIF($EF$5:$EJ$5,$AW4)&gt;0),$AV4,"")</f>
        <v/>
      </c>
      <c r="JZ4" s="152">
        <f>IF(AND($AX4=1,OR($AW4="",COUNTIF($EF$5:$EJ$5,$AW4)&gt;0)),$AV4,"")</f>
        <v/>
      </c>
      <c r="KB4" s="152">
        <f>IF(OR($W4="",COUNTIF($EF$5:$EJ$5,$W4)&gt;0),$V4,"")</f>
        <v/>
      </c>
      <c r="KC4" s="152">
        <f>IF(AND($AF4=1,OR($W4="",COUNTIF($EF$5:$EJ$5,$W4)&gt;0)),$V4,"")</f>
        <v/>
      </c>
      <c r="KE4" s="152">
        <f>IF(OR($AW4="",COUNTIF($EF$6:$EJ$6,$AW4)&gt;0),$AV4,"")</f>
        <v/>
      </c>
      <c r="KF4" s="152">
        <f>IF(AND($AX4=1,OR($AW4="",COUNTIF($EF$6:$EJ$6,$AW4)&gt;0)),$AV4,"")</f>
        <v/>
      </c>
      <c r="KH4" s="152">
        <f>IF(OR($W4="",COUNTIF($EF$6:$EJ$6,$W4)&gt;0),$V4,"")</f>
        <v/>
      </c>
      <c r="KI4" s="152">
        <f>IF(AND($AF4=1,OR($W4="",COUNTIF($EF$6:$EJ$6,$W4)&gt;0)),$V4,"")</f>
        <v/>
      </c>
      <c r="KK4" s="152">
        <f>IF(OR($AW4="",COUNTIF($EF$7:$EJ$7,$AW4)&gt;0),$AV4,"")</f>
        <v/>
      </c>
      <c r="KL4" s="152">
        <f>IF(AND($AX4=1,OR($AW4="",COUNTIF($EF$7:$EJ$7,$AW4)&gt;0)),$AV4,"")</f>
        <v/>
      </c>
      <c r="KN4" s="152">
        <f>IF(OR($W4="",COUNTIF($EF$7:$EJ$7,$W4)&gt;0),$V4,"")</f>
        <v/>
      </c>
      <c r="KO4" s="152">
        <f>IF(AND($AF4=1,OR($W4="",COUNTIF($EF$7:$EJ$7,$W4)&gt;0)),$V4,"")</f>
        <v/>
      </c>
      <c r="KQ4" s="152">
        <f>IF(OR($AW4="",COUNTIF($EF$8:$EJ$8,$AW4)&gt;0),$AV4,"")</f>
        <v/>
      </c>
      <c r="KR4" s="152">
        <f>IF(AND($AX4=1,OR($AW4="",COUNTIF($EF$8:$EJ$8,$AW4)&gt;0)),$AV4,"")</f>
        <v/>
      </c>
      <c r="KT4" s="152">
        <f>IF(OR($W4="",COUNTIF($EF$8:$EJ$8,$W4)&gt;0),$V4,"")</f>
        <v/>
      </c>
      <c r="KU4" s="152">
        <f>IF(AND($AF4=1,OR($W4="",COUNTIF($EF$8:$EJ$8,$W4)&gt;0)),$V4,"")</f>
        <v/>
      </c>
      <c r="KW4" s="152">
        <f>IF(OR($AW4="",COUNTIF($EF$9:$EJ$9,$AW4)&gt;0),$AV4,"")</f>
        <v/>
      </c>
      <c r="KX4" s="152">
        <f>IF(AND($AX4=1,OR($AW4="",COUNTIF($EF$9:$EJ$9,$AW4)&gt;0)),$AV4,"")</f>
        <v/>
      </c>
      <c r="KZ4" s="152">
        <f>IF(OR($W4="",COUNTIF($EF$9:$EJ$9,$W4)&gt;0),$V4,"")</f>
        <v/>
      </c>
      <c r="LA4" s="152">
        <f>IF(AND($AF4=1,OR($W4="",COUNTIF($EF$9:$EJ$9,$W4)&gt;0)),$V4,"")</f>
        <v/>
      </c>
      <c r="LC4" s="152">
        <f>IF(OR($AW4="",COUNTIF($EF$10:$EJ$10,$AW4)&gt;0),$AV4,"")</f>
        <v/>
      </c>
      <c r="LD4" s="152">
        <f>IF(AND($AX4=1,OR($AW4="",COUNTIF($EF$10:$EJ$10,$AW4)&gt;0)),$AV4,"")</f>
        <v/>
      </c>
      <c r="LF4" s="152">
        <f>IF(OR($W4="",COUNTIF($EF$10:$EJ$10,$W4)&gt;0),$V4,"")</f>
        <v/>
      </c>
      <c r="LG4" s="152">
        <f>IF(AND($AF4=1,OR($W4="",COUNTIF($EF$10:$EJ$10,$W4)&gt;0)),$V4,"")</f>
        <v/>
      </c>
      <c r="LI4" s="152">
        <f>IF(OR($AW4="",COUNTIF($EF$11:$EJ$11,$AW4)&gt;0),$AV4,"")</f>
        <v/>
      </c>
      <c r="LJ4" s="152">
        <f>IF(AND($AX4=1,OR($AW4="",COUNTIF($EF$11:$EJ$11,$AW4)&gt;0)),$AV4,"")</f>
        <v/>
      </c>
      <c r="LL4" s="152">
        <f>IF(OR($W4="",COUNTIF($EF$11:$EJ$11,$W4)&gt;0),$V4,"")</f>
        <v/>
      </c>
      <c r="LM4" s="152">
        <f>IF(AND($AF4=1,OR($W4="",COUNTIF($EF$11:$EJ$11,$W4)&gt;0)),$V4,"")</f>
        <v/>
      </c>
      <c r="LO4" s="152">
        <f>IF(OR($AW4="",COUNTIF($EF$12:$EJ$12,$AW4)&gt;0),$AV4,"")</f>
        <v/>
      </c>
      <c r="LP4" s="152">
        <f>IF(AND($AX4=1,OR($AW4="",COUNTIF($EF$12:$EJ$12,$AW4)&gt;0)),$AV4,"")</f>
        <v/>
      </c>
      <c r="LR4" s="152">
        <f>IF(OR($W4="",COUNTIF($EF$12:$EJ$12,$W4)&gt;0),$V4,"")</f>
        <v/>
      </c>
      <c r="LS4" s="152">
        <f>IF(AND($AF4=1,OR($W4="",COUNTIF($EF$12:$EJ$12,$W4)&gt;0)),$V4,"")</f>
        <v/>
      </c>
      <c r="LU4" s="152">
        <f>IF(OR($AW4="",COUNTIF($EF$13:$EJ$13,$AW4)&gt;0),$AV4,"")</f>
        <v/>
      </c>
      <c r="LV4" s="152">
        <f>IF(AND($AX4=1,OR($AW4="",COUNTIF($EF$13:$EJ$13,$AW4)&gt;0)),$AV4,"")</f>
        <v/>
      </c>
      <c r="LX4" s="152">
        <f>IF(OR($W4="",COUNTIF($EF$13:$EJ$13,$W4)&gt;0),$V4,"")</f>
        <v/>
      </c>
      <c r="LY4" s="152">
        <f>IF(AND($AF4=1,OR($W4="",COUNTIF($EF$13:$EJ$13,$W4)&gt;0)),$V4,"")</f>
        <v/>
      </c>
      <c r="MA4" s="150" t="inlineStr">
        <is>
          <t>Ficha 1 · Especial 2</t>
        </is>
      </c>
      <c r="MB4" s="152" t="n">
        <v>1</v>
      </c>
      <c r="MC4" s="152" t="n">
        <v>1</v>
      </c>
      <c r="MD4" s="152" t="n">
        <v>4</v>
      </c>
      <c r="ME4" s="150" t="inlineStr">
        <is>
          <t>ESPECIAL 2</t>
        </is>
      </c>
      <c r="MF4" s="152">
        <f>MAX(1,MIN(7,N('INVOCAÇÕES'!$U$58)))</f>
        <v/>
      </c>
      <c r="MG4" s="152">
        <f>'INVOCAÇÕES'!$V$58&amp;""</f>
        <v/>
      </c>
      <c r="MH4" s="152">
        <f>'INVOCAÇÕES'!$U$63&amp;""</f>
        <v/>
      </c>
      <c r="MI4" s="152">
        <f>'INVOCAÇÕES'!$U$64&amp;""</f>
        <v/>
      </c>
      <c r="MJ4" s="152">
        <f>'INVOCAÇÕES'!$W$64&amp;""</f>
        <v/>
      </c>
      <c r="MK4" s="152">
        <f>'INVOCAÇÕES'!$V$67&amp;""</f>
        <v/>
      </c>
      <c r="ML4" s="152">
        <f>'INVOCAÇÕES'!$V$68&amp;""</f>
        <v/>
      </c>
      <c r="MM4" s="152">
        <f>'INVOCAÇÕES'!$V$69&amp;""</f>
        <v/>
      </c>
      <c r="MN4" s="152">
        <f>'INVOCAÇÕES'!$V$70&amp;""</f>
        <v/>
      </c>
      <c r="MO4" s="152">
        <f>'INVOCAÇÕES'!$V$71&amp;""</f>
        <v/>
      </c>
      <c r="MP4" s="152">
        <f>'INVOCAÇÕES'!$V$72&amp;""</f>
        <v/>
      </c>
      <c r="MQ4" s="152">
        <f>IF($MG4&lt;&gt;"",1,0)</f>
        <v/>
      </c>
      <c r="MR4" s="152">
        <f>INDEX($FI$2:$FI$13,$MB4)</f>
        <v/>
      </c>
      <c r="MS4" s="152">
        <f>INDEX($FJ$2:$FJ$13,$MB4)</f>
        <v/>
      </c>
      <c r="MT4" s="152">
        <f>INDEX($FK$2:$FK$13,$MB4)</f>
        <v/>
      </c>
      <c r="MU4" s="152">
        <f>INDEX($FV$2:$FV$13,$MB4)</f>
        <v/>
      </c>
      <c r="MV4" s="152">
        <f>INDEX($FW$2:$FW$13,$MB4)</f>
        <v/>
      </c>
      <c r="MW4" s="152">
        <f>IFERROR(MATCH($MH4,$V$2:$V$11,0),0)</f>
        <v/>
      </c>
      <c r="MX4" s="152">
        <f>IFERROR(VLOOKUP($MK4,$AV$2:$BA$84,2,FALSE),"")</f>
        <v/>
      </c>
      <c r="MY4" s="152">
        <f>IFERROR(VLOOKUP($ML4,$AV$2:$BA$84,2,FALSE),"")</f>
        <v/>
      </c>
      <c r="MZ4" s="152">
        <f>IFERROR(VLOOKUP($MM4,$AV$2:$BA$84,2,FALSE),"")</f>
        <v/>
      </c>
      <c r="NA4" s="152">
        <f>IFERROR(VLOOKUP($MN4,$AV$2:$BA$84,2,FALSE),"")</f>
        <v/>
      </c>
      <c r="NB4" s="152">
        <f>IFERROR(VLOOKUP($MK4,$AV$2:$BA$84,3,FALSE),0)</f>
        <v/>
      </c>
      <c r="NC4" s="152">
        <f>IFERROR(VLOOKUP($ML4,$AV$2:$BA$84,3,FALSE),0)</f>
        <v/>
      </c>
      <c r="ND4" s="152">
        <f>IFERROR(VLOOKUP($MM4,$AV$2:$BA$84,3,FALSE),0)</f>
        <v/>
      </c>
      <c r="NE4" s="152">
        <f>IFERROR(VLOOKUP($MN4,$AV$2:$BA$84,3,FALSE),0)</f>
        <v/>
      </c>
      <c r="NF4" s="152">
        <f>IF($MF4=0,0,IF($MW4=0,0,INDEX($X$2:$X$11,$MW4)))</f>
        <v/>
      </c>
      <c r="NG4" s="152">
        <f>IF(OR($NB4=0,$MF4=0),0,$NB4+3*IF(AND($MX4&lt;&gt;"",OR($MX4=INDEX($EF$2:$EF$13,$MB4),$MX4=INDEX($EG$2:$EG$13,$MB4))),1,0))</f>
        <v/>
      </c>
      <c r="NH4" s="152">
        <f>IF(OR($NC4=0,$MF4=0),0,$NC4+3*IF(AND($MY4&lt;&gt;"",OR($MY4=INDEX($EF$2:$EF$13,$MB4),$MY4=INDEX($EG$2:$EG$13,$MB4))),1,0))</f>
        <v/>
      </c>
      <c r="NI4" s="152">
        <f>IF(OR($ND4=0,$MF4=0),0,$ND4+3*IF(AND($MZ4&lt;&gt;"",OR($MZ4=INDEX($EF$2:$EF$13,$MB4),$MZ4=INDEX($EG$2:$EG$13,$MB4))),1,0))</f>
        <v/>
      </c>
      <c r="NJ4" s="152">
        <f>IF(OR($NE4=0,$MF4=0),0,$NE4+3*IF(AND($NA4&lt;&gt;"",OR($NA4=INDEX($EF$2:$EF$13,$MB4),$NA4=INDEX($EG$2:$EG$13,$MB4))),1,0))</f>
        <v/>
      </c>
      <c r="NK4" s="152">
        <f>IF($MW4=0,0,IF(INDEX($W$2:$W$11,$MW4)="",0,IF(COUNTIF(INDEX($EF$2:$EJ$13,$MB4,0),INDEX($W$2:$W$11,$MW4))=0,1,0)))</f>
        <v/>
      </c>
      <c r="NL4" s="152">
        <f>IF(OR($NB4=0,$MX4=""),0,IF(COUNTIF(INDEX($EF$2:$EJ$13,$MB4,0),$MX4)=0,1,0))</f>
        <v/>
      </c>
      <c r="NM4" s="152">
        <f>IF(OR($NC4=0,$MY4=""),0,IF(COUNTIF(INDEX($EF$2:$EJ$13,$MB4,0),$MY4)=0,1,0))</f>
        <v/>
      </c>
      <c r="NN4" s="152">
        <f>IF(OR($ND4=0,$MZ4=""),0,IF(COUNTIF(INDEX($EF$2:$EJ$13,$MB4,0),$MZ4)=0,1,0))</f>
        <v/>
      </c>
      <c r="NO4" s="152">
        <f>IF(OR($NE4=0,$NA4=""),0,IF(COUNTIF(INDEX($EF$2:$EJ$13,$MB4,0),$NA4)=0,1,0))</f>
        <v/>
      </c>
      <c r="NP4" s="152">
        <f>IFERROR(VLOOKUP($MK4,$AV$2:$BA$84,4,FALSE),0)+IFERROR(VLOOKUP($ML4,$AV$2:$BA$84,4,FALSE),0)+IFERROR(VLOOKUP($MM4,$AV$2:$BA$84,4,FALSE),0)+IFERROR(VLOOKUP($MN4,$AV$2:$BA$84,4,FALSE),0)</f>
        <v/>
      </c>
      <c r="NQ4" s="152">
        <f>IFERROR(VLOOKUP($MK4,$AV$2:$BA$84,6,FALSE),0)+IFERROR(VLOOKUP($ML4,$AV$2:$BA$84,6,FALSE),0)+IFERROR(VLOOKUP($MM4,$AV$2:$BA$84,6,FALSE),0)+IFERROR(VLOOKUP($MN4,$AV$2:$BA$84,6,FALSE),0)</f>
        <v/>
      </c>
      <c r="NR4" s="152">
        <f>TEXTJOIN(", ",TRUE,IF(IFERROR(VLOOKUP($MK4,$AV$2:$BA$84,5,FALSE),0)=1,$MK4,""),IF(IFERROR(VLOOKUP($ML4,$AV$2:$BA$84,5,FALSE),0)=1,$ML4,""),IF(IFERROR(VLOOKUP($MM4,$AV$2:$BA$84,5,FALSE),0)=1,$MM4,""),IF(IFERROR(VLOOKUP($MN4,$AV$2:$BA$84,5,FALSE),0)=1,$MN4,""))</f>
        <v/>
      </c>
      <c r="NS4" s="152">
        <f>IF($MW4=0,0,INDEX($Y$2:$Y$11,$MW4))</f>
        <v/>
      </c>
      <c r="NT4" s="152">
        <f>IF($MW4=0,0,INDEX($Z$2:$Z$11,$MW4))</f>
        <v/>
      </c>
      <c r="NU4" s="152">
        <f>IF($MW4=0,0,INDEX($AB$2:$AB$11,$MW4))</f>
        <v/>
      </c>
      <c r="NV4" s="152">
        <f>IFERROR(VLOOKUP($MO4,$BC$2:$BG$24,3,FALSE),0)</f>
        <v/>
      </c>
      <c r="NW4" s="152">
        <f>IFERROR(VLOOKUP($MP4,$BC$2:$BG$24,3,FALSE),0)</f>
        <v/>
      </c>
      <c r="NX4" s="152">
        <f>IFERROR(VLOOKUP($MO4,$BC$2:$BG$24,2,FALSE),"")</f>
        <v/>
      </c>
      <c r="NY4" s="152">
        <f>IFERROR(VLOOKUP($MP4,$BC$2:$BG$24,2,FALSE),"")</f>
        <v/>
      </c>
      <c r="NZ4" s="152">
        <f>COUNTIF($NF4:$NJ4,1)</f>
        <v/>
      </c>
      <c r="OA4" s="152">
        <f>COUNTIF($NF4:$NJ4,2)</f>
        <v/>
      </c>
      <c r="OB4" s="152">
        <f>COUNTIF($NF4:$NJ4,3)</f>
        <v/>
      </c>
      <c r="OC4" s="152">
        <f>COUNTIF($NF4:$NJ4,4)</f>
        <v/>
      </c>
      <c r="OD4" s="152">
        <f>COUNTIF($NF4:$NJ4,5)</f>
        <v/>
      </c>
      <c r="OE4" s="152">
        <f>COUNTIF($NF4:$NJ4,6)</f>
        <v/>
      </c>
      <c r="OF4" s="152">
        <f>COUNTIF($NV4:$NW4,1)</f>
        <v/>
      </c>
      <c r="OG4" s="152">
        <f>COUNTIF($NV4:$NW4,2)+$NS4</f>
        <v/>
      </c>
      <c r="OH4" s="152">
        <f>COUNTIF($MK4:$MN4,"?*")</f>
        <v/>
      </c>
      <c r="OI4" s="152">
        <f>COUNTIF($MO4:$MP4,"?*")+$NS4</f>
        <v/>
      </c>
      <c r="OJ4" s="152">
        <f>IF($MF4=0,0,SUMPRODUCT($NZ4:$OE4,INDEX($I$2:$N$8,MAX(1,$MF4),0)))</f>
        <v/>
      </c>
      <c r="OK4" s="152">
        <f>IF($MF4=0,0,$OF4*CEILING($MF4/2,1)+$OG4*$MF4)</f>
        <v/>
      </c>
      <c r="OL4" s="152">
        <f>MIN(2*$MF4,$OK4)</f>
        <v/>
      </c>
      <c r="OM4" s="152">
        <f>MIN($OL4,$OJ4)</f>
        <v/>
      </c>
      <c r="ON4" s="152">
        <f>$OL4-$OM4</f>
        <v/>
      </c>
      <c r="OO4" s="152">
        <f>IF($MF4=0,0,INDEX($P$2:$P$8,MAX(1,$MF4)))</f>
        <v/>
      </c>
      <c r="OP4" s="152">
        <f>$OO4-$OJ4+$OM4</f>
        <v/>
      </c>
      <c r="OQ4" s="152">
        <f>IF($MF4=0,MAX(0,$MT4-IF($OH4&gt;0,1,0)),MAX(0,$OP4))</f>
        <v/>
      </c>
      <c r="OR4" s="152">
        <f>IF($MF4=0,0,(IF(COUNTIF($MK4:$MN4,"Salto")&gt;0,1,0)+IF(COUNTIF($MK4:$MN4,"Queima")&gt;0,1,0)+IF(COUNTIF($MK4:$MN4,"Estilhaço")&gt;0,1,0))*FLOOR($OQ4/2,1))</f>
        <v/>
      </c>
      <c r="OS4" s="152">
        <f>MAX(0,2-SUMPRODUCT($NZ4:$OE4,$I$2:$N$2)+MIN(2,$OF4*1+$OG4*1,SUMPRODUCT($NZ4:$OE4,$I$2:$N$2)))</f>
        <v/>
      </c>
      <c r="OT4" s="152">
        <f>MAX(0,4-SUMPRODUCT($NZ4:$OE4,$I$3:$N$3)+MIN(4,$OF4*1+$OG4*2,SUMPRODUCT($NZ4:$OE4,$I$3:$N$3)))</f>
        <v/>
      </c>
      <c r="OU4" s="152">
        <f>MAX(0,6-SUMPRODUCT($NZ4:$OE4,$I$4:$N$4)+MIN(6,$OF4*2+$OG4*3,SUMPRODUCT($NZ4:$OE4,$I$4:$N$4)))</f>
        <v/>
      </c>
      <c r="OV4" s="152">
        <f>MAX(0,9-SUMPRODUCT($NZ4:$OE4,$I$5:$N$5)+MIN(8,$OF4*2+$OG4*4,SUMPRODUCT($NZ4:$OE4,$I$5:$N$5)))</f>
        <v/>
      </c>
      <c r="OW4" s="152">
        <f>MAX(0,11-SUMPRODUCT($NZ4:$OE4,$I$6:$N$6)+MIN(10,$OF4*3+$OG4*5,SUMPRODUCT($NZ4:$OE4,$I$6:$N$6)))</f>
        <v/>
      </c>
      <c r="OX4" s="152">
        <f>MAX(0,13-SUMPRODUCT($NZ4:$OE4,$I$7:$N$7)+MIN(12,$OF4*3+$OG4*6,SUMPRODUCT($NZ4:$OE4,$I$7:$N$7)))</f>
        <v/>
      </c>
      <c r="OY4" s="152">
        <f>MAX(0,16-SUMPRODUCT($NZ4:$OE4,$I$8:$N$8)+MIN(14,$OF4*4+$OG4*7,SUMPRODUCT($NZ4:$OE4,$I$8:$N$8)))</f>
        <v/>
      </c>
      <c r="OZ4" s="152">
        <f>IF($NT4=2,3*$OS4&amp;" de vida temp.",IF($NT4=3,"sem dano",IF($OS4=0,IF($NT4=1,"sem cura","sem dano"),IF($NT4=1,"cura ","")&amp;$OS4&amp;"d8")))</f>
        <v/>
      </c>
      <c r="PA4" s="152">
        <f>IF($NT4=2,3*$OT4&amp;" de vida temp.",IF($NT4=3,"sem dano",IF($OT4=0,IF($NT4=1,"sem cura","sem dano"),IF($NT4=1,"cura ","")&amp;$OT4&amp;"d8")))</f>
        <v/>
      </c>
      <c r="PB4" s="152">
        <f>IF($NT4=2,3*$OU4&amp;" de vida temp.",IF($NT4=3,"sem dano",IF($OU4=0,IF($NT4=1,"sem cura","sem dano"),IF($NT4=1,"cura ","")&amp;$OU4&amp;"d8")))</f>
        <v/>
      </c>
      <c r="PC4" s="152">
        <f>IF($NT4=2,3*$OV4&amp;" de vida temp.",IF($NT4=3,"sem dano",IF($OV4=0,IF($NT4=1,"sem cura","sem dano"),IF($NT4=1,"cura ","")&amp;$OV4&amp;"d8")))</f>
        <v/>
      </c>
      <c r="PD4" s="152">
        <f>IF($NT4=2,3*$OW4&amp;" de vida temp.",IF($NT4=3,"sem dano",IF($OW4=0,IF($NT4=1,"sem cura","sem dano"),IF($NT4=1,"cura ","")&amp;$OW4&amp;"d8")))</f>
        <v/>
      </c>
      <c r="PE4" s="152">
        <f>IF($NT4=2,3*$OX4&amp;" de vida temp.",IF($NT4=3,"sem dano",IF($OX4=0,IF($NT4=1,"sem cura","sem dano"),IF($NT4=1,"cura ","")&amp;$OX4&amp;"d8")))</f>
        <v/>
      </c>
      <c r="PF4" s="152">
        <f>IF($NT4=2,3*$OY4&amp;" de vida temp.",IF($NT4=3,"sem dano",IF($OY4=0,IF($NT4=1,"sem cura","sem dano"),IF($NT4=1,"cura ","")&amp;$OY4&amp;"d8")))</f>
        <v/>
      </c>
      <c r="PG4" s="152">
        <f>IF($MQ4=0,"",TEXTJOIN(" · ",TRUE,IF($MD4&gt;$MR4,"Este lugar abre no nível "&amp;$MD4,""),IF($MF4&gt;$MS4,"Classe "&amp;$MF4&amp;": o nível "&amp;$MR4&amp;" libera até a "&amp;$MS4,""),IF($NK4=1,"A Forma "&amp;$MH4&amp;" pede "&amp;INDEX($W$2:$W$11,$MW4)&amp;" aberta",""),IF(AND($MF4=0,$MW4&gt;0,IF($MW4=0,0,INDEX($AF$2:$AF$11,$MW4))=0),$MH4&amp;" não existe na Classe 0",""),IF($NL4=1,"Família Fechada: "&amp;$MK4,""),IF($NM4=1,"Família Fechada: "&amp;$ML4,""),IF($NN4=1,"Família Fechada: "&amp;$MM4,""),IF($NO4=1,"Família Fechada: "&amp;$MN4,""),IF(AND($MF4&gt;0,$OH4&gt;INDEX($O$2:$O$8,MAX(1,$MF4))),$OH4&amp;" Melhorias: a Classe "&amp;$MF4&amp;" aceita "&amp;INDEX($O$2:$O$8,MAX(1,$MF4)),""),IF(AND($MF4=0,$OH4&gt;1),"A básica aceita uma Melhoria",""),IF(AND($MF4=0,COUNTIF($NB4:$NE4,"&gt;1")&gt;0),"A básica só aceita Melhoria Leve",""),IF(AND($MF4&gt;0,$OI4&gt;2),$OI4&amp;" Restrições"&amp;IF($NS4=1,", contando a que a Forma "&amp;$MH4&amp;" já traz","")&amp;": o limite é 2",""),IF(AND($MF4=0,COUNTIF($MO4:$MP4,"?*")&gt;1),"A básica aceita uma Restrição Leve",""),IF(AND($MF4=0,COUNTIF($NV4:$NW4,2)&gt;0),"A básica só aceita Restrição Leve",""),IF(AND($MF4&gt;0,$OP4&lt;0),"Orçamento estourado: faltam "&amp;(-$OP4)&amp;IF($OP4&lt;-1," pontos"," ponto"),""),IF(IFERROR(VLOOKUP($MO4,$BC$2:$BG$24,4,FALSE),0)+IFERROR(VLOOKUP($MP4,$BC$2:$BG$24,4,FALSE),0)&gt;1,$NX4&amp;" e "&amp;$NY4&amp;" são as duas de frequência",""),IF(AND((COUNTIF($MK4:$MN4,"Rápido")+COUNTIF($NX4:$NY4,"Rápido"))&gt;0,(COUNTIF($MK4:$MN4,"Atrasar")+COUNTIF($NX4:$NY4,"Atrasar"))&gt;0),"Rápido não entra com Atrasar",""),IF(AND((COUNTIF($MK4:$MN4,"Reação")+COUNTIF($NX4:$NY4,"Reação"))&gt;0,(COUNTIF($MK4:$MN4,"Rápido")+COUNTIF($NX4:$NY4,"Rápido"))&gt;0),"Reação não entra com Rápido",""),IF(AND((COUNTIF($MK4:$MN4,"Reação")+COUNTIF($NX4:$NY4,"Reação"))&gt;0,(COUNTIF($MK4:$MN4,"Armado")+COUNTIF($NX4:$NY4,"Armado"))&gt;0),"Reação não entra com Armado",""),IF(AND((COUNTIF($MK4:$MN4,"Reação")+COUNTIF($NX4:$NY4,"Reação"))&gt;0,(COUNTIF($MK4:$MN4,"Atrasar")+COUNTIF($NX4:$NY4,"Atrasar"))&gt;0),"Reação não entra com Atrasar",""),IF(AND((COUNTIF($MK4:$MN4,"Reação")+COUNTIF($NX4:$NY4,"Reação"))&gt;0,(COUNTIF($MK4:$MN4,"Parado")+COUNTIF($NX4:$NY4,"Parado"))&gt;0),"Reação não entra com Parado",""),IF(AND((COUNTIF($MK4:$MN4,"Atrasar")+COUNTIF($NX4:$NY4,"Atrasar"))&gt;0,(COUNTIF($MK4:$MN4,"Parado")+COUNTIF($NX4:$NY4,"Parado"))&gt;0),"Atrasar não entra com Parado",""),IF(AND((COUNTIF($MK4:$MN4,"Armado")+COUNTIF($NX4:$NY4,"Armado"))&gt;0,(COUNTIF($MK4:$MN4,"Carregar")+COUNTIF($NX4:$NY4,"Carregar"))&gt;0),"Armado não entra com Carregar",""),IF(AND(COUNTIF($NX4:$NY4,"Corpo a Corpo")&gt;0,$NS4=0,OR($MH4="Cone",$MH4="Linha")),"Corpo a Corpo não entra em "&amp;$MH4,""),IF(AND(COUNTIF($NX4:$NY4,"Corpo a Corpo")&gt;0,$NS4=1),"A Forma "&amp;$MH4&amp;" já traz o Corpo a Corpo",""),IF(AND(COUNTIF($NX4:$NY4,"Tudo ou Nada")&gt;0,$NU4=0),"Tudo ou Nada só entra em habilidade de Teste de Resistência",""),IF(AND(COUNTIF($MK4:$MN4,"Inescapável")&gt;0,OR($OH4&gt;1,$OI4&gt;0)),"Inescapável não aceita outra peça",""),IF(AND($MF4&gt;0,$OQ4*IF(COUNTIF($MK4:$MN4,"Remate")&gt;0,1.25,1)+$OR4&gt;4*$MF4),($OQ4*IF(COUNTIF($MK4:$MN4,"Remate")&gt;0,1.25,1)+$OR4)&amp;" dados somando repetições"&amp;IF(COUNTIF($MK4:$MN4,"Remate")&gt;0," e o Remate","")&amp;": o teto da Classe "&amp;$MF4&amp;" é "&amp;4*$MF4,"")))</f>
        <v/>
      </c>
      <c r="PH4" s="152">
        <f>IF($PG4="",0,(LEN($PG4)-LEN(SUBSTITUTE($PG4," · ","")))/3+1)</f>
        <v/>
      </c>
      <c r="PI4" s="152">
        <f>IF($MQ4=0,"",TEXTJOIN(" · ",TRUE,IF($OK4&gt;2*$MF4,"A devolução parou no teto de "&amp;2*$MF4,""),IF($ON4&gt;0,"Devolução perdida: "&amp;$ON4&amp;IF($ON4&gt;1," pontos"," ponto")&amp;" sem peça para pagar",""),IF(AND($NP4&gt;0,AND($MF4&gt;0,$NT4=0),$OQ4=0),"Controle sem dano: uma rodada a mais e CD +2",""),IF(AND($NP4&gt;0,AND($MF4&gt;0,$NT4=0),$OQ4&gt;0,$OQ4&lt;=$MF4),"Controle com saldo até a Classe: uma rodada a mais",""),IF(AND($MF4&gt;0,$NR4&lt;&gt;""),"Efeito de "&amp;$NR4&amp;" pela Classe "&amp;MAX(1,$MF4-1),"")))</f>
        <v/>
      </c>
      <c r="PJ4" s="152">
        <f>IF($PI4="",0,(LEN($PI4)-LEN(SUBSTITUTE($PI4," · ","")))/3+1)</f>
        <v/>
      </c>
      <c r="PK4" s="152">
        <f>IF($MQ4=0,IF($OH4+COUNTIF($MO4:$MP4,"?*")&gt;0,"Dê um nome",""),IF($PH4&gt;0,"⚠ "&amp;$PH4&amp;IF($PH4&gt;1," erros"," erro"),IF($PJ4&gt;0,"! "&amp;$PJ4&amp;IF($PJ4&gt;1," avisos"," aviso"),"Na regra")))</f>
        <v/>
      </c>
      <c r="PL4" s="152">
        <f>IF($MQ4=0,"",IF($PH4+$PJ4=0,"Dentro das regras que a ficha confere",$PG4&amp;IF(AND($PH4&gt;0,$PJ4&gt;0)," · ","")&amp;$PI4))</f>
        <v/>
      </c>
      <c r="PM4" s="152">
        <f>IF($MD4&gt;$MR4,$ME4&amp;" · ABRE NO NÍVEL "&amp;$MD4,$ME4)</f>
        <v/>
      </c>
      <c r="PN4" s="152">
        <f>IF($MQ4=0,"",IF($MF4=0,"Sem PE",3*$MF4&amp;" PE"))</f>
        <v/>
      </c>
      <c r="PO4" s="152">
        <f>IF($MQ4=0,"",IF($MF4=0,"A atuação básica dela",IF(COUNTIF($NX4:$NY4,"Atrasar")&gt;0,"Sua Ação Completa",IF(COUNTIF($MK4:$MN4,"Rápido")&gt;0,"Sua Bônus",IF(COUNTIF($MK4:$MN4,"Reação")&gt;0,"Sua Reação","Sua Padrão")))&amp;" + a básica dela"&amp;IF(COUNTIF($MK4:$MN4,"Reação")&gt;0," e a coletiva","")&amp;IF(COUNTIF($NX4:$NY4,"Carregar")&gt;0," · em dois turnos","")))</f>
        <v/>
      </c>
      <c r="PP4" s="152">
        <f>IF($MJ4&lt;&gt;"",$MJ4,IF($MW4=0,"",INDEX($AA$2:$AA$11,$MW4)))</f>
        <v/>
      </c>
      <c r="PQ4" s="152">
        <f>IF(OR($MQ4=0,$MW4=0),"",IF(COUNTIF($MK4:$MN4,"Inescapável")&gt;0,"Automático",IF($PP4="Ataque",IF($MU4="","Ataque","Ataque "&amp;IF(($MU4+2*IF(COUNTIF($MK4:$MN4,"Precisão")&gt;0,1,0))&gt;=0,"+","−")&amp;ABS(($MU4+2*IF(COUNTIF($MK4:$MN4,"Precisão")&gt;0,1,0))))&amp;IF($NQ4&gt;0," · TR"&amp;IF($MV4="",""," CD "&amp;$MV4),""),IF(LEFT($PP4,2)="TR",$PP4&amp;IF($MV4="",""," · CD "&amp;$MV4)&amp;IF(COUNTIF($MK4:$MN4,"Certeiro")&gt;0," · metade",""),"Sem rolagem"))))</f>
        <v/>
      </c>
      <c r="PR4" s="152">
        <f>IF(OR($MQ4=0,$MW4=0),"",IF($MF4=0,IF(OR($NT4&gt;=1,$OQ4=0),"Sem dano",$OQ4&amp;"d6"&amp;IF($MI4="",""," "&amp;$MI4)),IF(OR($NT4&gt;=1,$OQ4=0),UPPER(LEFT(INDEX($OZ4:$PF4,1,MAX(1,$MF4)),1))&amp;MID(INDEX($OZ4:$PF4,1,MAX(1,$MF4)),2,99),UPPER(LEFT(INDEX($OZ4:$PF4,1,MAX(1,$MF4)),1))&amp;MID(INDEX($OZ4:$PF4,1,MAX(1,$MF4)),2,99)&amp;IF($MI4="",""," "&amp;$MI4)&amp;IF($OR4&gt;0," · +"&amp;$OR4&amp;"d8",""))))</f>
        <v/>
      </c>
      <c r="PS4" s="152">
        <f>COUNTIF($MK4:$MN4,"Longe")+3*COUNTIF($MK4:$MN4,"Muito Longe")</f>
        <v/>
      </c>
      <c r="PT4" s="152">
        <f>COUNTIF($MK4:$MN4,"Maior")+3*COUNTIF($MK4:$MN4,"Muito Maior")</f>
        <v/>
      </c>
      <c r="PU4" s="152">
        <f>IF($MW4=0,0,CHOOSE(1+INDEX($AC$2:$AC$11,$MW4),0,$PS4,$PT4,$PS4+$PT4))</f>
        <v/>
      </c>
      <c r="PV4" s="152">
        <f>IF($MW4=0,0,CHOOSE(1+INDEX($AD$2:$AD$11,$MW4),0,$PS4,$PT4,$PS4+$PT4))</f>
        <v/>
      </c>
      <c r="PW4" s="152">
        <f>IF(OR($MQ4=0,$MW4=0),"",INDEX($AI$2:$AN$41,($MW4-1)*4+IF($MF4=0,1,IF($MF4&lt;=5,2,IF($MF4=6,3,4))),1+MIN(5,$PU4))&amp;INDEX($AO$2:$AT$41,($MW4-1)*4+IF($MF4=0,1,IF($MF4&lt;=5,2,IF($MF4=6,3,4))),1+MIN(5,$PV4))&amp;IF(INDEX($AE$2:$AE$11,$MW4)=1,IF(COUNTIF($MK4:$MN4,"Mais Um")&gt;0," · +"&amp;COUNTIF($MK4:$MN4,"Mais Um")&amp;IF(COUNTIF($MK4:$MN4,"Mais Um")&gt;1," alvos"," alvo"),"")&amp;IF(COUNTIF($MK4:$MN4,"Rajada")&gt;0,IF($MF4=0," · 1 tiro"," · "&amp;(MAX(1,$MF4-1)+1)&amp;" tiros"),""),""))</f>
        <v/>
      </c>
      <c r="PX4" s="152">
        <f>IF($MQ4=0,"",IF($MF4=0,$MT4&amp;"d6"&amp;IF($OH4&gt;0," − 1 = "&amp;$OQ4&amp;"d6"," da básica do nível "&amp;$MR4),$OO4&amp;" − "&amp;$OJ4&amp;" + "&amp;$OM4&amp;" = "&amp;$OP4&amp;" · teto "&amp;4*$MF4&amp;"d8"&amp;IF($NS4=1," · a Forma devolve "&amp;$MF4,"")&amp;IF($ON4&gt;0," · perde "&amp;$ON4,"")))</f>
        <v/>
      </c>
      <c r="PY4" s="152">
        <f>IF($MQ4=0,"",IF($MF4=0,"A básica não amplia: os dados dela sobem com o nível",IF($MF4&gt;=$MS4,"Já está na maior Classe que o nível liberou",TEXTJOIN(" · ",TRUE,IF(AND(2&gt;$MF4,2&lt;=$MS4),"2 → "&amp;$PA4&amp;", 6 PE",""),IF(AND(3&gt;$MF4,3&lt;=$MS4),"3 → "&amp;$PB4&amp;", 9 PE",""),IF(AND(4&gt;$MF4,4&lt;=$MS4),"4 → "&amp;$PC4&amp;", 12 PE",""),IF(AND(5&gt;$MF4,5&lt;=$MS4),"5 → "&amp;$PD4&amp;", 15 PE",""),IF(AND(6&gt;$MF4,6&lt;=$MS4),"6 → "&amp;$PE4&amp;", 18 PE",""),IF(AND(7&gt;$MF4,7&lt;=$MS4),"7 → "&amp;$PF4&amp;", 21 PE","")))))</f>
        <v/>
      </c>
      <c r="PZ4" s="152">
        <f>IF(OR($MQ4=0,$NB4=0),"",IF($MF4=0,"−1 dado","−"&amp;INDEX($I$2:$N$8,MAX(1,$MF4),MAX(1,$NG4))&amp;" · "&amp;CHOOSE(MAX(1,$NG4),"Leve","Média","Pesada","Leve · Livre","Média · Livre","Pesada · Livre")))</f>
        <v/>
      </c>
      <c r="QA4" s="152">
        <f>IF(OR($MQ4=0,$NC4=0),"",IF($MF4=0,"−1 dado","−"&amp;INDEX($I$2:$N$8,MAX(1,$MF4),MAX(1,$NH4))&amp;" · "&amp;CHOOSE(MAX(1,$NH4),"Leve","Média","Pesada","Leve · Livre","Média · Livre","Pesada · Livre")))</f>
        <v/>
      </c>
      <c r="QB4" s="152">
        <f>IF(OR($MQ4=0,$ND4=0),"",IF($MF4=0,"−1 dado","−"&amp;INDEX($I$2:$N$8,MAX(1,$MF4),MAX(1,$NI4))&amp;" · "&amp;CHOOSE(MAX(1,$NI4),"Leve","Média","Pesada","Leve · Livre","Média · Livre","Pesada · Livre")))</f>
        <v/>
      </c>
      <c r="QC4" s="152">
        <f>IF(OR($MQ4=0,$NE4=0),"",IF($MF4=0,"−1 dado","−"&amp;INDEX($I$2:$N$8,MAX(1,$MF4),MAX(1,$NJ4))&amp;" · "&amp;CHOOSE(MAX(1,$NJ4),"Leve","Média","Pesada","Leve · Livre","Média · Livre","Pesada · Livre")))</f>
        <v/>
      </c>
      <c r="QD4" s="152">
        <f>IF(OR($MQ4=0,$MO4=""),"",IF($MF4=0,"não devolve","+"&amp;IF($NV4=1,CEILING($MF4/2,1),$MF4)))</f>
        <v/>
      </c>
      <c r="QE4" s="152">
        <f>IF(OR($MQ4=0,$MP4=""),"",IF($MF4=0,"não devolve","+"&amp;IF($NW4=1,CEILING($MF4/2,1),$MF4)))</f>
        <v/>
      </c>
      <c r="QG4" s="150" t="inlineStr">
        <is>
          <t>D20</t>
        </is>
      </c>
      <c r="QH4" s="152">
        <f>"AS INVOCAÇÕES · "&amp;DADOS_INVOC!$CX$10&amp;"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A5" s="152" t="n">
        <v>0</v>
      </c>
      <c r="BC5" s="150" t="inlineStr">
        <is>
          <t>Gesto</t>
        </is>
      </c>
      <c r="BD5" s="150" t="inlineStr">
        <is>
          <t>Gesto</t>
        </is>
      </c>
      <c r="BE5" s="152" t="n">
        <v>1</v>
      </c>
      <c r="BF5" s="152" t="n">
        <v>0</v>
      </c>
      <c r="BG5" s="150" t="inlineStr">
        <is>
          <t>Gesto</t>
        </is>
      </c>
      <c r="BI5" s="150" t="inlineStr">
        <is>
          <t>Mão Firme</t>
        </is>
      </c>
      <c r="BJ5" s="152" t="n">
        <v>1</v>
      </c>
      <c r="BK5" s="150" t="inlineStr">
        <is>
          <t>Quando uma ocorrência de dano causar 10 pontos ou menos, você não precisa fazer o teste para manter Concentração ou Carregar. Confira o dano de cada ocorrência depois das reduções aplicáveis. Não some todos os golpes da rodada.</t>
        </is>
      </c>
      <c r="BL5" s="150" t="inlineStr">
        <is>
          <t>Mão Firme</t>
        </is>
      </c>
      <c r="BN5" s="150" t="inlineStr">
        <is>
          <t>Corpo amaldiçoado de criação</t>
        </is>
      </c>
      <c r="BP5" s="150" t="inlineStr">
        <is>
          <t>Criação</t>
        </is>
      </c>
      <c r="BQ5" s="152" t="n">
        <v>0</v>
      </c>
      <c r="BS5" s="150" t="inlineStr">
        <is>
          <t>Controle</t>
        </is>
      </c>
      <c r="BU5" s="150" t="inlineStr">
        <is>
          <t>Inteligência</t>
        </is>
      </c>
      <c r="BW5" s="150" t="inlineStr">
        <is>
          <t>Espírito</t>
        </is>
      </c>
      <c r="CA5" s="150" t="inlineStr">
        <is>
          <t>Pontaria</t>
        </is>
      </c>
      <c r="CB5" s="150" t="inlineStr">
        <is>
          <t>Destreza</t>
        </is>
      </c>
      <c r="CF5" s="150" t="inlineStr">
        <is>
          <t>Fogo</t>
        </is>
      </c>
      <c r="CH5" s="150" t="inlineStr">
        <is>
          <t>TR Intelecto</t>
        </is>
      </c>
      <c r="CJ5" s="152" t="n">
        <v>3</v>
      </c>
      <c r="CW5" s="150" t="inlineStr">
        <is>
          <t>a defesa usa</t>
        </is>
      </c>
      <c r="CX5" s="152">
        <f>'INVOCAÇÕES'!$D$17&amp;""</f>
        <v/>
      </c>
      <c r="CZ5" s="152" t="n">
        <v>4</v>
      </c>
      <c r="DA5" s="152">
        <f>'INVOCAÇÕES'!$I$607&amp;""</f>
        <v/>
      </c>
      <c r="DB5" s="152">
        <f>'INVOCAÇÕES'!$I$637&amp;""</f>
        <v/>
      </c>
      <c r="DC5" s="152">
        <f>'INVOCAÇÕES'!$I$641&amp;""</f>
        <v/>
      </c>
      <c r="DD5" s="152">
        <f>N('INVOCAÇÕES'!$K$641)</f>
        <v/>
      </c>
      <c r="DE5" s="152">
        <f>'INVOCAÇÕES'!$L$641&amp;""</f>
        <v/>
      </c>
      <c r="DF5" s="152">
        <f>N('INVOCAÇÕES'!$O$614)</f>
        <v/>
      </c>
      <c r="DG5" s="152">
        <f>N('INVOCAÇÕES'!$P$614)</f>
        <v/>
      </c>
      <c r="DH5" s="152">
        <f>N('INVOCAÇÕES'!$Q$614)</f>
        <v/>
      </c>
      <c r="DI5" s="152">
        <f>N('INVOCAÇÕES'!$R$614)</f>
        <v/>
      </c>
      <c r="DJ5" s="152">
        <f>N('INVOCAÇÕES'!$S$614)</f>
        <v/>
      </c>
      <c r="DK5" s="152">
        <f>N('INVOCAÇÕES'!$O$615)</f>
        <v/>
      </c>
      <c r="DL5" s="152">
        <f>N('INVOCAÇÕES'!$P$615)</f>
        <v/>
      </c>
      <c r="DM5" s="152">
        <f>N('INVOCAÇÕES'!$Q$615)</f>
        <v/>
      </c>
      <c r="DN5" s="152">
        <f>N('INVOCAÇÕES'!$R$615)</f>
        <v/>
      </c>
      <c r="DO5" s="152">
        <f>N('INVOCAÇÕES'!$S$615)</f>
        <v/>
      </c>
      <c r="DP5" s="152">
        <f>'INVOCAÇÕES'!$O$628&amp;""</f>
        <v/>
      </c>
      <c r="DQ5" s="152">
        <f>'INVOCAÇÕES'!$R$628&amp;""</f>
        <v/>
      </c>
      <c r="DR5" s="152">
        <f>'INVOCAÇÕES'!$S$623&amp;""</f>
        <v/>
      </c>
      <c r="DS5" s="152">
        <f>N('INVOCAÇÕES'!$O$620)</f>
        <v/>
      </c>
      <c r="DT5" s="152">
        <f>N('INVOCAÇÕES'!$P$620)</f>
        <v/>
      </c>
      <c r="DU5" s="152">
        <f>N('INVOCAÇÕES'!$Q$620)</f>
        <v/>
      </c>
      <c r="DV5" s="152">
        <f>N('INVOCAÇÕES'!$R$620)</f>
        <v/>
      </c>
      <c r="DW5" s="152">
        <f>N('INVOCAÇÕES'!$S$620)</f>
        <v/>
      </c>
      <c r="DX5" s="152">
        <f>N('INVOCAÇÕES'!$O$625)</f>
        <v/>
      </c>
      <c r="DY5" s="152">
        <f>N('INVOCAÇÕES'!$P$625)</f>
        <v/>
      </c>
      <c r="DZ5" s="152">
        <f>N('INVOCAÇÕES'!$Q$625)</f>
        <v/>
      </c>
      <c r="EA5" s="152">
        <f>N('INVOCAÇÕES'!$R$625)</f>
        <v/>
      </c>
      <c r="EB5" s="152">
        <f>'INVOCAÇÕES'!$U$607&amp;""</f>
        <v/>
      </c>
      <c r="EC5" s="152">
        <f>N('INVOCAÇÕES'!$W$607)</f>
        <v/>
      </c>
      <c r="ED5" s="152">
        <f>'INVOCAÇÕES'!$Y$607&amp;""</f>
        <v/>
      </c>
      <c r="EE5" s="152">
        <f>SUM('INVOCAÇÕES'!$Y$627:'INVOCAÇÕES'!$Y$629,'INVOCAÇÕES'!$Y$631:'INVOCAÇÕES'!$Y$636)</f>
        <v/>
      </c>
      <c r="EF5" s="152">
        <f>'INVOCAÇÕES'!$O$642&amp;""</f>
        <v/>
      </c>
      <c r="EG5" s="152">
        <f>'INVOCAÇÕES'!$P$642&amp;""</f>
        <v/>
      </c>
      <c r="EH5" s="152">
        <f>'INVOCAÇÕES'!$Q$642&amp;""</f>
        <v/>
      </c>
      <c r="EI5" s="152">
        <f>'INVOCAÇÕES'!$R$642&amp;""</f>
        <v/>
      </c>
      <c r="EJ5" s="152">
        <f>'INVOCAÇÕES'!$S$642&amp;""</f>
        <v/>
      </c>
      <c r="EK5" s="152">
        <f>'INVOCAÇÕES'!$O$632&amp;""</f>
        <v/>
      </c>
      <c r="EL5" s="152">
        <f>'INVOCAÇÕES'!$O$633&amp;""</f>
        <v/>
      </c>
      <c r="EM5" s="152">
        <f>'INVOCAÇÕES'!$O$634&amp;""</f>
        <v/>
      </c>
      <c r="EN5" s="152">
        <f>'INVOCAÇÕES'!$O$635&amp;""</f>
        <v/>
      </c>
      <c r="EO5" s="152">
        <f>'INVOCAÇÕES'!$O$636&amp;""</f>
        <v/>
      </c>
      <c r="EP5" s="152">
        <f>'INVOCAÇÕES'!$O$637&amp;""</f>
        <v/>
      </c>
      <c r="EQ5" s="152">
        <f>'INVOCAÇÕES'!$O$638&amp;""</f>
        <v/>
      </c>
      <c r="ER5" s="152">
        <f>'INVOCAÇÕES'!$J$674&amp;""</f>
        <v/>
      </c>
      <c r="ES5" s="152">
        <f>'INVOCAÇÕES'!$J$675&amp;""</f>
        <v/>
      </c>
      <c r="ET5" s="152">
        <f>'INVOCAÇÕES'!$J$676&amp;""</f>
        <v/>
      </c>
      <c r="EU5" s="152">
        <f>'INVOCAÇÕES'!$J$677&amp;""</f>
        <v/>
      </c>
      <c r="EV5" s="152">
        <f>'INVOCAÇÕES'!$J$678&amp;""</f>
        <v/>
      </c>
      <c r="EW5" s="152">
        <f>'INVOCAÇÕES'!$J$679&amp;""</f>
        <v/>
      </c>
      <c r="EX5" s="152">
        <f>'INVOCAÇÕES'!$J$680&amp;""</f>
        <v/>
      </c>
      <c r="EY5" s="152">
        <f>'INVOCAÇÕES'!$J$681&amp;""</f>
        <v/>
      </c>
      <c r="EZ5" s="152">
        <f>'INVOCAÇÕES'!$J$776&amp;""</f>
        <v/>
      </c>
      <c r="FA5" s="152">
        <f>'INVOCAÇÕES'!$J$777&amp;""</f>
        <v/>
      </c>
      <c r="FB5" s="152">
        <f>'INVOCAÇÕES'!$J$778&amp;""</f>
        <v/>
      </c>
      <c r="FC5" s="152">
        <f>MAX(3,MIN(7,N('INVOCAÇÕES'!$I$783)))</f>
        <v/>
      </c>
      <c r="FD5" s="152">
        <f>MAX(3,MIN(7,N('INVOCAÇÕES'!$O$783)))</f>
        <v/>
      </c>
      <c r="FE5" s="152">
        <f>MAX(3,MIN(7,N('INVOCAÇÕES'!$U$783)))</f>
        <v/>
      </c>
      <c r="FF5" s="152">
        <f>'INVOCAÇÕES'!$O$797&amp;""</f>
        <v/>
      </c>
      <c r="FG5" s="152">
        <f>IF($DA5&lt;&gt;"",1,0)</f>
        <v/>
      </c>
      <c r="FH5" s="152">
        <f>IFERROR(VLOOKUP($DC5,$BP$2:$BQ$5,2,FALSE),1)</f>
        <v/>
      </c>
      <c r="FI5" s="152">
        <f>IF($FH5=1,$CX$2,MAX(1,MIN($CX$2,IF($DD5=0,$CX$2,$DD5))))</f>
        <v/>
      </c>
      <c r="FJ5" s="152">
        <f>VLOOKUP(MAX(1,$FI5),$A$2:$D$8,2,TRUE)</f>
        <v/>
      </c>
      <c r="FK5" s="152">
        <f>VLOOKUP(MAX(1,$FI5),$A$2:$D$8,3,TRUE)</f>
        <v/>
      </c>
      <c r="FL5" s="152">
        <f>$DF5+$DK5</f>
        <v/>
      </c>
      <c r="FM5" s="152">
        <f>$DG5+$DL5</f>
        <v/>
      </c>
      <c r="FN5" s="152">
        <f>$DH5+$DM5</f>
        <v/>
      </c>
      <c r="FO5" s="152">
        <f>$DI5+$DN5</f>
        <v/>
      </c>
      <c r="FP5" s="152">
        <f>$DJ5+$DO5</f>
        <v/>
      </c>
      <c r="FQ5" s="152">
        <f>SUM($DF5:$DJ5)</f>
        <v/>
      </c>
      <c r="FR5" s="152">
        <f>9+$FS5</f>
        <v/>
      </c>
      <c r="FS5" s="152">
        <f>COUNTIF($F$2:$F$8,"&lt;="&amp;$FI5)</f>
        <v/>
      </c>
      <c r="FT5" s="152">
        <f>MAX(0,$DF5-3)+MAX(0,$DG5-3)+MAX(0,$DH5-3)+MAX(0,$DI5-3)+MAX(0,$DJ5-3)</f>
        <v/>
      </c>
      <c r="FU5" s="152">
        <f>IFERROR(INDEX($FL5:$FP5,1,MATCH($DP5,$BU$2:$BU$6,0)),"")</f>
        <v/>
      </c>
      <c r="FV5" s="152">
        <f>IF($FU5="","",$FU5+$CX$3+$DS5)</f>
        <v/>
      </c>
      <c r="FW5" s="152">
        <f>IF($FU5="","",8+$FU5+$CX$3+$DT5)</f>
        <v/>
      </c>
      <c r="FX5" s="152">
        <f>10+$FM5+$CX$7+$DU5</f>
        <v/>
      </c>
      <c r="FY5" s="152">
        <f>IF($DB5="Corpo amaldiçoado de criação",1,0)</f>
        <v/>
      </c>
      <c r="FZ5" s="152">
        <f>5+$FN5+(3+$FY5+$FN5)*($FI5-1)+$DV5</f>
        <v/>
      </c>
      <c r="GA5" s="152">
        <f>IF($FG5=0,"",$FZ5)</f>
        <v/>
      </c>
      <c r="GB5" s="152">
        <f>IF($EB5="",$FZ5,MAX(0,MIN(IFERROR(VALUE($EB5),$FZ5),$FZ5)))</f>
        <v/>
      </c>
      <c r="GC5" s="152">
        <f>9+$DW5</f>
        <v/>
      </c>
      <c r="GD5" s="152">
        <f>IF($DQ5="Destreza",$FM5,$FL5)</f>
        <v/>
      </c>
      <c r="GE5" s="152">
        <f>$GD5+IF($DR5="Físico",$CX$3,0)+$DX5</f>
        <v/>
      </c>
      <c r="GF5" s="152">
        <f>$FN5+IF($DR5="Vigor",$CX$3,0)+$DY5</f>
        <v/>
      </c>
      <c r="GG5" s="152">
        <f>$FO5+IF($DR5="Intelecto",$CX$3,0)+$DZ5</f>
        <v/>
      </c>
      <c r="GH5" s="152">
        <f>$FP5+IF($DR5="Espírito",$CX$3,0)+$EA5</f>
        <v/>
      </c>
      <c r="GI5" s="152">
        <f>4+INT($DI5/2)</f>
        <v/>
      </c>
      <c r="GJ5" s="152">
        <f>COUNTIF($EK5:$EQ5,"?*")</f>
        <v/>
      </c>
      <c r="GK5" s="152">
        <f>INT((2+$FI5/2)/2)</f>
        <v/>
      </c>
      <c r="GL5" s="152">
        <f>IF($FI5&gt;=11,2,1)</f>
        <v/>
      </c>
      <c r="GM5" s="152">
        <f>1+$FS5</f>
        <v/>
      </c>
      <c r="GN5" s="152">
        <f>COUNTIF($ER5:$EY5,"?*")</f>
        <v/>
      </c>
      <c r="GO5" s="152">
        <f>IF(AND($DB5="Shikigami de criação",$DE5="Com carga"),MAX(1,CEILING($FJ5/2,1)),$FJ5)</f>
        <v/>
      </c>
      <c r="GP5" s="152">
        <f>$FJ5+$GO5</f>
        <v/>
      </c>
      <c r="GQ5" s="152">
        <f>$FI5*(1+INT($DJ5/3))</f>
        <v/>
      </c>
      <c r="GR5" s="152">
        <f>5+$FL5</f>
        <v/>
      </c>
      <c r="GS5" s="152">
        <f>COUNTIF($EF5:$EJ5,"?*")</f>
        <v/>
      </c>
      <c r="GT5" s="152">
        <f>IF($EF5="",0,IF(COUNTIF($EF5:$EJ5,$EF5)&gt;1,1,0))+IF($EG5="",0,IF(COUNTIF($EF5:$EJ5,$EG5)&gt;1,1,0))+IF($EH5="",0,IF(COUNTIF($EF5:$EJ5,$EH5)&gt;1,1,0))+IF($EI5="",0,IF(COUNTIF($EF5:$EJ5,$EI5)&gt;1,1,0))+IF($EJ5="",0,IF(COUNTIF($EF5:$EJ5,$EJ5)&gt;1,1,0))</f>
        <v/>
      </c>
      <c r="GU5" s="152">
        <f>$CX$11</f>
        <v/>
      </c>
      <c r="GV5" s="152">
        <f>IF($FG5=0,"INVOCAÇÃO 4 · lugar vazio",$DA5&amp;" · "&amp;$DB5&amp;" · nível "&amp;$FI5&amp;" · vida "&amp;$GB5&amp;" de "&amp;$FZ5)</f>
        <v/>
      </c>
      <c r="GW5" s="152">
        <f>IF($FG5=0,"VAZIA",UPPER($DA5))</f>
        <v/>
      </c>
      <c r="GX5" s="152">
        <f>IF($CX$3&gt;=0,"+","−")&amp;ABS($CX$3)</f>
        <v/>
      </c>
      <c r="GY5" s="152">
        <f>$GO5&amp;" PE"</f>
        <v/>
      </c>
      <c r="GZ5" s="152">
        <f>$GP5&amp;" PE"</f>
        <v/>
      </c>
      <c r="HA5" s="152">
        <f>IF(OR($FQ5&gt;$FR5,$FT5&gt;$FS5),"⚠ ",IF(AND($FG5=1,$FQ5&lt;$FR5),"! ",""))&amp;"ATRIBUTOS · "&amp;$FQ5&amp;" DE "&amp;$FR5&amp;" PONTOS"&amp;IF($FT5&gt;$FS5," · ACIMA DE 3 SÓ COM MARCO","")</f>
        <v/>
      </c>
      <c r="HB5" s="152">
        <f>IF($FV5="","",IF($FV5&gt;=0,"+","−")&amp;ABS($FV5))</f>
        <v/>
      </c>
      <c r="HC5" s="152">
        <f>IF($FW5="","",$FW5)</f>
        <v/>
      </c>
      <c r="HD5" s="152">
        <f>SUBSTITUTE($GC5&amp;" m",".",",")</f>
        <v/>
      </c>
      <c r="HE5" s="152">
        <f>IF($GE5&gt;=0,"+","−")&amp;ABS($GE5)</f>
        <v/>
      </c>
      <c r="HF5" s="152">
        <f>IF($GF5&gt;=0,"+","−")&amp;ABS($GF5)</f>
        <v/>
      </c>
      <c r="HG5" s="152">
        <f>IF($GG5&gt;=0,"+","−")&amp;ABS($GG5)</f>
        <v/>
      </c>
      <c r="HH5" s="152">
        <f>IF($GH5&gt;=0,"+","−")&amp;ABS($GH5)</f>
        <v/>
      </c>
      <c r="HI5" s="152">
        <f>IF($GJ5&gt;$GI5,"⚠ ","")&amp;"PERÍCIAS · "&amp;$GJ5&amp;" DE "&amp;$GI5</f>
        <v/>
      </c>
      <c r="HJ5" s="152">
        <f>IF($EK5="","",IFERROR(IF((INDEX($FL5:$FP5,1,MATCH(VLOOKUP($EK5,$CA$2:$CB$24,2,FALSE),$BU$2:$BU$6,0))+$CX$3)&gt;=0,"+","−")&amp;ABS((INDEX($FL5:$FP5,1,MATCH(VLOOKUP($EK5,$CA$2:$CB$24,2,FALSE),$BU$2:$BU$6,0))+$CX$3)),""))</f>
        <v/>
      </c>
      <c r="HK5" s="152">
        <f>IF($EL5="","",IFERROR(IF((INDEX($FL5:$FP5,1,MATCH(VLOOKUP($EL5,$CA$2:$CB$24,2,FALSE),$BU$2:$BU$6,0))+$CX$3)&gt;=0,"+","−")&amp;ABS((INDEX($FL5:$FP5,1,MATCH(VLOOKUP($EL5,$CA$2:$CB$24,2,FALSE),$BU$2:$BU$6,0))+$CX$3)),""))</f>
        <v/>
      </c>
      <c r="HL5" s="152">
        <f>IF($EM5="","",IFERROR(IF((INDEX($FL5:$FP5,1,MATCH(VLOOKUP($EM5,$CA$2:$CB$24,2,FALSE),$BU$2:$BU$6,0))+$CX$3)&gt;=0,"+","−")&amp;ABS((INDEX($FL5:$FP5,1,MATCH(VLOOKUP($EM5,$CA$2:$CB$24,2,FALSE),$BU$2:$BU$6,0))+$CX$3)),""))</f>
        <v/>
      </c>
      <c r="HM5" s="152">
        <f>IF($EN5="","",IFERROR(IF((INDEX($FL5:$FP5,1,MATCH(VLOOKUP($EN5,$CA$2:$CB$24,2,FALSE),$BU$2:$BU$6,0))+$CX$3)&gt;=0,"+","−")&amp;ABS((INDEX($FL5:$FP5,1,MATCH(VLOOKUP($EN5,$CA$2:$CB$24,2,FALSE),$BU$2:$BU$6,0))+$CX$3)),""))</f>
        <v/>
      </c>
      <c r="HN5" s="152">
        <f>IF($EO5="","",IFERROR(IF((INDEX($FL5:$FP5,1,MATCH(VLOOKUP($EO5,$CA$2:$CB$24,2,FALSE),$BU$2:$BU$6,0))+$CX$3)&gt;=0,"+","−")&amp;ABS((INDEX($FL5:$FP5,1,MATCH(VLOOKUP($EO5,$CA$2:$CB$24,2,FALSE),$BU$2:$BU$6,0))+$CX$3)),""))</f>
        <v/>
      </c>
      <c r="HO5" s="152">
        <f>IF($EP5="","",IFERROR(IF((INDEX($FL5:$FP5,1,MATCH(VLOOKUP($EP5,$CA$2:$CB$24,2,FALSE),$BU$2:$BU$6,0))+$CX$3)&gt;=0,"+","−")&amp;ABS((INDEX($FL5:$FP5,1,MATCH(VLOOKUP($EP5,$CA$2:$CB$24,2,FALSE),$BU$2:$BU$6,0))+$CX$3)),""))</f>
        <v/>
      </c>
      <c r="HP5" s="152">
        <f>IF($EQ5="","",IFERROR(IF((INDEX($FL5:$FP5,1,MATCH(VLOOKUP($EQ5,$CA$2:$CB$24,2,FALSE),$BU$2:$BU$6,0))+$CX$3)&gt;=0,"+","−")&amp;ABS((INDEX($FL5:$FP5,1,MATCH(VLOOKUP($EQ5,$CA$2:$CB$24,2,FALSE),$BU$2:$BU$6,0))+$CX$3)),""))</f>
        <v/>
      </c>
      <c r="HQ5" s="152">
        <f>IF($DB5="Maldição domada","RESERVA · MÁX. "&amp;$GQ5,"RESERVA DE PE")</f>
        <v/>
      </c>
      <c r="HR5" s="152">
        <f>IF($EE5&gt;$GR5,"⚠ ","")&amp;"EQUIPAMENTO · "&amp;$EE5&amp;" DE "&amp;$GR5&amp;" DE VOLUME"&amp;IF($EE5&gt;$GR5," · PASSOU DO LIMITE","")</f>
        <v/>
      </c>
      <c r="HS5" s="152">
        <f>IF(OR($GT5&gt;0,$GS5&gt;$GU5),"⚠ ","")&amp;"FAMÍLIAS · "&amp;$GS5&amp;" ABERTAS"&amp;IF($GT5&gt;0," · REPETIDA","")&amp;IF($GS5&gt;$GU5," · O LIMITE É "&amp;$GU5,"")</f>
        <v/>
      </c>
      <c r="HT5" s="152">
        <f>"HABILIDADES · básica de "&amp;$FK5&amp;"d6 · "&amp;$GK5&amp;IF($GK5&gt;1," espaços"," espaço")&amp;" de especial até a Classe "&amp;$FJ5&amp;" · "&amp;$GM5&amp;IF($GM5&gt;1," talentos"," talento")</f>
        <v/>
      </c>
      <c r="HU5" s="152">
        <f>IF($GN5&gt;$GM5,"⚠ ","")&amp;"TALENTOS · "&amp;$GN5&amp;" DE "&amp;$GM5</f>
        <v/>
      </c>
      <c r="HV5" s="152">
        <f>IFERROR(VLOOKUP($ER5,$BI$2:$BL$15,2,FALSE),0)</f>
        <v/>
      </c>
      <c r="HW5" s="152">
        <f>IFERROR(VLOOKUP($ES5,$BI$2:$BL$15,2,FALSE),0)</f>
        <v/>
      </c>
      <c r="HX5" s="152">
        <f>IFERROR(VLOOKUP($ET5,$BI$2:$BL$15,2,FALSE),0)</f>
        <v/>
      </c>
      <c r="HY5" s="152">
        <f>IFERROR(VLOOKUP($EU5,$BI$2:$BL$15,2,FALSE),0)</f>
        <v/>
      </c>
      <c r="HZ5" s="152">
        <f>IFERROR(VLOOKUP($EV5,$BI$2:$BL$15,2,FALSE),0)</f>
        <v/>
      </c>
      <c r="IA5" s="152">
        <f>IFERROR(VLOOKUP($EW5,$BI$2:$BL$15,2,FALSE),0)</f>
        <v/>
      </c>
      <c r="IB5" s="152">
        <f>IFERROR(VLOOKUP($EX5,$BI$2:$BL$15,2,FALSE),0)</f>
        <v/>
      </c>
      <c r="IC5" s="152">
        <f>IFERROR(VLOOKUP($EY5,$BI$2:$BL$15,2,FALSE),0)</f>
        <v/>
      </c>
      <c r="ID5" s="152">
        <f>IF($ER5="","",IF(1&gt;$FI5,"⚠ Este talento abre no nível 1",IF($HV5&gt;1,"⚠ Categoria "&amp;$HV5&amp;": este ganho vai até a 1 · ","")&amp;IFERROR(VLOOKUP($ER5,$BI$2:$BL$15,3,FALSE),"")))</f>
        <v/>
      </c>
      <c r="IE5" s="152">
        <f>IF($ES5="","",IF(6&gt;$FI5,"⚠ Este talento abre no nível 6",IF($HW5&gt;1,"⚠ Categoria "&amp;$HW5&amp;": este ganho vai até a 1 · ","")&amp;IFERROR(VLOOKUP($ES5,$BI$2:$BL$15,3,FALSE),"")))</f>
        <v/>
      </c>
      <c r="IF5" s="152">
        <f>IF($ET5="","",IF(10&gt;$FI5,"⚠ Este talento abre no nível 10",IF($HX5&gt;2,"⚠ Categoria "&amp;$HX5&amp;": este ganho vai até a 2 · ","")&amp;IFERROR(VLOOKUP($ET5,$BI$2:$BL$15,3,FALSE),"")))</f>
        <v/>
      </c>
      <c r="IG5" s="152">
        <f>IF($EU5="","",IF(14&gt;$FI5,"⚠ Este talento abre no nível 14",IF($HY5&gt;3,"⚠ Categoria "&amp;$HY5&amp;": este ganho vai até a 3 · ","")&amp;IFERROR(VLOOKUP($EU5,$BI$2:$BL$15,3,FALSE),"")))</f>
        <v/>
      </c>
      <c r="IH5" s="152">
        <f>IF($EV5="","",IF(18&gt;$FI5,"⚠ Este talento abre no nível 18",IF($HZ5&gt;3,"⚠ Categoria "&amp;$HZ5&amp;": este ganho vai até a 3 · ","")&amp;IFERROR(VLOOKUP($EV5,$BI$2:$BL$15,3,FALSE),"")))</f>
        <v/>
      </c>
      <c r="II5" s="152">
        <f>IF($EW5="","",IF(22&gt;$FI5,"⚠ Este talento abre no nível 22",IF($IA5&gt;3,"⚠ Categoria "&amp;$IA5&amp;": este ganho vai até a 3 · ","")&amp;IFERROR(VLOOKUP($EW5,$BI$2:$BL$15,3,FALSE),"")))</f>
        <v/>
      </c>
      <c r="IJ5" s="152">
        <f>IF($EX5="","",IF(26&gt;$FI5,"⚠ Este talento abre no nível 26",IF($IB5&gt;3,"⚠ Categoria "&amp;$IB5&amp;": este ganho vai até a 3 · ","")&amp;IFERROR(VLOOKUP($EX5,$BI$2:$BL$15,3,FALSE),"")))</f>
        <v/>
      </c>
      <c r="IK5" s="152">
        <f>IF($EY5="","",IF(30&gt;$FI5,"⚠ Este talento abre no nível 30",IF($IC5&gt;3,"⚠ Categoria "&amp;$IC5&amp;": este ganho vai até a 3 · ","")&amp;IFERROR(VLOOKUP($EY5,$BI$2:$BL$15,3,FALSE),"")))</f>
        <v/>
      </c>
      <c r="IL5" s="152">
        <f>IF($EZ5="","",IFERROR(VLOOKUP($EZ5,$BI$2:$BL$15,3,FALSE),""))</f>
        <v/>
      </c>
      <c r="IM5" s="152">
        <f>IF($FA5="","",IFERROR(VLOOKUP($FA5,$BI$2:$BL$15,3,FALSE),""))</f>
        <v/>
      </c>
      <c r="IN5" s="152">
        <f>IF($FB5="","",IFERROR(VLOOKUP($FB5,$BI$2:$BL$15,3,FALSE),""))</f>
        <v/>
      </c>
      <c r="IO5" s="152">
        <f>CEILING(4.5*$FC5,1)&amp;" PE"</f>
        <v/>
      </c>
      <c r="IP5" s="152">
        <f>CEILING(4.5*$FD5,1)&amp;" PE"</f>
        <v/>
      </c>
      <c r="IQ5" s="152">
        <f>CEILING(4.5*$FE5,1)&amp;" PE"</f>
        <v/>
      </c>
      <c r="IR5" s="152">
        <f>INDEX($P$2:$P$8,$FC5)&amp;" pontos + "&amp;$FC5&amp;"d8"</f>
        <v/>
      </c>
      <c r="IS5" s="152">
        <f>INDEX($P$2:$P$8,$FD5)&amp;" pontos + "&amp;$FD5&amp;"d8"</f>
        <v/>
      </c>
      <c r="IT5" s="152">
        <f>INDEX($P$2:$P$8,$FE5)&amp;" pontos + "&amp;$FE5&amp;"d8"</f>
        <v/>
      </c>
      <c r="IU5" s="152">
        <f>IF($FI5&lt;17,"—",VLOOKUP($FI5,$CL$2:$CO$4,4,TRUE)&amp;" PE")</f>
        <v/>
      </c>
      <c r="IV5" s="152">
        <f>IF($FI5&lt;17,"Abre no nível 17",VLOOKUP($FI5,$CL$2:$CO$4,2,TRUE)&amp;" fixos · "&amp;VLOOKUP($FI5,$CL$2:$CO$4,3,TRUE)&amp;" pontos")</f>
        <v/>
      </c>
      <c r="IW5" s="152">
        <f>IF($FF5="Sem Barreiras",7,6)*$FJ5&amp;" PE"</f>
        <v/>
      </c>
      <c r="IX5" s="152">
        <f>"Acerto "&amp;$FJ5&amp;"d8"</f>
        <v/>
      </c>
      <c r="IY5" s="152">
        <f>IFERROR(VLOOKUP($FF5,$CQ$2:$CS$4,3,FALSE),"Escolha o degrau")</f>
        <v/>
      </c>
      <c r="IZ5" s="152">
        <f>4&amp;" · "&amp;IF($FG5=0,"vazia",$DA5&amp;" · nv "&amp;$FI5&amp;" · "&amp;$GB5&amp;"/"&amp;$FZ5)</f>
        <v/>
      </c>
      <c r="JB5" s="150" t="inlineStr">
        <is>
          <t>Invocação 4</t>
        </is>
      </c>
      <c r="JC5" s="152">
        <f>ADDRESS(ROW('INVOCAÇÕES'!D24),COLUMN('INVOCAÇÕES'!D24),4)</f>
        <v/>
      </c>
      <c r="JD5" s="152">
        <f>ADDRESS(ROW('INVOCAÇÕES'!H603),COLUMN('INVOCAÇÕES'!H603),4)</f>
        <v/>
      </c>
      <c r="JE5" s="150" t="inlineStr">
        <is>
          <t>DADOS_INVOC!$IZ$5</t>
        </is>
      </c>
      <c r="JG5" s="152">
        <f>IF(OR($AW5="",COUNTIF($EF$2:$EJ$2,$AW5)&gt;0),$AV5,"")</f>
        <v/>
      </c>
      <c r="JH5" s="152">
        <f>IF(AND($AX5=1,OR($AW5="",COUNTIF($EF$2:$EJ$2,$AW5)&gt;0)),$AV5,"")</f>
        <v/>
      </c>
      <c r="JJ5" s="152">
        <f>IF(OR($W5="",COUNTIF($EF$2:$EJ$2,$W5)&gt;0),$V5,"")</f>
        <v/>
      </c>
      <c r="JK5" s="152">
        <f>IF(AND($AF5=1,OR($W5="",COUNTIF($EF$2:$EJ$2,$W5)&gt;0)),$V5,"")</f>
        <v/>
      </c>
      <c r="JM5" s="152">
        <f>IF(OR($AW5="",COUNTIF($EF$3:$EJ$3,$AW5)&gt;0),$AV5,"")</f>
        <v/>
      </c>
      <c r="JN5" s="152">
        <f>IF(AND($AX5=1,OR($AW5="",COUNTIF($EF$3:$EJ$3,$AW5)&gt;0)),$AV5,"")</f>
        <v/>
      </c>
      <c r="JP5" s="152">
        <f>IF(OR($W5="",COUNTIF($EF$3:$EJ$3,$W5)&gt;0),$V5,"")</f>
        <v/>
      </c>
      <c r="JQ5" s="152">
        <f>IF(AND($AF5=1,OR($W5="",COUNTIF($EF$3:$EJ$3,$W5)&gt;0)),$V5,"")</f>
        <v/>
      </c>
      <c r="JS5" s="152">
        <f>IF(OR($AW5="",COUNTIF($EF$4:$EJ$4,$AW5)&gt;0),$AV5,"")</f>
        <v/>
      </c>
      <c r="JT5" s="152">
        <f>IF(AND($AX5=1,OR($AW5="",COUNTIF($EF$4:$EJ$4,$AW5)&gt;0)),$AV5,"")</f>
        <v/>
      </c>
      <c r="JV5" s="152">
        <f>IF(OR($W5="",COUNTIF($EF$4:$EJ$4,$W5)&gt;0),$V5,"")</f>
        <v/>
      </c>
      <c r="JW5" s="152">
        <f>IF(AND($AF5=1,OR($W5="",COUNTIF($EF$4:$EJ$4,$W5)&gt;0)),$V5,"")</f>
        <v/>
      </c>
      <c r="JY5" s="152">
        <f>IF(OR($AW5="",COUNTIF($EF$5:$EJ$5,$AW5)&gt;0),$AV5,"")</f>
        <v/>
      </c>
      <c r="JZ5" s="152">
        <f>IF(AND($AX5=1,OR($AW5="",COUNTIF($EF$5:$EJ$5,$AW5)&gt;0)),$AV5,"")</f>
        <v/>
      </c>
      <c r="KB5" s="152">
        <f>IF(OR($W5="",COUNTIF($EF$5:$EJ$5,$W5)&gt;0),$V5,"")</f>
        <v/>
      </c>
      <c r="KC5" s="152">
        <f>IF(AND($AF5=1,OR($W5="",COUNTIF($EF$5:$EJ$5,$W5)&gt;0)),$V5,"")</f>
        <v/>
      </c>
      <c r="KE5" s="152">
        <f>IF(OR($AW5="",COUNTIF($EF$6:$EJ$6,$AW5)&gt;0),$AV5,"")</f>
        <v/>
      </c>
      <c r="KF5" s="152">
        <f>IF(AND($AX5=1,OR($AW5="",COUNTIF($EF$6:$EJ$6,$AW5)&gt;0)),$AV5,"")</f>
        <v/>
      </c>
      <c r="KH5" s="152">
        <f>IF(OR($W5="",COUNTIF($EF$6:$EJ$6,$W5)&gt;0),$V5,"")</f>
        <v/>
      </c>
      <c r="KI5" s="152">
        <f>IF(AND($AF5=1,OR($W5="",COUNTIF($EF$6:$EJ$6,$W5)&gt;0)),$V5,"")</f>
        <v/>
      </c>
      <c r="KK5" s="152">
        <f>IF(OR($AW5="",COUNTIF($EF$7:$EJ$7,$AW5)&gt;0),$AV5,"")</f>
        <v/>
      </c>
      <c r="KL5" s="152">
        <f>IF(AND($AX5=1,OR($AW5="",COUNTIF($EF$7:$EJ$7,$AW5)&gt;0)),$AV5,"")</f>
        <v/>
      </c>
      <c r="KN5" s="152">
        <f>IF(OR($W5="",COUNTIF($EF$7:$EJ$7,$W5)&gt;0),$V5,"")</f>
        <v/>
      </c>
      <c r="KO5" s="152">
        <f>IF(AND($AF5=1,OR($W5="",COUNTIF($EF$7:$EJ$7,$W5)&gt;0)),$V5,"")</f>
        <v/>
      </c>
      <c r="KQ5" s="152">
        <f>IF(OR($AW5="",COUNTIF($EF$8:$EJ$8,$AW5)&gt;0),$AV5,"")</f>
        <v/>
      </c>
      <c r="KR5" s="152">
        <f>IF(AND($AX5=1,OR($AW5="",COUNTIF($EF$8:$EJ$8,$AW5)&gt;0)),$AV5,"")</f>
        <v/>
      </c>
      <c r="KT5" s="152">
        <f>IF(OR($W5="",COUNTIF($EF$8:$EJ$8,$W5)&gt;0),$V5,"")</f>
        <v/>
      </c>
      <c r="KU5" s="152">
        <f>IF(AND($AF5=1,OR($W5="",COUNTIF($EF$8:$EJ$8,$W5)&gt;0)),$V5,"")</f>
        <v/>
      </c>
      <c r="KW5" s="152">
        <f>IF(OR($AW5="",COUNTIF($EF$9:$EJ$9,$AW5)&gt;0),$AV5,"")</f>
        <v/>
      </c>
      <c r="KX5" s="152">
        <f>IF(AND($AX5=1,OR($AW5="",COUNTIF($EF$9:$EJ$9,$AW5)&gt;0)),$AV5,"")</f>
        <v/>
      </c>
      <c r="KZ5" s="152">
        <f>IF(OR($W5="",COUNTIF($EF$9:$EJ$9,$W5)&gt;0),$V5,"")</f>
        <v/>
      </c>
      <c r="LA5" s="152">
        <f>IF(AND($AF5=1,OR($W5="",COUNTIF($EF$9:$EJ$9,$W5)&gt;0)),$V5,"")</f>
        <v/>
      </c>
      <c r="LC5" s="152">
        <f>IF(OR($AW5="",COUNTIF($EF$10:$EJ$10,$AW5)&gt;0),$AV5,"")</f>
        <v/>
      </c>
      <c r="LD5" s="152">
        <f>IF(AND($AX5=1,OR($AW5="",COUNTIF($EF$10:$EJ$10,$AW5)&gt;0)),$AV5,"")</f>
        <v/>
      </c>
      <c r="LF5" s="152">
        <f>IF(OR($W5="",COUNTIF($EF$10:$EJ$10,$W5)&gt;0),$V5,"")</f>
        <v/>
      </c>
      <c r="LG5" s="152">
        <f>IF(AND($AF5=1,OR($W5="",COUNTIF($EF$10:$EJ$10,$W5)&gt;0)),$V5,"")</f>
        <v/>
      </c>
      <c r="LI5" s="152">
        <f>IF(OR($AW5="",COUNTIF($EF$11:$EJ$11,$AW5)&gt;0),$AV5,"")</f>
        <v/>
      </c>
      <c r="LJ5" s="152">
        <f>IF(AND($AX5=1,OR($AW5="",COUNTIF($EF$11:$EJ$11,$AW5)&gt;0)),$AV5,"")</f>
        <v/>
      </c>
      <c r="LL5" s="152">
        <f>IF(OR($W5="",COUNTIF($EF$11:$EJ$11,$W5)&gt;0),$V5,"")</f>
        <v/>
      </c>
      <c r="LM5" s="152">
        <f>IF(AND($AF5=1,OR($W5="",COUNTIF($EF$11:$EJ$11,$W5)&gt;0)),$V5,"")</f>
        <v/>
      </c>
      <c r="LO5" s="152">
        <f>IF(OR($AW5="",COUNTIF($EF$12:$EJ$12,$AW5)&gt;0),$AV5,"")</f>
        <v/>
      </c>
      <c r="LP5" s="152">
        <f>IF(AND($AX5=1,OR($AW5="",COUNTIF($EF$12:$EJ$12,$AW5)&gt;0)),$AV5,"")</f>
        <v/>
      </c>
      <c r="LR5" s="152">
        <f>IF(OR($W5="",COUNTIF($EF$12:$EJ$12,$W5)&gt;0),$V5,"")</f>
        <v/>
      </c>
      <c r="LS5" s="152">
        <f>IF(AND($AF5=1,OR($W5="",COUNTIF($EF$12:$EJ$12,$W5)&gt;0)),$V5,"")</f>
        <v/>
      </c>
      <c r="LU5" s="152">
        <f>IF(OR($AW5="",COUNTIF($EF$13:$EJ$13,$AW5)&gt;0),$AV5,"")</f>
        <v/>
      </c>
      <c r="LV5" s="152">
        <f>IF(AND($AX5=1,OR($AW5="",COUNTIF($EF$13:$EJ$13,$AW5)&gt;0)),$AV5,"")</f>
        <v/>
      </c>
      <c r="LX5" s="152">
        <f>IF(OR($W5="",COUNTIF($EF$13:$EJ$13,$W5)&gt;0),$V5,"")</f>
        <v/>
      </c>
      <c r="LY5" s="152">
        <f>IF(AND($AF5=1,OR($W5="",COUNTIF($EF$13:$EJ$13,$W5)&gt;0)),$V5,"")</f>
        <v/>
      </c>
      <c r="MA5" s="150" t="inlineStr">
        <is>
          <t>Ficha 1 · Básica 2</t>
        </is>
      </c>
      <c r="MB5" s="152" t="n">
        <v>1</v>
      </c>
      <c r="MC5" s="152" t="n">
        <v>0</v>
      </c>
      <c r="MD5" s="152" t="n">
        <v>11</v>
      </c>
      <c r="ME5" s="150" t="inlineStr">
        <is>
          <t>BÁSICA 2</t>
        </is>
      </c>
      <c r="MF5" s="152" t="n">
        <v>0</v>
      </c>
      <c r="MG5" s="152">
        <f>'INVOCAÇÕES'!$J$92&amp;""</f>
        <v/>
      </c>
      <c r="MH5" s="152">
        <f>'INVOCAÇÕES'!$I$97&amp;""</f>
        <v/>
      </c>
      <c r="MI5" s="152">
        <f>'INVOCAÇÕES'!$I$98&amp;""</f>
        <v/>
      </c>
      <c r="MJ5" s="152">
        <f>'INVOCAÇÕES'!$K$98&amp;""</f>
        <v/>
      </c>
      <c r="MK5" s="152">
        <f>'INVOCAÇÕES'!$J$101&amp;""</f>
        <v/>
      </c>
      <c r="ML5" s="152">
        <f>'INVOCAÇÕES'!$J$102&amp;""</f>
        <v/>
      </c>
      <c r="MM5" s="152">
        <f>'INVOCAÇÕES'!$J$103&amp;""</f>
        <v/>
      </c>
      <c r="MN5" s="152">
        <f>'INVOCAÇÕES'!$J$104&amp;""</f>
        <v/>
      </c>
      <c r="MO5" s="152">
        <f>'INVOCAÇÕES'!$J$105&amp;""</f>
        <v/>
      </c>
      <c r="MP5" s="152">
        <f>'INVOCAÇÕES'!$J$106&amp;""</f>
        <v/>
      </c>
      <c r="MQ5" s="152">
        <f>IF($MG5&lt;&gt;"",1,0)</f>
        <v/>
      </c>
      <c r="MR5" s="152">
        <f>INDEX($FI$2:$FI$13,$MB5)</f>
        <v/>
      </c>
      <c r="MS5" s="152">
        <f>INDEX($FJ$2:$FJ$13,$MB5)</f>
        <v/>
      </c>
      <c r="MT5" s="152">
        <f>INDEX($FK$2:$FK$13,$MB5)</f>
        <v/>
      </c>
      <c r="MU5" s="152">
        <f>INDEX($FV$2:$FV$13,$MB5)</f>
        <v/>
      </c>
      <c r="MV5" s="152">
        <f>INDEX($FW$2:$FW$13,$MB5)</f>
        <v/>
      </c>
      <c r="MW5" s="152">
        <f>IFERROR(MATCH($MH5,$V$2:$V$11,0),0)</f>
        <v/>
      </c>
      <c r="MX5" s="152">
        <f>IFERROR(VLOOKUP($MK5,$AV$2:$BA$84,2,FALSE),"")</f>
        <v/>
      </c>
      <c r="MY5" s="152">
        <f>IFERROR(VLOOKUP($ML5,$AV$2:$BA$84,2,FALSE),"")</f>
        <v/>
      </c>
      <c r="MZ5" s="152">
        <f>IFERROR(VLOOKUP($MM5,$AV$2:$BA$84,2,FALSE),"")</f>
        <v/>
      </c>
      <c r="NA5" s="152">
        <f>IFERROR(VLOOKUP($MN5,$AV$2:$BA$84,2,FALSE),"")</f>
        <v/>
      </c>
      <c r="NB5" s="152">
        <f>IFERROR(VLOOKUP($MK5,$AV$2:$BA$84,3,FALSE),0)</f>
        <v/>
      </c>
      <c r="NC5" s="152">
        <f>IFERROR(VLOOKUP($ML5,$AV$2:$BA$84,3,FALSE),0)</f>
        <v/>
      </c>
      <c r="ND5" s="152">
        <f>IFERROR(VLOOKUP($MM5,$AV$2:$BA$84,3,FALSE),0)</f>
        <v/>
      </c>
      <c r="NE5" s="152">
        <f>IFERROR(VLOOKUP($MN5,$AV$2:$BA$84,3,FALSE),0)</f>
        <v/>
      </c>
      <c r="NF5" s="152">
        <f>IF($MF5=0,0,IF($MW5=0,0,INDEX($X$2:$X$11,$MW5)))</f>
        <v/>
      </c>
      <c r="NG5" s="152">
        <f>IF(OR($NB5=0,$MF5=0),0,$NB5+3*IF(AND($MX5&lt;&gt;"",OR($MX5=INDEX($EF$2:$EF$13,$MB5),$MX5=INDEX($EG$2:$EG$13,$MB5))),1,0))</f>
        <v/>
      </c>
      <c r="NH5" s="152">
        <f>IF(OR($NC5=0,$MF5=0),0,$NC5+3*IF(AND($MY5&lt;&gt;"",OR($MY5=INDEX($EF$2:$EF$13,$MB5),$MY5=INDEX($EG$2:$EG$13,$MB5))),1,0))</f>
        <v/>
      </c>
      <c r="NI5" s="152">
        <f>IF(OR($ND5=0,$MF5=0),0,$ND5+3*IF(AND($MZ5&lt;&gt;"",OR($MZ5=INDEX($EF$2:$EF$13,$MB5),$MZ5=INDEX($EG$2:$EG$13,$MB5))),1,0))</f>
        <v/>
      </c>
      <c r="NJ5" s="152">
        <f>IF(OR($NE5=0,$MF5=0),0,$NE5+3*IF(AND($NA5&lt;&gt;"",OR($NA5=INDEX($EF$2:$EF$13,$MB5),$NA5=INDEX($EG$2:$EG$13,$MB5))),1,0))</f>
        <v/>
      </c>
      <c r="NK5" s="152">
        <f>IF($MW5=0,0,IF(INDEX($W$2:$W$11,$MW5)="",0,IF(COUNTIF(INDEX($EF$2:$EJ$13,$MB5,0),INDEX($W$2:$W$11,$MW5))=0,1,0)))</f>
        <v/>
      </c>
      <c r="NL5" s="152">
        <f>IF(OR($NB5=0,$MX5=""),0,IF(COUNTIF(INDEX($EF$2:$EJ$13,$MB5,0),$MX5)=0,1,0))</f>
        <v/>
      </c>
      <c r="NM5" s="152">
        <f>IF(OR($NC5=0,$MY5=""),0,IF(COUNTIF(INDEX($EF$2:$EJ$13,$MB5,0),$MY5)=0,1,0))</f>
        <v/>
      </c>
      <c r="NN5" s="152">
        <f>IF(OR($ND5=0,$MZ5=""),0,IF(COUNTIF(INDEX($EF$2:$EJ$13,$MB5,0),$MZ5)=0,1,0))</f>
        <v/>
      </c>
      <c r="NO5" s="152">
        <f>IF(OR($NE5=0,$NA5=""),0,IF(COUNTIF(INDEX($EF$2:$EJ$13,$MB5,0),$NA5)=0,1,0))</f>
        <v/>
      </c>
      <c r="NP5" s="152">
        <f>IFERROR(VLOOKUP($MK5,$AV$2:$BA$84,4,FALSE),0)+IFERROR(VLOOKUP($ML5,$AV$2:$BA$84,4,FALSE),0)+IFERROR(VLOOKUP($MM5,$AV$2:$BA$84,4,FALSE),0)+IFERROR(VLOOKUP($MN5,$AV$2:$BA$84,4,FALSE),0)</f>
        <v/>
      </c>
      <c r="NQ5" s="152">
        <f>IFERROR(VLOOKUP($MK5,$AV$2:$BA$84,6,FALSE),0)+IFERROR(VLOOKUP($ML5,$AV$2:$BA$84,6,FALSE),0)+IFERROR(VLOOKUP($MM5,$AV$2:$BA$84,6,FALSE),0)+IFERROR(VLOOKUP($MN5,$AV$2:$BA$84,6,FALSE),0)</f>
        <v/>
      </c>
      <c r="NR5" s="152">
        <f>TEXTJOIN(", ",TRUE,IF(IFERROR(VLOOKUP($MK5,$AV$2:$BA$84,5,FALSE),0)=1,$MK5,""),IF(IFERROR(VLOOKUP($ML5,$AV$2:$BA$84,5,FALSE),0)=1,$ML5,""),IF(IFERROR(VLOOKUP($MM5,$AV$2:$BA$84,5,FALSE),0)=1,$MM5,""),IF(IFERROR(VLOOKUP($MN5,$AV$2:$BA$84,5,FALSE),0)=1,$MN5,""))</f>
        <v/>
      </c>
      <c r="NS5" s="152">
        <f>IF($MW5=0,0,INDEX($Y$2:$Y$11,$MW5))</f>
        <v/>
      </c>
      <c r="NT5" s="152">
        <f>IF($MW5=0,0,INDEX($Z$2:$Z$11,$MW5))</f>
        <v/>
      </c>
      <c r="NU5" s="152">
        <f>IF($MW5=0,0,INDEX($AB$2:$AB$11,$MW5))</f>
        <v/>
      </c>
      <c r="NV5" s="152">
        <f>IFERROR(VLOOKUP($MO5,$BC$2:$BG$24,3,FALSE),0)</f>
        <v/>
      </c>
      <c r="NW5" s="152">
        <f>IFERROR(VLOOKUP($MP5,$BC$2:$BG$24,3,FALSE),0)</f>
        <v/>
      </c>
      <c r="NX5" s="152">
        <f>IFERROR(VLOOKUP($MO5,$BC$2:$BG$24,2,FALSE),"")</f>
        <v/>
      </c>
      <c r="NY5" s="152">
        <f>IFERROR(VLOOKUP($MP5,$BC$2:$BG$24,2,FALSE),"")</f>
        <v/>
      </c>
      <c r="NZ5" s="152">
        <f>COUNTIF($NF5:$NJ5,1)</f>
        <v/>
      </c>
      <c r="OA5" s="152">
        <f>COUNTIF($NF5:$NJ5,2)</f>
        <v/>
      </c>
      <c r="OB5" s="152">
        <f>COUNTIF($NF5:$NJ5,3)</f>
        <v/>
      </c>
      <c r="OC5" s="152">
        <f>COUNTIF($NF5:$NJ5,4)</f>
        <v/>
      </c>
      <c r="OD5" s="152">
        <f>COUNTIF($NF5:$NJ5,5)</f>
        <v/>
      </c>
      <c r="OE5" s="152">
        <f>COUNTIF($NF5:$NJ5,6)</f>
        <v/>
      </c>
      <c r="OF5" s="152">
        <f>COUNTIF($NV5:$NW5,1)</f>
        <v/>
      </c>
      <c r="OG5" s="152">
        <f>COUNTIF($NV5:$NW5,2)+$NS5</f>
        <v/>
      </c>
      <c r="OH5" s="152">
        <f>COUNTIF($MK5:$MN5,"?*")</f>
        <v/>
      </c>
      <c r="OI5" s="152">
        <f>COUNTIF($MO5:$MP5,"?*")+$NS5</f>
        <v/>
      </c>
      <c r="OJ5" s="152">
        <f>IF($MF5=0,0,SUMPRODUCT($NZ5:$OE5,INDEX($I$2:$N$8,MAX(1,$MF5),0)))</f>
        <v/>
      </c>
      <c r="OK5" s="152">
        <f>IF($MF5=0,0,$OF5*CEILING($MF5/2,1)+$OG5*$MF5)</f>
        <v/>
      </c>
      <c r="OL5" s="152">
        <f>MIN(2*$MF5,$OK5)</f>
        <v/>
      </c>
      <c r="OM5" s="152">
        <f>MIN($OL5,$OJ5)</f>
        <v/>
      </c>
      <c r="ON5" s="152">
        <f>$OL5-$OM5</f>
        <v/>
      </c>
      <c r="OO5" s="152">
        <f>IF($MF5=0,0,INDEX($P$2:$P$8,MAX(1,$MF5)))</f>
        <v/>
      </c>
      <c r="OP5" s="152">
        <f>$OO5-$OJ5+$OM5</f>
        <v/>
      </c>
      <c r="OQ5" s="152">
        <f>IF($MF5=0,MAX(0,$MT5-IF($OH5&gt;0,1,0)),MAX(0,$OP5))</f>
        <v/>
      </c>
      <c r="OR5" s="152">
        <f>IF($MF5=0,0,(IF(COUNTIF($MK5:$MN5,"Salto")&gt;0,1,0)+IF(COUNTIF($MK5:$MN5,"Queima")&gt;0,1,0)+IF(COUNTIF($MK5:$MN5,"Estilhaço")&gt;0,1,0))*FLOOR($OQ5/2,1))</f>
        <v/>
      </c>
      <c r="OS5" s="152">
        <f>MAX(0,2-SUMPRODUCT($NZ5:$OE5,$I$2:$N$2)+MIN(2,$OF5*1+$OG5*1,SUMPRODUCT($NZ5:$OE5,$I$2:$N$2)))</f>
        <v/>
      </c>
      <c r="OT5" s="152">
        <f>MAX(0,4-SUMPRODUCT($NZ5:$OE5,$I$3:$N$3)+MIN(4,$OF5*1+$OG5*2,SUMPRODUCT($NZ5:$OE5,$I$3:$N$3)))</f>
        <v/>
      </c>
      <c r="OU5" s="152">
        <f>MAX(0,6-SUMPRODUCT($NZ5:$OE5,$I$4:$N$4)+MIN(6,$OF5*2+$OG5*3,SUMPRODUCT($NZ5:$OE5,$I$4:$N$4)))</f>
        <v/>
      </c>
      <c r="OV5" s="152">
        <f>MAX(0,9-SUMPRODUCT($NZ5:$OE5,$I$5:$N$5)+MIN(8,$OF5*2+$OG5*4,SUMPRODUCT($NZ5:$OE5,$I$5:$N$5)))</f>
        <v/>
      </c>
      <c r="OW5" s="152">
        <f>MAX(0,11-SUMPRODUCT($NZ5:$OE5,$I$6:$N$6)+MIN(10,$OF5*3+$OG5*5,SUMPRODUCT($NZ5:$OE5,$I$6:$N$6)))</f>
        <v/>
      </c>
      <c r="OX5" s="152">
        <f>MAX(0,13-SUMPRODUCT($NZ5:$OE5,$I$7:$N$7)+MIN(12,$OF5*3+$OG5*6,SUMPRODUCT($NZ5:$OE5,$I$7:$N$7)))</f>
        <v/>
      </c>
      <c r="OY5" s="152">
        <f>MAX(0,16-SUMPRODUCT($NZ5:$OE5,$I$8:$N$8)+MIN(14,$OF5*4+$OG5*7,SUMPRODUCT($NZ5:$OE5,$I$8:$N$8)))</f>
        <v/>
      </c>
      <c r="OZ5" s="152">
        <f>IF($NT5=2,3*$OS5&amp;" de vida temp.",IF($NT5=3,"sem dano",IF($OS5=0,IF($NT5=1,"sem cura","sem dano"),IF($NT5=1,"cura ","")&amp;$OS5&amp;"d8")))</f>
        <v/>
      </c>
      <c r="PA5" s="152">
        <f>IF($NT5=2,3*$OT5&amp;" de vida temp.",IF($NT5=3,"sem dano",IF($OT5=0,IF($NT5=1,"sem cura","sem dano"),IF($NT5=1,"cura ","")&amp;$OT5&amp;"d8")))</f>
        <v/>
      </c>
      <c r="PB5" s="152">
        <f>IF($NT5=2,3*$OU5&amp;" de vida temp.",IF($NT5=3,"sem dano",IF($OU5=0,IF($NT5=1,"sem cura","sem dano"),IF($NT5=1,"cura ","")&amp;$OU5&amp;"d8")))</f>
        <v/>
      </c>
      <c r="PC5" s="152">
        <f>IF($NT5=2,3*$OV5&amp;" de vida temp.",IF($NT5=3,"sem dano",IF($OV5=0,IF($NT5=1,"sem cura","sem dano"),IF($NT5=1,"cura ","")&amp;$OV5&amp;"d8")))</f>
        <v/>
      </c>
      <c r="PD5" s="152">
        <f>IF($NT5=2,3*$OW5&amp;" de vida temp.",IF($NT5=3,"sem dano",IF($OW5=0,IF($NT5=1,"sem cura","sem dano"),IF($NT5=1,"cura ","")&amp;$OW5&amp;"d8")))</f>
        <v/>
      </c>
      <c r="PE5" s="152">
        <f>IF($NT5=2,3*$OX5&amp;" de vida temp.",IF($NT5=3,"sem dano",IF($OX5=0,IF($NT5=1,"sem cura","sem dano"),IF($NT5=1,"cura ","")&amp;$OX5&amp;"d8")))</f>
        <v/>
      </c>
      <c r="PF5" s="152">
        <f>IF($NT5=2,3*$OY5&amp;" de vida temp.",IF($NT5=3,"sem dano",IF($OY5=0,IF($NT5=1,"sem cura","sem dano"),IF($NT5=1,"cura ","")&amp;$OY5&amp;"d8")))</f>
        <v/>
      </c>
      <c r="PG5" s="152">
        <f>IF($MQ5=0,"",TEXTJOIN(" · ",TRUE,IF($MD5&gt;$MR5,"Este lugar abre no nível "&amp;$MD5,""),IF($MF5&gt;$MS5,"Classe "&amp;$MF5&amp;": o nível "&amp;$MR5&amp;" libera até a "&amp;$MS5,""),IF($NK5=1,"A Forma "&amp;$MH5&amp;" pede "&amp;INDEX($W$2:$W$11,$MW5)&amp;" aberta",""),IF(AND($MF5=0,$MW5&gt;0,IF($MW5=0,0,INDEX($AF$2:$AF$11,$MW5))=0),$MH5&amp;" não existe na Classe 0",""),IF($NL5=1,"Família Fechada: "&amp;$MK5,""),IF($NM5=1,"Família Fechada: "&amp;$ML5,""),IF($NN5=1,"Família Fechada: "&amp;$MM5,""),IF($NO5=1,"Família Fechada: "&amp;$MN5,""),IF(AND($MF5&gt;0,$OH5&gt;INDEX($O$2:$O$8,MAX(1,$MF5))),$OH5&amp;" Melhorias: a Classe "&amp;$MF5&amp;" aceita "&amp;INDEX($O$2:$O$8,MAX(1,$MF5)),""),IF(AND($MF5=0,$OH5&gt;1),"A básica aceita uma Melhoria",""),IF(AND($MF5=0,COUNTIF($NB5:$NE5,"&gt;1")&gt;0),"A básica só aceita Melhoria Leve",""),IF(AND($MF5&gt;0,$OI5&gt;2),$OI5&amp;" Restrições"&amp;IF($NS5=1,", contando a que a Forma "&amp;$MH5&amp;" já traz","")&amp;": o limite é 2",""),IF(AND($MF5=0,COUNTIF($MO5:$MP5,"?*")&gt;1),"A básica aceita uma Restrição Leve",""),IF(AND($MF5=0,COUNTIF($NV5:$NW5,2)&gt;0),"A básica só aceita Restrição Leve",""),IF(AND($MF5&gt;0,$OP5&lt;0),"Orçamento estourado: faltam "&amp;(-$OP5)&amp;IF($OP5&lt;-1," pontos"," ponto"),""),IF(IFERROR(VLOOKUP($MO5,$BC$2:$BG$24,4,FALSE),0)+IFERROR(VLOOKUP($MP5,$BC$2:$BG$24,4,FALSE),0)&gt;1,$NX5&amp;" e "&amp;$NY5&amp;" são as duas de frequência",""),IF(AND((COUNTIF($MK5:$MN5,"Rápido")+COUNTIF($NX5:$NY5,"Rápido"))&gt;0,(COUNTIF($MK5:$MN5,"Atrasar")+COUNTIF($NX5:$NY5,"Atrasar"))&gt;0),"Rápido não entra com Atrasar",""),IF(AND((COUNTIF($MK5:$MN5,"Reação")+COUNTIF($NX5:$NY5,"Reação"))&gt;0,(COUNTIF($MK5:$MN5,"Rápido")+COUNTIF($NX5:$NY5,"Rápido"))&gt;0),"Reação não entra com Rápido",""),IF(AND((COUNTIF($MK5:$MN5,"Reação")+COUNTIF($NX5:$NY5,"Reação"))&gt;0,(COUNTIF($MK5:$MN5,"Armado")+COUNTIF($NX5:$NY5,"Armado"))&gt;0),"Reação não entra com Armado",""),IF(AND((COUNTIF($MK5:$MN5,"Reação")+COUNTIF($NX5:$NY5,"Reação"))&gt;0,(COUNTIF($MK5:$MN5,"Atrasar")+COUNTIF($NX5:$NY5,"Atrasar"))&gt;0),"Reação não entra com Atrasar",""),IF(AND((COUNTIF($MK5:$MN5,"Reação")+COUNTIF($NX5:$NY5,"Reação"))&gt;0,(COUNTIF($MK5:$MN5,"Parado")+COUNTIF($NX5:$NY5,"Parado"))&gt;0),"Reação não entra com Parado",""),IF(AND((COUNTIF($MK5:$MN5,"Atrasar")+COUNTIF($NX5:$NY5,"Atrasar"))&gt;0,(COUNTIF($MK5:$MN5,"Parado")+COUNTIF($NX5:$NY5,"Parado"))&gt;0),"Atrasar não entra com Parado",""),IF(AND((COUNTIF($MK5:$MN5,"Armado")+COUNTIF($NX5:$NY5,"Armado"))&gt;0,(COUNTIF($MK5:$MN5,"Carregar")+COUNTIF($NX5:$NY5,"Carregar"))&gt;0),"Armado não entra com Carregar",""),IF(AND(COUNTIF($NX5:$NY5,"Corpo a Corpo")&gt;0,$NS5=0,OR($MH5="Cone",$MH5="Linha")),"Corpo a Corpo não entra em "&amp;$MH5,""),IF(AND(COUNTIF($NX5:$NY5,"Corpo a Corpo")&gt;0,$NS5=1),"A Forma "&amp;$MH5&amp;" já traz o Corpo a Corpo",""),IF(AND(COUNTIF($NX5:$NY5,"Tudo ou Nada")&gt;0,$NU5=0),"Tudo ou Nada só entra em habilidade de Teste de Resistência",""),IF(AND(COUNTIF($MK5:$MN5,"Inescapável")&gt;0,OR($OH5&gt;1,$OI5&gt;0)),"Inescapável não aceita outra peça",""),IF(AND($MF5&gt;0,$OQ5*IF(COUNTIF($MK5:$MN5,"Remate")&gt;0,1.25,1)+$OR5&gt;4*$MF5),($OQ5*IF(COUNTIF($MK5:$MN5,"Remate")&gt;0,1.25,1)+$OR5)&amp;" dados somando repetições"&amp;IF(COUNTIF($MK5:$MN5,"Remate")&gt;0," e o Remate","")&amp;": o teto da Classe "&amp;$MF5&amp;" é "&amp;4*$MF5,"")))</f>
        <v/>
      </c>
      <c r="PH5" s="152">
        <f>IF($PG5="",0,(LEN($PG5)-LEN(SUBSTITUTE($PG5," · ","")))/3+1)</f>
        <v/>
      </c>
      <c r="PI5" s="152">
        <f>IF($MQ5=0,"",TEXTJOIN(" · ",TRUE,IF($OK5&gt;2*$MF5,"A devolução parou no teto de "&amp;2*$MF5,""),IF($ON5&gt;0,"Devolução perdida: "&amp;$ON5&amp;IF($ON5&gt;1," pontos"," ponto")&amp;" sem peça para pagar",""),IF(AND($NP5&gt;0,AND($MF5&gt;0,$NT5=0),$OQ5=0),"Controle sem dano: uma rodada a mais e CD +2",""),IF(AND($NP5&gt;0,AND($MF5&gt;0,$NT5=0),$OQ5&gt;0,$OQ5&lt;=$MF5),"Controle com saldo até a Classe: uma rodada a mais",""),IF(AND($MF5&gt;0,$NR5&lt;&gt;""),"Efeito de "&amp;$NR5&amp;" pela Classe "&amp;MAX(1,$MF5-1),"")))</f>
        <v/>
      </c>
      <c r="PJ5" s="152">
        <f>IF($PI5="",0,(LEN($PI5)-LEN(SUBSTITUTE($PI5," · ","")))/3+1)</f>
        <v/>
      </c>
      <c r="PK5" s="152">
        <f>IF($MQ5=0,IF($OH5+COUNTIF($MO5:$MP5,"?*")&gt;0,"Dê um nome",""),IF($PH5&gt;0,"⚠ "&amp;$PH5&amp;IF($PH5&gt;1," erros"," erro"),IF($PJ5&gt;0,"! "&amp;$PJ5&amp;IF($PJ5&gt;1," avisos"," aviso"),"Na regra")))</f>
        <v/>
      </c>
      <c r="PL5" s="152">
        <f>IF($MQ5=0,"",IF($PH5+$PJ5=0,"Dentro das regras que a ficha confere",$PG5&amp;IF(AND($PH5&gt;0,$PJ5&gt;0)," · ","")&amp;$PI5))</f>
        <v/>
      </c>
      <c r="PM5" s="152">
        <f>IF($MD5&gt;$MR5,$ME5&amp;" · ABRE NO NÍVEL "&amp;$MD5,$ME5)</f>
        <v/>
      </c>
      <c r="PN5" s="152">
        <f>IF($MQ5=0,"",IF($MF5=0,"Sem PE",3*$MF5&amp;" PE"))</f>
        <v/>
      </c>
      <c r="PO5" s="152">
        <f>IF($MQ5=0,"",IF($MF5=0,"A atuação básica dela",IF(COUNTIF($NX5:$NY5,"Atrasar")&gt;0,"Sua Ação Completa",IF(COUNTIF($MK5:$MN5,"Rápido")&gt;0,"Sua Bônus",IF(COUNTIF($MK5:$MN5,"Reação")&gt;0,"Sua Reação","Sua Padrão")))&amp;" + a básica dela"&amp;IF(COUNTIF($MK5:$MN5,"Reação")&gt;0," e a coletiva","")&amp;IF(COUNTIF($NX5:$NY5,"Carregar")&gt;0," · em dois turnos","")))</f>
        <v/>
      </c>
      <c r="PP5" s="152">
        <f>IF($MJ5&lt;&gt;"",$MJ5,IF($MW5=0,"",INDEX($AA$2:$AA$11,$MW5)))</f>
        <v/>
      </c>
      <c r="PQ5" s="152">
        <f>IF(OR($MQ5=0,$MW5=0),"",IF(COUNTIF($MK5:$MN5,"Inescapável")&gt;0,"Automático",IF($PP5="Ataque",IF($MU5="","Ataque","Ataque "&amp;IF(($MU5+2*IF(COUNTIF($MK5:$MN5,"Precisão")&gt;0,1,0))&gt;=0,"+","−")&amp;ABS(($MU5+2*IF(COUNTIF($MK5:$MN5,"Precisão")&gt;0,1,0))))&amp;IF($NQ5&gt;0," · TR"&amp;IF($MV5="",""," CD "&amp;$MV5),""),IF(LEFT($PP5,2)="TR",$PP5&amp;IF($MV5="",""," · CD "&amp;$MV5)&amp;IF(COUNTIF($MK5:$MN5,"Certeiro")&gt;0," · metade",""),"Sem rolagem"))))</f>
        <v/>
      </c>
      <c r="PR5" s="152">
        <f>IF(OR($MQ5=0,$MW5=0),"",IF($MF5=0,IF(OR($NT5&gt;=1,$OQ5=0),"Sem dano",$OQ5&amp;"d6"&amp;IF($MI5="",""," "&amp;$MI5)),IF(OR($NT5&gt;=1,$OQ5=0),UPPER(LEFT(INDEX($OZ5:$PF5,1,MAX(1,$MF5)),1))&amp;MID(INDEX($OZ5:$PF5,1,MAX(1,$MF5)),2,99),UPPER(LEFT(INDEX($OZ5:$PF5,1,MAX(1,$MF5)),1))&amp;MID(INDEX($OZ5:$PF5,1,MAX(1,$MF5)),2,99)&amp;IF($MI5="",""," "&amp;$MI5)&amp;IF($OR5&gt;0," · +"&amp;$OR5&amp;"d8",""))))</f>
        <v/>
      </c>
      <c r="PS5" s="152">
        <f>COUNTIF($MK5:$MN5,"Longe")+3*COUNTIF($MK5:$MN5,"Muito Longe")</f>
        <v/>
      </c>
      <c r="PT5" s="152">
        <f>COUNTIF($MK5:$MN5,"Maior")+3*COUNTIF($MK5:$MN5,"Muito Maior")</f>
        <v/>
      </c>
      <c r="PU5" s="152">
        <f>IF($MW5=0,0,CHOOSE(1+INDEX($AC$2:$AC$11,$MW5),0,$PS5,$PT5,$PS5+$PT5))</f>
        <v/>
      </c>
      <c r="PV5" s="152">
        <f>IF($MW5=0,0,CHOOSE(1+INDEX($AD$2:$AD$11,$MW5),0,$PS5,$PT5,$PS5+$PT5))</f>
        <v/>
      </c>
      <c r="PW5" s="152">
        <f>IF(OR($MQ5=0,$MW5=0),"",INDEX($AI$2:$AN$41,($MW5-1)*4+IF($MF5=0,1,IF($MF5&lt;=5,2,IF($MF5=6,3,4))),1+MIN(5,$PU5))&amp;INDEX($AO$2:$AT$41,($MW5-1)*4+IF($MF5=0,1,IF($MF5&lt;=5,2,IF($MF5=6,3,4))),1+MIN(5,$PV5))&amp;IF(INDEX($AE$2:$AE$11,$MW5)=1,IF(COUNTIF($MK5:$MN5,"Mais Um")&gt;0," · +"&amp;COUNTIF($MK5:$MN5,"Mais Um")&amp;IF(COUNTIF($MK5:$MN5,"Mais Um")&gt;1," alvos"," alvo"),"")&amp;IF(COUNTIF($MK5:$MN5,"Rajada")&gt;0,IF($MF5=0," · 1 tiro"," · "&amp;(MAX(1,$MF5-1)+1)&amp;" tiros"),""),""))</f>
        <v/>
      </c>
      <c r="PX5" s="152">
        <f>IF($MQ5=0,"",IF($MF5=0,$MT5&amp;"d6"&amp;IF($OH5&gt;0," − 1 = "&amp;$OQ5&amp;"d6"," da básica do nível "&amp;$MR5),$OO5&amp;" − "&amp;$OJ5&amp;" + "&amp;$OM5&amp;" = "&amp;$OP5&amp;" · teto "&amp;4*$MF5&amp;"d8"&amp;IF($NS5=1," · a Forma devolve "&amp;$MF5,"")&amp;IF($ON5&gt;0," · perde "&amp;$ON5,"")))</f>
        <v/>
      </c>
      <c r="PY5" s="152">
        <f>IF($MQ5=0,"",IF($MF5=0,"A básica não amplia: os dados dela sobem com o nível",IF($MF5&gt;=$MS5,"Já está na maior Classe que o nível liberou",TEXTJOIN(" · ",TRUE,IF(AND(2&gt;$MF5,2&lt;=$MS5),"2 → "&amp;$PA5&amp;", 6 PE",""),IF(AND(3&gt;$MF5,3&lt;=$MS5),"3 → "&amp;$PB5&amp;", 9 PE",""),IF(AND(4&gt;$MF5,4&lt;=$MS5),"4 → "&amp;$PC5&amp;", 12 PE",""),IF(AND(5&gt;$MF5,5&lt;=$MS5),"5 → "&amp;$PD5&amp;", 15 PE",""),IF(AND(6&gt;$MF5,6&lt;=$MS5),"6 → "&amp;$PE5&amp;", 18 PE",""),IF(AND(7&gt;$MF5,7&lt;=$MS5),"7 → "&amp;$PF5&amp;", 21 PE","")))))</f>
        <v/>
      </c>
      <c r="PZ5" s="152">
        <f>IF(OR($MQ5=0,$NB5=0),"",IF($MF5=0,"−1 dado","−"&amp;INDEX($I$2:$N$8,MAX(1,$MF5),MAX(1,$NG5))&amp;" · "&amp;CHOOSE(MAX(1,$NG5),"Leve","Média","Pesada","Leve · Livre","Média · Livre","Pesada · Livre")))</f>
        <v/>
      </c>
      <c r="QA5" s="152">
        <f>IF(OR($MQ5=0,$NC5=0),"",IF($MF5=0,"−1 dado","−"&amp;INDEX($I$2:$N$8,MAX(1,$MF5),MAX(1,$NH5))&amp;" · "&amp;CHOOSE(MAX(1,$NH5),"Leve","Média","Pesada","Leve · Livre","Média · Livre","Pesada · Livre")))</f>
        <v/>
      </c>
      <c r="QB5" s="152">
        <f>IF(OR($MQ5=0,$ND5=0),"",IF($MF5=0,"−1 dado","−"&amp;INDEX($I$2:$N$8,MAX(1,$MF5),MAX(1,$NI5))&amp;" · "&amp;CHOOSE(MAX(1,$NI5),"Leve","Média","Pesada","Leve · Livre","Média · Livre","Pesada · Livre")))</f>
        <v/>
      </c>
      <c r="QC5" s="152">
        <f>IF(OR($MQ5=0,$NE5=0),"",IF($MF5=0,"−1 dado","−"&amp;INDEX($I$2:$N$8,MAX(1,$MF5),MAX(1,$NJ5))&amp;" · "&amp;CHOOSE(MAX(1,$NJ5),"Leve","Média","Pesada","Leve · Livre","Média · Livre","Pesada · Livre")))</f>
        <v/>
      </c>
      <c r="QD5" s="152">
        <f>IF(OR($MQ5=0,$MO5=""),"",IF($MF5=0,"não devolve","+"&amp;IF($NV5=1,CEILING($MF5/2,1),$MF5)))</f>
        <v/>
      </c>
      <c r="QE5" s="152">
        <f>IF(OR($MQ5=0,$MP5=""),"",IF($MF5=0,"não devolve","+"&amp;IF($NW5=1,CEILING($MF5/2,1),$MF5)))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A6" s="152" t="n">
        <v>0</v>
      </c>
      <c r="BC6" s="150" t="inlineStr">
        <is>
          <t>Carregar</t>
        </is>
      </c>
      <c r="BD6" s="150" t="inlineStr">
        <is>
          <t>Carregar</t>
        </is>
      </c>
      <c r="BE6" s="152" t="n">
        <v>2</v>
      </c>
      <c r="BF6" s="152" t="n">
        <v>0</v>
      </c>
      <c r="BG6" s="150" t="inlineStr"/>
      <c r="BI6" s="150" t="inlineStr">
        <is>
          <t>Farejador</t>
        </is>
      </c>
      <c r="BJ6" s="152" t="n">
        <v>1</v>
      </c>
      <c r="BK6" s="150" t="inlineStr">
        <is>
          <t>Você sente se houve uma conjuração no local onde está nas últimas 24 horas, e identifica a Classe deixada por ela. Se houver vestígios de mais de uma Classe, reconhece essas Classes.</t>
        </is>
      </c>
      <c r="BL6" s="150" t="inlineStr">
        <is>
          <t>Farejador</t>
        </is>
      </c>
      <c r="BN6" s="150" t="inlineStr">
        <is>
          <t>Maldição domada</t>
        </is>
      </c>
      <c r="BS6" s="150" t="inlineStr">
        <is>
          <t>Auxiliares</t>
        </is>
      </c>
      <c r="BU6" s="150" t="inlineStr">
        <is>
          <t>Essência</t>
        </is>
      </c>
      <c r="CA6" s="150" t="inlineStr">
        <is>
          <t>Prestidigitação</t>
        </is>
      </c>
      <c r="CB6" s="150" t="inlineStr">
        <is>
          <t>Destreza</t>
        </is>
      </c>
      <c r="CF6" s="150" t="inlineStr">
        <is>
          <t>Frio</t>
        </is>
      </c>
      <c r="CH6" s="150" t="inlineStr">
        <is>
          <t>TR Espírito</t>
        </is>
      </c>
      <c r="CJ6" s="152" t="n">
        <v>4</v>
      </c>
      <c r="CW6" s="150" t="inlineStr">
        <is>
          <t>valor da defesa</t>
        </is>
      </c>
      <c r="CX6" s="152">
        <f>IF($CX$5="Inteligência",N(FICHA!$AB$19),N(FICHA!$AJ$19))</f>
        <v/>
      </c>
      <c r="CZ6" s="152" t="n">
        <v>5</v>
      </c>
      <c r="DA6" s="152">
        <f>'INVOCAÇÕES'!$I$805&amp;""</f>
        <v/>
      </c>
      <c r="DB6" s="152">
        <f>'INVOCAÇÕES'!$I$835&amp;""</f>
        <v/>
      </c>
      <c r="DC6" s="152">
        <f>'INVOCAÇÕES'!$I$839&amp;""</f>
        <v/>
      </c>
      <c r="DD6" s="152">
        <f>N('INVOCAÇÕES'!$K$839)</f>
        <v/>
      </c>
      <c r="DE6" s="152">
        <f>'INVOCAÇÕES'!$L$839&amp;""</f>
        <v/>
      </c>
      <c r="DF6" s="152">
        <f>N('INVOCAÇÕES'!$O$812)</f>
        <v/>
      </c>
      <c r="DG6" s="152">
        <f>N('INVOCAÇÕES'!$P$812)</f>
        <v/>
      </c>
      <c r="DH6" s="152">
        <f>N('INVOCAÇÕES'!$Q$812)</f>
        <v/>
      </c>
      <c r="DI6" s="152">
        <f>N('INVOCAÇÕES'!$R$812)</f>
        <v/>
      </c>
      <c r="DJ6" s="152">
        <f>N('INVOCAÇÕES'!$S$812)</f>
        <v/>
      </c>
      <c r="DK6" s="152">
        <f>N('INVOCAÇÕES'!$O$813)</f>
        <v/>
      </c>
      <c r="DL6" s="152">
        <f>N('INVOCAÇÕES'!$P$813)</f>
        <v/>
      </c>
      <c r="DM6" s="152">
        <f>N('INVOCAÇÕES'!$Q$813)</f>
        <v/>
      </c>
      <c r="DN6" s="152">
        <f>N('INVOCAÇÕES'!$R$813)</f>
        <v/>
      </c>
      <c r="DO6" s="152">
        <f>N('INVOCAÇÕES'!$S$813)</f>
        <v/>
      </c>
      <c r="DP6" s="152">
        <f>'INVOCAÇÕES'!$O$826&amp;""</f>
        <v/>
      </c>
      <c r="DQ6" s="152">
        <f>'INVOCAÇÕES'!$R$826&amp;""</f>
        <v/>
      </c>
      <c r="DR6" s="152">
        <f>'INVOCAÇÕES'!$S$821&amp;""</f>
        <v/>
      </c>
      <c r="DS6" s="152">
        <f>N('INVOCAÇÕES'!$O$818)</f>
        <v/>
      </c>
      <c r="DT6" s="152">
        <f>N('INVOCAÇÕES'!$P$818)</f>
        <v/>
      </c>
      <c r="DU6" s="152">
        <f>N('INVOCAÇÕES'!$Q$818)</f>
        <v/>
      </c>
      <c r="DV6" s="152">
        <f>N('INVOCAÇÕES'!$R$818)</f>
        <v/>
      </c>
      <c r="DW6" s="152">
        <f>N('INVOCAÇÕES'!$S$818)</f>
        <v/>
      </c>
      <c r="DX6" s="152">
        <f>N('INVOCAÇÕES'!$O$823)</f>
        <v/>
      </c>
      <c r="DY6" s="152">
        <f>N('INVOCAÇÕES'!$P$823)</f>
        <v/>
      </c>
      <c r="DZ6" s="152">
        <f>N('INVOCAÇÕES'!$Q$823)</f>
        <v/>
      </c>
      <c r="EA6" s="152">
        <f>N('INVOCAÇÕES'!$R$823)</f>
        <v/>
      </c>
      <c r="EB6" s="152">
        <f>'INVOCAÇÕES'!$U$805&amp;""</f>
        <v/>
      </c>
      <c r="EC6" s="152">
        <f>N('INVOCAÇÕES'!$W$805)</f>
        <v/>
      </c>
      <c r="ED6" s="152">
        <f>'INVOCAÇÕES'!$Y$805&amp;""</f>
        <v/>
      </c>
      <c r="EE6" s="152">
        <f>SUM('INVOCAÇÕES'!$Y$825:'INVOCAÇÕES'!$Y$827,'INVOCAÇÕES'!$Y$829:'INVOCAÇÕES'!$Y$834)</f>
        <v/>
      </c>
      <c r="EF6" s="152">
        <f>'INVOCAÇÕES'!$O$840&amp;""</f>
        <v/>
      </c>
      <c r="EG6" s="152">
        <f>'INVOCAÇÕES'!$P$840&amp;""</f>
        <v/>
      </c>
      <c r="EH6" s="152">
        <f>'INVOCAÇÕES'!$Q$840&amp;""</f>
        <v/>
      </c>
      <c r="EI6" s="152">
        <f>'INVOCAÇÕES'!$R$840&amp;""</f>
        <v/>
      </c>
      <c r="EJ6" s="152">
        <f>'INVOCAÇÕES'!$S$840&amp;""</f>
        <v/>
      </c>
      <c r="EK6" s="152">
        <f>'INVOCAÇÕES'!$O$830&amp;""</f>
        <v/>
      </c>
      <c r="EL6" s="152">
        <f>'INVOCAÇÕES'!$O$831&amp;""</f>
        <v/>
      </c>
      <c r="EM6" s="152">
        <f>'INVOCAÇÕES'!$O$832&amp;""</f>
        <v/>
      </c>
      <c r="EN6" s="152">
        <f>'INVOCAÇÕES'!$O$833&amp;""</f>
        <v/>
      </c>
      <c r="EO6" s="152">
        <f>'INVOCAÇÕES'!$O$834&amp;""</f>
        <v/>
      </c>
      <c r="EP6" s="152">
        <f>'INVOCAÇÕES'!$O$835&amp;""</f>
        <v/>
      </c>
      <c r="EQ6" s="152">
        <f>'INVOCAÇÕES'!$O$836&amp;""</f>
        <v/>
      </c>
      <c r="ER6" s="152">
        <f>'INVOCAÇÕES'!$J$872&amp;""</f>
        <v/>
      </c>
      <c r="ES6" s="152">
        <f>'INVOCAÇÕES'!$J$873&amp;""</f>
        <v/>
      </c>
      <c r="ET6" s="152">
        <f>'INVOCAÇÕES'!$J$874&amp;""</f>
        <v/>
      </c>
      <c r="EU6" s="152">
        <f>'INVOCAÇÕES'!$J$875&amp;""</f>
        <v/>
      </c>
      <c r="EV6" s="152">
        <f>'INVOCAÇÕES'!$J$876&amp;""</f>
        <v/>
      </c>
      <c r="EW6" s="152">
        <f>'INVOCAÇÕES'!$J$877&amp;""</f>
        <v/>
      </c>
      <c r="EX6" s="152">
        <f>'INVOCAÇÕES'!$J$878&amp;""</f>
        <v/>
      </c>
      <c r="EY6" s="152">
        <f>'INVOCAÇÕES'!$J$879&amp;""</f>
        <v/>
      </c>
      <c r="EZ6" s="152">
        <f>'INVOCAÇÕES'!$J$974&amp;""</f>
        <v/>
      </c>
      <c r="FA6" s="152">
        <f>'INVOCAÇÕES'!$J$975&amp;""</f>
        <v/>
      </c>
      <c r="FB6" s="152">
        <f>'INVOCAÇÕES'!$J$976&amp;""</f>
        <v/>
      </c>
      <c r="FC6" s="152">
        <f>MAX(3,MIN(7,N('INVOCAÇÕES'!$I$981)))</f>
        <v/>
      </c>
      <c r="FD6" s="152">
        <f>MAX(3,MIN(7,N('INVOCAÇÕES'!$O$981)))</f>
        <v/>
      </c>
      <c r="FE6" s="152">
        <f>MAX(3,MIN(7,N('INVOCAÇÕES'!$U$981)))</f>
        <v/>
      </c>
      <c r="FF6" s="152">
        <f>'INVOCAÇÕES'!$O$995&amp;""</f>
        <v/>
      </c>
      <c r="FG6" s="152">
        <f>IF($DA6&lt;&gt;"",1,0)</f>
        <v/>
      </c>
      <c r="FH6" s="152">
        <f>IFERROR(VLOOKUP($DC6,$BP$2:$BQ$5,2,FALSE),1)</f>
        <v/>
      </c>
      <c r="FI6" s="152">
        <f>IF($FH6=1,$CX$2,MAX(1,MIN($CX$2,IF($DD6=0,$CX$2,$DD6))))</f>
        <v/>
      </c>
      <c r="FJ6" s="152">
        <f>VLOOKUP(MAX(1,$FI6),$A$2:$D$8,2,TRUE)</f>
        <v/>
      </c>
      <c r="FK6" s="152">
        <f>VLOOKUP(MAX(1,$FI6),$A$2:$D$8,3,TRUE)</f>
        <v/>
      </c>
      <c r="FL6" s="152">
        <f>$DF6+$DK6</f>
        <v/>
      </c>
      <c r="FM6" s="152">
        <f>$DG6+$DL6</f>
        <v/>
      </c>
      <c r="FN6" s="152">
        <f>$DH6+$DM6</f>
        <v/>
      </c>
      <c r="FO6" s="152">
        <f>$DI6+$DN6</f>
        <v/>
      </c>
      <c r="FP6" s="152">
        <f>$DJ6+$DO6</f>
        <v/>
      </c>
      <c r="FQ6" s="152">
        <f>SUM($DF6:$DJ6)</f>
        <v/>
      </c>
      <c r="FR6" s="152">
        <f>9+$FS6</f>
        <v/>
      </c>
      <c r="FS6" s="152">
        <f>COUNTIF($F$2:$F$8,"&lt;="&amp;$FI6)</f>
        <v/>
      </c>
      <c r="FT6" s="152">
        <f>MAX(0,$DF6-3)+MAX(0,$DG6-3)+MAX(0,$DH6-3)+MAX(0,$DI6-3)+MAX(0,$DJ6-3)</f>
        <v/>
      </c>
      <c r="FU6" s="152">
        <f>IFERROR(INDEX($FL6:$FP6,1,MATCH($DP6,$BU$2:$BU$6,0)),"")</f>
        <v/>
      </c>
      <c r="FV6" s="152">
        <f>IF($FU6="","",$FU6+$CX$3+$DS6)</f>
        <v/>
      </c>
      <c r="FW6" s="152">
        <f>IF($FU6="","",8+$FU6+$CX$3+$DT6)</f>
        <v/>
      </c>
      <c r="FX6" s="152">
        <f>10+$FM6+$CX$7+$DU6</f>
        <v/>
      </c>
      <c r="FY6" s="152">
        <f>IF($DB6="Corpo amaldiçoado de criação",1,0)</f>
        <v/>
      </c>
      <c r="FZ6" s="152">
        <f>5+$FN6+(3+$FY6+$FN6)*($FI6-1)+$DV6</f>
        <v/>
      </c>
      <c r="GA6" s="152">
        <f>IF($FG6=0,"",$FZ6)</f>
        <v/>
      </c>
      <c r="GB6" s="152">
        <f>IF($EB6="",$FZ6,MAX(0,MIN(IFERROR(VALUE($EB6),$FZ6),$FZ6)))</f>
        <v/>
      </c>
      <c r="GC6" s="152">
        <f>9+$DW6</f>
        <v/>
      </c>
      <c r="GD6" s="152">
        <f>IF($DQ6="Destreza",$FM6,$FL6)</f>
        <v/>
      </c>
      <c r="GE6" s="152">
        <f>$GD6+IF($DR6="Físico",$CX$3,0)+$DX6</f>
        <v/>
      </c>
      <c r="GF6" s="152">
        <f>$FN6+IF($DR6="Vigor",$CX$3,0)+$DY6</f>
        <v/>
      </c>
      <c r="GG6" s="152">
        <f>$FO6+IF($DR6="Intelecto",$CX$3,0)+$DZ6</f>
        <v/>
      </c>
      <c r="GH6" s="152">
        <f>$FP6+IF($DR6="Espírito",$CX$3,0)+$EA6</f>
        <v/>
      </c>
      <c r="GI6" s="152">
        <f>4+INT($DI6/2)</f>
        <v/>
      </c>
      <c r="GJ6" s="152">
        <f>COUNTIF($EK6:$EQ6,"?*")</f>
        <v/>
      </c>
      <c r="GK6" s="152">
        <f>INT((2+$FI6/2)/2)</f>
        <v/>
      </c>
      <c r="GL6" s="152">
        <f>IF($FI6&gt;=11,2,1)</f>
        <v/>
      </c>
      <c r="GM6" s="152">
        <f>1+$FS6</f>
        <v/>
      </c>
      <c r="GN6" s="152">
        <f>COUNTIF($ER6:$EY6,"?*")</f>
        <v/>
      </c>
      <c r="GO6" s="152">
        <f>IF(AND($DB6="Shikigami de criação",$DE6="Com carga"),MAX(1,CEILING($FJ6/2,1)),$FJ6)</f>
        <v/>
      </c>
      <c r="GP6" s="152">
        <f>$FJ6+$GO6</f>
        <v/>
      </c>
      <c r="GQ6" s="152">
        <f>$FI6*(1+INT($DJ6/3))</f>
        <v/>
      </c>
      <c r="GR6" s="152">
        <f>5+$FL6</f>
        <v/>
      </c>
      <c r="GS6" s="152">
        <f>COUNTIF($EF6:$EJ6,"?*")</f>
        <v/>
      </c>
      <c r="GT6" s="152">
        <f>IF($EF6="",0,IF(COUNTIF($EF6:$EJ6,$EF6)&gt;1,1,0))+IF($EG6="",0,IF(COUNTIF($EF6:$EJ6,$EG6)&gt;1,1,0))+IF($EH6="",0,IF(COUNTIF($EF6:$EJ6,$EH6)&gt;1,1,0))+IF($EI6="",0,IF(COUNTIF($EF6:$EJ6,$EI6)&gt;1,1,0))+IF($EJ6="",0,IF(COUNTIF($EF6:$EJ6,$EJ6)&gt;1,1,0))</f>
        <v/>
      </c>
      <c r="GU6" s="152">
        <f>$CX$11</f>
        <v/>
      </c>
      <c r="GV6" s="152">
        <f>IF($FG6=0,"INVOCAÇÃO 5 · lugar vazio",$DA6&amp;" · "&amp;$DB6&amp;" · nível "&amp;$FI6&amp;" · vida "&amp;$GB6&amp;" de "&amp;$FZ6)</f>
        <v/>
      </c>
      <c r="GW6" s="152">
        <f>IF($FG6=0,"VAZIA",UPPER($DA6))</f>
        <v/>
      </c>
      <c r="GX6" s="152">
        <f>IF($CX$3&gt;=0,"+","−")&amp;ABS($CX$3)</f>
        <v/>
      </c>
      <c r="GY6" s="152">
        <f>$GO6&amp;" PE"</f>
        <v/>
      </c>
      <c r="GZ6" s="152">
        <f>$GP6&amp;" PE"</f>
        <v/>
      </c>
      <c r="HA6" s="152">
        <f>IF(OR($FQ6&gt;$FR6,$FT6&gt;$FS6),"⚠ ",IF(AND($FG6=1,$FQ6&lt;$FR6),"! ",""))&amp;"ATRIBUTOS · "&amp;$FQ6&amp;" DE "&amp;$FR6&amp;" PONTOS"&amp;IF($FT6&gt;$FS6," · ACIMA DE 3 SÓ COM MARCO","")</f>
        <v/>
      </c>
      <c r="HB6" s="152">
        <f>IF($FV6="","",IF($FV6&gt;=0,"+","−")&amp;ABS($FV6))</f>
        <v/>
      </c>
      <c r="HC6" s="152">
        <f>IF($FW6="","",$FW6)</f>
        <v/>
      </c>
      <c r="HD6" s="152">
        <f>SUBSTITUTE($GC6&amp;" m",".",",")</f>
        <v/>
      </c>
      <c r="HE6" s="152">
        <f>IF($GE6&gt;=0,"+","−")&amp;ABS($GE6)</f>
        <v/>
      </c>
      <c r="HF6" s="152">
        <f>IF($GF6&gt;=0,"+","−")&amp;ABS($GF6)</f>
        <v/>
      </c>
      <c r="HG6" s="152">
        <f>IF($GG6&gt;=0,"+","−")&amp;ABS($GG6)</f>
        <v/>
      </c>
      <c r="HH6" s="152">
        <f>IF($GH6&gt;=0,"+","−")&amp;ABS($GH6)</f>
        <v/>
      </c>
      <c r="HI6" s="152">
        <f>IF($GJ6&gt;$GI6,"⚠ ","")&amp;"PERÍCIAS · "&amp;$GJ6&amp;" DE "&amp;$GI6</f>
        <v/>
      </c>
      <c r="HJ6" s="152">
        <f>IF($EK6="","",IFERROR(IF((INDEX($FL6:$FP6,1,MATCH(VLOOKUP($EK6,$CA$2:$CB$24,2,FALSE),$BU$2:$BU$6,0))+$CX$3)&gt;=0,"+","−")&amp;ABS((INDEX($FL6:$FP6,1,MATCH(VLOOKUP($EK6,$CA$2:$CB$24,2,FALSE),$BU$2:$BU$6,0))+$CX$3)),""))</f>
        <v/>
      </c>
      <c r="HK6" s="152">
        <f>IF($EL6="","",IFERROR(IF((INDEX($FL6:$FP6,1,MATCH(VLOOKUP($EL6,$CA$2:$CB$24,2,FALSE),$BU$2:$BU$6,0))+$CX$3)&gt;=0,"+","−")&amp;ABS((INDEX($FL6:$FP6,1,MATCH(VLOOKUP($EL6,$CA$2:$CB$24,2,FALSE),$BU$2:$BU$6,0))+$CX$3)),""))</f>
        <v/>
      </c>
      <c r="HL6" s="152">
        <f>IF($EM6="","",IFERROR(IF((INDEX($FL6:$FP6,1,MATCH(VLOOKUP($EM6,$CA$2:$CB$24,2,FALSE),$BU$2:$BU$6,0))+$CX$3)&gt;=0,"+","−")&amp;ABS((INDEX($FL6:$FP6,1,MATCH(VLOOKUP($EM6,$CA$2:$CB$24,2,FALSE),$BU$2:$BU$6,0))+$CX$3)),""))</f>
        <v/>
      </c>
      <c r="HM6" s="152">
        <f>IF($EN6="","",IFERROR(IF((INDEX($FL6:$FP6,1,MATCH(VLOOKUP($EN6,$CA$2:$CB$24,2,FALSE),$BU$2:$BU$6,0))+$CX$3)&gt;=0,"+","−")&amp;ABS((INDEX($FL6:$FP6,1,MATCH(VLOOKUP($EN6,$CA$2:$CB$24,2,FALSE),$BU$2:$BU$6,0))+$CX$3)),""))</f>
        <v/>
      </c>
      <c r="HN6" s="152">
        <f>IF($EO6="","",IFERROR(IF((INDEX($FL6:$FP6,1,MATCH(VLOOKUP($EO6,$CA$2:$CB$24,2,FALSE),$BU$2:$BU$6,0))+$CX$3)&gt;=0,"+","−")&amp;ABS((INDEX($FL6:$FP6,1,MATCH(VLOOKUP($EO6,$CA$2:$CB$24,2,FALSE),$BU$2:$BU$6,0))+$CX$3)),""))</f>
        <v/>
      </c>
      <c r="HO6" s="152">
        <f>IF($EP6="","",IFERROR(IF((INDEX($FL6:$FP6,1,MATCH(VLOOKUP($EP6,$CA$2:$CB$24,2,FALSE),$BU$2:$BU$6,0))+$CX$3)&gt;=0,"+","−")&amp;ABS((INDEX($FL6:$FP6,1,MATCH(VLOOKUP($EP6,$CA$2:$CB$24,2,FALSE),$BU$2:$BU$6,0))+$CX$3)),""))</f>
        <v/>
      </c>
      <c r="HP6" s="152">
        <f>IF($EQ6="","",IFERROR(IF((INDEX($FL6:$FP6,1,MATCH(VLOOKUP($EQ6,$CA$2:$CB$24,2,FALSE),$BU$2:$BU$6,0))+$CX$3)&gt;=0,"+","−")&amp;ABS((INDEX($FL6:$FP6,1,MATCH(VLOOKUP($EQ6,$CA$2:$CB$24,2,FALSE),$BU$2:$BU$6,0))+$CX$3)),""))</f>
        <v/>
      </c>
      <c r="HQ6" s="152">
        <f>IF($DB6="Maldição domada","RESERVA · MÁX. "&amp;$GQ6,"RESERVA DE PE")</f>
        <v/>
      </c>
      <c r="HR6" s="152">
        <f>IF($EE6&gt;$GR6,"⚠ ","")&amp;"EQUIPAMENTO · "&amp;$EE6&amp;" DE "&amp;$GR6&amp;" DE VOLUME"&amp;IF($EE6&gt;$GR6," · PASSOU DO LIMITE","")</f>
        <v/>
      </c>
      <c r="HS6" s="152">
        <f>IF(OR($GT6&gt;0,$GS6&gt;$GU6),"⚠ ","")&amp;"FAMÍLIAS · "&amp;$GS6&amp;" ABERTAS"&amp;IF($GT6&gt;0," · REPETIDA","")&amp;IF($GS6&gt;$GU6," · O LIMITE É "&amp;$GU6,"")</f>
        <v/>
      </c>
      <c r="HT6" s="152">
        <f>"HABILIDADES · básica de "&amp;$FK6&amp;"d6 · "&amp;$GK6&amp;IF($GK6&gt;1," espaços"," espaço")&amp;" de especial até a Classe "&amp;$FJ6&amp;" · "&amp;$GM6&amp;IF($GM6&gt;1," talentos"," talento")</f>
        <v/>
      </c>
      <c r="HU6" s="152">
        <f>IF($GN6&gt;$GM6,"⚠ ","")&amp;"TALENTOS · "&amp;$GN6&amp;" DE "&amp;$GM6</f>
        <v/>
      </c>
      <c r="HV6" s="152">
        <f>IFERROR(VLOOKUP($ER6,$BI$2:$BL$15,2,FALSE),0)</f>
        <v/>
      </c>
      <c r="HW6" s="152">
        <f>IFERROR(VLOOKUP($ES6,$BI$2:$BL$15,2,FALSE),0)</f>
        <v/>
      </c>
      <c r="HX6" s="152">
        <f>IFERROR(VLOOKUP($ET6,$BI$2:$BL$15,2,FALSE),0)</f>
        <v/>
      </c>
      <c r="HY6" s="152">
        <f>IFERROR(VLOOKUP($EU6,$BI$2:$BL$15,2,FALSE),0)</f>
        <v/>
      </c>
      <c r="HZ6" s="152">
        <f>IFERROR(VLOOKUP($EV6,$BI$2:$BL$15,2,FALSE),0)</f>
        <v/>
      </c>
      <c r="IA6" s="152">
        <f>IFERROR(VLOOKUP($EW6,$BI$2:$BL$15,2,FALSE),0)</f>
        <v/>
      </c>
      <c r="IB6" s="152">
        <f>IFERROR(VLOOKUP($EX6,$BI$2:$BL$15,2,FALSE),0)</f>
        <v/>
      </c>
      <c r="IC6" s="152">
        <f>IFERROR(VLOOKUP($EY6,$BI$2:$BL$15,2,FALSE),0)</f>
        <v/>
      </c>
      <c r="ID6" s="152">
        <f>IF($ER6="","",IF(1&gt;$FI6,"⚠ Este talento abre no nível 1",IF($HV6&gt;1,"⚠ Categoria "&amp;$HV6&amp;": este ganho vai até a 1 · ","")&amp;IFERROR(VLOOKUP($ER6,$BI$2:$BL$15,3,FALSE),"")))</f>
        <v/>
      </c>
      <c r="IE6" s="152">
        <f>IF($ES6="","",IF(6&gt;$FI6,"⚠ Este talento abre no nível 6",IF($HW6&gt;1,"⚠ Categoria "&amp;$HW6&amp;": este ganho vai até a 1 · ","")&amp;IFERROR(VLOOKUP($ES6,$BI$2:$BL$15,3,FALSE),"")))</f>
        <v/>
      </c>
      <c r="IF6" s="152">
        <f>IF($ET6="","",IF(10&gt;$FI6,"⚠ Este talento abre no nível 10",IF($HX6&gt;2,"⚠ Categoria "&amp;$HX6&amp;": este ganho vai até a 2 · ","")&amp;IFERROR(VLOOKUP($ET6,$BI$2:$BL$15,3,FALSE),"")))</f>
        <v/>
      </c>
      <c r="IG6" s="152">
        <f>IF($EU6="","",IF(14&gt;$FI6,"⚠ Este talento abre no nível 14",IF($HY6&gt;3,"⚠ Categoria "&amp;$HY6&amp;": este ganho vai até a 3 · ","")&amp;IFERROR(VLOOKUP($EU6,$BI$2:$BL$15,3,FALSE),"")))</f>
        <v/>
      </c>
      <c r="IH6" s="152">
        <f>IF($EV6="","",IF(18&gt;$FI6,"⚠ Este talento abre no nível 18",IF($HZ6&gt;3,"⚠ Categoria "&amp;$HZ6&amp;": este ganho vai até a 3 · ","")&amp;IFERROR(VLOOKUP($EV6,$BI$2:$BL$15,3,FALSE),"")))</f>
        <v/>
      </c>
      <c r="II6" s="152">
        <f>IF($EW6="","",IF(22&gt;$FI6,"⚠ Este talento abre no nível 22",IF($IA6&gt;3,"⚠ Categoria "&amp;$IA6&amp;": este ganho vai até a 3 · ","")&amp;IFERROR(VLOOKUP($EW6,$BI$2:$BL$15,3,FALSE),"")))</f>
        <v/>
      </c>
      <c r="IJ6" s="152">
        <f>IF($EX6="","",IF(26&gt;$FI6,"⚠ Este talento abre no nível 26",IF($IB6&gt;3,"⚠ Categoria "&amp;$IB6&amp;": este ganho vai até a 3 · ","")&amp;IFERROR(VLOOKUP($EX6,$BI$2:$BL$15,3,FALSE),"")))</f>
        <v/>
      </c>
      <c r="IK6" s="152">
        <f>IF($EY6="","",IF(30&gt;$FI6,"⚠ Este talento abre no nível 30",IF($IC6&gt;3,"⚠ Categoria "&amp;$IC6&amp;": este ganho vai até a 3 · ","")&amp;IFERROR(VLOOKUP($EY6,$BI$2:$BL$15,3,FALSE),"")))</f>
        <v/>
      </c>
      <c r="IL6" s="152">
        <f>IF($EZ6="","",IFERROR(VLOOKUP($EZ6,$BI$2:$BL$15,3,FALSE),""))</f>
        <v/>
      </c>
      <c r="IM6" s="152">
        <f>IF($FA6="","",IFERROR(VLOOKUP($FA6,$BI$2:$BL$15,3,FALSE),""))</f>
        <v/>
      </c>
      <c r="IN6" s="152">
        <f>IF($FB6="","",IFERROR(VLOOKUP($FB6,$BI$2:$BL$15,3,FALSE),""))</f>
        <v/>
      </c>
      <c r="IO6" s="152">
        <f>CEILING(4.5*$FC6,1)&amp;" PE"</f>
        <v/>
      </c>
      <c r="IP6" s="152">
        <f>CEILING(4.5*$FD6,1)&amp;" PE"</f>
        <v/>
      </c>
      <c r="IQ6" s="152">
        <f>CEILING(4.5*$FE6,1)&amp;" PE"</f>
        <v/>
      </c>
      <c r="IR6" s="152">
        <f>INDEX($P$2:$P$8,$FC6)&amp;" pontos + "&amp;$FC6&amp;"d8"</f>
        <v/>
      </c>
      <c r="IS6" s="152">
        <f>INDEX($P$2:$P$8,$FD6)&amp;" pontos + "&amp;$FD6&amp;"d8"</f>
        <v/>
      </c>
      <c r="IT6" s="152">
        <f>INDEX($P$2:$P$8,$FE6)&amp;" pontos + "&amp;$FE6&amp;"d8"</f>
        <v/>
      </c>
      <c r="IU6" s="152">
        <f>IF($FI6&lt;17,"—",VLOOKUP($FI6,$CL$2:$CO$4,4,TRUE)&amp;" PE")</f>
        <v/>
      </c>
      <c r="IV6" s="152">
        <f>IF($FI6&lt;17,"Abre no nível 17",VLOOKUP($FI6,$CL$2:$CO$4,2,TRUE)&amp;" fixos · "&amp;VLOOKUP($FI6,$CL$2:$CO$4,3,TRUE)&amp;" pontos")</f>
        <v/>
      </c>
      <c r="IW6" s="152">
        <f>IF($FF6="Sem Barreiras",7,6)*$FJ6&amp;" PE"</f>
        <v/>
      </c>
      <c r="IX6" s="152">
        <f>"Acerto "&amp;$FJ6&amp;"d8"</f>
        <v/>
      </c>
      <c r="IY6" s="152">
        <f>IFERROR(VLOOKUP($FF6,$CQ$2:$CS$4,3,FALSE),"Escolha o degrau")</f>
        <v/>
      </c>
      <c r="IZ6" s="152">
        <f>5&amp;" · "&amp;IF($FG6=0,"vazia",$DA6&amp;" · nv "&amp;$FI6&amp;" · "&amp;$GB6&amp;"/"&amp;$FZ6)</f>
        <v/>
      </c>
      <c r="JB6" s="150" t="inlineStr">
        <is>
          <t>Invocação 5</t>
        </is>
      </c>
      <c r="JC6" s="152">
        <f>ADDRESS(ROW('INVOCAÇÕES'!D25),COLUMN('INVOCAÇÕES'!D25),4)</f>
        <v/>
      </c>
      <c r="JD6" s="152">
        <f>ADDRESS(ROW('INVOCAÇÕES'!H801),COLUMN('INVOCAÇÕES'!H801),4)</f>
        <v/>
      </c>
      <c r="JE6" s="150" t="inlineStr">
        <is>
          <t>DADOS_INVOC!$IZ$6</t>
        </is>
      </c>
      <c r="JG6" s="152">
        <f>IF(OR($AW6="",COUNTIF($EF$2:$EJ$2,$AW6)&gt;0),$AV6,"")</f>
        <v/>
      </c>
      <c r="JH6" s="152">
        <f>IF(AND($AX6=1,OR($AW6="",COUNTIF($EF$2:$EJ$2,$AW6)&gt;0)),$AV6,"")</f>
        <v/>
      </c>
      <c r="JJ6" s="152">
        <f>IF(OR($W6="",COUNTIF($EF$2:$EJ$2,$W6)&gt;0),$V6,"")</f>
        <v/>
      </c>
      <c r="JK6" s="152">
        <f>IF(AND($AF6=1,OR($W6="",COUNTIF($EF$2:$EJ$2,$W6)&gt;0)),$V6,"")</f>
        <v/>
      </c>
      <c r="JM6" s="152">
        <f>IF(OR($AW6="",COUNTIF($EF$3:$EJ$3,$AW6)&gt;0),$AV6,"")</f>
        <v/>
      </c>
      <c r="JN6" s="152">
        <f>IF(AND($AX6=1,OR($AW6="",COUNTIF($EF$3:$EJ$3,$AW6)&gt;0)),$AV6,"")</f>
        <v/>
      </c>
      <c r="JP6" s="152">
        <f>IF(OR($W6="",COUNTIF($EF$3:$EJ$3,$W6)&gt;0),$V6,"")</f>
        <v/>
      </c>
      <c r="JQ6" s="152">
        <f>IF(AND($AF6=1,OR($W6="",COUNTIF($EF$3:$EJ$3,$W6)&gt;0)),$V6,"")</f>
        <v/>
      </c>
      <c r="JS6" s="152">
        <f>IF(OR($AW6="",COUNTIF($EF$4:$EJ$4,$AW6)&gt;0),$AV6,"")</f>
        <v/>
      </c>
      <c r="JT6" s="152">
        <f>IF(AND($AX6=1,OR($AW6="",COUNTIF($EF$4:$EJ$4,$AW6)&gt;0)),$AV6,"")</f>
        <v/>
      </c>
      <c r="JV6" s="152">
        <f>IF(OR($W6="",COUNTIF($EF$4:$EJ$4,$W6)&gt;0),$V6,"")</f>
        <v/>
      </c>
      <c r="JW6" s="152">
        <f>IF(AND($AF6=1,OR($W6="",COUNTIF($EF$4:$EJ$4,$W6)&gt;0)),$V6,"")</f>
        <v/>
      </c>
      <c r="JY6" s="152">
        <f>IF(OR($AW6="",COUNTIF($EF$5:$EJ$5,$AW6)&gt;0),$AV6,"")</f>
        <v/>
      </c>
      <c r="JZ6" s="152">
        <f>IF(AND($AX6=1,OR($AW6="",COUNTIF($EF$5:$EJ$5,$AW6)&gt;0)),$AV6,"")</f>
        <v/>
      </c>
      <c r="KB6" s="152">
        <f>IF(OR($W6="",COUNTIF($EF$5:$EJ$5,$W6)&gt;0),$V6,"")</f>
        <v/>
      </c>
      <c r="KC6" s="152">
        <f>IF(AND($AF6=1,OR($W6="",COUNTIF($EF$5:$EJ$5,$W6)&gt;0)),$V6,"")</f>
        <v/>
      </c>
      <c r="KE6" s="152">
        <f>IF(OR($AW6="",COUNTIF($EF$6:$EJ$6,$AW6)&gt;0),$AV6,"")</f>
        <v/>
      </c>
      <c r="KF6" s="152">
        <f>IF(AND($AX6=1,OR($AW6="",COUNTIF($EF$6:$EJ$6,$AW6)&gt;0)),$AV6,"")</f>
        <v/>
      </c>
      <c r="KH6" s="152">
        <f>IF(OR($W6="",COUNTIF($EF$6:$EJ$6,$W6)&gt;0),$V6,"")</f>
        <v/>
      </c>
      <c r="KI6" s="152">
        <f>IF(AND($AF6=1,OR($W6="",COUNTIF($EF$6:$EJ$6,$W6)&gt;0)),$V6,"")</f>
        <v/>
      </c>
      <c r="KK6" s="152">
        <f>IF(OR($AW6="",COUNTIF($EF$7:$EJ$7,$AW6)&gt;0),$AV6,"")</f>
        <v/>
      </c>
      <c r="KL6" s="152">
        <f>IF(AND($AX6=1,OR($AW6="",COUNTIF($EF$7:$EJ$7,$AW6)&gt;0)),$AV6,"")</f>
        <v/>
      </c>
      <c r="KN6" s="152">
        <f>IF(OR($W6="",COUNTIF($EF$7:$EJ$7,$W6)&gt;0),$V6,"")</f>
        <v/>
      </c>
      <c r="KO6" s="152">
        <f>IF(AND($AF6=1,OR($W6="",COUNTIF($EF$7:$EJ$7,$W6)&gt;0)),$V6,"")</f>
        <v/>
      </c>
      <c r="KQ6" s="152">
        <f>IF(OR($AW6="",COUNTIF($EF$8:$EJ$8,$AW6)&gt;0),$AV6,"")</f>
        <v/>
      </c>
      <c r="KR6" s="152">
        <f>IF(AND($AX6=1,OR($AW6="",COUNTIF($EF$8:$EJ$8,$AW6)&gt;0)),$AV6,"")</f>
        <v/>
      </c>
      <c r="KT6" s="152">
        <f>IF(OR($W6="",COUNTIF($EF$8:$EJ$8,$W6)&gt;0),$V6,"")</f>
        <v/>
      </c>
      <c r="KU6" s="152">
        <f>IF(AND($AF6=1,OR($W6="",COUNTIF($EF$8:$EJ$8,$W6)&gt;0)),$V6,"")</f>
        <v/>
      </c>
      <c r="KW6" s="152">
        <f>IF(OR($AW6="",COUNTIF($EF$9:$EJ$9,$AW6)&gt;0),$AV6,"")</f>
        <v/>
      </c>
      <c r="KX6" s="152">
        <f>IF(AND($AX6=1,OR($AW6="",COUNTIF($EF$9:$EJ$9,$AW6)&gt;0)),$AV6,"")</f>
        <v/>
      </c>
      <c r="KZ6" s="152">
        <f>IF(OR($W6="",COUNTIF($EF$9:$EJ$9,$W6)&gt;0),$V6,"")</f>
        <v/>
      </c>
      <c r="LA6" s="152">
        <f>IF(AND($AF6=1,OR($W6="",COUNTIF($EF$9:$EJ$9,$W6)&gt;0)),$V6,"")</f>
        <v/>
      </c>
      <c r="LC6" s="152">
        <f>IF(OR($AW6="",COUNTIF($EF$10:$EJ$10,$AW6)&gt;0),$AV6,"")</f>
        <v/>
      </c>
      <c r="LD6" s="152">
        <f>IF(AND($AX6=1,OR($AW6="",COUNTIF($EF$10:$EJ$10,$AW6)&gt;0)),$AV6,"")</f>
        <v/>
      </c>
      <c r="LF6" s="152">
        <f>IF(OR($W6="",COUNTIF($EF$10:$EJ$10,$W6)&gt;0),$V6,"")</f>
        <v/>
      </c>
      <c r="LG6" s="152">
        <f>IF(AND($AF6=1,OR($W6="",COUNTIF($EF$10:$EJ$10,$W6)&gt;0)),$V6,"")</f>
        <v/>
      </c>
      <c r="LI6" s="152">
        <f>IF(OR($AW6="",COUNTIF($EF$11:$EJ$11,$AW6)&gt;0),$AV6,"")</f>
        <v/>
      </c>
      <c r="LJ6" s="152">
        <f>IF(AND($AX6=1,OR($AW6="",COUNTIF($EF$11:$EJ$11,$AW6)&gt;0)),$AV6,"")</f>
        <v/>
      </c>
      <c r="LL6" s="152">
        <f>IF(OR($W6="",COUNTIF($EF$11:$EJ$11,$W6)&gt;0),$V6,"")</f>
        <v/>
      </c>
      <c r="LM6" s="152">
        <f>IF(AND($AF6=1,OR($W6="",COUNTIF($EF$11:$EJ$11,$W6)&gt;0)),$V6,"")</f>
        <v/>
      </c>
      <c r="LO6" s="152">
        <f>IF(OR($AW6="",COUNTIF($EF$12:$EJ$12,$AW6)&gt;0),$AV6,"")</f>
        <v/>
      </c>
      <c r="LP6" s="152">
        <f>IF(AND($AX6=1,OR($AW6="",COUNTIF($EF$12:$EJ$12,$AW6)&gt;0)),$AV6,"")</f>
        <v/>
      </c>
      <c r="LR6" s="152">
        <f>IF(OR($W6="",COUNTIF($EF$12:$EJ$12,$W6)&gt;0),$V6,"")</f>
        <v/>
      </c>
      <c r="LS6" s="152">
        <f>IF(AND($AF6=1,OR($W6="",COUNTIF($EF$12:$EJ$12,$W6)&gt;0)),$V6,"")</f>
        <v/>
      </c>
      <c r="LU6" s="152">
        <f>IF(OR($AW6="",COUNTIF($EF$13:$EJ$13,$AW6)&gt;0),$AV6,"")</f>
        <v/>
      </c>
      <c r="LV6" s="152">
        <f>IF(AND($AX6=1,OR($AW6="",COUNTIF($EF$13:$EJ$13,$AW6)&gt;0)),$AV6,"")</f>
        <v/>
      </c>
      <c r="LX6" s="152">
        <f>IF(OR($W6="",COUNTIF($EF$13:$EJ$13,$W6)&gt;0),$V6,"")</f>
        <v/>
      </c>
      <c r="LY6" s="152">
        <f>IF(AND($AF6=1,OR($W6="",COUNTIF($EF$13:$EJ$13,$W6)&gt;0)),$V6,"")</f>
        <v/>
      </c>
      <c r="MA6" s="150" t="inlineStr">
        <is>
          <t>Ficha 1 · Especial 3</t>
        </is>
      </c>
      <c r="MB6" s="152" t="n">
        <v>1</v>
      </c>
      <c r="MC6" s="152" t="n">
        <v>1</v>
      </c>
      <c r="MD6" s="152" t="n">
        <v>8</v>
      </c>
      <c r="ME6" s="150" t="inlineStr">
        <is>
          <t>ESPECIAL 3</t>
        </is>
      </c>
      <c r="MF6" s="152">
        <f>MAX(1,MIN(7,N('INVOCAÇÕES'!$O$92)))</f>
        <v/>
      </c>
      <c r="MG6" s="152">
        <f>'INVOCAÇÕES'!$P$92&amp;""</f>
        <v/>
      </c>
      <c r="MH6" s="152">
        <f>'INVOCAÇÕES'!$O$97&amp;""</f>
        <v/>
      </c>
      <c r="MI6" s="152">
        <f>'INVOCAÇÕES'!$O$98&amp;""</f>
        <v/>
      </c>
      <c r="MJ6" s="152">
        <f>'INVOCAÇÕES'!$Q$98&amp;""</f>
        <v/>
      </c>
      <c r="MK6" s="152">
        <f>'INVOCAÇÕES'!$P$101&amp;""</f>
        <v/>
      </c>
      <c r="ML6" s="152">
        <f>'INVOCAÇÕES'!$P$102&amp;""</f>
        <v/>
      </c>
      <c r="MM6" s="152">
        <f>'INVOCAÇÕES'!$P$103&amp;""</f>
        <v/>
      </c>
      <c r="MN6" s="152">
        <f>'INVOCAÇÕES'!$P$104&amp;""</f>
        <v/>
      </c>
      <c r="MO6" s="152">
        <f>'INVOCAÇÕES'!$P$105&amp;""</f>
        <v/>
      </c>
      <c r="MP6" s="152">
        <f>'INVOCAÇÕES'!$P$106&amp;""</f>
        <v/>
      </c>
      <c r="MQ6" s="152">
        <f>IF($MG6&lt;&gt;"",1,0)</f>
        <v/>
      </c>
      <c r="MR6" s="152">
        <f>INDEX($FI$2:$FI$13,$MB6)</f>
        <v/>
      </c>
      <c r="MS6" s="152">
        <f>INDEX($FJ$2:$FJ$13,$MB6)</f>
        <v/>
      </c>
      <c r="MT6" s="152">
        <f>INDEX($FK$2:$FK$13,$MB6)</f>
        <v/>
      </c>
      <c r="MU6" s="152">
        <f>INDEX($FV$2:$FV$13,$MB6)</f>
        <v/>
      </c>
      <c r="MV6" s="152">
        <f>INDEX($FW$2:$FW$13,$MB6)</f>
        <v/>
      </c>
      <c r="MW6" s="152">
        <f>IFERROR(MATCH($MH6,$V$2:$V$11,0),0)</f>
        <v/>
      </c>
      <c r="MX6" s="152">
        <f>IFERROR(VLOOKUP($MK6,$AV$2:$BA$84,2,FALSE),"")</f>
        <v/>
      </c>
      <c r="MY6" s="152">
        <f>IFERROR(VLOOKUP($ML6,$AV$2:$BA$84,2,FALSE),"")</f>
        <v/>
      </c>
      <c r="MZ6" s="152">
        <f>IFERROR(VLOOKUP($MM6,$AV$2:$BA$84,2,FALSE),"")</f>
        <v/>
      </c>
      <c r="NA6" s="152">
        <f>IFERROR(VLOOKUP($MN6,$AV$2:$BA$84,2,FALSE),"")</f>
        <v/>
      </c>
      <c r="NB6" s="152">
        <f>IFERROR(VLOOKUP($MK6,$AV$2:$BA$84,3,FALSE),0)</f>
        <v/>
      </c>
      <c r="NC6" s="152">
        <f>IFERROR(VLOOKUP($ML6,$AV$2:$BA$84,3,FALSE),0)</f>
        <v/>
      </c>
      <c r="ND6" s="152">
        <f>IFERROR(VLOOKUP($MM6,$AV$2:$BA$84,3,FALSE),0)</f>
        <v/>
      </c>
      <c r="NE6" s="152">
        <f>IFERROR(VLOOKUP($MN6,$AV$2:$BA$84,3,FALSE),0)</f>
        <v/>
      </c>
      <c r="NF6" s="152">
        <f>IF($MF6=0,0,IF($MW6=0,0,INDEX($X$2:$X$11,$MW6)))</f>
        <v/>
      </c>
      <c r="NG6" s="152">
        <f>IF(OR($NB6=0,$MF6=0),0,$NB6+3*IF(AND($MX6&lt;&gt;"",OR($MX6=INDEX($EF$2:$EF$13,$MB6),$MX6=INDEX($EG$2:$EG$13,$MB6))),1,0))</f>
        <v/>
      </c>
      <c r="NH6" s="152">
        <f>IF(OR($NC6=0,$MF6=0),0,$NC6+3*IF(AND($MY6&lt;&gt;"",OR($MY6=INDEX($EF$2:$EF$13,$MB6),$MY6=INDEX($EG$2:$EG$13,$MB6))),1,0))</f>
        <v/>
      </c>
      <c r="NI6" s="152">
        <f>IF(OR($ND6=0,$MF6=0),0,$ND6+3*IF(AND($MZ6&lt;&gt;"",OR($MZ6=INDEX($EF$2:$EF$13,$MB6),$MZ6=INDEX($EG$2:$EG$13,$MB6))),1,0))</f>
        <v/>
      </c>
      <c r="NJ6" s="152">
        <f>IF(OR($NE6=0,$MF6=0),0,$NE6+3*IF(AND($NA6&lt;&gt;"",OR($NA6=INDEX($EF$2:$EF$13,$MB6),$NA6=INDEX($EG$2:$EG$13,$MB6))),1,0))</f>
        <v/>
      </c>
      <c r="NK6" s="152">
        <f>IF($MW6=0,0,IF(INDEX($W$2:$W$11,$MW6)="",0,IF(COUNTIF(INDEX($EF$2:$EJ$13,$MB6,0),INDEX($W$2:$W$11,$MW6))=0,1,0)))</f>
        <v/>
      </c>
      <c r="NL6" s="152">
        <f>IF(OR($NB6=0,$MX6=""),0,IF(COUNTIF(INDEX($EF$2:$EJ$13,$MB6,0),$MX6)=0,1,0))</f>
        <v/>
      </c>
      <c r="NM6" s="152">
        <f>IF(OR($NC6=0,$MY6=""),0,IF(COUNTIF(INDEX($EF$2:$EJ$13,$MB6,0),$MY6)=0,1,0))</f>
        <v/>
      </c>
      <c r="NN6" s="152">
        <f>IF(OR($ND6=0,$MZ6=""),0,IF(COUNTIF(INDEX($EF$2:$EJ$13,$MB6,0),$MZ6)=0,1,0))</f>
        <v/>
      </c>
      <c r="NO6" s="152">
        <f>IF(OR($NE6=0,$NA6=""),0,IF(COUNTIF(INDEX($EF$2:$EJ$13,$MB6,0),$NA6)=0,1,0))</f>
        <v/>
      </c>
      <c r="NP6" s="152">
        <f>IFERROR(VLOOKUP($MK6,$AV$2:$BA$84,4,FALSE),0)+IFERROR(VLOOKUP($ML6,$AV$2:$BA$84,4,FALSE),0)+IFERROR(VLOOKUP($MM6,$AV$2:$BA$84,4,FALSE),0)+IFERROR(VLOOKUP($MN6,$AV$2:$BA$84,4,FALSE),0)</f>
        <v/>
      </c>
      <c r="NQ6" s="152">
        <f>IFERROR(VLOOKUP($MK6,$AV$2:$BA$84,6,FALSE),0)+IFERROR(VLOOKUP($ML6,$AV$2:$BA$84,6,FALSE),0)+IFERROR(VLOOKUP($MM6,$AV$2:$BA$84,6,FALSE),0)+IFERROR(VLOOKUP($MN6,$AV$2:$BA$84,6,FALSE),0)</f>
        <v/>
      </c>
      <c r="NR6" s="152">
        <f>TEXTJOIN(", ",TRUE,IF(IFERROR(VLOOKUP($MK6,$AV$2:$BA$84,5,FALSE),0)=1,$MK6,""),IF(IFERROR(VLOOKUP($ML6,$AV$2:$BA$84,5,FALSE),0)=1,$ML6,""),IF(IFERROR(VLOOKUP($MM6,$AV$2:$BA$84,5,FALSE),0)=1,$MM6,""),IF(IFERROR(VLOOKUP($MN6,$AV$2:$BA$84,5,FALSE),0)=1,$MN6,""))</f>
        <v/>
      </c>
      <c r="NS6" s="152">
        <f>IF($MW6=0,0,INDEX($Y$2:$Y$11,$MW6))</f>
        <v/>
      </c>
      <c r="NT6" s="152">
        <f>IF($MW6=0,0,INDEX($Z$2:$Z$11,$MW6))</f>
        <v/>
      </c>
      <c r="NU6" s="152">
        <f>IF($MW6=0,0,INDEX($AB$2:$AB$11,$MW6))</f>
        <v/>
      </c>
      <c r="NV6" s="152">
        <f>IFERROR(VLOOKUP($MO6,$BC$2:$BG$24,3,FALSE),0)</f>
        <v/>
      </c>
      <c r="NW6" s="152">
        <f>IFERROR(VLOOKUP($MP6,$BC$2:$BG$24,3,FALSE),0)</f>
        <v/>
      </c>
      <c r="NX6" s="152">
        <f>IFERROR(VLOOKUP($MO6,$BC$2:$BG$24,2,FALSE),"")</f>
        <v/>
      </c>
      <c r="NY6" s="152">
        <f>IFERROR(VLOOKUP($MP6,$BC$2:$BG$24,2,FALSE),"")</f>
        <v/>
      </c>
      <c r="NZ6" s="152">
        <f>COUNTIF($NF6:$NJ6,1)</f>
        <v/>
      </c>
      <c r="OA6" s="152">
        <f>COUNTIF($NF6:$NJ6,2)</f>
        <v/>
      </c>
      <c r="OB6" s="152">
        <f>COUNTIF($NF6:$NJ6,3)</f>
        <v/>
      </c>
      <c r="OC6" s="152">
        <f>COUNTIF($NF6:$NJ6,4)</f>
        <v/>
      </c>
      <c r="OD6" s="152">
        <f>COUNTIF($NF6:$NJ6,5)</f>
        <v/>
      </c>
      <c r="OE6" s="152">
        <f>COUNTIF($NF6:$NJ6,6)</f>
        <v/>
      </c>
      <c r="OF6" s="152">
        <f>COUNTIF($NV6:$NW6,1)</f>
        <v/>
      </c>
      <c r="OG6" s="152">
        <f>COUNTIF($NV6:$NW6,2)+$NS6</f>
        <v/>
      </c>
      <c r="OH6" s="152">
        <f>COUNTIF($MK6:$MN6,"?*")</f>
        <v/>
      </c>
      <c r="OI6" s="152">
        <f>COUNTIF($MO6:$MP6,"?*")+$NS6</f>
        <v/>
      </c>
      <c r="OJ6" s="152">
        <f>IF($MF6=0,0,SUMPRODUCT($NZ6:$OE6,INDEX($I$2:$N$8,MAX(1,$MF6),0)))</f>
        <v/>
      </c>
      <c r="OK6" s="152">
        <f>IF($MF6=0,0,$OF6*CEILING($MF6/2,1)+$OG6*$MF6)</f>
        <v/>
      </c>
      <c r="OL6" s="152">
        <f>MIN(2*$MF6,$OK6)</f>
        <v/>
      </c>
      <c r="OM6" s="152">
        <f>MIN($OL6,$OJ6)</f>
        <v/>
      </c>
      <c r="ON6" s="152">
        <f>$OL6-$OM6</f>
        <v/>
      </c>
      <c r="OO6" s="152">
        <f>IF($MF6=0,0,INDEX($P$2:$P$8,MAX(1,$MF6)))</f>
        <v/>
      </c>
      <c r="OP6" s="152">
        <f>$OO6-$OJ6+$OM6</f>
        <v/>
      </c>
      <c r="OQ6" s="152">
        <f>IF($MF6=0,MAX(0,$MT6-IF($OH6&gt;0,1,0)),MAX(0,$OP6))</f>
        <v/>
      </c>
      <c r="OR6" s="152">
        <f>IF($MF6=0,0,(IF(COUNTIF($MK6:$MN6,"Salto")&gt;0,1,0)+IF(COUNTIF($MK6:$MN6,"Queima")&gt;0,1,0)+IF(COUNTIF($MK6:$MN6,"Estilhaço")&gt;0,1,0))*FLOOR($OQ6/2,1))</f>
        <v/>
      </c>
      <c r="OS6" s="152">
        <f>MAX(0,2-SUMPRODUCT($NZ6:$OE6,$I$2:$N$2)+MIN(2,$OF6*1+$OG6*1,SUMPRODUCT($NZ6:$OE6,$I$2:$N$2)))</f>
        <v/>
      </c>
      <c r="OT6" s="152">
        <f>MAX(0,4-SUMPRODUCT($NZ6:$OE6,$I$3:$N$3)+MIN(4,$OF6*1+$OG6*2,SUMPRODUCT($NZ6:$OE6,$I$3:$N$3)))</f>
        <v/>
      </c>
      <c r="OU6" s="152">
        <f>MAX(0,6-SUMPRODUCT($NZ6:$OE6,$I$4:$N$4)+MIN(6,$OF6*2+$OG6*3,SUMPRODUCT($NZ6:$OE6,$I$4:$N$4)))</f>
        <v/>
      </c>
      <c r="OV6" s="152">
        <f>MAX(0,9-SUMPRODUCT($NZ6:$OE6,$I$5:$N$5)+MIN(8,$OF6*2+$OG6*4,SUMPRODUCT($NZ6:$OE6,$I$5:$N$5)))</f>
        <v/>
      </c>
      <c r="OW6" s="152">
        <f>MAX(0,11-SUMPRODUCT($NZ6:$OE6,$I$6:$N$6)+MIN(10,$OF6*3+$OG6*5,SUMPRODUCT($NZ6:$OE6,$I$6:$N$6)))</f>
        <v/>
      </c>
      <c r="OX6" s="152">
        <f>MAX(0,13-SUMPRODUCT($NZ6:$OE6,$I$7:$N$7)+MIN(12,$OF6*3+$OG6*6,SUMPRODUCT($NZ6:$OE6,$I$7:$N$7)))</f>
        <v/>
      </c>
      <c r="OY6" s="152">
        <f>MAX(0,16-SUMPRODUCT($NZ6:$OE6,$I$8:$N$8)+MIN(14,$OF6*4+$OG6*7,SUMPRODUCT($NZ6:$OE6,$I$8:$N$8)))</f>
        <v/>
      </c>
      <c r="OZ6" s="152">
        <f>IF($NT6=2,3*$OS6&amp;" de vida temp.",IF($NT6=3,"sem dano",IF($OS6=0,IF($NT6=1,"sem cura","sem dano"),IF($NT6=1,"cura ","")&amp;$OS6&amp;"d8")))</f>
        <v/>
      </c>
      <c r="PA6" s="152">
        <f>IF($NT6=2,3*$OT6&amp;" de vida temp.",IF($NT6=3,"sem dano",IF($OT6=0,IF($NT6=1,"sem cura","sem dano"),IF($NT6=1,"cura ","")&amp;$OT6&amp;"d8")))</f>
        <v/>
      </c>
      <c r="PB6" s="152">
        <f>IF($NT6=2,3*$OU6&amp;" de vida temp.",IF($NT6=3,"sem dano",IF($OU6=0,IF($NT6=1,"sem cura","sem dano"),IF($NT6=1,"cura ","")&amp;$OU6&amp;"d8")))</f>
        <v/>
      </c>
      <c r="PC6" s="152">
        <f>IF($NT6=2,3*$OV6&amp;" de vida temp.",IF($NT6=3,"sem dano",IF($OV6=0,IF($NT6=1,"sem cura","sem dano"),IF($NT6=1,"cura ","")&amp;$OV6&amp;"d8")))</f>
        <v/>
      </c>
      <c r="PD6" s="152">
        <f>IF($NT6=2,3*$OW6&amp;" de vida temp.",IF($NT6=3,"sem dano",IF($OW6=0,IF($NT6=1,"sem cura","sem dano"),IF($NT6=1,"cura ","")&amp;$OW6&amp;"d8")))</f>
        <v/>
      </c>
      <c r="PE6" s="152">
        <f>IF($NT6=2,3*$OX6&amp;" de vida temp.",IF($NT6=3,"sem dano",IF($OX6=0,IF($NT6=1,"sem cura","sem dano"),IF($NT6=1,"cura ","")&amp;$OX6&amp;"d8")))</f>
        <v/>
      </c>
      <c r="PF6" s="152">
        <f>IF($NT6=2,3*$OY6&amp;" de vida temp.",IF($NT6=3,"sem dano",IF($OY6=0,IF($NT6=1,"sem cura","sem dano"),IF($NT6=1,"cura ","")&amp;$OY6&amp;"d8")))</f>
        <v/>
      </c>
      <c r="PG6" s="152">
        <f>IF($MQ6=0,"",TEXTJOIN(" · ",TRUE,IF($MD6&gt;$MR6,"Este lugar abre no nível "&amp;$MD6,""),IF($MF6&gt;$MS6,"Classe "&amp;$MF6&amp;": o nível "&amp;$MR6&amp;" libera até a "&amp;$MS6,""),IF($NK6=1,"A Forma "&amp;$MH6&amp;" pede "&amp;INDEX($W$2:$W$11,$MW6)&amp;" aberta",""),IF(AND($MF6=0,$MW6&gt;0,IF($MW6=0,0,INDEX($AF$2:$AF$11,$MW6))=0),$MH6&amp;" não existe na Classe 0",""),IF($NL6=1,"Família Fechada: "&amp;$MK6,""),IF($NM6=1,"Família Fechada: "&amp;$ML6,""),IF($NN6=1,"Família Fechada: "&amp;$MM6,""),IF($NO6=1,"Família Fechada: "&amp;$MN6,""),IF(AND($MF6&gt;0,$OH6&gt;INDEX($O$2:$O$8,MAX(1,$MF6))),$OH6&amp;" Melhorias: a Classe "&amp;$MF6&amp;" aceita "&amp;INDEX($O$2:$O$8,MAX(1,$MF6)),""),IF(AND($MF6=0,$OH6&gt;1),"A básica aceita uma Melhoria",""),IF(AND($MF6=0,COUNTIF($NB6:$NE6,"&gt;1")&gt;0),"A básica só aceita Melhoria Leve",""),IF(AND($MF6&gt;0,$OI6&gt;2),$OI6&amp;" Restrições"&amp;IF($NS6=1,", contando a que a Forma "&amp;$MH6&amp;" já traz","")&amp;": o limite é 2",""),IF(AND($MF6=0,COUNTIF($MO6:$MP6,"?*")&gt;1),"A básica aceita uma Restrição Leve",""),IF(AND($MF6=0,COUNTIF($NV6:$NW6,2)&gt;0),"A básica só aceita Restrição Leve",""),IF(AND($MF6&gt;0,$OP6&lt;0),"Orçamento estourado: faltam "&amp;(-$OP6)&amp;IF($OP6&lt;-1," pontos"," ponto"),""),IF(IFERROR(VLOOKUP($MO6,$BC$2:$BG$24,4,FALSE),0)+IFERROR(VLOOKUP($MP6,$BC$2:$BG$24,4,FALSE),0)&gt;1,$NX6&amp;" e "&amp;$NY6&amp;" são as duas de frequência",""),IF(AND((COUNTIF($MK6:$MN6,"Rápido")+COUNTIF($NX6:$NY6,"Rápido"))&gt;0,(COUNTIF($MK6:$MN6,"Atrasar")+COUNTIF($NX6:$NY6,"Atrasar"))&gt;0),"Rápido não entra com Atrasar",""),IF(AND((COUNTIF($MK6:$MN6,"Reação")+COUNTIF($NX6:$NY6,"Reação"))&gt;0,(COUNTIF($MK6:$MN6,"Rápido")+COUNTIF($NX6:$NY6,"Rápido"))&gt;0),"Reação não entra com Rápido",""),IF(AND((COUNTIF($MK6:$MN6,"Reação")+COUNTIF($NX6:$NY6,"Reação"))&gt;0,(COUNTIF($MK6:$MN6,"Armado")+COUNTIF($NX6:$NY6,"Armado"))&gt;0),"Reação não entra com Armado",""),IF(AND((COUNTIF($MK6:$MN6,"Reação")+COUNTIF($NX6:$NY6,"Reação"))&gt;0,(COUNTIF($MK6:$MN6,"Atrasar")+COUNTIF($NX6:$NY6,"Atrasar"))&gt;0),"Reação não entra com Atrasar",""),IF(AND((COUNTIF($MK6:$MN6,"Reação")+COUNTIF($NX6:$NY6,"Reação"))&gt;0,(COUNTIF($MK6:$MN6,"Parado")+COUNTIF($NX6:$NY6,"Parado"))&gt;0),"Reação não entra com Parado",""),IF(AND((COUNTIF($MK6:$MN6,"Atrasar")+COUNTIF($NX6:$NY6,"Atrasar"))&gt;0,(COUNTIF($MK6:$MN6,"Parado")+COUNTIF($NX6:$NY6,"Parado"))&gt;0),"Atrasar não entra com Parado",""),IF(AND((COUNTIF($MK6:$MN6,"Armado")+COUNTIF($NX6:$NY6,"Armado"))&gt;0,(COUNTIF($MK6:$MN6,"Carregar")+COUNTIF($NX6:$NY6,"Carregar"))&gt;0),"Armado não entra com Carregar",""),IF(AND(COUNTIF($NX6:$NY6,"Corpo a Corpo")&gt;0,$NS6=0,OR($MH6="Cone",$MH6="Linha")),"Corpo a Corpo não entra em "&amp;$MH6,""),IF(AND(COUNTIF($NX6:$NY6,"Corpo a Corpo")&gt;0,$NS6=1),"A Forma "&amp;$MH6&amp;" já traz o Corpo a Corpo",""),IF(AND(COUNTIF($NX6:$NY6,"Tudo ou Nada")&gt;0,$NU6=0),"Tudo ou Nada só entra em habilidade de Teste de Resistência",""),IF(AND(COUNTIF($MK6:$MN6,"Inescapável")&gt;0,OR($OH6&gt;1,$OI6&gt;0)),"Inescapável não aceita outra peça",""),IF(AND($MF6&gt;0,$OQ6*IF(COUNTIF($MK6:$MN6,"Remate")&gt;0,1.25,1)+$OR6&gt;4*$MF6),($OQ6*IF(COUNTIF($MK6:$MN6,"Remate")&gt;0,1.25,1)+$OR6)&amp;" dados somando repetições"&amp;IF(COUNTIF($MK6:$MN6,"Remate")&gt;0," e o Remate","")&amp;": o teto da Classe "&amp;$MF6&amp;" é "&amp;4*$MF6,"")))</f>
        <v/>
      </c>
      <c r="PH6" s="152">
        <f>IF($PG6="",0,(LEN($PG6)-LEN(SUBSTITUTE($PG6," · ","")))/3+1)</f>
        <v/>
      </c>
      <c r="PI6" s="152">
        <f>IF($MQ6=0,"",TEXTJOIN(" · ",TRUE,IF($OK6&gt;2*$MF6,"A devolução parou no teto de "&amp;2*$MF6,""),IF($ON6&gt;0,"Devolução perdida: "&amp;$ON6&amp;IF($ON6&gt;1," pontos"," ponto")&amp;" sem peça para pagar",""),IF(AND($NP6&gt;0,AND($MF6&gt;0,$NT6=0),$OQ6=0),"Controle sem dano: uma rodada a mais e CD +2",""),IF(AND($NP6&gt;0,AND($MF6&gt;0,$NT6=0),$OQ6&gt;0,$OQ6&lt;=$MF6),"Controle com saldo até a Classe: uma rodada a mais",""),IF(AND($MF6&gt;0,$NR6&lt;&gt;""),"Efeito de "&amp;$NR6&amp;" pela Classe "&amp;MAX(1,$MF6-1),"")))</f>
        <v/>
      </c>
      <c r="PJ6" s="152">
        <f>IF($PI6="",0,(LEN($PI6)-LEN(SUBSTITUTE($PI6," · ","")))/3+1)</f>
        <v/>
      </c>
      <c r="PK6" s="152">
        <f>IF($MQ6=0,IF($OH6+COUNTIF($MO6:$MP6,"?*")&gt;0,"Dê um nome",""),IF($PH6&gt;0,"⚠ "&amp;$PH6&amp;IF($PH6&gt;1," erros"," erro"),IF($PJ6&gt;0,"! "&amp;$PJ6&amp;IF($PJ6&gt;1," avisos"," aviso"),"Na regra")))</f>
        <v/>
      </c>
      <c r="PL6" s="152">
        <f>IF($MQ6=0,"",IF($PH6+$PJ6=0,"Dentro das regras que a ficha confere",$PG6&amp;IF(AND($PH6&gt;0,$PJ6&gt;0)," · ","")&amp;$PI6))</f>
        <v/>
      </c>
      <c r="PM6" s="152">
        <f>IF($MD6&gt;$MR6,$ME6&amp;" · ABRE NO NÍVEL "&amp;$MD6,$ME6)</f>
        <v/>
      </c>
      <c r="PN6" s="152">
        <f>IF($MQ6=0,"",IF($MF6=0,"Sem PE",3*$MF6&amp;" PE"))</f>
        <v/>
      </c>
      <c r="PO6" s="152">
        <f>IF($MQ6=0,"",IF($MF6=0,"A atuação básica dela",IF(COUNTIF($NX6:$NY6,"Atrasar")&gt;0,"Sua Ação Completa",IF(COUNTIF($MK6:$MN6,"Rápido")&gt;0,"Sua Bônus",IF(COUNTIF($MK6:$MN6,"Reação")&gt;0,"Sua Reação","Sua Padrão")))&amp;" + a básica dela"&amp;IF(COUNTIF($MK6:$MN6,"Reação")&gt;0," e a coletiva","")&amp;IF(COUNTIF($NX6:$NY6,"Carregar")&gt;0," · em dois turnos","")))</f>
        <v/>
      </c>
      <c r="PP6" s="152">
        <f>IF($MJ6&lt;&gt;"",$MJ6,IF($MW6=0,"",INDEX($AA$2:$AA$11,$MW6)))</f>
        <v/>
      </c>
      <c r="PQ6" s="152">
        <f>IF(OR($MQ6=0,$MW6=0),"",IF(COUNTIF($MK6:$MN6,"Inescapável")&gt;0,"Automático",IF($PP6="Ataque",IF($MU6="","Ataque","Ataque "&amp;IF(($MU6+2*IF(COUNTIF($MK6:$MN6,"Precisão")&gt;0,1,0))&gt;=0,"+","−")&amp;ABS(($MU6+2*IF(COUNTIF($MK6:$MN6,"Precisão")&gt;0,1,0))))&amp;IF($NQ6&gt;0," · TR"&amp;IF($MV6="",""," CD "&amp;$MV6),""),IF(LEFT($PP6,2)="TR",$PP6&amp;IF($MV6="",""," · CD "&amp;$MV6)&amp;IF(COUNTIF($MK6:$MN6,"Certeiro")&gt;0," · metade",""),"Sem rolagem"))))</f>
        <v/>
      </c>
      <c r="PR6" s="152">
        <f>IF(OR($MQ6=0,$MW6=0),"",IF($MF6=0,IF(OR($NT6&gt;=1,$OQ6=0),"Sem dano",$OQ6&amp;"d6"&amp;IF($MI6="",""," "&amp;$MI6)),IF(OR($NT6&gt;=1,$OQ6=0),UPPER(LEFT(INDEX($OZ6:$PF6,1,MAX(1,$MF6)),1))&amp;MID(INDEX($OZ6:$PF6,1,MAX(1,$MF6)),2,99),UPPER(LEFT(INDEX($OZ6:$PF6,1,MAX(1,$MF6)),1))&amp;MID(INDEX($OZ6:$PF6,1,MAX(1,$MF6)),2,99)&amp;IF($MI6="",""," "&amp;$MI6)&amp;IF($OR6&gt;0," · +"&amp;$OR6&amp;"d8",""))))</f>
        <v/>
      </c>
      <c r="PS6" s="152">
        <f>COUNTIF($MK6:$MN6,"Longe")+3*COUNTIF($MK6:$MN6,"Muito Longe")</f>
        <v/>
      </c>
      <c r="PT6" s="152">
        <f>COUNTIF($MK6:$MN6,"Maior")+3*COUNTIF($MK6:$MN6,"Muito Maior")</f>
        <v/>
      </c>
      <c r="PU6" s="152">
        <f>IF($MW6=0,0,CHOOSE(1+INDEX($AC$2:$AC$11,$MW6),0,$PS6,$PT6,$PS6+$PT6))</f>
        <v/>
      </c>
      <c r="PV6" s="152">
        <f>IF($MW6=0,0,CHOOSE(1+INDEX($AD$2:$AD$11,$MW6),0,$PS6,$PT6,$PS6+$PT6))</f>
        <v/>
      </c>
      <c r="PW6" s="152">
        <f>IF(OR($MQ6=0,$MW6=0),"",INDEX($AI$2:$AN$41,($MW6-1)*4+IF($MF6=0,1,IF($MF6&lt;=5,2,IF($MF6=6,3,4))),1+MIN(5,$PU6))&amp;INDEX($AO$2:$AT$41,($MW6-1)*4+IF($MF6=0,1,IF($MF6&lt;=5,2,IF($MF6=6,3,4))),1+MIN(5,$PV6))&amp;IF(INDEX($AE$2:$AE$11,$MW6)=1,IF(COUNTIF($MK6:$MN6,"Mais Um")&gt;0," · +"&amp;COUNTIF($MK6:$MN6,"Mais Um")&amp;IF(COUNTIF($MK6:$MN6,"Mais Um")&gt;1," alvos"," alvo"),"")&amp;IF(COUNTIF($MK6:$MN6,"Rajada")&gt;0,IF($MF6=0," · 1 tiro"," · "&amp;(MAX(1,$MF6-1)+1)&amp;" tiros"),""),""))</f>
        <v/>
      </c>
      <c r="PX6" s="152">
        <f>IF($MQ6=0,"",IF($MF6=0,$MT6&amp;"d6"&amp;IF($OH6&gt;0," − 1 = "&amp;$OQ6&amp;"d6"," da básica do nível "&amp;$MR6),$OO6&amp;" − "&amp;$OJ6&amp;" + "&amp;$OM6&amp;" = "&amp;$OP6&amp;" · teto "&amp;4*$MF6&amp;"d8"&amp;IF($NS6=1," · a Forma devolve "&amp;$MF6,"")&amp;IF($ON6&gt;0," · perde "&amp;$ON6,"")))</f>
        <v/>
      </c>
      <c r="PY6" s="152">
        <f>IF($MQ6=0,"",IF($MF6=0,"A básica não amplia: os dados dela sobem com o nível",IF($MF6&gt;=$MS6,"Já está na maior Classe que o nível liberou",TEXTJOIN(" · ",TRUE,IF(AND(2&gt;$MF6,2&lt;=$MS6),"2 → "&amp;$PA6&amp;", 6 PE",""),IF(AND(3&gt;$MF6,3&lt;=$MS6),"3 → "&amp;$PB6&amp;", 9 PE",""),IF(AND(4&gt;$MF6,4&lt;=$MS6),"4 → "&amp;$PC6&amp;", 12 PE",""),IF(AND(5&gt;$MF6,5&lt;=$MS6),"5 → "&amp;$PD6&amp;", 15 PE",""),IF(AND(6&gt;$MF6,6&lt;=$MS6),"6 → "&amp;$PE6&amp;", 18 PE",""),IF(AND(7&gt;$MF6,7&lt;=$MS6),"7 → "&amp;$PF6&amp;", 21 PE","")))))</f>
        <v/>
      </c>
      <c r="PZ6" s="152">
        <f>IF(OR($MQ6=0,$NB6=0),"",IF($MF6=0,"−1 dado","−"&amp;INDEX($I$2:$N$8,MAX(1,$MF6),MAX(1,$NG6))&amp;" · "&amp;CHOOSE(MAX(1,$NG6),"Leve","Média","Pesada","Leve · Livre","Média · Livre","Pesada · Livre")))</f>
        <v/>
      </c>
      <c r="QA6" s="152">
        <f>IF(OR($MQ6=0,$NC6=0),"",IF($MF6=0,"−1 dado","−"&amp;INDEX($I$2:$N$8,MAX(1,$MF6),MAX(1,$NH6))&amp;" · "&amp;CHOOSE(MAX(1,$NH6),"Leve","Média","Pesada","Leve · Livre","Média · Livre","Pesada · Livre")))</f>
        <v/>
      </c>
      <c r="QB6" s="152">
        <f>IF(OR($MQ6=0,$ND6=0),"",IF($MF6=0,"−1 dado","−"&amp;INDEX($I$2:$N$8,MAX(1,$MF6),MAX(1,$NI6))&amp;" · "&amp;CHOOSE(MAX(1,$NI6),"Leve","Média","Pesada","Leve · Livre","Média · Livre","Pesada · Livre")))</f>
        <v/>
      </c>
      <c r="QC6" s="152">
        <f>IF(OR($MQ6=0,$NE6=0),"",IF($MF6=0,"−1 dado","−"&amp;INDEX($I$2:$N$8,MAX(1,$MF6),MAX(1,$NJ6))&amp;" · "&amp;CHOOSE(MAX(1,$NJ6),"Leve","Média","Pesada","Leve · Livre","Média · Livre","Pesada · Livre")))</f>
        <v/>
      </c>
      <c r="QD6" s="152">
        <f>IF(OR($MQ6=0,$MO6=""),"",IF($MF6=0,"não devolve","+"&amp;IF($NV6=1,CEILING($MF6/2,1),$MF6)))</f>
        <v/>
      </c>
      <c r="QE6" s="152">
        <f>IF(OR($MQ6=0,$MP6=""),"",IF($MF6=0,"não devolve","+"&amp;IF($NW6=1,CEILING($MF6/2,1),$MF6)))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A7" s="152" t="n">
        <v>0</v>
      </c>
      <c r="BC7" s="150" t="inlineStr">
        <is>
          <t>Sangra</t>
        </is>
      </c>
      <c r="BD7" s="150" t="inlineStr">
        <is>
          <t>Sangra</t>
        </is>
      </c>
      <c r="BE7" s="152" t="n">
        <v>2</v>
      </c>
      <c r="BF7" s="152" t="n">
        <v>0</v>
      </c>
      <c r="BG7" s="150" t="inlineStr"/>
      <c r="BI7" s="150" t="inlineStr">
        <is>
          <t>Leitura de Feitiços</t>
        </is>
      </c>
      <c r="BJ7" s="152" t="n">
        <v>1</v>
      </c>
      <c r="BK7" s="150" t="inlineStr">
        <is>
          <t>Ao ter um inimigo à vista, você sabe qual foi o último feitiço que ele usou, mesmo que não tenha presenciado aquela conjuração. Recebe o nome ou uma descrição suficiente para reconhecer a aplicação, não sua ficha completa.</t>
        </is>
      </c>
      <c r="BL7" s="150" t="inlineStr">
        <is>
          <t>Leitura de Feitiços</t>
        </is>
      </c>
      <c r="BS7" s="150" t="inlineStr">
        <is>
          <t>Castigo</t>
        </is>
      </c>
      <c r="CA7" s="150" t="inlineStr">
        <is>
          <t>Investigação</t>
        </is>
      </c>
      <c r="CB7" s="150" t="inlineStr">
        <is>
          <t>Inteligência</t>
        </is>
      </c>
      <c r="CF7" s="150" t="inlineStr">
        <is>
          <t>Elétrico</t>
        </is>
      </c>
      <c r="CJ7" s="152" t="n">
        <v>5</v>
      </c>
      <c r="CW7" s="150" t="inlineStr">
        <is>
          <t>parcela da defesa</t>
        </is>
      </c>
      <c r="CX7" s="152">
        <f>INT($CX$6/2)</f>
        <v/>
      </c>
      <c r="CZ7" s="152" t="n">
        <v>6</v>
      </c>
      <c r="DA7" s="152">
        <f>'INVOCAÇÕES'!$I$1003&amp;""</f>
        <v/>
      </c>
      <c r="DB7" s="152">
        <f>'INVOCAÇÕES'!$I$1033&amp;""</f>
        <v/>
      </c>
      <c r="DC7" s="152">
        <f>'INVOCAÇÕES'!$I$1037&amp;""</f>
        <v/>
      </c>
      <c r="DD7" s="152">
        <f>N('INVOCAÇÕES'!$K$1037)</f>
        <v/>
      </c>
      <c r="DE7" s="152">
        <f>'INVOCAÇÕES'!$L$1037&amp;""</f>
        <v/>
      </c>
      <c r="DF7" s="152">
        <f>N('INVOCAÇÕES'!$O$1010)</f>
        <v/>
      </c>
      <c r="DG7" s="152">
        <f>N('INVOCAÇÕES'!$P$1010)</f>
        <v/>
      </c>
      <c r="DH7" s="152">
        <f>N('INVOCAÇÕES'!$Q$1010)</f>
        <v/>
      </c>
      <c r="DI7" s="152">
        <f>N('INVOCAÇÕES'!$R$1010)</f>
        <v/>
      </c>
      <c r="DJ7" s="152">
        <f>N('INVOCAÇÕES'!$S$1010)</f>
        <v/>
      </c>
      <c r="DK7" s="152">
        <f>N('INVOCAÇÕES'!$O$1011)</f>
        <v/>
      </c>
      <c r="DL7" s="152">
        <f>N('INVOCAÇÕES'!$P$1011)</f>
        <v/>
      </c>
      <c r="DM7" s="152">
        <f>N('INVOCAÇÕES'!$Q$1011)</f>
        <v/>
      </c>
      <c r="DN7" s="152">
        <f>N('INVOCAÇÕES'!$R$1011)</f>
        <v/>
      </c>
      <c r="DO7" s="152">
        <f>N('INVOCAÇÕES'!$S$1011)</f>
        <v/>
      </c>
      <c r="DP7" s="152">
        <f>'INVOCAÇÕES'!$O$1024&amp;""</f>
        <v/>
      </c>
      <c r="DQ7" s="152">
        <f>'INVOCAÇÕES'!$R$1024&amp;""</f>
        <v/>
      </c>
      <c r="DR7" s="152">
        <f>'INVOCAÇÕES'!$S$1019&amp;""</f>
        <v/>
      </c>
      <c r="DS7" s="152">
        <f>N('INVOCAÇÕES'!$O$1016)</f>
        <v/>
      </c>
      <c r="DT7" s="152">
        <f>N('INVOCAÇÕES'!$P$1016)</f>
        <v/>
      </c>
      <c r="DU7" s="152">
        <f>N('INVOCAÇÕES'!$Q$1016)</f>
        <v/>
      </c>
      <c r="DV7" s="152">
        <f>N('INVOCAÇÕES'!$R$1016)</f>
        <v/>
      </c>
      <c r="DW7" s="152">
        <f>N('INVOCAÇÕES'!$S$1016)</f>
        <v/>
      </c>
      <c r="DX7" s="152">
        <f>N('INVOCAÇÕES'!$O$1021)</f>
        <v/>
      </c>
      <c r="DY7" s="152">
        <f>N('INVOCAÇÕES'!$P$1021)</f>
        <v/>
      </c>
      <c r="DZ7" s="152">
        <f>N('INVOCAÇÕES'!$Q$1021)</f>
        <v/>
      </c>
      <c r="EA7" s="152">
        <f>N('INVOCAÇÕES'!$R$1021)</f>
        <v/>
      </c>
      <c r="EB7" s="152">
        <f>'INVOCAÇÕES'!$U$1003&amp;""</f>
        <v/>
      </c>
      <c r="EC7" s="152">
        <f>N('INVOCAÇÕES'!$W$1003)</f>
        <v/>
      </c>
      <c r="ED7" s="152">
        <f>'INVOCAÇÕES'!$Y$1003&amp;""</f>
        <v/>
      </c>
      <c r="EE7" s="152">
        <f>SUM('INVOCAÇÕES'!$Y$1023:'INVOCAÇÕES'!$Y$1025,'INVOCAÇÕES'!$Y$1027:'INVOCAÇÕES'!$Y$1032)</f>
        <v/>
      </c>
      <c r="EF7" s="152">
        <f>'INVOCAÇÕES'!$O$1038&amp;""</f>
        <v/>
      </c>
      <c r="EG7" s="152">
        <f>'INVOCAÇÕES'!$P$1038&amp;""</f>
        <v/>
      </c>
      <c r="EH7" s="152">
        <f>'INVOCAÇÕES'!$Q$1038&amp;""</f>
        <v/>
      </c>
      <c r="EI7" s="152">
        <f>'INVOCAÇÕES'!$R$1038&amp;""</f>
        <v/>
      </c>
      <c r="EJ7" s="152">
        <f>'INVOCAÇÕES'!$S$1038&amp;""</f>
        <v/>
      </c>
      <c r="EK7" s="152">
        <f>'INVOCAÇÕES'!$O$1028&amp;""</f>
        <v/>
      </c>
      <c r="EL7" s="152">
        <f>'INVOCAÇÕES'!$O$1029&amp;""</f>
        <v/>
      </c>
      <c r="EM7" s="152">
        <f>'INVOCAÇÕES'!$O$1030&amp;""</f>
        <v/>
      </c>
      <c r="EN7" s="152">
        <f>'INVOCAÇÕES'!$O$1031&amp;""</f>
        <v/>
      </c>
      <c r="EO7" s="152">
        <f>'INVOCAÇÕES'!$O$1032&amp;""</f>
        <v/>
      </c>
      <c r="EP7" s="152">
        <f>'INVOCAÇÕES'!$O$1033&amp;""</f>
        <v/>
      </c>
      <c r="EQ7" s="152">
        <f>'INVOCAÇÕES'!$O$1034&amp;""</f>
        <v/>
      </c>
      <c r="ER7" s="152">
        <f>'INVOCAÇÕES'!$J$1070&amp;""</f>
        <v/>
      </c>
      <c r="ES7" s="152">
        <f>'INVOCAÇÕES'!$J$1071&amp;""</f>
        <v/>
      </c>
      <c r="ET7" s="152">
        <f>'INVOCAÇÕES'!$J$1072&amp;""</f>
        <v/>
      </c>
      <c r="EU7" s="152">
        <f>'INVOCAÇÕES'!$J$1073&amp;""</f>
        <v/>
      </c>
      <c r="EV7" s="152">
        <f>'INVOCAÇÕES'!$J$1074&amp;""</f>
        <v/>
      </c>
      <c r="EW7" s="152">
        <f>'INVOCAÇÕES'!$J$1075&amp;""</f>
        <v/>
      </c>
      <c r="EX7" s="152">
        <f>'INVOCAÇÕES'!$J$1076&amp;""</f>
        <v/>
      </c>
      <c r="EY7" s="152">
        <f>'INVOCAÇÕES'!$J$1077&amp;""</f>
        <v/>
      </c>
      <c r="EZ7" s="152">
        <f>'INVOCAÇÕES'!$J$1172&amp;""</f>
        <v/>
      </c>
      <c r="FA7" s="152">
        <f>'INVOCAÇÕES'!$J$1173&amp;""</f>
        <v/>
      </c>
      <c r="FB7" s="152">
        <f>'INVOCAÇÕES'!$J$1174&amp;""</f>
        <v/>
      </c>
      <c r="FC7" s="152">
        <f>MAX(3,MIN(7,N('INVOCAÇÕES'!$I$1179)))</f>
        <v/>
      </c>
      <c r="FD7" s="152">
        <f>MAX(3,MIN(7,N('INVOCAÇÕES'!$O$1179)))</f>
        <v/>
      </c>
      <c r="FE7" s="152">
        <f>MAX(3,MIN(7,N('INVOCAÇÕES'!$U$1179)))</f>
        <v/>
      </c>
      <c r="FF7" s="152">
        <f>'INVOCAÇÕES'!$O$1193&amp;""</f>
        <v/>
      </c>
      <c r="FG7" s="152">
        <f>IF($DA7&lt;&gt;"",1,0)</f>
        <v/>
      </c>
      <c r="FH7" s="152">
        <f>IFERROR(VLOOKUP($DC7,$BP$2:$BQ$5,2,FALSE),1)</f>
        <v/>
      </c>
      <c r="FI7" s="152">
        <f>IF($FH7=1,$CX$2,MAX(1,MIN($CX$2,IF($DD7=0,$CX$2,$DD7))))</f>
        <v/>
      </c>
      <c r="FJ7" s="152">
        <f>VLOOKUP(MAX(1,$FI7),$A$2:$D$8,2,TRUE)</f>
        <v/>
      </c>
      <c r="FK7" s="152">
        <f>VLOOKUP(MAX(1,$FI7),$A$2:$D$8,3,TRUE)</f>
        <v/>
      </c>
      <c r="FL7" s="152">
        <f>$DF7+$DK7</f>
        <v/>
      </c>
      <c r="FM7" s="152">
        <f>$DG7+$DL7</f>
        <v/>
      </c>
      <c r="FN7" s="152">
        <f>$DH7+$DM7</f>
        <v/>
      </c>
      <c r="FO7" s="152">
        <f>$DI7+$DN7</f>
        <v/>
      </c>
      <c r="FP7" s="152">
        <f>$DJ7+$DO7</f>
        <v/>
      </c>
      <c r="FQ7" s="152">
        <f>SUM($DF7:$DJ7)</f>
        <v/>
      </c>
      <c r="FR7" s="152">
        <f>9+$FS7</f>
        <v/>
      </c>
      <c r="FS7" s="152">
        <f>COUNTIF($F$2:$F$8,"&lt;="&amp;$FI7)</f>
        <v/>
      </c>
      <c r="FT7" s="152">
        <f>MAX(0,$DF7-3)+MAX(0,$DG7-3)+MAX(0,$DH7-3)+MAX(0,$DI7-3)+MAX(0,$DJ7-3)</f>
        <v/>
      </c>
      <c r="FU7" s="152">
        <f>IFERROR(INDEX($FL7:$FP7,1,MATCH($DP7,$BU$2:$BU$6,0)),"")</f>
        <v/>
      </c>
      <c r="FV7" s="152">
        <f>IF($FU7="","",$FU7+$CX$3+$DS7)</f>
        <v/>
      </c>
      <c r="FW7" s="152">
        <f>IF($FU7="","",8+$FU7+$CX$3+$DT7)</f>
        <v/>
      </c>
      <c r="FX7" s="152">
        <f>10+$FM7+$CX$7+$DU7</f>
        <v/>
      </c>
      <c r="FY7" s="152">
        <f>IF($DB7="Corpo amaldiçoado de criação",1,0)</f>
        <v/>
      </c>
      <c r="FZ7" s="152">
        <f>5+$FN7+(3+$FY7+$FN7)*($FI7-1)+$DV7</f>
        <v/>
      </c>
      <c r="GA7" s="152">
        <f>IF($FG7=0,"",$FZ7)</f>
        <v/>
      </c>
      <c r="GB7" s="152">
        <f>IF($EB7="",$FZ7,MAX(0,MIN(IFERROR(VALUE($EB7),$FZ7),$FZ7)))</f>
        <v/>
      </c>
      <c r="GC7" s="152">
        <f>9+$DW7</f>
        <v/>
      </c>
      <c r="GD7" s="152">
        <f>IF($DQ7="Destreza",$FM7,$FL7)</f>
        <v/>
      </c>
      <c r="GE7" s="152">
        <f>$GD7+IF($DR7="Físico",$CX$3,0)+$DX7</f>
        <v/>
      </c>
      <c r="GF7" s="152">
        <f>$FN7+IF($DR7="Vigor",$CX$3,0)+$DY7</f>
        <v/>
      </c>
      <c r="GG7" s="152">
        <f>$FO7+IF($DR7="Intelecto",$CX$3,0)+$DZ7</f>
        <v/>
      </c>
      <c r="GH7" s="152">
        <f>$FP7+IF($DR7="Espírito",$CX$3,0)+$EA7</f>
        <v/>
      </c>
      <c r="GI7" s="152">
        <f>4+INT($DI7/2)</f>
        <v/>
      </c>
      <c r="GJ7" s="152">
        <f>COUNTIF($EK7:$EQ7,"?*")</f>
        <v/>
      </c>
      <c r="GK7" s="152">
        <f>INT((2+$FI7/2)/2)</f>
        <v/>
      </c>
      <c r="GL7" s="152">
        <f>IF($FI7&gt;=11,2,1)</f>
        <v/>
      </c>
      <c r="GM7" s="152">
        <f>1+$FS7</f>
        <v/>
      </c>
      <c r="GN7" s="152">
        <f>COUNTIF($ER7:$EY7,"?*")</f>
        <v/>
      </c>
      <c r="GO7" s="152">
        <f>IF(AND($DB7="Shikigami de criação",$DE7="Com carga"),MAX(1,CEILING($FJ7/2,1)),$FJ7)</f>
        <v/>
      </c>
      <c r="GP7" s="152">
        <f>$FJ7+$GO7</f>
        <v/>
      </c>
      <c r="GQ7" s="152">
        <f>$FI7*(1+INT($DJ7/3))</f>
        <v/>
      </c>
      <c r="GR7" s="152">
        <f>5+$FL7</f>
        <v/>
      </c>
      <c r="GS7" s="152">
        <f>COUNTIF($EF7:$EJ7,"?*")</f>
        <v/>
      </c>
      <c r="GT7" s="152">
        <f>IF($EF7="",0,IF(COUNTIF($EF7:$EJ7,$EF7)&gt;1,1,0))+IF($EG7="",0,IF(COUNTIF($EF7:$EJ7,$EG7)&gt;1,1,0))+IF($EH7="",0,IF(COUNTIF($EF7:$EJ7,$EH7)&gt;1,1,0))+IF($EI7="",0,IF(COUNTIF($EF7:$EJ7,$EI7)&gt;1,1,0))+IF($EJ7="",0,IF(COUNTIF($EF7:$EJ7,$EJ7)&gt;1,1,0))</f>
        <v/>
      </c>
      <c r="GU7" s="152">
        <f>$CX$11</f>
        <v/>
      </c>
      <c r="GV7" s="152">
        <f>IF($FG7=0,"INVOCAÇÃO 6 · lugar vazio",$DA7&amp;" · "&amp;$DB7&amp;" · nível "&amp;$FI7&amp;" · vida "&amp;$GB7&amp;" de "&amp;$FZ7)</f>
        <v/>
      </c>
      <c r="GW7" s="152">
        <f>IF($FG7=0,"VAZIA",UPPER($DA7))</f>
        <v/>
      </c>
      <c r="GX7" s="152">
        <f>IF($CX$3&gt;=0,"+","−")&amp;ABS($CX$3)</f>
        <v/>
      </c>
      <c r="GY7" s="152">
        <f>$GO7&amp;" PE"</f>
        <v/>
      </c>
      <c r="GZ7" s="152">
        <f>$GP7&amp;" PE"</f>
        <v/>
      </c>
      <c r="HA7" s="152">
        <f>IF(OR($FQ7&gt;$FR7,$FT7&gt;$FS7),"⚠ ",IF(AND($FG7=1,$FQ7&lt;$FR7),"! ",""))&amp;"ATRIBUTOS · "&amp;$FQ7&amp;" DE "&amp;$FR7&amp;" PONTOS"&amp;IF($FT7&gt;$FS7," · ACIMA DE 3 SÓ COM MARCO","")</f>
        <v/>
      </c>
      <c r="HB7" s="152">
        <f>IF($FV7="","",IF($FV7&gt;=0,"+","−")&amp;ABS($FV7))</f>
        <v/>
      </c>
      <c r="HC7" s="152">
        <f>IF($FW7="","",$FW7)</f>
        <v/>
      </c>
      <c r="HD7" s="152">
        <f>SUBSTITUTE($GC7&amp;" m",".",",")</f>
        <v/>
      </c>
      <c r="HE7" s="152">
        <f>IF($GE7&gt;=0,"+","−")&amp;ABS($GE7)</f>
        <v/>
      </c>
      <c r="HF7" s="152">
        <f>IF($GF7&gt;=0,"+","−")&amp;ABS($GF7)</f>
        <v/>
      </c>
      <c r="HG7" s="152">
        <f>IF($GG7&gt;=0,"+","−")&amp;ABS($GG7)</f>
        <v/>
      </c>
      <c r="HH7" s="152">
        <f>IF($GH7&gt;=0,"+","−")&amp;ABS($GH7)</f>
        <v/>
      </c>
      <c r="HI7" s="152">
        <f>IF($GJ7&gt;$GI7,"⚠ ","")&amp;"PERÍCIAS · "&amp;$GJ7&amp;" DE "&amp;$GI7</f>
        <v/>
      </c>
      <c r="HJ7" s="152">
        <f>IF($EK7="","",IFERROR(IF((INDEX($FL7:$FP7,1,MATCH(VLOOKUP($EK7,$CA$2:$CB$24,2,FALSE),$BU$2:$BU$6,0))+$CX$3)&gt;=0,"+","−")&amp;ABS((INDEX($FL7:$FP7,1,MATCH(VLOOKUP($EK7,$CA$2:$CB$24,2,FALSE),$BU$2:$BU$6,0))+$CX$3)),""))</f>
        <v/>
      </c>
      <c r="HK7" s="152">
        <f>IF($EL7="","",IFERROR(IF((INDEX($FL7:$FP7,1,MATCH(VLOOKUP($EL7,$CA$2:$CB$24,2,FALSE),$BU$2:$BU$6,0))+$CX$3)&gt;=0,"+","−")&amp;ABS((INDEX($FL7:$FP7,1,MATCH(VLOOKUP($EL7,$CA$2:$CB$24,2,FALSE),$BU$2:$BU$6,0))+$CX$3)),""))</f>
        <v/>
      </c>
      <c r="HL7" s="152">
        <f>IF($EM7="","",IFERROR(IF((INDEX($FL7:$FP7,1,MATCH(VLOOKUP($EM7,$CA$2:$CB$24,2,FALSE),$BU$2:$BU$6,0))+$CX$3)&gt;=0,"+","−")&amp;ABS((INDEX($FL7:$FP7,1,MATCH(VLOOKUP($EM7,$CA$2:$CB$24,2,FALSE),$BU$2:$BU$6,0))+$CX$3)),""))</f>
        <v/>
      </c>
      <c r="HM7" s="152">
        <f>IF($EN7="","",IFERROR(IF((INDEX($FL7:$FP7,1,MATCH(VLOOKUP($EN7,$CA$2:$CB$24,2,FALSE),$BU$2:$BU$6,0))+$CX$3)&gt;=0,"+","−")&amp;ABS((INDEX($FL7:$FP7,1,MATCH(VLOOKUP($EN7,$CA$2:$CB$24,2,FALSE),$BU$2:$BU$6,0))+$CX$3)),""))</f>
        <v/>
      </c>
      <c r="HN7" s="152">
        <f>IF($EO7="","",IFERROR(IF((INDEX($FL7:$FP7,1,MATCH(VLOOKUP($EO7,$CA$2:$CB$24,2,FALSE),$BU$2:$BU$6,0))+$CX$3)&gt;=0,"+","−")&amp;ABS((INDEX($FL7:$FP7,1,MATCH(VLOOKUP($EO7,$CA$2:$CB$24,2,FALSE),$BU$2:$BU$6,0))+$CX$3)),""))</f>
        <v/>
      </c>
      <c r="HO7" s="152">
        <f>IF($EP7="","",IFERROR(IF((INDEX($FL7:$FP7,1,MATCH(VLOOKUP($EP7,$CA$2:$CB$24,2,FALSE),$BU$2:$BU$6,0))+$CX$3)&gt;=0,"+","−")&amp;ABS((INDEX($FL7:$FP7,1,MATCH(VLOOKUP($EP7,$CA$2:$CB$24,2,FALSE),$BU$2:$BU$6,0))+$CX$3)),""))</f>
        <v/>
      </c>
      <c r="HP7" s="152">
        <f>IF($EQ7="","",IFERROR(IF((INDEX($FL7:$FP7,1,MATCH(VLOOKUP($EQ7,$CA$2:$CB$24,2,FALSE),$BU$2:$BU$6,0))+$CX$3)&gt;=0,"+","−")&amp;ABS((INDEX($FL7:$FP7,1,MATCH(VLOOKUP($EQ7,$CA$2:$CB$24,2,FALSE),$BU$2:$BU$6,0))+$CX$3)),""))</f>
        <v/>
      </c>
      <c r="HQ7" s="152">
        <f>IF($DB7="Maldição domada","RESERVA · MÁX. "&amp;$GQ7,"RESERVA DE PE")</f>
        <v/>
      </c>
      <c r="HR7" s="152">
        <f>IF($EE7&gt;$GR7,"⚠ ","")&amp;"EQUIPAMENTO · "&amp;$EE7&amp;" DE "&amp;$GR7&amp;" DE VOLUME"&amp;IF($EE7&gt;$GR7," · PASSOU DO LIMITE","")</f>
        <v/>
      </c>
      <c r="HS7" s="152">
        <f>IF(OR($GT7&gt;0,$GS7&gt;$GU7),"⚠ ","")&amp;"FAMÍLIAS · "&amp;$GS7&amp;" ABERTAS"&amp;IF($GT7&gt;0," · REPETIDA","")&amp;IF($GS7&gt;$GU7," · O LIMITE É "&amp;$GU7,"")</f>
        <v/>
      </c>
      <c r="HT7" s="152">
        <f>"HABILIDADES · básica de "&amp;$FK7&amp;"d6 · "&amp;$GK7&amp;IF($GK7&gt;1," espaços"," espaço")&amp;" de especial até a Classe "&amp;$FJ7&amp;" · "&amp;$GM7&amp;IF($GM7&gt;1," talentos"," talento")</f>
        <v/>
      </c>
      <c r="HU7" s="152">
        <f>IF($GN7&gt;$GM7,"⚠ ","")&amp;"TALENTOS · "&amp;$GN7&amp;" DE "&amp;$GM7</f>
        <v/>
      </c>
      <c r="HV7" s="152">
        <f>IFERROR(VLOOKUP($ER7,$BI$2:$BL$15,2,FALSE),0)</f>
        <v/>
      </c>
      <c r="HW7" s="152">
        <f>IFERROR(VLOOKUP($ES7,$BI$2:$BL$15,2,FALSE),0)</f>
        <v/>
      </c>
      <c r="HX7" s="152">
        <f>IFERROR(VLOOKUP($ET7,$BI$2:$BL$15,2,FALSE),0)</f>
        <v/>
      </c>
      <c r="HY7" s="152">
        <f>IFERROR(VLOOKUP($EU7,$BI$2:$BL$15,2,FALSE),0)</f>
        <v/>
      </c>
      <c r="HZ7" s="152">
        <f>IFERROR(VLOOKUP($EV7,$BI$2:$BL$15,2,FALSE),0)</f>
        <v/>
      </c>
      <c r="IA7" s="152">
        <f>IFERROR(VLOOKUP($EW7,$BI$2:$BL$15,2,FALSE),0)</f>
        <v/>
      </c>
      <c r="IB7" s="152">
        <f>IFERROR(VLOOKUP($EX7,$BI$2:$BL$15,2,FALSE),0)</f>
        <v/>
      </c>
      <c r="IC7" s="152">
        <f>IFERROR(VLOOKUP($EY7,$BI$2:$BL$15,2,FALSE),0)</f>
        <v/>
      </c>
      <c r="ID7" s="152">
        <f>IF($ER7="","",IF(1&gt;$FI7,"⚠ Este talento abre no nível 1",IF($HV7&gt;1,"⚠ Categoria "&amp;$HV7&amp;": este ganho vai até a 1 · ","")&amp;IFERROR(VLOOKUP($ER7,$BI$2:$BL$15,3,FALSE),"")))</f>
        <v/>
      </c>
      <c r="IE7" s="152">
        <f>IF($ES7="","",IF(6&gt;$FI7,"⚠ Este talento abre no nível 6",IF($HW7&gt;1,"⚠ Categoria "&amp;$HW7&amp;": este ganho vai até a 1 · ","")&amp;IFERROR(VLOOKUP($ES7,$BI$2:$BL$15,3,FALSE),"")))</f>
        <v/>
      </c>
      <c r="IF7" s="152">
        <f>IF($ET7="","",IF(10&gt;$FI7,"⚠ Este talento abre no nível 10",IF($HX7&gt;2,"⚠ Categoria "&amp;$HX7&amp;": este ganho vai até a 2 · ","")&amp;IFERROR(VLOOKUP($ET7,$BI$2:$BL$15,3,FALSE),"")))</f>
        <v/>
      </c>
      <c r="IG7" s="152">
        <f>IF($EU7="","",IF(14&gt;$FI7,"⚠ Este talento abre no nível 14",IF($HY7&gt;3,"⚠ Categoria "&amp;$HY7&amp;": este ganho vai até a 3 · ","")&amp;IFERROR(VLOOKUP($EU7,$BI$2:$BL$15,3,FALSE),"")))</f>
        <v/>
      </c>
      <c r="IH7" s="152">
        <f>IF($EV7="","",IF(18&gt;$FI7,"⚠ Este talento abre no nível 18",IF($HZ7&gt;3,"⚠ Categoria "&amp;$HZ7&amp;": este ganho vai até a 3 · ","")&amp;IFERROR(VLOOKUP($EV7,$BI$2:$BL$15,3,FALSE),"")))</f>
        <v/>
      </c>
      <c r="II7" s="152">
        <f>IF($EW7="","",IF(22&gt;$FI7,"⚠ Este talento abre no nível 22",IF($IA7&gt;3,"⚠ Categoria "&amp;$IA7&amp;": este ganho vai até a 3 · ","")&amp;IFERROR(VLOOKUP($EW7,$BI$2:$BL$15,3,FALSE),"")))</f>
        <v/>
      </c>
      <c r="IJ7" s="152">
        <f>IF($EX7="","",IF(26&gt;$FI7,"⚠ Este talento abre no nível 26",IF($IB7&gt;3,"⚠ Categoria "&amp;$IB7&amp;": este ganho vai até a 3 · ","")&amp;IFERROR(VLOOKUP($EX7,$BI$2:$BL$15,3,FALSE),"")))</f>
        <v/>
      </c>
      <c r="IK7" s="152">
        <f>IF($EY7="","",IF(30&gt;$FI7,"⚠ Este talento abre no nível 30",IF($IC7&gt;3,"⚠ Categoria "&amp;$IC7&amp;": este ganho vai até a 3 · ","")&amp;IFERROR(VLOOKUP($EY7,$BI$2:$BL$15,3,FALSE),"")))</f>
        <v/>
      </c>
      <c r="IL7" s="152">
        <f>IF($EZ7="","",IFERROR(VLOOKUP($EZ7,$BI$2:$BL$15,3,FALSE),""))</f>
        <v/>
      </c>
      <c r="IM7" s="152">
        <f>IF($FA7="","",IFERROR(VLOOKUP($FA7,$BI$2:$BL$15,3,FALSE),""))</f>
        <v/>
      </c>
      <c r="IN7" s="152">
        <f>IF($FB7="","",IFERROR(VLOOKUP($FB7,$BI$2:$BL$15,3,FALSE),""))</f>
        <v/>
      </c>
      <c r="IO7" s="152">
        <f>CEILING(4.5*$FC7,1)&amp;" PE"</f>
        <v/>
      </c>
      <c r="IP7" s="152">
        <f>CEILING(4.5*$FD7,1)&amp;" PE"</f>
        <v/>
      </c>
      <c r="IQ7" s="152">
        <f>CEILING(4.5*$FE7,1)&amp;" PE"</f>
        <v/>
      </c>
      <c r="IR7" s="152">
        <f>INDEX($P$2:$P$8,$FC7)&amp;" pontos + "&amp;$FC7&amp;"d8"</f>
        <v/>
      </c>
      <c r="IS7" s="152">
        <f>INDEX($P$2:$P$8,$FD7)&amp;" pontos + "&amp;$FD7&amp;"d8"</f>
        <v/>
      </c>
      <c r="IT7" s="152">
        <f>INDEX($P$2:$P$8,$FE7)&amp;" pontos + "&amp;$FE7&amp;"d8"</f>
        <v/>
      </c>
      <c r="IU7" s="152">
        <f>IF($FI7&lt;17,"—",VLOOKUP($FI7,$CL$2:$CO$4,4,TRUE)&amp;" PE")</f>
        <v/>
      </c>
      <c r="IV7" s="152">
        <f>IF($FI7&lt;17,"Abre no nível 17",VLOOKUP($FI7,$CL$2:$CO$4,2,TRUE)&amp;" fixos · "&amp;VLOOKUP($FI7,$CL$2:$CO$4,3,TRUE)&amp;" pontos")</f>
        <v/>
      </c>
      <c r="IW7" s="152">
        <f>IF($FF7="Sem Barreiras",7,6)*$FJ7&amp;" PE"</f>
        <v/>
      </c>
      <c r="IX7" s="152">
        <f>"Acerto "&amp;$FJ7&amp;"d8"</f>
        <v/>
      </c>
      <c r="IY7" s="152">
        <f>IFERROR(VLOOKUP($FF7,$CQ$2:$CS$4,3,FALSE),"Escolha o degrau")</f>
        <v/>
      </c>
      <c r="IZ7" s="152">
        <f>6&amp;" · "&amp;IF($FG7=0,"vazia",$DA7&amp;" · nv "&amp;$FI7&amp;" · "&amp;$GB7&amp;"/"&amp;$FZ7)</f>
        <v/>
      </c>
      <c r="JB7" s="150" t="inlineStr">
        <is>
          <t>Invocação 6</t>
        </is>
      </c>
      <c r="JC7" s="152">
        <f>ADDRESS(ROW('INVOCAÇÕES'!D26),COLUMN('INVOCAÇÕES'!D26),4)</f>
        <v/>
      </c>
      <c r="JD7" s="152">
        <f>ADDRESS(ROW('INVOCAÇÕES'!H999),COLUMN('INVOCAÇÕES'!H999),4)</f>
        <v/>
      </c>
      <c r="JE7" s="150" t="inlineStr">
        <is>
          <t>DADOS_INVOC!$IZ$7</t>
        </is>
      </c>
      <c r="JG7" s="152">
        <f>IF(OR($AW7="",COUNTIF($EF$2:$EJ$2,$AW7)&gt;0),$AV7,"")</f>
        <v/>
      </c>
      <c r="JH7" s="152">
        <f>IF(AND($AX7=1,OR($AW7="",COUNTIF($EF$2:$EJ$2,$AW7)&gt;0)),$AV7,"")</f>
        <v/>
      </c>
      <c r="JJ7" s="152">
        <f>IF(OR($W7="",COUNTIF($EF$2:$EJ$2,$W7)&gt;0),$V7,"")</f>
        <v/>
      </c>
      <c r="JK7" s="152">
        <f>IF(AND($AF7=1,OR($W7="",COUNTIF($EF$2:$EJ$2,$W7)&gt;0)),$V7,"")</f>
        <v/>
      </c>
      <c r="JM7" s="152">
        <f>IF(OR($AW7="",COUNTIF($EF$3:$EJ$3,$AW7)&gt;0),$AV7,"")</f>
        <v/>
      </c>
      <c r="JN7" s="152">
        <f>IF(AND($AX7=1,OR($AW7="",COUNTIF($EF$3:$EJ$3,$AW7)&gt;0)),$AV7,"")</f>
        <v/>
      </c>
      <c r="JP7" s="152">
        <f>IF(OR($W7="",COUNTIF($EF$3:$EJ$3,$W7)&gt;0),$V7,"")</f>
        <v/>
      </c>
      <c r="JQ7" s="152">
        <f>IF(AND($AF7=1,OR($W7="",COUNTIF($EF$3:$EJ$3,$W7)&gt;0)),$V7,"")</f>
        <v/>
      </c>
      <c r="JS7" s="152">
        <f>IF(OR($AW7="",COUNTIF($EF$4:$EJ$4,$AW7)&gt;0),$AV7,"")</f>
        <v/>
      </c>
      <c r="JT7" s="152">
        <f>IF(AND($AX7=1,OR($AW7="",COUNTIF($EF$4:$EJ$4,$AW7)&gt;0)),$AV7,"")</f>
        <v/>
      </c>
      <c r="JV7" s="152">
        <f>IF(OR($W7="",COUNTIF($EF$4:$EJ$4,$W7)&gt;0),$V7,"")</f>
        <v/>
      </c>
      <c r="JW7" s="152">
        <f>IF(AND($AF7=1,OR($W7="",COUNTIF($EF$4:$EJ$4,$W7)&gt;0)),$V7,"")</f>
        <v/>
      </c>
      <c r="JY7" s="152">
        <f>IF(OR($AW7="",COUNTIF($EF$5:$EJ$5,$AW7)&gt;0),$AV7,"")</f>
        <v/>
      </c>
      <c r="JZ7" s="152">
        <f>IF(AND($AX7=1,OR($AW7="",COUNTIF($EF$5:$EJ$5,$AW7)&gt;0)),$AV7,"")</f>
        <v/>
      </c>
      <c r="KB7" s="152">
        <f>IF(OR($W7="",COUNTIF($EF$5:$EJ$5,$W7)&gt;0),$V7,"")</f>
        <v/>
      </c>
      <c r="KC7" s="152">
        <f>IF(AND($AF7=1,OR($W7="",COUNTIF($EF$5:$EJ$5,$W7)&gt;0)),$V7,"")</f>
        <v/>
      </c>
      <c r="KE7" s="152">
        <f>IF(OR($AW7="",COUNTIF($EF$6:$EJ$6,$AW7)&gt;0),$AV7,"")</f>
        <v/>
      </c>
      <c r="KF7" s="152">
        <f>IF(AND($AX7=1,OR($AW7="",COUNTIF($EF$6:$EJ$6,$AW7)&gt;0)),$AV7,"")</f>
        <v/>
      </c>
      <c r="KH7" s="152">
        <f>IF(OR($W7="",COUNTIF($EF$6:$EJ$6,$W7)&gt;0),$V7,"")</f>
        <v/>
      </c>
      <c r="KI7" s="152">
        <f>IF(AND($AF7=1,OR($W7="",COUNTIF($EF$6:$EJ$6,$W7)&gt;0)),$V7,"")</f>
        <v/>
      </c>
      <c r="KK7" s="152">
        <f>IF(OR($AW7="",COUNTIF($EF$7:$EJ$7,$AW7)&gt;0),$AV7,"")</f>
        <v/>
      </c>
      <c r="KL7" s="152">
        <f>IF(AND($AX7=1,OR($AW7="",COUNTIF($EF$7:$EJ$7,$AW7)&gt;0)),$AV7,"")</f>
        <v/>
      </c>
      <c r="KN7" s="152">
        <f>IF(OR($W7="",COUNTIF($EF$7:$EJ$7,$W7)&gt;0),$V7,"")</f>
        <v/>
      </c>
      <c r="KO7" s="152">
        <f>IF(AND($AF7=1,OR($W7="",COUNTIF($EF$7:$EJ$7,$W7)&gt;0)),$V7,"")</f>
        <v/>
      </c>
      <c r="KQ7" s="152">
        <f>IF(OR($AW7="",COUNTIF($EF$8:$EJ$8,$AW7)&gt;0),$AV7,"")</f>
        <v/>
      </c>
      <c r="KR7" s="152">
        <f>IF(AND($AX7=1,OR($AW7="",COUNTIF($EF$8:$EJ$8,$AW7)&gt;0)),$AV7,"")</f>
        <v/>
      </c>
      <c r="KT7" s="152">
        <f>IF(OR($W7="",COUNTIF($EF$8:$EJ$8,$W7)&gt;0),$V7,"")</f>
        <v/>
      </c>
      <c r="KU7" s="152">
        <f>IF(AND($AF7=1,OR($W7="",COUNTIF($EF$8:$EJ$8,$W7)&gt;0)),$V7,"")</f>
        <v/>
      </c>
      <c r="KW7" s="152">
        <f>IF(OR($AW7="",COUNTIF($EF$9:$EJ$9,$AW7)&gt;0),$AV7,"")</f>
        <v/>
      </c>
      <c r="KX7" s="152">
        <f>IF(AND($AX7=1,OR($AW7="",COUNTIF($EF$9:$EJ$9,$AW7)&gt;0)),$AV7,"")</f>
        <v/>
      </c>
      <c r="KZ7" s="152">
        <f>IF(OR($W7="",COUNTIF($EF$9:$EJ$9,$W7)&gt;0),$V7,"")</f>
        <v/>
      </c>
      <c r="LA7" s="152">
        <f>IF(AND($AF7=1,OR($W7="",COUNTIF($EF$9:$EJ$9,$W7)&gt;0)),$V7,"")</f>
        <v/>
      </c>
      <c r="LC7" s="152">
        <f>IF(OR($AW7="",COUNTIF($EF$10:$EJ$10,$AW7)&gt;0),$AV7,"")</f>
        <v/>
      </c>
      <c r="LD7" s="152">
        <f>IF(AND($AX7=1,OR($AW7="",COUNTIF($EF$10:$EJ$10,$AW7)&gt;0)),$AV7,"")</f>
        <v/>
      </c>
      <c r="LF7" s="152">
        <f>IF(OR($W7="",COUNTIF($EF$10:$EJ$10,$W7)&gt;0),$V7,"")</f>
        <v/>
      </c>
      <c r="LG7" s="152">
        <f>IF(AND($AF7=1,OR($W7="",COUNTIF($EF$10:$EJ$10,$W7)&gt;0)),$V7,"")</f>
        <v/>
      </c>
      <c r="LI7" s="152">
        <f>IF(OR($AW7="",COUNTIF($EF$11:$EJ$11,$AW7)&gt;0),$AV7,"")</f>
        <v/>
      </c>
      <c r="LJ7" s="152">
        <f>IF(AND($AX7=1,OR($AW7="",COUNTIF($EF$11:$EJ$11,$AW7)&gt;0)),$AV7,"")</f>
        <v/>
      </c>
      <c r="LL7" s="152">
        <f>IF(OR($W7="",COUNTIF($EF$11:$EJ$11,$W7)&gt;0),$V7,"")</f>
        <v/>
      </c>
      <c r="LM7" s="152">
        <f>IF(AND($AF7=1,OR($W7="",COUNTIF($EF$11:$EJ$11,$W7)&gt;0)),$V7,"")</f>
        <v/>
      </c>
      <c r="LO7" s="152">
        <f>IF(OR($AW7="",COUNTIF($EF$12:$EJ$12,$AW7)&gt;0),$AV7,"")</f>
        <v/>
      </c>
      <c r="LP7" s="152">
        <f>IF(AND($AX7=1,OR($AW7="",COUNTIF($EF$12:$EJ$12,$AW7)&gt;0)),$AV7,"")</f>
        <v/>
      </c>
      <c r="LR7" s="152">
        <f>IF(OR($W7="",COUNTIF($EF$12:$EJ$12,$W7)&gt;0),$V7,"")</f>
        <v/>
      </c>
      <c r="LS7" s="152">
        <f>IF(AND($AF7=1,OR($W7="",COUNTIF($EF$12:$EJ$12,$W7)&gt;0)),$V7,"")</f>
        <v/>
      </c>
      <c r="LU7" s="152">
        <f>IF(OR($AW7="",COUNTIF($EF$13:$EJ$13,$AW7)&gt;0),$AV7,"")</f>
        <v/>
      </c>
      <c r="LV7" s="152">
        <f>IF(AND($AX7=1,OR($AW7="",COUNTIF($EF$13:$EJ$13,$AW7)&gt;0)),$AV7,"")</f>
        <v/>
      </c>
      <c r="LX7" s="152">
        <f>IF(OR($W7="",COUNTIF($EF$13:$EJ$13,$W7)&gt;0),$V7,"")</f>
        <v/>
      </c>
      <c r="LY7" s="152">
        <f>IF(AND($AF7=1,OR($W7="",COUNTIF($EF$13:$EJ$13,$W7)&gt;0)),$V7,"")</f>
        <v/>
      </c>
      <c r="MA7" s="150" t="inlineStr">
        <is>
          <t>Ficha 1 · Especial 4</t>
        </is>
      </c>
      <c r="MB7" s="152" t="n">
        <v>1</v>
      </c>
      <c r="MC7" s="152" t="n">
        <v>1</v>
      </c>
      <c r="MD7" s="152" t="n">
        <v>12</v>
      </c>
      <c r="ME7" s="150" t="inlineStr">
        <is>
          <t>ESPECIAL 4</t>
        </is>
      </c>
      <c r="MF7" s="152">
        <f>MAX(1,MIN(7,N('INVOCAÇÕES'!$U$92)))</f>
        <v/>
      </c>
      <c r="MG7" s="152">
        <f>'INVOCAÇÕES'!$V$92&amp;""</f>
        <v/>
      </c>
      <c r="MH7" s="152">
        <f>'INVOCAÇÕES'!$U$97&amp;""</f>
        <v/>
      </c>
      <c r="MI7" s="152">
        <f>'INVOCAÇÕES'!$U$98&amp;""</f>
        <v/>
      </c>
      <c r="MJ7" s="152">
        <f>'INVOCAÇÕES'!$W$98&amp;""</f>
        <v/>
      </c>
      <c r="MK7" s="152">
        <f>'INVOCAÇÕES'!$V$101&amp;""</f>
        <v/>
      </c>
      <c r="ML7" s="152">
        <f>'INVOCAÇÕES'!$V$102&amp;""</f>
        <v/>
      </c>
      <c r="MM7" s="152">
        <f>'INVOCAÇÕES'!$V$103&amp;""</f>
        <v/>
      </c>
      <c r="MN7" s="152">
        <f>'INVOCAÇÕES'!$V$104&amp;""</f>
        <v/>
      </c>
      <c r="MO7" s="152">
        <f>'INVOCAÇÕES'!$V$105&amp;""</f>
        <v/>
      </c>
      <c r="MP7" s="152">
        <f>'INVOCAÇÕES'!$V$106&amp;""</f>
        <v/>
      </c>
      <c r="MQ7" s="152">
        <f>IF($MG7&lt;&gt;"",1,0)</f>
        <v/>
      </c>
      <c r="MR7" s="152">
        <f>INDEX($FI$2:$FI$13,$MB7)</f>
        <v/>
      </c>
      <c r="MS7" s="152">
        <f>INDEX($FJ$2:$FJ$13,$MB7)</f>
        <v/>
      </c>
      <c r="MT7" s="152">
        <f>INDEX($FK$2:$FK$13,$MB7)</f>
        <v/>
      </c>
      <c r="MU7" s="152">
        <f>INDEX($FV$2:$FV$13,$MB7)</f>
        <v/>
      </c>
      <c r="MV7" s="152">
        <f>INDEX($FW$2:$FW$13,$MB7)</f>
        <v/>
      </c>
      <c r="MW7" s="152">
        <f>IFERROR(MATCH($MH7,$V$2:$V$11,0),0)</f>
        <v/>
      </c>
      <c r="MX7" s="152">
        <f>IFERROR(VLOOKUP($MK7,$AV$2:$BA$84,2,FALSE),"")</f>
        <v/>
      </c>
      <c r="MY7" s="152">
        <f>IFERROR(VLOOKUP($ML7,$AV$2:$BA$84,2,FALSE),"")</f>
        <v/>
      </c>
      <c r="MZ7" s="152">
        <f>IFERROR(VLOOKUP($MM7,$AV$2:$BA$84,2,FALSE),"")</f>
        <v/>
      </c>
      <c r="NA7" s="152">
        <f>IFERROR(VLOOKUP($MN7,$AV$2:$BA$84,2,FALSE),"")</f>
        <v/>
      </c>
      <c r="NB7" s="152">
        <f>IFERROR(VLOOKUP($MK7,$AV$2:$BA$84,3,FALSE),0)</f>
        <v/>
      </c>
      <c r="NC7" s="152">
        <f>IFERROR(VLOOKUP($ML7,$AV$2:$BA$84,3,FALSE),0)</f>
        <v/>
      </c>
      <c r="ND7" s="152">
        <f>IFERROR(VLOOKUP($MM7,$AV$2:$BA$84,3,FALSE),0)</f>
        <v/>
      </c>
      <c r="NE7" s="152">
        <f>IFERROR(VLOOKUP($MN7,$AV$2:$BA$84,3,FALSE),0)</f>
        <v/>
      </c>
      <c r="NF7" s="152">
        <f>IF($MF7=0,0,IF($MW7=0,0,INDEX($X$2:$X$11,$MW7)))</f>
        <v/>
      </c>
      <c r="NG7" s="152">
        <f>IF(OR($NB7=0,$MF7=0),0,$NB7+3*IF(AND($MX7&lt;&gt;"",OR($MX7=INDEX($EF$2:$EF$13,$MB7),$MX7=INDEX($EG$2:$EG$13,$MB7))),1,0))</f>
        <v/>
      </c>
      <c r="NH7" s="152">
        <f>IF(OR($NC7=0,$MF7=0),0,$NC7+3*IF(AND($MY7&lt;&gt;"",OR($MY7=INDEX($EF$2:$EF$13,$MB7),$MY7=INDEX($EG$2:$EG$13,$MB7))),1,0))</f>
        <v/>
      </c>
      <c r="NI7" s="152">
        <f>IF(OR($ND7=0,$MF7=0),0,$ND7+3*IF(AND($MZ7&lt;&gt;"",OR($MZ7=INDEX($EF$2:$EF$13,$MB7),$MZ7=INDEX($EG$2:$EG$13,$MB7))),1,0))</f>
        <v/>
      </c>
      <c r="NJ7" s="152">
        <f>IF(OR($NE7=0,$MF7=0),0,$NE7+3*IF(AND($NA7&lt;&gt;"",OR($NA7=INDEX($EF$2:$EF$13,$MB7),$NA7=INDEX($EG$2:$EG$13,$MB7))),1,0))</f>
        <v/>
      </c>
      <c r="NK7" s="152">
        <f>IF($MW7=0,0,IF(INDEX($W$2:$W$11,$MW7)="",0,IF(COUNTIF(INDEX($EF$2:$EJ$13,$MB7,0),INDEX($W$2:$W$11,$MW7))=0,1,0)))</f>
        <v/>
      </c>
      <c r="NL7" s="152">
        <f>IF(OR($NB7=0,$MX7=""),0,IF(COUNTIF(INDEX($EF$2:$EJ$13,$MB7,0),$MX7)=0,1,0))</f>
        <v/>
      </c>
      <c r="NM7" s="152">
        <f>IF(OR($NC7=0,$MY7=""),0,IF(COUNTIF(INDEX($EF$2:$EJ$13,$MB7,0),$MY7)=0,1,0))</f>
        <v/>
      </c>
      <c r="NN7" s="152">
        <f>IF(OR($ND7=0,$MZ7=""),0,IF(COUNTIF(INDEX($EF$2:$EJ$13,$MB7,0),$MZ7)=0,1,0))</f>
        <v/>
      </c>
      <c r="NO7" s="152">
        <f>IF(OR($NE7=0,$NA7=""),0,IF(COUNTIF(INDEX($EF$2:$EJ$13,$MB7,0),$NA7)=0,1,0))</f>
        <v/>
      </c>
      <c r="NP7" s="152">
        <f>IFERROR(VLOOKUP($MK7,$AV$2:$BA$84,4,FALSE),0)+IFERROR(VLOOKUP($ML7,$AV$2:$BA$84,4,FALSE),0)+IFERROR(VLOOKUP($MM7,$AV$2:$BA$84,4,FALSE),0)+IFERROR(VLOOKUP($MN7,$AV$2:$BA$84,4,FALSE),0)</f>
        <v/>
      </c>
      <c r="NQ7" s="152">
        <f>IFERROR(VLOOKUP($MK7,$AV$2:$BA$84,6,FALSE),0)+IFERROR(VLOOKUP($ML7,$AV$2:$BA$84,6,FALSE),0)+IFERROR(VLOOKUP($MM7,$AV$2:$BA$84,6,FALSE),0)+IFERROR(VLOOKUP($MN7,$AV$2:$BA$84,6,FALSE),0)</f>
        <v/>
      </c>
      <c r="NR7" s="152">
        <f>TEXTJOIN(", ",TRUE,IF(IFERROR(VLOOKUP($MK7,$AV$2:$BA$84,5,FALSE),0)=1,$MK7,""),IF(IFERROR(VLOOKUP($ML7,$AV$2:$BA$84,5,FALSE),0)=1,$ML7,""),IF(IFERROR(VLOOKUP($MM7,$AV$2:$BA$84,5,FALSE),0)=1,$MM7,""),IF(IFERROR(VLOOKUP($MN7,$AV$2:$BA$84,5,FALSE),0)=1,$MN7,""))</f>
        <v/>
      </c>
      <c r="NS7" s="152">
        <f>IF($MW7=0,0,INDEX($Y$2:$Y$11,$MW7))</f>
        <v/>
      </c>
      <c r="NT7" s="152">
        <f>IF($MW7=0,0,INDEX($Z$2:$Z$11,$MW7))</f>
        <v/>
      </c>
      <c r="NU7" s="152">
        <f>IF($MW7=0,0,INDEX($AB$2:$AB$11,$MW7))</f>
        <v/>
      </c>
      <c r="NV7" s="152">
        <f>IFERROR(VLOOKUP($MO7,$BC$2:$BG$24,3,FALSE),0)</f>
        <v/>
      </c>
      <c r="NW7" s="152">
        <f>IFERROR(VLOOKUP($MP7,$BC$2:$BG$24,3,FALSE),0)</f>
        <v/>
      </c>
      <c r="NX7" s="152">
        <f>IFERROR(VLOOKUP($MO7,$BC$2:$BG$24,2,FALSE),"")</f>
        <v/>
      </c>
      <c r="NY7" s="152">
        <f>IFERROR(VLOOKUP($MP7,$BC$2:$BG$24,2,FALSE),"")</f>
        <v/>
      </c>
      <c r="NZ7" s="152">
        <f>COUNTIF($NF7:$NJ7,1)</f>
        <v/>
      </c>
      <c r="OA7" s="152">
        <f>COUNTIF($NF7:$NJ7,2)</f>
        <v/>
      </c>
      <c r="OB7" s="152">
        <f>COUNTIF($NF7:$NJ7,3)</f>
        <v/>
      </c>
      <c r="OC7" s="152">
        <f>COUNTIF($NF7:$NJ7,4)</f>
        <v/>
      </c>
      <c r="OD7" s="152">
        <f>COUNTIF($NF7:$NJ7,5)</f>
        <v/>
      </c>
      <c r="OE7" s="152">
        <f>COUNTIF($NF7:$NJ7,6)</f>
        <v/>
      </c>
      <c r="OF7" s="152">
        <f>COUNTIF($NV7:$NW7,1)</f>
        <v/>
      </c>
      <c r="OG7" s="152">
        <f>COUNTIF($NV7:$NW7,2)+$NS7</f>
        <v/>
      </c>
      <c r="OH7" s="152">
        <f>COUNTIF($MK7:$MN7,"?*")</f>
        <v/>
      </c>
      <c r="OI7" s="152">
        <f>COUNTIF($MO7:$MP7,"?*")+$NS7</f>
        <v/>
      </c>
      <c r="OJ7" s="152">
        <f>IF($MF7=0,0,SUMPRODUCT($NZ7:$OE7,INDEX($I$2:$N$8,MAX(1,$MF7),0)))</f>
        <v/>
      </c>
      <c r="OK7" s="152">
        <f>IF($MF7=0,0,$OF7*CEILING($MF7/2,1)+$OG7*$MF7)</f>
        <v/>
      </c>
      <c r="OL7" s="152">
        <f>MIN(2*$MF7,$OK7)</f>
        <v/>
      </c>
      <c r="OM7" s="152">
        <f>MIN($OL7,$OJ7)</f>
        <v/>
      </c>
      <c r="ON7" s="152">
        <f>$OL7-$OM7</f>
        <v/>
      </c>
      <c r="OO7" s="152">
        <f>IF($MF7=0,0,INDEX($P$2:$P$8,MAX(1,$MF7)))</f>
        <v/>
      </c>
      <c r="OP7" s="152">
        <f>$OO7-$OJ7+$OM7</f>
        <v/>
      </c>
      <c r="OQ7" s="152">
        <f>IF($MF7=0,MAX(0,$MT7-IF($OH7&gt;0,1,0)),MAX(0,$OP7))</f>
        <v/>
      </c>
      <c r="OR7" s="152">
        <f>IF($MF7=0,0,(IF(COUNTIF($MK7:$MN7,"Salto")&gt;0,1,0)+IF(COUNTIF($MK7:$MN7,"Queima")&gt;0,1,0)+IF(COUNTIF($MK7:$MN7,"Estilhaço")&gt;0,1,0))*FLOOR($OQ7/2,1))</f>
        <v/>
      </c>
      <c r="OS7" s="152">
        <f>MAX(0,2-SUMPRODUCT($NZ7:$OE7,$I$2:$N$2)+MIN(2,$OF7*1+$OG7*1,SUMPRODUCT($NZ7:$OE7,$I$2:$N$2)))</f>
        <v/>
      </c>
      <c r="OT7" s="152">
        <f>MAX(0,4-SUMPRODUCT($NZ7:$OE7,$I$3:$N$3)+MIN(4,$OF7*1+$OG7*2,SUMPRODUCT($NZ7:$OE7,$I$3:$N$3)))</f>
        <v/>
      </c>
      <c r="OU7" s="152">
        <f>MAX(0,6-SUMPRODUCT($NZ7:$OE7,$I$4:$N$4)+MIN(6,$OF7*2+$OG7*3,SUMPRODUCT($NZ7:$OE7,$I$4:$N$4)))</f>
        <v/>
      </c>
      <c r="OV7" s="152">
        <f>MAX(0,9-SUMPRODUCT($NZ7:$OE7,$I$5:$N$5)+MIN(8,$OF7*2+$OG7*4,SUMPRODUCT($NZ7:$OE7,$I$5:$N$5)))</f>
        <v/>
      </c>
      <c r="OW7" s="152">
        <f>MAX(0,11-SUMPRODUCT($NZ7:$OE7,$I$6:$N$6)+MIN(10,$OF7*3+$OG7*5,SUMPRODUCT($NZ7:$OE7,$I$6:$N$6)))</f>
        <v/>
      </c>
      <c r="OX7" s="152">
        <f>MAX(0,13-SUMPRODUCT($NZ7:$OE7,$I$7:$N$7)+MIN(12,$OF7*3+$OG7*6,SUMPRODUCT($NZ7:$OE7,$I$7:$N$7)))</f>
        <v/>
      </c>
      <c r="OY7" s="152">
        <f>MAX(0,16-SUMPRODUCT($NZ7:$OE7,$I$8:$N$8)+MIN(14,$OF7*4+$OG7*7,SUMPRODUCT($NZ7:$OE7,$I$8:$N$8)))</f>
        <v/>
      </c>
      <c r="OZ7" s="152">
        <f>IF($NT7=2,3*$OS7&amp;" de vida temp.",IF($NT7=3,"sem dano",IF($OS7=0,IF($NT7=1,"sem cura","sem dano"),IF($NT7=1,"cura ","")&amp;$OS7&amp;"d8")))</f>
        <v/>
      </c>
      <c r="PA7" s="152">
        <f>IF($NT7=2,3*$OT7&amp;" de vida temp.",IF($NT7=3,"sem dano",IF($OT7=0,IF($NT7=1,"sem cura","sem dano"),IF($NT7=1,"cura ","")&amp;$OT7&amp;"d8")))</f>
        <v/>
      </c>
      <c r="PB7" s="152">
        <f>IF($NT7=2,3*$OU7&amp;" de vida temp.",IF($NT7=3,"sem dano",IF($OU7=0,IF($NT7=1,"sem cura","sem dano"),IF($NT7=1,"cura ","")&amp;$OU7&amp;"d8")))</f>
        <v/>
      </c>
      <c r="PC7" s="152">
        <f>IF($NT7=2,3*$OV7&amp;" de vida temp.",IF($NT7=3,"sem dano",IF($OV7=0,IF($NT7=1,"sem cura","sem dano"),IF($NT7=1,"cura ","")&amp;$OV7&amp;"d8")))</f>
        <v/>
      </c>
      <c r="PD7" s="152">
        <f>IF($NT7=2,3*$OW7&amp;" de vida temp.",IF($NT7=3,"sem dano",IF($OW7=0,IF($NT7=1,"sem cura","sem dano"),IF($NT7=1,"cura ","")&amp;$OW7&amp;"d8")))</f>
        <v/>
      </c>
      <c r="PE7" s="152">
        <f>IF($NT7=2,3*$OX7&amp;" de vida temp.",IF($NT7=3,"sem dano",IF($OX7=0,IF($NT7=1,"sem cura","sem dano"),IF($NT7=1,"cura ","")&amp;$OX7&amp;"d8")))</f>
        <v/>
      </c>
      <c r="PF7" s="152">
        <f>IF($NT7=2,3*$OY7&amp;" de vida temp.",IF($NT7=3,"sem dano",IF($OY7=0,IF($NT7=1,"sem cura","sem dano"),IF($NT7=1,"cura ","")&amp;$OY7&amp;"d8")))</f>
        <v/>
      </c>
      <c r="PG7" s="152">
        <f>IF($MQ7=0,"",TEXTJOIN(" · ",TRUE,IF($MD7&gt;$MR7,"Este lugar abre no nível "&amp;$MD7,""),IF($MF7&gt;$MS7,"Classe "&amp;$MF7&amp;": o nível "&amp;$MR7&amp;" libera até a "&amp;$MS7,""),IF($NK7=1,"A Forma "&amp;$MH7&amp;" pede "&amp;INDEX($W$2:$W$11,$MW7)&amp;" aberta",""),IF(AND($MF7=0,$MW7&gt;0,IF($MW7=0,0,INDEX($AF$2:$AF$11,$MW7))=0),$MH7&amp;" não existe na Classe 0",""),IF($NL7=1,"Família Fechada: "&amp;$MK7,""),IF($NM7=1,"Família Fechada: "&amp;$ML7,""),IF($NN7=1,"Família Fechada: "&amp;$MM7,""),IF($NO7=1,"Família Fechada: "&amp;$MN7,""),IF(AND($MF7&gt;0,$OH7&gt;INDEX($O$2:$O$8,MAX(1,$MF7))),$OH7&amp;" Melhorias: a Classe "&amp;$MF7&amp;" aceita "&amp;INDEX($O$2:$O$8,MAX(1,$MF7)),""),IF(AND($MF7=0,$OH7&gt;1),"A básica aceita uma Melhoria",""),IF(AND($MF7=0,COUNTIF($NB7:$NE7,"&gt;1")&gt;0),"A básica só aceita Melhoria Leve",""),IF(AND($MF7&gt;0,$OI7&gt;2),$OI7&amp;" Restrições"&amp;IF($NS7=1,", contando a que a Forma "&amp;$MH7&amp;" já traz","")&amp;": o limite é 2",""),IF(AND($MF7=0,COUNTIF($MO7:$MP7,"?*")&gt;1),"A básica aceita uma Restrição Leve",""),IF(AND($MF7=0,COUNTIF($NV7:$NW7,2)&gt;0),"A básica só aceita Restrição Leve",""),IF(AND($MF7&gt;0,$OP7&lt;0),"Orçamento estourado: faltam "&amp;(-$OP7)&amp;IF($OP7&lt;-1," pontos"," ponto"),""),IF(IFERROR(VLOOKUP($MO7,$BC$2:$BG$24,4,FALSE),0)+IFERROR(VLOOKUP($MP7,$BC$2:$BG$24,4,FALSE),0)&gt;1,$NX7&amp;" e "&amp;$NY7&amp;" são as duas de frequência",""),IF(AND((COUNTIF($MK7:$MN7,"Rápido")+COUNTIF($NX7:$NY7,"Rápido"))&gt;0,(COUNTIF($MK7:$MN7,"Atrasar")+COUNTIF($NX7:$NY7,"Atrasar"))&gt;0),"Rápido não entra com Atrasar",""),IF(AND((COUNTIF($MK7:$MN7,"Reação")+COUNTIF($NX7:$NY7,"Reação"))&gt;0,(COUNTIF($MK7:$MN7,"Rápido")+COUNTIF($NX7:$NY7,"Rápido"))&gt;0),"Reação não entra com Rápido",""),IF(AND((COUNTIF($MK7:$MN7,"Reação")+COUNTIF($NX7:$NY7,"Reação"))&gt;0,(COUNTIF($MK7:$MN7,"Armado")+COUNTIF($NX7:$NY7,"Armado"))&gt;0),"Reação não entra com Armado",""),IF(AND((COUNTIF($MK7:$MN7,"Reação")+COUNTIF($NX7:$NY7,"Reação"))&gt;0,(COUNTIF($MK7:$MN7,"Atrasar")+COUNTIF($NX7:$NY7,"Atrasar"))&gt;0),"Reação não entra com Atrasar",""),IF(AND((COUNTIF($MK7:$MN7,"Reação")+COUNTIF($NX7:$NY7,"Reação"))&gt;0,(COUNTIF($MK7:$MN7,"Parado")+COUNTIF($NX7:$NY7,"Parado"))&gt;0),"Reação não entra com Parado",""),IF(AND((COUNTIF($MK7:$MN7,"Atrasar")+COUNTIF($NX7:$NY7,"Atrasar"))&gt;0,(COUNTIF($MK7:$MN7,"Parado")+COUNTIF($NX7:$NY7,"Parado"))&gt;0),"Atrasar não entra com Parado",""),IF(AND((COUNTIF($MK7:$MN7,"Armado")+COUNTIF($NX7:$NY7,"Armado"))&gt;0,(COUNTIF($MK7:$MN7,"Carregar")+COUNTIF($NX7:$NY7,"Carregar"))&gt;0),"Armado não entra com Carregar",""),IF(AND(COUNTIF($NX7:$NY7,"Corpo a Corpo")&gt;0,$NS7=0,OR($MH7="Cone",$MH7="Linha")),"Corpo a Corpo não entra em "&amp;$MH7,""),IF(AND(COUNTIF($NX7:$NY7,"Corpo a Corpo")&gt;0,$NS7=1),"A Forma "&amp;$MH7&amp;" já traz o Corpo a Corpo",""),IF(AND(COUNTIF($NX7:$NY7,"Tudo ou Nada")&gt;0,$NU7=0),"Tudo ou Nada só entra em habilidade de Teste de Resistência",""),IF(AND(COUNTIF($MK7:$MN7,"Inescapável")&gt;0,OR($OH7&gt;1,$OI7&gt;0)),"Inescapável não aceita outra peça",""),IF(AND($MF7&gt;0,$OQ7*IF(COUNTIF($MK7:$MN7,"Remate")&gt;0,1.25,1)+$OR7&gt;4*$MF7),($OQ7*IF(COUNTIF($MK7:$MN7,"Remate")&gt;0,1.25,1)+$OR7)&amp;" dados somando repetições"&amp;IF(COUNTIF($MK7:$MN7,"Remate")&gt;0," e o Remate","")&amp;": o teto da Classe "&amp;$MF7&amp;" é "&amp;4*$MF7,"")))</f>
        <v/>
      </c>
      <c r="PH7" s="152">
        <f>IF($PG7="",0,(LEN($PG7)-LEN(SUBSTITUTE($PG7," · ","")))/3+1)</f>
        <v/>
      </c>
      <c r="PI7" s="152">
        <f>IF($MQ7=0,"",TEXTJOIN(" · ",TRUE,IF($OK7&gt;2*$MF7,"A devolução parou no teto de "&amp;2*$MF7,""),IF($ON7&gt;0,"Devolução perdida: "&amp;$ON7&amp;IF($ON7&gt;1," pontos"," ponto")&amp;" sem peça para pagar",""),IF(AND($NP7&gt;0,AND($MF7&gt;0,$NT7=0),$OQ7=0),"Controle sem dano: uma rodada a mais e CD +2",""),IF(AND($NP7&gt;0,AND($MF7&gt;0,$NT7=0),$OQ7&gt;0,$OQ7&lt;=$MF7),"Controle com saldo até a Classe: uma rodada a mais",""),IF(AND($MF7&gt;0,$NR7&lt;&gt;""),"Efeito de "&amp;$NR7&amp;" pela Classe "&amp;MAX(1,$MF7-1),"")))</f>
        <v/>
      </c>
      <c r="PJ7" s="152">
        <f>IF($PI7="",0,(LEN($PI7)-LEN(SUBSTITUTE($PI7," · ","")))/3+1)</f>
        <v/>
      </c>
      <c r="PK7" s="152">
        <f>IF($MQ7=0,IF($OH7+COUNTIF($MO7:$MP7,"?*")&gt;0,"Dê um nome",""),IF($PH7&gt;0,"⚠ "&amp;$PH7&amp;IF($PH7&gt;1," erros"," erro"),IF($PJ7&gt;0,"! "&amp;$PJ7&amp;IF($PJ7&gt;1," avisos"," aviso"),"Na regra")))</f>
        <v/>
      </c>
      <c r="PL7" s="152">
        <f>IF($MQ7=0,"",IF($PH7+$PJ7=0,"Dentro das regras que a ficha confere",$PG7&amp;IF(AND($PH7&gt;0,$PJ7&gt;0)," · ","")&amp;$PI7))</f>
        <v/>
      </c>
      <c r="PM7" s="152">
        <f>IF($MD7&gt;$MR7,$ME7&amp;" · ABRE NO NÍVEL "&amp;$MD7,$ME7)</f>
        <v/>
      </c>
      <c r="PN7" s="152">
        <f>IF($MQ7=0,"",IF($MF7=0,"Sem PE",3*$MF7&amp;" PE"))</f>
        <v/>
      </c>
      <c r="PO7" s="152">
        <f>IF($MQ7=0,"",IF($MF7=0,"A atuação básica dela",IF(COUNTIF($NX7:$NY7,"Atrasar")&gt;0,"Sua Ação Completa",IF(COUNTIF($MK7:$MN7,"Rápido")&gt;0,"Sua Bônus",IF(COUNTIF($MK7:$MN7,"Reação")&gt;0,"Sua Reação","Sua Padrão")))&amp;" + a básica dela"&amp;IF(COUNTIF($MK7:$MN7,"Reação")&gt;0," e a coletiva","")&amp;IF(COUNTIF($NX7:$NY7,"Carregar")&gt;0," · em dois turnos","")))</f>
        <v/>
      </c>
      <c r="PP7" s="152">
        <f>IF($MJ7&lt;&gt;"",$MJ7,IF($MW7=0,"",INDEX($AA$2:$AA$11,$MW7)))</f>
        <v/>
      </c>
      <c r="PQ7" s="152">
        <f>IF(OR($MQ7=0,$MW7=0),"",IF(COUNTIF($MK7:$MN7,"Inescapável")&gt;0,"Automático",IF($PP7="Ataque",IF($MU7="","Ataque","Ataque "&amp;IF(($MU7+2*IF(COUNTIF($MK7:$MN7,"Precisão")&gt;0,1,0))&gt;=0,"+","−")&amp;ABS(($MU7+2*IF(COUNTIF($MK7:$MN7,"Precisão")&gt;0,1,0))))&amp;IF($NQ7&gt;0," · TR"&amp;IF($MV7="",""," CD "&amp;$MV7),""),IF(LEFT($PP7,2)="TR",$PP7&amp;IF($MV7="",""," · CD "&amp;$MV7)&amp;IF(COUNTIF($MK7:$MN7,"Certeiro")&gt;0," · metade",""),"Sem rolagem"))))</f>
        <v/>
      </c>
      <c r="PR7" s="152">
        <f>IF(OR($MQ7=0,$MW7=0),"",IF($MF7=0,IF(OR($NT7&gt;=1,$OQ7=0),"Sem dano",$OQ7&amp;"d6"&amp;IF($MI7="",""," "&amp;$MI7)),IF(OR($NT7&gt;=1,$OQ7=0),UPPER(LEFT(INDEX($OZ7:$PF7,1,MAX(1,$MF7)),1))&amp;MID(INDEX($OZ7:$PF7,1,MAX(1,$MF7)),2,99),UPPER(LEFT(INDEX($OZ7:$PF7,1,MAX(1,$MF7)),1))&amp;MID(INDEX($OZ7:$PF7,1,MAX(1,$MF7)),2,99)&amp;IF($MI7="",""," "&amp;$MI7)&amp;IF($OR7&gt;0," · +"&amp;$OR7&amp;"d8",""))))</f>
        <v/>
      </c>
      <c r="PS7" s="152">
        <f>COUNTIF($MK7:$MN7,"Longe")+3*COUNTIF($MK7:$MN7,"Muito Longe")</f>
        <v/>
      </c>
      <c r="PT7" s="152">
        <f>COUNTIF($MK7:$MN7,"Maior")+3*COUNTIF($MK7:$MN7,"Muito Maior")</f>
        <v/>
      </c>
      <c r="PU7" s="152">
        <f>IF($MW7=0,0,CHOOSE(1+INDEX($AC$2:$AC$11,$MW7),0,$PS7,$PT7,$PS7+$PT7))</f>
        <v/>
      </c>
      <c r="PV7" s="152">
        <f>IF($MW7=0,0,CHOOSE(1+INDEX($AD$2:$AD$11,$MW7),0,$PS7,$PT7,$PS7+$PT7))</f>
        <v/>
      </c>
      <c r="PW7" s="152">
        <f>IF(OR($MQ7=0,$MW7=0),"",INDEX($AI$2:$AN$41,($MW7-1)*4+IF($MF7=0,1,IF($MF7&lt;=5,2,IF($MF7=6,3,4))),1+MIN(5,$PU7))&amp;INDEX($AO$2:$AT$41,($MW7-1)*4+IF($MF7=0,1,IF($MF7&lt;=5,2,IF($MF7=6,3,4))),1+MIN(5,$PV7))&amp;IF(INDEX($AE$2:$AE$11,$MW7)=1,IF(COUNTIF($MK7:$MN7,"Mais Um")&gt;0," · +"&amp;COUNTIF($MK7:$MN7,"Mais Um")&amp;IF(COUNTIF($MK7:$MN7,"Mais Um")&gt;1," alvos"," alvo"),"")&amp;IF(COUNTIF($MK7:$MN7,"Rajada")&gt;0,IF($MF7=0," · 1 tiro"," · "&amp;(MAX(1,$MF7-1)+1)&amp;" tiros"),""),""))</f>
        <v/>
      </c>
      <c r="PX7" s="152">
        <f>IF($MQ7=0,"",IF($MF7=0,$MT7&amp;"d6"&amp;IF($OH7&gt;0," − 1 = "&amp;$OQ7&amp;"d6"," da básica do nível "&amp;$MR7),$OO7&amp;" − "&amp;$OJ7&amp;" + "&amp;$OM7&amp;" = "&amp;$OP7&amp;" · teto "&amp;4*$MF7&amp;"d8"&amp;IF($NS7=1," · a Forma devolve "&amp;$MF7,"")&amp;IF($ON7&gt;0," · perde "&amp;$ON7,"")))</f>
        <v/>
      </c>
      <c r="PY7" s="152">
        <f>IF($MQ7=0,"",IF($MF7=0,"A básica não amplia: os dados dela sobem com o nível",IF($MF7&gt;=$MS7,"Já está na maior Classe que o nível liberou",TEXTJOIN(" · ",TRUE,IF(AND(2&gt;$MF7,2&lt;=$MS7),"2 → "&amp;$PA7&amp;", 6 PE",""),IF(AND(3&gt;$MF7,3&lt;=$MS7),"3 → "&amp;$PB7&amp;", 9 PE",""),IF(AND(4&gt;$MF7,4&lt;=$MS7),"4 → "&amp;$PC7&amp;", 12 PE",""),IF(AND(5&gt;$MF7,5&lt;=$MS7),"5 → "&amp;$PD7&amp;", 15 PE",""),IF(AND(6&gt;$MF7,6&lt;=$MS7),"6 → "&amp;$PE7&amp;", 18 PE",""),IF(AND(7&gt;$MF7,7&lt;=$MS7),"7 → "&amp;$PF7&amp;", 21 PE","")))))</f>
        <v/>
      </c>
      <c r="PZ7" s="152">
        <f>IF(OR($MQ7=0,$NB7=0),"",IF($MF7=0,"−1 dado","−"&amp;INDEX($I$2:$N$8,MAX(1,$MF7),MAX(1,$NG7))&amp;" · "&amp;CHOOSE(MAX(1,$NG7),"Leve","Média","Pesada","Leve · Livre","Média · Livre","Pesada · Livre")))</f>
        <v/>
      </c>
      <c r="QA7" s="152">
        <f>IF(OR($MQ7=0,$NC7=0),"",IF($MF7=0,"−1 dado","−"&amp;INDEX($I$2:$N$8,MAX(1,$MF7),MAX(1,$NH7))&amp;" · "&amp;CHOOSE(MAX(1,$NH7),"Leve","Média","Pesada","Leve · Livre","Média · Livre","Pesada · Livre")))</f>
        <v/>
      </c>
      <c r="QB7" s="152">
        <f>IF(OR($MQ7=0,$ND7=0),"",IF($MF7=0,"−1 dado","−"&amp;INDEX($I$2:$N$8,MAX(1,$MF7),MAX(1,$NI7))&amp;" · "&amp;CHOOSE(MAX(1,$NI7),"Leve","Média","Pesada","Leve · Livre","Média · Livre","Pesada · Livre")))</f>
        <v/>
      </c>
      <c r="QC7" s="152">
        <f>IF(OR($MQ7=0,$NE7=0),"",IF($MF7=0,"−1 dado","−"&amp;INDEX($I$2:$N$8,MAX(1,$MF7),MAX(1,$NJ7))&amp;" · "&amp;CHOOSE(MAX(1,$NJ7),"Leve","Média","Pesada","Leve · Livre","Média · Livre","Pesada · Livre")))</f>
        <v/>
      </c>
      <c r="QD7" s="152">
        <f>IF(OR($MQ7=0,$MO7=""),"",IF($MF7=0,"não devolve","+"&amp;IF($NV7=1,CEILING($MF7/2,1),$MF7)))</f>
        <v/>
      </c>
      <c r="QE7" s="152">
        <f>IF(OR($MQ7=0,$MP7=""),"",IF($MF7=0,"não devolve","+"&amp;IF($NW7=1,CEILING($MF7/2,1),$MF7)))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A8" s="152" t="n">
        <v>0</v>
      </c>
      <c r="BC8" s="150" t="inlineStr">
        <is>
          <t>Recuo (Leve)</t>
        </is>
      </c>
      <c r="BD8" s="150" t="inlineStr">
        <is>
          <t>Recuo</t>
        </is>
      </c>
      <c r="BE8" s="152" t="n">
        <v>1</v>
      </c>
      <c r="BF8" s="152" t="n">
        <v>0</v>
      </c>
      <c r="BG8" s="150" t="inlineStr">
        <is>
          <t>Recuo (Leve)</t>
        </is>
      </c>
      <c r="BI8" s="150" t="inlineStr">
        <is>
          <t>Fluxo</t>
        </is>
      </c>
      <c r="BJ8" s="152" t="n">
        <v>2</v>
      </c>
      <c r="BK8" s="150" t="inlineStr">
        <is>
          <t>Ao conjurar um feitiço de Classe 3 ou maior, você recebe 2 × a Classe usada em pontos de vida temporária. Uma conjuração concede a reserva uma vez, mesmo que alcance vários alvos ou produza vários ataques.</t>
        </is>
      </c>
      <c r="BL8" s="150" t="inlineStr"/>
      <c r="BS8" s="150" t="inlineStr">
        <is>
          <t>Tempo</t>
        </is>
      </c>
      <c r="CA8" s="150" t="inlineStr">
        <is>
          <t>Intuição</t>
        </is>
      </c>
      <c r="CB8" s="150" t="inlineStr">
        <is>
          <t>Inteligência</t>
        </is>
      </c>
      <c r="CF8" s="150" t="inlineStr">
        <is>
          <t>Ácido</t>
        </is>
      </c>
      <c r="CJ8" s="152" t="n">
        <v>6</v>
      </c>
      <c r="CW8" s="150" t="inlineStr">
        <is>
          <t>teto de ativas</t>
        </is>
      </c>
      <c r="CX8" s="152">
        <f>IF($CX$4="Múltiplas Invocações",4,2)</f>
        <v/>
      </c>
      <c r="CZ8" s="152" t="n">
        <v>7</v>
      </c>
      <c r="DA8" s="152">
        <f>'INVOCAÇÕES'!$AB$13&amp;""</f>
        <v/>
      </c>
      <c r="DB8" s="152">
        <f>'INVOCAÇÕES'!$AB$43&amp;""</f>
        <v/>
      </c>
      <c r="DC8" s="152">
        <f>'INVOCAÇÕES'!$AB$47&amp;""</f>
        <v/>
      </c>
      <c r="DD8" s="152">
        <f>N('INVOCAÇÕES'!$AD$47)</f>
        <v/>
      </c>
      <c r="DE8" s="152">
        <f>'INVOCAÇÕES'!$AE$47&amp;""</f>
        <v/>
      </c>
      <c r="DF8" s="152">
        <f>N('INVOCAÇÕES'!$AH$20)</f>
        <v/>
      </c>
      <c r="DG8" s="152">
        <f>N('INVOCAÇÕES'!$AI$20)</f>
        <v/>
      </c>
      <c r="DH8" s="152">
        <f>N('INVOCAÇÕES'!$AJ$20)</f>
        <v/>
      </c>
      <c r="DI8" s="152">
        <f>N('INVOCAÇÕES'!$AK$20)</f>
        <v/>
      </c>
      <c r="DJ8" s="152">
        <f>N('INVOCAÇÕES'!$AL$20)</f>
        <v/>
      </c>
      <c r="DK8" s="152">
        <f>N('INVOCAÇÕES'!$AH$21)</f>
        <v/>
      </c>
      <c r="DL8" s="152">
        <f>N('INVOCAÇÕES'!$AI$21)</f>
        <v/>
      </c>
      <c r="DM8" s="152">
        <f>N('INVOCAÇÕES'!$AJ$21)</f>
        <v/>
      </c>
      <c r="DN8" s="152">
        <f>N('INVOCAÇÕES'!$AK$21)</f>
        <v/>
      </c>
      <c r="DO8" s="152">
        <f>N('INVOCAÇÕES'!$AL$21)</f>
        <v/>
      </c>
      <c r="DP8" s="152">
        <f>'INVOCAÇÕES'!$AH$34&amp;""</f>
        <v/>
      </c>
      <c r="DQ8" s="152">
        <f>'INVOCAÇÕES'!$AK$34&amp;""</f>
        <v/>
      </c>
      <c r="DR8" s="152">
        <f>'INVOCAÇÕES'!$AL$29&amp;""</f>
        <v/>
      </c>
      <c r="DS8" s="152">
        <f>N('INVOCAÇÕES'!$AH$26)</f>
        <v/>
      </c>
      <c r="DT8" s="152">
        <f>N('INVOCAÇÕES'!$AI$26)</f>
        <v/>
      </c>
      <c r="DU8" s="152">
        <f>N('INVOCAÇÕES'!$AJ$26)</f>
        <v/>
      </c>
      <c r="DV8" s="152">
        <f>N('INVOCAÇÕES'!$AK$26)</f>
        <v/>
      </c>
      <c r="DW8" s="152">
        <f>N('INVOCAÇÕES'!$AL$26)</f>
        <v/>
      </c>
      <c r="DX8" s="152">
        <f>N('INVOCAÇÕES'!$AH$31)</f>
        <v/>
      </c>
      <c r="DY8" s="152">
        <f>N('INVOCAÇÕES'!$AI$31)</f>
        <v/>
      </c>
      <c r="DZ8" s="152">
        <f>N('INVOCAÇÕES'!$AJ$31)</f>
        <v/>
      </c>
      <c r="EA8" s="152">
        <f>N('INVOCAÇÕES'!$AK$31)</f>
        <v/>
      </c>
      <c r="EB8" s="152">
        <f>'INVOCAÇÕES'!$AN$13&amp;""</f>
        <v/>
      </c>
      <c r="EC8" s="152">
        <f>N('INVOCAÇÕES'!$AP$13)</f>
        <v/>
      </c>
      <c r="ED8" s="152">
        <f>'INVOCAÇÕES'!$AR$13&amp;""</f>
        <v/>
      </c>
      <c r="EE8" s="152">
        <f>SUM('INVOCAÇÕES'!$AR$33:'INVOCAÇÕES'!$AR$35,'INVOCAÇÕES'!$AR$37:'INVOCAÇÕES'!$AR$42)</f>
        <v/>
      </c>
      <c r="EF8" s="152">
        <f>'INVOCAÇÕES'!$AH$48&amp;""</f>
        <v/>
      </c>
      <c r="EG8" s="152">
        <f>'INVOCAÇÕES'!$AI$48&amp;""</f>
        <v/>
      </c>
      <c r="EH8" s="152">
        <f>'INVOCAÇÕES'!$AJ$48&amp;""</f>
        <v/>
      </c>
      <c r="EI8" s="152">
        <f>'INVOCAÇÕES'!$AK$48&amp;""</f>
        <v/>
      </c>
      <c r="EJ8" s="152">
        <f>'INVOCAÇÕES'!$AL$48&amp;""</f>
        <v/>
      </c>
      <c r="EK8" s="152">
        <f>'INVOCAÇÕES'!$AH$38&amp;""</f>
        <v/>
      </c>
      <c r="EL8" s="152">
        <f>'INVOCAÇÕES'!$AH$39&amp;""</f>
        <v/>
      </c>
      <c r="EM8" s="152">
        <f>'INVOCAÇÕES'!$AH$40&amp;""</f>
        <v/>
      </c>
      <c r="EN8" s="152">
        <f>'INVOCAÇÕES'!$AH$41&amp;""</f>
        <v/>
      </c>
      <c r="EO8" s="152">
        <f>'INVOCAÇÕES'!$AH$42&amp;""</f>
        <v/>
      </c>
      <c r="EP8" s="152">
        <f>'INVOCAÇÕES'!$AH$43&amp;""</f>
        <v/>
      </c>
      <c r="EQ8" s="152">
        <f>'INVOCAÇÕES'!$AH$44&amp;""</f>
        <v/>
      </c>
      <c r="ER8" s="152">
        <f>'INVOCAÇÕES'!$AC$80&amp;""</f>
        <v/>
      </c>
      <c r="ES8" s="152">
        <f>'INVOCAÇÕES'!$AC$81&amp;""</f>
        <v/>
      </c>
      <c r="ET8" s="152">
        <f>'INVOCAÇÕES'!$AC$82&amp;""</f>
        <v/>
      </c>
      <c r="EU8" s="152">
        <f>'INVOCAÇÕES'!$AC$83&amp;""</f>
        <v/>
      </c>
      <c r="EV8" s="152">
        <f>'INVOCAÇÕES'!$AC$84&amp;""</f>
        <v/>
      </c>
      <c r="EW8" s="152">
        <f>'INVOCAÇÕES'!$AC$85&amp;""</f>
        <v/>
      </c>
      <c r="EX8" s="152">
        <f>'INVOCAÇÕES'!$AC$86&amp;""</f>
        <v/>
      </c>
      <c r="EY8" s="152">
        <f>'INVOCAÇÕES'!$AC$87&amp;""</f>
        <v/>
      </c>
      <c r="EZ8" s="152">
        <f>'INVOCAÇÕES'!$AC$182&amp;""</f>
        <v/>
      </c>
      <c r="FA8" s="152">
        <f>'INVOCAÇÕES'!$AC$183&amp;""</f>
        <v/>
      </c>
      <c r="FB8" s="152">
        <f>'INVOCAÇÕES'!$AC$184&amp;""</f>
        <v/>
      </c>
      <c r="FC8" s="152">
        <f>MAX(3,MIN(7,N('INVOCAÇÕES'!$AB$189)))</f>
        <v/>
      </c>
      <c r="FD8" s="152">
        <f>MAX(3,MIN(7,N('INVOCAÇÕES'!$AH$189)))</f>
        <v/>
      </c>
      <c r="FE8" s="152">
        <f>MAX(3,MIN(7,N('INVOCAÇÕES'!$AN$189)))</f>
        <v/>
      </c>
      <c r="FF8" s="152">
        <f>'INVOCAÇÕES'!$AH$203&amp;""</f>
        <v/>
      </c>
      <c r="FG8" s="152">
        <f>IF($DA8&lt;&gt;"",1,0)</f>
        <v/>
      </c>
      <c r="FH8" s="152">
        <f>IFERROR(VLOOKUP($DC8,$BP$2:$BQ$5,2,FALSE),1)</f>
        <v/>
      </c>
      <c r="FI8" s="152">
        <f>IF($FH8=1,$CX$2,MAX(1,MIN($CX$2,IF($DD8=0,$CX$2,$DD8))))</f>
        <v/>
      </c>
      <c r="FJ8" s="152">
        <f>VLOOKUP(MAX(1,$FI8),$A$2:$D$8,2,TRUE)</f>
        <v/>
      </c>
      <c r="FK8" s="152">
        <f>VLOOKUP(MAX(1,$FI8),$A$2:$D$8,3,TRUE)</f>
        <v/>
      </c>
      <c r="FL8" s="152">
        <f>$DF8+$DK8</f>
        <v/>
      </c>
      <c r="FM8" s="152">
        <f>$DG8+$DL8</f>
        <v/>
      </c>
      <c r="FN8" s="152">
        <f>$DH8+$DM8</f>
        <v/>
      </c>
      <c r="FO8" s="152">
        <f>$DI8+$DN8</f>
        <v/>
      </c>
      <c r="FP8" s="152">
        <f>$DJ8+$DO8</f>
        <v/>
      </c>
      <c r="FQ8" s="152">
        <f>SUM($DF8:$DJ8)</f>
        <v/>
      </c>
      <c r="FR8" s="152">
        <f>9+$FS8</f>
        <v/>
      </c>
      <c r="FS8" s="152">
        <f>COUNTIF($F$2:$F$8,"&lt;="&amp;$FI8)</f>
        <v/>
      </c>
      <c r="FT8" s="152">
        <f>MAX(0,$DF8-3)+MAX(0,$DG8-3)+MAX(0,$DH8-3)+MAX(0,$DI8-3)+MAX(0,$DJ8-3)</f>
        <v/>
      </c>
      <c r="FU8" s="152">
        <f>IFERROR(INDEX($FL8:$FP8,1,MATCH($DP8,$BU$2:$BU$6,0)),"")</f>
        <v/>
      </c>
      <c r="FV8" s="152">
        <f>IF($FU8="","",$FU8+$CX$3+$DS8)</f>
        <v/>
      </c>
      <c r="FW8" s="152">
        <f>IF($FU8="","",8+$FU8+$CX$3+$DT8)</f>
        <v/>
      </c>
      <c r="FX8" s="152">
        <f>10+$FM8+$CX$7+$DU8</f>
        <v/>
      </c>
      <c r="FY8" s="152">
        <f>IF($DB8="Corpo amaldiçoado de criação",1,0)</f>
        <v/>
      </c>
      <c r="FZ8" s="152">
        <f>5+$FN8+(3+$FY8+$FN8)*($FI8-1)+$DV8</f>
        <v/>
      </c>
      <c r="GA8" s="152">
        <f>IF($FG8=0,"",$FZ8)</f>
        <v/>
      </c>
      <c r="GB8" s="152">
        <f>IF($EB8="",$FZ8,MAX(0,MIN(IFERROR(VALUE($EB8),$FZ8),$FZ8)))</f>
        <v/>
      </c>
      <c r="GC8" s="152">
        <f>9+$DW8</f>
        <v/>
      </c>
      <c r="GD8" s="152">
        <f>IF($DQ8="Destreza",$FM8,$FL8)</f>
        <v/>
      </c>
      <c r="GE8" s="152">
        <f>$GD8+IF($DR8="Físico",$CX$3,0)+$DX8</f>
        <v/>
      </c>
      <c r="GF8" s="152">
        <f>$FN8+IF($DR8="Vigor",$CX$3,0)+$DY8</f>
        <v/>
      </c>
      <c r="GG8" s="152">
        <f>$FO8+IF($DR8="Intelecto",$CX$3,0)+$DZ8</f>
        <v/>
      </c>
      <c r="GH8" s="152">
        <f>$FP8+IF($DR8="Espírito",$CX$3,0)+$EA8</f>
        <v/>
      </c>
      <c r="GI8" s="152">
        <f>4+INT($DI8/2)</f>
        <v/>
      </c>
      <c r="GJ8" s="152">
        <f>COUNTIF($EK8:$EQ8,"?*")</f>
        <v/>
      </c>
      <c r="GK8" s="152">
        <f>INT((2+$FI8/2)/2)</f>
        <v/>
      </c>
      <c r="GL8" s="152">
        <f>IF($FI8&gt;=11,2,1)</f>
        <v/>
      </c>
      <c r="GM8" s="152">
        <f>1+$FS8</f>
        <v/>
      </c>
      <c r="GN8" s="152">
        <f>COUNTIF($ER8:$EY8,"?*")</f>
        <v/>
      </c>
      <c r="GO8" s="152">
        <f>IF(AND($DB8="Shikigami de criação",$DE8="Com carga"),MAX(1,CEILING($FJ8/2,1)),$FJ8)</f>
        <v/>
      </c>
      <c r="GP8" s="152">
        <f>$FJ8+$GO8</f>
        <v/>
      </c>
      <c r="GQ8" s="152">
        <f>$FI8*(1+INT($DJ8/3))</f>
        <v/>
      </c>
      <c r="GR8" s="152">
        <f>5+$FL8</f>
        <v/>
      </c>
      <c r="GS8" s="152">
        <f>COUNTIF($EF8:$EJ8,"?*")</f>
        <v/>
      </c>
      <c r="GT8" s="152">
        <f>IF($EF8="",0,IF(COUNTIF($EF8:$EJ8,$EF8)&gt;1,1,0))+IF($EG8="",0,IF(COUNTIF($EF8:$EJ8,$EG8)&gt;1,1,0))+IF($EH8="",0,IF(COUNTIF($EF8:$EJ8,$EH8)&gt;1,1,0))+IF($EI8="",0,IF(COUNTIF($EF8:$EJ8,$EI8)&gt;1,1,0))+IF($EJ8="",0,IF(COUNTIF($EF8:$EJ8,$EJ8)&gt;1,1,0))</f>
        <v/>
      </c>
      <c r="GU8" s="152">
        <f>$CX$11</f>
        <v/>
      </c>
      <c r="GV8" s="152">
        <f>IF($FG8=0,"INVOCAÇÃO 7 · lugar vazio",$DA8&amp;" · "&amp;$DB8&amp;" · nível "&amp;$FI8&amp;" · vida "&amp;$GB8&amp;" de "&amp;$FZ8)</f>
        <v/>
      </c>
      <c r="GW8" s="152">
        <f>IF($FG8=0,"VAZIA",UPPER($DA8))</f>
        <v/>
      </c>
      <c r="GX8" s="152">
        <f>IF($CX$3&gt;=0,"+","−")&amp;ABS($CX$3)</f>
        <v/>
      </c>
      <c r="GY8" s="152">
        <f>$GO8&amp;" PE"</f>
        <v/>
      </c>
      <c r="GZ8" s="152">
        <f>$GP8&amp;" PE"</f>
        <v/>
      </c>
      <c r="HA8" s="152">
        <f>IF(OR($FQ8&gt;$FR8,$FT8&gt;$FS8),"⚠ ",IF(AND($FG8=1,$FQ8&lt;$FR8),"! ",""))&amp;"ATRIBUTOS · "&amp;$FQ8&amp;" DE "&amp;$FR8&amp;" PONTOS"&amp;IF($FT8&gt;$FS8," · ACIMA DE 3 SÓ COM MARCO","")</f>
        <v/>
      </c>
      <c r="HB8" s="152">
        <f>IF($FV8="","",IF($FV8&gt;=0,"+","−")&amp;ABS($FV8))</f>
        <v/>
      </c>
      <c r="HC8" s="152">
        <f>IF($FW8="","",$FW8)</f>
        <v/>
      </c>
      <c r="HD8" s="152">
        <f>SUBSTITUTE($GC8&amp;" m",".",",")</f>
        <v/>
      </c>
      <c r="HE8" s="152">
        <f>IF($GE8&gt;=0,"+","−")&amp;ABS($GE8)</f>
        <v/>
      </c>
      <c r="HF8" s="152">
        <f>IF($GF8&gt;=0,"+","−")&amp;ABS($GF8)</f>
        <v/>
      </c>
      <c r="HG8" s="152">
        <f>IF($GG8&gt;=0,"+","−")&amp;ABS($GG8)</f>
        <v/>
      </c>
      <c r="HH8" s="152">
        <f>IF($GH8&gt;=0,"+","−")&amp;ABS($GH8)</f>
        <v/>
      </c>
      <c r="HI8" s="152">
        <f>IF($GJ8&gt;$GI8,"⚠ ","")&amp;"PERÍCIAS · "&amp;$GJ8&amp;" DE "&amp;$GI8</f>
        <v/>
      </c>
      <c r="HJ8" s="152">
        <f>IF($EK8="","",IFERROR(IF((INDEX($FL8:$FP8,1,MATCH(VLOOKUP($EK8,$CA$2:$CB$24,2,FALSE),$BU$2:$BU$6,0))+$CX$3)&gt;=0,"+","−")&amp;ABS((INDEX($FL8:$FP8,1,MATCH(VLOOKUP($EK8,$CA$2:$CB$24,2,FALSE),$BU$2:$BU$6,0))+$CX$3)),""))</f>
        <v/>
      </c>
      <c r="HK8" s="152">
        <f>IF($EL8="","",IFERROR(IF((INDEX($FL8:$FP8,1,MATCH(VLOOKUP($EL8,$CA$2:$CB$24,2,FALSE),$BU$2:$BU$6,0))+$CX$3)&gt;=0,"+","−")&amp;ABS((INDEX($FL8:$FP8,1,MATCH(VLOOKUP($EL8,$CA$2:$CB$24,2,FALSE),$BU$2:$BU$6,0))+$CX$3)),""))</f>
        <v/>
      </c>
      <c r="HL8" s="152">
        <f>IF($EM8="","",IFERROR(IF((INDEX($FL8:$FP8,1,MATCH(VLOOKUP($EM8,$CA$2:$CB$24,2,FALSE),$BU$2:$BU$6,0))+$CX$3)&gt;=0,"+","−")&amp;ABS((INDEX($FL8:$FP8,1,MATCH(VLOOKUP($EM8,$CA$2:$CB$24,2,FALSE),$BU$2:$BU$6,0))+$CX$3)),""))</f>
        <v/>
      </c>
      <c r="HM8" s="152">
        <f>IF($EN8="","",IFERROR(IF((INDEX($FL8:$FP8,1,MATCH(VLOOKUP($EN8,$CA$2:$CB$24,2,FALSE),$BU$2:$BU$6,0))+$CX$3)&gt;=0,"+","−")&amp;ABS((INDEX($FL8:$FP8,1,MATCH(VLOOKUP($EN8,$CA$2:$CB$24,2,FALSE),$BU$2:$BU$6,0))+$CX$3)),""))</f>
        <v/>
      </c>
      <c r="HN8" s="152">
        <f>IF($EO8="","",IFERROR(IF((INDEX($FL8:$FP8,1,MATCH(VLOOKUP($EO8,$CA$2:$CB$24,2,FALSE),$BU$2:$BU$6,0))+$CX$3)&gt;=0,"+","−")&amp;ABS((INDEX($FL8:$FP8,1,MATCH(VLOOKUP($EO8,$CA$2:$CB$24,2,FALSE),$BU$2:$BU$6,0))+$CX$3)),""))</f>
        <v/>
      </c>
      <c r="HO8" s="152">
        <f>IF($EP8="","",IFERROR(IF((INDEX($FL8:$FP8,1,MATCH(VLOOKUP($EP8,$CA$2:$CB$24,2,FALSE),$BU$2:$BU$6,0))+$CX$3)&gt;=0,"+","−")&amp;ABS((INDEX($FL8:$FP8,1,MATCH(VLOOKUP($EP8,$CA$2:$CB$24,2,FALSE),$BU$2:$BU$6,0))+$CX$3)),""))</f>
        <v/>
      </c>
      <c r="HP8" s="152">
        <f>IF($EQ8="","",IFERROR(IF((INDEX($FL8:$FP8,1,MATCH(VLOOKUP($EQ8,$CA$2:$CB$24,2,FALSE),$BU$2:$BU$6,0))+$CX$3)&gt;=0,"+","−")&amp;ABS((INDEX($FL8:$FP8,1,MATCH(VLOOKUP($EQ8,$CA$2:$CB$24,2,FALSE),$BU$2:$BU$6,0))+$CX$3)),""))</f>
        <v/>
      </c>
      <c r="HQ8" s="152">
        <f>IF($DB8="Maldição domada","RESERVA · MÁX. "&amp;$GQ8,"RESERVA DE PE")</f>
        <v/>
      </c>
      <c r="HR8" s="152">
        <f>IF($EE8&gt;$GR8,"⚠ ","")&amp;"EQUIPAMENTO · "&amp;$EE8&amp;" DE "&amp;$GR8&amp;" DE VOLUME"&amp;IF($EE8&gt;$GR8," · PASSOU DO LIMITE","")</f>
        <v/>
      </c>
      <c r="HS8" s="152">
        <f>IF(OR($GT8&gt;0,$GS8&gt;$GU8),"⚠ ","")&amp;"FAMÍLIAS · "&amp;$GS8&amp;" ABERTAS"&amp;IF($GT8&gt;0," · REPETIDA","")&amp;IF($GS8&gt;$GU8," · O LIMITE É "&amp;$GU8,"")</f>
        <v/>
      </c>
      <c r="HT8" s="152">
        <f>"HABILIDADES · básica de "&amp;$FK8&amp;"d6 · "&amp;$GK8&amp;IF($GK8&gt;1," espaços"," espaço")&amp;" de especial até a Classe "&amp;$FJ8&amp;" · "&amp;$GM8&amp;IF($GM8&gt;1," talentos"," talento")</f>
        <v/>
      </c>
      <c r="HU8" s="152">
        <f>IF($GN8&gt;$GM8,"⚠ ","")&amp;"TALENTOS · "&amp;$GN8&amp;" DE "&amp;$GM8</f>
        <v/>
      </c>
      <c r="HV8" s="152">
        <f>IFERROR(VLOOKUP($ER8,$BI$2:$BL$15,2,FALSE),0)</f>
        <v/>
      </c>
      <c r="HW8" s="152">
        <f>IFERROR(VLOOKUP($ES8,$BI$2:$BL$15,2,FALSE),0)</f>
        <v/>
      </c>
      <c r="HX8" s="152">
        <f>IFERROR(VLOOKUP($ET8,$BI$2:$BL$15,2,FALSE),0)</f>
        <v/>
      </c>
      <c r="HY8" s="152">
        <f>IFERROR(VLOOKUP($EU8,$BI$2:$BL$15,2,FALSE),0)</f>
        <v/>
      </c>
      <c r="HZ8" s="152">
        <f>IFERROR(VLOOKUP($EV8,$BI$2:$BL$15,2,FALSE),0)</f>
        <v/>
      </c>
      <c r="IA8" s="152">
        <f>IFERROR(VLOOKUP($EW8,$BI$2:$BL$15,2,FALSE),0)</f>
        <v/>
      </c>
      <c r="IB8" s="152">
        <f>IFERROR(VLOOKUP($EX8,$BI$2:$BL$15,2,FALSE),0)</f>
        <v/>
      </c>
      <c r="IC8" s="152">
        <f>IFERROR(VLOOKUP($EY8,$BI$2:$BL$15,2,FALSE),0)</f>
        <v/>
      </c>
      <c r="ID8" s="152">
        <f>IF($ER8="","",IF(1&gt;$FI8,"⚠ Este talento abre no nível 1",IF($HV8&gt;1,"⚠ Categoria "&amp;$HV8&amp;": este ganho vai até a 1 · ","")&amp;IFERROR(VLOOKUP($ER8,$BI$2:$BL$15,3,FALSE),"")))</f>
        <v/>
      </c>
      <c r="IE8" s="152">
        <f>IF($ES8="","",IF(6&gt;$FI8,"⚠ Este talento abre no nível 6",IF($HW8&gt;1,"⚠ Categoria "&amp;$HW8&amp;": este ganho vai até a 1 · ","")&amp;IFERROR(VLOOKUP($ES8,$BI$2:$BL$15,3,FALSE),"")))</f>
        <v/>
      </c>
      <c r="IF8" s="152">
        <f>IF($ET8="","",IF(10&gt;$FI8,"⚠ Este talento abre no nível 10",IF($HX8&gt;2,"⚠ Categoria "&amp;$HX8&amp;": este ganho vai até a 2 · ","")&amp;IFERROR(VLOOKUP($ET8,$BI$2:$BL$15,3,FALSE),"")))</f>
        <v/>
      </c>
      <c r="IG8" s="152">
        <f>IF($EU8="","",IF(14&gt;$FI8,"⚠ Este talento abre no nível 14",IF($HY8&gt;3,"⚠ Categoria "&amp;$HY8&amp;": este ganho vai até a 3 · ","")&amp;IFERROR(VLOOKUP($EU8,$BI$2:$BL$15,3,FALSE),"")))</f>
        <v/>
      </c>
      <c r="IH8" s="152">
        <f>IF($EV8="","",IF(18&gt;$FI8,"⚠ Este talento abre no nível 18",IF($HZ8&gt;3,"⚠ Categoria "&amp;$HZ8&amp;": este ganho vai até a 3 · ","")&amp;IFERROR(VLOOKUP($EV8,$BI$2:$BL$15,3,FALSE),"")))</f>
        <v/>
      </c>
      <c r="II8" s="152">
        <f>IF($EW8="","",IF(22&gt;$FI8,"⚠ Este talento abre no nível 22",IF($IA8&gt;3,"⚠ Categoria "&amp;$IA8&amp;": este ganho vai até a 3 · ","")&amp;IFERROR(VLOOKUP($EW8,$BI$2:$BL$15,3,FALSE),"")))</f>
        <v/>
      </c>
      <c r="IJ8" s="152">
        <f>IF($EX8="","",IF(26&gt;$FI8,"⚠ Este talento abre no nível 26",IF($IB8&gt;3,"⚠ Categoria "&amp;$IB8&amp;": este ganho vai até a 3 · ","")&amp;IFERROR(VLOOKUP($EX8,$BI$2:$BL$15,3,FALSE),"")))</f>
        <v/>
      </c>
      <c r="IK8" s="152">
        <f>IF($EY8="","",IF(30&gt;$FI8,"⚠ Este talento abre no nível 30",IF($IC8&gt;3,"⚠ Categoria "&amp;$IC8&amp;": este ganho vai até a 3 · ","")&amp;IFERROR(VLOOKUP($EY8,$BI$2:$BL$15,3,FALSE),"")))</f>
        <v/>
      </c>
      <c r="IL8" s="152">
        <f>IF($EZ8="","",IFERROR(VLOOKUP($EZ8,$BI$2:$BL$15,3,FALSE),""))</f>
        <v/>
      </c>
      <c r="IM8" s="152">
        <f>IF($FA8="","",IFERROR(VLOOKUP($FA8,$BI$2:$BL$15,3,FALSE),""))</f>
        <v/>
      </c>
      <c r="IN8" s="152">
        <f>IF($FB8="","",IFERROR(VLOOKUP($FB8,$BI$2:$BL$15,3,FALSE),""))</f>
        <v/>
      </c>
      <c r="IO8" s="152">
        <f>CEILING(4.5*$FC8,1)&amp;" PE"</f>
        <v/>
      </c>
      <c r="IP8" s="152">
        <f>CEILING(4.5*$FD8,1)&amp;" PE"</f>
        <v/>
      </c>
      <c r="IQ8" s="152">
        <f>CEILING(4.5*$FE8,1)&amp;" PE"</f>
        <v/>
      </c>
      <c r="IR8" s="152">
        <f>INDEX($P$2:$P$8,$FC8)&amp;" pontos + "&amp;$FC8&amp;"d8"</f>
        <v/>
      </c>
      <c r="IS8" s="152">
        <f>INDEX($P$2:$P$8,$FD8)&amp;" pontos + "&amp;$FD8&amp;"d8"</f>
        <v/>
      </c>
      <c r="IT8" s="152">
        <f>INDEX($P$2:$P$8,$FE8)&amp;" pontos + "&amp;$FE8&amp;"d8"</f>
        <v/>
      </c>
      <c r="IU8" s="152">
        <f>IF($FI8&lt;17,"—",VLOOKUP($FI8,$CL$2:$CO$4,4,TRUE)&amp;" PE")</f>
        <v/>
      </c>
      <c r="IV8" s="152">
        <f>IF($FI8&lt;17,"Abre no nível 17",VLOOKUP($FI8,$CL$2:$CO$4,2,TRUE)&amp;" fixos · "&amp;VLOOKUP($FI8,$CL$2:$CO$4,3,TRUE)&amp;" pontos")</f>
        <v/>
      </c>
      <c r="IW8" s="152">
        <f>IF($FF8="Sem Barreiras",7,6)*$FJ8&amp;" PE"</f>
        <v/>
      </c>
      <c r="IX8" s="152">
        <f>"Acerto "&amp;$FJ8&amp;"d8"</f>
        <v/>
      </c>
      <c r="IY8" s="152">
        <f>IFERROR(VLOOKUP($FF8,$CQ$2:$CS$4,3,FALSE),"Escolha o degrau")</f>
        <v/>
      </c>
      <c r="IZ8" s="152">
        <f>7&amp;" · "&amp;IF($FG8=0,"vazia",$DA8&amp;" · nv "&amp;$FI8&amp;" · "&amp;$GB8&amp;"/"&amp;$FZ8)</f>
        <v/>
      </c>
      <c r="JB8" s="150" t="inlineStr">
        <is>
          <t>Invocação 7</t>
        </is>
      </c>
      <c r="JC8" s="152">
        <f>ADDRESS(ROW('INVOCAÇÕES'!D27),COLUMN('INVOCAÇÕES'!D27),4)</f>
        <v/>
      </c>
      <c r="JD8" s="152">
        <f>ADDRESS(ROW('INVOCAÇÕES'!AA9),COLUMN('INVOCAÇÕES'!AA9),4)</f>
        <v/>
      </c>
      <c r="JE8" s="150" t="inlineStr">
        <is>
          <t>DADOS_INVOC!$IZ$8</t>
        </is>
      </c>
      <c r="JG8" s="152">
        <f>IF(OR($AW8="",COUNTIF($EF$2:$EJ$2,$AW8)&gt;0),$AV8,"")</f>
        <v/>
      </c>
      <c r="JH8" s="152">
        <f>IF(AND($AX8=1,OR($AW8="",COUNTIF($EF$2:$EJ$2,$AW8)&gt;0)),$AV8,"")</f>
        <v/>
      </c>
      <c r="JJ8" s="152">
        <f>IF(OR($W8="",COUNTIF($EF$2:$EJ$2,$W8)&gt;0),$V8,"")</f>
        <v/>
      </c>
      <c r="JK8" s="152">
        <f>IF(AND($AF8=1,OR($W8="",COUNTIF($EF$2:$EJ$2,$W8)&gt;0)),$V8,"")</f>
        <v/>
      </c>
      <c r="JM8" s="152">
        <f>IF(OR($AW8="",COUNTIF($EF$3:$EJ$3,$AW8)&gt;0),$AV8,"")</f>
        <v/>
      </c>
      <c r="JN8" s="152">
        <f>IF(AND($AX8=1,OR($AW8="",COUNTIF($EF$3:$EJ$3,$AW8)&gt;0)),$AV8,"")</f>
        <v/>
      </c>
      <c r="JP8" s="152">
        <f>IF(OR($W8="",COUNTIF($EF$3:$EJ$3,$W8)&gt;0),$V8,"")</f>
        <v/>
      </c>
      <c r="JQ8" s="152">
        <f>IF(AND($AF8=1,OR($W8="",COUNTIF($EF$3:$EJ$3,$W8)&gt;0)),$V8,"")</f>
        <v/>
      </c>
      <c r="JS8" s="152">
        <f>IF(OR($AW8="",COUNTIF($EF$4:$EJ$4,$AW8)&gt;0),$AV8,"")</f>
        <v/>
      </c>
      <c r="JT8" s="152">
        <f>IF(AND($AX8=1,OR($AW8="",COUNTIF($EF$4:$EJ$4,$AW8)&gt;0)),$AV8,"")</f>
        <v/>
      </c>
      <c r="JV8" s="152">
        <f>IF(OR($W8="",COUNTIF($EF$4:$EJ$4,$W8)&gt;0),$V8,"")</f>
        <v/>
      </c>
      <c r="JW8" s="152">
        <f>IF(AND($AF8=1,OR($W8="",COUNTIF($EF$4:$EJ$4,$W8)&gt;0)),$V8,"")</f>
        <v/>
      </c>
      <c r="JY8" s="152">
        <f>IF(OR($AW8="",COUNTIF($EF$5:$EJ$5,$AW8)&gt;0),$AV8,"")</f>
        <v/>
      </c>
      <c r="JZ8" s="152">
        <f>IF(AND($AX8=1,OR($AW8="",COUNTIF($EF$5:$EJ$5,$AW8)&gt;0)),$AV8,"")</f>
        <v/>
      </c>
      <c r="KB8" s="152">
        <f>IF(OR($W8="",COUNTIF($EF$5:$EJ$5,$W8)&gt;0),$V8,"")</f>
        <v/>
      </c>
      <c r="KC8" s="152">
        <f>IF(AND($AF8=1,OR($W8="",COUNTIF($EF$5:$EJ$5,$W8)&gt;0)),$V8,"")</f>
        <v/>
      </c>
      <c r="KE8" s="152">
        <f>IF(OR($AW8="",COUNTIF($EF$6:$EJ$6,$AW8)&gt;0),$AV8,"")</f>
        <v/>
      </c>
      <c r="KF8" s="152">
        <f>IF(AND($AX8=1,OR($AW8="",COUNTIF($EF$6:$EJ$6,$AW8)&gt;0)),$AV8,"")</f>
        <v/>
      </c>
      <c r="KH8" s="152">
        <f>IF(OR($W8="",COUNTIF($EF$6:$EJ$6,$W8)&gt;0),$V8,"")</f>
        <v/>
      </c>
      <c r="KI8" s="152">
        <f>IF(AND($AF8=1,OR($W8="",COUNTIF($EF$6:$EJ$6,$W8)&gt;0)),$V8,"")</f>
        <v/>
      </c>
      <c r="KK8" s="152">
        <f>IF(OR($AW8="",COUNTIF($EF$7:$EJ$7,$AW8)&gt;0),$AV8,"")</f>
        <v/>
      </c>
      <c r="KL8" s="152">
        <f>IF(AND($AX8=1,OR($AW8="",COUNTIF($EF$7:$EJ$7,$AW8)&gt;0)),$AV8,"")</f>
        <v/>
      </c>
      <c r="KN8" s="152">
        <f>IF(OR($W8="",COUNTIF($EF$7:$EJ$7,$W8)&gt;0),$V8,"")</f>
        <v/>
      </c>
      <c r="KO8" s="152">
        <f>IF(AND($AF8=1,OR($W8="",COUNTIF($EF$7:$EJ$7,$W8)&gt;0)),$V8,"")</f>
        <v/>
      </c>
      <c r="KQ8" s="152">
        <f>IF(OR($AW8="",COUNTIF($EF$8:$EJ$8,$AW8)&gt;0),$AV8,"")</f>
        <v/>
      </c>
      <c r="KR8" s="152">
        <f>IF(AND($AX8=1,OR($AW8="",COUNTIF($EF$8:$EJ$8,$AW8)&gt;0)),$AV8,"")</f>
        <v/>
      </c>
      <c r="KT8" s="152">
        <f>IF(OR($W8="",COUNTIF($EF$8:$EJ$8,$W8)&gt;0),$V8,"")</f>
        <v/>
      </c>
      <c r="KU8" s="152">
        <f>IF(AND($AF8=1,OR($W8="",COUNTIF($EF$8:$EJ$8,$W8)&gt;0)),$V8,"")</f>
        <v/>
      </c>
      <c r="KW8" s="152">
        <f>IF(OR($AW8="",COUNTIF($EF$9:$EJ$9,$AW8)&gt;0),$AV8,"")</f>
        <v/>
      </c>
      <c r="KX8" s="152">
        <f>IF(AND($AX8=1,OR($AW8="",COUNTIF($EF$9:$EJ$9,$AW8)&gt;0)),$AV8,"")</f>
        <v/>
      </c>
      <c r="KZ8" s="152">
        <f>IF(OR($W8="",COUNTIF($EF$9:$EJ$9,$W8)&gt;0),$V8,"")</f>
        <v/>
      </c>
      <c r="LA8" s="152">
        <f>IF(AND($AF8=1,OR($W8="",COUNTIF($EF$9:$EJ$9,$W8)&gt;0)),$V8,"")</f>
        <v/>
      </c>
      <c r="LC8" s="152">
        <f>IF(OR($AW8="",COUNTIF($EF$10:$EJ$10,$AW8)&gt;0),$AV8,"")</f>
        <v/>
      </c>
      <c r="LD8" s="152">
        <f>IF(AND($AX8=1,OR($AW8="",COUNTIF($EF$10:$EJ$10,$AW8)&gt;0)),$AV8,"")</f>
        <v/>
      </c>
      <c r="LF8" s="152">
        <f>IF(OR($W8="",COUNTIF($EF$10:$EJ$10,$W8)&gt;0),$V8,"")</f>
        <v/>
      </c>
      <c r="LG8" s="152">
        <f>IF(AND($AF8=1,OR($W8="",COUNTIF($EF$10:$EJ$10,$W8)&gt;0)),$V8,"")</f>
        <v/>
      </c>
      <c r="LI8" s="152">
        <f>IF(OR($AW8="",COUNTIF($EF$11:$EJ$11,$AW8)&gt;0),$AV8,"")</f>
        <v/>
      </c>
      <c r="LJ8" s="152">
        <f>IF(AND($AX8=1,OR($AW8="",COUNTIF($EF$11:$EJ$11,$AW8)&gt;0)),$AV8,"")</f>
        <v/>
      </c>
      <c r="LL8" s="152">
        <f>IF(OR($W8="",COUNTIF($EF$11:$EJ$11,$W8)&gt;0),$V8,"")</f>
        <v/>
      </c>
      <c r="LM8" s="152">
        <f>IF(AND($AF8=1,OR($W8="",COUNTIF($EF$11:$EJ$11,$W8)&gt;0)),$V8,"")</f>
        <v/>
      </c>
      <c r="LO8" s="152">
        <f>IF(OR($AW8="",COUNTIF($EF$12:$EJ$12,$AW8)&gt;0),$AV8,"")</f>
        <v/>
      </c>
      <c r="LP8" s="152">
        <f>IF(AND($AX8=1,OR($AW8="",COUNTIF($EF$12:$EJ$12,$AW8)&gt;0)),$AV8,"")</f>
        <v/>
      </c>
      <c r="LR8" s="152">
        <f>IF(OR($W8="",COUNTIF($EF$12:$EJ$12,$W8)&gt;0),$V8,"")</f>
        <v/>
      </c>
      <c r="LS8" s="152">
        <f>IF(AND($AF8=1,OR($W8="",COUNTIF($EF$12:$EJ$12,$W8)&gt;0)),$V8,"")</f>
        <v/>
      </c>
      <c r="LU8" s="152">
        <f>IF(OR($AW8="",COUNTIF($EF$13:$EJ$13,$AW8)&gt;0),$AV8,"")</f>
        <v/>
      </c>
      <c r="LV8" s="152">
        <f>IF(AND($AX8=1,OR($AW8="",COUNTIF($EF$13:$EJ$13,$AW8)&gt;0)),$AV8,"")</f>
        <v/>
      </c>
      <c r="LX8" s="152">
        <f>IF(OR($W8="",COUNTIF($EF$13:$EJ$13,$W8)&gt;0),$V8,"")</f>
        <v/>
      </c>
      <c r="LY8" s="152">
        <f>IF(AND($AF8=1,OR($W8="",COUNTIF($EF$13:$EJ$13,$W8)&gt;0)),$V8,"")</f>
        <v/>
      </c>
      <c r="MA8" s="150" t="inlineStr">
        <is>
          <t>Ficha 1 · Especial 5</t>
        </is>
      </c>
      <c r="MB8" s="152" t="n">
        <v>1</v>
      </c>
      <c r="MC8" s="152" t="n">
        <v>1</v>
      </c>
      <c r="MD8" s="152" t="n">
        <v>16</v>
      </c>
      <c r="ME8" s="150" t="inlineStr">
        <is>
          <t>ESPECIAL 5</t>
        </is>
      </c>
      <c r="MF8" s="152">
        <f>MAX(1,MIN(7,N('INVOCAÇÕES'!$I$114)))</f>
        <v/>
      </c>
      <c r="MG8" s="152">
        <f>'INVOCAÇÕES'!$J$114&amp;""</f>
        <v/>
      </c>
      <c r="MH8" s="152">
        <f>'INVOCAÇÕES'!$I$119&amp;""</f>
        <v/>
      </c>
      <c r="MI8" s="152">
        <f>'INVOCAÇÕES'!$I$120&amp;""</f>
        <v/>
      </c>
      <c r="MJ8" s="152">
        <f>'INVOCAÇÕES'!$K$120&amp;""</f>
        <v/>
      </c>
      <c r="MK8" s="152">
        <f>'INVOCAÇÕES'!$J$123&amp;""</f>
        <v/>
      </c>
      <c r="ML8" s="152">
        <f>'INVOCAÇÕES'!$J$124&amp;""</f>
        <v/>
      </c>
      <c r="MM8" s="152">
        <f>'INVOCAÇÕES'!$J$125&amp;""</f>
        <v/>
      </c>
      <c r="MN8" s="152">
        <f>'INVOCAÇÕES'!$J$126&amp;""</f>
        <v/>
      </c>
      <c r="MO8" s="152">
        <f>'INVOCAÇÕES'!$J$127&amp;""</f>
        <v/>
      </c>
      <c r="MP8" s="152">
        <f>'INVOCAÇÕES'!$J$128&amp;""</f>
        <v/>
      </c>
      <c r="MQ8" s="152">
        <f>IF($MG8&lt;&gt;"",1,0)</f>
        <v/>
      </c>
      <c r="MR8" s="152">
        <f>INDEX($FI$2:$FI$13,$MB8)</f>
        <v/>
      </c>
      <c r="MS8" s="152">
        <f>INDEX($FJ$2:$FJ$13,$MB8)</f>
        <v/>
      </c>
      <c r="MT8" s="152">
        <f>INDEX($FK$2:$FK$13,$MB8)</f>
        <v/>
      </c>
      <c r="MU8" s="152">
        <f>INDEX($FV$2:$FV$13,$MB8)</f>
        <v/>
      </c>
      <c r="MV8" s="152">
        <f>INDEX($FW$2:$FW$13,$MB8)</f>
        <v/>
      </c>
      <c r="MW8" s="152">
        <f>IFERROR(MATCH($MH8,$V$2:$V$11,0),0)</f>
        <v/>
      </c>
      <c r="MX8" s="152">
        <f>IFERROR(VLOOKUP($MK8,$AV$2:$BA$84,2,FALSE),"")</f>
        <v/>
      </c>
      <c r="MY8" s="152">
        <f>IFERROR(VLOOKUP($ML8,$AV$2:$BA$84,2,FALSE),"")</f>
        <v/>
      </c>
      <c r="MZ8" s="152">
        <f>IFERROR(VLOOKUP($MM8,$AV$2:$BA$84,2,FALSE),"")</f>
        <v/>
      </c>
      <c r="NA8" s="152">
        <f>IFERROR(VLOOKUP($MN8,$AV$2:$BA$84,2,FALSE),"")</f>
        <v/>
      </c>
      <c r="NB8" s="152">
        <f>IFERROR(VLOOKUP($MK8,$AV$2:$BA$84,3,FALSE),0)</f>
        <v/>
      </c>
      <c r="NC8" s="152">
        <f>IFERROR(VLOOKUP($ML8,$AV$2:$BA$84,3,FALSE),0)</f>
        <v/>
      </c>
      <c r="ND8" s="152">
        <f>IFERROR(VLOOKUP($MM8,$AV$2:$BA$84,3,FALSE),0)</f>
        <v/>
      </c>
      <c r="NE8" s="152">
        <f>IFERROR(VLOOKUP($MN8,$AV$2:$BA$84,3,FALSE),0)</f>
        <v/>
      </c>
      <c r="NF8" s="152">
        <f>IF($MF8=0,0,IF($MW8=0,0,INDEX($X$2:$X$11,$MW8)))</f>
        <v/>
      </c>
      <c r="NG8" s="152">
        <f>IF(OR($NB8=0,$MF8=0),0,$NB8+3*IF(AND($MX8&lt;&gt;"",OR($MX8=INDEX($EF$2:$EF$13,$MB8),$MX8=INDEX($EG$2:$EG$13,$MB8))),1,0))</f>
        <v/>
      </c>
      <c r="NH8" s="152">
        <f>IF(OR($NC8=0,$MF8=0),0,$NC8+3*IF(AND($MY8&lt;&gt;"",OR($MY8=INDEX($EF$2:$EF$13,$MB8),$MY8=INDEX($EG$2:$EG$13,$MB8))),1,0))</f>
        <v/>
      </c>
      <c r="NI8" s="152">
        <f>IF(OR($ND8=0,$MF8=0),0,$ND8+3*IF(AND($MZ8&lt;&gt;"",OR($MZ8=INDEX($EF$2:$EF$13,$MB8),$MZ8=INDEX($EG$2:$EG$13,$MB8))),1,0))</f>
        <v/>
      </c>
      <c r="NJ8" s="152">
        <f>IF(OR($NE8=0,$MF8=0),0,$NE8+3*IF(AND($NA8&lt;&gt;"",OR($NA8=INDEX($EF$2:$EF$13,$MB8),$NA8=INDEX($EG$2:$EG$13,$MB8))),1,0))</f>
        <v/>
      </c>
      <c r="NK8" s="152">
        <f>IF($MW8=0,0,IF(INDEX($W$2:$W$11,$MW8)="",0,IF(COUNTIF(INDEX($EF$2:$EJ$13,$MB8,0),INDEX($W$2:$W$11,$MW8))=0,1,0)))</f>
        <v/>
      </c>
      <c r="NL8" s="152">
        <f>IF(OR($NB8=0,$MX8=""),0,IF(COUNTIF(INDEX($EF$2:$EJ$13,$MB8,0),$MX8)=0,1,0))</f>
        <v/>
      </c>
      <c r="NM8" s="152">
        <f>IF(OR($NC8=0,$MY8=""),0,IF(COUNTIF(INDEX($EF$2:$EJ$13,$MB8,0),$MY8)=0,1,0))</f>
        <v/>
      </c>
      <c r="NN8" s="152">
        <f>IF(OR($ND8=0,$MZ8=""),0,IF(COUNTIF(INDEX($EF$2:$EJ$13,$MB8,0),$MZ8)=0,1,0))</f>
        <v/>
      </c>
      <c r="NO8" s="152">
        <f>IF(OR($NE8=0,$NA8=""),0,IF(COUNTIF(INDEX($EF$2:$EJ$13,$MB8,0),$NA8)=0,1,0))</f>
        <v/>
      </c>
      <c r="NP8" s="152">
        <f>IFERROR(VLOOKUP($MK8,$AV$2:$BA$84,4,FALSE),0)+IFERROR(VLOOKUP($ML8,$AV$2:$BA$84,4,FALSE),0)+IFERROR(VLOOKUP($MM8,$AV$2:$BA$84,4,FALSE),0)+IFERROR(VLOOKUP($MN8,$AV$2:$BA$84,4,FALSE),0)</f>
        <v/>
      </c>
      <c r="NQ8" s="152">
        <f>IFERROR(VLOOKUP($MK8,$AV$2:$BA$84,6,FALSE),0)+IFERROR(VLOOKUP($ML8,$AV$2:$BA$84,6,FALSE),0)+IFERROR(VLOOKUP($MM8,$AV$2:$BA$84,6,FALSE),0)+IFERROR(VLOOKUP($MN8,$AV$2:$BA$84,6,FALSE),0)</f>
        <v/>
      </c>
      <c r="NR8" s="152">
        <f>TEXTJOIN(", ",TRUE,IF(IFERROR(VLOOKUP($MK8,$AV$2:$BA$84,5,FALSE),0)=1,$MK8,""),IF(IFERROR(VLOOKUP($ML8,$AV$2:$BA$84,5,FALSE),0)=1,$ML8,""),IF(IFERROR(VLOOKUP($MM8,$AV$2:$BA$84,5,FALSE),0)=1,$MM8,""),IF(IFERROR(VLOOKUP($MN8,$AV$2:$BA$84,5,FALSE),0)=1,$MN8,""))</f>
        <v/>
      </c>
      <c r="NS8" s="152">
        <f>IF($MW8=0,0,INDEX($Y$2:$Y$11,$MW8))</f>
        <v/>
      </c>
      <c r="NT8" s="152">
        <f>IF($MW8=0,0,INDEX($Z$2:$Z$11,$MW8))</f>
        <v/>
      </c>
      <c r="NU8" s="152">
        <f>IF($MW8=0,0,INDEX($AB$2:$AB$11,$MW8))</f>
        <v/>
      </c>
      <c r="NV8" s="152">
        <f>IFERROR(VLOOKUP($MO8,$BC$2:$BG$24,3,FALSE),0)</f>
        <v/>
      </c>
      <c r="NW8" s="152">
        <f>IFERROR(VLOOKUP($MP8,$BC$2:$BG$24,3,FALSE),0)</f>
        <v/>
      </c>
      <c r="NX8" s="152">
        <f>IFERROR(VLOOKUP($MO8,$BC$2:$BG$24,2,FALSE),"")</f>
        <v/>
      </c>
      <c r="NY8" s="152">
        <f>IFERROR(VLOOKUP($MP8,$BC$2:$BG$24,2,FALSE),"")</f>
        <v/>
      </c>
      <c r="NZ8" s="152">
        <f>COUNTIF($NF8:$NJ8,1)</f>
        <v/>
      </c>
      <c r="OA8" s="152">
        <f>COUNTIF($NF8:$NJ8,2)</f>
        <v/>
      </c>
      <c r="OB8" s="152">
        <f>COUNTIF($NF8:$NJ8,3)</f>
        <v/>
      </c>
      <c r="OC8" s="152">
        <f>COUNTIF($NF8:$NJ8,4)</f>
        <v/>
      </c>
      <c r="OD8" s="152">
        <f>COUNTIF($NF8:$NJ8,5)</f>
        <v/>
      </c>
      <c r="OE8" s="152">
        <f>COUNTIF($NF8:$NJ8,6)</f>
        <v/>
      </c>
      <c r="OF8" s="152">
        <f>COUNTIF($NV8:$NW8,1)</f>
        <v/>
      </c>
      <c r="OG8" s="152">
        <f>COUNTIF($NV8:$NW8,2)+$NS8</f>
        <v/>
      </c>
      <c r="OH8" s="152">
        <f>COUNTIF($MK8:$MN8,"?*")</f>
        <v/>
      </c>
      <c r="OI8" s="152">
        <f>COUNTIF($MO8:$MP8,"?*")+$NS8</f>
        <v/>
      </c>
      <c r="OJ8" s="152">
        <f>IF($MF8=0,0,SUMPRODUCT($NZ8:$OE8,INDEX($I$2:$N$8,MAX(1,$MF8),0)))</f>
        <v/>
      </c>
      <c r="OK8" s="152">
        <f>IF($MF8=0,0,$OF8*CEILING($MF8/2,1)+$OG8*$MF8)</f>
        <v/>
      </c>
      <c r="OL8" s="152">
        <f>MIN(2*$MF8,$OK8)</f>
        <v/>
      </c>
      <c r="OM8" s="152">
        <f>MIN($OL8,$OJ8)</f>
        <v/>
      </c>
      <c r="ON8" s="152">
        <f>$OL8-$OM8</f>
        <v/>
      </c>
      <c r="OO8" s="152">
        <f>IF($MF8=0,0,INDEX($P$2:$P$8,MAX(1,$MF8)))</f>
        <v/>
      </c>
      <c r="OP8" s="152">
        <f>$OO8-$OJ8+$OM8</f>
        <v/>
      </c>
      <c r="OQ8" s="152">
        <f>IF($MF8=0,MAX(0,$MT8-IF($OH8&gt;0,1,0)),MAX(0,$OP8))</f>
        <v/>
      </c>
      <c r="OR8" s="152">
        <f>IF($MF8=0,0,(IF(COUNTIF($MK8:$MN8,"Salto")&gt;0,1,0)+IF(COUNTIF($MK8:$MN8,"Queima")&gt;0,1,0)+IF(COUNTIF($MK8:$MN8,"Estilhaço")&gt;0,1,0))*FLOOR($OQ8/2,1))</f>
        <v/>
      </c>
      <c r="OS8" s="152">
        <f>MAX(0,2-SUMPRODUCT($NZ8:$OE8,$I$2:$N$2)+MIN(2,$OF8*1+$OG8*1,SUMPRODUCT($NZ8:$OE8,$I$2:$N$2)))</f>
        <v/>
      </c>
      <c r="OT8" s="152">
        <f>MAX(0,4-SUMPRODUCT($NZ8:$OE8,$I$3:$N$3)+MIN(4,$OF8*1+$OG8*2,SUMPRODUCT($NZ8:$OE8,$I$3:$N$3)))</f>
        <v/>
      </c>
      <c r="OU8" s="152">
        <f>MAX(0,6-SUMPRODUCT($NZ8:$OE8,$I$4:$N$4)+MIN(6,$OF8*2+$OG8*3,SUMPRODUCT($NZ8:$OE8,$I$4:$N$4)))</f>
        <v/>
      </c>
      <c r="OV8" s="152">
        <f>MAX(0,9-SUMPRODUCT($NZ8:$OE8,$I$5:$N$5)+MIN(8,$OF8*2+$OG8*4,SUMPRODUCT($NZ8:$OE8,$I$5:$N$5)))</f>
        <v/>
      </c>
      <c r="OW8" s="152">
        <f>MAX(0,11-SUMPRODUCT($NZ8:$OE8,$I$6:$N$6)+MIN(10,$OF8*3+$OG8*5,SUMPRODUCT($NZ8:$OE8,$I$6:$N$6)))</f>
        <v/>
      </c>
      <c r="OX8" s="152">
        <f>MAX(0,13-SUMPRODUCT($NZ8:$OE8,$I$7:$N$7)+MIN(12,$OF8*3+$OG8*6,SUMPRODUCT($NZ8:$OE8,$I$7:$N$7)))</f>
        <v/>
      </c>
      <c r="OY8" s="152">
        <f>MAX(0,16-SUMPRODUCT($NZ8:$OE8,$I$8:$N$8)+MIN(14,$OF8*4+$OG8*7,SUMPRODUCT($NZ8:$OE8,$I$8:$N$8)))</f>
        <v/>
      </c>
      <c r="OZ8" s="152">
        <f>IF($NT8=2,3*$OS8&amp;" de vida temp.",IF($NT8=3,"sem dano",IF($OS8=0,IF($NT8=1,"sem cura","sem dano"),IF($NT8=1,"cura ","")&amp;$OS8&amp;"d8")))</f>
        <v/>
      </c>
      <c r="PA8" s="152">
        <f>IF($NT8=2,3*$OT8&amp;" de vida temp.",IF($NT8=3,"sem dano",IF($OT8=0,IF($NT8=1,"sem cura","sem dano"),IF($NT8=1,"cura ","")&amp;$OT8&amp;"d8")))</f>
        <v/>
      </c>
      <c r="PB8" s="152">
        <f>IF($NT8=2,3*$OU8&amp;" de vida temp.",IF($NT8=3,"sem dano",IF($OU8=0,IF($NT8=1,"sem cura","sem dano"),IF($NT8=1,"cura ","")&amp;$OU8&amp;"d8")))</f>
        <v/>
      </c>
      <c r="PC8" s="152">
        <f>IF($NT8=2,3*$OV8&amp;" de vida temp.",IF($NT8=3,"sem dano",IF($OV8=0,IF($NT8=1,"sem cura","sem dano"),IF($NT8=1,"cura ","")&amp;$OV8&amp;"d8")))</f>
        <v/>
      </c>
      <c r="PD8" s="152">
        <f>IF($NT8=2,3*$OW8&amp;" de vida temp.",IF($NT8=3,"sem dano",IF($OW8=0,IF($NT8=1,"sem cura","sem dano"),IF($NT8=1,"cura ","")&amp;$OW8&amp;"d8")))</f>
        <v/>
      </c>
      <c r="PE8" s="152">
        <f>IF($NT8=2,3*$OX8&amp;" de vida temp.",IF($NT8=3,"sem dano",IF($OX8=0,IF($NT8=1,"sem cura","sem dano"),IF($NT8=1,"cura ","")&amp;$OX8&amp;"d8")))</f>
        <v/>
      </c>
      <c r="PF8" s="152">
        <f>IF($NT8=2,3*$OY8&amp;" de vida temp.",IF($NT8=3,"sem dano",IF($OY8=0,IF($NT8=1,"sem cura","sem dano"),IF($NT8=1,"cura ","")&amp;$OY8&amp;"d8")))</f>
        <v/>
      </c>
      <c r="PG8" s="152">
        <f>IF($MQ8=0,"",TEXTJOIN(" · ",TRUE,IF($MD8&gt;$MR8,"Este lugar abre no nível "&amp;$MD8,""),IF($MF8&gt;$MS8,"Classe "&amp;$MF8&amp;": o nível "&amp;$MR8&amp;" libera até a "&amp;$MS8,""),IF($NK8=1,"A Forma "&amp;$MH8&amp;" pede "&amp;INDEX($W$2:$W$11,$MW8)&amp;" aberta",""),IF(AND($MF8=0,$MW8&gt;0,IF($MW8=0,0,INDEX($AF$2:$AF$11,$MW8))=0),$MH8&amp;" não existe na Classe 0",""),IF($NL8=1,"Família Fechada: "&amp;$MK8,""),IF($NM8=1,"Família Fechada: "&amp;$ML8,""),IF($NN8=1,"Família Fechada: "&amp;$MM8,""),IF($NO8=1,"Família Fechada: "&amp;$MN8,""),IF(AND($MF8&gt;0,$OH8&gt;INDEX($O$2:$O$8,MAX(1,$MF8))),$OH8&amp;" Melhorias: a Classe "&amp;$MF8&amp;" aceita "&amp;INDEX($O$2:$O$8,MAX(1,$MF8)),""),IF(AND($MF8=0,$OH8&gt;1),"A básica aceita uma Melhoria",""),IF(AND($MF8=0,COUNTIF($NB8:$NE8,"&gt;1")&gt;0),"A básica só aceita Melhoria Leve",""),IF(AND($MF8&gt;0,$OI8&gt;2),$OI8&amp;" Restrições"&amp;IF($NS8=1,", contando a que a Forma "&amp;$MH8&amp;" já traz","")&amp;": o limite é 2",""),IF(AND($MF8=0,COUNTIF($MO8:$MP8,"?*")&gt;1),"A básica aceita uma Restrição Leve",""),IF(AND($MF8=0,COUNTIF($NV8:$NW8,2)&gt;0),"A básica só aceita Restrição Leve",""),IF(AND($MF8&gt;0,$OP8&lt;0),"Orçamento estourado: faltam "&amp;(-$OP8)&amp;IF($OP8&lt;-1," pontos"," ponto"),""),IF(IFERROR(VLOOKUP($MO8,$BC$2:$BG$24,4,FALSE),0)+IFERROR(VLOOKUP($MP8,$BC$2:$BG$24,4,FALSE),0)&gt;1,$NX8&amp;" e "&amp;$NY8&amp;" são as duas de frequência",""),IF(AND((COUNTIF($MK8:$MN8,"Rápido")+COUNTIF($NX8:$NY8,"Rápido"))&gt;0,(COUNTIF($MK8:$MN8,"Atrasar")+COUNTIF($NX8:$NY8,"Atrasar"))&gt;0),"Rápido não entra com Atrasar",""),IF(AND((COUNTIF($MK8:$MN8,"Reação")+COUNTIF($NX8:$NY8,"Reação"))&gt;0,(COUNTIF($MK8:$MN8,"Rápido")+COUNTIF($NX8:$NY8,"Rápido"))&gt;0),"Reação não entra com Rápido",""),IF(AND((COUNTIF($MK8:$MN8,"Reação")+COUNTIF($NX8:$NY8,"Reação"))&gt;0,(COUNTIF($MK8:$MN8,"Armado")+COUNTIF($NX8:$NY8,"Armado"))&gt;0),"Reação não entra com Armado",""),IF(AND((COUNTIF($MK8:$MN8,"Reação")+COUNTIF($NX8:$NY8,"Reação"))&gt;0,(COUNTIF($MK8:$MN8,"Atrasar")+COUNTIF($NX8:$NY8,"Atrasar"))&gt;0),"Reação não entra com Atrasar",""),IF(AND((COUNTIF($MK8:$MN8,"Reação")+COUNTIF($NX8:$NY8,"Reação"))&gt;0,(COUNTIF($MK8:$MN8,"Parado")+COUNTIF($NX8:$NY8,"Parado"))&gt;0),"Reação não entra com Parado",""),IF(AND((COUNTIF($MK8:$MN8,"Atrasar")+COUNTIF($NX8:$NY8,"Atrasar"))&gt;0,(COUNTIF($MK8:$MN8,"Parado")+COUNTIF($NX8:$NY8,"Parado"))&gt;0),"Atrasar não entra com Parado",""),IF(AND((COUNTIF($MK8:$MN8,"Armado")+COUNTIF($NX8:$NY8,"Armado"))&gt;0,(COUNTIF($MK8:$MN8,"Carregar")+COUNTIF($NX8:$NY8,"Carregar"))&gt;0),"Armado não entra com Carregar",""),IF(AND(COUNTIF($NX8:$NY8,"Corpo a Corpo")&gt;0,$NS8=0,OR($MH8="Cone",$MH8="Linha")),"Corpo a Corpo não entra em "&amp;$MH8,""),IF(AND(COUNTIF($NX8:$NY8,"Corpo a Corpo")&gt;0,$NS8=1),"A Forma "&amp;$MH8&amp;" já traz o Corpo a Corpo",""),IF(AND(COUNTIF($NX8:$NY8,"Tudo ou Nada")&gt;0,$NU8=0),"Tudo ou Nada só entra em habilidade de Teste de Resistência",""),IF(AND(COUNTIF($MK8:$MN8,"Inescapável")&gt;0,OR($OH8&gt;1,$OI8&gt;0)),"Inescapável não aceita outra peça",""),IF(AND($MF8&gt;0,$OQ8*IF(COUNTIF($MK8:$MN8,"Remate")&gt;0,1.25,1)+$OR8&gt;4*$MF8),($OQ8*IF(COUNTIF($MK8:$MN8,"Remate")&gt;0,1.25,1)+$OR8)&amp;" dados somando repetições"&amp;IF(COUNTIF($MK8:$MN8,"Remate")&gt;0," e o Remate","")&amp;": o teto da Classe "&amp;$MF8&amp;" é "&amp;4*$MF8,"")))</f>
        <v/>
      </c>
      <c r="PH8" s="152">
        <f>IF($PG8="",0,(LEN($PG8)-LEN(SUBSTITUTE($PG8," · ","")))/3+1)</f>
        <v/>
      </c>
      <c r="PI8" s="152">
        <f>IF($MQ8=0,"",TEXTJOIN(" · ",TRUE,IF($OK8&gt;2*$MF8,"A devolução parou no teto de "&amp;2*$MF8,""),IF($ON8&gt;0,"Devolução perdida: "&amp;$ON8&amp;IF($ON8&gt;1," pontos"," ponto")&amp;" sem peça para pagar",""),IF(AND($NP8&gt;0,AND($MF8&gt;0,$NT8=0),$OQ8=0),"Controle sem dano: uma rodada a mais e CD +2",""),IF(AND($NP8&gt;0,AND($MF8&gt;0,$NT8=0),$OQ8&gt;0,$OQ8&lt;=$MF8),"Controle com saldo até a Classe: uma rodada a mais",""),IF(AND($MF8&gt;0,$NR8&lt;&gt;""),"Efeito de "&amp;$NR8&amp;" pela Classe "&amp;MAX(1,$MF8-1),"")))</f>
        <v/>
      </c>
      <c r="PJ8" s="152">
        <f>IF($PI8="",0,(LEN($PI8)-LEN(SUBSTITUTE($PI8," · ","")))/3+1)</f>
        <v/>
      </c>
      <c r="PK8" s="152">
        <f>IF($MQ8=0,IF($OH8+COUNTIF($MO8:$MP8,"?*")&gt;0,"Dê um nome",""),IF($PH8&gt;0,"⚠ "&amp;$PH8&amp;IF($PH8&gt;1," erros"," erro"),IF($PJ8&gt;0,"! "&amp;$PJ8&amp;IF($PJ8&gt;1," avisos"," aviso"),"Na regra")))</f>
        <v/>
      </c>
      <c r="PL8" s="152">
        <f>IF($MQ8=0,"",IF($PH8+$PJ8=0,"Dentro das regras que a ficha confere",$PG8&amp;IF(AND($PH8&gt;0,$PJ8&gt;0)," · ","")&amp;$PI8))</f>
        <v/>
      </c>
      <c r="PM8" s="152">
        <f>IF($MD8&gt;$MR8,$ME8&amp;" · ABRE NO NÍVEL "&amp;$MD8,$ME8)</f>
        <v/>
      </c>
      <c r="PN8" s="152">
        <f>IF($MQ8=0,"",IF($MF8=0,"Sem PE",3*$MF8&amp;" PE"))</f>
        <v/>
      </c>
      <c r="PO8" s="152">
        <f>IF($MQ8=0,"",IF($MF8=0,"A atuação básica dela",IF(COUNTIF($NX8:$NY8,"Atrasar")&gt;0,"Sua Ação Completa",IF(COUNTIF($MK8:$MN8,"Rápido")&gt;0,"Sua Bônus",IF(COUNTIF($MK8:$MN8,"Reação")&gt;0,"Sua Reação","Sua Padrão")))&amp;" + a básica dela"&amp;IF(COUNTIF($MK8:$MN8,"Reação")&gt;0," e a coletiva","")&amp;IF(COUNTIF($NX8:$NY8,"Carregar")&gt;0," · em dois turnos","")))</f>
        <v/>
      </c>
      <c r="PP8" s="152">
        <f>IF($MJ8&lt;&gt;"",$MJ8,IF($MW8=0,"",INDEX($AA$2:$AA$11,$MW8)))</f>
        <v/>
      </c>
      <c r="PQ8" s="152">
        <f>IF(OR($MQ8=0,$MW8=0),"",IF(COUNTIF($MK8:$MN8,"Inescapável")&gt;0,"Automático",IF($PP8="Ataque",IF($MU8="","Ataque","Ataque "&amp;IF(($MU8+2*IF(COUNTIF($MK8:$MN8,"Precisão")&gt;0,1,0))&gt;=0,"+","−")&amp;ABS(($MU8+2*IF(COUNTIF($MK8:$MN8,"Precisão")&gt;0,1,0))))&amp;IF($NQ8&gt;0," · TR"&amp;IF($MV8="",""," CD "&amp;$MV8),""),IF(LEFT($PP8,2)="TR",$PP8&amp;IF($MV8="",""," · CD "&amp;$MV8)&amp;IF(COUNTIF($MK8:$MN8,"Certeiro")&gt;0," · metade",""),"Sem rolagem"))))</f>
        <v/>
      </c>
      <c r="PR8" s="152">
        <f>IF(OR($MQ8=0,$MW8=0),"",IF($MF8=0,IF(OR($NT8&gt;=1,$OQ8=0),"Sem dano",$OQ8&amp;"d6"&amp;IF($MI8="",""," "&amp;$MI8)),IF(OR($NT8&gt;=1,$OQ8=0),UPPER(LEFT(INDEX($OZ8:$PF8,1,MAX(1,$MF8)),1))&amp;MID(INDEX($OZ8:$PF8,1,MAX(1,$MF8)),2,99),UPPER(LEFT(INDEX($OZ8:$PF8,1,MAX(1,$MF8)),1))&amp;MID(INDEX($OZ8:$PF8,1,MAX(1,$MF8)),2,99)&amp;IF($MI8="",""," "&amp;$MI8)&amp;IF($OR8&gt;0," · +"&amp;$OR8&amp;"d8",""))))</f>
        <v/>
      </c>
      <c r="PS8" s="152">
        <f>COUNTIF($MK8:$MN8,"Longe")+3*COUNTIF($MK8:$MN8,"Muito Longe")</f>
        <v/>
      </c>
      <c r="PT8" s="152">
        <f>COUNTIF($MK8:$MN8,"Maior")+3*COUNTIF($MK8:$MN8,"Muito Maior")</f>
        <v/>
      </c>
      <c r="PU8" s="152">
        <f>IF($MW8=0,0,CHOOSE(1+INDEX($AC$2:$AC$11,$MW8),0,$PS8,$PT8,$PS8+$PT8))</f>
        <v/>
      </c>
      <c r="PV8" s="152">
        <f>IF($MW8=0,0,CHOOSE(1+INDEX($AD$2:$AD$11,$MW8),0,$PS8,$PT8,$PS8+$PT8))</f>
        <v/>
      </c>
      <c r="PW8" s="152">
        <f>IF(OR($MQ8=0,$MW8=0),"",INDEX($AI$2:$AN$41,($MW8-1)*4+IF($MF8=0,1,IF($MF8&lt;=5,2,IF($MF8=6,3,4))),1+MIN(5,$PU8))&amp;INDEX($AO$2:$AT$41,($MW8-1)*4+IF($MF8=0,1,IF($MF8&lt;=5,2,IF($MF8=6,3,4))),1+MIN(5,$PV8))&amp;IF(INDEX($AE$2:$AE$11,$MW8)=1,IF(COUNTIF($MK8:$MN8,"Mais Um")&gt;0," · +"&amp;COUNTIF($MK8:$MN8,"Mais Um")&amp;IF(COUNTIF($MK8:$MN8,"Mais Um")&gt;1," alvos"," alvo"),"")&amp;IF(COUNTIF($MK8:$MN8,"Rajada")&gt;0,IF($MF8=0," · 1 tiro"," · "&amp;(MAX(1,$MF8-1)+1)&amp;" tiros"),""),""))</f>
        <v/>
      </c>
      <c r="PX8" s="152">
        <f>IF($MQ8=0,"",IF($MF8=0,$MT8&amp;"d6"&amp;IF($OH8&gt;0," − 1 = "&amp;$OQ8&amp;"d6"," da básica do nível "&amp;$MR8),$OO8&amp;" − "&amp;$OJ8&amp;" + "&amp;$OM8&amp;" = "&amp;$OP8&amp;" · teto "&amp;4*$MF8&amp;"d8"&amp;IF($NS8=1," · a Forma devolve "&amp;$MF8,"")&amp;IF($ON8&gt;0," · perde "&amp;$ON8,"")))</f>
        <v/>
      </c>
      <c r="PY8" s="152">
        <f>IF($MQ8=0,"",IF($MF8=0,"A básica não amplia: os dados dela sobem com o nível",IF($MF8&gt;=$MS8,"Já está na maior Classe que o nível liberou",TEXTJOIN(" · ",TRUE,IF(AND(2&gt;$MF8,2&lt;=$MS8),"2 → "&amp;$PA8&amp;", 6 PE",""),IF(AND(3&gt;$MF8,3&lt;=$MS8),"3 → "&amp;$PB8&amp;", 9 PE",""),IF(AND(4&gt;$MF8,4&lt;=$MS8),"4 → "&amp;$PC8&amp;", 12 PE",""),IF(AND(5&gt;$MF8,5&lt;=$MS8),"5 → "&amp;$PD8&amp;", 15 PE",""),IF(AND(6&gt;$MF8,6&lt;=$MS8),"6 → "&amp;$PE8&amp;", 18 PE",""),IF(AND(7&gt;$MF8,7&lt;=$MS8),"7 → "&amp;$PF8&amp;", 21 PE","")))))</f>
        <v/>
      </c>
      <c r="PZ8" s="152">
        <f>IF(OR($MQ8=0,$NB8=0),"",IF($MF8=0,"−1 dado","−"&amp;INDEX($I$2:$N$8,MAX(1,$MF8),MAX(1,$NG8))&amp;" · "&amp;CHOOSE(MAX(1,$NG8),"Leve","Média","Pesada","Leve · Livre","Média · Livre","Pesada · Livre")))</f>
        <v/>
      </c>
      <c r="QA8" s="152">
        <f>IF(OR($MQ8=0,$NC8=0),"",IF($MF8=0,"−1 dado","−"&amp;INDEX($I$2:$N$8,MAX(1,$MF8),MAX(1,$NH8))&amp;" · "&amp;CHOOSE(MAX(1,$NH8),"Leve","Média","Pesada","Leve · Livre","Média · Livre","Pesada · Livre")))</f>
        <v/>
      </c>
      <c r="QB8" s="152">
        <f>IF(OR($MQ8=0,$ND8=0),"",IF($MF8=0,"−1 dado","−"&amp;INDEX($I$2:$N$8,MAX(1,$MF8),MAX(1,$NI8))&amp;" · "&amp;CHOOSE(MAX(1,$NI8),"Leve","Média","Pesada","Leve · Livre","Média · Livre","Pesada · Livre")))</f>
        <v/>
      </c>
      <c r="QC8" s="152">
        <f>IF(OR($MQ8=0,$NE8=0),"",IF($MF8=0,"−1 dado","−"&amp;INDEX($I$2:$N$8,MAX(1,$MF8),MAX(1,$NJ8))&amp;" · "&amp;CHOOSE(MAX(1,$NJ8),"Leve","Média","Pesada","Leve · Livre","Média · Livre","Pesada · Livre")))</f>
        <v/>
      </c>
      <c r="QD8" s="152">
        <f>IF(OR($MQ8=0,$MO8=""),"",IF($MF8=0,"não devolve","+"&amp;IF($NV8=1,CEILING($MF8/2,1),$MF8)))</f>
        <v/>
      </c>
      <c r="QE8" s="152">
        <f>IF(OR($MQ8=0,$MP8=""),"",IF($MF8=0,"não devolve","+"&amp;IF($NW8=1,CEILING($MF8/2,1),$MF8)))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A9" s="152" t="n">
        <v>0</v>
      </c>
      <c r="BC9" s="150" t="inlineStr">
        <is>
          <t>Recuo (Média)</t>
        </is>
      </c>
      <c r="BD9" s="150" t="inlineStr">
        <is>
          <t>Recuo</t>
        </is>
      </c>
      <c r="BE9" s="152" t="n">
        <v>2</v>
      </c>
      <c r="BF9" s="152" t="n">
        <v>0</v>
      </c>
      <c r="BG9" s="150" t="inlineStr"/>
      <c r="BI9" s="150" t="inlineStr">
        <is>
          <t>Eco</t>
        </is>
      </c>
      <c r="BJ9" s="152" t="n">
        <v>2</v>
      </c>
      <c r="BK9" s="150" t="inlineStr">
        <is>
          <t>Quando um feitiço seu reduzir um inimigo a 0 pontos de vida, o próximo feitiço que você conjurar nesta cena custa metade do seu PE normal, arredondada para cima. Derrubado, a condição, não ativa Eco.</t>
        </is>
      </c>
      <c r="BL9" s="150" t="inlineStr"/>
      <c r="BS9" s="150" t="inlineStr">
        <is>
          <t>Marca</t>
        </is>
      </c>
      <c r="CA9" s="150" t="inlineStr">
        <is>
          <t>Ocultismo</t>
        </is>
      </c>
      <c r="CB9" s="150" t="inlineStr">
        <is>
          <t>Inteligência</t>
        </is>
      </c>
      <c r="CF9" s="150" t="inlineStr">
        <is>
          <t>Trovejante</t>
        </is>
      </c>
      <c r="CW9" s="150" t="inlineStr">
        <is>
          <t>corpos mantidos</t>
        </is>
      </c>
      <c r="CX9" s="152">
        <f>$CX$6+$CX$8</f>
        <v/>
      </c>
      <c r="CZ9" s="152" t="n">
        <v>8</v>
      </c>
      <c r="DA9" s="152">
        <f>'INVOCAÇÕES'!$AB$211&amp;""</f>
        <v/>
      </c>
      <c r="DB9" s="152">
        <f>'INVOCAÇÕES'!$AB$241&amp;""</f>
        <v/>
      </c>
      <c r="DC9" s="152">
        <f>'INVOCAÇÕES'!$AB$245&amp;""</f>
        <v/>
      </c>
      <c r="DD9" s="152">
        <f>N('INVOCAÇÕES'!$AD$245)</f>
        <v/>
      </c>
      <c r="DE9" s="152">
        <f>'INVOCAÇÕES'!$AE$245&amp;""</f>
        <v/>
      </c>
      <c r="DF9" s="152">
        <f>N('INVOCAÇÕES'!$AH$218)</f>
        <v/>
      </c>
      <c r="DG9" s="152">
        <f>N('INVOCAÇÕES'!$AI$218)</f>
        <v/>
      </c>
      <c r="DH9" s="152">
        <f>N('INVOCAÇÕES'!$AJ$218)</f>
        <v/>
      </c>
      <c r="DI9" s="152">
        <f>N('INVOCAÇÕES'!$AK$218)</f>
        <v/>
      </c>
      <c r="DJ9" s="152">
        <f>N('INVOCAÇÕES'!$AL$218)</f>
        <v/>
      </c>
      <c r="DK9" s="152">
        <f>N('INVOCAÇÕES'!$AH$219)</f>
        <v/>
      </c>
      <c r="DL9" s="152">
        <f>N('INVOCAÇÕES'!$AI$219)</f>
        <v/>
      </c>
      <c r="DM9" s="152">
        <f>N('INVOCAÇÕES'!$AJ$219)</f>
        <v/>
      </c>
      <c r="DN9" s="152">
        <f>N('INVOCAÇÕES'!$AK$219)</f>
        <v/>
      </c>
      <c r="DO9" s="152">
        <f>N('INVOCAÇÕES'!$AL$219)</f>
        <v/>
      </c>
      <c r="DP9" s="152">
        <f>'INVOCAÇÕES'!$AH$232&amp;""</f>
        <v/>
      </c>
      <c r="DQ9" s="152">
        <f>'INVOCAÇÕES'!$AK$232&amp;""</f>
        <v/>
      </c>
      <c r="DR9" s="152">
        <f>'INVOCAÇÕES'!$AL$227&amp;""</f>
        <v/>
      </c>
      <c r="DS9" s="152">
        <f>N('INVOCAÇÕES'!$AH$224)</f>
        <v/>
      </c>
      <c r="DT9" s="152">
        <f>N('INVOCAÇÕES'!$AI$224)</f>
        <v/>
      </c>
      <c r="DU9" s="152">
        <f>N('INVOCAÇÕES'!$AJ$224)</f>
        <v/>
      </c>
      <c r="DV9" s="152">
        <f>N('INVOCAÇÕES'!$AK$224)</f>
        <v/>
      </c>
      <c r="DW9" s="152">
        <f>N('INVOCAÇÕES'!$AL$224)</f>
        <v/>
      </c>
      <c r="DX9" s="152">
        <f>N('INVOCAÇÕES'!$AH$229)</f>
        <v/>
      </c>
      <c r="DY9" s="152">
        <f>N('INVOCAÇÕES'!$AI$229)</f>
        <v/>
      </c>
      <c r="DZ9" s="152">
        <f>N('INVOCAÇÕES'!$AJ$229)</f>
        <v/>
      </c>
      <c r="EA9" s="152">
        <f>N('INVOCAÇÕES'!$AK$229)</f>
        <v/>
      </c>
      <c r="EB9" s="152">
        <f>'INVOCAÇÕES'!$AN$211&amp;""</f>
        <v/>
      </c>
      <c r="EC9" s="152">
        <f>N('INVOCAÇÕES'!$AP$211)</f>
        <v/>
      </c>
      <c r="ED9" s="152">
        <f>'INVOCAÇÕES'!$AR$211&amp;""</f>
        <v/>
      </c>
      <c r="EE9" s="152">
        <f>SUM('INVOCAÇÕES'!$AR$231:'INVOCAÇÕES'!$AR$233,'INVOCAÇÕES'!$AR$235:'INVOCAÇÕES'!$AR$240)</f>
        <v/>
      </c>
      <c r="EF9" s="152">
        <f>'INVOCAÇÕES'!$AH$246&amp;""</f>
        <v/>
      </c>
      <c r="EG9" s="152">
        <f>'INVOCAÇÕES'!$AI$246&amp;""</f>
        <v/>
      </c>
      <c r="EH9" s="152">
        <f>'INVOCAÇÕES'!$AJ$246&amp;""</f>
        <v/>
      </c>
      <c r="EI9" s="152">
        <f>'INVOCAÇÕES'!$AK$246&amp;""</f>
        <v/>
      </c>
      <c r="EJ9" s="152">
        <f>'INVOCAÇÕES'!$AL$246&amp;""</f>
        <v/>
      </c>
      <c r="EK9" s="152">
        <f>'INVOCAÇÕES'!$AH$236&amp;""</f>
        <v/>
      </c>
      <c r="EL9" s="152">
        <f>'INVOCAÇÕES'!$AH$237&amp;""</f>
        <v/>
      </c>
      <c r="EM9" s="152">
        <f>'INVOCAÇÕES'!$AH$238&amp;""</f>
        <v/>
      </c>
      <c r="EN9" s="152">
        <f>'INVOCAÇÕES'!$AH$239&amp;""</f>
        <v/>
      </c>
      <c r="EO9" s="152">
        <f>'INVOCAÇÕES'!$AH$240&amp;""</f>
        <v/>
      </c>
      <c r="EP9" s="152">
        <f>'INVOCAÇÕES'!$AH$241&amp;""</f>
        <v/>
      </c>
      <c r="EQ9" s="152">
        <f>'INVOCAÇÕES'!$AH$242&amp;""</f>
        <v/>
      </c>
      <c r="ER9" s="152">
        <f>'INVOCAÇÕES'!$AC$278&amp;""</f>
        <v/>
      </c>
      <c r="ES9" s="152">
        <f>'INVOCAÇÕES'!$AC$279&amp;""</f>
        <v/>
      </c>
      <c r="ET9" s="152">
        <f>'INVOCAÇÕES'!$AC$280&amp;""</f>
        <v/>
      </c>
      <c r="EU9" s="152">
        <f>'INVOCAÇÕES'!$AC$281&amp;""</f>
        <v/>
      </c>
      <c r="EV9" s="152">
        <f>'INVOCAÇÕES'!$AC$282&amp;""</f>
        <v/>
      </c>
      <c r="EW9" s="152">
        <f>'INVOCAÇÕES'!$AC$283&amp;""</f>
        <v/>
      </c>
      <c r="EX9" s="152">
        <f>'INVOCAÇÕES'!$AC$284&amp;""</f>
        <v/>
      </c>
      <c r="EY9" s="152">
        <f>'INVOCAÇÕES'!$AC$285&amp;""</f>
        <v/>
      </c>
      <c r="EZ9" s="152">
        <f>'INVOCAÇÕES'!$AC$380&amp;""</f>
        <v/>
      </c>
      <c r="FA9" s="152">
        <f>'INVOCAÇÕES'!$AC$381&amp;""</f>
        <v/>
      </c>
      <c r="FB9" s="152">
        <f>'INVOCAÇÕES'!$AC$382&amp;""</f>
        <v/>
      </c>
      <c r="FC9" s="152">
        <f>MAX(3,MIN(7,N('INVOCAÇÕES'!$AB$387)))</f>
        <v/>
      </c>
      <c r="FD9" s="152">
        <f>MAX(3,MIN(7,N('INVOCAÇÕES'!$AH$387)))</f>
        <v/>
      </c>
      <c r="FE9" s="152">
        <f>MAX(3,MIN(7,N('INVOCAÇÕES'!$AN$387)))</f>
        <v/>
      </c>
      <c r="FF9" s="152">
        <f>'INVOCAÇÕES'!$AH$401&amp;""</f>
        <v/>
      </c>
      <c r="FG9" s="152">
        <f>IF($DA9&lt;&gt;"",1,0)</f>
        <v/>
      </c>
      <c r="FH9" s="152">
        <f>IFERROR(VLOOKUP($DC9,$BP$2:$BQ$5,2,FALSE),1)</f>
        <v/>
      </c>
      <c r="FI9" s="152">
        <f>IF($FH9=1,$CX$2,MAX(1,MIN($CX$2,IF($DD9=0,$CX$2,$DD9))))</f>
        <v/>
      </c>
      <c r="FJ9" s="152">
        <f>VLOOKUP(MAX(1,$FI9),$A$2:$D$8,2,TRUE)</f>
        <v/>
      </c>
      <c r="FK9" s="152">
        <f>VLOOKUP(MAX(1,$FI9),$A$2:$D$8,3,TRUE)</f>
        <v/>
      </c>
      <c r="FL9" s="152">
        <f>$DF9+$DK9</f>
        <v/>
      </c>
      <c r="FM9" s="152">
        <f>$DG9+$DL9</f>
        <v/>
      </c>
      <c r="FN9" s="152">
        <f>$DH9+$DM9</f>
        <v/>
      </c>
      <c r="FO9" s="152">
        <f>$DI9+$DN9</f>
        <v/>
      </c>
      <c r="FP9" s="152">
        <f>$DJ9+$DO9</f>
        <v/>
      </c>
      <c r="FQ9" s="152">
        <f>SUM($DF9:$DJ9)</f>
        <v/>
      </c>
      <c r="FR9" s="152">
        <f>9+$FS9</f>
        <v/>
      </c>
      <c r="FS9" s="152">
        <f>COUNTIF($F$2:$F$8,"&lt;="&amp;$FI9)</f>
        <v/>
      </c>
      <c r="FT9" s="152">
        <f>MAX(0,$DF9-3)+MAX(0,$DG9-3)+MAX(0,$DH9-3)+MAX(0,$DI9-3)+MAX(0,$DJ9-3)</f>
        <v/>
      </c>
      <c r="FU9" s="152">
        <f>IFERROR(INDEX($FL9:$FP9,1,MATCH($DP9,$BU$2:$BU$6,0)),"")</f>
        <v/>
      </c>
      <c r="FV9" s="152">
        <f>IF($FU9="","",$FU9+$CX$3+$DS9)</f>
        <v/>
      </c>
      <c r="FW9" s="152">
        <f>IF($FU9="","",8+$FU9+$CX$3+$DT9)</f>
        <v/>
      </c>
      <c r="FX9" s="152">
        <f>10+$FM9+$CX$7+$DU9</f>
        <v/>
      </c>
      <c r="FY9" s="152">
        <f>IF($DB9="Corpo amaldiçoado de criação",1,0)</f>
        <v/>
      </c>
      <c r="FZ9" s="152">
        <f>5+$FN9+(3+$FY9+$FN9)*($FI9-1)+$DV9</f>
        <v/>
      </c>
      <c r="GA9" s="152">
        <f>IF($FG9=0,"",$FZ9)</f>
        <v/>
      </c>
      <c r="GB9" s="152">
        <f>IF($EB9="",$FZ9,MAX(0,MIN(IFERROR(VALUE($EB9),$FZ9),$FZ9)))</f>
        <v/>
      </c>
      <c r="GC9" s="152">
        <f>9+$DW9</f>
        <v/>
      </c>
      <c r="GD9" s="152">
        <f>IF($DQ9="Destreza",$FM9,$FL9)</f>
        <v/>
      </c>
      <c r="GE9" s="152">
        <f>$GD9+IF($DR9="Físico",$CX$3,0)+$DX9</f>
        <v/>
      </c>
      <c r="GF9" s="152">
        <f>$FN9+IF($DR9="Vigor",$CX$3,0)+$DY9</f>
        <v/>
      </c>
      <c r="GG9" s="152">
        <f>$FO9+IF($DR9="Intelecto",$CX$3,0)+$DZ9</f>
        <v/>
      </c>
      <c r="GH9" s="152">
        <f>$FP9+IF($DR9="Espírito",$CX$3,0)+$EA9</f>
        <v/>
      </c>
      <c r="GI9" s="152">
        <f>4+INT($DI9/2)</f>
        <v/>
      </c>
      <c r="GJ9" s="152">
        <f>COUNTIF($EK9:$EQ9,"?*")</f>
        <v/>
      </c>
      <c r="GK9" s="152">
        <f>INT((2+$FI9/2)/2)</f>
        <v/>
      </c>
      <c r="GL9" s="152">
        <f>IF($FI9&gt;=11,2,1)</f>
        <v/>
      </c>
      <c r="GM9" s="152">
        <f>1+$FS9</f>
        <v/>
      </c>
      <c r="GN9" s="152">
        <f>COUNTIF($ER9:$EY9,"?*")</f>
        <v/>
      </c>
      <c r="GO9" s="152">
        <f>IF(AND($DB9="Shikigami de criação",$DE9="Com carga"),MAX(1,CEILING($FJ9/2,1)),$FJ9)</f>
        <v/>
      </c>
      <c r="GP9" s="152">
        <f>$FJ9+$GO9</f>
        <v/>
      </c>
      <c r="GQ9" s="152">
        <f>$FI9*(1+INT($DJ9/3))</f>
        <v/>
      </c>
      <c r="GR9" s="152">
        <f>5+$FL9</f>
        <v/>
      </c>
      <c r="GS9" s="152">
        <f>COUNTIF($EF9:$EJ9,"?*")</f>
        <v/>
      </c>
      <c r="GT9" s="152">
        <f>IF($EF9="",0,IF(COUNTIF($EF9:$EJ9,$EF9)&gt;1,1,0))+IF($EG9="",0,IF(COUNTIF($EF9:$EJ9,$EG9)&gt;1,1,0))+IF($EH9="",0,IF(COUNTIF($EF9:$EJ9,$EH9)&gt;1,1,0))+IF($EI9="",0,IF(COUNTIF($EF9:$EJ9,$EI9)&gt;1,1,0))+IF($EJ9="",0,IF(COUNTIF($EF9:$EJ9,$EJ9)&gt;1,1,0))</f>
        <v/>
      </c>
      <c r="GU9" s="152">
        <f>$CX$11</f>
        <v/>
      </c>
      <c r="GV9" s="152">
        <f>IF($FG9=0,"INVOCAÇÃO 8 · lugar vazio",$DA9&amp;" · "&amp;$DB9&amp;" · nível "&amp;$FI9&amp;" · vida "&amp;$GB9&amp;" de "&amp;$FZ9)</f>
        <v/>
      </c>
      <c r="GW9" s="152">
        <f>IF($FG9=0,"VAZIA",UPPER($DA9))</f>
        <v/>
      </c>
      <c r="GX9" s="152">
        <f>IF($CX$3&gt;=0,"+","−")&amp;ABS($CX$3)</f>
        <v/>
      </c>
      <c r="GY9" s="152">
        <f>$GO9&amp;" PE"</f>
        <v/>
      </c>
      <c r="GZ9" s="152">
        <f>$GP9&amp;" PE"</f>
        <v/>
      </c>
      <c r="HA9" s="152">
        <f>IF(OR($FQ9&gt;$FR9,$FT9&gt;$FS9),"⚠ ",IF(AND($FG9=1,$FQ9&lt;$FR9),"! ",""))&amp;"ATRIBUTOS · "&amp;$FQ9&amp;" DE "&amp;$FR9&amp;" PONTOS"&amp;IF($FT9&gt;$FS9," · ACIMA DE 3 SÓ COM MARCO","")</f>
        <v/>
      </c>
      <c r="HB9" s="152">
        <f>IF($FV9="","",IF($FV9&gt;=0,"+","−")&amp;ABS($FV9))</f>
        <v/>
      </c>
      <c r="HC9" s="152">
        <f>IF($FW9="","",$FW9)</f>
        <v/>
      </c>
      <c r="HD9" s="152">
        <f>SUBSTITUTE($GC9&amp;" m",".",",")</f>
        <v/>
      </c>
      <c r="HE9" s="152">
        <f>IF($GE9&gt;=0,"+","−")&amp;ABS($GE9)</f>
        <v/>
      </c>
      <c r="HF9" s="152">
        <f>IF($GF9&gt;=0,"+","−")&amp;ABS($GF9)</f>
        <v/>
      </c>
      <c r="HG9" s="152">
        <f>IF($GG9&gt;=0,"+","−")&amp;ABS($GG9)</f>
        <v/>
      </c>
      <c r="HH9" s="152">
        <f>IF($GH9&gt;=0,"+","−")&amp;ABS($GH9)</f>
        <v/>
      </c>
      <c r="HI9" s="152">
        <f>IF($GJ9&gt;$GI9,"⚠ ","")&amp;"PERÍCIAS · "&amp;$GJ9&amp;" DE "&amp;$GI9</f>
        <v/>
      </c>
      <c r="HJ9" s="152">
        <f>IF($EK9="","",IFERROR(IF((INDEX($FL9:$FP9,1,MATCH(VLOOKUP($EK9,$CA$2:$CB$24,2,FALSE),$BU$2:$BU$6,0))+$CX$3)&gt;=0,"+","−")&amp;ABS((INDEX($FL9:$FP9,1,MATCH(VLOOKUP($EK9,$CA$2:$CB$24,2,FALSE),$BU$2:$BU$6,0))+$CX$3)),""))</f>
        <v/>
      </c>
      <c r="HK9" s="152">
        <f>IF($EL9="","",IFERROR(IF((INDEX($FL9:$FP9,1,MATCH(VLOOKUP($EL9,$CA$2:$CB$24,2,FALSE),$BU$2:$BU$6,0))+$CX$3)&gt;=0,"+","−")&amp;ABS((INDEX($FL9:$FP9,1,MATCH(VLOOKUP($EL9,$CA$2:$CB$24,2,FALSE),$BU$2:$BU$6,0))+$CX$3)),""))</f>
        <v/>
      </c>
      <c r="HL9" s="152">
        <f>IF($EM9="","",IFERROR(IF((INDEX($FL9:$FP9,1,MATCH(VLOOKUP($EM9,$CA$2:$CB$24,2,FALSE),$BU$2:$BU$6,0))+$CX$3)&gt;=0,"+","−")&amp;ABS((INDEX($FL9:$FP9,1,MATCH(VLOOKUP($EM9,$CA$2:$CB$24,2,FALSE),$BU$2:$BU$6,0))+$CX$3)),""))</f>
        <v/>
      </c>
      <c r="HM9" s="152">
        <f>IF($EN9="","",IFERROR(IF((INDEX($FL9:$FP9,1,MATCH(VLOOKUP($EN9,$CA$2:$CB$24,2,FALSE),$BU$2:$BU$6,0))+$CX$3)&gt;=0,"+","−")&amp;ABS((INDEX($FL9:$FP9,1,MATCH(VLOOKUP($EN9,$CA$2:$CB$24,2,FALSE),$BU$2:$BU$6,0))+$CX$3)),""))</f>
        <v/>
      </c>
      <c r="HN9" s="152">
        <f>IF($EO9="","",IFERROR(IF((INDEX($FL9:$FP9,1,MATCH(VLOOKUP($EO9,$CA$2:$CB$24,2,FALSE),$BU$2:$BU$6,0))+$CX$3)&gt;=0,"+","−")&amp;ABS((INDEX($FL9:$FP9,1,MATCH(VLOOKUP($EO9,$CA$2:$CB$24,2,FALSE),$BU$2:$BU$6,0))+$CX$3)),""))</f>
        <v/>
      </c>
      <c r="HO9" s="152">
        <f>IF($EP9="","",IFERROR(IF((INDEX($FL9:$FP9,1,MATCH(VLOOKUP($EP9,$CA$2:$CB$24,2,FALSE),$BU$2:$BU$6,0))+$CX$3)&gt;=0,"+","−")&amp;ABS((INDEX($FL9:$FP9,1,MATCH(VLOOKUP($EP9,$CA$2:$CB$24,2,FALSE),$BU$2:$BU$6,0))+$CX$3)),""))</f>
        <v/>
      </c>
      <c r="HP9" s="152">
        <f>IF($EQ9="","",IFERROR(IF((INDEX($FL9:$FP9,1,MATCH(VLOOKUP($EQ9,$CA$2:$CB$24,2,FALSE),$BU$2:$BU$6,0))+$CX$3)&gt;=0,"+","−")&amp;ABS((INDEX($FL9:$FP9,1,MATCH(VLOOKUP($EQ9,$CA$2:$CB$24,2,FALSE),$BU$2:$BU$6,0))+$CX$3)),""))</f>
        <v/>
      </c>
      <c r="HQ9" s="152">
        <f>IF($DB9="Maldição domada","RESERVA · MÁX. "&amp;$GQ9,"RESERVA DE PE")</f>
        <v/>
      </c>
      <c r="HR9" s="152">
        <f>IF($EE9&gt;$GR9,"⚠ ","")&amp;"EQUIPAMENTO · "&amp;$EE9&amp;" DE "&amp;$GR9&amp;" DE VOLUME"&amp;IF($EE9&gt;$GR9," · PASSOU DO LIMITE","")</f>
        <v/>
      </c>
      <c r="HS9" s="152">
        <f>IF(OR($GT9&gt;0,$GS9&gt;$GU9),"⚠ ","")&amp;"FAMÍLIAS · "&amp;$GS9&amp;" ABERTAS"&amp;IF($GT9&gt;0," · REPETIDA","")&amp;IF($GS9&gt;$GU9," · O LIMITE É "&amp;$GU9,"")</f>
        <v/>
      </c>
      <c r="HT9" s="152">
        <f>"HABILIDADES · básica de "&amp;$FK9&amp;"d6 · "&amp;$GK9&amp;IF($GK9&gt;1," espaços"," espaço")&amp;" de especial até a Classe "&amp;$FJ9&amp;" · "&amp;$GM9&amp;IF($GM9&gt;1," talentos"," talento")</f>
        <v/>
      </c>
      <c r="HU9" s="152">
        <f>IF($GN9&gt;$GM9,"⚠ ","")&amp;"TALENTOS · "&amp;$GN9&amp;" DE "&amp;$GM9</f>
        <v/>
      </c>
      <c r="HV9" s="152">
        <f>IFERROR(VLOOKUP($ER9,$BI$2:$BL$15,2,FALSE),0)</f>
        <v/>
      </c>
      <c r="HW9" s="152">
        <f>IFERROR(VLOOKUP($ES9,$BI$2:$BL$15,2,FALSE),0)</f>
        <v/>
      </c>
      <c r="HX9" s="152">
        <f>IFERROR(VLOOKUP($ET9,$BI$2:$BL$15,2,FALSE),0)</f>
        <v/>
      </c>
      <c r="HY9" s="152">
        <f>IFERROR(VLOOKUP($EU9,$BI$2:$BL$15,2,FALSE),0)</f>
        <v/>
      </c>
      <c r="HZ9" s="152">
        <f>IFERROR(VLOOKUP($EV9,$BI$2:$BL$15,2,FALSE),0)</f>
        <v/>
      </c>
      <c r="IA9" s="152">
        <f>IFERROR(VLOOKUP($EW9,$BI$2:$BL$15,2,FALSE),0)</f>
        <v/>
      </c>
      <c r="IB9" s="152">
        <f>IFERROR(VLOOKUP($EX9,$BI$2:$BL$15,2,FALSE),0)</f>
        <v/>
      </c>
      <c r="IC9" s="152">
        <f>IFERROR(VLOOKUP($EY9,$BI$2:$BL$15,2,FALSE),0)</f>
        <v/>
      </c>
      <c r="ID9" s="152">
        <f>IF($ER9="","",IF(1&gt;$FI9,"⚠ Este talento abre no nível 1",IF($HV9&gt;1,"⚠ Categoria "&amp;$HV9&amp;": este ganho vai até a 1 · ","")&amp;IFERROR(VLOOKUP($ER9,$BI$2:$BL$15,3,FALSE),"")))</f>
        <v/>
      </c>
      <c r="IE9" s="152">
        <f>IF($ES9="","",IF(6&gt;$FI9,"⚠ Este talento abre no nível 6",IF($HW9&gt;1,"⚠ Categoria "&amp;$HW9&amp;": este ganho vai até a 1 · ","")&amp;IFERROR(VLOOKUP($ES9,$BI$2:$BL$15,3,FALSE),"")))</f>
        <v/>
      </c>
      <c r="IF9" s="152">
        <f>IF($ET9="","",IF(10&gt;$FI9,"⚠ Este talento abre no nível 10",IF($HX9&gt;2,"⚠ Categoria "&amp;$HX9&amp;": este ganho vai até a 2 · ","")&amp;IFERROR(VLOOKUP($ET9,$BI$2:$BL$15,3,FALSE),"")))</f>
        <v/>
      </c>
      <c r="IG9" s="152">
        <f>IF($EU9="","",IF(14&gt;$FI9,"⚠ Este talento abre no nível 14",IF($HY9&gt;3,"⚠ Categoria "&amp;$HY9&amp;": este ganho vai até a 3 · ","")&amp;IFERROR(VLOOKUP($EU9,$BI$2:$BL$15,3,FALSE),"")))</f>
        <v/>
      </c>
      <c r="IH9" s="152">
        <f>IF($EV9="","",IF(18&gt;$FI9,"⚠ Este talento abre no nível 18",IF($HZ9&gt;3,"⚠ Categoria "&amp;$HZ9&amp;": este ganho vai até a 3 · ","")&amp;IFERROR(VLOOKUP($EV9,$BI$2:$BL$15,3,FALSE),"")))</f>
        <v/>
      </c>
      <c r="II9" s="152">
        <f>IF($EW9="","",IF(22&gt;$FI9,"⚠ Este talento abre no nível 22",IF($IA9&gt;3,"⚠ Categoria "&amp;$IA9&amp;": este ganho vai até a 3 · ","")&amp;IFERROR(VLOOKUP($EW9,$BI$2:$BL$15,3,FALSE),"")))</f>
        <v/>
      </c>
      <c r="IJ9" s="152">
        <f>IF($EX9="","",IF(26&gt;$FI9,"⚠ Este talento abre no nível 26",IF($IB9&gt;3,"⚠ Categoria "&amp;$IB9&amp;": este ganho vai até a 3 · ","")&amp;IFERROR(VLOOKUP($EX9,$BI$2:$BL$15,3,FALSE),"")))</f>
        <v/>
      </c>
      <c r="IK9" s="152">
        <f>IF($EY9="","",IF(30&gt;$FI9,"⚠ Este talento abre no nível 30",IF($IC9&gt;3,"⚠ Categoria "&amp;$IC9&amp;": este ganho vai até a 3 · ","")&amp;IFERROR(VLOOKUP($EY9,$BI$2:$BL$15,3,FALSE),"")))</f>
        <v/>
      </c>
      <c r="IL9" s="152">
        <f>IF($EZ9="","",IFERROR(VLOOKUP($EZ9,$BI$2:$BL$15,3,FALSE),""))</f>
        <v/>
      </c>
      <c r="IM9" s="152">
        <f>IF($FA9="","",IFERROR(VLOOKUP($FA9,$BI$2:$BL$15,3,FALSE),""))</f>
        <v/>
      </c>
      <c r="IN9" s="152">
        <f>IF($FB9="","",IFERROR(VLOOKUP($FB9,$BI$2:$BL$15,3,FALSE),""))</f>
        <v/>
      </c>
      <c r="IO9" s="152">
        <f>CEILING(4.5*$FC9,1)&amp;" PE"</f>
        <v/>
      </c>
      <c r="IP9" s="152">
        <f>CEILING(4.5*$FD9,1)&amp;" PE"</f>
        <v/>
      </c>
      <c r="IQ9" s="152">
        <f>CEILING(4.5*$FE9,1)&amp;" PE"</f>
        <v/>
      </c>
      <c r="IR9" s="152">
        <f>INDEX($P$2:$P$8,$FC9)&amp;" pontos + "&amp;$FC9&amp;"d8"</f>
        <v/>
      </c>
      <c r="IS9" s="152">
        <f>INDEX($P$2:$P$8,$FD9)&amp;" pontos + "&amp;$FD9&amp;"d8"</f>
        <v/>
      </c>
      <c r="IT9" s="152">
        <f>INDEX($P$2:$P$8,$FE9)&amp;" pontos + "&amp;$FE9&amp;"d8"</f>
        <v/>
      </c>
      <c r="IU9" s="152">
        <f>IF($FI9&lt;17,"—",VLOOKUP($FI9,$CL$2:$CO$4,4,TRUE)&amp;" PE")</f>
        <v/>
      </c>
      <c r="IV9" s="152">
        <f>IF($FI9&lt;17,"Abre no nível 17",VLOOKUP($FI9,$CL$2:$CO$4,2,TRUE)&amp;" fixos · "&amp;VLOOKUP($FI9,$CL$2:$CO$4,3,TRUE)&amp;" pontos")</f>
        <v/>
      </c>
      <c r="IW9" s="152">
        <f>IF($FF9="Sem Barreiras",7,6)*$FJ9&amp;" PE"</f>
        <v/>
      </c>
      <c r="IX9" s="152">
        <f>"Acerto "&amp;$FJ9&amp;"d8"</f>
        <v/>
      </c>
      <c r="IY9" s="152">
        <f>IFERROR(VLOOKUP($FF9,$CQ$2:$CS$4,3,FALSE),"Escolha o degrau")</f>
        <v/>
      </c>
      <c r="IZ9" s="152">
        <f>8&amp;" · "&amp;IF($FG9=0,"vazia",$DA9&amp;" · nv "&amp;$FI9&amp;" · "&amp;$GB9&amp;"/"&amp;$FZ9)</f>
        <v/>
      </c>
      <c r="JB9" s="150" t="inlineStr">
        <is>
          <t>Invocação 8</t>
        </is>
      </c>
      <c r="JC9" s="152">
        <f>ADDRESS(ROW('INVOCAÇÕES'!D28),COLUMN('INVOCAÇÕES'!D28),4)</f>
        <v/>
      </c>
      <c r="JD9" s="152">
        <f>ADDRESS(ROW('INVOCAÇÕES'!AA207),COLUMN('INVOCAÇÕES'!AA207),4)</f>
        <v/>
      </c>
      <c r="JE9" s="150" t="inlineStr">
        <is>
          <t>DADOS_INVOC!$IZ$9</t>
        </is>
      </c>
      <c r="JG9" s="152">
        <f>IF(OR($AW9="",COUNTIF($EF$2:$EJ$2,$AW9)&gt;0),$AV9,"")</f>
        <v/>
      </c>
      <c r="JH9" s="152">
        <f>IF(AND($AX9=1,OR($AW9="",COUNTIF($EF$2:$EJ$2,$AW9)&gt;0)),$AV9,"")</f>
        <v/>
      </c>
      <c r="JJ9" s="152">
        <f>IF(OR($W9="",COUNTIF($EF$2:$EJ$2,$W9)&gt;0),$V9,"")</f>
        <v/>
      </c>
      <c r="JK9" s="152">
        <f>IF(AND($AF9=1,OR($W9="",COUNTIF($EF$2:$EJ$2,$W9)&gt;0)),$V9,"")</f>
        <v/>
      </c>
      <c r="JM9" s="152">
        <f>IF(OR($AW9="",COUNTIF($EF$3:$EJ$3,$AW9)&gt;0),$AV9,"")</f>
        <v/>
      </c>
      <c r="JN9" s="152">
        <f>IF(AND($AX9=1,OR($AW9="",COUNTIF($EF$3:$EJ$3,$AW9)&gt;0)),$AV9,"")</f>
        <v/>
      </c>
      <c r="JP9" s="152">
        <f>IF(OR($W9="",COUNTIF($EF$3:$EJ$3,$W9)&gt;0),$V9,"")</f>
        <v/>
      </c>
      <c r="JQ9" s="152">
        <f>IF(AND($AF9=1,OR($W9="",COUNTIF($EF$3:$EJ$3,$W9)&gt;0)),$V9,"")</f>
        <v/>
      </c>
      <c r="JS9" s="152">
        <f>IF(OR($AW9="",COUNTIF($EF$4:$EJ$4,$AW9)&gt;0),$AV9,"")</f>
        <v/>
      </c>
      <c r="JT9" s="152">
        <f>IF(AND($AX9=1,OR($AW9="",COUNTIF($EF$4:$EJ$4,$AW9)&gt;0)),$AV9,"")</f>
        <v/>
      </c>
      <c r="JV9" s="152">
        <f>IF(OR($W9="",COUNTIF($EF$4:$EJ$4,$W9)&gt;0),$V9,"")</f>
        <v/>
      </c>
      <c r="JW9" s="152">
        <f>IF(AND($AF9=1,OR($W9="",COUNTIF($EF$4:$EJ$4,$W9)&gt;0)),$V9,"")</f>
        <v/>
      </c>
      <c r="JY9" s="152">
        <f>IF(OR($AW9="",COUNTIF($EF$5:$EJ$5,$AW9)&gt;0),$AV9,"")</f>
        <v/>
      </c>
      <c r="JZ9" s="152">
        <f>IF(AND($AX9=1,OR($AW9="",COUNTIF($EF$5:$EJ$5,$AW9)&gt;0)),$AV9,"")</f>
        <v/>
      </c>
      <c r="KB9" s="152">
        <f>IF(OR($W9="",COUNTIF($EF$5:$EJ$5,$W9)&gt;0),$V9,"")</f>
        <v/>
      </c>
      <c r="KC9" s="152">
        <f>IF(AND($AF9=1,OR($W9="",COUNTIF($EF$5:$EJ$5,$W9)&gt;0)),$V9,"")</f>
        <v/>
      </c>
      <c r="KE9" s="152">
        <f>IF(OR($AW9="",COUNTIF($EF$6:$EJ$6,$AW9)&gt;0),$AV9,"")</f>
        <v/>
      </c>
      <c r="KF9" s="152">
        <f>IF(AND($AX9=1,OR($AW9="",COUNTIF($EF$6:$EJ$6,$AW9)&gt;0)),$AV9,"")</f>
        <v/>
      </c>
      <c r="KH9" s="152">
        <f>IF(OR($W9="",COUNTIF($EF$6:$EJ$6,$W9)&gt;0),$V9,"")</f>
        <v/>
      </c>
      <c r="KI9" s="152">
        <f>IF(AND($AF9=1,OR($W9="",COUNTIF($EF$6:$EJ$6,$W9)&gt;0)),$V9,"")</f>
        <v/>
      </c>
      <c r="KK9" s="152">
        <f>IF(OR($AW9="",COUNTIF($EF$7:$EJ$7,$AW9)&gt;0),$AV9,"")</f>
        <v/>
      </c>
      <c r="KL9" s="152">
        <f>IF(AND($AX9=1,OR($AW9="",COUNTIF($EF$7:$EJ$7,$AW9)&gt;0)),$AV9,"")</f>
        <v/>
      </c>
      <c r="KN9" s="152">
        <f>IF(OR($W9="",COUNTIF($EF$7:$EJ$7,$W9)&gt;0),$V9,"")</f>
        <v/>
      </c>
      <c r="KO9" s="152">
        <f>IF(AND($AF9=1,OR($W9="",COUNTIF($EF$7:$EJ$7,$W9)&gt;0)),$V9,"")</f>
        <v/>
      </c>
      <c r="KQ9" s="152">
        <f>IF(OR($AW9="",COUNTIF($EF$8:$EJ$8,$AW9)&gt;0),$AV9,"")</f>
        <v/>
      </c>
      <c r="KR9" s="152">
        <f>IF(AND($AX9=1,OR($AW9="",COUNTIF($EF$8:$EJ$8,$AW9)&gt;0)),$AV9,"")</f>
        <v/>
      </c>
      <c r="KT9" s="152">
        <f>IF(OR($W9="",COUNTIF($EF$8:$EJ$8,$W9)&gt;0),$V9,"")</f>
        <v/>
      </c>
      <c r="KU9" s="152">
        <f>IF(AND($AF9=1,OR($W9="",COUNTIF($EF$8:$EJ$8,$W9)&gt;0)),$V9,"")</f>
        <v/>
      </c>
      <c r="KW9" s="152">
        <f>IF(OR($AW9="",COUNTIF($EF$9:$EJ$9,$AW9)&gt;0),$AV9,"")</f>
        <v/>
      </c>
      <c r="KX9" s="152">
        <f>IF(AND($AX9=1,OR($AW9="",COUNTIF($EF$9:$EJ$9,$AW9)&gt;0)),$AV9,"")</f>
        <v/>
      </c>
      <c r="KZ9" s="152">
        <f>IF(OR($W9="",COUNTIF($EF$9:$EJ$9,$W9)&gt;0),$V9,"")</f>
        <v/>
      </c>
      <c r="LA9" s="152">
        <f>IF(AND($AF9=1,OR($W9="",COUNTIF($EF$9:$EJ$9,$W9)&gt;0)),$V9,"")</f>
        <v/>
      </c>
      <c r="LC9" s="152">
        <f>IF(OR($AW9="",COUNTIF($EF$10:$EJ$10,$AW9)&gt;0),$AV9,"")</f>
        <v/>
      </c>
      <c r="LD9" s="152">
        <f>IF(AND($AX9=1,OR($AW9="",COUNTIF($EF$10:$EJ$10,$AW9)&gt;0)),$AV9,"")</f>
        <v/>
      </c>
      <c r="LF9" s="152">
        <f>IF(OR($W9="",COUNTIF($EF$10:$EJ$10,$W9)&gt;0),$V9,"")</f>
        <v/>
      </c>
      <c r="LG9" s="152">
        <f>IF(AND($AF9=1,OR($W9="",COUNTIF($EF$10:$EJ$10,$W9)&gt;0)),$V9,"")</f>
        <v/>
      </c>
      <c r="LI9" s="152">
        <f>IF(OR($AW9="",COUNTIF($EF$11:$EJ$11,$AW9)&gt;0),$AV9,"")</f>
        <v/>
      </c>
      <c r="LJ9" s="152">
        <f>IF(AND($AX9=1,OR($AW9="",COUNTIF($EF$11:$EJ$11,$AW9)&gt;0)),$AV9,"")</f>
        <v/>
      </c>
      <c r="LL9" s="152">
        <f>IF(OR($W9="",COUNTIF($EF$11:$EJ$11,$W9)&gt;0),$V9,"")</f>
        <v/>
      </c>
      <c r="LM9" s="152">
        <f>IF(AND($AF9=1,OR($W9="",COUNTIF($EF$11:$EJ$11,$W9)&gt;0)),$V9,"")</f>
        <v/>
      </c>
      <c r="LO9" s="152">
        <f>IF(OR($AW9="",COUNTIF($EF$12:$EJ$12,$AW9)&gt;0),$AV9,"")</f>
        <v/>
      </c>
      <c r="LP9" s="152">
        <f>IF(AND($AX9=1,OR($AW9="",COUNTIF($EF$12:$EJ$12,$AW9)&gt;0)),$AV9,"")</f>
        <v/>
      </c>
      <c r="LR9" s="152">
        <f>IF(OR($W9="",COUNTIF($EF$12:$EJ$12,$W9)&gt;0),$V9,"")</f>
        <v/>
      </c>
      <c r="LS9" s="152">
        <f>IF(AND($AF9=1,OR($W9="",COUNTIF($EF$12:$EJ$12,$W9)&gt;0)),$V9,"")</f>
        <v/>
      </c>
      <c r="LU9" s="152">
        <f>IF(OR($AW9="",COUNTIF($EF$13:$EJ$13,$AW9)&gt;0),$AV9,"")</f>
        <v/>
      </c>
      <c r="LV9" s="152">
        <f>IF(AND($AX9=1,OR($AW9="",COUNTIF($EF$13:$EJ$13,$AW9)&gt;0)),$AV9,"")</f>
        <v/>
      </c>
      <c r="LX9" s="152">
        <f>IF(OR($W9="",COUNTIF($EF$13:$EJ$13,$W9)&gt;0),$V9,"")</f>
        <v/>
      </c>
      <c r="LY9" s="152">
        <f>IF(AND($AF9=1,OR($W9="",COUNTIF($EF$13:$EJ$13,$W9)&gt;0)),$V9,"")</f>
        <v/>
      </c>
      <c r="MA9" s="150" t="inlineStr">
        <is>
          <t>Ficha 1 · Especial 6</t>
        </is>
      </c>
      <c r="MB9" s="152" t="n">
        <v>1</v>
      </c>
      <c r="MC9" s="152" t="n">
        <v>1</v>
      </c>
      <c r="MD9" s="152" t="n">
        <v>20</v>
      </c>
      <c r="ME9" s="150" t="inlineStr">
        <is>
          <t>ESPECIAL 6</t>
        </is>
      </c>
      <c r="MF9" s="152">
        <f>MAX(1,MIN(7,N('INVOCAÇÕES'!$O$114)))</f>
        <v/>
      </c>
      <c r="MG9" s="152">
        <f>'INVOCAÇÕES'!$P$114&amp;""</f>
        <v/>
      </c>
      <c r="MH9" s="152">
        <f>'INVOCAÇÕES'!$O$119&amp;""</f>
        <v/>
      </c>
      <c r="MI9" s="152">
        <f>'INVOCAÇÕES'!$O$120&amp;""</f>
        <v/>
      </c>
      <c r="MJ9" s="152">
        <f>'INVOCAÇÕES'!$Q$120&amp;""</f>
        <v/>
      </c>
      <c r="MK9" s="152">
        <f>'INVOCAÇÕES'!$P$123&amp;""</f>
        <v/>
      </c>
      <c r="ML9" s="152">
        <f>'INVOCAÇÕES'!$P$124&amp;""</f>
        <v/>
      </c>
      <c r="MM9" s="152">
        <f>'INVOCAÇÕES'!$P$125&amp;""</f>
        <v/>
      </c>
      <c r="MN9" s="152">
        <f>'INVOCAÇÕES'!$P$126&amp;""</f>
        <v/>
      </c>
      <c r="MO9" s="152">
        <f>'INVOCAÇÕES'!$P$127&amp;""</f>
        <v/>
      </c>
      <c r="MP9" s="152">
        <f>'INVOCAÇÕES'!$P$128&amp;""</f>
        <v/>
      </c>
      <c r="MQ9" s="152">
        <f>IF($MG9&lt;&gt;"",1,0)</f>
        <v/>
      </c>
      <c r="MR9" s="152">
        <f>INDEX($FI$2:$FI$13,$MB9)</f>
        <v/>
      </c>
      <c r="MS9" s="152">
        <f>INDEX($FJ$2:$FJ$13,$MB9)</f>
        <v/>
      </c>
      <c r="MT9" s="152">
        <f>INDEX($FK$2:$FK$13,$MB9)</f>
        <v/>
      </c>
      <c r="MU9" s="152">
        <f>INDEX($FV$2:$FV$13,$MB9)</f>
        <v/>
      </c>
      <c r="MV9" s="152">
        <f>INDEX($FW$2:$FW$13,$MB9)</f>
        <v/>
      </c>
      <c r="MW9" s="152">
        <f>IFERROR(MATCH($MH9,$V$2:$V$11,0),0)</f>
        <v/>
      </c>
      <c r="MX9" s="152">
        <f>IFERROR(VLOOKUP($MK9,$AV$2:$BA$84,2,FALSE),"")</f>
        <v/>
      </c>
      <c r="MY9" s="152">
        <f>IFERROR(VLOOKUP($ML9,$AV$2:$BA$84,2,FALSE),"")</f>
        <v/>
      </c>
      <c r="MZ9" s="152">
        <f>IFERROR(VLOOKUP($MM9,$AV$2:$BA$84,2,FALSE),"")</f>
        <v/>
      </c>
      <c r="NA9" s="152">
        <f>IFERROR(VLOOKUP($MN9,$AV$2:$BA$84,2,FALSE),"")</f>
        <v/>
      </c>
      <c r="NB9" s="152">
        <f>IFERROR(VLOOKUP($MK9,$AV$2:$BA$84,3,FALSE),0)</f>
        <v/>
      </c>
      <c r="NC9" s="152">
        <f>IFERROR(VLOOKUP($ML9,$AV$2:$BA$84,3,FALSE),0)</f>
        <v/>
      </c>
      <c r="ND9" s="152">
        <f>IFERROR(VLOOKUP($MM9,$AV$2:$BA$84,3,FALSE),0)</f>
        <v/>
      </c>
      <c r="NE9" s="152">
        <f>IFERROR(VLOOKUP($MN9,$AV$2:$BA$84,3,FALSE),0)</f>
        <v/>
      </c>
      <c r="NF9" s="152">
        <f>IF($MF9=0,0,IF($MW9=0,0,INDEX($X$2:$X$11,$MW9)))</f>
        <v/>
      </c>
      <c r="NG9" s="152">
        <f>IF(OR($NB9=0,$MF9=0),0,$NB9+3*IF(AND($MX9&lt;&gt;"",OR($MX9=INDEX($EF$2:$EF$13,$MB9),$MX9=INDEX($EG$2:$EG$13,$MB9))),1,0))</f>
        <v/>
      </c>
      <c r="NH9" s="152">
        <f>IF(OR($NC9=0,$MF9=0),0,$NC9+3*IF(AND($MY9&lt;&gt;"",OR($MY9=INDEX($EF$2:$EF$13,$MB9),$MY9=INDEX($EG$2:$EG$13,$MB9))),1,0))</f>
        <v/>
      </c>
      <c r="NI9" s="152">
        <f>IF(OR($ND9=0,$MF9=0),0,$ND9+3*IF(AND($MZ9&lt;&gt;"",OR($MZ9=INDEX($EF$2:$EF$13,$MB9),$MZ9=INDEX($EG$2:$EG$13,$MB9))),1,0))</f>
        <v/>
      </c>
      <c r="NJ9" s="152">
        <f>IF(OR($NE9=0,$MF9=0),0,$NE9+3*IF(AND($NA9&lt;&gt;"",OR($NA9=INDEX($EF$2:$EF$13,$MB9),$NA9=INDEX($EG$2:$EG$13,$MB9))),1,0))</f>
        <v/>
      </c>
      <c r="NK9" s="152">
        <f>IF($MW9=0,0,IF(INDEX($W$2:$W$11,$MW9)="",0,IF(COUNTIF(INDEX($EF$2:$EJ$13,$MB9,0),INDEX($W$2:$W$11,$MW9))=0,1,0)))</f>
        <v/>
      </c>
      <c r="NL9" s="152">
        <f>IF(OR($NB9=0,$MX9=""),0,IF(COUNTIF(INDEX($EF$2:$EJ$13,$MB9,0),$MX9)=0,1,0))</f>
        <v/>
      </c>
      <c r="NM9" s="152">
        <f>IF(OR($NC9=0,$MY9=""),0,IF(COUNTIF(INDEX($EF$2:$EJ$13,$MB9,0),$MY9)=0,1,0))</f>
        <v/>
      </c>
      <c r="NN9" s="152">
        <f>IF(OR($ND9=0,$MZ9=""),0,IF(COUNTIF(INDEX($EF$2:$EJ$13,$MB9,0),$MZ9)=0,1,0))</f>
        <v/>
      </c>
      <c r="NO9" s="152">
        <f>IF(OR($NE9=0,$NA9=""),0,IF(COUNTIF(INDEX($EF$2:$EJ$13,$MB9,0),$NA9)=0,1,0))</f>
        <v/>
      </c>
      <c r="NP9" s="152">
        <f>IFERROR(VLOOKUP($MK9,$AV$2:$BA$84,4,FALSE),0)+IFERROR(VLOOKUP($ML9,$AV$2:$BA$84,4,FALSE),0)+IFERROR(VLOOKUP($MM9,$AV$2:$BA$84,4,FALSE),0)+IFERROR(VLOOKUP($MN9,$AV$2:$BA$84,4,FALSE),0)</f>
        <v/>
      </c>
      <c r="NQ9" s="152">
        <f>IFERROR(VLOOKUP($MK9,$AV$2:$BA$84,6,FALSE),0)+IFERROR(VLOOKUP($ML9,$AV$2:$BA$84,6,FALSE),0)+IFERROR(VLOOKUP($MM9,$AV$2:$BA$84,6,FALSE),0)+IFERROR(VLOOKUP($MN9,$AV$2:$BA$84,6,FALSE),0)</f>
        <v/>
      </c>
      <c r="NR9" s="152">
        <f>TEXTJOIN(", ",TRUE,IF(IFERROR(VLOOKUP($MK9,$AV$2:$BA$84,5,FALSE),0)=1,$MK9,""),IF(IFERROR(VLOOKUP($ML9,$AV$2:$BA$84,5,FALSE),0)=1,$ML9,""),IF(IFERROR(VLOOKUP($MM9,$AV$2:$BA$84,5,FALSE),0)=1,$MM9,""),IF(IFERROR(VLOOKUP($MN9,$AV$2:$BA$84,5,FALSE),0)=1,$MN9,""))</f>
        <v/>
      </c>
      <c r="NS9" s="152">
        <f>IF($MW9=0,0,INDEX($Y$2:$Y$11,$MW9))</f>
        <v/>
      </c>
      <c r="NT9" s="152">
        <f>IF($MW9=0,0,INDEX($Z$2:$Z$11,$MW9))</f>
        <v/>
      </c>
      <c r="NU9" s="152">
        <f>IF($MW9=0,0,INDEX($AB$2:$AB$11,$MW9))</f>
        <v/>
      </c>
      <c r="NV9" s="152">
        <f>IFERROR(VLOOKUP($MO9,$BC$2:$BG$24,3,FALSE),0)</f>
        <v/>
      </c>
      <c r="NW9" s="152">
        <f>IFERROR(VLOOKUP($MP9,$BC$2:$BG$24,3,FALSE),0)</f>
        <v/>
      </c>
      <c r="NX9" s="152">
        <f>IFERROR(VLOOKUP($MO9,$BC$2:$BG$24,2,FALSE),"")</f>
        <v/>
      </c>
      <c r="NY9" s="152">
        <f>IFERROR(VLOOKUP($MP9,$BC$2:$BG$24,2,FALSE),"")</f>
        <v/>
      </c>
      <c r="NZ9" s="152">
        <f>COUNTIF($NF9:$NJ9,1)</f>
        <v/>
      </c>
      <c r="OA9" s="152">
        <f>COUNTIF($NF9:$NJ9,2)</f>
        <v/>
      </c>
      <c r="OB9" s="152">
        <f>COUNTIF($NF9:$NJ9,3)</f>
        <v/>
      </c>
      <c r="OC9" s="152">
        <f>COUNTIF($NF9:$NJ9,4)</f>
        <v/>
      </c>
      <c r="OD9" s="152">
        <f>COUNTIF($NF9:$NJ9,5)</f>
        <v/>
      </c>
      <c r="OE9" s="152">
        <f>COUNTIF($NF9:$NJ9,6)</f>
        <v/>
      </c>
      <c r="OF9" s="152">
        <f>COUNTIF($NV9:$NW9,1)</f>
        <v/>
      </c>
      <c r="OG9" s="152">
        <f>COUNTIF($NV9:$NW9,2)+$NS9</f>
        <v/>
      </c>
      <c r="OH9" s="152">
        <f>COUNTIF($MK9:$MN9,"?*")</f>
        <v/>
      </c>
      <c r="OI9" s="152">
        <f>COUNTIF($MO9:$MP9,"?*")+$NS9</f>
        <v/>
      </c>
      <c r="OJ9" s="152">
        <f>IF($MF9=0,0,SUMPRODUCT($NZ9:$OE9,INDEX($I$2:$N$8,MAX(1,$MF9),0)))</f>
        <v/>
      </c>
      <c r="OK9" s="152">
        <f>IF($MF9=0,0,$OF9*CEILING($MF9/2,1)+$OG9*$MF9)</f>
        <v/>
      </c>
      <c r="OL9" s="152">
        <f>MIN(2*$MF9,$OK9)</f>
        <v/>
      </c>
      <c r="OM9" s="152">
        <f>MIN($OL9,$OJ9)</f>
        <v/>
      </c>
      <c r="ON9" s="152">
        <f>$OL9-$OM9</f>
        <v/>
      </c>
      <c r="OO9" s="152">
        <f>IF($MF9=0,0,INDEX($P$2:$P$8,MAX(1,$MF9)))</f>
        <v/>
      </c>
      <c r="OP9" s="152">
        <f>$OO9-$OJ9+$OM9</f>
        <v/>
      </c>
      <c r="OQ9" s="152">
        <f>IF($MF9=0,MAX(0,$MT9-IF($OH9&gt;0,1,0)),MAX(0,$OP9))</f>
        <v/>
      </c>
      <c r="OR9" s="152">
        <f>IF($MF9=0,0,(IF(COUNTIF($MK9:$MN9,"Salto")&gt;0,1,0)+IF(COUNTIF($MK9:$MN9,"Queima")&gt;0,1,0)+IF(COUNTIF($MK9:$MN9,"Estilhaço")&gt;0,1,0))*FLOOR($OQ9/2,1))</f>
        <v/>
      </c>
      <c r="OS9" s="152">
        <f>MAX(0,2-SUMPRODUCT($NZ9:$OE9,$I$2:$N$2)+MIN(2,$OF9*1+$OG9*1,SUMPRODUCT($NZ9:$OE9,$I$2:$N$2)))</f>
        <v/>
      </c>
      <c r="OT9" s="152">
        <f>MAX(0,4-SUMPRODUCT($NZ9:$OE9,$I$3:$N$3)+MIN(4,$OF9*1+$OG9*2,SUMPRODUCT($NZ9:$OE9,$I$3:$N$3)))</f>
        <v/>
      </c>
      <c r="OU9" s="152">
        <f>MAX(0,6-SUMPRODUCT($NZ9:$OE9,$I$4:$N$4)+MIN(6,$OF9*2+$OG9*3,SUMPRODUCT($NZ9:$OE9,$I$4:$N$4)))</f>
        <v/>
      </c>
      <c r="OV9" s="152">
        <f>MAX(0,9-SUMPRODUCT($NZ9:$OE9,$I$5:$N$5)+MIN(8,$OF9*2+$OG9*4,SUMPRODUCT($NZ9:$OE9,$I$5:$N$5)))</f>
        <v/>
      </c>
      <c r="OW9" s="152">
        <f>MAX(0,11-SUMPRODUCT($NZ9:$OE9,$I$6:$N$6)+MIN(10,$OF9*3+$OG9*5,SUMPRODUCT($NZ9:$OE9,$I$6:$N$6)))</f>
        <v/>
      </c>
      <c r="OX9" s="152">
        <f>MAX(0,13-SUMPRODUCT($NZ9:$OE9,$I$7:$N$7)+MIN(12,$OF9*3+$OG9*6,SUMPRODUCT($NZ9:$OE9,$I$7:$N$7)))</f>
        <v/>
      </c>
      <c r="OY9" s="152">
        <f>MAX(0,16-SUMPRODUCT($NZ9:$OE9,$I$8:$N$8)+MIN(14,$OF9*4+$OG9*7,SUMPRODUCT($NZ9:$OE9,$I$8:$N$8)))</f>
        <v/>
      </c>
      <c r="OZ9" s="152">
        <f>IF($NT9=2,3*$OS9&amp;" de vida temp.",IF($NT9=3,"sem dano",IF($OS9=0,IF($NT9=1,"sem cura","sem dano"),IF($NT9=1,"cura ","")&amp;$OS9&amp;"d8")))</f>
        <v/>
      </c>
      <c r="PA9" s="152">
        <f>IF($NT9=2,3*$OT9&amp;" de vida temp.",IF($NT9=3,"sem dano",IF($OT9=0,IF($NT9=1,"sem cura","sem dano"),IF($NT9=1,"cura ","")&amp;$OT9&amp;"d8")))</f>
        <v/>
      </c>
      <c r="PB9" s="152">
        <f>IF($NT9=2,3*$OU9&amp;" de vida temp.",IF($NT9=3,"sem dano",IF($OU9=0,IF($NT9=1,"sem cura","sem dano"),IF($NT9=1,"cura ","")&amp;$OU9&amp;"d8")))</f>
        <v/>
      </c>
      <c r="PC9" s="152">
        <f>IF($NT9=2,3*$OV9&amp;" de vida temp.",IF($NT9=3,"sem dano",IF($OV9=0,IF($NT9=1,"sem cura","sem dano"),IF($NT9=1,"cura ","")&amp;$OV9&amp;"d8")))</f>
        <v/>
      </c>
      <c r="PD9" s="152">
        <f>IF($NT9=2,3*$OW9&amp;" de vida temp.",IF($NT9=3,"sem dano",IF($OW9=0,IF($NT9=1,"sem cura","sem dano"),IF($NT9=1,"cura ","")&amp;$OW9&amp;"d8")))</f>
        <v/>
      </c>
      <c r="PE9" s="152">
        <f>IF($NT9=2,3*$OX9&amp;" de vida temp.",IF($NT9=3,"sem dano",IF($OX9=0,IF($NT9=1,"sem cura","sem dano"),IF($NT9=1,"cura ","")&amp;$OX9&amp;"d8")))</f>
        <v/>
      </c>
      <c r="PF9" s="152">
        <f>IF($NT9=2,3*$OY9&amp;" de vida temp.",IF($NT9=3,"sem dano",IF($OY9=0,IF($NT9=1,"sem cura","sem dano"),IF($NT9=1,"cura ","")&amp;$OY9&amp;"d8")))</f>
        <v/>
      </c>
      <c r="PG9" s="152">
        <f>IF($MQ9=0,"",TEXTJOIN(" · ",TRUE,IF($MD9&gt;$MR9,"Este lugar abre no nível "&amp;$MD9,""),IF($MF9&gt;$MS9,"Classe "&amp;$MF9&amp;": o nível "&amp;$MR9&amp;" libera até a "&amp;$MS9,""),IF($NK9=1,"A Forma "&amp;$MH9&amp;" pede "&amp;INDEX($W$2:$W$11,$MW9)&amp;" aberta",""),IF(AND($MF9=0,$MW9&gt;0,IF($MW9=0,0,INDEX($AF$2:$AF$11,$MW9))=0),$MH9&amp;" não existe na Classe 0",""),IF($NL9=1,"Família Fechada: "&amp;$MK9,""),IF($NM9=1,"Família Fechada: "&amp;$ML9,""),IF($NN9=1,"Família Fechada: "&amp;$MM9,""),IF($NO9=1,"Família Fechada: "&amp;$MN9,""),IF(AND($MF9&gt;0,$OH9&gt;INDEX($O$2:$O$8,MAX(1,$MF9))),$OH9&amp;" Melhorias: a Classe "&amp;$MF9&amp;" aceita "&amp;INDEX($O$2:$O$8,MAX(1,$MF9)),""),IF(AND($MF9=0,$OH9&gt;1),"A básica aceita uma Melhoria",""),IF(AND($MF9=0,COUNTIF($NB9:$NE9,"&gt;1")&gt;0),"A básica só aceita Melhoria Leve",""),IF(AND($MF9&gt;0,$OI9&gt;2),$OI9&amp;" Restrições"&amp;IF($NS9=1,", contando a que a Forma "&amp;$MH9&amp;" já traz","")&amp;": o limite é 2",""),IF(AND($MF9=0,COUNTIF($MO9:$MP9,"?*")&gt;1),"A básica aceita uma Restrição Leve",""),IF(AND($MF9=0,COUNTIF($NV9:$NW9,2)&gt;0),"A básica só aceita Restrição Leve",""),IF(AND($MF9&gt;0,$OP9&lt;0),"Orçamento estourado: faltam "&amp;(-$OP9)&amp;IF($OP9&lt;-1," pontos"," ponto"),""),IF(IFERROR(VLOOKUP($MO9,$BC$2:$BG$24,4,FALSE),0)+IFERROR(VLOOKUP($MP9,$BC$2:$BG$24,4,FALSE),0)&gt;1,$NX9&amp;" e "&amp;$NY9&amp;" são as duas de frequência",""),IF(AND((COUNTIF($MK9:$MN9,"Rápido")+COUNTIF($NX9:$NY9,"Rápido"))&gt;0,(COUNTIF($MK9:$MN9,"Atrasar")+COUNTIF($NX9:$NY9,"Atrasar"))&gt;0),"Rápido não entra com Atrasar",""),IF(AND((COUNTIF($MK9:$MN9,"Reação")+COUNTIF($NX9:$NY9,"Reação"))&gt;0,(COUNTIF($MK9:$MN9,"Rápido")+COUNTIF($NX9:$NY9,"Rápido"))&gt;0),"Reação não entra com Rápido",""),IF(AND((COUNTIF($MK9:$MN9,"Reação")+COUNTIF($NX9:$NY9,"Reação"))&gt;0,(COUNTIF($MK9:$MN9,"Armado")+COUNTIF($NX9:$NY9,"Armado"))&gt;0),"Reação não entra com Armado",""),IF(AND((COUNTIF($MK9:$MN9,"Reação")+COUNTIF($NX9:$NY9,"Reação"))&gt;0,(COUNTIF($MK9:$MN9,"Atrasar")+COUNTIF($NX9:$NY9,"Atrasar"))&gt;0),"Reação não entra com Atrasar",""),IF(AND((COUNTIF($MK9:$MN9,"Reação")+COUNTIF($NX9:$NY9,"Reação"))&gt;0,(COUNTIF($MK9:$MN9,"Parado")+COUNTIF($NX9:$NY9,"Parado"))&gt;0),"Reação não entra com Parado",""),IF(AND((COUNTIF($MK9:$MN9,"Atrasar")+COUNTIF($NX9:$NY9,"Atrasar"))&gt;0,(COUNTIF($MK9:$MN9,"Parado")+COUNTIF($NX9:$NY9,"Parado"))&gt;0),"Atrasar não entra com Parado",""),IF(AND((COUNTIF($MK9:$MN9,"Armado")+COUNTIF($NX9:$NY9,"Armado"))&gt;0,(COUNTIF($MK9:$MN9,"Carregar")+COUNTIF($NX9:$NY9,"Carregar"))&gt;0),"Armado não entra com Carregar",""),IF(AND(COUNTIF($NX9:$NY9,"Corpo a Corpo")&gt;0,$NS9=0,OR($MH9="Cone",$MH9="Linha")),"Corpo a Corpo não entra em "&amp;$MH9,""),IF(AND(COUNTIF($NX9:$NY9,"Corpo a Corpo")&gt;0,$NS9=1),"A Forma "&amp;$MH9&amp;" já traz o Corpo a Corpo",""),IF(AND(COUNTIF($NX9:$NY9,"Tudo ou Nada")&gt;0,$NU9=0),"Tudo ou Nada só entra em habilidade de Teste de Resistência",""),IF(AND(COUNTIF($MK9:$MN9,"Inescapável")&gt;0,OR($OH9&gt;1,$OI9&gt;0)),"Inescapável não aceita outra peça",""),IF(AND($MF9&gt;0,$OQ9*IF(COUNTIF($MK9:$MN9,"Remate")&gt;0,1.25,1)+$OR9&gt;4*$MF9),($OQ9*IF(COUNTIF($MK9:$MN9,"Remate")&gt;0,1.25,1)+$OR9)&amp;" dados somando repetições"&amp;IF(COUNTIF($MK9:$MN9,"Remate")&gt;0," e o Remate","")&amp;": o teto da Classe "&amp;$MF9&amp;" é "&amp;4*$MF9,"")))</f>
        <v/>
      </c>
      <c r="PH9" s="152">
        <f>IF($PG9="",0,(LEN($PG9)-LEN(SUBSTITUTE($PG9," · ","")))/3+1)</f>
        <v/>
      </c>
      <c r="PI9" s="152">
        <f>IF($MQ9=0,"",TEXTJOIN(" · ",TRUE,IF($OK9&gt;2*$MF9,"A devolução parou no teto de "&amp;2*$MF9,""),IF($ON9&gt;0,"Devolução perdida: "&amp;$ON9&amp;IF($ON9&gt;1," pontos"," ponto")&amp;" sem peça para pagar",""),IF(AND($NP9&gt;0,AND($MF9&gt;0,$NT9=0),$OQ9=0),"Controle sem dano: uma rodada a mais e CD +2",""),IF(AND($NP9&gt;0,AND($MF9&gt;0,$NT9=0),$OQ9&gt;0,$OQ9&lt;=$MF9),"Controle com saldo até a Classe: uma rodada a mais",""),IF(AND($MF9&gt;0,$NR9&lt;&gt;""),"Efeito de "&amp;$NR9&amp;" pela Classe "&amp;MAX(1,$MF9-1),"")))</f>
        <v/>
      </c>
      <c r="PJ9" s="152">
        <f>IF($PI9="",0,(LEN($PI9)-LEN(SUBSTITUTE($PI9," · ","")))/3+1)</f>
        <v/>
      </c>
      <c r="PK9" s="152">
        <f>IF($MQ9=0,IF($OH9+COUNTIF($MO9:$MP9,"?*")&gt;0,"Dê um nome",""),IF($PH9&gt;0,"⚠ "&amp;$PH9&amp;IF($PH9&gt;1," erros"," erro"),IF($PJ9&gt;0,"! "&amp;$PJ9&amp;IF($PJ9&gt;1," avisos"," aviso"),"Na regra")))</f>
        <v/>
      </c>
      <c r="PL9" s="152">
        <f>IF($MQ9=0,"",IF($PH9+$PJ9=0,"Dentro das regras que a ficha confere",$PG9&amp;IF(AND($PH9&gt;0,$PJ9&gt;0)," · ","")&amp;$PI9))</f>
        <v/>
      </c>
      <c r="PM9" s="152">
        <f>IF($MD9&gt;$MR9,$ME9&amp;" · ABRE NO NÍVEL "&amp;$MD9,$ME9)</f>
        <v/>
      </c>
      <c r="PN9" s="152">
        <f>IF($MQ9=0,"",IF($MF9=0,"Sem PE",3*$MF9&amp;" PE"))</f>
        <v/>
      </c>
      <c r="PO9" s="152">
        <f>IF($MQ9=0,"",IF($MF9=0,"A atuação básica dela",IF(COUNTIF($NX9:$NY9,"Atrasar")&gt;0,"Sua Ação Completa",IF(COUNTIF($MK9:$MN9,"Rápido")&gt;0,"Sua Bônus",IF(COUNTIF($MK9:$MN9,"Reação")&gt;0,"Sua Reação","Sua Padrão")))&amp;" + a básica dela"&amp;IF(COUNTIF($MK9:$MN9,"Reação")&gt;0," e a coletiva","")&amp;IF(COUNTIF($NX9:$NY9,"Carregar")&gt;0," · em dois turnos","")))</f>
        <v/>
      </c>
      <c r="PP9" s="152">
        <f>IF($MJ9&lt;&gt;"",$MJ9,IF($MW9=0,"",INDEX($AA$2:$AA$11,$MW9)))</f>
        <v/>
      </c>
      <c r="PQ9" s="152">
        <f>IF(OR($MQ9=0,$MW9=0),"",IF(COUNTIF($MK9:$MN9,"Inescapável")&gt;0,"Automático",IF($PP9="Ataque",IF($MU9="","Ataque","Ataque "&amp;IF(($MU9+2*IF(COUNTIF($MK9:$MN9,"Precisão")&gt;0,1,0))&gt;=0,"+","−")&amp;ABS(($MU9+2*IF(COUNTIF($MK9:$MN9,"Precisão")&gt;0,1,0))))&amp;IF($NQ9&gt;0," · TR"&amp;IF($MV9="",""," CD "&amp;$MV9),""),IF(LEFT($PP9,2)="TR",$PP9&amp;IF($MV9="",""," · CD "&amp;$MV9)&amp;IF(COUNTIF($MK9:$MN9,"Certeiro")&gt;0," · metade",""),"Sem rolagem"))))</f>
        <v/>
      </c>
      <c r="PR9" s="152">
        <f>IF(OR($MQ9=0,$MW9=0),"",IF($MF9=0,IF(OR($NT9&gt;=1,$OQ9=0),"Sem dano",$OQ9&amp;"d6"&amp;IF($MI9="",""," "&amp;$MI9)),IF(OR($NT9&gt;=1,$OQ9=0),UPPER(LEFT(INDEX($OZ9:$PF9,1,MAX(1,$MF9)),1))&amp;MID(INDEX($OZ9:$PF9,1,MAX(1,$MF9)),2,99),UPPER(LEFT(INDEX($OZ9:$PF9,1,MAX(1,$MF9)),1))&amp;MID(INDEX($OZ9:$PF9,1,MAX(1,$MF9)),2,99)&amp;IF($MI9="",""," "&amp;$MI9)&amp;IF($OR9&gt;0," · +"&amp;$OR9&amp;"d8",""))))</f>
        <v/>
      </c>
      <c r="PS9" s="152">
        <f>COUNTIF($MK9:$MN9,"Longe")+3*COUNTIF($MK9:$MN9,"Muito Longe")</f>
        <v/>
      </c>
      <c r="PT9" s="152">
        <f>COUNTIF($MK9:$MN9,"Maior")+3*COUNTIF($MK9:$MN9,"Muito Maior")</f>
        <v/>
      </c>
      <c r="PU9" s="152">
        <f>IF($MW9=0,0,CHOOSE(1+INDEX($AC$2:$AC$11,$MW9),0,$PS9,$PT9,$PS9+$PT9))</f>
        <v/>
      </c>
      <c r="PV9" s="152">
        <f>IF($MW9=0,0,CHOOSE(1+INDEX($AD$2:$AD$11,$MW9),0,$PS9,$PT9,$PS9+$PT9))</f>
        <v/>
      </c>
      <c r="PW9" s="152">
        <f>IF(OR($MQ9=0,$MW9=0),"",INDEX($AI$2:$AN$41,($MW9-1)*4+IF($MF9=0,1,IF($MF9&lt;=5,2,IF($MF9=6,3,4))),1+MIN(5,$PU9))&amp;INDEX($AO$2:$AT$41,($MW9-1)*4+IF($MF9=0,1,IF($MF9&lt;=5,2,IF($MF9=6,3,4))),1+MIN(5,$PV9))&amp;IF(INDEX($AE$2:$AE$11,$MW9)=1,IF(COUNTIF($MK9:$MN9,"Mais Um")&gt;0," · +"&amp;COUNTIF($MK9:$MN9,"Mais Um")&amp;IF(COUNTIF($MK9:$MN9,"Mais Um")&gt;1," alvos"," alvo"),"")&amp;IF(COUNTIF($MK9:$MN9,"Rajada")&gt;0,IF($MF9=0," · 1 tiro"," · "&amp;(MAX(1,$MF9-1)+1)&amp;" tiros"),""),""))</f>
        <v/>
      </c>
      <c r="PX9" s="152">
        <f>IF($MQ9=0,"",IF($MF9=0,$MT9&amp;"d6"&amp;IF($OH9&gt;0," − 1 = "&amp;$OQ9&amp;"d6"," da básica do nível "&amp;$MR9),$OO9&amp;" − "&amp;$OJ9&amp;" + "&amp;$OM9&amp;" = "&amp;$OP9&amp;" · teto "&amp;4*$MF9&amp;"d8"&amp;IF($NS9=1," · a Forma devolve "&amp;$MF9,"")&amp;IF($ON9&gt;0," · perde "&amp;$ON9,"")))</f>
        <v/>
      </c>
      <c r="PY9" s="152">
        <f>IF($MQ9=0,"",IF($MF9=0,"A básica não amplia: os dados dela sobem com o nível",IF($MF9&gt;=$MS9,"Já está na maior Classe que o nível liberou",TEXTJOIN(" · ",TRUE,IF(AND(2&gt;$MF9,2&lt;=$MS9),"2 → "&amp;$PA9&amp;", 6 PE",""),IF(AND(3&gt;$MF9,3&lt;=$MS9),"3 → "&amp;$PB9&amp;", 9 PE",""),IF(AND(4&gt;$MF9,4&lt;=$MS9),"4 → "&amp;$PC9&amp;", 12 PE",""),IF(AND(5&gt;$MF9,5&lt;=$MS9),"5 → "&amp;$PD9&amp;", 15 PE",""),IF(AND(6&gt;$MF9,6&lt;=$MS9),"6 → "&amp;$PE9&amp;", 18 PE",""),IF(AND(7&gt;$MF9,7&lt;=$MS9),"7 → "&amp;$PF9&amp;", 21 PE","")))))</f>
        <v/>
      </c>
      <c r="PZ9" s="152">
        <f>IF(OR($MQ9=0,$NB9=0),"",IF($MF9=0,"−1 dado","−"&amp;INDEX($I$2:$N$8,MAX(1,$MF9),MAX(1,$NG9))&amp;" · "&amp;CHOOSE(MAX(1,$NG9),"Leve","Média","Pesada","Leve · Livre","Média · Livre","Pesada · Livre")))</f>
        <v/>
      </c>
      <c r="QA9" s="152">
        <f>IF(OR($MQ9=0,$NC9=0),"",IF($MF9=0,"−1 dado","−"&amp;INDEX($I$2:$N$8,MAX(1,$MF9),MAX(1,$NH9))&amp;" · "&amp;CHOOSE(MAX(1,$NH9),"Leve","Média","Pesada","Leve · Livre","Média · Livre","Pesada · Livre")))</f>
        <v/>
      </c>
      <c r="QB9" s="152">
        <f>IF(OR($MQ9=0,$ND9=0),"",IF($MF9=0,"−1 dado","−"&amp;INDEX($I$2:$N$8,MAX(1,$MF9),MAX(1,$NI9))&amp;" · "&amp;CHOOSE(MAX(1,$NI9),"Leve","Média","Pesada","Leve · Livre","Média · Livre","Pesada · Livre")))</f>
        <v/>
      </c>
      <c r="QC9" s="152">
        <f>IF(OR($MQ9=0,$NE9=0),"",IF($MF9=0,"−1 dado","−"&amp;INDEX($I$2:$N$8,MAX(1,$MF9),MAX(1,$NJ9))&amp;" · "&amp;CHOOSE(MAX(1,$NJ9),"Leve","Média","Pesada","Leve · Livre","Média · Livre","Pesada · Livre")))</f>
        <v/>
      </c>
      <c r="QD9" s="152">
        <f>IF(OR($MQ9=0,$MO9=""),"",IF($MF9=0,"não devolve","+"&amp;IF($NV9=1,CEILING($MF9/2,1),$MF9)))</f>
        <v/>
      </c>
      <c r="QE9" s="152">
        <f>IF(OR($MQ9=0,$MP9=""),"",IF($MF9=0,"não devolve","+"&amp;IF($NW9=1,CEILING($MF9/2,1),$MF9)))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A10" s="152" t="n">
        <v>0</v>
      </c>
      <c r="BC10" s="150" t="inlineStr">
        <is>
          <t>Fraqueza (Leve)</t>
        </is>
      </c>
      <c r="BD10" s="150" t="inlineStr">
        <is>
          <t>Fraqueza</t>
        </is>
      </c>
      <c r="BE10" s="152" t="n">
        <v>1</v>
      </c>
      <c r="BF10" s="152" t="n">
        <v>0</v>
      </c>
      <c r="BG10" s="150" t="inlineStr">
        <is>
          <t>Fraqueza (Leve)</t>
        </is>
      </c>
      <c r="BI10" s="150" t="inlineStr">
        <is>
          <t>Costura</t>
        </is>
      </c>
      <c r="BJ10" s="152" t="n">
        <v>2</v>
      </c>
      <c r="BK10" s="150" t="inlineStr">
        <is>
          <t>Uma vez por cena, quando um aliado a até 9 m sofreria uma redução de seus pontos de vida a 0, você pode fazer com que ele permaneça com 1 ponto de vida. Não exige ação nem Reação.</t>
        </is>
      </c>
      <c r="BL10" s="150" t="inlineStr"/>
      <c r="BS10" s="150" t="inlineStr">
        <is>
          <t>Amparo</t>
        </is>
      </c>
      <c r="CA10" s="150" t="inlineStr">
        <is>
          <t>Religião</t>
        </is>
      </c>
      <c r="CB10" s="150" t="inlineStr">
        <is>
          <t>Inteligência</t>
        </is>
      </c>
      <c r="CF10" s="150" t="inlineStr">
        <is>
          <t>Veneno</t>
        </is>
      </c>
      <c r="CW10" s="150" t="inlineStr">
        <is>
          <t>fichas com nome</t>
        </is>
      </c>
      <c r="CX10" s="152">
        <f>SUM($FG$2:$FG$13)</f>
        <v/>
      </c>
      <c r="CZ10" s="152" t="n">
        <v>9</v>
      </c>
      <c r="DA10" s="152">
        <f>'INVOCAÇÕES'!$AB$409&amp;""</f>
        <v/>
      </c>
      <c r="DB10" s="152">
        <f>'INVOCAÇÕES'!$AB$439&amp;""</f>
        <v/>
      </c>
      <c r="DC10" s="152">
        <f>'INVOCAÇÕES'!$AB$443&amp;""</f>
        <v/>
      </c>
      <c r="DD10" s="152">
        <f>N('INVOCAÇÕES'!$AD$443)</f>
        <v/>
      </c>
      <c r="DE10" s="152">
        <f>'INVOCAÇÕES'!$AE$443&amp;""</f>
        <v/>
      </c>
      <c r="DF10" s="152">
        <f>N('INVOCAÇÕES'!$AH$416)</f>
        <v/>
      </c>
      <c r="DG10" s="152">
        <f>N('INVOCAÇÕES'!$AI$416)</f>
        <v/>
      </c>
      <c r="DH10" s="152">
        <f>N('INVOCAÇÕES'!$AJ$416)</f>
        <v/>
      </c>
      <c r="DI10" s="152">
        <f>N('INVOCAÇÕES'!$AK$416)</f>
        <v/>
      </c>
      <c r="DJ10" s="152">
        <f>N('INVOCAÇÕES'!$AL$416)</f>
        <v/>
      </c>
      <c r="DK10" s="152">
        <f>N('INVOCAÇÕES'!$AH$417)</f>
        <v/>
      </c>
      <c r="DL10" s="152">
        <f>N('INVOCAÇÕES'!$AI$417)</f>
        <v/>
      </c>
      <c r="DM10" s="152">
        <f>N('INVOCAÇÕES'!$AJ$417)</f>
        <v/>
      </c>
      <c r="DN10" s="152">
        <f>N('INVOCAÇÕES'!$AK$417)</f>
        <v/>
      </c>
      <c r="DO10" s="152">
        <f>N('INVOCAÇÕES'!$AL$417)</f>
        <v/>
      </c>
      <c r="DP10" s="152">
        <f>'INVOCAÇÕES'!$AH$430&amp;""</f>
        <v/>
      </c>
      <c r="DQ10" s="152">
        <f>'INVOCAÇÕES'!$AK$430&amp;""</f>
        <v/>
      </c>
      <c r="DR10" s="152">
        <f>'INVOCAÇÕES'!$AL$425&amp;""</f>
        <v/>
      </c>
      <c r="DS10" s="152">
        <f>N('INVOCAÇÕES'!$AH$422)</f>
        <v/>
      </c>
      <c r="DT10" s="152">
        <f>N('INVOCAÇÕES'!$AI$422)</f>
        <v/>
      </c>
      <c r="DU10" s="152">
        <f>N('INVOCAÇÕES'!$AJ$422)</f>
        <v/>
      </c>
      <c r="DV10" s="152">
        <f>N('INVOCAÇÕES'!$AK$422)</f>
        <v/>
      </c>
      <c r="DW10" s="152">
        <f>N('INVOCAÇÕES'!$AL$422)</f>
        <v/>
      </c>
      <c r="DX10" s="152">
        <f>N('INVOCAÇÕES'!$AH$427)</f>
        <v/>
      </c>
      <c r="DY10" s="152">
        <f>N('INVOCAÇÕES'!$AI$427)</f>
        <v/>
      </c>
      <c r="DZ10" s="152">
        <f>N('INVOCAÇÕES'!$AJ$427)</f>
        <v/>
      </c>
      <c r="EA10" s="152">
        <f>N('INVOCAÇÕES'!$AK$427)</f>
        <v/>
      </c>
      <c r="EB10" s="152">
        <f>'INVOCAÇÕES'!$AN$409&amp;""</f>
        <v/>
      </c>
      <c r="EC10" s="152">
        <f>N('INVOCAÇÕES'!$AP$409)</f>
        <v/>
      </c>
      <c r="ED10" s="152">
        <f>'INVOCAÇÕES'!$AR$409&amp;""</f>
        <v/>
      </c>
      <c r="EE10" s="152">
        <f>SUM('INVOCAÇÕES'!$AR$429:'INVOCAÇÕES'!$AR$431,'INVOCAÇÕES'!$AR$433:'INVOCAÇÕES'!$AR$438)</f>
        <v/>
      </c>
      <c r="EF10" s="152">
        <f>'INVOCAÇÕES'!$AH$444&amp;""</f>
        <v/>
      </c>
      <c r="EG10" s="152">
        <f>'INVOCAÇÕES'!$AI$444&amp;""</f>
        <v/>
      </c>
      <c r="EH10" s="152">
        <f>'INVOCAÇÕES'!$AJ$444&amp;""</f>
        <v/>
      </c>
      <c r="EI10" s="152">
        <f>'INVOCAÇÕES'!$AK$444&amp;""</f>
        <v/>
      </c>
      <c r="EJ10" s="152">
        <f>'INVOCAÇÕES'!$AL$444&amp;""</f>
        <v/>
      </c>
      <c r="EK10" s="152">
        <f>'INVOCAÇÕES'!$AH$434&amp;""</f>
        <v/>
      </c>
      <c r="EL10" s="152">
        <f>'INVOCAÇÕES'!$AH$435&amp;""</f>
        <v/>
      </c>
      <c r="EM10" s="152">
        <f>'INVOCAÇÕES'!$AH$436&amp;""</f>
        <v/>
      </c>
      <c r="EN10" s="152">
        <f>'INVOCAÇÕES'!$AH$437&amp;""</f>
        <v/>
      </c>
      <c r="EO10" s="152">
        <f>'INVOCAÇÕES'!$AH$438&amp;""</f>
        <v/>
      </c>
      <c r="EP10" s="152">
        <f>'INVOCAÇÕES'!$AH$439&amp;""</f>
        <v/>
      </c>
      <c r="EQ10" s="152">
        <f>'INVOCAÇÕES'!$AH$440&amp;""</f>
        <v/>
      </c>
      <c r="ER10" s="152">
        <f>'INVOCAÇÕES'!$AC$476&amp;""</f>
        <v/>
      </c>
      <c r="ES10" s="152">
        <f>'INVOCAÇÕES'!$AC$477&amp;""</f>
        <v/>
      </c>
      <c r="ET10" s="152">
        <f>'INVOCAÇÕES'!$AC$478&amp;""</f>
        <v/>
      </c>
      <c r="EU10" s="152">
        <f>'INVOCAÇÕES'!$AC$479&amp;""</f>
        <v/>
      </c>
      <c r="EV10" s="152">
        <f>'INVOCAÇÕES'!$AC$480&amp;""</f>
        <v/>
      </c>
      <c r="EW10" s="152">
        <f>'INVOCAÇÕES'!$AC$481&amp;""</f>
        <v/>
      </c>
      <c r="EX10" s="152">
        <f>'INVOCAÇÕES'!$AC$482&amp;""</f>
        <v/>
      </c>
      <c r="EY10" s="152">
        <f>'INVOCAÇÕES'!$AC$483&amp;""</f>
        <v/>
      </c>
      <c r="EZ10" s="152">
        <f>'INVOCAÇÕES'!$AC$578&amp;""</f>
        <v/>
      </c>
      <c r="FA10" s="152">
        <f>'INVOCAÇÕES'!$AC$579&amp;""</f>
        <v/>
      </c>
      <c r="FB10" s="152">
        <f>'INVOCAÇÕES'!$AC$580&amp;""</f>
        <v/>
      </c>
      <c r="FC10" s="152">
        <f>MAX(3,MIN(7,N('INVOCAÇÕES'!$AB$585)))</f>
        <v/>
      </c>
      <c r="FD10" s="152">
        <f>MAX(3,MIN(7,N('INVOCAÇÕES'!$AH$585)))</f>
        <v/>
      </c>
      <c r="FE10" s="152">
        <f>MAX(3,MIN(7,N('INVOCAÇÕES'!$AN$585)))</f>
        <v/>
      </c>
      <c r="FF10" s="152">
        <f>'INVOCAÇÕES'!$AH$599&amp;""</f>
        <v/>
      </c>
      <c r="FG10" s="152">
        <f>IF($DA10&lt;&gt;"",1,0)</f>
        <v/>
      </c>
      <c r="FH10" s="152">
        <f>IFERROR(VLOOKUP($DC10,$BP$2:$BQ$5,2,FALSE),1)</f>
        <v/>
      </c>
      <c r="FI10" s="152">
        <f>IF($FH10=1,$CX$2,MAX(1,MIN($CX$2,IF($DD10=0,$CX$2,$DD10))))</f>
        <v/>
      </c>
      <c r="FJ10" s="152">
        <f>VLOOKUP(MAX(1,$FI10),$A$2:$D$8,2,TRUE)</f>
        <v/>
      </c>
      <c r="FK10" s="152">
        <f>VLOOKUP(MAX(1,$FI10),$A$2:$D$8,3,TRUE)</f>
        <v/>
      </c>
      <c r="FL10" s="152">
        <f>$DF10+$DK10</f>
        <v/>
      </c>
      <c r="FM10" s="152">
        <f>$DG10+$DL10</f>
        <v/>
      </c>
      <c r="FN10" s="152">
        <f>$DH10+$DM10</f>
        <v/>
      </c>
      <c r="FO10" s="152">
        <f>$DI10+$DN10</f>
        <v/>
      </c>
      <c r="FP10" s="152">
        <f>$DJ10+$DO10</f>
        <v/>
      </c>
      <c r="FQ10" s="152">
        <f>SUM($DF10:$DJ10)</f>
        <v/>
      </c>
      <c r="FR10" s="152">
        <f>9+$FS10</f>
        <v/>
      </c>
      <c r="FS10" s="152">
        <f>COUNTIF($F$2:$F$8,"&lt;="&amp;$FI10)</f>
        <v/>
      </c>
      <c r="FT10" s="152">
        <f>MAX(0,$DF10-3)+MAX(0,$DG10-3)+MAX(0,$DH10-3)+MAX(0,$DI10-3)+MAX(0,$DJ10-3)</f>
        <v/>
      </c>
      <c r="FU10" s="152">
        <f>IFERROR(INDEX($FL10:$FP10,1,MATCH($DP10,$BU$2:$BU$6,0)),"")</f>
        <v/>
      </c>
      <c r="FV10" s="152">
        <f>IF($FU10="","",$FU10+$CX$3+$DS10)</f>
        <v/>
      </c>
      <c r="FW10" s="152">
        <f>IF($FU10="","",8+$FU10+$CX$3+$DT10)</f>
        <v/>
      </c>
      <c r="FX10" s="152">
        <f>10+$FM10+$CX$7+$DU10</f>
        <v/>
      </c>
      <c r="FY10" s="152">
        <f>IF($DB10="Corpo amaldiçoado de criação",1,0)</f>
        <v/>
      </c>
      <c r="FZ10" s="152">
        <f>5+$FN10+(3+$FY10+$FN10)*($FI10-1)+$DV10</f>
        <v/>
      </c>
      <c r="GA10" s="152">
        <f>IF($FG10=0,"",$FZ10)</f>
        <v/>
      </c>
      <c r="GB10" s="152">
        <f>IF($EB10="",$FZ10,MAX(0,MIN(IFERROR(VALUE($EB10),$FZ10),$FZ10)))</f>
        <v/>
      </c>
      <c r="GC10" s="152">
        <f>9+$DW10</f>
        <v/>
      </c>
      <c r="GD10" s="152">
        <f>IF($DQ10="Destreza",$FM10,$FL10)</f>
        <v/>
      </c>
      <c r="GE10" s="152">
        <f>$GD10+IF($DR10="Físico",$CX$3,0)+$DX10</f>
        <v/>
      </c>
      <c r="GF10" s="152">
        <f>$FN10+IF($DR10="Vigor",$CX$3,0)+$DY10</f>
        <v/>
      </c>
      <c r="GG10" s="152">
        <f>$FO10+IF($DR10="Intelecto",$CX$3,0)+$DZ10</f>
        <v/>
      </c>
      <c r="GH10" s="152">
        <f>$FP10+IF($DR10="Espírito",$CX$3,0)+$EA10</f>
        <v/>
      </c>
      <c r="GI10" s="152">
        <f>4+INT($DI10/2)</f>
        <v/>
      </c>
      <c r="GJ10" s="152">
        <f>COUNTIF($EK10:$EQ10,"?*")</f>
        <v/>
      </c>
      <c r="GK10" s="152">
        <f>INT((2+$FI10/2)/2)</f>
        <v/>
      </c>
      <c r="GL10" s="152">
        <f>IF($FI10&gt;=11,2,1)</f>
        <v/>
      </c>
      <c r="GM10" s="152">
        <f>1+$FS10</f>
        <v/>
      </c>
      <c r="GN10" s="152">
        <f>COUNTIF($ER10:$EY10,"?*")</f>
        <v/>
      </c>
      <c r="GO10" s="152">
        <f>IF(AND($DB10="Shikigami de criação",$DE10="Com carga"),MAX(1,CEILING($FJ10/2,1)),$FJ10)</f>
        <v/>
      </c>
      <c r="GP10" s="152">
        <f>$FJ10+$GO10</f>
        <v/>
      </c>
      <c r="GQ10" s="152">
        <f>$FI10*(1+INT($DJ10/3))</f>
        <v/>
      </c>
      <c r="GR10" s="152">
        <f>5+$FL10</f>
        <v/>
      </c>
      <c r="GS10" s="152">
        <f>COUNTIF($EF10:$EJ10,"?*")</f>
        <v/>
      </c>
      <c r="GT10" s="152">
        <f>IF($EF10="",0,IF(COUNTIF($EF10:$EJ10,$EF10)&gt;1,1,0))+IF($EG10="",0,IF(COUNTIF($EF10:$EJ10,$EG10)&gt;1,1,0))+IF($EH10="",0,IF(COUNTIF($EF10:$EJ10,$EH10)&gt;1,1,0))+IF($EI10="",0,IF(COUNTIF($EF10:$EJ10,$EI10)&gt;1,1,0))+IF($EJ10="",0,IF(COUNTIF($EF10:$EJ10,$EJ10)&gt;1,1,0))</f>
        <v/>
      </c>
      <c r="GU10" s="152">
        <f>$CX$11</f>
        <v/>
      </c>
      <c r="GV10" s="152">
        <f>IF($FG10=0,"INVOCAÇÃO 9 · lugar vazio",$DA10&amp;" · "&amp;$DB10&amp;" · nível "&amp;$FI10&amp;" · vida "&amp;$GB10&amp;" de "&amp;$FZ10)</f>
        <v/>
      </c>
      <c r="GW10" s="152">
        <f>IF($FG10=0,"VAZIA",UPPER($DA10))</f>
        <v/>
      </c>
      <c r="GX10" s="152">
        <f>IF($CX$3&gt;=0,"+","−")&amp;ABS($CX$3)</f>
        <v/>
      </c>
      <c r="GY10" s="152">
        <f>$GO10&amp;" PE"</f>
        <v/>
      </c>
      <c r="GZ10" s="152">
        <f>$GP10&amp;" PE"</f>
        <v/>
      </c>
      <c r="HA10" s="152">
        <f>IF(OR($FQ10&gt;$FR10,$FT10&gt;$FS10),"⚠ ",IF(AND($FG10=1,$FQ10&lt;$FR10),"! ",""))&amp;"ATRIBUTOS · "&amp;$FQ10&amp;" DE "&amp;$FR10&amp;" PONTOS"&amp;IF($FT10&gt;$FS10," · ACIMA DE 3 SÓ COM MARCO","")</f>
        <v/>
      </c>
      <c r="HB10" s="152">
        <f>IF($FV10="","",IF($FV10&gt;=0,"+","−")&amp;ABS($FV10))</f>
        <v/>
      </c>
      <c r="HC10" s="152">
        <f>IF($FW10="","",$FW10)</f>
        <v/>
      </c>
      <c r="HD10" s="152">
        <f>SUBSTITUTE($GC10&amp;" m",".",",")</f>
        <v/>
      </c>
      <c r="HE10" s="152">
        <f>IF($GE10&gt;=0,"+","−")&amp;ABS($GE10)</f>
        <v/>
      </c>
      <c r="HF10" s="152">
        <f>IF($GF10&gt;=0,"+","−")&amp;ABS($GF10)</f>
        <v/>
      </c>
      <c r="HG10" s="152">
        <f>IF($GG10&gt;=0,"+","−")&amp;ABS($GG10)</f>
        <v/>
      </c>
      <c r="HH10" s="152">
        <f>IF($GH10&gt;=0,"+","−")&amp;ABS($GH10)</f>
        <v/>
      </c>
      <c r="HI10" s="152">
        <f>IF($GJ10&gt;$GI10,"⚠ ","")&amp;"PERÍCIAS · "&amp;$GJ10&amp;" DE "&amp;$GI10</f>
        <v/>
      </c>
      <c r="HJ10" s="152">
        <f>IF($EK10="","",IFERROR(IF((INDEX($FL10:$FP10,1,MATCH(VLOOKUP($EK10,$CA$2:$CB$24,2,FALSE),$BU$2:$BU$6,0))+$CX$3)&gt;=0,"+","−")&amp;ABS((INDEX($FL10:$FP10,1,MATCH(VLOOKUP($EK10,$CA$2:$CB$24,2,FALSE),$BU$2:$BU$6,0))+$CX$3)),""))</f>
        <v/>
      </c>
      <c r="HK10" s="152">
        <f>IF($EL10="","",IFERROR(IF((INDEX($FL10:$FP10,1,MATCH(VLOOKUP($EL10,$CA$2:$CB$24,2,FALSE),$BU$2:$BU$6,0))+$CX$3)&gt;=0,"+","−")&amp;ABS((INDEX($FL10:$FP10,1,MATCH(VLOOKUP($EL10,$CA$2:$CB$24,2,FALSE),$BU$2:$BU$6,0))+$CX$3)),""))</f>
        <v/>
      </c>
      <c r="HL10" s="152">
        <f>IF($EM10="","",IFERROR(IF((INDEX($FL10:$FP10,1,MATCH(VLOOKUP($EM10,$CA$2:$CB$24,2,FALSE),$BU$2:$BU$6,0))+$CX$3)&gt;=0,"+","−")&amp;ABS((INDEX($FL10:$FP10,1,MATCH(VLOOKUP($EM10,$CA$2:$CB$24,2,FALSE),$BU$2:$BU$6,0))+$CX$3)),""))</f>
        <v/>
      </c>
      <c r="HM10" s="152">
        <f>IF($EN10="","",IFERROR(IF((INDEX($FL10:$FP10,1,MATCH(VLOOKUP($EN10,$CA$2:$CB$24,2,FALSE),$BU$2:$BU$6,0))+$CX$3)&gt;=0,"+","−")&amp;ABS((INDEX($FL10:$FP10,1,MATCH(VLOOKUP($EN10,$CA$2:$CB$24,2,FALSE),$BU$2:$BU$6,0))+$CX$3)),""))</f>
        <v/>
      </c>
      <c r="HN10" s="152">
        <f>IF($EO10="","",IFERROR(IF((INDEX($FL10:$FP10,1,MATCH(VLOOKUP($EO10,$CA$2:$CB$24,2,FALSE),$BU$2:$BU$6,0))+$CX$3)&gt;=0,"+","−")&amp;ABS((INDEX($FL10:$FP10,1,MATCH(VLOOKUP($EO10,$CA$2:$CB$24,2,FALSE),$BU$2:$BU$6,0))+$CX$3)),""))</f>
        <v/>
      </c>
      <c r="HO10" s="152">
        <f>IF($EP10="","",IFERROR(IF((INDEX($FL10:$FP10,1,MATCH(VLOOKUP($EP10,$CA$2:$CB$24,2,FALSE),$BU$2:$BU$6,0))+$CX$3)&gt;=0,"+","−")&amp;ABS((INDEX($FL10:$FP10,1,MATCH(VLOOKUP($EP10,$CA$2:$CB$24,2,FALSE),$BU$2:$BU$6,0))+$CX$3)),""))</f>
        <v/>
      </c>
      <c r="HP10" s="152">
        <f>IF($EQ10="","",IFERROR(IF((INDEX($FL10:$FP10,1,MATCH(VLOOKUP($EQ10,$CA$2:$CB$24,2,FALSE),$BU$2:$BU$6,0))+$CX$3)&gt;=0,"+","−")&amp;ABS((INDEX($FL10:$FP10,1,MATCH(VLOOKUP($EQ10,$CA$2:$CB$24,2,FALSE),$BU$2:$BU$6,0))+$CX$3)),""))</f>
        <v/>
      </c>
      <c r="HQ10" s="152">
        <f>IF($DB10="Maldição domada","RESERVA · MÁX. "&amp;$GQ10,"RESERVA DE PE")</f>
        <v/>
      </c>
      <c r="HR10" s="152">
        <f>IF($EE10&gt;$GR10,"⚠ ","")&amp;"EQUIPAMENTO · "&amp;$EE10&amp;" DE "&amp;$GR10&amp;" DE VOLUME"&amp;IF($EE10&gt;$GR10," · PASSOU DO LIMITE","")</f>
        <v/>
      </c>
      <c r="HS10" s="152">
        <f>IF(OR($GT10&gt;0,$GS10&gt;$GU10),"⚠ ","")&amp;"FAMÍLIAS · "&amp;$GS10&amp;" ABERTAS"&amp;IF($GT10&gt;0," · REPETIDA","")&amp;IF($GS10&gt;$GU10," · O LIMITE É "&amp;$GU10,"")</f>
        <v/>
      </c>
      <c r="HT10" s="152">
        <f>"HABILIDADES · básica de "&amp;$FK10&amp;"d6 · "&amp;$GK10&amp;IF($GK10&gt;1," espaços"," espaço")&amp;" de especial até a Classe "&amp;$FJ10&amp;" · "&amp;$GM10&amp;IF($GM10&gt;1," talentos"," talento")</f>
        <v/>
      </c>
      <c r="HU10" s="152">
        <f>IF($GN10&gt;$GM10,"⚠ ","")&amp;"TALENTOS · "&amp;$GN10&amp;" DE "&amp;$GM10</f>
        <v/>
      </c>
      <c r="HV10" s="152">
        <f>IFERROR(VLOOKUP($ER10,$BI$2:$BL$15,2,FALSE),0)</f>
        <v/>
      </c>
      <c r="HW10" s="152">
        <f>IFERROR(VLOOKUP($ES10,$BI$2:$BL$15,2,FALSE),0)</f>
        <v/>
      </c>
      <c r="HX10" s="152">
        <f>IFERROR(VLOOKUP($ET10,$BI$2:$BL$15,2,FALSE),0)</f>
        <v/>
      </c>
      <c r="HY10" s="152">
        <f>IFERROR(VLOOKUP($EU10,$BI$2:$BL$15,2,FALSE),0)</f>
        <v/>
      </c>
      <c r="HZ10" s="152">
        <f>IFERROR(VLOOKUP($EV10,$BI$2:$BL$15,2,FALSE),0)</f>
        <v/>
      </c>
      <c r="IA10" s="152">
        <f>IFERROR(VLOOKUP($EW10,$BI$2:$BL$15,2,FALSE),0)</f>
        <v/>
      </c>
      <c r="IB10" s="152">
        <f>IFERROR(VLOOKUP($EX10,$BI$2:$BL$15,2,FALSE),0)</f>
        <v/>
      </c>
      <c r="IC10" s="152">
        <f>IFERROR(VLOOKUP($EY10,$BI$2:$BL$15,2,FALSE),0)</f>
        <v/>
      </c>
      <c r="ID10" s="152">
        <f>IF($ER10="","",IF(1&gt;$FI10,"⚠ Este talento abre no nível 1",IF($HV10&gt;1,"⚠ Categoria "&amp;$HV10&amp;": este ganho vai até a 1 · ","")&amp;IFERROR(VLOOKUP($ER10,$BI$2:$BL$15,3,FALSE),"")))</f>
        <v/>
      </c>
      <c r="IE10" s="152">
        <f>IF($ES10="","",IF(6&gt;$FI10,"⚠ Este talento abre no nível 6",IF($HW10&gt;1,"⚠ Categoria "&amp;$HW10&amp;": este ganho vai até a 1 · ","")&amp;IFERROR(VLOOKUP($ES10,$BI$2:$BL$15,3,FALSE),"")))</f>
        <v/>
      </c>
      <c r="IF10" s="152">
        <f>IF($ET10="","",IF(10&gt;$FI10,"⚠ Este talento abre no nível 10",IF($HX10&gt;2,"⚠ Categoria "&amp;$HX10&amp;": este ganho vai até a 2 · ","")&amp;IFERROR(VLOOKUP($ET10,$BI$2:$BL$15,3,FALSE),"")))</f>
        <v/>
      </c>
      <c r="IG10" s="152">
        <f>IF($EU10="","",IF(14&gt;$FI10,"⚠ Este talento abre no nível 14",IF($HY10&gt;3,"⚠ Categoria "&amp;$HY10&amp;": este ganho vai até a 3 · ","")&amp;IFERROR(VLOOKUP($EU10,$BI$2:$BL$15,3,FALSE),"")))</f>
        <v/>
      </c>
      <c r="IH10" s="152">
        <f>IF($EV10="","",IF(18&gt;$FI10,"⚠ Este talento abre no nível 18",IF($HZ10&gt;3,"⚠ Categoria "&amp;$HZ10&amp;": este ganho vai até a 3 · ","")&amp;IFERROR(VLOOKUP($EV10,$BI$2:$BL$15,3,FALSE),"")))</f>
        <v/>
      </c>
      <c r="II10" s="152">
        <f>IF($EW10="","",IF(22&gt;$FI10,"⚠ Este talento abre no nível 22",IF($IA10&gt;3,"⚠ Categoria "&amp;$IA10&amp;": este ganho vai até a 3 · ","")&amp;IFERROR(VLOOKUP($EW10,$BI$2:$BL$15,3,FALSE),"")))</f>
        <v/>
      </c>
      <c r="IJ10" s="152">
        <f>IF($EX10="","",IF(26&gt;$FI10,"⚠ Este talento abre no nível 26",IF($IB10&gt;3,"⚠ Categoria "&amp;$IB10&amp;": este ganho vai até a 3 · ","")&amp;IFERROR(VLOOKUP($EX10,$BI$2:$BL$15,3,FALSE),"")))</f>
        <v/>
      </c>
      <c r="IK10" s="152">
        <f>IF($EY10="","",IF(30&gt;$FI10,"⚠ Este talento abre no nível 30",IF($IC10&gt;3,"⚠ Categoria "&amp;$IC10&amp;": este ganho vai até a 3 · ","")&amp;IFERROR(VLOOKUP($EY10,$BI$2:$BL$15,3,FALSE),"")))</f>
        <v/>
      </c>
      <c r="IL10" s="152">
        <f>IF($EZ10="","",IFERROR(VLOOKUP($EZ10,$BI$2:$BL$15,3,FALSE),""))</f>
        <v/>
      </c>
      <c r="IM10" s="152">
        <f>IF($FA10="","",IFERROR(VLOOKUP($FA10,$BI$2:$BL$15,3,FALSE),""))</f>
        <v/>
      </c>
      <c r="IN10" s="152">
        <f>IF($FB10="","",IFERROR(VLOOKUP($FB10,$BI$2:$BL$15,3,FALSE),""))</f>
        <v/>
      </c>
      <c r="IO10" s="152">
        <f>CEILING(4.5*$FC10,1)&amp;" PE"</f>
        <v/>
      </c>
      <c r="IP10" s="152">
        <f>CEILING(4.5*$FD10,1)&amp;" PE"</f>
        <v/>
      </c>
      <c r="IQ10" s="152">
        <f>CEILING(4.5*$FE10,1)&amp;" PE"</f>
        <v/>
      </c>
      <c r="IR10" s="152">
        <f>INDEX($P$2:$P$8,$FC10)&amp;" pontos + "&amp;$FC10&amp;"d8"</f>
        <v/>
      </c>
      <c r="IS10" s="152">
        <f>INDEX($P$2:$P$8,$FD10)&amp;" pontos + "&amp;$FD10&amp;"d8"</f>
        <v/>
      </c>
      <c r="IT10" s="152">
        <f>INDEX($P$2:$P$8,$FE10)&amp;" pontos + "&amp;$FE10&amp;"d8"</f>
        <v/>
      </c>
      <c r="IU10" s="152">
        <f>IF($FI10&lt;17,"—",VLOOKUP($FI10,$CL$2:$CO$4,4,TRUE)&amp;" PE")</f>
        <v/>
      </c>
      <c r="IV10" s="152">
        <f>IF($FI10&lt;17,"Abre no nível 17",VLOOKUP($FI10,$CL$2:$CO$4,2,TRUE)&amp;" fixos · "&amp;VLOOKUP($FI10,$CL$2:$CO$4,3,TRUE)&amp;" pontos")</f>
        <v/>
      </c>
      <c r="IW10" s="152">
        <f>IF($FF10="Sem Barreiras",7,6)*$FJ10&amp;" PE"</f>
        <v/>
      </c>
      <c r="IX10" s="152">
        <f>"Acerto "&amp;$FJ10&amp;"d8"</f>
        <v/>
      </c>
      <c r="IY10" s="152">
        <f>IFERROR(VLOOKUP($FF10,$CQ$2:$CS$4,3,FALSE),"Escolha o degrau")</f>
        <v/>
      </c>
      <c r="IZ10" s="152">
        <f>9&amp;" · "&amp;IF($FG10=0,"vazia",$DA10&amp;" · nv "&amp;$FI10&amp;" · "&amp;$GB10&amp;"/"&amp;$FZ10)</f>
        <v/>
      </c>
      <c r="JB10" s="150" t="inlineStr">
        <is>
          <t>Invocação 9</t>
        </is>
      </c>
      <c r="JC10" s="152">
        <f>ADDRESS(ROW('INVOCAÇÕES'!D29),COLUMN('INVOCAÇÕES'!D29),4)</f>
        <v/>
      </c>
      <c r="JD10" s="152">
        <f>ADDRESS(ROW('INVOCAÇÕES'!AA405),COLUMN('INVOCAÇÕES'!AA405),4)</f>
        <v/>
      </c>
      <c r="JE10" s="150" t="inlineStr">
        <is>
          <t>DADOS_INVOC!$IZ$10</t>
        </is>
      </c>
      <c r="JG10" s="152">
        <f>IF(OR($AW10="",COUNTIF($EF$2:$EJ$2,$AW10)&gt;0),$AV10,"")</f>
        <v/>
      </c>
      <c r="JH10" s="152">
        <f>IF(AND($AX10=1,OR($AW10="",COUNTIF($EF$2:$EJ$2,$AW10)&gt;0)),$AV10,"")</f>
        <v/>
      </c>
      <c r="JJ10" s="152">
        <f>IF(OR($W10="",COUNTIF($EF$2:$EJ$2,$W10)&gt;0),$V10,"")</f>
        <v/>
      </c>
      <c r="JK10" s="152">
        <f>IF(AND($AF10=1,OR($W10="",COUNTIF($EF$2:$EJ$2,$W10)&gt;0)),$V10,"")</f>
        <v/>
      </c>
      <c r="JM10" s="152">
        <f>IF(OR($AW10="",COUNTIF($EF$3:$EJ$3,$AW10)&gt;0),$AV10,"")</f>
        <v/>
      </c>
      <c r="JN10" s="152">
        <f>IF(AND($AX10=1,OR($AW10="",COUNTIF($EF$3:$EJ$3,$AW10)&gt;0)),$AV10,"")</f>
        <v/>
      </c>
      <c r="JP10" s="152">
        <f>IF(OR($W10="",COUNTIF($EF$3:$EJ$3,$W10)&gt;0),$V10,"")</f>
        <v/>
      </c>
      <c r="JQ10" s="152">
        <f>IF(AND($AF10=1,OR($W10="",COUNTIF($EF$3:$EJ$3,$W10)&gt;0)),$V10,"")</f>
        <v/>
      </c>
      <c r="JS10" s="152">
        <f>IF(OR($AW10="",COUNTIF($EF$4:$EJ$4,$AW10)&gt;0),$AV10,"")</f>
        <v/>
      </c>
      <c r="JT10" s="152">
        <f>IF(AND($AX10=1,OR($AW10="",COUNTIF($EF$4:$EJ$4,$AW10)&gt;0)),$AV10,"")</f>
        <v/>
      </c>
      <c r="JV10" s="152">
        <f>IF(OR($W10="",COUNTIF($EF$4:$EJ$4,$W10)&gt;0),$V10,"")</f>
        <v/>
      </c>
      <c r="JW10" s="152">
        <f>IF(AND($AF10=1,OR($W10="",COUNTIF($EF$4:$EJ$4,$W10)&gt;0)),$V10,"")</f>
        <v/>
      </c>
      <c r="JY10" s="152">
        <f>IF(OR($AW10="",COUNTIF($EF$5:$EJ$5,$AW10)&gt;0),$AV10,"")</f>
        <v/>
      </c>
      <c r="JZ10" s="152">
        <f>IF(AND($AX10=1,OR($AW10="",COUNTIF($EF$5:$EJ$5,$AW10)&gt;0)),$AV10,"")</f>
        <v/>
      </c>
      <c r="KB10" s="152">
        <f>IF(OR($W10="",COUNTIF($EF$5:$EJ$5,$W10)&gt;0),$V10,"")</f>
        <v/>
      </c>
      <c r="KC10" s="152">
        <f>IF(AND($AF10=1,OR($W10="",COUNTIF($EF$5:$EJ$5,$W10)&gt;0)),$V10,"")</f>
        <v/>
      </c>
      <c r="KE10" s="152">
        <f>IF(OR($AW10="",COUNTIF($EF$6:$EJ$6,$AW10)&gt;0),$AV10,"")</f>
        <v/>
      </c>
      <c r="KF10" s="152">
        <f>IF(AND($AX10=1,OR($AW10="",COUNTIF($EF$6:$EJ$6,$AW10)&gt;0)),$AV10,"")</f>
        <v/>
      </c>
      <c r="KH10" s="152">
        <f>IF(OR($W10="",COUNTIF($EF$6:$EJ$6,$W10)&gt;0),$V10,"")</f>
        <v/>
      </c>
      <c r="KI10" s="152">
        <f>IF(AND($AF10=1,OR($W10="",COUNTIF($EF$6:$EJ$6,$W10)&gt;0)),$V10,"")</f>
        <v/>
      </c>
      <c r="KK10" s="152">
        <f>IF(OR($AW10="",COUNTIF($EF$7:$EJ$7,$AW10)&gt;0),$AV10,"")</f>
        <v/>
      </c>
      <c r="KL10" s="152">
        <f>IF(AND($AX10=1,OR($AW10="",COUNTIF($EF$7:$EJ$7,$AW10)&gt;0)),$AV10,"")</f>
        <v/>
      </c>
      <c r="KN10" s="152">
        <f>IF(OR($W10="",COUNTIF($EF$7:$EJ$7,$W10)&gt;0),$V10,"")</f>
        <v/>
      </c>
      <c r="KO10" s="152">
        <f>IF(AND($AF10=1,OR($W10="",COUNTIF($EF$7:$EJ$7,$W10)&gt;0)),$V10,"")</f>
        <v/>
      </c>
      <c r="KQ10" s="152">
        <f>IF(OR($AW10="",COUNTIF($EF$8:$EJ$8,$AW10)&gt;0),$AV10,"")</f>
        <v/>
      </c>
      <c r="KR10" s="152">
        <f>IF(AND($AX10=1,OR($AW10="",COUNTIF($EF$8:$EJ$8,$AW10)&gt;0)),$AV10,"")</f>
        <v/>
      </c>
      <c r="KT10" s="152">
        <f>IF(OR($W10="",COUNTIF($EF$8:$EJ$8,$W10)&gt;0),$V10,"")</f>
        <v/>
      </c>
      <c r="KU10" s="152">
        <f>IF(AND($AF10=1,OR($W10="",COUNTIF($EF$8:$EJ$8,$W10)&gt;0)),$V10,"")</f>
        <v/>
      </c>
      <c r="KW10" s="152">
        <f>IF(OR($AW10="",COUNTIF($EF$9:$EJ$9,$AW10)&gt;0),$AV10,"")</f>
        <v/>
      </c>
      <c r="KX10" s="152">
        <f>IF(AND($AX10=1,OR($AW10="",COUNTIF($EF$9:$EJ$9,$AW10)&gt;0)),$AV10,"")</f>
        <v/>
      </c>
      <c r="KZ10" s="152">
        <f>IF(OR($W10="",COUNTIF($EF$9:$EJ$9,$W10)&gt;0),$V10,"")</f>
        <v/>
      </c>
      <c r="LA10" s="152">
        <f>IF(AND($AF10=1,OR($W10="",COUNTIF($EF$9:$EJ$9,$W10)&gt;0)),$V10,"")</f>
        <v/>
      </c>
      <c r="LC10" s="152">
        <f>IF(OR($AW10="",COUNTIF($EF$10:$EJ$10,$AW10)&gt;0),$AV10,"")</f>
        <v/>
      </c>
      <c r="LD10" s="152">
        <f>IF(AND($AX10=1,OR($AW10="",COUNTIF($EF$10:$EJ$10,$AW10)&gt;0)),$AV10,"")</f>
        <v/>
      </c>
      <c r="LF10" s="152">
        <f>IF(OR($W10="",COUNTIF($EF$10:$EJ$10,$W10)&gt;0),$V10,"")</f>
        <v/>
      </c>
      <c r="LG10" s="152">
        <f>IF(AND($AF10=1,OR($W10="",COUNTIF($EF$10:$EJ$10,$W10)&gt;0)),$V10,"")</f>
        <v/>
      </c>
      <c r="LI10" s="152">
        <f>IF(OR($AW10="",COUNTIF($EF$11:$EJ$11,$AW10)&gt;0),$AV10,"")</f>
        <v/>
      </c>
      <c r="LJ10" s="152">
        <f>IF(AND($AX10=1,OR($AW10="",COUNTIF($EF$11:$EJ$11,$AW10)&gt;0)),$AV10,"")</f>
        <v/>
      </c>
      <c r="LL10" s="152">
        <f>IF(OR($W10="",COUNTIF($EF$11:$EJ$11,$W10)&gt;0),$V10,"")</f>
        <v/>
      </c>
      <c r="LM10" s="152">
        <f>IF(AND($AF10=1,OR($W10="",COUNTIF($EF$11:$EJ$11,$W10)&gt;0)),$V10,"")</f>
        <v/>
      </c>
      <c r="LO10" s="152">
        <f>IF(OR($AW10="",COUNTIF($EF$12:$EJ$12,$AW10)&gt;0),$AV10,"")</f>
        <v/>
      </c>
      <c r="LP10" s="152">
        <f>IF(AND($AX10=1,OR($AW10="",COUNTIF($EF$12:$EJ$12,$AW10)&gt;0)),$AV10,"")</f>
        <v/>
      </c>
      <c r="LR10" s="152">
        <f>IF(OR($W10="",COUNTIF($EF$12:$EJ$12,$W10)&gt;0),$V10,"")</f>
        <v/>
      </c>
      <c r="LS10" s="152">
        <f>IF(AND($AF10=1,OR($W10="",COUNTIF($EF$12:$EJ$12,$W10)&gt;0)),$V10,"")</f>
        <v/>
      </c>
      <c r="LU10" s="152">
        <f>IF(OR($AW10="",COUNTIF($EF$13:$EJ$13,$AW10)&gt;0),$AV10,"")</f>
        <v/>
      </c>
      <c r="LV10" s="152">
        <f>IF(AND($AX10=1,OR($AW10="",COUNTIF($EF$13:$EJ$13,$AW10)&gt;0)),$AV10,"")</f>
        <v/>
      </c>
      <c r="LX10" s="152">
        <f>IF(OR($W10="",COUNTIF($EF$13:$EJ$13,$W10)&gt;0),$V10,"")</f>
        <v/>
      </c>
      <c r="LY10" s="152">
        <f>IF(AND($AF10=1,OR($W10="",COUNTIF($EF$13:$EJ$13,$W10)&gt;0)),$V10,"")</f>
        <v/>
      </c>
      <c r="MA10" s="150" t="inlineStr">
        <is>
          <t>Ficha 1 · Especial 7</t>
        </is>
      </c>
      <c r="MB10" s="152" t="n">
        <v>1</v>
      </c>
      <c r="MC10" s="152" t="n">
        <v>1</v>
      </c>
      <c r="MD10" s="152" t="n">
        <v>24</v>
      </c>
      <c r="ME10" s="150" t="inlineStr">
        <is>
          <t>ESPECIAL 7</t>
        </is>
      </c>
      <c r="MF10" s="152">
        <f>MAX(1,MIN(7,N('INVOCAÇÕES'!$U$114)))</f>
        <v/>
      </c>
      <c r="MG10" s="152">
        <f>'INVOCAÇÕES'!$V$114&amp;""</f>
        <v/>
      </c>
      <c r="MH10" s="152">
        <f>'INVOCAÇÕES'!$U$119&amp;""</f>
        <v/>
      </c>
      <c r="MI10" s="152">
        <f>'INVOCAÇÕES'!$U$120&amp;""</f>
        <v/>
      </c>
      <c r="MJ10" s="152">
        <f>'INVOCAÇÕES'!$W$120&amp;""</f>
        <v/>
      </c>
      <c r="MK10" s="152">
        <f>'INVOCAÇÕES'!$V$123&amp;""</f>
        <v/>
      </c>
      <c r="ML10" s="152">
        <f>'INVOCAÇÕES'!$V$124&amp;""</f>
        <v/>
      </c>
      <c r="MM10" s="152">
        <f>'INVOCAÇÕES'!$V$125&amp;""</f>
        <v/>
      </c>
      <c r="MN10" s="152">
        <f>'INVOCAÇÕES'!$V$126&amp;""</f>
        <v/>
      </c>
      <c r="MO10" s="152">
        <f>'INVOCAÇÕES'!$V$127&amp;""</f>
        <v/>
      </c>
      <c r="MP10" s="152">
        <f>'INVOCAÇÕES'!$V$128&amp;""</f>
        <v/>
      </c>
      <c r="MQ10" s="152">
        <f>IF($MG10&lt;&gt;"",1,0)</f>
        <v/>
      </c>
      <c r="MR10" s="152">
        <f>INDEX($FI$2:$FI$13,$MB10)</f>
        <v/>
      </c>
      <c r="MS10" s="152">
        <f>INDEX($FJ$2:$FJ$13,$MB10)</f>
        <v/>
      </c>
      <c r="MT10" s="152">
        <f>INDEX($FK$2:$FK$13,$MB10)</f>
        <v/>
      </c>
      <c r="MU10" s="152">
        <f>INDEX($FV$2:$FV$13,$MB10)</f>
        <v/>
      </c>
      <c r="MV10" s="152">
        <f>INDEX($FW$2:$FW$13,$MB10)</f>
        <v/>
      </c>
      <c r="MW10" s="152">
        <f>IFERROR(MATCH($MH10,$V$2:$V$11,0),0)</f>
        <v/>
      </c>
      <c r="MX10" s="152">
        <f>IFERROR(VLOOKUP($MK10,$AV$2:$BA$84,2,FALSE),"")</f>
        <v/>
      </c>
      <c r="MY10" s="152">
        <f>IFERROR(VLOOKUP($ML10,$AV$2:$BA$84,2,FALSE),"")</f>
        <v/>
      </c>
      <c r="MZ10" s="152">
        <f>IFERROR(VLOOKUP($MM10,$AV$2:$BA$84,2,FALSE),"")</f>
        <v/>
      </c>
      <c r="NA10" s="152">
        <f>IFERROR(VLOOKUP($MN10,$AV$2:$BA$84,2,FALSE),"")</f>
        <v/>
      </c>
      <c r="NB10" s="152">
        <f>IFERROR(VLOOKUP($MK10,$AV$2:$BA$84,3,FALSE),0)</f>
        <v/>
      </c>
      <c r="NC10" s="152">
        <f>IFERROR(VLOOKUP($ML10,$AV$2:$BA$84,3,FALSE),0)</f>
        <v/>
      </c>
      <c r="ND10" s="152">
        <f>IFERROR(VLOOKUP($MM10,$AV$2:$BA$84,3,FALSE),0)</f>
        <v/>
      </c>
      <c r="NE10" s="152">
        <f>IFERROR(VLOOKUP($MN10,$AV$2:$BA$84,3,FALSE),0)</f>
        <v/>
      </c>
      <c r="NF10" s="152">
        <f>IF($MF10=0,0,IF($MW10=0,0,INDEX($X$2:$X$11,$MW10)))</f>
        <v/>
      </c>
      <c r="NG10" s="152">
        <f>IF(OR($NB10=0,$MF10=0),0,$NB10+3*IF(AND($MX10&lt;&gt;"",OR($MX10=INDEX($EF$2:$EF$13,$MB10),$MX10=INDEX($EG$2:$EG$13,$MB10))),1,0))</f>
        <v/>
      </c>
      <c r="NH10" s="152">
        <f>IF(OR($NC10=0,$MF10=0),0,$NC10+3*IF(AND($MY10&lt;&gt;"",OR($MY10=INDEX($EF$2:$EF$13,$MB10),$MY10=INDEX($EG$2:$EG$13,$MB10))),1,0))</f>
        <v/>
      </c>
      <c r="NI10" s="152">
        <f>IF(OR($ND10=0,$MF10=0),0,$ND10+3*IF(AND($MZ10&lt;&gt;"",OR($MZ10=INDEX($EF$2:$EF$13,$MB10),$MZ10=INDEX($EG$2:$EG$13,$MB10))),1,0))</f>
        <v/>
      </c>
      <c r="NJ10" s="152">
        <f>IF(OR($NE10=0,$MF10=0),0,$NE10+3*IF(AND($NA10&lt;&gt;"",OR($NA10=INDEX($EF$2:$EF$13,$MB10),$NA10=INDEX($EG$2:$EG$13,$MB10))),1,0))</f>
        <v/>
      </c>
      <c r="NK10" s="152">
        <f>IF($MW10=0,0,IF(INDEX($W$2:$W$11,$MW10)="",0,IF(COUNTIF(INDEX($EF$2:$EJ$13,$MB10,0),INDEX($W$2:$W$11,$MW10))=0,1,0)))</f>
        <v/>
      </c>
      <c r="NL10" s="152">
        <f>IF(OR($NB10=0,$MX10=""),0,IF(COUNTIF(INDEX($EF$2:$EJ$13,$MB10,0),$MX10)=0,1,0))</f>
        <v/>
      </c>
      <c r="NM10" s="152">
        <f>IF(OR($NC10=0,$MY10=""),0,IF(COUNTIF(INDEX($EF$2:$EJ$13,$MB10,0),$MY10)=0,1,0))</f>
        <v/>
      </c>
      <c r="NN10" s="152">
        <f>IF(OR($ND10=0,$MZ10=""),0,IF(COUNTIF(INDEX($EF$2:$EJ$13,$MB10,0),$MZ10)=0,1,0))</f>
        <v/>
      </c>
      <c r="NO10" s="152">
        <f>IF(OR($NE10=0,$NA10=""),0,IF(COUNTIF(INDEX($EF$2:$EJ$13,$MB10,0),$NA10)=0,1,0))</f>
        <v/>
      </c>
      <c r="NP10" s="152">
        <f>IFERROR(VLOOKUP($MK10,$AV$2:$BA$84,4,FALSE),0)+IFERROR(VLOOKUP($ML10,$AV$2:$BA$84,4,FALSE),0)+IFERROR(VLOOKUP($MM10,$AV$2:$BA$84,4,FALSE),0)+IFERROR(VLOOKUP($MN10,$AV$2:$BA$84,4,FALSE),0)</f>
        <v/>
      </c>
      <c r="NQ10" s="152">
        <f>IFERROR(VLOOKUP($MK10,$AV$2:$BA$84,6,FALSE),0)+IFERROR(VLOOKUP($ML10,$AV$2:$BA$84,6,FALSE),0)+IFERROR(VLOOKUP($MM10,$AV$2:$BA$84,6,FALSE),0)+IFERROR(VLOOKUP($MN10,$AV$2:$BA$84,6,FALSE),0)</f>
        <v/>
      </c>
      <c r="NR10" s="152">
        <f>TEXTJOIN(", ",TRUE,IF(IFERROR(VLOOKUP($MK10,$AV$2:$BA$84,5,FALSE),0)=1,$MK10,""),IF(IFERROR(VLOOKUP($ML10,$AV$2:$BA$84,5,FALSE),0)=1,$ML10,""),IF(IFERROR(VLOOKUP($MM10,$AV$2:$BA$84,5,FALSE),0)=1,$MM10,""),IF(IFERROR(VLOOKUP($MN10,$AV$2:$BA$84,5,FALSE),0)=1,$MN10,""))</f>
        <v/>
      </c>
      <c r="NS10" s="152">
        <f>IF($MW10=0,0,INDEX($Y$2:$Y$11,$MW10))</f>
        <v/>
      </c>
      <c r="NT10" s="152">
        <f>IF($MW10=0,0,INDEX($Z$2:$Z$11,$MW10))</f>
        <v/>
      </c>
      <c r="NU10" s="152">
        <f>IF($MW10=0,0,INDEX($AB$2:$AB$11,$MW10))</f>
        <v/>
      </c>
      <c r="NV10" s="152">
        <f>IFERROR(VLOOKUP($MO10,$BC$2:$BG$24,3,FALSE),0)</f>
        <v/>
      </c>
      <c r="NW10" s="152">
        <f>IFERROR(VLOOKUP($MP10,$BC$2:$BG$24,3,FALSE),0)</f>
        <v/>
      </c>
      <c r="NX10" s="152">
        <f>IFERROR(VLOOKUP($MO10,$BC$2:$BG$24,2,FALSE),"")</f>
        <v/>
      </c>
      <c r="NY10" s="152">
        <f>IFERROR(VLOOKUP($MP10,$BC$2:$BG$24,2,FALSE),"")</f>
        <v/>
      </c>
      <c r="NZ10" s="152">
        <f>COUNTIF($NF10:$NJ10,1)</f>
        <v/>
      </c>
      <c r="OA10" s="152">
        <f>COUNTIF($NF10:$NJ10,2)</f>
        <v/>
      </c>
      <c r="OB10" s="152">
        <f>COUNTIF($NF10:$NJ10,3)</f>
        <v/>
      </c>
      <c r="OC10" s="152">
        <f>COUNTIF($NF10:$NJ10,4)</f>
        <v/>
      </c>
      <c r="OD10" s="152">
        <f>COUNTIF($NF10:$NJ10,5)</f>
        <v/>
      </c>
      <c r="OE10" s="152">
        <f>COUNTIF($NF10:$NJ10,6)</f>
        <v/>
      </c>
      <c r="OF10" s="152">
        <f>COUNTIF($NV10:$NW10,1)</f>
        <v/>
      </c>
      <c r="OG10" s="152">
        <f>COUNTIF($NV10:$NW10,2)+$NS10</f>
        <v/>
      </c>
      <c r="OH10" s="152">
        <f>COUNTIF($MK10:$MN10,"?*")</f>
        <v/>
      </c>
      <c r="OI10" s="152">
        <f>COUNTIF($MO10:$MP10,"?*")+$NS10</f>
        <v/>
      </c>
      <c r="OJ10" s="152">
        <f>IF($MF10=0,0,SUMPRODUCT($NZ10:$OE10,INDEX($I$2:$N$8,MAX(1,$MF10),0)))</f>
        <v/>
      </c>
      <c r="OK10" s="152">
        <f>IF($MF10=0,0,$OF10*CEILING($MF10/2,1)+$OG10*$MF10)</f>
        <v/>
      </c>
      <c r="OL10" s="152">
        <f>MIN(2*$MF10,$OK10)</f>
        <v/>
      </c>
      <c r="OM10" s="152">
        <f>MIN($OL10,$OJ10)</f>
        <v/>
      </c>
      <c r="ON10" s="152">
        <f>$OL10-$OM10</f>
        <v/>
      </c>
      <c r="OO10" s="152">
        <f>IF($MF10=0,0,INDEX($P$2:$P$8,MAX(1,$MF10)))</f>
        <v/>
      </c>
      <c r="OP10" s="152">
        <f>$OO10-$OJ10+$OM10</f>
        <v/>
      </c>
      <c r="OQ10" s="152">
        <f>IF($MF10=0,MAX(0,$MT10-IF($OH10&gt;0,1,0)),MAX(0,$OP10))</f>
        <v/>
      </c>
      <c r="OR10" s="152">
        <f>IF($MF10=0,0,(IF(COUNTIF($MK10:$MN10,"Salto")&gt;0,1,0)+IF(COUNTIF($MK10:$MN10,"Queima")&gt;0,1,0)+IF(COUNTIF($MK10:$MN10,"Estilhaço")&gt;0,1,0))*FLOOR($OQ10/2,1))</f>
        <v/>
      </c>
      <c r="OS10" s="152">
        <f>MAX(0,2-SUMPRODUCT($NZ10:$OE10,$I$2:$N$2)+MIN(2,$OF10*1+$OG10*1,SUMPRODUCT($NZ10:$OE10,$I$2:$N$2)))</f>
        <v/>
      </c>
      <c r="OT10" s="152">
        <f>MAX(0,4-SUMPRODUCT($NZ10:$OE10,$I$3:$N$3)+MIN(4,$OF10*1+$OG10*2,SUMPRODUCT($NZ10:$OE10,$I$3:$N$3)))</f>
        <v/>
      </c>
      <c r="OU10" s="152">
        <f>MAX(0,6-SUMPRODUCT($NZ10:$OE10,$I$4:$N$4)+MIN(6,$OF10*2+$OG10*3,SUMPRODUCT($NZ10:$OE10,$I$4:$N$4)))</f>
        <v/>
      </c>
      <c r="OV10" s="152">
        <f>MAX(0,9-SUMPRODUCT($NZ10:$OE10,$I$5:$N$5)+MIN(8,$OF10*2+$OG10*4,SUMPRODUCT($NZ10:$OE10,$I$5:$N$5)))</f>
        <v/>
      </c>
      <c r="OW10" s="152">
        <f>MAX(0,11-SUMPRODUCT($NZ10:$OE10,$I$6:$N$6)+MIN(10,$OF10*3+$OG10*5,SUMPRODUCT($NZ10:$OE10,$I$6:$N$6)))</f>
        <v/>
      </c>
      <c r="OX10" s="152">
        <f>MAX(0,13-SUMPRODUCT($NZ10:$OE10,$I$7:$N$7)+MIN(12,$OF10*3+$OG10*6,SUMPRODUCT($NZ10:$OE10,$I$7:$N$7)))</f>
        <v/>
      </c>
      <c r="OY10" s="152">
        <f>MAX(0,16-SUMPRODUCT($NZ10:$OE10,$I$8:$N$8)+MIN(14,$OF10*4+$OG10*7,SUMPRODUCT($NZ10:$OE10,$I$8:$N$8)))</f>
        <v/>
      </c>
      <c r="OZ10" s="152">
        <f>IF($NT10=2,3*$OS10&amp;" de vida temp.",IF($NT10=3,"sem dano",IF($OS10=0,IF($NT10=1,"sem cura","sem dano"),IF($NT10=1,"cura ","")&amp;$OS10&amp;"d8")))</f>
        <v/>
      </c>
      <c r="PA10" s="152">
        <f>IF($NT10=2,3*$OT10&amp;" de vida temp.",IF($NT10=3,"sem dano",IF($OT10=0,IF($NT10=1,"sem cura","sem dano"),IF($NT10=1,"cura ","")&amp;$OT10&amp;"d8")))</f>
        <v/>
      </c>
      <c r="PB10" s="152">
        <f>IF($NT10=2,3*$OU10&amp;" de vida temp.",IF($NT10=3,"sem dano",IF($OU10=0,IF($NT10=1,"sem cura","sem dano"),IF($NT10=1,"cura ","")&amp;$OU10&amp;"d8")))</f>
        <v/>
      </c>
      <c r="PC10" s="152">
        <f>IF($NT10=2,3*$OV10&amp;" de vida temp.",IF($NT10=3,"sem dano",IF($OV10=0,IF($NT10=1,"sem cura","sem dano"),IF($NT10=1,"cura ","")&amp;$OV10&amp;"d8")))</f>
        <v/>
      </c>
      <c r="PD10" s="152">
        <f>IF($NT10=2,3*$OW10&amp;" de vida temp.",IF($NT10=3,"sem dano",IF($OW10=0,IF($NT10=1,"sem cura","sem dano"),IF($NT10=1,"cura ","")&amp;$OW10&amp;"d8")))</f>
        <v/>
      </c>
      <c r="PE10" s="152">
        <f>IF($NT10=2,3*$OX10&amp;" de vida temp.",IF($NT10=3,"sem dano",IF($OX10=0,IF($NT10=1,"sem cura","sem dano"),IF($NT10=1,"cura ","")&amp;$OX10&amp;"d8")))</f>
        <v/>
      </c>
      <c r="PF10" s="152">
        <f>IF($NT10=2,3*$OY10&amp;" de vida temp.",IF($NT10=3,"sem dano",IF($OY10=0,IF($NT10=1,"sem cura","sem dano"),IF($NT10=1,"cura ","")&amp;$OY10&amp;"d8")))</f>
        <v/>
      </c>
      <c r="PG10" s="152">
        <f>IF($MQ10=0,"",TEXTJOIN(" · ",TRUE,IF($MD10&gt;$MR10,"Este lugar abre no nível "&amp;$MD10,""),IF($MF10&gt;$MS10,"Classe "&amp;$MF10&amp;": o nível "&amp;$MR10&amp;" libera até a "&amp;$MS10,""),IF($NK10=1,"A Forma "&amp;$MH10&amp;" pede "&amp;INDEX($W$2:$W$11,$MW10)&amp;" aberta",""),IF(AND($MF10=0,$MW10&gt;0,IF($MW10=0,0,INDEX($AF$2:$AF$11,$MW10))=0),$MH10&amp;" não existe na Classe 0",""),IF($NL10=1,"Família Fechada: "&amp;$MK10,""),IF($NM10=1,"Família Fechada: "&amp;$ML10,""),IF($NN10=1,"Família Fechada: "&amp;$MM10,""),IF($NO10=1,"Família Fechada: "&amp;$MN10,""),IF(AND($MF10&gt;0,$OH10&gt;INDEX($O$2:$O$8,MAX(1,$MF10))),$OH10&amp;" Melhorias: a Classe "&amp;$MF10&amp;" aceita "&amp;INDEX($O$2:$O$8,MAX(1,$MF10)),""),IF(AND($MF10=0,$OH10&gt;1),"A básica aceita uma Melhoria",""),IF(AND($MF10=0,COUNTIF($NB10:$NE10,"&gt;1")&gt;0),"A básica só aceita Melhoria Leve",""),IF(AND($MF10&gt;0,$OI10&gt;2),$OI10&amp;" Restrições"&amp;IF($NS10=1,", contando a que a Forma "&amp;$MH10&amp;" já traz","")&amp;": o limite é 2",""),IF(AND($MF10=0,COUNTIF($MO10:$MP10,"?*")&gt;1),"A básica aceita uma Restrição Leve",""),IF(AND($MF10=0,COUNTIF($NV10:$NW10,2)&gt;0),"A básica só aceita Restrição Leve",""),IF(AND($MF10&gt;0,$OP10&lt;0),"Orçamento estourado: faltam "&amp;(-$OP10)&amp;IF($OP10&lt;-1," pontos"," ponto"),""),IF(IFERROR(VLOOKUP($MO10,$BC$2:$BG$24,4,FALSE),0)+IFERROR(VLOOKUP($MP10,$BC$2:$BG$24,4,FALSE),0)&gt;1,$NX10&amp;" e "&amp;$NY10&amp;" são as duas de frequência",""),IF(AND((COUNTIF($MK10:$MN10,"Rápido")+COUNTIF($NX10:$NY10,"Rápido"))&gt;0,(COUNTIF($MK10:$MN10,"Atrasar")+COUNTIF($NX10:$NY10,"Atrasar"))&gt;0),"Rápido não entra com Atrasar",""),IF(AND((COUNTIF($MK10:$MN10,"Reação")+COUNTIF($NX10:$NY10,"Reação"))&gt;0,(COUNTIF($MK10:$MN10,"Rápido")+COUNTIF($NX10:$NY10,"Rápido"))&gt;0),"Reação não entra com Rápido",""),IF(AND((COUNTIF($MK10:$MN10,"Reação")+COUNTIF($NX10:$NY10,"Reação"))&gt;0,(COUNTIF($MK10:$MN10,"Armado")+COUNTIF($NX10:$NY10,"Armado"))&gt;0),"Reação não entra com Armado",""),IF(AND((COUNTIF($MK10:$MN10,"Reação")+COUNTIF($NX10:$NY10,"Reação"))&gt;0,(COUNTIF($MK10:$MN10,"Atrasar")+COUNTIF($NX10:$NY10,"Atrasar"))&gt;0),"Reação não entra com Atrasar",""),IF(AND((COUNTIF($MK10:$MN10,"Reação")+COUNTIF($NX10:$NY10,"Reação"))&gt;0,(COUNTIF($MK10:$MN10,"Parado")+COUNTIF($NX10:$NY10,"Parado"))&gt;0),"Reação não entra com Parado",""),IF(AND((COUNTIF($MK10:$MN10,"Atrasar")+COUNTIF($NX10:$NY10,"Atrasar"))&gt;0,(COUNTIF($MK10:$MN10,"Parado")+COUNTIF($NX10:$NY10,"Parado"))&gt;0),"Atrasar não entra com Parado",""),IF(AND((COUNTIF($MK10:$MN10,"Armado")+COUNTIF($NX10:$NY10,"Armado"))&gt;0,(COUNTIF($MK10:$MN10,"Carregar")+COUNTIF($NX10:$NY10,"Carregar"))&gt;0),"Armado não entra com Carregar",""),IF(AND(COUNTIF($NX10:$NY10,"Corpo a Corpo")&gt;0,$NS10=0,OR($MH10="Cone",$MH10="Linha")),"Corpo a Corpo não entra em "&amp;$MH10,""),IF(AND(COUNTIF($NX10:$NY10,"Corpo a Corpo")&gt;0,$NS10=1),"A Forma "&amp;$MH10&amp;" já traz o Corpo a Corpo",""),IF(AND(COUNTIF($NX10:$NY10,"Tudo ou Nada")&gt;0,$NU10=0),"Tudo ou Nada só entra em habilidade de Teste de Resistência",""),IF(AND(COUNTIF($MK10:$MN10,"Inescapável")&gt;0,OR($OH10&gt;1,$OI10&gt;0)),"Inescapável não aceita outra peça",""),IF(AND($MF10&gt;0,$OQ10*IF(COUNTIF($MK10:$MN10,"Remate")&gt;0,1.25,1)+$OR10&gt;4*$MF10),($OQ10*IF(COUNTIF($MK10:$MN10,"Remate")&gt;0,1.25,1)+$OR10)&amp;" dados somando repetições"&amp;IF(COUNTIF($MK10:$MN10,"Remate")&gt;0," e o Remate","")&amp;": o teto da Classe "&amp;$MF10&amp;" é "&amp;4*$MF10,"")))</f>
        <v/>
      </c>
      <c r="PH10" s="152">
        <f>IF($PG10="",0,(LEN($PG10)-LEN(SUBSTITUTE($PG10," · ","")))/3+1)</f>
        <v/>
      </c>
      <c r="PI10" s="152">
        <f>IF($MQ10=0,"",TEXTJOIN(" · ",TRUE,IF($OK10&gt;2*$MF10,"A devolução parou no teto de "&amp;2*$MF10,""),IF($ON10&gt;0,"Devolução perdida: "&amp;$ON10&amp;IF($ON10&gt;1," pontos"," ponto")&amp;" sem peça para pagar",""),IF(AND($NP10&gt;0,AND($MF10&gt;0,$NT10=0),$OQ10=0),"Controle sem dano: uma rodada a mais e CD +2",""),IF(AND($NP10&gt;0,AND($MF10&gt;0,$NT10=0),$OQ10&gt;0,$OQ10&lt;=$MF10),"Controle com saldo até a Classe: uma rodada a mais",""),IF(AND($MF10&gt;0,$NR10&lt;&gt;""),"Efeito de "&amp;$NR10&amp;" pela Classe "&amp;MAX(1,$MF10-1),"")))</f>
        <v/>
      </c>
      <c r="PJ10" s="152">
        <f>IF($PI10="",0,(LEN($PI10)-LEN(SUBSTITUTE($PI10," · ","")))/3+1)</f>
        <v/>
      </c>
      <c r="PK10" s="152">
        <f>IF($MQ10=0,IF($OH10+COUNTIF($MO10:$MP10,"?*")&gt;0,"Dê um nome",""),IF($PH10&gt;0,"⚠ "&amp;$PH10&amp;IF($PH10&gt;1," erros"," erro"),IF($PJ10&gt;0,"! "&amp;$PJ10&amp;IF($PJ10&gt;1," avisos"," aviso"),"Na regra")))</f>
        <v/>
      </c>
      <c r="PL10" s="152">
        <f>IF($MQ10=0,"",IF($PH10+$PJ10=0,"Dentro das regras que a ficha confere",$PG10&amp;IF(AND($PH10&gt;0,$PJ10&gt;0)," · ","")&amp;$PI10))</f>
        <v/>
      </c>
      <c r="PM10" s="152">
        <f>IF($MD10&gt;$MR10,$ME10&amp;" · ABRE NO NÍVEL "&amp;$MD10,$ME10)</f>
        <v/>
      </c>
      <c r="PN10" s="152">
        <f>IF($MQ10=0,"",IF($MF10=0,"Sem PE",3*$MF10&amp;" PE"))</f>
        <v/>
      </c>
      <c r="PO10" s="152">
        <f>IF($MQ10=0,"",IF($MF10=0,"A atuação básica dela",IF(COUNTIF($NX10:$NY10,"Atrasar")&gt;0,"Sua Ação Completa",IF(COUNTIF($MK10:$MN10,"Rápido")&gt;0,"Sua Bônus",IF(COUNTIF($MK10:$MN10,"Reação")&gt;0,"Sua Reação","Sua Padrão")))&amp;" + a básica dela"&amp;IF(COUNTIF($MK10:$MN10,"Reação")&gt;0," e a coletiva","")&amp;IF(COUNTIF($NX10:$NY10,"Carregar")&gt;0," · em dois turnos","")))</f>
        <v/>
      </c>
      <c r="PP10" s="152">
        <f>IF($MJ10&lt;&gt;"",$MJ10,IF($MW10=0,"",INDEX($AA$2:$AA$11,$MW10)))</f>
        <v/>
      </c>
      <c r="PQ10" s="152">
        <f>IF(OR($MQ10=0,$MW10=0),"",IF(COUNTIF($MK10:$MN10,"Inescapável")&gt;0,"Automático",IF($PP10="Ataque",IF($MU10="","Ataque","Ataque "&amp;IF(($MU10+2*IF(COUNTIF($MK10:$MN10,"Precisão")&gt;0,1,0))&gt;=0,"+","−")&amp;ABS(($MU10+2*IF(COUNTIF($MK10:$MN10,"Precisão")&gt;0,1,0))))&amp;IF($NQ10&gt;0," · TR"&amp;IF($MV10="",""," CD "&amp;$MV10),""),IF(LEFT($PP10,2)="TR",$PP10&amp;IF($MV10="",""," · CD "&amp;$MV10)&amp;IF(COUNTIF($MK10:$MN10,"Certeiro")&gt;0," · metade",""),"Sem rolagem"))))</f>
        <v/>
      </c>
      <c r="PR10" s="152">
        <f>IF(OR($MQ10=0,$MW10=0),"",IF($MF10=0,IF(OR($NT10&gt;=1,$OQ10=0),"Sem dano",$OQ10&amp;"d6"&amp;IF($MI10="",""," "&amp;$MI10)),IF(OR($NT10&gt;=1,$OQ10=0),UPPER(LEFT(INDEX($OZ10:$PF10,1,MAX(1,$MF10)),1))&amp;MID(INDEX($OZ10:$PF10,1,MAX(1,$MF10)),2,99),UPPER(LEFT(INDEX($OZ10:$PF10,1,MAX(1,$MF10)),1))&amp;MID(INDEX($OZ10:$PF10,1,MAX(1,$MF10)),2,99)&amp;IF($MI10="",""," "&amp;$MI10)&amp;IF($OR10&gt;0," · +"&amp;$OR10&amp;"d8",""))))</f>
        <v/>
      </c>
      <c r="PS10" s="152">
        <f>COUNTIF($MK10:$MN10,"Longe")+3*COUNTIF($MK10:$MN10,"Muito Longe")</f>
        <v/>
      </c>
      <c r="PT10" s="152">
        <f>COUNTIF($MK10:$MN10,"Maior")+3*COUNTIF($MK10:$MN10,"Muito Maior")</f>
        <v/>
      </c>
      <c r="PU10" s="152">
        <f>IF($MW10=0,0,CHOOSE(1+INDEX($AC$2:$AC$11,$MW10),0,$PS10,$PT10,$PS10+$PT10))</f>
        <v/>
      </c>
      <c r="PV10" s="152">
        <f>IF($MW10=0,0,CHOOSE(1+INDEX($AD$2:$AD$11,$MW10),0,$PS10,$PT10,$PS10+$PT10))</f>
        <v/>
      </c>
      <c r="PW10" s="152">
        <f>IF(OR($MQ10=0,$MW10=0),"",INDEX($AI$2:$AN$41,($MW10-1)*4+IF($MF10=0,1,IF($MF10&lt;=5,2,IF($MF10=6,3,4))),1+MIN(5,$PU10))&amp;INDEX($AO$2:$AT$41,($MW10-1)*4+IF($MF10=0,1,IF($MF10&lt;=5,2,IF($MF10=6,3,4))),1+MIN(5,$PV10))&amp;IF(INDEX($AE$2:$AE$11,$MW10)=1,IF(COUNTIF($MK10:$MN10,"Mais Um")&gt;0," · +"&amp;COUNTIF($MK10:$MN10,"Mais Um")&amp;IF(COUNTIF($MK10:$MN10,"Mais Um")&gt;1," alvos"," alvo"),"")&amp;IF(COUNTIF($MK10:$MN10,"Rajada")&gt;0,IF($MF10=0," · 1 tiro"," · "&amp;(MAX(1,$MF10-1)+1)&amp;" tiros"),""),""))</f>
        <v/>
      </c>
      <c r="PX10" s="152">
        <f>IF($MQ10=0,"",IF($MF10=0,$MT10&amp;"d6"&amp;IF($OH10&gt;0," − 1 = "&amp;$OQ10&amp;"d6"," da básica do nível "&amp;$MR10),$OO10&amp;" − "&amp;$OJ10&amp;" + "&amp;$OM10&amp;" = "&amp;$OP10&amp;" · teto "&amp;4*$MF10&amp;"d8"&amp;IF($NS10=1," · a Forma devolve "&amp;$MF10,"")&amp;IF($ON10&gt;0," · perde "&amp;$ON10,"")))</f>
        <v/>
      </c>
      <c r="PY10" s="152">
        <f>IF($MQ10=0,"",IF($MF10=0,"A básica não amplia: os dados dela sobem com o nível",IF($MF10&gt;=$MS10,"Já está na maior Classe que o nível liberou",TEXTJOIN(" · ",TRUE,IF(AND(2&gt;$MF10,2&lt;=$MS10),"2 → "&amp;$PA10&amp;", 6 PE",""),IF(AND(3&gt;$MF10,3&lt;=$MS10),"3 → "&amp;$PB10&amp;", 9 PE",""),IF(AND(4&gt;$MF10,4&lt;=$MS10),"4 → "&amp;$PC10&amp;", 12 PE",""),IF(AND(5&gt;$MF10,5&lt;=$MS10),"5 → "&amp;$PD10&amp;", 15 PE",""),IF(AND(6&gt;$MF10,6&lt;=$MS10),"6 → "&amp;$PE10&amp;", 18 PE",""),IF(AND(7&gt;$MF10,7&lt;=$MS10),"7 → "&amp;$PF10&amp;", 21 PE","")))))</f>
        <v/>
      </c>
      <c r="PZ10" s="152">
        <f>IF(OR($MQ10=0,$NB10=0),"",IF($MF10=0,"−1 dado","−"&amp;INDEX($I$2:$N$8,MAX(1,$MF10),MAX(1,$NG10))&amp;" · "&amp;CHOOSE(MAX(1,$NG10),"Leve","Média","Pesada","Leve · Livre","Média · Livre","Pesada · Livre")))</f>
        <v/>
      </c>
      <c r="QA10" s="152">
        <f>IF(OR($MQ10=0,$NC10=0),"",IF($MF10=0,"−1 dado","−"&amp;INDEX($I$2:$N$8,MAX(1,$MF10),MAX(1,$NH10))&amp;" · "&amp;CHOOSE(MAX(1,$NH10),"Leve","Média","Pesada","Leve · Livre","Média · Livre","Pesada · Livre")))</f>
        <v/>
      </c>
      <c r="QB10" s="152">
        <f>IF(OR($MQ10=0,$ND10=0),"",IF($MF10=0,"−1 dado","−"&amp;INDEX($I$2:$N$8,MAX(1,$MF10),MAX(1,$NI10))&amp;" · "&amp;CHOOSE(MAX(1,$NI10),"Leve","Média","Pesada","Leve · Livre","Média · Livre","Pesada · Livre")))</f>
        <v/>
      </c>
      <c r="QC10" s="152">
        <f>IF(OR($MQ10=0,$NE10=0),"",IF($MF10=0,"−1 dado","−"&amp;INDEX($I$2:$N$8,MAX(1,$MF10),MAX(1,$NJ10))&amp;" · "&amp;CHOOSE(MAX(1,$NJ10),"Leve","Média","Pesada","Leve · Livre","Média · Livre","Pesada · Livre")))</f>
        <v/>
      </c>
      <c r="QD10" s="152">
        <f>IF(OR($MQ10=0,$MO10=""),"",IF($MF10=0,"não devolve","+"&amp;IF($NV10=1,CEILING($MF10/2,1),$MF10)))</f>
        <v/>
      </c>
      <c r="QE10" s="152">
        <f>IF(OR($MQ10=0,$MP10=""),"",IF($MF10=0,"não devolve","+"&amp;IF($NW10=1,CEILING($MF10/2,1),$MF10)))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A11" s="152" t="n">
        <v>0</v>
      </c>
      <c r="BC11" s="150" t="inlineStr">
        <is>
          <t>Fraqueza (Média)</t>
        </is>
      </c>
      <c r="BD11" s="150" t="inlineStr">
        <is>
          <t>Fraqueza</t>
        </is>
      </c>
      <c r="BE11" s="152" t="n">
        <v>2</v>
      </c>
      <c r="BF11" s="152" t="n">
        <v>0</v>
      </c>
      <c r="BG11" s="150" t="inlineStr"/>
      <c r="BI11" s="150" t="inlineStr">
        <is>
          <t>Contramedida</t>
        </is>
      </c>
      <c r="BJ11" s="152" t="n">
        <v>2</v>
      </c>
      <c r="BK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0" t="inlineStr"/>
      <c r="CA11" s="150" t="inlineStr">
        <is>
          <t>História</t>
        </is>
      </c>
      <c r="CB11" s="150" t="inlineStr">
        <is>
          <t>Inteligência</t>
        </is>
      </c>
      <c r="CF11" s="150" t="inlineStr">
        <is>
          <t>Radiante</t>
        </is>
      </c>
      <c r="CW11" s="150" t="inlineStr">
        <is>
          <t>famílias da trilha</t>
        </is>
      </c>
      <c r="CX11" s="152">
        <f>IF($CX$4="Invocação Principal",5,IF(OR($CX$4="Parceria",$CX$4="Múltiplas Invocações"),4,3))</f>
        <v/>
      </c>
      <c r="CZ11" s="152" t="n">
        <v>10</v>
      </c>
      <c r="DA11" s="152">
        <f>'INVOCAÇÕES'!$AB$607&amp;""</f>
        <v/>
      </c>
      <c r="DB11" s="152">
        <f>'INVOCAÇÕES'!$AB$637&amp;""</f>
        <v/>
      </c>
      <c r="DC11" s="152">
        <f>'INVOCAÇÕES'!$AB$641&amp;""</f>
        <v/>
      </c>
      <c r="DD11" s="152">
        <f>N('INVOCAÇÕES'!$AD$641)</f>
        <v/>
      </c>
      <c r="DE11" s="152">
        <f>'INVOCAÇÕES'!$AE$641&amp;""</f>
        <v/>
      </c>
      <c r="DF11" s="152">
        <f>N('INVOCAÇÕES'!$AH$614)</f>
        <v/>
      </c>
      <c r="DG11" s="152">
        <f>N('INVOCAÇÕES'!$AI$614)</f>
        <v/>
      </c>
      <c r="DH11" s="152">
        <f>N('INVOCAÇÕES'!$AJ$614)</f>
        <v/>
      </c>
      <c r="DI11" s="152">
        <f>N('INVOCAÇÕES'!$AK$614)</f>
        <v/>
      </c>
      <c r="DJ11" s="152">
        <f>N('INVOCAÇÕES'!$AL$614)</f>
        <v/>
      </c>
      <c r="DK11" s="152">
        <f>N('INVOCAÇÕES'!$AH$615)</f>
        <v/>
      </c>
      <c r="DL11" s="152">
        <f>N('INVOCAÇÕES'!$AI$615)</f>
        <v/>
      </c>
      <c r="DM11" s="152">
        <f>N('INVOCAÇÕES'!$AJ$615)</f>
        <v/>
      </c>
      <c r="DN11" s="152">
        <f>N('INVOCAÇÕES'!$AK$615)</f>
        <v/>
      </c>
      <c r="DO11" s="152">
        <f>N('INVOCAÇÕES'!$AL$615)</f>
        <v/>
      </c>
      <c r="DP11" s="152">
        <f>'INVOCAÇÕES'!$AH$628&amp;""</f>
        <v/>
      </c>
      <c r="DQ11" s="152">
        <f>'INVOCAÇÕES'!$AK$628&amp;""</f>
        <v/>
      </c>
      <c r="DR11" s="152">
        <f>'INVOCAÇÕES'!$AL$623&amp;""</f>
        <v/>
      </c>
      <c r="DS11" s="152">
        <f>N('INVOCAÇÕES'!$AH$620)</f>
        <v/>
      </c>
      <c r="DT11" s="152">
        <f>N('INVOCAÇÕES'!$AI$620)</f>
        <v/>
      </c>
      <c r="DU11" s="152">
        <f>N('INVOCAÇÕES'!$AJ$620)</f>
        <v/>
      </c>
      <c r="DV11" s="152">
        <f>N('INVOCAÇÕES'!$AK$620)</f>
        <v/>
      </c>
      <c r="DW11" s="152">
        <f>N('INVOCAÇÕES'!$AL$620)</f>
        <v/>
      </c>
      <c r="DX11" s="152">
        <f>N('INVOCAÇÕES'!$AH$625)</f>
        <v/>
      </c>
      <c r="DY11" s="152">
        <f>N('INVOCAÇÕES'!$AI$625)</f>
        <v/>
      </c>
      <c r="DZ11" s="152">
        <f>N('INVOCAÇÕES'!$AJ$625)</f>
        <v/>
      </c>
      <c r="EA11" s="152">
        <f>N('INVOCAÇÕES'!$AK$625)</f>
        <v/>
      </c>
      <c r="EB11" s="152">
        <f>'INVOCAÇÕES'!$AN$607&amp;""</f>
        <v/>
      </c>
      <c r="EC11" s="152">
        <f>N('INVOCAÇÕES'!$AP$607)</f>
        <v/>
      </c>
      <c r="ED11" s="152">
        <f>'INVOCAÇÕES'!$AR$607&amp;""</f>
        <v/>
      </c>
      <c r="EE11" s="152">
        <f>SUM('INVOCAÇÕES'!$AR$627:'INVOCAÇÕES'!$AR$629,'INVOCAÇÕES'!$AR$631:'INVOCAÇÕES'!$AR$636)</f>
        <v/>
      </c>
      <c r="EF11" s="152">
        <f>'INVOCAÇÕES'!$AH$642&amp;""</f>
        <v/>
      </c>
      <c r="EG11" s="152">
        <f>'INVOCAÇÕES'!$AI$642&amp;""</f>
        <v/>
      </c>
      <c r="EH11" s="152">
        <f>'INVOCAÇÕES'!$AJ$642&amp;""</f>
        <v/>
      </c>
      <c r="EI11" s="152">
        <f>'INVOCAÇÕES'!$AK$642&amp;""</f>
        <v/>
      </c>
      <c r="EJ11" s="152">
        <f>'INVOCAÇÕES'!$AL$642&amp;""</f>
        <v/>
      </c>
      <c r="EK11" s="152">
        <f>'INVOCAÇÕES'!$AH$632&amp;""</f>
        <v/>
      </c>
      <c r="EL11" s="152">
        <f>'INVOCAÇÕES'!$AH$633&amp;""</f>
        <v/>
      </c>
      <c r="EM11" s="152">
        <f>'INVOCAÇÕES'!$AH$634&amp;""</f>
        <v/>
      </c>
      <c r="EN11" s="152">
        <f>'INVOCAÇÕES'!$AH$635&amp;""</f>
        <v/>
      </c>
      <c r="EO11" s="152">
        <f>'INVOCAÇÕES'!$AH$636&amp;""</f>
        <v/>
      </c>
      <c r="EP11" s="152">
        <f>'INVOCAÇÕES'!$AH$637&amp;""</f>
        <v/>
      </c>
      <c r="EQ11" s="152">
        <f>'INVOCAÇÕES'!$AH$638&amp;""</f>
        <v/>
      </c>
      <c r="ER11" s="152">
        <f>'INVOCAÇÕES'!$AC$674&amp;""</f>
        <v/>
      </c>
      <c r="ES11" s="152">
        <f>'INVOCAÇÕES'!$AC$675&amp;""</f>
        <v/>
      </c>
      <c r="ET11" s="152">
        <f>'INVOCAÇÕES'!$AC$676&amp;""</f>
        <v/>
      </c>
      <c r="EU11" s="152">
        <f>'INVOCAÇÕES'!$AC$677&amp;""</f>
        <v/>
      </c>
      <c r="EV11" s="152">
        <f>'INVOCAÇÕES'!$AC$678&amp;""</f>
        <v/>
      </c>
      <c r="EW11" s="152">
        <f>'INVOCAÇÕES'!$AC$679&amp;""</f>
        <v/>
      </c>
      <c r="EX11" s="152">
        <f>'INVOCAÇÕES'!$AC$680&amp;""</f>
        <v/>
      </c>
      <c r="EY11" s="152">
        <f>'INVOCAÇÕES'!$AC$681&amp;""</f>
        <v/>
      </c>
      <c r="EZ11" s="152">
        <f>'INVOCAÇÕES'!$AC$776&amp;""</f>
        <v/>
      </c>
      <c r="FA11" s="152">
        <f>'INVOCAÇÕES'!$AC$777&amp;""</f>
        <v/>
      </c>
      <c r="FB11" s="152">
        <f>'INVOCAÇÕES'!$AC$778&amp;""</f>
        <v/>
      </c>
      <c r="FC11" s="152">
        <f>MAX(3,MIN(7,N('INVOCAÇÕES'!$AB$783)))</f>
        <v/>
      </c>
      <c r="FD11" s="152">
        <f>MAX(3,MIN(7,N('INVOCAÇÕES'!$AH$783)))</f>
        <v/>
      </c>
      <c r="FE11" s="152">
        <f>MAX(3,MIN(7,N('INVOCAÇÕES'!$AN$783)))</f>
        <v/>
      </c>
      <c r="FF11" s="152">
        <f>'INVOCAÇÕES'!$AH$797&amp;""</f>
        <v/>
      </c>
      <c r="FG11" s="152">
        <f>IF($DA11&lt;&gt;"",1,0)</f>
        <v/>
      </c>
      <c r="FH11" s="152">
        <f>IFERROR(VLOOKUP($DC11,$BP$2:$BQ$5,2,FALSE),1)</f>
        <v/>
      </c>
      <c r="FI11" s="152">
        <f>IF($FH11=1,$CX$2,MAX(1,MIN($CX$2,IF($DD11=0,$CX$2,$DD11))))</f>
        <v/>
      </c>
      <c r="FJ11" s="152">
        <f>VLOOKUP(MAX(1,$FI11),$A$2:$D$8,2,TRUE)</f>
        <v/>
      </c>
      <c r="FK11" s="152">
        <f>VLOOKUP(MAX(1,$FI11),$A$2:$D$8,3,TRUE)</f>
        <v/>
      </c>
      <c r="FL11" s="152">
        <f>$DF11+$DK11</f>
        <v/>
      </c>
      <c r="FM11" s="152">
        <f>$DG11+$DL11</f>
        <v/>
      </c>
      <c r="FN11" s="152">
        <f>$DH11+$DM11</f>
        <v/>
      </c>
      <c r="FO11" s="152">
        <f>$DI11+$DN11</f>
        <v/>
      </c>
      <c r="FP11" s="152">
        <f>$DJ11+$DO11</f>
        <v/>
      </c>
      <c r="FQ11" s="152">
        <f>SUM($DF11:$DJ11)</f>
        <v/>
      </c>
      <c r="FR11" s="152">
        <f>9+$FS11</f>
        <v/>
      </c>
      <c r="FS11" s="152">
        <f>COUNTIF($F$2:$F$8,"&lt;="&amp;$FI11)</f>
        <v/>
      </c>
      <c r="FT11" s="152">
        <f>MAX(0,$DF11-3)+MAX(0,$DG11-3)+MAX(0,$DH11-3)+MAX(0,$DI11-3)+MAX(0,$DJ11-3)</f>
        <v/>
      </c>
      <c r="FU11" s="152">
        <f>IFERROR(INDEX($FL11:$FP11,1,MATCH($DP11,$BU$2:$BU$6,0)),"")</f>
        <v/>
      </c>
      <c r="FV11" s="152">
        <f>IF($FU11="","",$FU11+$CX$3+$DS11)</f>
        <v/>
      </c>
      <c r="FW11" s="152">
        <f>IF($FU11="","",8+$FU11+$CX$3+$DT11)</f>
        <v/>
      </c>
      <c r="FX11" s="152">
        <f>10+$FM11+$CX$7+$DU11</f>
        <v/>
      </c>
      <c r="FY11" s="152">
        <f>IF($DB11="Corpo amaldiçoado de criação",1,0)</f>
        <v/>
      </c>
      <c r="FZ11" s="152">
        <f>5+$FN11+(3+$FY11+$FN11)*($FI11-1)+$DV11</f>
        <v/>
      </c>
      <c r="GA11" s="152">
        <f>IF($FG11=0,"",$FZ11)</f>
        <v/>
      </c>
      <c r="GB11" s="152">
        <f>IF($EB11="",$FZ11,MAX(0,MIN(IFERROR(VALUE($EB11),$FZ11),$FZ11)))</f>
        <v/>
      </c>
      <c r="GC11" s="152">
        <f>9+$DW11</f>
        <v/>
      </c>
      <c r="GD11" s="152">
        <f>IF($DQ11="Destreza",$FM11,$FL11)</f>
        <v/>
      </c>
      <c r="GE11" s="152">
        <f>$GD11+IF($DR11="Físico",$CX$3,0)+$DX11</f>
        <v/>
      </c>
      <c r="GF11" s="152">
        <f>$FN11+IF($DR11="Vigor",$CX$3,0)+$DY11</f>
        <v/>
      </c>
      <c r="GG11" s="152">
        <f>$FO11+IF($DR11="Intelecto",$CX$3,0)+$DZ11</f>
        <v/>
      </c>
      <c r="GH11" s="152">
        <f>$FP11+IF($DR11="Espírito",$CX$3,0)+$EA11</f>
        <v/>
      </c>
      <c r="GI11" s="152">
        <f>4+INT($DI11/2)</f>
        <v/>
      </c>
      <c r="GJ11" s="152">
        <f>COUNTIF($EK11:$EQ11,"?*")</f>
        <v/>
      </c>
      <c r="GK11" s="152">
        <f>INT((2+$FI11/2)/2)</f>
        <v/>
      </c>
      <c r="GL11" s="152">
        <f>IF($FI11&gt;=11,2,1)</f>
        <v/>
      </c>
      <c r="GM11" s="152">
        <f>1+$FS11</f>
        <v/>
      </c>
      <c r="GN11" s="152">
        <f>COUNTIF($ER11:$EY11,"?*")</f>
        <v/>
      </c>
      <c r="GO11" s="152">
        <f>IF(AND($DB11="Shikigami de criação",$DE11="Com carga"),MAX(1,CEILING($FJ11/2,1)),$FJ11)</f>
        <v/>
      </c>
      <c r="GP11" s="152">
        <f>$FJ11+$GO11</f>
        <v/>
      </c>
      <c r="GQ11" s="152">
        <f>$FI11*(1+INT($DJ11/3))</f>
        <v/>
      </c>
      <c r="GR11" s="152">
        <f>5+$FL11</f>
        <v/>
      </c>
      <c r="GS11" s="152">
        <f>COUNTIF($EF11:$EJ11,"?*")</f>
        <v/>
      </c>
      <c r="GT11" s="152">
        <f>IF($EF11="",0,IF(COUNTIF($EF11:$EJ11,$EF11)&gt;1,1,0))+IF($EG11="",0,IF(COUNTIF($EF11:$EJ11,$EG11)&gt;1,1,0))+IF($EH11="",0,IF(COUNTIF($EF11:$EJ11,$EH11)&gt;1,1,0))+IF($EI11="",0,IF(COUNTIF($EF11:$EJ11,$EI11)&gt;1,1,0))+IF($EJ11="",0,IF(COUNTIF($EF11:$EJ11,$EJ11)&gt;1,1,0))</f>
        <v/>
      </c>
      <c r="GU11" s="152">
        <f>$CX$11</f>
        <v/>
      </c>
      <c r="GV11" s="152">
        <f>IF($FG11=0,"INVOCAÇÃO 10 · lugar vazio",$DA11&amp;" · "&amp;$DB11&amp;" · nível "&amp;$FI11&amp;" · vida "&amp;$GB11&amp;" de "&amp;$FZ11)</f>
        <v/>
      </c>
      <c r="GW11" s="152">
        <f>IF($FG11=0,"VAZIA",UPPER($DA11))</f>
        <v/>
      </c>
      <c r="GX11" s="152">
        <f>IF($CX$3&gt;=0,"+","−")&amp;ABS($CX$3)</f>
        <v/>
      </c>
      <c r="GY11" s="152">
        <f>$GO11&amp;" PE"</f>
        <v/>
      </c>
      <c r="GZ11" s="152">
        <f>$GP11&amp;" PE"</f>
        <v/>
      </c>
      <c r="HA11" s="152">
        <f>IF(OR($FQ11&gt;$FR11,$FT11&gt;$FS11),"⚠ ",IF(AND($FG11=1,$FQ11&lt;$FR11),"! ",""))&amp;"ATRIBUTOS · "&amp;$FQ11&amp;" DE "&amp;$FR11&amp;" PONTOS"&amp;IF($FT11&gt;$FS11," · ACIMA DE 3 SÓ COM MARCO","")</f>
        <v/>
      </c>
      <c r="HB11" s="152">
        <f>IF($FV11="","",IF($FV11&gt;=0,"+","−")&amp;ABS($FV11))</f>
        <v/>
      </c>
      <c r="HC11" s="152">
        <f>IF($FW11="","",$FW11)</f>
        <v/>
      </c>
      <c r="HD11" s="152">
        <f>SUBSTITUTE($GC11&amp;" m",".",",")</f>
        <v/>
      </c>
      <c r="HE11" s="152">
        <f>IF($GE11&gt;=0,"+","−")&amp;ABS($GE11)</f>
        <v/>
      </c>
      <c r="HF11" s="152">
        <f>IF($GF11&gt;=0,"+","−")&amp;ABS($GF11)</f>
        <v/>
      </c>
      <c r="HG11" s="152">
        <f>IF($GG11&gt;=0,"+","−")&amp;ABS($GG11)</f>
        <v/>
      </c>
      <c r="HH11" s="152">
        <f>IF($GH11&gt;=0,"+","−")&amp;ABS($GH11)</f>
        <v/>
      </c>
      <c r="HI11" s="152">
        <f>IF($GJ11&gt;$GI11,"⚠ ","")&amp;"PERÍCIAS · "&amp;$GJ11&amp;" DE "&amp;$GI11</f>
        <v/>
      </c>
      <c r="HJ11" s="152">
        <f>IF($EK11="","",IFERROR(IF((INDEX($FL11:$FP11,1,MATCH(VLOOKUP($EK11,$CA$2:$CB$24,2,FALSE),$BU$2:$BU$6,0))+$CX$3)&gt;=0,"+","−")&amp;ABS((INDEX($FL11:$FP11,1,MATCH(VLOOKUP($EK11,$CA$2:$CB$24,2,FALSE),$BU$2:$BU$6,0))+$CX$3)),""))</f>
        <v/>
      </c>
      <c r="HK11" s="152">
        <f>IF($EL11="","",IFERROR(IF((INDEX($FL11:$FP11,1,MATCH(VLOOKUP($EL11,$CA$2:$CB$24,2,FALSE),$BU$2:$BU$6,0))+$CX$3)&gt;=0,"+","−")&amp;ABS((INDEX($FL11:$FP11,1,MATCH(VLOOKUP($EL11,$CA$2:$CB$24,2,FALSE),$BU$2:$BU$6,0))+$CX$3)),""))</f>
        <v/>
      </c>
      <c r="HL11" s="152">
        <f>IF($EM11="","",IFERROR(IF((INDEX($FL11:$FP11,1,MATCH(VLOOKUP($EM11,$CA$2:$CB$24,2,FALSE),$BU$2:$BU$6,0))+$CX$3)&gt;=0,"+","−")&amp;ABS((INDEX($FL11:$FP11,1,MATCH(VLOOKUP($EM11,$CA$2:$CB$24,2,FALSE),$BU$2:$BU$6,0))+$CX$3)),""))</f>
        <v/>
      </c>
      <c r="HM11" s="152">
        <f>IF($EN11="","",IFERROR(IF((INDEX($FL11:$FP11,1,MATCH(VLOOKUP($EN11,$CA$2:$CB$24,2,FALSE),$BU$2:$BU$6,0))+$CX$3)&gt;=0,"+","−")&amp;ABS((INDEX($FL11:$FP11,1,MATCH(VLOOKUP($EN11,$CA$2:$CB$24,2,FALSE),$BU$2:$BU$6,0))+$CX$3)),""))</f>
        <v/>
      </c>
      <c r="HN11" s="152">
        <f>IF($EO11="","",IFERROR(IF((INDEX($FL11:$FP11,1,MATCH(VLOOKUP($EO11,$CA$2:$CB$24,2,FALSE),$BU$2:$BU$6,0))+$CX$3)&gt;=0,"+","−")&amp;ABS((INDEX($FL11:$FP11,1,MATCH(VLOOKUP($EO11,$CA$2:$CB$24,2,FALSE),$BU$2:$BU$6,0))+$CX$3)),""))</f>
        <v/>
      </c>
      <c r="HO11" s="152">
        <f>IF($EP11="","",IFERROR(IF((INDEX($FL11:$FP11,1,MATCH(VLOOKUP($EP11,$CA$2:$CB$24,2,FALSE),$BU$2:$BU$6,0))+$CX$3)&gt;=0,"+","−")&amp;ABS((INDEX($FL11:$FP11,1,MATCH(VLOOKUP($EP11,$CA$2:$CB$24,2,FALSE),$BU$2:$BU$6,0))+$CX$3)),""))</f>
        <v/>
      </c>
      <c r="HP11" s="152">
        <f>IF($EQ11="","",IFERROR(IF((INDEX($FL11:$FP11,1,MATCH(VLOOKUP($EQ11,$CA$2:$CB$24,2,FALSE),$BU$2:$BU$6,0))+$CX$3)&gt;=0,"+","−")&amp;ABS((INDEX($FL11:$FP11,1,MATCH(VLOOKUP($EQ11,$CA$2:$CB$24,2,FALSE),$BU$2:$BU$6,0))+$CX$3)),""))</f>
        <v/>
      </c>
      <c r="HQ11" s="152">
        <f>IF($DB11="Maldição domada","RESERVA · MÁX. "&amp;$GQ11,"RESERVA DE PE")</f>
        <v/>
      </c>
      <c r="HR11" s="152">
        <f>IF($EE11&gt;$GR11,"⚠ ","")&amp;"EQUIPAMENTO · "&amp;$EE11&amp;" DE "&amp;$GR11&amp;" DE VOLUME"&amp;IF($EE11&gt;$GR11," · PASSOU DO LIMITE","")</f>
        <v/>
      </c>
      <c r="HS11" s="152">
        <f>IF(OR($GT11&gt;0,$GS11&gt;$GU11),"⚠ ","")&amp;"FAMÍLIAS · "&amp;$GS11&amp;" ABERTAS"&amp;IF($GT11&gt;0," · REPETIDA","")&amp;IF($GS11&gt;$GU11," · O LIMITE É "&amp;$GU11,"")</f>
        <v/>
      </c>
      <c r="HT11" s="152">
        <f>"HABILIDADES · básica de "&amp;$FK11&amp;"d6 · "&amp;$GK11&amp;IF($GK11&gt;1," espaços"," espaço")&amp;" de especial até a Classe "&amp;$FJ11&amp;" · "&amp;$GM11&amp;IF($GM11&gt;1," talentos"," talento")</f>
        <v/>
      </c>
      <c r="HU11" s="152">
        <f>IF($GN11&gt;$GM11,"⚠ ","")&amp;"TALENTOS · "&amp;$GN11&amp;" DE "&amp;$GM11</f>
        <v/>
      </c>
      <c r="HV11" s="152">
        <f>IFERROR(VLOOKUP($ER11,$BI$2:$BL$15,2,FALSE),0)</f>
        <v/>
      </c>
      <c r="HW11" s="152">
        <f>IFERROR(VLOOKUP($ES11,$BI$2:$BL$15,2,FALSE),0)</f>
        <v/>
      </c>
      <c r="HX11" s="152">
        <f>IFERROR(VLOOKUP($ET11,$BI$2:$BL$15,2,FALSE),0)</f>
        <v/>
      </c>
      <c r="HY11" s="152">
        <f>IFERROR(VLOOKUP($EU11,$BI$2:$BL$15,2,FALSE),0)</f>
        <v/>
      </c>
      <c r="HZ11" s="152">
        <f>IFERROR(VLOOKUP($EV11,$BI$2:$BL$15,2,FALSE),0)</f>
        <v/>
      </c>
      <c r="IA11" s="152">
        <f>IFERROR(VLOOKUP($EW11,$BI$2:$BL$15,2,FALSE),0)</f>
        <v/>
      </c>
      <c r="IB11" s="152">
        <f>IFERROR(VLOOKUP($EX11,$BI$2:$BL$15,2,FALSE),0)</f>
        <v/>
      </c>
      <c r="IC11" s="152">
        <f>IFERROR(VLOOKUP($EY11,$BI$2:$BL$15,2,FALSE),0)</f>
        <v/>
      </c>
      <c r="ID11" s="152">
        <f>IF($ER11="","",IF(1&gt;$FI11,"⚠ Este talento abre no nível 1",IF($HV11&gt;1,"⚠ Categoria "&amp;$HV11&amp;": este ganho vai até a 1 · ","")&amp;IFERROR(VLOOKUP($ER11,$BI$2:$BL$15,3,FALSE),"")))</f>
        <v/>
      </c>
      <c r="IE11" s="152">
        <f>IF($ES11="","",IF(6&gt;$FI11,"⚠ Este talento abre no nível 6",IF($HW11&gt;1,"⚠ Categoria "&amp;$HW11&amp;": este ganho vai até a 1 · ","")&amp;IFERROR(VLOOKUP($ES11,$BI$2:$BL$15,3,FALSE),"")))</f>
        <v/>
      </c>
      <c r="IF11" s="152">
        <f>IF($ET11="","",IF(10&gt;$FI11,"⚠ Este talento abre no nível 10",IF($HX11&gt;2,"⚠ Categoria "&amp;$HX11&amp;": este ganho vai até a 2 · ","")&amp;IFERROR(VLOOKUP($ET11,$BI$2:$BL$15,3,FALSE),"")))</f>
        <v/>
      </c>
      <c r="IG11" s="152">
        <f>IF($EU11="","",IF(14&gt;$FI11,"⚠ Este talento abre no nível 14",IF($HY11&gt;3,"⚠ Categoria "&amp;$HY11&amp;": este ganho vai até a 3 · ","")&amp;IFERROR(VLOOKUP($EU11,$BI$2:$BL$15,3,FALSE),"")))</f>
        <v/>
      </c>
      <c r="IH11" s="152">
        <f>IF($EV11="","",IF(18&gt;$FI11,"⚠ Este talento abre no nível 18",IF($HZ11&gt;3,"⚠ Categoria "&amp;$HZ11&amp;": este ganho vai até a 3 · ","")&amp;IFERROR(VLOOKUP($EV11,$BI$2:$BL$15,3,FALSE),"")))</f>
        <v/>
      </c>
      <c r="II11" s="152">
        <f>IF($EW11="","",IF(22&gt;$FI11,"⚠ Este talento abre no nível 22",IF($IA11&gt;3,"⚠ Categoria "&amp;$IA11&amp;": este ganho vai até a 3 · ","")&amp;IFERROR(VLOOKUP($EW11,$BI$2:$BL$15,3,FALSE),"")))</f>
        <v/>
      </c>
      <c r="IJ11" s="152">
        <f>IF($EX11="","",IF(26&gt;$FI11,"⚠ Este talento abre no nível 26",IF($IB11&gt;3,"⚠ Categoria "&amp;$IB11&amp;": este ganho vai até a 3 · ","")&amp;IFERROR(VLOOKUP($EX11,$BI$2:$BL$15,3,FALSE),"")))</f>
        <v/>
      </c>
      <c r="IK11" s="152">
        <f>IF($EY11="","",IF(30&gt;$FI11,"⚠ Este talento abre no nível 30",IF($IC11&gt;3,"⚠ Categoria "&amp;$IC11&amp;": este ganho vai até a 3 · ","")&amp;IFERROR(VLOOKUP($EY11,$BI$2:$BL$15,3,FALSE),"")))</f>
        <v/>
      </c>
      <c r="IL11" s="152">
        <f>IF($EZ11="","",IFERROR(VLOOKUP($EZ11,$BI$2:$BL$15,3,FALSE),""))</f>
        <v/>
      </c>
      <c r="IM11" s="152">
        <f>IF($FA11="","",IFERROR(VLOOKUP($FA11,$BI$2:$BL$15,3,FALSE),""))</f>
        <v/>
      </c>
      <c r="IN11" s="152">
        <f>IF($FB11="","",IFERROR(VLOOKUP($FB11,$BI$2:$BL$15,3,FALSE),""))</f>
        <v/>
      </c>
      <c r="IO11" s="152">
        <f>CEILING(4.5*$FC11,1)&amp;" PE"</f>
        <v/>
      </c>
      <c r="IP11" s="152">
        <f>CEILING(4.5*$FD11,1)&amp;" PE"</f>
        <v/>
      </c>
      <c r="IQ11" s="152">
        <f>CEILING(4.5*$FE11,1)&amp;" PE"</f>
        <v/>
      </c>
      <c r="IR11" s="152">
        <f>INDEX($P$2:$P$8,$FC11)&amp;" pontos + "&amp;$FC11&amp;"d8"</f>
        <v/>
      </c>
      <c r="IS11" s="152">
        <f>INDEX($P$2:$P$8,$FD11)&amp;" pontos + "&amp;$FD11&amp;"d8"</f>
        <v/>
      </c>
      <c r="IT11" s="152">
        <f>INDEX($P$2:$P$8,$FE11)&amp;" pontos + "&amp;$FE11&amp;"d8"</f>
        <v/>
      </c>
      <c r="IU11" s="152">
        <f>IF($FI11&lt;17,"—",VLOOKUP($FI11,$CL$2:$CO$4,4,TRUE)&amp;" PE")</f>
        <v/>
      </c>
      <c r="IV11" s="152">
        <f>IF($FI11&lt;17,"Abre no nível 17",VLOOKUP($FI11,$CL$2:$CO$4,2,TRUE)&amp;" fixos · "&amp;VLOOKUP($FI11,$CL$2:$CO$4,3,TRUE)&amp;" pontos")</f>
        <v/>
      </c>
      <c r="IW11" s="152">
        <f>IF($FF11="Sem Barreiras",7,6)*$FJ11&amp;" PE"</f>
        <v/>
      </c>
      <c r="IX11" s="152">
        <f>"Acerto "&amp;$FJ11&amp;"d8"</f>
        <v/>
      </c>
      <c r="IY11" s="152">
        <f>IFERROR(VLOOKUP($FF11,$CQ$2:$CS$4,3,FALSE),"Escolha o degrau")</f>
        <v/>
      </c>
      <c r="IZ11" s="152">
        <f>10&amp;" · "&amp;IF($FG11=0,"vazia",$DA11&amp;" · nv "&amp;$FI11&amp;" · "&amp;$GB11&amp;"/"&amp;$FZ11)</f>
        <v/>
      </c>
      <c r="JB11" s="150" t="inlineStr">
        <is>
          <t>Invocação 10</t>
        </is>
      </c>
      <c r="JC11" s="152">
        <f>ADDRESS(ROW('INVOCAÇÕES'!D30),COLUMN('INVOCAÇÕES'!D30),4)</f>
        <v/>
      </c>
      <c r="JD11" s="152">
        <f>ADDRESS(ROW('INVOCAÇÕES'!AA603),COLUMN('INVOCAÇÕES'!AA603),4)</f>
        <v/>
      </c>
      <c r="JE11" s="150" t="inlineStr">
        <is>
          <t>DADOS_INVOC!$IZ$11</t>
        </is>
      </c>
      <c r="JG11" s="152">
        <f>IF(OR($AW11="",COUNTIF($EF$2:$EJ$2,$AW11)&gt;0),$AV11,"")</f>
        <v/>
      </c>
      <c r="JH11" s="152">
        <f>IF(AND($AX11=1,OR($AW11="",COUNTIF($EF$2:$EJ$2,$AW11)&gt;0)),$AV11,"")</f>
        <v/>
      </c>
      <c r="JJ11" s="152">
        <f>IF(OR($W11="",COUNTIF($EF$2:$EJ$2,$W11)&gt;0),$V11,"")</f>
        <v/>
      </c>
      <c r="JK11" s="152">
        <f>IF(AND($AF11=1,OR($W11="",COUNTIF($EF$2:$EJ$2,$W11)&gt;0)),$V11,"")</f>
        <v/>
      </c>
      <c r="JM11" s="152">
        <f>IF(OR($AW11="",COUNTIF($EF$3:$EJ$3,$AW11)&gt;0),$AV11,"")</f>
        <v/>
      </c>
      <c r="JN11" s="152">
        <f>IF(AND($AX11=1,OR($AW11="",COUNTIF($EF$3:$EJ$3,$AW11)&gt;0)),$AV11,"")</f>
        <v/>
      </c>
      <c r="JP11" s="152">
        <f>IF(OR($W11="",COUNTIF($EF$3:$EJ$3,$W11)&gt;0),$V11,"")</f>
        <v/>
      </c>
      <c r="JQ11" s="152">
        <f>IF(AND($AF11=1,OR($W11="",COUNTIF($EF$3:$EJ$3,$W11)&gt;0)),$V11,"")</f>
        <v/>
      </c>
      <c r="JS11" s="152">
        <f>IF(OR($AW11="",COUNTIF($EF$4:$EJ$4,$AW11)&gt;0),$AV11,"")</f>
        <v/>
      </c>
      <c r="JT11" s="152">
        <f>IF(AND($AX11=1,OR($AW11="",COUNTIF($EF$4:$EJ$4,$AW11)&gt;0)),$AV11,"")</f>
        <v/>
      </c>
      <c r="JV11" s="152">
        <f>IF(OR($W11="",COUNTIF($EF$4:$EJ$4,$W11)&gt;0),$V11,"")</f>
        <v/>
      </c>
      <c r="JW11" s="152">
        <f>IF(AND($AF11=1,OR($W11="",COUNTIF($EF$4:$EJ$4,$W11)&gt;0)),$V11,"")</f>
        <v/>
      </c>
      <c r="JY11" s="152">
        <f>IF(OR($AW11="",COUNTIF($EF$5:$EJ$5,$AW11)&gt;0),$AV11,"")</f>
        <v/>
      </c>
      <c r="JZ11" s="152">
        <f>IF(AND($AX11=1,OR($AW11="",COUNTIF($EF$5:$EJ$5,$AW11)&gt;0)),$AV11,"")</f>
        <v/>
      </c>
      <c r="KB11" s="152">
        <f>IF(OR($W11="",COUNTIF($EF$5:$EJ$5,$W11)&gt;0),$V11,"")</f>
        <v/>
      </c>
      <c r="KC11" s="152">
        <f>IF(AND($AF11=1,OR($W11="",COUNTIF($EF$5:$EJ$5,$W11)&gt;0)),$V11,"")</f>
        <v/>
      </c>
      <c r="KE11" s="152">
        <f>IF(OR($AW11="",COUNTIF($EF$6:$EJ$6,$AW11)&gt;0),$AV11,"")</f>
        <v/>
      </c>
      <c r="KF11" s="152">
        <f>IF(AND($AX11=1,OR($AW11="",COUNTIF($EF$6:$EJ$6,$AW11)&gt;0)),$AV11,"")</f>
        <v/>
      </c>
      <c r="KH11" s="152">
        <f>IF(OR($W11="",COUNTIF($EF$6:$EJ$6,$W11)&gt;0),$V11,"")</f>
        <v/>
      </c>
      <c r="KI11" s="152">
        <f>IF(AND($AF11=1,OR($W11="",COUNTIF($EF$6:$EJ$6,$W11)&gt;0)),$V11,"")</f>
        <v/>
      </c>
      <c r="KK11" s="152">
        <f>IF(OR($AW11="",COUNTIF($EF$7:$EJ$7,$AW11)&gt;0),$AV11,"")</f>
        <v/>
      </c>
      <c r="KL11" s="152">
        <f>IF(AND($AX11=1,OR($AW11="",COUNTIF($EF$7:$EJ$7,$AW11)&gt;0)),$AV11,"")</f>
        <v/>
      </c>
      <c r="KN11" s="152">
        <f>IF(OR($W11="",COUNTIF($EF$7:$EJ$7,$W11)&gt;0),$V11,"")</f>
        <v/>
      </c>
      <c r="KO11" s="152">
        <f>IF(AND($AF11=1,OR($W11="",COUNTIF($EF$7:$EJ$7,$W11)&gt;0)),$V11,"")</f>
        <v/>
      </c>
      <c r="KQ11" s="152">
        <f>IF(OR($AW11="",COUNTIF($EF$8:$EJ$8,$AW11)&gt;0),$AV11,"")</f>
        <v/>
      </c>
      <c r="KR11" s="152">
        <f>IF(AND($AX11=1,OR($AW11="",COUNTIF($EF$8:$EJ$8,$AW11)&gt;0)),$AV11,"")</f>
        <v/>
      </c>
      <c r="KT11" s="152">
        <f>IF(OR($W11="",COUNTIF($EF$8:$EJ$8,$W11)&gt;0),$V11,"")</f>
        <v/>
      </c>
      <c r="KU11" s="152">
        <f>IF(AND($AF11=1,OR($W11="",COUNTIF($EF$8:$EJ$8,$W11)&gt;0)),$V11,"")</f>
        <v/>
      </c>
      <c r="KW11" s="152">
        <f>IF(OR($AW11="",COUNTIF($EF$9:$EJ$9,$AW11)&gt;0),$AV11,"")</f>
        <v/>
      </c>
      <c r="KX11" s="152">
        <f>IF(AND($AX11=1,OR($AW11="",COUNTIF($EF$9:$EJ$9,$AW11)&gt;0)),$AV11,"")</f>
        <v/>
      </c>
      <c r="KZ11" s="152">
        <f>IF(OR($W11="",COUNTIF($EF$9:$EJ$9,$W11)&gt;0),$V11,"")</f>
        <v/>
      </c>
      <c r="LA11" s="152">
        <f>IF(AND($AF11=1,OR($W11="",COUNTIF($EF$9:$EJ$9,$W11)&gt;0)),$V11,"")</f>
        <v/>
      </c>
      <c r="LC11" s="152">
        <f>IF(OR($AW11="",COUNTIF($EF$10:$EJ$10,$AW11)&gt;0),$AV11,"")</f>
        <v/>
      </c>
      <c r="LD11" s="152">
        <f>IF(AND($AX11=1,OR($AW11="",COUNTIF($EF$10:$EJ$10,$AW11)&gt;0)),$AV11,"")</f>
        <v/>
      </c>
      <c r="LF11" s="152">
        <f>IF(OR($W11="",COUNTIF($EF$10:$EJ$10,$W11)&gt;0),$V11,"")</f>
        <v/>
      </c>
      <c r="LG11" s="152">
        <f>IF(AND($AF11=1,OR($W11="",COUNTIF($EF$10:$EJ$10,$W11)&gt;0)),$V11,"")</f>
        <v/>
      </c>
      <c r="LI11" s="152">
        <f>IF(OR($AW11="",COUNTIF($EF$11:$EJ$11,$AW11)&gt;0),$AV11,"")</f>
        <v/>
      </c>
      <c r="LJ11" s="152">
        <f>IF(AND($AX11=1,OR($AW11="",COUNTIF($EF$11:$EJ$11,$AW11)&gt;0)),$AV11,"")</f>
        <v/>
      </c>
      <c r="LL11" s="152">
        <f>IF(OR($W11="",COUNTIF($EF$11:$EJ$11,$W11)&gt;0),$V11,"")</f>
        <v/>
      </c>
      <c r="LM11" s="152">
        <f>IF(AND($AF11=1,OR($W11="",COUNTIF($EF$11:$EJ$11,$W11)&gt;0)),$V11,"")</f>
        <v/>
      </c>
      <c r="LO11" s="152">
        <f>IF(OR($AW11="",COUNTIF($EF$12:$EJ$12,$AW11)&gt;0),$AV11,"")</f>
        <v/>
      </c>
      <c r="LP11" s="152">
        <f>IF(AND($AX11=1,OR($AW11="",COUNTIF($EF$12:$EJ$12,$AW11)&gt;0)),$AV11,"")</f>
        <v/>
      </c>
      <c r="LR11" s="152">
        <f>IF(OR($W11="",COUNTIF($EF$12:$EJ$12,$W11)&gt;0),$V11,"")</f>
        <v/>
      </c>
      <c r="LS11" s="152">
        <f>IF(AND($AF11=1,OR($W11="",COUNTIF($EF$12:$EJ$12,$W11)&gt;0)),$V11,"")</f>
        <v/>
      </c>
      <c r="LU11" s="152">
        <f>IF(OR($AW11="",COUNTIF($EF$13:$EJ$13,$AW11)&gt;0),$AV11,"")</f>
        <v/>
      </c>
      <c r="LV11" s="152">
        <f>IF(AND($AX11=1,OR($AW11="",COUNTIF($EF$13:$EJ$13,$AW11)&gt;0)),$AV11,"")</f>
        <v/>
      </c>
      <c r="LX11" s="152">
        <f>IF(OR($W11="",COUNTIF($EF$13:$EJ$13,$W11)&gt;0),$V11,"")</f>
        <v/>
      </c>
      <c r="LY11" s="152">
        <f>IF(AND($AF11=1,OR($W11="",COUNTIF($EF$13:$EJ$13,$W11)&gt;0)),$V11,"")</f>
        <v/>
      </c>
      <c r="MA11" s="150" t="inlineStr">
        <is>
          <t>Ficha 1 · Especial 8</t>
        </is>
      </c>
      <c r="MB11" s="152" t="n">
        <v>1</v>
      </c>
      <c r="MC11" s="152" t="n">
        <v>1</v>
      </c>
      <c r="MD11" s="152" t="n">
        <v>28</v>
      </c>
      <c r="ME11" s="150" t="inlineStr">
        <is>
          <t>ESPECIAL 8</t>
        </is>
      </c>
      <c r="MF11" s="152">
        <f>MAX(1,MIN(7,N('INVOCAÇÕES'!$I$136)))</f>
        <v/>
      </c>
      <c r="MG11" s="152">
        <f>'INVOCAÇÕES'!$J$136&amp;""</f>
        <v/>
      </c>
      <c r="MH11" s="152">
        <f>'INVOCAÇÕES'!$I$141&amp;""</f>
        <v/>
      </c>
      <c r="MI11" s="152">
        <f>'INVOCAÇÕES'!$I$142&amp;""</f>
        <v/>
      </c>
      <c r="MJ11" s="152">
        <f>'INVOCAÇÕES'!$K$142&amp;""</f>
        <v/>
      </c>
      <c r="MK11" s="152">
        <f>'INVOCAÇÕES'!$J$145&amp;""</f>
        <v/>
      </c>
      <c r="ML11" s="152">
        <f>'INVOCAÇÕES'!$J$146&amp;""</f>
        <v/>
      </c>
      <c r="MM11" s="152">
        <f>'INVOCAÇÕES'!$J$147&amp;""</f>
        <v/>
      </c>
      <c r="MN11" s="152">
        <f>'INVOCAÇÕES'!$J$148&amp;""</f>
        <v/>
      </c>
      <c r="MO11" s="152">
        <f>'INVOCAÇÕES'!$J$149&amp;""</f>
        <v/>
      </c>
      <c r="MP11" s="152">
        <f>'INVOCAÇÕES'!$J$150&amp;""</f>
        <v/>
      </c>
      <c r="MQ11" s="152">
        <f>IF($MG11&lt;&gt;"",1,0)</f>
        <v/>
      </c>
      <c r="MR11" s="152">
        <f>INDEX($FI$2:$FI$13,$MB11)</f>
        <v/>
      </c>
      <c r="MS11" s="152">
        <f>INDEX($FJ$2:$FJ$13,$MB11)</f>
        <v/>
      </c>
      <c r="MT11" s="152">
        <f>INDEX($FK$2:$FK$13,$MB11)</f>
        <v/>
      </c>
      <c r="MU11" s="152">
        <f>INDEX($FV$2:$FV$13,$MB11)</f>
        <v/>
      </c>
      <c r="MV11" s="152">
        <f>INDEX($FW$2:$FW$13,$MB11)</f>
        <v/>
      </c>
      <c r="MW11" s="152">
        <f>IFERROR(MATCH($MH11,$V$2:$V$11,0),0)</f>
        <v/>
      </c>
      <c r="MX11" s="152">
        <f>IFERROR(VLOOKUP($MK11,$AV$2:$BA$84,2,FALSE),"")</f>
        <v/>
      </c>
      <c r="MY11" s="152">
        <f>IFERROR(VLOOKUP($ML11,$AV$2:$BA$84,2,FALSE),"")</f>
        <v/>
      </c>
      <c r="MZ11" s="152">
        <f>IFERROR(VLOOKUP($MM11,$AV$2:$BA$84,2,FALSE),"")</f>
        <v/>
      </c>
      <c r="NA11" s="152">
        <f>IFERROR(VLOOKUP($MN11,$AV$2:$BA$84,2,FALSE),"")</f>
        <v/>
      </c>
      <c r="NB11" s="152">
        <f>IFERROR(VLOOKUP($MK11,$AV$2:$BA$84,3,FALSE),0)</f>
        <v/>
      </c>
      <c r="NC11" s="152">
        <f>IFERROR(VLOOKUP($ML11,$AV$2:$BA$84,3,FALSE),0)</f>
        <v/>
      </c>
      <c r="ND11" s="152">
        <f>IFERROR(VLOOKUP($MM11,$AV$2:$BA$84,3,FALSE),0)</f>
        <v/>
      </c>
      <c r="NE11" s="152">
        <f>IFERROR(VLOOKUP($MN11,$AV$2:$BA$84,3,FALSE),0)</f>
        <v/>
      </c>
      <c r="NF11" s="152">
        <f>IF($MF11=0,0,IF($MW11=0,0,INDEX($X$2:$X$11,$MW11)))</f>
        <v/>
      </c>
      <c r="NG11" s="152">
        <f>IF(OR($NB11=0,$MF11=0),0,$NB11+3*IF(AND($MX11&lt;&gt;"",OR($MX11=INDEX($EF$2:$EF$13,$MB11),$MX11=INDEX($EG$2:$EG$13,$MB11))),1,0))</f>
        <v/>
      </c>
      <c r="NH11" s="152">
        <f>IF(OR($NC11=0,$MF11=0),0,$NC11+3*IF(AND($MY11&lt;&gt;"",OR($MY11=INDEX($EF$2:$EF$13,$MB11),$MY11=INDEX($EG$2:$EG$13,$MB11))),1,0))</f>
        <v/>
      </c>
      <c r="NI11" s="152">
        <f>IF(OR($ND11=0,$MF11=0),0,$ND11+3*IF(AND($MZ11&lt;&gt;"",OR($MZ11=INDEX($EF$2:$EF$13,$MB11),$MZ11=INDEX($EG$2:$EG$13,$MB11))),1,0))</f>
        <v/>
      </c>
      <c r="NJ11" s="152">
        <f>IF(OR($NE11=0,$MF11=0),0,$NE11+3*IF(AND($NA11&lt;&gt;"",OR($NA11=INDEX($EF$2:$EF$13,$MB11),$NA11=INDEX($EG$2:$EG$13,$MB11))),1,0))</f>
        <v/>
      </c>
      <c r="NK11" s="152">
        <f>IF($MW11=0,0,IF(INDEX($W$2:$W$11,$MW11)="",0,IF(COUNTIF(INDEX($EF$2:$EJ$13,$MB11,0),INDEX($W$2:$W$11,$MW11))=0,1,0)))</f>
        <v/>
      </c>
      <c r="NL11" s="152">
        <f>IF(OR($NB11=0,$MX11=""),0,IF(COUNTIF(INDEX($EF$2:$EJ$13,$MB11,0),$MX11)=0,1,0))</f>
        <v/>
      </c>
      <c r="NM11" s="152">
        <f>IF(OR($NC11=0,$MY11=""),0,IF(COUNTIF(INDEX($EF$2:$EJ$13,$MB11,0),$MY11)=0,1,0))</f>
        <v/>
      </c>
      <c r="NN11" s="152">
        <f>IF(OR($ND11=0,$MZ11=""),0,IF(COUNTIF(INDEX($EF$2:$EJ$13,$MB11,0),$MZ11)=0,1,0))</f>
        <v/>
      </c>
      <c r="NO11" s="152">
        <f>IF(OR($NE11=0,$NA11=""),0,IF(COUNTIF(INDEX($EF$2:$EJ$13,$MB11,0),$NA11)=0,1,0))</f>
        <v/>
      </c>
      <c r="NP11" s="152">
        <f>IFERROR(VLOOKUP($MK11,$AV$2:$BA$84,4,FALSE),0)+IFERROR(VLOOKUP($ML11,$AV$2:$BA$84,4,FALSE),0)+IFERROR(VLOOKUP($MM11,$AV$2:$BA$84,4,FALSE),0)+IFERROR(VLOOKUP($MN11,$AV$2:$BA$84,4,FALSE),0)</f>
        <v/>
      </c>
      <c r="NQ11" s="152">
        <f>IFERROR(VLOOKUP($MK11,$AV$2:$BA$84,6,FALSE),0)+IFERROR(VLOOKUP($ML11,$AV$2:$BA$84,6,FALSE),0)+IFERROR(VLOOKUP($MM11,$AV$2:$BA$84,6,FALSE),0)+IFERROR(VLOOKUP($MN11,$AV$2:$BA$84,6,FALSE),0)</f>
        <v/>
      </c>
      <c r="NR11" s="152">
        <f>TEXTJOIN(", ",TRUE,IF(IFERROR(VLOOKUP($MK11,$AV$2:$BA$84,5,FALSE),0)=1,$MK11,""),IF(IFERROR(VLOOKUP($ML11,$AV$2:$BA$84,5,FALSE),0)=1,$ML11,""),IF(IFERROR(VLOOKUP($MM11,$AV$2:$BA$84,5,FALSE),0)=1,$MM11,""),IF(IFERROR(VLOOKUP($MN11,$AV$2:$BA$84,5,FALSE),0)=1,$MN11,""))</f>
        <v/>
      </c>
      <c r="NS11" s="152">
        <f>IF($MW11=0,0,INDEX($Y$2:$Y$11,$MW11))</f>
        <v/>
      </c>
      <c r="NT11" s="152">
        <f>IF($MW11=0,0,INDEX($Z$2:$Z$11,$MW11))</f>
        <v/>
      </c>
      <c r="NU11" s="152">
        <f>IF($MW11=0,0,INDEX($AB$2:$AB$11,$MW11))</f>
        <v/>
      </c>
      <c r="NV11" s="152">
        <f>IFERROR(VLOOKUP($MO11,$BC$2:$BG$24,3,FALSE),0)</f>
        <v/>
      </c>
      <c r="NW11" s="152">
        <f>IFERROR(VLOOKUP($MP11,$BC$2:$BG$24,3,FALSE),0)</f>
        <v/>
      </c>
      <c r="NX11" s="152">
        <f>IFERROR(VLOOKUP($MO11,$BC$2:$BG$24,2,FALSE),"")</f>
        <v/>
      </c>
      <c r="NY11" s="152">
        <f>IFERROR(VLOOKUP($MP11,$BC$2:$BG$24,2,FALSE),"")</f>
        <v/>
      </c>
      <c r="NZ11" s="152">
        <f>COUNTIF($NF11:$NJ11,1)</f>
        <v/>
      </c>
      <c r="OA11" s="152">
        <f>COUNTIF($NF11:$NJ11,2)</f>
        <v/>
      </c>
      <c r="OB11" s="152">
        <f>COUNTIF($NF11:$NJ11,3)</f>
        <v/>
      </c>
      <c r="OC11" s="152">
        <f>COUNTIF($NF11:$NJ11,4)</f>
        <v/>
      </c>
      <c r="OD11" s="152">
        <f>COUNTIF($NF11:$NJ11,5)</f>
        <v/>
      </c>
      <c r="OE11" s="152">
        <f>COUNTIF($NF11:$NJ11,6)</f>
        <v/>
      </c>
      <c r="OF11" s="152">
        <f>COUNTIF($NV11:$NW11,1)</f>
        <v/>
      </c>
      <c r="OG11" s="152">
        <f>COUNTIF($NV11:$NW11,2)+$NS11</f>
        <v/>
      </c>
      <c r="OH11" s="152">
        <f>COUNTIF($MK11:$MN11,"?*")</f>
        <v/>
      </c>
      <c r="OI11" s="152">
        <f>COUNTIF($MO11:$MP11,"?*")+$NS11</f>
        <v/>
      </c>
      <c r="OJ11" s="152">
        <f>IF($MF11=0,0,SUMPRODUCT($NZ11:$OE11,INDEX($I$2:$N$8,MAX(1,$MF11),0)))</f>
        <v/>
      </c>
      <c r="OK11" s="152">
        <f>IF($MF11=0,0,$OF11*CEILING($MF11/2,1)+$OG11*$MF11)</f>
        <v/>
      </c>
      <c r="OL11" s="152">
        <f>MIN(2*$MF11,$OK11)</f>
        <v/>
      </c>
      <c r="OM11" s="152">
        <f>MIN($OL11,$OJ11)</f>
        <v/>
      </c>
      <c r="ON11" s="152">
        <f>$OL11-$OM11</f>
        <v/>
      </c>
      <c r="OO11" s="152">
        <f>IF($MF11=0,0,INDEX($P$2:$P$8,MAX(1,$MF11)))</f>
        <v/>
      </c>
      <c r="OP11" s="152">
        <f>$OO11-$OJ11+$OM11</f>
        <v/>
      </c>
      <c r="OQ11" s="152">
        <f>IF($MF11=0,MAX(0,$MT11-IF($OH11&gt;0,1,0)),MAX(0,$OP11))</f>
        <v/>
      </c>
      <c r="OR11" s="152">
        <f>IF($MF11=0,0,(IF(COUNTIF($MK11:$MN11,"Salto")&gt;0,1,0)+IF(COUNTIF($MK11:$MN11,"Queima")&gt;0,1,0)+IF(COUNTIF($MK11:$MN11,"Estilhaço")&gt;0,1,0))*FLOOR($OQ11/2,1))</f>
        <v/>
      </c>
      <c r="OS11" s="152">
        <f>MAX(0,2-SUMPRODUCT($NZ11:$OE11,$I$2:$N$2)+MIN(2,$OF11*1+$OG11*1,SUMPRODUCT($NZ11:$OE11,$I$2:$N$2)))</f>
        <v/>
      </c>
      <c r="OT11" s="152">
        <f>MAX(0,4-SUMPRODUCT($NZ11:$OE11,$I$3:$N$3)+MIN(4,$OF11*1+$OG11*2,SUMPRODUCT($NZ11:$OE11,$I$3:$N$3)))</f>
        <v/>
      </c>
      <c r="OU11" s="152">
        <f>MAX(0,6-SUMPRODUCT($NZ11:$OE11,$I$4:$N$4)+MIN(6,$OF11*2+$OG11*3,SUMPRODUCT($NZ11:$OE11,$I$4:$N$4)))</f>
        <v/>
      </c>
      <c r="OV11" s="152">
        <f>MAX(0,9-SUMPRODUCT($NZ11:$OE11,$I$5:$N$5)+MIN(8,$OF11*2+$OG11*4,SUMPRODUCT($NZ11:$OE11,$I$5:$N$5)))</f>
        <v/>
      </c>
      <c r="OW11" s="152">
        <f>MAX(0,11-SUMPRODUCT($NZ11:$OE11,$I$6:$N$6)+MIN(10,$OF11*3+$OG11*5,SUMPRODUCT($NZ11:$OE11,$I$6:$N$6)))</f>
        <v/>
      </c>
      <c r="OX11" s="152">
        <f>MAX(0,13-SUMPRODUCT($NZ11:$OE11,$I$7:$N$7)+MIN(12,$OF11*3+$OG11*6,SUMPRODUCT($NZ11:$OE11,$I$7:$N$7)))</f>
        <v/>
      </c>
      <c r="OY11" s="152">
        <f>MAX(0,16-SUMPRODUCT($NZ11:$OE11,$I$8:$N$8)+MIN(14,$OF11*4+$OG11*7,SUMPRODUCT($NZ11:$OE11,$I$8:$N$8)))</f>
        <v/>
      </c>
      <c r="OZ11" s="152">
        <f>IF($NT11=2,3*$OS11&amp;" de vida temp.",IF($NT11=3,"sem dano",IF($OS11=0,IF($NT11=1,"sem cura","sem dano"),IF($NT11=1,"cura ","")&amp;$OS11&amp;"d8")))</f>
        <v/>
      </c>
      <c r="PA11" s="152">
        <f>IF($NT11=2,3*$OT11&amp;" de vida temp.",IF($NT11=3,"sem dano",IF($OT11=0,IF($NT11=1,"sem cura","sem dano"),IF($NT11=1,"cura ","")&amp;$OT11&amp;"d8")))</f>
        <v/>
      </c>
      <c r="PB11" s="152">
        <f>IF($NT11=2,3*$OU11&amp;" de vida temp.",IF($NT11=3,"sem dano",IF($OU11=0,IF($NT11=1,"sem cura","sem dano"),IF($NT11=1,"cura ","")&amp;$OU11&amp;"d8")))</f>
        <v/>
      </c>
      <c r="PC11" s="152">
        <f>IF($NT11=2,3*$OV11&amp;" de vida temp.",IF($NT11=3,"sem dano",IF($OV11=0,IF($NT11=1,"sem cura","sem dano"),IF($NT11=1,"cura ","")&amp;$OV11&amp;"d8")))</f>
        <v/>
      </c>
      <c r="PD11" s="152">
        <f>IF($NT11=2,3*$OW11&amp;" de vida temp.",IF($NT11=3,"sem dano",IF($OW11=0,IF($NT11=1,"sem cura","sem dano"),IF($NT11=1,"cura ","")&amp;$OW11&amp;"d8")))</f>
        <v/>
      </c>
      <c r="PE11" s="152">
        <f>IF($NT11=2,3*$OX11&amp;" de vida temp.",IF($NT11=3,"sem dano",IF($OX11=0,IF($NT11=1,"sem cura","sem dano"),IF($NT11=1,"cura ","")&amp;$OX11&amp;"d8")))</f>
        <v/>
      </c>
      <c r="PF11" s="152">
        <f>IF($NT11=2,3*$OY11&amp;" de vida temp.",IF($NT11=3,"sem dano",IF($OY11=0,IF($NT11=1,"sem cura","sem dano"),IF($NT11=1,"cura ","")&amp;$OY11&amp;"d8")))</f>
        <v/>
      </c>
      <c r="PG11" s="152">
        <f>IF($MQ11=0,"",TEXTJOIN(" · ",TRUE,IF($MD11&gt;$MR11,"Este lugar abre no nível "&amp;$MD11,""),IF($MF11&gt;$MS11,"Classe "&amp;$MF11&amp;": o nível "&amp;$MR11&amp;" libera até a "&amp;$MS11,""),IF($NK11=1,"A Forma "&amp;$MH11&amp;" pede "&amp;INDEX($W$2:$W$11,$MW11)&amp;" aberta",""),IF(AND($MF11=0,$MW11&gt;0,IF($MW11=0,0,INDEX($AF$2:$AF$11,$MW11))=0),$MH11&amp;" não existe na Classe 0",""),IF($NL11=1,"Família Fechada: "&amp;$MK11,""),IF($NM11=1,"Família Fechada: "&amp;$ML11,""),IF($NN11=1,"Família Fechada: "&amp;$MM11,""),IF($NO11=1,"Família Fechada: "&amp;$MN11,""),IF(AND($MF11&gt;0,$OH11&gt;INDEX($O$2:$O$8,MAX(1,$MF11))),$OH11&amp;" Melhorias: a Classe "&amp;$MF11&amp;" aceita "&amp;INDEX($O$2:$O$8,MAX(1,$MF11)),""),IF(AND($MF11=0,$OH11&gt;1),"A básica aceita uma Melhoria",""),IF(AND($MF11=0,COUNTIF($NB11:$NE11,"&gt;1")&gt;0),"A básica só aceita Melhoria Leve",""),IF(AND($MF11&gt;0,$OI11&gt;2),$OI11&amp;" Restrições"&amp;IF($NS11=1,", contando a que a Forma "&amp;$MH11&amp;" já traz","")&amp;": o limite é 2",""),IF(AND($MF11=0,COUNTIF($MO11:$MP11,"?*")&gt;1),"A básica aceita uma Restrição Leve",""),IF(AND($MF11=0,COUNTIF($NV11:$NW11,2)&gt;0),"A básica só aceita Restrição Leve",""),IF(AND($MF11&gt;0,$OP11&lt;0),"Orçamento estourado: faltam "&amp;(-$OP11)&amp;IF($OP11&lt;-1," pontos"," ponto"),""),IF(IFERROR(VLOOKUP($MO11,$BC$2:$BG$24,4,FALSE),0)+IFERROR(VLOOKUP($MP11,$BC$2:$BG$24,4,FALSE),0)&gt;1,$NX11&amp;" e "&amp;$NY11&amp;" são as duas de frequência",""),IF(AND((COUNTIF($MK11:$MN11,"Rápido")+COUNTIF($NX11:$NY11,"Rápido"))&gt;0,(COUNTIF($MK11:$MN11,"Atrasar")+COUNTIF($NX11:$NY11,"Atrasar"))&gt;0),"Rápido não entra com Atrasar",""),IF(AND((COUNTIF($MK11:$MN11,"Reação")+COUNTIF($NX11:$NY11,"Reação"))&gt;0,(COUNTIF($MK11:$MN11,"Rápido")+COUNTIF($NX11:$NY11,"Rápido"))&gt;0),"Reação não entra com Rápido",""),IF(AND((COUNTIF($MK11:$MN11,"Reação")+COUNTIF($NX11:$NY11,"Reação"))&gt;0,(COUNTIF($MK11:$MN11,"Armado")+COUNTIF($NX11:$NY11,"Armado"))&gt;0),"Reação não entra com Armado",""),IF(AND((COUNTIF($MK11:$MN11,"Reação")+COUNTIF($NX11:$NY11,"Reação"))&gt;0,(COUNTIF($MK11:$MN11,"Atrasar")+COUNTIF($NX11:$NY11,"Atrasar"))&gt;0),"Reação não entra com Atrasar",""),IF(AND((COUNTIF($MK11:$MN11,"Reação")+COUNTIF($NX11:$NY11,"Reação"))&gt;0,(COUNTIF($MK11:$MN11,"Parado")+COUNTIF($NX11:$NY11,"Parado"))&gt;0),"Reação não entra com Parado",""),IF(AND((COUNTIF($MK11:$MN11,"Atrasar")+COUNTIF($NX11:$NY11,"Atrasar"))&gt;0,(COUNTIF($MK11:$MN11,"Parado")+COUNTIF($NX11:$NY11,"Parado"))&gt;0),"Atrasar não entra com Parado",""),IF(AND((COUNTIF($MK11:$MN11,"Armado")+COUNTIF($NX11:$NY11,"Armado"))&gt;0,(COUNTIF($MK11:$MN11,"Carregar")+COUNTIF($NX11:$NY11,"Carregar"))&gt;0),"Armado não entra com Carregar",""),IF(AND(COUNTIF($NX11:$NY11,"Corpo a Corpo")&gt;0,$NS11=0,OR($MH11="Cone",$MH11="Linha")),"Corpo a Corpo não entra em "&amp;$MH11,""),IF(AND(COUNTIF($NX11:$NY11,"Corpo a Corpo")&gt;0,$NS11=1),"A Forma "&amp;$MH11&amp;" já traz o Corpo a Corpo",""),IF(AND(COUNTIF($NX11:$NY11,"Tudo ou Nada")&gt;0,$NU11=0),"Tudo ou Nada só entra em habilidade de Teste de Resistência",""),IF(AND(COUNTIF($MK11:$MN11,"Inescapável")&gt;0,OR($OH11&gt;1,$OI11&gt;0)),"Inescapável não aceita outra peça",""),IF(AND($MF11&gt;0,$OQ11*IF(COUNTIF($MK11:$MN11,"Remate")&gt;0,1.25,1)+$OR11&gt;4*$MF11),($OQ11*IF(COUNTIF($MK11:$MN11,"Remate")&gt;0,1.25,1)+$OR11)&amp;" dados somando repetições"&amp;IF(COUNTIF($MK11:$MN11,"Remate")&gt;0," e o Remate","")&amp;": o teto da Classe "&amp;$MF11&amp;" é "&amp;4*$MF11,"")))</f>
        <v/>
      </c>
      <c r="PH11" s="152">
        <f>IF($PG11="",0,(LEN($PG11)-LEN(SUBSTITUTE($PG11," · ","")))/3+1)</f>
        <v/>
      </c>
      <c r="PI11" s="152">
        <f>IF($MQ11=0,"",TEXTJOIN(" · ",TRUE,IF($OK11&gt;2*$MF11,"A devolução parou no teto de "&amp;2*$MF11,""),IF($ON11&gt;0,"Devolução perdida: "&amp;$ON11&amp;IF($ON11&gt;1," pontos"," ponto")&amp;" sem peça para pagar",""),IF(AND($NP11&gt;0,AND($MF11&gt;0,$NT11=0),$OQ11=0),"Controle sem dano: uma rodada a mais e CD +2",""),IF(AND($NP11&gt;0,AND($MF11&gt;0,$NT11=0),$OQ11&gt;0,$OQ11&lt;=$MF11),"Controle com saldo até a Classe: uma rodada a mais",""),IF(AND($MF11&gt;0,$NR11&lt;&gt;""),"Efeito de "&amp;$NR11&amp;" pela Classe "&amp;MAX(1,$MF11-1),"")))</f>
        <v/>
      </c>
      <c r="PJ11" s="152">
        <f>IF($PI11="",0,(LEN($PI11)-LEN(SUBSTITUTE($PI11," · ","")))/3+1)</f>
        <v/>
      </c>
      <c r="PK11" s="152">
        <f>IF($MQ11=0,IF($OH11+COUNTIF($MO11:$MP11,"?*")&gt;0,"Dê um nome",""),IF($PH11&gt;0,"⚠ "&amp;$PH11&amp;IF($PH11&gt;1," erros"," erro"),IF($PJ11&gt;0,"! "&amp;$PJ11&amp;IF($PJ11&gt;1," avisos"," aviso"),"Na regra")))</f>
        <v/>
      </c>
      <c r="PL11" s="152">
        <f>IF($MQ11=0,"",IF($PH11+$PJ11=0,"Dentro das regras que a ficha confere",$PG11&amp;IF(AND($PH11&gt;0,$PJ11&gt;0)," · ","")&amp;$PI11))</f>
        <v/>
      </c>
      <c r="PM11" s="152">
        <f>IF($MD11&gt;$MR11,$ME11&amp;" · ABRE NO NÍVEL "&amp;$MD11,$ME11)</f>
        <v/>
      </c>
      <c r="PN11" s="152">
        <f>IF($MQ11=0,"",IF($MF11=0,"Sem PE",3*$MF11&amp;" PE"))</f>
        <v/>
      </c>
      <c r="PO11" s="152">
        <f>IF($MQ11=0,"",IF($MF11=0,"A atuação básica dela",IF(COUNTIF($NX11:$NY11,"Atrasar")&gt;0,"Sua Ação Completa",IF(COUNTIF($MK11:$MN11,"Rápido")&gt;0,"Sua Bônus",IF(COUNTIF($MK11:$MN11,"Reação")&gt;0,"Sua Reação","Sua Padrão")))&amp;" + a básica dela"&amp;IF(COUNTIF($MK11:$MN11,"Reação")&gt;0," e a coletiva","")&amp;IF(COUNTIF($NX11:$NY11,"Carregar")&gt;0," · em dois turnos","")))</f>
        <v/>
      </c>
      <c r="PP11" s="152">
        <f>IF($MJ11&lt;&gt;"",$MJ11,IF($MW11=0,"",INDEX($AA$2:$AA$11,$MW11)))</f>
        <v/>
      </c>
      <c r="PQ11" s="152">
        <f>IF(OR($MQ11=0,$MW11=0),"",IF(COUNTIF($MK11:$MN11,"Inescapável")&gt;0,"Automático",IF($PP11="Ataque",IF($MU11="","Ataque","Ataque "&amp;IF(($MU11+2*IF(COUNTIF($MK11:$MN11,"Precisão")&gt;0,1,0))&gt;=0,"+","−")&amp;ABS(($MU11+2*IF(COUNTIF($MK11:$MN11,"Precisão")&gt;0,1,0))))&amp;IF($NQ11&gt;0," · TR"&amp;IF($MV11="",""," CD "&amp;$MV11),""),IF(LEFT($PP11,2)="TR",$PP11&amp;IF($MV11="",""," · CD "&amp;$MV11)&amp;IF(COUNTIF($MK11:$MN11,"Certeiro")&gt;0," · metade",""),"Sem rolagem"))))</f>
        <v/>
      </c>
      <c r="PR11" s="152">
        <f>IF(OR($MQ11=0,$MW11=0),"",IF($MF11=0,IF(OR($NT11&gt;=1,$OQ11=0),"Sem dano",$OQ11&amp;"d6"&amp;IF($MI11="",""," "&amp;$MI11)),IF(OR($NT11&gt;=1,$OQ11=0),UPPER(LEFT(INDEX($OZ11:$PF11,1,MAX(1,$MF11)),1))&amp;MID(INDEX($OZ11:$PF11,1,MAX(1,$MF11)),2,99),UPPER(LEFT(INDEX($OZ11:$PF11,1,MAX(1,$MF11)),1))&amp;MID(INDEX($OZ11:$PF11,1,MAX(1,$MF11)),2,99)&amp;IF($MI11="",""," "&amp;$MI11)&amp;IF($OR11&gt;0," · +"&amp;$OR11&amp;"d8",""))))</f>
        <v/>
      </c>
      <c r="PS11" s="152">
        <f>COUNTIF($MK11:$MN11,"Longe")+3*COUNTIF($MK11:$MN11,"Muito Longe")</f>
        <v/>
      </c>
      <c r="PT11" s="152">
        <f>COUNTIF($MK11:$MN11,"Maior")+3*COUNTIF($MK11:$MN11,"Muito Maior")</f>
        <v/>
      </c>
      <c r="PU11" s="152">
        <f>IF($MW11=0,0,CHOOSE(1+INDEX($AC$2:$AC$11,$MW11),0,$PS11,$PT11,$PS11+$PT11))</f>
        <v/>
      </c>
      <c r="PV11" s="152">
        <f>IF($MW11=0,0,CHOOSE(1+INDEX($AD$2:$AD$11,$MW11),0,$PS11,$PT11,$PS11+$PT11))</f>
        <v/>
      </c>
      <c r="PW11" s="152">
        <f>IF(OR($MQ11=0,$MW11=0),"",INDEX($AI$2:$AN$41,($MW11-1)*4+IF($MF11=0,1,IF($MF11&lt;=5,2,IF($MF11=6,3,4))),1+MIN(5,$PU11))&amp;INDEX($AO$2:$AT$41,($MW11-1)*4+IF($MF11=0,1,IF($MF11&lt;=5,2,IF($MF11=6,3,4))),1+MIN(5,$PV11))&amp;IF(INDEX($AE$2:$AE$11,$MW11)=1,IF(COUNTIF($MK11:$MN11,"Mais Um")&gt;0," · +"&amp;COUNTIF($MK11:$MN11,"Mais Um")&amp;IF(COUNTIF($MK11:$MN11,"Mais Um")&gt;1," alvos"," alvo"),"")&amp;IF(COUNTIF($MK11:$MN11,"Rajada")&gt;0,IF($MF11=0," · 1 tiro"," · "&amp;(MAX(1,$MF11-1)+1)&amp;" tiros"),""),""))</f>
        <v/>
      </c>
      <c r="PX11" s="152">
        <f>IF($MQ11=0,"",IF($MF11=0,$MT11&amp;"d6"&amp;IF($OH11&gt;0," − 1 = "&amp;$OQ11&amp;"d6"," da básica do nível "&amp;$MR11),$OO11&amp;" − "&amp;$OJ11&amp;" + "&amp;$OM11&amp;" = "&amp;$OP11&amp;" · teto "&amp;4*$MF11&amp;"d8"&amp;IF($NS11=1," · a Forma devolve "&amp;$MF11,"")&amp;IF($ON11&gt;0," · perde "&amp;$ON11,"")))</f>
        <v/>
      </c>
      <c r="PY11" s="152">
        <f>IF($MQ11=0,"",IF($MF11=0,"A básica não amplia: os dados dela sobem com o nível",IF($MF11&gt;=$MS11,"Já está na maior Classe que o nível liberou",TEXTJOIN(" · ",TRUE,IF(AND(2&gt;$MF11,2&lt;=$MS11),"2 → "&amp;$PA11&amp;", 6 PE",""),IF(AND(3&gt;$MF11,3&lt;=$MS11),"3 → "&amp;$PB11&amp;", 9 PE",""),IF(AND(4&gt;$MF11,4&lt;=$MS11),"4 → "&amp;$PC11&amp;", 12 PE",""),IF(AND(5&gt;$MF11,5&lt;=$MS11),"5 → "&amp;$PD11&amp;", 15 PE",""),IF(AND(6&gt;$MF11,6&lt;=$MS11),"6 → "&amp;$PE11&amp;", 18 PE",""),IF(AND(7&gt;$MF11,7&lt;=$MS11),"7 → "&amp;$PF11&amp;", 21 PE","")))))</f>
        <v/>
      </c>
      <c r="PZ11" s="152">
        <f>IF(OR($MQ11=0,$NB11=0),"",IF($MF11=0,"−1 dado","−"&amp;INDEX($I$2:$N$8,MAX(1,$MF11),MAX(1,$NG11))&amp;" · "&amp;CHOOSE(MAX(1,$NG11),"Leve","Média","Pesada","Leve · Livre","Média · Livre","Pesada · Livre")))</f>
        <v/>
      </c>
      <c r="QA11" s="152">
        <f>IF(OR($MQ11=0,$NC11=0),"",IF($MF11=0,"−1 dado","−"&amp;INDEX($I$2:$N$8,MAX(1,$MF11),MAX(1,$NH11))&amp;" · "&amp;CHOOSE(MAX(1,$NH11),"Leve","Média","Pesada","Leve · Livre","Média · Livre","Pesada · Livre")))</f>
        <v/>
      </c>
      <c r="QB11" s="152">
        <f>IF(OR($MQ11=0,$ND11=0),"",IF($MF11=0,"−1 dado","−"&amp;INDEX($I$2:$N$8,MAX(1,$MF11),MAX(1,$NI11))&amp;" · "&amp;CHOOSE(MAX(1,$NI11),"Leve","Média","Pesada","Leve · Livre","Média · Livre","Pesada · Livre")))</f>
        <v/>
      </c>
      <c r="QC11" s="152">
        <f>IF(OR($MQ11=0,$NE11=0),"",IF($MF11=0,"−1 dado","−"&amp;INDEX($I$2:$N$8,MAX(1,$MF11),MAX(1,$NJ11))&amp;" · "&amp;CHOOSE(MAX(1,$NJ11),"Leve","Média","Pesada","Leve · Livre","Média · Livre","Pesada · Livre")))</f>
        <v/>
      </c>
      <c r="QD11" s="152">
        <f>IF(OR($MQ11=0,$MO11=""),"",IF($MF11=0,"não devolve","+"&amp;IF($NV11=1,CEILING($MF11/2,1),$MF11)))</f>
        <v/>
      </c>
      <c r="QE11" s="152">
        <f>IF(OR($MQ11=0,$MP11=""),"",IF($MF11=0,"não devolve","+"&amp;IF($NW11=1,CEILING($MF11/2,1),$MF11)))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A12" s="152" t="n">
        <v>0</v>
      </c>
      <c r="BC12" s="150" t="inlineStr">
        <is>
          <t>Peso Morto</t>
        </is>
      </c>
      <c r="BD12" s="150" t="inlineStr">
        <is>
          <t>Peso Morto</t>
        </is>
      </c>
      <c r="BE12" s="152" t="n">
        <v>1</v>
      </c>
      <c r="BF12" s="152" t="n">
        <v>0</v>
      </c>
      <c r="BG12" s="150" t="inlineStr">
        <is>
          <t>Peso Morto</t>
        </is>
      </c>
      <c r="BI12" s="150" t="inlineStr">
        <is>
          <t>Escama</t>
        </is>
      </c>
      <c r="BJ12" s="152" t="n">
        <v>3</v>
      </c>
      <c r="BK12" s="150" t="inlineStr">
        <is>
          <t>Escolha um tipo de dano que a Regra da sua técnica justifique. Você tem resistência a esse tipo: sofre metade do dano, com o arredondamento das regras de dano.</t>
        </is>
      </c>
      <c r="BL12" s="150" t="inlineStr"/>
      <c r="CA12" s="150" t="inlineStr">
        <is>
          <t>Hierarquia</t>
        </is>
      </c>
      <c r="CB12" s="150" t="inlineStr">
        <is>
          <t>Inteligência</t>
        </is>
      </c>
      <c r="CF12" s="150" t="inlineStr">
        <is>
          <t>Necrótico</t>
        </is>
      </c>
      <c r="CW12" s="150" t="inlineStr">
        <is>
          <t>cor da barra</t>
        </is>
      </c>
      <c r="CX12" s="152">
        <f>DADOS!$CZ$51</f>
        <v/>
      </c>
      <c r="CZ12" s="152" t="n">
        <v>11</v>
      </c>
      <c r="DA12" s="152">
        <f>'INVOCAÇÕES'!$AB$805&amp;""</f>
        <v/>
      </c>
      <c r="DB12" s="152">
        <f>'INVOCAÇÕES'!$AB$835&amp;""</f>
        <v/>
      </c>
      <c r="DC12" s="152">
        <f>'INVOCAÇÕES'!$AB$839&amp;""</f>
        <v/>
      </c>
      <c r="DD12" s="152">
        <f>N('INVOCAÇÕES'!$AD$839)</f>
        <v/>
      </c>
      <c r="DE12" s="152">
        <f>'INVOCAÇÕES'!$AE$839&amp;""</f>
        <v/>
      </c>
      <c r="DF12" s="152">
        <f>N('INVOCAÇÕES'!$AH$812)</f>
        <v/>
      </c>
      <c r="DG12" s="152">
        <f>N('INVOCAÇÕES'!$AI$812)</f>
        <v/>
      </c>
      <c r="DH12" s="152">
        <f>N('INVOCAÇÕES'!$AJ$812)</f>
        <v/>
      </c>
      <c r="DI12" s="152">
        <f>N('INVOCAÇÕES'!$AK$812)</f>
        <v/>
      </c>
      <c r="DJ12" s="152">
        <f>N('INVOCAÇÕES'!$AL$812)</f>
        <v/>
      </c>
      <c r="DK12" s="152">
        <f>N('INVOCAÇÕES'!$AH$813)</f>
        <v/>
      </c>
      <c r="DL12" s="152">
        <f>N('INVOCAÇÕES'!$AI$813)</f>
        <v/>
      </c>
      <c r="DM12" s="152">
        <f>N('INVOCAÇÕES'!$AJ$813)</f>
        <v/>
      </c>
      <c r="DN12" s="152">
        <f>N('INVOCAÇÕES'!$AK$813)</f>
        <v/>
      </c>
      <c r="DO12" s="152">
        <f>N('INVOCAÇÕES'!$AL$813)</f>
        <v/>
      </c>
      <c r="DP12" s="152">
        <f>'INVOCAÇÕES'!$AH$826&amp;""</f>
        <v/>
      </c>
      <c r="DQ12" s="152">
        <f>'INVOCAÇÕES'!$AK$826&amp;""</f>
        <v/>
      </c>
      <c r="DR12" s="152">
        <f>'INVOCAÇÕES'!$AL$821&amp;""</f>
        <v/>
      </c>
      <c r="DS12" s="152">
        <f>N('INVOCAÇÕES'!$AH$818)</f>
        <v/>
      </c>
      <c r="DT12" s="152">
        <f>N('INVOCAÇÕES'!$AI$818)</f>
        <v/>
      </c>
      <c r="DU12" s="152">
        <f>N('INVOCAÇÕES'!$AJ$818)</f>
        <v/>
      </c>
      <c r="DV12" s="152">
        <f>N('INVOCAÇÕES'!$AK$818)</f>
        <v/>
      </c>
      <c r="DW12" s="152">
        <f>N('INVOCAÇÕES'!$AL$818)</f>
        <v/>
      </c>
      <c r="DX12" s="152">
        <f>N('INVOCAÇÕES'!$AH$823)</f>
        <v/>
      </c>
      <c r="DY12" s="152">
        <f>N('INVOCAÇÕES'!$AI$823)</f>
        <v/>
      </c>
      <c r="DZ12" s="152">
        <f>N('INVOCAÇÕES'!$AJ$823)</f>
        <v/>
      </c>
      <c r="EA12" s="152">
        <f>N('INVOCAÇÕES'!$AK$823)</f>
        <v/>
      </c>
      <c r="EB12" s="152">
        <f>'INVOCAÇÕES'!$AN$805&amp;""</f>
        <v/>
      </c>
      <c r="EC12" s="152">
        <f>N('INVOCAÇÕES'!$AP$805)</f>
        <v/>
      </c>
      <c r="ED12" s="152">
        <f>'INVOCAÇÕES'!$AR$805&amp;""</f>
        <v/>
      </c>
      <c r="EE12" s="152">
        <f>SUM('INVOCAÇÕES'!$AR$825:'INVOCAÇÕES'!$AR$827,'INVOCAÇÕES'!$AR$829:'INVOCAÇÕES'!$AR$834)</f>
        <v/>
      </c>
      <c r="EF12" s="152">
        <f>'INVOCAÇÕES'!$AH$840&amp;""</f>
        <v/>
      </c>
      <c r="EG12" s="152">
        <f>'INVOCAÇÕES'!$AI$840&amp;""</f>
        <v/>
      </c>
      <c r="EH12" s="152">
        <f>'INVOCAÇÕES'!$AJ$840&amp;""</f>
        <v/>
      </c>
      <c r="EI12" s="152">
        <f>'INVOCAÇÕES'!$AK$840&amp;""</f>
        <v/>
      </c>
      <c r="EJ12" s="152">
        <f>'INVOCAÇÕES'!$AL$840&amp;""</f>
        <v/>
      </c>
      <c r="EK12" s="152">
        <f>'INVOCAÇÕES'!$AH$830&amp;""</f>
        <v/>
      </c>
      <c r="EL12" s="152">
        <f>'INVOCAÇÕES'!$AH$831&amp;""</f>
        <v/>
      </c>
      <c r="EM12" s="152">
        <f>'INVOCAÇÕES'!$AH$832&amp;""</f>
        <v/>
      </c>
      <c r="EN12" s="152">
        <f>'INVOCAÇÕES'!$AH$833&amp;""</f>
        <v/>
      </c>
      <c r="EO12" s="152">
        <f>'INVOCAÇÕES'!$AH$834&amp;""</f>
        <v/>
      </c>
      <c r="EP12" s="152">
        <f>'INVOCAÇÕES'!$AH$835&amp;""</f>
        <v/>
      </c>
      <c r="EQ12" s="152">
        <f>'INVOCAÇÕES'!$AH$836&amp;""</f>
        <v/>
      </c>
      <c r="ER12" s="152">
        <f>'INVOCAÇÕES'!$AC$872&amp;""</f>
        <v/>
      </c>
      <c r="ES12" s="152">
        <f>'INVOCAÇÕES'!$AC$873&amp;""</f>
        <v/>
      </c>
      <c r="ET12" s="152">
        <f>'INVOCAÇÕES'!$AC$874&amp;""</f>
        <v/>
      </c>
      <c r="EU12" s="152">
        <f>'INVOCAÇÕES'!$AC$875&amp;""</f>
        <v/>
      </c>
      <c r="EV12" s="152">
        <f>'INVOCAÇÕES'!$AC$876&amp;""</f>
        <v/>
      </c>
      <c r="EW12" s="152">
        <f>'INVOCAÇÕES'!$AC$877&amp;""</f>
        <v/>
      </c>
      <c r="EX12" s="152">
        <f>'INVOCAÇÕES'!$AC$878&amp;""</f>
        <v/>
      </c>
      <c r="EY12" s="152">
        <f>'INVOCAÇÕES'!$AC$879&amp;""</f>
        <v/>
      </c>
      <c r="EZ12" s="152">
        <f>'INVOCAÇÕES'!$AC$974&amp;""</f>
        <v/>
      </c>
      <c r="FA12" s="152">
        <f>'INVOCAÇÕES'!$AC$975&amp;""</f>
        <v/>
      </c>
      <c r="FB12" s="152">
        <f>'INVOCAÇÕES'!$AC$976&amp;""</f>
        <v/>
      </c>
      <c r="FC12" s="152">
        <f>MAX(3,MIN(7,N('INVOCAÇÕES'!$AB$981)))</f>
        <v/>
      </c>
      <c r="FD12" s="152">
        <f>MAX(3,MIN(7,N('INVOCAÇÕES'!$AH$981)))</f>
        <v/>
      </c>
      <c r="FE12" s="152">
        <f>MAX(3,MIN(7,N('INVOCAÇÕES'!$AN$981)))</f>
        <v/>
      </c>
      <c r="FF12" s="152">
        <f>'INVOCAÇÕES'!$AH$995&amp;""</f>
        <v/>
      </c>
      <c r="FG12" s="152">
        <f>IF($DA12&lt;&gt;"",1,0)</f>
        <v/>
      </c>
      <c r="FH12" s="152">
        <f>IFERROR(VLOOKUP($DC12,$BP$2:$BQ$5,2,FALSE),1)</f>
        <v/>
      </c>
      <c r="FI12" s="152">
        <f>IF($FH12=1,$CX$2,MAX(1,MIN($CX$2,IF($DD12=0,$CX$2,$DD12))))</f>
        <v/>
      </c>
      <c r="FJ12" s="152">
        <f>VLOOKUP(MAX(1,$FI12),$A$2:$D$8,2,TRUE)</f>
        <v/>
      </c>
      <c r="FK12" s="152">
        <f>VLOOKUP(MAX(1,$FI12),$A$2:$D$8,3,TRUE)</f>
        <v/>
      </c>
      <c r="FL12" s="152">
        <f>$DF12+$DK12</f>
        <v/>
      </c>
      <c r="FM12" s="152">
        <f>$DG12+$DL12</f>
        <v/>
      </c>
      <c r="FN12" s="152">
        <f>$DH12+$DM12</f>
        <v/>
      </c>
      <c r="FO12" s="152">
        <f>$DI12+$DN12</f>
        <v/>
      </c>
      <c r="FP12" s="152">
        <f>$DJ12+$DO12</f>
        <v/>
      </c>
      <c r="FQ12" s="152">
        <f>SUM($DF12:$DJ12)</f>
        <v/>
      </c>
      <c r="FR12" s="152">
        <f>9+$FS12</f>
        <v/>
      </c>
      <c r="FS12" s="152">
        <f>COUNTIF($F$2:$F$8,"&lt;="&amp;$FI12)</f>
        <v/>
      </c>
      <c r="FT12" s="152">
        <f>MAX(0,$DF12-3)+MAX(0,$DG12-3)+MAX(0,$DH12-3)+MAX(0,$DI12-3)+MAX(0,$DJ12-3)</f>
        <v/>
      </c>
      <c r="FU12" s="152">
        <f>IFERROR(INDEX($FL12:$FP12,1,MATCH($DP12,$BU$2:$BU$6,0)),"")</f>
        <v/>
      </c>
      <c r="FV12" s="152">
        <f>IF($FU12="","",$FU12+$CX$3+$DS12)</f>
        <v/>
      </c>
      <c r="FW12" s="152">
        <f>IF($FU12="","",8+$FU12+$CX$3+$DT12)</f>
        <v/>
      </c>
      <c r="FX12" s="152">
        <f>10+$FM12+$CX$7+$DU12</f>
        <v/>
      </c>
      <c r="FY12" s="152">
        <f>IF($DB12="Corpo amaldiçoado de criação",1,0)</f>
        <v/>
      </c>
      <c r="FZ12" s="152">
        <f>5+$FN12+(3+$FY12+$FN12)*($FI12-1)+$DV12</f>
        <v/>
      </c>
      <c r="GA12" s="152">
        <f>IF($FG12=0,"",$FZ12)</f>
        <v/>
      </c>
      <c r="GB12" s="152">
        <f>IF($EB12="",$FZ12,MAX(0,MIN(IFERROR(VALUE($EB12),$FZ12),$FZ12)))</f>
        <v/>
      </c>
      <c r="GC12" s="152">
        <f>9+$DW12</f>
        <v/>
      </c>
      <c r="GD12" s="152">
        <f>IF($DQ12="Destreza",$FM12,$FL12)</f>
        <v/>
      </c>
      <c r="GE12" s="152">
        <f>$GD12+IF($DR12="Físico",$CX$3,0)+$DX12</f>
        <v/>
      </c>
      <c r="GF12" s="152">
        <f>$FN12+IF($DR12="Vigor",$CX$3,0)+$DY12</f>
        <v/>
      </c>
      <c r="GG12" s="152">
        <f>$FO12+IF($DR12="Intelecto",$CX$3,0)+$DZ12</f>
        <v/>
      </c>
      <c r="GH12" s="152">
        <f>$FP12+IF($DR12="Espírito",$CX$3,0)+$EA12</f>
        <v/>
      </c>
      <c r="GI12" s="152">
        <f>4+INT($DI12/2)</f>
        <v/>
      </c>
      <c r="GJ12" s="152">
        <f>COUNTIF($EK12:$EQ12,"?*")</f>
        <v/>
      </c>
      <c r="GK12" s="152">
        <f>INT((2+$FI12/2)/2)</f>
        <v/>
      </c>
      <c r="GL12" s="152">
        <f>IF($FI12&gt;=11,2,1)</f>
        <v/>
      </c>
      <c r="GM12" s="152">
        <f>1+$FS12</f>
        <v/>
      </c>
      <c r="GN12" s="152">
        <f>COUNTIF($ER12:$EY12,"?*")</f>
        <v/>
      </c>
      <c r="GO12" s="152">
        <f>IF(AND($DB12="Shikigami de criação",$DE12="Com carga"),MAX(1,CEILING($FJ12/2,1)),$FJ12)</f>
        <v/>
      </c>
      <c r="GP12" s="152">
        <f>$FJ12+$GO12</f>
        <v/>
      </c>
      <c r="GQ12" s="152">
        <f>$FI12*(1+INT($DJ12/3))</f>
        <v/>
      </c>
      <c r="GR12" s="152">
        <f>5+$FL12</f>
        <v/>
      </c>
      <c r="GS12" s="152">
        <f>COUNTIF($EF12:$EJ12,"?*")</f>
        <v/>
      </c>
      <c r="GT12" s="152">
        <f>IF($EF12="",0,IF(COUNTIF($EF12:$EJ12,$EF12)&gt;1,1,0))+IF($EG12="",0,IF(COUNTIF($EF12:$EJ12,$EG12)&gt;1,1,0))+IF($EH12="",0,IF(COUNTIF($EF12:$EJ12,$EH12)&gt;1,1,0))+IF($EI12="",0,IF(COUNTIF($EF12:$EJ12,$EI12)&gt;1,1,0))+IF($EJ12="",0,IF(COUNTIF($EF12:$EJ12,$EJ12)&gt;1,1,0))</f>
        <v/>
      </c>
      <c r="GU12" s="152">
        <f>$CX$11</f>
        <v/>
      </c>
      <c r="GV12" s="152">
        <f>IF($FG12=0,"INVOCAÇÃO 11 · lugar vazio",$DA12&amp;" · "&amp;$DB12&amp;" · nível "&amp;$FI12&amp;" · vida "&amp;$GB12&amp;" de "&amp;$FZ12)</f>
        <v/>
      </c>
      <c r="GW12" s="152">
        <f>IF($FG12=0,"VAZIA",UPPER($DA12))</f>
        <v/>
      </c>
      <c r="GX12" s="152">
        <f>IF($CX$3&gt;=0,"+","−")&amp;ABS($CX$3)</f>
        <v/>
      </c>
      <c r="GY12" s="152">
        <f>$GO12&amp;" PE"</f>
        <v/>
      </c>
      <c r="GZ12" s="152">
        <f>$GP12&amp;" PE"</f>
        <v/>
      </c>
      <c r="HA12" s="152">
        <f>IF(OR($FQ12&gt;$FR12,$FT12&gt;$FS12),"⚠ ",IF(AND($FG12=1,$FQ12&lt;$FR12),"! ",""))&amp;"ATRIBUTOS · "&amp;$FQ12&amp;" DE "&amp;$FR12&amp;" PONTOS"&amp;IF($FT12&gt;$FS12," · ACIMA DE 3 SÓ COM MARCO","")</f>
        <v/>
      </c>
      <c r="HB12" s="152">
        <f>IF($FV12="","",IF($FV12&gt;=0,"+","−")&amp;ABS($FV12))</f>
        <v/>
      </c>
      <c r="HC12" s="152">
        <f>IF($FW12="","",$FW12)</f>
        <v/>
      </c>
      <c r="HD12" s="152">
        <f>SUBSTITUTE($GC12&amp;" m",".",",")</f>
        <v/>
      </c>
      <c r="HE12" s="152">
        <f>IF($GE12&gt;=0,"+","−")&amp;ABS($GE12)</f>
        <v/>
      </c>
      <c r="HF12" s="152">
        <f>IF($GF12&gt;=0,"+","−")&amp;ABS($GF12)</f>
        <v/>
      </c>
      <c r="HG12" s="152">
        <f>IF($GG12&gt;=0,"+","−")&amp;ABS($GG12)</f>
        <v/>
      </c>
      <c r="HH12" s="152">
        <f>IF($GH12&gt;=0,"+","−")&amp;ABS($GH12)</f>
        <v/>
      </c>
      <c r="HI12" s="152">
        <f>IF($GJ12&gt;$GI12,"⚠ ","")&amp;"PERÍCIAS · "&amp;$GJ12&amp;" DE "&amp;$GI12</f>
        <v/>
      </c>
      <c r="HJ12" s="152">
        <f>IF($EK12="","",IFERROR(IF((INDEX($FL12:$FP12,1,MATCH(VLOOKUP($EK12,$CA$2:$CB$24,2,FALSE),$BU$2:$BU$6,0))+$CX$3)&gt;=0,"+","−")&amp;ABS((INDEX($FL12:$FP12,1,MATCH(VLOOKUP($EK12,$CA$2:$CB$24,2,FALSE),$BU$2:$BU$6,0))+$CX$3)),""))</f>
        <v/>
      </c>
      <c r="HK12" s="152">
        <f>IF($EL12="","",IFERROR(IF((INDEX($FL12:$FP12,1,MATCH(VLOOKUP($EL12,$CA$2:$CB$24,2,FALSE),$BU$2:$BU$6,0))+$CX$3)&gt;=0,"+","−")&amp;ABS((INDEX($FL12:$FP12,1,MATCH(VLOOKUP($EL12,$CA$2:$CB$24,2,FALSE),$BU$2:$BU$6,0))+$CX$3)),""))</f>
        <v/>
      </c>
      <c r="HL12" s="152">
        <f>IF($EM12="","",IFERROR(IF((INDEX($FL12:$FP12,1,MATCH(VLOOKUP($EM12,$CA$2:$CB$24,2,FALSE),$BU$2:$BU$6,0))+$CX$3)&gt;=0,"+","−")&amp;ABS((INDEX($FL12:$FP12,1,MATCH(VLOOKUP($EM12,$CA$2:$CB$24,2,FALSE),$BU$2:$BU$6,0))+$CX$3)),""))</f>
        <v/>
      </c>
      <c r="HM12" s="152">
        <f>IF($EN12="","",IFERROR(IF((INDEX($FL12:$FP12,1,MATCH(VLOOKUP($EN12,$CA$2:$CB$24,2,FALSE),$BU$2:$BU$6,0))+$CX$3)&gt;=0,"+","−")&amp;ABS((INDEX($FL12:$FP12,1,MATCH(VLOOKUP($EN12,$CA$2:$CB$24,2,FALSE),$BU$2:$BU$6,0))+$CX$3)),""))</f>
        <v/>
      </c>
      <c r="HN12" s="152">
        <f>IF($EO12="","",IFERROR(IF((INDEX($FL12:$FP12,1,MATCH(VLOOKUP($EO12,$CA$2:$CB$24,2,FALSE),$BU$2:$BU$6,0))+$CX$3)&gt;=0,"+","−")&amp;ABS((INDEX($FL12:$FP12,1,MATCH(VLOOKUP($EO12,$CA$2:$CB$24,2,FALSE),$BU$2:$BU$6,0))+$CX$3)),""))</f>
        <v/>
      </c>
      <c r="HO12" s="152">
        <f>IF($EP12="","",IFERROR(IF((INDEX($FL12:$FP12,1,MATCH(VLOOKUP($EP12,$CA$2:$CB$24,2,FALSE),$BU$2:$BU$6,0))+$CX$3)&gt;=0,"+","−")&amp;ABS((INDEX($FL12:$FP12,1,MATCH(VLOOKUP($EP12,$CA$2:$CB$24,2,FALSE),$BU$2:$BU$6,0))+$CX$3)),""))</f>
        <v/>
      </c>
      <c r="HP12" s="152">
        <f>IF($EQ12="","",IFERROR(IF((INDEX($FL12:$FP12,1,MATCH(VLOOKUP($EQ12,$CA$2:$CB$24,2,FALSE),$BU$2:$BU$6,0))+$CX$3)&gt;=0,"+","−")&amp;ABS((INDEX($FL12:$FP12,1,MATCH(VLOOKUP($EQ12,$CA$2:$CB$24,2,FALSE),$BU$2:$BU$6,0))+$CX$3)),""))</f>
        <v/>
      </c>
      <c r="HQ12" s="152">
        <f>IF($DB12="Maldição domada","RESERVA · MÁX. "&amp;$GQ12,"RESERVA DE PE")</f>
        <v/>
      </c>
      <c r="HR12" s="152">
        <f>IF($EE12&gt;$GR12,"⚠ ","")&amp;"EQUIPAMENTO · "&amp;$EE12&amp;" DE "&amp;$GR12&amp;" DE VOLUME"&amp;IF($EE12&gt;$GR12," · PASSOU DO LIMITE","")</f>
        <v/>
      </c>
      <c r="HS12" s="152">
        <f>IF(OR($GT12&gt;0,$GS12&gt;$GU12),"⚠ ","")&amp;"FAMÍLIAS · "&amp;$GS12&amp;" ABERTAS"&amp;IF($GT12&gt;0," · REPETIDA","")&amp;IF($GS12&gt;$GU12," · O LIMITE É "&amp;$GU12,"")</f>
        <v/>
      </c>
      <c r="HT12" s="152">
        <f>"HABILIDADES · básica de "&amp;$FK12&amp;"d6 · "&amp;$GK12&amp;IF($GK12&gt;1," espaços"," espaço")&amp;" de especial até a Classe "&amp;$FJ12&amp;" · "&amp;$GM12&amp;IF($GM12&gt;1," talentos"," talento")</f>
        <v/>
      </c>
      <c r="HU12" s="152">
        <f>IF($GN12&gt;$GM12,"⚠ ","")&amp;"TALENTOS · "&amp;$GN12&amp;" DE "&amp;$GM12</f>
        <v/>
      </c>
      <c r="HV12" s="152">
        <f>IFERROR(VLOOKUP($ER12,$BI$2:$BL$15,2,FALSE),0)</f>
        <v/>
      </c>
      <c r="HW12" s="152">
        <f>IFERROR(VLOOKUP($ES12,$BI$2:$BL$15,2,FALSE),0)</f>
        <v/>
      </c>
      <c r="HX12" s="152">
        <f>IFERROR(VLOOKUP($ET12,$BI$2:$BL$15,2,FALSE),0)</f>
        <v/>
      </c>
      <c r="HY12" s="152">
        <f>IFERROR(VLOOKUP($EU12,$BI$2:$BL$15,2,FALSE),0)</f>
        <v/>
      </c>
      <c r="HZ12" s="152">
        <f>IFERROR(VLOOKUP($EV12,$BI$2:$BL$15,2,FALSE),0)</f>
        <v/>
      </c>
      <c r="IA12" s="152">
        <f>IFERROR(VLOOKUP($EW12,$BI$2:$BL$15,2,FALSE),0)</f>
        <v/>
      </c>
      <c r="IB12" s="152">
        <f>IFERROR(VLOOKUP($EX12,$BI$2:$BL$15,2,FALSE),0)</f>
        <v/>
      </c>
      <c r="IC12" s="152">
        <f>IFERROR(VLOOKUP($EY12,$BI$2:$BL$15,2,FALSE),0)</f>
        <v/>
      </c>
      <c r="ID12" s="152">
        <f>IF($ER12="","",IF(1&gt;$FI12,"⚠ Este talento abre no nível 1",IF($HV12&gt;1,"⚠ Categoria "&amp;$HV12&amp;": este ganho vai até a 1 · ","")&amp;IFERROR(VLOOKUP($ER12,$BI$2:$BL$15,3,FALSE),"")))</f>
        <v/>
      </c>
      <c r="IE12" s="152">
        <f>IF($ES12="","",IF(6&gt;$FI12,"⚠ Este talento abre no nível 6",IF($HW12&gt;1,"⚠ Categoria "&amp;$HW12&amp;": este ganho vai até a 1 · ","")&amp;IFERROR(VLOOKUP($ES12,$BI$2:$BL$15,3,FALSE),"")))</f>
        <v/>
      </c>
      <c r="IF12" s="152">
        <f>IF($ET12="","",IF(10&gt;$FI12,"⚠ Este talento abre no nível 10",IF($HX12&gt;2,"⚠ Categoria "&amp;$HX12&amp;": este ganho vai até a 2 · ","")&amp;IFERROR(VLOOKUP($ET12,$BI$2:$BL$15,3,FALSE),"")))</f>
        <v/>
      </c>
      <c r="IG12" s="152">
        <f>IF($EU12="","",IF(14&gt;$FI12,"⚠ Este talento abre no nível 14",IF($HY12&gt;3,"⚠ Categoria "&amp;$HY12&amp;": este ganho vai até a 3 · ","")&amp;IFERROR(VLOOKUP($EU12,$BI$2:$BL$15,3,FALSE),"")))</f>
        <v/>
      </c>
      <c r="IH12" s="152">
        <f>IF($EV12="","",IF(18&gt;$FI12,"⚠ Este talento abre no nível 18",IF($HZ12&gt;3,"⚠ Categoria "&amp;$HZ12&amp;": este ganho vai até a 3 · ","")&amp;IFERROR(VLOOKUP($EV12,$BI$2:$BL$15,3,FALSE),"")))</f>
        <v/>
      </c>
      <c r="II12" s="152">
        <f>IF($EW12="","",IF(22&gt;$FI12,"⚠ Este talento abre no nível 22",IF($IA12&gt;3,"⚠ Categoria "&amp;$IA12&amp;": este ganho vai até a 3 · ","")&amp;IFERROR(VLOOKUP($EW12,$BI$2:$BL$15,3,FALSE),"")))</f>
        <v/>
      </c>
      <c r="IJ12" s="152">
        <f>IF($EX12="","",IF(26&gt;$FI12,"⚠ Este talento abre no nível 26",IF($IB12&gt;3,"⚠ Categoria "&amp;$IB12&amp;": este ganho vai até a 3 · ","")&amp;IFERROR(VLOOKUP($EX12,$BI$2:$BL$15,3,FALSE),"")))</f>
        <v/>
      </c>
      <c r="IK12" s="152">
        <f>IF($EY12="","",IF(30&gt;$FI12,"⚠ Este talento abre no nível 30",IF($IC12&gt;3,"⚠ Categoria "&amp;$IC12&amp;": este ganho vai até a 3 · ","")&amp;IFERROR(VLOOKUP($EY12,$BI$2:$BL$15,3,FALSE),"")))</f>
        <v/>
      </c>
      <c r="IL12" s="152">
        <f>IF($EZ12="","",IFERROR(VLOOKUP($EZ12,$BI$2:$BL$15,3,FALSE),""))</f>
        <v/>
      </c>
      <c r="IM12" s="152">
        <f>IF($FA12="","",IFERROR(VLOOKUP($FA12,$BI$2:$BL$15,3,FALSE),""))</f>
        <v/>
      </c>
      <c r="IN12" s="152">
        <f>IF($FB12="","",IFERROR(VLOOKUP($FB12,$BI$2:$BL$15,3,FALSE),""))</f>
        <v/>
      </c>
      <c r="IO12" s="152">
        <f>CEILING(4.5*$FC12,1)&amp;" PE"</f>
        <v/>
      </c>
      <c r="IP12" s="152">
        <f>CEILING(4.5*$FD12,1)&amp;" PE"</f>
        <v/>
      </c>
      <c r="IQ12" s="152">
        <f>CEILING(4.5*$FE12,1)&amp;" PE"</f>
        <v/>
      </c>
      <c r="IR12" s="152">
        <f>INDEX($P$2:$P$8,$FC12)&amp;" pontos + "&amp;$FC12&amp;"d8"</f>
        <v/>
      </c>
      <c r="IS12" s="152">
        <f>INDEX($P$2:$P$8,$FD12)&amp;" pontos + "&amp;$FD12&amp;"d8"</f>
        <v/>
      </c>
      <c r="IT12" s="152">
        <f>INDEX($P$2:$P$8,$FE12)&amp;" pontos + "&amp;$FE12&amp;"d8"</f>
        <v/>
      </c>
      <c r="IU12" s="152">
        <f>IF($FI12&lt;17,"—",VLOOKUP($FI12,$CL$2:$CO$4,4,TRUE)&amp;" PE")</f>
        <v/>
      </c>
      <c r="IV12" s="152">
        <f>IF($FI12&lt;17,"Abre no nível 17",VLOOKUP($FI12,$CL$2:$CO$4,2,TRUE)&amp;" fixos · "&amp;VLOOKUP($FI12,$CL$2:$CO$4,3,TRUE)&amp;" pontos")</f>
        <v/>
      </c>
      <c r="IW12" s="152">
        <f>IF($FF12="Sem Barreiras",7,6)*$FJ12&amp;" PE"</f>
        <v/>
      </c>
      <c r="IX12" s="152">
        <f>"Acerto "&amp;$FJ12&amp;"d8"</f>
        <v/>
      </c>
      <c r="IY12" s="152">
        <f>IFERROR(VLOOKUP($FF12,$CQ$2:$CS$4,3,FALSE),"Escolha o degrau")</f>
        <v/>
      </c>
      <c r="IZ12" s="152">
        <f>11&amp;" · "&amp;IF($FG12=0,"vazia",$DA12&amp;" · nv "&amp;$FI12&amp;" · "&amp;$GB12&amp;"/"&amp;$FZ12)</f>
        <v/>
      </c>
      <c r="JB12" s="150" t="inlineStr">
        <is>
          <t>Invocação 11</t>
        </is>
      </c>
      <c r="JC12" s="152">
        <f>ADDRESS(ROW('INVOCAÇÕES'!D31),COLUMN('INVOCAÇÕES'!D31),4)</f>
        <v/>
      </c>
      <c r="JD12" s="152">
        <f>ADDRESS(ROW('INVOCAÇÕES'!AA801),COLUMN('INVOCAÇÕES'!AA801),4)</f>
        <v/>
      </c>
      <c r="JE12" s="150" t="inlineStr">
        <is>
          <t>DADOS_INVOC!$IZ$12</t>
        </is>
      </c>
      <c r="JG12" s="152">
        <f>IF(OR($AW12="",COUNTIF($EF$2:$EJ$2,$AW12)&gt;0),$AV12,"")</f>
        <v/>
      </c>
      <c r="JH12" s="152">
        <f>IF(AND($AX12=1,OR($AW12="",COUNTIF($EF$2:$EJ$2,$AW12)&gt;0)),$AV12,"")</f>
        <v/>
      </c>
      <c r="JM12" s="152">
        <f>IF(OR($AW12="",COUNTIF($EF$3:$EJ$3,$AW12)&gt;0),$AV12,"")</f>
        <v/>
      </c>
      <c r="JN12" s="152">
        <f>IF(AND($AX12=1,OR($AW12="",COUNTIF($EF$3:$EJ$3,$AW12)&gt;0)),$AV12,"")</f>
        <v/>
      </c>
      <c r="JS12" s="152">
        <f>IF(OR($AW12="",COUNTIF($EF$4:$EJ$4,$AW12)&gt;0),$AV12,"")</f>
        <v/>
      </c>
      <c r="JT12" s="152">
        <f>IF(AND($AX12=1,OR($AW12="",COUNTIF($EF$4:$EJ$4,$AW12)&gt;0)),$AV12,"")</f>
        <v/>
      </c>
      <c r="JY12" s="152">
        <f>IF(OR($AW12="",COUNTIF($EF$5:$EJ$5,$AW12)&gt;0),$AV12,"")</f>
        <v/>
      </c>
      <c r="JZ12" s="152">
        <f>IF(AND($AX12=1,OR($AW12="",COUNTIF($EF$5:$EJ$5,$AW12)&gt;0)),$AV12,"")</f>
        <v/>
      </c>
      <c r="KE12" s="152">
        <f>IF(OR($AW12="",COUNTIF($EF$6:$EJ$6,$AW12)&gt;0),$AV12,"")</f>
        <v/>
      </c>
      <c r="KF12" s="152">
        <f>IF(AND($AX12=1,OR($AW12="",COUNTIF($EF$6:$EJ$6,$AW12)&gt;0)),$AV12,"")</f>
        <v/>
      </c>
      <c r="KK12" s="152">
        <f>IF(OR($AW12="",COUNTIF($EF$7:$EJ$7,$AW12)&gt;0),$AV12,"")</f>
        <v/>
      </c>
      <c r="KL12" s="152">
        <f>IF(AND($AX12=1,OR($AW12="",COUNTIF($EF$7:$EJ$7,$AW12)&gt;0)),$AV12,"")</f>
        <v/>
      </c>
      <c r="KQ12" s="152">
        <f>IF(OR($AW12="",COUNTIF($EF$8:$EJ$8,$AW12)&gt;0),$AV12,"")</f>
        <v/>
      </c>
      <c r="KR12" s="152">
        <f>IF(AND($AX12=1,OR($AW12="",COUNTIF($EF$8:$EJ$8,$AW12)&gt;0)),$AV12,"")</f>
        <v/>
      </c>
      <c r="KW12" s="152">
        <f>IF(OR($AW12="",COUNTIF($EF$9:$EJ$9,$AW12)&gt;0),$AV12,"")</f>
        <v/>
      </c>
      <c r="KX12" s="152">
        <f>IF(AND($AX12=1,OR($AW12="",COUNTIF($EF$9:$EJ$9,$AW12)&gt;0)),$AV12,"")</f>
        <v/>
      </c>
      <c r="LC12" s="152">
        <f>IF(OR($AW12="",COUNTIF($EF$10:$EJ$10,$AW12)&gt;0),$AV12,"")</f>
        <v/>
      </c>
      <c r="LD12" s="152">
        <f>IF(AND($AX12=1,OR($AW12="",COUNTIF($EF$10:$EJ$10,$AW12)&gt;0)),$AV12,"")</f>
        <v/>
      </c>
      <c r="LI12" s="152">
        <f>IF(OR($AW12="",COUNTIF($EF$11:$EJ$11,$AW12)&gt;0),$AV12,"")</f>
        <v/>
      </c>
      <c r="LJ12" s="152">
        <f>IF(AND($AX12=1,OR($AW12="",COUNTIF($EF$11:$EJ$11,$AW12)&gt;0)),$AV12,"")</f>
        <v/>
      </c>
      <c r="LO12" s="152">
        <f>IF(OR($AW12="",COUNTIF($EF$12:$EJ$12,$AW12)&gt;0),$AV12,"")</f>
        <v/>
      </c>
      <c r="LP12" s="152">
        <f>IF(AND($AX12=1,OR($AW12="",COUNTIF($EF$12:$EJ$12,$AW12)&gt;0)),$AV12,"")</f>
        <v/>
      </c>
      <c r="LU12" s="152">
        <f>IF(OR($AW12="",COUNTIF($EF$13:$EJ$13,$AW12)&gt;0),$AV12,"")</f>
        <v/>
      </c>
      <c r="LV12" s="152">
        <f>IF(AND($AX12=1,OR($AW12="",COUNTIF($EF$13:$EJ$13,$AW12)&gt;0)),$AV12,"")</f>
        <v/>
      </c>
      <c r="MA12" s="150" t="inlineStr">
        <is>
          <t>Ficha 1 · Escolha da trilha 1</t>
        </is>
      </c>
      <c r="MB12" s="152" t="n">
        <v>1</v>
      </c>
      <c r="MC12" s="152" t="n">
        <v>2</v>
      </c>
      <c r="MD12" s="152" t="n">
        <v>0</v>
      </c>
      <c r="ME12" s="150" t="inlineStr">
        <is>
          <t>ESCOLHA DA TRILHA 1</t>
        </is>
      </c>
      <c r="MF12" s="152">
        <f>MAX(0,MIN(7,N('INVOCAÇÕES'!$I$160)))</f>
        <v/>
      </c>
      <c r="MG12" s="152">
        <f>'INVOCAÇÕES'!$J$160&amp;""</f>
        <v/>
      </c>
      <c r="MH12" s="152">
        <f>'INVOCAÇÕES'!$I$165&amp;""</f>
        <v/>
      </c>
      <c r="MI12" s="152">
        <f>'INVOCAÇÕES'!$I$166&amp;""</f>
        <v/>
      </c>
      <c r="MJ12" s="152">
        <f>'INVOCAÇÕES'!$K$166&amp;""</f>
        <v/>
      </c>
      <c r="MK12" s="152">
        <f>'INVOCAÇÕES'!$J$169&amp;""</f>
        <v/>
      </c>
      <c r="ML12" s="152">
        <f>'INVOCAÇÕES'!$J$170&amp;""</f>
        <v/>
      </c>
      <c r="MM12" s="152">
        <f>'INVOCAÇÕES'!$J$171&amp;""</f>
        <v/>
      </c>
      <c r="MN12" s="152">
        <f>'INVOCAÇÕES'!$J$172&amp;""</f>
        <v/>
      </c>
      <c r="MO12" s="152">
        <f>'INVOCAÇÕES'!$J$173&amp;""</f>
        <v/>
      </c>
      <c r="MP12" s="152">
        <f>'INVOCAÇÕES'!$J$174&amp;""</f>
        <v/>
      </c>
      <c r="MQ12" s="152">
        <f>IF($MG12&lt;&gt;"",1,0)</f>
        <v/>
      </c>
      <c r="MR12" s="152">
        <f>INDEX($FI$2:$FI$13,$MB12)</f>
        <v/>
      </c>
      <c r="MS12" s="152">
        <f>INDEX($FJ$2:$FJ$13,$MB12)</f>
        <v/>
      </c>
      <c r="MT12" s="152">
        <f>INDEX($FK$2:$FK$13,$MB12)</f>
        <v/>
      </c>
      <c r="MU12" s="152">
        <f>INDEX($FV$2:$FV$13,$MB12)</f>
        <v/>
      </c>
      <c r="MV12" s="152">
        <f>INDEX($FW$2:$FW$13,$MB12)</f>
        <v/>
      </c>
      <c r="MW12" s="152">
        <f>IFERROR(MATCH($MH12,$V$2:$V$11,0),0)</f>
        <v/>
      </c>
      <c r="MX12" s="152">
        <f>IFERROR(VLOOKUP($MK12,$AV$2:$BA$84,2,FALSE),"")</f>
        <v/>
      </c>
      <c r="MY12" s="152">
        <f>IFERROR(VLOOKUP($ML12,$AV$2:$BA$84,2,FALSE),"")</f>
        <v/>
      </c>
      <c r="MZ12" s="152">
        <f>IFERROR(VLOOKUP($MM12,$AV$2:$BA$84,2,FALSE),"")</f>
        <v/>
      </c>
      <c r="NA12" s="152">
        <f>IFERROR(VLOOKUP($MN12,$AV$2:$BA$84,2,FALSE),"")</f>
        <v/>
      </c>
      <c r="NB12" s="152">
        <f>IFERROR(VLOOKUP($MK12,$AV$2:$BA$84,3,FALSE),0)</f>
        <v/>
      </c>
      <c r="NC12" s="152">
        <f>IFERROR(VLOOKUP($ML12,$AV$2:$BA$84,3,FALSE),0)</f>
        <v/>
      </c>
      <c r="ND12" s="152">
        <f>IFERROR(VLOOKUP($MM12,$AV$2:$BA$84,3,FALSE),0)</f>
        <v/>
      </c>
      <c r="NE12" s="152">
        <f>IFERROR(VLOOKUP($MN12,$AV$2:$BA$84,3,FALSE),0)</f>
        <v/>
      </c>
      <c r="NF12" s="152">
        <f>IF($MF12=0,0,IF($MW12=0,0,INDEX($X$2:$X$11,$MW12)))</f>
        <v/>
      </c>
      <c r="NG12" s="152">
        <f>IF(OR($NB12=0,$MF12=0),0,$NB12+3*IF(AND($MX12&lt;&gt;"",OR($MX12=INDEX($EF$2:$EF$13,$MB12),$MX12=INDEX($EG$2:$EG$13,$MB12))),1,0))</f>
        <v/>
      </c>
      <c r="NH12" s="152">
        <f>IF(OR($NC12=0,$MF12=0),0,$NC12+3*IF(AND($MY12&lt;&gt;"",OR($MY12=INDEX($EF$2:$EF$13,$MB12),$MY12=INDEX($EG$2:$EG$13,$MB12))),1,0))</f>
        <v/>
      </c>
      <c r="NI12" s="152">
        <f>IF(OR($ND12=0,$MF12=0),0,$ND12+3*IF(AND($MZ12&lt;&gt;"",OR($MZ12=INDEX($EF$2:$EF$13,$MB12),$MZ12=INDEX($EG$2:$EG$13,$MB12))),1,0))</f>
        <v/>
      </c>
      <c r="NJ12" s="152">
        <f>IF(OR($NE12=0,$MF12=0),0,$NE12+3*IF(AND($NA12&lt;&gt;"",OR($NA12=INDEX($EF$2:$EF$13,$MB12),$NA12=INDEX($EG$2:$EG$13,$MB12))),1,0))</f>
        <v/>
      </c>
      <c r="NK12" s="152">
        <f>IF($MW12=0,0,IF(INDEX($W$2:$W$11,$MW12)="",0,IF(COUNTIF(INDEX($EF$2:$EJ$13,$MB12,0),INDEX($W$2:$W$11,$MW12))=0,1,0)))</f>
        <v/>
      </c>
      <c r="NL12" s="152">
        <f>IF(OR($NB12=0,$MX12=""),0,IF(COUNTIF(INDEX($EF$2:$EJ$13,$MB12,0),$MX12)=0,1,0))</f>
        <v/>
      </c>
      <c r="NM12" s="152">
        <f>IF(OR($NC12=0,$MY12=""),0,IF(COUNTIF(INDEX($EF$2:$EJ$13,$MB12,0),$MY12)=0,1,0))</f>
        <v/>
      </c>
      <c r="NN12" s="152">
        <f>IF(OR($ND12=0,$MZ12=""),0,IF(COUNTIF(INDEX($EF$2:$EJ$13,$MB12,0),$MZ12)=0,1,0))</f>
        <v/>
      </c>
      <c r="NO12" s="152">
        <f>IF(OR($NE12=0,$NA12=""),0,IF(COUNTIF(INDEX($EF$2:$EJ$13,$MB12,0),$NA12)=0,1,0))</f>
        <v/>
      </c>
      <c r="NP12" s="152">
        <f>IFERROR(VLOOKUP($MK12,$AV$2:$BA$84,4,FALSE),0)+IFERROR(VLOOKUP($ML12,$AV$2:$BA$84,4,FALSE),0)+IFERROR(VLOOKUP($MM12,$AV$2:$BA$84,4,FALSE),0)+IFERROR(VLOOKUP($MN12,$AV$2:$BA$84,4,FALSE),0)</f>
        <v/>
      </c>
      <c r="NQ12" s="152">
        <f>IFERROR(VLOOKUP($MK12,$AV$2:$BA$84,6,FALSE),0)+IFERROR(VLOOKUP($ML12,$AV$2:$BA$84,6,FALSE),0)+IFERROR(VLOOKUP($MM12,$AV$2:$BA$84,6,FALSE),0)+IFERROR(VLOOKUP($MN12,$AV$2:$BA$84,6,FALSE),0)</f>
        <v/>
      </c>
      <c r="NR12" s="152">
        <f>TEXTJOIN(", ",TRUE,IF(IFERROR(VLOOKUP($MK12,$AV$2:$BA$84,5,FALSE),0)=1,$MK12,""),IF(IFERROR(VLOOKUP($ML12,$AV$2:$BA$84,5,FALSE),0)=1,$ML12,""),IF(IFERROR(VLOOKUP($MM12,$AV$2:$BA$84,5,FALSE),0)=1,$MM12,""),IF(IFERROR(VLOOKUP($MN12,$AV$2:$BA$84,5,FALSE),0)=1,$MN12,""))</f>
        <v/>
      </c>
      <c r="NS12" s="152">
        <f>IF($MW12=0,0,INDEX($Y$2:$Y$11,$MW12))</f>
        <v/>
      </c>
      <c r="NT12" s="152">
        <f>IF($MW12=0,0,INDEX($Z$2:$Z$11,$MW12))</f>
        <v/>
      </c>
      <c r="NU12" s="152">
        <f>IF($MW12=0,0,INDEX($AB$2:$AB$11,$MW12))</f>
        <v/>
      </c>
      <c r="NV12" s="152">
        <f>IFERROR(VLOOKUP($MO12,$BC$2:$BG$24,3,FALSE),0)</f>
        <v/>
      </c>
      <c r="NW12" s="152">
        <f>IFERROR(VLOOKUP($MP12,$BC$2:$BG$24,3,FALSE),0)</f>
        <v/>
      </c>
      <c r="NX12" s="152">
        <f>IFERROR(VLOOKUP($MO12,$BC$2:$BG$24,2,FALSE),"")</f>
        <v/>
      </c>
      <c r="NY12" s="152">
        <f>IFERROR(VLOOKUP($MP12,$BC$2:$BG$24,2,FALSE),"")</f>
        <v/>
      </c>
      <c r="NZ12" s="152">
        <f>COUNTIF($NF12:$NJ12,1)</f>
        <v/>
      </c>
      <c r="OA12" s="152">
        <f>COUNTIF($NF12:$NJ12,2)</f>
        <v/>
      </c>
      <c r="OB12" s="152">
        <f>COUNTIF($NF12:$NJ12,3)</f>
        <v/>
      </c>
      <c r="OC12" s="152">
        <f>COUNTIF($NF12:$NJ12,4)</f>
        <v/>
      </c>
      <c r="OD12" s="152">
        <f>COUNTIF($NF12:$NJ12,5)</f>
        <v/>
      </c>
      <c r="OE12" s="152">
        <f>COUNTIF($NF12:$NJ12,6)</f>
        <v/>
      </c>
      <c r="OF12" s="152">
        <f>COUNTIF($NV12:$NW12,1)</f>
        <v/>
      </c>
      <c r="OG12" s="152">
        <f>COUNTIF($NV12:$NW12,2)+$NS12</f>
        <v/>
      </c>
      <c r="OH12" s="152">
        <f>COUNTIF($MK12:$MN12,"?*")</f>
        <v/>
      </c>
      <c r="OI12" s="152">
        <f>COUNTIF($MO12:$MP12,"?*")+$NS12</f>
        <v/>
      </c>
      <c r="OJ12" s="152">
        <f>IF($MF12=0,0,SUMPRODUCT($NZ12:$OE12,INDEX($I$2:$N$8,MAX(1,$MF12),0)))</f>
        <v/>
      </c>
      <c r="OK12" s="152">
        <f>IF($MF12=0,0,$OF12*CEILING($MF12/2,1)+$OG12*$MF12)</f>
        <v/>
      </c>
      <c r="OL12" s="152">
        <f>MIN(2*$MF12,$OK12)</f>
        <v/>
      </c>
      <c r="OM12" s="152">
        <f>MIN($OL12,$OJ12)</f>
        <v/>
      </c>
      <c r="ON12" s="152">
        <f>$OL12-$OM12</f>
        <v/>
      </c>
      <c r="OO12" s="152">
        <f>IF($MF12=0,0,INDEX($P$2:$P$8,MAX(1,$MF12)))</f>
        <v/>
      </c>
      <c r="OP12" s="152">
        <f>$OO12-$OJ12+$OM12</f>
        <v/>
      </c>
      <c r="OQ12" s="152">
        <f>IF($MF12=0,MAX(0,$MT12-IF($OH12&gt;0,1,0)),MAX(0,$OP12))</f>
        <v/>
      </c>
      <c r="OR12" s="152">
        <f>IF($MF12=0,0,(IF(COUNTIF($MK12:$MN12,"Salto")&gt;0,1,0)+IF(COUNTIF($MK12:$MN12,"Queima")&gt;0,1,0)+IF(COUNTIF($MK12:$MN12,"Estilhaço")&gt;0,1,0))*FLOOR($OQ12/2,1))</f>
        <v/>
      </c>
      <c r="OS12" s="152">
        <f>MAX(0,2-SUMPRODUCT($NZ12:$OE12,$I$2:$N$2)+MIN(2,$OF12*1+$OG12*1,SUMPRODUCT($NZ12:$OE12,$I$2:$N$2)))</f>
        <v/>
      </c>
      <c r="OT12" s="152">
        <f>MAX(0,4-SUMPRODUCT($NZ12:$OE12,$I$3:$N$3)+MIN(4,$OF12*1+$OG12*2,SUMPRODUCT($NZ12:$OE12,$I$3:$N$3)))</f>
        <v/>
      </c>
      <c r="OU12" s="152">
        <f>MAX(0,6-SUMPRODUCT($NZ12:$OE12,$I$4:$N$4)+MIN(6,$OF12*2+$OG12*3,SUMPRODUCT($NZ12:$OE12,$I$4:$N$4)))</f>
        <v/>
      </c>
      <c r="OV12" s="152">
        <f>MAX(0,9-SUMPRODUCT($NZ12:$OE12,$I$5:$N$5)+MIN(8,$OF12*2+$OG12*4,SUMPRODUCT($NZ12:$OE12,$I$5:$N$5)))</f>
        <v/>
      </c>
      <c r="OW12" s="152">
        <f>MAX(0,11-SUMPRODUCT($NZ12:$OE12,$I$6:$N$6)+MIN(10,$OF12*3+$OG12*5,SUMPRODUCT($NZ12:$OE12,$I$6:$N$6)))</f>
        <v/>
      </c>
      <c r="OX12" s="152">
        <f>MAX(0,13-SUMPRODUCT($NZ12:$OE12,$I$7:$N$7)+MIN(12,$OF12*3+$OG12*6,SUMPRODUCT($NZ12:$OE12,$I$7:$N$7)))</f>
        <v/>
      </c>
      <c r="OY12" s="152">
        <f>MAX(0,16-SUMPRODUCT($NZ12:$OE12,$I$8:$N$8)+MIN(14,$OF12*4+$OG12*7,SUMPRODUCT($NZ12:$OE12,$I$8:$N$8)))</f>
        <v/>
      </c>
      <c r="OZ12" s="152">
        <f>IF($NT12=2,3*$OS12&amp;" de vida temp.",IF($NT12=3,"sem dano",IF($OS12=0,IF($NT12=1,"sem cura","sem dano"),IF($NT12=1,"cura ","")&amp;$OS12&amp;"d8")))</f>
        <v/>
      </c>
      <c r="PA12" s="152">
        <f>IF($NT12=2,3*$OT12&amp;" de vida temp.",IF($NT12=3,"sem dano",IF($OT12=0,IF($NT12=1,"sem cura","sem dano"),IF($NT12=1,"cura ","")&amp;$OT12&amp;"d8")))</f>
        <v/>
      </c>
      <c r="PB12" s="152">
        <f>IF($NT12=2,3*$OU12&amp;" de vida temp.",IF($NT12=3,"sem dano",IF($OU12=0,IF($NT12=1,"sem cura","sem dano"),IF($NT12=1,"cura ","")&amp;$OU12&amp;"d8")))</f>
        <v/>
      </c>
      <c r="PC12" s="152">
        <f>IF($NT12=2,3*$OV12&amp;" de vida temp.",IF($NT12=3,"sem dano",IF($OV12=0,IF($NT12=1,"sem cura","sem dano"),IF($NT12=1,"cura ","")&amp;$OV12&amp;"d8")))</f>
        <v/>
      </c>
      <c r="PD12" s="152">
        <f>IF($NT12=2,3*$OW12&amp;" de vida temp.",IF($NT12=3,"sem dano",IF($OW12=0,IF($NT12=1,"sem cura","sem dano"),IF($NT12=1,"cura ","")&amp;$OW12&amp;"d8")))</f>
        <v/>
      </c>
      <c r="PE12" s="152">
        <f>IF($NT12=2,3*$OX12&amp;" de vida temp.",IF($NT12=3,"sem dano",IF($OX12=0,IF($NT12=1,"sem cura","sem dano"),IF($NT12=1,"cura ","")&amp;$OX12&amp;"d8")))</f>
        <v/>
      </c>
      <c r="PF12" s="152">
        <f>IF($NT12=2,3*$OY12&amp;" de vida temp.",IF($NT12=3,"sem dano",IF($OY12=0,IF($NT12=1,"sem cura","sem dano"),IF($NT12=1,"cura ","")&amp;$OY12&amp;"d8")))</f>
        <v/>
      </c>
      <c r="PG12" s="152">
        <f>IF($MQ12=0,"",TEXTJOIN(" · ",TRUE,IF($MD12&gt;$MR12,"Este lugar abre no nível "&amp;$MD12,""),IF($MF12&gt;$MS12,"Classe "&amp;$MF12&amp;": o nível "&amp;$MR12&amp;" libera até a "&amp;$MS12,""),IF($NK12=1,"A Forma "&amp;$MH12&amp;" pede "&amp;INDEX($W$2:$W$11,$MW12)&amp;" aberta",""),IF(AND($MF12=0,$MW12&gt;0,IF($MW12=0,0,INDEX($AF$2:$AF$11,$MW12))=0),$MH12&amp;" não existe na Classe 0",""),IF($NL12=1,"Família Fechada: "&amp;$MK12,""),IF($NM12=1,"Família Fechada: "&amp;$ML12,""),IF($NN12=1,"Família Fechada: "&amp;$MM12,""),IF($NO12=1,"Família Fechada: "&amp;$MN12,""),IF(AND($MF12&gt;0,$OH12&gt;INDEX($O$2:$O$8,MAX(1,$MF12))),$OH12&amp;" Melhorias: a Classe "&amp;$MF12&amp;" aceita "&amp;INDEX($O$2:$O$8,MAX(1,$MF12)),""),IF(AND($MF12=0,$OH12&gt;1),"A básica aceita uma Melhoria",""),IF(AND($MF12=0,COUNTIF($NB12:$NE12,"&gt;1")&gt;0),"A básica só aceita Melhoria Leve",""),IF(AND($MF12&gt;0,$OI12&gt;2),$OI12&amp;" Restrições"&amp;IF($NS12=1,", contando a que a Forma "&amp;$MH12&amp;" já traz","")&amp;": o limite é 2",""),IF(AND($MF12=0,COUNTIF($MO12:$MP12,"?*")&gt;1),"A básica aceita uma Restrição Leve",""),IF(AND($MF12=0,COUNTIF($NV12:$NW12,2)&gt;0),"A básica só aceita Restrição Leve",""),IF(AND($MF12&gt;0,$OP12&lt;0),"Orçamento estourado: faltam "&amp;(-$OP12)&amp;IF($OP12&lt;-1," pontos"," ponto"),""),IF(IFERROR(VLOOKUP($MO12,$BC$2:$BG$24,4,FALSE),0)+IFERROR(VLOOKUP($MP12,$BC$2:$BG$24,4,FALSE),0)&gt;1,$NX12&amp;" e "&amp;$NY12&amp;" são as duas de frequência",""),IF(AND((COUNTIF($MK12:$MN12,"Rápido")+COUNTIF($NX12:$NY12,"Rápido"))&gt;0,(COUNTIF($MK12:$MN12,"Atrasar")+COUNTIF($NX12:$NY12,"Atrasar"))&gt;0),"Rápido não entra com Atrasar",""),IF(AND((COUNTIF($MK12:$MN12,"Reação")+COUNTIF($NX12:$NY12,"Reação"))&gt;0,(COUNTIF($MK12:$MN12,"Rápido")+COUNTIF($NX12:$NY12,"Rápido"))&gt;0),"Reação não entra com Rápido",""),IF(AND((COUNTIF($MK12:$MN12,"Reação")+COUNTIF($NX12:$NY12,"Reação"))&gt;0,(COUNTIF($MK12:$MN12,"Armado")+COUNTIF($NX12:$NY12,"Armado"))&gt;0),"Reação não entra com Armado",""),IF(AND((COUNTIF($MK12:$MN12,"Reação")+COUNTIF($NX12:$NY12,"Reação"))&gt;0,(COUNTIF($MK12:$MN12,"Atrasar")+COUNTIF($NX12:$NY12,"Atrasar"))&gt;0),"Reação não entra com Atrasar",""),IF(AND((COUNTIF($MK12:$MN12,"Reação")+COUNTIF($NX12:$NY12,"Reação"))&gt;0,(COUNTIF($MK12:$MN12,"Parado")+COUNTIF($NX12:$NY12,"Parado"))&gt;0),"Reação não entra com Parado",""),IF(AND((COUNTIF($MK12:$MN12,"Atrasar")+COUNTIF($NX12:$NY12,"Atrasar"))&gt;0,(COUNTIF($MK12:$MN12,"Parado")+COUNTIF($NX12:$NY12,"Parado"))&gt;0),"Atrasar não entra com Parado",""),IF(AND((COUNTIF($MK12:$MN12,"Armado")+COUNTIF($NX12:$NY12,"Armado"))&gt;0,(COUNTIF($MK12:$MN12,"Carregar")+COUNTIF($NX12:$NY12,"Carregar"))&gt;0),"Armado não entra com Carregar",""),IF(AND(COUNTIF($NX12:$NY12,"Corpo a Corpo")&gt;0,$NS12=0,OR($MH12="Cone",$MH12="Linha")),"Corpo a Corpo não entra em "&amp;$MH12,""),IF(AND(COUNTIF($NX12:$NY12,"Corpo a Corpo")&gt;0,$NS12=1),"A Forma "&amp;$MH12&amp;" já traz o Corpo a Corpo",""),IF(AND(COUNTIF($NX12:$NY12,"Tudo ou Nada")&gt;0,$NU12=0),"Tudo ou Nada só entra em habilidade de Teste de Resistência",""),IF(AND(COUNTIF($MK12:$MN12,"Inescapável")&gt;0,OR($OH12&gt;1,$OI12&gt;0)),"Inescapável não aceita outra peça",""),IF(AND($MF12&gt;0,$OQ12*IF(COUNTIF($MK12:$MN12,"Remate")&gt;0,1.25,1)+$OR12&gt;4*$MF12),($OQ12*IF(COUNTIF($MK12:$MN12,"Remate")&gt;0,1.25,1)+$OR12)&amp;" dados somando repetições"&amp;IF(COUNTIF($MK12:$MN12,"Remate")&gt;0," e o Remate","")&amp;": o teto da Classe "&amp;$MF12&amp;" é "&amp;4*$MF12,"")))</f>
        <v/>
      </c>
      <c r="PH12" s="152">
        <f>IF($PG12="",0,(LEN($PG12)-LEN(SUBSTITUTE($PG12," · ","")))/3+1)</f>
        <v/>
      </c>
      <c r="PI12" s="152">
        <f>IF($MQ12=0,"",TEXTJOIN(" · ",TRUE,IF($OK12&gt;2*$MF12,"A devolução parou no teto de "&amp;2*$MF12,""),IF($ON12&gt;0,"Devolução perdida: "&amp;$ON12&amp;IF($ON12&gt;1," pontos"," ponto")&amp;" sem peça para pagar",""),IF(AND($NP12&gt;0,AND($MF12&gt;0,$NT12=0),$OQ12=0),"Controle sem dano: uma rodada a mais e CD +2",""),IF(AND($NP12&gt;0,AND($MF12&gt;0,$NT12=0),$OQ12&gt;0,$OQ12&lt;=$MF12),"Controle com saldo até a Classe: uma rodada a mais",""),IF(AND($MF12&gt;0,$NR12&lt;&gt;""),"Efeito de "&amp;$NR12&amp;" pela Classe "&amp;MAX(1,$MF12-1),"")))</f>
        <v/>
      </c>
      <c r="PJ12" s="152">
        <f>IF($PI12="",0,(LEN($PI12)-LEN(SUBSTITUTE($PI12," · ","")))/3+1)</f>
        <v/>
      </c>
      <c r="PK12" s="152">
        <f>IF($MQ12=0,IF($OH12+COUNTIF($MO12:$MP12,"?*")&gt;0,"Dê um nome",""),IF($PH12&gt;0,"⚠ "&amp;$PH12&amp;IF($PH12&gt;1," erros"," erro"),IF($PJ12&gt;0,"! "&amp;$PJ12&amp;IF($PJ12&gt;1," avisos"," aviso"),"Na regra")))</f>
        <v/>
      </c>
      <c r="PL12" s="152">
        <f>IF($MQ12=0,"",IF($PH12+$PJ12=0,"Dentro das regras que a ficha confere",$PG12&amp;IF(AND($PH12&gt;0,$PJ12&gt;0)," · ","")&amp;$PI12))</f>
        <v/>
      </c>
      <c r="PM12" s="152">
        <f>IF($MD12&gt;$MR12,$ME12&amp;" · ABRE NO NÍVEL "&amp;$MD12,$ME12)</f>
        <v/>
      </c>
      <c r="PN12" s="152">
        <f>IF($MQ12=0,"",IF($MF12=0,"Sem PE",3*$MF12&amp;" PE"))</f>
        <v/>
      </c>
      <c r="PO12" s="152">
        <f>IF($MQ12=0,"",IF($MF12=0,"A atuação básica dela",IF(COUNTIF($NX12:$NY12,"Atrasar")&gt;0,"Sua Ação Completa",IF(COUNTIF($MK12:$MN12,"Rápido")&gt;0,"Sua Bônus",IF(COUNTIF($MK12:$MN12,"Reação")&gt;0,"Sua Reação","Sua Padrão")))&amp;" + a básica dela"&amp;IF(COUNTIF($MK12:$MN12,"Reação")&gt;0," e a coletiva","")&amp;IF(COUNTIF($NX12:$NY12,"Carregar")&gt;0," · em dois turnos","")))</f>
        <v/>
      </c>
      <c r="PP12" s="152">
        <f>IF($MJ12&lt;&gt;"",$MJ12,IF($MW12=0,"",INDEX($AA$2:$AA$11,$MW12)))</f>
        <v/>
      </c>
      <c r="PQ12" s="152">
        <f>IF(OR($MQ12=0,$MW12=0),"",IF(COUNTIF($MK12:$MN12,"Inescapável")&gt;0,"Automático",IF($PP12="Ataque",IF($MU12="","Ataque","Ataque "&amp;IF(($MU12+2*IF(COUNTIF($MK12:$MN12,"Precisão")&gt;0,1,0))&gt;=0,"+","−")&amp;ABS(($MU12+2*IF(COUNTIF($MK12:$MN12,"Precisão")&gt;0,1,0))))&amp;IF($NQ12&gt;0," · TR"&amp;IF($MV12="",""," CD "&amp;$MV12),""),IF(LEFT($PP12,2)="TR",$PP12&amp;IF($MV12="",""," · CD "&amp;$MV12)&amp;IF(COUNTIF($MK12:$MN12,"Certeiro")&gt;0," · metade",""),"Sem rolagem"))))</f>
        <v/>
      </c>
      <c r="PR12" s="152">
        <f>IF(OR($MQ12=0,$MW12=0),"",IF($MF12=0,IF(OR($NT12&gt;=1,$OQ12=0),"Sem dano",$OQ12&amp;"d6"&amp;IF($MI12="",""," "&amp;$MI12)),IF(OR($NT12&gt;=1,$OQ12=0),UPPER(LEFT(INDEX($OZ12:$PF12,1,MAX(1,$MF12)),1))&amp;MID(INDEX($OZ12:$PF12,1,MAX(1,$MF12)),2,99),UPPER(LEFT(INDEX($OZ12:$PF12,1,MAX(1,$MF12)),1))&amp;MID(INDEX($OZ12:$PF12,1,MAX(1,$MF12)),2,99)&amp;IF($MI12="",""," "&amp;$MI12)&amp;IF($OR12&gt;0," · +"&amp;$OR12&amp;"d8",""))))</f>
        <v/>
      </c>
      <c r="PS12" s="152">
        <f>COUNTIF($MK12:$MN12,"Longe")+3*COUNTIF($MK12:$MN12,"Muito Longe")</f>
        <v/>
      </c>
      <c r="PT12" s="152">
        <f>COUNTIF($MK12:$MN12,"Maior")+3*COUNTIF($MK12:$MN12,"Muito Maior")</f>
        <v/>
      </c>
      <c r="PU12" s="152">
        <f>IF($MW12=0,0,CHOOSE(1+INDEX($AC$2:$AC$11,$MW12),0,$PS12,$PT12,$PS12+$PT12))</f>
        <v/>
      </c>
      <c r="PV12" s="152">
        <f>IF($MW12=0,0,CHOOSE(1+INDEX($AD$2:$AD$11,$MW12),0,$PS12,$PT12,$PS12+$PT12))</f>
        <v/>
      </c>
      <c r="PW12" s="152">
        <f>IF(OR($MQ12=0,$MW12=0),"",INDEX($AI$2:$AN$41,($MW12-1)*4+IF($MF12=0,1,IF($MF12&lt;=5,2,IF($MF12=6,3,4))),1+MIN(5,$PU12))&amp;INDEX($AO$2:$AT$41,($MW12-1)*4+IF($MF12=0,1,IF($MF12&lt;=5,2,IF($MF12=6,3,4))),1+MIN(5,$PV12))&amp;IF(INDEX($AE$2:$AE$11,$MW12)=1,IF(COUNTIF($MK12:$MN12,"Mais Um")&gt;0," · +"&amp;COUNTIF($MK12:$MN12,"Mais Um")&amp;IF(COUNTIF($MK12:$MN12,"Mais Um")&gt;1," alvos"," alvo"),"")&amp;IF(COUNTIF($MK12:$MN12,"Rajada")&gt;0,IF($MF12=0," · 1 tiro"," · "&amp;(MAX(1,$MF12-1)+1)&amp;" tiros"),""),""))</f>
        <v/>
      </c>
      <c r="PX12" s="152">
        <f>IF($MQ12=0,"",IF($MF12=0,$MT12&amp;"d6"&amp;IF($OH12&gt;0," − 1 = "&amp;$OQ12&amp;"d6"," da básica do nível "&amp;$MR12),$OO12&amp;" − "&amp;$OJ12&amp;" + "&amp;$OM12&amp;" = "&amp;$OP12&amp;" · teto "&amp;4*$MF12&amp;"d8"&amp;IF($NS12=1," · a Forma devolve "&amp;$MF12,"")&amp;IF($ON12&gt;0," · perde "&amp;$ON12,"")))</f>
        <v/>
      </c>
      <c r="PY12" s="152">
        <f>IF($MQ12=0,"",IF($MF12=0,"A básica não amplia: os dados dela sobem com o nível",IF($MF12&gt;=$MS12,"Já está na maior Classe que o nível liberou",TEXTJOIN(" · ",TRUE,IF(AND(2&gt;$MF12,2&lt;=$MS12),"2 → "&amp;$PA12&amp;", 6 PE",""),IF(AND(3&gt;$MF12,3&lt;=$MS12),"3 → "&amp;$PB12&amp;", 9 PE",""),IF(AND(4&gt;$MF12,4&lt;=$MS12),"4 → "&amp;$PC12&amp;", 12 PE",""),IF(AND(5&gt;$MF12,5&lt;=$MS12),"5 → "&amp;$PD12&amp;", 15 PE",""),IF(AND(6&gt;$MF12,6&lt;=$MS12),"6 → "&amp;$PE12&amp;", 18 PE",""),IF(AND(7&gt;$MF12,7&lt;=$MS12),"7 → "&amp;$PF12&amp;", 21 PE","")))))</f>
        <v/>
      </c>
      <c r="PZ12" s="152">
        <f>IF(OR($MQ12=0,$NB12=0),"",IF($MF12=0,"−1 dado","−"&amp;INDEX($I$2:$N$8,MAX(1,$MF12),MAX(1,$NG12))&amp;" · "&amp;CHOOSE(MAX(1,$NG12),"Leve","Média","Pesada","Leve · Livre","Média · Livre","Pesada · Livre")))</f>
        <v/>
      </c>
      <c r="QA12" s="152">
        <f>IF(OR($MQ12=0,$NC12=0),"",IF($MF12=0,"−1 dado","−"&amp;INDEX($I$2:$N$8,MAX(1,$MF12),MAX(1,$NH12))&amp;" · "&amp;CHOOSE(MAX(1,$NH12),"Leve","Média","Pesada","Leve · Livre","Média · Livre","Pesada · Livre")))</f>
        <v/>
      </c>
      <c r="QB12" s="152">
        <f>IF(OR($MQ12=0,$ND12=0),"",IF($MF12=0,"−1 dado","−"&amp;INDEX($I$2:$N$8,MAX(1,$MF12),MAX(1,$NI12))&amp;" · "&amp;CHOOSE(MAX(1,$NI12),"Leve","Média","Pesada","Leve · Livre","Média · Livre","Pesada · Livre")))</f>
        <v/>
      </c>
      <c r="QC12" s="152">
        <f>IF(OR($MQ12=0,$NE12=0),"",IF($MF12=0,"−1 dado","−"&amp;INDEX($I$2:$N$8,MAX(1,$MF12),MAX(1,$NJ12))&amp;" · "&amp;CHOOSE(MAX(1,$NJ12),"Leve","Média","Pesada","Leve · Livre","Média · Livre","Pesada · Livre")))</f>
        <v/>
      </c>
      <c r="QD12" s="152">
        <f>IF(OR($MQ12=0,$MO12=""),"",IF($MF12=0,"não devolve","+"&amp;IF($NV12=1,CEILING($MF12/2,1),$MF12)))</f>
        <v/>
      </c>
      <c r="QE12" s="152">
        <f>IF(OR($MQ12=0,$MP12=""),"",IF($MF12=0,"não devolve","+"&amp;IF($NW12=1,CEILING($MF12/2,1),$MF12)))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A13" s="152" t="n">
        <v>0</v>
      </c>
      <c r="BC13" s="150" t="inlineStr">
        <is>
          <t>Frágil</t>
        </is>
      </c>
      <c r="BD13" s="150" t="inlineStr">
        <is>
          <t>Frágil</t>
        </is>
      </c>
      <c r="BE13" s="152" t="n">
        <v>1</v>
      </c>
      <c r="BF13" s="152" t="n">
        <v>0</v>
      </c>
      <c r="BG13" s="150" t="inlineStr">
        <is>
          <t>Frágil</t>
        </is>
      </c>
      <c r="BI13" s="150" t="inlineStr">
        <is>
          <t>Afinidade</t>
        </is>
      </c>
      <c r="BJ13" s="152" t="n">
        <v>3</v>
      </c>
      <c r="BK13" s="150" t="inlineStr">
        <is>
          <t>Escolha um tema presente na Regra da sua técnica. Seus feitiços desse tema ignoram cobertura Parcial e resistência ao tipo de dano que causam.</t>
        </is>
      </c>
      <c r="BL13" s="150" t="inlineStr"/>
      <c r="CA13" s="150" t="inlineStr">
        <is>
          <t>Medicina</t>
        </is>
      </c>
      <c r="CB13" s="150" t="inlineStr">
        <is>
          <t>Inteligência</t>
        </is>
      </c>
      <c r="CF13" s="150" t="inlineStr">
        <is>
          <t>Psíquico</t>
        </is>
      </c>
      <c r="CZ13" s="152" t="n">
        <v>12</v>
      </c>
      <c r="DA13" s="152">
        <f>'INVOCAÇÕES'!$AB$1003&amp;""</f>
        <v/>
      </c>
      <c r="DB13" s="152">
        <f>'INVOCAÇÕES'!$AB$1033&amp;""</f>
        <v/>
      </c>
      <c r="DC13" s="152">
        <f>'INVOCAÇÕES'!$AB$1037&amp;""</f>
        <v/>
      </c>
      <c r="DD13" s="152">
        <f>N('INVOCAÇÕES'!$AD$1037)</f>
        <v/>
      </c>
      <c r="DE13" s="152">
        <f>'INVOCAÇÕES'!$AE$1037&amp;""</f>
        <v/>
      </c>
      <c r="DF13" s="152">
        <f>N('INVOCAÇÕES'!$AH$1010)</f>
        <v/>
      </c>
      <c r="DG13" s="152">
        <f>N('INVOCAÇÕES'!$AI$1010)</f>
        <v/>
      </c>
      <c r="DH13" s="152">
        <f>N('INVOCAÇÕES'!$AJ$1010)</f>
        <v/>
      </c>
      <c r="DI13" s="152">
        <f>N('INVOCAÇÕES'!$AK$1010)</f>
        <v/>
      </c>
      <c r="DJ13" s="152">
        <f>N('INVOCAÇÕES'!$AL$1010)</f>
        <v/>
      </c>
      <c r="DK13" s="152">
        <f>N('INVOCAÇÕES'!$AH$1011)</f>
        <v/>
      </c>
      <c r="DL13" s="152">
        <f>N('INVOCAÇÕES'!$AI$1011)</f>
        <v/>
      </c>
      <c r="DM13" s="152">
        <f>N('INVOCAÇÕES'!$AJ$1011)</f>
        <v/>
      </c>
      <c r="DN13" s="152">
        <f>N('INVOCAÇÕES'!$AK$1011)</f>
        <v/>
      </c>
      <c r="DO13" s="152">
        <f>N('INVOCAÇÕES'!$AL$1011)</f>
        <v/>
      </c>
      <c r="DP13" s="152">
        <f>'INVOCAÇÕES'!$AH$1024&amp;""</f>
        <v/>
      </c>
      <c r="DQ13" s="152">
        <f>'INVOCAÇÕES'!$AK$1024&amp;""</f>
        <v/>
      </c>
      <c r="DR13" s="152">
        <f>'INVOCAÇÕES'!$AL$1019&amp;""</f>
        <v/>
      </c>
      <c r="DS13" s="152">
        <f>N('INVOCAÇÕES'!$AH$1016)</f>
        <v/>
      </c>
      <c r="DT13" s="152">
        <f>N('INVOCAÇÕES'!$AI$1016)</f>
        <v/>
      </c>
      <c r="DU13" s="152">
        <f>N('INVOCAÇÕES'!$AJ$1016)</f>
        <v/>
      </c>
      <c r="DV13" s="152">
        <f>N('INVOCAÇÕES'!$AK$1016)</f>
        <v/>
      </c>
      <c r="DW13" s="152">
        <f>N('INVOCAÇÕES'!$AL$1016)</f>
        <v/>
      </c>
      <c r="DX13" s="152">
        <f>N('INVOCAÇÕES'!$AH$1021)</f>
        <v/>
      </c>
      <c r="DY13" s="152">
        <f>N('INVOCAÇÕES'!$AI$1021)</f>
        <v/>
      </c>
      <c r="DZ13" s="152">
        <f>N('INVOCAÇÕES'!$AJ$1021)</f>
        <v/>
      </c>
      <c r="EA13" s="152">
        <f>N('INVOCAÇÕES'!$AK$1021)</f>
        <v/>
      </c>
      <c r="EB13" s="152">
        <f>'INVOCAÇÕES'!$AN$1003&amp;""</f>
        <v/>
      </c>
      <c r="EC13" s="152">
        <f>N('INVOCAÇÕES'!$AP$1003)</f>
        <v/>
      </c>
      <c r="ED13" s="152">
        <f>'INVOCAÇÕES'!$AR$1003&amp;""</f>
        <v/>
      </c>
      <c r="EE13" s="152">
        <f>SUM('INVOCAÇÕES'!$AR$1023:'INVOCAÇÕES'!$AR$1025,'INVOCAÇÕES'!$AR$1027:'INVOCAÇÕES'!$AR$1032)</f>
        <v/>
      </c>
      <c r="EF13" s="152">
        <f>'INVOCAÇÕES'!$AH$1038&amp;""</f>
        <v/>
      </c>
      <c r="EG13" s="152">
        <f>'INVOCAÇÕES'!$AI$1038&amp;""</f>
        <v/>
      </c>
      <c r="EH13" s="152">
        <f>'INVOCAÇÕES'!$AJ$1038&amp;""</f>
        <v/>
      </c>
      <c r="EI13" s="152">
        <f>'INVOCAÇÕES'!$AK$1038&amp;""</f>
        <v/>
      </c>
      <c r="EJ13" s="152">
        <f>'INVOCAÇÕES'!$AL$1038&amp;""</f>
        <v/>
      </c>
      <c r="EK13" s="152">
        <f>'INVOCAÇÕES'!$AH$1028&amp;""</f>
        <v/>
      </c>
      <c r="EL13" s="152">
        <f>'INVOCAÇÕES'!$AH$1029&amp;""</f>
        <v/>
      </c>
      <c r="EM13" s="152">
        <f>'INVOCAÇÕES'!$AH$1030&amp;""</f>
        <v/>
      </c>
      <c r="EN13" s="152">
        <f>'INVOCAÇÕES'!$AH$1031&amp;""</f>
        <v/>
      </c>
      <c r="EO13" s="152">
        <f>'INVOCAÇÕES'!$AH$1032&amp;""</f>
        <v/>
      </c>
      <c r="EP13" s="152">
        <f>'INVOCAÇÕES'!$AH$1033&amp;""</f>
        <v/>
      </c>
      <c r="EQ13" s="152">
        <f>'INVOCAÇÕES'!$AH$1034&amp;""</f>
        <v/>
      </c>
      <c r="ER13" s="152">
        <f>'INVOCAÇÕES'!$AC$1070&amp;""</f>
        <v/>
      </c>
      <c r="ES13" s="152">
        <f>'INVOCAÇÕES'!$AC$1071&amp;""</f>
        <v/>
      </c>
      <c r="ET13" s="152">
        <f>'INVOCAÇÕES'!$AC$1072&amp;""</f>
        <v/>
      </c>
      <c r="EU13" s="152">
        <f>'INVOCAÇÕES'!$AC$1073&amp;""</f>
        <v/>
      </c>
      <c r="EV13" s="152">
        <f>'INVOCAÇÕES'!$AC$1074&amp;""</f>
        <v/>
      </c>
      <c r="EW13" s="152">
        <f>'INVOCAÇÕES'!$AC$1075&amp;""</f>
        <v/>
      </c>
      <c r="EX13" s="152">
        <f>'INVOCAÇÕES'!$AC$1076&amp;""</f>
        <v/>
      </c>
      <c r="EY13" s="152">
        <f>'INVOCAÇÕES'!$AC$1077&amp;""</f>
        <v/>
      </c>
      <c r="EZ13" s="152">
        <f>'INVOCAÇÕES'!$AC$1172&amp;""</f>
        <v/>
      </c>
      <c r="FA13" s="152">
        <f>'INVOCAÇÕES'!$AC$1173&amp;""</f>
        <v/>
      </c>
      <c r="FB13" s="152">
        <f>'INVOCAÇÕES'!$AC$1174&amp;""</f>
        <v/>
      </c>
      <c r="FC13" s="152">
        <f>MAX(3,MIN(7,N('INVOCAÇÕES'!$AB$1179)))</f>
        <v/>
      </c>
      <c r="FD13" s="152">
        <f>MAX(3,MIN(7,N('INVOCAÇÕES'!$AH$1179)))</f>
        <v/>
      </c>
      <c r="FE13" s="152">
        <f>MAX(3,MIN(7,N('INVOCAÇÕES'!$AN$1179)))</f>
        <v/>
      </c>
      <c r="FF13" s="152">
        <f>'INVOCAÇÕES'!$AH$1193&amp;""</f>
        <v/>
      </c>
      <c r="FG13" s="152">
        <f>IF($DA13&lt;&gt;"",1,0)</f>
        <v/>
      </c>
      <c r="FH13" s="152">
        <f>IFERROR(VLOOKUP($DC13,$BP$2:$BQ$5,2,FALSE),1)</f>
        <v/>
      </c>
      <c r="FI13" s="152">
        <f>IF($FH13=1,$CX$2,MAX(1,MIN($CX$2,IF($DD13=0,$CX$2,$DD13))))</f>
        <v/>
      </c>
      <c r="FJ13" s="152">
        <f>VLOOKUP(MAX(1,$FI13),$A$2:$D$8,2,TRUE)</f>
        <v/>
      </c>
      <c r="FK13" s="152">
        <f>VLOOKUP(MAX(1,$FI13),$A$2:$D$8,3,TRUE)</f>
        <v/>
      </c>
      <c r="FL13" s="152">
        <f>$DF13+$DK13</f>
        <v/>
      </c>
      <c r="FM13" s="152">
        <f>$DG13+$DL13</f>
        <v/>
      </c>
      <c r="FN13" s="152">
        <f>$DH13+$DM13</f>
        <v/>
      </c>
      <c r="FO13" s="152">
        <f>$DI13+$DN13</f>
        <v/>
      </c>
      <c r="FP13" s="152">
        <f>$DJ13+$DO13</f>
        <v/>
      </c>
      <c r="FQ13" s="152">
        <f>SUM($DF13:$DJ13)</f>
        <v/>
      </c>
      <c r="FR13" s="152">
        <f>9+$FS13</f>
        <v/>
      </c>
      <c r="FS13" s="152">
        <f>COUNTIF($F$2:$F$8,"&lt;="&amp;$FI13)</f>
        <v/>
      </c>
      <c r="FT13" s="152">
        <f>MAX(0,$DF13-3)+MAX(0,$DG13-3)+MAX(0,$DH13-3)+MAX(0,$DI13-3)+MAX(0,$DJ13-3)</f>
        <v/>
      </c>
      <c r="FU13" s="152">
        <f>IFERROR(INDEX($FL13:$FP13,1,MATCH($DP13,$BU$2:$BU$6,0)),"")</f>
        <v/>
      </c>
      <c r="FV13" s="152">
        <f>IF($FU13="","",$FU13+$CX$3+$DS13)</f>
        <v/>
      </c>
      <c r="FW13" s="152">
        <f>IF($FU13="","",8+$FU13+$CX$3+$DT13)</f>
        <v/>
      </c>
      <c r="FX13" s="152">
        <f>10+$FM13+$CX$7+$DU13</f>
        <v/>
      </c>
      <c r="FY13" s="152">
        <f>IF($DB13="Corpo amaldiçoado de criação",1,0)</f>
        <v/>
      </c>
      <c r="FZ13" s="152">
        <f>5+$FN13+(3+$FY13+$FN13)*($FI13-1)+$DV13</f>
        <v/>
      </c>
      <c r="GA13" s="152">
        <f>IF($FG13=0,"",$FZ13)</f>
        <v/>
      </c>
      <c r="GB13" s="152">
        <f>IF($EB13="",$FZ13,MAX(0,MIN(IFERROR(VALUE($EB13),$FZ13),$FZ13)))</f>
        <v/>
      </c>
      <c r="GC13" s="152">
        <f>9+$DW13</f>
        <v/>
      </c>
      <c r="GD13" s="152">
        <f>IF($DQ13="Destreza",$FM13,$FL13)</f>
        <v/>
      </c>
      <c r="GE13" s="152">
        <f>$GD13+IF($DR13="Físico",$CX$3,0)+$DX13</f>
        <v/>
      </c>
      <c r="GF13" s="152">
        <f>$FN13+IF($DR13="Vigor",$CX$3,0)+$DY13</f>
        <v/>
      </c>
      <c r="GG13" s="152">
        <f>$FO13+IF($DR13="Intelecto",$CX$3,0)+$DZ13</f>
        <v/>
      </c>
      <c r="GH13" s="152">
        <f>$FP13+IF($DR13="Espírito",$CX$3,0)+$EA13</f>
        <v/>
      </c>
      <c r="GI13" s="152">
        <f>4+INT($DI13/2)</f>
        <v/>
      </c>
      <c r="GJ13" s="152">
        <f>COUNTIF($EK13:$EQ13,"?*")</f>
        <v/>
      </c>
      <c r="GK13" s="152">
        <f>INT((2+$FI13/2)/2)</f>
        <v/>
      </c>
      <c r="GL13" s="152">
        <f>IF($FI13&gt;=11,2,1)</f>
        <v/>
      </c>
      <c r="GM13" s="152">
        <f>1+$FS13</f>
        <v/>
      </c>
      <c r="GN13" s="152">
        <f>COUNTIF($ER13:$EY13,"?*")</f>
        <v/>
      </c>
      <c r="GO13" s="152">
        <f>IF(AND($DB13="Shikigami de criação",$DE13="Com carga"),MAX(1,CEILING($FJ13/2,1)),$FJ13)</f>
        <v/>
      </c>
      <c r="GP13" s="152">
        <f>$FJ13+$GO13</f>
        <v/>
      </c>
      <c r="GQ13" s="152">
        <f>$FI13*(1+INT($DJ13/3))</f>
        <v/>
      </c>
      <c r="GR13" s="152">
        <f>5+$FL13</f>
        <v/>
      </c>
      <c r="GS13" s="152">
        <f>COUNTIF($EF13:$EJ13,"?*")</f>
        <v/>
      </c>
      <c r="GT13" s="152">
        <f>IF($EF13="",0,IF(COUNTIF($EF13:$EJ13,$EF13)&gt;1,1,0))+IF($EG13="",0,IF(COUNTIF($EF13:$EJ13,$EG13)&gt;1,1,0))+IF($EH13="",0,IF(COUNTIF($EF13:$EJ13,$EH13)&gt;1,1,0))+IF($EI13="",0,IF(COUNTIF($EF13:$EJ13,$EI13)&gt;1,1,0))+IF($EJ13="",0,IF(COUNTIF($EF13:$EJ13,$EJ13)&gt;1,1,0))</f>
        <v/>
      </c>
      <c r="GU13" s="152">
        <f>$CX$11</f>
        <v/>
      </c>
      <c r="GV13" s="152">
        <f>IF($FG13=0,"INVOCAÇÃO 12 · lugar vazio",$DA13&amp;" · "&amp;$DB13&amp;" · nível "&amp;$FI13&amp;" · vida "&amp;$GB13&amp;" de "&amp;$FZ13)</f>
        <v/>
      </c>
      <c r="GW13" s="152">
        <f>IF($FG13=0,"VAZIA",UPPER($DA13))</f>
        <v/>
      </c>
      <c r="GX13" s="152">
        <f>IF($CX$3&gt;=0,"+","−")&amp;ABS($CX$3)</f>
        <v/>
      </c>
      <c r="GY13" s="152">
        <f>$GO13&amp;" PE"</f>
        <v/>
      </c>
      <c r="GZ13" s="152">
        <f>$GP13&amp;" PE"</f>
        <v/>
      </c>
      <c r="HA13" s="152">
        <f>IF(OR($FQ13&gt;$FR13,$FT13&gt;$FS13),"⚠ ",IF(AND($FG13=1,$FQ13&lt;$FR13),"! ",""))&amp;"ATRIBUTOS · "&amp;$FQ13&amp;" DE "&amp;$FR13&amp;" PONTOS"&amp;IF($FT13&gt;$FS13," · ACIMA DE 3 SÓ COM MARCO","")</f>
        <v/>
      </c>
      <c r="HB13" s="152">
        <f>IF($FV13="","",IF($FV13&gt;=0,"+","−")&amp;ABS($FV13))</f>
        <v/>
      </c>
      <c r="HC13" s="152">
        <f>IF($FW13="","",$FW13)</f>
        <v/>
      </c>
      <c r="HD13" s="152">
        <f>SUBSTITUTE($GC13&amp;" m",".",",")</f>
        <v/>
      </c>
      <c r="HE13" s="152">
        <f>IF($GE13&gt;=0,"+","−")&amp;ABS($GE13)</f>
        <v/>
      </c>
      <c r="HF13" s="152">
        <f>IF($GF13&gt;=0,"+","−")&amp;ABS($GF13)</f>
        <v/>
      </c>
      <c r="HG13" s="152">
        <f>IF($GG13&gt;=0,"+","−")&amp;ABS($GG13)</f>
        <v/>
      </c>
      <c r="HH13" s="152">
        <f>IF($GH13&gt;=0,"+","−")&amp;ABS($GH13)</f>
        <v/>
      </c>
      <c r="HI13" s="152">
        <f>IF($GJ13&gt;$GI13,"⚠ ","")&amp;"PERÍCIAS · "&amp;$GJ13&amp;" DE "&amp;$GI13</f>
        <v/>
      </c>
      <c r="HJ13" s="152">
        <f>IF($EK13="","",IFERROR(IF((INDEX($FL13:$FP13,1,MATCH(VLOOKUP($EK13,$CA$2:$CB$24,2,FALSE),$BU$2:$BU$6,0))+$CX$3)&gt;=0,"+","−")&amp;ABS((INDEX($FL13:$FP13,1,MATCH(VLOOKUP($EK13,$CA$2:$CB$24,2,FALSE),$BU$2:$BU$6,0))+$CX$3)),""))</f>
        <v/>
      </c>
      <c r="HK13" s="152">
        <f>IF($EL13="","",IFERROR(IF((INDEX($FL13:$FP13,1,MATCH(VLOOKUP($EL13,$CA$2:$CB$24,2,FALSE),$BU$2:$BU$6,0))+$CX$3)&gt;=0,"+","−")&amp;ABS((INDEX($FL13:$FP13,1,MATCH(VLOOKUP($EL13,$CA$2:$CB$24,2,FALSE),$BU$2:$BU$6,0))+$CX$3)),""))</f>
        <v/>
      </c>
      <c r="HL13" s="152">
        <f>IF($EM13="","",IFERROR(IF((INDEX($FL13:$FP13,1,MATCH(VLOOKUP($EM13,$CA$2:$CB$24,2,FALSE),$BU$2:$BU$6,0))+$CX$3)&gt;=0,"+","−")&amp;ABS((INDEX($FL13:$FP13,1,MATCH(VLOOKUP($EM13,$CA$2:$CB$24,2,FALSE),$BU$2:$BU$6,0))+$CX$3)),""))</f>
        <v/>
      </c>
      <c r="HM13" s="152">
        <f>IF($EN13="","",IFERROR(IF((INDEX($FL13:$FP13,1,MATCH(VLOOKUP($EN13,$CA$2:$CB$24,2,FALSE),$BU$2:$BU$6,0))+$CX$3)&gt;=0,"+","−")&amp;ABS((INDEX($FL13:$FP13,1,MATCH(VLOOKUP($EN13,$CA$2:$CB$24,2,FALSE),$BU$2:$BU$6,0))+$CX$3)),""))</f>
        <v/>
      </c>
      <c r="HN13" s="152">
        <f>IF($EO13="","",IFERROR(IF((INDEX($FL13:$FP13,1,MATCH(VLOOKUP($EO13,$CA$2:$CB$24,2,FALSE),$BU$2:$BU$6,0))+$CX$3)&gt;=0,"+","−")&amp;ABS((INDEX($FL13:$FP13,1,MATCH(VLOOKUP($EO13,$CA$2:$CB$24,2,FALSE),$BU$2:$BU$6,0))+$CX$3)),""))</f>
        <v/>
      </c>
      <c r="HO13" s="152">
        <f>IF($EP13="","",IFERROR(IF((INDEX($FL13:$FP13,1,MATCH(VLOOKUP($EP13,$CA$2:$CB$24,2,FALSE),$BU$2:$BU$6,0))+$CX$3)&gt;=0,"+","−")&amp;ABS((INDEX($FL13:$FP13,1,MATCH(VLOOKUP($EP13,$CA$2:$CB$24,2,FALSE),$BU$2:$BU$6,0))+$CX$3)),""))</f>
        <v/>
      </c>
      <c r="HP13" s="152">
        <f>IF($EQ13="","",IFERROR(IF((INDEX($FL13:$FP13,1,MATCH(VLOOKUP($EQ13,$CA$2:$CB$24,2,FALSE),$BU$2:$BU$6,0))+$CX$3)&gt;=0,"+","−")&amp;ABS((INDEX($FL13:$FP13,1,MATCH(VLOOKUP($EQ13,$CA$2:$CB$24,2,FALSE),$BU$2:$BU$6,0))+$CX$3)),""))</f>
        <v/>
      </c>
      <c r="HQ13" s="152">
        <f>IF($DB13="Maldição domada","RESERVA · MÁX. "&amp;$GQ13,"RESERVA DE PE")</f>
        <v/>
      </c>
      <c r="HR13" s="152">
        <f>IF($EE13&gt;$GR13,"⚠ ","")&amp;"EQUIPAMENTO · "&amp;$EE13&amp;" DE "&amp;$GR13&amp;" DE VOLUME"&amp;IF($EE13&gt;$GR13," · PASSOU DO LIMITE","")</f>
        <v/>
      </c>
      <c r="HS13" s="152">
        <f>IF(OR($GT13&gt;0,$GS13&gt;$GU13),"⚠ ","")&amp;"FAMÍLIAS · "&amp;$GS13&amp;" ABERTAS"&amp;IF($GT13&gt;0," · REPETIDA","")&amp;IF($GS13&gt;$GU13," · O LIMITE É "&amp;$GU13,"")</f>
        <v/>
      </c>
      <c r="HT13" s="152">
        <f>"HABILIDADES · básica de "&amp;$FK13&amp;"d6 · "&amp;$GK13&amp;IF($GK13&gt;1," espaços"," espaço")&amp;" de especial até a Classe "&amp;$FJ13&amp;" · "&amp;$GM13&amp;IF($GM13&gt;1," talentos"," talento")</f>
        <v/>
      </c>
      <c r="HU13" s="152">
        <f>IF($GN13&gt;$GM13,"⚠ ","")&amp;"TALENTOS · "&amp;$GN13&amp;" DE "&amp;$GM13</f>
        <v/>
      </c>
      <c r="HV13" s="152">
        <f>IFERROR(VLOOKUP($ER13,$BI$2:$BL$15,2,FALSE),0)</f>
        <v/>
      </c>
      <c r="HW13" s="152">
        <f>IFERROR(VLOOKUP($ES13,$BI$2:$BL$15,2,FALSE),0)</f>
        <v/>
      </c>
      <c r="HX13" s="152">
        <f>IFERROR(VLOOKUP($ET13,$BI$2:$BL$15,2,FALSE),0)</f>
        <v/>
      </c>
      <c r="HY13" s="152">
        <f>IFERROR(VLOOKUP($EU13,$BI$2:$BL$15,2,FALSE),0)</f>
        <v/>
      </c>
      <c r="HZ13" s="152">
        <f>IFERROR(VLOOKUP($EV13,$BI$2:$BL$15,2,FALSE),0)</f>
        <v/>
      </c>
      <c r="IA13" s="152">
        <f>IFERROR(VLOOKUP($EW13,$BI$2:$BL$15,2,FALSE),0)</f>
        <v/>
      </c>
      <c r="IB13" s="152">
        <f>IFERROR(VLOOKUP($EX13,$BI$2:$BL$15,2,FALSE),0)</f>
        <v/>
      </c>
      <c r="IC13" s="152">
        <f>IFERROR(VLOOKUP($EY13,$BI$2:$BL$15,2,FALSE),0)</f>
        <v/>
      </c>
      <c r="ID13" s="152">
        <f>IF($ER13="","",IF(1&gt;$FI13,"⚠ Este talento abre no nível 1",IF($HV13&gt;1,"⚠ Categoria "&amp;$HV13&amp;": este ganho vai até a 1 · ","")&amp;IFERROR(VLOOKUP($ER13,$BI$2:$BL$15,3,FALSE),"")))</f>
        <v/>
      </c>
      <c r="IE13" s="152">
        <f>IF($ES13="","",IF(6&gt;$FI13,"⚠ Este talento abre no nível 6",IF($HW13&gt;1,"⚠ Categoria "&amp;$HW13&amp;": este ganho vai até a 1 · ","")&amp;IFERROR(VLOOKUP($ES13,$BI$2:$BL$15,3,FALSE),"")))</f>
        <v/>
      </c>
      <c r="IF13" s="152">
        <f>IF($ET13="","",IF(10&gt;$FI13,"⚠ Este talento abre no nível 10",IF($HX13&gt;2,"⚠ Categoria "&amp;$HX13&amp;": este ganho vai até a 2 · ","")&amp;IFERROR(VLOOKUP($ET13,$BI$2:$BL$15,3,FALSE),"")))</f>
        <v/>
      </c>
      <c r="IG13" s="152">
        <f>IF($EU13="","",IF(14&gt;$FI13,"⚠ Este talento abre no nível 14",IF($HY13&gt;3,"⚠ Categoria "&amp;$HY13&amp;": este ganho vai até a 3 · ","")&amp;IFERROR(VLOOKUP($EU13,$BI$2:$BL$15,3,FALSE),"")))</f>
        <v/>
      </c>
      <c r="IH13" s="152">
        <f>IF($EV13="","",IF(18&gt;$FI13,"⚠ Este talento abre no nível 18",IF($HZ13&gt;3,"⚠ Categoria "&amp;$HZ13&amp;": este ganho vai até a 3 · ","")&amp;IFERROR(VLOOKUP($EV13,$BI$2:$BL$15,3,FALSE),"")))</f>
        <v/>
      </c>
      <c r="II13" s="152">
        <f>IF($EW13="","",IF(22&gt;$FI13,"⚠ Este talento abre no nível 22",IF($IA13&gt;3,"⚠ Categoria "&amp;$IA13&amp;": este ganho vai até a 3 · ","")&amp;IFERROR(VLOOKUP($EW13,$BI$2:$BL$15,3,FALSE),"")))</f>
        <v/>
      </c>
      <c r="IJ13" s="152">
        <f>IF($EX13="","",IF(26&gt;$FI13,"⚠ Este talento abre no nível 26",IF($IB13&gt;3,"⚠ Categoria "&amp;$IB13&amp;": este ganho vai até a 3 · ","")&amp;IFERROR(VLOOKUP($EX13,$BI$2:$BL$15,3,FALSE),"")))</f>
        <v/>
      </c>
      <c r="IK13" s="152">
        <f>IF($EY13="","",IF(30&gt;$FI13,"⚠ Este talento abre no nível 30",IF($IC13&gt;3,"⚠ Categoria "&amp;$IC13&amp;": este ganho vai até a 3 · ","")&amp;IFERROR(VLOOKUP($EY13,$BI$2:$BL$15,3,FALSE),"")))</f>
        <v/>
      </c>
      <c r="IL13" s="152">
        <f>IF($EZ13="","",IFERROR(VLOOKUP($EZ13,$BI$2:$BL$15,3,FALSE),""))</f>
        <v/>
      </c>
      <c r="IM13" s="152">
        <f>IF($FA13="","",IFERROR(VLOOKUP($FA13,$BI$2:$BL$15,3,FALSE),""))</f>
        <v/>
      </c>
      <c r="IN13" s="152">
        <f>IF($FB13="","",IFERROR(VLOOKUP($FB13,$BI$2:$BL$15,3,FALSE),""))</f>
        <v/>
      </c>
      <c r="IO13" s="152">
        <f>CEILING(4.5*$FC13,1)&amp;" PE"</f>
        <v/>
      </c>
      <c r="IP13" s="152">
        <f>CEILING(4.5*$FD13,1)&amp;" PE"</f>
        <v/>
      </c>
      <c r="IQ13" s="152">
        <f>CEILING(4.5*$FE13,1)&amp;" PE"</f>
        <v/>
      </c>
      <c r="IR13" s="152">
        <f>INDEX($P$2:$P$8,$FC13)&amp;" pontos + "&amp;$FC13&amp;"d8"</f>
        <v/>
      </c>
      <c r="IS13" s="152">
        <f>INDEX($P$2:$P$8,$FD13)&amp;" pontos + "&amp;$FD13&amp;"d8"</f>
        <v/>
      </c>
      <c r="IT13" s="152">
        <f>INDEX($P$2:$P$8,$FE13)&amp;" pontos + "&amp;$FE13&amp;"d8"</f>
        <v/>
      </c>
      <c r="IU13" s="152">
        <f>IF($FI13&lt;17,"—",VLOOKUP($FI13,$CL$2:$CO$4,4,TRUE)&amp;" PE")</f>
        <v/>
      </c>
      <c r="IV13" s="152">
        <f>IF($FI13&lt;17,"Abre no nível 17",VLOOKUP($FI13,$CL$2:$CO$4,2,TRUE)&amp;" fixos · "&amp;VLOOKUP($FI13,$CL$2:$CO$4,3,TRUE)&amp;" pontos")</f>
        <v/>
      </c>
      <c r="IW13" s="152">
        <f>IF($FF13="Sem Barreiras",7,6)*$FJ13&amp;" PE"</f>
        <v/>
      </c>
      <c r="IX13" s="152">
        <f>"Acerto "&amp;$FJ13&amp;"d8"</f>
        <v/>
      </c>
      <c r="IY13" s="152">
        <f>IFERROR(VLOOKUP($FF13,$CQ$2:$CS$4,3,FALSE),"Escolha o degrau")</f>
        <v/>
      </c>
      <c r="IZ13" s="152">
        <f>12&amp;" · "&amp;IF($FG13=0,"vazia",$DA13&amp;" · nv "&amp;$FI13&amp;" · "&amp;$GB13&amp;"/"&amp;$FZ13)</f>
        <v/>
      </c>
      <c r="JB13" s="150" t="inlineStr">
        <is>
          <t>Invocação 12</t>
        </is>
      </c>
      <c r="JC13" s="152">
        <f>ADDRESS(ROW('INVOCAÇÕES'!D32),COLUMN('INVOCAÇÕES'!D32),4)</f>
        <v/>
      </c>
      <c r="JD13" s="152">
        <f>ADDRESS(ROW('INVOCAÇÕES'!AA999),COLUMN('INVOCAÇÕES'!AA999),4)</f>
        <v/>
      </c>
      <c r="JE13" s="150" t="inlineStr">
        <is>
          <t>DADOS_INVOC!$IZ$13</t>
        </is>
      </c>
      <c r="JG13" s="152">
        <f>IF(OR($AW13="",COUNTIF($EF$2:$EJ$2,$AW13)&gt;0),$AV13,"")</f>
        <v/>
      </c>
      <c r="JH13" s="152">
        <f>IF(AND($AX13=1,OR($AW13="",COUNTIF($EF$2:$EJ$2,$AW13)&gt;0)),$AV13,"")</f>
        <v/>
      </c>
      <c r="JM13" s="152">
        <f>IF(OR($AW13="",COUNTIF($EF$3:$EJ$3,$AW13)&gt;0),$AV13,"")</f>
        <v/>
      </c>
      <c r="JN13" s="152">
        <f>IF(AND($AX13=1,OR($AW13="",COUNTIF($EF$3:$EJ$3,$AW13)&gt;0)),$AV13,"")</f>
        <v/>
      </c>
      <c r="JS13" s="152">
        <f>IF(OR($AW13="",COUNTIF($EF$4:$EJ$4,$AW13)&gt;0),$AV13,"")</f>
        <v/>
      </c>
      <c r="JT13" s="152">
        <f>IF(AND($AX13=1,OR($AW13="",COUNTIF($EF$4:$EJ$4,$AW13)&gt;0)),$AV13,"")</f>
        <v/>
      </c>
      <c r="JY13" s="152">
        <f>IF(OR($AW13="",COUNTIF($EF$5:$EJ$5,$AW13)&gt;0),$AV13,"")</f>
        <v/>
      </c>
      <c r="JZ13" s="152">
        <f>IF(AND($AX13=1,OR($AW13="",COUNTIF($EF$5:$EJ$5,$AW13)&gt;0)),$AV13,"")</f>
        <v/>
      </c>
      <c r="KE13" s="152">
        <f>IF(OR($AW13="",COUNTIF($EF$6:$EJ$6,$AW13)&gt;0),$AV13,"")</f>
        <v/>
      </c>
      <c r="KF13" s="152">
        <f>IF(AND($AX13=1,OR($AW13="",COUNTIF($EF$6:$EJ$6,$AW13)&gt;0)),$AV13,"")</f>
        <v/>
      </c>
      <c r="KK13" s="152">
        <f>IF(OR($AW13="",COUNTIF($EF$7:$EJ$7,$AW13)&gt;0),$AV13,"")</f>
        <v/>
      </c>
      <c r="KL13" s="152">
        <f>IF(AND($AX13=1,OR($AW13="",COUNTIF($EF$7:$EJ$7,$AW13)&gt;0)),$AV13,"")</f>
        <v/>
      </c>
      <c r="KQ13" s="152">
        <f>IF(OR($AW13="",COUNTIF($EF$8:$EJ$8,$AW13)&gt;0),$AV13,"")</f>
        <v/>
      </c>
      <c r="KR13" s="152">
        <f>IF(AND($AX13=1,OR($AW13="",COUNTIF($EF$8:$EJ$8,$AW13)&gt;0)),$AV13,"")</f>
        <v/>
      </c>
      <c r="KW13" s="152">
        <f>IF(OR($AW13="",COUNTIF($EF$9:$EJ$9,$AW13)&gt;0),$AV13,"")</f>
        <v/>
      </c>
      <c r="KX13" s="152">
        <f>IF(AND($AX13=1,OR($AW13="",COUNTIF($EF$9:$EJ$9,$AW13)&gt;0)),$AV13,"")</f>
        <v/>
      </c>
      <c r="LC13" s="152">
        <f>IF(OR($AW13="",COUNTIF($EF$10:$EJ$10,$AW13)&gt;0),$AV13,"")</f>
        <v/>
      </c>
      <c r="LD13" s="152">
        <f>IF(AND($AX13=1,OR($AW13="",COUNTIF($EF$10:$EJ$10,$AW13)&gt;0)),$AV13,"")</f>
        <v/>
      </c>
      <c r="LI13" s="152">
        <f>IF(OR($AW13="",COUNTIF($EF$11:$EJ$11,$AW13)&gt;0),$AV13,"")</f>
        <v/>
      </c>
      <c r="LJ13" s="152">
        <f>IF(AND($AX13=1,OR($AW13="",COUNTIF($EF$11:$EJ$11,$AW13)&gt;0)),$AV13,"")</f>
        <v/>
      </c>
      <c r="LO13" s="152">
        <f>IF(OR($AW13="",COUNTIF($EF$12:$EJ$12,$AW13)&gt;0),$AV13,"")</f>
        <v/>
      </c>
      <c r="LP13" s="152">
        <f>IF(AND($AX13=1,OR($AW13="",COUNTIF($EF$12:$EJ$12,$AW13)&gt;0)),$AV13,"")</f>
        <v/>
      </c>
      <c r="LU13" s="152">
        <f>IF(OR($AW13="",COUNTIF($EF$13:$EJ$13,$AW13)&gt;0),$AV13,"")</f>
        <v/>
      </c>
      <c r="LV13" s="152">
        <f>IF(AND($AX13=1,OR($AW13="",COUNTIF($EF$13:$EJ$13,$AW13)&gt;0)),$AV13,"")</f>
        <v/>
      </c>
      <c r="MA13" s="150" t="inlineStr">
        <is>
          <t>Ficha 1 · Escolha da trilha 2</t>
        </is>
      </c>
      <c r="MB13" s="152" t="n">
        <v>1</v>
      </c>
      <c r="MC13" s="152" t="n">
        <v>2</v>
      </c>
      <c r="MD13" s="152" t="n">
        <v>0</v>
      </c>
      <c r="ME13" s="150" t="inlineStr">
        <is>
          <t>ESCOLHA DA TRILHA 2</t>
        </is>
      </c>
      <c r="MF13" s="152">
        <f>MAX(0,MIN(7,N('INVOCAÇÕES'!$O$160)))</f>
        <v/>
      </c>
      <c r="MG13" s="152">
        <f>'INVOCAÇÕES'!$P$160&amp;""</f>
        <v/>
      </c>
      <c r="MH13" s="152">
        <f>'INVOCAÇÕES'!$O$165&amp;""</f>
        <v/>
      </c>
      <c r="MI13" s="152">
        <f>'INVOCAÇÕES'!$O$166&amp;""</f>
        <v/>
      </c>
      <c r="MJ13" s="152">
        <f>'INVOCAÇÕES'!$Q$166&amp;""</f>
        <v/>
      </c>
      <c r="MK13" s="152">
        <f>'INVOCAÇÕES'!$P$169&amp;""</f>
        <v/>
      </c>
      <c r="ML13" s="152">
        <f>'INVOCAÇÕES'!$P$170&amp;""</f>
        <v/>
      </c>
      <c r="MM13" s="152">
        <f>'INVOCAÇÕES'!$P$171&amp;""</f>
        <v/>
      </c>
      <c r="MN13" s="152">
        <f>'INVOCAÇÕES'!$P$172&amp;""</f>
        <v/>
      </c>
      <c r="MO13" s="152">
        <f>'INVOCAÇÕES'!$P$173&amp;""</f>
        <v/>
      </c>
      <c r="MP13" s="152">
        <f>'INVOCAÇÕES'!$P$174&amp;""</f>
        <v/>
      </c>
      <c r="MQ13" s="152">
        <f>IF($MG13&lt;&gt;"",1,0)</f>
        <v/>
      </c>
      <c r="MR13" s="152">
        <f>INDEX($FI$2:$FI$13,$MB13)</f>
        <v/>
      </c>
      <c r="MS13" s="152">
        <f>INDEX($FJ$2:$FJ$13,$MB13)</f>
        <v/>
      </c>
      <c r="MT13" s="152">
        <f>INDEX($FK$2:$FK$13,$MB13)</f>
        <v/>
      </c>
      <c r="MU13" s="152">
        <f>INDEX($FV$2:$FV$13,$MB13)</f>
        <v/>
      </c>
      <c r="MV13" s="152">
        <f>INDEX($FW$2:$FW$13,$MB13)</f>
        <v/>
      </c>
      <c r="MW13" s="152">
        <f>IFERROR(MATCH($MH13,$V$2:$V$11,0),0)</f>
        <v/>
      </c>
      <c r="MX13" s="152">
        <f>IFERROR(VLOOKUP($MK13,$AV$2:$BA$84,2,FALSE),"")</f>
        <v/>
      </c>
      <c r="MY13" s="152">
        <f>IFERROR(VLOOKUP($ML13,$AV$2:$BA$84,2,FALSE),"")</f>
        <v/>
      </c>
      <c r="MZ13" s="152">
        <f>IFERROR(VLOOKUP($MM13,$AV$2:$BA$84,2,FALSE),"")</f>
        <v/>
      </c>
      <c r="NA13" s="152">
        <f>IFERROR(VLOOKUP($MN13,$AV$2:$BA$84,2,FALSE),"")</f>
        <v/>
      </c>
      <c r="NB13" s="152">
        <f>IFERROR(VLOOKUP($MK13,$AV$2:$BA$84,3,FALSE),0)</f>
        <v/>
      </c>
      <c r="NC13" s="152">
        <f>IFERROR(VLOOKUP($ML13,$AV$2:$BA$84,3,FALSE),0)</f>
        <v/>
      </c>
      <c r="ND13" s="152">
        <f>IFERROR(VLOOKUP($MM13,$AV$2:$BA$84,3,FALSE),0)</f>
        <v/>
      </c>
      <c r="NE13" s="152">
        <f>IFERROR(VLOOKUP($MN13,$AV$2:$BA$84,3,FALSE),0)</f>
        <v/>
      </c>
      <c r="NF13" s="152">
        <f>IF($MF13=0,0,IF($MW13=0,0,INDEX($X$2:$X$11,$MW13)))</f>
        <v/>
      </c>
      <c r="NG13" s="152">
        <f>IF(OR($NB13=0,$MF13=0),0,$NB13+3*IF(AND($MX13&lt;&gt;"",OR($MX13=INDEX($EF$2:$EF$13,$MB13),$MX13=INDEX($EG$2:$EG$13,$MB13))),1,0))</f>
        <v/>
      </c>
      <c r="NH13" s="152">
        <f>IF(OR($NC13=0,$MF13=0),0,$NC13+3*IF(AND($MY13&lt;&gt;"",OR($MY13=INDEX($EF$2:$EF$13,$MB13),$MY13=INDEX($EG$2:$EG$13,$MB13))),1,0))</f>
        <v/>
      </c>
      <c r="NI13" s="152">
        <f>IF(OR($ND13=0,$MF13=0),0,$ND13+3*IF(AND($MZ13&lt;&gt;"",OR($MZ13=INDEX($EF$2:$EF$13,$MB13),$MZ13=INDEX($EG$2:$EG$13,$MB13))),1,0))</f>
        <v/>
      </c>
      <c r="NJ13" s="152">
        <f>IF(OR($NE13=0,$MF13=0),0,$NE13+3*IF(AND($NA13&lt;&gt;"",OR($NA13=INDEX($EF$2:$EF$13,$MB13),$NA13=INDEX($EG$2:$EG$13,$MB13))),1,0))</f>
        <v/>
      </c>
      <c r="NK13" s="152">
        <f>IF($MW13=0,0,IF(INDEX($W$2:$W$11,$MW13)="",0,IF(COUNTIF(INDEX($EF$2:$EJ$13,$MB13,0),INDEX($W$2:$W$11,$MW13))=0,1,0)))</f>
        <v/>
      </c>
      <c r="NL13" s="152">
        <f>IF(OR($NB13=0,$MX13=""),0,IF(COUNTIF(INDEX($EF$2:$EJ$13,$MB13,0),$MX13)=0,1,0))</f>
        <v/>
      </c>
      <c r="NM13" s="152">
        <f>IF(OR($NC13=0,$MY13=""),0,IF(COUNTIF(INDEX($EF$2:$EJ$13,$MB13,0),$MY13)=0,1,0))</f>
        <v/>
      </c>
      <c r="NN13" s="152">
        <f>IF(OR($ND13=0,$MZ13=""),0,IF(COUNTIF(INDEX($EF$2:$EJ$13,$MB13,0),$MZ13)=0,1,0))</f>
        <v/>
      </c>
      <c r="NO13" s="152">
        <f>IF(OR($NE13=0,$NA13=""),0,IF(COUNTIF(INDEX($EF$2:$EJ$13,$MB13,0),$NA13)=0,1,0))</f>
        <v/>
      </c>
      <c r="NP13" s="152">
        <f>IFERROR(VLOOKUP($MK13,$AV$2:$BA$84,4,FALSE),0)+IFERROR(VLOOKUP($ML13,$AV$2:$BA$84,4,FALSE),0)+IFERROR(VLOOKUP($MM13,$AV$2:$BA$84,4,FALSE),0)+IFERROR(VLOOKUP($MN13,$AV$2:$BA$84,4,FALSE),0)</f>
        <v/>
      </c>
      <c r="NQ13" s="152">
        <f>IFERROR(VLOOKUP($MK13,$AV$2:$BA$84,6,FALSE),0)+IFERROR(VLOOKUP($ML13,$AV$2:$BA$84,6,FALSE),0)+IFERROR(VLOOKUP($MM13,$AV$2:$BA$84,6,FALSE),0)+IFERROR(VLOOKUP($MN13,$AV$2:$BA$84,6,FALSE),0)</f>
        <v/>
      </c>
      <c r="NR13" s="152">
        <f>TEXTJOIN(", ",TRUE,IF(IFERROR(VLOOKUP($MK13,$AV$2:$BA$84,5,FALSE),0)=1,$MK13,""),IF(IFERROR(VLOOKUP($ML13,$AV$2:$BA$84,5,FALSE),0)=1,$ML13,""),IF(IFERROR(VLOOKUP($MM13,$AV$2:$BA$84,5,FALSE),0)=1,$MM13,""),IF(IFERROR(VLOOKUP($MN13,$AV$2:$BA$84,5,FALSE),0)=1,$MN13,""))</f>
        <v/>
      </c>
      <c r="NS13" s="152">
        <f>IF($MW13=0,0,INDEX($Y$2:$Y$11,$MW13))</f>
        <v/>
      </c>
      <c r="NT13" s="152">
        <f>IF($MW13=0,0,INDEX($Z$2:$Z$11,$MW13))</f>
        <v/>
      </c>
      <c r="NU13" s="152">
        <f>IF($MW13=0,0,INDEX($AB$2:$AB$11,$MW13))</f>
        <v/>
      </c>
      <c r="NV13" s="152">
        <f>IFERROR(VLOOKUP($MO13,$BC$2:$BG$24,3,FALSE),0)</f>
        <v/>
      </c>
      <c r="NW13" s="152">
        <f>IFERROR(VLOOKUP($MP13,$BC$2:$BG$24,3,FALSE),0)</f>
        <v/>
      </c>
      <c r="NX13" s="152">
        <f>IFERROR(VLOOKUP($MO13,$BC$2:$BG$24,2,FALSE),"")</f>
        <v/>
      </c>
      <c r="NY13" s="152">
        <f>IFERROR(VLOOKUP($MP13,$BC$2:$BG$24,2,FALSE),"")</f>
        <v/>
      </c>
      <c r="NZ13" s="152">
        <f>COUNTIF($NF13:$NJ13,1)</f>
        <v/>
      </c>
      <c r="OA13" s="152">
        <f>COUNTIF($NF13:$NJ13,2)</f>
        <v/>
      </c>
      <c r="OB13" s="152">
        <f>COUNTIF($NF13:$NJ13,3)</f>
        <v/>
      </c>
      <c r="OC13" s="152">
        <f>COUNTIF($NF13:$NJ13,4)</f>
        <v/>
      </c>
      <c r="OD13" s="152">
        <f>COUNTIF($NF13:$NJ13,5)</f>
        <v/>
      </c>
      <c r="OE13" s="152">
        <f>COUNTIF($NF13:$NJ13,6)</f>
        <v/>
      </c>
      <c r="OF13" s="152">
        <f>COUNTIF($NV13:$NW13,1)</f>
        <v/>
      </c>
      <c r="OG13" s="152">
        <f>COUNTIF($NV13:$NW13,2)+$NS13</f>
        <v/>
      </c>
      <c r="OH13" s="152">
        <f>COUNTIF($MK13:$MN13,"?*")</f>
        <v/>
      </c>
      <c r="OI13" s="152">
        <f>COUNTIF($MO13:$MP13,"?*")+$NS13</f>
        <v/>
      </c>
      <c r="OJ13" s="152">
        <f>IF($MF13=0,0,SUMPRODUCT($NZ13:$OE13,INDEX($I$2:$N$8,MAX(1,$MF13),0)))</f>
        <v/>
      </c>
      <c r="OK13" s="152">
        <f>IF($MF13=0,0,$OF13*CEILING($MF13/2,1)+$OG13*$MF13)</f>
        <v/>
      </c>
      <c r="OL13" s="152">
        <f>MIN(2*$MF13,$OK13)</f>
        <v/>
      </c>
      <c r="OM13" s="152">
        <f>MIN($OL13,$OJ13)</f>
        <v/>
      </c>
      <c r="ON13" s="152">
        <f>$OL13-$OM13</f>
        <v/>
      </c>
      <c r="OO13" s="152">
        <f>IF($MF13=0,0,INDEX($P$2:$P$8,MAX(1,$MF13)))</f>
        <v/>
      </c>
      <c r="OP13" s="152">
        <f>$OO13-$OJ13+$OM13</f>
        <v/>
      </c>
      <c r="OQ13" s="152">
        <f>IF($MF13=0,MAX(0,$MT13-IF($OH13&gt;0,1,0)),MAX(0,$OP13))</f>
        <v/>
      </c>
      <c r="OR13" s="152">
        <f>IF($MF13=0,0,(IF(COUNTIF($MK13:$MN13,"Salto")&gt;0,1,0)+IF(COUNTIF($MK13:$MN13,"Queima")&gt;0,1,0)+IF(COUNTIF($MK13:$MN13,"Estilhaço")&gt;0,1,0))*FLOOR($OQ13/2,1))</f>
        <v/>
      </c>
      <c r="OS13" s="152">
        <f>MAX(0,2-SUMPRODUCT($NZ13:$OE13,$I$2:$N$2)+MIN(2,$OF13*1+$OG13*1,SUMPRODUCT($NZ13:$OE13,$I$2:$N$2)))</f>
        <v/>
      </c>
      <c r="OT13" s="152">
        <f>MAX(0,4-SUMPRODUCT($NZ13:$OE13,$I$3:$N$3)+MIN(4,$OF13*1+$OG13*2,SUMPRODUCT($NZ13:$OE13,$I$3:$N$3)))</f>
        <v/>
      </c>
      <c r="OU13" s="152">
        <f>MAX(0,6-SUMPRODUCT($NZ13:$OE13,$I$4:$N$4)+MIN(6,$OF13*2+$OG13*3,SUMPRODUCT($NZ13:$OE13,$I$4:$N$4)))</f>
        <v/>
      </c>
      <c r="OV13" s="152">
        <f>MAX(0,9-SUMPRODUCT($NZ13:$OE13,$I$5:$N$5)+MIN(8,$OF13*2+$OG13*4,SUMPRODUCT($NZ13:$OE13,$I$5:$N$5)))</f>
        <v/>
      </c>
      <c r="OW13" s="152">
        <f>MAX(0,11-SUMPRODUCT($NZ13:$OE13,$I$6:$N$6)+MIN(10,$OF13*3+$OG13*5,SUMPRODUCT($NZ13:$OE13,$I$6:$N$6)))</f>
        <v/>
      </c>
      <c r="OX13" s="152">
        <f>MAX(0,13-SUMPRODUCT($NZ13:$OE13,$I$7:$N$7)+MIN(12,$OF13*3+$OG13*6,SUMPRODUCT($NZ13:$OE13,$I$7:$N$7)))</f>
        <v/>
      </c>
      <c r="OY13" s="152">
        <f>MAX(0,16-SUMPRODUCT($NZ13:$OE13,$I$8:$N$8)+MIN(14,$OF13*4+$OG13*7,SUMPRODUCT($NZ13:$OE13,$I$8:$N$8)))</f>
        <v/>
      </c>
      <c r="OZ13" s="152">
        <f>IF($NT13=2,3*$OS13&amp;" de vida temp.",IF($NT13=3,"sem dano",IF($OS13=0,IF($NT13=1,"sem cura","sem dano"),IF($NT13=1,"cura ","")&amp;$OS13&amp;"d8")))</f>
        <v/>
      </c>
      <c r="PA13" s="152">
        <f>IF($NT13=2,3*$OT13&amp;" de vida temp.",IF($NT13=3,"sem dano",IF($OT13=0,IF($NT13=1,"sem cura","sem dano"),IF($NT13=1,"cura ","")&amp;$OT13&amp;"d8")))</f>
        <v/>
      </c>
      <c r="PB13" s="152">
        <f>IF($NT13=2,3*$OU13&amp;" de vida temp.",IF($NT13=3,"sem dano",IF($OU13=0,IF($NT13=1,"sem cura","sem dano"),IF($NT13=1,"cura ","")&amp;$OU13&amp;"d8")))</f>
        <v/>
      </c>
      <c r="PC13" s="152">
        <f>IF($NT13=2,3*$OV13&amp;" de vida temp.",IF($NT13=3,"sem dano",IF($OV13=0,IF($NT13=1,"sem cura","sem dano"),IF($NT13=1,"cura ","")&amp;$OV13&amp;"d8")))</f>
        <v/>
      </c>
      <c r="PD13" s="152">
        <f>IF($NT13=2,3*$OW13&amp;" de vida temp.",IF($NT13=3,"sem dano",IF($OW13=0,IF($NT13=1,"sem cura","sem dano"),IF($NT13=1,"cura ","")&amp;$OW13&amp;"d8")))</f>
        <v/>
      </c>
      <c r="PE13" s="152">
        <f>IF($NT13=2,3*$OX13&amp;" de vida temp.",IF($NT13=3,"sem dano",IF($OX13=0,IF($NT13=1,"sem cura","sem dano"),IF($NT13=1,"cura ","")&amp;$OX13&amp;"d8")))</f>
        <v/>
      </c>
      <c r="PF13" s="152">
        <f>IF($NT13=2,3*$OY13&amp;" de vida temp.",IF($NT13=3,"sem dano",IF($OY13=0,IF($NT13=1,"sem cura","sem dano"),IF($NT13=1,"cura ","")&amp;$OY13&amp;"d8")))</f>
        <v/>
      </c>
      <c r="PG13" s="152">
        <f>IF($MQ13=0,"",TEXTJOIN(" · ",TRUE,IF($MD13&gt;$MR13,"Este lugar abre no nível "&amp;$MD13,""),IF($MF13&gt;$MS13,"Classe "&amp;$MF13&amp;": o nível "&amp;$MR13&amp;" libera até a "&amp;$MS13,""),IF($NK13=1,"A Forma "&amp;$MH13&amp;" pede "&amp;INDEX($W$2:$W$11,$MW13)&amp;" aberta",""),IF(AND($MF13=0,$MW13&gt;0,IF($MW13=0,0,INDEX($AF$2:$AF$11,$MW13))=0),$MH13&amp;" não existe na Classe 0",""),IF($NL13=1,"Família Fechada: "&amp;$MK13,""),IF($NM13=1,"Família Fechada: "&amp;$ML13,""),IF($NN13=1,"Família Fechada: "&amp;$MM13,""),IF($NO13=1,"Família Fechada: "&amp;$MN13,""),IF(AND($MF13&gt;0,$OH13&gt;INDEX($O$2:$O$8,MAX(1,$MF13))),$OH13&amp;" Melhorias: a Classe "&amp;$MF13&amp;" aceita "&amp;INDEX($O$2:$O$8,MAX(1,$MF13)),""),IF(AND($MF13=0,$OH13&gt;1),"A básica aceita uma Melhoria",""),IF(AND($MF13=0,COUNTIF($NB13:$NE13,"&gt;1")&gt;0),"A básica só aceita Melhoria Leve",""),IF(AND($MF13&gt;0,$OI13&gt;2),$OI13&amp;" Restrições"&amp;IF($NS13=1,", contando a que a Forma "&amp;$MH13&amp;" já traz","")&amp;": o limite é 2",""),IF(AND($MF13=0,COUNTIF($MO13:$MP13,"?*")&gt;1),"A básica aceita uma Restrição Leve",""),IF(AND($MF13=0,COUNTIF($NV13:$NW13,2)&gt;0),"A básica só aceita Restrição Leve",""),IF(AND($MF13&gt;0,$OP13&lt;0),"Orçamento estourado: faltam "&amp;(-$OP13)&amp;IF($OP13&lt;-1," pontos"," ponto"),""),IF(IFERROR(VLOOKUP($MO13,$BC$2:$BG$24,4,FALSE),0)+IFERROR(VLOOKUP($MP13,$BC$2:$BG$24,4,FALSE),0)&gt;1,$NX13&amp;" e "&amp;$NY13&amp;" são as duas de frequência",""),IF(AND((COUNTIF($MK13:$MN13,"Rápido")+COUNTIF($NX13:$NY13,"Rápido"))&gt;0,(COUNTIF($MK13:$MN13,"Atrasar")+COUNTIF($NX13:$NY13,"Atrasar"))&gt;0),"Rápido não entra com Atrasar",""),IF(AND((COUNTIF($MK13:$MN13,"Reação")+COUNTIF($NX13:$NY13,"Reação"))&gt;0,(COUNTIF($MK13:$MN13,"Rápido")+COUNTIF($NX13:$NY13,"Rápido"))&gt;0),"Reação não entra com Rápido",""),IF(AND((COUNTIF($MK13:$MN13,"Reação")+COUNTIF($NX13:$NY13,"Reação"))&gt;0,(COUNTIF($MK13:$MN13,"Armado")+COUNTIF($NX13:$NY13,"Armado"))&gt;0),"Reação não entra com Armado",""),IF(AND((COUNTIF($MK13:$MN13,"Reação")+COUNTIF($NX13:$NY13,"Reação"))&gt;0,(COUNTIF($MK13:$MN13,"Atrasar")+COUNTIF($NX13:$NY13,"Atrasar"))&gt;0),"Reação não entra com Atrasar",""),IF(AND((COUNTIF($MK13:$MN13,"Reação")+COUNTIF($NX13:$NY13,"Reação"))&gt;0,(COUNTIF($MK13:$MN13,"Parado")+COUNTIF($NX13:$NY13,"Parado"))&gt;0),"Reação não entra com Parado",""),IF(AND((COUNTIF($MK13:$MN13,"Atrasar")+COUNTIF($NX13:$NY13,"Atrasar"))&gt;0,(COUNTIF($MK13:$MN13,"Parado")+COUNTIF($NX13:$NY13,"Parado"))&gt;0),"Atrasar não entra com Parado",""),IF(AND((COUNTIF($MK13:$MN13,"Armado")+COUNTIF($NX13:$NY13,"Armado"))&gt;0,(COUNTIF($MK13:$MN13,"Carregar")+COUNTIF($NX13:$NY13,"Carregar"))&gt;0),"Armado não entra com Carregar",""),IF(AND(COUNTIF($NX13:$NY13,"Corpo a Corpo")&gt;0,$NS13=0,OR($MH13="Cone",$MH13="Linha")),"Corpo a Corpo não entra em "&amp;$MH13,""),IF(AND(COUNTIF($NX13:$NY13,"Corpo a Corpo")&gt;0,$NS13=1),"A Forma "&amp;$MH13&amp;" já traz o Corpo a Corpo",""),IF(AND(COUNTIF($NX13:$NY13,"Tudo ou Nada")&gt;0,$NU13=0),"Tudo ou Nada só entra em habilidade de Teste de Resistência",""),IF(AND(COUNTIF($MK13:$MN13,"Inescapável")&gt;0,OR($OH13&gt;1,$OI13&gt;0)),"Inescapável não aceita outra peça",""),IF(AND($MF13&gt;0,$OQ13*IF(COUNTIF($MK13:$MN13,"Remate")&gt;0,1.25,1)+$OR13&gt;4*$MF13),($OQ13*IF(COUNTIF($MK13:$MN13,"Remate")&gt;0,1.25,1)+$OR13)&amp;" dados somando repetições"&amp;IF(COUNTIF($MK13:$MN13,"Remate")&gt;0," e o Remate","")&amp;": o teto da Classe "&amp;$MF13&amp;" é "&amp;4*$MF13,"")))</f>
        <v/>
      </c>
      <c r="PH13" s="152">
        <f>IF($PG13="",0,(LEN($PG13)-LEN(SUBSTITUTE($PG13," · ","")))/3+1)</f>
        <v/>
      </c>
      <c r="PI13" s="152">
        <f>IF($MQ13=0,"",TEXTJOIN(" · ",TRUE,IF($OK13&gt;2*$MF13,"A devolução parou no teto de "&amp;2*$MF13,""),IF($ON13&gt;0,"Devolução perdida: "&amp;$ON13&amp;IF($ON13&gt;1," pontos"," ponto")&amp;" sem peça para pagar",""),IF(AND($NP13&gt;0,AND($MF13&gt;0,$NT13=0),$OQ13=0),"Controle sem dano: uma rodada a mais e CD +2",""),IF(AND($NP13&gt;0,AND($MF13&gt;0,$NT13=0),$OQ13&gt;0,$OQ13&lt;=$MF13),"Controle com saldo até a Classe: uma rodada a mais",""),IF(AND($MF13&gt;0,$NR13&lt;&gt;""),"Efeito de "&amp;$NR13&amp;" pela Classe "&amp;MAX(1,$MF13-1),"")))</f>
        <v/>
      </c>
      <c r="PJ13" s="152">
        <f>IF($PI13="",0,(LEN($PI13)-LEN(SUBSTITUTE($PI13," · ","")))/3+1)</f>
        <v/>
      </c>
      <c r="PK13" s="152">
        <f>IF($MQ13=0,IF($OH13+COUNTIF($MO13:$MP13,"?*")&gt;0,"Dê um nome",""),IF($PH13&gt;0,"⚠ "&amp;$PH13&amp;IF($PH13&gt;1," erros"," erro"),IF($PJ13&gt;0,"! "&amp;$PJ13&amp;IF($PJ13&gt;1," avisos"," aviso"),"Na regra")))</f>
        <v/>
      </c>
      <c r="PL13" s="152">
        <f>IF($MQ13=0,"",IF($PH13+$PJ13=0,"Dentro das regras que a ficha confere",$PG13&amp;IF(AND($PH13&gt;0,$PJ13&gt;0)," · ","")&amp;$PI13))</f>
        <v/>
      </c>
      <c r="PM13" s="152">
        <f>IF($MD13&gt;$MR13,$ME13&amp;" · ABRE NO NÍVEL "&amp;$MD13,$ME13)</f>
        <v/>
      </c>
      <c r="PN13" s="152">
        <f>IF($MQ13=0,"",IF($MF13=0,"Sem PE",3*$MF13&amp;" PE"))</f>
        <v/>
      </c>
      <c r="PO13" s="152">
        <f>IF($MQ13=0,"",IF($MF13=0,"A atuação básica dela",IF(COUNTIF($NX13:$NY13,"Atrasar")&gt;0,"Sua Ação Completa",IF(COUNTIF($MK13:$MN13,"Rápido")&gt;0,"Sua Bônus",IF(COUNTIF($MK13:$MN13,"Reação")&gt;0,"Sua Reação","Sua Padrão")))&amp;" + a básica dela"&amp;IF(COUNTIF($MK13:$MN13,"Reação")&gt;0," e a coletiva","")&amp;IF(COUNTIF($NX13:$NY13,"Carregar")&gt;0," · em dois turnos","")))</f>
        <v/>
      </c>
      <c r="PP13" s="152">
        <f>IF($MJ13&lt;&gt;"",$MJ13,IF($MW13=0,"",INDEX($AA$2:$AA$11,$MW13)))</f>
        <v/>
      </c>
      <c r="PQ13" s="152">
        <f>IF(OR($MQ13=0,$MW13=0),"",IF(COUNTIF($MK13:$MN13,"Inescapável")&gt;0,"Automático",IF($PP13="Ataque",IF($MU13="","Ataque","Ataque "&amp;IF(($MU13+2*IF(COUNTIF($MK13:$MN13,"Precisão")&gt;0,1,0))&gt;=0,"+","−")&amp;ABS(($MU13+2*IF(COUNTIF($MK13:$MN13,"Precisão")&gt;0,1,0))))&amp;IF($NQ13&gt;0," · TR"&amp;IF($MV13="",""," CD "&amp;$MV13),""),IF(LEFT($PP13,2)="TR",$PP13&amp;IF($MV13="",""," · CD "&amp;$MV13)&amp;IF(COUNTIF($MK13:$MN13,"Certeiro")&gt;0," · metade",""),"Sem rolagem"))))</f>
        <v/>
      </c>
      <c r="PR13" s="152">
        <f>IF(OR($MQ13=0,$MW13=0),"",IF($MF13=0,IF(OR($NT13&gt;=1,$OQ13=0),"Sem dano",$OQ13&amp;"d6"&amp;IF($MI13="",""," "&amp;$MI13)),IF(OR($NT13&gt;=1,$OQ13=0),UPPER(LEFT(INDEX($OZ13:$PF13,1,MAX(1,$MF13)),1))&amp;MID(INDEX($OZ13:$PF13,1,MAX(1,$MF13)),2,99),UPPER(LEFT(INDEX($OZ13:$PF13,1,MAX(1,$MF13)),1))&amp;MID(INDEX($OZ13:$PF13,1,MAX(1,$MF13)),2,99)&amp;IF($MI13="",""," "&amp;$MI13)&amp;IF($OR13&gt;0," · +"&amp;$OR13&amp;"d8",""))))</f>
        <v/>
      </c>
      <c r="PS13" s="152">
        <f>COUNTIF($MK13:$MN13,"Longe")+3*COUNTIF($MK13:$MN13,"Muito Longe")</f>
        <v/>
      </c>
      <c r="PT13" s="152">
        <f>COUNTIF($MK13:$MN13,"Maior")+3*COUNTIF($MK13:$MN13,"Muito Maior")</f>
        <v/>
      </c>
      <c r="PU13" s="152">
        <f>IF($MW13=0,0,CHOOSE(1+INDEX($AC$2:$AC$11,$MW13),0,$PS13,$PT13,$PS13+$PT13))</f>
        <v/>
      </c>
      <c r="PV13" s="152">
        <f>IF($MW13=0,0,CHOOSE(1+INDEX($AD$2:$AD$11,$MW13),0,$PS13,$PT13,$PS13+$PT13))</f>
        <v/>
      </c>
      <c r="PW13" s="152">
        <f>IF(OR($MQ13=0,$MW13=0),"",INDEX($AI$2:$AN$41,($MW13-1)*4+IF($MF13=0,1,IF($MF13&lt;=5,2,IF($MF13=6,3,4))),1+MIN(5,$PU13))&amp;INDEX($AO$2:$AT$41,($MW13-1)*4+IF($MF13=0,1,IF($MF13&lt;=5,2,IF($MF13=6,3,4))),1+MIN(5,$PV13))&amp;IF(INDEX($AE$2:$AE$11,$MW13)=1,IF(COUNTIF($MK13:$MN13,"Mais Um")&gt;0," · +"&amp;COUNTIF($MK13:$MN13,"Mais Um")&amp;IF(COUNTIF($MK13:$MN13,"Mais Um")&gt;1," alvos"," alvo"),"")&amp;IF(COUNTIF($MK13:$MN13,"Rajada")&gt;0,IF($MF13=0," · 1 tiro"," · "&amp;(MAX(1,$MF13-1)+1)&amp;" tiros"),""),""))</f>
        <v/>
      </c>
      <c r="PX13" s="152">
        <f>IF($MQ13=0,"",IF($MF13=0,$MT13&amp;"d6"&amp;IF($OH13&gt;0," − 1 = "&amp;$OQ13&amp;"d6"," da básica do nível "&amp;$MR13),$OO13&amp;" − "&amp;$OJ13&amp;" + "&amp;$OM13&amp;" = "&amp;$OP13&amp;" · teto "&amp;4*$MF13&amp;"d8"&amp;IF($NS13=1," · a Forma devolve "&amp;$MF13,"")&amp;IF($ON13&gt;0," · perde "&amp;$ON13,"")))</f>
        <v/>
      </c>
      <c r="PY13" s="152">
        <f>IF($MQ13=0,"",IF($MF13=0,"A básica não amplia: os dados dela sobem com o nível",IF($MF13&gt;=$MS13,"Já está na maior Classe que o nível liberou",TEXTJOIN(" · ",TRUE,IF(AND(2&gt;$MF13,2&lt;=$MS13),"2 → "&amp;$PA13&amp;", 6 PE",""),IF(AND(3&gt;$MF13,3&lt;=$MS13),"3 → "&amp;$PB13&amp;", 9 PE",""),IF(AND(4&gt;$MF13,4&lt;=$MS13),"4 → "&amp;$PC13&amp;", 12 PE",""),IF(AND(5&gt;$MF13,5&lt;=$MS13),"5 → "&amp;$PD13&amp;", 15 PE",""),IF(AND(6&gt;$MF13,6&lt;=$MS13),"6 → "&amp;$PE13&amp;", 18 PE",""),IF(AND(7&gt;$MF13,7&lt;=$MS13),"7 → "&amp;$PF13&amp;", 21 PE","")))))</f>
        <v/>
      </c>
      <c r="PZ13" s="152">
        <f>IF(OR($MQ13=0,$NB13=0),"",IF($MF13=0,"−1 dado","−"&amp;INDEX($I$2:$N$8,MAX(1,$MF13),MAX(1,$NG13))&amp;" · "&amp;CHOOSE(MAX(1,$NG13),"Leve","Média","Pesada","Leve · Livre","Média · Livre","Pesada · Livre")))</f>
        <v/>
      </c>
      <c r="QA13" s="152">
        <f>IF(OR($MQ13=0,$NC13=0),"",IF($MF13=0,"−1 dado","−"&amp;INDEX($I$2:$N$8,MAX(1,$MF13),MAX(1,$NH13))&amp;" · "&amp;CHOOSE(MAX(1,$NH13),"Leve","Média","Pesada","Leve · Livre","Média · Livre","Pesada · Livre")))</f>
        <v/>
      </c>
      <c r="QB13" s="152">
        <f>IF(OR($MQ13=0,$ND13=0),"",IF($MF13=0,"−1 dado","−"&amp;INDEX($I$2:$N$8,MAX(1,$MF13),MAX(1,$NI13))&amp;" · "&amp;CHOOSE(MAX(1,$NI13),"Leve","Média","Pesada","Leve · Livre","Média · Livre","Pesada · Livre")))</f>
        <v/>
      </c>
      <c r="QC13" s="152">
        <f>IF(OR($MQ13=0,$NE13=0),"",IF($MF13=0,"−1 dado","−"&amp;INDEX($I$2:$N$8,MAX(1,$MF13),MAX(1,$NJ13))&amp;" · "&amp;CHOOSE(MAX(1,$NJ13),"Leve","Média","Pesada","Leve · Livre","Média · Livre","Pesada · Livre")))</f>
        <v/>
      </c>
      <c r="QD13" s="152">
        <f>IF(OR($MQ13=0,$MO13=""),"",IF($MF13=0,"não devolve","+"&amp;IF($NV13=1,CEILING($MF13/2,1),$MF13)))</f>
        <v/>
      </c>
      <c r="QE13" s="152">
        <f>IF(OR($MQ13=0,$MP13=""),"",IF($MF13=0,"não devolve","+"&amp;IF($NW13=1,CEILING($MF13/2,1),$MF13)))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A14" s="152" t="n">
        <v>0</v>
      </c>
      <c r="BC14" s="150" t="inlineStr">
        <is>
          <t>Sem Volta</t>
        </is>
      </c>
      <c r="BD14" s="150" t="inlineStr">
        <is>
          <t>Sem Volta</t>
        </is>
      </c>
      <c r="BE14" s="152" t="n">
        <v>2</v>
      </c>
      <c r="BF14" s="152" t="n">
        <v>0</v>
      </c>
      <c r="BG14" s="150" t="inlineStr"/>
      <c r="BI14" s="150" t="inlineStr">
        <is>
          <t>Talento Próprio (CE 1)</t>
        </is>
      </c>
      <c r="BJ14" s="152" t="n">
        <v>1</v>
      </c>
      <c r="BK14" s="150" t="inlineStr">
        <is>
          <t>Escreva nas Anotações o benefício, o gatilho, o alcance, os usos, o custo e se ele pode ser desligado, fechados com o mestre.</t>
        </is>
      </c>
      <c r="BL14" s="150" t="inlineStr">
        <is>
          <t>Talento Próprio (CE 1)</t>
        </is>
      </c>
      <c r="CA14" s="150" t="inlineStr">
        <is>
          <t>Sobrevivência</t>
        </is>
      </c>
      <c r="CB14" s="150" t="inlineStr">
        <is>
          <t>Inteligência</t>
        </is>
      </c>
      <c r="CF14" s="150" t="inlineStr">
        <is>
          <t>Energia Reversa</t>
        </is>
      </c>
      <c r="JG14" s="152">
        <f>IF(OR($AW14="",COUNTIF($EF$2:$EJ$2,$AW14)&gt;0),$AV14,"")</f>
        <v/>
      </c>
      <c r="JH14" s="152">
        <f>IF(AND($AX14=1,OR($AW14="",COUNTIF($EF$2:$EJ$2,$AW14)&gt;0)),$AV14,"")</f>
        <v/>
      </c>
      <c r="JM14" s="152">
        <f>IF(OR($AW14="",COUNTIF($EF$3:$EJ$3,$AW14)&gt;0),$AV14,"")</f>
        <v/>
      </c>
      <c r="JN14" s="152">
        <f>IF(AND($AX14=1,OR($AW14="",COUNTIF($EF$3:$EJ$3,$AW14)&gt;0)),$AV14,"")</f>
        <v/>
      </c>
      <c r="JS14" s="152">
        <f>IF(OR($AW14="",COUNTIF($EF$4:$EJ$4,$AW14)&gt;0),$AV14,"")</f>
        <v/>
      </c>
      <c r="JT14" s="152">
        <f>IF(AND($AX14=1,OR($AW14="",COUNTIF($EF$4:$EJ$4,$AW14)&gt;0)),$AV14,"")</f>
        <v/>
      </c>
      <c r="JY14" s="152">
        <f>IF(OR($AW14="",COUNTIF($EF$5:$EJ$5,$AW14)&gt;0),$AV14,"")</f>
        <v/>
      </c>
      <c r="JZ14" s="152">
        <f>IF(AND($AX14=1,OR($AW14="",COUNTIF($EF$5:$EJ$5,$AW14)&gt;0)),$AV14,"")</f>
        <v/>
      </c>
      <c r="KE14" s="152">
        <f>IF(OR($AW14="",COUNTIF($EF$6:$EJ$6,$AW14)&gt;0),$AV14,"")</f>
        <v/>
      </c>
      <c r="KF14" s="152">
        <f>IF(AND($AX14=1,OR($AW14="",COUNTIF($EF$6:$EJ$6,$AW14)&gt;0)),$AV14,"")</f>
        <v/>
      </c>
      <c r="KK14" s="152">
        <f>IF(OR($AW14="",COUNTIF($EF$7:$EJ$7,$AW14)&gt;0),$AV14,"")</f>
        <v/>
      </c>
      <c r="KL14" s="152">
        <f>IF(AND($AX14=1,OR($AW14="",COUNTIF($EF$7:$EJ$7,$AW14)&gt;0)),$AV14,"")</f>
        <v/>
      </c>
      <c r="KQ14" s="152">
        <f>IF(OR($AW14="",COUNTIF($EF$8:$EJ$8,$AW14)&gt;0),$AV14,"")</f>
        <v/>
      </c>
      <c r="KR14" s="152">
        <f>IF(AND($AX14=1,OR($AW14="",COUNTIF($EF$8:$EJ$8,$AW14)&gt;0)),$AV14,"")</f>
        <v/>
      </c>
      <c r="KW14" s="152">
        <f>IF(OR($AW14="",COUNTIF($EF$9:$EJ$9,$AW14)&gt;0),$AV14,"")</f>
        <v/>
      </c>
      <c r="KX14" s="152">
        <f>IF(AND($AX14=1,OR($AW14="",COUNTIF($EF$9:$EJ$9,$AW14)&gt;0)),$AV14,"")</f>
        <v/>
      </c>
      <c r="LC14" s="152">
        <f>IF(OR($AW14="",COUNTIF($EF$10:$EJ$10,$AW14)&gt;0),$AV14,"")</f>
        <v/>
      </c>
      <c r="LD14" s="152">
        <f>IF(AND($AX14=1,OR($AW14="",COUNTIF($EF$10:$EJ$10,$AW14)&gt;0)),$AV14,"")</f>
        <v/>
      </c>
      <c r="LI14" s="152">
        <f>IF(OR($AW14="",COUNTIF($EF$11:$EJ$11,$AW14)&gt;0),$AV14,"")</f>
        <v/>
      </c>
      <c r="LJ14" s="152">
        <f>IF(AND($AX14=1,OR($AW14="",COUNTIF($EF$11:$EJ$11,$AW14)&gt;0)),$AV14,"")</f>
        <v/>
      </c>
      <c r="LO14" s="152">
        <f>IF(OR($AW14="",COUNTIF($EF$12:$EJ$12,$AW14)&gt;0),$AV14,"")</f>
        <v/>
      </c>
      <c r="LP14" s="152">
        <f>IF(AND($AX14=1,OR($AW14="",COUNTIF($EF$12:$EJ$12,$AW14)&gt;0)),$AV14,"")</f>
        <v/>
      </c>
      <c r="LU14" s="152">
        <f>IF(OR($AW14="",COUNTIF($EF$13:$EJ$13,$AW14)&gt;0),$AV14,"")</f>
        <v/>
      </c>
      <c r="LV14" s="152">
        <f>IF(AND($AX14=1,OR($AW14="",COUNTIF($EF$13:$EJ$13,$AW14)&gt;0)),$AV14,"")</f>
        <v/>
      </c>
      <c r="MA14" s="150" t="inlineStr">
        <is>
          <t>Ficha 1 · Escolha da trilha 3</t>
        </is>
      </c>
      <c r="MB14" s="152" t="n">
        <v>1</v>
      </c>
      <c r="MC14" s="152" t="n">
        <v>2</v>
      </c>
      <c r="MD14" s="152" t="n">
        <v>0</v>
      </c>
      <c r="ME14" s="150" t="inlineStr">
        <is>
          <t>ESCOLHA DA TRILHA 3</t>
        </is>
      </c>
      <c r="MF14" s="152">
        <f>MAX(0,MIN(7,N('INVOCAÇÕES'!$U$160)))</f>
        <v/>
      </c>
      <c r="MG14" s="152">
        <f>'INVOCAÇÕES'!$V$160&amp;""</f>
        <v/>
      </c>
      <c r="MH14" s="152">
        <f>'INVOCAÇÕES'!$U$165&amp;""</f>
        <v/>
      </c>
      <c r="MI14" s="152">
        <f>'INVOCAÇÕES'!$U$166&amp;""</f>
        <v/>
      </c>
      <c r="MJ14" s="152">
        <f>'INVOCAÇÕES'!$W$166&amp;""</f>
        <v/>
      </c>
      <c r="MK14" s="152">
        <f>'INVOCAÇÕES'!$V$169&amp;""</f>
        <v/>
      </c>
      <c r="ML14" s="152">
        <f>'INVOCAÇÕES'!$V$170&amp;""</f>
        <v/>
      </c>
      <c r="MM14" s="152">
        <f>'INVOCAÇÕES'!$V$171&amp;""</f>
        <v/>
      </c>
      <c r="MN14" s="152">
        <f>'INVOCAÇÕES'!$V$172&amp;""</f>
        <v/>
      </c>
      <c r="MO14" s="152">
        <f>'INVOCAÇÕES'!$V$173&amp;""</f>
        <v/>
      </c>
      <c r="MP14" s="152">
        <f>'INVOCAÇÕES'!$V$174&amp;""</f>
        <v/>
      </c>
      <c r="MQ14" s="152">
        <f>IF($MG14&lt;&gt;"",1,0)</f>
        <v/>
      </c>
      <c r="MR14" s="152">
        <f>INDEX($FI$2:$FI$13,$MB14)</f>
        <v/>
      </c>
      <c r="MS14" s="152">
        <f>INDEX($FJ$2:$FJ$13,$MB14)</f>
        <v/>
      </c>
      <c r="MT14" s="152">
        <f>INDEX($FK$2:$FK$13,$MB14)</f>
        <v/>
      </c>
      <c r="MU14" s="152">
        <f>INDEX($FV$2:$FV$13,$MB14)</f>
        <v/>
      </c>
      <c r="MV14" s="152">
        <f>INDEX($FW$2:$FW$13,$MB14)</f>
        <v/>
      </c>
      <c r="MW14" s="152">
        <f>IFERROR(MATCH($MH14,$V$2:$V$11,0),0)</f>
        <v/>
      </c>
      <c r="MX14" s="152">
        <f>IFERROR(VLOOKUP($MK14,$AV$2:$BA$84,2,FALSE),"")</f>
        <v/>
      </c>
      <c r="MY14" s="152">
        <f>IFERROR(VLOOKUP($ML14,$AV$2:$BA$84,2,FALSE),"")</f>
        <v/>
      </c>
      <c r="MZ14" s="152">
        <f>IFERROR(VLOOKUP($MM14,$AV$2:$BA$84,2,FALSE),"")</f>
        <v/>
      </c>
      <c r="NA14" s="152">
        <f>IFERROR(VLOOKUP($MN14,$AV$2:$BA$84,2,FALSE),"")</f>
        <v/>
      </c>
      <c r="NB14" s="152">
        <f>IFERROR(VLOOKUP($MK14,$AV$2:$BA$84,3,FALSE),0)</f>
        <v/>
      </c>
      <c r="NC14" s="152">
        <f>IFERROR(VLOOKUP($ML14,$AV$2:$BA$84,3,FALSE),0)</f>
        <v/>
      </c>
      <c r="ND14" s="152">
        <f>IFERROR(VLOOKUP($MM14,$AV$2:$BA$84,3,FALSE),0)</f>
        <v/>
      </c>
      <c r="NE14" s="152">
        <f>IFERROR(VLOOKUP($MN14,$AV$2:$BA$84,3,FALSE),0)</f>
        <v/>
      </c>
      <c r="NF14" s="152">
        <f>IF($MF14=0,0,IF($MW14=0,0,INDEX($X$2:$X$11,$MW14)))</f>
        <v/>
      </c>
      <c r="NG14" s="152">
        <f>IF(OR($NB14=0,$MF14=0),0,$NB14+3*IF(AND($MX14&lt;&gt;"",OR($MX14=INDEX($EF$2:$EF$13,$MB14),$MX14=INDEX($EG$2:$EG$13,$MB14))),1,0))</f>
        <v/>
      </c>
      <c r="NH14" s="152">
        <f>IF(OR($NC14=0,$MF14=0),0,$NC14+3*IF(AND($MY14&lt;&gt;"",OR($MY14=INDEX($EF$2:$EF$13,$MB14),$MY14=INDEX($EG$2:$EG$13,$MB14))),1,0))</f>
        <v/>
      </c>
      <c r="NI14" s="152">
        <f>IF(OR($ND14=0,$MF14=0),0,$ND14+3*IF(AND($MZ14&lt;&gt;"",OR($MZ14=INDEX($EF$2:$EF$13,$MB14),$MZ14=INDEX($EG$2:$EG$13,$MB14))),1,0))</f>
        <v/>
      </c>
      <c r="NJ14" s="152">
        <f>IF(OR($NE14=0,$MF14=0),0,$NE14+3*IF(AND($NA14&lt;&gt;"",OR($NA14=INDEX($EF$2:$EF$13,$MB14),$NA14=INDEX($EG$2:$EG$13,$MB14))),1,0))</f>
        <v/>
      </c>
      <c r="NK14" s="152">
        <f>IF($MW14=0,0,IF(INDEX($W$2:$W$11,$MW14)="",0,IF(COUNTIF(INDEX($EF$2:$EJ$13,$MB14,0),INDEX($W$2:$W$11,$MW14))=0,1,0)))</f>
        <v/>
      </c>
      <c r="NL14" s="152">
        <f>IF(OR($NB14=0,$MX14=""),0,IF(COUNTIF(INDEX($EF$2:$EJ$13,$MB14,0),$MX14)=0,1,0))</f>
        <v/>
      </c>
      <c r="NM14" s="152">
        <f>IF(OR($NC14=0,$MY14=""),0,IF(COUNTIF(INDEX($EF$2:$EJ$13,$MB14,0),$MY14)=0,1,0))</f>
        <v/>
      </c>
      <c r="NN14" s="152">
        <f>IF(OR($ND14=0,$MZ14=""),0,IF(COUNTIF(INDEX($EF$2:$EJ$13,$MB14,0),$MZ14)=0,1,0))</f>
        <v/>
      </c>
      <c r="NO14" s="152">
        <f>IF(OR($NE14=0,$NA14=""),0,IF(COUNTIF(INDEX($EF$2:$EJ$13,$MB14,0),$NA14)=0,1,0))</f>
        <v/>
      </c>
      <c r="NP14" s="152">
        <f>IFERROR(VLOOKUP($MK14,$AV$2:$BA$84,4,FALSE),0)+IFERROR(VLOOKUP($ML14,$AV$2:$BA$84,4,FALSE),0)+IFERROR(VLOOKUP($MM14,$AV$2:$BA$84,4,FALSE),0)+IFERROR(VLOOKUP($MN14,$AV$2:$BA$84,4,FALSE),0)</f>
        <v/>
      </c>
      <c r="NQ14" s="152">
        <f>IFERROR(VLOOKUP($MK14,$AV$2:$BA$84,6,FALSE),0)+IFERROR(VLOOKUP($ML14,$AV$2:$BA$84,6,FALSE),0)+IFERROR(VLOOKUP($MM14,$AV$2:$BA$84,6,FALSE),0)+IFERROR(VLOOKUP($MN14,$AV$2:$BA$84,6,FALSE),0)</f>
        <v/>
      </c>
      <c r="NR14" s="152">
        <f>TEXTJOIN(", ",TRUE,IF(IFERROR(VLOOKUP($MK14,$AV$2:$BA$84,5,FALSE),0)=1,$MK14,""),IF(IFERROR(VLOOKUP($ML14,$AV$2:$BA$84,5,FALSE),0)=1,$ML14,""),IF(IFERROR(VLOOKUP($MM14,$AV$2:$BA$84,5,FALSE),0)=1,$MM14,""),IF(IFERROR(VLOOKUP($MN14,$AV$2:$BA$84,5,FALSE),0)=1,$MN14,""))</f>
        <v/>
      </c>
      <c r="NS14" s="152">
        <f>IF($MW14=0,0,INDEX($Y$2:$Y$11,$MW14))</f>
        <v/>
      </c>
      <c r="NT14" s="152">
        <f>IF($MW14=0,0,INDEX($Z$2:$Z$11,$MW14))</f>
        <v/>
      </c>
      <c r="NU14" s="152">
        <f>IF($MW14=0,0,INDEX($AB$2:$AB$11,$MW14))</f>
        <v/>
      </c>
      <c r="NV14" s="152">
        <f>IFERROR(VLOOKUP($MO14,$BC$2:$BG$24,3,FALSE),0)</f>
        <v/>
      </c>
      <c r="NW14" s="152">
        <f>IFERROR(VLOOKUP($MP14,$BC$2:$BG$24,3,FALSE),0)</f>
        <v/>
      </c>
      <c r="NX14" s="152">
        <f>IFERROR(VLOOKUP($MO14,$BC$2:$BG$24,2,FALSE),"")</f>
        <v/>
      </c>
      <c r="NY14" s="152">
        <f>IFERROR(VLOOKUP($MP14,$BC$2:$BG$24,2,FALSE),"")</f>
        <v/>
      </c>
      <c r="NZ14" s="152">
        <f>COUNTIF($NF14:$NJ14,1)</f>
        <v/>
      </c>
      <c r="OA14" s="152">
        <f>COUNTIF($NF14:$NJ14,2)</f>
        <v/>
      </c>
      <c r="OB14" s="152">
        <f>COUNTIF($NF14:$NJ14,3)</f>
        <v/>
      </c>
      <c r="OC14" s="152">
        <f>COUNTIF($NF14:$NJ14,4)</f>
        <v/>
      </c>
      <c r="OD14" s="152">
        <f>COUNTIF($NF14:$NJ14,5)</f>
        <v/>
      </c>
      <c r="OE14" s="152">
        <f>COUNTIF($NF14:$NJ14,6)</f>
        <v/>
      </c>
      <c r="OF14" s="152">
        <f>COUNTIF($NV14:$NW14,1)</f>
        <v/>
      </c>
      <c r="OG14" s="152">
        <f>COUNTIF($NV14:$NW14,2)+$NS14</f>
        <v/>
      </c>
      <c r="OH14" s="152">
        <f>COUNTIF($MK14:$MN14,"?*")</f>
        <v/>
      </c>
      <c r="OI14" s="152">
        <f>COUNTIF($MO14:$MP14,"?*")+$NS14</f>
        <v/>
      </c>
      <c r="OJ14" s="152">
        <f>IF($MF14=0,0,SUMPRODUCT($NZ14:$OE14,INDEX($I$2:$N$8,MAX(1,$MF14),0)))</f>
        <v/>
      </c>
      <c r="OK14" s="152">
        <f>IF($MF14=0,0,$OF14*CEILING($MF14/2,1)+$OG14*$MF14)</f>
        <v/>
      </c>
      <c r="OL14" s="152">
        <f>MIN(2*$MF14,$OK14)</f>
        <v/>
      </c>
      <c r="OM14" s="152">
        <f>MIN($OL14,$OJ14)</f>
        <v/>
      </c>
      <c r="ON14" s="152">
        <f>$OL14-$OM14</f>
        <v/>
      </c>
      <c r="OO14" s="152">
        <f>IF($MF14=0,0,INDEX($P$2:$P$8,MAX(1,$MF14)))</f>
        <v/>
      </c>
      <c r="OP14" s="152">
        <f>$OO14-$OJ14+$OM14</f>
        <v/>
      </c>
      <c r="OQ14" s="152">
        <f>IF($MF14=0,MAX(0,$MT14-IF($OH14&gt;0,1,0)),MAX(0,$OP14))</f>
        <v/>
      </c>
      <c r="OR14" s="152">
        <f>IF($MF14=0,0,(IF(COUNTIF($MK14:$MN14,"Salto")&gt;0,1,0)+IF(COUNTIF($MK14:$MN14,"Queima")&gt;0,1,0)+IF(COUNTIF($MK14:$MN14,"Estilhaço")&gt;0,1,0))*FLOOR($OQ14/2,1))</f>
        <v/>
      </c>
      <c r="OS14" s="152">
        <f>MAX(0,2-SUMPRODUCT($NZ14:$OE14,$I$2:$N$2)+MIN(2,$OF14*1+$OG14*1,SUMPRODUCT($NZ14:$OE14,$I$2:$N$2)))</f>
        <v/>
      </c>
      <c r="OT14" s="152">
        <f>MAX(0,4-SUMPRODUCT($NZ14:$OE14,$I$3:$N$3)+MIN(4,$OF14*1+$OG14*2,SUMPRODUCT($NZ14:$OE14,$I$3:$N$3)))</f>
        <v/>
      </c>
      <c r="OU14" s="152">
        <f>MAX(0,6-SUMPRODUCT($NZ14:$OE14,$I$4:$N$4)+MIN(6,$OF14*2+$OG14*3,SUMPRODUCT($NZ14:$OE14,$I$4:$N$4)))</f>
        <v/>
      </c>
      <c r="OV14" s="152">
        <f>MAX(0,9-SUMPRODUCT($NZ14:$OE14,$I$5:$N$5)+MIN(8,$OF14*2+$OG14*4,SUMPRODUCT($NZ14:$OE14,$I$5:$N$5)))</f>
        <v/>
      </c>
      <c r="OW14" s="152">
        <f>MAX(0,11-SUMPRODUCT($NZ14:$OE14,$I$6:$N$6)+MIN(10,$OF14*3+$OG14*5,SUMPRODUCT($NZ14:$OE14,$I$6:$N$6)))</f>
        <v/>
      </c>
      <c r="OX14" s="152">
        <f>MAX(0,13-SUMPRODUCT($NZ14:$OE14,$I$7:$N$7)+MIN(12,$OF14*3+$OG14*6,SUMPRODUCT($NZ14:$OE14,$I$7:$N$7)))</f>
        <v/>
      </c>
      <c r="OY14" s="152">
        <f>MAX(0,16-SUMPRODUCT($NZ14:$OE14,$I$8:$N$8)+MIN(14,$OF14*4+$OG14*7,SUMPRODUCT($NZ14:$OE14,$I$8:$N$8)))</f>
        <v/>
      </c>
      <c r="OZ14" s="152">
        <f>IF($NT14=2,3*$OS14&amp;" de vida temp.",IF($NT14=3,"sem dano",IF($OS14=0,IF($NT14=1,"sem cura","sem dano"),IF($NT14=1,"cura ","")&amp;$OS14&amp;"d8")))</f>
        <v/>
      </c>
      <c r="PA14" s="152">
        <f>IF($NT14=2,3*$OT14&amp;" de vida temp.",IF($NT14=3,"sem dano",IF($OT14=0,IF($NT14=1,"sem cura","sem dano"),IF($NT14=1,"cura ","")&amp;$OT14&amp;"d8")))</f>
        <v/>
      </c>
      <c r="PB14" s="152">
        <f>IF($NT14=2,3*$OU14&amp;" de vida temp.",IF($NT14=3,"sem dano",IF($OU14=0,IF($NT14=1,"sem cura","sem dano"),IF($NT14=1,"cura ","")&amp;$OU14&amp;"d8")))</f>
        <v/>
      </c>
      <c r="PC14" s="152">
        <f>IF($NT14=2,3*$OV14&amp;" de vida temp.",IF($NT14=3,"sem dano",IF($OV14=0,IF($NT14=1,"sem cura","sem dano"),IF($NT14=1,"cura ","")&amp;$OV14&amp;"d8")))</f>
        <v/>
      </c>
      <c r="PD14" s="152">
        <f>IF($NT14=2,3*$OW14&amp;" de vida temp.",IF($NT14=3,"sem dano",IF($OW14=0,IF($NT14=1,"sem cura","sem dano"),IF($NT14=1,"cura ","")&amp;$OW14&amp;"d8")))</f>
        <v/>
      </c>
      <c r="PE14" s="152">
        <f>IF($NT14=2,3*$OX14&amp;" de vida temp.",IF($NT14=3,"sem dano",IF($OX14=0,IF($NT14=1,"sem cura","sem dano"),IF($NT14=1,"cura ","")&amp;$OX14&amp;"d8")))</f>
        <v/>
      </c>
      <c r="PF14" s="152">
        <f>IF($NT14=2,3*$OY14&amp;" de vida temp.",IF($NT14=3,"sem dano",IF($OY14=0,IF($NT14=1,"sem cura","sem dano"),IF($NT14=1,"cura ","")&amp;$OY14&amp;"d8")))</f>
        <v/>
      </c>
      <c r="PG14" s="152">
        <f>IF($MQ14=0,"",TEXTJOIN(" · ",TRUE,IF($MD14&gt;$MR14,"Este lugar abre no nível "&amp;$MD14,""),IF($MF14&gt;$MS14,"Classe "&amp;$MF14&amp;": o nível "&amp;$MR14&amp;" libera até a "&amp;$MS14,""),IF($NK14=1,"A Forma "&amp;$MH14&amp;" pede "&amp;INDEX($W$2:$W$11,$MW14)&amp;" aberta",""),IF(AND($MF14=0,$MW14&gt;0,IF($MW14=0,0,INDEX($AF$2:$AF$11,$MW14))=0),$MH14&amp;" não existe na Classe 0",""),IF($NL14=1,"Família Fechada: "&amp;$MK14,""),IF($NM14=1,"Família Fechada: "&amp;$ML14,""),IF($NN14=1,"Família Fechada: "&amp;$MM14,""),IF($NO14=1,"Família Fechada: "&amp;$MN14,""),IF(AND($MF14&gt;0,$OH14&gt;INDEX($O$2:$O$8,MAX(1,$MF14))),$OH14&amp;" Melhorias: a Classe "&amp;$MF14&amp;" aceita "&amp;INDEX($O$2:$O$8,MAX(1,$MF14)),""),IF(AND($MF14=0,$OH14&gt;1),"A básica aceita uma Melhoria",""),IF(AND($MF14=0,COUNTIF($NB14:$NE14,"&gt;1")&gt;0),"A básica só aceita Melhoria Leve",""),IF(AND($MF14&gt;0,$OI14&gt;2),$OI14&amp;" Restrições"&amp;IF($NS14=1,", contando a que a Forma "&amp;$MH14&amp;" já traz","")&amp;": o limite é 2",""),IF(AND($MF14=0,COUNTIF($MO14:$MP14,"?*")&gt;1),"A básica aceita uma Restrição Leve",""),IF(AND($MF14=0,COUNTIF($NV14:$NW14,2)&gt;0),"A básica só aceita Restrição Leve",""),IF(AND($MF14&gt;0,$OP14&lt;0),"Orçamento estourado: faltam "&amp;(-$OP14)&amp;IF($OP14&lt;-1," pontos"," ponto"),""),IF(IFERROR(VLOOKUP($MO14,$BC$2:$BG$24,4,FALSE),0)+IFERROR(VLOOKUP($MP14,$BC$2:$BG$24,4,FALSE),0)&gt;1,$NX14&amp;" e "&amp;$NY14&amp;" são as duas de frequência",""),IF(AND((COUNTIF($MK14:$MN14,"Rápido")+COUNTIF($NX14:$NY14,"Rápido"))&gt;0,(COUNTIF($MK14:$MN14,"Atrasar")+COUNTIF($NX14:$NY14,"Atrasar"))&gt;0),"Rápido não entra com Atrasar",""),IF(AND((COUNTIF($MK14:$MN14,"Reação")+COUNTIF($NX14:$NY14,"Reação"))&gt;0,(COUNTIF($MK14:$MN14,"Rápido")+COUNTIF($NX14:$NY14,"Rápido"))&gt;0),"Reação não entra com Rápido",""),IF(AND((COUNTIF($MK14:$MN14,"Reação")+COUNTIF($NX14:$NY14,"Reação"))&gt;0,(COUNTIF($MK14:$MN14,"Armado")+COUNTIF($NX14:$NY14,"Armado"))&gt;0),"Reação não entra com Armado",""),IF(AND((COUNTIF($MK14:$MN14,"Reação")+COUNTIF($NX14:$NY14,"Reação"))&gt;0,(COUNTIF($MK14:$MN14,"Atrasar")+COUNTIF($NX14:$NY14,"Atrasar"))&gt;0),"Reação não entra com Atrasar",""),IF(AND((COUNTIF($MK14:$MN14,"Reação")+COUNTIF($NX14:$NY14,"Reação"))&gt;0,(COUNTIF($MK14:$MN14,"Parado")+COUNTIF($NX14:$NY14,"Parado"))&gt;0),"Reação não entra com Parado",""),IF(AND((COUNTIF($MK14:$MN14,"Atrasar")+COUNTIF($NX14:$NY14,"Atrasar"))&gt;0,(COUNTIF($MK14:$MN14,"Parado")+COUNTIF($NX14:$NY14,"Parado"))&gt;0),"Atrasar não entra com Parado",""),IF(AND((COUNTIF($MK14:$MN14,"Armado")+COUNTIF($NX14:$NY14,"Armado"))&gt;0,(COUNTIF($MK14:$MN14,"Carregar")+COUNTIF($NX14:$NY14,"Carregar"))&gt;0),"Armado não entra com Carregar",""),IF(AND(COUNTIF($NX14:$NY14,"Corpo a Corpo")&gt;0,$NS14=0,OR($MH14="Cone",$MH14="Linha")),"Corpo a Corpo não entra em "&amp;$MH14,""),IF(AND(COUNTIF($NX14:$NY14,"Corpo a Corpo")&gt;0,$NS14=1),"A Forma "&amp;$MH14&amp;" já traz o Corpo a Corpo",""),IF(AND(COUNTIF($NX14:$NY14,"Tudo ou Nada")&gt;0,$NU14=0),"Tudo ou Nada só entra em habilidade de Teste de Resistência",""),IF(AND(COUNTIF($MK14:$MN14,"Inescapável")&gt;0,OR($OH14&gt;1,$OI14&gt;0)),"Inescapável não aceita outra peça",""),IF(AND($MF14&gt;0,$OQ14*IF(COUNTIF($MK14:$MN14,"Remate")&gt;0,1.25,1)+$OR14&gt;4*$MF14),($OQ14*IF(COUNTIF($MK14:$MN14,"Remate")&gt;0,1.25,1)+$OR14)&amp;" dados somando repetições"&amp;IF(COUNTIF($MK14:$MN14,"Remate")&gt;0," e o Remate","")&amp;": o teto da Classe "&amp;$MF14&amp;" é "&amp;4*$MF14,"")))</f>
        <v/>
      </c>
      <c r="PH14" s="152">
        <f>IF($PG14="",0,(LEN($PG14)-LEN(SUBSTITUTE($PG14," · ","")))/3+1)</f>
        <v/>
      </c>
      <c r="PI14" s="152">
        <f>IF($MQ14=0,"",TEXTJOIN(" · ",TRUE,IF($OK14&gt;2*$MF14,"A devolução parou no teto de "&amp;2*$MF14,""),IF($ON14&gt;0,"Devolução perdida: "&amp;$ON14&amp;IF($ON14&gt;1," pontos"," ponto")&amp;" sem peça para pagar",""),IF(AND($NP14&gt;0,AND($MF14&gt;0,$NT14=0),$OQ14=0),"Controle sem dano: uma rodada a mais e CD +2",""),IF(AND($NP14&gt;0,AND($MF14&gt;0,$NT14=0),$OQ14&gt;0,$OQ14&lt;=$MF14),"Controle com saldo até a Classe: uma rodada a mais",""),IF(AND($MF14&gt;0,$NR14&lt;&gt;""),"Efeito de "&amp;$NR14&amp;" pela Classe "&amp;MAX(1,$MF14-1),"")))</f>
        <v/>
      </c>
      <c r="PJ14" s="152">
        <f>IF($PI14="",0,(LEN($PI14)-LEN(SUBSTITUTE($PI14," · ","")))/3+1)</f>
        <v/>
      </c>
      <c r="PK14" s="152">
        <f>IF($MQ14=0,IF($OH14+COUNTIF($MO14:$MP14,"?*")&gt;0,"Dê um nome",""),IF($PH14&gt;0,"⚠ "&amp;$PH14&amp;IF($PH14&gt;1," erros"," erro"),IF($PJ14&gt;0,"! "&amp;$PJ14&amp;IF($PJ14&gt;1," avisos"," aviso"),"Na regra")))</f>
        <v/>
      </c>
      <c r="PL14" s="152">
        <f>IF($MQ14=0,"",IF($PH14+$PJ14=0,"Dentro das regras que a ficha confere",$PG14&amp;IF(AND($PH14&gt;0,$PJ14&gt;0)," · ","")&amp;$PI14))</f>
        <v/>
      </c>
      <c r="PM14" s="152">
        <f>IF($MD14&gt;$MR14,$ME14&amp;" · ABRE NO NÍVEL "&amp;$MD14,$ME14)</f>
        <v/>
      </c>
      <c r="PN14" s="152">
        <f>IF($MQ14=0,"",IF($MF14=0,"Sem PE",3*$MF14&amp;" PE"))</f>
        <v/>
      </c>
      <c r="PO14" s="152">
        <f>IF($MQ14=0,"",IF($MF14=0,"A atuação básica dela",IF(COUNTIF($NX14:$NY14,"Atrasar")&gt;0,"Sua Ação Completa",IF(COUNTIF($MK14:$MN14,"Rápido")&gt;0,"Sua Bônus",IF(COUNTIF($MK14:$MN14,"Reação")&gt;0,"Sua Reação","Sua Padrão")))&amp;" + a básica dela"&amp;IF(COUNTIF($MK14:$MN14,"Reação")&gt;0," e a coletiva","")&amp;IF(COUNTIF($NX14:$NY14,"Carregar")&gt;0," · em dois turnos","")))</f>
        <v/>
      </c>
      <c r="PP14" s="152">
        <f>IF($MJ14&lt;&gt;"",$MJ14,IF($MW14=0,"",INDEX($AA$2:$AA$11,$MW14)))</f>
        <v/>
      </c>
      <c r="PQ14" s="152">
        <f>IF(OR($MQ14=0,$MW14=0),"",IF(COUNTIF($MK14:$MN14,"Inescapável")&gt;0,"Automático",IF($PP14="Ataque",IF($MU14="","Ataque","Ataque "&amp;IF(($MU14+2*IF(COUNTIF($MK14:$MN14,"Precisão")&gt;0,1,0))&gt;=0,"+","−")&amp;ABS(($MU14+2*IF(COUNTIF($MK14:$MN14,"Precisão")&gt;0,1,0))))&amp;IF($NQ14&gt;0," · TR"&amp;IF($MV14="",""," CD "&amp;$MV14),""),IF(LEFT($PP14,2)="TR",$PP14&amp;IF($MV14="",""," · CD "&amp;$MV14)&amp;IF(COUNTIF($MK14:$MN14,"Certeiro")&gt;0," · metade",""),"Sem rolagem"))))</f>
        <v/>
      </c>
      <c r="PR14" s="152">
        <f>IF(OR($MQ14=0,$MW14=0),"",IF($MF14=0,IF(OR($NT14&gt;=1,$OQ14=0),"Sem dano",$OQ14&amp;"d6"&amp;IF($MI14="",""," "&amp;$MI14)),IF(OR($NT14&gt;=1,$OQ14=0),UPPER(LEFT(INDEX($OZ14:$PF14,1,MAX(1,$MF14)),1))&amp;MID(INDEX($OZ14:$PF14,1,MAX(1,$MF14)),2,99),UPPER(LEFT(INDEX($OZ14:$PF14,1,MAX(1,$MF14)),1))&amp;MID(INDEX($OZ14:$PF14,1,MAX(1,$MF14)),2,99)&amp;IF($MI14="",""," "&amp;$MI14)&amp;IF($OR14&gt;0," · +"&amp;$OR14&amp;"d8",""))))</f>
        <v/>
      </c>
      <c r="PS14" s="152">
        <f>COUNTIF($MK14:$MN14,"Longe")+3*COUNTIF($MK14:$MN14,"Muito Longe")</f>
        <v/>
      </c>
      <c r="PT14" s="152">
        <f>COUNTIF($MK14:$MN14,"Maior")+3*COUNTIF($MK14:$MN14,"Muito Maior")</f>
        <v/>
      </c>
      <c r="PU14" s="152">
        <f>IF($MW14=0,0,CHOOSE(1+INDEX($AC$2:$AC$11,$MW14),0,$PS14,$PT14,$PS14+$PT14))</f>
        <v/>
      </c>
      <c r="PV14" s="152">
        <f>IF($MW14=0,0,CHOOSE(1+INDEX($AD$2:$AD$11,$MW14),0,$PS14,$PT14,$PS14+$PT14))</f>
        <v/>
      </c>
      <c r="PW14" s="152">
        <f>IF(OR($MQ14=0,$MW14=0),"",INDEX($AI$2:$AN$41,($MW14-1)*4+IF($MF14=0,1,IF($MF14&lt;=5,2,IF($MF14=6,3,4))),1+MIN(5,$PU14))&amp;INDEX($AO$2:$AT$41,($MW14-1)*4+IF($MF14=0,1,IF($MF14&lt;=5,2,IF($MF14=6,3,4))),1+MIN(5,$PV14))&amp;IF(INDEX($AE$2:$AE$11,$MW14)=1,IF(COUNTIF($MK14:$MN14,"Mais Um")&gt;0," · +"&amp;COUNTIF($MK14:$MN14,"Mais Um")&amp;IF(COUNTIF($MK14:$MN14,"Mais Um")&gt;1," alvos"," alvo"),"")&amp;IF(COUNTIF($MK14:$MN14,"Rajada")&gt;0,IF($MF14=0," · 1 tiro"," · "&amp;(MAX(1,$MF14-1)+1)&amp;" tiros"),""),""))</f>
        <v/>
      </c>
      <c r="PX14" s="152">
        <f>IF($MQ14=0,"",IF($MF14=0,$MT14&amp;"d6"&amp;IF($OH14&gt;0," − 1 = "&amp;$OQ14&amp;"d6"," da básica do nível "&amp;$MR14),$OO14&amp;" − "&amp;$OJ14&amp;" + "&amp;$OM14&amp;" = "&amp;$OP14&amp;" · teto "&amp;4*$MF14&amp;"d8"&amp;IF($NS14=1," · a Forma devolve "&amp;$MF14,"")&amp;IF($ON14&gt;0," · perde "&amp;$ON14,"")))</f>
        <v/>
      </c>
      <c r="PY14" s="152">
        <f>IF($MQ14=0,"",IF($MF14=0,"A básica não amplia: os dados dela sobem com o nível",IF($MF14&gt;=$MS14,"Já está na maior Classe que o nível liberou",TEXTJOIN(" · ",TRUE,IF(AND(2&gt;$MF14,2&lt;=$MS14),"2 → "&amp;$PA14&amp;", 6 PE",""),IF(AND(3&gt;$MF14,3&lt;=$MS14),"3 → "&amp;$PB14&amp;", 9 PE",""),IF(AND(4&gt;$MF14,4&lt;=$MS14),"4 → "&amp;$PC14&amp;", 12 PE",""),IF(AND(5&gt;$MF14,5&lt;=$MS14),"5 → "&amp;$PD14&amp;", 15 PE",""),IF(AND(6&gt;$MF14,6&lt;=$MS14),"6 → "&amp;$PE14&amp;", 18 PE",""),IF(AND(7&gt;$MF14,7&lt;=$MS14),"7 → "&amp;$PF14&amp;", 21 PE","")))))</f>
        <v/>
      </c>
      <c r="PZ14" s="152">
        <f>IF(OR($MQ14=0,$NB14=0),"",IF($MF14=0,"−1 dado","−"&amp;INDEX($I$2:$N$8,MAX(1,$MF14),MAX(1,$NG14))&amp;" · "&amp;CHOOSE(MAX(1,$NG14),"Leve","Média","Pesada","Leve · Livre","Média · Livre","Pesada · Livre")))</f>
        <v/>
      </c>
      <c r="QA14" s="152">
        <f>IF(OR($MQ14=0,$NC14=0),"",IF($MF14=0,"−1 dado","−"&amp;INDEX($I$2:$N$8,MAX(1,$MF14),MAX(1,$NH14))&amp;" · "&amp;CHOOSE(MAX(1,$NH14),"Leve","Média","Pesada","Leve · Livre","Média · Livre","Pesada · Livre")))</f>
        <v/>
      </c>
      <c r="QB14" s="152">
        <f>IF(OR($MQ14=0,$ND14=0),"",IF($MF14=0,"−1 dado","−"&amp;INDEX($I$2:$N$8,MAX(1,$MF14),MAX(1,$NI14))&amp;" · "&amp;CHOOSE(MAX(1,$NI14),"Leve","Média","Pesada","Leve · Livre","Média · Livre","Pesada · Livre")))</f>
        <v/>
      </c>
      <c r="QC14" s="152">
        <f>IF(OR($MQ14=0,$NE14=0),"",IF($MF14=0,"−1 dado","−"&amp;INDEX($I$2:$N$8,MAX(1,$MF14),MAX(1,$NJ14))&amp;" · "&amp;CHOOSE(MAX(1,$NJ14),"Leve","Média","Pesada","Leve · Livre","Média · Livre","Pesada · Livre")))</f>
        <v/>
      </c>
      <c r="QD14" s="152">
        <f>IF(OR($MQ14=0,$MO14=""),"",IF($MF14=0,"não devolve","+"&amp;IF($NV14=1,CEILING($MF14/2,1),$MF14)))</f>
        <v/>
      </c>
      <c r="QE14" s="152">
        <f>IF(OR($MQ14=0,$MP14=""),"",IF($MF14=0,"não devolve","+"&amp;IF($NW14=1,CEILING($MF14/2,1),$MF14)))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A15" s="152" t="n">
        <v>0</v>
      </c>
      <c r="BC15" s="150" t="inlineStr">
        <is>
          <t>Uma Vez</t>
        </is>
      </c>
      <c r="BD15" s="150" t="inlineStr">
        <is>
          <t>Uma Vez</t>
        </is>
      </c>
      <c r="BE15" s="152" t="n">
        <v>1</v>
      </c>
      <c r="BF15" s="152" t="n">
        <v>1</v>
      </c>
      <c r="BG15" s="150" t="inlineStr">
        <is>
          <t>Uma Vez</t>
        </is>
      </c>
      <c r="BI15" s="150" t="inlineStr">
        <is>
          <t>Talento Próprio (CE 3)</t>
        </is>
      </c>
      <c r="BJ15" s="152" t="n">
        <v>3</v>
      </c>
      <c r="BK15" s="150" t="inlineStr">
        <is>
          <t>Escreva nas Anotações o benefício, o gatilho, o alcance, os usos, o custo e se ele pode ser desligado, fechados com o mestre.</t>
        </is>
      </c>
      <c r="BL15" s="150" t="inlineStr"/>
      <c r="CA15" s="150" t="inlineStr">
        <is>
          <t>Natureza</t>
        </is>
      </c>
      <c r="CB15" s="150" t="inlineStr">
        <is>
          <t>Inteligência</t>
        </is>
      </c>
      <c r="CF15" s="150" t="inlineStr">
        <is>
          <t>Força</t>
        </is>
      </c>
      <c r="JG15" s="152">
        <f>IF(OR($AW15="",COUNTIF($EF$2:$EJ$2,$AW15)&gt;0),$AV15,"")</f>
        <v/>
      </c>
      <c r="JH15" s="152">
        <f>IF(AND($AX15=1,OR($AW15="",COUNTIF($EF$2:$EJ$2,$AW15)&gt;0)),$AV15,"")</f>
        <v/>
      </c>
      <c r="JM15" s="152">
        <f>IF(OR($AW15="",COUNTIF($EF$3:$EJ$3,$AW15)&gt;0),$AV15,"")</f>
        <v/>
      </c>
      <c r="JN15" s="152">
        <f>IF(AND($AX15=1,OR($AW15="",COUNTIF($EF$3:$EJ$3,$AW15)&gt;0)),$AV15,"")</f>
        <v/>
      </c>
      <c r="JS15" s="152">
        <f>IF(OR($AW15="",COUNTIF($EF$4:$EJ$4,$AW15)&gt;0),$AV15,"")</f>
        <v/>
      </c>
      <c r="JT15" s="152">
        <f>IF(AND($AX15=1,OR($AW15="",COUNTIF($EF$4:$EJ$4,$AW15)&gt;0)),$AV15,"")</f>
        <v/>
      </c>
      <c r="JY15" s="152">
        <f>IF(OR($AW15="",COUNTIF($EF$5:$EJ$5,$AW15)&gt;0),$AV15,"")</f>
        <v/>
      </c>
      <c r="JZ15" s="152">
        <f>IF(AND($AX15=1,OR($AW15="",COUNTIF($EF$5:$EJ$5,$AW15)&gt;0)),$AV15,"")</f>
        <v/>
      </c>
      <c r="KE15" s="152">
        <f>IF(OR($AW15="",COUNTIF($EF$6:$EJ$6,$AW15)&gt;0),$AV15,"")</f>
        <v/>
      </c>
      <c r="KF15" s="152">
        <f>IF(AND($AX15=1,OR($AW15="",COUNTIF($EF$6:$EJ$6,$AW15)&gt;0)),$AV15,"")</f>
        <v/>
      </c>
      <c r="KK15" s="152">
        <f>IF(OR($AW15="",COUNTIF($EF$7:$EJ$7,$AW15)&gt;0),$AV15,"")</f>
        <v/>
      </c>
      <c r="KL15" s="152">
        <f>IF(AND($AX15=1,OR($AW15="",COUNTIF($EF$7:$EJ$7,$AW15)&gt;0)),$AV15,"")</f>
        <v/>
      </c>
      <c r="KQ15" s="152">
        <f>IF(OR($AW15="",COUNTIF($EF$8:$EJ$8,$AW15)&gt;0),$AV15,"")</f>
        <v/>
      </c>
      <c r="KR15" s="152">
        <f>IF(AND($AX15=1,OR($AW15="",COUNTIF($EF$8:$EJ$8,$AW15)&gt;0)),$AV15,"")</f>
        <v/>
      </c>
      <c r="KW15" s="152">
        <f>IF(OR($AW15="",COUNTIF($EF$9:$EJ$9,$AW15)&gt;0),$AV15,"")</f>
        <v/>
      </c>
      <c r="KX15" s="152">
        <f>IF(AND($AX15=1,OR($AW15="",COUNTIF($EF$9:$EJ$9,$AW15)&gt;0)),$AV15,"")</f>
        <v/>
      </c>
      <c r="LC15" s="152">
        <f>IF(OR($AW15="",COUNTIF($EF$10:$EJ$10,$AW15)&gt;0),$AV15,"")</f>
        <v/>
      </c>
      <c r="LD15" s="152">
        <f>IF(AND($AX15=1,OR($AW15="",COUNTIF($EF$10:$EJ$10,$AW15)&gt;0)),$AV15,"")</f>
        <v/>
      </c>
      <c r="LI15" s="152">
        <f>IF(OR($AW15="",COUNTIF($EF$11:$EJ$11,$AW15)&gt;0),$AV15,"")</f>
        <v/>
      </c>
      <c r="LJ15" s="152">
        <f>IF(AND($AX15=1,OR($AW15="",COUNTIF($EF$11:$EJ$11,$AW15)&gt;0)),$AV15,"")</f>
        <v/>
      </c>
      <c r="LO15" s="152">
        <f>IF(OR($AW15="",COUNTIF($EF$12:$EJ$12,$AW15)&gt;0),$AV15,"")</f>
        <v/>
      </c>
      <c r="LP15" s="152">
        <f>IF(AND($AX15=1,OR($AW15="",COUNTIF($EF$12:$EJ$12,$AW15)&gt;0)),$AV15,"")</f>
        <v/>
      </c>
      <c r="LU15" s="152">
        <f>IF(OR($AW15="",COUNTIF($EF$13:$EJ$13,$AW15)&gt;0),$AV15,"")</f>
        <v/>
      </c>
      <c r="LV15" s="152">
        <f>IF(AND($AX15=1,OR($AW15="",COUNTIF($EF$13:$EJ$13,$AW15)&gt;0)),$AV15,"")</f>
        <v/>
      </c>
      <c r="MA15" s="150" t="inlineStr">
        <is>
          <t>Ficha 2 · Básica 1</t>
        </is>
      </c>
      <c r="MB15" s="152" t="n">
        <v>2</v>
      </c>
      <c r="MC15" s="152" t="n">
        <v>0</v>
      </c>
      <c r="MD15" s="152" t="n">
        <v>1</v>
      </c>
      <c r="ME15" s="150" t="inlineStr">
        <is>
          <t>BÁSICA 1</t>
        </is>
      </c>
      <c r="MF15" s="152" t="n">
        <v>0</v>
      </c>
      <c r="MG15" s="152">
        <f>'INVOCAÇÕES'!$J$256&amp;""</f>
        <v/>
      </c>
      <c r="MH15" s="152">
        <f>'INVOCAÇÕES'!$I$261&amp;""</f>
        <v/>
      </c>
      <c r="MI15" s="152">
        <f>'INVOCAÇÕES'!$I$262&amp;""</f>
        <v/>
      </c>
      <c r="MJ15" s="152">
        <f>'INVOCAÇÕES'!$K$262&amp;""</f>
        <v/>
      </c>
      <c r="MK15" s="152">
        <f>'INVOCAÇÕES'!$J$265&amp;""</f>
        <v/>
      </c>
      <c r="ML15" s="152">
        <f>'INVOCAÇÕES'!$J$266&amp;""</f>
        <v/>
      </c>
      <c r="MM15" s="152">
        <f>'INVOCAÇÕES'!$J$267&amp;""</f>
        <v/>
      </c>
      <c r="MN15" s="152">
        <f>'INVOCAÇÕES'!$J$268&amp;""</f>
        <v/>
      </c>
      <c r="MO15" s="152">
        <f>'INVOCAÇÕES'!$J$269&amp;""</f>
        <v/>
      </c>
      <c r="MP15" s="152">
        <f>'INVOCAÇÕES'!$J$270&amp;""</f>
        <v/>
      </c>
      <c r="MQ15" s="152">
        <f>IF($MG15&lt;&gt;"",1,0)</f>
        <v/>
      </c>
      <c r="MR15" s="152">
        <f>INDEX($FI$2:$FI$13,$MB15)</f>
        <v/>
      </c>
      <c r="MS15" s="152">
        <f>INDEX($FJ$2:$FJ$13,$MB15)</f>
        <v/>
      </c>
      <c r="MT15" s="152">
        <f>INDEX($FK$2:$FK$13,$MB15)</f>
        <v/>
      </c>
      <c r="MU15" s="152">
        <f>INDEX($FV$2:$FV$13,$MB15)</f>
        <v/>
      </c>
      <c r="MV15" s="152">
        <f>INDEX($FW$2:$FW$13,$MB15)</f>
        <v/>
      </c>
      <c r="MW15" s="152">
        <f>IFERROR(MATCH($MH15,$V$2:$V$11,0),0)</f>
        <v/>
      </c>
      <c r="MX15" s="152">
        <f>IFERROR(VLOOKUP($MK15,$AV$2:$BA$84,2,FALSE),"")</f>
        <v/>
      </c>
      <c r="MY15" s="152">
        <f>IFERROR(VLOOKUP($ML15,$AV$2:$BA$84,2,FALSE),"")</f>
        <v/>
      </c>
      <c r="MZ15" s="152">
        <f>IFERROR(VLOOKUP($MM15,$AV$2:$BA$84,2,FALSE),"")</f>
        <v/>
      </c>
      <c r="NA15" s="152">
        <f>IFERROR(VLOOKUP($MN15,$AV$2:$BA$84,2,FALSE),"")</f>
        <v/>
      </c>
      <c r="NB15" s="152">
        <f>IFERROR(VLOOKUP($MK15,$AV$2:$BA$84,3,FALSE),0)</f>
        <v/>
      </c>
      <c r="NC15" s="152">
        <f>IFERROR(VLOOKUP($ML15,$AV$2:$BA$84,3,FALSE),0)</f>
        <v/>
      </c>
      <c r="ND15" s="152">
        <f>IFERROR(VLOOKUP($MM15,$AV$2:$BA$84,3,FALSE),0)</f>
        <v/>
      </c>
      <c r="NE15" s="152">
        <f>IFERROR(VLOOKUP($MN15,$AV$2:$BA$84,3,FALSE),0)</f>
        <v/>
      </c>
      <c r="NF15" s="152">
        <f>IF($MF15=0,0,IF($MW15=0,0,INDEX($X$2:$X$11,$MW15)))</f>
        <v/>
      </c>
      <c r="NG15" s="152">
        <f>IF(OR($NB15=0,$MF15=0),0,$NB15+3*IF(AND($MX15&lt;&gt;"",OR($MX15=INDEX($EF$2:$EF$13,$MB15),$MX15=INDEX($EG$2:$EG$13,$MB15))),1,0))</f>
        <v/>
      </c>
      <c r="NH15" s="152">
        <f>IF(OR($NC15=0,$MF15=0),0,$NC15+3*IF(AND($MY15&lt;&gt;"",OR($MY15=INDEX($EF$2:$EF$13,$MB15),$MY15=INDEX($EG$2:$EG$13,$MB15))),1,0))</f>
        <v/>
      </c>
      <c r="NI15" s="152">
        <f>IF(OR($ND15=0,$MF15=0),0,$ND15+3*IF(AND($MZ15&lt;&gt;"",OR($MZ15=INDEX($EF$2:$EF$13,$MB15),$MZ15=INDEX($EG$2:$EG$13,$MB15))),1,0))</f>
        <v/>
      </c>
      <c r="NJ15" s="152">
        <f>IF(OR($NE15=0,$MF15=0),0,$NE15+3*IF(AND($NA15&lt;&gt;"",OR($NA15=INDEX($EF$2:$EF$13,$MB15),$NA15=INDEX($EG$2:$EG$13,$MB15))),1,0))</f>
        <v/>
      </c>
      <c r="NK15" s="152">
        <f>IF($MW15=0,0,IF(INDEX($W$2:$W$11,$MW15)="",0,IF(COUNTIF(INDEX($EF$2:$EJ$13,$MB15,0),INDEX($W$2:$W$11,$MW15))=0,1,0)))</f>
        <v/>
      </c>
      <c r="NL15" s="152">
        <f>IF(OR($NB15=0,$MX15=""),0,IF(COUNTIF(INDEX($EF$2:$EJ$13,$MB15,0),$MX15)=0,1,0))</f>
        <v/>
      </c>
      <c r="NM15" s="152">
        <f>IF(OR($NC15=0,$MY15=""),0,IF(COUNTIF(INDEX($EF$2:$EJ$13,$MB15,0),$MY15)=0,1,0))</f>
        <v/>
      </c>
      <c r="NN15" s="152">
        <f>IF(OR($ND15=0,$MZ15=""),0,IF(COUNTIF(INDEX($EF$2:$EJ$13,$MB15,0),$MZ15)=0,1,0))</f>
        <v/>
      </c>
      <c r="NO15" s="152">
        <f>IF(OR($NE15=0,$NA15=""),0,IF(COUNTIF(INDEX($EF$2:$EJ$13,$MB15,0),$NA15)=0,1,0))</f>
        <v/>
      </c>
      <c r="NP15" s="152">
        <f>IFERROR(VLOOKUP($MK15,$AV$2:$BA$84,4,FALSE),0)+IFERROR(VLOOKUP($ML15,$AV$2:$BA$84,4,FALSE),0)+IFERROR(VLOOKUP($MM15,$AV$2:$BA$84,4,FALSE),0)+IFERROR(VLOOKUP($MN15,$AV$2:$BA$84,4,FALSE),0)</f>
        <v/>
      </c>
      <c r="NQ15" s="152">
        <f>IFERROR(VLOOKUP($MK15,$AV$2:$BA$84,6,FALSE),0)+IFERROR(VLOOKUP($ML15,$AV$2:$BA$84,6,FALSE),0)+IFERROR(VLOOKUP($MM15,$AV$2:$BA$84,6,FALSE),0)+IFERROR(VLOOKUP($MN15,$AV$2:$BA$84,6,FALSE),0)</f>
        <v/>
      </c>
      <c r="NR15" s="152">
        <f>TEXTJOIN(", ",TRUE,IF(IFERROR(VLOOKUP($MK15,$AV$2:$BA$84,5,FALSE),0)=1,$MK15,""),IF(IFERROR(VLOOKUP($ML15,$AV$2:$BA$84,5,FALSE),0)=1,$ML15,""),IF(IFERROR(VLOOKUP($MM15,$AV$2:$BA$84,5,FALSE),0)=1,$MM15,""),IF(IFERROR(VLOOKUP($MN15,$AV$2:$BA$84,5,FALSE),0)=1,$MN15,""))</f>
        <v/>
      </c>
      <c r="NS15" s="152">
        <f>IF($MW15=0,0,INDEX($Y$2:$Y$11,$MW15))</f>
        <v/>
      </c>
      <c r="NT15" s="152">
        <f>IF($MW15=0,0,INDEX($Z$2:$Z$11,$MW15))</f>
        <v/>
      </c>
      <c r="NU15" s="152">
        <f>IF($MW15=0,0,INDEX($AB$2:$AB$11,$MW15))</f>
        <v/>
      </c>
      <c r="NV15" s="152">
        <f>IFERROR(VLOOKUP($MO15,$BC$2:$BG$24,3,FALSE),0)</f>
        <v/>
      </c>
      <c r="NW15" s="152">
        <f>IFERROR(VLOOKUP($MP15,$BC$2:$BG$24,3,FALSE),0)</f>
        <v/>
      </c>
      <c r="NX15" s="152">
        <f>IFERROR(VLOOKUP($MO15,$BC$2:$BG$24,2,FALSE),"")</f>
        <v/>
      </c>
      <c r="NY15" s="152">
        <f>IFERROR(VLOOKUP($MP15,$BC$2:$BG$24,2,FALSE),"")</f>
        <v/>
      </c>
      <c r="NZ15" s="152">
        <f>COUNTIF($NF15:$NJ15,1)</f>
        <v/>
      </c>
      <c r="OA15" s="152">
        <f>COUNTIF($NF15:$NJ15,2)</f>
        <v/>
      </c>
      <c r="OB15" s="152">
        <f>COUNTIF($NF15:$NJ15,3)</f>
        <v/>
      </c>
      <c r="OC15" s="152">
        <f>COUNTIF($NF15:$NJ15,4)</f>
        <v/>
      </c>
      <c r="OD15" s="152">
        <f>COUNTIF($NF15:$NJ15,5)</f>
        <v/>
      </c>
      <c r="OE15" s="152">
        <f>COUNTIF($NF15:$NJ15,6)</f>
        <v/>
      </c>
      <c r="OF15" s="152">
        <f>COUNTIF($NV15:$NW15,1)</f>
        <v/>
      </c>
      <c r="OG15" s="152">
        <f>COUNTIF($NV15:$NW15,2)+$NS15</f>
        <v/>
      </c>
      <c r="OH15" s="152">
        <f>COUNTIF($MK15:$MN15,"?*")</f>
        <v/>
      </c>
      <c r="OI15" s="152">
        <f>COUNTIF($MO15:$MP15,"?*")+$NS15</f>
        <v/>
      </c>
      <c r="OJ15" s="152">
        <f>IF($MF15=0,0,SUMPRODUCT($NZ15:$OE15,INDEX($I$2:$N$8,MAX(1,$MF15),0)))</f>
        <v/>
      </c>
      <c r="OK15" s="152">
        <f>IF($MF15=0,0,$OF15*CEILING($MF15/2,1)+$OG15*$MF15)</f>
        <v/>
      </c>
      <c r="OL15" s="152">
        <f>MIN(2*$MF15,$OK15)</f>
        <v/>
      </c>
      <c r="OM15" s="152">
        <f>MIN($OL15,$OJ15)</f>
        <v/>
      </c>
      <c r="ON15" s="152">
        <f>$OL15-$OM15</f>
        <v/>
      </c>
      <c r="OO15" s="152">
        <f>IF($MF15=0,0,INDEX($P$2:$P$8,MAX(1,$MF15)))</f>
        <v/>
      </c>
      <c r="OP15" s="152">
        <f>$OO15-$OJ15+$OM15</f>
        <v/>
      </c>
      <c r="OQ15" s="152">
        <f>IF($MF15=0,MAX(0,$MT15-IF($OH15&gt;0,1,0)),MAX(0,$OP15))</f>
        <v/>
      </c>
      <c r="OR15" s="152">
        <f>IF($MF15=0,0,(IF(COUNTIF($MK15:$MN15,"Salto")&gt;0,1,0)+IF(COUNTIF($MK15:$MN15,"Queima")&gt;0,1,0)+IF(COUNTIF($MK15:$MN15,"Estilhaço")&gt;0,1,0))*FLOOR($OQ15/2,1))</f>
        <v/>
      </c>
      <c r="OS15" s="152">
        <f>MAX(0,2-SUMPRODUCT($NZ15:$OE15,$I$2:$N$2)+MIN(2,$OF15*1+$OG15*1,SUMPRODUCT($NZ15:$OE15,$I$2:$N$2)))</f>
        <v/>
      </c>
      <c r="OT15" s="152">
        <f>MAX(0,4-SUMPRODUCT($NZ15:$OE15,$I$3:$N$3)+MIN(4,$OF15*1+$OG15*2,SUMPRODUCT($NZ15:$OE15,$I$3:$N$3)))</f>
        <v/>
      </c>
      <c r="OU15" s="152">
        <f>MAX(0,6-SUMPRODUCT($NZ15:$OE15,$I$4:$N$4)+MIN(6,$OF15*2+$OG15*3,SUMPRODUCT($NZ15:$OE15,$I$4:$N$4)))</f>
        <v/>
      </c>
      <c r="OV15" s="152">
        <f>MAX(0,9-SUMPRODUCT($NZ15:$OE15,$I$5:$N$5)+MIN(8,$OF15*2+$OG15*4,SUMPRODUCT($NZ15:$OE15,$I$5:$N$5)))</f>
        <v/>
      </c>
      <c r="OW15" s="152">
        <f>MAX(0,11-SUMPRODUCT($NZ15:$OE15,$I$6:$N$6)+MIN(10,$OF15*3+$OG15*5,SUMPRODUCT($NZ15:$OE15,$I$6:$N$6)))</f>
        <v/>
      </c>
      <c r="OX15" s="152">
        <f>MAX(0,13-SUMPRODUCT($NZ15:$OE15,$I$7:$N$7)+MIN(12,$OF15*3+$OG15*6,SUMPRODUCT($NZ15:$OE15,$I$7:$N$7)))</f>
        <v/>
      </c>
      <c r="OY15" s="152">
        <f>MAX(0,16-SUMPRODUCT($NZ15:$OE15,$I$8:$N$8)+MIN(14,$OF15*4+$OG15*7,SUMPRODUCT($NZ15:$OE15,$I$8:$N$8)))</f>
        <v/>
      </c>
      <c r="OZ15" s="152">
        <f>IF($NT15=2,3*$OS15&amp;" de vida temp.",IF($NT15=3,"sem dano",IF($OS15=0,IF($NT15=1,"sem cura","sem dano"),IF($NT15=1,"cura ","")&amp;$OS15&amp;"d8")))</f>
        <v/>
      </c>
      <c r="PA15" s="152">
        <f>IF($NT15=2,3*$OT15&amp;" de vida temp.",IF($NT15=3,"sem dano",IF($OT15=0,IF($NT15=1,"sem cura","sem dano"),IF($NT15=1,"cura ","")&amp;$OT15&amp;"d8")))</f>
        <v/>
      </c>
      <c r="PB15" s="152">
        <f>IF($NT15=2,3*$OU15&amp;" de vida temp.",IF($NT15=3,"sem dano",IF($OU15=0,IF($NT15=1,"sem cura","sem dano"),IF($NT15=1,"cura ","")&amp;$OU15&amp;"d8")))</f>
        <v/>
      </c>
      <c r="PC15" s="152">
        <f>IF($NT15=2,3*$OV15&amp;" de vida temp.",IF($NT15=3,"sem dano",IF($OV15=0,IF($NT15=1,"sem cura","sem dano"),IF($NT15=1,"cura ","")&amp;$OV15&amp;"d8")))</f>
        <v/>
      </c>
      <c r="PD15" s="152">
        <f>IF($NT15=2,3*$OW15&amp;" de vida temp.",IF($NT15=3,"sem dano",IF($OW15=0,IF($NT15=1,"sem cura","sem dano"),IF($NT15=1,"cura ","")&amp;$OW15&amp;"d8")))</f>
        <v/>
      </c>
      <c r="PE15" s="152">
        <f>IF($NT15=2,3*$OX15&amp;" de vida temp.",IF($NT15=3,"sem dano",IF($OX15=0,IF($NT15=1,"sem cura","sem dano"),IF($NT15=1,"cura ","")&amp;$OX15&amp;"d8")))</f>
        <v/>
      </c>
      <c r="PF15" s="152">
        <f>IF($NT15=2,3*$OY15&amp;" de vida temp.",IF($NT15=3,"sem dano",IF($OY15=0,IF($NT15=1,"sem cura","sem dano"),IF($NT15=1,"cura ","")&amp;$OY15&amp;"d8")))</f>
        <v/>
      </c>
      <c r="PG15" s="152">
        <f>IF($MQ15=0,"",TEXTJOIN(" · ",TRUE,IF($MD15&gt;$MR15,"Este lugar abre no nível "&amp;$MD15,""),IF($MF15&gt;$MS15,"Classe "&amp;$MF15&amp;": o nível "&amp;$MR15&amp;" libera até a "&amp;$MS15,""),IF($NK15=1,"A Forma "&amp;$MH15&amp;" pede "&amp;INDEX($W$2:$W$11,$MW15)&amp;" aberta",""),IF(AND($MF15=0,$MW15&gt;0,IF($MW15=0,0,INDEX($AF$2:$AF$11,$MW15))=0),$MH15&amp;" não existe na Classe 0",""),IF($NL15=1,"Família Fechada: "&amp;$MK15,""),IF($NM15=1,"Família Fechada: "&amp;$ML15,""),IF($NN15=1,"Família Fechada: "&amp;$MM15,""),IF($NO15=1,"Família Fechada: "&amp;$MN15,""),IF(AND($MF15&gt;0,$OH15&gt;INDEX($O$2:$O$8,MAX(1,$MF15))),$OH15&amp;" Melhorias: a Classe "&amp;$MF15&amp;" aceita "&amp;INDEX($O$2:$O$8,MAX(1,$MF15)),""),IF(AND($MF15=0,$OH15&gt;1),"A básica aceita uma Melhoria",""),IF(AND($MF15=0,COUNTIF($NB15:$NE15,"&gt;1")&gt;0),"A básica só aceita Melhoria Leve",""),IF(AND($MF15&gt;0,$OI15&gt;2),$OI15&amp;" Restrições"&amp;IF($NS15=1,", contando a que a Forma "&amp;$MH15&amp;" já traz","")&amp;": o limite é 2",""),IF(AND($MF15=0,COUNTIF($MO15:$MP15,"?*")&gt;1),"A básica aceita uma Restrição Leve",""),IF(AND($MF15=0,COUNTIF($NV15:$NW15,2)&gt;0),"A básica só aceita Restrição Leve",""),IF(AND($MF15&gt;0,$OP15&lt;0),"Orçamento estourado: faltam "&amp;(-$OP15)&amp;IF($OP15&lt;-1," pontos"," ponto"),""),IF(IFERROR(VLOOKUP($MO15,$BC$2:$BG$24,4,FALSE),0)+IFERROR(VLOOKUP($MP15,$BC$2:$BG$24,4,FALSE),0)&gt;1,$NX15&amp;" e "&amp;$NY15&amp;" são as duas de frequência",""),IF(AND((COUNTIF($MK15:$MN15,"Rápido")+COUNTIF($NX15:$NY15,"Rápido"))&gt;0,(COUNTIF($MK15:$MN15,"Atrasar")+COUNTIF($NX15:$NY15,"Atrasar"))&gt;0),"Rápido não entra com Atrasar",""),IF(AND((COUNTIF($MK15:$MN15,"Reação")+COUNTIF($NX15:$NY15,"Reação"))&gt;0,(COUNTIF($MK15:$MN15,"Rápido")+COUNTIF($NX15:$NY15,"Rápido"))&gt;0),"Reação não entra com Rápido",""),IF(AND((COUNTIF($MK15:$MN15,"Reação")+COUNTIF($NX15:$NY15,"Reação"))&gt;0,(COUNTIF($MK15:$MN15,"Armado")+COUNTIF($NX15:$NY15,"Armado"))&gt;0),"Reação não entra com Armado",""),IF(AND((COUNTIF($MK15:$MN15,"Reação")+COUNTIF($NX15:$NY15,"Reação"))&gt;0,(COUNTIF($MK15:$MN15,"Atrasar")+COUNTIF($NX15:$NY15,"Atrasar"))&gt;0),"Reação não entra com Atrasar",""),IF(AND((COUNTIF($MK15:$MN15,"Reação")+COUNTIF($NX15:$NY15,"Reação"))&gt;0,(COUNTIF($MK15:$MN15,"Parado")+COUNTIF($NX15:$NY15,"Parado"))&gt;0),"Reação não entra com Parado",""),IF(AND((COUNTIF($MK15:$MN15,"Atrasar")+COUNTIF($NX15:$NY15,"Atrasar"))&gt;0,(COUNTIF($MK15:$MN15,"Parado")+COUNTIF($NX15:$NY15,"Parado"))&gt;0),"Atrasar não entra com Parado",""),IF(AND((COUNTIF($MK15:$MN15,"Armado")+COUNTIF($NX15:$NY15,"Armado"))&gt;0,(COUNTIF($MK15:$MN15,"Carregar")+COUNTIF($NX15:$NY15,"Carregar"))&gt;0),"Armado não entra com Carregar",""),IF(AND(COUNTIF($NX15:$NY15,"Corpo a Corpo")&gt;0,$NS15=0,OR($MH15="Cone",$MH15="Linha")),"Corpo a Corpo não entra em "&amp;$MH15,""),IF(AND(COUNTIF($NX15:$NY15,"Corpo a Corpo")&gt;0,$NS15=1),"A Forma "&amp;$MH15&amp;" já traz o Corpo a Corpo",""),IF(AND(COUNTIF($NX15:$NY15,"Tudo ou Nada")&gt;0,$NU15=0),"Tudo ou Nada só entra em habilidade de Teste de Resistência",""),IF(AND(COUNTIF($MK15:$MN15,"Inescapável")&gt;0,OR($OH15&gt;1,$OI15&gt;0)),"Inescapável não aceita outra peça",""),IF(AND($MF15&gt;0,$OQ15*IF(COUNTIF($MK15:$MN15,"Remate")&gt;0,1.25,1)+$OR15&gt;4*$MF15),($OQ15*IF(COUNTIF($MK15:$MN15,"Remate")&gt;0,1.25,1)+$OR15)&amp;" dados somando repetições"&amp;IF(COUNTIF($MK15:$MN15,"Remate")&gt;0," e o Remate","")&amp;": o teto da Classe "&amp;$MF15&amp;" é "&amp;4*$MF15,"")))</f>
        <v/>
      </c>
      <c r="PH15" s="152">
        <f>IF($PG15="",0,(LEN($PG15)-LEN(SUBSTITUTE($PG15," · ","")))/3+1)</f>
        <v/>
      </c>
      <c r="PI15" s="152">
        <f>IF($MQ15=0,"",TEXTJOIN(" · ",TRUE,IF($OK15&gt;2*$MF15,"A devolução parou no teto de "&amp;2*$MF15,""),IF($ON15&gt;0,"Devolução perdida: "&amp;$ON15&amp;IF($ON15&gt;1," pontos"," ponto")&amp;" sem peça para pagar",""),IF(AND($NP15&gt;0,AND($MF15&gt;0,$NT15=0),$OQ15=0),"Controle sem dano: uma rodada a mais e CD +2",""),IF(AND($NP15&gt;0,AND($MF15&gt;0,$NT15=0),$OQ15&gt;0,$OQ15&lt;=$MF15),"Controle com saldo até a Classe: uma rodada a mais",""),IF(AND($MF15&gt;0,$NR15&lt;&gt;""),"Efeito de "&amp;$NR15&amp;" pela Classe "&amp;MAX(1,$MF15-1),"")))</f>
        <v/>
      </c>
      <c r="PJ15" s="152">
        <f>IF($PI15="",0,(LEN($PI15)-LEN(SUBSTITUTE($PI15," · ","")))/3+1)</f>
        <v/>
      </c>
      <c r="PK15" s="152">
        <f>IF($MQ15=0,IF($OH15+COUNTIF($MO15:$MP15,"?*")&gt;0,"Dê um nome",""),IF($PH15&gt;0,"⚠ "&amp;$PH15&amp;IF($PH15&gt;1," erros"," erro"),IF($PJ15&gt;0,"! "&amp;$PJ15&amp;IF($PJ15&gt;1," avisos"," aviso"),"Na regra")))</f>
        <v/>
      </c>
      <c r="PL15" s="152">
        <f>IF($MQ15=0,"",IF($PH15+$PJ15=0,"Dentro das regras que a ficha confere",$PG15&amp;IF(AND($PH15&gt;0,$PJ15&gt;0)," · ","")&amp;$PI15))</f>
        <v/>
      </c>
      <c r="PM15" s="152">
        <f>IF($MD15&gt;$MR15,$ME15&amp;" · ABRE NO NÍVEL "&amp;$MD15,$ME15)</f>
        <v/>
      </c>
      <c r="PN15" s="152">
        <f>IF($MQ15=0,"",IF($MF15=0,"Sem PE",3*$MF15&amp;" PE"))</f>
        <v/>
      </c>
      <c r="PO15" s="152">
        <f>IF($MQ15=0,"",IF($MF15=0,"A atuação básica dela",IF(COUNTIF($NX15:$NY15,"Atrasar")&gt;0,"Sua Ação Completa",IF(COUNTIF($MK15:$MN15,"Rápido")&gt;0,"Sua Bônus",IF(COUNTIF($MK15:$MN15,"Reação")&gt;0,"Sua Reação","Sua Padrão")))&amp;" + a básica dela"&amp;IF(COUNTIF($MK15:$MN15,"Reação")&gt;0," e a coletiva","")&amp;IF(COUNTIF($NX15:$NY15,"Carregar")&gt;0," · em dois turnos","")))</f>
        <v/>
      </c>
      <c r="PP15" s="152">
        <f>IF($MJ15&lt;&gt;"",$MJ15,IF($MW15=0,"",INDEX($AA$2:$AA$11,$MW15)))</f>
        <v/>
      </c>
      <c r="PQ15" s="152">
        <f>IF(OR($MQ15=0,$MW15=0),"",IF(COUNTIF($MK15:$MN15,"Inescapável")&gt;0,"Automático",IF($PP15="Ataque",IF($MU15="","Ataque","Ataque "&amp;IF(($MU15+2*IF(COUNTIF($MK15:$MN15,"Precisão")&gt;0,1,0))&gt;=0,"+","−")&amp;ABS(($MU15+2*IF(COUNTIF($MK15:$MN15,"Precisão")&gt;0,1,0))))&amp;IF($NQ15&gt;0," · TR"&amp;IF($MV15="",""," CD "&amp;$MV15),""),IF(LEFT($PP15,2)="TR",$PP15&amp;IF($MV15="",""," · CD "&amp;$MV15)&amp;IF(COUNTIF($MK15:$MN15,"Certeiro")&gt;0," · metade",""),"Sem rolagem"))))</f>
        <v/>
      </c>
      <c r="PR15" s="152">
        <f>IF(OR($MQ15=0,$MW15=0),"",IF($MF15=0,IF(OR($NT15&gt;=1,$OQ15=0),"Sem dano",$OQ15&amp;"d6"&amp;IF($MI15="",""," "&amp;$MI15)),IF(OR($NT15&gt;=1,$OQ15=0),UPPER(LEFT(INDEX($OZ15:$PF15,1,MAX(1,$MF15)),1))&amp;MID(INDEX($OZ15:$PF15,1,MAX(1,$MF15)),2,99),UPPER(LEFT(INDEX($OZ15:$PF15,1,MAX(1,$MF15)),1))&amp;MID(INDEX($OZ15:$PF15,1,MAX(1,$MF15)),2,99)&amp;IF($MI15="",""," "&amp;$MI15)&amp;IF($OR15&gt;0," · +"&amp;$OR15&amp;"d8",""))))</f>
        <v/>
      </c>
      <c r="PS15" s="152">
        <f>COUNTIF($MK15:$MN15,"Longe")+3*COUNTIF($MK15:$MN15,"Muito Longe")</f>
        <v/>
      </c>
      <c r="PT15" s="152">
        <f>COUNTIF($MK15:$MN15,"Maior")+3*COUNTIF($MK15:$MN15,"Muito Maior")</f>
        <v/>
      </c>
      <c r="PU15" s="152">
        <f>IF($MW15=0,0,CHOOSE(1+INDEX($AC$2:$AC$11,$MW15),0,$PS15,$PT15,$PS15+$PT15))</f>
        <v/>
      </c>
      <c r="PV15" s="152">
        <f>IF($MW15=0,0,CHOOSE(1+INDEX($AD$2:$AD$11,$MW15),0,$PS15,$PT15,$PS15+$PT15))</f>
        <v/>
      </c>
      <c r="PW15" s="152">
        <f>IF(OR($MQ15=0,$MW15=0),"",INDEX($AI$2:$AN$41,($MW15-1)*4+IF($MF15=0,1,IF($MF15&lt;=5,2,IF($MF15=6,3,4))),1+MIN(5,$PU15))&amp;INDEX($AO$2:$AT$41,($MW15-1)*4+IF($MF15=0,1,IF($MF15&lt;=5,2,IF($MF15=6,3,4))),1+MIN(5,$PV15))&amp;IF(INDEX($AE$2:$AE$11,$MW15)=1,IF(COUNTIF($MK15:$MN15,"Mais Um")&gt;0," · +"&amp;COUNTIF($MK15:$MN15,"Mais Um")&amp;IF(COUNTIF($MK15:$MN15,"Mais Um")&gt;1," alvos"," alvo"),"")&amp;IF(COUNTIF($MK15:$MN15,"Rajada")&gt;0,IF($MF15=0," · 1 tiro"," · "&amp;(MAX(1,$MF15-1)+1)&amp;" tiros"),""),""))</f>
        <v/>
      </c>
      <c r="PX15" s="152">
        <f>IF($MQ15=0,"",IF($MF15=0,$MT15&amp;"d6"&amp;IF($OH15&gt;0," − 1 = "&amp;$OQ15&amp;"d6"," da básica do nível "&amp;$MR15),$OO15&amp;" − "&amp;$OJ15&amp;" + "&amp;$OM15&amp;" = "&amp;$OP15&amp;" · teto "&amp;4*$MF15&amp;"d8"&amp;IF($NS15=1," · a Forma devolve "&amp;$MF15,"")&amp;IF($ON15&gt;0," · perde "&amp;$ON15,"")))</f>
        <v/>
      </c>
      <c r="PY15" s="152">
        <f>IF($MQ15=0,"",IF($MF15=0,"A básica não amplia: os dados dela sobem com o nível",IF($MF15&gt;=$MS15,"Já está na maior Classe que o nível liberou",TEXTJOIN(" · ",TRUE,IF(AND(2&gt;$MF15,2&lt;=$MS15),"2 → "&amp;$PA15&amp;", 6 PE",""),IF(AND(3&gt;$MF15,3&lt;=$MS15),"3 → "&amp;$PB15&amp;", 9 PE",""),IF(AND(4&gt;$MF15,4&lt;=$MS15),"4 → "&amp;$PC15&amp;", 12 PE",""),IF(AND(5&gt;$MF15,5&lt;=$MS15),"5 → "&amp;$PD15&amp;", 15 PE",""),IF(AND(6&gt;$MF15,6&lt;=$MS15),"6 → "&amp;$PE15&amp;", 18 PE",""),IF(AND(7&gt;$MF15,7&lt;=$MS15),"7 → "&amp;$PF15&amp;", 21 PE","")))))</f>
        <v/>
      </c>
      <c r="PZ15" s="152">
        <f>IF(OR($MQ15=0,$NB15=0),"",IF($MF15=0,"−1 dado","−"&amp;INDEX($I$2:$N$8,MAX(1,$MF15),MAX(1,$NG15))&amp;" · "&amp;CHOOSE(MAX(1,$NG15),"Leve","Média","Pesada","Leve · Livre","Média · Livre","Pesada · Livre")))</f>
        <v/>
      </c>
      <c r="QA15" s="152">
        <f>IF(OR($MQ15=0,$NC15=0),"",IF($MF15=0,"−1 dado","−"&amp;INDEX($I$2:$N$8,MAX(1,$MF15),MAX(1,$NH15))&amp;" · "&amp;CHOOSE(MAX(1,$NH15),"Leve","Média","Pesada","Leve · Livre","Média · Livre","Pesada · Livre")))</f>
        <v/>
      </c>
      <c r="QB15" s="152">
        <f>IF(OR($MQ15=0,$ND15=0),"",IF($MF15=0,"−1 dado","−"&amp;INDEX($I$2:$N$8,MAX(1,$MF15),MAX(1,$NI15))&amp;" · "&amp;CHOOSE(MAX(1,$NI15),"Leve","Média","Pesada","Leve · Livre","Média · Livre","Pesada · Livre")))</f>
        <v/>
      </c>
      <c r="QC15" s="152">
        <f>IF(OR($MQ15=0,$NE15=0),"",IF($MF15=0,"−1 dado","−"&amp;INDEX($I$2:$N$8,MAX(1,$MF15),MAX(1,$NJ15))&amp;" · "&amp;CHOOSE(MAX(1,$NJ15),"Leve","Média","Pesada","Leve · Livre","Média · Livre","Pesada · Livre")))</f>
        <v/>
      </c>
      <c r="QD15" s="152">
        <f>IF(OR($MQ15=0,$MO15=""),"",IF($MF15=0,"não devolve","+"&amp;IF($NV15=1,CEILING($MF15/2,1),$MF15)))</f>
        <v/>
      </c>
      <c r="QE15" s="152">
        <f>IF(OR($MQ15=0,$MP15=""),"",IF($MF15=0,"não devolve","+"&amp;IF($NW15=1,CEILING($MF15/2,1),$MF15)))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A16" s="152" t="n">
        <v>0</v>
      </c>
      <c r="BC16" s="150" t="inlineStr">
        <is>
          <t>Condicional (Leve)</t>
        </is>
      </c>
      <c r="BD16" s="150" t="inlineStr">
        <is>
          <t>Condicional</t>
        </is>
      </c>
      <c r="BE16" s="152" t="n">
        <v>1</v>
      </c>
      <c r="BF16" s="152" t="n">
        <v>1</v>
      </c>
      <c r="BG16" s="150" t="inlineStr">
        <is>
          <t>Condicional (Leve)</t>
        </is>
      </c>
      <c r="CA16" s="150" t="inlineStr">
        <is>
          <t>Lidar com Animais</t>
        </is>
      </c>
      <c r="CB16" s="150" t="inlineStr">
        <is>
          <t>Inteligência</t>
        </is>
      </c>
      <c r="CF16" s="150" t="inlineStr">
        <is>
          <t>Alma</t>
        </is>
      </c>
      <c r="JG16" s="152">
        <f>IF(OR($AW16="",COUNTIF($EF$2:$EJ$2,$AW16)&gt;0),$AV16,"")</f>
        <v/>
      </c>
      <c r="JH16" s="152">
        <f>IF(AND($AX16=1,OR($AW16="",COUNTIF($EF$2:$EJ$2,$AW16)&gt;0)),$AV16,"")</f>
        <v/>
      </c>
      <c r="JM16" s="152">
        <f>IF(OR($AW16="",COUNTIF($EF$3:$EJ$3,$AW16)&gt;0),$AV16,"")</f>
        <v/>
      </c>
      <c r="JN16" s="152">
        <f>IF(AND($AX16=1,OR($AW16="",COUNTIF($EF$3:$EJ$3,$AW16)&gt;0)),$AV16,"")</f>
        <v/>
      </c>
      <c r="JS16" s="152">
        <f>IF(OR($AW16="",COUNTIF($EF$4:$EJ$4,$AW16)&gt;0),$AV16,"")</f>
        <v/>
      </c>
      <c r="JT16" s="152">
        <f>IF(AND($AX16=1,OR($AW16="",COUNTIF($EF$4:$EJ$4,$AW16)&gt;0)),$AV16,"")</f>
        <v/>
      </c>
      <c r="JY16" s="152">
        <f>IF(OR($AW16="",COUNTIF($EF$5:$EJ$5,$AW16)&gt;0),$AV16,"")</f>
        <v/>
      </c>
      <c r="JZ16" s="152">
        <f>IF(AND($AX16=1,OR($AW16="",COUNTIF($EF$5:$EJ$5,$AW16)&gt;0)),$AV16,"")</f>
        <v/>
      </c>
      <c r="KE16" s="152">
        <f>IF(OR($AW16="",COUNTIF($EF$6:$EJ$6,$AW16)&gt;0),$AV16,"")</f>
        <v/>
      </c>
      <c r="KF16" s="152">
        <f>IF(AND($AX16=1,OR($AW16="",COUNTIF($EF$6:$EJ$6,$AW16)&gt;0)),$AV16,"")</f>
        <v/>
      </c>
      <c r="KK16" s="152">
        <f>IF(OR($AW16="",COUNTIF($EF$7:$EJ$7,$AW16)&gt;0),$AV16,"")</f>
        <v/>
      </c>
      <c r="KL16" s="152">
        <f>IF(AND($AX16=1,OR($AW16="",COUNTIF($EF$7:$EJ$7,$AW16)&gt;0)),$AV16,"")</f>
        <v/>
      </c>
      <c r="KQ16" s="152">
        <f>IF(OR($AW16="",COUNTIF($EF$8:$EJ$8,$AW16)&gt;0),$AV16,"")</f>
        <v/>
      </c>
      <c r="KR16" s="152">
        <f>IF(AND($AX16=1,OR($AW16="",COUNTIF($EF$8:$EJ$8,$AW16)&gt;0)),$AV16,"")</f>
        <v/>
      </c>
      <c r="KW16" s="152">
        <f>IF(OR($AW16="",COUNTIF($EF$9:$EJ$9,$AW16)&gt;0),$AV16,"")</f>
        <v/>
      </c>
      <c r="KX16" s="152">
        <f>IF(AND($AX16=1,OR($AW16="",COUNTIF($EF$9:$EJ$9,$AW16)&gt;0)),$AV16,"")</f>
        <v/>
      </c>
      <c r="LC16" s="152">
        <f>IF(OR($AW16="",COUNTIF($EF$10:$EJ$10,$AW16)&gt;0),$AV16,"")</f>
        <v/>
      </c>
      <c r="LD16" s="152">
        <f>IF(AND($AX16=1,OR($AW16="",COUNTIF($EF$10:$EJ$10,$AW16)&gt;0)),$AV16,"")</f>
        <v/>
      </c>
      <c r="LI16" s="152">
        <f>IF(OR($AW16="",COUNTIF($EF$11:$EJ$11,$AW16)&gt;0),$AV16,"")</f>
        <v/>
      </c>
      <c r="LJ16" s="152">
        <f>IF(AND($AX16=1,OR($AW16="",COUNTIF($EF$11:$EJ$11,$AW16)&gt;0)),$AV16,"")</f>
        <v/>
      </c>
      <c r="LO16" s="152">
        <f>IF(OR($AW16="",COUNTIF($EF$12:$EJ$12,$AW16)&gt;0),$AV16,"")</f>
        <v/>
      </c>
      <c r="LP16" s="152">
        <f>IF(AND($AX16=1,OR($AW16="",COUNTIF($EF$12:$EJ$12,$AW16)&gt;0)),$AV16,"")</f>
        <v/>
      </c>
      <c r="LU16" s="152">
        <f>IF(OR($AW16="",COUNTIF($EF$13:$EJ$13,$AW16)&gt;0),$AV16,"")</f>
        <v/>
      </c>
      <c r="LV16" s="152">
        <f>IF(AND($AX16=1,OR($AW16="",COUNTIF($EF$13:$EJ$13,$AW16)&gt;0)),$AV16,"")</f>
        <v/>
      </c>
      <c r="MA16" s="150" t="inlineStr">
        <is>
          <t>Ficha 2 · Especial 1</t>
        </is>
      </c>
      <c r="MB16" s="152" t="n">
        <v>2</v>
      </c>
      <c r="MC16" s="152" t="n">
        <v>1</v>
      </c>
      <c r="MD16" s="152" t="n">
        <v>1</v>
      </c>
      <c r="ME16" s="150" t="inlineStr">
        <is>
          <t>ESPECIAL 1</t>
        </is>
      </c>
      <c r="MF16" s="152">
        <f>MAX(1,MIN(7,N('INVOCAÇÕES'!$O$256)))</f>
        <v/>
      </c>
      <c r="MG16" s="152">
        <f>'INVOCAÇÕES'!$P$256&amp;""</f>
        <v/>
      </c>
      <c r="MH16" s="152">
        <f>'INVOCAÇÕES'!$O$261&amp;""</f>
        <v/>
      </c>
      <c r="MI16" s="152">
        <f>'INVOCAÇÕES'!$O$262&amp;""</f>
        <v/>
      </c>
      <c r="MJ16" s="152">
        <f>'INVOCAÇÕES'!$Q$262&amp;""</f>
        <v/>
      </c>
      <c r="MK16" s="152">
        <f>'INVOCAÇÕES'!$P$265&amp;""</f>
        <v/>
      </c>
      <c r="ML16" s="152">
        <f>'INVOCAÇÕES'!$P$266&amp;""</f>
        <v/>
      </c>
      <c r="MM16" s="152">
        <f>'INVOCAÇÕES'!$P$267&amp;""</f>
        <v/>
      </c>
      <c r="MN16" s="152">
        <f>'INVOCAÇÕES'!$P$268&amp;""</f>
        <v/>
      </c>
      <c r="MO16" s="152">
        <f>'INVOCAÇÕES'!$P$269&amp;""</f>
        <v/>
      </c>
      <c r="MP16" s="152">
        <f>'INVOCAÇÕES'!$P$270&amp;""</f>
        <v/>
      </c>
      <c r="MQ16" s="152">
        <f>IF($MG16&lt;&gt;"",1,0)</f>
        <v/>
      </c>
      <c r="MR16" s="152">
        <f>INDEX($FI$2:$FI$13,$MB16)</f>
        <v/>
      </c>
      <c r="MS16" s="152">
        <f>INDEX($FJ$2:$FJ$13,$MB16)</f>
        <v/>
      </c>
      <c r="MT16" s="152">
        <f>INDEX($FK$2:$FK$13,$MB16)</f>
        <v/>
      </c>
      <c r="MU16" s="152">
        <f>INDEX($FV$2:$FV$13,$MB16)</f>
        <v/>
      </c>
      <c r="MV16" s="152">
        <f>INDEX($FW$2:$FW$13,$MB16)</f>
        <v/>
      </c>
      <c r="MW16" s="152">
        <f>IFERROR(MATCH($MH16,$V$2:$V$11,0),0)</f>
        <v/>
      </c>
      <c r="MX16" s="152">
        <f>IFERROR(VLOOKUP($MK16,$AV$2:$BA$84,2,FALSE),"")</f>
        <v/>
      </c>
      <c r="MY16" s="152">
        <f>IFERROR(VLOOKUP($ML16,$AV$2:$BA$84,2,FALSE),"")</f>
        <v/>
      </c>
      <c r="MZ16" s="152">
        <f>IFERROR(VLOOKUP($MM16,$AV$2:$BA$84,2,FALSE),"")</f>
        <v/>
      </c>
      <c r="NA16" s="152">
        <f>IFERROR(VLOOKUP($MN16,$AV$2:$BA$84,2,FALSE),"")</f>
        <v/>
      </c>
      <c r="NB16" s="152">
        <f>IFERROR(VLOOKUP($MK16,$AV$2:$BA$84,3,FALSE),0)</f>
        <v/>
      </c>
      <c r="NC16" s="152">
        <f>IFERROR(VLOOKUP($ML16,$AV$2:$BA$84,3,FALSE),0)</f>
        <v/>
      </c>
      <c r="ND16" s="152">
        <f>IFERROR(VLOOKUP($MM16,$AV$2:$BA$84,3,FALSE),0)</f>
        <v/>
      </c>
      <c r="NE16" s="152">
        <f>IFERROR(VLOOKUP($MN16,$AV$2:$BA$84,3,FALSE),0)</f>
        <v/>
      </c>
      <c r="NF16" s="152">
        <f>IF($MF16=0,0,IF($MW16=0,0,INDEX($X$2:$X$11,$MW16)))</f>
        <v/>
      </c>
      <c r="NG16" s="152">
        <f>IF(OR($NB16=0,$MF16=0),0,$NB16+3*IF(AND($MX16&lt;&gt;"",OR($MX16=INDEX($EF$2:$EF$13,$MB16),$MX16=INDEX($EG$2:$EG$13,$MB16))),1,0))</f>
        <v/>
      </c>
      <c r="NH16" s="152">
        <f>IF(OR($NC16=0,$MF16=0),0,$NC16+3*IF(AND($MY16&lt;&gt;"",OR($MY16=INDEX($EF$2:$EF$13,$MB16),$MY16=INDEX($EG$2:$EG$13,$MB16))),1,0))</f>
        <v/>
      </c>
      <c r="NI16" s="152">
        <f>IF(OR($ND16=0,$MF16=0),0,$ND16+3*IF(AND($MZ16&lt;&gt;"",OR($MZ16=INDEX($EF$2:$EF$13,$MB16),$MZ16=INDEX($EG$2:$EG$13,$MB16))),1,0))</f>
        <v/>
      </c>
      <c r="NJ16" s="152">
        <f>IF(OR($NE16=0,$MF16=0),0,$NE16+3*IF(AND($NA16&lt;&gt;"",OR($NA16=INDEX($EF$2:$EF$13,$MB16),$NA16=INDEX($EG$2:$EG$13,$MB16))),1,0))</f>
        <v/>
      </c>
      <c r="NK16" s="152">
        <f>IF($MW16=0,0,IF(INDEX($W$2:$W$11,$MW16)="",0,IF(COUNTIF(INDEX($EF$2:$EJ$13,$MB16,0),INDEX($W$2:$W$11,$MW16))=0,1,0)))</f>
        <v/>
      </c>
      <c r="NL16" s="152">
        <f>IF(OR($NB16=0,$MX16=""),0,IF(COUNTIF(INDEX($EF$2:$EJ$13,$MB16,0),$MX16)=0,1,0))</f>
        <v/>
      </c>
      <c r="NM16" s="152">
        <f>IF(OR($NC16=0,$MY16=""),0,IF(COUNTIF(INDEX($EF$2:$EJ$13,$MB16,0),$MY16)=0,1,0))</f>
        <v/>
      </c>
      <c r="NN16" s="152">
        <f>IF(OR($ND16=0,$MZ16=""),0,IF(COUNTIF(INDEX($EF$2:$EJ$13,$MB16,0),$MZ16)=0,1,0))</f>
        <v/>
      </c>
      <c r="NO16" s="152">
        <f>IF(OR($NE16=0,$NA16=""),0,IF(COUNTIF(INDEX($EF$2:$EJ$13,$MB16,0),$NA16)=0,1,0))</f>
        <v/>
      </c>
      <c r="NP16" s="152">
        <f>IFERROR(VLOOKUP($MK16,$AV$2:$BA$84,4,FALSE),0)+IFERROR(VLOOKUP($ML16,$AV$2:$BA$84,4,FALSE),0)+IFERROR(VLOOKUP($MM16,$AV$2:$BA$84,4,FALSE),0)+IFERROR(VLOOKUP($MN16,$AV$2:$BA$84,4,FALSE),0)</f>
        <v/>
      </c>
      <c r="NQ16" s="152">
        <f>IFERROR(VLOOKUP($MK16,$AV$2:$BA$84,6,FALSE),0)+IFERROR(VLOOKUP($ML16,$AV$2:$BA$84,6,FALSE),0)+IFERROR(VLOOKUP($MM16,$AV$2:$BA$84,6,FALSE),0)+IFERROR(VLOOKUP($MN16,$AV$2:$BA$84,6,FALSE),0)</f>
        <v/>
      </c>
      <c r="NR16" s="152">
        <f>TEXTJOIN(", ",TRUE,IF(IFERROR(VLOOKUP($MK16,$AV$2:$BA$84,5,FALSE),0)=1,$MK16,""),IF(IFERROR(VLOOKUP($ML16,$AV$2:$BA$84,5,FALSE),0)=1,$ML16,""),IF(IFERROR(VLOOKUP($MM16,$AV$2:$BA$84,5,FALSE),0)=1,$MM16,""),IF(IFERROR(VLOOKUP($MN16,$AV$2:$BA$84,5,FALSE),0)=1,$MN16,""))</f>
        <v/>
      </c>
      <c r="NS16" s="152">
        <f>IF($MW16=0,0,INDEX($Y$2:$Y$11,$MW16))</f>
        <v/>
      </c>
      <c r="NT16" s="152">
        <f>IF($MW16=0,0,INDEX($Z$2:$Z$11,$MW16))</f>
        <v/>
      </c>
      <c r="NU16" s="152">
        <f>IF($MW16=0,0,INDEX($AB$2:$AB$11,$MW16))</f>
        <v/>
      </c>
      <c r="NV16" s="152">
        <f>IFERROR(VLOOKUP($MO16,$BC$2:$BG$24,3,FALSE),0)</f>
        <v/>
      </c>
      <c r="NW16" s="152">
        <f>IFERROR(VLOOKUP($MP16,$BC$2:$BG$24,3,FALSE),0)</f>
        <v/>
      </c>
      <c r="NX16" s="152">
        <f>IFERROR(VLOOKUP($MO16,$BC$2:$BG$24,2,FALSE),"")</f>
        <v/>
      </c>
      <c r="NY16" s="152">
        <f>IFERROR(VLOOKUP($MP16,$BC$2:$BG$24,2,FALSE),"")</f>
        <v/>
      </c>
      <c r="NZ16" s="152">
        <f>COUNTIF($NF16:$NJ16,1)</f>
        <v/>
      </c>
      <c r="OA16" s="152">
        <f>COUNTIF($NF16:$NJ16,2)</f>
        <v/>
      </c>
      <c r="OB16" s="152">
        <f>COUNTIF($NF16:$NJ16,3)</f>
        <v/>
      </c>
      <c r="OC16" s="152">
        <f>COUNTIF($NF16:$NJ16,4)</f>
        <v/>
      </c>
      <c r="OD16" s="152">
        <f>COUNTIF($NF16:$NJ16,5)</f>
        <v/>
      </c>
      <c r="OE16" s="152">
        <f>COUNTIF($NF16:$NJ16,6)</f>
        <v/>
      </c>
      <c r="OF16" s="152">
        <f>COUNTIF($NV16:$NW16,1)</f>
        <v/>
      </c>
      <c r="OG16" s="152">
        <f>COUNTIF($NV16:$NW16,2)+$NS16</f>
        <v/>
      </c>
      <c r="OH16" s="152">
        <f>COUNTIF($MK16:$MN16,"?*")</f>
        <v/>
      </c>
      <c r="OI16" s="152">
        <f>COUNTIF($MO16:$MP16,"?*")+$NS16</f>
        <v/>
      </c>
      <c r="OJ16" s="152">
        <f>IF($MF16=0,0,SUMPRODUCT($NZ16:$OE16,INDEX($I$2:$N$8,MAX(1,$MF16),0)))</f>
        <v/>
      </c>
      <c r="OK16" s="152">
        <f>IF($MF16=0,0,$OF16*CEILING($MF16/2,1)+$OG16*$MF16)</f>
        <v/>
      </c>
      <c r="OL16" s="152">
        <f>MIN(2*$MF16,$OK16)</f>
        <v/>
      </c>
      <c r="OM16" s="152">
        <f>MIN($OL16,$OJ16)</f>
        <v/>
      </c>
      <c r="ON16" s="152">
        <f>$OL16-$OM16</f>
        <v/>
      </c>
      <c r="OO16" s="152">
        <f>IF($MF16=0,0,INDEX($P$2:$P$8,MAX(1,$MF16)))</f>
        <v/>
      </c>
      <c r="OP16" s="152">
        <f>$OO16-$OJ16+$OM16</f>
        <v/>
      </c>
      <c r="OQ16" s="152">
        <f>IF($MF16=0,MAX(0,$MT16-IF($OH16&gt;0,1,0)),MAX(0,$OP16))</f>
        <v/>
      </c>
      <c r="OR16" s="152">
        <f>IF($MF16=0,0,(IF(COUNTIF($MK16:$MN16,"Salto")&gt;0,1,0)+IF(COUNTIF($MK16:$MN16,"Queima")&gt;0,1,0)+IF(COUNTIF($MK16:$MN16,"Estilhaço")&gt;0,1,0))*FLOOR($OQ16/2,1))</f>
        <v/>
      </c>
      <c r="OS16" s="152">
        <f>MAX(0,2-SUMPRODUCT($NZ16:$OE16,$I$2:$N$2)+MIN(2,$OF16*1+$OG16*1,SUMPRODUCT($NZ16:$OE16,$I$2:$N$2)))</f>
        <v/>
      </c>
      <c r="OT16" s="152">
        <f>MAX(0,4-SUMPRODUCT($NZ16:$OE16,$I$3:$N$3)+MIN(4,$OF16*1+$OG16*2,SUMPRODUCT($NZ16:$OE16,$I$3:$N$3)))</f>
        <v/>
      </c>
      <c r="OU16" s="152">
        <f>MAX(0,6-SUMPRODUCT($NZ16:$OE16,$I$4:$N$4)+MIN(6,$OF16*2+$OG16*3,SUMPRODUCT($NZ16:$OE16,$I$4:$N$4)))</f>
        <v/>
      </c>
      <c r="OV16" s="152">
        <f>MAX(0,9-SUMPRODUCT($NZ16:$OE16,$I$5:$N$5)+MIN(8,$OF16*2+$OG16*4,SUMPRODUCT($NZ16:$OE16,$I$5:$N$5)))</f>
        <v/>
      </c>
      <c r="OW16" s="152">
        <f>MAX(0,11-SUMPRODUCT($NZ16:$OE16,$I$6:$N$6)+MIN(10,$OF16*3+$OG16*5,SUMPRODUCT($NZ16:$OE16,$I$6:$N$6)))</f>
        <v/>
      </c>
      <c r="OX16" s="152">
        <f>MAX(0,13-SUMPRODUCT($NZ16:$OE16,$I$7:$N$7)+MIN(12,$OF16*3+$OG16*6,SUMPRODUCT($NZ16:$OE16,$I$7:$N$7)))</f>
        <v/>
      </c>
      <c r="OY16" s="152">
        <f>MAX(0,16-SUMPRODUCT($NZ16:$OE16,$I$8:$N$8)+MIN(14,$OF16*4+$OG16*7,SUMPRODUCT($NZ16:$OE16,$I$8:$N$8)))</f>
        <v/>
      </c>
      <c r="OZ16" s="152">
        <f>IF($NT16=2,3*$OS16&amp;" de vida temp.",IF($NT16=3,"sem dano",IF($OS16=0,IF($NT16=1,"sem cura","sem dano"),IF($NT16=1,"cura ","")&amp;$OS16&amp;"d8")))</f>
        <v/>
      </c>
      <c r="PA16" s="152">
        <f>IF($NT16=2,3*$OT16&amp;" de vida temp.",IF($NT16=3,"sem dano",IF($OT16=0,IF($NT16=1,"sem cura","sem dano"),IF($NT16=1,"cura ","")&amp;$OT16&amp;"d8")))</f>
        <v/>
      </c>
      <c r="PB16" s="152">
        <f>IF($NT16=2,3*$OU16&amp;" de vida temp.",IF($NT16=3,"sem dano",IF($OU16=0,IF($NT16=1,"sem cura","sem dano"),IF($NT16=1,"cura ","")&amp;$OU16&amp;"d8")))</f>
        <v/>
      </c>
      <c r="PC16" s="152">
        <f>IF($NT16=2,3*$OV16&amp;" de vida temp.",IF($NT16=3,"sem dano",IF($OV16=0,IF($NT16=1,"sem cura","sem dano"),IF($NT16=1,"cura ","")&amp;$OV16&amp;"d8")))</f>
        <v/>
      </c>
      <c r="PD16" s="152">
        <f>IF($NT16=2,3*$OW16&amp;" de vida temp.",IF($NT16=3,"sem dano",IF($OW16=0,IF($NT16=1,"sem cura","sem dano"),IF($NT16=1,"cura ","")&amp;$OW16&amp;"d8")))</f>
        <v/>
      </c>
      <c r="PE16" s="152">
        <f>IF($NT16=2,3*$OX16&amp;" de vida temp.",IF($NT16=3,"sem dano",IF($OX16=0,IF($NT16=1,"sem cura","sem dano"),IF($NT16=1,"cura ","")&amp;$OX16&amp;"d8")))</f>
        <v/>
      </c>
      <c r="PF16" s="152">
        <f>IF($NT16=2,3*$OY16&amp;" de vida temp.",IF($NT16=3,"sem dano",IF($OY16=0,IF($NT16=1,"sem cura","sem dano"),IF($NT16=1,"cura ","")&amp;$OY16&amp;"d8")))</f>
        <v/>
      </c>
      <c r="PG16" s="152">
        <f>IF($MQ16=0,"",TEXTJOIN(" · ",TRUE,IF($MD16&gt;$MR16,"Este lugar abre no nível "&amp;$MD16,""),IF($MF16&gt;$MS16,"Classe "&amp;$MF16&amp;": o nível "&amp;$MR16&amp;" libera até a "&amp;$MS16,""),IF($NK16=1,"A Forma "&amp;$MH16&amp;" pede "&amp;INDEX($W$2:$W$11,$MW16)&amp;" aberta",""),IF(AND($MF16=0,$MW16&gt;0,IF($MW16=0,0,INDEX($AF$2:$AF$11,$MW16))=0),$MH16&amp;" não existe na Classe 0",""),IF($NL16=1,"Família Fechada: "&amp;$MK16,""),IF($NM16=1,"Família Fechada: "&amp;$ML16,""),IF($NN16=1,"Família Fechada: "&amp;$MM16,""),IF($NO16=1,"Família Fechada: "&amp;$MN16,""),IF(AND($MF16&gt;0,$OH16&gt;INDEX($O$2:$O$8,MAX(1,$MF16))),$OH16&amp;" Melhorias: a Classe "&amp;$MF16&amp;" aceita "&amp;INDEX($O$2:$O$8,MAX(1,$MF16)),""),IF(AND($MF16=0,$OH16&gt;1),"A básica aceita uma Melhoria",""),IF(AND($MF16=0,COUNTIF($NB16:$NE16,"&gt;1")&gt;0),"A básica só aceita Melhoria Leve",""),IF(AND($MF16&gt;0,$OI16&gt;2),$OI16&amp;" Restrições"&amp;IF($NS16=1,", contando a que a Forma "&amp;$MH16&amp;" já traz","")&amp;": o limite é 2",""),IF(AND($MF16=0,COUNTIF($MO16:$MP16,"?*")&gt;1),"A básica aceita uma Restrição Leve",""),IF(AND($MF16=0,COUNTIF($NV16:$NW16,2)&gt;0),"A básica só aceita Restrição Leve",""),IF(AND($MF16&gt;0,$OP16&lt;0),"Orçamento estourado: faltam "&amp;(-$OP16)&amp;IF($OP16&lt;-1," pontos"," ponto"),""),IF(IFERROR(VLOOKUP($MO16,$BC$2:$BG$24,4,FALSE),0)+IFERROR(VLOOKUP($MP16,$BC$2:$BG$24,4,FALSE),0)&gt;1,$NX16&amp;" e "&amp;$NY16&amp;" são as duas de frequência",""),IF(AND((COUNTIF($MK16:$MN16,"Rápido")+COUNTIF($NX16:$NY16,"Rápido"))&gt;0,(COUNTIF($MK16:$MN16,"Atrasar")+COUNTIF($NX16:$NY16,"Atrasar"))&gt;0),"Rápido não entra com Atrasar",""),IF(AND((COUNTIF($MK16:$MN16,"Reação")+COUNTIF($NX16:$NY16,"Reação"))&gt;0,(COUNTIF($MK16:$MN16,"Rápido")+COUNTIF($NX16:$NY16,"Rápido"))&gt;0),"Reação não entra com Rápido",""),IF(AND((COUNTIF($MK16:$MN16,"Reação")+COUNTIF($NX16:$NY16,"Reação"))&gt;0,(COUNTIF($MK16:$MN16,"Armado")+COUNTIF($NX16:$NY16,"Armado"))&gt;0),"Reação não entra com Armado",""),IF(AND((COUNTIF($MK16:$MN16,"Reação")+COUNTIF($NX16:$NY16,"Reação"))&gt;0,(COUNTIF($MK16:$MN16,"Atrasar")+COUNTIF($NX16:$NY16,"Atrasar"))&gt;0),"Reação não entra com Atrasar",""),IF(AND((COUNTIF($MK16:$MN16,"Reação")+COUNTIF($NX16:$NY16,"Reação"))&gt;0,(COUNTIF($MK16:$MN16,"Parado")+COUNTIF($NX16:$NY16,"Parado"))&gt;0),"Reação não entra com Parado",""),IF(AND((COUNTIF($MK16:$MN16,"Atrasar")+COUNTIF($NX16:$NY16,"Atrasar"))&gt;0,(COUNTIF($MK16:$MN16,"Parado")+COUNTIF($NX16:$NY16,"Parado"))&gt;0),"Atrasar não entra com Parado",""),IF(AND((COUNTIF($MK16:$MN16,"Armado")+COUNTIF($NX16:$NY16,"Armado"))&gt;0,(COUNTIF($MK16:$MN16,"Carregar")+COUNTIF($NX16:$NY16,"Carregar"))&gt;0),"Armado não entra com Carregar",""),IF(AND(COUNTIF($NX16:$NY16,"Corpo a Corpo")&gt;0,$NS16=0,OR($MH16="Cone",$MH16="Linha")),"Corpo a Corpo não entra em "&amp;$MH16,""),IF(AND(COUNTIF($NX16:$NY16,"Corpo a Corpo")&gt;0,$NS16=1),"A Forma "&amp;$MH16&amp;" já traz o Corpo a Corpo",""),IF(AND(COUNTIF($NX16:$NY16,"Tudo ou Nada")&gt;0,$NU16=0),"Tudo ou Nada só entra em habilidade de Teste de Resistência",""),IF(AND(COUNTIF($MK16:$MN16,"Inescapável")&gt;0,OR($OH16&gt;1,$OI16&gt;0)),"Inescapável não aceita outra peça",""),IF(AND($MF16&gt;0,$OQ16*IF(COUNTIF($MK16:$MN16,"Remate")&gt;0,1.25,1)+$OR16&gt;4*$MF16),($OQ16*IF(COUNTIF($MK16:$MN16,"Remate")&gt;0,1.25,1)+$OR16)&amp;" dados somando repetições"&amp;IF(COUNTIF($MK16:$MN16,"Remate")&gt;0," e o Remate","")&amp;": o teto da Classe "&amp;$MF16&amp;" é "&amp;4*$MF16,"")))</f>
        <v/>
      </c>
      <c r="PH16" s="152">
        <f>IF($PG16="",0,(LEN($PG16)-LEN(SUBSTITUTE($PG16," · ","")))/3+1)</f>
        <v/>
      </c>
      <c r="PI16" s="152">
        <f>IF($MQ16=0,"",TEXTJOIN(" · ",TRUE,IF($OK16&gt;2*$MF16,"A devolução parou no teto de "&amp;2*$MF16,""),IF($ON16&gt;0,"Devolução perdida: "&amp;$ON16&amp;IF($ON16&gt;1," pontos"," ponto")&amp;" sem peça para pagar",""),IF(AND($NP16&gt;0,AND($MF16&gt;0,$NT16=0),$OQ16=0),"Controle sem dano: uma rodada a mais e CD +2",""),IF(AND($NP16&gt;0,AND($MF16&gt;0,$NT16=0),$OQ16&gt;0,$OQ16&lt;=$MF16),"Controle com saldo até a Classe: uma rodada a mais",""),IF(AND($MF16&gt;0,$NR16&lt;&gt;""),"Efeito de "&amp;$NR16&amp;" pela Classe "&amp;MAX(1,$MF16-1),"")))</f>
        <v/>
      </c>
      <c r="PJ16" s="152">
        <f>IF($PI16="",0,(LEN($PI16)-LEN(SUBSTITUTE($PI16," · ","")))/3+1)</f>
        <v/>
      </c>
      <c r="PK16" s="152">
        <f>IF($MQ16=0,IF($OH16+COUNTIF($MO16:$MP16,"?*")&gt;0,"Dê um nome",""),IF($PH16&gt;0,"⚠ "&amp;$PH16&amp;IF($PH16&gt;1," erros"," erro"),IF($PJ16&gt;0,"! "&amp;$PJ16&amp;IF($PJ16&gt;1," avisos"," aviso"),"Na regra")))</f>
        <v/>
      </c>
      <c r="PL16" s="152">
        <f>IF($MQ16=0,"",IF($PH16+$PJ16=0,"Dentro das regras que a ficha confere",$PG16&amp;IF(AND($PH16&gt;0,$PJ16&gt;0)," · ","")&amp;$PI16))</f>
        <v/>
      </c>
      <c r="PM16" s="152">
        <f>IF($MD16&gt;$MR16,$ME16&amp;" · ABRE NO NÍVEL "&amp;$MD16,$ME16)</f>
        <v/>
      </c>
      <c r="PN16" s="152">
        <f>IF($MQ16=0,"",IF($MF16=0,"Sem PE",3*$MF16&amp;" PE"))</f>
        <v/>
      </c>
      <c r="PO16" s="152">
        <f>IF($MQ16=0,"",IF($MF16=0,"A atuação básica dela",IF(COUNTIF($NX16:$NY16,"Atrasar")&gt;0,"Sua Ação Completa",IF(COUNTIF($MK16:$MN16,"Rápido")&gt;0,"Sua Bônus",IF(COUNTIF($MK16:$MN16,"Reação")&gt;0,"Sua Reação","Sua Padrão")))&amp;" + a básica dela"&amp;IF(COUNTIF($MK16:$MN16,"Reação")&gt;0," e a coletiva","")&amp;IF(COUNTIF($NX16:$NY16,"Carregar")&gt;0," · em dois turnos","")))</f>
        <v/>
      </c>
      <c r="PP16" s="152">
        <f>IF($MJ16&lt;&gt;"",$MJ16,IF($MW16=0,"",INDEX($AA$2:$AA$11,$MW16)))</f>
        <v/>
      </c>
      <c r="PQ16" s="152">
        <f>IF(OR($MQ16=0,$MW16=0),"",IF(COUNTIF($MK16:$MN16,"Inescapável")&gt;0,"Automático",IF($PP16="Ataque",IF($MU16="","Ataque","Ataque "&amp;IF(($MU16+2*IF(COUNTIF($MK16:$MN16,"Precisão")&gt;0,1,0))&gt;=0,"+","−")&amp;ABS(($MU16+2*IF(COUNTIF($MK16:$MN16,"Precisão")&gt;0,1,0))))&amp;IF($NQ16&gt;0," · TR"&amp;IF($MV16="",""," CD "&amp;$MV16),""),IF(LEFT($PP16,2)="TR",$PP16&amp;IF($MV16="",""," · CD "&amp;$MV16)&amp;IF(COUNTIF($MK16:$MN16,"Certeiro")&gt;0," · metade",""),"Sem rolagem"))))</f>
        <v/>
      </c>
      <c r="PR16" s="152">
        <f>IF(OR($MQ16=0,$MW16=0),"",IF($MF16=0,IF(OR($NT16&gt;=1,$OQ16=0),"Sem dano",$OQ16&amp;"d6"&amp;IF($MI16="",""," "&amp;$MI16)),IF(OR($NT16&gt;=1,$OQ16=0),UPPER(LEFT(INDEX($OZ16:$PF16,1,MAX(1,$MF16)),1))&amp;MID(INDEX($OZ16:$PF16,1,MAX(1,$MF16)),2,99),UPPER(LEFT(INDEX($OZ16:$PF16,1,MAX(1,$MF16)),1))&amp;MID(INDEX($OZ16:$PF16,1,MAX(1,$MF16)),2,99)&amp;IF($MI16="",""," "&amp;$MI16)&amp;IF($OR16&gt;0," · +"&amp;$OR16&amp;"d8",""))))</f>
        <v/>
      </c>
      <c r="PS16" s="152">
        <f>COUNTIF($MK16:$MN16,"Longe")+3*COUNTIF($MK16:$MN16,"Muito Longe")</f>
        <v/>
      </c>
      <c r="PT16" s="152">
        <f>COUNTIF($MK16:$MN16,"Maior")+3*COUNTIF($MK16:$MN16,"Muito Maior")</f>
        <v/>
      </c>
      <c r="PU16" s="152">
        <f>IF($MW16=0,0,CHOOSE(1+INDEX($AC$2:$AC$11,$MW16),0,$PS16,$PT16,$PS16+$PT16))</f>
        <v/>
      </c>
      <c r="PV16" s="152">
        <f>IF($MW16=0,0,CHOOSE(1+INDEX($AD$2:$AD$11,$MW16),0,$PS16,$PT16,$PS16+$PT16))</f>
        <v/>
      </c>
      <c r="PW16" s="152">
        <f>IF(OR($MQ16=0,$MW16=0),"",INDEX($AI$2:$AN$41,($MW16-1)*4+IF($MF16=0,1,IF($MF16&lt;=5,2,IF($MF16=6,3,4))),1+MIN(5,$PU16))&amp;INDEX($AO$2:$AT$41,($MW16-1)*4+IF($MF16=0,1,IF($MF16&lt;=5,2,IF($MF16=6,3,4))),1+MIN(5,$PV16))&amp;IF(INDEX($AE$2:$AE$11,$MW16)=1,IF(COUNTIF($MK16:$MN16,"Mais Um")&gt;0," · +"&amp;COUNTIF($MK16:$MN16,"Mais Um")&amp;IF(COUNTIF($MK16:$MN16,"Mais Um")&gt;1," alvos"," alvo"),"")&amp;IF(COUNTIF($MK16:$MN16,"Rajada")&gt;0,IF($MF16=0," · 1 tiro"," · "&amp;(MAX(1,$MF16-1)+1)&amp;" tiros"),""),""))</f>
        <v/>
      </c>
      <c r="PX16" s="152">
        <f>IF($MQ16=0,"",IF($MF16=0,$MT16&amp;"d6"&amp;IF($OH16&gt;0," − 1 = "&amp;$OQ16&amp;"d6"," da básica do nível "&amp;$MR16),$OO16&amp;" − "&amp;$OJ16&amp;" + "&amp;$OM16&amp;" = "&amp;$OP16&amp;" · teto "&amp;4*$MF16&amp;"d8"&amp;IF($NS16=1," · a Forma devolve "&amp;$MF16,"")&amp;IF($ON16&gt;0," · perde "&amp;$ON16,"")))</f>
        <v/>
      </c>
      <c r="PY16" s="152">
        <f>IF($MQ16=0,"",IF($MF16=0,"A básica não amplia: os dados dela sobem com o nível",IF($MF16&gt;=$MS16,"Já está na maior Classe que o nível liberou",TEXTJOIN(" · ",TRUE,IF(AND(2&gt;$MF16,2&lt;=$MS16),"2 → "&amp;$PA16&amp;", 6 PE",""),IF(AND(3&gt;$MF16,3&lt;=$MS16),"3 → "&amp;$PB16&amp;", 9 PE",""),IF(AND(4&gt;$MF16,4&lt;=$MS16),"4 → "&amp;$PC16&amp;", 12 PE",""),IF(AND(5&gt;$MF16,5&lt;=$MS16),"5 → "&amp;$PD16&amp;", 15 PE",""),IF(AND(6&gt;$MF16,6&lt;=$MS16),"6 → "&amp;$PE16&amp;", 18 PE",""),IF(AND(7&gt;$MF16,7&lt;=$MS16),"7 → "&amp;$PF16&amp;", 21 PE","")))))</f>
        <v/>
      </c>
      <c r="PZ16" s="152">
        <f>IF(OR($MQ16=0,$NB16=0),"",IF($MF16=0,"−1 dado","−"&amp;INDEX($I$2:$N$8,MAX(1,$MF16),MAX(1,$NG16))&amp;" · "&amp;CHOOSE(MAX(1,$NG16),"Leve","Média","Pesada","Leve · Livre","Média · Livre","Pesada · Livre")))</f>
        <v/>
      </c>
      <c r="QA16" s="152">
        <f>IF(OR($MQ16=0,$NC16=0),"",IF($MF16=0,"−1 dado","−"&amp;INDEX($I$2:$N$8,MAX(1,$MF16),MAX(1,$NH16))&amp;" · "&amp;CHOOSE(MAX(1,$NH16),"Leve","Média","Pesada","Leve · Livre","Média · Livre","Pesada · Livre")))</f>
        <v/>
      </c>
      <c r="QB16" s="152">
        <f>IF(OR($MQ16=0,$ND16=0),"",IF($MF16=0,"−1 dado","−"&amp;INDEX($I$2:$N$8,MAX(1,$MF16),MAX(1,$NI16))&amp;" · "&amp;CHOOSE(MAX(1,$NI16),"Leve","Média","Pesada","Leve · Livre","Média · Livre","Pesada · Livre")))</f>
        <v/>
      </c>
      <c r="QC16" s="152">
        <f>IF(OR($MQ16=0,$NE16=0),"",IF($MF16=0,"−1 dado","−"&amp;INDEX($I$2:$N$8,MAX(1,$MF16),MAX(1,$NJ16))&amp;" · "&amp;CHOOSE(MAX(1,$NJ16),"Leve","Média","Pesada","Leve · Livre","Média · Livre","Pesada · Livre")))</f>
        <v/>
      </c>
      <c r="QD16" s="152">
        <f>IF(OR($MQ16=0,$MO16=""),"",IF($MF16=0,"não devolve","+"&amp;IF($NV16=1,CEILING($MF16/2,1),$MF16)))</f>
        <v/>
      </c>
      <c r="QE16" s="152">
        <f>IF(OR($MQ16=0,$MP16=""),"",IF($MF16=0,"não devolve","+"&amp;IF($NW16=1,CEILING($MF16/2,1),$MF16)))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A17" s="152" t="n">
        <v>0</v>
      </c>
      <c r="BC17" s="150" t="inlineStr">
        <is>
          <t>Condicional (Média)</t>
        </is>
      </c>
      <c r="BD17" s="150" t="inlineStr">
        <is>
          <t>Condicional</t>
        </is>
      </c>
      <c r="BE17" s="152" t="n">
        <v>2</v>
      </c>
      <c r="BF17" s="152" t="n">
        <v>1</v>
      </c>
      <c r="BG17" s="150" t="inlineStr"/>
      <c r="CA17" s="150" t="inlineStr">
        <is>
          <t>Tecnologia</t>
        </is>
      </c>
      <c r="CB17" s="150" t="inlineStr">
        <is>
          <t>Inteligência</t>
        </is>
      </c>
      <c r="JG17" s="152">
        <f>IF(OR($AW17="",COUNTIF($EF$2:$EJ$2,$AW17)&gt;0),$AV17,"")</f>
        <v/>
      </c>
      <c r="JH17" s="152">
        <f>IF(AND($AX17=1,OR($AW17="",COUNTIF($EF$2:$EJ$2,$AW17)&gt;0)),$AV17,"")</f>
        <v/>
      </c>
      <c r="JM17" s="152">
        <f>IF(OR($AW17="",COUNTIF($EF$3:$EJ$3,$AW17)&gt;0),$AV17,"")</f>
        <v/>
      </c>
      <c r="JN17" s="152">
        <f>IF(AND($AX17=1,OR($AW17="",COUNTIF($EF$3:$EJ$3,$AW17)&gt;0)),$AV17,"")</f>
        <v/>
      </c>
      <c r="JS17" s="152">
        <f>IF(OR($AW17="",COUNTIF($EF$4:$EJ$4,$AW17)&gt;0),$AV17,"")</f>
        <v/>
      </c>
      <c r="JT17" s="152">
        <f>IF(AND($AX17=1,OR($AW17="",COUNTIF($EF$4:$EJ$4,$AW17)&gt;0)),$AV17,"")</f>
        <v/>
      </c>
      <c r="JY17" s="152">
        <f>IF(OR($AW17="",COUNTIF($EF$5:$EJ$5,$AW17)&gt;0),$AV17,"")</f>
        <v/>
      </c>
      <c r="JZ17" s="152">
        <f>IF(AND($AX17=1,OR($AW17="",COUNTIF($EF$5:$EJ$5,$AW17)&gt;0)),$AV17,"")</f>
        <v/>
      </c>
      <c r="KE17" s="152">
        <f>IF(OR($AW17="",COUNTIF($EF$6:$EJ$6,$AW17)&gt;0),$AV17,"")</f>
        <v/>
      </c>
      <c r="KF17" s="152">
        <f>IF(AND($AX17=1,OR($AW17="",COUNTIF($EF$6:$EJ$6,$AW17)&gt;0)),$AV17,"")</f>
        <v/>
      </c>
      <c r="KK17" s="152">
        <f>IF(OR($AW17="",COUNTIF($EF$7:$EJ$7,$AW17)&gt;0),$AV17,"")</f>
        <v/>
      </c>
      <c r="KL17" s="152">
        <f>IF(AND($AX17=1,OR($AW17="",COUNTIF($EF$7:$EJ$7,$AW17)&gt;0)),$AV17,"")</f>
        <v/>
      </c>
      <c r="KQ17" s="152">
        <f>IF(OR($AW17="",COUNTIF($EF$8:$EJ$8,$AW17)&gt;0),$AV17,"")</f>
        <v/>
      </c>
      <c r="KR17" s="152">
        <f>IF(AND($AX17=1,OR($AW17="",COUNTIF($EF$8:$EJ$8,$AW17)&gt;0)),$AV17,"")</f>
        <v/>
      </c>
      <c r="KW17" s="152">
        <f>IF(OR($AW17="",COUNTIF($EF$9:$EJ$9,$AW17)&gt;0),$AV17,"")</f>
        <v/>
      </c>
      <c r="KX17" s="152">
        <f>IF(AND($AX17=1,OR($AW17="",COUNTIF($EF$9:$EJ$9,$AW17)&gt;0)),$AV17,"")</f>
        <v/>
      </c>
      <c r="LC17" s="152">
        <f>IF(OR($AW17="",COUNTIF($EF$10:$EJ$10,$AW17)&gt;0),$AV17,"")</f>
        <v/>
      </c>
      <c r="LD17" s="152">
        <f>IF(AND($AX17=1,OR($AW17="",COUNTIF($EF$10:$EJ$10,$AW17)&gt;0)),$AV17,"")</f>
        <v/>
      </c>
      <c r="LI17" s="152">
        <f>IF(OR($AW17="",COUNTIF($EF$11:$EJ$11,$AW17)&gt;0),$AV17,"")</f>
        <v/>
      </c>
      <c r="LJ17" s="152">
        <f>IF(AND($AX17=1,OR($AW17="",COUNTIF($EF$11:$EJ$11,$AW17)&gt;0)),$AV17,"")</f>
        <v/>
      </c>
      <c r="LO17" s="152">
        <f>IF(OR($AW17="",COUNTIF($EF$12:$EJ$12,$AW17)&gt;0),$AV17,"")</f>
        <v/>
      </c>
      <c r="LP17" s="152">
        <f>IF(AND($AX17=1,OR($AW17="",COUNTIF($EF$12:$EJ$12,$AW17)&gt;0)),$AV17,"")</f>
        <v/>
      </c>
      <c r="LU17" s="152">
        <f>IF(OR($AW17="",COUNTIF($EF$13:$EJ$13,$AW17)&gt;0),$AV17,"")</f>
        <v/>
      </c>
      <c r="LV17" s="152">
        <f>IF(AND($AX17=1,OR($AW17="",COUNTIF($EF$13:$EJ$13,$AW17)&gt;0)),$AV17,"")</f>
        <v/>
      </c>
      <c r="MA17" s="150" t="inlineStr">
        <is>
          <t>Ficha 2 · Especial 2</t>
        </is>
      </c>
      <c r="MB17" s="152" t="n">
        <v>2</v>
      </c>
      <c r="MC17" s="152" t="n">
        <v>1</v>
      </c>
      <c r="MD17" s="152" t="n">
        <v>4</v>
      </c>
      <c r="ME17" s="150" t="inlineStr">
        <is>
          <t>ESPECIAL 2</t>
        </is>
      </c>
      <c r="MF17" s="152">
        <f>MAX(1,MIN(7,N('INVOCAÇÕES'!$U$256)))</f>
        <v/>
      </c>
      <c r="MG17" s="152">
        <f>'INVOCAÇÕES'!$V$256&amp;""</f>
        <v/>
      </c>
      <c r="MH17" s="152">
        <f>'INVOCAÇÕES'!$U$261&amp;""</f>
        <v/>
      </c>
      <c r="MI17" s="152">
        <f>'INVOCAÇÕES'!$U$262&amp;""</f>
        <v/>
      </c>
      <c r="MJ17" s="152">
        <f>'INVOCAÇÕES'!$W$262&amp;""</f>
        <v/>
      </c>
      <c r="MK17" s="152">
        <f>'INVOCAÇÕES'!$V$265&amp;""</f>
        <v/>
      </c>
      <c r="ML17" s="152">
        <f>'INVOCAÇÕES'!$V$266&amp;""</f>
        <v/>
      </c>
      <c r="MM17" s="152">
        <f>'INVOCAÇÕES'!$V$267&amp;""</f>
        <v/>
      </c>
      <c r="MN17" s="152">
        <f>'INVOCAÇÕES'!$V$268&amp;""</f>
        <v/>
      </c>
      <c r="MO17" s="152">
        <f>'INVOCAÇÕES'!$V$269&amp;""</f>
        <v/>
      </c>
      <c r="MP17" s="152">
        <f>'INVOCAÇÕES'!$V$270&amp;""</f>
        <v/>
      </c>
      <c r="MQ17" s="152">
        <f>IF($MG17&lt;&gt;"",1,0)</f>
        <v/>
      </c>
      <c r="MR17" s="152">
        <f>INDEX($FI$2:$FI$13,$MB17)</f>
        <v/>
      </c>
      <c r="MS17" s="152">
        <f>INDEX($FJ$2:$FJ$13,$MB17)</f>
        <v/>
      </c>
      <c r="MT17" s="152">
        <f>INDEX($FK$2:$FK$13,$MB17)</f>
        <v/>
      </c>
      <c r="MU17" s="152">
        <f>INDEX($FV$2:$FV$13,$MB17)</f>
        <v/>
      </c>
      <c r="MV17" s="152">
        <f>INDEX($FW$2:$FW$13,$MB17)</f>
        <v/>
      </c>
      <c r="MW17" s="152">
        <f>IFERROR(MATCH($MH17,$V$2:$V$11,0),0)</f>
        <v/>
      </c>
      <c r="MX17" s="152">
        <f>IFERROR(VLOOKUP($MK17,$AV$2:$BA$84,2,FALSE),"")</f>
        <v/>
      </c>
      <c r="MY17" s="152">
        <f>IFERROR(VLOOKUP($ML17,$AV$2:$BA$84,2,FALSE),"")</f>
        <v/>
      </c>
      <c r="MZ17" s="152">
        <f>IFERROR(VLOOKUP($MM17,$AV$2:$BA$84,2,FALSE),"")</f>
        <v/>
      </c>
      <c r="NA17" s="152">
        <f>IFERROR(VLOOKUP($MN17,$AV$2:$BA$84,2,FALSE),"")</f>
        <v/>
      </c>
      <c r="NB17" s="152">
        <f>IFERROR(VLOOKUP($MK17,$AV$2:$BA$84,3,FALSE),0)</f>
        <v/>
      </c>
      <c r="NC17" s="152">
        <f>IFERROR(VLOOKUP($ML17,$AV$2:$BA$84,3,FALSE),0)</f>
        <v/>
      </c>
      <c r="ND17" s="152">
        <f>IFERROR(VLOOKUP($MM17,$AV$2:$BA$84,3,FALSE),0)</f>
        <v/>
      </c>
      <c r="NE17" s="152">
        <f>IFERROR(VLOOKUP($MN17,$AV$2:$BA$84,3,FALSE),0)</f>
        <v/>
      </c>
      <c r="NF17" s="152">
        <f>IF($MF17=0,0,IF($MW17=0,0,INDEX($X$2:$X$11,$MW17)))</f>
        <v/>
      </c>
      <c r="NG17" s="152">
        <f>IF(OR($NB17=0,$MF17=0),0,$NB17+3*IF(AND($MX17&lt;&gt;"",OR($MX17=INDEX($EF$2:$EF$13,$MB17),$MX17=INDEX($EG$2:$EG$13,$MB17))),1,0))</f>
        <v/>
      </c>
      <c r="NH17" s="152">
        <f>IF(OR($NC17=0,$MF17=0),0,$NC17+3*IF(AND($MY17&lt;&gt;"",OR($MY17=INDEX($EF$2:$EF$13,$MB17),$MY17=INDEX($EG$2:$EG$13,$MB17))),1,0))</f>
        <v/>
      </c>
      <c r="NI17" s="152">
        <f>IF(OR($ND17=0,$MF17=0),0,$ND17+3*IF(AND($MZ17&lt;&gt;"",OR($MZ17=INDEX($EF$2:$EF$13,$MB17),$MZ17=INDEX($EG$2:$EG$13,$MB17))),1,0))</f>
        <v/>
      </c>
      <c r="NJ17" s="152">
        <f>IF(OR($NE17=0,$MF17=0),0,$NE17+3*IF(AND($NA17&lt;&gt;"",OR($NA17=INDEX($EF$2:$EF$13,$MB17),$NA17=INDEX($EG$2:$EG$13,$MB17))),1,0))</f>
        <v/>
      </c>
      <c r="NK17" s="152">
        <f>IF($MW17=0,0,IF(INDEX($W$2:$W$11,$MW17)="",0,IF(COUNTIF(INDEX($EF$2:$EJ$13,$MB17,0),INDEX($W$2:$W$11,$MW17))=0,1,0)))</f>
        <v/>
      </c>
      <c r="NL17" s="152">
        <f>IF(OR($NB17=0,$MX17=""),0,IF(COUNTIF(INDEX($EF$2:$EJ$13,$MB17,0),$MX17)=0,1,0))</f>
        <v/>
      </c>
      <c r="NM17" s="152">
        <f>IF(OR($NC17=0,$MY17=""),0,IF(COUNTIF(INDEX($EF$2:$EJ$13,$MB17,0),$MY17)=0,1,0))</f>
        <v/>
      </c>
      <c r="NN17" s="152">
        <f>IF(OR($ND17=0,$MZ17=""),0,IF(COUNTIF(INDEX($EF$2:$EJ$13,$MB17,0),$MZ17)=0,1,0))</f>
        <v/>
      </c>
      <c r="NO17" s="152">
        <f>IF(OR($NE17=0,$NA17=""),0,IF(COUNTIF(INDEX($EF$2:$EJ$13,$MB17,0),$NA17)=0,1,0))</f>
        <v/>
      </c>
      <c r="NP17" s="152">
        <f>IFERROR(VLOOKUP($MK17,$AV$2:$BA$84,4,FALSE),0)+IFERROR(VLOOKUP($ML17,$AV$2:$BA$84,4,FALSE),0)+IFERROR(VLOOKUP($MM17,$AV$2:$BA$84,4,FALSE),0)+IFERROR(VLOOKUP($MN17,$AV$2:$BA$84,4,FALSE),0)</f>
        <v/>
      </c>
      <c r="NQ17" s="152">
        <f>IFERROR(VLOOKUP($MK17,$AV$2:$BA$84,6,FALSE),0)+IFERROR(VLOOKUP($ML17,$AV$2:$BA$84,6,FALSE),0)+IFERROR(VLOOKUP($MM17,$AV$2:$BA$84,6,FALSE),0)+IFERROR(VLOOKUP($MN17,$AV$2:$BA$84,6,FALSE),0)</f>
        <v/>
      </c>
      <c r="NR17" s="152">
        <f>TEXTJOIN(", ",TRUE,IF(IFERROR(VLOOKUP($MK17,$AV$2:$BA$84,5,FALSE),0)=1,$MK17,""),IF(IFERROR(VLOOKUP($ML17,$AV$2:$BA$84,5,FALSE),0)=1,$ML17,""),IF(IFERROR(VLOOKUP($MM17,$AV$2:$BA$84,5,FALSE),0)=1,$MM17,""),IF(IFERROR(VLOOKUP($MN17,$AV$2:$BA$84,5,FALSE),0)=1,$MN17,""))</f>
        <v/>
      </c>
      <c r="NS17" s="152">
        <f>IF($MW17=0,0,INDEX($Y$2:$Y$11,$MW17))</f>
        <v/>
      </c>
      <c r="NT17" s="152">
        <f>IF($MW17=0,0,INDEX($Z$2:$Z$11,$MW17))</f>
        <v/>
      </c>
      <c r="NU17" s="152">
        <f>IF($MW17=0,0,INDEX($AB$2:$AB$11,$MW17))</f>
        <v/>
      </c>
      <c r="NV17" s="152">
        <f>IFERROR(VLOOKUP($MO17,$BC$2:$BG$24,3,FALSE),0)</f>
        <v/>
      </c>
      <c r="NW17" s="152">
        <f>IFERROR(VLOOKUP($MP17,$BC$2:$BG$24,3,FALSE),0)</f>
        <v/>
      </c>
      <c r="NX17" s="152">
        <f>IFERROR(VLOOKUP($MO17,$BC$2:$BG$24,2,FALSE),"")</f>
        <v/>
      </c>
      <c r="NY17" s="152">
        <f>IFERROR(VLOOKUP($MP17,$BC$2:$BG$24,2,FALSE),"")</f>
        <v/>
      </c>
      <c r="NZ17" s="152">
        <f>COUNTIF($NF17:$NJ17,1)</f>
        <v/>
      </c>
      <c r="OA17" s="152">
        <f>COUNTIF($NF17:$NJ17,2)</f>
        <v/>
      </c>
      <c r="OB17" s="152">
        <f>COUNTIF($NF17:$NJ17,3)</f>
        <v/>
      </c>
      <c r="OC17" s="152">
        <f>COUNTIF($NF17:$NJ17,4)</f>
        <v/>
      </c>
      <c r="OD17" s="152">
        <f>COUNTIF($NF17:$NJ17,5)</f>
        <v/>
      </c>
      <c r="OE17" s="152">
        <f>COUNTIF($NF17:$NJ17,6)</f>
        <v/>
      </c>
      <c r="OF17" s="152">
        <f>COUNTIF($NV17:$NW17,1)</f>
        <v/>
      </c>
      <c r="OG17" s="152">
        <f>COUNTIF($NV17:$NW17,2)+$NS17</f>
        <v/>
      </c>
      <c r="OH17" s="152">
        <f>COUNTIF($MK17:$MN17,"?*")</f>
        <v/>
      </c>
      <c r="OI17" s="152">
        <f>COUNTIF($MO17:$MP17,"?*")+$NS17</f>
        <v/>
      </c>
      <c r="OJ17" s="152">
        <f>IF($MF17=0,0,SUMPRODUCT($NZ17:$OE17,INDEX($I$2:$N$8,MAX(1,$MF17),0)))</f>
        <v/>
      </c>
      <c r="OK17" s="152">
        <f>IF($MF17=0,0,$OF17*CEILING($MF17/2,1)+$OG17*$MF17)</f>
        <v/>
      </c>
      <c r="OL17" s="152">
        <f>MIN(2*$MF17,$OK17)</f>
        <v/>
      </c>
      <c r="OM17" s="152">
        <f>MIN($OL17,$OJ17)</f>
        <v/>
      </c>
      <c r="ON17" s="152">
        <f>$OL17-$OM17</f>
        <v/>
      </c>
      <c r="OO17" s="152">
        <f>IF($MF17=0,0,INDEX($P$2:$P$8,MAX(1,$MF17)))</f>
        <v/>
      </c>
      <c r="OP17" s="152">
        <f>$OO17-$OJ17+$OM17</f>
        <v/>
      </c>
      <c r="OQ17" s="152">
        <f>IF($MF17=0,MAX(0,$MT17-IF($OH17&gt;0,1,0)),MAX(0,$OP17))</f>
        <v/>
      </c>
      <c r="OR17" s="152">
        <f>IF($MF17=0,0,(IF(COUNTIF($MK17:$MN17,"Salto")&gt;0,1,0)+IF(COUNTIF($MK17:$MN17,"Queima")&gt;0,1,0)+IF(COUNTIF($MK17:$MN17,"Estilhaço")&gt;0,1,0))*FLOOR($OQ17/2,1))</f>
        <v/>
      </c>
      <c r="OS17" s="152">
        <f>MAX(0,2-SUMPRODUCT($NZ17:$OE17,$I$2:$N$2)+MIN(2,$OF17*1+$OG17*1,SUMPRODUCT($NZ17:$OE17,$I$2:$N$2)))</f>
        <v/>
      </c>
      <c r="OT17" s="152">
        <f>MAX(0,4-SUMPRODUCT($NZ17:$OE17,$I$3:$N$3)+MIN(4,$OF17*1+$OG17*2,SUMPRODUCT($NZ17:$OE17,$I$3:$N$3)))</f>
        <v/>
      </c>
      <c r="OU17" s="152">
        <f>MAX(0,6-SUMPRODUCT($NZ17:$OE17,$I$4:$N$4)+MIN(6,$OF17*2+$OG17*3,SUMPRODUCT($NZ17:$OE17,$I$4:$N$4)))</f>
        <v/>
      </c>
      <c r="OV17" s="152">
        <f>MAX(0,9-SUMPRODUCT($NZ17:$OE17,$I$5:$N$5)+MIN(8,$OF17*2+$OG17*4,SUMPRODUCT($NZ17:$OE17,$I$5:$N$5)))</f>
        <v/>
      </c>
      <c r="OW17" s="152">
        <f>MAX(0,11-SUMPRODUCT($NZ17:$OE17,$I$6:$N$6)+MIN(10,$OF17*3+$OG17*5,SUMPRODUCT($NZ17:$OE17,$I$6:$N$6)))</f>
        <v/>
      </c>
      <c r="OX17" s="152">
        <f>MAX(0,13-SUMPRODUCT($NZ17:$OE17,$I$7:$N$7)+MIN(12,$OF17*3+$OG17*6,SUMPRODUCT($NZ17:$OE17,$I$7:$N$7)))</f>
        <v/>
      </c>
      <c r="OY17" s="152">
        <f>MAX(0,16-SUMPRODUCT($NZ17:$OE17,$I$8:$N$8)+MIN(14,$OF17*4+$OG17*7,SUMPRODUCT($NZ17:$OE17,$I$8:$N$8)))</f>
        <v/>
      </c>
      <c r="OZ17" s="152">
        <f>IF($NT17=2,3*$OS17&amp;" de vida temp.",IF($NT17=3,"sem dano",IF($OS17=0,IF($NT17=1,"sem cura","sem dano"),IF($NT17=1,"cura ","")&amp;$OS17&amp;"d8")))</f>
        <v/>
      </c>
      <c r="PA17" s="152">
        <f>IF($NT17=2,3*$OT17&amp;" de vida temp.",IF($NT17=3,"sem dano",IF($OT17=0,IF($NT17=1,"sem cura","sem dano"),IF($NT17=1,"cura ","")&amp;$OT17&amp;"d8")))</f>
        <v/>
      </c>
      <c r="PB17" s="152">
        <f>IF($NT17=2,3*$OU17&amp;" de vida temp.",IF($NT17=3,"sem dano",IF($OU17=0,IF($NT17=1,"sem cura","sem dano"),IF($NT17=1,"cura ","")&amp;$OU17&amp;"d8")))</f>
        <v/>
      </c>
      <c r="PC17" s="152">
        <f>IF($NT17=2,3*$OV17&amp;" de vida temp.",IF($NT17=3,"sem dano",IF($OV17=0,IF($NT17=1,"sem cura","sem dano"),IF($NT17=1,"cura ","")&amp;$OV17&amp;"d8")))</f>
        <v/>
      </c>
      <c r="PD17" s="152">
        <f>IF($NT17=2,3*$OW17&amp;" de vida temp.",IF($NT17=3,"sem dano",IF($OW17=0,IF($NT17=1,"sem cura","sem dano"),IF($NT17=1,"cura ","")&amp;$OW17&amp;"d8")))</f>
        <v/>
      </c>
      <c r="PE17" s="152">
        <f>IF($NT17=2,3*$OX17&amp;" de vida temp.",IF($NT17=3,"sem dano",IF($OX17=0,IF($NT17=1,"sem cura","sem dano"),IF($NT17=1,"cura ","")&amp;$OX17&amp;"d8")))</f>
        <v/>
      </c>
      <c r="PF17" s="152">
        <f>IF($NT17=2,3*$OY17&amp;" de vida temp.",IF($NT17=3,"sem dano",IF($OY17=0,IF($NT17=1,"sem cura","sem dano"),IF($NT17=1,"cura ","")&amp;$OY17&amp;"d8")))</f>
        <v/>
      </c>
      <c r="PG17" s="152">
        <f>IF($MQ17=0,"",TEXTJOIN(" · ",TRUE,IF($MD17&gt;$MR17,"Este lugar abre no nível "&amp;$MD17,""),IF($MF17&gt;$MS17,"Classe "&amp;$MF17&amp;": o nível "&amp;$MR17&amp;" libera até a "&amp;$MS17,""),IF($NK17=1,"A Forma "&amp;$MH17&amp;" pede "&amp;INDEX($W$2:$W$11,$MW17)&amp;" aberta",""),IF(AND($MF17=0,$MW17&gt;0,IF($MW17=0,0,INDEX($AF$2:$AF$11,$MW17))=0),$MH17&amp;" não existe na Classe 0",""),IF($NL17=1,"Família Fechada: "&amp;$MK17,""),IF($NM17=1,"Família Fechada: "&amp;$ML17,""),IF($NN17=1,"Família Fechada: "&amp;$MM17,""),IF($NO17=1,"Família Fechada: "&amp;$MN17,""),IF(AND($MF17&gt;0,$OH17&gt;INDEX($O$2:$O$8,MAX(1,$MF17))),$OH17&amp;" Melhorias: a Classe "&amp;$MF17&amp;" aceita "&amp;INDEX($O$2:$O$8,MAX(1,$MF17)),""),IF(AND($MF17=0,$OH17&gt;1),"A básica aceita uma Melhoria",""),IF(AND($MF17=0,COUNTIF($NB17:$NE17,"&gt;1")&gt;0),"A básica só aceita Melhoria Leve",""),IF(AND($MF17&gt;0,$OI17&gt;2),$OI17&amp;" Restrições"&amp;IF($NS17=1,", contando a que a Forma "&amp;$MH17&amp;" já traz","")&amp;": o limite é 2",""),IF(AND($MF17=0,COUNTIF($MO17:$MP17,"?*")&gt;1),"A básica aceita uma Restrição Leve",""),IF(AND($MF17=0,COUNTIF($NV17:$NW17,2)&gt;0),"A básica só aceita Restrição Leve",""),IF(AND($MF17&gt;0,$OP17&lt;0),"Orçamento estourado: faltam "&amp;(-$OP17)&amp;IF($OP17&lt;-1," pontos"," ponto"),""),IF(IFERROR(VLOOKUP($MO17,$BC$2:$BG$24,4,FALSE),0)+IFERROR(VLOOKUP($MP17,$BC$2:$BG$24,4,FALSE),0)&gt;1,$NX17&amp;" e "&amp;$NY17&amp;" são as duas de frequência",""),IF(AND((COUNTIF($MK17:$MN17,"Rápido")+COUNTIF($NX17:$NY17,"Rápido"))&gt;0,(COUNTIF($MK17:$MN17,"Atrasar")+COUNTIF($NX17:$NY17,"Atrasar"))&gt;0),"Rápido não entra com Atrasar",""),IF(AND((COUNTIF($MK17:$MN17,"Reação")+COUNTIF($NX17:$NY17,"Reação"))&gt;0,(COUNTIF($MK17:$MN17,"Rápido")+COUNTIF($NX17:$NY17,"Rápido"))&gt;0),"Reação não entra com Rápido",""),IF(AND((COUNTIF($MK17:$MN17,"Reação")+COUNTIF($NX17:$NY17,"Reação"))&gt;0,(COUNTIF($MK17:$MN17,"Armado")+COUNTIF($NX17:$NY17,"Armado"))&gt;0),"Reação não entra com Armado",""),IF(AND((COUNTIF($MK17:$MN17,"Reação")+COUNTIF($NX17:$NY17,"Reação"))&gt;0,(COUNTIF($MK17:$MN17,"Atrasar")+COUNTIF($NX17:$NY17,"Atrasar"))&gt;0),"Reação não entra com Atrasar",""),IF(AND((COUNTIF($MK17:$MN17,"Reação")+COUNTIF($NX17:$NY17,"Reação"))&gt;0,(COUNTIF($MK17:$MN17,"Parado")+COUNTIF($NX17:$NY17,"Parado"))&gt;0),"Reação não entra com Parado",""),IF(AND((COUNTIF($MK17:$MN17,"Atrasar")+COUNTIF($NX17:$NY17,"Atrasar"))&gt;0,(COUNTIF($MK17:$MN17,"Parado")+COUNTIF($NX17:$NY17,"Parado"))&gt;0),"Atrasar não entra com Parado",""),IF(AND((COUNTIF($MK17:$MN17,"Armado")+COUNTIF($NX17:$NY17,"Armado"))&gt;0,(COUNTIF($MK17:$MN17,"Carregar")+COUNTIF($NX17:$NY17,"Carregar"))&gt;0),"Armado não entra com Carregar",""),IF(AND(COUNTIF($NX17:$NY17,"Corpo a Corpo")&gt;0,$NS17=0,OR($MH17="Cone",$MH17="Linha")),"Corpo a Corpo não entra em "&amp;$MH17,""),IF(AND(COUNTIF($NX17:$NY17,"Corpo a Corpo")&gt;0,$NS17=1),"A Forma "&amp;$MH17&amp;" já traz o Corpo a Corpo",""),IF(AND(COUNTIF($NX17:$NY17,"Tudo ou Nada")&gt;0,$NU17=0),"Tudo ou Nada só entra em habilidade de Teste de Resistência",""),IF(AND(COUNTIF($MK17:$MN17,"Inescapável")&gt;0,OR($OH17&gt;1,$OI17&gt;0)),"Inescapável não aceita outra peça",""),IF(AND($MF17&gt;0,$OQ17*IF(COUNTIF($MK17:$MN17,"Remate")&gt;0,1.25,1)+$OR17&gt;4*$MF17),($OQ17*IF(COUNTIF($MK17:$MN17,"Remate")&gt;0,1.25,1)+$OR17)&amp;" dados somando repetições"&amp;IF(COUNTIF($MK17:$MN17,"Remate")&gt;0," e o Remate","")&amp;": o teto da Classe "&amp;$MF17&amp;" é "&amp;4*$MF17,"")))</f>
        <v/>
      </c>
      <c r="PH17" s="152">
        <f>IF($PG17="",0,(LEN($PG17)-LEN(SUBSTITUTE($PG17," · ","")))/3+1)</f>
        <v/>
      </c>
      <c r="PI17" s="152">
        <f>IF($MQ17=0,"",TEXTJOIN(" · ",TRUE,IF($OK17&gt;2*$MF17,"A devolução parou no teto de "&amp;2*$MF17,""),IF($ON17&gt;0,"Devolução perdida: "&amp;$ON17&amp;IF($ON17&gt;1," pontos"," ponto")&amp;" sem peça para pagar",""),IF(AND($NP17&gt;0,AND($MF17&gt;0,$NT17=0),$OQ17=0),"Controle sem dano: uma rodada a mais e CD +2",""),IF(AND($NP17&gt;0,AND($MF17&gt;0,$NT17=0),$OQ17&gt;0,$OQ17&lt;=$MF17),"Controle com saldo até a Classe: uma rodada a mais",""),IF(AND($MF17&gt;0,$NR17&lt;&gt;""),"Efeito de "&amp;$NR17&amp;" pela Classe "&amp;MAX(1,$MF17-1),"")))</f>
        <v/>
      </c>
      <c r="PJ17" s="152">
        <f>IF($PI17="",0,(LEN($PI17)-LEN(SUBSTITUTE($PI17," · ","")))/3+1)</f>
        <v/>
      </c>
      <c r="PK17" s="152">
        <f>IF($MQ17=0,IF($OH17+COUNTIF($MO17:$MP17,"?*")&gt;0,"Dê um nome",""),IF($PH17&gt;0,"⚠ "&amp;$PH17&amp;IF($PH17&gt;1," erros"," erro"),IF($PJ17&gt;0,"! "&amp;$PJ17&amp;IF($PJ17&gt;1," avisos"," aviso"),"Na regra")))</f>
        <v/>
      </c>
      <c r="PL17" s="152">
        <f>IF($MQ17=0,"",IF($PH17+$PJ17=0,"Dentro das regras que a ficha confere",$PG17&amp;IF(AND($PH17&gt;0,$PJ17&gt;0)," · ","")&amp;$PI17))</f>
        <v/>
      </c>
      <c r="PM17" s="152">
        <f>IF($MD17&gt;$MR17,$ME17&amp;" · ABRE NO NÍVEL "&amp;$MD17,$ME17)</f>
        <v/>
      </c>
      <c r="PN17" s="152">
        <f>IF($MQ17=0,"",IF($MF17=0,"Sem PE",3*$MF17&amp;" PE"))</f>
        <v/>
      </c>
      <c r="PO17" s="152">
        <f>IF($MQ17=0,"",IF($MF17=0,"A atuação básica dela",IF(COUNTIF($NX17:$NY17,"Atrasar")&gt;0,"Sua Ação Completa",IF(COUNTIF($MK17:$MN17,"Rápido")&gt;0,"Sua Bônus",IF(COUNTIF($MK17:$MN17,"Reação")&gt;0,"Sua Reação","Sua Padrão")))&amp;" + a básica dela"&amp;IF(COUNTIF($MK17:$MN17,"Reação")&gt;0," e a coletiva","")&amp;IF(COUNTIF($NX17:$NY17,"Carregar")&gt;0," · em dois turnos","")))</f>
        <v/>
      </c>
      <c r="PP17" s="152">
        <f>IF($MJ17&lt;&gt;"",$MJ17,IF($MW17=0,"",INDEX($AA$2:$AA$11,$MW17)))</f>
        <v/>
      </c>
      <c r="PQ17" s="152">
        <f>IF(OR($MQ17=0,$MW17=0),"",IF(COUNTIF($MK17:$MN17,"Inescapável")&gt;0,"Automático",IF($PP17="Ataque",IF($MU17="","Ataque","Ataque "&amp;IF(($MU17+2*IF(COUNTIF($MK17:$MN17,"Precisão")&gt;0,1,0))&gt;=0,"+","−")&amp;ABS(($MU17+2*IF(COUNTIF($MK17:$MN17,"Precisão")&gt;0,1,0))))&amp;IF($NQ17&gt;0," · TR"&amp;IF($MV17="",""," CD "&amp;$MV17),""),IF(LEFT($PP17,2)="TR",$PP17&amp;IF($MV17="",""," · CD "&amp;$MV17)&amp;IF(COUNTIF($MK17:$MN17,"Certeiro")&gt;0," · metade",""),"Sem rolagem"))))</f>
        <v/>
      </c>
      <c r="PR17" s="152">
        <f>IF(OR($MQ17=0,$MW17=0),"",IF($MF17=0,IF(OR($NT17&gt;=1,$OQ17=0),"Sem dano",$OQ17&amp;"d6"&amp;IF($MI17="",""," "&amp;$MI17)),IF(OR($NT17&gt;=1,$OQ17=0),UPPER(LEFT(INDEX($OZ17:$PF17,1,MAX(1,$MF17)),1))&amp;MID(INDEX($OZ17:$PF17,1,MAX(1,$MF17)),2,99),UPPER(LEFT(INDEX($OZ17:$PF17,1,MAX(1,$MF17)),1))&amp;MID(INDEX($OZ17:$PF17,1,MAX(1,$MF17)),2,99)&amp;IF($MI17="",""," "&amp;$MI17)&amp;IF($OR17&gt;0," · +"&amp;$OR17&amp;"d8",""))))</f>
        <v/>
      </c>
      <c r="PS17" s="152">
        <f>COUNTIF($MK17:$MN17,"Longe")+3*COUNTIF($MK17:$MN17,"Muito Longe")</f>
        <v/>
      </c>
      <c r="PT17" s="152">
        <f>COUNTIF($MK17:$MN17,"Maior")+3*COUNTIF($MK17:$MN17,"Muito Maior")</f>
        <v/>
      </c>
      <c r="PU17" s="152">
        <f>IF($MW17=0,0,CHOOSE(1+INDEX($AC$2:$AC$11,$MW17),0,$PS17,$PT17,$PS17+$PT17))</f>
        <v/>
      </c>
      <c r="PV17" s="152">
        <f>IF($MW17=0,0,CHOOSE(1+INDEX($AD$2:$AD$11,$MW17),0,$PS17,$PT17,$PS17+$PT17))</f>
        <v/>
      </c>
      <c r="PW17" s="152">
        <f>IF(OR($MQ17=0,$MW17=0),"",INDEX($AI$2:$AN$41,($MW17-1)*4+IF($MF17=0,1,IF($MF17&lt;=5,2,IF($MF17=6,3,4))),1+MIN(5,$PU17))&amp;INDEX($AO$2:$AT$41,($MW17-1)*4+IF($MF17=0,1,IF($MF17&lt;=5,2,IF($MF17=6,3,4))),1+MIN(5,$PV17))&amp;IF(INDEX($AE$2:$AE$11,$MW17)=1,IF(COUNTIF($MK17:$MN17,"Mais Um")&gt;0," · +"&amp;COUNTIF($MK17:$MN17,"Mais Um")&amp;IF(COUNTIF($MK17:$MN17,"Mais Um")&gt;1," alvos"," alvo"),"")&amp;IF(COUNTIF($MK17:$MN17,"Rajada")&gt;0,IF($MF17=0," · 1 tiro"," · "&amp;(MAX(1,$MF17-1)+1)&amp;" tiros"),""),""))</f>
        <v/>
      </c>
      <c r="PX17" s="152">
        <f>IF($MQ17=0,"",IF($MF17=0,$MT17&amp;"d6"&amp;IF($OH17&gt;0," − 1 = "&amp;$OQ17&amp;"d6"," da básica do nível "&amp;$MR17),$OO17&amp;" − "&amp;$OJ17&amp;" + "&amp;$OM17&amp;" = "&amp;$OP17&amp;" · teto "&amp;4*$MF17&amp;"d8"&amp;IF($NS17=1," · a Forma devolve "&amp;$MF17,"")&amp;IF($ON17&gt;0," · perde "&amp;$ON17,"")))</f>
        <v/>
      </c>
      <c r="PY17" s="152">
        <f>IF($MQ17=0,"",IF($MF17=0,"A básica não amplia: os dados dela sobem com o nível",IF($MF17&gt;=$MS17,"Já está na maior Classe que o nível liberou",TEXTJOIN(" · ",TRUE,IF(AND(2&gt;$MF17,2&lt;=$MS17),"2 → "&amp;$PA17&amp;", 6 PE",""),IF(AND(3&gt;$MF17,3&lt;=$MS17),"3 → "&amp;$PB17&amp;", 9 PE",""),IF(AND(4&gt;$MF17,4&lt;=$MS17),"4 → "&amp;$PC17&amp;", 12 PE",""),IF(AND(5&gt;$MF17,5&lt;=$MS17),"5 → "&amp;$PD17&amp;", 15 PE",""),IF(AND(6&gt;$MF17,6&lt;=$MS17),"6 → "&amp;$PE17&amp;", 18 PE",""),IF(AND(7&gt;$MF17,7&lt;=$MS17),"7 → "&amp;$PF17&amp;", 21 PE","")))))</f>
        <v/>
      </c>
      <c r="PZ17" s="152">
        <f>IF(OR($MQ17=0,$NB17=0),"",IF($MF17=0,"−1 dado","−"&amp;INDEX($I$2:$N$8,MAX(1,$MF17),MAX(1,$NG17))&amp;" · "&amp;CHOOSE(MAX(1,$NG17),"Leve","Média","Pesada","Leve · Livre","Média · Livre","Pesada · Livre")))</f>
        <v/>
      </c>
      <c r="QA17" s="152">
        <f>IF(OR($MQ17=0,$NC17=0),"",IF($MF17=0,"−1 dado","−"&amp;INDEX($I$2:$N$8,MAX(1,$MF17),MAX(1,$NH17))&amp;" · "&amp;CHOOSE(MAX(1,$NH17),"Leve","Média","Pesada","Leve · Livre","Média · Livre","Pesada · Livre")))</f>
        <v/>
      </c>
      <c r="QB17" s="152">
        <f>IF(OR($MQ17=0,$ND17=0),"",IF($MF17=0,"−1 dado","−"&amp;INDEX($I$2:$N$8,MAX(1,$MF17),MAX(1,$NI17))&amp;" · "&amp;CHOOSE(MAX(1,$NI17),"Leve","Média","Pesada","Leve · Livre","Média · Livre","Pesada · Livre")))</f>
        <v/>
      </c>
      <c r="QC17" s="152">
        <f>IF(OR($MQ17=0,$NE17=0),"",IF($MF17=0,"−1 dado","−"&amp;INDEX($I$2:$N$8,MAX(1,$MF17),MAX(1,$NJ17))&amp;" · "&amp;CHOOSE(MAX(1,$NJ17),"Leve","Média","Pesada","Leve · Livre","Média · Livre","Pesada · Livre")))</f>
        <v/>
      </c>
      <c r="QD17" s="152">
        <f>IF(OR($MQ17=0,$MO17=""),"",IF($MF17=0,"não devolve","+"&amp;IF($NV17=1,CEILING($MF17/2,1),$MF17)))</f>
        <v/>
      </c>
      <c r="QE17" s="152">
        <f>IF(OR($MQ17=0,$MP17=""),"",IF($MF17=0,"não devolve","+"&amp;IF($NW17=1,CEILING($MF17/2,1),$MF17)))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A18" s="152" t="n">
        <v>0</v>
      </c>
      <c r="BC18" s="150" t="inlineStr">
        <is>
          <t>Aquecer</t>
        </is>
      </c>
      <c r="BD18" s="150" t="inlineStr">
        <is>
          <t>Aquecer</t>
        </is>
      </c>
      <c r="BE18" s="152" t="n">
        <v>1</v>
      </c>
      <c r="BF18" s="152" t="n">
        <v>1</v>
      </c>
      <c r="BG18" s="150" t="inlineStr">
        <is>
          <t>Aquecer</t>
        </is>
      </c>
      <c r="CA18" s="150" t="inlineStr">
        <is>
          <t>Sentir Energia</t>
        </is>
      </c>
      <c r="CB18" s="150" t="inlineStr">
        <is>
          <t>Essência</t>
        </is>
      </c>
      <c r="JG18" s="152">
        <f>IF(OR($AW18="",COUNTIF($EF$2:$EJ$2,$AW18)&gt;0),$AV18,"")</f>
        <v/>
      </c>
      <c r="JH18" s="152">
        <f>IF(AND($AX18=1,OR($AW18="",COUNTIF($EF$2:$EJ$2,$AW18)&gt;0)),$AV18,"")</f>
        <v/>
      </c>
      <c r="JM18" s="152">
        <f>IF(OR($AW18="",COUNTIF($EF$3:$EJ$3,$AW18)&gt;0),$AV18,"")</f>
        <v/>
      </c>
      <c r="JN18" s="152">
        <f>IF(AND($AX18=1,OR($AW18="",COUNTIF($EF$3:$EJ$3,$AW18)&gt;0)),$AV18,"")</f>
        <v/>
      </c>
      <c r="JS18" s="152">
        <f>IF(OR($AW18="",COUNTIF($EF$4:$EJ$4,$AW18)&gt;0),$AV18,"")</f>
        <v/>
      </c>
      <c r="JT18" s="152">
        <f>IF(AND($AX18=1,OR($AW18="",COUNTIF($EF$4:$EJ$4,$AW18)&gt;0)),$AV18,"")</f>
        <v/>
      </c>
      <c r="JY18" s="152">
        <f>IF(OR($AW18="",COUNTIF($EF$5:$EJ$5,$AW18)&gt;0),$AV18,"")</f>
        <v/>
      </c>
      <c r="JZ18" s="152">
        <f>IF(AND($AX18=1,OR($AW18="",COUNTIF($EF$5:$EJ$5,$AW18)&gt;0)),$AV18,"")</f>
        <v/>
      </c>
      <c r="KE18" s="152">
        <f>IF(OR($AW18="",COUNTIF($EF$6:$EJ$6,$AW18)&gt;0),$AV18,"")</f>
        <v/>
      </c>
      <c r="KF18" s="152">
        <f>IF(AND($AX18=1,OR($AW18="",COUNTIF($EF$6:$EJ$6,$AW18)&gt;0)),$AV18,"")</f>
        <v/>
      </c>
      <c r="KK18" s="152">
        <f>IF(OR($AW18="",COUNTIF($EF$7:$EJ$7,$AW18)&gt;0),$AV18,"")</f>
        <v/>
      </c>
      <c r="KL18" s="152">
        <f>IF(AND($AX18=1,OR($AW18="",COUNTIF($EF$7:$EJ$7,$AW18)&gt;0)),$AV18,"")</f>
        <v/>
      </c>
      <c r="KQ18" s="152">
        <f>IF(OR($AW18="",COUNTIF($EF$8:$EJ$8,$AW18)&gt;0),$AV18,"")</f>
        <v/>
      </c>
      <c r="KR18" s="152">
        <f>IF(AND($AX18=1,OR($AW18="",COUNTIF($EF$8:$EJ$8,$AW18)&gt;0)),$AV18,"")</f>
        <v/>
      </c>
      <c r="KW18" s="152">
        <f>IF(OR($AW18="",COUNTIF($EF$9:$EJ$9,$AW18)&gt;0),$AV18,"")</f>
        <v/>
      </c>
      <c r="KX18" s="152">
        <f>IF(AND($AX18=1,OR($AW18="",COUNTIF($EF$9:$EJ$9,$AW18)&gt;0)),$AV18,"")</f>
        <v/>
      </c>
      <c r="LC18" s="152">
        <f>IF(OR($AW18="",COUNTIF($EF$10:$EJ$10,$AW18)&gt;0),$AV18,"")</f>
        <v/>
      </c>
      <c r="LD18" s="152">
        <f>IF(AND($AX18=1,OR($AW18="",COUNTIF($EF$10:$EJ$10,$AW18)&gt;0)),$AV18,"")</f>
        <v/>
      </c>
      <c r="LI18" s="152">
        <f>IF(OR($AW18="",COUNTIF($EF$11:$EJ$11,$AW18)&gt;0),$AV18,"")</f>
        <v/>
      </c>
      <c r="LJ18" s="152">
        <f>IF(AND($AX18=1,OR($AW18="",COUNTIF($EF$11:$EJ$11,$AW18)&gt;0)),$AV18,"")</f>
        <v/>
      </c>
      <c r="LO18" s="152">
        <f>IF(OR($AW18="",COUNTIF($EF$12:$EJ$12,$AW18)&gt;0),$AV18,"")</f>
        <v/>
      </c>
      <c r="LP18" s="152">
        <f>IF(AND($AX18=1,OR($AW18="",COUNTIF($EF$12:$EJ$12,$AW18)&gt;0)),$AV18,"")</f>
        <v/>
      </c>
      <c r="LU18" s="152">
        <f>IF(OR($AW18="",COUNTIF($EF$13:$EJ$13,$AW18)&gt;0),$AV18,"")</f>
        <v/>
      </c>
      <c r="LV18" s="152">
        <f>IF(AND($AX18=1,OR($AW18="",COUNTIF($EF$13:$EJ$13,$AW18)&gt;0)),$AV18,"")</f>
        <v/>
      </c>
      <c r="MA18" s="150" t="inlineStr">
        <is>
          <t>Ficha 2 · Básica 2</t>
        </is>
      </c>
      <c r="MB18" s="152" t="n">
        <v>2</v>
      </c>
      <c r="MC18" s="152" t="n">
        <v>0</v>
      </c>
      <c r="MD18" s="152" t="n">
        <v>11</v>
      </c>
      <c r="ME18" s="150" t="inlineStr">
        <is>
          <t>BÁSICA 2</t>
        </is>
      </c>
      <c r="MF18" s="152" t="n">
        <v>0</v>
      </c>
      <c r="MG18" s="152">
        <f>'INVOCAÇÕES'!$J$290&amp;""</f>
        <v/>
      </c>
      <c r="MH18" s="152">
        <f>'INVOCAÇÕES'!$I$295&amp;""</f>
        <v/>
      </c>
      <c r="MI18" s="152">
        <f>'INVOCAÇÕES'!$I$296&amp;""</f>
        <v/>
      </c>
      <c r="MJ18" s="152">
        <f>'INVOCAÇÕES'!$K$296&amp;""</f>
        <v/>
      </c>
      <c r="MK18" s="152">
        <f>'INVOCAÇÕES'!$J$299&amp;""</f>
        <v/>
      </c>
      <c r="ML18" s="152">
        <f>'INVOCAÇÕES'!$J$300&amp;""</f>
        <v/>
      </c>
      <c r="MM18" s="152">
        <f>'INVOCAÇÕES'!$J$301&amp;""</f>
        <v/>
      </c>
      <c r="MN18" s="152">
        <f>'INVOCAÇÕES'!$J$302&amp;""</f>
        <v/>
      </c>
      <c r="MO18" s="152">
        <f>'INVOCAÇÕES'!$J$303&amp;""</f>
        <v/>
      </c>
      <c r="MP18" s="152">
        <f>'INVOCAÇÕES'!$J$304&amp;""</f>
        <v/>
      </c>
      <c r="MQ18" s="152">
        <f>IF($MG18&lt;&gt;"",1,0)</f>
        <v/>
      </c>
      <c r="MR18" s="152">
        <f>INDEX($FI$2:$FI$13,$MB18)</f>
        <v/>
      </c>
      <c r="MS18" s="152">
        <f>INDEX($FJ$2:$FJ$13,$MB18)</f>
        <v/>
      </c>
      <c r="MT18" s="152">
        <f>INDEX($FK$2:$FK$13,$MB18)</f>
        <v/>
      </c>
      <c r="MU18" s="152">
        <f>INDEX($FV$2:$FV$13,$MB18)</f>
        <v/>
      </c>
      <c r="MV18" s="152">
        <f>INDEX($FW$2:$FW$13,$MB18)</f>
        <v/>
      </c>
      <c r="MW18" s="152">
        <f>IFERROR(MATCH($MH18,$V$2:$V$11,0),0)</f>
        <v/>
      </c>
      <c r="MX18" s="152">
        <f>IFERROR(VLOOKUP($MK18,$AV$2:$BA$84,2,FALSE),"")</f>
        <v/>
      </c>
      <c r="MY18" s="152">
        <f>IFERROR(VLOOKUP($ML18,$AV$2:$BA$84,2,FALSE),"")</f>
        <v/>
      </c>
      <c r="MZ18" s="152">
        <f>IFERROR(VLOOKUP($MM18,$AV$2:$BA$84,2,FALSE),"")</f>
        <v/>
      </c>
      <c r="NA18" s="152">
        <f>IFERROR(VLOOKUP($MN18,$AV$2:$BA$84,2,FALSE),"")</f>
        <v/>
      </c>
      <c r="NB18" s="152">
        <f>IFERROR(VLOOKUP($MK18,$AV$2:$BA$84,3,FALSE),0)</f>
        <v/>
      </c>
      <c r="NC18" s="152">
        <f>IFERROR(VLOOKUP($ML18,$AV$2:$BA$84,3,FALSE),0)</f>
        <v/>
      </c>
      <c r="ND18" s="152">
        <f>IFERROR(VLOOKUP($MM18,$AV$2:$BA$84,3,FALSE),0)</f>
        <v/>
      </c>
      <c r="NE18" s="152">
        <f>IFERROR(VLOOKUP($MN18,$AV$2:$BA$84,3,FALSE),0)</f>
        <v/>
      </c>
      <c r="NF18" s="152">
        <f>IF($MF18=0,0,IF($MW18=0,0,INDEX($X$2:$X$11,$MW18)))</f>
        <v/>
      </c>
      <c r="NG18" s="152">
        <f>IF(OR($NB18=0,$MF18=0),0,$NB18+3*IF(AND($MX18&lt;&gt;"",OR($MX18=INDEX($EF$2:$EF$13,$MB18),$MX18=INDEX($EG$2:$EG$13,$MB18))),1,0))</f>
        <v/>
      </c>
      <c r="NH18" s="152">
        <f>IF(OR($NC18=0,$MF18=0),0,$NC18+3*IF(AND($MY18&lt;&gt;"",OR($MY18=INDEX($EF$2:$EF$13,$MB18),$MY18=INDEX($EG$2:$EG$13,$MB18))),1,0))</f>
        <v/>
      </c>
      <c r="NI18" s="152">
        <f>IF(OR($ND18=0,$MF18=0),0,$ND18+3*IF(AND($MZ18&lt;&gt;"",OR($MZ18=INDEX($EF$2:$EF$13,$MB18),$MZ18=INDEX($EG$2:$EG$13,$MB18))),1,0))</f>
        <v/>
      </c>
      <c r="NJ18" s="152">
        <f>IF(OR($NE18=0,$MF18=0),0,$NE18+3*IF(AND($NA18&lt;&gt;"",OR($NA18=INDEX($EF$2:$EF$13,$MB18),$NA18=INDEX($EG$2:$EG$13,$MB18))),1,0))</f>
        <v/>
      </c>
      <c r="NK18" s="152">
        <f>IF($MW18=0,0,IF(INDEX($W$2:$W$11,$MW18)="",0,IF(COUNTIF(INDEX($EF$2:$EJ$13,$MB18,0),INDEX($W$2:$W$11,$MW18))=0,1,0)))</f>
        <v/>
      </c>
      <c r="NL18" s="152">
        <f>IF(OR($NB18=0,$MX18=""),0,IF(COUNTIF(INDEX($EF$2:$EJ$13,$MB18,0),$MX18)=0,1,0))</f>
        <v/>
      </c>
      <c r="NM18" s="152">
        <f>IF(OR($NC18=0,$MY18=""),0,IF(COUNTIF(INDEX($EF$2:$EJ$13,$MB18,0),$MY18)=0,1,0))</f>
        <v/>
      </c>
      <c r="NN18" s="152">
        <f>IF(OR($ND18=0,$MZ18=""),0,IF(COUNTIF(INDEX($EF$2:$EJ$13,$MB18,0),$MZ18)=0,1,0))</f>
        <v/>
      </c>
      <c r="NO18" s="152">
        <f>IF(OR($NE18=0,$NA18=""),0,IF(COUNTIF(INDEX($EF$2:$EJ$13,$MB18,0),$NA18)=0,1,0))</f>
        <v/>
      </c>
      <c r="NP18" s="152">
        <f>IFERROR(VLOOKUP($MK18,$AV$2:$BA$84,4,FALSE),0)+IFERROR(VLOOKUP($ML18,$AV$2:$BA$84,4,FALSE),0)+IFERROR(VLOOKUP($MM18,$AV$2:$BA$84,4,FALSE),0)+IFERROR(VLOOKUP($MN18,$AV$2:$BA$84,4,FALSE),0)</f>
        <v/>
      </c>
      <c r="NQ18" s="152">
        <f>IFERROR(VLOOKUP($MK18,$AV$2:$BA$84,6,FALSE),0)+IFERROR(VLOOKUP($ML18,$AV$2:$BA$84,6,FALSE),0)+IFERROR(VLOOKUP($MM18,$AV$2:$BA$84,6,FALSE),0)+IFERROR(VLOOKUP($MN18,$AV$2:$BA$84,6,FALSE),0)</f>
        <v/>
      </c>
      <c r="NR18" s="152">
        <f>TEXTJOIN(", ",TRUE,IF(IFERROR(VLOOKUP($MK18,$AV$2:$BA$84,5,FALSE),0)=1,$MK18,""),IF(IFERROR(VLOOKUP($ML18,$AV$2:$BA$84,5,FALSE),0)=1,$ML18,""),IF(IFERROR(VLOOKUP($MM18,$AV$2:$BA$84,5,FALSE),0)=1,$MM18,""),IF(IFERROR(VLOOKUP($MN18,$AV$2:$BA$84,5,FALSE),0)=1,$MN18,""))</f>
        <v/>
      </c>
      <c r="NS18" s="152">
        <f>IF($MW18=0,0,INDEX($Y$2:$Y$11,$MW18))</f>
        <v/>
      </c>
      <c r="NT18" s="152">
        <f>IF($MW18=0,0,INDEX($Z$2:$Z$11,$MW18))</f>
        <v/>
      </c>
      <c r="NU18" s="152">
        <f>IF($MW18=0,0,INDEX($AB$2:$AB$11,$MW18))</f>
        <v/>
      </c>
      <c r="NV18" s="152">
        <f>IFERROR(VLOOKUP($MO18,$BC$2:$BG$24,3,FALSE),0)</f>
        <v/>
      </c>
      <c r="NW18" s="152">
        <f>IFERROR(VLOOKUP($MP18,$BC$2:$BG$24,3,FALSE),0)</f>
        <v/>
      </c>
      <c r="NX18" s="152">
        <f>IFERROR(VLOOKUP($MO18,$BC$2:$BG$24,2,FALSE),"")</f>
        <v/>
      </c>
      <c r="NY18" s="152">
        <f>IFERROR(VLOOKUP($MP18,$BC$2:$BG$24,2,FALSE),"")</f>
        <v/>
      </c>
      <c r="NZ18" s="152">
        <f>COUNTIF($NF18:$NJ18,1)</f>
        <v/>
      </c>
      <c r="OA18" s="152">
        <f>COUNTIF($NF18:$NJ18,2)</f>
        <v/>
      </c>
      <c r="OB18" s="152">
        <f>COUNTIF($NF18:$NJ18,3)</f>
        <v/>
      </c>
      <c r="OC18" s="152">
        <f>COUNTIF($NF18:$NJ18,4)</f>
        <v/>
      </c>
      <c r="OD18" s="152">
        <f>COUNTIF($NF18:$NJ18,5)</f>
        <v/>
      </c>
      <c r="OE18" s="152">
        <f>COUNTIF($NF18:$NJ18,6)</f>
        <v/>
      </c>
      <c r="OF18" s="152">
        <f>COUNTIF($NV18:$NW18,1)</f>
        <v/>
      </c>
      <c r="OG18" s="152">
        <f>COUNTIF($NV18:$NW18,2)+$NS18</f>
        <v/>
      </c>
      <c r="OH18" s="152">
        <f>COUNTIF($MK18:$MN18,"?*")</f>
        <v/>
      </c>
      <c r="OI18" s="152">
        <f>COUNTIF($MO18:$MP18,"?*")+$NS18</f>
        <v/>
      </c>
      <c r="OJ18" s="152">
        <f>IF($MF18=0,0,SUMPRODUCT($NZ18:$OE18,INDEX($I$2:$N$8,MAX(1,$MF18),0)))</f>
        <v/>
      </c>
      <c r="OK18" s="152">
        <f>IF($MF18=0,0,$OF18*CEILING($MF18/2,1)+$OG18*$MF18)</f>
        <v/>
      </c>
      <c r="OL18" s="152">
        <f>MIN(2*$MF18,$OK18)</f>
        <v/>
      </c>
      <c r="OM18" s="152">
        <f>MIN($OL18,$OJ18)</f>
        <v/>
      </c>
      <c r="ON18" s="152">
        <f>$OL18-$OM18</f>
        <v/>
      </c>
      <c r="OO18" s="152">
        <f>IF($MF18=0,0,INDEX($P$2:$P$8,MAX(1,$MF18)))</f>
        <v/>
      </c>
      <c r="OP18" s="152">
        <f>$OO18-$OJ18+$OM18</f>
        <v/>
      </c>
      <c r="OQ18" s="152">
        <f>IF($MF18=0,MAX(0,$MT18-IF($OH18&gt;0,1,0)),MAX(0,$OP18))</f>
        <v/>
      </c>
      <c r="OR18" s="152">
        <f>IF($MF18=0,0,(IF(COUNTIF($MK18:$MN18,"Salto")&gt;0,1,0)+IF(COUNTIF($MK18:$MN18,"Queima")&gt;0,1,0)+IF(COUNTIF($MK18:$MN18,"Estilhaço")&gt;0,1,0))*FLOOR($OQ18/2,1))</f>
        <v/>
      </c>
      <c r="OS18" s="152">
        <f>MAX(0,2-SUMPRODUCT($NZ18:$OE18,$I$2:$N$2)+MIN(2,$OF18*1+$OG18*1,SUMPRODUCT($NZ18:$OE18,$I$2:$N$2)))</f>
        <v/>
      </c>
      <c r="OT18" s="152">
        <f>MAX(0,4-SUMPRODUCT($NZ18:$OE18,$I$3:$N$3)+MIN(4,$OF18*1+$OG18*2,SUMPRODUCT($NZ18:$OE18,$I$3:$N$3)))</f>
        <v/>
      </c>
      <c r="OU18" s="152">
        <f>MAX(0,6-SUMPRODUCT($NZ18:$OE18,$I$4:$N$4)+MIN(6,$OF18*2+$OG18*3,SUMPRODUCT($NZ18:$OE18,$I$4:$N$4)))</f>
        <v/>
      </c>
      <c r="OV18" s="152">
        <f>MAX(0,9-SUMPRODUCT($NZ18:$OE18,$I$5:$N$5)+MIN(8,$OF18*2+$OG18*4,SUMPRODUCT($NZ18:$OE18,$I$5:$N$5)))</f>
        <v/>
      </c>
      <c r="OW18" s="152">
        <f>MAX(0,11-SUMPRODUCT($NZ18:$OE18,$I$6:$N$6)+MIN(10,$OF18*3+$OG18*5,SUMPRODUCT($NZ18:$OE18,$I$6:$N$6)))</f>
        <v/>
      </c>
      <c r="OX18" s="152">
        <f>MAX(0,13-SUMPRODUCT($NZ18:$OE18,$I$7:$N$7)+MIN(12,$OF18*3+$OG18*6,SUMPRODUCT($NZ18:$OE18,$I$7:$N$7)))</f>
        <v/>
      </c>
      <c r="OY18" s="152">
        <f>MAX(0,16-SUMPRODUCT($NZ18:$OE18,$I$8:$N$8)+MIN(14,$OF18*4+$OG18*7,SUMPRODUCT($NZ18:$OE18,$I$8:$N$8)))</f>
        <v/>
      </c>
      <c r="OZ18" s="152">
        <f>IF($NT18=2,3*$OS18&amp;" de vida temp.",IF($NT18=3,"sem dano",IF($OS18=0,IF($NT18=1,"sem cura","sem dano"),IF($NT18=1,"cura ","")&amp;$OS18&amp;"d8")))</f>
        <v/>
      </c>
      <c r="PA18" s="152">
        <f>IF($NT18=2,3*$OT18&amp;" de vida temp.",IF($NT18=3,"sem dano",IF($OT18=0,IF($NT18=1,"sem cura","sem dano"),IF($NT18=1,"cura ","")&amp;$OT18&amp;"d8")))</f>
        <v/>
      </c>
      <c r="PB18" s="152">
        <f>IF($NT18=2,3*$OU18&amp;" de vida temp.",IF($NT18=3,"sem dano",IF($OU18=0,IF($NT18=1,"sem cura","sem dano"),IF($NT18=1,"cura ","")&amp;$OU18&amp;"d8")))</f>
        <v/>
      </c>
      <c r="PC18" s="152">
        <f>IF($NT18=2,3*$OV18&amp;" de vida temp.",IF($NT18=3,"sem dano",IF($OV18=0,IF($NT18=1,"sem cura","sem dano"),IF($NT18=1,"cura ","")&amp;$OV18&amp;"d8")))</f>
        <v/>
      </c>
      <c r="PD18" s="152">
        <f>IF($NT18=2,3*$OW18&amp;" de vida temp.",IF($NT18=3,"sem dano",IF($OW18=0,IF($NT18=1,"sem cura","sem dano"),IF($NT18=1,"cura ","")&amp;$OW18&amp;"d8")))</f>
        <v/>
      </c>
      <c r="PE18" s="152">
        <f>IF($NT18=2,3*$OX18&amp;" de vida temp.",IF($NT18=3,"sem dano",IF($OX18=0,IF($NT18=1,"sem cura","sem dano"),IF($NT18=1,"cura ","")&amp;$OX18&amp;"d8")))</f>
        <v/>
      </c>
      <c r="PF18" s="152">
        <f>IF($NT18=2,3*$OY18&amp;" de vida temp.",IF($NT18=3,"sem dano",IF($OY18=0,IF($NT18=1,"sem cura","sem dano"),IF($NT18=1,"cura ","")&amp;$OY18&amp;"d8")))</f>
        <v/>
      </c>
      <c r="PG18" s="152">
        <f>IF($MQ18=0,"",TEXTJOIN(" · ",TRUE,IF($MD18&gt;$MR18,"Este lugar abre no nível "&amp;$MD18,""),IF($MF18&gt;$MS18,"Classe "&amp;$MF18&amp;": o nível "&amp;$MR18&amp;" libera até a "&amp;$MS18,""),IF($NK18=1,"A Forma "&amp;$MH18&amp;" pede "&amp;INDEX($W$2:$W$11,$MW18)&amp;" aberta",""),IF(AND($MF18=0,$MW18&gt;0,IF($MW18=0,0,INDEX($AF$2:$AF$11,$MW18))=0),$MH18&amp;" não existe na Classe 0",""),IF($NL18=1,"Família Fechada: "&amp;$MK18,""),IF($NM18=1,"Família Fechada: "&amp;$ML18,""),IF($NN18=1,"Família Fechada: "&amp;$MM18,""),IF($NO18=1,"Família Fechada: "&amp;$MN18,""),IF(AND($MF18&gt;0,$OH18&gt;INDEX($O$2:$O$8,MAX(1,$MF18))),$OH18&amp;" Melhorias: a Classe "&amp;$MF18&amp;" aceita "&amp;INDEX($O$2:$O$8,MAX(1,$MF18)),""),IF(AND($MF18=0,$OH18&gt;1),"A básica aceita uma Melhoria",""),IF(AND($MF18=0,COUNTIF($NB18:$NE18,"&gt;1")&gt;0),"A básica só aceita Melhoria Leve",""),IF(AND($MF18&gt;0,$OI18&gt;2),$OI18&amp;" Restrições"&amp;IF($NS18=1,", contando a que a Forma "&amp;$MH18&amp;" já traz","")&amp;": o limite é 2",""),IF(AND($MF18=0,COUNTIF($MO18:$MP18,"?*")&gt;1),"A básica aceita uma Restrição Leve",""),IF(AND($MF18=0,COUNTIF($NV18:$NW18,2)&gt;0),"A básica só aceita Restrição Leve",""),IF(AND($MF18&gt;0,$OP18&lt;0),"Orçamento estourado: faltam "&amp;(-$OP18)&amp;IF($OP18&lt;-1," pontos"," ponto"),""),IF(IFERROR(VLOOKUP($MO18,$BC$2:$BG$24,4,FALSE),0)+IFERROR(VLOOKUP($MP18,$BC$2:$BG$24,4,FALSE),0)&gt;1,$NX18&amp;" e "&amp;$NY18&amp;" são as duas de frequência",""),IF(AND((COUNTIF($MK18:$MN18,"Rápido")+COUNTIF($NX18:$NY18,"Rápido"))&gt;0,(COUNTIF($MK18:$MN18,"Atrasar")+COUNTIF($NX18:$NY18,"Atrasar"))&gt;0),"Rápido não entra com Atrasar",""),IF(AND((COUNTIF($MK18:$MN18,"Reação")+COUNTIF($NX18:$NY18,"Reação"))&gt;0,(COUNTIF($MK18:$MN18,"Rápido")+COUNTIF($NX18:$NY18,"Rápido"))&gt;0),"Reação não entra com Rápido",""),IF(AND((COUNTIF($MK18:$MN18,"Reação")+COUNTIF($NX18:$NY18,"Reação"))&gt;0,(COUNTIF($MK18:$MN18,"Armado")+COUNTIF($NX18:$NY18,"Armado"))&gt;0),"Reação não entra com Armado",""),IF(AND((COUNTIF($MK18:$MN18,"Reação")+COUNTIF($NX18:$NY18,"Reação"))&gt;0,(COUNTIF($MK18:$MN18,"Atrasar")+COUNTIF($NX18:$NY18,"Atrasar"))&gt;0),"Reação não entra com Atrasar",""),IF(AND((COUNTIF($MK18:$MN18,"Reação")+COUNTIF($NX18:$NY18,"Reação"))&gt;0,(COUNTIF($MK18:$MN18,"Parado")+COUNTIF($NX18:$NY18,"Parado"))&gt;0),"Reação não entra com Parado",""),IF(AND((COUNTIF($MK18:$MN18,"Atrasar")+COUNTIF($NX18:$NY18,"Atrasar"))&gt;0,(COUNTIF($MK18:$MN18,"Parado")+COUNTIF($NX18:$NY18,"Parado"))&gt;0),"Atrasar não entra com Parado",""),IF(AND((COUNTIF($MK18:$MN18,"Armado")+COUNTIF($NX18:$NY18,"Armado"))&gt;0,(COUNTIF($MK18:$MN18,"Carregar")+COUNTIF($NX18:$NY18,"Carregar"))&gt;0),"Armado não entra com Carregar",""),IF(AND(COUNTIF($NX18:$NY18,"Corpo a Corpo")&gt;0,$NS18=0,OR($MH18="Cone",$MH18="Linha")),"Corpo a Corpo não entra em "&amp;$MH18,""),IF(AND(COUNTIF($NX18:$NY18,"Corpo a Corpo")&gt;0,$NS18=1),"A Forma "&amp;$MH18&amp;" já traz o Corpo a Corpo",""),IF(AND(COUNTIF($NX18:$NY18,"Tudo ou Nada")&gt;0,$NU18=0),"Tudo ou Nada só entra em habilidade de Teste de Resistência",""),IF(AND(COUNTIF($MK18:$MN18,"Inescapável")&gt;0,OR($OH18&gt;1,$OI18&gt;0)),"Inescapável não aceita outra peça",""),IF(AND($MF18&gt;0,$OQ18*IF(COUNTIF($MK18:$MN18,"Remate")&gt;0,1.25,1)+$OR18&gt;4*$MF18),($OQ18*IF(COUNTIF($MK18:$MN18,"Remate")&gt;0,1.25,1)+$OR18)&amp;" dados somando repetições"&amp;IF(COUNTIF($MK18:$MN18,"Remate")&gt;0," e o Remate","")&amp;": o teto da Classe "&amp;$MF18&amp;" é "&amp;4*$MF18,"")))</f>
        <v/>
      </c>
      <c r="PH18" s="152">
        <f>IF($PG18="",0,(LEN($PG18)-LEN(SUBSTITUTE($PG18," · ","")))/3+1)</f>
        <v/>
      </c>
      <c r="PI18" s="152">
        <f>IF($MQ18=0,"",TEXTJOIN(" · ",TRUE,IF($OK18&gt;2*$MF18,"A devolução parou no teto de "&amp;2*$MF18,""),IF($ON18&gt;0,"Devolução perdida: "&amp;$ON18&amp;IF($ON18&gt;1," pontos"," ponto")&amp;" sem peça para pagar",""),IF(AND($NP18&gt;0,AND($MF18&gt;0,$NT18=0),$OQ18=0),"Controle sem dano: uma rodada a mais e CD +2",""),IF(AND($NP18&gt;0,AND($MF18&gt;0,$NT18=0),$OQ18&gt;0,$OQ18&lt;=$MF18),"Controle com saldo até a Classe: uma rodada a mais",""),IF(AND($MF18&gt;0,$NR18&lt;&gt;""),"Efeito de "&amp;$NR18&amp;" pela Classe "&amp;MAX(1,$MF18-1),"")))</f>
        <v/>
      </c>
      <c r="PJ18" s="152">
        <f>IF($PI18="",0,(LEN($PI18)-LEN(SUBSTITUTE($PI18," · ","")))/3+1)</f>
        <v/>
      </c>
      <c r="PK18" s="152">
        <f>IF($MQ18=0,IF($OH18+COUNTIF($MO18:$MP18,"?*")&gt;0,"Dê um nome",""),IF($PH18&gt;0,"⚠ "&amp;$PH18&amp;IF($PH18&gt;1," erros"," erro"),IF($PJ18&gt;0,"! "&amp;$PJ18&amp;IF($PJ18&gt;1," avisos"," aviso"),"Na regra")))</f>
        <v/>
      </c>
      <c r="PL18" s="152">
        <f>IF($MQ18=0,"",IF($PH18+$PJ18=0,"Dentro das regras que a ficha confere",$PG18&amp;IF(AND($PH18&gt;0,$PJ18&gt;0)," · ","")&amp;$PI18))</f>
        <v/>
      </c>
      <c r="PM18" s="152">
        <f>IF($MD18&gt;$MR18,$ME18&amp;" · ABRE NO NÍVEL "&amp;$MD18,$ME18)</f>
        <v/>
      </c>
      <c r="PN18" s="152">
        <f>IF($MQ18=0,"",IF($MF18=0,"Sem PE",3*$MF18&amp;" PE"))</f>
        <v/>
      </c>
      <c r="PO18" s="152">
        <f>IF($MQ18=0,"",IF($MF18=0,"A atuação básica dela",IF(COUNTIF($NX18:$NY18,"Atrasar")&gt;0,"Sua Ação Completa",IF(COUNTIF($MK18:$MN18,"Rápido")&gt;0,"Sua Bônus",IF(COUNTIF($MK18:$MN18,"Reação")&gt;0,"Sua Reação","Sua Padrão")))&amp;" + a básica dela"&amp;IF(COUNTIF($MK18:$MN18,"Reação")&gt;0," e a coletiva","")&amp;IF(COUNTIF($NX18:$NY18,"Carregar")&gt;0," · em dois turnos","")))</f>
        <v/>
      </c>
      <c r="PP18" s="152">
        <f>IF($MJ18&lt;&gt;"",$MJ18,IF($MW18=0,"",INDEX($AA$2:$AA$11,$MW18)))</f>
        <v/>
      </c>
      <c r="PQ18" s="152">
        <f>IF(OR($MQ18=0,$MW18=0),"",IF(COUNTIF($MK18:$MN18,"Inescapável")&gt;0,"Automático",IF($PP18="Ataque",IF($MU18="","Ataque","Ataque "&amp;IF(($MU18+2*IF(COUNTIF($MK18:$MN18,"Precisão")&gt;0,1,0))&gt;=0,"+","−")&amp;ABS(($MU18+2*IF(COUNTIF($MK18:$MN18,"Precisão")&gt;0,1,0))))&amp;IF($NQ18&gt;0," · TR"&amp;IF($MV18="",""," CD "&amp;$MV18),""),IF(LEFT($PP18,2)="TR",$PP18&amp;IF($MV18="",""," · CD "&amp;$MV18)&amp;IF(COUNTIF($MK18:$MN18,"Certeiro")&gt;0," · metade",""),"Sem rolagem"))))</f>
        <v/>
      </c>
      <c r="PR18" s="152">
        <f>IF(OR($MQ18=0,$MW18=0),"",IF($MF18=0,IF(OR($NT18&gt;=1,$OQ18=0),"Sem dano",$OQ18&amp;"d6"&amp;IF($MI18="",""," "&amp;$MI18)),IF(OR($NT18&gt;=1,$OQ18=0),UPPER(LEFT(INDEX($OZ18:$PF18,1,MAX(1,$MF18)),1))&amp;MID(INDEX($OZ18:$PF18,1,MAX(1,$MF18)),2,99),UPPER(LEFT(INDEX($OZ18:$PF18,1,MAX(1,$MF18)),1))&amp;MID(INDEX($OZ18:$PF18,1,MAX(1,$MF18)),2,99)&amp;IF($MI18="",""," "&amp;$MI18)&amp;IF($OR18&gt;0," · +"&amp;$OR18&amp;"d8",""))))</f>
        <v/>
      </c>
      <c r="PS18" s="152">
        <f>COUNTIF($MK18:$MN18,"Longe")+3*COUNTIF($MK18:$MN18,"Muito Longe")</f>
        <v/>
      </c>
      <c r="PT18" s="152">
        <f>COUNTIF($MK18:$MN18,"Maior")+3*COUNTIF($MK18:$MN18,"Muito Maior")</f>
        <v/>
      </c>
      <c r="PU18" s="152">
        <f>IF($MW18=0,0,CHOOSE(1+INDEX($AC$2:$AC$11,$MW18),0,$PS18,$PT18,$PS18+$PT18))</f>
        <v/>
      </c>
      <c r="PV18" s="152">
        <f>IF($MW18=0,0,CHOOSE(1+INDEX($AD$2:$AD$11,$MW18),0,$PS18,$PT18,$PS18+$PT18))</f>
        <v/>
      </c>
      <c r="PW18" s="152">
        <f>IF(OR($MQ18=0,$MW18=0),"",INDEX($AI$2:$AN$41,($MW18-1)*4+IF($MF18=0,1,IF($MF18&lt;=5,2,IF($MF18=6,3,4))),1+MIN(5,$PU18))&amp;INDEX($AO$2:$AT$41,($MW18-1)*4+IF($MF18=0,1,IF($MF18&lt;=5,2,IF($MF18=6,3,4))),1+MIN(5,$PV18))&amp;IF(INDEX($AE$2:$AE$11,$MW18)=1,IF(COUNTIF($MK18:$MN18,"Mais Um")&gt;0," · +"&amp;COUNTIF($MK18:$MN18,"Mais Um")&amp;IF(COUNTIF($MK18:$MN18,"Mais Um")&gt;1," alvos"," alvo"),"")&amp;IF(COUNTIF($MK18:$MN18,"Rajada")&gt;0,IF($MF18=0," · 1 tiro"," · "&amp;(MAX(1,$MF18-1)+1)&amp;" tiros"),""),""))</f>
        <v/>
      </c>
      <c r="PX18" s="152">
        <f>IF($MQ18=0,"",IF($MF18=0,$MT18&amp;"d6"&amp;IF($OH18&gt;0," − 1 = "&amp;$OQ18&amp;"d6"," da básica do nível "&amp;$MR18),$OO18&amp;" − "&amp;$OJ18&amp;" + "&amp;$OM18&amp;" = "&amp;$OP18&amp;" · teto "&amp;4*$MF18&amp;"d8"&amp;IF($NS18=1," · a Forma devolve "&amp;$MF18,"")&amp;IF($ON18&gt;0," · perde "&amp;$ON18,"")))</f>
        <v/>
      </c>
      <c r="PY18" s="152">
        <f>IF($MQ18=0,"",IF($MF18=0,"A básica não amplia: os dados dela sobem com o nível",IF($MF18&gt;=$MS18,"Já está na maior Classe que o nível liberou",TEXTJOIN(" · ",TRUE,IF(AND(2&gt;$MF18,2&lt;=$MS18),"2 → "&amp;$PA18&amp;", 6 PE",""),IF(AND(3&gt;$MF18,3&lt;=$MS18),"3 → "&amp;$PB18&amp;", 9 PE",""),IF(AND(4&gt;$MF18,4&lt;=$MS18),"4 → "&amp;$PC18&amp;", 12 PE",""),IF(AND(5&gt;$MF18,5&lt;=$MS18),"5 → "&amp;$PD18&amp;", 15 PE",""),IF(AND(6&gt;$MF18,6&lt;=$MS18),"6 → "&amp;$PE18&amp;", 18 PE",""),IF(AND(7&gt;$MF18,7&lt;=$MS18),"7 → "&amp;$PF18&amp;", 21 PE","")))))</f>
        <v/>
      </c>
      <c r="PZ18" s="152">
        <f>IF(OR($MQ18=0,$NB18=0),"",IF($MF18=0,"−1 dado","−"&amp;INDEX($I$2:$N$8,MAX(1,$MF18),MAX(1,$NG18))&amp;" · "&amp;CHOOSE(MAX(1,$NG18),"Leve","Média","Pesada","Leve · Livre","Média · Livre","Pesada · Livre")))</f>
        <v/>
      </c>
      <c r="QA18" s="152">
        <f>IF(OR($MQ18=0,$NC18=0),"",IF($MF18=0,"−1 dado","−"&amp;INDEX($I$2:$N$8,MAX(1,$MF18),MAX(1,$NH18))&amp;" · "&amp;CHOOSE(MAX(1,$NH18),"Leve","Média","Pesada","Leve · Livre","Média · Livre","Pesada · Livre")))</f>
        <v/>
      </c>
      <c r="QB18" s="152">
        <f>IF(OR($MQ18=0,$ND18=0),"",IF($MF18=0,"−1 dado","−"&amp;INDEX($I$2:$N$8,MAX(1,$MF18),MAX(1,$NI18))&amp;" · "&amp;CHOOSE(MAX(1,$NI18),"Leve","Média","Pesada","Leve · Livre","Média · Livre","Pesada · Livre")))</f>
        <v/>
      </c>
      <c r="QC18" s="152">
        <f>IF(OR($MQ18=0,$NE18=0),"",IF($MF18=0,"−1 dado","−"&amp;INDEX($I$2:$N$8,MAX(1,$MF18),MAX(1,$NJ18))&amp;" · "&amp;CHOOSE(MAX(1,$NJ18),"Leve","Média","Pesada","Leve · Livre","Média · Livre","Pesada · Livre")))</f>
        <v/>
      </c>
      <c r="QD18" s="152">
        <f>IF(OR($MQ18=0,$MO18=""),"",IF($MF18=0,"não devolve","+"&amp;IF($NV18=1,CEILING($MF18/2,1),$MF18)))</f>
        <v/>
      </c>
      <c r="QE18" s="152">
        <f>IF(OR($MQ18=0,$MP18=""),"",IF($MF18=0,"não devolve","+"&amp;IF($NW18=1,CEILING($MF18/2,1),$MF18)))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A19" s="152" t="n">
        <v>0</v>
      </c>
      <c r="BC19" s="150" t="inlineStr">
        <is>
          <t>Dívida</t>
        </is>
      </c>
      <c r="BD19" s="150" t="inlineStr">
        <is>
          <t>Dívida</t>
        </is>
      </c>
      <c r="BE19" s="152" t="n">
        <v>2</v>
      </c>
      <c r="BF19" s="152" t="n">
        <v>1</v>
      </c>
      <c r="BG19" s="150" t="inlineStr"/>
      <c r="CA19" s="150" t="inlineStr">
        <is>
          <t>Percepção</t>
        </is>
      </c>
      <c r="CB19" s="150" t="inlineStr">
        <is>
          <t>Essência</t>
        </is>
      </c>
      <c r="JG19" s="152">
        <f>IF(OR($AW19="",COUNTIF($EF$2:$EJ$2,$AW19)&gt;0),$AV19,"")</f>
        <v/>
      </c>
      <c r="JH19" s="152">
        <f>IF(AND($AX19=1,OR($AW19="",COUNTIF($EF$2:$EJ$2,$AW19)&gt;0)),$AV19,"")</f>
        <v/>
      </c>
      <c r="JM19" s="152">
        <f>IF(OR($AW19="",COUNTIF($EF$3:$EJ$3,$AW19)&gt;0),$AV19,"")</f>
        <v/>
      </c>
      <c r="JN19" s="152">
        <f>IF(AND($AX19=1,OR($AW19="",COUNTIF($EF$3:$EJ$3,$AW19)&gt;0)),$AV19,"")</f>
        <v/>
      </c>
      <c r="JS19" s="152">
        <f>IF(OR($AW19="",COUNTIF($EF$4:$EJ$4,$AW19)&gt;0),$AV19,"")</f>
        <v/>
      </c>
      <c r="JT19" s="152">
        <f>IF(AND($AX19=1,OR($AW19="",COUNTIF($EF$4:$EJ$4,$AW19)&gt;0)),$AV19,"")</f>
        <v/>
      </c>
      <c r="JY19" s="152">
        <f>IF(OR($AW19="",COUNTIF($EF$5:$EJ$5,$AW19)&gt;0),$AV19,"")</f>
        <v/>
      </c>
      <c r="JZ19" s="152">
        <f>IF(AND($AX19=1,OR($AW19="",COUNTIF($EF$5:$EJ$5,$AW19)&gt;0)),$AV19,"")</f>
        <v/>
      </c>
      <c r="KE19" s="152">
        <f>IF(OR($AW19="",COUNTIF($EF$6:$EJ$6,$AW19)&gt;0),$AV19,"")</f>
        <v/>
      </c>
      <c r="KF19" s="152">
        <f>IF(AND($AX19=1,OR($AW19="",COUNTIF($EF$6:$EJ$6,$AW19)&gt;0)),$AV19,"")</f>
        <v/>
      </c>
      <c r="KK19" s="152">
        <f>IF(OR($AW19="",COUNTIF($EF$7:$EJ$7,$AW19)&gt;0),$AV19,"")</f>
        <v/>
      </c>
      <c r="KL19" s="152">
        <f>IF(AND($AX19=1,OR($AW19="",COUNTIF($EF$7:$EJ$7,$AW19)&gt;0)),$AV19,"")</f>
        <v/>
      </c>
      <c r="KQ19" s="152">
        <f>IF(OR($AW19="",COUNTIF($EF$8:$EJ$8,$AW19)&gt;0),$AV19,"")</f>
        <v/>
      </c>
      <c r="KR19" s="152">
        <f>IF(AND($AX19=1,OR($AW19="",COUNTIF($EF$8:$EJ$8,$AW19)&gt;0)),$AV19,"")</f>
        <v/>
      </c>
      <c r="KW19" s="152">
        <f>IF(OR($AW19="",COUNTIF($EF$9:$EJ$9,$AW19)&gt;0),$AV19,"")</f>
        <v/>
      </c>
      <c r="KX19" s="152">
        <f>IF(AND($AX19=1,OR($AW19="",COUNTIF($EF$9:$EJ$9,$AW19)&gt;0)),$AV19,"")</f>
        <v/>
      </c>
      <c r="LC19" s="152">
        <f>IF(OR($AW19="",COUNTIF($EF$10:$EJ$10,$AW19)&gt;0),$AV19,"")</f>
        <v/>
      </c>
      <c r="LD19" s="152">
        <f>IF(AND($AX19=1,OR($AW19="",COUNTIF($EF$10:$EJ$10,$AW19)&gt;0)),$AV19,"")</f>
        <v/>
      </c>
      <c r="LI19" s="152">
        <f>IF(OR($AW19="",COUNTIF($EF$11:$EJ$11,$AW19)&gt;0),$AV19,"")</f>
        <v/>
      </c>
      <c r="LJ19" s="152">
        <f>IF(AND($AX19=1,OR($AW19="",COUNTIF($EF$11:$EJ$11,$AW19)&gt;0)),$AV19,"")</f>
        <v/>
      </c>
      <c r="LO19" s="152">
        <f>IF(OR($AW19="",COUNTIF($EF$12:$EJ$12,$AW19)&gt;0),$AV19,"")</f>
        <v/>
      </c>
      <c r="LP19" s="152">
        <f>IF(AND($AX19=1,OR($AW19="",COUNTIF($EF$12:$EJ$12,$AW19)&gt;0)),$AV19,"")</f>
        <v/>
      </c>
      <c r="LU19" s="152">
        <f>IF(OR($AW19="",COUNTIF($EF$13:$EJ$13,$AW19)&gt;0),$AV19,"")</f>
        <v/>
      </c>
      <c r="LV19" s="152">
        <f>IF(AND($AX19=1,OR($AW19="",COUNTIF($EF$13:$EJ$13,$AW19)&gt;0)),$AV19,"")</f>
        <v/>
      </c>
      <c r="MA19" s="150" t="inlineStr">
        <is>
          <t>Ficha 2 · Especial 3</t>
        </is>
      </c>
      <c r="MB19" s="152" t="n">
        <v>2</v>
      </c>
      <c r="MC19" s="152" t="n">
        <v>1</v>
      </c>
      <c r="MD19" s="152" t="n">
        <v>8</v>
      </c>
      <c r="ME19" s="150" t="inlineStr">
        <is>
          <t>ESPECIAL 3</t>
        </is>
      </c>
      <c r="MF19" s="152">
        <f>MAX(1,MIN(7,N('INVOCAÇÕES'!$O$290)))</f>
        <v/>
      </c>
      <c r="MG19" s="152">
        <f>'INVOCAÇÕES'!$P$290&amp;""</f>
        <v/>
      </c>
      <c r="MH19" s="152">
        <f>'INVOCAÇÕES'!$O$295&amp;""</f>
        <v/>
      </c>
      <c r="MI19" s="152">
        <f>'INVOCAÇÕES'!$O$296&amp;""</f>
        <v/>
      </c>
      <c r="MJ19" s="152">
        <f>'INVOCAÇÕES'!$Q$296&amp;""</f>
        <v/>
      </c>
      <c r="MK19" s="152">
        <f>'INVOCAÇÕES'!$P$299&amp;""</f>
        <v/>
      </c>
      <c r="ML19" s="152">
        <f>'INVOCAÇÕES'!$P$300&amp;""</f>
        <v/>
      </c>
      <c r="MM19" s="152">
        <f>'INVOCAÇÕES'!$P$301&amp;""</f>
        <v/>
      </c>
      <c r="MN19" s="152">
        <f>'INVOCAÇÕES'!$P$302&amp;""</f>
        <v/>
      </c>
      <c r="MO19" s="152">
        <f>'INVOCAÇÕES'!$P$303&amp;""</f>
        <v/>
      </c>
      <c r="MP19" s="152">
        <f>'INVOCAÇÕES'!$P$304&amp;""</f>
        <v/>
      </c>
      <c r="MQ19" s="152">
        <f>IF($MG19&lt;&gt;"",1,0)</f>
        <v/>
      </c>
      <c r="MR19" s="152">
        <f>INDEX($FI$2:$FI$13,$MB19)</f>
        <v/>
      </c>
      <c r="MS19" s="152">
        <f>INDEX($FJ$2:$FJ$13,$MB19)</f>
        <v/>
      </c>
      <c r="MT19" s="152">
        <f>INDEX($FK$2:$FK$13,$MB19)</f>
        <v/>
      </c>
      <c r="MU19" s="152">
        <f>INDEX($FV$2:$FV$13,$MB19)</f>
        <v/>
      </c>
      <c r="MV19" s="152">
        <f>INDEX($FW$2:$FW$13,$MB19)</f>
        <v/>
      </c>
      <c r="MW19" s="152">
        <f>IFERROR(MATCH($MH19,$V$2:$V$11,0),0)</f>
        <v/>
      </c>
      <c r="MX19" s="152">
        <f>IFERROR(VLOOKUP($MK19,$AV$2:$BA$84,2,FALSE),"")</f>
        <v/>
      </c>
      <c r="MY19" s="152">
        <f>IFERROR(VLOOKUP($ML19,$AV$2:$BA$84,2,FALSE),"")</f>
        <v/>
      </c>
      <c r="MZ19" s="152">
        <f>IFERROR(VLOOKUP($MM19,$AV$2:$BA$84,2,FALSE),"")</f>
        <v/>
      </c>
      <c r="NA19" s="152">
        <f>IFERROR(VLOOKUP($MN19,$AV$2:$BA$84,2,FALSE),"")</f>
        <v/>
      </c>
      <c r="NB19" s="152">
        <f>IFERROR(VLOOKUP($MK19,$AV$2:$BA$84,3,FALSE),0)</f>
        <v/>
      </c>
      <c r="NC19" s="152">
        <f>IFERROR(VLOOKUP($ML19,$AV$2:$BA$84,3,FALSE),0)</f>
        <v/>
      </c>
      <c r="ND19" s="152">
        <f>IFERROR(VLOOKUP($MM19,$AV$2:$BA$84,3,FALSE),0)</f>
        <v/>
      </c>
      <c r="NE19" s="152">
        <f>IFERROR(VLOOKUP($MN19,$AV$2:$BA$84,3,FALSE),0)</f>
        <v/>
      </c>
      <c r="NF19" s="152">
        <f>IF($MF19=0,0,IF($MW19=0,0,INDEX($X$2:$X$11,$MW19)))</f>
        <v/>
      </c>
      <c r="NG19" s="152">
        <f>IF(OR($NB19=0,$MF19=0),0,$NB19+3*IF(AND($MX19&lt;&gt;"",OR($MX19=INDEX($EF$2:$EF$13,$MB19),$MX19=INDEX($EG$2:$EG$13,$MB19))),1,0))</f>
        <v/>
      </c>
      <c r="NH19" s="152">
        <f>IF(OR($NC19=0,$MF19=0),0,$NC19+3*IF(AND($MY19&lt;&gt;"",OR($MY19=INDEX($EF$2:$EF$13,$MB19),$MY19=INDEX($EG$2:$EG$13,$MB19))),1,0))</f>
        <v/>
      </c>
      <c r="NI19" s="152">
        <f>IF(OR($ND19=0,$MF19=0),0,$ND19+3*IF(AND($MZ19&lt;&gt;"",OR($MZ19=INDEX($EF$2:$EF$13,$MB19),$MZ19=INDEX($EG$2:$EG$13,$MB19))),1,0))</f>
        <v/>
      </c>
      <c r="NJ19" s="152">
        <f>IF(OR($NE19=0,$MF19=0),0,$NE19+3*IF(AND($NA19&lt;&gt;"",OR($NA19=INDEX($EF$2:$EF$13,$MB19),$NA19=INDEX($EG$2:$EG$13,$MB19))),1,0))</f>
        <v/>
      </c>
      <c r="NK19" s="152">
        <f>IF($MW19=0,0,IF(INDEX($W$2:$W$11,$MW19)="",0,IF(COUNTIF(INDEX($EF$2:$EJ$13,$MB19,0),INDEX($W$2:$W$11,$MW19))=0,1,0)))</f>
        <v/>
      </c>
      <c r="NL19" s="152">
        <f>IF(OR($NB19=0,$MX19=""),0,IF(COUNTIF(INDEX($EF$2:$EJ$13,$MB19,0),$MX19)=0,1,0))</f>
        <v/>
      </c>
      <c r="NM19" s="152">
        <f>IF(OR($NC19=0,$MY19=""),0,IF(COUNTIF(INDEX($EF$2:$EJ$13,$MB19,0),$MY19)=0,1,0))</f>
        <v/>
      </c>
      <c r="NN19" s="152">
        <f>IF(OR($ND19=0,$MZ19=""),0,IF(COUNTIF(INDEX($EF$2:$EJ$13,$MB19,0),$MZ19)=0,1,0))</f>
        <v/>
      </c>
      <c r="NO19" s="152">
        <f>IF(OR($NE19=0,$NA19=""),0,IF(COUNTIF(INDEX($EF$2:$EJ$13,$MB19,0),$NA19)=0,1,0))</f>
        <v/>
      </c>
      <c r="NP19" s="152">
        <f>IFERROR(VLOOKUP($MK19,$AV$2:$BA$84,4,FALSE),0)+IFERROR(VLOOKUP($ML19,$AV$2:$BA$84,4,FALSE),0)+IFERROR(VLOOKUP($MM19,$AV$2:$BA$84,4,FALSE),0)+IFERROR(VLOOKUP($MN19,$AV$2:$BA$84,4,FALSE),0)</f>
        <v/>
      </c>
      <c r="NQ19" s="152">
        <f>IFERROR(VLOOKUP($MK19,$AV$2:$BA$84,6,FALSE),0)+IFERROR(VLOOKUP($ML19,$AV$2:$BA$84,6,FALSE),0)+IFERROR(VLOOKUP($MM19,$AV$2:$BA$84,6,FALSE),0)+IFERROR(VLOOKUP($MN19,$AV$2:$BA$84,6,FALSE),0)</f>
        <v/>
      </c>
      <c r="NR19" s="152">
        <f>TEXTJOIN(", ",TRUE,IF(IFERROR(VLOOKUP($MK19,$AV$2:$BA$84,5,FALSE),0)=1,$MK19,""),IF(IFERROR(VLOOKUP($ML19,$AV$2:$BA$84,5,FALSE),0)=1,$ML19,""),IF(IFERROR(VLOOKUP($MM19,$AV$2:$BA$84,5,FALSE),0)=1,$MM19,""),IF(IFERROR(VLOOKUP($MN19,$AV$2:$BA$84,5,FALSE),0)=1,$MN19,""))</f>
        <v/>
      </c>
      <c r="NS19" s="152">
        <f>IF($MW19=0,0,INDEX($Y$2:$Y$11,$MW19))</f>
        <v/>
      </c>
      <c r="NT19" s="152">
        <f>IF($MW19=0,0,INDEX($Z$2:$Z$11,$MW19))</f>
        <v/>
      </c>
      <c r="NU19" s="152">
        <f>IF($MW19=0,0,INDEX($AB$2:$AB$11,$MW19))</f>
        <v/>
      </c>
      <c r="NV19" s="152">
        <f>IFERROR(VLOOKUP($MO19,$BC$2:$BG$24,3,FALSE),0)</f>
        <v/>
      </c>
      <c r="NW19" s="152">
        <f>IFERROR(VLOOKUP($MP19,$BC$2:$BG$24,3,FALSE),0)</f>
        <v/>
      </c>
      <c r="NX19" s="152">
        <f>IFERROR(VLOOKUP($MO19,$BC$2:$BG$24,2,FALSE),"")</f>
        <v/>
      </c>
      <c r="NY19" s="152">
        <f>IFERROR(VLOOKUP($MP19,$BC$2:$BG$24,2,FALSE),"")</f>
        <v/>
      </c>
      <c r="NZ19" s="152">
        <f>COUNTIF($NF19:$NJ19,1)</f>
        <v/>
      </c>
      <c r="OA19" s="152">
        <f>COUNTIF($NF19:$NJ19,2)</f>
        <v/>
      </c>
      <c r="OB19" s="152">
        <f>COUNTIF($NF19:$NJ19,3)</f>
        <v/>
      </c>
      <c r="OC19" s="152">
        <f>COUNTIF($NF19:$NJ19,4)</f>
        <v/>
      </c>
      <c r="OD19" s="152">
        <f>COUNTIF($NF19:$NJ19,5)</f>
        <v/>
      </c>
      <c r="OE19" s="152">
        <f>COUNTIF($NF19:$NJ19,6)</f>
        <v/>
      </c>
      <c r="OF19" s="152">
        <f>COUNTIF($NV19:$NW19,1)</f>
        <v/>
      </c>
      <c r="OG19" s="152">
        <f>COUNTIF($NV19:$NW19,2)+$NS19</f>
        <v/>
      </c>
      <c r="OH19" s="152">
        <f>COUNTIF($MK19:$MN19,"?*")</f>
        <v/>
      </c>
      <c r="OI19" s="152">
        <f>COUNTIF($MO19:$MP19,"?*")+$NS19</f>
        <v/>
      </c>
      <c r="OJ19" s="152">
        <f>IF($MF19=0,0,SUMPRODUCT($NZ19:$OE19,INDEX($I$2:$N$8,MAX(1,$MF19),0)))</f>
        <v/>
      </c>
      <c r="OK19" s="152">
        <f>IF($MF19=0,0,$OF19*CEILING($MF19/2,1)+$OG19*$MF19)</f>
        <v/>
      </c>
      <c r="OL19" s="152">
        <f>MIN(2*$MF19,$OK19)</f>
        <v/>
      </c>
      <c r="OM19" s="152">
        <f>MIN($OL19,$OJ19)</f>
        <v/>
      </c>
      <c r="ON19" s="152">
        <f>$OL19-$OM19</f>
        <v/>
      </c>
      <c r="OO19" s="152">
        <f>IF($MF19=0,0,INDEX($P$2:$P$8,MAX(1,$MF19)))</f>
        <v/>
      </c>
      <c r="OP19" s="152">
        <f>$OO19-$OJ19+$OM19</f>
        <v/>
      </c>
      <c r="OQ19" s="152">
        <f>IF($MF19=0,MAX(0,$MT19-IF($OH19&gt;0,1,0)),MAX(0,$OP19))</f>
        <v/>
      </c>
      <c r="OR19" s="152">
        <f>IF($MF19=0,0,(IF(COUNTIF($MK19:$MN19,"Salto")&gt;0,1,0)+IF(COUNTIF($MK19:$MN19,"Queima")&gt;0,1,0)+IF(COUNTIF($MK19:$MN19,"Estilhaço")&gt;0,1,0))*FLOOR($OQ19/2,1))</f>
        <v/>
      </c>
      <c r="OS19" s="152">
        <f>MAX(0,2-SUMPRODUCT($NZ19:$OE19,$I$2:$N$2)+MIN(2,$OF19*1+$OG19*1,SUMPRODUCT($NZ19:$OE19,$I$2:$N$2)))</f>
        <v/>
      </c>
      <c r="OT19" s="152">
        <f>MAX(0,4-SUMPRODUCT($NZ19:$OE19,$I$3:$N$3)+MIN(4,$OF19*1+$OG19*2,SUMPRODUCT($NZ19:$OE19,$I$3:$N$3)))</f>
        <v/>
      </c>
      <c r="OU19" s="152">
        <f>MAX(0,6-SUMPRODUCT($NZ19:$OE19,$I$4:$N$4)+MIN(6,$OF19*2+$OG19*3,SUMPRODUCT($NZ19:$OE19,$I$4:$N$4)))</f>
        <v/>
      </c>
      <c r="OV19" s="152">
        <f>MAX(0,9-SUMPRODUCT($NZ19:$OE19,$I$5:$N$5)+MIN(8,$OF19*2+$OG19*4,SUMPRODUCT($NZ19:$OE19,$I$5:$N$5)))</f>
        <v/>
      </c>
      <c r="OW19" s="152">
        <f>MAX(0,11-SUMPRODUCT($NZ19:$OE19,$I$6:$N$6)+MIN(10,$OF19*3+$OG19*5,SUMPRODUCT($NZ19:$OE19,$I$6:$N$6)))</f>
        <v/>
      </c>
      <c r="OX19" s="152">
        <f>MAX(0,13-SUMPRODUCT($NZ19:$OE19,$I$7:$N$7)+MIN(12,$OF19*3+$OG19*6,SUMPRODUCT($NZ19:$OE19,$I$7:$N$7)))</f>
        <v/>
      </c>
      <c r="OY19" s="152">
        <f>MAX(0,16-SUMPRODUCT($NZ19:$OE19,$I$8:$N$8)+MIN(14,$OF19*4+$OG19*7,SUMPRODUCT($NZ19:$OE19,$I$8:$N$8)))</f>
        <v/>
      </c>
      <c r="OZ19" s="152">
        <f>IF($NT19=2,3*$OS19&amp;" de vida temp.",IF($NT19=3,"sem dano",IF($OS19=0,IF($NT19=1,"sem cura","sem dano"),IF($NT19=1,"cura ","")&amp;$OS19&amp;"d8")))</f>
        <v/>
      </c>
      <c r="PA19" s="152">
        <f>IF($NT19=2,3*$OT19&amp;" de vida temp.",IF($NT19=3,"sem dano",IF($OT19=0,IF($NT19=1,"sem cura","sem dano"),IF($NT19=1,"cura ","")&amp;$OT19&amp;"d8")))</f>
        <v/>
      </c>
      <c r="PB19" s="152">
        <f>IF($NT19=2,3*$OU19&amp;" de vida temp.",IF($NT19=3,"sem dano",IF($OU19=0,IF($NT19=1,"sem cura","sem dano"),IF($NT19=1,"cura ","")&amp;$OU19&amp;"d8")))</f>
        <v/>
      </c>
      <c r="PC19" s="152">
        <f>IF($NT19=2,3*$OV19&amp;" de vida temp.",IF($NT19=3,"sem dano",IF($OV19=0,IF($NT19=1,"sem cura","sem dano"),IF($NT19=1,"cura ","")&amp;$OV19&amp;"d8")))</f>
        <v/>
      </c>
      <c r="PD19" s="152">
        <f>IF($NT19=2,3*$OW19&amp;" de vida temp.",IF($NT19=3,"sem dano",IF($OW19=0,IF($NT19=1,"sem cura","sem dano"),IF($NT19=1,"cura ","")&amp;$OW19&amp;"d8")))</f>
        <v/>
      </c>
      <c r="PE19" s="152">
        <f>IF($NT19=2,3*$OX19&amp;" de vida temp.",IF($NT19=3,"sem dano",IF($OX19=0,IF($NT19=1,"sem cura","sem dano"),IF($NT19=1,"cura ","")&amp;$OX19&amp;"d8")))</f>
        <v/>
      </c>
      <c r="PF19" s="152">
        <f>IF($NT19=2,3*$OY19&amp;" de vida temp.",IF($NT19=3,"sem dano",IF($OY19=0,IF($NT19=1,"sem cura","sem dano"),IF($NT19=1,"cura ","")&amp;$OY19&amp;"d8")))</f>
        <v/>
      </c>
      <c r="PG19" s="152">
        <f>IF($MQ19=0,"",TEXTJOIN(" · ",TRUE,IF($MD19&gt;$MR19,"Este lugar abre no nível "&amp;$MD19,""),IF($MF19&gt;$MS19,"Classe "&amp;$MF19&amp;": o nível "&amp;$MR19&amp;" libera até a "&amp;$MS19,""),IF($NK19=1,"A Forma "&amp;$MH19&amp;" pede "&amp;INDEX($W$2:$W$11,$MW19)&amp;" aberta",""),IF(AND($MF19=0,$MW19&gt;0,IF($MW19=0,0,INDEX($AF$2:$AF$11,$MW19))=0),$MH19&amp;" não existe na Classe 0",""),IF($NL19=1,"Família Fechada: "&amp;$MK19,""),IF($NM19=1,"Família Fechada: "&amp;$ML19,""),IF($NN19=1,"Família Fechada: "&amp;$MM19,""),IF($NO19=1,"Família Fechada: "&amp;$MN19,""),IF(AND($MF19&gt;0,$OH19&gt;INDEX($O$2:$O$8,MAX(1,$MF19))),$OH19&amp;" Melhorias: a Classe "&amp;$MF19&amp;" aceita "&amp;INDEX($O$2:$O$8,MAX(1,$MF19)),""),IF(AND($MF19=0,$OH19&gt;1),"A básica aceita uma Melhoria",""),IF(AND($MF19=0,COUNTIF($NB19:$NE19,"&gt;1")&gt;0),"A básica só aceita Melhoria Leve",""),IF(AND($MF19&gt;0,$OI19&gt;2),$OI19&amp;" Restrições"&amp;IF($NS19=1,", contando a que a Forma "&amp;$MH19&amp;" já traz","")&amp;": o limite é 2",""),IF(AND($MF19=0,COUNTIF($MO19:$MP19,"?*")&gt;1),"A básica aceita uma Restrição Leve",""),IF(AND($MF19=0,COUNTIF($NV19:$NW19,2)&gt;0),"A básica só aceita Restrição Leve",""),IF(AND($MF19&gt;0,$OP19&lt;0),"Orçamento estourado: faltam "&amp;(-$OP19)&amp;IF($OP19&lt;-1," pontos"," ponto"),""),IF(IFERROR(VLOOKUP($MO19,$BC$2:$BG$24,4,FALSE),0)+IFERROR(VLOOKUP($MP19,$BC$2:$BG$24,4,FALSE),0)&gt;1,$NX19&amp;" e "&amp;$NY19&amp;" são as duas de frequência",""),IF(AND((COUNTIF($MK19:$MN19,"Rápido")+COUNTIF($NX19:$NY19,"Rápido"))&gt;0,(COUNTIF($MK19:$MN19,"Atrasar")+COUNTIF($NX19:$NY19,"Atrasar"))&gt;0),"Rápido não entra com Atrasar",""),IF(AND((COUNTIF($MK19:$MN19,"Reação")+COUNTIF($NX19:$NY19,"Reação"))&gt;0,(COUNTIF($MK19:$MN19,"Rápido")+COUNTIF($NX19:$NY19,"Rápido"))&gt;0),"Reação não entra com Rápido",""),IF(AND((COUNTIF($MK19:$MN19,"Reação")+COUNTIF($NX19:$NY19,"Reação"))&gt;0,(COUNTIF($MK19:$MN19,"Armado")+COUNTIF($NX19:$NY19,"Armado"))&gt;0),"Reação não entra com Armado",""),IF(AND((COUNTIF($MK19:$MN19,"Reação")+COUNTIF($NX19:$NY19,"Reação"))&gt;0,(COUNTIF($MK19:$MN19,"Atrasar")+COUNTIF($NX19:$NY19,"Atrasar"))&gt;0),"Reação não entra com Atrasar",""),IF(AND((COUNTIF($MK19:$MN19,"Reação")+COUNTIF($NX19:$NY19,"Reação"))&gt;0,(COUNTIF($MK19:$MN19,"Parado")+COUNTIF($NX19:$NY19,"Parado"))&gt;0),"Reação não entra com Parado",""),IF(AND((COUNTIF($MK19:$MN19,"Atrasar")+COUNTIF($NX19:$NY19,"Atrasar"))&gt;0,(COUNTIF($MK19:$MN19,"Parado")+COUNTIF($NX19:$NY19,"Parado"))&gt;0),"Atrasar não entra com Parado",""),IF(AND((COUNTIF($MK19:$MN19,"Armado")+COUNTIF($NX19:$NY19,"Armado"))&gt;0,(COUNTIF($MK19:$MN19,"Carregar")+COUNTIF($NX19:$NY19,"Carregar"))&gt;0),"Armado não entra com Carregar",""),IF(AND(COUNTIF($NX19:$NY19,"Corpo a Corpo")&gt;0,$NS19=0,OR($MH19="Cone",$MH19="Linha")),"Corpo a Corpo não entra em "&amp;$MH19,""),IF(AND(COUNTIF($NX19:$NY19,"Corpo a Corpo")&gt;0,$NS19=1),"A Forma "&amp;$MH19&amp;" já traz o Corpo a Corpo",""),IF(AND(COUNTIF($NX19:$NY19,"Tudo ou Nada")&gt;0,$NU19=0),"Tudo ou Nada só entra em habilidade de Teste de Resistência",""),IF(AND(COUNTIF($MK19:$MN19,"Inescapável")&gt;0,OR($OH19&gt;1,$OI19&gt;0)),"Inescapável não aceita outra peça",""),IF(AND($MF19&gt;0,$OQ19*IF(COUNTIF($MK19:$MN19,"Remate")&gt;0,1.25,1)+$OR19&gt;4*$MF19),($OQ19*IF(COUNTIF($MK19:$MN19,"Remate")&gt;0,1.25,1)+$OR19)&amp;" dados somando repetições"&amp;IF(COUNTIF($MK19:$MN19,"Remate")&gt;0," e o Remate","")&amp;": o teto da Classe "&amp;$MF19&amp;" é "&amp;4*$MF19,"")))</f>
        <v/>
      </c>
      <c r="PH19" s="152">
        <f>IF($PG19="",0,(LEN($PG19)-LEN(SUBSTITUTE($PG19," · ","")))/3+1)</f>
        <v/>
      </c>
      <c r="PI19" s="152">
        <f>IF($MQ19=0,"",TEXTJOIN(" · ",TRUE,IF($OK19&gt;2*$MF19,"A devolução parou no teto de "&amp;2*$MF19,""),IF($ON19&gt;0,"Devolução perdida: "&amp;$ON19&amp;IF($ON19&gt;1," pontos"," ponto")&amp;" sem peça para pagar",""),IF(AND($NP19&gt;0,AND($MF19&gt;0,$NT19=0),$OQ19=0),"Controle sem dano: uma rodada a mais e CD +2",""),IF(AND($NP19&gt;0,AND($MF19&gt;0,$NT19=0),$OQ19&gt;0,$OQ19&lt;=$MF19),"Controle com saldo até a Classe: uma rodada a mais",""),IF(AND($MF19&gt;0,$NR19&lt;&gt;""),"Efeito de "&amp;$NR19&amp;" pela Classe "&amp;MAX(1,$MF19-1),"")))</f>
        <v/>
      </c>
      <c r="PJ19" s="152">
        <f>IF($PI19="",0,(LEN($PI19)-LEN(SUBSTITUTE($PI19," · ","")))/3+1)</f>
        <v/>
      </c>
      <c r="PK19" s="152">
        <f>IF($MQ19=0,IF($OH19+COUNTIF($MO19:$MP19,"?*")&gt;0,"Dê um nome",""),IF($PH19&gt;0,"⚠ "&amp;$PH19&amp;IF($PH19&gt;1," erros"," erro"),IF($PJ19&gt;0,"! "&amp;$PJ19&amp;IF($PJ19&gt;1," avisos"," aviso"),"Na regra")))</f>
        <v/>
      </c>
      <c r="PL19" s="152">
        <f>IF($MQ19=0,"",IF($PH19+$PJ19=0,"Dentro das regras que a ficha confere",$PG19&amp;IF(AND($PH19&gt;0,$PJ19&gt;0)," · ","")&amp;$PI19))</f>
        <v/>
      </c>
      <c r="PM19" s="152">
        <f>IF($MD19&gt;$MR19,$ME19&amp;" · ABRE NO NÍVEL "&amp;$MD19,$ME19)</f>
        <v/>
      </c>
      <c r="PN19" s="152">
        <f>IF($MQ19=0,"",IF($MF19=0,"Sem PE",3*$MF19&amp;" PE"))</f>
        <v/>
      </c>
      <c r="PO19" s="152">
        <f>IF($MQ19=0,"",IF($MF19=0,"A atuação básica dela",IF(COUNTIF($NX19:$NY19,"Atrasar")&gt;0,"Sua Ação Completa",IF(COUNTIF($MK19:$MN19,"Rápido")&gt;0,"Sua Bônus",IF(COUNTIF($MK19:$MN19,"Reação")&gt;0,"Sua Reação","Sua Padrão")))&amp;" + a básica dela"&amp;IF(COUNTIF($MK19:$MN19,"Reação")&gt;0," e a coletiva","")&amp;IF(COUNTIF($NX19:$NY19,"Carregar")&gt;0," · em dois turnos","")))</f>
        <v/>
      </c>
      <c r="PP19" s="152">
        <f>IF($MJ19&lt;&gt;"",$MJ19,IF($MW19=0,"",INDEX($AA$2:$AA$11,$MW19)))</f>
        <v/>
      </c>
      <c r="PQ19" s="152">
        <f>IF(OR($MQ19=0,$MW19=0),"",IF(COUNTIF($MK19:$MN19,"Inescapável")&gt;0,"Automático",IF($PP19="Ataque",IF($MU19="","Ataque","Ataque "&amp;IF(($MU19+2*IF(COUNTIF($MK19:$MN19,"Precisão")&gt;0,1,0))&gt;=0,"+","−")&amp;ABS(($MU19+2*IF(COUNTIF($MK19:$MN19,"Precisão")&gt;0,1,0))))&amp;IF($NQ19&gt;0," · TR"&amp;IF($MV19="",""," CD "&amp;$MV19),""),IF(LEFT($PP19,2)="TR",$PP19&amp;IF($MV19="",""," · CD "&amp;$MV19)&amp;IF(COUNTIF($MK19:$MN19,"Certeiro")&gt;0," · metade",""),"Sem rolagem"))))</f>
        <v/>
      </c>
      <c r="PR19" s="152">
        <f>IF(OR($MQ19=0,$MW19=0),"",IF($MF19=0,IF(OR($NT19&gt;=1,$OQ19=0),"Sem dano",$OQ19&amp;"d6"&amp;IF($MI19="",""," "&amp;$MI19)),IF(OR($NT19&gt;=1,$OQ19=0),UPPER(LEFT(INDEX($OZ19:$PF19,1,MAX(1,$MF19)),1))&amp;MID(INDEX($OZ19:$PF19,1,MAX(1,$MF19)),2,99),UPPER(LEFT(INDEX($OZ19:$PF19,1,MAX(1,$MF19)),1))&amp;MID(INDEX($OZ19:$PF19,1,MAX(1,$MF19)),2,99)&amp;IF($MI19="",""," "&amp;$MI19)&amp;IF($OR19&gt;0," · +"&amp;$OR19&amp;"d8",""))))</f>
        <v/>
      </c>
      <c r="PS19" s="152">
        <f>COUNTIF($MK19:$MN19,"Longe")+3*COUNTIF($MK19:$MN19,"Muito Longe")</f>
        <v/>
      </c>
      <c r="PT19" s="152">
        <f>COUNTIF($MK19:$MN19,"Maior")+3*COUNTIF($MK19:$MN19,"Muito Maior")</f>
        <v/>
      </c>
      <c r="PU19" s="152">
        <f>IF($MW19=0,0,CHOOSE(1+INDEX($AC$2:$AC$11,$MW19),0,$PS19,$PT19,$PS19+$PT19))</f>
        <v/>
      </c>
      <c r="PV19" s="152">
        <f>IF($MW19=0,0,CHOOSE(1+INDEX($AD$2:$AD$11,$MW19),0,$PS19,$PT19,$PS19+$PT19))</f>
        <v/>
      </c>
      <c r="PW19" s="152">
        <f>IF(OR($MQ19=0,$MW19=0),"",INDEX($AI$2:$AN$41,($MW19-1)*4+IF($MF19=0,1,IF($MF19&lt;=5,2,IF($MF19=6,3,4))),1+MIN(5,$PU19))&amp;INDEX($AO$2:$AT$41,($MW19-1)*4+IF($MF19=0,1,IF($MF19&lt;=5,2,IF($MF19=6,3,4))),1+MIN(5,$PV19))&amp;IF(INDEX($AE$2:$AE$11,$MW19)=1,IF(COUNTIF($MK19:$MN19,"Mais Um")&gt;0," · +"&amp;COUNTIF($MK19:$MN19,"Mais Um")&amp;IF(COUNTIF($MK19:$MN19,"Mais Um")&gt;1," alvos"," alvo"),"")&amp;IF(COUNTIF($MK19:$MN19,"Rajada")&gt;0,IF($MF19=0," · 1 tiro"," · "&amp;(MAX(1,$MF19-1)+1)&amp;" tiros"),""),""))</f>
        <v/>
      </c>
      <c r="PX19" s="152">
        <f>IF($MQ19=0,"",IF($MF19=0,$MT19&amp;"d6"&amp;IF($OH19&gt;0," − 1 = "&amp;$OQ19&amp;"d6"," da básica do nível "&amp;$MR19),$OO19&amp;" − "&amp;$OJ19&amp;" + "&amp;$OM19&amp;" = "&amp;$OP19&amp;" · teto "&amp;4*$MF19&amp;"d8"&amp;IF($NS19=1," · a Forma devolve "&amp;$MF19,"")&amp;IF($ON19&gt;0," · perde "&amp;$ON19,"")))</f>
        <v/>
      </c>
      <c r="PY19" s="152">
        <f>IF($MQ19=0,"",IF($MF19=0,"A básica não amplia: os dados dela sobem com o nível",IF($MF19&gt;=$MS19,"Já está na maior Classe que o nível liberou",TEXTJOIN(" · ",TRUE,IF(AND(2&gt;$MF19,2&lt;=$MS19),"2 → "&amp;$PA19&amp;", 6 PE",""),IF(AND(3&gt;$MF19,3&lt;=$MS19),"3 → "&amp;$PB19&amp;", 9 PE",""),IF(AND(4&gt;$MF19,4&lt;=$MS19),"4 → "&amp;$PC19&amp;", 12 PE",""),IF(AND(5&gt;$MF19,5&lt;=$MS19),"5 → "&amp;$PD19&amp;", 15 PE",""),IF(AND(6&gt;$MF19,6&lt;=$MS19),"6 → "&amp;$PE19&amp;", 18 PE",""),IF(AND(7&gt;$MF19,7&lt;=$MS19),"7 → "&amp;$PF19&amp;", 21 PE","")))))</f>
        <v/>
      </c>
      <c r="PZ19" s="152">
        <f>IF(OR($MQ19=0,$NB19=0),"",IF($MF19=0,"−1 dado","−"&amp;INDEX($I$2:$N$8,MAX(1,$MF19),MAX(1,$NG19))&amp;" · "&amp;CHOOSE(MAX(1,$NG19),"Leve","Média","Pesada","Leve · Livre","Média · Livre","Pesada · Livre")))</f>
        <v/>
      </c>
      <c r="QA19" s="152">
        <f>IF(OR($MQ19=0,$NC19=0),"",IF($MF19=0,"−1 dado","−"&amp;INDEX($I$2:$N$8,MAX(1,$MF19),MAX(1,$NH19))&amp;" · "&amp;CHOOSE(MAX(1,$NH19),"Leve","Média","Pesada","Leve · Livre","Média · Livre","Pesada · Livre")))</f>
        <v/>
      </c>
      <c r="QB19" s="152">
        <f>IF(OR($MQ19=0,$ND19=0),"",IF($MF19=0,"−1 dado","−"&amp;INDEX($I$2:$N$8,MAX(1,$MF19),MAX(1,$NI19))&amp;" · "&amp;CHOOSE(MAX(1,$NI19),"Leve","Média","Pesada","Leve · Livre","Média · Livre","Pesada · Livre")))</f>
        <v/>
      </c>
      <c r="QC19" s="152">
        <f>IF(OR($MQ19=0,$NE19=0),"",IF($MF19=0,"−1 dado","−"&amp;INDEX($I$2:$N$8,MAX(1,$MF19),MAX(1,$NJ19))&amp;" · "&amp;CHOOSE(MAX(1,$NJ19),"Leve","Média","Pesada","Leve · Livre","Média · Livre","Pesada · Livre")))</f>
        <v/>
      </c>
      <c r="QD19" s="152">
        <f>IF(OR($MQ19=0,$MO19=""),"",IF($MF19=0,"não devolve","+"&amp;IF($NV19=1,CEILING($MF19/2,1),$MF19)))</f>
        <v/>
      </c>
      <c r="QE19" s="152">
        <f>IF(OR($MQ19=0,$MP19=""),"",IF($MF19=0,"não devolve","+"&amp;IF($NW19=1,CEILING($MF19/2,1),$MF19)))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A20" s="152" t="n">
        <v>0</v>
      </c>
      <c r="BC20" s="150" t="inlineStr">
        <is>
          <t>Tudo ou Nada</t>
        </is>
      </c>
      <c r="BD20" s="150" t="inlineStr">
        <is>
          <t>Tudo ou Nada</t>
        </is>
      </c>
      <c r="BE20" s="152" t="n">
        <v>1</v>
      </c>
      <c r="BF20" s="152" t="n">
        <v>0</v>
      </c>
      <c r="BG20" s="150" t="inlineStr">
        <is>
          <t>Tudo ou Nada</t>
        </is>
      </c>
      <c r="CA20" s="150" t="inlineStr">
        <is>
          <t>Persuasão</t>
        </is>
      </c>
      <c r="CB20" s="150" t="inlineStr">
        <is>
          <t>Essência</t>
        </is>
      </c>
      <c r="JG20" s="152">
        <f>IF(OR($AW20="",COUNTIF($EF$2:$EJ$2,$AW20)&gt;0),$AV20,"")</f>
        <v/>
      </c>
      <c r="JH20" s="152">
        <f>IF(AND($AX20=1,OR($AW20="",COUNTIF($EF$2:$EJ$2,$AW20)&gt;0)),$AV20,"")</f>
        <v/>
      </c>
      <c r="JM20" s="152">
        <f>IF(OR($AW20="",COUNTIF($EF$3:$EJ$3,$AW20)&gt;0),$AV20,"")</f>
        <v/>
      </c>
      <c r="JN20" s="152">
        <f>IF(AND($AX20=1,OR($AW20="",COUNTIF($EF$3:$EJ$3,$AW20)&gt;0)),$AV20,"")</f>
        <v/>
      </c>
      <c r="JS20" s="152">
        <f>IF(OR($AW20="",COUNTIF($EF$4:$EJ$4,$AW20)&gt;0),$AV20,"")</f>
        <v/>
      </c>
      <c r="JT20" s="152">
        <f>IF(AND($AX20=1,OR($AW20="",COUNTIF($EF$4:$EJ$4,$AW20)&gt;0)),$AV20,"")</f>
        <v/>
      </c>
      <c r="JY20" s="152">
        <f>IF(OR($AW20="",COUNTIF($EF$5:$EJ$5,$AW20)&gt;0),$AV20,"")</f>
        <v/>
      </c>
      <c r="JZ20" s="152">
        <f>IF(AND($AX20=1,OR($AW20="",COUNTIF($EF$5:$EJ$5,$AW20)&gt;0)),$AV20,"")</f>
        <v/>
      </c>
      <c r="KE20" s="152">
        <f>IF(OR($AW20="",COUNTIF($EF$6:$EJ$6,$AW20)&gt;0),$AV20,"")</f>
        <v/>
      </c>
      <c r="KF20" s="152">
        <f>IF(AND($AX20=1,OR($AW20="",COUNTIF($EF$6:$EJ$6,$AW20)&gt;0)),$AV20,"")</f>
        <v/>
      </c>
      <c r="KK20" s="152">
        <f>IF(OR($AW20="",COUNTIF($EF$7:$EJ$7,$AW20)&gt;0),$AV20,"")</f>
        <v/>
      </c>
      <c r="KL20" s="152">
        <f>IF(AND($AX20=1,OR($AW20="",COUNTIF($EF$7:$EJ$7,$AW20)&gt;0)),$AV20,"")</f>
        <v/>
      </c>
      <c r="KQ20" s="152">
        <f>IF(OR($AW20="",COUNTIF($EF$8:$EJ$8,$AW20)&gt;0),$AV20,"")</f>
        <v/>
      </c>
      <c r="KR20" s="152">
        <f>IF(AND($AX20=1,OR($AW20="",COUNTIF($EF$8:$EJ$8,$AW20)&gt;0)),$AV20,"")</f>
        <v/>
      </c>
      <c r="KW20" s="152">
        <f>IF(OR($AW20="",COUNTIF($EF$9:$EJ$9,$AW20)&gt;0),$AV20,"")</f>
        <v/>
      </c>
      <c r="KX20" s="152">
        <f>IF(AND($AX20=1,OR($AW20="",COUNTIF($EF$9:$EJ$9,$AW20)&gt;0)),$AV20,"")</f>
        <v/>
      </c>
      <c r="LC20" s="152">
        <f>IF(OR($AW20="",COUNTIF($EF$10:$EJ$10,$AW20)&gt;0),$AV20,"")</f>
        <v/>
      </c>
      <c r="LD20" s="152">
        <f>IF(AND($AX20=1,OR($AW20="",COUNTIF($EF$10:$EJ$10,$AW20)&gt;0)),$AV20,"")</f>
        <v/>
      </c>
      <c r="LI20" s="152">
        <f>IF(OR($AW20="",COUNTIF($EF$11:$EJ$11,$AW20)&gt;0),$AV20,"")</f>
        <v/>
      </c>
      <c r="LJ20" s="152">
        <f>IF(AND($AX20=1,OR($AW20="",COUNTIF($EF$11:$EJ$11,$AW20)&gt;0)),$AV20,"")</f>
        <v/>
      </c>
      <c r="LO20" s="152">
        <f>IF(OR($AW20="",COUNTIF($EF$12:$EJ$12,$AW20)&gt;0),$AV20,"")</f>
        <v/>
      </c>
      <c r="LP20" s="152">
        <f>IF(AND($AX20=1,OR($AW20="",COUNTIF($EF$12:$EJ$12,$AW20)&gt;0)),$AV20,"")</f>
        <v/>
      </c>
      <c r="LU20" s="152">
        <f>IF(OR($AW20="",COUNTIF($EF$13:$EJ$13,$AW20)&gt;0),$AV20,"")</f>
        <v/>
      </c>
      <c r="LV20" s="152">
        <f>IF(AND($AX20=1,OR($AW20="",COUNTIF($EF$13:$EJ$13,$AW20)&gt;0)),$AV20,"")</f>
        <v/>
      </c>
      <c r="MA20" s="150" t="inlineStr">
        <is>
          <t>Ficha 2 · Especial 4</t>
        </is>
      </c>
      <c r="MB20" s="152" t="n">
        <v>2</v>
      </c>
      <c r="MC20" s="152" t="n">
        <v>1</v>
      </c>
      <c r="MD20" s="152" t="n">
        <v>12</v>
      </c>
      <c r="ME20" s="150" t="inlineStr">
        <is>
          <t>ESPECIAL 4</t>
        </is>
      </c>
      <c r="MF20" s="152">
        <f>MAX(1,MIN(7,N('INVOCAÇÕES'!$U$290)))</f>
        <v/>
      </c>
      <c r="MG20" s="152">
        <f>'INVOCAÇÕES'!$V$290&amp;""</f>
        <v/>
      </c>
      <c r="MH20" s="152">
        <f>'INVOCAÇÕES'!$U$295&amp;""</f>
        <v/>
      </c>
      <c r="MI20" s="152">
        <f>'INVOCAÇÕES'!$U$296&amp;""</f>
        <v/>
      </c>
      <c r="MJ20" s="152">
        <f>'INVOCAÇÕES'!$W$296&amp;""</f>
        <v/>
      </c>
      <c r="MK20" s="152">
        <f>'INVOCAÇÕES'!$V$299&amp;""</f>
        <v/>
      </c>
      <c r="ML20" s="152">
        <f>'INVOCAÇÕES'!$V$300&amp;""</f>
        <v/>
      </c>
      <c r="MM20" s="152">
        <f>'INVOCAÇÕES'!$V$301&amp;""</f>
        <v/>
      </c>
      <c r="MN20" s="152">
        <f>'INVOCAÇÕES'!$V$302&amp;""</f>
        <v/>
      </c>
      <c r="MO20" s="152">
        <f>'INVOCAÇÕES'!$V$303&amp;""</f>
        <v/>
      </c>
      <c r="MP20" s="152">
        <f>'INVOCAÇÕES'!$V$304&amp;""</f>
        <v/>
      </c>
      <c r="MQ20" s="152">
        <f>IF($MG20&lt;&gt;"",1,0)</f>
        <v/>
      </c>
      <c r="MR20" s="152">
        <f>INDEX($FI$2:$FI$13,$MB20)</f>
        <v/>
      </c>
      <c r="MS20" s="152">
        <f>INDEX($FJ$2:$FJ$13,$MB20)</f>
        <v/>
      </c>
      <c r="MT20" s="152">
        <f>INDEX($FK$2:$FK$13,$MB20)</f>
        <v/>
      </c>
      <c r="MU20" s="152">
        <f>INDEX($FV$2:$FV$13,$MB20)</f>
        <v/>
      </c>
      <c r="MV20" s="152">
        <f>INDEX($FW$2:$FW$13,$MB20)</f>
        <v/>
      </c>
      <c r="MW20" s="152">
        <f>IFERROR(MATCH($MH20,$V$2:$V$11,0),0)</f>
        <v/>
      </c>
      <c r="MX20" s="152">
        <f>IFERROR(VLOOKUP($MK20,$AV$2:$BA$84,2,FALSE),"")</f>
        <v/>
      </c>
      <c r="MY20" s="152">
        <f>IFERROR(VLOOKUP($ML20,$AV$2:$BA$84,2,FALSE),"")</f>
        <v/>
      </c>
      <c r="MZ20" s="152">
        <f>IFERROR(VLOOKUP($MM20,$AV$2:$BA$84,2,FALSE),"")</f>
        <v/>
      </c>
      <c r="NA20" s="152">
        <f>IFERROR(VLOOKUP($MN20,$AV$2:$BA$84,2,FALSE),"")</f>
        <v/>
      </c>
      <c r="NB20" s="152">
        <f>IFERROR(VLOOKUP($MK20,$AV$2:$BA$84,3,FALSE),0)</f>
        <v/>
      </c>
      <c r="NC20" s="152">
        <f>IFERROR(VLOOKUP($ML20,$AV$2:$BA$84,3,FALSE),0)</f>
        <v/>
      </c>
      <c r="ND20" s="152">
        <f>IFERROR(VLOOKUP($MM20,$AV$2:$BA$84,3,FALSE),0)</f>
        <v/>
      </c>
      <c r="NE20" s="152">
        <f>IFERROR(VLOOKUP($MN20,$AV$2:$BA$84,3,FALSE),0)</f>
        <v/>
      </c>
      <c r="NF20" s="152">
        <f>IF($MF20=0,0,IF($MW20=0,0,INDEX($X$2:$X$11,$MW20)))</f>
        <v/>
      </c>
      <c r="NG20" s="152">
        <f>IF(OR($NB20=0,$MF20=0),0,$NB20+3*IF(AND($MX20&lt;&gt;"",OR($MX20=INDEX($EF$2:$EF$13,$MB20),$MX20=INDEX($EG$2:$EG$13,$MB20))),1,0))</f>
        <v/>
      </c>
      <c r="NH20" s="152">
        <f>IF(OR($NC20=0,$MF20=0),0,$NC20+3*IF(AND($MY20&lt;&gt;"",OR($MY20=INDEX($EF$2:$EF$13,$MB20),$MY20=INDEX($EG$2:$EG$13,$MB20))),1,0))</f>
        <v/>
      </c>
      <c r="NI20" s="152">
        <f>IF(OR($ND20=0,$MF20=0),0,$ND20+3*IF(AND($MZ20&lt;&gt;"",OR($MZ20=INDEX($EF$2:$EF$13,$MB20),$MZ20=INDEX($EG$2:$EG$13,$MB20))),1,0))</f>
        <v/>
      </c>
      <c r="NJ20" s="152">
        <f>IF(OR($NE20=0,$MF20=0),0,$NE20+3*IF(AND($NA20&lt;&gt;"",OR($NA20=INDEX($EF$2:$EF$13,$MB20),$NA20=INDEX($EG$2:$EG$13,$MB20))),1,0))</f>
        <v/>
      </c>
      <c r="NK20" s="152">
        <f>IF($MW20=0,0,IF(INDEX($W$2:$W$11,$MW20)="",0,IF(COUNTIF(INDEX($EF$2:$EJ$13,$MB20,0),INDEX($W$2:$W$11,$MW20))=0,1,0)))</f>
        <v/>
      </c>
      <c r="NL20" s="152">
        <f>IF(OR($NB20=0,$MX20=""),0,IF(COUNTIF(INDEX($EF$2:$EJ$13,$MB20,0),$MX20)=0,1,0))</f>
        <v/>
      </c>
      <c r="NM20" s="152">
        <f>IF(OR($NC20=0,$MY20=""),0,IF(COUNTIF(INDEX($EF$2:$EJ$13,$MB20,0),$MY20)=0,1,0))</f>
        <v/>
      </c>
      <c r="NN20" s="152">
        <f>IF(OR($ND20=0,$MZ20=""),0,IF(COUNTIF(INDEX($EF$2:$EJ$13,$MB20,0),$MZ20)=0,1,0))</f>
        <v/>
      </c>
      <c r="NO20" s="152">
        <f>IF(OR($NE20=0,$NA20=""),0,IF(COUNTIF(INDEX($EF$2:$EJ$13,$MB20,0),$NA20)=0,1,0))</f>
        <v/>
      </c>
      <c r="NP20" s="152">
        <f>IFERROR(VLOOKUP($MK20,$AV$2:$BA$84,4,FALSE),0)+IFERROR(VLOOKUP($ML20,$AV$2:$BA$84,4,FALSE),0)+IFERROR(VLOOKUP($MM20,$AV$2:$BA$84,4,FALSE),0)+IFERROR(VLOOKUP($MN20,$AV$2:$BA$84,4,FALSE),0)</f>
        <v/>
      </c>
      <c r="NQ20" s="152">
        <f>IFERROR(VLOOKUP($MK20,$AV$2:$BA$84,6,FALSE),0)+IFERROR(VLOOKUP($ML20,$AV$2:$BA$84,6,FALSE),0)+IFERROR(VLOOKUP($MM20,$AV$2:$BA$84,6,FALSE),0)+IFERROR(VLOOKUP($MN20,$AV$2:$BA$84,6,FALSE),0)</f>
        <v/>
      </c>
      <c r="NR20" s="152">
        <f>TEXTJOIN(", ",TRUE,IF(IFERROR(VLOOKUP($MK20,$AV$2:$BA$84,5,FALSE),0)=1,$MK20,""),IF(IFERROR(VLOOKUP($ML20,$AV$2:$BA$84,5,FALSE),0)=1,$ML20,""),IF(IFERROR(VLOOKUP($MM20,$AV$2:$BA$84,5,FALSE),0)=1,$MM20,""),IF(IFERROR(VLOOKUP($MN20,$AV$2:$BA$84,5,FALSE),0)=1,$MN20,""))</f>
        <v/>
      </c>
      <c r="NS20" s="152">
        <f>IF($MW20=0,0,INDEX($Y$2:$Y$11,$MW20))</f>
        <v/>
      </c>
      <c r="NT20" s="152">
        <f>IF($MW20=0,0,INDEX($Z$2:$Z$11,$MW20))</f>
        <v/>
      </c>
      <c r="NU20" s="152">
        <f>IF($MW20=0,0,INDEX($AB$2:$AB$11,$MW20))</f>
        <v/>
      </c>
      <c r="NV20" s="152">
        <f>IFERROR(VLOOKUP($MO20,$BC$2:$BG$24,3,FALSE),0)</f>
        <v/>
      </c>
      <c r="NW20" s="152">
        <f>IFERROR(VLOOKUP($MP20,$BC$2:$BG$24,3,FALSE),0)</f>
        <v/>
      </c>
      <c r="NX20" s="152">
        <f>IFERROR(VLOOKUP($MO20,$BC$2:$BG$24,2,FALSE),"")</f>
        <v/>
      </c>
      <c r="NY20" s="152">
        <f>IFERROR(VLOOKUP($MP20,$BC$2:$BG$24,2,FALSE),"")</f>
        <v/>
      </c>
      <c r="NZ20" s="152">
        <f>COUNTIF($NF20:$NJ20,1)</f>
        <v/>
      </c>
      <c r="OA20" s="152">
        <f>COUNTIF($NF20:$NJ20,2)</f>
        <v/>
      </c>
      <c r="OB20" s="152">
        <f>COUNTIF($NF20:$NJ20,3)</f>
        <v/>
      </c>
      <c r="OC20" s="152">
        <f>COUNTIF($NF20:$NJ20,4)</f>
        <v/>
      </c>
      <c r="OD20" s="152">
        <f>COUNTIF($NF20:$NJ20,5)</f>
        <v/>
      </c>
      <c r="OE20" s="152">
        <f>COUNTIF($NF20:$NJ20,6)</f>
        <v/>
      </c>
      <c r="OF20" s="152">
        <f>COUNTIF($NV20:$NW20,1)</f>
        <v/>
      </c>
      <c r="OG20" s="152">
        <f>COUNTIF($NV20:$NW20,2)+$NS20</f>
        <v/>
      </c>
      <c r="OH20" s="152">
        <f>COUNTIF($MK20:$MN20,"?*")</f>
        <v/>
      </c>
      <c r="OI20" s="152">
        <f>COUNTIF($MO20:$MP20,"?*")+$NS20</f>
        <v/>
      </c>
      <c r="OJ20" s="152">
        <f>IF($MF20=0,0,SUMPRODUCT($NZ20:$OE20,INDEX($I$2:$N$8,MAX(1,$MF20),0)))</f>
        <v/>
      </c>
      <c r="OK20" s="152">
        <f>IF($MF20=0,0,$OF20*CEILING($MF20/2,1)+$OG20*$MF20)</f>
        <v/>
      </c>
      <c r="OL20" s="152">
        <f>MIN(2*$MF20,$OK20)</f>
        <v/>
      </c>
      <c r="OM20" s="152">
        <f>MIN($OL20,$OJ20)</f>
        <v/>
      </c>
      <c r="ON20" s="152">
        <f>$OL20-$OM20</f>
        <v/>
      </c>
      <c r="OO20" s="152">
        <f>IF($MF20=0,0,INDEX($P$2:$P$8,MAX(1,$MF20)))</f>
        <v/>
      </c>
      <c r="OP20" s="152">
        <f>$OO20-$OJ20+$OM20</f>
        <v/>
      </c>
      <c r="OQ20" s="152">
        <f>IF($MF20=0,MAX(0,$MT20-IF($OH20&gt;0,1,0)),MAX(0,$OP20))</f>
        <v/>
      </c>
      <c r="OR20" s="152">
        <f>IF($MF20=0,0,(IF(COUNTIF($MK20:$MN20,"Salto")&gt;0,1,0)+IF(COUNTIF($MK20:$MN20,"Queima")&gt;0,1,0)+IF(COUNTIF($MK20:$MN20,"Estilhaço")&gt;0,1,0))*FLOOR($OQ20/2,1))</f>
        <v/>
      </c>
      <c r="OS20" s="152">
        <f>MAX(0,2-SUMPRODUCT($NZ20:$OE20,$I$2:$N$2)+MIN(2,$OF20*1+$OG20*1,SUMPRODUCT($NZ20:$OE20,$I$2:$N$2)))</f>
        <v/>
      </c>
      <c r="OT20" s="152">
        <f>MAX(0,4-SUMPRODUCT($NZ20:$OE20,$I$3:$N$3)+MIN(4,$OF20*1+$OG20*2,SUMPRODUCT($NZ20:$OE20,$I$3:$N$3)))</f>
        <v/>
      </c>
      <c r="OU20" s="152">
        <f>MAX(0,6-SUMPRODUCT($NZ20:$OE20,$I$4:$N$4)+MIN(6,$OF20*2+$OG20*3,SUMPRODUCT($NZ20:$OE20,$I$4:$N$4)))</f>
        <v/>
      </c>
      <c r="OV20" s="152">
        <f>MAX(0,9-SUMPRODUCT($NZ20:$OE20,$I$5:$N$5)+MIN(8,$OF20*2+$OG20*4,SUMPRODUCT($NZ20:$OE20,$I$5:$N$5)))</f>
        <v/>
      </c>
      <c r="OW20" s="152">
        <f>MAX(0,11-SUMPRODUCT($NZ20:$OE20,$I$6:$N$6)+MIN(10,$OF20*3+$OG20*5,SUMPRODUCT($NZ20:$OE20,$I$6:$N$6)))</f>
        <v/>
      </c>
      <c r="OX20" s="152">
        <f>MAX(0,13-SUMPRODUCT($NZ20:$OE20,$I$7:$N$7)+MIN(12,$OF20*3+$OG20*6,SUMPRODUCT($NZ20:$OE20,$I$7:$N$7)))</f>
        <v/>
      </c>
      <c r="OY20" s="152">
        <f>MAX(0,16-SUMPRODUCT($NZ20:$OE20,$I$8:$N$8)+MIN(14,$OF20*4+$OG20*7,SUMPRODUCT($NZ20:$OE20,$I$8:$N$8)))</f>
        <v/>
      </c>
      <c r="OZ20" s="152">
        <f>IF($NT20=2,3*$OS20&amp;" de vida temp.",IF($NT20=3,"sem dano",IF($OS20=0,IF($NT20=1,"sem cura","sem dano"),IF($NT20=1,"cura ","")&amp;$OS20&amp;"d8")))</f>
        <v/>
      </c>
      <c r="PA20" s="152">
        <f>IF($NT20=2,3*$OT20&amp;" de vida temp.",IF($NT20=3,"sem dano",IF($OT20=0,IF($NT20=1,"sem cura","sem dano"),IF($NT20=1,"cura ","")&amp;$OT20&amp;"d8")))</f>
        <v/>
      </c>
      <c r="PB20" s="152">
        <f>IF($NT20=2,3*$OU20&amp;" de vida temp.",IF($NT20=3,"sem dano",IF($OU20=0,IF($NT20=1,"sem cura","sem dano"),IF($NT20=1,"cura ","")&amp;$OU20&amp;"d8")))</f>
        <v/>
      </c>
      <c r="PC20" s="152">
        <f>IF($NT20=2,3*$OV20&amp;" de vida temp.",IF($NT20=3,"sem dano",IF($OV20=0,IF($NT20=1,"sem cura","sem dano"),IF($NT20=1,"cura ","")&amp;$OV20&amp;"d8")))</f>
        <v/>
      </c>
      <c r="PD20" s="152">
        <f>IF($NT20=2,3*$OW20&amp;" de vida temp.",IF($NT20=3,"sem dano",IF($OW20=0,IF($NT20=1,"sem cura","sem dano"),IF($NT20=1,"cura ","")&amp;$OW20&amp;"d8")))</f>
        <v/>
      </c>
      <c r="PE20" s="152">
        <f>IF($NT20=2,3*$OX20&amp;" de vida temp.",IF($NT20=3,"sem dano",IF($OX20=0,IF($NT20=1,"sem cura","sem dano"),IF($NT20=1,"cura ","")&amp;$OX20&amp;"d8")))</f>
        <v/>
      </c>
      <c r="PF20" s="152">
        <f>IF($NT20=2,3*$OY20&amp;" de vida temp.",IF($NT20=3,"sem dano",IF($OY20=0,IF($NT20=1,"sem cura","sem dano"),IF($NT20=1,"cura ","")&amp;$OY20&amp;"d8")))</f>
        <v/>
      </c>
      <c r="PG20" s="152">
        <f>IF($MQ20=0,"",TEXTJOIN(" · ",TRUE,IF($MD20&gt;$MR20,"Este lugar abre no nível "&amp;$MD20,""),IF($MF20&gt;$MS20,"Classe "&amp;$MF20&amp;": o nível "&amp;$MR20&amp;" libera até a "&amp;$MS20,""),IF($NK20=1,"A Forma "&amp;$MH20&amp;" pede "&amp;INDEX($W$2:$W$11,$MW20)&amp;" aberta",""),IF(AND($MF20=0,$MW20&gt;0,IF($MW20=0,0,INDEX($AF$2:$AF$11,$MW20))=0),$MH20&amp;" não existe na Classe 0",""),IF($NL20=1,"Família Fechada: "&amp;$MK20,""),IF($NM20=1,"Família Fechada: "&amp;$ML20,""),IF($NN20=1,"Família Fechada: "&amp;$MM20,""),IF($NO20=1,"Família Fechada: "&amp;$MN20,""),IF(AND($MF20&gt;0,$OH20&gt;INDEX($O$2:$O$8,MAX(1,$MF20))),$OH20&amp;" Melhorias: a Classe "&amp;$MF20&amp;" aceita "&amp;INDEX($O$2:$O$8,MAX(1,$MF20)),""),IF(AND($MF20=0,$OH20&gt;1),"A básica aceita uma Melhoria",""),IF(AND($MF20=0,COUNTIF($NB20:$NE20,"&gt;1")&gt;0),"A básica só aceita Melhoria Leve",""),IF(AND($MF20&gt;0,$OI20&gt;2),$OI20&amp;" Restrições"&amp;IF($NS20=1,", contando a que a Forma "&amp;$MH20&amp;" já traz","")&amp;": o limite é 2",""),IF(AND($MF20=0,COUNTIF($MO20:$MP20,"?*")&gt;1),"A básica aceita uma Restrição Leve",""),IF(AND($MF20=0,COUNTIF($NV20:$NW20,2)&gt;0),"A básica só aceita Restrição Leve",""),IF(AND($MF20&gt;0,$OP20&lt;0),"Orçamento estourado: faltam "&amp;(-$OP20)&amp;IF($OP20&lt;-1," pontos"," ponto"),""),IF(IFERROR(VLOOKUP($MO20,$BC$2:$BG$24,4,FALSE),0)+IFERROR(VLOOKUP($MP20,$BC$2:$BG$24,4,FALSE),0)&gt;1,$NX20&amp;" e "&amp;$NY20&amp;" são as duas de frequência",""),IF(AND((COUNTIF($MK20:$MN20,"Rápido")+COUNTIF($NX20:$NY20,"Rápido"))&gt;0,(COUNTIF($MK20:$MN20,"Atrasar")+COUNTIF($NX20:$NY20,"Atrasar"))&gt;0),"Rápido não entra com Atrasar",""),IF(AND((COUNTIF($MK20:$MN20,"Reação")+COUNTIF($NX20:$NY20,"Reação"))&gt;0,(COUNTIF($MK20:$MN20,"Rápido")+COUNTIF($NX20:$NY20,"Rápido"))&gt;0),"Reação não entra com Rápido",""),IF(AND((COUNTIF($MK20:$MN20,"Reação")+COUNTIF($NX20:$NY20,"Reação"))&gt;0,(COUNTIF($MK20:$MN20,"Armado")+COUNTIF($NX20:$NY20,"Armado"))&gt;0),"Reação não entra com Armado",""),IF(AND((COUNTIF($MK20:$MN20,"Reação")+COUNTIF($NX20:$NY20,"Reação"))&gt;0,(COUNTIF($MK20:$MN20,"Atrasar")+COUNTIF($NX20:$NY20,"Atrasar"))&gt;0),"Reação não entra com Atrasar",""),IF(AND((COUNTIF($MK20:$MN20,"Reação")+COUNTIF($NX20:$NY20,"Reação"))&gt;0,(COUNTIF($MK20:$MN20,"Parado")+COUNTIF($NX20:$NY20,"Parado"))&gt;0),"Reação não entra com Parado",""),IF(AND((COUNTIF($MK20:$MN20,"Atrasar")+COUNTIF($NX20:$NY20,"Atrasar"))&gt;0,(COUNTIF($MK20:$MN20,"Parado")+COUNTIF($NX20:$NY20,"Parado"))&gt;0),"Atrasar não entra com Parado",""),IF(AND((COUNTIF($MK20:$MN20,"Armado")+COUNTIF($NX20:$NY20,"Armado"))&gt;0,(COUNTIF($MK20:$MN20,"Carregar")+COUNTIF($NX20:$NY20,"Carregar"))&gt;0),"Armado não entra com Carregar",""),IF(AND(COUNTIF($NX20:$NY20,"Corpo a Corpo")&gt;0,$NS20=0,OR($MH20="Cone",$MH20="Linha")),"Corpo a Corpo não entra em "&amp;$MH20,""),IF(AND(COUNTIF($NX20:$NY20,"Corpo a Corpo")&gt;0,$NS20=1),"A Forma "&amp;$MH20&amp;" já traz o Corpo a Corpo",""),IF(AND(COUNTIF($NX20:$NY20,"Tudo ou Nada")&gt;0,$NU20=0),"Tudo ou Nada só entra em habilidade de Teste de Resistência",""),IF(AND(COUNTIF($MK20:$MN20,"Inescapável")&gt;0,OR($OH20&gt;1,$OI20&gt;0)),"Inescapável não aceita outra peça",""),IF(AND($MF20&gt;0,$OQ20*IF(COUNTIF($MK20:$MN20,"Remate")&gt;0,1.25,1)+$OR20&gt;4*$MF20),($OQ20*IF(COUNTIF($MK20:$MN20,"Remate")&gt;0,1.25,1)+$OR20)&amp;" dados somando repetições"&amp;IF(COUNTIF($MK20:$MN20,"Remate")&gt;0," e o Remate","")&amp;": o teto da Classe "&amp;$MF20&amp;" é "&amp;4*$MF20,"")))</f>
        <v/>
      </c>
      <c r="PH20" s="152">
        <f>IF($PG20="",0,(LEN($PG20)-LEN(SUBSTITUTE($PG20," · ","")))/3+1)</f>
        <v/>
      </c>
      <c r="PI20" s="152">
        <f>IF($MQ20=0,"",TEXTJOIN(" · ",TRUE,IF($OK20&gt;2*$MF20,"A devolução parou no teto de "&amp;2*$MF20,""),IF($ON20&gt;0,"Devolução perdida: "&amp;$ON20&amp;IF($ON20&gt;1," pontos"," ponto")&amp;" sem peça para pagar",""),IF(AND($NP20&gt;0,AND($MF20&gt;0,$NT20=0),$OQ20=0),"Controle sem dano: uma rodada a mais e CD +2",""),IF(AND($NP20&gt;0,AND($MF20&gt;0,$NT20=0),$OQ20&gt;0,$OQ20&lt;=$MF20),"Controle com saldo até a Classe: uma rodada a mais",""),IF(AND($MF20&gt;0,$NR20&lt;&gt;""),"Efeito de "&amp;$NR20&amp;" pela Classe "&amp;MAX(1,$MF20-1),"")))</f>
        <v/>
      </c>
      <c r="PJ20" s="152">
        <f>IF($PI20="",0,(LEN($PI20)-LEN(SUBSTITUTE($PI20," · ","")))/3+1)</f>
        <v/>
      </c>
      <c r="PK20" s="152">
        <f>IF($MQ20=0,IF($OH20+COUNTIF($MO20:$MP20,"?*")&gt;0,"Dê um nome",""),IF($PH20&gt;0,"⚠ "&amp;$PH20&amp;IF($PH20&gt;1," erros"," erro"),IF($PJ20&gt;0,"! "&amp;$PJ20&amp;IF($PJ20&gt;1," avisos"," aviso"),"Na regra")))</f>
        <v/>
      </c>
      <c r="PL20" s="152">
        <f>IF($MQ20=0,"",IF($PH20+$PJ20=0,"Dentro das regras que a ficha confere",$PG20&amp;IF(AND($PH20&gt;0,$PJ20&gt;0)," · ","")&amp;$PI20))</f>
        <v/>
      </c>
      <c r="PM20" s="152">
        <f>IF($MD20&gt;$MR20,$ME20&amp;" · ABRE NO NÍVEL "&amp;$MD20,$ME20)</f>
        <v/>
      </c>
      <c r="PN20" s="152">
        <f>IF($MQ20=0,"",IF($MF20=0,"Sem PE",3*$MF20&amp;" PE"))</f>
        <v/>
      </c>
      <c r="PO20" s="152">
        <f>IF($MQ20=0,"",IF($MF20=0,"A atuação básica dela",IF(COUNTIF($NX20:$NY20,"Atrasar")&gt;0,"Sua Ação Completa",IF(COUNTIF($MK20:$MN20,"Rápido")&gt;0,"Sua Bônus",IF(COUNTIF($MK20:$MN20,"Reação")&gt;0,"Sua Reação","Sua Padrão")))&amp;" + a básica dela"&amp;IF(COUNTIF($MK20:$MN20,"Reação")&gt;0," e a coletiva","")&amp;IF(COUNTIF($NX20:$NY20,"Carregar")&gt;0," · em dois turnos","")))</f>
        <v/>
      </c>
      <c r="PP20" s="152">
        <f>IF($MJ20&lt;&gt;"",$MJ20,IF($MW20=0,"",INDEX($AA$2:$AA$11,$MW20)))</f>
        <v/>
      </c>
      <c r="PQ20" s="152">
        <f>IF(OR($MQ20=0,$MW20=0),"",IF(COUNTIF($MK20:$MN20,"Inescapável")&gt;0,"Automático",IF($PP20="Ataque",IF($MU20="","Ataque","Ataque "&amp;IF(($MU20+2*IF(COUNTIF($MK20:$MN20,"Precisão")&gt;0,1,0))&gt;=0,"+","−")&amp;ABS(($MU20+2*IF(COUNTIF($MK20:$MN20,"Precisão")&gt;0,1,0))))&amp;IF($NQ20&gt;0," · TR"&amp;IF($MV20="",""," CD "&amp;$MV20),""),IF(LEFT($PP20,2)="TR",$PP20&amp;IF($MV20="",""," · CD "&amp;$MV20)&amp;IF(COUNTIF($MK20:$MN20,"Certeiro")&gt;0," · metade",""),"Sem rolagem"))))</f>
        <v/>
      </c>
      <c r="PR20" s="152">
        <f>IF(OR($MQ20=0,$MW20=0),"",IF($MF20=0,IF(OR($NT20&gt;=1,$OQ20=0),"Sem dano",$OQ20&amp;"d6"&amp;IF($MI20="",""," "&amp;$MI20)),IF(OR($NT20&gt;=1,$OQ20=0),UPPER(LEFT(INDEX($OZ20:$PF20,1,MAX(1,$MF20)),1))&amp;MID(INDEX($OZ20:$PF20,1,MAX(1,$MF20)),2,99),UPPER(LEFT(INDEX($OZ20:$PF20,1,MAX(1,$MF20)),1))&amp;MID(INDEX($OZ20:$PF20,1,MAX(1,$MF20)),2,99)&amp;IF($MI20="",""," "&amp;$MI20)&amp;IF($OR20&gt;0," · +"&amp;$OR20&amp;"d8",""))))</f>
        <v/>
      </c>
      <c r="PS20" s="152">
        <f>COUNTIF($MK20:$MN20,"Longe")+3*COUNTIF($MK20:$MN20,"Muito Longe")</f>
        <v/>
      </c>
      <c r="PT20" s="152">
        <f>COUNTIF($MK20:$MN20,"Maior")+3*COUNTIF($MK20:$MN20,"Muito Maior")</f>
        <v/>
      </c>
      <c r="PU20" s="152">
        <f>IF($MW20=0,0,CHOOSE(1+INDEX($AC$2:$AC$11,$MW20),0,$PS20,$PT20,$PS20+$PT20))</f>
        <v/>
      </c>
      <c r="PV20" s="152">
        <f>IF($MW20=0,0,CHOOSE(1+INDEX($AD$2:$AD$11,$MW20),0,$PS20,$PT20,$PS20+$PT20))</f>
        <v/>
      </c>
      <c r="PW20" s="152">
        <f>IF(OR($MQ20=0,$MW20=0),"",INDEX($AI$2:$AN$41,($MW20-1)*4+IF($MF20=0,1,IF($MF20&lt;=5,2,IF($MF20=6,3,4))),1+MIN(5,$PU20))&amp;INDEX($AO$2:$AT$41,($MW20-1)*4+IF($MF20=0,1,IF($MF20&lt;=5,2,IF($MF20=6,3,4))),1+MIN(5,$PV20))&amp;IF(INDEX($AE$2:$AE$11,$MW20)=1,IF(COUNTIF($MK20:$MN20,"Mais Um")&gt;0," · +"&amp;COUNTIF($MK20:$MN20,"Mais Um")&amp;IF(COUNTIF($MK20:$MN20,"Mais Um")&gt;1," alvos"," alvo"),"")&amp;IF(COUNTIF($MK20:$MN20,"Rajada")&gt;0,IF($MF20=0," · 1 tiro"," · "&amp;(MAX(1,$MF20-1)+1)&amp;" tiros"),""),""))</f>
        <v/>
      </c>
      <c r="PX20" s="152">
        <f>IF($MQ20=0,"",IF($MF20=0,$MT20&amp;"d6"&amp;IF($OH20&gt;0," − 1 = "&amp;$OQ20&amp;"d6"," da básica do nível "&amp;$MR20),$OO20&amp;" − "&amp;$OJ20&amp;" + "&amp;$OM20&amp;" = "&amp;$OP20&amp;" · teto "&amp;4*$MF20&amp;"d8"&amp;IF($NS20=1," · a Forma devolve "&amp;$MF20,"")&amp;IF($ON20&gt;0," · perde "&amp;$ON20,"")))</f>
        <v/>
      </c>
      <c r="PY20" s="152">
        <f>IF($MQ20=0,"",IF($MF20=0,"A básica não amplia: os dados dela sobem com o nível",IF($MF20&gt;=$MS20,"Já está na maior Classe que o nível liberou",TEXTJOIN(" · ",TRUE,IF(AND(2&gt;$MF20,2&lt;=$MS20),"2 → "&amp;$PA20&amp;", 6 PE",""),IF(AND(3&gt;$MF20,3&lt;=$MS20),"3 → "&amp;$PB20&amp;", 9 PE",""),IF(AND(4&gt;$MF20,4&lt;=$MS20),"4 → "&amp;$PC20&amp;", 12 PE",""),IF(AND(5&gt;$MF20,5&lt;=$MS20),"5 → "&amp;$PD20&amp;", 15 PE",""),IF(AND(6&gt;$MF20,6&lt;=$MS20),"6 → "&amp;$PE20&amp;", 18 PE",""),IF(AND(7&gt;$MF20,7&lt;=$MS20),"7 → "&amp;$PF20&amp;", 21 PE","")))))</f>
        <v/>
      </c>
      <c r="PZ20" s="152">
        <f>IF(OR($MQ20=0,$NB20=0),"",IF($MF20=0,"−1 dado","−"&amp;INDEX($I$2:$N$8,MAX(1,$MF20),MAX(1,$NG20))&amp;" · "&amp;CHOOSE(MAX(1,$NG20),"Leve","Média","Pesada","Leve · Livre","Média · Livre","Pesada · Livre")))</f>
        <v/>
      </c>
      <c r="QA20" s="152">
        <f>IF(OR($MQ20=0,$NC20=0),"",IF($MF20=0,"−1 dado","−"&amp;INDEX($I$2:$N$8,MAX(1,$MF20),MAX(1,$NH20))&amp;" · "&amp;CHOOSE(MAX(1,$NH20),"Leve","Média","Pesada","Leve · Livre","Média · Livre","Pesada · Livre")))</f>
        <v/>
      </c>
      <c r="QB20" s="152">
        <f>IF(OR($MQ20=0,$ND20=0),"",IF($MF20=0,"−1 dado","−"&amp;INDEX($I$2:$N$8,MAX(1,$MF20),MAX(1,$NI20))&amp;" · "&amp;CHOOSE(MAX(1,$NI20),"Leve","Média","Pesada","Leve · Livre","Média · Livre","Pesada · Livre")))</f>
        <v/>
      </c>
      <c r="QC20" s="152">
        <f>IF(OR($MQ20=0,$NE20=0),"",IF($MF20=0,"−1 dado","−"&amp;INDEX($I$2:$N$8,MAX(1,$MF20),MAX(1,$NJ20))&amp;" · "&amp;CHOOSE(MAX(1,$NJ20),"Leve","Média","Pesada","Leve · Livre","Média · Livre","Pesada · Livre")))</f>
        <v/>
      </c>
      <c r="QD20" s="152">
        <f>IF(OR($MQ20=0,$MO20=""),"",IF($MF20=0,"não devolve","+"&amp;IF($NV20=1,CEILING($MF20/2,1),$MF20)))</f>
        <v/>
      </c>
      <c r="QE20" s="152">
        <f>IF(OR($MQ20=0,$MP20=""),"",IF($MF20=0,"não devolve","+"&amp;IF($NW20=1,CEILING($MF20/2,1),$MF20)))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A21" s="152" t="n">
        <v>0</v>
      </c>
      <c r="BC21" s="150" t="inlineStr">
        <is>
          <t>Barulho</t>
        </is>
      </c>
      <c r="BD21" s="150" t="inlineStr">
        <is>
          <t>Barulho</t>
        </is>
      </c>
      <c r="BE21" s="152" t="n">
        <v>1</v>
      </c>
      <c r="BF21" s="152" t="n">
        <v>0</v>
      </c>
      <c r="BG21" s="150" t="inlineStr">
        <is>
          <t>Barulho</t>
        </is>
      </c>
      <c r="CA21" s="150" t="inlineStr">
        <is>
          <t>Enganação</t>
        </is>
      </c>
      <c r="CB21" s="150" t="inlineStr">
        <is>
          <t>Essência</t>
        </is>
      </c>
      <c r="JG21" s="152">
        <f>IF(OR($AW21="",COUNTIF($EF$2:$EJ$2,$AW21)&gt;0),$AV21,"")</f>
        <v/>
      </c>
      <c r="JH21" s="152">
        <f>IF(AND($AX21=1,OR($AW21="",COUNTIF($EF$2:$EJ$2,$AW21)&gt;0)),$AV21,"")</f>
        <v/>
      </c>
      <c r="JM21" s="152">
        <f>IF(OR($AW21="",COUNTIF($EF$3:$EJ$3,$AW21)&gt;0),$AV21,"")</f>
        <v/>
      </c>
      <c r="JN21" s="152">
        <f>IF(AND($AX21=1,OR($AW21="",COUNTIF($EF$3:$EJ$3,$AW21)&gt;0)),$AV21,"")</f>
        <v/>
      </c>
      <c r="JS21" s="152">
        <f>IF(OR($AW21="",COUNTIF($EF$4:$EJ$4,$AW21)&gt;0),$AV21,"")</f>
        <v/>
      </c>
      <c r="JT21" s="152">
        <f>IF(AND($AX21=1,OR($AW21="",COUNTIF($EF$4:$EJ$4,$AW21)&gt;0)),$AV21,"")</f>
        <v/>
      </c>
      <c r="JY21" s="152">
        <f>IF(OR($AW21="",COUNTIF($EF$5:$EJ$5,$AW21)&gt;0),$AV21,"")</f>
        <v/>
      </c>
      <c r="JZ21" s="152">
        <f>IF(AND($AX21=1,OR($AW21="",COUNTIF($EF$5:$EJ$5,$AW21)&gt;0)),$AV21,"")</f>
        <v/>
      </c>
      <c r="KE21" s="152">
        <f>IF(OR($AW21="",COUNTIF($EF$6:$EJ$6,$AW21)&gt;0),$AV21,"")</f>
        <v/>
      </c>
      <c r="KF21" s="152">
        <f>IF(AND($AX21=1,OR($AW21="",COUNTIF($EF$6:$EJ$6,$AW21)&gt;0)),$AV21,"")</f>
        <v/>
      </c>
      <c r="KK21" s="152">
        <f>IF(OR($AW21="",COUNTIF($EF$7:$EJ$7,$AW21)&gt;0),$AV21,"")</f>
        <v/>
      </c>
      <c r="KL21" s="152">
        <f>IF(AND($AX21=1,OR($AW21="",COUNTIF($EF$7:$EJ$7,$AW21)&gt;0)),$AV21,"")</f>
        <v/>
      </c>
      <c r="KQ21" s="152">
        <f>IF(OR($AW21="",COUNTIF($EF$8:$EJ$8,$AW21)&gt;0),$AV21,"")</f>
        <v/>
      </c>
      <c r="KR21" s="152">
        <f>IF(AND($AX21=1,OR($AW21="",COUNTIF($EF$8:$EJ$8,$AW21)&gt;0)),$AV21,"")</f>
        <v/>
      </c>
      <c r="KW21" s="152">
        <f>IF(OR($AW21="",COUNTIF($EF$9:$EJ$9,$AW21)&gt;0),$AV21,"")</f>
        <v/>
      </c>
      <c r="KX21" s="152">
        <f>IF(AND($AX21=1,OR($AW21="",COUNTIF($EF$9:$EJ$9,$AW21)&gt;0)),$AV21,"")</f>
        <v/>
      </c>
      <c r="LC21" s="152">
        <f>IF(OR($AW21="",COUNTIF($EF$10:$EJ$10,$AW21)&gt;0),$AV21,"")</f>
        <v/>
      </c>
      <c r="LD21" s="152">
        <f>IF(AND($AX21=1,OR($AW21="",COUNTIF($EF$10:$EJ$10,$AW21)&gt;0)),$AV21,"")</f>
        <v/>
      </c>
      <c r="LI21" s="152">
        <f>IF(OR($AW21="",COUNTIF($EF$11:$EJ$11,$AW21)&gt;0),$AV21,"")</f>
        <v/>
      </c>
      <c r="LJ21" s="152">
        <f>IF(AND($AX21=1,OR($AW21="",COUNTIF($EF$11:$EJ$11,$AW21)&gt;0)),$AV21,"")</f>
        <v/>
      </c>
      <c r="LO21" s="152">
        <f>IF(OR($AW21="",COUNTIF($EF$12:$EJ$12,$AW21)&gt;0),$AV21,"")</f>
        <v/>
      </c>
      <c r="LP21" s="152">
        <f>IF(AND($AX21=1,OR($AW21="",COUNTIF($EF$12:$EJ$12,$AW21)&gt;0)),$AV21,"")</f>
        <v/>
      </c>
      <c r="LU21" s="152">
        <f>IF(OR($AW21="",COUNTIF($EF$13:$EJ$13,$AW21)&gt;0),$AV21,"")</f>
        <v/>
      </c>
      <c r="LV21" s="152">
        <f>IF(AND($AX21=1,OR($AW21="",COUNTIF($EF$13:$EJ$13,$AW21)&gt;0)),$AV21,"")</f>
        <v/>
      </c>
      <c r="MA21" s="150" t="inlineStr">
        <is>
          <t>Ficha 2 · Especial 5</t>
        </is>
      </c>
      <c r="MB21" s="152" t="n">
        <v>2</v>
      </c>
      <c r="MC21" s="152" t="n">
        <v>1</v>
      </c>
      <c r="MD21" s="152" t="n">
        <v>16</v>
      </c>
      <c r="ME21" s="150" t="inlineStr">
        <is>
          <t>ESPECIAL 5</t>
        </is>
      </c>
      <c r="MF21" s="152">
        <f>MAX(1,MIN(7,N('INVOCAÇÕES'!$I$312)))</f>
        <v/>
      </c>
      <c r="MG21" s="152">
        <f>'INVOCAÇÕES'!$J$312&amp;""</f>
        <v/>
      </c>
      <c r="MH21" s="152">
        <f>'INVOCAÇÕES'!$I$317&amp;""</f>
        <v/>
      </c>
      <c r="MI21" s="152">
        <f>'INVOCAÇÕES'!$I$318&amp;""</f>
        <v/>
      </c>
      <c r="MJ21" s="152">
        <f>'INVOCAÇÕES'!$K$318&amp;""</f>
        <v/>
      </c>
      <c r="MK21" s="152">
        <f>'INVOCAÇÕES'!$J$321&amp;""</f>
        <v/>
      </c>
      <c r="ML21" s="152">
        <f>'INVOCAÇÕES'!$J$322&amp;""</f>
        <v/>
      </c>
      <c r="MM21" s="152">
        <f>'INVOCAÇÕES'!$J$323&amp;""</f>
        <v/>
      </c>
      <c r="MN21" s="152">
        <f>'INVOCAÇÕES'!$J$324&amp;""</f>
        <v/>
      </c>
      <c r="MO21" s="152">
        <f>'INVOCAÇÕES'!$J$325&amp;""</f>
        <v/>
      </c>
      <c r="MP21" s="152">
        <f>'INVOCAÇÕES'!$J$326&amp;""</f>
        <v/>
      </c>
      <c r="MQ21" s="152">
        <f>IF($MG21&lt;&gt;"",1,0)</f>
        <v/>
      </c>
      <c r="MR21" s="152">
        <f>INDEX($FI$2:$FI$13,$MB21)</f>
        <v/>
      </c>
      <c r="MS21" s="152">
        <f>INDEX($FJ$2:$FJ$13,$MB21)</f>
        <v/>
      </c>
      <c r="MT21" s="152">
        <f>INDEX($FK$2:$FK$13,$MB21)</f>
        <v/>
      </c>
      <c r="MU21" s="152">
        <f>INDEX($FV$2:$FV$13,$MB21)</f>
        <v/>
      </c>
      <c r="MV21" s="152">
        <f>INDEX($FW$2:$FW$13,$MB21)</f>
        <v/>
      </c>
      <c r="MW21" s="152">
        <f>IFERROR(MATCH($MH21,$V$2:$V$11,0),0)</f>
        <v/>
      </c>
      <c r="MX21" s="152">
        <f>IFERROR(VLOOKUP($MK21,$AV$2:$BA$84,2,FALSE),"")</f>
        <v/>
      </c>
      <c r="MY21" s="152">
        <f>IFERROR(VLOOKUP($ML21,$AV$2:$BA$84,2,FALSE),"")</f>
        <v/>
      </c>
      <c r="MZ21" s="152">
        <f>IFERROR(VLOOKUP($MM21,$AV$2:$BA$84,2,FALSE),"")</f>
        <v/>
      </c>
      <c r="NA21" s="152">
        <f>IFERROR(VLOOKUP($MN21,$AV$2:$BA$84,2,FALSE),"")</f>
        <v/>
      </c>
      <c r="NB21" s="152">
        <f>IFERROR(VLOOKUP($MK21,$AV$2:$BA$84,3,FALSE),0)</f>
        <v/>
      </c>
      <c r="NC21" s="152">
        <f>IFERROR(VLOOKUP($ML21,$AV$2:$BA$84,3,FALSE),0)</f>
        <v/>
      </c>
      <c r="ND21" s="152">
        <f>IFERROR(VLOOKUP($MM21,$AV$2:$BA$84,3,FALSE),0)</f>
        <v/>
      </c>
      <c r="NE21" s="152">
        <f>IFERROR(VLOOKUP($MN21,$AV$2:$BA$84,3,FALSE),0)</f>
        <v/>
      </c>
      <c r="NF21" s="152">
        <f>IF($MF21=0,0,IF($MW21=0,0,INDEX($X$2:$X$11,$MW21)))</f>
        <v/>
      </c>
      <c r="NG21" s="152">
        <f>IF(OR($NB21=0,$MF21=0),0,$NB21+3*IF(AND($MX21&lt;&gt;"",OR($MX21=INDEX($EF$2:$EF$13,$MB21),$MX21=INDEX($EG$2:$EG$13,$MB21))),1,0))</f>
        <v/>
      </c>
      <c r="NH21" s="152">
        <f>IF(OR($NC21=0,$MF21=0),0,$NC21+3*IF(AND($MY21&lt;&gt;"",OR($MY21=INDEX($EF$2:$EF$13,$MB21),$MY21=INDEX($EG$2:$EG$13,$MB21))),1,0))</f>
        <v/>
      </c>
      <c r="NI21" s="152">
        <f>IF(OR($ND21=0,$MF21=0),0,$ND21+3*IF(AND($MZ21&lt;&gt;"",OR($MZ21=INDEX($EF$2:$EF$13,$MB21),$MZ21=INDEX($EG$2:$EG$13,$MB21))),1,0))</f>
        <v/>
      </c>
      <c r="NJ21" s="152">
        <f>IF(OR($NE21=0,$MF21=0),0,$NE21+3*IF(AND($NA21&lt;&gt;"",OR($NA21=INDEX($EF$2:$EF$13,$MB21),$NA21=INDEX($EG$2:$EG$13,$MB21))),1,0))</f>
        <v/>
      </c>
      <c r="NK21" s="152">
        <f>IF($MW21=0,0,IF(INDEX($W$2:$W$11,$MW21)="",0,IF(COUNTIF(INDEX($EF$2:$EJ$13,$MB21,0),INDEX($W$2:$W$11,$MW21))=0,1,0)))</f>
        <v/>
      </c>
      <c r="NL21" s="152">
        <f>IF(OR($NB21=0,$MX21=""),0,IF(COUNTIF(INDEX($EF$2:$EJ$13,$MB21,0),$MX21)=0,1,0))</f>
        <v/>
      </c>
      <c r="NM21" s="152">
        <f>IF(OR($NC21=0,$MY21=""),0,IF(COUNTIF(INDEX($EF$2:$EJ$13,$MB21,0),$MY21)=0,1,0))</f>
        <v/>
      </c>
      <c r="NN21" s="152">
        <f>IF(OR($ND21=0,$MZ21=""),0,IF(COUNTIF(INDEX($EF$2:$EJ$13,$MB21,0),$MZ21)=0,1,0))</f>
        <v/>
      </c>
      <c r="NO21" s="152">
        <f>IF(OR($NE21=0,$NA21=""),0,IF(COUNTIF(INDEX($EF$2:$EJ$13,$MB21,0),$NA21)=0,1,0))</f>
        <v/>
      </c>
      <c r="NP21" s="152">
        <f>IFERROR(VLOOKUP($MK21,$AV$2:$BA$84,4,FALSE),0)+IFERROR(VLOOKUP($ML21,$AV$2:$BA$84,4,FALSE),0)+IFERROR(VLOOKUP($MM21,$AV$2:$BA$84,4,FALSE),0)+IFERROR(VLOOKUP($MN21,$AV$2:$BA$84,4,FALSE),0)</f>
        <v/>
      </c>
      <c r="NQ21" s="152">
        <f>IFERROR(VLOOKUP($MK21,$AV$2:$BA$84,6,FALSE),0)+IFERROR(VLOOKUP($ML21,$AV$2:$BA$84,6,FALSE),0)+IFERROR(VLOOKUP($MM21,$AV$2:$BA$84,6,FALSE),0)+IFERROR(VLOOKUP($MN21,$AV$2:$BA$84,6,FALSE),0)</f>
        <v/>
      </c>
      <c r="NR21" s="152">
        <f>TEXTJOIN(", ",TRUE,IF(IFERROR(VLOOKUP($MK21,$AV$2:$BA$84,5,FALSE),0)=1,$MK21,""),IF(IFERROR(VLOOKUP($ML21,$AV$2:$BA$84,5,FALSE),0)=1,$ML21,""),IF(IFERROR(VLOOKUP($MM21,$AV$2:$BA$84,5,FALSE),0)=1,$MM21,""),IF(IFERROR(VLOOKUP($MN21,$AV$2:$BA$84,5,FALSE),0)=1,$MN21,""))</f>
        <v/>
      </c>
      <c r="NS21" s="152">
        <f>IF($MW21=0,0,INDEX($Y$2:$Y$11,$MW21))</f>
        <v/>
      </c>
      <c r="NT21" s="152">
        <f>IF($MW21=0,0,INDEX($Z$2:$Z$11,$MW21))</f>
        <v/>
      </c>
      <c r="NU21" s="152">
        <f>IF($MW21=0,0,INDEX($AB$2:$AB$11,$MW21))</f>
        <v/>
      </c>
      <c r="NV21" s="152">
        <f>IFERROR(VLOOKUP($MO21,$BC$2:$BG$24,3,FALSE),0)</f>
        <v/>
      </c>
      <c r="NW21" s="152">
        <f>IFERROR(VLOOKUP($MP21,$BC$2:$BG$24,3,FALSE),0)</f>
        <v/>
      </c>
      <c r="NX21" s="152">
        <f>IFERROR(VLOOKUP($MO21,$BC$2:$BG$24,2,FALSE),"")</f>
        <v/>
      </c>
      <c r="NY21" s="152">
        <f>IFERROR(VLOOKUP($MP21,$BC$2:$BG$24,2,FALSE),"")</f>
        <v/>
      </c>
      <c r="NZ21" s="152">
        <f>COUNTIF($NF21:$NJ21,1)</f>
        <v/>
      </c>
      <c r="OA21" s="152">
        <f>COUNTIF($NF21:$NJ21,2)</f>
        <v/>
      </c>
      <c r="OB21" s="152">
        <f>COUNTIF($NF21:$NJ21,3)</f>
        <v/>
      </c>
      <c r="OC21" s="152">
        <f>COUNTIF($NF21:$NJ21,4)</f>
        <v/>
      </c>
      <c r="OD21" s="152">
        <f>COUNTIF($NF21:$NJ21,5)</f>
        <v/>
      </c>
      <c r="OE21" s="152">
        <f>COUNTIF($NF21:$NJ21,6)</f>
        <v/>
      </c>
      <c r="OF21" s="152">
        <f>COUNTIF($NV21:$NW21,1)</f>
        <v/>
      </c>
      <c r="OG21" s="152">
        <f>COUNTIF($NV21:$NW21,2)+$NS21</f>
        <v/>
      </c>
      <c r="OH21" s="152">
        <f>COUNTIF($MK21:$MN21,"?*")</f>
        <v/>
      </c>
      <c r="OI21" s="152">
        <f>COUNTIF($MO21:$MP21,"?*")+$NS21</f>
        <v/>
      </c>
      <c r="OJ21" s="152">
        <f>IF($MF21=0,0,SUMPRODUCT($NZ21:$OE21,INDEX($I$2:$N$8,MAX(1,$MF21),0)))</f>
        <v/>
      </c>
      <c r="OK21" s="152">
        <f>IF($MF21=0,0,$OF21*CEILING($MF21/2,1)+$OG21*$MF21)</f>
        <v/>
      </c>
      <c r="OL21" s="152">
        <f>MIN(2*$MF21,$OK21)</f>
        <v/>
      </c>
      <c r="OM21" s="152">
        <f>MIN($OL21,$OJ21)</f>
        <v/>
      </c>
      <c r="ON21" s="152">
        <f>$OL21-$OM21</f>
        <v/>
      </c>
      <c r="OO21" s="152">
        <f>IF($MF21=0,0,INDEX($P$2:$P$8,MAX(1,$MF21)))</f>
        <v/>
      </c>
      <c r="OP21" s="152">
        <f>$OO21-$OJ21+$OM21</f>
        <v/>
      </c>
      <c r="OQ21" s="152">
        <f>IF($MF21=0,MAX(0,$MT21-IF($OH21&gt;0,1,0)),MAX(0,$OP21))</f>
        <v/>
      </c>
      <c r="OR21" s="152">
        <f>IF($MF21=0,0,(IF(COUNTIF($MK21:$MN21,"Salto")&gt;0,1,0)+IF(COUNTIF($MK21:$MN21,"Queima")&gt;0,1,0)+IF(COUNTIF($MK21:$MN21,"Estilhaço")&gt;0,1,0))*FLOOR($OQ21/2,1))</f>
        <v/>
      </c>
      <c r="OS21" s="152">
        <f>MAX(0,2-SUMPRODUCT($NZ21:$OE21,$I$2:$N$2)+MIN(2,$OF21*1+$OG21*1,SUMPRODUCT($NZ21:$OE21,$I$2:$N$2)))</f>
        <v/>
      </c>
      <c r="OT21" s="152">
        <f>MAX(0,4-SUMPRODUCT($NZ21:$OE21,$I$3:$N$3)+MIN(4,$OF21*1+$OG21*2,SUMPRODUCT($NZ21:$OE21,$I$3:$N$3)))</f>
        <v/>
      </c>
      <c r="OU21" s="152">
        <f>MAX(0,6-SUMPRODUCT($NZ21:$OE21,$I$4:$N$4)+MIN(6,$OF21*2+$OG21*3,SUMPRODUCT($NZ21:$OE21,$I$4:$N$4)))</f>
        <v/>
      </c>
      <c r="OV21" s="152">
        <f>MAX(0,9-SUMPRODUCT($NZ21:$OE21,$I$5:$N$5)+MIN(8,$OF21*2+$OG21*4,SUMPRODUCT($NZ21:$OE21,$I$5:$N$5)))</f>
        <v/>
      </c>
      <c r="OW21" s="152">
        <f>MAX(0,11-SUMPRODUCT($NZ21:$OE21,$I$6:$N$6)+MIN(10,$OF21*3+$OG21*5,SUMPRODUCT($NZ21:$OE21,$I$6:$N$6)))</f>
        <v/>
      </c>
      <c r="OX21" s="152">
        <f>MAX(0,13-SUMPRODUCT($NZ21:$OE21,$I$7:$N$7)+MIN(12,$OF21*3+$OG21*6,SUMPRODUCT($NZ21:$OE21,$I$7:$N$7)))</f>
        <v/>
      </c>
      <c r="OY21" s="152">
        <f>MAX(0,16-SUMPRODUCT($NZ21:$OE21,$I$8:$N$8)+MIN(14,$OF21*4+$OG21*7,SUMPRODUCT($NZ21:$OE21,$I$8:$N$8)))</f>
        <v/>
      </c>
      <c r="OZ21" s="152">
        <f>IF($NT21=2,3*$OS21&amp;" de vida temp.",IF($NT21=3,"sem dano",IF($OS21=0,IF($NT21=1,"sem cura","sem dano"),IF($NT21=1,"cura ","")&amp;$OS21&amp;"d8")))</f>
        <v/>
      </c>
      <c r="PA21" s="152">
        <f>IF($NT21=2,3*$OT21&amp;" de vida temp.",IF($NT21=3,"sem dano",IF($OT21=0,IF($NT21=1,"sem cura","sem dano"),IF($NT21=1,"cura ","")&amp;$OT21&amp;"d8")))</f>
        <v/>
      </c>
      <c r="PB21" s="152">
        <f>IF($NT21=2,3*$OU21&amp;" de vida temp.",IF($NT21=3,"sem dano",IF($OU21=0,IF($NT21=1,"sem cura","sem dano"),IF($NT21=1,"cura ","")&amp;$OU21&amp;"d8")))</f>
        <v/>
      </c>
      <c r="PC21" s="152">
        <f>IF($NT21=2,3*$OV21&amp;" de vida temp.",IF($NT21=3,"sem dano",IF($OV21=0,IF($NT21=1,"sem cura","sem dano"),IF($NT21=1,"cura ","")&amp;$OV21&amp;"d8")))</f>
        <v/>
      </c>
      <c r="PD21" s="152">
        <f>IF($NT21=2,3*$OW21&amp;" de vida temp.",IF($NT21=3,"sem dano",IF($OW21=0,IF($NT21=1,"sem cura","sem dano"),IF($NT21=1,"cura ","")&amp;$OW21&amp;"d8")))</f>
        <v/>
      </c>
      <c r="PE21" s="152">
        <f>IF($NT21=2,3*$OX21&amp;" de vida temp.",IF($NT21=3,"sem dano",IF($OX21=0,IF($NT21=1,"sem cura","sem dano"),IF($NT21=1,"cura ","")&amp;$OX21&amp;"d8")))</f>
        <v/>
      </c>
      <c r="PF21" s="152">
        <f>IF($NT21=2,3*$OY21&amp;" de vida temp.",IF($NT21=3,"sem dano",IF($OY21=0,IF($NT21=1,"sem cura","sem dano"),IF($NT21=1,"cura ","")&amp;$OY21&amp;"d8")))</f>
        <v/>
      </c>
      <c r="PG21" s="152">
        <f>IF($MQ21=0,"",TEXTJOIN(" · ",TRUE,IF($MD21&gt;$MR21,"Este lugar abre no nível "&amp;$MD21,""),IF($MF21&gt;$MS21,"Classe "&amp;$MF21&amp;": o nível "&amp;$MR21&amp;" libera até a "&amp;$MS21,""),IF($NK21=1,"A Forma "&amp;$MH21&amp;" pede "&amp;INDEX($W$2:$W$11,$MW21)&amp;" aberta",""),IF(AND($MF21=0,$MW21&gt;0,IF($MW21=0,0,INDEX($AF$2:$AF$11,$MW21))=0),$MH21&amp;" não existe na Classe 0",""),IF($NL21=1,"Família Fechada: "&amp;$MK21,""),IF($NM21=1,"Família Fechada: "&amp;$ML21,""),IF($NN21=1,"Família Fechada: "&amp;$MM21,""),IF($NO21=1,"Família Fechada: "&amp;$MN21,""),IF(AND($MF21&gt;0,$OH21&gt;INDEX($O$2:$O$8,MAX(1,$MF21))),$OH21&amp;" Melhorias: a Classe "&amp;$MF21&amp;" aceita "&amp;INDEX($O$2:$O$8,MAX(1,$MF21)),""),IF(AND($MF21=0,$OH21&gt;1),"A básica aceita uma Melhoria",""),IF(AND($MF21=0,COUNTIF($NB21:$NE21,"&gt;1")&gt;0),"A básica só aceita Melhoria Leve",""),IF(AND($MF21&gt;0,$OI21&gt;2),$OI21&amp;" Restrições"&amp;IF($NS21=1,", contando a que a Forma "&amp;$MH21&amp;" já traz","")&amp;": o limite é 2",""),IF(AND($MF21=0,COUNTIF($MO21:$MP21,"?*")&gt;1),"A básica aceita uma Restrição Leve",""),IF(AND($MF21=0,COUNTIF($NV21:$NW21,2)&gt;0),"A básica só aceita Restrição Leve",""),IF(AND($MF21&gt;0,$OP21&lt;0),"Orçamento estourado: faltam "&amp;(-$OP21)&amp;IF($OP21&lt;-1," pontos"," ponto"),""),IF(IFERROR(VLOOKUP($MO21,$BC$2:$BG$24,4,FALSE),0)+IFERROR(VLOOKUP($MP21,$BC$2:$BG$24,4,FALSE),0)&gt;1,$NX21&amp;" e "&amp;$NY21&amp;" são as duas de frequência",""),IF(AND((COUNTIF($MK21:$MN21,"Rápido")+COUNTIF($NX21:$NY21,"Rápido"))&gt;0,(COUNTIF($MK21:$MN21,"Atrasar")+COUNTIF($NX21:$NY21,"Atrasar"))&gt;0),"Rápido não entra com Atrasar",""),IF(AND((COUNTIF($MK21:$MN21,"Reação")+COUNTIF($NX21:$NY21,"Reação"))&gt;0,(COUNTIF($MK21:$MN21,"Rápido")+COUNTIF($NX21:$NY21,"Rápido"))&gt;0),"Reação não entra com Rápido",""),IF(AND((COUNTIF($MK21:$MN21,"Reação")+COUNTIF($NX21:$NY21,"Reação"))&gt;0,(COUNTIF($MK21:$MN21,"Armado")+COUNTIF($NX21:$NY21,"Armado"))&gt;0),"Reação não entra com Armado",""),IF(AND((COUNTIF($MK21:$MN21,"Reação")+COUNTIF($NX21:$NY21,"Reação"))&gt;0,(COUNTIF($MK21:$MN21,"Atrasar")+COUNTIF($NX21:$NY21,"Atrasar"))&gt;0),"Reação não entra com Atrasar",""),IF(AND((COUNTIF($MK21:$MN21,"Reação")+COUNTIF($NX21:$NY21,"Reação"))&gt;0,(COUNTIF($MK21:$MN21,"Parado")+COUNTIF($NX21:$NY21,"Parado"))&gt;0),"Reação não entra com Parado",""),IF(AND((COUNTIF($MK21:$MN21,"Atrasar")+COUNTIF($NX21:$NY21,"Atrasar"))&gt;0,(COUNTIF($MK21:$MN21,"Parado")+COUNTIF($NX21:$NY21,"Parado"))&gt;0),"Atrasar não entra com Parado",""),IF(AND((COUNTIF($MK21:$MN21,"Armado")+COUNTIF($NX21:$NY21,"Armado"))&gt;0,(COUNTIF($MK21:$MN21,"Carregar")+COUNTIF($NX21:$NY21,"Carregar"))&gt;0),"Armado não entra com Carregar",""),IF(AND(COUNTIF($NX21:$NY21,"Corpo a Corpo")&gt;0,$NS21=0,OR($MH21="Cone",$MH21="Linha")),"Corpo a Corpo não entra em "&amp;$MH21,""),IF(AND(COUNTIF($NX21:$NY21,"Corpo a Corpo")&gt;0,$NS21=1),"A Forma "&amp;$MH21&amp;" já traz o Corpo a Corpo",""),IF(AND(COUNTIF($NX21:$NY21,"Tudo ou Nada")&gt;0,$NU21=0),"Tudo ou Nada só entra em habilidade de Teste de Resistência",""),IF(AND(COUNTIF($MK21:$MN21,"Inescapável")&gt;0,OR($OH21&gt;1,$OI21&gt;0)),"Inescapável não aceita outra peça",""),IF(AND($MF21&gt;0,$OQ21*IF(COUNTIF($MK21:$MN21,"Remate")&gt;0,1.25,1)+$OR21&gt;4*$MF21),($OQ21*IF(COUNTIF($MK21:$MN21,"Remate")&gt;0,1.25,1)+$OR21)&amp;" dados somando repetições"&amp;IF(COUNTIF($MK21:$MN21,"Remate")&gt;0," e o Remate","")&amp;": o teto da Classe "&amp;$MF21&amp;" é "&amp;4*$MF21,"")))</f>
        <v/>
      </c>
      <c r="PH21" s="152">
        <f>IF($PG21="",0,(LEN($PG21)-LEN(SUBSTITUTE($PG21," · ","")))/3+1)</f>
        <v/>
      </c>
      <c r="PI21" s="152">
        <f>IF($MQ21=0,"",TEXTJOIN(" · ",TRUE,IF($OK21&gt;2*$MF21,"A devolução parou no teto de "&amp;2*$MF21,""),IF($ON21&gt;0,"Devolução perdida: "&amp;$ON21&amp;IF($ON21&gt;1," pontos"," ponto")&amp;" sem peça para pagar",""),IF(AND($NP21&gt;0,AND($MF21&gt;0,$NT21=0),$OQ21=0),"Controle sem dano: uma rodada a mais e CD +2",""),IF(AND($NP21&gt;0,AND($MF21&gt;0,$NT21=0),$OQ21&gt;0,$OQ21&lt;=$MF21),"Controle com saldo até a Classe: uma rodada a mais",""),IF(AND($MF21&gt;0,$NR21&lt;&gt;""),"Efeito de "&amp;$NR21&amp;" pela Classe "&amp;MAX(1,$MF21-1),"")))</f>
        <v/>
      </c>
      <c r="PJ21" s="152">
        <f>IF($PI21="",0,(LEN($PI21)-LEN(SUBSTITUTE($PI21," · ","")))/3+1)</f>
        <v/>
      </c>
      <c r="PK21" s="152">
        <f>IF($MQ21=0,IF($OH21+COUNTIF($MO21:$MP21,"?*")&gt;0,"Dê um nome",""),IF($PH21&gt;0,"⚠ "&amp;$PH21&amp;IF($PH21&gt;1," erros"," erro"),IF($PJ21&gt;0,"! "&amp;$PJ21&amp;IF($PJ21&gt;1," avisos"," aviso"),"Na regra")))</f>
        <v/>
      </c>
      <c r="PL21" s="152">
        <f>IF($MQ21=0,"",IF($PH21+$PJ21=0,"Dentro das regras que a ficha confere",$PG21&amp;IF(AND($PH21&gt;0,$PJ21&gt;0)," · ","")&amp;$PI21))</f>
        <v/>
      </c>
      <c r="PM21" s="152">
        <f>IF($MD21&gt;$MR21,$ME21&amp;" · ABRE NO NÍVEL "&amp;$MD21,$ME21)</f>
        <v/>
      </c>
      <c r="PN21" s="152">
        <f>IF($MQ21=0,"",IF($MF21=0,"Sem PE",3*$MF21&amp;" PE"))</f>
        <v/>
      </c>
      <c r="PO21" s="152">
        <f>IF($MQ21=0,"",IF($MF21=0,"A atuação básica dela",IF(COUNTIF($NX21:$NY21,"Atrasar")&gt;0,"Sua Ação Completa",IF(COUNTIF($MK21:$MN21,"Rápido")&gt;0,"Sua Bônus",IF(COUNTIF($MK21:$MN21,"Reação")&gt;0,"Sua Reação","Sua Padrão")))&amp;" + a básica dela"&amp;IF(COUNTIF($MK21:$MN21,"Reação")&gt;0," e a coletiva","")&amp;IF(COUNTIF($NX21:$NY21,"Carregar")&gt;0," · em dois turnos","")))</f>
        <v/>
      </c>
      <c r="PP21" s="152">
        <f>IF($MJ21&lt;&gt;"",$MJ21,IF($MW21=0,"",INDEX($AA$2:$AA$11,$MW21)))</f>
        <v/>
      </c>
      <c r="PQ21" s="152">
        <f>IF(OR($MQ21=0,$MW21=0),"",IF(COUNTIF($MK21:$MN21,"Inescapável")&gt;0,"Automático",IF($PP21="Ataque",IF($MU21="","Ataque","Ataque "&amp;IF(($MU21+2*IF(COUNTIF($MK21:$MN21,"Precisão")&gt;0,1,0))&gt;=0,"+","−")&amp;ABS(($MU21+2*IF(COUNTIF($MK21:$MN21,"Precisão")&gt;0,1,0))))&amp;IF($NQ21&gt;0," · TR"&amp;IF($MV21="",""," CD "&amp;$MV21),""),IF(LEFT($PP21,2)="TR",$PP21&amp;IF($MV21="",""," · CD "&amp;$MV21)&amp;IF(COUNTIF($MK21:$MN21,"Certeiro")&gt;0," · metade",""),"Sem rolagem"))))</f>
        <v/>
      </c>
      <c r="PR21" s="152">
        <f>IF(OR($MQ21=0,$MW21=0),"",IF($MF21=0,IF(OR($NT21&gt;=1,$OQ21=0),"Sem dano",$OQ21&amp;"d6"&amp;IF($MI21="",""," "&amp;$MI21)),IF(OR($NT21&gt;=1,$OQ21=0),UPPER(LEFT(INDEX($OZ21:$PF21,1,MAX(1,$MF21)),1))&amp;MID(INDEX($OZ21:$PF21,1,MAX(1,$MF21)),2,99),UPPER(LEFT(INDEX($OZ21:$PF21,1,MAX(1,$MF21)),1))&amp;MID(INDEX($OZ21:$PF21,1,MAX(1,$MF21)),2,99)&amp;IF($MI21="",""," "&amp;$MI21)&amp;IF($OR21&gt;0," · +"&amp;$OR21&amp;"d8",""))))</f>
        <v/>
      </c>
      <c r="PS21" s="152">
        <f>COUNTIF($MK21:$MN21,"Longe")+3*COUNTIF($MK21:$MN21,"Muito Longe")</f>
        <v/>
      </c>
      <c r="PT21" s="152">
        <f>COUNTIF($MK21:$MN21,"Maior")+3*COUNTIF($MK21:$MN21,"Muito Maior")</f>
        <v/>
      </c>
      <c r="PU21" s="152">
        <f>IF($MW21=0,0,CHOOSE(1+INDEX($AC$2:$AC$11,$MW21),0,$PS21,$PT21,$PS21+$PT21))</f>
        <v/>
      </c>
      <c r="PV21" s="152">
        <f>IF($MW21=0,0,CHOOSE(1+INDEX($AD$2:$AD$11,$MW21),0,$PS21,$PT21,$PS21+$PT21))</f>
        <v/>
      </c>
      <c r="PW21" s="152">
        <f>IF(OR($MQ21=0,$MW21=0),"",INDEX($AI$2:$AN$41,($MW21-1)*4+IF($MF21=0,1,IF($MF21&lt;=5,2,IF($MF21=6,3,4))),1+MIN(5,$PU21))&amp;INDEX($AO$2:$AT$41,($MW21-1)*4+IF($MF21=0,1,IF($MF21&lt;=5,2,IF($MF21=6,3,4))),1+MIN(5,$PV21))&amp;IF(INDEX($AE$2:$AE$11,$MW21)=1,IF(COUNTIF($MK21:$MN21,"Mais Um")&gt;0," · +"&amp;COUNTIF($MK21:$MN21,"Mais Um")&amp;IF(COUNTIF($MK21:$MN21,"Mais Um")&gt;1," alvos"," alvo"),"")&amp;IF(COUNTIF($MK21:$MN21,"Rajada")&gt;0,IF($MF21=0," · 1 tiro"," · "&amp;(MAX(1,$MF21-1)+1)&amp;" tiros"),""),""))</f>
        <v/>
      </c>
      <c r="PX21" s="152">
        <f>IF($MQ21=0,"",IF($MF21=0,$MT21&amp;"d6"&amp;IF($OH21&gt;0," − 1 = "&amp;$OQ21&amp;"d6"," da básica do nível "&amp;$MR21),$OO21&amp;" − "&amp;$OJ21&amp;" + "&amp;$OM21&amp;" = "&amp;$OP21&amp;" · teto "&amp;4*$MF21&amp;"d8"&amp;IF($NS21=1," · a Forma devolve "&amp;$MF21,"")&amp;IF($ON21&gt;0," · perde "&amp;$ON21,"")))</f>
        <v/>
      </c>
      <c r="PY21" s="152">
        <f>IF($MQ21=0,"",IF($MF21=0,"A básica não amplia: os dados dela sobem com o nível",IF($MF21&gt;=$MS21,"Já está na maior Classe que o nível liberou",TEXTJOIN(" · ",TRUE,IF(AND(2&gt;$MF21,2&lt;=$MS21),"2 → "&amp;$PA21&amp;", 6 PE",""),IF(AND(3&gt;$MF21,3&lt;=$MS21),"3 → "&amp;$PB21&amp;", 9 PE",""),IF(AND(4&gt;$MF21,4&lt;=$MS21),"4 → "&amp;$PC21&amp;", 12 PE",""),IF(AND(5&gt;$MF21,5&lt;=$MS21),"5 → "&amp;$PD21&amp;", 15 PE",""),IF(AND(6&gt;$MF21,6&lt;=$MS21),"6 → "&amp;$PE21&amp;", 18 PE",""),IF(AND(7&gt;$MF21,7&lt;=$MS21),"7 → "&amp;$PF21&amp;", 21 PE","")))))</f>
        <v/>
      </c>
      <c r="PZ21" s="152">
        <f>IF(OR($MQ21=0,$NB21=0),"",IF($MF21=0,"−1 dado","−"&amp;INDEX($I$2:$N$8,MAX(1,$MF21),MAX(1,$NG21))&amp;" · "&amp;CHOOSE(MAX(1,$NG21),"Leve","Média","Pesada","Leve · Livre","Média · Livre","Pesada · Livre")))</f>
        <v/>
      </c>
      <c r="QA21" s="152">
        <f>IF(OR($MQ21=0,$NC21=0),"",IF($MF21=0,"−1 dado","−"&amp;INDEX($I$2:$N$8,MAX(1,$MF21),MAX(1,$NH21))&amp;" · "&amp;CHOOSE(MAX(1,$NH21),"Leve","Média","Pesada","Leve · Livre","Média · Livre","Pesada · Livre")))</f>
        <v/>
      </c>
      <c r="QB21" s="152">
        <f>IF(OR($MQ21=0,$ND21=0),"",IF($MF21=0,"−1 dado","−"&amp;INDEX($I$2:$N$8,MAX(1,$MF21),MAX(1,$NI21))&amp;" · "&amp;CHOOSE(MAX(1,$NI21),"Leve","Média","Pesada","Leve · Livre","Média · Livre","Pesada · Livre")))</f>
        <v/>
      </c>
      <c r="QC21" s="152">
        <f>IF(OR($MQ21=0,$NE21=0),"",IF($MF21=0,"−1 dado","−"&amp;INDEX($I$2:$N$8,MAX(1,$MF21),MAX(1,$NJ21))&amp;" · "&amp;CHOOSE(MAX(1,$NJ21),"Leve","Média","Pesada","Leve · Livre","Média · Livre","Pesada · Livre")))</f>
        <v/>
      </c>
      <c r="QD21" s="152">
        <f>IF(OR($MQ21=0,$MO21=""),"",IF($MF21=0,"não devolve","+"&amp;IF($NV21=1,CEILING($MF21/2,1),$MF21)))</f>
        <v/>
      </c>
      <c r="QE21" s="152">
        <f>IF(OR($MQ21=0,$MP21=""),"",IF($MF21=0,"não devolve","+"&amp;IF($NW21=1,CEILING($MF21/2,1),$MF21)))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A22" s="152" t="n">
        <v>0</v>
      </c>
      <c r="BC22" s="150" t="inlineStr">
        <is>
          <t>Assinatura</t>
        </is>
      </c>
      <c r="BD22" s="150" t="inlineStr">
        <is>
          <t>Assinatura</t>
        </is>
      </c>
      <c r="BE22" s="152" t="n">
        <v>1</v>
      </c>
      <c r="BF22" s="152" t="n">
        <v>0</v>
      </c>
      <c r="BG22" s="150" t="inlineStr">
        <is>
          <t>Assinatura</t>
        </is>
      </c>
      <c r="CA22" s="150" t="inlineStr">
        <is>
          <t>Intimidação</t>
        </is>
      </c>
      <c r="CB22" s="150" t="inlineStr">
        <is>
          <t>Essência</t>
        </is>
      </c>
      <c r="JG22" s="152">
        <f>IF(OR($AW22="",COUNTIF($EF$2:$EJ$2,$AW22)&gt;0),$AV22,"")</f>
        <v/>
      </c>
      <c r="JH22" s="152">
        <f>IF(AND($AX22=1,OR($AW22="",COUNTIF($EF$2:$EJ$2,$AW22)&gt;0)),$AV22,"")</f>
        <v/>
      </c>
      <c r="JM22" s="152">
        <f>IF(OR($AW22="",COUNTIF($EF$3:$EJ$3,$AW22)&gt;0),$AV22,"")</f>
        <v/>
      </c>
      <c r="JN22" s="152">
        <f>IF(AND($AX22=1,OR($AW22="",COUNTIF($EF$3:$EJ$3,$AW22)&gt;0)),$AV22,"")</f>
        <v/>
      </c>
      <c r="JS22" s="152">
        <f>IF(OR($AW22="",COUNTIF($EF$4:$EJ$4,$AW22)&gt;0),$AV22,"")</f>
        <v/>
      </c>
      <c r="JT22" s="152">
        <f>IF(AND($AX22=1,OR($AW22="",COUNTIF($EF$4:$EJ$4,$AW22)&gt;0)),$AV22,"")</f>
        <v/>
      </c>
      <c r="JY22" s="152">
        <f>IF(OR($AW22="",COUNTIF($EF$5:$EJ$5,$AW22)&gt;0),$AV22,"")</f>
        <v/>
      </c>
      <c r="JZ22" s="152">
        <f>IF(AND($AX22=1,OR($AW22="",COUNTIF($EF$5:$EJ$5,$AW22)&gt;0)),$AV22,"")</f>
        <v/>
      </c>
      <c r="KE22" s="152">
        <f>IF(OR($AW22="",COUNTIF($EF$6:$EJ$6,$AW22)&gt;0),$AV22,"")</f>
        <v/>
      </c>
      <c r="KF22" s="152">
        <f>IF(AND($AX22=1,OR($AW22="",COUNTIF($EF$6:$EJ$6,$AW22)&gt;0)),$AV22,"")</f>
        <v/>
      </c>
      <c r="KK22" s="152">
        <f>IF(OR($AW22="",COUNTIF($EF$7:$EJ$7,$AW22)&gt;0),$AV22,"")</f>
        <v/>
      </c>
      <c r="KL22" s="152">
        <f>IF(AND($AX22=1,OR($AW22="",COUNTIF($EF$7:$EJ$7,$AW22)&gt;0)),$AV22,"")</f>
        <v/>
      </c>
      <c r="KQ22" s="152">
        <f>IF(OR($AW22="",COUNTIF($EF$8:$EJ$8,$AW22)&gt;0),$AV22,"")</f>
        <v/>
      </c>
      <c r="KR22" s="152">
        <f>IF(AND($AX22=1,OR($AW22="",COUNTIF($EF$8:$EJ$8,$AW22)&gt;0)),$AV22,"")</f>
        <v/>
      </c>
      <c r="KW22" s="152">
        <f>IF(OR($AW22="",COUNTIF($EF$9:$EJ$9,$AW22)&gt;0),$AV22,"")</f>
        <v/>
      </c>
      <c r="KX22" s="152">
        <f>IF(AND($AX22=1,OR($AW22="",COUNTIF($EF$9:$EJ$9,$AW22)&gt;0)),$AV22,"")</f>
        <v/>
      </c>
      <c r="LC22" s="152">
        <f>IF(OR($AW22="",COUNTIF($EF$10:$EJ$10,$AW22)&gt;0),$AV22,"")</f>
        <v/>
      </c>
      <c r="LD22" s="152">
        <f>IF(AND($AX22=1,OR($AW22="",COUNTIF($EF$10:$EJ$10,$AW22)&gt;0)),$AV22,"")</f>
        <v/>
      </c>
      <c r="LI22" s="152">
        <f>IF(OR($AW22="",COUNTIF($EF$11:$EJ$11,$AW22)&gt;0),$AV22,"")</f>
        <v/>
      </c>
      <c r="LJ22" s="152">
        <f>IF(AND($AX22=1,OR($AW22="",COUNTIF($EF$11:$EJ$11,$AW22)&gt;0)),$AV22,"")</f>
        <v/>
      </c>
      <c r="LO22" s="152">
        <f>IF(OR($AW22="",COUNTIF($EF$12:$EJ$12,$AW22)&gt;0),$AV22,"")</f>
        <v/>
      </c>
      <c r="LP22" s="152">
        <f>IF(AND($AX22=1,OR($AW22="",COUNTIF($EF$12:$EJ$12,$AW22)&gt;0)),$AV22,"")</f>
        <v/>
      </c>
      <c r="LU22" s="152">
        <f>IF(OR($AW22="",COUNTIF($EF$13:$EJ$13,$AW22)&gt;0),$AV22,"")</f>
        <v/>
      </c>
      <c r="LV22" s="152">
        <f>IF(AND($AX22=1,OR($AW22="",COUNTIF($EF$13:$EJ$13,$AW22)&gt;0)),$AV22,"")</f>
        <v/>
      </c>
      <c r="MA22" s="150" t="inlineStr">
        <is>
          <t>Ficha 2 · Especial 6</t>
        </is>
      </c>
      <c r="MB22" s="152" t="n">
        <v>2</v>
      </c>
      <c r="MC22" s="152" t="n">
        <v>1</v>
      </c>
      <c r="MD22" s="152" t="n">
        <v>20</v>
      </c>
      <c r="ME22" s="150" t="inlineStr">
        <is>
          <t>ESPECIAL 6</t>
        </is>
      </c>
      <c r="MF22" s="152">
        <f>MAX(1,MIN(7,N('INVOCAÇÕES'!$O$312)))</f>
        <v/>
      </c>
      <c r="MG22" s="152">
        <f>'INVOCAÇÕES'!$P$312&amp;""</f>
        <v/>
      </c>
      <c r="MH22" s="152">
        <f>'INVOCAÇÕES'!$O$317&amp;""</f>
        <v/>
      </c>
      <c r="MI22" s="152">
        <f>'INVOCAÇÕES'!$O$318&amp;""</f>
        <v/>
      </c>
      <c r="MJ22" s="152">
        <f>'INVOCAÇÕES'!$Q$318&amp;""</f>
        <v/>
      </c>
      <c r="MK22" s="152">
        <f>'INVOCAÇÕES'!$P$321&amp;""</f>
        <v/>
      </c>
      <c r="ML22" s="152">
        <f>'INVOCAÇÕES'!$P$322&amp;""</f>
        <v/>
      </c>
      <c r="MM22" s="152">
        <f>'INVOCAÇÕES'!$P$323&amp;""</f>
        <v/>
      </c>
      <c r="MN22" s="152">
        <f>'INVOCAÇÕES'!$P$324&amp;""</f>
        <v/>
      </c>
      <c r="MO22" s="152">
        <f>'INVOCAÇÕES'!$P$325&amp;""</f>
        <v/>
      </c>
      <c r="MP22" s="152">
        <f>'INVOCAÇÕES'!$P$326&amp;""</f>
        <v/>
      </c>
      <c r="MQ22" s="152">
        <f>IF($MG22&lt;&gt;"",1,0)</f>
        <v/>
      </c>
      <c r="MR22" s="152">
        <f>INDEX($FI$2:$FI$13,$MB22)</f>
        <v/>
      </c>
      <c r="MS22" s="152">
        <f>INDEX($FJ$2:$FJ$13,$MB22)</f>
        <v/>
      </c>
      <c r="MT22" s="152">
        <f>INDEX($FK$2:$FK$13,$MB22)</f>
        <v/>
      </c>
      <c r="MU22" s="152">
        <f>INDEX($FV$2:$FV$13,$MB22)</f>
        <v/>
      </c>
      <c r="MV22" s="152">
        <f>INDEX($FW$2:$FW$13,$MB22)</f>
        <v/>
      </c>
      <c r="MW22" s="152">
        <f>IFERROR(MATCH($MH22,$V$2:$V$11,0),0)</f>
        <v/>
      </c>
      <c r="MX22" s="152">
        <f>IFERROR(VLOOKUP($MK22,$AV$2:$BA$84,2,FALSE),"")</f>
        <v/>
      </c>
      <c r="MY22" s="152">
        <f>IFERROR(VLOOKUP($ML22,$AV$2:$BA$84,2,FALSE),"")</f>
        <v/>
      </c>
      <c r="MZ22" s="152">
        <f>IFERROR(VLOOKUP($MM22,$AV$2:$BA$84,2,FALSE),"")</f>
        <v/>
      </c>
      <c r="NA22" s="152">
        <f>IFERROR(VLOOKUP($MN22,$AV$2:$BA$84,2,FALSE),"")</f>
        <v/>
      </c>
      <c r="NB22" s="152">
        <f>IFERROR(VLOOKUP($MK22,$AV$2:$BA$84,3,FALSE),0)</f>
        <v/>
      </c>
      <c r="NC22" s="152">
        <f>IFERROR(VLOOKUP($ML22,$AV$2:$BA$84,3,FALSE),0)</f>
        <v/>
      </c>
      <c r="ND22" s="152">
        <f>IFERROR(VLOOKUP($MM22,$AV$2:$BA$84,3,FALSE),0)</f>
        <v/>
      </c>
      <c r="NE22" s="152">
        <f>IFERROR(VLOOKUP($MN22,$AV$2:$BA$84,3,FALSE),0)</f>
        <v/>
      </c>
      <c r="NF22" s="152">
        <f>IF($MF22=0,0,IF($MW22=0,0,INDEX($X$2:$X$11,$MW22)))</f>
        <v/>
      </c>
      <c r="NG22" s="152">
        <f>IF(OR($NB22=0,$MF22=0),0,$NB22+3*IF(AND($MX22&lt;&gt;"",OR($MX22=INDEX($EF$2:$EF$13,$MB22),$MX22=INDEX($EG$2:$EG$13,$MB22))),1,0))</f>
        <v/>
      </c>
      <c r="NH22" s="152">
        <f>IF(OR($NC22=0,$MF22=0),0,$NC22+3*IF(AND($MY22&lt;&gt;"",OR($MY22=INDEX($EF$2:$EF$13,$MB22),$MY22=INDEX($EG$2:$EG$13,$MB22))),1,0))</f>
        <v/>
      </c>
      <c r="NI22" s="152">
        <f>IF(OR($ND22=0,$MF22=0),0,$ND22+3*IF(AND($MZ22&lt;&gt;"",OR($MZ22=INDEX($EF$2:$EF$13,$MB22),$MZ22=INDEX($EG$2:$EG$13,$MB22))),1,0))</f>
        <v/>
      </c>
      <c r="NJ22" s="152">
        <f>IF(OR($NE22=0,$MF22=0),0,$NE22+3*IF(AND($NA22&lt;&gt;"",OR($NA22=INDEX($EF$2:$EF$13,$MB22),$NA22=INDEX($EG$2:$EG$13,$MB22))),1,0))</f>
        <v/>
      </c>
      <c r="NK22" s="152">
        <f>IF($MW22=0,0,IF(INDEX($W$2:$W$11,$MW22)="",0,IF(COUNTIF(INDEX($EF$2:$EJ$13,$MB22,0),INDEX($W$2:$W$11,$MW22))=0,1,0)))</f>
        <v/>
      </c>
      <c r="NL22" s="152">
        <f>IF(OR($NB22=0,$MX22=""),0,IF(COUNTIF(INDEX($EF$2:$EJ$13,$MB22,0),$MX22)=0,1,0))</f>
        <v/>
      </c>
      <c r="NM22" s="152">
        <f>IF(OR($NC22=0,$MY22=""),0,IF(COUNTIF(INDEX($EF$2:$EJ$13,$MB22,0),$MY22)=0,1,0))</f>
        <v/>
      </c>
      <c r="NN22" s="152">
        <f>IF(OR($ND22=0,$MZ22=""),0,IF(COUNTIF(INDEX($EF$2:$EJ$13,$MB22,0),$MZ22)=0,1,0))</f>
        <v/>
      </c>
      <c r="NO22" s="152">
        <f>IF(OR($NE22=0,$NA22=""),0,IF(COUNTIF(INDEX($EF$2:$EJ$13,$MB22,0),$NA22)=0,1,0))</f>
        <v/>
      </c>
      <c r="NP22" s="152">
        <f>IFERROR(VLOOKUP($MK22,$AV$2:$BA$84,4,FALSE),0)+IFERROR(VLOOKUP($ML22,$AV$2:$BA$84,4,FALSE),0)+IFERROR(VLOOKUP($MM22,$AV$2:$BA$84,4,FALSE),0)+IFERROR(VLOOKUP($MN22,$AV$2:$BA$84,4,FALSE),0)</f>
        <v/>
      </c>
      <c r="NQ22" s="152">
        <f>IFERROR(VLOOKUP($MK22,$AV$2:$BA$84,6,FALSE),0)+IFERROR(VLOOKUP($ML22,$AV$2:$BA$84,6,FALSE),0)+IFERROR(VLOOKUP($MM22,$AV$2:$BA$84,6,FALSE),0)+IFERROR(VLOOKUP($MN22,$AV$2:$BA$84,6,FALSE),0)</f>
        <v/>
      </c>
      <c r="NR22" s="152">
        <f>TEXTJOIN(", ",TRUE,IF(IFERROR(VLOOKUP($MK22,$AV$2:$BA$84,5,FALSE),0)=1,$MK22,""),IF(IFERROR(VLOOKUP($ML22,$AV$2:$BA$84,5,FALSE),0)=1,$ML22,""),IF(IFERROR(VLOOKUP($MM22,$AV$2:$BA$84,5,FALSE),0)=1,$MM22,""),IF(IFERROR(VLOOKUP($MN22,$AV$2:$BA$84,5,FALSE),0)=1,$MN22,""))</f>
        <v/>
      </c>
      <c r="NS22" s="152">
        <f>IF($MW22=0,0,INDEX($Y$2:$Y$11,$MW22))</f>
        <v/>
      </c>
      <c r="NT22" s="152">
        <f>IF($MW22=0,0,INDEX($Z$2:$Z$11,$MW22))</f>
        <v/>
      </c>
      <c r="NU22" s="152">
        <f>IF($MW22=0,0,INDEX($AB$2:$AB$11,$MW22))</f>
        <v/>
      </c>
      <c r="NV22" s="152">
        <f>IFERROR(VLOOKUP($MO22,$BC$2:$BG$24,3,FALSE),0)</f>
        <v/>
      </c>
      <c r="NW22" s="152">
        <f>IFERROR(VLOOKUP($MP22,$BC$2:$BG$24,3,FALSE),0)</f>
        <v/>
      </c>
      <c r="NX22" s="152">
        <f>IFERROR(VLOOKUP($MO22,$BC$2:$BG$24,2,FALSE),"")</f>
        <v/>
      </c>
      <c r="NY22" s="152">
        <f>IFERROR(VLOOKUP($MP22,$BC$2:$BG$24,2,FALSE),"")</f>
        <v/>
      </c>
      <c r="NZ22" s="152">
        <f>COUNTIF($NF22:$NJ22,1)</f>
        <v/>
      </c>
      <c r="OA22" s="152">
        <f>COUNTIF($NF22:$NJ22,2)</f>
        <v/>
      </c>
      <c r="OB22" s="152">
        <f>COUNTIF($NF22:$NJ22,3)</f>
        <v/>
      </c>
      <c r="OC22" s="152">
        <f>COUNTIF($NF22:$NJ22,4)</f>
        <v/>
      </c>
      <c r="OD22" s="152">
        <f>COUNTIF($NF22:$NJ22,5)</f>
        <v/>
      </c>
      <c r="OE22" s="152">
        <f>COUNTIF($NF22:$NJ22,6)</f>
        <v/>
      </c>
      <c r="OF22" s="152">
        <f>COUNTIF($NV22:$NW22,1)</f>
        <v/>
      </c>
      <c r="OG22" s="152">
        <f>COUNTIF($NV22:$NW22,2)+$NS22</f>
        <v/>
      </c>
      <c r="OH22" s="152">
        <f>COUNTIF($MK22:$MN22,"?*")</f>
        <v/>
      </c>
      <c r="OI22" s="152">
        <f>COUNTIF($MO22:$MP22,"?*")+$NS22</f>
        <v/>
      </c>
      <c r="OJ22" s="152">
        <f>IF($MF22=0,0,SUMPRODUCT($NZ22:$OE22,INDEX($I$2:$N$8,MAX(1,$MF22),0)))</f>
        <v/>
      </c>
      <c r="OK22" s="152">
        <f>IF($MF22=0,0,$OF22*CEILING($MF22/2,1)+$OG22*$MF22)</f>
        <v/>
      </c>
      <c r="OL22" s="152">
        <f>MIN(2*$MF22,$OK22)</f>
        <v/>
      </c>
      <c r="OM22" s="152">
        <f>MIN($OL22,$OJ22)</f>
        <v/>
      </c>
      <c r="ON22" s="152">
        <f>$OL22-$OM22</f>
        <v/>
      </c>
      <c r="OO22" s="152">
        <f>IF($MF22=0,0,INDEX($P$2:$P$8,MAX(1,$MF22)))</f>
        <v/>
      </c>
      <c r="OP22" s="152">
        <f>$OO22-$OJ22+$OM22</f>
        <v/>
      </c>
      <c r="OQ22" s="152">
        <f>IF($MF22=0,MAX(0,$MT22-IF($OH22&gt;0,1,0)),MAX(0,$OP22))</f>
        <v/>
      </c>
      <c r="OR22" s="152">
        <f>IF($MF22=0,0,(IF(COUNTIF($MK22:$MN22,"Salto")&gt;0,1,0)+IF(COUNTIF($MK22:$MN22,"Queima")&gt;0,1,0)+IF(COUNTIF($MK22:$MN22,"Estilhaço")&gt;0,1,0))*FLOOR($OQ22/2,1))</f>
        <v/>
      </c>
      <c r="OS22" s="152">
        <f>MAX(0,2-SUMPRODUCT($NZ22:$OE22,$I$2:$N$2)+MIN(2,$OF22*1+$OG22*1,SUMPRODUCT($NZ22:$OE22,$I$2:$N$2)))</f>
        <v/>
      </c>
      <c r="OT22" s="152">
        <f>MAX(0,4-SUMPRODUCT($NZ22:$OE22,$I$3:$N$3)+MIN(4,$OF22*1+$OG22*2,SUMPRODUCT($NZ22:$OE22,$I$3:$N$3)))</f>
        <v/>
      </c>
      <c r="OU22" s="152">
        <f>MAX(0,6-SUMPRODUCT($NZ22:$OE22,$I$4:$N$4)+MIN(6,$OF22*2+$OG22*3,SUMPRODUCT($NZ22:$OE22,$I$4:$N$4)))</f>
        <v/>
      </c>
      <c r="OV22" s="152">
        <f>MAX(0,9-SUMPRODUCT($NZ22:$OE22,$I$5:$N$5)+MIN(8,$OF22*2+$OG22*4,SUMPRODUCT($NZ22:$OE22,$I$5:$N$5)))</f>
        <v/>
      </c>
      <c r="OW22" s="152">
        <f>MAX(0,11-SUMPRODUCT($NZ22:$OE22,$I$6:$N$6)+MIN(10,$OF22*3+$OG22*5,SUMPRODUCT($NZ22:$OE22,$I$6:$N$6)))</f>
        <v/>
      </c>
      <c r="OX22" s="152">
        <f>MAX(0,13-SUMPRODUCT($NZ22:$OE22,$I$7:$N$7)+MIN(12,$OF22*3+$OG22*6,SUMPRODUCT($NZ22:$OE22,$I$7:$N$7)))</f>
        <v/>
      </c>
      <c r="OY22" s="152">
        <f>MAX(0,16-SUMPRODUCT($NZ22:$OE22,$I$8:$N$8)+MIN(14,$OF22*4+$OG22*7,SUMPRODUCT($NZ22:$OE22,$I$8:$N$8)))</f>
        <v/>
      </c>
      <c r="OZ22" s="152">
        <f>IF($NT22=2,3*$OS22&amp;" de vida temp.",IF($NT22=3,"sem dano",IF($OS22=0,IF($NT22=1,"sem cura","sem dano"),IF($NT22=1,"cura ","")&amp;$OS22&amp;"d8")))</f>
        <v/>
      </c>
      <c r="PA22" s="152">
        <f>IF($NT22=2,3*$OT22&amp;" de vida temp.",IF($NT22=3,"sem dano",IF($OT22=0,IF($NT22=1,"sem cura","sem dano"),IF($NT22=1,"cura ","")&amp;$OT22&amp;"d8")))</f>
        <v/>
      </c>
      <c r="PB22" s="152">
        <f>IF($NT22=2,3*$OU22&amp;" de vida temp.",IF($NT22=3,"sem dano",IF($OU22=0,IF($NT22=1,"sem cura","sem dano"),IF($NT22=1,"cura ","")&amp;$OU22&amp;"d8")))</f>
        <v/>
      </c>
      <c r="PC22" s="152">
        <f>IF($NT22=2,3*$OV22&amp;" de vida temp.",IF($NT22=3,"sem dano",IF($OV22=0,IF($NT22=1,"sem cura","sem dano"),IF($NT22=1,"cura ","")&amp;$OV22&amp;"d8")))</f>
        <v/>
      </c>
      <c r="PD22" s="152">
        <f>IF($NT22=2,3*$OW22&amp;" de vida temp.",IF($NT22=3,"sem dano",IF($OW22=0,IF($NT22=1,"sem cura","sem dano"),IF($NT22=1,"cura ","")&amp;$OW22&amp;"d8")))</f>
        <v/>
      </c>
      <c r="PE22" s="152">
        <f>IF($NT22=2,3*$OX22&amp;" de vida temp.",IF($NT22=3,"sem dano",IF($OX22=0,IF($NT22=1,"sem cura","sem dano"),IF($NT22=1,"cura ","")&amp;$OX22&amp;"d8")))</f>
        <v/>
      </c>
      <c r="PF22" s="152">
        <f>IF($NT22=2,3*$OY22&amp;" de vida temp.",IF($NT22=3,"sem dano",IF($OY22=0,IF($NT22=1,"sem cura","sem dano"),IF($NT22=1,"cura ","")&amp;$OY22&amp;"d8")))</f>
        <v/>
      </c>
      <c r="PG22" s="152">
        <f>IF($MQ22=0,"",TEXTJOIN(" · ",TRUE,IF($MD22&gt;$MR22,"Este lugar abre no nível "&amp;$MD22,""),IF($MF22&gt;$MS22,"Classe "&amp;$MF22&amp;": o nível "&amp;$MR22&amp;" libera até a "&amp;$MS22,""),IF($NK22=1,"A Forma "&amp;$MH22&amp;" pede "&amp;INDEX($W$2:$W$11,$MW22)&amp;" aberta",""),IF(AND($MF22=0,$MW22&gt;0,IF($MW22=0,0,INDEX($AF$2:$AF$11,$MW22))=0),$MH22&amp;" não existe na Classe 0",""),IF($NL22=1,"Família Fechada: "&amp;$MK22,""),IF($NM22=1,"Família Fechada: "&amp;$ML22,""),IF($NN22=1,"Família Fechada: "&amp;$MM22,""),IF($NO22=1,"Família Fechada: "&amp;$MN22,""),IF(AND($MF22&gt;0,$OH22&gt;INDEX($O$2:$O$8,MAX(1,$MF22))),$OH22&amp;" Melhorias: a Classe "&amp;$MF22&amp;" aceita "&amp;INDEX($O$2:$O$8,MAX(1,$MF22)),""),IF(AND($MF22=0,$OH22&gt;1),"A básica aceita uma Melhoria",""),IF(AND($MF22=0,COUNTIF($NB22:$NE22,"&gt;1")&gt;0),"A básica só aceita Melhoria Leve",""),IF(AND($MF22&gt;0,$OI22&gt;2),$OI22&amp;" Restrições"&amp;IF($NS22=1,", contando a que a Forma "&amp;$MH22&amp;" já traz","")&amp;": o limite é 2",""),IF(AND($MF22=0,COUNTIF($MO22:$MP22,"?*")&gt;1),"A básica aceita uma Restrição Leve",""),IF(AND($MF22=0,COUNTIF($NV22:$NW22,2)&gt;0),"A básica só aceita Restrição Leve",""),IF(AND($MF22&gt;0,$OP22&lt;0),"Orçamento estourado: faltam "&amp;(-$OP22)&amp;IF($OP22&lt;-1," pontos"," ponto"),""),IF(IFERROR(VLOOKUP($MO22,$BC$2:$BG$24,4,FALSE),0)+IFERROR(VLOOKUP($MP22,$BC$2:$BG$24,4,FALSE),0)&gt;1,$NX22&amp;" e "&amp;$NY22&amp;" são as duas de frequência",""),IF(AND((COUNTIF($MK22:$MN22,"Rápido")+COUNTIF($NX22:$NY22,"Rápido"))&gt;0,(COUNTIF($MK22:$MN22,"Atrasar")+COUNTIF($NX22:$NY22,"Atrasar"))&gt;0),"Rápido não entra com Atrasar",""),IF(AND((COUNTIF($MK22:$MN22,"Reação")+COUNTIF($NX22:$NY22,"Reação"))&gt;0,(COUNTIF($MK22:$MN22,"Rápido")+COUNTIF($NX22:$NY22,"Rápido"))&gt;0),"Reação não entra com Rápido",""),IF(AND((COUNTIF($MK22:$MN22,"Reação")+COUNTIF($NX22:$NY22,"Reação"))&gt;0,(COUNTIF($MK22:$MN22,"Armado")+COUNTIF($NX22:$NY22,"Armado"))&gt;0),"Reação não entra com Armado",""),IF(AND((COUNTIF($MK22:$MN22,"Reação")+COUNTIF($NX22:$NY22,"Reação"))&gt;0,(COUNTIF($MK22:$MN22,"Atrasar")+COUNTIF($NX22:$NY22,"Atrasar"))&gt;0),"Reação não entra com Atrasar",""),IF(AND((COUNTIF($MK22:$MN22,"Reação")+COUNTIF($NX22:$NY22,"Reação"))&gt;0,(COUNTIF($MK22:$MN22,"Parado")+COUNTIF($NX22:$NY22,"Parado"))&gt;0),"Reação não entra com Parado",""),IF(AND((COUNTIF($MK22:$MN22,"Atrasar")+COUNTIF($NX22:$NY22,"Atrasar"))&gt;0,(COUNTIF($MK22:$MN22,"Parado")+COUNTIF($NX22:$NY22,"Parado"))&gt;0),"Atrasar não entra com Parado",""),IF(AND((COUNTIF($MK22:$MN22,"Armado")+COUNTIF($NX22:$NY22,"Armado"))&gt;0,(COUNTIF($MK22:$MN22,"Carregar")+COUNTIF($NX22:$NY22,"Carregar"))&gt;0),"Armado não entra com Carregar",""),IF(AND(COUNTIF($NX22:$NY22,"Corpo a Corpo")&gt;0,$NS22=0,OR($MH22="Cone",$MH22="Linha")),"Corpo a Corpo não entra em "&amp;$MH22,""),IF(AND(COUNTIF($NX22:$NY22,"Corpo a Corpo")&gt;0,$NS22=1),"A Forma "&amp;$MH22&amp;" já traz o Corpo a Corpo",""),IF(AND(COUNTIF($NX22:$NY22,"Tudo ou Nada")&gt;0,$NU22=0),"Tudo ou Nada só entra em habilidade de Teste de Resistência",""),IF(AND(COUNTIF($MK22:$MN22,"Inescapável")&gt;0,OR($OH22&gt;1,$OI22&gt;0)),"Inescapável não aceita outra peça",""),IF(AND($MF22&gt;0,$OQ22*IF(COUNTIF($MK22:$MN22,"Remate")&gt;0,1.25,1)+$OR22&gt;4*$MF22),($OQ22*IF(COUNTIF($MK22:$MN22,"Remate")&gt;0,1.25,1)+$OR22)&amp;" dados somando repetições"&amp;IF(COUNTIF($MK22:$MN22,"Remate")&gt;0," e o Remate","")&amp;": o teto da Classe "&amp;$MF22&amp;" é "&amp;4*$MF22,"")))</f>
        <v/>
      </c>
      <c r="PH22" s="152">
        <f>IF($PG22="",0,(LEN($PG22)-LEN(SUBSTITUTE($PG22," · ","")))/3+1)</f>
        <v/>
      </c>
      <c r="PI22" s="152">
        <f>IF($MQ22=0,"",TEXTJOIN(" · ",TRUE,IF($OK22&gt;2*$MF22,"A devolução parou no teto de "&amp;2*$MF22,""),IF($ON22&gt;0,"Devolução perdida: "&amp;$ON22&amp;IF($ON22&gt;1," pontos"," ponto")&amp;" sem peça para pagar",""),IF(AND($NP22&gt;0,AND($MF22&gt;0,$NT22=0),$OQ22=0),"Controle sem dano: uma rodada a mais e CD +2",""),IF(AND($NP22&gt;0,AND($MF22&gt;0,$NT22=0),$OQ22&gt;0,$OQ22&lt;=$MF22),"Controle com saldo até a Classe: uma rodada a mais",""),IF(AND($MF22&gt;0,$NR22&lt;&gt;""),"Efeito de "&amp;$NR22&amp;" pela Classe "&amp;MAX(1,$MF22-1),"")))</f>
        <v/>
      </c>
      <c r="PJ22" s="152">
        <f>IF($PI22="",0,(LEN($PI22)-LEN(SUBSTITUTE($PI22," · ","")))/3+1)</f>
        <v/>
      </c>
      <c r="PK22" s="152">
        <f>IF($MQ22=0,IF($OH22+COUNTIF($MO22:$MP22,"?*")&gt;0,"Dê um nome",""),IF($PH22&gt;0,"⚠ "&amp;$PH22&amp;IF($PH22&gt;1," erros"," erro"),IF($PJ22&gt;0,"! "&amp;$PJ22&amp;IF($PJ22&gt;1," avisos"," aviso"),"Na regra")))</f>
        <v/>
      </c>
      <c r="PL22" s="152">
        <f>IF($MQ22=0,"",IF($PH22+$PJ22=0,"Dentro das regras que a ficha confere",$PG22&amp;IF(AND($PH22&gt;0,$PJ22&gt;0)," · ","")&amp;$PI22))</f>
        <v/>
      </c>
      <c r="PM22" s="152">
        <f>IF($MD22&gt;$MR22,$ME22&amp;" · ABRE NO NÍVEL "&amp;$MD22,$ME22)</f>
        <v/>
      </c>
      <c r="PN22" s="152">
        <f>IF($MQ22=0,"",IF($MF22=0,"Sem PE",3*$MF22&amp;" PE"))</f>
        <v/>
      </c>
      <c r="PO22" s="152">
        <f>IF($MQ22=0,"",IF($MF22=0,"A atuação básica dela",IF(COUNTIF($NX22:$NY22,"Atrasar")&gt;0,"Sua Ação Completa",IF(COUNTIF($MK22:$MN22,"Rápido")&gt;0,"Sua Bônus",IF(COUNTIF($MK22:$MN22,"Reação")&gt;0,"Sua Reação","Sua Padrão")))&amp;" + a básica dela"&amp;IF(COUNTIF($MK22:$MN22,"Reação")&gt;0," e a coletiva","")&amp;IF(COUNTIF($NX22:$NY22,"Carregar")&gt;0," · em dois turnos","")))</f>
        <v/>
      </c>
      <c r="PP22" s="152">
        <f>IF($MJ22&lt;&gt;"",$MJ22,IF($MW22=0,"",INDEX($AA$2:$AA$11,$MW22)))</f>
        <v/>
      </c>
      <c r="PQ22" s="152">
        <f>IF(OR($MQ22=0,$MW22=0),"",IF(COUNTIF($MK22:$MN22,"Inescapável")&gt;0,"Automático",IF($PP22="Ataque",IF($MU22="","Ataque","Ataque "&amp;IF(($MU22+2*IF(COUNTIF($MK22:$MN22,"Precisão")&gt;0,1,0))&gt;=0,"+","−")&amp;ABS(($MU22+2*IF(COUNTIF($MK22:$MN22,"Precisão")&gt;0,1,0))))&amp;IF($NQ22&gt;0," · TR"&amp;IF($MV22="",""," CD "&amp;$MV22),""),IF(LEFT($PP22,2)="TR",$PP22&amp;IF($MV22="",""," · CD "&amp;$MV22)&amp;IF(COUNTIF($MK22:$MN22,"Certeiro")&gt;0," · metade",""),"Sem rolagem"))))</f>
        <v/>
      </c>
      <c r="PR22" s="152">
        <f>IF(OR($MQ22=0,$MW22=0),"",IF($MF22=0,IF(OR($NT22&gt;=1,$OQ22=0),"Sem dano",$OQ22&amp;"d6"&amp;IF($MI22="",""," "&amp;$MI22)),IF(OR($NT22&gt;=1,$OQ22=0),UPPER(LEFT(INDEX($OZ22:$PF22,1,MAX(1,$MF22)),1))&amp;MID(INDEX($OZ22:$PF22,1,MAX(1,$MF22)),2,99),UPPER(LEFT(INDEX($OZ22:$PF22,1,MAX(1,$MF22)),1))&amp;MID(INDEX($OZ22:$PF22,1,MAX(1,$MF22)),2,99)&amp;IF($MI22="",""," "&amp;$MI22)&amp;IF($OR22&gt;0," · +"&amp;$OR22&amp;"d8",""))))</f>
        <v/>
      </c>
      <c r="PS22" s="152">
        <f>COUNTIF($MK22:$MN22,"Longe")+3*COUNTIF($MK22:$MN22,"Muito Longe")</f>
        <v/>
      </c>
      <c r="PT22" s="152">
        <f>COUNTIF($MK22:$MN22,"Maior")+3*COUNTIF($MK22:$MN22,"Muito Maior")</f>
        <v/>
      </c>
      <c r="PU22" s="152">
        <f>IF($MW22=0,0,CHOOSE(1+INDEX($AC$2:$AC$11,$MW22),0,$PS22,$PT22,$PS22+$PT22))</f>
        <v/>
      </c>
      <c r="PV22" s="152">
        <f>IF($MW22=0,0,CHOOSE(1+INDEX($AD$2:$AD$11,$MW22),0,$PS22,$PT22,$PS22+$PT22))</f>
        <v/>
      </c>
      <c r="PW22" s="152">
        <f>IF(OR($MQ22=0,$MW22=0),"",INDEX($AI$2:$AN$41,($MW22-1)*4+IF($MF22=0,1,IF($MF22&lt;=5,2,IF($MF22=6,3,4))),1+MIN(5,$PU22))&amp;INDEX($AO$2:$AT$41,($MW22-1)*4+IF($MF22=0,1,IF($MF22&lt;=5,2,IF($MF22=6,3,4))),1+MIN(5,$PV22))&amp;IF(INDEX($AE$2:$AE$11,$MW22)=1,IF(COUNTIF($MK22:$MN22,"Mais Um")&gt;0," · +"&amp;COUNTIF($MK22:$MN22,"Mais Um")&amp;IF(COUNTIF($MK22:$MN22,"Mais Um")&gt;1," alvos"," alvo"),"")&amp;IF(COUNTIF($MK22:$MN22,"Rajada")&gt;0,IF($MF22=0," · 1 tiro"," · "&amp;(MAX(1,$MF22-1)+1)&amp;" tiros"),""),""))</f>
        <v/>
      </c>
      <c r="PX22" s="152">
        <f>IF($MQ22=0,"",IF($MF22=0,$MT22&amp;"d6"&amp;IF($OH22&gt;0," − 1 = "&amp;$OQ22&amp;"d6"," da básica do nível "&amp;$MR22),$OO22&amp;" − "&amp;$OJ22&amp;" + "&amp;$OM22&amp;" = "&amp;$OP22&amp;" · teto "&amp;4*$MF22&amp;"d8"&amp;IF($NS22=1," · a Forma devolve "&amp;$MF22,"")&amp;IF($ON22&gt;0," · perde "&amp;$ON22,"")))</f>
        <v/>
      </c>
      <c r="PY22" s="152">
        <f>IF($MQ22=0,"",IF($MF22=0,"A básica não amplia: os dados dela sobem com o nível",IF($MF22&gt;=$MS22,"Já está na maior Classe que o nível liberou",TEXTJOIN(" · ",TRUE,IF(AND(2&gt;$MF22,2&lt;=$MS22),"2 → "&amp;$PA22&amp;", 6 PE",""),IF(AND(3&gt;$MF22,3&lt;=$MS22),"3 → "&amp;$PB22&amp;", 9 PE",""),IF(AND(4&gt;$MF22,4&lt;=$MS22),"4 → "&amp;$PC22&amp;", 12 PE",""),IF(AND(5&gt;$MF22,5&lt;=$MS22),"5 → "&amp;$PD22&amp;", 15 PE",""),IF(AND(6&gt;$MF22,6&lt;=$MS22),"6 → "&amp;$PE22&amp;", 18 PE",""),IF(AND(7&gt;$MF22,7&lt;=$MS22),"7 → "&amp;$PF22&amp;", 21 PE","")))))</f>
        <v/>
      </c>
      <c r="PZ22" s="152">
        <f>IF(OR($MQ22=0,$NB22=0),"",IF($MF22=0,"−1 dado","−"&amp;INDEX($I$2:$N$8,MAX(1,$MF22),MAX(1,$NG22))&amp;" · "&amp;CHOOSE(MAX(1,$NG22),"Leve","Média","Pesada","Leve · Livre","Média · Livre","Pesada · Livre")))</f>
        <v/>
      </c>
      <c r="QA22" s="152">
        <f>IF(OR($MQ22=0,$NC22=0),"",IF($MF22=0,"−1 dado","−"&amp;INDEX($I$2:$N$8,MAX(1,$MF22),MAX(1,$NH22))&amp;" · "&amp;CHOOSE(MAX(1,$NH22),"Leve","Média","Pesada","Leve · Livre","Média · Livre","Pesada · Livre")))</f>
        <v/>
      </c>
      <c r="QB22" s="152">
        <f>IF(OR($MQ22=0,$ND22=0),"",IF($MF22=0,"−1 dado","−"&amp;INDEX($I$2:$N$8,MAX(1,$MF22),MAX(1,$NI22))&amp;" · "&amp;CHOOSE(MAX(1,$NI22),"Leve","Média","Pesada","Leve · Livre","Média · Livre","Pesada · Livre")))</f>
        <v/>
      </c>
      <c r="QC22" s="152">
        <f>IF(OR($MQ22=0,$NE22=0),"",IF($MF22=0,"−1 dado","−"&amp;INDEX($I$2:$N$8,MAX(1,$MF22),MAX(1,$NJ22))&amp;" · "&amp;CHOOSE(MAX(1,$NJ22),"Leve","Média","Pesada","Leve · Livre","Média · Livre","Pesada · Livre")))</f>
        <v/>
      </c>
      <c r="QD22" s="152">
        <f>IF(OR($MQ22=0,$MO22=""),"",IF($MF22=0,"não devolve","+"&amp;IF($NV22=1,CEILING($MF22/2,1),$MF22)))</f>
        <v/>
      </c>
      <c r="QE22" s="152">
        <f>IF(OR($MQ22=0,$MP22=""),"",IF($MF22=0,"não devolve","+"&amp;IF($NW22=1,CEILING($MF22/2,1),$MF22)))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A23" s="152" t="n">
        <v>0</v>
      </c>
      <c r="BC23" s="150" t="inlineStr">
        <is>
          <t>Restrição Própria (Leve)</t>
        </is>
      </c>
      <c r="BD23" s="150" t="inlineStr">
        <is>
          <t>Restrição Própria</t>
        </is>
      </c>
      <c r="BE23" s="152" t="n">
        <v>1</v>
      </c>
      <c r="BF23" s="152" t="n">
        <v>0</v>
      </c>
      <c r="BG23" s="150" t="inlineStr">
        <is>
          <t>Restrição Própria (Leve)</t>
        </is>
      </c>
      <c r="CA23" s="150" t="inlineStr">
        <is>
          <t>Atuação</t>
        </is>
      </c>
      <c r="CB23" s="150" t="inlineStr">
        <is>
          <t>Essência</t>
        </is>
      </c>
      <c r="JG23" s="152">
        <f>IF(OR($AW23="",COUNTIF($EF$2:$EJ$2,$AW23)&gt;0),$AV23,"")</f>
        <v/>
      </c>
      <c r="JH23" s="152">
        <f>IF(AND($AX23=1,OR($AW23="",COUNTIF($EF$2:$EJ$2,$AW23)&gt;0)),$AV23,"")</f>
        <v/>
      </c>
      <c r="JM23" s="152">
        <f>IF(OR($AW23="",COUNTIF($EF$3:$EJ$3,$AW23)&gt;0),$AV23,"")</f>
        <v/>
      </c>
      <c r="JN23" s="152">
        <f>IF(AND($AX23=1,OR($AW23="",COUNTIF($EF$3:$EJ$3,$AW23)&gt;0)),$AV23,"")</f>
        <v/>
      </c>
      <c r="JS23" s="152">
        <f>IF(OR($AW23="",COUNTIF($EF$4:$EJ$4,$AW23)&gt;0),$AV23,"")</f>
        <v/>
      </c>
      <c r="JT23" s="152">
        <f>IF(AND($AX23=1,OR($AW23="",COUNTIF($EF$4:$EJ$4,$AW23)&gt;0)),$AV23,"")</f>
        <v/>
      </c>
      <c r="JY23" s="152">
        <f>IF(OR($AW23="",COUNTIF($EF$5:$EJ$5,$AW23)&gt;0),$AV23,"")</f>
        <v/>
      </c>
      <c r="JZ23" s="152">
        <f>IF(AND($AX23=1,OR($AW23="",COUNTIF($EF$5:$EJ$5,$AW23)&gt;0)),$AV23,"")</f>
        <v/>
      </c>
      <c r="KE23" s="152">
        <f>IF(OR($AW23="",COUNTIF($EF$6:$EJ$6,$AW23)&gt;0),$AV23,"")</f>
        <v/>
      </c>
      <c r="KF23" s="152">
        <f>IF(AND($AX23=1,OR($AW23="",COUNTIF($EF$6:$EJ$6,$AW23)&gt;0)),$AV23,"")</f>
        <v/>
      </c>
      <c r="KK23" s="152">
        <f>IF(OR($AW23="",COUNTIF($EF$7:$EJ$7,$AW23)&gt;0),$AV23,"")</f>
        <v/>
      </c>
      <c r="KL23" s="152">
        <f>IF(AND($AX23=1,OR($AW23="",COUNTIF($EF$7:$EJ$7,$AW23)&gt;0)),$AV23,"")</f>
        <v/>
      </c>
      <c r="KQ23" s="152">
        <f>IF(OR($AW23="",COUNTIF($EF$8:$EJ$8,$AW23)&gt;0),$AV23,"")</f>
        <v/>
      </c>
      <c r="KR23" s="152">
        <f>IF(AND($AX23=1,OR($AW23="",COUNTIF($EF$8:$EJ$8,$AW23)&gt;0)),$AV23,"")</f>
        <v/>
      </c>
      <c r="KW23" s="152">
        <f>IF(OR($AW23="",COUNTIF($EF$9:$EJ$9,$AW23)&gt;0),$AV23,"")</f>
        <v/>
      </c>
      <c r="KX23" s="152">
        <f>IF(AND($AX23=1,OR($AW23="",COUNTIF($EF$9:$EJ$9,$AW23)&gt;0)),$AV23,"")</f>
        <v/>
      </c>
      <c r="LC23" s="152">
        <f>IF(OR($AW23="",COUNTIF($EF$10:$EJ$10,$AW23)&gt;0),$AV23,"")</f>
        <v/>
      </c>
      <c r="LD23" s="152">
        <f>IF(AND($AX23=1,OR($AW23="",COUNTIF($EF$10:$EJ$10,$AW23)&gt;0)),$AV23,"")</f>
        <v/>
      </c>
      <c r="LI23" s="152">
        <f>IF(OR($AW23="",COUNTIF($EF$11:$EJ$11,$AW23)&gt;0),$AV23,"")</f>
        <v/>
      </c>
      <c r="LJ23" s="152">
        <f>IF(AND($AX23=1,OR($AW23="",COUNTIF($EF$11:$EJ$11,$AW23)&gt;0)),$AV23,"")</f>
        <v/>
      </c>
      <c r="LO23" s="152">
        <f>IF(OR($AW23="",COUNTIF($EF$12:$EJ$12,$AW23)&gt;0),$AV23,"")</f>
        <v/>
      </c>
      <c r="LP23" s="152">
        <f>IF(AND($AX23=1,OR($AW23="",COUNTIF($EF$12:$EJ$12,$AW23)&gt;0)),$AV23,"")</f>
        <v/>
      </c>
      <c r="LU23" s="152">
        <f>IF(OR($AW23="",COUNTIF($EF$13:$EJ$13,$AW23)&gt;0),$AV23,"")</f>
        <v/>
      </c>
      <c r="LV23" s="152">
        <f>IF(AND($AX23=1,OR($AW23="",COUNTIF($EF$13:$EJ$13,$AW23)&gt;0)),$AV23,"")</f>
        <v/>
      </c>
      <c r="MA23" s="150" t="inlineStr">
        <is>
          <t>Ficha 2 · Especial 7</t>
        </is>
      </c>
      <c r="MB23" s="152" t="n">
        <v>2</v>
      </c>
      <c r="MC23" s="152" t="n">
        <v>1</v>
      </c>
      <c r="MD23" s="152" t="n">
        <v>24</v>
      </c>
      <c r="ME23" s="150" t="inlineStr">
        <is>
          <t>ESPECIAL 7</t>
        </is>
      </c>
      <c r="MF23" s="152">
        <f>MAX(1,MIN(7,N('INVOCAÇÕES'!$U$312)))</f>
        <v/>
      </c>
      <c r="MG23" s="152">
        <f>'INVOCAÇÕES'!$V$312&amp;""</f>
        <v/>
      </c>
      <c r="MH23" s="152">
        <f>'INVOCAÇÕES'!$U$317&amp;""</f>
        <v/>
      </c>
      <c r="MI23" s="152">
        <f>'INVOCAÇÕES'!$U$318&amp;""</f>
        <v/>
      </c>
      <c r="MJ23" s="152">
        <f>'INVOCAÇÕES'!$W$318&amp;""</f>
        <v/>
      </c>
      <c r="MK23" s="152">
        <f>'INVOCAÇÕES'!$V$321&amp;""</f>
        <v/>
      </c>
      <c r="ML23" s="152">
        <f>'INVOCAÇÕES'!$V$322&amp;""</f>
        <v/>
      </c>
      <c r="MM23" s="152">
        <f>'INVOCAÇÕES'!$V$323&amp;""</f>
        <v/>
      </c>
      <c r="MN23" s="152">
        <f>'INVOCAÇÕES'!$V$324&amp;""</f>
        <v/>
      </c>
      <c r="MO23" s="152">
        <f>'INVOCAÇÕES'!$V$325&amp;""</f>
        <v/>
      </c>
      <c r="MP23" s="152">
        <f>'INVOCAÇÕES'!$V$326&amp;""</f>
        <v/>
      </c>
      <c r="MQ23" s="152">
        <f>IF($MG23&lt;&gt;"",1,0)</f>
        <v/>
      </c>
      <c r="MR23" s="152">
        <f>INDEX($FI$2:$FI$13,$MB23)</f>
        <v/>
      </c>
      <c r="MS23" s="152">
        <f>INDEX($FJ$2:$FJ$13,$MB23)</f>
        <v/>
      </c>
      <c r="MT23" s="152">
        <f>INDEX($FK$2:$FK$13,$MB23)</f>
        <v/>
      </c>
      <c r="MU23" s="152">
        <f>INDEX($FV$2:$FV$13,$MB23)</f>
        <v/>
      </c>
      <c r="MV23" s="152">
        <f>INDEX($FW$2:$FW$13,$MB23)</f>
        <v/>
      </c>
      <c r="MW23" s="152">
        <f>IFERROR(MATCH($MH23,$V$2:$V$11,0),0)</f>
        <v/>
      </c>
      <c r="MX23" s="152">
        <f>IFERROR(VLOOKUP($MK23,$AV$2:$BA$84,2,FALSE),"")</f>
        <v/>
      </c>
      <c r="MY23" s="152">
        <f>IFERROR(VLOOKUP($ML23,$AV$2:$BA$84,2,FALSE),"")</f>
        <v/>
      </c>
      <c r="MZ23" s="152">
        <f>IFERROR(VLOOKUP($MM23,$AV$2:$BA$84,2,FALSE),"")</f>
        <v/>
      </c>
      <c r="NA23" s="152">
        <f>IFERROR(VLOOKUP($MN23,$AV$2:$BA$84,2,FALSE),"")</f>
        <v/>
      </c>
      <c r="NB23" s="152">
        <f>IFERROR(VLOOKUP($MK23,$AV$2:$BA$84,3,FALSE),0)</f>
        <v/>
      </c>
      <c r="NC23" s="152">
        <f>IFERROR(VLOOKUP($ML23,$AV$2:$BA$84,3,FALSE),0)</f>
        <v/>
      </c>
      <c r="ND23" s="152">
        <f>IFERROR(VLOOKUP($MM23,$AV$2:$BA$84,3,FALSE),0)</f>
        <v/>
      </c>
      <c r="NE23" s="152">
        <f>IFERROR(VLOOKUP($MN23,$AV$2:$BA$84,3,FALSE),0)</f>
        <v/>
      </c>
      <c r="NF23" s="152">
        <f>IF($MF23=0,0,IF($MW23=0,0,INDEX($X$2:$X$11,$MW23)))</f>
        <v/>
      </c>
      <c r="NG23" s="152">
        <f>IF(OR($NB23=0,$MF23=0),0,$NB23+3*IF(AND($MX23&lt;&gt;"",OR($MX23=INDEX($EF$2:$EF$13,$MB23),$MX23=INDEX($EG$2:$EG$13,$MB23))),1,0))</f>
        <v/>
      </c>
      <c r="NH23" s="152">
        <f>IF(OR($NC23=0,$MF23=0),0,$NC23+3*IF(AND($MY23&lt;&gt;"",OR($MY23=INDEX($EF$2:$EF$13,$MB23),$MY23=INDEX($EG$2:$EG$13,$MB23))),1,0))</f>
        <v/>
      </c>
      <c r="NI23" s="152">
        <f>IF(OR($ND23=0,$MF23=0),0,$ND23+3*IF(AND($MZ23&lt;&gt;"",OR($MZ23=INDEX($EF$2:$EF$13,$MB23),$MZ23=INDEX($EG$2:$EG$13,$MB23))),1,0))</f>
        <v/>
      </c>
      <c r="NJ23" s="152">
        <f>IF(OR($NE23=0,$MF23=0),0,$NE23+3*IF(AND($NA23&lt;&gt;"",OR($NA23=INDEX($EF$2:$EF$13,$MB23),$NA23=INDEX($EG$2:$EG$13,$MB23))),1,0))</f>
        <v/>
      </c>
      <c r="NK23" s="152">
        <f>IF($MW23=0,0,IF(INDEX($W$2:$W$11,$MW23)="",0,IF(COUNTIF(INDEX($EF$2:$EJ$13,$MB23,0),INDEX($W$2:$W$11,$MW23))=0,1,0)))</f>
        <v/>
      </c>
      <c r="NL23" s="152">
        <f>IF(OR($NB23=0,$MX23=""),0,IF(COUNTIF(INDEX($EF$2:$EJ$13,$MB23,0),$MX23)=0,1,0))</f>
        <v/>
      </c>
      <c r="NM23" s="152">
        <f>IF(OR($NC23=0,$MY23=""),0,IF(COUNTIF(INDEX($EF$2:$EJ$13,$MB23,0),$MY23)=0,1,0))</f>
        <v/>
      </c>
      <c r="NN23" s="152">
        <f>IF(OR($ND23=0,$MZ23=""),0,IF(COUNTIF(INDEX($EF$2:$EJ$13,$MB23,0),$MZ23)=0,1,0))</f>
        <v/>
      </c>
      <c r="NO23" s="152">
        <f>IF(OR($NE23=0,$NA23=""),0,IF(COUNTIF(INDEX($EF$2:$EJ$13,$MB23,0),$NA23)=0,1,0))</f>
        <v/>
      </c>
      <c r="NP23" s="152">
        <f>IFERROR(VLOOKUP($MK23,$AV$2:$BA$84,4,FALSE),0)+IFERROR(VLOOKUP($ML23,$AV$2:$BA$84,4,FALSE),0)+IFERROR(VLOOKUP($MM23,$AV$2:$BA$84,4,FALSE),0)+IFERROR(VLOOKUP($MN23,$AV$2:$BA$84,4,FALSE),0)</f>
        <v/>
      </c>
      <c r="NQ23" s="152">
        <f>IFERROR(VLOOKUP($MK23,$AV$2:$BA$84,6,FALSE),0)+IFERROR(VLOOKUP($ML23,$AV$2:$BA$84,6,FALSE),0)+IFERROR(VLOOKUP($MM23,$AV$2:$BA$84,6,FALSE),0)+IFERROR(VLOOKUP($MN23,$AV$2:$BA$84,6,FALSE),0)</f>
        <v/>
      </c>
      <c r="NR23" s="152">
        <f>TEXTJOIN(", ",TRUE,IF(IFERROR(VLOOKUP($MK23,$AV$2:$BA$84,5,FALSE),0)=1,$MK23,""),IF(IFERROR(VLOOKUP($ML23,$AV$2:$BA$84,5,FALSE),0)=1,$ML23,""),IF(IFERROR(VLOOKUP($MM23,$AV$2:$BA$84,5,FALSE),0)=1,$MM23,""),IF(IFERROR(VLOOKUP($MN23,$AV$2:$BA$84,5,FALSE),0)=1,$MN23,""))</f>
        <v/>
      </c>
      <c r="NS23" s="152">
        <f>IF($MW23=0,0,INDEX($Y$2:$Y$11,$MW23))</f>
        <v/>
      </c>
      <c r="NT23" s="152">
        <f>IF($MW23=0,0,INDEX($Z$2:$Z$11,$MW23))</f>
        <v/>
      </c>
      <c r="NU23" s="152">
        <f>IF($MW23=0,0,INDEX($AB$2:$AB$11,$MW23))</f>
        <v/>
      </c>
      <c r="NV23" s="152">
        <f>IFERROR(VLOOKUP($MO23,$BC$2:$BG$24,3,FALSE),0)</f>
        <v/>
      </c>
      <c r="NW23" s="152">
        <f>IFERROR(VLOOKUP($MP23,$BC$2:$BG$24,3,FALSE),0)</f>
        <v/>
      </c>
      <c r="NX23" s="152">
        <f>IFERROR(VLOOKUP($MO23,$BC$2:$BG$24,2,FALSE),"")</f>
        <v/>
      </c>
      <c r="NY23" s="152">
        <f>IFERROR(VLOOKUP($MP23,$BC$2:$BG$24,2,FALSE),"")</f>
        <v/>
      </c>
      <c r="NZ23" s="152">
        <f>COUNTIF($NF23:$NJ23,1)</f>
        <v/>
      </c>
      <c r="OA23" s="152">
        <f>COUNTIF($NF23:$NJ23,2)</f>
        <v/>
      </c>
      <c r="OB23" s="152">
        <f>COUNTIF($NF23:$NJ23,3)</f>
        <v/>
      </c>
      <c r="OC23" s="152">
        <f>COUNTIF($NF23:$NJ23,4)</f>
        <v/>
      </c>
      <c r="OD23" s="152">
        <f>COUNTIF($NF23:$NJ23,5)</f>
        <v/>
      </c>
      <c r="OE23" s="152">
        <f>COUNTIF($NF23:$NJ23,6)</f>
        <v/>
      </c>
      <c r="OF23" s="152">
        <f>COUNTIF($NV23:$NW23,1)</f>
        <v/>
      </c>
      <c r="OG23" s="152">
        <f>COUNTIF($NV23:$NW23,2)+$NS23</f>
        <v/>
      </c>
      <c r="OH23" s="152">
        <f>COUNTIF($MK23:$MN23,"?*")</f>
        <v/>
      </c>
      <c r="OI23" s="152">
        <f>COUNTIF($MO23:$MP23,"?*")+$NS23</f>
        <v/>
      </c>
      <c r="OJ23" s="152">
        <f>IF($MF23=0,0,SUMPRODUCT($NZ23:$OE23,INDEX($I$2:$N$8,MAX(1,$MF23),0)))</f>
        <v/>
      </c>
      <c r="OK23" s="152">
        <f>IF($MF23=0,0,$OF23*CEILING($MF23/2,1)+$OG23*$MF23)</f>
        <v/>
      </c>
      <c r="OL23" s="152">
        <f>MIN(2*$MF23,$OK23)</f>
        <v/>
      </c>
      <c r="OM23" s="152">
        <f>MIN($OL23,$OJ23)</f>
        <v/>
      </c>
      <c r="ON23" s="152">
        <f>$OL23-$OM23</f>
        <v/>
      </c>
      <c r="OO23" s="152">
        <f>IF($MF23=0,0,INDEX($P$2:$P$8,MAX(1,$MF23)))</f>
        <v/>
      </c>
      <c r="OP23" s="152">
        <f>$OO23-$OJ23+$OM23</f>
        <v/>
      </c>
      <c r="OQ23" s="152">
        <f>IF($MF23=0,MAX(0,$MT23-IF($OH23&gt;0,1,0)),MAX(0,$OP23))</f>
        <v/>
      </c>
      <c r="OR23" s="152">
        <f>IF($MF23=0,0,(IF(COUNTIF($MK23:$MN23,"Salto")&gt;0,1,0)+IF(COUNTIF($MK23:$MN23,"Queima")&gt;0,1,0)+IF(COUNTIF($MK23:$MN23,"Estilhaço")&gt;0,1,0))*FLOOR($OQ23/2,1))</f>
        <v/>
      </c>
      <c r="OS23" s="152">
        <f>MAX(0,2-SUMPRODUCT($NZ23:$OE23,$I$2:$N$2)+MIN(2,$OF23*1+$OG23*1,SUMPRODUCT($NZ23:$OE23,$I$2:$N$2)))</f>
        <v/>
      </c>
      <c r="OT23" s="152">
        <f>MAX(0,4-SUMPRODUCT($NZ23:$OE23,$I$3:$N$3)+MIN(4,$OF23*1+$OG23*2,SUMPRODUCT($NZ23:$OE23,$I$3:$N$3)))</f>
        <v/>
      </c>
      <c r="OU23" s="152">
        <f>MAX(0,6-SUMPRODUCT($NZ23:$OE23,$I$4:$N$4)+MIN(6,$OF23*2+$OG23*3,SUMPRODUCT($NZ23:$OE23,$I$4:$N$4)))</f>
        <v/>
      </c>
      <c r="OV23" s="152">
        <f>MAX(0,9-SUMPRODUCT($NZ23:$OE23,$I$5:$N$5)+MIN(8,$OF23*2+$OG23*4,SUMPRODUCT($NZ23:$OE23,$I$5:$N$5)))</f>
        <v/>
      </c>
      <c r="OW23" s="152">
        <f>MAX(0,11-SUMPRODUCT($NZ23:$OE23,$I$6:$N$6)+MIN(10,$OF23*3+$OG23*5,SUMPRODUCT($NZ23:$OE23,$I$6:$N$6)))</f>
        <v/>
      </c>
      <c r="OX23" s="152">
        <f>MAX(0,13-SUMPRODUCT($NZ23:$OE23,$I$7:$N$7)+MIN(12,$OF23*3+$OG23*6,SUMPRODUCT($NZ23:$OE23,$I$7:$N$7)))</f>
        <v/>
      </c>
      <c r="OY23" s="152">
        <f>MAX(0,16-SUMPRODUCT($NZ23:$OE23,$I$8:$N$8)+MIN(14,$OF23*4+$OG23*7,SUMPRODUCT($NZ23:$OE23,$I$8:$N$8)))</f>
        <v/>
      </c>
      <c r="OZ23" s="152">
        <f>IF($NT23=2,3*$OS23&amp;" de vida temp.",IF($NT23=3,"sem dano",IF($OS23=0,IF($NT23=1,"sem cura","sem dano"),IF($NT23=1,"cura ","")&amp;$OS23&amp;"d8")))</f>
        <v/>
      </c>
      <c r="PA23" s="152">
        <f>IF($NT23=2,3*$OT23&amp;" de vida temp.",IF($NT23=3,"sem dano",IF($OT23=0,IF($NT23=1,"sem cura","sem dano"),IF($NT23=1,"cura ","")&amp;$OT23&amp;"d8")))</f>
        <v/>
      </c>
      <c r="PB23" s="152">
        <f>IF($NT23=2,3*$OU23&amp;" de vida temp.",IF($NT23=3,"sem dano",IF($OU23=0,IF($NT23=1,"sem cura","sem dano"),IF($NT23=1,"cura ","")&amp;$OU23&amp;"d8")))</f>
        <v/>
      </c>
      <c r="PC23" s="152">
        <f>IF($NT23=2,3*$OV23&amp;" de vida temp.",IF($NT23=3,"sem dano",IF($OV23=0,IF($NT23=1,"sem cura","sem dano"),IF($NT23=1,"cura ","")&amp;$OV23&amp;"d8")))</f>
        <v/>
      </c>
      <c r="PD23" s="152">
        <f>IF($NT23=2,3*$OW23&amp;" de vida temp.",IF($NT23=3,"sem dano",IF($OW23=0,IF($NT23=1,"sem cura","sem dano"),IF($NT23=1,"cura ","")&amp;$OW23&amp;"d8")))</f>
        <v/>
      </c>
      <c r="PE23" s="152">
        <f>IF($NT23=2,3*$OX23&amp;" de vida temp.",IF($NT23=3,"sem dano",IF($OX23=0,IF($NT23=1,"sem cura","sem dano"),IF($NT23=1,"cura ","")&amp;$OX23&amp;"d8")))</f>
        <v/>
      </c>
      <c r="PF23" s="152">
        <f>IF($NT23=2,3*$OY23&amp;" de vida temp.",IF($NT23=3,"sem dano",IF($OY23=0,IF($NT23=1,"sem cura","sem dano"),IF($NT23=1,"cura ","")&amp;$OY23&amp;"d8")))</f>
        <v/>
      </c>
      <c r="PG23" s="152">
        <f>IF($MQ23=0,"",TEXTJOIN(" · ",TRUE,IF($MD23&gt;$MR23,"Este lugar abre no nível "&amp;$MD23,""),IF($MF23&gt;$MS23,"Classe "&amp;$MF23&amp;": o nível "&amp;$MR23&amp;" libera até a "&amp;$MS23,""),IF($NK23=1,"A Forma "&amp;$MH23&amp;" pede "&amp;INDEX($W$2:$W$11,$MW23)&amp;" aberta",""),IF(AND($MF23=0,$MW23&gt;0,IF($MW23=0,0,INDEX($AF$2:$AF$11,$MW23))=0),$MH23&amp;" não existe na Classe 0",""),IF($NL23=1,"Família Fechada: "&amp;$MK23,""),IF($NM23=1,"Família Fechada: "&amp;$ML23,""),IF($NN23=1,"Família Fechada: "&amp;$MM23,""),IF($NO23=1,"Família Fechada: "&amp;$MN23,""),IF(AND($MF23&gt;0,$OH23&gt;INDEX($O$2:$O$8,MAX(1,$MF23))),$OH23&amp;" Melhorias: a Classe "&amp;$MF23&amp;" aceita "&amp;INDEX($O$2:$O$8,MAX(1,$MF23)),""),IF(AND($MF23=0,$OH23&gt;1),"A básica aceita uma Melhoria",""),IF(AND($MF23=0,COUNTIF($NB23:$NE23,"&gt;1")&gt;0),"A básica só aceita Melhoria Leve",""),IF(AND($MF23&gt;0,$OI23&gt;2),$OI23&amp;" Restrições"&amp;IF($NS23=1,", contando a que a Forma "&amp;$MH23&amp;" já traz","")&amp;": o limite é 2",""),IF(AND($MF23=0,COUNTIF($MO23:$MP23,"?*")&gt;1),"A básica aceita uma Restrição Leve",""),IF(AND($MF23=0,COUNTIF($NV23:$NW23,2)&gt;0),"A básica só aceita Restrição Leve",""),IF(AND($MF23&gt;0,$OP23&lt;0),"Orçamento estourado: faltam "&amp;(-$OP23)&amp;IF($OP23&lt;-1," pontos"," ponto"),""),IF(IFERROR(VLOOKUP($MO23,$BC$2:$BG$24,4,FALSE),0)+IFERROR(VLOOKUP($MP23,$BC$2:$BG$24,4,FALSE),0)&gt;1,$NX23&amp;" e "&amp;$NY23&amp;" são as duas de frequência",""),IF(AND((COUNTIF($MK23:$MN23,"Rápido")+COUNTIF($NX23:$NY23,"Rápido"))&gt;0,(COUNTIF($MK23:$MN23,"Atrasar")+COUNTIF($NX23:$NY23,"Atrasar"))&gt;0),"Rápido não entra com Atrasar",""),IF(AND((COUNTIF($MK23:$MN23,"Reação")+COUNTIF($NX23:$NY23,"Reação"))&gt;0,(COUNTIF($MK23:$MN23,"Rápido")+COUNTIF($NX23:$NY23,"Rápido"))&gt;0),"Reação não entra com Rápido",""),IF(AND((COUNTIF($MK23:$MN23,"Reação")+COUNTIF($NX23:$NY23,"Reação"))&gt;0,(COUNTIF($MK23:$MN23,"Armado")+COUNTIF($NX23:$NY23,"Armado"))&gt;0),"Reação não entra com Armado",""),IF(AND((COUNTIF($MK23:$MN23,"Reação")+COUNTIF($NX23:$NY23,"Reação"))&gt;0,(COUNTIF($MK23:$MN23,"Atrasar")+COUNTIF($NX23:$NY23,"Atrasar"))&gt;0),"Reação não entra com Atrasar",""),IF(AND((COUNTIF($MK23:$MN23,"Reação")+COUNTIF($NX23:$NY23,"Reação"))&gt;0,(COUNTIF($MK23:$MN23,"Parado")+COUNTIF($NX23:$NY23,"Parado"))&gt;0),"Reação não entra com Parado",""),IF(AND((COUNTIF($MK23:$MN23,"Atrasar")+COUNTIF($NX23:$NY23,"Atrasar"))&gt;0,(COUNTIF($MK23:$MN23,"Parado")+COUNTIF($NX23:$NY23,"Parado"))&gt;0),"Atrasar não entra com Parado",""),IF(AND((COUNTIF($MK23:$MN23,"Armado")+COUNTIF($NX23:$NY23,"Armado"))&gt;0,(COUNTIF($MK23:$MN23,"Carregar")+COUNTIF($NX23:$NY23,"Carregar"))&gt;0),"Armado não entra com Carregar",""),IF(AND(COUNTIF($NX23:$NY23,"Corpo a Corpo")&gt;0,$NS23=0,OR($MH23="Cone",$MH23="Linha")),"Corpo a Corpo não entra em "&amp;$MH23,""),IF(AND(COUNTIF($NX23:$NY23,"Corpo a Corpo")&gt;0,$NS23=1),"A Forma "&amp;$MH23&amp;" já traz o Corpo a Corpo",""),IF(AND(COUNTIF($NX23:$NY23,"Tudo ou Nada")&gt;0,$NU23=0),"Tudo ou Nada só entra em habilidade de Teste de Resistência",""),IF(AND(COUNTIF($MK23:$MN23,"Inescapável")&gt;0,OR($OH23&gt;1,$OI23&gt;0)),"Inescapável não aceita outra peça",""),IF(AND($MF23&gt;0,$OQ23*IF(COUNTIF($MK23:$MN23,"Remate")&gt;0,1.25,1)+$OR23&gt;4*$MF23),($OQ23*IF(COUNTIF($MK23:$MN23,"Remate")&gt;0,1.25,1)+$OR23)&amp;" dados somando repetições"&amp;IF(COUNTIF($MK23:$MN23,"Remate")&gt;0," e o Remate","")&amp;": o teto da Classe "&amp;$MF23&amp;" é "&amp;4*$MF23,"")))</f>
        <v/>
      </c>
      <c r="PH23" s="152">
        <f>IF($PG23="",0,(LEN($PG23)-LEN(SUBSTITUTE($PG23," · ","")))/3+1)</f>
        <v/>
      </c>
      <c r="PI23" s="152">
        <f>IF($MQ23=0,"",TEXTJOIN(" · ",TRUE,IF($OK23&gt;2*$MF23,"A devolução parou no teto de "&amp;2*$MF23,""),IF($ON23&gt;0,"Devolução perdida: "&amp;$ON23&amp;IF($ON23&gt;1," pontos"," ponto")&amp;" sem peça para pagar",""),IF(AND($NP23&gt;0,AND($MF23&gt;0,$NT23=0),$OQ23=0),"Controle sem dano: uma rodada a mais e CD +2",""),IF(AND($NP23&gt;0,AND($MF23&gt;0,$NT23=0),$OQ23&gt;0,$OQ23&lt;=$MF23),"Controle com saldo até a Classe: uma rodada a mais",""),IF(AND($MF23&gt;0,$NR23&lt;&gt;""),"Efeito de "&amp;$NR23&amp;" pela Classe "&amp;MAX(1,$MF23-1),"")))</f>
        <v/>
      </c>
      <c r="PJ23" s="152">
        <f>IF($PI23="",0,(LEN($PI23)-LEN(SUBSTITUTE($PI23," · ","")))/3+1)</f>
        <v/>
      </c>
      <c r="PK23" s="152">
        <f>IF($MQ23=0,IF($OH23+COUNTIF($MO23:$MP23,"?*")&gt;0,"Dê um nome",""),IF($PH23&gt;0,"⚠ "&amp;$PH23&amp;IF($PH23&gt;1," erros"," erro"),IF($PJ23&gt;0,"! "&amp;$PJ23&amp;IF($PJ23&gt;1," avisos"," aviso"),"Na regra")))</f>
        <v/>
      </c>
      <c r="PL23" s="152">
        <f>IF($MQ23=0,"",IF($PH23+$PJ23=0,"Dentro das regras que a ficha confere",$PG23&amp;IF(AND($PH23&gt;0,$PJ23&gt;0)," · ","")&amp;$PI23))</f>
        <v/>
      </c>
      <c r="PM23" s="152">
        <f>IF($MD23&gt;$MR23,$ME23&amp;" · ABRE NO NÍVEL "&amp;$MD23,$ME23)</f>
        <v/>
      </c>
      <c r="PN23" s="152">
        <f>IF($MQ23=0,"",IF($MF23=0,"Sem PE",3*$MF23&amp;" PE"))</f>
        <v/>
      </c>
      <c r="PO23" s="152">
        <f>IF($MQ23=0,"",IF($MF23=0,"A atuação básica dela",IF(COUNTIF($NX23:$NY23,"Atrasar")&gt;0,"Sua Ação Completa",IF(COUNTIF($MK23:$MN23,"Rápido")&gt;0,"Sua Bônus",IF(COUNTIF($MK23:$MN23,"Reação")&gt;0,"Sua Reação","Sua Padrão")))&amp;" + a básica dela"&amp;IF(COUNTIF($MK23:$MN23,"Reação")&gt;0," e a coletiva","")&amp;IF(COUNTIF($NX23:$NY23,"Carregar")&gt;0," · em dois turnos","")))</f>
        <v/>
      </c>
      <c r="PP23" s="152">
        <f>IF($MJ23&lt;&gt;"",$MJ23,IF($MW23=0,"",INDEX($AA$2:$AA$11,$MW23)))</f>
        <v/>
      </c>
      <c r="PQ23" s="152">
        <f>IF(OR($MQ23=0,$MW23=0),"",IF(COUNTIF($MK23:$MN23,"Inescapável")&gt;0,"Automático",IF($PP23="Ataque",IF($MU23="","Ataque","Ataque "&amp;IF(($MU23+2*IF(COUNTIF($MK23:$MN23,"Precisão")&gt;0,1,0))&gt;=0,"+","−")&amp;ABS(($MU23+2*IF(COUNTIF($MK23:$MN23,"Precisão")&gt;0,1,0))))&amp;IF($NQ23&gt;0," · TR"&amp;IF($MV23="",""," CD "&amp;$MV23),""),IF(LEFT($PP23,2)="TR",$PP23&amp;IF($MV23="",""," · CD "&amp;$MV23)&amp;IF(COUNTIF($MK23:$MN23,"Certeiro")&gt;0," · metade",""),"Sem rolagem"))))</f>
        <v/>
      </c>
      <c r="PR23" s="152">
        <f>IF(OR($MQ23=0,$MW23=0),"",IF($MF23=0,IF(OR($NT23&gt;=1,$OQ23=0),"Sem dano",$OQ23&amp;"d6"&amp;IF($MI23="",""," "&amp;$MI23)),IF(OR($NT23&gt;=1,$OQ23=0),UPPER(LEFT(INDEX($OZ23:$PF23,1,MAX(1,$MF23)),1))&amp;MID(INDEX($OZ23:$PF23,1,MAX(1,$MF23)),2,99),UPPER(LEFT(INDEX($OZ23:$PF23,1,MAX(1,$MF23)),1))&amp;MID(INDEX($OZ23:$PF23,1,MAX(1,$MF23)),2,99)&amp;IF($MI23="",""," "&amp;$MI23)&amp;IF($OR23&gt;0," · +"&amp;$OR23&amp;"d8",""))))</f>
        <v/>
      </c>
      <c r="PS23" s="152">
        <f>COUNTIF($MK23:$MN23,"Longe")+3*COUNTIF($MK23:$MN23,"Muito Longe")</f>
        <v/>
      </c>
      <c r="PT23" s="152">
        <f>COUNTIF($MK23:$MN23,"Maior")+3*COUNTIF($MK23:$MN23,"Muito Maior")</f>
        <v/>
      </c>
      <c r="PU23" s="152">
        <f>IF($MW23=0,0,CHOOSE(1+INDEX($AC$2:$AC$11,$MW23),0,$PS23,$PT23,$PS23+$PT23))</f>
        <v/>
      </c>
      <c r="PV23" s="152">
        <f>IF($MW23=0,0,CHOOSE(1+INDEX($AD$2:$AD$11,$MW23),0,$PS23,$PT23,$PS23+$PT23))</f>
        <v/>
      </c>
      <c r="PW23" s="152">
        <f>IF(OR($MQ23=0,$MW23=0),"",INDEX($AI$2:$AN$41,($MW23-1)*4+IF($MF23=0,1,IF($MF23&lt;=5,2,IF($MF23=6,3,4))),1+MIN(5,$PU23))&amp;INDEX($AO$2:$AT$41,($MW23-1)*4+IF($MF23=0,1,IF($MF23&lt;=5,2,IF($MF23=6,3,4))),1+MIN(5,$PV23))&amp;IF(INDEX($AE$2:$AE$11,$MW23)=1,IF(COUNTIF($MK23:$MN23,"Mais Um")&gt;0," · +"&amp;COUNTIF($MK23:$MN23,"Mais Um")&amp;IF(COUNTIF($MK23:$MN23,"Mais Um")&gt;1," alvos"," alvo"),"")&amp;IF(COUNTIF($MK23:$MN23,"Rajada")&gt;0,IF($MF23=0," · 1 tiro"," · "&amp;(MAX(1,$MF23-1)+1)&amp;" tiros"),""),""))</f>
        <v/>
      </c>
      <c r="PX23" s="152">
        <f>IF($MQ23=0,"",IF($MF23=0,$MT23&amp;"d6"&amp;IF($OH23&gt;0," − 1 = "&amp;$OQ23&amp;"d6"," da básica do nível "&amp;$MR23),$OO23&amp;" − "&amp;$OJ23&amp;" + "&amp;$OM23&amp;" = "&amp;$OP23&amp;" · teto "&amp;4*$MF23&amp;"d8"&amp;IF($NS23=1," · a Forma devolve "&amp;$MF23,"")&amp;IF($ON23&gt;0," · perde "&amp;$ON23,"")))</f>
        <v/>
      </c>
      <c r="PY23" s="152">
        <f>IF($MQ23=0,"",IF($MF23=0,"A básica não amplia: os dados dela sobem com o nível",IF($MF23&gt;=$MS23,"Já está na maior Classe que o nível liberou",TEXTJOIN(" · ",TRUE,IF(AND(2&gt;$MF23,2&lt;=$MS23),"2 → "&amp;$PA23&amp;", 6 PE",""),IF(AND(3&gt;$MF23,3&lt;=$MS23),"3 → "&amp;$PB23&amp;", 9 PE",""),IF(AND(4&gt;$MF23,4&lt;=$MS23),"4 → "&amp;$PC23&amp;", 12 PE",""),IF(AND(5&gt;$MF23,5&lt;=$MS23),"5 → "&amp;$PD23&amp;", 15 PE",""),IF(AND(6&gt;$MF23,6&lt;=$MS23),"6 → "&amp;$PE23&amp;", 18 PE",""),IF(AND(7&gt;$MF23,7&lt;=$MS23),"7 → "&amp;$PF23&amp;", 21 PE","")))))</f>
        <v/>
      </c>
      <c r="PZ23" s="152">
        <f>IF(OR($MQ23=0,$NB23=0),"",IF($MF23=0,"−1 dado","−"&amp;INDEX($I$2:$N$8,MAX(1,$MF23),MAX(1,$NG23))&amp;" · "&amp;CHOOSE(MAX(1,$NG23),"Leve","Média","Pesada","Leve · Livre","Média · Livre","Pesada · Livre")))</f>
        <v/>
      </c>
      <c r="QA23" s="152">
        <f>IF(OR($MQ23=0,$NC23=0),"",IF($MF23=0,"−1 dado","−"&amp;INDEX($I$2:$N$8,MAX(1,$MF23),MAX(1,$NH23))&amp;" · "&amp;CHOOSE(MAX(1,$NH23),"Leve","Média","Pesada","Leve · Livre","Média · Livre","Pesada · Livre")))</f>
        <v/>
      </c>
      <c r="QB23" s="152">
        <f>IF(OR($MQ23=0,$ND23=0),"",IF($MF23=0,"−1 dado","−"&amp;INDEX($I$2:$N$8,MAX(1,$MF23),MAX(1,$NI23))&amp;" · "&amp;CHOOSE(MAX(1,$NI23),"Leve","Média","Pesada","Leve · Livre","Média · Livre","Pesada · Livre")))</f>
        <v/>
      </c>
      <c r="QC23" s="152">
        <f>IF(OR($MQ23=0,$NE23=0),"",IF($MF23=0,"−1 dado","−"&amp;INDEX($I$2:$N$8,MAX(1,$MF23),MAX(1,$NJ23))&amp;" · "&amp;CHOOSE(MAX(1,$NJ23),"Leve","Média","Pesada","Leve · Livre","Média · Livre","Pesada · Livre")))</f>
        <v/>
      </c>
      <c r="QD23" s="152">
        <f>IF(OR($MQ23=0,$MO23=""),"",IF($MF23=0,"não devolve","+"&amp;IF($NV23=1,CEILING($MF23/2,1),$MF23)))</f>
        <v/>
      </c>
      <c r="QE23" s="152">
        <f>IF(OR($MQ23=0,$MP23=""),"",IF($MF23=0,"não devolve","+"&amp;IF($NW23=1,CEILING($MF23/2,1),$MF23)))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A24" s="152" t="n">
        <v>0</v>
      </c>
      <c r="BC24" s="150" t="inlineStr">
        <is>
          <t>Restrição Própria (Média)</t>
        </is>
      </c>
      <c r="BD24" s="150" t="inlineStr">
        <is>
          <t>Restrição Própria</t>
        </is>
      </c>
      <c r="BE24" s="152" t="n">
        <v>2</v>
      </c>
      <c r="BF24" s="152" t="n">
        <v>0</v>
      </c>
      <c r="BG24" s="150" t="inlineStr"/>
      <c r="CA24" s="150" t="inlineStr">
        <is>
          <t>Provocar</t>
        </is>
      </c>
      <c r="CB24" s="150" t="inlineStr">
        <is>
          <t>Essência</t>
        </is>
      </c>
      <c r="JG24" s="152">
        <f>IF(OR($AW24="",COUNTIF($EF$2:$EJ$2,$AW24)&gt;0),$AV24,"")</f>
        <v/>
      </c>
      <c r="JH24" s="152">
        <f>IF(AND($AX24=1,OR($AW24="",COUNTIF($EF$2:$EJ$2,$AW24)&gt;0)),$AV24,"")</f>
        <v/>
      </c>
      <c r="JM24" s="152">
        <f>IF(OR($AW24="",COUNTIF($EF$3:$EJ$3,$AW24)&gt;0),$AV24,"")</f>
        <v/>
      </c>
      <c r="JN24" s="152">
        <f>IF(AND($AX24=1,OR($AW24="",COUNTIF($EF$3:$EJ$3,$AW24)&gt;0)),$AV24,"")</f>
        <v/>
      </c>
      <c r="JS24" s="152">
        <f>IF(OR($AW24="",COUNTIF($EF$4:$EJ$4,$AW24)&gt;0),$AV24,"")</f>
        <v/>
      </c>
      <c r="JT24" s="152">
        <f>IF(AND($AX24=1,OR($AW24="",COUNTIF($EF$4:$EJ$4,$AW24)&gt;0)),$AV24,"")</f>
        <v/>
      </c>
      <c r="JY24" s="152">
        <f>IF(OR($AW24="",COUNTIF($EF$5:$EJ$5,$AW24)&gt;0),$AV24,"")</f>
        <v/>
      </c>
      <c r="JZ24" s="152">
        <f>IF(AND($AX24=1,OR($AW24="",COUNTIF($EF$5:$EJ$5,$AW24)&gt;0)),$AV24,"")</f>
        <v/>
      </c>
      <c r="KE24" s="152">
        <f>IF(OR($AW24="",COUNTIF($EF$6:$EJ$6,$AW24)&gt;0),$AV24,"")</f>
        <v/>
      </c>
      <c r="KF24" s="152">
        <f>IF(AND($AX24=1,OR($AW24="",COUNTIF($EF$6:$EJ$6,$AW24)&gt;0)),$AV24,"")</f>
        <v/>
      </c>
      <c r="KK24" s="152">
        <f>IF(OR($AW24="",COUNTIF($EF$7:$EJ$7,$AW24)&gt;0),$AV24,"")</f>
        <v/>
      </c>
      <c r="KL24" s="152">
        <f>IF(AND($AX24=1,OR($AW24="",COUNTIF($EF$7:$EJ$7,$AW24)&gt;0)),$AV24,"")</f>
        <v/>
      </c>
      <c r="KQ24" s="152">
        <f>IF(OR($AW24="",COUNTIF($EF$8:$EJ$8,$AW24)&gt;0),$AV24,"")</f>
        <v/>
      </c>
      <c r="KR24" s="152">
        <f>IF(AND($AX24=1,OR($AW24="",COUNTIF($EF$8:$EJ$8,$AW24)&gt;0)),$AV24,"")</f>
        <v/>
      </c>
      <c r="KW24" s="152">
        <f>IF(OR($AW24="",COUNTIF($EF$9:$EJ$9,$AW24)&gt;0),$AV24,"")</f>
        <v/>
      </c>
      <c r="KX24" s="152">
        <f>IF(AND($AX24=1,OR($AW24="",COUNTIF($EF$9:$EJ$9,$AW24)&gt;0)),$AV24,"")</f>
        <v/>
      </c>
      <c r="LC24" s="152">
        <f>IF(OR($AW24="",COUNTIF($EF$10:$EJ$10,$AW24)&gt;0),$AV24,"")</f>
        <v/>
      </c>
      <c r="LD24" s="152">
        <f>IF(AND($AX24=1,OR($AW24="",COUNTIF($EF$10:$EJ$10,$AW24)&gt;0)),$AV24,"")</f>
        <v/>
      </c>
      <c r="LI24" s="152">
        <f>IF(OR($AW24="",COUNTIF($EF$11:$EJ$11,$AW24)&gt;0),$AV24,"")</f>
        <v/>
      </c>
      <c r="LJ24" s="152">
        <f>IF(AND($AX24=1,OR($AW24="",COUNTIF($EF$11:$EJ$11,$AW24)&gt;0)),$AV24,"")</f>
        <v/>
      </c>
      <c r="LO24" s="152">
        <f>IF(OR($AW24="",COUNTIF($EF$12:$EJ$12,$AW24)&gt;0),$AV24,"")</f>
        <v/>
      </c>
      <c r="LP24" s="152">
        <f>IF(AND($AX24=1,OR($AW24="",COUNTIF($EF$12:$EJ$12,$AW24)&gt;0)),$AV24,"")</f>
        <v/>
      </c>
      <c r="LU24" s="152">
        <f>IF(OR($AW24="",COUNTIF($EF$13:$EJ$13,$AW24)&gt;0),$AV24,"")</f>
        <v/>
      </c>
      <c r="LV24" s="152">
        <f>IF(AND($AX24=1,OR($AW24="",COUNTIF($EF$13:$EJ$13,$AW24)&gt;0)),$AV24,"")</f>
        <v/>
      </c>
      <c r="MA24" s="150" t="inlineStr">
        <is>
          <t>Ficha 2 · Especial 8</t>
        </is>
      </c>
      <c r="MB24" s="152" t="n">
        <v>2</v>
      </c>
      <c r="MC24" s="152" t="n">
        <v>1</v>
      </c>
      <c r="MD24" s="152" t="n">
        <v>28</v>
      </c>
      <c r="ME24" s="150" t="inlineStr">
        <is>
          <t>ESPECIAL 8</t>
        </is>
      </c>
      <c r="MF24" s="152">
        <f>MAX(1,MIN(7,N('INVOCAÇÕES'!$I$334)))</f>
        <v/>
      </c>
      <c r="MG24" s="152">
        <f>'INVOCAÇÕES'!$J$334&amp;""</f>
        <v/>
      </c>
      <c r="MH24" s="152">
        <f>'INVOCAÇÕES'!$I$339&amp;""</f>
        <v/>
      </c>
      <c r="MI24" s="152">
        <f>'INVOCAÇÕES'!$I$340&amp;""</f>
        <v/>
      </c>
      <c r="MJ24" s="152">
        <f>'INVOCAÇÕES'!$K$340&amp;""</f>
        <v/>
      </c>
      <c r="MK24" s="152">
        <f>'INVOCAÇÕES'!$J$343&amp;""</f>
        <v/>
      </c>
      <c r="ML24" s="152">
        <f>'INVOCAÇÕES'!$J$344&amp;""</f>
        <v/>
      </c>
      <c r="MM24" s="152">
        <f>'INVOCAÇÕES'!$J$345&amp;""</f>
        <v/>
      </c>
      <c r="MN24" s="152">
        <f>'INVOCAÇÕES'!$J$346&amp;""</f>
        <v/>
      </c>
      <c r="MO24" s="152">
        <f>'INVOCAÇÕES'!$J$347&amp;""</f>
        <v/>
      </c>
      <c r="MP24" s="152">
        <f>'INVOCAÇÕES'!$J$348&amp;""</f>
        <v/>
      </c>
      <c r="MQ24" s="152">
        <f>IF($MG24&lt;&gt;"",1,0)</f>
        <v/>
      </c>
      <c r="MR24" s="152">
        <f>INDEX($FI$2:$FI$13,$MB24)</f>
        <v/>
      </c>
      <c r="MS24" s="152">
        <f>INDEX($FJ$2:$FJ$13,$MB24)</f>
        <v/>
      </c>
      <c r="MT24" s="152">
        <f>INDEX($FK$2:$FK$13,$MB24)</f>
        <v/>
      </c>
      <c r="MU24" s="152">
        <f>INDEX($FV$2:$FV$13,$MB24)</f>
        <v/>
      </c>
      <c r="MV24" s="152">
        <f>INDEX($FW$2:$FW$13,$MB24)</f>
        <v/>
      </c>
      <c r="MW24" s="152">
        <f>IFERROR(MATCH($MH24,$V$2:$V$11,0),0)</f>
        <v/>
      </c>
      <c r="MX24" s="152">
        <f>IFERROR(VLOOKUP($MK24,$AV$2:$BA$84,2,FALSE),"")</f>
        <v/>
      </c>
      <c r="MY24" s="152">
        <f>IFERROR(VLOOKUP($ML24,$AV$2:$BA$84,2,FALSE),"")</f>
        <v/>
      </c>
      <c r="MZ24" s="152">
        <f>IFERROR(VLOOKUP($MM24,$AV$2:$BA$84,2,FALSE),"")</f>
        <v/>
      </c>
      <c r="NA24" s="152">
        <f>IFERROR(VLOOKUP($MN24,$AV$2:$BA$84,2,FALSE),"")</f>
        <v/>
      </c>
      <c r="NB24" s="152">
        <f>IFERROR(VLOOKUP($MK24,$AV$2:$BA$84,3,FALSE),0)</f>
        <v/>
      </c>
      <c r="NC24" s="152">
        <f>IFERROR(VLOOKUP($ML24,$AV$2:$BA$84,3,FALSE),0)</f>
        <v/>
      </c>
      <c r="ND24" s="152">
        <f>IFERROR(VLOOKUP($MM24,$AV$2:$BA$84,3,FALSE),0)</f>
        <v/>
      </c>
      <c r="NE24" s="152">
        <f>IFERROR(VLOOKUP($MN24,$AV$2:$BA$84,3,FALSE),0)</f>
        <v/>
      </c>
      <c r="NF24" s="152">
        <f>IF($MF24=0,0,IF($MW24=0,0,INDEX($X$2:$X$11,$MW24)))</f>
        <v/>
      </c>
      <c r="NG24" s="152">
        <f>IF(OR($NB24=0,$MF24=0),0,$NB24+3*IF(AND($MX24&lt;&gt;"",OR($MX24=INDEX($EF$2:$EF$13,$MB24),$MX24=INDEX($EG$2:$EG$13,$MB24))),1,0))</f>
        <v/>
      </c>
      <c r="NH24" s="152">
        <f>IF(OR($NC24=0,$MF24=0),0,$NC24+3*IF(AND($MY24&lt;&gt;"",OR($MY24=INDEX($EF$2:$EF$13,$MB24),$MY24=INDEX($EG$2:$EG$13,$MB24))),1,0))</f>
        <v/>
      </c>
      <c r="NI24" s="152">
        <f>IF(OR($ND24=0,$MF24=0),0,$ND24+3*IF(AND($MZ24&lt;&gt;"",OR($MZ24=INDEX($EF$2:$EF$13,$MB24),$MZ24=INDEX($EG$2:$EG$13,$MB24))),1,0))</f>
        <v/>
      </c>
      <c r="NJ24" s="152">
        <f>IF(OR($NE24=0,$MF24=0),0,$NE24+3*IF(AND($NA24&lt;&gt;"",OR($NA24=INDEX($EF$2:$EF$13,$MB24),$NA24=INDEX($EG$2:$EG$13,$MB24))),1,0))</f>
        <v/>
      </c>
      <c r="NK24" s="152">
        <f>IF($MW24=0,0,IF(INDEX($W$2:$W$11,$MW24)="",0,IF(COUNTIF(INDEX($EF$2:$EJ$13,$MB24,0),INDEX($W$2:$W$11,$MW24))=0,1,0)))</f>
        <v/>
      </c>
      <c r="NL24" s="152">
        <f>IF(OR($NB24=0,$MX24=""),0,IF(COUNTIF(INDEX($EF$2:$EJ$13,$MB24,0),$MX24)=0,1,0))</f>
        <v/>
      </c>
      <c r="NM24" s="152">
        <f>IF(OR($NC24=0,$MY24=""),0,IF(COUNTIF(INDEX($EF$2:$EJ$13,$MB24,0),$MY24)=0,1,0))</f>
        <v/>
      </c>
      <c r="NN24" s="152">
        <f>IF(OR($ND24=0,$MZ24=""),0,IF(COUNTIF(INDEX($EF$2:$EJ$13,$MB24,0),$MZ24)=0,1,0))</f>
        <v/>
      </c>
      <c r="NO24" s="152">
        <f>IF(OR($NE24=0,$NA24=""),0,IF(COUNTIF(INDEX($EF$2:$EJ$13,$MB24,0),$NA24)=0,1,0))</f>
        <v/>
      </c>
      <c r="NP24" s="152">
        <f>IFERROR(VLOOKUP($MK24,$AV$2:$BA$84,4,FALSE),0)+IFERROR(VLOOKUP($ML24,$AV$2:$BA$84,4,FALSE),0)+IFERROR(VLOOKUP($MM24,$AV$2:$BA$84,4,FALSE),0)+IFERROR(VLOOKUP($MN24,$AV$2:$BA$84,4,FALSE),0)</f>
        <v/>
      </c>
      <c r="NQ24" s="152">
        <f>IFERROR(VLOOKUP($MK24,$AV$2:$BA$84,6,FALSE),0)+IFERROR(VLOOKUP($ML24,$AV$2:$BA$84,6,FALSE),0)+IFERROR(VLOOKUP($MM24,$AV$2:$BA$84,6,FALSE),0)+IFERROR(VLOOKUP($MN24,$AV$2:$BA$84,6,FALSE),0)</f>
        <v/>
      </c>
      <c r="NR24" s="152">
        <f>TEXTJOIN(", ",TRUE,IF(IFERROR(VLOOKUP($MK24,$AV$2:$BA$84,5,FALSE),0)=1,$MK24,""),IF(IFERROR(VLOOKUP($ML24,$AV$2:$BA$84,5,FALSE),0)=1,$ML24,""),IF(IFERROR(VLOOKUP($MM24,$AV$2:$BA$84,5,FALSE),0)=1,$MM24,""),IF(IFERROR(VLOOKUP($MN24,$AV$2:$BA$84,5,FALSE),0)=1,$MN24,""))</f>
        <v/>
      </c>
      <c r="NS24" s="152">
        <f>IF($MW24=0,0,INDEX($Y$2:$Y$11,$MW24))</f>
        <v/>
      </c>
      <c r="NT24" s="152">
        <f>IF($MW24=0,0,INDEX($Z$2:$Z$11,$MW24))</f>
        <v/>
      </c>
      <c r="NU24" s="152">
        <f>IF($MW24=0,0,INDEX($AB$2:$AB$11,$MW24))</f>
        <v/>
      </c>
      <c r="NV24" s="152">
        <f>IFERROR(VLOOKUP($MO24,$BC$2:$BG$24,3,FALSE),0)</f>
        <v/>
      </c>
      <c r="NW24" s="152">
        <f>IFERROR(VLOOKUP($MP24,$BC$2:$BG$24,3,FALSE),0)</f>
        <v/>
      </c>
      <c r="NX24" s="152">
        <f>IFERROR(VLOOKUP($MO24,$BC$2:$BG$24,2,FALSE),"")</f>
        <v/>
      </c>
      <c r="NY24" s="152">
        <f>IFERROR(VLOOKUP($MP24,$BC$2:$BG$24,2,FALSE),"")</f>
        <v/>
      </c>
      <c r="NZ24" s="152">
        <f>COUNTIF($NF24:$NJ24,1)</f>
        <v/>
      </c>
      <c r="OA24" s="152">
        <f>COUNTIF($NF24:$NJ24,2)</f>
        <v/>
      </c>
      <c r="OB24" s="152">
        <f>COUNTIF($NF24:$NJ24,3)</f>
        <v/>
      </c>
      <c r="OC24" s="152">
        <f>COUNTIF($NF24:$NJ24,4)</f>
        <v/>
      </c>
      <c r="OD24" s="152">
        <f>COUNTIF($NF24:$NJ24,5)</f>
        <v/>
      </c>
      <c r="OE24" s="152">
        <f>COUNTIF($NF24:$NJ24,6)</f>
        <v/>
      </c>
      <c r="OF24" s="152">
        <f>COUNTIF($NV24:$NW24,1)</f>
        <v/>
      </c>
      <c r="OG24" s="152">
        <f>COUNTIF($NV24:$NW24,2)+$NS24</f>
        <v/>
      </c>
      <c r="OH24" s="152">
        <f>COUNTIF($MK24:$MN24,"?*")</f>
        <v/>
      </c>
      <c r="OI24" s="152">
        <f>COUNTIF($MO24:$MP24,"?*")+$NS24</f>
        <v/>
      </c>
      <c r="OJ24" s="152">
        <f>IF($MF24=0,0,SUMPRODUCT($NZ24:$OE24,INDEX($I$2:$N$8,MAX(1,$MF24),0)))</f>
        <v/>
      </c>
      <c r="OK24" s="152">
        <f>IF($MF24=0,0,$OF24*CEILING($MF24/2,1)+$OG24*$MF24)</f>
        <v/>
      </c>
      <c r="OL24" s="152">
        <f>MIN(2*$MF24,$OK24)</f>
        <v/>
      </c>
      <c r="OM24" s="152">
        <f>MIN($OL24,$OJ24)</f>
        <v/>
      </c>
      <c r="ON24" s="152">
        <f>$OL24-$OM24</f>
        <v/>
      </c>
      <c r="OO24" s="152">
        <f>IF($MF24=0,0,INDEX($P$2:$P$8,MAX(1,$MF24)))</f>
        <v/>
      </c>
      <c r="OP24" s="152">
        <f>$OO24-$OJ24+$OM24</f>
        <v/>
      </c>
      <c r="OQ24" s="152">
        <f>IF($MF24=0,MAX(0,$MT24-IF($OH24&gt;0,1,0)),MAX(0,$OP24))</f>
        <v/>
      </c>
      <c r="OR24" s="152">
        <f>IF($MF24=0,0,(IF(COUNTIF($MK24:$MN24,"Salto")&gt;0,1,0)+IF(COUNTIF($MK24:$MN24,"Queima")&gt;0,1,0)+IF(COUNTIF($MK24:$MN24,"Estilhaço")&gt;0,1,0))*FLOOR($OQ24/2,1))</f>
        <v/>
      </c>
      <c r="OS24" s="152">
        <f>MAX(0,2-SUMPRODUCT($NZ24:$OE24,$I$2:$N$2)+MIN(2,$OF24*1+$OG24*1,SUMPRODUCT($NZ24:$OE24,$I$2:$N$2)))</f>
        <v/>
      </c>
      <c r="OT24" s="152">
        <f>MAX(0,4-SUMPRODUCT($NZ24:$OE24,$I$3:$N$3)+MIN(4,$OF24*1+$OG24*2,SUMPRODUCT($NZ24:$OE24,$I$3:$N$3)))</f>
        <v/>
      </c>
      <c r="OU24" s="152">
        <f>MAX(0,6-SUMPRODUCT($NZ24:$OE24,$I$4:$N$4)+MIN(6,$OF24*2+$OG24*3,SUMPRODUCT($NZ24:$OE24,$I$4:$N$4)))</f>
        <v/>
      </c>
      <c r="OV24" s="152">
        <f>MAX(0,9-SUMPRODUCT($NZ24:$OE24,$I$5:$N$5)+MIN(8,$OF24*2+$OG24*4,SUMPRODUCT($NZ24:$OE24,$I$5:$N$5)))</f>
        <v/>
      </c>
      <c r="OW24" s="152">
        <f>MAX(0,11-SUMPRODUCT($NZ24:$OE24,$I$6:$N$6)+MIN(10,$OF24*3+$OG24*5,SUMPRODUCT($NZ24:$OE24,$I$6:$N$6)))</f>
        <v/>
      </c>
      <c r="OX24" s="152">
        <f>MAX(0,13-SUMPRODUCT($NZ24:$OE24,$I$7:$N$7)+MIN(12,$OF24*3+$OG24*6,SUMPRODUCT($NZ24:$OE24,$I$7:$N$7)))</f>
        <v/>
      </c>
      <c r="OY24" s="152">
        <f>MAX(0,16-SUMPRODUCT($NZ24:$OE24,$I$8:$N$8)+MIN(14,$OF24*4+$OG24*7,SUMPRODUCT($NZ24:$OE24,$I$8:$N$8)))</f>
        <v/>
      </c>
      <c r="OZ24" s="152">
        <f>IF($NT24=2,3*$OS24&amp;" de vida temp.",IF($NT24=3,"sem dano",IF($OS24=0,IF($NT24=1,"sem cura","sem dano"),IF($NT24=1,"cura ","")&amp;$OS24&amp;"d8")))</f>
        <v/>
      </c>
      <c r="PA24" s="152">
        <f>IF($NT24=2,3*$OT24&amp;" de vida temp.",IF($NT24=3,"sem dano",IF($OT24=0,IF($NT24=1,"sem cura","sem dano"),IF($NT24=1,"cura ","")&amp;$OT24&amp;"d8")))</f>
        <v/>
      </c>
      <c r="PB24" s="152">
        <f>IF($NT24=2,3*$OU24&amp;" de vida temp.",IF($NT24=3,"sem dano",IF($OU24=0,IF($NT24=1,"sem cura","sem dano"),IF($NT24=1,"cura ","")&amp;$OU24&amp;"d8")))</f>
        <v/>
      </c>
      <c r="PC24" s="152">
        <f>IF($NT24=2,3*$OV24&amp;" de vida temp.",IF($NT24=3,"sem dano",IF($OV24=0,IF($NT24=1,"sem cura","sem dano"),IF($NT24=1,"cura ","")&amp;$OV24&amp;"d8")))</f>
        <v/>
      </c>
      <c r="PD24" s="152">
        <f>IF($NT24=2,3*$OW24&amp;" de vida temp.",IF($NT24=3,"sem dano",IF($OW24=0,IF($NT24=1,"sem cura","sem dano"),IF($NT24=1,"cura ","")&amp;$OW24&amp;"d8")))</f>
        <v/>
      </c>
      <c r="PE24" s="152">
        <f>IF($NT24=2,3*$OX24&amp;" de vida temp.",IF($NT24=3,"sem dano",IF($OX24=0,IF($NT24=1,"sem cura","sem dano"),IF($NT24=1,"cura ","")&amp;$OX24&amp;"d8")))</f>
        <v/>
      </c>
      <c r="PF24" s="152">
        <f>IF($NT24=2,3*$OY24&amp;" de vida temp.",IF($NT24=3,"sem dano",IF($OY24=0,IF($NT24=1,"sem cura","sem dano"),IF($NT24=1,"cura ","")&amp;$OY24&amp;"d8")))</f>
        <v/>
      </c>
      <c r="PG24" s="152">
        <f>IF($MQ24=0,"",TEXTJOIN(" · ",TRUE,IF($MD24&gt;$MR24,"Este lugar abre no nível "&amp;$MD24,""),IF($MF24&gt;$MS24,"Classe "&amp;$MF24&amp;": o nível "&amp;$MR24&amp;" libera até a "&amp;$MS24,""),IF($NK24=1,"A Forma "&amp;$MH24&amp;" pede "&amp;INDEX($W$2:$W$11,$MW24)&amp;" aberta",""),IF(AND($MF24=0,$MW24&gt;0,IF($MW24=0,0,INDEX($AF$2:$AF$11,$MW24))=0),$MH24&amp;" não existe na Classe 0",""),IF($NL24=1,"Família Fechada: "&amp;$MK24,""),IF($NM24=1,"Família Fechada: "&amp;$ML24,""),IF($NN24=1,"Família Fechada: "&amp;$MM24,""),IF($NO24=1,"Família Fechada: "&amp;$MN24,""),IF(AND($MF24&gt;0,$OH24&gt;INDEX($O$2:$O$8,MAX(1,$MF24))),$OH24&amp;" Melhorias: a Classe "&amp;$MF24&amp;" aceita "&amp;INDEX($O$2:$O$8,MAX(1,$MF24)),""),IF(AND($MF24=0,$OH24&gt;1),"A básica aceita uma Melhoria",""),IF(AND($MF24=0,COUNTIF($NB24:$NE24,"&gt;1")&gt;0),"A básica só aceita Melhoria Leve",""),IF(AND($MF24&gt;0,$OI24&gt;2),$OI24&amp;" Restrições"&amp;IF($NS24=1,", contando a que a Forma "&amp;$MH24&amp;" já traz","")&amp;": o limite é 2",""),IF(AND($MF24=0,COUNTIF($MO24:$MP24,"?*")&gt;1),"A básica aceita uma Restrição Leve",""),IF(AND($MF24=0,COUNTIF($NV24:$NW24,2)&gt;0),"A básica só aceita Restrição Leve",""),IF(AND($MF24&gt;0,$OP24&lt;0),"Orçamento estourado: faltam "&amp;(-$OP24)&amp;IF($OP24&lt;-1," pontos"," ponto"),""),IF(IFERROR(VLOOKUP($MO24,$BC$2:$BG$24,4,FALSE),0)+IFERROR(VLOOKUP($MP24,$BC$2:$BG$24,4,FALSE),0)&gt;1,$NX24&amp;" e "&amp;$NY24&amp;" são as duas de frequência",""),IF(AND((COUNTIF($MK24:$MN24,"Rápido")+COUNTIF($NX24:$NY24,"Rápido"))&gt;0,(COUNTIF($MK24:$MN24,"Atrasar")+COUNTIF($NX24:$NY24,"Atrasar"))&gt;0),"Rápido não entra com Atrasar",""),IF(AND((COUNTIF($MK24:$MN24,"Reação")+COUNTIF($NX24:$NY24,"Reação"))&gt;0,(COUNTIF($MK24:$MN24,"Rápido")+COUNTIF($NX24:$NY24,"Rápido"))&gt;0),"Reação não entra com Rápido",""),IF(AND((COUNTIF($MK24:$MN24,"Reação")+COUNTIF($NX24:$NY24,"Reação"))&gt;0,(COUNTIF($MK24:$MN24,"Armado")+COUNTIF($NX24:$NY24,"Armado"))&gt;0),"Reação não entra com Armado",""),IF(AND((COUNTIF($MK24:$MN24,"Reação")+COUNTIF($NX24:$NY24,"Reação"))&gt;0,(COUNTIF($MK24:$MN24,"Atrasar")+COUNTIF($NX24:$NY24,"Atrasar"))&gt;0),"Reação não entra com Atrasar",""),IF(AND((COUNTIF($MK24:$MN24,"Reação")+COUNTIF($NX24:$NY24,"Reação"))&gt;0,(COUNTIF($MK24:$MN24,"Parado")+COUNTIF($NX24:$NY24,"Parado"))&gt;0),"Reação não entra com Parado",""),IF(AND((COUNTIF($MK24:$MN24,"Atrasar")+COUNTIF($NX24:$NY24,"Atrasar"))&gt;0,(COUNTIF($MK24:$MN24,"Parado")+COUNTIF($NX24:$NY24,"Parado"))&gt;0),"Atrasar não entra com Parado",""),IF(AND((COUNTIF($MK24:$MN24,"Armado")+COUNTIF($NX24:$NY24,"Armado"))&gt;0,(COUNTIF($MK24:$MN24,"Carregar")+COUNTIF($NX24:$NY24,"Carregar"))&gt;0),"Armado não entra com Carregar",""),IF(AND(COUNTIF($NX24:$NY24,"Corpo a Corpo")&gt;0,$NS24=0,OR($MH24="Cone",$MH24="Linha")),"Corpo a Corpo não entra em "&amp;$MH24,""),IF(AND(COUNTIF($NX24:$NY24,"Corpo a Corpo")&gt;0,$NS24=1),"A Forma "&amp;$MH24&amp;" já traz o Corpo a Corpo",""),IF(AND(COUNTIF($NX24:$NY24,"Tudo ou Nada")&gt;0,$NU24=0),"Tudo ou Nada só entra em habilidade de Teste de Resistência",""),IF(AND(COUNTIF($MK24:$MN24,"Inescapável")&gt;0,OR($OH24&gt;1,$OI24&gt;0)),"Inescapável não aceita outra peça",""),IF(AND($MF24&gt;0,$OQ24*IF(COUNTIF($MK24:$MN24,"Remate")&gt;0,1.25,1)+$OR24&gt;4*$MF24),($OQ24*IF(COUNTIF($MK24:$MN24,"Remate")&gt;0,1.25,1)+$OR24)&amp;" dados somando repetições"&amp;IF(COUNTIF($MK24:$MN24,"Remate")&gt;0," e o Remate","")&amp;": o teto da Classe "&amp;$MF24&amp;" é "&amp;4*$MF24,"")))</f>
        <v/>
      </c>
      <c r="PH24" s="152">
        <f>IF($PG24="",0,(LEN($PG24)-LEN(SUBSTITUTE($PG24," · ","")))/3+1)</f>
        <v/>
      </c>
      <c r="PI24" s="152">
        <f>IF($MQ24=0,"",TEXTJOIN(" · ",TRUE,IF($OK24&gt;2*$MF24,"A devolução parou no teto de "&amp;2*$MF24,""),IF($ON24&gt;0,"Devolução perdida: "&amp;$ON24&amp;IF($ON24&gt;1," pontos"," ponto")&amp;" sem peça para pagar",""),IF(AND($NP24&gt;0,AND($MF24&gt;0,$NT24=0),$OQ24=0),"Controle sem dano: uma rodada a mais e CD +2",""),IF(AND($NP24&gt;0,AND($MF24&gt;0,$NT24=0),$OQ24&gt;0,$OQ24&lt;=$MF24),"Controle com saldo até a Classe: uma rodada a mais",""),IF(AND($MF24&gt;0,$NR24&lt;&gt;""),"Efeito de "&amp;$NR24&amp;" pela Classe "&amp;MAX(1,$MF24-1),"")))</f>
        <v/>
      </c>
      <c r="PJ24" s="152">
        <f>IF($PI24="",0,(LEN($PI24)-LEN(SUBSTITUTE($PI24," · ","")))/3+1)</f>
        <v/>
      </c>
      <c r="PK24" s="152">
        <f>IF($MQ24=0,IF($OH24+COUNTIF($MO24:$MP24,"?*")&gt;0,"Dê um nome",""),IF($PH24&gt;0,"⚠ "&amp;$PH24&amp;IF($PH24&gt;1," erros"," erro"),IF($PJ24&gt;0,"! "&amp;$PJ24&amp;IF($PJ24&gt;1," avisos"," aviso"),"Na regra")))</f>
        <v/>
      </c>
      <c r="PL24" s="152">
        <f>IF($MQ24=0,"",IF($PH24+$PJ24=0,"Dentro das regras que a ficha confere",$PG24&amp;IF(AND($PH24&gt;0,$PJ24&gt;0)," · ","")&amp;$PI24))</f>
        <v/>
      </c>
      <c r="PM24" s="152">
        <f>IF($MD24&gt;$MR24,$ME24&amp;" · ABRE NO NÍVEL "&amp;$MD24,$ME24)</f>
        <v/>
      </c>
      <c r="PN24" s="152">
        <f>IF($MQ24=0,"",IF($MF24=0,"Sem PE",3*$MF24&amp;" PE"))</f>
        <v/>
      </c>
      <c r="PO24" s="152">
        <f>IF($MQ24=0,"",IF($MF24=0,"A atuação básica dela",IF(COUNTIF($NX24:$NY24,"Atrasar")&gt;0,"Sua Ação Completa",IF(COUNTIF($MK24:$MN24,"Rápido")&gt;0,"Sua Bônus",IF(COUNTIF($MK24:$MN24,"Reação")&gt;0,"Sua Reação","Sua Padrão")))&amp;" + a básica dela"&amp;IF(COUNTIF($MK24:$MN24,"Reação")&gt;0," e a coletiva","")&amp;IF(COUNTIF($NX24:$NY24,"Carregar")&gt;0," · em dois turnos","")))</f>
        <v/>
      </c>
      <c r="PP24" s="152">
        <f>IF($MJ24&lt;&gt;"",$MJ24,IF($MW24=0,"",INDEX($AA$2:$AA$11,$MW24)))</f>
        <v/>
      </c>
      <c r="PQ24" s="152">
        <f>IF(OR($MQ24=0,$MW24=0),"",IF(COUNTIF($MK24:$MN24,"Inescapável")&gt;0,"Automático",IF($PP24="Ataque",IF($MU24="","Ataque","Ataque "&amp;IF(($MU24+2*IF(COUNTIF($MK24:$MN24,"Precisão")&gt;0,1,0))&gt;=0,"+","−")&amp;ABS(($MU24+2*IF(COUNTIF($MK24:$MN24,"Precisão")&gt;0,1,0))))&amp;IF($NQ24&gt;0," · TR"&amp;IF($MV24="",""," CD "&amp;$MV24),""),IF(LEFT($PP24,2)="TR",$PP24&amp;IF($MV24="",""," · CD "&amp;$MV24)&amp;IF(COUNTIF($MK24:$MN24,"Certeiro")&gt;0," · metade",""),"Sem rolagem"))))</f>
        <v/>
      </c>
      <c r="PR24" s="152">
        <f>IF(OR($MQ24=0,$MW24=0),"",IF($MF24=0,IF(OR($NT24&gt;=1,$OQ24=0),"Sem dano",$OQ24&amp;"d6"&amp;IF($MI24="",""," "&amp;$MI24)),IF(OR($NT24&gt;=1,$OQ24=0),UPPER(LEFT(INDEX($OZ24:$PF24,1,MAX(1,$MF24)),1))&amp;MID(INDEX($OZ24:$PF24,1,MAX(1,$MF24)),2,99),UPPER(LEFT(INDEX($OZ24:$PF24,1,MAX(1,$MF24)),1))&amp;MID(INDEX($OZ24:$PF24,1,MAX(1,$MF24)),2,99)&amp;IF($MI24="",""," "&amp;$MI24)&amp;IF($OR24&gt;0," · +"&amp;$OR24&amp;"d8",""))))</f>
        <v/>
      </c>
      <c r="PS24" s="152">
        <f>COUNTIF($MK24:$MN24,"Longe")+3*COUNTIF($MK24:$MN24,"Muito Longe")</f>
        <v/>
      </c>
      <c r="PT24" s="152">
        <f>COUNTIF($MK24:$MN24,"Maior")+3*COUNTIF($MK24:$MN24,"Muito Maior")</f>
        <v/>
      </c>
      <c r="PU24" s="152">
        <f>IF($MW24=0,0,CHOOSE(1+INDEX($AC$2:$AC$11,$MW24),0,$PS24,$PT24,$PS24+$PT24))</f>
        <v/>
      </c>
      <c r="PV24" s="152">
        <f>IF($MW24=0,0,CHOOSE(1+INDEX($AD$2:$AD$11,$MW24),0,$PS24,$PT24,$PS24+$PT24))</f>
        <v/>
      </c>
      <c r="PW24" s="152">
        <f>IF(OR($MQ24=0,$MW24=0),"",INDEX($AI$2:$AN$41,($MW24-1)*4+IF($MF24=0,1,IF($MF24&lt;=5,2,IF($MF24=6,3,4))),1+MIN(5,$PU24))&amp;INDEX($AO$2:$AT$41,($MW24-1)*4+IF($MF24=0,1,IF($MF24&lt;=5,2,IF($MF24=6,3,4))),1+MIN(5,$PV24))&amp;IF(INDEX($AE$2:$AE$11,$MW24)=1,IF(COUNTIF($MK24:$MN24,"Mais Um")&gt;0," · +"&amp;COUNTIF($MK24:$MN24,"Mais Um")&amp;IF(COUNTIF($MK24:$MN24,"Mais Um")&gt;1," alvos"," alvo"),"")&amp;IF(COUNTIF($MK24:$MN24,"Rajada")&gt;0,IF($MF24=0," · 1 tiro"," · "&amp;(MAX(1,$MF24-1)+1)&amp;" tiros"),""),""))</f>
        <v/>
      </c>
      <c r="PX24" s="152">
        <f>IF($MQ24=0,"",IF($MF24=0,$MT24&amp;"d6"&amp;IF($OH24&gt;0," − 1 = "&amp;$OQ24&amp;"d6"," da básica do nível "&amp;$MR24),$OO24&amp;" − "&amp;$OJ24&amp;" + "&amp;$OM24&amp;" = "&amp;$OP24&amp;" · teto "&amp;4*$MF24&amp;"d8"&amp;IF($NS24=1," · a Forma devolve "&amp;$MF24,"")&amp;IF($ON24&gt;0," · perde "&amp;$ON24,"")))</f>
        <v/>
      </c>
      <c r="PY24" s="152">
        <f>IF($MQ24=0,"",IF($MF24=0,"A básica não amplia: os dados dela sobem com o nível",IF($MF24&gt;=$MS24,"Já está na maior Classe que o nível liberou",TEXTJOIN(" · ",TRUE,IF(AND(2&gt;$MF24,2&lt;=$MS24),"2 → "&amp;$PA24&amp;", 6 PE",""),IF(AND(3&gt;$MF24,3&lt;=$MS24),"3 → "&amp;$PB24&amp;", 9 PE",""),IF(AND(4&gt;$MF24,4&lt;=$MS24),"4 → "&amp;$PC24&amp;", 12 PE",""),IF(AND(5&gt;$MF24,5&lt;=$MS24),"5 → "&amp;$PD24&amp;", 15 PE",""),IF(AND(6&gt;$MF24,6&lt;=$MS24),"6 → "&amp;$PE24&amp;", 18 PE",""),IF(AND(7&gt;$MF24,7&lt;=$MS24),"7 → "&amp;$PF24&amp;", 21 PE","")))))</f>
        <v/>
      </c>
      <c r="PZ24" s="152">
        <f>IF(OR($MQ24=0,$NB24=0),"",IF($MF24=0,"−1 dado","−"&amp;INDEX($I$2:$N$8,MAX(1,$MF24),MAX(1,$NG24))&amp;" · "&amp;CHOOSE(MAX(1,$NG24),"Leve","Média","Pesada","Leve · Livre","Média · Livre","Pesada · Livre")))</f>
        <v/>
      </c>
      <c r="QA24" s="152">
        <f>IF(OR($MQ24=0,$NC24=0),"",IF($MF24=0,"−1 dado","−"&amp;INDEX($I$2:$N$8,MAX(1,$MF24),MAX(1,$NH24))&amp;" · "&amp;CHOOSE(MAX(1,$NH24),"Leve","Média","Pesada","Leve · Livre","Média · Livre","Pesada · Livre")))</f>
        <v/>
      </c>
      <c r="QB24" s="152">
        <f>IF(OR($MQ24=0,$ND24=0),"",IF($MF24=0,"−1 dado","−"&amp;INDEX($I$2:$N$8,MAX(1,$MF24),MAX(1,$NI24))&amp;" · "&amp;CHOOSE(MAX(1,$NI24),"Leve","Média","Pesada","Leve · Livre","Média · Livre","Pesada · Livre")))</f>
        <v/>
      </c>
      <c r="QC24" s="152">
        <f>IF(OR($MQ24=0,$NE24=0),"",IF($MF24=0,"−1 dado","−"&amp;INDEX($I$2:$N$8,MAX(1,$MF24),MAX(1,$NJ24))&amp;" · "&amp;CHOOSE(MAX(1,$NJ24),"Leve","Média","Pesada","Leve · Livre","Média · Livre","Pesada · Livre")))</f>
        <v/>
      </c>
      <c r="QD24" s="152">
        <f>IF(OR($MQ24=0,$MO24=""),"",IF($MF24=0,"não devolve","+"&amp;IF($NV24=1,CEILING($MF24/2,1),$MF24)))</f>
        <v/>
      </c>
      <c r="QE24" s="152">
        <f>IF(OR($MQ24=0,$MP24=""),"",IF($MF24=0,"não devolve","+"&amp;IF($NW24=1,CEILING($MF24/2,1),$MF24)))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BA25" s="152" t="n">
        <v>1</v>
      </c>
      <c r="JG25" s="152">
        <f>IF(OR($AW25="",COUNTIF($EF$2:$EJ$2,$AW25)&gt;0),$AV25,"")</f>
        <v/>
      </c>
      <c r="JH25" s="152">
        <f>IF(AND($AX25=1,OR($AW25="",COUNTIF($EF$2:$EJ$2,$AW25)&gt;0)),$AV25,"")</f>
        <v/>
      </c>
      <c r="JM25" s="152">
        <f>IF(OR($AW25="",COUNTIF($EF$3:$EJ$3,$AW25)&gt;0),$AV25,"")</f>
        <v/>
      </c>
      <c r="JN25" s="152">
        <f>IF(AND($AX25=1,OR($AW25="",COUNTIF($EF$3:$EJ$3,$AW25)&gt;0)),$AV25,"")</f>
        <v/>
      </c>
      <c r="JS25" s="152">
        <f>IF(OR($AW25="",COUNTIF($EF$4:$EJ$4,$AW25)&gt;0),$AV25,"")</f>
        <v/>
      </c>
      <c r="JT25" s="152">
        <f>IF(AND($AX25=1,OR($AW25="",COUNTIF($EF$4:$EJ$4,$AW25)&gt;0)),$AV25,"")</f>
        <v/>
      </c>
      <c r="JY25" s="152">
        <f>IF(OR($AW25="",COUNTIF($EF$5:$EJ$5,$AW25)&gt;0),$AV25,"")</f>
        <v/>
      </c>
      <c r="JZ25" s="152">
        <f>IF(AND($AX25=1,OR($AW25="",COUNTIF($EF$5:$EJ$5,$AW25)&gt;0)),$AV25,"")</f>
        <v/>
      </c>
      <c r="KE25" s="152">
        <f>IF(OR($AW25="",COUNTIF($EF$6:$EJ$6,$AW25)&gt;0),$AV25,"")</f>
        <v/>
      </c>
      <c r="KF25" s="152">
        <f>IF(AND($AX25=1,OR($AW25="",COUNTIF($EF$6:$EJ$6,$AW25)&gt;0)),$AV25,"")</f>
        <v/>
      </c>
      <c r="KK25" s="152">
        <f>IF(OR($AW25="",COUNTIF($EF$7:$EJ$7,$AW25)&gt;0),$AV25,"")</f>
        <v/>
      </c>
      <c r="KL25" s="152">
        <f>IF(AND($AX25=1,OR($AW25="",COUNTIF($EF$7:$EJ$7,$AW25)&gt;0)),$AV25,"")</f>
        <v/>
      </c>
      <c r="KQ25" s="152">
        <f>IF(OR($AW25="",COUNTIF($EF$8:$EJ$8,$AW25)&gt;0),$AV25,"")</f>
        <v/>
      </c>
      <c r="KR25" s="152">
        <f>IF(AND($AX25=1,OR($AW25="",COUNTIF($EF$8:$EJ$8,$AW25)&gt;0)),$AV25,"")</f>
        <v/>
      </c>
      <c r="KW25" s="152">
        <f>IF(OR($AW25="",COUNTIF($EF$9:$EJ$9,$AW25)&gt;0),$AV25,"")</f>
        <v/>
      </c>
      <c r="KX25" s="152">
        <f>IF(AND($AX25=1,OR($AW25="",COUNTIF($EF$9:$EJ$9,$AW25)&gt;0)),$AV25,"")</f>
        <v/>
      </c>
      <c r="LC25" s="152">
        <f>IF(OR($AW25="",COUNTIF($EF$10:$EJ$10,$AW25)&gt;0),$AV25,"")</f>
        <v/>
      </c>
      <c r="LD25" s="152">
        <f>IF(AND($AX25=1,OR($AW25="",COUNTIF($EF$10:$EJ$10,$AW25)&gt;0)),$AV25,"")</f>
        <v/>
      </c>
      <c r="LI25" s="152">
        <f>IF(OR($AW25="",COUNTIF($EF$11:$EJ$11,$AW25)&gt;0),$AV25,"")</f>
        <v/>
      </c>
      <c r="LJ25" s="152">
        <f>IF(AND($AX25=1,OR($AW25="",COUNTIF($EF$11:$EJ$11,$AW25)&gt;0)),$AV25,"")</f>
        <v/>
      </c>
      <c r="LO25" s="152">
        <f>IF(OR($AW25="",COUNTIF($EF$12:$EJ$12,$AW25)&gt;0),$AV25,"")</f>
        <v/>
      </c>
      <c r="LP25" s="152">
        <f>IF(AND($AX25=1,OR($AW25="",COUNTIF($EF$12:$EJ$12,$AW25)&gt;0)),$AV25,"")</f>
        <v/>
      </c>
      <c r="LU25" s="152">
        <f>IF(OR($AW25="",COUNTIF($EF$13:$EJ$13,$AW25)&gt;0),$AV25,"")</f>
        <v/>
      </c>
      <c r="LV25" s="152">
        <f>IF(AND($AX25=1,OR($AW25="",COUNTIF($EF$13:$EJ$13,$AW25)&gt;0)),$AV25,"")</f>
        <v/>
      </c>
      <c r="MA25" s="150" t="inlineStr">
        <is>
          <t>Ficha 2 · Escolha da trilha 1</t>
        </is>
      </c>
      <c r="MB25" s="152" t="n">
        <v>2</v>
      </c>
      <c r="MC25" s="152" t="n">
        <v>2</v>
      </c>
      <c r="MD25" s="152" t="n">
        <v>0</v>
      </c>
      <c r="ME25" s="150" t="inlineStr">
        <is>
          <t>ESCOLHA DA TRILHA 1</t>
        </is>
      </c>
      <c r="MF25" s="152">
        <f>MAX(0,MIN(7,N('INVOCAÇÕES'!$I$358)))</f>
        <v/>
      </c>
      <c r="MG25" s="152">
        <f>'INVOCAÇÕES'!$J$358&amp;""</f>
        <v/>
      </c>
      <c r="MH25" s="152">
        <f>'INVOCAÇÕES'!$I$363&amp;""</f>
        <v/>
      </c>
      <c r="MI25" s="152">
        <f>'INVOCAÇÕES'!$I$364&amp;""</f>
        <v/>
      </c>
      <c r="MJ25" s="152">
        <f>'INVOCAÇÕES'!$K$364&amp;""</f>
        <v/>
      </c>
      <c r="MK25" s="152">
        <f>'INVOCAÇÕES'!$J$367&amp;""</f>
        <v/>
      </c>
      <c r="ML25" s="152">
        <f>'INVOCAÇÕES'!$J$368&amp;""</f>
        <v/>
      </c>
      <c r="MM25" s="152">
        <f>'INVOCAÇÕES'!$J$369&amp;""</f>
        <v/>
      </c>
      <c r="MN25" s="152">
        <f>'INVOCAÇÕES'!$J$370&amp;""</f>
        <v/>
      </c>
      <c r="MO25" s="152">
        <f>'INVOCAÇÕES'!$J$371&amp;""</f>
        <v/>
      </c>
      <c r="MP25" s="152">
        <f>'INVOCAÇÕES'!$J$372&amp;""</f>
        <v/>
      </c>
      <c r="MQ25" s="152">
        <f>IF($MG25&lt;&gt;"",1,0)</f>
        <v/>
      </c>
      <c r="MR25" s="152">
        <f>INDEX($FI$2:$FI$13,$MB25)</f>
        <v/>
      </c>
      <c r="MS25" s="152">
        <f>INDEX($FJ$2:$FJ$13,$MB25)</f>
        <v/>
      </c>
      <c r="MT25" s="152">
        <f>INDEX($FK$2:$FK$13,$MB25)</f>
        <v/>
      </c>
      <c r="MU25" s="152">
        <f>INDEX($FV$2:$FV$13,$MB25)</f>
        <v/>
      </c>
      <c r="MV25" s="152">
        <f>INDEX($FW$2:$FW$13,$MB25)</f>
        <v/>
      </c>
      <c r="MW25" s="152">
        <f>IFERROR(MATCH($MH25,$V$2:$V$11,0),0)</f>
        <v/>
      </c>
      <c r="MX25" s="152">
        <f>IFERROR(VLOOKUP($MK25,$AV$2:$BA$84,2,FALSE),"")</f>
        <v/>
      </c>
      <c r="MY25" s="152">
        <f>IFERROR(VLOOKUP($ML25,$AV$2:$BA$84,2,FALSE),"")</f>
        <v/>
      </c>
      <c r="MZ25" s="152">
        <f>IFERROR(VLOOKUP($MM25,$AV$2:$BA$84,2,FALSE),"")</f>
        <v/>
      </c>
      <c r="NA25" s="152">
        <f>IFERROR(VLOOKUP($MN25,$AV$2:$BA$84,2,FALSE),"")</f>
        <v/>
      </c>
      <c r="NB25" s="152">
        <f>IFERROR(VLOOKUP($MK25,$AV$2:$BA$84,3,FALSE),0)</f>
        <v/>
      </c>
      <c r="NC25" s="152">
        <f>IFERROR(VLOOKUP($ML25,$AV$2:$BA$84,3,FALSE),0)</f>
        <v/>
      </c>
      <c r="ND25" s="152">
        <f>IFERROR(VLOOKUP($MM25,$AV$2:$BA$84,3,FALSE),0)</f>
        <v/>
      </c>
      <c r="NE25" s="152">
        <f>IFERROR(VLOOKUP($MN25,$AV$2:$BA$84,3,FALSE),0)</f>
        <v/>
      </c>
      <c r="NF25" s="152">
        <f>IF($MF25=0,0,IF($MW25=0,0,INDEX($X$2:$X$11,$MW25)))</f>
        <v/>
      </c>
      <c r="NG25" s="152">
        <f>IF(OR($NB25=0,$MF25=0),0,$NB25+3*IF(AND($MX25&lt;&gt;"",OR($MX25=INDEX($EF$2:$EF$13,$MB25),$MX25=INDEX($EG$2:$EG$13,$MB25))),1,0))</f>
        <v/>
      </c>
      <c r="NH25" s="152">
        <f>IF(OR($NC25=0,$MF25=0),0,$NC25+3*IF(AND($MY25&lt;&gt;"",OR($MY25=INDEX($EF$2:$EF$13,$MB25),$MY25=INDEX($EG$2:$EG$13,$MB25))),1,0))</f>
        <v/>
      </c>
      <c r="NI25" s="152">
        <f>IF(OR($ND25=0,$MF25=0),0,$ND25+3*IF(AND($MZ25&lt;&gt;"",OR($MZ25=INDEX($EF$2:$EF$13,$MB25),$MZ25=INDEX($EG$2:$EG$13,$MB25))),1,0))</f>
        <v/>
      </c>
      <c r="NJ25" s="152">
        <f>IF(OR($NE25=0,$MF25=0),0,$NE25+3*IF(AND($NA25&lt;&gt;"",OR($NA25=INDEX($EF$2:$EF$13,$MB25),$NA25=INDEX($EG$2:$EG$13,$MB25))),1,0))</f>
        <v/>
      </c>
      <c r="NK25" s="152">
        <f>IF($MW25=0,0,IF(INDEX($W$2:$W$11,$MW25)="",0,IF(COUNTIF(INDEX($EF$2:$EJ$13,$MB25,0),INDEX($W$2:$W$11,$MW25))=0,1,0)))</f>
        <v/>
      </c>
      <c r="NL25" s="152">
        <f>IF(OR($NB25=0,$MX25=""),0,IF(COUNTIF(INDEX($EF$2:$EJ$13,$MB25,0),$MX25)=0,1,0))</f>
        <v/>
      </c>
      <c r="NM25" s="152">
        <f>IF(OR($NC25=0,$MY25=""),0,IF(COUNTIF(INDEX($EF$2:$EJ$13,$MB25,0),$MY25)=0,1,0))</f>
        <v/>
      </c>
      <c r="NN25" s="152">
        <f>IF(OR($ND25=0,$MZ25=""),0,IF(COUNTIF(INDEX($EF$2:$EJ$13,$MB25,0),$MZ25)=0,1,0))</f>
        <v/>
      </c>
      <c r="NO25" s="152">
        <f>IF(OR($NE25=0,$NA25=""),0,IF(COUNTIF(INDEX($EF$2:$EJ$13,$MB25,0),$NA25)=0,1,0))</f>
        <v/>
      </c>
      <c r="NP25" s="152">
        <f>IFERROR(VLOOKUP($MK25,$AV$2:$BA$84,4,FALSE),0)+IFERROR(VLOOKUP($ML25,$AV$2:$BA$84,4,FALSE),0)+IFERROR(VLOOKUP($MM25,$AV$2:$BA$84,4,FALSE),0)+IFERROR(VLOOKUP($MN25,$AV$2:$BA$84,4,FALSE),0)</f>
        <v/>
      </c>
      <c r="NQ25" s="152">
        <f>IFERROR(VLOOKUP($MK25,$AV$2:$BA$84,6,FALSE),0)+IFERROR(VLOOKUP($ML25,$AV$2:$BA$84,6,FALSE),0)+IFERROR(VLOOKUP($MM25,$AV$2:$BA$84,6,FALSE),0)+IFERROR(VLOOKUP($MN25,$AV$2:$BA$84,6,FALSE),0)</f>
        <v/>
      </c>
      <c r="NR25" s="152">
        <f>TEXTJOIN(", ",TRUE,IF(IFERROR(VLOOKUP($MK25,$AV$2:$BA$84,5,FALSE),0)=1,$MK25,""),IF(IFERROR(VLOOKUP($ML25,$AV$2:$BA$84,5,FALSE),0)=1,$ML25,""),IF(IFERROR(VLOOKUP($MM25,$AV$2:$BA$84,5,FALSE),0)=1,$MM25,""),IF(IFERROR(VLOOKUP($MN25,$AV$2:$BA$84,5,FALSE),0)=1,$MN25,""))</f>
        <v/>
      </c>
      <c r="NS25" s="152">
        <f>IF($MW25=0,0,INDEX($Y$2:$Y$11,$MW25))</f>
        <v/>
      </c>
      <c r="NT25" s="152">
        <f>IF($MW25=0,0,INDEX($Z$2:$Z$11,$MW25))</f>
        <v/>
      </c>
      <c r="NU25" s="152">
        <f>IF($MW25=0,0,INDEX($AB$2:$AB$11,$MW25))</f>
        <v/>
      </c>
      <c r="NV25" s="152">
        <f>IFERROR(VLOOKUP($MO25,$BC$2:$BG$24,3,FALSE),0)</f>
        <v/>
      </c>
      <c r="NW25" s="152">
        <f>IFERROR(VLOOKUP($MP25,$BC$2:$BG$24,3,FALSE),0)</f>
        <v/>
      </c>
      <c r="NX25" s="152">
        <f>IFERROR(VLOOKUP($MO25,$BC$2:$BG$24,2,FALSE),"")</f>
        <v/>
      </c>
      <c r="NY25" s="152">
        <f>IFERROR(VLOOKUP($MP25,$BC$2:$BG$24,2,FALSE),"")</f>
        <v/>
      </c>
      <c r="NZ25" s="152">
        <f>COUNTIF($NF25:$NJ25,1)</f>
        <v/>
      </c>
      <c r="OA25" s="152">
        <f>COUNTIF($NF25:$NJ25,2)</f>
        <v/>
      </c>
      <c r="OB25" s="152">
        <f>COUNTIF($NF25:$NJ25,3)</f>
        <v/>
      </c>
      <c r="OC25" s="152">
        <f>COUNTIF($NF25:$NJ25,4)</f>
        <v/>
      </c>
      <c r="OD25" s="152">
        <f>COUNTIF($NF25:$NJ25,5)</f>
        <v/>
      </c>
      <c r="OE25" s="152">
        <f>COUNTIF($NF25:$NJ25,6)</f>
        <v/>
      </c>
      <c r="OF25" s="152">
        <f>COUNTIF($NV25:$NW25,1)</f>
        <v/>
      </c>
      <c r="OG25" s="152">
        <f>COUNTIF($NV25:$NW25,2)+$NS25</f>
        <v/>
      </c>
      <c r="OH25" s="152">
        <f>COUNTIF($MK25:$MN25,"?*")</f>
        <v/>
      </c>
      <c r="OI25" s="152">
        <f>COUNTIF($MO25:$MP25,"?*")+$NS25</f>
        <v/>
      </c>
      <c r="OJ25" s="152">
        <f>IF($MF25=0,0,SUMPRODUCT($NZ25:$OE25,INDEX($I$2:$N$8,MAX(1,$MF25),0)))</f>
        <v/>
      </c>
      <c r="OK25" s="152">
        <f>IF($MF25=0,0,$OF25*CEILING($MF25/2,1)+$OG25*$MF25)</f>
        <v/>
      </c>
      <c r="OL25" s="152">
        <f>MIN(2*$MF25,$OK25)</f>
        <v/>
      </c>
      <c r="OM25" s="152">
        <f>MIN($OL25,$OJ25)</f>
        <v/>
      </c>
      <c r="ON25" s="152">
        <f>$OL25-$OM25</f>
        <v/>
      </c>
      <c r="OO25" s="152">
        <f>IF($MF25=0,0,INDEX($P$2:$P$8,MAX(1,$MF25)))</f>
        <v/>
      </c>
      <c r="OP25" s="152">
        <f>$OO25-$OJ25+$OM25</f>
        <v/>
      </c>
      <c r="OQ25" s="152">
        <f>IF($MF25=0,MAX(0,$MT25-IF($OH25&gt;0,1,0)),MAX(0,$OP25))</f>
        <v/>
      </c>
      <c r="OR25" s="152">
        <f>IF($MF25=0,0,(IF(COUNTIF($MK25:$MN25,"Salto")&gt;0,1,0)+IF(COUNTIF($MK25:$MN25,"Queima")&gt;0,1,0)+IF(COUNTIF($MK25:$MN25,"Estilhaço")&gt;0,1,0))*FLOOR($OQ25/2,1))</f>
        <v/>
      </c>
      <c r="OS25" s="152">
        <f>MAX(0,2-SUMPRODUCT($NZ25:$OE25,$I$2:$N$2)+MIN(2,$OF25*1+$OG25*1,SUMPRODUCT($NZ25:$OE25,$I$2:$N$2)))</f>
        <v/>
      </c>
      <c r="OT25" s="152">
        <f>MAX(0,4-SUMPRODUCT($NZ25:$OE25,$I$3:$N$3)+MIN(4,$OF25*1+$OG25*2,SUMPRODUCT($NZ25:$OE25,$I$3:$N$3)))</f>
        <v/>
      </c>
      <c r="OU25" s="152">
        <f>MAX(0,6-SUMPRODUCT($NZ25:$OE25,$I$4:$N$4)+MIN(6,$OF25*2+$OG25*3,SUMPRODUCT($NZ25:$OE25,$I$4:$N$4)))</f>
        <v/>
      </c>
      <c r="OV25" s="152">
        <f>MAX(0,9-SUMPRODUCT($NZ25:$OE25,$I$5:$N$5)+MIN(8,$OF25*2+$OG25*4,SUMPRODUCT($NZ25:$OE25,$I$5:$N$5)))</f>
        <v/>
      </c>
      <c r="OW25" s="152">
        <f>MAX(0,11-SUMPRODUCT($NZ25:$OE25,$I$6:$N$6)+MIN(10,$OF25*3+$OG25*5,SUMPRODUCT($NZ25:$OE25,$I$6:$N$6)))</f>
        <v/>
      </c>
      <c r="OX25" s="152">
        <f>MAX(0,13-SUMPRODUCT($NZ25:$OE25,$I$7:$N$7)+MIN(12,$OF25*3+$OG25*6,SUMPRODUCT($NZ25:$OE25,$I$7:$N$7)))</f>
        <v/>
      </c>
      <c r="OY25" s="152">
        <f>MAX(0,16-SUMPRODUCT($NZ25:$OE25,$I$8:$N$8)+MIN(14,$OF25*4+$OG25*7,SUMPRODUCT($NZ25:$OE25,$I$8:$N$8)))</f>
        <v/>
      </c>
      <c r="OZ25" s="152">
        <f>IF($NT25=2,3*$OS25&amp;" de vida temp.",IF($NT25=3,"sem dano",IF($OS25=0,IF($NT25=1,"sem cura","sem dano"),IF($NT25=1,"cura ","")&amp;$OS25&amp;"d8")))</f>
        <v/>
      </c>
      <c r="PA25" s="152">
        <f>IF($NT25=2,3*$OT25&amp;" de vida temp.",IF($NT25=3,"sem dano",IF($OT25=0,IF($NT25=1,"sem cura","sem dano"),IF($NT25=1,"cura ","")&amp;$OT25&amp;"d8")))</f>
        <v/>
      </c>
      <c r="PB25" s="152">
        <f>IF($NT25=2,3*$OU25&amp;" de vida temp.",IF($NT25=3,"sem dano",IF($OU25=0,IF($NT25=1,"sem cura","sem dano"),IF($NT25=1,"cura ","")&amp;$OU25&amp;"d8")))</f>
        <v/>
      </c>
      <c r="PC25" s="152">
        <f>IF($NT25=2,3*$OV25&amp;" de vida temp.",IF($NT25=3,"sem dano",IF($OV25=0,IF($NT25=1,"sem cura","sem dano"),IF($NT25=1,"cura ","")&amp;$OV25&amp;"d8")))</f>
        <v/>
      </c>
      <c r="PD25" s="152">
        <f>IF($NT25=2,3*$OW25&amp;" de vida temp.",IF($NT25=3,"sem dano",IF($OW25=0,IF($NT25=1,"sem cura","sem dano"),IF($NT25=1,"cura ","")&amp;$OW25&amp;"d8")))</f>
        <v/>
      </c>
      <c r="PE25" s="152">
        <f>IF($NT25=2,3*$OX25&amp;" de vida temp.",IF($NT25=3,"sem dano",IF($OX25=0,IF($NT25=1,"sem cura","sem dano"),IF($NT25=1,"cura ","")&amp;$OX25&amp;"d8")))</f>
        <v/>
      </c>
      <c r="PF25" s="152">
        <f>IF($NT25=2,3*$OY25&amp;" de vida temp.",IF($NT25=3,"sem dano",IF($OY25=0,IF($NT25=1,"sem cura","sem dano"),IF($NT25=1,"cura ","")&amp;$OY25&amp;"d8")))</f>
        <v/>
      </c>
      <c r="PG25" s="152">
        <f>IF($MQ25=0,"",TEXTJOIN(" · ",TRUE,IF($MD25&gt;$MR25,"Este lugar abre no nível "&amp;$MD25,""),IF($MF25&gt;$MS25,"Classe "&amp;$MF25&amp;": o nível "&amp;$MR25&amp;" libera até a "&amp;$MS25,""),IF($NK25=1,"A Forma "&amp;$MH25&amp;" pede "&amp;INDEX($W$2:$W$11,$MW25)&amp;" aberta",""),IF(AND($MF25=0,$MW25&gt;0,IF($MW25=0,0,INDEX($AF$2:$AF$11,$MW25))=0),$MH25&amp;" não existe na Classe 0",""),IF($NL25=1,"Família Fechada: "&amp;$MK25,""),IF($NM25=1,"Família Fechada: "&amp;$ML25,""),IF($NN25=1,"Família Fechada: "&amp;$MM25,""),IF($NO25=1,"Família Fechada: "&amp;$MN25,""),IF(AND($MF25&gt;0,$OH25&gt;INDEX($O$2:$O$8,MAX(1,$MF25))),$OH25&amp;" Melhorias: a Classe "&amp;$MF25&amp;" aceita "&amp;INDEX($O$2:$O$8,MAX(1,$MF25)),""),IF(AND($MF25=0,$OH25&gt;1),"A básica aceita uma Melhoria",""),IF(AND($MF25=0,COUNTIF($NB25:$NE25,"&gt;1")&gt;0),"A básica só aceita Melhoria Leve",""),IF(AND($MF25&gt;0,$OI25&gt;2),$OI25&amp;" Restrições"&amp;IF($NS25=1,", contando a que a Forma "&amp;$MH25&amp;" já traz","")&amp;": o limite é 2",""),IF(AND($MF25=0,COUNTIF($MO25:$MP25,"?*")&gt;1),"A básica aceita uma Restrição Leve",""),IF(AND($MF25=0,COUNTIF($NV25:$NW25,2)&gt;0),"A básica só aceita Restrição Leve",""),IF(AND($MF25&gt;0,$OP25&lt;0),"Orçamento estourado: faltam "&amp;(-$OP25)&amp;IF($OP25&lt;-1," pontos"," ponto"),""),IF(IFERROR(VLOOKUP($MO25,$BC$2:$BG$24,4,FALSE),0)+IFERROR(VLOOKUP($MP25,$BC$2:$BG$24,4,FALSE),0)&gt;1,$NX25&amp;" e "&amp;$NY25&amp;" são as duas de frequência",""),IF(AND((COUNTIF($MK25:$MN25,"Rápido")+COUNTIF($NX25:$NY25,"Rápido"))&gt;0,(COUNTIF($MK25:$MN25,"Atrasar")+COUNTIF($NX25:$NY25,"Atrasar"))&gt;0),"Rápido não entra com Atrasar",""),IF(AND((COUNTIF($MK25:$MN25,"Reação")+COUNTIF($NX25:$NY25,"Reação"))&gt;0,(COUNTIF($MK25:$MN25,"Rápido")+COUNTIF($NX25:$NY25,"Rápido"))&gt;0),"Reação não entra com Rápido",""),IF(AND((COUNTIF($MK25:$MN25,"Reação")+COUNTIF($NX25:$NY25,"Reação"))&gt;0,(COUNTIF($MK25:$MN25,"Armado")+COUNTIF($NX25:$NY25,"Armado"))&gt;0),"Reação não entra com Armado",""),IF(AND((COUNTIF($MK25:$MN25,"Reação")+COUNTIF($NX25:$NY25,"Reação"))&gt;0,(COUNTIF($MK25:$MN25,"Atrasar")+COUNTIF($NX25:$NY25,"Atrasar"))&gt;0),"Reação não entra com Atrasar",""),IF(AND((COUNTIF($MK25:$MN25,"Reação")+COUNTIF($NX25:$NY25,"Reação"))&gt;0,(COUNTIF($MK25:$MN25,"Parado")+COUNTIF($NX25:$NY25,"Parado"))&gt;0),"Reação não entra com Parado",""),IF(AND((COUNTIF($MK25:$MN25,"Atrasar")+COUNTIF($NX25:$NY25,"Atrasar"))&gt;0,(COUNTIF($MK25:$MN25,"Parado")+COUNTIF($NX25:$NY25,"Parado"))&gt;0),"Atrasar não entra com Parado",""),IF(AND((COUNTIF($MK25:$MN25,"Armado")+COUNTIF($NX25:$NY25,"Armado"))&gt;0,(COUNTIF($MK25:$MN25,"Carregar")+COUNTIF($NX25:$NY25,"Carregar"))&gt;0),"Armado não entra com Carregar",""),IF(AND(COUNTIF($NX25:$NY25,"Corpo a Corpo")&gt;0,$NS25=0,OR($MH25="Cone",$MH25="Linha")),"Corpo a Corpo não entra em "&amp;$MH25,""),IF(AND(COUNTIF($NX25:$NY25,"Corpo a Corpo")&gt;0,$NS25=1),"A Forma "&amp;$MH25&amp;" já traz o Corpo a Corpo",""),IF(AND(COUNTIF($NX25:$NY25,"Tudo ou Nada")&gt;0,$NU25=0),"Tudo ou Nada só entra em habilidade de Teste de Resistência",""),IF(AND(COUNTIF($MK25:$MN25,"Inescapável")&gt;0,OR($OH25&gt;1,$OI25&gt;0)),"Inescapável não aceita outra peça",""),IF(AND($MF25&gt;0,$OQ25*IF(COUNTIF($MK25:$MN25,"Remate")&gt;0,1.25,1)+$OR25&gt;4*$MF25),($OQ25*IF(COUNTIF($MK25:$MN25,"Remate")&gt;0,1.25,1)+$OR25)&amp;" dados somando repetições"&amp;IF(COUNTIF($MK25:$MN25,"Remate")&gt;0," e o Remate","")&amp;": o teto da Classe "&amp;$MF25&amp;" é "&amp;4*$MF25,"")))</f>
        <v/>
      </c>
      <c r="PH25" s="152">
        <f>IF($PG25="",0,(LEN($PG25)-LEN(SUBSTITUTE($PG25," · ","")))/3+1)</f>
        <v/>
      </c>
      <c r="PI25" s="152">
        <f>IF($MQ25=0,"",TEXTJOIN(" · ",TRUE,IF($OK25&gt;2*$MF25,"A devolução parou no teto de "&amp;2*$MF25,""),IF($ON25&gt;0,"Devolução perdida: "&amp;$ON25&amp;IF($ON25&gt;1," pontos"," ponto")&amp;" sem peça para pagar",""),IF(AND($NP25&gt;0,AND($MF25&gt;0,$NT25=0),$OQ25=0),"Controle sem dano: uma rodada a mais e CD +2",""),IF(AND($NP25&gt;0,AND($MF25&gt;0,$NT25=0),$OQ25&gt;0,$OQ25&lt;=$MF25),"Controle com saldo até a Classe: uma rodada a mais",""),IF(AND($MF25&gt;0,$NR25&lt;&gt;""),"Efeito de "&amp;$NR25&amp;" pela Classe "&amp;MAX(1,$MF25-1),"")))</f>
        <v/>
      </c>
      <c r="PJ25" s="152">
        <f>IF($PI25="",0,(LEN($PI25)-LEN(SUBSTITUTE($PI25," · ","")))/3+1)</f>
        <v/>
      </c>
      <c r="PK25" s="152">
        <f>IF($MQ25=0,IF($OH25+COUNTIF($MO25:$MP25,"?*")&gt;0,"Dê um nome",""),IF($PH25&gt;0,"⚠ "&amp;$PH25&amp;IF($PH25&gt;1," erros"," erro"),IF($PJ25&gt;0,"! "&amp;$PJ25&amp;IF($PJ25&gt;1," avisos"," aviso"),"Na regra")))</f>
        <v/>
      </c>
      <c r="PL25" s="152">
        <f>IF($MQ25=0,"",IF($PH25+$PJ25=0,"Dentro das regras que a ficha confere",$PG25&amp;IF(AND($PH25&gt;0,$PJ25&gt;0)," · ","")&amp;$PI25))</f>
        <v/>
      </c>
      <c r="PM25" s="152">
        <f>IF($MD25&gt;$MR25,$ME25&amp;" · ABRE NO NÍVEL "&amp;$MD25,$ME25)</f>
        <v/>
      </c>
      <c r="PN25" s="152">
        <f>IF($MQ25=0,"",IF($MF25=0,"Sem PE",3*$MF25&amp;" PE"))</f>
        <v/>
      </c>
      <c r="PO25" s="152">
        <f>IF($MQ25=0,"",IF($MF25=0,"A atuação básica dela",IF(COUNTIF($NX25:$NY25,"Atrasar")&gt;0,"Sua Ação Completa",IF(COUNTIF($MK25:$MN25,"Rápido")&gt;0,"Sua Bônus",IF(COUNTIF($MK25:$MN25,"Reação")&gt;0,"Sua Reação","Sua Padrão")))&amp;" + a básica dela"&amp;IF(COUNTIF($MK25:$MN25,"Reação")&gt;0," e a coletiva","")&amp;IF(COUNTIF($NX25:$NY25,"Carregar")&gt;0," · em dois turnos","")))</f>
        <v/>
      </c>
      <c r="PP25" s="152">
        <f>IF($MJ25&lt;&gt;"",$MJ25,IF($MW25=0,"",INDEX($AA$2:$AA$11,$MW25)))</f>
        <v/>
      </c>
      <c r="PQ25" s="152">
        <f>IF(OR($MQ25=0,$MW25=0),"",IF(COUNTIF($MK25:$MN25,"Inescapável")&gt;0,"Automático",IF($PP25="Ataque",IF($MU25="","Ataque","Ataque "&amp;IF(($MU25+2*IF(COUNTIF($MK25:$MN25,"Precisão")&gt;0,1,0))&gt;=0,"+","−")&amp;ABS(($MU25+2*IF(COUNTIF($MK25:$MN25,"Precisão")&gt;0,1,0))))&amp;IF($NQ25&gt;0," · TR"&amp;IF($MV25="",""," CD "&amp;$MV25),""),IF(LEFT($PP25,2)="TR",$PP25&amp;IF($MV25="",""," · CD "&amp;$MV25)&amp;IF(COUNTIF($MK25:$MN25,"Certeiro")&gt;0," · metade",""),"Sem rolagem"))))</f>
        <v/>
      </c>
      <c r="PR25" s="152">
        <f>IF(OR($MQ25=0,$MW25=0),"",IF($MF25=0,IF(OR($NT25&gt;=1,$OQ25=0),"Sem dano",$OQ25&amp;"d6"&amp;IF($MI25="",""," "&amp;$MI25)),IF(OR($NT25&gt;=1,$OQ25=0),UPPER(LEFT(INDEX($OZ25:$PF25,1,MAX(1,$MF25)),1))&amp;MID(INDEX($OZ25:$PF25,1,MAX(1,$MF25)),2,99),UPPER(LEFT(INDEX($OZ25:$PF25,1,MAX(1,$MF25)),1))&amp;MID(INDEX($OZ25:$PF25,1,MAX(1,$MF25)),2,99)&amp;IF($MI25="",""," "&amp;$MI25)&amp;IF($OR25&gt;0," · +"&amp;$OR25&amp;"d8",""))))</f>
        <v/>
      </c>
      <c r="PS25" s="152">
        <f>COUNTIF($MK25:$MN25,"Longe")+3*COUNTIF($MK25:$MN25,"Muito Longe")</f>
        <v/>
      </c>
      <c r="PT25" s="152">
        <f>COUNTIF($MK25:$MN25,"Maior")+3*COUNTIF($MK25:$MN25,"Muito Maior")</f>
        <v/>
      </c>
      <c r="PU25" s="152">
        <f>IF($MW25=0,0,CHOOSE(1+INDEX($AC$2:$AC$11,$MW25),0,$PS25,$PT25,$PS25+$PT25))</f>
        <v/>
      </c>
      <c r="PV25" s="152">
        <f>IF($MW25=0,0,CHOOSE(1+INDEX($AD$2:$AD$11,$MW25),0,$PS25,$PT25,$PS25+$PT25))</f>
        <v/>
      </c>
      <c r="PW25" s="152">
        <f>IF(OR($MQ25=0,$MW25=0),"",INDEX($AI$2:$AN$41,($MW25-1)*4+IF($MF25=0,1,IF($MF25&lt;=5,2,IF($MF25=6,3,4))),1+MIN(5,$PU25))&amp;INDEX($AO$2:$AT$41,($MW25-1)*4+IF($MF25=0,1,IF($MF25&lt;=5,2,IF($MF25=6,3,4))),1+MIN(5,$PV25))&amp;IF(INDEX($AE$2:$AE$11,$MW25)=1,IF(COUNTIF($MK25:$MN25,"Mais Um")&gt;0," · +"&amp;COUNTIF($MK25:$MN25,"Mais Um")&amp;IF(COUNTIF($MK25:$MN25,"Mais Um")&gt;1," alvos"," alvo"),"")&amp;IF(COUNTIF($MK25:$MN25,"Rajada")&gt;0,IF($MF25=0," · 1 tiro"," · "&amp;(MAX(1,$MF25-1)+1)&amp;" tiros"),""),""))</f>
        <v/>
      </c>
      <c r="PX25" s="152">
        <f>IF($MQ25=0,"",IF($MF25=0,$MT25&amp;"d6"&amp;IF($OH25&gt;0," − 1 = "&amp;$OQ25&amp;"d6"," da básica do nível "&amp;$MR25),$OO25&amp;" − "&amp;$OJ25&amp;" + "&amp;$OM25&amp;" = "&amp;$OP25&amp;" · teto "&amp;4*$MF25&amp;"d8"&amp;IF($NS25=1," · a Forma devolve "&amp;$MF25,"")&amp;IF($ON25&gt;0," · perde "&amp;$ON25,"")))</f>
        <v/>
      </c>
      <c r="PY25" s="152">
        <f>IF($MQ25=0,"",IF($MF25=0,"A básica não amplia: os dados dela sobem com o nível",IF($MF25&gt;=$MS25,"Já está na maior Classe que o nível liberou",TEXTJOIN(" · ",TRUE,IF(AND(2&gt;$MF25,2&lt;=$MS25),"2 → "&amp;$PA25&amp;", 6 PE",""),IF(AND(3&gt;$MF25,3&lt;=$MS25),"3 → "&amp;$PB25&amp;", 9 PE",""),IF(AND(4&gt;$MF25,4&lt;=$MS25),"4 → "&amp;$PC25&amp;", 12 PE",""),IF(AND(5&gt;$MF25,5&lt;=$MS25),"5 → "&amp;$PD25&amp;", 15 PE",""),IF(AND(6&gt;$MF25,6&lt;=$MS25),"6 → "&amp;$PE25&amp;", 18 PE",""),IF(AND(7&gt;$MF25,7&lt;=$MS25),"7 → "&amp;$PF25&amp;", 21 PE","")))))</f>
        <v/>
      </c>
      <c r="PZ25" s="152">
        <f>IF(OR($MQ25=0,$NB25=0),"",IF($MF25=0,"−1 dado","−"&amp;INDEX($I$2:$N$8,MAX(1,$MF25),MAX(1,$NG25))&amp;" · "&amp;CHOOSE(MAX(1,$NG25),"Leve","Média","Pesada","Leve · Livre","Média · Livre","Pesada · Livre")))</f>
        <v/>
      </c>
      <c r="QA25" s="152">
        <f>IF(OR($MQ25=0,$NC25=0),"",IF($MF25=0,"−1 dado","−"&amp;INDEX($I$2:$N$8,MAX(1,$MF25),MAX(1,$NH25))&amp;" · "&amp;CHOOSE(MAX(1,$NH25),"Leve","Média","Pesada","Leve · Livre","Média · Livre","Pesada · Livre")))</f>
        <v/>
      </c>
      <c r="QB25" s="152">
        <f>IF(OR($MQ25=0,$ND25=0),"",IF($MF25=0,"−1 dado","−"&amp;INDEX($I$2:$N$8,MAX(1,$MF25),MAX(1,$NI25))&amp;" · "&amp;CHOOSE(MAX(1,$NI25),"Leve","Média","Pesada","Leve · Livre","Média · Livre","Pesada · Livre")))</f>
        <v/>
      </c>
      <c r="QC25" s="152">
        <f>IF(OR($MQ25=0,$NE25=0),"",IF($MF25=0,"−1 dado","−"&amp;INDEX($I$2:$N$8,MAX(1,$MF25),MAX(1,$NJ25))&amp;" · "&amp;CHOOSE(MAX(1,$NJ25),"Leve","Média","Pesada","Leve · Livre","Média · Livre","Pesada · Livre")))</f>
        <v/>
      </c>
      <c r="QD25" s="152">
        <f>IF(OR($MQ25=0,$MO25=""),"",IF($MF25=0,"não devolve","+"&amp;IF($NV25=1,CEILING($MF25/2,1),$MF25)))</f>
        <v/>
      </c>
      <c r="QE25" s="152">
        <f>IF(OR($MQ25=0,$MP25=""),"",IF($MF25=0,"não devolve","+"&amp;IF($NW25=1,CEILING($MF25/2,1),$MF25)))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BA26" s="152" t="n">
        <v>1</v>
      </c>
      <c r="JG26" s="152">
        <f>IF(OR($AW26="",COUNTIF($EF$2:$EJ$2,$AW26)&gt;0),$AV26,"")</f>
        <v/>
      </c>
      <c r="JH26" s="152">
        <f>IF(AND($AX26=1,OR($AW26="",COUNTIF($EF$2:$EJ$2,$AW26)&gt;0)),$AV26,"")</f>
        <v/>
      </c>
      <c r="JM26" s="152">
        <f>IF(OR($AW26="",COUNTIF($EF$3:$EJ$3,$AW26)&gt;0),$AV26,"")</f>
        <v/>
      </c>
      <c r="JN26" s="152">
        <f>IF(AND($AX26=1,OR($AW26="",COUNTIF($EF$3:$EJ$3,$AW26)&gt;0)),$AV26,"")</f>
        <v/>
      </c>
      <c r="JS26" s="152">
        <f>IF(OR($AW26="",COUNTIF($EF$4:$EJ$4,$AW26)&gt;0),$AV26,"")</f>
        <v/>
      </c>
      <c r="JT26" s="152">
        <f>IF(AND($AX26=1,OR($AW26="",COUNTIF($EF$4:$EJ$4,$AW26)&gt;0)),$AV26,"")</f>
        <v/>
      </c>
      <c r="JY26" s="152">
        <f>IF(OR($AW26="",COUNTIF($EF$5:$EJ$5,$AW26)&gt;0),$AV26,"")</f>
        <v/>
      </c>
      <c r="JZ26" s="152">
        <f>IF(AND($AX26=1,OR($AW26="",COUNTIF($EF$5:$EJ$5,$AW26)&gt;0)),$AV26,"")</f>
        <v/>
      </c>
      <c r="KE26" s="152">
        <f>IF(OR($AW26="",COUNTIF($EF$6:$EJ$6,$AW26)&gt;0),$AV26,"")</f>
        <v/>
      </c>
      <c r="KF26" s="152">
        <f>IF(AND($AX26=1,OR($AW26="",COUNTIF($EF$6:$EJ$6,$AW26)&gt;0)),$AV26,"")</f>
        <v/>
      </c>
      <c r="KK26" s="152">
        <f>IF(OR($AW26="",COUNTIF($EF$7:$EJ$7,$AW26)&gt;0),$AV26,"")</f>
        <v/>
      </c>
      <c r="KL26" s="152">
        <f>IF(AND($AX26=1,OR($AW26="",COUNTIF($EF$7:$EJ$7,$AW26)&gt;0)),$AV26,"")</f>
        <v/>
      </c>
      <c r="KQ26" s="152">
        <f>IF(OR($AW26="",COUNTIF($EF$8:$EJ$8,$AW26)&gt;0),$AV26,"")</f>
        <v/>
      </c>
      <c r="KR26" s="152">
        <f>IF(AND($AX26=1,OR($AW26="",COUNTIF($EF$8:$EJ$8,$AW26)&gt;0)),$AV26,"")</f>
        <v/>
      </c>
      <c r="KW26" s="152">
        <f>IF(OR($AW26="",COUNTIF($EF$9:$EJ$9,$AW26)&gt;0),$AV26,"")</f>
        <v/>
      </c>
      <c r="KX26" s="152">
        <f>IF(AND($AX26=1,OR($AW26="",COUNTIF($EF$9:$EJ$9,$AW26)&gt;0)),$AV26,"")</f>
        <v/>
      </c>
      <c r="LC26" s="152">
        <f>IF(OR($AW26="",COUNTIF($EF$10:$EJ$10,$AW26)&gt;0),$AV26,"")</f>
        <v/>
      </c>
      <c r="LD26" s="152">
        <f>IF(AND($AX26=1,OR($AW26="",COUNTIF($EF$10:$EJ$10,$AW26)&gt;0)),$AV26,"")</f>
        <v/>
      </c>
      <c r="LI26" s="152">
        <f>IF(OR($AW26="",COUNTIF($EF$11:$EJ$11,$AW26)&gt;0),$AV26,"")</f>
        <v/>
      </c>
      <c r="LJ26" s="152">
        <f>IF(AND($AX26=1,OR($AW26="",COUNTIF($EF$11:$EJ$11,$AW26)&gt;0)),$AV26,"")</f>
        <v/>
      </c>
      <c r="LO26" s="152">
        <f>IF(OR($AW26="",COUNTIF($EF$12:$EJ$12,$AW26)&gt;0),$AV26,"")</f>
        <v/>
      </c>
      <c r="LP26" s="152">
        <f>IF(AND($AX26=1,OR($AW26="",COUNTIF($EF$12:$EJ$12,$AW26)&gt;0)),$AV26,"")</f>
        <v/>
      </c>
      <c r="LU26" s="152">
        <f>IF(OR($AW26="",COUNTIF($EF$13:$EJ$13,$AW26)&gt;0),$AV26,"")</f>
        <v/>
      </c>
      <c r="LV26" s="152">
        <f>IF(AND($AX26=1,OR($AW26="",COUNTIF($EF$13:$EJ$13,$AW26)&gt;0)),$AV26,"")</f>
        <v/>
      </c>
      <c r="MA26" s="150" t="inlineStr">
        <is>
          <t>Ficha 2 · Escolha da trilha 2</t>
        </is>
      </c>
      <c r="MB26" s="152" t="n">
        <v>2</v>
      </c>
      <c r="MC26" s="152" t="n">
        <v>2</v>
      </c>
      <c r="MD26" s="152" t="n">
        <v>0</v>
      </c>
      <c r="ME26" s="150" t="inlineStr">
        <is>
          <t>ESCOLHA DA TRILHA 2</t>
        </is>
      </c>
      <c r="MF26" s="152">
        <f>MAX(0,MIN(7,N('INVOCAÇÕES'!$O$358)))</f>
        <v/>
      </c>
      <c r="MG26" s="152">
        <f>'INVOCAÇÕES'!$P$358&amp;""</f>
        <v/>
      </c>
      <c r="MH26" s="152">
        <f>'INVOCAÇÕES'!$O$363&amp;""</f>
        <v/>
      </c>
      <c r="MI26" s="152">
        <f>'INVOCAÇÕES'!$O$364&amp;""</f>
        <v/>
      </c>
      <c r="MJ26" s="152">
        <f>'INVOCAÇÕES'!$Q$364&amp;""</f>
        <v/>
      </c>
      <c r="MK26" s="152">
        <f>'INVOCAÇÕES'!$P$367&amp;""</f>
        <v/>
      </c>
      <c r="ML26" s="152">
        <f>'INVOCAÇÕES'!$P$368&amp;""</f>
        <v/>
      </c>
      <c r="MM26" s="152">
        <f>'INVOCAÇÕES'!$P$369&amp;""</f>
        <v/>
      </c>
      <c r="MN26" s="152">
        <f>'INVOCAÇÕES'!$P$370&amp;""</f>
        <v/>
      </c>
      <c r="MO26" s="152">
        <f>'INVOCAÇÕES'!$P$371&amp;""</f>
        <v/>
      </c>
      <c r="MP26" s="152">
        <f>'INVOCAÇÕES'!$P$372&amp;""</f>
        <v/>
      </c>
      <c r="MQ26" s="152">
        <f>IF($MG26&lt;&gt;"",1,0)</f>
        <v/>
      </c>
      <c r="MR26" s="152">
        <f>INDEX($FI$2:$FI$13,$MB26)</f>
        <v/>
      </c>
      <c r="MS26" s="152">
        <f>INDEX($FJ$2:$FJ$13,$MB26)</f>
        <v/>
      </c>
      <c r="MT26" s="152">
        <f>INDEX($FK$2:$FK$13,$MB26)</f>
        <v/>
      </c>
      <c r="MU26" s="152">
        <f>INDEX($FV$2:$FV$13,$MB26)</f>
        <v/>
      </c>
      <c r="MV26" s="152">
        <f>INDEX($FW$2:$FW$13,$MB26)</f>
        <v/>
      </c>
      <c r="MW26" s="152">
        <f>IFERROR(MATCH($MH26,$V$2:$V$11,0),0)</f>
        <v/>
      </c>
      <c r="MX26" s="152">
        <f>IFERROR(VLOOKUP($MK26,$AV$2:$BA$84,2,FALSE),"")</f>
        <v/>
      </c>
      <c r="MY26" s="152">
        <f>IFERROR(VLOOKUP($ML26,$AV$2:$BA$84,2,FALSE),"")</f>
        <v/>
      </c>
      <c r="MZ26" s="152">
        <f>IFERROR(VLOOKUP($MM26,$AV$2:$BA$84,2,FALSE),"")</f>
        <v/>
      </c>
      <c r="NA26" s="152">
        <f>IFERROR(VLOOKUP($MN26,$AV$2:$BA$84,2,FALSE),"")</f>
        <v/>
      </c>
      <c r="NB26" s="152">
        <f>IFERROR(VLOOKUP($MK26,$AV$2:$BA$84,3,FALSE),0)</f>
        <v/>
      </c>
      <c r="NC26" s="152">
        <f>IFERROR(VLOOKUP($ML26,$AV$2:$BA$84,3,FALSE),0)</f>
        <v/>
      </c>
      <c r="ND26" s="152">
        <f>IFERROR(VLOOKUP($MM26,$AV$2:$BA$84,3,FALSE),0)</f>
        <v/>
      </c>
      <c r="NE26" s="152">
        <f>IFERROR(VLOOKUP($MN26,$AV$2:$BA$84,3,FALSE),0)</f>
        <v/>
      </c>
      <c r="NF26" s="152">
        <f>IF($MF26=0,0,IF($MW26=0,0,INDEX($X$2:$X$11,$MW26)))</f>
        <v/>
      </c>
      <c r="NG26" s="152">
        <f>IF(OR($NB26=0,$MF26=0),0,$NB26+3*IF(AND($MX26&lt;&gt;"",OR($MX26=INDEX($EF$2:$EF$13,$MB26),$MX26=INDEX($EG$2:$EG$13,$MB26))),1,0))</f>
        <v/>
      </c>
      <c r="NH26" s="152">
        <f>IF(OR($NC26=0,$MF26=0),0,$NC26+3*IF(AND($MY26&lt;&gt;"",OR($MY26=INDEX($EF$2:$EF$13,$MB26),$MY26=INDEX($EG$2:$EG$13,$MB26))),1,0))</f>
        <v/>
      </c>
      <c r="NI26" s="152">
        <f>IF(OR($ND26=0,$MF26=0),0,$ND26+3*IF(AND($MZ26&lt;&gt;"",OR($MZ26=INDEX($EF$2:$EF$13,$MB26),$MZ26=INDEX($EG$2:$EG$13,$MB26))),1,0))</f>
        <v/>
      </c>
      <c r="NJ26" s="152">
        <f>IF(OR($NE26=0,$MF26=0),0,$NE26+3*IF(AND($NA26&lt;&gt;"",OR($NA26=INDEX($EF$2:$EF$13,$MB26),$NA26=INDEX($EG$2:$EG$13,$MB26))),1,0))</f>
        <v/>
      </c>
      <c r="NK26" s="152">
        <f>IF($MW26=0,0,IF(INDEX($W$2:$W$11,$MW26)="",0,IF(COUNTIF(INDEX($EF$2:$EJ$13,$MB26,0),INDEX($W$2:$W$11,$MW26))=0,1,0)))</f>
        <v/>
      </c>
      <c r="NL26" s="152">
        <f>IF(OR($NB26=0,$MX26=""),0,IF(COUNTIF(INDEX($EF$2:$EJ$13,$MB26,0),$MX26)=0,1,0))</f>
        <v/>
      </c>
      <c r="NM26" s="152">
        <f>IF(OR($NC26=0,$MY26=""),0,IF(COUNTIF(INDEX($EF$2:$EJ$13,$MB26,0),$MY26)=0,1,0))</f>
        <v/>
      </c>
      <c r="NN26" s="152">
        <f>IF(OR($ND26=0,$MZ26=""),0,IF(COUNTIF(INDEX($EF$2:$EJ$13,$MB26,0),$MZ26)=0,1,0))</f>
        <v/>
      </c>
      <c r="NO26" s="152">
        <f>IF(OR($NE26=0,$NA26=""),0,IF(COUNTIF(INDEX($EF$2:$EJ$13,$MB26,0),$NA26)=0,1,0))</f>
        <v/>
      </c>
      <c r="NP26" s="152">
        <f>IFERROR(VLOOKUP($MK26,$AV$2:$BA$84,4,FALSE),0)+IFERROR(VLOOKUP($ML26,$AV$2:$BA$84,4,FALSE),0)+IFERROR(VLOOKUP($MM26,$AV$2:$BA$84,4,FALSE),0)+IFERROR(VLOOKUP($MN26,$AV$2:$BA$84,4,FALSE),0)</f>
        <v/>
      </c>
      <c r="NQ26" s="152">
        <f>IFERROR(VLOOKUP($MK26,$AV$2:$BA$84,6,FALSE),0)+IFERROR(VLOOKUP($ML26,$AV$2:$BA$84,6,FALSE),0)+IFERROR(VLOOKUP($MM26,$AV$2:$BA$84,6,FALSE),0)+IFERROR(VLOOKUP($MN26,$AV$2:$BA$84,6,FALSE),0)</f>
        <v/>
      </c>
      <c r="NR26" s="152">
        <f>TEXTJOIN(", ",TRUE,IF(IFERROR(VLOOKUP($MK26,$AV$2:$BA$84,5,FALSE),0)=1,$MK26,""),IF(IFERROR(VLOOKUP($ML26,$AV$2:$BA$84,5,FALSE),0)=1,$ML26,""),IF(IFERROR(VLOOKUP($MM26,$AV$2:$BA$84,5,FALSE),0)=1,$MM26,""),IF(IFERROR(VLOOKUP($MN26,$AV$2:$BA$84,5,FALSE),0)=1,$MN26,""))</f>
        <v/>
      </c>
      <c r="NS26" s="152">
        <f>IF($MW26=0,0,INDEX($Y$2:$Y$11,$MW26))</f>
        <v/>
      </c>
      <c r="NT26" s="152">
        <f>IF($MW26=0,0,INDEX($Z$2:$Z$11,$MW26))</f>
        <v/>
      </c>
      <c r="NU26" s="152">
        <f>IF($MW26=0,0,INDEX($AB$2:$AB$11,$MW26))</f>
        <v/>
      </c>
      <c r="NV26" s="152">
        <f>IFERROR(VLOOKUP($MO26,$BC$2:$BG$24,3,FALSE),0)</f>
        <v/>
      </c>
      <c r="NW26" s="152">
        <f>IFERROR(VLOOKUP($MP26,$BC$2:$BG$24,3,FALSE),0)</f>
        <v/>
      </c>
      <c r="NX26" s="152">
        <f>IFERROR(VLOOKUP($MO26,$BC$2:$BG$24,2,FALSE),"")</f>
        <v/>
      </c>
      <c r="NY26" s="152">
        <f>IFERROR(VLOOKUP($MP26,$BC$2:$BG$24,2,FALSE),"")</f>
        <v/>
      </c>
      <c r="NZ26" s="152">
        <f>COUNTIF($NF26:$NJ26,1)</f>
        <v/>
      </c>
      <c r="OA26" s="152">
        <f>COUNTIF($NF26:$NJ26,2)</f>
        <v/>
      </c>
      <c r="OB26" s="152">
        <f>COUNTIF($NF26:$NJ26,3)</f>
        <v/>
      </c>
      <c r="OC26" s="152">
        <f>COUNTIF($NF26:$NJ26,4)</f>
        <v/>
      </c>
      <c r="OD26" s="152">
        <f>COUNTIF($NF26:$NJ26,5)</f>
        <v/>
      </c>
      <c r="OE26" s="152">
        <f>COUNTIF($NF26:$NJ26,6)</f>
        <v/>
      </c>
      <c r="OF26" s="152">
        <f>COUNTIF($NV26:$NW26,1)</f>
        <v/>
      </c>
      <c r="OG26" s="152">
        <f>COUNTIF($NV26:$NW26,2)+$NS26</f>
        <v/>
      </c>
      <c r="OH26" s="152">
        <f>COUNTIF($MK26:$MN26,"?*")</f>
        <v/>
      </c>
      <c r="OI26" s="152">
        <f>COUNTIF($MO26:$MP26,"?*")+$NS26</f>
        <v/>
      </c>
      <c r="OJ26" s="152">
        <f>IF($MF26=0,0,SUMPRODUCT($NZ26:$OE26,INDEX($I$2:$N$8,MAX(1,$MF26),0)))</f>
        <v/>
      </c>
      <c r="OK26" s="152">
        <f>IF($MF26=0,0,$OF26*CEILING($MF26/2,1)+$OG26*$MF26)</f>
        <v/>
      </c>
      <c r="OL26" s="152">
        <f>MIN(2*$MF26,$OK26)</f>
        <v/>
      </c>
      <c r="OM26" s="152">
        <f>MIN($OL26,$OJ26)</f>
        <v/>
      </c>
      <c r="ON26" s="152">
        <f>$OL26-$OM26</f>
        <v/>
      </c>
      <c r="OO26" s="152">
        <f>IF($MF26=0,0,INDEX($P$2:$P$8,MAX(1,$MF26)))</f>
        <v/>
      </c>
      <c r="OP26" s="152">
        <f>$OO26-$OJ26+$OM26</f>
        <v/>
      </c>
      <c r="OQ26" s="152">
        <f>IF($MF26=0,MAX(0,$MT26-IF($OH26&gt;0,1,0)),MAX(0,$OP26))</f>
        <v/>
      </c>
      <c r="OR26" s="152">
        <f>IF($MF26=0,0,(IF(COUNTIF($MK26:$MN26,"Salto")&gt;0,1,0)+IF(COUNTIF($MK26:$MN26,"Queima")&gt;0,1,0)+IF(COUNTIF($MK26:$MN26,"Estilhaço")&gt;0,1,0))*FLOOR($OQ26/2,1))</f>
        <v/>
      </c>
      <c r="OS26" s="152">
        <f>MAX(0,2-SUMPRODUCT($NZ26:$OE26,$I$2:$N$2)+MIN(2,$OF26*1+$OG26*1,SUMPRODUCT($NZ26:$OE26,$I$2:$N$2)))</f>
        <v/>
      </c>
      <c r="OT26" s="152">
        <f>MAX(0,4-SUMPRODUCT($NZ26:$OE26,$I$3:$N$3)+MIN(4,$OF26*1+$OG26*2,SUMPRODUCT($NZ26:$OE26,$I$3:$N$3)))</f>
        <v/>
      </c>
      <c r="OU26" s="152">
        <f>MAX(0,6-SUMPRODUCT($NZ26:$OE26,$I$4:$N$4)+MIN(6,$OF26*2+$OG26*3,SUMPRODUCT($NZ26:$OE26,$I$4:$N$4)))</f>
        <v/>
      </c>
      <c r="OV26" s="152">
        <f>MAX(0,9-SUMPRODUCT($NZ26:$OE26,$I$5:$N$5)+MIN(8,$OF26*2+$OG26*4,SUMPRODUCT($NZ26:$OE26,$I$5:$N$5)))</f>
        <v/>
      </c>
      <c r="OW26" s="152">
        <f>MAX(0,11-SUMPRODUCT($NZ26:$OE26,$I$6:$N$6)+MIN(10,$OF26*3+$OG26*5,SUMPRODUCT($NZ26:$OE26,$I$6:$N$6)))</f>
        <v/>
      </c>
      <c r="OX26" s="152">
        <f>MAX(0,13-SUMPRODUCT($NZ26:$OE26,$I$7:$N$7)+MIN(12,$OF26*3+$OG26*6,SUMPRODUCT($NZ26:$OE26,$I$7:$N$7)))</f>
        <v/>
      </c>
      <c r="OY26" s="152">
        <f>MAX(0,16-SUMPRODUCT($NZ26:$OE26,$I$8:$N$8)+MIN(14,$OF26*4+$OG26*7,SUMPRODUCT($NZ26:$OE26,$I$8:$N$8)))</f>
        <v/>
      </c>
      <c r="OZ26" s="152">
        <f>IF($NT26=2,3*$OS26&amp;" de vida temp.",IF($NT26=3,"sem dano",IF($OS26=0,IF($NT26=1,"sem cura","sem dano"),IF($NT26=1,"cura ","")&amp;$OS26&amp;"d8")))</f>
        <v/>
      </c>
      <c r="PA26" s="152">
        <f>IF($NT26=2,3*$OT26&amp;" de vida temp.",IF($NT26=3,"sem dano",IF($OT26=0,IF($NT26=1,"sem cura","sem dano"),IF($NT26=1,"cura ","")&amp;$OT26&amp;"d8")))</f>
        <v/>
      </c>
      <c r="PB26" s="152">
        <f>IF($NT26=2,3*$OU26&amp;" de vida temp.",IF($NT26=3,"sem dano",IF($OU26=0,IF($NT26=1,"sem cura","sem dano"),IF($NT26=1,"cura ","")&amp;$OU26&amp;"d8")))</f>
        <v/>
      </c>
      <c r="PC26" s="152">
        <f>IF($NT26=2,3*$OV26&amp;" de vida temp.",IF($NT26=3,"sem dano",IF($OV26=0,IF($NT26=1,"sem cura","sem dano"),IF($NT26=1,"cura ","")&amp;$OV26&amp;"d8")))</f>
        <v/>
      </c>
      <c r="PD26" s="152">
        <f>IF($NT26=2,3*$OW26&amp;" de vida temp.",IF($NT26=3,"sem dano",IF($OW26=0,IF($NT26=1,"sem cura","sem dano"),IF($NT26=1,"cura ","")&amp;$OW26&amp;"d8")))</f>
        <v/>
      </c>
      <c r="PE26" s="152">
        <f>IF($NT26=2,3*$OX26&amp;" de vida temp.",IF($NT26=3,"sem dano",IF($OX26=0,IF($NT26=1,"sem cura","sem dano"),IF($NT26=1,"cura ","")&amp;$OX26&amp;"d8")))</f>
        <v/>
      </c>
      <c r="PF26" s="152">
        <f>IF($NT26=2,3*$OY26&amp;" de vida temp.",IF($NT26=3,"sem dano",IF($OY26=0,IF($NT26=1,"sem cura","sem dano"),IF($NT26=1,"cura ","")&amp;$OY26&amp;"d8")))</f>
        <v/>
      </c>
      <c r="PG26" s="152">
        <f>IF($MQ26=0,"",TEXTJOIN(" · ",TRUE,IF($MD26&gt;$MR26,"Este lugar abre no nível "&amp;$MD26,""),IF($MF26&gt;$MS26,"Classe "&amp;$MF26&amp;": o nível "&amp;$MR26&amp;" libera até a "&amp;$MS26,""),IF($NK26=1,"A Forma "&amp;$MH26&amp;" pede "&amp;INDEX($W$2:$W$11,$MW26)&amp;" aberta",""),IF(AND($MF26=0,$MW26&gt;0,IF($MW26=0,0,INDEX($AF$2:$AF$11,$MW26))=0),$MH26&amp;" não existe na Classe 0",""),IF($NL26=1,"Família Fechada: "&amp;$MK26,""),IF($NM26=1,"Família Fechada: "&amp;$ML26,""),IF($NN26=1,"Família Fechada: "&amp;$MM26,""),IF($NO26=1,"Família Fechada: "&amp;$MN26,""),IF(AND($MF26&gt;0,$OH26&gt;INDEX($O$2:$O$8,MAX(1,$MF26))),$OH26&amp;" Melhorias: a Classe "&amp;$MF26&amp;" aceita "&amp;INDEX($O$2:$O$8,MAX(1,$MF26)),""),IF(AND($MF26=0,$OH26&gt;1),"A básica aceita uma Melhoria",""),IF(AND($MF26=0,COUNTIF($NB26:$NE26,"&gt;1")&gt;0),"A básica só aceita Melhoria Leve",""),IF(AND($MF26&gt;0,$OI26&gt;2),$OI26&amp;" Restrições"&amp;IF($NS26=1,", contando a que a Forma "&amp;$MH26&amp;" já traz","")&amp;": o limite é 2",""),IF(AND($MF26=0,COUNTIF($MO26:$MP26,"?*")&gt;1),"A básica aceita uma Restrição Leve",""),IF(AND($MF26=0,COUNTIF($NV26:$NW26,2)&gt;0),"A básica só aceita Restrição Leve",""),IF(AND($MF26&gt;0,$OP26&lt;0),"Orçamento estourado: faltam "&amp;(-$OP26)&amp;IF($OP26&lt;-1," pontos"," ponto"),""),IF(IFERROR(VLOOKUP($MO26,$BC$2:$BG$24,4,FALSE),0)+IFERROR(VLOOKUP($MP26,$BC$2:$BG$24,4,FALSE),0)&gt;1,$NX26&amp;" e "&amp;$NY26&amp;" são as duas de frequência",""),IF(AND((COUNTIF($MK26:$MN26,"Rápido")+COUNTIF($NX26:$NY26,"Rápido"))&gt;0,(COUNTIF($MK26:$MN26,"Atrasar")+COUNTIF($NX26:$NY26,"Atrasar"))&gt;0),"Rápido não entra com Atrasar",""),IF(AND((COUNTIF($MK26:$MN26,"Reação")+COUNTIF($NX26:$NY26,"Reação"))&gt;0,(COUNTIF($MK26:$MN26,"Rápido")+COUNTIF($NX26:$NY26,"Rápido"))&gt;0),"Reação não entra com Rápido",""),IF(AND((COUNTIF($MK26:$MN26,"Reação")+COUNTIF($NX26:$NY26,"Reação"))&gt;0,(COUNTIF($MK26:$MN26,"Armado")+COUNTIF($NX26:$NY26,"Armado"))&gt;0),"Reação não entra com Armado",""),IF(AND((COUNTIF($MK26:$MN26,"Reação")+COUNTIF($NX26:$NY26,"Reação"))&gt;0,(COUNTIF($MK26:$MN26,"Atrasar")+COUNTIF($NX26:$NY26,"Atrasar"))&gt;0),"Reação não entra com Atrasar",""),IF(AND((COUNTIF($MK26:$MN26,"Reação")+COUNTIF($NX26:$NY26,"Reação"))&gt;0,(COUNTIF($MK26:$MN26,"Parado")+COUNTIF($NX26:$NY26,"Parado"))&gt;0),"Reação não entra com Parado",""),IF(AND((COUNTIF($MK26:$MN26,"Atrasar")+COUNTIF($NX26:$NY26,"Atrasar"))&gt;0,(COUNTIF($MK26:$MN26,"Parado")+COUNTIF($NX26:$NY26,"Parado"))&gt;0),"Atrasar não entra com Parado",""),IF(AND((COUNTIF($MK26:$MN26,"Armado")+COUNTIF($NX26:$NY26,"Armado"))&gt;0,(COUNTIF($MK26:$MN26,"Carregar")+COUNTIF($NX26:$NY26,"Carregar"))&gt;0),"Armado não entra com Carregar",""),IF(AND(COUNTIF($NX26:$NY26,"Corpo a Corpo")&gt;0,$NS26=0,OR($MH26="Cone",$MH26="Linha")),"Corpo a Corpo não entra em "&amp;$MH26,""),IF(AND(COUNTIF($NX26:$NY26,"Corpo a Corpo")&gt;0,$NS26=1),"A Forma "&amp;$MH26&amp;" já traz o Corpo a Corpo",""),IF(AND(COUNTIF($NX26:$NY26,"Tudo ou Nada")&gt;0,$NU26=0),"Tudo ou Nada só entra em habilidade de Teste de Resistência",""),IF(AND(COUNTIF($MK26:$MN26,"Inescapável")&gt;0,OR($OH26&gt;1,$OI26&gt;0)),"Inescapável não aceita outra peça",""),IF(AND($MF26&gt;0,$OQ26*IF(COUNTIF($MK26:$MN26,"Remate")&gt;0,1.25,1)+$OR26&gt;4*$MF26),($OQ26*IF(COUNTIF($MK26:$MN26,"Remate")&gt;0,1.25,1)+$OR26)&amp;" dados somando repetições"&amp;IF(COUNTIF($MK26:$MN26,"Remate")&gt;0," e o Remate","")&amp;": o teto da Classe "&amp;$MF26&amp;" é "&amp;4*$MF26,"")))</f>
        <v/>
      </c>
      <c r="PH26" s="152">
        <f>IF($PG26="",0,(LEN($PG26)-LEN(SUBSTITUTE($PG26," · ","")))/3+1)</f>
        <v/>
      </c>
      <c r="PI26" s="152">
        <f>IF($MQ26=0,"",TEXTJOIN(" · ",TRUE,IF($OK26&gt;2*$MF26,"A devolução parou no teto de "&amp;2*$MF26,""),IF($ON26&gt;0,"Devolução perdida: "&amp;$ON26&amp;IF($ON26&gt;1," pontos"," ponto")&amp;" sem peça para pagar",""),IF(AND($NP26&gt;0,AND($MF26&gt;0,$NT26=0),$OQ26=0),"Controle sem dano: uma rodada a mais e CD +2",""),IF(AND($NP26&gt;0,AND($MF26&gt;0,$NT26=0),$OQ26&gt;0,$OQ26&lt;=$MF26),"Controle com saldo até a Classe: uma rodada a mais",""),IF(AND($MF26&gt;0,$NR26&lt;&gt;""),"Efeito de "&amp;$NR26&amp;" pela Classe "&amp;MAX(1,$MF26-1),"")))</f>
        <v/>
      </c>
      <c r="PJ26" s="152">
        <f>IF($PI26="",0,(LEN($PI26)-LEN(SUBSTITUTE($PI26," · ","")))/3+1)</f>
        <v/>
      </c>
      <c r="PK26" s="152">
        <f>IF($MQ26=0,IF($OH26+COUNTIF($MO26:$MP26,"?*")&gt;0,"Dê um nome",""),IF($PH26&gt;0,"⚠ "&amp;$PH26&amp;IF($PH26&gt;1," erros"," erro"),IF($PJ26&gt;0,"! "&amp;$PJ26&amp;IF($PJ26&gt;1," avisos"," aviso"),"Na regra")))</f>
        <v/>
      </c>
      <c r="PL26" s="152">
        <f>IF($MQ26=0,"",IF($PH26+$PJ26=0,"Dentro das regras que a ficha confere",$PG26&amp;IF(AND($PH26&gt;0,$PJ26&gt;0)," · ","")&amp;$PI26))</f>
        <v/>
      </c>
      <c r="PM26" s="152">
        <f>IF($MD26&gt;$MR26,$ME26&amp;" · ABRE NO NÍVEL "&amp;$MD26,$ME26)</f>
        <v/>
      </c>
      <c r="PN26" s="152">
        <f>IF($MQ26=0,"",IF($MF26=0,"Sem PE",3*$MF26&amp;" PE"))</f>
        <v/>
      </c>
      <c r="PO26" s="152">
        <f>IF($MQ26=0,"",IF($MF26=0,"A atuação básica dela",IF(COUNTIF($NX26:$NY26,"Atrasar")&gt;0,"Sua Ação Completa",IF(COUNTIF($MK26:$MN26,"Rápido")&gt;0,"Sua Bônus",IF(COUNTIF($MK26:$MN26,"Reação")&gt;0,"Sua Reação","Sua Padrão")))&amp;" + a básica dela"&amp;IF(COUNTIF($MK26:$MN26,"Reação")&gt;0," e a coletiva","")&amp;IF(COUNTIF($NX26:$NY26,"Carregar")&gt;0," · em dois turnos","")))</f>
        <v/>
      </c>
      <c r="PP26" s="152">
        <f>IF($MJ26&lt;&gt;"",$MJ26,IF($MW26=0,"",INDEX($AA$2:$AA$11,$MW26)))</f>
        <v/>
      </c>
      <c r="PQ26" s="152">
        <f>IF(OR($MQ26=0,$MW26=0),"",IF(COUNTIF($MK26:$MN26,"Inescapável")&gt;0,"Automático",IF($PP26="Ataque",IF($MU26="","Ataque","Ataque "&amp;IF(($MU26+2*IF(COUNTIF($MK26:$MN26,"Precisão")&gt;0,1,0))&gt;=0,"+","−")&amp;ABS(($MU26+2*IF(COUNTIF($MK26:$MN26,"Precisão")&gt;0,1,0))))&amp;IF($NQ26&gt;0," · TR"&amp;IF($MV26="",""," CD "&amp;$MV26),""),IF(LEFT($PP26,2)="TR",$PP26&amp;IF($MV26="",""," · CD "&amp;$MV26)&amp;IF(COUNTIF($MK26:$MN26,"Certeiro")&gt;0," · metade",""),"Sem rolagem"))))</f>
        <v/>
      </c>
      <c r="PR26" s="152">
        <f>IF(OR($MQ26=0,$MW26=0),"",IF($MF26=0,IF(OR($NT26&gt;=1,$OQ26=0),"Sem dano",$OQ26&amp;"d6"&amp;IF($MI26="",""," "&amp;$MI26)),IF(OR($NT26&gt;=1,$OQ26=0),UPPER(LEFT(INDEX($OZ26:$PF26,1,MAX(1,$MF26)),1))&amp;MID(INDEX($OZ26:$PF26,1,MAX(1,$MF26)),2,99),UPPER(LEFT(INDEX($OZ26:$PF26,1,MAX(1,$MF26)),1))&amp;MID(INDEX($OZ26:$PF26,1,MAX(1,$MF26)),2,99)&amp;IF($MI26="",""," "&amp;$MI26)&amp;IF($OR26&gt;0," · +"&amp;$OR26&amp;"d8",""))))</f>
        <v/>
      </c>
      <c r="PS26" s="152">
        <f>COUNTIF($MK26:$MN26,"Longe")+3*COUNTIF($MK26:$MN26,"Muito Longe")</f>
        <v/>
      </c>
      <c r="PT26" s="152">
        <f>COUNTIF($MK26:$MN26,"Maior")+3*COUNTIF($MK26:$MN26,"Muito Maior")</f>
        <v/>
      </c>
      <c r="PU26" s="152">
        <f>IF($MW26=0,0,CHOOSE(1+INDEX($AC$2:$AC$11,$MW26),0,$PS26,$PT26,$PS26+$PT26))</f>
        <v/>
      </c>
      <c r="PV26" s="152">
        <f>IF($MW26=0,0,CHOOSE(1+INDEX($AD$2:$AD$11,$MW26),0,$PS26,$PT26,$PS26+$PT26))</f>
        <v/>
      </c>
      <c r="PW26" s="152">
        <f>IF(OR($MQ26=0,$MW26=0),"",INDEX($AI$2:$AN$41,($MW26-1)*4+IF($MF26=0,1,IF($MF26&lt;=5,2,IF($MF26=6,3,4))),1+MIN(5,$PU26))&amp;INDEX($AO$2:$AT$41,($MW26-1)*4+IF($MF26=0,1,IF($MF26&lt;=5,2,IF($MF26=6,3,4))),1+MIN(5,$PV26))&amp;IF(INDEX($AE$2:$AE$11,$MW26)=1,IF(COUNTIF($MK26:$MN26,"Mais Um")&gt;0," · +"&amp;COUNTIF($MK26:$MN26,"Mais Um")&amp;IF(COUNTIF($MK26:$MN26,"Mais Um")&gt;1," alvos"," alvo"),"")&amp;IF(COUNTIF($MK26:$MN26,"Rajada")&gt;0,IF($MF26=0," · 1 tiro"," · "&amp;(MAX(1,$MF26-1)+1)&amp;" tiros"),""),""))</f>
        <v/>
      </c>
      <c r="PX26" s="152">
        <f>IF($MQ26=0,"",IF($MF26=0,$MT26&amp;"d6"&amp;IF($OH26&gt;0," − 1 = "&amp;$OQ26&amp;"d6"," da básica do nível "&amp;$MR26),$OO26&amp;" − "&amp;$OJ26&amp;" + "&amp;$OM26&amp;" = "&amp;$OP26&amp;" · teto "&amp;4*$MF26&amp;"d8"&amp;IF($NS26=1," · a Forma devolve "&amp;$MF26,"")&amp;IF($ON26&gt;0," · perde "&amp;$ON26,"")))</f>
        <v/>
      </c>
      <c r="PY26" s="152">
        <f>IF($MQ26=0,"",IF($MF26=0,"A básica não amplia: os dados dela sobem com o nível",IF($MF26&gt;=$MS26,"Já está na maior Classe que o nível liberou",TEXTJOIN(" · ",TRUE,IF(AND(2&gt;$MF26,2&lt;=$MS26),"2 → "&amp;$PA26&amp;", 6 PE",""),IF(AND(3&gt;$MF26,3&lt;=$MS26),"3 → "&amp;$PB26&amp;", 9 PE",""),IF(AND(4&gt;$MF26,4&lt;=$MS26),"4 → "&amp;$PC26&amp;", 12 PE",""),IF(AND(5&gt;$MF26,5&lt;=$MS26),"5 → "&amp;$PD26&amp;", 15 PE",""),IF(AND(6&gt;$MF26,6&lt;=$MS26),"6 → "&amp;$PE26&amp;", 18 PE",""),IF(AND(7&gt;$MF26,7&lt;=$MS26),"7 → "&amp;$PF26&amp;", 21 PE","")))))</f>
        <v/>
      </c>
      <c r="PZ26" s="152">
        <f>IF(OR($MQ26=0,$NB26=0),"",IF($MF26=0,"−1 dado","−"&amp;INDEX($I$2:$N$8,MAX(1,$MF26),MAX(1,$NG26))&amp;" · "&amp;CHOOSE(MAX(1,$NG26),"Leve","Média","Pesada","Leve · Livre","Média · Livre","Pesada · Livre")))</f>
        <v/>
      </c>
      <c r="QA26" s="152">
        <f>IF(OR($MQ26=0,$NC26=0),"",IF($MF26=0,"−1 dado","−"&amp;INDEX($I$2:$N$8,MAX(1,$MF26),MAX(1,$NH26))&amp;" · "&amp;CHOOSE(MAX(1,$NH26),"Leve","Média","Pesada","Leve · Livre","Média · Livre","Pesada · Livre")))</f>
        <v/>
      </c>
      <c r="QB26" s="152">
        <f>IF(OR($MQ26=0,$ND26=0),"",IF($MF26=0,"−1 dado","−"&amp;INDEX($I$2:$N$8,MAX(1,$MF26),MAX(1,$NI26))&amp;" · "&amp;CHOOSE(MAX(1,$NI26),"Leve","Média","Pesada","Leve · Livre","Média · Livre","Pesada · Livre")))</f>
        <v/>
      </c>
      <c r="QC26" s="152">
        <f>IF(OR($MQ26=0,$NE26=0),"",IF($MF26=0,"−1 dado","−"&amp;INDEX($I$2:$N$8,MAX(1,$MF26),MAX(1,$NJ26))&amp;" · "&amp;CHOOSE(MAX(1,$NJ26),"Leve","Média","Pesada","Leve · Livre","Média · Livre","Pesada · Livre")))</f>
        <v/>
      </c>
      <c r="QD26" s="152">
        <f>IF(OR($MQ26=0,$MO26=""),"",IF($MF26=0,"não devolve","+"&amp;IF($NV26=1,CEILING($MF26/2,1),$MF26)))</f>
        <v/>
      </c>
      <c r="QE26" s="152">
        <f>IF(OR($MQ26=0,$MP26=""),"",IF($MF26=0,"não devolve","+"&amp;IF($NW26=1,CEILING($MF26/2,1),$MF26)))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BA27" s="152" t="n">
        <v>1</v>
      </c>
      <c r="JG27" s="152">
        <f>IF(OR($AW27="",COUNTIF($EF$2:$EJ$2,$AW27)&gt;0),$AV27,"")</f>
        <v/>
      </c>
      <c r="JH27" s="152">
        <f>IF(AND($AX27=1,OR($AW27="",COUNTIF($EF$2:$EJ$2,$AW27)&gt;0)),$AV27,"")</f>
        <v/>
      </c>
      <c r="JM27" s="152">
        <f>IF(OR($AW27="",COUNTIF($EF$3:$EJ$3,$AW27)&gt;0),$AV27,"")</f>
        <v/>
      </c>
      <c r="JN27" s="152">
        <f>IF(AND($AX27=1,OR($AW27="",COUNTIF($EF$3:$EJ$3,$AW27)&gt;0)),$AV27,"")</f>
        <v/>
      </c>
      <c r="JS27" s="152">
        <f>IF(OR($AW27="",COUNTIF($EF$4:$EJ$4,$AW27)&gt;0),$AV27,"")</f>
        <v/>
      </c>
      <c r="JT27" s="152">
        <f>IF(AND($AX27=1,OR($AW27="",COUNTIF($EF$4:$EJ$4,$AW27)&gt;0)),$AV27,"")</f>
        <v/>
      </c>
      <c r="JY27" s="152">
        <f>IF(OR($AW27="",COUNTIF($EF$5:$EJ$5,$AW27)&gt;0),$AV27,"")</f>
        <v/>
      </c>
      <c r="JZ27" s="152">
        <f>IF(AND($AX27=1,OR($AW27="",COUNTIF($EF$5:$EJ$5,$AW27)&gt;0)),$AV27,"")</f>
        <v/>
      </c>
      <c r="KE27" s="152">
        <f>IF(OR($AW27="",COUNTIF($EF$6:$EJ$6,$AW27)&gt;0),$AV27,"")</f>
        <v/>
      </c>
      <c r="KF27" s="152">
        <f>IF(AND($AX27=1,OR($AW27="",COUNTIF($EF$6:$EJ$6,$AW27)&gt;0)),$AV27,"")</f>
        <v/>
      </c>
      <c r="KK27" s="152">
        <f>IF(OR($AW27="",COUNTIF($EF$7:$EJ$7,$AW27)&gt;0),$AV27,"")</f>
        <v/>
      </c>
      <c r="KL27" s="152">
        <f>IF(AND($AX27=1,OR($AW27="",COUNTIF($EF$7:$EJ$7,$AW27)&gt;0)),$AV27,"")</f>
        <v/>
      </c>
      <c r="KQ27" s="152">
        <f>IF(OR($AW27="",COUNTIF($EF$8:$EJ$8,$AW27)&gt;0),$AV27,"")</f>
        <v/>
      </c>
      <c r="KR27" s="152">
        <f>IF(AND($AX27=1,OR($AW27="",COUNTIF($EF$8:$EJ$8,$AW27)&gt;0)),$AV27,"")</f>
        <v/>
      </c>
      <c r="KW27" s="152">
        <f>IF(OR($AW27="",COUNTIF($EF$9:$EJ$9,$AW27)&gt;0),$AV27,"")</f>
        <v/>
      </c>
      <c r="KX27" s="152">
        <f>IF(AND($AX27=1,OR($AW27="",COUNTIF($EF$9:$EJ$9,$AW27)&gt;0)),$AV27,"")</f>
        <v/>
      </c>
      <c r="LC27" s="152">
        <f>IF(OR($AW27="",COUNTIF($EF$10:$EJ$10,$AW27)&gt;0),$AV27,"")</f>
        <v/>
      </c>
      <c r="LD27" s="152">
        <f>IF(AND($AX27=1,OR($AW27="",COUNTIF($EF$10:$EJ$10,$AW27)&gt;0)),$AV27,"")</f>
        <v/>
      </c>
      <c r="LI27" s="152">
        <f>IF(OR($AW27="",COUNTIF($EF$11:$EJ$11,$AW27)&gt;0),$AV27,"")</f>
        <v/>
      </c>
      <c r="LJ27" s="152">
        <f>IF(AND($AX27=1,OR($AW27="",COUNTIF($EF$11:$EJ$11,$AW27)&gt;0)),$AV27,"")</f>
        <v/>
      </c>
      <c r="LO27" s="152">
        <f>IF(OR($AW27="",COUNTIF($EF$12:$EJ$12,$AW27)&gt;0),$AV27,"")</f>
        <v/>
      </c>
      <c r="LP27" s="152">
        <f>IF(AND($AX27=1,OR($AW27="",COUNTIF($EF$12:$EJ$12,$AW27)&gt;0)),$AV27,"")</f>
        <v/>
      </c>
      <c r="LU27" s="152">
        <f>IF(OR($AW27="",COUNTIF($EF$13:$EJ$13,$AW27)&gt;0),$AV27,"")</f>
        <v/>
      </c>
      <c r="LV27" s="152">
        <f>IF(AND($AX27=1,OR($AW27="",COUNTIF($EF$13:$EJ$13,$AW27)&gt;0)),$AV27,"")</f>
        <v/>
      </c>
      <c r="MA27" s="150" t="inlineStr">
        <is>
          <t>Ficha 2 · Escolha da trilha 3</t>
        </is>
      </c>
      <c r="MB27" s="152" t="n">
        <v>2</v>
      </c>
      <c r="MC27" s="152" t="n">
        <v>2</v>
      </c>
      <c r="MD27" s="152" t="n">
        <v>0</v>
      </c>
      <c r="ME27" s="150" t="inlineStr">
        <is>
          <t>ESCOLHA DA TRILHA 3</t>
        </is>
      </c>
      <c r="MF27" s="152">
        <f>MAX(0,MIN(7,N('INVOCAÇÕES'!$U$358)))</f>
        <v/>
      </c>
      <c r="MG27" s="152">
        <f>'INVOCAÇÕES'!$V$358&amp;""</f>
        <v/>
      </c>
      <c r="MH27" s="152">
        <f>'INVOCAÇÕES'!$U$363&amp;""</f>
        <v/>
      </c>
      <c r="MI27" s="152">
        <f>'INVOCAÇÕES'!$U$364&amp;""</f>
        <v/>
      </c>
      <c r="MJ27" s="152">
        <f>'INVOCAÇÕES'!$W$364&amp;""</f>
        <v/>
      </c>
      <c r="MK27" s="152">
        <f>'INVOCAÇÕES'!$V$367&amp;""</f>
        <v/>
      </c>
      <c r="ML27" s="152">
        <f>'INVOCAÇÕES'!$V$368&amp;""</f>
        <v/>
      </c>
      <c r="MM27" s="152">
        <f>'INVOCAÇÕES'!$V$369&amp;""</f>
        <v/>
      </c>
      <c r="MN27" s="152">
        <f>'INVOCAÇÕES'!$V$370&amp;""</f>
        <v/>
      </c>
      <c r="MO27" s="152">
        <f>'INVOCAÇÕES'!$V$371&amp;""</f>
        <v/>
      </c>
      <c r="MP27" s="152">
        <f>'INVOCAÇÕES'!$V$372&amp;""</f>
        <v/>
      </c>
      <c r="MQ27" s="152">
        <f>IF($MG27&lt;&gt;"",1,0)</f>
        <v/>
      </c>
      <c r="MR27" s="152">
        <f>INDEX($FI$2:$FI$13,$MB27)</f>
        <v/>
      </c>
      <c r="MS27" s="152">
        <f>INDEX($FJ$2:$FJ$13,$MB27)</f>
        <v/>
      </c>
      <c r="MT27" s="152">
        <f>INDEX($FK$2:$FK$13,$MB27)</f>
        <v/>
      </c>
      <c r="MU27" s="152">
        <f>INDEX($FV$2:$FV$13,$MB27)</f>
        <v/>
      </c>
      <c r="MV27" s="152">
        <f>INDEX($FW$2:$FW$13,$MB27)</f>
        <v/>
      </c>
      <c r="MW27" s="152">
        <f>IFERROR(MATCH($MH27,$V$2:$V$11,0),0)</f>
        <v/>
      </c>
      <c r="MX27" s="152">
        <f>IFERROR(VLOOKUP($MK27,$AV$2:$BA$84,2,FALSE),"")</f>
        <v/>
      </c>
      <c r="MY27" s="152">
        <f>IFERROR(VLOOKUP($ML27,$AV$2:$BA$84,2,FALSE),"")</f>
        <v/>
      </c>
      <c r="MZ27" s="152">
        <f>IFERROR(VLOOKUP($MM27,$AV$2:$BA$84,2,FALSE),"")</f>
        <v/>
      </c>
      <c r="NA27" s="152">
        <f>IFERROR(VLOOKUP($MN27,$AV$2:$BA$84,2,FALSE),"")</f>
        <v/>
      </c>
      <c r="NB27" s="152">
        <f>IFERROR(VLOOKUP($MK27,$AV$2:$BA$84,3,FALSE),0)</f>
        <v/>
      </c>
      <c r="NC27" s="152">
        <f>IFERROR(VLOOKUP($ML27,$AV$2:$BA$84,3,FALSE),0)</f>
        <v/>
      </c>
      <c r="ND27" s="152">
        <f>IFERROR(VLOOKUP($MM27,$AV$2:$BA$84,3,FALSE),0)</f>
        <v/>
      </c>
      <c r="NE27" s="152">
        <f>IFERROR(VLOOKUP($MN27,$AV$2:$BA$84,3,FALSE),0)</f>
        <v/>
      </c>
      <c r="NF27" s="152">
        <f>IF($MF27=0,0,IF($MW27=0,0,INDEX($X$2:$X$11,$MW27)))</f>
        <v/>
      </c>
      <c r="NG27" s="152">
        <f>IF(OR($NB27=0,$MF27=0),0,$NB27+3*IF(AND($MX27&lt;&gt;"",OR($MX27=INDEX($EF$2:$EF$13,$MB27),$MX27=INDEX($EG$2:$EG$13,$MB27))),1,0))</f>
        <v/>
      </c>
      <c r="NH27" s="152">
        <f>IF(OR($NC27=0,$MF27=0),0,$NC27+3*IF(AND($MY27&lt;&gt;"",OR($MY27=INDEX($EF$2:$EF$13,$MB27),$MY27=INDEX($EG$2:$EG$13,$MB27))),1,0))</f>
        <v/>
      </c>
      <c r="NI27" s="152">
        <f>IF(OR($ND27=0,$MF27=0),0,$ND27+3*IF(AND($MZ27&lt;&gt;"",OR($MZ27=INDEX($EF$2:$EF$13,$MB27),$MZ27=INDEX($EG$2:$EG$13,$MB27))),1,0))</f>
        <v/>
      </c>
      <c r="NJ27" s="152">
        <f>IF(OR($NE27=0,$MF27=0),0,$NE27+3*IF(AND($NA27&lt;&gt;"",OR($NA27=INDEX($EF$2:$EF$13,$MB27),$NA27=INDEX($EG$2:$EG$13,$MB27))),1,0))</f>
        <v/>
      </c>
      <c r="NK27" s="152">
        <f>IF($MW27=0,0,IF(INDEX($W$2:$W$11,$MW27)="",0,IF(COUNTIF(INDEX($EF$2:$EJ$13,$MB27,0),INDEX($W$2:$W$11,$MW27))=0,1,0)))</f>
        <v/>
      </c>
      <c r="NL27" s="152">
        <f>IF(OR($NB27=0,$MX27=""),0,IF(COUNTIF(INDEX($EF$2:$EJ$13,$MB27,0),$MX27)=0,1,0))</f>
        <v/>
      </c>
      <c r="NM27" s="152">
        <f>IF(OR($NC27=0,$MY27=""),0,IF(COUNTIF(INDEX($EF$2:$EJ$13,$MB27,0),$MY27)=0,1,0))</f>
        <v/>
      </c>
      <c r="NN27" s="152">
        <f>IF(OR($ND27=0,$MZ27=""),0,IF(COUNTIF(INDEX($EF$2:$EJ$13,$MB27,0),$MZ27)=0,1,0))</f>
        <v/>
      </c>
      <c r="NO27" s="152">
        <f>IF(OR($NE27=0,$NA27=""),0,IF(COUNTIF(INDEX($EF$2:$EJ$13,$MB27,0),$NA27)=0,1,0))</f>
        <v/>
      </c>
      <c r="NP27" s="152">
        <f>IFERROR(VLOOKUP($MK27,$AV$2:$BA$84,4,FALSE),0)+IFERROR(VLOOKUP($ML27,$AV$2:$BA$84,4,FALSE),0)+IFERROR(VLOOKUP($MM27,$AV$2:$BA$84,4,FALSE),0)+IFERROR(VLOOKUP($MN27,$AV$2:$BA$84,4,FALSE),0)</f>
        <v/>
      </c>
      <c r="NQ27" s="152">
        <f>IFERROR(VLOOKUP($MK27,$AV$2:$BA$84,6,FALSE),0)+IFERROR(VLOOKUP($ML27,$AV$2:$BA$84,6,FALSE),0)+IFERROR(VLOOKUP($MM27,$AV$2:$BA$84,6,FALSE),0)+IFERROR(VLOOKUP($MN27,$AV$2:$BA$84,6,FALSE),0)</f>
        <v/>
      </c>
      <c r="NR27" s="152">
        <f>TEXTJOIN(", ",TRUE,IF(IFERROR(VLOOKUP($MK27,$AV$2:$BA$84,5,FALSE),0)=1,$MK27,""),IF(IFERROR(VLOOKUP($ML27,$AV$2:$BA$84,5,FALSE),0)=1,$ML27,""),IF(IFERROR(VLOOKUP($MM27,$AV$2:$BA$84,5,FALSE),0)=1,$MM27,""),IF(IFERROR(VLOOKUP($MN27,$AV$2:$BA$84,5,FALSE),0)=1,$MN27,""))</f>
        <v/>
      </c>
      <c r="NS27" s="152">
        <f>IF($MW27=0,0,INDEX($Y$2:$Y$11,$MW27))</f>
        <v/>
      </c>
      <c r="NT27" s="152">
        <f>IF($MW27=0,0,INDEX($Z$2:$Z$11,$MW27))</f>
        <v/>
      </c>
      <c r="NU27" s="152">
        <f>IF($MW27=0,0,INDEX($AB$2:$AB$11,$MW27))</f>
        <v/>
      </c>
      <c r="NV27" s="152">
        <f>IFERROR(VLOOKUP($MO27,$BC$2:$BG$24,3,FALSE),0)</f>
        <v/>
      </c>
      <c r="NW27" s="152">
        <f>IFERROR(VLOOKUP($MP27,$BC$2:$BG$24,3,FALSE),0)</f>
        <v/>
      </c>
      <c r="NX27" s="152">
        <f>IFERROR(VLOOKUP($MO27,$BC$2:$BG$24,2,FALSE),"")</f>
        <v/>
      </c>
      <c r="NY27" s="152">
        <f>IFERROR(VLOOKUP($MP27,$BC$2:$BG$24,2,FALSE),"")</f>
        <v/>
      </c>
      <c r="NZ27" s="152">
        <f>COUNTIF($NF27:$NJ27,1)</f>
        <v/>
      </c>
      <c r="OA27" s="152">
        <f>COUNTIF($NF27:$NJ27,2)</f>
        <v/>
      </c>
      <c r="OB27" s="152">
        <f>COUNTIF($NF27:$NJ27,3)</f>
        <v/>
      </c>
      <c r="OC27" s="152">
        <f>COUNTIF($NF27:$NJ27,4)</f>
        <v/>
      </c>
      <c r="OD27" s="152">
        <f>COUNTIF($NF27:$NJ27,5)</f>
        <v/>
      </c>
      <c r="OE27" s="152">
        <f>COUNTIF($NF27:$NJ27,6)</f>
        <v/>
      </c>
      <c r="OF27" s="152">
        <f>COUNTIF($NV27:$NW27,1)</f>
        <v/>
      </c>
      <c r="OG27" s="152">
        <f>COUNTIF($NV27:$NW27,2)+$NS27</f>
        <v/>
      </c>
      <c r="OH27" s="152">
        <f>COUNTIF($MK27:$MN27,"?*")</f>
        <v/>
      </c>
      <c r="OI27" s="152">
        <f>COUNTIF($MO27:$MP27,"?*")+$NS27</f>
        <v/>
      </c>
      <c r="OJ27" s="152">
        <f>IF($MF27=0,0,SUMPRODUCT($NZ27:$OE27,INDEX($I$2:$N$8,MAX(1,$MF27),0)))</f>
        <v/>
      </c>
      <c r="OK27" s="152">
        <f>IF($MF27=0,0,$OF27*CEILING($MF27/2,1)+$OG27*$MF27)</f>
        <v/>
      </c>
      <c r="OL27" s="152">
        <f>MIN(2*$MF27,$OK27)</f>
        <v/>
      </c>
      <c r="OM27" s="152">
        <f>MIN($OL27,$OJ27)</f>
        <v/>
      </c>
      <c r="ON27" s="152">
        <f>$OL27-$OM27</f>
        <v/>
      </c>
      <c r="OO27" s="152">
        <f>IF($MF27=0,0,INDEX($P$2:$P$8,MAX(1,$MF27)))</f>
        <v/>
      </c>
      <c r="OP27" s="152">
        <f>$OO27-$OJ27+$OM27</f>
        <v/>
      </c>
      <c r="OQ27" s="152">
        <f>IF($MF27=0,MAX(0,$MT27-IF($OH27&gt;0,1,0)),MAX(0,$OP27))</f>
        <v/>
      </c>
      <c r="OR27" s="152">
        <f>IF($MF27=0,0,(IF(COUNTIF($MK27:$MN27,"Salto")&gt;0,1,0)+IF(COUNTIF($MK27:$MN27,"Queima")&gt;0,1,0)+IF(COUNTIF($MK27:$MN27,"Estilhaço")&gt;0,1,0))*FLOOR($OQ27/2,1))</f>
        <v/>
      </c>
      <c r="OS27" s="152">
        <f>MAX(0,2-SUMPRODUCT($NZ27:$OE27,$I$2:$N$2)+MIN(2,$OF27*1+$OG27*1,SUMPRODUCT($NZ27:$OE27,$I$2:$N$2)))</f>
        <v/>
      </c>
      <c r="OT27" s="152">
        <f>MAX(0,4-SUMPRODUCT($NZ27:$OE27,$I$3:$N$3)+MIN(4,$OF27*1+$OG27*2,SUMPRODUCT($NZ27:$OE27,$I$3:$N$3)))</f>
        <v/>
      </c>
      <c r="OU27" s="152">
        <f>MAX(0,6-SUMPRODUCT($NZ27:$OE27,$I$4:$N$4)+MIN(6,$OF27*2+$OG27*3,SUMPRODUCT($NZ27:$OE27,$I$4:$N$4)))</f>
        <v/>
      </c>
      <c r="OV27" s="152">
        <f>MAX(0,9-SUMPRODUCT($NZ27:$OE27,$I$5:$N$5)+MIN(8,$OF27*2+$OG27*4,SUMPRODUCT($NZ27:$OE27,$I$5:$N$5)))</f>
        <v/>
      </c>
      <c r="OW27" s="152">
        <f>MAX(0,11-SUMPRODUCT($NZ27:$OE27,$I$6:$N$6)+MIN(10,$OF27*3+$OG27*5,SUMPRODUCT($NZ27:$OE27,$I$6:$N$6)))</f>
        <v/>
      </c>
      <c r="OX27" s="152">
        <f>MAX(0,13-SUMPRODUCT($NZ27:$OE27,$I$7:$N$7)+MIN(12,$OF27*3+$OG27*6,SUMPRODUCT($NZ27:$OE27,$I$7:$N$7)))</f>
        <v/>
      </c>
      <c r="OY27" s="152">
        <f>MAX(0,16-SUMPRODUCT($NZ27:$OE27,$I$8:$N$8)+MIN(14,$OF27*4+$OG27*7,SUMPRODUCT($NZ27:$OE27,$I$8:$N$8)))</f>
        <v/>
      </c>
      <c r="OZ27" s="152">
        <f>IF($NT27=2,3*$OS27&amp;" de vida temp.",IF($NT27=3,"sem dano",IF($OS27=0,IF($NT27=1,"sem cura","sem dano"),IF($NT27=1,"cura ","")&amp;$OS27&amp;"d8")))</f>
        <v/>
      </c>
      <c r="PA27" s="152">
        <f>IF($NT27=2,3*$OT27&amp;" de vida temp.",IF($NT27=3,"sem dano",IF($OT27=0,IF($NT27=1,"sem cura","sem dano"),IF($NT27=1,"cura ","")&amp;$OT27&amp;"d8")))</f>
        <v/>
      </c>
      <c r="PB27" s="152">
        <f>IF($NT27=2,3*$OU27&amp;" de vida temp.",IF($NT27=3,"sem dano",IF($OU27=0,IF($NT27=1,"sem cura","sem dano"),IF($NT27=1,"cura ","")&amp;$OU27&amp;"d8")))</f>
        <v/>
      </c>
      <c r="PC27" s="152">
        <f>IF($NT27=2,3*$OV27&amp;" de vida temp.",IF($NT27=3,"sem dano",IF($OV27=0,IF($NT27=1,"sem cura","sem dano"),IF($NT27=1,"cura ","")&amp;$OV27&amp;"d8")))</f>
        <v/>
      </c>
      <c r="PD27" s="152">
        <f>IF($NT27=2,3*$OW27&amp;" de vida temp.",IF($NT27=3,"sem dano",IF($OW27=0,IF($NT27=1,"sem cura","sem dano"),IF($NT27=1,"cura ","")&amp;$OW27&amp;"d8")))</f>
        <v/>
      </c>
      <c r="PE27" s="152">
        <f>IF($NT27=2,3*$OX27&amp;" de vida temp.",IF($NT27=3,"sem dano",IF($OX27=0,IF($NT27=1,"sem cura","sem dano"),IF($NT27=1,"cura ","")&amp;$OX27&amp;"d8")))</f>
        <v/>
      </c>
      <c r="PF27" s="152">
        <f>IF($NT27=2,3*$OY27&amp;" de vida temp.",IF($NT27=3,"sem dano",IF($OY27=0,IF($NT27=1,"sem cura","sem dano"),IF($NT27=1,"cura ","")&amp;$OY27&amp;"d8")))</f>
        <v/>
      </c>
      <c r="PG27" s="152">
        <f>IF($MQ27=0,"",TEXTJOIN(" · ",TRUE,IF($MD27&gt;$MR27,"Este lugar abre no nível "&amp;$MD27,""),IF($MF27&gt;$MS27,"Classe "&amp;$MF27&amp;": o nível "&amp;$MR27&amp;" libera até a "&amp;$MS27,""),IF($NK27=1,"A Forma "&amp;$MH27&amp;" pede "&amp;INDEX($W$2:$W$11,$MW27)&amp;" aberta",""),IF(AND($MF27=0,$MW27&gt;0,IF($MW27=0,0,INDEX($AF$2:$AF$11,$MW27))=0),$MH27&amp;" não existe na Classe 0",""),IF($NL27=1,"Família Fechada: "&amp;$MK27,""),IF($NM27=1,"Família Fechada: "&amp;$ML27,""),IF($NN27=1,"Família Fechada: "&amp;$MM27,""),IF($NO27=1,"Família Fechada: "&amp;$MN27,""),IF(AND($MF27&gt;0,$OH27&gt;INDEX($O$2:$O$8,MAX(1,$MF27))),$OH27&amp;" Melhorias: a Classe "&amp;$MF27&amp;" aceita "&amp;INDEX($O$2:$O$8,MAX(1,$MF27)),""),IF(AND($MF27=0,$OH27&gt;1),"A básica aceita uma Melhoria",""),IF(AND($MF27=0,COUNTIF($NB27:$NE27,"&gt;1")&gt;0),"A básica só aceita Melhoria Leve",""),IF(AND($MF27&gt;0,$OI27&gt;2),$OI27&amp;" Restrições"&amp;IF($NS27=1,", contando a que a Forma "&amp;$MH27&amp;" já traz","")&amp;": o limite é 2",""),IF(AND($MF27=0,COUNTIF($MO27:$MP27,"?*")&gt;1),"A básica aceita uma Restrição Leve",""),IF(AND($MF27=0,COUNTIF($NV27:$NW27,2)&gt;0),"A básica só aceita Restrição Leve",""),IF(AND($MF27&gt;0,$OP27&lt;0),"Orçamento estourado: faltam "&amp;(-$OP27)&amp;IF($OP27&lt;-1," pontos"," ponto"),""),IF(IFERROR(VLOOKUP($MO27,$BC$2:$BG$24,4,FALSE),0)+IFERROR(VLOOKUP($MP27,$BC$2:$BG$24,4,FALSE),0)&gt;1,$NX27&amp;" e "&amp;$NY27&amp;" são as duas de frequência",""),IF(AND((COUNTIF($MK27:$MN27,"Rápido")+COUNTIF($NX27:$NY27,"Rápido"))&gt;0,(COUNTIF($MK27:$MN27,"Atrasar")+COUNTIF($NX27:$NY27,"Atrasar"))&gt;0),"Rápido não entra com Atrasar",""),IF(AND((COUNTIF($MK27:$MN27,"Reação")+COUNTIF($NX27:$NY27,"Reação"))&gt;0,(COUNTIF($MK27:$MN27,"Rápido")+COUNTIF($NX27:$NY27,"Rápido"))&gt;0),"Reação não entra com Rápido",""),IF(AND((COUNTIF($MK27:$MN27,"Reação")+COUNTIF($NX27:$NY27,"Reação"))&gt;0,(COUNTIF($MK27:$MN27,"Armado")+COUNTIF($NX27:$NY27,"Armado"))&gt;0),"Reação não entra com Armado",""),IF(AND((COUNTIF($MK27:$MN27,"Reação")+COUNTIF($NX27:$NY27,"Reação"))&gt;0,(COUNTIF($MK27:$MN27,"Atrasar")+COUNTIF($NX27:$NY27,"Atrasar"))&gt;0),"Reação não entra com Atrasar",""),IF(AND((COUNTIF($MK27:$MN27,"Reação")+COUNTIF($NX27:$NY27,"Reação"))&gt;0,(COUNTIF($MK27:$MN27,"Parado")+COUNTIF($NX27:$NY27,"Parado"))&gt;0),"Reação não entra com Parado",""),IF(AND((COUNTIF($MK27:$MN27,"Atrasar")+COUNTIF($NX27:$NY27,"Atrasar"))&gt;0,(COUNTIF($MK27:$MN27,"Parado")+COUNTIF($NX27:$NY27,"Parado"))&gt;0),"Atrasar não entra com Parado",""),IF(AND((COUNTIF($MK27:$MN27,"Armado")+COUNTIF($NX27:$NY27,"Armado"))&gt;0,(COUNTIF($MK27:$MN27,"Carregar")+COUNTIF($NX27:$NY27,"Carregar"))&gt;0),"Armado não entra com Carregar",""),IF(AND(COUNTIF($NX27:$NY27,"Corpo a Corpo")&gt;0,$NS27=0,OR($MH27="Cone",$MH27="Linha")),"Corpo a Corpo não entra em "&amp;$MH27,""),IF(AND(COUNTIF($NX27:$NY27,"Corpo a Corpo")&gt;0,$NS27=1),"A Forma "&amp;$MH27&amp;" já traz o Corpo a Corpo",""),IF(AND(COUNTIF($NX27:$NY27,"Tudo ou Nada")&gt;0,$NU27=0),"Tudo ou Nada só entra em habilidade de Teste de Resistência",""),IF(AND(COUNTIF($MK27:$MN27,"Inescapável")&gt;0,OR($OH27&gt;1,$OI27&gt;0)),"Inescapável não aceita outra peça",""),IF(AND($MF27&gt;0,$OQ27*IF(COUNTIF($MK27:$MN27,"Remate")&gt;0,1.25,1)+$OR27&gt;4*$MF27),($OQ27*IF(COUNTIF($MK27:$MN27,"Remate")&gt;0,1.25,1)+$OR27)&amp;" dados somando repetições"&amp;IF(COUNTIF($MK27:$MN27,"Remate")&gt;0," e o Remate","")&amp;": o teto da Classe "&amp;$MF27&amp;" é "&amp;4*$MF27,"")))</f>
        <v/>
      </c>
      <c r="PH27" s="152">
        <f>IF($PG27="",0,(LEN($PG27)-LEN(SUBSTITUTE($PG27," · ","")))/3+1)</f>
        <v/>
      </c>
      <c r="PI27" s="152">
        <f>IF($MQ27=0,"",TEXTJOIN(" · ",TRUE,IF($OK27&gt;2*$MF27,"A devolução parou no teto de "&amp;2*$MF27,""),IF($ON27&gt;0,"Devolução perdida: "&amp;$ON27&amp;IF($ON27&gt;1," pontos"," ponto")&amp;" sem peça para pagar",""),IF(AND($NP27&gt;0,AND($MF27&gt;0,$NT27=0),$OQ27=0),"Controle sem dano: uma rodada a mais e CD +2",""),IF(AND($NP27&gt;0,AND($MF27&gt;0,$NT27=0),$OQ27&gt;0,$OQ27&lt;=$MF27),"Controle com saldo até a Classe: uma rodada a mais",""),IF(AND($MF27&gt;0,$NR27&lt;&gt;""),"Efeito de "&amp;$NR27&amp;" pela Classe "&amp;MAX(1,$MF27-1),"")))</f>
        <v/>
      </c>
      <c r="PJ27" s="152">
        <f>IF($PI27="",0,(LEN($PI27)-LEN(SUBSTITUTE($PI27," · ","")))/3+1)</f>
        <v/>
      </c>
      <c r="PK27" s="152">
        <f>IF($MQ27=0,IF($OH27+COUNTIF($MO27:$MP27,"?*")&gt;0,"Dê um nome",""),IF($PH27&gt;0,"⚠ "&amp;$PH27&amp;IF($PH27&gt;1," erros"," erro"),IF($PJ27&gt;0,"! "&amp;$PJ27&amp;IF($PJ27&gt;1," avisos"," aviso"),"Na regra")))</f>
        <v/>
      </c>
      <c r="PL27" s="152">
        <f>IF($MQ27=0,"",IF($PH27+$PJ27=0,"Dentro das regras que a ficha confere",$PG27&amp;IF(AND($PH27&gt;0,$PJ27&gt;0)," · ","")&amp;$PI27))</f>
        <v/>
      </c>
      <c r="PM27" s="152">
        <f>IF($MD27&gt;$MR27,$ME27&amp;" · ABRE NO NÍVEL "&amp;$MD27,$ME27)</f>
        <v/>
      </c>
      <c r="PN27" s="152">
        <f>IF($MQ27=0,"",IF($MF27=0,"Sem PE",3*$MF27&amp;" PE"))</f>
        <v/>
      </c>
      <c r="PO27" s="152">
        <f>IF($MQ27=0,"",IF($MF27=0,"A atuação básica dela",IF(COUNTIF($NX27:$NY27,"Atrasar")&gt;0,"Sua Ação Completa",IF(COUNTIF($MK27:$MN27,"Rápido")&gt;0,"Sua Bônus",IF(COUNTIF($MK27:$MN27,"Reação")&gt;0,"Sua Reação","Sua Padrão")))&amp;" + a básica dela"&amp;IF(COUNTIF($MK27:$MN27,"Reação")&gt;0," e a coletiva","")&amp;IF(COUNTIF($NX27:$NY27,"Carregar")&gt;0," · em dois turnos","")))</f>
        <v/>
      </c>
      <c r="PP27" s="152">
        <f>IF($MJ27&lt;&gt;"",$MJ27,IF($MW27=0,"",INDEX($AA$2:$AA$11,$MW27)))</f>
        <v/>
      </c>
      <c r="PQ27" s="152">
        <f>IF(OR($MQ27=0,$MW27=0),"",IF(COUNTIF($MK27:$MN27,"Inescapável")&gt;0,"Automático",IF($PP27="Ataque",IF($MU27="","Ataque","Ataque "&amp;IF(($MU27+2*IF(COUNTIF($MK27:$MN27,"Precisão")&gt;0,1,0))&gt;=0,"+","−")&amp;ABS(($MU27+2*IF(COUNTIF($MK27:$MN27,"Precisão")&gt;0,1,0))))&amp;IF($NQ27&gt;0," · TR"&amp;IF($MV27="",""," CD "&amp;$MV27),""),IF(LEFT($PP27,2)="TR",$PP27&amp;IF($MV27="",""," · CD "&amp;$MV27)&amp;IF(COUNTIF($MK27:$MN27,"Certeiro")&gt;0," · metade",""),"Sem rolagem"))))</f>
        <v/>
      </c>
      <c r="PR27" s="152">
        <f>IF(OR($MQ27=0,$MW27=0),"",IF($MF27=0,IF(OR($NT27&gt;=1,$OQ27=0),"Sem dano",$OQ27&amp;"d6"&amp;IF($MI27="",""," "&amp;$MI27)),IF(OR($NT27&gt;=1,$OQ27=0),UPPER(LEFT(INDEX($OZ27:$PF27,1,MAX(1,$MF27)),1))&amp;MID(INDEX($OZ27:$PF27,1,MAX(1,$MF27)),2,99),UPPER(LEFT(INDEX($OZ27:$PF27,1,MAX(1,$MF27)),1))&amp;MID(INDEX($OZ27:$PF27,1,MAX(1,$MF27)),2,99)&amp;IF($MI27="",""," "&amp;$MI27)&amp;IF($OR27&gt;0," · +"&amp;$OR27&amp;"d8",""))))</f>
        <v/>
      </c>
      <c r="PS27" s="152">
        <f>COUNTIF($MK27:$MN27,"Longe")+3*COUNTIF($MK27:$MN27,"Muito Longe")</f>
        <v/>
      </c>
      <c r="PT27" s="152">
        <f>COUNTIF($MK27:$MN27,"Maior")+3*COUNTIF($MK27:$MN27,"Muito Maior")</f>
        <v/>
      </c>
      <c r="PU27" s="152">
        <f>IF($MW27=0,0,CHOOSE(1+INDEX($AC$2:$AC$11,$MW27),0,$PS27,$PT27,$PS27+$PT27))</f>
        <v/>
      </c>
      <c r="PV27" s="152">
        <f>IF($MW27=0,0,CHOOSE(1+INDEX($AD$2:$AD$11,$MW27),0,$PS27,$PT27,$PS27+$PT27))</f>
        <v/>
      </c>
      <c r="PW27" s="152">
        <f>IF(OR($MQ27=0,$MW27=0),"",INDEX($AI$2:$AN$41,($MW27-1)*4+IF($MF27=0,1,IF($MF27&lt;=5,2,IF($MF27=6,3,4))),1+MIN(5,$PU27))&amp;INDEX($AO$2:$AT$41,($MW27-1)*4+IF($MF27=0,1,IF($MF27&lt;=5,2,IF($MF27=6,3,4))),1+MIN(5,$PV27))&amp;IF(INDEX($AE$2:$AE$11,$MW27)=1,IF(COUNTIF($MK27:$MN27,"Mais Um")&gt;0," · +"&amp;COUNTIF($MK27:$MN27,"Mais Um")&amp;IF(COUNTIF($MK27:$MN27,"Mais Um")&gt;1," alvos"," alvo"),"")&amp;IF(COUNTIF($MK27:$MN27,"Rajada")&gt;0,IF($MF27=0," · 1 tiro"," · "&amp;(MAX(1,$MF27-1)+1)&amp;" tiros"),""),""))</f>
        <v/>
      </c>
      <c r="PX27" s="152">
        <f>IF($MQ27=0,"",IF($MF27=0,$MT27&amp;"d6"&amp;IF($OH27&gt;0," − 1 = "&amp;$OQ27&amp;"d6"," da básica do nível "&amp;$MR27),$OO27&amp;" − "&amp;$OJ27&amp;" + "&amp;$OM27&amp;" = "&amp;$OP27&amp;" · teto "&amp;4*$MF27&amp;"d8"&amp;IF($NS27=1," · a Forma devolve "&amp;$MF27,"")&amp;IF($ON27&gt;0," · perde "&amp;$ON27,"")))</f>
        <v/>
      </c>
      <c r="PY27" s="152">
        <f>IF($MQ27=0,"",IF($MF27=0,"A básica não amplia: os dados dela sobem com o nível",IF($MF27&gt;=$MS27,"Já está na maior Classe que o nível liberou",TEXTJOIN(" · ",TRUE,IF(AND(2&gt;$MF27,2&lt;=$MS27),"2 → "&amp;$PA27&amp;", 6 PE",""),IF(AND(3&gt;$MF27,3&lt;=$MS27),"3 → "&amp;$PB27&amp;", 9 PE",""),IF(AND(4&gt;$MF27,4&lt;=$MS27),"4 → "&amp;$PC27&amp;", 12 PE",""),IF(AND(5&gt;$MF27,5&lt;=$MS27),"5 → "&amp;$PD27&amp;", 15 PE",""),IF(AND(6&gt;$MF27,6&lt;=$MS27),"6 → "&amp;$PE27&amp;", 18 PE",""),IF(AND(7&gt;$MF27,7&lt;=$MS27),"7 → "&amp;$PF27&amp;", 21 PE","")))))</f>
        <v/>
      </c>
      <c r="PZ27" s="152">
        <f>IF(OR($MQ27=0,$NB27=0),"",IF($MF27=0,"−1 dado","−"&amp;INDEX($I$2:$N$8,MAX(1,$MF27),MAX(1,$NG27))&amp;" · "&amp;CHOOSE(MAX(1,$NG27),"Leve","Média","Pesada","Leve · Livre","Média · Livre","Pesada · Livre")))</f>
        <v/>
      </c>
      <c r="QA27" s="152">
        <f>IF(OR($MQ27=0,$NC27=0),"",IF($MF27=0,"−1 dado","−"&amp;INDEX($I$2:$N$8,MAX(1,$MF27),MAX(1,$NH27))&amp;" · "&amp;CHOOSE(MAX(1,$NH27),"Leve","Média","Pesada","Leve · Livre","Média · Livre","Pesada · Livre")))</f>
        <v/>
      </c>
      <c r="QB27" s="152">
        <f>IF(OR($MQ27=0,$ND27=0),"",IF($MF27=0,"−1 dado","−"&amp;INDEX($I$2:$N$8,MAX(1,$MF27),MAX(1,$NI27))&amp;" · "&amp;CHOOSE(MAX(1,$NI27),"Leve","Média","Pesada","Leve · Livre","Média · Livre","Pesada · Livre")))</f>
        <v/>
      </c>
      <c r="QC27" s="152">
        <f>IF(OR($MQ27=0,$NE27=0),"",IF($MF27=0,"−1 dado","−"&amp;INDEX($I$2:$N$8,MAX(1,$MF27),MAX(1,$NJ27))&amp;" · "&amp;CHOOSE(MAX(1,$NJ27),"Leve","Média","Pesada","Leve · Livre","Média · Livre","Pesada · Livre")))</f>
        <v/>
      </c>
      <c r="QD27" s="152">
        <f>IF(OR($MQ27=0,$MO27=""),"",IF($MF27=0,"não devolve","+"&amp;IF($NV27=1,CEILING($MF27/2,1),$MF27)))</f>
        <v/>
      </c>
      <c r="QE27" s="152">
        <f>IF(OR($MQ27=0,$MP27=""),"",IF($MF27=0,"não devolve","+"&amp;IF($NW27=1,CEILING($MF27/2,1),$MF27)))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BA28" s="152" t="n">
        <v>1</v>
      </c>
      <c r="JG28" s="152">
        <f>IF(OR($AW28="",COUNTIF($EF$2:$EJ$2,$AW28)&gt;0),$AV28,"")</f>
        <v/>
      </c>
      <c r="JH28" s="152">
        <f>IF(AND($AX28=1,OR($AW28="",COUNTIF($EF$2:$EJ$2,$AW28)&gt;0)),$AV28,"")</f>
        <v/>
      </c>
      <c r="JM28" s="152">
        <f>IF(OR($AW28="",COUNTIF($EF$3:$EJ$3,$AW28)&gt;0),$AV28,"")</f>
        <v/>
      </c>
      <c r="JN28" s="152">
        <f>IF(AND($AX28=1,OR($AW28="",COUNTIF($EF$3:$EJ$3,$AW28)&gt;0)),$AV28,"")</f>
        <v/>
      </c>
      <c r="JS28" s="152">
        <f>IF(OR($AW28="",COUNTIF($EF$4:$EJ$4,$AW28)&gt;0),$AV28,"")</f>
        <v/>
      </c>
      <c r="JT28" s="152">
        <f>IF(AND($AX28=1,OR($AW28="",COUNTIF($EF$4:$EJ$4,$AW28)&gt;0)),$AV28,"")</f>
        <v/>
      </c>
      <c r="JY28" s="152">
        <f>IF(OR($AW28="",COUNTIF($EF$5:$EJ$5,$AW28)&gt;0),$AV28,"")</f>
        <v/>
      </c>
      <c r="JZ28" s="152">
        <f>IF(AND($AX28=1,OR($AW28="",COUNTIF($EF$5:$EJ$5,$AW28)&gt;0)),$AV28,"")</f>
        <v/>
      </c>
      <c r="KE28" s="152">
        <f>IF(OR($AW28="",COUNTIF($EF$6:$EJ$6,$AW28)&gt;0),$AV28,"")</f>
        <v/>
      </c>
      <c r="KF28" s="152">
        <f>IF(AND($AX28=1,OR($AW28="",COUNTIF($EF$6:$EJ$6,$AW28)&gt;0)),$AV28,"")</f>
        <v/>
      </c>
      <c r="KK28" s="152">
        <f>IF(OR($AW28="",COUNTIF($EF$7:$EJ$7,$AW28)&gt;0),$AV28,"")</f>
        <v/>
      </c>
      <c r="KL28" s="152">
        <f>IF(AND($AX28=1,OR($AW28="",COUNTIF($EF$7:$EJ$7,$AW28)&gt;0)),$AV28,"")</f>
        <v/>
      </c>
      <c r="KQ28" s="152">
        <f>IF(OR($AW28="",COUNTIF($EF$8:$EJ$8,$AW28)&gt;0),$AV28,"")</f>
        <v/>
      </c>
      <c r="KR28" s="152">
        <f>IF(AND($AX28=1,OR($AW28="",COUNTIF($EF$8:$EJ$8,$AW28)&gt;0)),$AV28,"")</f>
        <v/>
      </c>
      <c r="KW28" s="152">
        <f>IF(OR($AW28="",COUNTIF($EF$9:$EJ$9,$AW28)&gt;0),$AV28,"")</f>
        <v/>
      </c>
      <c r="KX28" s="152">
        <f>IF(AND($AX28=1,OR($AW28="",COUNTIF($EF$9:$EJ$9,$AW28)&gt;0)),$AV28,"")</f>
        <v/>
      </c>
      <c r="LC28" s="152">
        <f>IF(OR($AW28="",COUNTIF($EF$10:$EJ$10,$AW28)&gt;0),$AV28,"")</f>
        <v/>
      </c>
      <c r="LD28" s="152">
        <f>IF(AND($AX28=1,OR($AW28="",COUNTIF($EF$10:$EJ$10,$AW28)&gt;0)),$AV28,"")</f>
        <v/>
      </c>
      <c r="LI28" s="152">
        <f>IF(OR($AW28="",COUNTIF($EF$11:$EJ$11,$AW28)&gt;0),$AV28,"")</f>
        <v/>
      </c>
      <c r="LJ28" s="152">
        <f>IF(AND($AX28=1,OR($AW28="",COUNTIF($EF$11:$EJ$11,$AW28)&gt;0)),$AV28,"")</f>
        <v/>
      </c>
      <c r="LO28" s="152">
        <f>IF(OR($AW28="",COUNTIF($EF$12:$EJ$12,$AW28)&gt;0),$AV28,"")</f>
        <v/>
      </c>
      <c r="LP28" s="152">
        <f>IF(AND($AX28=1,OR($AW28="",COUNTIF($EF$12:$EJ$12,$AW28)&gt;0)),$AV28,"")</f>
        <v/>
      </c>
      <c r="LU28" s="152">
        <f>IF(OR($AW28="",COUNTIF($EF$13:$EJ$13,$AW28)&gt;0),$AV28,"")</f>
        <v/>
      </c>
      <c r="LV28" s="152">
        <f>IF(AND($AX28=1,OR($AW28="",COUNTIF($EF$13:$EJ$13,$AW28)&gt;0)),$AV28,"")</f>
        <v/>
      </c>
      <c r="MA28" s="150" t="inlineStr">
        <is>
          <t>Ficha 3 · Básica 1</t>
        </is>
      </c>
      <c r="MB28" s="152" t="n">
        <v>3</v>
      </c>
      <c r="MC28" s="152" t="n">
        <v>0</v>
      </c>
      <c r="MD28" s="152" t="n">
        <v>1</v>
      </c>
      <c r="ME28" s="150" t="inlineStr">
        <is>
          <t>BÁSICA 1</t>
        </is>
      </c>
      <c r="MF28" s="152" t="n">
        <v>0</v>
      </c>
      <c r="MG28" s="152">
        <f>'INVOCAÇÕES'!$J$454&amp;""</f>
        <v/>
      </c>
      <c r="MH28" s="152">
        <f>'INVOCAÇÕES'!$I$459&amp;""</f>
        <v/>
      </c>
      <c r="MI28" s="152">
        <f>'INVOCAÇÕES'!$I$460&amp;""</f>
        <v/>
      </c>
      <c r="MJ28" s="152">
        <f>'INVOCAÇÕES'!$K$460&amp;""</f>
        <v/>
      </c>
      <c r="MK28" s="152">
        <f>'INVOCAÇÕES'!$J$463&amp;""</f>
        <v/>
      </c>
      <c r="ML28" s="152">
        <f>'INVOCAÇÕES'!$J$464&amp;""</f>
        <v/>
      </c>
      <c r="MM28" s="152">
        <f>'INVOCAÇÕES'!$J$465&amp;""</f>
        <v/>
      </c>
      <c r="MN28" s="152">
        <f>'INVOCAÇÕES'!$J$466&amp;""</f>
        <v/>
      </c>
      <c r="MO28" s="152">
        <f>'INVOCAÇÕES'!$J$467&amp;""</f>
        <v/>
      </c>
      <c r="MP28" s="152">
        <f>'INVOCAÇÕES'!$J$468&amp;""</f>
        <v/>
      </c>
      <c r="MQ28" s="152">
        <f>IF($MG28&lt;&gt;"",1,0)</f>
        <v/>
      </c>
      <c r="MR28" s="152">
        <f>INDEX($FI$2:$FI$13,$MB28)</f>
        <v/>
      </c>
      <c r="MS28" s="152">
        <f>INDEX($FJ$2:$FJ$13,$MB28)</f>
        <v/>
      </c>
      <c r="MT28" s="152">
        <f>INDEX($FK$2:$FK$13,$MB28)</f>
        <v/>
      </c>
      <c r="MU28" s="152">
        <f>INDEX($FV$2:$FV$13,$MB28)</f>
        <v/>
      </c>
      <c r="MV28" s="152">
        <f>INDEX($FW$2:$FW$13,$MB28)</f>
        <v/>
      </c>
      <c r="MW28" s="152">
        <f>IFERROR(MATCH($MH28,$V$2:$V$11,0),0)</f>
        <v/>
      </c>
      <c r="MX28" s="152">
        <f>IFERROR(VLOOKUP($MK28,$AV$2:$BA$84,2,FALSE),"")</f>
        <v/>
      </c>
      <c r="MY28" s="152">
        <f>IFERROR(VLOOKUP($ML28,$AV$2:$BA$84,2,FALSE),"")</f>
        <v/>
      </c>
      <c r="MZ28" s="152">
        <f>IFERROR(VLOOKUP($MM28,$AV$2:$BA$84,2,FALSE),"")</f>
        <v/>
      </c>
      <c r="NA28" s="152">
        <f>IFERROR(VLOOKUP($MN28,$AV$2:$BA$84,2,FALSE),"")</f>
        <v/>
      </c>
      <c r="NB28" s="152">
        <f>IFERROR(VLOOKUP($MK28,$AV$2:$BA$84,3,FALSE),0)</f>
        <v/>
      </c>
      <c r="NC28" s="152">
        <f>IFERROR(VLOOKUP($ML28,$AV$2:$BA$84,3,FALSE),0)</f>
        <v/>
      </c>
      <c r="ND28" s="152">
        <f>IFERROR(VLOOKUP($MM28,$AV$2:$BA$84,3,FALSE),0)</f>
        <v/>
      </c>
      <c r="NE28" s="152">
        <f>IFERROR(VLOOKUP($MN28,$AV$2:$BA$84,3,FALSE),0)</f>
        <v/>
      </c>
      <c r="NF28" s="152">
        <f>IF($MF28=0,0,IF($MW28=0,0,INDEX($X$2:$X$11,$MW28)))</f>
        <v/>
      </c>
      <c r="NG28" s="152">
        <f>IF(OR($NB28=0,$MF28=0),0,$NB28+3*IF(AND($MX28&lt;&gt;"",OR($MX28=INDEX($EF$2:$EF$13,$MB28),$MX28=INDEX($EG$2:$EG$13,$MB28))),1,0))</f>
        <v/>
      </c>
      <c r="NH28" s="152">
        <f>IF(OR($NC28=0,$MF28=0),0,$NC28+3*IF(AND($MY28&lt;&gt;"",OR($MY28=INDEX($EF$2:$EF$13,$MB28),$MY28=INDEX($EG$2:$EG$13,$MB28))),1,0))</f>
        <v/>
      </c>
      <c r="NI28" s="152">
        <f>IF(OR($ND28=0,$MF28=0),0,$ND28+3*IF(AND($MZ28&lt;&gt;"",OR($MZ28=INDEX($EF$2:$EF$13,$MB28),$MZ28=INDEX($EG$2:$EG$13,$MB28))),1,0))</f>
        <v/>
      </c>
      <c r="NJ28" s="152">
        <f>IF(OR($NE28=0,$MF28=0),0,$NE28+3*IF(AND($NA28&lt;&gt;"",OR($NA28=INDEX($EF$2:$EF$13,$MB28),$NA28=INDEX($EG$2:$EG$13,$MB28))),1,0))</f>
        <v/>
      </c>
      <c r="NK28" s="152">
        <f>IF($MW28=0,0,IF(INDEX($W$2:$W$11,$MW28)="",0,IF(COUNTIF(INDEX($EF$2:$EJ$13,$MB28,0),INDEX($W$2:$W$11,$MW28))=0,1,0)))</f>
        <v/>
      </c>
      <c r="NL28" s="152">
        <f>IF(OR($NB28=0,$MX28=""),0,IF(COUNTIF(INDEX($EF$2:$EJ$13,$MB28,0),$MX28)=0,1,0))</f>
        <v/>
      </c>
      <c r="NM28" s="152">
        <f>IF(OR($NC28=0,$MY28=""),0,IF(COUNTIF(INDEX($EF$2:$EJ$13,$MB28,0),$MY28)=0,1,0))</f>
        <v/>
      </c>
      <c r="NN28" s="152">
        <f>IF(OR($ND28=0,$MZ28=""),0,IF(COUNTIF(INDEX($EF$2:$EJ$13,$MB28,0),$MZ28)=0,1,0))</f>
        <v/>
      </c>
      <c r="NO28" s="152">
        <f>IF(OR($NE28=0,$NA28=""),0,IF(COUNTIF(INDEX($EF$2:$EJ$13,$MB28,0),$NA28)=0,1,0))</f>
        <v/>
      </c>
      <c r="NP28" s="152">
        <f>IFERROR(VLOOKUP($MK28,$AV$2:$BA$84,4,FALSE),0)+IFERROR(VLOOKUP($ML28,$AV$2:$BA$84,4,FALSE),0)+IFERROR(VLOOKUP($MM28,$AV$2:$BA$84,4,FALSE),0)+IFERROR(VLOOKUP($MN28,$AV$2:$BA$84,4,FALSE),0)</f>
        <v/>
      </c>
      <c r="NQ28" s="152">
        <f>IFERROR(VLOOKUP($MK28,$AV$2:$BA$84,6,FALSE),0)+IFERROR(VLOOKUP($ML28,$AV$2:$BA$84,6,FALSE),0)+IFERROR(VLOOKUP($MM28,$AV$2:$BA$84,6,FALSE),0)+IFERROR(VLOOKUP($MN28,$AV$2:$BA$84,6,FALSE),0)</f>
        <v/>
      </c>
      <c r="NR28" s="152">
        <f>TEXTJOIN(", ",TRUE,IF(IFERROR(VLOOKUP($MK28,$AV$2:$BA$84,5,FALSE),0)=1,$MK28,""),IF(IFERROR(VLOOKUP($ML28,$AV$2:$BA$84,5,FALSE),0)=1,$ML28,""),IF(IFERROR(VLOOKUP($MM28,$AV$2:$BA$84,5,FALSE),0)=1,$MM28,""),IF(IFERROR(VLOOKUP($MN28,$AV$2:$BA$84,5,FALSE),0)=1,$MN28,""))</f>
        <v/>
      </c>
      <c r="NS28" s="152">
        <f>IF($MW28=0,0,INDEX($Y$2:$Y$11,$MW28))</f>
        <v/>
      </c>
      <c r="NT28" s="152">
        <f>IF($MW28=0,0,INDEX($Z$2:$Z$11,$MW28))</f>
        <v/>
      </c>
      <c r="NU28" s="152">
        <f>IF($MW28=0,0,INDEX($AB$2:$AB$11,$MW28))</f>
        <v/>
      </c>
      <c r="NV28" s="152">
        <f>IFERROR(VLOOKUP($MO28,$BC$2:$BG$24,3,FALSE),0)</f>
        <v/>
      </c>
      <c r="NW28" s="152">
        <f>IFERROR(VLOOKUP($MP28,$BC$2:$BG$24,3,FALSE),0)</f>
        <v/>
      </c>
      <c r="NX28" s="152">
        <f>IFERROR(VLOOKUP($MO28,$BC$2:$BG$24,2,FALSE),"")</f>
        <v/>
      </c>
      <c r="NY28" s="152">
        <f>IFERROR(VLOOKUP($MP28,$BC$2:$BG$24,2,FALSE),"")</f>
        <v/>
      </c>
      <c r="NZ28" s="152">
        <f>COUNTIF($NF28:$NJ28,1)</f>
        <v/>
      </c>
      <c r="OA28" s="152">
        <f>COUNTIF($NF28:$NJ28,2)</f>
        <v/>
      </c>
      <c r="OB28" s="152">
        <f>COUNTIF($NF28:$NJ28,3)</f>
        <v/>
      </c>
      <c r="OC28" s="152">
        <f>COUNTIF($NF28:$NJ28,4)</f>
        <v/>
      </c>
      <c r="OD28" s="152">
        <f>COUNTIF($NF28:$NJ28,5)</f>
        <v/>
      </c>
      <c r="OE28" s="152">
        <f>COUNTIF($NF28:$NJ28,6)</f>
        <v/>
      </c>
      <c r="OF28" s="152">
        <f>COUNTIF($NV28:$NW28,1)</f>
        <v/>
      </c>
      <c r="OG28" s="152">
        <f>COUNTIF($NV28:$NW28,2)+$NS28</f>
        <v/>
      </c>
      <c r="OH28" s="152">
        <f>COUNTIF($MK28:$MN28,"?*")</f>
        <v/>
      </c>
      <c r="OI28" s="152">
        <f>COUNTIF($MO28:$MP28,"?*")+$NS28</f>
        <v/>
      </c>
      <c r="OJ28" s="152">
        <f>IF($MF28=0,0,SUMPRODUCT($NZ28:$OE28,INDEX($I$2:$N$8,MAX(1,$MF28),0)))</f>
        <v/>
      </c>
      <c r="OK28" s="152">
        <f>IF($MF28=0,0,$OF28*CEILING($MF28/2,1)+$OG28*$MF28)</f>
        <v/>
      </c>
      <c r="OL28" s="152">
        <f>MIN(2*$MF28,$OK28)</f>
        <v/>
      </c>
      <c r="OM28" s="152">
        <f>MIN($OL28,$OJ28)</f>
        <v/>
      </c>
      <c r="ON28" s="152">
        <f>$OL28-$OM28</f>
        <v/>
      </c>
      <c r="OO28" s="152">
        <f>IF($MF28=0,0,INDEX($P$2:$P$8,MAX(1,$MF28)))</f>
        <v/>
      </c>
      <c r="OP28" s="152">
        <f>$OO28-$OJ28+$OM28</f>
        <v/>
      </c>
      <c r="OQ28" s="152">
        <f>IF($MF28=0,MAX(0,$MT28-IF($OH28&gt;0,1,0)),MAX(0,$OP28))</f>
        <v/>
      </c>
      <c r="OR28" s="152">
        <f>IF($MF28=0,0,(IF(COUNTIF($MK28:$MN28,"Salto")&gt;0,1,0)+IF(COUNTIF($MK28:$MN28,"Queima")&gt;0,1,0)+IF(COUNTIF($MK28:$MN28,"Estilhaço")&gt;0,1,0))*FLOOR($OQ28/2,1))</f>
        <v/>
      </c>
      <c r="OS28" s="152">
        <f>MAX(0,2-SUMPRODUCT($NZ28:$OE28,$I$2:$N$2)+MIN(2,$OF28*1+$OG28*1,SUMPRODUCT($NZ28:$OE28,$I$2:$N$2)))</f>
        <v/>
      </c>
      <c r="OT28" s="152">
        <f>MAX(0,4-SUMPRODUCT($NZ28:$OE28,$I$3:$N$3)+MIN(4,$OF28*1+$OG28*2,SUMPRODUCT($NZ28:$OE28,$I$3:$N$3)))</f>
        <v/>
      </c>
      <c r="OU28" s="152">
        <f>MAX(0,6-SUMPRODUCT($NZ28:$OE28,$I$4:$N$4)+MIN(6,$OF28*2+$OG28*3,SUMPRODUCT($NZ28:$OE28,$I$4:$N$4)))</f>
        <v/>
      </c>
      <c r="OV28" s="152">
        <f>MAX(0,9-SUMPRODUCT($NZ28:$OE28,$I$5:$N$5)+MIN(8,$OF28*2+$OG28*4,SUMPRODUCT($NZ28:$OE28,$I$5:$N$5)))</f>
        <v/>
      </c>
      <c r="OW28" s="152">
        <f>MAX(0,11-SUMPRODUCT($NZ28:$OE28,$I$6:$N$6)+MIN(10,$OF28*3+$OG28*5,SUMPRODUCT($NZ28:$OE28,$I$6:$N$6)))</f>
        <v/>
      </c>
      <c r="OX28" s="152">
        <f>MAX(0,13-SUMPRODUCT($NZ28:$OE28,$I$7:$N$7)+MIN(12,$OF28*3+$OG28*6,SUMPRODUCT($NZ28:$OE28,$I$7:$N$7)))</f>
        <v/>
      </c>
      <c r="OY28" s="152">
        <f>MAX(0,16-SUMPRODUCT($NZ28:$OE28,$I$8:$N$8)+MIN(14,$OF28*4+$OG28*7,SUMPRODUCT($NZ28:$OE28,$I$8:$N$8)))</f>
        <v/>
      </c>
      <c r="OZ28" s="152">
        <f>IF($NT28=2,3*$OS28&amp;" de vida temp.",IF($NT28=3,"sem dano",IF($OS28=0,IF($NT28=1,"sem cura","sem dano"),IF($NT28=1,"cura ","")&amp;$OS28&amp;"d8")))</f>
        <v/>
      </c>
      <c r="PA28" s="152">
        <f>IF($NT28=2,3*$OT28&amp;" de vida temp.",IF($NT28=3,"sem dano",IF($OT28=0,IF($NT28=1,"sem cura","sem dano"),IF($NT28=1,"cura ","")&amp;$OT28&amp;"d8")))</f>
        <v/>
      </c>
      <c r="PB28" s="152">
        <f>IF($NT28=2,3*$OU28&amp;" de vida temp.",IF($NT28=3,"sem dano",IF($OU28=0,IF($NT28=1,"sem cura","sem dano"),IF($NT28=1,"cura ","")&amp;$OU28&amp;"d8")))</f>
        <v/>
      </c>
      <c r="PC28" s="152">
        <f>IF($NT28=2,3*$OV28&amp;" de vida temp.",IF($NT28=3,"sem dano",IF($OV28=0,IF($NT28=1,"sem cura","sem dano"),IF($NT28=1,"cura ","")&amp;$OV28&amp;"d8")))</f>
        <v/>
      </c>
      <c r="PD28" s="152">
        <f>IF($NT28=2,3*$OW28&amp;" de vida temp.",IF($NT28=3,"sem dano",IF($OW28=0,IF($NT28=1,"sem cura","sem dano"),IF($NT28=1,"cura ","")&amp;$OW28&amp;"d8")))</f>
        <v/>
      </c>
      <c r="PE28" s="152">
        <f>IF($NT28=2,3*$OX28&amp;" de vida temp.",IF($NT28=3,"sem dano",IF($OX28=0,IF($NT28=1,"sem cura","sem dano"),IF($NT28=1,"cura ","")&amp;$OX28&amp;"d8")))</f>
        <v/>
      </c>
      <c r="PF28" s="152">
        <f>IF($NT28=2,3*$OY28&amp;" de vida temp.",IF($NT28=3,"sem dano",IF($OY28=0,IF($NT28=1,"sem cura","sem dano"),IF($NT28=1,"cura ","")&amp;$OY28&amp;"d8")))</f>
        <v/>
      </c>
      <c r="PG28" s="152">
        <f>IF($MQ28=0,"",TEXTJOIN(" · ",TRUE,IF($MD28&gt;$MR28,"Este lugar abre no nível "&amp;$MD28,""),IF($MF28&gt;$MS28,"Classe "&amp;$MF28&amp;": o nível "&amp;$MR28&amp;" libera até a "&amp;$MS28,""),IF($NK28=1,"A Forma "&amp;$MH28&amp;" pede "&amp;INDEX($W$2:$W$11,$MW28)&amp;" aberta",""),IF(AND($MF28=0,$MW28&gt;0,IF($MW28=0,0,INDEX($AF$2:$AF$11,$MW28))=0),$MH28&amp;" não existe na Classe 0",""),IF($NL28=1,"Família Fechada: "&amp;$MK28,""),IF($NM28=1,"Família Fechada: "&amp;$ML28,""),IF($NN28=1,"Família Fechada: "&amp;$MM28,""),IF($NO28=1,"Família Fechada: "&amp;$MN28,""),IF(AND($MF28&gt;0,$OH28&gt;INDEX($O$2:$O$8,MAX(1,$MF28))),$OH28&amp;" Melhorias: a Classe "&amp;$MF28&amp;" aceita "&amp;INDEX($O$2:$O$8,MAX(1,$MF28)),""),IF(AND($MF28=0,$OH28&gt;1),"A básica aceita uma Melhoria",""),IF(AND($MF28=0,COUNTIF($NB28:$NE28,"&gt;1")&gt;0),"A básica só aceita Melhoria Leve",""),IF(AND($MF28&gt;0,$OI28&gt;2),$OI28&amp;" Restrições"&amp;IF($NS28=1,", contando a que a Forma "&amp;$MH28&amp;" já traz","")&amp;": o limite é 2",""),IF(AND($MF28=0,COUNTIF($MO28:$MP28,"?*")&gt;1),"A básica aceita uma Restrição Leve",""),IF(AND($MF28=0,COUNTIF($NV28:$NW28,2)&gt;0),"A básica só aceita Restrição Leve",""),IF(AND($MF28&gt;0,$OP28&lt;0),"Orçamento estourado: faltam "&amp;(-$OP28)&amp;IF($OP28&lt;-1," pontos"," ponto"),""),IF(IFERROR(VLOOKUP($MO28,$BC$2:$BG$24,4,FALSE),0)+IFERROR(VLOOKUP($MP28,$BC$2:$BG$24,4,FALSE),0)&gt;1,$NX28&amp;" e "&amp;$NY28&amp;" são as duas de frequência",""),IF(AND((COUNTIF($MK28:$MN28,"Rápido")+COUNTIF($NX28:$NY28,"Rápido"))&gt;0,(COUNTIF($MK28:$MN28,"Atrasar")+COUNTIF($NX28:$NY28,"Atrasar"))&gt;0),"Rápido não entra com Atrasar",""),IF(AND((COUNTIF($MK28:$MN28,"Reação")+COUNTIF($NX28:$NY28,"Reação"))&gt;0,(COUNTIF($MK28:$MN28,"Rápido")+COUNTIF($NX28:$NY28,"Rápido"))&gt;0),"Reação não entra com Rápido",""),IF(AND((COUNTIF($MK28:$MN28,"Reação")+COUNTIF($NX28:$NY28,"Reação"))&gt;0,(COUNTIF($MK28:$MN28,"Armado")+COUNTIF($NX28:$NY28,"Armado"))&gt;0),"Reação não entra com Armado",""),IF(AND((COUNTIF($MK28:$MN28,"Reação")+COUNTIF($NX28:$NY28,"Reação"))&gt;0,(COUNTIF($MK28:$MN28,"Atrasar")+COUNTIF($NX28:$NY28,"Atrasar"))&gt;0),"Reação não entra com Atrasar",""),IF(AND((COUNTIF($MK28:$MN28,"Reação")+COUNTIF($NX28:$NY28,"Reação"))&gt;0,(COUNTIF($MK28:$MN28,"Parado")+COUNTIF($NX28:$NY28,"Parado"))&gt;0),"Reação não entra com Parado",""),IF(AND((COUNTIF($MK28:$MN28,"Atrasar")+COUNTIF($NX28:$NY28,"Atrasar"))&gt;0,(COUNTIF($MK28:$MN28,"Parado")+COUNTIF($NX28:$NY28,"Parado"))&gt;0),"Atrasar não entra com Parado",""),IF(AND((COUNTIF($MK28:$MN28,"Armado")+COUNTIF($NX28:$NY28,"Armado"))&gt;0,(COUNTIF($MK28:$MN28,"Carregar")+COUNTIF($NX28:$NY28,"Carregar"))&gt;0),"Armado não entra com Carregar",""),IF(AND(COUNTIF($NX28:$NY28,"Corpo a Corpo")&gt;0,$NS28=0,OR($MH28="Cone",$MH28="Linha")),"Corpo a Corpo não entra em "&amp;$MH28,""),IF(AND(COUNTIF($NX28:$NY28,"Corpo a Corpo")&gt;0,$NS28=1),"A Forma "&amp;$MH28&amp;" já traz o Corpo a Corpo",""),IF(AND(COUNTIF($NX28:$NY28,"Tudo ou Nada")&gt;0,$NU28=0),"Tudo ou Nada só entra em habilidade de Teste de Resistência",""),IF(AND(COUNTIF($MK28:$MN28,"Inescapável")&gt;0,OR($OH28&gt;1,$OI28&gt;0)),"Inescapável não aceita outra peça",""),IF(AND($MF28&gt;0,$OQ28*IF(COUNTIF($MK28:$MN28,"Remate")&gt;0,1.25,1)+$OR28&gt;4*$MF28),($OQ28*IF(COUNTIF($MK28:$MN28,"Remate")&gt;0,1.25,1)+$OR28)&amp;" dados somando repetições"&amp;IF(COUNTIF($MK28:$MN28,"Remate")&gt;0," e o Remate","")&amp;": o teto da Classe "&amp;$MF28&amp;" é "&amp;4*$MF28,"")))</f>
        <v/>
      </c>
      <c r="PH28" s="152">
        <f>IF($PG28="",0,(LEN($PG28)-LEN(SUBSTITUTE($PG28," · ","")))/3+1)</f>
        <v/>
      </c>
      <c r="PI28" s="152">
        <f>IF($MQ28=0,"",TEXTJOIN(" · ",TRUE,IF($OK28&gt;2*$MF28,"A devolução parou no teto de "&amp;2*$MF28,""),IF($ON28&gt;0,"Devolução perdida: "&amp;$ON28&amp;IF($ON28&gt;1," pontos"," ponto")&amp;" sem peça para pagar",""),IF(AND($NP28&gt;0,AND($MF28&gt;0,$NT28=0),$OQ28=0),"Controle sem dano: uma rodada a mais e CD +2",""),IF(AND($NP28&gt;0,AND($MF28&gt;0,$NT28=0),$OQ28&gt;0,$OQ28&lt;=$MF28),"Controle com saldo até a Classe: uma rodada a mais",""),IF(AND($MF28&gt;0,$NR28&lt;&gt;""),"Efeito de "&amp;$NR28&amp;" pela Classe "&amp;MAX(1,$MF28-1),"")))</f>
        <v/>
      </c>
      <c r="PJ28" s="152">
        <f>IF($PI28="",0,(LEN($PI28)-LEN(SUBSTITUTE($PI28," · ","")))/3+1)</f>
        <v/>
      </c>
      <c r="PK28" s="152">
        <f>IF($MQ28=0,IF($OH28+COUNTIF($MO28:$MP28,"?*")&gt;0,"Dê um nome",""),IF($PH28&gt;0,"⚠ "&amp;$PH28&amp;IF($PH28&gt;1," erros"," erro"),IF($PJ28&gt;0,"! "&amp;$PJ28&amp;IF($PJ28&gt;1," avisos"," aviso"),"Na regra")))</f>
        <v/>
      </c>
      <c r="PL28" s="152">
        <f>IF($MQ28=0,"",IF($PH28+$PJ28=0,"Dentro das regras que a ficha confere",$PG28&amp;IF(AND($PH28&gt;0,$PJ28&gt;0)," · ","")&amp;$PI28))</f>
        <v/>
      </c>
      <c r="PM28" s="152">
        <f>IF($MD28&gt;$MR28,$ME28&amp;" · ABRE NO NÍVEL "&amp;$MD28,$ME28)</f>
        <v/>
      </c>
      <c r="PN28" s="152">
        <f>IF($MQ28=0,"",IF($MF28=0,"Sem PE",3*$MF28&amp;" PE"))</f>
        <v/>
      </c>
      <c r="PO28" s="152">
        <f>IF($MQ28=0,"",IF($MF28=0,"A atuação básica dela",IF(COUNTIF($NX28:$NY28,"Atrasar")&gt;0,"Sua Ação Completa",IF(COUNTIF($MK28:$MN28,"Rápido")&gt;0,"Sua Bônus",IF(COUNTIF($MK28:$MN28,"Reação")&gt;0,"Sua Reação","Sua Padrão")))&amp;" + a básica dela"&amp;IF(COUNTIF($MK28:$MN28,"Reação")&gt;0," e a coletiva","")&amp;IF(COUNTIF($NX28:$NY28,"Carregar")&gt;0," · em dois turnos","")))</f>
        <v/>
      </c>
      <c r="PP28" s="152">
        <f>IF($MJ28&lt;&gt;"",$MJ28,IF($MW28=0,"",INDEX($AA$2:$AA$11,$MW28)))</f>
        <v/>
      </c>
      <c r="PQ28" s="152">
        <f>IF(OR($MQ28=0,$MW28=0),"",IF(COUNTIF($MK28:$MN28,"Inescapável")&gt;0,"Automático",IF($PP28="Ataque",IF($MU28="","Ataque","Ataque "&amp;IF(($MU28+2*IF(COUNTIF($MK28:$MN28,"Precisão")&gt;0,1,0))&gt;=0,"+","−")&amp;ABS(($MU28+2*IF(COUNTIF($MK28:$MN28,"Precisão")&gt;0,1,0))))&amp;IF($NQ28&gt;0," · TR"&amp;IF($MV28="",""," CD "&amp;$MV28),""),IF(LEFT($PP28,2)="TR",$PP28&amp;IF($MV28="",""," · CD "&amp;$MV28)&amp;IF(COUNTIF($MK28:$MN28,"Certeiro")&gt;0," · metade",""),"Sem rolagem"))))</f>
        <v/>
      </c>
      <c r="PR28" s="152">
        <f>IF(OR($MQ28=0,$MW28=0),"",IF($MF28=0,IF(OR($NT28&gt;=1,$OQ28=0),"Sem dano",$OQ28&amp;"d6"&amp;IF($MI28="",""," "&amp;$MI28)),IF(OR($NT28&gt;=1,$OQ28=0),UPPER(LEFT(INDEX($OZ28:$PF28,1,MAX(1,$MF28)),1))&amp;MID(INDEX($OZ28:$PF28,1,MAX(1,$MF28)),2,99),UPPER(LEFT(INDEX($OZ28:$PF28,1,MAX(1,$MF28)),1))&amp;MID(INDEX($OZ28:$PF28,1,MAX(1,$MF28)),2,99)&amp;IF($MI28="",""," "&amp;$MI28)&amp;IF($OR28&gt;0," · +"&amp;$OR28&amp;"d8",""))))</f>
        <v/>
      </c>
      <c r="PS28" s="152">
        <f>COUNTIF($MK28:$MN28,"Longe")+3*COUNTIF($MK28:$MN28,"Muito Longe")</f>
        <v/>
      </c>
      <c r="PT28" s="152">
        <f>COUNTIF($MK28:$MN28,"Maior")+3*COUNTIF($MK28:$MN28,"Muito Maior")</f>
        <v/>
      </c>
      <c r="PU28" s="152">
        <f>IF($MW28=0,0,CHOOSE(1+INDEX($AC$2:$AC$11,$MW28),0,$PS28,$PT28,$PS28+$PT28))</f>
        <v/>
      </c>
      <c r="PV28" s="152">
        <f>IF($MW28=0,0,CHOOSE(1+INDEX($AD$2:$AD$11,$MW28),0,$PS28,$PT28,$PS28+$PT28))</f>
        <v/>
      </c>
      <c r="PW28" s="152">
        <f>IF(OR($MQ28=0,$MW28=0),"",INDEX($AI$2:$AN$41,($MW28-1)*4+IF($MF28=0,1,IF($MF28&lt;=5,2,IF($MF28=6,3,4))),1+MIN(5,$PU28))&amp;INDEX($AO$2:$AT$41,($MW28-1)*4+IF($MF28=0,1,IF($MF28&lt;=5,2,IF($MF28=6,3,4))),1+MIN(5,$PV28))&amp;IF(INDEX($AE$2:$AE$11,$MW28)=1,IF(COUNTIF($MK28:$MN28,"Mais Um")&gt;0," · +"&amp;COUNTIF($MK28:$MN28,"Mais Um")&amp;IF(COUNTIF($MK28:$MN28,"Mais Um")&gt;1," alvos"," alvo"),"")&amp;IF(COUNTIF($MK28:$MN28,"Rajada")&gt;0,IF($MF28=0," · 1 tiro"," · "&amp;(MAX(1,$MF28-1)+1)&amp;" tiros"),""),""))</f>
        <v/>
      </c>
      <c r="PX28" s="152">
        <f>IF($MQ28=0,"",IF($MF28=0,$MT28&amp;"d6"&amp;IF($OH28&gt;0," − 1 = "&amp;$OQ28&amp;"d6"," da básica do nível "&amp;$MR28),$OO28&amp;" − "&amp;$OJ28&amp;" + "&amp;$OM28&amp;" = "&amp;$OP28&amp;" · teto "&amp;4*$MF28&amp;"d8"&amp;IF($NS28=1," · a Forma devolve "&amp;$MF28,"")&amp;IF($ON28&gt;0," · perde "&amp;$ON28,"")))</f>
        <v/>
      </c>
      <c r="PY28" s="152">
        <f>IF($MQ28=0,"",IF($MF28=0,"A básica não amplia: os dados dela sobem com o nível",IF($MF28&gt;=$MS28,"Já está na maior Classe que o nível liberou",TEXTJOIN(" · ",TRUE,IF(AND(2&gt;$MF28,2&lt;=$MS28),"2 → "&amp;$PA28&amp;", 6 PE",""),IF(AND(3&gt;$MF28,3&lt;=$MS28),"3 → "&amp;$PB28&amp;", 9 PE",""),IF(AND(4&gt;$MF28,4&lt;=$MS28),"4 → "&amp;$PC28&amp;", 12 PE",""),IF(AND(5&gt;$MF28,5&lt;=$MS28),"5 → "&amp;$PD28&amp;", 15 PE",""),IF(AND(6&gt;$MF28,6&lt;=$MS28),"6 → "&amp;$PE28&amp;", 18 PE",""),IF(AND(7&gt;$MF28,7&lt;=$MS28),"7 → "&amp;$PF28&amp;", 21 PE","")))))</f>
        <v/>
      </c>
      <c r="PZ28" s="152">
        <f>IF(OR($MQ28=0,$NB28=0),"",IF($MF28=0,"−1 dado","−"&amp;INDEX($I$2:$N$8,MAX(1,$MF28),MAX(1,$NG28))&amp;" · "&amp;CHOOSE(MAX(1,$NG28),"Leve","Média","Pesada","Leve · Livre","Média · Livre","Pesada · Livre")))</f>
        <v/>
      </c>
      <c r="QA28" s="152">
        <f>IF(OR($MQ28=0,$NC28=0),"",IF($MF28=0,"−1 dado","−"&amp;INDEX($I$2:$N$8,MAX(1,$MF28),MAX(1,$NH28))&amp;" · "&amp;CHOOSE(MAX(1,$NH28),"Leve","Média","Pesada","Leve · Livre","Média · Livre","Pesada · Livre")))</f>
        <v/>
      </c>
      <c r="QB28" s="152">
        <f>IF(OR($MQ28=0,$ND28=0),"",IF($MF28=0,"−1 dado","−"&amp;INDEX($I$2:$N$8,MAX(1,$MF28),MAX(1,$NI28))&amp;" · "&amp;CHOOSE(MAX(1,$NI28),"Leve","Média","Pesada","Leve · Livre","Média · Livre","Pesada · Livre")))</f>
        <v/>
      </c>
      <c r="QC28" s="152">
        <f>IF(OR($MQ28=0,$NE28=0),"",IF($MF28=0,"−1 dado","−"&amp;INDEX($I$2:$N$8,MAX(1,$MF28),MAX(1,$NJ28))&amp;" · "&amp;CHOOSE(MAX(1,$NJ28),"Leve","Média","Pesada","Leve · Livre","Média · Livre","Pesada · Livre")))</f>
        <v/>
      </c>
      <c r="QD28" s="152">
        <f>IF(OR($MQ28=0,$MO28=""),"",IF($MF28=0,"não devolve","+"&amp;IF($NV28=1,CEILING($MF28/2,1),$MF28)))</f>
        <v/>
      </c>
      <c r="QE28" s="152">
        <f>IF(OR($MQ28=0,$MP28=""),"",IF($MF28=0,"não devolve","+"&amp;IF($NW28=1,CEILING($MF28/2,1),$MF28)))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BA29" s="152" t="n">
        <v>1</v>
      </c>
      <c r="JG29" s="152">
        <f>IF(OR($AW29="",COUNTIF($EF$2:$EJ$2,$AW29)&gt;0),$AV29,"")</f>
        <v/>
      </c>
      <c r="JH29" s="152">
        <f>IF(AND($AX29=1,OR($AW29="",COUNTIF($EF$2:$EJ$2,$AW29)&gt;0)),$AV29,"")</f>
        <v/>
      </c>
      <c r="JM29" s="152">
        <f>IF(OR($AW29="",COUNTIF($EF$3:$EJ$3,$AW29)&gt;0),$AV29,"")</f>
        <v/>
      </c>
      <c r="JN29" s="152">
        <f>IF(AND($AX29=1,OR($AW29="",COUNTIF($EF$3:$EJ$3,$AW29)&gt;0)),$AV29,"")</f>
        <v/>
      </c>
      <c r="JS29" s="152">
        <f>IF(OR($AW29="",COUNTIF($EF$4:$EJ$4,$AW29)&gt;0),$AV29,"")</f>
        <v/>
      </c>
      <c r="JT29" s="152">
        <f>IF(AND($AX29=1,OR($AW29="",COUNTIF($EF$4:$EJ$4,$AW29)&gt;0)),$AV29,"")</f>
        <v/>
      </c>
      <c r="JY29" s="152">
        <f>IF(OR($AW29="",COUNTIF($EF$5:$EJ$5,$AW29)&gt;0),$AV29,"")</f>
        <v/>
      </c>
      <c r="JZ29" s="152">
        <f>IF(AND($AX29=1,OR($AW29="",COUNTIF($EF$5:$EJ$5,$AW29)&gt;0)),$AV29,"")</f>
        <v/>
      </c>
      <c r="KE29" s="152">
        <f>IF(OR($AW29="",COUNTIF($EF$6:$EJ$6,$AW29)&gt;0),$AV29,"")</f>
        <v/>
      </c>
      <c r="KF29" s="152">
        <f>IF(AND($AX29=1,OR($AW29="",COUNTIF($EF$6:$EJ$6,$AW29)&gt;0)),$AV29,"")</f>
        <v/>
      </c>
      <c r="KK29" s="152">
        <f>IF(OR($AW29="",COUNTIF($EF$7:$EJ$7,$AW29)&gt;0),$AV29,"")</f>
        <v/>
      </c>
      <c r="KL29" s="152">
        <f>IF(AND($AX29=1,OR($AW29="",COUNTIF($EF$7:$EJ$7,$AW29)&gt;0)),$AV29,"")</f>
        <v/>
      </c>
      <c r="KQ29" s="152">
        <f>IF(OR($AW29="",COUNTIF($EF$8:$EJ$8,$AW29)&gt;0),$AV29,"")</f>
        <v/>
      </c>
      <c r="KR29" s="152">
        <f>IF(AND($AX29=1,OR($AW29="",COUNTIF($EF$8:$EJ$8,$AW29)&gt;0)),$AV29,"")</f>
        <v/>
      </c>
      <c r="KW29" s="152">
        <f>IF(OR($AW29="",COUNTIF($EF$9:$EJ$9,$AW29)&gt;0),$AV29,"")</f>
        <v/>
      </c>
      <c r="KX29" s="152">
        <f>IF(AND($AX29=1,OR($AW29="",COUNTIF($EF$9:$EJ$9,$AW29)&gt;0)),$AV29,"")</f>
        <v/>
      </c>
      <c r="LC29" s="152">
        <f>IF(OR($AW29="",COUNTIF($EF$10:$EJ$10,$AW29)&gt;0),$AV29,"")</f>
        <v/>
      </c>
      <c r="LD29" s="152">
        <f>IF(AND($AX29=1,OR($AW29="",COUNTIF($EF$10:$EJ$10,$AW29)&gt;0)),$AV29,"")</f>
        <v/>
      </c>
      <c r="LI29" s="152">
        <f>IF(OR($AW29="",COUNTIF($EF$11:$EJ$11,$AW29)&gt;0),$AV29,"")</f>
        <v/>
      </c>
      <c r="LJ29" s="152">
        <f>IF(AND($AX29=1,OR($AW29="",COUNTIF($EF$11:$EJ$11,$AW29)&gt;0)),$AV29,"")</f>
        <v/>
      </c>
      <c r="LO29" s="152">
        <f>IF(OR($AW29="",COUNTIF($EF$12:$EJ$12,$AW29)&gt;0),$AV29,"")</f>
        <v/>
      </c>
      <c r="LP29" s="152">
        <f>IF(AND($AX29=1,OR($AW29="",COUNTIF($EF$12:$EJ$12,$AW29)&gt;0)),$AV29,"")</f>
        <v/>
      </c>
      <c r="LU29" s="152">
        <f>IF(OR($AW29="",COUNTIF($EF$13:$EJ$13,$AW29)&gt;0),$AV29,"")</f>
        <v/>
      </c>
      <c r="LV29" s="152">
        <f>IF(AND($AX29=1,OR($AW29="",COUNTIF($EF$13:$EJ$13,$AW29)&gt;0)),$AV29,"")</f>
        <v/>
      </c>
      <c r="MA29" s="150" t="inlineStr">
        <is>
          <t>Ficha 3 · Especial 1</t>
        </is>
      </c>
      <c r="MB29" s="152" t="n">
        <v>3</v>
      </c>
      <c r="MC29" s="152" t="n">
        <v>1</v>
      </c>
      <c r="MD29" s="152" t="n">
        <v>1</v>
      </c>
      <c r="ME29" s="150" t="inlineStr">
        <is>
          <t>ESPECIAL 1</t>
        </is>
      </c>
      <c r="MF29" s="152">
        <f>MAX(1,MIN(7,N('INVOCAÇÕES'!$O$454)))</f>
        <v/>
      </c>
      <c r="MG29" s="152">
        <f>'INVOCAÇÕES'!$P$454&amp;""</f>
        <v/>
      </c>
      <c r="MH29" s="152">
        <f>'INVOCAÇÕES'!$O$459&amp;""</f>
        <v/>
      </c>
      <c r="MI29" s="152">
        <f>'INVOCAÇÕES'!$O$460&amp;""</f>
        <v/>
      </c>
      <c r="MJ29" s="152">
        <f>'INVOCAÇÕES'!$Q$460&amp;""</f>
        <v/>
      </c>
      <c r="MK29" s="152">
        <f>'INVOCAÇÕES'!$P$463&amp;""</f>
        <v/>
      </c>
      <c r="ML29" s="152">
        <f>'INVOCAÇÕES'!$P$464&amp;""</f>
        <v/>
      </c>
      <c r="MM29" s="152">
        <f>'INVOCAÇÕES'!$P$465&amp;""</f>
        <v/>
      </c>
      <c r="MN29" s="152">
        <f>'INVOCAÇÕES'!$P$466&amp;""</f>
        <v/>
      </c>
      <c r="MO29" s="152">
        <f>'INVOCAÇÕES'!$P$467&amp;""</f>
        <v/>
      </c>
      <c r="MP29" s="152">
        <f>'INVOCAÇÕES'!$P$468&amp;""</f>
        <v/>
      </c>
      <c r="MQ29" s="152">
        <f>IF($MG29&lt;&gt;"",1,0)</f>
        <v/>
      </c>
      <c r="MR29" s="152">
        <f>INDEX($FI$2:$FI$13,$MB29)</f>
        <v/>
      </c>
      <c r="MS29" s="152">
        <f>INDEX($FJ$2:$FJ$13,$MB29)</f>
        <v/>
      </c>
      <c r="MT29" s="152">
        <f>INDEX($FK$2:$FK$13,$MB29)</f>
        <v/>
      </c>
      <c r="MU29" s="152">
        <f>INDEX($FV$2:$FV$13,$MB29)</f>
        <v/>
      </c>
      <c r="MV29" s="152">
        <f>INDEX($FW$2:$FW$13,$MB29)</f>
        <v/>
      </c>
      <c r="MW29" s="152">
        <f>IFERROR(MATCH($MH29,$V$2:$V$11,0),0)</f>
        <v/>
      </c>
      <c r="MX29" s="152">
        <f>IFERROR(VLOOKUP($MK29,$AV$2:$BA$84,2,FALSE),"")</f>
        <v/>
      </c>
      <c r="MY29" s="152">
        <f>IFERROR(VLOOKUP($ML29,$AV$2:$BA$84,2,FALSE),"")</f>
        <v/>
      </c>
      <c r="MZ29" s="152">
        <f>IFERROR(VLOOKUP($MM29,$AV$2:$BA$84,2,FALSE),"")</f>
        <v/>
      </c>
      <c r="NA29" s="152">
        <f>IFERROR(VLOOKUP($MN29,$AV$2:$BA$84,2,FALSE),"")</f>
        <v/>
      </c>
      <c r="NB29" s="152">
        <f>IFERROR(VLOOKUP($MK29,$AV$2:$BA$84,3,FALSE),0)</f>
        <v/>
      </c>
      <c r="NC29" s="152">
        <f>IFERROR(VLOOKUP($ML29,$AV$2:$BA$84,3,FALSE),0)</f>
        <v/>
      </c>
      <c r="ND29" s="152">
        <f>IFERROR(VLOOKUP($MM29,$AV$2:$BA$84,3,FALSE),0)</f>
        <v/>
      </c>
      <c r="NE29" s="152">
        <f>IFERROR(VLOOKUP($MN29,$AV$2:$BA$84,3,FALSE),0)</f>
        <v/>
      </c>
      <c r="NF29" s="152">
        <f>IF($MF29=0,0,IF($MW29=0,0,INDEX($X$2:$X$11,$MW29)))</f>
        <v/>
      </c>
      <c r="NG29" s="152">
        <f>IF(OR($NB29=0,$MF29=0),0,$NB29+3*IF(AND($MX29&lt;&gt;"",OR($MX29=INDEX($EF$2:$EF$13,$MB29),$MX29=INDEX($EG$2:$EG$13,$MB29))),1,0))</f>
        <v/>
      </c>
      <c r="NH29" s="152">
        <f>IF(OR($NC29=0,$MF29=0),0,$NC29+3*IF(AND($MY29&lt;&gt;"",OR($MY29=INDEX($EF$2:$EF$13,$MB29),$MY29=INDEX($EG$2:$EG$13,$MB29))),1,0))</f>
        <v/>
      </c>
      <c r="NI29" s="152">
        <f>IF(OR($ND29=0,$MF29=0),0,$ND29+3*IF(AND($MZ29&lt;&gt;"",OR($MZ29=INDEX($EF$2:$EF$13,$MB29),$MZ29=INDEX($EG$2:$EG$13,$MB29))),1,0))</f>
        <v/>
      </c>
      <c r="NJ29" s="152">
        <f>IF(OR($NE29=0,$MF29=0),0,$NE29+3*IF(AND($NA29&lt;&gt;"",OR($NA29=INDEX($EF$2:$EF$13,$MB29),$NA29=INDEX($EG$2:$EG$13,$MB29))),1,0))</f>
        <v/>
      </c>
      <c r="NK29" s="152">
        <f>IF($MW29=0,0,IF(INDEX($W$2:$W$11,$MW29)="",0,IF(COUNTIF(INDEX($EF$2:$EJ$13,$MB29,0),INDEX($W$2:$W$11,$MW29))=0,1,0)))</f>
        <v/>
      </c>
      <c r="NL29" s="152">
        <f>IF(OR($NB29=0,$MX29=""),0,IF(COUNTIF(INDEX($EF$2:$EJ$13,$MB29,0),$MX29)=0,1,0))</f>
        <v/>
      </c>
      <c r="NM29" s="152">
        <f>IF(OR($NC29=0,$MY29=""),0,IF(COUNTIF(INDEX($EF$2:$EJ$13,$MB29,0),$MY29)=0,1,0))</f>
        <v/>
      </c>
      <c r="NN29" s="152">
        <f>IF(OR($ND29=0,$MZ29=""),0,IF(COUNTIF(INDEX($EF$2:$EJ$13,$MB29,0),$MZ29)=0,1,0))</f>
        <v/>
      </c>
      <c r="NO29" s="152">
        <f>IF(OR($NE29=0,$NA29=""),0,IF(COUNTIF(INDEX($EF$2:$EJ$13,$MB29,0),$NA29)=0,1,0))</f>
        <v/>
      </c>
      <c r="NP29" s="152">
        <f>IFERROR(VLOOKUP($MK29,$AV$2:$BA$84,4,FALSE),0)+IFERROR(VLOOKUP($ML29,$AV$2:$BA$84,4,FALSE),0)+IFERROR(VLOOKUP($MM29,$AV$2:$BA$84,4,FALSE),0)+IFERROR(VLOOKUP($MN29,$AV$2:$BA$84,4,FALSE),0)</f>
        <v/>
      </c>
      <c r="NQ29" s="152">
        <f>IFERROR(VLOOKUP($MK29,$AV$2:$BA$84,6,FALSE),0)+IFERROR(VLOOKUP($ML29,$AV$2:$BA$84,6,FALSE),0)+IFERROR(VLOOKUP($MM29,$AV$2:$BA$84,6,FALSE),0)+IFERROR(VLOOKUP($MN29,$AV$2:$BA$84,6,FALSE),0)</f>
        <v/>
      </c>
      <c r="NR29" s="152">
        <f>TEXTJOIN(", ",TRUE,IF(IFERROR(VLOOKUP($MK29,$AV$2:$BA$84,5,FALSE),0)=1,$MK29,""),IF(IFERROR(VLOOKUP($ML29,$AV$2:$BA$84,5,FALSE),0)=1,$ML29,""),IF(IFERROR(VLOOKUP($MM29,$AV$2:$BA$84,5,FALSE),0)=1,$MM29,""),IF(IFERROR(VLOOKUP($MN29,$AV$2:$BA$84,5,FALSE),0)=1,$MN29,""))</f>
        <v/>
      </c>
      <c r="NS29" s="152">
        <f>IF($MW29=0,0,INDEX($Y$2:$Y$11,$MW29))</f>
        <v/>
      </c>
      <c r="NT29" s="152">
        <f>IF($MW29=0,0,INDEX($Z$2:$Z$11,$MW29))</f>
        <v/>
      </c>
      <c r="NU29" s="152">
        <f>IF($MW29=0,0,INDEX($AB$2:$AB$11,$MW29))</f>
        <v/>
      </c>
      <c r="NV29" s="152">
        <f>IFERROR(VLOOKUP($MO29,$BC$2:$BG$24,3,FALSE),0)</f>
        <v/>
      </c>
      <c r="NW29" s="152">
        <f>IFERROR(VLOOKUP($MP29,$BC$2:$BG$24,3,FALSE),0)</f>
        <v/>
      </c>
      <c r="NX29" s="152">
        <f>IFERROR(VLOOKUP($MO29,$BC$2:$BG$24,2,FALSE),"")</f>
        <v/>
      </c>
      <c r="NY29" s="152">
        <f>IFERROR(VLOOKUP($MP29,$BC$2:$BG$24,2,FALSE),"")</f>
        <v/>
      </c>
      <c r="NZ29" s="152">
        <f>COUNTIF($NF29:$NJ29,1)</f>
        <v/>
      </c>
      <c r="OA29" s="152">
        <f>COUNTIF($NF29:$NJ29,2)</f>
        <v/>
      </c>
      <c r="OB29" s="152">
        <f>COUNTIF($NF29:$NJ29,3)</f>
        <v/>
      </c>
      <c r="OC29" s="152">
        <f>COUNTIF($NF29:$NJ29,4)</f>
        <v/>
      </c>
      <c r="OD29" s="152">
        <f>COUNTIF($NF29:$NJ29,5)</f>
        <v/>
      </c>
      <c r="OE29" s="152">
        <f>COUNTIF($NF29:$NJ29,6)</f>
        <v/>
      </c>
      <c r="OF29" s="152">
        <f>COUNTIF($NV29:$NW29,1)</f>
        <v/>
      </c>
      <c r="OG29" s="152">
        <f>COUNTIF($NV29:$NW29,2)+$NS29</f>
        <v/>
      </c>
      <c r="OH29" s="152">
        <f>COUNTIF($MK29:$MN29,"?*")</f>
        <v/>
      </c>
      <c r="OI29" s="152">
        <f>COUNTIF($MO29:$MP29,"?*")+$NS29</f>
        <v/>
      </c>
      <c r="OJ29" s="152">
        <f>IF($MF29=0,0,SUMPRODUCT($NZ29:$OE29,INDEX($I$2:$N$8,MAX(1,$MF29),0)))</f>
        <v/>
      </c>
      <c r="OK29" s="152">
        <f>IF($MF29=0,0,$OF29*CEILING($MF29/2,1)+$OG29*$MF29)</f>
        <v/>
      </c>
      <c r="OL29" s="152">
        <f>MIN(2*$MF29,$OK29)</f>
        <v/>
      </c>
      <c r="OM29" s="152">
        <f>MIN($OL29,$OJ29)</f>
        <v/>
      </c>
      <c r="ON29" s="152">
        <f>$OL29-$OM29</f>
        <v/>
      </c>
      <c r="OO29" s="152">
        <f>IF($MF29=0,0,INDEX($P$2:$P$8,MAX(1,$MF29)))</f>
        <v/>
      </c>
      <c r="OP29" s="152">
        <f>$OO29-$OJ29+$OM29</f>
        <v/>
      </c>
      <c r="OQ29" s="152">
        <f>IF($MF29=0,MAX(0,$MT29-IF($OH29&gt;0,1,0)),MAX(0,$OP29))</f>
        <v/>
      </c>
      <c r="OR29" s="152">
        <f>IF($MF29=0,0,(IF(COUNTIF($MK29:$MN29,"Salto")&gt;0,1,0)+IF(COUNTIF($MK29:$MN29,"Queima")&gt;0,1,0)+IF(COUNTIF($MK29:$MN29,"Estilhaço")&gt;0,1,0))*FLOOR($OQ29/2,1))</f>
        <v/>
      </c>
      <c r="OS29" s="152">
        <f>MAX(0,2-SUMPRODUCT($NZ29:$OE29,$I$2:$N$2)+MIN(2,$OF29*1+$OG29*1,SUMPRODUCT($NZ29:$OE29,$I$2:$N$2)))</f>
        <v/>
      </c>
      <c r="OT29" s="152">
        <f>MAX(0,4-SUMPRODUCT($NZ29:$OE29,$I$3:$N$3)+MIN(4,$OF29*1+$OG29*2,SUMPRODUCT($NZ29:$OE29,$I$3:$N$3)))</f>
        <v/>
      </c>
      <c r="OU29" s="152">
        <f>MAX(0,6-SUMPRODUCT($NZ29:$OE29,$I$4:$N$4)+MIN(6,$OF29*2+$OG29*3,SUMPRODUCT($NZ29:$OE29,$I$4:$N$4)))</f>
        <v/>
      </c>
      <c r="OV29" s="152">
        <f>MAX(0,9-SUMPRODUCT($NZ29:$OE29,$I$5:$N$5)+MIN(8,$OF29*2+$OG29*4,SUMPRODUCT($NZ29:$OE29,$I$5:$N$5)))</f>
        <v/>
      </c>
      <c r="OW29" s="152">
        <f>MAX(0,11-SUMPRODUCT($NZ29:$OE29,$I$6:$N$6)+MIN(10,$OF29*3+$OG29*5,SUMPRODUCT($NZ29:$OE29,$I$6:$N$6)))</f>
        <v/>
      </c>
      <c r="OX29" s="152">
        <f>MAX(0,13-SUMPRODUCT($NZ29:$OE29,$I$7:$N$7)+MIN(12,$OF29*3+$OG29*6,SUMPRODUCT($NZ29:$OE29,$I$7:$N$7)))</f>
        <v/>
      </c>
      <c r="OY29" s="152">
        <f>MAX(0,16-SUMPRODUCT($NZ29:$OE29,$I$8:$N$8)+MIN(14,$OF29*4+$OG29*7,SUMPRODUCT($NZ29:$OE29,$I$8:$N$8)))</f>
        <v/>
      </c>
      <c r="OZ29" s="152">
        <f>IF($NT29=2,3*$OS29&amp;" de vida temp.",IF($NT29=3,"sem dano",IF($OS29=0,IF($NT29=1,"sem cura","sem dano"),IF($NT29=1,"cura ","")&amp;$OS29&amp;"d8")))</f>
        <v/>
      </c>
      <c r="PA29" s="152">
        <f>IF($NT29=2,3*$OT29&amp;" de vida temp.",IF($NT29=3,"sem dano",IF($OT29=0,IF($NT29=1,"sem cura","sem dano"),IF($NT29=1,"cura ","")&amp;$OT29&amp;"d8")))</f>
        <v/>
      </c>
      <c r="PB29" s="152">
        <f>IF($NT29=2,3*$OU29&amp;" de vida temp.",IF($NT29=3,"sem dano",IF($OU29=0,IF($NT29=1,"sem cura","sem dano"),IF($NT29=1,"cura ","")&amp;$OU29&amp;"d8")))</f>
        <v/>
      </c>
      <c r="PC29" s="152">
        <f>IF($NT29=2,3*$OV29&amp;" de vida temp.",IF($NT29=3,"sem dano",IF($OV29=0,IF($NT29=1,"sem cura","sem dano"),IF($NT29=1,"cura ","")&amp;$OV29&amp;"d8")))</f>
        <v/>
      </c>
      <c r="PD29" s="152">
        <f>IF($NT29=2,3*$OW29&amp;" de vida temp.",IF($NT29=3,"sem dano",IF($OW29=0,IF($NT29=1,"sem cura","sem dano"),IF($NT29=1,"cura ","")&amp;$OW29&amp;"d8")))</f>
        <v/>
      </c>
      <c r="PE29" s="152">
        <f>IF($NT29=2,3*$OX29&amp;" de vida temp.",IF($NT29=3,"sem dano",IF($OX29=0,IF($NT29=1,"sem cura","sem dano"),IF($NT29=1,"cura ","")&amp;$OX29&amp;"d8")))</f>
        <v/>
      </c>
      <c r="PF29" s="152">
        <f>IF($NT29=2,3*$OY29&amp;" de vida temp.",IF($NT29=3,"sem dano",IF($OY29=0,IF($NT29=1,"sem cura","sem dano"),IF($NT29=1,"cura ","")&amp;$OY29&amp;"d8")))</f>
        <v/>
      </c>
      <c r="PG29" s="152">
        <f>IF($MQ29=0,"",TEXTJOIN(" · ",TRUE,IF($MD29&gt;$MR29,"Este lugar abre no nível "&amp;$MD29,""),IF($MF29&gt;$MS29,"Classe "&amp;$MF29&amp;": o nível "&amp;$MR29&amp;" libera até a "&amp;$MS29,""),IF($NK29=1,"A Forma "&amp;$MH29&amp;" pede "&amp;INDEX($W$2:$W$11,$MW29)&amp;" aberta",""),IF(AND($MF29=0,$MW29&gt;0,IF($MW29=0,0,INDEX($AF$2:$AF$11,$MW29))=0),$MH29&amp;" não existe na Classe 0",""),IF($NL29=1,"Família Fechada: "&amp;$MK29,""),IF($NM29=1,"Família Fechada: "&amp;$ML29,""),IF($NN29=1,"Família Fechada: "&amp;$MM29,""),IF($NO29=1,"Família Fechada: "&amp;$MN29,""),IF(AND($MF29&gt;0,$OH29&gt;INDEX($O$2:$O$8,MAX(1,$MF29))),$OH29&amp;" Melhorias: a Classe "&amp;$MF29&amp;" aceita "&amp;INDEX($O$2:$O$8,MAX(1,$MF29)),""),IF(AND($MF29=0,$OH29&gt;1),"A básica aceita uma Melhoria",""),IF(AND($MF29=0,COUNTIF($NB29:$NE29,"&gt;1")&gt;0),"A básica só aceita Melhoria Leve",""),IF(AND($MF29&gt;0,$OI29&gt;2),$OI29&amp;" Restrições"&amp;IF($NS29=1,", contando a que a Forma "&amp;$MH29&amp;" já traz","")&amp;": o limite é 2",""),IF(AND($MF29=0,COUNTIF($MO29:$MP29,"?*")&gt;1),"A básica aceita uma Restrição Leve",""),IF(AND($MF29=0,COUNTIF($NV29:$NW29,2)&gt;0),"A básica só aceita Restrição Leve",""),IF(AND($MF29&gt;0,$OP29&lt;0),"Orçamento estourado: faltam "&amp;(-$OP29)&amp;IF($OP29&lt;-1," pontos"," ponto"),""),IF(IFERROR(VLOOKUP($MO29,$BC$2:$BG$24,4,FALSE),0)+IFERROR(VLOOKUP($MP29,$BC$2:$BG$24,4,FALSE),0)&gt;1,$NX29&amp;" e "&amp;$NY29&amp;" são as duas de frequência",""),IF(AND((COUNTIF($MK29:$MN29,"Rápido")+COUNTIF($NX29:$NY29,"Rápido"))&gt;0,(COUNTIF($MK29:$MN29,"Atrasar")+COUNTIF($NX29:$NY29,"Atrasar"))&gt;0),"Rápido não entra com Atrasar",""),IF(AND((COUNTIF($MK29:$MN29,"Reação")+COUNTIF($NX29:$NY29,"Reação"))&gt;0,(COUNTIF($MK29:$MN29,"Rápido")+COUNTIF($NX29:$NY29,"Rápido"))&gt;0),"Reação não entra com Rápido",""),IF(AND((COUNTIF($MK29:$MN29,"Reação")+COUNTIF($NX29:$NY29,"Reação"))&gt;0,(COUNTIF($MK29:$MN29,"Armado")+COUNTIF($NX29:$NY29,"Armado"))&gt;0),"Reação não entra com Armado",""),IF(AND((COUNTIF($MK29:$MN29,"Reação")+COUNTIF($NX29:$NY29,"Reação"))&gt;0,(COUNTIF($MK29:$MN29,"Atrasar")+COUNTIF($NX29:$NY29,"Atrasar"))&gt;0),"Reação não entra com Atrasar",""),IF(AND((COUNTIF($MK29:$MN29,"Reação")+COUNTIF($NX29:$NY29,"Reação"))&gt;0,(COUNTIF($MK29:$MN29,"Parado")+COUNTIF($NX29:$NY29,"Parado"))&gt;0),"Reação não entra com Parado",""),IF(AND((COUNTIF($MK29:$MN29,"Atrasar")+COUNTIF($NX29:$NY29,"Atrasar"))&gt;0,(COUNTIF($MK29:$MN29,"Parado")+COUNTIF($NX29:$NY29,"Parado"))&gt;0),"Atrasar não entra com Parado",""),IF(AND((COUNTIF($MK29:$MN29,"Armado")+COUNTIF($NX29:$NY29,"Armado"))&gt;0,(COUNTIF($MK29:$MN29,"Carregar")+COUNTIF($NX29:$NY29,"Carregar"))&gt;0),"Armado não entra com Carregar",""),IF(AND(COUNTIF($NX29:$NY29,"Corpo a Corpo")&gt;0,$NS29=0,OR($MH29="Cone",$MH29="Linha")),"Corpo a Corpo não entra em "&amp;$MH29,""),IF(AND(COUNTIF($NX29:$NY29,"Corpo a Corpo")&gt;0,$NS29=1),"A Forma "&amp;$MH29&amp;" já traz o Corpo a Corpo",""),IF(AND(COUNTIF($NX29:$NY29,"Tudo ou Nada")&gt;0,$NU29=0),"Tudo ou Nada só entra em habilidade de Teste de Resistência",""),IF(AND(COUNTIF($MK29:$MN29,"Inescapável")&gt;0,OR($OH29&gt;1,$OI29&gt;0)),"Inescapável não aceita outra peça",""),IF(AND($MF29&gt;0,$OQ29*IF(COUNTIF($MK29:$MN29,"Remate")&gt;0,1.25,1)+$OR29&gt;4*$MF29),($OQ29*IF(COUNTIF($MK29:$MN29,"Remate")&gt;0,1.25,1)+$OR29)&amp;" dados somando repetições"&amp;IF(COUNTIF($MK29:$MN29,"Remate")&gt;0," e o Remate","")&amp;": o teto da Classe "&amp;$MF29&amp;" é "&amp;4*$MF29,"")))</f>
        <v/>
      </c>
      <c r="PH29" s="152">
        <f>IF($PG29="",0,(LEN($PG29)-LEN(SUBSTITUTE($PG29," · ","")))/3+1)</f>
        <v/>
      </c>
      <c r="PI29" s="152">
        <f>IF($MQ29=0,"",TEXTJOIN(" · ",TRUE,IF($OK29&gt;2*$MF29,"A devolução parou no teto de "&amp;2*$MF29,""),IF($ON29&gt;0,"Devolução perdida: "&amp;$ON29&amp;IF($ON29&gt;1," pontos"," ponto")&amp;" sem peça para pagar",""),IF(AND($NP29&gt;0,AND($MF29&gt;0,$NT29=0),$OQ29=0),"Controle sem dano: uma rodada a mais e CD +2",""),IF(AND($NP29&gt;0,AND($MF29&gt;0,$NT29=0),$OQ29&gt;0,$OQ29&lt;=$MF29),"Controle com saldo até a Classe: uma rodada a mais",""),IF(AND($MF29&gt;0,$NR29&lt;&gt;""),"Efeito de "&amp;$NR29&amp;" pela Classe "&amp;MAX(1,$MF29-1),"")))</f>
        <v/>
      </c>
      <c r="PJ29" s="152">
        <f>IF($PI29="",0,(LEN($PI29)-LEN(SUBSTITUTE($PI29," · ","")))/3+1)</f>
        <v/>
      </c>
      <c r="PK29" s="152">
        <f>IF($MQ29=0,IF($OH29+COUNTIF($MO29:$MP29,"?*")&gt;0,"Dê um nome",""),IF($PH29&gt;0,"⚠ "&amp;$PH29&amp;IF($PH29&gt;1," erros"," erro"),IF($PJ29&gt;0,"! "&amp;$PJ29&amp;IF($PJ29&gt;1," avisos"," aviso"),"Na regra")))</f>
        <v/>
      </c>
      <c r="PL29" s="152">
        <f>IF($MQ29=0,"",IF($PH29+$PJ29=0,"Dentro das regras que a ficha confere",$PG29&amp;IF(AND($PH29&gt;0,$PJ29&gt;0)," · ","")&amp;$PI29))</f>
        <v/>
      </c>
      <c r="PM29" s="152">
        <f>IF($MD29&gt;$MR29,$ME29&amp;" · ABRE NO NÍVEL "&amp;$MD29,$ME29)</f>
        <v/>
      </c>
      <c r="PN29" s="152">
        <f>IF($MQ29=0,"",IF($MF29=0,"Sem PE",3*$MF29&amp;" PE"))</f>
        <v/>
      </c>
      <c r="PO29" s="152">
        <f>IF($MQ29=0,"",IF($MF29=0,"A atuação básica dela",IF(COUNTIF($NX29:$NY29,"Atrasar")&gt;0,"Sua Ação Completa",IF(COUNTIF($MK29:$MN29,"Rápido")&gt;0,"Sua Bônus",IF(COUNTIF($MK29:$MN29,"Reação")&gt;0,"Sua Reação","Sua Padrão")))&amp;" + a básica dela"&amp;IF(COUNTIF($MK29:$MN29,"Reação")&gt;0," e a coletiva","")&amp;IF(COUNTIF($NX29:$NY29,"Carregar")&gt;0," · em dois turnos","")))</f>
        <v/>
      </c>
      <c r="PP29" s="152">
        <f>IF($MJ29&lt;&gt;"",$MJ29,IF($MW29=0,"",INDEX($AA$2:$AA$11,$MW29)))</f>
        <v/>
      </c>
      <c r="PQ29" s="152">
        <f>IF(OR($MQ29=0,$MW29=0),"",IF(COUNTIF($MK29:$MN29,"Inescapável")&gt;0,"Automático",IF($PP29="Ataque",IF($MU29="","Ataque","Ataque "&amp;IF(($MU29+2*IF(COUNTIF($MK29:$MN29,"Precisão")&gt;0,1,0))&gt;=0,"+","−")&amp;ABS(($MU29+2*IF(COUNTIF($MK29:$MN29,"Precisão")&gt;0,1,0))))&amp;IF($NQ29&gt;0," · TR"&amp;IF($MV29="",""," CD "&amp;$MV29),""),IF(LEFT($PP29,2)="TR",$PP29&amp;IF($MV29="",""," · CD "&amp;$MV29)&amp;IF(COUNTIF($MK29:$MN29,"Certeiro")&gt;0," · metade",""),"Sem rolagem"))))</f>
        <v/>
      </c>
      <c r="PR29" s="152">
        <f>IF(OR($MQ29=0,$MW29=0),"",IF($MF29=0,IF(OR($NT29&gt;=1,$OQ29=0),"Sem dano",$OQ29&amp;"d6"&amp;IF($MI29="",""," "&amp;$MI29)),IF(OR($NT29&gt;=1,$OQ29=0),UPPER(LEFT(INDEX($OZ29:$PF29,1,MAX(1,$MF29)),1))&amp;MID(INDEX($OZ29:$PF29,1,MAX(1,$MF29)),2,99),UPPER(LEFT(INDEX($OZ29:$PF29,1,MAX(1,$MF29)),1))&amp;MID(INDEX($OZ29:$PF29,1,MAX(1,$MF29)),2,99)&amp;IF($MI29="",""," "&amp;$MI29)&amp;IF($OR29&gt;0," · +"&amp;$OR29&amp;"d8",""))))</f>
        <v/>
      </c>
      <c r="PS29" s="152">
        <f>COUNTIF($MK29:$MN29,"Longe")+3*COUNTIF($MK29:$MN29,"Muito Longe")</f>
        <v/>
      </c>
      <c r="PT29" s="152">
        <f>COUNTIF($MK29:$MN29,"Maior")+3*COUNTIF($MK29:$MN29,"Muito Maior")</f>
        <v/>
      </c>
      <c r="PU29" s="152">
        <f>IF($MW29=0,0,CHOOSE(1+INDEX($AC$2:$AC$11,$MW29),0,$PS29,$PT29,$PS29+$PT29))</f>
        <v/>
      </c>
      <c r="PV29" s="152">
        <f>IF($MW29=0,0,CHOOSE(1+INDEX($AD$2:$AD$11,$MW29),0,$PS29,$PT29,$PS29+$PT29))</f>
        <v/>
      </c>
      <c r="PW29" s="152">
        <f>IF(OR($MQ29=0,$MW29=0),"",INDEX($AI$2:$AN$41,($MW29-1)*4+IF($MF29=0,1,IF($MF29&lt;=5,2,IF($MF29=6,3,4))),1+MIN(5,$PU29))&amp;INDEX($AO$2:$AT$41,($MW29-1)*4+IF($MF29=0,1,IF($MF29&lt;=5,2,IF($MF29=6,3,4))),1+MIN(5,$PV29))&amp;IF(INDEX($AE$2:$AE$11,$MW29)=1,IF(COUNTIF($MK29:$MN29,"Mais Um")&gt;0," · +"&amp;COUNTIF($MK29:$MN29,"Mais Um")&amp;IF(COUNTIF($MK29:$MN29,"Mais Um")&gt;1," alvos"," alvo"),"")&amp;IF(COUNTIF($MK29:$MN29,"Rajada")&gt;0,IF($MF29=0," · 1 tiro"," · "&amp;(MAX(1,$MF29-1)+1)&amp;" tiros"),""),""))</f>
        <v/>
      </c>
      <c r="PX29" s="152">
        <f>IF($MQ29=0,"",IF($MF29=0,$MT29&amp;"d6"&amp;IF($OH29&gt;0," − 1 = "&amp;$OQ29&amp;"d6"," da básica do nível "&amp;$MR29),$OO29&amp;" − "&amp;$OJ29&amp;" + "&amp;$OM29&amp;" = "&amp;$OP29&amp;" · teto "&amp;4*$MF29&amp;"d8"&amp;IF($NS29=1," · a Forma devolve "&amp;$MF29,"")&amp;IF($ON29&gt;0," · perde "&amp;$ON29,"")))</f>
        <v/>
      </c>
      <c r="PY29" s="152">
        <f>IF($MQ29=0,"",IF($MF29=0,"A básica não amplia: os dados dela sobem com o nível",IF($MF29&gt;=$MS29,"Já está na maior Classe que o nível liberou",TEXTJOIN(" · ",TRUE,IF(AND(2&gt;$MF29,2&lt;=$MS29),"2 → "&amp;$PA29&amp;", 6 PE",""),IF(AND(3&gt;$MF29,3&lt;=$MS29),"3 → "&amp;$PB29&amp;", 9 PE",""),IF(AND(4&gt;$MF29,4&lt;=$MS29),"4 → "&amp;$PC29&amp;", 12 PE",""),IF(AND(5&gt;$MF29,5&lt;=$MS29),"5 → "&amp;$PD29&amp;", 15 PE",""),IF(AND(6&gt;$MF29,6&lt;=$MS29),"6 → "&amp;$PE29&amp;", 18 PE",""),IF(AND(7&gt;$MF29,7&lt;=$MS29),"7 → "&amp;$PF29&amp;", 21 PE","")))))</f>
        <v/>
      </c>
      <c r="PZ29" s="152">
        <f>IF(OR($MQ29=0,$NB29=0),"",IF($MF29=0,"−1 dado","−"&amp;INDEX($I$2:$N$8,MAX(1,$MF29),MAX(1,$NG29))&amp;" · "&amp;CHOOSE(MAX(1,$NG29),"Leve","Média","Pesada","Leve · Livre","Média · Livre","Pesada · Livre")))</f>
        <v/>
      </c>
      <c r="QA29" s="152">
        <f>IF(OR($MQ29=0,$NC29=0),"",IF($MF29=0,"−1 dado","−"&amp;INDEX($I$2:$N$8,MAX(1,$MF29),MAX(1,$NH29))&amp;" · "&amp;CHOOSE(MAX(1,$NH29),"Leve","Média","Pesada","Leve · Livre","Média · Livre","Pesada · Livre")))</f>
        <v/>
      </c>
      <c r="QB29" s="152">
        <f>IF(OR($MQ29=0,$ND29=0),"",IF($MF29=0,"−1 dado","−"&amp;INDEX($I$2:$N$8,MAX(1,$MF29),MAX(1,$NI29))&amp;" · "&amp;CHOOSE(MAX(1,$NI29),"Leve","Média","Pesada","Leve · Livre","Média · Livre","Pesada · Livre")))</f>
        <v/>
      </c>
      <c r="QC29" s="152">
        <f>IF(OR($MQ29=0,$NE29=0),"",IF($MF29=0,"−1 dado","−"&amp;INDEX($I$2:$N$8,MAX(1,$MF29),MAX(1,$NJ29))&amp;" · "&amp;CHOOSE(MAX(1,$NJ29),"Leve","Média","Pesada","Leve · Livre","Média · Livre","Pesada · Livre")))</f>
        <v/>
      </c>
      <c r="QD29" s="152">
        <f>IF(OR($MQ29=0,$MO29=""),"",IF($MF29=0,"não devolve","+"&amp;IF($NV29=1,CEILING($MF29/2,1),$MF29)))</f>
        <v/>
      </c>
      <c r="QE29" s="152">
        <f>IF(OR($MQ29=0,$MP29=""),"",IF($MF29=0,"não devolve","+"&amp;IF($NW29=1,CEILING($MF29/2,1),$MF29)))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BA30" s="152" t="n">
        <v>1</v>
      </c>
      <c r="JG30" s="152">
        <f>IF(OR($AW30="",COUNTIF($EF$2:$EJ$2,$AW30)&gt;0),$AV30,"")</f>
        <v/>
      </c>
      <c r="JH30" s="152">
        <f>IF(AND($AX30=1,OR($AW30="",COUNTIF($EF$2:$EJ$2,$AW30)&gt;0)),$AV30,"")</f>
        <v/>
      </c>
      <c r="JM30" s="152">
        <f>IF(OR($AW30="",COUNTIF($EF$3:$EJ$3,$AW30)&gt;0),$AV30,"")</f>
        <v/>
      </c>
      <c r="JN30" s="152">
        <f>IF(AND($AX30=1,OR($AW30="",COUNTIF($EF$3:$EJ$3,$AW30)&gt;0)),$AV30,"")</f>
        <v/>
      </c>
      <c r="JS30" s="152">
        <f>IF(OR($AW30="",COUNTIF($EF$4:$EJ$4,$AW30)&gt;0),$AV30,"")</f>
        <v/>
      </c>
      <c r="JT30" s="152">
        <f>IF(AND($AX30=1,OR($AW30="",COUNTIF($EF$4:$EJ$4,$AW30)&gt;0)),$AV30,"")</f>
        <v/>
      </c>
      <c r="JY30" s="152">
        <f>IF(OR($AW30="",COUNTIF($EF$5:$EJ$5,$AW30)&gt;0),$AV30,"")</f>
        <v/>
      </c>
      <c r="JZ30" s="152">
        <f>IF(AND($AX30=1,OR($AW30="",COUNTIF($EF$5:$EJ$5,$AW30)&gt;0)),$AV30,"")</f>
        <v/>
      </c>
      <c r="KE30" s="152">
        <f>IF(OR($AW30="",COUNTIF($EF$6:$EJ$6,$AW30)&gt;0),$AV30,"")</f>
        <v/>
      </c>
      <c r="KF30" s="152">
        <f>IF(AND($AX30=1,OR($AW30="",COUNTIF($EF$6:$EJ$6,$AW30)&gt;0)),$AV30,"")</f>
        <v/>
      </c>
      <c r="KK30" s="152">
        <f>IF(OR($AW30="",COUNTIF($EF$7:$EJ$7,$AW30)&gt;0),$AV30,"")</f>
        <v/>
      </c>
      <c r="KL30" s="152">
        <f>IF(AND($AX30=1,OR($AW30="",COUNTIF($EF$7:$EJ$7,$AW30)&gt;0)),$AV30,"")</f>
        <v/>
      </c>
      <c r="KQ30" s="152">
        <f>IF(OR($AW30="",COUNTIF($EF$8:$EJ$8,$AW30)&gt;0),$AV30,"")</f>
        <v/>
      </c>
      <c r="KR30" s="152">
        <f>IF(AND($AX30=1,OR($AW30="",COUNTIF($EF$8:$EJ$8,$AW30)&gt;0)),$AV30,"")</f>
        <v/>
      </c>
      <c r="KW30" s="152">
        <f>IF(OR($AW30="",COUNTIF($EF$9:$EJ$9,$AW30)&gt;0),$AV30,"")</f>
        <v/>
      </c>
      <c r="KX30" s="152">
        <f>IF(AND($AX30=1,OR($AW30="",COUNTIF($EF$9:$EJ$9,$AW30)&gt;0)),$AV30,"")</f>
        <v/>
      </c>
      <c r="LC30" s="152">
        <f>IF(OR($AW30="",COUNTIF($EF$10:$EJ$10,$AW30)&gt;0),$AV30,"")</f>
        <v/>
      </c>
      <c r="LD30" s="152">
        <f>IF(AND($AX30=1,OR($AW30="",COUNTIF($EF$10:$EJ$10,$AW30)&gt;0)),$AV30,"")</f>
        <v/>
      </c>
      <c r="LI30" s="152">
        <f>IF(OR($AW30="",COUNTIF($EF$11:$EJ$11,$AW30)&gt;0),$AV30,"")</f>
        <v/>
      </c>
      <c r="LJ30" s="152">
        <f>IF(AND($AX30=1,OR($AW30="",COUNTIF($EF$11:$EJ$11,$AW30)&gt;0)),$AV30,"")</f>
        <v/>
      </c>
      <c r="LO30" s="152">
        <f>IF(OR($AW30="",COUNTIF($EF$12:$EJ$12,$AW30)&gt;0),$AV30,"")</f>
        <v/>
      </c>
      <c r="LP30" s="152">
        <f>IF(AND($AX30=1,OR($AW30="",COUNTIF($EF$12:$EJ$12,$AW30)&gt;0)),$AV30,"")</f>
        <v/>
      </c>
      <c r="LU30" s="152">
        <f>IF(OR($AW30="",COUNTIF($EF$13:$EJ$13,$AW30)&gt;0),$AV30,"")</f>
        <v/>
      </c>
      <c r="LV30" s="152">
        <f>IF(AND($AX30=1,OR($AW30="",COUNTIF($EF$13:$EJ$13,$AW30)&gt;0)),$AV30,"")</f>
        <v/>
      </c>
      <c r="MA30" s="150" t="inlineStr">
        <is>
          <t>Ficha 3 · Especial 2</t>
        </is>
      </c>
      <c r="MB30" s="152" t="n">
        <v>3</v>
      </c>
      <c r="MC30" s="152" t="n">
        <v>1</v>
      </c>
      <c r="MD30" s="152" t="n">
        <v>4</v>
      </c>
      <c r="ME30" s="150" t="inlineStr">
        <is>
          <t>ESPECIAL 2</t>
        </is>
      </c>
      <c r="MF30" s="152">
        <f>MAX(1,MIN(7,N('INVOCAÇÕES'!$U$454)))</f>
        <v/>
      </c>
      <c r="MG30" s="152">
        <f>'INVOCAÇÕES'!$V$454&amp;""</f>
        <v/>
      </c>
      <c r="MH30" s="152">
        <f>'INVOCAÇÕES'!$U$459&amp;""</f>
        <v/>
      </c>
      <c r="MI30" s="152">
        <f>'INVOCAÇÕES'!$U$460&amp;""</f>
        <v/>
      </c>
      <c r="MJ30" s="152">
        <f>'INVOCAÇÕES'!$W$460&amp;""</f>
        <v/>
      </c>
      <c r="MK30" s="152">
        <f>'INVOCAÇÕES'!$V$463&amp;""</f>
        <v/>
      </c>
      <c r="ML30" s="152">
        <f>'INVOCAÇÕES'!$V$464&amp;""</f>
        <v/>
      </c>
      <c r="MM30" s="152">
        <f>'INVOCAÇÕES'!$V$465&amp;""</f>
        <v/>
      </c>
      <c r="MN30" s="152">
        <f>'INVOCAÇÕES'!$V$466&amp;""</f>
        <v/>
      </c>
      <c r="MO30" s="152">
        <f>'INVOCAÇÕES'!$V$467&amp;""</f>
        <v/>
      </c>
      <c r="MP30" s="152">
        <f>'INVOCAÇÕES'!$V$468&amp;""</f>
        <v/>
      </c>
      <c r="MQ30" s="152">
        <f>IF($MG30&lt;&gt;"",1,0)</f>
        <v/>
      </c>
      <c r="MR30" s="152">
        <f>INDEX($FI$2:$FI$13,$MB30)</f>
        <v/>
      </c>
      <c r="MS30" s="152">
        <f>INDEX($FJ$2:$FJ$13,$MB30)</f>
        <v/>
      </c>
      <c r="MT30" s="152">
        <f>INDEX($FK$2:$FK$13,$MB30)</f>
        <v/>
      </c>
      <c r="MU30" s="152">
        <f>INDEX($FV$2:$FV$13,$MB30)</f>
        <v/>
      </c>
      <c r="MV30" s="152">
        <f>INDEX($FW$2:$FW$13,$MB30)</f>
        <v/>
      </c>
      <c r="MW30" s="152">
        <f>IFERROR(MATCH($MH30,$V$2:$V$11,0),0)</f>
        <v/>
      </c>
      <c r="MX30" s="152">
        <f>IFERROR(VLOOKUP($MK30,$AV$2:$BA$84,2,FALSE),"")</f>
        <v/>
      </c>
      <c r="MY30" s="152">
        <f>IFERROR(VLOOKUP($ML30,$AV$2:$BA$84,2,FALSE),"")</f>
        <v/>
      </c>
      <c r="MZ30" s="152">
        <f>IFERROR(VLOOKUP($MM30,$AV$2:$BA$84,2,FALSE),"")</f>
        <v/>
      </c>
      <c r="NA30" s="152">
        <f>IFERROR(VLOOKUP($MN30,$AV$2:$BA$84,2,FALSE),"")</f>
        <v/>
      </c>
      <c r="NB30" s="152">
        <f>IFERROR(VLOOKUP($MK30,$AV$2:$BA$84,3,FALSE),0)</f>
        <v/>
      </c>
      <c r="NC30" s="152">
        <f>IFERROR(VLOOKUP($ML30,$AV$2:$BA$84,3,FALSE),0)</f>
        <v/>
      </c>
      <c r="ND30" s="152">
        <f>IFERROR(VLOOKUP($MM30,$AV$2:$BA$84,3,FALSE),0)</f>
        <v/>
      </c>
      <c r="NE30" s="152">
        <f>IFERROR(VLOOKUP($MN30,$AV$2:$BA$84,3,FALSE),0)</f>
        <v/>
      </c>
      <c r="NF30" s="152">
        <f>IF($MF30=0,0,IF($MW30=0,0,INDEX($X$2:$X$11,$MW30)))</f>
        <v/>
      </c>
      <c r="NG30" s="152">
        <f>IF(OR($NB30=0,$MF30=0),0,$NB30+3*IF(AND($MX30&lt;&gt;"",OR($MX30=INDEX($EF$2:$EF$13,$MB30),$MX30=INDEX($EG$2:$EG$13,$MB30))),1,0))</f>
        <v/>
      </c>
      <c r="NH30" s="152">
        <f>IF(OR($NC30=0,$MF30=0),0,$NC30+3*IF(AND($MY30&lt;&gt;"",OR($MY30=INDEX($EF$2:$EF$13,$MB30),$MY30=INDEX($EG$2:$EG$13,$MB30))),1,0))</f>
        <v/>
      </c>
      <c r="NI30" s="152">
        <f>IF(OR($ND30=0,$MF30=0),0,$ND30+3*IF(AND($MZ30&lt;&gt;"",OR($MZ30=INDEX($EF$2:$EF$13,$MB30),$MZ30=INDEX($EG$2:$EG$13,$MB30))),1,0))</f>
        <v/>
      </c>
      <c r="NJ30" s="152">
        <f>IF(OR($NE30=0,$MF30=0),0,$NE30+3*IF(AND($NA30&lt;&gt;"",OR($NA30=INDEX($EF$2:$EF$13,$MB30),$NA30=INDEX($EG$2:$EG$13,$MB30))),1,0))</f>
        <v/>
      </c>
      <c r="NK30" s="152">
        <f>IF($MW30=0,0,IF(INDEX($W$2:$W$11,$MW30)="",0,IF(COUNTIF(INDEX($EF$2:$EJ$13,$MB30,0),INDEX($W$2:$W$11,$MW30))=0,1,0)))</f>
        <v/>
      </c>
      <c r="NL30" s="152">
        <f>IF(OR($NB30=0,$MX30=""),0,IF(COUNTIF(INDEX($EF$2:$EJ$13,$MB30,0),$MX30)=0,1,0))</f>
        <v/>
      </c>
      <c r="NM30" s="152">
        <f>IF(OR($NC30=0,$MY30=""),0,IF(COUNTIF(INDEX($EF$2:$EJ$13,$MB30,0),$MY30)=0,1,0))</f>
        <v/>
      </c>
      <c r="NN30" s="152">
        <f>IF(OR($ND30=0,$MZ30=""),0,IF(COUNTIF(INDEX($EF$2:$EJ$13,$MB30,0),$MZ30)=0,1,0))</f>
        <v/>
      </c>
      <c r="NO30" s="152">
        <f>IF(OR($NE30=0,$NA30=""),0,IF(COUNTIF(INDEX($EF$2:$EJ$13,$MB30,0),$NA30)=0,1,0))</f>
        <v/>
      </c>
      <c r="NP30" s="152">
        <f>IFERROR(VLOOKUP($MK30,$AV$2:$BA$84,4,FALSE),0)+IFERROR(VLOOKUP($ML30,$AV$2:$BA$84,4,FALSE),0)+IFERROR(VLOOKUP($MM30,$AV$2:$BA$84,4,FALSE),0)+IFERROR(VLOOKUP($MN30,$AV$2:$BA$84,4,FALSE),0)</f>
        <v/>
      </c>
      <c r="NQ30" s="152">
        <f>IFERROR(VLOOKUP($MK30,$AV$2:$BA$84,6,FALSE),0)+IFERROR(VLOOKUP($ML30,$AV$2:$BA$84,6,FALSE),0)+IFERROR(VLOOKUP($MM30,$AV$2:$BA$84,6,FALSE),0)+IFERROR(VLOOKUP($MN30,$AV$2:$BA$84,6,FALSE),0)</f>
        <v/>
      </c>
      <c r="NR30" s="152">
        <f>TEXTJOIN(", ",TRUE,IF(IFERROR(VLOOKUP($MK30,$AV$2:$BA$84,5,FALSE),0)=1,$MK30,""),IF(IFERROR(VLOOKUP($ML30,$AV$2:$BA$84,5,FALSE),0)=1,$ML30,""),IF(IFERROR(VLOOKUP($MM30,$AV$2:$BA$84,5,FALSE),0)=1,$MM30,""),IF(IFERROR(VLOOKUP($MN30,$AV$2:$BA$84,5,FALSE),0)=1,$MN30,""))</f>
        <v/>
      </c>
      <c r="NS30" s="152">
        <f>IF($MW30=0,0,INDEX($Y$2:$Y$11,$MW30))</f>
        <v/>
      </c>
      <c r="NT30" s="152">
        <f>IF($MW30=0,0,INDEX($Z$2:$Z$11,$MW30))</f>
        <v/>
      </c>
      <c r="NU30" s="152">
        <f>IF($MW30=0,0,INDEX($AB$2:$AB$11,$MW30))</f>
        <v/>
      </c>
      <c r="NV30" s="152">
        <f>IFERROR(VLOOKUP($MO30,$BC$2:$BG$24,3,FALSE),0)</f>
        <v/>
      </c>
      <c r="NW30" s="152">
        <f>IFERROR(VLOOKUP($MP30,$BC$2:$BG$24,3,FALSE),0)</f>
        <v/>
      </c>
      <c r="NX30" s="152">
        <f>IFERROR(VLOOKUP($MO30,$BC$2:$BG$24,2,FALSE),"")</f>
        <v/>
      </c>
      <c r="NY30" s="152">
        <f>IFERROR(VLOOKUP($MP30,$BC$2:$BG$24,2,FALSE),"")</f>
        <v/>
      </c>
      <c r="NZ30" s="152">
        <f>COUNTIF($NF30:$NJ30,1)</f>
        <v/>
      </c>
      <c r="OA30" s="152">
        <f>COUNTIF($NF30:$NJ30,2)</f>
        <v/>
      </c>
      <c r="OB30" s="152">
        <f>COUNTIF($NF30:$NJ30,3)</f>
        <v/>
      </c>
      <c r="OC30" s="152">
        <f>COUNTIF($NF30:$NJ30,4)</f>
        <v/>
      </c>
      <c r="OD30" s="152">
        <f>COUNTIF($NF30:$NJ30,5)</f>
        <v/>
      </c>
      <c r="OE30" s="152">
        <f>COUNTIF($NF30:$NJ30,6)</f>
        <v/>
      </c>
      <c r="OF30" s="152">
        <f>COUNTIF($NV30:$NW30,1)</f>
        <v/>
      </c>
      <c r="OG30" s="152">
        <f>COUNTIF($NV30:$NW30,2)+$NS30</f>
        <v/>
      </c>
      <c r="OH30" s="152">
        <f>COUNTIF($MK30:$MN30,"?*")</f>
        <v/>
      </c>
      <c r="OI30" s="152">
        <f>COUNTIF($MO30:$MP30,"?*")+$NS30</f>
        <v/>
      </c>
      <c r="OJ30" s="152">
        <f>IF($MF30=0,0,SUMPRODUCT($NZ30:$OE30,INDEX($I$2:$N$8,MAX(1,$MF30),0)))</f>
        <v/>
      </c>
      <c r="OK30" s="152">
        <f>IF($MF30=0,0,$OF30*CEILING($MF30/2,1)+$OG30*$MF30)</f>
        <v/>
      </c>
      <c r="OL30" s="152">
        <f>MIN(2*$MF30,$OK30)</f>
        <v/>
      </c>
      <c r="OM30" s="152">
        <f>MIN($OL30,$OJ30)</f>
        <v/>
      </c>
      <c r="ON30" s="152">
        <f>$OL30-$OM30</f>
        <v/>
      </c>
      <c r="OO30" s="152">
        <f>IF($MF30=0,0,INDEX($P$2:$P$8,MAX(1,$MF30)))</f>
        <v/>
      </c>
      <c r="OP30" s="152">
        <f>$OO30-$OJ30+$OM30</f>
        <v/>
      </c>
      <c r="OQ30" s="152">
        <f>IF($MF30=0,MAX(0,$MT30-IF($OH30&gt;0,1,0)),MAX(0,$OP30))</f>
        <v/>
      </c>
      <c r="OR30" s="152">
        <f>IF($MF30=0,0,(IF(COUNTIF($MK30:$MN30,"Salto")&gt;0,1,0)+IF(COUNTIF($MK30:$MN30,"Queima")&gt;0,1,0)+IF(COUNTIF($MK30:$MN30,"Estilhaço")&gt;0,1,0))*FLOOR($OQ30/2,1))</f>
        <v/>
      </c>
      <c r="OS30" s="152">
        <f>MAX(0,2-SUMPRODUCT($NZ30:$OE30,$I$2:$N$2)+MIN(2,$OF30*1+$OG30*1,SUMPRODUCT($NZ30:$OE30,$I$2:$N$2)))</f>
        <v/>
      </c>
      <c r="OT30" s="152">
        <f>MAX(0,4-SUMPRODUCT($NZ30:$OE30,$I$3:$N$3)+MIN(4,$OF30*1+$OG30*2,SUMPRODUCT($NZ30:$OE30,$I$3:$N$3)))</f>
        <v/>
      </c>
      <c r="OU30" s="152">
        <f>MAX(0,6-SUMPRODUCT($NZ30:$OE30,$I$4:$N$4)+MIN(6,$OF30*2+$OG30*3,SUMPRODUCT($NZ30:$OE30,$I$4:$N$4)))</f>
        <v/>
      </c>
      <c r="OV30" s="152">
        <f>MAX(0,9-SUMPRODUCT($NZ30:$OE30,$I$5:$N$5)+MIN(8,$OF30*2+$OG30*4,SUMPRODUCT($NZ30:$OE30,$I$5:$N$5)))</f>
        <v/>
      </c>
      <c r="OW30" s="152">
        <f>MAX(0,11-SUMPRODUCT($NZ30:$OE30,$I$6:$N$6)+MIN(10,$OF30*3+$OG30*5,SUMPRODUCT($NZ30:$OE30,$I$6:$N$6)))</f>
        <v/>
      </c>
      <c r="OX30" s="152">
        <f>MAX(0,13-SUMPRODUCT($NZ30:$OE30,$I$7:$N$7)+MIN(12,$OF30*3+$OG30*6,SUMPRODUCT($NZ30:$OE30,$I$7:$N$7)))</f>
        <v/>
      </c>
      <c r="OY30" s="152">
        <f>MAX(0,16-SUMPRODUCT($NZ30:$OE30,$I$8:$N$8)+MIN(14,$OF30*4+$OG30*7,SUMPRODUCT($NZ30:$OE30,$I$8:$N$8)))</f>
        <v/>
      </c>
      <c r="OZ30" s="152">
        <f>IF($NT30=2,3*$OS30&amp;" de vida temp.",IF($NT30=3,"sem dano",IF($OS30=0,IF($NT30=1,"sem cura","sem dano"),IF($NT30=1,"cura ","")&amp;$OS30&amp;"d8")))</f>
        <v/>
      </c>
      <c r="PA30" s="152">
        <f>IF($NT30=2,3*$OT30&amp;" de vida temp.",IF($NT30=3,"sem dano",IF($OT30=0,IF($NT30=1,"sem cura","sem dano"),IF($NT30=1,"cura ","")&amp;$OT30&amp;"d8")))</f>
        <v/>
      </c>
      <c r="PB30" s="152">
        <f>IF($NT30=2,3*$OU30&amp;" de vida temp.",IF($NT30=3,"sem dano",IF($OU30=0,IF($NT30=1,"sem cura","sem dano"),IF($NT30=1,"cura ","")&amp;$OU30&amp;"d8")))</f>
        <v/>
      </c>
      <c r="PC30" s="152">
        <f>IF($NT30=2,3*$OV30&amp;" de vida temp.",IF($NT30=3,"sem dano",IF($OV30=0,IF($NT30=1,"sem cura","sem dano"),IF($NT30=1,"cura ","")&amp;$OV30&amp;"d8")))</f>
        <v/>
      </c>
      <c r="PD30" s="152">
        <f>IF($NT30=2,3*$OW30&amp;" de vida temp.",IF($NT30=3,"sem dano",IF($OW30=0,IF($NT30=1,"sem cura","sem dano"),IF($NT30=1,"cura ","")&amp;$OW30&amp;"d8")))</f>
        <v/>
      </c>
      <c r="PE30" s="152">
        <f>IF($NT30=2,3*$OX30&amp;" de vida temp.",IF($NT30=3,"sem dano",IF($OX30=0,IF($NT30=1,"sem cura","sem dano"),IF($NT30=1,"cura ","")&amp;$OX30&amp;"d8")))</f>
        <v/>
      </c>
      <c r="PF30" s="152">
        <f>IF($NT30=2,3*$OY30&amp;" de vida temp.",IF($NT30=3,"sem dano",IF($OY30=0,IF($NT30=1,"sem cura","sem dano"),IF($NT30=1,"cura ","")&amp;$OY30&amp;"d8")))</f>
        <v/>
      </c>
      <c r="PG30" s="152">
        <f>IF($MQ30=0,"",TEXTJOIN(" · ",TRUE,IF($MD30&gt;$MR30,"Este lugar abre no nível "&amp;$MD30,""),IF($MF30&gt;$MS30,"Classe "&amp;$MF30&amp;": o nível "&amp;$MR30&amp;" libera até a "&amp;$MS30,""),IF($NK30=1,"A Forma "&amp;$MH30&amp;" pede "&amp;INDEX($W$2:$W$11,$MW30)&amp;" aberta",""),IF(AND($MF30=0,$MW30&gt;0,IF($MW30=0,0,INDEX($AF$2:$AF$11,$MW30))=0),$MH30&amp;" não existe na Classe 0",""),IF($NL30=1,"Família Fechada: "&amp;$MK30,""),IF($NM30=1,"Família Fechada: "&amp;$ML30,""),IF($NN30=1,"Família Fechada: "&amp;$MM30,""),IF($NO30=1,"Família Fechada: "&amp;$MN30,""),IF(AND($MF30&gt;0,$OH30&gt;INDEX($O$2:$O$8,MAX(1,$MF30))),$OH30&amp;" Melhorias: a Classe "&amp;$MF30&amp;" aceita "&amp;INDEX($O$2:$O$8,MAX(1,$MF30)),""),IF(AND($MF30=0,$OH30&gt;1),"A básica aceita uma Melhoria",""),IF(AND($MF30=0,COUNTIF($NB30:$NE30,"&gt;1")&gt;0),"A básica só aceita Melhoria Leve",""),IF(AND($MF30&gt;0,$OI30&gt;2),$OI30&amp;" Restrições"&amp;IF($NS30=1,", contando a que a Forma "&amp;$MH30&amp;" já traz","")&amp;": o limite é 2",""),IF(AND($MF30=0,COUNTIF($MO30:$MP30,"?*")&gt;1),"A básica aceita uma Restrição Leve",""),IF(AND($MF30=0,COUNTIF($NV30:$NW30,2)&gt;0),"A básica só aceita Restrição Leve",""),IF(AND($MF30&gt;0,$OP30&lt;0),"Orçamento estourado: faltam "&amp;(-$OP30)&amp;IF($OP30&lt;-1," pontos"," ponto"),""),IF(IFERROR(VLOOKUP($MO30,$BC$2:$BG$24,4,FALSE),0)+IFERROR(VLOOKUP($MP30,$BC$2:$BG$24,4,FALSE),0)&gt;1,$NX30&amp;" e "&amp;$NY30&amp;" são as duas de frequência",""),IF(AND((COUNTIF($MK30:$MN30,"Rápido")+COUNTIF($NX30:$NY30,"Rápido"))&gt;0,(COUNTIF($MK30:$MN30,"Atrasar")+COUNTIF($NX30:$NY30,"Atrasar"))&gt;0),"Rápido não entra com Atrasar",""),IF(AND((COUNTIF($MK30:$MN30,"Reação")+COUNTIF($NX30:$NY30,"Reação"))&gt;0,(COUNTIF($MK30:$MN30,"Rápido")+COUNTIF($NX30:$NY30,"Rápido"))&gt;0),"Reação não entra com Rápido",""),IF(AND((COUNTIF($MK30:$MN30,"Reação")+COUNTIF($NX30:$NY30,"Reação"))&gt;0,(COUNTIF($MK30:$MN30,"Armado")+COUNTIF($NX30:$NY30,"Armado"))&gt;0),"Reação não entra com Armado",""),IF(AND((COUNTIF($MK30:$MN30,"Reação")+COUNTIF($NX30:$NY30,"Reação"))&gt;0,(COUNTIF($MK30:$MN30,"Atrasar")+COUNTIF($NX30:$NY30,"Atrasar"))&gt;0),"Reação não entra com Atrasar",""),IF(AND((COUNTIF($MK30:$MN30,"Reação")+COUNTIF($NX30:$NY30,"Reação"))&gt;0,(COUNTIF($MK30:$MN30,"Parado")+COUNTIF($NX30:$NY30,"Parado"))&gt;0),"Reação não entra com Parado",""),IF(AND((COUNTIF($MK30:$MN30,"Atrasar")+COUNTIF($NX30:$NY30,"Atrasar"))&gt;0,(COUNTIF($MK30:$MN30,"Parado")+COUNTIF($NX30:$NY30,"Parado"))&gt;0),"Atrasar não entra com Parado",""),IF(AND((COUNTIF($MK30:$MN30,"Armado")+COUNTIF($NX30:$NY30,"Armado"))&gt;0,(COUNTIF($MK30:$MN30,"Carregar")+COUNTIF($NX30:$NY30,"Carregar"))&gt;0),"Armado não entra com Carregar",""),IF(AND(COUNTIF($NX30:$NY30,"Corpo a Corpo")&gt;0,$NS30=0,OR($MH30="Cone",$MH30="Linha")),"Corpo a Corpo não entra em "&amp;$MH30,""),IF(AND(COUNTIF($NX30:$NY30,"Corpo a Corpo")&gt;0,$NS30=1),"A Forma "&amp;$MH30&amp;" já traz o Corpo a Corpo",""),IF(AND(COUNTIF($NX30:$NY30,"Tudo ou Nada")&gt;0,$NU30=0),"Tudo ou Nada só entra em habilidade de Teste de Resistência",""),IF(AND(COUNTIF($MK30:$MN30,"Inescapável")&gt;0,OR($OH30&gt;1,$OI30&gt;0)),"Inescapável não aceita outra peça",""),IF(AND($MF30&gt;0,$OQ30*IF(COUNTIF($MK30:$MN30,"Remate")&gt;0,1.25,1)+$OR30&gt;4*$MF30),($OQ30*IF(COUNTIF($MK30:$MN30,"Remate")&gt;0,1.25,1)+$OR30)&amp;" dados somando repetições"&amp;IF(COUNTIF($MK30:$MN30,"Remate")&gt;0," e o Remate","")&amp;": o teto da Classe "&amp;$MF30&amp;" é "&amp;4*$MF30,"")))</f>
        <v/>
      </c>
      <c r="PH30" s="152">
        <f>IF($PG30="",0,(LEN($PG30)-LEN(SUBSTITUTE($PG30," · ","")))/3+1)</f>
        <v/>
      </c>
      <c r="PI30" s="152">
        <f>IF($MQ30=0,"",TEXTJOIN(" · ",TRUE,IF($OK30&gt;2*$MF30,"A devolução parou no teto de "&amp;2*$MF30,""),IF($ON30&gt;0,"Devolução perdida: "&amp;$ON30&amp;IF($ON30&gt;1," pontos"," ponto")&amp;" sem peça para pagar",""),IF(AND($NP30&gt;0,AND($MF30&gt;0,$NT30=0),$OQ30=0),"Controle sem dano: uma rodada a mais e CD +2",""),IF(AND($NP30&gt;0,AND($MF30&gt;0,$NT30=0),$OQ30&gt;0,$OQ30&lt;=$MF30),"Controle com saldo até a Classe: uma rodada a mais",""),IF(AND($MF30&gt;0,$NR30&lt;&gt;""),"Efeito de "&amp;$NR30&amp;" pela Classe "&amp;MAX(1,$MF30-1),"")))</f>
        <v/>
      </c>
      <c r="PJ30" s="152">
        <f>IF($PI30="",0,(LEN($PI30)-LEN(SUBSTITUTE($PI30," · ","")))/3+1)</f>
        <v/>
      </c>
      <c r="PK30" s="152">
        <f>IF($MQ30=0,IF($OH30+COUNTIF($MO30:$MP30,"?*")&gt;0,"Dê um nome",""),IF($PH30&gt;0,"⚠ "&amp;$PH30&amp;IF($PH30&gt;1," erros"," erro"),IF($PJ30&gt;0,"! "&amp;$PJ30&amp;IF($PJ30&gt;1," avisos"," aviso"),"Na regra")))</f>
        <v/>
      </c>
      <c r="PL30" s="152">
        <f>IF($MQ30=0,"",IF($PH30+$PJ30=0,"Dentro das regras que a ficha confere",$PG30&amp;IF(AND($PH30&gt;0,$PJ30&gt;0)," · ","")&amp;$PI30))</f>
        <v/>
      </c>
      <c r="PM30" s="152">
        <f>IF($MD30&gt;$MR30,$ME30&amp;" · ABRE NO NÍVEL "&amp;$MD30,$ME30)</f>
        <v/>
      </c>
      <c r="PN30" s="152">
        <f>IF($MQ30=0,"",IF($MF30=0,"Sem PE",3*$MF30&amp;" PE"))</f>
        <v/>
      </c>
      <c r="PO30" s="152">
        <f>IF($MQ30=0,"",IF($MF30=0,"A atuação básica dela",IF(COUNTIF($NX30:$NY30,"Atrasar")&gt;0,"Sua Ação Completa",IF(COUNTIF($MK30:$MN30,"Rápido")&gt;0,"Sua Bônus",IF(COUNTIF($MK30:$MN30,"Reação")&gt;0,"Sua Reação","Sua Padrão")))&amp;" + a básica dela"&amp;IF(COUNTIF($MK30:$MN30,"Reação")&gt;0," e a coletiva","")&amp;IF(COUNTIF($NX30:$NY30,"Carregar")&gt;0," · em dois turnos","")))</f>
        <v/>
      </c>
      <c r="PP30" s="152">
        <f>IF($MJ30&lt;&gt;"",$MJ30,IF($MW30=0,"",INDEX($AA$2:$AA$11,$MW30)))</f>
        <v/>
      </c>
      <c r="PQ30" s="152">
        <f>IF(OR($MQ30=0,$MW30=0),"",IF(COUNTIF($MK30:$MN30,"Inescapável")&gt;0,"Automático",IF($PP30="Ataque",IF($MU30="","Ataque","Ataque "&amp;IF(($MU30+2*IF(COUNTIF($MK30:$MN30,"Precisão")&gt;0,1,0))&gt;=0,"+","−")&amp;ABS(($MU30+2*IF(COUNTIF($MK30:$MN30,"Precisão")&gt;0,1,0))))&amp;IF($NQ30&gt;0," · TR"&amp;IF($MV30="",""," CD "&amp;$MV30),""),IF(LEFT($PP30,2)="TR",$PP30&amp;IF($MV30="",""," · CD "&amp;$MV30)&amp;IF(COUNTIF($MK30:$MN30,"Certeiro")&gt;0," · metade",""),"Sem rolagem"))))</f>
        <v/>
      </c>
      <c r="PR30" s="152">
        <f>IF(OR($MQ30=0,$MW30=0),"",IF($MF30=0,IF(OR($NT30&gt;=1,$OQ30=0),"Sem dano",$OQ30&amp;"d6"&amp;IF($MI30="",""," "&amp;$MI30)),IF(OR($NT30&gt;=1,$OQ30=0),UPPER(LEFT(INDEX($OZ30:$PF30,1,MAX(1,$MF30)),1))&amp;MID(INDEX($OZ30:$PF30,1,MAX(1,$MF30)),2,99),UPPER(LEFT(INDEX($OZ30:$PF30,1,MAX(1,$MF30)),1))&amp;MID(INDEX($OZ30:$PF30,1,MAX(1,$MF30)),2,99)&amp;IF($MI30="",""," "&amp;$MI30)&amp;IF($OR30&gt;0," · +"&amp;$OR30&amp;"d8",""))))</f>
        <v/>
      </c>
      <c r="PS30" s="152">
        <f>COUNTIF($MK30:$MN30,"Longe")+3*COUNTIF($MK30:$MN30,"Muito Longe")</f>
        <v/>
      </c>
      <c r="PT30" s="152">
        <f>COUNTIF($MK30:$MN30,"Maior")+3*COUNTIF($MK30:$MN30,"Muito Maior")</f>
        <v/>
      </c>
      <c r="PU30" s="152">
        <f>IF($MW30=0,0,CHOOSE(1+INDEX($AC$2:$AC$11,$MW30),0,$PS30,$PT30,$PS30+$PT30))</f>
        <v/>
      </c>
      <c r="PV30" s="152">
        <f>IF($MW30=0,0,CHOOSE(1+INDEX($AD$2:$AD$11,$MW30),0,$PS30,$PT30,$PS30+$PT30))</f>
        <v/>
      </c>
      <c r="PW30" s="152">
        <f>IF(OR($MQ30=0,$MW30=0),"",INDEX($AI$2:$AN$41,($MW30-1)*4+IF($MF30=0,1,IF($MF30&lt;=5,2,IF($MF30=6,3,4))),1+MIN(5,$PU30))&amp;INDEX($AO$2:$AT$41,($MW30-1)*4+IF($MF30=0,1,IF($MF30&lt;=5,2,IF($MF30=6,3,4))),1+MIN(5,$PV30))&amp;IF(INDEX($AE$2:$AE$11,$MW30)=1,IF(COUNTIF($MK30:$MN30,"Mais Um")&gt;0," · +"&amp;COUNTIF($MK30:$MN30,"Mais Um")&amp;IF(COUNTIF($MK30:$MN30,"Mais Um")&gt;1," alvos"," alvo"),"")&amp;IF(COUNTIF($MK30:$MN30,"Rajada")&gt;0,IF($MF30=0," · 1 tiro"," · "&amp;(MAX(1,$MF30-1)+1)&amp;" tiros"),""),""))</f>
        <v/>
      </c>
      <c r="PX30" s="152">
        <f>IF($MQ30=0,"",IF($MF30=0,$MT30&amp;"d6"&amp;IF($OH30&gt;0," − 1 = "&amp;$OQ30&amp;"d6"," da básica do nível "&amp;$MR30),$OO30&amp;" − "&amp;$OJ30&amp;" + "&amp;$OM30&amp;" = "&amp;$OP30&amp;" · teto "&amp;4*$MF30&amp;"d8"&amp;IF($NS30=1," · a Forma devolve "&amp;$MF30,"")&amp;IF($ON30&gt;0," · perde "&amp;$ON30,"")))</f>
        <v/>
      </c>
      <c r="PY30" s="152">
        <f>IF($MQ30=0,"",IF($MF30=0,"A básica não amplia: os dados dela sobem com o nível",IF($MF30&gt;=$MS30,"Já está na maior Classe que o nível liberou",TEXTJOIN(" · ",TRUE,IF(AND(2&gt;$MF30,2&lt;=$MS30),"2 → "&amp;$PA30&amp;", 6 PE",""),IF(AND(3&gt;$MF30,3&lt;=$MS30),"3 → "&amp;$PB30&amp;", 9 PE",""),IF(AND(4&gt;$MF30,4&lt;=$MS30),"4 → "&amp;$PC30&amp;", 12 PE",""),IF(AND(5&gt;$MF30,5&lt;=$MS30),"5 → "&amp;$PD30&amp;", 15 PE",""),IF(AND(6&gt;$MF30,6&lt;=$MS30),"6 → "&amp;$PE30&amp;", 18 PE",""),IF(AND(7&gt;$MF30,7&lt;=$MS30),"7 → "&amp;$PF30&amp;", 21 PE","")))))</f>
        <v/>
      </c>
      <c r="PZ30" s="152">
        <f>IF(OR($MQ30=0,$NB30=0),"",IF($MF30=0,"−1 dado","−"&amp;INDEX($I$2:$N$8,MAX(1,$MF30),MAX(1,$NG30))&amp;" · "&amp;CHOOSE(MAX(1,$NG30),"Leve","Média","Pesada","Leve · Livre","Média · Livre","Pesada · Livre")))</f>
        <v/>
      </c>
      <c r="QA30" s="152">
        <f>IF(OR($MQ30=0,$NC30=0),"",IF($MF30=0,"−1 dado","−"&amp;INDEX($I$2:$N$8,MAX(1,$MF30),MAX(1,$NH30))&amp;" · "&amp;CHOOSE(MAX(1,$NH30),"Leve","Média","Pesada","Leve · Livre","Média · Livre","Pesada · Livre")))</f>
        <v/>
      </c>
      <c r="QB30" s="152">
        <f>IF(OR($MQ30=0,$ND30=0),"",IF($MF30=0,"−1 dado","−"&amp;INDEX($I$2:$N$8,MAX(1,$MF30),MAX(1,$NI30))&amp;" · "&amp;CHOOSE(MAX(1,$NI30),"Leve","Média","Pesada","Leve · Livre","Média · Livre","Pesada · Livre")))</f>
        <v/>
      </c>
      <c r="QC30" s="152">
        <f>IF(OR($MQ30=0,$NE30=0),"",IF($MF30=0,"−1 dado","−"&amp;INDEX($I$2:$N$8,MAX(1,$MF30),MAX(1,$NJ30))&amp;" · "&amp;CHOOSE(MAX(1,$NJ30),"Leve","Média","Pesada","Leve · Livre","Média · Livre","Pesada · Livre")))</f>
        <v/>
      </c>
      <c r="QD30" s="152">
        <f>IF(OR($MQ30=0,$MO30=""),"",IF($MF30=0,"não devolve","+"&amp;IF($NV30=1,CEILING($MF30/2,1),$MF30)))</f>
        <v/>
      </c>
      <c r="QE30" s="152">
        <f>IF(OR($MQ30=0,$MP30=""),"",IF($MF30=0,"não devolve","+"&amp;IF($NW30=1,CEILING($MF30/2,1),$MF30)))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BA31" s="152" t="n">
        <v>1</v>
      </c>
      <c r="JG31" s="152">
        <f>IF(OR($AW31="",COUNTIF($EF$2:$EJ$2,$AW31)&gt;0),$AV31,"")</f>
        <v/>
      </c>
      <c r="JH31" s="152">
        <f>IF(AND($AX31=1,OR($AW31="",COUNTIF($EF$2:$EJ$2,$AW31)&gt;0)),$AV31,"")</f>
        <v/>
      </c>
      <c r="JM31" s="152">
        <f>IF(OR($AW31="",COUNTIF($EF$3:$EJ$3,$AW31)&gt;0),$AV31,"")</f>
        <v/>
      </c>
      <c r="JN31" s="152">
        <f>IF(AND($AX31=1,OR($AW31="",COUNTIF($EF$3:$EJ$3,$AW31)&gt;0)),$AV31,"")</f>
        <v/>
      </c>
      <c r="JS31" s="152">
        <f>IF(OR($AW31="",COUNTIF($EF$4:$EJ$4,$AW31)&gt;0),$AV31,"")</f>
        <v/>
      </c>
      <c r="JT31" s="152">
        <f>IF(AND($AX31=1,OR($AW31="",COUNTIF($EF$4:$EJ$4,$AW31)&gt;0)),$AV31,"")</f>
        <v/>
      </c>
      <c r="JY31" s="152">
        <f>IF(OR($AW31="",COUNTIF($EF$5:$EJ$5,$AW31)&gt;0),$AV31,"")</f>
        <v/>
      </c>
      <c r="JZ31" s="152">
        <f>IF(AND($AX31=1,OR($AW31="",COUNTIF($EF$5:$EJ$5,$AW31)&gt;0)),$AV31,"")</f>
        <v/>
      </c>
      <c r="KE31" s="152">
        <f>IF(OR($AW31="",COUNTIF($EF$6:$EJ$6,$AW31)&gt;0),$AV31,"")</f>
        <v/>
      </c>
      <c r="KF31" s="152">
        <f>IF(AND($AX31=1,OR($AW31="",COUNTIF($EF$6:$EJ$6,$AW31)&gt;0)),$AV31,"")</f>
        <v/>
      </c>
      <c r="KK31" s="152">
        <f>IF(OR($AW31="",COUNTIF($EF$7:$EJ$7,$AW31)&gt;0),$AV31,"")</f>
        <v/>
      </c>
      <c r="KL31" s="152">
        <f>IF(AND($AX31=1,OR($AW31="",COUNTIF($EF$7:$EJ$7,$AW31)&gt;0)),$AV31,"")</f>
        <v/>
      </c>
      <c r="KQ31" s="152">
        <f>IF(OR($AW31="",COUNTIF($EF$8:$EJ$8,$AW31)&gt;0),$AV31,"")</f>
        <v/>
      </c>
      <c r="KR31" s="152">
        <f>IF(AND($AX31=1,OR($AW31="",COUNTIF($EF$8:$EJ$8,$AW31)&gt;0)),$AV31,"")</f>
        <v/>
      </c>
      <c r="KW31" s="152">
        <f>IF(OR($AW31="",COUNTIF($EF$9:$EJ$9,$AW31)&gt;0),$AV31,"")</f>
        <v/>
      </c>
      <c r="KX31" s="152">
        <f>IF(AND($AX31=1,OR($AW31="",COUNTIF($EF$9:$EJ$9,$AW31)&gt;0)),$AV31,"")</f>
        <v/>
      </c>
      <c r="LC31" s="152">
        <f>IF(OR($AW31="",COUNTIF($EF$10:$EJ$10,$AW31)&gt;0),$AV31,"")</f>
        <v/>
      </c>
      <c r="LD31" s="152">
        <f>IF(AND($AX31=1,OR($AW31="",COUNTIF($EF$10:$EJ$10,$AW31)&gt;0)),$AV31,"")</f>
        <v/>
      </c>
      <c r="LI31" s="152">
        <f>IF(OR($AW31="",COUNTIF($EF$11:$EJ$11,$AW31)&gt;0),$AV31,"")</f>
        <v/>
      </c>
      <c r="LJ31" s="152">
        <f>IF(AND($AX31=1,OR($AW31="",COUNTIF($EF$11:$EJ$11,$AW31)&gt;0)),$AV31,"")</f>
        <v/>
      </c>
      <c r="LO31" s="152">
        <f>IF(OR($AW31="",COUNTIF($EF$12:$EJ$12,$AW31)&gt;0),$AV31,"")</f>
        <v/>
      </c>
      <c r="LP31" s="152">
        <f>IF(AND($AX31=1,OR($AW31="",COUNTIF($EF$12:$EJ$12,$AW31)&gt;0)),$AV31,"")</f>
        <v/>
      </c>
      <c r="LU31" s="152">
        <f>IF(OR($AW31="",COUNTIF($EF$13:$EJ$13,$AW31)&gt;0),$AV31,"")</f>
        <v/>
      </c>
      <c r="LV31" s="152">
        <f>IF(AND($AX31=1,OR($AW31="",COUNTIF($EF$13:$EJ$13,$AW31)&gt;0)),$AV31,"")</f>
        <v/>
      </c>
      <c r="MA31" s="150" t="inlineStr">
        <is>
          <t>Ficha 3 · Básica 2</t>
        </is>
      </c>
      <c r="MB31" s="152" t="n">
        <v>3</v>
      </c>
      <c r="MC31" s="152" t="n">
        <v>0</v>
      </c>
      <c r="MD31" s="152" t="n">
        <v>11</v>
      </c>
      <c r="ME31" s="150" t="inlineStr">
        <is>
          <t>BÁSICA 2</t>
        </is>
      </c>
      <c r="MF31" s="152" t="n">
        <v>0</v>
      </c>
      <c r="MG31" s="152">
        <f>'INVOCAÇÕES'!$J$488&amp;""</f>
        <v/>
      </c>
      <c r="MH31" s="152">
        <f>'INVOCAÇÕES'!$I$493&amp;""</f>
        <v/>
      </c>
      <c r="MI31" s="152">
        <f>'INVOCAÇÕES'!$I$494&amp;""</f>
        <v/>
      </c>
      <c r="MJ31" s="152">
        <f>'INVOCAÇÕES'!$K$494&amp;""</f>
        <v/>
      </c>
      <c r="MK31" s="152">
        <f>'INVOCAÇÕES'!$J$497&amp;""</f>
        <v/>
      </c>
      <c r="ML31" s="152">
        <f>'INVOCAÇÕES'!$J$498&amp;""</f>
        <v/>
      </c>
      <c r="MM31" s="152">
        <f>'INVOCAÇÕES'!$J$499&amp;""</f>
        <v/>
      </c>
      <c r="MN31" s="152">
        <f>'INVOCAÇÕES'!$J$500&amp;""</f>
        <v/>
      </c>
      <c r="MO31" s="152">
        <f>'INVOCAÇÕES'!$J$501&amp;""</f>
        <v/>
      </c>
      <c r="MP31" s="152">
        <f>'INVOCAÇÕES'!$J$502&amp;""</f>
        <v/>
      </c>
      <c r="MQ31" s="152">
        <f>IF($MG31&lt;&gt;"",1,0)</f>
        <v/>
      </c>
      <c r="MR31" s="152">
        <f>INDEX($FI$2:$FI$13,$MB31)</f>
        <v/>
      </c>
      <c r="MS31" s="152">
        <f>INDEX($FJ$2:$FJ$13,$MB31)</f>
        <v/>
      </c>
      <c r="MT31" s="152">
        <f>INDEX($FK$2:$FK$13,$MB31)</f>
        <v/>
      </c>
      <c r="MU31" s="152">
        <f>INDEX($FV$2:$FV$13,$MB31)</f>
        <v/>
      </c>
      <c r="MV31" s="152">
        <f>INDEX($FW$2:$FW$13,$MB31)</f>
        <v/>
      </c>
      <c r="MW31" s="152">
        <f>IFERROR(MATCH($MH31,$V$2:$V$11,0),0)</f>
        <v/>
      </c>
      <c r="MX31" s="152">
        <f>IFERROR(VLOOKUP($MK31,$AV$2:$BA$84,2,FALSE),"")</f>
        <v/>
      </c>
      <c r="MY31" s="152">
        <f>IFERROR(VLOOKUP($ML31,$AV$2:$BA$84,2,FALSE),"")</f>
        <v/>
      </c>
      <c r="MZ31" s="152">
        <f>IFERROR(VLOOKUP($MM31,$AV$2:$BA$84,2,FALSE),"")</f>
        <v/>
      </c>
      <c r="NA31" s="152">
        <f>IFERROR(VLOOKUP($MN31,$AV$2:$BA$84,2,FALSE),"")</f>
        <v/>
      </c>
      <c r="NB31" s="152">
        <f>IFERROR(VLOOKUP($MK31,$AV$2:$BA$84,3,FALSE),0)</f>
        <v/>
      </c>
      <c r="NC31" s="152">
        <f>IFERROR(VLOOKUP($ML31,$AV$2:$BA$84,3,FALSE),0)</f>
        <v/>
      </c>
      <c r="ND31" s="152">
        <f>IFERROR(VLOOKUP($MM31,$AV$2:$BA$84,3,FALSE),0)</f>
        <v/>
      </c>
      <c r="NE31" s="152">
        <f>IFERROR(VLOOKUP($MN31,$AV$2:$BA$84,3,FALSE),0)</f>
        <v/>
      </c>
      <c r="NF31" s="152">
        <f>IF($MF31=0,0,IF($MW31=0,0,INDEX($X$2:$X$11,$MW31)))</f>
        <v/>
      </c>
      <c r="NG31" s="152">
        <f>IF(OR($NB31=0,$MF31=0),0,$NB31+3*IF(AND($MX31&lt;&gt;"",OR($MX31=INDEX($EF$2:$EF$13,$MB31),$MX31=INDEX($EG$2:$EG$13,$MB31))),1,0))</f>
        <v/>
      </c>
      <c r="NH31" s="152">
        <f>IF(OR($NC31=0,$MF31=0),0,$NC31+3*IF(AND($MY31&lt;&gt;"",OR($MY31=INDEX($EF$2:$EF$13,$MB31),$MY31=INDEX($EG$2:$EG$13,$MB31))),1,0))</f>
        <v/>
      </c>
      <c r="NI31" s="152">
        <f>IF(OR($ND31=0,$MF31=0),0,$ND31+3*IF(AND($MZ31&lt;&gt;"",OR($MZ31=INDEX($EF$2:$EF$13,$MB31),$MZ31=INDEX($EG$2:$EG$13,$MB31))),1,0))</f>
        <v/>
      </c>
      <c r="NJ31" s="152">
        <f>IF(OR($NE31=0,$MF31=0),0,$NE31+3*IF(AND($NA31&lt;&gt;"",OR($NA31=INDEX($EF$2:$EF$13,$MB31),$NA31=INDEX($EG$2:$EG$13,$MB31))),1,0))</f>
        <v/>
      </c>
      <c r="NK31" s="152">
        <f>IF($MW31=0,0,IF(INDEX($W$2:$W$11,$MW31)="",0,IF(COUNTIF(INDEX($EF$2:$EJ$13,$MB31,0),INDEX($W$2:$W$11,$MW31))=0,1,0)))</f>
        <v/>
      </c>
      <c r="NL31" s="152">
        <f>IF(OR($NB31=0,$MX31=""),0,IF(COUNTIF(INDEX($EF$2:$EJ$13,$MB31,0),$MX31)=0,1,0))</f>
        <v/>
      </c>
      <c r="NM31" s="152">
        <f>IF(OR($NC31=0,$MY31=""),0,IF(COUNTIF(INDEX($EF$2:$EJ$13,$MB31,0),$MY31)=0,1,0))</f>
        <v/>
      </c>
      <c r="NN31" s="152">
        <f>IF(OR($ND31=0,$MZ31=""),0,IF(COUNTIF(INDEX($EF$2:$EJ$13,$MB31,0),$MZ31)=0,1,0))</f>
        <v/>
      </c>
      <c r="NO31" s="152">
        <f>IF(OR($NE31=0,$NA31=""),0,IF(COUNTIF(INDEX($EF$2:$EJ$13,$MB31,0),$NA31)=0,1,0))</f>
        <v/>
      </c>
      <c r="NP31" s="152">
        <f>IFERROR(VLOOKUP($MK31,$AV$2:$BA$84,4,FALSE),0)+IFERROR(VLOOKUP($ML31,$AV$2:$BA$84,4,FALSE),0)+IFERROR(VLOOKUP($MM31,$AV$2:$BA$84,4,FALSE),0)+IFERROR(VLOOKUP($MN31,$AV$2:$BA$84,4,FALSE),0)</f>
        <v/>
      </c>
      <c r="NQ31" s="152">
        <f>IFERROR(VLOOKUP($MK31,$AV$2:$BA$84,6,FALSE),0)+IFERROR(VLOOKUP($ML31,$AV$2:$BA$84,6,FALSE),0)+IFERROR(VLOOKUP($MM31,$AV$2:$BA$84,6,FALSE),0)+IFERROR(VLOOKUP($MN31,$AV$2:$BA$84,6,FALSE),0)</f>
        <v/>
      </c>
      <c r="NR31" s="152">
        <f>TEXTJOIN(", ",TRUE,IF(IFERROR(VLOOKUP($MK31,$AV$2:$BA$84,5,FALSE),0)=1,$MK31,""),IF(IFERROR(VLOOKUP($ML31,$AV$2:$BA$84,5,FALSE),0)=1,$ML31,""),IF(IFERROR(VLOOKUP($MM31,$AV$2:$BA$84,5,FALSE),0)=1,$MM31,""),IF(IFERROR(VLOOKUP($MN31,$AV$2:$BA$84,5,FALSE),0)=1,$MN31,""))</f>
        <v/>
      </c>
      <c r="NS31" s="152">
        <f>IF($MW31=0,0,INDEX($Y$2:$Y$11,$MW31))</f>
        <v/>
      </c>
      <c r="NT31" s="152">
        <f>IF($MW31=0,0,INDEX($Z$2:$Z$11,$MW31))</f>
        <v/>
      </c>
      <c r="NU31" s="152">
        <f>IF($MW31=0,0,INDEX($AB$2:$AB$11,$MW31))</f>
        <v/>
      </c>
      <c r="NV31" s="152">
        <f>IFERROR(VLOOKUP($MO31,$BC$2:$BG$24,3,FALSE),0)</f>
        <v/>
      </c>
      <c r="NW31" s="152">
        <f>IFERROR(VLOOKUP($MP31,$BC$2:$BG$24,3,FALSE),0)</f>
        <v/>
      </c>
      <c r="NX31" s="152">
        <f>IFERROR(VLOOKUP($MO31,$BC$2:$BG$24,2,FALSE),"")</f>
        <v/>
      </c>
      <c r="NY31" s="152">
        <f>IFERROR(VLOOKUP($MP31,$BC$2:$BG$24,2,FALSE),"")</f>
        <v/>
      </c>
      <c r="NZ31" s="152">
        <f>COUNTIF($NF31:$NJ31,1)</f>
        <v/>
      </c>
      <c r="OA31" s="152">
        <f>COUNTIF($NF31:$NJ31,2)</f>
        <v/>
      </c>
      <c r="OB31" s="152">
        <f>COUNTIF($NF31:$NJ31,3)</f>
        <v/>
      </c>
      <c r="OC31" s="152">
        <f>COUNTIF($NF31:$NJ31,4)</f>
        <v/>
      </c>
      <c r="OD31" s="152">
        <f>COUNTIF($NF31:$NJ31,5)</f>
        <v/>
      </c>
      <c r="OE31" s="152">
        <f>COUNTIF($NF31:$NJ31,6)</f>
        <v/>
      </c>
      <c r="OF31" s="152">
        <f>COUNTIF($NV31:$NW31,1)</f>
        <v/>
      </c>
      <c r="OG31" s="152">
        <f>COUNTIF($NV31:$NW31,2)+$NS31</f>
        <v/>
      </c>
      <c r="OH31" s="152">
        <f>COUNTIF($MK31:$MN31,"?*")</f>
        <v/>
      </c>
      <c r="OI31" s="152">
        <f>COUNTIF($MO31:$MP31,"?*")+$NS31</f>
        <v/>
      </c>
      <c r="OJ31" s="152">
        <f>IF($MF31=0,0,SUMPRODUCT($NZ31:$OE31,INDEX($I$2:$N$8,MAX(1,$MF31),0)))</f>
        <v/>
      </c>
      <c r="OK31" s="152">
        <f>IF($MF31=0,0,$OF31*CEILING($MF31/2,1)+$OG31*$MF31)</f>
        <v/>
      </c>
      <c r="OL31" s="152">
        <f>MIN(2*$MF31,$OK31)</f>
        <v/>
      </c>
      <c r="OM31" s="152">
        <f>MIN($OL31,$OJ31)</f>
        <v/>
      </c>
      <c r="ON31" s="152">
        <f>$OL31-$OM31</f>
        <v/>
      </c>
      <c r="OO31" s="152">
        <f>IF($MF31=0,0,INDEX($P$2:$P$8,MAX(1,$MF31)))</f>
        <v/>
      </c>
      <c r="OP31" s="152">
        <f>$OO31-$OJ31+$OM31</f>
        <v/>
      </c>
      <c r="OQ31" s="152">
        <f>IF($MF31=0,MAX(0,$MT31-IF($OH31&gt;0,1,0)),MAX(0,$OP31))</f>
        <v/>
      </c>
      <c r="OR31" s="152">
        <f>IF($MF31=0,0,(IF(COUNTIF($MK31:$MN31,"Salto")&gt;0,1,0)+IF(COUNTIF($MK31:$MN31,"Queima")&gt;0,1,0)+IF(COUNTIF($MK31:$MN31,"Estilhaço")&gt;0,1,0))*FLOOR($OQ31/2,1))</f>
        <v/>
      </c>
      <c r="OS31" s="152">
        <f>MAX(0,2-SUMPRODUCT($NZ31:$OE31,$I$2:$N$2)+MIN(2,$OF31*1+$OG31*1,SUMPRODUCT($NZ31:$OE31,$I$2:$N$2)))</f>
        <v/>
      </c>
      <c r="OT31" s="152">
        <f>MAX(0,4-SUMPRODUCT($NZ31:$OE31,$I$3:$N$3)+MIN(4,$OF31*1+$OG31*2,SUMPRODUCT($NZ31:$OE31,$I$3:$N$3)))</f>
        <v/>
      </c>
      <c r="OU31" s="152">
        <f>MAX(0,6-SUMPRODUCT($NZ31:$OE31,$I$4:$N$4)+MIN(6,$OF31*2+$OG31*3,SUMPRODUCT($NZ31:$OE31,$I$4:$N$4)))</f>
        <v/>
      </c>
      <c r="OV31" s="152">
        <f>MAX(0,9-SUMPRODUCT($NZ31:$OE31,$I$5:$N$5)+MIN(8,$OF31*2+$OG31*4,SUMPRODUCT($NZ31:$OE31,$I$5:$N$5)))</f>
        <v/>
      </c>
      <c r="OW31" s="152">
        <f>MAX(0,11-SUMPRODUCT($NZ31:$OE31,$I$6:$N$6)+MIN(10,$OF31*3+$OG31*5,SUMPRODUCT($NZ31:$OE31,$I$6:$N$6)))</f>
        <v/>
      </c>
      <c r="OX31" s="152">
        <f>MAX(0,13-SUMPRODUCT($NZ31:$OE31,$I$7:$N$7)+MIN(12,$OF31*3+$OG31*6,SUMPRODUCT($NZ31:$OE31,$I$7:$N$7)))</f>
        <v/>
      </c>
      <c r="OY31" s="152">
        <f>MAX(0,16-SUMPRODUCT($NZ31:$OE31,$I$8:$N$8)+MIN(14,$OF31*4+$OG31*7,SUMPRODUCT($NZ31:$OE31,$I$8:$N$8)))</f>
        <v/>
      </c>
      <c r="OZ31" s="152">
        <f>IF($NT31=2,3*$OS31&amp;" de vida temp.",IF($NT31=3,"sem dano",IF($OS31=0,IF($NT31=1,"sem cura","sem dano"),IF($NT31=1,"cura ","")&amp;$OS31&amp;"d8")))</f>
        <v/>
      </c>
      <c r="PA31" s="152">
        <f>IF($NT31=2,3*$OT31&amp;" de vida temp.",IF($NT31=3,"sem dano",IF($OT31=0,IF($NT31=1,"sem cura","sem dano"),IF($NT31=1,"cura ","")&amp;$OT31&amp;"d8")))</f>
        <v/>
      </c>
      <c r="PB31" s="152">
        <f>IF($NT31=2,3*$OU31&amp;" de vida temp.",IF($NT31=3,"sem dano",IF($OU31=0,IF($NT31=1,"sem cura","sem dano"),IF($NT31=1,"cura ","")&amp;$OU31&amp;"d8")))</f>
        <v/>
      </c>
      <c r="PC31" s="152">
        <f>IF($NT31=2,3*$OV31&amp;" de vida temp.",IF($NT31=3,"sem dano",IF($OV31=0,IF($NT31=1,"sem cura","sem dano"),IF($NT31=1,"cura ","")&amp;$OV31&amp;"d8")))</f>
        <v/>
      </c>
      <c r="PD31" s="152">
        <f>IF($NT31=2,3*$OW31&amp;" de vida temp.",IF($NT31=3,"sem dano",IF($OW31=0,IF($NT31=1,"sem cura","sem dano"),IF($NT31=1,"cura ","")&amp;$OW31&amp;"d8")))</f>
        <v/>
      </c>
      <c r="PE31" s="152">
        <f>IF($NT31=2,3*$OX31&amp;" de vida temp.",IF($NT31=3,"sem dano",IF($OX31=0,IF($NT31=1,"sem cura","sem dano"),IF($NT31=1,"cura ","")&amp;$OX31&amp;"d8")))</f>
        <v/>
      </c>
      <c r="PF31" s="152">
        <f>IF($NT31=2,3*$OY31&amp;" de vida temp.",IF($NT31=3,"sem dano",IF($OY31=0,IF($NT31=1,"sem cura","sem dano"),IF($NT31=1,"cura ","")&amp;$OY31&amp;"d8")))</f>
        <v/>
      </c>
      <c r="PG31" s="152">
        <f>IF($MQ31=0,"",TEXTJOIN(" · ",TRUE,IF($MD31&gt;$MR31,"Este lugar abre no nível "&amp;$MD31,""),IF($MF31&gt;$MS31,"Classe "&amp;$MF31&amp;": o nível "&amp;$MR31&amp;" libera até a "&amp;$MS31,""),IF($NK31=1,"A Forma "&amp;$MH31&amp;" pede "&amp;INDEX($W$2:$W$11,$MW31)&amp;" aberta",""),IF(AND($MF31=0,$MW31&gt;0,IF($MW31=0,0,INDEX($AF$2:$AF$11,$MW31))=0),$MH31&amp;" não existe na Classe 0",""),IF($NL31=1,"Família Fechada: "&amp;$MK31,""),IF($NM31=1,"Família Fechada: "&amp;$ML31,""),IF($NN31=1,"Família Fechada: "&amp;$MM31,""),IF($NO31=1,"Família Fechada: "&amp;$MN31,""),IF(AND($MF31&gt;0,$OH31&gt;INDEX($O$2:$O$8,MAX(1,$MF31))),$OH31&amp;" Melhorias: a Classe "&amp;$MF31&amp;" aceita "&amp;INDEX($O$2:$O$8,MAX(1,$MF31)),""),IF(AND($MF31=0,$OH31&gt;1),"A básica aceita uma Melhoria",""),IF(AND($MF31=0,COUNTIF($NB31:$NE31,"&gt;1")&gt;0),"A básica só aceita Melhoria Leve",""),IF(AND($MF31&gt;0,$OI31&gt;2),$OI31&amp;" Restrições"&amp;IF($NS31=1,", contando a que a Forma "&amp;$MH31&amp;" já traz","")&amp;": o limite é 2",""),IF(AND($MF31=0,COUNTIF($MO31:$MP31,"?*")&gt;1),"A básica aceita uma Restrição Leve",""),IF(AND($MF31=0,COUNTIF($NV31:$NW31,2)&gt;0),"A básica só aceita Restrição Leve",""),IF(AND($MF31&gt;0,$OP31&lt;0),"Orçamento estourado: faltam "&amp;(-$OP31)&amp;IF($OP31&lt;-1," pontos"," ponto"),""),IF(IFERROR(VLOOKUP($MO31,$BC$2:$BG$24,4,FALSE),0)+IFERROR(VLOOKUP($MP31,$BC$2:$BG$24,4,FALSE),0)&gt;1,$NX31&amp;" e "&amp;$NY31&amp;" são as duas de frequência",""),IF(AND((COUNTIF($MK31:$MN31,"Rápido")+COUNTIF($NX31:$NY31,"Rápido"))&gt;0,(COUNTIF($MK31:$MN31,"Atrasar")+COUNTIF($NX31:$NY31,"Atrasar"))&gt;0),"Rápido não entra com Atrasar",""),IF(AND((COUNTIF($MK31:$MN31,"Reação")+COUNTIF($NX31:$NY31,"Reação"))&gt;0,(COUNTIF($MK31:$MN31,"Rápido")+COUNTIF($NX31:$NY31,"Rápido"))&gt;0),"Reação não entra com Rápido",""),IF(AND((COUNTIF($MK31:$MN31,"Reação")+COUNTIF($NX31:$NY31,"Reação"))&gt;0,(COUNTIF($MK31:$MN31,"Armado")+COUNTIF($NX31:$NY31,"Armado"))&gt;0),"Reação não entra com Armado",""),IF(AND((COUNTIF($MK31:$MN31,"Reação")+COUNTIF($NX31:$NY31,"Reação"))&gt;0,(COUNTIF($MK31:$MN31,"Atrasar")+COUNTIF($NX31:$NY31,"Atrasar"))&gt;0),"Reação não entra com Atrasar",""),IF(AND((COUNTIF($MK31:$MN31,"Reação")+COUNTIF($NX31:$NY31,"Reação"))&gt;0,(COUNTIF($MK31:$MN31,"Parado")+COUNTIF($NX31:$NY31,"Parado"))&gt;0),"Reação não entra com Parado",""),IF(AND((COUNTIF($MK31:$MN31,"Atrasar")+COUNTIF($NX31:$NY31,"Atrasar"))&gt;0,(COUNTIF($MK31:$MN31,"Parado")+COUNTIF($NX31:$NY31,"Parado"))&gt;0),"Atrasar não entra com Parado",""),IF(AND((COUNTIF($MK31:$MN31,"Armado")+COUNTIF($NX31:$NY31,"Armado"))&gt;0,(COUNTIF($MK31:$MN31,"Carregar")+COUNTIF($NX31:$NY31,"Carregar"))&gt;0),"Armado não entra com Carregar",""),IF(AND(COUNTIF($NX31:$NY31,"Corpo a Corpo")&gt;0,$NS31=0,OR($MH31="Cone",$MH31="Linha")),"Corpo a Corpo não entra em "&amp;$MH31,""),IF(AND(COUNTIF($NX31:$NY31,"Corpo a Corpo")&gt;0,$NS31=1),"A Forma "&amp;$MH31&amp;" já traz o Corpo a Corpo",""),IF(AND(COUNTIF($NX31:$NY31,"Tudo ou Nada")&gt;0,$NU31=0),"Tudo ou Nada só entra em habilidade de Teste de Resistência",""),IF(AND(COUNTIF($MK31:$MN31,"Inescapável")&gt;0,OR($OH31&gt;1,$OI31&gt;0)),"Inescapável não aceita outra peça",""),IF(AND($MF31&gt;0,$OQ31*IF(COUNTIF($MK31:$MN31,"Remate")&gt;0,1.25,1)+$OR31&gt;4*$MF31),($OQ31*IF(COUNTIF($MK31:$MN31,"Remate")&gt;0,1.25,1)+$OR31)&amp;" dados somando repetições"&amp;IF(COUNTIF($MK31:$MN31,"Remate")&gt;0," e o Remate","")&amp;": o teto da Classe "&amp;$MF31&amp;" é "&amp;4*$MF31,"")))</f>
        <v/>
      </c>
      <c r="PH31" s="152">
        <f>IF($PG31="",0,(LEN($PG31)-LEN(SUBSTITUTE($PG31," · ","")))/3+1)</f>
        <v/>
      </c>
      <c r="PI31" s="152">
        <f>IF($MQ31=0,"",TEXTJOIN(" · ",TRUE,IF($OK31&gt;2*$MF31,"A devolução parou no teto de "&amp;2*$MF31,""),IF($ON31&gt;0,"Devolução perdida: "&amp;$ON31&amp;IF($ON31&gt;1," pontos"," ponto")&amp;" sem peça para pagar",""),IF(AND($NP31&gt;0,AND($MF31&gt;0,$NT31=0),$OQ31=0),"Controle sem dano: uma rodada a mais e CD +2",""),IF(AND($NP31&gt;0,AND($MF31&gt;0,$NT31=0),$OQ31&gt;0,$OQ31&lt;=$MF31),"Controle com saldo até a Classe: uma rodada a mais",""),IF(AND($MF31&gt;0,$NR31&lt;&gt;""),"Efeito de "&amp;$NR31&amp;" pela Classe "&amp;MAX(1,$MF31-1),"")))</f>
        <v/>
      </c>
      <c r="PJ31" s="152">
        <f>IF($PI31="",0,(LEN($PI31)-LEN(SUBSTITUTE($PI31," · ","")))/3+1)</f>
        <v/>
      </c>
      <c r="PK31" s="152">
        <f>IF($MQ31=0,IF($OH31+COUNTIF($MO31:$MP31,"?*")&gt;0,"Dê um nome",""),IF($PH31&gt;0,"⚠ "&amp;$PH31&amp;IF($PH31&gt;1," erros"," erro"),IF($PJ31&gt;0,"! "&amp;$PJ31&amp;IF($PJ31&gt;1," avisos"," aviso"),"Na regra")))</f>
        <v/>
      </c>
      <c r="PL31" s="152">
        <f>IF($MQ31=0,"",IF($PH31+$PJ31=0,"Dentro das regras que a ficha confere",$PG31&amp;IF(AND($PH31&gt;0,$PJ31&gt;0)," · ","")&amp;$PI31))</f>
        <v/>
      </c>
      <c r="PM31" s="152">
        <f>IF($MD31&gt;$MR31,$ME31&amp;" · ABRE NO NÍVEL "&amp;$MD31,$ME31)</f>
        <v/>
      </c>
      <c r="PN31" s="152">
        <f>IF($MQ31=0,"",IF($MF31=0,"Sem PE",3*$MF31&amp;" PE"))</f>
        <v/>
      </c>
      <c r="PO31" s="152">
        <f>IF($MQ31=0,"",IF($MF31=0,"A atuação básica dela",IF(COUNTIF($NX31:$NY31,"Atrasar")&gt;0,"Sua Ação Completa",IF(COUNTIF($MK31:$MN31,"Rápido")&gt;0,"Sua Bônus",IF(COUNTIF($MK31:$MN31,"Reação")&gt;0,"Sua Reação","Sua Padrão")))&amp;" + a básica dela"&amp;IF(COUNTIF($MK31:$MN31,"Reação")&gt;0," e a coletiva","")&amp;IF(COUNTIF($NX31:$NY31,"Carregar")&gt;0," · em dois turnos","")))</f>
        <v/>
      </c>
      <c r="PP31" s="152">
        <f>IF($MJ31&lt;&gt;"",$MJ31,IF($MW31=0,"",INDEX($AA$2:$AA$11,$MW31)))</f>
        <v/>
      </c>
      <c r="PQ31" s="152">
        <f>IF(OR($MQ31=0,$MW31=0),"",IF(COUNTIF($MK31:$MN31,"Inescapável")&gt;0,"Automático",IF($PP31="Ataque",IF($MU31="","Ataque","Ataque "&amp;IF(($MU31+2*IF(COUNTIF($MK31:$MN31,"Precisão")&gt;0,1,0))&gt;=0,"+","−")&amp;ABS(($MU31+2*IF(COUNTIF($MK31:$MN31,"Precisão")&gt;0,1,0))))&amp;IF($NQ31&gt;0," · TR"&amp;IF($MV31="",""," CD "&amp;$MV31),""),IF(LEFT($PP31,2)="TR",$PP31&amp;IF($MV31="",""," · CD "&amp;$MV31)&amp;IF(COUNTIF($MK31:$MN31,"Certeiro")&gt;0," · metade",""),"Sem rolagem"))))</f>
        <v/>
      </c>
      <c r="PR31" s="152">
        <f>IF(OR($MQ31=0,$MW31=0),"",IF($MF31=0,IF(OR($NT31&gt;=1,$OQ31=0),"Sem dano",$OQ31&amp;"d6"&amp;IF($MI31="",""," "&amp;$MI31)),IF(OR($NT31&gt;=1,$OQ31=0),UPPER(LEFT(INDEX($OZ31:$PF31,1,MAX(1,$MF31)),1))&amp;MID(INDEX($OZ31:$PF31,1,MAX(1,$MF31)),2,99),UPPER(LEFT(INDEX($OZ31:$PF31,1,MAX(1,$MF31)),1))&amp;MID(INDEX($OZ31:$PF31,1,MAX(1,$MF31)),2,99)&amp;IF($MI31="",""," "&amp;$MI31)&amp;IF($OR31&gt;0," · +"&amp;$OR31&amp;"d8",""))))</f>
        <v/>
      </c>
      <c r="PS31" s="152">
        <f>COUNTIF($MK31:$MN31,"Longe")+3*COUNTIF($MK31:$MN31,"Muito Longe")</f>
        <v/>
      </c>
      <c r="PT31" s="152">
        <f>COUNTIF($MK31:$MN31,"Maior")+3*COUNTIF($MK31:$MN31,"Muito Maior")</f>
        <v/>
      </c>
      <c r="PU31" s="152">
        <f>IF($MW31=0,0,CHOOSE(1+INDEX($AC$2:$AC$11,$MW31),0,$PS31,$PT31,$PS31+$PT31))</f>
        <v/>
      </c>
      <c r="PV31" s="152">
        <f>IF($MW31=0,0,CHOOSE(1+INDEX($AD$2:$AD$11,$MW31),0,$PS31,$PT31,$PS31+$PT31))</f>
        <v/>
      </c>
      <c r="PW31" s="152">
        <f>IF(OR($MQ31=0,$MW31=0),"",INDEX($AI$2:$AN$41,($MW31-1)*4+IF($MF31=0,1,IF($MF31&lt;=5,2,IF($MF31=6,3,4))),1+MIN(5,$PU31))&amp;INDEX($AO$2:$AT$41,($MW31-1)*4+IF($MF31=0,1,IF($MF31&lt;=5,2,IF($MF31=6,3,4))),1+MIN(5,$PV31))&amp;IF(INDEX($AE$2:$AE$11,$MW31)=1,IF(COUNTIF($MK31:$MN31,"Mais Um")&gt;0," · +"&amp;COUNTIF($MK31:$MN31,"Mais Um")&amp;IF(COUNTIF($MK31:$MN31,"Mais Um")&gt;1," alvos"," alvo"),"")&amp;IF(COUNTIF($MK31:$MN31,"Rajada")&gt;0,IF($MF31=0," · 1 tiro"," · "&amp;(MAX(1,$MF31-1)+1)&amp;" tiros"),""),""))</f>
        <v/>
      </c>
      <c r="PX31" s="152">
        <f>IF($MQ31=0,"",IF($MF31=0,$MT31&amp;"d6"&amp;IF($OH31&gt;0," − 1 = "&amp;$OQ31&amp;"d6"," da básica do nível "&amp;$MR31),$OO31&amp;" − "&amp;$OJ31&amp;" + "&amp;$OM31&amp;" = "&amp;$OP31&amp;" · teto "&amp;4*$MF31&amp;"d8"&amp;IF($NS31=1," · a Forma devolve "&amp;$MF31,"")&amp;IF($ON31&gt;0," · perde "&amp;$ON31,"")))</f>
        <v/>
      </c>
      <c r="PY31" s="152">
        <f>IF($MQ31=0,"",IF($MF31=0,"A básica não amplia: os dados dela sobem com o nível",IF($MF31&gt;=$MS31,"Já está na maior Classe que o nível liberou",TEXTJOIN(" · ",TRUE,IF(AND(2&gt;$MF31,2&lt;=$MS31),"2 → "&amp;$PA31&amp;", 6 PE",""),IF(AND(3&gt;$MF31,3&lt;=$MS31),"3 → "&amp;$PB31&amp;", 9 PE",""),IF(AND(4&gt;$MF31,4&lt;=$MS31),"4 → "&amp;$PC31&amp;", 12 PE",""),IF(AND(5&gt;$MF31,5&lt;=$MS31),"5 → "&amp;$PD31&amp;", 15 PE",""),IF(AND(6&gt;$MF31,6&lt;=$MS31),"6 → "&amp;$PE31&amp;", 18 PE",""),IF(AND(7&gt;$MF31,7&lt;=$MS31),"7 → "&amp;$PF31&amp;", 21 PE","")))))</f>
        <v/>
      </c>
      <c r="PZ31" s="152">
        <f>IF(OR($MQ31=0,$NB31=0),"",IF($MF31=0,"−1 dado","−"&amp;INDEX($I$2:$N$8,MAX(1,$MF31),MAX(1,$NG31))&amp;" · "&amp;CHOOSE(MAX(1,$NG31),"Leve","Média","Pesada","Leve · Livre","Média · Livre","Pesada · Livre")))</f>
        <v/>
      </c>
      <c r="QA31" s="152">
        <f>IF(OR($MQ31=0,$NC31=0),"",IF($MF31=0,"−1 dado","−"&amp;INDEX($I$2:$N$8,MAX(1,$MF31),MAX(1,$NH31))&amp;" · "&amp;CHOOSE(MAX(1,$NH31),"Leve","Média","Pesada","Leve · Livre","Média · Livre","Pesada · Livre")))</f>
        <v/>
      </c>
      <c r="QB31" s="152">
        <f>IF(OR($MQ31=0,$ND31=0),"",IF($MF31=0,"−1 dado","−"&amp;INDEX($I$2:$N$8,MAX(1,$MF31),MAX(1,$NI31))&amp;" · "&amp;CHOOSE(MAX(1,$NI31),"Leve","Média","Pesada","Leve · Livre","Média · Livre","Pesada · Livre")))</f>
        <v/>
      </c>
      <c r="QC31" s="152">
        <f>IF(OR($MQ31=0,$NE31=0),"",IF($MF31=0,"−1 dado","−"&amp;INDEX($I$2:$N$8,MAX(1,$MF31),MAX(1,$NJ31))&amp;" · "&amp;CHOOSE(MAX(1,$NJ31),"Leve","Média","Pesada","Leve · Livre","Média · Livre","Pesada · Livre")))</f>
        <v/>
      </c>
      <c r="QD31" s="152">
        <f>IF(OR($MQ31=0,$MO31=""),"",IF($MF31=0,"não devolve","+"&amp;IF($NV31=1,CEILING($MF31/2,1),$MF31)))</f>
        <v/>
      </c>
      <c r="QE31" s="152">
        <f>IF(OR($MQ31=0,$MP31=""),"",IF($MF31=0,"não devolve","+"&amp;IF($NW31=1,CEILING($MF31/2,1),$MF31)))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BA32" s="152" t="n">
        <v>1</v>
      </c>
      <c r="JG32" s="152">
        <f>IF(OR($AW32="",COUNTIF($EF$2:$EJ$2,$AW32)&gt;0),$AV32,"")</f>
        <v/>
      </c>
      <c r="JH32" s="152">
        <f>IF(AND($AX32=1,OR($AW32="",COUNTIF($EF$2:$EJ$2,$AW32)&gt;0)),$AV32,"")</f>
        <v/>
      </c>
      <c r="JM32" s="152">
        <f>IF(OR($AW32="",COUNTIF($EF$3:$EJ$3,$AW32)&gt;0),$AV32,"")</f>
        <v/>
      </c>
      <c r="JN32" s="152">
        <f>IF(AND($AX32=1,OR($AW32="",COUNTIF($EF$3:$EJ$3,$AW32)&gt;0)),$AV32,"")</f>
        <v/>
      </c>
      <c r="JS32" s="152">
        <f>IF(OR($AW32="",COUNTIF($EF$4:$EJ$4,$AW32)&gt;0),$AV32,"")</f>
        <v/>
      </c>
      <c r="JT32" s="152">
        <f>IF(AND($AX32=1,OR($AW32="",COUNTIF($EF$4:$EJ$4,$AW32)&gt;0)),$AV32,"")</f>
        <v/>
      </c>
      <c r="JY32" s="152">
        <f>IF(OR($AW32="",COUNTIF($EF$5:$EJ$5,$AW32)&gt;0),$AV32,"")</f>
        <v/>
      </c>
      <c r="JZ32" s="152">
        <f>IF(AND($AX32=1,OR($AW32="",COUNTIF($EF$5:$EJ$5,$AW32)&gt;0)),$AV32,"")</f>
        <v/>
      </c>
      <c r="KE32" s="152">
        <f>IF(OR($AW32="",COUNTIF($EF$6:$EJ$6,$AW32)&gt;0),$AV32,"")</f>
        <v/>
      </c>
      <c r="KF32" s="152">
        <f>IF(AND($AX32=1,OR($AW32="",COUNTIF($EF$6:$EJ$6,$AW32)&gt;0)),$AV32,"")</f>
        <v/>
      </c>
      <c r="KK32" s="152">
        <f>IF(OR($AW32="",COUNTIF($EF$7:$EJ$7,$AW32)&gt;0),$AV32,"")</f>
        <v/>
      </c>
      <c r="KL32" s="152">
        <f>IF(AND($AX32=1,OR($AW32="",COUNTIF($EF$7:$EJ$7,$AW32)&gt;0)),$AV32,"")</f>
        <v/>
      </c>
      <c r="KQ32" s="152">
        <f>IF(OR($AW32="",COUNTIF($EF$8:$EJ$8,$AW32)&gt;0),$AV32,"")</f>
        <v/>
      </c>
      <c r="KR32" s="152">
        <f>IF(AND($AX32=1,OR($AW32="",COUNTIF($EF$8:$EJ$8,$AW32)&gt;0)),$AV32,"")</f>
        <v/>
      </c>
      <c r="KW32" s="152">
        <f>IF(OR($AW32="",COUNTIF($EF$9:$EJ$9,$AW32)&gt;0),$AV32,"")</f>
        <v/>
      </c>
      <c r="KX32" s="152">
        <f>IF(AND($AX32=1,OR($AW32="",COUNTIF($EF$9:$EJ$9,$AW32)&gt;0)),$AV32,"")</f>
        <v/>
      </c>
      <c r="LC32" s="152">
        <f>IF(OR($AW32="",COUNTIF($EF$10:$EJ$10,$AW32)&gt;0),$AV32,"")</f>
        <v/>
      </c>
      <c r="LD32" s="152">
        <f>IF(AND($AX32=1,OR($AW32="",COUNTIF($EF$10:$EJ$10,$AW32)&gt;0)),$AV32,"")</f>
        <v/>
      </c>
      <c r="LI32" s="152">
        <f>IF(OR($AW32="",COUNTIF($EF$11:$EJ$11,$AW32)&gt;0),$AV32,"")</f>
        <v/>
      </c>
      <c r="LJ32" s="152">
        <f>IF(AND($AX32=1,OR($AW32="",COUNTIF($EF$11:$EJ$11,$AW32)&gt;0)),$AV32,"")</f>
        <v/>
      </c>
      <c r="LO32" s="152">
        <f>IF(OR($AW32="",COUNTIF($EF$12:$EJ$12,$AW32)&gt;0),$AV32,"")</f>
        <v/>
      </c>
      <c r="LP32" s="152">
        <f>IF(AND($AX32=1,OR($AW32="",COUNTIF($EF$12:$EJ$12,$AW32)&gt;0)),$AV32,"")</f>
        <v/>
      </c>
      <c r="LU32" s="152">
        <f>IF(OR($AW32="",COUNTIF($EF$13:$EJ$13,$AW32)&gt;0),$AV32,"")</f>
        <v/>
      </c>
      <c r="LV32" s="152">
        <f>IF(AND($AX32=1,OR($AW32="",COUNTIF($EF$13:$EJ$13,$AW32)&gt;0)),$AV32,"")</f>
        <v/>
      </c>
      <c r="MA32" s="150" t="inlineStr">
        <is>
          <t>Ficha 3 · Especial 3</t>
        </is>
      </c>
      <c r="MB32" s="152" t="n">
        <v>3</v>
      </c>
      <c r="MC32" s="152" t="n">
        <v>1</v>
      </c>
      <c r="MD32" s="152" t="n">
        <v>8</v>
      </c>
      <c r="ME32" s="150" t="inlineStr">
        <is>
          <t>ESPECIAL 3</t>
        </is>
      </c>
      <c r="MF32" s="152">
        <f>MAX(1,MIN(7,N('INVOCAÇÕES'!$O$488)))</f>
        <v/>
      </c>
      <c r="MG32" s="152">
        <f>'INVOCAÇÕES'!$P$488&amp;""</f>
        <v/>
      </c>
      <c r="MH32" s="152">
        <f>'INVOCAÇÕES'!$O$493&amp;""</f>
        <v/>
      </c>
      <c r="MI32" s="152">
        <f>'INVOCAÇÕES'!$O$494&amp;""</f>
        <v/>
      </c>
      <c r="MJ32" s="152">
        <f>'INVOCAÇÕES'!$Q$494&amp;""</f>
        <v/>
      </c>
      <c r="MK32" s="152">
        <f>'INVOCAÇÕES'!$P$497&amp;""</f>
        <v/>
      </c>
      <c r="ML32" s="152">
        <f>'INVOCAÇÕES'!$P$498&amp;""</f>
        <v/>
      </c>
      <c r="MM32" s="152">
        <f>'INVOCAÇÕES'!$P$499&amp;""</f>
        <v/>
      </c>
      <c r="MN32" s="152">
        <f>'INVOCAÇÕES'!$P$500&amp;""</f>
        <v/>
      </c>
      <c r="MO32" s="152">
        <f>'INVOCAÇÕES'!$P$501&amp;""</f>
        <v/>
      </c>
      <c r="MP32" s="152">
        <f>'INVOCAÇÕES'!$P$502&amp;""</f>
        <v/>
      </c>
      <c r="MQ32" s="152">
        <f>IF($MG32&lt;&gt;"",1,0)</f>
        <v/>
      </c>
      <c r="MR32" s="152">
        <f>INDEX($FI$2:$FI$13,$MB32)</f>
        <v/>
      </c>
      <c r="MS32" s="152">
        <f>INDEX($FJ$2:$FJ$13,$MB32)</f>
        <v/>
      </c>
      <c r="MT32" s="152">
        <f>INDEX($FK$2:$FK$13,$MB32)</f>
        <v/>
      </c>
      <c r="MU32" s="152">
        <f>INDEX($FV$2:$FV$13,$MB32)</f>
        <v/>
      </c>
      <c r="MV32" s="152">
        <f>INDEX($FW$2:$FW$13,$MB32)</f>
        <v/>
      </c>
      <c r="MW32" s="152">
        <f>IFERROR(MATCH($MH32,$V$2:$V$11,0),0)</f>
        <v/>
      </c>
      <c r="MX32" s="152">
        <f>IFERROR(VLOOKUP($MK32,$AV$2:$BA$84,2,FALSE),"")</f>
        <v/>
      </c>
      <c r="MY32" s="152">
        <f>IFERROR(VLOOKUP($ML32,$AV$2:$BA$84,2,FALSE),"")</f>
        <v/>
      </c>
      <c r="MZ32" s="152">
        <f>IFERROR(VLOOKUP($MM32,$AV$2:$BA$84,2,FALSE),"")</f>
        <v/>
      </c>
      <c r="NA32" s="152">
        <f>IFERROR(VLOOKUP($MN32,$AV$2:$BA$84,2,FALSE),"")</f>
        <v/>
      </c>
      <c r="NB32" s="152">
        <f>IFERROR(VLOOKUP($MK32,$AV$2:$BA$84,3,FALSE),0)</f>
        <v/>
      </c>
      <c r="NC32" s="152">
        <f>IFERROR(VLOOKUP($ML32,$AV$2:$BA$84,3,FALSE),0)</f>
        <v/>
      </c>
      <c r="ND32" s="152">
        <f>IFERROR(VLOOKUP($MM32,$AV$2:$BA$84,3,FALSE),0)</f>
        <v/>
      </c>
      <c r="NE32" s="152">
        <f>IFERROR(VLOOKUP($MN32,$AV$2:$BA$84,3,FALSE),0)</f>
        <v/>
      </c>
      <c r="NF32" s="152">
        <f>IF($MF32=0,0,IF($MW32=0,0,INDEX($X$2:$X$11,$MW32)))</f>
        <v/>
      </c>
      <c r="NG32" s="152">
        <f>IF(OR($NB32=0,$MF32=0),0,$NB32+3*IF(AND($MX32&lt;&gt;"",OR($MX32=INDEX($EF$2:$EF$13,$MB32),$MX32=INDEX($EG$2:$EG$13,$MB32))),1,0))</f>
        <v/>
      </c>
      <c r="NH32" s="152">
        <f>IF(OR($NC32=0,$MF32=0),0,$NC32+3*IF(AND($MY32&lt;&gt;"",OR($MY32=INDEX($EF$2:$EF$13,$MB32),$MY32=INDEX($EG$2:$EG$13,$MB32))),1,0))</f>
        <v/>
      </c>
      <c r="NI32" s="152">
        <f>IF(OR($ND32=0,$MF32=0),0,$ND32+3*IF(AND($MZ32&lt;&gt;"",OR($MZ32=INDEX($EF$2:$EF$13,$MB32),$MZ32=INDEX($EG$2:$EG$13,$MB32))),1,0))</f>
        <v/>
      </c>
      <c r="NJ32" s="152">
        <f>IF(OR($NE32=0,$MF32=0),0,$NE32+3*IF(AND($NA32&lt;&gt;"",OR($NA32=INDEX($EF$2:$EF$13,$MB32),$NA32=INDEX($EG$2:$EG$13,$MB32))),1,0))</f>
        <v/>
      </c>
      <c r="NK32" s="152">
        <f>IF($MW32=0,0,IF(INDEX($W$2:$W$11,$MW32)="",0,IF(COUNTIF(INDEX($EF$2:$EJ$13,$MB32,0),INDEX($W$2:$W$11,$MW32))=0,1,0)))</f>
        <v/>
      </c>
      <c r="NL32" s="152">
        <f>IF(OR($NB32=0,$MX32=""),0,IF(COUNTIF(INDEX($EF$2:$EJ$13,$MB32,0),$MX32)=0,1,0))</f>
        <v/>
      </c>
      <c r="NM32" s="152">
        <f>IF(OR($NC32=0,$MY32=""),0,IF(COUNTIF(INDEX($EF$2:$EJ$13,$MB32,0),$MY32)=0,1,0))</f>
        <v/>
      </c>
      <c r="NN32" s="152">
        <f>IF(OR($ND32=0,$MZ32=""),0,IF(COUNTIF(INDEX($EF$2:$EJ$13,$MB32,0),$MZ32)=0,1,0))</f>
        <v/>
      </c>
      <c r="NO32" s="152">
        <f>IF(OR($NE32=0,$NA32=""),0,IF(COUNTIF(INDEX($EF$2:$EJ$13,$MB32,0),$NA32)=0,1,0))</f>
        <v/>
      </c>
      <c r="NP32" s="152">
        <f>IFERROR(VLOOKUP($MK32,$AV$2:$BA$84,4,FALSE),0)+IFERROR(VLOOKUP($ML32,$AV$2:$BA$84,4,FALSE),0)+IFERROR(VLOOKUP($MM32,$AV$2:$BA$84,4,FALSE),0)+IFERROR(VLOOKUP($MN32,$AV$2:$BA$84,4,FALSE),0)</f>
        <v/>
      </c>
      <c r="NQ32" s="152">
        <f>IFERROR(VLOOKUP($MK32,$AV$2:$BA$84,6,FALSE),0)+IFERROR(VLOOKUP($ML32,$AV$2:$BA$84,6,FALSE),0)+IFERROR(VLOOKUP($MM32,$AV$2:$BA$84,6,FALSE),0)+IFERROR(VLOOKUP($MN32,$AV$2:$BA$84,6,FALSE),0)</f>
        <v/>
      </c>
      <c r="NR32" s="152">
        <f>TEXTJOIN(", ",TRUE,IF(IFERROR(VLOOKUP($MK32,$AV$2:$BA$84,5,FALSE),0)=1,$MK32,""),IF(IFERROR(VLOOKUP($ML32,$AV$2:$BA$84,5,FALSE),0)=1,$ML32,""),IF(IFERROR(VLOOKUP($MM32,$AV$2:$BA$84,5,FALSE),0)=1,$MM32,""),IF(IFERROR(VLOOKUP($MN32,$AV$2:$BA$84,5,FALSE),0)=1,$MN32,""))</f>
        <v/>
      </c>
      <c r="NS32" s="152">
        <f>IF($MW32=0,0,INDEX($Y$2:$Y$11,$MW32))</f>
        <v/>
      </c>
      <c r="NT32" s="152">
        <f>IF($MW32=0,0,INDEX($Z$2:$Z$11,$MW32))</f>
        <v/>
      </c>
      <c r="NU32" s="152">
        <f>IF($MW32=0,0,INDEX($AB$2:$AB$11,$MW32))</f>
        <v/>
      </c>
      <c r="NV32" s="152">
        <f>IFERROR(VLOOKUP($MO32,$BC$2:$BG$24,3,FALSE),0)</f>
        <v/>
      </c>
      <c r="NW32" s="152">
        <f>IFERROR(VLOOKUP($MP32,$BC$2:$BG$24,3,FALSE),0)</f>
        <v/>
      </c>
      <c r="NX32" s="152">
        <f>IFERROR(VLOOKUP($MO32,$BC$2:$BG$24,2,FALSE),"")</f>
        <v/>
      </c>
      <c r="NY32" s="152">
        <f>IFERROR(VLOOKUP($MP32,$BC$2:$BG$24,2,FALSE),"")</f>
        <v/>
      </c>
      <c r="NZ32" s="152">
        <f>COUNTIF($NF32:$NJ32,1)</f>
        <v/>
      </c>
      <c r="OA32" s="152">
        <f>COUNTIF($NF32:$NJ32,2)</f>
        <v/>
      </c>
      <c r="OB32" s="152">
        <f>COUNTIF($NF32:$NJ32,3)</f>
        <v/>
      </c>
      <c r="OC32" s="152">
        <f>COUNTIF($NF32:$NJ32,4)</f>
        <v/>
      </c>
      <c r="OD32" s="152">
        <f>COUNTIF($NF32:$NJ32,5)</f>
        <v/>
      </c>
      <c r="OE32" s="152">
        <f>COUNTIF($NF32:$NJ32,6)</f>
        <v/>
      </c>
      <c r="OF32" s="152">
        <f>COUNTIF($NV32:$NW32,1)</f>
        <v/>
      </c>
      <c r="OG32" s="152">
        <f>COUNTIF($NV32:$NW32,2)+$NS32</f>
        <v/>
      </c>
      <c r="OH32" s="152">
        <f>COUNTIF($MK32:$MN32,"?*")</f>
        <v/>
      </c>
      <c r="OI32" s="152">
        <f>COUNTIF($MO32:$MP32,"?*")+$NS32</f>
        <v/>
      </c>
      <c r="OJ32" s="152">
        <f>IF($MF32=0,0,SUMPRODUCT($NZ32:$OE32,INDEX($I$2:$N$8,MAX(1,$MF32),0)))</f>
        <v/>
      </c>
      <c r="OK32" s="152">
        <f>IF($MF32=0,0,$OF32*CEILING($MF32/2,1)+$OG32*$MF32)</f>
        <v/>
      </c>
      <c r="OL32" s="152">
        <f>MIN(2*$MF32,$OK32)</f>
        <v/>
      </c>
      <c r="OM32" s="152">
        <f>MIN($OL32,$OJ32)</f>
        <v/>
      </c>
      <c r="ON32" s="152">
        <f>$OL32-$OM32</f>
        <v/>
      </c>
      <c r="OO32" s="152">
        <f>IF($MF32=0,0,INDEX($P$2:$P$8,MAX(1,$MF32)))</f>
        <v/>
      </c>
      <c r="OP32" s="152">
        <f>$OO32-$OJ32+$OM32</f>
        <v/>
      </c>
      <c r="OQ32" s="152">
        <f>IF($MF32=0,MAX(0,$MT32-IF($OH32&gt;0,1,0)),MAX(0,$OP32))</f>
        <v/>
      </c>
      <c r="OR32" s="152">
        <f>IF($MF32=0,0,(IF(COUNTIF($MK32:$MN32,"Salto")&gt;0,1,0)+IF(COUNTIF($MK32:$MN32,"Queima")&gt;0,1,0)+IF(COUNTIF($MK32:$MN32,"Estilhaço")&gt;0,1,0))*FLOOR($OQ32/2,1))</f>
        <v/>
      </c>
      <c r="OS32" s="152">
        <f>MAX(0,2-SUMPRODUCT($NZ32:$OE32,$I$2:$N$2)+MIN(2,$OF32*1+$OG32*1,SUMPRODUCT($NZ32:$OE32,$I$2:$N$2)))</f>
        <v/>
      </c>
      <c r="OT32" s="152">
        <f>MAX(0,4-SUMPRODUCT($NZ32:$OE32,$I$3:$N$3)+MIN(4,$OF32*1+$OG32*2,SUMPRODUCT($NZ32:$OE32,$I$3:$N$3)))</f>
        <v/>
      </c>
      <c r="OU32" s="152">
        <f>MAX(0,6-SUMPRODUCT($NZ32:$OE32,$I$4:$N$4)+MIN(6,$OF32*2+$OG32*3,SUMPRODUCT($NZ32:$OE32,$I$4:$N$4)))</f>
        <v/>
      </c>
      <c r="OV32" s="152">
        <f>MAX(0,9-SUMPRODUCT($NZ32:$OE32,$I$5:$N$5)+MIN(8,$OF32*2+$OG32*4,SUMPRODUCT($NZ32:$OE32,$I$5:$N$5)))</f>
        <v/>
      </c>
      <c r="OW32" s="152">
        <f>MAX(0,11-SUMPRODUCT($NZ32:$OE32,$I$6:$N$6)+MIN(10,$OF32*3+$OG32*5,SUMPRODUCT($NZ32:$OE32,$I$6:$N$6)))</f>
        <v/>
      </c>
      <c r="OX32" s="152">
        <f>MAX(0,13-SUMPRODUCT($NZ32:$OE32,$I$7:$N$7)+MIN(12,$OF32*3+$OG32*6,SUMPRODUCT($NZ32:$OE32,$I$7:$N$7)))</f>
        <v/>
      </c>
      <c r="OY32" s="152">
        <f>MAX(0,16-SUMPRODUCT($NZ32:$OE32,$I$8:$N$8)+MIN(14,$OF32*4+$OG32*7,SUMPRODUCT($NZ32:$OE32,$I$8:$N$8)))</f>
        <v/>
      </c>
      <c r="OZ32" s="152">
        <f>IF($NT32=2,3*$OS32&amp;" de vida temp.",IF($NT32=3,"sem dano",IF($OS32=0,IF($NT32=1,"sem cura","sem dano"),IF($NT32=1,"cura ","")&amp;$OS32&amp;"d8")))</f>
        <v/>
      </c>
      <c r="PA32" s="152">
        <f>IF($NT32=2,3*$OT32&amp;" de vida temp.",IF($NT32=3,"sem dano",IF($OT32=0,IF($NT32=1,"sem cura","sem dano"),IF($NT32=1,"cura ","")&amp;$OT32&amp;"d8")))</f>
        <v/>
      </c>
      <c r="PB32" s="152">
        <f>IF($NT32=2,3*$OU32&amp;" de vida temp.",IF($NT32=3,"sem dano",IF($OU32=0,IF($NT32=1,"sem cura","sem dano"),IF($NT32=1,"cura ","")&amp;$OU32&amp;"d8")))</f>
        <v/>
      </c>
      <c r="PC32" s="152">
        <f>IF($NT32=2,3*$OV32&amp;" de vida temp.",IF($NT32=3,"sem dano",IF($OV32=0,IF($NT32=1,"sem cura","sem dano"),IF($NT32=1,"cura ","")&amp;$OV32&amp;"d8")))</f>
        <v/>
      </c>
      <c r="PD32" s="152">
        <f>IF($NT32=2,3*$OW32&amp;" de vida temp.",IF($NT32=3,"sem dano",IF($OW32=0,IF($NT32=1,"sem cura","sem dano"),IF($NT32=1,"cura ","")&amp;$OW32&amp;"d8")))</f>
        <v/>
      </c>
      <c r="PE32" s="152">
        <f>IF($NT32=2,3*$OX32&amp;" de vida temp.",IF($NT32=3,"sem dano",IF($OX32=0,IF($NT32=1,"sem cura","sem dano"),IF($NT32=1,"cura ","")&amp;$OX32&amp;"d8")))</f>
        <v/>
      </c>
      <c r="PF32" s="152">
        <f>IF($NT32=2,3*$OY32&amp;" de vida temp.",IF($NT32=3,"sem dano",IF($OY32=0,IF($NT32=1,"sem cura","sem dano"),IF($NT32=1,"cura ","")&amp;$OY32&amp;"d8")))</f>
        <v/>
      </c>
      <c r="PG32" s="152">
        <f>IF($MQ32=0,"",TEXTJOIN(" · ",TRUE,IF($MD32&gt;$MR32,"Este lugar abre no nível "&amp;$MD32,""),IF($MF32&gt;$MS32,"Classe "&amp;$MF32&amp;": o nível "&amp;$MR32&amp;" libera até a "&amp;$MS32,""),IF($NK32=1,"A Forma "&amp;$MH32&amp;" pede "&amp;INDEX($W$2:$W$11,$MW32)&amp;" aberta",""),IF(AND($MF32=0,$MW32&gt;0,IF($MW32=0,0,INDEX($AF$2:$AF$11,$MW32))=0),$MH32&amp;" não existe na Classe 0",""),IF($NL32=1,"Família Fechada: "&amp;$MK32,""),IF($NM32=1,"Família Fechada: "&amp;$ML32,""),IF($NN32=1,"Família Fechada: "&amp;$MM32,""),IF($NO32=1,"Família Fechada: "&amp;$MN32,""),IF(AND($MF32&gt;0,$OH32&gt;INDEX($O$2:$O$8,MAX(1,$MF32))),$OH32&amp;" Melhorias: a Classe "&amp;$MF32&amp;" aceita "&amp;INDEX($O$2:$O$8,MAX(1,$MF32)),""),IF(AND($MF32=0,$OH32&gt;1),"A básica aceita uma Melhoria",""),IF(AND($MF32=0,COUNTIF($NB32:$NE32,"&gt;1")&gt;0),"A básica só aceita Melhoria Leve",""),IF(AND($MF32&gt;0,$OI32&gt;2),$OI32&amp;" Restrições"&amp;IF($NS32=1,", contando a que a Forma "&amp;$MH32&amp;" já traz","")&amp;": o limite é 2",""),IF(AND($MF32=0,COUNTIF($MO32:$MP32,"?*")&gt;1),"A básica aceita uma Restrição Leve",""),IF(AND($MF32=0,COUNTIF($NV32:$NW32,2)&gt;0),"A básica só aceita Restrição Leve",""),IF(AND($MF32&gt;0,$OP32&lt;0),"Orçamento estourado: faltam "&amp;(-$OP32)&amp;IF($OP32&lt;-1," pontos"," ponto"),""),IF(IFERROR(VLOOKUP($MO32,$BC$2:$BG$24,4,FALSE),0)+IFERROR(VLOOKUP($MP32,$BC$2:$BG$24,4,FALSE),0)&gt;1,$NX32&amp;" e "&amp;$NY32&amp;" são as duas de frequência",""),IF(AND((COUNTIF($MK32:$MN32,"Rápido")+COUNTIF($NX32:$NY32,"Rápido"))&gt;0,(COUNTIF($MK32:$MN32,"Atrasar")+COUNTIF($NX32:$NY32,"Atrasar"))&gt;0),"Rápido não entra com Atrasar",""),IF(AND((COUNTIF($MK32:$MN32,"Reação")+COUNTIF($NX32:$NY32,"Reação"))&gt;0,(COUNTIF($MK32:$MN32,"Rápido")+COUNTIF($NX32:$NY32,"Rápido"))&gt;0),"Reação não entra com Rápido",""),IF(AND((COUNTIF($MK32:$MN32,"Reação")+COUNTIF($NX32:$NY32,"Reação"))&gt;0,(COUNTIF($MK32:$MN32,"Armado")+COUNTIF($NX32:$NY32,"Armado"))&gt;0),"Reação não entra com Armado",""),IF(AND((COUNTIF($MK32:$MN32,"Reação")+COUNTIF($NX32:$NY32,"Reação"))&gt;0,(COUNTIF($MK32:$MN32,"Atrasar")+COUNTIF($NX32:$NY32,"Atrasar"))&gt;0),"Reação não entra com Atrasar",""),IF(AND((COUNTIF($MK32:$MN32,"Reação")+COUNTIF($NX32:$NY32,"Reação"))&gt;0,(COUNTIF($MK32:$MN32,"Parado")+COUNTIF($NX32:$NY32,"Parado"))&gt;0),"Reação não entra com Parado",""),IF(AND((COUNTIF($MK32:$MN32,"Atrasar")+COUNTIF($NX32:$NY32,"Atrasar"))&gt;0,(COUNTIF($MK32:$MN32,"Parado")+COUNTIF($NX32:$NY32,"Parado"))&gt;0),"Atrasar não entra com Parado",""),IF(AND((COUNTIF($MK32:$MN32,"Armado")+COUNTIF($NX32:$NY32,"Armado"))&gt;0,(COUNTIF($MK32:$MN32,"Carregar")+COUNTIF($NX32:$NY32,"Carregar"))&gt;0),"Armado não entra com Carregar",""),IF(AND(COUNTIF($NX32:$NY32,"Corpo a Corpo")&gt;0,$NS32=0,OR($MH32="Cone",$MH32="Linha")),"Corpo a Corpo não entra em "&amp;$MH32,""),IF(AND(COUNTIF($NX32:$NY32,"Corpo a Corpo")&gt;0,$NS32=1),"A Forma "&amp;$MH32&amp;" já traz o Corpo a Corpo",""),IF(AND(COUNTIF($NX32:$NY32,"Tudo ou Nada")&gt;0,$NU32=0),"Tudo ou Nada só entra em habilidade de Teste de Resistência",""),IF(AND(COUNTIF($MK32:$MN32,"Inescapável")&gt;0,OR($OH32&gt;1,$OI32&gt;0)),"Inescapável não aceita outra peça",""),IF(AND($MF32&gt;0,$OQ32*IF(COUNTIF($MK32:$MN32,"Remate")&gt;0,1.25,1)+$OR32&gt;4*$MF32),($OQ32*IF(COUNTIF($MK32:$MN32,"Remate")&gt;0,1.25,1)+$OR32)&amp;" dados somando repetições"&amp;IF(COUNTIF($MK32:$MN32,"Remate")&gt;0," e o Remate","")&amp;": o teto da Classe "&amp;$MF32&amp;" é "&amp;4*$MF32,"")))</f>
        <v/>
      </c>
      <c r="PH32" s="152">
        <f>IF($PG32="",0,(LEN($PG32)-LEN(SUBSTITUTE($PG32," · ","")))/3+1)</f>
        <v/>
      </c>
      <c r="PI32" s="152">
        <f>IF($MQ32=0,"",TEXTJOIN(" · ",TRUE,IF($OK32&gt;2*$MF32,"A devolução parou no teto de "&amp;2*$MF32,""),IF($ON32&gt;0,"Devolução perdida: "&amp;$ON32&amp;IF($ON32&gt;1," pontos"," ponto")&amp;" sem peça para pagar",""),IF(AND($NP32&gt;0,AND($MF32&gt;0,$NT32=0),$OQ32=0),"Controle sem dano: uma rodada a mais e CD +2",""),IF(AND($NP32&gt;0,AND($MF32&gt;0,$NT32=0),$OQ32&gt;0,$OQ32&lt;=$MF32),"Controle com saldo até a Classe: uma rodada a mais",""),IF(AND($MF32&gt;0,$NR32&lt;&gt;""),"Efeito de "&amp;$NR32&amp;" pela Classe "&amp;MAX(1,$MF32-1),"")))</f>
        <v/>
      </c>
      <c r="PJ32" s="152">
        <f>IF($PI32="",0,(LEN($PI32)-LEN(SUBSTITUTE($PI32," · ","")))/3+1)</f>
        <v/>
      </c>
      <c r="PK32" s="152">
        <f>IF($MQ32=0,IF($OH32+COUNTIF($MO32:$MP32,"?*")&gt;0,"Dê um nome",""),IF($PH32&gt;0,"⚠ "&amp;$PH32&amp;IF($PH32&gt;1," erros"," erro"),IF($PJ32&gt;0,"! "&amp;$PJ32&amp;IF($PJ32&gt;1," avisos"," aviso"),"Na regra")))</f>
        <v/>
      </c>
      <c r="PL32" s="152">
        <f>IF($MQ32=0,"",IF($PH32+$PJ32=0,"Dentro das regras que a ficha confere",$PG32&amp;IF(AND($PH32&gt;0,$PJ32&gt;0)," · ","")&amp;$PI32))</f>
        <v/>
      </c>
      <c r="PM32" s="152">
        <f>IF($MD32&gt;$MR32,$ME32&amp;" · ABRE NO NÍVEL "&amp;$MD32,$ME32)</f>
        <v/>
      </c>
      <c r="PN32" s="152">
        <f>IF($MQ32=0,"",IF($MF32=0,"Sem PE",3*$MF32&amp;" PE"))</f>
        <v/>
      </c>
      <c r="PO32" s="152">
        <f>IF($MQ32=0,"",IF($MF32=0,"A atuação básica dela",IF(COUNTIF($NX32:$NY32,"Atrasar")&gt;0,"Sua Ação Completa",IF(COUNTIF($MK32:$MN32,"Rápido")&gt;0,"Sua Bônus",IF(COUNTIF($MK32:$MN32,"Reação")&gt;0,"Sua Reação","Sua Padrão")))&amp;" + a básica dela"&amp;IF(COUNTIF($MK32:$MN32,"Reação")&gt;0," e a coletiva","")&amp;IF(COUNTIF($NX32:$NY32,"Carregar")&gt;0," · em dois turnos","")))</f>
        <v/>
      </c>
      <c r="PP32" s="152">
        <f>IF($MJ32&lt;&gt;"",$MJ32,IF($MW32=0,"",INDEX($AA$2:$AA$11,$MW32)))</f>
        <v/>
      </c>
      <c r="PQ32" s="152">
        <f>IF(OR($MQ32=0,$MW32=0),"",IF(COUNTIF($MK32:$MN32,"Inescapável")&gt;0,"Automático",IF($PP32="Ataque",IF($MU32="","Ataque","Ataque "&amp;IF(($MU32+2*IF(COUNTIF($MK32:$MN32,"Precisão")&gt;0,1,0))&gt;=0,"+","−")&amp;ABS(($MU32+2*IF(COUNTIF($MK32:$MN32,"Precisão")&gt;0,1,0))))&amp;IF($NQ32&gt;0," · TR"&amp;IF($MV32="",""," CD "&amp;$MV32),""),IF(LEFT($PP32,2)="TR",$PP32&amp;IF($MV32="",""," · CD "&amp;$MV32)&amp;IF(COUNTIF($MK32:$MN32,"Certeiro")&gt;0," · metade",""),"Sem rolagem"))))</f>
        <v/>
      </c>
      <c r="PR32" s="152">
        <f>IF(OR($MQ32=0,$MW32=0),"",IF($MF32=0,IF(OR($NT32&gt;=1,$OQ32=0),"Sem dano",$OQ32&amp;"d6"&amp;IF($MI32="",""," "&amp;$MI32)),IF(OR($NT32&gt;=1,$OQ32=0),UPPER(LEFT(INDEX($OZ32:$PF32,1,MAX(1,$MF32)),1))&amp;MID(INDEX($OZ32:$PF32,1,MAX(1,$MF32)),2,99),UPPER(LEFT(INDEX($OZ32:$PF32,1,MAX(1,$MF32)),1))&amp;MID(INDEX($OZ32:$PF32,1,MAX(1,$MF32)),2,99)&amp;IF($MI32="",""," "&amp;$MI32)&amp;IF($OR32&gt;0," · +"&amp;$OR32&amp;"d8",""))))</f>
        <v/>
      </c>
      <c r="PS32" s="152">
        <f>COUNTIF($MK32:$MN32,"Longe")+3*COUNTIF($MK32:$MN32,"Muito Longe")</f>
        <v/>
      </c>
      <c r="PT32" s="152">
        <f>COUNTIF($MK32:$MN32,"Maior")+3*COUNTIF($MK32:$MN32,"Muito Maior")</f>
        <v/>
      </c>
      <c r="PU32" s="152">
        <f>IF($MW32=0,0,CHOOSE(1+INDEX($AC$2:$AC$11,$MW32),0,$PS32,$PT32,$PS32+$PT32))</f>
        <v/>
      </c>
      <c r="PV32" s="152">
        <f>IF($MW32=0,0,CHOOSE(1+INDEX($AD$2:$AD$11,$MW32),0,$PS32,$PT32,$PS32+$PT32))</f>
        <v/>
      </c>
      <c r="PW32" s="152">
        <f>IF(OR($MQ32=0,$MW32=0),"",INDEX($AI$2:$AN$41,($MW32-1)*4+IF($MF32=0,1,IF($MF32&lt;=5,2,IF($MF32=6,3,4))),1+MIN(5,$PU32))&amp;INDEX($AO$2:$AT$41,($MW32-1)*4+IF($MF32=0,1,IF($MF32&lt;=5,2,IF($MF32=6,3,4))),1+MIN(5,$PV32))&amp;IF(INDEX($AE$2:$AE$11,$MW32)=1,IF(COUNTIF($MK32:$MN32,"Mais Um")&gt;0," · +"&amp;COUNTIF($MK32:$MN32,"Mais Um")&amp;IF(COUNTIF($MK32:$MN32,"Mais Um")&gt;1," alvos"," alvo"),"")&amp;IF(COUNTIF($MK32:$MN32,"Rajada")&gt;0,IF($MF32=0," · 1 tiro"," · "&amp;(MAX(1,$MF32-1)+1)&amp;" tiros"),""),""))</f>
        <v/>
      </c>
      <c r="PX32" s="152">
        <f>IF($MQ32=0,"",IF($MF32=0,$MT32&amp;"d6"&amp;IF($OH32&gt;0," − 1 = "&amp;$OQ32&amp;"d6"," da básica do nível "&amp;$MR32),$OO32&amp;" − "&amp;$OJ32&amp;" + "&amp;$OM32&amp;" = "&amp;$OP32&amp;" · teto "&amp;4*$MF32&amp;"d8"&amp;IF($NS32=1," · a Forma devolve "&amp;$MF32,"")&amp;IF($ON32&gt;0," · perde "&amp;$ON32,"")))</f>
        <v/>
      </c>
      <c r="PY32" s="152">
        <f>IF($MQ32=0,"",IF($MF32=0,"A básica não amplia: os dados dela sobem com o nível",IF($MF32&gt;=$MS32,"Já está na maior Classe que o nível liberou",TEXTJOIN(" · ",TRUE,IF(AND(2&gt;$MF32,2&lt;=$MS32),"2 → "&amp;$PA32&amp;", 6 PE",""),IF(AND(3&gt;$MF32,3&lt;=$MS32),"3 → "&amp;$PB32&amp;", 9 PE",""),IF(AND(4&gt;$MF32,4&lt;=$MS32),"4 → "&amp;$PC32&amp;", 12 PE",""),IF(AND(5&gt;$MF32,5&lt;=$MS32),"5 → "&amp;$PD32&amp;", 15 PE",""),IF(AND(6&gt;$MF32,6&lt;=$MS32),"6 → "&amp;$PE32&amp;", 18 PE",""),IF(AND(7&gt;$MF32,7&lt;=$MS32),"7 → "&amp;$PF32&amp;", 21 PE","")))))</f>
        <v/>
      </c>
      <c r="PZ32" s="152">
        <f>IF(OR($MQ32=0,$NB32=0),"",IF($MF32=0,"−1 dado","−"&amp;INDEX($I$2:$N$8,MAX(1,$MF32),MAX(1,$NG32))&amp;" · "&amp;CHOOSE(MAX(1,$NG32),"Leve","Média","Pesada","Leve · Livre","Média · Livre","Pesada · Livre")))</f>
        <v/>
      </c>
      <c r="QA32" s="152">
        <f>IF(OR($MQ32=0,$NC32=0),"",IF($MF32=0,"−1 dado","−"&amp;INDEX($I$2:$N$8,MAX(1,$MF32),MAX(1,$NH32))&amp;" · "&amp;CHOOSE(MAX(1,$NH32),"Leve","Média","Pesada","Leve · Livre","Média · Livre","Pesada · Livre")))</f>
        <v/>
      </c>
      <c r="QB32" s="152">
        <f>IF(OR($MQ32=0,$ND32=0),"",IF($MF32=0,"−1 dado","−"&amp;INDEX($I$2:$N$8,MAX(1,$MF32),MAX(1,$NI32))&amp;" · "&amp;CHOOSE(MAX(1,$NI32),"Leve","Média","Pesada","Leve · Livre","Média · Livre","Pesada · Livre")))</f>
        <v/>
      </c>
      <c r="QC32" s="152">
        <f>IF(OR($MQ32=0,$NE32=0),"",IF($MF32=0,"−1 dado","−"&amp;INDEX($I$2:$N$8,MAX(1,$MF32),MAX(1,$NJ32))&amp;" · "&amp;CHOOSE(MAX(1,$NJ32),"Leve","Média","Pesada","Leve · Livre","Média · Livre","Pesada · Livre")))</f>
        <v/>
      </c>
      <c r="QD32" s="152">
        <f>IF(OR($MQ32=0,$MO32=""),"",IF($MF32=0,"não devolve","+"&amp;IF($NV32=1,CEILING($MF32/2,1),$MF32)))</f>
        <v/>
      </c>
      <c r="QE32" s="152">
        <f>IF(OR($MQ32=0,$MP32=""),"",IF($MF32=0,"não devolve","+"&amp;IF($NW32=1,CEILING($MF32/2,1),$MF32)))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BA33" s="152" t="n">
        <v>1</v>
      </c>
      <c r="JG33" s="152">
        <f>IF(OR($AW33="",COUNTIF($EF$2:$EJ$2,$AW33)&gt;0),$AV33,"")</f>
        <v/>
      </c>
      <c r="JH33" s="152">
        <f>IF(AND($AX33=1,OR($AW33="",COUNTIF($EF$2:$EJ$2,$AW33)&gt;0)),$AV33,"")</f>
        <v/>
      </c>
      <c r="JM33" s="152">
        <f>IF(OR($AW33="",COUNTIF($EF$3:$EJ$3,$AW33)&gt;0),$AV33,"")</f>
        <v/>
      </c>
      <c r="JN33" s="152">
        <f>IF(AND($AX33=1,OR($AW33="",COUNTIF($EF$3:$EJ$3,$AW33)&gt;0)),$AV33,"")</f>
        <v/>
      </c>
      <c r="JS33" s="152">
        <f>IF(OR($AW33="",COUNTIF($EF$4:$EJ$4,$AW33)&gt;0),$AV33,"")</f>
        <v/>
      </c>
      <c r="JT33" s="152">
        <f>IF(AND($AX33=1,OR($AW33="",COUNTIF($EF$4:$EJ$4,$AW33)&gt;0)),$AV33,"")</f>
        <v/>
      </c>
      <c r="JY33" s="152">
        <f>IF(OR($AW33="",COUNTIF($EF$5:$EJ$5,$AW33)&gt;0),$AV33,"")</f>
        <v/>
      </c>
      <c r="JZ33" s="152">
        <f>IF(AND($AX33=1,OR($AW33="",COUNTIF($EF$5:$EJ$5,$AW33)&gt;0)),$AV33,"")</f>
        <v/>
      </c>
      <c r="KE33" s="152">
        <f>IF(OR($AW33="",COUNTIF($EF$6:$EJ$6,$AW33)&gt;0),$AV33,"")</f>
        <v/>
      </c>
      <c r="KF33" s="152">
        <f>IF(AND($AX33=1,OR($AW33="",COUNTIF($EF$6:$EJ$6,$AW33)&gt;0)),$AV33,"")</f>
        <v/>
      </c>
      <c r="KK33" s="152">
        <f>IF(OR($AW33="",COUNTIF($EF$7:$EJ$7,$AW33)&gt;0),$AV33,"")</f>
        <v/>
      </c>
      <c r="KL33" s="152">
        <f>IF(AND($AX33=1,OR($AW33="",COUNTIF($EF$7:$EJ$7,$AW33)&gt;0)),$AV33,"")</f>
        <v/>
      </c>
      <c r="KQ33" s="152">
        <f>IF(OR($AW33="",COUNTIF($EF$8:$EJ$8,$AW33)&gt;0),$AV33,"")</f>
        <v/>
      </c>
      <c r="KR33" s="152">
        <f>IF(AND($AX33=1,OR($AW33="",COUNTIF($EF$8:$EJ$8,$AW33)&gt;0)),$AV33,"")</f>
        <v/>
      </c>
      <c r="KW33" s="152">
        <f>IF(OR($AW33="",COUNTIF($EF$9:$EJ$9,$AW33)&gt;0),$AV33,"")</f>
        <v/>
      </c>
      <c r="KX33" s="152">
        <f>IF(AND($AX33=1,OR($AW33="",COUNTIF($EF$9:$EJ$9,$AW33)&gt;0)),$AV33,"")</f>
        <v/>
      </c>
      <c r="LC33" s="152">
        <f>IF(OR($AW33="",COUNTIF($EF$10:$EJ$10,$AW33)&gt;0),$AV33,"")</f>
        <v/>
      </c>
      <c r="LD33" s="152">
        <f>IF(AND($AX33=1,OR($AW33="",COUNTIF($EF$10:$EJ$10,$AW33)&gt;0)),$AV33,"")</f>
        <v/>
      </c>
      <c r="LI33" s="152">
        <f>IF(OR($AW33="",COUNTIF($EF$11:$EJ$11,$AW33)&gt;0),$AV33,"")</f>
        <v/>
      </c>
      <c r="LJ33" s="152">
        <f>IF(AND($AX33=1,OR($AW33="",COUNTIF($EF$11:$EJ$11,$AW33)&gt;0)),$AV33,"")</f>
        <v/>
      </c>
      <c r="LO33" s="152">
        <f>IF(OR($AW33="",COUNTIF($EF$12:$EJ$12,$AW33)&gt;0),$AV33,"")</f>
        <v/>
      </c>
      <c r="LP33" s="152">
        <f>IF(AND($AX33=1,OR($AW33="",COUNTIF($EF$12:$EJ$12,$AW33)&gt;0)),$AV33,"")</f>
        <v/>
      </c>
      <c r="LU33" s="152">
        <f>IF(OR($AW33="",COUNTIF($EF$13:$EJ$13,$AW33)&gt;0),$AV33,"")</f>
        <v/>
      </c>
      <c r="LV33" s="152">
        <f>IF(AND($AX33=1,OR($AW33="",COUNTIF($EF$13:$EJ$13,$AW33)&gt;0)),$AV33,"")</f>
        <v/>
      </c>
      <c r="MA33" s="150" t="inlineStr">
        <is>
          <t>Ficha 3 · Especial 4</t>
        </is>
      </c>
      <c r="MB33" s="152" t="n">
        <v>3</v>
      </c>
      <c r="MC33" s="152" t="n">
        <v>1</v>
      </c>
      <c r="MD33" s="152" t="n">
        <v>12</v>
      </c>
      <c r="ME33" s="150" t="inlineStr">
        <is>
          <t>ESPECIAL 4</t>
        </is>
      </c>
      <c r="MF33" s="152">
        <f>MAX(1,MIN(7,N('INVOCAÇÕES'!$U$488)))</f>
        <v/>
      </c>
      <c r="MG33" s="152">
        <f>'INVOCAÇÕES'!$V$488&amp;""</f>
        <v/>
      </c>
      <c r="MH33" s="152">
        <f>'INVOCAÇÕES'!$U$493&amp;""</f>
        <v/>
      </c>
      <c r="MI33" s="152">
        <f>'INVOCAÇÕES'!$U$494&amp;""</f>
        <v/>
      </c>
      <c r="MJ33" s="152">
        <f>'INVOCAÇÕES'!$W$494&amp;""</f>
        <v/>
      </c>
      <c r="MK33" s="152">
        <f>'INVOCAÇÕES'!$V$497&amp;""</f>
        <v/>
      </c>
      <c r="ML33" s="152">
        <f>'INVOCAÇÕES'!$V$498&amp;""</f>
        <v/>
      </c>
      <c r="MM33" s="152">
        <f>'INVOCAÇÕES'!$V$499&amp;""</f>
        <v/>
      </c>
      <c r="MN33" s="152">
        <f>'INVOCAÇÕES'!$V$500&amp;""</f>
        <v/>
      </c>
      <c r="MO33" s="152">
        <f>'INVOCAÇÕES'!$V$501&amp;""</f>
        <v/>
      </c>
      <c r="MP33" s="152">
        <f>'INVOCAÇÕES'!$V$502&amp;""</f>
        <v/>
      </c>
      <c r="MQ33" s="152">
        <f>IF($MG33&lt;&gt;"",1,0)</f>
        <v/>
      </c>
      <c r="MR33" s="152">
        <f>INDEX($FI$2:$FI$13,$MB33)</f>
        <v/>
      </c>
      <c r="MS33" s="152">
        <f>INDEX($FJ$2:$FJ$13,$MB33)</f>
        <v/>
      </c>
      <c r="MT33" s="152">
        <f>INDEX($FK$2:$FK$13,$MB33)</f>
        <v/>
      </c>
      <c r="MU33" s="152">
        <f>INDEX($FV$2:$FV$13,$MB33)</f>
        <v/>
      </c>
      <c r="MV33" s="152">
        <f>INDEX($FW$2:$FW$13,$MB33)</f>
        <v/>
      </c>
      <c r="MW33" s="152">
        <f>IFERROR(MATCH($MH33,$V$2:$V$11,0),0)</f>
        <v/>
      </c>
      <c r="MX33" s="152">
        <f>IFERROR(VLOOKUP($MK33,$AV$2:$BA$84,2,FALSE),"")</f>
        <v/>
      </c>
      <c r="MY33" s="152">
        <f>IFERROR(VLOOKUP($ML33,$AV$2:$BA$84,2,FALSE),"")</f>
        <v/>
      </c>
      <c r="MZ33" s="152">
        <f>IFERROR(VLOOKUP($MM33,$AV$2:$BA$84,2,FALSE),"")</f>
        <v/>
      </c>
      <c r="NA33" s="152">
        <f>IFERROR(VLOOKUP($MN33,$AV$2:$BA$84,2,FALSE),"")</f>
        <v/>
      </c>
      <c r="NB33" s="152">
        <f>IFERROR(VLOOKUP($MK33,$AV$2:$BA$84,3,FALSE),0)</f>
        <v/>
      </c>
      <c r="NC33" s="152">
        <f>IFERROR(VLOOKUP($ML33,$AV$2:$BA$84,3,FALSE),0)</f>
        <v/>
      </c>
      <c r="ND33" s="152">
        <f>IFERROR(VLOOKUP($MM33,$AV$2:$BA$84,3,FALSE),0)</f>
        <v/>
      </c>
      <c r="NE33" s="152">
        <f>IFERROR(VLOOKUP($MN33,$AV$2:$BA$84,3,FALSE),0)</f>
        <v/>
      </c>
      <c r="NF33" s="152">
        <f>IF($MF33=0,0,IF($MW33=0,0,INDEX($X$2:$X$11,$MW33)))</f>
        <v/>
      </c>
      <c r="NG33" s="152">
        <f>IF(OR($NB33=0,$MF33=0),0,$NB33+3*IF(AND($MX33&lt;&gt;"",OR($MX33=INDEX($EF$2:$EF$13,$MB33),$MX33=INDEX($EG$2:$EG$13,$MB33))),1,0))</f>
        <v/>
      </c>
      <c r="NH33" s="152">
        <f>IF(OR($NC33=0,$MF33=0),0,$NC33+3*IF(AND($MY33&lt;&gt;"",OR($MY33=INDEX($EF$2:$EF$13,$MB33),$MY33=INDEX($EG$2:$EG$13,$MB33))),1,0))</f>
        <v/>
      </c>
      <c r="NI33" s="152">
        <f>IF(OR($ND33=0,$MF33=0),0,$ND33+3*IF(AND($MZ33&lt;&gt;"",OR($MZ33=INDEX($EF$2:$EF$13,$MB33),$MZ33=INDEX($EG$2:$EG$13,$MB33))),1,0))</f>
        <v/>
      </c>
      <c r="NJ33" s="152">
        <f>IF(OR($NE33=0,$MF33=0),0,$NE33+3*IF(AND($NA33&lt;&gt;"",OR($NA33=INDEX($EF$2:$EF$13,$MB33),$NA33=INDEX($EG$2:$EG$13,$MB33))),1,0))</f>
        <v/>
      </c>
      <c r="NK33" s="152">
        <f>IF($MW33=0,0,IF(INDEX($W$2:$W$11,$MW33)="",0,IF(COUNTIF(INDEX($EF$2:$EJ$13,$MB33,0),INDEX($W$2:$W$11,$MW33))=0,1,0)))</f>
        <v/>
      </c>
      <c r="NL33" s="152">
        <f>IF(OR($NB33=0,$MX33=""),0,IF(COUNTIF(INDEX($EF$2:$EJ$13,$MB33,0),$MX33)=0,1,0))</f>
        <v/>
      </c>
      <c r="NM33" s="152">
        <f>IF(OR($NC33=0,$MY33=""),0,IF(COUNTIF(INDEX($EF$2:$EJ$13,$MB33,0),$MY33)=0,1,0))</f>
        <v/>
      </c>
      <c r="NN33" s="152">
        <f>IF(OR($ND33=0,$MZ33=""),0,IF(COUNTIF(INDEX($EF$2:$EJ$13,$MB33,0),$MZ33)=0,1,0))</f>
        <v/>
      </c>
      <c r="NO33" s="152">
        <f>IF(OR($NE33=0,$NA33=""),0,IF(COUNTIF(INDEX($EF$2:$EJ$13,$MB33,0),$NA33)=0,1,0))</f>
        <v/>
      </c>
      <c r="NP33" s="152">
        <f>IFERROR(VLOOKUP($MK33,$AV$2:$BA$84,4,FALSE),0)+IFERROR(VLOOKUP($ML33,$AV$2:$BA$84,4,FALSE),0)+IFERROR(VLOOKUP($MM33,$AV$2:$BA$84,4,FALSE),0)+IFERROR(VLOOKUP($MN33,$AV$2:$BA$84,4,FALSE),0)</f>
        <v/>
      </c>
      <c r="NQ33" s="152">
        <f>IFERROR(VLOOKUP($MK33,$AV$2:$BA$84,6,FALSE),0)+IFERROR(VLOOKUP($ML33,$AV$2:$BA$84,6,FALSE),0)+IFERROR(VLOOKUP($MM33,$AV$2:$BA$84,6,FALSE),0)+IFERROR(VLOOKUP($MN33,$AV$2:$BA$84,6,FALSE),0)</f>
        <v/>
      </c>
      <c r="NR33" s="152">
        <f>TEXTJOIN(", ",TRUE,IF(IFERROR(VLOOKUP($MK33,$AV$2:$BA$84,5,FALSE),0)=1,$MK33,""),IF(IFERROR(VLOOKUP($ML33,$AV$2:$BA$84,5,FALSE),0)=1,$ML33,""),IF(IFERROR(VLOOKUP($MM33,$AV$2:$BA$84,5,FALSE),0)=1,$MM33,""),IF(IFERROR(VLOOKUP($MN33,$AV$2:$BA$84,5,FALSE),0)=1,$MN33,""))</f>
        <v/>
      </c>
      <c r="NS33" s="152">
        <f>IF($MW33=0,0,INDEX($Y$2:$Y$11,$MW33))</f>
        <v/>
      </c>
      <c r="NT33" s="152">
        <f>IF($MW33=0,0,INDEX($Z$2:$Z$11,$MW33))</f>
        <v/>
      </c>
      <c r="NU33" s="152">
        <f>IF($MW33=0,0,INDEX($AB$2:$AB$11,$MW33))</f>
        <v/>
      </c>
      <c r="NV33" s="152">
        <f>IFERROR(VLOOKUP($MO33,$BC$2:$BG$24,3,FALSE),0)</f>
        <v/>
      </c>
      <c r="NW33" s="152">
        <f>IFERROR(VLOOKUP($MP33,$BC$2:$BG$24,3,FALSE),0)</f>
        <v/>
      </c>
      <c r="NX33" s="152">
        <f>IFERROR(VLOOKUP($MO33,$BC$2:$BG$24,2,FALSE),"")</f>
        <v/>
      </c>
      <c r="NY33" s="152">
        <f>IFERROR(VLOOKUP($MP33,$BC$2:$BG$24,2,FALSE),"")</f>
        <v/>
      </c>
      <c r="NZ33" s="152">
        <f>COUNTIF($NF33:$NJ33,1)</f>
        <v/>
      </c>
      <c r="OA33" s="152">
        <f>COUNTIF($NF33:$NJ33,2)</f>
        <v/>
      </c>
      <c r="OB33" s="152">
        <f>COUNTIF($NF33:$NJ33,3)</f>
        <v/>
      </c>
      <c r="OC33" s="152">
        <f>COUNTIF($NF33:$NJ33,4)</f>
        <v/>
      </c>
      <c r="OD33" s="152">
        <f>COUNTIF($NF33:$NJ33,5)</f>
        <v/>
      </c>
      <c r="OE33" s="152">
        <f>COUNTIF($NF33:$NJ33,6)</f>
        <v/>
      </c>
      <c r="OF33" s="152">
        <f>COUNTIF($NV33:$NW33,1)</f>
        <v/>
      </c>
      <c r="OG33" s="152">
        <f>COUNTIF($NV33:$NW33,2)+$NS33</f>
        <v/>
      </c>
      <c r="OH33" s="152">
        <f>COUNTIF($MK33:$MN33,"?*")</f>
        <v/>
      </c>
      <c r="OI33" s="152">
        <f>COUNTIF($MO33:$MP33,"?*")+$NS33</f>
        <v/>
      </c>
      <c r="OJ33" s="152">
        <f>IF($MF33=0,0,SUMPRODUCT($NZ33:$OE33,INDEX($I$2:$N$8,MAX(1,$MF33),0)))</f>
        <v/>
      </c>
      <c r="OK33" s="152">
        <f>IF($MF33=0,0,$OF33*CEILING($MF33/2,1)+$OG33*$MF33)</f>
        <v/>
      </c>
      <c r="OL33" s="152">
        <f>MIN(2*$MF33,$OK33)</f>
        <v/>
      </c>
      <c r="OM33" s="152">
        <f>MIN($OL33,$OJ33)</f>
        <v/>
      </c>
      <c r="ON33" s="152">
        <f>$OL33-$OM33</f>
        <v/>
      </c>
      <c r="OO33" s="152">
        <f>IF($MF33=0,0,INDEX($P$2:$P$8,MAX(1,$MF33)))</f>
        <v/>
      </c>
      <c r="OP33" s="152">
        <f>$OO33-$OJ33+$OM33</f>
        <v/>
      </c>
      <c r="OQ33" s="152">
        <f>IF($MF33=0,MAX(0,$MT33-IF($OH33&gt;0,1,0)),MAX(0,$OP33))</f>
        <v/>
      </c>
      <c r="OR33" s="152">
        <f>IF($MF33=0,0,(IF(COUNTIF($MK33:$MN33,"Salto")&gt;0,1,0)+IF(COUNTIF($MK33:$MN33,"Queima")&gt;0,1,0)+IF(COUNTIF($MK33:$MN33,"Estilhaço")&gt;0,1,0))*FLOOR($OQ33/2,1))</f>
        <v/>
      </c>
      <c r="OS33" s="152">
        <f>MAX(0,2-SUMPRODUCT($NZ33:$OE33,$I$2:$N$2)+MIN(2,$OF33*1+$OG33*1,SUMPRODUCT($NZ33:$OE33,$I$2:$N$2)))</f>
        <v/>
      </c>
      <c r="OT33" s="152">
        <f>MAX(0,4-SUMPRODUCT($NZ33:$OE33,$I$3:$N$3)+MIN(4,$OF33*1+$OG33*2,SUMPRODUCT($NZ33:$OE33,$I$3:$N$3)))</f>
        <v/>
      </c>
      <c r="OU33" s="152">
        <f>MAX(0,6-SUMPRODUCT($NZ33:$OE33,$I$4:$N$4)+MIN(6,$OF33*2+$OG33*3,SUMPRODUCT($NZ33:$OE33,$I$4:$N$4)))</f>
        <v/>
      </c>
      <c r="OV33" s="152">
        <f>MAX(0,9-SUMPRODUCT($NZ33:$OE33,$I$5:$N$5)+MIN(8,$OF33*2+$OG33*4,SUMPRODUCT($NZ33:$OE33,$I$5:$N$5)))</f>
        <v/>
      </c>
      <c r="OW33" s="152">
        <f>MAX(0,11-SUMPRODUCT($NZ33:$OE33,$I$6:$N$6)+MIN(10,$OF33*3+$OG33*5,SUMPRODUCT($NZ33:$OE33,$I$6:$N$6)))</f>
        <v/>
      </c>
      <c r="OX33" s="152">
        <f>MAX(0,13-SUMPRODUCT($NZ33:$OE33,$I$7:$N$7)+MIN(12,$OF33*3+$OG33*6,SUMPRODUCT($NZ33:$OE33,$I$7:$N$7)))</f>
        <v/>
      </c>
      <c r="OY33" s="152">
        <f>MAX(0,16-SUMPRODUCT($NZ33:$OE33,$I$8:$N$8)+MIN(14,$OF33*4+$OG33*7,SUMPRODUCT($NZ33:$OE33,$I$8:$N$8)))</f>
        <v/>
      </c>
      <c r="OZ33" s="152">
        <f>IF($NT33=2,3*$OS33&amp;" de vida temp.",IF($NT33=3,"sem dano",IF($OS33=0,IF($NT33=1,"sem cura","sem dano"),IF($NT33=1,"cura ","")&amp;$OS33&amp;"d8")))</f>
        <v/>
      </c>
      <c r="PA33" s="152">
        <f>IF($NT33=2,3*$OT33&amp;" de vida temp.",IF($NT33=3,"sem dano",IF($OT33=0,IF($NT33=1,"sem cura","sem dano"),IF($NT33=1,"cura ","")&amp;$OT33&amp;"d8")))</f>
        <v/>
      </c>
      <c r="PB33" s="152">
        <f>IF($NT33=2,3*$OU33&amp;" de vida temp.",IF($NT33=3,"sem dano",IF($OU33=0,IF($NT33=1,"sem cura","sem dano"),IF($NT33=1,"cura ","")&amp;$OU33&amp;"d8")))</f>
        <v/>
      </c>
      <c r="PC33" s="152">
        <f>IF($NT33=2,3*$OV33&amp;" de vida temp.",IF($NT33=3,"sem dano",IF($OV33=0,IF($NT33=1,"sem cura","sem dano"),IF($NT33=1,"cura ","")&amp;$OV33&amp;"d8")))</f>
        <v/>
      </c>
      <c r="PD33" s="152">
        <f>IF($NT33=2,3*$OW33&amp;" de vida temp.",IF($NT33=3,"sem dano",IF($OW33=0,IF($NT33=1,"sem cura","sem dano"),IF($NT33=1,"cura ","")&amp;$OW33&amp;"d8")))</f>
        <v/>
      </c>
      <c r="PE33" s="152">
        <f>IF($NT33=2,3*$OX33&amp;" de vida temp.",IF($NT33=3,"sem dano",IF($OX33=0,IF($NT33=1,"sem cura","sem dano"),IF($NT33=1,"cura ","")&amp;$OX33&amp;"d8")))</f>
        <v/>
      </c>
      <c r="PF33" s="152">
        <f>IF($NT33=2,3*$OY33&amp;" de vida temp.",IF($NT33=3,"sem dano",IF($OY33=0,IF($NT33=1,"sem cura","sem dano"),IF($NT33=1,"cura ","")&amp;$OY33&amp;"d8")))</f>
        <v/>
      </c>
      <c r="PG33" s="152">
        <f>IF($MQ33=0,"",TEXTJOIN(" · ",TRUE,IF($MD33&gt;$MR33,"Este lugar abre no nível "&amp;$MD33,""),IF($MF33&gt;$MS33,"Classe "&amp;$MF33&amp;": o nível "&amp;$MR33&amp;" libera até a "&amp;$MS33,""),IF($NK33=1,"A Forma "&amp;$MH33&amp;" pede "&amp;INDEX($W$2:$W$11,$MW33)&amp;" aberta",""),IF(AND($MF33=0,$MW33&gt;0,IF($MW33=0,0,INDEX($AF$2:$AF$11,$MW33))=0),$MH33&amp;" não existe na Classe 0",""),IF($NL33=1,"Família Fechada: "&amp;$MK33,""),IF($NM33=1,"Família Fechada: "&amp;$ML33,""),IF($NN33=1,"Família Fechada: "&amp;$MM33,""),IF($NO33=1,"Família Fechada: "&amp;$MN33,""),IF(AND($MF33&gt;0,$OH33&gt;INDEX($O$2:$O$8,MAX(1,$MF33))),$OH33&amp;" Melhorias: a Classe "&amp;$MF33&amp;" aceita "&amp;INDEX($O$2:$O$8,MAX(1,$MF33)),""),IF(AND($MF33=0,$OH33&gt;1),"A básica aceita uma Melhoria",""),IF(AND($MF33=0,COUNTIF($NB33:$NE33,"&gt;1")&gt;0),"A básica só aceita Melhoria Leve",""),IF(AND($MF33&gt;0,$OI33&gt;2),$OI33&amp;" Restrições"&amp;IF($NS33=1,", contando a que a Forma "&amp;$MH33&amp;" já traz","")&amp;": o limite é 2",""),IF(AND($MF33=0,COUNTIF($MO33:$MP33,"?*")&gt;1),"A básica aceita uma Restrição Leve",""),IF(AND($MF33=0,COUNTIF($NV33:$NW33,2)&gt;0),"A básica só aceita Restrição Leve",""),IF(AND($MF33&gt;0,$OP33&lt;0),"Orçamento estourado: faltam "&amp;(-$OP33)&amp;IF($OP33&lt;-1," pontos"," ponto"),""),IF(IFERROR(VLOOKUP($MO33,$BC$2:$BG$24,4,FALSE),0)+IFERROR(VLOOKUP($MP33,$BC$2:$BG$24,4,FALSE),0)&gt;1,$NX33&amp;" e "&amp;$NY33&amp;" são as duas de frequência",""),IF(AND((COUNTIF($MK33:$MN33,"Rápido")+COUNTIF($NX33:$NY33,"Rápido"))&gt;0,(COUNTIF($MK33:$MN33,"Atrasar")+COUNTIF($NX33:$NY33,"Atrasar"))&gt;0),"Rápido não entra com Atrasar",""),IF(AND((COUNTIF($MK33:$MN33,"Reação")+COUNTIF($NX33:$NY33,"Reação"))&gt;0,(COUNTIF($MK33:$MN33,"Rápido")+COUNTIF($NX33:$NY33,"Rápido"))&gt;0),"Reação não entra com Rápido",""),IF(AND((COUNTIF($MK33:$MN33,"Reação")+COUNTIF($NX33:$NY33,"Reação"))&gt;0,(COUNTIF($MK33:$MN33,"Armado")+COUNTIF($NX33:$NY33,"Armado"))&gt;0),"Reação não entra com Armado",""),IF(AND((COUNTIF($MK33:$MN33,"Reação")+COUNTIF($NX33:$NY33,"Reação"))&gt;0,(COUNTIF($MK33:$MN33,"Atrasar")+COUNTIF($NX33:$NY33,"Atrasar"))&gt;0),"Reação não entra com Atrasar",""),IF(AND((COUNTIF($MK33:$MN33,"Reação")+COUNTIF($NX33:$NY33,"Reação"))&gt;0,(COUNTIF($MK33:$MN33,"Parado")+COUNTIF($NX33:$NY33,"Parado"))&gt;0),"Reação não entra com Parado",""),IF(AND((COUNTIF($MK33:$MN33,"Atrasar")+COUNTIF($NX33:$NY33,"Atrasar"))&gt;0,(COUNTIF($MK33:$MN33,"Parado")+COUNTIF($NX33:$NY33,"Parado"))&gt;0),"Atrasar não entra com Parado",""),IF(AND((COUNTIF($MK33:$MN33,"Armado")+COUNTIF($NX33:$NY33,"Armado"))&gt;0,(COUNTIF($MK33:$MN33,"Carregar")+COUNTIF($NX33:$NY33,"Carregar"))&gt;0),"Armado não entra com Carregar",""),IF(AND(COUNTIF($NX33:$NY33,"Corpo a Corpo")&gt;0,$NS33=0,OR($MH33="Cone",$MH33="Linha")),"Corpo a Corpo não entra em "&amp;$MH33,""),IF(AND(COUNTIF($NX33:$NY33,"Corpo a Corpo")&gt;0,$NS33=1),"A Forma "&amp;$MH33&amp;" já traz o Corpo a Corpo",""),IF(AND(COUNTIF($NX33:$NY33,"Tudo ou Nada")&gt;0,$NU33=0),"Tudo ou Nada só entra em habilidade de Teste de Resistência",""),IF(AND(COUNTIF($MK33:$MN33,"Inescapável")&gt;0,OR($OH33&gt;1,$OI33&gt;0)),"Inescapável não aceita outra peça",""),IF(AND($MF33&gt;0,$OQ33*IF(COUNTIF($MK33:$MN33,"Remate")&gt;0,1.25,1)+$OR33&gt;4*$MF33),($OQ33*IF(COUNTIF($MK33:$MN33,"Remate")&gt;0,1.25,1)+$OR33)&amp;" dados somando repetições"&amp;IF(COUNTIF($MK33:$MN33,"Remate")&gt;0," e o Remate","")&amp;": o teto da Classe "&amp;$MF33&amp;" é "&amp;4*$MF33,"")))</f>
        <v/>
      </c>
      <c r="PH33" s="152">
        <f>IF($PG33="",0,(LEN($PG33)-LEN(SUBSTITUTE($PG33," · ","")))/3+1)</f>
        <v/>
      </c>
      <c r="PI33" s="152">
        <f>IF($MQ33=0,"",TEXTJOIN(" · ",TRUE,IF($OK33&gt;2*$MF33,"A devolução parou no teto de "&amp;2*$MF33,""),IF($ON33&gt;0,"Devolução perdida: "&amp;$ON33&amp;IF($ON33&gt;1," pontos"," ponto")&amp;" sem peça para pagar",""),IF(AND($NP33&gt;0,AND($MF33&gt;0,$NT33=0),$OQ33=0),"Controle sem dano: uma rodada a mais e CD +2",""),IF(AND($NP33&gt;0,AND($MF33&gt;0,$NT33=0),$OQ33&gt;0,$OQ33&lt;=$MF33),"Controle com saldo até a Classe: uma rodada a mais",""),IF(AND($MF33&gt;0,$NR33&lt;&gt;""),"Efeito de "&amp;$NR33&amp;" pela Classe "&amp;MAX(1,$MF33-1),"")))</f>
        <v/>
      </c>
      <c r="PJ33" s="152">
        <f>IF($PI33="",0,(LEN($PI33)-LEN(SUBSTITUTE($PI33," · ","")))/3+1)</f>
        <v/>
      </c>
      <c r="PK33" s="152">
        <f>IF($MQ33=0,IF($OH33+COUNTIF($MO33:$MP33,"?*")&gt;0,"Dê um nome",""),IF($PH33&gt;0,"⚠ "&amp;$PH33&amp;IF($PH33&gt;1," erros"," erro"),IF($PJ33&gt;0,"! "&amp;$PJ33&amp;IF($PJ33&gt;1," avisos"," aviso"),"Na regra")))</f>
        <v/>
      </c>
      <c r="PL33" s="152">
        <f>IF($MQ33=0,"",IF($PH33+$PJ33=0,"Dentro das regras que a ficha confere",$PG33&amp;IF(AND($PH33&gt;0,$PJ33&gt;0)," · ","")&amp;$PI33))</f>
        <v/>
      </c>
      <c r="PM33" s="152">
        <f>IF($MD33&gt;$MR33,$ME33&amp;" · ABRE NO NÍVEL "&amp;$MD33,$ME33)</f>
        <v/>
      </c>
      <c r="PN33" s="152">
        <f>IF($MQ33=0,"",IF($MF33=0,"Sem PE",3*$MF33&amp;" PE"))</f>
        <v/>
      </c>
      <c r="PO33" s="152">
        <f>IF($MQ33=0,"",IF($MF33=0,"A atuação básica dela",IF(COUNTIF($NX33:$NY33,"Atrasar")&gt;0,"Sua Ação Completa",IF(COUNTIF($MK33:$MN33,"Rápido")&gt;0,"Sua Bônus",IF(COUNTIF($MK33:$MN33,"Reação")&gt;0,"Sua Reação","Sua Padrão")))&amp;" + a básica dela"&amp;IF(COUNTIF($MK33:$MN33,"Reação")&gt;0," e a coletiva","")&amp;IF(COUNTIF($NX33:$NY33,"Carregar")&gt;0," · em dois turnos","")))</f>
        <v/>
      </c>
      <c r="PP33" s="152">
        <f>IF($MJ33&lt;&gt;"",$MJ33,IF($MW33=0,"",INDEX($AA$2:$AA$11,$MW33)))</f>
        <v/>
      </c>
      <c r="PQ33" s="152">
        <f>IF(OR($MQ33=0,$MW33=0),"",IF(COUNTIF($MK33:$MN33,"Inescapável")&gt;0,"Automático",IF($PP33="Ataque",IF($MU33="","Ataque","Ataque "&amp;IF(($MU33+2*IF(COUNTIF($MK33:$MN33,"Precisão")&gt;0,1,0))&gt;=0,"+","−")&amp;ABS(($MU33+2*IF(COUNTIF($MK33:$MN33,"Precisão")&gt;0,1,0))))&amp;IF($NQ33&gt;0," · TR"&amp;IF($MV33="",""," CD "&amp;$MV33),""),IF(LEFT($PP33,2)="TR",$PP33&amp;IF($MV33="",""," · CD "&amp;$MV33)&amp;IF(COUNTIF($MK33:$MN33,"Certeiro")&gt;0," · metade",""),"Sem rolagem"))))</f>
        <v/>
      </c>
      <c r="PR33" s="152">
        <f>IF(OR($MQ33=0,$MW33=0),"",IF($MF33=0,IF(OR($NT33&gt;=1,$OQ33=0),"Sem dano",$OQ33&amp;"d6"&amp;IF($MI33="",""," "&amp;$MI33)),IF(OR($NT33&gt;=1,$OQ33=0),UPPER(LEFT(INDEX($OZ33:$PF33,1,MAX(1,$MF33)),1))&amp;MID(INDEX($OZ33:$PF33,1,MAX(1,$MF33)),2,99),UPPER(LEFT(INDEX($OZ33:$PF33,1,MAX(1,$MF33)),1))&amp;MID(INDEX($OZ33:$PF33,1,MAX(1,$MF33)),2,99)&amp;IF($MI33="",""," "&amp;$MI33)&amp;IF($OR33&gt;0," · +"&amp;$OR33&amp;"d8",""))))</f>
        <v/>
      </c>
      <c r="PS33" s="152">
        <f>COUNTIF($MK33:$MN33,"Longe")+3*COUNTIF($MK33:$MN33,"Muito Longe")</f>
        <v/>
      </c>
      <c r="PT33" s="152">
        <f>COUNTIF($MK33:$MN33,"Maior")+3*COUNTIF($MK33:$MN33,"Muito Maior")</f>
        <v/>
      </c>
      <c r="PU33" s="152">
        <f>IF($MW33=0,0,CHOOSE(1+INDEX($AC$2:$AC$11,$MW33),0,$PS33,$PT33,$PS33+$PT33))</f>
        <v/>
      </c>
      <c r="PV33" s="152">
        <f>IF($MW33=0,0,CHOOSE(1+INDEX($AD$2:$AD$11,$MW33),0,$PS33,$PT33,$PS33+$PT33))</f>
        <v/>
      </c>
      <c r="PW33" s="152">
        <f>IF(OR($MQ33=0,$MW33=0),"",INDEX($AI$2:$AN$41,($MW33-1)*4+IF($MF33=0,1,IF($MF33&lt;=5,2,IF($MF33=6,3,4))),1+MIN(5,$PU33))&amp;INDEX($AO$2:$AT$41,($MW33-1)*4+IF($MF33=0,1,IF($MF33&lt;=5,2,IF($MF33=6,3,4))),1+MIN(5,$PV33))&amp;IF(INDEX($AE$2:$AE$11,$MW33)=1,IF(COUNTIF($MK33:$MN33,"Mais Um")&gt;0," · +"&amp;COUNTIF($MK33:$MN33,"Mais Um")&amp;IF(COUNTIF($MK33:$MN33,"Mais Um")&gt;1," alvos"," alvo"),"")&amp;IF(COUNTIF($MK33:$MN33,"Rajada")&gt;0,IF($MF33=0," · 1 tiro"," · "&amp;(MAX(1,$MF33-1)+1)&amp;" tiros"),""),""))</f>
        <v/>
      </c>
      <c r="PX33" s="152">
        <f>IF($MQ33=0,"",IF($MF33=0,$MT33&amp;"d6"&amp;IF($OH33&gt;0," − 1 = "&amp;$OQ33&amp;"d6"," da básica do nível "&amp;$MR33),$OO33&amp;" − "&amp;$OJ33&amp;" + "&amp;$OM33&amp;" = "&amp;$OP33&amp;" · teto "&amp;4*$MF33&amp;"d8"&amp;IF($NS33=1," · a Forma devolve "&amp;$MF33,"")&amp;IF($ON33&gt;0," · perde "&amp;$ON33,"")))</f>
        <v/>
      </c>
      <c r="PY33" s="152">
        <f>IF($MQ33=0,"",IF($MF33=0,"A básica não amplia: os dados dela sobem com o nível",IF($MF33&gt;=$MS33,"Já está na maior Classe que o nível liberou",TEXTJOIN(" · ",TRUE,IF(AND(2&gt;$MF33,2&lt;=$MS33),"2 → "&amp;$PA33&amp;", 6 PE",""),IF(AND(3&gt;$MF33,3&lt;=$MS33),"3 → "&amp;$PB33&amp;", 9 PE",""),IF(AND(4&gt;$MF33,4&lt;=$MS33),"4 → "&amp;$PC33&amp;", 12 PE",""),IF(AND(5&gt;$MF33,5&lt;=$MS33),"5 → "&amp;$PD33&amp;", 15 PE",""),IF(AND(6&gt;$MF33,6&lt;=$MS33),"6 → "&amp;$PE33&amp;", 18 PE",""),IF(AND(7&gt;$MF33,7&lt;=$MS33),"7 → "&amp;$PF33&amp;", 21 PE","")))))</f>
        <v/>
      </c>
      <c r="PZ33" s="152">
        <f>IF(OR($MQ33=0,$NB33=0),"",IF($MF33=0,"−1 dado","−"&amp;INDEX($I$2:$N$8,MAX(1,$MF33),MAX(1,$NG33))&amp;" · "&amp;CHOOSE(MAX(1,$NG33),"Leve","Média","Pesada","Leve · Livre","Média · Livre","Pesada · Livre")))</f>
        <v/>
      </c>
      <c r="QA33" s="152">
        <f>IF(OR($MQ33=0,$NC33=0),"",IF($MF33=0,"−1 dado","−"&amp;INDEX($I$2:$N$8,MAX(1,$MF33),MAX(1,$NH33))&amp;" · "&amp;CHOOSE(MAX(1,$NH33),"Leve","Média","Pesada","Leve · Livre","Média · Livre","Pesada · Livre")))</f>
        <v/>
      </c>
      <c r="QB33" s="152">
        <f>IF(OR($MQ33=0,$ND33=0),"",IF($MF33=0,"−1 dado","−"&amp;INDEX($I$2:$N$8,MAX(1,$MF33),MAX(1,$NI33))&amp;" · "&amp;CHOOSE(MAX(1,$NI33),"Leve","Média","Pesada","Leve · Livre","Média · Livre","Pesada · Livre")))</f>
        <v/>
      </c>
      <c r="QC33" s="152">
        <f>IF(OR($MQ33=0,$NE33=0),"",IF($MF33=0,"−1 dado","−"&amp;INDEX($I$2:$N$8,MAX(1,$MF33),MAX(1,$NJ33))&amp;" · "&amp;CHOOSE(MAX(1,$NJ33),"Leve","Média","Pesada","Leve · Livre","Média · Livre","Pesada · Livre")))</f>
        <v/>
      </c>
      <c r="QD33" s="152">
        <f>IF(OR($MQ33=0,$MO33=""),"",IF($MF33=0,"não devolve","+"&amp;IF($NV33=1,CEILING($MF33/2,1),$MF33)))</f>
        <v/>
      </c>
      <c r="QE33" s="152">
        <f>IF(OR($MQ33=0,$MP33=""),"",IF($MF33=0,"não devolve","+"&amp;IF($NW33=1,CEILING($MF33/2,1),$MF33)))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BA34" s="152" t="n">
        <v>1</v>
      </c>
      <c r="JG34" s="152">
        <f>IF(OR($AW34="",COUNTIF($EF$2:$EJ$2,$AW34)&gt;0),$AV34,"")</f>
        <v/>
      </c>
      <c r="JH34" s="152">
        <f>IF(AND($AX34=1,OR($AW34="",COUNTIF($EF$2:$EJ$2,$AW34)&gt;0)),$AV34,"")</f>
        <v/>
      </c>
      <c r="JM34" s="152">
        <f>IF(OR($AW34="",COUNTIF($EF$3:$EJ$3,$AW34)&gt;0),$AV34,"")</f>
        <v/>
      </c>
      <c r="JN34" s="152">
        <f>IF(AND($AX34=1,OR($AW34="",COUNTIF($EF$3:$EJ$3,$AW34)&gt;0)),$AV34,"")</f>
        <v/>
      </c>
      <c r="JS34" s="152">
        <f>IF(OR($AW34="",COUNTIF($EF$4:$EJ$4,$AW34)&gt;0),$AV34,"")</f>
        <v/>
      </c>
      <c r="JT34" s="152">
        <f>IF(AND($AX34=1,OR($AW34="",COUNTIF($EF$4:$EJ$4,$AW34)&gt;0)),$AV34,"")</f>
        <v/>
      </c>
      <c r="JY34" s="152">
        <f>IF(OR($AW34="",COUNTIF($EF$5:$EJ$5,$AW34)&gt;0),$AV34,"")</f>
        <v/>
      </c>
      <c r="JZ34" s="152">
        <f>IF(AND($AX34=1,OR($AW34="",COUNTIF($EF$5:$EJ$5,$AW34)&gt;0)),$AV34,"")</f>
        <v/>
      </c>
      <c r="KE34" s="152">
        <f>IF(OR($AW34="",COUNTIF($EF$6:$EJ$6,$AW34)&gt;0),$AV34,"")</f>
        <v/>
      </c>
      <c r="KF34" s="152">
        <f>IF(AND($AX34=1,OR($AW34="",COUNTIF($EF$6:$EJ$6,$AW34)&gt;0)),$AV34,"")</f>
        <v/>
      </c>
      <c r="KK34" s="152">
        <f>IF(OR($AW34="",COUNTIF($EF$7:$EJ$7,$AW34)&gt;0),$AV34,"")</f>
        <v/>
      </c>
      <c r="KL34" s="152">
        <f>IF(AND($AX34=1,OR($AW34="",COUNTIF($EF$7:$EJ$7,$AW34)&gt;0)),$AV34,"")</f>
        <v/>
      </c>
      <c r="KQ34" s="152">
        <f>IF(OR($AW34="",COUNTIF($EF$8:$EJ$8,$AW34)&gt;0),$AV34,"")</f>
        <v/>
      </c>
      <c r="KR34" s="152">
        <f>IF(AND($AX34=1,OR($AW34="",COUNTIF($EF$8:$EJ$8,$AW34)&gt;0)),$AV34,"")</f>
        <v/>
      </c>
      <c r="KW34" s="152">
        <f>IF(OR($AW34="",COUNTIF($EF$9:$EJ$9,$AW34)&gt;0),$AV34,"")</f>
        <v/>
      </c>
      <c r="KX34" s="152">
        <f>IF(AND($AX34=1,OR($AW34="",COUNTIF($EF$9:$EJ$9,$AW34)&gt;0)),$AV34,"")</f>
        <v/>
      </c>
      <c r="LC34" s="152">
        <f>IF(OR($AW34="",COUNTIF($EF$10:$EJ$10,$AW34)&gt;0),$AV34,"")</f>
        <v/>
      </c>
      <c r="LD34" s="152">
        <f>IF(AND($AX34=1,OR($AW34="",COUNTIF($EF$10:$EJ$10,$AW34)&gt;0)),$AV34,"")</f>
        <v/>
      </c>
      <c r="LI34" s="152">
        <f>IF(OR($AW34="",COUNTIF($EF$11:$EJ$11,$AW34)&gt;0),$AV34,"")</f>
        <v/>
      </c>
      <c r="LJ34" s="152">
        <f>IF(AND($AX34=1,OR($AW34="",COUNTIF($EF$11:$EJ$11,$AW34)&gt;0)),$AV34,"")</f>
        <v/>
      </c>
      <c r="LO34" s="152">
        <f>IF(OR($AW34="",COUNTIF($EF$12:$EJ$12,$AW34)&gt;0),$AV34,"")</f>
        <v/>
      </c>
      <c r="LP34" s="152">
        <f>IF(AND($AX34=1,OR($AW34="",COUNTIF($EF$12:$EJ$12,$AW34)&gt;0)),$AV34,"")</f>
        <v/>
      </c>
      <c r="LU34" s="152">
        <f>IF(OR($AW34="",COUNTIF($EF$13:$EJ$13,$AW34)&gt;0),$AV34,"")</f>
        <v/>
      </c>
      <c r="LV34" s="152">
        <f>IF(AND($AX34=1,OR($AW34="",COUNTIF($EF$13:$EJ$13,$AW34)&gt;0)),$AV34,"")</f>
        <v/>
      </c>
      <c r="MA34" s="150" t="inlineStr">
        <is>
          <t>Ficha 3 · Especial 5</t>
        </is>
      </c>
      <c r="MB34" s="152" t="n">
        <v>3</v>
      </c>
      <c r="MC34" s="152" t="n">
        <v>1</v>
      </c>
      <c r="MD34" s="152" t="n">
        <v>16</v>
      </c>
      <c r="ME34" s="150" t="inlineStr">
        <is>
          <t>ESPECIAL 5</t>
        </is>
      </c>
      <c r="MF34" s="152">
        <f>MAX(1,MIN(7,N('INVOCAÇÕES'!$I$510)))</f>
        <v/>
      </c>
      <c r="MG34" s="152">
        <f>'INVOCAÇÕES'!$J$510&amp;""</f>
        <v/>
      </c>
      <c r="MH34" s="152">
        <f>'INVOCAÇÕES'!$I$515&amp;""</f>
        <v/>
      </c>
      <c r="MI34" s="152">
        <f>'INVOCAÇÕES'!$I$516&amp;""</f>
        <v/>
      </c>
      <c r="MJ34" s="152">
        <f>'INVOCAÇÕES'!$K$516&amp;""</f>
        <v/>
      </c>
      <c r="MK34" s="152">
        <f>'INVOCAÇÕES'!$J$519&amp;""</f>
        <v/>
      </c>
      <c r="ML34" s="152">
        <f>'INVOCAÇÕES'!$J$520&amp;""</f>
        <v/>
      </c>
      <c r="MM34" s="152">
        <f>'INVOCAÇÕES'!$J$521&amp;""</f>
        <v/>
      </c>
      <c r="MN34" s="152">
        <f>'INVOCAÇÕES'!$J$522&amp;""</f>
        <v/>
      </c>
      <c r="MO34" s="152">
        <f>'INVOCAÇÕES'!$J$523&amp;""</f>
        <v/>
      </c>
      <c r="MP34" s="152">
        <f>'INVOCAÇÕES'!$J$524&amp;""</f>
        <v/>
      </c>
      <c r="MQ34" s="152">
        <f>IF($MG34&lt;&gt;"",1,0)</f>
        <v/>
      </c>
      <c r="MR34" s="152">
        <f>INDEX($FI$2:$FI$13,$MB34)</f>
        <v/>
      </c>
      <c r="MS34" s="152">
        <f>INDEX($FJ$2:$FJ$13,$MB34)</f>
        <v/>
      </c>
      <c r="MT34" s="152">
        <f>INDEX($FK$2:$FK$13,$MB34)</f>
        <v/>
      </c>
      <c r="MU34" s="152">
        <f>INDEX($FV$2:$FV$13,$MB34)</f>
        <v/>
      </c>
      <c r="MV34" s="152">
        <f>INDEX($FW$2:$FW$13,$MB34)</f>
        <v/>
      </c>
      <c r="MW34" s="152">
        <f>IFERROR(MATCH($MH34,$V$2:$V$11,0),0)</f>
        <v/>
      </c>
      <c r="MX34" s="152">
        <f>IFERROR(VLOOKUP($MK34,$AV$2:$BA$84,2,FALSE),"")</f>
        <v/>
      </c>
      <c r="MY34" s="152">
        <f>IFERROR(VLOOKUP($ML34,$AV$2:$BA$84,2,FALSE),"")</f>
        <v/>
      </c>
      <c r="MZ34" s="152">
        <f>IFERROR(VLOOKUP($MM34,$AV$2:$BA$84,2,FALSE),"")</f>
        <v/>
      </c>
      <c r="NA34" s="152">
        <f>IFERROR(VLOOKUP($MN34,$AV$2:$BA$84,2,FALSE),"")</f>
        <v/>
      </c>
      <c r="NB34" s="152">
        <f>IFERROR(VLOOKUP($MK34,$AV$2:$BA$84,3,FALSE),0)</f>
        <v/>
      </c>
      <c r="NC34" s="152">
        <f>IFERROR(VLOOKUP($ML34,$AV$2:$BA$84,3,FALSE),0)</f>
        <v/>
      </c>
      <c r="ND34" s="152">
        <f>IFERROR(VLOOKUP($MM34,$AV$2:$BA$84,3,FALSE),0)</f>
        <v/>
      </c>
      <c r="NE34" s="152">
        <f>IFERROR(VLOOKUP($MN34,$AV$2:$BA$84,3,FALSE),0)</f>
        <v/>
      </c>
      <c r="NF34" s="152">
        <f>IF($MF34=0,0,IF($MW34=0,0,INDEX($X$2:$X$11,$MW34)))</f>
        <v/>
      </c>
      <c r="NG34" s="152">
        <f>IF(OR($NB34=0,$MF34=0),0,$NB34+3*IF(AND($MX34&lt;&gt;"",OR($MX34=INDEX($EF$2:$EF$13,$MB34),$MX34=INDEX($EG$2:$EG$13,$MB34))),1,0))</f>
        <v/>
      </c>
      <c r="NH34" s="152">
        <f>IF(OR($NC34=0,$MF34=0),0,$NC34+3*IF(AND($MY34&lt;&gt;"",OR($MY34=INDEX($EF$2:$EF$13,$MB34),$MY34=INDEX($EG$2:$EG$13,$MB34))),1,0))</f>
        <v/>
      </c>
      <c r="NI34" s="152">
        <f>IF(OR($ND34=0,$MF34=0),0,$ND34+3*IF(AND($MZ34&lt;&gt;"",OR($MZ34=INDEX($EF$2:$EF$13,$MB34),$MZ34=INDEX($EG$2:$EG$13,$MB34))),1,0))</f>
        <v/>
      </c>
      <c r="NJ34" s="152">
        <f>IF(OR($NE34=0,$MF34=0),0,$NE34+3*IF(AND($NA34&lt;&gt;"",OR($NA34=INDEX($EF$2:$EF$13,$MB34),$NA34=INDEX($EG$2:$EG$13,$MB34))),1,0))</f>
        <v/>
      </c>
      <c r="NK34" s="152">
        <f>IF($MW34=0,0,IF(INDEX($W$2:$W$11,$MW34)="",0,IF(COUNTIF(INDEX($EF$2:$EJ$13,$MB34,0),INDEX($W$2:$W$11,$MW34))=0,1,0)))</f>
        <v/>
      </c>
      <c r="NL34" s="152">
        <f>IF(OR($NB34=0,$MX34=""),0,IF(COUNTIF(INDEX($EF$2:$EJ$13,$MB34,0),$MX34)=0,1,0))</f>
        <v/>
      </c>
      <c r="NM34" s="152">
        <f>IF(OR($NC34=0,$MY34=""),0,IF(COUNTIF(INDEX($EF$2:$EJ$13,$MB34,0),$MY34)=0,1,0))</f>
        <v/>
      </c>
      <c r="NN34" s="152">
        <f>IF(OR($ND34=0,$MZ34=""),0,IF(COUNTIF(INDEX($EF$2:$EJ$13,$MB34,0),$MZ34)=0,1,0))</f>
        <v/>
      </c>
      <c r="NO34" s="152">
        <f>IF(OR($NE34=0,$NA34=""),0,IF(COUNTIF(INDEX($EF$2:$EJ$13,$MB34,0),$NA34)=0,1,0))</f>
        <v/>
      </c>
      <c r="NP34" s="152">
        <f>IFERROR(VLOOKUP($MK34,$AV$2:$BA$84,4,FALSE),0)+IFERROR(VLOOKUP($ML34,$AV$2:$BA$84,4,FALSE),0)+IFERROR(VLOOKUP($MM34,$AV$2:$BA$84,4,FALSE),0)+IFERROR(VLOOKUP($MN34,$AV$2:$BA$84,4,FALSE),0)</f>
        <v/>
      </c>
      <c r="NQ34" s="152">
        <f>IFERROR(VLOOKUP($MK34,$AV$2:$BA$84,6,FALSE),0)+IFERROR(VLOOKUP($ML34,$AV$2:$BA$84,6,FALSE),0)+IFERROR(VLOOKUP($MM34,$AV$2:$BA$84,6,FALSE),0)+IFERROR(VLOOKUP($MN34,$AV$2:$BA$84,6,FALSE),0)</f>
        <v/>
      </c>
      <c r="NR34" s="152">
        <f>TEXTJOIN(", ",TRUE,IF(IFERROR(VLOOKUP($MK34,$AV$2:$BA$84,5,FALSE),0)=1,$MK34,""),IF(IFERROR(VLOOKUP($ML34,$AV$2:$BA$84,5,FALSE),0)=1,$ML34,""),IF(IFERROR(VLOOKUP($MM34,$AV$2:$BA$84,5,FALSE),0)=1,$MM34,""),IF(IFERROR(VLOOKUP($MN34,$AV$2:$BA$84,5,FALSE),0)=1,$MN34,""))</f>
        <v/>
      </c>
      <c r="NS34" s="152">
        <f>IF($MW34=0,0,INDEX($Y$2:$Y$11,$MW34))</f>
        <v/>
      </c>
      <c r="NT34" s="152">
        <f>IF($MW34=0,0,INDEX($Z$2:$Z$11,$MW34))</f>
        <v/>
      </c>
      <c r="NU34" s="152">
        <f>IF($MW34=0,0,INDEX($AB$2:$AB$11,$MW34))</f>
        <v/>
      </c>
      <c r="NV34" s="152">
        <f>IFERROR(VLOOKUP($MO34,$BC$2:$BG$24,3,FALSE),0)</f>
        <v/>
      </c>
      <c r="NW34" s="152">
        <f>IFERROR(VLOOKUP($MP34,$BC$2:$BG$24,3,FALSE),0)</f>
        <v/>
      </c>
      <c r="NX34" s="152">
        <f>IFERROR(VLOOKUP($MO34,$BC$2:$BG$24,2,FALSE),"")</f>
        <v/>
      </c>
      <c r="NY34" s="152">
        <f>IFERROR(VLOOKUP($MP34,$BC$2:$BG$24,2,FALSE),"")</f>
        <v/>
      </c>
      <c r="NZ34" s="152">
        <f>COUNTIF($NF34:$NJ34,1)</f>
        <v/>
      </c>
      <c r="OA34" s="152">
        <f>COUNTIF($NF34:$NJ34,2)</f>
        <v/>
      </c>
      <c r="OB34" s="152">
        <f>COUNTIF($NF34:$NJ34,3)</f>
        <v/>
      </c>
      <c r="OC34" s="152">
        <f>COUNTIF($NF34:$NJ34,4)</f>
        <v/>
      </c>
      <c r="OD34" s="152">
        <f>COUNTIF($NF34:$NJ34,5)</f>
        <v/>
      </c>
      <c r="OE34" s="152">
        <f>COUNTIF($NF34:$NJ34,6)</f>
        <v/>
      </c>
      <c r="OF34" s="152">
        <f>COUNTIF($NV34:$NW34,1)</f>
        <v/>
      </c>
      <c r="OG34" s="152">
        <f>COUNTIF($NV34:$NW34,2)+$NS34</f>
        <v/>
      </c>
      <c r="OH34" s="152">
        <f>COUNTIF($MK34:$MN34,"?*")</f>
        <v/>
      </c>
      <c r="OI34" s="152">
        <f>COUNTIF($MO34:$MP34,"?*")+$NS34</f>
        <v/>
      </c>
      <c r="OJ34" s="152">
        <f>IF($MF34=0,0,SUMPRODUCT($NZ34:$OE34,INDEX($I$2:$N$8,MAX(1,$MF34),0)))</f>
        <v/>
      </c>
      <c r="OK34" s="152">
        <f>IF($MF34=0,0,$OF34*CEILING($MF34/2,1)+$OG34*$MF34)</f>
        <v/>
      </c>
      <c r="OL34" s="152">
        <f>MIN(2*$MF34,$OK34)</f>
        <v/>
      </c>
      <c r="OM34" s="152">
        <f>MIN($OL34,$OJ34)</f>
        <v/>
      </c>
      <c r="ON34" s="152">
        <f>$OL34-$OM34</f>
        <v/>
      </c>
      <c r="OO34" s="152">
        <f>IF($MF34=0,0,INDEX($P$2:$P$8,MAX(1,$MF34)))</f>
        <v/>
      </c>
      <c r="OP34" s="152">
        <f>$OO34-$OJ34+$OM34</f>
        <v/>
      </c>
      <c r="OQ34" s="152">
        <f>IF($MF34=0,MAX(0,$MT34-IF($OH34&gt;0,1,0)),MAX(0,$OP34))</f>
        <v/>
      </c>
      <c r="OR34" s="152">
        <f>IF($MF34=0,0,(IF(COUNTIF($MK34:$MN34,"Salto")&gt;0,1,0)+IF(COUNTIF($MK34:$MN34,"Queima")&gt;0,1,0)+IF(COUNTIF($MK34:$MN34,"Estilhaço")&gt;0,1,0))*FLOOR($OQ34/2,1))</f>
        <v/>
      </c>
      <c r="OS34" s="152">
        <f>MAX(0,2-SUMPRODUCT($NZ34:$OE34,$I$2:$N$2)+MIN(2,$OF34*1+$OG34*1,SUMPRODUCT($NZ34:$OE34,$I$2:$N$2)))</f>
        <v/>
      </c>
      <c r="OT34" s="152">
        <f>MAX(0,4-SUMPRODUCT($NZ34:$OE34,$I$3:$N$3)+MIN(4,$OF34*1+$OG34*2,SUMPRODUCT($NZ34:$OE34,$I$3:$N$3)))</f>
        <v/>
      </c>
      <c r="OU34" s="152">
        <f>MAX(0,6-SUMPRODUCT($NZ34:$OE34,$I$4:$N$4)+MIN(6,$OF34*2+$OG34*3,SUMPRODUCT($NZ34:$OE34,$I$4:$N$4)))</f>
        <v/>
      </c>
      <c r="OV34" s="152">
        <f>MAX(0,9-SUMPRODUCT($NZ34:$OE34,$I$5:$N$5)+MIN(8,$OF34*2+$OG34*4,SUMPRODUCT($NZ34:$OE34,$I$5:$N$5)))</f>
        <v/>
      </c>
      <c r="OW34" s="152">
        <f>MAX(0,11-SUMPRODUCT($NZ34:$OE34,$I$6:$N$6)+MIN(10,$OF34*3+$OG34*5,SUMPRODUCT($NZ34:$OE34,$I$6:$N$6)))</f>
        <v/>
      </c>
      <c r="OX34" s="152">
        <f>MAX(0,13-SUMPRODUCT($NZ34:$OE34,$I$7:$N$7)+MIN(12,$OF34*3+$OG34*6,SUMPRODUCT($NZ34:$OE34,$I$7:$N$7)))</f>
        <v/>
      </c>
      <c r="OY34" s="152">
        <f>MAX(0,16-SUMPRODUCT($NZ34:$OE34,$I$8:$N$8)+MIN(14,$OF34*4+$OG34*7,SUMPRODUCT($NZ34:$OE34,$I$8:$N$8)))</f>
        <v/>
      </c>
      <c r="OZ34" s="152">
        <f>IF($NT34=2,3*$OS34&amp;" de vida temp.",IF($NT34=3,"sem dano",IF($OS34=0,IF($NT34=1,"sem cura","sem dano"),IF($NT34=1,"cura ","")&amp;$OS34&amp;"d8")))</f>
        <v/>
      </c>
      <c r="PA34" s="152">
        <f>IF($NT34=2,3*$OT34&amp;" de vida temp.",IF($NT34=3,"sem dano",IF($OT34=0,IF($NT34=1,"sem cura","sem dano"),IF($NT34=1,"cura ","")&amp;$OT34&amp;"d8")))</f>
        <v/>
      </c>
      <c r="PB34" s="152">
        <f>IF($NT34=2,3*$OU34&amp;" de vida temp.",IF($NT34=3,"sem dano",IF($OU34=0,IF($NT34=1,"sem cura","sem dano"),IF($NT34=1,"cura ","")&amp;$OU34&amp;"d8")))</f>
        <v/>
      </c>
      <c r="PC34" s="152">
        <f>IF($NT34=2,3*$OV34&amp;" de vida temp.",IF($NT34=3,"sem dano",IF($OV34=0,IF($NT34=1,"sem cura","sem dano"),IF($NT34=1,"cura ","")&amp;$OV34&amp;"d8")))</f>
        <v/>
      </c>
      <c r="PD34" s="152">
        <f>IF($NT34=2,3*$OW34&amp;" de vida temp.",IF($NT34=3,"sem dano",IF($OW34=0,IF($NT34=1,"sem cura","sem dano"),IF($NT34=1,"cura ","")&amp;$OW34&amp;"d8")))</f>
        <v/>
      </c>
      <c r="PE34" s="152">
        <f>IF($NT34=2,3*$OX34&amp;" de vida temp.",IF($NT34=3,"sem dano",IF($OX34=0,IF($NT34=1,"sem cura","sem dano"),IF($NT34=1,"cura ","")&amp;$OX34&amp;"d8")))</f>
        <v/>
      </c>
      <c r="PF34" s="152">
        <f>IF($NT34=2,3*$OY34&amp;" de vida temp.",IF($NT34=3,"sem dano",IF($OY34=0,IF($NT34=1,"sem cura","sem dano"),IF($NT34=1,"cura ","")&amp;$OY34&amp;"d8")))</f>
        <v/>
      </c>
      <c r="PG34" s="152">
        <f>IF($MQ34=0,"",TEXTJOIN(" · ",TRUE,IF($MD34&gt;$MR34,"Este lugar abre no nível "&amp;$MD34,""),IF($MF34&gt;$MS34,"Classe "&amp;$MF34&amp;": o nível "&amp;$MR34&amp;" libera até a "&amp;$MS34,""),IF($NK34=1,"A Forma "&amp;$MH34&amp;" pede "&amp;INDEX($W$2:$W$11,$MW34)&amp;" aberta",""),IF(AND($MF34=0,$MW34&gt;0,IF($MW34=0,0,INDEX($AF$2:$AF$11,$MW34))=0),$MH34&amp;" não existe na Classe 0",""),IF($NL34=1,"Família Fechada: "&amp;$MK34,""),IF($NM34=1,"Família Fechada: "&amp;$ML34,""),IF($NN34=1,"Família Fechada: "&amp;$MM34,""),IF($NO34=1,"Família Fechada: "&amp;$MN34,""),IF(AND($MF34&gt;0,$OH34&gt;INDEX($O$2:$O$8,MAX(1,$MF34))),$OH34&amp;" Melhorias: a Classe "&amp;$MF34&amp;" aceita "&amp;INDEX($O$2:$O$8,MAX(1,$MF34)),""),IF(AND($MF34=0,$OH34&gt;1),"A básica aceita uma Melhoria",""),IF(AND($MF34=0,COUNTIF($NB34:$NE34,"&gt;1")&gt;0),"A básica só aceita Melhoria Leve",""),IF(AND($MF34&gt;0,$OI34&gt;2),$OI34&amp;" Restrições"&amp;IF($NS34=1,", contando a que a Forma "&amp;$MH34&amp;" já traz","")&amp;": o limite é 2",""),IF(AND($MF34=0,COUNTIF($MO34:$MP34,"?*")&gt;1),"A básica aceita uma Restrição Leve",""),IF(AND($MF34=0,COUNTIF($NV34:$NW34,2)&gt;0),"A básica só aceita Restrição Leve",""),IF(AND($MF34&gt;0,$OP34&lt;0),"Orçamento estourado: faltam "&amp;(-$OP34)&amp;IF($OP34&lt;-1," pontos"," ponto"),""),IF(IFERROR(VLOOKUP($MO34,$BC$2:$BG$24,4,FALSE),0)+IFERROR(VLOOKUP($MP34,$BC$2:$BG$24,4,FALSE),0)&gt;1,$NX34&amp;" e "&amp;$NY34&amp;" são as duas de frequência",""),IF(AND((COUNTIF($MK34:$MN34,"Rápido")+COUNTIF($NX34:$NY34,"Rápido"))&gt;0,(COUNTIF($MK34:$MN34,"Atrasar")+COUNTIF($NX34:$NY34,"Atrasar"))&gt;0),"Rápido não entra com Atrasar",""),IF(AND((COUNTIF($MK34:$MN34,"Reação")+COUNTIF($NX34:$NY34,"Reação"))&gt;0,(COUNTIF($MK34:$MN34,"Rápido")+COUNTIF($NX34:$NY34,"Rápido"))&gt;0),"Reação não entra com Rápido",""),IF(AND((COUNTIF($MK34:$MN34,"Reação")+COUNTIF($NX34:$NY34,"Reação"))&gt;0,(COUNTIF($MK34:$MN34,"Armado")+COUNTIF($NX34:$NY34,"Armado"))&gt;0),"Reação não entra com Armado",""),IF(AND((COUNTIF($MK34:$MN34,"Reação")+COUNTIF($NX34:$NY34,"Reação"))&gt;0,(COUNTIF($MK34:$MN34,"Atrasar")+COUNTIF($NX34:$NY34,"Atrasar"))&gt;0),"Reação não entra com Atrasar",""),IF(AND((COUNTIF($MK34:$MN34,"Reação")+COUNTIF($NX34:$NY34,"Reação"))&gt;0,(COUNTIF($MK34:$MN34,"Parado")+COUNTIF($NX34:$NY34,"Parado"))&gt;0),"Reação não entra com Parado",""),IF(AND((COUNTIF($MK34:$MN34,"Atrasar")+COUNTIF($NX34:$NY34,"Atrasar"))&gt;0,(COUNTIF($MK34:$MN34,"Parado")+COUNTIF($NX34:$NY34,"Parado"))&gt;0),"Atrasar não entra com Parado",""),IF(AND((COUNTIF($MK34:$MN34,"Armado")+COUNTIF($NX34:$NY34,"Armado"))&gt;0,(COUNTIF($MK34:$MN34,"Carregar")+COUNTIF($NX34:$NY34,"Carregar"))&gt;0),"Armado não entra com Carregar",""),IF(AND(COUNTIF($NX34:$NY34,"Corpo a Corpo")&gt;0,$NS34=0,OR($MH34="Cone",$MH34="Linha")),"Corpo a Corpo não entra em "&amp;$MH34,""),IF(AND(COUNTIF($NX34:$NY34,"Corpo a Corpo")&gt;0,$NS34=1),"A Forma "&amp;$MH34&amp;" já traz o Corpo a Corpo",""),IF(AND(COUNTIF($NX34:$NY34,"Tudo ou Nada")&gt;0,$NU34=0),"Tudo ou Nada só entra em habilidade de Teste de Resistência",""),IF(AND(COUNTIF($MK34:$MN34,"Inescapável")&gt;0,OR($OH34&gt;1,$OI34&gt;0)),"Inescapável não aceita outra peça",""),IF(AND($MF34&gt;0,$OQ34*IF(COUNTIF($MK34:$MN34,"Remate")&gt;0,1.25,1)+$OR34&gt;4*$MF34),($OQ34*IF(COUNTIF($MK34:$MN34,"Remate")&gt;0,1.25,1)+$OR34)&amp;" dados somando repetições"&amp;IF(COUNTIF($MK34:$MN34,"Remate")&gt;0," e o Remate","")&amp;": o teto da Classe "&amp;$MF34&amp;" é "&amp;4*$MF34,"")))</f>
        <v/>
      </c>
      <c r="PH34" s="152">
        <f>IF($PG34="",0,(LEN($PG34)-LEN(SUBSTITUTE($PG34," · ","")))/3+1)</f>
        <v/>
      </c>
      <c r="PI34" s="152">
        <f>IF($MQ34=0,"",TEXTJOIN(" · ",TRUE,IF($OK34&gt;2*$MF34,"A devolução parou no teto de "&amp;2*$MF34,""),IF($ON34&gt;0,"Devolução perdida: "&amp;$ON34&amp;IF($ON34&gt;1," pontos"," ponto")&amp;" sem peça para pagar",""),IF(AND($NP34&gt;0,AND($MF34&gt;0,$NT34=0),$OQ34=0),"Controle sem dano: uma rodada a mais e CD +2",""),IF(AND($NP34&gt;0,AND($MF34&gt;0,$NT34=0),$OQ34&gt;0,$OQ34&lt;=$MF34),"Controle com saldo até a Classe: uma rodada a mais",""),IF(AND($MF34&gt;0,$NR34&lt;&gt;""),"Efeito de "&amp;$NR34&amp;" pela Classe "&amp;MAX(1,$MF34-1),"")))</f>
        <v/>
      </c>
      <c r="PJ34" s="152">
        <f>IF($PI34="",0,(LEN($PI34)-LEN(SUBSTITUTE($PI34," · ","")))/3+1)</f>
        <v/>
      </c>
      <c r="PK34" s="152">
        <f>IF($MQ34=0,IF($OH34+COUNTIF($MO34:$MP34,"?*")&gt;0,"Dê um nome",""),IF($PH34&gt;0,"⚠ "&amp;$PH34&amp;IF($PH34&gt;1," erros"," erro"),IF($PJ34&gt;0,"! "&amp;$PJ34&amp;IF($PJ34&gt;1," avisos"," aviso"),"Na regra")))</f>
        <v/>
      </c>
      <c r="PL34" s="152">
        <f>IF($MQ34=0,"",IF($PH34+$PJ34=0,"Dentro das regras que a ficha confere",$PG34&amp;IF(AND($PH34&gt;0,$PJ34&gt;0)," · ","")&amp;$PI34))</f>
        <v/>
      </c>
      <c r="PM34" s="152">
        <f>IF($MD34&gt;$MR34,$ME34&amp;" · ABRE NO NÍVEL "&amp;$MD34,$ME34)</f>
        <v/>
      </c>
      <c r="PN34" s="152">
        <f>IF($MQ34=0,"",IF($MF34=0,"Sem PE",3*$MF34&amp;" PE"))</f>
        <v/>
      </c>
      <c r="PO34" s="152">
        <f>IF($MQ34=0,"",IF($MF34=0,"A atuação básica dela",IF(COUNTIF($NX34:$NY34,"Atrasar")&gt;0,"Sua Ação Completa",IF(COUNTIF($MK34:$MN34,"Rápido")&gt;0,"Sua Bônus",IF(COUNTIF($MK34:$MN34,"Reação")&gt;0,"Sua Reação","Sua Padrão")))&amp;" + a básica dela"&amp;IF(COUNTIF($MK34:$MN34,"Reação")&gt;0," e a coletiva","")&amp;IF(COUNTIF($NX34:$NY34,"Carregar")&gt;0," · em dois turnos","")))</f>
        <v/>
      </c>
      <c r="PP34" s="152">
        <f>IF($MJ34&lt;&gt;"",$MJ34,IF($MW34=0,"",INDEX($AA$2:$AA$11,$MW34)))</f>
        <v/>
      </c>
      <c r="PQ34" s="152">
        <f>IF(OR($MQ34=0,$MW34=0),"",IF(COUNTIF($MK34:$MN34,"Inescapável")&gt;0,"Automático",IF($PP34="Ataque",IF($MU34="","Ataque","Ataque "&amp;IF(($MU34+2*IF(COUNTIF($MK34:$MN34,"Precisão")&gt;0,1,0))&gt;=0,"+","−")&amp;ABS(($MU34+2*IF(COUNTIF($MK34:$MN34,"Precisão")&gt;0,1,0))))&amp;IF($NQ34&gt;0," · TR"&amp;IF($MV34="",""," CD "&amp;$MV34),""),IF(LEFT($PP34,2)="TR",$PP34&amp;IF($MV34="",""," · CD "&amp;$MV34)&amp;IF(COUNTIF($MK34:$MN34,"Certeiro")&gt;0," · metade",""),"Sem rolagem"))))</f>
        <v/>
      </c>
      <c r="PR34" s="152">
        <f>IF(OR($MQ34=0,$MW34=0),"",IF($MF34=0,IF(OR($NT34&gt;=1,$OQ34=0),"Sem dano",$OQ34&amp;"d6"&amp;IF($MI34="",""," "&amp;$MI34)),IF(OR($NT34&gt;=1,$OQ34=0),UPPER(LEFT(INDEX($OZ34:$PF34,1,MAX(1,$MF34)),1))&amp;MID(INDEX($OZ34:$PF34,1,MAX(1,$MF34)),2,99),UPPER(LEFT(INDEX($OZ34:$PF34,1,MAX(1,$MF34)),1))&amp;MID(INDEX($OZ34:$PF34,1,MAX(1,$MF34)),2,99)&amp;IF($MI34="",""," "&amp;$MI34)&amp;IF($OR34&gt;0," · +"&amp;$OR34&amp;"d8",""))))</f>
        <v/>
      </c>
      <c r="PS34" s="152">
        <f>COUNTIF($MK34:$MN34,"Longe")+3*COUNTIF($MK34:$MN34,"Muito Longe")</f>
        <v/>
      </c>
      <c r="PT34" s="152">
        <f>COUNTIF($MK34:$MN34,"Maior")+3*COUNTIF($MK34:$MN34,"Muito Maior")</f>
        <v/>
      </c>
      <c r="PU34" s="152">
        <f>IF($MW34=0,0,CHOOSE(1+INDEX($AC$2:$AC$11,$MW34),0,$PS34,$PT34,$PS34+$PT34))</f>
        <v/>
      </c>
      <c r="PV34" s="152">
        <f>IF($MW34=0,0,CHOOSE(1+INDEX($AD$2:$AD$11,$MW34),0,$PS34,$PT34,$PS34+$PT34))</f>
        <v/>
      </c>
      <c r="PW34" s="152">
        <f>IF(OR($MQ34=0,$MW34=0),"",INDEX($AI$2:$AN$41,($MW34-1)*4+IF($MF34=0,1,IF($MF34&lt;=5,2,IF($MF34=6,3,4))),1+MIN(5,$PU34))&amp;INDEX($AO$2:$AT$41,($MW34-1)*4+IF($MF34=0,1,IF($MF34&lt;=5,2,IF($MF34=6,3,4))),1+MIN(5,$PV34))&amp;IF(INDEX($AE$2:$AE$11,$MW34)=1,IF(COUNTIF($MK34:$MN34,"Mais Um")&gt;0," · +"&amp;COUNTIF($MK34:$MN34,"Mais Um")&amp;IF(COUNTIF($MK34:$MN34,"Mais Um")&gt;1," alvos"," alvo"),"")&amp;IF(COUNTIF($MK34:$MN34,"Rajada")&gt;0,IF($MF34=0," · 1 tiro"," · "&amp;(MAX(1,$MF34-1)+1)&amp;" tiros"),""),""))</f>
        <v/>
      </c>
      <c r="PX34" s="152">
        <f>IF($MQ34=0,"",IF($MF34=0,$MT34&amp;"d6"&amp;IF($OH34&gt;0," − 1 = "&amp;$OQ34&amp;"d6"," da básica do nível "&amp;$MR34),$OO34&amp;" − "&amp;$OJ34&amp;" + "&amp;$OM34&amp;" = "&amp;$OP34&amp;" · teto "&amp;4*$MF34&amp;"d8"&amp;IF($NS34=1," · a Forma devolve "&amp;$MF34,"")&amp;IF($ON34&gt;0," · perde "&amp;$ON34,"")))</f>
        <v/>
      </c>
      <c r="PY34" s="152">
        <f>IF($MQ34=0,"",IF($MF34=0,"A básica não amplia: os dados dela sobem com o nível",IF($MF34&gt;=$MS34,"Já está na maior Classe que o nível liberou",TEXTJOIN(" · ",TRUE,IF(AND(2&gt;$MF34,2&lt;=$MS34),"2 → "&amp;$PA34&amp;", 6 PE",""),IF(AND(3&gt;$MF34,3&lt;=$MS34),"3 → "&amp;$PB34&amp;", 9 PE",""),IF(AND(4&gt;$MF34,4&lt;=$MS34),"4 → "&amp;$PC34&amp;", 12 PE",""),IF(AND(5&gt;$MF34,5&lt;=$MS34),"5 → "&amp;$PD34&amp;", 15 PE",""),IF(AND(6&gt;$MF34,6&lt;=$MS34),"6 → "&amp;$PE34&amp;", 18 PE",""),IF(AND(7&gt;$MF34,7&lt;=$MS34),"7 → "&amp;$PF34&amp;", 21 PE","")))))</f>
        <v/>
      </c>
      <c r="PZ34" s="152">
        <f>IF(OR($MQ34=0,$NB34=0),"",IF($MF34=0,"−1 dado","−"&amp;INDEX($I$2:$N$8,MAX(1,$MF34),MAX(1,$NG34))&amp;" · "&amp;CHOOSE(MAX(1,$NG34),"Leve","Média","Pesada","Leve · Livre","Média · Livre","Pesada · Livre")))</f>
        <v/>
      </c>
      <c r="QA34" s="152">
        <f>IF(OR($MQ34=0,$NC34=0),"",IF($MF34=0,"−1 dado","−"&amp;INDEX($I$2:$N$8,MAX(1,$MF34),MAX(1,$NH34))&amp;" · "&amp;CHOOSE(MAX(1,$NH34),"Leve","Média","Pesada","Leve · Livre","Média · Livre","Pesada · Livre")))</f>
        <v/>
      </c>
      <c r="QB34" s="152">
        <f>IF(OR($MQ34=0,$ND34=0),"",IF($MF34=0,"−1 dado","−"&amp;INDEX($I$2:$N$8,MAX(1,$MF34),MAX(1,$NI34))&amp;" · "&amp;CHOOSE(MAX(1,$NI34),"Leve","Média","Pesada","Leve · Livre","Média · Livre","Pesada · Livre")))</f>
        <v/>
      </c>
      <c r="QC34" s="152">
        <f>IF(OR($MQ34=0,$NE34=0),"",IF($MF34=0,"−1 dado","−"&amp;INDEX($I$2:$N$8,MAX(1,$MF34),MAX(1,$NJ34))&amp;" · "&amp;CHOOSE(MAX(1,$NJ34),"Leve","Média","Pesada","Leve · Livre","Média · Livre","Pesada · Livre")))</f>
        <v/>
      </c>
      <c r="QD34" s="152">
        <f>IF(OR($MQ34=0,$MO34=""),"",IF($MF34=0,"não devolve","+"&amp;IF($NV34=1,CEILING($MF34/2,1),$MF34)))</f>
        <v/>
      </c>
      <c r="QE34" s="152">
        <f>IF(OR($MQ34=0,$MP34=""),"",IF($MF34=0,"não devolve","+"&amp;IF($NW34=1,CEILING($MF34/2,1),$MF34)))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BA35" s="152" t="n">
        <v>1</v>
      </c>
      <c r="JG35" s="152">
        <f>IF(OR($AW35="",COUNTIF($EF$2:$EJ$2,$AW35)&gt;0),$AV35,"")</f>
        <v/>
      </c>
      <c r="JH35" s="152">
        <f>IF(AND($AX35=1,OR($AW35="",COUNTIF($EF$2:$EJ$2,$AW35)&gt;0)),$AV35,"")</f>
        <v/>
      </c>
      <c r="JM35" s="152">
        <f>IF(OR($AW35="",COUNTIF($EF$3:$EJ$3,$AW35)&gt;0),$AV35,"")</f>
        <v/>
      </c>
      <c r="JN35" s="152">
        <f>IF(AND($AX35=1,OR($AW35="",COUNTIF($EF$3:$EJ$3,$AW35)&gt;0)),$AV35,"")</f>
        <v/>
      </c>
      <c r="JS35" s="152">
        <f>IF(OR($AW35="",COUNTIF($EF$4:$EJ$4,$AW35)&gt;0),$AV35,"")</f>
        <v/>
      </c>
      <c r="JT35" s="152">
        <f>IF(AND($AX35=1,OR($AW35="",COUNTIF($EF$4:$EJ$4,$AW35)&gt;0)),$AV35,"")</f>
        <v/>
      </c>
      <c r="JY35" s="152">
        <f>IF(OR($AW35="",COUNTIF($EF$5:$EJ$5,$AW35)&gt;0),$AV35,"")</f>
        <v/>
      </c>
      <c r="JZ35" s="152">
        <f>IF(AND($AX35=1,OR($AW35="",COUNTIF($EF$5:$EJ$5,$AW35)&gt;0)),$AV35,"")</f>
        <v/>
      </c>
      <c r="KE35" s="152">
        <f>IF(OR($AW35="",COUNTIF($EF$6:$EJ$6,$AW35)&gt;0),$AV35,"")</f>
        <v/>
      </c>
      <c r="KF35" s="152">
        <f>IF(AND($AX35=1,OR($AW35="",COUNTIF($EF$6:$EJ$6,$AW35)&gt;0)),$AV35,"")</f>
        <v/>
      </c>
      <c r="KK35" s="152">
        <f>IF(OR($AW35="",COUNTIF($EF$7:$EJ$7,$AW35)&gt;0),$AV35,"")</f>
        <v/>
      </c>
      <c r="KL35" s="152">
        <f>IF(AND($AX35=1,OR($AW35="",COUNTIF($EF$7:$EJ$7,$AW35)&gt;0)),$AV35,"")</f>
        <v/>
      </c>
      <c r="KQ35" s="152">
        <f>IF(OR($AW35="",COUNTIF($EF$8:$EJ$8,$AW35)&gt;0),$AV35,"")</f>
        <v/>
      </c>
      <c r="KR35" s="152">
        <f>IF(AND($AX35=1,OR($AW35="",COUNTIF($EF$8:$EJ$8,$AW35)&gt;0)),$AV35,"")</f>
        <v/>
      </c>
      <c r="KW35" s="152">
        <f>IF(OR($AW35="",COUNTIF($EF$9:$EJ$9,$AW35)&gt;0),$AV35,"")</f>
        <v/>
      </c>
      <c r="KX35" s="152">
        <f>IF(AND($AX35=1,OR($AW35="",COUNTIF($EF$9:$EJ$9,$AW35)&gt;0)),$AV35,"")</f>
        <v/>
      </c>
      <c r="LC35" s="152">
        <f>IF(OR($AW35="",COUNTIF($EF$10:$EJ$10,$AW35)&gt;0),$AV35,"")</f>
        <v/>
      </c>
      <c r="LD35" s="152">
        <f>IF(AND($AX35=1,OR($AW35="",COUNTIF($EF$10:$EJ$10,$AW35)&gt;0)),$AV35,"")</f>
        <v/>
      </c>
      <c r="LI35" s="152">
        <f>IF(OR($AW35="",COUNTIF($EF$11:$EJ$11,$AW35)&gt;0),$AV35,"")</f>
        <v/>
      </c>
      <c r="LJ35" s="152">
        <f>IF(AND($AX35=1,OR($AW35="",COUNTIF($EF$11:$EJ$11,$AW35)&gt;0)),$AV35,"")</f>
        <v/>
      </c>
      <c r="LO35" s="152">
        <f>IF(OR($AW35="",COUNTIF($EF$12:$EJ$12,$AW35)&gt;0),$AV35,"")</f>
        <v/>
      </c>
      <c r="LP35" s="152">
        <f>IF(AND($AX35=1,OR($AW35="",COUNTIF($EF$12:$EJ$12,$AW35)&gt;0)),$AV35,"")</f>
        <v/>
      </c>
      <c r="LU35" s="152">
        <f>IF(OR($AW35="",COUNTIF($EF$13:$EJ$13,$AW35)&gt;0),$AV35,"")</f>
        <v/>
      </c>
      <c r="LV35" s="152">
        <f>IF(AND($AX35=1,OR($AW35="",COUNTIF($EF$13:$EJ$13,$AW35)&gt;0)),$AV35,"")</f>
        <v/>
      </c>
      <c r="MA35" s="150" t="inlineStr">
        <is>
          <t>Ficha 3 · Especial 6</t>
        </is>
      </c>
      <c r="MB35" s="152" t="n">
        <v>3</v>
      </c>
      <c r="MC35" s="152" t="n">
        <v>1</v>
      </c>
      <c r="MD35" s="152" t="n">
        <v>20</v>
      </c>
      <c r="ME35" s="150" t="inlineStr">
        <is>
          <t>ESPECIAL 6</t>
        </is>
      </c>
      <c r="MF35" s="152">
        <f>MAX(1,MIN(7,N('INVOCAÇÕES'!$O$510)))</f>
        <v/>
      </c>
      <c r="MG35" s="152">
        <f>'INVOCAÇÕES'!$P$510&amp;""</f>
        <v/>
      </c>
      <c r="MH35" s="152">
        <f>'INVOCAÇÕES'!$O$515&amp;""</f>
        <v/>
      </c>
      <c r="MI35" s="152">
        <f>'INVOCAÇÕES'!$O$516&amp;""</f>
        <v/>
      </c>
      <c r="MJ35" s="152">
        <f>'INVOCAÇÕES'!$Q$516&amp;""</f>
        <v/>
      </c>
      <c r="MK35" s="152">
        <f>'INVOCAÇÕES'!$P$519&amp;""</f>
        <v/>
      </c>
      <c r="ML35" s="152">
        <f>'INVOCAÇÕES'!$P$520&amp;""</f>
        <v/>
      </c>
      <c r="MM35" s="152">
        <f>'INVOCAÇÕES'!$P$521&amp;""</f>
        <v/>
      </c>
      <c r="MN35" s="152">
        <f>'INVOCAÇÕES'!$P$522&amp;""</f>
        <v/>
      </c>
      <c r="MO35" s="152">
        <f>'INVOCAÇÕES'!$P$523&amp;""</f>
        <v/>
      </c>
      <c r="MP35" s="152">
        <f>'INVOCAÇÕES'!$P$524&amp;""</f>
        <v/>
      </c>
      <c r="MQ35" s="152">
        <f>IF($MG35&lt;&gt;"",1,0)</f>
        <v/>
      </c>
      <c r="MR35" s="152">
        <f>INDEX($FI$2:$FI$13,$MB35)</f>
        <v/>
      </c>
      <c r="MS35" s="152">
        <f>INDEX($FJ$2:$FJ$13,$MB35)</f>
        <v/>
      </c>
      <c r="MT35" s="152">
        <f>INDEX($FK$2:$FK$13,$MB35)</f>
        <v/>
      </c>
      <c r="MU35" s="152">
        <f>INDEX($FV$2:$FV$13,$MB35)</f>
        <v/>
      </c>
      <c r="MV35" s="152">
        <f>INDEX($FW$2:$FW$13,$MB35)</f>
        <v/>
      </c>
      <c r="MW35" s="152">
        <f>IFERROR(MATCH($MH35,$V$2:$V$11,0),0)</f>
        <v/>
      </c>
      <c r="MX35" s="152">
        <f>IFERROR(VLOOKUP($MK35,$AV$2:$BA$84,2,FALSE),"")</f>
        <v/>
      </c>
      <c r="MY35" s="152">
        <f>IFERROR(VLOOKUP($ML35,$AV$2:$BA$84,2,FALSE),"")</f>
        <v/>
      </c>
      <c r="MZ35" s="152">
        <f>IFERROR(VLOOKUP($MM35,$AV$2:$BA$84,2,FALSE),"")</f>
        <v/>
      </c>
      <c r="NA35" s="152">
        <f>IFERROR(VLOOKUP($MN35,$AV$2:$BA$84,2,FALSE),"")</f>
        <v/>
      </c>
      <c r="NB35" s="152">
        <f>IFERROR(VLOOKUP($MK35,$AV$2:$BA$84,3,FALSE),0)</f>
        <v/>
      </c>
      <c r="NC35" s="152">
        <f>IFERROR(VLOOKUP($ML35,$AV$2:$BA$84,3,FALSE),0)</f>
        <v/>
      </c>
      <c r="ND35" s="152">
        <f>IFERROR(VLOOKUP($MM35,$AV$2:$BA$84,3,FALSE),0)</f>
        <v/>
      </c>
      <c r="NE35" s="152">
        <f>IFERROR(VLOOKUP($MN35,$AV$2:$BA$84,3,FALSE),0)</f>
        <v/>
      </c>
      <c r="NF35" s="152">
        <f>IF($MF35=0,0,IF($MW35=0,0,INDEX($X$2:$X$11,$MW35)))</f>
        <v/>
      </c>
      <c r="NG35" s="152">
        <f>IF(OR($NB35=0,$MF35=0),0,$NB35+3*IF(AND($MX35&lt;&gt;"",OR($MX35=INDEX($EF$2:$EF$13,$MB35),$MX35=INDEX($EG$2:$EG$13,$MB35))),1,0))</f>
        <v/>
      </c>
      <c r="NH35" s="152">
        <f>IF(OR($NC35=0,$MF35=0),0,$NC35+3*IF(AND($MY35&lt;&gt;"",OR($MY35=INDEX($EF$2:$EF$13,$MB35),$MY35=INDEX($EG$2:$EG$13,$MB35))),1,0))</f>
        <v/>
      </c>
      <c r="NI35" s="152">
        <f>IF(OR($ND35=0,$MF35=0),0,$ND35+3*IF(AND($MZ35&lt;&gt;"",OR($MZ35=INDEX($EF$2:$EF$13,$MB35),$MZ35=INDEX($EG$2:$EG$13,$MB35))),1,0))</f>
        <v/>
      </c>
      <c r="NJ35" s="152">
        <f>IF(OR($NE35=0,$MF35=0),0,$NE35+3*IF(AND($NA35&lt;&gt;"",OR($NA35=INDEX($EF$2:$EF$13,$MB35),$NA35=INDEX($EG$2:$EG$13,$MB35))),1,0))</f>
        <v/>
      </c>
      <c r="NK35" s="152">
        <f>IF($MW35=0,0,IF(INDEX($W$2:$W$11,$MW35)="",0,IF(COUNTIF(INDEX($EF$2:$EJ$13,$MB35,0),INDEX($W$2:$W$11,$MW35))=0,1,0)))</f>
        <v/>
      </c>
      <c r="NL35" s="152">
        <f>IF(OR($NB35=0,$MX35=""),0,IF(COUNTIF(INDEX($EF$2:$EJ$13,$MB35,0),$MX35)=0,1,0))</f>
        <v/>
      </c>
      <c r="NM35" s="152">
        <f>IF(OR($NC35=0,$MY35=""),0,IF(COUNTIF(INDEX($EF$2:$EJ$13,$MB35,0),$MY35)=0,1,0))</f>
        <v/>
      </c>
      <c r="NN35" s="152">
        <f>IF(OR($ND35=0,$MZ35=""),0,IF(COUNTIF(INDEX($EF$2:$EJ$13,$MB35,0),$MZ35)=0,1,0))</f>
        <v/>
      </c>
      <c r="NO35" s="152">
        <f>IF(OR($NE35=0,$NA35=""),0,IF(COUNTIF(INDEX($EF$2:$EJ$13,$MB35,0),$NA35)=0,1,0))</f>
        <v/>
      </c>
      <c r="NP35" s="152">
        <f>IFERROR(VLOOKUP($MK35,$AV$2:$BA$84,4,FALSE),0)+IFERROR(VLOOKUP($ML35,$AV$2:$BA$84,4,FALSE),0)+IFERROR(VLOOKUP($MM35,$AV$2:$BA$84,4,FALSE),0)+IFERROR(VLOOKUP($MN35,$AV$2:$BA$84,4,FALSE),0)</f>
        <v/>
      </c>
      <c r="NQ35" s="152">
        <f>IFERROR(VLOOKUP($MK35,$AV$2:$BA$84,6,FALSE),0)+IFERROR(VLOOKUP($ML35,$AV$2:$BA$84,6,FALSE),0)+IFERROR(VLOOKUP($MM35,$AV$2:$BA$84,6,FALSE),0)+IFERROR(VLOOKUP($MN35,$AV$2:$BA$84,6,FALSE),0)</f>
        <v/>
      </c>
      <c r="NR35" s="152">
        <f>TEXTJOIN(", ",TRUE,IF(IFERROR(VLOOKUP($MK35,$AV$2:$BA$84,5,FALSE),0)=1,$MK35,""),IF(IFERROR(VLOOKUP($ML35,$AV$2:$BA$84,5,FALSE),0)=1,$ML35,""),IF(IFERROR(VLOOKUP($MM35,$AV$2:$BA$84,5,FALSE),0)=1,$MM35,""),IF(IFERROR(VLOOKUP($MN35,$AV$2:$BA$84,5,FALSE),0)=1,$MN35,""))</f>
        <v/>
      </c>
      <c r="NS35" s="152">
        <f>IF($MW35=0,0,INDEX($Y$2:$Y$11,$MW35))</f>
        <v/>
      </c>
      <c r="NT35" s="152">
        <f>IF($MW35=0,0,INDEX($Z$2:$Z$11,$MW35))</f>
        <v/>
      </c>
      <c r="NU35" s="152">
        <f>IF($MW35=0,0,INDEX($AB$2:$AB$11,$MW35))</f>
        <v/>
      </c>
      <c r="NV35" s="152">
        <f>IFERROR(VLOOKUP($MO35,$BC$2:$BG$24,3,FALSE),0)</f>
        <v/>
      </c>
      <c r="NW35" s="152">
        <f>IFERROR(VLOOKUP($MP35,$BC$2:$BG$24,3,FALSE),0)</f>
        <v/>
      </c>
      <c r="NX35" s="152">
        <f>IFERROR(VLOOKUP($MO35,$BC$2:$BG$24,2,FALSE),"")</f>
        <v/>
      </c>
      <c r="NY35" s="152">
        <f>IFERROR(VLOOKUP($MP35,$BC$2:$BG$24,2,FALSE),"")</f>
        <v/>
      </c>
      <c r="NZ35" s="152">
        <f>COUNTIF($NF35:$NJ35,1)</f>
        <v/>
      </c>
      <c r="OA35" s="152">
        <f>COUNTIF($NF35:$NJ35,2)</f>
        <v/>
      </c>
      <c r="OB35" s="152">
        <f>COUNTIF($NF35:$NJ35,3)</f>
        <v/>
      </c>
      <c r="OC35" s="152">
        <f>COUNTIF($NF35:$NJ35,4)</f>
        <v/>
      </c>
      <c r="OD35" s="152">
        <f>COUNTIF($NF35:$NJ35,5)</f>
        <v/>
      </c>
      <c r="OE35" s="152">
        <f>COUNTIF($NF35:$NJ35,6)</f>
        <v/>
      </c>
      <c r="OF35" s="152">
        <f>COUNTIF($NV35:$NW35,1)</f>
        <v/>
      </c>
      <c r="OG35" s="152">
        <f>COUNTIF($NV35:$NW35,2)+$NS35</f>
        <v/>
      </c>
      <c r="OH35" s="152">
        <f>COUNTIF($MK35:$MN35,"?*")</f>
        <v/>
      </c>
      <c r="OI35" s="152">
        <f>COUNTIF($MO35:$MP35,"?*")+$NS35</f>
        <v/>
      </c>
      <c r="OJ35" s="152">
        <f>IF($MF35=0,0,SUMPRODUCT($NZ35:$OE35,INDEX($I$2:$N$8,MAX(1,$MF35),0)))</f>
        <v/>
      </c>
      <c r="OK35" s="152">
        <f>IF($MF35=0,0,$OF35*CEILING($MF35/2,1)+$OG35*$MF35)</f>
        <v/>
      </c>
      <c r="OL35" s="152">
        <f>MIN(2*$MF35,$OK35)</f>
        <v/>
      </c>
      <c r="OM35" s="152">
        <f>MIN($OL35,$OJ35)</f>
        <v/>
      </c>
      <c r="ON35" s="152">
        <f>$OL35-$OM35</f>
        <v/>
      </c>
      <c r="OO35" s="152">
        <f>IF($MF35=0,0,INDEX($P$2:$P$8,MAX(1,$MF35)))</f>
        <v/>
      </c>
      <c r="OP35" s="152">
        <f>$OO35-$OJ35+$OM35</f>
        <v/>
      </c>
      <c r="OQ35" s="152">
        <f>IF($MF35=0,MAX(0,$MT35-IF($OH35&gt;0,1,0)),MAX(0,$OP35))</f>
        <v/>
      </c>
      <c r="OR35" s="152">
        <f>IF($MF35=0,0,(IF(COUNTIF($MK35:$MN35,"Salto")&gt;0,1,0)+IF(COUNTIF($MK35:$MN35,"Queima")&gt;0,1,0)+IF(COUNTIF($MK35:$MN35,"Estilhaço")&gt;0,1,0))*FLOOR($OQ35/2,1))</f>
        <v/>
      </c>
      <c r="OS35" s="152">
        <f>MAX(0,2-SUMPRODUCT($NZ35:$OE35,$I$2:$N$2)+MIN(2,$OF35*1+$OG35*1,SUMPRODUCT($NZ35:$OE35,$I$2:$N$2)))</f>
        <v/>
      </c>
      <c r="OT35" s="152">
        <f>MAX(0,4-SUMPRODUCT($NZ35:$OE35,$I$3:$N$3)+MIN(4,$OF35*1+$OG35*2,SUMPRODUCT($NZ35:$OE35,$I$3:$N$3)))</f>
        <v/>
      </c>
      <c r="OU35" s="152">
        <f>MAX(0,6-SUMPRODUCT($NZ35:$OE35,$I$4:$N$4)+MIN(6,$OF35*2+$OG35*3,SUMPRODUCT($NZ35:$OE35,$I$4:$N$4)))</f>
        <v/>
      </c>
      <c r="OV35" s="152">
        <f>MAX(0,9-SUMPRODUCT($NZ35:$OE35,$I$5:$N$5)+MIN(8,$OF35*2+$OG35*4,SUMPRODUCT($NZ35:$OE35,$I$5:$N$5)))</f>
        <v/>
      </c>
      <c r="OW35" s="152">
        <f>MAX(0,11-SUMPRODUCT($NZ35:$OE35,$I$6:$N$6)+MIN(10,$OF35*3+$OG35*5,SUMPRODUCT($NZ35:$OE35,$I$6:$N$6)))</f>
        <v/>
      </c>
      <c r="OX35" s="152">
        <f>MAX(0,13-SUMPRODUCT($NZ35:$OE35,$I$7:$N$7)+MIN(12,$OF35*3+$OG35*6,SUMPRODUCT($NZ35:$OE35,$I$7:$N$7)))</f>
        <v/>
      </c>
      <c r="OY35" s="152">
        <f>MAX(0,16-SUMPRODUCT($NZ35:$OE35,$I$8:$N$8)+MIN(14,$OF35*4+$OG35*7,SUMPRODUCT($NZ35:$OE35,$I$8:$N$8)))</f>
        <v/>
      </c>
      <c r="OZ35" s="152">
        <f>IF($NT35=2,3*$OS35&amp;" de vida temp.",IF($NT35=3,"sem dano",IF($OS35=0,IF($NT35=1,"sem cura","sem dano"),IF($NT35=1,"cura ","")&amp;$OS35&amp;"d8")))</f>
        <v/>
      </c>
      <c r="PA35" s="152">
        <f>IF($NT35=2,3*$OT35&amp;" de vida temp.",IF($NT35=3,"sem dano",IF($OT35=0,IF($NT35=1,"sem cura","sem dano"),IF($NT35=1,"cura ","")&amp;$OT35&amp;"d8")))</f>
        <v/>
      </c>
      <c r="PB35" s="152">
        <f>IF($NT35=2,3*$OU35&amp;" de vida temp.",IF($NT35=3,"sem dano",IF($OU35=0,IF($NT35=1,"sem cura","sem dano"),IF($NT35=1,"cura ","")&amp;$OU35&amp;"d8")))</f>
        <v/>
      </c>
      <c r="PC35" s="152">
        <f>IF($NT35=2,3*$OV35&amp;" de vida temp.",IF($NT35=3,"sem dano",IF($OV35=0,IF($NT35=1,"sem cura","sem dano"),IF($NT35=1,"cura ","")&amp;$OV35&amp;"d8")))</f>
        <v/>
      </c>
      <c r="PD35" s="152">
        <f>IF($NT35=2,3*$OW35&amp;" de vida temp.",IF($NT35=3,"sem dano",IF($OW35=0,IF($NT35=1,"sem cura","sem dano"),IF($NT35=1,"cura ","")&amp;$OW35&amp;"d8")))</f>
        <v/>
      </c>
      <c r="PE35" s="152">
        <f>IF($NT35=2,3*$OX35&amp;" de vida temp.",IF($NT35=3,"sem dano",IF($OX35=0,IF($NT35=1,"sem cura","sem dano"),IF($NT35=1,"cura ","")&amp;$OX35&amp;"d8")))</f>
        <v/>
      </c>
      <c r="PF35" s="152">
        <f>IF($NT35=2,3*$OY35&amp;" de vida temp.",IF($NT35=3,"sem dano",IF($OY35=0,IF($NT35=1,"sem cura","sem dano"),IF($NT35=1,"cura ","")&amp;$OY35&amp;"d8")))</f>
        <v/>
      </c>
      <c r="PG35" s="152">
        <f>IF($MQ35=0,"",TEXTJOIN(" · ",TRUE,IF($MD35&gt;$MR35,"Este lugar abre no nível "&amp;$MD35,""),IF($MF35&gt;$MS35,"Classe "&amp;$MF35&amp;": o nível "&amp;$MR35&amp;" libera até a "&amp;$MS35,""),IF($NK35=1,"A Forma "&amp;$MH35&amp;" pede "&amp;INDEX($W$2:$W$11,$MW35)&amp;" aberta",""),IF(AND($MF35=0,$MW35&gt;0,IF($MW35=0,0,INDEX($AF$2:$AF$11,$MW35))=0),$MH35&amp;" não existe na Classe 0",""),IF($NL35=1,"Família Fechada: "&amp;$MK35,""),IF($NM35=1,"Família Fechada: "&amp;$ML35,""),IF($NN35=1,"Família Fechada: "&amp;$MM35,""),IF($NO35=1,"Família Fechada: "&amp;$MN35,""),IF(AND($MF35&gt;0,$OH35&gt;INDEX($O$2:$O$8,MAX(1,$MF35))),$OH35&amp;" Melhorias: a Classe "&amp;$MF35&amp;" aceita "&amp;INDEX($O$2:$O$8,MAX(1,$MF35)),""),IF(AND($MF35=0,$OH35&gt;1),"A básica aceita uma Melhoria",""),IF(AND($MF35=0,COUNTIF($NB35:$NE35,"&gt;1")&gt;0),"A básica só aceita Melhoria Leve",""),IF(AND($MF35&gt;0,$OI35&gt;2),$OI35&amp;" Restrições"&amp;IF($NS35=1,", contando a que a Forma "&amp;$MH35&amp;" já traz","")&amp;": o limite é 2",""),IF(AND($MF35=0,COUNTIF($MO35:$MP35,"?*")&gt;1),"A básica aceita uma Restrição Leve",""),IF(AND($MF35=0,COUNTIF($NV35:$NW35,2)&gt;0),"A básica só aceita Restrição Leve",""),IF(AND($MF35&gt;0,$OP35&lt;0),"Orçamento estourado: faltam "&amp;(-$OP35)&amp;IF($OP35&lt;-1," pontos"," ponto"),""),IF(IFERROR(VLOOKUP($MO35,$BC$2:$BG$24,4,FALSE),0)+IFERROR(VLOOKUP($MP35,$BC$2:$BG$24,4,FALSE),0)&gt;1,$NX35&amp;" e "&amp;$NY35&amp;" são as duas de frequência",""),IF(AND((COUNTIF($MK35:$MN35,"Rápido")+COUNTIF($NX35:$NY35,"Rápido"))&gt;0,(COUNTIF($MK35:$MN35,"Atrasar")+COUNTIF($NX35:$NY35,"Atrasar"))&gt;0),"Rápido não entra com Atrasar",""),IF(AND((COUNTIF($MK35:$MN35,"Reação")+COUNTIF($NX35:$NY35,"Reação"))&gt;0,(COUNTIF($MK35:$MN35,"Rápido")+COUNTIF($NX35:$NY35,"Rápido"))&gt;0),"Reação não entra com Rápido",""),IF(AND((COUNTIF($MK35:$MN35,"Reação")+COUNTIF($NX35:$NY35,"Reação"))&gt;0,(COUNTIF($MK35:$MN35,"Armado")+COUNTIF($NX35:$NY35,"Armado"))&gt;0),"Reação não entra com Armado",""),IF(AND((COUNTIF($MK35:$MN35,"Reação")+COUNTIF($NX35:$NY35,"Reação"))&gt;0,(COUNTIF($MK35:$MN35,"Atrasar")+COUNTIF($NX35:$NY35,"Atrasar"))&gt;0),"Reação não entra com Atrasar",""),IF(AND((COUNTIF($MK35:$MN35,"Reação")+COUNTIF($NX35:$NY35,"Reação"))&gt;0,(COUNTIF($MK35:$MN35,"Parado")+COUNTIF($NX35:$NY35,"Parado"))&gt;0),"Reação não entra com Parado",""),IF(AND((COUNTIF($MK35:$MN35,"Atrasar")+COUNTIF($NX35:$NY35,"Atrasar"))&gt;0,(COUNTIF($MK35:$MN35,"Parado")+COUNTIF($NX35:$NY35,"Parado"))&gt;0),"Atrasar não entra com Parado",""),IF(AND((COUNTIF($MK35:$MN35,"Armado")+COUNTIF($NX35:$NY35,"Armado"))&gt;0,(COUNTIF($MK35:$MN35,"Carregar")+COUNTIF($NX35:$NY35,"Carregar"))&gt;0),"Armado não entra com Carregar",""),IF(AND(COUNTIF($NX35:$NY35,"Corpo a Corpo")&gt;0,$NS35=0,OR($MH35="Cone",$MH35="Linha")),"Corpo a Corpo não entra em "&amp;$MH35,""),IF(AND(COUNTIF($NX35:$NY35,"Corpo a Corpo")&gt;0,$NS35=1),"A Forma "&amp;$MH35&amp;" já traz o Corpo a Corpo",""),IF(AND(COUNTIF($NX35:$NY35,"Tudo ou Nada")&gt;0,$NU35=0),"Tudo ou Nada só entra em habilidade de Teste de Resistência",""),IF(AND(COUNTIF($MK35:$MN35,"Inescapável")&gt;0,OR($OH35&gt;1,$OI35&gt;0)),"Inescapável não aceita outra peça",""),IF(AND($MF35&gt;0,$OQ35*IF(COUNTIF($MK35:$MN35,"Remate")&gt;0,1.25,1)+$OR35&gt;4*$MF35),($OQ35*IF(COUNTIF($MK35:$MN35,"Remate")&gt;0,1.25,1)+$OR35)&amp;" dados somando repetições"&amp;IF(COUNTIF($MK35:$MN35,"Remate")&gt;0," e o Remate","")&amp;": o teto da Classe "&amp;$MF35&amp;" é "&amp;4*$MF35,"")))</f>
        <v/>
      </c>
      <c r="PH35" s="152">
        <f>IF($PG35="",0,(LEN($PG35)-LEN(SUBSTITUTE($PG35," · ","")))/3+1)</f>
        <v/>
      </c>
      <c r="PI35" s="152">
        <f>IF($MQ35=0,"",TEXTJOIN(" · ",TRUE,IF($OK35&gt;2*$MF35,"A devolução parou no teto de "&amp;2*$MF35,""),IF($ON35&gt;0,"Devolução perdida: "&amp;$ON35&amp;IF($ON35&gt;1," pontos"," ponto")&amp;" sem peça para pagar",""),IF(AND($NP35&gt;0,AND($MF35&gt;0,$NT35=0),$OQ35=0),"Controle sem dano: uma rodada a mais e CD +2",""),IF(AND($NP35&gt;0,AND($MF35&gt;0,$NT35=0),$OQ35&gt;0,$OQ35&lt;=$MF35),"Controle com saldo até a Classe: uma rodada a mais",""),IF(AND($MF35&gt;0,$NR35&lt;&gt;""),"Efeito de "&amp;$NR35&amp;" pela Classe "&amp;MAX(1,$MF35-1),"")))</f>
        <v/>
      </c>
      <c r="PJ35" s="152">
        <f>IF($PI35="",0,(LEN($PI35)-LEN(SUBSTITUTE($PI35," · ","")))/3+1)</f>
        <v/>
      </c>
      <c r="PK35" s="152">
        <f>IF($MQ35=0,IF($OH35+COUNTIF($MO35:$MP35,"?*")&gt;0,"Dê um nome",""),IF($PH35&gt;0,"⚠ "&amp;$PH35&amp;IF($PH35&gt;1," erros"," erro"),IF($PJ35&gt;0,"! "&amp;$PJ35&amp;IF($PJ35&gt;1," avisos"," aviso"),"Na regra")))</f>
        <v/>
      </c>
      <c r="PL35" s="152">
        <f>IF($MQ35=0,"",IF($PH35+$PJ35=0,"Dentro das regras que a ficha confere",$PG35&amp;IF(AND($PH35&gt;0,$PJ35&gt;0)," · ","")&amp;$PI35))</f>
        <v/>
      </c>
      <c r="PM35" s="152">
        <f>IF($MD35&gt;$MR35,$ME35&amp;" · ABRE NO NÍVEL "&amp;$MD35,$ME35)</f>
        <v/>
      </c>
      <c r="PN35" s="152">
        <f>IF($MQ35=0,"",IF($MF35=0,"Sem PE",3*$MF35&amp;" PE"))</f>
        <v/>
      </c>
      <c r="PO35" s="152">
        <f>IF($MQ35=0,"",IF($MF35=0,"A atuação básica dela",IF(COUNTIF($NX35:$NY35,"Atrasar")&gt;0,"Sua Ação Completa",IF(COUNTIF($MK35:$MN35,"Rápido")&gt;0,"Sua Bônus",IF(COUNTIF($MK35:$MN35,"Reação")&gt;0,"Sua Reação","Sua Padrão")))&amp;" + a básica dela"&amp;IF(COUNTIF($MK35:$MN35,"Reação")&gt;0," e a coletiva","")&amp;IF(COUNTIF($NX35:$NY35,"Carregar")&gt;0," · em dois turnos","")))</f>
        <v/>
      </c>
      <c r="PP35" s="152">
        <f>IF($MJ35&lt;&gt;"",$MJ35,IF($MW35=0,"",INDEX($AA$2:$AA$11,$MW35)))</f>
        <v/>
      </c>
      <c r="PQ35" s="152">
        <f>IF(OR($MQ35=0,$MW35=0),"",IF(COUNTIF($MK35:$MN35,"Inescapável")&gt;0,"Automático",IF($PP35="Ataque",IF($MU35="","Ataque","Ataque "&amp;IF(($MU35+2*IF(COUNTIF($MK35:$MN35,"Precisão")&gt;0,1,0))&gt;=0,"+","−")&amp;ABS(($MU35+2*IF(COUNTIF($MK35:$MN35,"Precisão")&gt;0,1,0))))&amp;IF($NQ35&gt;0," · TR"&amp;IF($MV35="",""," CD "&amp;$MV35),""),IF(LEFT($PP35,2)="TR",$PP35&amp;IF($MV35="",""," · CD "&amp;$MV35)&amp;IF(COUNTIF($MK35:$MN35,"Certeiro")&gt;0," · metade",""),"Sem rolagem"))))</f>
        <v/>
      </c>
      <c r="PR35" s="152">
        <f>IF(OR($MQ35=0,$MW35=0),"",IF($MF35=0,IF(OR($NT35&gt;=1,$OQ35=0),"Sem dano",$OQ35&amp;"d6"&amp;IF($MI35="",""," "&amp;$MI35)),IF(OR($NT35&gt;=1,$OQ35=0),UPPER(LEFT(INDEX($OZ35:$PF35,1,MAX(1,$MF35)),1))&amp;MID(INDEX($OZ35:$PF35,1,MAX(1,$MF35)),2,99),UPPER(LEFT(INDEX($OZ35:$PF35,1,MAX(1,$MF35)),1))&amp;MID(INDEX($OZ35:$PF35,1,MAX(1,$MF35)),2,99)&amp;IF($MI35="",""," "&amp;$MI35)&amp;IF($OR35&gt;0," · +"&amp;$OR35&amp;"d8",""))))</f>
        <v/>
      </c>
      <c r="PS35" s="152">
        <f>COUNTIF($MK35:$MN35,"Longe")+3*COUNTIF($MK35:$MN35,"Muito Longe")</f>
        <v/>
      </c>
      <c r="PT35" s="152">
        <f>COUNTIF($MK35:$MN35,"Maior")+3*COUNTIF($MK35:$MN35,"Muito Maior")</f>
        <v/>
      </c>
      <c r="PU35" s="152">
        <f>IF($MW35=0,0,CHOOSE(1+INDEX($AC$2:$AC$11,$MW35),0,$PS35,$PT35,$PS35+$PT35))</f>
        <v/>
      </c>
      <c r="PV35" s="152">
        <f>IF($MW35=0,0,CHOOSE(1+INDEX($AD$2:$AD$11,$MW35),0,$PS35,$PT35,$PS35+$PT35))</f>
        <v/>
      </c>
      <c r="PW35" s="152">
        <f>IF(OR($MQ35=0,$MW35=0),"",INDEX($AI$2:$AN$41,($MW35-1)*4+IF($MF35=0,1,IF($MF35&lt;=5,2,IF($MF35=6,3,4))),1+MIN(5,$PU35))&amp;INDEX($AO$2:$AT$41,($MW35-1)*4+IF($MF35=0,1,IF($MF35&lt;=5,2,IF($MF35=6,3,4))),1+MIN(5,$PV35))&amp;IF(INDEX($AE$2:$AE$11,$MW35)=1,IF(COUNTIF($MK35:$MN35,"Mais Um")&gt;0," · +"&amp;COUNTIF($MK35:$MN35,"Mais Um")&amp;IF(COUNTIF($MK35:$MN35,"Mais Um")&gt;1," alvos"," alvo"),"")&amp;IF(COUNTIF($MK35:$MN35,"Rajada")&gt;0,IF($MF35=0," · 1 tiro"," · "&amp;(MAX(1,$MF35-1)+1)&amp;" tiros"),""),""))</f>
        <v/>
      </c>
      <c r="PX35" s="152">
        <f>IF($MQ35=0,"",IF($MF35=0,$MT35&amp;"d6"&amp;IF($OH35&gt;0," − 1 = "&amp;$OQ35&amp;"d6"," da básica do nível "&amp;$MR35),$OO35&amp;" − "&amp;$OJ35&amp;" + "&amp;$OM35&amp;" = "&amp;$OP35&amp;" · teto "&amp;4*$MF35&amp;"d8"&amp;IF($NS35=1," · a Forma devolve "&amp;$MF35,"")&amp;IF($ON35&gt;0," · perde "&amp;$ON35,"")))</f>
        <v/>
      </c>
      <c r="PY35" s="152">
        <f>IF($MQ35=0,"",IF($MF35=0,"A básica não amplia: os dados dela sobem com o nível",IF($MF35&gt;=$MS35,"Já está na maior Classe que o nível liberou",TEXTJOIN(" · ",TRUE,IF(AND(2&gt;$MF35,2&lt;=$MS35),"2 → "&amp;$PA35&amp;", 6 PE",""),IF(AND(3&gt;$MF35,3&lt;=$MS35),"3 → "&amp;$PB35&amp;", 9 PE",""),IF(AND(4&gt;$MF35,4&lt;=$MS35),"4 → "&amp;$PC35&amp;", 12 PE",""),IF(AND(5&gt;$MF35,5&lt;=$MS35),"5 → "&amp;$PD35&amp;", 15 PE",""),IF(AND(6&gt;$MF35,6&lt;=$MS35),"6 → "&amp;$PE35&amp;", 18 PE",""),IF(AND(7&gt;$MF35,7&lt;=$MS35),"7 → "&amp;$PF35&amp;", 21 PE","")))))</f>
        <v/>
      </c>
      <c r="PZ35" s="152">
        <f>IF(OR($MQ35=0,$NB35=0),"",IF($MF35=0,"−1 dado","−"&amp;INDEX($I$2:$N$8,MAX(1,$MF35),MAX(1,$NG35))&amp;" · "&amp;CHOOSE(MAX(1,$NG35),"Leve","Média","Pesada","Leve · Livre","Média · Livre","Pesada · Livre")))</f>
        <v/>
      </c>
      <c r="QA35" s="152">
        <f>IF(OR($MQ35=0,$NC35=0),"",IF($MF35=0,"−1 dado","−"&amp;INDEX($I$2:$N$8,MAX(1,$MF35),MAX(1,$NH35))&amp;" · "&amp;CHOOSE(MAX(1,$NH35),"Leve","Média","Pesada","Leve · Livre","Média · Livre","Pesada · Livre")))</f>
        <v/>
      </c>
      <c r="QB35" s="152">
        <f>IF(OR($MQ35=0,$ND35=0),"",IF($MF35=0,"−1 dado","−"&amp;INDEX($I$2:$N$8,MAX(1,$MF35),MAX(1,$NI35))&amp;" · "&amp;CHOOSE(MAX(1,$NI35),"Leve","Média","Pesada","Leve · Livre","Média · Livre","Pesada · Livre")))</f>
        <v/>
      </c>
      <c r="QC35" s="152">
        <f>IF(OR($MQ35=0,$NE35=0),"",IF($MF35=0,"−1 dado","−"&amp;INDEX($I$2:$N$8,MAX(1,$MF35),MAX(1,$NJ35))&amp;" · "&amp;CHOOSE(MAX(1,$NJ35),"Leve","Média","Pesada","Leve · Livre","Média · Livre","Pesada · Livre")))</f>
        <v/>
      </c>
      <c r="QD35" s="152">
        <f>IF(OR($MQ35=0,$MO35=""),"",IF($MF35=0,"não devolve","+"&amp;IF($NV35=1,CEILING($MF35/2,1),$MF35)))</f>
        <v/>
      </c>
      <c r="QE35" s="152">
        <f>IF(OR($MQ35=0,$MP35=""),"",IF($MF35=0,"não devolve","+"&amp;IF($NW35=1,CEILING($MF35/2,1),$MF35)))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BA36" s="152" t="n">
        <v>1</v>
      </c>
      <c r="JG36" s="152">
        <f>IF(OR($AW36="",COUNTIF($EF$2:$EJ$2,$AW36)&gt;0),$AV36,"")</f>
        <v/>
      </c>
      <c r="JH36" s="152">
        <f>IF(AND($AX36=1,OR($AW36="",COUNTIF($EF$2:$EJ$2,$AW36)&gt;0)),$AV36,"")</f>
        <v/>
      </c>
      <c r="JM36" s="152">
        <f>IF(OR($AW36="",COUNTIF($EF$3:$EJ$3,$AW36)&gt;0),$AV36,"")</f>
        <v/>
      </c>
      <c r="JN36" s="152">
        <f>IF(AND($AX36=1,OR($AW36="",COUNTIF($EF$3:$EJ$3,$AW36)&gt;0)),$AV36,"")</f>
        <v/>
      </c>
      <c r="JS36" s="152">
        <f>IF(OR($AW36="",COUNTIF($EF$4:$EJ$4,$AW36)&gt;0),$AV36,"")</f>
        <v/>
      </c>
      <c r="JT36" s="152">
        <f>IF(AND($AX36=1,OR($AW36="",COUNTIF($EF$4:$EJ$4,$AW36)&gt;0)),$AV36,"")</f>
        <v/>
      </c>
      <c r="JY36" s="152">
        <f>IF(OR($AW36="",COUNTIF($EF$5:$EJ$5,$AW36)&gt;0),$AV36,"")</f>
        <v/>
      </c>
      <c r="JZ36" s="152">
        <f>IF(AND($AX36=1,OR($AW36="",COUNTIF($EF$5:$EJ$5,$AW36)&gt;0)),$AV36,"")</f>
        <v/>
      </c>
      <c r="KE36" s="152">
        <f>IF(OR($AW36="",COUNTIF($EF$6:$EJ$6,$AW36)&gt;0),$AV36,"")</f>
        <v/>
      </c>
      <c r="KF36" s="152">
        <f>IF(AND($AX36=1,OR($AW36="",COUNTIF($EF$6:$EJ$6,$AW36)&gt;0)),$AV36,"")</f>
        <v/>
      </c>
      <c r="KK36" s="152">
        <f>IF(OR($AW36="",COUNTIF($EF$7:$EJ$7,$AW36)&gt;0),$AV36,"")</f>
        <v/>
      </c>
      <c r="KL36" s="152">
        <f>IF(AND($AX36=1,OR($AW36="",COUNTIF($EF$7:$EJ$7,$AW36)&gt;0)),$AV36,"")</f>
        <v/>
      </c>
      <c r="KQ36" s="152">
        <f>IF(OR($AW36="",COUNTIF($EF$8:$EJ$8,$AW36)&gt;0),$AV36,"")</f>
        <v/>
      </c>
      <c r="KR36" s="152">
        <f>IF(AND($AX36=1,OR($AW36="",COUNTIF($EF$8:$EJ$8,$AW36)&gt;0)),$AV36,"")</f>
        <v/>
      </c>
      <c r="KW36" s="152">
        <f>IF(OR($AW36="",COUNTIF($EF$9:$EJ$9,$AW36)&gt;0),$AV36,"")</f>
        <v/>
      </c>
      <c r="KX36" s="152">
        <f>IF(AND($AX36=1,OR($AW36="",COUNTIF($EF$9:$EJ$9,$AW36)&gt;0)),$AV36,"")</f>
        <v/>
      </c>
      <c r="LC36" s="152">
        <f>IF(OR($AW36="",COUNTIF($EF$10:$EJ$10,$AW36)&gt;0),$AV36,"")</f>
        <v/>
      </c>
      <c r="LD36" s="152">
        <f>IF(AND($AX36=1,OR($AW36="",COUNTIF($EF$10:$EJ$10,$AW36)&gt;0)),$AV36,"")</f>
        <v/>
      </c>
      <c r="LI36" s="152">
        <f>IF(OR($AW36="",COUNTIF($EF$11:$EJ$11,$AW36)&gt;0),$AV36,"")</f>
        <v/>
      </c>
      <c r="LJ36" s="152">
        <f>IF(AND($AX36=1,OR($AW36="",COUNTIF($EF$11:$EJ$11,$AW36)&gt;0)),$AV36,"")</f>
        <v/>
      </c>
      <c r="LO36" s="152">
        <f>IF(OR($AW36="",COUNTIF($EF$12:$EJ$12,$AW36)&gt;0),$AV36,"")</f>
        <v/>
      </c>
      <c r="LP36" s="152">
        <f>IF(AND($AX36=1,OR($AW36="",COUNTIF($EF$12:$EJ$12,$AW36)&gt;0)),$AV36,"")</f>
        <v/>
      </c>
      <c r="LU36" s="152">
        <f>IF(OR($AW36="",COUNTIF($EF$13:$EJ$13,$AW36)&gt;0),$AV36,"")</f>
        <v/>
      </c>
      <c r="LV36" s="152">
        <f>IF(AND($AX36=1,OR($AW36="",COUNTIF($EF$13:$EJ$13,$AW36)&gt;0)),$AV36,"")</f>
        <v/>
      </c>
      <c r="MA36" s="150" t="inlineStr">
        <is>
          <t>Ficha 3 · Especial 7</t>
        </is>
      </c>
      <c r="MB36" s="152" t="n">
        <v>3</v>
      </c>
      <c r="MC36" s="152" t="n">
        <v>1</v>
      </c>
      <c r="MD36" s="152" t="n">
        <v>24</v>
      </c>
      <c r="ME36" s="150" t="inlineStr">
        <is>
          <t>ESPECIAL 7</t>
        </is>
      </c>
      <c r="MF36" s="152">
        <f>MAX(1,MIN(7,N('INVOCAÇÕES'!$U$510)))</f>
        <v/>
      </c>
      <c r="MG36" s="152">
        <f>'INVOCAÇÕES'!$V$510&amp;""</f>
        <v/>
      </c>
      <c r="MH36" s="152">
        <f>'INVOCAÇÕES'!$U$515&amp;""</f>
        <v/>
      </c>
      <c r="MI36" s="152">
        <f>'INVOCAÇÕES'!$U$516&amp;""</f>
        <v/>
      </c>
      <c r="MJ36" s="152">
        <f>'INVOCAÇÕES'!$W$516&amp;""</f>
        <v/>
      </c>
      <c r="MK36" s="152">
        <f>'INVOCAÇÕES'!$V$519&amp;""</f>
        <v/>
      </c>
      <c r="ML36" s="152">
        <f>'INVOCAÇÕES'!$V$520&amp;""</f>
        <v/>
      </c>
      <c r="MM36" s="152">
        <f>'INVOCAÇÕES'!$V$521&amp;""</f>
        <v/>
      </c>
      <c r="MN36" s="152">
        <f>'INVOCAÇÕES'!$V$522&amp;""</f>
        <v/>
      </c>
      <c r="MO36" s="152">
        <f>'INVOCAÇÕES'!$V$523&amp;""</f>
        <v/>
      </c>
      <c r="MP36" s="152">
        <f>'INVOCAÇÕES'!$V$524&amp;""</f>
        <v/>
      </c>
      <c r="MQ36" s="152">
        <f>IF($MG36&lt;&gt;"",1,0)</f>
        <v/>
      </c>
      <c r="MR36" s="152">
        <f>INDEX($FI$2:$FI$13,$MB36)</f>
        <v/>
      </c>
      <c r="MS36" s="152">
        <f>INDEX($FJ$2:$FJ$13,$MB36)</f>
        <v/>
      </c>
      <c r="MT36" s="152">
        <f>INDEX($FK$2:$FK$13,$MB36)</f>
        <v/>
      </c>
      <c r="MU36" s="152">
        <f>INDEX($FV$2:$FV$13,$MB36)</f>
        <v/>
      </c>
      <c r="MV36" s="152">
        <f>INDEX($FW$2:$FW$13,$MB36)</f>
        <v/>
      </c>
      <c r="MW36" s="152">
        <f>IFERROR(MATCH($MH36,$V$2:$V$11,0),0)</f>
        <v/>
      </c>
      <c r="MX36" s="152">
        <f>IFERROR(VLOOKUP($MK36,$AV$2:$BA$84,2,FALSE),"")</f>
        <v/>
      </c>
      <c r="MY36" s="152">
        <f>IFERROR(VLOOKUP($ML36,$AV$2:$BA$84,2,FALSE),"")</f>
        <v/>
      </c>
      <c r="MZ36" s="152">
        <f>IFERROR(VLOOKUP($MM36,$AV$2:$BA$84,2,FALSE),"")</f>
        <v/>
      </c>
      <c r="NA36" s="152">
        <f>IFERROR(VLOOKUP($MN36,$AV$2:$BA$84,2,FALSE),"")</f>
        <v/>
      </c>
      <c r="NB36" s="152">
        <f>IFERROR(VLOOKUP($MK36,$AV$2:$BA$84,3,FALSE),0)</f>
        <v/>
      </c>
      <c r="NC36" s="152">
        <f>IFERROR(VLOOKUP($ML36,$AV$2:$BA$84,3,FALSE),0)</f>
        <v/>
      </c>
      <c r="ND36" s="152">
        <f>IFERROR(VLOOKUP($MM36,$AV$2:$BA$84,3,FALSE),0)</f>
        <v/>
      </c>
      <c r="NE36" s="152">
        <f>IFERROR(VLOOKUP($MN36,$AV$2:$BA$84,3,FALSE),0)</f>
        <v/>
      </c>
      <c r="NF36" s="152">
        <f>IF($MF36=0,0,IF($MW36=0,0,INDEX($X$2:$X$11,$MW36)))</f>
        <v/>
      </c>
      <c r="NG36" s="152">
        <f>IF(OR($NB36=0,$MF36=0),0,$NB36+3*IF(AND($MX36&lt;&gt;"",OR($MX36=INDEX($EF$2:$EF$13,$MB36),$MX36=INDEX($EG$2:$EG$13,$MB36))),1,0))</f>
        <v/>
      </c>
      <c r="NH36" s="152">
        <f>IF(OR($NC36=0,$MF36=0),0,$NC36+3*IF(AND($MY36&lt;&gt;"",OR($MY36=INDEX($EF$2:$EF$13,$MB36),$MY36=INDEX($EG$2:$EG$13,$MB36))),1,0))</f>
        <v/>
      </c>
      <c r="NI36" s="152">
        <f>IF(OR($ND36=0,$MF36=0),0,$ND36+3*IF(AND($MZ36&lt;&gt;"",OR($MZ36=INDEX($EF$2:$EF$13,$MB36),$MZ36=INDEX($EG$2:$EG$13,$MB36))),1,0))</f>
        <v/>
      </c>
      <c r="NJ36" s="152">
        <f>IF(OR($NE36=0,$MF36=0),0,$NE36+3*IF(AND($NA36&lt;&gt;"",OR($NA36=INDEX($EF$2:$EF$13,$MB36),$NA36=INDEX($EG$2:$EG$13,$MB36))),1,0))</f>
        <v/>
      </c>
      <c r="NK36" s="152">
        <f>IF($MW36=0,0,IF(INDEX($W$2:$W$11,$MW36)="",0,IF(COUNTIF(INDEX($EF$2:$EJ$13,$MB36,0),INDEX($W$2:$W$11,$MW36))=0,1,0)))</f>
        <v/>
      </c>
      <c r="NL36" s="152">
        <f>IF(OR($NB36=0,$MX36=""),0,IF(COUNTIF(INDEX($EF$2:$EJ$13,$MB36,0),$MX36)=0,1,0))</f>
        <v/>
      </c>
      <c r="NM36" s="152">
        <f>IF(OR($NC36=0,$MY36=""),0,IF(COUNTIF(INDEX($EF$2:$EJ$13,$MB36,0),$MY36)=0,1,0))</f>
        <v/>
      </c>
      <c r="NN36" s="152">
        <f>IF(OR($ND36=0,$MZ36=""),0,IF(COUNTIF(INDEX($EF$2:$EJ$13,$MB36,0),$MZ36)=0,1,0))</f>
        <v/>
      </c>
      <c r="NO36" s="152">
        <f>IF(OR($NE36=0,$NA36=""),0,IF(COUNTIF(INDEX($EF$2:$EJ$13,$MB36,0),$NA36)=0,1,0))</f>
        <v/>
      </c>
      <c r="NP36" s="152">
        <f>IFERROR(VLOOKUP($MK36,$AV$2:$BA$84,4,FALSE),0)+IFERROR(VLOOKUP($ML36,$AV$2:$BA$84,4,FALSE),0)+IFERROR(VLOOKUP($MM36,$AV$2:$BA$84,4,FALSE),0)+IFERROR(VLOOKUP($MN36,$AV$2:$BA$84,4,FALSE),0)</f>
        <v/>
      </c>
      <c r="NQ36" s="152">
        <f>IFERROR(VLOOKUP($MK36,$AV$2:$BA$84,6,FALSE),0)+IFERROR(VLOOKUP($ML36,$AV$2:$BA$84,6,FALSE),0)+IFERROR(VLOOKUP($MM36,$AV$2:$BA$84,6,FALSE),0)+IFERROR(VLOOKUP($MN36,$AV$2:$BA$84,6,FALSE),0)</f>
        <v/>
      </c>
      <c r="NR36" s="152">
        <f>TEXTJOIN(", ",TRUE,IF(IFERROR(VLOOKUP($MK36,$AV$2:$BA$84,5,FALSE),0)=1,$MK36,""),IF(IFERROR(VLOOKUP($ML36,$AV$2:$BA$84,5,FALSE),0)=1,$ML36,""),IF(IFERROR(VLOOKUP($MM36,$AV$2:$BA$84,5,FALSE),0)=1,$MM36,""),IF(IFERROR(VLOOKUP($MN36,$AV$2:$BA$84,5,FALSE),0)=1,$MN36,""))</f>
        <v/>
      </c>
      <c r="NS36" s="152">
        <f>IF($MW36=0,0,INDEX($Y$2:$Y$11,$MW36))</f>
        <v/>
      </c>
      <c r="NT36" s="152">
        <f>IF($MW36=0,0,INDEX($Z$2:$Z$11,$MW36))</f>
        <v/>
      </c>
      <c r="NU36" s="152">
        <f>IF($MW36=0,0,INDEX($AB$2:$AB$11,$MW36))</f>
        <v/>
      </c>
      <c r="NV36" s="152">
        <f>IFERROR(VLOOKUP($MO36,$BC$2:$BG$24,3,FALSE),0)</f>
        <v/>
      </c>
      <c r="NW36" s="152">
        <f>IFERROR(VLOOKUP($MP36,$BC$2:$BG$24,3,FALSE),0)</f>
        <v/>
      </c>
      <c r="NX36" s="152">
        <f>IFERROR(VLOOKUP($MO36,$BC$2:$BG$24,2,FALSE),"")</f>
        <v/>
      </c>
      <c r="NY36" s="152">
        <f>IFERROR(VLOOKUP($MP36,$BC$2:$BG$24,2,FALSE),"")</f>
        <v/>
      </c>
      <c r="NZ36" s="152">
        <f>COUNTIF($NF36:$NJ36,1)</f>
        <v/>
      </c>
      <c r="OA36" s="152">
        <f>COUNTIF($NF36:$NJ36,2)</f>
        <v/>
      </c>
      <c r="OB36" s="152">
        <f>COUNTIF($NF36:$NJ36,3)</f>
        <v/>
      </c>
      <c r="OC36" s="152">
        <f>COUNTIF($NF36:$NJ36,4)</f>
        <v/>
      </c>
      <c r="OD36" s="152">
        <f>COUNTIF($NF36:$NJ36,5)</f>
        <v/>
      </c>
      <c r="OE36" s="152">
        <f>COUNTIF($NF36:$NJ36,6)</f>
        <v/>
      </c>
      <c r="OF36" s="152">
        <f>COUNTIF($NV36:$NW36,1)</f>
        <v/>
      </c>
      <c r="OG36" s="152">
        <f>COUNTIF($NV36:$NW36,2)+$NS36</f>
        <v/>
      </c>
      <c r="OH36" s="152">
        <f>COUNTIF($MK36:$MN36,"?*")</f>
        <v/>
      </c>
      <c r="OI36" s="152">
        <f>COUNTIF($MO36:$MP36,"?*")+$NS36</f>
        <v/>
      </c>
      <c r="OJ36" s="152">
        <f>IF($MF36=0,0,SUMPRODUCT($NZ36:$OE36,INDEX($I$2:$N$8,MAX(1,$MF36),0)))</f>
        <v/>
      </c>
      <c r="OK36" s="152">
        <f>IF($MF36=0,0,$OF36*CEILING($MF36/2,1)+$OG36*$MF36)</f>
        <v/>
      </c>
      <c r="OL36" s="152">
        <f>MIN(2*$MF36,$OK36)</f>
        <v/>
      </c>
      <c r="OM36" s="152">
        <f>MIN($OL36,$OJ36)</f>
        <v/>
      </c>
      <c r="ON36" s="152">
        <f>$OL36-$OM36</f>
        <v/>
      </c>
      <c r="OO36" s="152">
        <f>IF($MF36=0,0,INDEX($P$2:$P$8,MAX(1,$MF36)))</f>
        <v/>
      </c>
      <c r="OP36" s="152">
        <f>$OO36-$OJ36+$OM36</f>
        <v/>
      </c>
      <c r="OQ36" s="152">
        <f>IF($MF36=0,MAX(0,$MT36-IF($OH36&gt;0,1,0)),MAX(0,$OP36))</f>
        <v/>
      </c>
      <c r="OR36" s="152">
        <f>IF($MF36=0,0,(IF(COUNTIF($MK36:$MN36,"Salto")&gt;0,1,0)+IF(COUNTIF($MK36:$MN36,"Queima")&gt;0,1,0)+IF(COUNTIF($MK36:$MN36,"Estilhaço")&gt;0,1,0))*FLOOR($OQ36/2,1))</f>
        <v/>
      </c>
      <c r="OS36" s="152">
        <f>MAX(0,2-SUMPRODUCT($NZ36:$OE36,$I$2:$N$2)+MIN(2,$OF36*1+$OG36*1,SUMPRODUCT($NZ36:$OE36,$I$2:$N$2)))</f>
        <v/>
      </c>
      <c r="OT36" s="152">
        <f>MAX(0,4-SUMPRODUCT($NZ36:$OE36,$I$3:$N$3)+MIN(4,$OF36*1+$OG36*2,SUMPRODUCT($NZ36:$OE36,$I$3:$N$3)))</f>
        <v/>
      </c>
      <c r="OU36" s="152">
        <f>MAX(0,6-SUMPRODUCT($NZ36:$OE36,$I$4:$N$4)+MIN(6,$OF36*2+$OG36*3,SUMPRODUCT($NZ36:$OE36,$I$4:$N$4)))</f>
        <v/>
      </c>
      <c r="OV36" s="152">
        <f>MAX(0,9-SUMPRODUCT($NZ36:$OE36,$I$5:$N$5)+MIN(8,$OF36*2+$OG36*4,SUMPRODUCT($NZ36:$OE36,$I$5:$N$5)))</f>
        <v/>
      </c>
      <c r="OW36" s="152">
        <f>MAX(0,11-SUMPRODUCT($NZ36:$OE36,$I$6:$N$6)+MIN(10,$OF36*3+$OG36*5,SUMPRODUCT($NZ36:$OE36,$I$6:$N$6)))</f>
        <v/>
      </c>
      <c r="OX36" s="152">
        <f>MAX(0,13-SUMPRODUCT($NZ36:$OE36,$I$7:$N$7)+MIN(12,$OF36*3+$OG36*6,SUMPRODUCT($NZ36:$OE36,$I$7:$N$7)))</f>
        <v/>
      </c>
      <c r="OY36" s="152">
        <f>MAX(0,16-SUMPRODUCT($NZ36:$OE36,$I$8:$N$8)+MIN(14,$OF36*4+$OG36*7,SUMPRODUCT($NZ36:$OE36,$I$8:$N$8)))</f>
        <v/>
      </c>
      <c r="OZ36" s="152">
        <f>IF($NT36=2,3*$OS36&amp;" de vida temp.",IF($NT36=3,"sem dano",IF($OS36=0,IF($NT36=1,"sem cura","sem dano"),IF($NT36=1,"cura ","")&amp;$OS36&amp;"d8")))</f>
        <v/>
      </c>
      <c r="PA36" s="152">
        <f>IF($NT36=2,3*$OT36&amp;" de vida temp.",IF($NT36=3,"sem dano",IF($OT36=0,IF($NT36=1,"sem cura","sem dano"),IF($NT36=1,"cura ","")&amp;$OT36&amp;"d8")))</f>
        <v/>
      </c>
      <c r="PB36" s="152">
        <f>IF($NT36=2,3*$OU36&amp;" de vida temp.",IF($NT36=3,"sem dano",IF($OU36=0,IF($NT36=1,"sem cura","sem dano"),IF($NT36=1,"cura ","")&amp;$OU36&amp;"d8")))</f>
        <v/>
      </c>
      <c r="PC36" s="152">
        <f>IF($NT36=2,3*$OV36&amp;" de vida temp.",IF($NT36=3,"sem dano",IF($OV36=0,IF($NT36=1,"sem cura","sem dano"),IF($NT36=1,"cura ","")&amp;$OV36&amp;"d8")))</f>
        <v/>
      </c>
      <c r="PD36" s="152">
        <f>IF($NT36=2,3*$OW36&amp;" de vida temp.",IF($NT36=3,"sem dano",IF($OW36=0,IF($NT36=1,"sem cura","sem dano"),IF($NT36=1,"cura ","")&amp;$OW36&amp;"d8")))</f>
        <v/>
      </c>
      <c r="PE36" s="152">
        <f>IF($NT36=2,3*$OX36&amp;" de vida temp.",IF($NT36=3,"sem dano",IF($OX36=0,IF($NT36=1,"sem cura","sem dano"),IF($NT36=1,"cura ","")&amp;$OX36&amp;"d8")))</f>
        <v/>
      </c>
      <c r="PF36" s="152">
        <f>IF($NT36=2,3*$OY36&amp;" de vida temp.",IF($NT36=3,"sem dano",IF($OY36=0,IF($NT36=1,"sem cura","sem dano"),IF($NT36=1,"cura ","")&amp;$OY36&amp;"d8")))</f>
        <v/>
      </c>
      <c r="PG36" s="152">
        <f>IF($MQ36=0,"",TEXTJOIN(" · ",TRUE,IF($MD36&gt;$MR36,"Este lugar abre no nível "&amp;$MD36,""),IF($MF36&gt;$MS36,"Classe "&amp;$MF36&amp;": o nível "&amp;$MR36&amp;" libera até a "&amp;$MS36,""),IF($NK36=1,"A Forma "&amp;$MH36&amp;" pede "&amp;INDEX($W$2:$W$11,$MW36)&amp;" aberta",""),IF(AND($MF36=0,$MW36&gt;0,IF($MW36=0,0,INDEX($AF$2:$AF$11,$MW36))=0),$MH36&amp;" não existe na Classe 0",""),IF($NL36=1,"Família Fechada: "&amp;$MK36,""),IF($NM36=1,"Família Fechada: "&amp;$ML36,""),IF($NN36=1,"Família Fechada: "&amp;$MM36,""),IF($NO36=1,"Família Fechada: "&amp;$MN36,""),IF(AND($MF36&gt;0,$OH36&gt;INDEX($O$2:$O$8,MAX(1,$MF36))),$OH36&amp;" Melhorias: a Classe "&amp;$MF36&amp;" aceita "&amp;INDEX($O$2:$O$8,MAX(1,$MF36)),""),IF(AND($MF36=0,$OH36&gt;1),"A básica aceita uma Melhoria",""),IF(AND($MF36=0,COUNTIF($NB36:$NE36,"&gt;1")&gt;0),"A básica só aceita Melhoria Leve",""),IF(AND($MF36&gt;0,$OI36&gt;2),$OI36&amp;" Restrições"&amp;IF($NS36=1,", contando a que a Forma "&amp;$MH36&amp;" já traz","")&amp;": o limite é 2",""),IF(AND($MF36=0,COUNTIF($MO36:$MP36,"?*")&gt;1),"A básica aceita uma Restrição Leve",""),IF(AND($MF36=0,COUNTIF($NV36:$NW36,2)&gt;0),"A básica só aceita Restrição Leve",""),IF(AND($MF36&gt;0,$OP36&lt;0),"Orçamento estourado: faltam "&amp;(-$OP36)&amp;IF($OP36&lt;-1," pontos"," ponto"),""),IF(IFERROR(VLOOKUP($MO36,$BC$2:$BG$24,4,FALSE),0)+IFERROR(VLOOKUP($MP36,$BC$2:$BG$24,4,FALSE),0)&gt;1,$NX36&amp;" e "&amp;$NY36&amp;" são as duas de frequência",""),IF(AND((COUNTIF($MK36:$MN36,"Rápido")+COUNTIF($NX36:$NY36,"Rápido"))&gt;0,(COUNTIF($MK36:$MN36,"Atrasar")+COUNTIF($NX36:$NY36,"Atrasar"))&gt;0),"Rápido não entra com Atrasar",""),IF(AND((COUNTIF($MK36:$MN36,"Reação")+COUNTIF($NX36:$NY36,"Reação"))&gt;0,(COUNTIF($MK36:$MN36,"Rápido")+COUNTIF($NX36:$NY36,"Rápido"))&gt;0),"Reação não entra com Rápido",""),IF(AND((COUNTIF($MK36:$MN36,"Reação")+COUNTIF($NX36:$NY36,"Reação"))&gt;0,(COUNTIF($MK36:$MN36,"Armado")+COUNTIF($NX36:$NY36,"Armado"))&gt;0),"Reação não entra com Armado",""),IF(AND((COUNTIF($MK36:$MN36,"Reação")+COUNTIF($NX36:$NY36,"Reação"))&gt;0,(COUNTIF($MK36:$MN36,"Atrasar")+COUNTIF($NX36:$NY36,"Atrasar"))&gt;0),"Reação não entra com Atrasar",""),IF(AND((COUNTIF($MK36:$MN36,"Reação")+COUNTIF($NX36:$NY36,"Reação"))&gt;0,(COUNTIF($MK36:$MN36,"Parado")+COUNTIF($NX36:$NY36,"Parado"))&gt;0),"Reação não entra com Parado",""),IF(AND((COUNTIF($MK36:$MN36,"Atrasar")+COUNTIF($NX36:$NY36,"Atrasar"))&gt;0,(COUNTIF($MK36:$MN36,"Parado")+COUNTIF($NX36:$NY36,"Parado"))&gt;0),"Atrasar não entra com Parado",""),IF(AND((COUNTIF($MK36:$MN36,"Armado")+COUNTIF($NX36:$NY36,"Armado"))&gt;0,(COUNTIF($MK36:$MN36,"Carregar")+COUNTIF($NX36:$NY36,"Carregar"))&gt;0),"Armado não entra com Carregar",""),IF(AND(COUNTIF($NX36:$NY36,"Corpo a Corpo")&gt;0,$NS36=0,OR($MH36="Cone",$MH36="Linha")),"Corpo a Corpo não entra em "&amp;$MH36,""),IF(AND(COUNTIF($NX36:$NY36,"Corpo a Corpo")&gt;0,$NS36=1),"A Forma "&amp;$MH36&amp;" já traz o Corpo a Corpo",""),IF(AND(COUNTIF($NX36:$NY36,"Tudo ou Nada")&gt;0,$NU36=0),"Tudo ou Nada só entra em habilidade de Teste de Resistência",""),IF(AND(COUNTIF($MK36:$MN36,"Inescapável")&gt;0,OR($OH36&gt;1,$OI36&gt;0)),"Inescapável não aceita outra peça",""),IF(AND($MF36&gt;0,$OQ36*IF(COUNTIF($MK36:$MN36,"Remate")&gt;0,1.25,1)+$OR36&gt;4*$MF36),($OQ36*IF(COUNTIF($MK36:$MN36,"Remate")&gt;0,1.25,1)+$OR36)&amp;" dados somando repetições"&amp;IF(COUNTIF($MK36:$MN36,"Remate")&gt;0," e o Remate","")&amp;": o teto da Classe "&amp;$MF36&amp;" é "&amp;4*$MF36,"")))</f>
        <v/>
      </c>
      <c r="PH36" s="152">
        <f>IF($PG36="",0,(LEN($PG36)-LEN(SUBSTITUTE($PG36," · ","")))/3+1)</f>
        <v/>
      </c>
      <c r="PI36" s="152">
        <f>IF($MQ36=0,"",TEXTJOIN(" · ",TRUE,IF($OK36&gt;2*$MF36,"A devolução parou no teto de "&amp;2*$MF36,""),IF($ON36&gt;0,"Devolução perdida: "&amp;$ON36&amp;IF($ON36&gt;1," pontos"," ponto")&amp;" sem peça para pagar",""),IF(AND($NP36&gt;0,AND($MF36&gt;0,$NT36=0),$OQ36=0),"Controle sem dano: uma rodada a mais e CD +2",""),IF(AND($NP36&gt;0,AND($MF36&gt;0,$NT36=0),$OQ36&gt;0,$OQ36&lt;=$MF36),"Controle com saldo até a Classe: uma rodada a mais",""),IF(AND($MF36&gt;0,$NR36&lt;&gt;""),"Efeito de "&amp;$NR36&amp;" pela Classe "&amp;MAX(1,$MF36-1),"")))</f>
        <v/>
      </c>
      <c r="PJ36" s="152">
        <f>IF($PI36="",0,(LEN($PI36)-LEN(SUBSTITUTE($PI36," · ","")))/3+1)</f>
        <v/>
      </c>
      <c r="PK36" s="152">
        <f>IF($MQ36=0,IF($OH36+COUNTIF($MO36:$MP36,"?*")&gt;0,"Dê um nome",""),IF($PH36&gt;0,"⚠ "&amp;$PH36&amp;IF($PH36&gt;1," erros"," erro"),IF($PJ36&gt;0,"! "&amp;$PJ36&amp;IF($PJ36&gt;1," avisos"," aviso"),"Na regra")))</f>
        <v/>
      </c>
      <c r="PL36" s="152">
        <f>IF($MQ36=0,"",IF($PH36+$PJ36=0,"Dentro das regras que a ficha confere",$PG36&amp;IF(AND($PH36&gt;0,$PJ36&gt;0)," · ","")&amp;$PI36))</f>
        <v/>
      </c>
      <c r="PM36" s="152">
        <f>IF($MD36&gt;$MR36,$ME36&amp;" · ABRE NO NÍVEL "&amp;$MD36,$ME36)</f>
        <v/>
      </c>
      <c r="PN36" s="152">
        <f>IF($MQ36=0,"",IF($MF36=0,"Sem PE",3*$MF36&amp;" PE"))</f>
        <v/>
      </c>
      <c r="PO36" s="152">
        <f>IF($MQ36=0,"",IF($MF36=0,"A atuação básica dela",IF(COUNTIF($NX36:$NY36,"Atrasar")&gt;0,"Sua Ação Completa",IF(COUNTIF($MK36:$MN36,"Rápido")&gt;0,"Sua Bônus",IF(COUNTIF($MK36:$MN36,"Reação")&gt;0,"Sua Reação","Sua Padrão")))&amp;" + a básica dela"&amp;IF(COUNTIF($MK36:$MN36,"Reação")&gt;0," e a coletiva","")&amp;IF(COUNTIF($NX36:$NY36,"Carregar")&gt;0," · em dois turnos","")))</f>
        <v/>
      </c>
      <c r="PP36" s="152">
        <f>IF($MJ36&lt;&gt;"",$MJ36,IF($MW36=0,"",INDEX($AA$2:$AA$11,$MW36)))</f>
        <v/>
      </c>
      <c r="PQ36" s="152">
        <f>IF(OR($MQ36=0,$MW36=0),"",IF(COUNTIF($MK36:$MN36,"Inescapável")&gt;0,"Automático",IF($PP36="Ataque",IF($MU36="","Ataque","Ataque "&amp;IF(($MU36+2*IF(COUNTIF($MK36:$MN36,"Precisão")&gt;0,1,0))&gt;=0,"+","−")&amp;ABS(($MU36+2*IF(COUNTIF($MK36:$MN36,"Precisão")&gt;0,1,0))))&amp;IF($NQ36&gt;0," · TR"&amp;IF($MV36="",""," CD "&amp;$MV36),""),IF(LEFT($PP36,2)="TR",$PP36&amp;IF($MV36="",""," · CD "&amp;$MV36)&amp;IF(COUNTIF($MK36:$MN36,"Certeiro")&gt;0," · metade",""),"Sem rolagem"))))</f>
        <v/>
      </c>
      <c r="PR36" s="152">
        <f>IF(OR($MQ36=0,$MW36=0),"",IF($MF36=0,IF(OR($NT36&gt;=1,$OQ36=0),"Sem dano",$OQ36&amp;"d6"&amp;IF($MI36="",""," "&amp;$MI36)),IF(OR($NT36&gt;=1,$OQ36=0),UPPER(LEFT(INDEX($OZ36:$PF36,1,MAX(1,$MF36)),1))&amp;MID(INDEX($OZ36:$PF36,1,MAX(1,$MF36)),2,99),UPPER(LEFT(INDEX($OZ36:$PF36,1,MAX(1,$MF36)),1))&amp;MID(INDEX($OZ36:$PF36,1,MAX(1,$MF36)),2,99)&amp;IF($MI36="",""," "&amp;$MI36)&amp;IF($OR36&gt;0," · +"&amp;$OR36&amp;"d8",""))))</f>
        <v/>
      </c>
      <c r="PS36" s="152">
        <f>COUNTIF($MK36:$MN36,"Longe")+3*COUNTIF($MK36:$MN36,"Muito Longe")</f>
        <v/>
      </c>
      <c r="PT36" s="152">
        <f>COUNTIF($MK36:$MN36,"Maior")+3*COUNTIF($MK36:$MN36,"Muito Maior")</f>
        <v/>
      </c>
      <c r="PU36" s="152">
        <f>IF($MW36=0,0,CHOOSE(1+INDEX($AC$2:$AC$11,$MW36),0,$PS36,$PT36,$PS36+$PT36))</f>
        <v/>
      </c>
      <c r="PV36" s="152">
        <f>IF($MW36=0,0,CHOOSE(1+INDEX($AD$2:$AD$11,$MW36),0,$PS36,$PT36,$PS36+$PT36))</f>
        <v/>
      </c>
      <c r="PW36" s="152">
        <f>IF(OR($MQ36=0,$MW36=0),"",INDEX($AI$2:$AN$41,($MW36-1)*4+IF($MF36=0,1,IF($MF36&lt;=5,2,IF($MF36=6,3,4))),1+MIN(5,$PU36))&amp;INDEX($AO$2:$AT$41,($MW36-1)*4+IF($MF36=0,1,IF($MF36&lt;=5,2,IF($MF36=6,3,4))),1+MIN(5,$PV36))&amp;IF(INDEX($AE$2:$AE$11,$MW36)=1,IF(COUNTIF($MK36:$MN36,"Mais Um")&gt;0," · +"&amp;COUNTIF($MK36:$MN36,"Mais Um")&amp;IF(COUNTIF($MK36:$MN36,"Mais Um")&gt;1," alvos"," alvo"),"")&amp;IF(COUNTIF($MK36:$MN36,"Rajada")&gt;0,IF($MF36=0," · 1 tiro"," · "&amp;(MAX(1,$MF36-1)+1)&amp;" tiros"),""),""))</f>
        <v/>
      </c>
      <c r="PX36" s="152">
        <f>IF($MQ36=0,"",IF($MF36=0,$MT36&amp;"d6"&amp;IF($OH36&gt;0," − 1 = "&amp;$OQ36&amp;"d6"," da básica do nível "&amp;$MR36),$OO36&amp;" − "&amp;$OJ36&amp;" + "&amp;$OM36&amp;" = "&amp;$OP36&amp;" · teto "&amp;4*$MF36&amp;"d8"&amp;IF($NS36=1," · a Forma devolve "&amp;$MF36,"")&amp;IF($ON36&gt;0," · perde "&amp;$ON36,"")))</f>
        <v/>
      </c>
      <c r="PY36" s="152">
        <f>IF($MQ36=0,"",IF($MF36=0,"A básica não amplia: os dados dela sobem com o nível",IF($MF36&gt;=$MS36,"Já está na maior Classe que o nível liberou",TEXTJOIN(" · ",TRUE,IF(AND(2&gt;$MF36,2&lt;=$MS36),"2 → "&amp;$PA36&amp;", 6 PE",""),IF(AND(3&gt;$MF36,3&lt;=$MS36),"3 → "&amp;$PB36&amp;", 9 PE",""),IF(AND(4&gt;$MF36,4&lt;=$MS36),"4 → "&amp;$PC36&amp;", 12 PE",""),IF(AND(5&gt;$MF36,5&lt;=$MS36),"5 → "&amp;$PD36&amp;", 15 PE",""),IF(AND(6&gt;$MF36,6&lt;=$MS36),"6 → "&amp;$PE36&amp;", 18 PE",""),IF(AND(7&gt;$MF36,7&lt;=$MS36),"7 → "&amp;$PF36&amp;", 21 PE","")))))</f>
        <v/>
      </c>
      <c r="PZ36" s="152">
        <f>IF(OR($MQ36=0,$NB36=0),"",IF($MF36=0,"−1 dado","−"&amp;INDEX($I$2:$N$8,MAX(1,$MF36),MAX(1,$NG36))&amp;" · "&amp;CHOOSE(MAX(1,$NG36),"Leve","Média","Pesada","Leve · Livre","Média · Livre","Pesada · Livre")))</f>
        <v/>
      </c>
      <c r="QA36" s="152">
        <f>IF(OR($MQ36=0,$NC36=0),"",IF($MF36=0,"−1 dado","−"&amp;INDEX($I$2:$N$8,MAX(1,$MF36),MAX(1,$NH36))&amp;" · "&amp;CHOOSE(MAX(1,$NH36),"Leve","Média","Pesada","Leve · Livre","Média · Livre","Pesada · Livre")))</f>
        <v/>
      </c>
      <c r="QB36" s="152">
        <f>IF(OR($MQ36=0,$ND36=0),"",IF($MF36=0,"−1 dado","−"&amp;INDEX($I$2:$N$8,MAX(1,$MF36),MAX(1,$NI36))&amp;" · "&amp;CHOOSE(MAX(1,$NI36),"Leve","Média","Pesada","Leve · Livre","Média · Livre","Pesada · Livre")))</f>
        <v/>
      </c>
      <c r="QC36" s="152">
        <f>IF(OR($MQ36=0,$NE36=0),"",IF($MF36=0,"−1 dado","−"&amp;INDEX($I$2:$N$8,MAX(1,$MF36),MAX(1,$NJ36))&amp;" · "&amp;CHOOSE(MAX(1,$NJ36),"Leve","Média","Pesada","Leve · Livre","Média · Livre","Pesada · Livre")))</f>
        <v/>
      </c>
      <c r="QD36" s="152">
        <f>IF(OR($MQ36=0,$MO36=""),"",IF($MF36=0,"não devolve","+"&amp;IF($NV36=1,CEILING($MF36/2,1),$MF36)))</f>
        <v/>
      </c>
      <c r="QE36" s="152">
        <f>IF(OR($MQ36=0,$MP36=""),"",IF($MF36=0,"não devolve","+"&amp;IF($NW36=1,CEILING($MF36/2,1),$MF36)))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BA37" s="152" t="n">
        <v>1</v>
      </c>
      <c r="JG37" s="152">
        <f>IF(OR($AW37="",COUNTIF($EF$2:$EJ$2,$AW37)&gt;0),$AV37,"")</f>
        <v/>
      </c>
      <c r="JH37" s="152">
        <f>IF(AND($AX37=1,OR($AW37="",COUNTIF($EF$2:$EJ$2,$AW37)&gt;0)),$AV37,"")</f>
        <v/>
      </c>
      <c r="JM37" s="152">
        <f>IF(OR($AW37="",COUNTIF($EF$3:$EJ$3,$AW37)&gt;0),$AV37,"")</f>
        <v/>
      </c>
      <c r="JN37" s="152">
        <f>IF(AND($AX37=1,OR($AW37="",COUNTIF($EF$3:$EJ$3,$AW37)&gt;0)),$AV37,"")</f>
        <v/>
      </c>
      <c r="JS37" s="152">
        <f>IF(OR($AW37="",COUNTIF($EF$4:$EJ$4,$AW37)&gt;0),$AV37,"")</f>
        <v/>
      </c>
      <c r="JT37" s="152">
        <f>IF(AND($AX37=1,OR($AW37="",COUNTIF($EF$4:$EJ$4,$AW37)&gt;0)),$AV37,"")</f>
        <v/>
      </c>
      <c r="JY37" s="152">
        <f>IF(OR($AW37="",COUNTIF($EF$5:$EJ$5,$AW37)&gt;0),$AV37,"")</f>
        <v/>
      </c>
      <c r="JZ37" s="152">
        <f>IF(AND($AX37=1,OR($AW37="",COUNTIF($EF$5:$EJ$5,$AW37)&gt;0)),$AV37,"")</f>
        <v/>
      </c>
      <c r="KE37" s="152">
        <f>IF(OR($AW37="",COUNTIF($EF$6:$EJ$6,$AW37)&gt;0),$AV37,"")</f>
        <v/>
      </c>
      <c r="KF37" s="152">
        <f>IF(AND($AX37=1,OR($AW37="",COUNTIF($EF$6:$EJ$6,$AW37)&gt;0)),$AV37,"")</f>
        <v/>
      </c>
      <c r="KK37" s="152">
        <f>IF(OR($AW37="",COUNTIF($EF$7:$EJ$7,$AW37)&gt;0),$AV37,"")</f>
        <v/>
      </c>
      <c r="KL37" s="152">
        <f>IF(AND($AX37=1,OR($AW37="",COUNTIF($EF$7:$EJ$7,$AW37)&gt;0)),$AV37,"")</f>
        <v/>
      </c>
      <c r="KQ37" s="152">
        <f>IF(OR($AW37="",COUNTIF($EF$8:$EJ$8,$AW37)&gt;0),$AV37,"")</f>
        <v/>
      </c>
      <c r="KR37" s="152">
        <f>IF(AND($AX37=1,OR($AW37="",COUNTIF($EF$8:$EJ$8,$AW37)&gt;0)),$AV37,"")</f>
        <v/>
      </c>
      <c r="KW37" s="152">
        <f>IF(OR($AW37="",COUNTIF($EF$9:$EJ$9,$AW37)&gt;0),$AV37,"")</f>
        <v/>
      </c>
      <c r="KX37" s="152">
        <f>IF(AND($AX37=1,OR($AW37="",COUNTIF($EF$9:$EJ$9,$AW37)&gt;0)),$AV37,"")</f>
        <v/>
      </c>
      <c r="LC37" s="152">
        <f>IF(OR($AW37="",COUNTIF($EF$10:$EJ$10,$AW37)&gt;0),$AV37,"")</f>
        <v/>
      </c>
      <c r="LD37" s="152">
        <f>IF(AND($AX37=1,OR($AW37="",COUNTIF($EF$10:$EJ$10,$AW37)&gt;0)),$AV37,"")</f>
        <v/>
      </c>
      <c r="LI37" s="152">
        <f>IF(OR($AW37="",COUNTIF($EF$11:$EJ$11,$AW37)&gt;0),$AV37,"")</f>
        <v/>
      </c>
      <c r="LJ37" s="152">
        <f>IF(AND($AX37=1,OR($AW37="",COUNTIF($EF$11:$EJ$11,$AW37)&gt;0)),$AV37,"")</f>
        <v/>
      </c>
      <c r="LO37" s="152">
        <f>IF(OR($AW37="",COUNTIF($EF$12:$EJ$12,$AW37)&gt;0),$AV37,"")</f>
        <v/>
      </c>
      <c r="LP37" s="152">
        <f>IF(AND($AX37=1,OR($AW37="",COUNTIF($EF$12:$EJ$12,$AW37)&gt;0)),$AV37,"")</f>
        <v/>
      </c>
      <c r="LU37" s="152">
        <f>IF(OR($AW37="",COUNTIF($EF$13:$EJ$13,$AW37)&gt;0),$AV37,"")</f>
        <v/>
      </c>
      <c r="LV37" s="152">
        <f>IF(AND($AX37=1,OR($AW37="",COUNTIF($EF$13:$EJ$13,$AW37)&gt;0)),$AV37,"")</f>
        <v/>
      </c>
      <c r="MA37" s="150" t="inlineStr">
        <is>
          <t>Ficha 3 · Especial 8</t>
        </is>
      </c>
      <c r="MB37" s="152" t="n">
        <v>3</v>
      </c>
      <c r="MC37" s="152" t="n">
        <v>1</v>
      </c>
      <c r="MD37" s="152" t="n">
        <v>28</v>
      </c>
      <c r="ME37" s="150" t="inlineStr">
        <is>
          <t>ESPECIAL 8</t>
        </is>
      </c>
      <c r="MF37" s="152">
        <f>MAX(1,MIN(7,N('INVOCAÇÕES'!$I$532)))</f>
        <v/>
      </c>
      <c r="MG37" s="152">
        <f>'INVOCAÇÕES'!$J$532&amp;""</f>
        <v/>
      </c>
      <c r="MH37" s="152">
        <f>'INVOCAÇÕES'!$I$537&amp;""</f>
        <v/>
      </c>
      <c r="MI37" s="152">
        <f>'INVOCAÇÕES'!$I$538&amp;""</f>
        <v/>
      </c>
      <c r="MJ37" s="152">
        <f>'INVOCAÇÕES'!$K$538&amp;""</f>
        <v/>
      </c>
      <c r="MK37" s="152">
        <f>'INVOCAÇÕES'!$J$541&amp;""</f>
        <v/>
      </c>
      <c r="ML37" s="152">
        <f>'INVOCAÇÕES'!$J$542&amp;""</f>
        <v/>
      </c>
      <c r="MM37" s="152">
        <f>'INVOCAÇÕES'!$J$543&amp;""</f>
        <v/>
      </c>
      <c r="MN37" s="152">
        <f>'INVOCAÇÕES'!$J$544&amp;""</f>
        <v/>
      </c>
      <c r="MO37" s="152">
        <f>'INVOCAÇÕES'!$J$545&amp;""</f>
        <v/>
      </c>
      <c r="MP37" s="152">
        <f>'INVOCAÇÕES'!$J$546&amp;""</f>
        <v/>
      </c>
      <c r="MQ37" s="152">
        <f>IF($MG37&lt;&gt;"",1,0)</f>
        <v/>
      </c>
      <c r="MR37" s="152">
        <f>INDEX($FI$2:$FI$13,$MB37)</f>
        <v/>
      </c>
      <c r="MS37" s="152">
        <f>INDEX($FJ$2:$FJ$13,$MB37)</f>
        <v/>
      </c>
      <c r="MT37" s="152">
        <f>INDEX($FK$2:$FK$13,$MB37)</f>
        <v/>
      </c>
      <c r="MU37" s="152">
        <f>INDEX($FV$2:$FV$13,$MB37)</f>
        <v/>
      </c>
      <c r="MV37" s="152">
        <f>INDEX($FW$2:$FW$13,$MB37)</f>
        <v/>
      </c>
      <c r="MW37" s="152">
        <f>IFERROR(MATCH($MH37,$V$2:$V$11,0),0)</f>
        <v/>
      </c>
      <c r="MX37" s="152">
        <f>IFERROR(VLOOKUP($MK37,$AV$2:$BA$84,2,FALSE),"")</f>
        <v/>
      </c>
      <c r="MY37" s="152">
        <f>IFERROR(VLOOKUP($ML37,$AV$2:$BA$84,2,FALSE),"")</f>
        <v/>
      </c>
      <c r="MZ37" s="152">
        <f>IFERROR(VLOOKUP($MM37,$AV$2:$BA$84,2,FALSE),"")</f>
        <v/>
      </c>
      <c r="NA37" s="152">
        <f>IFERROR(VLOOKUP($MN37,$AV$2:$BA$84,2,FALSE),"")</f>
        <v/>
      </c>
      <c r="NB37" s="152">
        <f>IFERROR(VLOOKUP($MK37,$AV$2:$BA$84,3,FALSE),0)</f>
        <v/>
      </c>
      <c r="NC37" s="152">
        <f>IFERROR(VLOOKUP($ML37,$AV$2:$BA$84,3,FALSE),0)</f>
        <v/>
      </c>
      <c r="ND37" s="152">
        <f>IFERROR(VLOOKUP($MM37,$AV$2:$BA$84,3,FALSE),0)</f>
        <v/>
      </c>
      <c r="NE37" s="152">
        <f>IFERROR(VLOOKUP($MN37,$AV$2:$BA$84,3,FALSE),0)</f>
        <v/>
      </c>
      <c r="NF37" s="152">
        <f>IF($MF37=0,0,IF($MW37=0,0,INDEX($X$2:$X$11,$MW37)))</f>
        <v/>
      </c>
      <c r="NG37" s="152">
        <f>IF(OR($NB37=0,$MF37=0),0,$NB37+3*IF(AND($MX37&lt;&gt;"",OR($MX37=INDEX($EF$2:$EF$13,$MB37),$MX37=INDEX($EG$2:$EG$13,$MB37))),1,0))</f>
        <v/>
      </c>
      <c r="NH37" s="152">
        <f>IF(OR($NC37=0,$MF37=0),0,$NC37+3*IF(AND($MY37&lt;&gt;"",OR($MY37=INDEX($EF$2:$EF$13,$MB37),$MY37=INDEX($EG$2:$EG$13,$MB37))),1,0))</f>
        <v/>
      </c>
      <c r="NI37" s="152">
        <f>IF(OR($ND37=0,$MF37=0),0,$ND37+3*IF(AND($MZ37&lt;&gt;"",OR($MZ37=INDEX($EF$2:$EF$13,$MB37),$MZ37=INDEX($EG$2:$EG$13,$MB37))),1,0))</f>
        <v/>
      </c>
      <c r="NJ37" s="152">
        <f>IF(OR($NE37=0,$MF37=0),0,$NE37+3*IF(AND($NA37&lt;&gt;"",OR($NA37=INDEX($EF$2:$EF$13,$MB37),$NA37=INDEX($EG$2:$EG$13,$MB37))),1,0))</f>
        <v/>
      </c>
      <c r="NK37" s="152">
        <f>IF($MW37=0,0,IF(INDEX($W$2:$W$11,$MW37)="",0,IF(COUNTIF(INDEX($EF$2:$EJ$13,$MB37,0),INDEX($W$2:$W$11,$MW37))=0,1,0)))</f>
        <v/>
      </c>
      <c r="NL37" s="152">
        <f>IF(OR($NB37=0,$MX37=""),0,IF(COUNTIF(INDEX($EF$2:$EJ$13,$MB37,0),$MX37)=0,1,0))</f>
        <v/>
      </c>
      <c r="NM37" s="152">
        <f>IF(OR($NC37=0,$MY37=""),0,IF(COUNTIF(INDEX($EF$2:$EJ$13,$MB37,0),$MY37)=0,1,0))</f>
        <v/>
      </c>
      <c r="NN37" s="152">
        <f>IF(OR($ND37=0,$MZ37=""),0,IF(COUNTIF(INDEX($EF$2:$EJ$13,$MB37,0),$MZ37)=0,1,0))</f>
        <v/>
      </c>
      <c r="NO37" s="152">
        <f>IF(OR($NE37=0,$NA37=""),0,IF(COUNTIF(INDEX($EF$2:$EJ$13,$MB37,0),$NA37)=0,1,0))</f>
        <v/>
      </c>
      <c r="NP37" s="152">
        <f>IFERROR(VLOOKUP($MK37,$AV$2:$BA$84,4,FALSE),0)+IFERROR(VLOOKUP($ML37,$AV$2:$BA$84,4,FALSE),0)+IFERROR(VLOOKUP($MM37,$AV$2:$BA$84,4,FALSE),0)+IFERROR(VLOOKUP($MN37,$AV$2:$BA$84,4,FALSE),0)</f>
        <v/>
      </c>
      <c r="NQ37" s="152">
        <f>IFERROR(VLOOKUP($MK37,$AV$2:$BA$84,6,FALSE),0)+IFERROR(VLOOKUP($ML37,$AV$2:$BA$84,6,FALSE),0)+IFERROR(VLOOKUP($MM37,$AV$2:$BA$84,6,FALSE),0)+IFERROR(VLOOKUP($MN37,$AV$2:$BA$84,6,FALSE),0)</f>
        <v/>
      </c>
      <c r="NR37" s="152">
        <f>TEXTJOIN(", ",TRUE,IF(IFERROR(VLOOKUP($MK37,$AV$2:$BA$84,5,FALSE),0)=1,$MK37,""),IF(IFERROR(VLOOKUP($ML37,$AV$2:$BA$84,5,FALSE),0)=1,$ML37,""),IF(IFERROR(VLOOKUP($MM37,$AV$2:$BA$84,5,FALSE),0)=1,$MM37,""),IF(IFERROR(VLOOKUP($MN37,$AV$2:$BA$84,5,FALSE),0)=1,$MN37,""))</f>
        <v/>
      </c>
      <c r="NS37" s="152">
        <f>IF($MW37=0,0,INDEX($Y$2:$Y$11,$MW37))</f>
        <v/>
      </c>
      <c r="NT37" s="152">
        <f>IF($MW37=0,0,INDEX($Z$2:$Z$11,$MW37))</f>
        <v/>
      </c>
      <c r="NU37" s="152">
        <f>IF($MW37=0,0,INDEX($AB$2:$AB$11,$MW37))</f>
        <v/>
      </c>
      <c r="NV37" s="152">
        <f>IFERROR(VLOOKUP($MO37,$BC$2:$BG$24,3,FALSE),0)</f>
        <v/>
      </c>
      <c r="NW37" s="152">
        <f>IFERROR(VLOOKUP($MP37,$BC$2:$BG$24,3,FALSE),0)</f>
        <v/>
      </c>
      <c r="NX37" s="152">
        <f>IFERROR(VLOOKUP($MO37,$BC$2:$BG$24,2,FALSE),"")</f>
        <v/>
      </c>
      <c r="NY37" s="152">
        <f>IFERROR(VLOOKUP($MP37,$BC$2:$BG$24,2,FALSE),"")</f>
        <v/>
      </c>
      <c r="NZ37" s="152">
        <f>COUNTIF($NF37:$NJ37,1)</f>
        <v/>
      </c>
      <c r="OA37" s="152">
        <f>COUNTIF($NF37:$NJ37,2)</f>
        <v/>
      </c>
      <c r="OB37" s="152">
        <f>COUNTIF($NF37:$NJ37,3)</f>
        <v/>
      </c>
      <c r="OC37" s="152">
        <f>COUNTIF($NF37:$NJ37,4)</f>
        <v/>
      </c>
      <c r="OD37" s="152">
        <f>COUNTIF($NF37:$NJ37,5)</f>
        <v/>
      </c>
      <c r="OE37" s="152">
        <f>COUNTIF($NF37:$NJ37,6)</f>
        <v/>
      </c>
      <c r="OF37" s="152">
        <f>COUNTIF($NV37:$NW37,1)</f>
        <v/>
      </c>
      <c r="OG37" s="152">
        <f>COUNTIF($NV37:$NW37,2)+$NS37</f>
        <v/>
      </c>
      <c r="OH37" s="152">
        <f>COUNTIF($MK37:$MN37,"?*")</f>
        <v/>
      </c>
      <c r="OI37" s="152">
        <f>COUNTIF($MO37:$MP37,"?*")+$NS37</f>
        <v/>
      </c>
      <c r="OJ37" s="152">
        <f>IF($MF37=0,0,SUMPRODUCT($NZ37:$OE37,INDEX($I$2:$N$8,MAX(1,$MF37),0)))</f>
        <v/>
      </c>
      <c r="OK37" s="152">
        <f>IF($MF37=0,0,$OF37*CEILING($MF37/2,1)+$OG37*$MF37)</f>
        <v/>
      </c>
      <c r="OL37" s="152">
        <f>MIN(2*$MF37,$OK37)</f>
        <v/>
      </c>
      <c r="OM37" s="152">
        <f>MIN($OL37,$OJ37)</f>
        <v/>
      </c>
      <c r="ON37" s="152">
        <f>$OL37-$OM37</f>
        <v/>
      </c>
      <c r="OO37" s="152">
        <f>IF($MF37=0,0,INDEX($P$2:$P$8,MAX(1,$MF37)))</f>
        <v/>
      </c>
      <c r="OP37" s="152">
        <f>$OO37-$OJ37+$OM37</f>
        <v/>
      </c>
      <c r="OQ37" s="152">
        <f>IF($MF37=0,MAX(0,$MT37-IF($OH37&gt;0,1,0)),MAX(0,$OP37))</f>
        <v/>
      </c>
      <c r="OR37" s="152">
        <f>IF($MF37=0,0,(IF(COUNTIF($MK37:$MN37,"Salto")&gt;0,1,0)+IF(COUNTIF($MK37:$MN37,"Queima")&gt;0,1,0)+IF(COUNTIF($MK37:$MN37,"Estilhaço")&gt;0,1,0))*FLOOR($OQ37/2,1))</f>
        <v/>
      </c>
      <c r="OS37" s="152">
        <f>MAX(0,2-SUMPRODUCT($NZ37:$OE37,$I$2:$N$2)+MIN(2,$OF37*1+$OG37*1,SUMPRODUCT($NZ37:$OE37,$I$2:$N$2)))</f>
        <v/>
      </c>
      <c r="OT37" s="152">
        <f>MAX(0,4-SUMPRODUCT($NZ37:$OE37,$I$3:$N$3)+MIN(4,$OF37*1+$OG37*2,SUMPRODUCT($NZ37:$OE37,$I$3:$N$3)))</f>
        <v/>
      </c>
      <c r="OU37" s="152">
        <f>MAX(0,6-SUMPRODUCT($NZ37:$OE37,$I$4:$N$4)+MIN(6,$OF37*2+$OG37*3,SUMPRODUCT($NZ37:$OE37,$I$4:$N$4)))</f>
        <v/>
      </c>
      <c r="OV37" s="152">
        <f>MAX(0,9-SUMPRODUCT($NZ37:$OE37,$I$5:$N$5)+MIN(8,$OF37*2+$OG37*4,SUMPRODUCT($NZ37:$OE37,$I$5:$N$5)))</f>
        <v/>
      </c>
      <c r="OW37" s="152">
        <f>MAX(0,11-SUMPRODUCT($NZ37:$OE37,$I$6:$N$6)+MIN(10,$OF37*3+$OG37*5,SUMPRODUCT($NZ37:$OE37,$I$6:$N$6)))</f>
        <v/>
      </c>
      <c r="OX37" s="152">
        <f>MAX(0,13-SUMPRODUCT($NZ37:$OE37,$I$7:$N$7)+MIN(12,$OF37*3+$OG37*6,SUMPRODUCT($NZ37:$OE37,$I$7:$N$7)))</f>
        <v/>
      </c>
      <c r="OY37" s="152">
        <f>MAX(0,16-SUMPRODUCT($NZ37:$OE37,$I$8:$N$8)+MIN(14,$OF37*4+$OG37*7,SUMPRODUCT($NZ37:$OE37,$I$8:$N$8)))</f>
        <v/>
      </c>
      <c r="OZ37" s="152">
        <f>IF($NT37=2,3*$OS37&amp;" de vida temp.",IF($NT37=3,"sem dano",IF($OS37=0,IF($NT37=1,"sem cura","sem dano"),IF($NT37=1,"cura ","")&amp;$OS37&amp;"d8")))</f>
        <v/>
      </c>
      <c r="PA37" s="152">
        <f>IF($NT37=2,3*$OT37&amp;" de vida temp.",IF($NT37=3,"sem dano",IF($OT37=0,IF($NT37=1,"sem cura","sem dano"),IF($NT37=1,"cura ","")&amp;$OT37&amp;"d8")))</f>
        <v/>
      </c>
      <c r="PB37" s="152">
        <f>IF($NT37=2,3*$OU37&amp;" de vida temp.",IF($NT37=3,"sem dano",IF($OU37=0,IF($NT37=1,"sem cura","sem dano"),IF($NT37=1,"cura ","")&amp;$OU37&amp;"d8")))</f>
        <v/>
      </c>
      <c r="PC37" s="152">
        <f>IF($NT37=2,3*$OV37&amp;" de vida temp.",IF($NT37=3,"sem dano",IF($OV37=0,IF($NT37=1,"sem cura","sem dano"),IF($NT37=1,"cura ","")&amp;$OV37&amp;"d8")))</f>
        <v/>
      </c>
      <c r="PD37" s="152">
        <f>IF($NT37=2,3*$OW37&amp;" de vida temp.",IF($NT37=3,"sem dano",IF($OW37=0,IF($NT37=1,"sem cura","sem dano"),IF($NT37=1,"cura ","")&amp;$OW37&amp;"d8")))</f>
        <v/>
      </c>
      <c r="PE37" s="152">
        <f>IF($NT37=2,3*$OX37&amp;" de vida temp.",IF($NT37=3,"sem dano",IF($OX37=0,IF($NT37=1,"sem cura","sem dano"),IF($NT37=1,"cura ","")&amp;$OX37&amp;"d8")))</f>
        <v/>
      </c>
      <c r="PF37" s="152">
        <f>IF($NT37=2,3*$OY37&amp;" de vida temp.",IF($NT37=3,"sem dano",IF($OY37=0,IF($NT37=1,"sem cura","sem dano"),IF($NT37=1,"cura ","")&amp;$OY37&amp;"d8")))</f>
        <v/>
      </c>
      <c r="PG37" s="152">
        <f>IF($MQ37=0,"",TEXTJOIN(" · ",TRUE,IF($MD37&gt;$MR37,"Este lugar abre no nível "&amp;$MD37,""),IF($MF37&gt;$MS37,"Classe "&amp;$MF37&amp;": o nível "&amp;$MR37&amp;" libera até a "&amp;$MS37,""),IF($NK37=1,"A Forma "&amp;$MH37&amp;" pede "&amp;INDEX($W$2:$W$11,$MW37)&amp;" aberta",""),IF(AND($MF37=0,$MW37&gt;0,IF($MW37=0,0,INDEX($AF$2:$AF$11,$MW37))=0),$MH37&amp;" não existe na Classe 0",""),IF($NL37=1,"Família Fechada: "&amp;$MK37,""),IF($NM37=1,"Família Fechada: "&amp;$ML37,""),IF($NN37=1,"Família Fechada: "&amp;$MM37,""),IF($NO37=1,"Família Fechada: "&amp;$MN37,""),IF(AND($MF37&gt;0,$OH37&gt;INDEX($O$2:$O$8,MAX(1,$MF37))),$OH37&amp;" Melhorias: a Classe "&amp;$MF37&amp;" aceita "&amp;INDEX($O$2:$O$8,MAX(1,$MF37)),""),IF(AND($MF37=0,$OH37&gt;1),"A básica aceita uma Melhoria",""),IF(AND($MF37=0,COUNTIF($NB37:$NE37,"&gt;1")&gt;0),"A básica só aceita Melhoria Leve",""),IF(AND($MF37&gt;0,$OI37&gt;2),$OI37&amp;" Restrições"&amp;IF($NS37=1,", contando a que a Forma "&amp;$MH37&amp;" já traz","")&amp;": o limite é 2",""),IF(AND($MF37=0,COUNTIF($MO37:$MP37,"?*")&gt;1),"A básica aceita uma Restrição Leve",""),IF(AND($MF37=0,COUNTIF($NV37:$NW37,2)&gt;0),"A básica só aceita Restrição Leve",""),IF(AND($MF37&gt;0,$OP37&lt;0),"Orçamento estourado: faltam "&amp;(-$OP37)&amp;IF($OP37&lt;-1," pontos"," ponto"),""),IF(IFERROR(VLOOKUP($MO37,$BC$2:$BG$24,4,FALSE),0)+IFERROR(VLOOKUP($MP37,$BC$2:$BG$24,4,FALSE),0)&gt;1,$NX37&amp;" e "&amp;$NY37&amp;" são as duas de frequência",""),IF(AND((COUNTIF($MK37:$MN37,"Rápido")+COUNTIF($NX37:$NY37,"Rápido"))&gt;0,(COUNTIF($MK37:$MN37,"Atrasar")+COUNTIF($NX37:$NY37,"Atrasar"))&gt;0),"Rápido não entra com Atrasar",""),IF(AND((COUNTIF($MK37:$MN37,"Reação")+COUNTIF($NX37:$NY37,"Reação"))&gt;0,(COUNTIF($MK37:$MN37,"Rápido")+COUNTIF($NX37:$NY37,"Rápido"))&gt;0),"Reação não entra com Rápido",""),IF(AND((COUNTIF($MK37:$MN37,"Reação")+COUNTIF($NX37:$NY37,"Reação"))&gt;0,(COUNTIF($MK37:$MN37,"Armado")+COUNTIF($NX37:$NY37,"Armado"))&gt;0),"Reação não entra com Armado",""),IF(AND((COUNTIF($MK37:$MN37,"Reação")+COUNTIF($NX37:$NY37,"Reação"))&gt;0,(COUNTIF($MK37:$MN37,"Atrasar")+COUNTIF($NX37:$NY37,"Atrasar"))&gt;0),"Reação não entra com Atrasar",""),IF(AND((COUNTIF($MK37:$MN37,"Reação")+COUNTIF($NX37:$NY37,"Reação"))&gt;0,(COUNTIF($MK37:$MN37,"Parado")+COUNTIF($NX37:$NY37,"Parado"))&gt;0),"Reação não entra com Parado",""),IF(AND((COUNTIF($MK37:$MN37,"Atrasar")+COUNTIF($NX37:$NY37,"Atrasar"))&gt;0,(COUNTIF($MK37:$MN37,"Parado")+COUNTIF($NX37:$NY37,"Parado"))&gt;0),"Atrasar não entra com Parado",""),IF(AND((COUNTIF($MK37:$MN37,"Armado")+COUNTIF($NX37:$NY37,"Armado"))&gt;0,(COUNTIF($MK37:$MN37,"Carregar")+COUNTIF($NX37:$NY37,"Carregar"))&gt;0),"Armado não entra com Carregar",""),IF(AND(COUNTIF($NX37:$NY37,"Corpo a Corpo")&gt;0,$NS37=0,OR($MH37="Cone",$MH37="Linha")),"Corpo a Corpo não entra em "&amp;$MH37,""),IF(AND(COUNTIF($NX37:$NY37,"Corpo a Corpo")&gt;0,$NS37=1),"A Forma "&amp;$MH37&amp;" já traz o Corpo a Corpo",""),IF(AND(COUNTIF($NX37:$NY37,"Tudo ou Nada")&gt;0,$NU37=0),"Tudo ou Nada só entra em habilidade de Teste de Resistência",""),IF(AND(COUNTIF($MK37:$MN37,"Inescapável")&gt;0,OR($OH37&gt;1,$OI37&gt;0)),"Inescapável não aceita outra peça",""),IF(AND($MF37&gt;0,$OQ37*IF(COUNTIF($MK37:$MN37,"Remate")&gt;0,1.25,1)+$OR37&gt;4*$MF37),($OQ37*IF(COUNTIF($MK37:$MN37,"Remate")&gt;0,1.25,1)+$OR37)&amp;" dados somando repetições"&amp;IF(COUNTIF($MK37:$MN37,"Remate")&gt;0," e o Remate","")&amp;": o teto da Classe "&amp;$MF37&amp;" é "&amp;4*$MF37,"")))</f>
        <v/>
      </c>
      <c r="PH37" s="152">
        <f>IF($PG37="",0,(LEN($PG37)-LEN(SUBSTITUTE($PG37," · ","")))/3+1)</f>
        <v/>
      </c>
      <c r="PI37" s="152">
        <f>IF($MQ37=0,"",TEXTJOIN(" · ",TRUE,IF($OK37&gt;2*$MF37,"A devolução parou no teto de "&amp;2*$MF37,""),IF($ON37&gt;0,"Devolução perdida: "&amp;$ON37&amp;IF($ON37&gt;1," pontos"," ponto")&amp;" sem peça para pagar",""),IF(AND($NP37&gt;0,AND($MF37&gt;0,$NT37=0),$OQ37=0),"Controle sem dano: uma rodada a mais e CD +2",""),IF(AND($NP37&gt;0,AND($MF37&gt;0,$NT37=0),$OQ37&gt;0,$OQ37&lt;=$MF37),"Controle com saldo até a Classe: uma rodada a mais",""),IF(AND($MF37&gt;0,$NR37&lt;&gt;""),"Efeito de "&amp;$NR37&amp;" pela Classe "&amp;MAX(1,$MF37-1),"")))</f>
        <v/>
      </c>
      <c r="PJ37" s="152">
        <f>IF($PI37="",0,(LEN($PI37)-LEN(SUBSTITUTE($PI37," · ","")))/3+1)</f>
        <v/>
      </c>
      <c r="PK37" s="152">
        <f>IF($MQ37=0,IF($OH37+COUNTIF($MO37:$MP37,"?*")&gt;0,"Dê um nome",""),IF($PH37&gt;0,"⚠ "&amp;$PH37&amp;IF($PH37&gt;1," erros"," erro"),IF($PJ37&gt;0,"! "&amp;$PJ37&amp;IF($PJ37&gt;1," avisos"," aviso"),"Na regra")))</f>
        <v/>
      </c>
      <c r="PL37" s="152">
        <f>IF($MQ37=0,"",IF($PH37+$PJ37=0,"Dentro das regras que a ficha confere",$PG37&amp;IF(AND($PH37&gt;0,$PJ37&gt;0)," · ","")&amp;$PI37))</f>
        <v/>
      </c>
      <c r="PM37" s="152">
        <f>IF($MD37&gt;$MR37,$ME37&amp;" · ABRE NO NÍVEL "&amp;$MD37,$ME37)</f>
        <v/>
      </c>
      <c r="PN37" s="152">
        <f>IF($MQ37=0,"",IF($MF37=0,"Sem PE",3*$MF37&amp;" PE"))</f>
        <v/>
      </c>
      <c r="PO37" s="152">
        <f>IF($MQ37=0,"",IF($MF37=0,"A atuação básica dela",IF(COUNTIF($NX37:$NY37,"Atrasar")&gt;0,"Sua Ação Completa",IF(COUNTIF($MK37:$MN37,"Rápido")&gt;0,"Sua Bônus",IF(COUNTIF($MK37:$MN37,"Reação")&gt;0,"Sua Reação","Sua Padrão")))&amp;" + a básica dela"&amp;IF(COUNTIF($MK37:$MN37,"Reação")&gt;0," e a coletiva","")&amp;IF(COUNTIF($NX37:$NY37,"Carregar")&gt;0," · em dois turnos","")))</f>
        <v/>
      </c>
      <c r="PP37" s="152">
        <f>IF($MJ37&lt;&gt;"",$MJ37,IF($MW37=0,"",INDEX($AA$2:$AA$11,$MW37)))</f>
        <v/>
      </c>
      <c r="PQ37" s="152">
        <f>IF(OR($MQ37=0,$MW37=0),"",IF(COUNTIF($MK37:$MN37,"Inescapável")&gt;0,"Automático",IF($PP37="Ataque",IF($MU37="","Ataque","Ataque "&amp;IF(($MU37+2*IF(COUNTIF($MK37:$MN37,"Precisão")&gt;0,1,0))&gt;=0,"+","−")&amp;ABS(($MU37+2*IF(COUNTIF($MK37:$MN37,"Precisão")&gt;0,1,0))))&amp;IF($NQ37&gt;0," · TR"&amp;IF($MV37="",""," CD "&amp;$MV37),""),IF(LEFT($PP37,2)="TR",$PP37&amp;IF($MV37="",""," · CD "&amp;$MV37)&amp;IF(COUNTIF($MK37:$MN37,"Certeiro")&gt;0," · metade",""),"Sem rolagem"))))</f>
        <v/>
      </c>
      <c r="PR37" s="152">
        <f>IF(OR($MQ37=0,$MW37=0),"",IF($MF37=0,IF(OR($NT37&gt;=1,$OQ37=0),"Sem dano",$OQ37&amp;"d6"&amp;IF($MI37="",""," "&amp;$MI37)),IF(OR($NT37&gt;=1,$OQ37=0),UPPER(LEFT(INDEX($OZ37:$PF37,1,MAX(1,$MF37)),1))&amp;MID(INDEX($OZ37:$PF37,1,MAX(1,$MF37)),2,99),UPPER(LEFT(INDEX($OZ37:$PF37,1,MAX(1,$MF37)),1))&amp;MID(INDEX($OZ37:$PF37,1,MAX(1,$MF37)),2,99)&amp;IF($MI37="",""," "&amp;$MI37)&amp;IF($OR37&gt;0," · +"&amp;$OR37&amp;"d8",""))))</f>
        <v/>
      </c>
      <c r="PS37" s="152">
        <f>COUNTIF($MK37:$MN37,"Longe")+3*COUNTIF($MK37:$MN37,"Muito Longe")</f>
        <v/>
      </c>
      <c r="PT37" s="152">
        <f>COUNTIF($MK37:$MN37,"Maior")+3*COUNTIF($MK37:$MN37,"Muito Maior")</f>
        <v/>
      </c>
      <c r="PU37" s="152">
        <f>IF($MW37=0,0,CHOOSE(1+INDEX($AC$2:$AC$11,$MW37),0,$PS37,$PT37,$PS37+$PT37))</f>
        <v/>
      </c>
      <c r="PV37" s="152">
        <f>IF($MW37=0,0,CHOOSE(1+INDEX($AD$2:$AD$11,$MW37),0,$PS37,$PT37,$PS37+$PT37))</f>
        <v/>
      </c>
      <c r="PW37" s="152">
        <f>IF(OR($MQ37=0,$MW37=0),"",INDEX($AI$2:$AN$41,($MW37-1)*4+IF($MF37=0,1,IF($MF37&lt;=5,2,IF($MF37=6,3,4))),1+MIN(5,$PU37))&amp;INDEX($AO$2:$AT$41,($MW37-1)*4+IF($MF37=0,1,IF($MF37&lt;=5,2,IF($MF37=6,3,4))),1+MIN(5,$PV37))&amp;IF(INDEX($AE$2:$AE$11,$MW37)=1,IF(COUNTIF($MK37:$MN37,"Mais Um")&gt;0," · +"&amp;COUNTIF($MK37:$MN37,"Mais Um")&amp;IF(COUNTIF($MK37:$MN37,"Mais Um")&gt;1," alvos"," alvo"),"")&amp;IF(COUNTIF($MK37:$MN37,"Rajada")&gt;0,IF($MF37=0," · 1 tiro"," · "&amp;(MAX(1,$MF37-1)+1)&amp;" tiros"),""),""))</f>
        <v/>
      </c>
      <c r="PX37" s="152">
        <f>IF($MQ37=0,"",IF($MF37=0,$MT37&amp;"d6"&amp;IF($OH37&gt;0," − 1 = "&amp;$OQ37&amp;"d6"," da básica do nível "&amp;$MR37),$OO37&amp;" − "&amp;$OJ37&amp;" + "&amp;$OM37&amp;" = "&amp;$OP37&amp;" · teto "&amp;4*$MF37&amp;"d8"&amp;IF($NS37=1," · a Forma devolve "&amp;$MF37,"")&amp;IF($ON37&gt;0," · perde "&amp;$ON37,"")))</f>
        <v/>
      </c>
      <c r="PY37" s="152">
        <f>IF($MQ37=0,"",IF($MF37=0,"A básica não amplia: os dados dela sobem com o nível",IF($MF37&gt;=$MS37,"Já está na maior Classe que o nível liberou",TEXTJOIN(" · ",TRUE,IF(AND(2&gt;$MF37,2&lt;=$MS37),"2 → "&amp;$PA37&amp;", 6 PE",""),IF(AND(3&gt;$MF37,3&lt;=$MS37),"3 → "&amp;$PB37&amp;", 9 PE",""),IF(AND(4&gt;$MF37,4&lt;=$MS37),"4 → "&amp;$PC37&amp;", 12 PE",""),IF(AND(5&gt;$MF37,5&lt;=$MS37),"5 → "&amp;$PD37&amp;", 15 PE",""),IF(AND(6&gt;$MF37,6&lt;=$MS37),"6 → "&amp;$PE37&amp;", 18 PE",""),IF(AND(7&gt;$MF37,7&lt;=$MS37),"7 → "&amp;$PF37&amp;", 21 PE","")))))</f>
        <v/>
      </c>
      <c r="PZ37" s="152">
        <f>IF(OR($MQ37=0,$NB37=0),"",IF($MF37=0,"−1 dado","−"&amp;INDEX($I$2:$N$8,MAX(1,$MF37),MAX(1,$NG37))&amp;" · "&amp;CHOOSE(MAX(1,$NG37),"Leve","Média","Pesada","Leve · Livre","Média · Livre","Pesada · Livre")))</f>
        <v/>
      </c>
      <c r="QA37" s="152">
        <f>IF(OR($MQ37=0,$NC37=0),"",IF($MF37=0,"−1 dado","−"&amp;INDEX($I$2:$N$8,MAX(1,$MF37),MAX(1,$NH37))&amp;" · "&amp;CHOOSE(MAX(1,$NH37),"Leve","Média","Pesada","Leve · Livre","Média · Livre","Pesada · Livre")))</f>
        <v/>
      </c>
      <c r="QB37" s="152">
        <f>IF(OR($MQ37=0,$ND37=0),"",IF($MF37=0,"−1 dado","−"&amp;INDEX($I$2:$N$8,MAX(1,$MF37),MAX(1,$NI37))&amp;" · "&amp;CHOOSE(MAX(1,$NI37),"Leve","Média","Pesada","Leve · Livre","Média · Livre","Pesada · Livre")))</f>
        <v/>
      </c>
      <c r="QC37" s="152">
        <f>IF(OR($MQ37=0,$NE37=0),"",IF($MF37=0,"−1 dado","−"&amp;INDEX($I$2:$N$8,MAX(1,$MF37),MAX(1,$NJ37))&amp;" · "&amp;CHOOSE(MAX(1,$NJ37),"Leve","Média","Pesada","Leve · Livre","Média · Livre","Pesada · Livre")))</f>
        <v/>
      </c>
      <c r="QD37" s="152">
        <f>IF(OR($MQ37=0,$MO37=""),"",IF($MF37=0,"não devolve","+"&amp;IF($NV37=1,CEILING($MF37/2,1),$MF37)))</f>
        <v/>
      </c>
      <c r="QE37" s="152">
        <f>IF(OR($MQ37=0,$MP37=""),"",IF($MF37=0,"não devolve","+"&amp;IF($NW37=1,CEILING($MF37/2,1),$MF37)))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BA38" s="152" t="n">
        <v>0</v>
      </c>
      <c r="JG38" s="152">
        <f>IF(OR($AW38="",COUNTIF($EF$2:$EJ$2,$AW38)&gt;0),$AV38,"")</f>
        <v/>
      </c>
      <c r="JH38" s="152">
        <f>IF(AND($AX38=1,OR($AW38="",COUNTIF($EF$2:$EJ$2,$AW38)&gt;0)),$AV38,"")</f>
        <v/>
      </c>
      <c r="JM38" s="152">
        <f>IF(OR($AW38="",COUNTIF($EF$3:$EJ$3,$AW38)&gt;0),$AV38,"")</f>
        <v/>
      </c>
      <c r="JN38" s="152">
        <f>IF(AND($AX38=1,OR($AW38="",COUNTIF($EF$3:$EJ$3,$AW38)&gt;0)),$AV38,"")</f>
        <v/>
      </c>
      <c r="JS38" s="152">
        <f>IF(OR($AW38="",COUNTIF($EF$4:$EJ$4,$AW38)&gt;0),$AV38,"")</f>
        <v/>
      </c>
      <c r="JT38" s="152">
        <f>IF(AND($AX38=1,OR($AW38="",COUNTIF($EF$4:$EJ$4,$AW38)&gt;0)),$AV38,"")</f>
        <v/>
      </c>
      <c r="JY38" s="152">
        <f>IF(OR($AW38="",COUNTIF($EF$5:$EJ$5,$AW38)&gt;0),$AV38,"")</f>
        <v/>
      </c>
      <c r="JZ38" s="152">
        <f>IF(AND($AX38=1,OR($AW38="",COUNTIF($EF$5:$EJ$5,$AW38)&gt;0)),$AV38,"")</f>
        <v/>
      </c>
      <c r="KE38" s="152">
        <f>IF(OR($AW38="",COUNTIF($EF$6:$EJ$6,$AW38)&gt;0),$AV38,"")</f>
        <v/>
      </c>
      <c r="KF38" s="152">
        <f>IF(AND($AX38=1,OR($AW38="",COUNTIF($EF$6:$EJ$6,$AW38)&gt;0)),$AV38,"")</f>
        <v/>
      </c>
      <c r="KK38" s="152">
        <f>IF(OR($AW38="",COUNTIF($EF$7:$EJ$7,$AW38)&gt;0),$AV38,"")</f>
        <v/>
      </c>
      <c r="KL38" s="152">
        <f>IF(AND($AX38=1,OR($AW38="",COUNTIF($EF$7:$EJ$7,$AW38)&gt;0)),$AV38,"")</f>
        <v/>
      </c>
      <c r="KQ38" s="152">
        <f>IF(OR($AW38="",COUNTIF($EF$8:$EJ$8,$AW38)&gt;0),$AV38,"")</f>
        <v/>
      </c>
      <c r="KR38" s="152">
        <f>IF(AND($AX38=1,OR($AW38="",COUNTIF($EF$8:$EJ$8,$AW38)&gt;0)),$AV38,"")</f>
        <v/>
      </c>
      <c r="KW38" s="152">
        <f>IF(OR($AW38="",COUNTIF($EF$9:$EJ$9,$AW38)&gt;0),$AV38,"")</f>
        <v/>
      </c>
      <c r="KX38" s="152">
        <f>IF(AND($AX38=1,OR($AW38="",COUNTIF($EF$9:$EJ$9,$AW38)&gt;0)),$AV38,"")</f>
        <v/>
      </c>
      <c r="LC38" s="152">
        <f>IF(OR($AW38="",COUNTIF($EF$10:$EJ$10,$AW38)&gt;0),$AV38,"")</f>
        <v/>
      </c>
      <c r="LD38" s="152">
        <f>IF(AND($AX38=1,OR($AW38="",COUNTIF($EF$10:$EJ$10,$AW38)&gt;0)),$AV38,"")</f>
        <v/>
      </c>
      <c r="LI38" s="152">
        <f>IF(OR($AW38="",COUNTIF($EF$11:$EJ$11,$AW38)&gt;0),$AV38,"")</f>
        <v/>
      </c>
      <c r="LJ38" s="152">
        <f>IF(AND($AX38=1,OR($AW38="",COUNTIF($EF$11:$EJ$11,$AW38)&gt;0)),$AV38,"")</f>
        <v/>
      </c>
      <c r="LO38" s="152">
        <f>IF(OR($AW38="",COUNTIF($EF$12:$EJ$12,$AW38)&gt;0),$AV38,"")</f>
        <v/>
      </c>
      <c r="LP38" s="152">
        <f>IF(AND($AX38=1,OR($AW38="",COUNTIF($EF$12:$EJ$12,$AW38)&gt;0)),$AV38,"")</f>
        <v/>
      </c>
      <c r="LU38" s="152">
        <f>IF(OR($AW38="",COUNTIF($EF$13:$EJ$13,$AW38)&gt;0),$AV38,"")</f>
        <v/>
      </c>
      <c r="LV38" s="152">
        <f>IF(AND($AX38=1,OR($AW38="",COUNTIF($EF$13:$EJ$13,$AW38)&gt;0)),$AV38,"")</f>
        <v/>
      </c>
      <c r="MA38" s="150" t="inlineStr">
        <is>
          <t>Ficha 3 · Escolha da trilha 1</t>
        </is>
      </c>
      <c r="MB38" s="152" t="n">
        <v>3</v>
      </c>
      <c r="MC38" s="152" t="n">
        <v>2</v>
      </c>
      <c r="MD38" s="152" t="n">
        <v>0</v>
      </c>
      <c r="ME38" s="150" t="inlineStr">
        <is>
          <t>ESCOLHA DA TRILHA 1</t>
        </is>
      </c>
      <c r="MF38" s="152">
        <f>MAX(0,MIN(7,N('INVOCAÇÕES'!$I$556)))</f>
        <v/>
      </c>
      <c r="MG38" s="152">
        <f>'INVOCAÇÕES'!$J$556&amp;""</f>
        <v/>
      </c>
      <c r="MH38" s="152">
        <f>'INVOCAÇÕES'!$I$561&amp;""</f>
        <v/>
      </c>
      <c r="MI38" s="152">
        <f>'INVOCAÇÕES'!$I$562&amp;""</f>
        <v/>
      </c>
      <c r="MJ38" s="152">
        <f>'INVOCAÇÕES'!$K$562&amp;""</f>
        <v/>
      </c>
      <c r="MK38" s="152">
        <f>'INVOCAÇÕES'!$J$565&amp;""</f>
        <v/>
      </c>
      <c r="ML38" s="152">
        <f>'INVOCAÇÕES'!$J$566&amp;""</f>
        <v/>
      </c>
      <c r="MM38" s="152">
        <f>'INVOCAÇÕES'!$J$567&amp;""</f>
        <v/>
      </c>
      <c r="MN38" s="152">
        <f>'INVOCAÇÕES'!$J$568&amp;""</f>
        <v/>
      </c>
      <c r="MO38" s="152">
        <f>'INVOCAÇÕES'!$J$569&amp;""</f>
        <v/>
      </c>
      <c r="MP38" s="152">
        <f>'INVOCAÇÕES'!$J$570&amp;""</f>
        <v/>
      </c>
      <c r="MQ38" s="152">
        <f>IF($MG38&lt;&gt;"",1,0)</f>
        <v/>
      </c>
      <c r="MR38" s="152">
        <f>INDEX($FI$2:$FI$13,$MB38)</f>
        <v/>
      </c>
      <c r="MS38" s="152">
        <f>INDEX($FJ$2:$FJ$13,$MB38)</f>
        <v/>
      </c>
      <c r="MT38" s="152">
        <f>INDEX($FK$2:$FK$13,$MB38)</f>
        <v/>
      </c>
      <c r="MU38" s="152">
        <f>INDEX($FV$2:$FV$13,$MB38)</f>
        <v/>
      </c>
      <c r="MV38" s="152">
        <f>INDEX($FW$2:$FW$13,$MB38)</f>
        <v/>
      </c>
      <c r="MW38" s="152">
        <f>IFERROR(MATCH($MH38,$V$2:$V$11,0),0)</f>
        <v/>
      </c>
      <c r="MX38" s="152">
        <f>IFERROR(VLOOKUP($MK38,$AV$2:$BA$84,2,FALSE),"")</f>
        <v/>
      </c>
      <c r="MY38" s="152">
        <f>IFERROR(VLOOKUP($ML38,$AV$2:$BA$84,2,FALSE),"")</f>
        <v/>
      </c>
      <c r="MZ38" s="152">
        <f>IFERROR(VLOOKUP($MM38,$AV$2:$BA$84,2,FALSE),"")</f>
        <v/>
      </c>
      <c r="NA38" s="152">
        <f>IFERROR(VLOOKUP($MN38,$AV$2:$BA$84,2,FALSE),"")</f>
        <v/>
      </c>
      <c r="NB38" s="152">
        <f>IFERROR(VLOOKUP($MK38,$AV$2:$BA$84,3,FALSE),0)</f>
        <v/>
      </c>
      <c r="NC38" s="152">
        <f>IFERROR(VLOOKUP($ML38,$AV$2:$BA$84,3,FALSE),0)</f>
        <v/>
      </c>
      <c r="ND38" s="152">
        <f>IFERROR(VLOOKUP($MM38,$AV$2:$BA$84,3,FALSE),0)</f>
        <v/>
      </c>
      <c r="NE38" s="152">
        <f>IFERROR(VLOOKUP($MN38,$AV$2:$BA$84,3,FALSE),0)</f>
        <v/>
      </c>
      <c r="NF38" s="152">
        <f>IF($MF38=0,0,IF($MW38=0,0,INDEX($X$2:$X$11,$MW38)))</f>
        <v/>
      </c>
      <c r="NG38" s="152">
        <f>IF(OR($NB38=0,$MF38=0),0,$NB38+3*IF(AND($MX38&lt;&gt;"",OR($MX38=INDEX($EF$2:$EF$13,$MB38),$MX38=INDEX($EG$2:$EG$13,$MB38))),1,0))</f>
        <v/>
      </c>
      <c r="NH38" s="152">
        <f>IF(OR($NC38=0,$MF38=0),0,$NC38+3*IF(AND($MY38&lt;&gt;"",OR($MY38=INDEX($EF$2:$EF$13,$MB38),$MY38=INDEX($EG$2:$EG$13,$MB38))),1,0))</f>
        <v/>
      </c>
      <c r="NI38" s="152">
        <f>IF(OR($ND38=0,$MF38=0),0,$ND38+3*IF(AND($MZ38&lt;&gt;"",OR($MZ38=INDEX($EF$2:$EF$13,$MB38),$MZ38=INDEX($EG$2:$EG$13,$MB38))),1,0))</f>
        <v/>
      </c>
      <c r="NJ38" s="152">
        <f>IF(OR($NE38=0,$MF38=0),0,$NE38+3*IF(AND($NA38&lt;&gt;"",OR($NA38=INDEX($EF$2:$EF$13,$MB38),$NA38=INDEX($EG$2:$EG$13,$MB38))),1,0))</f>
        <v/>
      </c>
      <c r="NK38" s="152">
        <f>IF($MW38=0,0,IF(INDEX($W$2:$W$11,$MW38)="",0,IF(COUNTIF(INDEX($EF$2:$EJ$13,$MB38,0),INDEX($W$2:$W$11,$MW38))=0,1,0)))</f>
        <v/>
      </c>
      <c r="NL38" s="152">
        <f>IF(OR($NB38=0,$MX38=""),0,IF(COUNTIF(INDEX($EF$2:$EJ$13,$MB38,0),$MX38)=0,1,0))</f>
        <v/>
      </c>
      <c r="NM38" s="152">
        <f>IF(OR($NC38=0,$MY38=""),0,IF(COUNTIF(INDEX($EF$2:$EJ$13,$MB38,0),$MY38)=0,1,0))</f>
        <v/>
      </c>
      <c r="NN38" s="152">
        <f>IF(OR($ND38=0,$MZ38=""),0,IF(COUNTIF(INDEX($EF$2:$EJ$13,$MB38,0),$MZ38)=0,1,0))</f>
        <v/>
      </c>
      <c r="NO38" s="152">
        <f>IF(OR($NE38=0,$NA38=""),0,IF(COUNTIF(INDEX($EF$2:$EJ$13,$MB38,0),$NA38)=0,1,0))</f>
        <v/>
      </c>
      <c r="NP38" s="152">
        <f>IFERROR(VLOOKUP($MK38,$AV$2:$BA$84,4,FALSE),0)+IFERROR(VLOOKUP($ML38,$AV$2:$BA$84,4,FALSE),0)+IFERROR(VLOOKUP($MM38,$AV$2:$BA$84,4,FALSE),0)+IFERROR(VLOOKUP($MN38,$AV$2:$BA$84,4,FALSE),0)</f>
        <v/>
      </c>
      <c r="NQ38" s="152">
        <f>IFERROR(VLOOKUP($MK38,$AV$2:$BA$84,6,FALSE),0)+IFERROR(VLOOKUP($ML38,$AV$2:$BA$84,6,FALSE),0)+IFERROR(VLOOKUP($MM38,$AV$2:$BA$84,6,FALSE),0)+IFERROR(VLOOKUP($MN38,$AV$2:$BA$84,6,FALSE),0)</f>
        <v/>
      </c>
      <c r="NR38" s="152">
        <f>TEXTJOIN(", ",TRUE,IF(IFERROR(VLOOKUP($MK38,$AV$2:$BA$84,5,FALSE),0)=1,$MK38,""),IF(IFERROR(VLOOKUP($ML38,$AV$2:$BA$84,5,FALSE),0)=1,$ML38,""),IF(IFERROR(VLOOKUP($MM38,$AV$2:$BA$84,5,FALSE),0)=1,$MM38,""),IF(IFERROR(VLOOKUP($MN38,$AV$2:$BA$84,5,FALSE),0)=1,$MN38,""))</f>
        <v/>
      </c>
      <c r="NS38" s="152">
        <f>IF($MW38=0,0,INDEX($Y$2:$Y$11,$MW38))</f>
        <v/>
      </c>
      <c r="NT38" s="152">
        <f>IF($MW38=0,0,INDEX($Z$2:$Z$11,$MW38))</f>
        <v/>
      </c>
      <c r="NU38" s="152">
        <f>IF($MW38=0,0,INDEX($AB$2:$AB$11,$MW38))</f>
        <v/>
      </c>
      <c r="NV38" s="152">
        <f>IFERROR(VLOOKUP($MO38,$BC$2:$BG$24,3,FALSE),0)</f>
        <v/>
      </c>
      <c r="NW38" s="152">
        <f>IFERROR(VLOOKUP($MP38,$BC$2:$BG$24,3,FALSE),0)</f>
        <v/>
      </c>
      <c r="NX38" s="152">
        <f>IFERROR(VLOOKUP($MO38,$BC$2:$BG$24,2,FALSE),"")</f>
        <v/>
      </c>
      <c r="NY38" s="152">
        <f>IFERROR(VLOOKUP($MP38,$BC$2:$BG$24,2,FALSE),"")</f>
        <v/>
      </c>
      <c r="NZ38" s="152">
        <f>COUNTIF($NF38:$NJ38,1)</f>
        <v/>
      </c>
      <c r="OA38" s="152">
        <f>COUNTIF($NF38:$NJ38,2)</f>
        <v/>
      </c>
      <c r="OB38" s="152">
        <f>COUNTIF($NF38:$NJ38,3)</f>
        <v/>
      </c>
      <c r="OC38" s="152">
        <f>COUNTIF($NF38:$NJ38,4)</f>
        <v/>
      </c>
      <c r="OD38" s="152">
        <f>COUNTIF($NF38:$NJ38,5)</f>
        <v/>
      </c>
      <c r="OE38" s="152">
        <f>COUNTIF($NF38:$NJ38,6)</f>
        <v/>
      </c>
      <c r="OF38" s="152">
        <f>COUNTIF($NV38:$NW38,1)</f>
        <v/>
      </c>
      <c r="OG38" s="152">
        <f>COUNTIF($NV38:$NW38,2)+$NS38</f>
        <v/>
      </c>
      <c r="OH38" s="152">
        <f>COUNTIF($MK38:$MN38,"?*")</f>
        <v/>
      </c>
      <c r="OI38" s="152">
        <f>COUNTIF($MO38:$MP38,"?*")+$NS38</f>
        <v/>
      </c>
      <c r="OJ38" s="152">
        <f>IF($MF38=0,0,SUMPRODUCT($NZ38:$OE38,INDEX($I$2:$N$8,MAX(1,$MF38),0)))</f>
        <v/>
      </c>
      <c r="OK38" s="152">
        <f>IF($MF38=0,0,$OF38*CEILING($MF38/2,1)+$OG38*$MF38)</f>
        <v/>
      </c>
      <c r="OL38" s="152">
        <f>MIN(2*$MF38,$OK38)</f>
        <v/>
      </c>
      <c r="OM38" s="152">
        <f>MIN($OL38,$OJ38)</f>
        <v/>
      </c>
      <c r="ON38" s="152">
        <f>$OL38-$OM38</f>
        <v/>
      </c>
      <c r="OO38" s="152">
        <f>IF($MF38=0,0,INDEX($P$2:$P$8,MAX(1,$MF38)))</f>
        <v/>
      </c>
      <c r="OP38" s="152">
        <f>$OO38-$OJ38+$OM38</f>
        <v/>
      </c>
      <c r="OQ38" s="152">
        <f>IF($MF38=0,MAX(0,$MT38-IF($OH38&gt;0,1,0)),MAX(0,$OP38))</f>
        <v/>
      </c>
      <c r="OR38" s="152">
        <f>IF($MF38=0,0,(IF(COUNTIF($MK38:$MN38,"Salto")&gt;0,1,0)+IF(COUNTIF($MK38:$MN38,"Queima")&gt;0,1,0)+IF(COUNTIF($MK38:$MN38,"Estilhaço")&gt;0,1,0))*FLOOR($OQ38/2,1))</f>
        <v/>
      </c>
      <c r="OS38" s="152">
        <f>MAX(0,2-SUMPRODUCT($NZ38:$OE38,$I$2:$N$2)+MIN(2,$OF38*1+$OG38*1,SUMPRODUCT($NZ38:$OE38,$I$2:$N$2)))</f>
        <v/>
      </c>
      <c r="OT38" s="152">
        <f>MAX(0,4-SUMPRODUCT($NZ38:$OE38,$I$3:$N$3)+MIN(4,$OF38*1+$OG38*2,SUMPRODUCT($NZ38:$OE38,$I$3:$N$3)))</f>
        <v/>
      </c>
      <c r="OU38" s="152">
        <f>MAX(0,6-SUMPRODUCT($NZ38:$OE38,$I$4:$N$4)+MIN(6,$OF38*2+$OG38*3,SUMPRODUCT($NZ38:$OE38,$I$4:$N$4)))</f>
        <v/>
      </c>
      <c r="OV38" s="152">
        <f>MAX(0,9-SUMPRODUCT($NZ38:$OE38,$I$5:$N$5)+MIN(8,$OF38*2+$OG38*4,SUMPRODUCT($NZ38:$OE38,$I$5:$N$5)))</f>
        <v/>
      </c>
      <c r="OW38" s="152">
        <f>MAX(0,11-SUMPRODUCT($NZ38:$OE38,$I$6:$N$6)+MIN(10,$OF38*3+$OG38*5,SUMPRODUCT($NZ38:$OE38,$I$6:$N$6)))</f>
        <v/>
      </c>
      <c r="OX38" s="152">
        <f>MAX(0,13-SUMPRODUCT($NZ38:$OE38,$I$7:$N$7)+MIN(12,$OF38*3+$OG38*6,SUMPRODUCT($NZ38:$OE38,$I$7:$N$7)))</f>
        <v/>
      </c>
      <c r="OY38" s="152">
        <f>MAX(0,16-SUMPRODUCT($NZ38:$OE38,$I$8:$N$8)+MIN(14,$OF38*4+$OG38*7,SUMPRODUCT($NZ38:$OE38,$I$8:$N$8)))</f>
        <v/>
      </c>
      <c r="OZ38" s="152">
        <f>IF($NT38=2,3*$OS38&amp;" de vida temp.",IF($NT38=3,"sem dano",IF($OS38=0,IF($NT38=1,"sem cura","sem dano"),IF($NT38=1,"cura ","")&amp;$OS38&amp;"d8")))</f>
        <v/>
      </c>
      <c r="PA38" s="152">
        <f>IF($NT38=2,3*$OT38&amp;" de vida temp.",IF($NT38=3,"sem dano",IF($OT38=0,IF($NT38=1,"sem cura","sem dano"),IF($NT38=1,"cura ","")&amp;$OT38&amp;"d8")))</f>
        <v/>
      </c>
      <c r="PB38" s="152">
        <f>IF($NT38=2,3*$OU38&amp;" de vida temp.",IF($NT38=3,"sem dano",IF($OU38=0,IF($NT38=1,"sem cura","sem dano"),IF($NT38=1,"cura ","")&amp;$OU38&amp;"d8")))</f>
        <v/>
      </c>
      <c r="PC38" s="152">
        <f>IF($NT38=2,3*$OV38&amp;" de vida temp.",IF($NT38=3,"sem dano",IF($OV38=0,IF($NT38=1,"sem cura","sem dano"),IF($NT38=1,"cura ","")&amp;$OV38&amp;"d8")))</f>
        <v/>
      </c>
      <c r="PD38" s="152">
        <f>IF($NT38=2,3*$OW38&amp;" de vida temp.",IF($NT38=3,"sem dano",IF($OW38=0,IF($NT38=1,"sem cura","sem dano"),IF($NT38=1,"cura ","")&amp;$OW38&amp;"d8")))</f>
        <v/>
      </c>
      <c r="PE38" s="152">
        <f>IF($NT38=2,3*$OX38&amp;" de vida temp.",IF($NT38=3,"sem dano",IF($OX38=0,IF($NT38=1,"sem cura","sem dano"),IF($NT38=1,"cura ","")&amp;$OX38&amp;"d8")))</f>
        <v/>
      </c>
      <c r="PF38" s="152">
        <f>IF($NT38=2,3*$OY38&amp;" de vida temp.",IF($NT38=3,"sem dano",IF($OY38=0,IF($NT38=1,"sem cura","sem dano"),IF($NT38=1,"cura ","")&amp;$OY38&amp;"d8")))</f>
        <v/>
      </c>
      <c r="PG38" s="152">
        <f>IF($MQ38=0,"",TEXTJOIN(" · ",TRUE,IF($MD38&gt;$MR38,"Este lugar abre no nível "&amp;$MD38,""),IF($MF38&gt;$MS38,"Classe "&amp;$MF38&amp;": o nível "&amp;$MR38&amp;" libera até a "&amp;$MS38,""),IF($NK38=1,"A Forma "&amp;$MH38&amp;" pede "&amp;INDEX($W$2:$W$11,$MW38)&amp;" aberta",""),IF(AND($MF38=0,$MW38&gt;0,IF($MW38=0,0,INDEX($AF$2:$AF$11,$MW38))=0),$MH38&amp;" não existe na Classe 0",""),IF($NL38=1,"Família Fechada: "&amp;$MK38,""),IF($NM38=1,"Família Fechada: "&amp;$ML38,""),IF($NN38=1,"Família Fechada: "&amp;$MM38,""),IF($NO38=1,"Família Fechada: "&amp;$MN38,""),IF(AND($MF38&gt;0,$OH38&gt;INDEX($O$2:$O$8,MAX(1,$MF38))),$OH38&amp;" Melhorias: a Classe "&amp;$MF38&amp;" aceita "&amp;INDEX($O$2:$O$8,MAX(1,$MF38)),""),IF(AND($MF38=0,$OH38&gt;1),"A básica aceita uma Melhoria",""),IF(AND($MF38=0,COUNTIF($NB38:$NE38,"&gt;1")&gt;0),"A básica só aceita Melhoria Leve",""),IF(AND($MF38&gt;0,$OI38&gt;2),$OI38&amp;" Restrições"&amp;IF($NS38=1,", contando a que a Forma "&amp;$MH38&amp;" já traz","")&amp;": o limite é 2",""),IF(AND($MF38=0,COUNTIF($MO38:$MP38,"?*")&gt;1),"A básica aceita uma Restrição Leve",""),IF(AND($MF38=0,COUNTIF($NV38:$NW38,2)&gt;0),"A básica só aceita Restrição Leve",""),IF(AND($MF38&gt;0,$OP38&lt;0),"Orçamento estourado: faltam "&amp;(-$OP38)&amp;IF($OP38&lt;-1," pontos"," ponto"),""),IF(IFERROR(VLOOKUP($MO38,$BC$2:$BG$24,4,FALSE),0)+IFERROR(VLOOKUP($MP38,$BC$2:$BG$24,4,FALSE),0)&gt;1,$NX38&amp;" e "&amp;$NY38&amp;" são as duas de frequência",""),IF(AND((COUNTIF($MK38:$MN38,"Rápido")+COUNTIF($NX38:$NY38,"Rápido"))&gt;0,(COUNTIF($MK38:$MN38,"Atrasar")+COUNTIF($NX38:$NY38,"Atrasar"))&gt;0),"Rápido não entra com Atrasar",""),IF(AND((COUNTIF($MK38:$MN38,"Reação")+COUNTIF($NX38:$NY38,"Reação"))&gt;0,(COUNTIF($MK38:$MN38,"Rápido")+COUNTIF($NX38:$NY38,"Rápido"))&gt;0),"Reação não entra com Rápido",""),IF(AND((COUNTIF($MK38:$MN38,"Reação")+COUNTIF($NX38:$NY38,"Reação"))&gt;0,(COUNTIF($MK38:$MN38,"Armado")+COUNTIF($NX38:$NY38,"Armado"))&gt;0),"Reação não entra com Armado",""),IF(AND((COUNTIF($MK38:$MN38,"Reação")+COUNTIF($NX38:$NY38,"Reação"))&gt;0,(COUNTIF($MK38:$MN38,"Atrasar")+COUNTIF($NX38:$NY38,"Atrasar"))&gt;0),"Reação não entra com Atrasar",""),IF(AND((COUNTIF($MK38:$MN38,"Reação")+COUNTIF($NX38:$NY38,"Reação"))&gt;0,(COUNTIF($MK38:$MN38,"Parado")+COUNTIF($NX38:$NY38,"Parado"))&gt;0),"Reação não entra com Parado",""),IF(AND((COUNTIF($MK38:$MN38,"Atrasar")+COUNTIF($NX38:$NY38,"Atrasar"))&gt;0,(COUNTIF($MK38:$MN38,"Parado")+COUNTIF($NX38:$NY38,"Parado"))&gt;0),"Atrasar não entra com Parado",""),IF(AND((COUNTIF($MK38:$MN38,"Armado")+COUNTIF($NX38:$NY38,"Armado"))&gt;0,(COUNTIF($MK38:$MN38,"Carregar")+COUNTIF($NX38:$NY38,"Carregar"))&gt;0),"Armado não entra com Carregar",""),IF(AND(COUNTIF($NX38:$NY38,"Corpo a Corpo")&gt;0,$NS38=0,OR($MH38="Cone",$MH38="Linha")),"Corpo a Corpo não entra em "&amp;$MH38,""),IF(AND(COUNTIF($NX38:$NY38,"Corpo a Corpo")&gt;0,$NS38=1),"A Forma "&amp;$MH38&amp;" já traz o Corpo a Corpo",""),IF(AND(COUNTIF($NX38:$NY38,"Tudo ou Nada")&gt;0,$NU38=0),"Tudo ou Nada só entra em habilidade de Teste de Resistência",""),IF(AND(COUNTIF($MK38:$MN38,"Inescapável")&gt;0,OR($OH38&gt;1,$OI38&gt;0)),"Inescapável não aceita outra peça",""),IF(AND($MF38&gt;0,$OQ38*IF(COUNTIF($MK38:$MN38,"Remate")&gt;0,1.25,1)+$OR38&gt;4*$MF38),($OQ38*IF(COUNTIF($MK38:$MN38,"Remate")&gt;0,1.25,1)+$OR38)&amp;" dados somando repetições"&amp;IF(COUNTIF($MK38:$MN38,"Remate")&gt;0," e o Remate","")&amp;": o teto da Classe "&amp;$MF38&amp;" é "&amp;4*$MF38,"")))</f>
        <v/>
      </c>
      <c r="PH38" s="152">
        <f>IF($PG38="",0,(LEN($PG38)-LEN(SUBSTITUTE($PG38," · ","")))/3+1)</f>
        <v/>
      </c>
      <c r="PI38" s="152">
        <f>IF($MQ38=0,"",TEXTJOIN(" · ",TRUE,IF($OK38&gt;2*$MF38,"A devolução parou no teto de "&amp;2*$MF38,""),IF($ON38&gt;0,"Devolução perdida: "&amp;$ON38&amp;IF($ON38&gt;1," pontos"," ponto")&amp;" sem peça para pagar",""),IF(AND($NP38&gt;0,AND($MF38&gt;0,$NT38=0),$OQ38=0),"Controle sem dano: uma rodada a mais e CD +2",""),IF(AND($NP38&gt;0,AND($MF38&gt;0,$NT38=0),$OQ38&gt;0,$OQ38&lt;=$MF38),"Controle com saldo até a Classe: uma rodada a mais",""),IF(AND($MF38&gt;0,$NR38&lt;&gt;""),"Efeito de "&amp;$NR38&amp;" pela Classe "&amp;MAX(1,$MF38-1),"")))</f>
        <v/>
      </c>
      <c r="PJ38" s="152">
        <f>IF($PI38="",0,(LEN($PI38)-LEN(SUBSTITUTE($PI38," · ","")))/3+1)</f>
        <v/>
      </c>
      <c r="PK38" s="152">
        <f>IF($MQ38=0,IF($OH38+COUNTIF($MO38:$MP38,"?*")&gt;0,"Dê um nome",""),IF($PH38&gt;0,"⚠ "&amp;$PH38&amp;IF($PH38&gt;1," erros"," erro"),IF($PJ38&gt;0,"! "&amp;$PJ38&amp;IF($PJ38&gt;1," avisos"," aviso"),"Na regra")))</f>
        <v/>
      </c>
      <c r="PL38" s="152">
        <f>IF($MQ38=0,"",IF($PH38+$PJ38=0,"Dentro das regras que a ficha confere",$PG38&amp;IF(AND($PH38&gt;0,$PJ38&gt;0)," · ","")&amp;$PI38))</f>
        <v/>
      </c>
      <c r="PM38" s="152">
        <f>IF($MD38&gt;$MR38,$ME38&amp;" · ABRE NO NÍVEL "&amp;$MD38,$ME38)</f>
        <v/>
      </c>
      <c r="PN38" s="152">
        <f>IF($MQ38=0,"",IF($MF38=0,"Sem PE",3*$MF38&amp;" PE"))</f>
        <v/>
      </c>
      <c r="PO38" s="152">
        <f>IF($MQ38=0,"",IF($MF38=0,"A atuação básica dela",IF(COUNTIF($NX38:$NY38,"Atrasar")&gt;0,"Sua Ação Completa",IF(COUNTIF($MK38:$MN38,"Rápido")&gt;0,"Sua Bônus",IF(COUNTIF($MK38:$MN38,"Reação")&gt;0,"Sua Reação","Sua Padrão")))&amp;" + a básica dela"&amp;IF(COUNTIF($MK38:$MN38,"Reação")&gt;0," e a coletiva","")&amp;IF(COUNTIF($NX38:$NY38,"Carregar")&gt;0," · em dois turnos","")))</f>
        <v/>
      </c>
      <c r="PP38" s="152">
        <f>IF($MJ38&lt;&gt;"",$MJ38,IF($MW38=0,"",INDEX($AA$2:$AA$11,$MW38)))</f>
        <v/>
      </c>
      <c r="PQ38" s="152">
        <f>IF(OR($MQ38=0,$MW38=0),"",IF(COUNTIF($MK38:$MN38,"Inescapável")&gt;0,"Automático",IF($PP38="Ataque",IF($MU38="","Ataque","Ataque "&amp;IF(($MU38+2*IF(COUNTIF($MK38:$MN38,"Precisão")&gt;0,1,0))&gt;=0,"+","−")&amp;ABS(($MU38+2*IF(COUNTIF($MK38:$MN38,"Precisão")&gt;0,1,0))))&amp;IF($NQ38&gt;0," · TR"&amp;IF($MV38="",""," CD "&amp;$MV38),""),IF(LEFT($PP38,2)="TR",$PP38&amp;IF($MV38="",""," · CD "&amp;$MV38)&amp;IF(COUNTIF($MK38:$MN38,"Certeiro")&gt;0," · metade",""),"Sem rolagem"))))</f>
        <v/>
      </c>
      <c r="PR38" s="152">
        <f>IF(OR($MQ38=0,$MW38=0),"",IF($MF38=0,IF(OR($NT38&gt;=1,$OQ38=0),"Sem dano",$OQ38&amp;"d6"&amp;IF($MI38="",""," "&amp;$MI38)),IF(OR($NT38&gt;=1,$OQ38=0),UPPER(LEFT(INDEX($OZ38:$PF38,1,MAX(1,$MF38)),1))&amp;MID(INDEX($OZ38:$PF38,1,MAX(1,$MF38)),2,99),UPPER(LEFT(INDEX($OZ38:$PF38,1,MAX(1,$MF38)),1))&amp;MID(INDEX($OZ38:$PF38,1,MAX(1,$MF38)),2,99)&amp;IF($MI38="",""," "&amp;$MI38)&amp;IF($OR38&gt;0," · +"&amp;$OR38&amp;"d8",""))))</f>
        <v/>
      </c>
      <c r="PS38" s="152">
        <f>COUNTIF($MK38:$MN38,"Longe")+3*COUNTIF($MK38:$MN38,"Muito Longe")</f>
        <v/>
      </c>
      <c r="PT38" s="152">
        <f>COUNTIF($MK38:$MN38,"Maior")+3*COUNTIF($MK38:$MN38,"Muito Maior")</f>
        <v/>
      </c>
      <c r="PU38" s="152">
        <f>IF($MW38=0,0,CHOOSE(1+INDEX($AC$2:$AC$11,$MW38),0,$PS38,$PT38,$PS38+$PT38))</f>
        <v/>
      </c>
      <c r="PV38" s="152">
        <f>IF($MW38=0,0,CHOOSE(1+INDEX($AD$2:$AD$11,$MW38),0,$PS38,$PT38,$PS38+$PT38))</f>
        <v/>
      </c>
      <c r="PW38" s="152">
        <f>IF(OR($MQ38=0,$MW38=0),"",INDEX($AI$2:$AN$41,($MW38-1)*4+IF($MF38=0,1,IF($MF38&lt;=5,2,IF($MF38=6,3,4))),1+MIN(5,$PU38))&amp;INDEX($AO$2:$AT$41,($MW38-1)*4+IF($MF38=0,1,IF($MF38&lt;=5,2,IF($MF38=6,3,4))),1+MIN(5,$PV38))&amp;IF(INDEX($AE$2:$AE$11,$MW38)=1,IF(COUNTIF($MK38:$MN38,"Mais Um")&gt;0," · +"&amp;COUNTIF($MK38:$MN38,"Mais Um")&amp;IF(COUNTIF($MK38:$MN38,"Mais Um")&gt;1," alvos"," alvo"),"")&amp;IF(COUNTIF($MK38:$MN38,"Rajada")&gt;0,IF($MF38=0," · 1 tiro"," · "&amp;(MAX(1,$MF38-1)+1)&amp;" tiros"),""),""))</f>
        <v/>
      </c>
      <c r="PX38" s="152">
        <f>IF($MQ38=0,"",IF($MF38=0,$MT38&amp;"d6"&amp;IF($OH38&gt;0," − 1 = "&amp;$OQ38&amp;"d6"," da básica do nível "&amp;$MR38),$OO38&amp;" − "&amp;$OJ38&amp;" + "&amp;$OM38&amp;" = "&amp;$OP38&amp;" · teto "&amp;4*$MF38&amp;"d8"&amp;IF($NS38=1," · a Forma devolve "&amp;$MF38,"")&amp;IF($ON38&gt;0," · perde "&amp;$ON38,"")))</f>
        <v/>
      </c>
      <c r="PY38" s="152">
        <f>IF($MQ38=0,"",IF($MF38=0,"A básica não amplia: os dados dela sobem com o nível",IF($MF38&gt;=$MS38,"Já está na maior Classe que o nível liberou",TEXTJOIN(" · ",TRUE,IF(AND(2&gt;$MF38,2&lt;=$MS38),"2 → "&amp;$PA38&amp;", 6 PE",""),IF(AND(3&gt;$MF38,3&lt;=$MS38),"3 → "&amp;$PB38&amp;", 9 PE",""),IF(AND(4&gt;$MF38,4&lt;=$MS38),"4 → "&amp;$PC38&amp;", 12 PE",""),IF(AND(5&gt;$MF38,5&lt;=$MS38),"5 → "&amp;$PD38&amp;", 15 PE",""),IF(AND(6&gt;$MF38,6&lt;=$MS38),"6 → "&amp;$PE38&amp;", 18 PE",""),IF(AND(7&gt;$MF38,7&lt;=$MS38),"7 → "&amp;$PF38&amp;", 21 PE","")))))</f>
        <v/>
      </c>
      <c r="PZ38" s="152">
        <f>IF(OR($MQ38=0,$NB38=0),"",IF($MF38=0,"−1 dado","−"&amp;INDEX($I$2:$N$8,MAX(1,$MF38),MAX(1,$NG38))&amp;" · "&amp;CHOOSE(MAX(1,$NG38),"Leve","Média","Pesada","Leve · Livre","Média · Livre","Pesada · Livre")))</f>
        <v/>
      </c>
      <c r="QA38" s="152">
        <f>IF(OR($MQ38=0,$NC38=0),"",IF($MF38=0,"−1 dado","−"&amp;INDEX($I$2:$N$8,MAX(1,$MF38),MAX(1,$NH38))&amp;" · "&amp;CHOOSE(MAX(1,$NH38),"Leve","Média","Pesada","Leve · Livre","Média · Livre","Pesada · Livre")))</f>
        <v/>
      </c>
      <c r="QB38" s="152">
        <f>IF(OR($MQ38=0,$ND38=0),"",IF($MF38=0,"−1 dado","−"&amp;INDEX($I$2:$N$8,MAX(1,$MF38),MAX(1,$NI38))&amp;" · "&amp;CHOOSE(MAX(1,$NI38),"Leve","Média","Pesada","Leve · Livre","Média · Livre","Pesada · Livre")))</f>
        <v/>
      </c>
      <c r="QC38" s="152">
        <f>IF(OR($MQ38=0,$NE38=0),"",IF($MF38=0,"−1 dado","−"&amp;INDEX($I$2:$N$8,MAX(1,$MF38),MAX(1,$NJ38))&amp;" · "&amp;CHOOSE(MAX(1,$NJ38),"Leve","Média","Pesada","Leve · Livre","Média · Livre","Pesada · Livre")))</f>
        <v/>
      </c>
      <c r="QD38" s="152">
        <f>IF(OR($MQ38=0,$MO38=""),"",IF($MF38=0,"não devolve","+"&amp;IF($NV38=1,CEILING($MF38/2,1),$MF38)))</f>
        <v/>
      </c>
      <c r="QE38" s="152">
        <f>IF(OR($MQ38=0,$MP38=""),"",IF($MF38=0,"não devolve","+"&amp;IF($NW38=1,CEILING($MF38/2,1),$MF38)))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BA39" s="152" t="n">
        <v>1</v>
      </c>
      <c r="JG39" s="152">
        <f>IF(OR($AW39="",COUNTIF($EF$2:$EJ$2,$AW39)&gt;0),$AV39,"")</f>
        <v/>
      </c>
      <c r="JH39" s="152">
        <f>IF(AND($AX39=1,OR($AW39="",COUNTIF($EF$2:$EJ$2,$AW39)&gt;0)),$AV39,"")</f>
        <v/>
      </c>
      <c r="JM39" s="152">
        <f>IF(OR($AW39="",COUNTIF($EF$3:$EJ$3,$AW39)&gt;0),$AV39,"")</f>
        <v/>
      </c>
      <c r="JN39" s="152">
        <f>IF(AND($AX39=1,OR($AW39="",COUNTIF($EF$3:$EJ$3,$AW39)&gt;0)),$AV39,"")</f>
        <v/>
      </c>
      <c r="JS39" s="152">
        <f>IF(OR($AW39="",COUNTIF($EF$4:$EJ$4,$AW39)&gt;0),$AV39,"")</f>
        <v/>
      </c>
      <c r="JT39" s="152">
        <f>IF(AND($AX39=1,OR($AW39="",COUNTIF($EF$4:$EJ$4,$AW39)&gt;0)),$AV39,"")</f>
        <v/>
      </c>
      <c r="JY39" s="152">
        <f>IF(OR($AW39="",COUNTIF($EF$5:$EJ$5,$AW39)&gt;0),$AV39,"")</f>
        <v/>
      </c>
      <c r="JZ39" s="152">
        <f>IF(AND($AX39=1,OR($AW39="",COUNTIF($EF$5:$EJ$5,$AW39)&gt;0)),$AV39,"")</f>
        <v/>
      </c>
      <c r="KE39" s="152">
        <f>IF(OR($AW39="",COUNTIF($EF$6:$EJ$6,$AW39)&gt;0),$AV39,"")</f>
        <v/>
      </c>
      <c r="KF39" s="152">
        <f>IF(AND($AX39=1,OR($AW39="",COUNTIF($EF$6:$EJ$6,$AW39)&gt;0)),$AV39,"")</f>
        <v/>
      </c>
      <c r="KK39" s="152">
        <f>IF(OR($AW39="",COUNTIF($EF$7:$EJ$7,$AW39)&gt;0),$AV39,"")</f>
        <v/>
      </c>
      <c r="KL39" s="152">
        <f>IF(AND($AX39=1,OR($AW39="",COUNTIF($EF$7:$EJ$7,$AW39)&gt;0)),$AV39,"")</f>
        <v/>
      </c>
      <c r="KQ39" s="152">
        <f>IF(OR($AW39="",COUNTIF($EF$8:$EJ$8,$AW39)&gt;0),$AV39,"")</f>
        <v/>
      </c>
      <c r="KR39" s="152">
        <f>IF(AND($AX39=1,OR($AW39="",COUNTIF($EF$8:$EJ$8,$AW39)&gt;0)),$AV39,"")</f>
        <v/>
      </c>
      <c r="KW39" s="152">
        <f>IF(OR($AW39="",COUNTIF($EF$9:$EJ$9,$AW39)&gt;0),$AV39,"")</f>
        <v/>
      </c>
      <c r="KX39" s="152">
        <f>IF(AND($AX39=1,OR($AW39="",COUNTIF($EF$9:$EJ$9,$AW39)&gt;0)),$AV39,"")</f>
        <v/>
      </c>
      <c r="LC39" s="152">
        <f>IF(OR($AW39="",COUNTIF($EF$10:$EJ$10,$AW39)&gt;0),$AV39,"")</f>
        <v/>
      </c>
      <c r="LD39" s="152">
        <f>IF(AND($AX39=1,OR($AW39="",COUNTIF($EF$10:$EJ$10,$AW39)&gt;0)),$AV39,"")</f>
        <v/>
      </c>
      <c r="LI39" s="152">
        <f>IF(OR($AW39="",COUNTIF($EF$11:$EJ$11,$AW39)&gt;0),$AV39,"")</f>
        <v/>
      </c>
      <c r="LJ39" s="152">
        <f>IF(AND($AX39=1,OR($AW39="",COUNTIF($EF$11:$EJ$11,$AW39)&gt;0)),$AV39,"")</f>
        <v/>
      </c>
      <c r="LO39" s="152">
        <f>IF(OR($AW39="",COUNTIF($EF$12:$EJ$12,$AW39)&gt;0),$AV39,"")</f>
        <v/>
      </c>
      <c r="LP39" s="152">
        <f>IF(AND($AX39=1,OR($AW39="",COUNTIF($EF$12:$EJ$12,$AW39)&gt;0)),$AV39,"")</f>
        <v/>
      </c>
      <c r="LU39" s="152">
        <f>IF(OR($AW39="",COUNTIF($EF$13:$EJ$13,$AW39)&gt;0),$AV39,"")</f>
        <v/>
      </c>
      <c r="LV39" s="152">
        <f>IF(AND($AX39=1,OR($AW39="",COUNTIF($EF$13:$EJ$13,$AW39)&gt;0)),$AV39,"")</f>
        <v/>
      </c>
      <c r="MA39" s="150" t="inlineStr">
        <is>
          <t>Ficha 3 · Escolha da trilha 2</t>
        </is>
      </c>
      <c r="MB39" s="152" t="n">
        <v>3</v>
      </c>
      <c r="MC39" s="152" t="n">
        <v>2</v>
      </c>
      <c r="MD39" s="152" t="n">
        <v>0</v>
      </c>
      <c r="ME39" s="150" t="inlineStr">
        <is>
          <t>ESCOLHA DA TRILHA 2</t>
        </is>
      </c>
      <c r="MF39" s="152">
        <f>MAX(0,MIN(7,N('INVOCAÇÕES'!$O$556)))</f>
        <v/>
      </c>
      <c r="MG39" s="152">
        <f>'INVOCAÇÕES'!$P$556&amp;""</f>
        <v/>
      </c>
      <c r="MH39" s="152">
        <f>'INVOCAÇÕES'!$O$561&amp;""</f>
        <v/>
      </c>
      <c r="MI39" s="152">
        <f>'INVOCAÇÕES'!$O$562&amp;""</f>
        <v/>
      </c>
      <c r="MJ39" s="152">
        <f>'INVOCAÇÕES'!$Q$562&amp;""</f>
        <v/>
      </c>
      <c r="MK39" s="152">
        <f>'INVOCAÇÕES'!$P$565&amp;""</f>
        <v/>
      </c>
      <c r="ML39" s="152">
        <f>'INVOCAÇÕES'!$P$566&amp;""</f>
        <v/>
      </c>
      <c r="MM39" s="152">
        <f>'INVOCAÇÕES'!$P$567&amp;""</f>
        <v/>
      </c>
      <c r="MN39" s="152">
        <f>'INVOCAÇÕES'!$P$568&amp;""</f>
        <v/>
      </c>
      <c r="MO39" s="152">
        <f>'INVOCAÇÕES'!$P$569&amp;""</f>
        <v/>
      </c>
      <c r="MP39" s="152">
        <f>'INVOCAÇÕES'!$P$570&amp;""</f>
        <v/>
      </c>
      <c r="MQ39" s="152">
        <f>IF($MG39&lt;&gt;"",1,0)</f>
        <v/>
      </c>
      <c r="MR39" s="152">
        <f>INDEX($FI$2:$FI$13,$MB39)</f>
        <v/>
      </c>
      <c r="MS39" s="152">
        <f>INDEX($FJ$2:$FJ$13,$MB39)</f>
        <v/>
      </c>
      <c r="MT39" s="152">
        <f>INDEX($FK$2:$FK$13,$MB39)</f>
        <v/>
      </c>
      <c r="MU39" s="152">
        <f>INDEX($FV$2:$FV$13,$MB39)</f>
        <v/>
      </c>
      <c r="MV39" s="152">
        <f>INDEX($FW$2:$FW$13,$MB39)</f>
        <v/>
      </c>
      <c r="MW39" s="152">
        <f>IFERROR(MATCH($MH39,$V$2:$V$11,0),0)</f>
        <v/>
      </c>
      <c r="MX39" s="152">
        <f>IFERROR(VLOOKUP($MK39,$AV$2:$BA$84,2,FALSE),"")</f>
        <v/>
      </c>
      <c r="MY39" s="152">
        <f>IFERROR(VLOOKUP($ML39,$AV$2:$BA$84,2,FALSE),"")</f>
        <v/>
      </c>
      <c r="MZ39" s="152">
        <f>IFERROR(VLOOKUP($MM39,$AV$2:$BA$84,2,FALSE),"")</f>
        <v/>
      </c>
      <c r="NA39" s="152">
        <f>IFERROR(VLOOKUP($MN39,$AV$2:$BA$84,2,FALSE),"")</f>
        <v/>
      </c>
      <c r="NB39" s="152">
        <f>IFERROR(VLOOKUP($MK39,$AV$2:$BA$84,3,FALSE),0)</f>
        <v/>
      </c>
      <c r="NC39" s="152">
        <f>IFERROR(VLOOKUP($ML39,$AV$2:$BA$84,3,FALSE),0)</f>
        <v/>
      </c>
      <c r="ND39" s="152">
        <f>IFERROR(VLOOKUP($MM39,$AV$2:$BA$84,3,FALSE),0)</f>
        <v/>
      </c>
      <c r="NE39" s="152">
        <f>IFERROR(VLOOKUP($MN39,$AV$2:$BA$84,3,FALSE),0)</f>
        <v/>
      </c>
      <c r="NF39" s="152">
        <f>IF($MF39=0,0,IF($MW39=0,0,INDEX($X$2:$X$11,$MW39)))</f>
        <v/>
      </c>
      <c r="NG39" s="152">
        <f>IF(OR($NB39=0,$MF39=0),0,$NB39+3*IF(AND($MX39&lt;&gt;"",OR($MX39=INDEX($EF$2:$EF$13,$MB39),$MX39=INDEX($EG$2:$EG$13,$MB39))),1,0))</f>
        <v/>
      </c>
      <c r="NH39" s="152">
        <f>IF(OR($NC39=0,$MF39=0),0,$NC39+3*IF(AND($MY39&lt;&gt;"",OR($MY39=INDEX($EF$2:$EF$13,$MB39),$MY39=INDEX($EG$2:$EG$13,$MB39))),1,0))</f>
        <v/>
      </c>
      <c r="NI39" s="152">
        <f>IF(OR($ND39=0,$MF39=0),0,$ND39+3*IF(AND($MZ39&lt;&gt;"",OR($MZ39=INDEX($EF$2:$EF$13,$MB39),$MZ39=INDEX($EG$2:$EG$13,$MB39))),1,0))</f>
        <v/>
      </c>
      <c r="NJ39" s="152">
        <f>IF(OR($NE39=0,$MF39=0),0,$NE39+3*IF(AND($NA39&lt;&gt;"",OR($NA39=INDEX($EF$2:$EF$13,$MB39),$NA39=INDEX($EG$2:$EG$13,$MB39))),1,0))</f>
        <v/>
      </c>
      <c r="NK39" s="152">
        <f>IF($MW39=0,0,IF(INDEX($W$2:$W$11,$MW39)="",0,IF(COUNTIF(INDEX($EF$2:$EJ$13,$MB39,0),INDEX($W$2:$W$11,$MW39))=0,1,0)))</f>
        <v/>
      </c>
      <c r="NL39" s="152">
        <f>IF(OR($NB39=0,$MX39=""),0,IF(COUNTIF(INDEX($EF$2:$EJ$13,$MB39,0),$MX39)=0,1,0))</f>
        <v/>
      </c>
      <c r="NM39" s="152">
        <f>IF(OR($NC39=0,$MY39=""),0,IF(COUNTIF(INDEX($EF$2:$EJ$13,$MB39,0),$MY39)=0,1,0))</f>
        <v/>
      </c>
      <c r="NN39" s="152">
        <f>IF(OR($ND39=0,$MZ39=""),0,IF(COUNTIF(INDEX($EF$2:$EJ$13,$MB39,0),$MZ39)=0,1,0))</f>
        <v/>
      </c>
      <c r="NO39" s="152">
        <f>IF(OR($NE39=0,$NA39=""),0,IF(COUNTIF(INDEX($EF$2:$EJ$13,$MB39,0),$NA39)=0,1,0))</f>
        <v/>
      </c>
      <c r="NP39" s="152">
        <f>IFERROR(VLOOKUP($MK39,$AV$2:$BA$84,4,FALSE),0)+IFERROR(VLOOKUP($ML39,$AV$2:$BA$84,4,FALSE),0)+IFERROR(VLOOKUP($MM39,$AV$2:$BA$84,4,FALSE),0)+IFERROR(VLOOKUP($MN39,$AV$2:$BA$84,4,FALSE),0)</f>
        <v/>
      </c>
      <c r="NQ39" s="152">
        <f>IFERROR(VLOOKUP($MK39,$AV$2:$BA$84,6,FALSE),0)+IFERROR(VLOOKUP($ML39,$AV$2:$BA$84,6,FALSE),0)+IFERROR(VLOOKUP($MM39,$AV$2:$BA$84,6,FALSE),0)+IFERROR(VLOOKUP($MN39,$AV$2:$BA$84,6,FALSE),0)</f>
        <v/>
      </c>
      <c r="NR39" s="152">
        <f>TEXTJOIN(", ",TRUE,IF(IFERROR(VLOOKUP($MK39,$AV$2:$BA$84,5,FALSE),0)=1,$MK39,""),IF(IFERROR(VLOOKUP($ML39,$AV$2:$BA$84,5,FALSE),0)=1,$ML39,""),IF(IFERROR(VLOOKUP($MM39,$AV$2:$BA$84,5,FALSE),0)=1,$MM39,""),IF(IFERROR(VLOOKUP($MN39,$AV$2:$BA$84,5,FALSE),0)=1,$MN39,""))</f>
        <v/>
      </c>
      <c r="NS39" s="152">
        <f>IF($MW39=0,0,INDEX($Y$2:$Y$11,$MW39))</f>
        <v/>
      </c>
      <c r="NT39" s="152">
        <f>IF($MW39=0,0,INDEX($Z$2:$Z$11,$MW39))</f>
        <v/>
      </c>
      <c r="NU39" s="152">
        <f>IF($MW39=0,0,INDEX($AB$2:$AB$11,$MW39))</f>
        <v/>
      </c>
      <c r="NV39" s="152">
        <f>IFERROR(VLOOKUP($MO39,$BC$2:$BG$24,3,FALSE),0)</f>
        <v/>
      </c>
      <c r="NW39" s="152">
        <f>IFERROR(VLOOKUP($MP39,$BC$2:$BG$24,3,FALSE),0)</f>
        <v/>
      </c>
      <c r="NX39" s="152">
        <f>IFERROR(VLOOKUP($MO39,$BC$2:$BG$24,2,FALSE),"")</f>
        <v/>
      </c>
      <c r="NY39" s="152">
        <f>IFERROR(VLOOKUP($MP39,$BC$2:$BG$24,2,FALSE),"")</f>
        <v/>
      </c>
      <c r="NZ39" s="152">
        <f>COUNTIF($NF39:$NJ39,1)</f>
        <v/>
      </c>
      <c r="OA39" s="152">
        <f>COUNTIF($NF39:$NJ39,2)</f>
        <v/>
      </c>
      <c r="OB39" s="152">
        <f>COUNTIF($NF39:$NJ39,3)</f>
        <v/>
      </c>
      <c r="OC39" s="152">
        <f>COUNTIF($NF39:$NJ39,4)</f>
        <v/>
      </c>
      <c r="OD39" s="152">
        <f>COUNTIF($NF39:$NJ39,5)</f>
        <v/>
      </c>
      <c r="OE39" s="152">
        <f>COUNTIF($NF39:$NJ39,6)</f>
        <v/>
      </c>
      <c r="OF39" s="152">
        <f>COUNTIF($NV39:$NW39,1)</f>
        <v/>
      </c>
      <c r="OG39" s="152">
        <f>COUNTIF($NV39:$NW39,2)+$NS39</f>
        <v/>
      </c>
      <c r="OH39" s="152">
        <f>COUNTIF($MK39:$MN39,"?*")</f>
        <v/>
      </c>
      <c r="OI39" s="152">
        <f>COUNTIF($MO39:$MP39,"?*")+$NS39</f>
        <v/>
      </c>
      <c r="OJ39" s="152">
        <f>IF($MF39=0,0,SUMPRODUCT($NZ39:$OE39,INDEX($I$2:$N$8,MAX(1,$MF39),0)))</f>
        <v/>
      </c>
      <c r="OK39" s="152">
        <f>IF($MF39=0,0,$OF39*CEILING($MF39/2,1)+$OG39*$MF39)</f>
        <v/>
      </c>
      <c r="OL39" s="152">
        <f>MIN(2*$MF39,$OK39)</f>
        <v/>
      </c>
      <c r="OM39" s="152">
        <f>MIN($OL39,$OJ39)</f>
        <v/>
      </c>
      <c r="ON39" s="152">
        <f>$OL39-$OM39</f>
        <v/>
      </c>
      <c r="OO39" s="152">
        <f>IF($MF39=0,0,INDEX($P$2:$P$8,MAX(1,$MF39)))</f>
        <v/>
      </c>
      <c r="OP39" s="152">
        <f>$OO39-$OJ39+$OM39</f>
        <v/>
      </c>
      <c r="OQ39" s="152">
        <f>IF($MF39=0,MAX(0,$MT39-IF($OH39&gt;0,1,0)),MAX(0,$OP39))</f>
        <v/>
      </c>
      <c r="OR39" s="152">
        <f>IF($MF39=0,0,(IF(COUNTIF($MK39:$MN39,"Salto")&gt;0,1,0)+IF(COUNTIF($MK39:$MN39,"Queima")&gt;0,1,0)+IF(COUNTIF($MK39:$MN39,"Estilhaço")&gt;0,1,0))*FLOOR($OQ39/2,1))</f>
        <v/>
      </c>
      <c r="OS39" s="152">
        <f>MAX(0,2-SUMPRODUCT($NZ39:$OE39,$I$2:$N$2)+MIN(2,$OF39*1+$OG39*1,SUMPRODUCT($NZ39:$OE39,$I$2:$N$2)))</f>
        <v/>
      </c>
      <c r="OT39" s="152">
        <f>MAX(0,4-SUMPRODUCT($NZ39:$OE39,$I$3:$N$3)+MIN(4,$OF39*1+$OG39*2,SUMPRODUCT($NZ39:$OE39,$I$3:$N$3)))</f>
        <v/>
      </c>
      <c r="OU39" s="152">
        <f>MAX(0,6-SUMPRODUCT($NZ39:$OE39,$I$4:$N$4)+MIN(6,$OF39*2+$OG39*3,SUMPRODUCT($NZ39:$OE39,$I$4:$N$4)))</f>
        <v/>
      </c>
      <c r="OV39" s="152">
        <f>MAX(0,9-SUMPRODUCT($NZ39:$OE39,$I$5:$N$5)+MIN(8,$OF39*2+$OG39*4,SUMPRODUCT($NZ39:$OE39,$I$5:$N$5)))</f>
        <v/>
      </c>
      <c r="OW39" s="152">
        <f>MAX(0,11-SUMPRODUCT($NZ39:$OE39,$I$6:$N$6)+MIN(10,$OF39*3+$OG39*5,SUMPRODUCT($NZ39:$OE39,$I$6:$N$6)))</f>
        <v/>
      </c>
      <c r="OX39" s="152">
        <f>MAX(0,13-SUMPRODUCT($NZ39:$OE39,$I$7:$N$7)+MIN(12,$OF39*3+$OG39*6,SUMPRODUCT($NZ39:$OE39,$I$7:$N$7)))</f>
        <v/>
      </c>
      <c r="OY39" s="152">
        <f>MAX(0,16-SUMPRODUCT($NZ39:$OE39,$I$8:$N$8)+MIN(14,$OF39*4+$OG39*7,SUMPRODUCT($NZ39:$OE39,$I$8:$N$8)))</f>
        <v/>
      </c>
      <c r="OZ39" s="152">
        <f>IF($NT39=2,3*$OS39&amp;" de vida temp.",IF($NT39=3,"sem dano",IF($OS39=0,IF($NT39=1,"sem cura","sem dano"),IF($NT39=1,"cura ","")&amp;$OS39&amp;"d8")))</f>
        <v/>
      </c>
      <c r="PA39" s="152">
        <f>IF($NT39=2,3*$OT39&amp;" de vida temp.",IF($NT39=3,"sem dano",IF($OT39=0,IF($NT39=1,"sem cura","sem dano"),IF($NT39=1,"cura ","")&amp;$OT39&amp;"d8")))</f>
        <v/>
      </c>
      <c r="PB39" s="152">
        <f>IF($NT39=2,3*$OU39&amp;" de vida temp.",IF($NT39=3,"sem dano",IF($OU39=0,IF($NT39=1,"sem cura","sem dano"),IF($NT39=1,"cura ","")&amp;$OU39&amp;"d8")))</f>
        <v/>
      </c>
      <c r="PC39" s="152">
        <f>IF($NT39=2,3*$OV39&amp;" de vida temp.",IF($NT39=3,"sem dano",IF($OV39=0,IF($NT39=1,"sem cura","sem dano"),IF($NT39=1,"cura ","")&amp;$OV39&amp;"d8")))</f>
        <v/>
      </c>
      <c r="PD39" s="152">
        <f>IF($NT39=2,3*$OW39&amp;" de vida temp.",IF($NT39=3,"sem dano",IF($OW39=0,IF($NT39=1,"sem cura","sem dano"),IF($NT39=1,"cura ","")&amp;$OW39&amp;"d8")))</f>
        <v/>
      </c>
      <c r="PE39" s="152">
        <f>IF($NT39=2,3*$OX39&amp;" de vida temp.",IF($NT39=3,"sem dano",IF($OX39=0,IF($NT39=1,"sem cura","sem dano"),IF($NT39=1,"cura ","")&amp;$OX39&amp;"d8")))</f>
        <v/>
      </c>
      <c r="PF39" s="152">
        <f>IF($NT39=2,3*$OY39&amp;" de vida temp.",IF($NT39=3,"sem dano",IF($OY39=0,IF($NT39=1,"sem cura","sem dano"),IF($NT39=1,"cura ","")&amp;$OY39&amp;"d8")))</f>
        <v/>
      </c>
      <c r="PG39" s="152">
        <f>IF($MQ39=0,"",TEXTJOIN(" · ",TRUE,IF($MD39&gt;$MR39,"Este lugar abre no nível "&amp;$MD39,""),IF($MF39&gt;$MS39,"Classe "&amp;$MF39&amp;": o nível "&amp;$MR39&amp;" libera até a "&amp;$MS39,""),IF($NK39=1,"A Forma "&amp;$MH39&amp;" pede "&amp;INDEX($W$2:$W$11,$MW39)&amp;" aberta",""),IF(AND($MF39=0,$MW39&gt;0,IF($MW39=0,0,INDEX($AF$2:$AF$11,$MW39))=0),$MH39&amp;" não existe na Classe 0",""),IF($NL39=1,"Família Fechada: "&amp;$MK39,""),IF($NM39=1,"Família Fechada: "&amp;$ML39,""),IF($NN39=1,"Família Fechada: "&amp;$MM39,""),IF($NO39=1,"Família Fechada: "&amp;$MN39,""),IF(AND($MF39&gt;0,$OH39&gt;INDEX($O$2:$O$8,MAX(1,$MF39))),$OH39&amp;" Melhorias: a Classe "&amp;$MF39&amp;" aceita "&amp;INDEX($O$2:$O$8,MAX(1,$MF39)),""),IF(AND($MF39=0,$OH39&gt;1),"A básica aceita uma Melhoria",""),IF(AND($MF39=0,COUNTIF($NB39:$NE39,"&gt;1")&gt;0),"A básica só aceita Melhoria Leve",""),IF(AND($MF39&gt;0,$OI39&gt;2),$OI39&amp;" Restrições"&amp;IF($NS39=1,", contando a que a Forma "&amp;$MH39&amp;" já traz","")&amp;": o limite é 2",""),IF(AND($MF39=0,COUNTIF($MO39:$MP39,"?*")&gt;1),"A básica aceita uma Restrição Leve",""),IF(AND($MF39=0,COUNTIF($NV39:$NW39,2)&gt;0),"A básica só aceita Restrição Leve",""),IF(AND($MF39&gt;0,$OP39&lt;0),"Orçamento estourado: faltam "&amp;(-$OP39)&amp;IF($OP39&lt;-1," pontos"," ponto"),""),IF(IFERROR(VLOOKUP($MO39,$BC$2:$BG$24,4,FALSE),0)+IFERROR(VLOOKUP($MP39,$BC$2:$BG$24,4,FALSE),0)&gt;1,$NX39&amp;" e "&amp;$NY39&amp;" são as duas de frequência",""),IF(AND((COUNTIF($MK39:$MN39,"Rápido")+COUNTIF($NX39:$NY39,"Rápido"))&gt;0,(COUNTIF($MK39:$MN39,"Atrasar")+COUNTIF($NX39:$NY39,"Atrasar"))&gt;0),"Rápido não entra com Atrasar",""),IF(AND((COUNTIF($MK39:$MN39,"Reação")+COUNTIF($NX39:$NY39,"Reação"))&gt;0,(COUNTIF($MK39:$MN39,"Rápido")+COUNTIF($NX39:$NY39,"Rápido"))&gt;0),"Reação não entra com Rápido",""),IF(AND((COUNTIF($MK39:$MN39,"Reação")+COUNTIF($NX39:$NY39,"Reação"))&gt;0,(COUNTIF($MK39:$MN39,"Armado")+COUNTIF($NX39:$NY39,"Armado"))&gt;0),"Reação não entra com Armado",""),IF(AND((COUNTIF($MK39:$MN39,"Reação")+COUNTIF($NX39:$NY39,"Reação"))&gt;0,(COUNTIF($MK39:$MN39,"Atrasar")+COUNTIF($NX39:$NY39,"Atrasar"))&gt;0),"Reação não entra com Atrasar",""),IF(AND((COUNTIF($MK39:$MN39,"Reação")+COUNTIF($NX39:$NY39,"Reação"))&gt;0,(COUNTIF($MK39:$MN39,"Parado")+COUNTIF($NX39:$NY39,"Parado"))&gt;0),"Reação não entra com Parado",""),IF(AND((COUNTIF($MK39:$MN39,"Atrasar")+COUNTIF($NX39:$NY39,"Atrasar"))&gt;0,(COUNTIF($MK39:$MN39,"Parado")+COUNTIF($NX39:$NY39,"Parado"))&gt;0),"Atrasar não entra com Parado",""),IF(AND((COUNTIF($MK39:$MN39,"Armado")+COUNTIF($NX39:$NY39,"Armado"))&gt;0,(COUNTIF($MK39:$MN39,"Carregar")+COUNTIF($NX39:$NY39,"Carregar"))&gt;0),"Armado não entra com Carregar",""),IF(AND(COUNTIF($NX39:$NY39,"Corpo a Corpo")&gt;0,$NS39=0,OR($MH39="Cone",$MH39="Linha")),"Corpo a Corpo não entra em "&amp;$MH39,""),IF(AND(COUNTIF($NX39:$NY39,"Corpo a Corpo")&gt;0,$NS39=1),"A Forma "&amp;$MH39&amp;" já traz o Corpo a Corpo",""),IF(AND(COUNTIF($NX39:$NY39,"Tudo ou Nada")&gt;0,$NU39=0),"Tudo ou Nada só entra em habilidade de Teste de Resistência",""),IF(AND(COUNTIF($MK39:$MN39,"Inescapável")&gt;0,OR($OH39&gt;1,$OI39&gt;0)),"Inescapável não aceita outra peça",""),IF(AND($MF39&gt;0,$OQ39*IF(COUNTIF($MK39:$MN39,"Remate")&gt;0,1.25,1)+$OR39&gt;4*$MF39),($OQ39*IF(COUNTIF($MK39:$MN39,"Remate")&gt;0,1.25,1)+$OR39)&amp;" dados somando repetições"&amp;IF(COUNTIF($MK39:$MN39,"Remate")&gt;0," e o Remate","")&amp;": o teto da Classe "&amp;$MF39&amp;" é "&amp;4*$MF39,"")))</f>
        <v/>
      </c>
      <c r="PH39" s="152">
        <f>IF($PG39="",0,(LEN($PG39)-LEN(SUBSTITUTE($PG39," · ","")))/3+1)</f>
        <v/>
      </c>
      <c r="PI39" s="152">
        <f>IF($MQ39=0,"",TEXTJOIN(" · ",TRUE,IF($OK39&gt;2*$MF39,"A devolução parou no teto de "&amp;2*$MF39,""),IF($ON39&gt;0,"Devolução perdida: "&amp;$ON39&amp;IF($ON39&gt;1," pontos"," ponto")&amp;" sem peça para pagar",""),IF(AND($NP39&gt;0,AND($MF39&gt;0,$NT39=0),$OQ39=0),"Controle sem dano: uma rodada a mais e CD +2",""),IF(AND($NP39&gt;0,AND($MF39&gt;0,$NT39=0),$OQ39&gt;0,$OQ39&lt;=$MF39),"Controle com saldo até a Classe: uma rodada a mais",""),IF(AND($MF39&gt;0,$NR39&lt;&gt;""),"Efeito de "&amp;$NR39&amp;" pela Classe "&amp;MAX(1,$MF39-1),"")))</f>
        <v/>
      </c>
      <c r="PJ39" s="152">
        <f>IF($PI39="",0,(LEN($PI39)-LEN(SUBSTITUTE($PI39," · ","")))/3+1)</f>
        <v/>
      </c>
      <c r="PK39" s="152">
        <f>IF($MQ39=0,IF($OH39+COUNTIF($MO39:$MP39,"?*")&gt;0,"Dê um nome",""),IF($PH39&gt;0,"⚠ "&amp;$PH39&amp;IF($PH39&gt;1," erros"," erro"),IF($PJ39&gt;0,"! "&amp;$PJ39&amp;IF($PJ39&gt;1," avisos"," aviso"),"Na regra")))</f>
        <v/>
      </c>
      <c r="PL39" s="152">
        <f>IF($MQ39=0,"",IF($PH39+$PJ39=0,"Dentro das regras que a ficha confere",$PG39&amp;IF(AND($PH39&gt;0,$PJ39&gt;0)," · ","")&amp;$PI39))</f>
        <v/>
      </c>
      <c r="PM39" s="152">
        <f>IF($MD39&gt;$MR39,$ME39&amp;" · ABRE NO NÍVEL "&amp;$MD39,$ME39)</f>
        <v/>
      </c>
      <c r="PN39" s="152">
        <f>IF($MQ39=0,"",IF($MF39=0,"Sem PE",3*$MF39&amp;" PE"))</f>
        <v/>
      </c>
      <c r="PO39" s="152">
        <f>IF($MQ39=0,"",IF($MF39=0,"A atuação básica dela",IF(COUNTIF($NX39:$NY39,"Atrasar")&gt;0,"Sua Ação Completa",IF(COUNTIF($MK39:$MN39,"Rápido")&gt;0,"Sua Bônus",IF(COUNTIF($MK39:$MN39,"Reação")&gt;0,"Sua Reação","Sua Padrão")))&amp;" + a básica dela"&amp;IF(COUNTIF($MK39:$MN39,"Reação")&gt;0," e a coletiva","")&amp;IF(COUNTIF($NX39:$NY39,"Carregar")&gt;0," · em dois turnos","")))</f>
        <v/>
      </c>
      <c r="PP39" s="152">
        <f>IF($MJ39&lt;&gt;"",$MJ39,IF($MW39=0,"",INDEX($AA$2:$AA$11,$MW39)))</f>
        <v/>
      </c>
      <c r="PQ39" s="152">
        <f>IF(OR($MQ39=0,$MW39=0),"",IF(COUNTIF($MK39:$MN39,"Inescapável")&gt;0,"Automático",IF($PP39="Ataque",IF($MU39="","Ataque","Ataque "&amp;IF(($MU39+2*IF(COUNTIF($MK39:$MN39,"Precisão")&gt;0,1,0))&gt;=0,"+","−")&amp;ABS(($MU39+2*IF(COUNTIF($MK39:$MN39,"Precisão")&gt;0,1,0))))&amp;IF($NQ39&gt;0," · TR"&amp;IF($MV39="",""," CD "&amp;$MV39),""),IF(LEFT($PP39,2)="TR",$PP39&amp;IF($MV39="",""," · CD "&amp;$MV39)&amp;IF(COUNTIF($MK39:$MN39,"Certeiro")&gt;0," · metade",""),"Sem rolagem"))))</f>
        <v/>
      </c>
      <c r="PR39" s="152">
        <f>IF(OR($MQ39=0,$MW39=0),"",IF($MF39=0,IF(OR($NT39&gt;=1,$OQ39=0),"Sem dano",$OQ39&amp;"d6"&amp;IF($MI39="",""," "&amp;$MI39)),IF(OR($NT39&gt;=1,$OQ39=0),UPPER(LEFT(INDEX($OZ39:$PF39,1,MAX(1,$MF39)),1))&amp;MID(INDEX($OZ39:$PF39,1,MAX(1,$MF39)),2,99),UPPER(LEFT(INDEX($OZ39:$PF39,1,MAX(1,$MF39)),1))&amp;MID(INDEX($OZ39:$PF39,1,MAX(1,$MF39)),2,99)&amp;IF($MI39="",""," "&amp;$MI39)&amp;IF($OR39&gt;0," · +"&amp;$OR39&amp;"d8",""))))</f>
        <v/>
      </c>
      <c r="PS39" s="152">
        <f>COUNTIF($MK39:$MN39,"Longe")+3*COUNTIF($MK39:$MN39,"Muito Longe")</f>
        <v/>
      </c>
      <c r="PT39" s="152">
        <f>COUNTIF($MK39:$MN39,"Maior")+3*COUNTIF($MK39:$MN39,"Muito Maior")</f>
        <v/>
      </c>
      <c r="PU39" s="152">
        <f>IF($MW39=0,0,CHOOSE(1+INDEX($AC$2:$AC$11,$MW39),0,$PS39,$PT39,$PS39+$PT39))</f>
        <v/>
      </c>
      <c r="PV39" s="152">
        <f>IF($MW39=0,0,CHOOSE(1+INDEX($AD$2:$AD$11,$MW39),0,$PS39,$PT39,$PS39+$PT39))</f>
        <v/>
      </c>
      <c r="PW39" s="152">
        <f>IF(OR($MQ39=0,$MW39=0),"",INDEX($AI$2:$AN$41,($MW39-1)*4+IF($MF39=0,1,IF($MF39&lt;=5,2,IF($MF39=6,3,4))),1+MIN(5,$PU39))&amp;INDEX($AO$2:$AT$41,($MW39-1)*4+IF($MF39=0,1,IF($MF39&lt;=5,2,IF($MF39=6,3,4))),1+MIN(5,$PV39))&amp;IF(INDEX($AE$2:$AE$11,$MW39)=1,IF(COUNTIF($MK39:$MN39,"Mais Um")&gt;0," · +"&amp;COUNTIF($MK39:$MN39,"Mais Um")&amp;IF(COUNTIF($MK39:$MN39,"Mais Um")&gt;1," alvos"," alvo"),"")&amp;IF(COUNTIF($MK39:$MN39,"Rajada")&gt;0,IF($MF39=0," · 1 tiro"," · "&amp;(MAX(1,$MF39-1)+1)&amp;" tiros"),""),""))</f>
        <v/>
      </c>
      <c r="PX39" s="152">
        <f>IF($MQ39=0,"",IF($MF39=0,$MT39&amp;"d6"&amp;IF($OH39&gt;0," − 1 = "&amp;$OQ39&amp;"d6"," da básica do nível "&amp;$MR39),$OO39&amp;" − "&amp;$OJ39&amp;" + "&amp;$OM39&amp;" = "&amp;$OP39&amp;" · teto "&amp;4*$MF39&amp;"d8"&amp;IF($NS39=1," · a Forma devolve "&amp;$MF39,"")&amp;IF($ON39&gt;0," · perde "&amp;$ON39,"")))</f>
        <v/>
      </c>
      <c r="PY39" s="152">
        <f>IF($MQ39=0,"",IF($MF39=0,"A básica não amplia: os dados dela sobem com o nível",IF($MF39&gt;=$MS39,"Já está na maior Classe que o nível liberou",TEXTJOIN(" · ",TRUE,IF(AND(2&gt;$MF39,2&lt;=$MS39),"2 → "&amp;$PA39&amp;", 6 PE",""),IF(AND(3&gt;$MF39,3&lt;=$MS39),"3 → "&amp;$PB39&amp;", 9 PE",""),IF(AND(4&gt;$MF39,4&lt;=$MS39),"4 → "&amp;$PC39&amp;", 12 PE",""),IF(AND(5&gt;$MF39,5&lt;=$MS39),"5 → "&amp;$PD39&amp;", 15 PE",""),IF(AND(6&gt;$MF39,6&lt;=$MS39),"6 → "&amp;$PE39&amp;", 18 PE",""),IF(AND(7&gt;$MF39,7&lt;=$MS39),"7 → "&amp;$PF39&amp;", 21 PE","")))))</f>
        <v/>
      </c>
      <c r="PZ39" s="152">
        <f>IF(OR($MQ39=0,$NB39=0),"",IF($MF39=0,"−1 dado","−"&amp;INDEX($I$2:$N$8,MAX(1,$MF39),MAX(1,$NG39))&amp;" · "&amp;CHOOSE(MAX(1,$NG39),"Leve","Média","Pesada","Leve · Livre","Média · Livre","Pesada · Livre")))</f>
        <v/>
      </c>
      <c r="QA39" s="152">
        <f>IF(OR($MQ39=0,$NC39=0),"",IF($MF39=0,"−1 dado","−"&amp;INDEX($I$2:$N$8,MAX(1,$MF39),MAX(1,$NH39))&amp;" · "&amp;CHOOSE(MAX(1,$NH39),"Leve","Média","Pesada","Leve · Livre","Média · Livre","Pesada · Livre")))</f>
        <v/>
      </c>
      <c r="QB39" s="152">
        <f>IF(OR($MQ39=0,$ND39=0),"",IF($MF39=0,"−1 dado","−"&amp;INDEX($I$2:$N$8,MAX(1,$MF39),MAX(1,$NI39))&amp;" · "&amp;CHOOSE(MAX(1,$NI39),"Leve","Média","Pesada","Leve · Livre","Média · Livre","Pesada · Livre")))</f>
        <v/>
      </c>
      <c r="QC39" s="152">
        <f>IF(OR($MQ39=0,$NE39=0),"",IF($MF39=0,"−1 dado","−"&amp;INDEX($I$2:$N$8,MAX(1,$MF39),MAX(1,$NJ39))&amp;" · "&amp;CHOOSE(MAX(1,$NJ39),"Leve","Média","Pesada","Leve · Livre","Média · Livre","Pesada · Livre")))</f>
        <v/>
      </c>
      <c r="QD39" s="152">
        <f>IF(OR($MQ39=0,$MO39=""),"",IF($MF39=0,"não devolve","+"&amp;IF($NV39=1,CEILING($MF39/2,1),$MF39)))</f>
        <v/>
      </c>
      <c r="QE39" s="152">
        <f>IF(OR($MQ39=0,$MP39=""),"",IF($MF39=0,"não devolve","+"&amp;IF($NW39=1,CEILING($MF39/2,1),$MF39)))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BA40" s="152" t="n">
        <v>0</v>
      </c>
      <c r="JG40" s="152">
        <f>IF(OR($AW40="",COUNTIF($EF$2:$EJ$2,$AW40)&gt;0),$AV40,"")</f>
        <v/>
      </c>
      <c r="JH40" s="152">
        <f>IF(AND($AX40=1,OR($AW40="",COUNTIF($EF$2:$EJ$2,$AW40)&gt;0)),$AV40,"")</f>
        <v/>
      </c>
      <c r="JM40" s="152">
        <f>IF(OR($AW40="",COUNTIF($EF$3:$EJ$3,$AW40)&gt;0),$AV40,"")</f>
        <v/>
      </c>
      <c r="JN40" s="152">
        <f>IF(AND($AX40=1,OR($AW40="",COUNTIF($EF$3:$EJ$3,$AW40)&gt;0)),$AV40,"")</f>
        <v/>
      </c>
      <c r="JS40" s="152">
        <f>IF(OR($AW40="",COUNTIF($EF$4:$EJ$4,$AW40)&gt;0),$AV40,"")</f>
        <v/>
      </c>
      <c r="JT40" s="152">
        <f>IF(AND($AX40=1,OR($AW40="",COUNTIF($EF$4:$EJ$4,$AW40)&gt;0)),$AV40,"")</f>
        <v/>
      </c>
      <c r="JY40" s="152">
        <f>IF(OR($AW40="",COUNTIF($EF$5:$EJ$5,$AW40)&gt;0),$AV40,"")</f>
        <v/>
      </c>
      <c r="JZ40" s="152">
        <f>IF(AND($AX40=1,OR($AW40="",COUNTIF($EF$5:$EJ$5,$AW40)&gt;0)),$AV40,"")</f>
        <v/>
      </c>
      <c r="KE40" s="152">
        <f>IF(OR($AW40="",COUNTIF($EF$6:$EJ$6,$AW40)&gt;0),$AV40,"")</f>
        <v/>
      </c>
      <c r="KF40" s="152">
        <f>IF(AND($AX40=1,OR($AW40="",COUNTIF($EF$6:$EJ$6,$AW40)&gt;0)),$AV40,"")</f>
        <v/>
      </c>
      <c r="KK40" s="152">
        <f>IF(OR($AW40="",COUNTIF($EF$7:$EJ$7,$AW40)&gt;0),$AV40,"")</f>
        <v/>
      </c>
      <c r="KL40" s="152">
        <f>IF(AND($AX40=1,OR($AW40="",COUNTIF($EF$7:$EJ$7,$AW40)&gt;0)),$AV40,"")</f>
        <v/>
      </c>
      <c r="KQ40" s="152">
        <f>IF(OR($AW40="",COUNTIF($EF$8:$EJ$8,$AW40)&gt;0),$AV40,"")</f>
        <v/>
      </c>
      <c r="KR40" s="152">
        <f>IF(AND($AX40=1,OR($AW40="",COUNTIF($EF$8:$EJ$8,$AW40)&gt;0)),$AV40,"")</f>
        <v/>
      </c>
      <c r="KW40" s="152">
        <f>IF(OR($AW40="",COUNTIF($EF$9:$EJ$9,$AW40)&gt;0),$AV40,"")</f>
        <v/>
      </c>
      <c r="KX40" s="152">
        <f>IF(AND($AX40=1,OR($AW40="",COUNTIF($EF$9:$EJ$9,$AW40)&gt;0)),$AV40,"")</f>
        <v/>
      </c>
      <c r="LC40" s="152">
        <f>IF(OR($AW40="",COUNTIF($EF$10:$EJ$10,$AW40)&gt;0),$AV40,"")</f>
        <v/>
      </c>
      <c r="LD40" s="152">
        <f>IF(AND($AX40=1,OR($AW40="",COUNTIF($EF$10:$EJ$10,$AW40)&gt;0)),$AV40,"")</f>
        <v/>
      </c>
      <c r="LI40" s="152">
        <f>IF(OR($AW40="",COUNTIF($EF$11:$EJ$11,$AW40)&gt;0),$AV40,"")</f>
        <v/>
      </c>
      <c r="LJ40" s="152">
        <f>IF(AND($AX40=1,OR($AW40="",COUNTIF($EF$11:$EJ$11,$AW40)&gt;0)),$AV40,"")</f>
        <v/>
      </c>
      <c r="LO40" s="152">
        <f>IF(OR($AW40="",COUNTIF($EF$12:$EJ$12,$AW40)&gt;0),$AV40,"")</f>
        <v/>
      </c>
      <c r="LP40" s="152">
        <f>IF(AND($AX40=1,OR($AW40="",COUNTIF($EF$12:$EJ$12,$AW40)&gt;0)),$AV40,"")</f>
        <v/>
      </c>
      <c r="LU40" s="152">
        <f>IF(OR($AW40="",COUNTIF($EF$13:$EJ$13,$AW40)&gt;0),$AV40,"")</f>
        <v/>
      </c>
      <c r="LV40" s="152">
        <f>IF(AND($AX40=1,OR($AW40="",COUNTIF($EF$13:$EJ$13,$AW40)&gt;0)),$AV40,"")</f>
        <v/>
      </c>
      <c r="MA40" s="150" t="inlineStr">
        <is>
          <t>Ficha 3 · Escolha da trilha 3</t>
        </is>
      </c>
      <c r="MB40" s="152" t="n">
        <v>3</v>
      </c>
      <c r="MC40" s="152" t="n">
        <v>2</v>
      </c>
      <c r="MD40" s="152" t="n">
        <v>0</v>
      </c>
      <c r="ME40" s="150" t="inlineStr">
        <is>
          <t>ESCOLHA DA TRILHA 3</t>
        </is>
      </c>
      <c r="MF40" s="152">
        <f>MAX(0,MIN(7,N('INVOCAÇÕES'!$U$556)))</f>
        <v/>
      </c>
      <c r="MG40" s="152">
        <f>'INVOCAÇÕES'!$V$556&amp;""</f>
        <v/>
      </c>
      <c r="MH40" s="152">
        <f>'INVOCAÇÕES'!$U$561&amp;""</f>
        <v/>
      </c>
      <c r="MI40" s="152">
        <f>'INVOCAÇÕES'!$U$562&amp;""</f>
        <v/>
      </c>
      <c r="MJ40" s="152">
        <f>'INVOCAÇÕES'!$W$562&amp;""</f>
        <v/>
      </c>
      <c r="MK40" s="152">
        <f>'INVOCAÇÕES'!$V$565&amp;""</f>
        <v/>
      </c>
      <c r="ML40" s="152">
        <f>'INVOCAÇÕES'!$V$566&amp;""</f>
        <v/>
      </c>
      <c r="MM40" s="152">
        <f>'INVOCAÇÕES'!$V$567&amp;""</f>
        <v/>
      </c>
      <c r="MN40" s="152">
        <f>'INVOCAÇÕES'!$V$568&amp;""</f>
        <v/>
      </c>
      <c r="MO40" s="152">
        <f>'INVOCAÇÕES'!$V$569&amp;""</f>
        <v/>
      </c>
      <c r="MP40" s="152">
        <f>'INVOCAÇÕES'!$V$570&amp;""</f>
        <v/>
      </c>
      <c r="MQ40" s="152">
        <f>IF($MG40&lt;&gt;"",1,0)</f>
        <v/>
      </c>
      <c r="MR40" s="152">
        <f>INDEX($FI$2:$FI$13,$MB40)</f>
        <v/>
      </c>
      <c r="MS40" s="152">
        <f>INDEX($FJ$2:$FJ$13,$MB40)</f>
        <v/>
      </c>
      <c r="MT40" s="152">
        <f>INDEX($FK$2:$FK$13,$MB40)</f>
        <v/>
      </c>
      <c r="MU40" s="152">
        <f>INDEX($FV$2:$FV$13,$MB40)</f>
        <v/>
      </c>
      <c r="MV40" s="152">
        <f>INDEX($FW$2:$FW$13,$MB40)</f>
        <v/>
      </c>
      <c r="MW40" s="152">
        <f>IFERROR(MATCH($MH40,$V$2:$V$11,0),0)</f>
        <v/>
      </c>
      <c r="MX40" s="152">
        <f>IFERROR(VLOOKUP($MK40,$AV$2:$BA$84,2,FALSE),"")</f>
        <v/>
      </c>
      <c r="MY40" s="152">
        <f>IFERROR(VLOOKUP($ML40,$AV$2:$BA$84,2,FALSE),"")</f>
        <v/>
      </c>
      <c r="MZ40" s="152">
        <f>IFERROR(VLOOKUP($MM40,$AV$2:$BA$84,2,FALSE),"")</f>
        <v/>
      </c>
      <c r="NA40" s="152">
        <f>IFERROR(VLOOKUP($MN40,$AV$2:$BA$84,2,FALSE),"")</f>
        <v/>
      </c>
      <c r="NB40" s="152">
        <f>IFERROR(VLOOKUP($MK40,$AV$2:$BA$84,3,FALSE),0)</f>
        <v/>
      </c>
      <c r="NC40" s="152">
        <f>IFERROR(VLOOKUP($ML40,$AV$2:$BA$84,3,FALSE),0)</f>
        <v/>
      </c>
      <c r="ND40" s="152">
        <f>IFERROR(VLOOKUP($MM40,$AV$2:$BA$84,3,FALSE),0)</f>
        <v/>
      </c>
      <c r="NE40" s="152">
        <f>IFERROR(VLOOKUP($MN40,$AV$2:$BA$84,3,FALSE),0)</f>
        <v/>
      </c>
      <c r="NF40" s="152">
        <f>IF($MF40=0,0,IF($MW40=0,0,INDEX($X$2:$X$11,$MW40)))</f>
        <v/>
      </c>
      <c r="NG40" s="152">
        <f>IF(OR($NB40=0,$MF40=0),0,$NB40+3*IF(AND($MX40&lt;&gt;"",OR($MX40=INDEX($EF$2:$EF$13,$MB40),$MX40=INDEX($EG$2:$EG$13,$MB40))),1,0))</f>
        <v/>
      </c>
      <c r="NH40" s="152">
        <f>IF(OR($NC40=0,$MF40=0),0,$NC40+3*IF(AND($MY40&lt;&gt;"",OR($MY40=INDEX($EF$2:$EF$13,$MB40),$MY40=INDEX($EG$2:$EG$13,$MB40))),1,0))</f>
        <v/>
      </c>
      <c r="NI40" s="152">
        <f>IF(OR($ND40=0,$MF40=0),0,$ND40+3*IF(AND($MZ40&lt;&gt;"",OR($MZ40=INDEX($EF$2:$EF$13,$MB40),$MZ40=INDEX($EG$2:$EG$13,$MB40))),1,0))</f>
        <v/>
      </c>
      <c r="NJ40" s="152">
        <f>IF(OR($NE40=0,$MF40=0),0,$NE40+3*IF(AND($NA40&lt;&gt;"",OR($NA40=INDEX($EF$2:$EF$13,$MB40),$NA40=INDEX($EG$2:$EG$13,$MB40))),1,0))</f>
        <v/>
      </c>
      <c r="NK40" s="152">
        <f>IF($MW40=0,0,IF(INDEX($W$2:$W$11,$MW40)="",0,IF(COUNTIF(INDEX($EF$2:$EJ$13,$MB40,0),INDEX($W$2:$W$11,$MW40))=0,1,0)))</f>
        <v/>
      </c>
      <c r="NL40" s="152">
        <f>IF(OR($NB40=0,$MX40=""),0,IF(COUNTIF(INDEX($EF$2:$EJ$13,$MB40,0),$MX40)=0,1,0))</f>
        <v/>
      </c>
      <c r="NM40" s="152">
        <f>IF(OR($NC40=0,$MY40=""),0,IF(COUNTIF(INDEX($EF$2:$EJ$13,$MB40,0),$MY40)=0,1,0))</f>
        <v/>
      </c>
      <c r="NN40" s="152">
        <f>IF(OR($ND40=0,$MZ40=""),0,IF(COUNTIF(INDEX($EF$2:$EJ$13,$MB40,0),$MZ40)=0,1,0))</f>
        <v/>
      </c>
      <c r="NO40" s="152">
        <f>IF(OR($NE40=0,$NA40=""),0,IF(COUNTIF(INDEX($EF$2:$EJ$13,$MB40,0),$NA40)=0,1,0))</f>
        <v/>
      </c>
      <c r="NP40" s="152">
        <f>IFERROR(VLOOKUP($MK40,$AV$2:$BA$84,4,FALSE),0)+IFERROR(VLOOKUP($ML40,$AV$2:$BA$84,4,FALSE),0)+IFERROR(VLOOKUP($MM40,$AV$2:$BA$84,4,FALSE),0)+IFERROR(VLOOKUP($MN40,$AV$2:$BA$84,4,FALSE),0)</f>
        <v/>
      </c>
      <c r="NQ40" s="152">
        <f>IFERROR(VLOOKUP($MK40,$AV$2:$BA$84,6,FALSE),0)+IFERROR(VLOOKUP($ML40,$AV$2:$BA$84,6,FALSE),0)+IFERROR(VLOOKUP($MM40,$AV$2:$BA$84,6,FALSE),0)+IFERROR(VLOOKUP($MN40,$AV$2:$BA$84,6,FALSE),0)</f>
        <v/>
      </c>
      <c r="NR40" s="152">
        <f>TEXTJOIN(", ",TRUE,IF(IFERROR(VLOOKUP($MK40,$AV$2:$BA$84,5,FALSE),0)=1,$MK40,""),IF(IFERROR(VLOOKUP($ML40,$AV$2:$BA$84,5,FALSE),0)=1,$ML40,""),IF(IFERROR(VLOOKUP($MM40,$AV$2:$BA$84,5,FALSE),0)=1,$MM40,""),IF(IFERROR(VLOOKUP($MN40,$AV$2:$BA$84,5,FALSE),0)=1,$MN40,""))</f>
        <v/>
      </c>
      <c r="NS40" s="152">
        <f>IF($MW40=0,0,INDEX($Y$2:$Y$11,$MW40))</f>
        <v/>
      </c>
      <c r="NT40" s="152">
        <f>IF($MW40=0,0,INDEX($Z$2:$Z$11,$MW40))</f>
        <v/>
      </c>
      <c r="NU40" s="152">
        <f>IF($MW40=0,0,INDEX($AB$2:$AB$11,$MW40))</f>
        <v/>
      </c>
      <c r="NV40" s="152">
        <f>IFERROR(VLOOKUP($MO40,$BC$2:$BG$24,3,FALSE),0)</f>
        <v/>
      </c>
      <c r="NW40" s="152">
        <f>IFERROR(VLOOKUP($MP40,$BC$2:$BG$24,3,FALSE),0)</f>
        <v/>
      </c>
      <c r="NX40" s="152">
        <f>IFERROR(VLOOKUP($MO40,$BC$2:$BG$24,2,FALSE),"")</f>
        <v/>
      </c>
      <c r="NY40" s="152">
        <f>IFERROR(VLOOKUP($MP40,$BC$2:$BG$24,2,FALSE),"")</f>
        <v/>
      </c>
      <c r="NZ40" s="152">
        <f>COUNTIF($NF40:$NJ40,1)</f>
        <v/>
      </c>
      <c r="OA40" s="152">
        <f>COUNTIF($NF40:$NJ40,2)</f>
        <v/>
      </c>
      <c r="OB40" s="152">
        <f>COUNTIF($NF40:$NJ40,3)</f>
        <v/>
      </c>
      <c r="OC40" s="152">
        <f>COUNTIF($NF40:$NJ40,4)</f>
        <v/>
      </c>
      <c r="OD40" s="152">
        <f>COUNTIF($NF40:$NJ40,5)</f>
        <v/>
      </c>
      <c r="OE40" s="152">
        <f>COUNTIF($NF40:$NJ40,6)</f>
        <v/>
      </c>
      <c r="OF40" s="152">
        <f>COUNTIF($NV40:$NW40,1)</f>
        <v/>
      </c>
      <c r="OG40" s="152">
        <f>COUNTIF($NV40:$NW40,2)+$NS40</f>
        <v/>
      </c>
      <c r="OH40" s="152">
        <f>COUNTIF($MK40:$MN40,"?*")</f>
        <v/>
      </c>
      <c r="OI40" s="152">
        <f>COUNTIF($MO40:$MP40,"?*")+$NS40</f>
        <v/>
      </c>
      <c r="OJ40" s="152">
        <f>IF($MF40=0,0,SUMPRODUCT($NZ40:$OE40,INDEX($I$2:$N$8,MAX(1,$MF40),0)))</f>
        <v/>
      </c>
      <c r="OK40" s="152">
        <f>IF($MF40=0,0,$OF40*CEILING($MF40/2,1)+$OG40*$MF40)</f>
        <v/>
      </c>
      <c r="OL40" s="152">
        <f>MIN(2*$MF40,$OK40)</f>
        <v/>
      </c>
      <c r="OM40" s="152">
        <f>MIN($OL40,$OJ40)</f>
        <v/>
      </c>
      <c r="ON40" s="152">
        <f>$OL40-$OM40</f>
        <v/>
      </c>
      <c r="OO40" s="152">
        <f>IF($MF40=0,0,INDEX($P$2:$P$8,MAX(1,$MF40)))</f>
        <v/>
      </c>
      <c r="OP40" s="152">
        <f>$OO40-$OJ40+$OM40</f>
        <v/>
      </c>
      <c r="OQ40" s="152">
        <f>IF($MF40=0,MAX(0,$MT40-IF($OH40&gt;0,1,0)),MAX(0,$OP40))</f>
        <v/>
      </c>
      <c r="OR40" s="152">
        <f>IF($MF40=0,0,(IF(COUNTIF($MK40:$MN40,"Salto")&gt;0,1,0)+IF(COUNTIF($MK40:$MN40,"Queima")&gt;0,1,0)+IF(COUNTIF($MK40:$MN40,"Estilhaço")&gt;0,1,0))*FLOOR($OQ40/2,1))</f>
        <v/>
      </c>
      <c r="OS40" s="152">
        <f>MAX(0,2-SUMPRODUCT($NZ40:$OE40,$I$2:$N$2)+MIN(2,$OF40*1+$OG40*1,SUMPRODUCT($NZ40:$OE40,$I$2:$N$2)))</f>
        <v/>
      </c>
      <c r="OT40" s="152">
        <f>MAX(0,4-SUMPRODUCT($NZ40:$OE40,$I$3:$N$3)+MIN(4,$OF40*1+$OG40*2,SUMPRODUCT($NZ40:$OE40,$I$3:$N$3)))</f>
        <v/>
      </c>
      <c r="OU40" s="152">
        <f>MAX(0,6-SUMPRODUCT($NZ40:$OE40,$I$4:$N$4)+MIN(6,$OF40*2+$OG40*3,SUMPRODUCT($NZ40:$OE40,$I$4:$N$4)))</f>
        <v/>
      </c>
      <c r="OV40" s="152">
        <f>MAX(0,9-SUMPRODUCT($NZ40:$OE40,$I$5:$N$5)+MIN(8,$OF40*2+$OG40*4,SUMPRODUCT($NZ40:$OE40,$I$5:$N$5)))</f>
        <v/>
      </c>
      <c r="OW40" s="152">
        <f>MAX(0,11-SUMPRODUCT($NZ40:$OE40,$I$6:$N$6)+MIN(10,$OF40*3+$OG40*5,SUMPRODUCT($NZ40:$OE40,$I$6:$N$6)))</f>
        <v/>
      </c>
      <c r="OX40" s="152">
        <f>MAX(0,13-SUMPRODUCT($NZ40:$OE40,$I$7:$N$7)+MIN(12,$OF40*3+$OG40*6,SUMPRODUCT($NZ40:$OE40,$I$7:$N$7)))</f>
        <v/>
      </c>
      <c r="OY40" s="152">
        <f>MAX(0,16-SUMPRODUCT($NZ40:$OE40,$I$8:$N$8)+MIN(14,$OF40*4+$OG40*7,SUMPRODUCT($NZ40:$OE40,$I$8:$N$8)))</f>
        <v/>
      </c>
      <c r="OZ40" s="152">
        <f>IF($NT40=2,3*$OS40&amp;" de vida temp.",IF($NT40=3,"sem dano",IF($OS40=0,IF($NT40=1,"sem cura","sem dano"),IF($NT40=1,"cura ","")&amp;$OS40&amp;"d8")))</f>
        <v/>
      </c>
      <c r="PA40" s="152">
        <f>IF($NT40=2,3*$OT40&amp;" de vida temp.",IF($NT40=3,"sem dano",IF($OT40=0,IF($NT40=1,"sem cura","sem dano"),IF($NT40=1,"cura ","")&amp;$OT40&amp;"d8")))</f>
        <v/>
      </c>
      <c r="PB40" s="152">
        <f>IF($NT40=2,3*$OU40&amp;" de vida temp.",IF($NT40=3,"sem dano",IF($OU40=0,IF($NT40=1,"sem cura","sem dano"),IF($NT40=1,"cura ","")&amp;$OU40&amp;"d8")))</f>
        <v/>
      </c>
      <c r="PC40" s="152">
        <f>IF($NT40=2,3*$OV40&amp;" de vida temp.",IF($NT40=3,"sem dano",IF($OV40=0,IF($NT40=1,"sem cura","sem dano"),IF($NT40=1,"cura ","")&amp;$OV40&amp;"d8")))</f>
        <v/>
      </c>
      <c r="PD40" s="152">
        <f>IF($NT40=2,3*$OW40&amp;" de vida temp.",IF($NT40=3,"sem dano",IF($OW40=0,IF($NT40=1,"sem cura","sem dano"),IF($NT40=1,"cura ","")&amp;$OW40&amp;"d8")))</f>
        <v/>
      </c>
      <c r="PE40" s="152">
        <f>IF($NT40=2,3*$OX40&amp;" de vida temp.",IF($NT40=3,"sem dano",IF($OX40=0,IF($NT40=1,"sem cura","sem dano"),IF($NT40=1,"cura ","")&amp;$OX40&amp;"d8")))</f>
        <v/>
      </c>
      <c r="PF40" s="152">
        <f>IF($NT40=2,3*$OY40&amp;" de vida temp.",IF($NT40=3,"sem dano",IF($OY40=0,IF($NT40=1,"sem cura","sem dano"),IF($NT40=1,"cura ","")&amp;$OY40&amp;"d8")))</f>
        <v/>
      </c>
      <c r="PG40" s="152">
        <f>IF($MQ40=0,"",TEXTJOIN(" · ",TRUE,IF($MD40&gt;$MR40,"Este lugar abre no nível "&amp;$MD40,""),IF($MF40&gt;$MS40,"Classe "&amp;$MF40&amp;": o nível "&amp;$MR40&amp;" libera até a "&amp;$MS40,""),IF($NK40=1,"A Forma "&amp;$MH40&amp;" pede "&amp;INDEX($W$2:$W$11,$MW40)&amp;" aberta",""),IF(AND($MF40=0,$MW40&gt;0,IF($MW40=0,0,INDEX($AF$2:$AF$11,$MW40))=0),$MH40&amp;" não existe na Classe 0",""),IF($NL40=1,"Família Fechada: "&amp;$MK40,""),IF($NM40=1,"Família Fechada: "&amp;$ML40,""),IF($NN40=1,"Família Fechada: "&amp;$MM40,""),IF($NO40=1,"Família Fechada: "&amp;$MN40,""),IF(AND($MF40&gt;0,$OH40&gt;INDEX($O$2:$O$8,MAX(1,$MF40))),$OH40&amp;" Melhorias: a Classe "&amp;$MF40&amp;" aceita "&amp;INDEX($O$2:$O$8,MAX(1,$MF40)),""),IF(AND($MF40=0,$OH40&gt;1),"A básica aceita uma Melhoria",""),IF(AND($MF40=0,COUNTIF($NB40:$NE40,"&gt;1")&gt;0),"A básica só aceita Melhoria Leve",""),IF(AND($MF40&gt;0,$OI40&gt;2),$OI40&amp;" Restrições"&amp;IF($NS40=1,", contando a que a Forma "&amp;$MH40&amp;" já traz","")&amp;": o limite é 2",""),IF(AND($MF40=0,COUNTIF($MO40:$MP40,"?*")&gt;1),"A básica aceita uma Restrição Leve",""),IF(AND($MF40=0,COUNTIF($NV40:$NW40,2)&gt;0),"A básica só aceita Restrição Leve",""),IF(AND($MF40&gt;0,$OP40&lt;0),"Orçamento estourado: faltam "&amp;(-$OP40)&amp;IF($OP40&lt;-1," pontos"," ponto"),""),IF(IFERROR(VLOOKUP($MO40,$BC$2:$BG$24,4,FALSE),0)+IFERROR(VLOOKUP($MP40,$BC$2:$BG$24,4,FALSE),0)&gt;1,$NX40&amp;" e "&amp;$NY40&amp;" são as duas de frequência",""),IF(AND((COUNTIF($MK40:$MN40,"Rápido")+COUNTIF($NX40:$NY40,"Rápido"))&gt;0,(COUNTIF($MK40:$MN40,"Atrasar")+COUNTIF($NX40:$NY40,"Atrasar"))&gt;0),"Rápido não entra com Atrasar",""),IF(AND((COUNTIF($MK40:$MN40,"Reação")+COUNTIF($NX40:$NY40,"Reação"))&gt;0,(COUNTIF($MK40:$MN40,"Rápido")+COUNTIF($NX40:$NY40,"Rápido"))&gt;0),"Reação não entra com Rápido",""),IF(AND((COUNTIF($MK40:$MN40,"Reação")+COUNTIF($NX40:$NY40,"Reação"))&gt;0,(COUNTIF($MK40:$MN40,"Armado")+COUNTIF($NX40:$NY40,"Armado"))&gt;0),"Reação não entra com Armado",""),IF(AND((COUNTIF($MK40:$MN40,"Reação")+COUNTIF($NX40:$NY40,"Reação"))&gt;0,(COUNTIF($MK40:$MN40,"Atrasar")+COUNTIF($NX40:$NY40,"Atrasar"))&gt;0),"Reação não entra com Atrasar",""),IF(AND((COUNTIF($MK40:$MN40,"Reação")+COUNTIF($NX40:$NY40,"Reação"))&gt;0,(COUNTIF($MK40:$MN40,"Parado")+COUNTIF($NX40:$NY40,"Parado"))&gt;0),"Reação não entra com Parado",""),IF(AND((COUNTIF($MK40:$MN40,"Atrasar")+COUNTIF($NX40:$NY40,"Atrasar"))&gt;0,(COUNTIF($MK40:$MN40,"Parado")+COUNTIF($NX40:$NY40,"Parado"))&gt;0),"Atrasar não entra com Parado",""),IF(AND((COUNTIF($MK40:$MN40,"Armado")+COUNTIF($NX40:$NY40,"Armado"))&gt;0,(COUNTIF($MK40:$MN40,"Carregar")+COUNTIF($NX40:$NY40,"Carregar"))&gt;0),"Armado não entra com Carregar",""),IF(AND(COUNTIF($NX40:$NY40,"Corpo a Corpo")&gt;0,$NS40=0,OR($MH40="Cone",$MH40="Linha")),"Corpo a Corpo não entra em "&amp;$MH40,""),IF(AND(COUNTIF($NX40:$NY40,"Corpo a Corpo")&gt;0,$NS40=1),"A Forma "&amp;$MH40&amp;" já traz o Corpo a Corpo",""),IF(AND(COUNTIF($NX40:$NY40,"Tudo ou Nada")&gt;0,$NU40=0),"Tudo ou Nada só entra em habilidade de Teste de Resistência",""),IF(AND(COUNTIF($MK40:$MN40,"Inescapável")&gt;0,OR($OH40&gt;1,$OI40&gt;0)),"Inescapável não aceita outra peça",""),IF(AND($MF40&gt;0,$OQ40*IF(COUNTIF($MK40:$MN40,"Remate")&gt;0,1.25,1)+$OR40&gt;4*$MF40),($OQ40*IF(COUNTIF($MK40:$MN40,"Remate")&gt;0,1.25,1)+$OR40)&amp;" dados somando repetições"&amp;IF(COUNTIF($MK40:$MN40,"Remate")&gt;0," e o Remate","")&amp;": o teto da Classe "&amp;$MF40&amp;" é "&amp;4*$MF40,"")))</f>
        <v/>
      </c>
      <c r="PH40" s="152">
        <f>IF($PG40="",0,(LEN($PG40)-LEN(SUBSTITUTE($PG40," · ","")))/3+1)</f>
        <v/>
      </c>
      <c r="PI40" s="152">
        <f>IF($MQ40=0,"",TEXTJOIN(" · ",TRUE,IF($OK40&gt;2*$MF40,"A devolução parou no teto de "&amp;2*$MF40,""),IF($ON40&gt;0,"Devolução perdida: "&amp;$ON40&amp;IF($ON40&gt;1," pontos"," ponto")&amp;" sem peça para pagar",""),IF(AND($NP40&gt;0,AND($MF40&gt;0,$NT40=0),$OQ40=0),"Controle sem dano: uma rodada a mais e CD +2",""),IF(AND($NP40&gt;0,AND($MF40&gt;0,$NT40=0),$OQ40&gt;0,$OQ40&lt;=$MF40),"Controle com saldo até a Classe: uma rodada a mais",""),IF(AND($MF40&gt;0,$NR40&lt;&gt;""),"Efeito de "&amp;$NR40&amp;" pela Classe "&amp;MAX(1,$MF40-1),"")))</f>
        <v/>
      </c>
      <c r="PJ40" s="152">
        <f>IF($PI40="",0,(LEN($PI40)-LEN(SUBSTITUTE($PI40," · ","")))/3+1)</f>
        <v/>
      </c>
      <c r="PK40" s="152">
        <f>IF($MQ40=0,IF($OH40+COUNTIF($MO40:$MP40,"?*")&gt;0,"Dê um nome",""),IF($PH40&gt;0,"⚠ "&amp;$PH40&amp;IF($PH40&gt;1," erros"," erro"),IF($PJ40&gt;0,"! "&amp;$PJ40&amp;IF($PJ40&gt;1," avisos"," aviso"),"Na regra")))</f>
        <v/>
      </c>
      <c r="PL40" s="152">
        <f>IF($MQ40=0,"",IF($PH40+$PJ40=0,"Dentro das regras que a ficha confere",$PG40&amp;IF(AND($PH40&gt;0,$PJ40&gt;0)," · ","")&amp;$PI40))</f>
        <v/>
      </c>
      <c r="PM40" s="152">
        <f>IF($MD40&gt;$MR40,$ME40&amp;" · ABRE NO NÍVEL "&amp;$MD40,$ME40)</f>
        <v/>
      </c>
      <c r="PN40" s="152">
        <f>IF($MQ40=0,"",IF($MF40=0,"Sem PE",3*$MF40&amp;" PE"))</f>
        <v/>
      </c>
      <c r="PO40" s="152">
        <f>IF($MQ40=0,"",IF($MF40=0,"A atuação básica dela",IF(COUNTIF($NX40:$NY40,"Atrasar")&gt;0,"Sua Ação Completa",IF(COUNTIF($MK40:$MN40,"Rápido")&gt;0,"Sua Bônus",IF(COUNTIF($MK40:$MN40,"Reação")&gt;0,"Sua Reação","Sua Padrão")))&amp;" + a básica dela"&amp;IF(COUNTIF($MK40:$MN40,"Reação")&gt;0," e a coletiva","")&amp;IF(COUNTIF($NX40:$NY40,"Carregar")&gt;0," · em dois turnos","")))</f>
        <v/>
      </c>
      <c r="PP40" s="152">
        <f>IF($MJ40&lt;&gt;"",$MJ40,IF($MW40=0,"",INDEX($AA$2:$AA$11,$MW40)))</f>
        <v/>
      </c>
      <c r="PQ40" s="152">
        <f>IF(OR($MQ40=0,$MW40=0),"",IF(COUNTIF($MK40:$MN40,"Inescapável")&gt;0,"Automático",IF($PP40="Ataque",IF($MU40="","Ataque","Ataque "&amp;IF(($MU40+2*IF(COUNTIF($MK40:$MN40,"Precisão")&gt;0,1,0))&gt;=0,"+","−")&amp;ABS(($MU40+2*IF(COUNTIF($MK40:$MN40,"Precisão")&gt;0,1,0))))&amp;IF($NQ40&gt;0," · TR"&amp;IF($MV40="",""," CD "&amp;$MV40),""),IF(LEFT($PP40,2)="TR",$PP40&amp;IF($MV40="",""," · CD "&amp;$MV40)&amp;IF(COUNTIF($MK40:$MN40,"Certeiro")&gt;0," · metade",""),"Sem rolagem"))))</f>
        <v/>
      </c>
      <c r="PR40" s="152">
        <f>IF(OR($MQ40=0,$MW40=0),"",IF($MF40=0,IF(OR($NT40&gt;=1,$OQ40=0),"Sem dano",$OQ40&amp;"d6"&amp;IF($MI40="",""," "&amp;$MI40)),IF(OR($NT40&gt;=1,$OQ40=0),UPPER(LEFT(INDEX($OZ40:$PF40,1,MAX(1,$MF40)),1))&amp;MID(INDEX($OZ40:$PF40,1,MAX(1,$MF40)),2,99),UPPER(LEFT(INDEX($OZ40:$PF40,1,MAX(1,$MF40)),1))&amp;MID(INDEX($OZ40:$PF40,1,MAX(1,$MF40)),2,99)&amp;IF($MI40="",""," "&amp;$MI40)&amp;IF($OR40&gt;0," · +"&amp;$OR40&amp;"d8",""))))</f>
        <v/>
      </c>
      <c r="PS40" s="152">
        <f>COUNTIF($MK40:$MN40,"Longe")+3*COUNTIF($MK40:$MN40,"Muito Longe")</f>
        <v/>
      </c>
      <c r="PT40" s="152">
        <f>COUNTIF($MK40:$MN40,"Maior")+3*COUNTIF($MK40:$MN40,"Muito Maior")</f>
        <v/>
      </c>
      <c r="PU40" s="152">
        <f>IF($MW40=0,0,CHOOSE(1+INDEX($AC$2:$AC$11,$MW40),0,$PS40,$PT40,$PS40+$PT40))</f>
        <v/>
      </c>
      <c r="PV40" s="152">
        <f>IF($MW40=0,0,CHOOSE(1+INDEX($AD$2:$AD$11,$MW40),0,$PS40,$PT40,$PS40+$PT40))</f>
        <v/>
      </c>
      <c r="PW40" s="152">
        <f>IF(OR($MQ40=0,$MW40=0),"",INDEX($AI$2:$AN$41,($MW40-1)*4+IF($MF40=0,1,IF($MF40&lt;=5,2,IF($MF40=6,3,4))),1+MIN(5,$PU40))&amp;INDEX($AO$2:$AT$41,($MW40-1)*4+IF($MF40=0,1,IF($MF40&lt;=5,2,IF($MF40=6,3,4))),1+MIN(5,$PV40))&amp;IF(INDEX($AE$2:$AE$11,$MW40)=1,IF(COUNTIF($MK40:$MN40,"Mais Um")&gt;0," · +"&amp;COUNTIF($MK40:$MN40,"Mais Um")&amp;IF(COUNTIF($MK40:$MN40,"Mais Um")&gt;1," alvos"," alvo"),"")&amp;IF(COUNTIF($MK40:$MN40,"Rajada")&gt;0,IF($MF40=0," · 1 tiro"," · "&amp;(MAX(1,$MF40-1)+1)&amp;" tiros"),""),""))</f>
        <v/>
      </c>
      <c r="PX40" s="152">
        <f>IF($MQ40=0,"",IF($MF40=0,$MT40&amp;"d6"&amp;IF($OH40&gt;0," − 1 = "&amp;$OQ40&amp;"d6"," da básica do nível "&amp;$MR40),$OO40&amp;" − "&amp;$OJ40&amp;" + "&amp;$OM40&amp;" = "&amp;$OP40&amp;" · teto "&amp;4*$MF40&amp;"d8"&amp;IF($NS40=1," · a Forma devolve "&amp;$MF40,"")&amp;IF($ON40&gt;0," · perde "&amp;$ON40,"")))</f>
        <v/>
      </c>
      <c r="PY40" s="152">
        <f>IF($MQ40=0,"",IF($MF40=0,"A básica não amplia: os dados dela sobem com o nível",IF($MF40&gt;=$MS40,"Já está na maior Classe que o nível liberou",TEXTJOIN(" · ",TRUE,IF(AND(2&gt;$MF40,2&lt;=$MS40),"2 → "&amp;$PA40&amp;", 6 PE",""),IF(AND(3&gt;$MF40,3&lt;=$MS40),"3 → "&amp;$PB40&amp;", 9 PE",""),IF(AND(4&gt;$MF40,4&lt;=$MS40),"4 → "&amp;$PC40&amp;", 12 PE",""),IF(AND(5&gt;$MF40,5&lt;=$MS40),"5 → "&amp;$PD40&amp;", 15 PE",""),IF(AND(6&gt;$MF40,6&lt;=$MS40),"6 → "&amp;$PE40&amp;", 18 PE",""),IF(AND(7&gt;$MF40,7&lt;=$MS40),"7 → "&amp;$PF40&amp;", 21 PE","")))))</f>
        <v/>
      </c>
      <c r="PZ40" s="152">
        <f>IF(OR($MQ40=0,$NB40=0),"",IF($MF40=0,"−1 dado","−"&amp;INDEX($I$2:$N$8,MAX(1,$MF40),MAX(1,$NG40))&amp;" · "&amp;CHOOSE(MAX(1,$NG40),"Leve","Média","Pesada","Leve · Livre","Média · Livre","Pesada · Livre")))</f>
        <v/>
      </c>
      <c r="QA40" s="152">
        <f>IF(OR($MQ40=0,$NC40=0),"",IF($MF40=0,"−1 dado","−"&amp;INDEX($I$2:$N$8,MAX(1,$MF40),MAX(1,$NH40))&amp;" · "&amp;CHOOSE(MAX(1,$NH40),"Leve","Média","Pesada","Leve · Livre","Média · Livre","Pesada · Livre")))</f>
        <v/>
      </c>
      <c r="QB40" s="152">
        <f>IF(OR($MQ40=0,$ND40=0),"",IF($MF40=0,"−1 dado","−"&amp;INDEX($I$2:$N$8,MAX(1,$MF40),MAX(1,$NI40))&amp;" · "&amp;CHOOSE(MAX(1,$NI40),"Leve","Média","Pesada","Leve · Livre","Média · Livre","Pesada · Livre")))</f>
        <v/>
      </c>
      <c r="QC40" s="152">
        <f>IF(OR($MQ40=0,$NE40=0),"",IF($MF40=0,"−1 dado","−"&amp;INDEX($I$2:$N$8,MAX(1,$MF40),MAX(1,$NJ40))&amp;" · "&amp;CHOOSE(MAX(1,$NJ40),"Leve","Média","Pesada","Leve · Livre","Média · Livre","Pesada · Livre")))</f>
        <v/>
      </c>
      <c r="QD40" s="152">
        <f>IF(OR($MQ40=0,$MO40=""),"",IF($MF40=0,"não devolve","+"&amp;IF($NV40=1,CEILING($MF40/2,1),$MF40)))</f>
        <v/>
      </c>
      <c r="QE40" s="152">
        <f>IF(OR($MQ40=0,$MP40=""),"",IF($MF40=0,"não devolve","+"&amp;IF($NW40=1,CEILING($MF40/2,1),$MF40)))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BA41" s="152" t="n">
        <v>0</v>
      </c>
      <c r="JG41" s="152">
        <f>IF(OR($AW41="",COUNTIF($EF$2:$EJ$2,$AW41)&gt;0),$AV41,"")</f>
        <v/>
      </c>
      <c r="JH41" s="152">
        <f>IF(AND($AX41=1,OR($AW41="",COUNTIF($EF$2:$EJ$2,$AW41)&gt;0)),$AV41,"")</f>
        <v/>
      </c>
      <c r="JM41" s="152">
        <f>IF(OR($AW41="",COUNTIF($EF$3:$EJ$3,$AW41)&gt;0),$AV41,"")</f>
        <v/>
      </c>
      <c r="JN41" s="152">
        <f>IF(AND($AX41=1,OR($AW41="",COUNTIF($EF$3:$EJ$3,$AW41)&gt;0)),$AV41,"")</f>
        <v/>
      </c>
      <c r="JS41" s="152">
        <f>IF(OR($AW41="",COUNTIF($EF$4:$EJ$4,$AW41)&gt;0),$AV41,"")</f>
        <v/>
      </c>
      <c r="JT41" s="152">
        <f>IF(AND($AX41=1,OR($AW41="",COUNTIF($EF$4:$EJ$4,$AW41)&gt;0)),$AV41,"")</f>
        <v/>
      </c>
      <c r="JY41" s="152">
        <f>IF(OR($AW41="",COUNTIF($EF$5:$EJ$5,$AW41)&gt;0),$AV41,"")</f>
        <v/>
      </c>
      <c r="JZ41" s="152">
        <f>IF(AND($AX41=1,OR($AW41="",COUNTIF($EF$5:$EJ$5,$AW41)&gt;0)),$AV41,"")</f>
        <v/>
      </c>
      <c r="KE41" s="152">
        <f>IF(OR($AW41="",COUNTIF($EF$6:$EJ$6,$AW41)&gt;0),$AV41,"")</f>
        <v/>
      </c>
      <c r="KF41" s="152">
        <f>IF(AND($AX41=1,OR($AW41="",COUNTIF($EF$6:$EJ$6,$AW41)&gt;0)),$AV41,"")</f>
        <v/>
      </c>
      <c r="KK41" s="152">
        <f>IF(OR($AW41="",COUNTIF($EF$7:$EJ$7,$AW41)&gt;0),$AV41,"")</f>
        <v/>
      </c>
      <c r="KL41" s="152">
        <f>IF(AND($AX41=1,OR($AW41="",COUNTIF($EF$7:$EJ$7,$AW41)&gt;0)),$AV41,"")</f>
        <v/>
      </c>
      <c r="KQ41" s="152">
        <f>IF(OR($AW41="",COUNTIF($EF$8:$EJ$8,$AW41)&gt;0),$AV41,"")</f>
        <v/>
      </c>
      <c r="KR41" s="152">
        <f>IF(AND($AX41=1,OR($AW41="",COUNTIF($EF$8:$EJ$8,$AW41)&gt;0)),$AV41,"")</f>
        <v/>
      </c>
      <c r="KW41" s="152">
        <f>IF(OR($AW41="",COUNTIF($EF$9:$EJ$9,$AW41)&gt;0),$AV41,"")</f>
        <v/>
      </c>
      <c r="KX41" s="152">
        <f>IF(AND($AX41=1,OR($AW41="",COUNTIF($EF$9:$EJ$9,$AW41)&gt;0)),$AV41,"")</f>
        <v/>
      </c>
      <c r="LC41" s="152">
        <f>IF(OR($AW41="",COUNTIF($EF$10:$EJ$10,$AW41)&gt;0),$AV41,"")</f>
        <v/>
      </c>
      <c r="LD41" s="152">
        <f>IF(AND($AX41=1,OR($AW41="",COUNTIF($EF$10:$EJ$10,$AW41)&gt;0)),$AV41,"")</f>
        <v/>
      </c>
      <c r="LI41" s="152">
        <f>IF(OR($AW41="",COUNTIF($EF$11:$EJ$11,$AW41)&gt;0),$AV41,"")</f>
        <v/>
      </c>
      <c r="LJ41" s="152">
        <f>IF(AND($AX41=1,OR($AW41="",COUNTIF($EF$11:$EJ$11,$AW41)&gt;0)),$AV41,"")</f>
        <v/>
      </c>
      <c r="LO41" s="152">
        <f>IF(OR($AW41="",COUNTIF($EF$12:$EJ$12,$AW41)&gt;0),$AV41,"")</f>
        <v/>
      </c>
      <c r="LP41" s="152">
        <f>IF(AND($AX41=1,OR($AW41="",COUNTIF($EF$12:$EJ$12,$AW41)&gt;0)),$AV41,"")</f>
        <v/>
      </c>
      <c r="LU41" s="152">
        <f>IF(OR($AW41="",COUNTIF($EF$13:$EJ$13,$AW41)&gt;0),$AV41,"")</f>
        <v/>
      </c>
      <c r="LV41" s="152">
        <f>IF(AND($AX41=1,OR($AW41="",COUNTIF($EF$13:$EJ$13,$AW41)&gt;0)),$AV41,"")</f>
        <v/>
      </c>
      <c r="MA41" s="150" t="inlineStr">
        <is>
          <t>Ficha 4 · Básica 1</t>
        </is>
      </c>
      <c r="MB41" s="152" t="n">
        <v>4</v>
      </c>
      <c r="MC41" s="152" t="n">
        <v>0</v>
      </c>
      <c r="MD41" s="152" t="n">
        <v>1</v>
      </c>
      <c r="ME41" s="150" t="inlineStr">
        <is>
          <t>BÁSICA 1</t>
        </is>
      </c>
      <c r="MF41" s="152" t="n">
        <v>0</v>
      </c>
      <c r="MG41" s="152">
        <f>'INVOCAÇÕES'!$J$652&amp;""</f>
        <v/>
      </c>
      <c r="MH41" s="152">
        <f>'INVOCAÇÕES'!$I$657&amp;""</f>
        <v/>
      </c>
      <c r="MI41" s="152">
        <f>'INVOCAÇÕES'!$I$658&amp;""</f>
        <v/>
      </c>
      <c r="MJ41" s="152">
        <f>'INVOCAÇÕES'!$K$658&amp;""</f>
        <v/>
      </c>
      <c r="MK41" s="152">
        <f>'INVOCAÇÕES'!$J$661&amp;""</f>
        <v/>
      </c>
      <c r="ML41" s="152">
        <f>'INVOCAÇÕES'!$J$662&amp;""</f>
        <v/>
      </c>
      <c r="MM41" s="152">
        <f>'INVOCAÇÕES'!$J$663&amp;""</f>
        <v/>
      </c>
      <c r="MN41" s="152">
        <f>'INVOCAÇÕES'!$J$664&amp;""</f>
        <v/>
      </c>
      <c r="MO41" s="152">
        <f>'INVOCAÇÕES'!$J$665&amp;""</f>
        <v/>
      </c>
      <c r="MP41" s="152">
        <f>'INVOCAÇÕES'!$J$666&amp;""</f>
        <v/>
      </c>
      <c r="MQ41" s="152">
        <f>IF($MG41&lt;&gt;"",1,0)</f>
        <v/>
      </c>
      <c r="MR41" s="152">
        <f>INDEX($FI$2:$FI$13,$MB41)</f>
        <v/>
      </c>
      <c r="MS41" s="152">
        <f>INDEX($FJ$2:$FJ$13,$MB41)</f>
        <v/>
      </c>
      <c r="MT41" s="152">
        <f>INDEX($FK$2:$FK$13,$MB41)</f>
        <v/>
      </c>
      <c r="MU41" s="152">
        <f>INDEX($FV$2:$FV$13,$MB41)</f>
        <v/>
      </c>
      <c r="MV41" s="152">
        <f>INDEX($FW$2:$FW$13,$MB41)</f>
        <v/>
      </c>
      <c r="MW41" s="152">
        <f>IFERROR(MATCH($MH41,$V$2:$V$11,0),0)</f>
        <v/>
      </c>
      <c r="MX41" s="152">
        <f>IFERROR(VLOOKUP($MK41,$AV$2:$BA$84,2,FALSE),"")</f>
        <v/>
      </c>
      <c r="MY41" s="152">
        <f>IFERROR(VLOOKUP($ML41,$AV$2:$BA$84,2,FALSE),"")</f>
        <v/>
      </c>
      <c r="MZ41" s="152">
        <f>IFERROR(VLOOKUP($MM41,$AV$2:$BA$84,2,FALSE),"")</f>
        <v/>
      </c>
      <c r="NA41" s="152">
        <f>IFERROR(VLOOKUP($MN41,$AV$2:$BA$84,2,FALSE),"")</f>
        <v/>
      </c>
      <c r="NB41" s="152">
        <f>IFERROR(VLOOKUP($MK41,$AV$2:$BA$84,3,FALSE),0)</f>
        <v/>
      </c>
      <c r="NC41" s="152">
        <f>IFERROR(VLOOKUP($ML41,$AV$2:$BA$84,3,FALSE),0)</f>
        <v/>
      </c>
      <c r="ND41" s="152">
        <f>IFERROR(VLOOKUP($MM41,$AV$2:$BA$84,3,FALSE),0)</f>
        <v/>
      </c>
      <c r="NE41" s="152">
        <f>IFERROR(VLOOKUP($MN41,$AV$2:$BA$84,3,FALSE),0)</f>
        <v/>
      </c>
      <c r="NF41" s="152">
        <f>IF($MF41=0,0,IF($MW41=0,0,INDEX($X$2:$X$11,$MW41)))</f>
        <v/>
      </c>
      <c r="NG41" s="152">
        <f>IF(OR($NB41=0,$MF41=0),0,$NB41+3*IF(AND($MX41&lt;&gt;"",OR($MX41=INDEX($EF$2:$EF$13,$MB41),$MX41=INDEX($EG$2:$EG$13,$MB41))),1,0))</f>
        <v/>
      </c>
      <c r="NH41" s="152">
        <f>IF(OR($NC41=0,$MF41=0),0,$NC41+3*IF(AND($MY41&lt;&gt;"",OR($MY41=INDEX($EF$2:$EF$13,$MB41),$MY41=INDEX($EG$2:$EG$13,$MB41))),1,0))</f>
        <v/>
      </c>
      <c r="NI41" s="152">
        <f>IF(OR($ND41=0,$MF41=0),0,$ND41+3*IF(AND($MZ41&lt;&gt;"",OR($MZ41=INDEX($EF$2:$EF$13,$MB41),$MZ41=INDEX($EG$2:$EG$13,$MB41))),1,0))</f>
        <v/>
      </c>
      <c r="NJ41" s="152">
        <f>IF(OR($NE41=0,$MF41=0),0,$NE41+3*IF(AND($NA41&lt;&gt;"",OR($NA41=INDEX($EF$2:$EF$13,$MB41),$NA41=INDEX($EG$2:$EG$13,$MB41))),1,0))</f>
        <v/>
      </c>
      <c r="NK41" s="152">
        <f>IF($MW41=0,0,IF(INDEX($W$2:$W$11,$MW41)="",0,IF(COUNTIF(INDEX($EF$2:$EJ$13,$MB41,0),INDEX($W$2:$W$11,$MW41))=0,1,0)))</f>
        <v/>
      </c>
      <c r="NL41" s="152">
        <f>IF(OR($NB41=0,$MX41=""),0,IF(COUNTIF(INDEX($EF$2:$EJ$13,$MB41,0),$MX41)=0,1,0))</f>
        <v/>
      </c>
      <c r="NM41" s="152">
        <f>IF(OR($NC41=0,$MY41=""),0,IF(COUNTIF(INDEX($EF$2:$EJ$13,$MB41,0),$MY41)=0,1,0))</f>
        <v/>
      </c>
      <c r="NN41" s="152">
        <f>IF(OR($ND41=0,$MZ41=""),0,IF(COUNTIF(INDEX($EF$2:$EJ$13,$MB41,0),$MZ41)=0,1,0))</f>
        <v/>
      </c>
      <c r="NO41" s="152">
        <f>IF(OR($NE41=0,$NA41=""),0,IF(COUNTIF(INDEX($EF$2:$EJ$13,$MB41,0),$NA41)=0,1,0))</f>
        <v/>
      </c>
      <c r="NP41" s="152">
        <f>IFERROR(VLOOKUP($MK41,$AV$2:$BA$84,4,FALSE),0)+IFERROR(VLOOKUP($ML41,$AV$2:$BA$84,4,FALSE),0)+IFERROR(VLOOKUP($MM41,$AV$2:$BA$84,4,FALSE),0)+IFERROR(VLOOKUP($MN41,$AV$2:$BA$84,4,FALSE),0)</f>
        <v/>
      </c>
      <c r="NQ41" s="152">
        <f>IFERROR(VLOOKUP($MK41,$AV$2:$BA$84,6,FALSE),0)+IFERROR(VLOOKUP($ML41,$AV$2:$BA$84,6,FALSE),0)+IFERROR(VLOOKUP($MM41,$AV$2:$BA$84,6,FALSE),0)+IFERROR(VLOOKUP($MN41,$AV$2:$BA$84,6,FALSE),0)</f>
        <v/>
      </c>
      <c r="NR41" s="152">
        <f>TEXTJOIN(", ",TRUE,IF(IFERROR(VLOOKUP($MK41,$AV$2:$BA$84,5,FALSE),0)=1,$MK41,""),IF(IFERROR(VLOOKUP($ML41,$AV$2:$BA$84,5,FALSE),0)=1,$ML41,""),IF(IFERROR(VLOOKUP($MM41,$AV$2:$BA$84,5,FALSE),0)=1,$MM41,""),IF(IFERROR(VLOOKUP($MN41,$AV$2:$BA$84,5,FALSE),0)=1,$MN41,""))</f>
        <v/>
      </c>
      <c r="NS41" s="152">
        <f>IF($MW41=0,0,INDEX($Y$2:$Y$11,$MW41))</f>
        <v/>
      </c>
      <c r="NT41" s="152">
        <f>IF($MW41=0,0,INDEX($Z$2:$Z$11,$MW41))</f>
        <v/>
      </c>
      <c r="NU41" s="152">
        <f>IF($MW41=0,0,INDEX($AB$2:$AB$11,$MW41))</f>
        <v/>
      </c>
      <c r="NV41" s="152">
        <f>IFERROR(VLOOKUP($MO41,$BC$2:$BG$24,3,FALSE),0)</f>
        <v/>
      </c>
      <c r="NW41" s="152">
        <f>IFERROR(VLOOKUP($MP41,$BC$2:$BG$24,3,FALSE),0)</f>
        <v/>
      </c>
      <c r="NX41" s="152">
        <f>IFERROR(VLOOKUP($MO41,$BC$2:$BG$24,2,FALSE),"")</f>
        <v/>
      </c>
      <c r="NY41" s="152">
        <f>IFERROR(VLOOKUP($MP41,$BC$2:$BG$24,2,FALSE),"")</f>
        <v/>
      </c>
      <c r="NZ41" s="152">
        <f>COUNTIF($NF41:$NJ41,1)</f>
        <v/>
      </c>
      <c r="OA41" s="152">
        <f>COUNTIF($NF41:$NJ41,2)</f>
        <v/>
      </c>
      <c r="OB41" s="152">
        <f>COUNTIF($NF41:$NJ41,3)</f>
        <v/>
      </c>
      <c r="OC41" s="152">
        <f>COUNTIF($NF41:$NJ41,4)</f>
        <v/>
      </c>
      <c r="OD41" s="152">
        <f>COUNTIF($NF41:$NJ41,5)</f>
        <v/>
      </c>
      <c r="OE41" s="152">
        <f>COUNTIF($NF41:$NJ41,6)</f>
        <v/>
      </c>
      <c r="OF41" s="152">
        <f>COUNTIF($NV41:$NW41,1)</f>
        <v/>
      </c>
      <c r="OG41" s="152">
        <f>COUNTIF($NV41:$NW41,2)+$NS41</f>
        <v/>
      </c>
      <c r="OH41" s="152">
        <f>COUNTIF($MK41:$MN41,"?*")</f>
        <v/>
      </c>
      <c r="OI41" s="152">
        <f>COUNTIF($MO41:$MP41,"?*")+$NS41</f>
        <v/>
      </c>
      <c r="OJ41" s="152">
        <f>IF($MF41=0,0,SUMPRODUCT($NZ41:$OE41,INDEX($I$2:$N$8,MAX(1,$MF41),0)))</f>
        <v/>
      </c>
      <c r="OK41" s="152">
        <f>IF($MF41=0,0,$OF41*CEILING($MF41/2,1)+$OG41*$MF41)</f>
        <v/>
      </c>
      <c r="OL41" s="152">
        <f>MIN(2*$MF41,$OK41)</f>
        <v/>
      </c>
      <c r="OM41" s="152">
        <f>MIN($OL41,$OJ41)</f>
        <v/>
      </c>
      <c r="ON41" s="152">
        <f>$OL41-$OM41</f>
        <v/>
      </c>
      <c r="OO41" s="152">
        <f>IF($MF41=0,0,INDEX($P$2:$P$8,MAX(1,$MF41)))</f>
        <v/>
      </c>
      <c r="OP41" s="152">
        <f>$OO41-$OJ41+$OM41</f>
        <v/>
      </c>
      <c r="OQ41" s="152">
        <f>IF($MF41=0,MAX(0,$MT41-IF($OH41&gt;0,1,0)),MAX(0,$OP41))</f>
        <v/>
      </c>
      <c r="OR41" s="152">
        <f>IF($MF41=0,0,(IF(COUNTIF($MK41:$MN41,"Salto")&gt;0,1,0)+IF(COUNTIF($MK41:$MN41,"Queima")&gt;0,1,0)+IF(COUNTIF($MK41:$MN41,"Estilhaço")&gt;0,1,0))*FLOOR($OQ41/2,1))</f>
        <v/>
      </c>
      <c r="OS41" s="152">
        <f>MAX(0,2-SUMPRODUCT($NZ41:$OE41,$I$2:$N$2)+MIN(2,$OF41*1+$OG41*1,SUMPRODUCT($NZ41:$OE41,$I$2:$N$2)))</f>
        <v/>
      </c>
      <c r="OT41" s="152">
        <f>MAX(0,4-SUMPRODUCT($NZ41:$OE41,$I$3:$N$3)+MIN(4,$OF41*1+$OG41*2,SUMPRODUCT($NZ41:$OE41,$I$3:$N$3)))</f>
        <v/>
      </c>
      <c r="OU41" s="152">
        <f>MAX(0,6-SUMPRODUCT($NZ41:$OE41,$I$4:$N$4)+MIN(6,$OF41*2+$OG41*3,SUMPRODUCT($NZ41:$OE41,$I$4:$N$4)))</f>
        <v/>
      </c>
      <c r="OV41" s="152">
        <f>MAX(0,9-SUMPRODUCT($NZ41:$OE41,$I$5:$N$5)+MIN(8,$OF41*2+$OG41*4,SUMPRODUCT($NZ41:$OE41,$I$5:$N$5)))</f>
        <v/>
      </c>
      <c r="OW41" s="152">
        <f>MAX(0,11-SUMPRODUCT($NZ41:$OE41,$I$6:$N$6)+MIN(10,$OF41*3+$OG41*5,SUMPRODUCT($NZ41:$OE41,$I$6:$N$6)))</f>
        <v/>
      </c>
      <c r="OX41" s="152">
        <f>MAX(0,13-SUMPRODUCT($NZ41:$OE41,$I$7:$N$7)+MIN(12,$OF41*3+$OG41*6,SUMPRODUCT($NZ41:$OE41,$I$7:$N$7)))</f>
        <v/>
      </c>
      <c r="OY41" s="152">
        <f>MAX(0,16-SUMPRODUCT($NZ41:$OE41,$I$8:$N$8)+MIN(14,$OF41*4+$OG41*7,SUMPRODUCT($NZ41:$OE41,$I$8:$N$8)))</f>
        <v/>
      </c>
      <c r="OZ41" s="152">
        <f>IF($NT41=2,3*$OS41&amp;" de vida temp.",IF($NT41=3,"sem dano",IF($OS41=0,IF($NT41=1,"sem cura","sem dano"),IF($NT41=1,"cura ","")&amp;$OS41&amp;"d8")))</f>
        <v/>
      </c>
      <c r="PA41" s="152">
        <f>IF($NT41=2,3*$OT41&amp;" de vida temp.",IF($NT41=3,"sem dano",IF($OT41=0,IF($NT41=1,"sem cura","sem dano"),IF($NT41=1,"cura ","")&amp;$OT41&amp;"d8")))</f>
        <v/>
      </c>
      <c r="PB41" s="152">
        <f>IF($NT41=2,3*$OU41&amp;" de vida temp.",IF($NT41=3,"sem dano",IF($OU41=0,IF($NT41=1,"sem cura","sem dano"),IF($NT41=1,"cura ","")&amp;$OU41&amp;"d8")))</f>
        <v/>
      </c>
      <c r="PC41" s="152">
        <f>IF($NT41=2,3*$OV41&amp;" de vida temp.",IF($NT41=3,"sem dano",IF($OV41=0,IF($NT41=1,"sem cura","sem dano"),IF($NT41=1,"cura ","")&amp;$OV41&amp;"d8")))</f>
        <v/>
      </c>
      <c r="PD41" s="152">
        <f>IF($NT41=2,3*$OW41&amp;" de vida temp.",IF($NT41=3,"sem dano",IF($OW41=0,IF($NT41=1,"sem cura","sem dano"),IF($NT41=1,"cura ","")&amp;$OW41&amp;"d8")))</f>
        <v/>
      </c>
      <c r="PE41" s="152">
        <f>IF($NT41=2,3*$OX41&amp;" de vida temp.",IF($NT41=3,"sem dano",IF($OX41=0,IF($NT41=1,"sem cura","sem dano"),IF($NT41=1,"cura ","")&amp;$OX41&amp;"d8")))</f>
        <v/>
      </c>
      <c r="PF41" s="152">
        <f>IF($NT41=2,3*$OY41&amp;" de vida temp.",IF($NT41=3,"sem dano",IF($OY41=0,IF($NT41=1,"sem cura","sem dano"),IF($NT41=1,"cura ","")&amp;$OY41&amp;"d8")))</f>
        <v/>
      </c>
      <c r="PG41" s="152">
        <f>IF($MQ41=0,"",TEXTJOIN(" · ",TRUE,IF($MD41&gt;$MR41,"Este lugar abre no nível "&amp;$MD41,""),IF($MF41&gt;$MS41,"Classe "&amp;$MF41&amp;": o nível "&amp;$MR41&amp;" libera até a "&amp;$MS41,""),IF($NK41=1,"A Forma "&amp;$MH41&amp;" pede "&amp;INDEX($W$2:$W$11,$MW41)&amp;" aberta",""),IF(AND($MF41=0,$MW41&gt;0,IF($MW41=0,0,INDEX($AF$2:$AF$11,$MW41))=0),$MH41&amp;" não existe na Classe 0",""),IF($NL41=1,"Família Fechada: "&amp;$MK41,""),IF($NM41=1,"Família Fechada: "&amp;$ML41,""),IF($NN41=1,"Família Fechada: "&amp;$MM41,""),IF($NO41=1,"Família Fechada: "&amp;$MN41,""),IF(AND($MF41&gt;0,$OH41&gt;INDEX($O$2:$O$8,MAX(1,$MF41))),$OH41&amp;" Melhorias: a Classe "&amp;$MF41&amp;" aceita "&amp;INDEX($O$2:$O$8,MAX(1,$MF41)),""),IF(AND($MF41=0,$OH41&gt;1),"A básica aceita uma Melhoria",""),IF(AND($MF41=0,COUNTIF($NB41:$NE41,"&gt;1")&gt;0),"A básica só aceita Melhoria Leve",""),IF(AND($MF41&gt;0,$OI41&gt;2),$OI41&amp;" Restrições"&amp;IF($NS41=1,", contando a que a Forma "&amp;$MH41&amp;" já traz","")&amp;": o limite é 2",""),IF(AND($MF41=0,COUNTIF($MO41:$MP41,"?*")&gt;1),"A básica aceita uma Restrição Leve",""),IF(AND($MF41=0,COUNTIF($NV41:$NW41,2)&gt;0),"A básica só aceita Restrição Leve",""),IF(AND($MF41&gt;0,$OP41&lt;0),"Orçamento estourado: faltam "&amp;(-$OP41)&amp;IF($OP41&lt;-1," pontos"," ponto"),""),IF(IFERROR(VLOOKUP($MO41,$BC$2:$BG$24,4,FALSE),0)+IFERROR(VLOOKUP($MP41,$BC$2:$BG$24,4,FALSE),0)&gt;1,$NX41&amp;" e "&amp;$NY41&amp;" são as duas de frequência",""),IF(AND((COUNTIF($MK41:$MN41,"Rápido")+COUNTIF($NX41:$NY41,"Rápido"))&gt;0,(COUNTIF($MK41:$MN41,"Atrasar")+COUNTIF($NX41:$NY41,"Atrasar"))&gt;0),"Rápido não entra com Atrasar",""),IF(AND((COUNTIF($MK41:$MN41,"Reação")+COUNTIF($NX41:$NY41,"Reação"))&gt;0,(COUNTIF($MK41:$MN41,"Rápido")+COUNTIF($NX41:$NY41,"Rápido"))&gt;0),"Reação não entra com Rápido",""),IF(AND((COUNTIF($MK41:$MN41,"Reação")+COUNTIF($NX41:$NY41,"Reação"))&gt;0,(COUNTIF($MK41:$MN41,"Armado")+COUNTIF($NX41:$NY41,"Armado"))&gt;0),"Reação não entra com Armado",""),IF(AND((COUNTIF($MK41:$MN41,"Reação")+COUNTIF($NX41:$NY41,"Reação"))&gt;0,(COUNTIF($MK41:$MN41,"Atrasar")+COUNTIF($NX41:$NY41,"Atrasar"))&gt;0),"Reação não entra com Atrasar",""),IF(AND((COUNTIF($MK41:$MN41,"Reação")+COUNTIF($NX41:$NY41,"Reação"))&gt;0,(COUNTIF($MK41:$MN41,"Parado")+COUNTIF($NX41:$NY41,"Parado"))&gt;0),"Reação não entra com Parado",""),IF(AND((COUNTIF($MK41:$MN41,"Atrasar")+COUNTIF($NX41:$NY41,"Atrasar"))&gt;0,(COUNTIF($MK41:$MN41,"Parado")+COUNTIF($NX41:$NY41,"Parado"))&gt;0),"Atrasar não entra com Parado",""),IF(AND((COUNTIF($MK41:$MN41,"Armado")+COUNTIF($NX41:$NY41,"Armado"))&gt;0,(COUNTIF($MK41:$MN41,"Carregar")+COUNTIF($NX41:$NY41,"Carregar"))&gt;0),"Armado não entra com Carregar",""),IF(AND(COUNTIF($NX41:$NY41,"Corpo a Corpo")&gt;0,$NS41=0,OR($MH41="Cone",$MH41="Linha")),"Corpo a Corpo não entra em "&amp;$MH41,""),IF(AND(COUNTIF($NX41:$NY41,"Corpo a Corpo")&gt;0,$NS41=1),"A Forma "&amp;$MH41&amp;" já traz o Corpo a Corpo",""),IF(AND(COUNTIF($NX41:$NY41,"Tudo ou Nada")&gt;0,$NU41=0),"Tudo ou Nada só entra em habilidade de Teste de Resistência",""),IF(AND(COUNTIF($MK41:$MN41,"Inescapável")&gt;0,OR($OH41&gt;1,$OI41&gt;0)),"Inescapável não aceita outra peça",""),IF(AND($MF41&gt;0,$OQ41*IF(COUNTIF($MK41:$MN41,"Remate")&gt;0,1.25,1)+$OR41&gt;4*$MF41),($OQ41*IF(COUNTIF($MK41:$MN41,"Remate")&gt;0,1.25,1)+$OR41)&amp;" dados somando repetições"&amp;IF(COUNTIF($MK41:$MN41,"Remate")&gt;0," e o Remate","")&amp;": o teto da Classe "&amp;$MF41&amp;" é "&amp;4*$MF41,"")))</f>
        <v/>
      </c>
      <c r="PH41" s="152">
        <f>IF($PG41="",0,(LEN($PG41)-LEN(SUBSTITUTE($PG41," · ","")))/3+1)</f>
        <v/>
      </c>
      <c r="PI41" s="152">
        <f>IF($MQ41=0,"",TEXTJOIN(" · ",TRUE,IF($OK41&gt;2*$MF41,"A devolução parou no teto de "&amp;2*$MF41,""),IF($ON41&gt;0,"Devolução perdida: "&amp;$ON41&amp;IF($ON41&gt;1," pontos"," ponto")&amp;" sem peça para pagar",""),IF(AND($NP41&gt;0,AND($MF41&gt;0,$NT41=0),$OQ41=0),"Controle sem dano: uma rodada a mais e CD +2",""),IF(AND($NP41&gt;0,AND($MF41&gt;0,$NT41=0),$OQ41&gt;0,$OQ41&lt;=$MF41),"Controle com saldo até a Classe: uma rodada a mais",""),IF(AND($MF41&gt;0,$NR41&lt;&gt;""),"Efeito de "&amp;$NR41&amp;" pela Classe "&amp;MAX(1,$MF41-1),"")))</f>
        <v/>
      </c>
      <c r="PJ41" s="152">
        <f>IF($PI41="",0,(LEN($PI41)-LEN(SUBSTITUTE($PI41," · ","")))/3+1)</f>
        <v/>
      </c>
      <c r="PK41" s="152">
        <f>IF($MQ41=0,IF($OH41+COUNTIF($MO41:$MP41,"?*")&gt;0,"Dê um nome",""),IF($PH41&gt;0,"⚠ "&amp;$PH41&amp;IF($PH41&gt;1," erros"," erro"),IF($PJ41&gt;0,"! "&amp;$PJ41&amp;IF($PJ41&gt;1," avisos"," aviso"),"Na regra")))</f>
        <v/>
      </c>
      <c r="PL41" s="152">
        <f>IF($MQ41=0,"",IF($PH41+$PJ41=0,"Dentro das regras que a ficha confere",$PG41&amp;IF(AND($PH41&gt;0,$PJ41&gt;0)," · ","")&amp;$PI41))</f>
        <v/>
      </c>
      <c r="PM41" s="152">
        <f>IF($MD41&gt;$MR41,$ME41&amp;" · ABRE NO NÍVEL "&amp;$MD41,$ME41)</f>
        <v/>
      </c>
      <c r="PN41" s="152">
        <f>IF($MQ41=0,"",IF($MF41=0,"Sem PE",3*$MF41&amp;" PE"))</f>
        <v/>
      </c>
      <c r="PO41" s="152">
        <f>IF($MQ41=0,"",IF($MF41=0,"A atuação básica dela",IF(COUNTIF($NX41:$NY41,"Atrasar")&gt;0,"Sua Ação Completa",IF(COUNTIF($MK41:$MN41,"Rápido")&gt;0,"Sua Bônus",IF(COUNTIF($MK41:$MN41,"Reação")&gt;0,"Sua Reação","Sua Padrão")))&amp;" + a básica dela"&amp;IF(COUNTIF($MK41:$MN41,"Reação")&gt;0," e a coletiva","")&amp;IF(COUNTIF($NX41:$NY41,"Carregar")&gt;0," · em dois turnos","")))</f>
        <v/>
      </c>
      <c r="PP41" s="152">
        <f>IF($MJ41&lt;&gt;"",$MJ41,IF($MW41=0,"",INDEX($AA$2:$AA$11,$MW41)))</f>
        <v/>
      </c>
      <c r="PQ41" s="152">
        <f>IF(OR($MQ41=0,$MW41=0),"",IF(COUNTIF($MK41:$MN41,"Inescapável")&gt;0,"Automático",IF($PP41="Ataque",IF($MU41="","Ataque","Ataque "&amp;IF(($MU41+2*IF(COUNTIF($MK41:$MN41,"Precisão")&gt;0,1,0))&gt;=0,"+","−")&amp;ABS(($MU41+2*IF(COUNTIF($MK41:$MN41,"Precisão")&gt;0,1,0))))&amp;IF($NQ41&gt;0," · TR"&amp;IF($MV41="",""," CD "&amp;$MV41),""),IF(LEFT($PP41,2)="TR",$PP41&amp;IF($MV41="",""," · CD "&amp;$MV41)&amp;IF(COUNTIF($MK41:$MN41,"Certeiro")&gt;0," · metade",""),"Sem rolagem"))))</f>
        <v/>
      </c>
      <c r="PR41" s="152">
        <f>IF(OR($MQ41=0,$MW41=0),"",IF($MF41=0,IF(OR($NT41&gt;=1,$OQ41=0),"Sem dano",$OQ41&amp;"d6"&amp;IF($MI41="",""," "&amp;$MI41)),IF(OR($NT41&gt;=1,$OQ41=0),UPPER(LEFT(INDEX($OZ41:$PF41,1,MAX(1,$MF41)),1))&amp;MID(INDEX($OZ41:$PF41,1,MAX(1,$MF41)),2,99),UPPER(LEFT(INDEX($OZ41:$PF41,1,MAX(1,$MF41)),1))&amp;MID(INDEX($OZ41:$PF41,1,MAX(1,$MF41)),2,99)&amp;IF($MI41="",""," "&amp;$MI41)&amp;IF($OR41&gt;0," · +"&amp;$OR41&amp;"d8",""))))</f>
        <v/>
      </c>
      <c r="PS41" s="152">
        <f>COUNTIF($MK41:$MN41,"Longe")+3*COUNTIF($MK41:$MN41,"Muito Longe")</f>
        <v/>
      </c>
      <c r="PT41" s="152">
        <f>COUNTIF($MK41:$MN41,"Maior")+3*COUNTIF($MK41:$MN41,"Muito Maior")</f>
        <v/>
      </c>
      <c r="PU41" s="152">
        <f>IF($MW41=0,0,CHOOSE(1+INDEX($AC$2:$AC$11,$MW41),0,$PS41,$PT41,$PS41+$PT41))</f>
        <v/>
      </c>
      <c r="PV41" s="152">
        <f>IF($MW41=0,0,CHOOSE(1+INDEX($AD$2:$AD$11,$MW41),0,$PS41,$PT41,$PS41+$PT41))</f>
        <v/>
      </c>
      <c r="PW41" s="152">
        <f>IF(OR($MQ41=0,$MW41=0),"",INDEX($AI$2:$AN$41,($MW41-1)*4+IF($MF41=0,1,IF($MF41&lt;=5,2,IF($MF41=6,3,4))),1+MIN(5,$PU41))&amp;INDEX($AO$2:$AT$41,($MW41-1)*4+IF($MF41=0,1,IF($MF41&lt;=5,2,IF($MF41=6,3,4))),1+MIN(5,$PV41))&amp;IF(INDEX($AE$2:$AE$11,$MW41)=1,IF(COUNTIF($MK41:$MN41,"Mais Um")&gt;0," · +"&amp;COUNTIF($MK41:$MN41,"Mais Um")&amp;IF(COUNTIF($MK41:$MN41,"Mais Um")&gt;1," alvos"," alvo"),"")&amp;IF(COUNTIF($MK41:$MN41,"Rajada")&gt;0,IF($MF41=0," · 1 tiro"," · "&amp;(MAX(1,$MF41-1)+1)&amp;" tiros"),""),""))</f>
        <v/>
      </c>
      <c r="PX41" s="152">
        <f>IF($MQ41=0,"",IF($MF41=0,$MT41&amp;"d6"&amp;IF($OH41&gt;0," − 1 = "&amp;$OQ41&amp;"d6"," da básica do nível "&amp;$MR41),$OO41&amp;" − "&amp;$OJ41&amp;" + "&amp;$OM41&amp;" = "&amp;$OP41&amp;" · teto "&amp;4*$MF41&amp;"d8"&amp;IF($NS41=1," · a Forma devolve "&amp;$MF41,"")&amp;IF($ON41&gt;0," · perde "&amp;$ON41,"")))</f>
        <v/>
      </c>
      <c r="PY41" s="152">
        <f>IF($MQ41=0,"",IF($MF41=0,"A básica não amplia: os dados dela sobem com o nível",IF($MF41&gt;=$MS41,"Já está na maior Classe que o nível liberou",TEXTJOIN(" · ",TRUE,IF(AND(2&gt;$MF41,2&lt;=$MS41),"2 → "&amp;$PA41&amp;", 6 PE",""),IF(AND(3&gt;$MF41,3&lt;=$MS41),"3 → "&amp;$PB41&amp;", 9 PE",""),IF(AND(4&gt;$MF41,4&lt;=$MS41),"4 → "&amp;$PC41&amp;", 12 PE",""),IF(AND(5&gt;$MF41,5&lt;=$MS41),"5 → "&amp;$PD41&amp;", 15 PE",""),IF(AND(6&gt;$MF41,6&lt;=$MS41),"6 → "&amp;$PE41&amp;", 18 PE",""),IF(AND(7&gt;$MF41,7&lt;=$MS41),"7 → "&amp;$PF41&amp;", 21 PE","")))))</f>
        <v/>
      </c>
      <c r="PZ41" s="152">
        <f>IF(OR($MQ41=0,$NB41=0),"",IF($MF41=0,"−1 dado","−"&amp;INDEX($I$2:$N$8,MAX(1,$MF41),MAX(1,$NG41))&amp;" · "&amp;CHOOSE(MAX(1,$NG41),"Leve","Média","Pesada","Leve · Livre","Média · Livre","Pesada · Livre")))</f>
        <v/>
      </c>
      <c r="QA41" s="152">
        <f>IF(OR($MQ41=0,$NC41=0),"",IF($MF41=0,"−1 dado","−"&amp;INDEX($I$2:$N$8,MAX(1,$MF41),MAX(1,$NH41))&amp;" · "&amp;CHOOSE(MAX(1,$NH41),"Leve","Média","Pesada","Leve · Livre","Média · Livre","Pesada · Livre")))</f>
        <v/>
      </c>
      <c r="QB41" s="152">
        <f>IF(OR($MQ41=0,$ND41=0),"",IF($MF41=0,"−1 dado","−"&amp;INDEX($I$2:$N$8,MAX(1,$MF41),MAX(1,$NI41))&amp;" · "&amp;CHOOSE(MAX(1,$NI41),"Leve","Média","Pesada","Leve · Livre","Média · Livre","Pesada · Livre")))</f>
        <v/>
      </c>
      <c r="QC41" s="152">
        <f>IF(OR($MQ41=0,$NE41=0),"",IF($MF41=0,"−1 dado","−"&amp;INDEX($I$2:$N$8,MAX(1,$MF41),MAX(1,$NJ41))&amp;" · "&amp;CHOOSE(MAX(1,$NJ41),"Leve","Média","Pesada","Leve · Livre","Média · Livre","Pesada · Livre")))</f>
        <v/>
      </c>
      <c r="QD41" s="152">
        <f>IF(OR($MQ41=0,$MO41=""),"",IF($MF41=0,"não devolve","+"&amp;IF($NV41=1,CEILING($MF41/2,1),$MF41)))</f>
        <v/>
      </c>
      <c r="QE41" s="152">
        <f>IF(OR($MQ41=0,$MP41=""),"",IF($MF41=0,"não devolve","+"&amp;IF($NW41=1,CEILING($MF41/2,1),$MF41)))</f>
        <v/>
      </c>
    </row>
    <row r="42">
      <c r="AV42" s="150" t="inlineStr">
        <is>
          <t>Prende</t>
        </is>
      </c>
      <c r="AW42" s="150" t="inlineStr">
        <is>
          <t>Controle</t>
        </is>
      </c>
      <c r="AX42" s="152" t="n">
        <v>2</v>
      </c>
      <c r="AY42" s="152" t="n">
        <v>1</v>
      </c>
      <c r="AZ42" s="152" t="n">
        <v>0</v>
      </c>
      <c r="BA42" s="152" t="n">
        <v>1</v>
      </c>
      <c r="JG42" s="152">
        <f>IF(OR($AW42="",COUNTIF($EF$2:$EJ$2,$AW42)&gt;0),$AV42,"")</f>
        <v/>
      </c>
      <c r="JH42" s="152">
        <f>IF(AND($AX42=1,OR($AW42="",COUNTIF($EF$2:$EJ$2,$AW42)&gt;0)),$AV42,"")</f>
        <v/>
      </c>
      <c r="JM42" s="152">
        <f>IF(OR($AW42="",COUNTIF($EF$3:$EJ$3,$AW42)&gt;0),$AV42,"")</f>
        <v/>
      </c>
      <c r="JN42" s="152">
        <f>IF(AND($AX42=1,OR($AW42="",COUNTIF($EF$3:$EJ$3,$AW42)&gt;0)),$AV42,"")</f>
        <v/>
      </c>
      <c r="JS42" s="152">
        <f>IF(OR($AW42="",COUNTIF($EF$4:$EJ$4,$AW42)&gt;0),$AV42,"")</f>
        <v/>
      </c>
      <c r="JT42" s="152">
        <f>IF(AND($AX42=1,OR($AW42="",COUNTIF($EF$4:$EJ$4,$AW42)&gt;0)),$AV42,"")</f>
        <v/>
      </c>
      <c r="JY42" s="152">
        <f>IF(OR($AW42="",COUNTIF($EF$5:$EJ$5,$AW42)&gt;0),$AV42,"")</f>
        <v/>
      </c>
      <c r="JZ42" s="152">
        <f>IF(AND($AX42=1,OR($AW42="",COUNTIF($EF$5:$EJ$5,$AW42)&gt;0)),$AV42,"")</f>
        <v/>
      </c>
      <c r="KE42" s="152">
        <f>IF(OR($AW42="",COUNTIF($EF$6:$EJ$6,$AW42)&gt;0),$AV42,"")</f>
        <v/>
      </c>
      <c r="KF42" s="152">
        <f>IF(AND($AX42=1,OR($AW42="",COUNTIF($EF$6:$EJ$6,$AW42)&gt;0)),$AV42,"")</f>
        <v/>
      </c>
      <c r="KK42" s="152">
        <f>IF(OR($AW42="",COUNTIF($EF$7:$EJ$7,$AW42)&gt;0),$AV42,"")</f>
        <v/>
      </c>
      <c r="KL42" s="152">
        <f>IF(AND($AX42=1,OR($AW42="",COUNTIF($EF$7:$EJ$7,$AW42)&gt;0)),$AV42,"")</f>
        <v/>
      </c>
      <c r="KQ42" s="152">
        <f>IF(OR($AW42="",COUNTIF($EF$8:$EJ$8,$AW42)&gt;0),$AV42,"")</f>
        <v/>
      </c>
      <c r="KR42" s="152">
        <f>IF(AND($AX42=1,OR($AW42="",COUNTIF($EF$8:$EJ$8,$AW42)&gt;0)),$AV42,"")</f>
        <v/>
      </c>
      <c r="KW42" s="152">
        <f>IF(OR($AW42="",COUNTIF($EF$9:$EJ$9,$AW42)&gt;0),$AV42,"")</f>
        <v/>
      </c>
      <c r="KX42" s="152">
        <f>IF(AND($AX42=1,OR($AW42="",COUNTIF($EF$9:$EJ$9,$AW42)&gt;0)),$AV42,"")</f>
        <v/>
      </c>
      <c r="LC42" s="152">
        <f>IF(OR($AW42="",COUNTIF($EF$10:$EJ$10,$AW42)&gt;0),$AV42,"")</f>
        <v/>
      </c>
      <c r="LD42" s="152">
        <f>IF(AND($AX42=1,OR($AW42="",COUNTIF($EF$10:$EJ$10,$AW42)&gt;0)),$AV42,"")</f>
        <v/>
      </c>
      <c r="LI42" s="152">
        <f>IF(OR($AW42="",COUNTIF($EF$11:$EJ$11,$AW42)&gt;0),$AV42,"")</f>
        <v/>
      </c>
      <c r="LJ42" s="152">
        <f>IF(AND($AX42=1,OR($AW42="",COUNTIF($EF$11:$EJ$11,$AW42)&gt;0)),$AV42,"")</f>
        <v/>
      </c>
      <c r="LO42" s="152">
        <f>IF(OR($AW42="",COUNTIF($EF$12:$EJ$12,$AW42)&gt;0),$AV42,"")</f>
        <v/>
      </c>
      <c r="LP42" s="152">
        <f>IF(AND($AX42=1,OR($AW42="",COUNTIF($EF$12:$EJ$12,$AW42)&gt;0)),$AV42,"")</f>
        <v/>
      </c>
      <c r="LU42" s="152">
        <f>IF(OR($AW42="",COUNTIF($EF$13:$EJ$13,$AW42)&gt;0),$AV42,"")</f>
        <v/>
      </c>
      <c r="LV42" s="152">
        <f>IF(AND($AX42=1,OR($AW42="",COUNTIF($EF$13:$EJ$13,$AW42)&gt;0)),$AV42,"")</f>
        <v/>
      </c>
      <c r="MA42" s="150" t="inlineStr">
        <is>
          <t>Ficha 4 · Especial 1</t>
        </is>
      </c>
      <c r="MB42" s="152" t="n">
        <v>4</v>
      </c>
      <c r="MC42" s="152" t="n">
        <v>1</v>
      </c>
      <c r="MD42" s="152" t="n">
        <v>1</v>
      </c>
      <c r="ME42" s="150" t="inlineStr">
        <is>
          <t>ESPECIAL 1</t>
        </is>
      </c>
      <c r="MF42" s="152">
        <f>MAX(1,MIN(7,N('INVOCAÇÕES'!$O$652)))</f>
        <v/>
      </c>
      <c r="MG42" s="152">
        <f>'INVOCAÇÕES'!$P$652&amp;""</f>
        <v/>
      </c>
      <c r="MH42" s="152">
        <f>'INVOCAÇÕES'!$O$657&amp;""</f>
        <v/>
      </c>
      <c r="MI42" s="152">
        <f>'INVOCAÇÕES'!$O$658&amp;""</f>
        <v/>
      </c>
      <c r="MJ42" s="152">
        <f>'INVOCAÇÕES'!$Q$658&amp;""</f>
        <v/>
      </c>
      <c r="MK42" s="152">
        <f>'INVOCAÇÕES'!$P$661&amp;""</f>
        <v/>
      </c>
      <c r="ML42" s="152">
        <f>'INVOCAÇÕES'!$P$662&amp;""</f>
        <v/>
      </c>
      <c r="MM42" s="152">
        <f>'INVOCAÇÕES'!$P$663&amp;""</f>
        <v/>
      </c>
      <c r="MN42" s="152">
        <f>'INVOCAÇÕES'!$P$664&amp;""</f>
        <v/>
      </c>
      <c r="MO42" s="152">
        <f>'INVOCAÇÕES'!$P$665&amp;""</f>
        <v/>
      </c>
      <c r="MP42" s="152">
        <f>'INVOCAÇÕES'!$P$666&amp;""</f>
        <v/>
      </c>
      <c r="MQ42" s="152">
        <f>IF($MG42&lt;&gt;"",1,0)</f>
        <v/>
      </c>
      <c r="MR42" s="152">
        <f>INDEX($FI$2:$FI$13,$MB42)</f>
        <v/>
      </c>
      <c r="MS42" s="152">
        <f>INDEX($FJ$2:$FJ$13,$MB42)</f>
        <v/>
      </c>
      <c r="MT42" s="152">
        <f>INDEX($FK$2:$FK$13,$MB42)</f>
        <v/>
      </c>
      <c r="MU42" s="152">
        <f>INDEX($FV$2:$FV$13,$MB42)</f>
        <v/>
      </c>
      <c r="MV42" s="152">
        <f>INDEX($FW$2:$FW$13,$MB42)</f>
        <v/>
      </c>
      <c r="MW42" s="152">
        <f>IFERROR(MATCH($MH42,$V$2:$V$11,0),0)</f>
        <v/>
      </c>
      <c r="MX42" s="152">
        <f>IFERROR(VLOOKUP($MK42,$AV$2:$BA$84,2,FALSE),"")</f>
        <v/>
      </c>
      <c r="MY42" s="152">
        <f>IFERROR(VLOOKUP($ML42,$AV$2:$BA$84,2,FALSE),"")</f>
        <v/>
      </c>
      <c r="MZ42" s="152">
        <f>IFERROR(VLOOKUP($MM42,$AV$2:$BA$84,2,FALSE),"")</f>
        <v/>
      </c>
      <c r="NA42" s="152">
        <f>IFERROR(VLOOKUP($MN42,$AV$2:$BA$84,2,FALSE),"")</f>
        <v/>
      </c>
      <c r="NB42" s="152">
        <f>IFERROR(VLOOKUP($MK42,$AV$2:$BA$84,3,FALSE),0)</f>
        <v/>
      </c>
      <c r="NC42" s="152">
        <f>IFERROR(VLOOKUP($ML42,$AV$2:$BA$84,3,FALSE),0)</f>
        <v/>
      </c>
      <c r="ND42" s="152">
        <f>IFERROR(VLOOKUP($MM42,$AV$2:$BA$84,3,FALSE),0)</f>
        <v/>
      </c>
      <c r="NE42" s="152">
        <f>IFERROR(VLOOKUP($MN42,$AV$2:$BA$84,3,FALSE),0)</f>
        <v/>
      </c>
      <c r="NF42" s="152">
        <f>IF($MF42=0,0,IF($MW42=0,0,INDEX($X$2:$X$11,$MW42)))</f>
        <v/>
      </c>
      <c r="NG42" s="152">
        <f>IF(OR($NB42=0,$MF42=0),0,$NB42+3*IF(AND($MX42&lt;&gt;"",OR($MX42=INDEX($EF$2:$EF$13,$MB42),$MX42=INDEX($EG$2:$EG$13,$MB42))),1,0))</f>
        <v/>
      </c>
      <c r="NH42" s="152">
        <f>IF(OR($NC42=0,$MF42=0),0,$NC42+3*IF(AND($MY42&lt;&gt;"",OR($MY42=INDEX($EF$2:$EF$13,$MB42),$MY42=INDEX($EG$2:$EG$13,$MB42))),1,0))</f>
        <v/>
      </c>
      <c r="NI42" s="152">
        <f>IF(OR($ND42=0,$MF42=0),0,$ND42+3*IF(AND($MZ42&lt;&gt;"",OR($MZ42=INDEX($EF$2:$EF$13,$MB42),$MZ42=INDEX($EG$2:$EG$13,$MB42))),1,0))</f>
        <v/>
      </c>
      <c r="NJ42" s="152">
        <f>IF(OR($NE42=0,$MF42=0),0,$NE42+3*IF(AND($NA42&lt;&gt;"",OR($NA42=INDEX($EF$2:$EF$13,$MB42),$NA42=INDEX($EG$2:$EG$13,$MB42))),1,0))</f>
        <v/>
      </c>
      <c r="NK42" s="152">
        <f>IF($MW42=0,0,IF(INDEX($W$2:$W$11,$MW42)="",0,IF(COUNTIF(INDEX($EF$2:$EJ$13,$MB42,0),INDEX($W$2:$W$11,$MW42))=0,1,0)))</f>
        <v/>
      </c>
      <c r="NL42" s="152">
        <f>IF(OR($NB42=0,$MX42=""),0,IF(COUNTIF(INDEX($EF$2:$EJ$13,$MB42,0),$MX42)=0,1,0))</f>
        <v/>
      </c>
      <c r="NM42" s="152">
        <f>IF(OR($NC42=0,$MY42=""),0,IF(COUNTIF(INDEX($EF$2:$EJ$13,$MB42,0),$MY42)=0,1,0))</f>
        <v/>
      </c>
      <c r="NN42" s="152">
        <f>IF(OR($ND42=0,$MZ42=""),0,IF(COUNTIF(INDEX($EF$2:$EJ$13,$MB42,0),$MZ42)=0,1,0))</f>
        <v/>
      </c>
      <c r="NO42" s="152">
        <f>IF(OR($NE42=0,$NA42=""),0,IF(COUNTIF(INDEX($EF$2:$EJ$13,$MB42,0),$NA42)=0,1,0))</f>
        <v/>
      </c>
      <c r="NP42" s="152">
        <f>IFERROR(VLOOKUP($MK42,$AV$2:$BA$84,4,FALSE),0)+IFERROR(VLOOKUP($ML42,$AV$2:$BA$84,4,FALSE),0)+IFERROR(VLOOKUP($MM42,$AV$2:$BA$84,4,FALSE),0)+IFERROR(VLOOKUP($MN42,$AV$2:$BA$84,4,FALSE),0)</f>
        <v/>
      </c>
      <c r="NQ42" s="152">
        <f>IFERROR(VLOOKUP($MK42,$AV$2:$BA$84,6,FALSE),0)+IFERROR(VLOOKUP($ML42,$AV$2:$BA$84,6,FALSE),0)+IFERROR(VLOOKUP($MM42,$AV$2:$BA$84,6,FALSE),0)+IFERROR(VLOOKUP($MN42,$AV$2:$BA$84,6,FALSE),0)</f>
        <v/>
      </c>
      <c r="NR42" s="152">
        <f>TEXTJOIN(", ",TRUE,IF(IFERROR(VLOOKUP($MK42,$AV$2:$BA$84,5,FALSE),0)=1,$MK42,""),IF(IFERROR(VLOOKUP($ML42,$AV$2:$BA$84,5,FALSE),0)=1,$ML42,""),IF(IFERROR(VLOOKUP($MM42,$AV$2:$BA$84,5,FALSE),0)=1,$MM42,""),IF(IFERROR(VLOOKUP($MN42,$AV$2:$BA$84,5,FALSE),0)=1,$MN42,""))</f>
        <v/>
      </c>
      <c r="NS42" s="152">
        <f>IF($MW42=0,0,INDEX($Y$2:$Y$11,$MW42))</f>
        <v/>
      </c>
      <c r="NT42" s="152">
        <f>IF($MW42=0,0,INDEX($Z$2:$Z$11,$MW42))</f>
        <v/>
      </c>
      <c r="NU42" s="152">
        <f>IF($MW42=0,0,INDEX($AB$2:$AB$11,$MW42))</f>
        <v/>
      </c>
      <c r="NV42" s="152">
        <f>IFERROR(VLOOKUP($MO42,$BC$2:$BG$24,3,FALSE),0)</f>
        <v/>
      </c>
      <c r="NW42" s="152">
        <f>IFERROR(VLOOKUP($MP42,$BC$2:$BG$24,3,FALSE),0)</f>
        <v/>
      </c>
      <c r="NX42" s="152">
        <f>IFERROR(VLOOKUP($MO42,$BC$2:$BG$24,2,FALSE),"")</f>
        <v/>
      </c>
      <c r="NY42" s="152">
        <f>IFERROR(VLOOKUP($MP42,$BC$2:$BG$24,2,FALSE),"")</f>
        <v/>
      </c>
      <c r="NZ42" s="152">
        <f>COUNTIF($NF42:$NJ42,1)</f>
        <v/>
      </c>
      <c r="OA42" s="152">
        <f>COUNTIF($NF42:$NJ42,2)</f>
        <v/>
      </c>
      <c r="OB42" s="152">
        <f>COUNTIF($NF42:$NJ42,3)</f>
        <v/>
      </c>
      <c r="OC42" s="152">
        <f>COUNTIF($NF42:$NJ42,4)</f>
        <v/>
      </c>
      <c r="OD42" s="152">
        <f>COUNTIF($NF42:$NJ42,5)</f>
        <v/>
      </c>
      <c r="OE42" s="152">
        <f>COUNTIF($NF42:$NJ42,6)</f>
        <v/>
      </c>
      <c r="OF42" s="152">
        <f>COUNTIF($NV42:$NW42,1)</f>
        <v/>
      </c>
      <c r="OG42" s="152">
        <f>COUNTIF($NV42:$NW42,2)+$NS42</f>
        <v/>
      </c>
      <c r="OH42" s="152">
        <f>COUNTIF($MK42:$MN42,"?*")</f>
        <v/>
      </c>
      <c r="OI42" s="152">
        <f>COUNTIF($MO42:$MP42,"?*")+$NS42</f>
        <v/>
      </c>
      <c r="OJ42" s="152">
        <f>IF($MF42=0,0,SUMPRODUCT($NZ42:$OE42,INDEX($I$2:$N$8,MAX(1,$MF42),0)))</f>
        <v/>
      </c>
      <c r="OK42" s="152">
        <f>IF($MF42=0,0,$OF42*CEILING($MF42/2,1)+$OG42*$MF42)</f>
        <v/>
      </c>
      <c r="OL42" s="152">
        <f>MIN(2*$MF42,$OK42)</f>
        <v/>
      </c>
      <c r="OM42" s="152">
        <f>MIN($OL42,$OJ42)</f>
        <v/>
      </c>
      <c r="ON42" s="152">
        <f>$OL42-$OM42</f>
        <v/>
      </c>
      <c r="OO42" s="152">
        <f>IF($MF42=0,0,INDEX($P$2:$P$8,MAX(1,$MF42)))</f>
        <v/>
      </c>
      <c r="OP42" s="152">
        <f>$OO42-$OJ42+$OM42</f>
        <v/>
      </c>
      <c r="OQ42" s="152">
        <f>IF($MF42=0,MAX(0,$MT42-IF($OH42&gt;0,1,0)),MAX(0,$OP42))</f>
        <v/>
      </c>
      <c r="OR42" s="152">
        <f>IF($MF42=0,0,(IF(COUNTIF($MK42:$MN42,"Salto")&gt;0,1,0)+IF(COUNTIF($MK42:$MN42,"Queima")&gt;0,1,0)+IF(COUNTIF($MK42:$MN42,"Estilhaço")&gt;0,1,0))*FLOOR($OQ42/2,1))</f>
        <v/>
      </c>
      <c r="OS42" s="152">
        <f>MAX(0,2-SUMPRODUCT($NZ42:$OE42,$I$2:$N$2)+MIN(2,$OF42*1+$OG42*1,SUMPRODUCT($NZ42:$OE42,$I$2:$N$2)))</f>
        <v/>
      </c>
      <c r="OT42" s="152">
        <f>MAX(0,4-SUMPRODUCT($NZ42:$OE42,$I$3:$N$3)+MIN(4,$OF42*1+$OG42*2,SUMPRODUCT($NZ42:$OE42,$I$3:$N$3)))</f>
        <v/>
      </c>
      <c r="OU42" s="152">
        <f>MAX(0,6-SUMPRODUCT($NZ42:$OE42,$I$4:$N$4)+MIN(6,$OF42*2+$OG42*3,SUMPRODUCT($NZ42:$OE42,$I$4:$N$4)))</f>
        <v/>
      </c>
      <c r="OV42" s="152">
        <f>MAX(0,9-SUMPRODUCT($NZ42:$OE42,$I$5:$N$5)+MIN(8,$OF42*2+$OG42*4,SUMPRODUCT($NZ42:$OE42,$I$5:$N$5)))</f>
        <v/>
      </c>
      <c r="OW42" s="152">
        <f>MAX(0,11-SUMPRODUCT($NZ42:$OE42,$I$6:$N$6)+MIN(10,$OF42*3+$OG42*5,SUMPRODUCT($NZ42:$OE42,$I$6:$N$6)))</f>
        <v/>
      </c>
      <c r="OX42" s="152">
        <f>MAX(0,13-SUMPRODUCT($NZ42:$OE42,$I$7:$N$7)+MIN(12,$OF42*3+$OG42*6,SUMPRODUCT($NZ42:$OE42,$I$7:$N$7)))</f>
        <v/>
      </c>
      <c r="OY42" s="152">
        <f>MAX(0,16-SUMPRODUCT($NZ42:$OE42,$I$8:$N$8)+MIN(14,$OF42*4+$OG42*7,SUMPRODUCT($NZ42:$OE42,$I$8:$N$8)))</f>
        <v/>
      </c>
      <c r="OZ42" s="152">
        <f>IF($NT42=2,3*$OS42&amp;" de vida temp.",IF($NT42=3,"sem dano",IF($OS42=0,IF($NT42=1,"sem cura","sem dano"),IF($NT42=1,"cura ","")&amp;$OS42&amp;"d8")))</f>
        <v/>
      </c>
      <c r="PA42" s="152">
        <f>IF($NT42=2,3*$OT42&amp;" de vida temp.",IF($NT42=3,"sem dano",IF($OT42=0,IF($NT42=1,"sem cura","sem dano"),IF($NT42=1,"cura ","")&amp;$OT42&amp;"d8")))</f>
        <v/>
      </c>
      <c r="PB42" s="152">
        <f>IF($NT42=2,3*$OU42&amp;" de vida temp.",IF($NT42=3,"sem dano",IF($OU42=0,IF($NT42=1,"sem cura","sem dano"),IF($NT42=1,"cura ","")&amp;$OU42&amp;"d8")))</f>
        <v/>
      </c>
      <c r="PC42" s="152">
        <f>IF($NT42=2,3*$OV42&amp;" de vida temp.",IF($NT42=3,"sem dano",IF($OV42=0,IF($NT42=1,"sem cura","sem dano"),IF($NT42=1,"cura ","")&amp;$OV42&amp;"d8")))</f>
        <v/>
      </c>
      <c r="PD42" s="152">
        <f>IF($NT42=2,3*$OW42&amp;" de vida temp.",IF($NT42=3,"sem dano",IF($OW42=0,IF($NT42=1,"sem cura","sem dano"),IF($NT42=1,"cura ","")&amp;$OW42&amp;"d8")))</f>
        <v/>
      </c>
      <c r="PE42" s="152">
        <f>IF($NT42=2,3*$OX42&amp;" de vida temp.",IF($NT42=3,"sem dano",IF($OX42=0,IF($NT42=1,"sem cura","sem dano"),IF($NT42=1,"cura ","")&amp;$OX42&amp;"d8")))</f>
        <v/>
      </c>
      <c r="PF42" s="152">
        <f>IF($NT42=2,3*$OY42&amp;" de vida temp.",IF($NT42=3,"sem dano",IF($OY42=0,IF($NT42=1,"sem cura","sem dano"),IF($NT42=1,"cura ","")&amp;$OY42&amp;"d8")))</f>
        <v/>
      </c>
      <c r="PG42" s="152">
        <f>IF($MQ42=0,"",TEXTJOIN(" · ",TRUE,IF($MD42&gt;$MR42,"Este lugar abre no nível "&amp;$MD42,""),IF($MF42&gt;$MS42,"Classe "&amp;$MF42&amp;": o nível "&amp;$MR42&amp;" libera até a "&amp;$MS42,""),IF($NK42=1,"A Forma "&amp;$MH42&amp;" pede "&amp;INDEX($W$2:$W$11,$MW42)&amp;" aberta",""),IF(AND($MF42=0,$MW42&gt;0,IF($MW42=0,0,INDEX($AF$2:$AF$11,$MW42))=0),$MH42&amp;" não existe na Classe 0",""),IF($NL42=1,"Família Fechada: "&amp;$MK42,""),IF($NM42=1,"Família Fechada: "&amp;$ML42,""),IF($NN42=1,"Família Fechada: "&amp;$MM42,""),IF($NO42=1,"Família Fechada: "&amp;$MN42,""),IF(AND($MF42&gt;0,$OH42&gt;INDEX($O$2:$O$8,MAX(1,$MF42))),$OH42&amp;" Melhorias: a Classe "&amp;$MF42&amp;" aceita "&amp;INDEX($O$2:$O$8,MAX(1,$MF42)),""),IF(AND($MF42=0,$OH42&gt;1),"A básica aceita uma Melhoria",""),IF(AND($MF42=0,COUNTIF($NB42:$NE42,"&gt;1")&gt;0),"A básica só aceita Melhoria Leve",""),IF(AND($MF42&gt;0,$OI42&gt;2),$OI42&amp;" Restrições"&amp;IF($NS42=1,", contando a que a Forma "&amp;$MH42&amp;" já traz","")&amp;": o limite é 2",""),IF(AND($MF42=0,COUNTIF($MO42:$MP42,"?*")&gt;1),"A básica aceita uma Restrição Leve",""),IF(AND($MF42=0,COUNTIF($NV42:$NW42,2)&gt;0),"A básica só aceita Restrição Leve",""),IF(AND($MF42&gt;0,$OP42&lt;0),"Orçamento estourado: faltam "&amp;(-$OP42)&amp;IF($OP42&lt;-1," pontos"," ponto"),""),IF(IFERROR(VLOOKUP($MO42,$BC$2:$BG$24,4,FALSE),0)+IFERROR(VLOOKUP($MP42,$BC$2:$BG$24,4,FALSE),0)&gt;1,$NX42&amp;" e "&amp;$NY42&amp;" são as duas de frequência",""),IF(AND((COUNTIF($MK42:$MN42,"Rápido")+COUNTIF($NX42:$NY42,"Rápido"))&gt;0,(COUNTIF($MK42:$MN42,"Atrasar")+COUNTIF($NX42:$NY42,"Atrasar"))&gt;0),"Rápido não entra com Atrasar",""),IF(AND((COUNTIF($MK42:$MN42,"Reação")+COUNTIF($NX42:$NY42,"Reação"))&gt;0,(COUNTIF($MK42:$MN42,"Rápido")+COUNTIF($NX42:$NY42,"Rápido"))&gt;0),"Reação não entra com Rápido",""),IF(AND((COUNTIF($MK42:$MN42,"Reação")+COUNTIF($NX42:$NY42,"Reação"))&gt;0,(COUNTIF($MK42:$MN42,"Armado")+COUNTIF($NX42:$NY42,"Armado"))&gt;0),"Reação não entra com Armado",""),IF(AND((COUNTIF($MK42:$MN42,"Reação")+COUNTIF($NX42:$NY42,"Reação"))&gt;0,(COUNTIF($MK42:$MN42,"Atrasar")+COUNTIF($NX42:$NY42,"Atrasar"))&gt;0),"Reação não entra com Atrasar",""),IF(AND((COUNTIF($MK42:$MN42,"Reação")+COUNTIF($NX42:$NY42,"Reação"))&gt;0,(COUNTIF($MK42:$MN42,"Parado")+COUNTIF($NX42:$NY42,"Parado"))&gt;0),"Reação não entra com Parado",""),IF(AND((COUNTIF($MK42:$MN42,"Atrasar")+COUNTIF($NX42:$NY42,"Atrasar"))&gt;0,(COUNTIF($MK42:$MN42,"Parado")+COUNTIF($NX42:$NY42,"Parado"))&gt;0),"Atrasar não entra com Parado",""),IF(AND((COUNTIF($MK42:$MN42,"Armado")+COUNTIF($NX42:$NY42,"Armado"))&gt;0,(COUNTIF($MK42:$MN42,"Carregar")+COUNTIF($NX42:$NY42,"Carregar"))&gt;0),"Armado não entra com Carregar",""),IF(AND(COUNTIF($NX42:$NY42,"Corpo a Corpo")&gt;0,$NS42=0,OR($MH42="Cone",$MH42="Linha")),"Corpo a Corpo não entra em "&amp;$MH42,""),IF(AND(COUNTIF($NX42:$NY42,"Corpo a Corpo")&gt;0,$NS42=1),"A Forma "&amp;$MH42&amp;" já traz o Corpo a Corpo",""),IF(AND(COUNTIF($NX42:$NY42,"Tudo ou Nada")&gt;0,$NU42=0),"Tudo ou Nada só entra em habilidade de Teste de Resistência",""),IF(AND(COUNTIF($MK42:$MN42,"Inescapável")&gt;0,OR($OH42&gt;1,$OI42&gt;0)),"Inescapável não aceita outra peça",""),IF(AND($MF42&gt;0,$OQ42*IF(COUNTIF($MK42:$MN42,"Remate")&gt;0,1.25,1)+$OR42&gt;4*$MF42),($OQ42*IF(COUNTIF($MK42:$MN42,"Remate")&gt;0,1.25,1)+$OR42)&amp;" dados somando repetições"&amp;IF(COUNTIF($MK42:$MN42,"Remate")&gt;0," e o Remate","")&amp;": o teto da Classe "&amp;$MF42&amp;" é "&amp;4*$MF42,"")))</f>
        <v/>
      </c>
      <c r="PH42" s="152">
        <f>IF($PG42="",0,(LEN($PG42)-LEN(SUBSTITUTE($PG42," · ","")))/3+1)</f>
        <v/>
      </c>
      <c r="PI42" s="152">
        <f>IF($MQ42=0,"",TEXTJOIN(" · ",TRUE,IF($OK42&gt;2*$MF42,"A devolução parou no teto de "&amp;2*$MF42,""),IF($ON42&gt;0,"Devolução perdida: "&amp;$ON42&amp;IF($ON42&gt;1," pontos"," ponto")&amp;" sem peça para pagar",""),IF(AND($NP42&gt;0,AND($MF42&gt;0,$NT42=0),$OQ42=0),"Controle sem dano: uma rodada a mais e CD +2",""),IF(AND($NP42&gt;0,AND($MF42&gt;0,$NT42=0),$OQ42&gt;0,$OQ42&lt;=$MF42),"Controle com saldo até a Classe: uma rodada a mais",""),IF(AND($MF42&gt;0,$NR42&lt;&gt;""),"Efeito de "&amp;$NR42&amp;" pela Classe "&amp;MAX(1,$MF42-1),"")))</f>
        <v/>
      </c>
      <c r="PJ42" s="152">
        <f>IF($PI42="",0,(LEN($PI42)-LEN(SUBSTITUTE($PI42," · ","")))/3+1)</f>
        <v/>
      </c>
      <c r="PK42" s="152">
        <f>IF($MQ42=0,IF($OH42+COUNTIF($MO42:$MP42,"?*")&gt;0,"Dê um nome",""),IF($PH42&gt;0,"⚠ "&amp;$PH42&amp;IF($PH42&gt;1," erros"," erro"),IF($PJ42&gt;0,"! "&amp;$PJ42&amp;IF($PJ42&gt;1," avisos"," aviso"),"Na regra")))</f>
        <v/>
      </c>
      <c r="PL42" s="152">
        <f>IF($MQ42=0,"",IF($PH42+$PJ42=0,"Dentro das regras que a ficha confere",$PG42&amp;IF(AND($PH42&gt;0,$PJ42&gt;0)," · ","")&amp;$PI42))</f>
        <v/>
      </c>
      <c r="PM42" s="152">
        <f>IF($MD42&gt;$MR42,$ME42&amp;" · ABRE NO NÍVEL "&amp;$MD42,$ME42)</f>
        <v/>
      </c>
      <c r="PN42" s="152">
        <f>IF($MQ42=0,"",IF($MF42=0,"Sem PE",3*$MF42&amp;" PE"))</f>
        <v/>
      </c>
      <c r="PO42" s="152">
        <f>IF($MQ42=0,"",IF($MF42=0,"A atuação básica dela",IF(COUNTIF($NX42:$NY42,"Atrasar")&gt;0,"Sua Ação Completa",IF(COUNTIF($MK42:$MN42,"Rápido")&gt;0,"Sua Bônus",IF(COUNTIF($MK42:$MN42,"Reação")&gt;0,"Sua Reação","Sua Padrão")))&amp;" + a básica dela"&amp;IF(COUNTIF($MK42:$MN42,"Reação")&gt;0," e a coletiva","")&amp;IF(COUNTIF($NX42:$NY42,"Carregar")&gt;0," · em dois turnos","")))</f>
        <v/>
      </c>
      <c r="PP42" s="152">
        <f>IF($MJ42&lt;&gt;"",$MJ42,IF($MW42=0,"",INDEX($AA$2:$AA$11,$MW42)))</f>
        <v/>
      </c>
      <c r="PQ42" s="152">
        <f>IF(OR($MQ42=0,$MW42=0),"",IF(COUNTIF($MK42:$MN42,"Inescapável")&gt;0,"Automático",IF($PP42="Ataque",IF($MU42="","Ataque","Ataque "&amp;IF(($MU42+2*IF(COUNTIF($MK42:$MN42,"Precisão")&gt;0,1,0))&gt;=0,"+","−")&amp;ABS(($MU42+2*IF(COUNTIF($MK42:$MN42,"Precisão")&gt;0,1,0))))&amp;IF($NQ42&gt;0," · TR"&amp;IF($MV42="",""," CD "&amp;$MV42),""),IF(LEFT($PP42,2)="TR",$PP42&amp;IF($MV42="",""," · CD "&amp;$MV42)&amp;IF(COUNTIF($MK42:$MN42,"Certeiro")&gt;0," · metade",""),"Sem rolagem"))))</f>
        <v/>
      </c>
      <c r="PR42" s="152">
        <f>IF(OR($MQ42=0,$MW42=0),"",IF($MF42=0,IF(OR($NT42&gt;=1,$OQ42=0),"Sem dano",$OQ42&amp;"d6"&amp;IF($MI42="",""," "&amp;$MI42)),IF(OR($NT42&gt;=1,$OQ42=0),UPPER(LEFT(INDEX($OZ42:$PF42,1,MAX(1,$MF42)),1))&amp;MID(INDEX($OZ42:$PF42,1,MAX(1,$MF42)),2,99),UPPER(LEFT(INDEX($OZ42:$PF42,1,MAX(1,$MF42)),1))&amp;MID(INDEX($OZ42:$PF42,1,MAX(1,$MF42)),2,99)&amp;IF($MI42="",""," "&amp;$MI42)&amp;IF($OR42&gt;0," · +"&amp;$OR42&amp;"d8",""))))</f>
        <v/>
      </c>
      <c r="PS42" s="152">
        <f>COUNTIF($MK42:$MN42,"Longe")+3*COUNTIF($MK42:$MN42,"Muito Longe")</f>
        <v/>
      </c>
      <c r="PT42" s="152">
        <f>COUNTIF($MK42:$MN42,"Maior")+3*COUNTIF($MK42:$MN42,"Muito Maior")</f>
        <v/>
      </c>
      <c r="PU42" s="152">
        <f>IF($MW42=0,0,CHOOSE(1+INDEX($AC$2:$AC$11,$MW42),0,$PS42,$PT42,$PS42+$PT42))</f>
        <v/>
      </c>
      <c r="PV42" s="152">
        <f>IF($MW42=0,0,CHOOSE(1+INDEX($AD$2:$AD$11,$MW42),0,$PS42,$PT42,$PS42+$PT42))</f>
        <v/>
      </c>
      <c r="PW42" s="152">
        <f>IF(OR($MQ42=0,$MW42=0),"",INDEX($AI$2:$AN$41,($MW42-1)*4+IF($MF42=0,1,IF($MF42&lt;=5,2,IF($MF42=6,3,4))),1+MIN(5,$PU42))&amp;INDEX($AO$2:$AT$41,($MW42-1)*4+IF($MF42=0,1,IF($MF42&lt;=5,2,IF($MF42=6,3,4))),1+MIN(5,$PV42))&amp;IF(INDEX($AE$2:$AE$11,$MW42)=1,IF(COUNTIF($MK42:$MN42,"Mais Um")&gt;0," · +"&amp;COUNTIF($MK42:$MN42,"Mais Um")&amp;IF(COUNTIF($MK42:$MN42,"Mais Um")&gt;1," alvos"," alvo"),"")&amp;IF(COUNTIF($MK42:$MN42,"Rajada")&gt;0,IF($MF42=0," · 1 tiro"," · "&amp;(MAX(1,$MF42-1)+1)&amp;" tiros"),""),""))</f>
        <v/>
      </c>
      <c r="PX42" s="152">
        <f>IF($MQ42=0,"",IF($MF42=0,$MT42&amp;"d6"&amp;IF($OH42&gt;0," − 1 = "&amp;$OQ42&amp;"d6"," da básica do nível "&amp;$MR42),$OO42&amp;" − "&amp;$OJ42&amp;" + "&amp;$OM42&amp;" = "&amp;$OP42&amp;" · teto "&amp;4*$MF42&amp;"d8"&amp;IF($NS42=1," · a Forma devolve "&amp;$MF42,"")&amp;IF($ON42&gt;0," · perde "&amp;$ON42,"")))</f>
        <v/>
      </c>
      <c r="PY42" s="152">
        <f>IF($MQ42=0,"",IF($MF42=0,"A básica não amplia: os dados dela sobem com o nível",IF($MF42&gt;=$MS42,"Já está na maior Classe que o nível liberou",TEXTJOIN(" · ",TRUE,IF(AND(2&gt;$MF42,2&lt;=$MS42),"2 → "&amp;$PA42&amp;", 6 PE",""),IF(AND(3&gt;$MF42,3&lt;=$MS42),"3 → "&amp;$PB42&amp;", 9 PE",""),IF(AND(4&gt;$MF42,4&lt;=$MS42),"4 → "&amp;$PC42&amp;", 12 PE",""),IF(AND(5&gt;$MF42,5&lt;=$MS42),"5 → "&amp;$PD42&amp;", 15 PE",""),IF(AND(6&gt;$MF42,6&lt;=$MS42),"6 → "&amp;$PE42&amp;", 18 PE",""),IF(AND(7&gt;$MF42,7&lt;=$MS42),"7 → "&amp;$PF42&amp;", 21 PE","")))))</f>
        <v/>
      </c>
      <c r="PZ42" s="152">
        <f>IF(OR($MQ42=0,$NB42=0),"",IF($MF42=0,"−1 dado","−"&amp;INDEX($I$2:$N$8,MAX(1,$MF42),MAX(1,$NG42))&amp;" · "&amp;CHOOSE(MAX(1,$NG42),"Leve","Média","Pesada","Leve · Livre","Média · Livre","Pesada · Livre")))</f>
        <v/>
      </c>
      <c r="QA42" s="152">
        <f>IF(OR($MQ42=0,$NC42=0),"",IF($MF42=0,"−1 dado","−"&amp;INDEX($I$2:$N$8,MAX(1,$MF42),MAX(1,$NH42))&amp;" · "&amp;CHOOSE(MAX(1,$NH42),"Leve","Média","Pesada","Leve · Livre","Média · Livre","Pesada · Livre")))</f>
        <v/>
      </c>
      <c r="QB42" s="152">
        <f>IF(OR($MQ42=0,$ND42=0),"",IF($MF42=0,"−1 dado","−"&amp;INDEX($I$2:$N$8,MAX(1,$MF42),MAX(1,$NI42))&amp;" · "&amp;CHOOSE(MAX(1,$NI42),"Leve","Média","Pesada","Leve · Livre","Média · Livre","Pesada · Livre")))</f>
        <v/>
      </c>
      <c r="QC42" s="152">
        <f>IF(OR($MQ42=0,$NE42=0),"",IF($MF42=0,"−1 dado","−"&amp;INDEX($I$2:$N$8,MAX(1,$MF42),MAX(1,$NJ42))&amp;" · "&amp;CHOOSE(MAX(1,$NJ42),"Leve","Média","Pesada","Leve · Livre","Média · Livre","Pesada · Livre")))</f>
        <v/>
      </c>
      <c r="QD42" s="152">
        <f>IF(OR($MQ42=0,$MO42=""),"",IF($MF42=0,"não devolve","+"&amp;IF($NV42=1,CEILING($MF42/2,1),$MF42)))</f>
        <v/>
      </c>
      <c r="QE42" s="152">
        <f>IF(OR($MQ42=0,$MP42=""),"",IF($MF42=0,"não devolve","+"&amp;IF($NW42=1,CEILING($MF42/2,1),$MF42)))</f>
        <v/>
      </c>
    </row>
    <row r="43">
      <c r="AV43" s="150" t="inlineStr">
        <is>
          <t>Puxa</t>
        </is>
      </c>
      <c r="AW43" s="150" t="inlineStr">
        <is>
          <t>Controle</t>
        </is>
      </c>
      <c r="AX43" s="152" t="n">
        <v>2</v>
      </c>
      <c r="AY43" s="152" t="n">
        <v>1</v>
      </c>
      <c r="AZ43" s="152" t="n">
        <v>0</v>
      </c>
      <c r="BA43" s="152" t="n">
        <v>0</v>
      </c>
      <c r="JG43" s="152">
        <f>IF(OR($AW43="",COUNTIF($EF$2:$EJ$2,$AW43)&gt;0),$AV43,"")</f>
        <v/>
      </c>
      <c r="JH43" s="152">
        <f>IF(AND($AX43=1,OR($AW43="",COUNTIF($EF$2:$EJ$2,$AW43)&gt;0)),$AV43,"")</f>
        <v/>
      </c>
      <c r="JM43" s="152">
        <f>IF(OR($AW43="",COUNTIF($EF$3:$EJ$3,$AW43)&gt;0),$AV43,"")</f>
        <v/>
      </c>
      <c r="JN43" s="152">
        <f>IF(AND($AX43=1,OR($AW43="",COUNTIF($EF$3:$EJ$3,$AW43)&gt;0)),$AV43,"")</f>
        <v/>
      </c>
      <c r="JS43" s="152">
        <f>IF(OR($AW43="",COUNTIF($EF$4:$EJ$4,$AW43)&gt;0),$AV43,"")</f>
        <v/>
      </c>
      <c r="JT43" s="152">
        <f>IF(AND($AX43=1,OR($AW43="",COUNTIF($EF$4:$EJ$4,$AW43)&gt;0)),$AV43,"")</f>
        <v/>
      </c>
      <c r="JY43" s="152">
        <f>IF(OR($AW43="",COUNTIF($EF$5:$EJ$5,$AW43)&gt;0),$AV43,"")</f>
        <v/>
      </c>
      <c r="JZ43" s="152">
        <f>IF(AND($AX43=1,OR($AW43="",COUNTIF($EF$5:$EJ$5,$AW43)&gt;0)),$AV43,"")</f>
        <v/>
      </c>
      <c r="KE43" s="152">
        <f>IF(OR($AW43="",COUNTIF($EF$6:$EJ$6,$AW43)&gt;0),$AV43,"")</f>
        <v/>
      </c>
      <c r="KF43" s="152">
        <f>IF(AND($AX43=1,OR($AW43="",COUNTIF($EF$6:$EJ$6,$AW43)&gt;0)),$AV43,"")</f>
        <v/>
      </c>
      <c r="KK43" s="152">
        <f>IF(OR($AW43="",COUNTIF($EF$7:$EJ$7,$AW43)&gt;0),$AV43,"")</f>
        <v/>
      </c>
      <c r="KL43" s="152">
        <f>IF(AND($AX43=1,OR($AW43="",COUNTIF($EF$7:$EJ$7,$AW43)&gt;0)),$AV43,"")</f>
        <v/>
      </c>
      <c r="KQ43" s="152">
        <f>IF(OR($AW43="",COUNTIF($EF$8:$EJ$8,$AW43)&gt;0),$AV43,"")</f>
        <v/>
      </c>
      <c r="KR43" s="152">
        <f>IF(AND($AX43=1,OR($AW43="",COUNTIF($EF$8:$EJ$8,$AW43)&gt;0)),$AV43,"")</f>
        <v/>
      </c>
      <c r="KW43" s="152">
        <f>IF(OR($AW43="",COUNTIF($EF$9:$EJ$9,$AW43)&gt;0),$AV43,"")</f>
        <v/>
      </c>
      <c r="KX43" s="152">
        <f>IF(AND($AX43=1,OR($AW43="",COUNTIF($EF$9:$EJ$9,$AW43)&gt;0)),$AV43,"")</f>
        <v/>
      </c>
      <c r="LC43" s="152">
        <f>IF(OR($AW43="",COUNTIF($EF$10:$EJ$10,$AW43)&gt;0),$AV43,"")</f>
        <v/>
      </c>
      <c r="LD43" s="152">
        <f>IF(AND($AX43=1,OR($AW43="",COUNTIF($EF$10:$EJ$10,$AW43)&gt;0)),$AV43,"")</f>
        <v/>
      </c>
      <c r="LI43" s="152">
        <f>IF(OR($AW43="",COUNTIF($EF$11:$EJ$11,$AW43)&gt;0),$AV43,"")</f>
        <v/>
      </c>
      <c r="LJ43" s="152">
        <f>IF(AND($AX43=1,OR($AW43="",COUNTIF($EF$11:$EJ$11,$AW43)&gt;0)),$AV43,"")</f>
        <v/>
      </c>
      <c r="LO43" s="152">
        <f>IF(OR($AW43="",COUNTIF($EF$12:$EJ$12,$AW43)&gt;0),$AV43,"")</f>
        <v/>
      </c>
      <c r="LP43" s="152">
        <f>IF(AND($AX43=1,OR($AW43="",COUNTIF($EF$12:$EJ$12,$AW43)&gt;0)),$AV43,"")</f>
        <v/>
      </c>
      <c r="LU43" s="152">
        <f>IF(OR($AW43="",COUNTIF($EF$13:$EJ$13,$AW43)&gt;0),$AV43,"")</f>
        <v/>
      </c>
      <c r="LV43" s="152">
        <f>IF(AND($AX43=1,OR($AW43="",COUNTIF($EF$13:$EJ$13,$AW43)&gt;0)),$AV43,"")</f>
        <v/>
      </c>
      <c r="MA43" s="150" t="inlineStr">
        <is>
          <t>Ficha 4 · Especial 2</t>
        </is>
      </c>
      <c r="MB43" s="152" t="n">
        <v>4</v>
      </c>
      <c r="MC43" s="152" t="n">
        <v>1</v>
      </c>
      <c r="MD43" s="152" t="n">
        <v>4</v>
      </c>
      <c r="ME43" s="150" t="inlineStr">
        <is>
          <t>ESPECIAL 2</t>
        </is>
      </c>
      <c r="MF43" s="152">
        <f>MAX(1,MIN(7,N('INVOCAÇÕES'!$U$652)))</f>
        <v/>
      </c>
      <c r="MG43" s="152">
        <f>'INVOCAÇÕES'!$V$652&amp;""</f>
        <v/>
      </c>
      <c r="MH43" s="152">
        <f>'INVOCAÇÕES'!$U$657&amp;""</f>
        <v/>
      </c>
      <c r="MI43" s="152">
        <f>'INVOCAÇÕES'!$U$658&amp;""</f>
        <v/>
      </c>
      <c r="MJ43" s="152">
        <f>'INVOCAÇÕES'!$W$658&amp;""</f>
        <v/>
      </c>
      <c r="MK43" s="152">
        <f>'INVOCAÇÕES'!$V$661&amp;""</f>
        <v/>
      </c>
      <c r="ML43" s="152">
        <f>'INVOCAÇÕES'!$V$662&amp;""</f>
        <v/>
      </c>
      <c r="MM43" s="152">
        <f>'INVOCAÇÕES'!$V$663&amp;""</f>
        <v/>
      </c>
      <c r="MN43" s="152">
        <f>'INVOCAÇÕES'!$V$664&amp;""</f>
        <v/>
      </c>
      <c r="MO43" s="152">
        <f>'INVOCAÇÕES'!$V$665&amp;""</f>
        <v/>
      </c>
      <c r="MP43" s="152">
        <f>'INVOCAÇÕES'!$V$666&amp;""</f>
        <v/>
      </c>
      <c r="MQ43" s="152">
        <f>IF($MG43&lt;&gt;"",1,0)</f>
        <v/>
      </c>
      <c r="MR43" s="152">
        <f>INDEX($FI$2:$FI$13,$MB43)</f>
        <v/>
      </c>
      <c r="MS43" s="152">
        <f>INDEX($FJ$2:$FJ$13,$MB43)</f>
        <v/>
      </c>
      <c r="MT43" s="152">
        <f>INDEX($FK$2:$FK$13,$MB43)</f>
        <v/>
      </c>
      <c r="MU43" s="152">
        <f>INDEX($FV$2:$FV$13,$MB43)</f>
        <v/>
      </c>
      <c r="MV43" s="152">
        <f>INDEX($FW$2:$FW$13,$MB43)</f>
        <v/>
      </c>
      <c r="MW43" s="152">
        <f>IFERROR(MATCH($MH43,$V$2:$V$11,0),0)</f>
        <v/>
      </c>
      <c r="MX43" s="152">
        <f>IFERROR(VLOOKUP($MK43,$AV$2:$BA$84,2,FALSE),"")</f>
        <v/>
      </c>
      <c r="MY43" s="152">
        <f>IFERROR(VLOOKUP($ML43,$AV$2:$BA$84,2,FALSE),"")</f>
        <v/>
      </c>
      <c r="MZ43" s="152">
        <f>IFERROR(VLOOKUP($MM43,$AV$2:$BA$84,2,FALSE),"")</f>
        <v/>
      </c>
      <c r="NA43" s="152">
        <f>IFERROR(VLOOKUP($MN43,$AV$2:$BA$84,2,FALSE),"")</f>
        <v/>
      </c>
      <c r="NB43" s="152">
        <f>IFERROR(VLOOKUP($MK43,$AV$2:$BA$84,3,FALSE),0)</f>
        <v/>
      </c>
      <c r="NC43" s="152">
        <f>IFERROR(VLOOKUP($ML43,$AV$2:$BA$84,3,FALSE),0)</f>
        <v/>
      </c>
      <c r="ND43" s="152">
        <f>IFERROR(VLOOKUP($MM43,$AV$2:$BA$84,3,FALSE),0)</f>
        <v/>
      </c>
      <c r="NE43" s="152">
        <f>IFERROR(VLOOKUP($MN43,$AV$2:$BA$84,3,FALSE),0)</f>
        <v/>
      </c>
      <c r="NF43" s="152">
        <f>IF($MF43=0,0,IF($MW43=0,0,INDEX($X$2:$X$11,$MW43)))</f>
        <v/>
      </c>
      <c r="NG43" s="152">
        <f>IF(OR($NB43=0,$MF43=0),0,$NB43+3*IF(AND($MX43&lt;&gt;"",OR($MX43=INDEX($EF$2:$EF$13,$MB43),$MX43=INDEX($EG$2:$EG$13,$MB43))),1,0))</f>
        <v/>
      </c>
      <c r="NH43" s="152">
        <f>IF(OR($NC43=0,$MF43=0),0,$NC43+3*IF(AND($MY43&lt;&gt;"",OR($MY43=INDEX($EF$2:$EF$13,$MB43),$MY43=INDEX($EG$2:$EG$13,$MB43))),1,0))</f>
        <v/>
      </c>
      <c r="NI43" s="152">
        <f>IF(OR($ND43=0,$MF43=0),0,$ND43+3*IF(AND($MZ43&lt;&gt;"",OR($MZ43=INDEX($EF$2:$EF$13,$MB43),$MZ43=INDEX($EG$2:$EG$13,$MB43))),1,0))</f>
        <v/>
      </c>
      <c r="NJ43" s="152">
        <f>IF(OR($NE43=0,$MF43=0),0,$NE43+3*IF(AND($NA43&lt;&gt;"",OR($NA43=INDEX($EF$2:$EF$13,$MB43),$NA43=INDEX($EG$2:$EG$13,$MB43))),1,0))</f>
        <v/>
      </c>
      <c r="NK43" s="152">
        <f>IF($MW43=0,0,IF(INDEX($W$2:$W$11,$MW43)="",0,IF(COUNTIF(INDEX($EF$2:$EJ$13,$MB43,0),INDEX($W$2:$W$11,$MW43))=0,1,0)))</f>
        <v/>
      </c>
      <c r="NL43" s="152">
        <f>IF(OR($NB43=0,$MX43=""),0,IF(COUNTIF(INDEX($EF$2:$EJ$13,$MB43,0),$MX43)=0,1,0))</f>
        <v/>
      </c>
      <c r="NM43" s="152">
        <f>IF(OR($NC43=0,$MY43=""),0,IF(COUNTIF(INDEX($EF$2:$EJ$13,$MB43,0),$MY43)=0,1,0))</f>
        <v/>
      </c>
      <c r="NN43" s="152">
        <f>IF(OR($ND43=0,$MZ43=""),0,IF(COUNTIF(INDEX($EF$2:$EJ$13,$MB43,0),$MZ43)=0,1,0))</f>
        <v/>
      </c>
      <c r="NO43" s="152">
        <f>IF(OR($NE43=0,$NA43=""),0,IF(COUNTIF(INDEX($EF$2:$EJ$13,$MB43,0),$NA43)=0,1,0))</f>
        <v/>
      </c>
      <c r="NP43" s="152">
        <f>IFERROR(VLOOKUP($MK43,$AV$2:$BA$84,4,FALSE),0)+IFERROR(VLOOKUP($ML43,$AV$2:$BA$84,4,FALSE),0)+IFERROR(VLOOKUP($MM43,$AV$2:$BA$84,4,FALSE),0)+IFERROR(VLOOKUP($MN43,$AV$2:$BA$84,4,FALSE),0)</f>
        <v/>
      </c>
      <c r="NQ43" s="152">
        <f>IFERROR(VLOOKUP($MK43,$AV$2:$BA$84,6,FALSE),0)+IFERROR(VLOOKUP($ML43,$AV$2:$BA$84,6,FALSE),0)+IFERROR(VLOOKUP($MM43,$AV$2:$BA$84,6,FALSE),0)+IFERROR(VLOOKUP($MN43,$AV$2:$BA$84,6,FALSE),0)</f>
        <v/>
      </c>
      <c r="NR43" s="152">
        <f>TEXTJOIN(", ",TRUE,IF(IFERROR(VLOOKUP($MK43,$AV$2:$BA$84,5,FALSE),0)=1,$MK43,""),IF(IFERROR(VLOOKUP($ML43,$AV$2:$BA$84,5,FALSE),0)=1,$ML43,""),IF(IFERROR(VLOOKUP($MM43,$AV$2:$BA$84,5,FALSE),0)=1,$MM43,""),IF(IFERROR(VLOOKUP($MN43,$AV$2:$BA$84,5,FALSE),0)=1,$MN43,""))</f>
        <v/>
      </c>
      <c r="NS43" s="152">
        <f>IF($MW43=0,0,INDEX($Y$2:$Y$11,$MW43))</f>
        <v/>
      </c>
      <c r="NT43" s="152">
        <f>IF($MW43=0,0,INDEX($Z$2:$Z$11,$MW43))</f>
        <v/>
      </c>
      <c r="NU43" s="152">
        <f>IF($MW43=0,0,INDEX($AB$2:$AB$11,$MW43))</f>
        <v/>
      </c>
      <c r="NV43" s="152">
        <f>IFERROR(VLOOKUP($MO43,$BC$2:$BG$24,3,FALSE),0)</f>
        <v/>
      </c>
      <c r="NW43" s="152">
        <f>IFERROR(VLOOKUP($MP43,$BC$2:$BG$24,3,FALSE),0)</f>
        <v/>
      </c>
      <c r="NX43" s="152">
        <f>IFERROR(VLOOKUP($MO43,$BC$2:$BG$24,2,FALSE),"")</f>
        <v/>
      </c>
      <c r="NY43" s="152">
        <f>IFERROR(VLOOKUP($MP43,$BC$2:$BG$24,2,FALSE),"")</f>
        <v/>
      </c>
      <c r="NZ43" s="152">
        <f>COUNTIF($NF43:$NJ43,1)</f>
        <v/>
      </c>
      <c r="OA43" s="152">
        <f>COUNTIF($NF43:$NJ43,2)</f>
        <v/>
      </c>
      <c r="OB43" s="152">
        <f>COUNTIF($NF43:$NJ43,3)</f>
        <v/>
      </c>
      <c r="OC43" s="152">
        <f>COUNTIF($NF43:$NJ43,4)</f>
        <v/>
      </c>
      <c r="OD43" s="152">
        <f>COUNTIF($NF43:$NJ43,5)</f>
        <v/>
      </c>
      <c r="OE43" s="152">
        <f>COUNTIF($NF43:$NJ43,6)</f>
        <v/>
      </c>
      <c r="OF43" s="152">
        <f>COUNTIF($NV43:$NW43,1)</f>
        <v/>
      </c>
      <c r="OG43" s="152">
        <f>COUNTIF($NV43:$NW43,2)+$NS43</f>
        <v/>
      </c>
      <c r="OH43" s="152">
        <f>COUNTIF($MK43:$MN43,"?*")</f>
        <v/>
      </c>
      <c r="OI43" s="152">
        <f>COUNTIF($MO43:$MP43,"?*")+$NS43</f>
        <v/>
      </c>
      <c r="OJ43" s="152">
        <f>IF($MF43=0,0,SUMPRODUCT($NZ43:$OE43,INDEX($I$2:$N$8,MAX(1,$MF43),0)))</f>
        <v/>
      </c>
      <c r="OK43" s="152">
        <f>IF($MF43=0,0,$OF43*CEILING($MF43/2,1)+$OG43*$MF43)</f>
        <v/>
      </c>
      <c r="OL43" s="152">
        <f>MIN(2*$MF43,$OK43)</f>
        <v/>
      </c>
      <c r="OM43" s="152">
        <f>MIN($OL43,$OJ43)</f>
        <v/>
      </c>
      <c r="ON43" s="152">
        <f>$OL43-$OM43</f>
        <v/>
      </c>
      <c r="OO43" s="152">
        <f>IF($MF43=0,0,INDEX($P$2:$P$8,MAX(1,$MF43)))</f>
        <v/>
      </c>
      <c r="OP43" s="152">
        <f>$OO43-$OJ43+$OM43</f>
        <v/>
      </c>
      <c r="OQ43" s="152">
        <f>IF($MF43=0,MAX(0,$MT43-IF($OH43&gt;0,1,0)),MAX(0,$OP43))</f>
        <v/>
      </c>
      <c r="OR43" s="152">
        <f>IF($MF43=0,0,(IF(COUNTIF($MK43:$MN43,"Salto")&gt;0,1,0)+IF(COUNTIF($MK43:$MN43,"Queima")&gt;0,1,0)+IF(COUNTIF($MK43:$MN43,"Estilhaço")&gt;0,1,0))*FLOOR($OQ43/2,1))</f>
        <v/>
      </c>
      <c r="OS43" s="152">
        <f>MAX(0,2-SUMPRODUCT($NZ43:$OE43,$I$2:$N$2)+MIN(2,$OF43*1+$OG43*1,SUMPRODUCT($NZ43:$OE43,$I$2:$N$2)))</f>
        <v/>
      </c>
      <c r="OT43" s="152">
        <f>MAX(0,4-SUMPRODUCT($NZ43:$OE43,$I$3:$N$3)+MIN(4,$OF43*1+$OG43*2,SUMPRODUCT($NZ43:$OE43,$I$3:$N$3)))</f>
        <v/>
      </c>
      <c r="OU43" s="152">
        <f>MAX(0,6-SUMPRODUCT($NZ43:$OE43,$I$4:$N$4)+MIN(6,$OF43*2+$OG43*3,SUMPRODUCT($NZ43:$OE43,$I$4:$N$4)))</f>
        <v/>
      </c>
      <c r="OV43" s="152">
        <f>MAX(0,9-SUMPRODUCT($NZ43:$OE43,$I$5:$N$5)+MIN(8,$OF43*2+$OG43*4,SUMPRODUCT($NZ43:$OE43,$I$5:$N$5)))</f>
        <v/>
      </c>
      <c r="OW43" s="152">
        <f>MAX(0,11-SUMPRODUCT($NZ43:$OE43,$I$6:$N$6)+MIN(10,$OF43*3+$OG43*5,SUMPRODUCT($NZ43:$OE43,$I$6:$N$6)))</f>
        <v/>
      </c>
      <c r="OX43" s="152">
        <f>MAX(0,13-SUMPRODUCT($NZ43:$OE43,$I$7:$N$7)+MIN(12,$OF43*3+$OG43*6,SUMPRODUCT($NZ43:$OE43,$I$7:$N$7)))</f>
        <v/>
      </c>
      <c r="OY43" s="152">
        <f>MAX(0,16-SUMPRODUCT($NZ43:$OE43,$I$8:$N$8)+MIN(14,$OF43*4+$OG43*7,SUMPRODUCT($NZ43:$OE43,$I$8:$N$8)))</f>
        <v/>
      </c>
      <c r="OZ43" s="152">
        <f>IF($NT43=2,3*$OS43&amp;" de vida temp.",IF($NT43=3,"sem dano",IF($OS43=0,IF($NT43=1,"sem cura","sem dano"),IF($NT43=1,"cura ","")&amp;$OS43&amp;"d8")))</f>
        <v/>
      </c>
      <c r="PA43" s="152">
        <f>IF($NT43=2,3*$OT43&amp;" de vida temp.",IF($NT43=3,"sem dano",IF($OT43=0,IF($NT43=1,"sem cura","sem dano"),IF($NT43=1,"cura ","")&amp;$OT43&amp;"d8")))</f>
        <v/>
      </c>
      <c r="PB43" s="152">
        <f>IF($NT43=2,3*$OU43&amp;" de vida temp.",IF($NT43=3,"sem dano",IF($OU43=0,IF($NT43=1,"sem cura","sem dano"),IF($NT43=1,"cura ","")&amp;$OU43&amp;"d8")))</f>
        <v/>
      </c>
      <c r="PC43" s="152">
        <f>IF($NT43=2,3*$OV43&amp;" de vida temp.",IF($NT43=3,"sem dano",IF($OV43=0,IF($NT43=1,"sem cura","sem dano"),IF($NT43=1,"cura ","")&amp;$OV43&amp;"d8")))</f>
        <v/>
      </c>
      <c r="PD43" s="152">
        <f>IF($NT43=2,3*$OW43&amp;" de vida temp.",IF($NT43=3,"sem dano",IF($OW43=0,IF($NT43=1,"sem cura","sem dano"),IF($NT43=1,"cura ","")&amp;$OW43&amp;"d8")))</f>
        <v/>
      </c>
      <c r="PE43" s="152">
        <f>IF($NT43=2,3*$OX43&amp;" de vida temp.",IF($NT43=3,"sem dano",IF($OX43=0,IF($NT43=1,"sem cura","sem dano"),IF($NT43=1,"cura ","")&amp;$OX43&amp;"d8")))</f>
        <v/>
      </c>
      <c r="PF43" s="152">
        <f>IF($NT43=2,3*$OY43&amp;" de vida temp.",IF($NT43=3,"sem dano",IF($OY43=0,IF($NT43=1,"sem cura","sem dano"),IF($NT43=1,"cura ","")&amp;$OY43&amp;"d8")))</f>
        <v/>
      </c>
      <c r="PG43" s="152">
        <f>IF($MQ43=0,"",TEXTJOIN(" · ",TRUE,IF($MD43&gt;$MR43,"Este lugar abre no nível "&amp;$MD43,""),IF($MF43&gt;$MS43,"Classe "&amp;$MF43&amp;": o nível "&amp;$MR43&amp;" libera até a "&amp;$MS43,""),IF($NK43=1,"A Forma "&amp;$MH43&amp;" pede "&amp;INDEX($W$2:$W$11,$MW43)&amp;" aberta",""),IF(AND($MF43=0,$MW43&gt;0,IF($MW43=0,0,INDEX($AF$2:$AF$11,$MW43))=0),$MH43&amp;" não existe na Classe 0",""),IF($NL43=1,"Família Fechada: "&amp;$MK43,""),IF($NM43=1,"Família Fechada: "&amp;$ML43,""),IF($NN43=1,"Família Fechada: "&amp;$MM43,""),IF($NO43=1,"Família Fechada: "&amp;$MN43,""),IF(AND($MF43&gt;0,$OH43&gt;INDEX($O$2:$O$8,MAX(1,$MF43))),$OH43&amp;" Melhorias: a Classe "&amp;$MF43&amp;" aceita "&amp;INDEX($O$2:$O$8,MAX(1,$MF43)),""),IF(AND($MF43=0,$OH43&gt;1),"A básica aceita uma Melhoria",""),IF(AND($MF43=0,COUNTIF($NB43:$NE43,"&gt;1")&gt;0),"A básica só aceita Melhoria Leve",""),IF(AND($MF43&gt;0,$OI43&gt;2),$OI43&amp;" Restrições"&amp;IF($NS43=1,", contando a que a Forma "&amp;$MH43&amp;" já traz","")&amp;": o limite é 2",""),IF(AND($MF43=0,COUNTIF($MO43:$MP43,"?*")&gt;1),"A básica aceita uma Restrição Leve",""),IF(AND($MF43=0,COUNTIF($NV43:$NW43,2)&gt;0),"A básica só aceita Restrição Leve",""),IF(AND($MF43&gt;0,$OP43&lt;0),"Orçamento estourado: faltam "&amp;(-$OP43)&amp;IF($OP43&lt;-1," pontos"," ponto"),""),IF(IFERROR(VLOOKUP($MO43,$BC$2:$BG$24,4,FALSE),0)+IFERROR(VLOOKUP($MP43,$BC$2:$BG$24,4,FALSE),0)&gt;1,$NX43&amp;" e "&amp;$NY43&amp;" são as duas de frequência",""),IF(AND((COUNTIF($MK43:$MN43,"Rápido")+COUNTIF($NX43:$NY43,"Rápido"))&gt;0,(COUNTIF($MK43:$MN43,"Atrasar")+COUNTIF($NX43:$NY43,"Atrasar"))&gt;0),"Rápido não entra com Atrasar",""),IF(AND((COUNTIF($MK43:$MN43,"Reação")+COUNTIF($NX43:$NY43,"Reação"))&gt;0,(COUNTIF($MK43:$MN43,"Rápido")+COUNTIF($NX43:$NY43,"Rápido"))&gt;0),"Reação não entra com Rápido",""),IF(AND((COUNTIF($MK43:$MN43,"Reação")+COUNTIF($NX43:$NY43,"Reação"))&gt;0,(COUNTIF($MK43:$MN43,"Armado")+COUNTIF($NX43:$NY43,"Armado"))&gt;0),"Reação não entra com Armado",""),IF(AND((COUNTIF($MK43:$MN43,"Reação")+COUNTIF($NX43:$NY43,"Reação"))&gt;0,(COUNTIF($MK43:$MN43,"Atrasar")+COUNTIF($NX43:$NY43,"Atrasar"))&gt;0),"Reação não entra com Atrasar",""),IF(AND((COUNTIF($MK43:$MN43,"Reação")+COUNTIF($NX43:$NY43,"Reação"))&gt;0,(COUNTIF($MK43:$MN43,"Parado")+COUNTIF($NX43:$NY43,"Parado"))&gt;0),"Reação não entra com Parado",""),IF(AND((COUNTIF($MK43:$MN43,"Atrasar")+COUNTIF($NX43:$NY43,"Atrasar"))&gt;0,(COUNTIF($MK43:$MN43,"Parado")+COUNTIF($NX43:$NY43,"Parado"))&gt;0),"Atrasar não entra com Parado",""),IF(AND((COUNTIF($MK43:$MN43,"Armado")+COUNTIF($NX43:$NY43,"Armado"))&gt;0,(COUNTIF($MK43:$MN43,"Carregar")+COUNTIF($NX43:$NY43,"Carregar"))&gt;0),"Armado não entra com Carregar",""),IF(AND(COUNTIF($NX43:$NY43,"Corpo a Corpo")&gt;0,$NS43=0,OR($MH43="Cone",$MH43="Linha")),"Corpo a Corpo não entra em "&amp;$MH43,""),IF(AND(COUNTIF($NX43:$NY43,"Corpo a Corpo")&gt;0,$NS43=1),"A Forma "&amp;$MH43&amp;" já traz o Corpo a Corpo",""),IF(AND(COUNTIF($NX43:$NY43,"Tudo ou Nada")&gt;0,$NU43=0),"Tudo ou Nada só entra em habilidade de Teste de Resistência",""),IF(AND(COUNTIF($MK43:$MN43,"Inescapável")&gt;0,OR($OH43&gt;1,$OI43&gt;0)),"Inescapável não aceita outra peça",""),IF(AND($MF43&gt;0,$OQ43*IF(COUNTIF($MK43:$MN43,"Remate")&gt;0,1.25,1)+$OR43&gt;4*$MF43),($OQ43*IF(COUNTIF($MK43:$MN43,"Remate")&gt;0,1.25,1)+$OR43)&amp;" dados somando repetições"&amp;IF(COUNTIF($MK43:$MN43,"Remate")&gt;0," e o Remate","")&amp;": o teto da Classe "&amp;$MF43&amp;" é "&amp;4*$MF43,"")))</f>
        <v/>
      </c>
      <c r="PH43" s="152">
        <f>IF($PG43="",0,(LEN($PG43)-LEN(SUBSTITUTE($PG43," · ","")))/3+1)</f>
        <v/>
      </c>
      <c r="PI43" s="152">
        <f>IF($MQ43=0,"",TEXTJOIN(" · ",TRUE,IF($OK43&gt;2*$MF43,"A devolução parou no teto de "&amp;2*$MF43,""),IF($ON43&gt;0,"Devolução perdida: "&amp;$ON43&amp;IF($ON43&gt;1," pontos"," ponto")&amp;" sem peça para pagar",""),IF(AND($NP43&gt;0,AND($MF43&gt;0,$NT43=0),$OQ43=0),"Controle sem dano: uma rodada a mais e CD +2",""),IF(AND($NP43&gt;0,AND($MF43&gt;0,$NT43=0),$OQ43&gt;0,$OQ43&lt;=$MF43),"Controle com saldo até a Classe: uma rodada a mais",""),IF(AND($MF43&gt;0,$NR43&lt;&gt;""),"Efeito de "&amp;$NR43&amp;" pela Classe "&amp;MAX(1,$MF43-1),"")))</f>
        <v/>
      </c>
      <c r="PJ43" s="152">
        <f>IF($PI43="",0,(LEN($PI43)-LEN(SUBSTITUTE($PI43," · ","")))/3+1)</f>
        <v/>
      </c>
      <c r="PK43" s="152">
        <f>IF($MQ43=0,IF($OH43+COUNTIF($MO43:$MP43,"?*")&gt;0,"Dê um nome",""),IF($PH43&gt;0,"⚠ "&amp;$PH43&amp;IF($PH43&gt;1," erros"," erro"),IF($PJ43&gt;0,"! "&amp;$PJ43&amp;IF($PJ43&gt;1," avisos"," aviso"),"Na regra")))</f>
        <v/>
      </c>
      <c r="PL43" s="152">
        <f>IF($MQ43=0,"",IF($PH43+$PJ43=0,"Dentro das regras que a ficha confere",$PG43&amp;IF(AND($PH43&gt;0,$PJ43&gt;0)," · ","")&amp;$PI43))</f>
        <v/>
      </c>
      <c r="PM43" s="152">
        <f>IF($MD43&gt;$MR43,$ME43&amp;" · ABRE NO NÍVEL "&amp;$MD43,$ME43)</f>
        <v/>
      </c>
      <c r="PN43" s="152">
        <f>IF($MQ43=0,"",IF($MF43=0,"Sem PE",3*$MF43&amp;" PE"))</f>
        <v/>
      </c>
      <c r="PO43" s="152">
        <f>IF($MQ43=0,"",IF($MF43=0,"A atuação básica dela",IF(COUNTIF($NX43:$NY43,"Atrasar")&gt;0,"Sua Ação Completa",IF(COUNTIF($MK43:$MN43,"Rápido")&gt;0,"Sua Bônus",IF(COUNTIF($MK43:$MN43,"Reação")&gt;0,"Sua Reação","Sua Padrão")))&amp;" + a básica dela"&amp;IF(COUNTIF($MK43:$MN43,"Reação")&gt;0," e a coletiva","")&amp;IF(COUNTIF($NX43:$NY43,"Carregar")&gt;0," · em dois turnos","")))</f>
        <v/>
      </c>
      <c r="PP43" s="152">
        <f>IF($MJ43&lt;&gt;"",$MJ43,IF($MW43=0,"",INDEX($AA$2:$AA$11,$MW43)))</f>
        <v/>
      </c>
      <c r="PQ43" s="152">
        <f>IF(OR($MQ43=0,$MW43=0),"",IF(COUNTIF($MK43:$MN43,"Inescapável")&gt;0,"Automático",IF($PP43="Ataque",IF($MU43="","Ataque","Ataque "&amp;IF(($MU43+2*IF(COUNTIF($MK43:$MN43,"Precisão")&gt;0,1,0))&gt;=0,"+","−")&amp;ABS(($MU43+2*IF(COUNTIF($MK43:$MN43,"Precisão")&gt;0,1,0))))&amp;IF($NQ43&gt;0," · TR"&amp;IF($MV43="",""," CD "&amp;$MV43),""),IF(LEFT($PP43,2)="TR",$PP43&amp;IF($MV43="",""," · CD "&amp;$MV43)&amp;IF(COUNTIF($MK43:$MN43,"Certeiro")&gt;0," · metade",""),"Sem rolagem"))))</f>
        <v/>
      </c>
      <c r="PR43" s="152">
        <f>IF(OR($MQ43=0,$MW43=0),"",IF($MF43=0,IF(OR($NT43&gt;=1,$OQ43=0),"Sem dano",$OQ43&amp;"d6"&amp;IF($MI43="",""," "&amp;$MI43)),IF(OR($NT43&gt;=1,$OQ43=0),UPPER(LEFT(INDEX($OZ43:$PF43,1,MAX(1,$MF43)),1))&amp;MID(INDEX($OZ43:$PF43,1,MAX(1,$MF43)),2,99),UPPER(LEFT(INDEX($OZ43:$PF43,1,MAX(1,$MF43)),1))&amp;MID(INDEX($OZ43:$PF43,1,MAX(1,$MF43)),2,99)&amp;IF($MI43="",""," "&amp;$MI43)&amp;IF($OR43&gt;0," · +"&amp;$OR43&amp;"d8",""))))</f>
        <v/>
      </c>
      <c r="PS43" s="152">
        <f>COUNTIF($MK43:$MN43,"Longe")+3*COUNTIF($MK43:$MN43,"Muito Longe")</f>
        <v/>
      </c>
      <c r="PT43" s="152">
        <f>COUNTIF($MK43:$MN43,"Maior")+3*COUNTIF($MK43:$MN43,"Muito Maior")</f>
        <v/>
      </c>
      <c r="PU43" s="152">
        <f>IF($MW43=0,0,CHOOSE(1+INDEX($AC$2:$AC$11,$MW43),0,$PS43,$PT43,$PS43+$PT43))</f>
        <v/>
      </c>
      <c r="PV43" s="152">
        <f>IF($MW43=0,0,CHOOSE(1+INDEX($AD$2:$AD$11,$MW43),0,$PS43,$PT43,$PS43+$PT43))</f>
        <v/>
      </c>
      <c r="PW43" s="152">
        <f>IF(OR($MQ43=0,$MW43=0),"",INDEX($AI$2:$AN$41,($MW43-1)*4+IF($MF43=0,1,IF($MF43&lt;=5,2,IF($MF43=6,3,4))),1+MIN(5,$PU43))&amp;INDEX($AO$2:$AT$41,($MW43-1)*4+IF($MF43=0,1,IF($MF43&lt;=5,2,IF($MF43=6,3,4))),1+MIN(5,$PV43))&amp;IF(INDEX($AE$2:$AE$11,$MW43)=1,IF(COUNTIF($MK43:$MN43,"Mais Um")&gt;0," · +"&amp;COUNTIF($MK43:$MN43,"Mais Um")&amp;IF(COUNTIF($MK43:$MN43,"Mais Um")&gt;1," alvos"," alvo"),"")&amp;IF(COUNTIF($MK43:$MN43,"Rajada")&gt;0,IF($MF43=0," · 1 tiro"," · "&amp;(MAX(1,$MF43-1)+1)&amp;" tiros"),""),""))</f>
        <v/>
      </c>
      <c r="PX43" s="152">
        <f>IF($MQ43=0,"",IF($MF43=0,$MT43&amp;"d6"&amp;IF($OH43&gt;0," − 1 = "&amp;$OQ43&amp;"d6"," da básica do nível "&amp;$MR43),$OO43&amp;" − "&amp;$OJ43&amp;" + "&amp;$OM43&amp;" = "&amp;$OP43&amp;" · teto "&amp;4*$MF43&amp;"d8"&amp;IF($NS43=1," · a Forma devolve "&amp;$MF43,"")&amp;IF($ON43&gt;0," · perde "&amp;$ON43,"")))</f>
        <v/>
      </c>
      <c r="PY43" s="152">
        <f>IF($MQ43=0,"",IF($MF43=0,"A básica não amplia: os dados dela sobem com o nível",IF($MF43&gt;=$MS43,"Já está na maior Classe que o nível liberou",TEXTJOIN(" · ",TRUE,IF(AND(2&gt;$MF43,2&lt;=$MS43),"2 → "&amp;$PA43&amp;", 6 PE",""),IF(AND(3&gt;$MF43,3&lt;=$MS43),"3 → "&amp;$PB43&amp;", 9 PE",""),IF(AND(4&gt;$MF43,4&lt;=$MS43),"4 → "&amp;$PC43&amp;", 12 PE",""),IF(AND(5&gt;$MF43,5&lt;=$MS43),"5 → "&amp;$PD43&amp;", 15 PE",""),IF(AND(6&gt;$MF43,6&lt;=$MS43),"6 → "&amp;$PE43&amp;", 18 PE",""),IF(AND(7&gt;$MF43,7&lt;=$MS43),"7 → "&amp;$PF43&amp;", 21 PE","")))))</f>
        <v/>
      </c>
      <c r="PZ43" s="152">
        <f>IF(OR($MQ43=0,$NB43=0),"",IF($MF43=0,"−1 dado","−"&amp;INDEX($I$2:$N$8,MAX(1,$MF43),MAX(1,$NG43))&amp;" · "&amp;CHOOSE(MAX(1,$NG43),"Leve","Média","Pesada","Leve · Livre","Média · Livre","Pesada · Livre")))</f>
        <v/>
      </c>
      <c r="QA43" s="152">
        <f>IF(OR($MQ43=0,$NC43=0),"",IF($MF43=0,"−1 dado","−"&amp;INDEX($I$2:$N$8,MAX(1,$MF43),MAX(1,$NH43))&amp;" · "&amp;CHOOSE(MAX(1,$NH43),"Leve","Média","Pesada","Leve · Livre","Média · Livre","Pesada · Livre")))</f>
        <v/>
      </c>
      <c r="QB43" s="152">
        <f>IF(OR($MQ43=0,$ND43=0),"",IF($MF43=0,"−1 dado","−"&amp;INDEX($I$2:$N$8,MAX(1,$MF43),MAX(1,$NI43))&amp;" · "&amp;CHOOSE(MAX(1,$NI43),"Leve","Média","Pesada","Leve · Livre","Média · Livre","Pesada · Livre")))</f>
        <v/>
      </c>
      <c r="QC43" s="152">
        <f>IF(OR($MQ43=0,$NE43=0),"",IF($MF43=0,"−1 dado","−"&amp;INDEX($I$2:$N$8,MAX(1,$MF43),MAX(1,$NJ43))&amp;" · "&amp;CHOOSE(MAX(1,$NJ43),"Leve","Média","Pesada","Leve · Livre","Média · Livre","Pesada · Livre")))</f>
        <v/>
      </c>
      <c r="QD43" s="152">
        <f>IF(OR($MQ43=0,$MO43=""),"",IF($MF43=0,"não devolve","+"&amp;IF($NV43=1,CEILING($MF43/2,1),$MF43)))</f>
        <v/>
      </c>
      <c r="QE43" s="152">
        <f>IF(OR($MQ43=0,$MP43=""),"",IF($MF43=0,"não devolve","+"&amp;IF($NW43=1,CEILING($MF43/2,1),$MF43)))</f>
        <v/>
      </c>
    </row>
    <row r="44">
      <c r="AV44" s="150" t="inlineStr">
        <is>
          <t>Impulso</t>
        </is>
      </c>
      <c r="AW44" s="150" t="inlineStr">
        <is>
          <t>Auxiliares</t>
        </is>
      </c>
      <c r="AX44" s="152" t="n">
        <v>1</v>
      </c>
      <c r="AY44" s="152" t="n">
        <v>0</v>
      </c>
      <c r="AZ44" s="152" t="n">
        <v>0</v>
      </c>
      <c r="BA44" s="152" t="n">
        <v>0</v>
      </c>
      <c r="JG44" s="152">
        <f>IF(OR($AW44="",COUNTIF($EF$2:$EJ$2,$AW44)&gt;0),$AV44,"")</f>
        <v/>
      </c>
      <c r="JH44" s="152">
        <f>IF(AND($AX44=1,OR($AW44="",COUNTIF($EF$2:$EJ$2,$AW44)&gt;0)),$AV44,"")</f>
        <v/>
      </c>
      <c r="JM44" s="152">
        <f>IF(OR($AW44="",COUNTIF($EF$3:$EJ$3,$AW44)&gt;0),$AV44,"")</f>
        <v/>
      </c>
      <c r="JN44" s="152">
        <f>IF(AND($AX44=1,OR($AW44="",COUNTIF($EF$3:$EJ$3,$AW44)&gt;0)),$AV44,"")</f>
        <v/>
      </c>
      <c r="JS44" s="152">
        <f>IF(OR($AW44="",COUNTIF($EF$4:$EJ$4,$AW44)&gt;0),$AV44,"")</f>
        <v/>
      </c>
      <c r="JT44" s="152">
        <f>IF(AND($AX44=1,OR($AW44="",COUNTIF($EF$4:$EJ$4,$AW44)&gt;0)),$AV44,"")</f>
        <v/>
      </c>
      <c r="JY44" s="152">
        <f>IF(OR($AW44="",COUNTIF($EF$5:$EJ$5,$AW44)&gt;0),$AV44,"")</f>
        <v/>
      </c>
      <c r="JZ44" s="152">
        <f>IF(AND($AX44=1,OR($AW44="",COUNTIF($EF$5:$EJ$5,$AW44)&gt;0)),$AV44,"")</f>
        <v/>
      </c>
      <c r="KE44" s="152">
        <f>IF(OR($AW44="",COUNTIF($EF$6:$EJ$6,$AW44)&gt;0),$AV44,"")</f>
        <v/>
      </c>
      <c r="KF44" s="152">
        <f>IF(AND($AX44=1,OR($AW44="",COUNTIF($EF$6:$EJ$6,$AW44)&gt;0)),$AV44,"")</f>
        <v/>
      </c>
      <c r="KK44" s="152">
        <f>IF(OR($AW44="",COUNTIF($EF$7:$EJ$7,$AW44)&gt;0),$AV44,"")</f>
        <v/>
      </c>
      <c r="KL44" s="152">
        <f>IF(AND($AX44=1,OR($AW44="",COUNTIF($EF$7:$EJ$7,$AW44)&gt;0)),$AV44,"")</f>
        <v/>
      </c>
      <c r="KQ44" s="152">
        <f>IF(OR($AW44="",COUNTIF($EF$8:$EJ$8,$AW44)&gt;0),$AV44,"")</f>
        <v/>
      </c>
      <c r="KR44" s="152">
        <f>IF(AND($AX44=1,OR($AW44="",COUNTIF($EF$8:$EJ$8,$AW44)&gt;0)),$AV44,"")</f>
        <v/>
      </c>
      <c r="KW44" s="152">
        <f>IF(OR($AW44="",COUNTIF($EF$9:$EJ$9,$AW44)&gt;0),$AV44,"")</f>
        <v/>
      </c>
      <c r="KX44" s="152">
        <f>IF(AND($AX44=1,OR($AW44="",COUNTIF($EF$9:$EJ$9,$AW44)&gt;0)),$AV44,"")</f>
        <v/>
      </c>
      <c r="LC44" s="152">
        <f>IF(OR($AW44="",COUNTIF($EF$10:$EJ$10,$AW44)&gt;0),$AV44,"")</f>
        <v/>
      </c>
      <c r="LD44" s="152">
        <f>IF(AND($AX44=1,OR($AW44="",COUNTIF($EF$10:$EJ$10,$AW44)&gt;0)),$AV44,"")</f>
        <v/>
      </c>
      <c r="LI44" s="152">
        <f>IF(OR($AW44="",COUNTIF($EF$11:$EJ$11,$AW44)&gt;0),$AV44,"")</f>
        <v/>
      </c>
      <c r="LJ44" s="152">
        <f>IF(AND($AX44=1,OR($AW44="",COUNTIF($EF$11:$EJ$11,$AW44)&gt;0)),$AV44,"")</f>
        <v/>
      </c>
      <c r="LO44" s="152">
        <f>IF(OR($AW44="",COUNTIF($EF$12:$EJ$12,$AW44)&gt;0),$AV44,"")</f>
        <v/>
      </c>
      <c r="LP44" s="152">
        <f>IF(AND($AX44=1,OR($AW44="",COUNTIF($EF$12:$EJ$12,$AW44)&gt;0)),$AV44,"")</f>
        <v/>
      </c>
      <c r="LU44" s="152">
        <f>IF(OR($AW44="",COUNTIF($EF$13:$EJ$13,$AW44)&gt;0),$AV44,"")</f>
        <v/>
      </c>
      <c r="LV44" s="152">
        <f>IF(AND($AX44=1,OR($AW44="",COUNTIF($EF$13:$EJ$13,$AW44)&gt;0)),$AV44,"")</f>
        <v/>
      </c>
      <c r="MA44" s="150" t="inlineStr">
        <is>
          <t>Ficha 4 · Básica 2</t>
        </is>
      </c>
      <c r="MB44" s="152" t="n">
        <v>4</v>
      </c>
      <c r="MC44" s="152" t="n">
        <v>0</v>
      </c>
      <c r="MD44" s="152" t="n">
        <v>11</v>
      </c>
      <c r="ME44" s="150" t="inlineStr">
        <is>
          <t>BÁSICA 2</t>
        </is>
      </c>
      <c r="MF44" s="152" t="n">
        <v>0</v>
      </c>
      <c r="MG44" s="152">
        <f>'INVOCAÇÕES'!$J$686&amp;""</f>
        <v/>
      </c>
      <c r="MH44" s="152">
        <f>'INVOCAÇÕES'!$I$691&amp;""</f>
        <v/>
      </c>
      <c r="MI44" s="152">
        <f>'INVOCAÇÕES'!$I$692&amp;""</f>
        <v/>
      </c>
      <c r="MJ44" s="152">
        <f>'INVOCAÇÕES'!$K$692&amp;""</f>
        <v/>
      </c>
      <c r="MK44" s="152">
        <f>'INVOCAÇÕES'!$J$695&amp;""</f>
        <v/>
      </c>
      <c r="ML44" s="152">
        <f>'INVOCAÇÕES'!$J$696&amp;""</f>
        <v/>
      </c>
      <c r="MM44" s="152">
        <f>'INVOCAÇÕES'!$J$697&amp;""</f>
        <v/>
      </c>
      <c r="MN44" s="152">
        <f>'INVOCAÇÕES'!$J$698&amp;""</f>
        <v/>
      </c>
      <c r="MO44" s="152">
        <f>'INVOCAÇÕES'!$J$699&amp;""</f>
        <v/>
      </c>
      <c r="MP44" s="152">
        <f>'INVOCAÇÕES'!$J$700&amp;""</f>
        <v/>
      </c>
      <c r="MQ44" s="152">
        <f>IF($MG44&lt;&gt;"",1,0)</f>
        <v/>
      </c>
      <c r="MR44" s="152">
        <f>INDEX($FI$2:$FI$13,$MB44)</f>
        <v/>
      </c>
      <c r="MS44" s="152">
        <f>INDEX($FJ$2:$FJ$13,$MB44)</f>
        <v/>
      </c>
      <c r="MT44" s="152">
        <f>INDEX($FK$2:$FK$13,$MB44)</f>
        <v/>
      </c>
      <c r="MU44" s="152">
        <f>INDEX($FV$2:$FV$13,$MB44)</f>
        <v/>
      </c>
      <c r="MV44" s="152">
        <f>INDEX($FW$2:$FW$13,$MB44)</f>
        <v/>
      </c>
      <c r="MW44" s="152">
        <f>IFERROR(MATCH($MH44,$V$2:$V$11,0),0)</f>
        <v/>
      </c>
      <c r="MX44" s="152">
        <f>IFERROR(VLOOKUP($MK44,$AV$2:$BA$84,2,FALSE),"")</f>
        <v/>
      </c>
      <c r="MY44" s="152">
        <f>IFERROR(VLOOKUP($ML44,$AV$2:$BA$84,2,FALSE),"")</f>
        <v/>
      </c>
      <c r="MZ44" s="152">
        <f>IFERROR(VLOOKUP($MM44,$AV$2:$BA$84,2,FALSE),"")</f>
        <v/>
      </c>
      <c r="NA44" s="152">
        <f>IFERROR(VLOOKUP($MN44,$AV$2:$BA$84,2,FALSE),"")</f>
        <v/>
      </c>
      <c r="NB44" s="152">
        <f>IFERROR(VLOOKUP($MK44,$AV$2:$BA$84,3,FALSE),0)</f>
        <v/>
      </c>
      <c r="NC44" s="152">
        <f>IFERROR(VLOOKUP($ML44,$AV$2:$BA$84,3,FALSE),0)</f>
        <v/>
      </c>
      <c r="ND44" s="152">
        <f>IFERROR(VLOOKUP($MM44,$AV$2:$BA$84,3,FALSE),0)</f>
        <v/>
      </c>
      <c r="NE44" s="152">
        <f>IFERROR(VLOOKUP($MN44,$AV$2:$BA$84,3,FALSE),0)</f>
        <v/>
      </c>
      <c r="NF44" s="152">
        <f>IF($MF44=0,0,IF($MW44=0,0,INDEX($X$2:$X$11,$MW44)))</f>
        <v/>
      </c>
      <c r="NG44" s="152">
        <f>IF(OR($NB44=0,$MF44=0),0,$NB44+3*IF(AND($MX44&lt;&gt;"",OR($MX44=INDEX($EF$2:$EF$13,$MB44),$MX44=INDEX($EG$2:$EG$13,$MB44))),1,0))</f>
        <v/>
      </c>
      <c r="NH44" s="152">
        <f>IF(OR($NC44=0,$MF44=0),0,$NC44+3*IF(AND($MY44&lt;&gt;"",OR($MY44=INDEX($EF$2:$EF$13,$MB44),$MY44=INDEX($EG$2:$EG$13,$MB44))),1,0))</f>
        <v/>
      </c>
      <c r="NI44" s="152">
        <f>IF(OR($ND44=0,$MF44=0),0,$ND44+3*IF(AND($MZ44&lt;&gt;"",OR($MZ44=INDEX($EF$2:$EF$13,$MB44),$MZ44=INDEX($EG$2:$EG$13,$MB44))),1,0))</f>
        <v/>
      </c>
      <c r="NJ44" s="152">
        <f>IF(OR($NE44=0,$MF44=0),0,$NE44+3*IF(AND($NA44&lt;&gt;"",OR($NA44=INDEX($EF$2:$EF$13,$MB44),$NA44=INDEX($EG$2:$EG$13,$MB44))),1,0))</f>
        <v/>
      </c>
      <c r="NK44" s="152">
        <f>IF($MW44=0,0,IF(INDEX($W$2:$W$11,$MW44)="",0,IF(COUNTIF(INDEX($EF$2:$EJ$13,$MB44,0),INDEX($W$2:$W$11,$MW44))=0,1,0)))</f>
        <v/>
      </c>
      <c r="NL44" s="152">
        <f>IF(OR($NB44=0,$MX44=""),0,IF(COUNTIF(INDEX($EF$2:$EJ$13,$MB44,0),$MX44)=0,1,0))</f>
        <v/>
      </c>
      <c r="NM44" s="152">
        <f>IF(OR($NC44=0,$MY44=""),0,IF(COUNTIF(INDEX($EF$2:$EJ$13,$MB44,0),$MY44)=0,1,0))</f>
        <v/>
      </c>
      <c r="NN44" s="152">
        <f>IF(OR($ND44=0,$MZ44=""),0,IF(COUNTIF(INDEX($EF$2:$EJ$13,$MB44,0),$MZ44)=0,1,0))</f>
        <v/>
      </c>
      <c r="NO44" s="152">
        <f>IF(OR($NE44=0,$NA44=""),0,IF(COUNTIF(INDEX($EF$2:$EJ$13,$MB44,0),$NA44)=0,1,0))</f>
        <v/>
      </c>
      <c r="NP44" s="152">
        <f>IFERROR(VLOOKUP($MK44,$AV$2:$BA$84,4,FALSE),0)+IFERROR(VLOOKUP($ML44,$AV$2:$BA$84,4,FALSE),0)+IFERROR(VLOOKUP($MM44,$AV$2:$BA$84,4,FALSE),0)+IFERROR(VLOOKUP($MN44,$AV$2:$BA$84,4,FALSE),0)</f>
        <v/>
      </c>
      <c r="NQ44" s="152">
        <f>IFERROR(VLOOKUP($MK44,$AV$2:$BA$84,6,FALSE),0)+IFERROR(VLOOKUP($ML44,$AV$2:$BA$84,6,FALSE),0)+IFERROR(VLOOKUP($MM44,$AV$2:$BA$84,6,FALSE),0)+IFERROR(VLOOKUP($MN44,$AV$2:$BA$84,6,FALSE),0)</f>
        <v/>
      </c>
      <c r="NR44" s="152">
        <f>TEXTJOIN(", ",TRUE,IF(IFERROR(VLOOKUP($MK44,$AV$2:$BA$84,5,FALSE),0)=1,$MK44,""),IF(IFERROR(VLOOKUP($ML44,$AV$2:$BA$84,5,FALSE),0)=1,$ML44,""),IF(IFERROR(VLOOKUP($MM44,$AV$2:$BA$84,5,FALSE),0)=1,$MM44,""),IF(IFERROR(VLOOKUP($MN44,$AV$2:$BA$84,5,FALSE),0)=1,$MN44,""))</f>
        <v/>
      </c>
      <c r="NS44" s="152">
        <f>IF($MW44=0,0,INDEX($Y$2:$Y$11,$MW44))</f>
        <v/>
      </c>
      <c r="NT44" s="152">
        <f>IF($MW44=0,0,INDEX($Z$2:$Z$11,$MW44))</f>
        <v/>
      </c>
      <c r="NU44" s="152">
        <f>IF($MW44=0,0,INDEX($AB$2:$AB$11,$MW44))</f>
        <v/>
      </c>
      <c r="NV44" s="152">
        <f>IFERROR(VLOOKUP($MO44,$BC$2:$BG$24,3,FALSE),0)</f>
        <v/>
      </c>
      <c r="NW44" s="152">
        <f>IFERROR(VLOOKUP($MP44,$BC$2:$BG$24,3,FALSE),0)</f>
        <v/>
      </c>
      <c r="NX44" s="152">
        <f>IFERROR(VLOOKUP($MO44,$BC$2:$BG$24,2,FALSE),"")</f>
        <v/>
      </c>
      <c r="NY44" s="152">
        <f>IFERROR(VLOOKUP($MP44,$BC$2:$BG$24,2,FALSE),"")</f>
        <v/>
      </c>
      <c r="NZ44" s="152">
        <f>COUNTIF($NF44:$NJ44,1)</f>
        <v/>
      </c>
      <c r="OA44" s="152">
        <f>COUNTIF($NF44:$NJ44,2)</f>
        <v/>
      </c>
      <c r="OB44" s="152">
        <f>COUNTIF($NF44:$NJ44,3)</f>
        <v/>
      </c>
      <c r="OC44" s="152">
        <f>COUNTIF($NF44:$NJ44,4)</f>
        <v/>
      </c>
      <c r="OD44" s="152">
        <f>COUNTIF($NF44:$NJ44,5)</f>
        <v/>
      </c>
      <c r="OE44" s="152">
        <f>COUNTIF($NF44:$NJ44,6)</f>
        <v/>
      </c>
      <c r="OF44" s="152">
        <f>COUNTIF($NV44:$NW44,1)</f>
        <v/>
      </c>
      <c r="OG44" s="152">
        <f>COUNTIF($NV44:$NW44,2)+$NS44</f>
        <v/>
      </c>
      <c r="OH44" s="152">
        <f>COUNTIF($MK44:$MN44,"?*")</f>
        <v/>
      </c>
      <c r="OI44" s="152">
        <f>COUNTIF($MO44:$MP44,"?*")+$NS44</f>
        <v/>
      </c>
      <c r="OJ44" s="152">
        <f>IF($MF44=0,0,SUMPRODUCT($NZ44:$OE44,INDEX($I$2:$N$8,MAX(1,$MF44),0)))</f>
        <v/>
      </c>
      <c r="OK44" s="152">
        <f>IF($MF44=0,0,$OF44*CEILING($MF44/2,1)+$OG44*$MF44)</f>
        <v/>
      </c>
      <c r="OL44" s="152">
        <f>MIN(2*$MF44,$OK44)</f>
        <v/>
      </c>
      <c r="OM44" s="152">
        <f>MIN($OL44,$OJ44)</f>
        <v/>
      </c>
      <c r="ON44" s="152">
        <f>$OL44-$OM44</f>
        <v/>
      </c>
      <c r="OO44" s="152">
        <f>IF($MF44=0,0,INDEX($P$2:$P$8,MAX(1,$MF44)))</f>
        <v/>
      </c>
      <c r="OP44" s="152">
        <f>$OO44-$OJ44+$OM44</f>
        <v/>
      </c>
      <c r="OQ44" s="152">
        <f>IF($MF44=0,MAX(0,$MT44-IF($OH44&gt;0,1,0)),MAX(0,$OP44))</f>
        <v/>
      </c>
      <c r="OR44" s="152">
        <f>IF($MF44=0,0,(IF(COUNTIF($MK44:$MN44,"Salto")&gt;0,1,0)+IF(COUNTIF($MK44:$MN44,"Queima")&gt;0,1,0)+IF(COUNTIF($MK44:$MN44,"Estilhaço")&gt;0,1,0))*FLOOR($OQ44/2,1))</f>
        <v/>
      </c>
      <c r="OS44" s="152">
        <f>MAX(0,2-SUMPRODUCT($NZ44:$OE44,$I$2:$N$2)+MIN(2,$OF44*1+$OG44*1,SUMPRODUCT($NZ44:$OE44,$I$2:$N$2)))</f>
        <v/>
      </c>
      <c r="OT44" s="152">
        <f>MAX(0,4-SUMPRODUCT($NZ44:$OE44,$I$3:$N$3)+MIN(4,$OF44*1+$OG44*2,SUMPRODUCT($NZ44:$OE44,$I$3:$N$3)))</f>
        <v/>
      </c>
      <c r="OU44" s="152">
        <f>MAX(0,6-SUMPRODUCT($NZ44:$OE44,$I$4:$N$4)+MIN(6,$OF44*2+$OG44*3,SUMPRODUCT($NZ44:$OE44,$I$4:$N$4)))</f>
        <v/>
      </c>
      <c r="OV44" s="152">
        <f>MAX(0,9-SUMPRODUCT($NZ44:$OE44,$I$5:$N$5)+MIN(8,$OF44*2+$OG44*4,SUMPRODUCT($NZ44:$OE44,$I$5:$N$5)))</f>
        <v/>
      </c>
      <c r="OW44" s="152">
        <f>MAX(0,11-SUMPRODUCT($NZ44:$OE44,$I$6:$N$6)+MIN(10,$OF44*3+$OG44*5,SUMPRODUCT($NZ44:$OE44,$I$6:$N$6)))</f>
        <v/>
      </c>
      <c r="OX44" s="152">
        <f>MAX(0,13-SUMPRODUCT($NZ44:$OE44,$I$7:$N$7)+MIN(12,$OF44*3+$OG44*6,SUMPRODUCT($NZ44:$OE44,$I$7:$N$7)))</f>
        <v/>
      </c>
      <c r="OY44" s="152">
        <f>MAX(0,16-SUMPRODUCT($NZ44:$OE44,$I$8:$N$8)+MIN(14,$OF44*4+$OG44*7,SUMPRODUCT($NZ44:$OE44,$I$8:$N$8)))</f>
        <v/>
      </c>
      <c r="OZ44" s="152">
        <f>IF($NT44=2,3*$OS44&amp;" de vida temp.",IF($NT44=3,"sem dano",IF($OS44=0,IF($NT44=1,"sem cura","sem dano"),IF($NT44=1,"cura ","")&amp;$OS44&amp;"d8")))</f>
        <v/>
      </c>
      <c r="PA44" s="152">
        <f>IF($NT44=2,3*$OT44&amp;" de vida temp.",IF($NT44=3,"sem dano",IF($OT44=0,IF($NT44=1,"sem cura","sem dano"),IF($NT44=1,"cura ","")&amp;$OT44&amp;"d8")))</f>
        <v/>
      </c>
      <c r="PB44" s="152">
        <f>IF($NT44=2,3*$OU44&amp;" de vida temp.",IF($NT44=3,"sem dano",IF($OU44=0,IF($NT44=1,"sem cura","sem dano"),IF($NT44=1,"cura ","")&amp;$OU44&amp;"d8")))</f>
        <v/>
      </c>
      <c r="PC44" s="152">
        <f>IF($NT44=2,3*$OV44&amp;" de vida temp.",IF($NT44=3,"sem dano",IF($OV44=0,IF($NT44=1,"sem cura","sem dano"),IF($NT44=1,"cura ","")&amp;$OV44&amp;"d8")))</f>
        <v/>
      </c>
      <c r="PD44" s="152">
        <f>IF($NT44=2,3*$OW44&amp;" de vida temp.",IF($NT44=3,"sem dano",IF($OW44=0,IF($NT44=1,"sem cura","sem dano"),IF($NT44=1,"cura ","")&amp;$OW44&amp;"d8")))</f>
        <v/>
      </c>
      <c r="PE44" s="152">
        <f>IF($NT44=2,3*$OX44&amp;" de vida temp.",IF($NT44=3,"sem dano",IF($OX44=0,IF($NT44=1,"sem cura","sem dano"),IF($NT44=1,"cura ","")&amp;$OX44&amp;"d8")))</f>
        <v/>
      </c>
      <c r="PF44" s="152">
        <f>IF($NT44=2,3*$OY44&amp;" de vida temp.",IF($NT44=3,"sem dano",IF($OY44=0,IF($NT44=1,"sem cura","sem dano"),IF($NT44=1,"cura ","")&amp;$OY44&amp;"d8")))</f>
        <v/>
      </c>
      <c r="PG44" s="152">
        <f>IF($MQ44=0,"",TEXTJOIN(" · ",TRUE,IF($MD44&gt;$MR44,"Este lugar abre no nível "&amp;$MD44,""),IF($MF44&gt;$MS44,"Classe "&amp;$MF44&amp;": o nível "&amp;$MR44&amp;" libera até a "&amp;$MS44,""),IF($NK44=1,"A Forma "&amp;$MH44&amp;" pede "&amp;INDEX($W$2:$W$11,$MW44)&amp;" aberta",""),IF(AND($MF44=0,$MW44&gt;0,IF($MW44=0,0,INDEX($AF$2:$AF$11,$MW44))=0),$MH44&amp;" não existe na Classe 0",""),IF($NL44=1,"Família Fechada: "&amp;$MK44,""),IF($NM44=1,"Família Fechada: "&amp;$ML44,""),IF($NN44=1,"Família Fechada: "&amp;$MM44,""),IF($NO44=1,"Família Fechada: "&amp;$MN44,""),IF(AND($MF44&gt;0,$OH44&gt;INDEX($O$2:$O$8,MAX(1,$MF44))),$OH44&amp;" Melhorias: a Classe "&amp;$MF44&amp;" aceita "&amp;INDEX($O$2:$O$8,MAX(1,$MF44)),""),IF(AND($MF44=0,$OH44&gt;1),"A básica aceita uma Melhoria",""),IF(AND($MF44=0,COUNTIF($NB44:$NE44,"&gt;1")&gt;0),"A básica só aceita Melhoria Leve",""),IF(AND($MF44&gt;0,$OI44&gt;2),$OI44&amp;" Restrições"&amp;IF($NS44=1,", contando a que a Forma "&amp;$MH44&amp;" já traz","")&amp;": o limite é 2",""),IF(AND($MF44=0,COUNTIF($MO44:$MP44,"?*")&gt;1),"A básica aceita uma Restrição Leve",""),IF(AND($MF44=0,COUNTIF($NV44:$NW44,2)&gt;0),"A básica só aceita Restrição Leve",""),IF(AND($MF44&gt;0,$OP44&lt;0),"Orçamento estourado: faltam "&amp;(-$OP44)&amp;IF($OP44&lt;-1," pontos"," ponto"),""),IF(IFERROR(VLOOKUP($MO44,$BC$2:$BG$24,4,FALSE),0)+IFERROR(VLOOKUP($MP44,$BC$2:$BG$24,4,FALSE),0)&gt;1,$NX44&amp;" e "&amp;$NY44&amp;" são as duas de frequência",""),IF(AND((COUNTIF($MK44:$MN44,"Rápido")+COUNTIF($NX44:$NY44,"Rápido"))&gt;0,(COUNTIF($MK44:$MN44,"Atrasar")+COUNTIF($NX44:$NY44,"Atrasar"))&gt;0),"Rápido não entra com Atrasar",""),IF(AND((COUNTIF($MK44:$MN44,"Reação")+COUNTIF($NX44:$NY44,"Reação"))&gt;0,(COUNTIF($MK44:$MN44,"Rápido")+COUNTIF($NX44:$NY44,"Rápido"))&gt;0),"Reação não entra com Rápido",""),IF(AND((COUNTIF($MK44:$MN44,"Reação")+COUNTIF($NX44:$NY44,"Reação"))&gt;0,(COUNTIF($MK44:$MN44,"Armado")+COUNTIF($NX44:$NY44,"Armado"))&gt;0),"Reação não entra com Armado",""),IF(AND((COUNTIF($MK44:$MN44,"Reação")+COUNTIF($NX44:$NY44,"Reação"))&gt;0,(COUNTIF($MK44:$MN44,"Atrasar")+COUNTIF($NX44:$NY44,"Atrasar"))&gt;0),"Reação não entra com Atrasar",""),IF(AND((COUNTIF($MK44:$MN44,"Reação")+COUNTIF($NX44:$NY44,"Reação"))&gt;0,(COUNTIF($MK44:$MN44,"Parado")+COUNTIF($NX44:$NY44,"Parado"))&gt;0),"Reação não entra com Parado",""),IF(AND((COUNTIF($MK44:$MN44,"Atrasar")+COUNTIF($NX44:$NY44,"Atrasar"))&gt;0,(COUNTIF($MK44:$MN44,"Parado")+COUNTIF($NX44:$NY44,"Parado"))&gt;0),"Atrasar não entra com Parado",""),IF(AND((COUNTIF($MK44:$MN44,"Armado")+COUNTIF($NX44:$NY44,"Armado"))&gt;0,(COUNTIF($MK44:$MN44,"Carregar")+COUNTIF($NX44:$NY44,"Carregar"))&gt;0),"Armado não entra com Carregar",""),IF(AND(COUNTIF($NX44:$NY44,"Corpo a Corpo")&gt;0,$NS44=0,OR($MH44="Cone",$MH44="Linha")),"Corpo a Corpo não entra em "&amp;$MH44,""),IF(AND(COUNTIF($NX44:$NY44,"Corpo a Corpo")&gt;0,$NS44=1),"A Forma "&amp;$MH44&amp;" já traz o Corpo a Corpo",""),IF(AND(COUNTIF($NX44:$NY44,"Tudo ou Nada")&gt;0,$NU44=0),"Tudo ou Nada só entra em habilidade de Teste de Resistência",""),IF(AND(COUNTIF($MK44:$MN44,"Inescapável")&gt;0,OR($OH44&gt;1,$OI44&gt;0)),"Inescapável não aceita outra peça",""),IF(AND($MF44&gt;0,$OQ44*IF(COUNTIF($MK44:$MN44,"Remate")&gt;0,1.25,1)+$OR44&gt;4*$MF44),($OQ44*IF(COUNTIF($MK44:$MN44,"Remate")&gt;0,1.25,1)+$OR44)&amp;" dados somando repetições"&amp;IF(COUNTIF($MK44:$MN44,"Remate")&gt;0," e o Remate","")&amp;": o teto da Classe "&amp;$MF44&amp;" é "&amp;4*$MF44,"")))</f>
        <v/>
      </c>
      <c r="PH44" s="152">
        <f>IF($PG44="",0,(LEN($PG44)-LEN(SUBSTITUTE($PG44," · ","")))/3+1)</f>
        <v/>
      </c>
      <c r="PI44" s="152">
        <f>IF($MQ44=0,"",TEXTJOIN(" · ",TRUE,IF($OK44&gt;2*$MF44,"A devolução parou no teto de "&amp;2*$MF44,""),IF($ON44&gt;0,"Devolução perdida: "&amp;$ON44&amp;IF($ON44&gt;1," pontos"," ponto")&amp;" sem peça para pagar",""),IF(AND($NP44&gt;0,AND($MF44&gt;0,$NT44=0),$OQ44=0),"Controle sem dano: uma rodada a mais e CD +2",""),IF(AND($NP44&gt;0,AND($MF44&gt;0,$NT44=0),$OQ44&gt;0,$OQ44&lt;=$MF44),"Controle com saldo até a Classe: uma rodada a mais",""),IF(AND($MF44&gt;0,$NR44&lt;&gt;""),"Efeito de "&amp;$NR44&amp;" pela Classe "&amp;MAX(1,$MF44-1),"")))</f>
        <v/>
      </c>
      <c r="PJ44" s="152">
        <f>IF($PI44="",0,(LEN($PI44)-LEN(SUBSTITUTE($PI44," · ","")))/3+1)</f>
        <v/>
      </c>
      <c r="PK44" s="152">
        <f>IF($MQ44=0,IF($OH44+COUNTIF($MO44:$MP44,"?*")&gt;0,"Dê um nome",""),IF($PH44&gt;0,"⚠ "&amp;$PH44&amp;IF($PH44&gt;1," erros"," erro"),IF($PJ44&gt;0,"! "&amp;$PJ44&amp;IF($PJ44&gt;1," avisos"," aviso"),"Na regra")))</f>
        <v/>
      </c>
      <c r="PL44" s="152">
        <f>IF($MQ44=0,"",IF($PH44+$PJ44=0,"Dentro das regras que a ficha confere",$PG44&amp;IF(AND($PH44&gt;0,$PJ44&gt;0)," · ","")&amp;$PI44))</f>
        <v/>
      </c>
      <c r="PM44" s="152">
        <f>IF($MD44&gt;$MR44,$ME44&amp;" · ABRE NO NÍVEL "&amp;$MD44,$ME44)</f>
        <v/>
      </c>
      <c r="PN44" s="152">
        <f>IF($MQ44=0,"",IF($MF44=0,"Sem PE",3*$MF44&amp;" PE"))</f>
        <v/>
      </c>
      <c r="PO44" s="152">
        <f>IF($MQ44=0,"",IF($MF44=0,"A atuação básica dela",IF(COUNTIF($NX44:$NY44,"Atrasar")&gt;0,"Sua Ação Completa",IF(COUNTIF($MK44:$MN44,"Rápido")&gt;0,"Sua Bônus",IF(COUNTIF($MK44:$MN44,"Reação")&gt;0,"Sua Reação","Sua Padrão")))&amp;" + a básica dela"&amp;IF(COUNTIF($MK44:$MN44,"Reação")&gt;0," e a coletiva","")&amp;IF(COUNTIF($NX44:$NY44,"Carregar")&gt;0," · em dois turnos","")))</f>
        <v/>
      </c>
      <c r="PP44" s="152">
        <f>IF($MJ44&lt;&gt;"",$MJ44,IF($MW44=0,"",INDEX($AA$2:$AA$11,$MW44)))</f>
        <v/>
      </c>
      <c r="PQ44" s="152">
        <f>IF(OR($MQ44=0,$MW44=0),"",IF(COUNTIF($MK44:$MN44,"Inescapável")&gt;0,"Automático",IF($PP44="Ataque",IF($MU44="","Ataque","Ataque "&amp;IF(($MU44+2*IF(COUNTIF($MK44:$MN44,"Precisão")&gt;0,1,0))&gt;=0,"+","−")&amp;ABS(($MU44+2*IF(COUNTIF($MK44:$MN44,"Precisão")&gt;0,1,0))))&amp;IF($NQ44&gt;0," · TR"&amp;IF($MV44="",""," CD "&amp;$MV44),""),IF(LEFT($PP44,2)="TR",$PP44&amp;IF($MV44="",""," · CD "&amp;$MV44)&amp;IF(COUNTIF($MK44:$MN44,"Certeiro")&gt;0," · metade",""),"Sem rolagem"))))</f>
        <v/>
      </c>
      <c r="PR44" s="152">
        <f>IF(OR($MQ44=0,$MW44=0),"",IF($MF44=0,IF(OR($NT44&gt;=1,$OQ44=0),"Sem dano",$OQ44&amp;"d6"&amp;IF($MI44="",""," "&amp;$MI44)),IF(OR($NT44&gt;=1,$OQ44=0),UPPER(LEFT(INDEX($OZ44:$PF44,1,MAX(1,$MF44)),1))&amp;MID(INDEX($OZ44:$PF44,1,MAX(1,$MF44)),2,99),UPPER(LEFT(INDEX($OZ44:$PF44,1,MAX(1,$MF44)),1))&amp;MID(INDEX($OZ44:$PF44,1,MAX(1,$MF44)),2,99)&amp;IF($MI44="",""," "&amp;$MI44)&amp;IF($OR44&gt;0," · +"&amp;$OR44&amp;"d8",""))))</f>
        <v/>
      </c>
      <c r="PS44" s="152">
        <f>COUNTIF($MK44:$MN44,"Longe")+3*COUNTIF($MK44:$MN44,"Muito Longe")</f>
        <v/>
      </c>
      <c r="PT44" s="152">
        <f>COUNTIF($MK44:$MN44,"Maior")+3*COUNTIF($MK44:$MN44,"Muito Maior")</f>
        <v/>
      </c>
      <c r="PU44" s="152">
        <f>IF($MW44=0,0,CHOOSE(1+INDEX($AC$2:$AC$11,$MW44),0,$PS44,$PT44,$PS44+$PT44))</f>
        <v/>
      </c>
      <c r="PV44" s="152">
        <f>IF($MW44=0,0,CHOOSE(1+INDEX($AD$2:$AD$11,$MW44),0,$PS44,$PT44,$PS44+$PT44))</f>
        <v/>
      </c>
      <c r="PW44" s="152">
        <f>IF(OR($MQ44=0,$MW44=0),"",INDEX($AI$2:$AN$41,($MW44-1)*4+IF($MF44=0,1,IF($MF44&lt;=5,2,IF($MF44=6,3,4))),1+MIN(5,$PU44))&amp;INDEX($AO$2:$AT$41,($MW44-1)*4+IF($MF44=0,1,IF($MF44&lt;=5,2,IF($MF44=6,3,4))),1+MIN(5,$PV44))&amp;IF(INDEX($AE$2:$AE$11,$MW44)=1,IF(COUNTIF($MK44:$MN44,"Mais Um")&gt;0," · +"&amp;COUNTIF($MK44:$MN44,"Mais Um")&amp;IF(COUNTIF($MK44:$MN44,"Mais Um")&gt;1," alvos"," alvo"),"")&amp;IF(COUNTIF($MK44:$MN44,"Rajada")&gt;0,IF($MF44=0," · 1 tiro"," · "&amp;(MAX(1,$MF44-1)+1)&amp;" tiros"),""),""))</f>
        <v/>
      </c>
      <c r="PX44" s="152">
        <f>IF($MQ44=0,"",IF($MF44=0,$MT44&amp;"d6"&amp;IF($OH44&gt;0," − 1 = "&amp;$OQ44&amp;"d6"," da básica do nível "&amp;$MR44),$OO44&amp;" − "&amp;$OJ44&amp;" + "&amp;$OM44&amp;" = "&amp;$OP44&amp;" · teto "&amp;4*$MF44&amp;"d8"&amp;IF($NS44=1," · a Forma devolve "&amp;$MF44,"")&amp;IF($ON44&gt;0," · perde "&amp;$ON44,"")))</f>
        <v/>
      </c>
      <c r="PY44" s="152">
        <f>IF($MQ44=0,"",IF($MF44=0,"A básica não amplia: os dados dela sobem com o nível",IF($MF44&gt;=$MS44,"Já está na maior Classe que o nível liberou",TEXTJOIN(" · ",TRUE,IF(AND(2&gt;$MF44,2&lt;=$MS44),"2 → "&amp;$PA44&amp;", 6 PE",""),IF(AND(3&gt;$MF44,3&lt;=$MS44),"3 → "&amp;$PB44&amp;", 9 PE",""),IF(AND(4&gt;$MF44,4&lt;=$MS44),"4 → "&amp;$PC44&amp;", 12 PE",""),IF(AND(5&gt;$MF44,5&lt;=$MS44),"5 → "&amp;$PD44&amp;", 15 PE",""),IF(AND(6&gt;$MF44,6&lt;=$MS44),"6 → "&amp;$PE44&amp;", 18 PE",""),IF(AND(7&gt;$MF44,7&lt;=$MS44),"7 → "&amp;$PF44&amp;", 21 PE","")))))</f>
        <v/>
      </c>
      <c r="PZ44" s="152">
        <f>IF(OR($MQ44=0,$NB44=0),"",IF($MF44=0,"−1 dado","−"&amp;INDEX($I$2:$N$8,MAX(1,$MF44),MAX(1,$NG44))&amp;" · "&amp;CHOOSE(MAX(1,$NG44),"Leve","Média","Pesada","Leve · Livre","Média · Livre","Pesada · Livre")))</f>
        <v/>
      </c>
      <c r="QA44" s="152">
        <f>IF(OR($MQ44=0,$NC44=0),"",IF($MF44=0,"−1 dado","−"&amp;INDEX($I$2:$N$8,MAX(1,$MF44),MAX(1,$NH44))&amp;" · "&amp;CHOOSE(MAX(1,$NH44),"Leve","Média","Pesada","Leve · Livre","Média · Livre","Pesada · Livre")))</f>
        <v/>
      </c>
      <c r="QB44" s="152">
        <f>IF(OR($MQ44=0,$ND44=0),"",IF($MF44=0,"−1 dado","−"&amp;INDEX($I$2:$N$8,MAX(1,$MF44),MAX(1,$NI44))&amp;" · "&amp;CHOOSE(MAX(1,$NI44),"Leve","Média","Pesada","Leve · Livre","Média · Livre","Pesada · Livre")))</f>
        <v/>
      </c>
      <c r="QC44" s="152">
        <f>IF(OR($MQ44=0,$NE44=0),"",IF($MF44=0,"−1 dado","−"&amp;INDEX($I$2:$N$8,MAX(1,$MF44),MAX(1,$NJ44))&amp;" · "&amp;CHOOSE(MAX(1,$NJ44),"Leve","Média","Pesada","Leve · Livre","Média · Livre","Pesada · Livre")))</f>
        <v/>
      </c>
      <c r="QD44" s="152">
        <f>IF(OR($MQ44=0,$MO44=""),"",IF($MF44=0,"não devolve","+"&amp;IF($NV44=1,CEILING($MF44/2,1),$MF44)))</f>
        <v/>
      </c>
      <c r="QE44" s="152">
        <f>IF(OR($MQ44=0,$MP44=""),"",IF($MF44=0,"não devolve","+"&amp;IF($NW44=1,CEILING($MF44/2,1),$MF44)))</f>
        <v/>
      </c>
    </row>
    <row r="45">
      <c r="AV45" s="150" t="inlineStr">
        <is>
          <t>Trava</t>
        </is>
      </c>
      <c r="AW45" s="150" t="inlineStr">
        <is>
          <t>Auxiliares</t>
        </is>
      </c>
      <c r="AX45" s="152" t="n">
        <v>1</v>
      </c>
      <c r="AY45" s="152" t="n">
        <v>0</v>
      </c>
      <c r="AZ45" s="152" t="n">
        <v>0</v>
      </c>
      <c r="BA45" s="152" t="n">
        <v>0</v>
      </c>
      <c r="JG45" s="152">
        <f>IF(OR($AW45="",COUNTIF($EF$2:$EJ$2,$AW45)&gt;0),$AV45,"")</f>
        <v/>
      </c>
      <c r="JH45" s="152">
        <f>IF(AND($AX45=1,OR($AW45="",COUNTIF($EF$2:$EJ$2,$AW45)&gt;0)),$AV45,"")</f>
        <v/>
      </c>
      <c r="JM45" s="152">
        <f>IF(OR($AW45="",COUNTIF($EF$3:$EJ$3,$AW45)&gt;0),$AV45,"")</f>
        <v/>
      </c>
      <c r="JN45" s="152">
        <f>IF(AND($AX45=1,OR($AW45="",COUNTIF($EF$3:$EJ$3,$AW45)&gt;0)),$AV45,"")</f>
        <v/>
      </c>
      <c r="JS45" s="152">
        <f>IF(OR($AW45="",COUNTIF($EF$4:$EJ$4,$AW45)&gt;0),$AV45,"")</f>
        <v/>
      </c>
      <c r="JT45" s="152">
        <f>IF(AND($AX45=1,OR($AW45="",COUNTIF($EF$4:$EJ$4,$AW45)&gt;0)),$AV45,"")</f>
        <v/>
      </c>
      <c r="JY45" s="152">
        <f>IF(OR($AW45="",COUNTIF($EF$5:$EJ$5,$AW45)&gt;0),$AV45,"")</f>
        <v/>
      </c>
      <c r="JZ45" s="152">
        <f>IF(AND($AX45=1,OR($AW45="",COUNTIF($EF$5:$EJ$5,$AW45)&gt;0)),$AV45,"")</f>
        <v/>
      </c>
      <c r="KE45" s="152">
        <f>IF(OR($AW45="",COUNTIF($EF$6:$EJ$6,$AW45)&gt;0),$AV45,"")</f>
        <v/>
      </c>
      <c r="KF45" s="152">
        <f>IF(AND($AX45=1,OR($AW45="",COUNTIF($EF$6:$EJ$6,$AW45)&gt;0)),$AV45,"")</f>
        <v/>
      </c>
      <c r="KK45" s="152">
        <f>IF(OR($AW45="",COUNTIF($EF$7:$EJ$7,$AW45)&gt;0),$AV45,"")</f>
        <v/>
      </c>
      <c r="KL45" s="152">
        <f>IF(AND($AX45=1,OR($AW45="",COUNTIF($EF$7:$EJ$7,$AW45)&gt;0)),$AV45,"")</f>
        <v/>
      </c>
      <c r="KQ45" s="152">
        <f>IF(OR($AW45="",COUNTIF($EF$8:$EJ$8,$AW45)&gt;0),$AV45,"")</f>
        <v/>
      </c>
      <c r="KR45" s="152">
        <f>IF(AND($AX45=1,OR($AW45="",COUNTIF($EF$8:$EJ$8,$AW45)&gt;0)),$AV45,"")</f>
        <v/>
      </c>
      <c r="KW45" s="152">
        <f>IF(OR($AW45="",COUNTIF($EF$9:$EJ$9,$AW45)&gt;0),$AV45,"")</f>
        <v/>
      </c>
      <c r="KX45" s="152">
        <f>IF(AND($AX45=1,OR($AW45="",COUNTIF($EF$9:$EJ$9,$AW45)&gt;0)),$AV45,"")</f>
        <v/>
      </c>
      <c r="LC45" s="152">
        <f>IF(OR($AW45="",COUNTIF($EF$10:$EJ$10,$AW45)&gt;0),$AV45,"")</f>
        <v/>
      </c>
      <c r="LD45" s="152">
        <f>IF(AND($AX45=1,OR($AW45="",COUNTIF($EF$10:$EJ$10,$AW45)&gt;0)),$AV45,"")</f>
        <v/>
      </c>
      <c r="LI45" s="152">
        <f>IF(OR($AW45="",COUNTIF($EF$11:$EJ$11,$AW45)&gt;0),$AV45,"")</f>
        <v/>
      </c>
      <c r="LJ45" s="152">
        <f>IF(AND($AX45=1,OR($AW45="",COUNTIF($EF$11:$EJ$11,$AW45)&gt;0)),$AV45,"")</f>
        <v/>
      </c>
      <c r="LO45" s="152">
        <f>IF(OR($AW45="",COUNTIF($EF$12:$EJ$12,$AW45)&gt;0),$AV45,"")</f>
        <v/>
      </c>
      <c r="LP45" s="152">
        <f>IF(AND($AX45=1,OR($AW45="",COUNTIF($EF$12:$EJ$12,$AW45)&gt;0)),$AV45,"")</f>
        <v/>
      </c>
      <c r="LU45" s="152">
        <f>IF(OR($AW45="",COUNTIF($EF$13:$EJ$13,$AW45)&gt;0),$AV45,"")</f>
        <v/>
      </c>
      <c r="LV45" s="152">
        <f>IF(AND($AX45=1,OR($AW45="",COUNTIF($EF$13:$EJ$13,$AW45)&gt;0)),$AV45,"")</f>
        <v/>
      </c>
      <c r="MA45" s="150" t="inlineStr">
        <is>
          <t>Ficha 4 · Especial 3</t>
        </is>
      </c>
      <c r="MB45" s="152" t="n">
        <v>4</v>
      </c>
      <c r="MC45" s="152" t="n">
        <v>1</v>
      </c>
      <c r="MD45" s="152" t="n">
        <v>8</v>
      </c>
      <c r="ME45" s="150" t="inlineStr">
        <is>
          <t>ESPECIAL 3</t>
        </is>
      </c>
      <c r="MF45" s="152">
        <f>MAX(1,MIN(7,N('INVOCAÇÕES'!$O$686)))</f>
        <v/>
      </c>
      <c r="MG45" s="152">
        <f>'INVOCAÇÕES'!$P$686&amp;""</f>
        <v/>
      </c>
      <c r="MH45" s="152">
        <f>'INVOCAÇÕES'!$O$691&amp;""</f>
        <v/>
      </c>
      <c r="MI45" s="152">
        <f>'INVOCAÇÕES'!$O$692&amp;""</f>
        <v/>
      </c>
      <c r="MJ45" s="152">
        <f>'INVOCAÇÕES'!$Q$692&amp;""</f>
        <v/>
      </c>
      <c r="MK45" s="152">
        <f>'INVOCAÇÕES'!$P$695&amp;""</f>
        <v/>
      </c>
      <c r="ML45" s="152">
        <f>'INVOCAÇÕES'!$P$696&amp;""</f>
        <v/>
      </c>
      <c r="MM45" s="152">
        <f>'INVOCAÇÕES'!$P$697&amp;""</f>
        <v/>
      </c>
      <c r="MN45" s="152">
        <f>'INVOCAÇÕES'!$P$698&amp;""</f>
        <v/>
      </c>
      <c r="MO45" s="152">
        <f>'INVOCAÇÕES'!$P$699&amp;""</f>
        <v/>
      </c>
      <c r="MP45" s="152">
        <f>'INVOCAÇÕES'!$P$700&amp;""</f>
        <v/>
      </c>
      <c r="MQ45" s="152">
        <f>IF($MG45&lt;&gt;"",1,0)</f>
        <v/>
      </c>
      <c r="MR45" s="152">
        <f>INDEX($FI$2:$FI$13,$MB45)</f>
        <v/>
      </c>
      <c r="MS45" s="152">
        <f>INDEX($FJ$2:$FJ$13,$MB45)</f>
        <v/>
      </c>
      <c r="MT45" s="152">
        <f>INDEX($FK$2:$FK$13,$MB45)</f>
        <v/>
      </c>
      <c r="MU45" s="152">
        <f>INDEX($FV$2:$FV$13,$MB45)</f>
        <v/>
      </c>
      <c r="MV45" s="152">
        <f>INDEX($FW$2:$FW$13,$MB45)</f>
        <v/>
      </c>
      <c r="MW45" s="152">
        <f>IFERROR(MATCH($MH45,$V$2:$V$11,0),0)</f>
        <v/>
      </c>
      <c r="MX45" s="152">
        <f>IFERROR(VLOOKUP($MK45,$AV$2:$BA$84,2,FALSE),"")</f>
        <v/>
      </c>
      <c r="MY45" s="152">
        <f>IFERROR(VLOOKUP($ML45,$AV$2:$BA$84,2,FALSE),"")</f>
        <v/>
      </c>
      <c r="MZ45" s="152">
        <f>IFERROR(VLOOKUP($MM45,$AV$2:$BA$84,2,FALSE),"")</f>
        <v/>
      </c>
      <c r="NA45" s="152">
        <f>IFERROR(VLOOKUP($MN45,$AV$2:$BA$84,2,FALSE),"")</f>
        <v/>
      </c>
      <c r="NB45" s="152">
        <f>IFERROR(VLOOKUP($MK45,$AV$2:$BA$84,3,FALSE),0)</f>
        <v/>
      </c>
      <c r="NC45" s="152">
        <f>IFERROR(VLOOKUP($ML45,$AV$2:$BA$84,3,FALSE),0)</f>
        <v/>
      </c>
      <c r="ND45" s="152">
        <f>IFERROR(VLOOKUP($MM45,$AV$2:$BA$84,3,FALSE),0)</f>
        <v/>
      </c>
      <c r="NE45" s="152">
        <f>IFERROR(VLOOKUP($MN45,$AV$2:$BA$84,3,FALSE),0)</f>
        <v/>
      </c>
      <c r="NF45" s="152">
        <f>IF($MF45=0,0,IF($MW45=0,0,INDEX($X$2:$X$11,$MW45)))</f>
        <v/>
      </c>
      <c r="NG45" s="152">
        <f>IF(OR($NB45=0,$MF45=0),0,$NB45+3*IF(AND($MX45&lt;&gt;"",OR($MX45=INDEX($EF$2:$EF$13,$MB45),$MX45=INDEX($EG$2:$EG$13,$MB45))),1,0))</f>
        <v/>
      </c>
      <c r="NH45" s="152">
        <f>IF(OR($NC45=0,$MF45=0),0,$NC45+3*IF(AND($MY45&lt;&gt;"",OR($MY45=INDEX($EF$2:$EF$13,$MB45),$MY45=INDEX($EG$2:$EG$13,$MB45))),1,0))</f>
        <v/>
      </c>
      <c r="NI45" s="152">
        <f>IF(OR($ND45=0,$MF45=0),0,$ND45+3*IF(AND($MZ45&lt;&gt;"",OR($MZ45=INDEX($EF$2:$EF$13,$MB45),$MZ45=INDEX($EG$2:$EG$13,$MB45))),1,0))</f>
        <v/>
      </c>
      <c r="NJ45" s="152">
        <f>IF(OR($NE45=0,$MF45=0),0,$NE45+3*IF(AND($NA45&lt;&gt;"",OR($NA45=INDEX($EF$2:$EF$13,$MB45),$NA45=INDEX($EG$2:$EG$13,$MB45))),1,0))</f>
        <v/>
      </c>
      <c r="NK45" s="152">
        <f>IF($MW45=0,0,IF(INDEX($W$2:$W$11,$MW45)="",0,IF(COUNTIF(INDEX($EF$2:$EJ$13,$MB45,0),INDEX($W$2:$W$11,$MW45))=0,1,0)))</f>
        <v/>
      </c>
      <c r="NL45" s="152">
        <f>IF(OR($NB45=0,$MX45=""),0,IF(COUNTIF(INDEX($EF$2:$EJ$13,$MB45,0),$MX45)=0,1,0))</f>
        <v/>
      </c>
      <c r="NM45" s="152">
        <f>IF(OR($NC45=0,$MY45=""),0,IF(COUNTIF(INDEX($EF$2:$EJ$13,$MB45,0),$MY45)=0,1,0))</f>
        <v/>
      </c>
      <c r="NN45" s="152">
        <f>IF(OR($ND45=0,$MZ45=""),0,IF(COUNTIF(INDEX($EF$2:$EJ$13,$MB45,0),$MZ45)=0,1,0))</f>
        <v/>
      </c>
      <c r="NO45" s="152">
        <f>IF(OR($NE45=0,$NA45=""),0,IF(COUNTIF(INDEX($EF$2:$EJ$13,$MB45,0),$NA45)=0,1,0))</f>
        <v/>
      </c>
      <c r="NP45" s="152">
        <f>IFERROR(VLOOKUP($MK45,$AV$2:$BA$84,4,FALSE),0)+IFERROR(VLOOKUP($ML45,$AV$2:$BA$84,4,FALSE),0)+IFERROR(VLOOKUP($MM45,$AV$2:$BA$84,4,FALSE),0)+IFERROR(VLOOKUP($MN45,$AV$2:$BA$84,4,FALSE),0)</f>
        <v/>
      </c>
      <c r="NQ45" s="152">
        <f>IFERROR(VLOOKUP($MK45,$AV$2:$BA$84,6,FALSE),0)+IFERROR(VLOOKUP($ML45,$AV$2:$BA$84,6,FALSE),0)+IFERROR(VLOOKUP($MM45,$AV$2:$BA$84,6,FALSE),0)+IFERROR(VLOOKUP($MN45,$AV$2:$BA$84,6,FALSE),0)</f>
        <v/>
      </c>
      <c r="NR45" s="152">
        <f>TEXTJOIN(", ",TRUE,IF(IFERROR(VLOOKUP($MK45,$AV$2:$BA$84,5,FALSE),0)=1,$MK45,""),IF(IFERROR(VLOOKUP($ML45,$AV$2:$BA$84,5,FALSE),0)=1,$ML45,""),IF(IFERROR(VLOOKUP($MM45,$AV$2:$BA$84,5,FALSE),0)=1,$MM45,""),IF(IFERROR(VLOOKUP($MN45,$AV$2:$BA$84,5,FALSE),0)=1,$MN45,""))</f>
        <v/>
      </c>
      <c r="NS45" s="152">
        <f>IF($MW45=0,0,INDEX($Y$2:$Y$11,$MW45))</f>
        <v/>
      </c>
      <c r="NT45" s="152">
        <f>IF($MW45=0,0,INDEX($Z$2:$Z$11,$MW45))</f>
        <v/>
      </c>
      <c r="NU45" s="152">
        <f>IF($MW45=0,0,INDEX($AB$2:$AB$11,$MW45))</f>
        <v/>
      </c>
      <c r="NV45" s="152">
        <f>IFERROR(VLOOKUP($MO45,$BC$2:$BG$24,3,FALSE),0)</f>
        <v/>
      </c>
      <c r="NW45" s="152">
        <f>IFERROR(VLOOKUP($MP45,$BC$2:$BG$24,3,FALSE),0)</f>
        <v/>
      </c>
      <c r="NX45" s="152">
        <f>IFERROR(VLOOKUP($MO45,$BC$2:$BG$24,2,FALSE),"")</f>
        <v/>
      </c>
      <c r="NY45" s="152">
        <f>IFERROR(VLOOKUP($MP45,$BC$2:$BG$24,2,FALSE),"")</f>
        <v/>
      </c>
      <c r="NZ45" s="152">
        <f>COUNTIF($NF45:$NJ45,1)</f>
        <v/>
      </c>
      <c r="OA45" s="152">
        <f>COUNTIF($NF45:$NJ45,2)</f>
        <v/>
      </c>
      <c r="OB45" s="152">
        <f>COUNTIF($NF45:$NJ45,3)</f>
        <v/>
      </c>
      <c r="OC45" s="152">
        <f>COUNTIF($NF45:$NJ45,4)</f>
        <v/>
      </c>
      <c r="OD45" s="152">
        <f>COUNTIF($NF45:$NJ45,5)</f>
        <v/>
      </c>
      <c r="OE45" s="152">
        <f>COUNTIF($NF45:$NJ45,6)</f>
        <v/>
      </c>
      <c r="OF45" s="152">
        <f>COUNTIF($NV45:$NW45,1)</f>
        <v/>
      </c>
      <c r="OG45" s="152">
        <f>COUNTIF($NV45:$NW45,2)+$NS45</f>
        <v/>
      </c>
      <c r="OH45" s="152">
        <f>COUNTIF($MK45:$MN45,"?*")</f>
        <v/>
      </c>
      <c r="OI45" s="152">
        <f>COUNTIF($MO45:$MP45,"?*")+$NS45</f>
        <v/>
      </c>
      <c r="OJ45" s="152">
        <f>IF($MF45=0,0,SUMPRODUCT($NZ45:$OE45,INDEX($I$2:$N$8,MAX(1,$MF45),0)))</f>
        <v/>
      </c>
      <c r="OK45" s="152">
        <f>IF($MF45=0,0,$OF45*CEILING($MF45/2,1)+$OG45*$MF45)</f>
        <v/>
      </c>
      <c r="OL45" s="152">
        <f>MIN(2*$MF45,$OK45)</f>
        <v/>
      </c>
      <c r="OM45" s="152">
        <f>MIN($OL45,$OJ45)</f>
        <v/>
      </c>
      <c r="ON45" s="152">
        <f>$OL45-$OM45</f>
        <v/>
      </c>
      <c r="OO45" s="152">
        <f>IF($MF45=0,0,INDEX($P$2:$P$8,MAX(1,$MF45)))</f>
        <v/>
      </c>
      <c r="OP45" s="152">
        <f>$OO45-$OJ45+$OM45</f>
        <v/>
      </c>
      <c r="OQ45" s="152">
        <f>IF($MF45=0,MAX(0,$MT45-IF($OH45&gt;0,1,0)),MAX(0,$OP45))</f>
        <v/>
      </c>
      <c r="OR45" s="152">
        <f>IF($MF45=0,0,(IF(COUNTIF($MK45:$MN45,"Salto")&gt;0,1,0)+IF(COUNTIF($MK45:$MN45,"Queima")&gt;0,1,0)+IF(COUNTIF($MK45:$MN45,"Estilhaço")&gt;0,1,0))*FLOOR($OQ45/2,1))</f>
        <v/>
      </c>
      <c r="OS45" s="152">
        <f>MAX(0,2-SUMPRODUCT($NZ45:$OE45,$I$2:$N$2)+MIN(2,$OF45*1+$OG45*1,SUMPRODUCT($NZ45:$OE45,$I$2:$N$2)))</f>
        <v/>
      </c>
      <c r="OT45" s="152">
        <f>MAX(0,4-SUMPRODUCT($NZ45:$OE45,$I$3:$N$3)+MIN(4,$OF45*1+$OG45*2,SUMPRODUCT($NZ45:$OE45,$I$3:$N$3)))</f>
        <v/>
      </c>
      <c r="OU45" s="152">
        <f>MAX(0,6-SUMPRODUCT($NZ45:$OE45,$I$4:$N$4)+MIN(6,$OF45*2+$OG45*3,SUMPRODUCT($NZ45:$OE45,$I$4:$N$4)))</f>
        <v/>
      </c>
      <c r="OV45" s="152">
        <f>MAX(0,9-SUMPRODUCT($NZ45:$OE45,$I$5:$N$5)+MIN(8,$OF45*2+$OG45*4,SUMPRODUCT($NZ45:$OE45,$I$5:$N$5)))</f>
        <v/>
      </c>
      <c r="OW45" s="152">
        <f>MAX(0,11-SUMPRODUCT($NZ45:$OE45,$I$6:$N$6)+MIN(10,$OF45*3+$OG45*5,SUMPRODUCT($NZ45:$OE45,$I$6:$N$6)))</f>
        <v/>
      </c>
      <c r="OX45" s="152">
        <f>MAX(0,13-SUMPRODUCT($NZ45:$OE45,$I$7:$N$7)+MIN(12,$OF45*3+$OG45*6,SUMPRODUCT($NZ45:$OE45,$I$7:$N$7)))</f>
        <v/>
      </c>
      <c r="OY45" s="152">
        <f>MAX(0,16-SUMPRODUCT($NZ45:$OE45,$I$8:$N$8)+MIN(14,$OF45*4+$OG45*7,SUMPRODUCT($NZ45:$OE45,$I$8:$N$8)))</f>
        <v/>
      </c>
      <c r="OZ45" s="152">
        <f>IF($NT45=2,3*$OS45&amp;" de vida temp.",IF($NT45=3,"sem dano",IF($OS45=0,IF($NT45=1,"sem cura","sem dano"),IF($NT45=1,"cura ","")&amp;$OS45&amp;"d8")))</f>
        <v/>
      </c>
      <c r="PA45" s="152">
        <f>IF($NT45=2,3*$OT45&amp;" de vida temp.",IF($NT45=3,"sem dano",IF($OT45=0,IF($NT45=1,"sem cura","sem dano"),IF($NT45=1,"cura ","")&amp;$OT45&amp;"d8")))</f>
        <v/>
      </c>
      <c r="PB45" s="152">
        <f>IF($NT45=2,3*$OU45&amp;" de vida temp.",IF($NT45=3,"sem dano",IF($OU45=0,IF($NT45=1,"sem cura","sem dano"),IF($NT45=1,"cura ","")&amp;$OU45&amp;"d8")))</f>
        <v/>
      </c>
      <c r="PC45" s="152">
        <f>IF($NT45=2,3*$OV45&amp;" de vida temp.",IF($NT45=3,"sem dano",IF($OV45=0,IF($NT45=1,"sem cura","sem dano"),IF($NT45=1,"cura ","")&amp;$OV45&amp;"d8")))</f>
        <v/>
      </c>
      <c r="PD45" s="152">
        <f>IF($NT45=2,3*$OW45&amp;" de vida temp.",IF($NT45=3,"sem dano",IF($OW45=0,IF($NT45=1,"sem cura","sem dano"),IF($NT45=1,"cura ","")&amp;$OW45&amp;"d8")))</f>
        <v/>
      </c>
      <c r="PE45" s="152">
        <f>IF($NT45=2,3*$OX45&amp;" de vida temp.",IF($NT45=3,"sem dano",IF($OX45=0,IF($NT45=1,"sem cura","sem dano"),IF($NT45=1,"cura ","")&amp;$OX45&amp;"d8")))</f>
        <v/>
      </c>
      <c r="PF45" s="152">
        <f>IF($NT45=2,3*$OY45&amp;" de vida temp.",IF($NT45=3,"sem dano",IF($OY45=0,IF($NT45=1,"sem cura","sem dano"),IF($NT45=1,"cura ","")&amp;$OY45&amp;"d8")))</f>
        <v/>
      </c>
      <c r="PG45" s="152">
        <f>IF($MQ45=0,"",TEXTJOIN(" · ",TRUE,IF($MD45&gt;$MR45,"Este lugar abre no nível "&amp;$MD45,""),IF($MF45&gt;$MS45,"Classe "&amp;$MF45&amp;": o nível "&amp;$MR45&amp;" libera até a "&amp;$MS45,""),IF($NK45=1,"A Forma "&amp;$MH45&amp;" pede "&amp;INDEX($W$2:$W$11,$MW45)&amp;" aberta",""),IF(AND($MF45=0,$MW45&gt;0,IF($MW45=0,0,INDEX($AF$2:$AF$11,$MW45))=0),$MH45&amp;" não existe na Classe 0",""),IF($NL45=1,"Família Fechada: "&amp;$MK45,""),IF($NM45=1,"Família Fechada: "&amp;$ML45,""),IF($NN45=1,"Família Fechada: "&amp;$MM45,""),IF($NO45=1,"Família Fechada: "&amp;$MN45,""),IF(AND($MF45&gt;0,$OH45&gt;INDEX($O$2:$O$8,MAX(1,$MF45))),$OH45&amp;" Melhorias: a Classe "&amp;$MF45&amp;" aceita "&amp;INDEX($O$2:$O$8,MAX(1,$MF45)),""),IF(AND($MF45=0,$OH45&gt;1),"A básica aceita uma Melhoria",""),IF(AND($MF45=0,COUNTIF($NB45:$NE45,"&gt;1")&gt;0),"A básica só aceita Melhoria Leve",""),IF(AND($MF45&gt;0,$OI45&gt;2),$OI45&amp;" Restrições"&amp;IF($NS45=1,", contando a que a Forma "&amp;$MH45&amp;" já traz","")&amp;": o limite é 2",""),IF(AND($MF45=0,COUNTIF($MO45:$MP45,"?*")&gt;1),"A básica aceita uma Restrição Leve",""),IF(AND($MF45=0,COUNTIF($NV45:$NW45,2)&gt;0),"A básica só aceita Restrição Leve",""),IF(AND($MF45&gt;0,$OP45&lt;0),"Orçamento estourado: faltam "&amp;(-$OP45)&amp;IF($OP45&lt;-1," pontos"," ponto"),""),IF(IFERROR(VLOOKUP($MO45,$BC$2:$BG$24,4,FALSE),0)+IFERROR(VLOOKUP($MP45,$BC$2:$BG$24,4,FALSE),0)&gt;1,$NX45&amp;" e "&amp;$NY45&amp;" são as duas de frequência",""),IF(AND((COUNTIF($MK45:$MN45,"Rápido")+COUNTIF($NX45:$NY45,"Rápido"))&gt;0,(COUNTIF($MK45:$MN45,"Atrasar")+COUNTIF($NX45:$NY45,"Atrasar"))&gt;0),"Rápido não entra com Atrasar",""),IF(AND((COUNTIF($MK45:$MN45,"Reação")+COUNTIF($NX45:$NY45,"Reação"))&gt;0,(COUNTIF($MK45:$MN45,"Rápido")+COUNTIF($NX45:$NY45,"Rápido"))&gt;0),"Reação não entra com Rápido",""),IF(AND((COUNTIF($MK45:$MN45,"Reação")+COUNTIF($NX45:$NY45,"Reação"))&gt;0,(COUNTIF($MK45:$MN45,"Armado")+COUNTIF($NX45:$NY45,"Armado"))&gt;0),"Reação não entra com Armado",""),IF(AND((COUNTIF($MK45:$MN45,"Reação")+COUNTIF($NX45:$NY45,"Reação"))&gt;0,(COUNTIF($MK45:$MN45,"Atrasar")+COUNTIF($NX45:$NY45,"Atrasar"))&gt;0),"Reação não entra com Atrasar",""),IF(AND((COUNTIF($MK45:$MN45,"Reação")+COUNTIF($NX45:$NY45,"Reação"))&gt;0,(COUNTIF($MK45:$MN45,"Parado")+COUNTIF($NX45:$NY45,"Parado"))&gt;0),"Reação não entra com Parado",""),IF(AND((COUNTIF($MK45:$MN45,"Atrasar")+COUNTIF($NX45:$NY45,"Atrasar"))&gt;0,(COUNTIF($MK45:$MN45,"Parado")+COUNTIF($NX45:$NY45,"Parado"))&gt;0),"Atrasar não entra com Parado",""),IF(AND((COUNTIF($MK45:$MN45,"Armado")+COUNTIF($NX45:$NY45,"Armado"))&gt;0,(COUNTIF($MK45:$MN45,"Carregar")+COUNTIF($NX45:$NY45,"Carregar"))&gt;0),"Armado não entra com Carregar",""),IF(AND(COUNTIF($NX45:$NY45,"Corpo a Corpo")&gt;0,$NS45=0,OR($MH45="Cone",$MH45="Linha")),"Corpo a Corpo não entra em "&amp;$MH45,""),IF(AND(COUNTIF($NX45:$NY45,"Corpo a Corpo")&gt;0,$NS45=1),"A Forma "&amp;$MH45&amp;" já traz o Corpo a Corpo",""),IF(AND(COUNTIF($NX45:$NY45,"Tudo ou Nada")&gt;0,$NU45=0),"Tudo ou Nada só entra em habilidade de Teste de Resistência",""),IF(AND(COUNTIF($MK45:$MN45,"Inescapável")&gt;0,OR($OH45&gt;1,$OI45&gt;0)),"Inescapável não aceita outra peça",""),IF(AND($MF45&gt;0,$OQ45*IF(COUNTIF($MK45:$MN45,"Remate")&gt;0,1.25,1)+$OR45&gt;4*$MF45),($OQ45*IF(COUNTIF($MK45:$MN45,"Remate")&gt;0,1.25,1)+$OR45)&amp;" dados somando repetições"&amp;IF(COUNTIF($MK45:$MN45,"Remate")&gt;0," e o Remate","")&amp;": o teto da Classe "&amp;$MF45&amp;" é "&amp;4*$MF45,"")))</f>
        <v/>
      </c>
      <c r="PH45" s="152">
        <f>IF($PG45="",0,(LEN($PG45)-LEN(SUBSTITUTE($PG45," · ","")))/3+1)</f>
        <v/>
      </c>
      <c r="PI45" s="152">
        <f>IF($MQ45=0,"",TEXTJOIN(" · ",TRUE,IF($OK45&gt;2*$MF45,"A devolução parou no teto de "&amp;2*$MF45,""),IF($ON45&gt;0,"Devolução perdida: "&amp;$ON45&amp;IF($ON45&gt;1," pontos"," ponto")&amp;" sem peça para pagar",""),IF(AND($NP45&gt;0,AND($MF45&gt;0,$NT45=0),$OQ45=0),"Controle sem dano: uma rodada a mais e CD +2",""),IF(AND($NP45&gt;0,AND($MF45&gt;0,$NT45=0),$OQ45&gt;0,$OQ45&lt;=$MF45),"Controle com saldo até a Classe: uma rodada a mais",""),IF(AND($MF45&gt;0,$NR45&lt;&gt;""),"Efeito de "&amp;$NR45&amp;" pela Classe "&amp;MAX(1,$MF45-1),"")))</f>
        <v/>
      </c>
      <c r="PJ45" s="152">
        <f>IF($PI45="",0,(LEN($PI45)-LEN(SUBSTITUTE($PI45," · ","")))/3+1)</f>
        <v/>
      </c>
      <c r="PK45" s="152">
        <f>IF($MQ45=0,IF($OH45+COUNTIF($MO45:$MP45,"?*")&gt;0,"Dê um nome",""),IF($PH45&gt;0,"⚠ "&amp;$PH45&amp;IF($PH45&gt;1," erros"," erro"),IF($PJ45&gt;0,"! "&amp;$PJ45&amp;IF($PJ45&gt;1," avisos"," aviso"),"Na regra")))</f>
        <v/>
      </c>
      <c r="PL45" s="152">
        <f>IF($MQ45=0,"",IF($PH45+$PJ45=0,"Dentro das regras que a ficha confere",$PG45&amp;IF(AND($PH45&gt;0,$PJ45&gt;0)," · ","")&amp;$PI45))</f>
        <v/>
      </c>
      <c r="PM45" s="152">
        <f>IF($MD45&gt;$MR45,$ME45&amp;" · ABRE NO NÍVEL "&amp;$MD45,$ME45)</f>
        <v/>
      </c>
      <c r="PN45" s="152">
        <f>IF($MQ45=0,"",IF($MF45=0,"Sem PE",3*$MF45&amp;" PE"))</f>
        <v/>
      </c>
      <c r="PO45" s="152">
        <f>IF($MQ45=0,"",IF($MF45=0,"A atuação básica dela",IF(COUNTIF($NX45:$NY45,"Atrasar")&gt;0,"Sua Ação Completa",IF(COUNTIF($MK45:$MN45,"Rápido")&gt;0,"Sua Bônus",IF(COUNTIF($MK45:$MN45,"Reação")&gt;0,"Sua Reação","Sua Padrão")))&amp;" + a básica dela"&amp;IF(COUNTIF($MK45:$MN45,"Reação")&gt;0," e a coletiva","")&amp;IF(COUNTIF($NX45:$NY45,"Carregar")&gt;0," · em dois turnos","")))</f>
        <v/>
      </c>
      <c r="PP45" s="152">
        <f>IF($MJ45&lt;&gt;"",$MJ45,IF($MW45=0,"",INDEX($AA$2:$AA$11,$MW45)))</f>
        <v/>
      </c>
      <c r="PQ45" s="152">
        <f>IF(OR($MQ45=0,$MW45=0),"",IF(COUNTIF($MK45:$MN45,"Inescapável")&gt;0,"Automático",IF($PP45="Ataque",IF($MU45="","Ataque","Ataque "&amp;IF(($MU45+2*IF(COUNTIF($MK45:$MN45,"Precisão")&gt;0,1,0))&gt;=0,"+","−")&amp;ABS(($MU45+2*IF(COUNTIF($MK45:$MN45,"Precisão")&gt;0,1,0))))&amp;IF($NQ45&gt;0," · TR"&amp;IF($MV45="",""," CD "&amp;$MV45),""),IF(LEFT($PP45,2)="TR",$PP45&amp;IF($MV45="",""," · CD "&amp;$MV45)&amp;IF(COUNTIF($MK45:$MN45,"Certeiro")&gt;0," · metade",""),"Sem rolagem"))))</f>
        <v/>
      </c>
      <c r="PR45" s="152">
        <f>IF(OR($MQ45=0,$MW45=0),"",IF($MF45=0,IF(OR($NT45&gt;=1,$OQ45=0),"Sem dano",$OQ45&amp;"d6"&amp;IF($MI45="",""," "&amp;$MI45)),IF(OR($NT45&gt;=1,$OQ45=0),UPPER(LEFT(INDEX($OZ45:$PF45,1,MAX(1,$MF45)),1))&amp;MID(INDEX($OZ45:$PF45,1,MAX(1,$MF45)),2,99),UPPER(LEFT(INDEX($OZ45:$PF45,1,MAX(1,$MF45)),1))&amp;MID(INDEX($OZ45:$PF45,1,MAX(1,$MF45)),2,99)&amp;IF($MI45="",""," "&amp;$MI45)&amp;IF($OR45&gt;0," · +"&amp;$OR45&amp;"d8",""))))</f>
        <v/>
      </c>
      <c r="PS45" s="152">
        <f>COUNTIF($MK45:$MN45,"Longe")+3*COUNTIF($MK45:$MN45,"Muito Longe")</f>
        <v/>
      </c>
      <c r="PT45" s="152">
        <f>COUNTIF($MK45:$MN45,"Maior")+3*COUNTIF($MK45:$MN45,"Muito Maior")</f>
        <v/>
      </c>
      <c r="PU45" s="152">
        <f>IF($MW45=0,0,CHOOSE(1+INDEX($AC$2:$AC$11,$MW45),0,$PS45,$PT45,$PS45+$PT45))</f>
        <v/>
      </c>
      <c r="PV45" s="152">
        <f>IF($MW45=0,0,CHOOSE(1+INDEX($AD$2:$AD$11,$MW45),0,$PS45,$PT45,$PS45+$PT45))</f>
        <v/>
      </c>
      <c r="PW45" s="152">
        <f>IF(OR($MQ45=0,$MW45=0),"",INDEX($AI$2:$AN$41,($MW45-1)*4+IF($MF45=0,1,IF($MF45&lt;=5,2,IF($MF45=6,3,4))),1+MIN(5,$PU45))&amp;INDEX($AO$2:$AT$41,($MW45-1)*4+IF($MF45=0,1,IF($MF45&lt;=5,2,IF($MF45=6,3,4))),1+MIN(5,$PV45))&amp;IF(INDEX($AE$2:$AE$11,$MW45)=1,IF(COUNTIF($MK45:$MN45,"Mais Um")&gt;0," · +"&amp;COUNTIF($MK45:$MN45,"Mais Um")&amp;IF(COUNTIF($MK45:$MN45,"Mais Um")&gt;1," alvos"," alvo"),"")&amp;IF(COUNTIF($MK45:$MN45,"Rajada")&gt;0,IF($MF45=0," · 1 tiro"," · "&amp;(MAX(1,$MF45-1)+1)&amp;" tiros"),""),""))</f>
        <v/>
      </c>
      <c r="PX45" s="152">
        <f>IF($MQ45=0,"",IF($MF45=0,$MT45&amp;"d6"&amp;IF($OH45&gt;0," − 1 = "&amp;$OQ45&amp;"d6"," da básica do nível "&amp;$MR45),$OO45&amp;" − "&amp;$OJ45&amp;" + "&amp;$OM45&amp;" = "&amp;$OP45&amp;" · teto "&amp;4*$MF45&amp;"d8"&amp;IF($NS45=1," · a Forma devolve "&amp;$MF45,"")&amp;IF($ON45&gt;0," · perde "&amp;$ON45,"")))</f>
        <v/>
      </c>
      <c r="PY45" s="152">
        <f>IF($MQ45=0,"",IF($MF45=0,"A básica não amplia: os dados dela sobem com o nível",IF($MF45&gt;=$MS45,"Já está na maior Classe que o nível liberou",TEXTJOIN(" · ",TRUE,IF(AND(2&gt;$MF45,2&lt;=$MS45),"2 → "&amp;$PA45&amp;", 6 PE",""),IF(AND(3&gt;$MF45,3&lt;=$MS45),"3 → "&amp;$PB45&amp;", 9 PE",""),IF(AND(4&gt;$MF45,4&lt;=$MS45),"4 → "&amp;$PC45&amp;", 12 PE",""),IF(AND(5&gt;$MF45,5&lt;=$MS45),"5 → "&amp;$PD45&amp;", 15 PE",""),IF(AND(6&gt;$MF45,6&lt;=$MS45),"6 → "&amp;$PE45&amp;", 18 PE",""),IF(AND(7&gt;$MF45,7&lt;=$MS45),"7 → "&amp;$PF45&amp;", 21 PE","")))))</f>
        <v/>
      </c>
      <c r="PZ45" s="152">
        <f>IF(OR($MQ45=0,$NB45=0),"",IF($MF45=0,"−1 dado","−"&amp;INDEX($I$2:$N$8,MAX(1,$MF45),MAX(1,$NG45))&amp;" · "&amp;CHOOSE(MAX(1,$NG45),"Leve","Média","Pesada","Leve · Livre","Média · Livre","Pesada · Livre")))</f>
        <v/>
      </c>
      <c r="QA45" s="152">
        <f>IF(OR($MQ45=0,$NC45=0),"",IF($MF45=0,"−1 dado","−"&amp;INDEX($I$2:$N$8,MAX(1,$MF45),MAX(1,$NH45))&amp;" · "&amp;CHOOSE(MAX(1,$NH45),"Leve","Média","Pesada","Leve · Livre","Média · Livre","Pesada · Livre")))</f>
        <v/>
      </c>
      <c r="QB45" s="152">
        <f>IF(OR($MQ45=0,$ND45=0),"",IF($MF45=0,"−1 dado","−"&amp;INDEX($I$2:$N$8,MAX(1,$MF45),MAX(1,$NI45))&amp;" · "&amp;CHOOSE(MAX(1,$NI45),"Leve","Média","Pesada","Leve · Livre","Média · Livre","Pesada · Livre")))</f>
        <v/>
      </c>
      <c r="QC45" s="152">
        <f>IF(OR($MQ45=0,$NE45=0),"",IF($MF45=0,"−1 dado","−"&amp;INDEX($I$2:$N$8,MAX(1,$MF45),MAX(1,$NJ45))&amp;" · "&amp;CHOOSE(MAX(1,$NJ45),"Leve","Média","Pesada","Leve · Livre","Média · Livre","Pesada · Livre")))</f>
        <v/>
      </c>
      <c r="QD45" s="152">
        <f>IF(OR($MQ45=0,$MO45=""),"",IF($MF45=0,"não devolve","+"&amp;IF($NV45=1,CEILING($MF45/2,1),$MF45)))</f>
        <v/>
      </c>
      <c r="QE45" s="152">
        <f>IF(OR($MQ45=0,$MP45=""),"",IF($MF45=0,"não devolve","+"&amp;IF($NW45=1,CEILING($MF45/2,1),$MF45)))</f>
        <v/>
      </c>
    </row>
    <row r="46">
      <c r="AV46" s="150" t="inlineStr">
        <is>
          <t>Abre Ferida</t>
        </is>
      </c>
      <c r="AW46" s="150" t="inlineStr">
        <is>
          <t>Auxiliares</t>
        </is>
      </c>
      <c r="AX46" s="152" t="n">
        <v>1</v>
      </c>
      <c r="AY46" s="152" t="n">
        <v>0</v>
      </c>
      <c r="AZ46" s="152" t="n">
        <v>0</v>
      </c>
      <c r="BA46" s="152" t="n">
        <v>0</v>
      </c>
      <c r="JG46" s="152">
        <f>IF(OR($AW46="",COUNTIF($EF$2:$EJ$2,$AW46)&gt;0),$AV46,"")</f>
        <v/>
      </c>
      <c r="JH46" s="152">
        <f>IF(AND($AX46=1,OR($AW46="",COUNTIF($EF$2:$EJ$2,$AW46)&gt;0)),$AV46,"")</f>
        <v/>
      </c>
      <c r="JM46" s="152">
        <f>IF(OR($AW46="",COUNTIF($EF$3:$EJ$3,$AW46)&gt;0),$AV46,"")</f>
        <v/>
      </c>
      <c r="JN46" s="152">
        <f>IF(AND($AX46=1,OR($AW46="",COUNTIF($EF$3:$EJ$3,$AW46)&gt;0)),$AV46,"")</f>
        <v/>
      </c>
      <c r="JS46" s="152">
        <f>IF(OR($AW46="",COUNTIF($EF$4:$EJ$4,$AW46)&gt;0),$AV46,"")</f>
        <v/>
      </c>
      <c r="JT46" s="152">
        <f>IF(AND($AX46=1,OR($AW46="",COUNTIF($EF$4:$EJ$4,$AW46)&gt;0)),$AV46,"")</f>
        <v/>
      </c>
      <c r="JY46" s="152">
        <f>IF(OR($AW46="",COUNTIF($EF$5:$EJ$5,$AW46)&gt;0),$AV46,"")</f>
        <v/>
      </c>
      <c r="JZ46" s="152">
        <f>IF(AND($AX46=1,OR($AW46="",COUNTIF($EF$5:$EJ$5,$AW46)&gt;0)),$AV46,"")</f>
        <v/>
      </c>
      <c r="KE46" s="152">
        <f>IF(OR($AW46="",COUNTIF($EF$6:$EJ$6,$AW46)&gt;0),$AV46,"")</f>
        <v/>
      </c>
      <c r="KF46" s="152">
        <f>IF(AND($AX46=1,OR($AW46="",COUNTIF($EF$6:$EJ$6,$AW46)&gt;0)),$AV46,"")</f>
        <v/>
      </c>
      <c r="KK46" s="152">
        <f>IF(OR($AW46="",COUNTIF($EF$7:$EJ$7,$AW46)&gt;0),$AV46,"")</f>
        <v/>
      </c>
      <c r="KL46" s="152">
        <f>IF(AND($AX46=1,OR($AW46="",COUNTIF($EF$7:$EJ$7,$AW46)&gt;0)),$AV46,"")</f>
        <v/>
      </c>
      <c r="KQ46" s="152">
        <f>IF(OR($AW46="",COUNTIF($EF$8:$EJ$8,$AW46)&gt;0),$AV46,"")</f>
        <v/>
      </c>
      <c r="KR46" s="152">
        <f>IF(AND($AX46=1,OR($AW46="",COUNTIF($EF$8:$EJ$8,$AW46)&gt;0)),$AV46,"")</f>
        <v/>
      </c>
      <c r="KW46" s="152">
        <f>IF(OR($AW46="",COUNTIF($EF$9:$EJ$9,$AW46)&gt;0),$AV46,"")</f>
        <v/>
      </c>
      <c r="KX46" s="152">
        <f>IF(AND($AX46=1,OR($AW46="",COUNTIF($EF$9:$EJ$9,$AW46)&gt;0)),$AV46,"")</f>
        <v/>
      </c>
      <c r="LC46" s="152">
        <f>IF(OR($AW46="",COUNTIF($EF$10:$EJ$10,$AW46)&gt;0),$AV46,"")</f>
        <v/>
      </c>
      <c r="LD46" s="152">
        <f>IF(AND($AX46=1,OR($AW46="",COUNTIF($EF$10:$EJ$10,$AW46)&gt;0)),$AV46,"")</f>
        <v/>
      </c>
      <c r="LI46" s="152">
        <f>IF(OR($AW46="",COUNTIF($EF$11:$EJ$11,$AW46)&gt;0),$AV46,"")</f>
        <v/>
      </c>
      <c r="LJ46" s="152">
        <f>IF(AND($AX46=1,OR($AW46="",COUNTIF($EF$11:$EJ$11,$AW46)&gt;0)),$AV46,"")</f>
        <v/>
      </c>
      <c r="LO46" s="152">
        <f>IF(OR($AW46="",COUNTIF($EF$12:$EJ$12,$AW46)&gt;0),$AV46,"")</f>
        <v/>
      </c>
      <c r="LP46" s="152">
        <f>IF(AND($AX46=1,OR($AW46="",COUNTIF($EF$12:$EJ$12,$AW46)&gt;0)),$AV46,"")</f>
        <v/>
      </c>
      <c r="LU46" s="152">
        <f>IF(OR($AW46="",COUNTIF($EF$13:$EJ$13,$AW46)&gt;0),$AV46,"")</f>
        <v/>
      </c>
      <c r="LV46" s="152">
        <f>IF(AND($AX46=1,OR($AW46="",COUNTIF($EF$13:$EJ$13,$AW46)&gt;0)),$AV46,"")</f>
        <v/>
      </c>
      <c r="MA46" s="150" t="inlineStr">
        <is>
          <t>Ficha 4 · Especial 4</t>
        </is>
      </c>
      <c r="MB46" s="152" t="n">
        <v>4</v>
      </c>
      <c r="MC46" s="152" t="n">
        <v>1</v>
      </c>
      <c r="MD46" s="152" t="n">
        <v>12</v>
      </c>
      <c r="ME46" s="150" t="inlineStr">
        <is>
          <t>ESPECIAL 4</t>
        </is>
      </c>
      <c r="MF46" s="152">
        <f>MAX(1,MIN(7,N('INVOCAÇÕES'!$U$686)))</f>
        <v/>
      </c>
      <c r="MG46" s="152">
        <f>'INVOCAÇÕES'!$V$686&amp;""</f>
        <v/>
      </c>
      <c r="MH46" s="152">
        <f>'INVOCAÇÕES'!$U$691&amp;""</f>
        <v/>
      </c>
      <c r="MI46" s="152">
        <f>'INVOCAÇÕES'!$U$692&amp;""</f>
        <v/>
      </c>
      <c r="MJ46" s="152">
        <f>'INVOCAÇÕES'!$W$692&amp;""</f>
        <v/>
      </c>
      <c r="MK46" s="152">
        <f>'INVOCAÇÕES'!$V$695&amp;""</f>
        <v/>
      </c>
      <c r="ML46" s="152">
        <f>'INVOCAÇÕES'!$V$696&amp;""</f>
        <v/>
      </c>
      <c r="MM46" s="152">
        <f>'INVOCAÇÕES'!$V$697&amp;""</f>
        <v/>
      </c>
      <c r="MN46" s="152">
        <f>'INVOCAÇÕES'!$V$698&amp;""</f>
        <v/>
      </c>
      <c r="MO46" s="152">
        <f>'INVOCAÇÕES'!$V$699&amp;""</f>
        <v/>
      </c>
      <c r="MP46" s="152">
        <f>'INVOCAÇÕES'!$V$700&amp;""</f>
        <v/>
      </c>
      <c r="MQ46" s="152">
        <f>IF($MG46&lt;&gt;"",1,0)</f>
        <v/>
      </c>
      <c r="MR46" s="152">
        <f>INDEX($FI$2:$FI$13,$MB46)</f>
        <v/>
      </c>
      <c r="MS46" s="152">
        <f>INDEX($FJ$2:$FJ$13,$MB46)</f>
        <v/>
      </c>
      <c r="MT46" s="152">
        <f>INDEX($FK$2:$FK$13,$MB46)</f>
        <v/>
      </c>
      <c r="MU46" s="152">
        <f>INDEX($FV$2:$FV$13,$MB46)</f>
        <v/>
      </c>
      <c r="MV46" s="152">
        <f>INDEX($FW$2:$FW$13,$MB46)</f>
        <v/>
      </c>
      <c r="MW46" s="152">
        <f>IFERROR(MATCH($MH46,$V$2:$V$11,0),0)</f>
        <v/>
      </c>
      <c r="MX46" s="152">
        <f>IFERROR(VLOOKUP($MK46,$AV$2:$BA$84,2,FALSE),"")</f>
        <v/>
      </c>
      <c r="MY46" s="152">
        <f>IFERROR(VLOOKUP($ML46,$AV$2:$BA$84,2,FALSE),"")</f>
        <v/>
      </c>
      <c r="MZ46" s="152">
        <f>IFERROR(VLOOKUP($MM46,$AV$2:$BA$84,2,FALSE),"")</f>
        <v/>
      </c>
      <c r="NA46" s="152">
        <f>IFERROR(VLOOKUP($MN46,$AV$2:$BA$84,2,FALSE),"")</f>
        <v/>
      </c>
      <c r="NB46" s="152">
        <f>IFERROR(VLOOKUP($MK46,$AV$2:$BA$84,3,FALSE),0)</f>
        <v/>
      </c>
      <c r="NC46" s="152">
        <f>IFERROR(VLOOKUP($ML46,$AV$2:$BA$84,3,FALSE),0)</f>
        <v/>
      </c>
      <c r="ND46" s="152">
        <f>IFERROR(VLOOKUP($MM46,$AV$2:$BA$84,3,FALSE),0)</f>
        <v/>
      </c>
      <c r="NE46" s="152">
        <f>IFERROR(VLOOKUP($MN46,$AV$2:$BA$84,3,FALSE),0)</f>
        <v/>
      </c>
      <c r="NF46" s="152">
        <f>IF($MF46=0,0,IF($MW46=0,0,INDEX($X$2:$X$11,$MW46)))</f>
        <v/>
      </c>
      <c r="NG46" s="152">
        <f>IF(OR($NB46=0,$MF46=0),0,$NB46+3*IF(AND($MX46&lt;&gt;"",OR($MX46=INDEX($EF$2:$EF$13,$MB46),$MX46=INDEX($EG$2:$EG$13,$MB46))),1,0))</f>
        <v/>
      </c>
      <c r="NH46" s="152">
        <f>IF(OR($NC46=0,$MF46=0),0,$NC46+3*IF(AND($MY46&lt;&gt;"",OR($MY46=INDEX($EF$2:$EF$13,$MB46),$MY46=INDEX($EG$2:$EG$13,$MB46))),1,0))</f>
        <v/>
      </c>
      <c r="NI46" s="152">
        <f>IF(OR($ND46=0,$MF46=0),0,$ND46+3*IF(AND($MZ46&lt;&gt;"",OR($MZ46=INDEX($EF$2:$EF$13,$MB46),$MZ46=INDEX($EG$2:$EG$13,$MB46))),1,0))</f>
        <v/>
      </c>
      <c r="NJ46" s="152">
        <f>IF(OR($NE46=0,$MF46=0),0,$NE46+3*IF(AND($NA46&lt;&gt;"",OR($NA46=INDEX($EF$2:$EF$13,$MB46),$NA46=INDEX($EG$2:$EG$13,$MB46))),1,0))</f>
        <v/>
      </c>
      <c r="NK46" s="152">
        <f>IF($MW46=0,0,IF(INDEX($W$2:$W$11,$MW46)="",0,IF(COUNTIF(INDEX($EF$2:$EJ$13,$MB46,0),INDEX($W$2:$W$11,$MW46))=0,1,0)))</f>
        <v/>
      </c>
      <c r="NL46" s="152">
        <f>IF(OR($NB46=0,$MX46=""),0,IF(COUNTIF(INDEX($EF$2:$EJ$13,$MB46,0),$MX46)=0,1,0))</f>
        <v/>
      </c>
      <c r="NM46" s="152">
        <f>IF(OR($NC46=0,$MY46=""),0,IF(COUNTIF(INDEX($EF$2:$EJ$13,$MB46,0),$MY46)=0,1,0))</f>
        <v/>
      </c>
      <c r="NN46" s="152">
        <f>IF(OR($ND46=0,$MZ46=""),0,IF(COUNTIF(INDEX($EF$2:$EJ$13,$MB46,0),$MZ46)=0,1,0))</f>
        <v/>
      </c>
      <c r="NO46" s="152">
        <f>IF(OR($NE46=0,$NA46=""),0,IF(COUNTIF(INDEX($EF$2:$EJ$13,$MB46,0),$NA46)=0,1,0))</f>
        <v/>
      </c>
      <c r="NP46" s="152">
        <f>IFERROR(VLOOKUP($MK46,$AV$2:$BA$84,4,FALSE),0)+IFERROR(VLOOKUP($ML46,$AV$2:$BA$84,4,FALSE),0)+IFERROR(VLOOKUP($MM46,$AV$2:$BA$84,4,FALSE),0)+IFERROR(VLOOKUP($MN46,$AV$2:$BA$84,4,FALSE),0)</f>
        <v/>
      </c>
      <c r="NQ46" s="152">
        <f>IFERROR(VLOOKUP($MK46,$AV$2:$BA$84,6,FALSE),0)+IFERROR(VLOOKUP($ML46,$AV$2:$BA$84,6,FALSE),0)+IFERROR(VLOOKUP($MM46,$AV$2:$BA$84,6,FALSE),0)+IFERROR(VLOOKUP($MN46,$AV$2:$BA$84,6,FALSE),0)</f>
        <v/>
      </c>
      <c r="NR46" s="152">
        <f>TEXTJOIN(", ",TRUE,IF(IFERROR(VLOOKUP($MK46,$AV$2:$BA$84,5,FALSE),0)=1,$MK46,""),IF(IFERROR(VLOOKUP($ML46,$AV$2:$BA$84,5,FALSE),0)=1,$ML46,""),IF(IFERROR(VLOOKUP($MM46,$AV$2:$BA$84,5,FALSE),0)=1,$MM46,""),IF(IFERROR(VLOOKUP($MN46,$AV$2:$BA$84,5,FALSE),0)=1,$MN46,""))</f>
        <v/>
      </c>
      <c r="NS46" s="152">
        <f>IF($MW46=0,0,INDEX($Y$2:$Y$11,$MW46))</f>
        <v/>
      </c>
      <c r="NT46" s="152">
        <f>IF($MW46=0,0,INDEX($Z$2:$Z$11,$MW46))</f>
        <v/>
      </c>
      <c r="NU46" s="152">
        <f>IF($MW46=0,0,INDEX($AB$2:$AB$11,$MW46))</f>
        <v/>
      </c>
      <c r="NV46" s="152">
        <f>IFERROR(VLOOKUP($MO46,$BC$2:$BG$24,3,FALSE),0)</f>
        <v/>
      </c>
      <c r="NW46" s="152">
        <f>IFERROR(VLOOKUP($MP46,$BC$2:$BG$24,3,FALSE),0)</f>
        <v/>
      </c>
      <c r="NX46" s="152">
        <f>IFERROR(VLOOKUP($MO46,$BC$2:$BG$24,2,FALSE),"")</f>
        <v/>
      </c>
      <c r="NY46" s="152">
        <f>IFERROR(VLOOKUP($MP46,$BC$2:$BG$24,2,FALSE),"")</f>
        <v/>
      </c>
      <c r="NZ46" s="152">
        <f>COUNTIF($NF46:$NJ46,1)</f>
        <v/>
      </c>
      <c r="OA46" s="152">
        <f>COUNTIF($NF46:$NJ46,2)</f>
        <v/>
      </c>
      <c r="OB46" s="152">
        <f>COUNTIF($NF46:$NJ46,3)</f>
        <v/>
      </c>
      <c r="OC46" s="152">
        <f>COUNTIF($NF46:$NJ46,4)</f>
        <v/>
      </c>
      <c r="OD46" s="152">
        <f>COUNTIF($NF46:$NJ46,5)</f>
        <v/>
      </c>
      <c r="OE46" s="152">
        <f>COUNTIF($NF46:$NJ46,6)</f>
        <v/>
      </c>
      <c r="OF46" s="152">
        <f>COUNTIF($NV46:$NW46,1)</f>
        <v/>
      </c>
      <c r="OG46" s="152">
        <f>COUNTIF($NV46:$NW46,2)+$NS46</f>
        <v/>
      </c>
      <c r="OH46" s="152">
        <f>COUNTIF($MK46:$MN46,"?*")</f>
        <v/>
      </c>
      <c r="OI46" s="152">
        <f>COUNTIF($MO46:$MP46,"?*")+$NS46</f>
        <v/>
      </c>
      <c r="OJ46" s="152">
        <f>IF($MF46=0,0,SUMPRODUCT($NZ46:$OE46,INDEX($I$2:$N$8,MAX(1,$MF46),0)))</f>
        <v/>
      </c>
      <c r="OK46" s="152">
        <f>IF($MF46=0,0,$OF46*CEILING($MF46/2,1)+$OG46*$MF46)</f>
        <v/>
      </c>
      <c r="OL46" s="152">
        <f>MIN(2*$MF46,$OK46)</f>
        <v/>
      </c>
      <c r="OM46" s="152">
        <f>MIN($OL46,$OJ46)</f>
        <v/>
      </c>
      <c r="ON46" s="152">
        <f>$OL46-$OM46</f>
        <v/>
      </c>
      <c r="OO46" s="152">
        <f>IF($MF46=0,0,INDEX($P$2:$P$8,MAX(1,$MF46)))</f>
        <v/>
      </c>
      <c r="OP46" s="152">
        <f>$OO46-$OJ46+$OM46</f>
        <v/>
      </c>
      <c r="OQ46" s="152">
        <f>IF($MF46=0,MAX(0,$MT46-IF($OH46&gt;0,1,0)),MAX(0,$OP46))</f>
        <v/>
      </c>
      <c r="OR46" s="152">
        <f>IF($MF46=0,0,(IF(COUNTIF($MK46:$MN46,"Salto")&gt;0,1,0)+IF(COUNTIF($MK46:$MN46,"Queima")&gt;0,1,0)+IF(COUNTIF($MK46:$MN46,"Estilhaço")&gt;0,1,0))*FLOOR($OQ46/2,1))</f>
        <v/>
      </c>
      <c r="OS46" s="152">
        <f>MAX(0,2-SUMPRODUCT($NZ46:$OE46,$I$2:$N$2)+MIN(2,$OF46*1+$OG46*1,SUMPRODUCT($NZ46:$OE46,$I$2:$N$2)))</f>
        <v/>
      </c>
      <c r="OT46" s="152">
        <f>MAX(0,4-SUMPRODUCT($NZ46:$OE46,$I$3:$N$3)+MIN(4,$OF46*1+$OG46*2,SUMPRODUCT($NZ46:$OE46,$I$3:$N$3)))</f>
        <v/>
      </c>
      <c r="OU46" s="152">
        <f>MAX(0,6-SUMPRODUCT($NZ46:$OE46,$I$4:$N$4)+MIN(6,$OF46*2+$OG46*3,SUMPRODUCT($NZ46:$OE46,$I$4:$N$4)))</f>
        <v/>
      </c>
      <c r="OV46" s="152">
        <f>MAX(0,9-SUMPRODUCT($NZ46:$OE46,$I$5:$N$5)+MIN(8,$OF46*2+$OG46*4,SUMPRODUCT($NZ46:$OE46,$I$5:$N$5)))</f>
        <v/>
      </c>
      <c r="OW46" s="152">
        <f>MAX(0,11-SUMPRODUCT($NZ46:$OE46,$I$6:$N$6)+MIN(10,$OF46*3+$OG46*5,SUMPRODUCT($NZ46:$OE46,$I$6:$N$6)))</f>
        <v/>
      </c>
      <c r="OX46" s="152">
        <f>MAX(0,13-SUMPRODUCT($NZ46:$OE46,$I$7:$N$7)+MIN(12,$OF46*3+$OG46*6,SUMPRODUCT($NZ46:$OE46,$I$7:$N$7)))</f>
        <v/>
      </c>
      <c r="OY46" s="152">
        <f>MAX(0,16-SUMPRODUCT($NZ46:$OE46,$I$8:$N$8)+MIN(14,$OF46*4+$OG46*7,SUMPRODUCT($NZ46:$OE46,$I$8:$N$8)))</f>
        <v/>
      </c>
      <c r="OZ46" s="152">
        <f>IF($NT46=2,3*$OS46&amp;" de vida temp.",IF($NT46=3,"sem dano",IF($OS46=0,IF($NT46=1,"sem cura","sem dano"),IF($NT46=1,"cura ","")&amp;$OS46&amp;"d8")))</f>
        <v/>
      </c>
      <c r="PA46" s="152">
        <f>IF($NT46=2,3*$OT46&amp;" de vida temp.",IF($NT46=3,"sem dano",IF($OT46=0,IF($NT46=1,"sem cura","sem dano"),IF($NT46=1,"cura ","")&amp;$OT46&amp;"d8")))</f>
        <v/>
      </c>
      <c r="PB46" s="152">
        <f>IF($NT46=2,3*$OU46&amp;" de vida temp.",IF($NT46=3,"sem dano",IF($OU46=0,IF($NT46=1,"sem cura","sem dano"),IF($NT46=1,"cura ","")&amp;$OU46&amp;"d8")))</f>
        <v/>
      </c>
      <c r="PC46" s="152">
        <f>IF($NT46=2,3*$OV46&amp;" de vida temp.",IF($NT46=3,"sem dano",IF($OV46=0,IF($NT46=1,"sem cura","sem dano"),IF($NT46=1,"cura ","")&amp;$OV46&amp;"d8")))</f>
        <v/>
      </c>
      <c r="PD46" s="152">
        <f>IF($NT46=2,3*$OW46&amp;" de vida temp.",IF($NT46=3,"sem dano",IF($OW46=0,IF($NT46=1,"sem cura","sem dano"),IF($NT46=1,"cura ","")&amp;$OW46&amp;"d8")))</f>
        <v/>
      </c>
      <c r="PE46" s="152">
        <f>IF($NT46=2,3*$OX46&amp;" de vida temp.",IF($NT46=3,"sem dano",IF($OX46=0,IF($NT46=1,"sem cura","sem dano"),IF($NT46=1,"cura ","")&amp;$OX46&amp;"d8")))</f>
        <v/>
      </c>
      <c r="PF46" s="152">
        <f>IF($NT46=2,3*$OY46&amp;" de vida temp.",IF($NT46=3,"sem dano",IF($OY46=0,IF($NT46=1,"sem cura","sem dano"),IF($NT46=1,"cura ","")&amp;$OY46&amp;"d8")))</f>
        <v/>
      </c>
      <c r="PG46" s="152">
        <f>IF($MQ46=0,"",TEXTJOIN(" · ",TRUE,IF($MD46&gt;$MR46,"Este lugar abre no nível "&amp;$MD46,""),IF($MF46&gt;$MS46,"Classe "&amp;$MF46&amp;": o nível "&amp;$MR46&amp;" libera até a "&amp;$MS46,""),IF($NK46=1,"A Forma "&amp;$MH46&amp;" pede "&amp;INDEX($W$2:$W$11,$MW46)&amp;" aberta",""),IF(AND($MF46=0,$MW46&gt;0,IF($MW46=0,0,INDEX($AF$2:$AF$11,$MW46))=0),$MH46&amp;" não existe na Classe 0",""),IF($NL46=1,"Família Fechada: "&amp;$MK46,""),IF($NM46=1,"Família Fechada: "&amp;$ML46,""),IF($NN46=1,"Família Fechada: "&amp;$MM46,""),IF($NO46=1,"Família Fechada: "&amp;$MN46,""),IF(AND($MF46&gt;0,$OH46&gt;INDEX($O$2:$O$8,MAX(1,$MF46))),$OH46&amp;" Melhorias: a Classe "&amp;$MF46&amp;" aceita "&amp;INDEX($O$2:$O$8,MAX(1,$MF46)),""),IF(AND($MF46=0,$OH46&gt;1),"A básica aceita uma Melhoria",""),IF(AND($MF46=0,COUNTIF($NB46:$NE46,"&gt;1")&gt;0),"A básica só aceita Melhoria Leve",""),IF(AND($MF46&gt;0,$OI46&gt;2),$OI46&amp;" Restrições"&amp;IF($NS46=1,", contando a que a Forma "&amp;$MH46&amp;" já traz","")&amp;": o limite é 2",""),IF(AND($MF46=0,COUNTIF($MO46:$MP46,"?*")&gt;1),"A básica aceita uma Restrição Leve",""),IF(AND($MF46=0,COUNTIF($NV46:$NW46,2)&gt;0),"A básica só aceita Restrição Leve",""),IF(AND($MF46&gt;0,$OP46&lt;0),"Orçamento estourado: faltam "&amp;(-$OP46)&amp;IF($OP46&lt;-1," pontos"," ponto"),""),IF(IFERROR(VLOOKUP($MO46,$BC$2:$BG$24,4,FALSE),0)+IFERROR(VLOOKUP($MP46,$BC$2:$BG$24,4,FALSE),0)&gt;1,$NX46&amp;" e "&amp;$NY46&amp;" são as duas de frequência",""),IF(AND((COUNTIF($MK46:$MN46,"Rápido")+COUNTIF($NX46:$NY46,"Rápido"))&gt;0,(COUNTIF($MK46:$MN46,"Atrasar")+COUNTIF($NX46:$NY46,"Atrasar"))&gt;0),"Rápido não entra com Atrasar",""),IF(AND((COUNTIF($MK46:$MN46,"Reação")+COUNTIF($NX46:$NY46,"Reação"))&gt;0,(COUNTIF($MK46:$MN46,"Rápido")+COUNTIF($NX46:$NY46,"Rápido"))&gt;0),"Reação não entra com Rápido",""),IF(AND((COUNTIF($MK46:$MN46,"Reação")+COUNTIF($NX46:$NY46,"Reação"))&gt;0,(COUNTIF($MK46:$MN46,"Armado")+COUNTIF($NX46:$NY46,"Armado"))&gt;0),"Reação não entra com Armado",""),IF(AND((COUNTIF($MK46:$MN46,"Reação")+COUNTIF($NX46:$NY46,"Reação"))&gt;0,(COUNTIF($MK46:$MN46,"Atrasar")+COUNTIF($NX46:$NY46,"Atrasar"))&gt;0),"Reação não entra com Atrasar",""),IF(AND((COUNTIF($MK46:$MN46,"Reação")+COUNTIF($NX46:$NY46,"Reação"))&gt;0,(COUNTIF($MK46:$MN46,"Parado")+COUNTIF($NX46:$NY46,"Parado"))&gt;0),"Reação não entra com Parado",""),IF(AND((COUNTIF($MK46:$MN46,"Atrasar")+COUNTIF($NX46:$NY46,"Atrasar"))&gt;0,(COUNTIF($MK46:$MN46,"Parado")+COUNTIF($NX46:$NY46,"Parado"))&gt;0),"Atrasar não entra com Parado",""),IF(AND((COUNTIF($MK46:$MN46,"Armado")+COUNTIF($NX46:$NY46,"Armado"))&gt;0,(COUNTIF($MK46:$MN46,"Carregar")+COUNTIF($NX46:$NY46,"Carregar"))&gt;0),"Armado não entra com Carregar",""),IF(AND(COUNTIF($NX46:$NY46,"Corpo a Corpo")&gt;0,$NS46=0,OR($MH46="Cone",$MH46="Linha")),"Corpo a Corpo não entra em "&amp;$MH46,""),IF(AND(COUNTIF($NX46:$NY46,"Corpo a Corpo")&gt;0,$NS46=1),"A Forma "&amp;$MH46&amp;" já traz o Corpo a Corpo",""),IF(AND(COUNTIF($NX46:$NY46,"Tudo ou Nada")&gt;0,$NU46=0),"Tudo ou Nada só entra em habilidade de Teste de Resistência",""),IF(AND(COUNTIF($MK46:$MN46,"Inescapável")&gt;0,OR($OH46&gt;1,$OI46&gt;0)),"Inescapável não aceita outra peça",""),IF(AND($MF46&gt;0,$OQ46*IF(COUNTIF($MK46:$MN46,"Remate")&gt;0,1.25,1)+$OR46&gt;4*$MF46),($OQ46*IF(COUNTIF($MK46:$MN46,"Remate")&gt;0,1.25,1)+$OR46)&amp;" dados somando repetições"&amp;IF(COUNTIF($MK46:$MN46,"Remate")&gt;0," e o Remate","")&amp;": o teto da Classe "&amp;$MF46&amp;" é "&amp;4*$MF46,"")))</f>
        <v/>
      </c>
      <c r="PH46" s="152">
        <f>IF($PG46="",0,(LEN($PG46)-LEN(SUBSTITUTE($PG46," · ","")))/3+1)</f>
        <v/>
      </c>
      <c r="PI46" s="152">
        <f>IF($MQ46=0,"",TEXTJOIN(" · ",TRUE,IF($OK46&gt;2*$MF46,"A devolução parou no teto de "&amp;2*$MF46,""),IF($ON46&gt;0,"Devolução perdida: "&amp;$ON46&amp;IF($ON46&gt;1," pontos"," ponto")&amp;" sem peça para pagar",""),IF(AND($NP46&gt;0,AND($MF46&gt;0,$NT46=0),$OQ46=0),"Controle sem dano: uma rodada a mais e CD +2",""),IF(AND($NP46&gt;0,AND($MF46&gt;0,$NT46=0),$OQ46&gt;0,$OQ46&lt;=$MF46),"Controle com saldo até a Classe: uma rodada a mais",""),IF(AND($MF46&gt;0,$NR46&lt;&gt;""),"Efeito de "&amp;$NR46&amp;" pela Classe "&amp;MAX(1,$MF46-1),"")))</f>
        <v/>
      </c>
      <c r="PJ46" s="152">
        <f>IF($PI46="",0,(LEN($PI46)-LEN(SUBSTITUTE($PI46," · ","")))/3+1)</f>
        <v/>
      </c>
      <c r="PK46" s="152">
        <f>IF($MQ46=0,IF($OH46+COUNTIF($MO46:$MP46,"?*")&gt;0,"Dê um nome",""),IF($PH46&gt;0,"⚠ "&amp;$PH46&amp;IF($PH46&gt;1," erros"," erro"),IF($PJ46&gt;0,"! "&amp;$PJ46&amp;IF($PJ46&gt;1," avisos"," aviso"),"Na regra")))</f>
        <v/>
      </c>
      <c r="PL46" s="152">
        <f>IF($MQ46=0,"",IF($PH46+$PJ46=0,"Dentro das regras que a ficha confere",$PG46&amp;IF(AND($PH46&gt;0,$PJ46&gt;0)," · ","")&amp;$PI46))</f>
        <v/>
      </c>
      <c r="PM46" s="152">
        <f>IF($MD46&gt;$MR46,$ME46&amp;" · ABRE NO NÍVEL "&amp;$MD46,$ME46)</f>
        <v/>
      </c>
      <c r="PN46" s="152">
        <f>IF($MQ46=0,"",IF($MF46=0,"Sem PE",3*$MF46&amp;" PE"))</f>
        <v/>
      </c>
      <c r="PO46" s="152">
        <f>IF($MQ46=0,"",IF($MF46=0,"A atuação básica dela",IF(COUNTIF($NX46:$NY46,"Atrasar")&gt;0,"Sua Ação Completa",IF(COUNTIF($MK46:$MN46,"Rápido")&gt;0,"Sua Bônus",IF(COUNTIF($MK46:$MN46,"Reação")&gt;0,"Sua Reação","Sua Padrão")))&amp;" + a básica dela"&amp;IF(COUNTIF($MK46:$MN46,"Reação")&gt;0," e a coletiva","")&amp;IF(COUNTIF($NX46:$NY46,"Carregar")&gt;0," · em dois turnos","")))</f>
        <v/>
      </c>
      <c r="PP46" s="152">
        <f>IF($MJ46&lt;&gt;"",$MJ46,IF($MW46=0,"",INDEX($AA$2:$AA$11,$MW46)))</f>
        <v/>
      </c>
      <c r="PQ46" s="152">
        <f>IF(OR($MQ46=0,$MW46=0),"",IF(COUNTIF($MK46:$MN46,"Inescapável")&gt;0,"Automático",IF($PP46="Ataque",IF($MU46="","Ataque","Ataque "&amp;IF(($MU46+2*IF(COUNTIF($MK46:$MN46,"Precisão")&gt;0,1,0))&gt;=0,"+","−")&amp;ABS(($MU46+2*IF(COUNTIF($MK46:$MN46,"Precisão")&gt;0,1,0))))&amp;IF($NQ46&gt;0," · TR"&amp;IF($MV46="",""," CD "&amp;$MV46),""),IF(LEFT($PP46,2)="TR",$PP46&amp;IF($MV46="",""," · CD "&amp;$MV46)&amp;IF(COUNTIF($MK46:$MN46,"Certeiro")&gt;0," · metade",""),"Sem rolagem"))))</f>
        <v/>
      </c>
      <c r="PR46" s="152">
        <f>IF(OR($MQ46=0,$MW46=0),"",IF($MF46=0,IF(OR($NT46&gt;=1,$OQ46=0),"Sem dano",$OQ46&amp;"d6"&amp;IF($MI46="",""," "&amp;$MI46)),IF(OR($NT46&gt;=1,$OQ46=0),UPPER(LEFT(INDEX($OZ46:$PF46,1,MAX(1,$MF46)),1))&amp;MID(INDEX($OZ46:$PF46,1,MAX(1,$MF46)),2,99),UPPER(LEFT(INDEX($OZ46:$PF46,1,MAX(1,$MF46)),1))&amp;MID(INDEX($OZ46:$PF46,1,MAX(1,$MF46)),2,99)&amp;IF($MI46="",""," "&amp;$MI46)&amp;IF($OR46&gt;0," · +"&amp;$OR46&amp;"d8",""))))</f>
        <v/>
      </c>
      <c r="PS46" s="152">
        <f>COUNTIF($MK46:$MN46,"Longe")+3*COUNTIF($MK46:$MN46,"Muito Longe")</f>
        <v/>
      </c>
      <c r="PT46" s="152">
        <f>COUNTIF($MK46:$MN46,"Maior")+3*COUNTIF($MK46:$MN46,"Muito Maior")</f>
        <v/>
      </c>
      <c r="PU46" s="152">
        <f>IF($MW46=0,0,CHOOSE(1+INDEX($AC$2:$AC$11,$MW46),0,$PS46,$PT46,$PS46+$PT46))</f>
        <v/>
      </c>
      <c r="PV46" s="152">
        <f>IF($MW46=0,0,CHOOSE(1+INDEX($AD$2:$AD$11,$MW46),0,$PS46,$PT46,$PS46+$PT46))</f>
        <v/>
      </c>
      <c r="PW46" s="152">
        <f>IF(OR($MQ46=0,$MW46=0),"",INDEX($AI$2:$AN$41,($MW46-1)*4+IF($MF46=0,1,IF($MF46&lt;=5,2,IF($MF46=6,3,4))),1+MIN(5,$PU46))&amp;INDEX($AO$2:$AT$41,($MW46-1)*4+IF($MF46=0,1,IF($MF46&lt;=5,2,IF($MF46=6,3,4))),1+MIN(5,$PV46))&amp;IF(INDEX($AE$2:$AE$11,$MW46)=1,IF(COUNTIF($MK46:$MN46,"Mais Um")&gt;0," · +"&amp;COUNTIF($MK46:$MN46,"Mais Um")&amp;IF(COUNTIF($MK46:$MN46,"Mais Um")&gt;1," alvos"," alvo"),"")&amp;IF(COUNTIF($MK46:$MN46,"Rajada")&gt;0,IF($MF46=0," · 1 tiro"," · "&amp;(MAX(1,$MF46-1)+1)&amp;" tiros"),""),""))</f>
        <v/>
      </c>
      <c r="PX46" s="152">
        <f>IF($MQ46=0,"",IF($MF46=0,$MT46&amp;"d6"&amp;IF($OH46&gt;0," − 1 = "&amp;$OQ46&amp;"d6"," da básica do nível "&amp;$MR46),$OO46&amp;" − "&amp;$OJ46&amp;" + "&amp;$OM46&amp;" = "&amp;$OP46&amp;" · teto "&amp;4*$MF46&amp;"d8"&amp;IF($NS46=1," · a Forma devolve "&amp;$MF46,"")&amp;IF($ON46&gt;0," · perde "&amp;$ON46,"")))</f>
        <v/>
      </c>
      <c r="PY46" s="152">
        <f>IF($MQ46=0,"",IF($MF46=0,"A básica não amplia: os dados dela sobem com o nível",IF($MF46&gt;=$MS46,"Já está na maior Classe que o nível liberou",TEXTJOIN(" · ",TRUE,IF(AND(2&gt;$MF46,2&lt;=$MS46),"2 → "&amp;$PA46&amp;", 6 PE",""),IF(AND(3&gt;$MF46,3&lt;=$MS46),"3 → "&amp;$PB46&amp;", 9 PE",""),IF(AND(4&gt;$MF46,4&lt;=$MS46),"4 → "&amp;$PC46&amp;", 12 PE",""),IF(AND(5&gt;$MF46,5&lt;=$MS46),"5 → "&amp;$PD46&amp;", 15 PE",""),IF(AND(6&gt;$MF46,6&lt;=$MS46),"6 → "&amp;$PE46&amp;", 18 PE",""),IF(AND(7&gt;$MF46,7&lt;=$MS46),"7 → "&amp;$PF46&amp;", 21 PE","")))))</f>
        <v/>
      </c>
      <c r="PZ46" s="152">
        <f>IF(OR($MQ46=0,$NB46=0),"",IF($MF46=0,"−1 dado","−"&amp;INDEX($I$2:$N$8,MAX(1,$MF46),MAX(1,$NG46))&amp;" · "&amp;CHOOSE(MAX(1,$NG46),"Leve","Média","Pesada","Leve · Livre","Média · Livre","Pesada · Livre")))</f>
        <v/>
      </c>
      <c r="QA46" s="152">
        <f>IF(OR($MQ46=0,$NC46=0),"",IF($MF46=0,"−1 dado","−"&amp;INDEX($I$2:$N$8,MAX(1,$MF46),MAX(1,$NH46))&amp;" · "&amp;CHOOSE(MAX(1,$NH46),"Leve","Média","Pesada","Leve · Livre","Média · Livre","Pesada · Livre")))</f>
        <v/>
      </c>
      <c r="QB46" s="152">
        <f>IF(OR($MQ46=0,$ND46=0),"",IF($MF46=0,"−1 dado","−"&amp;INDEX($I$2:$N$8,MAX(1,$MF46),MAX(1,$NI46))&amp;" · "&amp;CHOOSE(MAX(1,$NI46),"Leve","Média","Pesada","Leve · Livre","Média · Livre","Pesada · Livre")))</f>
        <v/>
      </c>
      <c r="QC46" s="152">
        <f>IF(OR($MQ46=0,$NE46=0),"",IF($MF46=0,"−1 dado","−"&amp;INDEX($I$2:$N$8,MAX(1,$MF46),MAX(1,$NJ46))&amp;" · "&amp;CHOOSE(MAX(1,$NJ46),"Leve","Média","Pesada","Leve · Livre","Média · Livre","Pesada · Livre")))</f>
        <v/>
      </c>
      <c r="QD46" s="152">
        <f>IF(OR($MQ46=0,$MO46=""),"",IF($MF46=0,"não devolve","+"&amp;IF($NV46=1,CEILING($MF46/2,1),$MF46)))</f>
        <v/>
      </c>
      <c r="QE46" s="152">
        <f>IF(OR($MQ46=0,$MP46=""),"",IF($MF46=0,"não devolve","+"&amp;IF($NW46=1,CEILING($MF46/2,1),$MF46)))</f>
        <v/>
      </c>
    </row>
    <row r="47">
      <c r="AV47" s="150" t="inlineStr">
        <is>
          <t>Sobrecarga</t>
        </is>
      </c>
      <c r="AW47" s="150" t="inlineStr">
        <is>
          <t>Auxiliares</t>
        </is>
      </c>
      <c r="AX47" s="152" t="n">
        <v>1</v>
      </c>
      <c r="AY47" s="152" t="n">
        <v>0</v>
      </c>
      <c r="AZ47" s="152" t="n">
        <v>0</v>
      </c>
      <c r="BA47" s="152" t="n">
        <v>0</v>
      </c>
      <c r="JG47" s="152">
        <f>IF(OR($AW47="",COUNTIF($EF$2:$EJ$2,$AW47)&gt;0),$AV47,"")</f>
        <v/>
      </c>
      <c r="JH47" s="152">
        <f>IF(AND($AX47=1,OR($AW47="",COUNTIF($EF$2:$EJ$2,$AW47)&gt;0)),$AV47,"")</f>
        <v/>
      </c>
      <c r="JM47" s="152">
        <f>IF(OR($AW47="",COUNTIF($EF$3:$EJ$3,$AW47)&gt;0),$AV47,"")</f>
        <v/>
      </c>
      <c r="JN47" s="152">
        <f>IF(AND($AX47=1,OR($AW47="",COUNTIF($EF$3:$EJ$3,$AW47)&gt;0)),$AV47,"")</f>
        <v/>
      </c>
      <c r="JS47" s="152">
        <f>IF(OR($AW47="",COUNTIF($EF$4:$EJ$4,$AW47)&gt;0),$AV47,"")</f>
        <v/>
      </c>
      <c r="JT47" s="152">
        <f>IF(AND($AX47=1,OR($AW47="",COUNTIF($EF$4:$EJ$4,$AW47)&gt;0)),$AV47,"")</f>
        <v/>
      </c>
      <c r="JY47" s="152">
        <f>IF(OR($AW47="",COUNTIF($EF$5:$EJ$5,$AW47)&gt;0),$AV47,"")</f>
        <v/>
      </c>
      <c r="JZ47" s="152">
        <f>IF(AND($AX47=1,OR($AW47="",COUNTIF($EF$5:$EJ$5,$AW47)&gt;0)),$AV47,"")</f>
        <v/>
      </c>
      <c r="KE47" s="152">
        <f>IF(OR($AW47="",COUNTIF($EF$6:$EJ$6,$AW47)&gt;0),$AV47,"")</f>
        <v/>
      </c>
      <c r="KF47" s="152">
        <f>IF(AND($AX47=1,OR($AW47="",COUNTIF($EF$6:$EJ$6,$AW47)&gt;0)),$AV47,"")</f>
        <v/>
      </c>
      <c r="KK47" s="152">
        <f>IF(OR($AW47="",COUNTIF($EF$7:$EJ$7,$AW47)&gt;0),$AV47,"")</f>
        <v/>
      </c>
      <c r="KL47" s="152">
        <f>IF(AND($AX47=1,OR($AW47="",COUNTIF($EF$7:$EJ$7,$AW47)&gt;0)),$AV47,"")</f>
        <v/>
      </c>
      <c r="KQ47" s="152">
        <f>IF(OR($AW47="",COUNTIF($EF$8:$EJ$8,$AW47)&gt;0),$AV47,"")</f>
        <v/>
      </c>
      <c r="KR47" s="152">
        <f>IF(AND($AX47=1,OR($AW47="",COUNTIF($EF$8:$EJ$8,$AW47)&gt;0)),$AV47,"")</f>
        <v/>
      </c>
      <c r="KW47" s="152">
        <f>IF(OR($AW47="",COUNTIF($EF$9:$EJ$9,$AW47)&gt;0),$AV47,"")</f>
        <v/>
      </c>
      <c r="KX47" s="152">
        <f>IF(AND($AX47=1,OR($AW47="",COUNTIF($EF$9:$EJ$9,$AW47)&gt;0)),$AV47,"")</f>
        <v/>
      </c>
      <c r="LC47" s="152">
        <f>IF(OR($AW47="",COUNTIF($EF$10:$EJ$10,$AW47)&gt;0),$AV47,"")</f>
        <v/>
      </c>
      <c r="LD47" s="152">
        <f>IF(AND($AX47=1,OR($AW47="",COUNTIF($EF$10:$EJ$10,$AW47)&gt;0)),$AV47,"")</f>
        <v/>
      </c>
      <c r="LI47" s="152">
        <f>IF(OR($AW47="",COUNTIF($EF$11:$EJ$11,$AW47)&gt;0),$AV47,"")</f>
        <v/>
      </c>
      <c r="LJ47" s="152">
        <f>IF(AND($AX47=1,OR($AW47="",COUNTIF($EF$11:$EJ$11,$AW47)&gt;0)),$AV47,"")</f>
        <v/>
      </c>
      <c r="LO47" s="152">
        <f>IF(OR($AW47="",COUNTIF($EF$12:$EJ$12,$AW47)&gt;0),$AV47,"")</f>
        <v/>
      </c>
      <c r="LP47" s="152">
        <f>IF(AND($AX47=1,OR($AW47="",COUNTIF($EF$12:$EJ$12,$AW47)&gt;0)),$AV47,"")</f>
        <v/>
      </c>
      <c r="LU47" s="152">
        <f>IF(OR($AW47="",COUNTIF($EF$13:$EJ$13,$AW47)&gt;0),$AV47,"")</f>
        <v/>
      </c>
      <c r="LV47" s="152">
        <f>IF(AND($AX47=1,OR($AW47="",COUNTIF($EF$13:$EJ$13,$AW47)&gt;0)),$AV47,"")</f>
        <v/>
      </c>
      <c r="MA47" s="150" t="inlineStr">
        <is>
          <t>Ficha 4 · Especial 5</t>
        </is>
      </c>
      <c r="MB47" s="152" t="n">
        <v>4</v>
      </c>
      <c r="MC47" s="152" t="n">
        <v>1</v>
      </c>
      <c r="MD47" s="152" t="n">
        <v>16</v>
      </c>
      <c r="ME47" s="150" t="inlineStr">
        <is>
          <t>ESPECIAL 5</t>
        </is>
      </c>
      <c r="MF47" s="152">
        <f>MAX(1,MIN(7,N('INVOCAÇÕES'!$I$708)))</f>
        <v/>
      </c>
      <c r="MG47" s="152">
        <f>'INVOCAÇÕES'!$J$708&amp;""</f>
        <v/>
      </c>
      <c r="MH47" s="152">
        <f>'INVOCAÇÕES'!$I$713&amp;""</f>
        <v/>
      </c>
      <c r="MI47" s="152">
        <f>'INVOCAÇÕES'!$I$714&amp;""</f>
        <v/>
      </c>
      <c r="MJ47" s="152">
        <f>'INVOCAÇÕES'!$K$714&amp;""</f>
        <v/>
      </c>
      <c r="MK47" s="152">
        <f>'INVOCAÇÕES'!$J$717&amp;""</f>
        <v/>
      </c>
      <c r="ML47" s="152">
        <f>'INVOCAÇÕES'!$J$718&amp;""</f>
        <v/>
      </c>
      <c r="MM47" s="152">
        <f>'INVOCAÇÕES'!$J$719&amp;""</f>
        <v/>
      </c>
      <c r="MN47" s="152">
        <f>'INVOCAÇÕES'!$J$720&amp;""</f>
        <v/>
      </c>
      <c r="MO47" s="152">
        <f>'INVOCAÇÕES'!$J$721&amp;""</f>
        <v/>
      </c>
      <c r="MP47" s="152">
        <f>'INVOCAÇÕES'!$J$722&amp;""</f>
        <v/>
      </c>
      <c r="MQ47" s="152">
        <f>IF($MG47&lt;&gt;"",1,0)</f>
        <v/>
      </c>
      <c r="MR47" s="152">
        <f>INDEX($FI$2:$FI$13,$MB47)</f>
        <v/>
      </c>
      <c r="MS47" s="152">
        <f>INDEX($FJ$2:$FJ$13,$MB47)</f>
        <v/>
      </c>
      <c r="MT47" s="152">
        <f>INDEX($FK$2:$FK$13,$MB47)</f>
        <v/>
      </c>
      <c r="MU47" s="152">
        <f>INDEX($FV$2:$FV$13,$MB47)</f>
        <v/>
      </c>
      <c r="MV47" s="152">
        <f>INDEX($FW$2:$FW$13,$MB47)</f>
        <v/>
      </c>
      <c r="MW47" s="152">
        <f>IFERROR(MATCH($MH47,$V$2:$V$11,0),0)</f>
        <v/>
      </c>
      <c r="MX47" s="152">
        <f>IFERROR(VLOOKUP($MK47,$AV$2:$BA$84,2,FALSE),"")</f>
        <v/>
      </c>
      <c r="MY47" s="152">
        <f>IFERROR(VLOOKUP($ML47,$AV$2:$BA$84,2,FALSE),"")</f>
        <v/>
      </c>
      <c r="MZ47" s="152">
        <f>IFERROR(VLOOKUP($MM47,$AV$2:$BA$84,2,FALSE),"")</f>
        <v/>
      </c>
      <c r="NA47" s="152">
        <f>IFERROR(VLOOKUP($MN47,$AV$2:$BA$84,2,FALSE),"")</f>
        <v/>
      </c>
      <c r="NB47" s="152">
        <f>IFERROR(VLOOKUP($MK47,$AV$2:$BA$84,3,FALSE),0)</f>
        <v/>
      </c>
      <c r="NC47" s="152">
        <f>IFERROR(VLOOKUP($ML47,$AV$2:$BA$84,3,FALSE),0)</f>
        <v/>
      </c>
      <c r="ND47" s="152">
        <f>IFERROR(VLOOKUP($MM47,$AV$2:$BA$84,3,FALSE),0)</f>
        <v/>
      </c>
      <c r="NE47" s="152">
        <f>IFERROR(VLOOKUP($MN47,$AV$2:$BA$84,3,FALSE),0)</f>
        <v/>
      </c>
      <c r="NF47" s="152">
        <f>IF($MF47=0,0,IF($MW47=0,0,INDEX($X$2:$X$11,$MW47)))</f>
        <v/>
      </c>
      <c r="NG47" s="152">
        <f>IF(OR($NB47=0,$MF47=0),0,$NB47+3*IF(AND($MX47&lt;&gt;"",OR($MX47=INDEX($EF$2:$EF$13,$MB47),$MX47=INDEX($EG$2:$EG$13,$MB47))),1,0))</f>
        <v/>
      </c>
      <c r="NH47" s="152">
        <f>IF(OR($NC47=0,$MF47=0),0,$NC47+3*IF(AND($MY47&lt;&gt;"",OR($MY47=INDEX($EF$2:$EF$13,$MB47),$MY47=INDEX($EG$2:$EG$13,$MB47))),1,0))</f>
        <v/>
      </c>
      <c r="NI47" s="152">
        <f>IF(OR($ND47=0,$MF47=0),0,$ND47+3*IF(AND($MZ47&lt;&gt;"",OR($MZ47=INDEX($EF$2:$EF$13,$MB47),$MZ47=INDEX($EG$2:$EG$13,$MB47))),1,0))</f>
        <v/>
      </c>
      <c r="NJ47" s="152">
        <f>IF(OR($NE47=0,$MF47=0),0,$NE47+3*IF(AND($NA47&lt;&gt;"",OR($NA47=INDEX($EF$2:$EF$13,$MB47),$NA47=INDEX($EG$2:$EG$13,$MB47))),1,0))</f>
        <v/>
      </c>
      <c r="NK47" s="152">
        <f>IF($MW47=0,0,IF(INDEX($W$2:$W$11,$MW47)="",0,IF(COUNTIF(INDEX($EF$2:$EJ$13,$MB47,0),INDEX($W$2:$W$11,$MW47))=0,1,0)))</f>
        <v/>
      </c>
      <c r="NL47" s="152">
        <f>IF(OR($NB47=0,$MX47=""),0,IF(COUNTIF(INDEX($EF$2:$EJ$13,$MB47,0),$MX47)=0,1,0))</f>
        <v/>
      </c>
      <c r="NM47" s="152">
        <f>IF(OR($NC47=0,$MY47=""),0,IF(COUNTIF(INDEX($EF$2:$EJ$13,$MB47,0),$MY47)=0,1,0))</f>
        <v/>
      </c>
      <c r="NN47" s="152">
        <f>IF(OR($ND47=0,$MZ47=""),0,IF(COUNTIF(INDEX($EF$2:$EJ$13,$MB47,0),$MZ47)=0,1,0))</f>
        <v/>
      </c>
      <c r="NO47" s="152">
        <f>IF(OR($NE47=0,$NA47=""),0,IF(COUNTIF(INDEX($EF$2:$EJ$13,$MB47,0),$NA47)=0,1,0))</f>
        <v/>
      </c>
      <c r="NP47" s="152">
        <f>IFERROR(VLOOKUP($MK47,$AV$2:$BA$84,4,FALSE),0)+IFERROR(VLOOKUP($ML47,$AV$2:$BA$84,4,FALSE),0)+IFERROR(VLOOKUP($MM47,$AV$2:$BA$84,4,FALSE),0)+IFERROR(VLOOKUP($MN47,$AV$2:$BA$84,4,FALSE),0)</f>
        <v/>
      </c>
      <c r="NQ47" s="152">
        <f>IFERROR(VLOOKUP($MK47,$AV$2:$BA$84,6,FALSE),0)+IFERROR(VLOOKUP($ML47,$AV$2:$BA$84,6,FALSE),0)+IFERROR(VLOOKUP($MM47,$AV$2:$BA$84,6,FALSE),0)+IFERROR(VLOOKUP($MN47,$AV$2:$BA$84,6,FALSE),0)</f>
        <v/>
      </c>
      <c r="NR47" s="152">
        <f>TEXTJOIN(", ",TRUE,IF(IFERROR(VLOOKUP($MK47,$AV$2:$BA$84,5,FALSE),0)=1,$MK47,""),IF(IFERROR(VLOOKUP($ML47,$AV$2:$BA$84,5,FALSE),0)=1,$ML47,""),IF(IFERROR(VLOOKUP($MM47,$AV$2:$BA$84,5,FALSE),0)=1,$MM47,""),IF(IFERROR(VLOOKUP($MN47,$AV$2:$BA$84,5,FALSE),0)=1,$MN47,""))</f>
        <v/>
      </c>
      <c r="NS47" s="152">
        <f>IF($MW47=0,0,INDEX($Y$2:$Y$11,$MW47))</f>
        <v/>
      </c>
      <c r="NT47" s="152">
        <f>IF($MW47=0,0,INDEX($Z$2:$Z$11,$MW47))</f>
        <v/>
      </c>
      <c r="NU47" s="152">
        <f>IF($MW47=0,0,INDEX($AB$2:$AB$11,$MW47))</f>
        <v/>
      </c>
      <c r="NV47" s="152">
        <f>IFERROR(VLOOKUP($MO47,$BC$2:$BG$24,3,FALSE),0)</f>
        <v/>
      </c>
      <c r="NW47" s="152">
        <f>IFERROR(VLOOKUP($MP47,$BC$2:$BG$24,3,FALSE),0)</f>
        <v/>
      </c>
      <c r="NX47" s="152">
        <f>IFERROR(VLOOKUP($MO47,$BC$2:$BG$24,2,FALSE),"")</f>
        <v/>
      </c>
      <c r="NY47" s="152">
        <f>IFERROR(VLOOKUP($MP47,$BC$2:$BG$24,2,FALSE),"")</f>
        <v/>
      </c>
      <c r="NZ47" s="152">
        <f>COUNTIF($NF47:$NJ47,1)</f>
        <v/>
      </c>
      <c r="OA47" s="152">
        <f>COUNTIF($NF47:$NJ47,2)</f>
        <v/>
      </c>
      <c r="OB47" s="152">
        <f>COUNTIF($NF47:$NJ47,3)</f>
        <v/>
      </c>
      <c r="OC47" s="152">
        <f>COUNTIF($NF47:$NJ47,4)</f>
        <v/>
      </c>
      <c r="OD47" s="152">
        <f>COUNTIF($NF47:$NJ47,5)</f>
        <v/>
      </c>
      <c r="OE47" s="152">
        <f>COUNTIF($NF47:$NJ47,6)</f>
        <v/>
      </c>
      <c r="OF47" s="152">
        <f>COUNTIF($NV47:$NW47,1)</f>
        <v/>
      </c>
      <c r="OG47" s="152">
        <f>COUNTIF($NV47:$NW47,2)+$NS47</f>
        <v/>
      </c>
      <c r="OH47" s="152">
        <f>COUNTIF($MK47:$MN47,"?*")</f>
        <v/>
      </c>
      <c r="OI47" s="152">
        <f>COUNTIF($MO47:$MP47,"?*")+$NS47</f>
        <v/>
      </c>
      <c r="OJ47" s="152">
        <f>IF($MF47=0,0,SUMPRODUCT($NZ47:$OE47,INDEX($I$2:$N$8,MAX(1,$MF47),0)))</f>
        <v/>
      </c>
      <c r="OK47" s="152">
        <f>IF($MF47=0,0,$OF47*CEILING($MF47/2,1)+$OG47*$MF47)</f>
        <v/>
      </c>
      <c r="OL47" s="152">
        <f>MIN(2*$MF47,$OK47)</f>
        <v/>
      </c>
      <c r="OM47" s="152">
        <f>MIN($OL47,$OJ47)</f>
        <v/>
      </c>
      <c r="ON47" s="152">
        <f>$OL47-$OM47</f>
        <v/>
      </c>
      <c r="OO47" s="152">
        <f>IF($MF47=0,0,INDEX($P$2:$P$8,MAX(1,$MF47)))</f>
        <v/>
      </c>
      <c r="OP47" s="152">
        <f>$OO47-$OJ47+$OM47</f>
        <v/>
      </c>
      <c r="OQ47" s="152">
        <f>IF($MF47=0,MAX(0,$MT47-IF($OH47&gt;0,1,0)),MAX(0,$OP47))</f>
        <v/>
      </c>
      <c r="OR47" s="152">
        <f>IF($MF47=0,0,(IF(COUNTIF($MK47:$MN47,"Salto")&gt;0,1,0)+IF(COUNTIF($MK47:$MN47,"Queima")&gt;0,1,0)+IF(COUNTIF($MK47:$MN47,"Estilhaço")&gt;0,1,0))*FLOOR($OQ47/2,1))</f>
        <v/>
      </c>
      <c r="OS47" s="152">
        <f>MAX(0,2-SUMPRODUCT($NZ47:$OE47,$I$2:$N$2)+MIN(2,$OF47*1+$OG47*1,SUMPRODUCT($NZ47:$OE47,$I$2:$N$2)))</f>
        <v/>
      </c>
      <c r="OT47" s="152">
        <f>MAX(0,4-SUMPRODUCT($NZ47:$OE47,$I$3:$N$3)+MIN(4,$OF47*1+$OG47*2,SUMPRODUCT($NZ47:$OE47,$I$3:$N$3)))</f>
        <v/>
      </c>
      <c r="OU47" s="152">
        <f>MAX(0,6-SUMPRODUCT($NZ47:$OE47,$I$4:$N$4)+MIN(6,$OF47*2+$OG47*3,SUMPRODUCT($NZ47:$OE47,$I$4:$N$4)))</f>
        <v/>
      </c>
      <c r="OV47" s="152">
        <f>MAX(0,9-SUMPRODUCT($NZ47:$OE47,$I$5:$N$5)+MIN(8,$OF47*2+$OG47*4,SUMPRODUCT($NZ47:$OE47,$I$5:$N$5)))</f>
        <v/>
      </c>
      <c r="OW47" s="152">
        <f>MAX(0,11-SUMPRODUCT($NZ47:$OE47,$I$6:$N$6)+MIN(10,$OF47*3+$OG47*5,SUMPRODUCT($NZ47:$OE47,$I$6:$N$6)))</f>
        <v/>
      </c>
      <c r="OX47" s="152">
        <f>MAX(0,13-SUMPRODUCT($NZ47:$OE47,$I$7:$N$7)+MIN(12,$OF47*3+$OG47*6,SUMPRODUCT($NZ47:$OE47,$I$7:$N$7)))</f>
        <v/>
      </c>
      <c r="OY47" s="152">
        <f>MAX(0,16-SUMPRODUCT($NZ47:$OE47,$I$8:$N$8)+MIN(14,$OF47*4+$OG47*7,SUMPRODUCT($NZ47:$OE47,$I$8:$N$8)))</f>
        <v/>
      </c>
      <c r="OZ47" s="152">
        <f>IF($NT47=2,3*$OS47&amp;" de vida temp.",IF($NT47=3,"sem dano",IF($OS47=0,IF($NT47=1,"sem cura","sem dano"),IF($NT47=1,"cura ","")&amp;$OS47&amp;"d8")))</f>
        <v/>
      </c>
      <c r="PA47" s="152">
        <f>IF($NT47=2,3*$OT47&amp;" de vida temp.",IF($NT47=3,"sem dano",IF($OT47=0,IF($NT47=1,"sem cura","sem dano"),IF($NT47=1,"cura ","")&amp;$OT47&amp;"d8")))</f>
        <v/>
      </c>
      <c r="PB47" s="152">
        <f>IF($NT47=2,3*$OU47&amp;" de vida temp.",IF($NT47=3,"sem dano",IF($OU47=0,IF($NT47=1,"sem cura","sem dano"),IF($NT47=1,"cura ","")&amp;$OU47&amp;"d8")))</f>
        <v/>
      </c>
      <c r="PC47" s="152">
        <f>IF($NT47=2,3*$OV47&amp;" de vida temp.",IF($NT47=3,"sem dano",IF($OV47=0,IF($NT47=1,"sem cura","sem dano"),IF($NT47=1,"cura ","")&amp;$OV47&amp;"d8")))</f>
        <v/>
      </c>
      <c r="PD47" s="152">
        <f>IF($NT47=2,3*$OW47&amp;" de vida temp.",IF($NT47=3,"sem dano",IF($OW47=0,IF($NT47=1,"sem cura","sem dano"),IF($NT47=1,"cura ","")&amp;$OW47&amp;"d8")))</f>
        <v/>
      </c>
      <c r="PE47" s="152">
        <f>IF($NT47=2,3*$OX47&amp;" de vida temp.",IF($NT47=3,"sem dano",IF($OX47=0,IF($NT47=1,"sem cura","sem dano"),IF($NT47=1,"cura ","")&amp;$OX47&amp;"d8")))</f>
        <v/>
      </c>
      <c r="PF47" s="152">
        <f>IF($NT47=2,3*$OY47&amp;" de vida temp.",IF($NT47=3,"sem dano",IF($OY47=0,IF($NT47=1,"sem cura","sem dano"),IF($NT47=1,"cura ","")&amp;$OY47&amp;"d8")))</f>
        <v/>
      </c>
      <c r="PG47" s="152">
        <f>IF($MQ47=0,"",TEXTJOIN(" · ",TRUE,IF($MD47&gt;$MR47,"Este lugar abre no nível "&amp;$MD47,""),IF($MF47&gt;$MS47,"Classe "&amp;$MF47&amp;": o nível "&amp;$MR47&amp;" libera até a "&amp;$MS47,""),IF($NK47=1,"A Forma "&amp;$MH47&amp;" pede "&amp;INDEX($W$2:$W$11,$MW47)&amp;" aberta",""),IF(AND($MF47=0,$MW47&gt;0,IF($MW47=0,0,INDEX($AF$2:$AF$11,$MW47))=0),$MH47&amp;" não existe na Classe 0",""),IF($NL47=1,"Família Fechada: "&amp;$MK47,""),IF($NM47=1,"Família Fechada: "&amp;$ML47,""),IF($NN47=1,"Família Fechada: "&amp;$MM47,""),IF($NO47=1,"Família Fechada: "&amp;$MN47,""),IF(AND($MF47&gt;0,$OH47&gt;INDEX($O$2:$O$8,MAX(1,$MF47))),$OH47&amp;" Melhorias: a Classe "&amp;$MF47&amp;" aceita "&amp;INDEX($O$2:$O$8,MAX(1,$MF47)),""),IF(AND($MF47=0,$OH47&gt;1),"A básica aceita uma Melhoria",""),IF(AND($MF47=0,COUNTIF($NB47:$NE47,"&gt;1")&gt;0),"A básica só aceita Melhoria Leve",""),IF(AND($MF47&gt;0,$OI47&gt;2),$OI47&amp;" Restrições"&amp;IF($NS47=1,", contando a que a Forma "&amp;$MH47&amp;" já traz","")&amp;": o limite é 2",""),IF(AND($MF47=0,COUNTIF($MO47:$MP47,"?*")&gt;1),"A básica aceita uma Restrição Leve",""),IF(AND($MF47=0,COUNTIF($NV47:$NW47,2)&gt;0),"A básica só aceita Restrição Leve",""),IF(AND($MF47&gt;0,$OP47&lt;0),"Orçamento estourado: faltam "&amp;(-$OP47)&amp;IF($OP47&lt;-1," pontos"," ponto"),""),IF(IFERROR(VLOOKUP($MO47,$BC$2:$BG$24,4,FALSE),0)+IFERROR(VLOOKUP($MP47,$BC$2:$BG$24,4,FALSE),0)&gt;1,$NX47&amp;" e "&amp;$NY47&amp;" são as duas de frequência",""),IF(AND((COUNTIF($MK47:$MN47,"Rápido")+COUNTIF($NX47:$NY47,"Rápido"))&gt;0,(COUNTIF($MK47:$MN47,"Atrasar")+COUNTIF($NX47:$NY47,"Atrasar"))&gt;0),"Rápido não entra com Atrasar",""),IF(AND((COUNTIF($MK47:$MN47,"Reação")+COUNTIF($NX47:$NY47,"Reação"))&gt;0,(COUNTIF($MK47:$MN47,"Rápido")+COUNTIF($NX47:$NY47,"Rápido"))&gt;0),"Reação não entra com Rápido",""),IF(AND((COUNTIF($MK47:$MN47,"Reação")+COUNTIF($NX47:$NY47,"Reação"))&gt;0,(COUNTIF($MK47:$MN47,"Armado")+COUNTIF($NX47:$NY47,"Armado"))&gt;0),"Reação não entra com Armado",""),IF(AND((COUNTIF($MK47:$MN47,"Reação")+COUNTIF($NX47:$NY47,"Reação"))&gt;0,(COUNTIF($MK47:$MN47,"Atrasar")+COUNTIF($NX47:$NY47,"Atrasar"))&gt;0),"Reação não entra com Atrasar",""),IF(AND((COUNTIF($MK47:$MN47,"Reação")+COUNTIF($NX47:$NY47,"Reação"))&gt;0,(COUNTIF($MK47:$MN47,"Parado")+COUNTIF($NX47:$NY47,"Parado"))&gt;0),"Reação não entra com Parado",""),IF(AND((COUNTIF($MK47:$MN47,"Atrasar")+COUNTIF($NX47:$NY47,"Atrasar"))&gt;0,(COUNTIF($MK47:$MN47,"Parado")+COUNTIF($NX47:$NY47,"Parado"))&gt;0),"Atrasar não entra com Parado",""),IF(AND((COUNTIF($MK47:$MN47,"Armado")+COUNTIF($NX47:$NY47,"Armado"))&gt;0,(COUNTIF($MK47:$MN47,"Carregar")+COUNTIF($NX47:$NY47,"Carregar"))&gt;0),"Armado não entra com Carregar",""),IF(AND(COUNTIF($NX47:$NY47,"Corpo a Corpo")&gt;0,$NS47=0,OR($MH47="Cone",$MH47="Linha")),"Corpo a Corpo não entra em "&amp;$MH47,""),IF(AND(COUNTIF($NX47:$NY47,"Corpo a Corpo")&gt;0,$NS47=1),"A Forma "&amp;$MH47&amp;" já traz o Corpo a Corpo",""),IF(AND(COUNTIF($NX47:$NY47,"Tudo ou Nada")&gt;0,$NU47=0),"Tudo ou Nada só entra em habilidade de Teste de Resistência",""),IF(AND(COUNTIF($MK47:$MN47,"Inescapável")&gt;0,OR($OH47&gt;1,$OI47&gt;0)),"Inescapável não aceita outra peça",""),IF(AND($MF47&gt;0,$OQ47*IF(COUNTIF($MK47:$MN47,"Remate")&gt;0,1.25,1)+$OR47&gt;4*$MF47),($OQ47*IF(COUNTIF($MK47:$MN47,"Remate")&gt;0,1.25,1)+$OR47)&amp;" dados somando repetições"&amp;IF(COUNTIF($MK47:$MN47,"Remate")&gt;0," e o Remate","")&amp;": o teto da Classe "&amp;$MF47&amp;" é "&amp;4*$MF47,"")))</f>
        <v/>
      </c>
      <c r="PH47" s="152">
        <f>IF($PG47="",0,(LEN($PG47)-LEN(SUBSTITUTE($PG47," · ","")))/3+1)</f>
        <v/>
      </c>
      <c r="PI47" s="152">
        <f>IF($MQ47=0,"",TEXTJOIN(" · ",TRUE,IF($OK47&gt;2*$MF47,"A devolução parou no teto de "&amp;2*$MF47,""),IF($ON47&gt;0,"Devolução perdida: "&amp;$ON47&amp;IF($ON47&gt;1," pontos"," ponto")&amp;" sem peça para pagar",""),IF(AND($NP47&gt;0,AND($MF47&gt;0,$NT47=0),$OQ47=0),"Controle sem dano: uma rodada a mais e CD +2",""),IF(AND($NP47&gt;0,AND($MF47&gt;0,$NT47=0),$OQ47&gt;0,$OQ47&lt;=$MF47),"Controle com saldo até a Classe: uma rodada a mais",""),IF(AND($MF47&gt;0,$NR47&lt;&gt;""),"Efeito de "&amp;$NR47&amp;" pela Classe "&amp;MAX(1,$MF47-1),"")))</f>
        <v/>
      </c>
      <c r="PJ47" s="152">
        <f>IF($PI47="",0,(LEN($PI47)-LEN(SUBSTITUTE($PI47," · ","")))/3+1)</f>
        <v/>
      </c>
      <c r="PK47" s="152">
        <f>IF($MQ47=0,IF($OH47+COUNTIF($MO47:$MP47,"?*")&gt;0,"Dê um nome",""),IF($PH47&gt;0,"⚠ "&amp;$PH47&amp;IF($PH47&gt;1," erros"," erro"),IF($PJ47&gt;0,"! "&amp;$PJ47&amp;IF($PJ47&gt;1," avisos"," aviso"),"Na regra")))</f>
        <v/>
      </c>
      <c r="PL47" s="152">
        <f>IF($MQ47=0,"",IF($PH47+$PJ47=0,"Dentro das regras que a ficha confere",$PG47&amp;IF(AND($PH47&gt;0,$PJ47&gt;0)," · ","")&amp;$PI47))</f>
        <v/>
      </c>
      <c r="PM47" s="152">
        <f>IF($MD47&gt;$MR47,$ME47&amp;" · ABRE NO NÍVEL "&amp;$MD47,$ME47)</f>
        <v/>
      </c>
      <c r="PN47" s="152">
        <f>IF($MQ47=0,"",IF($MF47=0,"Sem PE",3*$MF47&amp;" PE"))</f>
        <v/>
      </c>
      <c r="PO47" s="152">
        <f>IF($MQ47=0,"",IF($MF47=0,"A atuação básica dela",IF(COUNTIF($NX47:$NY47,"Atrasar")&gt;0,"Sua Ação Completa",IF(COUNTIF($MK47:$MN47,"Rápido")&gt;0,"Sua Bônus",IF(COUNTIF($MK47:$MN47,"Reação")&gt;0,"Sua Reação","Sua Padrão")))&amp;" + a básica dela"&amp;IF(COUNTIF($MK47:$MN47,"Reação")&gt;0," e a coletiva","")&amp;IF(COUNTIF($NX47:$NY47,"Carregar")&gt;0," · em dois turnos","")))</f>
        <v/>
      </c>
      <c r="PP47" s="152">
        <f>IF($MJ47&lt;&gt;"",$MJ47,IF($MW47=0,"",INDEX($AA$2:$AA$11,$MW47)))</f>
        <v/>
      </c>
      <c r="PQ47" s="152">
        <f>IF(OR($MQ47=0,$MW47=0),"",IF(COUNTIF($MK47:$MN47,"Inescapável")&gt;0,"Automático",IF($PP47="Ataque",IF($MU47="","Ataque","Ataque "&amp;IF(($MU47+2*IF(COUNTIF($MK47:$MN47,"Precisão")&gt;0,1,0))&gt;=0,"+","−")&amp;ABS(($MU47+2*IF(COUNTIF($MK47:$MN47,"Precisão")&gt;0,1,0))))&amp;IF($NQ47&gt;0," · TR"&amp;IF($MV47="",""," CD "&amp;$MV47),""),IF(LEFT($PP47,2)="TR",$PP47&amp;IF($MV47="",""," · CD "&amp;$MV47)&amp;IF(COUNTIF($MK47:$MN47,"Certeiro")&gt;0," · metade",""),"Sem rolagem"))))</f>
        <v/>
      </c>
      <c r="PR47" s="152">
        <f>IF(OR($MQ47=0,$MW47=0),"",IF($MF47=0,IF(OR($NT47&gt;=1,$OQ47=0),"Sem dano",$OQ47&amp;"d6"&amp;IF($MI47="",""," "&amp;$MI47)),IF(OR($NT47&gt;=1,$OQ47=0),UPPER(LEFT(INDEX($OZ47:$PF47,1,MAX(1,$MF47)),1))&amp;MID(INDEX($OZ47:$PF47,1,MAX(1,$MF47)),2,99),UPPER(LEFT(INDEX($OZ47:$PF47,1,MAX(1,$MF47)),1))&amp;MID(INDEX($OZ47:$PF47,1,MAX(1,$MF47)),2,99)&amp;IF($MI47="",""," "&amp;$MI47)&amp;IF($OR47&gt;0," · +"&amp;$OR47&amp;"d8",""))))</f>
        <v/>
      </c>
      <c r="PS47" s="152">
        <f>COUNTIF($MK47:$MN47,"Longe")+3*COUNTIF($MK47:$MN47,"Muito Longe")</f>
        <v/>
      </c>
      <c r="PT47" s="152">
        <f>COUNTIF($MK47:$MN47,"Maior")+3*COUNTIF($MK47:$MN47,"Muito Maior")</f>
        <v/>
      </c>
      <c r="PU47" s="152">
        <f>IF($MW47=0,0,CHOOSE(1+INDEX($AC$2:$AC$11,$MW47),0,$PS47,$PT47,$PS47+$PT47))</f>
        <v/>
      </c>
      <c r="PV47" s="152">
        <f>IF($MW47=0,0,CHOOSE(1+INDEX($AD$2:$AD$11,$MW47),0,$PS47,$PT47,$PS47+$PT47))</f>
        <v/>
      </c>
      <c r="PW47" s="152">
        <f>IF(OR($MQ47=0,$MW47=0),"",INDEX($AI$2:$AN$41,($MW47-1)*4+IF($MF47=0,1,IF($MF47&lt;=5,2,IF($MF47=6,3,4))),1+MIN(5,$PU47))&amp;INDEX($AO$2:$AT$41,($MW47-1)*4+IF($MF47=0,1,IF($MF47&lt;=5,2,IF($MF47=6,3,4))),1+MIN(5,$PV47))&amp;IF(INDEX($AE$2:$AE$11,$MW47)=1,IF(COUNTIF($MK47:$MN47,"Mais Um")&gt;0," · +"&amp;COUNTIF($MK47:$MN47,"Mais Um")&amp;IF(COUNTIF($MK47:$MN47,"Mais Um")&gt;1," alvos"," alvo"),"")&amp;IF(COUNTIF($MK47:$MN47,"Rajada")&gt;0,IF($MF47=0," · 1 tiro"," · "&amp;(MAX(1,$MF47-1)+1)&amp;" tiros"),""),""))</f>
        <v/>
      </c>
      <c r="PX47" s="152">
        <f>IF($MQ47=0,"",IF($MF47=0,$MT47&amp;"d6"&amp;IF($OH47&gt;0," − 1 = "&amp;$OQ47&amp;"d6"," da básica do nível "&amp;$MR47),$OO47&amp;" − "&amp;$OJ47&amp;" + "&amp;$OM47&amp;" = "&amp;$OP47&amp;" · teto "&amp;4*$MF47&amp;"d8"&amp;IF($NS47=1," · a Forma devolve "&amp;$MF47,"")&amp;IF($ON47&gt;0," · perde "&amp;$ON47,"")))</f>
        <v/>
      </c>
      <c r="PY47" s="152">
        <f>IF($MQ47=0,"",IF($MF47=0,"A básica não amplia: os dados dela sobem com o nível",IF($MF47&gt;=$MS47,"Já está na maior Classe que o nível liberou",TEXTJOIN(" · ",TRUE,IF(AND(2&gt;$MF47,2&lt;=$MS47),"2 → "&amp;$PA47&amp;", 6 PE",""),IF(AND(3&gt;$MF47,3&lt;=$MS47),"3 → "&amp;$PB47&amp;", 9 PE",""),IF(AND(4&gt;$MF47,4&lt;=$MS47),"4 → "&amp;$PC47&amp;", 12 PE",""),IF(AND(5&gt;$MF47,5&lt;=$MS47),"5 → "&amp;$PD47&amp;", 15 PE",""),IF(AND(6&gt;$MF47,6&lt;=$MS47),"6 → "&amp;$PE47&amp;", 18 PE",""),IF(AND(7&gt;$MF47,7&lt;=$MS47),"7 → "&amp;$PF47&amp;", 21 PE","")))))</f>
        <v/>
      </c>
      <c r="PZ47" s="152">
        <f>IF(OR($MQ47=0,$NB47=0),"",IF($MF47=0,"−1 dado","−"&amp;INDEX($I$2:$N$8,MAX(1,$MF47),MAX(1,$NG47))&amp;" · "&amp;CHOOSE(MAX(1,$NG47),"Leve","Média","Pesada","Leve · Livre","Média · Livre","Pesada · Livre")))</f>
        <v/>
      </c>
      <c r="QA47" s="152">
        <f>IF(OR($MQ47=0,$NC47=0),"",IF($MF47=0,"−1 dado","−"&amp;INDEX($I$2:$N$8,MAX(1,$MF47),MAX(1,$NH47))&amp;" · "&amp;CHOOSE(MAX(1,$NH47),"Leve","Média","Pesada","Leve · Livre","Média · Livre","Pesada · Livre")))</f>
        <v/>
      </c>
      <c r="QB47" s="152">
        <f>IF(OR($MQ47=0,$ND47=0),"",IF($MF47=0,"−1 dado","−"&amp;INDEX($I$2:$N$8,MAX(1,$MF47),MAX(1,$NI47))&amp;" · "&amp;CHOOSE(MAX(1,$NI47),"Leve","Média","Pesada","Leve · Livre","Média · Livre","Pesada · Livre")))</f>
        <v/>
      </c>
      <c r="QC47" s="152">
        <f>IF(OR($MQ47=0,$NE47=0),"",IF($MF47=0,"−1 dado","−"&amp;INDEX($I$2:$N$8,MAX(1,$MF47),MAX(1,$NJ47))&amp;" · "&amp;CHOOSE(MAX(1,$NJ47),"Leve","Média","Pesada","Leve · Livre","Média · Livre","Pesada · Livre")))</f>
        <v/>
      </c>
      <c r="QD47" s="152">
        <f>IF(OR($MQ47=0,$MO47=""),"",IF($MF47=0,"não devolve","+"&amp;IF($NV47=1,CEILING($MF47/2,1),$MF47)))</f>
        <v/>
      </c>
      <c r="QE47" s="152">
        <f>IF(OR($MQ47=0,$MP47=""),"",IF($MF47=0,"não devolve","+"&amp;IF($NW47=1,CEILING($MF47/2,1),$MF47)))</f>
        <v/>
      </c>
    </row>
    <row r="48">
      <c r="AV48" s="150" t="inlineStr">
        <is>
          <t>Firmeza</t>
        </is>
      </c>
      <c r="AW48" s="150" t="inlineStr">
        <is>
          <t>Auxiliares</t>
        </is>
      </c>
      <c r="AX48" s="152" t="n">
        <v>2</v>
      </c>
      <c r="AY48" s="152" t="n">
        <v>0</v>
      </c>
      <c r="AZ48" s="152" t="n">
        <v>0</v>
      </c>
      <c r="BA48" s="152" t="n">
        <v>0</v>
      </c>
      <c r="JG48" s="152">
        <f>IF(OR($AW48="",COUNTIF($EF$2:$EJ$2,$AW48)&gt;0),$AV48,"")</f>
        <v/>
      </c>
      <c r="JH48" s="152">
        <f>IF(AND($AX48=1,OR($AW48="",COUNTIF($EF$2:$EJ$2,$AW48)&gt;0)),$AV48,"")</f>
        <v/>
      </c>
      <c r="JM48" s="152">
        <f>IF(OR($AW48="",COUNTIF($EF$3:$EJ$3,$AW48)&gt;0),$AV48,"")</f>
        <v/>
      </c>
      <c r="JN48" s="152">
        <f>IF(AND($AX48=1,OR($AW48="",COUNTIF($EF$3:$EJ$3,$AW48)&gt;0)),$AV48,"")</f>
        <v/>
      </c>
      <c r="JS48" s="152">
        <f>IF(OR($AW48="",COUNTIF($EF$4:$EJ$4,$AW48)&gt;0),$AV48,"")</f>
        <v/>
      </c>
      <c r="JT48" s="152">
        <f>IF(AND($AX48=1,OR($AW48="",COUNTIF($EF$4:$EJ$4,$AW48)&gt;0)),$AV48,"")</f>
        <v/>
      </c>
      <c r="JY48" s="152">
        <f>IF(OR($AW48="",COUNTIF($EF$5:$EJ$5,$AW48)&gt;0),$AV48,"")</f>
        <v/>
      </c>
      <c r="JZ48" s="152">
        <f>IF(AND($AX48=1,OR($AW48="",COUNTIF($EF$5:$EJ$5,$AW48)&gt;0)),$AV48,"")</f>
        <v/>
      </c>
      <c r="KE48" s="152">
        <f>IF(OR($AW48="",COUNTIF($EF$6:$EJ$6,$AW48)&gt;0),$AV48,"")</f>
        <v/>
      </c>
      <c r="KF48" s="152">
        <f>IF(AND($AX48=1,OR($AW48="",COUNTIF($EF$6:$EJ$6,$AW48)&gt;0)),$AV48,"")</f>
        <v/>
      </c>
      <c r="KK48" s="152">
        <f>IF(OR($AW48="",COUNTIF($EF$7:$EJ$7,$AW48)&gt;0),$AV48,"")</f>
        <v/>
      </c>
      <c r="KL48" s="152">
        <f>IF(AND($AX48=1,OR($AW48="",COUNTIF($EF$7:$EJ$7,$AW48)&gt;0)),$AV48,"")</f>
        <v/>
      </c>
      <c r="KQ48" s="152">
        <f>IF(OR($AW48="",COUNTIF($EF$8:$EJ$8,$AW48)&gt;0),$AV48,"")</f>
        <v/>
      </c>
      <c r="KR48" s="152">
        <f>IF(AND($AX48=1,OR($AW48="",COUNTIF($EF$8:$EJ$8,$AW48)&gt;0)),$AV48,"")</f>
        <v/>
      </c>
      <c r="KW48" s="152">
        <f>IF(OR($AW48="",COUNTIF($EF$9:$EJ$9,$AW48)&gt;0),$AV48,"")</f>
        <v/>
      </c>
      <c r="KX48" s="152">
        <f>IF(AND($AX48=1,OR($AW48="",COUNTIF($EF$9:$EJ$9,$AW48)&gt;0)),$AV48,"")</f>
        <v/>
      </c>
      <c r="LC48" s="152">
        <f>IF(OR($AW48="",COUNTIF($EF$10:$EJ$10,$AW48)&gt;0),$AV48,"")</f>
        <v/>
      </c>
      <c r="LD48" s="152">
        <f>IF(AND($AX48=1,OR($AW48="",COUNTIF($EF$10:$EJ$10,$AW48)&gt;0)),$AV48,"")</f>
        <v/>
      </c>
      <c r="LI48" s="152">
        <f>IF(OR($AW48="",COUNTIF($EF$11:$EJ$11,$AW48)&gt;0),$AV48,"")</f>
        <v/>
      </c>
      <c r="LJ48" s="152">
        <f>IF(AND($AX48=1,OR($AW48="",COUNTIF($EF$11:$EJ$11,$AW48)&gt;0)),$AV48,"")</f>
        <v/>
      </c>
      <c r="LO48" s="152">
        <f>IF(OR($AW48="",COUNTIF($EF$12:$EJ$12,$AW48)&gt;0),$AV48,"")</f>
        <v/>
      </c>
      <c r="LP48" s="152">
        <f>IF(AND($AX48=1,OR($AW48="",COUNTIF($EF$12:$EJ$12,$AW48)&gt;0)),$AV48,"")</f>
        <v/>
      </c>
      <c r="LU48" s="152">
        <f>IF(OR($AW48="",COUNTIF($EF$13:$EJ$13,$AW48)&gt;0),$AV48,"")</f>
        <v/>
      </c>
      <c r="LV48" s="152">
        <f>IF(AND($AX48=1,OR($AW48="",COUNTIF($EF$13:$EJ$13,$AW48)&gt;0)),$AV48,"")</f>
        <v/>
      </c>
      <c r="MA48" s="150" t="inlineStr">
        <is>
          <t>Ficha 4 · Especial 6</t>
        </is>
      </c>
      <c r="MB48" s="152" t="n">
        <v>4</v>
      </c>
      <c r="MC48" s="152" t="n">
        <v>1</v>
      </c>
      <c r="MD48" s="152" t="n">
        <v>20</v>
      </c>
      <c r="ME48" s="150" t="inlineStr">
        <is>
          <t>ESPECIAL 6</t>
        </is>
      </c>
      <c r="MF48" s="152">
        <f>MAX(1,MIN(7,N('INVOCAÇÕES'!$O$708)))</f>
        <v/>
      </c>
      <c r="MG48" s="152">
        <f>'INVOCAÇÕES'!$P$708&amp;""</f>
        <v/>
      </c>
      <c r="MH48" s="152">
        <f>'INVOCAÇÕES'!$O$713&amp;""</f>
        <v/>
      </c>
      <c r="MI48" s="152">
        <f>'INVOCAÇÕES'!$O$714&amp;""</f>
        <v/>
      </c>
      <c r="MJ48" s="152">
        <f>'INVOCAÇÕES'!$Q$714&amp;""</f>
        <v/>
      </c>
      <c r="MK48" s="152">
        <f>'INVOCAÇÕES'!$P$717&amp;""</f>
        <v/>
      </c>
      <c r="ML48" s="152">
        <f>'INVOCAÇÕES'!$P$718&amp;""</f>
        <v/>
      </c>
      <c r="MM48" s="152">
        <f>'INVOCAÇÕES'!$P$719&amp;""</f>
        <v/>
      </c>
      <c r="MN48" s="152">
        <f>'INVOCAÇÕES'!$P$720&amp;""</f>
        <v/>
      </c>
      <c r="MO48" s="152">
        <f>'INVOCAÇÕES'!$P$721&amp;""</f>
        <v/>
      </c>
      <c r="MP48" s="152">
        <f>'INVOCAÇÕES'!$P$722&amp;""</f>
        <v/>
      </c>
      <c r="MQ48" s="152">
        <f>IF($MG48&lt;&gt;"",1,0)</f>
        <v/>
      </c>
      <c r="MR48" s="152">
        <f>INDEX($FI$2:$FI$13,$MB48)</f>
        <v/>
      </c>
      <c r="MS48" s="152">
        <f>INDEX($FJ$2:$FJ$13,$MB48)</f>
        <v/>
      </c>
      <c r="MT48" s="152">
        <f>INDEX($FK$2:$FK$13,$MB48)</f>
        <v/>
      </c>
      <c r="MU48" s="152">
        <f>INDEX($FV$2:$FV$13,$MB48)</f>
        <v/>
      </c>
      <c r="MV48" s="152">
        <f>INDEX($FW$2:$FW$13,$MB48)</f>
        <v/>
      </c>
      <c r="MW48" s="152">
        <f>IFERROR(MATCH($MH48,$V$2:$V$11,0),0)</f>
        <v/>
      </c>
      <c r="MX48" s="152">
        <f>IFERROR(VLOOKUP($MK48,$AV$2:$BA$84,2,FALSE),"")</f>
        <v/>
      </c>
      <c r="MY48" s="152">
        <f>IFERROR(VLOOKUP($ML48,$AV$2:$BA$84,2,FALSE),"")</f>
        <v/>
      </c>
      <c r="MZ48" s="152">
        <f>IFERROR(VLOOKUP($MM48,$AV$2:$BA$84,2,FALSE),"")</f>
        <v/>
      </c>
      <c r="NA48" s="152">
        <f>IFERROR(VLOOKUP($MN48,$AV$2:$BA$84,2,FALSE),"")</f>
        <v/>
      </c>
      <c r="NB48" s="152">
        <f>IFERROR(VLOOKUP($MK48,$AV$2:$BA$84,3,FALSE),0)</f>
        <v/>
      </c>
      <c r="NC48" s="152">
        <f>IFERROR(VLOOKUP($ML48,$AV$2:$BA$84,3,FALSE),0)</f>
        <v/>
      </c>
      <c r="ND48" s="152">
        <f>IFERROR(VLOOKUP($MM48,$AV$2:$BA$84,3,FALSE),0)</f>
        <v/>
      </c>
      <c r="NE48" s="152">
        <f>IFERROR(VLOOKUP($MN48,$AV$2:$BA$84,3,FALSE),0)</f>
        <v/>
      </c>
      <c r="NF48" s="152">
        <f>IF($MF48=0,0,IF($MW48=0,0,INDEX($X$2:$X$11,$MW48)))</f>
        <v/>
      </c>
      <c r="NG48" s="152">
        <f>IF(OR($NB48=0,$MF48=0),0,$NB48+3*IF(AND($MX48&lt;&gt;"",OR($MX48=INDEX($EF$2:$EF$13,$MB48),$MX48=INDEX($EG$2:$EG$13,$MB48))),1,0))</f>
        <v/>
      </c>
      <c r="NH48" s="152">
        <f>IF(OR($NC48=0,$MF48=0),0,$NC48+3*IF(AND($MY48&lt;&gt;"",OR($MY48=INDEX($EF$2:$EF$13,$MB48),$MY48=INDEX($EG$2:$EG$13,$MB48))),1,0))</f>
        <v/>
      </c>
      <c r="NI48" s="152">
        <f>IF(OR($ND48=0,$MF48=0),0,$ND48+3*IF(AND($MZ48&lt;&gt;"",OR($MZ48=INDEX($EF$2:$EF$13,$MB48),$MZ48=INDEX($EG$2:$EG$13,$MB48))),1,0))</f>
        <v/>
      </c>
      <c r="NJ48" s="152">
        <f>IF(OR($NE48=0,$MF48=0),0,$NE48+3*IF(AND($NA48&lt;&gt;"",OR($NA48=INDEX($EF$2:$EF$13,$MB48),$NA48=INDEX($EG$2:$EG$13,$MB48))),1,0))</f>
        <v/>
      </c>
      <c r="NK48" s="152">
        <f>IF($MW48=0,0,IF(INDEX($W$2:$W$11,$MW48)="",0,IF(COUNTIF(INDEX($EF$2:$EJ$13,$MB48,0),INDEX($W$2:$W$11,$MW48))=0,1,0)))</f>
        <v/>
      </c>
      <c r="NL48" s="152">
        <f>IF(OR($NB48=0,$MX48=""),0,IF(COUNTIF(INDEX($EF$2:$EJ$13,$MB48,0),$MX48)=0,1,0))</f>
        <v/>
      </c>
      <c r="NM48" s="152">
        <f>IF(OR($NC48=0,$MY48=""),0,IF(COUNTIF(INDEX($EF$2:$EJ$13,$MB48,0),$MY48)=0,1,0))</f>
        <v/>
      </c>
      <c r="NN48" s="152">
        <f>IF(OR($ND48=0,$MZ48=""),0,IF(COUNTIF(INDEX($EF$2:$EJ$13,$MB48,0),$MZ48)=0,1,0))</f>
        <v/>
      </c>
      <c r="NO48" s="152">
        <f>IF(OR($NE48=0,$NA48=""),0,IF(COUNTIF(INDEX($EF$2:$EJ$13,$MB48,0),$NA48)=0,1,0))</f>
        <v/>
      </c>
      <c r="NP48" s="152">
        <f>IFERROR(VLOOKUP($MK48,$AV$2:$BA$84,4,FALSE),0)+IFERROR(VLOOKUP($ML48,$AV$2:$BA$84,4,FALSE),0)+IFERROR(VLOOKUP($MM48,$AV$2:$BA$84,4,FALSE),0)+IFERROR(VLOOKUP($MN48,$AV$2:$BA$84,4,FALSE),0)</f>
        <v/>
      </c>
      <c r="NQ48" s="152">
        <f>IFERROR(VLOOKUP($MK48,$AV$2:$BA$84,6,FALSE),0)+IFERROR(VLOOKUP($ML48,$AV$2:$BA$84,6,FALSE),0)+IFERROR(VLOOKUP($MM48,$AV$2:$BA$84,6,FALSE),0)+IFERROR(VLOOKUP($MN48,$AV$2:$BA$84,6,FALSE),0)</f>
        <v/>
      </c>
      <c r="NR48" s="152">
        <f>TEXTJOIN(", ",TRUE,IF(IFERROR(VLOOKUP($MK48,$AV$2:$BA$84,5,FALSE),0)=1,$MK48,""),IF(IFERROR(VLOOKUP($ML48,$AV$2:$BA$84,5,FALSE),0)=1,$ML48,""),IF(IFERROR(VLOOKUP($MM48,$AV$2:$BA$84,5,FALSE),0)=1,$MM48,""),IF(IFERROR(VLOOKUP($MN48,$AV$2:$BA$84,5,FALSE),0)=1,$MN48,""))</f>
        <v/>
      </c>
      <c r="NS48" s="152">
        <f>IF($MW48=0,0,INDEX($Y$2:$Y$11,$MW48))</f>
        <v/>
      </c>
      <c r="NT48" s="152">
        <f>IF($MW48=0,0,INDEX($Z$2:$Z$11,$MW48))</f>
        <v/>
      </c>
      <c r="NU48" s="152">
        <f>IF($MW48=0,0,INDEX($AB$2:$AB$11,$MW48))</f>
        <v/>
      </c>
      <c r="NV48" s="152">
        <f>IFERROR(VLOOKUP($MO48,$BC$2:$BG$24,3,FALSE),0)</f>
        <v/>
      </c>
      <c r="NW48" s="152">
        <f>IFERROR(VLOOKUP($MP48,$BC$2:$BG$24,3,FALSE),0)</f>
        <v/>
      </c>
      <c r="NX48" s="152">
        <f>IFERROR(VLOOKUP($MO48,$BC$2:$BG$24,2,FALSE),"")</f>
        <v/>
      </c>
      <c r="NY48" s="152">
        <f>IFERROR(VLOOKUP($MP48,$BC$2:$BG$24,2,FALSE),"")</f>
        <v/>
      </c>
      <c r="NZ48" s="152">
        <f>COUNTIF($NF48:$NJ48,1)</f>
        <v/>
      </c>
      <c r="OA48" s="152">
        <f>COUNTIF($NF48:$NJ48,2)</f>
        <v/>
      </c>
      <c r="OB48" s="152">
        <f>COUNTIF($NF48:$NJ48,3)</f>
        <v/>
      </c>
      <c r="OC48" s="152">
        <f>COUNTIF($NF48:$NJ48,4)</f>
        <v/>
      </c>
      <c r="OD48" s="152">
        <f>COUNTIF($NF48:$NJ48,5)</f>
        <v/>
      </c>
      <c r="OE48" s="152">
        <f>COUNTIF($NF48:$NJ48,6)</f>
        <v/>
      </c>
      <c r="OF48" s="152">
        <f>COUNTIF($NV48:$NW48,1)</f>
        <v/>
      </c>
      <c r="OG48" s="152">
        <f>COUNTIF($NV48:$NW48,2)+$NS48</f>
        <v/>
      </c>
      <c r="OH48" s="152">
        <f>COUNTIF($MK48:$MN48,"?*")</f>
        <v/>
      </c>
      <c r="OI48" s="152">
        <f>COUNTIF($MO48:$MP48,"?*")+$NS48</f>
        <v/>
      </c>
      <c r="OJ48" s="152">
        <f>IF($MF48=0,0,SUMPRODUCT($NZ48:$OE48,INDEX($I$2:$N$8,MAX(1,$MF48),0)))</f>
        <v/>
      </c>
      <c r="OK48" s="152">
        <f>IF($MF48=0,0,$OF48*CEILING($MF48/2,1)+$OG48*$MF48)</f>
        <v/>
      </c>
      <c r="OL48" s="152">
        <f>MIN(2*$MF48,$OK48)</f>
        <v/>
      </c>
      <c r="OM48" s="152">
        <f>MIN($OL48,$OJ48)</f>
        <v/>
      </c>
      <c r="ON48" s="152">
        <f>$OL48-$OM48</f>
        <v/>
      </c>
      <c r="OO48" s="152">
        <f>IF($MF48=0,0,INDEX($P$2:$P$8,MAX(1,$MF48)))</f>
        <v/>
      </c>
      <c r="OP48" s="152">
        <f>$OO48-$OJ48+$OM48</f>
        <v/>
      </c>
      <c r="OQ48" s="152">
        <f>IF($MF48=0,MAX(0,$MT48-IF($OH48&gt;0,1,0)),MAX(0,$OP48))</f>
        <v/>
      </c>
      <c r="OR48" s="152">
        <f>IF($MF48=0,0,(IF(COUNTIF($MK48:$MN48,"Salto")&gt;0,1,0)+IF(COUNTIF($MK48:$MN48,"Queima")&gt;0,1,0)+IF(COUNTIF($MK48:$MN48,"Estilhaço")&gt;0,1,0))*FLOOR($OQ48/2,1))</f>
        <v/>
      </c>
      <c r="OS48" s="152">
        <f>MAX(0,2-SUMPRODUCT($NZ48:$OE48,$I$2:$N$2)+MIN(2,$OF48*1+$OG48*1,SUMPRODUCT($NZ48:$OE48,$I$2:$N$2)))</f>
        <v/>
      </c>
      <c r="OT48" s="152">
        <f>MAX(0,4-SUMPRODUCT($NZ48:$OE48,$I$3:$N$3)+MIN(4,$OF48*1+$OG48*2,SUMPRODUCT($NZ48:$OE48,$I$3:$N$3)))</f>
        <v/>
      </c>
      <c r="OU48" s="152">
        <f>MAX(0,6-SUMPRODUCT($NZ48:$OE48,$I$4:$N$4)+MIN(6,$OF48*2+$OG48*3,SUMPRODUCT($NZ48:$OE48,$I$4:$N$4)))</f>
        <v/>
      </c>
      <c r="OV48" s="152">
        <f>MAX(0,9-SUMPRODUCT($NZ48:$OE48,$I$5:$N$5)+MIN(8,$OF48*2+$OG48*4,SUMPRODUCT($NZ48:$OE48,$I$5:$N$5)))</f>
        <v/>
      </c>
      <c r="OW48" s="152">
        <f>MAX(0,11-SUMPRODUCT($NZ48:$OE48,$I$6:$N$6)+MIN(10,$OF48*3+$OG48*5,SUMPRODUCT($NZ48:$OE48,$I$6:$N$6)))</f>
        <v/>
      </c>
      <c r="OX48" s="152">
        <f>MAX(0,13-SUMPRODUCT($NZ48:$OE48,$I$7:$N$7)+MIN(12,$OF48*3+$OG48*6,SUMPRODUCT($NZ48:$OE48,$I$7:$N$7)))</f>
        <v/>
      </c>
      <c r="OY48" s="152">
        <f>MAX(0,16-SUMPRODUCT($NZ48:$OE48,$I$8:$N$8)+MIN(14,$OF48*4+$OG48*7,SUMPRODUCT($NZ48:$OE48,$I$8:$N$8)))</f>
        <v/>
      </c>
      <c r="OZ48" s="152">
        <f>IF($NT48=2,3*$OS48&amp;" de vida temp.",IF($NT48=3,"sem dano",IF($OS48=0,IF($NT48=1,"sem cura","sem dano"),IF($NT48=1,"cura ","")&amp;$OS48&amp;"d8")))</f>
        <v/>
      </c>
      <c r="PA48" s="152">
        <f>IF($NT48=2,3*$OT48&amp;" de vida temp.",IF($NT48=3,"sem dano",IF($OT48=0,IF($NT48=1,"sem cura","sem dano"),IF($NT48=1,"cura ","")&amp;$OT48&amp;"d8")))</f>
        <v/>
      </c>
      <c r="PB48" s="152">
        <f>IF($NT48=2,3*$OU48&amp;" de vida temp.",IF($NT48=3,"sem dano",IF($OU48=0,IF($NT48=1,"sem cura","sem dano"),IF($NT48=1,"cura ","")&amp;$OU48&amp;"d8")))</f>
        <v/>
      </c>
      <c r="PC48" s="152">
        <f>IF($NT48=2,3*$OV48&amp;" de vida temp.",IF($NT48=3,"sem dano",IF($OV48=0,IF($NT48=1,"sem cura","sem dano"),IF($NT48=1,"cura ","")&amp;$OV48&amp;"d8")))</f>
        <v/>
      </c>
      <c r="PD48" s="152">
        <f>IF($NT48=2,3*$OW48&amp;" de vida temp.",IF($NT48=3,"sem dano",IF($OW48=0,IF($NT48=1,"sem cura","sem dano"),IF($NT48=1,"cura ","")&amp;$OW48&amp;"d8")))</f>
        <v/>
      </c>
      <c r="PE48" s="152">
        <f>IF($NT48=2,3*$OX48&amp;" de vida temp.",IF($NT48=3,"sem dano",IF($OX48=0,IF($NT48=1,"sem cura","sem dano"),IF($NT48=1,"cura ","")&amp;$OX48&amp;"d8")))</f>
        <v/>
      </c>
      <c r="PF48" s="152">
        <f>IF($NT48=2,3*$OY48&amp;" de vida temp.",IF($NT48=3,"sem dano",IF($OY48=0,IF($NT48=1,"sem cura","sem dano"),IF($NT48=1,"cura ","")&amp;$OY48&amp;"d8")))</f>
        <v/>
      </c>
      <c r="PG48" s="152">
        <f>IF($MQ48=0,"",TEXTJOIN(" · ",TRUE,IF($MD48&gt;$MR48,"Este lugar abre no nível "&amp;$MD48,""),IF($MF48&gt;$MS48,"Classe "&amp;$MF48&amp;": o nível "&amp;$MR48&amp;" libera até a "&amp;$MS48,""),IF($NK48=1,"A Forma "&amp;$MH48&amp;" pede "&amp;INDEX($W$2:$W$11,$MW48)&amp;" aberta",""),IF(AND($MF48=0,$MW48&gt;0,IF($MW48=0,0,INDEX($AF$2:$AF$11,$MW48))=0),$MH48&amp;" não existe na Classe 0",""),IF($NL48=1,"Família Fechada: "&amp;$MK48,""),IF($NM48=1,"Família Fechada: "&amp;$ML48,""),IF($NN48=1,"Família Fechada: "&amp;$MM48,""),IF($NO48=1,"Família Fechada: "&amp;$MN48,""),IF(AND($MF48&gt;0,$OH48&gt;INDEX($O$2:$O$8,MAX(1,$MF48))),$OH48&amp;" Melhorias: a Classe "&amp;$MF48&amp;" aceita "&amp;INDEX($O$2:$O$8,MAX(1,$MF48)),""),IF(AND($MF48=0,$OH48&gt;1),"A básica aceita uma Melhoria",""),IF(AND($MF48=0,COUNTIF($NB48:$NE48,"&gt;1")&gt;0),"A básica só aceita Melhoria Leve",""),IF(AND($MF48&gt;0,$OI48&gt;2),$OI48&amp;" Restrições"&amp;IF($NS48=1,", contando a que a Forma "&amp;$MH48&amp;" já traz","")&amp;": o limite é 2",""),IF(AND($MF48=0,COUNTIF($MO48:$MP48,"?*")&gt;1),"A básica aceita uma Restrição Leve",""),IF(AND($MF48=0,COUNTIF($NV48:$NW48,2)&gt;0),"A básica só aceita Restrição Leve",""),IF(AND($MF48&gt;0,$OP48&lt;0),"Orçamento estourado: faltam "&amp;(-$OP48)&amp;IF($OP48&lt;-1," pontos"," ponto"),""),IF(IFERROR(VLOOKUP($MO48,$BC$2:$BG$24,4,FALSE),0)+IFERROR(VLOOKUP($MP48,$BC$2:$BG$24,4,FALSE),0)&gt;1,$NX48&amp;" e "&amp;$NY48&amp;" são as duas de frequência",""),IF(AND((COUNTIF($MK48:$MN48,"Rápido")+COUNTIF($NX48:$NY48,"Rápido"))&gt;0,(COUNTIF($MK48:$MN48,"Atrasar")+COUNTIF($NX48:$NY48,"Atrasar"))&gt;0),"Rápido não entra com Atrasar",""),IF(AND((COUNTIF($MK48:$MN48,"Reação")+COUNTIF($NX48:$NY48,"Reação"))&gt;0,(COUNTIF($MK48:$MN48,"Rápido")+COUNTIF($NX48:$NY48,"Rápido"))&gt;0),"Reação não entra com Rápido",""),IF(AND((COUNTIF($MK48:$MN48,"Reação")+COUNTIF($NX48:$NY48,"Reação"))&gt;0,(COUNTIF($MK48:$MN48,"Armado")+COUNTIF($NX48:$NY48,"Armado"))&gt;0),"Reação não entra com Armado",""),IF(AND((COUNTIF($MK48:$MN48,"Reação")+COUNTIF($NX48:$NY48,"Reação"))&gt;0,(COUNTIF($MK48:$MN48,"Atrasar")+COUNTIF($NX48:$NY48,"Atrasar"))&gt;0),"Reação não entra com Atrasar",""),IF(AND((COUNTIF($MK48:$MN48,"Reação")+COUNTIF($NX48:$NY48,"Reação"))&gt;0,(COUNTIF($MK48:$MN48,"Parado")+COUNTIF($NX48:$NY48,"Parado"))&gt;0),"Reação não entra com Parado",""),IF(AND((COUNTIF($MK48:$MN48,"Atrasar")+COUNTIF($NX48:$NY48,"Atrasar"))&gt;0,(COUNTIF($MK48:$MN48,"Parado")+COUNTIF($NX48:$NY48,"Parado"))&gt;0),"Atrasar não entra com Parado",""),IF(AND((COUNTIF($MK48:$MN48,"Armado")+COUNTIF($NX48:$NY48,"Armado"))&gt;0,(COUNTIF($MK48:$MN48,"Carregar")+COUNTIF($NX48:$NY48,"Carregar"))&gt;0),"Armado não entra com Carregar",""),IF(AND(COUNTIF($NX48:$NY48,"Corpo a Corpo")&gt;0,$NS48=0,OR($MH48="Cone",$MH48="Linha")),"Corpo a Corpo não entra em "&amp;$MH48,""),IF(AND(COUNTIF($NX48:$NY48,"Corpo a Corpo")&gt;0,$NS48=1),"A Forma "&amp;$MH48&amp;" já traz o Corpo a Corpo",""),IF(AND(COUNTIF($NX48:$NY48,"Tudo ou Nada")&gt;0,$NU48=0),"Tudo ou Nada só entra em habilidade de Teste de Resistência",""),IF(AND(COUNTIF($MK48:$MN48,"Inescapável")&gt;0,OR($OH48&gt;1,$OI48&gt;0)),"Inescapável não aceita outra peça",""),IF(AND($MF48&gt;0,$OQ48*IF(COUNTIF($MK48:$MN48,"Remate")&gt;0,1.25,1)+$OR48&gt;4*$MF48),($OQ48*IF(COUNTIF($MK48:$MN48,"Remate")&gt;0,1.25,1)+$OR48)&amp;" dados somando repetições"&amp;IF(COUNTIF($MK48:$MN48,"Remate")&gt;0," e o Remate","")&amp;": o teto da Classe "&amp;$MF48&amp;" é "&amp;4*$MF48,"")))</f>
        <v/>
      </c>
      <c r="PH48" s="152">
        <f>IF($PG48="",0,(LEN($PG48)-LEN(SUBSTITUTE($PG48," · ","")))/3+1)</f>
        <v/>
      </c>
      <c r="PI48" s="152">
        <f>IF($MQ48=0,"",TEXTJOIN(" · ",TRUE,IF($OK48&gt;2*$MF48,"A devolução parou no teto de "&amp;2*$MF48,""),IF($ON48&gt;0,"Devolução perdida: "&amp;$ON48&amp;IF($ON48&gt;1," pontos"," ponto")&amp;" sem peça para pagar",""),IF(AND($NP48&gt;0,AND($MF48&gt;0,$NT48=0),$OQ48=0),"Controle sem dano: uma rodada a mais e CD +2",""),IF(AND($NP48&gt;0,AND($MF48&gt;0,$NT48=0),$OQ48&gt;0,$OQ48&lt;=$MF48),"Controle com saldo até a Classe: uma rodada a mais",""),IF(AND($MF48&gt;0,$NR48&lt;&gt;""),"Efeito de "&amp;$NR48&amp;" pela Classe "&amp;MAX(1,$MF48-1),"")))</f>
        <v/>
      </c>
      <c r="PJ48" s="152">
        <f>IF($PI48="",0,(LEN($PI48)-LEN(SUBSTITUTE($PI48," · ","")))/3+1)</f>
        <v/>
      </c>
      <c r="PK48" s="152">
        <f>IF($MQ48=0,IF($OH48+COUNTIF($MO48:$MP48,"?*")&gt;0,"Dê um nome",""),IF($PH48&gt;0,"⚠ "&amp;$PH48&amp;IF($PH48&gt;1," erros"," erro"),IF($PJ48&gt;0,"! "&amp;$PJ48&amp;IF($PJ48&gt;1," avisos"," aviso"),"Na regra")))</f>
        <v/>
      </c>
      <c r="PL48" s="152">
        <f>IF($MQ48=0,"",IF($PH48+$PJ48=0,"Dentro das regras que a ficha confere",$PG48&amp;IF(AND($PH48&gt;0,$PJ48&gt;0)," · ","")&amp;$PI48))</f>
        <v/>
      </c>
      <c r="PM48" s="152">
        <f>IF($MD48&gt;$MR48,$ME48&amp;" · ABRE NO NÍVEL "&amp;$MD48,$ME48)</f>
        <v/>
      </c>
      <c r="PN48" s="152">
        <f>IF($MQ48=0,"",IF($MF48=0,"Sem PE",3*$MF48&amp;" PE"))</f>
        <v/>
      </c>
      <c r="PO48" s="152">
        <f>IF($MQ48=0,"",IF($MF48=0,"A atuação básica dela",IF(COUNTIF($NX48:$NY48,"Atrasar")&gt;0,"Sua Ação Completa",IF(COUNTIF($MK48:$MN48,"Rápido")&gt;0,"Sua Bônus",IF(COUNTIF($MK48:$MN48,"Reação")&gt;0,"Sua Reação","Sua Padrão")))&amp;" + a básica dela"&amp;IF(COUNTIF($MK48:$MN48,"Reação")&gt;0," e a coletiva","")&amp;IF(COUNTIF($NX48:$NY48,"Carregar")&gt;0," · em dois turnos","")))</f>
        <v/>
      </c>
      <c r="PP48" s="152">
        <f>IF($MJ48&lt;&gt;"",$MJ48,IF($MW48=0,"",INDEX($AA$2:$AA$11,$MW48)))</f>
        <v/>
      </c>
      <c r="PQ48" s="152">
        <f>IF(OR($MQ48=0,$MW48=0),"",IF(COUNTIF($MK48:$MN48,"Inescapável")&gt;0,"Automático",IF($PP48="Ataque",IF($MU48="","Ataque","Ataque "&amp;IF(($MU48+2*IF(COUNTIF($MK48:$MN48,"Precisão")&gt;0,1,0))&gt;=0,"+","−")&amp;ABS(($MU48+2*IF(COUNTIF($MK48:$MN48,"Precisão")&gt;0,1,0))))&amp;IF($NQ48&gt;0," · TR"&amp;IF($MV48="",""," CD "&amp;$MV48),""),IF(LEFT($PP48,2)="TR",$PP48&amp;IF($MV48="",""," · CD "&amp;$MV48)&amp;IF(COUNTIF($MK48:$MN48,"Certeiro")&gt;0," · metade",""),"Sem rolagem"))))</f>
        <v/>
      </c>
      <c r="PR48" s="152">
        <f>IF(OR($MQ48=0,$MW48=0),"",IF($MF48=0,IF(OR($NT48&gt;=1,$OQ48=0),"Sem dano",$OQ48&amp;"d6"&amp;IF($MI48="",""," "&amp;$MI48)),IF(OR($NT48&gt;=1,$OQ48=0),UPPER(LEFT(INDEX($OZ48:$PF48,1,MAX(1,$MF48)),1))&amp;MID(INDEX($OZ48:$PF48,1,MAX(1,$MF48)),2,99),UPPER(LEFT(INDEX($OZ48:$PF48,1,MAX(1,$MF48)),1))&amp;MID(INDEX($OZ48:$PF48,1,MAX(1,$MF48)),2,99)&amp;IF($MI48="",""," "&amp;$MI48)&amp;IF($OR48&gt;0," · +"&amp;$OR48&amp;"d8",""))))</f>
        <v/>
      </c>
      <c r="PS48" s="152">
        <f>COUNTIF($MK48:$MN48,"Longe")+3*COUNTIF($MK48:$MN48,"Muito Longe")</f>
        <v/>
      </c>
      <c r="PT48" s="152">
        <f>COUNTIF($MK48:$MN48,"Maior")+3*COUNTIF($MK48:$MN48,"Muito Maior")</f>
        <v/>
      </c>
      <c r="PU48" s="152">
        <f>IF($MW48=0,0,CHOOSE(1+INDEX($AC$2:$AC$11,$MW48),0,$PS48,$PT48,$PS48+$PT48))</f>
        <v/>
      </c>
      <c r="PV48" s="152">
        <f>IF($MW48=0,0,CHOOSE(1+INDEX($AD$2:$AD$11,$MW48),0,$PS48,$PT48,$PS48+$PT48))</f>
        <v/>
      </c>
      <c r="PW48" s="152">
        <f>IF(OR($MQ48=0,$MW48=0),"",INDEX($AI$2:$AN$41,($MW48-1)*4+IF($MF48=0,1,IF($MF48&lt;=5,2,IF($MF48=6,3,4))),1+MIN(5,$PU48))&amp;INDEX($AO$2:$AT$41,($MW48-1)*4+IF($MF48=0,1,IF($MF48&lt;=5,2,IF($MF48=6,3,4))),1+MIN(5,$PV48))&amp;IF(INDEX($AE$2:$AE$11,$MW48)=1,IF(COUNTIF($MK48:$MN48,"Mais Um")&gt;0," · +"&amp;COUNTIF($MK48:$MN48,"Mais Um")&amp;IF(COUNTIF($MK48:$MN48,"Mais Um")&gt;1," alvos"," alvo"),"")&amp;IF(COUNTIF($MK48:$MN48,"Rajada")&gt;0,IF($MF48=0," · 1 tiro"," · "&amp;(MAX(1,$MF48-1)+1)&amp;" tiros"),""),""))</f>
        <v/>
      </c>
      <c r="PX48" s="152">
        <f>IF($MQ48=0,"",IF($MF48=0,$MT48&amp;"d6"&amp;IF($OH48&gt;0," − 1 = "&amp;$OQ48&amp;"d6"," da básica do nível "&amp;$MR48),$OO48&amp;" − "&amp;$OJ48&amp;" + "&amp;$OM48&amp;" = "&amp;$OP48&amp;" · teto "&amp;4*$MF48&amp;"d8"&amp;IF($NS48=1," · a Forma devolve "&amp;$MF48,"")&amp;IF($ON48&gt;0," · perde "&amp;$ON48,"")))</f>
        <v/>
      </c>
      <c r="PY48" s="152">
        <f>IF($MQ48=0,"",IF($MF48=0,"A básica não amplia: os dados dela sobem com o nível",IF($MF48&gt;=$MS48,"Já está na maior Classe que o nível liberou",TEXTJOIN(" · ",TRUE,IF(AND(2&gt;$MF48,2&lt;=$MS48),"2 → "&amp;$PA48&amp;", 6 PE",""),IF(AND(3&gt;$MF48,3&lt;=$MS48),"3 → "&amp;$PB48&amp;", 9 PE",""),IF(AND(4&gt;$MF48,4&lt;=$MS48),"4 → "&amp;$PC48&amp;", 12 PE",""),IF(AND(5&gt;$MF48,5&lt;=$MS48),"5 → "&amp;$PD48&amp;", 15 PE",""),IF(AND(6&gt;$MF48,6&lt;=$MS48),"6 → "&amp;$PE48&amp;", 18 PE",""),IF(AND(7&gt;$MF48,7&lt;=$MS48),"7 → "&amp;$PF48&amp;", 21 PE","")))))</f>
        <v/>
      </c>
      <c r="PZ48" s="152">
        <f>IF(OR($MQ48=0,$NB48=0),"",IF($MF48=0,"−1 dado","−"&amp;INDEX($I$2:$N$8,MAX(1,$MF48),MAX(1,$NG48))&amp;" · "&amp;CHOOSE(MAX(1,$NG48),"Leve","Média","Pesada","Leve · Livre","Média · Livre","Pesada · Livre")))</f>
        <v/>
      </c>
      <c r="QA48" s="152">
        <f>IF(OR($MQ48=0,$NC48=0),"",IF($MF48=0,"−1 dado","−"&amp;INDEX($I$2:$N$8,MAX(1,$MF48),MAX(1,$NH48))&amp;" · "&amp;CHOOSE(MAX(1,$NH48),"Leve","Média","Pesada","Leve · Livre","Média · Livre","Pesada · Livre")))</f>
        <v/>
      </c>
      <c r="QB48" s="152">
        <f>IF(OR($MQ48=0,$ND48=0),"",IF($MF48=0,"−1 dado","−"&amp;INDEX($I$2:$N$8,MAX(1,$MF48),MAX(1,$NI48))&amp;" · "&amp;CHOOSE(MAX(1,$NI48),"Leve","Média","Pesada","Leve · Livre","Média · Livre","Pesada · Livre")))</f>
        <v/>
      </c>
      <c r="QC48" s="152">
        <f>IF(OR($MQ48=0,$NE48=0),"",IF($MF48=0,"−1 dado","−"&amp;INDEX($I$2:$N$8,MAX(1,$MF48),MAX(1,$NJ48))&amp;" · "&amp;CHOOSE(MAX(1,$NJ48),"Leve","Média","Pesada","Leve · Livre","Média · Livre","Pesada · Livre")))</f>
        <v/>
      </c>
      <c r="QD48" s="152">
        <f>IF(OR($MQ48=0,$MO48=""),"",IF($MF48=0,"não devolve","+"&amp;IF($NV48=1,CEILING($MF48/2,1),$MF48)))</f>
        <v/>
      </c>
      <c r="QE48" s="152">
        <f>IF(OR($MQ48=0,$MP48=""),"",IF($MF48=0,"não devolve","+"&amp;IF($NW48=1,CEILING($MF48/2,1),$MF48)))</f>
        <v/>
      </c>
    </row>
    <row r="49">
      <c r="AV49" s="150" t="inlineStr">
        <is>
          <t>Guarda</t>
        </is>
      </c>
      <c r="AW49" s="150" t="inlineStr">
        <is>
          <t>Auxiliares</t>
        </is>
      </c>
      <c r="AX49" s="152" t="n">
        <v>2</v>
      </c>
      <c r="AY49" s="152" t="n">
        <v>0</v>
      </c>
      <c r="AZ49" s="152" t="n">
        <v>0</v>
      </c>
      <c r="BA49" s="152" t="n">
        <v>0</v>
      </c>
      <c r="JG49" s="152">
        <f>IF(OR($AW49="",COUNTIF($EF$2:$EJ$2,$AW49)&gt;0),$AV49,"")</f>
        <v/>
      </c>
      <c r="JH49" s="152">
        <f>IF(AND($AX49=1,OR($AW49="",COUNTIF($EF$2:$EJ$2,$AW49)&gt;0)),$AV49,"")</f>
        <v/>
      </c>
      <c r="JM49" s="152">
        <f>IF(OR($AW49="",COUNTIF($EF$3:$EJ$3,$AW49)&gt;0),$AV49,"")</f>
        <v/>
      </c>
      <c r="JN49" s="152">
        <f>IF(AND($AX49=1,OR($AW49="",COUNTIF($EF$3:$EJ$3,$AW49)&gt;0)),$AV49,"")</f>
        <v/>
      </c>
      <c r="JS49" s="152">
        <f>IF(OR($AW49="",COUNTIF($EF$4:$EJ$4,$AW49)&gt;0),$AV49,"")</f>
        <v/>
      </c>
      <c r="JT49" s="152">
        <f>IF(AND($AX49=1,OR($AW49="",COUNTIF($EF$4:$EJ$4,$AW49)&gt;0)),$AV49,"")</f>
        <v/>
      </c>
      <c r="JY49" s="152">
        <f>IF(OR($AW49="",COUNTIF($EF$5:$EJ$5,$AW49)&gt;0),$AV49,"")</f>
        <v/>
      </c>
      <c r="JZ49" s="152">
        <f>IF(AND($AX49=1,OR($AW49="",COUNTIF($EF$5:$EJ$5,$AW49)&gt;0)),$AV49,"")</f>
        <v/>
      </c>
      <c r="KE49" s="152">
        <f>IF(OR($AW49="",COUNTIF($EF$6:$EJ$6,$AW49)&gt;0),$AV49,"")</f>
        <v/>
      </c>
      <c r="KF49" s="152">
        <f>IF(AND($AX49=1,OR($AW49="",COUNTIF($EF$6:$EJ$6,$AW49)&gt;0)),$AV49,"")</f>
        <v/>
      </c>
      <c r="KK49" s="152">
        <f>IF(OR($AW49="",COUNTIF($EF$7:$EJ$7,$AW49)&gt;0),$AV49,"")</f>
        <v/>
      </c>
      <c r="KL49" s="152">
        <f>IF(AND($AX49=1,OR($AW49="",COUNTIF($EF$7:$EJ$7,$AW49)&gt;0)),$AV49,"")</f>
        <v/>
      </c>
      <c r="KQ49" s="152">
        <f>IF(OR($AW49="",COUNTIF($EF$8:$EJ$8,$AW49)&gt;0),$AV49,"")</f>
        <v/>
      </c>
      <c r="KR49" s="152">
        <f>IF(AND($AX49=1,OR($AW49="",COUNTIF($EF$8:$EJ$8,$AW49)&gt;0)),$AV49,"")</f>
        <v/>
      </c>
      <c r="KW49" s="152">
        <f>IF(OR($AW49="",COUNTIF($EF$9:$EJ$9,$AW49)&gt;0),$AV49,"")</f>
        <v/>
      </c>
      <c r="KX49" s="152">
        <f>IF(AND($AX49=1,OR($AW49="",COUNTIF($EF$9:$EJ$9,$AW49)&gt;0)),$AV49,"")</f>
        <v/>
      </c>
      <c r="LC49" s="152">
        <f>IF(OR($AW49="",COUNTIF($EF$10:$EJ$10,$AW49)&gt;0),$AV49,"")</f>
        <v/>
      </c>
      <c r="LD49" s="152">
        <f>IF(AND($AX49=1,OR($AW49="",COUNTIF($EF$10:$EJ$10,$AW49)&gt;0)),$AV49,"")</f>
        <v/>
      </c>
      <c r="LI49" s="152">
        <f>IF(OR($AW49="",COUNTIF($EF$11:$EJ$11,$AW49)&gt;0),$AV49,"")</f>
        <v/>
      </c>
      <c r="LJ49" s="152">
        <f>IF(AND($AX49=1,OR($AW49="",COUNTIF($EF$11:$EJ$11,$AW49)&gt;0)),$AV49,"")</f>
        <v/>
      </c>
      <c r="LO49" s="152">
        <f>IF(OR($AW49="",COUNTIF($EF$12:$EJ$12,$AW49)&gt;0),$AV49,"")</f>
        <v/>
      </c>
      <c r="LP49" s="152">
        <f>IF(AND($AX49=1,OR($AW49="",COUNTIF($EF$12:$EJ$12,$AW49)&gt;0)),$AV49,"")</f>
        <v/>
      </c>
      <c r="LU49" s="152">
        <f>IF(OR($AW49="",COUNTIF($EF$13:$EJ$13,$AW49)&gt;0),$AV49,"")</f>
        <v/>
      </c>
      <c r="LV49" s="152">
        <f>IF(AND($AX49=1,OR($AW49="",COUNTIF($EF$13:$EJ$13,$AW49)&gt;0)),$AV49,"")</f>
        <v/>
      </c>
      <c r="MA49" s="150" t="inlineStr">
        <is>
          <t>Ficha 4 · Especial 7</t>
        </is>
      </c>
      <c r="MB49" s="152" t="n">
        <v>4</v>
      </c>
      <c r="MC49" s="152" t="n">
        <v>1</v>
      </c>
      <c r="MD49" s="152" t="n">
        <v>24</v>
      </c>
      <c r="ME49" s="150" t="inlineStr">
        <is>
          <t>ESPECIAL 7</t>
        </is>
      </c>
      <c r="MF49" s="152">
        <f>MAX(1,MIN(7,N('INVOCAÇÕES'!$U$708)))</f>
        <v/>
      </c>
      <c r="MG49" s="152">
        <f>'INVOCAÇÕES'!$V$708&amp;""</f>
        <v/>
      </c>
      <c r="MH49" s="152">
        <f>'INVOCAÇÕES'!$U$713&amp;""</f>
        <v/>
      </c>
      <c r="MI49" s="152">
        <f>'INVOCAÇÕES'!$U$714&amp;""</f>
        <v/>
      </c>
      <c r="MJ49" s="152">
        <f>'INVOCAÇÕES'!$W$714&amp;""</f>
        <v/>
      </c>
      <c r="MK49" s="152">
        <f>'INVOCAÇÕES'!$V$717&amp;""</f>
        <v/>
      </c>
      <c r="ML49" s="152">
        <f>'INVOCAÇÕES'!$V$718&amp;""</f>
        <v/>
      </c>
      <c r="MM49" s="152">
        <f>'INVOCAÇÕES'!$V$719&amp;""</f>
        <v/>
      </c>
      <c r="MN49" s="152">
        <f>'INVOCAÇÕES'!$V$720&amp;""</f>
        <v/>
      </c>
      <c r="MO49" s="152">
        <f>'INVOCAÇÕES'!$V$721&amp;""</f>
        <v/>
      </c>
      <c r="MP49" s="152">
        <f>'INVOCAÇÕES'!$V$722&amp;""</f>
        <v/>
      </c>
      <c r="MQ49" s="152">
        <f>IF($MG49&lt;&gt;"",1,0)</f>
        <v/>
      </c>
      <c r="MR49" s="152">
        <f>INDEX($FI$2:$FI$13,$MB49)</f>
        <v/>
      </c>
      <c r="MS49" s="152">
        <f>INDEX($FJ$2:$FJ$13,$MB49)</f>
        <v/>
      </c>
      <c r="MT49" s="152">
        <f>INDEX($FK$2:$FK$13,$MB49)</f>
        <v/>
      </c>
      <c r="MU49" s="152">
        <f>INDEX($FV$2:$FV$13,$MB49)</f>
        <v/>
      </c>
      <c r="MV49" s="152">
        <f>INDEX($FW$2:$FW$13,$MB49)</f>
        <v/>
      </c>
      <c r="MW49" s="152">
        <f>IFERROR(MATCH($MH49,$V$2:$V$11,0),0)</f>
        <v/>
      </c>
      <c r="MX49" s="152">
        <f>IFERROR(VLOOKUP($MK49,$AV$2:$BA$84,2,FALSE),"")</f>
        <v/>
      </c>
      <c r="MY49" s="152">
        <f>IFERROR(VLOOKUP($ML49,$AV$2:$BA$84,2,FALSE),"")</f>
        <v/>
      </c>
      <c r="MZ49" s="152">
        <f>IFERROR(VLOOKUP($MM49,$AV$2:$BA$84,2,FALSE),"")</f>
        <v/>
      </c>
      <c r="NA49" s="152">
        <f>IFERROR(VLOOKUP($MN49,$AV$2:$BA$84,2,FALSE),"")</f>
        <v/>
      </c>
      <c r="NB49" s="152">
        <f>IFERROR(VLOOKUP($MK49,$AV$2:$BA$84,3,FALSE),0)</f>
        <v/>
      </c>
      <c r="NC49" s="152">
        <f>IFERROR(VLOOKUP($ML49,$AV$2:$BA$84,3,FALSE),0)</f>
        <v/>
      </c>
      <c r="ND49" s="152">
        <f>IFERROR(VLOOKUP($MM49,$AV$2:$BA$84,3,FALSE),0)</f>
        <v/>
      </c>
      <c r="NE49" s="152">
        <f>IFERROR(VLOOKUP($MN49,$AV$2:$BA$84,3,FALSE),0)</f>
        <v/>
      </c>
      <c r="NF49" s="152">
        <f>IF($MF49=0,0,IF($MW49=0,0,INDEX($X$2:$X$11,$MW49)))</f>
        <v/>
      </c>
      <c r="NG49" s="152">
        <f>IF(OR($NB49=0,$MF49=0),0,$NB49+3*IF(AND($MX49&lt;&gt;"",OR($MX49=INDEX($EF$2:$EF$13,$MB49),$MX49=INDEX($EG$2:$EG$13,$MB49))),1,0))</f>
        <v/>
      </c>
      <c r="NH49" s="152">
        <f>IF(OR($NC49=0,$MF49=0),0,$NC49+3*IF(AND($MY49&lt;&gt;"",OR($MY49=INDEX($EF$2:$EF$13,$MB49),$MY49=INDEX($EG$2:$EG$13,$MB49))),1,0))</f>
        <v/>
      </c>
      <c r="NI49" s="152">
        <f>IF(OR($ND49=0,$MF49=0),0,$ND49+3*IF(AND($MZ49&lt;&gt;"",OR($MZ49=INDEX($EF$2:$EF$13,$MB49),$MZ49=INDEX($EG$2:$EG$13,$MB49))),1,0))</f>
        <v/>
      </c>
      <c r="NJ49" s="152">
        <f>IF(OR($NE49=0,$MF49=0),0,$NE49+3*IF(AND($NA49&lt;&gt;"",OR($NA49=INDEX($EF$2:$EF$13,$MB49),$NA49=INDEX($EG$2:$EG$13,$MB49))),1,0))</f>
        <v/>
      </c>
      <c r="NK49" s="152">
        <f>IF($MW49=0,0,IF(INDEX($W$2:$W$11,$MW49)="",0,IF(COUNTIF(INDEX($EF$2:$EJ$13,$MB49,0),INDEX($W$2:$W$11,$MW49))=0,1,0)))</f>
        <v/>
      </c>
      <c r="NL49" s="152">
        <f>IF(OR($NB49=0,$MX49=""),0,IF(COUNTIF(INDEX($EF$2:$EJ$13,$MB49,0),$MX49)=0,1,0))</f>
        <v/>
      </c>
      <c r="NM49" s="152">
        <f>IF(OR($NC49=0,$MY49=""),0,IF(COUNTIF(INDEX($EF$2:$EJ$13,$MB49,0),$MY49)=0,1,0))</f>
        <v/>
      </c>
      <c r="NN49" s="152">
        <f>IF(OR($ND49=0,$MZ49=""),0,IF(COUNTIF(INDEX($EF$2:$EJ$13,$MB49,0),$MZ49)=0,1,0))</f>
        <v/>
      </c>
      <c r="NO49" s="152">
        <f>IF(OR($NE49=0,$NA49=""),0,IF(COUNTIF(INDEX($EF$2:$EJ$13,$MB49,0),$NA49)=0,1,0))</f>
        <v/>
      </c>
      <c r="NP49" s="152">
        <f>IFERROR(VLOOKUP($MK49,$AV$2:$BA$84,4,FALSE),0)+IFERROR(VLOOKUP($ML49,$AV$2:$BA$84,4,FALSE),0)+IFERROR(VLOOKUP($MM49,$AV$2:$BA$84,4,FALSE),0)+IFERROR(VLOOKUP($MN49,$AV$2:$BA$84,4,FALSE),0)</f>
        <v/>
      </c>
      <c r="NQ49" s="152">
        <f>IFERROR(VLOOKUP($MK49,$AV$2:$BA$84,6,FALSE),0)+IFERROR(VLOOKUP($ML49,$AV$2:$BA$84,6,FALSE),0)+IFERROR(VLOOKUP($MM49,$AV$2:$BA$84,6,FALSE),0)+IFERROR(VLOOKUP($MN49,$AV$2:$BA$84,6,FALSE),0)</f>
        <v/>
      </c>
      <c r="NR49" s="152">
        <f>TEXTJOIN(", ",TRUE,IF(IFERROR(VLOOKUP($MK49,$AV$2:$BA$84,5,FALSE),0)=1,$MK49,""),IF(IFERROR(VLOOKUP($ML49,$AV$2:$BA$84,5,FALSE),0)=1,$ML49,""),IF(IFERROR(VLOOKUP($MM49,$AV$2:$BA$84,5,FALSE),0)=1,$MM49,""),IF(IFERROR(VLOOKUP($MN49,$AV$2:$BA$84,5,FALSE),0)=1,$MN49,""))</f>
        <v/>
      </c>
      <c r="NS49" s="152">
        <f>IF($MW49=0,0,INDEX($Y$2:$Y$11,$MW49))</f>
        <v/>
      </c>
      <c r="NT49" s="152">
        <f>IF($MW49=0,0,INDEX($Z$2:$Z$11,$MW49))</f>
        <v/>
      </c>
      <c r="NU49" s="152">
        <f>IF($MW49=0,0,INDEX($AB$2:$AB$11,$MW49))</f>
        <v/>
      </c>
      <c r="NV49" s="152">
        <f>IFERROR(VLOOKUP($MO49,$BC$2:$BG$24,3,FALSE),0)</f>
        <v/>
      </c>
      <c r="NW49" s="152">
        <f>IFERROR(VLOOKUP($MP49,$BC$2:$BG$24,3,FALSE),0)</f>
        <v/>
      </c>
      <c r="NX49" s="152">
        <f>IFERROR(VLOOKUP($MO49,$BC$2:$BG$24,2,FALSE),"")</f>
        <v/>
      </c>
      <c r="NY49" s="152">
        <f>IFERROR(VLOOKUP($MP49,$BC$2:$BG$24,2,FALSE),"")</f>
        <v/>
      </c>
      <c r="NZ49" s="152">
        <f>COUNTIF($NF49:$NJ49,1)</f>
        <v/>
      </c>
      <c r="OA49" s="152">
        <f>COUNTIF($NF49:$NJ49,2)</f>
        <v/>
      </c>
      <c r="OB49" s="152">
        <f>COUNTIF($NF49:$NJ49,3)</f>
        <v/>
      </c>
      <c r="OC49" s="152">
        <f>COUNTIF($NF49:$NJ49,4)</f>
        <v/>
      </c>
      <c r="OD49" s="152">
        <f>COUNTIF($NF49:$NJ49,5)</f>
        <v/>
      </c>
      <c r="OE49" s="152">
        <f>COUNTIF($NF49:$NJ49,6)</f>
        <v/>
      </c>
      <c r="OF49" s="152">
        <f>COUNTIF($NV49:$NW49,1)</f>
        <v/>
      </c>
      <c r="OG49" s="152">
        <f>COUNTIF($NV49:$NW49,2)+$NS49</f>
        <v/>
      </c>
      <c r="OH49" s="152">
        <f>COUNTIF($MK49:$MN49,"?*")</f>
        <v/>
      </c>
      <c r="OI49" s="152">
        <f>COUNTIF($MO49:$MP49,"?*")+$NS49</f>
        <v/>
      </c>
      <c r="OJ49" s="152">
        <f>IF($MF49=0,0,SUMPRODUCT($NZ49:$OE49,INDEX($I$2:$N$8,MAX(1,$MF49),0)))</f>
        <v/>
      </c>
      <c r="OK49" s="152">
        <f>IF($MF49=0,0,$OF49*CEILING($MF49/2,1)+$OG49*$MF49)</f>
        <v/>
      </c>
      <c r="OL49" s="152">
        <f>MIN(2*$MF49,$OK49)</f>
        <v/>
      </c>
      <c r="OM49" s="152">
        <f>MIN($OL49,$OJ49)</f>
        <v/>
      </c>
      <c r="ON49" s="152">
        <f>$OL49-$OM49</f>
        <v/>
      </c>
      <c r="OO49" s="152">
        <f>IF($MF49=0,0,INDEX($P$2:$P$8,MAX(1,$MF49)))</f>
        <v/>
      </c>
      <c r="OP49" s="152">
        <f>$OO49-$OJ49+$OM49</f>
        <v/>
      </c>
      <c r="OQ49" s="152">
        <f>IF($MF49=0,MAX(0,$MT49-IF($OH49&gt;0,1,0)),MAX(0,$OP49))</f>
        <v/>
      </c>
      <c r="OR49" s="152">
        <f>IF($MF49=0,0,(IF(COUNTIF($MK49:$MN49,"Salto")&gt;0,1,0)+IF(COUNTIF($MK49:$MN49,"Queima")&gt;0,1,0)+IF(COUNTIF($MK49:$MN49,"Estilhaço")&gt;0,1,0))*FLOOR($OQ49/2,1))</f>
        <v/>
      </c>
      <c r="OS49" s="152">
        <f>MAX(0,2-SUMPRODUCT($NZ49:$OE49,$I$2:$N$2)+MIN(2,$OF49*1+$OG49*1,SUMPRODUCT($NZ49:$OE49,$I$2:$N$2)))</f>
        <v/>
      </c>
      <c r="OT49" s="152">
        <f>MAX(0,4-SUMPRODUCT($NZ49:$OE49,$I$3:$N$3)+MIN(4,$OF49*1+$OG49*2,SUMPRODUCT($NZ49:$OE49,$I$3:$N$3)))</f>
        <v/>
      </c>
      <c r="OU49" s="152">
        <f>MAX(0,6-SUMPRODUCT($NZ49:$OE49,$I$4:$N$4)+MIN(6,$OF49*2+$OG49*3,SUMPRODUCT($NZ49:$OE49,$I$4:$N$4)))</f>
        <v/>
      </c>
      <c r="OV49" s="152">
        <f>MAX(0,9-SUMPRODUCT($NZ49:$OE49,$I$5:$N$5)+MIN(8,$OF49*2+$OG49*4,SUMPRODUCT($NZ49:$OE49,$I$5:$N$5)))</f>
        <v/>
      </c>
      <c r="OW49" s="152">
        <f>MAX(0,11-SUMPRODUCT($NZ49:$OE49,$I$6:$N$6)+MIN(10,$OF49*3+$OG49*5,SUMPRODUCT($NZ49:$OE49,$I$6:$N$6)))</f>
        <v/>
      </c>
      <c r="OX49" s="152">
        <f>MAX(0,13-SUMPRODUCT($NZ49:$OE49,$I$7:$N$7)+MIN(12,$OF49*3+$OG49*6,SUMPRODUCT($NZ49:$OE49,$I$7:$N$7)))</f>
        <v/>
      </c>
      <c r="OY49" s="152">
        <f>MAX(0,16-SUMPRODUCT($NZ49:$OE49,$I$8:$N$8)+MIN(14,$OF49*4+$OG49*7,SUMPRODUCT($NZ49:$OE49,$I$8:$N$8)))</f>
        <v/>
      </c>
      <c r="OZ49" s="152">
        <f>IF($NT49=2,3*$OS49&amp;" de vida temp.",IF($NT49=3,"sem dano",IF($OS49=0,IF($NT49=1,"sem cura","sem dano"),IF($NT49=1,"cura ","")&amp;$OS49&amp;"d8")))</f>
        <v/>
      </c>
      <c r="PA49" s="152">
        <f>IF($NT49=2,3*$OT49&amp;" de vida temp.",IF($NT49=3,"sem dano",IF($OT49=0,IF($NT49=1,"sem cura","sem dano"),IF($NT49=1,"cura ","")&amp;$OT49&amp;"d8")))</f>
        <v/>
      </c>
      <c r="PB49" s="152">
        <f>IF($NT49=2,3*$OU49&amp;" de vida temp.",IF($NT49=3,"sem dano",IF($OU49=0,IF($NT49=1,"sem cura","sem dano"),IF($NT49=1,"cura ","")&amp;$OU49&amp;"d8")))</f>
        <v/>
      </c>
      <c r="PC49" s="152">
        <f>IF($NT49=2,3*$OV49&amp;" de vida temp.",IF($NT49=3,"sem dano",IF($OV49=0,IF($NT49=1,"sem cura","sem dano"),IF($NT49=1,"cura ","")&amp;$OV49&amp;"d8")))</f>
        <v/>
      </c>
      <c r="PD49" s="152">
        <f>IF($NT49=2,3*$OW49&amp;" de vida temp.",IF($NT49=3,"sem dano",IF($OW49=0,IF($NT49=1,"sem cura","sem dano"),IF($NT49=1,"cura ","")&amp;$OW49&amp;"d8")))</f>
        <v/>
      </c>
      <c r="PE49" s="152">
        <f>IF($NT49=2,3*$OX49&amp;" de vida temp.",IF($NT49=3,"sem dano",IF($OX49=0,IF($NT49=1,"sem cura","sem dano"),IF($NT49=1,"cura ","")&amp;$OX49&amp;"d8")))</f>
        <v/>
      </c>
      <c r="PF49" s="152">
        <f>IF($NT49=2,3*$OY49&amp;" de vida temp.",IF($NT49=3,"sem dano",IF($OY49=0,IF($NT49=1,"sem cura","sem dano"),IF($NT49=1,"cura ","")&amp;$OY49&amp;"d8")))</f>
        <v/>
      </c>
      <c r="PG49" s="152">
        <f>IF($MQ49=0,"",TEXTJOIN(" · ",TRUE,IF($MD49&gt;$MR49,"Este lugar abre no nível "&amp;$MD49,""),IF($MF49&gt;$MS49,"Classe "&amp;$MF49&amp;": o nível "&amp;$MR49&amp;" libera até a "&amp;$MS49,""),IF($NK49=1,"A Forma "&amp;$MH49&amp;" pede "&amp;INDEX($W$2:$W$11,$MW49)&amp;" aberta",""),IF(AND($MF49=0,$MW49&gt;0,IF($MW49=0,0,INDEX($AF$2:$AF$11,$MW49))=0),$MH49&amp;" não existe na Classe 0",""),IF($NL49=1,"Família Fechada: "&amp;$MK49,""),IF($NM49=1,"Família Fechada: "&amp;$ML49,""),IF($NN49=1,"Família Fechada: "&amp;$MM49,""),IF($NO49=1,"Família Fechada: "&amp;$MN49,""),IF(AND($MF49&gt;0,$OH49&gt;INDEX($O$2:$O$8,MAX(1,$MF49))),$OH49&amp;" Melhorias: a Classe "&amp;$MF49&amp;" aceita "&amp;INDEX($O$2:$O$8,MAX(1,$MF49)),""),IF(AND($MF49=0,$OH49&gt;1),"A básica aceita uma Melhoria",""),IF(AND($MF49=0,COUNTIF($NB49:$NE49,"&gt;1")&gt;0),"A básica só aceita Melhoria Leve",""),IF(AND($MF49&gt;0,$OI49&gt;2),$OI49&amp;" Restrições"&amp;IF($NS49=1,", contando a que a Forma "&amp;$MH49&amp;" já traz","")&amp;": o limite é 2",""),IF(AND($MF49=0,COUNTIF($MO49:$MP49,"?*")&gt;1),"A básica aceita uma Restrição Leve",""),IF(AND($MF49=0,COUNTIF($NV49:$NW49,2)&gt;0),"A básica só aceita Restrição Leve",""),IF(AND($MF49&gt;0,$OP49&lt;0),"Orçamento estourado: faltam "&amp;(-$OP49)&amp;IF($OP49&lt;-1," pontos"," ponto"),""),IF(IFERROR(VLOOKUP($MO49,$BC$2:$BG$24,4,FALSE),0)+IFERROR(VLOOKUP($MP49,$BC$2:$BG$24,4,FALSE),0)&gt;1,$NX49&amp;" e "&amp;$NY49&amp;" são as duas de frequência",""),IF(AND((COUNTIF($MK49:$MN49,"Rápido")+COUNTIF($NX49:$NY49,"Rápido"))&gt;0,(COUNTIF($MK49:$MN49,"Atrasar")+COUNTIF($NX49:$NY49,"Atrasar"))&gt;0),"Rápido não entra com Atrasar",""),IF(AND((COUNTIF($MK49:$MN49,"Reação")+COUNTIF($NX49:$NY49,"Reação"))&gt;0,(COUNTIF($MK49:$MN49,"Rápido")+COUNTIF($NX49:$NY49,"Rápido"))&gt;0),"Reação não entra com Rápido",""),IF(AND((COUNTIF($MK49:$MN49,"Reação")+COUNTIF($NX49:$NY49,"Reação"))&gt;0,(COUNTIF($MK49:$MN49,"Armado")+COUNTIF($NX49:$NY49,"Armado"))&gt;0),"Reação não entra com Armado",""),IF(AND((COUNTIF($MK49:$MN49,"Reação")+COUNTIF($NX49:$NY49,"Reação"))&gt;0,(COUNTIF($MK49:$MN49,"Atrasar")+COUNTIF($NX49:$NY49,"Atrasar"))&gt;0),"Reação não entra com Atrasar",""),IF(AND((COUNTIF($MK49:$MN49,"Reação")+COUNTIF($NX49:$NY49,"Reação"))&gt;0,(COUNTIF($MK49:$MN49,"Parado")+COUNTIF($NX49:$NY49,"Parado"))&gt;0),"Reação não entra com Parado",""),IF(AND((COUNTIF($MK49:$MN49,"Atrasar")+COUNTIF($NX49:$NY49,"Atrasar"))&gt;0,(COUNTIF($MK49:$MN49,"Parado")+COUNTIF($NX49:$NY49,"Parado"))&gt;0),"Atrasar não entra com Parado",""),IF(AND((COUNTIF($MK49:$MN49,"Armado")+COUNTIF($NX49:$NY49,"Armado"))&gt;0,(COUNTIF($MK49:$MN49,"Carregar")+COUNTIF($NX49:$NY49,"Carregar"))&gt;0),"Armado não entra com Carregar",""),IF(AND(COUNTIF($NX49:$NY49,"Corpo a Corpo")&gt;0,$NS49=0,OR($MH49="Cone",$MH49="Linha")),"Corpo a Corpo não entra em "&amp;$MH49,""),IF(AND(COUNTIF($NX49:$NY49,"Corpo a Corpo")&gt;0,$NS49=1),"A Forma "&amp;$MH49&amp;" já traz o Corpo a Corpo",""),IF(AND(COUNTIF($NX49:$NY49,"Tudo ou Nada")&gt;0,$NU49=0),"Tudo ou Nada só entra em habilidade de Teste de Resistência",""),IF(AND(COUNTIF($MK49:$MN49,"Inescapável")&gt;0,OR($OH49&gt;1,$OI49&gt;0)),"Inescapável não aceita outra peça",""),IF(AND($MF49&gt;0,$OQ49*IF(COUNTIF($MK49:$MN49,"Remate")&gt;0,1.25,1)+$OR49&gt;4*$MF49),($OQ49*IF(COUNTIF($MK49:$MN49,"Remate")&gt;0,1.25,1)+$OR49)&amp;" dados somando repetições"&amp;IF(COUNTIF($MK49:$MN49,"Remate")&gt;0," e o Remate","")&amp;": o teto da Classe "&amp;$MF49&amp;" é "&amp;4*$MF49,"")))</f>
        <v/>
      </c>
      <c r="PH49" s="152">
        <f>IF($PG49="",0,(LEN($PG49)-LEN(SUBSTITUTE($PG49," · ","")))/3+1)</f>
        <v/>
      </c>
      <c r="PI49" s="152">
        <f>IF($MQ49=0,"",TEXTJOIN(" · ",TRUE,IF($OK49&gt;2*$MF49,"A devolução parou no teto de "&amp;2*$MF49,""),IF($ON49&gt;0,"Devolução perdida: "&amp;$ON49&amp;IF($ON49&gt;1," pontos"," ponto")&amp;" sem peça para pagar",""),IF(AND($NP49&gt;0,AND($MF49&gt;0,$NT49=0),$OQ49=0),"Controle sem dano: uma rodada a mais e CD +2",""),IF(AND($NP49&gt;0,AND($MF49&gt;0,$NT49=0),$OQ49&gt;0,$OQ49&lt;=$MF49),"Controle com saldo até a Classe: uma rodada a mais",""),IF(AND($MF49&gt;0,$NR49&lt;&gt;""),"Efeito de "&amp;$NR49&amp;" pela Classe "&amp;MAX(1,$MF49-1),"")))</f>
        <v/>
      </c>
      <c r="PJ49" s="152">
        <f>IF($PI49="",0,(LEN($PI49)-LEN(SUBSTITUTE($PI49," · ","")))/3+1)</f>
        <v/>
      </c>
      <c r="PK49" s="152">
        <f>IF($MQ49=0,IF($OH49+COUNTIF($MO49:$MP49,"?*")&gt;0,"Dê um nome",""),IF($PH49&gt;0,"⚠ "&amp;$PH49&amp;IF($PH49&gt;1," erros"," erro"),IF($PJ49&gt;0,"! "&amp;$PJ49&amp;IF($PJ49&gt;1," avisos"," aviso"),"Na regra")))</f>
        <v/>
      </c>
      <c r="PL49" s="152">
        <f>IF($MQ49=0,"",IF($PH49+$PJ49=0,"Dentro das regras que a ficha confere",$PG49&amp;IF(AND($PH49&gt;0,$PJ49&gt;0)," · ","")&amp;$PI49))</f>
        <v/>
      </c>
      <c r="PM49" s="152">
        <f>IF($MD49&gt;$MR49,$ME49&amp;" · ABRE NO NÍVEL "&amp;$MD49,$ME49)</f>
        <v/>
      </c>
      <c r="PN49" s="152">
        <f>IF($MQ49=0,"",IF($MF49=0,"Sem PE",3*$MF49&amp;" PE"))</f>
        <v/>
      </c>
      <c r="PO49" s="152">
        <f>IF($MQ49=0,"",IF($MF49=0,"A atuação básica dela",IF(COUNTIF($NX49:$NY49,"Atrasar")&gt;0,"Sua Ação Completa",IF(COUNTIF($MK49:$MN49,"Rápido")&gt;0,"Sua Bônus",IF(COUNTIF($MK49:$MN49,"Reação")&gt;0,"Sua Reação","Sua Padrão")))&amp;" + a básica dela"&amp;IF(COUNTIF($MK49:$MN49,"Reação")&gt;0," e a coletiva","")&amp;IF(COUNTIF($NX49:$NY49,"Carregar")&gt;0," · em dois turnos","")))</f>
        <v/>
      </c>
      <c r="PP49" s="152">
        <f>IF($MJ49&lt;&gt;"",$MJ49,IF($MW49=0,"",INDEX($AA$2:$AA$11,$MW49)))</f>
        <v/>
      </c>
      <c r="PQ49" s="152">
        <f>IF(OR($MQ49=0,$MW49=0),"",IF(COUNTIF($MK49:$MN49,"Inescapável")&gt;0,"Automático",IF($PP49="Ataque",IF($MU49="","Ataque","Ataque "&amp;IF(($MU49+2*IF(COUNTIF($MK49:$MN49,"Precisão")&gt;0,1,0))&gt;=0,"+","−")&amp;ABS(($MU49+2*IF(COUNTIF($MK49:$MN49,"Precisão")&gt;0,1,0))))&amp;IF($NQ49&gt;0," · TR"&amp;IF($MV49="",""," CD "&amp;$MV49),""),IF(LEFT($PP49,2)="TR",$PP49&amp;IF($MV49="",""," · CD "&amp;$MV49)&amp;IF(COUNTIF($MK49:$MN49,"Certeiro")&gt;0," · metade",""),"Sem rolagem"))))</f>
        <v/>
      </c>
      <c r="PR49" s="152">
        <f>IF(OR($MQ49=0,$MW49=0),"",IF($MF49=0,IF(OR($NT49&gt;=1,$OQ49=0),"Sem dano",$OQ49&amp;"d6"&amp;IF($MI49="",""," "&amp;$MI49)),IF(OR($NT49&gt;=1,$OQ49=0),UPPER(LEFT(INDEX($OZ49:$PF49,1,MAX(1,$MF49)),1))&amp;MID(INDEX($OZ49:$PF49,1,MAX(1,$MF49)),2,99),UPPER(LEFT(INDEX($OZ49:$PF49,1,MAX(1,$MF49)),1))&amp;MID(INDEX($OZ49:$PF49,1,MAX(1,$MF49)),2,99)&amp;IF($MI49="",""," "&amp;$MI49)&amp;IF($OR49&gt;0," · +"&amp;$OR49&amp;"d8",""))))</f>
        <v/>
      </c>
      <c r="PS49" s="152">
        <f>COUNTIF($MK49:$MN49,"Longe")+3*COUNTIF($MK49:$MN49,"Muito Longe")</f>
        <v/>
      </c>
      <c r="PT49" s="152">
        <f>COUNTIF($MK49:$MN49,"Maior")+3*COUNTIF($MK49:$MN49,"Muito Maior")</f>
        <v/>
      </c>
      <c r="PU49" s="152">
        <f>IF($MW49=0,0,CHOOSE(1+INDEX($AC$2:$AC$11,$MW49),0,$PS49,$PT49,$PS49+$PT49))</f>
        <v/>
      </c>
      <c r="PV49" s="152">
        <f>IF($MW49=0,0,CHOOSE(1+INDEX($AD$2:$AD$11,$MW49),0,$PS49,$PT49,$PS49+$PT49))</f>
        <v/>
      </c>
      <c r="PW49" s="152">
        <f>IF(OR($MQ49=0,$MW49=0),"",INDEX($AI$2:$AN$41,($MW49-1)*4+IF($MF49=0,1,IF($MF49&lt;=5,2,IF($MF49=6,3,4))),1+MIN(5,$PU49))&amp;INDEX($AO$2:$AT$41,($MW49-1)*4+IF($MF49=0,1,IF($MF49&lt;=5,2,IF($MF49=6,3,4))),1+MIN(5,$PV49))&amp;IF(INDEX($AE$2:$AE$11,$MW49)=1,IF(COUNTIF($MK49:$MN49,"Mais Um")&gt;0," · +"&amp;COUNTIF($MK49:$MN49,"Mais Um")&amp;IF(COUNTIF($MK49:$MN49,"Mais Um")&gt;1," alvos"," alvo"),"")&amp;IF(COUNTIF($MK49:$MN49,"Rajada")&gt;0,IF($MF49=0," · 1 tiro"," · "&amp;(MAX(1,$MF49-1)+1)&amp;" tiros"),""),""))</f>
        <v/>
      </c>
      <c r="PX49" s="152">
        <f>IF($MQ49=0,"",IF($MF49=0,$MT49&amp;"d6"&amp;IF($OH49&gt;0," − 1 = "&amp;$OQ49&amp;"d6"," da básica do nível "&amp;$MR49),$OO49&amp;" − "&amp;$OJ49&amp;" + "&amp;$OM49&amp;" = "&amp;$OP49&amp;" · teto "&amp;4*$MF49&amp;"d8"&amp;IF($NS49=1," · a Forma devolve "&amp;$MF49,"")&amp;IF($ON49&gt;0," · perde "&amp;$ON49,"")))</f>
        <v/>
      </c>
      <c r="PY49" s="152">
        <f>IF($MQ49=0,"",IF($MF49=0,"A básica não amplia: os dados dela sobem com o nível",IF($MF49&gt;=$MS49,"Já está na maior Classe que o nível liberou",TEXTJOIN(" · ",TRUE,IF(AND(2&gt;$MF49,2&lt;=$MS49),"2 → "&amp;$PA49&amp;", 6 PE",""),IF(AND(3&gt;$MF49,3&lt;=$MS49),"3 → "&amp;$PB49&amp;", 9 PE",""),IF(AND(4&gt;$MF49,4&lt;=$MS49),"4 → "&amp;$PC49&amp;", 12 PE",""),IF(AND(5&gt;$MF49,5&lt;=$MS49),"5 → "&amp;$PD49&amp;", 15 PE",""),IF(AND(6&gt;$MF49,6&lt;=$MS49),"6 → "&amp;$PE49&amp;", 18 PE",""),IF(AND(7&gt;$MF49,7&lt;=$MS49),"7 → "&amp;$PF49&amp;", 21 PE","")))))</f>
        <v/>
      </c>
      <c r="PZ49" s="152">
        <f>IF(OR($MQ49=0,$NB49=0),"",IF($MF49=0,"−1 dado","−"&amp;INDEX($I$2:$N$8,MAX(1,$MF49),MAX(1,$NG49))&amp;" · "&amp;CHOOSE(MAX(1,$NG49),"Leve","Média","Pesada","Leve · Livre","Média · Livre","Pesada · Livre")))</f>
        <v/>
      </c>
      <c r="QA49" s="152">
        <f>IF(OR($MQ49=0,$NC49=0),"",IF($MF49=0,"−1 dado","−"&amp;INDEX($I$2:$N$8,MAX(1,$MF49),MAX(1,$NH49))&amp;" · "&amp;CHOOSE(MAX(1,$NH49),"Leve","Média","Pesada","Leve · Livre","Média · Livre","Pesada · Livre")))</f>
        <v/>
      </c>
      <c r="QB49" s="152">
        <f>IF(OR($MQ49=0,$ND49=0),"",IF($MF49=0,"−1 dado","−"&amp;INDEX($I$2:$N$8,MAX(1,$MF49),MAX(1,$NI49))&amp;" · "&amp;CHOOSE(MAX(1,$NI49),"Leve","Média","Pesada","Leve · Livre","Média · Livre","Pesada · Livre")))</f>
        <v/>
      </c>
      <c r="QC49" s="152">
        <f>IF(OR($MQ49=0,$NE49=0),"",IF($MF49=0,"−1 dado","−"&amp;INDEX($I$2:$N$8,MAX(1,$MF49),MAX(1,$NJ49))&amp;" · "&amp;CHOOSE(MAX(1,$NJ49),"Leve","Média","Pesada","Leve · Livre","Média · Livre","Pesada · Livre")))</f>
        <v/>
      </c>
      <c r="QD49" s="152">
        <f>IF(OR($MQ49=0,$MO49=""),"",IF($MF49=0,"não devolve","+"&amp;IF($NV49=1,CEILING($MF49/2,1),$MF49)))</f>
        <v/>
      </c>
      <c r="QE49" s="152">
        <f>IF(OR($MQ49=0,$MP49=""),"",IF($MF49=0,"não devolve","+"&amp;IF($NW49=1,CEILING($MF49/2,1),$MF49)))</f>
        <v/>
      </c>
    </row>
    <row r="50">
      <c r="AV50" s="150" t="inlineStr">
        <is>
          <t>Pressa</t>
        </is>
      </c>
      <c r="AW50" s="150" t="inlineStr">
        <is>
          <t>Auxiliares</t>
        </is>
      </c>
      <c r="AX50" s="152" t="n">
        <v>2</v>
      </c>
      <c r="AY50" s="152" t="n">
        <v>0</v>
      </c>
      <c r="AZ50" s="152" t="n">
        <v>0</v>
      </c>
      <c r="BA50" s="152" t="n">
        <v>0</v>
      </c>
      <c r="JG50" s="152">
        <f>IF(OR($AW50="",COUNTIF($EF$2:$EJ$2,$AW50)&gt;0),$AV50,"")</f>
        <v/>
      </c>
      <c r="JH50" s="152">
        <f>IF(AND($AX50=1,OR($AW50="",COUNTIF($EF$2:$EJ$2,$AW50)&gt;0)),$AV50,"")</f>
        <v/>
      </c>
      <c r="JM50" s="152">
        <f>IF(OR($AW50="",COUNTIF($EF$3:$EJ$3,$AW50)&gt;0),$AV50,"")</f>
        <v/>
      </c>
      <c r="JN50" s="152">
        <f>IF(AND($AX50=1,OR($AW50="",COUNTIF($EF$3:$EJ$3,$AW50)&gt;0)),$AV50,"")</f>
        <v/>
      </c>
      <c r="JS50" s="152">
        <f>IF(OR($AW50="",COUNTIF($EF$4:$EJ$4,$AW50)&gt;0),$AV50,"")</f>
        <v/>
      </c>
      <c r="JT50" s="152">
        <f>IF(AND($AX50=1,OR($AW50="",COUNTIF($EF$4:$EJ$4,$AW50)&gt;0)),$AV50,"")</f>
        <v/>
      </c>
      <c r="JY50" s="152">
        <f>IF(OR($AW50="",COUNTIF($EF$5:$EJ$5,$AW50)&gt;0),$AV50,"")</f>
        <v/>
      </c>
      <c r="JZ50" s="152">
        <f>IF(AND($AX50=1,OR($AW50="",COUNTIF($EF$5:$EJ$5,$AW50)&gt;0)),$AV50,"")</f>
        <v/>
      </c>
      <c r="KE50" s="152">
        <f>IF(OR($AW50="",COUNTIF($EF$6:$EJ$6,$AW50)&gt;0),$AV50,"")</f>
        <v/>
      </c>
      <c r="KF50" s="152">
        <f>IF(AND($AX50=1,OR($AW50="",COUNTIF($EF$6:$EJ$6,$AW50)&gt;0)),$AV50,"")</f>
        <v/>
      </c>
      <c r="KK50" s="152">
        <f>IF(OR($AW50="",COUNTIF($EF$7:$EJ$7,$AW50)&gt;0),$AV50,"")</f>
        <v/>
      </c>
      <c r="KL50" s="152">
        <f>IF(AND($AX50=1,OR($AW50="",COUNTIF($EF$7:$EJ$7,$AW50)&gt;0)),$AV50,"")</f>
        <v/>
      </c>
      <c r="KQ50" s="152">
        <f>IF(OR($AW50="",COUNTIF($EF$8:$EJ$8,$AW50)&gt;0),$AV50,"")</f>
        <v/>
      </c>
      <c r="KR50" s="152">
        <f>IF(AND($AX50=1,OR($AW50="",COUNTIF($EF$8:$EJ$8,$AW50)&gt;0)),$AV50,"")</f>
        <v/>
      </c>
      <c r="KW50" s="152">
        <f>IF(OR($AW50="",COUNTIF($EF$9:$EJ$9,$AW50)&gt;0),$AV50,"")</f>
        <v/>
      </c>
      <c r="KX50" s="152">
        <f>IF(AND($AX50=1,OR($AW50="",COUNTIF($EF$9:$EJ$9,$AW50)&gt;0)),$AV50,"")</f>
        <v/>
      </c>
      <c r="LC50" s="152">
        <f>IF(OR($AW50="",COUNTIF($EF$10:$EJ$10,$AW50)&gt;0),$AV50,"")</f>
        <v/>
      </c>
      <c r="LD50" s="152">
        <f>IF(AND($AX50=1,OR($AW50="",COUNTIF($EF$10:$EJ$10,$AW50)&gt;0)),$AV50,"")</f>
        <v/>
      </c>
      <c r="LI50" s="152">
        <f>IF(OR($AW50="",COUNTIF($EF$11:$EJ$11,$AW50)&gt;0),$AV50,"")</f>
        <v/>
      </c>
      <c r="LJ50" s="152">
        <f>IF(AND($AX50=1,OR($AW50="",COUNTIF($EF$11:$EJ$11,$AW50)&gt;0)),$AV50,"")</f>
        <v/>
      </c>
      <c r="LO50" s="152">
        <f>IF(OR($AW50="",COUNTIF($EF$12:$EJ$12,$AW50)&gt;0),$AV50,"")</f>
        <v/>
      </c>
      <c r="LP50" s="152">
        <f>IF(AND($AX50=1,OR($AW50="",COUNTIF($EF$12:$EJ$12,$AW50)&gt;0)),$AV50,"")</f>
        <v/>
      </c>
      <c r="LU50" s="152">
        <f>IF(OR($AW50="",COUNTIF($EF$13:$EJ$13,$AW50)&gt;0),$AV50,"")</f>
        <v/>
      </c>
      <c r="LV50" s="152">
        <f>IF(AND($AX50=1,OR($AW50="",COUNTIF($EF$13:$EJ$13,$AW50)&gt;0)),$AV50,"")</f>
        <v/>
      </c>
      <c r="MA50" s="150" t="inlineStr">
        <is>
          <t>Ficha 4 · Especial 8</t>
        </is>
      </c>
      <c r="MB50" s="152" t="n">
        <v>4</v>
      </c>
      <c r="MC50" s="152" t="n">
        <v>1</v>
      </c>
      <c r="MD50" s="152" t="n">
        <v>28</v>
      </c>
      <c r="ME50" s="150" t="inlineStr">
        <is>
          <t>ESPECIAL 8</t>
        </is>
      </c>
      <c r="MF50" s="152">
        <f>MAX(1,MIN(7,N('INVOCAÇÕES'!$I$730)))</f>
        <v/>
      </c>
      <c r="MG50" s="152">
        <f>'INVOCAÇÕES'!$J$730&amp;""</f>
        <v/>
      </c>
      <c r="MH50" s="152">
        <f>'INVOCAÇÕES'!$I$735&amp;""</f>
        <v/>
      </c>
      <c r="MI50" s="152">
        <f>'INVOCAÇÕES'!$I$736&amp;""</f>
        <v/>
      </c>
      <c r="MJ50" s="152">
        <f>'INVOCAÇÕES'!$K$736&amp;""</f>
        <v/>
      </c>
      <c r="MK50" s="152">
        <f>'INVOCAÇÕES'!$J$739&amp;""</f>
        <v/>
      </c>
      <c r="ML50" s="152">
        <f>'INVOCAÇÕES'!$J$740&amp;""</f>
        <v/>
      </c>
      <c r="MM50" s="152">
        <f>'INVOCAÇÕES'!$J$741&amp;""</f>
        <v/>
      </c>
      <c r="MN50" s="152">
        <f>'INVOCAÇÕES'!$J$742&amp;""</f>
        <v/>
      </c>
      <c r="MO50" s="152">
        <f>'INVOCAÇÕES'!$J$743&amp;""</f>
        <v/>
      </c>
      <c r="MP50" s="152">
        <f>'INVOCAÇÕES'!$J$744&amp;""</f>
        <v/>
      </c>
      <c r="MQ50" s="152">
        <f>IF($MG50&lt;&gt;"",1,0)</f>
        <v/>
      </c>
      <c r="MR50" s="152">
        <f>INDEX($FI$2:$FI$13,$MB50)</f>
        <v/>
      </c>
      <c r="MS50" s="152">
        <f>INDEX($FJ$2:$FJ$13,$MB50)</f>
        <v/>
      </c>
      <c r="MT50" s="152">
        <f>INDEX($FK$2:$FK$13,$MB50)</f>
        <v/>
      </c>
      <c r="MU50" s="152">
        <f>INDEX($FV$2:$FV$13,$MB50)</f>
        <v/>
      </c>
      <c r="MV50" s="152">
        <f>INDEX($FW$2:$FW$13,$MB50)</f>
        <v/>
      </c>
      <c r="MW50" s="152">
        <f>IFERROR(MATCH($MH50,$V$2:$V$11,0),0)</f>
        <v/>
      </c>
      <c r="MX50" s="152">
        <f>IFERROR(VLOOKUP($MK50,$AV$2:$BA$84,2,FALSE),"")</f>
        <v/>
      </c>
      <c r="MY50" s="152">
        <f>IFERROR(VLOOKUP($ML50,$AV$2:$BA$84,2,FALSE),"")</f>
        <v/>
      </c>
      <c r="MZ50" s="152">
        <f>IFERROR(VLOOKUP($MM50,$AV$2:$BA$84,2,FALSE),"")</f>
        <v/>
      </c>
      <c r="NA50" s="152">
        <f>IFERROR(VLOOKUP($MN50,$AV$2:$BA$84,2,FALSE),"")</f>
        <v/>
      </c>
      <c r="NB50" s="152">
        <f>IFERROR(VLOOKUP($MK50,$AV$2:$BA$84,3,FALSE),0)</f>
        <v/>
      </c>
      <c r="NC50" s="152">
        <f>IFERROR(VLOOKUP($ML50,$AV$2:$BA$84,3,FALSE),0)</f>
        <v/>
      </c>
      <c r="ND50" s="152">
        <f>IFERROR(VLOOKUP($MM50,$AV$2:$BA$84,3,FALSE),0)</f>
        <v/>
      </c>
      <c r="NE50" s="152">
        <f>IFERROR(VLOOKUP($MN50,$AV$2:$BA$84,3,FALSE),0)</f>
        <v/>
      </c>
      <c r="NF50" s="152">
        <f>IF($MF50=0,0,IF($MW50=0,0,INDEX($X$2:$X$11,$MW50)))</f>
        <v/>
      </c>
      <c r="NG50" s="152">
        <f>IF(OR($NB50=0,$MF50=0),0,$NB50+3*IF(AND($MX50&lt;&gt;"",OR($MX50=INDEX($EF$2:$EF$13,$MB50),$MX50=INDEX($EG$2:$EG$13,$MB50))),1,0))</f>
        <v/>
      </c>
      <c r="NH50" s="152">
        <f>IF(OR($NC50=0,$MF50=0),0,$NC50+3*IF(AND($MY50&lt;&gt;"",OR($MY50=INDEX($EF$2:$EF$13,$MB50),$MY50=INDEX($EG$2:$EG$13,$MB50))),1,0))</f>
        <v/>
      </c>
      <c r="NI50" s="152">
        <f>IF(OR($ND50=0,$MF50=0),0,$ND50+3*IF(AND($MZ50&lt;&gt;"",OR($MZ50=INDEX($EF$2:$EF$13,$MB50),$MZ50=INDEX($EG$2:$EG$13,$MB50))),1,0))</f>
        <v/>
      </c>
      <c r="NJ50" s="152">
        <f>IF(OR($NE50=0,$MF50=0),0,$NE50+3*IF(AND($NA50&lt;&gt;"",OR($NA50=INDEX($EF$2:$EF$13,$MB50),$NA50=INDEX($EG$2:$EG$13,$MB50))),1,0))</f>
        <v/>
      </c>
      <c r="NK50" s="152">
        <f>IF($MW50=0,0,IF(INDEX($W$2:$W$11,$MW50)="",0,IF(COUNTIF(INDEX($EF$2:$EJ$13,$MB50,0),INDEX($W$2:$W$11,$MW50))=0,1,0)))</f>
        <v/>
      </c>
      <c r="NL50" s="152">
        <f>IF(OR($NB50=0,$MX50=""),0,IF(COUNTIF(INDEX($EF$2:$EJ$13,$MB50,0),$MX50)=0,1,0))</f>
        <v/>
      </c>
      <c r="NM50" s="152">
        <f>IF(OR($NC50=0,$MY50=""),0,IF(COUNTIF(INDEX($EF$2:$EJ$13,$MB50,0),$MY50)=0,1,0))</f>
        <v/>
      </c>
      <c r="NN50" s="152">
        <f>IF(OR($ND50=0,$MZ50=""),0,IF(COUNTIF(INDEX($EF$2:$EJ$13,$MB50,0),$MZ50)=0,1,0))</f>
        <v/>
      </c>
      <c r="NO50" s="152">
        <f>IF(OR($NE50=0,$NA50=""),0,IF(COUNTIF(INDEX($EF$2:$EJ$13,$MB50,0),$NA50)=0,1,0))</f>
        <v/>
      </c>
      <c r="NP50" s="152">
        <f>IFERROR(VLOOKUP($MK50,$AV$2:$BA$84,4,FALSE),0)+IFERROR(VLOOKUP($ML50,$AV$2:$BA$84,4,FALSE),0)+IFERROR(VLOOKUP($MM50,$AV$2:$BA$84,4,FALSE),0)+IFERROR(VLOOKUP($MN50,$AV$2:$BA$84,4,FALSE),0)</f>
        <v/>
      </c>
      <c r="NQ50" s="152">
        <f>IFERROR(VLOOKUP($MK50,$AV$2:$BA$84,6,FALSE),0)+IFERROR(VLOOKUP($ML50,$AV$2:$BA$84,6,FALSE),0)+IFERROR(VLOOKUP($MM50,$AV$2:$BA$84,6,FALSE),0)+IFERROR(VLOOKUP($MN50,$AV$2:$BA$84,6,FALSE),0)</f>
        <v/>
      </c>
      <c r="NR50" s="152">
        <f>TEXTJOIN(", ",TRUE,IF(IFERROR(VLOOKUP($MK50,$AV$2:$BA$84,5,FALSE),0)=1,$MK50,""),IF(IFERROR(VLOOKUP($ML50,$AV$2:$BA$84,5,FALSE),0)=1,$ML50,""),IF(IFERROR(VLOOKUP($MM50,$AV$2:$BA$84,5,FALSE),0)=1,$MM50,""),IF(IFERROR(VLOOKUP($MN50,$AV$2:$BA$84,5,FALSE),0)=1,$MN50,""))</f>
        <v/>
      </c>
      <c r="NS50" s="152">
        <f>IF($MW50=0,0,INDEX($Y$2:$Y$11,$MW50))</f>
        <v/>
      </c>
      <c r="NT50" s="152">
        <f>IF($MW50=0,0,INDEX($Z$2:$Z$11,$MW50))</f>
        <v/>
      </c>
      <c r="NU50" s="152">
        <f>IF($MW50=0,0,INDEX($AB$2:$AB$11,$MW50))</f>
        <v/>
      </c>
      <c r="NV50" s="152">
        <f>IFERROR(VLOOKUP($MO50,$BC$2:$BG$24,3,FALSE),0)</f>
        <v/>
      </c>
      <c r="NW50" s="152">
        <f>IFERROR(VLOOKUP($MP50,$BC$2:$BG$24,3,FALSE),0)</f>
        <v/>
      </c>
      <c r="NX50" s="152">
        <f>IFERROR(VLOOKUP($MO50,$BC$2:$BG$24,2,FALSE),"")</f>
        <v/>
      </c>
      <c r="NY50" s="152">
        <f>IFERROR(VLOOKUP($MP50,$BC$2:$BG$24,2,FALSE),"")</f>
        <v/>
      </c>
      <c r="NZ50" s="152">
        <f>COUNTIF($NF50:$NJ50,1)</f>
        <v/>
      </c>
      <c r="OA50" s="152">
        <f>COUNTIF($NF50:$NJ50,2)</f>
        <v/>
      </c>
      <c r="OB50" s="152">
        <f>COUNTIF($NF50:$NJ50,3)</f>
        <v/>
      </c>
      <c r="OC50" s="152">
        <f>COUNTIF($NF50:$NJ50,4)</f>
        <v/>
      </c>
      <c r="OD50" s="152">
        <f>COUNTIF($NF50:$NJ50,5)</f>
        <v/>
      </c>
      <c r="OE50" s="152">
        <f>COUNTIF($NF50:$NJ50,6)</f>
        <v/>
      </c>
      <c r="OF50" s="152">
        <f>COUNTIF($NV50:$NW50,1)</f>
        <v/>
      </c>
      <c r="OG50" s="152">
        <f>COUNTIF($NV50:$NW50,2)+$NS50</f>
        <v/>
      </c>
      <c r="OH50" s="152">
        <f>COUNTIF($MK50:$MN50,"?*")</f>
        <v/>
      </c>
      <c r="OI50" s="152">
        <f>COUNTIF($MO50:$MP50,"?*")+$NS50</f>
        <v/>
      </c>
      <c r="OJ50" s="152">
        <f>IF($MF50=0,0,SUMPRODUCT($NZ50:$OE50,INDEX($I$2:$N$8,MAX(1,$MF50),0)))</f>
        <v/>
      </c>
      <c r="OK50" s="152">
        <f>IF($MF50=0,0,$OF50*CEILING($MF50/2,1)+$OG50*$MF50)</f>
        <v/>
      </c>
      <c r="OL50" s="152">
        <f>MIN(2*$MF50,$OK50)</f>
        <v/>
      </c>
      <c r="OM50" s="152">
        <f>MIN($OL50,$OJ50)</f>
        <v/>
      </c>
      <c r="ON50" s="152">
        <f>$OL50-$OM50</f>
        <v/>
      </c>
      <c r="OO50" s="152">
        <f>IF($MF50=0,0,INDEX($P$2:$P$8,MAX(1,$MF50)))</f>
        <v/>
      </c>
      <c r="OP50" s="152">
        <f>$OO50-$OJ50+$OM50</f>
        <v/>
      </c>
      <c r="OQ50" s="152">
        <f>IF($MF50=0,MAX(0,$MT50-IF($OH50&gt;0,1,0)),MAX(0,$OP50))</f>
        <v/>
      </c>
      <c r="OR50" s="152">
        <f>IF($MF50=0,0,(IF(COUNTIF($MK50:$MN50,"Salto")&gt;0,1,0)+IF(COUNTIF($MK50:$MN50,"Queima")&gt;0,1,0)+IF(COUNTIF($MK50:$MN50,"Estilhaço")&gt;0,1,0))*FLOOR($OQ50/2,1))</f>
        <v/>
      </c>
      <c r="OS50" s="152">
        <f>MAX(0,2-SUMPRODUCT($NZ50:$OE50,$I$2:$N$2)+MIN(2,$OF50*1+$OG50*1,SUMPRODUCT($NZ50:$OE50,$I$2:$N$2)))</f>
        <v/>
      </c>
      <c r="OT50" s="152">
        <f>MAX(0,4-SUMPRODUCT($NZ50:$OE50,$I$3:$N$3)+MIN(4,$OF50*1+$OG50*2,SUMPRODUCT($NZ50:$OE50,$I$3:$N$3)))</f>
        <v/>
      </c>
      <c r="OU50" s="152">
        <f>MAX(0,6-SUMPRODUCT($NZ50:$OE50,$I$4:$N$4)+MIN(6,$OF50*2+$OG50*3,SUMPRODUCT($NZ50:$OE50,$I$4:$N$4)))</f>
        <v/>
      </c>
      <c r="OV50" s="152">
        <f>MAX(0,9-SUMPRODUCT($NZ50:$OE50,$I$5:$N$5)+MIN(8,$OF50*2+$OG50*4,SUMPRODUCT($NZ50:$OE50,$I$5:$N$5)))</f>
        <v/>
      </c>
      <c r="OW50" s="152">
        <f>MAX(0,11-SUMPRODUCT($NZ50:$OE50,$I$6:$N$6)+MIN(10,$OF50*3+$OG50*5,SUMPRODUCT($NZ50:$OE50,$I$6:$N$6)))</f>
        <v/>
      </c>
      <c r="OX50" s="152">
        <f>MAX(0,13-SUMPRODUCT($NZ50:$OE50,$I$7:$N$7)+MIN(12,$OF50*3+$OG50*6,SUMPRODUCT($NZ50:$OE50,$I$7:$N$7)))</f>
        <v/>
      </c>
      <c r="OY50" s="152">
        <f>MAX(0,16-SUMPRODUCT($NZ50:$OE50,$I$8:$N$8)+MIN(14,$OF50*4+$OG50*7,SUMPRODUCT($NZ50:$OE50,$I$8:$N$8)))</f>
        <v/>
      </c>
      <c r="OZ50" s="152">
        <f>IF($NT50=2,3*$OS50&amp;" de vida temp.",IF($NT50=3,"sem dano",IF($OS50=0,IF($NT50=1,"sem cura","sem dano"),IF($NT50=1,"cura ","")&amp;$OS50&amp;"d8")))</f>
        <v/>
      </c>
      <c r="PA50" s="152">
        <f>IF($NT50=2,3*$OT50&amp;" de vida temp.",IF($NT50=3,"sem dano",IF($OT50=0,IF($NT50=1,"sem cura","sem dano"),IF($NT50=1,"cura ","")&amp;$OT50&amp;"d8")))</f>
        <v/>
      </c>
      <c r="PB50" s="152">
        <f>IF($NT50=2,3*$OU50&amp;" de vida temp.",IF($NT50=3,"sem dano",IF($OU50=0,IF($NT50=1,"sem cura","sem dano"),IF($NT50=1,"cura ","")&amp;$OU50&amp;"d8")))</f>
        <v/>
      </c>
      <c r="PC50" s="152">
        <f>IF($NT50=2,3*$OV50&amp;" de vida temp.",IF($NT50=3,"sem dano",IF($OV50=0,IF($NT50=1,"sem cura","sem dano"),IF($NT50=1,"cura ","")&amp;$OV50&amp;"d8")))</f>
        <v/>
      </c>
      <c r="PD50" s="152">
        <f>IF($NT50=2,3*$OW50&amp;" de vida temp.",IF($NT50=3,"sem dano",IF($OW50=0,IF($NT50=1,"sem cura","sem dano"),IF($NT50=1,"cura ","")&amp;$OW50&amp;"d8")))</f>
        <v/>
      </c>
      <c r="PE50" s="152">
        <f>IF($NT50=2,3*$OX50&amp;" de vida temp.",IF($NT50=3,"sem dano",IF($OX50=0,IF($NT50=1,"sem cura","sem dano"),IF($NT50=1,"cura ","")&amp;$OX50&amp;"d8")))</f>
        <v/>
      </c>
      <c r="PF50" s="152">
        <f>IF($NT50=2,3*$OY50&amp;" de vida temp.",IF($NT50=3,"sem dano",IF($OY50=0,IF($NT50=1,"sem cura","sem dano"),IF($NT50=1,"cura ","")&amp;$OY50&amp;"d8")))</f>
        <v/>
      </c>
      <c r="PG50" s="152">
        <f>IF($MQ50=0,"",TEXTJOIN(" · ",TRUE,IF($MD50&gt;$MR50,"Este lugar abre no nível "&amp;$MD50,""),IF($MF50&gt;$MS50,"Classe "&amp;$MF50&amp;": o nível "&amp;$MR50&amp;" libera até a "&amp;$MS50,""),IF($NK50=1,"A Forma "&amp;$MH50&amp;" pede "&amp;INDEX($W$2:$W$11,$MW50)&amp;" aberta",""),IF(AND($MF50=0,$MW50&gt;0,IF($MW50=0,0,INDEX($AF$2:$AF$11,$MW50))=0),$MH50&amp;" não existe na Classe 0",""),IF($NL50=1,"Família Fechada: "&amp;$MK50,""),IF($NM50=1,"Família Fechada: "&amp;$ML50,""),IF($NN50=1,"Família Fechada: "&amp;$MM50,""),IF($NO50=1,"Família Fechada: "&amp;$MN50,""),IF(AND($MF50&gt;0,$OH50&gt;INDEX($O$2:$O$8,MAX(1,$MF50))),$OH50&amp;" Melhorias: a Classe "&amp;$MF50&amp;" aceita "&amp;INDEX($O$2:$O$8,MAX(1,$MF50)),""),IF(AND($MF50=0,$OH50&gt;1),"A básica aceita uma Melhoria",""),IF(AND($MF50=0,COUNTIF($NB50:$NE50,"&gt;1")&gt;0),"A básica só aceita Melhoria Leve",""),IF(AND($MF50&gt;0,$OI50&gt;2),$OI50&amp;" Restrições"&amp;IF($NS50=1,", contando a que a Forma "&amp;$MH50&amp;" já traz","")&amp;": o limite é 2",""),IF(AND($MF50=0,COUNTIF($MO50:$MP50,"?*")&gt;1),"A básica aceita uma Restrição Leve",""),IF(AND($MF50=0,COUNTIF($NV50:$NW50,2)&gt;0),"A básica só aceita Restrição Leve",""),IF(AND($MF50&gt;0,$OP50&lt;0),"Orçamento estourado: faltam "&amp;(-$OP50)&amp;IF($OP50&lt;-1," pontos"," ponto"),""),IF(IFERROR(VLOOKUP($MO50,$BC$2:$BG$24,4,FALSE),0)+IFERROR(VLOOKUP($MP50,$BC$2:$BG$24,4,FALSE),0)&gt;1,$NX50&amp;" e "&amp;$NY50&amp;" são as duas de frequência",""),IF(AND((COUNTIF($MK50:$MN50,"Rápido")+COUNTIF($NX50:$NY50,"Rápido"))&gt;0,(COUNTIF($MK50:$MN50,"Atrasar")+COUNTIF($NX50:$NY50,"Atrasar"))&gt;0),"Rápido não entra com Atrasar",""),IF(AND((COUNTIF($MK50:$MN50,"Reação")+COUNTIF($NX50:$NY50,"Reação"))&gt;0,(COUNTIF($MK50:$MN50,"Rápido")+COUNTIF($NX50:$NY50,"Rápido"))&gt;0),"Reação não entra com Rápido",""),IF(AND((COUNTIF($MK50:$MN50,"Reação")+COUNTIF($NX50:$NY50,"Reação"))&gt;0,(COUNTIF($MK50:$MN50,"Armado")+COUNTIF($NX50:$NY50,"Armado"))&gt;0),"Reação não entra com Armado",""),IF(AND((COUNTIF($MK50:$MN50,"Reação")+COUNTIF($NX50:$NY50,"Reação"))&gt;0,(COUNTIF($MK50:$MN50,"Atrasar")+COUNTIF($NX50:$NY50,"Atrasar"))&gt;0),"Reação não entra com Atrasar",""),IF(AND((COUNTIF($MK50:$MN50,"Reação")+COUNTIF($NX50:$NY50,"Reação"))&gt;0,(COUNTIF($MK50:$MN50,"Parado")+COUNTIF($NX50:$NY50,"Parado"))&gt;0),"Reação não entra com Parado",""),IF(AND((COUNTIF($MK50:$MN50,"Atrasar")+COUNTIF($NX50:$NY50,"Atrasar"))&gt;0,(COUNTIF($MK50:$MN50,"Parado")+COUNTIF($NX50:$NY50,"Parado"))&gt;0),"Atrasar não entra com Parado",""),IF(AND((COUNTIF($MK50:$MN50,"Armado")+COUNTIF($NX50:$NY50,"Armado"))&gt;0,(COUNTIF($MK50:$MN50,"Carregar")+COUNTIF($NX50:$NY50,"Carregar"))&gt;0),"Armado não entra com Carregar",""),IF(AND(COUNTIF($NX50:$NY50,"Corpo a Corpo")&gt;0,$NS50=0,OR($MH50="Cone",$MH50="Linha")),"Corpo a Corpo não entra em "&amp;$MH50,""),IF(AND(COUNTIF($NX50:$NY50,"Corpo a Corpo")&gt;0,$NS50=1),"A Forma "&amp;$MH50&amp;" já traz o Corpo a Corpo",""),IF(AND(COUNTIF($NX50:$NY50,"Tudo ou Nada")&gt;0,$NU50=0),"Tudo ou Nada só entra em habilidade de Teste de Resistência",""),IF(AND(COUNTIF($MK50:$MN50,"Inescapável")&gt;0,OR($OH50&gt;1,$OI50&gt;0)),"Inescapável não aceita outra peça",""),IF(AND($MF50&gt;0,$OQ50*IF(COUNTIF($MK50:$MN50,"Remate")&gt;0,1.25,1)+$OR50&gt;4*$MF50),($OQ50*IF(COUNTIF($MK50:$MN50,"Remate")&gt;0,1.25,1)+$OR50)&amp;" dados somando repetições"&amp;IF(COUNTIF($MK50:$MN50,"Remate")&gt;0," e o Remate","")&amp;": o teto da Classe "&amp;$MF50&amp;" é "&amp;4*$MF50,"")))</f>
        <v/>
      </c>
      <c r="PH50" s="152">
        <f>IF($PG50="",0,(LEN($PG50)-LEN(SUBSTITUTE($PG50," · ","")))/3+1)</f>
        <v/>
      </c>
      <c r="PI50" s="152">
        <f>IF($MQ50=0,"",TEXTJOIN(" · ",TRUE,IF($OK50&gt;2*$MF50,"A devolução parou no teto de "&amp;2*$MF50,""),IF($ON50&gt;0,"Devolução perdida: "&amp;$ON50&amp;IF($ON50&gt;1," pontos"," ponto")&amp;" sem peça para pagar",""),IF(AND($NP50&gt;0,AND($MF50&gt;0,$NT50=0),$OQ50=0),"Controle sem dano: uma rodada a mais e CD +2",""),IF(AND($NP50&gt;0,AND($MF50&gt;0,$NT50=0),$OQ50&gt;0,$OQ50&lt;=$MF50),"Controle com saldo até a Classe: uma rodada a mais",""),IF(AND($MF50&gt;0,$NR50&lt;&gt;""),"Efeito de "&amp;$NR50&amp;" pela Classe "&amp;MAX(1,$MF50-1),"")))</f>
        <v/>
      </c>
      <c r="PJ50" s="152">
        <f>IF($PI50="",0,(LEN($PI50)-LEN(SUBSTITUTE($PI50," · ","")))/3+1)</f>
        <v/>
      </c>
      <c r="PK50" s="152">
        <f>IF($MQ50=0,IF($OH50+COUNTIF($MO50:$MP50,"?*")&gt;0,"Dê um nome",""),IF($PH50&gt;0,"⚠ "&amp;$PH50&amp;IF($PH50&gt;1," erros"," erro"),IF($PJ50&gt;0,"! "&amp;$PJ50&amp;IF($PJ50&gt;1," avisos"," aviso"),"Na regra")))</f>
        <v/>
      </c>
      <c r="PL50" s="152">
        <f>IF($MQ50=0,"",IF($PH50+$PJ50=0,"Dentro das regras que a ficha confere",$PG50&amp;IF(AND($PH50&gt;0,$PJ50&gt;0)," · ","")&amp;$PI50))</f>
        <v/>
      </c>
      <c r="PM50" s="152">
        <f>IF($MD50&gt;$MR50,$ME50&amp;" · ABRE NO NÍVEL "&amp;$MD50,$ME50)</f>
        <v/>
      </c>
      <c r="PN50" s="152">
        <f>IF($MQ50=0,"",IF($MF50=0,"Sem PE",3*$MF50&amp;" PE"))</f>
        <v/>
      </c>
      <c r="PO50" s="152">
        <f>IF($MQ50=0,"",IF($MF50=0,"A atuação básica dela",IF(COUNTIF($NX50:$NY50,"Atrasar")&gt;0,"Sua Ação Completa",IF(COUNTIF($MK50:$MN50,"Rápido")&gt;0,"Sua Bônus",IF(COUNTIF($MK50:$MN50,"Reação")&gt;0,"Sua Reação","Sua Padrão")))&amp;" + a básica dela"&amp;IF(COUNTIF($MK50:$MN50,"Reação")&gt;0," e a coletiva","")&amp;IF(COUNTIF($NX50:$NY50,"Carregar")&gt;0," · em dois turnos","")))</f>
        <v/>
      </c>
      <c r="PP50" s="152">
        <f>IF($MJ50&lt;&gt;"",$MJ50,IF($MW50=0,"",INDEX($AA$2:$AA$11,$MW50)))</f>
        <v/>
      </c>
      <c r="PQ50" s="152">
        <f>IF(OR($MQ50=0,$MW50=0),"",IF(COUNTIF($MK50:$MN50,"Inescapável")&gt;0,"Automático",IF($PP50="Ataque",IF($MU50="","Ataque","Ataque "&amp;IF(($MU50+2*IF(COUNTIF($MK50:$MN50,"Precisão")&gt;0,1,0))&gt;=0,"+","−")&amp;ABS(($MU50+2*IF(COUNTIF($MK50:$MN50,"Precisão")&gt;0,1,0))))&amp;IF($NQ50&gt;0," · TR"&amp;IF($MV50="",""," CD "&amp;$MV50),""),IF(LEFT($PP50,2)="TR",$PP50&amp;IF($MV50="",""," · CD "&amp;$MV50)&amp;IF(COUNTIF($MK50:$MN50,"Certeiro")&gt;0," · metade",""),"Sem rolagem"))))</f>
        <v/>
      </c>
      <c r="PR50" s="152">
        <f>IF(OR($MQ50=0,$MW50=0),"",IF($MF50=0,IF(OR($NT50&gt;=1,$OQ50=0),"Sem dano",$OQ50&amp;"d6"&amp;IF($MI50="",""," "&amp;$MI50)),IF(OR($NT50&gt;=1,$OQ50=0),UPPER(LEFT(INDEX($OZ50:$PF50,1,MAX(1,$MF50)),1))&amp;MID(INDEX($OZ50:$PF50,1,MAX(1,$MF50)),2,99),UPPER(LEFT(INDEX($OZ50:$PF50,1,MAX(1,$MF50)),1))&amp;MID(INDEX($OZ50:$PF50,1,MAX(1,$MF50)),2,99)&amp;IF($MI50="",""," "&amp;$MI50)&amp;IF($OR50&gt;0," · +"&amp;$OR50&amp;"d8",""))))</f>
        <v/>
      </c>
      <c r="PS50" s="152">
        <f>COUNTIF($MK50:$MN50,"Longe")+3*COUNTIF($MK50:$MN50,"Muito Longe")</f>
        <v/>
      </c>
      <c r="PT50" s="152">
        <f>COUNTIF($MK50:$MN50,"Maior")+3*COUNTIF($MK50:$MN50,"Muito Maior")</f>
        <v/>
      </c>
      <c r="PU50" s="152">
        <f>IF($MW50=0,0,CHOOSE(1+INDEX($AC$2:$AC$11,$MW50),0,$PS50,$PT50,$PS50+$PT50))</f>
        <v/>
      </c>
      <c r="PV50" s="152">
        <f>IF($MW50=0,0,CHOOSE(1+INDEX($AD$2:$AD$11,$MW50),0,$PS50,$PT50,$PS50+$PT50))</f>
        <v/>
      </c>
      <c r="PW50" s="152">
        <f>IF(OR($MQ50=0,$MW50=0),"",INDEX($AI$2:$AN$41,($MW50-1)*4+IF($MF50=0,1,IF($MF50&lt;=5,2,IF($MF50=6,3,4))),1+MIN(5,$PU50))&amp;INDEX($AO$2:$AT$41,($MW50-1)*4+IF($MF50=0,1,IF($MF50&lt;=5,2,IF($MF50=6,3,4))),1+MIN(5,$PV50))&amp;IF(INDEX($AE$2:$AE$11,$MW50)=1,IF(COUNTIF($MK50:$MN50,"Mais Um")&gt;0," · +"&amp;COUNTIF($MK50:$MN50,"Mais Um")&amp;IF(COUNTIF($MK50:$MN50,"Mais Um")&gt;1," alvos"," alvo"),"")&amp;IF(COUNTIF($MK50:$MN50,"Rajada")&gt;0,IF($MF50=0," · 1 tiro"," · "&amp;(MAX(1,$MF50-1)+1)&amp;" tiros"),""),""))</f>
        <v/>
      </c>
      <c r="PX50" s="152">
        <f>IF($MQ50=0,"",IF($MF50=0,$MT50&amp;"d6"&amp;IF($OH50&gt;0," − 1 = "&amp;$OQ50&amp;"d6"," da básica do nível "&amp;$MR50),$OO50&amp;" − "&amp;$OJ50&amp;" + "&amp;$OM50&amp;" = "&amp;$OP50&amp;" · teto "&amp;4*$MF50&amp;"d8"&amp;IF($NS50=1," · a Forma devolve "&amp;$MF50,"")&amp;IF($ON50&gt;0," · perde "&amp;$ON50,"")))</f>
        <v/>
      </c>
      <c r="PY50" s="152">
        <f>IF($MQ50=0,"",IF($MF50=0,"A básica não amplia: os dados dela sobem com o nível",IF($MF50&gt;=$MS50,"Já está na maior Classe que o nível liberou",TEXTJOIN(" · ",TRUE,IF(AND(2&gt;$MF50,2&lt;=$MS50),"2 → "&amp;$PA50&amp;", 6 PE",""),IF(AND(3&gt;$MF50,3&lt;=$MS50),"3 → "&amp;$PB50&amp;", 9 PE",""),IF(AND(4&gt;$MF50,4&lt;=$MS50),"4 → "&amp;$PC50&amp;", 12 PE",""),IF(AND(5&gt;$MF50,5&lt;=$MS50),"5 → "&amp;$PD50&amp;", 15 PE",""),IF(AND(6&gt;$MF50,6&lt;=$MS50),"6 → "&amp;$PE50&amp;", 18 PE",""),IF(AND(7&gt;$MF50,7&lt;=$MS50),"7 → "&amp;$PF50&amp;", 21 PE","")))))</f>
        <v/>
      </c>
      <c r="PZ50" s="152">
        <f>IF(OR($MQ50=0,$NB50=0),"",IF($MF50=0,"−1 dado","−"&amp;INDEX($I$2:$N$8,MAX(1,$MF50),MAX(1,$NG50))&amp;" · "&amp;CHOOSE(MAX(1,$NG50),"Leve","Média","Pesada","Leve · Livre","Média · Livre","Pesada · Livre")))</f>
        <v/>
      </c>
      <c r="QA50" s="152">
        <f>IF(OR($MQ50=0,$NC50=0),"",IF($MF50=0,"−1 dado","−"&amp;INDEX($I$2:$N$8,MAX(1,$MF50),MAX(1,$NH50))&amp;" · "&amp;CHOOSE(MAX(1,$NH50),"Leve","Média","Pesada","Leve · Livre","Média · Livre","Pesada · Livre")))</f>
        <v/>
      </c>
      <c r="QB50" s="152">
        <f>IF(OR($MQ50=0,$ND50=0),"",IF($MF50=0,"−1 dado","−"&amp;INDEX($I$2:$N$8,MAX(1,$MF50),MAX(1,$NI50))&amp;" · "&amp;CHOOSE(MAX(1,$NI50),"Leve","Média","Pesada","Leve · Livre","Média · Livre","Pesada · Livre")))</f>
        <v/>
      </c>
      <c r="QC50" s="152">
        <f>IF(OR($MQ50=0,$NE50=0),"",IF($MF50=0,"−1 dado","−"&amp;INDEX($I$2:$N$8,MAX(1,$MF50),MAX(1,$NJ50))&amp;" · "&amp;CHOOSE(MAX(1,$NJ50),"Leve","Média","Pesada","Leve · Livre","Média · Livre","Pesada · Livre")))</f>
        <v/>
      </c>
      <c r="QD50" s="152">
        <f>IF(OR($MQ50=0,$MO50=""),"",IF($MF50=0,"não devolve","+"&amp;IF($NV50=1,CEILING($MF50/2,1),$MF50)))</f>
        <v/>
      </c>
      <c r="QE50" s="152">
        <f>IF(OR($MQ50=0,$MP50=""),"",IF($MF50=0,"não devolve","+"&amp;IF($NW50=1,CEILING($MF50/2,1),$MF50)))</f>
        <v/>
      </c>
    </row>
    <row r="51">
      <c r="AV51" s="150" t="inlineStr">
        <is>
          <t>Enfraquece</t>
        </is>
      </c>
      <c r="AW51" s="150" t="inlineStr">
        <is>
          <t>Auxiliares</t>
        </is>
      </c>
      <c r="AX51" s="152" t="n">
        <v>2</v>
      </c>
      <c r="AY51" s="152" t="n">
        <v>0</v>
      </c>
      <c r="AZ51" s="152" t="n">
        <v>0</v>
      </c>
      <c r="BA51" s="152" t="n">
        <v>0</v>
      </c>
      <c r="JG51" s="152">
        <f>IF(OR($AW51="",COUNTIF($EF$2:$EJ$2,$AW51)&gt;0),$AV51,"")</f>
        <v/>
      </c>
      <c r="JH51" s="152">
        <f>IF(AND($AX51=1,OR($AW51="",COUNTIF($EF$2:$EJ$2,$AW51)&gt;0)),$AV51,"")</f>
        <v/>
      </c>
      <c r="JM51" s="152">
        <f>IF(OR($AW51="",COUNTIF($EF$3:$EJ$3,$AW51)&gt;0),$AV51,"")</f>
        <v/>
      </c>
      <c r="JN51" s="152">
        <f>IF(AND($AX51=1,OR($AW51="",COUNTIF($EF$3:$EJ$3,$AW51)&gt;0)),$AV51,"")</f>
        <v/>
      </c>
      <c r="JS51" s="152">
        <f>IF(OR($AW51="",COUNTIF($EF$4:$EJ$4,$AW51)&gt;0),$AV51,"")</f>
        <v/>
      </c>
      <c r="JT51" s="152">
        <f>IF(AND($AX51=1,OR($AW51="",COUNTIF($EF$4:$EJ$4,$AW51)&gt;0)),$AV51,"")</f>
        <v/>
      </c>
      <c r="JY51" s="152">
        <f>IF(OR($AW51="",COUNTIF($EF$5:$EJ$5,$AW51)&gt;0),$AV51,"")</f>
        <v/>
      </c>
      <c r="JZ51" s="152">
        <f>IF(AND($AX51=1,OR($AW51="",COUNTIF($EF$5:$EJ$5,$AW51)&gt;0)),$AV51,"")</f>
        <v/>
      </c>
      <c r="KE51" s="152">
        <f>IF(OR($AW51="",COUNTIF($EF$6:$EJ$6,$AW51)&gt;0),$AV51,"")</f>
        <v/>
      </c>
      <c r="KF51" s="152">
        <f>IF(AND($AX51=1,OR($AW51="",COUNTIF($EF$6:$EJ$6,$AW51)&gt;0)),$AV51,"")</f>
        <v/>
      </c>
      <c r="KK51" s="152">
        <f>IF(OR($AW51="",COUNTIF($EF$7:$EJ$7,$AW51)&gt;0),$AV51,"")</f>
        <v/>
      </c>
      <c r="KL51" s="152">
        <f>IF(AND($AX51=1,OR($AW51="",COUNTIF($EF$7:$EJ$7,$AW51)&gt;0)),$AV51,"")</f>
        <v/>
      </c>
      <c r="KQ51" s="152">
        <f>IF(OR($AW51="",COUNTIF($EF$8:$EJ$8,$AW51)&gt;0),$AV51,"")</f>
        <v/>
      </c>
      <c r="KR51" s="152">
        <f>IF(AND($AX51=1,OR($AW51="",COUNTIF($EF$8:$EJ$8,$AW51)&gt;0)),$AV51,"")</f>
        <v/>
      </c>
      <c r="KW51" s="152">
        <f>IF(OR($AW51="",COUNTIF($EF$9:$EJ$9,$AW51)&gt;0),$AV51,"")</f>
        <v/>
      </c>
      <c r="KX51" s="152">
        <f>IF(AND($AX51=1,OR($AW51="",COUNTIF($EF$9:$EJ$9,$AW51)&gt;0)),$AV51,"")</f>
        <v/>
      </c>
      <c r="LC51" s="152">
        <f>IF(OR($AW51="",COUNTIF($EF$10:$EJ$10,$AW51)&gt;0),$AV51,"")</f>
        <v/>
      </c>
      <c r="LD51" s="152">
        <f>IF(AND($AX51=1,OR($AW51="",COUNTIF($EF$10:$EJ$10,$AW51)&gt;0)),$AV51,"")</f>
        <v/>
      </c>
      <c r="LI51" s="152">
        <f>IF(OR($AW51="",COUNTIF($EF$11:$EJ$11,$AW51)&gt;0),$AV51,"")</f>
        <v/>
      </c>
      <c r="LJ51" s="152">
        <f>IF(AND($AX51=1,OR($AW51="",COUNTIF($EF$11:$EJ$11,$AW51)&gt;0)),$AV51,"")</f>
        <v/>
      </c>
      <c r="LO51" s="152">
        <f>IF(OR($AW51="",COUNTIF($EF$12:$EJ$12,$AW51)&gt;0),$AV51,"")</f>
        <v/>
      </c>
      <c r="LP51" s="152">
        <f>IF(AND($AX51=1,OR($AW51="",COUNTIF($EF$12:$EJ$12,$AW51)&gt;0)),$AV51,"")</f>
        <v/>
      </c>
      <c r="LU51" s="152">
        <f>IF(OR($AW51="",COUNTIF($EF$13:$EJ$13,$AW51)&gt;0),$AV51,"")</f>
        <v/>
      </c>
      <c r="LV51" s="152">
        <f>IF(AND($AX51=1,OR($AW51="",COUNTIF($EF$13:$EJ$13,$AW51)&gt;0)),$AV51,"")</f>
        <v/>
      </c>
      <c r="MA51" s="150" t="inlineStr">
        <is>
          <t>Ficha 4 · Escolha da trilha 1</t>
        </is>
      </c>
      <c r="MB51" s="152" t="n">
        <v>4</v>
      </c>
      <c r="MC51" s="152" t="n">
        <v>2</v>
      </c>
      <c r="MD51" s="152" t="n">
        <v>0</v>
      </c>
      <c r="ME51" s="150" t="inlineStr">
        <is>
          <t>ESCOLHA DA TRILHA 1</t>
        </is>
      </c>
      <c r="MF51" s="152">
        <f>MAX(0,MIN(7,N('INVOCAÇÕES'!$I$754)))</f>
        <v/>
      </c>
      <c r="MG51" s="152">
        <f>'INVOCAÇÕES'!$J$754&amp;""</f>
        <v/>
      </c>
      <c r="MH51" s="152">
        <f>'INVOCAÇÕES'!$I$759&amp;""</f>
        <v/>
      </c>
      <c r="MI51" s="152">
        <f>'INVOCAÇÕES'!$I$760&amp;""</f>
        <v/>
      </c>
      <c r="MJ51" s="152">
        <f>'INVOCAÇÕES'!$K$760&amp;""</f>
        <v/>
      </c>
      <c r="MK51" s="152">
        <f>'INVOCAÇÕES'!$J$763&amp;""</f>
        <v/>
      </c>
      <c r="ML51" s="152">
        <f>'INVOCAÇÕES'!$J$764&amp;""</f>
        <v/>
      </c>
      <c r="MM51" s="152">
        <f>'INVOCAÇÕES'!$J$765&amp;""</f>
        <v/>
      </c>
      <c r="MN51" s="152">
        <f>'INVOCAÇÕES'!$J$766&amp;""</f>
        <v/>
      </c>
      <c r="MO51" s="152">
        <f>'INVOCAÇÕES'!$J$767&amp;""</f>
        <v/>
      </c>
      <c r="MP51" s="152">
        <f>'INVOCAÇÕES'!$J$768&amp;""</f>
        <v/>
      </c>
      <c r="MQ51" s="152">
        <f>IF($MG51&lt;&gt;"",1,0)</f>
        <v/>
      </c>
      <c r="MR51" s="152">
        <f>INDEX($FI$2:$FI$13,$MB51)</f>
        <v/>
      </c>
      <c r="MS51" s="152">
        <f>INDEX($FJ$2:$FJ$13,$MB51)</f>
        <v/>
      </c>
      <c r="MT51" s="152">
        <f>INDEX($FK$2:$FK$13,$MB51)</f>
        <v/>
      </c>
      <c r="MU51" s="152">
        <f>INDEX($FV$2:$FV$13,$MB51)</f>
        <v/>
      </c>
      <c r="MV51" s="152">
        <f>INDEX($FW$2:$FW$13,$MB51)</f>
        <v/>
      </c>
      <c r="MW51" s="152">
        <f>IFERROR(MATCH($MH51,$V$2:$V$11,0),0)</f>
        <v/>
      </c>
      <c r="MX51" s="152">
        <f>IFERROR(VLOOKUP($MK51,$AV$2:$BA$84,2,FALSE),"")</f>
        <v/>
      </c>
      <c r="MY51" s="152">
        <f>IFERROR(VLOOKUP($ML51,$AV$2:$BA$84,2,FALSE),"")</f>
        <v/>
      </c>
      <c r="MZ51" s="152">
        <f>IFERROR(VLOOKUP($MM51,$AV$2:$BA$84,2,FALSE),"")</f>
        <v/>
      </c>
      <c r="NA51" s="152">
        <f>IFERROR(VLOOKUP($MN51,$AV$2:$BA$84,2,FALSE),"")</f>
        <v/>
      </c>
      <c r="NB51" s="152">
        <f>IFERROR(VLOOKUP($MK51,$AV$2:$BA$84,3,FALSE),0)</f>
        <v/>
      </c>
      <c r="NC51" s="152">
        <f>IFERROR(VLOOKUP($ML51,$AV$2:$BA$84,3,FALSE),0)</f>
        <v/>
      </c>
      <c r="ND51" s="152">
        <f>IFERROR(VLOOKUP($MM51,$AV$2:$BA$84,3,FALSE),0)</f>
        <v/>
      </c>
      <c r="NE51" s="152">
        <f>IFERROR(VLOOKUP($MN51,$AV$2:$BA$84,3,FALSE),0)</f>
        <v/>
      </c>
      <c r="NF51" s="152">
        <f>IF($MF51=0,0,IF($MW51=0,0,INDEX($X$2:$X$11,$MW51)))</f>
        <v/>
      </c>
      <c r="NG51" s="152">
        <f>IF(OR($NB51=0,$MF51=0),0,$NB51+3*IF(AND($MX51&lt;&gt;"",OR($MX51=INDEX($EF$2:$EF$13,$MB51),$MX51=INDEX($EG$2:$EG$13,$MB51))),1,0))</f>
        <v/>
      </c>
      <c r="NH51" s="152">
        <f>IF(OR($NC51=0,$MF51=0),0,$NC51+3*IF(AND($MY51&lt;&gt;"",OR($MY51=INDEX($EF$2:$EF$13,$MB51),$MY51=INDEX($EG$2:$EG$13,$MB51))),1,0))</f>
        <v/>
      </c>
      <c r="NI51" s="152">
        <f>IF(OR($ND51=0,$MF51=0),0,$ND51+3*IF(AND($MZ51&lt;&gt;"",OR($MZ51=INDEX($EF$2:$EF$13,$MB51),$MZ51=INDEX($EG$2:$EG$13,$MB51))),1,0))</f>
        <v/>
      </c>
      <c r="NJ51" s="152">
        <f>IF(OR($NE51=0,$MF51=0),0,$NE51+3*IF(AND($NA51&lt;&gt;"",OR($NA51=INDEX($EF$2:$EF$13,$MB51),$NA51=INDEX($EG$2:$EG$13,$MB51))),1,0))</f>
        <v/>
      </c>
      <c r="NK51" s="152">
        <f>IF($MW51=0,0,IF(INDEX($W$2:$W$11,$MW51)="",0,IF(COUNTIF(INDEX($EF$2:$EJ$13,$MB51,0),INDEX($W$2:$W$11,$MW51))=0,1,0)))</f>
        <v/>
      </c>
      <c r="NL51" s="152">
        <f>IF(OR($NB51=0,$MX51=""),0,IF(COUNTIF(INDEX($EF$2:$EJ$13,$MB51,0),$MX51)=0,1,0))</f>
        <v/>
      </c>
      <c r="NM51" s="152">
        <f>IF(OR($NC51=0,$MY51=""),0,IF(COUNTIF(INDEX($EF$2:$EJ$13,$MB51,0),$MY51)=0,1,0))</f>
        <v/>
      </c>
      <c r="NN51" s="152">
        <f>IF(OR($ND51=0,$MZ51=""),0,IF(COUNTIF(INDEX($EF$2:$EJ$13,$MB51,0),$MZ51)=0,1,0))</f>
        <v/>
      </c>
      <c r="NO51" s="152">
        <f>IF(OR($NE51=0,$NA51=""),0,IF(COUNTIF(INDEX($EF$2:$EJ$13,$MB51,0),$NA51)=0,1,0))</f>
        <v/>
      </c>
      <c r="NP51" s="152">
        <f>IFERROR(VLOOKUP($MK51,$AV$2:$BA$84,4,FALSE),0)+IFERROR(VLOOKUP($ML51,$AV$2:$BA$84,4,FALSE),0)+IFERROR(VLOOKUP($MM51,$AV$2:$BA$84,4,FALSE),0)+IFERROR(VLOOKUP($MN51,$AV$2:$BA$84,4,FALSE),0)</f>
        <v/>
      </c>
      <c r="NQ51" s="152">
        <f>IFERROR(VLOOKUP($MK51,$AV$2:$BA$84,6,FALSE),0)+IFERROR(VLOOKUP($ML51,$AV$2:$BA$84,6,FALSE),0)+IFERROR(VLOOKUP($MM51,$AV$2:$BA$84,6,FALSE),0)+IFERROR(VLOOKUP($MN51,$AV$2:$BA$84,6,FALSE),0)</f>
        <v/>
      </c>
      <c r="NR51" s="152">
        <f>TEXTJOIN(", ",TRUE,IF(IFERROR(VLOOKUP($MK51,$AV$2:$BA$84,5,FALSE),0)=1,$MK51,""),IF(IFERROR(VLOOKUP($ML51,$AV$2:$BA$84,5,FALSE),0)=1,$ML51,""),IF(IFERROR(VLOOKUP($MM51,$AV$2:$BA$84,5,FALSE),0)=1,$MM51,""),IF(IFERROR(VLOOKUP($MN51,$AV$2:$BA$84,5,FALSE),0)=1,$MN51,""))</f>
        <v/>
      </c>
      <c r="NS51" s="152">
        <f>IF($MW51=0,0,INDEX($Y$2:$Y$11,$MW51))</f>
        <v/>
      </c>
      <c r="NT51" s="152">
        <f>IF($MW51=0,0,INDEX($Z$2:$Z$11,$MW51))</f>
        <v/>
      </c>
      <c r="NU51" s="152">
        <f>IF($MW51=0,0,INDEX($AB$2:$AB$11,$MW51))</f>
        <v/>
      </c>
      <c r="NV51" s="152">
        <f>IFERROR(VLOOKUP($MO51,$BC$2:$BG$24,3,FALSE),0)</f>
        <v/>
      </c>
      <c r="NW51" s="152">
        <f>IFERROR(VLOOKUP($MP51,$BC$2:$BG$24,3,FALSE),0)</f>
        <v/>
      </c>
      <c r="NX51" s="152">
        <f>IFERROR(VLOOKUP($MO51,$BC$2:$BG$24,2,FALSE),"")</f>
        <v/>
      </c>
      <c r="NY51" s="152">
        <f>IFERROR(VLOOKUP($MP51,$BC$2:$BG$24,2,FALSE),"")</f>
        <v/>
      </c>
      <c r="NZ51" s="152">
        <f>COUNTIF($NF51:$NJ51,1)</f>
        <v/>
      </c>
      <c r="OA51" s="152">
        <f>COUNTIF($NF51:$NJ51,2)</f>
        <v/>
      </c>
      <c r="OB51" s="152">
        <f>COUNTIF($NF51:$NJ51,3)</f>
        <v/>
      </c>
      <c r="OC51" s="152">
        <f>COUNTIF($NF51:$NJ51,4)</f>
        <v/>
      </c>
      <c r="OD51" s="152">
        <f>COUNTIF($NF51:$NJ51,5)</f>
        <v/>
      </c>
      <c r="OE51" s="152">
        <f>COUNTIF($NF51:$NJ51,6)</f>
        <v/>
      </c>
      <c r="OF51" s="152">
        <f>COUNTIF($NV51:$NW51,1)</f>
        <v/>
      </c>
      <c r="OG51" s="152">
        <f>COUNTIF($NV51:$NW51,2)+$NS51</f>
        <v/>
      </c>
      <c r="OH51" s="152">
        <f>COUNTIF($MK51:$MN51,"?*")</f>
        <v/>
      </c>
      <c r="OI51" s="152">
        <f>COUNTIF($MO51:$MP51,"?*")+$NS51</f>
        <v/>
      </c>
      <c r="OJ51" s="152">
        <f>IF($MF51=0,0,SUMPRODUCT($NZ51:$OE51,INDEX($I$2:$N$8,MAX(1,$MF51),0)))</f>
        <v/>
      </c>
      <c r="OK51" s="152">
        <f>IF($MF51=0,0,$OF51*CEILING($MF51/2,1)+$OG51*$MF51)</f>
        <v/>
      </c>
      <c r="OL51" s="152">
        <f>MIN(2*$MF51,$OK51)</f>
        <v/>
      </c>
      <c r="OM51" s="152">
        <f>MIN($OL51,$OJ51)</f>
        <v/>
      </c>
      <c r="ON51" s="152">
        <f>$OL51-$OM51</f>
        <v/>
      </c>
      <c r="OO51" s="152">
        <f>IF($MF51=0,0,INDEX($P$2:$P$8,MAX(1,$MF51)))</f>
        <v/>
      </c>
      <c r="OP51" s="152">
        <f>$OO51-$OJ51+$OM51</f>
        <v/>
      </c>
      <c r="OQ51" s="152">
        <f>IF($MF51=0,MAX(0,$MT51-IF($OH51&gt;0,1,0)),MAX(0,$OP51))</f>
        <v/>
      </c>
      <c r="OR51" s="152">
        <f>IF($MF51=0,0,(IF(COUNTIF($MK51:$MN51,"Salto")&gt;0,1,0)+IF(COUNTIF($MK51:$MN51,"Queima")&gt;0,1,0)+IF(COUNTIF($MK51:$MN51,"Estilhaço")&gt;0,1,0))*FLOOR($OQ51/2,1))</f>
        <v/>
      </c>
      <c r="OS51" s="152">
        <f>MAX(0,2-SUMPRODUCT($NZ51:$OE51,$I$2:$N$2)+MIN(2,$OF51*1+$OG51*1,SUMPRODUCT($NZ51:$OE51,$I$2:$N$2)))</f>
        <v/>
      </c>
      <c r="OT51" s="152">
        <f>MAX(0,4-SUMPRODUCT($NZ51:$OE51,$I$3:$N$3)+MIN(4,$OF51*1+$OG51*2,SUMPRODUCT($NZ51:$OE51,$I$3:$N$3)))</f>
        <v/>
      </c>
      <c r="OU51" s="152">
        <f>MAX(0,6-SUMPRODUCT($NZ51:$OE51,$I$4:$N$4)+MIN(6,$OF51*2+$OG51*3,SUMPRODUCT($NZ51:$OE51,$I$4:$N$4)))</f>
        <v/>
      </c>
      <c r="OV51" s="152">
        <f>MAX(0,9-SUMPRODUCT($NZ51:$OE51,$I$5:$N$5)+MIN(8,$OF51*2+$OG51*4,SUMPRODUCT($NZ51:$OE51,$I$5:$N$5)))</f>
        <v/>
      </c>
      <c r="OW51" s="152">
        <f>MAX(0,11-SUMPRODUCT($NZ51:$OE51,$I$6:$N$6)+MIN(10,$OF51*3+$OG51*5,SUMPRODUCT($NZ51:$OE51,$I$6:$N$6)))</f>
        <v/>
      </c>
      <c r="OX51" s="152">
        <f>MAX(0,13-SUMPRODUCT($NZ51:$OE51,$I$7:$N$7)+MIN(12,$OF51*3+$OG51*6,SUMPRODUCT($NZ51:$OE51,$I$7:$N$7)))</f>
        <v/>
      </c>
      <c r="OY51" s="152">
        <f>MAX(0,16-SUMPRODUCT($NZ51:$OE51,$I$8:$N$8)+MIN(14,$OF51*4+$OG51*7,SUMPRODUCT($NZ51:$OE51,$I$8:$N$8)))</f>
        <v/>
      </c>
      <c r="OZ51" s="152">
        <f>IF($NT51=2,3*$OS51&amp;" de vida temp.",IF($NT51=3,"sem dano",IF($OS51=0,IF($NT51=1,"sem cura","sem dano"),IF($NT51=1,"cura ","")&amp;$OS51&amp;"d8")))</f>
        <v/>
      </c>
      <c r="PA51" s="152">
        <f>IF($NT51=2,3*$OT51&amp;" de vida temp.",IF($NT51=3,"sem dano",IF($OT51=0,IF($NT51=1,"sem cura","sem dano"),IF($NT51=1,"cura ","")&amp;$OT51&amp;"d8")))</f>
        <v/>
      </c>
      <c r="PB51" s="152">
        <f>IF($NT51=2,3*$OU51&amp;" de vida temp.",IF($NT51=3,"sem dano",IF($OU51=0,IF($NT51=1,"sem cura","sem dano"),IF($NT51=1,"cura ","")&amp;$OU51&amp;"d8")))</f>
        <v/>
      </c>
      <c r="PC51" s="152">
        <f>IF($NT51=2,3*$OV51&amp;" de vida temp.",IF($NT51=3,"sem dano",IF($OV51=0,IF($NT51=1,"sem cura","sem dano"),IF($NT51=1,"cura ","")&amp;$OV51&amp;"d8")))</f>
        <v/>
      </c>
      <c r="PD51" s="152">
        <f>IF($NT51=2,3*$OW51&amp;" de vida temp.",IF($NT51=3,"sem dano",IF($OW51=0,IF($NT51=1,"sem cura","sem dano"),IF($NT51=1,"cura ","")&amp;$OW51&amp;"d8")))</f>
        <v/>
      </c>
      <c r="PE51" s="152">
        <f>IF($NT51=2,3*$OX51&amp;" de vida temp.",IF($NT51=3,"sem dano",IF($OX51=0,IF($NT51=1,"sem cura","sem dano"),IF($NT51=1,"cura ","")&amp;$OX51&amp;"d8")))</f>
        <v/>
      </c>
      <c r="PF51" s="152">
        <f>IF($NT51=2,3*$OY51&amp;" de vida temp.",IF($NT51=3,"sem dano",IF($OY51=0,IF($NT51=1,"sem cura","sem dano"),IF($NT51=1,"cura ","")&amp;$OY51&amp;"d8")))</f>
        <v/>
      </c>
      <c r="PG51" s="152">
        <f>IF($MQ51=0,"",TEXTJOIN(" · ",TRUE,IF($MD51&gt;$MR51,"Este lugar abre no nível "&amp;$MD51,""),IF($MF51&gt;$MS51,"Classe "&amp;$MF51&amp;": o nível "&amp;$MR51&amp;" libera até a "&amp;$MS51,""),IF($NK51=1,"A Forma "&amp;$MH51&amp;" pede "&amp;INDEX($W$2:$W$11,$MW51)&amp;" aberta",""),IF(AND($MF51=0,$MW51&gt;0,IF($MW51=0,0,INDEX($AF$2:$AF$11,$MW51))=0),$MH51&amp;" não existe na Classe 0",""),IF($NL51=1,"Família Fechada: "&amp;$MK51,""),IF($NM51=1,"Família Fechada: "&amp;$ML51,""),IF($NN51=1,"Família Fechada: "&amp;$MM51,""),IF($NO51=1,"Família Fechada: "&amp;$MN51,""),IF(AND($MF51&gt;0,$OH51&gt;INDEX($O$2:$O$8,MAX(1,$MF51))),$OH51&amp;" Melhorias: a Classe "&amp;$MF51&amp;" aceita "&amp;INDEX($O$2:$O$8,MAX(1,$MF51)),""),IF(AND($MF51=0,$OH51&gt;1),"A básica aceita uma Melhoria",""),IF(AND($MF51=0,COUNTIF($NB51:$NE51,"&gt;1")&gt;0),"A básica só aceita Melhoria Leve",""),IF(AND($MF51&gt;0,$OI51&gt;2),$OI51&amp;" Restrições"&amp;IF($NS51=1,", contando a que a Forma "&amp;$MH51&amp;" já traz","")&amp;": o limite é 2",""),IF(AND($MF51=0,COUNTIF($MO51:$MP51,"?*")&gt;1),"A básica aceita uma Restrição Leve",""),IF(AND($MF51=0,COUNTIF($NV51:$NW51,2)&gt;0),"A básica só aceita Restrição Leve",""),IF(AND($MF51&gt;0,$OP51&lt;0),"Orçamento estourado: faltam "&amp;(-$OP51)&amp;IF($OP51&lt;-1," pontos"," ponto"),""),IF(IFERROR(VLOOKUP($MO51,$BC$2:$BG$24,4,FALSE),0)+IFERROR(VLOOKUP($MP51,$BC$2:$BG$24,4,FALSE),0)&gt;1,$NX51&amp;" e "&amp;$NY51&amp;" são as duas de frequência",""),IF(AND((COUNTIF($MK51:$MN51,"Rápido")+COUNTIF($NX51:$NY51,"Rápido"))&gt;0,(COUNTIF($MK51:$MN51,"Atrasar")+COUNTIF($NX51:$NY51,"Atrasar"))&gt;0),"Rápido não entra com Atrasar",""),IF(AND((COUNTIF($MK51:$MN51,"Reação")+COUNTIF($NX51:$NY51,"Reação"))&gt;0,(COUNTIF($MK51:$MN51,"Rápido")+COUNTIF($NX51:$NY51,"Rápido"))&gt;0),"Reação não entra com Rápido",""),IF(AND((COUNTIF($MK51:$MN51,"Reação")+COUNTIF($NX51:$NY51,"Reação"))&gt;0,(COUNTIF($MK51:$MN51,"Armado")+COUNTIF($NX51:$NY51,"Armado"))&gt;0),"Reação não entra com Armado",""),IF(AND((COUNTIF($MK51:$MN51,"Reação")+COUNTIF($NX51:$NY51,"Reação"))&gt;0,(COUNTIF($MK51:$MN51,"Atrasar")+COUNTIF($NX51:$NY51,"Atrasar"))&gt;0),"Reação não entra com Atrasar",""),IF(AND((COUNTIF($MK51:$MN51,"Reação")+COUNTIF($NX51:$NY51,"Reação"))&gt;0,(COUNTIF($MK51:$MN51,"Parado")+COUNTIF($NX51:$NY51,"Parado"))&gt;0),"Reação não entra com Parado",""),IF(AND((COUNTIF($MK51:$MN51,"Atrasar")+COUNTIF($NX51:$NY51,"Atrasar"))&gt;0,(COUNTIF($MK51:$MN51,"Parado")+COUNTIF($NX51:$NY51,"Parado"))&gt;0),"Atrasar não entra com Parado",""),IF(AND((COUNTIF($MK51:$MN51,"Armado")+COUNTIF($NX51:$NY51,"Armado"))&gt;0,(COUNTIF($MK51:$MN51,"Carregar")+COUNTIF($NX51:$NY51,"Carregar"))&gt;0),"Armado não entra com Carregar",""),IF(AND(COUNTIF($NX51:$NY51,"Corpo a Corpo")&gt;0,$NS51=0,OR($MH51="Cone",$MH51="Linha")),"Corpo a Corpo não entra em "&amp;$MH51,""),IF(AND(COUNTIF($NX51:$NY51,"Corpo a Corpo")&gt;0,$NS51=1),"A Forma "&amp;$MH51&amp;" já traz o Corpo a Corpo",""),IF(AND(COUNTIF($NX51:$NY51,"Tudo ou Nada")&gt;0,$NU51=0),"Tudo ou Nada só entra em habilidade de Teste de Resistência",""),IF(AND(COUNTIF($MK51:$MN51,"Inescapável")&gt;0,OR($OH51&gt;1,$OI51&gt;0)),"Inescapável não aceita outra peça",""),IF(AND($MF51&gt;0,$OQ51*IF(COUNTIF($MK51:$MN51,"Remate")&gt;0,1.25,1)+$OR51&gt;4*$MF51),($OQ51*IF(COUNTIF($MK51:$MN51,"Remate")&gt;0,1.25,1)+$OR51)&amp;" dados somando repetições"&amp;IF(COUNTIF($MK51:$MN51,"Remate")&gt;0," e o Remate","")&amp;": o teto da Classe "&amp;$MF51&amp;" é "&amp;4*$MF51,"")))</f>
        <v/>
      </c>
      <c r="PH51" s="152">
        <f>IF($PG51="",0,(LEN($PG51)-LEN(SUBSTITUTE($PG51," · ","")))/3+1)</f>
        <v/>
      </c>
      <c r="PI51" s="152">
        <f>IF($MQ51=0,"",TEXTJOIN(" · ",TRUE,IF($OK51&gt;2*$MF51,"A devolução parou no teto de "&amp;2*$MF51,""),IF($ON51&gt;0,"Devolução perdida: "&amp;$ON51&amp;IF($ON51&gt;1," pontos"," ponto")&amp;" sem peça para pagar",""),IF(AND($NP51&gt;0,AND($MF51&gt;0,$NT51=0),$OQ51=0),"Controle sem dano: uma rodada a mais e CD +2",""),IF(AND($NP51&gt;0,AND($MF51&gt;0,$NT51=0),$OQ51&gt;0,$OQ51&lt;=$MF51),"Controle com saldo até a Classe: uma rodada a mais",""),IF(AND($MF51&gt;0,$NR51&lt;&gt;""),"Efeito de "&amp;$NR51&amp;" pela Classe "&amp;MAX(1,$MF51-1),"")))</f>
        <v/>
      </c>
      <c r="PJ51" s="152">
        <f>IF($PI51="",0,(LEN($PI51)-LEN(SUBSTITUTE($PI51," · ","")))/3+1)</f>
        <v/>
      </c>
      <c r="PK51" s="152">
        <f>IF($MQ51=0,IF($OH51+COUNTIF($MO51:$MP51,"?*")&gt;0,"Dê um nome",""),IF($PH51&gt;0,"⚠ "&amp;$PH51&amp;IF($PH51&gt;1," erros"," erro"),IF($PJ51&gt;0,"! "&amp;$PJ51&amp;IF($PJ51&gt;1," avisos"," aviso"),"Na regra")))</f>
        <v/>
      </c>
      <c r="PL51" s="152">
        <f>IF($MQ51=0,"",IF($PH51+$PJ51=0,"Dentro das regras que a ficha confere",$PG51&amp;IF(AND($PH51&gt;0,$PJ51&gt;0)," · ","")&amp;$PI51))</f>
        <v/>
      </c>
      <c r="PM51" s="152">
        <f>IF($MD51&gt;$MR51,$ME51&amp;" · ABRE NO NÍVEL "&amp;$MD51,$ME51)</f>
        <v/>
      </c>
      <c r="PN51" s="152">
        <f>IF($MQ51=0,"",IF($MF51=0,"Sem PE",3*$MF51&amp;" PE"))</f>
        <v/>
      </c>
      <c r="PO51" s="152">
        <f>IF($MQ51=0,"",IF($MF51=0,"A atuação básica dela",IF(COUNTIF($NX51:$NY51,"Atrasar")&gt;0,"Sua Ação Completa",IF(COUNTIF($MK51:$MN51,"Rápido")&gt;0,"Sua Bônus",IF(COUNTIF($MK51:$MN51,"Reação")&gt;0,"Sua Reação","Sua Padrão")))&amp;" + a básica dela"&amp;IF(COUNTIF($MK51:$MN51,"Reação")&gt;0," e a coletiva","")&amp;IF(COUNTIF($NX51:$NY51,"Carregar")&gt;0," · em dois turnos","")))</f>
        <v/>
      </c>
      <c r="PP51" s="152">
        <f>IF($MJ51&lt;&gt;"",$MJ51,IF($MW51=0,"",INDEX($AA$2:$AA$11,$MW51)))</f>
        <v/>
      </c>
      <c r="PQ51" s="152">
        <f>IF(OR($MQ51=0,$MW51=0),"",IF(COUNTIF($MK51:$MN51,"Inescapável")&gt;0,"Automático",IF($PP51="Ataque",IF($MU51="","Ataque","Ataque "&amp;IF(($MU51+2*IF(COUNTIF($MK51:$MN51,"Precisão")&gt;0,1,0))&gt;=0,"+","−")&amp;ABS(($MU51+2*IF(COUNTIF($MK51:$MN51,"Precisão")&gt;0,1,0))))&amp;IF($NQ51&gt;0," · TR"&amp;IF($MV51="",""," CD "&amp;$MV51),""),IF(LEFT($PP51,2)="TR",$PP51&amp;IF($MV51="",""," · CD "&amp;$MV51)&amp;IF(COUNTIF($MK51:$MN51,"Certeiro")&gt;0," · metade",""),"Sem rolagem"))))</f>
        <v/>
      </c>
      <c r="PR51" s="152">
        <f>IF(OR($MQ51=0,$MW51=0),"",IF($MF51=0,IF(OR($NT51&gt;=1,$OQ51=0),"Sem dano",$OQ51&amp;"d6"&amp;IF($MI51="",""," "&amp;$MI51)),IF(OR($NT51&gt;=1,$OQ51=0),UPPER(LEFT(INDEX($OZ51:$PF51,1,MAX(1,$MF51)),1))&amp;MID(INDEX($OZ51:$PF51,1,MAX(1,$MF51)),2,99),UPPER(LEFT(INDEX($OZ51:$PF51,1,MAX(1,$MF51)),1))&amp;MID(INDEX($OZ51:$PF51,1,MAX(1,$MF51)),2,99)&amp;IF($MI51="",""," "&amp;$MI51)&amp;IF($OR51&gt;0," · +"&amp;$OR51&amp;"d8",""))))</f>
        <v/>
      </c>
      <c r="PS51" s="152">
        <f>COUNTIF($MK51:$MN51,"Longe")+3*COUNTIF($MK51:$MN51,"Muito Longe")</f>
        <v/>
      </c>
      <c r="PT51" s="152">
        <f>COUNTIF($MK51:$MN51,"Maior")+3*COUNTIF($MK51:$MN51,"Muito Maior")</f>
        <v/>
      </c>
      <c r="PU51" s="152">
        <f>IF($MW51=0,0,CHOOSE(1+INDEX($AC$2:$AC$11,$MW51),0,$PS51,$PT51,$PS51+$PT51))</f>
        <v/>
      </c>
      <c r="PV51" s="152">
        <f>IF($MW51=0,0,CHOOSE(1+INDEX($AD$2:$AD$11,$MW51),0,$PS51,$PT51,$PS51+$PT51))</f>
        <v/>
      </c>
      <c r="PW51" s="152">
        <f>IF(OR($MQ51=0,$MW51=0),"",INDEX($AI$2:$AN$41,($MW51-1)*4+IF($MF51=0,1,IF($MF51&lt;=5,2,IF($MF51=6,3,4))),1+MIN(5,$PU51))&amp;INDEX($AO$2:$AT$41,($MW51-1)*4+IF($MF51=0,1,IF($MF51&lt;=5,2,IF($MF51=6,3,4))),1+MIN(5,$PV51))&amp;IF(INDEX($AE$2:$AE$11,$MW51)=1,IF(COUNTIF($MK51:$MN51,"Mais Um")&gt;0," · +"&amp;COUNTIF($MK51:$MN51,"Mais Um")&amp;IF(COUNTIF($MK51:$MN51,"Mais Um")&gt;1," alvos"," alvo"),"")&amp;IF(COUNTIF($MK51:$MN51,"Rajada")&gt;0,IF($MF51=0," · 1 tiro"," · "&amp;(MAX(1,$MF51-1)+1)&amp;" tiros"),""),""))</f>
        <v/>
      </c>
      <c r="PX51" s="152">
        <f>IF($MQ51=0,"",IF($MF51=0,$MT51&amp;"d6"&amp;IF($OH51&gt;0," − 1 = "&amp;$OQ51&amp;"d6"," da básica do nível "&amp;$MR51),$OO51&amp;" − "&amp;$OJ51&amp;" + "&amp;$OM51&amp;" = "&amp;$OP51&amp;" · teto "&amp;4*$MF51&amp;"d8"&amp;IF($NS51=1," · a Forma devolve "&amp;$MF51,"")&amp;IF($ON51&gt;0," · perde "&amp;$ON51,"")))</f>
        <v/>
      </c>
      <c r="PY51" s="152">
        <f>IF($MQ51=0,"",IF($MF51=0,"A básica não amplia: os dados dela sobem com o nível",IF($MF51&gt;=$MS51,"Já está na maior Classe que o nível liberou",TEXTJOIN(" · ",TRUE,IF(AND(2&gt;$MF51,2&lt;=$MS51),"2 → "&amp;$PA51&amp;", 6 PE",""),IF(AND(3&gt;$MF51,3&lt;=$MS51),"3 → "&amp;$PB51&amp;", 9 PE",""),IF(AND(4&gt;$MF51,4&lt;=$MS51),"4 → "&amp;$PC51&amp;", 12 PE",""),IF(AND(5&gt;$MF51,5&lt;=$MS51),"5 → "&amp;$PD51&amp;", 15 PE",""),IF(AND(6&gt;$MF51,6&lt;=$MS51),"6 → "&amp;$PE51&amp;", 18 PE",""),IF(AND(7&gt;$MF51,7&lt;=$MS51),"7 → "&amp;$PF51&amp;", 21 PE","")))))</f>
        <v/>
      </c>
      <c r="PZ51" s="152">
        <f>IF(OR($MQ51=0,$NB51=0),"",IF($MF51=0,"−1 dado","−"&amp;INDEX($I$2:$N$8,MAX(1,$MF51),MAX(1,$NG51))&amp;" · "&amp;CHOOSE(MAX(1,$NG51),"Leve","Média","Pesada","Leve · Livre","Média · Livre","Pesada · Livre")))</f>
        <v/>
      </c>
      <c r="QA51" s="152">
        <f>IF(OR($MQ51=0,$NC51=0),"",IF($MF51=0,"−1 dado","−"&amp;INDEX($I$2:$N$8,MAX(1,$MF51),MAX(1,$NH51))&amp;" · "&amp;CHOOSE(MAX(1,$NH51),"Leve","Média","Pesada","Leve · Livre","Média · Livre","Pesada · Livre")))</f>
        <v/>
      </c>
      <c r="QB51" s="152">
        <f>IF(OR($MQ51=0,$ND51=0),"",IF($MF51=0,"−1 dado","−"&amp;INDEX($I$2:$N$8,MAX(1,$MF51),MAX(1,$NI51))&amp;" · "&amp;CHOOSE(MAX(1,$NI51),"Leve","Média","Pesada","Leve · Livre","Média · Livre","Pesada · Livre")))</f>
        <v/>
      </c>
      <c r="QC51" s="152">
        <f>IF(OR($MQ51=0,$NE51=0),"",IF($MF51=0,"−1 dado","−"&amp;INDEX($I$2:$N$8,MAX(1,$MF51),MAX(1,$NJ51))&amp;" · "&amp;CHOOSE(MAX(1,$NJ51),"Leve","Média","Pesada","Leve · Livre","Média · Livre","Pesada · Livre")))</f>
        <v/>
      </c>
      <c r="QD51" s="152">
        <f>IF(OR($MQ51=0,$MO51=""),"",IF($MF51=0,"não devolve","+"&amp;IF($NV51=1,CEILING($MF51/2,1),$MF51)))</f>
        <v/>
      </c>
      <c r="QE51" s="152">
        <f>IF(OR($MQ51=0,$MP51=""),"",IF($MF51=0,"não devolve","+"&amp;IF($NW51=1,CEILING($MF51/2,1),$MF51)))</f>
        <v/>
      </c>
    </row>
    <row r="52">
      <c r="AV52" s="150" t="inlineStr">
        <is>
          <t>Ecoa</t>
        </is>
      </c>
      <c r="AW52" s="150" t="inlineStr">
        <is>
          <t>Auxiliares</t>
        </is>
      </c>
      <c r="AX52" s="152" t="n">
        <v>2</v>
      </c>
      <c r="AY52" s="152" t="n">
        <v>0</v>
      </c>
      <c r="AZ52" s="152" t="n">
        <v>0</v>
      </c>
      <c r="BA52" s="152" t="n">
        <v>0</v>
      </c>
      <c r="JG52" s="152">
        <f>IF(OR($AW52="",COUNTIF($EF$2:$EJ$2,$AW52)&gt;0),$AV52,"")</f>
        <v/>
      </c>
      <c r="JH52" s="152">
        <f>IF(AND($AX52=1,OR($AW52="",COUNTIF($EF$2:$EJ$2,$AW52)&gt;0)),$AV52,"")</f>
        <v/>
      </c>
      <c r="JM52" s="152">
        <f>IF(OR($AW52="",COUNTIF($EF$3:$EJ$3,$AW52)&gt;0),$AV52,"")</f>
        <v/>
      </c>
      <c r="JN52" s="152">
        <f>IF(AND($AX52=1,OR($AW52="",COUNTIF($EF$3:$EJ$3,$AW52)&gt;0)),$AV52,"")</f>
        <v/>
      </c>
      <c r="JS52" s="152">
        <f>IF(OR($AW52="",COUNTIF($EF$4:$EJ$4,$AW52)&gt;0),$AV52,"")</f>
        <v/>
      </c>
      <c r="JT52" s="152">
        <f>IF(AND($AX52=1,OR($AW52="",COUNTIF($EF$4:$EJ$4,$AW52)&gt;0)),$AV52,"")</f>
        <v/>
      </c>
      <c r="JY52" s="152">
        <f>IF(OR($AW52="",COUNTIF($EF$5:$EJ$5,$AW52)&gt;0),$AV52,"")</f>
        <v/>
      </c>
      <c r="JZ52" s="152">
        <f>IF(AND($AX52=1,OR($AW52="",COUNTIF($EF$5:$EJ$5,$AW52)&gt;0)),$AV52,"")</f>
        <v/>
      </c>
      <c r="KE52" s="152">
        <f>IF(OR($AW52="",COUNTIF($EF$6:$EJ$6,$AW52)&gt;0),$AV52,"")</f>
        <v/>
      </c>
      <c r="KF52" s="152">
        <f>IF(AND($AX52=1,OR($AW52="",COUNTIF($EF$6:$EJ$6,$AW52)&gt;0)),$AV52,"")</f>
        <v/>
      </c>
      <c r="KK52" s="152">
        <f>IF(OR($AW52="",COUNTIF($EF$7:$EJ$7,$AW52)&gt;0),$AV52,"")</f>
        <v/>
      </c>
      <c r="KL52" s="152">
        <f>IF(AND($AX52=1,OR($AW52="",COUNTIF($EF$7:$EJ$7,$AW52)&gt;0)),$AV52,"")</f>
        <v/>
      </c>
      <c r="KQ52" s="152">
        <f>IF(OR($AW52="",COUNTIF($EF$8:$EJ$8,$AW52)&gt;0),$AV52,"")</f>
        <v/>
      </c>
      <c r="KR52" s="152">
        <f>IF(AND($AX52=1,OR($AW52="",COUNTIF($EF$8:$EJ$8,$AW52)&gt;0)),$AV52,"")</f>
        <v/>
      </c>
      <c r="KW52" s="152">
        <f>IF(OR($AW52="",COUNTIF($EF$9:$EJ$9,$AW52)&gt;0),$AV52,"")</f>
        <v/>
      </c>
      <c r="KX52" s="152">
        <f>IF(AND($AX52=1,OR($AW52="",COUNTIF($EF$9:$EJ$9,$AW52)&gt;0)),$AV52,"")</f>
        <v/>
      </c>
      <c r="LC52" s="152">
        <f>IF(OR($AW52="",COUNTIF($EF$10:$EJ$10,$AW52)&gt;0),$AV52,"")</f>
        <v/>
      </c>
      <c r="LD52" s="152">
        <f>IF(AND($AX52=1,OR($AW52="",COUNTIF($EF$10:$EJ$10,$AW52)&gt;0)),$AV52,"")</f>
        <v/>
      </c>
      <c r="LI52" s="152">
        <f>IF(OR($AW52="",COUNTIF($EF$11:$EJ$11,$AW52)&gt;0),$AV52,"")</f>
        <v/>
      </c>
      <c r="LJ52" s="152">
        <f>IF(AND($AX52=1,OR($AW52="",COUNTIF($EF$11:$EJ$11,$AW52)&gt;0)),$AV52,"")</f>
        <v/>
      </c>
      <c r="LO52" s="152">
        <f>IF(OR($AW52="",COUNTIF($EF$12:$EJ$12,$AW52)&gt;0),$AV52,"")</f>
        <v/>
      </c>
      <c r="LP52" s="152">
        <f>IF(AND($AX52=1,OR($AW52="",COUNTIF($EF$12:$EJ$12,$AW52)&gt;0)),$AV52,"")</f>
        <v/>
      </c>
      <c r="LU52" s="152">
        <f>IF(OR($AW52="",COUNTIF($EF$13:$EJ$13,$AW52)&gt;0),$AV52,"")</f>
        <v/>
      </c>
      <c r="LV52" s="152">
        <f>IF(AND($AX52=1,OR($AW52="",COUNTIF($EF$13:$EJ$13,$AW52)&gt;0)),$AV52,"")</f>
        <v/>
      </c>
      <c r="MA52" s="150" t="inlineStr">
        <is>
          <t>Ficha 4 · Escolha da trilha 2</t>
        </is>
      </c>
      <c r="MB52" s="152" t="n">
        <v>4</v>
      </c>
      <c r="MC52" s="152" t="n">
        <v>2</v>
      </c>
      <c r="MD52" s="152" t="n">
        <v>0</v>
      </c>
      <c r="ME52" s="150" t="inlineStr">
        <is>
          <t>ESCOLHA DA TRILHA 2</t>
        </is>
      </c>
      <c r="MF52" s="152">
        <f>MAX(0,MIN(7,N('INVOCAÇÕES'!$O$754)))</f>
        <v/>
      </c>
      <c r="MG52" s="152">
        <f>'INVOCAÇÕES'!$P$754&amp;""</f>
        <v/>
      </c>
      <c r="MH52" s="152">
        <f>'INVOCAÇÕES'!$O$759&amp;""</f>
        <v/>
      </c>
      <c r="MI52" s="152">
        <f>'INVOCAÇÕES'!$O$760&amp;""</f>
        <v/>
      </c>
      <c r="MJ52" s="152">
        <f>'INVOCAÇÕES'!$Q$760&amp;""</f>
        <v/>
      </c>
      <c r="MK52" s="152">
        <f>'INVOCAÇÕES'!$P$763&amp;""</f>
        <v/>
      </c>
      <c r="ML52" s="152">
        <f>'INVOCAÇÕES'!$P$764&amp;""</f>
        <v/>
      </c>
      <c r="MM52" s="152">
        <f>'INVOCAÇÕES'!$P$765&amp;""</f>
        <v/>
      </c>
      <c r="MN52" s="152">
        <f>'INVOCAÇÕES'!$P$766&amp;""</f>
        <v/>
      </c>
      <c r="MO52" s="152">
        <f>'INVOCAÇÕES'!$P$767&amp;""</f>
        <v/>
      </c>
      <c r="MP52" s="152">
        <f>'INVOCAÇÕES'!$P$768&amp;""</f>
        <v/>
      </c>
      <c r="MQ52" s="152">
        <f>IF($MG52&lt;&gt;"",1,0)</f>
        <v/>
      </c>
      <c r="MR52" s="152">
        <f>INDEX($FI$2:$FI$13,$MB52)</f>
        <v/>
      </c>
      <c r="MS52" s="152">
        <f>INDEX($FJ$2:$FJ$13,$MB52)</f>
        <v/>
      </c>
      <c r="MT52" s="152">
        <f>INDEX($FK$2:$FK$13,$MB52)</f>
        <v/>
      </c>
      <c r="MU52" s="152">
        <f>INDEX($FV$2:$FV$13,$MB52)</f>
        <v/>
      </c>
      <c r="MV52" s="152">
        <f>INDEX($FW$2:$FW$13,$MB52)</f>
        <v/>
      </c>
      <c r="MW52" s="152">
        <f>IFERROR(MATCH($MH52,$V$2:$V$11,0),0)</f>
        <v/>
      </c>
      <c r="MX52" s="152">
        <f>IFERROR(VLOOKUP($MK52,$AV$2:$BA$84,2,FALSE),"")</f>
        <v/>
      </c>
      <c r="MY52" s="152">
        <f>IFERROR(VLOOKUP($ML52,$AV$2:$BA$84,2,FALSE),"")</f>
        <v/>
      </c>
      <c r="MZ52" s="152">
        <f>IFERROR(VLOOKUP($MM52,$AV$2:$BA$84,2,FALSE),"")</f>
        <v/>
      </c>
      <c r="NA52" s="152">
        <f>IFERROR(VLOOKUP($MN52,$AV$2:$BA$84,2,FALSE),"")</f>
        <v/>
      </c>
      <c r="NB52" s="152">
        <f>IFERROR(VLOOKUP($MK52,$AV$2:$BA$84,3,FALSE),0)</f>
        <v/>
      </c>
      <c r="NC52" s="152">
        <f>IFERROR(VLOOKUP($ML52,$AV$2:$BA$84,3,FALSE),0)</f>
        <v/>
      </c>
      <c r="ND52" s="152">
        <f>IFERROR(VLOOKUP($MM52,$AV$2:$BA$84,3,FALSE),0)</f>
        <v/>
      </c>
      <c r="NE52" s="152">
        <f>IFERROR(VLOOKUP($MN52,$AV$2:$BA$84,3,FALSE),0)</f>
        <v/>
      </c>
      <c r="NF52" s="152">
        <f>IF($MF52=0,0,IF($MW52=0,0,INDEX($X$2:$X$11,$MW52)))</f>
        <v/>
      </c>
      <c r="NG52" s="152">
        <f>IF(OR($NB52=0,$MF52=0),0,$NB52+3*IF(AND($MX52&lt;&gt;"",OR($MX52=INDEX($EF$2:$EF$13,$MB52),$MX52=INDEX($EG$2:$EG$13,$MB52))),1,0))</f>
        <v/>
      </c>
      <c r="NH52" s="152">
        <f>IF(OR($NC52=0,$MF52=0),0,$NC52+3*IF(AND($MY52&lt;&gt;"",OR($MY52=INDEX($EF$2:$EF$13,$MB52),$MY52=INDEX($EG$2:$EG$13,$MB52))),1,0))</f>
        <v/>
      </c>
      <c r="NI52" s="152">
        <f>IF(OR($ND52=0,$MF52=0),0,$ND52+3*IF(AND($MZ52&lt;&gt;"",OR($MZ52=INDEX($EF$2:$EF$13,$MB52),$MZ52=INDEX($EG$2:$EG$13,$MB52))),1,0))</f>
        <v/>
      </c>
      <c r="NJ52" s="152">
        <f>IF(OR($NE52=0,$MF52=0),0,$NE52+3*IF(AND($NA52&lt;&gt;"",OR($NA52=INDEX($EF$2:$EF$13,$MB52),$NA52=INDEX($EG$2:$EG$13,$MB52))),1,0))</f>
        <v/>
      </c>
      <c r="NK52" s="152">
        <f>IF($MW52=0,0,IF(INDEX($W$2:$W$11,$MW52)="",0,IF(COUNTIF(INDEX($EF$2:$EJ$13,$MB52,0),INDEX($W$2:$W$11,$MW52))=0,1,0)))</f>
        <v/>
      </c>
      <c r="NL52" s="152">
        <f>IF(OR($NB52=0,$MX52=""),0,IF(COUNTIF(INDEX($EF$2:$EJ$13,$MB52,0),$MX52)=0,1,0))</f>
        <v/>
      </c>
      <c r="NM52" s="152">
        <f>IF(OR($NC52=0,$MY52=""),0,IF(COUNTIF(INDEX($EF$2:$EJ$13,$MB52,0),$MY52)=0,1,0))</f>
        <v/>
      </c>
      <c r="NN52" s="152">
        <f>IF(OR($ND52=0,$MZ52=""),0,IF(COUNTIF(INDEX($EF$2:$EJ$13,$MB52,0),$MZ52)=0,1,0))</f>
        <v/>
      </c>
      <c r="NO52" s="152">
        <f>IF(OR($NE52=0,$NA52=""),0,IF(COUNTIF(INDEX($EF$2:$EJ$13,$MB52,0),$NA52)=0,1,0))</f>
        <v/>
      </c>
      <c r="NP52" s="152">
        <f>IFERROR(VLOOKUP($MK52,$AV$2:$BA$84,4,FALSE),0)+IFERROR(VLOOKUP($ML52,$AV$2:$BA$84,4,FALSE),0)+IFERROR(VLOOKUP($MM52,$AV$2:$BA$84,4,FALSE),0)+IFERROR(VLOOKUP($MN52,$AV$2:$BA$84,4,FALSE),0)</f>
        <v/>
      </c>
      <c r="NQ52" s="152">
        <f>IFERROR(VLOOKUP($MK52,$AV$2:$BA$84,6,FALSE),0)+IFERROR(VLOOKUP($ML52,$AV$2:$BA$84,6,FALSE),0)+IFERROR(VLOOKUP($MM52,$AV$2:$BA$84,6,FALSE),0)+IFERROR(VLOOKUP($MN52,$AV$2:$BA$84,6,FALSE),0)</f>
        <v/>
      </c>
      <c r="NR52" s="152">
        <f>TEXTJOIN(", ",TRUE,IF(IFERROR(VLOOKUP($MK52,$AV$2:$BA$84,5,FALSE),0)=1,$MK52,""),IF(IFERROR(VLOOKUP($ML52,$AV$2:$BA$84,5,FALSE),0)=1,$ML52,""),IF(IFERROR(VLOOKUP($MM52,$AV$2:$BA$84,5,FALSE),0)=1,$MM52,""),IF(IFERROR(VLOOKUP($MN52,$AV$2:$BA$84,5,FALSE),0)=1,$MN52,""))</f>
        <v/>
      </c>
      <c r="NS52" s="152">
        <f>IF($MW52=0,0,INDEX($Y$2:$Y$11,$MW52))</f>
        <v/>
      </c>
      <c r="NT52" s="152">
        <f>IF($MW52=0,0,INDEX($Z$2:$Z$11,$MW52))</f>
        <v/>
      </c>
      <c r="NU52" s="152">
        <f>IF($MW52=0,0,INDEX($AB$2:$AB$11,$MW52))</f>
        <v/>
      </c>
      <c r="NV52" s="152">
        <f>IFERROR(VLOOKUP($MO52,$BC$2:$BG$24,3,FALSE),0)</f>
        <v/>
      </c>
      <c r="NW52" s="152">
        <f>IFERROR(VLOOKUP($MP52,$BC$2:$BG$24,3,FALSE),0)</f>
        <v/>
      </c>
      <c r="NX52" s="152">
        <f>IFERROR(VLOOKUP($MO52,$BC$2:$BG$24,2,FALSE),"")</f>
        <v/>
      </c>
      <c r="NY52" s="152">
        <f>IFERROR(VLOOKUP($MP52,$BC$2:$BG$24,2,FALSE),"")</f>
        <v/>
      </c>
      <c r="NZ52" s="152">
        <f>COUNTIF($NF52:$NJ52,1)</f>
        <v/>
      </c>
      <c r="OA52" s="152">
        <f>COUNTIF($NF52:$NJ52,2)</f>
        <v/>
      </c>
      <c r="OB52" s="152">
        <f>COUNTIF($NF52:$NJ52,3)</f>
        <v/>
      </c>
      <c r="OC52" s="152">
        <f>COUNTIF($NF52:$NJ52,4)</f>
        <v/>
      </c>
      <c r="OD52" s="152">
        <f>COUNTIF($NF52:$NJ52,5)</f>
        <v/>
      </c>
      <c r="OE52" s="152">
        <f>COUNTIF($NF52:$NJ52,6)</f>
        <v/>
      </c>
      <c r="OF52" s="152">
        <f>COUNTIF($NV52:$NW52,1)</f>
        <v/>
      </c>
      <c r="OG52" s="152">
        <f>COUNTIF($NV52:$NW52,2)+$NS52</f>
        <v/>
      </c>
      <c r="OH52" s="152">
        <f>COUNTIF($MK52:$MN52,"?*")</f>
        <v/>
      </c>
      <c r="OI52" s="152">
        <f>COUNTIF($MO52:$MP52,"?*")+$NS52</f>
        <v/>
      </c>
      <c r="OJ52" s="152">
        <f>IF($MF52=0,0,SUMPRODUCT($NZ52:$OE52,INDEX($I$2:$N$8,MAX(1,$MF52),0)))</f>
        <v/>
      </c>
      <c r="OK52" s="152">
        <f>IF($MF52=0,0,$OF52*CEILING($MF52/2,1)+$OG52*$MF52)</f>
        <v/>
      </c>
      <c r="OL52" s="152">
        <f>MIN(2*$MF52,$OK52)</f>
        <v/>
      </c>
      <c r="OM52" s="152">
        <f>MIN($OL52,$OJ52)</f>
        <v/>
      </c>
      <c r="ON52" s="152">
        <f>$OL52-$OM52</f>
        <v/>
      </c>
      <c r="OO52" s="152">
        <f>IF($MF52=0,0,INDEX($P$2:$P$8,MAX(1,$MF52)))</f>
        <v/>
      </c>
      <c r="OP52" s="152">
        <f>$OO52-$OJ52+$OM52</f>
        <v/>
      </c>
      <c r="OQ52" s="152">
        <f>IF($MF52=0,MAX(0,$MT52-IF($OH52&gt;0,1,0)),MAX(0,$OP52))</f>
        <v/>
      </c>
      <c r="OR52" s="152">
        <f>IF($MF52=0,0,(IF(COUNTIF($MK52:$MN52,"Salto")&gt;0,1,0)+IF(COUNTIF($MK52:$MN52,"Queima")&gt;0,1,0)+IF(COUNTIF($MK52:$MN52,"Estilhaço")&gt;0,1,0))*FLOOR($OQ52/2,1))</f>
        <v/>
      </c>
      <c r="OS52" s="152">
        <f>MAX(0,2-SUMPRODUCT($NZ52:$OE52,$I$2:$N$2)+MIN(2,$OF52*1+$OG52*1,SUMPRODUCT($NZ52:$OE52,$I$2:$N$2)))</f>
        <v/>
      </c>
      <c r="OT52" s="152">
        <f>MAX(0,4-SUMPRODUCT($NZ52:$OE52,$I$3:$N$3)+MIN(4,$OF52*1+$OG52*2,SUMPRODUCT($NZ52:$OE52,$I$3:$N$3)))</f>
        <v/>
      </c>
      <c r="OU52" s="152">
        <f>MAX(0,6-SUMPRODUCT($NZ52:$OE52,$I$4:$N$4)+MIN(6,$OF52*2+$OG52*3,SUMPRODUCT($NZ52:$OE52,$I$4:$N$4)))</f>
        <v/>
      </c>
      <c r="OV52" s="152">
        <f>MAX(0,9-SUMPRODUCT($NZ52:$OE52,$I$5:$N$5)+MIN(8,$OF52*2+$OG52*4,SUMPRODUCT($NZ52:$OE52,$I$5:$N$5)))</f>
        <v/>
      </c>
      <c r="OW52" s="152">
        <f>MAX(0,11-SUMPRODUCT($NZ52:$OE52,$I$6:$N$6)+MIN(10,$OF52*3+$OG52*5,SUMPRODUCT($NZ52:$OE52,$I$6:$N$6)))</f>
        <v/>
      </c>
      <c r="OX52" s="152">
        <f>MAX(0,13-SUMPRODUCT($NZ52:$OE52,$I$7:$N$7)+MIN(12,$OF52*3+$OG52*6,SUMPRODUCT($NZ52:$OE52,$I$7:$N$7)))</f>
        <v/>
      </c>
      <c r="OY52" s="152">
        <f>MAX(0,16-SUMPRODUCT($NZ52:$OE52,$I$8:$N$8)+MIN(14,$OF52*4+$OG52*7,SUMPRODUCT($NZ52:$OE52,$I$8:$N$8)))</f>
        <v/>
      </c>
      <c r="OZ52" s="152">
        <f>IF($NT52=2,3*$OS52&amp;" de vida temp.",IF($NT52=3,"sem dano",IF($OS52=0,IF($NT52=1,"sem cura","sem dano"),IF($NT52=1,"cura ","")&amp;$OS52&amp;"d8")))</f>
        <v/>
      </c>
      <c r="PA52" s="152">
        <f>IF($NT52=2,3*$OT52&amp;" de vida temp.",IF($NT52=3,"sem dano",IF($OT52=0,IF($NT52=1,"sem cura","sem dano"),IF($NT52=1,"cura ","")&amp;$OT52&amp;"d8")))</f>
        <v/>
      </c>
      <c r="PB52" s="152">
        <f>IF($NT52=2,3*$OU52&amp;" de vida temp.",IF($NT52=3,"sem dano",IF($OU52=0,IF($NT52=1,"sem cura","sem dano"),IF($NT52=1,"cura ","")&amp;$OU52&amp;"d8")))</f>
        <v/>
      </c>
      <c r="PC52" s="152">
        <f>IF($NT52=2,3*$OV52&amp;" de vida temp.",IF($NT52=3,"sem dano",IF($OV52=0,IF($NT52=1,"sem cura","sem dano"),IF($NT52=1,"cura ","")&amp;$OV52&amp;"d8")))</f>
        <v/>
      </c>
      <c r="PD52" s="152">
        <f>IF($NT52=2,3*$OW52&amp;" de vida temp.",IF($NT52=3,"sem dano",IF($OW52=0,IF($NT52=1,"sem cura","sem dano"),IF($NT52=1,"cura ","")&amp;$OW52&amp;"d8")))</f>
        <v/>
      </c>
      <c r="PE52" s="152">
        <f>IF($NT52=2,3*$OX52&amp;" de vida temp.",IF($NT52=3,"sem dano",IF($OX52=0,IF($NT52=1,"sem cura","sem dano"),IF($NT52=1,"cura ","")&amp;$OX52&amp;"d8")))</f>
        <v/>
      </c>
      <c r="PF52" s="152">
        <f>IF($NT52=2,3*$OY52&amp;" de vida temp.",IF($NT52=3,"sem dano",IF($OY52=0,IF($NT52=1,"sem cura","sem dano"),IF($NT52=1,"cura ","")&amp;$OY52&amp;"d8")))</f>
        <v/>
      </c>
      <c r="PG52" s="152">
        <f>IF($MQ52=0,"",TEXTJOIN(" · ",TRUE,IF($MD52&gt;$MR52,"Este lugar abre no nível "&amp;$MD52,""),IF($MF52&gt;$MS52,"Classe "&amp;$MF52&amp;": o nível "&amp;$MR52&amp;" libera até a "&amp;$MS52,""),IF($NK52=1,"A Forma "&amp;$MH52&amp;" pede "&amp;INDEX($W$2:$W$11,$MW52)&amp;" aberta",""),IF(AND($MF52=0,$MW52&gt;0,IF($MW52=0,0,INDEX($AF$2:$AF$11,$MW52))=0),$MH52&amp;" não existe na Classe 0",""),IF($NL52=1,"Família Fechada: "&amp;$MK52,""),IF($NM52=1,"Família Fechada: "&amp;$ML52,""),IF($NN52=1,"Família Fechada: "&amp;$MM52,""),IF($NO52=1,"Família Fechada: "&amp;$MN52,""),IF(AND($MF52&gt;0,$OH52&gt;INDEX($O$2:$O$8,MAX(1,$MF52))),$OH52&amp;" Melhorias: a Classe "&amp;$MF52&amp;" aceita "&amp;INDEX($O$2:$O$8,MAX(1,$MF52)),""),IF(AND($MF52=0,$OH52&gt;1),"A básica aceita uma Melhoria",""),IF(AND($MF52=0,COUNTIF($NB52:$NE52,"&gt;1")&gt;0),"A básica só aceita Melhoria Leve",""),IF(AND($MF52&gt;0,$OI52&gt;2),$OI52&amp;" Restrições"&amp;IF($NS52=1,", contando a que a Forma "&amp;$MH52&amp;" já traz","")&amp;": o limite é 2",""),IF(AND($MF52=0,COUNTIF($MO52:$MP52,"?*")&gt;1),"A básica aceita uma Restrição Leve",""),IF(AND($MF52=0,COUNTIF($NV52:$NW52,2)&gt;0),"A básica só aceita Restrição Leve",""),IF(AND($MF52&gt;0,$OP52&lt;0),"Orçamento estourado: faltam "&amp;(-$OP52)&amp;IF($OP52&lt;-1," pontos"," ponto"),""),IF(IFERROR(VLOOKUP($MO52,$BC$2:$BG$24,4,FALSE),0)+IFERROR(VLOOKUP($MP52,$BC$2:$BG$24,4,FALSE),0)&gt;1,$NX52&amp;" e "&amp;$NY52&amp;" são as duas de frequência",""),IF(AND((COUNTIF($MK52:$MN52,"Rápido")+COUNTIF($NX52:$NY52,"Rápido"))&gt;0,(COUNTIF($MK52:$MN52,"Atrasar")+COUNTIF($NX52:$NY52,"Atrasar"))&gt;0),"Rápido não entra com Atrasar",""),IF(AND((COUNTIF($MK52:$MN52,"Reação")+COUNTIF($NX52:$NY52,"Reação"))&gt;0,(COUNTIF($MK52:$MN52,"Rápido")+COUNTIF($NX52:$NY52,"Rápido"))&gt;0),"Reação não entra com Rápido",""),IF(AND((COUNTIF($MK52:$MN52,"Reação")+COUNTIF($NX52:$NY52,"Reação"))&gt;0,(COUNTIF($MK52:$MN52,"Armado")+COUNTIF($NX52:$NY52,"Armado"))&gt;0),"Reação não entra com Armado",""),IF(AND((COUNTIF($MK52:$MN52,"Reação")+COUNTIF($NX52:$NY52,"Reação"))&gt;0,(COUNTIF($MK52:$MN52,"Atrasar")+COUNTIF($NX52:$NY52,"Atrasar"))&gt;0),"Reação não entra com Atrasar",""),IF(AND((COUNTIF($MK52:$MN52,"Reação")+COUNTIF($NX52:$NY52,"Reação"))&gt;0,(COUNTIF($MK52:$MN52,"Parado")+COUNTIF($NX52:$NY52,"Parado"))&gt;0),"Reação não entra com Parado",""),IF(AND((COUNTIF($MK52:$MN52,"Atrasar")+COUNTIF($NX52:$NY52,"Atrasar"))&gt;0,(COUNTIF($MK52:$MN52,"Parado")+COUNTIF($NX52:$NY52,"Parado"))&gt;0),"Atrasar não entra com Parado",""),IF(AND((COUNTIF($MK52:$MN52,"Armado")+COUNTIF($NX52:$NY52,"Armado"))&gt;0,(COUNTIF($MK52:$MN52,"Carregar")+COUNTIF($NX52:$NY52,"Carregar"))&gt;0),"Armado não entra com Carregar",""),IF(AND(COUNTIF($NX52:$NY52,"Corpo a Corpo")&gt;0,$NS52=0,OR($MH52="Cone",$MH52="Linha")),"Corpo a Corpo não entra em "&amp;$MH52,""),IF(AND(COUNTIF($NX52:$NY52,"Corpo a Corpo")&gt;0,$NS52=1),"A Forma "&amp;$MH52&amp;" já traz o Corpo a Corpo",""),IF(AND(COUNTIF($NX52:$NY52,"Tudo ou Nada")&gt;0,$NU52=0),"Tudo ou Nada só entra em habilidade de Teste de Resistência",""),IF(AND(COUNTIF($MK52:$MN52,"Inescapável")&gt;0,OR($OH52&gt;1,$OI52&gt;0)),"Inescapável não aceita outra peça",""),IF(AND($MF52&gt;0,$OQ52*IF(COUNTIF($MK52:$MN52,"Remate")&gt;0,1.25,1)+$OR52&gt;4*$MF52),($OQ52*IF(COUNTIF($MK52:$MN52,"Remate")&gt;0,1.25,1)+$OR52)&amp;" dados somando repetições"&amp;IF(COUNTIF($MK52:$MN52,"Remate")&gt;0," e o Remate","")&amp;": o teto da Classe "&amp;$MF52&amp;" é "&amp;4*$MF52,"")))</f>
        <v/>
      </c>
      <c r="PH52" s="152">
        <f>IF($PG52="",0,(LEN($PG52)-LEN(SUBSTITUTE($PG52," · ","")))/3+1)</f>
        <v/>
      </c>
      <c r="PI52" s="152">
        <f>IF($MQ52=0,"",TEXTJOIN(" · ",TRUE,IF($OK52&gt;2*$MF52,"A devolução parou no teto de "&amp;2*$MF52,""),IF($ON52&gt;0,"Devolução perdida: "&amp;$ON52&amp;IF($ON52&gt;1," pontos"," ponto")&amp;" sem peça para pagar",""),IF(AND($NP52&gt;0,AND($MF52&gt;0,$NT52=0),$OQ52=0),"Controle sem dano: uma rodada a mais e CD +2",""),IF(AND($NP52&gt;0,AND($MF52&gt;0,$NT52=0),$OQ52&gt;0,$OQ52&lt;=$MF52),"Controle com saldo até a Classe: uma rodada a mais",""),IF(AND($MF52&gt;0,$NR52&lt;&gt;""),"Efeito de "&amp;$NR52&amp;" pela Classe "&amp;MAX(1,$MF52-1),"")))</f>
        <v/>
      </c>
      <c r="PJ52" s="152">
        <f>IF($PI52="",0,(LEN($PI52)-LEN(SUBSTITUTE($PI52," · ","")))/3+1)</f>
        <v/>
      </c>
      <c r="PK52" s="152">
        <f>IF($MQ52=0,IF($OH52+COUNTIF($MO52:$MP52,"?*")&gt;0,"Dê um nome",""),IF($PH52&gt;0,"⚠ "&amp;$PH52&amp;IF($PH52&gt;1," erros"," erro"),IF($PJ52&gt;0,"! "&amp;$PJ52&amp;IF($PJ52&gt;1," avisos"," aviso"),"Na regra")))</f>
        <v/>
      </c>
      <c r="PL52" s="152">
        <f>IF($MQ52=0,"",IF($PH52+$PJ52=0,"Dentro das regras que a ficha confere",$PG52&amp;IF(AND($PH52&gt;0,$PJ52&gt;0)," · ","")&amp;$PI52))</f>
        <v/>
      </c>
      <c r="PM52" s="152">
        <f>IF($MD52&gt;$MR52,$ME52&amp;" · ABRE NO NÍVEL "&amp;$MD52,$ME52)</f>
        <v/>
      </c>
      <c r="PN52" s="152">
        <f>IF($MQ52=0,"",IF($MF52=0,"Sem PE",3*$MF52&amp;" PE"))</f>
        <v/>
      </c>
      <c r="PO52" s="152">
        <f>IF($MQ52=0,"",IF($MF52=0,"A atuação básica dela",IF(COUNTIF($NX52:$NY52,"Atrasar")&gt;0,"Sua Ação Completa",IF(COUNTIF($MK52:$MN52,"Rápido")&gt;0,"Sua Bônus",IF(COUNTIF($MK52:$MN52,"Reação")&gt;0,"Sua Reação","Sua Padrão")))&amp;" + a básica dela"&amp;IF(COUNTIF($MK52:$MN52,"Reação")&gt;0," e a coletiva","")&amp;IF(COUNTIF($NX52:$NY52,"Carregar")&gt;0," · em dois turnos","")))</f>
        <v/>
      </c>
      <c r="PP52" s="152">
        <f>IF($MJ52&lt;&gt;"",$MJ52,IF($MW52=0,"",INDEX($AA$2:$AA$11,$MW52)))</f>
        <v/>
      </c>
      <c r="PQ52" s="152">
        <f>IF(OR($MQ52=0,$MW52=0),"",IF(COUNTIF($MK52:$MN52,"Inescapável")&gt;0,"Automático",IF($PP52="Ataque",IF($MU52="","Ataque","Ataque "&amp;IF(($MU52+2*IF(COUNTIF($MK52:$MN52,"Precisão")&gt;0,1,0))&gt;=0,"+","−")&amp;ABS(($MU52+2*IF(COUNTIF($MK52:$MN52,"Precisão")&gt;0,1,0))))&amp;IF($NQ52&gt;0," · TR"&amp;IF($MV52="",""," CD "&amp;$MV52),""),IF(LEFT($PP52,2)="TR",$PP52&amp;IF($MV52="",""," · CD "&amp;$MV52)&amp;IF(COUNTIF($MK52:$MN52,"Certeiro")&gt;0," · metade",""),"Sem rolagem"))))</f>
        <v/>
      </c>
      <c r="PR52" s="152">
        <f>IF(OR($MQ52=0,$MW52=0),"",IF($MF52=0,IF(OR($NT52&gt;=1,$OQ52=0),"Sem dano",$OQ52&amp;"d6"&amp;IF($MI52="",""," "&amp;$MI52)),IF(OR($NT52&gt;=1,$OQ52=0),UPPER(LEFT(INDEX($OZ52:$PF52,1,MAX(1,$MF52)),1))&amp;MID(INDEX($OZ52:$PF52,1,MAX(1,$MF52)),2,99),UPPER(LEFT(INDEX($OZ52:$PF52,1,MAX(1,$MF52)),1))&amp;MID(INDEX($OZ52:$PF52,1,MAX(1,$MF52)),2,99)&amp;IF($MI52="",""," "&amp;$MI52)&amp;IF($OR52&gt;0," · +"&amp;$OR52&amp;"d8",""))))</f>
        <v/>
      </c>
      <c r="PS52" s="152">
        <f>COUNTIF($MK52:$MN52,"Longe")+3*COUNTIF($MK52:$MN52,"Muito Longe")</f>
        <v/>
      </c>
      <c r="PT52" s="152">
        <f>COUNTIF($MK52:$MN52,"Maior")+3*COUNTIF($MK52:$MN52,"Muito Maior")</f>
        <v/>
      </c>
      <c r="PU52" s="152">
        <f>IF($MW52=0,0,CHOOSE(1+INDEX($AC$2:$AC$11,$MW52),0,$PS52,$PT52,$PS52+$PT52))</f>
        <v/>
      </c>
      <c r="PV52" s="152">
        <f>IF($MW52=0,0,CHOOSE(1+INDEX($AD$2:$AD$11,$MW52),0,$PS52,$PT52,$PS52+$PT52))</f>
        <v/>
      </c>
      <c r="PW52" s="152">
        <f>IF(OR($MQ52=0,$MW52=0),"",INDEX($AI$2:$AN$41,($MW52-1)*4+IF($MF52=0,1,IF($MF52&lt;=5,2,IF($MF52=6,3,4))),1+MIN(5,$PU52))&amp;INDEX($AO$2:$AT$41,($MW52-1)*4+IF($MF52=0,1,IF($MF52&lt;=5,2,IF($MF52=6,3,4))),1+MIN(5,$PV52))&amp;IF(INDEX($AE$2:$AE$11,$MW52)=1,IF(COUNTIF($MK52:$MN52,"Mais Um")&gt;0," · +"&amp;COUNTIF($MK52:$MN52,"Mais Um")&amp;IF(COUNTIF($MK52:$MN52,"Mais Um")&gt;1," alvos"," alvo"),"")&amp;IF(COUNTIF($MK52:$MN52,"Rajada")&gt;0,IF($MF52=0," · 1 tiro"," · "&amp;(MAX(1,$MF52-1)+1)&amp;" tiros"),""),""))</f>
        <v/>
      </c>
      <c r="PX52" s="152">
        <f>IF($MQ52=0,"",IF($MF52=0,$MT52&amp;"d6"&amp;IF($OH52&gt;0," − 1 = "&amp;$OQ52&amp;"d6"," da básica do nível "&amp;$MR52),$OO52&amp;" − "&amp;$OJ52&amp;" + "&amp;$OM52&amp;" = "&amp;$OP52&amp;" · teto "&amp;4*$MF52&amp;"d8"&amp;IF($NS52=1," · a Forma devolve "&amp;$MF52,"")&amp;IF($ON52&gt;0," · perde "&amp;$ON52,"")))</f>
        <v/>
      </c>
      <c r="PY52" s="152">
        <f>IF($MQ52=0,"",IF($MF52=0,"A básica não amplia: os dados dela sobem com o nível",IF($MF52&gt;=$MS52,"Já está na maior Classe que o nível liberou",TEXTJOIN(" · ",TRUE,IF(AND(2&gt;$MF52,2&lt;=$MS52),"2 → "&amp;$PA52&amp;", 6 PE",""),IF(AND(3&gt;$MF52,3&lt;=$MS52),"3 → "&amp;$PB52&amp;", 9 PE",""),IF(AND(4&gt;$MF52,4&lt;=$MS52),"4 → "&amp;$PC52&amp;", 12 PE",""),IF(AND(5&gt;$MF52,5&lt;=$MS52),"5 → "&amp;$PD52&amp;", 15 PE",""),IF(AND(6&gt;$MF52,6&lt;=$MS52),"6 → "&amp;$PE52&amp;", 18 PE",""),IF(AND(7&gt;$MF52,7&lt;=$MS52),"7 → "&amp;$PF52&amp;", 21 PE","")))))</f>
        <v/>
      </c>
      <c r="PZ52" s="152">
        <f>IF(OR($MQ52=0,$NB52=0),"",IF($MF52=0,"−1 dado","−"&amp;INDEX($I$2:$N$8,MAX(1,$MF52),MAX(1,$NG52))&amp;" · "&amp;CHOOSE(MAX(1,$NG52),"Leve","Média","Pesada","Leve · Livre","Média · Livre","Pesada · Livre")))</f>
        <v/>
      </c>
      <c r="QA52" s="152">
        <f>IF(OR($MQ52=0,$NC52=0),"",IF($MF52=0,"−1 dado","−"&amp;INDEX($I$2:$N$8,MAX(1,$MF52),MAX(1,$NH52))&amp;" · "&amp;CHOOSE(MAX(1,$NH52),"Leve","Média","Pesada","Leve · Livre","Média · Livre","Pesada · Livre")))</f>
        <v/>
      </c>
      <c r="QB52" s="152">
        <f>IF(OR($MQ52=0,$ND52=0),"",IF($MF52=0,"−1 dado","−"&amp;INDEX($I$2:$N$8,MAX(1,$MF52),MAX(1,$NI52))&amp;" · "&amp;CHOOSE(MAX(1,$NI52),"Leve","Média","Pesada","Leve · Livre","Média · Livre","Pesada · Livre")))</f>
        <v/>
      </c>
      <c r="QC52" s="152">
        <f>IF(OR($MQ52=0,$NE52=0),"",IF($MF52=0,"−1 dado","−"&amp;INDEX($I$2:$N$8,MAX(1,$MF52),MAX(1,$NJ52))&amp;" · "&amp;CHOOSE(MAX(1,$NJ52),"Leve","Média","Pesada","Leve · Livre","Média · Livre","Pesada · Livre")))</f>
        <v/>
      </c>
      <c r="QD52" s="152">
        <f>IF(OR($MQ52=0,$MO52=""),"",IF($MF52=0,"não devolve","+"&amp;IF($NV52=1,CEILING($MF52/2,1),$MF52)))</f>
        <v/>
      </c>
      <c r="QE52" s="152">
        <f>IF(OR($MQ52=0,$MP52=""),"",IF($MF52=0,"não devolve","+"&amp;IF($NW52=1,CEILING($MF52/2,1),$MF52)))</f>
        <v/>
      </c>
    </row>
    <row r="53">
      <c r="AV53" s="150" t="inlineStr">
        <is>
          <t>Queima</t>
        </is>
      </c>
      <c r="AW53" s="150" t="inlineStr">
        <is>
          <t>Castigo</t>
        </is>
      </c>
      <c r="AX53" s="152" t="n">
        <v>2</v>
      </c>
      <c r="AY53" s="152" t="n">
        <v>0</v>
      </c>
      <c r="AZ53" s="152" t="n">
        <v>0</v>
      </c>
      <c r="BA53" s="152" t="n">
        <v>0</v>
      </c>
      <c r="JG53" s="152">
        <f>IF(OR($AW53="",COUNTIF($EF$2:$EJ$2,$AW53)&gt;0),$AV53,"")</f>
        <v/>
      </c>
      <c r="JH53" s="152">
        <f>IF(AND($AX53=1,OR($AW53="",COUNTIF($EF$2:$EJ$2,$AW53)&gt;0)),$AV53,"")</f>
        <v/>
      </c>
      <c r="JM53" s="152">
        <f>IF(OR($AW53="",COUNTIF($EF$3:$EJ$3,$AW53)&gt;0),$AV53,"")</f>
        <v/>
      </c>
      <c r="JN53" s="152">
        <f>IF(AND($AX53=1,OR($AW53="",COUNTIF($EF$3:$EJ$3,$AW53)&gt;0)),$AV53,"")</f>
        <v/>
      </c>
      <c r="JS53" s="152">
        <f>IF(OR($AW53="",COUNTIF($EF$4:$EJ$4,$AW53)&gt;0),$AV53,"")</f>
        <v/>
      </c>
      <c r="JT53" s="152">
        <f>IF(AND($AX53=1,OR($AW53="",COUNTIF($EF$4:$EJ$4,$AW53)&gt;0)),$AV53,"")</f>
        <v/>
      </c>
      <c r="JY53" s="152">
        <f>IF(OR($AW53="",COUNTIF($EF$5:$EJ$5,$AW53)&gt;0),$AV53,"")</f>
        <v/>
      </c>
      <c r="JZ53" s="152">
        <f>IF(AND($AX53=1,OR($AW53="",COUNTIF($EF$5:$EJ$5,$AW53)&gt;0)),$AV53,"")</f>
        <v/>
      </c>
      <c r="KE53" s="152">
        <f>IF(OR($AW53="",COUNTIF($EF$6:$EJ$6,$AW53)&gt;0),$AV53,"")</f>
        <v/>
      </c>
      <c r="KF53" s="152">
        <f>IF(AND($AX53=1,OR($AW53="",COUNTIF($EF$6:$EJ$6,$AW53)&gt;0)),$AV53,"")</f>
        <v/>
      </c>
      <c r="KK53" s="152">
        <f>IF(OR($AW53="",COUNTIF($EF$7:$EJ$7,$AW53)&gt;0),$AV53,"")</f>
        <v/>
      </c>
      <c r="KL53" s="152">
        <f>IF(AND($AX53=1,OR($AW53="",COUNTIF($EF$7:$EJ$7,$AW53)&gt;0)),$AV53,"")</f>
        <v/>
      </c>
      <c r="KQ53" s="152">
        <f>IF(OR($AW53="",COUNTIF($EF$8:$EJ$8,$AW53)&gt;0),$AV53,"")</f>
        <v/>
      </c>
      <c r="KR53" s="152">
        <f>IF(AND($AX53=1,OR($AW53="",COUNTIF($EF$8:$EJ$8,$AW53)&gt;0)),$AV53,"")</f>
        <v/>
      </c>
      <c r="KW53" s="152">
        <f>IF(OR($AW53="",COUNTIF($EF$9:$EJ$9,$AW53)&gt;0),$AV53,"")</f>
        <v/>
      </c>
      <c r="KX53" s="152">
        <f>IF(AND($AX53=1,OR($AW53="",COUNTIF($EF$9:$EJ$9,$AW53)&gt;0)),$AV53,"")</f>
        <v/>
      </c>
      <c r="LC53" s="152">
        <f>IF(OR($AW53="",COUNTIF($EF$10:$EJ$10,$AW53)&gt;0),$AV53,"")</f>
        <v/>
      </c>
      <c r="LD53" s="152">
        <f>IF(AND($AX53=1,OR($AW53="",COUNTIF($EF$10:$EJ$10,$AW53)&gt;0)),$AV53,"")</f>
        <v/>
      </c>
      <c r="LI53" s="152">
        <f>IF(OR($AW53="",COUNTIF($EF$11:$EJ$11,$AW53)&gt;0),$AV53,"")</f>
        <v/>
      </c>
      <c r="LJ53" s="152">
        <f>IF(AND($AX53=1,OR($AW53="",COUNTIF($EF$11:$EJ$11,$AW53)&gt;0)),$AV53,"")</f>
        <v/>
      </c>
      <c r="LO53" s="152">
        <f>IF(OR($AW53="",COUNTIF($EF$12:$EJ$12,$AW53)&gt;0),$AV53,"")</f>
        <v/>
      </c>
      <c r="LP53" s="152">
        <f>IF(AND($AX53=1,OR($AW53="",COUNTIF($EF$12:$EJ$12,$AW53)&gt;0)),$AV53,"")</f>
        <v/>
      </c>
      <c r="LU53" s="152">
        <f>IF(OR($AW53="",COUNTIF($EF$13:$EJ$13,$AW53)&gt;0),$AV53,"")</f>
        <v/>
      </c>
      <c r="LV53" s="152">
        <f>IF(AND($AX53=1,OR($AW53="",COUNTIF($EF$13:$EJ$13,$AW53)&gt;0)),$AV53,"")</f>
        <v/>
      </c>
      <c r="MA53" s="150" t="inlineStr">
        <is>
          <t>Ficha 4 · Escolha da trilha 3</t>
        </is>
      </c>
      <c r="MB53" s="152" t="n">
        <v>4</v>
      </c>
      <c r="MC53" s="152" t="n">
        <v>2</v>
      </c>
      <c r="MD53" s="152" t="n">
        <v>0</v>
      </c>
      <c r="ME53" s="150" t="inlineStr">
        <is>
          <t>ESCOLHA DA TRILHA 3</t>
        </is>
      </c>
      <c r="MF53" s="152">
        <f>MAX(0,MIN(7,N('INVOCAÇÕES'!$U$754)))</f>
        <v/>
      </c>
      <c r="MG53" s="152">
        <f>'INVOCAÇÕES'!$V$754&amp;""</f>
        <v/>
      </c>
      <c r="MH53" s="152">
        <f>'INVOCAÇÕES'!$U$759&amp;""</f>
        <v/>
      </c>
      <c r="MI53" s="152">
        <f>'INVOCAÇÕES'!$U$760&amp;""</f>
        <v/>
      </c>
      <c r="MJ53" s="152">
        <f>'INVOCAÇÕES'!$W$760&amp;""</f>
        <v/>
      </c>
      <c r="MK53" s="152">
        <f>'INVOCAÇÕES'!$V$763&amp;""</f>
        <v/>
      </c>
      <c r="ML53" s="152">
        <f>'INVOCAÇÕES'!$V$764&amp;""</f>
        <v/>
      </c>
      <c r="MM53" s="152">
        <f>'INVOCAÇÕES'!$V$765&amp;""</f>
        <v/>
      </c>
      <c r="MN53" s="152">
        <f>'INVOCAÇÕES'!$V$766&amp;""</f>
        <v/>
      </c>
      <c r="MO53" s="152">
        <f>'INVOCAÇÕES'!$V$767&amp;""</f>
        <v/>
      </c>
      <c r="MP53" s="152">
        <f>'INVOCAÇÕES'!$V$768&amp;""</f>
        <v/>
      </c>
      <c r="MQ53" s="152">
        <f>IF($MG53&lt;&gt;"",1,0)</f>
        <v/>
      </c>
      <c r="MR53" s="152">
        <f>INDEX($FI$2:$FI$13,$MB53)</f>
        <v/>
      </c>
      <c r="MS53" s="152">
        <f>INDEX($FJ$2:$FJ$13,$MB53)</f>
        <v/>
      </c>
      <c r="MT53" s="152">
        <f>INDEX($FK$2:$FK$13,$MB53)</f>
        <v/>
      </c>
      <c r="MU53" s="152">
        <f>INDEX($FV$2:$FV$13,$MB53)</f>
        <v/>
      </c>
      <c r="MV53" s="152">
        <f>INDEX($FW$2:$FW$13,$MB53)</f>
        <v/>
      </c>
      <c r="MW53" s="152">
        <f>IFERROR(MATCH($MH53,$V$2:$V$11,0),0)</f>
        <v/>
      </c>
      <c r="MX53" s="152">
        <f>IFERROR(VLOOKUP($MK53,$AV$2:$BA$84,2,FALSE),"")</f>
        <v/>
      </c>
      <c r="MY53" s="152">
        <f>IFERROR(VLOOKUP($ML53,$AV$2:$BA$84,2,FALSE),"")</f>
        <v/>
      </c>
      <c r="MZ53" s="152">
        <f>IFERROR(VLOOKUP($MM53,$AV$2:$BA$84,2,FALSE),"")</f>
        <v/>
      </c>
      <c r="NA53" s="152">
        <f>IFERROR(VLOOKUP($MN53,$AV$2:$BA$84,2,FALSE),"")</f>
        <v/>
      </c>
      <c r="NB53" s="152">
        <f>IFERROR(VLOOKUP($MK53,$AV$2:$BA$84,3,FALSE),0)</f>
        <v/>
      </c>
      <c r="NC53" s="152">
        <f>IFERROR(VLOOKUP($ML53,$AV$2:$BA$84,3,FALSE),0)</f>
        <v/>
      </c>
      <c r="ND53" s="152">
        <f>IFERROR(VLOOKUP($MM53,$AV$2:$BA$84,3,FALSE),0)</f>
        <v/>
      </c>
      <c r="NE53" s="152">
        <f>IFERROR(VLOOKUP($MN53,$AV$2:$BA$84,3,FALSE),0)</f>
        <v/>
      </c>
      <c r="NF53" s="152">
        <f>IF($MF53=0,0,IF($MW53=0,0,INDEX($X$2:$X$11,$MW53)))</f>
        <v/>
      </c>
      <c r="NG53" s="152">
        <f>IF(OR($NB53=0,$MF53=0),0,$NB53+3*IF(AND($MX53&lt;&gt;"",OR($MX53=INDEX($EF$2:$EF$13,$MB53),$MX53=INDEX($EG$2:$EG$13,$MB53))),1,0))</f>
        <v/>
      </c>
      <c r="NH53" s="152">
        <f>IF(OR($NC53=0,$MF53=0),0,$NC53+3*IF(AND($MY53&lt;&gt;"",OR($MY53=INDEX($EF$2:$EF$13,$MB53),$MY53=INDEX($EG$2:$EG$13,$MB53))),1,0))</f>
        <v/>
      </c>
      <c r="NI53" s="152">
        <f>IF(OR($ND53=0,$MF53=0),0,$ND53+3*IF(AND($MZ53&lt;&gt;"",OR($MZ53=INDEX($EF$2:$EF$13,$MB53),$MZ53=INDEX($EG$2:$EG$13,$MB53))),1,0))</f>
        <v/>
      </c>
      <c r="NJ53" s="152">
        <f>IF(OR($NE53=0,$MF53=0),0,$NE53+3*IF(AND($NA53&lt;&gt;"",OR($NA53=INDEX($EF$2:$EF$13,$MB53),$NA53=INDEX($EG$2:$EG$13,$MB53))),1,0))</f>
        <v/>
      </c>
      <c r="NK53" s="152">
        <f>IF($MW53=0,0,IF(INDEX($W$2:$W$11,$MW53)="",0,IF(COUNTIF(INDEX($EF$2:$EJ$13,$MB53,0),INDEX($W$2:$W$11,$MW53))=0,1,0)))</f>
        <v/>
      </c>
      <c r="NL53" s="152">
        <f>IF(OR($NB53=0,$MX53=""),0,IF(COUNTIF(INDEX($EF$2:$EJ$13,$MB53,0),$MX53)=0,1,0))</f>
        <v/>
      </c>
      <c r="NM53" s="152">
        <f>IF(OR($NC53=0,$MY53=""),0,IF(COUNTIF(INDEX($EF$2:$EJ$13,$MB53,0),$MY53)=0,1,0))</f>
        <v/>
      </c>
      <c r="NN53" s="152">
        <f>IF(OR($ND53=0,$MZ53=""),0,IF(COUNTIF(INDEX($EF$2:$EJ$13,$MB53,0),$MZ53)=0,1,0))</f>
        <v/>
      </c>
      <c r="NO53" s="152">
        <f>IF(OR($NE53=0,$NA53=""),0,IF(COUNTIF(INDEX($EF$2:$EJ$13,$MB53,0),$NA53)=0,1,0))</f>
        <v/>
      </c>
      <c r="NP53" s="152">
        <f>IFERROR(VLOOKUP($MK53,$AV$2:$BA$84,4,FALSE),0)+IFERROR(VLOOKUP($ML53,$AV$2:$BA$84,4,FALSE),0)+IFERROR(VLOOKUP($MM53,$AV$2:$BA$84,4,FALSE),0)+IFERROR(VLOOKUP($MN53,$AV$2:$BA$84,4,FALSE),0)</f>
        <v/>
      </c>
      <c r="NQ53" s="152">
        <f>IFERROR(VLOOKUP($MK53,$AV$2:$BA$84,6,FALSE),0)+IFERROR(VLOOKUP($ML53,$AV$2:$BA$84,6,FALSE),0)+IFERROR(VLOOKUP($MM53,$AV$2:$BA$84,6,FALSE),0)+IFERROR(VLOOKUP($MN53,$AV$2:$BA$84,6,FALSE),0)</f>
        <v/>
      </c>
      <c r="NR53" s="152">
        <f>TEXTJOIN(", ",TRUE,IF(IFERROR(VLOOKUP($MK53,$AV$2:$BA$84,5,FALSE),0)=1,$MK53,""),IF(IFERROR(VLOOKUP($ML53,$AV$2:$BA$84,5,FALSE),0)=1,$ML53,""),IF(IFERROR(VLOOKUP($MM53,$AV$2:$BA$84,5,FALSE),0)=1,$MM53,""),IF(IFERROR(VLOOKUP($MN53,$AV$2:$BA$84,5,FALSE),0)=1,$MN53,""))</f>
        <v/>
      </c>
      <c r="NS53" s="152">
        <f>IF($MW53=0,0,INDEX($Y$2:$Y$11,$MW53))</f>
        <v/>
      </c>
      <c r="NT53" s="152">
        <f>IF($MW53=0,0,INDEX($Z$2:$Z$11,$MW53))</f>
        <v/>
      </c>
      <c r="NU53" s="152">
        <f>IF($MW53=0,0,INDEX($AB$2:$AB$11,$MW53))</f>
        <v/>
      </c>
      <c r="NV53" s="152">
        <f>IFERROR(VLOOKUP($MO53,$BC$2:$BG$24,3,FALSE),0)</f>
        <v/>
      </c>
      <c r="NW53" s="152">
        <f>IFERROR(VLOOKUP($MP53,$BC$2:$BG$24,3,FALSE),0)</f>
        <v/>
      </c>
      <c r="NX53" s="152">
        <f>IFERROR(VLOOKUP($MO53,$BC$2:$BG$24,2,FALSE),"")</f>
        <v/>
      </c>
      <c r="NY53" s="152">
        <f>IFERROR(VLOOKUP($MP53,$BC$2:$BG$24,2,FALSE),"")</f>
        <v/>
      </c>
      <c r="NZ53" s="152">
        <f>COUNTIF($NF53:$NJ53,1)</f>
        <v/>
      </c>
      <c r="OA53" s="152">
        <f>COUNTIF($NF53:$NJ53,2)</f>
        <v/>
      </c>
      <c r="OB53" s="152">
        <f>COUNTIF($NF53:$NJ53,3)</f>
        <v/>
      </c>
      <c r="OC53" s="152">
        <f>COUNTIF($NF53:$NJ53,4)</f>
        <v/>
      </c>
      <c r="OD53" s="152">
        <f>COUNTIF($NF53:$NJ53,5)</f>
        <v/>
      </c>
      <c r="OE53" s="152">
        <f>COUNTIF($NF53:$NJ53,6)</f>
        <v/>
      </c>
      <c r="OF53" s="152">
        <f>COUNTIF($NV53:$NW53,1)</f>
        <v/>
      </c>
      <c r="OG53" s="152">
        <f>COUNTIF($NV53:$NW53,2)+$NS53</f>
        <v/>
      </c>
      <c r="OH53" s="152">
        <f>COUNTIF($MK53:$MN53,"?*")</f>
        <v/>
      </c>
      <c r="OI53" s="152">
        <f>COUNTIF($MO53:$MP53,"?*")+$NS53</f>
        <v/>
      </c>
      <c r="OJ53" s="152">
        <f>IF($MF53=0,0,SUMPRODUCT($NZ53:$OE53,INDEX($I$2:$N$8,MAX(1,$MF53),0)))</f>
        <v/>
      </c>
      <c r="OK53" s="152">
        <f>IF($MF53=0,0,$OF53*CEILING($MF53/2,1)+$OG53*$MF53)</f>
        <v/>
      </c>
      <c r="OL53" s="152">
        <f>MIN(2*$MF53,$OK53)</f>
        <v/>
      </c>
      <c r="OM53" s="152">
        <f>MIN($OL53,$OJ53)</f>
        <v/>
      </c>
      <c r="ON53" s="152">
        <f>$OL53-$OM53</f>
        <v/>
      </c>
      <c r="OO53" s="152">
        <f>IF($MF53=0,0,INDEX($P$2:$P$8,MAX(1,$MF53)))</f>
        <v/>
      </c>
      <c r="OP53" s="152">
        <f>$OO53-$OJ53+$OM53</f>
        <v/>
      </c>
      <c r="OQ53" s="152">
        <f>IF($MF53=0,MAX(0,$MT53-IF($OH53&gt;0,1,0)),MAX(0,$OP53))</f>
        <v/>
      </c>
      <c r="OR53" s="152">
        <f>IF($MF53=0,0,(IF(COUNTIF($MK53:$MN53,"Salto")&gt;0,1,0)+IF(COUNTIF($MK53:$MN53,"Queima")&gt;0,1,0)+IF(COUNTIF($MK53:$MN53,"Estilhaço")&gt;0,1,0))*FLOOR($OQ53/2,1))</f>
        <v/>
      </c>
      <c r="OS53" s="152">
        <f>MAX(0,2-SUMPRODUCT($NZ53:$OE53,$I$2:$N$2)+MIN(2,$OF53*1+$OG53*1,SUMPRODUCT($NZ53:$OE53,$I$2:$N$2)))</f>
        <v/>
      </c>
      <c r="OT53" s="152">
        <f>MAX(0,4-SUMPRODUCT($NZ53:$OE53,$I$3:$N$3)+MIN(4,$OF53*1+$OG53*2,SUMPRODUCT($NZ53:$OE53,$I$3:$N$3)))</f>
        <v/>
      </c>
      <c r="OU53" s="152">
        <f>MAX(0,6-SUMPRODUCT($NZ53:$OE53,$I$4:$N$4)+MIN(6,$OF53*2+$OG53*3,SUMPRODUCT($NZ53:$OE53,$I$4:$N$4)))</f>
        <v/>
      </c>
      <c r="OV53" s="152">
        <f>MAX(0,9-SUMPRODUCT($NZ53:$OE53,$I$5:$N$5)+MIN(8,$OF53*2+$OG53*4,SUMPRODUCT($NZ53:$OE53,$I$5:$N$5)))</f>
        <v/>
      </c>
      <c r="OW53" s="152">
        <f>MAX(0,11-SUMPRODUCT($NZ53:$OE53,$I$6:$N$6)+MIN(10,$OF53*3+$OG53*5,SUMPRODUCT($NZ53:$OE53,$I$6:$N$6)))</f>
        <v/>
      </c>
      <c r="OX53" s="152">
        <f>MAX(0,13-SUMPRODUCT($NZ53:$OE53,$I$7:$N$7)+MIN(12,$OF53*3+$OG53*6,SUMPRODUCT($NZ53:$OE53,$I$7:$N$7)))</f>
        <v/>
      </c>
      <c r="OY53" s="152">
        <f>MAX(0,16-SUMPRODUCT($NZ53:$OE53,$I$8:$N$8)+MIN(14,$OF53*4+$OG53*7,SUMPRODUCT($NZ53:$OE53,$I$8:$N$8)))</f>
        <v/>
      </c>
      <c r="OZ53" s="152">
        <f>IF($NT53=2,3*$OS53&amp;" de vida temp.",IF($NT53=3,"sem dano",IF($OS53=0,IF($NT53=1,"sem cura","sem dano"),IF($NT53=1,"cura ","")&amp;$OS53&amp;"d8")))</f>
        <v/>
      </c>
      <c r="PA53" s="152">
        <f>IF($NT53=2,3*$OT53&amp;" de vida temp.",IF($NT53=3,"sem dano",IF($OT53=0,IF($NT53=1,"sem cura","sem dano"),IF($NT53=1,"cura ","")&amp;$OT53&amp;"d8")))</f>
        <v/>
      </c>
      <c r="PB53" s="152">
        <f>IF($NT53=2,3*$OU53&amp;" de vida temp.",IF($NT53=3,"sem dano",IF($OU53=0,IF($NT53=1,"sem cura","sem dano"),IF($NT53=1,"cura ","")&amp;$OU53&amp;"d8")))</f>
        <v/>
      </c>
      <c r="PC53" s="152">
        <f>IF($NT53=2,3*$OV53&amp;" de vida temp.",IF($NT53=3,"sem dano",IF($OV53=0,IF($NT53=1,"sem cura","sem dano"),IF($NT53=1,"cura ","")&amp;$OV53&amp;"d8")))</f>
        <v/>
      </c>
      <c r="PD53" s="152">
        <f>IF($NT53=2,3*$OW53&amp;" de vida temp.",IF($NT53=3,"sem dano",IF($OW53=0,IF($NT53=1,"sem cura","sem dano"),IF($NT53=1,"cura ","")&amp;$OW53&amp;"d8")))</f>
        <v/>
      </c>
      <c r="PE53" s="152">
        <f>IF($NT53=2,3*$OX53&amp;" de vida temp.",IF($NT53=3,"sem dano",IF($OX53=0,IF($NT53=1,"sem cura","sem dano"),IF($NT53=1,"cura ","")&amp;$OX53&amp;"d8")))</f>
        <v/>
      </c>
      <c r="PF53" s="152">
        <f>IF($NT53=2,3*$OY53&amp;" de vida temp.",IF($NT53=3,"sem dano",IF($OY53=0,IF($NT53=1,"sem cura","sem dano"),IF($NT53=1,"cura ","")&amp;$OY53&amp;"d8")))</f>
        <v/>
      </c>
      <c r="PG53" s="152">
        <f>IF($MQ53=0,"",TEXTJOIN(" · ",TRUE,IF($MD53&gt;$MR53,"Este lugar abre no nível "&amp;$MD53,""),IF($MF53&gt;$MS53,"Classe "&amp;$MF53&amp;": o nível "&amp;$MR53&amp;" libera até a "&amp;$MS53,""),IF($NK53=1,"A Forma "&amp;$MH53&amp;" pede "&amp;INDEX($W$2:$W$11,$MW53)&amp;" aberta",""),IF(AND($MF53=0,$MW53&gt;0,IF($MW53=0,0,INDEX($AF$2:$AF$11,$MW53))=0),$MH53&amp;" não existe na Classe 0",""),IF($NL53=1,"Família Fechada: "&amp;$MK53,""),IF($NM53=1,"Família Fechada: "&amp;$ML53,""),IF($NN53=1,"Família Fechada: "&amp;$MM53,""),IF($NO53=1,"Família Fechada: "&amp;$MN53,""),IF(AND($MF53&gt;0,$OH53&gt;INDEX($O$2:$O$8,MAX(1,$MF53))),$OH53&amp;" Melhorias: a Classe "&amp;$MF53&amp;" aceita "&amp;INDEX($O$2:$O$8,MAX(1,$MF53)),""),IF(AND($MF53=0,$OH53&gt;1),"A básica aceita uma Melhoria",""),IF(AND($MF53=0,COUNTIF($NB53:$NE53,"&gt;1")&gt;0),"A básica só aceita Melhoria Leve",""),IF(AND($MF53&gt;0,$OI53&gt;2),$OI53&amp;" Restrições"&amp;IF($NS53=1,", contando a que a Forma "&amp;$MH53&amp;" já traz","")&amp;": o limite é 2",""),IF(AND($MF53=0,COUNTIF($MO53:$MP53,"?*")&gt;1),"A básica aceita uma Restrição Leve",""),IF(AND($MF53=0,COUNTIF($NV53:$NW53,2)&gt;0),"A básica só aceita Restrição Leve",""),IF(AND($MF53&gt;0,$OP53&lt;0),"Orçamento estourado: faltam "&amp;(-$OP53)&amp;IF($OP53&lt;-1," pontos"," ponto"),""),IF(IFERROR(VLOOKUP($MO53,$BC$2:$BG$24,4,FALSE),0)+IFERROR(VLOOKUP($MP53,$BC$2:$BG$24,4,FALSE),0)&gt;1,$NX53&amp;" e "&amp;$NY53&amp;" são as duas de frequência",""),IF(AND((COUNTIF($MK53:$MN53,"Rápido")+COUNTIF($NX53:$NY53,"Rápido"))&gt;0,(COUNTIF($MK53:$MN53,"Atrasar")+COUNTIF($NX53:$NY53,"Atrasar"))&gt;0),"Rápido não entra com Atrasar",""),IF(AND((COUNTIF($MK53:$MN53,"Reação")+COUNTIF($NX53:$NY53,"Reação"))&gt;0,(COUNTIF($MK53:$MN53,"Rápido")+COUNTIF($NX53:$NY53,"Rápido"))&gt;0),"Reação não entra com Rápido",""),IF(AND((COUNTIF($MK53:$MN53,"Reação")+COUNTIF($NX53:$NY53,"Reação"))&gt;0,(COUNTIF($MK53:$MN53,"Armado")+COUNTIF($NX53:$NY53,"Armado"))&gt;0),"Reação não entra com Armado",""),IF(AND((COUNTIF($MK53:$MN53,"Reação")+COUNTIF($NX53:$NY53,"Reação"))&gt;0,(COUNTIF($MK53:$MN53,"Atrasar")+COUNTIF($NX53:$NY53,"Atrasar"))&gt;0),"Reação não entra com Atrasar",""),IF(AND((COUNTIF($MK53:$MN53,"Reação")+COUNTIF($NX53:$NY53,"Reação"))&gt;0,(COUNTIF($MK53:$MN53,"Parado")+COUNTIF($NX53:$NY53,"Parado"))&gt;0),"Reação não entra com Parado",""),IF(AND((COUNTIF($MK53:$MN53,"Atrasar")+COUNTIF($NX53:$NY53,"Atrasar"))&gt;0,(COUNTIF($MK53:$MN53,"Parado")+COUNTIF($NX53:$NY53,"Parado"))&gt;0),"Atrasar não entra com Parado",""),IF(AND((COUNTIF($MK53:$MN53,"Armado")+COUNTIF($NX53:$NY53,"Armado"))&gt;0,(COUNTIF($MK53:$MN53,"Carregar")+COUNTIF($NX53:$NY53,"Carregar"))&gt;0),"Armado não entra com Carregar",""),IF(AND(COUNTIF($NX53:$NY53,"Corpo a Corpo")&gt;0,$NS53=0,OR($MH53="Cone",$MH53="Linha")),"Corpo a Corpo não entra em "&amp;$MH53,""),IF(AND(COUNTIF($NX53:$NY53,"Corpo a Corpo")&gt;0,$NS53=1),"A Forma "&amp;$MH53&amp;" já traz o Corpo a Corpo",""),IF(AND(COUNTIF($NX53:$NY53,"Tudo ou Nada")&gt;0,$NU53=0),"Tudo ou Nada só entra em habilidade de Teste de Resistência",""),IF(AND(COUNTIF($MK53:$MN53,"Inescapável")&gt;0,OR($OH53&gt;1,$OI53&gt;0)),"Inescapável não aceita outra peça",""),IF(AND($MF53&gt;0,$OQ53*IF(COUNTIF($MK53:$MN53,"Remate")&gt;0,1.25,1)+$OR53&gt;4*$MF53),($OQ53*IF(COUNTIF($MK53:$MN53,"Remate")&gt;0,1.25,1)+$OR53)&amp;" dados somando repetições"&amp;IF(COUNTIF($MK53:$MN53,"Remate")&gt;0," e o Remate","")&amp;": o teto da Classe "&amp;$MF53&amp;" é "&amp;4*$MF53,"")))</f>
        <v/>
      </c>
      <c r="PH53" s="152">
        <f>IF($PG53="",0,(LEN($PG53)-LEN(SUBSTITUTE($PG53," · ","")))/3+1)</f>
        <v/>
      </c>
      <c r="PI53" s="152">
        <f>IF($MQ53=0,"",TEXTJOIN(" · ",TRUE,IF($OK53&gt;2*$MF53,"A devolução parou no teto de "&amp;2*$MF53,""),IF($ON53&gt;0,"Devolução perdida: "&amp;$ON53&amp;IF($ON53&gt;1," pontos"," ponto")&amp;" sem peça para pagar",""),IF(AND($NP53&gt;0,AND($MF53&gt;0,$NT53=0),$OQ53=0),"Controle sem dano: uma rodada a mais e CD +2",""),IF(AND($NP53&gt;0,AND($MF53&gt;0,$NT53=0),$OQ53&gt;0,$OQ53&lt;=$MF53),"Controle com saldo até a Classe: uma rodada a mais",""),IF(AND($MF53&gt;0,$NR53&lt;&gt;""),"Efeito de "&amp;$NR53&amp;" pela Classe "&amp;MAX(1,$MF53-1),"")))</f>
        <v/>
      </c>
      <c r="PJ53" s="152">
        <f>IF($PI53="",0,(LEN($PI53)-LEN(SUBSTITUTE($PI53," · ","")))/3+1)</f>
        <v/>
      </c>
      <c r="PK53" s="152">
        <f>IF($MQ53=0,IF($OH53+COUNTIF($MO53:$MP53,"?*")&gt;0,"Dê um nome",""),IF($PH53&gt;0,"⚠ "&amp;$PH53&amp;IF($PH53&gt;1," erros"," erro"),IF($PJ53&gt;0,"! "&amp;$PJ53&amp;IF($PJ53&gt;1," avisos"," aviso"),"Na regra")))</f>
        <v/>
      </c>
      <c r="PL53" s="152">
        <f>IF($MQ53=0,"",IF($PH53+$PJ53=0,"Dentro das regras que a ficha confere",$PG53&amp;IF(AND($PH53&gt;0,$PJ53&gt;0)," · ","")&amp;$PI53))</f>
        <v/>
      </c>
      <c r="PM53" s="152">
        <f>IF($MD53&gt;$MR53,$ME53&amp;" · ABRE NO NÍVEL "&amp;$MD53,$ME53)</f>
        <v/>
      </c>
      <c r="PN53" s="152">
        <f>IF($MQ53=0,"",IF($MF53=0,"Sem PE",3*$MF53&amp;" PE"))</f>
        <v/>
      </c>
      <c r="PO53" s="152">
        <f>IF($MQ53=0,"",IF($MF53=0,"A atuação básica dela",IF(COUNTIF($NX53:$NY53,"Atrasar")&gt;0,"Sua Ação Completa",IF(COUNTIF($MK53:$MN53,"Rápido")&gt;0,"Sua Bônus",IF(COUNTIF($MK53:$MN53,"Reação")&gt;0,"Sua Reação","Sua Padrão")))&amp;" + a básica dela"&amp;IF(COUNTIF($MK53:$MN53,"Reação")&gt;0," e a coletiva","")&amp;IF(COUNTIF($NX53:$NY53,"Carregar")&gt;0," · em dois turnos","")))</f>
        <v/>
      </c>
      <c r="PP53" s="152">
        <f>IF($MJ53&lt;&gt;"",$MJ53,IF($MW53=0,"",INDEX($AA$2:$AA$11,$MW53)))</f>
        <v/>
      </c>
      <c r="PQ53" s="152">
        <f>IF(OR($MQ53=0,$MW53=0),"",IF(COUNTIF($MK53:$MN53,"Inescapável")&gt;0,"Automático",IF($PP53="Ataque",IF($MU53="","Ataque","Ataque "&amp;IF(($MU53+2*IF(COUNTIF($MK53:$MN53,"Precisão")&gt;0,1,0))&gt;=0,"+","−")&amp;ABS(($MU53+2*IF(COUNTIF($MK53:$MN53,"Precisão")&gt;0,1,0))))&amp;IF($NQ53&gt;0," · TR"&amp;IF($MV53="",""," CD "&amp;$MV53),""),IF(LEFT($PP53,2)="TR",$PP53&amp;IF($MV53="",""," · CD "&amp;$MV53)&amp;IF(COUNTIF($MK53:$MN53,"Certeiro")&gt;0," · metade",""),"Sem rolagem"))))</f>
        <v/>
      </c>
      <c r="PR53" s="152">
        <f>IF(OR($MQ53=0,$MW53=0),"",IF($MF53=0,IF(OR($NT53&gt;=1,$OQ53=0),"Sem dano",$OQ53&amp;"d6"&amp;IF($MI53="",""," "&amp;$MI53)),IF(OR($NT53&gt;=1,$OQ53=0),UPPER(LEFT(INDEX($OZ53:$PF53,1,MAX(1,$MF53)),1))&amp;MID(INDEX($OZ53:$PF53,1,MAX(1,$MF53)),2,99),UPPER(LEFT(INDEX($OZ53:$PF53,1,MAX(1,$MF53)),1))&amp;MID(INDEX($OZ53:$PF53,1,MAX(1,$MF53)),2,99)&amp;IF($MI53="",""," "&amp;$MI53)&amp;IF($OR53&gt;0," · +"&amp;$OR53&amp;"d8",""))))</f>
        <v/>
      </c>
      <c r="PS53" s="152">
        <f>COUNTIF($MK53:$MN53,"Longe")+3*COUNTIF($MK53:$MN53,"Muito Longe")</f>
        <v/>
      </c>
      <c r="PT53" s="152">
        <f>COUNTIF($MK53:$MN53,"Maior")+3*COUNTIF($MK53:$MN53,"Muito Maior")</f>
        <v/>
      </c>
      <c r="PU53" s="152">
        <f>IF($MW53=0,0,CHOOSE(1+INDEX($AC$2:$AC$11,$MW53),0,$PS53,$PT53,$PS53+$PT53))</f>
        <v/>
      </c>
      <c r="PV53" s="152">
        <f>IF($MW53=0,0,CHOOSE(1+INDEX($AD$2:$AD$11,$MW53),0,$PS53,$PT53,$PS53+$PT53))</f>
        <v/>
      </c>
      <c r="PW53" s="152">
        <f>IF(OR($MQ53=0,$MW53=0),"",INDEX($AI$2:$AN$41,($MW53-1)*4+IF($MF53=0,1,IF($MF53&lt;=5,2,IF($MF53=6,3,4))),1+MIN(5,$PU53))&amp;INDEX($AO$2:$AT$41,($MW53-1)*4+IF($MF53=0,1,IF($MF53&lt;=5,2,IF($MF53=6,3,4))),1+MIN(5,$PV53))&amp;IF(INDEX($AE$2:$AE$11,$MW53)=1,IF(COUNTIF($MK53:$MN53,"Mais Um")&gt;0," · +"&amp;COUNTIF($MK53:$MN53,"Mais Um")&amp;IF(COUNTIF($MK53:$MN53,"Mais Um")&gt;1," alvos"," alvo"),"")&amp;IF(COUNTIF($MK53:$MN53,"Rajada")&gt;0,IF($MF53=0," · 1 tiro"," · "&amp;(MAX(1,$MF53-1)+1)&amp;" tiros"),""),""))</f>
        <v/>
      </c>
      <c r="PX53" s="152">
        <f>IF($MQ53=0,"",IF($MF53=0,$MT53&amp;"d6"&amp;IF($OH53&gt;0," − 1 = "&amp;$OQ53&amp;"d6"," da básica do nível "&amp;$MR53),$OO53&amp;" − "&amp;$OJ53&amp;" + "&amp;$OM53&amp;" = "&amp;$OP53&amp;" · teto "&amp;4*$MF53&amp;"d8"&amp;IF($NS53=1," · a Forma devolve "&amp;$MF53,"")&amp;IF($ON53&gt;0," · perde "&amp;$ON53,"")))</f>
        <v/>
      </c>
      <c r="PY53" s="152">
        <f>IF($MQ53=0,"",IF($MF53=0,"A básica não amplia: os dados dela sobem com o nível",IF($MF53&gt;=$MS53,"Já está na maior Classe que o nível liberou",TEXTJOIN(" · ",TRUE,IF(AND(2&gt;$MF53,2&lt;=$MS53),"2 → "&amp;$PA53&amp;", 6 PE",""),IF(AND(3&gt;$MF53,3&lt;=$MS53),"3 → "&amp;$PB53&amp;", 9 PE",""),IF(AND(4&gt;$MF53,4&lt;=$MS53),"4 → "&amp;$PC53&amp;", 12 PE",""),IF(AND(5&gt;$MF53,5&lt;=$MS53),"5 → "&amp;$PD53&amp;", 15 PE",""),IF(AND(6&gt;$MF53,6&lt;=$MS53),"6 → "&amp;$PE53&amp;", 18 PE",""),IF(AND(7&gt;$MF53,7&lt;=$MS53),"7 → "&amp;$PF53&amp;", 21 PE","")))))</f>
        <v/>
      </c>
      <c r="PZ53" s="152">
        <f>IF(OR($MQ53=0,$NB53=0),"",IF($MF53=0,"−1 dado","−"&amp;INDEX($I$2:$N$8,MAX(1,$MF53),MAX(1,$NG53))&amp;" · "&amp;CHOOSE(MAX(1,$NG53),"Leve","Média","Pesada","Leve · Livre","Média · Livre","Pesada · Livre")))</f>
        <v/>
      </c>
      <c r="QA53" s="152">
        <f>IF(OR($MQ53=0,$NC53=0),"",IF($MF53=0,"−1 dado","−"&amp;INDEX($I$2:$N$8,MAX(1,$MF53),MAX(1,$NH53))&amp;" · "&amp;CHOOSE(MAX(1,$NH53),"Leve","Média","Pesada","Leve · Livre","Média · Livre","Pesada · Livre")))</f>
        <v/>
      </c>
      <c r="QB53" s="152">
        <f>IF(OR($MQ53=0,$ND53=0),"",IF($MF53=0,"−1 dado","−"&amp;INDEX($I$2:$N$8,MAX(1,$MF53),MAX(1,$NI53))&amp;" · "&amp;CHOOSE(MAX(1,$NI53),"Leve","Média","Pesada","Leve · Livre","Média · Livre","Pesada · Livre")))</f>
        <v/>
      </c>
      <c r="QC53" s="152">
        <f>IF(OR($MQ53=0,$NE53=0),"",IF($MF53=0,"−1 dado","−"&amp;INDEX($I$2:$N$8,MAX(1,$MF53),MAX(1,$NJ53))&amp;" · "&amp;CHOOSE(MAX(1,$NJ53),"Leve","Média","Pesada","Leve · Livre","Média · Livre","Pesada · Livre")))</f>
        <v/>
      </c>
      <c r="QD53" s="152">
        <f>IF(OR($MQ53=0,$MO53=""),"",IF($MF53=0,"não devolve","+"&amp;IF($NV53=1,CEILING($MF53/2,1),$MF53)))</f>
        <v/>
      </c>
      <c r="QE53" s="152">
        <f>IF(OR($MQ53=0,$MP53=""),"",IF($MF53=0,"não devolve","+"&amp;IF($NW53=1,CEILING($MF53/2,1),$MF53)))</f>
        <v/>
      </c>
    </row>
    <row r="54">
      <c r="AV54" s="150" t="inlineStr">
        <is>
          <t>Acúmulo</t>
        </is>
      </c>
      <c r="AW54" s="150" t="inlineStr">
        <is>
          <t>Castigo</t>
        </is>
      </c>
      <c r="AX54" s="152" t="n">
        <v>2</v>
      </c>
      <c r="AY54" s="152" t="n">
        <v>0</v>
      </c>
      <c r="AZ54" s="152" t="n">
        <v>0</v>
      </c>
      <c r="BA54" s="152" t="n">
        <v>0</v>
      </c>
      <c r="JG54" s="152">
        <f>IF(OR($AW54="",COUNTIF($EF$2:$EJ$2,$AW54)&gt;0),$AV54,"")</f>
        <v/>
      </c>
      <c r="JH54" s="152">
        <f>IF(AND($AX54=1,OR($AW54="",COUNTIF($EF$2:$EJ$2,$AW54)&gt;0)),$AV54,"")</f>
        <v/>
      </c>
      <c r="JM54" s="152">
        <f>IF(OR($AW54="",COUNTIF($EF$3:$EJ$3,$AW54)&gt;0),$AV54,"")</f>
        <v/>
      </c>
      <c r="JN54" s="152">
        <f>IF(AND($AX54=1,OR($AW54="",COUNTIF($EF$3:$EJ$3,$AW54)&gt;0)),$AV54,"")</f>
        <v/>
      </c>
      <c r="JS54" s="152">
        <f>IF(OR($AW54="",COUNTIF($EF$4:$EJ$4,$AW54)&gt;0),$AV54,"")</f>
        <v/>
      </c>
      <c r="JT54" s="152">
        <f>IF(AND($AX54=1,OR($AW54="",COUNTIF($EF$4:$EJ$4,$AW54)&gt;0)),$AV54,"")</f>
        <v/>
      </c>
      <c r="JY54" s="152">
        <f>IF(OR($AW54="",COUNTIF($EF$5:$EJ$5,$AW54)&gt;0),$AV54,"")</f>
        <v/>
      </c>
      <c r="JZ54" s="152">
        <f>IF(AND($AX54=1,OR($AW54="",COUNTIF($EF$5:$EJ$5,$AW54)&gt;0)),$AV54,"")</f>
        <v/>
      </c>
      <c r="KE54" s="152">
        <f>IF(OR($AW54="",COUNTIF($EF$6:$EJ$6,$AW54)&gt;0),$AV54,"")</f>
        <v/>
      </c>
      <c r="KF54" s="152">
        <f>IF(AND($AX54=1,OR($AW54="",COUNTIF($EF$6:$EJ$6,$AW54)&gt;0)),$AV54,"")</f>
        <v/>
      </c>
      <c r="KK54" s="152">
        <f>IF(OR($AW54="",COUNTIF($EF$7:$EJ$7,$AW54)&gt;0),$AV54,"")</f>
        <v/>
      </c>
      <c r="KL54" s="152">
        <f>IF(AND($AX54=1,OR($AW54="",COUNTIF($EF$7:$EJ$7,$AW54)&gt;0)),$AV54,"")</f>
        <v/>
      </c>
      <c r="KQ54" s="152">
        <f>IF(OR($AW54="",COUNTIF($EF$8:$EJ$8,$AW54)&gt;0),$AV54,"")</f>
        <v/>
      </c>
      <c r="KR54" s="152">
        <f>IF(AND($AX54=1,OR($AW54="",COUNTIF($EF$8:$EJ$8,$AW54)&gt;0)),$AV54,"")</f>
        <v/>
      </c>
      <c r="KW54" s="152">
        <f>IF(OR($AW54="",COUNTIF($EF$9:$EJ$9,$AW54)&gt;0),$AV54,"")</f>
        <v/>
      </c>
      <c r="KX54" s="152">
        <f>IF(AND($AX54=1,OR($AW54="",COUNTIF($EF$9:$EJ$9,$AW54)&gt;0)),$AV54,"")</f>
        <v/>
      </c>
      <c r="LC54" s="152">
        <f>IF(OR($AW54="",COUNTIF($EF$10:$EJ$10,$AW54)&gt;0),$AV54,"")</f>
        <v/>
      </c>
      <c r="LD54" s="152">
        <f>IF(AND($AX54=1,OR($AW54="",COUNTIF($EF$10:$EJ$10,$AW54)&gt;0)),$AV54,"")</f>
        <v/>
      </c>
      <c r="LI54" s="152">
        <f>IF(OR($AW54="",COUNTIF($EF$11:$EJ$11,$AW54)&gt;0),$AV54,"")</f>
        <v/>
      </c>
      <c r="LJ54" s="152">
        <f>IF(AND($AX54=1,OR($AW54="",COUNTIF($EF$11:$EJ$11,$AW54)&gt;0)),$AV54,"")</f>
        <v/>
      </c>
      <c r="LO54" s="152">
        <f>IF(OR($AW54="",COUNTIF($EF$12:$EJ$12,$AW54)&gt;0),$AV54,"")</f>
        <v/>
      </c>
      <c r="LP54" s="152">
        <f>IF(AND($AX54=1,OR($AW54="",COUNTIF($EF$12:$EJ$12,$AW54)&gt;0)),$AV54,"")</f>
        <v/>
      </c>
      <c r="LU54" s="152">
        <f>IF(OR($AW54="",COUNTIF($EF$13:$EJ$13,$AW54)&gt;0),$AV54,"")</f>
        <v/>
      </c>
      <c r="LV54" s="152">
        <f>IF(AND($AX54=1,OR($AW54="",COUNTIF($EF$13:$EJ$13,$AW54)&gt;0)),$AV54,"")</f>
        <v/>
      </c>
      <c r="MA54" s="150" t="inlineStr">
        <is>
          <t>Ficha 5 · Básica 1</t>
        </is>
      </c>
      <c r="MB54" s="152" t="n">
        <v>5</v>
      </c>
      <c r="MC54" s="152" t="n">
        <v>0</v>
      </c>
      <c r="MD54" s="152" t="n">
        <v>1</v>
      </c>
      <c r="ME54" s="150" t="inlineStr">
        <is>
          <t>BÁSICA 1</t>
        </is>
      </c>
      <c r="MF54" s="152" t="n">
        <v>0</v>
      </c>
      <c r="MG54" s="152">
        <f>'INVOCAÇÕES'!$J$850&amp;""</f>
        <v/>
      </c>
      <c r="MH54" s="152">
        <f>'INVOCAÇÕES'!$I$855&amp;""</f>
        <v/>
      </c>
      <c r="MI54" s="152">
        <f>'INVOCAÇÕES'!$I$856&amp;""</f>
        <v/>
      </c>
      <c r="MJ54" s="152">
        <f>'INVOCAÇÕES'!$K$856&amp;""</f>
        <v/>
      </c>
      <c r="MK54" s="152">
        <f>'INVOCAÇÕES'!$J$859&amp;""</f>
        <v/>
      </c>
      <c r="ML54" s="152">
        <f>'INVOCAÇÕES'!$J$860&amp;""</f>
        <v/>
      </c>
      <c r="MM54" s="152">
        <f>'INVOCAÇÕES'!$J$861&amp;""</f>
        <v/>
      </c>
      <c r="MN54" s="152">
        <f>'INVOCAÇÕES'!$J$862&amp;""</f>
        <v/>
      </c>
      <c r="MO54" s="152">
        <f>'INVOCAÇÕES'!$J$863&amp;""</f>
        <v/>
      </c>
      <c r="MP54" s="152">
        <f>'INVOCAÇÕES'!$J$864&amp;""</f>
        <v/>
      </c>
      <c r="MQ54" s="152">
        <f>IF($MG54&lt;&gt;"",1,0)</f>
        <v/>
      </c>
      <c r="MR54" s="152">
        <f>INDEX($FI$2:$FI$13,$MB54)</f>
        <v/>
      </c>
      <c r="MS54" s="152">
        <f>INDEX($FJ$2:$FJ$13,$MB54)</f>
        <v/>
      </c>
      <c r="MT54" s="152">
        <f>INDEX($FK$2:$FK$13,$MB54)</f>
        <v/>
      </c>
      <c r="MU54" s="152">
        <f>INDEX($FV$2:$FV$13,$MB54)</f>
        <v/>
      </c>
      <c r="MV54" s="152">
        <f>INDEX($FW$2:$FW$13,$MB54)</f>
        <v/>
      </c>
      <c r="MW54" s="152">
        <f>IFERROR(MATCH($MH54,$V$2:$V$11,0),0)</f>
        <v/>
      </c>
      <c r="MX54" s="152">
        <f>IFERROR(VLOOKUP($MK54,$AV$2:$BA$84,2,FALSE),"")</f>
        <v/>
      </c>
      <c r="MY54" s="152">
        <f>IFERROR(VLOOKUP($ML54,$AV$2:$BA$84,2,FALSE),"")</f>
        <v/>
      </c>
      <c r="MZ54" s="152">
        <f>IFERROR(VLOOKUP($MM54,$AV$2:$BA$84,2,FALSE),"")</f>
        <v/>
      </c>
      <c r="NA54" s="152">
        <f>IFERROR(VLOOKUP($MN54,$AV$2:$BA$84,2,FALSE),"")</f>
        <v/>
      </c>
      <c r="NB54" s="152">
        <f>IFERROR(VLOOKUP($MK54,$AV$2:$BA$84,3,FALSE),0)</f>
        <v/>
      </c>
      <c r="NC54" s="152">
        <f>IFERROR(VLOOKUP($ML54,$AV$2:$BA$84,3,FALSE),0)</f>
        <v/>
      </c>
      <c r="ND54" s="152">
        <f>IFERROR(VLOOKUP($MM54,$AV$2:$BA$84,3,FALSE),0)</f>
        <v/>
      </c>
      <c r="NE54" s="152">
        <f>IFERROR(VLOOKUP($MN54,$AV$2:$BA$84,3,FALSE),0)</f>
        <v/>
      </c>
      <c r="NF54" s="152">
        <f>IF($MF54=0,0,IF($MW54=0,0,INDEX($X$2:$X$11,$MW54)))</f>
        <v/>
      </c>
      <c r="NG54" s="152">
        <f>IF(OR($NB54=0,$MF54=0),0,$NB54+3*IF(AND($MX54&lt;&gt;"",OR($MX54=INDEX($EF$2:$EF$13,$MB54),$MX54=INDEX($EG$2:$EG$13,$MB54))),1,0))</f>
        <v/>
      </c>
      <c r="NH54" s="152">
        <f>IF(OR($NC54=0,$MF54=0),0,$NC54+3*IF(AND($MY54&lt;&gt;"",OR($MY54=INDEX($EF$2:$EF$13,$MB54),$MY54=INDEX($EG$2:$EG$13,$MB54))),1,0))</f>
        <v/>
      </c>
      <c r="NI54" s="152">
        <f>IF(OR($ND54=0,$MF54=0),0,$ND54+3*IF(AND($MZ54&lt;&gt;"",OR($MZ54=INDEX($EF$2:$EF$13,$MB54),$MZ54=INDEX($EG$2:$EG$13,$MB54))),1,0))</f>
        <v/>
      </c>
      <c r="NJ54" s="152">
        <f>IF(OR($NE54=0,$MF54=0),0,$NE54+3*IF(AND($NA54&lt;&gt;"",OR($NA54=INDEX($EF$2:$EF$13,$MB54),$NA54=INDEX($EG$2:$EG$13,$MB54))),1,0))</f>
        <v/>
      </c>
      <c r="NK54" s="152">
        <f>IF($MW54=0,0,IF(INDEX($W$2:$W$11,$MW54)="",0,IF(COUNTIF(INDEX($EF$2:$EJ$13,$MB54,0),INDEX($W$2:$W$11,$MW54))=0,1,0)))</f>
        <v/>
      </c>
      <c r="NL54" s="152">
        <f>IF(OR($NB54=0,$MX54=""),0,IF(COUNTIF(INDEX($EF$2:$EJ$13,$MB54,0),$MX54)=0,1,0))</f>
        <v/>
      </c>
      <c r="NM54" s="152">
        <f>IF(OR($NC54=0,$MY54=""),0,IF(COUNTIF(INDEX($EF$2:$EJ$13,$MB54,0),$MY54)=0,1,0))</f>
        <v/>
      </c>
      <c r="NN54" s="152">
        <f>IF(OR($ND54=0,$MZ54=""),0,IF(COUNTIF(INDEX($EF$2:$EJ$13,$MB54,0),$MZ54)=0,1,0))</f>
        <v/>
      </c>
      <c r="NO54" s="152">
        <f>IF(OR($NE54=0,$NA54=""),0,IF(COUNTIF(INDEX($EF$2:$EJ$13,$MB54,0),$NA54)=0,1,0))</f>
        <v/>
      </c>
      <c r="NP54" s="152">
        <f>IFERROR(VLOOKUP($MK54,$AV$2:$BA$84,4,FALSE),0)+IFERROR(VLOOKUP($ML54,$AV$2:$BA$84,4,FALSE),0)+IFERROR(VLOOKUP($MM54,$AV$2:$BA$84,4,FALSE),0)+IFERROR(VLOOKUP($MN54,$AV$2:$BA$84,4,FALSE),0)</f>
        <v/>
      </c>
      <c r="NQ54" s="152">
        <f>IFERROR(VLOOKUP($MK54,$AV$2:$BA$84,6,FALSE),0)+IFERROR(VLOOKUP($ML54,$AV$2:$BA$84,6,FALSE),0)+IFERROR(VLOOKUP($MM54,$AV$2:$BA$84,6,FALSE),0)+IFERROR(VLOOKUP($MN54,$AV$2:$BA$84,6,FALSE),0)</f>
        <v/>
      </c>
      <c r="NR54" s="152">
        <f>TEXTJOIN(", ",TRUE,IF(IFERROR(VLOOKUP($MK54,$AV$2:$BA$84,5,FALSE),0)=1,$MK54,""),IF(IFERROR(VLOOKUP($ML54,$AV$2:$BA$84,5,FALSE),0)=1,$ML54,""),IF(IFERROR(VLOOKUP($MM54,$AV$2:$BA$84,5,FALSE),0)=1,$MM54,""),IF(IFERROR(VLOOKUP($MN54,$AV$2:$BA$84,5,FALSE),0)=1,$MN54,""))</f>
        <v/>
      </c>
      <c r="NS54" s="152">
        <f>IF($MW54=0,0,INDEX($Y$2:$Y$11,$MW54))</f>
        <v/>
      </c>
      <c r="NT54" s="152">
        <f>IF($MW54=0,0,INDEX($Z$2:$Z$11,$MW54))</f>
        <v/>
      </c>
      <c r="NU54" s="152">
        <f>IF($MW54=0,0,INDEX($AB$2:$AB$11,$MW54))</f>
        <v/>
      </c>
      <c r="NV54" s="152">
        <f>IFERROR(VLOOKUP($MO54,$BC$2:$BG$24,3,FALSE),0)</f>
        <v/>
      </c>
      <c r="NW54" s="152">
        <f>IFERROR(VLOOKUP($MP54,$BC$2:$BG$24,3,FALSE),0)</f>
        <v/>
      </c>
      <c r="NX54" s="152">
        <f>IFERROR(VLOOKUP($MO54,$BC$2:$BG$24,2,FALSE),"")</f>
        <v/>
      </c>
      <c r="NY54" s="152">
        <f>IFERROR(VLOOKUP($MP54,$BC$2:$BG$24,2,FALSE),"")</f>
        <v/>
      </c>
      <c r="NZ54" s="152">
        <f>COUNTIF($NF54:$NJ54,1)</f>
        <v/>
      </c>
      <c r="OA54" s="152">
        <f>COUNTIF($NF54:$NJ54,2)</f>
        <v/>
      </c>
      <c r="OB54" s="152">
        <f>COUNTIF($NF54:$NJ54,3)</f>
        <v/>
      </c>
      <c r="OC54" s="152">
        <f>COUNTIF($NF54:$NJ54,4)</f>
        <v/>
      </c>
      <c r="OD54" s="152">
        <f>COUNTIF($NF54:$NJ54,5)</f>
        <v/>
      </c>
      <c r="OE54" s="152">
        <f>COUNTIF($NF54:$NJ54,6)</f>
        <v/>
      </c>
      <c r="OF54" s="152">
        <f>COUNTIF($NV54:$NW54,1)</f>
        <v/>
      </c>
      <c r="OG54" s="152">
        <f>COUNTIF($NV54:$NW54,2)+$NS54</f>
        <v/>
      </c>
      <c r="OH54" s="152">
        <f>COUNTIF($MK54:$MN54,"?*")</f>
        <v/>
      </c>
      <c r="OI54" s="152">
        <f>COUNTIF($MO54:$MP54,"?*")+$NS54</f>
        <v/>
      </c>
      <c r="OJ54" s="152">
        <f>IF($MF54=0,0,SUMPRODUCT($NZ54:$OE54,INDEX($I$2:$N$8,MAX(1,$MF54),0)))</f>
        <v/>
      </c>
      <c r="OK54" s="152">
        <f>IF($MF54=0,0,$OF54*CEILING($MF54/2,1)+$OG54*$MF54)</f>
        <v/>
      </c>
      <c r="OL54" s="152">
        <f>MIN(2*$MF54,$OK54)</f>
        <v/>
      </c>
      <c r="OM54" s="152">
        <f>MIN($OL54,$OJ54)</f>
        <v/>
      </c>
      <c r="ON54" s="152">
        <f>$OL54-$OM54</f>
        <v/>
      </c>
      <c r="OO54" s="152">
        <f>IF($MF54=0,0,INDEX($P$2:$P$8,MAX(1,$MF54)))</f>
        <v/>
      </c>
      <c r="OP54" s="152">
        <f>$OO54-$OJ54+$OM54</f>
        <v/>
      </c>
      <c r="OQ54" s="152">
        <f>IF($MF54=0,MAX(0,$MT54-IF($OH54&gt;0,1,0)),MAX(0,$OP54))</f>
        <v/>
      </c>
      <c r="OR54" s="152">
        <f>IF($MF54=0,0,(IF(COUNTIF($MK54:$MN54,"Salto")&gt;0,1,0)+IF(COUNTIF($MK54:$MN54,"Queima")&gt;0,1,0)+IF(COUNTIF($MK54:$MN54,"Estilhaço")&gt;0,1,0))*FLOOR($OQ54/2,1))</f>
        <v/>
      </c>
      <c r="OS54" s="152">
        <f>MAX(0,2-SUMPRODUCT($NZ54:$OE54,$I$2:$N$2)+MIN(2,$OF54*1+$OG54*1,SUMPRODUCT($NZ54:$OE54,$I$2:$N$2)))</f>
        <v/>
      </c>
      <c r="OT54" s="152">
        <f>MAX(0,4-SUMPRODUCT($NZ54:$OE54,$I$3:$N$3)+MIN(4,$OF54*1+$OG54*2,SUMPRODUCT($NZ54:$OE54,$I$3:$N$3)))</f>
        <v/>
      </c>
      <c r="OU54" s="152">
        <f>MAX(0,6-SUMPRODUCT($NZ54:$OE54,$I$4:$N$4)+MIN(6,$OF54*2+$OG54*3,SUMPRODUCT($NZ54:$OE54,$I$4:$N$4)))</f>
        <v/>
      </c>
      <c r="OV54" s="152">
        <f>MAX(0,9-SUMPRODUCT($NZ54:$OE54,$I$5:$N$5)+MIN(8,$OF54*2+$OG54*4,SUMPRODUCT($NZ54:$OE54,$I$5:$N$5)))</f>
        <v/>
      </c>
      <c r="OW54" s="152">
        <f>MAX(0,11-SUMPRODUCT($NZ54:$OE54,$I$6:$N$6)+MIN(10,$OF54*3+$OG54*5,SUMPRODUCT($NZ54:$OE54,$I$6:$N$6)))</f>
        <v/>
      </c>
      <c r="OX54" s="152">
        <f>MAX(0,13-SUMPRODUCT($NZ54:$OE54,$I$7:$N$7)+MIN(12,$OF54*3+$OG54*6,SUMPRODUCT($NZ54:$OE54,$I$7:$N$7)))</f>
        <v/>
      </c>
      <c r="OY54" s="152">
        <f>MAX(0,16-SUMPRODUCT($NZ54:$OE54,$I$8:$N$8)+MIN(14,$OF54*4+$OG54*7,SUMPRODUCT($NZ54:$OE54,$I$8:$N$8)))</f>
        <v/>
      </c>
      <c r="OZ54" s="152">
        <f>IF($NT54=2,3*$OS54&amp;" de vida temp.",IF($NT54=3,"sem dano",IF($OS54=0,IF($NT54=1,"sem cura","sem dano"),IF($NT54=1,"cura ","")&amp;$OS54&amp;"d8")))</f>
        <v/>
      </c>
      <c r="PA54" s="152">
        <f>IF($NT54=2,3*$OT54&amp;" de vida temp.",IF($NT54=3,"sem dano",IF($OT54=0,IF($NT54=1,"sem cura","sem dano"),IF($NT54=1,"cura ","")&amp;$OT54&amp;"d8")))</f>
        <v/>
      </c>
      <c r="PB54" s="152">
        <f>IF($NT54=2,3*$OU54&amp;" de vida temp.",IF($NT54=3,"sem dano",IF($OU54=0,IF($NT54=1,"sem cura","sem dano"),IF($NT54=1,"cura ","")&amp;$OU54&amp;"d8")))</f>
        <v/>
      </c>
      <c r="PC54" s="152">
        <f>IF($NT54=2,3*$OV54&amp;" de vida temp.",IF($NT54=3,"sem dano",IF($OV54=0,IF($NT54=1,"sem cura","sem dano"),IF($NT54=1,"cura ","")&amp;$OV54&amp;"d8")))</f>
        <v/>
      </c>
      <c r="PD54" s="152">
        <f>IF($NT54=2,3*$OW54&amp;" de vida temp.",IF($NT54=3,"sem dano",IF($OW54=0,IF($NT54=1,"sem cura","sem dano"),IF($NT54=1,"cura ","")&amp;$OW54&amp;"d8")))</f>
        <v/>
      </c>
      <c r="PE54" s="152">
        <f>IF($NT54=2,3*$OX54&amp;" de vida temp.",IF($NT54=3,"sem dano",IF($OX54=0,IF($NT54=1,"sem cura","sem dano"),IF($NT54=1,"cura ","")&amp;$OX54&amp;"d8")))</f>
        <v/>
      </c>
      <c r="PF54" s="152">
        <f>IF($NT54=2,3*$OY54&amp;" de vida temp.",IF($NT54=3,"sem dano",IF($OY54=0,IF($NT54=1,"sem cura","sem dano"),IF($NT54=1,"cura ","")&amp;$OY54&amp;"d8")))</f>
        <v/>
      </c>
      <c r="PG54" s="152">
        <f>IF($MQ54=0,"",TEXTJOIN(" · ",TRUE,IF($MD54&gt;$MR54,"Este lugar abre no nível "&amp;$MD54,""),IF($MF54&gt;$MS54,"Classe "&amp;$MF54&amp;": o nível "&amp;$MR54&amp;" libera até a "&amp;$MS54,""),IF($NK54=1,"A Forma "&amp;$MH54&amp;" pede "&amp;INDEX($W$2:$W$11,$MW54)&amp;" aberta",""),IF(AND($MF54=0,$MW54&gt;0,IF($MW54=0,0,INDEX($AF$2:$AF$11,$MW54))=0),$MH54&amp;" não existe na Classe 0",""),IF($NL54=1,"Família Fechada: "&amp;$MK54,""),IF($NM54=1,"Família Fechada: "&amp;$ML54,""),IF($NN54=1,"Família Fechada: "&amp;$MM54,""),IF($NO54=1,"Família Fechada: "&amp;$MN54,""),IF(AND($MF54&gt;0,$OH54&gt;INDEX($O$2:$O$8,MAX(1,$MF54))),$OH54&amp;" Melhorias: a Classe "&amp;$MF54&amp;" aceita "&amp;INDEX($O$2:$O$8,MAX(1,$MF54)),""),IF(AND($MF54=0,$OH54&gt;1),"A básica aceita uma Melhoria",""),IF(AND($MF54=0,COUNTIF($NB54:$NE54,"&gt;1")&gt;0),"A básica só aceita Melhoria Leve",""),IF(AND($MF54&gt;0,$OI54&gt;2),$OI54&amp;" Restrições"&amp;IF($NS54=1,", contando a que a Forma "&amp;$MH54&amp;" já traz","")&amp;": o limite é 2",""),IF(AND($MF54=0,COUNTIF($MO54:$MP54,"?*")&gt;1),"A básica aceita uma Restrição Leve",""),IF(AND($MF54=0,COUNTIF($NV54:$NW54,2)&gt;0),"A básica só aceita Restrição Leve",""),IF(AND($MF54&gt;0,$OP54&lt;0),"Orçamento estourado: faltam "&amp;(-$OP54)&amp;IF($OP54&lt;-1," pontos"," ponto"),""),IF(IFERROR(VLOOKUP($MO54,$BC$2:$BG$24,4,FALSE),0)+IFERROR(VLOOKUP($MP54,$BC$2:$BG$24,4,FALSE),0)&gt;1,$NX54&amp;" e "&amp;$NY54&amp;" são as duas de frequência",""),IF(AND((COUNTIF($MK54:$MN54,"Rápido")+COUNTIF($NX54:$NY54,"Rápido"))&gt;0,(COUNTIF($MK54:$MN54,"Atrasar")+COUNTIF($NX54:$NY54,"Atrasar"))&gt;0),"Rápido não entra com Atrasar",""),IF(AND((COUNTIF($MK54:$MN54,"Reação")+COUNTIF($NX54:$NY54,"Reação"))&gt;0,(COUNTIF($MK54:$MN54,"Rápido")+COUNTIF($NX54:$NY54,"Rápido"))&gt;0),"Reação não entra com Rápido",""),IF(AND((COUNTIF($MK54:$MN54,"Reação")+COUNTIF($NX54:$NY54,"Reação"))&gt;0,(COUNTIF($MK54:$MN54,"Armado")+COUNTIF($NX54:$NY54,"Armado"))&gt;0),"Reação não entra com Armado",""),IF(AND((COUNTIF($MK54:$MN54,"Reação")+COUNTIF($NX54:$NY54,"Reação"))&gt;0,(COUNTIF($MK54:$MN54,"Atrasar")+COUNTIF($NX54:$NY54,"Atrasar"))&gt;0),"Reação não entra com Atrasar",""),IF(AND((COUNTIF($MK54:$MN54,"Reação")+COUNTIF($NX54:$NY54,"Reação"))&gt;0,(COUNTIF($MK54:$MN54,"Parado")+COUNTIF($NX54:$NY54,"Parado"))&gt;0),"Reação não entra com Parado",""),IF(AND((COUNTIF($MK54:$MN54,"Atrasar")+COUNTIF($NX54:$NY54,"Atrasar"))&gt;0,(COUNTIF($MK54:$MN54,"Parado")+COUNTIF($NX54:$NY54,"Parado"))&gt;0),"Atrasar não entra com Parado",""),IF(AND((COUNTIF($MK54:$MN54,"Armado")+COUNTIF($NX54:$NY54,"Armado"))&gt;0,(COUNTIF($MK54:$MN54,"Carregar")+COUNTIF($NX54:$NY54,"Carregar"))&gt;0),"Armado não entra com Carregar",""),IF(AND(COUNTIF($NX54:$NY54,"Corpo a Corpo")&gt;0,$NS54=0,OR($MH54="Cone",$MH54="Linha")),"Corpo a Corpo não entra em "&amp;$MH54,""),IF(AND(COUNTIF($NX54:$NY54,"Corpo a Corpo")&gt;0,$NS54=1),"A Forma "&amp;$MH54&amp;" já traz o Corpo a Corpo",""),IF(AND(COUNTIF($NX54:$NY54,"Tudo ou Nada")&gt;0,$NU54=0),"Tudo ou Nada só entra em habilidade de Teste de Resistência",""),IF(AND(COUNTIF($MK54:$MN54,"Inescapável")&gt;0,OR($OH54&gt;1,$OI54&gt;0)),"Inescapável não aceita outra peça",""),IF(AND($MF54&gt;0,$OQ54*IF(COUNTIF($MK54:$MN54,"Remate")&gt;0,1.25,1)+$OR54&gt;4*$MF54),($OQ54*IF(COUNTIF($MK54:$MN54,"Remate")&gt;0,1.25,1)+$OR54)&amp;" dados somando repetições"&amp;IF(COUNTIF($MK54:$MN54,"Remate")&gt;0," e o Remate","")&amp;": o teto da Classe "&amp;$MF54&amp;" é "&amp;4*$MF54,"")))</f>
        <v/>
      </c>
      <c r="PH54" s="152">
        <f>IF($PG54="",0,(LEN($PG54)-LEN(SUBSTITUTE($PG54," · ","")))/3+1)</f>
        <v/>
      </c>
      <c r="PI54" s="152">
        <f>IF($MQ54=0,"",TEXTJOIN(" · ",TRUE,IF($OK54&gt;2*$MF54,"A devolução parou no teto de "&amp;2*$MF54,""),IF($ON54&gt;0,"Devolução perdida: "&amp;$ON54&amp;IF($ON54&gt;1," pontos"," ponto")&amp;" sem peça para pagar",""),IF(AND($NP54&gt;0,AND($MF54&gt;0,$NT54=0),$OQ54=0),"Controle sem dano: uma rodada a mais e CD +2",""),IF(AND($NP54&gt;0,AND($MF54&gt;0,$NT54=0),$OQ54&gt;0,$OQ54&lt;=$MF54),"Controle com saldo até a Classe: uma rodada a mais",""),IF(AND($MF54&gt;0,$NR54&lt;&gt;""),"Efeito de "&amp;$NR54&amp;" pela Classe "&amp;MAX(1,$MF54-1),"")))</f>
        <v/>
      </c>
      <c r="PJ54" s="152">
        <f>IF($PI54="",0,(LEN($PI54)-LEN(SUBSTITUTE($PI54," · ","")))/3+1)</f>
        <v/>
      </c>
      <c r="PK54" s="152">
        <f>IF($MQ54=0,IF($OH54+COUNTIF($MO54:$MP54,"?*")&gt;0,"Dê um nome",""),IF($PH54&gt;0,"⚠ "&amp;$PH54&amp;IF($PH54&gt;1," erros"," erro"),IF($PJ54&gt;0,"! "&amp;$PJ54&amp;IF($PJ54&gt;1," avisos"," aviso"),"Na regra")))</f>
        <v/>
      </c>
      <c r="PL54" s="152">
        <f>IF($MQ54=0,"",IF($PH54+$PJ54=0,"Dentro das regras que a ficha confere",$PG54&amp;IF(AND($PH54&gt;0,$PJ54&gt;0)," · ","")&amp;$PI54))</f>
        <v/>
      </c>
      <c r="PM54" s="152">
        <f>IF($MD54&gt;$MR54,$ME54&amp;" · ABRE NO NÍVEL "&amp;$MD54,$ME54)</f>
        <v/>
      </c>
      <c r="PN54" s="152">
        <f>IF($MQ54=0,"",IF($MF54=0,"Sem PE",3*$MF54&amp;" PE"))</f>
        <v/>
      </c>
      <c r="PO54" s="152">
        <f>IF($MQ54=0,"",IF($MF54=0,"A atuação básica dela",IF(COUNTIF($NX54:$NY54,"Atrasar")&gt;0,"Sua Ação Completa",IF(COUNTIF($MK54:$MN54,"Rápido")&gt;0,"Sua Bônus",IF(COUNTIF($MK54:$MN54,"Reação")&gt;0,"Sua Reação","Sua Padrão")))&amp;" + a básica dela"&amp;IF(COUNTIF($MK54:$MN54,"Reação")&gt;0," e a coletiva","")&amp;IF(COUNTIF($NX54:$NY54,"Carregar")&gt;0," · em dois turnos","")))</f>
        <v/>
      </c>
      <c r="PP54" s="152">
        <f>IF($MJ54&lt;&gt;"",$MJ54,IF($MW54=0,"",INDEX($AA$2:$AA$11,$MW54)))</f>
        <v/>
      </c>
      <c r="PQ54" s="152">
        <f>IF(OR($MQ54=0,$MW54=0),"",IF(COUNTIF($MK54:$MN54,"Inescapável")&gt;0,"Automático",IF($PP54="Ataque",IF($MU54="","Ataque","Ataque "&amp;IF(($MU54+2*IF(COUNTIF($MK54:$MN54,"Precisão")&gt;0,1,0))&gt;=0,"+","−")&amp;ABS(($MU54+2*IF(COUNTIF($MK54:$MN54,"Precisão")&gt;0,1,0))))&amp;IF($NQ54&gt;0," · TR"&amp;IF($MV54="",""," CD "&amp;$MV54),""),IF(LEFT($PP54,2)="TR",$PP54&amp;IF($MV54="",""," · CD "&amp;$MV54)&amp;IF(COUNTIF($MK54:$MN54,"Certeiro")&gt;0," · metade",""),"Sem rolagem"))))</f>
        <v/>
      </c>
      <c r="PR54" s="152">
        <f>IF(OR($MQ54=0,$MW54=0),"",IF($MF54=0,IF(OR($NT54&gt;=1,$OQ54=0),"Sem dano",$OQ54&amp;"d6"&amp;IF($MI54="",""," "&amp;$MI54)),IF(OR($NT54&gt;=1,$OQ54=0),UPPER(LEFT(INDEX($OZ54:$PF54,1,MAX(1,$MF54)),1))&amp;MID(INDEX($OZ54:$PF54,1,MAX(1,$MF54)),2,99),UPPER(LEFT(INDEX($OZ54:$PF54,1,MAX(1,$MF54)),1))&amp;MID(INDEX($OZ54:$PF54,1,MAX(1,$MF54)),2,99)&amp;IF($MI54="",""," "&amp;$MI54)&amp;IF($OR54&gt;0," · +"&amp;$OR54&amp;"d8",""))))</f>
        <v/>
      </c>
      <c r="PS54" s="152">
        <f>COUNTIF($MK54:$MN54,"Longe")+3*COUNTIF($MK54:$MN54,"Muito Longe")</f>
        <v/>
      </c>
      <c r="PT54" s="152">
        <f>COUNTIF($MK54:$MN54,"Maior")+3*COUNTIF($MK54:$MN54,"Muito Maior")</f>
        <v/>
      </c>
      <c r="PU54" s="152">
        <f>IF($MW54=0,0,CHOOSE(1+INDEX($AC$2:$AC$11,$MW54),0,$PS54,$PT54,$PS54+$PT54))</f>
        <v/>
      </c>
      <c r="PV54" s="152">
        <f>IF($MW54=0,0,CHOOSE(1+INDEX($AD$2:$AD$11,$MW54),0,$PS54,$PT54,$PS54+$PT54))</f>
        <v/>
      </c>
      <c r="PW54" s="152">
        <f>IF(OR($MQ54=0,$MW54=0),"",INDEX($AI$2:$AN$41,($MW54-1)*4+IF($MF54=0,1,IF($MF54&lt;=5,2,IF($MF54=6,3,4))),1+MIN(5,$PU54))&amp;INDEX($AO$2:$AT$41,($MW54-1)*4+IF($MF54=0,1,IF($MF54&lt;=5,2,IF($MF54=6,3,4))),1+MIN(5,$PV54))&amp;IF(INDEX($AE$2:$AE$11,$MW54)=1,IF(COUNTIF($MK54:$MN54,"Mais Um")&gt;0," · +"&amp;COUNTIF($MK54:$MN54,"Mais Um")&amp;IF(COUNTIF($MK54:$MN54,"Mais Um")&gt;1," alvos"," alvo"),"")&amp;IF(COUNTIF($MK54:$MN54,"Rajada")&gt;0,IF($MF54=0," · 1 tiro"," · "&amp;(MAX(1,$MF54-1)+1)&amp;" tiros"),""),""))</f>
        <v/>
      </c>
      <c r="PX54" s="152">
        <f>IF($MQ54=0,"",IF($MF54=0,$MT54&amp;"d6"&amp;IF($OH54&gt;0," − 1 = "&amp;$OQ54&amp;"d6"," da básica do nível "&amp;$MR54),$OO54&amp;" − "&amp;$OJ54&amp;" + "&amp;$OM54&amp;" = "&amp;$OP54&amp;" · teto "&amp;4*$MF54&amp;"d8"&amp;IF($NS54=1," · a Forma devolve "&amp;$MF54,"")&amp;IF($ON54&gt;0," · perde "&amp;$ON54,"")))</f>
        <v/>
      </c>
      <c r="PY54" s="152">
        <f>IF($MQ54=0,"",IF($MF54=0,"A básica não amplia: os dados dela sobem com o nível",IF($MF54&gt;=$MS54,"Já está na maior Classe que o nível liberou",TEXTJOIN(" · ",TRUE,IF(AND(2&gt;$MF54,2&lt;=$MS54),"2 → "&amp;$PA54&amp;", 6 PE",""),IF(AND(3&gt;$MF54,3&lt;=$MS54),"3 → "&amp;$PB54&amp;", 9 PE",""),IF(AND(4&gt;$MF54,4&lt;=$MS54),"4 → "&amp;$PC54&amp;", 12 PE",""),IF(AND(5&gt;$MF54,5&lt;=$MS54),"5 → "&amp;$PD54&amp;", 15 PE",""),IF(AND(6&gt;$MF54,6&lt;=$MS54),"6 → "&amp;$PE54&amp;", 18 PE",""),IF(AND(7&gt;$MF54,7&lt;=$MS54),"7 → "&amp;$PF54&amp;", 21 PE","")))))</f>
        <v/>
      </c>
      <c r="PZ54" s="152">
        <f>IF(OR($MQ54=0,$NB54=0),"",IF($MF54=0,"−1 dado","−"&amp;INDEX($I$2:$N$8,MAX(1,$MF54),MAX(1,$NG54))&amp;" · "&amp;CHOOSE(MAX(1,$NG54),"Leve","Média","Pesada","Leve · Livre","Média · Livre","Pesada · Livre")))</f>
        <v/>
      </c>
      <c r="QA54" s="152">
        <f>IF(OR($MQ54=0,$NC54=0),"",IF($MF54=0,"−1 dado","−"&amp;INDEX($I$2:$N$8,MAX(1,$MF54),MAX(1,$NH54))&amp;" · "&amp;CHOOSE(MAX(1,$NH54),"Leve","Média","Pesada","Leve · Livre","Média · Livre","Pesada · Livre")))</f>
        <v/>
      </c>
      <c r="QB54" s="152">
        <f>IF(OR($MQ54=0,$ND54=0),"",IF($MF54=0,"−1 dado","−"&amp;INDEX($I$2:$N$8,MAX(1,$MF54),MAX(1,$NI54))&amp;" · "&amp;CHOOSE(MAX(1,$NI54),"Leve","Média","Pesada","Leve · Livre","Média · Livre","Pesada · Livre")))</f>
        <v/>
      </c>
      <c r="QC54" s="152">
        <f>IF(OR($MQ54=0,$NE54=0),"",IF($MF54=0,"−1 dado","−"&amp;INDEX($I$2:$N$8,MAX(1,$MF54),MAX(1,$NJ54))&amp;" · "&amp;CHOOSE(MAX(1,$NJ54),"Leve","Média","Pesada","Leve · Livre","Média · Livre","Pesada · Livre")))</f>
        <v/>
      </c>
      <c r="QD54" s="152">
        <f>IF(OR($MQ54=0,$MO54=""),"",IF($MF54=0,"não devolve","+"&amp;IF($NV54=1,CEILING($MF54/2,1),$MF54)))</f>
        <v/>
      </c>
      <c r="QE54" s="152">
        <f>IF(OR($MQ54=0,$MP54=""),"",IF($MF54=0,"não devolve","+"&amp;IF($NW54=1,CEILING($MF54/2,1),$MF54)))</f>
        <v/>
      </c>
    </row>
    <row r="55">
      <c r="AV55" s="150" t="inlineStr">
        <is>
          <t>Remate</t>
        </is>
      </c>
      <c r="AW55" s="150" t="inlineStr">
        <is>
          <t>Castigo</t>
        </is>
      </c>
      <c r="AX55" s="152" t="n">
        <v>2</v>
      </c>
      <c r="AY55" s="152" t="n">
        <v>0</v>
      </c>
      <c r="AZ55" s="152" t="n">
        <v>0</v>
      </c>
      <c r="BA55" s="152" t="n">
        <v>0</v>
      </c>
      <c r="JG55" s="152">
        <f>IF(OR($AW55="",COUNTIF($EF$2:$EJ$2,$AW55)&gt;0),$AV55,"")</f>
        <v/>
      </c>
      <c r="JH55" s="152">
        <f>IF(AND($AX55=1,OR($AW55="",COUNTIF($EF$2:$EJ$2,$AW55)&gt;0)),$AV55,"")</f>
        <v/>
      </c>
      <c r="JM55" s="152">
        <f>IF(OR($AW55="",COUNTIF($EF$3:$EJ$3,$AW55)&gt;0),$AV55,"")</f>
        <v/>
      </c>
      <c r="JN55" s="152">
        <f>IF(AND($AX55=1,OR($AW55="",COUNTIF($EF$3:$EJ$3,$AW55)&gt;0)),$AV55,"")</f>
        <v/>
      </c>
      <c r="JS55" s="152">
        <f>IF(OR($AW55="",COUNTIF($EF$4:$EJ$4,$AW55)&gt;0),$AV55,"")</f>
        <v/>
      </c>
      <c r="JT55" s="152">
        <f>IF(AND($AX55=1,OR($AW55="",COUNTIF($EF$4:$EJ$4,$AW55)&gt;0)),$AV55,"")</f>
        <v/>
      </c>
      <c r="JY55" s="152">
        <f>IF(OR($AW55="",COUNTIF($EF$5:$EJ$5,$AW55)&gt;0),$AV55,"")</f>
        <v/>
      </c>
      <c r="JZ55" s="152">
        <f>IF(AND($AX55=1,OR($AW55="",COUNTIF($EF$5:$EJ$5,$AW55)&gt;0)),$AV55,"")</f>
        <v/>
      </c>
      <c r="KE55" s="152">
        <f>IF(OR($AW55="",COUNTIF($EF$6:$EJ$6,$AW55)&gt;0),$AV55,"")</f>
        <v/>
      </c>
      <c r="KF55" s="152">
        <f>IF(AND($AX55=1,OR($AW55="",COUNTIF($EF$6:$EJ$6,$AW55)&gt;0)),$AV55,"")</f>
        <v/>
      </c>
      <c r="KK55" s="152">
        <f>IF(OR($AW55="",COUNTIF($EF$7:$EJ$7,$AW55)&gt;0),$AV55,"")</f>
        <v/>
      </c>
      <c r="KL55" s="152">
        <f>IF(AND($AX55=1,OR($AW55="",COUNTIF($EF$7:$EJ$7,$AW55)&gt;0)),$AV55,"")</f>
        <v/>
      </c>
      <c r="KQ55" s="152">
        <f>IF(OR($AW55="",COUNTIF($EF$8:$EJ$8,$AW55)&gt;0),$AV55,"")</f>
        <v/>
      </c>
      <c r="KR55" s="152">
        <f>IF(AND($AX55=1,OR($AW55="",COUNTIF($EF$8:$EJ$8,$AW55)&gt;0)),$AV55,"")</f>
        <v/>
      </c>
      <c r="KW55" s="152">
        <f>IF(OR($AW55="",COUNTIF($EF$9:$EJ$9,$AW55)&gt;0),$AV55,"")</f>
        <v/>
      </c>
      <c r="KX55" s="152">
        <f>IF(AND($AX55=1,OR($AW55="",COUNTIF($EF$9:$EJ$9,$AW55)&gt;0)),$AV55,"")</f>
        <v/>
      </c>
      <c r="LC55" s="152">
        <f>IF(OR($AW55="",COUNTIF($EF$10:$EJ$10,$AW55)&gt;0),$AV55,"")</f>
        <v/>
      </c>
      <c r="LD55" s="152">
        <f>IF(AND($AX55=1,OR($AW55="",COUNTIF($EF$10:$EJ$10,$AW55)&gt;0)),$AV55,"")</f>
        <v/>
      </c>
      <c r="LI55" s="152">
        <f>IF(OR($AW55="",COUNTIF($EF$11:$EJ$11,$AW55)&gt;0),$AV55,"")</f>
        <v/>
      </c>
      <c r="LJ55" s="152">
        <f>IF(AND($AX55=1,OR($AW55="",COUNTIF($EF$11:$EJ$11,$AW55)&gt;0)),$AV55,"")</f>
        <v/>
      </c>
      <c r="LO55" s="152">
        <f>IF(OR($AW55="",COUNTIF($EF$12:$EJ$12,$AW55)&gt;0),$AV55,"")</f>
        <v/>
      </c>
      <c r="LP55" s="152">
        <f>IF(AND($AX55=1,OR($AW55="",COUNTIF($EF$12:$EJ$12,$AW55)&gt;0)),$AV55,"")</f>
        <v/>
      </c>
      <c r="LU55" s="152">
        <f>IF(OR($AW55="",COUNTIF($EF$13:$EJ$13,$AW55)&gt;0),$AV55,"")</f>
        <v/>
      </c>
      <c r="LV55" s="152">
        <f>IF(AND($AX55=1,OR($AW55="",COUNTIF($EF$13:$EJ$13,$AW55)&gt;0)),$AV55,"")</f>
        <v/>
      </c>
      <c r="MA55" s="150" t="inlineStr">
        <is>
          <t>Ficha 5 · Especial 1</t>
        </is>
      </c>
      <c r="MB55" s="152" t="n">
        <v>5</v>
      </c>
      <c r="MC55" s="152" t="n">
        <v>1</v>
      </c>
      <c r="MD55" s="152" t="n">
        <v>1</v>
      </c>
      <c r="ME55" s="150" t="inlineStr">
        <is>
          <t>ESPECIAL 1</t>
        </is>
      </c>
      <c r="MF55" s="152">
        <f>MAX(1,MIN(7,N('INVOCAÇÕES'!$O$850)))</f>
        <v/>
      </c>
      <c r="MG55" s="152">
        <f>'INVOCAÇÕES'!$P$850&amp;""</f>
        <v/>
      </c>
      <c r="MH55" s="152">
        <f>'INVOCAÇÕES'!$O$855&amp;""</f>
        <v/>
      </c>
      <c r="MI55" s="152">
        <f>'INVOCAÇÕES'!$O$856&amp;""</f>
        <v/>
      </c>
      <c r="MJ55" s="152">
        <f>'INVOCAÇÕES'!$Q$856&amp;""</f>
        <v/>
      </c>
      <c r="MK55" s="152">
        <f>'INVOCAÇÕES'!$P$859&amp;""</f>
        <v/>
      </c>
      <c r="ML55" s="152">
        <f>'INVOCAÇÕES'!$P$860&amp;""</f>
        <v/>
      </c>
      <c r="MM55" s="152">
        <f>'INVOCAÇÕES'!$P$861&amp;""</f>
        <v/>
      </c>
      <c r="MN55" s="152">
        <f>'INVOCAÇÕES'!$P$862&amp;""</f>
        <v/>
      </c>
      <c r="MO55" s="152">
        <f>'INVOCAÇÕES'!$P$863&amp;""</f>
        <v/>
      </c>
      <c r="MP55" s="152">
        <f>'INVOCAÇÕES'!$P$864&amp;""</f>
        <v/>
      </c>
      <c r="MQ55" s="152">
        <f>IF($MG55&lt;&gt;"",1,0)</f>
        <v/>
      </c>
      <c r="MR55" s="152">
        <f>INDEX($FI$2:$FI$13,$MB55)</f>
        <v/>
      </c>
      <c r="MS55" s="152">
        <f>INDEX($FJ$2:$FJ$13,$MB55)</f>
        <v/>
      </c>
      <c r="MT55" s="152">
        <f>INDEX($FK$2:$FK$13,$MB55)</f>
        <v/>
      </c>
      <c r="MU55" s="152">
        <f>INDEX($FV$2:$FV$13,$MB55)</f>
        <v/>
      </c>
      <c r="MV55" s="152">
        <f>INDEX($FW$2:$FW$13,$MB55)</f>
        <v/>
      </c>
      <c r="MW55" s="152">
        <f>IFERROR(MATCH($MH55,$V$2:$V$11,0),0)</f>
        <v/>
      </c>
      <c r="MX55" s="152">
        <f>IFERROR(VLOOKUP($MK55,$AV$2:$BA$84,2,FALSE),"")</f>
        <v/>
      </c>
      <c r="MY55" s="152">
        <f>IFERROR(VLOOKUP($ML55,$AV$2:$BA$84,2,FALSE),"")</f>
        <v/>
      </c>
      <c r="MZ55" s="152">
        <f>IFERROR(VLOOKUP($MM55,$AV$2:$BA$84,2,FALSE),"")</f>
        <v/>
      </c>
      <c r="NA55" s="152">
        <f>IFERROR(VLOOKUP($MN55,$AV$2:$BA$84,2,FALSE),"")</f>
        <v/>
      </c>
      <c r="NB55" s="152">
        <f>IFERROR(VLOOKUP($MK55,$AV$2:$BA$84,3,FALSE),0)</f>
        <v/>
      </c>
      <c r="NC55" s="152">
        <f>IFERROR(VLOOKUP($ML55,$AV$2:$BA$84,3,FALSE),0)</f>
        <v/>
      </c>
      <c r="ND55" s="152">
        <f>IFERROR(VLOOKUP($MM55,$AV$2:$BA$84,3,FALSE),0)</f>
        <v/>
      </c>
      <c r="NE55" s="152">
        <f>IFERROR(VLOOKUP($MN55,$AV$2:$BA$84,3,FALSE),0)</f>
        <v/>
      </c>
      <c r="NF55" s="152">
        <f>IF($MF55=0,0,IF($MW55=0,0,INDEX($X$2:$X$11,$MW55)))</f>
        <v/>
      </c>
      <c r="NG55" s="152">
        <f>IF(OR($NB55=0,$MF55=0),0,$NB55+3*IF(AND($MX55&lt;&gt;"",OR($MX55=INDEX($EF$2:$EF$13,$MB55),$MX55=INDEX($EG$2:$EG$13,$MB55))),1,0))</f>
        <v/>
      </c>
      <c r="NH55" s="152">
        <f>IF(OR($NC55=0,$MF55=0),0,$NC55+3*IF(AND($MY55&lt;&gt;"",OR($MY55=INDEX($EF$2:$EF$13,$MB55),$MY55=INDEX($EG$2:$EG$13,$MB55))),1,0))</f>
        <v/>
      </c>
      <c r="NI55" s="152">
        <f>IF(OR($ND55=0,$MF55=0),0,$ND55+3*IF(AND($MZ55&lt;&gt;"",OR($MZ55=INDEX($EF$2:$EF$13,$MB55),$MZ55=INDEX($EG$2:$EG$13,$MB55))),1,0))</f>
        <v/>
      </c>
      <c r="NJ55" s="152">
        <f>IF(OR($NE55=0,$MF55=0),0,$NE55+3*IF(AND($NA55&lt;&gt;"",OR($NA55=INDEX($EF$2:$EF$13,$MB55),$NA55=INDEX($EG$2:$EG$13,$MB55))),1,0))</f>
        <v/>
      </c>
      <c r="NK55" s="152">
        <f>IF($MW55=0,0,IF(INDEX($W$2:$W$11,$MW55)="",0,IF(COUNTIF(INDEX($EF$2:$EJ$13,$MB55,0),INDEX($W$2:$W$11,$MW55))=0,1,0)))</f>
        <v/>
      </c>
      <c r="NL55" s="152">
        <f>IF(OR($NB55=0,$MX55=""),0,IF(COUNTIF(INDEX($EF$2:$EJ$13,$MB55,0),$MX55)=0,1,0))</f>
        <v/>
      </c>
      <c r="NM55" s="152">
        <f>IF(OR($NC55=0,$MY55=""),0,IF(COUNTIF(INDEX($EF$2:$EJ$13,$MB55,0),$MY55)=0,1,0))</f>
        <v/>
      </c>
      <c r="NN55" s="152">
        <f>IF(OR($ND55=0,$MZ55=""),0,IF(COUNTIF(INDEX($EF$2:$EJ$13,$MB55,0),$MZ55)=0,1,0))</f>
        <v/>
      </c>
      <c r="NO55" s="152">
        <f>IF(OR($NE55=0,$NA55=""),0,IF(COUNTIF(INDEX($EF$2:$EJ$13,$MB55,0),$NA55)=0,1,0))</f>
        <v/>
      </c>
      <c r="NP55" s="152">
        <f>IFERROR(VLOOKUP($MK55,$AV$2:$BA$84,4,FALSE),0)+IFERROR(VLOOKUP($ML55,$AV$2:$BA$84,4,FALSE),0)+IFERROR(VLOOKUP($MM55,$AV$2:$BA$84,4,FALSE),0)+IFERROR(VLOOKUP($MN55,$AV$2:$BA$84,4,FALSE),0)</f>
        <v/>
      </c>
      <c r="NQ55" s="152">
        <f>IFERROR(VLOOKUP($MK55,$AV$2:$BA$84,6,FALSE),0)+IFERROR(VLOOKUP($ML55,$AV$2:$BA$84,6,FALSE),0)+IFERROR(VLOOKUP($MM55,$AV$2:$BA$84,6,FALSE),0)+IFERROR(VLOOKUP($MN55,$AV$2:$BA$84,6,FALSE),0)</f>
        <v/>
      </c>
      <c r="NR55" s="152">
        <f>TEXTJOIN(", ",TRUE,IF(IFERROR(VLOOKUP($MK55,$AV$2:$BA$84,5,FALSE),0)=1,$MK55,""),IF(IFERROR(VLOOKUP($ML55,$AV$2:$BA$84,5,FALSE),0)=1,$ML55,""),IF(IFERROR(VLOOKUP($MM55,$AV$2:$BA$84,5,FALSE),0)=1,$MM55,""),IF(IFERROR(VLOOKUP($MN55,$AV$2:$BA$84,5,FALSE),0)=1,$MN55,""))</f>
        <v/>
      </c>
      <c r="NS55" s="152">
        <f>IF($MW55=0,0,INDEX($Y$2:$Y$11,$MW55))</f>
        <v/>
      </c>
      <c r="NT55" s="152">
        <f>IF($MW55=0,0,INDEX($Z$2:$Z$11,$MW55))</f>
        <v/>
      </c>
      <c r="NU55" s="152">
        <f>IF($MW55=0,0,INDEX($AB$2:$AB$11,$MW55))</f>
        <v/>
      </c>
      <c r="NV55" s="152">
        <f>IFERROR(VLOOKUP($MO55,$BC$2:$BG$24,3,FALSE),0)</f>
        <v/>
      </c>
      <c r="NW55" s="152">
        <f>IFERROR(VLOOKUP($MP55,$BC$2:$BG$24,3,FALSE),0)</f>
        <v/>
      </c>
      <c r="NX55" s="152">
        <f>IFERROR(VLOOKUP($MO55,$BC$2:$BG$24,2,FALSE),"")</f>
        <v/>
      </c>
      <c r="NY55" s="152">
        <f>IFERROR(VLOOKUP($MP55,$BC$2:$BG$24,2,FALSE),"")</f>
        <v/>
      </c>
      <c r="NZ55" s="152">
        <f>COUNTIF($NF55:$NJ55,1)</f>
        <v/>
      </c>
      <c r="OA55" s="152">
        <f>COUNTIF($NF55:$NJ55,2)</f>
        <v/>
      </c>
      <c r="OB55" s="152">
        <f>COUNTIF($NF55:$NJ55,3)</f>
        <v/>
      </c>
      <c r="OC55" s="152">
        <f>COUNTIF($NF55:$NJ55,4)</f>
        <v/>
      </c>
      <c r="OD55" s="152">
        <f>COUNTIF($NF55:$NJ55,5)</f>
        <v/>
      </c>
      <c r="OE55" s="152">
        <f>COUNTIF($NF55:$NJ55,6)</f>
        <v/>
      </c>
      <c r="OF55" s="152">
        <f>COUNTIF($NV55:$NW55,1)</f>
        <v/>
      </c>
      <c r="OG55" s="152">
        <f>COUNTIF($NV55:$NW55,2)+$NS55</f>
        <v/>
      </c>
      <c r="OH55" s="152">
        <f>COUNTIF($MK55:$MN55,"?*")</f>
        <v/>
      </c>
      <c r="OI55" s="152">
        <f>COUNTIF($MO55:$MP55,"?*")+$NS55</f>
        <v/>
      </c>
      <c r="OJ55" s="152">
        <f>IF($MF55=0,0,SUMPRODUCT($NZ55:$OE55,INDEX($I$2:$N$8,MAX(1,$MF55),0)))</f>
        <v/>
      </c>
      <c r="OK55" s="152">
        <f>IF($MF55=0,0,$OF55*CEILING($MF55/2,1)+$OG55*$MF55)</f>
        <v/>
      </c>
      <c r="OL55" s="152">
        <f>MIN(2*$MF55,$OK55)</f>
        <v/>
      </c>
      <c r="OM55" s="152">
        <f>MIN($OL55,$OJ55)</f>
        <v/>
      </c>
      <c r="ON55" s="152">
        <f>$OL55-$OM55</f>
        <v/>
      </c>
      <c r="OO55" s="152">
        <f>IF($MF55=0,0,INDEX($P$2:$P$8,MAX(1,$MF55)))</f>
        <v/>
      </c>
      <c r="OP55" s="152">
        <f>$OO55-$OJ55+$OM55</f>
        <v/>
      </c>
      <c r="OQ55" s="152">
        <f>IF($MF55=0,MAX(0,$MT55-IF($OH55&gt;0,1,0)),MAX(0,$OP55))</f>
        <v/>
      </c>
      <c r="OR55" s="152">
        <f>IF($MF55=0,0,(IF(COUNTIF($MK55:$MN55,"Salto")&gt;0,1,0)+IF(COUNTIF($MK55:$MN55,"Queima")&gt;0,1,0)+IF(COUNTIF($MK55:$MN55,"Estilhaço")&gt;0,1,0))*FLOOR($OQ55/2,1))</f>
        <v/>
      </c>
      <c r="OS55" s="152">
        <f>MAX(0,2-SUMPRODUCT($NZ55:$OE55,$I$2:$N$2)+MIN(2,$OF55*1+$OG55*1,SUMPRODUCT($NZ55:$OE55,$I$2:$N$2)))</f>
        <v/>
      </c>
      <c r="OT55" s="152">
        <f>MAX(0,4-SUMPRODUCT($NZ55:$OE55,$I$3:$N$3)+MIN(4,$OF55*1+$OG55*2,SUMPRODUCT($NZ55:$OE55,$I$3:$N$3)))</f>
        <v/>
      </c>
      <c r="OU55" s="152">
        <f>MAX(0,6-SUMPRODUCT($NZ55:$OE55,$I$4:$N$4)+MIN(6,$OF55*2+$OG55*3,SUMPRODUCT($NZ55:$OE55,$I$4:$N$4)))</f>
        <v/>
      </c>
      <c r="OV55" s="152">
        <f>MAX(0,9-SUMPRODUCT($NZ55:$OE55,$I$5:$N$5)+MIN(8,$OF55*2+$OG55*4,SUMPRODUCT($NZ55:$OE55,$I$5:$N$5)))</f>
        <v/>
      </c>
      <c r="OW55" s="152">
        <f>MAX(0,11-SUMPRODUCT($NZ55:$OE55,$I$6:$N$6)+MIN(10,$OF55*3+$OG55*5,SUMPRODUCT($NZ55:$OE55,$I$6:$N$6)))</f>
        <v/>
      </c>
      <c r="OX55" s="152">
        <f>MAX(0,13-SUMPRODUCT($NZ55:$OE55,$I$7:$N$7)+MIN(12,$OF55*3+$OG55*6,SUMPRODUCT($NZ55:$OE55,$I$7:$N$7)))</f>
        <v/>
      </c>
      <c r="OY55" s="152">
        <f>MAX(0,16-SUMPRODUCT($NZ55:$OE55,$I$8:$N$8)+MIN(14,$OF55*4+$OG55*7,SUMPRODUCT($NZ55:$OE55,$I$8:$N$8)))</f>
        <v/>
      </c>
      <c r="OZ55" s="152">
        <f>IF($NT55=2,3*$OS55&amp;" de vida temp.",IF($NT55=3,"sem dano",IF($OS55=0,IF($NT55=1,"sem cura","sem dano"),IF($NT55=1,"cura ","")&amp;$OS55&amp;"d8")))</f>
        <v/>
      </c>
      <c r="PA55" s="152">
        <f>IF($NT55=2,3*$OT55&amp;" de vida temp.",IF($NT55=3,"sem dano",IF($OT55=0,IF($NT55=1,"sem cura","sem dano"),IF($NT55=1,"cura ","")&amp;$OT55&amp;"d8")))</f>
        <v/>
      </c>
      <c r="PB55" s="152">
        <f>IF($NT55=2,3*$OU55&amp;" de vida temp.",IF($NT55=3,"sem dano",IF($OU55=0,IF($NT55=1,"sem cura","sem dano"),IF($NT55=1,"cura ","")&amp;$OU55&amp;"d8")))</f>
        <v/>
      </c>
      <c r="PC55" s="152">
        <f>IF($NT55=2,3*$OV55&amp;" de vida temp.",IF($NT55=3,"sem dano",IF($OV55=0,IF($NT55=1,"sem cura","sem dano"),IF($NT55=1,"cura ","")&amp;$OV55&amp;"d8")))</f>
        <v/>
      </c>
      <c r="PD55" s="152">
        <f>IF($NT55=2,3*$OW55&amp;" de vida temp.",IF($NT55=3,"sem dano",IF($OW55=0,IF($NT55=1,"sem cura","sem dano"),IF($NT55=1,"cura ","")&amp;$OW55&amp;"d8")))</f>
        <v/>
      </c>
      <c r="PE55" s="152">
        <f>IF($NT55=2,3*$OX55&amp;" de vida temp.",IF($NT55=3,"sem dano",IF($OX55=0,IF($NT55=1,"sem cura","sem dano"),IF($NT55=1,"cura ","")&amp;$OX55&amp;"d8")))</f>
        <v/>
      </c>
      <c r="PF55" s="152">
        <f>IF($NT55=2,3*$OY55&amp;" de vida temp.",IF($NT55=3,"sem dano",IF($OY55=0,IF($NT55=1,"sem cura","sem dano"),IF($NT55=1,"cura ","")&amp;$OY55&amp;"d8")))</f>
        <v/>
      </c>
      <c r="PG55" s="152">
        <f>IF($MQ55=0,"",TEXTJOIN(" · ",TRUE,IF($MD55&gt;$MR55,"Este lugar abre no nível "&amp;$MD55,""),IF($MF55&gt;$MS55,"Classe "&amp;$MF55&amp;": o nível "&amp;$MR55&amp;" libera até a "&amp;$MS55,""),IF($NK55=1,"A Forma "&amp;$MH55&amp;" pede "&amp;INDEX($W$2:$W$11,$MW55)&amp;" aberta",""),IF(AND($MF55=0,$MW55&gt;0,IF($MW55=0,0,INDEX($AF$2:$AF$11,$MW55))=0),$MH55&amp;" não existe na Classe 0",""),IF($NL55=1,"Família Fechada: "&amp;$MK55,""),IF($NM55=1,"Família Fechada: "&amp;$ML55,""),IF($NN55=1,"Família Fechada: "&amp;$MM55,""),IF($NO55=1,"Família Fechada: "&amp;$MN55,""),IF(AND($MF55&gt;0,$OH55&gt;INDEX($O$2:$O$8,MAX(1,$MF55))),$OH55&amp;" Melhorias: a Classe "&amp;$MF55&amp;" aceita "&amp;INDEX($O$2:$O$8,MAX(1,$MF55)),""),IF(AND($MF55=0,$OH55&gt;1),"A básica aceita uma Melhoria",""),IF(AND($MF55=0,COUNTIF($NB55:$NE55,"&gt;1")&gt;0),"A básica só aceita Melhoria Leve",""),IF(AND($MF55&gt;0,$OI55&gt;2),$OI55&amp;" Restrições"&amp;IF($NS55=1,", contando a que a Forma "&amp;$MH55&amp;" já traz","")&amp;": o limite é 2",""),IF(AND($MF55=0,COUNTIF($MO55:$MP55,"?*")&gt;1),"A básica aceita uma Restrição Leve",""),IF(AND($MF55=0,COUNTIF($NV55:$NW55,2)&gt;0),"A básica só aceita Restrição Leve",""),IF(AND($MF55&gt;0,$OP55&lt;0),"Orçamento estourado: faltam "&amp;(-$OP55)&amp;IF($OP55&lt;-1," pontos"," ponto"),""),IF(IFERROR(VLOOKUP($MO55,$BC$2:$BG$24,4,FALSE),0)+IFERROR(VLOOKUP($MP55,$BC$2:$BG$24,4,FALSE),0)&gt;1,$NX55&amp;" e "&amp;$NY55&amp;" são as duas de frequência",""),IF(AND((COUNTIF($MK55:$MN55,"Rápido")+COUNTIF($NX55:$NY55,"Rápido"))&gt;0,(COUNTIF($MK55:$MN55,"Atrasar")+COUNTIF($NX55:$NY55,"Atrasar"))&gt;0),"Rápido não entra com Atrasar",""),IF(AND((COUNTIF($MK55:$MN55,"Reação")+COUNTIF($NX55:$NY55,"Reação"))&gt;0,(COUNTIF($MK55:$MN55,"Rápido")+COUNTIF($NX55:$NY55,"Rápido"))&gt;0),"Reação não entra com Rápido",""),IF(AND((COUNTIF($MK55:$MN55,"Reação")+COUNTIF($NX55:$NY55,"Reação"))&gt;0,(COUNTIF($MK55:$MN55,"Armado")+COUNTIF($NX55:$NY55,"Armado"))&gt;0),"Reação não entra com Armado",""),IF(AND((COUNTIF($MK55:$MN55,"Reação")+COUNTIF($NX55:$NY55,"Reação"))&gt;0,(COUNTIF($MK55:$MN55,"Atrasar")+COUNTIF($NX55:$NY55,"Atrasar"))&gt;0),"Reação não entra com Atrasar",""),IF(AND((COUNTIF($MK55:$MN55,"Reação")+COUNTIF($NX55:$NY55,"Reação"))&gt;0,(COUNTIF($MK55:$MN55,"Parado")+COUNTIF($NX55:$NY55,"Parado"))&gt;0),"Reação não entra com Parado",""),IF(AND((COUNTIF($MK55:$MN55,"Atrasar")+COUNTIF($NX55:$NY55,"Atrasar"))&gt;0,(COUNTIF($MK55:$MN55,"Parado")+COUNTIF($NX55:$NY55,"Parado"))&gt;0),"Atrasar não entra com Parado",""),IF(AND((COUNTIF($MK55:$MN55,"Armado")+COUNTIF($NX55:$NY55,"Armado"))&gt;0,(COUNTIF($MK55:$MN55,"Carregar")+COUNTIF($NX55:$NY55,"Carregar"))&gt;0),"Armado não entra com Carregar",""),IF(AND(COUNTIF($NX55:$NY55,"Corpo a Corpo")&gt;0,$NS55=0,OR($MH55="Cone",$MH55="Linha")),"Corpo a Corpo não entra em "&amp;$MH55,""),IF(AND(COUNTIF($NX55:$NY55,"Corpo a Corpo")&gt;0,$NS55=1),"A Forma "&amp;$MH55&amp;" já traz o Corpo a Corpo",""),IF(AND(COUNTIF($NX55:$NY55,"Tudo ou Nada")&gt;0,$NU55=0),"Tudo ou Nada só entra em habilidade de Teste de Resistência",""),IF(AND(COUNTIF($MK55:$MN55,"Inescapável")&gt;0,OR($OH55&gt;1,$OI55&gt;0)),"Inescapável não aceita outra peça",""),IF(AND($MF55&gt;0,$OQ55*IF(COUNTIF($MK55:$MN55,"Remate")&gt;0,1.25,1)+$OR55&gt;4*$MF55),($OQ55*IF(COUNTIF($MK55:$MN55,"Remate")&gt;0,1.25,1)+$OR55)&amp;" dados somando repetições"&amp;IF(COUNTIF($MK55:$MN55,"Remate")&gt;0," e o Remate","")&amp;": o teto da Classe "&amp;$MF55&amp;" é "&amp;4*$MF55,"")))</f>
        <v/>
      </c>
      <c r="PH55" s="152">
        <f>IF($PG55="",0,(LEN($PG55)-LEN(SUBSTITUTE($PG55," · ","")))/3+1)</f>
        <v/>
      </c>
      <c r="PI55" s="152">
        <f>IF($MQ55=0,"",TEXTJOIN(" · ",TRUE,IF($OK55&gt;2*$MF55,"A devolução parou no teto de "&amp;2*$MF55,""),IF($ON55&gt;0,"Devolução perdida: "&amp;$ON55&amp;IF($ON55&gt;1," pontos"," ponto")&amp;" sem peça para pagar",""),IF(AND($NP55&gt;0,AND($MF55&gt;0,$NT55=0),$OQ55=0),"Controle sem dano: uma rodada a mais e CD +2",""),IF(AND($NP55&gt;0,AND($MF55&gt;0,$NT55=0),$OQ55&gt;0,$OQ55&lt;=$MF55),"Controle com saldo até a Classe: uma rodada a mais",""),IF(AND($MF55&gt;0,$NR55&lt;&gt;""),"Efeito de "&amp;$NR55&amp;" pela Classe "&amp;MAX(1,$MF55-1),"")))</f>
        <v/>
      </c>
      <c r="PJ55" s="152">
        <f>IF($PI55="",0,(LEN($PI55)-LEN(SUBSTITUTE($PI55," · ","")))/3+1)</f>
        <v/>
      </c>
      <c r="PK55" s="152">
        <f>IF($MQ55=0,IF($OH55+COUNTIF($MO55:$MP55,"?*")&gt;0,"Dê um nome",""),IF($PH55&gt;0,"⚠ "&amp;$PH55&amp;IF($PH55&gt;1," erros"," erro"),IF($PJ55&gt;0,"! "&amp;$PJ55&amp;IF($PJ55&gt;1," avisos"," aviso"),"Na regra")))</f>
        <v/>
      </c>
      <c r="PL55" s="152">
        <f>IF($MQ55=0,"",IF($PH55+$PJ55=0,"Dentro das regras que a ficha confere",$PG55&amp;IF(AND($PH55&gt;0,$PJ55&gt;0)," · ","")&amp;$PI55))</f>
        <v/>
      </c>
      <c r="PM55" s="152">
        <f>IF($MD55&gt;$MR55,$ME55&amp;" · ABRE NO NÍVEL "&amp;$MD55,$ME55)</f>
        <v/>
      </c>
      <c r="PN55" s="152">
        <f>IF($MQ55=0,"",IF($MF55=0,"Sem PE",3*$MF55&amp;" PE"))</f>
        <v/>
      </c>
      <c r="PO55" s="152">
        <f>IF($MQ55=0,"",IF($MF55=0,"A atuação básica dela",IF(COUNTIF($NX55:$NY55,"Atrasar")&gt;0,"Sua Ação Completa",IF(COUNTIF($MK55:$MN55,"Rápido")&gt;0,"Sua Bônus",IF(COUNTIF($MK55:$MN55,"Reação")&gt;0,"Sua Reação","Sua Padrão")))&amp;" + a básica dela"&amp;IF(COUNTIF($MK55:$MN55,"Reação")&gt;0," e a coletiva","")&amp;IF(COUNTIF($NX55:$NY55,"Carregar")&gt;0," · em dois turnos","")))</f>
        <v/>
      </c>
      <c r="PP55" s="152">
        <f>IF($MJ55&lt;&gt;"",$MJ55,IF($MW55=0,"",INDEX($AA$2:$AA$11,$MW55)))</f>
        <v/>
      </c>
      <c r="PQ55" s="152">
        <f>IF(OR($MQ55=0,$MW55=0),"",IF(COUNTIF($MK55:$MN55,"Inescapável")&gt;0,"Automático",IF($PP55="Ataque",IF($MU55="","Ataque","Ataque "&amp;IF(($MU55+2*IF(COUNTIF($MK55:$MN55,"Precisão")&gt;0,1,0))&gt;=0,"+","−")&amp;ABS(($MU55+2*IF(COUNTIF($MK55:$MN55,"Precisão")&gt;0,1,0))))&amp;IF($NQ55&gt;0," · TR"&amp;IF($MV55="",""," CD "&amp;$MV55),""),IF(LEFT($PP55,2)="TR",$PP55&amp;IF($MV55="",""," · CD "&amp;$MV55)&amp;IF(COUNTIF($MK55:$MN55,"Certeiro")&gt;0," · metade",""),"Sem rolagem"))))</f>
        <v/>
      </c>
      <c r="PR55" s="152">
        <f>IF(OR($MQ55=0,$MW55=0),"",IF($MF55=0,IF(OR($NT55&gt;=1,$OQ55=0),"Sem dano",$OQ55&amp;"d6"&amp;IF($MI55="",""," "&amp;$MI55)),IF(OR($NT55&gt;=1,$OQ55=0),UPPER(LEFT(INDEX($OZ55:$PF55,1,MAX(1,$MF55)),1))&amp;MID(INDEX($OZ55:$PF55,1,MAX(1,$MF55)),2,99),UPPER(LEFT(INDEX($OZ55:$PF55,1,MAX(1,$MF55)),1))&amp;MID(INDEX($OZ55:$PF55,1,MAX(1,$MF55)),2,99)&amp;IF($MI55="",""," "&amp;$MI55)&amp;IF($OR55&gt;0," · +"&amp;$OR55&amp;"d8",""))))</f>
        <v/>
      </c>
      <c r="PS55" s="152">
        <f>COUNTIF($MK55:$MN55,"Longe")+3*COUNTIF($MK55:$MN55,"Muito Longe")</f>
        <v/>
      </c>
      <c r="PT55" s="152">
        <f>COUNTIF($MK55:$MN55,"Maior")+3*COUNTIF($MK55:$MN55,"Muito Maior")</f>
        <v/>
      </c>
      <c r="PU55" s="152">
        <f>IF($MW55=0,0,CHOOSE(1+INDEX($AC$2:$AC$11,$MW55),0,$PS55,$PT55,$PS55+$PT55))</f>
        <v/>
      </c>
      <c r="PV55" s="152">
        <f>IF($MW55=0,0,CHOOSE(1+INDEX($AD$2:$AD$11,$MW55),0,$PS55,$PT55,$PS55+$PT55))</f>
        <v/>
      </c>
      <c r="PW55" s="152">
        <f>IF(OR($MQ55=0,$MW55=0),"",INDEX($AI$2:$AN$41,($MW55-1)*4+IF($MF55=0,1,IF($MF55&lt;=5,2,IF($MF55=6,3,4))),1+MIN(5,$PU55))&amp;INDEX($AO$2:$AT$41,($MW55-1)*4+IF($MF55=0,1,IF($MF55&lt;=5,2,IF($MF55=6,3,4))),1+MIN(5,$PV55))&amp;IF(INDEX($AE$2:$AE$11,$MW55)=1,IF(COUNTIF($MK55:$MN55,"Mais Um")&gt;0," · +"&amp;COUNTIF($MK55:$MN55,"Mais Um")&amp;IF(COUNTIF($MK55:$MN55,"Mais Um")&gt;1," alvos"," alvo"),"")&amp;IF(COUNTIF($MK55:$MN55,"Rajada")&gt;0,IF($MF55=0," · 1 tiro"," · "&amp;(MAX(1,$MF55-1)+1)&amp;" tiros"),""),""))</f>
        <v/>
      </c>
      <c r="PX55" s="152">
        <f>IF($MQ55=0,"",IF($MF55=0,$MT55&amp;"d6"&amp;IF($OH55&gt;0," − 1 = "&amp;$OQ55&amp;"d6"," da básica do nível "&amp;$MR55),$OO55&amp;" − "&amp;$OJ55&amp;" + "&amp;$OM55&amp;" = "&amp;$OP55&amp;" · teto "&amp;4*$MF55&amp;"d8"&amp;IF($NS55=1," · a Forma devolve "&amp;$MF55,"")&amp;IF($ON55&gt;0," · perde "&amp;$ON55,"")))</f>
        <v/>
      </c>
      <c r="PY55" s="152">
        <f>IF($MQ55=0,"",IF($MF55=0,"A básica não amplia: os dados dela sobem com o nível",IF($MF55&gt;=$MS55,"Já está na maior Classe que o nível liberou",TEXTJOIN(" · ",TRUE,IF(AND(2&gt;$MF55,2&lt;=$MS55),"2 → "&amp;$PA55&amp;", 6 PE",""),IF(AND(3&gt;$MF55,3&lt;=$MS55),"3 → "&amp;$PB55&amp;", 9 PE",""),IF(AND(4&gt;$MF55,4&lt;=$MS55),"4 → "&amp;$PC55&amp;", 12 PE",""),IF(AND(5&gt;$MF55,5&lt;=$MS55),"5 → "&amp;$PD55&amp;", 15 PE",""),IF(AND(6&gt;$MF55,6&lt;=$MS55),"6 → "&amp;$PE55&amp;", 18 PE",""),IF(AND(7&gt;$MF55,7&lt;=$MS55),"7 → "&amp;$PF55&amp;", 21 PE","")))))</f>
        <v/>
      </c>
      <c r="PZ55" s="152">
        <f>IF(OR($MQ55=0,$NB55=0),"",IF($MF55=0,"−1 dado","−"&amp;INDEX($I$2:$N$8,MAX(1,$MF55),MAX(1,$NG55))&amp;" · "&amp;CHOOSE(MAX(1,$NG55),"Leve","Média","Pesada","Leve · Livre","Média · Livre","Pesada · Livre")))</f>
        <v/>
      </c>
      <c r="QA55" s="152">
        <f>IF(OR($MQ55=0,$NC55=0),"",IF($MF55=0,"−1 dado","−"&amp;INDEX($I$2:$N$8,MAX(1,$MF55),MAX(1,$NH55))&amp;" · "&amp;CHOOSE(MAX(1,$NH55),"Leve","Média","Pesada","Leve · Livre","Média · Livre","Pesada · Livre")))</f>
        <v/>
      </c>
      <c r="QB55" s="152">
        <f>IF(OR($MQ55=0,$ND55=0),"",IF($MF55=0,"−1 dado","−"&amp;INDEX($I$2:$N$8,MAX(1,$MF55),MAX(1,$NI55))&amp;" · "&amp;CHOOSE(MAX(1,$NI55),"Leve","Média","Pesada","Leve · Livre","Média · Livre","Pesada · Livre")))</f>
        <v/>
      </c>
      <c r="QC55" s="152">
        <f>IF(OR($MQ55=0,$NE55=0),"",IF($MF55=0,"−1 dado","−"&amp;INDEX($I$2:$N$8,MAX(1,$MF55),MAX(1,$NJ55))&amp;" · "&amp;CHOOSE(MAX(1,$NJ55),"Leve","Média","Pesada","Leve · Livre","Média · Livre","Pesada · Livre")))</f>
        <v/>
      </c>
      <c r="QD55" s="152">
        <f>IF(OR($MQ55=0,$MO55=""),"",IF($MF55=0,"não devolve","+"&amp;IF($NV55=1,CEILING($MF55/2,1),$MF55)))</f>
        <v/>
      </c>
      <c r="QE55" s="152">
        <f>IF(OR($MQ55=0,$MP55=""),"",IF($MF55=0,"não devolve","+"&amp;IF($NW55=1,CEILING($MF55/2,1),$MF55)))</f>
        <v/>
      </c>
    </row>
    <row r="56">
      <c r="AV56" s="150" t="inlineStr">
        <is>
          <t>Estilhaço</t>
        </is>
      </c>
      <c r="AW56" s="150" t="inlineStr">
        <is>
          <t>Castigo</t>
        </is>
      </c>
      <c r="AX56" s="152" t="n">
        <v>1</v>
      </c>
      <c r="AY56" s="152" t="n">
        <v>0</v>
      </c>
      <c r="AZ56" s="152" t="n">
        <v>0</v>
      </c>
      <c r="BA56" s="152" t="n">
        <v>0</v>
      </c>
      <c r="JG56" s="152">
        <f>IF(OR($AW56="",COUNTIF($EF$2:$EJ$2,$AW56)&gt;0),$AV56,"")</f>
        <v/>
      </c>
      <c r="JH56" s="152">
        <f>IF(AND($AX56=1,OR($AW56="",COUNTIF($EF$2:$EJ$2,$AW56)&gt;0)),$AV56,"")</f>
        <v/>
      </c>
      <c r="JM56" s="152">
        <f>IF(OR($AW56="",COUNTIF($EF$3:$EJ$3,$AW56)&gt;0),$AV56,"")</f>
        <v/>
      </c>
      <c r="JN56" s="152">
        <f>IF(AND($AX56=1,OR($AW56="",COUNTIF($EF$3:$EJ$3,$AW56)&gt;0)),$AV56,"")</f>
        <v/>
      </c>
      <c r="JS56" s="152">
        <f>IF(OR($AW56="",COUNTIF($EF$4:$EJ$4,$AW56)&gt;0),$AV56,"")</f>
        <v/>
      </c>
      <c r="JT56" s="152">
        <f>IF(AND($AX56=1,OR($AW56="",COUNTIF($EF$4:$EJ$4,$AW56)&gt;0)),$AV56,"")</f>
        <v/>
      </c>
      <c r="JY56" s="152">
        <f>IF(OR($AW56="",COUNTIF($EF$5:$EJ$5,$AW56)&gt;0),$AV56,"")</f>
        <v/>
      </c>
      <c r="JZ56" s="152">
        <f>IF(AND($AX56=1,OR($AW56="",COUNTIF($EF$5:$EJ$5,$AW56)&gt;0)),$AV56,"")</f>
        <v/>
      </c>
      <c r="KE56" s="152">
        <f>IF(OR($AW56="",COUNTIF($EF$6:$EJ$6,$AW56)&gt;0),$AV56,"")</f>
        <v/>
      </c>
      <c r="KF56" s="152">
        <f>IF(AND($AX56=1,OR($AW56="",COUNTIF($EF$6:$EJ$6,$AW56)&gt;0)),$AV56,"")</f>
        <v/>
      </c>
      <c r="KK56" s="152">
        <f>IF(OR($AW56="",COUNTIF($EF$7:$EJ$7,$AW56)&gt;0),$AV56,"")</f>
        <v/>
      </c>
      <c r="KL56" s="152">
        <f>IF(AND($AX56=1,OR($AW56="",COUNTIF($EF$7:$EJ$7,$AW56)&gt;0)),$AV56,"")</f>
        <v/>
      </c>
      <c r="KQ56" s="152">
        <f>IF(OR($AW56="",COUNTIF($EF$8:$EJ$8,$AW56)&gt;0),$AV56,"")</f>
        <v/>
      </c>
      <c r="KR56" s="152">
        <f>IF(AND($AX56=1,OR($AW56="",COUNTIF($EF$8:$EJ$8,$AW56)&gt;0)),$AV56,"")</f>
        <v/>
      </c>
      <c r="KW56" s="152">
        <f>IF(OR($AW56="",COUNTIF($EF$9:$EJ$9,$AW56)&gt;0),$AV56,"")</f>
        <v/>
      </c>
      <c r="KX56" s="152">
        <f>IF(AND($AX56=1,OR($AW56="",COUNTIF($EF$9:$EJ$9,$AW56)&gt;0)),$AV56,"")</f>
        <v/>
      </c>
      <c r="LC56" s="152">
        <f>IF(OR($AW56="",COUNTIF($EF$10:$EJ$10,$AW56)&gt;0),$AV56,"")</f>
        <v/>
      </c>
      <c r="LD56" s="152">
        <f>IF(AND($AX56=1,OR($AW56="",COUNTIF($EF$10:$EJ$10,$AW56)&gt;0)),$AV56,"")</f>
        <v/>
      </c>
      <c r="LI56" s="152">
        <f>IF(OR($AW56="",COUNTIF($EF$11:$EJ$11,$AW56)&gt;0),$AV56,"")</f>
        <v/>
      </c>
      <c r="LJ56" s="152">
        <f>IF(AND($AX56=1,OR($AW56="",COUNTIF($EF$11:$EJ$11,$AW56)&gt;0)),$AV56,"")</f>
        <v/>
      </c>
      <c r="LO56" s="152">
        <f>IF(OR($AW56="",COUNTIF($EF$12:$EJ$12,$AW56)&gt;0),$AV56,"")</f>
        <v/>
      </c>
      <c r="LP56" s="152">
        <f>IF(AND($AX56=1,OR($AW56="",COUNTIF($EF$12:$EJ$12,$AW56)&gt;0)),$AV56,"")</f>
        <v/>
      </c>
      <c r="LU56" s="152">
        <f>IF(OR($AW56="",COUNTIF($EF$13:$EJ$13,$AW56)&gt;0),$AV56,"")</f>
        <v/>
      </c>
      <c r="LV56" s="152">
        <f>IF(AND($AX56=1,OR($AW56="",COUNTIF($EF$13:$EJ$13,$AW56)&gt;0)),$AV56,"")</f>
        <v/>
      </c>
      <c r="MA56" s="150" t="inlineStr">
        <is>
          <t>Ficha 5 · Especial 2</t>
        </is>
      </c>
      <c r="MB56" s="152" t="n">
        <v>5</v>
      </c>
      <c r="MC56" s="152" t="n">
        <v>1</v>
      </c>
      <c r="MD56" s="152" t="n">
        <v>4</v>
      </c>
      <c r="ME56" s="150" t="inlineStr">
        <is>
          <t>ESPECIAL 2</t>
        </is>
      </c>
      <c r="MF56" s="152">
        <f>MAX(1,MIN(7,N('INVOCAÇÕES'!$U$850)))</f>
        <v/>
      </c>
      <c r="MG56" s="152">
        <f>'INVOCAÇÕES'!$V$850&amp;""</f>
        <v/>
      </c>
      <c r="MH56" s="152">
        <f>'INVOCAÇÕES'!$U$855&amp;""</f>
        <v/>
      </c>
      <c r="MI56" s="152">
        <f>'INVOCAÇÕES'!$U$856&amp;""</f>
        <v/>
      </c>
      <c r="MJ56" s="152">
        <f>'INVOCAÇÕES'!$W$856&amp;""</f>
        <v/>
      </c>
      <c r="MK56" s="152">
        <f>'INVOCAÇÕES'!$V$859&amp;""</f>
        <v/>
      </c>
      <c r="ML56" s="152">
        <f>'INVOCAÇÕES'!$V$860&amp;""</f>
        <v/>
      </c>
      <c r="MM56" s="152">
        <f>'INVOCAÇÕES'!$V$861&amp;""</f>
        <v/>
      </c>
      <c r="MN56" s="152">
        <f>'INVOCAÇÕES'!$V$862&amp;""</f>
        <v/>
      </c>
      <c r="MO56" s="152">
        <f>'INVOCAÇÕES'!$V$863&amp;""</f>
        <v/>
      </c>
      <c r="MP56" s="152">
        <f>'INVOCAÇÕES'!$V$864&amp;""</f>
        <v/>
      </c>
      <c r="MQ56" s="152">
        <f>IF($MG56&lt;&gt;"",1,0)</f>
        <v/>
      </c>
      <c r="MR56" s="152">
        <f>INDEX($FI$2:$FI$13,$MB56)</f>
        <v/>
      </c>
      <c r="MS56" s="152">
        <f>INDEX($FJ$2:$FJ$13,$MB56)</f>
        <v/>
      </c>
      <c r="MT56" s="152">
        <f>INDEX($FK$2:$FK$13,$MB56)</f>
        <v/>
      </c>
      <c r="MU56" s="152">
        <f>INDEX($FV$2:$FV$13,$MB56)</f>
        <v/>
      </c>
      <c r="MV56" s="152">
        <f>INDEX($FW$2:$FW$13,$MB56)</f>
        <v/>
      </c>
      <c r="MW56" s="152">
        <f>IFERROR(MATCH($MH56,$V$2:$V$11,0),0)</f>
        <v/>
      </c>
      <c r="MX56" s="152">
        <f>IFERROR(VLOOKUP($MK56,$AV$2:$BA$84,2,FALSE),"")</f>
        <v/>
      </c>
      <c r="MY56" s="152">
        <f>IFERROR(VLOOKUP($ML56,$AV$2:$BA$84,2,FALSE),"")</f>
        <v/>
      </c>
      <c r="MZ56" s="152">
        <f>IFERROR(VLOOKUP($MM56,$AV$2:$BA$84,2,FALSE),"")</f>
        <v/>
      </c>
      <c r="NA56" s="152">
        <f>IFERROR(VLOOKUP($MN56,$AV$2:$BA$84,2,FALSE),"")</f>
        <v/>
      </c>
      <c r="NB56" s="152">
        <f>IFERROR(VLOOKUP($MK56,$AV$2:$BA$84,3,FALSE),0)</f>
        <v/>
      </c>
      <c r="NC56" s="152">
        <f>IFERROR(VLOOKUP($ML56,$AV$2:$BA$84,3,FALSE),0)</f>
        <v/>
      </c>
      <c r="ND56" s="152">
        <f>IFERROR(VLOOKUP($MM56,$AV$2:$BA$84,3,FALSE),0)</f>
        <v/>
      </c>
      <c r="NE56" s="152">
        <f>IFERROR(VLOOKUP($MN56,$AV$2:$BA$84,3,FALSE),0)</f>
        <v/>
      </c>
      <c r="NF56" s="152">
        <f>IF($MF56=0,0,IF($MW56=0,0,INDEX($X$2:$X$11,$MW56)))</f>
        <v/>
      </c>
      <c r="NG56" s="152">
        <f>IF(OR($NB56=0,$MF56=0),0,$NB56+3*IF(AND($MX56&lt;&gt;"",OR($MX56=INDEX($EF$2:$EF$13,$MB56),$MX56=INDEX($EG$2:$EG$13,$MB56))),1,0))</f>
        <v/>
      </c>
      <c r="NH56" s="152">
        <f>IF(OR($NC56=0,$MF56=0),0,$NC56+3*IF(AND($MY56&lt;&gt;"",OR($MY56=INDEX($EF$2:$EF$13,$MB56),$MY56=INDEX($EG$2:$EG$13,$MB56))),1,0))</f>
        <v/>
      </c>
      <c r="NI56" s="152">
        <f>IF(OR($ND56=0,$MF56=0),0,$ND56+3*IF(AND($MZ56&lt;&gt;"",OR($MZ56=INDEX($EF$2:$EF$13,$MB56),$MZ56=INDEX($EG$2:$EG$13,$MB56))),1,0))</f>
        <v/>
      </c>
      <c r="NJ56" s="152">
        <f>IF(OR($NE56=0,$MF56=0),0,$NE56+3*IF(AND($NA56&lt;&gt;"",OR($NA56=INDEX($EF$2:$EF$13,$MB56),$NA56=INDEX($EG$2:$EG$13,$MB56))),1,0))</f>
        <v/>
      </c>
      <c r="NK56" s="152">
        <f>IF($MW56=0,0,IF(INDEX($W$2:$W$11,$MW56)="",0,IF(COUNTIF(INDEX($EF$2:$EJ$13,$MB56,0),INDEX($W$2:$W$11,$MW56))=0,1,0)))</f>
        <v/>
      </c>
      <c r="NL56" s="152">
        <f>IF(OR($NB56=0,$MX56=""),0,IF(COUNTIF(INDEX($EF$2:$EJ$13,$MB56,0),$MX56)=0,1,0))</f>
        <v/>
      </c>
      <c r="NM56" s="152">
        <f>IF(OR($NC56=0,$MY56=""),0,IF(COUNTIF(INDEX($EF$2:$EJ$13,$MB56,0),$MY56)=0,1,0))</f>
        <v/>
      </c>
      <c r="NN56" s="152">
        <f>IF(OR($ND56=0,$MZ56=""),0,IF(COUNTIF(INDEX($EF$2:$EJ$13,$MB56,0),$MZ56)=0,1,0))</f>
        <v/>
      </c>
      <c r="NO56" s="152">
        <f>IF(OR($NE56=0,$NA56=""),0,IF(COUNTIF(INDEX($EF$2:$EJ$13,$MB56,0),$NA56)=0,1,0))</f>
        <v/>
      </c>
      <c r="NP56" s="152">
        <f>IFERROR(VLOOKUP($MK56,$AV$2:$BA$84,4,FALSE),0)+IFERROR(VLOOKUP($ML56,$AV$2:$BA$84,4,FALSE),0)+IFERROR(VLOOKUP($MM56,$AV$2:$BA$84,4,FALSE),0)+IFERROR(VLOOKUP($MN56,$AV$2:$BA$84,4,FALSE),0)</f>
        <v/>
      </c>
      <c r="NQ56" s="152">
        <f>IFERROR(VLOOKUP($MK56,$AV$2:$BA$84,6,FALSE),0)+IFERROR(VLOOKUP($ML56,$AV$2:$BA$84,6,FALSE),0)+IFERROR(VLOOKUP($MM56,$AV$2:$BA$84,6,FALSE),0)+IFERROR(VLOOKUP($MN56,$AV$2:$BA$84,6,FALSE),0)</f>
        <v/>
      </c>
      <c r="NR56" s="152">
        <f>TEXTJOIN(", ",TRUE,IF(IFERROR(VLOOKUP($MK56,$AV$2:$BA$84,5,FALSE),0)=1,$MK56,""),IF(IFERROR(VLOOKUP($ML56,$AV$2:$BA$84,5,FALSE),0)=1,$ML56,""),IF(IFERROR(VLOOKUP($MM56,$AV$2:$BA$84,5,FALSE),0)=1,$MM56,""),IF(IFERROR(VLOOKUP($MN56,$AV$2:$BA$84,5,FALSE),0)=1,$MN56,""))</f>
        <v/>
      </c>
      <c r="NS56" s="152">
        <f>IF($MW56=0,0,INDEX($Y$2:$Y$11,$MW56))</f>
        <v/>
      </c>
      <c r="NT56" s="152">
        <f>IF($MW56=0,0,INDEX($Z$2:$Z$11,$MW56))</f>
        <v/>
      </c>
      <c r="NU56" s="152">
        <f>IF($MW56=0,0,INDEX($AB$2:$AB$11,$MW56))</f>
        <v/>
      </c>
      <c r="NV56" s="152">
        <f>IFERROR(VLOOKUP($MO56,$BC$2:$BG$24,3,FALSE),0)</f>
        <v/>
      </c>
      <c r="NW56" s="152">
        <f>IFERROR(VLOOKUP($MP56,$BC$2:$BG$24,3,FALSE),0)</f>
        <v/>
      </c>
      <c r="NX56" s="152">
        <f>IFERROR(VLOOKUP($MO56,$BC$2:$BG$24,2,FALSE),"")</f>
        <v/>
      </c>
      <c r="NY56" s="152">
        <f>IFERROR(VLOOKUP($MP56,$BC$2:$BG$24,2,FALSE),"")</f>
        <v/>
      </c>
      <c r="NZ56" s="152">
        <f>COUNTIF($NF56:$NJ56,1)</f>
        <v/>
      </c>
      <c r="OA56" s="152">
        <f>COUNTIF($NF56:$NJ56,2)</f>
        <v/>
      </c>
      <c r="OB56" s="152">
        <f>COUNTIF($NF56:$NJ56,3)</f>
        <v/>
      </c>
      <c r="OC56" s="152">
        <f>COUNTIF($NF56:$NJ56,4)</f>
        <v/>
      </c>
      <c r="OD56" s="152">
        <f>COUNTIF($NF56:$NJ56,5)</f>
        <v/>
      </c>
      <c r="OE56" s="152">
        <f>COUNTIF($NF56:$NJ56,6)</f>
        <v/>
      </c>
      <c r="OF56" s="152">
        <f>COUNTIF($NV56:$NW56,1)</f>
        <v/>
      </c>
      <c r="OG56" s="152">
        <f>COUNTIF($NV56:$NW56,2)+$NS56</f>
        <v/>
      </c>
      <c r="OH56" s="152">
        <f>COUNTIF($MK56:$MN56,"?*")</f>
        <v/>
      </c>
      <c r="OI56" s="152">
        <f>COUNTIF($MO56:$MP56,"?*")+$NS56</f>
        <v/>
      </c>
      <c r="OJ56" s="152">
        <f>IF($MF56=0,0,SUMPRODUCT($NZ56:$OE56,INDEX($I$2:$N$8,MAX(1,$MF56),0)))</f>
        <v/>
      </c>
      <c r="OK56" s="152">
        <f>IF($MF56=0,0,$OF56*CEILING($MF56/2,1)+$OG56*$MF56)</f>
        <v/>
      </c>
      <c r="OL56" s="152">
        <f>MIN(2*$MF56,$OK56)</f>
        <v/>
      </c>
      <c r="OM56" s="152">
        <f>MIN($OL56,$OJ56)</f>
        <v/>
      </c>
      <c r="ON56" s="152">
        <f>$OL56-$OM56</f>
        <v/>
      </c>
      <c r="OO56" s="152">
        <f>IF($MF56=0,0,INDEX($P$2:$P$8,MAX(1,$MF56)))</f>
        <v/>
      </c>
      <c r="OP56" s="152">
        <f>$OO56-$OJ56+$OM56</f>
        <v/>
      </c>
      <c r="OQ56" s="152">
        <f>IF($MF56=0,MAX(0,$MT56-IF($OH56&gt;0,1,0)),MAX(0,$OP56))</f>
        <v/>
      </c>
      <c r="OR56" s="152">
        <f>IF($MF56=0,0,(IF(COUNTIF($MK56:$MN56,"Salto")&gt;0,1,0)+IF(COUNTIF($MK56:$MN56,"Queima")&gt;0,1,0)+IF(COUNTIF($MK56:$MN56,"Estilhaço")&gt;0,1,0))*FLOOR($OQ56/2,1))</f>
        <v/>
      </c>
      <c r="OS56" s="152">
        <f>MAX(0,2-SUMPRODUCT($NZ56:$OE56,$I$2:$N$2)+MIN(2,$OF56*1+$OG56*1,SUMPRODUCT($NZ56:$OE56,$I$2:$N$2)))</f>
        <v/>
      </c>
      <c r="OT56" s="152">
        <f>MAX(0,4-SUMPRODUCT($NZ56:$OE56,$I$3:$N$3)+MIN(4,$OF56*1+$OG56*2,SUMPRODUCT($NZ56:$OE56,$I$3:$N$3)))</f>
        <v/>
      </c>
      <c r="OU56" s="152">
        <f>MAX(0,6-SUMPRODUCT($NZ56:$OE56,$I$4:$N$4)+MIN(6,$OF56*2+$OG56*3,SUMPRODUCT($NZ56:$OE56,$I$4:$N$4)))</f>
        <v/>
      </c>
      <c r="OV56" s="152">
        <f>MAX(0,9-SUMPRODUCT($NZ56:$OE56,$I$5:$N$5)+MIN(8,$OF56*2+$OG56*4,SUMPRODUCT($NZ56:$OE56,$I$5:$N$5)))</f>
        <v/>
      </c>
      <c r="OW56" s="152">
        <f>MAX(0,11-SUMPRODUCT($NZ56:$OE56,$I$6:$N$6)+MIN(10,$OF56*3+$OG56*5,SUMPRODUCT($NZ56:$OE56,$I$6:$N$6)))</f>
        <v/>
      </c>
      <c r="OX56" s="152">
        <f>MAX(0,13-SUMPRODUCT($NZ56:$OE56,$I$7:$N$7)+MIN(12,$OF56*3+$OG56*6,SUMPRODUCT($NZ56:$OE56,$I$7:$N$7)))</f>
        <v/>
      </c>
      <c r="OY56" s="152">
        <f>MAX(0,16-SUMPRODUCT($NZ56:$OE56,$I$8:$N$8)+MIN(14,$OF56*4+$OG56*7,SUMPRODUCT($NZ56:$OE56,$I$8:$N$8)))</f>
        <v/>
      </c>
      <c r="OZ56" s="152">
        <f>IF($NT56=2,3*$OS56&amp;" de vida temp.",IF($NT56=3,"sem dano",IF($OS56=0,IF($NT56=1,"sem cura","sem dano"),IF($NT56=1,"cura ","")&amp;$OS56&amp;"d8")))</f>
        <v/>
      </c>
      <c r="PA56" s="152">
        <f>IF($NT56=2,3*$OT56&amp;" de vida temp.",IF($NT56=3,"sem dano",IF($OT56=0,IF($NT56=1,"sem cura","sem dano"),IF($NT56=1,"cura ","")&amp;$OT56&amp;"d8")))</f>
        <v/>
      </c>
      <c r="PB56" s="152">
        <f>IF($NT56=2,3*$OU56&amp;" de vida temp.",IF($NT56=3,"sem dano",IF($OU56=0,IF($NT56=1,"sem cura","sem dano"),IF($NT56=1,"cura ","")&amp;$OU56&amp;"d8")))</f>
        <v/>
      </c>
      <c r="PC56" s="152">
        <f>IF($NT56=2,3*$OV56&amp;" de vida temp.",IF($NT56=3,"sem dano",IF($OV56=0,IF($NT56=1,"sem cura","sem dano"),IF($NT56=1,"cura ","")&amp;$OV56&amp;"d8")))</f>
        <v/>
      </c>
      <c r="PD56" s="152">
        <f>IF($NT56=2,3*$OW56&amp;" de vida temp.",IF($NT56=3,"sem dano",IF($OW56=0,IF($NT56=1,"sem cura","sem dano"),IF($NT56=1,"cura ","")&amp;$OW56&amp;"d8")))</f>
        <v/>
      </c>
      <c r="PE56" s="152">
        <f>IF($NT56=2,3*$OX56&amp;" de vida temp.",IF($NT56=3,"sem dano",IF($OX56=0,IF($NT56=1,"sem cura","sem dano"),IF($NT56=1,"cura ","")&amp;$OX56&amp;"d8")))</f>
        <v/>
      </c>
      <c r="PF56" s="152">
        <f>IF($NT56=2,3*$OY56&amp;" de vida temp.",IF($NT56=3,"sem dano",IF($OY56=0,IF($NT56=1,"sem cura","sem dano"),IF($NT56=1,"cura ","")&amp;$OY56&amp;"d8")))</f>
        <v/>
      </c>
      <c r="PG56" s="152">
        <f>IF($MQ56=0,"",TEXTJOIN(" · ",TRUE,IF($MD56&gt;$MR56,"Este lugar abre no nível "&amp;$MD56,""),IF($MF56&gt;$MS56,"Classe "&amp;$MF56&amp;": o nível "&amp;$MR56&amp;" libera até a "&amp;$MS56,""),IF($NK56=1,"A Forma "&amp;$MH56&amp;" pede "&amp;INDEX($W$2:$W$11,$MW56)&amp;" aberta",""),IF(AND($MF56=0,$MW56&gt;0,IF($MW56=0,0,INDEX($AF$2:$AF$11,$MW56))=0),$MH56&amp;" não existe na Classe 0",""),IF($NL56=1,"Família Fechada: "&amp;$MK56,""),IF($NM56=1,"Família Fechada: "&amp;$ML56,""),IF($NN56=1,"Família Fechada: "&amp;$MM56,""),IF($NO56=1,"Família Fechada: "&amp;$MN56,""),IF(AND($MF56&gt;0,$OH56&gt;INDEX($O$2:$O$8,MAX(1,$MF56))),$OH56&amp;" Melhorias: a Classe "&amp;$MF56&amp;" aceita "&amp;INDEX($O$2:$O$8,MAX(1,$MF56)),""),IF(AND($MF56=0,$OH56&gt;1),"A básica aceita uma Melhoria",""),IF(AND($MF56=0,COUNTIF($NB56:$NE56,"&gt;1")&gt;0),"A básica só aceita Melhoria Leve",""),IF(AND($MF56&gt;0,$OI56&gt;2),$OI56&amp;" Restrições"&amp;IF($NS56=1,", contando a que a Forma "&amp;$MH56&amp;" já traz","")&amp;": o limite é 2",""),IF(AND($MF56=0,COUNTIF($MO56:$MP56,"?*")&gt;1),"A básica aceita uma Restrição Leve",""),IF(AND($MF56=0,COUNTIF($NV56:$NW56,2)&gt;0),"A básica só aceita Restrição Leve",""),IF(AND($MF56&gt;0,$OP56&lt;0),"Orçamento estourado: faltam "&amp;(-$OP56)&amp;IF($OP56&lt;-1," pontos"," ponto"),""),IF(IFERROR(VLOOKUP($MO56,$BC$2:$BG$24,4,FALSE),0)+IFERROR(VLOOKUP($MP56,$BC$2:$BG$24,4,FALSE),0)&gt;1,$NX56&amp;" e "&amp;$NY56&amp;" são as duas de frequência",""),IF(AND((COUNTIF($MK56:$MN56,"Rápido")+COUNTIF($NX56:$NY56,"Rápido"))&gt;0,(COUNTIF($MK56:$MN56,"Atrasar")+COUNTIF($NX56:$NY56,"Atrasar"))&gt;0),"Rápido não entra com Atrasar",""),IF(AND((COUNTIF($MK56:$MN56,"Reação")+COUNTIF($NX56:$NY56,"Reação"))&gt;0,(COUNTIF($MK56:$MN56,"Rápido")+COUNTIF($NX56:$NY56,"Rápido"))&gt;0),"Reação não entra com Rápido",""),IF(AND((COUNTIF($MK56:$MN56,"Reação")+COUNTIF($NX56:$NY56,"Reação"))&gt;0,(COUNTIF($MK56:$MN56,"Armado")+COUNTIF($NX56:$NY56,"Armado"))&gt;0),"Reação não entra com Armado",""),IF(AND((COUNTIF($MK56:$MN56,"Reação")+COUNTIF($NX56:$NY56,"Reação"))&gt;0,(COUNTIF($MK56:$MN56,"Atrasar")+COUNTIF($NX56:$NY56,"Atrasar"))&gt;0),"Reação não entra com Atrasar",""),IF(AND((COUNTIF($MK56:$MN56,"Reação")+COUNTIF($NX56:$NY56,"Reação"))&gt;0,(COUNTIF($MK56:$MN56,"Parado")+COUNTIF($NX56:$NY56,"Parado"))&gt;0),"Reação não entra com Parado",""),IF(AND((COUNTIF($MK56:$MN56,"Atrasar")+COUNTIF($NX56:$NY56,"Atrasar"))&gt;0,(COUNTIF($MK56:$MN56,"Parado")+COUNTIF($NX56:$NY56,"Parado"))&gt;0),"Atrasar não entra com Parado",""),IF(AND((COUNTIF($MK56:$MN56,"Armado")+COUNTIF($NX56:$NY56,"Armado"))&gt;0,(COUNTIF($MK56:$MN56,"Carregar")+COUNTIF($NX56:$NY56,"Carregar"))&gt;0),"Armado não entra com Carregar",""),IF(AND(COUNTIF($NX56:$NY56,"Corpo a Corpo")&gt;0,$NS56=0,OR($MH56="Cone",$MH56="Linha")),"Corpo a Corpo não entra em "&amp;$MH56,""),IF(AND(COUNTIF($NX56:$NY56,"Corpo a Corpo")&gt;0,$NS56=1),"A Forma "&amp;$MH56&amp;" já traz o Corpo a Corpo",""),IF(AND(COUNTIF($NX56:$NY56,"Tudo ou Nada")&gt;0,$NU56=0),"Tudo ou Nada só entra em habilidade de Teste de Resistência",""),IF(AND(COUNTIF($MK56:$MN56,"Inescapável")&gt;0,OR($OH56&gt;1,$OI56&gt;0)),"Inescapável não aceita outra peça",""),IF(AND($MF56&gt;0,$OQ56*IF(COUNTIF($MK56:$MN56,"Remate")&gt;0,1.25,1)+$OR56&gt;4*$MF56),($OQ56*IF(COUNTIF($MK56:$MN56,"Remate")&gt;0,1.25,1)+$OR56)&amp;" dados somando repetições"&amp;IF(COUNTIF($MK56:$MN56,"Remate")&gt;0," e o Remate","")&amp;": o teto da Classe "&amp;$MF56&amp;" é "&amp;4*$MF56,"")))</f>
        <v/>
      </c>
      <c r="PH56" s="152">
        <f>IF($PG56="",0,(LEN($PG56)-LEN(SUBSTITUTE($PG56," · ","")))/3+1)</f>
        <v/>
      </c>
      <c r="PI56" s="152">
        <f>IF($MQ56=0,"",TEXTJOIN(" · ",TRUE,IF($OK56&gt;2*$MF56,"A devolução parou no teto de "&amp;2*$MF56,""),IF($ON56&gt;0,"Devolução perdida: "&amp;$ON56&amp;IF($ON56&gt;1," pontos"," ponto")&amp;" sem peça para pagar",""),IF(AND($NP56&gt;0,AND($MF56&gt;0,$NT56=0),$OQ56=0),"Controle sem dano: uma rodada a mais e CD +2",""),IF(AND($NP56&gt;0,AND($MF56&gt;0,$NT56=0),$OQ56&gt;0,$OQ56&lt;=$MF56),"Controle com saldo até a Classe: uma rodada a mais",""),IF(AND($MF56&gt;0,$NR56&lt;&gt;""),"Efeito de "&amp;$NR56&amp;" pela Classe "&amp;MAX(1,$MF56-1),"")))</f>
        <v/>
      </c>
      <c r="PJ56" s="152">
        <f>IF($PI56="",0,(LEN($PI56)-LEN(SUBSTITUTE($PI56," · ","")))/3+1)</f>
        <v/>
      </c>
      <c r="PK56" s="152">
        <f>IF($MQ56=0,IF($OH56+COUNTIF($MO56:$MP56,"?*")&gt;0,"Dê um nome",""),IF($PH56&gt;0,"⚠ "&amp;$PH56&amp;IF($PH56&gt;1," erros"," erro"),IF($PJ56&gt;0,"! "&amp;$PJ56&amp;IF($PJ56&gt;1," avisos"," aviso"),"Na regra")))</f>
        <v/>
      </c>
      <c r="PL56" s="152">
        <f>IF($MQ56=0,"",IF($PH56+$PJ56=0,"Dentro das regras que a ficha confere",$PG56&amp;IF(AND($PH56&gt;0,$PJ56&gt;0)," · ","")&amp;$PI56))</f>
        <v/>
      </c>
      <c r="PM56" s="152">
        <f>IF($MD56&gt;$MR56,$ME56&amp;" · ABRE NO NÍVEL "&amp;$MD56,$ME56)</f>
        <v/>
      </c>
      <c r="PN56" s="152">
        <f>IF($MQ56=0,"",IF($MF56=0,"Sem PE",3*$MF56&amp;" PE"))</f>
        <v/>
      </c>
      <c r="PO56" s="152">
        <f>IF($MQ56=0,"",IF($MF56=0,"A atuação básica dela",IF(COUNTIF($NX56:$NY56,"Atrasar")&gt;0,"Sua Ação Completa",IF(COUNTIF($MK56:$MN56,"Rápido")&gt;0,"Sua Bônus",IF(COUNTIF($MK56:$MN56,"Reação")&gt;0,"Sua Reação","Sua Padrão")))&amp;" + a básica dela"&amp;IF(COUNTIF($MK56:$MN56,"Reação")&gt;0," e a coletiva","")&amp;IF(COUNTIF($NX56:$NY56,"Carregar")&gt;0," · em dois turnos","")))</f>
        <v/>
      </c>
      <c r="PP56" s="152">
        <f>IF($MJ56&lt;&gt;"",$MJ56,IF($MW56=0,"",INDEX($AA$2:$AA$11,$MW56)))</f>
        <v/>
      </c>
      <c r="PQ56" s="152">
        <f>IF(OR($MQ56=0,$MW56=0),"",IF(COUNTIF($MK56:$MN56,"Inescapável")&gt;0,"Automático",IF($PP56="Ataque",IF($MU56="","Ataque","Ataque "&amp;IF(($MU56+2*IF(COUNTIF($MK56:$MN56,"Precisão")&gt;0,1,0))&gt;=0,"+","−")&amp;ABS(($MU56+2*IF(COUNTIF($MK56:$MN56,"Precisão")&gt;0,1,0))))&amp;IF($NQ56&gt;0," · TR"&amp;IF($MV56="",""," CD "&amp;$MV56),""),IF(LEFT($PP56,2)="TR",$PP56&amp;IF($MV56="",""," · CD "&amp;$MV56)&amp;IF(COUNTIF($MK56:$MN56,"Certeiro")&gt;0," · metade",""),"Sem rolagem"))))</f>
        <v/>
      </c>
      <c r="PR56" s="152">
        <f>IF(OR($MQ56=0,$MW56=0),"",IF($MF56=0,IF(OR($NT56&gt;=1,$OQ56=0),"Sem dano",$OQ56&amp;"d6"&amp;IF($MI56="",""," "&amp;$MI56)),IF(OR($NT56&gt;=1,$OQ56=0),UPPER(LEFT(INDEX($OZ56:$PF56,1,MAX(1,$MF56)),1))&amp;MID(INDEX($OZ56:$PF56,1,MAX(1,$MF56)),2,99),UPPER(LEFT(INDEX($OZ56:$PF56,1,MAX(1,$MF56)),1))&amp;MID(INDEX($OZ56:$PF56,1,MAX(1,$MF56)),2,99)&amp;IF($MI56="",""," "&amp;$MI56)&amp;IF($OR56&gt;0," · +"&amp;$OR56&amp;"d8",""))))</f>
        <v/>
      </c>
      <c r="PS56" s="152">
        <f>COUNTIF($MK56:$MN56,"Longe")+3*COUNTIF($MK56:$MN56,"Muito Longe")</f>
        <v/>
      </c>
      <c r="PT56" s="152">
        <f>COUNTIF($MK56:$MN56,"Maior")+3*COUNTIF($MK56:$MN56,"Muito Maior")</f>
        <v/>
      </c>
      <c r="PU56" s="152">
        <f>IF($MW56=0,0,CHOOSE(1+INDEX($AC$2:$AC$11,$MW56),0,$PS56,$PT56,$PS56+$PT56))</f>
        <v/>
      </c>
      <c r="PV56" s="152">
        <f>IF($MW56=0,0,CHOOSE(1+INDEX($AD$2:$AD$11,$MW56),0,$PS56,$PT56,$PS56+$PT56))</f>
        <v/>
      </c>
      <c r="PW56" s="152">
        <f>IF(OR($MQ56=0,$MW56=0),"",INDEX($AI$2:$AN$41,($MW56-1)*4+IF($MF56=0,1,IF($MF56&lt;=5,2,IF($MF56=6,3,4))),1+MIN(5,$PU56))&amp;INDEX($AO$2:$AT$41,($MW56-1)*4+IF($MF56=0,1,IF($MF56&lt;=5,2,IF($MF56=6,3,4))),1+MIN(5,$PV56))&amp;IF(INDEX($AE$2:$AE$11,$MW56)=1,IF(COUNTIF($MK56:$MN56,"Mais Um")&gt;0," · +"&amp;COUNTIF($MK56:$MN56,"Mais Um")&amp;IF(COUNTIF($MK56:$MN56,"Mais Um")&gt;1," alvos"," alvo"),"")&amp;IF(COUNTIF($MK56:$MN56,"Rajada")&gt;0,IF($MF56=0," · 1 tiro"," · "&amp;(MAX(1,$MF56-1)+1)&amp;" tiros"),""),""))</f>
        <v/>
      </c>
      <c r="PX56" s="152">
        <f>IF($MQ56=0,"",IF($MF56=0,$MT56&amp;"d6"&amp;IF($OH56&gt;0," − 1 = "&amp;$OQ56&amp;"d6"," da básica do nível "&amp;$MR56),$OO56&amp;" − "&amp;$OJ56&amp;" + "&amp;$OM56&amp;" = "&amp;$OP56&amp;" · teto "&amp;4*$MF56&amp;"d8"&amp;IF($NS56=1," · a Forma devolve "&amp;$MF56,"")&amp;IF($ON56&gt;0," · perde "&amp;$ON56,"")))</f>
        <v/>
      </c>
      <c r="PY56" s="152">
        <f>IF($MQ56=0,"",IF($MF56=0,"A básica não amplia: os dados dela sobem com o nível",IF($MF56&gt;=$MS56,"Já está na maior Classe que o nível liberou",TEXTJOIN(" · ",TRUE,IF(AND(2&gt;$MF56,2&lt;=$MS56),"2 → "&amp;$PA56&amp;", 6 PE",""),IF(AND(3&gt;$MF56,3&lt;=$MS56),"3 → "&amp;$PB56&amp;", 9 PE",""),IF(AND(4&gt;$MF56,4&lt;=$MS56),"4 → "&amp;$PC56&amp;", 12 PE",""),IF(AND(5&gt;$MF56,5&lt;=$MS56),"5 → "&amp;$PD56&amp;", 15 PE",""),IF(AND(6&gt;$MF56,6&lt;=$MS56),"6 → "&amp;$PE56&amp;", 18 PE",""),IF(AND(7&gt;$MF56,7&lt;=$MS56),"7 → "&amp;$PF56&amp;", 21 PE","")))))</f>
        <v/>
      </c>
      <c r="PZ56" s="152">
        <f>IF(OR($MQ56=0,$NB56=0),"",IF($MF56=0,"−1 dado","−"&amp;INDEX($I$2:$N$8,MAX(1,$MF56),MAX(1,$NG56))&amp;" · "&amp;CHOOSE(MAX(1,$NG56),"Leve","Média","Pesada","Leve · Livre","Média · Livre","Pesada · Livre")))</f>
        <v/>
      </c>
      <c r="QA56" s="152">
        <f>IF(OR($MQ56=0,$NC56=0),"",IF($MF56=0,"−1 dado","−"&amp;INDEX($I$2:$N$8,MAX(1,$MF56),MAX(1,$NH56))&amp;" · "&amp;CHOOSE(MAX(1,$NH56),"Leve","Média","Pesada","Leve · Livre","Média · Livre","Pesada · Livre")))</f>
        <v/>
      </c>
      <c r="QB56" s="152">
        <f>IF(OR($MQ56=0,$ND56=0),"",IF($MF56=0,"−1 dado","−"&amp;INDEX($I$2:$N$8,MAX(1,$MF56),MAX(1,$NI56))&amp;" · "&amp;CHOOSE(MAX(1,$NI56),"Leve","Média","Pesada","Leve · Livre","Média · Livre","Pesada · Livre")))</f>
        <v/>
      </c>
      <c r="QC56" s="152">
        <f>IF(OR($MQ56=0,$NE56=0),"",IF($MF56=0,"−1 dado","−"&amp;INDEX($I$2:$N$8,MAX(1,$MF56),MAX(1,$NJ56))&amp;" · "&amp;CHOOSE(MAX(1,$NJ56),"Leve","Média","Pesada","Leve · Livre","Média · Livre","Pesada · Livre")))</f>
        <v/>
      </c>
      <c r="QD56" s="152">
        <f>IF(OR($MQ56=0,$MO56=""),"",IF($MF56=0,"não devolve","+"&amp;IF($NV56=1,CEILING($MF56/2,1),$MF56)))</f>
        <v/>
      </c>
      <c r="QE56" s="152">
        <f>IF(OR($MQ56=0,$MP56=""),"",IF($MF56=0,"não devolve","+"&amp;IF($NW56=1,CEILING($MF56/2,1),$MF56)))</f>
        <v/>
      </c>
    </row>
    <row r="57">
      <c r="AV57" s="150" t="inlineStr">
        <is>
          <t>Quebra Coisa</t>
        </is>
      </c>
      <c r="AW57" s="150" t="inlineStr">
        <is>
          <t>Castigo</t>
        </is>
      </c>
      <c r="AX57" s="152" t="n">
        <v>1</v>
      </c>
      <c r="AY57" s="152" t="n">
        <v>0</v>
      </c>
      <c r="AZ57" s="152" t="n">
        <v>0</v>
      </c>
      <c r="BA57" s="152" t="n">
        <v>0</v>
      </c>
      <c r="JG57" s="152">
        <f>IF(OR($AW57="",COUNTIF($EF$2:$EJ$2,$AW57)&gt;0),$AV57,"")</f>
        <v/>
      </c>
      <c r="JH57" s="152">
        <f>IF(AND($AX57=1,OR($AW57="",COUNTIF($EF$2:$EJ$2,$AW57)&gt;0)),$AV57,"")</f>
        <v/>
      </c>
      <c r="JM57" s="152">
        <f>IF(OR($AW57="",COUNTIF($EF$3:$EJ$3,$AW57)&gt;0),$AV57,"")</f>
        <v/>
      </c>
      <c r="JN57" s="152">
        <f>IF(AND($AX57=1,OR($AW57="",COUNTIF($EF$3:$EJ$3,$AW57)&gt;0)),$AV57,"")</f>
        <v/>
      </c>
      <c r="JS57" s="152">
        <f>IF(OR($AW57="",COUNTIF($EF$4:$EJ$4,$AW57)&gt;0),$AV57,"")</f>
        <v/>
      </c>
      <c r="JT57" s="152">
        <f>IF(AND($AX57=1,OR($AW57="",COUNTIF($EF$4:$EJ$4,$AW57)&gt;0)),$AV57,"")</f>
        <v/>
      </c>
      <c r="JY57" s="152">
        <f>IF(OR($AW57="",COUNTIF($EF$5:$EJ$5,$AW57)&gt;0),$AV57,"")</f>
        <v/>
      </c>
      <c r="JZ57" s="152">
        <f>IF(AND($AX57=1,OR($AW57="",COUNTIF($EF$5:$EJ$5,$AW57)&gt;0)),$AV57,"")</f>
        <v/>
      </c>
      <c r="KE57" s="152">
        <f>IF(OR($AW57="",COUNTIF($EF$6:$EJ$6,$AW57)&gt;0),$AV57,"")</f>
        <v/>
      </c>
      <c r="KF57" s="152">
        <f>IF(AND($AX57=1,OR($AW57="",COUNTIF($EF$6:$EJ$6,$AW57)&gt;0)),$AV57,"")</f>
        <v/>
      </c>
      <c r="KK57" s="152">
        <f>IF(OR($AW57="",COUNTIF($EF$7:$EJ$7,$AW57)&gt;0),$AV57,"")</f>
        <v/>
      </c>
      <c r="KL57" s="152">
        <f>IF(AND($AX57=1,OR($AW57="",COUNTIF($EF$7:$EJ$7,$AW57)&gt;0)),$AV57,"")</f>
        <v/>
      </c>
      <c r="KQ57" s="152">
        <f>IF(OR($AW57="",COUNTIF($EF$8:$EJ$8,$AW57)&gt;0),$AV57,"")</f>
        <v/>
      </c>
      <c r="KR57" s="152">
        <f>IF(AND($AX57=1,OR($AW57="",COUNTIF($EF$8:$EJ$8,$AW57)&gt;0)),$AV57,"")</f>
        <v/>
      </c>
      <c r="KW57" s="152">
        <f>IF(OR($AW57="",COUNTIF($EF$9:$EJ$9,$AW57)&gt;0),$AV57,"")</f>
        <v/>
      </c>
      <c r="KX57" s="152">
        <f>IF(AND($AX57=1,OR($AW57="",COUNTIF($EF$9:$EJ$9,$AW57)&gt;0)),$AV57,"")</f>
        <v/>
      </c>
      <c r="LC57" s="152">
        <f>IF(OR($AW57="",COUNTIF($EF$10:$EJ$10,$AW57)&gt;0),$AV57,"")</f>
        <v/>
      </c>
      <c r="LD57" s="152">
        <f>IF(AND($AX57=1,OR($AW57="",COUNTIF($EF$10:$EJ$10,$AW57)&gt;0)),$AV57,"")</f>
        <v/>
      </c>
      <c r="LI57" s="152">
        <f>IF(OR($AW57="",COUNTIF($EF$11:$EJ$11,$AW57)&gt;0),$AV57,"")</f>
        <v/>
      </c>
      <c r="LJ57" s="152">
        <f>IF(AND($AX57=1,OR($AW57="",COUNTIF($EF$11:$EJ$11,$AW57)&gt;0)),$AV57,"")</f>
        <v/>
      </c>
      <c r="LO57" s="152">
        <f>IF(OR($AW57="",COUNTIF($EF$12:$EJ$12,$AW57)&gt;0),$AV57,"")</f>
        <v/>
      </c>
      <c r="LP57" s="152">
        <f>IF(AND($AX57=1,OR($AW57="",COUNTIF($EF$12:$EJ$12,$AW57)&gt;0)),$AV57,"")</f>
        <v/>
      </c>
      <c r="LU57" s="152">
        <f>IF(OR($AW57="",COUNTIF($EF$13:$EJ$13,$AW57)&gt;0),$AV57,"")</f>
        <v/>
      </c>
      <c r="LV57" s="152">
        <f>IF(AND($AX57=1,OR($AW57="",COUNTIF($EF$13:$EJ$13,$AW57)&gt;0)),$AV57,"")</f>
        <v/>
      </c>
      <c r="MA57" s="150" t="inlineStr">
        <is>
          <t>Ficha 5 · Básica 2</t>
        </is>
      </c>
      <c r="MB57" s="152" t="n">
        <v>5</v>
      </c>
      <c r="MC57" s="152" t="n">
        <v>0</v>
      </c>
      <c r="MD57" s="152" t="n">
        <v>11</v>
      </c>
      <c r="ME57" s="150" t="inlineStr">
        <is>
          <t>BÁSICA 2</t>
        </is>
      </c>
      <c r="MF57" s="152" t="n">
        <v>0</v>
      </c>
      <c r="MG57" s="152">
        <f>'INVOCAÇÕES'!$J$884&amp;""</f>
        <v/>
      </c>
      <c r="MH57" s="152">
        <f>'INVOCAÇÕES'!$I$889&amp;""</f>
        <v/>
      </c>
      <c r="MI57" s="152">
        <f>'INVOCAÇÕES'!$I$890&amp;""</f>
        <v/>
      </c>
      <c r="MJ57" s="152">
        <f>'INVOCAÇÕES'!$K$890&amp;""</f>
        <v/>
      </c>
      <c r="MK57" s="152">
        <f>'INVOCAÇÕES'!$J$893&amp;""</f>
        <v/>
      </c>
      <c r="ML57" s="152">
        <f>'INVOCAÇÕES'!$J$894&amp;""</f>
        <v/>
      </c>
      <c r="MM57" s="152">
        <f>'INVOCAÇÕES'!$J$895&amp;""</f>
        <v/>
      </c>
      <c r="MN57" s="152">
        <f>'INVOCAÇÕES'!$J$896&amp;""</f>
        <v/>
      </c>
      <c r="MO57" s="152">
        <f>'INVOCAÇÕES'!$J$897&amp;""</f>
        <v/>
      </c>
      <c r="MP57" s="152">
        <f>'INVOCAÇÕES'!$J$898&amp;""</f>
        <v/>
      </c>
      <c r="MQ57" s="152">
        <f>IF($MG57&lt;&gt;"",1,0)</f>
        <v/>
      </c>
      <c r="MR57" s="152">
        <f>INDEX($FI$2:$FI$13,$MB57)</f>
        <v/>
      </c>
      <c r="MS57" s="152">
        <f>INDEX($FJ$2:$FJ$13,$MB57)</f>
        <v/>
      </c>
      <c r="MT57" s="152">
        <f>INDEX($FK$2:$FK$13,$MB57)</f>
        <v/>
      </c>
      <c r="MU57" s="152">
        <f>INDEX($FV$2:$FV$13,$MB57)</f>
        <v/>
      </c>
      <c r="MV57" s="152">
        <f>INDEX($FW$2:$FW$13,$MB57)</f>
        <v/>
      </c>
      <c r="MW57" s="152">
        <f>IFERROR(MATCH($MH57,$V$2:$V$11,0),0)</f>
        <v/>
      </c>
      <c r="MX57" s="152">
        <f>IFERROR(VLOOKUP($MK57,$AV$2:$BA$84,2,FALSE),"")</f>
        <v/>
      </c>
      <c r="MY57" s="152">
        <f>IFERROR(VLOOKUP($ML57,$AV$2:$BA$84,2,FALSE),"")</f>
        <v/>
      </c>
      <c r="MZ57" s="152">
        <f>IFERROR(VLOOKUP($MM57,$AV$2:$BA$84,2,FALSE),"")</f>
        <v/>
      </c>
      <c r="NA57" s="152">
        <f>IFERROR(VLOOKUP($MN57,$AV$2:$BA$84,2,FALSE),"")</f>
        <v/>
      </c>
      <c r="NB57" s="152">
        <f>IFERROR(VLOOKUP($MK57,$AV$2:$BA$84,3,FALSE),0)</f>
        <v/>
      </c>
      <c r="NC57" s="152">
        <f>IFERROR(VLOOKUP($ML57,$AV$2:$BA$84,3,FALSE),0)</f>
        <v/>
      </c>
      <c r="ND57" s="152">
        <f>IFERROR(VLOOKUP($MM57,$AV$2:$BA$84,3,FALSE),0)</f>
        <v/>
      </c>
      <c r="NE57" s="152">
        <f>IFERROR(VLOOKUP($MN57,$AV$2:$BA$84,3,FALSE),0)</f>
        <v/>
      </c>
      <c r="NF57" s="152">
        <f>IF($MF57=0,0,IF($MW57=0,0,INDEX($X$2:$X$11,$MW57)))</f>
        <v/>
      </c>
      <c r="NG57" s="152">
        <f>IF(OR($NB57=0,$MF57=0),0,$NB57+3*IF(AND($MX57&lt;&gt;"",OR($MX57=INDEX($EF$2:$EF$13,$MB57),$MX57=INDEX($EG$2:$EG$13,$MB57))),1,0))</f>
        <v/>
      </c>
      <c r="NH57" s="152">
        <f>IF(OR($NC57=0,$MF57=0),0,$NC57+3*IF(AND($MY57&lt;&gt;"",OR($MY57=INDEX($EF$2:$EF$13,$MB57),$MY57=INDEX($EG$2:$EG$13,$MB57))),1,0))</f>
        <v/>
      </c>
      <c r="NI57" s="152">
        <f>IF(OR($ND57=0,$MF57=0),0,$ND57+3*IF(AND($MZ57&lt;&gt;"",OR($MZ57=INDEX($EF$2:$EF$13,$MB57),$MZ57=INDEX($EG$2:$EG$13,$MB57))),1,0))</f>
        <v/>
      </c>
      <c r="NJ57" s="152">
        <f>IF(OR($NE57=0,$MF57=0),0,$NE57+3*IF(AND($NA57&lt;&gt;"",OR($NA57=INDEX($EF$2:$EF$13,$MB57),$NA57=INDEX($EG$2:$EG$13,$MB57))),1,0))</f>
        <v/>
      </c>
      <c r="NK57" s="152">
        <f>IF($MW57=0,0,IF(INDEX($W$2:$W$11,$MW57)="",0,IF(COUNTIF(INDEX($EF$2:$EJ$13,$MB57,0),INDEX($W$2:$W$11,$MW57))=0,1,0)))</f>
        <v/>
      </c>
      <c r="NL57" s="152">
        <f>IF(OR($NB57=0,$MX57=""),0,IF(COUNTIF(INDEX($EF$2:$EJ$13,$MB57,0),$MX57)=0,1,0))</f>
        <v/>
      </c>
      <c r="NM57" s="152">
        <f>IF(OR($NC57=0,$MY57=""),0,IF(COUNTIF(INDEX($EF$2:$EJ$13,$MB57,0),$MY57)=0,1,0))</f>
        <v/>
      </c>
      <c r="NN57" s="152">
        <f>IF(OR($ND57=0,$MZ57=""),0,IF(COUNTIF(INDEX($EF$2:$EJ$13,$MB57,0),$MZ57)=0,1,0))</f>
        <v/>
      </c>
      <c r="NO57" s="152">
        <f>IF(OR($NE57=0,$NA57=""),0,IF(COUNTIF(INDEX($EF$2:$EJ$13,$MB57,0),$NA57)=0,1,0))</f>
        <v/>
      </c>
      <c r="NP57" s="152">
        <f>IFERROR(VLOOKUP($MK57,$AV$2:$BA$84,4,FALSE),0)+IFERROR(VLOOKUP($ML57,$AV$2:$BA$84,4,FALSE),0)+IFERROR(VLOOKUP($MM57,$AV$2:$BA$84,4,FALSE),0)+IFERROR(VLOOKUP($MN57,$AV$2:$BA$84,4,FALSE),0)</f>
        <v/>
      </c>
      <c r="NQ57" s="152">
        <f>IFERROR(VLOOKUP($MK57,$AV$2:$BA$84,6,FALSE),0)+IFERROR(VLOOKUP($ML57,$AV$2:$BA$84,6,FALSE),0)+IFERROR(VLOOKUP($MM57,$AV$2:$BA$84,6,FALSE),0)+IFERROR(VLOOKUP($MN57,$AV$2:$BA$84,6,FALSE),0)</f>
        <v/>
      </c>
      <c r="NR57" s="152">
        <f>TEXTJOIN(", ",TRUE,IF(IFERROR(VLOOKUP($MK57,$AV$2:$BA$84,5,FALSE),0)=1,$MK57,""),IF(IFERROR(VLOOKUP($ML57,$AV$2:$BA$84,5,FALSE),0)=1,$ML57,""),IF(IFERROR(VLOOKUP($MM57,$AV$2:$BA$84,5,FALSE),0)=1,$MM57,""),IF(IFERROR(VLOOKUP($MN57,$AV$2:$BA$84,5,FALSE),0)=1,$MN57,""))</f>
        <v/>
      </c>
      <c r="NS57" s="152">
        <f>IF($MW57=0,0,INDEX($Y$2:$Y$11,$MW57))</f>
        <v/>
      </c>
      <c r="NT57" s="152">
        <f>IF($MW57=0,0,INDEX($Z$2:$Z$11,$MW57))</f>
        <v/>
      </c>
      <c r="NU57" s="152">
        <f>IF($MW57=0,0,INDEX($AB$2:$AB$11,$MW57))</f>
        <v/>
      </c>
      <c r="NV57" s="152">
        <f>IFERROR(VLOOKUP($MO57,$BC$2:$BG$24,3,FALSE),0)</f>
        <v/>
      </c>
      <c r="NW57" s="152">
        <f>IFERROR(VLOOKUP($MP57,$BC$2:$BG$24,3,FALSE),0)</f>
        <v/>
      </c>
      <c r="NX57" s="152">
        <f>IFERROR(VLOOKUP($MO57,$BC$2:$BG$24,2,FALSE),"")</f>
        <v/>
      </c>
      <c r="NY57" s="152">
        <f>IFERROR(VLOOKUP($MP57,$BC$2:$BG$24,2,FALSE),"")</f>
        <v/>
      </c>
      <c r="NZ57" s="152">
        <f>COUNTIF($NF57:$NJ57,1)</f>
        <v/>
      </c>
      <c r="OA57" s="152">
        <f>COUNTIF($NF57:$NJ57,2)</f>
        <v/>
      </c>
      <c r="OB57" s="152">
        <f>COUNTIF($NF57:$NJ57,3)</f>
        <v/>
      </c>
      <c r="OC57" s="152">
        <f>COUNTIF($NF57:$NJ57,4)</f>
        <v/>
      </c>
      <c r="OD57" s="152">
        <f>COUNTIF($NF57:$NJ57,5)</f>
        <v/>
      </c>
      <c r="OE57" s="152">
        <f>COUNTIF($NF57:$NJ57,6)</f>
        <v/>
      </c>
      <c r="OF57" s="152">
        <f>COUNTIF($NV57:$NW57,1)</f>
        <v/>
      </c>
      <c r="OG57" s="152">
        <f>COUNTIF($NV57:$NW57,2)+$NS57</f>
        <v/>
      </c>
      <c r="OH57" s="152">
        <f>COUNTIF($MK57:$MN57,"?*")</f>
        <v/>
      </c>
      <c r="OI57" s="152">
        <f>COUNTIF($MO57:$MP57,"?*")+$NS57</f>
        <v/>
      </c>
      <c r="OJ57" s="152">
        <f>IF($MF57=0,0,SUMPRODUCT($NZ57:$OE57,INDEX($I$2:$N$8,MAX(1,$MF57),0)))</f>
        <v/>
      </c>
      <c r="OK57" s="152">
        <f>IF($MF57=0,0,$OF57*CEILING($MF57/2,1)+$OG57*$MF57)</f>
        <v/>
      </c>
      <c r="OL57" s="152">
        <f>MIN(2*$MF57,$OK57)</f>
        <v/>
      </c>
      <c r="OM57" s="152">
        <f>MIN($OL57,$OJ57)</f>
        <v/>
      </c>
      <c r="ON57" s="152">
        <f>$OL57-$OM57</f>
        <v/>
      </c>
      <c r="OO57" s="152">
        <f>IF($MF57=0,0,INDEX($P$2:$P$8,MAX(1,$MF57)))</f>
        <v/>
      </c>
      <c r="OP57" s="152">
        <f>$OO57-$OJ57+$OM57</f>
        <v/>
      </c>
      <c r="OQ57" s="152">
        <f>IF($MF57=0,MAX(0,$MT57-IF($OH57&gt;0,1,0)),MAX(0,$OP57))</f>
        <v/>
      </c>
      <c r="OR57" s="152">
        <f>IF($MF57=0,0,(IF(COUNTIF($MK57:$MN57,"Salto")&gt;0,1,0)+IF(COUNTIF($MK57:$MN57,"Queima")&gt;0,1,0)+IF(COUNTIF($MK57:$MN57,"Estilhaço")&gt;0,1,0))*FLOOR($OQ57/2,1))</f>
        <v/>
      </c>
      <c r="OS57" s="152">
        <f>MAX(0,2-SUMPRODUCT($NZ57:$OE57,$I$2:$N$2)+MIN(2,$OF57*1+$OG57*1,SUMPRODUCT($NZ57:$OE57,$I$2:$N$2)))</f>
        <v/>
      </c>
      <c r="OT57" s="152">
        <f>MAX(0,4-SUMPRODUCT($NZ57:$OE57,$I$3:$N$3)+MIN(4,$OF57*1+$OG57*2,SUMPRODUCT($NZ57:$OE57,$I$3:$N$3)))</f>
        <v/>
      </c>
      <c r="OU57" s="152">
        <f>MAX(0,6-SUMPRODUCT($NZ57:$OE57,$I$4:$N$4)+MIN(6,$OF57*2+$OG57*3,SUMPRODUCT($NZ57:$OE57,$I$4:$N$4)))</f>
        <v/>
      </c>
      <c r="OV57" s="152">
        <f>MAX(0,9-SUMPRODUCT($NZ57:$OE57,$I$5:$N$5)+MIN(8,$OF57*2+$OG57*4,SUMPRODUCT($NZ57:$OE57,$I$5:$N$5)))</f>
        <v/>
      </c>
      <c r="OW57" s="152">
        <f>MAX(0,11-SUMPRODUCT($NZ57:$OE57,$I$6:$N$6)+MIN(10,$OF57*3+$OG57*5,SUMPRODUCT($NZ57:$OE57,$I$6:$N$6)))</f>
        <v/>
      </c>
      <c r="OX57" s="152">
        <f>MAX(0,13-SUMPRODUCT($NZ57:$OE57,$I$7:$N$7)+MIN(12,$OF57*3+$OG57*6,SUMPRODUCT($NZ57:$OE57,$I$7:$N$7)))</f>
        <v/>
      </c>
      <c r="OY57" s="152">
        <f>MAX(0,16-SUMPRODUCT($NZ57:$OE57,$I$8:$N$8)+MIN(14,$OF57*4+$OG57*7,SUMPRODUCT($NZ57:$OE57,$I$8:$N$8)))</f>
        <v/>
      </c>
      <c r="OZ57" s="152">
        <f>IF($NT57=2,3*$OS57&amp;" de vida temp.",IF($NT57=3,"sem dano",IF($OS57=0,IF($NT57=1,"sem cura","sem dano"),IF($NT57=1,"cura ","")&amp;$OS57&amp;"d8")))</f>
        <v/>
      </c>
      <c r="PA57" s="152">
        <f>IF($NT57=2,3*$OT57&amp;" de vida temp.",IF($NT57=3,"sem dano",IF($OT57=0,IF($NT57=1,"sem cura","sem dano"),IF($NT57=1,"cura ","")&amp;$OT57&amp;"d8")))</f>
        <v/>
      </c>
      <c r="PB57" s="152">
        <f>IF($NT57=2,3*$OU57&amp;" de vida temp.",IF($NT57=3,"sem dano",IF($OU57=0,IF($NT57=1,"sem cura","sem dano"),IF($NT57=1,"cura ","")&amp;$OU57&amp;"d8")))</f>
        <v/>
      </c>
      <c r="PC57" s="152">
        <f>IF($NT57=2,3*$OV57&amp;" de vida temp.",IF($NT57=3,"sem dano",IF($OV57=0,IF($NT57=1,"sem cura","sem dano"),IF($NT57=1,"cura ","")&amp;$OV57&amp;"d8")))</f>
        <v/>
      </c>
      <c r="PD57" s="152">
        <f>IF($NT57=2,3*$OW57&amp;" de vida temp.",IF($NT57=3,"sem dano",IF($OW57=0,IF($NT57=1,"sem cura","sem dano"),IF($NT57=1,"cura ","")&amp;$OW57&amp;"d8")))</f>
        <v/>
      </c>
      <c r="PE57" s="152">
        <f>IF($NT57=2,3*$OX57&amp;" de vida temp.",IF($NT57=3,"sem dano",IF($OX57=0,IF($NT57=1,"sem cura","sem dano"),IF($NT57=1,"cura ","")&amp;$OX57&amp;"d8")))</f>
        <v/>
      </c>
      <c r="PF57" s="152">
        <f>IF($NT57=2,3*$OY57&amp;" de vida temp.",IF($NT57=3,"sem dano",IF($OY57=0,IF($NT57=1,"sem cura","sem dano"),IF($NT57=1,"cura ","")&amp;$OY57&amp;"d8")))</f>
        <v/>
      </c>
      <c r="PG57" s="152">
        <f>IF($MQ57=0,"",TEXTJOIN(" · ",TRUE,IF($MD57&gt;$MR57,"Este lugar abre no nível "&amp;$MD57,""),IF($MF57&gt;$MS57,"Classe "&amp;$MF57&amp;": o nível "&amp;$MR57&amp;" libera até a "&amp;$MS57,""),IF($NK57=1,"A Forma "&amp;$MH57&amp;" pede "&amp;INDEX($W$2:$W$11,$MW57)&amp;" aberta",""),IF(AND($MF57=0,$MW57&gt;0,IF($MW57=0,0,INDEX($AF$2:$AF$11,$MW57))=0),$MH57&amp;" não existe na Classe 0",""),IF($NL57=1,"Família Fechada: "&amp;$MK57,""),IF($NM57=1,"Família Fechada: "&amp;$ML57,""),IF($NN57=1,"Família Fechada: "&amp;$MM57,""),IF($NO57=1,"Família Fechada: "&amp;$MN57,""),IF(AND($MF57&gt;0,$OH57&gt;INDEX($O$2:$O$8,MAX(1,$MF57))),$OH57&amp;" Melhorias: a Classe "&amp;$MF57&amp;" aceita "&amp;INDEX($O$2:$O$8,MAX(1,$MF57)),""),IF(AND($MF57=0,$OH57&gt;1),"A básica aceita uma Melhoria",""),IF(AND($MF57=0,COUNTIF($NB57:$NE57,"&gt;1")&gt;0),"A básica só aceita Melhoria Leve",""),IF(AND($MF57&gt;0,$OI57&gt;2),$OI57&amp;" Restrições"&amp;IF($NS57=1,", contando a que a Forma "&amp;$MH57&amp;" já traz","")&amp;": o limite é 2",""),IF(AND($MF57=0,COUNTIF($MO57:$MP57,"?*")&gt;1),"A básica aceita uma Restrição Leve",""),IF(AND($MF57=0,COUNTIF($NV57:$NW57,2)&gt;0),"A básica só aceita Restrição Leve",""),IF(AND($MF57&gt;0,$OP57&lt;0),"Orçamento estourado: faltam "&amp;(-$OP57)&amp;IF($OP57&lt;-1," pontos"," ponto"),""),IF(IFERROR(VLOOKUP($MO57,$BC$2:$BG$24,4,FALSE),0)+IFERROR(VLOOKUP($MP57,$BC$2:$BG$24,4,FALSE),0)&gt;1,$NX57&amp;" e "&amp;$NY57&amp;" são as duas de frequência",""),IF(AND((COUNTIF($MK57:$MN57,"Rápido")+COUNTIF($NX57:$NY57,"Rápido"))&gt;0,(COUNTIF($MK57:$MN57,"Atrasar")+COUNTIF($NX57:$NY57,"Atrasar"))&gt;0),"Rápido não entra com Atrasar",""),IF(AND((COUNTIF($MK57:$MN57,"Reação")+COUNTIF($NX57:$NY57,"Reação"))&gt;0,(COUNTIF($MK57:$MN57,"Rápido")+COUNTIF($NX57:$NY57,"Rápido"))&gt;0),"Reação não entra com Rápido",""),IF(AND((COUNTIF($MK57:$MN57,"Reação")+COUNTIF($NX57:$NY57,"Reação"))&gt;0,(COUNTIF($MK57:$MN57,"Armado")+COUNTIF($NX57:$NY57,"Armado"))&gt;0),"Reação não entra com Armado",""),IF(AND((COUNTIF($MK57:$MN57,"Reação")+COUNTIF($NX57:$NY57,"Reação"))&gt;0,(COUNTIF($MK57:$MN57,"Atrasar")+COUNTIF($NX57:$NY57,"Atrasar"))&gt;0),"Reação não entra com Atrasar",""),IF(AND((COUNTIF($MK57:$MN57,"Reação")+COUNTIF($NX57:$NY57,"Reação"))&gt;0,(COUNTIF($MK57:$MN57,"Parado")+COUNTIF($NX57:$NY57,"Parado"))&gt;0),"Reação não entra com Parado",""),IF(AND((COUNTIF($MK57:$MN57,"Atrasar")+COUNTIF($NX57:$NY57,"Atrasar"))&gt;0,(COUNTIF($MK57:$MN57,"Parado")+COUNTIF($NX57:$NY57,"Parado"))&gt;0),"Atrasar não entra com Parado",""),IF(AND((COUNTIF($MK57:$MN57,"Armado")+COUNTIF($NX57:$NY57,"Armado"))&gt;0,(COUNTIF($MK57:$MN57,"Carregar")+COUNTIF($NX57:$NY57,"Carregar"))&gt;0),"Armado não entra com Carregar",""),IF(AND(COUNTIF($NX57:$NY57,"Corpo a Corpo")&gt;0,$NS57=0,OR($MH57="Cone",$MH57="Linha")),"Corpo a Corpo não entra em "&amp;$MH57,""),IF(AND(COUNTIF($NX57:$NY57,"Corpo a Corpo")&gt;0,$NS57=1),"A Forma "&amp;$MH57&amp;" já traz o Corpo a Corpo",""),IF(AND(COUNTIF($NX57:$NY57,"Tudo ou Nada")&gt;0,$NU57=0),"Tudo ou Nada só entra em habilidade de Teste de Resistência",""),IF(AND(COUNTIF($MK57:$MN57,"Inescapável")&gt;0,OR($OH57&gt;1,$OI57&gt;0)),"Inescapável não aceita outra peça",""),IF(AND($MF57&gt;0,$OQ57*IF(COUNTIF($MK57:$MN57,"Remate")&gt;0,1.25,1)+$OR57&gt;4*$MF57),($OQ57*IF(COUNTIF($MK57:$MN57,"Remate")&gt;0,1.25,1)+$OR57)&amp;" dados somando repetições"&amp;IF(COUNTIF($MK57:$MN57,"Remate")&gt;0," e o Remate","")&amp;": o teto da Classe "&amp;$MF57&amp;" é "&amp;4*$MF57,"")))</f>
        <v/>
      </c>
      <c r="PH57" s="152">
        <f>IF($PG57="",0,(LEN($PG57)-LEN(SUBSTITUTE($PG57," · ","")))/3+1)</f>
        <v/>
      </c>
      <c r="PI57" s="152">
        <f>IF($MQ57=0,"",TEXTJOIN(" · ",TRUE,IF($OK57&gt;2*$MF57,"A devolução parou no teto de "&amp;2*$MF57,""),IF($ON57&gt;0,"Devolução perdida: "&amp;$ON57&amp;IF($ON57&gt;1," pontos"," ponto")&amp;" sem peça para pagar",""),IF(AND($NP57&gt;0,AND($MF57&gt;0,$NT57=0),$OQ57=0),"Controle sem dano: uma rodada a mais e CD +2",""),IF(AND($NP57&gt;0,AND($MF57&gt;0,$NT57=0),$OQ57&gt;0,$OQ57&lt;=$MF57),"Controle com saldo até a Classe: uma rodada a mais",""),IF(AND($MF57&gt;0,$NR57&lt;&gt;""),"Efeito de "&amp;$NR57&amp;" pela Classe "&amp;MAX(1,$MF57-1),"")))</f>
        <v/>
      </c>
      <c r="PJ57" s="152">
        <f>IF($PI57="",0,(LEN($PI57)-LEN(SUBSTITUTE($PI57," · ","")))/3+1)</f>
        <v/>
      </c>
      <c r="PK57" s="152">
        <f>IF($MQ57=0,IF($OH57+COUNTIF($MO57:$MP57,"?*")&gt;0,"Dê um nome",""),IF($PH57&gt;0,"⚠ "&amp;$PH57&amp;IF($PH57&gt;1," erros"," erro"),IF($PJ57&gt;0,"! "&amp;$PJ57&amp;IF($PJ57&gt;1," avisos"," aviso"),"Na regra")))</f>
        <v/>
      </c>
      <c r="PL57" s="152">
        <f>IF($MQ57=0,"",IF($PH57+$PJ57=0,"Dentro das regras que a ficha confere",$PG57&amp;IF(AND($PH57&gt;0,$PJ57&gt;0)," · ","")&amp;$PI57))</f>
        <v/>
      </c>
      <c r="PM57" s="152">
        <f>IF($MD57&gt;$MR57,$ME57&amp;" · ABRE NO NÍVEL "&amp;$MD57,$ME57)</f>
        <v/>
      </c>
      <c r="PN57" s="152">
        <f>IF($MQ57=0,"",IF($MF57=0,"Sem PE",3*$MF57&amp;" PE"))</f>
        <v/>
      </c>
      <c r="PO57" s="152">
        <f>IF($MQ57=0,"",IF($MF57=0,"A atuação básica dela",IF(COUNTIF($NX57:$NY57,"Atrasar")&gt;0,"Sua Ação Completa",IF(COUNTIF($MK57:$MN57,"Rápido")&gt;0,"Sua Bônus",IF(COUNTIF($MK57:$MN57,"Reação")&gt;0,"Sua Reação","Sua Padrão")))&amp;" + a básica dela"&amp;IF(COUNTIF($MK57:$MN57,"Reação")&gt;0," e a coletiva","")&amp;IF(COUNTIF($NX57:$NY57,"Carregar")&gt;0," · em dois turnos","")))</f>
        <v/>
      </c>
      <c r="PP57" s="152">
        <f>IF($MJ57&lt;&gt;"",$MJ57,IF($MW57=0,"",INDEX($AA$2:$AA$11,$MW57)))</f>
        <v/>
      </c>
      <c r="PQ57" s="152">
        <f>IF(OR($MQ57=0,$MW57=0),"",IF(COUNTIF($MK57:$MN57,"Inescapável")&gt;0,"Automático",IF($PP57="Ataque",IF($MU57="","Ataque","Ataque "&amp;IF(($MU57+2*IF(COUNTIF($MK57:$MN57,"Precisão")&gt;0,1,0))&gt;=0,"+","−")&amp;ABS(($MU57+2*IF(COUNTIF($MK57:$MN57,"Precisão")&gt;0,1,0))))&amp;IF($NQ57&gt;0," · TR"&amp;IF($MV57="",""," CD "&amp;$MV57),""),IF(LEFT($PP57,2)="TR",$PP57&amp;IF($MV57="",""," · CD "&amp;$MV57)&amp;IF(COUNTIF($MK57:$MN57,"Certeiro")&gt;0," · metade",""),"Sem rolagem"))))</f>
        <v/>
      </c>
      <c r="PR57" s="152">
        <f>IF(OR($MQ57=0,$MW57=0),"",IF($MF57=0,IF(OR($NT57&gt;=1,$OQ57=0),"Sem dano",$OQ57&amp;"d6"&amp;IF($MI57="",""," "&amp;$MI57)),IF(OR($NT57&gt;=1,$OQ57=0),UPPER(LEFT(INDEX($OZ57:$PF57,1,MAX(1,$MF57)),1))&amp;MID(INDEX($OZ57:$PF57,1,MAX(1,$MF57)),2,99),UPPER(LEFT(INDEX($OZ57:$PF57,1,MAX(1,$MF57)),1))&amp;MID(INDEX($OZ57:$PF57,1,MAX(1,$MF57)),2,99)&amp;IF($MI57="",""," "&amp;$MI57)&amp;IF($OR57&gt;0," · +"&amp;$OR57&amp;"d8",""))))</f>
        <v/>
      </c>
      <c r="PS57" s="152">
        <f>COUNTIF($MK57:$MN57,"Longe")+3*COUNTIF($MK57:$MN57,"Muito Longe")</f>
        <v/>
      </c>
      <c r="PT57" s="152">
        <f>COUNTIF($MK57:$MN57,"Maior")+3*COUNTIF($MK57:$MN57,"Muito Maior")</f>
        <v/>
      </c>
      <c r="PU57" s="152">
        <f>IF($MW57=0,0,CHOOSE(1+INDEX($AC$2:$AC$11,$MW57),0,$PS57,$PT57,$PS57+$PT57))</f>
        <v/>
      </c>
      <c r="PV57" s="152">
        <f>IF($MW57=0,0,CHOOSE(1+INDEX($AD$2:$AD$11,$MW57),0,$PS57,$PT57,$PS57+$PT57))</f>
        <v/>
      </c>
      <c r="PW57" s="152">
        <f>IF(OR($MQ57=0,$MW57=0),"",INDEX($AI$2:$AN$41,($MW57-1)*4+IF($MF57=0,1,IF($MF57&lt;=5,2,IF($MF57=6,3,4))),1+MIN(5,$PU57))&amp;INDEX($AO$2:$AT$41,($MW57-1)*4+IF($MF57=0,1,IF($MF57&lt;=5,2,IF($MF57=6,3,4))),1+MIN(5,$PV57))&amp;IF(INDEX($AE$2:$AE$11,$MW57)=1,IF(COUNTIF($MK57:$MN57,"Mais Um")&gt;0," · +"&amp;COUNTIF($MK57:$MN57,"Mais Um")&amp;IF(COUNTIF($MK57:$MN57,"Mais Um")&gt;1," alvos"," alvo"),"")&amp;IF(COUNTIF($MK57:$MN57,"Rajada")&gt;0,IF($MF57=0," · 1 tiro"," · "&amp;(MAX(1,$MF57-1)+1)&amp;" tiros"),""),""))</f>
        <v/>
      </c>
      <c r="PX57" s="152">
        <f>IF($MQ57=0,"",IF($MF57=0,$MT57&amp;"d6"&amp;IF($OH57&gt;0," − 1 = "&amp;$OQ57&amp;"d6"," da básica do nível "&amp;$MR57),$OO57&amp;" − "&amp;$OJ57&amp;" + "&amp;$OM57&amp;" = "&amp;$OP57&amp;" · teto "&amp;4*$MF57&amp;"d8"&amp;IF($NS57=1," · a Forma devolve "&amp;$MF57,"")&amp;IF($ON57&gt;0," · perde "&amp;$ON57,"")))</f>
        <v/>
      </c>
      <c r="PY57" s="152">
        <f>IF($MQ57=0,"",IF($MF57=0,"A básica não amplia: os dados dela sobem com o nível",IF($MF57&gt;=$MS57,"Já está na maior Classe que o nível liberou",TEXTJOIN(" · ",TRUE,IF(AND(2&gt;$MF57,2&lt;=$MS57),"2 → "&amp;$PA57&amp;", 6 PE",""),IF(AND(3&gt;$MF57,3&lt;=$MS57),"3 → "&amp;$PB57&amp;", 9 PE",""),IF(AND(4&gt;$MF57,4&lt;=$MS57),"4 → "&amp;$PC57&amp;", 12 PE",""),IF(AND(5&gt;$MF57,5&lt;=$MS57),"5 → "&amp;$PD57&amp;", 15 PE",""),IF(AND(6&gt;$MF57,6&lt;=$MS57),"6 → "&amp;$PE57&amp;", 18 PE",""),IF(AND(7&gt;$MF57,7&lt;=$MS57),"7 → "&amp;$PF57&amp;", 21 PE","")))))</f>
        <v/>
      </c>
      <c r="PZ57" s="152">
        <f>IF(OR($MQ57=0,$NB57=0),"",IF($MF57=0,"−1 dado","−"&amp;INDEX($I$2:$N$8,MAX(1,$MF57),MAX(1,$NG57))&amp;" · "&amp;CHOOSE(MAX(1,$NG57),"Leve","Média","Pesada","Leve · Livre","Média · Livre","Pesada · Livre")))</f>
        <v/>
      </c>
      <c r="QA57" s="152">
        <f>IF(OR($MQ57=0,$NC57=0),"",IF($MF57=0,"−1 dado","−"&amp;INDEX($I$2:$N$8,MAX(1,$MF57),MAX(1,$NH57))&amp;" · "&amp;CHOOSE(MAX(1,$NH57),"Leve","Média","Pesada","Leve · Livre","Média · Livre","Pesada · Livre")))</f>
        <v/>
      </c>
      <c r="QB57" s="152">
        <f>IF(OR($MQ57=0,$ND57=0),"",IF($MF57=0,"−1 dado","−"&amp;INDEX($I$2:$N$8,MAX(1,$MF57),MAX(1,$NI57))&amp;" · "&amp;CHOOSE(MAX(1,$NI57),"Leve","Média","Pesada","Leve · Livre","Média · Livre","Pesada · Livre")))</f>
        <v/>
      </c>
      <c r="QC57" s="152">
        <f>IF(OR($MQ57=0,$NE57=0),"",IF($MF57=0,"−1 dado","−"&amp;INDEX($I$2:$N$8,MAX(1,$MF57),MAX(1,$NJ57))&amp;" · "&amp;CHOOSE(MAX(1,$NJ57),"Leve","Média","Pesada","Leve · Livre","Média · Livre","Pesada · Livre")))</f>
        <v/>
      </c>
      <c r="QD57" s="152">
        <f>IF(OR($MQ57=0,$MO57=""),"",IF($MF57=0,"não devolve","+"&amp;IF($NV57=1,CEILING($MF57/2,1),$MF57)))</f>
        <v/>
      </c>
      <c r="QE57" s="152">
        <f>IF(OR($MQ57=0,$MP57=""),"",IF($MF57=0,"não devolve","+"&amp;IF($NW57=1,CEILING($MF57/2,1),$MF57)))</f>
        <v/>
      </c>
    </row>
    <row r="58">
      <c r="AV58" s="150" t="inlineStr">
        <is>
          <t>Rasga Escudo</t>
        </is>
      </c>
      <c r="AW58" s="150" t="inlineStr">
        <is>
          <t>Castigo</t>
        </is>
      </c>
      <c r="AX58" s="152" t="n">
        <v>2</v>
      </c>
      <c r="AY58" s="152" t="n">
        <v>0</v>
      </c>
      <c r="AZ58" s="152" t="n">
        <v>0</v>
      </c>
      <c r="BA58" s="152" t="n">
        <v>0</v>
      </c>
      <c r="JG58" s="152">
        <f>IF(OR($AW58="",COUNTIF($EF$2:$EJ$2,$AW58)&gt;0),$AV58,"")</f>
        <v/>
      </c>
      <c r="JH58" s="152">
        <f>IF(AND($AX58=1,OR($AW58="",COUNTIF($EF$2:$EJ$2,$AW58)&gt;0)),$AV58,"")</f>
        <v/>
      </c>
      <c r="JM58" s="152">
        <f>IF(OR($AW58="",COUNTIF($EF$3:$EJ$3,$AW58)&gt;0),$AV58,"")</f>
        <v/>
      </c>
      <c r="JN58" s="152">
        <f>IF(AND($AX58=1,OR($AW58="",COUNTIF($EF$3:$EJ$3,$AW58)&gt;0)),$AV58,"")</f>
        <v/>
      </c>
      <c r="JS58" s="152">
        <f>IF(OR($AW58="",COUNTIF($EF$4:$EJ$4,$AW58)&gt;0),$AV58,"")</f>
        <v/>
      </c>
      <c r="JT58" s="152">
        <f>IF(AND($AX58=1,OR($AW58="",COUNTIF($EF$4:$EJ$4,$AW58)&gt;0)),$AV58,"")</f>
        <v/>
      </c>
      <c r="JY58" s="152">
        <f>IF(OR($AW58="",COUNTIF($EF$5:$EJ$5,$AW58)&gt;0),$AV58,"")</f>
        <v/>
      </c>
      <c r="JZ58" s="152">
        <f>IF(AND($AX58=1,OR($AW58="",COUNTIF($EF$5:$EJ$5,$AW58)&gt;0)),$AV58,"")</f>
        <v/>
      </c>
      <c r="KE58" s="152">
        <f>IF(OR($AW58="",COUNTIF($EF$6:$EJ$6,$AW58)&gt;0),$AV58,"")</f>
        <v/>
      </c>
      <c r="KF58" s="152">
        <f>IF(AND($AX58=1,OR($AW58="",COUNTIF($EF$6:$EJ$6,$AW58)&gt;0)),$AV58,"")</f>
        <v/>
      </c>
      <c r="KK58" s="152">
        <f>IF(OR($AW58="",COUNTIF($EF$7:$EJ$7,$AW58)&gt;0),$AV58,"")</f>
        <v/>
      </c>
      <c r="KL58" s="152">
        <f>IF(AND($AX58=1,OR($AW58="",COUNTIF($EF$7:$EJ$7,$AW58)&gt;0)),$AV58,"")</f>
        <v/>
      </c>
      <c r="KQ58" s="152">
        <f>IF(OR($AW58="",COUNTIF($EF$8:$EJ$8,$AW58)&gt;0),$AV58,"")</f>
        <v/>
      </c>
      <c r="KR58" s="152">
        <f>IF(AND($AX58=1,OR($AW58="",COUNTIF($EF$8:$EJ$8,$AW58)&gt;0)),$AV58,"")</f>
        <v/>
      </c>
      <c r="KW58" s="152">
        <f>IF(OR($AW58="",COUNTIF($EF$9:$EJ$9,$AW58)&gt;0),$AV58,"")</f>
        <v/>
      </c>
      <c r="KX58" s="152">
        <f>IF(AND($AX58=1,OR($AW58="",COUNTIF($EF$9:$EJ$9,$AW58)&gt;0)),$AV58,"")</f>
        <v/>
      </c>
      <c r="LC58" s="152">
        <f>IF(OR($AW58="",COUNTIF($EF$10:$EJ$10,$AW58)&gt;0),$AV58,"")</f>
        <v/>
      </c>
      <c r="LD58" s="152">
        <f>IF(AND($AX58=1,OR($AW58="",COUNTIF($EF$10:$EJ$10,$AW58)&gt;0)),$AV58,"")</f>
        <v/>
      </c>
      <c r="LI58" s="152">
        <f>IF(OR($AW58="",COUNTIF($EF$11:$EJ$11,$AW58)&gt;0),$AV58,"")</f>
        <v/>
      </c>
      <c r="LJ58" s="152">
        <f>IF(AND($AX58=1,OR($AW58="",COUNTIF($EF$11:$EJ$11,$AW58)&gt;0)),$AV58,"")</f>
        <v/>
      </c>
      <c r="LO58" s="152">
        <f>IF(OR($AW58="",COUNTIF($EF$12:$EJ$12,$AW58)&gt;0),$AV58,"")</f>
        <v/>
      </c>
      <c r="LP58" s="152">
        <f>IF(AND($AX58=1,OR($AW58="",COUNTIF($EF$12:$EJ$12,$AW58)&gt;0)),$AV58,"")</f>
        <v/>
      </c>
      <c r="LU58" s="152">
        <f>IF(OR($AW58="",COUNTIF($EF$13:$EJ$13,$AW58)&gt;0),$AV58,"")</f>
        <v/>
      </c>
      <c r="LV58" s="152">
        <f>IF(AND($AX58=1,OR($AW58="",COUNTIF($EF$13:$EJ$13,$AW58)&gt;0)),$AV58,"")</f>
        <v/>
      </c>
      <c r="MA58" s="150" t="inlineStr">
        <is>
          <t>Ficha 5 · Especial 3</t>
        </is>
      </c>
      <c r="MB58" s="152" t="n">
        <v>5</v>
      </c>
      <c r="MC58" s="152" t="n">
        <v>1</v>
      </c>
      <c r="MD58" s="152" t="n">
        <v>8</v>
      </c>
      <c r="ME58" s="150" t="inlineStr">
        <is>
          <t>ESPECIAL 3</t>
        </is>
      </c>
      <c r="MF58" s="152">
        <f>MAX(1,MIN(7,N('INVOCAÇÕES'!$O$884)))</f>
        <v/>
      </c>
      <c r="MG58" s="152">
        <f>'INVOCAÇÕES'!$P$884&amp;""</f>
        <v/>
      </c>
      <c r="MH58" s="152">
        <f>'INVOCAÇÕES'!$O$889&amp;""</f>
        <v/>
      </c>
      <c r="MI58" s="152">
        <f>'INVOCAÇÕES'!$O$890&amp;""</f>
        <v/>
      </c>
      <c r="MJ58" s="152">
        <f>'INVOCAÇÕES'!$Q$890&amp;""</f>
        <v/>
      </c>
      <c r="MK58" s="152">
        <f>'INVOCAÇÕES'!$P$893&amp;""</f>
        <v/>
      </c>
      <c r="ML58" s="152">
        <f>'INVOCAÇÕES'!$P$894&amp;""</f>
        <v/>
      </c>
      <c r="MM58" s="152">
        <f>'INVOCAÇÕES'!$P$895&amp;""</f>
        <v/>
      </c>
      <c r="MN58" s="152">
        <f>'INVOCAÇÕES'!$P$896&amp;""</f>
        <v/>
      </c>
      <c r="MO58" s="152">
        <f>'INVOCAÇÕES'!$P$897&amp;""</f>
        <v/>
      </c>
      <c r="MP58" s="152">
        <f>'INVOCAÇÕES'!$P$898&amp;""</f>
        <v/>
      </c>
      <c r="MQ58" s="152">
        <f>IF($MG58&lt;&gt;"",1,0)</f>
        <v/>
      </c>
      <c r="MR58" s="152">
        <f>INDEX($FI$2:$FI$13,$MB58)</f>
        <v/>
      </c>
      <c r="MS58" s="152">
        <f>INDEX($FJ$2:$FJ$13,$MB58)</f>
        <v/>
      </c>
      <c r="MT58" s="152">
        <f>INDEX($FK$2:$FK$13,$MB58)</f>
        <v/>
      </c>
      <c r="MU58" s="152">
        <f>INDEX($FV$2:$FV$13,$MB58)</f>
        <v/>
      </c>
      <c r="MV58" s="152">
        <f>INDEX($FW$2:$FW$13,$MB58)</f>
        <v/>
      </c>
      <c r="MW58" s="152">
        <f>IFERROR(MATCH($MH58,$V$2:$V$11,0),0)</f>
        <v/>
      </c>
      <c r="MX58" s="152">
        <f>IFERROR(VLOOKUP($MK58,$AV$2:$BA$84,2,FALSE),"")</f>
        <v/>
      </c>
      <c r="MY58" s="152">
        <f>IFERROR(VLOOKUP($ML58,$AV$2:$BA$84,2,FALSE),"")</f>
        <v/>
      </c>
      <c r="MZ58" s="152">
        <f>IFERROR(VLOOKUP($MM58,$AV$2:$BA$84,2,FALSE),"")</f>
        <v/>
      </c>
      <c r="NA58" s="152">
        <f>IFERROR(VLOOKUP($MN58,$AV$2:$BA$84,2,FALSE),"")</f>
        <v/>
      </c>
      <c r="NB58" s="152">
        <f>IFERROR(VLOOKUP($MK58,$AV$2:$BA$84,3,FALSE),0)</f>
        <v/>
      </c>
      <c r="NC58" s="152">
        <f>IFERROR(VLOOKUP($ML58,$AV$2:$BA$84,3,FALSE),0)</f>
        <v/>
      </c>
      <c r="ND58" s="152">
        <f>IFERROR(VLOOKUP($MM58,$AV$2:$BA$84,3,FALSE),0)</f>
        <v/>
      </c>
      <c r="NE58" s="152">
        <f>IFERROR(VLOOKUP($MN58,$AV$2:$BA$84,3,FALSE),0)</f>
        <v/>
      </c>
      <c r="NF58" s="152">
        <f>IF($MF58=0,0,IF($MW58=0,0,INDEX($X$2:$X$11,$MW58)))</f>
        <v/>
      </c>
      <c r="NG58" s="152">
        <f>IF(OR($NB58=0,$MF58=0),0,$NB58+3*IF(AND($MX58&lt;&gt;"",OR($MX58=INDEX($EF$2:$EF$13,$MB58),$MX58=INDEX($EG$2:$EG$13,$MB58))),1,0))</f>
        <v/>
      </c>
      <c r="NH58" s="152">
        <f>IF(OR($NC58=0,$MF58=0),0,$NC58+3*IF(AND($MY58&lt;&gt;"",OR($MY58=INDEX($EF$2:$EF$13,$MB58),$MY58=INDEX($EG$2:$EG$13,$MB58))),1,0))</f>
        <v/>
      </c>
      <c r="NI58" s="152">
        <f>IF(OR($ND58=0,$MF58=0),0,$ND58+3*IF(AND($MZ58&lt;&gt;"",OR($MZ58=INDEX($EF$2:$EF$13,$MB58),$MZ58=INDEX($EG$2:$EG$13,$MB58))),1,0))</f>
        <v/>
      </c>
      <c r="NJ58" s="152">
        <f>IF(OR($NE58=0,$MF58=0),0,$NE58+3*IF(AND($NA58&lt;&gt;"",OR($NA58=INDEX($EF$2:$EF$13,$MB58),$NA58=INDEX($EG$2:$EG$13,$MB58))),1,0))</f>
        <v/>
      </c>
      <c r="NK58" s="152">
        <f>IF($MW58=0,0,IF(INDEX($W$2:$W$11,$MW58)="",0,IF(COUNTIF(INDEX($EF$2:$EJ$13,$MB58,0),INDEX($W$2:$W$11,$MW58))=0,1,0)))</f>
        <v/>
      </c>
      <c r="NL58" s="152">
        <f>IF(OR($NB58=0,$MX58=""),0,IF(COUNTIF(INDEX($EF$2:$EJ$13,$MB58,0),$MX58)=0,1,0))</f>
        <v/>
      </c>
      <c r="NM58" s="152">
        <f>IF(OR($NC58=0,$MY58=""),0,IF(COUNTIF(INDEX($EF$2:$EJ$13,$MB58,0),$MY58)=0,1,0))</f>
        <v/>
      </c>
      <c r="NN58" s="152">
        <f>IF(OR($ND58=0,$MZ58=""),0,IF(COUNTIF(INDEX($EF$2:$EJ$13,$MB58,0),$MZ58)=0,1,0))</f>
        <v/>
      </c>
      <c r="NO58" s="152">
        <f>IF(OR($NE58=0,$NA58=""),0,IF(COUNTIF(INDEX($EF$2:$EJ$13,$MB58,0),$NA58)=0,1,0))</f>
        <v/>
      </c>
      <c r="NP58" s="152">
        <f>IFERROR(VLOOKUP($MK58,$AV$2:$BA$84,4,FALSE),0)+IFERROR(VLOOKUP($ML58,$AV$2:$BA$84,4,FALSE),0)+IFERROR(VLOOKUP($MM58,$AV$2:$BA$84,4,FALSE),0)+IFERROR(VLOOKUP($MN58,$AV$2:$BA$84,4,FALSE),0)</f>
        <v/>
      </c>
      <c r="NQ58" s="152">
        <f>IFERROR(VLOOKUP($MK58,$AV$2:$BA$84,6,FALSE),0)+IFERROR(VLOOKUP($ML58,$AV$2:$BA$84,6,FALSE),0)+IFERROR(VLOOKUP($MM58,$AV$2:$BA$84,6,FALSE),0)+IFERROR(VLOOKUP($MN58,$AV$2:$BA$84,6,FALSE),0)</f>
        <v/>
      </c>
      <c r="NR58" s="152">
        <f>TEXTJOIN(", ",TRUE,IF(IFERROR(VLOOKUP($MK58,$AV$2:$BA$84,5,FALSE),0)=1,$MK58,""),IF(IFERROR(VLOOKUP($ML58,$AV$2:$BA$84,5,FALSE),0)=1,$ML58,""),IF(IFERROR(VLOOKUP($MM58,$AV$2:$BA$84,5,FALSE),0)=1,$MM58,""),IF(IFERROR(VLOOKUP($MN58,$AV$2:$BA$84,5,FALSE),0)=1,$MN58,""))</f>
        <v/>
      </c>
      <c r="NS58" s="152">
        <f>IF($MW58=0,0,INDEX($Y$2:$Y$11,$MW58))</f>
        <v/>
      </c>
      <c r="NT58" s="152">
        <f>IF($MW58=0,0,INDEX($Z$2:$Z$11,$MW58))</f>
        <v/>
      </c>
      <c r="NU58" s="152">
        <f>IF($MW58=0,0,INDEX($AB$2:$AB$11,$MW58))</f>
        <v/>
      </c>
      <c r="NV58" s="152">
        <f>IFERROR(VLOOKUP($MO58,$BC$2:$BG$24,3,FALSE),0)</f>
        <v/>
      </c>
      <c r="NW58" s="152">
        <f>IFERROR(VLOOKUP($MP58,$BC$2:$BG$24,3,FALSE),0)</f>
        <v/>
      </c>
      <c r="NX58" s="152">
        <f>IFERROR(VLOOKUP($MO58,$BC$2:$BG$24,2,FALSE),"")</f>
        <v/>
      </c>
      <c r="NY58" s="152">
        <f>IFERROR(VLOOKUP($MP58,$BC$2:$BG$24,2,FALSE),"")</f>
        <v/>
      </c>
      <c r="NZ58" s="152">
        <f>COUNTIF($NF58:$NJ58,1)</f>
        <v/>
      </c>
      <c r="OA58" s="152">
        <f>COUNTIF($NF58:$NJ58,2)</f>
        <v/>
      </c>
      <c r="OB58" s="152">
        <f>COUNTIF($NF58:$NJ58,3)</f>
        <v/>
      </c>
      <c r="OC58" s="152">
        <f>COUNTIF($NF58:$NJ58,4)</f>
        <v/>
      </c>
      <c r="OD58" s="152">
        <f>COUNTIF($NF58:$NJ58,5)</f>
        <v/>
      </c>
      <c r="OE58" s="152">
        <f>COUNTIF($NF58:$NJ58,6)</f>
        <v/>
      </c>
      <c r="OF58" s="152">
        <f>COUNTIF($NV58:$NW58,1)</f>
        <v/>
      </c>
      <c r="OG58" s="152">
        <f>COUNTIF($NV58:$NW58,2)+$NS58</f>
        <v/>
      </c>
      <c r="OH58" s="152">
        <f>COUNTIF($MK58:$MN58,"?*")</f>
        <v/>
      </c>
      <c r="OI58" s="152">
        <f>COUNTIF($MO58:$MP58,"?*")+$NS58</f>
        <v/>
      </c>
      <c r="OJ58" s="152">
        <f>IF($MF58=0,0,SUMPRODUCT($NZ58:$OE58,INDEX($I$2:$N$8,MAX(1,$MF58),0)))</f>
        <v/>
      </c>
      <c r="OK58" s="152">
        <f>IF($MF58=0,0,$OF58*CEILING($MF58/2,1)+$OG58*$MF58)</f>
        <v/>
      </c>
      <c r="OL58" s="152">
        <f>MIN(2*$MF58,$OK58)</f>
        <v/>
      </c>
      <c r="OM58" s="152">
        <f>MIN($OL58,$OJ58)</f>
        <v/>
      </c>
      <c r="ON58" s="152">
        <f>$OL58-$OM58</f>
        <v/>
      </c>
      <c r="OO58" s="152">
        <f>IF($MF58=0,0,INDEX($P$2:$P$8,MAX(1,$MF58)))</f>
        <v/>
      </c>
      <c r="OP58" s="152">
        <f>$OO58-$OJ58+$OM58</f>
        <v/>
      </c>
      <c r="OQ58" s="152">
        <f>IF($MF58=0,MAX(0,$MT58-IF($OH58&gt;0,1,0)),MAX(0,$OP58))</f>
        <v/>
      </c>
      <c r="OR58" s="152">
        <f>IF($MF58=0,0,(IF(COUNTIF($MK58:$MN58,"Salto")&gt;0,1,0)+IF(COUNTIF($MK58:$MN58,"Queima")&gt;0,1,0)+IF(COUNTIF($MK58:$MN58,"Estilhaço")&gt;0,1,0))*FLOOR($OQ58/2,1))</f>
        <v/>
      </c>
      <c r="OS58" s="152">
        <f>MAX(0,2-SUMPRODUCT($NZ58:$OE58,$I$2:$N$2)+MIN(2,$OF58*1+$OG58*1,SUMPRODUCT($NZ58:$OE58,$I$2:$N$2)))</f>
        <v/>
      </c>
      <c r="OT58" s="152">
        <f>MAX(0,4-SUMPRODUCT($NZ58:$OE58,$I$3:$N$3)+MIN(4,$OF58*1+$OG58*2,SUMPRODUCT($NZ58:$OE58,$I$3:$N$3)))</f>
        <v/>
      </c>
      <c r="OU58" s="152">
        <f>MAX(0,6-SUMPRODUCT($NZ58:$OE58,$I$4:$N$4)+MIN(6,$OF58*2+$OG58*3,SUMPRODUCT($NZ58:$OE58,$I$4:$N$4)))</f>
        <v/>
      </c>
      <c r="OV58" s="152">
        <f>MAX(0,9-SUMPRODUCT($NZ58:$OE58,$I$5:$N$5)+MIN(8,$OF58*2+$OG58*4,SUMPRODUCT($NZ58:$OE58,$I$5:$N$5)))</f>
        <v/>
      </c>
      <c r="OW58" s="152">
        <f>MAX(0,11-SUMPRODUCT($NZ58:$OE58,$I$6:$N$6)+MIN(10,$OF58*3+$OG58*5,SUMPRODUCT($NZ58:$OE58,$I$6:$N$6)))</f>
        <v/>
      </c>
      <c r="OX58" s="152">
        <f>MAX(0,13-SUMPRODUCT($NZ58:$OE58,$I$7:$N$7)+MIN(12,$OF58*3+$OG58*6,SUMPRODUCT($NZ58:$OE58,$I$7:$N$7)))</f>
        <v/>
      </c>
      <c r="OY58" s="152">
        <f>MAX(0,16-SUMPRODUCT($NZ58:$OE58,$I$8:$N$8)+MIN(14,$OF58*4+$OG58*7,SUMPRODUCT($NZ58:$OE58,$I$8:$N$8)))</f>
        <v/>
      </c>
      <c r="OZ58" s="152">
        <f>IF($NT58=2,3*$OS58&amp;" de vida temp.",IF($NT58=3,"sem dano",IF($OS58=0,IF($NT58=1,"sem cura","sem dano"),IF($NT58=1,"cura ","")&amp;$OS58&amp;"d8")))</f>
        <v/>
      </c>
      <c r="PA58" s="152">
        <f>IF($NT58=2,3*$OT58&amp;" de vida temp.",IF($NT58=3,"sem dano",IF($OT58=0,IF($NT58=1,"sem cura","sem dano"),IF($NT58=1,"cura ","")&amp;$OT58&amp;"d8")))</f>
        <v/>
      </c>
      <c r="PB58" s="152">
        <f>IF($NT58=2,3*$OU58&amp;" de vida temp.",IF($NT58=3,"sem dano",IF($OU58=0,IF($NT58=1,"sem cura","sem dano"),IF($NT58=1,"cura ","")&amp;$OU58&amp;"d8")))</f>
        <v/>
      </c>
      <c r="PC58" s="152">
        <f>IF($NT58=2,3*$OV58&amp;" de vida temp.",IF($NT58=3,"sem dano",IF($OV58=0,IF($NT58=1,"sem cura","sem dano"),IF($NT58=1,"cura ","")&amp;$OV58&amp;"d8")))</f>
        <v/>
      </c>
      <c r="PD58" s="152">
        <f>IF($NT58=2,3*$OW58&amp;" de vida temp.",IF($NT58=3,"sem dano",IF($OW58=0,IF($NT58=1,"sem cura","sem dano"),IF($NT58=1,"cura ","")&amp;$OW58&amp;"d8")))</f>
        <v/>
      </c>
      <c r="PE58" s="152">
        <f>IF($NT58=2,3*$OX58&amp;" de vida temp.",IF($NT58=3,"sem dano",IF($OX58=0,IF($NT58=1,"sem cura","sem dano"),IF($NT58=1,"cura ","")&amp;$OX58&amp;"d8")))</f>
        <v/>
      </c>
      <c r="PF58" s="152">
        <f>IF($NT58=2,3*$OY58&amp;" de vida temp.",IF($NT58=3,"sem dano",IF($OY58=0,IF($NT58=1,"sem cura","sem dano"),IF($NT58=1,"cura ","")&amp;$OY58&amp;"d8")))</f>
        <v/>
      </c>
      <c r="PG58" s="152">
        <f>IF($MQ58=0,"",TEXTJOIN(" · ",TRUE,IF($MD58&gt;$MR58,"Este lugar abre no nível "&amp;$MD58,""),IF($MF58&gt;$MS58,"Classe "&amp;$MF58&amp;": o nível "&amp;$MR58&amp;" libera até a "&amp;$MS58,""),IF($NK58=1,"A Forma "&amp;$MH58&amp;" pede "&amp;INDEX($W$2:$W$11,$MW58)&amp;" aberta",""),IF(AND($MF58=0,$MW58&gt;0,IF($MW58=0,0,INDEX($AF$2:$AF$11,$MW58))=0),$MH58&amp;" não existe na Classe 0",""),IF($NL58=1,"Família Fechada: "&amp;$MK58,""),IF($NM58=1,"Família Fechada: "&amp;$ML58,""),IF($NN58=1,"Família Fechada: "&amp;$MM58,""),IF($NO58=1,"Família Fechada: "&amp;$MN58,""),IF(AND($MF58&gt;0,$OH58&gt;INDEX($O$2:$O$8,MAX(1,$MF58))),$OH58&amp;" Melhorias: a Classe "&amp;$MF58&amp;" aceita "&amp;INDEX($O$2:$O$8,MAX(1,$MF58)),""),IF(AND($MF58=0,$OH58&gt;1),"A básica aceita uma Melhoria",""),IF(AND($MF58=0,COUNTIF($NB58:$NE58,"&gt;1")&gt;0),"A básica só aceita Melhoria Leve",""),IF(AND($MF58&gt;0,$OI58&gt;2),$OI58&amp;" Restrições"&amp;IF($NS58=1,", contando a que a Forma "&amp;$MH58&amp;" já traz","")&amp;": o limite é 2",""),IF(AND($MF58=0,COUNTIF($MO58:$MP58,"?*")&gt;1),"A básica aceita uma Restrição Leve",""),IF(AND($MF58=0,COUNTIF($NV58:$NW58,2)&gt;0),"A básica só aceita Restrição Leve",""),IF(AND($MF58&gt;0,$OP58&lt;0),"Orçamento estourado: faltam "&amp;(-$OP58)&amp;IF($OP58&lt;-1," pontos"," ponto"),""),IF(IFERROR(VLOOKUP($MO58,$BC$2:$BG$24,4,FALSE),0)+IFERROR(VLOOKUP($MP58,$BC$2:$BG$24,4,FALSE),0)&gt;1,$NX58&amp;" e "&amp;$NY58&amp;" são as duas de frequência",""),IF(AND((COUNTIF($MK58:$MN58,"Rápido")+COUNTIF($NX58:$NY58,"Rápido"))&gt;0,(COUNTIF($MK58:$MN58,"Atrasar")+COUNTIF($NX58:$NY58,"Atrasar"))&gt;0),"Rápido não entra com Atrasar",""),IF(AND((COUNTIF($MK58:$MN58,"Reação")+COUNTIF($NX58:$NY58,"Reação"))&gt;0,(COUNTIF($MK58:$MN58,"Rápido")+COUNTIF($NX58:$NY58,"Rápido"))&gt;0),"Reação não entra com Rápido",""),IF(AND((COUNTIF($MK58:$MN58,"Reação")+COUNTIF($NX58:$NY58,"Reação"))&gt;0,(COUNTIF($MK58:$MN58,"Armado")+COUNTIF($NX58:$NY58,"Armado"))&gt;0),"Reação não entra com Armado",""),IF(AND((COUNTIF($MK58:$MN58,"Reação")+COUNTIF($NX58:$NY58,"Reação"))&gt;0,(COUNTIF($MK58:$MN58,"Atrasar")+COUNTIF($NX58:$NY58,"Atrasar"))&gt;0),"Reação não entra com Atrasar",""),IF(AND((COUNTIF($MK58:$MN58,"Reação")+COUNTIF($NX58:$NY58,"Reação"))&gt;0,(COUNTIF($MK58:$MN58,"Parado")+COUNTIF($NX58:$NY58,"Parado"))&gt;0),"Reação não entra com Parado",""),IF(AND((COUNTIF($MK58:$MN58,"Atrasar")+COUNTIF($NX58:$NY58,"Atrasar"))&gt;0,(COUNTIF($MK58:$MN58,"Parado")+COUNTIF($NX58:$NY58,"Parado"))&gt;0),"Atrasar não entra com Parado",""),IF(AND((COUNTIF($MK58:$MN58,"Armado")+COUNTIF($NX58:$NY58,"Armado"))&gt;0,(COUNTIF($MK58:$MN58,"Carregar")+COUNTIF($NX58:$NY58,"Carregar"))&gt;0),"Armado não entra com Carregar",""),IF(AND(COUNTIF($NX58:$NY58,"Corpo a Corpo")&gt;0,$NS58=0,OR($MH58="Cone",$MH58="Linha")),"Corpo a Corpo não entra em "&amp;$MH58,""),IF(AND(COUNTIF($NX58:$NY58,"Corpo a Corpo")&gt;0,$NS58=1),"A Forma "&amp;$MH58&amp;" já traz o Corpo a Corpo",""),IF(AND(COUNTIF($NX58:$NY58,"Tudo ou Nada")&gt;0,$NU58=0),"Tudo ou Nada só entra em habilidade de Teste de Resistência",""),IF(AND(COUNTIF($MK58:$MN58,"Inescapável")&gt;0,OR($OH58&gt;1,$OI58&gt;0)),"Inescapável não aceita outra peça",""),IF(AND($MF58&gt;0,$OQ58*IF(COUNTIF($MK58:$MN58,"Remate")&gt;0,1.25,1)+$OR58&gt;4*$MF58),($OQ58*IF(COUNTIF($MK58:$MN58,"Remate")&gt;0,1.25,1)+$OR58)&amp;" dados somando repetições"&amp;IF(COUNTIF($MK58:$MN58,"Remate")&gt;0," e o Remate","")&amp;": o teto da Classe "&amp;$MF58&amp;" é "&amp;4*$MF58,"")))</f>
        <v/>
      </c>
      <c r="PH58" s="152">
        <f>IF($PG58="",0,(LEN($PG58)-LEN(SUBSTITUTE($PG58," · ","")))/3+1)</f>
        <v/>
      </c>
      <c r="PI58" s="152">
        <f>IF($MQ58=0,"",TEXTJOIN(" · ",TRUE,IF($OK58&gt;2*$MF58,"A devolução parou no teto de "&amp;2*$MF58,""),IF($ON58&gt;0,"Devolução perdida: "&amp;$ON58&amp;IF($ON58&gt;1," pontos"," ponto")&amp;" sem peça para pagar",""),IF(AND($NP58&gt;0,AND($MF58&gt;0,$NT58=0),$OQ58=0),"Controle sem dano: uma rodada a mais e CD +2",""),IF(AND($NP58&gt;0,AND($MF58&gt;0,$NT58=0),$OQ58&gt;0,$OQ58&lt;=$MF58),"Controle com saldo até a Classe: uma rodada a mais",""),IF(AND($MF58&gt;0,$NR58&lt;&gt;""),"Efeito de "&amp;$NR58&amp;" pela Classe "&amp;MAX(1,$MF58-1),"")))</f>
        <v/>
      </c>
      <c r="PJ58" s="152">
        <f>IF($PI58="",0,(LEN($PI58)-LEN(SUBSTITUTE($PI58," · ","")))/3+1)</f>
        <v/>
      </c>
      <c r="PK58" s="152">
        <f>IF($MQ58=0,IF($OH58+COUNTIF($MO58:$MP58,"?*")&gt;0,"Dê um nome",""),IF($PH58&gt;0,"⚠ "&amp;$PH58&amp;IF($PH58&gt;1," erros"," erro"),IF($PJ58&gt;0,"! "&amp;$PJ58&amp;IF($PJ58&gt;1," avisos"," aviso"),"Na regra")))</f>
        <v/>
      </c>
      <c r="PL58" s="152">
        <f>IF($MQ58=0,"",IF($PH58+$PJ58=0,"Dentro das regras que a ficha confere",$PG58&amp;IF(AND($PH58&gt;0,$PJ58&gt;0)," · ","")&amp;$PI58))</f>
        <v/>
      </c>
      <c r="PM58" s="152">
        <f>IF($MD58&gt;$MR58,$ME58&amp;" · ABRE NO NÍVEL "&amp;$MD58,$ME58)</f>
        <v/>
      </c>
      <c r="PN58" s="152">
        <f>IF($MQ58=0,"",IF($MF58=0,"Sem PE",3*$MF58&amp;" PE"))</f>
        <v/>
      </c>
      <c r="PO58" s="152">
        <f>IF($MQ58=0,"",IF($MF58=0,"A atuação básica dela",IF(COUNTIF($NX58:$NY58,"Atrasar")&gt;0,"Sua Ação Completa",IF(COUNTIF($MK58:$MN58,"Rápido")&gt;0,"Sua Bônus",IF(COUNTIF($MK58:$MN58,"Reação")&gt;0,"Sua Reação","Sua Padrão")))&amp;" + a básica dela"&amp;IF(COUNTIF($MK58:$MN58,"Reação")&gt;0," e a coletiva","")&amp;IF(COUNTIF($NX58:$NY58,"Carregar")&gt;0," · em dois turnos","")))</f>
        <v/>
      </c>
      <c r="PP58" s="152">
        <f>IF($MJ58&lt;&gt;"",$MJ58,IF($MW58=0,"",INDEX($AA$2:$AA$11,$MW58)))</f>
        <v/>
      </c>
      <c r="PQ58" s="152">
        <f>IF(OR($MQ58=0,$MW58=0),"",IF(COUNTIF($MK58:$MN58,"Inescapável")&gt;0,"Automático",IF($PP58="Ataque",IF($MU58="","Ataque","Ataque "&amp;IF(($MU58+2*IF(COUNTIF($MK58:$MN58,"Precisão")&gt;0,1,0))&gt;=0,"+","−")&amp;ABS(($MU58+2*IF(COUNTIF($MK58:$MN58,"Precisão")&gt;0,1,0))))&amp;IF($NQ58&gt;0," · TR"&amp;IF($MV58="",""," CD "&amp;$MV58),""),IF(LEFT($PP58,2)="TR",$PP58&amp;IF($MV58="",""," · CD "&amp;$MV58)&amp;IF(COUNTIF($MK58:$MN58,"Certeiro")&gt;0," · metade",""),"Sem rolagem"))))</f>
        <v/>
      </c>
      <c r="PR58" s="152">
        <f>IF(OR($MQ58=0,$MW58=0),"",IF($MF58=0,IF(OR($NT58&gt;=1,$OQ58=0),"Sem dano",$OQ58&amp;"d6"&amp;IF($MI58="",""," "&amp;$MI58)),IF(OR($NT58&gt;=1,$OQ58=0),UPPER(LEFT(INDEX($OZ58:$PF58,1,MAX(1,$MF58)),1))&amp;MID(INDEX($OZ58:$PF58,1,MAX(1,$MF58)),2,99),UPPER(LEFT(INDEX($OZ58:$PF58,1,MAX(1,$MF58)),1))&amp;MID(INDEX($OZ58:$PF58,1,MAX(1,$MF58)),2,99)&amp;IF($MI58="",""," "&amp;$MI58)&amp;IF($OR58&gt;0," · +"&amp;$OR58&amp;"d8",""))))</f>
        <v/>
      </c>
      <c r="PS58" s="152">
        <f>COUNTIF($MK58:$MN58,"Longe")+3*COUNTIF($MK58:$MN58,"Muito Longe")</f>
        <v/>
      </c>
      <c r="PT58" s="152">
        <f>COUNTIF($MK58:$MN58,"Maior")+3*COUNTIF($MK58:$MN58,"Muito Maior")</f>
        <v/>
      </c>
      <c r="PU58" s="152">
        <f>IF($MW58=0,0,CHOOSE(1+INDEX($AC$2:$AC$11,$MW58),0,$PS58,$PT58,$PS58+$PT58))</f>
        <v/>
      </c>
      <c r="PV58" s="152">
        <f>IF($MW58=0,0,CHOOSE(1+INDEX($AD$2:$AD$11,$MW58),0,$PS58,$PT58,$PS58+$PT58))</f>
        <v/>
      </c>
      <c r="PW58" s="152">
        <f>IF(OR($MQ58=0,$MW58=0),"",INDEX($AI$2:$AN$41,($MW58-1)*4+IF($MF58=0,1,IF($MF58&lt;=5,2,IF($MF58=6,3,4))),1+MIN(5,$PU58))&amp;INDEX($AO$2:$AT$41,($MW58-1)*4+IF($MF58=0,1,IF($MF58&lt;=5,2,IF($MF58=6,3,4))),1+MIN(5,$PV58))&amp;IF(INDEX($AE$2:$AE$11,$MW58)=1,IF(COUNTIF($MK58:$MN58,"Mais Um")&gt;0," · +"&amp;COUNTIF($MK58:$MN58,"Mais Um")&amp;IF(COUNTIF($MK58:$MN58,"Mais Um")&gt;1," alvos"," alvo"),"")&amp;IF(COUNTIF($MK58:$MN58,"Rajada")&gt;0,IF($MF58=0," · 1 tiro"," · "&amp;(MAX(1,$MF58-1)+1)&amp;" tiros"),""),""))</f>
        <v/>
      </c>
      <c r="PX58" s="152">
        <f>IF($MQ58=0,"",IF($MF58=0,$MT58&amp;"d6"&amp;IF($OH58&gt;0," − 1 = "&amp;$OQ58&amp;"d6"," da básica do nível "&amp;$MR58),$OO58&amp;" − "&amp;$OJ58&amp;" + "&amp;$OM58&amp;" = "&amp;$OP58&amp;" · teto "&amp;4*$MF58&amp;"d8"&amp;IF($NS58=1," · a Forma devolve "&amp;$MF58,"")&amp;IF($ON58&gt;0," · perde "&amp;$ON58,"")))</f>
        <v/>
      </c>
      <c r="PY58" s="152">
        <f>IF($MQ58=0,"",IF($MF58=0,"A básica não amplia: os dados dela sobem com o nível",IF($MF58&gt;=$MS58,"Já está na maior Classe que o nível liberou",TEXTJOIN(" · ",TRUE,IF(AND(2&gt;$MF58,2&lt;=$MS58),"2 → "&amp;$PA58&amp;", 6 PE",""),IF(AND(3&gt;$MF58,3&lt;=$MS58),"3 → "&amp;$PB58&amp;", 9 PE",""),IF(AND(4&gt;$MF58,4&lt;=$MS58),"4 → "&amp;$PC58&amp;", 12 PE",""),IF(AND(5&gt;$MF58,5&lt;=$MS58),"5 → "&amp;$PD58&amp;", 15 PE",""),IF(AND(6&gt;$MF58,6&lt;=$MS58),"6 → "&amp;$PE58&amp;", 18 PE",""),IF(AND(7&gt;$MF58,7&lt;=$MS58),"7 → "&amp;$PF58&amp;", 21 PE","")))))</f>
        <v/>
      </c>
      <c r="PZ58" s="152">
        <f>IF(OR($MQ58=0,$NB58=0),"",IF($MF58=0,"−1 dado","−"&amp;INDEX($I$2:$N$8,MAX(1,$MF58),MAX(1,$NG58))&amp;" · "&amp;CHOOSE(MAX(1,$NG58),"Leve","Média","Pesada","Leve · Livre","Média · Livre","Pesada · Livre")))</f>
        <v/>
      </c>
      <c r="QA58" s="152">
        <f>IF(OR($MQ58=0,$NC58=0),"",IF($MF58=0,"−1 dado","−"&amp;INDEX($I$2:$N$8,MAX(1,$MF58),MAX(1,$NH58))&amp;" · "&amp;CHOOSE(MAX(1,$NH58),"Leve","Média","Pesada","Leve · Livre","Média · Livre","Pesada · Livre")))</f>
        <v/>
      </c>
      <c r="QB58" s="152">
        <f>IF(OR($MQ58=0,$ND58=0),"",IF($MF58=0,"−1 dado","−"&amp;INDEX($I$2:$N$8,MAX(1,$MF58),MAX(1,$NI58))&amp;" · "&amp;CHOOSE(MAX(1,$NI58),"Leve","Média","Pesada","Leve · Livre","Média · Livre","Pesada · Livre")))</f>
        <v/>
      </c>
      <c r="QC58" s="152">
        <f>IF(OR($MQ58=0,$NE58=0),"",IF($MF58=0,"−1 dado","−"&amp;INDEX($I$2:$N$8,MAX(1,$MF58),MAX(1,$NJ58))&amp;" · "&amp;CHOOSE(MAX(1,$NJ58),"Leve","Média","Pesada","Leve · Livre","Média · Livre","Pesada · Livre")))</f>
        <v/>
      </c>
      <c r="QD58" s="152">
        <f>IF(OR($MQ58=0,$MO58=""),"",IF($MF58=0,"não devolve","+"&amp;IF($NV58=1,CEILING($MF58/2,1),$MF58)))</f>
        <v/>
      </c>
      <c r="QE58" s="152">
        <f>IF(OR($MQ58=0,$MP58=""),"",IF($MF58=0,"não devolve","+"&amp;IF($NW58=1,CEILING($MF58/2,1),$MF58)))</f>
        <v/>
      </c>
    </row>
    <row r="59">
      <c r="AV59" s="150" t="inlineStr">
        <is>
          <t>Sem Cura</t>
        </is>
      </c>
      <c r="AW59" s="150" t="inlineStr">
        <is>
          <t>Castigo</t>
        </is>
      </c>
      <c r="AX59" s="152" t="n">
        <v>2</v>
      </c>
      <c r="AY59" s="152" t="n">
        <v>0</v>
      </c>
      <c r="AZ59" s="152" t="n">
        <v>0</v>
      </c>
      <c r="BA59" s="152" t="n">
        <v>0</v>
      </c>
      <c r="JG59" s="152">
        <f>IF(OR($AW59="",COUNTIF($EF$2:$EJ$2,$AW59)&gt;0),$AV59,"")</f>
        <v/>
      </c>
      <c r="JH59" s="152">
        <f>IF(AND($AX59=1,OR($AW59="",COUNTIF($EF$2:$EJ$2,$AW59)&gt;0)),$AV59,"")</f>
        <v/>
      </c>
      <c r="JM59" s="152">
        <f>IF(OR($AW59="",COUNTIF($EF$3:$EJ$3,$AW59)&gt;0),$AV59,"")</f>
        <v/>
      </c>
      <c r="JN59" s="152">
        <f>IF(AND($AX59=1,OR($AW59="",COUNTIF($EF$3:$EJ$3,$AW59)&gt;0)),$AV59,"")</f>
        <v/>
      </c>
      <c r="JS59" s="152">
        <f>IF(OR($AW59="",COUNTIF($EF$4:$EJ$4,$AW59)&gt;0),$AV59,"")</f>
        <v/>
      </c>
      <c r="JT59" s="152">
        <f>IF(AND($AX59=1,OR($AW59="",COUNTIF($EF$4:$EJ$4,$AW59)&gt;0)),$AV59,"")</f>
        <v/>
      </c>
      <c r="JY59" s="152">
        <f>IF(OR($AW59="",COUNTIF($EF$5:$EJ$5,$AW59)&gt;0),$AV59,"")</f>
        <v/>
      </c>
      <c r="JZ59" s="152">
        <f>IF(AND($AX59=1,OR($AW59="",COUNTIF($EF$5:$EJ$5,$AW59)&gt;0)),$AV59,"")</f>
        <v/>
      </c>
      <c r="KE59" s="152">
        <f>IF(OR($AW59="",COUNTIF($EF$6:$EJ$6,$AW59)&gt;0),$AV59,"")</f>
        <v/>
      </c>
      <c r="KF59" s="152">
        <f>IF(AND($AX59=1,OR($AW59="",COUNTIF($EF$6:$EJ$6,$AW59)&gt;0)),$AV59,"")</f>
        <v/>
      </c>
      <c r="KK59" s="152">
        <f>IF(OR($AW59="",COUNTIF($EF$7:$EJ$7,$AW59)&gt;0),$AV59,"")</f>
        <v/>
      </c>
      <c r="KL59" s="152">
        <f>IF(AND($AX59=1,OR($AW59="",COUNTIF($EF$7:$EJ$7,$AW59)&gt;0)),$AV59,"")</f>
        <v/>
      </c>
      <c r="KQ59" s="152">
        <f>IF(OR($AW59="",COUNTIF($EF$8:$EJ$8,$AW59)&gt;0),$AV59,"")</f>
        <v/>
      </c>
      <c r="KR59" s="152">
        <f>IF(AND($AX59=1,OR($AW59="",COUNTIF($EF$8:$EJ$8,$AW59)&gt;0)),$AV59,"")</f>
        <v/>
      </c>
      <c r="KW59" s="152">
        <f>IF(OR($AW59="",COUNTIF($EF$9:$EJ$9,$AW59)&gt;0),$AV59,"")</f>
        <v/>
      </c>
      <c r="KX59" s="152">
        <f>IF(AND($AX59=1,OR($AW59="",COUNTIF($EF$9:$EJ$9,$AW59)&gt;0)),$AV59,"")</f>
        <v/>
      </c>
      <c r="LC59" s="152">
        <f>IF(OR($AW59="",COUNTIF($EF$10:$EJ$10,$AW59)&gt;0),$AV59,"")</f>
        <v/>
      </c>
      <c r="LD59" s="152">
        <f>IF(AND($AX59=1,OR($AW59="",COUNTIF($EF$10:$EJ$10,$AW59)&gt;0)),$AV59,"")</f>
        <v/>
      </c>
      <c r="LI59" s="152">
        <f>IF(OR($AW59="",COUNTIF($EF$11:$EJ$11,$AW59)&gt;0),$AV59,"")</f>
        <v/>
      </c>
      <c r="LJ59" s="152">
        <f>IF(AND($AX59=1,OR($AW59="",COUNTIF($EF$11:$EJ$11,$AW59)&gt;0)),$AV59,"")</f>
        <v/>
      </c>
      <c r="LO59" s="152">
        <f>IF(OR($AW59="",COUNTIF($EF$12:$EJ$12,$AW59)&gt;0),$AV59,"")</f>
        <v/>
      </c>
      <c r="LP59" s="152">
        <f>IF(AND($AX59=1,OR($AW59="",COUNTIF($EF$12:$EJ$12,$AW59)&gt;0)),$AV59,"")</f>
        <v/>
      </c>
      <c r="LU59" s="152">
        <f>IF(OR($AW59="",COUNTIF($EF$13:$EJ$13,$AW59)&gt;0),$AV59,"")</f>
        <v/>
      </c>
      <c r="LV59" s="152">
        <f>IF(AND($AX59=1,OR($AW59="",COUNTIF($EF$13:$EJ$13,$AW59)&gt;0)),$AV59,"")</f>
        <v/>
      </c>
      <c r="MA59" s="150" t="inlineStr">
        <is>
          <t>Ficha 5 · Especial 4</t>
        </is>
      </c>
      <c r="MB59" s="152" t="n">
        <v>5</v>
      </c>
      <c r="MC59" s="152" t="n">
        <v>1</v>
      </c>
      <c r="MD59" s="152" t="n">
        <v>12</v>
      </c>
      <c r="ME59" s="150" t="inlineStr">
        <is>
          <t>ESPECIAL 4</t>
        </is>
      </c>
      <c r="MF59" s="152">
        <f>MAX(1,MIN(7,N('INVOCAÇÕES'!$U$884)))</f>
        <v/>
      </c>
      <c r="MG59" s="152">
        <f>'INVOCAÇÕES'!$V$884&amp;""</f>
        <v/>
      </c>
      <c r="MH59" s="152">
        <f>'INVOCAÇÕES'!$U$889&amp;""</f>
        <v/>
      </c>
      <c r="MI59" s="152">
        <f>'INVOCAÇÕES'!$U$890&amp;""</f>
        <v/>
      </c>
      <c r="MJ59" s="152">
        <f>'INVOCAÇÕES'!$W$890&amp;""</f>
        <v/>
      </c>
      <c r="MK59" s="152">
        <f>'INVOCAÇÕES'!$V$893&amp;""</f>
        <v/>
      </c>
      <c r="ML59" s="152">
        <f>'INVOCAÇÕES'!$V$894&amp;""</f>
        <v/>
      </c>
      <c r="MM59" s="152">
        <f>'INVOCAÇÕES'!$V$895&amp;""</f>
        <v/>
      </c>
      <c r="MN59" s="152">
        <f>'INVOCAÇÕES'!$V$896&amp;""</f>
        <v/>
      </c>
      <c r="MO59" s="152">
        <f>'INVOCAÇÕES'!$V$897&amp;""</f>
        <v/>
      </c>
      <c r="MP59" s="152">
        <f>'INVOCAÇÕES'!$V$898&amp;""</f>
        <v/>
      </c>
      <c r="MQ59" s="152">
        <f>IF($MG59&lt;&gt;"",1,0)</f>
        <v/>
      </c>
      <c r="MR59" s="152">
        <f>INDEX($FI$2:$FI$13,$MB59)</f>
        <v/>
      </c>
      <c r="MS59" s="152">
        <f>INDEX($FJ$2:$FJ$13,$MB59)</f>
        <v/>
      </c>
      <c r="MT59" s="152">
        <f>INDEX($FK$2:$FK$13,$MB59)</f>
        <v/>
      </c>
      <c r="MU59" s="152">
        <f>INDEX($FV$2:$FV$13,$MB59)</f>
        <v/>
      </c>
      <c r="MV59" s="152">
        <f>INDEX($FW$2:$FW$13,$MB59)</f>
        <v/>
      </c>
      <c r="MW59" s="152">
        <f>IFERROR(MATCH($MH59,$V$2:$V$11,0),0)</f>
        <v/>
      </c>
      <c r="MX59" s="152">
        <f>IFERROR(VLOOKUP($MK59,$AV$2:$BA$84,2,FALSE),"")</f>
        <v/>
      </c>
      <c r="MY59" s="152">
        <f>IFERROR(VLOOKUP($ML59,$AV$2:$BA$84,2,FALSE),"")</f>
        <v/>
      </c>
      <c r="MZ59" s="152">
        <f>IFERROR(VLOOKUP($MM59,$AV$2:$BA$84,2,FALSE),"")</f>
        <v/>
      </c>
      <c r="NA59" s="152">
        <f>IFERROR(VLOOKUP($MN59,$AV$2:$BA$84,2,FALSE),"")</f>
        <v/>
      </c>
      <c r="NB59" s="152">
        <f>IFERROR(VLOOKUP($MK59,$AV$2:$BA$84,3,FALSE),0)</f>
        <v/>
      </c>
      <c r="NC59" s="152">
        <f>IFERROR(VLOOKUP($ML59,$AV$2:$BA$84,3,FALSE),0)</f>
        <v/>
      </c>
      <c r="ND59" s="152">
        <f>IFERROR(VLOOKUP($MM59,$AV$2:$BA$84,3,FALSE),0)</f>
        <v/>
      </c>
      <c r="NE59" s="152">
        <f>IFERROR(VLOOKUP($MN59,$AV$2:$BA$84,3,FALSE),0)</f>
        <v/>
      </c>
      <c r="NF59" s="152">
        <f>IF($MF59=0,0,IF($MW59=0,0,INDEX($X$2:$X$11,$MW59)))</f>
        <v/>
      </c>
      <c r="NG59" s="152">
        <f>IF(OR($NB59=0,$MF59=0),0,$NB59+3*IF(AND($MX59&lt;&gt;"",OR($MX59=INDEX($EF$2:$EF$13,$MB59),$MX59=INDEX($EG$2:$EG$13,$MB59))),1,0))</f>
        <v/>
      </c>
      <c r="NH59" s="152">
        <f>IF(OR($NC59=0,$MF59=0),0,$NC59+3*IF(AND($MY59&lt;&gt;"",OR($MY59=INDEX($EF$2:$EF$13,$MB59),$MY59=INDEX($EG$2:$EG$13,$MB59))),1,0))</f>
        <v/>
      </c>
      <c r="NI59" s="152">
        <f>IF(OR($ND59=0,$MF59=0),0,$ND59+3*IF(AND($MZ59&lt;&gt;"",OR($MZ59=INDEX($EF$2:$EF$13,$MB59),$MZ59=INDEX($EG$2:$EG$13,$MB59))),1,0))</f>
        <v/>
      </c>
      <c r="NJ59" s="152">
        <f>IF(OR($NE59=0,$MF59=0),0,$NE59+3*IF(AND($NA59&lt;&gt;"",OR($NA59=INDEX($EF$2:$EF$13,$MB59),$NA59=INDEX($EG$2:$EG$13,$MB59))),1,0))</f>
        <v/>
      </c>
      <c r="NK59" s="152">
        <f>IF($MW59=0,0,IF(INDEX($W$2:$W$11,$MW59)="",0,IF(COUNTIF(INDEX($EF$2:$EJ$13,$MB59,0),INDEX($W$2:$W$11,$MW59))=0,1,0)))</f>
        <v/>
      </c>
      <c r="NL59" s="152">
        <f>IF(OR($NB59=0,$MX59=""),0,IF(COUNTIF(INDEX($EF$2:$EJ$13,$MB59,0),$MX59)=0,1,0))</f>
        <v/>
      </c>
      <c r="NM59" s="152">
        <f>IF(OR($NC59=0,$MY59=""),0,IF(COUNTIF(INDEX($EF$2:$EJ$13,$MB59,0),$MY59)=0,1,0))</f>
        <v/>
      </c>
      <c r="NN59" s="152">
        <f>IF(OR($ND59=0,$MZ59=""),0,IF(COUNTIF(INDEX($EF$2:$EJ$13,$MB59,0),$MZ59)=0,1,0))</f>
        <v/>
      </c>
      <c r="NO59" s="152">
        <f>IF(OR($NE59=0,$NA59=""),0,IF(COUNTIF(INDEX($EF$2:$EJ$13,$MB59,0),$NA59)=0,1,0))</f>
        <v/>
      </c>
      <c r="NP59" s="152">
        <f>IFERROR(VLOOKUP($MK59,$AV$2:$BA$84,4,FALSE),0)+IFERROR(VLOOKUP($ML59,$AV$2:$BA$84,4,FALSE),0)+IFERROR(VLOOKUP($MM59,$AV$2:$BA$84,4,FALSE),0)+IFERROR(VLOOKUP($MN59,$AV$2:$BA$84,4,FALSE),0)</f>
        <v/>
      </c>
      <c r="NQ59" s="152">
        <f>IFERROR(VLOOKUP($MK59,$AV$2:$BA$84,6,FALSE),0)+IFERROR(VLOOKUP($ML59,$AV$2:$BA$84,6,FALSE),0)+IFERROR(VLOOKUP($MM59,$AV$2:$BA$84,6,FALSE),0)+IFERROR(VLOOKUP($MN59,$AV$2:$BA$84,6,FALSE),0)</f>
        <v/>
      </c>
      <c r="NR59" s="152">
        <f>TEXTJOIN(", ",TRUE,IF(IFERROR(VLOOKUP($MK59,$AV$2:$BA$84,5,FALSE),0)=1,$MK59,""),IF(IFERROR(VLOOKUP($ML59,$AV$2:$BA$84,5,FALSE),0)=1,$ML59,""),IF(IFERROR(VLOOKUP($MM59,$AV$2:$BA$84,5,FALSE),0)=1,$MM59,""),IF(IFERROR(VLOOKUP($MN59,$AV$2:$BA$84,5,FALSE),0)=1,$MN59,""))</f>
        <v/>
      </c>
      <c r="NS59" s="152">
        <f>IF($MW59=0,0,INDEX($Y$2:$Y$11,$MW59))</f>
        <v/>
      </c>
      <c r="NT59" s="152">
        <f>IF($MW59=0,0,INDEX($Z$2:$Z$11,$MW59))</f>
        <v/>
      </c>
      <c r="NU59" s="152">
        <f>IF($MW59=0,0,INDEX($AB$2:$AB$11,$MW59))</f>
        <v/>
      </c>
      <c r="NV59" s="152">
        <f>IFERROR(VLOOKUP($MO59,$BC$2:$BG$24,3,FALSE),0)</f>
        <v/>
      </c>
      <c r="NW59" s="152">
        <f>IFERROR(VLOOKUP($MP59,$BC$2:$BG$24,3,FALSE),0)</f>
        <v/>
      </c>
      <c r="NX59" s="152">
        <f>IFERROR(VLOOKUP($MO59,$BC$2:$BG$24,2,FALSE),"")</f>
        <v/>
      </c>
      <c r="NY59" s="152">
        <f>IFERROR(VLOOKUP($MP59,$BC$2:$BG$24,2,FALSE),"")</f>
        <v/>
      </c>
      <c r="NZ59" s="152">
        <f>COUNTIF($NF59:$NJ59,1)</f>
        <v/>
      </c>
      <c r="OA59" s="152">
        <f>COUNTIF($NF59:$NJ59,2)</f>
        <v/>
      </c>
      <c r="OB59" s="152">
        <f>COUNTIF($NF59:$NJ59,3)</f>
        <v/>
      </c>
      <c r="OC59" s="152">
        <f>COUNTIF($NF59:$NJ59,4)</f>
        <v/>
      </c>
      <c r="OD59" s="152">
        <f>COUNTIF($NF59:$NJ59,5)</f>
        <v/>
      </c>
      <c r="OE59" s="152">
        <f>COUNTIF($NF59:$NJ59,6)</f>
        <v/>
      </c>
      <c r="OF59" s="152">
        <f>COUNTIF($NV59:$NW59,1)</f>
        <v/>
      </c>
      <c r="OG59" s="152">
        <f>COUNTIF($NV59:$NW59,2)+$NS59</f>
        <v/>
      </c>
      <c r="OH59" s="152">
        <f>COUNTIF($MK59:$MN59,"?*")</f>
        <v/>
      </c>
      <c r="OI59" s="152">
        <f>COUNTIF($MO59:$MP59,"?*")+$NS59</f>
        <v/>
      </c>
      <c r="OJ59" s="152">
        <f>IF($MF59=0,0,SUMPRODUCT($NZ59:$OE59,INDEX($I$2:$N$8,MAX(1,$MF59),0)))</f>
        <v/>
      </c>
      <c r="OK59" s="152">
        <f>IF($MF59=0,0,$OF59*CEILING($MF59/2,1)+$OG59*$MF59)</f>
        <v/>
      </c>
      <c r="OL59" s="152">
        <f>MIN(2*$MF59,$OK59)</f>
        <v/>
      </c>
      <c r="OM59" s="152">
        <f>MIN($OL59,$OJ59)</f>
        <v/>
      </c>
      <c r="ON59" s="152">
        <f>$OL59-$OM59</f>
        <v/>
      </c>
      <c r="OO59" s="152">
        <f>IF($MF59=0,0,INDEX($P$2:$P$8,MAX(1,$MF59)))</f>
        <v/>
      </c>
      <c r="OP59" s="152">
        <f>$OO59-$OJ59+$OM59</f>
        <v/>
      </c>
      <c r="OQ59" s="152">
        <f>IF($MF59=0,MAX(0,$MT59-IF($OH59&gt;0,1,0)),MAX(0,$OP59))</f>
        <v/>
      </c>
      <c r="OR59" s="152">
        <f>IF($MF59=0,0,(IF(COUNTIF($MK59:$MN59,"Salto")&gt;0,1,0)+IF(COUNTIF($MK59:$MN59,"Queima")&gt;0,1,0)+IF(COUNTIF($MK59:$MN59,"Estilhaço")&gt;0,1,0))*FLOOR($OQ59/2,1))</f>
        <v/>
      </c>
      <c r="OS59" s="152">
        <f>MAX(0,2-SUMPRODUCT($NZ59:$OE59,$I$2:$N$2)+MIN(2,$OF59*1+$OG59*1,SUMPRODUCT($NZ59:$OE59,$I$2:$N$2)))</f>
        <v/>
      </c>
      <c r="OT59" s="152">
        <f>MAX(0,4-SUMPRODUCT($NZ59:$OE59,$I$3:$N$3)+MIN(4,$OF59*1+$OG59*2,SUMPRODUCT($NZ59:$OE59,$I$3:$N$3)))</f>
        <v/>
      </c>
      <c r="OU59" s="152">
        <f>MAX(0,6-SUMPRODUCT($NZ59:$OE59,$I$4:$N$4)+MIN(6,$OF59*2+$OG59*3,SUMPRODUCT($NZ59:$OE59,$I$4:$N$4)))</f>
        <v/>
      </c>
      <c r="OV59" s="152">
        <f>MAX(0,9-SUMPRODUCT($NZ59:$OE59,$I$5:$N$5)+MIN(8,$OF59*2+$OG59*4,SUMPRODUCT($NZ59:$OE59,$I$5:$N$5)))</f>
        <v/>
      </c>
      <c r="OW59" s="152">
        <f>MAX(0,11-SUMPRODUCT($NZ59:$OE59,$I$6:$N$6)+MIN(10,$OF59*3+$OG59*5,SUMPRODUCT($NZ59:$OE59,$I$6:$N$6)))</f>
        <v/>
      </c>
      <c r="OX59" s="152">
        <f>MAX(0,13-SUMPRODUCT($NZ59:$OE59,$I$7:$N$7)+MIN(12,$OF59*3+$OG59*6,SUMPRODUCT($NZ59:$OE59,$I$7:$N$7)))</f>
        <v/>
      </c>
      <c r="OY59" s="152">
        <f>MAX(0,16-SUMPRODUCT($NZ59:$OE59,$I$8:$N$8)+MIN(14,$OF59*4+$OG59*7,SUMPRODUCT($NZ59:$OE59,$I$8:$N$8)))</f>
        <v/>
      </c>
      <c r="OZ59" s="152">
        <f>IF($NT59=2,3*$OS59&amp;" de vida temp.",IF($NT59=3,"sem dano",IF($OS59=0,IF($NT59=1,"sem cura","sem dano"),IF($NT59=1,"cura ","")&amp;$OS59&amp;"d8")))</f>
        <v/>
      </c>
      <c r="PA59" s="152">
        <f>IF($NT59=2,3*$OT59&amp;" de vida temp.",IF($NT59=3,"sem dano",IF($OT59=0,IF($NT59=1,"sem cura","sem dano"),IF($NT59=1,"cura ","")&amp;$OT59&amp;"d8")))</f>
        <v/>
      </c>
      <c r="PB59" s="152">
        <f>IF($NT59=2,3*$OU59&amp;" de vida temp.",IF($NT59=3,"sem dano",IF($OU59=0,IF($NT59=1,"sem cura","sem dano"),IF($NT59=1,"cura ","")&amp;$OU59&amp;"d8")))</f>
        <v/>
      </c>
      <c r="PC59" s="152">
        <f>IF($NT59=2,3*$OV59&amp;" de vida temp.",IF($NT59=3,"sem dano",IF($OV59=0,IF($NT59=1,"sem cura","sem dano"),IF($NT59=1,"cura ","")&amp;$OV59&amp;"d8")))</f>
        <v/>
      </c>
      <c r="PD59" s="152">
        <f>IF($NT59=2,3*$OW59&amp;" de vida temp.",IF($NT59=3,"sem dano",IF($OW59=0,IF($NT59=1,"sem cura","sem dano"),IF($NT59=1,"cura ","")&amp;$OW59&amp;"d8")))</f>
        <v/>
      </c>
      <c r="PE59" s="152">
        <f>IF($NT59=2,3*$OX59&amp;" de vida temp.",IF($NT59=3,"sem dano",IF($OX59=0,IF($NT59=1,"sem cura","sem dano"),IF($NT59=1,"cura ","")&amp;$OX59&amp;"d8")))</f>
        <v/>
      </c>
      <c r="PF59" s="152">
        <f>IF($NT59=2,3*$OY59&amp;" de vida temp.",IF($NT59=3,"sem dano",IF($OY59=0,IF($NT59=1,"sem cura","sem dano"),IF($NT59=1,"cura ","")&amp;$OY59&amp;"d8")))</f>
        <v/>
      </c>
      <c r="PG59" s="152">
        <f>IF($MQ59=0,"",TEXTJOIN(" · ",TRUE,IF($MD59&gt;$MR59,"Este lugar abre no nível "&amp;$MD59,""),IF($MF59&gt;$MS59,"Classe "&amp;$MF59&amp;": o nível "&amp;$MR59&amp;" libera até a "&amp;$MS59,""),IF($NK59=1,"A Forma "&amp;$MH59&amp;" pede "&amp;INDEX($W$2:$W$11,$MW59)&amp;" aberta",""),IF(AND($MF59=0,$MW59&gt;0,IF($MW59=0,0,INDEX($AF$2:$AF$11,$MW59))=0),$MH59&amp;" não existe na Classe 0",""),IF($NL59=1,"Família Fechada: "&amp;$MK59,""),IF($NM59=1,"Família Fechada: "&amp;$ML59,""),IF($NN59=1,"Família Fechada: "&amp;$MM59,""),IF($NO59=1,"Família Fechada: "&amp;$MN59,""),IF(AND($MF59&gt;0,$OH59&gt;INDEX($O$2:$O$8,MAX(1,$MF59))),$OH59&amp;" Melhorias: a Classe "&amp;$MF59&amp;" aceita "&amp;INDEX($O$2:$O$8,MAX(1,$MF59)),""),IF(AND($MF59=0,$OH59&gt;1),"A básica aceita uma Melhoria",""),IF(AND($MF59=0,COUNTIF($NB59:$NE59,"&gt;1")&gt;0),"A básica só aceita Melhoria Leve",""),IF(AND($MF59&gt;0,$OI59&gt;2),$OI59&amp;" Restrições"&amp;IF($NS59=1,", contando a que a Forma "&amp;$MH59&amp;" já traz","")&amp;": o limite é 2",""),IF(AND($MF59=0,COUNTIF($MO59:$MP59,"?*")&gt;1),"A básica aceita uma Restrição Leve",""),IF(AND($MF59=0,COUNTIF($NV59:$NW59,2)&gt;0),"A básica só aceita Restrição Leve",""),IF(AND($MF59&gt;0,$OP59&lt;0),"Orçamento estourado: faltam "&amp;(-$OP59)&amp;IF($OP59&lt;-1," pontos"," ponto"),""),IF(IFERROR(VLOOKUP($MO59,$BC$2:$BG$24,4,FALSE),0)+IFERROR(VLOOKUP($MP59,$BC$2:$BG$24,4,FALSE),0)&gt;1,$NX59&amp;" e "&amp;$NY59&amp;" são as duas de frequência",""),IF(AND((COUNTIF($MK59:$MN59,"Rápido")+COUNTIF($NX59:$NY59,"Rápido"))&gt;0,(COUNTIF($MK59:$MN59,"Atrasar")+COUNTIF($NX59:$NY59,"Atrasar"))&gt;0),"Rápido não entra com Atrasar",""),IF(AND((COUNTIF($MK59:$MN59,"Reação")+COUNTIF($NX59:$NY59,"Reação"))&gt;0,(COUNTIF($MK59:$MN59,"Rápido")+COUNTIF($NX59:$NY59,"Rápido"))&gt;0),"Reação não entra com Rápido",""),IF(AND((COUNTIF($MK59:$MN59,"Reação")+COUNTIF($NX59:$NY59,"Reação"))&gt;0,(COUNTIF($MK59:$MN59,"Armado")+COUNTIF($NX59:$NY59,"Armado"))&gt;0),"Reação não entra com Armado",""),IF(AND((COUNTIF($MK59:$MN59,"Reação")+COUNTIF($NX59:$NY59,"Reação"))&gt;0,(COUNTIF($MK59:$MN59,"Atrasar")+COUNTIF($NX59:$NY59,"Atrasar"))&gt;0),"Reação não entra com Atrasar",""),IF(AND((COUNTIF($MK59:$MN59,"Reação")+COUNTIF($NX59:$NY59,"Reação"))&gt;0,(COUNTIF($MK59:$MN59,"Parado")+COUNTIF($NX59:$NY59,"Parado"))&gt;0),"Reação não entra com Parado",""),IF(AND((COUNTIF($MK59:$MN59,"Atrasar")+COUNTIF($NX59:$NY59,"Atrasar"))&gt;0,(COUNTIF($MK59:$MN59,"Parado")+COUNTIF($NX59:$NY59,"Parado"))&gt;0),"Atrasar não entra com Parado",""),IF(AND((COUNTIF($MK59:$MN59,"Armado")+COUNTIF($NX59:$NY59,"Armado"))&gt;0,(COUNTIF($MK59:$MN59,"Carregar")+COUNTIF($NX59:$NY59,"Carregar"))&gt;0),"Armado não entra com Carregar",""),IF(AND(COUNTIF($NX59:$NY59,"Corpo a Corpo")&gt;0,$NS59=0,OR($MH59="Cone",$MH59="Linha")),"Corpo a Corpo não entra em "&amp;$MH59,""),IF(AND(COUNTIF($NX59:$NY59,"Corpo a Corpo")&gt;0,$NS59=1),"A Forma "&amp;$MH59&amp;" já traz o Corpo a Corpo",""),IF(AND(COUNTIF($NX59:$NY59,"Tudo ou Nada")&gt;0,$NU59=0),"Tudo ou Nada só entra em habilidade de Teste de Resistência",""),IF(AND(COUNTIF($MK59:$MN59,"Inescapável")&gt;0,OR($OH59&gt;1,$OI59&gt;0)),"Inescapável não aceita outra peça",""),IF(AND($MF59&gt;0,$OQ59*IF(COUNTIF($MK59:$MN59,"Remate")&gt;0,1.25,1)+$OR59&gt;4*$MF59),($OQ59*IF(COUNTIF($MK59:$MN59,"Remate")&gt;0,1.25,1)+$OR59)&amp;" dados somando repetições"&amp;IF(COUNTIF($MK59:$MN59,"Remate")&gt;0," e o Remate","")&amp;": o teto da Classe "&amp;$MF59&amp;" é "&amp;4*$MF59,"")))</f>
        <v/>
      </c>
      <c r="PH59" s="152">
        <f>IF($PG59="",0,(LEN($PG59)-LEN(SUBSTITUTE($PG59," · ","")))/3+1)</f>
        <v/>
      </c>
      <c r="PI59" s="152">
        <f>IF($MQ59=0,"",TEXTJOIN(" · ",TRUE,IF($OK59&gt;2*$MF59,"A devolução parou no teto de "&amp;2*$MF59,""),IF($ON59&gt;0,"Devolução perdida: "&amp;$ON59&amp;IF($ON59&gt;1," pontos"," ponto")&amp;" sem peça para pagar",""),IF(AND($NP59&gt;0,AND($MF59&gt;0,$NT59=0),$OQ59=0),"Controle sem dano: uma rodada a mais e CD +2",""),IF(AND($NP59&gt;0,AND($MF59&gt;0,$NT59=0),$OQ59&gt;0,$OQ59&lt;=$MF59),"Controle com saldo até a Classe: uma rodada a mais",""),IF(AND($MF59&gt;0,$NR59&lt;&gt;""),"Efeito de "&amp;$NR59&amp;" pela Classe "&amp;MAX(1,$MF59-1),"")))</f>
        <v/>
      </c>
      <c r="PJ59" s="152">
        <f>IF($PI59="",0,(LEN($PI59)-LEN(SUBSTITUTE($PI59," · ","")))/3+1)</f>
        <v/>
      </c>
      <c r="PK59" s="152">
        <f>IF($MQ59=0,IF($OH59+COUNTIF($MO59:$MP59,"?*")&gt;0,"Dê um nome",""),IF($PH59&gt;0,"⚠ "&amp;$PH59&amp;IF($PH59&gt;1," erros"," erro"),IF($PJ59&gt;0,"! "&amp;$PJ59&amp;IF($PJ59&gt;1," avisos"," aviso"),"Na regra")))</f>
        <v/>
      </c>
      <c r="PL59" s="152">
        <f>IF($MQ59=0,"",IF($PH59+$PJ59=0,"Dentro das regras que a ficha confere",$PG59&amp;IF(AND($PH59&gt;0,$PJ59&gt;0)," · ","")&amp;$PI59))</f>
        <v/>
      </c>
      <c r="PM59" s="152">
        <f>IF($MD59&gt;$MR59,$ME59&amp;" · ABRE NO NÍVEL "&amp;$MD59,$ME59)</f>
        <v/>
      </c>
      <c r="PN59" s="152">
        <f>IF($MQ59=0,"",IF($MF59=0,"Sem PE",3*$MF59&amp;" PE"))</f>
        <v/>
      </c>
      <c r="PO59" s="152">
        <f>IF($MQ59=0,"",IF($MF59=0,"A atuação básica dela",IF(COUNTIF($NX59:$NY59,"Atrasar")&gt;0,"Sua Ação Completa",IF(COUNTIF($MK59:$MN59,"Rápido")&gt;0,"Sua Bônus",IF(COUNTIF($MK59:$MN59,"Reação")&gt;0,"Sua Reação","Sua Padrão")))&amp;" + a básica dela"&amp;IF(COUNTIF($MK59:$MN59,"Reação")&gt;0," e a coletiva","")&amp;IF(COUNTIF($NX59:$NY59,"Carregar")&gt;0," · em dois turnos","")))</f>
        <v/>
      </c>
      <c r="PP59" s="152">
        <f>IF($MJ59&lt;&gt;"",$MJ59,IF($MW59=0,"",INDEX($AA$2:$AA$11,$MW59)))</f>
        <v/>
      </c>
      <c r="PQ59" s="152">
        <f>IF(OR($MQ59=0,$MW59=0),"",IF(COUNTIF($MK59:$MN59,"Inescapável")&gt;0,"Automático",IF($PP59="Ataque",IF($MU59="","Ataque","Ataque "&amp;IF(($MU59+2*IF(COUNTIF($MK59:$MN59,"Precisão")&gt;0,1,0))&gt;=0,"+","−")&amp;ABS(($MU59+2*IF(COUNTIF($MK59:$MN59,"Precisão")&gt;0,1,0))))&amp;IF($NQ59&gt;0," · TR"&amp;IF($MV59="",""," CD "&amp;$MV59),""),IF(LEFT($PP59,2)="TR",$PP59&amp;IF($MV59="",""," · CD "&amp;$MV59)&amp;IF(COUNTIF($MK59:$MN59,"Certeiro")&gt;0," · metade",""),"Sem rolagem"))))</f>
        <v/>
      </c>
      <c r="PR59" s="152">
        <f>IF(OR($MQ59=0,$MW59=0),"",IF($MF59=0,IF(OR($NT59&gt;=1,$OQ59=0),"Sem dano",$OQ59&amp;"d6"&amp;IF($MI59="",""," "&amp;$MI59)),IF(OR($NT59&gt;=1,$OQ59=0),UPPER(LEFT(INDEX($OZ59:$PF59,1,MAX(1,$MF59)),1))&amp;MID(INDEX($OZ59:$PF59,1,MAX(1,$MF59)),2,99),UPPER(LEFT(INDEX($OZ59:$PF59,1,MAX(1,$MF59)),1))&amp;MID(INDEX($OZ59:$PF59,1,MAX(1,$MF59)),2,99)&amp;IF($MI59="",""," "&amp;$MI59)&amp;IF($OR59&gt;0," · +"&amp;$OR59&amp;"d8",""))))</f>
        <v/>
      </c>
      <c r="PS59" s="152">
        <f>COUNTIF($MK59:$MN59,"Longe")+3*COUNTIF($MK59:$MN59,"Muito Longe")</f>
        <v/>
      </c>
      <c r="PT59" s="152">
        <f>COUNTIF($MK59:$MN59,"Maior")+3*COUNTIF($MK59:$MN59,"Muito Maior")</f>
        <v/>
      </c>
      <c r="PU59" s="152">
        <f>IF($MW59=0,0,CHOOSE(1+INDEX($AC$2:$AC$11,$MW59),0,$PS59,$PT59,$PS59+$PT59))</f>
        <v/>
      </c>
      <c r="PV59" s="152">
        <f>IF($MW59=0,0,CHOOSE(1+INDEX($AD$2:$AD$11,$MW59),0,$PS59,$PT59,$PS59+$PT59))</f>
        <v/>
      </c>
      <c r="PW59" s="152">
        <f>IF(OR($MQ59=0,$MW59=0),"",INDEX($AI$2:$AN$41,($MW59-1)*4+IF($MF59=0,1,IF($MF59&lt;=5,2,IF($MF59=6,3,4))),1+MIN(5,$PU59))&amp;INDEX($AO$2:$AT$41,($MW59-1)*4+IF($MF59=0,1,IF($MF59&lt;=5,2,IF($MF59=6,3,4))),1+MIN(5,$PV59))&amp;IF(INDEX($AE$2:$AE$11,$MW59)=1,IF(COUNTIF($MK59:$MN59,"Mais Um")&gt;0," · +"&amp;COUNTIF($MK59:$MN59,"Mais Um")&amp;IF(COUNTIF($MK59:$MN59,"Mais Um")&gt;1," alvos"," alvo"),"")&amp;IF(COUNTIF($MK59:$MN59,"Rajada")&gt;0,IF($MF59=0," · 1 tiro"," · "&amp;(MAX(1,$MF59-1)+1)&amp;" tiros"),""),""))</f>
        <v/>
      </c>
      <c r="PX59" s="152">
        <f>IF($MQ59=0,"",IF($MF59=0,$MT59&amp;"d6"&amp;IF($OH59&gt;0," − 1 = "&amp;$OQ59&amp;"d6"," da básica do nível "&amp;$MR59),$OO59&amp;" − "&amp;$OJ59&amp;" + "&amp;$OM59&amp;" = "&amp;$OP59&amp;" · teto "&amp;4*$MF59&amp;"d8"&amp;IF($NS59=1," · a Forma devolve "&amp;$MF59,"")&amp;IF($ON59&gt;0," · perde "&amp;$ON59,"")))</f>
        <v/>
      </c>
      <c r="PY59" s="152">
        <f>IF($MQ59=0,"",IF($MF59=0,"A básica não amplia: os dados dela sobem com o nível",IF($MF59&gt;=$MS59,"Já está na maior Classe que o nível liberou",TEXTJOIN(" · ",TRUE,IF(AND(2&gt;$MF59,2&lt;=$MS59),"2 → "&amp;$PA59&amp;", 6 PE",""),IF(AND(3&gt;$MF59,3&lt;=$MS59),"3 → "&amp;$PB59&amp;", 9 PE",""),IF(AND(4&gt;$MF59,4&lt;=$MS59),"4 → "&amp;$PC59&amp;", 12 PE",""),IF(AND(5&gt;$MF59,5&lt;=$MS59),"5 → "&amp;$PD59&amp;", 15 PE",""),IF(AND(6&gt;$MF59,6&lt;=$MS59),"6 → "&amp;$PE59&amp;", 18 PE",""),IF(AND(7&gt;$MF59,7&lt;=$MS59),"7 → "&amp;$PF59&amp;", 21 PE","")))))</f>
        <v/>
      </c>
      <c r="PZ59" s="152">
        <f>IF(OR($MQ59=0,$NB59=0),"",IF($MF59=0,"−1 dado","−"&amp;INDEX($I$2:$N$8,MAX(1,$MF59),MAX(1,$NG59))&amp;" · "&amp;CHOOSE(MAX(1,$NG59),"Leve","Média","Pesada","Leve · Livre","Média · Livre","Pesada · Livre")))</f>
        <v/>
      </c>
      <c r="QA59" s="152">
        <f>IF(OR($MQ59=0,$NC59=0),"",IF($MF59=0,"−1 dado","−"&amp;INDEX($I$2:$N$8,MAX(1,$MF59),MAX(1,$NH59))&amp;" · "&amp;CHOOSE(MAX(1,$NH59),"Leve","Média","Pesada","Leve · Livre","Média · Livre","Pesada · Livre")))</f>
        <v/>
      </c>
      <c r="QB59" s="152">
        <f>IF(OR($MQ59=0,$ND59=0),"",IF($MF59=0,"−1 dado","−"&amp;INDEX($I$2:$N$8,MAX(1,$MF59),MAX(1,$NI59))&amp;" · "&amp;CHOOSE(MAX(1,$NI59),"Leve","Média","Pesada","Leve · Livre","Média · Livre","Pesada · Livre")))</f>
        <v/>
      </c>
      <c r="QC59" s="152">
        <f>IF(OR($MQ59=0,$NE59=0),"",IF($MF59=0,"−1 dado","−"&amp;INDEX($I$2:$N$8,MAX(1,$MF59),MAX(1,$NJ59))&amp;" · "&amp;CHOOSE(MAX(1,$NJ59),"Leve","Média","Pesada","Leve · Livre","Média · Livre","Pesada · Livre")))</f>
        <v/>
      </c>
      <c r="QD59" s="152">
        <f>IF(OR($MQ59=0,$MO59=""),"",IF($MF59=0,"não devolve","+"&amp;IF($NV59=1,CEILING($MF59/2,1),$MF59)))</f>
        <v/>
      </c>
      <c r="QE59" s="152">
        <f>IF(OR($MQ59=0,$MP59=""),"",IF($MF59=0,"não devolve","+"&amp;IF($NW59=1,CEILING($MF59/2,1),$MF59)))</f>
        <v/>
      </c>
    </row>
    <row r="60">
      <c r="AV60" s="150" t="inlineStr">
        <is>
          <t>Rápido</t>
        </is>
      </c>
      <c r="AW60" s="150" t="inlineStr">
        <is>
          <t>Tempo</t>
        </is>
      </c>
      <c r="AX60" s="152" t="n">
        <v>3</v>
      </c>
      <c r="AY60" s="152" t="n">
        <v>0</v>
      </c>
      <c r="AZ60" s="152" t="n">
        <v>0</v>
      </c>
      <c r="BA60" s="152" t="n">
        <v>0</v>
      </c>
      <c r="JG60" s="152">
        <f>IF(OR($AW60="",COUNTIF($EF$2:$EJ$2,$AW60)&gt;0),$AV60,"")</f>
        <v/>
      </c>
      <c r="JH60" s="152">
        <f>IF(AND($AX60=1,OR($AW60="",COUNTIF($EF$2:$EJ$2,$AW60)&gt;0)),$AV60,"")</f>
        <v/>
      </c>
      <c r="JM60" s="152">
        <f>IF(OR($AW60="",COUNTIF($EF$3:$EJ$3,$AW60)&gt;0),$AV60,"")</f>
        <v/>
      </c>
      <c r="JN60" s="152">
        <f>IF(AND($AX60=1,OR($AW60="",COUNTIF($EF$3:$EJ$3,$AW60)&gt;0)),$AV60,"")</f>
        <v/>
      </c>
      <c r="JS60" s="152">
        <f>IF(OR($AW60="",COUNTIF($EF$4:$EJ$4,$AW60)&gt;0),$AV60,"")</f>
        <v/>
      </c>
      <c r="JT60" s="152">
        <f>IF(AND($AX60=1,OR($AW60="",COUNTIF($EF$4:$EJ$4,$AW60)&gt;0)),$AV60,"")</f>
        <v/>
      </c>
      <c r="JY60" s="152">
        <f>IF(OR($AW60="",COUNTIF($EF$5:$EJ$5,$AW60)&gt;0),$AV60,"")</f>
        <v/>
      </c>
      <c r="JZ60" s="152">
        <f>IF(AND($AX60=1,OR($AW60="",COUNTIF($EF$5:$EJ$5,$AW60)&gt;0)),$AV60,"")</f>
        <v/>
      </c>
      <c r="KE60" s="152">
        <f>IF(OR($AW60="",COUNTIF($EF$6:$EJ$6,$AW60)&gt;0),$AV60,"")</f>
        <v/>
      </c>
      <c r="KF60" s="152">
        <f>IF(AND($AX60=1,OR($AW60="",COUNTIF($EF$6:$EJ$6,$AW60)&gt;0)),$AV60,"")</f>
        <v/>
      </c>
      <c r="KK60" s="152">
        <f>IF(OR($AW60="",COUNTIF($EF$7:$EJ$7,$AW60)&gt;0),$AV60,"")</f>
        <v/>
      </c>
      <c r="KL60" s="152">
        <f>IF(AND($AX60=1,OR($AW60="",COUNTIF($EF$7:$EJ$7,$AW60)&gt;0)),$AV60,"")</f>
        <v/>
      </c>
      <c r="KQ60" s="152">
        <f>IF(OR($AW60="",COUNTIF($EF$8:$EJ$8,$AW60)&gt;0),$AV60,"")</f>
        <v/>
      </c>
      <c r="KR60" s="152">
        <f>IF(AND($AX60=1,OR($AW60="",COUNTIF($EF$8:$EJ$8,$AW60)&gt;0)),$AV60,"")</f>
        <v/>
      </c>
      <c r="KW60" s="152">
        <f>IF(OR($AW60="",COUNTIF($EF$9:$EJ$9,$AW60)&gt;0),$AV60,"")</f>
        <v/>
      </c>
      <c r="KX60" s="152">
        <f>IF(AND($AX60=1,OR($AW60="",COUNTIF($EF$9:$EJ$9,$AW60)&gt;0)),$AV60,"")</f>
        <v/>
      </c>
      <c r="LC60" s="152">
        <f>IF(OR($AW60="",COUNTIF($EF$10:$EJ$10,$AW60)&gt;0),$AV60,"")</f>
        <v/>
      </c>
      <c r="LD60" s="152">
        <f>IF(AND($AX60=1,OR($AW60="",COUNTIF($EF$10:$EJ$10,$AW60)&gt;0)),$AV60,"")</f>
        <v/>
      </c>
      <c r="LI60" s="152">
        <f>IF(OR($AW60="",COUNTIF($EF$11:$EJ$11,$AW60)&gt;0),$AV60,"")</f>
        <v/>
      </c>
      <c r="LJ60" s="152">
        <f>IF(AND($AX60=1,OR($AW60="",COUNTIF($EF$11:$EJ$11,$AW60)&gt;0)),$AV60,"")</f>
        <v/>
      </c>
      <c r="LO60" s="152">
        <f>IF(OR($AW60="",COUNTIF($EF$12:$EJ$12,$AW60)&gt;0),$AV60,"")</f>
        <v/>
      </c>
      <c r="LP60" s="152">
        <f>IF(AND($AX60=1,OR($AW60="",COUNTIF($EF$12:$EJ$12,$AW60)&gt;0)),$AV60,"")</f>
        <v/>
      </c>
      <c r="LU60" s="152">
        <f>IF(OR($AW60="",COUNTIF($EF$13:$EJ$13,$AW60)&gt;0),$AV60,"")</f>
        <v/>
      </c>
      <c r="LV60" s="152">
        <f>IF(AND($AX60=1,OR($AW60="",COUNTIF($EF$13:$EJ$13,$AW60)&gt;0)),$AV60,"")</f>
        <v/>
      </c>
      <c r="MA60" s="150" t="inlineStr">
        <is>
          <t>Ficha 5 · Especial 5</t>
        </is>
      </c>
      <c r="MB60" s="152" t="n">
        <v>5</v>
      </c>
      <c r="MC60" s="152" t="n">
        <v>1</v>
      </c>
      <c r="MD60" s="152" t="n">
        <v>16</v>
      </c>
      <c r="ME60" s="150" t="inlineStr">
        <is>
          <t>ESPECIAL 5</t>
        </is>
      </c>
      <c r="MF60" s="152">
        <f>MAX(1,MIN(7,N('INVOCAÇÕES'!$I$906)))</f>
        <v/>
      </c>
      <c r="MG60" s="152">
        <f>'INVOCAÇÕES'!$J$906&amp;""</f>
        <v/>
      </c>
      <c r="MH60" s="152">
        <f>'INVOCAÇÕES'!$I$911&amp;""</f>
        <v/>
      </c>
      <c r="MI60" s="152">
        <f>'INVOCAÇÕES'!$I$912&amp;""</f>
        <v/>
      </c>
      <c r="MJ60" s="152">
        <f>'INVOCAÇÕES'!$K$912&amp;""</f>
        <v/>
      </c>
      <c r="MK60" s="152">
        <f>'INVOCAÇÕES'!$J$915&amp;""</f>
        <v/>
      </c>
      <c r="ML60" s="152">
        <f>'INVOCAÇÕES'!$J$916&amp;""</f>
        <v/>
      </c>
      <c r="MM60" s="152">
        <f>'INVOCAÇÕES'!$J$917&amp;""</f>
        <v/>
      </c>
      <c r="MN60" s="152">
        <f>'INVOCAÇÕES'!$J$918&amp;""</f>
        <v/>
      </c>
      <c r="MO60" s="152">
        <f>'INVOCAÇÕES'!$J$919&amp;""</f>
        <v/>
      </c>
      <c r="MP60" s="152">
        <f>'INVOCAÇÕES'!$J$920&amp;""</f>
        <v/>
      </c>
      <c r="MQ60" s="152">
        <f>IF($MG60&lt;&gt;"",1,0)</f>
        <v/>
      </c>
      <c r="MR60" s="152">
        <f>INDEX($FI$2:$FI$13,$MB60)</f>
        <v/>
      </c>
      <c r="MS60" s="152">
        <f>INDEX($FJ$2:$FJ$13,$MB60)</f>
        <v/>
      </c>
      <c r="MT60" s="152">
        <f>INDEX($FK$2:$FK$13,$MB60)</f>
        <v/>
      </c>
      <c r="MU60" s="152">
        <f>INDEX($FV$2:$FV$13,$MB60)</f>
        <v/>
      </c>
      <c r="MV60" s="152">
        <f>INDEX($FW$2:$FW$13,$MB60)</f>
        <v/>
      </c>
      <c r="MW60" s="152">
        <f>IFERROR(MATCH($MH60,$V$2:$V$11,0),0)</f>
        <v/>
      </c>
      <c r="MX60" s="152">
        <f>IFERROR(VLOOKUP($MK60,$AV$2:$BA$84,2,FALSE),"")</f>
        <v/>
      </c>
      <c r="MY60" s="152">
        <f>IFERROR(VLOOKUP($ML60,$AV$2:$BA$84,2,FALSE),"")</f>
        <v/>
      </c>
      <c r="MZ60" s="152">
        <f>IFERROR(VLOOKUP($MM60,$AV$2:$BA$84,2,FALSE),"")</f>
        <v/>
      </c>
      <c r="NA60" s="152">
        <f>IFERROR(VLOOKUP($MN60,$AV$2:$BA$84,2,FALSE),"")</f>
        <v/>
      </c>
      <c r="NB60" s="152">
        <f>IFERROR(VLOOKUP($MK60,$AV$2:$BA$84,3,FALSE),0)</f>
        <v/>
      </c>
      <c r="NC60" s="152">
        <f>IFERROR(VLOOKUP($ML60,$AV$2:$BA$84,3,FALSE),0)</f>
        <v/>
      </c>
      <c r="ND60" s="152">
        <f>IFERROR(VLOOKUP($MM60,$AV$2:$BA$84,3,FALSE),0)</f>
        <v/>
      </c>
      <c r="NE60" s="152">
        <f>IFERROR(VLOOKUP($MN60,$AV$2:$BA$84,3,FALSE),0)</f>
        <v/>
      </c>
      <c r="NF60" s="152">
        <f>IF($MF60=0,0,IF($MW60=0,0,INDEX($X$2:$X$11,$MW60)))</f>
        <v/>
      </c>
      <c r="NG60" s="152">
        <f>IF(OR($NB60=0,$MF60=0),0,$NB60+3*IF(AND($MX60&lt;&gt;"",OR($MX60=INDEX($EF$2:$EF$13,$MB60),$MX60=INDEX($EG$2:$EG$13,$MB60))),1,0))</f>
        <v/>
      </c>
      <c r="NH60" s="152">
        <f>IF(OR($NC60=0,$MF60=0),0,$NC60+3*IF(AND($MY60&lt;&gt;"",OR($MY60=INDEX($EF$2:$EF$13,$MB60),$MY60=INDEX($EG$2:$EG$13,$MB60))),1,0))</f>
        <v/>
      </c>
      <c r="NI60" s="152">
        <f>IF(OR($ND60=0,$MF60=0),0,$ND60+3*IF(AND($MZ60&lt;&gt;"",OR($MZ60=INDEX($EF$2:$EF$13,$MB60),$MZ60=INDEX($EG$2:$EG$13,$MB60))),1,0))</f>
        <v/>
      </c>
      <c r="NJ60" s="152">
        <f>IF(OR($NE60=0,$MF60=0),0,$NE60+3*IF(AND($NA60&lt;&gt;"",OR($NA60=INDEX($EF$2:$EF$13,$MB60),$NA60=INDEX($EG$2:$EG$13,$MB60))),1,0))</f>
        <v/>
      </c>
      <c r="NK60" s="152">
        <f>IF($MW60=0,0,IF(INDEX($W$2:$W$11,$MW60)="",0,IF(COUNTIF(INDEX($EF$2:$EJ$13,$MB60,0),INDEX($W$2:$W$11,$MW60))=0,1,0)))</f>
        <v/>
      </c>
      <c r="NL60" s="152">
        <f>IF(OR($NB60=0,$MX60=""),0,IF(COUNTIF(INDEX($EF$2:$EJ$13,$MB60,0),$MX60)=0,1,0))</f>
        <v/>
      </c>
      <c r="NM60" s="152">
        <f>IF(OR($NC60=0,$MY60=""),0,IF(COUNTIF(INDEX($EF$2:$EJ$13,$MB60,0),$MY60)=0,1,0))</f>
        <v/>
      </c>
      <c r="NN60" s="152">
        <f>IF(OR($ND60=0,$MZ60=""),0,IF(COUNTIF(INDEX($EF$2:$EJ$13,$MB60,0),$MZ60)=0,1,0))</f>
        <v/>
      </c>
      <c r="NO60" s="152">
        <f>IF(OR($NE60=0,$NA60=""),0,IF(COUNTIF(INDEX($EF$2:$EJ$13,$MB60,0),$NA60)=0,1,0))</f>
        <v/>
      </c>
      <c r="NP60" s="152">
        <f>IFERROR(VLOOKUP($MK60,$AV$2:$BA$84,4,FALSE),0)+IFERROR(VLOOKUP($ML60,$AV$2:$BA$84,4,FALSE),0)+IFERROR(VLOOKUP($MM60,$AV$2:$BA$84,4,FALSE),0)+IFERROR(VLOOKUP($MN60,$AV$2:$BA$84,4,FALSE),0)</f>
        <v/>
      </c>
      <c r="NQ60" s="152">
        <f>IFERROR(VLOOKUP($MK60,$AV$2:$BA$84,6,FALSE),0)+IFERROR(VLOOKUP($ML60,$AV$2:$BA$84,6,FALSE),0)+IFERROR(VLOOKUP($MM60,$AV$2:$BA$84,6,FALSE),0)+IFERROR(VLOOKUP($MN60,$AV$2:$BA$84,6,FALSE),0)</f>
        <v/>
      </c>
      <c r="NR60" s="152">
        <f>TEXTJOIN(", ",TRUE,IF(IFERROR(VLOOKUP($MK60,$AV$2:$BA$84,5,FALSE),0)=1,$MK60,""),IF(IFERROR(VLOOKUP($ML60,$AV$2:$BA$84,5,FALSE),0)=1,$ML60,""),IF(IFERROR(VLOOKUP($MM60,$AV$2:$BA$84,5,FALSE),0)=1,$MM60,""),IF(IFERROR(VLOOKUP($MN60,$AV$2:$BA$84,5,FALSE),0)=1,$MN60,""))</f>
        <v/>
      </c>
      <c r="NS60" s="152">
        <f>IF($MW60=0,0,INDEX($Y$2:$Y$11,$MW60))</f>
        <v/>
      </c>
      <c r="NT60" s="152">
        <f>IF($MW60=0,0,INDEX($Z$2:$Z$11,$MW60))</f>
        <v/>
      </c>
      <c r="NU60" s="152">
        <f>IF($MW60=0,0,INDEX($AB$2:$AB$11,$MW60))</f>
        <v/>
      </c>
      <c r="NV60" s="152">
        <f>IFERROR(VLOOKUP($MO60,$BC$2:$BG$24,3,FALSE),0)</f>
        <v/>
      </c>
      <c r="NW60" s="152">
        <f>IFERROR(VLOOKUP($MP60,$BC$2:$BG$24,3,FALSE),0)</f>
        <v/>
      </c>
      <c r="NX60" s="152">
        <f>IFERROR(VLOOKUP($MO60,$BC$2:$BG$24,2,FALSE),"")</f>
        <v/>
      </c>
      <c r="NY60" s="152">
        <f>IFERROR(VLOOKUP($MP60,$BC$2:$BG$24,2,FALSE),"")</f>
        <v/>
      </c>
      <c r="NZ60" s="152">
        <f>COUNTIF($NF60:$NJ60,1)</f>
        <v/>
      </c>
      <c r="OA60" s="152">
        <f>COUNTIF($NF60:$NJ60,2)</f>
        <v/>
      </c>
      <c r="OB60" s="152">
        <f>COUNTIF($NF60:$NJ60,3)</f>
        <v/>
      </c>
      <c r="OC60" s="152">
        <f>COUNTIF($NF60:$NJ60,4)</f>
        <v/>
      </c>
      <c r="OD60" s="152">
        <f>COUNTIF($NF60:$NJ60,5)</f>
        <v/>
      </c>
      <c r="OE60" s="152">
        <f>COUNTIF($NF60:$NJ60,6)</f>
        <v/>
      </c>
      <c r="OF60" s="152">
        <f>COUNTIF($NV60:$NW60,1)</f>
        <v/>
      </c>
      <c r="OG60" s="152">
        <f>COUNTIF($NV60:$NW60,2)+$NS60</f>
        <v/>
      </c>
      <c r="OH60" s="152">
        <f>COUNTIF($MK60:$MN60,"?*")</f>
        <v/>
      </c>
      <c r="OI60" s="152">
        <f>COUNTIF($MO60:$MP60,"?*")+$NS60</f>
        <v/>
      </c>
      <c r="OJ60" s="152">
        <f>IF($MF60=0,0,SUMPRODUCT($NZ60:$OE60,INDEX($I$2:$N$8,MAX(1,$MF60),0)))</f>
        <v/>
      </c>
      <c r="OK60" s="152">
        <f>IF($MF60=0,0,$OF60*CEILING($MF60/2,1)+$OG60*$MF60)</f>
        <v/>
      </c>
      <c r="OL60" s="152">
        <f>MIN(2*$MF60,$OK60)</f>
        <v/>
      </c>
      <c r="OM60" s="152">
        <f>MIN($OL60,$OJ60)</f>
        <v/>
      </c>
      <c r="ON60" s="152">
        <f>$OL60-$OM60</f>
        <v/>
      </c>
      <c r="OO60" s="152">
        <f>IF($MF60=0,0,INDEX($P$2:$P$8,MAX(1,$MF60)))</f>
        <v/>
      </c>
      <c r="OP60" s="152">
        <f>$OO60-$OJ60+$OM60</f>
        <v/>
      </c>
      <c r="OQ60" s="152">
        <f>IF($MF60=0,MAX(0,$MT60-IF($OH60&gt;0,1,0)),MAX(0,$OP60))</f>
        <v/>
      </c>
      <c r="OR60" s="152">
        <f>IF($MF60=0,0,(IF(COUNTIF($MK60:$MN60,"Salto")&gt;0,1,0)+IF(COUNTIF($MK60:$MN60,"Queima")&gt;0,1,0)+IF(COUNTIF($MK60:$MN60,"Estilhaço")&gt;0,1,0))*FLOOR($OQ60/2,1))</f>
        <v/>
      </c>
      <c r="OS60" s="152">
        <f>MAX(0,2-SUMPRODUCT($NZ60:$OE60,$I$2:$N$2)+MIN(2,$OF60*1+$OG60*1,SUMPRODUCT($NZ60:$OE60,$I$2:$N$2)))</f>
        <v/>
      </c>
      <c r="OT60" s="152">
        <f>MAX(0,4-SUMPRODUCT($NZ60:$OE60,$I$3:$N$3)+MIN(4,$OF60*1+$OG60*2,SUMPRODUCT($NZ60:$OE60,$I$3:$N$3)))</f>
        <v/>
      </c>
      <c r="OU60" s="152">
        <f>MAX(0,6-SUMPRODUCT($NZ60:$OE60,$I$4:$N$4)+MIN(6,$OF60*2+$OG60*3,SUMPRODUCT($NZ60:$OE60,$I$4:$N$4)))</f>
        <v/>
      </c>
      <c r="OV60" s="152">
        <f>MAX(0,9-SUMPRODUCT($NZ60:$OE60,$I$5:$N$5)+MIN(8,$OF60*2+$OG60*4,SUMPRODUCT($NZ60:$OE60,$I$5:$N$5)))</f>
        <v/>
      </c>
      <c r="OW60" s="152">
        <f>MAX(0,11-SUMPRODUCT($NZ60:$OE60,$I$6:$N$6)+MIN(10,$OF60*3+$OG60*5,SUMPRODUCT($NZ60:$OE60,$I$6:$N$6)))</f>
        <v/>
      </c>
      <c r="OX60" s="152">
        <f>MAX(0,13-SUMPRODUCT($NZ60:$OE60,$I$7:$N$7)+MIN(12,$OF60*3+$OG60*6,SUMPRODUCT($NZ60:$OE60,$I$7:$N$7)))</f>
        <v/>
      </c>
      <c r="OY60" s="152">
        <f>MAX(0,16-SUMPRODUCT($NZ60:$OE60,$I$8:$N$8)+MIN(14,$OF60*4+$OG60*7,SUMPRODUCT($NZ60:$OE60,$I$8:$N$8)))</f>
        <v/>
      </c>
      <c r="OZ60" s="152">
        <f>IF($NT60=2,3*$OS60&amp;" de vida temp.",IF($NT60=3,"sem dano",IF($OS60=0,IF($NT60=1,"sem cura","sem dano"),IF($NT60=1,"cura ","")&amp;$OS60&amp;"d8")))</f>
        <v/>
      </c>
      <c r="PA60" s="152">
        <f>IF($NT60=2,3*$OT60&amp;" de vida temp.",IF($NT60=3,"sem dano",IF($OT60=0,IF($NT60=1,"sem cura","sem dano"),IF($NT60=1,"cura ","")&amp;$OT60&amp;"d8")))</f>
        <v/>
      </c>
      <c r="PB60" s="152">
        <f>IF($NT60=2,3*$OU60&amp;" de vida temp.",IF($NT60=3,"sem dano",IF($OU60=0,IF($NT60=1,"sem cura","sem dano"),IF($NT60=1,"cura ","")&amp;$OU60&amp;"d8")))</f>
        <v/>
      </c>
      <c r="PC60" s="152">
        <f>IF($NT60=2,3*$OV60&amp;" de vida temp.",IF($NT60=3,"sem dano",IF($OV60=0,IF($NT60=1,"sem cura","sem dano"),IF($NT60=1,"cura ","")&amp;$OV60&amp;"d8")))</f>
        <v/>
      </c>
      <c r="PD60" s="152">
        <f>IF($NT60=2,3*$OW60&amp;" de vida temp.",IF($NT60=3,"sem dano",IF($OW60=0,IF($NT60=1,"sem cura","sem dano"),IF($NT60=1,"cura ","")&amp;$OW60&amp;"d8")))</f>
        <v/>
      </c>
      <c r="PE60" s="152">
        <f>IF($NT60=2,3*$OX60&amp;" de vida temp.",IF($NT60=3,"sem dano",IF($OX60=0,IF($NT60=1,"sem cura","sem dano"),IF($NT60=1,"cura ","")&amp;$OX60&amp;"d8")))</f>
        <v/>
      </c>
      <c r="PF60" s="152">
        <f>IF($NT60=2,3*$OY60&amp;" de vida temp.",IF($NT60=3,"sem dano",IF($OY60=0,IF($NT60=1,"sem cura","sem dano"),IF($NT60=1,"cura ","")&amp;$OY60&amp;"d8")))</f>
        <v/>
      </c>
      <c r="PG60" s="152">
        <f>IF($MQ60=0,"",TEXTJOIN(" · ",TRUE,IF($MD60&gt;$MR60,"Este lugar abre no nível "&amp;$MD60,""),IF($MF60&gt;$MS60,"Classe "&amp;$MF60&amp;": o nível "&amp;$MR60&amp;" libera até a "&amp;$MS60,""),IF($NK60=1,"A Forma "&amp;$MH60&amp;" pede "&amp;INDEX($W$2:$W$11,$MW60)&amp;" aberta",""),IF(AND($MF60=0,$MW60&gt;0,IF($MW60=0,0,INDEX($AF$2:$AF$11,$MW60))=0),$MH60&amp;" não existe na Classe 0",""),IF($NL60=1,"Família Fechada: "&amp;$MK60,""),IF($NM60=1,"Família Fechada: "&amp;$ML60,""),IF($NN60=1,"Família Fechada: "&amp;$MM60,""),IF($NO60=1,"Família Fechada: "&amp;$MN60,""),IF(AND($MF60&gt;0,$OH60&gt;INDEX($O$2:$O$8,MAX(1,$MF60))),$OH60&amp;" Melhorias: a Classe "&amp;$MF60&amp;" aceita "&amp;INDEX($O$2:$O$8,MAX(1,$MF60)),""),IF(AND($MF60=0,$OH60&gt;1),"A básica aceita uma Melhoria",""),IF(AND($MF60=0,COUNTIF($NB60:$NE60,"&gt;1")&gt;0),"A básica só aceita Melhoria Leve",""),IF(AND($MF60&gt;0,$OI60&gt;2),$OI60&amp;" Restrições"&amp;IF($NS60=1,", contando a que a Forma "&amp;$MH60&amp;" já traz","")&amp;": o limite é 2",""),IF(AND($MF60=0,COUNTIF($MO60:$MP60,"?*")&gt;1),"A básica aceita uma Restrição Leve",""),IF(AND($MF60=0,COUNTIF($NV60:$NW60,2)&gt;0),"A básica só aceita Restrição Leve",""),IF(AND($MF60&gt;0,$OP60&lt;0),"Orçamento estourado: faltam "&amp;(-$OP60)&amp;IF($OP60&lt;-1," pontos"," ponto"),""),IF(IFERROR(VLOOKUP($MO60,$BC$2:$BG$24,4,FALSE),0)+IFERROR(VLOOKUP($MP60,$BC$2:$BG$24,4,FALSE),0)&gt;1,$NX60&amp;" e "&amp;$NY60&amp;" são as duas de frequência",""),IF(AND((COUNTIF($MK60:$MN60,"Rápido")+COUNTIF($NX60:$NY60,"Rápido"))&gt;0,(COUNTIF($MK60:$MN60,"Atrasar")+COUNTIF($NX60:$NY60,"Atrasar"))&gt;0),"Rápido não entra com Atrasar",""),IF(AND((COUNTIF($MK60:$MN60,"Reação")+COUNTIF($NX60:$NY60,"Reação"))&gt;0,(COUNTIF($MK60:$MN60,"Rápido")+COUNTIF($NX60:$NY60,"Rápido"))&gt;0),"Reação não entra com Rápido",""),IF(AND((COUNTIF($MK60:$MN60,"Reação")+COUNTIF($NX60:$NY60,"Reação"))&gt;0,(COUNTIF($MK60:$MN60,"Armado")+COUNTIF($NX60:$NY60,"Armado"))&gt;0),"Reação não entra com Armado",""),IF(AND((COUNTIF($MK60:$MN60,"Reação")+COUNTIF($NX60:$NY60,"Reação"))&gt;0,(COUNTIF($MK60:$MN60,"Atrasar")+COUNTIF($NX60:$NY60,"Atrasar"))&gt;0),"Reação não entra com Atrasar",""),IF(AND((COUNTIF($MK60:$MN60,"Reação")+COUNTIF($NX60:$NY60,"Reação"))&gt;0,(COUNTIF($MK60:$MN60,"Parado")+COUNTIF($NX60:$NY60,"Parado"))&gt;0),"Reação não entra com Parado",""),IF(AND((COUNTIF($MK60:$MN60,"Atrasar")+COUNTIF($NX60:$NY60,"Atrasar"))&gt;0,(COUNTIF($MK60:$MN60,"Parado")+COUNTIF($NX60:$NY60,"Parado"))&gt;0),"Atrasar não entra com Parado",""),IF(AND((COUNTIF($MK60:$MN60,"Armado")+COUNTIF($NX60:$NY60,"Armado"))&gt;0,(COUNTIF($MK60:$MN60,"Carregar")+COUNTIF($NX60:$NY60,"Carregar"))&gt;0),"Armado não entra com Carregar",""),IF(AND(COUNTIF($NX60:$NY60,"Corpo a Corpo")&gt;0,$NS60=0,OR($MH60="Cone",$MH60="Linha")),"Corpo a Corpo não entra em "&amp;$MH60,""),IF(AND(COUNTIF($NX60:$NY60,"Corpo a Corpo")&gt;0,$NS60=1),"A Forma "&amp;$MH60&amp;" já traz o Corpo a Corpo",""),IF(AND(COUNTIF($NX60:$NY60,"Tudo ou Nada")&gt;0,$NU60=0),"Tudo ou Nada só entra em habilidade de Teste de Resistência",""),IF(AND(COUNTIF($MK60:$MN60,"Inescapável")&gt;0,OR($OH60&gt;1,$OI60&gt;0)),"Inescapável não aceita outra peça",""),IF(AND($MF60&gt;0,$OQ60*IF(COUNTIF($MK60:$MN60,"Remate")&gt;0,1.25,1)+$OR60&gt;4*$MF60),($OQ60*IF(COUNTIF($MK60:$MN60,"Remate")&gt;0,1.25,1)+$OR60)&amp;" dados somando repetições"&amp;IF(COUNTIF($MK60:$MN60,"Remate")&gt;0," e o Remate","")&amp;": o teto da Classe "&amp;$MF60&amp;" é "&amp;4*$MF60,"")))</f>
        <v/>
      </c>
      <c r="PH60" s="152">
        <f>IF($PG60="",0,(LEN($PG60)-LEN(SUBSTITUTE($PG60," · ","")))/3+1)</f>
        <v/>
      </c>
      <c r="PI60" s="152">
        <f>IF($MQ60=0,"",TEXTJOIN(" · ",TRUE,IF($OK60&gt;2*$MF60,"A devolução parou no teto de "&amp;2*$MF60,""),IF($ON60&gt;0,"Devolução perdida: "&amp;$ON60&amp;IF($ON60&gt;1," pontos"," ponto")&amp;" sem peça para pagar",""),IF(AND($NP60&gt;0,AND($MF60&gt;0,$NT60=0),$OQ60=0),"Controle sem dano: uma rodada a mais e CD +2",""),IF(AND($NP60&gt;0,AND($MF60&gt;0,$NT60=0),$OQ60&gt;0,$OQ60&lt;=$MF60),"Controle com saldo até a Classe: uma rodada a mais",""),IF(AND($MF60&gt;0,$NR60&lt;&gt;""),"Efeito de "&amp;$NR60&amp;" pela Classe "&amp;MAX(1,$MF60-1),"")))</f>
        <v/>
      </c>
      <c r="PJ60" s="152">
        <f>IF($PI60="",0,(LEN($PI60)-LEN(SUBSTITUTE($PI60," · ","")))/3+1)</f>
        <v/>
      </c>
      <c r="PK60" s="152">
        <f>IF($MQ60=0,IF($OH60+COUNTIF($MO60:$MP60,"?*")&gt;0,"Dê um nome",""),IF($PH60&gt;0,"⚠ "&amp;$PH60&amp;IF($PH60&gt;1," erros"," erro"),IF($PJ60&gt;0,"! "&amp;$PJ60&amp;IF($PJ60&gt;1," avisos"," aviso"),"Na regra")))</f>
        <v/>
      </c>
      <c r="PL60" s="152">
        <f>IF($MQ60=0,"",IF($PH60+$PJ60=0,"Dentro das regras que a ficha confere",$PG60&amp;IF(AND($PH60&gt;0,$PJ60&gt;0)," · ","")&amp;$PI60))</f>
        <v/>
      </c>
      <c r="PM60" s="152">
        <f>IF($MD60&gt;$MR60,$ME60&amp;" · ABRE NO NÍVEL "&amp;$MD60,$ME60)</f>
        <v/>
      </c>
      <c r="PN60" s="152">
        <f>IF($MQ60=0,"",IF($MF60=0,"Sem PE",3*$MF60&amp;" PE"))</f>
        <v/>
      </c>
      <c r="PO60" s="152">
        <f>IF($MQ60=0,"",IF($MF60=0,"A atuação básica dela",IF(COUNTIF($NX60:$NY60,"Atrasar")&gt;0,"Sua Ação Completa",IF(COUNTIF($MK60:$MN60,"Rápido")&gt;0,"Sua Bônus",IF(COUNTIF($MK60:$MN60,"Reação")&gt;0,"Sua Reação","Sua Padrão")))&amp;" + a básica dela"&amp;IF(COUNTIF($MK60:$MN60,"Reação")&gt;0," e a coletiva","")&amp;IF(COUNTIF($NX60:$NY60,"Carregar")&gt;0," · em dois turnos","")))</f>
        <v/>
      </c>
      <c r="PP60" s="152">
        <f>IF($MJ60&lt;&gt;"",$MJ60,IF($MW60=0,"",INDEX($AA$2:$AA$11,$MW60)))</f>
        <v/>
      </c>
      <c r="PQ60" s="152">
        <f>IF(OR($MQ60=0,$MW60=0),"",IF(COUNTIF($MK60:$MN60,"Inescapável")&gt;0,"Automático",IF($PP60="Ataque",IF($MU60="","Ataque","Ataque "&amp;IF(($MU60+2*IF(COUNTIF($MK60:$MN60,"Precisão")&gt;0,1,0))&gt;=0,"+","−")&amp;ABS(($MU60+2*IF(COUNTIF($MK60:$MN60,"Precisão")&gt;0,1,0))))&amp;IF($NQ60&gt;0," · TR"&amp;IF($MV60="",""," CD "&amp;$MV60),""),IF(LEFT($PP60,2)="TR",$PP60&amp;IF($MV60="",""," · CD "&amp;$MV60)&amp;IF(COUNTIF($MK60:$MN60,"Certeiro")&gt;0," · metade",""),"Sem rolagem"))))</f>
        <v/>
      </c>
      <c r="PR60" s="152">
        <f>IF(OR($MQ60=0,$MW60=0),"",IF($MF60=0,IF(OR($NT60&gt;=1,$OQ60=0),"Sem dano",$OQ60&amp;"d6"&amp;IF($MI60="",""," "&amp;$MI60)),IF(OR($NT60&gt;=1,$OQ60=0),UPPER(LEFT(INDEX($OZ60:$PF60,1,MAX(1,$MF60)),1))&amp;MID(INDEX($OZ60:$PF60,1,MAX(1,$MF60)),2,99),UPPER(LEFT(INDEX($OZ60:$PF60,1,MAX(1,$MF60)),1))&amp;MID(INDEX($OZ60:$PF60,1,MAX(1,$MF60)),2,99)&amp;IF($MI60="",""," "&amp;$MI60)&amp;IF($OR60&gt;0," · +"&amp;$OR60&amp;"d8",""))))</f>
        <v/>
      </c>
      <c r="PS60" s="152">
        <f>COUNTIF($MK60:$MN60,"Longe")+3*COUNTIF($MK60:$MN60,"Muito Longe")</f>
        <v/>
      </c>
      <c r="PT60" s="152">
        <f>COUNTIF($MK60:$MN60,"Maior")+3*COUNTIF($MK60:$MN60,"Muito Maior")</f>
        <v/>
      </c>
      <c r="PU60" s="152">
        <f>IF($MW60=0,0,CHOOSE(1+INDEX($AC$2:$AC$11,$MW60),0,$PS60,$PT60,$PS60+$PT60))</f>
        <v/>
      </c>
      <c r="PV60" s="152">
        <f>IF($MW60=0,0,CHOOSE(1+INDEX($AD$2:$AD$11,$MW60),0,$PS60,$PT60,$PS60+$PT60))</f>
        <v/>
      </c>
      <c r="PW60" s="152">
        <f>IF(OR($MQ60=0,$MW60=0),"",INDEX($AI$2:$AN$41,($MW60-1)*4+IF($MF60=0,1,IF($MF60&lt;=5,2,IF($MF60=6,3,4))),1+MIN(5,$PU60))&amp;INDEX($AO$2:$AT$41,($MW60-1)*4+IF($MF60=0,1,IF($MF60&lt;=5,2,IF($MF60=6,3,4))),1+MIN(5,$PV60))&amp;IF(INDEX($AE$2:$AE$11,$MW60)=1,IF(COUNTIF($MK60:$MN60,"Mais Um")&gt;0," · +"&amp;COUNTIF($MK60:$MN60,"Mais Um")&amp;IF(COUNTIF($MK60:$MN60,"Mais Um")&gt;1," alvos"," alvo"),"")&amp;IF(COUNTIF($MK60:$MN60,"Rajada")&gt;0,IF($MF60=0," · 1 tiro"," · "&amp;(MAX(1,$MF60-1)+1)&amp;" tiros"),""),""))</f>
        <v/>
      </c>
      <c r="PX60" s="152">
        <f>IF($MQ60=0,"",IF($MF60=0,$MT60&amp;"d6"&amp;IF($OH60&gt;0," − 1 = "&amp;$OQ60&amp;"d6"," da básica do nível "&amp;$MR60),$OO60&amp;" − "&amp;$OJ60&amp;" + "&amp;$OM60&amp;" = "&amp;$OP60&amp;" · teto "&amp;4*$MF60&amp;"d8"&amp;IF($NS60=1," · a Forma devolve "&amp;$MF60,"")&amp;IF($ON60&gt;0," · perde "&amp;$ON60,"")))</f>
        <v/>
      </c>
      <c r="PY60" s="152">
        <f>IF($MQ60=0,"",IF($MF60=0,"A básica não amplia: os dados dela sobem com o nível",IF($MF60&gt;=$MS60,"Já está na maior Classe que o nível liberou",TEXTJOIN(" · ",TRUE,IF(AND(2&gt;$MF60,2&lt;=$MS60),"2 → "&amp;$PA60&amp;", 6 PE",""),IF(AND(3&gt;$MF60,3&lt;=$MS60),"3 → "&amp;$PB60&amp;", 9 PE",""),IF(AND(4&gt;$MF60,4&lt;=$MS60),"4 → "&amp;$PC60&amp;", 12 PE",""),IF(AND(5&gt;$MF60,5&lt;=$MS60),"5 → "&amp;$PD60&amp;", 15 PE",""),IF(AND(6&gt;$MF60,6&lt;=$MS60),"6 → "&amp;$PE60&amp;", 18 PE",""),IF(AND(7&gt;$MF60,7&lt;=$MS60),"7 → "&amp;$PF60&amp;", 21 PE","")))))</f>
        <v/>
      </c>
      <c r="PZ60" s="152">
        <f>IF(OR($MQ60=0,$NB60=0),"",IF($MF60=0,"−1 dado","−"&amp;INDEX($I$2:$N$8,MAX(1,$MF60),MAX(1,$NG60))&amp;" · "&amp;CHOOSE(MAX(1,$NG60),"Leve","Média","Pesada","Leve · Livre","Média · Livre","Pesada · Livre")))</f>
        <v/>
      </c>
      <c r="QA60" s="152">
        <f>IF(OR($MQ60=0,$NC60=0),"",IF($MF60=0,"−1 dado","−"&amp;INDEX($I$2:$N$8,MAX(1,$MF60),MAX(1,$NH60))&amp;" · "&amp;CHOOSE(MAX(1,$NH60),"Leve","Média","Pesada","Leve · Livre","Média · Livre","Pesada · Livre")))</f>
        <v/>
      </c>
      <c r="QB60" s="152">
        <f>IF(OR($MQ60=0,$ND60=0),"",IF($MF60=0,"−1 dado","−"&amp;INDEX($I$2:$N$8,MAX(1,$MF60),MAX(1,$NI60))&amp;" · "&amp;CHOOSE(MAX(1,$NI60),"Leve","Média","Pesada","Leve · Livre","Média · Livre","Pesada · Livre")))</f>
        <v/>
      </c>
      <c r="QC60" s="152">
        <f>IF(OR($MQ60=0,$NE60=0),"",IF($MF60=0,"−1 dado","−"&amp;INDEX($I$2:$N$8,MAX(1,$MF60),MAX(1,$NJ60))&amp;" · "&amp;CHOOSE(MAX(1,$NJ60),"Leve","Média","Pesada","Leve · Livre","Média · Livre","Pesada · Livre")))</f>
        <v/>
      </c>
      <c r="QD60" s="152">
        <f>IF(OR($MQ60=0,$MO60=""),"",IF($MF60=0,"não devolve","+"&amp;IF($NV60=1,CEILING($MF60/2,1),$MF60)))</f>
        <v/>
      </c>
      <c r="QE60" s="152">
        <f>IF(OR($MQ60=0,$MP60=""),"",IF($MF60=0,"não devolve","+"&amp;IF($NW60=1,CEILING($MF60/2,1),$MF60)))</f>
        <v/>
      </c>
    </row>
    <row r="61">
      <c r="AV61" s="150" t="inlineStr">
        <is>
          <t>Reação</t>
        </is>
      </c>
      <c r="AW61" s="150" t="inlineStr">
        <is>
          <t>Tempo</t>
        </is>
      </c>
      <c r="AX61" s="152" t="n">
        <v>3</v>
      </c>
      <c r="AY61" s="152" t="n">
        <v>0</v>
      </c>
      <c r="AZ61" s="152" t="n">
        <v>0</v>
      </c>
      <c r="BA61" s="152" t="n">
        <v>0</v>
      </c>
      <c r="JG61" s="152">
        <f>IF(OR($AW61="",COUNTIF($EF$2:$EJ$2,$AW61)&gt;0),$AV61,"")</f>
        <v/>
      </c>
      <c r="JH61" s="152">
        <f>IF(AND($AX61=1,OR($AW61="",COUNTIF($EF$2:$EJ$2,$AW61)&gt;0)),$AV61,"")</f>
        <v/>
      </c>
      <c r="JM61" s="152">
        <f>IF(OR($AW61="",COUNTIF($EF$3:$EJ$3,$AW61)&gt;0),$AV61,"")</f>
        <v/>
      </c>
      <c r="JN61" s="152">
        <f>IF(AND($AX61=1,OR($AW61="",COUNTIF($EF$3:$EJ$3,$AW61)&gt;0)),$AV61,"")</f>
        <v/>
      </c>
      <c r="JS61" s="152">
        <f>IF(OR($AW61="",COUNTIF($EF$4:$EJ$4,$AW61)&gt;0),$AV61,"")</f>
        <v/>
      </c>
      <c r="JT61" s="152">
        <f>IF(AND($AX61=1,OR($AW61="",COUNTIF($EF$4:$EJ$4,$AW61)&gt;0)),$AV61,"")</f>
        <v/>
      </c>
      <c r="JY61" s="152">
        <f>IF(OR($AW61="",COUNTIF($EF$5:$EJ$5,$AW61)&gt;0),$AV61,"")</f>
        <v/>
      </c>
      <c r="JZ61" s="152">
        <f>IF(AND($AX61=1,OR($AW61="",COUNTIF($EF$5:$EJ$5,$AW61)&gt;0)),$AV61,"")</f>
        <v/>
      </c>
      <c r="KE61" s="152">
        <f>IF(OR($AW61="",COUNTIF($EF$6:$EJ$6,$AW61)&gt;0),$AV61,"")</f>
        <v/>
      </c>
      <c r="KF61" s="152">
        <f>IF(AND($AX61=1,OR($AW61="",COUNTIF($EF$6:$EJ$6,$AW61)&gt;0)),$AV61,"")</f>
        <v/>
      </c>
      <c r="KK61" s="152">
        <f>IF(OR($AW61="",COUNTIF($EF$7:$EJ$7,$AW61)&gt;0),$AV61,"")</f>
        <v/>
      </c>
      <c r="KL61" s="152">
        <f>IF(AND($AX61=1,OR($AW61="",COUNTIF($EF$7:$EJ$7,$AW61)&gt;0)),$AV61,"")</f>
        <v/>
      </c>
      <c r="KQ61" s="152">
        <f>IF(OR($AW61="",COUNTIF($EF$8:$EJ$8,$AW61)&gt;0),$AV61,"")</f>
        <v/>
      </c>
      <c r="KR61" s="152">
        <f>IF(AND($AX61=1,OR($AW61="",COUNTIF($EF$8:$EJ$8,$AW61)&gt;0)),$AV61,"")</f>
        <v/>
      </c>
      <c r="KW61" s="152">
        <f>IF(OR($AW61="",COUNTIF($EF$9:$EJ$9,$AW61)&gt;0),$AV61,"")</f>
        <v/>
      </c>
      <c r="KX61" s="152">
        <f>IF(AND($AX61=1,OR($AW61="",COUNTIF($EF$9:$EJ$9,$AW61)&gt;0)),$AV61,"")</f>
        <v/>
      </c>
      <c r="LC61" s="152">
        <f>IF(OR($AW61="",COUNTIF($EF$10:$EJ$10,$AW61)&gt;0),$AV61,"")</f>
        <v/>
      </c>
      <c r="LD61" s="152">
        <f>IF(AND($AX61=1,OR($AW61="",COUNTIF($EF$10:$EJ$10,$AW61)&gt;0)),$AV61,"")</f>
        <v/>
      </c>
      <c r="LI61" s="152">
        <f>IF(OR($AW61="",COUNTIF($EF$11:$EJ$11,$AW61)&gt;0),$AV61,"")</f>
        <v/>
      </c>
      <c r="LJ61" s="152">
        <f>IF(AND($AX61=1,OR($AW61="",COUNTIF($EF$11:$EJ$11,$AW61)&gt;0)),$AV61,"")</f>
        <v/>
      </c>
      <c r="LO61" s="152">
        <f>IF(OR($AW61="",COUNTIF($EF$12:$EJ$12,$AW61)&gt;0),$AV61,"")</f>
        <v/>
      </c>
      <c r="LP61" s="152">
        <f>IF(AND($AX61=1,OR($AW61="",COUNTIF($EF$12:$EJ$12,$AW61)&gt;0)),$AV61,"")</f>
        <v/>
      </c>
      <c r="LU61" s="152">
        <f>IF(OR($AW61="",COUNTIF($EF$13:$EJ$13,$AW61)&gt;0),$AV61,"")</f>
        <v/>
      </c>
      <c r="LV61" s="152">
        <f>IF(AND($AX61=1,OR($AW61="",COUNTIF($EF$13:$EJ$13,$AW61)&gt;0)),$AV61,"")</f>
        <v/>
      </c>
      <c r="MA61" s="150" t="inlineStr">
        <is>
          <t>Ficha 5 · Especial 6</t>
        </is>
      </c>
      <c r="MB61" s="152" t="n">
        <v>5</v>
      </c>
      <c r="MC61" s="152" t="n">
        <v>1</v>
      </c>
      <c r="MD61" s="152" t="n">
        <v>20</v>
      </c>
      <c r="ME61" s="150" t="inlineStr">
        <is>
          <t>ESPECIAL 6</t>
        </is>
      </c>
      <c r="MF61" s="152">
        <f>MAX(1,MIN(7,N('INVOCAÇÕES'!$O$906)))</f>
        <v/>
      </c>
      <c r="MG61" s="152">
        <f>'INVOCAÇÕES'!$P$906&amp;""</f>
        <v/>
      </c>
      <c r="MH61" s="152">
        <f>'INVOCAÇÕES'!$O$911&amp;""</f>
        <v/>
      </c>
      <c r="MI61" s="152">
        <f>'INVOCAÇÕES'!$O$912&amp;""</f>
        <v/>
      </c>
      <c r="MJ61" s="152">
        <f>'INVOCAÇÕES'!$Q$912&amp;""</f>
        <v/>
      </c>
      <c r="MK61" s="152">
        <f>'INVOCAÇÕES'!$P$915&amp;""</f>
        <v/>
      </c>
      <c r="ML61" s="152">
        <f>'INVOCAÇÕES'!$P$916&amp;""</f>
        <v/>
      </c>
      <c r="MM61" s="152">
        <f>'INVOCAÇÕES'!$P$917&amp;""</f>
        <v/>
      </c>
      <c r="MN61" s="152">
        <f>'INVOCAÇÕES'!$P$918&amp;""</f>
        <v/>
      </c>
      <c r="MO61" s="152">
        <f>'INVOCAÇÕES'!$P$919&amp;""</f>
        <v/>
      </c>
      <c r="MP61" s="152">
        <f>'INVOCAÇÕES'!$P$920&amp;""</f>
        <v/>
      </c>
      <c r="MQ61" s="152">
        <f>IF($MG61&lt;&gt;"",1,0)</f>
        <v/>
      </c>
      <c r="MR61" s="152">
        <f>INDEX($FI$2:$FI$13,$MB61)</f>
        <v/>
      </c>
      <c r="MS61" s="152">
        <f>INDEX($FJ$2:$FJ$13,$MB61)</f>
        <v/>
      </c>
      <c r="MT61" s="152">
        <f>INDEX($FK$2:$FK$13,$MB61)</f>
        <v/>
      </c>
      <c r="MU61" s="152">
        <f>INDEX($FV$2:$FV$13,$MB61)</f>
        <v/>
      </c>
      <c r="MV61" s="152">
        <f>INDEX($FW$2:$FW$13,$MB61)</f>
        <v/>
      </c>
      <c r="MW61" s="152">
        <f>IFERROR(MATCH($MH61,$V$2:$V$11,0),0)</f>
        <v/>
      </c>
      <c r="MX61" s="152">
        <f>IFERROR(VLOOKUP($MK61,$AV$2:$BA$84,2,FALSE),"")</f>
        <v/>
      </c>
      <c r="MY61" s="152">
        <f>IFERROR(VLOOKUP($ML61,$AV$2:$BA$84,2,FALSE),"")</f>
        <v/>
      </c>
      <c r="MZ61" s="152">
        <f>IFERROR(VLOOKUP($MM61,$AV$2:$BA$84,2,FALSE),"")</f>
        <v/>
      </c>
      <c r="NA61" s="152">
        <f>IFERROR(VLOOKUP($MN61,$AV$2:$BA$84,2,FALSE),"")</f>
        <v/>
      </c>
      <c r="NB61" s="152">
        <f>IFERROR(VLOOKUP($MK61,$AV$2:$BA$84,3,FALSE),0)</f>
        <v/>
      </c>
      <c r="NC61" s="152">
        <f>IFERROR(VLOOKUP($ML61,$AV$2:$BA$84,3,FALSE),0)</f>
        <v/>
      </c>
      <c r="ND61" s="152">
        <f>IFERROR(VLOOKUP($MM61,$AV$2:$BA$84,3,FALSE),0)</f>
        <v/>
      </c>
      <c r="NE61" s="152">
        <f>IFERROR(VLOOKUP($MN61,$AV$2:$BA$84,3,FALSE),0)</f>
        <v/>
      </c>
      <c r="NF61" s="152">
        <f>IF($MF61=0,0,IF($MW61=0,0,INDEX($X$2:$X$11,$MW61)))</f>
        <v/>
      </c>
      <c r="NG61" s="152">
        <f>IF(OR($NB61=0,$MF61=0),0,$NB61+3*IF(AND($MX61&lt;&gt;"",OR($MX61=INDEX($EF$2:$EF$13,$MB61),$MX61=INDEX($EG$2:$EG$13,$MB61))),1,0))</f>
        <v/>
      </c>
      <c r="NH61" s="152">
        <f>IF(OR($NC61=0,$MF61=0),0,$NC61+3*IF(AND($MY61&lt;&gt;"",OR($MY61=INDEX($EF$2:$EF$13,$MB61),$MY61=INDEX($EG$2:$EG$13,$MB61))),1,0))</f>
        <v/>
      </c>
      <c r="NI61" s="152">
        <f>IF(OR($ND61=0,$MF61=0),0,$ND61+3*IF(AND($MZ61&lt;&gt;"",OR($MZ61=INDEX($EF$2:$EF$13,$MB61),$MZ61=INDEX($EG$2:$EG$13,$MB61))),1,0))</f>
        <v/>
      </c>
      <c r="NJ61" s="152">
        <f>IF(OR($NE61=0,$MF61=0),0,$NE61+3*IF(AND($NA61&lt;&gt;"",OR($NA61=INDEX($EF$2:$EF$13,$MB61),$NA61=INDEX($EG$2:$EG$13,$MB61))),1,0))</f>
        <v/>
      </c>
      <c r="NK61" s="152">
        <f>IF($MW61=0,0,IF(INDEX($W$2:$W$11,$MW61)="",0,IF(COUNTIF(INDEX($EF$2:$EJ$13,$MB61,0),INDEX($W$2:$W$11,$MW61))=0,1,0)))</f>
        <v/>
      </c>
      <c r="NL61" s="152">
        <f>IF(OR($NB61=0,$MX61=""),0,IF(COUNTIF(INDEX($EF$2:$EJ$13,$MB61,0),$MX61)=0,1,0))</f>
        <v/>
      </c>
      <c r="NM61" s="152">
        <f>IF(OR($NC61=0,$MY61=""),0,IF(COUNTIF(INDEX($EF$2:$EJ$13,$MB61,0),$MY61)=0,1,0))</f>
        <v/>
      </c>
      <c r="NN61" s="152">
        <f>IF(OR($ND61=0,$MZ61=""),0,IF(COUNTIF(INDEX($EF$2:$EJ$13,$MB61,0),$MZ61)=0,1,0))</f>
        <v/>
      </c>
      <c r="NO61" s="152">
        <f>IF(OR($NE61=0,$NA61=""),0,IF(COUNTIF(INDEX($EF$2:$EJ$13,$MB61,0),$NA61)=0,1,0))</f>
        <v/>
      </c>
      <c r="NP61" s="152">
        <f>IFERROR(VLOOKUP($MK61,$AV$2:$BA$84,4,FALSE),0)+IFERROR(VLOOKUP($ML61,$AV$2:$BA$84,4,FALSE),0)+IFERROR(VLOOKUP($MM61,$AV$2:$BA$84,4,FALSE),0)+IFERROR(VLOOKUP($MN61,$AV$2:$BA$84,4,FALSE),0)</f>
        <v/>
      </c>
      <c r="NQ61" s="152">
        <f>IFERROR(VLOOKUP($MK61,$AV$2:$BA$84,6,FALSE),0)+IFERROR(VLOOKUP($ML61,$AV$2:$BA$84,6,FALSE),0)+IFERROR(VLOOKUP($MM61,$AV$2:$BA$84,6,FALSE),0)+IFERROR(VLOOKUP($MN61,$AV$2:$BA$84,6,FALSE),0)</f>
        <v/>
      </c>
      <c r="NR61" s="152">
        <f>TEXTJOIN(", ",TRUE,IF(IFERROR(VLOOKUP($MK61,$AV$2:$BA$84,5,FALSE),0)=1,$MK61,""),IF(IFERROR(VLOOKUP($ML61,$AV$2:$BA$84,5,FALSE),0)=1,$ML61,""),IF(IFERROR(VLOOKUP($MM61,$AV$2:$BA$84,5,FALSE),0)=1,$MM61,""),IF(IFERROR(VLOOKUP($MN61,$AV$2:$BA$84,5,FALSE),0)=1,$MN61,""))</f>
        <v/>
      </c>
      <c r="NS61" s="152">
        <f>IF($MW61=0,0,INDEX($Y$2:$Y$11,$MW61))</f>
        <v/>
      </c>
      <c r="NT61" s="152">
        <f>IF($MW61=0,0,INDEX($Z$2:$Z$11,$MW61))</f>
        <v/>
      </c>
      <c r="NU61" s="152">
        <f>IF($MW61=0,0,INDEX($AB$2:$AB$11,$MW61))</f>
        <v/>
      </c>
      <c r="NV61" s="152">
        <f>IFERROR(VLOOKUP($MO61,$BC$2:$BG$24,3,FALSE),0)</f>
        <v/>
      </c>
      <c r="NW61" s="152">
        <f>IFERROR(VLOOKUP($MP61,$BC$2:$BG$24,3,FALSE),0)</f>
        <v/>
      </c>
      <c r="NX61" s="152">
        <f>IFERROR(VLOOKUP($MO61,$BC$2:$BG$24,2,FALSE),"")</f>
        <v/>
      </c>
      <c r="NY61" s="152">
        <f>IFERROR(VLOOKUP($MP61,$BC$2:$BG$24,2,FALSE),"")</f>
        <v/>
      </c>
      <c r="NZ61" s="152">
        <f>COUNTIF($NF61:$NJ61,1)</f>
        <v/>
      </c>
      <c r="OA61" s="152">
        <f>COUNTIF($NF61:$NJ61,2)</f>
        <v/>
      </c>
      <c r="OB61" s="152">
        <f>COUNTIF($NF61:$NJ61,3)</f>
        <v/>
      </c>
      <c r="OC61" s="152">
        <f>COUNTIF($NF61:$NJ61,4)</f>
        <v/>
      </c>
      <c r="OD61" s="152">
        <f>COUNTIF($NF61:$NJ61,5)</f>
        <v/>
      </c>
      <c r="OE61" s="152">
        <f>COUNTIF($NF61:$NJ61,6)</f>
        <v/>
      </c>
      <c r="OF61" s="152">
        <f>COUNTIF($NV61:$NW61,1)</f>
        <v/>
      </c>
      <c r="OG61" s="152">
        <f>COUNTIF($NV61:$NW61,2)+$NS61</f>
        <v/>
      </c>
      <c r="OH61" s="152">
        <f>COUNTIF($MK61:$MN61,"?*")</f>
        <v/>
      </c>
      <c r="OI61" s="152">
        <f>COUNTIF($MO61:$MP61,"?*")+$NS61</f>
        <v/>
      </c>
      <c r="OJ61" s="152">
        <f>IF($MF61=0,0,SUMPRODUCT($NZ61:$OE61,INDEX($I$2:$N$8,MAX(1,$MF61),0)))</f>
        <v/>
      </c>
      <c r="OK61" s="152">
        <f>IF($MF61=0,0,$OF61*CEILING($MF61/2,1)+$OG61*$MF61)</f>
        <v/>
      </c>
      <c r="OL61" s="152">
        <f>MIN(2*$MF61,$OK61)</f>
        <v/>
      </c>
      <c r="OM61" s="152">
        <f>MIN($OL61,$OJ61)</f>
        <v/>
      </c>
      <c r="ON61" s="152">
        <f>$OL61-$OM61</f>
        <v/>
      </c>
      <c r="OO61" s="152">
        <f>IF($MF61=0,0,INDEX($P$2:$P$8,MAX(1,$MF61)))</f>
        <v/>
      </c>
      <c r="OP61" s="152">
        <f>$OO61-$OJ61+$OM61</f>
        <v/>
      </c>
      <c r="OQ61" s="152">
        <f>IF($MF61=0,MAX(0,$MT61-IF($OH61&gt;0,1,0)),MAX(0,$OP61))</f>
        <v/>
      </c>
      <c r="OR61" s="152">
        <f>IF($MF61=0,0,(IF(COUNTIF($MK61:$MN61,"Salto")&gt;0,1,0)+IF(COUNTIF($MK61:$MN61,"Queima")&gt;0,1,0)+IF(COUNTIF($MK61:$MN61,"Estilhaço")&gt;0,1,0))*FLOOR($OQ61/2,1))</f>
        <v/>
      </c>
      <c r="OS61" s="152">
        <f>MAX(0,2-SUMPRODUCT($NZ61:$OE61,$I$2:$N$2)+MIN(2,$OF61*1+$OG61*1,SUMPRODUCT($NZ61:$OE61,$I$2:$N$2)))</f>
        <v/>
      </c>
      <c r="OT61" s="152">
        <f>MAX(0,4-SUMPRODUCT($NZ61:$OE61,$I$3:$N$3)+MIN(4,$OF61*1+$OG61*2,SUMPRODUCT($NZ61:$OE61,$I$3:$N$3)))</f>
        <v/>
      </c>
      <c r="OU61" s="152">
        <f>MAX(0,6-SUMPRODUCT($NZ61:$OE61,$I$4:$N$4)+MIN(6,$OF61*2+$OG61*3,SUMPRODUCT($NZ61:$OE61,$I$4:$N$4)))</f>
        <v/>
      </c>
      <c r="OV61" s="152">
        <f>MAX(0,9-SUMPRODUCT($NZ61:$OE61,$I$5:$N$5)+MIN(8,$OF61*2+$OG61*4,SUMPRODUCT($NZ61:$OE61,$I$5:$N$5)))</f>
        <v/>
      </c>
      <c r="OW61" s="152">
        <f>MAX(0,11-SUMPRODUCT($NZ61:$OE61,$I$6:$N$6)+MIN(10,$OF61*3+$OG61*5,SUMPRODUCT($NZ61:$OE61,$I$6:$N$6)))</f>
        <v/>
      </c>
      <c r="OX61" s="152">
        <f>MAX(0,13-SUMPRODUCT($NZ61:$OE61,$I$7:$N$7)+MIN(12,$OF61*3+$OG61*6,SUMPRODUCT($NZ61:$OE61,$I$7:$N$7)))</f>
        <v/>
      </c>
      <c r="OY61" s="152">
        <f>MAX(0,16-SUMPRODUCT($NZ61:$OE61,$I$8:$N$8)+MIN(14,$OF61*4+$OG61*7,SUMPRODUCT($NZ61:$OE61,$I$8:$N$8)))</f>
        <v/>
      </c>
      <c r="OZ61" s="152">
        <f>IF($NT61=2,3*$OS61&amp;" de vida temp.",IF($NT61=3,"sem dano",IF($OS61=0,IF($NT61=1,"sem cura","sem dano"),IF($NT61=1,"cura ","")&amp;$OS61&amp;"d8")))</f>
        <v/>
      </c>
      <c r="PA61" s="152">
        <f>IF($NT61=2,3*$OT61&amp;" de vida temp.",IF($NT61=3,"sem dano",IF($OT61=0,IF($NT61=1,"sem cura","sem dano"),IF($NT61=1,"cura ","")&amp;$OT61&amp;"d8")))</f>
        <v/>
      </c>
      <c r="PB61" s="152">
        <f>IF($NT61=2,3*$OU61&amp;" de vida temp.",IF($NT61=3,"sem dano",IF($OU61=0,IF($NT61=1,"sem cura","sem dano"),IF($NT61=1,"cura ","")&amp;$OU61&amp;"d8")))</f>
        <v/>
      </c>
      <c r="PC61" s="152">
        <f>IF($NT61=2,3*$OV61&amp;" de vida temp.",IF($NT61=3,"sem dano",IF($OV61=0,IF($NT61=1,"sem cura","sem dano"),IF($NT61=1,"cura ","")&amp;$OV61&amp;"d8")))</f>
        <v/>
      </c>
      <c r="PD61" s="152">
        <f>IF($NT61=2,3*$OW61&amp;" de vida temp.",IF($NT61=3,"sem dano",IF($OW61=0,IF($NT61=1,"sem cura","sem dano"),IF($NT61=1,"cura ","")&amp;$OW61&amp;"d8")))</f>
        <v/>
      </c>
      <c r="PE61" s="152">
        <f>IF($NT61=2,3*$OX61&amp;" de vida temp.",IF($NT61=3,"sem dano",IF($OX61=0,IF($NT61=1,"sem cura","sem dano"),IF($NT61=1,"cura ","")&amp;$OX61&amp;"d8")))</f>
        <v/>
      </c>
      <c r="PF61" s="152">
        <f>IF($NT61=2,3*$OY61&amp;" de vida temp.",IF($NT61=3,"sem dano",IF($OY61=0,IF($NT61=1,"sem cura","sem dano"),IF($NT61=1,"cura ","")&amp;$OY61&amp;"d8")))</f>
        <v/>
      </c>
      <c r="PG61" s="152">
        <f>IF($MQ61=0,"",TEXTJOIN(" · ",TRUE,IF($MD61&gt;$MR61,"Este lugar abre no nível "&amp;$MD61,""),IF($MF61&gt;$MS61,"Classe "&amp;$MF61&amp;": o nível "&amp;$MR61&amp;" libera até a "&amp;$MS61,""),IF($NK61=1,"A Forma "&amp;$MH61&amp;" pede "&amp;INDEX($W$2:$W$11,$MW61)&amp;" aberta",""),IF(AND($MF61=0,$MW61&gt;0,IF($MW61=0,0,INDEX($AF$2:$AF$11,$MW61))=0),$MH61&amp;" não existe na Classe 0",""),IF($NL61=1,"Família Fechada: "&amp;$MK61,""),IF($NM61=1,"Família Fechada: "&amp;$ML61,""),IF($NN61=1,"Família Fechada: "&amp;$MM61,""),IF($NO61=1,"Família Fechada: "&amp;$MN61,""),IF(AND($MF61&gt;0,$OH61&gt;INDEX($O$2:$O$8,MAX(1,$MF61))),$OH61&amp;" Melhorias: a Classe "&amp;$MF61&amp;" aceita "&amp;INDEX($O$2:$O$8,MAX(1,$MF61)),""),IF(AND($MF61=0,$OH61&gt;1),"A básica aceita uma Melhoria",""),IF(AND($MF61=0,COUNTIF($NB61:$NE61,"&gt;1")&gt;0),"A básica só aceita Melhoria Leve",""),IF(AND($MF61&gt;0,$OI61&gt;2),$OI61&amp;" Restrições"&amp;IF($NS61=1,", contando a que a Forma "&amp;$MH61&amp;" já traz","")&amp;": o limite é 2",""),IF(AND($MF61=0,COUNTIF($MO61:$MP61,"?*")&gt;1),"A básica aceita uma Restrição Leve",""),IF(AND($MF61=0,COUNTIF($NV61:$NW61,2)&gt;0),"A básica só aceita Restrição Leve",""),IF(AND($MF61&gt;0,$OP61&lt;0),"Orçamento estourado: faltam "&amp;(-$OP61)&amp;IF($OP61&lt;-1," pontos"," ponto"),""),IF(IFERROR(VLOOKUP($MO61,$BC$2:$BG$24,4,FALSE),0)+IFERROR(VLOOKUP($MP61,$BC$2:$BG$24,4,FALSE),0)&gt;1,$NX61&amp;" e "&amp;$NY61&amp;" são as duas de frequência",""),IF(AND((COUNTIF($MK61:$MN61,"Rápido")+COUNTIF($NX61:$NY61,"Rápido"))&gt;0,(COUNTIF($MK61:$MN61,"Atrasar")+COUNTIF($NX61:$NY61,"Atrasar"))&gt;0),"Rápido não entra com Atrasar",""),IF(AND((COUNTIF($MK61:$MN61,"Reação")+COUNTIF($NX61:$NY61,"Reação"))&gt;0,(COUNTIF($MK61:$MN61,"Rápido")+COUNTIF($NX61:$NY61,"Rápido"))&gt;0),"Reação não entra com Rápido",""),IF(AND((COUNTIF($MK61:$MN61,"Reação")+COUNTIF($NX61:$NY61,"Reação"))&gt;0,(COUNTIF($MK61:$MN61,"Armado")+COUNTIF($NX61:$NY61,"Armado"))&gt;0),"Reação não entra com Armado",""),IF(AND((COUNTIF($MK61:$MN61,"Reação")+COUNTIF($NX61:$NY61,"Reação"))&gt;0,(COUNTIF($MK61:$MN61,"Atrasar")+COUNTIF($NX61:$NY61,"Atrasar"))&gt;0),"Reação não entra com Atrasar",""),IF(AND((COUNTIF($MK61:$MN61,"Reação")+COUNTIF($NX61:$NY61,"Reação"))&gt;0,(COUNTIF($MK61:$MN61,"Parado")+COUNTIF($NX61:$NY61,"Parado"))&gt;0),"Reação não entra com Parado",""),IF(AND((COUNTIF($MK61:$MN61,"Atrasar")+COUNTIF($NX61:$NY61,"Atrasar"))&gt;0,(COUNTIF($MK61:$MN61,"Parado")+COUNTIF($NX61:$NY61,"Parado"))&gt;0),"Atrasar não entra com Parado",""),IF(AND((COUNTIF($MK61:$MN61,"Armado")+COUNTIF($NX61:$NY61,"Armado"))&gt;0,(COUNTIF($MK61:$MN61,"Carregar")+COUNTIF($NX61:$NY61,"Carregar"))&gt;0),"Armado não entra com Carregar",""),IF(AND(COUNTIF($NX61:$NY61,"Corpo a Corpo")&gt;0,$NS61=0,OR($MH61="Cone",$MH61="Linha")),"Corpo a Corpo não entra em "&amp;$MH61,""),IF(AND(COUNTIF($NX61:$NY61,"Corpo a Corpo")&gt;0,$NS61=1),"A Forma "&amp;$MH61&amp;" já traz o Corpo a Corpo",""),IF(AND(COUNTIF($NX61:$NY61,"Tudo ou Nada")&gt;0,$NU61=0),"Tudo ou Nada só entra em habilidade de Teste de Resistência",""),IF(AND(COUNTIF($MK61:$MN61,"Inescapável")&gt;0,OR($OH61&gt;1,$OI61&gt;0)),"Inescapável não aceita outra peça",""),IF(AND($MF61&gt;0,$OQ61*IF(COUNTIF($MK61:$MN61,"Remate")&gt;0,1.25,1)+$OR61&gt;4*$MF61),($OQ61*IF(COUNTIF($MK61:$MN61,"Remate")&gt;0,1.25,1)+$OR61)&amp;" dados somando repetições"&amp;IF(COUNTIF($MK61:$MN61,"Remate")&gt;0," e o Remate","")&amp;": o teto da Classe "&amp;$MF61&amp;" é "&amp;4*$MF61,"")))</f>
        <v/>
      </c>
      <c r="PH61" s="152">
        <f>IF($PG61="",0,(LEN($PG61)-LEN(SUBSTITUTE($PG61," · ","")))/3+1)</f>
        <v/>
      </c>
      <c r="PI61" s="152">
        <f>IF($MQ61=0,"",TEXTJOIN(" · ",TRUE,IF($OK61&gt;2*$MF61,"A devolução parou no teto de "&amp;2*$MF61,""),IF($ON61&gt;0,"Devolução perdida: "&amp;$ON61&amp;IF($ON61&gt;1," pontos"," ponto")&amp;" sem peça para pagar",""),IF(AND($NP61&gt;0,AND($MF61&gt;0,$NT61=0),$OQ61=0),"Controle sem dano: uma rodada a mais e CD +2",""),IF(AND($NP61&gt;0,AND($MF61&gt;0,$NT61=0),$OQ61&gt;0,$OQ61&lt;=$MF61),"Controle com saldo até a Classe: uma rodada a mais",""),IF(AND($MF61&gt;0,$NR61&lt;&gt;""),"Efeito de "&amp;$NR61&amp;" pela Classe "&amp;MAX(1,$MF61-1),"")))</f>
        <v/>
      </c>
      <c r="PJ61" s="152">
        <f>IF($PI61="",0,(LEN($PI61)-LEN(SUBSTITUTE($PI61," · ","")))/3+1)</f>
        <v/>
      </c>
      <c r="PK61" s="152">
        <f>IF($MQ61=0,IF($OH61+COUNTIF($MO61:$MP61,"?*")&gt;0,"Dê um nome",""),IF($PH61&gt;0,"⚠ "&amp;$PH61&amp;IF($PH61&gt;1," erros"," erro"),IF($PJ61&gt;0,"! "&amp;$PJ61&amp;IF($PJ61&gt;1," avisos"," aviso"),"Na regra")))</f>
        <v/>
      </c>
      <c r="PL61" s="152">
        <f>IF($MQ61=0,"",IF($PH61+$PJ61=0,"Dentro das regras que a ficha confere",$PG61&amp;IF(AND($PH61&gt;0,$PJ61&gt;0)," · ","")&amp;$PI61))</f>
        <v/>
      </c>
      <c r="PM61" s="152">
        <f>IF($MD61&gt;$MR61,$ME61&amp;" · ABRE NO NÍVEL "&amp;$MD61,$ME61)</f>
        <v/>
      </c>
      <c r="PN61" s="152">
        <f>IF($MQ61=0,"",IF($MF61=0,"Sem PE",3*$MF61&amp;" PE"))</f>
        <v/>
      </c>
      <c r="PO61" s="152">
        <f>IF($MQ61=0,"",IF($MF61=0,"A atuação básica dela",IF(COUNTIF($NX61:$NY61,"Atrasar")&gt;0,"Sua Ação Completa",IF(COUNTIF($MK61:$MN61,"Rápido")&gt;0,"Sua Bônus",IF(COUNTIF($MK61:$MN61,"Reação")&gt;0,"Sua Reação","Sua Padrão")))&amp;" + a básica dela"&amp;IF(COUNTIF($MK61:$MN61,"Reação")&gt;0," e a coletiva","")&amp;IF(COUNTIF($NX61:$NY61,"Carregar")&gt;0," · em dois turnos","")))</f>
        <v/>
      </c>
      <c r="PP61" s="152">
        <f>IF($MJ61&lt;&gt;"",$MJ61,IF($MW61=0,"",INDEX($AA$2:$AA$11,$MW61)))</f>
        <v/>
      </c>
      <c r="PQ61" s="152">
        <f>IF(OR($MQ61=0,$MW61=0),"",IF(COUNTIF($MK61:$MN61,"Inescapável")&gt;0,"Automático",IF($PP61="Ataque",IF($MU61="","Ataque","Ataque "&amp;IF(($MU61+2*IF(COUNTIF($MK61:$MN61,"Precisão")&gt;0,1,0))&gt;=0,"+","−")&amp;ABS(($MU61+2*IF(COUNTIF($MK61:$MN61,"Precisão")&gt;0,1,0))))&amp;IF($NQ61&gt;0," · TR"&amp;IF($MV61="",""," CD "&amp;$MV61),""),IF(LEFT($PP61,2)="TR",$PP61&amp;IF($MV61="",""," · CD "&amp;$MV61)&amp;IF(COUNTIF($MK61:$MN61,"Certeiro")&gt;0," · metade",""),"Sem rolagem"))))</f>
        <v/>
      </c>
      <c r="PR61" s="152">
        <f>IF(OR($MQ61=0,$MW61=0),"",IF($MF61=0,IF(OR($NT61&gt;=1,$OQ61=0),"Sem dano",$OQ61&amp;"d6"&amp;IF($MI61="",""," "&amp;$MI61)),IF(OR($NT61&gt;=1,$OQ61=0),UPPER(LEFT(INDEX($OZ61:$PF61,1,MAX(1,$MF61)),1))&amp;MID(INDEX($OZ61:$PF61,1,MAX(1,$MF61)),2,99),UPPER(LEFT(INDEX($OZ61:$PF61,1,MAX(1,$MF61)),1))&amp;MID(INDEX($OZ61:$PF61,1,MAX(1,$MF61)),2,99)&amp;IF($MI61="",""," "&amp;$MI61)&amp;IF($OR61&gt;0," · +"&amp;$OR61&amp;"d8",""))))</f>
        <v/>
      </c>
      <c r="PS61" s="152">
        <f>COUNTIF($MK61:$MN61,"Longe")+3*COUNTIF($MK61:$MN61,"Muito Longe")</f>
        <v/>
      </c>
      <c r="PT61" s="152">
        <f>COUNTIF($MK61:$MN61,"Maior")+3*COUNTIF($MK61:$MN61,"Muito Maior")</f>
        <v/>
      </c>
      <c r="PU61" s="152">
        <f>IF($MW61=0,0,CHOOSE(1+INDEX($AC$2:$AC$11,$MW61),0,$PS61,$PT61,$PS61+$PT61))</f>
        <v/>
      </c>
      <c r="PV61" s="152">
        <f>IF($MW61=0,0,CHOOSE(1+INDEX($AD$2:$AD$11,$MW61),0,$PS61,$PT61,$PS61+$PT61))</f>
        <v/>
      </c>
      <c r="PW61" s="152">
        <f>IF(OR($MQ61=0,$MW61=0),"",INDEX($AI$2:$AN$41,($MW61-1)*4+IF($MF61=0,1,IF($MF61&lt;=5,2,IF($MF61=6,3,4))),1+MIN(5,$PU61))&amp;INDEX($AO$2:$AT$41,($MW61-1)*4+IF($MF61=0,1,IF($MF61&lt;=5,2,IF($MF61=6,3,4))),1+MIN(5,$PV61))&amp;IF(INDEX($AE$2:$AE$11,$MW61)=1,IF(COUNTIF($MK61:$MN61,"Mais Um")&gt;0," · +"&amp;COUNTIF($MK61:$MN61,"Mais Um")&amp;IF(COUNTIF($MK61:$MN61,"Mais Um")&gt;1," alvos"," alvo"),"")&amp;IF(COUNTIF($MK61:$MN61,"Rajada")&gt;0,IF($MF61=0," · 1 tiro"," · "&amp;(MAX(1,$MF61-1)+1)&amp;" tiros"),""),""))</f>
        <v/>
      </c>
      <c r="PX61" s="152">
        <f>IF($MQ61=0,"",IF($MF61=0,$MT61&amp;"d6"&amp;IF($OH61&gt;0," − 1 = "&amp;$OQ61&amp;"d6"," da básica do nível "&amp;$MR61),$OO61&amp;" − "&amp;$OJ61&amp;" + "&amp;$OM61&amp;" = "&amp;$OP61&amp;" · teto "&amp;4*$MF61&amp;"d8"&amp;IF($NS61=1," · a Forma devolve "&amp;$MF61,"")&amp;IF($ON61&gt;0," · perde "&amp;$ON61,"")))</f>
        <v/>
      </c>
      <c r="PY61" s="152">
        <f>IF($MQ61=0,"",IF($MF61=0,"A básica não amplia: os dados dela sobem com o nível",IF($MF61&gt;=$MS61,"Já está na maior Classe que o nível liberou",TEXTJOIN(" · ",TRUE,IF(AND(2&gt;$MF61,2&lt;=$MS61),"2 → "&amp;$PA61&amp;", 6 PE",""),IF(AND(3&gt;$MF61,3&lt;=$MS61),"3 → "&amp;$PB61&amp;", 9 PE",""),IF(AND(4&gt;$MF61,4&lt;=$MS61),"4 → "&amp;$PC61&amp;", 12 PE",""),IF(AND(5&gt;$MF61,5&lt;=$MS61),"5 → "&amp;$PD61&amp;", 15 PE",""),IF(AND(6&gt;$MF61,6&lt;=$MS61),"6 → "&amp;$PE61&amp;", 18 PE",""),IF(AND(7&gt;$MF61,7&lt;=$MS61),"7 → "&amp;$PF61&amp;", 21 PE","")))))</f>
        <v/>
      </c>
      <c r="PZ61" s="152">
        <f>IF(OR($MQ61=0,$NB61=0),"",IF($MF61=0,"−1 dado","−"&amp;INDEX($I$2:$N$8,MAX(1,$MF61),MAX(1,$NG61))&amp;" · "&amp;CHOOSE(MAX(1,$NG61),"Leve","Média","Pesada","Leve · Livre","Média · Livre","Pesada · Livre")))</f>
        <v/>
      </c>
      <c r="QA61" s="152">
        <f>IF(OR($MQ61=0,$NC61=0),"",IF($MF61=0,"−1 dado","−"&amp;INDEX($I$2:$N$8,MAX(1,$MF61),MAX(1,$NH61))&amp;" · "&amp;CHOOSE(MAX(1,$NH61),"Leve","Média","Pesada","Leve · Livre","Média · Livre","Pesada · Livre")))</f>
        <v/>
      </c>
      <c r="QB61" s="152">
        <f>IF(OR($MQ61=0,$ND61=0),"",IF($MF61=0,"−1 dado","−"&amp;INDEX($I$2:$N$8,MAX(1,$MF61),MAX(1,$NI61))&amp;" · "&amp;CHOOSE(MAX(1,$NI61),"Leve","Média","Pesada","Leve · Livre","Média · Livre","Pesada · Livre")))</f>
        <v/>
      </c>
      <c r="QC61" s="152">
        <f>IF(OR($MQ61=0,$NE61=0),"",IF($MF61=0,"−1 dado","−"&amp;INDEX($I$2:$N$8,MAX(1,$MF61),MAX(1,$NJ61))&amp;" · "&amp;CHOOSE(MAX(1,$NJ61),"Leve","Média","Pesada","Leve · Livre","Média · Livre","Pesada · Livre")))</f>
        <v/>
      </c>
      <c r="QD61" s="152">
        <f>IF(OR($MQ61=0,$MO61=""),"",IF($MF61=0,"não devolve","+"&amp;IF($NV61=1,CEILING($MF61/2,1),$MF61)))</f>
        <v/>
      </c>
      <c r="QE61" s="152">
        <f>IF(OR($MQ61=0,$MP61=""),"",IF($MF61=0,"não devolve","+"&amp;IF($NW61=1,CEILING($MF61/2,1),$MF61)))</f>
        <v/>
      </c>
    </row>
    <row r="62">
      <c r="AV62" s="150" t="inlineStr">
        <is>
          <t>Armado</t>
        </is>
      </c>
      <c r="AW62" s="150" t="inlineStr">
        <is>
          <t>Tempo</t>
        </is>
      </c>
      <c r="AX62" s="152" t="n">
        <v>1</v>
      </c>
      <c r="AY62" s="152" t="n">
        <v>0</v>
      </c>
      <c r="AZ62" s="152" t="n">
        <v>0</v>
      </c>
      <c r="BA62" s="152" t="n">
        <v>0</v>
      </c>
      <c r="JG62" s="152">
        <f>IF(OR($AW62="",COUNTIF($EF$2:$EJ$2,$AW62)&gt;0),$AV62,"")</f>
        <v/>
      </c>
      <c r="JH62" s="152">
        <f>IF(AND($AX62=1,OR($AW62="",COUNTIF($EF$2:$EJ$2,$AW62)&gt;0)),$AV62,"")</f>
        <v/>
      </c>
      <c r="JM62" s="152">
        <f>IF(OR($AW62="",COUNTIF($EF$3:$EJ$3,$AW62)&gt;0),$AV62,"")</f>
        <v/>
      </c>
      <c r="JN62" s="152">
        <f>IF(AND($AX62=1,OR($AW62="",COUNTIF($EF$3:$EJ$3,$AW62)&gt;0)),$AV62,"")</f>
        <v/>
      </c>
      <c r="JS62" s="152">
        <f>IF(OR($AW62="",COUNTIF($EF$4:$EJ$4,$AW62)&gt;0),$AV62,"")</f>
        <v/>
      </c>
      <c r="JT62" s="152">
        <f>IF(AND($AX62=1,OR($AW62="",COUNTIF($EF$4:$EJ$4,$AW62)&gt;0)),$AV62,"")</f>
        <v/>
      </c>
      <c r="JY62" s="152">
        <f>IF(OR($AW62="",COUNTIF($EF$5:$EJ$5,$AW62)&gt;0),$AV62,"")</f>
        <v/>
      </c>
      <c r="JZ62" s="152">
        <f>IF(AND($AX62=1,OR($AW62="",COUNTIF($EF$5:$EJ$5,$AW62)&gt;0)),$AV62,"")</f>
        <v/>
      </c>
      <c r="KE62" s="152">
        <f>IF(OR($AW62="",COUNTIF($EF$6:$EJ$6,$AW62)&gt;0),$AV62,"")</f>
        <v/>
      </c>
      <c r="KF62" s="152">
        <f>IF(AND($AX62=1,OR($AW62="",COUNTIF($EF$6:$EJ$6,$AW62)&gt;0)),$AV62,"")</f>
        <v/>
      </c>
      <c r="KK62" s="152">
        <f>IF(OR($AW62="",COUNTIF($EF$7:$EJ$7,$AW62)&gt;0),$AV62,"")</f>
        <v/>
      </c>
      <c r="KL62" s="152">
        <f>IF(AND($AX62=1,OR($AW62="",COUNTIF($EF$7:$EJ$7,$AW62)&gt;0)),$AV62,"")</f>
        <v/>
      </c>
      <c r="KQ62" s="152">
        <f>IF(OR($AW62="",COUNTIF($EF$8:$EJ$8,$AW62)&gt;0),$AV62,"")</f>
        <v/>
      </c>
      <c r="KR62" s="152">
        <f>IF(AND($AX62=1,OR($AW62="",COUNTIF($EF$8:$EJ$8,$AW62)&gt;0)),$AV62,"")</f>
        <v/>
      </c>
      <c r="KW62" s="152">
        <f>IF(OR($AW62="",COUNTIF($EF$9:$EJ$9,$AW62)&gt;0),$AV62,"")</f>
        <v/>
      </c>
      <c r="KX62" s="152">
        <f>IF(AND($AX62=1,OR($AW62="",COUNTIF($EF$9:$EJ$9,$AW62)&gt;0)),$AV62,"")</f>
        <v/>
      </c>
      <c r="LC62" s="152">
        <f>IF(OR($AW62="",COUNTIF($EF$10:$EJ$10,$AW62)&gt;0),$AV62,"")</f>
        <v/>
      </c>
      <c r="LD62" s="152">
        <f>IF(AND($AX62=1,OR($AW62="",COUNTIF($EF$10:$EJ$10,$AW62)&gt;0)),$AV62,"")</f>
        <v/>
      </c>
      <c r="LI62" s="152">
        <f>IF(OR($AW62="",COUNTIF($EF$11:$EJ$11,$AW62)&gt;0),$AV62,"")</f>
        <v/>
      </c>
      <c r="LJ62" s="152">
        <f>IF(AND($AX62=1,OR($AW62="",COUNTIF($EF$11:$EJ$11,$AW62)&gt;0)),$AV62,"")</f>
        <v/>
      </c>
      <c r="LO62" s="152">
        <f>IF(OR($AW62="",COUNTIF($EF$12:$EJ$12,$AW62)&gt;0),$AV62,"")</f>
        <v/>
      </c>
      <c r="LP62" s="152">
        <f>IF(AND($AX62=1,OR($AW62="",COUNTIF($EF$12:$EJ$12,$AW62)&gt;0)),$AV62,"")</f>
        <v/>
      </c>
      <c r="LU62" s="152">
        <f>IF(OR($AW62="",COUNTIF($EF$13:$EJ$13,$AW62)&gt;0),$AV62,"")</f>
        <v/>
      </c>
      <c r="LV62" s="152">
        <f>IF(AND($AX62=1,OR($AW62="",COUNTIF($EF$13:$EJ$13,$AW62)&gt;0)),$AV62,"")</f>
        <v/>
      </c>
      <c r="MA62" s="150" t="inlineStr">
        <is>
          <t>Ficha 5 · Especial 7</t>
        </is>
      </c>
      <c r="MB62" s="152" t="n">
        <v>5</v>
      </c>
      <c r="MC62" s="152" t="n">
        <v>1</v>
      </c>
      <c r="MD62" s="152" t="n">
        <v>24</v>
      </c>
      <c r="ME62" s="150" t="inlineStr">
        <is>
          <t>ESPECIAL 7</t>
        </is>
      </c>
      <c r="MF62" s="152">
        <f>MAX(1,MIN(7,N('INVOCAÇÕES'!$U$906)))</f>
        <v/>
      </c>
      <c r="MG62" s="152">
        <f>'INVOCAÇÕES'!$V$906&amp;""</f>
        <v/>
      </c>
      <c r="MH62" s="152">
        <f>'INVOCAÇÕES'!$U$911&amp;""</f>
        <v/>
      </c>
      <c r="MI62" s="152">
        <f>'INVOCAÇÕES'!$U$912&amp;""</f>
        <v/>
      </c>
      <c r="MJ62" s="152">
        <f>'INVOCAÇÕES'!$W$912&amp;""</f>
        <v/>
      </c>
      <c r="MK62" s="152">
        <f>'INVOCAÇÕES'!$V$915&amp;""</f>
        <v/>
      </c>
      <c r="ML62" s="152">
        <f>'INVOCAÇÕES'!$V$916&amp;""</f>
        <v/>
      </c>
      <c r="MM62" s="152">
        <f>'INVOCAÇÕES'!$V$917&amp;""</f>
        <v/>
      </c>
      <c r="MN62" s="152">
        <f>'INVOCAÇÕES'!$V$918&amp;""</f>
        <v/>
      </c>
      <c r="MO62" s="152">
        <f>'INVOCAÇÕES'!$V$919&amp;""</f>
        <v/>
      </c>
      <c r="MP62" s="152">
        <f>'INVOCAÇÕES'!$V$920&amp;""</f>
        <v/>
      </c>
      <c r="MQ62" s="152">
        <f>IF($MG62&lt;&gt;"",1,0)</f>
        <v/>
      </c>
      <c r="MR62" s="152">
        <f>INDEX($FI$2:$FI$13,$MB62)</f>
        <v/>
      </c>
      <c r="MS62" s="152">
        <f>INDEX($FJ$2:$FJ$13,$MB62)</f>
        <v/>
      </c>
      <c r="MT62" s="152">
        <f>INDEX($FK$2:$FK$13,$MB62)</f>
        <v/>
      </c>
      <c r="MU62" s="152">
        <f>INDEX($FV$2:$FV$13,$MB62)</f>
        <v/>
      </c>
      <c r="MV62" s="152">
        <f>INDEX($FW$2:$FW$13,$MB62)</f>
        <v/>
      </c>
      <c r="MW62" s="152">
        <f>IFERROR(MATCH($MH62,$V$2:$V$11,0),0)</f>
        <v/>
      </c>
      <c r="MX62" s="152">
        <f>IFERROR(VLOOKUP($MK62,$AV$2:$BA$84,2,FALSE),"")</f>
        <v/>
      </c>
      <c r="MY62" s="152">
        <f>IFERROR(VLOOKUP($ML62,$AV$2:$BA$84,2,FALSE),"")</f>
        <v/>
      </c>
      <c r="MZ62" s="152">
        <f>IFERROR(VLOOKUP($MM62,$AV$2:$BA$84,2,FALSE),"")</f>
        <v/>
      </c>
      <c r="NA62" s="152">
        <f>IFERROR(VLOOKUP($MN62,$AV$2:$BA$84,2,FALSE),"")</f>
        <v/>
      </c>
      <c r="NB62" s="152">
        <f>IFERROR(VLOOKUP($MK62,$AV$2:$BA$84,3,FALSE),0)</f>
        <v/>
      </c>
      <c r="NC62" s="152">
        <f>IFERROR(VLOOKUP($ML62,$AV$2:$BA$84,3,FALSE),0)</f>
        <v/>
      </c>
      <c r="ND62" s="152">
        <f>IFERROR(VLOOKUP($MM62,$AV$2:$BA$84,3,FALSE),0)</f>
        <v/>
      </c>
      <c r="NE62" s="152">
        <f>IFERROR(VLOOKUP($MN62,$AV$2:$BA$84,3,FALSE),0)</f>
        <v/>
      </c>
      <c r="NF62" s="152">
        <f>IF($MF62=0,0,IF($MW62=0,0,INDEX($X$2:$X$11,$MW62)))</f>
        <v/>
      </c>
      <c r="NG62" s="152">
        <f>IF(OR($NB62=0,$MF62=0),0,$NB62+3*IF(AND($MX62&lt;&gt;"",OR($MX62=INDEX($EF$2:$EF$13,$MB62),$MX62=INDEX($EG$2:$EG$13,$MB62))),1,0))</f>
        <v/>
      </c>
      <c r="NH62" s="152">
        <f>IF(OR($NC62=0,$MF62=0),0,$NC62+3*IF(AND($MY62&lt;&gt;"",OR($MY62=INDEX($EF$2:$EF$13,$MB62),$MY62=INDEX($EG$2:$EG$13,$MB62))),1,0))</f>
        <v/>
      </c>
      <c r="NI62" s="152">
        <f>IF(OR($ND62=0,$MF62=0),0,$ND62+3*IF(AND($MZ62&lt;&gt;"",OR($MZ62=INDEX($EF$2:$EF$13,$MB62),$MZ62=INDEX($EG$2:$EG$13,$MB62))),1,0))</f>
        <v/>
      </c>
      <c r="NJ62" s="152">
        <f>IF(OR($NE62=0,$MF62=0),0,$NE62+3*IF(AND($NA62&lt;&gt;"",OR($NA62=INDEX($EF$2:$EF$13,$MB62),$NA62=INDEX($EG$2:$EG$13,$MB62))),1,0))</f>
        <v/>
      </c>
      <c r="NK62" s="152">
        <f>IF($MW62=0,0,IF(INDEX($W$2:$W$11,$MW62)="",0,IF(COUNTIF(INDEX($EF$2:$EJ$13,$MB62,0),INDEX($W$2:$W$11,$MW62))=0,1,0)))</f>
        <v/>
      </c>
      <c r="NL62" s="152">
        <f>IF(OR($NB62=0,$MX62=""),0,IF(COUNTIF(INDEX($EF$2:$EJ$13,$MB62,0),$MX62)=0,1,0))</f>
        <v/>
      </c>
      <c r="NM62" s="152">
        <f>IF(OR($NC62=0,$MY62=""),0,IF(COUNTIF(INDEX($EF$2:$EJ$13,$MB62,0),$MY62)=0,1,0))</f>
        <v/>
      </c>
      <c r="NN62" s="152">
        <f>IF(OR($ND62=0,$MZ62=""),0,IF(COUNTIF(INDEX($EF$2:$EJ$13,$MB62,0),$MZ62)=0,1,0))</f>
        <v/>
      </c>
      <c r="NO62" s="152">
        <f>IF(OR($NE62=0,$NA62=""),0,IF(COUNTIF(INDEX($EF$2:$EJ$13,$MB62,0),$NA62)=0,1,0))</f>
        <v/>
      </c>
      <c r="NP62" s="152">
        <f>IFERROR(VLOOKUP($MK62,$AV$2:$BA$84,4,FALSE),0)+IFERROR(VLOOKUP($ML62,$AV$2:$BA$84,4,FALSE),0)+IFERROR(VLOOKUP($MM62,$AV$2:$BA$84,4,FALSE),0)+IFERROR(VLOOKUP($MN62,$AV$2:$BA$84,4,FALSE),0)</f>
        <v/>
      </c>
      <c r="NQ62" s="152">
        <f>IFERROR(VLOOKUP($MK62,$AV$2:$BA$84,6,FALSE),0)+IFERROR(VLOOKUP($ML62,$AV$2:$BA$84,6,FALSE),0)+IFERROR(VLOOKUP($MM62,$AV$2:$BA$84,6,FALSE),0)+IFERROR(VLOOKUP($MN62,$AV$2:$BA$84,6,FALSE),0)</f>
        <v/>
      </c>
      <c r="NR62" s="152">
        <f>TEXTJOIN(", ",TRUE,IF(IFERROR(VLOOKUP($MK62,$AV$2:$BA$84,5,FALSE),0)=1,$MK62,""),IF(IFERROR(VLOOKUP($ML62,$AV$2:$BA$84,5,FALSE),0)=1,$ML62,""),IF(IFERROR(VLOOKUP($MM62,$AV$2:$BA$84,5,FALSE),0)=1,$MM62,""),IF(IFERROR(VLOOKUP($MN62,$AV$2:$BA$84,5,FALSE),0)=1,$MN62,""))</f>
        <v/>
      </c>
      <c r="NS62" s="152">
        <f>IF($MW62=0,0,INDEX($Y$2:$Y$11,$MW62))</f>
        <v/>
      </c>
      <c r="NT62" s="152">
        <f>IF($MW62=0,0,INDEX($Z$2:$Z$11,$MW62))</f>
        <v/>
      </c>
      <c r="NU62" s="152">
        <f>IF($MW62=0,0,INDEX($AB$2:$AB$11,$MW62))</f>
        <v/>
      </c>
      <c r="NV62" s="152">
        <f>IFERROR(VLOOKUP($MO62,$BC$2:$BG$24,3,FALSE),0)</f>
        <v/>
      </c>
      <c r="NW62" s="152">
        <f>IFERROR(VLOOKUP($MP62,$BC$2:$BG$24,3,FALSE),0)</f>
        <v/>
      </c>
      <c r="NX62" s="152">
        <f>IFERROR(VLOOKUP($MO62,$BC$2:$BG$24,2,FALSE),"")</f>
        <v/>
      </c>
      <c r="NY62" s="152">
        <f>IFERROR(VLOOKUP($MP62,$BC$2:$BG$24,2,FALSE),"")</f>
        <v/>
      </c>
      <c r="NZ62" s="152">
        <f>COUNTIF($NF62:$NJ62,1)</f>
        <v/>
      </c>
      <c r="OA62" s="152">
        <f>COUNTIF($NF62:$NJ62,2)</f>
        <v/>
      </c>
      <c r="OB62" s="152">
        <f>COUNTIF($NF62:$NJ62,3)</f>
        <v/>
      </c>
      <c r="OC62" s="152">
        <f>COUNTIF($NF62:$NJ62,4)</f>
        <v/>
      </c>
      <c r="OD62" s="152">
        <f>COUNTIF($NF62:$NJ62,5)</f>
        <v/>
      </c>
      <c r="OE62" s="152">
        <f>COUNTIF($NF62:$NJ62,6)</f>
        <v/>
      </c>
      <c r="OF62" s="152">
        <f>COUNTIF($NV62:$NW62,1)</f>
        <v/>
      </c>
      <c r="OG62" s="152">
        <f>COUNTIF($NV62:$NW62,2)+$NS62</f>
        <v/>
      </c>
      <c r="OH62" s="152">
        <f>COUNTIF($MK62:$MN62,"?*")</f>
        <v/>
      </c>
      <c r="OI62" s="152">
        <f>COUNTIF($MO62:$MP62,"?*")+$NS62</f>
        <v/>
      </c>
      <c r="OJ62" s="152">
        <f>IF($MF62=0,0,SUMPRODUCT($NZ62:$OE62,INDEX($I$2:$N$8,MAX(1,$MF62),0)))</f>
        <v/>
      </c>
      <c r="OK62" s="152">
        <f>IF($MF62=0,0,$OF62*CEILING($MF62/2,1)+$OG62*$MF62)</f>
        <v/>
      </c>
      <c r="OL62" s="152">
        <f>MIN(2*$MF62,$OK62)</f>
        <v/>
      </c>
      <c r="OM62" s="152">
        <f>MIN($OL62,$OJ62)</f>
        <v/>
      </c>
      <c r="ON62" s="152">
        <f>$OL62-$OM62</f>
        <v/>
      </c>
      <c r="OO62" s="152">
        <f>IF($MF62=0,0,INDEX($P$2:$P$8,MAX(1,$MF62)))</f>
        <v/>
      </c>
      <c r="OP62" s="152">
        <f>$OO62-$OJ62+$OM62</f>
        <v/>
      </c>
      <c r="OQ62" s="152">
        <f>IF($MF62=0,MAX(0,$MT62-IF($OH62&gt;0,1,0)),MAX(0,$OP62))</f>
        <v/>
      </c>
      <c r="OR62" s="152">
        <f>IF($MF62=0,0,(IF(COUNTIF($MK62:$MN62,"Salto")&gt;0,1,0)+IF(COUNTIF($MK62:$MN62,"Queima")&gt;0,1,0)+IF(COUNTIF($MK62:$MN62,"Estilhaço")&gt;0,1,0))*FLOOR($OQ62/2,1))</f>
        <v/>
      </c>
      <c r="OS62" s="152">
        <f>MAX(0,2-SUMPRODUCT($NZ62:$OE62,$I$2:$N$2)+MIN(2,$OF62*1+$OG62*1,SUMPRODUCT($NZ62:$OE62,$I$2:$N$2)))</f>
        <v/>
      </c>
      <c r="OT62" s="152">
        <f>MAX(0,4-SUMPRODUCT($NZ62:$OE62,$I$3:$N$3)+MIN(4,$OF62*1+$OG62*2,SUMPRODUCT($NZ62:$OE62,$I$3:$N$3)))</f>
        <v/>
      </c>
      <c r="OU62" s="152">
        <f>MAX(0,6-SUMPRODUCT($NZ62:$OE62,$I$4:$N$4)+MIN(6,$OF62*2+$OG62*3,SUMPRODUCT($NZ62:$OE62,$I$4:$N$4)))</f>
        <v/>
      </c>
      <c r="OV62" s="152">
        <f>MAX(0,9-SUMPRODUCT($NZ62:$OE62,$I$5:$N$5)+MIN(8,$OF62*2+$OG62*4,SUMPRODUCT($NZ62:$OE62,$I$5:$N$5)))</f>
        <v/>
      </c>
      <c r="OW62" s="152">
        <f>MAX(0,11-SUMPRODUCT($NZ62:$OE62,$I$6:$N$6)+MIN(10,$OF62*3+$OG62*5,SUMPRODUCT($NZ62:$OE62,$I$6:$N$6)))</f>
        <v/>
      </c>
      <c r="OX62" s="152">
        <f>MAX(0,13-SUMPRODUCT($NZ62:$OE62,$I$7:$N$7)+MIN(12,$OF62*3+$OG62*6,SUMPRODUCT($NZ62:$OE62,$I$7:$N$7)))</f>
        <v/>
      </c>
      <c r="OY62" s="152">
        <f>MAX(0,16-SUMPRODUCT($NZ62:$OE62,$I$8:$N$8)+MIN(14,$OF62*4+$OG62*7,SUMPRODUCT($NZ62:$OE62,$I$8:$N$8)))</f>
        <v/>
      </c>
      <c r="OZ62" s="152">
        <f>IF($NT62=2,3*$OS62&amp;" de vida temp.",IF($NT62=3,"sem dano",IF($OS62=0,IF($NT62=1,"sem cura","sem dano"),IF($NT62=1,"cura ","")&amp;$OS62&amp;"d8")))</f>
        <v/>
      </c>
      <c r="PA62" s="152">
        <f>IF($NT62=2,3*$OT62&amp;" de vida temp.",IF($NT62=3,"sem dano",IF($OT62=0,IF($NT62=1,"sem cura","sem dano"),IF($NT62=1,"cura ","")&amp;$OT62&amp;"d8")))</f>
        <v/>
      </c>
      <c r="PB62" s="152">
        <f>IF($NT62=2,3*$OU62&amp;" de vida temp.",IF($NT62=3,"sem dano",IF($OU62=0,IF($NT62=1,"sem cura","sem dano"),IF($NT62=1,"cura ","")&amp;$OU62&amp;"d8")))</f>
        <v/>
      </c>
      <c r="PC62" s="152">
        <f>IF($NT62=2,3*$OV62&amp;" de vida temp.",IF($NT62=3,"sem dano",IF($OV62=0,IF($NT62=1,"sem cura","sem dano"),IF($NT62=1,"cura ","")&amp;$OV62&amp;"d8")))</f>
        <v/>
      </c>
      <c r="PD62" s="152">
        <f>IF($NT62=2,3*$OW62&amp;" de vida temp.",IF($NT62=3,"sem dano",IF($OW62=0,IF($NT62=1,"sem cura","sem dano"),IF($NT62=1,"cura ","")&amp;$OW62&amp;"d8")))</f>
        <v/>
      </c>
      <c r="PE62" s="152">
        <f>IF($NT62=2,3*$OX62&amp;" de vida temp.",IF($NT62=3,"sem dano",IF($OX62=0,IF($NT62=1,"sem cura","sem dano"),IF($NT62=1,"cura ","")&amp;$OX62&amp;"d8")))</f>
        <v/>
      </c>
      <c r="PF62" s="152">
        <f>IF($NT62=2,3*$OY62&amp;" de vida temp.",IF($NT62=3,"sem dano",IF($OY62=0,IF($NT62=1,"sem cura","sem dano"),IF($NT62=1,"cura ","")&amp;$OY62&amp;"d8")))</f>
        <v/>
      </c>
      <c r="PG62" s="152">
        <f>IF($MQ62=0,"",TEXTJOIN(" · ",TRUE,IF($MD62&gt;$MR62,"Este lugar abre no nível "&amp;$MD62,""),IF($MF62&gt;$MS62,"Classe "&amp;$MF62&amp;": o nível "&amp;$MR62&amp;" libera até a "&amp;$MS62,""),IF($NK62=1,"A Forma "&amp;$MH62&amp;" pede "&amp;INDEX($W$2:$W$11,$MW62)&amp;" aberta",""),IF(AND($MF62=0,$MW62&gt;0,IF($MW62=0,0,INDEX($AF$2:$AF$11,$MW62))=0),$MH62&amp;" não existe na Classe 0",""),IF($NL62=1,"Família Fechada: "&amp;$MK62,""),IF($NM62=1,"Família Fechada: "&amp;$ML62,""),IF($NN62=1,"Família Fechada: "&amp;$MM62,""),IF($NO62=1,"Família Fechada: "&amp;$MN62,""),IF(AND($MF62&gt;0,$OH62&gt;INDEX($O$2:$O$8,MAX(1,$MF62))),$OH62&amp;" Melhorias: a Classe "&amp;$MF62&amp;" aceita "&amp;INDEX($O$2:$O$8,MAX(1,$MF62)),""),IF(AND($MF62=0,$OH62&gt;1),"A básica aceita uma Melhoria",""),IF(AND($MF62=0,COUNTIF($NB62:$NE62,"&gt;1")&gt;0),"A básica só aceita Melhoria Leve",""),IF(AND($MF62&gt;0,$OI62&gt;2),$OI62&amp;" Restrições"&amp;IF($NS62=1,", contando a que a Forma "&amp;$MH62&amp;" já traz","")&amp;": o limite é 2",""),IF(AND($MF62=0,COUNTIF($MO62:$MP62,"?*")&gt;1),"A básica aceita uma Restrição Leve",""),IF(AND($MF62=0,COUNTIF($NV62:$NW62,2)&gt;0),"A básica só aceita Restrição Leve",""),IF(AND($MF62&gt;0,$OP62&lt;0),"Orçamento estourado: faltam "&amp;(-$OP62)&amp;IF($OP62&lt;-1," pontos"," ponto"),""),IF(IFERROR(VLOOKUP($MO62,$BC$2:$BG$24,4,FALSE),0)+IFERROR(VLOOKUP($MP62,$BC$2:$BG$24,4,FALSE),0)&gt;1,$NX62&amp;" e "&amp;$NY62&amp;" são as duas de frequência",""),IF(AND((COUNTIF($MK62:$MN62,"Rápido")+COUNTIF($NX62:$NY62,"Rápido"))&gt;0,(COUNTIF($MK62:$MN62,"Atrasar")+COUNTIF($NX62:$NY62,"Atrasar"))&gt;0),"Rápido não entra com Atrasar",""),IF(AND((COUNTIF($MK62:$MN62,"Reação")+COUNTIF($NX62:$NY62,"Reação"))&gt;0,(COUNTIF($MK62:$MN62,"Rápido")+COUNTIF($NX62:$NY62,"Rápido"))&gt;0),"Reação não entra com Rápido",""),IF(AND((COUNTIF($MK62:$MN62,"Reação")+COUNTIF($NX62:$NY62,"Reação"))&gt;0,(COUNTIF($MK62:$MN62,"Armado")+COUNTIF($NX62:$NY62,"Armado"))&gt;0),"Reação não entra com Armado",""),IF(AND((COUNTIF($MK62:$MN62,"Reação")+COUNTIF($NX62:$NY62,"Reação"))&gt;0,(COUNTIF($MK62:$MN62,"Atrasar")+COUNTIF($NX62:$NY62,"Atrasar"))&gt;0),"Reação não entra com Atrasar",""),IF(AND((COUNTIF($MK62:$MN62,"Reação")+COUNTIF($NX62:$NY62,"Reação"))&gt;0,(COUNTIF($MK62:$MN62,"Parado")+COUNTIF($NX62:$NY62,"Parado"))&gt;0),"Reação não entra com Parado",""),IF(AND((COUNTIF($MK62:$MN62,"Atrasar")+COUNTIF($NX62:$NY62,"Atrasar"))&gt;0,(COUNTIF($MK62:$MN62,"Parado")+COUNTIF($NX62:$NY62,"Parado"))&gt;0),"Atrasar não entra com Parado",""),IF(AND((COUNTIF($MK62:$MN62,"Armado")+COUNTIF($NX62:$NY62,"Armado"))&gt;0,(COUNTIF($MK62:$MN62,"Carregar")+COUNTIF($NX62:$NY62,"Carregar"))&gt;0),"Armado não entra com Carregar",""),IF(AND(COUNTIF($NX62:$NY62,"Corpo a Corpo")&gt;0,$NS62=0,OR($MH62="Cone",$MH62="Linha")),"Corpo a Corpo não entra em "&amp;$MH62,""),IF(AND(COUNTIF($NX62:$NY62,"Corpo a Corpo")&gt;0,$NS62=1),"A Forma "&amp;$MH62&amp;" já traz o Corpo a Corpo",""),IF(AND(COUNTIF($NX62:$NY62,"Tudo ou Nada")&gt;0,$NU62=0),"Tudo ou Nada só entra em habilidade de Teste de Resistência",""),IF(AND(COUNTIF($MK62:$MN62,"Inescapável")&gt;0,OR($OH62&gt;1,$OI62&gt;0)),"Inescapável não aceita outra peça",""),IF(AND($MF62&gt;0,$OQ62*IF(COUNTIF($MK62:$MN62,"Remate")&gt;0,1.25,1)+$OR62&gt;4*$MF62),($OQ62*IF(COUNTIF($MK62:$MN62,"Remate")&gt;0,1.25,1)+$OR62)&amp;" dados somando repetições"&amp;IF(COUNTIF($MK62:$MN62,"Remate")&gt;0," e o Remate","")&amp;": o teto da Classe "&amp;$MF62&amp;" é "&amp;4*$MF62,"")))</f>
        <v/>
      </c>
      <c r="PH62" s="152">
        <f>IF($PG62="",0,(LEN($PG62)-LEN(SUBSTITUTE($PG62," · ","")))/3+1)</f>
        <v/>
      </c>
      <c r="PI62" s="152">
        <f>IF($MQ62=0,"",TEXTJOIN(" · ",TRUE,IF($OK62&gt;2*$MF62,"A devolução parou no teto de "&amp;2*$MF62,""),IF($ON62&gt;0,"Devolução perdida: "&amp;$ON62&amp;IF($ON62&gt;1," pontos"," ponto")&amp;" sem peça para pagar",""),IF(AND($NP62&gt;0,AND($MF62&gt;0,$NT62=0),$OQ62=0),"Controle sem dano: uma rodada a mais e CD +2",""),IF(AND($NP62&gt;0,AND($MF62&gt;0,$NT62=0),$OQ62&gt;0,$OQ62&lt;=$MF62),"Controle com saldo até a Classe: uma rodada a mais",""),IF(AND($MF62&gt;0,$NR62&lt;&gt;""),"Efeito de "&amp;$NR62&amp;" pela Classe "&amp;MAX(1,$MF62-1),"")))</f>
        <v/>
      </c>
      <c r="PJ62" s="152">
        <f>IF($PI62="",0,(LEN($PI62)-LEN(SUBSTITUTE($PI62," · ","")))/3+1)</f>
        <v/>
      </c>
      <c r="PK62" s="152">
        <f>IF($MQ62=0,IF($OH62+COUNTIF($MO62:$MP62,"?*")&gt;0,"Dê um nome",""),IF($PH62&gt;0,"⚠ "&amp;$PH62&amp;IF($PH62&gt;1," erros"," erro"),IF($PJ62&gt;0,"! "&amp;$PJ62&amp;IF($PJ62&gt;1," avisos"," aviso"),"Na regra")))</f>
        <v/>
      </c>
      <c r="PL62" s="152">
        <f>IF($MQ62=0,"",IF($PH62+$PJ62=0,"Dentro das regras que a ficha confere",$PG62&amp;IF(AND($PH62&gt;0,$PJ62&gt;0)," · ","")&amp;$PI62))</f>
        <v/>
      </c>
      <c r="PM62" s="152">
        <f>IF($MD62&gt;$MR62,$ME62&amp;" · ABRE NO NÍVEL "&amp;$MD62,$ME62)</f>
        <v/>
      </c>
      <c r="PN62" s="152">
        <f>IF($MQ62=0,"",IF($MF62=0,"Sem PE",3*$MF62&amp;" PE"))</f>
        <v/>
      </c>
      <c r="PO62" s="152">
        <f>IF($MQ62=0,"",IF($MF62=0,"A atuação básica dela",IF(COUNTIF($NX62:$NY62,"Atrasar")&gt;0,"Sua Ação Completa",IF(COUNTIF($MK62:$MN62,"Rápido")&gt;0,"Sua Bônus",IF(COUNTIF($MK62:$MN62,"Reação")&gt;0,"Sua Reação","Sua Padrão")))&amp;" + a básica dela"&amp;IF(COUNTIF($MK62:$MN62,"Reação")&gt;0," e a coletiva","")&amp;IF(COUNTIF($NX62:$NY62,"Carregar")&gt;0," · em dois turnos","")))</f>
        <v/>
      </c>
      <c r="PP62" s="152">
        <f>IF($MJ62&lt;&gt;"",$MJ62,IF($MW62=0,"",INDEX($AA$2:$AA$11,$MW62)))</f>
        <v/>
      </c>
      <c r="PQ62" s="152">
        <f>IF(OR($MQ62=0,$MW62=0),"",IF(COUNTIF($MK62:$MN62,"Inescapável")&gt;0,"Automático",IF($PP62="Ataque",IF($MU62="","Ataque","Ataque "&amp;IF(($MU62+2*IF(COUNTIF($MK62:$MN62,"Precisão")&gt;0,1,0))&gt;=0,"+","−")&amp;ABS(($MU62+2*IF(COUNTIF($MK62:$MN62,"Precisão")&gt;0,1,0))))&amp;IF($NQ62&gt;0," · TR"&amp;IF($MV62="",""," CD "&amp;$MV62),""),IF(LEFT($PP62,2)="TR",$PP62&amp;IF($MV62="",""," · CD "&amp;$MV62)&amp;IF(COUNTIF($MK62:$MN62,"Certeiro")&gt;0," · metade",""),"Sem rolagem"))))</f>
        <v/>
      </c>
      <c r="PR62" s="152">
        <f>IF(OR($MQ62=0,$MW62=0),"",IF($MF62=0,IF(OR($NT62&gt;=1,$OQ62=0),"Sem dano",$OQ62&amp;"d6"&amp;IF($MI62="",""," "&amp;$MI62)),IF(OR($NT62&gt;=1,$OQ62=0),UPPER(LEFT(INDEX($OZ62:$PF62,1,MAX(1,$MF62)),1))&amp;MID(INDEX($OZ62:$PF62,1,MAX(1,$MF62)),2,99),UPPER(LEFT(INDEX($OZ62:$PF62,1,MAX(1,$MF62)),1))&amp;MID(INDEX($OZ62:$PF62,1,MAX(1,$MF62)),2,99)&amp;IF($MI62="",""," "&amp;$MI62)&amp;IF($OR62&gt;0," · +"&amp;$OR62&amp;"d8",""))))</f>
        <v/>
      </c>
      <c r="PS62" s="152">
        <f>COUNTIF($MK62:$MN62,"Longe")+3*COUNTIF($MK62:$MN62,"Muito Longe")</f>
        <v/>
      </c>
      <c r="PT62" s="152">
        <f>COUNTIF($MK62:$MN62,"Maior")+3*COUNTIF($MK62:$MN62,"Muito Maior")</f>
        <v/>
      </c>
      <c r="PU62" s="152">
        <f>IF($MW62=0,0,CHOOSE(1+INDEX($AC$2:$AC$11,$MW62),0,$PS62,$PT62,$PS62+$PT62))</f>
        <v/>
      </c>
      <c r="PV62" s="152">
        <f>IF($MW62=0,0,CHOOSE(1+INDEX($AD$2:$AD$11,$MW62),0,$PS62,$PT62,$PS62+$PT62))</f>
        <v/>
      </c>
      <c r="PW62" s="152">
        <f>IF(OR($MQ62=0,$MW62=0),"",INDEX($AI$2:$AN$41,($MW62-1)*4+IF($MF62=0,1,IF($MF62&lt;=5,2,IF($MF62=6,3,4))),1+MIN(5,$PU62))&amp;INDEX($AO$2:$AT$41,($MW62-1)*4+IF($MF62=0,1,IF($MF62&lt;=5,2,IF($MF62=6,3,4))),1+MIN(5,$PV62))&amp;IF(INDEX($AE$2:$AE$11,$MW62)=1,IF(COUNTIF($MK62:$MN62,"Mais Um")&gt;0," · +"&amp;COUNTIF($MK62:$MN62,"Mais Um")&amp;IF(COUNTIF($MK62:$MN62,"Mais Um")&gt;1," alvos"," alvo"),"")&amp;IF(COUNTIF($MK62:$MN62,"Rajada")&gt;0,IF($MF62=0," · 1 tiro"," · "&amp;(MAX(1,$MF62-1)+1)&amp;" tiros"),""),""))</f>
        <v/>
      </c>
      <c r="PX62" s="152">
        <f>IF($MQ62=0,"",IF($MF62=0,$MT62&amp;"d6"&amp;IF($OH62&gt;0," − 1 = "&amp;$OQ62&amp;"d6"," da básica do nível "&amp;$MR62),$OO62&amp;" − "&amp;$OJ62&amp;" + "&amp;$OM62&amp;" = "&amp;$OP62&amp;" · teto "&amp;4*$MF62&amp;"d8"&amp;IF($NS62=1," · a Forma devolve "&amp;$MF62,"")&amp;IF($ON62&gt;0," · perde "&amp;$ON62,"")))</f>
        <v/>
      </c>
      <c r="PY62" s="152">
        <f>IF($MQ62=0,"",IF($MF62=0,"A básica não amplia: os dados dela sobem com o nível",IF($MF62&gt;=$MS62,"Já está na maior Classe que o nível liberou",TEXTJOIN(" · ",TRUE,IF(AND(2&gt;$MF62,2&lt;=$MS62),"2 → "&amp;$PA62&amp;", 6 PE",""),IF(AND(3&gt;$MF62,3&lt;=$MS62),"3 → "&amp;$PB62&amp;", 9 PE",""),IF(AND(4&gt;$MF62,4&lt;=$MS62),"4 → "&amp;$PC62&amp;", 12 PE",""),IF(AND(5&gt;$MF62,5&lt;=$MS62),"5 → "&amp;$PD62&amp;", 15 PE",""),IF(AND(6&gt;$MF62,6&lt;=$MS62),"6 → "&amp;$PE62&amp;", 18 PE",""),IF(AND(7&gt;$MF62,7&lt;=$MS62),"7 → "&amp;$PF62&amp;", 21 PE","")))))</f>
        <v/>
      </c>
      <c r="PZ62" s="152">
        <f>IF(OR($MQ62=0,$NB62=0),"",IF($MF62=0,"−1 dado","−"&amp;INDEX($I$2:$N$8,MAX(1,$MF62),MAX(1,$NG62))&amp;" · "&amp;CHOOSE(MAX(1,$NG62),"Leve","Média","Pesada","Leve · Livre","Média · Livre","Pesada · Livre")))</f>
        <v/>
      </c>
      <c r="QA62" s="152">
        <f>IF(OR($MQ62=0,$NC62=0),"",IF($MF62=0,"−1 dado","−"&amp;INDEX($I$2:$N$8,MAX(1,$MF62),MAX(1,$NH62))&amp;" · "&amp;CHOOSE(MAX(1,$NH62),"Leve","Média","Pesada","Leve · Livre","Média · Livre","Pesada · Livre")))</f>
        <v/>
      </c>
      <c r="QB62" s="152">
        <f>IF(OR($MQ62=0,$ND62=0),"",IF($MF62=0,"−1 dado","−"&amp;INDEX($I$2:$N$8,MAX(1,$MF62),MAX(1,$NI62))&amp;" · "&amp;CHOOSE(MAX(1,$NI62),"Leve","Média","Pesada","Leve · Livre","Média · Livre","Pesada · Livre")))</f>
        <v/>
      </c>
      <c r="QC62" s="152">
        <f>IF(OR($MQ62=0,$NE62=0),"",IF($MF62=0,"−1 dado","−"&amp;INDEX($I$2:$N$8,MAX(1,$MF62),MAX(1,$NJ62))&amp;" · "&amp;CHOOSE(MAX(1,$NJ62),"Leve","Média","Pesada","Leve · Livre","Média · Livre","Pesada · Livre")))</f>
        <v/>
      </c>
      <c r="QD62" s="152">
        <f>IF(OR($MQ62=0,$MO62=""),"",IF($MF62=0,"não devolve","+"&amp;IF($NV62=1,CEILING($MF62/2,1),$MF62)))</f>
        <v/>
      </c>
      <c r="QE62" s="152">
        <f>IF(OR($MQ62=0,$MP62=""),"",IF($MF62=0,"não devolve","+"&amp;IF($NW62=1,CEILING($MF62/2,1),$MF62)))</f>
        <v/>
      </c>
    </row>
    <row r="63">
      <c r="AV63" s="150" t="inlineStr">
        <is>
          <t>Silencioso</t>
        </is>
      </c>
      <c r="AW63" s="150" t="inlineStr">
        <is>
          <t>Tempo</t>
        </is>
      </c>
      <c r="AX63" s="152" t="n">
        <v>1</v>
      </c>
      <c r="AY63" s="152" t="n">
        <v>0</v>
      </c>
      <c r="AZ63" s="152" t="n">
        <v>0</v>
      </c>
      <c r="BA63" s="152" t="n">
        <v>0</v>
      </c>
      <c r="JG63" s="152">
        <f>IF(OR($AW63="",COUNTIF($EF$2:$EJ$2,$AW63)&gt;0),$AV63,"")</f>
        <v/>
      </c>
      <c r="JH63" s="152">
        <f>IF(AND($AX63=1,OR($AW63="",COUNTIF($EF$2:$EJ$2,$AW63)&gt;0)),$AV63,"")</f>
        <v/>
      </c>
      <c r="JM63" s="152">
        <f>IF(OR($AW63="",COUNTIF($EF$3:$EJ$3,$AW63)&gt;0),$AV63,"")</f>
        <v/>
      </c>
      <c r="JN63" s="152">
        <f>IF(AND($AX63=1,OR($AW63="",COUNTIF($EF$3:$EJ$3,$AW63)&gt;0)),$AV63,"")</f>
        <v/>
      </c>
      <c r="JS63" s="152">
        <f>IF(OR($AW63="",COUNTIF($EF$4:$EJ$4,$AW63)&gt;0),$AV63,"")</f>
        <v/>
      </c>
      <c r="JT63" s="152">
        <f>IF(AND($AX63=1,OR($AW63="",COUNTIF($EF$4:$EJ$4,$AW63)&gt;0)),$AV63,"")</f>
        <v/>
      </c>
      <c r="JY63" s="152">
        <f>IF(OR($AW63="",COUNTIF($EF$5:$EJ$5,$AW63)&gt;0),$AV63,"")</f>
        <v/>
      </c>
      <c r="JZ63" s="152">
        <f>IF(AND($AX63=1,OR($AW63="",COUNTIF($EF$5:$EJ$5,$AW63)&gt;0)),$AV63,"")</f>
        <v/>
      </c>
      <c r="KE63" s="152">
        <f>IF(OR($AW63="",COUNTIF($EF$6:$EJ$6,$AW63)&gt;0),$AV63,"")</f>
        <v/>
      </c>
      <c r="KF63" s="152">
        <f>IF(AND($AX63=1,OR($AW63="",COUNTIF($EF$6:$EJ$6,$AW63)&gt;0)),$AV63,"")</f>
        <v/>
      </c>
      <c r="KK63" s="152">
        <f>IF(OR($AW63="",COUNTIF($EF$7:$EJ$7,$AW63)&gt;0),$AV63,"")</f>
        <v/>
      </c>
      <c r="KL63" s="152">
        <f>IF(AND($AX63=1,OR($AW63="",COUNTIF($EF$7:$EJ$7,$AW63)&gt;0)),$AV63,"")</f>
        <v/>
      </c>
      <c r="KQ63" s="152">
        <f>IF(OR($AW63="",COUNTIF($EF$8:$EJ$8,$AW63)&gt;0),$AV63,"")</f>
        <v/>
      </c>
      <c r="KR63" s="152">
        <f>IF(AND($AX63=1,OR($AW63="",COUNTIF($EF$8:$EJ$8,$AW63)&gt;0)),$AV63,"")</f>
        <v/>
      </c>
      <c r="KW63" s="152">
        <f>IF(OR($AW63="",COUNTIF($EF$9:$EJ$9,$AW63)&gt;0),$AV63,"")</f>
        <v/>
      </c>
      <c r="KX63" s="152">
        <f>IF(AND($AX63=1,OR($AW63="",COUNTIF($EF$9:$EJ$9,$AW63)&gt;0)),$AV63,"")</f>
        <v/>
      </c>
      <c r="LC63" s="152">
        <f>IF(OR($AW63="",COUNTIF($EF$10:$EJ$10,$AW63)&gt;0),$AV63,"")</f>
        <v/>
      </c>
      <c r="LD63" s="152">
        <f>IF(AND($AX63=1,OR($AW63="",COUNTIF($EF$10:$EJ$10,$AW63)&gt;0)),$AV63,"")</f>
        <v/>
      </c>
      <c r="LI63" s="152">
        <f>IF(OR($AW63="",COUNTIF($EF$11:$EJ$11,$AW63)&gt;0),$AV63,"")</f>
        <v/>
      </c>
      <c r="LJ63" s="152">
        <f>IF(AND($AX63=1,OR($AW63="",COUNTIF($EF$11:$EJ$11,$AW63)&gt;0)),$AV63,"")</f>
        <v/>
      </c>
      <c r="LO63" s="152">
        <f>IF(OR($AW63="",COUNTIF($EF$12:$EJ$12,$AW63)&gt;0),$AV63,"")</f>
        <v/>
      </c>
      <c r="LP63" s="152">
        <f>IF(AND($AX63=1,OR($AW63="",COUNTIF($EF$12:$EJ$12,$AW63)&gt;0)),$AV63,"")</f>
        <v/>
      </c>
      <c r="LU63" s="152">
        <f>IF(OR($AW63="",COUNTIF($EF$13:$EJ$13,$AW63)&gt;0),$AV63,"")</f>
        <v/>
      </c>
      <c r="LV63" s="152">
        <f>IF(AND($AX63=1,OR($AW63="",COUNTIF($EF$13:$EJ$13,$AW63)&gt;0)),$AV63,"")</f>
        <v/>
      </c>
      <c r="MA63" s="150" t="inlineStr">
        <is>
          <t>Ficha 5 · Especial 8</t>
        </is>
      </c>
      <c r="MB63" s="152" t="n">
        <v>5</v>
      </c>
      <c r="MC63" s="152" t="n">
        <v>1</v>
      </c>
      <c r="MD63" s="152" t="n">
        <v>28</v>
      </c>
      <c r="ME63" s="150" t="inlineStr">
        <is>
          <t>ESPECIAL 8</t>
        </is>
      </c>
      <c r="MF63" s="152">
        <f>MAX(1,MIN(7,N('INVOCAÇÕES'!$I$928)))</f>
        <v/>
      </c>
      <c r="MG63" s="152">
        <f>'INVOCAÇÕES'!$J$928&amp;""</f>
        <v/>
      </c>
      <c r="MH63" s="152">
        <f>'INVOCAÇÕES'!$I$933&amp;""</f>
        <v/>
      </c>
      <c r="MI63" s="152">
        <f>'INVOCAÇÕES'!$I$934&amp;""</f>
        <v/>
      </c>
      <c r="MJ63" s="152">
        <f>'INVOCAÇÕES'!$K$934&amp;""</f>
        <v/>
      </c>
      <c r="MK63" s="152">
        <f>'INVOCAÇÕES'!$J$937&amp;""</f>
        <v/>
      </c>
      <c r="ML63" s="152">
        <f>'INVOCAÇÕES'!$J$938&amp;""</f>
        <v/>
      </c>
      <c r="MM63" s="152">
        <f>'INVOCAÇÕES'!$J$939&amp;""</f>
        <v/>
      </c>
      <c r="MN63" s="152">
        <f>'INVOCAÇÕES'!$J$940&amp;""</f>
        <v/>
      </c>
      <c r="MO63" s="152">
        <f>'INVOCAÇÕES'!$J$941&amp;""</f>
        <v/>
      </c>
      <c r="MP63" s="152">
        <f>'INVOCAÇÕES'!$J$942&amp;""</f>
        <v/>
      </c>
      <c r="MQ63" s="152">
        <f>IF($MG63&lt;&gt;"",1,0)</f>
        <v/>
      </c>
      <c r="MR63" s="152">
        <f>INDEX($FI$2:$FI$13,$MB63)</f>
        <v/>
      </c>
      <c r="MS63" s="152">
        <f>INDEX($FJ$2:$FJ$13,$MB63)</f>
        <v/>
      </c>
      <c r="MT63" s="152">
        <f>INDEX($FK$2:$FK$13,$MB63)</f>
        <v/>
      </c>
      <c r="MU63" s="152">
        <f>INDEX($FV$2:$FV$13,$MB63)</f>
        <v/>
      </c>
      <c r="MV63" s="152">
        <f>INDEX($FW$2:$FW$13,$MB63)</f>
        <v/>
      </c>
      <c r="MW63" s="152">
        <f>IFERROR(MATCH($MH63,$V$2:$V$11,0),0)</f>
        <v/>
      </c>
      <c r="MX63" s="152">
        <f>IFERROR(VLOOKUP($MK63,$AV$2:$BA$84,2,FALSE),"")</f>
        <v/>
      </c>
      <c r="MY63" s="152">
        <f>IFERROR(VLOOKUP($ML63,$AV$2:$BA$84,2,FALSE),"")</f>
        <v/>
      </c>
      <c r="MZ63" s="152">
        <f>IFERROR(VLOOKUP($MM63,$AV$2:$BA$84,2,FALSE),"")</f>
        <v/>
      </c>
      <c r="NA63" s="152">
        <f>IFERROR(VLOOKUP($MN63,$AV$2:$BA$84,2,FALSE),"")</f>
        <v/>
      </c>
      <c r="NB63" s="152">
        <f>IFERROR(VLOOKUP($MK63,$AV$2:$BA$84,3,FALSE),0)</f>
        <v/>
      </c>
      <c r="NC63" s="152">
        <f>IFERROR(VLOOKUP($ML63,$AV$2:$BA$84,3,FALSE),0)</f>
        <v/>
      </c>
      <c r="ND63" s="152">
        <f>IFERROR(VLOOKUP($MM63,$AV$2:$BA$84,3,FALSE),0)</f>
        <v/>
      </c>
      <c r="NE63" s="152">
        <f>IFERROR(VLOOKUP($MN63,$AV$2:$BA$84,3,FALSE),0)</f>
        <v/>
      </c>
      <c r="NF63" s="152">
        <f>IF($MF63=0,0,IF($MW63=0,0,INDEX($X$2:$X$11,$MW63)))</f>
        <v/>
      </c>
      <c r="NG63" s="152">
        <f>IF(OR($NB63=0,$MF63=0),0,$NB63+3*IF(AND($MX63&lt;&gt;"",OR($MX63=INDEX($EF$2:$EF$13,$MB63),$MX63=INDEX($EG$2:$EG$13,$MB63))),1,0))</f>
        <v/>
      </c>
      <c r="NH63" s="152">
        <f>IF(OR($NC63=0,$MF63=0),0,$NC63+3*IF(AND($MY63&lt;&gt;"",OR($MY63=INDEX($EF$2:$EF$13,$MB63),$MY63=INDEX($EG$2:$EG$13,$MB63))),1,0))</f>
        <v/>
      </c>
      <c r="NI63" s="152">
        <f>IF(OR($ND63=0,$MF63=0),0,$ND63+3*IF(AND($MZ63&lt;&gt;"",OR($MZ63=INDEX($EF$2:$EF$13,$MB63),$MZ63=INDEX($EG$2:$EG$13,$MB63))),1,0))</f>
        <v/>
      </c>
      <c r="NJ63" s="152">
        <f>IF(OR($NE63=0,$MF63=0),0,$NE63+3*IF(AND($NA63&lt;&gt;"",OR($NA63=INDEX($EF$2:$EF$13,$MB63),$NA63=INDEX($EG$2:$EG$13,$MB63))),1,0))</f>
        <v/>
      </c>
      <c r="NK63" s="152">
        <f>IF($MW63=0,0,IF(INDEX($W$2:$W$11,$MW63)="",0,IF(COUNTIF(INDEX($EF$2:$EJ$13,$MB63,0),INDEX($W$2:$W$11,$MW63))=0,1,0)))</f>
        <v/>
      </c>
      <c r="NL63" s="152">
        <f>IF(OR($NB63=0,$MX63=""),0,IF(COUNTIF(INDEX($EF$2:$EJ$13,$MB63,0),$MX63)=0,1,0))</f>
        <v/>
      </c>
      <c r="NM63" s="152">
        <f>IF(OR($NC63=0,$MY63=""),0,IF(COUNTIF(INDEX($EF$2:$EJ$13,$MB63,0),$MY63)=0,1,0))</f>
        <v/>
      </c>
      <c r="NN63" s="152">
        <f>IF(OR($ND63=0,$MZ63=""),0,IF(COUNTIF(INDEX($EF$2:$EJ$13,$MB63,0),$MZ63)=0,1,0))</f>
        <v/>
      </c>
      <c r="NO63" s="152">
        <f>IF(OR($NE63=0,$NA63=""),0,IF(COUNTIF(INDEX($EF$2:$EJ$13,$MB63,0),$NA63)=0,1,0))</f>
        <v/>
      </c>
      <c r="NP63" s="152">
        <f>IFERROR(VLOOKUP($MK63,$AV$2:$BA$84,4,FALSE),0)+IFERROR(VLOOKUP($ML63,$AV$2:$BA$84,4,FALSE),0)+IFERROR(VLOOKUP($MM63,$AV$2:$BA$84,4,FALSE),0)+IFERROR(VLOOKUP($MN63,$AV$2:$BA$84,4,FALSE),0)</f>
        <v/>
      </c>
      <c r="NQ63" s="152">
        <f>IFERROR(VLOOKUP($MK63,$AV$2:$BA$84,6,FALSE),0)+IFERROR(VLOOKUP($ML63,$AV$2:$BA$84,6,FALSE),0)+IFERROR(VLOOKUP($MM63,$AV$2:$BA$84,6,FALSE),0)+IFERROR(VLOOKUP($MN63,$AV$2:$BA$84,6,FALSE),0)</f>
        <v/>
      </c>
      <c r="NR63" s="152">
        <f>TEXTJOIN(", ",TRUE,IF(IFERROR(VLOOKUP($MK63,$AV$2:$BA$84,5,FALSE),0)=1,$MK63,""),IF(IFERROR(VLOOKUP($ML63,$AV$2:$BA$84,5,FALSE),0)=1,$ML63,""),IF(IFERROR(VLOOKUP($MM63,$AV$2:$BA$84,5,FALSE),0)=1,$MM63,""),IF(IFERROR(VLOOKUP($MN63,$AV$2:$BA$84,5,FALSE),0)=1,$MN63,""))</f>
        <v/>
      </c>
      <c r="NS63" s="152">
        <f>IF($MW63=0,0,INDEX($Y$2:$Y$11,$MW63))</f>
        <v/>
      </c>
      <c r="NT63" s="152">
        <f>IF($MW63=0,0,INDEX($Z$2:$Z$11,$MW63))</f>
        <v/>
      </c>
      <c r="NU63" s="152">
        <f>IF($MW63=0,0,INDEX($AB$2:$AB$11,$MW63))</f>
        <v/>
      </c>
      <c r="NV63" s="152">
        <f>IFERROR(VLOOKUP($MO63,$BC$2:$BG$24,3,FALSE),0)</f>
        <v/>
      </c>
      <c r="NW63" s="152">
        <f>IFERROR(VLOOKUP($MP63,$BC$2:$BG$24,3,FALSE),0)</f>
        <v/>
      </c>
      <c r="NX63" s="152">
        <f>IFERROR(VLOOKUP($MO63,$BC$2:$BG$24,2,FALSE),"")</f>
        <v/>
      </c>
      <c r="NY63" s="152">
        <f>IFERROR(VLOOKUP($MP63,$BC$2:$BG$24,2,FALSE),"")</f>
        <v/>
      </c>
      <c r="NZ63" s="152">
        <f>COUNTIF($NF63:$NJ63,1)</f>
        <v/>
      </c>
      <c r="OA63" s="152">
        <f>COUNTIF($NF63:$NJ63,2)</f>
        <v/>
      </c>
      <c r="OB63" s="152">
        <f>COUNTIF($NF63:$NJ63,3)</f>
        <v/>
      </c>
      <c r="OC63" s="152">
        <f>COUNTIF($NF63:$NJ63,4)</f>
        <v/>
      </c>
      <c r="OD63" s="152">
        <f>COUNTIF($NF63:$NJ63,5)</f>
        <v/>
      </c>
      <c r="OE63" s="152">
        <f>COUNTIF($NF63:$NJ63,6)</f>
        <v/>
      </c>
      <c r="OF63" s="152">
        <f>COUNTIF($NV63:$NW63,1)</f>
        <v/>
      </c>
      <c r="OG63" s="152">
        <f>COUNTIF($NV63:$NW63,2)+$NS63</f>
        <v/>
      </c>
      <c r="OH63" s="152">
        <f>COUNTIF($MK63:$MN63,"?*")</f>
        <v/>
      </c>
      <c r="OI63" s="152">
        <f>COUNTIF($MO63:$MP63,"?*")+$NS63</f>
        <v/>
      </c>
      <c r="OJ63" s="152">
        <f>IF($MF63=0,0,SUMPRODUCT($NZ63:$OE63,INDEX($I$2:$N$8,MAX(1,$MF63),0)))</f>
        <v/>
      </c>
      <c r="OK63" s="152">
        <f>IF($MF63=0,0,$OF63*CEILING($MF63/2,1)+$OG63*$MF63)</f>
        <v/>
      </c>
      <c r="OL63" s="152">
        <f>MIN(2*$MF63,$OK63)</f>
        <v/>
      </c>
      <c r="OM63" s="152">
        <f>MIN($OL63,$OJ63)</f>
        <v/>
      </c>
      <c r="ON63" s="152">
        <f>$OL63-$OM63</f>
        <v/>
      </c>
      <c r="OO63" s="152">
        <f>IF($MF63=0,0,INDEX($P$2:$P$8,MAX(1,$MF63)))</f>
        <v/>
      </c>
      <c r="OP63" s="152">
        <f>$OO63-$OJ63+$OM63</f>
        <v/>
      </c>
      <c r="OQ63" s="152">
        <f>IF($MF63=0,MAX(0,$MT63-IF($OH63&gt;0,1,0)),MAX(0,$OP63))</f>
        <v/>
      </c>
      <c r="OR63" s="152">
        <f>IF($MF63=0,0,(IF(COUNTIF($MK63:$MN63,"Salto")&gt;0,1,0)+IF(COUNTIF($MK63:$MN63,"Queima")&gt;0,1,0)+IF(COUNTIF($MK63:$MN63,"Estilhaço")&gt;0,1,0))*FLOOR($OQ63/2,1))</f>
        <v/>
      </c>
      <c r="OS63" s="152">
        <f>MAX(0,2-SUMPRODUCT($NZ63:$OE63,$I$2:$N$2)+MIN(2,$OF63*1+$OG63*1,SUMPRODUCT($NZ63:$OE63,$I$2:$N$2)))</f>
        <v/>
      </c>
      <c r="OT63" s="152">
        <f>MAX(0,4-SUMPRODUCT($NZ63:$OE63,$I$3:$N$3)+MIN(4,$OF63*1+$OG63*2,SUMPRODUCT($NZ63:$OE63,$I$3:$N$3)))</f>
        <v/>
      </c>
      <c r="OU63" s="152">
        <f>MAX(0,6-SUMPRODUCT($NZ63:$OE63,$I$4:$N$4)+MIN(6,$OF63*2+$OG63*3,SUMPRODUCT($NZ63:$OE63,$I$4:$N$4)))</f>
        <v/>
      </c>
      <c r="OV63" s="152">
        <f>MAX(0,9-SUMPRODUCT($NZ63:$OE63,$I$5:$N$5)+MIN(8,$OF63*2+$OG63*4,SUMPRODUCT($NZ63:$OE63,$I$5:$N$5)))</f>
        <v/>
      </c>
      <c r="OW63" s="152">
        <f>MAX(0,11-SUMPRODUCT($NZ63:$OE63,$I$6:$N$6)+MIN(10,$OF63*3+$OG63*5,SUMPRODUCT($NZ63:$OE63,$I$6:$N$6)))</f>
        <v/>
      </c>
      <c r="OX63" s="152">
        <f>MAX(0,13-SUMPRODUCT($NZ63:$OE63,$I$7:$N$7)+MIN(12,$OF63*3+$OG63*6,SUMPRODUCT($NZ63:$OE63,$I$7:$N$7)))</f>
        <v/>
      </c>
      <c r="OY63" s="152">
        <f>MAX(0,16-SUMPRODUCT($NZ63:$OE63,$I$8:$N$8)+MIN(14,$OF63*4+$OG63*7,SUMPRODUCT($NZ63:$OE63,$I$8:$N$8)))</f>
        <v/>
      </c>
      <c r="OZ63" s="152">
        <f>IF($NT63=2,3*$OS63&amp;" de vida temp.",IF($NT63=3,"sem dano",IF($OS63=0,IF($NT63=1,"sem cura","sem dano"),IF($NT63=1,"cura ","")&amp;$OS63&amp;"d8")))</f>
        <v/>
      </c>
      <c r="PA63" s="152">
        <f>IF($NT63=2,3*$OT63&amp;" de vida temp.",IF($NT63=3,"sem dano",IF($OT63=0,IF($NT63=1,"sem cura","sem dano"),IF($NT63=1,"cura ","")&amp;$OT63&amp;"d8")))</f>
        <v/>
      </c>
      <c r="PB63" s="152">
        <f>IF($NT63=2,3*$OU63&amp;" de vida temp.",IF($NT63=3,"sem dano",IF($OU63=0,IF($NT63=1,"sem cura","sem dano"),IF($NT63=1,"cura ","")&amp;$OU63&amp;"d8")))</f>
        <v/>
      </c>
      <c r="PC63" s="152">
        <f>IF($NT63=2,3*$OV63&amp;" de vida temp.",IF($NT63=3,"sem dano",IF($OV63=0,IF($NT63=1,"sem cura","sem dano"),IF($NT63=1,"cura ","")&amp;$OV63&amp;"d8")))</f>
        <v/>
      </c>
      <c r="PD63" s="152">
        <f>IF($NT63=2,3*$OW63&amp;" de vida temp.",IF($NT63=3,"sem dano",IF($OW63=0,IF($NT63=1,"sem cura","sem dano"),IF($NT63=1,"cura ","")&amp;$OW63&amp;"d8")))</f>
        <v/>
      </c>
      <c r="PE63" s="152">
        <f>IF($NT63=2,3*$OX63&amp;" de vida temp.",IF($NT63=3,"sem dano",IF($OX63=0,IF($NT63=1,"sem cura","sem dano"),IF($NT63=1,"cura ","")&amp;$OX63&amp;"d8")))</f>
        <v/>
      </c>
      <c r="PF63" s="152">
        <f>IF($NT63=2,3*$OY63&amp;" de vida temp.",IF($NT63=3,"sem dano",IF($OY63=0,IF($NT63=1,"sem cura","sem dano"),IF($NT63=1,"cura ","")&amp;$OY63&amp;"d8")))</f>
        <v/>
      </c>
      <c r="PG63" s="152">
        <f>IF($MQ63=0,"",TEXTJOIN(" · ",TRUE,IF($MD63&gt;$MR63,"Este lugar abre no nível "&amp;$MD63,""),IF($MF63&gt;$MS63,"Classe "&amp;$MF63&amp;": o nível "&amp;$MR63&amp;" libera até a "&amp;$MS63,""),IF($NK63=1,"A Forma "&amp;$MH63&amp;" pede "&amp;INDEX($W$2:$W$11,$MW63)&amp;" aberta",""),IF(AND($MF63=0,$MW63&gt;0,IF($MW63=0,0,INDEX($AF$2:$AF$11,$MW63))=0),$MH63&amp;" não existe na Classe 0",""),IF($NL63=1,"Família Fechada: "&amp;$MK63,""),IF($NM63=1,"Família Fechada: "&amp;$ML63,""),IF($NN63=1,"Família Fechada: "&amp;$MM63,""),IF($NO63=1,"Família Fechada: "&amp;$MN63,""),IF(AND($MF63&gt;0,$OH63&gt;INDEX($O$2:$O$8,MAX(1,$MF63))),$OH63&amp;" Melhorias: a Classe "&amp;$MF63&amp;" aceita "&amp;INDEX($O$2:$O$8,MAX(1,$MF63)),""),IF(AND($MF63=0,$OH63&gt;1),"A básica aceita uma Melhoria",""),IF(AND($MF63=0,COUNTIF($NB63:$NE63,"&gt;1")&gt;0),"A básica só aceita Melhoria Leve",""),IF(AND($MF63&gt;0,$OI63&gt;2),$OI63&amp;" Restrições"&amp;IF($NS63=1,", contando a que a Forma "&amp;$MH63&amp;" já traz","")&amp;": o limite é 2",""),IF(AND($MF63=0,COUNTIF($MO63:$MP63,"?*")&gt;1),"A básica aceita uma Restrição Leve",""),IF(AND($MF63=0,COUNTIF($NV63:$NW63,2)&gt;0),"A básica só aceita Restrição Leve",""),IF(AND($MF63&gt;0,$OP63&lt;0),"Orçamento estourado: faltam "&amp;(-$OP63)&amp;IF($OP63&lt;-1," pontos"," ponto"),""),IF(IFERROR(VLOOKUP($MO63,$BC$2:$BG$24,4,FALSE),0)+IFERROR(VLOOKUP($MP63,$BC$2:$BG$24,4,FALSE),0)&gt;1,$NX63&amp;" e "&amp;$NY63&amp;" são as duas de frequência",""),IF(AND((COUNTIF($MK63:$MN63,"Rápido")+COUNTIF($NX63:$NY63,"Rápido"))&gt;0,(COUNTIF($MK63:$MN63,"Atrasar")+COUNTIF($NX63:$NY63,"Atrasar"))&gt;0),"Rápido não entra com Atrasar",""),IF(AND((COUNTIF($MK63:$MN63,"Reação")+COUNTIF($NX63:$NY63,"Reação"))&gt;0,(COUNTIF($MK63:$MN63,"Rápido")+COUNTIF($NX63:$NY63,"Rápido"))&gt;0),"Reação não entra com Rápido",""),IF(AND((COUNTIF($MK63:$MN63,"Reação")+COUNTIF($NX63:$NY63,"Reação"))&gt;0,(COUNTIF($MK63:$MN63,"Armado")+COUNTIF($NX63:$NY63,"Armado"))&gt;0),"Reação não entra com Armado",""),IF(AND((COUNTIF($MK63:$MN63,"Reação")+COUNTIF($NX63:$NY63,"Reação"))&gt;0,(COUNTIF($MK63:$MN63,"Atrasar")+COUNTIF($NX63:$NY63,"Atrasar"))&gt;0),"Reação não entra com Atrasar",""),IF(AND((COUNTIF($MK63:$MN63,"Reação")+COUNTIF($NX63:$NY63,"Reação"))&gt;0,(COUNTIF($MK63:$MN63,"Parado")+COUNTIF($NX63:$NY63,"Parado"))&gt;0),"Reação não entra com Parado",""),IF(AND((COUNTIF($MK63:$MN63,"Atrasar")+COUNTIF($NX63:$NY63,"Atrasar"))&gt;0,(COUNTIF($MK63:$MN63,"Parado")+COUNTIF($NX63:$NY63,"Parado"))&gt;0),"Atrasar não entra com Parado",""),IF(AND((COUNTIF($MK63:$MN63,"Armado")+COUNTIF($NX63:$NY63,"Armado"))&gt;0,(COUNTIF($MK63:$MN63,"Carregar")+COUNTIF($NX63:$NY63,"Carregar"))&gt;0),"Armado não entra com Carregar",""),IF(AND(COUNTIF($NX63:$NY63,"Corpo a Corpo")&gt;0,$NS63=0,OR($MH63="Cone",$MH63="Linha")),"Corpo a Corpo não entra em "&amp;$MH63,""),IF(AND(COUNTIF($NX63:$NY63,"Corpo a Corpo")&gt;0,$NS63=1),"A Forma "&amp;$MH63&amp;" já traz o Corpo a Corpo",""),IF(AND(COUNTIF($NX63:$NY63,"Tudo ou Nada")&gt;0,$NU63=0),"Tudo ou Nada só entra em habilidade de Teste de Resistência",""),IF(AND(COUNTIF($MK63:$MN63,"Inescapável")&gt;0,OR($OH63&gt;1,$OI63&gt;0)),"Inescapável não aceita outra peça",""),IF(AND($MF63&gt;0,$OQ63*IF(COUNTIF($MK63:$MN63,"Remate")&gt;0,1.25,1)+$OR63&gt;4*$MF63),($OQ63*IF(COUNTIF($MK63:$MN63,"Remate")&gt;0,1.25,1)+$OR63)&amp;" dados somando repetições"&amp;IF(COUNTIF($MK63:$MN63,"Remate")&gt;0," e o Remate","")&amp;": o teto da Classe "&amp;$MF63&amp;" é "&amp;4*$MF63,"")))</f>
        <v/>
      </c>
      <c r="PH63" s="152">
        <f>IF($PG63="",0,(LEN($PG63)-LEN(SUBSTITUTE($PG63," · ","")))/3+1)</f>
        <v/>
      </c>
      <c r="PI63" s="152">
        <f>IF($MQ63=0,"",TEXTJOIN(" · ",TRUE,IF($OK63&gt;2*$MF63,"A devolução parou no teto de "&amp;2*$MF63,""),IF($ON63&gt;0,"Devolução perdida: "&amp;$ON63&amp;IF($ON63&gt;1," pontos"," ponto")&amp;" sem peça para pagar",""),IF(AND($NP63&gt;0,AND($MF63&gt;0,$NT63=0),$OQ63=0),"Controle sem dano: uma rodada a mais e CD +2",""),IF(AND($NP63&gt;0,AND($MF63&gt;0,$NT63=0),$OQ63&gt;0,$OQ63&lt;=$MF63),"Controle com saldo até a Classe: uma rodada a mais",""),IF(AND($MF63&gt;0,$NR63&lt;&gt;""),"Efeito de "&amp;$NR63&amp;" pela Classe "&amp;MAX(1,$MF63-1),"")))</f>
        <v/>
      </c>
      <c r="PJ63" s="152">
        <f>IF($PI63="",0,(LEN($PI63)-LEN(SUBSTITUTE($PI63," · ","")))/3+1)</f>
        <v/>
      </c>
      <c r="PK63" s="152">
        <f>IF($MQ63=0,IF($OH63+COUNTIF($MO63:$MP63,"?*")&gt;0,"Dê um nome",""),IF($PH63&gt;0,"⚠ "&amp;$PH63&amp;IF($PH63&gt;1," erros"," erro"),IF($PJ63&gt;0,"! "&amp;$PJ63&amp;IF($PJ63&gt;1," avisos"," aviso"),"Na regra")))</f>
        <v/>
      </c>
      <c r="PL63" s="152">
        <f>IF($MQ63=0,"",IF($PH63+$PJ63=0,"Dentro das regras que a ficha confere",$PG63&amp;IF(AND($PH63&gt;0,$PJ63&gt;0)," · ","")&amp;$PI63))</f>
        <v/>
      </c>
      <c r="PM63" s="152">
        <f>IF($MD63&gt;$MR63,$ME63&amp;" · ABRE NO NÍVEL "&amp;$MD63,$ME63)</f>
        <v/>
      </c>
      <c r="PN63" s="152">
        <f>IF($MQ63=0,"",IF($MF63=0,"Sem PE",3*$MF63&amp;" PE"))</f>
        <v/>
      </c>
      <c r="PO63" s="152">
        <f>IF($MQ63=0,"",IF($MF63=0,"A atuação básica dela",IF(COUNTIF($NX63:$NY63,"Atrasar")&gt;0,"Sua Ação Completa",IF(COUNTIF($MK63:$MN63,"Rápido")&gt;0,"Sua Bônus",IF(COUNTIF($MK63:$MN63,"Reação")&gt;0,"Sua Reação","Sua Padrão")))&amp;" + a básica dela"&amp;IF(COUNTIF($MK63:$MN63,"Reação")&gt;0," e a coletiva","")&amp;IF(COUNTIF($NX63:$NY63,"Carregar")&gt;0," · em dois turnos","")))</f>
        <v/>
      </c>
      <c r="PP63" s="152">
        <f>IF($MJ63&lt;&gt;"",$MJ63,IF($MW63=0,"",INDEX($AA$2:$AA$11,$MW63)))</f>
        <v/>
      </c>
      <c r="PQ63" s="152">
        <f>IF(OR($MQ63=0,$MW63=0),"",IF(COUNTIF($MK63:$MN63,"Inescapável")&gt;0,"Automático",IF($PP63="Ataque",IF($MU63="","Ataque","Ataque "&amp;IF(($MU63+2*IF(COUNTIF($MK63:$MN63,"Precisão")&gt;0,1,0))&gt;=0,"+","−")&amp;ABS(($MU63+2*IF(COUNTIF($MK63:$MN63,"Precisão")&gt;0,1,0))))&amp;IF($NQ63&gt;0," · TR"&amp;IF($MV63="",""," CD "&amp;$MV63),""),IF(LEFT($PP63,2)="TR",$PP63&amp;IF($MV63="",""," · CD "&amp;$MV63)&amp;IF(COUNTIF($MK63:$MN63,"Certeiro")&gt;0," · metade",""),"Sem rolagem"))))</f>
        <v/>
      </c>
      <c r="PR63" s="152">
        <f>IF(OR($MQ63=0,$MW63=0),"",IF($MF63=0,IF(OR($NT63&gt;=1,$OQ63=0),"Sem dano",$OQ63&amp;"d6"&amp;IF($MI63="",""," "&amp;$MI63)),IF(OR($NT63&gt;=1,$OQ63=0),UPPER(LEFT(INDEX($OZ63:$PF63,1,MAX(1,$MF63)),1))&amp;MID(INDEX($OZ63:$PF63,1,MAX(1,$MF63)),2,99),UPPER(LEFT(INDEX($OZ63:$PF63,1,MAX(1,$MF63)),1))&amp;MID(INDEX($OZ63:$PF63,1,MAX(1,$MF63)),2,99)&amp;IF($MI63="",""," "&amp;$MI63)&amp;IF($OR63&gt;0," · +"&amp;$OR63&amp;"d8",""))))</f>
        <v/>
      </c>
      <c r="PS63" s="152">
        <f>COUNTIF($MK63:$MN63,"Longe")+3*COUNTIF($MK63:$MN63,"Muito Longe")</f>
        <v/>
      </c>
      <c r="PT63" s="152">
        <f>COUNTIF($MK63:$MN63,"Maior")+3*COUNTIF($MK63:$MN63,"Muito Maior")</f>
        <v/>
      </c>
      <c r="PU63" s="152">
        <f>IF($MW63=0,0,CHOOSE(1+INDEX($AC$2:$AC$11,$MW63),0,$PS63,$PT63,$PS63+$PT63))</f>
        <v/>
      </c>
      <c r="PV63" s="152">
        <f>IF($MW63=0,0,CHOOSE(1+INDEX($AD$2:$AD$11,$MW63),0,$PS63,$PT63,$PS63+$PT63))</f>
        <v/>
      </c>
      <c r="PW63" s="152">
        <f>IF(OR($MQ63=0,$MW63=0),"",INDEX($AI$2:$AN$41,($MW63-1)*4+IF($MF63=0,1,IF($MF63&lt;=5,2,IF($MF63=6,3,4))),1+MIN(5,$PU63))&amp;INDEX($AO$2:$AT$41,($MW63-1)*4+IF($MF63=0,1,IF($MF63&lt;=5,2,IF($MF63=6,3,4))),1+MIN(5,$PV63))&amp;IF(INDEX($AE$2:$AE$11,$MW63)=1,IF(COUNTIF($MK63:$MN63,"Mais Um")&gt;0," · +"&amp;COUNTIF($MK63:$MN63,"Mais Um")&amp;IF(COUNTIF($MK63:$MN63,"Mais Um")&gt;1," alvos"," alvo"),"")&amp;IF(COUNTIF($MK63:$MN63,"Rajada")&gt;0,IF($MF63=0," · 1 tiro"," · "&amp;(MAX(1,$MF63-1)+1)&amp;" tiros"),""),""))</f>
        <v/>
      </c>
      <c r="PX63" s="152">
        <f>IF($MQ63=0,"",IF($MF63=0,$MT63&amp;"d6"&amp;IF($OH63&gt;0," − 1 = "&amp;$OQ63&amp;"d6"," da básica do nível "&amp;$MR63),$OO63&amp;" − "&amp;$OJ63&amp;" + "&amp;$OM63&amp;" = "&amp;$OP63&amp;" · teto "&amp;4*$MF63&amp;"d8"&amp;IF($NS63=1," · a Forma devolve "&amp;$MF63,"")&amp;IF($ON63&gt;0," · perde "&amp;$ON63,"")))</f>
        <v/>
      </c>
      <c r="PY63" s="152">
        <f>IF($MQ63=0,"",IF($MF63=0,"A básica não amplia: os dados dela sobem com o nível",IF($MF63&gt;=$MS63,"Já está na maior Classe que o nível liberou",TEXTJOIN(" · ",TRUE,IF(AND(2&gt;$MF63,2&lt;=$MS63),"2 → "&amp;$PA63&amp;", 6 PE",""),IF(AND(3&gt;$MF63,3&lt;=$MS63),"3 → "&amp;$PB63&amp;", 9 PE",""),IF(AND(4&gt;$MF63,4&lt;=$MS63),"4 → "&amp;$PC63&amp;", 12 PE",""),IF(AND(5&gt;$MF63,5&lt;=$MS63),"5 → "&amp;$PD63&amp;", 15 PE",""),IF(AND(6&gt;$MF63,6&lt;=$MS63),"6 → "&amp;$PE63&amp;", 18 PE",""),IF(AND(7&gt;$MF63,7&lt;=$MS63),"7 → "&amp;$PF63&amp;", 21 PE","")))))</f>
        <v/>
      </c>
      <c r="PZ63" s="152">
        <f>IF(OR($MQ63=0,$NB63=0),"",IF($MF63=0,"−1 dado","−"&amp;INDEX($I$2:$N$8,MAX(1,$MF63),MAX(1,$NG63))&amp;" · "&amp;CHOOSE(MAX(1,$NG63),"Leve","Média","Pesada","Leve · Livre","Média · Livre","Pesada · Livre")))</f>
        <v/>
      </c>
      <c r="QA63" s="152">
        <f>IF(OR($MQ63=0,$NC63=0),"",IF($MF63=0,"−1 dado","−"&amp;INDEX($I$2:$N$8,MAX(1,$MF63),MAX(1,$NH63))&amp;" · "&amp;CHOOSE(MAX(1,$NH63),"Leve","Média","Pesada","Leve · Livre","Média · Livre","Pesada · Livre")))</f>
        <v/>
      </c>
      <c r="QB63" s="152">
        <f>IF(OR($MQ63=0,$ND63=0),"",IF($MF63=0,"−1 dado","−"&amp;INDEX($I$2:$N$8,MAX(1,$MF63),MAX(1,$NI63))&amp;" · "&amp;CHOOSE(MAX(1,$NI63),"Leve","Média","Pesada","Leve · Livre","Média · Livre","Pesada · Livre")))</f>
        <v/>
      </c>
      <c r="QC63" s="152">
        <f>IF(OR($MQ63=0,$NE63=0),"",IF($MF63=0,"−1 dado","−"&amp;INDEX($I$2:$N$8,MAX(1,$MF63),MAX(1,$NJ63))&amp;" · "&amp;CHOOSE(MAX(1,$NJ63),"Leve","Média","Pesada","Leve · Livre","Média · Livre","Pesada · Livre")))</f>
        <v/>
      </c>
      <c r="QD63" s="152">
        <f>IF(OR($MQ63=0,$MO63=""),"",IF($MF63=0,"não devolve","+"&amp;IF($NV63=1,CEILING($MF63/2,1),$MF63)))</f>
        <v/>
      </c>
      <c r="QE63" s="152">
        <f>IF(OR($MQ63=0,$MP63=""),"",IF($MF63=0,"não devolve","+"&amp;IF($NW63=1,CEILING($MF63/2,1),$MF63)))</f>
        <v/>
      </c>
    </row>
    <row r="64">
      <c r="AV64" s="150" t="inlineStr">
        <is>
          <t>Adianta</t>
        </is>
      </c>
      <c r="AW64" s="150" t="inlineStr">
        <is>
          <t>Tempo</t>
        </is>
      </c>
      <c r="AX64" s="152" t="n">
        <v>2</v>
      </c>
      <c r="AY64" s="152" t="n">
        <v>0</v>
      </c>
      <c r="AZ64" s="152" t="n">
        <v>0</v>
      </c>
      <c r="BA64" s="152" t="n">
        <v>0</v>
      </c>
      <c r="JG64" s="152">
        <f>IF(OR($AW64="",COUNTIF($EF$2:$EJ$2,$AW64)&gt;0),$AV64,"")</f>
        <v/>
      </c>
      <c r="JH64" s="152">
        <f>IF(AND($AX64=1,OR($AW64="",COUNTIF($EF$2:$EJ$2,$AW64)&gt;0)),$AV64,"")</f>
        <v/>
      </c>
      <c r="JM64" s="152">
        <f>IF(OR($AW64="",COUNTIF($EF$3:$EJ$3,$AW64)&gt;0),$AV64,"")</f>
        <v/>
      </c>
      <c r="JN64" s="152">
        <f>IF(AND($AX64=1,OR($AW64="",COUNTIF($EF$3:$EJ$3,$AW64)&gt;0)),$AV64,"")</f>
        <v/>
      </c>
      <c r="JS64" s="152">
        <f>IF(OR($AW64="",COUNTIF($EF$4:$EJ$4,$AW64)&gt;0),$AV64,"")</f>
        <v/>
      </c>
      <c r="JT64" s="152">
        <f>IF(AND($AX64=1,OR($AW64="",COUNTIF($EF$4:$EJ$4,$AW64)&gt;0)),$AV64,"")</f>
        <v/>
      </c>
      <c r="JY64" s="152">
        <f>IF(OR($AW64="",COUNTIF($EF$5:$EJ$5,$AW64)&gt;0),$AV64,"")</f>
        <v/>
      </c>
      <c r="JZ64" s="152">
        <f>IF(AND($AX64=1,OR($AW64="",COUNTIF($EF$5:$EJ$5,$AW64)&gt;0)),$AV64,"")</f>
        <v/>
      </c>
      <c r="KE64" s="152">
        <f>IF(OR($AW64="",COUNTIF($EF$6:$EJ$6,$AW64)&gt;0),$AV64,"")</f>
        <v/>
      </c>
      <c r="KF64" s="152">
        <f>IF(AND($AX64=1,OR($AW64="",COUNTIF($EF$6:$EJ$6,$AW64)&gt;0)),$AV64,"")</f>
        <v/>
      </c>
      <c r="KK64" s="152">
        <f>IF(OR($AW64="",COUNTIF($EF$7:$EJ$7,$AW64)&gt;0),$AV64,"")</f>
        <v/>
      </c>
      <c r="KL64" s="152">
        <f>IF(AND($AX64=1,OR($AW64="",COUNTIF($EF$7:$EJ$7,$AW64)&gt;0)),$AV64,"")</f>
        <v/>
      </c>
      <c r="KQ64" s="152">
        <f>IF(OR($AW64="",COUNTIF($EF$8:$EJ$8,$AW64)&gt;0),$AV64,"")</f>
        <v/>
      </c>
      <c r="KR64" s="152">
        <f>IF(AND($AX64=1,OR($AW64="",COUNTIF($EF$8:$EJ$8,$AW64)&gt;0)),$AV64,"")</f>
        <v/>
      </c>
      <c r="KW64" s="152">
        <f>IF(OR($AW64="",COUNTIF($EF$9:$EJ$9,$AW64)&gt;0),$AV64,"")</f>
        <v/>
      </c>
      <c r="KX64" s="152">
        <f>IF(AND($AX64=1,OR($AW64="",COUNTIF($EF$9:$EJ$9,$AW64)&gt;0)),$AV64,"")</f>
        <v/>
      </c>
      <c r="LC64" s="152">
        <f>IF(OR($AW64="",COUNTIF($EF$10:$EJ$10,$AW64)&gt;0),$AV64,"")</f>
        <v/>
      </c>
      <c r="LD64" s="152">
        <f>IF(AND($AX64=1,OR($AW64="",COUNTIF($EF$10:$EJ$10,$AW64)&gt;0)),$AV64,"")</f>
        <v/>
      </c>
      <c r="LI64" s="152">
        <f>IF(OR($AW64="",COUNTIF($EF$11:$EJ$11,$AW64)&gt;0),$AV64,"")</f>
        <v/>
      </c>
      <c r="LJ64" s="152">
        <f>IF(AND($AX64=1,OR($AW64="",COUNTIF($EF$11:$EJ$11,$AW64)&gt;0)),$AV64,"")</f>
        <v/>
      </c>
      <c r="LO64" s="152">
        <f>IF(OR($AW64="",COUNTIF($EF$12:$EJ$12,$AW64)&gt;0),$AV64,"")</f>
        <v/>
      </c>
      <c r="LP64" s="152">
        <f>IF(AND($AX64=1,OR($AW64="",COUNTIF($EF$12:$EJ$12,$AW64)&gt;0)),$AV64,"")</f>
        <v/>
      </c>
      <c r="LU64" s="152">
        <f>IF(OR($AW64="",COUNTIF($EF$13:$EJ$13,$AW64)&gt;0),$AV64,"")</f>
        <v/>
      </c>
      <c r="LV64" s="152">
        <f>IF(AND($AX64=1,OR($AW64="",COUNTIF($EF$13:$EJ$13,$AW64)&gt;0)),$AV64,"")</f>
        <v/>
      </c>
      <c r="MA64" s="150" t="inlineStr">
        <is>
          <t>Ficha 5 · Escolha da trilha 1</t>
        </is>
      </c>
      <c r="MB64" s="152" t="n">
        <v>5</v>
      </c>
      <c r="MC64" s="152" t="n">
        <v>2</v>
      </c>
      <c r="MD64" s="152" t="n">
        <v>0</v>
      </c>
      <c r="ME64" s="150" t="inlineStr">
        <is>
          <t>ESCOLHA DA TRILHA 1</t>
        </is>
      </c>
      <c r="MF64" s="152">
        <f>MAX(0,MIN(7,N('INVOCAÇÕES'!$I$952)))</f>
        <v/>
      </c>
      <c r="MG64" s="152">
        <f>'INVOCAÇÕES'!$J$952&amp;""</f>
        <v/>
      </c>
      <c r="MH64" s="152">
        <f>'INVOCAÇÕES'!$I$957&amp;""</f>
        <v/>
      </c>
      <c r="MI64" s="152">
        <f>'INVOCAÇÕES'!$I$958&amp;""</f>
        <v/>
      </c>
      <c r="MJ64" s="152">
        <f>'INVOCAÇÕES'!$K$958&amp;""</f>
        <v/>
      </c>
      <c r="MK64" s="152">
        <f>'INVOCAÇÕES'!$J$961&amp;""</f>
        <v/>
      </c>
      <c r="ML64" s="152">
        <f>'INVOCAÇÕES'!$J$962&amp;""</f>
        <v/>
      </c>
      <c r="MM64" s="152">
        <f>'INVOCAÇÕES'!$J$963&amp;""</f>
        <v/>
      </c>
      <c r="MN64" s="152">
        <f>'INVOCAÇÕES'!$J$964&amp;""</f>
        <v/>
      </c>
      <c r="MO64" s="152">
        <f>'INVOCAÇÕES'!$J$965&amp;""</f>
        <v/>
      </c>
      <c r="MP64" s="152">
        <f>'INVOCAÇÕES'!$J$966&amp;""</f>
        <v/>
      </c>
      <c r="MQ64" s="152">
        <f>IF($MG64&lt;&gt;"",1,0)</f>
        <v/>
      </c>
      <c r="MR64" s="152">
        <f>INDEX($FI$2:$FI$13,$MB64)</f>
        <v/>
      </c>
      <c r="MS64" s="152">
        <f>INDEX($FJ$2:$FJ$13,$MB64)</f>
        <v/>
      </c>
      <c r="MT64" s="152">
        <f>INDEX($FK$2:$FK$13,$MB64)</f>
        <v/>
      </c>
      <c r="MU64" s="152">
        <f>INDEX($FV$2:$FV$13,$MB64)</f>
        <v/>
      </c>
      <c r="MV64" s="152">
        <f>INDEX($FW$2:$FW$13,$MB64)</f>
        <v/>
      </c>
      <c r="MW64" s="152">
        <f>IFERROR(MATCH($MH64,$V$2:$V$11,0),0)</f>
        <v/>
      </c>
      <c r="MX64" s="152">
        <f>IFERROR(VLOOKUP($MK64,$AV$2:$BA$84,2,FALSE),"")</f>
        <v/>
      </c>
      <c r="MY64" s="152">
        <f>IFERROR(VLOOKUP($ML64,$AV$2:$BA$84,2,FALSE),"")</f>
        <v/>
      </c>
      <c r="MZ64" s="152">
        <f>IFERROR(VLOOKUP($MM64,$AV$2:$BA$84,2,FALSE),"")</f>
        <v/>
      </c>
      <c r="NA64" s="152">
        <f>IFERROR(VLOOKUP($MN64,$AV$2:$BA$84,2,FALSE),"")</f>
        <v/>
      </c>
      <c r="NB64" s="152">
        <f>IFERROR(VLOOKUP($MK64,$AV$2:$BA$84,3,FALSE),0)</f>
        <v/>
      </c>
      <c r="NC64" s="152">
        <f>IFERROR(VLOOKUP($ML64,$AV$2:$BA$84,3,FALSE),0)</f>
        <v/>
      </c>
      <c r="ND64" s="152">
        <f>IFERROR(VLOOKUP($MM64,$AV$2:$BA$84,3,FALSE),0)</f>
        <v/>
      </c>
      <c r="NE64" s="152">
        <f>IFERROR(VLOOKUP($MN64,$AV$2:$BA$84,3,FALSE),0)</f>
        <v/>
      </c>
      <c r="NF64" s="152">
        <f>IF($MF64=0,0,IF($MW64=0,0,INDEX($X$2:$X$11,$MW64)))</f>
        <v/>
      </c>
      <c r="NG64" s="152">
        <f>IF(OR($NB64=0,$MF64=0),0,$NB64+3*IF(AND($MX64&lt;&gt;"",OR($MX64=INDEX($EF$2:$EF$13,$MB64),$MX64=INDEX($EG$2:$EG$13,$MB64))),1,0))</f>
        <v/>
      </c>
      <c r="NH64" s="152">
        <f>IF(OR($NC64=0,$MF64=0),0,$NC64+3*IF(AND($MY64&lt;&gt;"",OR($MY64=INDEX($EF$2:$EF$13,$MB64),$MY64=INDEX($EG$2:$EG$13,$MB64))),1,0))</f>
        <v/>
      </c>
      <c r="NI64" s="152">
        <f>IF(OR($ND64=0,$MF64=0),0,$ND64+3*IF(AND($MZ64&lt;&gt;"",OR($MZ64=INDEX($EF$2:$EF$13,$MB64),$MZ64=INDEX($EG$2:$EG$13,$MB64))),1,0))</f>
        <v/>
      </c>
      <c r="NJ64" s="152">
        <f>IF(OR($NE64=0,$MF64=0),0,$NE64+3*IF(AND($NA64&lt;&gt;"",OR($NA64=INDEX($EF$2:$EF$13,$MB64),$NA64=INDEX($EG$2:$EG$13,$MB64))),1,0))</f>
        <v/>
      </c>
      <c r="NK64" s="152">
        <f>IF($MW64=0,0,IF(INDEX($W$2:$W$11,$MW64)="",0,IF(COUNTIF(INDEX($EF$2:$EJ$13,$MB64,0),INDEX($W$2:$W$11,$MW64))=0,1,0)))</f>
        <v/>
      </c>
      <c r="NL64" s="152">
        <f>IF(OR($NB64=0,$MX64=""),0,IF(COUNTIF(INDEX($EF$2:$EJ$13,$MB64,0),$MX64)=0,1,0))</f>
        <v/>
      </c>
      <c r="NM64" s="152">
        <f>IF(OR($NC64=0,$MY64=""),0,IF(COUNTIF(INDEX($EF$2:$EJ$13,$MB64,0),$MY64)=0,1,0))</f>
        <v/>
      </c>
      <c r="NN64" s="152">
        <f>IF(OR($ND64=0,$MZ64=""),0,IF(COUNTIF(INDEX($EF$2:$EJ$13,$MB64,0),$MZ64)=0,1,0))</f>
        <v/>
      </c>
      <c r="NO64" s="152">
        <f>IF(OR($NE64=0,$NA64=""),0,IF(COUNTIF(INDEX($EF$2:$EJ$13,$MB64,0),$NA64)=0,1,0))</f>
        <v/>
      </c>
      <c r="NP64" s="152">
        <f>IFERROR(VLOOKUP($MK64,$AV$2:$BA$84,4,FALSE),0)+IFERROR(VLOOKUP($ML64,$AV$2:$BA$84,4,FALSE),0)+IFERROR(VLOOKUP($MM64,$AV$2:$BA$84,4,FALSE),0)+IFERROR(VLOOKUP($MN64,$AV$2:$BA$84,4,FALSE),0)</f>
        <v/>
      </c>
      <c r="NQ64" s="152">
        <f>IFERROR(VLOOKUP($MK64,$AV$2:$BA$84,6,FALSE),0)+IFERROR(VLOOKUP($ML64,$AV$2:$BA$84,6,FALSE),0)+IFERROR(VLOOKUP($MM64,$AV$2:$BA$84,6,FALSE),0)+IFERROR(VLOOKUP($MN64,$AV$2:$BA$84,6,FALSE),0)</f>
        <v/>
      </c>
      <c r="NR64" s="152">
        <f>TEXTJOIN(", ",TRUE,IF(IFERROR(VLOOKUP($MK64,$AV$2:$BA$84,5,FALSE),0)=1,$MK64,""),IF(IFERROR(VLOOKUP($ML64,$AV$2:$BA$84,5,FALSE),0)=1,$ML64,""),IF(IFERROR(VLOOKUP($MM64,$AV$2:$BA$84,5,FALSE),0)=1,$MM64,""),IF(IFERROR(VLOOKUP($MN64,$AV$2:$BA$84,5,FALSE),0)=1,$MN64,""))</f>
        <v/>
      </c>
      <c r="NS64" s="152">
        <f>IF($MW64=0,0,INDEX($Y$2:$Y$11,$MW64))</f>
        <v/>
      </c>
      <c r="NT64" s="152">
        <f>IF($MW64=0,0,INDEX($Z$2:$Z$11,$MW64))</f>
        <v/>
      </c>
      <c r="NU64" s="152">
        <f>IF($MW64=0,0,INDEX($AB$2:$AB$11,$MW64))</f>
        <v/>
      </c>
      <c r="NV64" s="152">
        <f>IFERROR(VLOOKUP($MO64,$BC$2:$BG$24,3,FALSE),0)</f>
        <v/>
      </c>
      <c r="NW64" s="152">
        <f>IFERROR(VLOOKUP($MP64,$BC$2:$BG$24,3,FALSE),0)</f>
        <v/>
      </c>
      <c r="NX64" s="152">
        <f>IFERROR(VLOOKUP($MO64,$BC$2:$BG$24,2,FALSE),"")</f>
        <v/>
      </c>
      <c r="NY64" s="152">
        <f>IFERROR(VLOOKUP($MP64,$BC$2:$BG$24,2,FALSE),"")</f>
        <v/>
      </c>
      <c r="NZ64" s="152">
        <f>COUNTIF($NF64:$NJ64,1)</f>
        <v/>
      </c>
      <c r="OA64" s="152">
        <f>COUNTIF($NF64:$NJ64,2)</f>
        <v/>
      </c>
      <c r="OB64" s="152">
        <f>COUNTIF($NF64:$NJ64,3)</f>
        <v/>
      </c>
      <c r="OC64" s="152">
        <f>COUNTIF($NF64:$NJ64,4)</f>
        <v/>
      </c>
      <c r="OD64" s="152">
        <f>COUNTIF($NF64:$NJ64,5)</f>
        <v/>
      </c>
      <c r="OE64" s="152">
        <f>COUNTIF($NF64:$NJ64,6)</f>
        <v/>
      </c>
      <c r="OF64" s="152">
        <f>COUNTIF($NV64:$NW64,1)</f>
        <v/>
      </c>
      <c r="OG64" s="152">
        <f>COUNTIF($NV64:$NW64,2)+$NS64</f>
        <v/>
      </c>
      <c r="OH64" s="152">
        <f>COUNTIF($MK64:$MN64,"?*")</f>
        <v/>
      </c>
      <c r="OI64" s="152">
        <f>COUNTIF($MO64:$MP64,"?*")+$NS64</f>
        <v/>
      </c>
      <c r="OJ64" s="152">
        <f>IF($MF64=0,0,SUMPRODUCT($NZ64:$OE64,INDEX($I$2:$N$8,MAX(1,$MF64),0)))</f>
        <v/>
      </c>
      <c r="OK64" s="152">
        <f>IF($MF64=0,0,$OF64*CEILING($MF64/2,1)+$OG64*$MF64)</f>
        <v/>
      </c>
      <c r="OL64" s="152">
        <f>MIN(2*$MF64,$OK64)</f>
        <v/>
      </c>
      <c r="OM64" s="152">
        <f>MIN($OL64,$OJ64)</f>
        <v/>
      </c>
      <c r="ON64" s="152">
        <f>$OL64-$OM64</f>
        <v/>
      </c>
      <c r="OO64" s="152">
        <f>IF($MF64=0,0,INDEX($P$2:$P$8,MAX(1,$MF64)))</f>
        <v/>
      </c>
      <c r="OP64" s="152">
        <f>$OO64-$OJ64+$OM64</f>
        <v/>
      </c>
      <c r="OQ64" s="152">
        <f>IF($MF64=0,MAX(0,$MT64-IF($OH64&gt;0,1,0)),MAX(0,$OP64))</f>
        <v/>
      </c>
      <c r="OR64" s="152">
        <f>IF($MF64=0,0,(IF(COUNTIF($MK64:$MN64,"Salto")&gt;0,1,0)+IF(COUNTIF($MK64:$MN64,"Queima")&gt;0,1,0)+IF(COUNTIF($MK64:$MN64,"Estilhaço")&gt;0,1,0))*FLOOR($OQ64/2,1))</f>
        <v/>
      </c>
      <c r="OS64" s="152">
        <f>MAX(0,2-SUMPRODUCT($NZ64:$OE64,$I$2:$N$2)+MIN(2,$OF64*1+$OG64*1,SUMPRODUCT($NZ64:$OE64,$I$2:$N$2)))</f>
        <v/>
      </c>
      <c r="OT64" s="152">
        <f>MAX(0,4-SUMPRODUCT($NZ64:$OE64,$I$3:$N$3)+MIN(4,$OF64*1+$OG64*2,SUMPRODUCT($NZ64:$OE64,$I$3:$N$3)))</f>
        <v/>
      </c>
      <c r="OU64" s="152">
        <f>MAX(0,6-SUMPRODUCT($NZ64:$OE64,$I$4:$N$4)+MIN(6,$OF64*2+$OG64*3,SUMPRODUCT($NZ64:$OE64,$I$4:$N$4)))</f>
        <v/>
      </c>
      <c r="OV64" s="152">
        <f>MAX(0,9-SUMPRODUCT($NZ64:$OE64,$I$5:$N$5)+MIN(8,$OF64*2+$OG64*4,SUMPRODUCT($NZ64:$OE64,$I$5:$N$5)))</f>
        <v/>
      </c>
      <c r="OW64" s="152">
        <f>MAX(0,11-SUMPRODUCT($NZ64:$OE64,$I$6:$N$6)+MIN(10,$OF64*3+$OG64*5,SUMPRODUCT($NZ64:$OE64,$I$6:$N$6)))</f>
        <v/>
      </c>
      <c r="OX64" s="152">
        <f>MAX(0,13-SUMPRODUCT($NZ64:$OE64,$I$7:$N$7)+MIN(12,$OF64*3+$OG64*6,SUMPRODUCT($NZ64:$OE64,$I$7:$N$7)))</f>
        <v/>
      </c>
      <c r="OY64" s="152">
        <f>MAX(0,16-SUMPRODUCT($NZ64:$OE64,$I$8:$N$8)+MIN(14,$OF64*4+$OG64*7,SUMPRODUCT($NZ64:$OE64,$I$8:$N$8)))</f>
        <v/>
      </c>
      <c r="OZ64" s="152">
        <f>IF($NT64=2,3*$OS64&amp;" de vida temp.",IF($NT64=3,"sem dano",IF($OS64=0,IF($NT64=1,"sem cura","sem dano"),IF($NT64=1,"cura ","")&amp;$OS64&amp;"d8")))</f>
        <v/>
      </c>
      <c r="PA64" s="152">
        <f>IF($NT64=2,3*$OT64&amp;" de vida temp.",IF($NT64=3,"sem dano",IF($OT64=0,IF($NT64=1,"sem cura","sem dano"),IF($NT64=1,"cura ","")&amp;$OT64&amp;"d8")))</f>
        <v/>
      </c>
      <c r="PB64" s="152">
        <f>IF($NT64=2,3*$OU64&amp;" de vida temp.",IF($NT64=3,"sem dano",IF($OU64=0,IF($NT64=1,"sem cura","sem dano"),IF($NT64=1,"cura ","")&amp;$OU64&amp;"d8")))</f>
        <v/>
      </c>
      <c r="PC64" s="152">
        <f>IF($NT64=2,3*$OV64&amp;" de vida temp.",IF($NT64=3,"sem dano",IF($OV64=0,IF($NT64=1,"sem cura","sem dano"),IF($NT64=1,"cura ","")&amp;$OV64&amp;"d8")))</f>
        <v/>
      </c>
      <c r="PD64" s="152">
        <f>IF($NT64=2,3*$OW64&amp;" de vida temp.",IF($NT64=3,"sem dano",IF($OW64=0,IF($NT64=1,"sem cura","sem dano"),IF($NT64=1,"cura ","")&amp;$OW64&amp;"d8")))</f>
        <v/>
      </c>
      <c r="PE64" s="152">
        <f>IF($NT64=2,3*$OX64&amp;" de vida temp.",IF($NT64=3,"sem dano",IF($OX64=0,IF($NT64=1,"sem cura","sem dano"),IF($NT64=1,"cura ","")&amp;$OX64&amp;"d8")))</f>
        <v/>
      </c>
      <c r="PF64" s="152">
        <f>IF($NT64=2,3*$OY64&amp;" de vida temp.",IF($NT64=3,"sem dano",IF($OY64=0,IF($NT64=1,"sem cura","sem dano"),IF($NT64=1,"cura ","")&amp;$OY64&amp;"d8")))</f>
        <v/>
      </c>
      <c r="PG64" s="152">
        <f>IF($MQ64=0,"",TEXTJOIN(" · ",TRUE,IF($MD64&gt;$MR64,"Este lugar abre no nível "&amp;$MD64,""),IF($MF64&gt;$MS64,"Classe "&amp;$MF64&amp;": o nível "&amp;$MR64&amp;" libera até a "&amp;$MS64,""),IF($NK64=1,"A Forma "&amp;$MH64&amp;" pede "&amp;INDEX($W$2:$W$11,$MW64)&amp;" aberta",""),IF(AND($MF64=0,$MW64&gt;0,IF($MW64=0,0,INDEX($AF$2:$AF$11,$MW64))=0),$MH64&amp;" não existe na Classe 0",""),IF($NL64=1,"Família Fechada: "&amp;$MK64,""),IF($NM64=1,"Família Fechada: "&amp;$ML64,""),IF($NN64=1,"Família Fechada: "&amp;$MM64,""),IF($NO64=1,"Família Fechada: "&amp;$MN64,""),IF(AND($MF64&gt;0,$OH64&gt;INDEX($O$2:$O$8,MAX(1,$MF64))),$OH64&amp;" Melhorias: a Classe "&amp;$MF64&amp;" aceita "&amp;INDEX($O$2:$O$8,MAX(1,$MF64)),""),IF(AND($MF64=0,$OH64&gt;1),"A básica aceita uma Melhoria",""),IF(AND($MF64=0,COUNTIF($NB64:$NE64,"&gt;1")&gt;0),"A básica só aceita Melhoria Leve",""),IF(AND($MF64&gt;0,$OI64&gt;2),$OI64&amp;" Restrições"&amp;IF($NS64=1,", contando a que a Forma "&amp;$MH64&amp;" já traz","")&amp;": o limite é 2",""),IF(AND($MF64=0,COUNTIF($MO64:$MP64,"?*")&gt;1),"A básica aceita uma Restrição Leve",""),IF(AND($MF64=0,COUNTIF($NV64:$NW64,2)&gt;0),"A básica só aceita Restrição Leve",""),IF(AND($MF64&gt;0,$OP64&lt;0),"Orçamento estourado: faltam "&amp;(-$OP64)&amp;IF($OP64&lt;-1," pontos"," ponto"),""),IF(IFERROR(VLOOKUP($MO64,$BC$2:$BG$24,4,FALSE),0)+IFERROR(VLOOKUP($MP64,$BC$2:$BG$24,4,FALSE),0)&gt;1,$NX64&amp;" e "&amp;$NY64&amp;" são as duas de frequência",""),IF(AND((COUNTIF($MK64:$MN64,"Rápido")+COUNTIF($NX64:$NY64,"Rápido"))&gt;0,(COUNTIF($MK64:$MN64,"Atrasar")+COUNTIF($NX64:$NY64,"Atrasar"))&gt;0),"Rápido não entra com Atrasar",""),IF(AND((COUNTIF($MK64:$MN64,"Reação")+COUNTIF($NX64:$NY64,"Reação"))&gt;0,(COUNTIF($MK64:$MN64,"Rápido")+COUNTIF($NX64:$NY64,"Rápido"))&gt;0),"Reação não entra com Rápido",""),IF(AND((COUNTIF($MK64:$MN64,"Reação")+COUNTIF($NX64:$NY64,"Reação"))&gt;0,(COUNTIF($MK64:$MN64,"Armado")+COUNTIF($NX64:$NY64,"Armado"))&gt;0),"Reação não entra com Armado",""),IF(AND((COUNTIF($MK64:$MN64,"Reação")+COUNTIF($NX64:$NY64,"Reação"))&gt;0,(COUNTIF($MK64:$MN64,"Atrasar")+COUNTIF($NX64:$NY64,"Atrasar"))&gt;0),"Reação não entra com Atrasar",""),IF(AND((COUNTIF($MK64:$MN64,"Reação")+COUNTIF($NX64:$NY64,"Reação"))&gt;0,(COUNTIF($MK64:$MN64,"Parado")+COUNTIF($NX64:$NY64,"Parado"))&gt;0),"Reação não entra com Parado",""),IF(AND((COUNTIF($MK64:$MN64,"Atrasar")+COUNTIF($NX64:$NY64,"Atrasar"))&gt;0,(COUNTIF($MK64:$MN64,"Parado")+COUNTIF($NX64:$NY64,"Parado"))&gt;0),"Atrasar não entra com Parado",""),IF(AND((COUNTIF($MK64:$MN64,"Armado")+COUNTIF($NX64:$NY64,"Armado"))&gt;0,(COUNTIF($MK64:$MN64,"Carregar")+COUNTIF($NX64:$NY64,"Carregar"))&gt;0),"Armado não entra com Carregar",""),IF(AND(COUNTIF($NX64:$NY64,"Corpo a Corpo")&gt;0,$NS64=0,OR($MH64="Cone",$MH64="Linha")),"Corpo a Corpo não entra em "&amp;$MH64,""),IF(AND(COUNTIF($NX64:$NY64,"Corpo a Corpo")&gt;0,$NS64=1),"A Forma "&amp;$MH64&amp;" já traz o Corpo a Corpo",""),IF(AND(COUNTIF($NX64:$NY64,"Tudo ou Nada")&gt;0,$NU64=0),"Tudo ou Nada só entra em habilidade de Teste de Resistência",""),IF(AND(COUNTIF($MK64:$MN64,"Inescapável")&gt;0,OR($OH64&gt;1,$OI64&gt;0)),"Inescapável não aceita outra peça",""),IF(AND($MF64&gt;0,$OQ64*IF(COUNTIF($MK64:$MN64,"Remate")&gt;0,1.25,1)+$OR64&gt;4*$MF64),($OQ64*IF(COUNTIF($MK64:$MN64,"Remate")&gt;0,1.25,1)+$OR64)&amp;" dados somando repetições"&amp;IF(COUNTIF($MK64:$MN64,"Remate")&gt;0," e o Remate","")&amp;": o teto da Classe "&amp;$MF64&amp;" é "&amp;4*$MF64,"")))</f>
        <v/>
      </c>
      <c r="PH64" s="152">
        <f>IF($PG64="",0,(LEN($PG64)-LEN(SUBSTITUTE($PG64," · ","")))/3+1)</f>
        <v/>
      </c>
      <c r="PI64" s="152">
        <f>IF($MQ64=0,"",TEXTJOIN(" · ",TRUE,IF($OK64&gt;2*$MF64,"A devolução parou no teto de "&amp;2*$MF64,""),IF($ON64&gt;0,"Devolução perdida: "&amp;$ON64&amp;IF($ON64&gt;1," pontos"," ponto")&amp;" sem peça para pagar",""),IF(AND($NP64&gt;0,AND($MF64&gt;0,$NT64=0),$OQ64=0),"Controle sem dano: uma rodada a mais e CD +2",""),IF(AND($NP64&gt;0,AND($MF64&gt;0,$NT64=0),$OQ64&gt;0,$OQ64&lt;=$MF64),"Controle com saldo até a Classe: uma rodada a mais",""),IF(AND($MF64&gt;0,$NR64&lt;&gt;""),"Efeito de "&amp;$NR64&amp;" pela Classe "&amp;MAX(1,$MF64-1),"")))</f>
        <v/>
      </c>
      <c r="PJ64" s="152">
        <f>IF($PI64="",0,(LEN($PI64)-LEN(SUBSTITUTE($PI64," · ","")))/3+1)</f>
        <v/>
      </c>
      <c r="PK64" s="152">
        <f>IF($MQ64=0,IF($OH64+COUNTIF($MO64:$MP64,"?*")&gt;0,"Dê um nome",""),IF($PH64&gt;0,"⚠ "&amp;$PH64&amp;IF($PH64&gt;1," erros"," erro"),IF($PJ64&gt;0,"! "&amp;$PJ64&amp;IF($PJ64&gt;1," avisos"," aviso"),"Na regra")))</f>
        <v/>
      </c>
      <c r="PL64" s="152">
        <f>IF($MQ64=0,"",IF($PH64+$PJ64=0,"Dentro das regras que a ficha confere",$PG64&amp;IF(AND($PH64&gt;0,$PJ64&gt;0)," · ","")&amp;$PI64))</f>
        <v/>
      </c>
      <c r="PM64" s="152">
        <f>IF($MD64&gt;$MR64,$ME64&amp;" · ABRE NO NÍVEL "&amp;$MD64,$ME64)</f>
        <v/>
      </c>
      <c r="PN64" s="152">
        <f>IF($MQ64=0,"",IF($MF64=0,"Sem PE",3*$MF64&amp;" PE"))</f>
        <v/>
      </c>
      <c r="PO64" s="152">
        <f>IF($MQ64=0,"",IF($MF64=0,"A atuação básica dela",IF(COUNTIF($NX64:$NY64,"Atrasar")&gt;0,"Sua Ação Completa",IF(COUNTIF($MK64:$MN64,"Rápido")&gt;0,"Sua Bônus",IF(COUNTIF($MK64:$MN64,"Reação")&gt;0,"Sua Reação","Sua Padrão")))&amp;" + a básica dela"&amp;IF(COUNTIF($MK64:$MN64,"Reação")&gt;0," e a coletiva","")&amp;IF(COUNTIF($NX64:$NY64,"Carregar")&gt;0," · em dois turnos","")))</f>
        <v/>
      </c>
      <c r="PP64" s="152">
        <f>IF($MJ64&lt;&gt;"",$MJ64,IF($MW64=0,"",INDEX($AA$2:$AA$11,$MW64)))</f>
        <v/>
      </c>
      <c r="PQ64" s="152">
        <f>IF(OR($MQ64=0,$MW64=0),"",IF(COUNTIF($MK64:$MN64,"Inescapável")&gt;0,"Automático",IF($PP64="Ataque",IF($MU64="","Ataque","Ataque "&amp;IF(($MU64+2*IF(COUNTIF($MK64:$MN64,"Precisão")&gt;0,1,0))&gt;=0,"+","−")&amp;ABS(($MU64+2*IF(COUNTIF($MK64:$MN64,"Precisão")&gt;0,1,0))))&amp;IF($NQ64&gt;0," · TR"&amp;IF($MV64="",""," CD "&amp;$MV64),""),IF(LEFT($PP64,2)="TR",$PP64&amp;IF($MV64="",""," · CD "&amp;$MV64)&amp;IF(COUNTIF($MK64:$MN64,"Certeiro")&gt;0," · metade",""),"Sem rolagem"))))</f>
        <v/>
      </c>
      <c r="PR64" s="152">
        <f>IF(OR($MQ64=0,$MW64=0),"",IF($MF64=0,IF(OR($NT64&gt;=1,$OQ64=0),"Sem dano",$OQ64&amp;"d6"&amp;IF($MI64="",""," "&amp;$MI64)),IF(OR($NT64&gt;=1,$OQ64=0),UPPER(LEFT(INDEX($OZ64:$PF64,1,MAX(1,$MF64)),1))&amp;MID(INDEX($OZ64:$PF64,1,MAX(1,$MF64)),2,99),UPPER(LEFT(INDEX($OZ64:$PF64,1,MAX(1,$MF64)),1))&amp;MID(INDEX($OZ64:$PF64,1,MAX(1,$MF64)),2,99)&amp;IF($MI64="",""," "&amp;$MI64)&amp;IF($OR64&gt;0," · +"&amp;$OR64&amp;"d8",""))))</f>
        <v/>
      </c>
      <c r="PS64" s="152">
        <f>COUNTIF($MK64:$MN64,"Longe")+3*COUNTIF($MK64:$MN64,"Muito Longe")</f>
        <v/>
      </c>
      <c r="PT64" s="152">
        <f>COUNTIF($MK64:$MN64,"Maior")+3*COUNTIF($MK64:$MN64,"Muito Maior")</f>
        <v/>
      </c>
      <c r="PU64" s="152">
        <f>IF($MW64=0,0,CHOOSE(1+INDEX($AC$2:$AC$11,$MW64),0,$PS64,$PT64,$PS64+$PT64))</f>
        <v/>
      </c>
      <c r="PV64" s="152">
        <f>IF($MW64=0,0,CHOOSE(1+INDEX($AD$2:$AD$11,$MW64),0,$PS64,$PT64,$PS64+$PT64))</f>
        <v/>
      </c>
      <c r="PW64" s="152">
        <f>IF(OR($MQ64=0,$MW64=0),"",INDEX($AI$2:$AN$41,($MW64-1)*4+IF($MF64=0,1,IF($MF64&lt;=5,2,IF($MF64=6,3,4))),1+MIN(5,$PU64))&amp;INDEX($AO$2:$AT$41,($MW64-1)*4+IF($MF64=0,1,IF($MF64&lt;=5,2,IF($MF64=6,3,4))),1+MIN(5,$PV64))&amp;IF(INDEX($AE$2:$AE$11,$MW64)=1,IF(COUNTIF($MK64:$MN64,"Mais Um")&gt;0," · +"&amp;COUNTIF($MK64:$MN64,"Mais Um")&amp;IF(COUNTIF($MK64:$MN64,"Mais Um")&gt;1," alvos"," alvo"),"")&amp;IF(COUNTIF($MK64:$MN64,"Rajada")&gt;0,IF($MF64=0," · 1 tiro"," · "&amp;(MAX(1,$MF64-1)+1)&amp;" tiros"),""),""))</f>
        <v/>
      </c>
      <c r="PX64" s="152">
        <f>IF($MQ64=0,"",IF($MF64=0,$MT64&amp;"d6"&amp;IF($OH64&gt;0," − 1 = "&amp;$OQ64&amp;"d6"," da básica do nível "&amp;$MR64),$OO64&amp;" − "&amp;$OJ64&amp;" + "&amp;$OM64&amp;" = "&amp;$OP64&amp;" · teto "&amp;4*$MF64&amp;"d8"&amp;IF($NS64=1," · a Forma devolve "&amp;$MF64,"")&amp;IF($ON64&gt;0," · perde "&amp;$ON64,"")))</f>
        <v/>
      </c>
      <c r="PY64" s="152">
        <f>IF($MQ64=0,"",IF($MF64=0,"A básica não amplia: os dados dela sobem com o nível",IF($MF64&gt;=$MS64,"Já está na maior Classe que o nível liberou",TEXTJOIN(" · ",TRUE,IF(AND(2&gt;$MF64,2&lt;=$MS64),"2 → "&amp;$PA64&amp;", 6 PE",""),IF(AND(3&gt;$MF64,3&lt;=$MS64),"3 → "&amp;$PB64&amp;", 9 PE",""),IF(AND(4&gt;$MF64,4&lt;=$MS64),"4 → "&amp;$PC64&amp;", 12 PE",""),IF(AND(5&gt;$MF64,5&lt;=$MS64),"5 → "&amp;$PD64&amp;", 15 PE",""),IF(AND(6&gt;$MF64,6&lt;=$MS64),"6 → "&amp;$PE64&amp;", 18 PE",""),IF(AND(7&gt;$MF64,7&lt;=$MS64),"7 → "&amp;$PF64&amp;", 21 PE","")))))</f>
        <v/>
      </c>
      <c r="PZ64" s="152">
        <f>IF(OR($MQ64=0,$NB64=0),"",IF($MF64=0,"−1 dado","−"&amp;INDEX($I$2:$N$8,MAX(1,$MF64),MAX(1,$NG64))&amp;" · "&amp;CHOOSE(MAX(1,$NG64),"Leve","Média","Pesada","Leve · Livre","Média · Livre","Pesada · Livre")))</f>
        <v/>
      </c>
      <c r="QA64" s="152">
        <f>IF(OR($MQ64=0,$NC64=0),"",IF($MF64=0,"−1 dado","−"&amp;INDEX($I$2:$N$8,MAX(1,$MF64),MAX(1,$NH64))&amp;" · "&amp;CHOOSE(MAX(1,$NH64),"Leve","Média","Pesada","Leve · Livre","Média · Livre","Pesada · Livre")))</f>
        <v/>
      </c>
      <c r="QB64" s="152">
        <f>IF(OR($MQ64=0,$ND64=0),"",IF($MF64=0,"−1 dado","−"&amp;INDEX($I$2:$N$8,MAX(1,$MF64),MAX(1,$NI64))&amp;" · "&amp;CHOOSE(MAX(1,$NI64),"Leve","Média","Pesada","Leve · Livre","Média · Livre","Pesada · Livre")))</f>
        <v/>
      </c>
      <c r="QC64" s="152">
        <f>IF(OR($MQ64=0,$NE64=0),"",IF($MF64=0,"−1 dado","−"&amp;INDEX($I$2:$N$8,MAX(1,$MF64),MAX(1,$NJ64))&amp;" · "&amp;CHOOSE(MAX(1,$NJ64),"Leve","Média","Pesada","Leve · Livre","Média · Livre","Pesada · Livre")))</f>
        <v/>
      </c>
      <c r="QD64" s="152">
        <f>IF(OR($MQ64=0,$MO64=""),"",IF($MF64=0,"não devolve","+"&amp;IF($NV64=1,CEILING($MF64/2,1),$MF64)))</f>
        <v/>
      </c>
      <c r="QE64" s="152">
        <f>IF(OR($MQ64=0,$MP64=""),"",IF($MF64=0,"não devolve","+"&amp;IF($NW64=1,CEILING($MF64/2,1),$MF64)))</f>
        <v/>
      </c>
    </row>
    <row r="65">
      <c r="AV65" s="150" t="inlineStr">
        <is>
          <t>Segura</t>
        </is>
      </c>
      <c r="AW65" s="150" t="inlineStr">
        <is>
          <t>Tempo</t>
        </is>
      </c>
      <c r="AX65" s="152" t="n">
        <v>1</v>
      </c>
      <c r="AY65" s="152" t="n">
        <v>0</v>
      </c>
      <c r="AZ65" s="152" t="n">
        <v>0</v>
      </c>
      <c r="BA65" s="152" t="n">
        <v>0</v>
      </c>
      <c r="JG65" s="152">
        <f>IF(OR($AW65="",COUNTIF($EF$2:$EJ$2,$AW65)&gt;0),$AV65,"")</f>
        <v/>
      </c>
      <c r="JH65" s="152">
        <f>IF(AND($AX65=1,OR($AW65="",COUNTIF($EF$2:$EJ$2,$AW65)&gt;0)),$AV65,"")</f>
        <v/>
      </c>
      <c r="JM65" s="152">
        <f>IF(OR($AW65="",COUNTIF($EF$3:$EJ$3,$AW65)&gt;0),$AV65,"")</f>
        <v/>
      </c>
      <c r="JN65" s="152">
        <f>IF(AND($AX65=1,OR($AW65="",COUNTIF($EF$3:$EJ$3,$AW65)&gt;0)),$AV65,"")</f>
        <v/>
      </c>
      <c r="JS65" s="152">
        <f>IF(OR($AW65="",COUNTIF($EF$4:$EJ$4,$AW65)&gt;0),$AV65,"")</f>
        <v/>
      </c>
      <c r="JT65" s="152">
        <f>IF(AND($AX65=1,OR($AW65="",COUNTIF($EF$4:$EJ$4,$AW65)&gt;0)),$AV65,"")</f>
        <v/>
      </c>
      <c r="JY65" s="152">
        <f>IF(OR($AW65="",COUNTIF($EF$5:$EJ$5,$AW65)&gt;0),$AV65,"")</f>
        <v/>
      </c>
      <c r="JZ65" s="152">
        <f>IF(AND($AX65=1,OR($AW65="",COUNTIF($EF$5:$EJ$5,$AW65)&gt;0)),$AV65,"")</f>
        <v/>
      </c>
      <c r="KE65" s="152">
        <f>IF(OR($AW65="",COUNTIF($EF$6:$EJ$6,$AW65)&gt;0),$AV65,"")</f>
        <v/>
      </c>
      <c r="KF65" s="152">
        <f>IF(AND($AX65=1,OR($AW65="",COUNTIF($EF$6:$EJ$6,$AW65)&gt;0)),$AV65,"")</f>
        <v/>
      </c>
      <c r="KK65" s="152">
        <f>IF(OR($AW65="",COUNTIF($EF$7:$EJ$7,$AW65)&gt;0),$AV65,"")</f>
        <v/>
      </c>
      <c r="KL65" s="152">
        <f>IF(AND($AX65=1,OR($AW65="",COUNTIF($EF$7:$EJ$7,$AW65)&gt;0)),$AV65,"")</f>
        <v/>
      </c>
      <c r="KQ65" s="152">
        <f>IF(OR($AW65="",COUNTIF($EF$8:$EJ$8,$AW65)&gt;0),$AV65,"")</f>
        <v/>
      </c>
      <c r="KR65" s="152">
        <f>IF(AND($AX65=1,OR($AW65="",COUNTIF($EF$8:$EJ$8,$AW65)&gt;0)),$AV65,"")</f>
        <v/>
      </c>
      <c r="KW65" s="152">
        <f>IF(OR($AW65="",COUNTIF($EF$9:$EJ$9,$AW65)&gt;0),$AV65,"")</f>
        <v/>
      </c>
      <c r="KX65" s="152">
        <f>IF(AND($AX65=1,OR($AW65="",COUNTIF($EF$9:$EJ$9,$AW65)&gt;0)),$AV65,"")</f>
        <v/>
      </c>
      <c r="LC65" s="152">
        <f>IF(OR($AW65="",COUNTIF($EF$10:$EJ$10,$AW65)&gt;0),$AV65,"")</f>
        <v/>
      </c>
      <c r="LD65" s="152">
        <f>IF(AND($AX65=1,OR($AW65="",COUNTIF($EF$10:$EJ$10,$AW65)&gt;0)),$AV65,"")</f>
        <v/>
      </c>
      <c r="LI65" s="152">
        <f>IF(OR($AW65="",COUNTIF($EF$11:$EJ$11,$AW65)&gt;0),$AV65,"")</f>
        <v/>
      </c>
      <c r="LJ65" s="152">
        <f>IF(AND($AX65=1,OR($AW65="",COUNTIF($EF$11:$EJ$11,$AW65)&gt;0)),$AV65,"")</f>
        <v/>
      </c>
      <c r="LO65" s="152">
        <f>IF(OR($AW65="",COUNTIF($EF$12:$EJ$12,$AW65)&gt;0),$AV65,"")</f>
        <v/>
      </c>
      <c r="LP65" s="152">
        <f>IF(AND($AX65=1,OR($AW65="",COUNTIF($EF$12:$EJ$12,$AW65)&gt;0)),$AV65,"")</f>
        <v/>
      </c>
      <c r="LU65" s="152">
        <f>IF(OR($AW65="",COUNTIF($EF$13:$EJ$13,$AW65)&gt;0),$AV65,"")</f>
        <v/>
      </c>
      <c r="LV65" s="152">
        <f>IF(AND($AX65=1,OR($AW65="",COUNTIF($EF$13:$EJ$13,$AW65)&gt;0)),$AV65,"")</f>
        <v/>
      </c>
      <c r="MA65" s="150" t="inlineStr">
        <is>
          <t>Ficha 5 · Escolha da trilha 2</t>
        </is>
      </c>
      <c r="MB65" s="152" t="n">
        <v>5</v>
      </c>
      <c r="MC65" s="152" t="n">
        <v>2</v>
      </c>
      <c r="MD65" s="152" t="n">
        <v>0</v>
      </c>
      <c r="ME65" s="150" t="inlineStr">
        <is>
          <t>ESCOLHA DA TRILHA 2</t>
        </is>
      </c>
      <c r="MF65" s="152">
        <f>MAX(0,MIN(7,N('INVOCAÇÕES'!$O$952)))</f>
        <v/>
      </c>
      <c r="MG65" s="152">
        <f>'INVOCAÇÕES'!$P$952&amp;""</f>
        <v/>
      </c>
      <c r="MH65" s="152">
        <f>'INVOCAÇÕES'!$O$957&amp;""</f>
        <v/>
      </c>
      <c r="MI65" s="152">
        <f>'INVOCAÇÕES'!$O$958&amp;""</f>
        <v/>
      </c>
      <c r="MJ65" s="152">
        <f>'INVOCAÇÕES'!$Q$958&amp;""</f>
        <v/>
      </c>
      <c r="MK65" s="152">
        <f>'INVOCAÇÕES'!$P$961&amp;""</f>
        <v/>
      </c>
      <c r="ML65" s="152">
        <f>'INVOCAÇÕES'!$P$962&amp;""</f>
        <v/>
      </c>
      <c r="MM65" s="152">
        <f>'INVOCAÇÕES'!$P$963&amp;""</f>
        <v/>
      </c>
      <c r="MN65" s="152">
        <f>'INVOCAÇÕES'!$P$964&amp;""</f>
        <v/>
      </c>
      <c r="MO65" s="152">
        <f>'INVOCAÇÕES'!$P$965&amp;""</f>
        <v/>
      </c>
      <c r="MP65" s="152">
        <f>'INVOCAÇÕES'!$P$966&amp;""</f>
        <v/>
      </c>
      <c r="MQ65" s="152">
        <f>IF($MG65&lt;&gt;"",1,0)</f>
        <v/>
      </c>
      <c r="MR65" s="152">
        <f>INDEX($FI$2:$FI$13,$MB65)</f>
        <v/>
      </c>
      <c r="MS65" s="152">
        <f>INDEX($FJ$2:$FJ$13,$MB65)</f>
        <v/>
      </c>
      <c r="MT65" s="152">
        <f>INDEX($FK$2:$FK$13,$MB65)</f>
        <v/>
      </c>
      <c r="MU65" s="152">
        <f>INDEX($FV$2:$FV$13,$MB65)</f>
        <v/>
      </c>
      <c r="MV65" s="152">
        <f>INDEX($FW$2:$FW$13,$MB65)</f>
        <v/>
      </c>
      <c r="MW65" s="152">
        <f>IFERROR(MATCH($MH65,$V$2:$V$11,0),0)</f>
        <v/>
      </c>
      <c r="MX65" s="152">
        <f>IFERROR(VLOOKUP($MK65,$AV$2:$BA$84,2,FALSE),"")</f>
        <v/>
      </c>
      <c r="MY65" s="152">
        <f>IFERROR(VLOOKUP($ML65,$AV$2:$BA$84,2,FALSE),"")</f>
        <v/>
      </c>
      <c r="MZ65" s="152">
        <f>IFERROR(VLOOKUP($MM65,$AV$2:$BA$84,2,FALSE),"")</f>
        <v/>
      </c>
      <c r="NA65" s="152">
        <f>IFERROR(VLOOKUP($MN65,$AV$2:$BA$84,2,FALSE),"")</f>
        <v/>
      </c>
      <c r="NB65" s="152">
        <f>IFERROR(VLOOKUP($MK65,$AV$2:$BA$84,3,FALSE),0)</f>
        <v/>
      </c>
      <c r="NC65" s="152">
        <f>IFERROR(VLOOKUP($ML65,$AV$2:$BA$84,3,FALSE),0)</f>
        <v/>
      </c>
      <c r="ND65" s="152">
        <f>IFERROR(VLOOKUP($MM65,$AV$2:$BA$84,3,FALSE),0)</f>
        <v/>
      </c>
      <c r="NE65" s="152">
        <f>IFERROR(VLOOKUP($MN65,$AV$2:$BA$84,3,FALSE),0)</f>
        <v/>
      </c>
      <c r="NF65" s="152">
        <f>IF($MF65=0,0,IF($MW65=0,0,INDEX($X$2:$X$11,$MW65)))</f>
        <v/>
      </c>
      <c r="NG65" s="152">
        <f>IF(OR($NB65=0,$MF65=0),0,$NB65+3*IF(AND($MX65&lt;&gt;"",OR($MX65=INDEX($EF$2:$EF$13,$MB65),$MX65=INDEX($EG$2:$EG$13,$MB65))),1,0))</f>
        <v/>
      </c>
      <c r="NH65" s="152">
        <f>IF(OR($NC65=0,$MF65=0),0,$NC65+3*IF(AND($MY65&lt;&gt;"",OR($MY65=INDEX($EF$2:$EF$13,$MB65),$MY65=INDEX($EG$2:$EG$13,$MB65))),1,0))</f>
        <v/>
      </c>
      <c r="NI65" s="152">
        <f>IF(OR($ND65=0,$MF65=0),0,$ND65+3*IF(AND($MZ65&lt;&gt;"",OR($MZ65=INDEX($EF$2:$EF$13,$MB65),$MZ65=INDEX($EG$2:$EG$13,$MB65))),1,0))</f>
        <v/>
      </c>
      <c r="NJ65" s="152">
        <f>IF(OR($NE65=0,$MF65=0),0,$NE65+3*IF(AND($NA65&lt;&gt;"",OR($NA65=INDEX($EF$2:$EF$13,$MB65),$NA65=INDEX($EG$2:$EG$13,$MB65))),1,0))</f>
        <v/>
      </c>
      <c r="NK65" s="152">
        <f>IF($MW65=0,0,IF(INDEX($W$2:$W$11,$MW65)="",0,IF(COUNTIF(INDEX($EF$2:$EJ$13,$MB65,0),INDEX($W$2:$W$11,$MW65))=0,1,0)))</f>
        <v/>
      </c>
      <c r="NL65" s="152">
        <f>IF(OR($NB65=0,$MX65=""),0,IF(COUNTIF(INDEX($EF$2:$EJ$13,$MB65,0),$MX65)=0,1,0))</f>
        <v/>
      </c>
      <c r="NM65" s="152">
        <f>IF(OR($NC65=0,$MY65=""),0,IF(COUNTIF(INDEX($EF$2:$EJ$13,$MB65,0),$MY65)=0,1,0))</f>
        <v/>
      </c>
      <c r="NN65" s="152">
        <f>IF(OR($ND65=0,$MZ65=""),0,IF(COUNTIF(INDEX($EF$2:$EJ$13,$MB65,0),$MZ65)=0,1,0))</f>
        <v/>
      </c>
      <c r="NO65" s="152">
        <f>IF(OR($NE65=0,$NA65=""),0,IF(COUNTIF(INDEX($EF$2:$EJ$13,$MB65,0),$NA65)=0,1,0))</f>
        <v/>
      </c>
      <c r="NP65" s="152">
        <f>IFERROR(VLOOKUP($MK65,$AV$2:$BA$84,4,FALSE),0)+IFERROR(VLOOKUP($ML65,$AV$2:$BA$84,4,FALSE),0)+IFERROR(VLOOKUP($MM65,$AV$2:$BA$84,4,FALSE),0)+IFERROR(VLOOKUP($MN65,$AV$2:$BA$84,4,FALSE),0)</f>
        <v/>
      </c>
      <c r="NQ65" s="152">
        <f>IFERROR(VLOOKUP($MK65,$AV$2:$BA$84,6,FALSE),0)+IFERROR(VLOOKUP($ML65,$AV$2:$BA$84,6,FALSE),0)+IFERROR(VLOOKUP($MM65,$AV$2:$BA$84,6,FALSE),0)+IFERROR(VLOOKUP($MN65,$AV$2:$BA$84,6,FALSE),0)</f>
        <v/>
      </c>
      <c r="NR65" s="152">
        <f>TEXTJOIN(", ",TRUE,IF(IFERROR(VLOOKUP($MK65,$AV$2:$BA$84,5,FALSE),0)=1,$MK65,""),IF(IFERROR(VLOOKUP($ML65,$AV$2:$BA$84,5,FALSE),0)=1,$ML65,""),IF(IFERROR(VLOOKUP($MM65,$AV$2:$BA$84,5,FALSE),0)=1,$MM65,""),IF(IFERROR(VLOOKUP($MN65,$AV$2:$BA$84,5,FALSE),0)=1,$MN65,""))</f>
        <v/>
      </c>
      <c r="NS65" s="152">
        <f>IF($MW65=0,0,INDEX($Y$2:$Y$11,$MW65))</f>
        <v/>
      </c>
      <c r="NT65" s="152">
        <f>IF($MW65=0,0,INDEX($Z$2:$Z$11,$MW65))</f>
        <v/>
      </c>
      <c r="NU65" s="152">
        <f>IF($MW65=0,0,INDEX($AB$2:$AB$11,$MW65))</f>
        <v/>
      </c>
      <c r="NV65" s="152">
        <f>IFERROR(VLOOKUP($MO65,$BC$2:$BG$24,3,FALSE),0)</f>
        <v/>
      </c>
      <c r="NW65" s="152">
        <f>IFERROR(VLOOKUP($MP65,$BC$2:$BG$24,3,FALSE),0)</f>
        <v/>
      </c>
      <c r="NX65" s="152">
        <f>IFERROR(VLOOKUP($MO65,$BC$2:$BG$24,2,FALSE),"")</f>
        <v/>
      </c>
      <c r="NY65" s="152">
        <f>IFERROR(VLOOKUP($MP65,$BC$2:$BG$24,2,FALSE),"")</f>
        <v/>
      </c>
      <c r="NZ65" s="152">
        <f>COUNTIF($NF65:$NJ65,1)</f>
        <v/>
      </c>
      <c r="OA65" s="152">
        <f>COUNTIF($NF65:$NJ65,2)</f>
        <v/>
      </c>
      <c r="OB65" s="152">
        <f>COUNTIF($NF65:$NJ65,3)</f>
        <v/>
      </c>
      <c r="OC65" s="152">
        <f>COUNTIF($NF65:$NJ65,4)</f>
        <v/>
      </c>
      <c r="OD65" s="152">
        <f>COUNTIF($NF65:$NJ65,5)</f>
        <v/>
      </c>
      <c r="OE65" s="152">
        <f>COUNTIF($NF65:$NJ65,6)</f>
        <v/>
      </c>
      <c r="OF65" s="152">
        <f>COUNTIF($NV65:$NW65,1)</f>
        <v/>
      </c>
      <c r="OG65" s="152">
        <f>COUNTIF($NV65:$NW65,2)+$NS65</f>
        <v/>
      </c>
      <c r="OH65" s="152">
        <f>COUNTIF($MK65:$MN65,"?*")</f>
        <v/>
      </c>
      <c r="OI65" s="152">
        <f>COUNTIF($MO65:$MP65,"?*")+$NS65</f>
        <v/>
      </c>
      <c r="OJ65" s="152">
        <f>IF($MF65=0,0,SUMPRODUCT($NZ65:$OE65,INDEX($I$2:$N$8,MAX(1,$MF65),0)))</f>
        <v/>
      </c>
      <c r="OK65" s="152">
        <f>IF($MF65=0,0,$OF65*CEILING($MF65/2,1)+$OG65*$MF65)</f>
        <v/>
      </c>
      <c r="OL65" s="152">
        <f>MIN(2*$MF65,$OK65)</f>
        <v/>
      </c>
      <c r="OM65" s="152">
        <f>MIN($OL65,$OJ65)</f>
        <v/>
      </c>
      <c r="ON65" s="152">
        <f>$OL65-$OM65</f>
        <v/>
      </c>
      <c r="OO65" s="152">
        <f>IF($MF65=0,0,INDEX($P$2:$P$8,MAX(1,$MF65)))</f>
        <v/>
      </c>
      <c r="OP65" s="152">
        <f>$OO65-$OJ65+$OM65</f>
        <v/>
      </c>
      <c r="OQ65" s="152">
        <f>IF($MF65=0,MAX(0,$MT65-IF($OH65&gt;0,1,0)),MAX(0,$OP65))</f>
        <v/>
      </c>
      <c r="OR65" s="152">
        <f>IF($MF65=0,0,(IF(COUNTIF($MK65:$MN65,"Salto")&gt;0,1,0)+IF(COUNTIF($MK65:$MN65,"Queima")&gt;0,1,0)+IF(COUNTIF($MK65:$MN65,"Estilhaço")&gt;0,1,0))*FLOOR($OQ65/2,1))</f>
        <v/>
      </c>
      <c r="OS65" s="152">
        <f>MAX(0,2-SUMPRODUCT($NZ65:$OE65,$I$2:$N$2)+MIN(2,$OF65*1+$OG65*1,SUMPRODUCT($NZ65:$OE65,$I$2:$N$2)))</f>
        <v/>
      </c>
      <c r="OT65" s="152">
        <f>MAX(0,4-SUMPRODUCT($NZ65:$OE65,$I$3:$N$3)+MIN(4,$OF65*1+$OG65*2,SUMPRODUCT($NZ65:$OE65,$I$3:$N$3)))</f>
        <v/>
      </c>
      <c r="OU65" s="152">
        <f>MAX(0,6-SUMPRODUCT($NZ65:$OE65,$I$4:$N$4)+MIN(6,$OF65*2+$OG65*3,SUMPRODUCT($NZ65:$OE65,$I$4:$N$4)))</f>
        <v/>
      </c>
      <c r="OV65" s="152">
        <f>MAX(0,9-SUMPRODUCT($NZ65:$OE65,$I$5:$N$5)+MIN(8,$OF65*2+$OG65*4,SUMPRODUCT($NZ65:$OE65,$I$5:$N$5)))</f>
        <v/>
      </c>
      <c r="OW65" s="152">
        <f>MAX(0,11-SUMPRODUCT($NZ65:$OE65,$I$6:$N$6)+MIN(10,$OF65*3+$OG65*5,SUMPRODUCT($NZ65:$OE65,$I$6:$N$6)))</f>
        <v/>
      </c>
      <c r="OX65" s="152">
        <f>MAX(0,13-SUMPRODUCT($NZ65:$OE65,$I$7:$N$7)+MIN(12,$OF65*3+$OG65*6,SUMPRODUCT($NZ65:$OE65,$I$7:$N$7)))</f>
        <v/>
      </c>
      <c r="OY65" s="152">
        <f>MAX(0,16-SUMPRODUCT($NZ65:$OE65,$I$8:$N$8)+MIN(14,$OF65*4+$OG65*7,SUMPRODUCT($NZ65:$OE65,$I$8:$N$8)))</f>
        <v/>
      </c>
      <c r="OZ65" s="152">
        <f>IF($NT65=2,3*$OS65&amp;" de vida temp.",IF($NT65=3,"sem dano",IF($OS65=0,IF($NT65=1,"sem cura","sem dano"),IF($NT65=1,"cura ","")&amp;$OS65&amp;"d8")))</f>
        <v/>
      </c>
      <c r="PA65" s="152">
        <f>IF($NT65=2,3*$OT65&amp;" de vida temp.",IF($NT65=3,"sem dano",IF($OT65=0,IF($NT65=1,"sem cura","sem dano"),IF($NT65=1,"cura ","")&amp;$OT65&amp;"d8")))</f>
        <v/>
      </c>
      <c r="PB65" s="152">
        <f>IF($NT65=2,3*$OU65&amp;" de vida temp.",IF($NT65=3,"sem dano",IF($OU65=0,IF($NT65=1,"sem cura","sem dano"),IF($NT65=1,"cura ","")&amp;$OU65&amp;"d8")))</f>
        <v/>
      </c>
      <c r="PC65" s="152">
        <f>IF($NT65=2,3*$OV65&amp;" de vida temp.",IF($NT65=3,"sem dano",IF($OV65=0,IF($NT65=1,"sem cura","sem dano"),IF($NT65=1,"cura ","")&amp;$OV65&amp;"d8")))</f>
        <v/>
      </c>
      <c r="PD65" s="152">
        <f>IF($NT65=2,3*$OW65&amp;" de vida temp.",IF($NT65=3,"sem dano",IF($OW65=0,IF($NT65=1,"sem cura","sem dano"),IF($NT65=1,"cura ","")&amp;$OW65&amp;"d8")))</f>
        <v/>
      </c>
      <c r="PE65" s="152">
        <f>IF($NT65=2,3*$OX65&amp;" de vida temp.",IF($NT65=3,"sem dano",IF($OX65=0,IF($NT65=1,"sem cura","sem dano"),IF($NT65=1,"cura ","")&amp;$OX65&amp;"d8")))</f>
        <v/>
      </c>
      <c r="PF65" s="152">
        <f>IF($NT65=2,3*$OY65&amp;" de vida temp.",IF($NT65=3,"sem dano",IF($OY65=0,IF($NT65=1,"sem cura","sem dano"),IF($NT65=1,"cura ","")&amp;$OY65&amp;"d8")))</f>
        <v/>
      </c>
      <c r="PG65" s="152">
        <f>IF($MQ65=0,"",TEXTJOIN(" · ",TRUE,IF($MD65&gt;$MR65,"Este lugar abre no nível "&amp;$MD65,""),IF($MF65&gt;$MS65,"Classe "&amp;$MF65&amp;": o nível "&amp;$MR65&amp;" libera até a "&amp;$MS65,""),IF($NK65=1,"A Forma "&amp;$MH65&amp;" pede "&amp;INDEX($W$2:$W$11,$MW65)&amp;" aberta",""),IF(AND($MF65=0,$MW65&gt;0,IF($MW65=0,0,INDEX($AF$2:$AF$11,$MW65))=0),$MH65&amp;" não existe na Classe 0",""),IF($NL65=1,"Família Fechada: "&amp;$MK65,""),IF($NM65=1,"Família Fechada: "&amp;$ML65,""),IF($NN65=1,"Família Fechada: "&amp;$MM65,""),IF($NO65=1,"Família Fechada: "&amp;$MN65,""),IF(AND($MF65&gt;0,$OH65&gt;INDEX($O$2:$O$8,MAX(1,$MF65))),$OH65&amp;" Melhorias: a Classe "&amp;$MF65&amp;" aceita "&amp;INDEX($O$2:$O$8,MAX(1,$MF65)),""),IF(AND($MF65=0,$OH65&gt;1),"A básica aceita uma Melhoria",""),IF(AND($MF65=0,COUNTIF($NB65:$NE65,"&gt;1")&gt;0),"A básica só aceita Melhoria Leve",""),IF(AND($MF65&gt;0,$OI65&gt;2),$OI65&amp;" Restrições"&amp;IF($NS65=1,", contando a que a Forma "&amp;$MH65&amp;" já traz","")&amp;": o limite é 2",""),IF(AND($MF65=0,COUNTIF($MO65:$MP65,"?*")&gt;1),"A básica aceita uma Restrição Leve",""),IF(AND($MF65=0,COUNTIF($NV65:$NW65,2)&gt;0),"A básica só aceita Restrição Leve",""),IF(AND($MF65&gt;0,$OP65&lt;0),"Orçamento estourado: faltam "&amp;(-$OP65)&amp;IF($OP65&lt;-1," pontos"," ponto"),""),IF(IFERROR(VLOOKUP($MO65,$BC$2:$BG$24,4,FALSE),0)+IFERROR(VLOOKUP($MP65,$BC$2:$BG$24,4,FALSE),0)&gt;1,$NX65&amp;" e "&amp;$NY65&amp;" são as duas de frequência",""),IF(AND((COUNTIF($MK65:$MN65,"Rápido")+COUNTIF($NX65:$NY65,"Rápido"))&gt;0,(COUNTIF($MK65:$MN65,"Atrasar")+COUNTIF($NX65:$NY65,"Atrasar"))&gt;0),"Rápido não entra com Atrasar",""),IF(AND((COUNTIF($MK65:$MN65,"Reação")+COUNTIF($NX65:$NY65,"Reação"))&gt;0,(COUNTIF($MK65:$MN65,"Rápido")+COUNTIF($NX65:$NY65,"Rápido"))&gt;0),"Reação não entra com Rápido",""),IF(AND((COUNTIF($MK65:$MN65,"Reação")+COUNTIF($NX65:$NY65,"Reação"))&gt;0,(COUNTIF($MK65:$MN65,"Armado")+COUNTIF($NX65:$NY65,"Armado"))&gt;0),"Reação não entra com Armado",""),IF(AND((COUNTIF($MK65:$MN65,"Reação")+COUNTIF($NX65:$NY65,"Reação"))&gt;0,(COUNTIF($MK65:$MN65,"Atrasar")+COUNTIF($NX65:$NY65,"Atrasar"))&gt;0),"Reação não entra com Atrasar",""),IF(AND((COUNTIF($MK65:$MN65,"Reação")+COUNTIF($NX65:$NY65,"Reação"))&gt;0,(COUNTIF($MK65:$MN65,"Parado")+COUNTIF($NX65:$NY65,"Parado"))&gt;0),"Reação não entra com Parado",""),IF(AND((COUNTIF($MK65:$MN65,"Atrasar")+COUNTIF($NX65:$NY65,"Atrasar"))&gt;0,(COUNTIF($MK65:$MN65,"Parado")+COUNTIF($NX65:$NY65,"Parado"))&gt;0),"Atrasar não entra com Parado",""),IF(AND((COUNTIF($MK65:$MN65,"Armado")+COUNTIF($NX65:$NY65,"Armado"))&gt;0,(COUNTIF($MK65:$MN65,"Carregar")+COUNTIF($NX65:$NY65,"Carregar"))&gt;0),"Armado não entra com Carregar",""),IF(AND(COUNTIF($NX65:$NY65,"Corpo a Corpo")&gt;0,$NS65=0,OR($MH65="Cone",$MH65="Linha")),"Corpo a Corpo não entra em "&amp;$MH65,""),IF(AND(COUNTIF($NX65:$NY65,"Corpo a Corpo")&gt;0,$NS65=1),"A Forma "&amp;$MH65&amp;" já traz o Corpo a Corpo",""),IF(AND(COUNTIF($NX65:$NY65,"Tudo ou Nada")&gt;0,$NU65=0),"Tudo ou Nada só entra em habilidade de Teste de Resistência",""),IF(AND(COUNTIF($MK65:$MN65,"Inescapável")&gt;0,OR($OH65&gt;1,$OI65&gt;0)),"Inescapável não aceita outra peça",""),IF(AND($MF65&gt;0,$OQ65*IF(COUNTIF($MK65:$MN65,"Remate")&gt;0,1.25,1)+$OR65&gt;4*$MF65),($OQ65*IF(COUNTIF($MK65:$MN65,"Remate")&gt;0,1.25,1)+$OR65)&amp;" dados somando repetições"&amp;IF(COUNTIF($MK65:$MN65,"Remate")&gt;0," e o Remate","")&amp;": o teto da Classe "&amp;$MF65&amp;" é "&amp;4*$MF65,"")))</f>
        <v/>
      </c>
      <c r="PH65" s="152">
        <f>IF($PG65="",0,(LEN($PG65)-LEN(SUBSTITUTE($PG65," · ","")))/3+1)</f>
        <v/>
      </c>
      <c r="PI65" s="152">
        <f>IF($MQ65=0,"",TEXTJOIN(" · ",TRUE,IF($OK65&gt;2*$MF65,"A devolução parou no teto de "&amp;2*$MF65,""),IF($ON65&gt;0,"Devolução perdida: "&amp;$ON65&amp;IF($ON65&gt;1," pontos"," ponto")&amp;" sem peça para pagar",""),IF(AND($NP65&gt;0,AND($MF65&gt;0,$NT65=0),$OQ65=0),"Controle sem dano: uma rodada a mais e CD +2",""),IF(AND($NP65&gt;0,AND($MF65&gt;0,$NT65=0),$OQ65&gt;0,$OQ65&lt;=$MF65),"Controle com saldo até a Classe: uma rodada a mais",""),IF(AND($MF65&gt;0,$NR65&lt;&gt;""),"Efeito de "&amp;$NR65&amp;" pela Classe "&amp;MAX(1,$MF65-1),"")))</f>
        <v/>
      </c>
      <c r="PJ65" s="152">
        <f>IF($PI65="",0,(LEN($PI65)-LEN(SUBSTITUTE($PI65," · ","")))/3+1)</f>
        <v/>
      </c>
      <c r="PK65" s="152">
        <f>IF($MQ65=0,IF($OH65+COUNTIF($MO65:$MP65,"?*")&gt;0,"Dê um nome",""),IF($PH65&gt;0,"⚠ "&amp;$PH65&amp;IF($PH65&gt;1," erros"," erro"),IF($PJ65&gt;0,"! "&amp;$PJ65&amp;IF($PJ65&gt;1," avisos"," aviso"),"Na regra")))</f>
        <v/>
      </c>
      <c r="PL65" s="152">
        <f>IF($MQ65=0,"",IF($PH65+$PJ65=0,"Dentro das regras que a ficha confere",$PG65&amp;IF(AND($PH65&gt;0,$PJ65&gt;0)," · ","")&amp;$PI65))</f>
        <v/>
      </c>
      <c r="PM65" s="152">
        <f>IF($MD65&gt;$MR65,$ME65&amp;" · ABRE NO NÍVEL "&amp;$MD65,$ME65)</f>
        <v/>
      </c>
      <c r="PN65" s="152">
        <f>IF($MQ65=0,"",IF($MF65=0,"Sem PE",3*$MF65&amp;" PE"))</f>
        <v/>
      </c>
      <c r="PO65" s="152">
        <f>IF($MQ65=0,"",IF($MF65=0,"A atuação básica dela",IF(COUNTIF($NX65:$NY65,"Atrasar")&gt;0,"Sua Ação Completa",IF(COUNTIF($MK65:$MN65,"Rápido")&gt;0,"Sua Bônus",IF(COUNTIF($MK65:$MN65,"Reação")&gt;0,"Sua Reação","Sua Padrão")))&amp;" + a básica dela"&amp;IF(COUNTIF($MK65:$MN65,"Reação")&gt;0," e a coletiva","")&amp;IF(COUNTIF($NX65:$NY65,"Carregar")&gt;0," · em dois turnos","")))</f>
        <v/>
      </c>
      <c r="PP65" s="152">
        <f>IF($MJ65&lt;&gt;"",$MJ65,IF($MW65=0,"",INDEX($AA$2:$AA$11,$MW65)))</f>
        <v/>
      </c>
      <c r="PQ65" s="152">
        <f>IF(OR($MQ65=0,$MW65=0),"",IF(COUNTIF($MK65:$MN65,"Inescapável")&gt;0,"Automático",IF($PP65="Ataque",IF($MU65="","Ataque","Ataque "&amp;IF(($MU65+2*IF(COUNTIF($MK65:$MN65,"Precisão")&gt;0,1,0))&gt;=0,"+","−")&amp;ABS(($MU65+2*IF(COUNTIF($MK65:$MN65,"Precisão")&gt;0,1,0))))&amp;IF($NQ65&gt;0," · TR"&amp;IF($MV65="",""," CD "&amp;$MV65),""),IF(LEFT($PP65,2)="TR",$PP65&amp;IF($MV65="",""," · CD "&amp;$MV65)&amp;IF(COUNTIF($MK65:$MN65,"Certeiro")&gt;0," · metade",""),"Sem rolagem"))))</f>
        <v/>
      </c>
      <c r="PR65" s="152">
        <f>IF(OR($MQ65=0,$MW65=0),"",IF($MF65=0,IF(OR($NT65&gt;=1,$OQ65=0),"Sem dano",$OQ65&amp;"d6"&amp;IF($MI65="",""," "&amp;$MI65)),IF(OR($NT65&gt;=1,$OQ65=0),UPPER(LEFT(INDEX($OZ65:$PF65,1,MAX(1,$MF65)),1))&amp;MID(INDEX($OZ65:$PF65,1,MAX(1,$MF65)),2,99),UPPER(LEFT(INDEX($OZ65:$PF65,1,MAX(1,$MF65)),1))&amp;MID(INDEX($OZ65:$PF65,1,MAX(1,$MF65)),2,99)&amp;IF($MI65="",""," "&amp;$MI65)&amp;IF($OR65&gt;0," · +"&amp;$OR65&amp;"d8",""))))</f>
        <v/>
      </c>
      <c r="PS65" s="152">
        <f>COUNTIF($MK65:$MN65,"Longe")+3*COUNTIF($MK65:$MN65,"Muito Longe")</f>
        <v/>
      </c>
      <c r="PT65" s="152">
        <f>COUNTIF($MK65:$MN65,"Maior")+3*COUNTIF($MK65:$MN65,"Muito Maior")</f>
        <v/>
      </c>
      <c r="PU65" s="152">
        <f>IF($MW65=0,0,CHOOSE(1+INDEX($AC$2:$AC$11,$MW65),0,$PS65,$PT65,$PS65+$PT65))</f>
        <v/>
      </c>
      <c r="PV65" s="152">
        <f>IF($MW65=0,0,CHOOSE(1+INDEX($AD$2:$AD$11,$MW65),0,$PS65,$PT65,$PS65+$PT65))</f>
        <v/>
      </c>
      <c r="PW65" s="152">
        <f>IF(OR($MQ65=0,$MW65=0),"",INDEX($AI$2:$AN$41,($MW65-1)*4+IF($MF65=0,1,IF($MF65&lt;=5,2,IF($MF65=6,3,4))),1+MIN(5,$PU65))&amp;INDEX($AO$2:$AT$41,($MW65-1)*4+IF($MF65=0,1,IF($MF65&lt;=5,2,IF($MF65=6,3,4))),1+MIN(5,$PV65))&amp;IF(INDEX($AE$2:$AE$11,$MW65)=1,IF(COUNTIF($MK65:$MN65,"Mais Um")&gt;0," · +"&amp;COUNTIF($MK65:$MN65,"Mais Um")&amp;IF(COUNTIF($MK65:$MN65,"Mais Um")&gt;1," alvos"," alvo"),"")&amp;IF(COUNTIF($MK65:$MN65,"Rajada")&gt;0,IF($MF65=0," · 1 tiro"," · "&amp;(MAX(1,$MF65-1)+1)&amp;" tiros"),""),""))</f>
        <v/>
      </c>
      <c r="PX65" s="152">
        <f>IF($MQ65=0,"",IF($MF65=0,$MT65&amp;"d6"&amp;IF($OH65&gt;0," − 1 = "&amp;$OQ65&amp;"d6"," da básica do nível "&amp;$MR65),$OO65&amp;" − "&amp;$OJ65&amp;" + "&amp;$OM65&amp;" = "&amp;$OP65&amp;" · teto "&amp;4*$MF65&amp;"d8"&amp;IF($NS65=1," · a Forma devolve "&amp;$MF65,"")&amp;IF($ON65&gt;0," · perde "&amp;$ON65,"")))</f>
        <v/>
      </c>
      <c r="PY65" s="152">
        <f>IF($MQ65=0,"",IF($MF65=0,"A básica não amplia: os dados dela sobem com o nível",IF($MF65&gt;=$MS65,"Já está na maior Classe que o nível liberou",TEXTJOIN(" · ",TRUE,IF(AND(2&gt;$MF65,2&lt;=$MS65),"2 → "&amp;$PA65&amp;", 6 PE",""),IF(AND(3&gt;$MF65,3&lt;=$MS65),"3 → "&amp;$PB65&amp;", 9 PE",""),IF(AND(4&gt;$MF65,4&lt;=$MS65),"4 → "&amp;$PC65&amp;", 12 PE",""),IF(AND(5&gt;$MF65,5&lt;=$MS65),"5 → "&amp;$PD65&amp;", 15 PE",""),IF(AND(6&gt;$MF65,6&lt;=$MS65),"6 → "&amp;$PE65&amp;", 18 PE",""),IF(AND(7&gt;$MF65,7&lt;=$MS65),"7 → "&amp;$PF65&amp;", 21 PE","")))))</f>
        <v/>
      </c>
      <c r="PZ65" s="152">
        <f>IF(OR($MQ65=0,$NB65=0),"",IF($MF65=0,"−1 dado","−"&amp;INDEX($I$2:$N$8,MAX(1,$MF65),MAX(1,$NG65))&amp;" · "&amp;CHOOSE(MAX(1,$NG65),"Leve","Média","Pesada","Leve · Livre","Média · Livre","Pesada · Livre")))</f>
        <v/>
      </c>
      <c r="QA65" s="152">
        <f>IF(OR($MQ65=0,$NC65=0),"",IF($MF65=0,"−1 dado","−"&amp;INDEX($I$2:$N$8,MAX(1,$MF65),MAX(1,$NH65))&amp;" · "&amp;CHOOSE(MAX(1,$NH65),"Leve","Média","Pesada","Leve · Livre","Média · Livre","Pesada · Livre")))</f>
        <v/>
      </c>
      <c r="QB65" s="152">
        <f>IF(OR($MQ65=0,$ND65=0),"",IF($MF65=0,"−1 dado","−"&amp;INDEX($I$2:$N$8,MAX(1,$MF65),MAX(1,$NI65))&amp;" · "&amp;CHOOSE(MAX(1,$NI65),"Leve","Média","Pesada","Leve · Livre","Média · Livre","Pesada · Livre")))</f>
        <v/>
      </c>
      <c r="QC65" s="152">
        <f>IF(OR($MQ65=0,$NE65=0),"",IF($MF65=0,"−1 dado","−"&amp;INDEX($I$2:$N$8,MAX(1,$MF65),MAX(1,$NJ65))&amp;" · "&amp;CHOOSE(MAX(1,$NJ65),"Leve","Média","Pesada","Leve · Livre","Média · Livre","Pesada · Livre")))</f>
        <v/>
      </c>
      <c r="QD65" s="152">
        <f>IF(OR($MQ65=0,$MO65=""),"",IF($MF65=0,"não devolve","+"&amp;IF($NV65=1,CEILING($MF65/2,1),$MF65)))</f>
        <v/>
      </c>
      <c r="QE65" s="152">
        <f>IF(OR($MQ65=0,$MP65=""),"",IF($MF65=0,"não devolve","+"&amp;IF($NW65=1,CEILING($MF65/2,1),$MF65)))</f>
        <v/>
      </c>
    </row>
    <row r="66">
      <c r="AV66" s="150" t="inlineStr">
        <is>
          <t>Concentrada</t>
        </is>
      </c>
      <c r="AW66" s="150" t="inlineStr">
        <is>
          <t>Tempo</t>
        </is>
      </c>
      <c r="AX66" s="152" t="n">
        <v>1</v>
      </c>
      <c r="AY66" s="152" t="n">
        <v>0</v>
      </c>
      <c r="AZ66" s="152" t="n">
        <v>0</v>
      </c>
      <c r="BA66" s="152" t="n">
        <v>0</v>
      </c>
      <c r="JG66" s="152">
        <f>IF(OR($AW66="",COUNTIF($EF$2:$EJ$2,$AW66)&gt;0),$AV66,"")</f>
        <v/>
      </c>
      <c r="JH66" s="152">
        <f>IF(AND($AX66=1,OR($AW66="",COUNTIF($EF$2:$EJ$2,$AW66)&gt;0)),$AV66,"")</f>
        <v/>
      </c>
      <c r="JM66" s="152">
        <f>IF(OR($AW66="",COUNTIF($EF$3:$EJ$3,$AW66)&gt;0),$AV66,"")</f>
        <v/>
      </c>
      <c r="JN66" s="152">
        <f>IF(AND($AX66=1,OR($AW66="",COUNTIF($EF$3:$EJ$3,$AW66)&gt;0)),$AV66,"")</f>
        <v/>
      </c>
      <c r="JS66" s="152">
        <f>IF(OR($AW66="",COUNTIF($EF$4:$EJ$4,$AW66)&gt;0),$AV66,"")</f>
        <v/>
      </c>
      <c r="JT66" s="152">
        <f>IF(AND($AX66=1,OR($AW66="",COUNTIF($EF$4:$EJ$4,$AW66)&gt;0)),$AV66,"")</f>
        <v/>
      </c>
      <c r="JY66" s="152">
        <f>IF(OR($AW66="",COUNTIF($EF$5:$EJ$5,$AW66)&gt;0),$AV66,"")</f>
        <v/>
      </c>
      <c r="JZ66" s="152">
        <f>IF(AND($AX66=1,OR($AW66="",COUNTIF($EF$5:$EJ$5,$AW66)&gt;0)),$AV66,"")</f>
        <v/>
      </c>
      <c r="KE66" s="152">
        <f>IF(OR($AW66="",COUNTIF($EF$6:$EJ$6,$AW66)&gt;0),$AV66,"")</f>
        <v/>
      </c>
      <c r="KF66" s="152">
        <f>IF(AND($AX66=1,OR($AW66="",COUNTIF($EF$6:$EJ$6,$AW66)&gt;0)),$AV66,"")</f>
        <v/>
      </c>
      <c r="KK66" s="152">
        <f>IF(OR($AW66="",COUNTIF($EF$7:$EJ$7,$AW66)&gt;0),$AV66,"")</f>
        <v/>
      </c>
      <c r="KL66" s="152">
        <f>IF(AND($AX66=1,OR($AW66="",COUNTIF($EF$7:$EJ$7,$AW66)&gt;0)),$AV66,"")</f>
        <v/>
      </c>
      <c r="KQ66" s="152">
        <f>IF(OR($AW66="",COUNTIF($EF$8:$EJ$8,$AW66)&gt;0),$AV66,"")</f>
        <v/>
      </c>
      <c r="KR66" s="152">
        <f>IF(AND($AX66=1,OR($AW66="",COUNTIF($EF$8:$EJ$8,$AW66)&gt;0)),$AV66,"")</f>
        <v/>
      </c>
      <c r="KW66" s="152">
        <f>IF(OR($AW66="",COUNTIF($EF$9:$EJ$9,$AW66)&gt;0),$AV66,"")</f>
        <v/>
      </c>
      <c r="KX66" s="152">
        <f>IF(AND($AX66=1,OR($AW66="",COUNTIF($EF$9:$EJ$9,$AW66)&gt;0)),$AV66,"")</f>
        <v/>
      </c>
      <c r="LC66" s="152">
        <f>IF(OR($AW66="",COUNTIF($EF$10:$EJ$10,$AW66)&gt;0),$AV66,"")</f>
        <v/>
      </c>
      <c r="LD66" s="152">
        <f>IF(AND($AX66=1,OR($AW66="",COUNTIF($EF$10:$EJ$10,$AW66)&gt;0)),$AV66,"")</f>
        <v/>
      </c>
      <c r="LI66" s="152">
        <f>IF(OR($AW66="",COUNTIF($EF$11:$EJ$11,$AW66)&gt;0),$AV66,"")</f>
        <v/>
      </c>
      <c r="LJ66" s="152">
        <f>IF(AND($AX66=1,OR($AW66="",COUNTIF($EF$11:$EJ$11,$AW66)&gt;0)),$AV66,"")</f>
        <v/>
      </c>
      <c r="LO66" s="152">
        <f>IF(OR($AW66="",COUNTIF($EF$12:$EJ$12,$AW66)&gt;0),$AV66,"")</f>
        <v/>
      </c>
      <c r="LP66" s="152">
        <f>IF(AND($AX66=1,OR($AW66="",COUNTIF($EF$12:$EJ$12,$AW66)&gt;0)),$AV66,"")</f>
        <v/>
      </c>
      <c r="LU66" s="152">
        <f>IF(OR($AW66="",COUNTIF($EF$13:$EJ$13,$AW66)&gt;0),$AV66,"")</f>
        <v/>
      </c>
      <c r="LV66" s="152">
        <f>IF(AND($AX66=1,OR($AW66="",COUNTIF($EF$13:$EJ$13,$AW66)&gt;0)),$AV66,"")</f>
        <v/>
      </c>
      <c r="MA66" s="150" t="inlineStr">
        <is>
          <t>Ficha 5 · Escolha da trilha 3</t>
        </is>
      </c>
      <c r="MB66" s="152" t="n">
        <v>5</v>
      </c>
      <c r="MC66" s="152" t="n">
        <v>2</v>
      </c>
      <c r="MD66" s="152" t="n">
        <v>0</v>
      </c>
      <c r="ME66" s="150" t="inlineStr">
        <is>
          <t>ESCOLHA DA TRILHA 3</t>
        </is>
      </c>
      <c r="MF66" s="152">
        <f>MAX(0,MIN(7,N('INVOCAÇÕES'!$U$952)))</f>
        <v/>
      </c>
      <c r="MG66" s="152">
        <f>'INVOCAÇÕES'!$V$952&amp;""</f>
        <v/>
      </c>
      <c r="MH66" s="152">
        <f>'INVOCAÇÕES'!$U$957&amp;""</f>
        <v/>
      </c>
      <c r="MI66" s="152">
        <f>'INVOCAÇÕES'!$U$958&amp;""</f>
        <v/>
      </c>
      <c r="MJ66" s="152">
        <f>'INVOCAÇÕES'!$W$958&amp;""</f>
        <v/>
      </c>
      <c r="MK66" s="152">
        <f>'INVOCAÇÕES'!$V$961&amp;""</f>
        <v/>
      </c>
      <c r="ML66" s="152">
        <f>'INVOCAÇÕES'!$V$962&amp;""</f>
        <v/>
      </c>
      <c r="MM66" s="152">
        <f>'INVOCAÇÕES'!$V$963&amp;""</f>
        <v/>
      </c>
      <c r="MN66" s="152">
        <f>'INVOCAÇÕES'!$V$964&amp;""</f>
        <v/>
      </c>
      <c r="MO66" s="152">
        <f>'INVOCAÇÕES'!$V$965&amp;""</f>
        <v/>
      </c>
      <c r="MP66" s="152">
        <f>'INVOCAÇÕES'!$V$966&amp;""</f>
        <v/>
      </c>
      <c r="MQ66" s="152">
        <f>IF($MG66&lt;&gt;"",1,0)</f>
        <v/>
      </c>
      <c r="MR66" s="152">
        <f>INDEX($FI$2:$FI$13,$MB66)</f>
        <v/>
      </c>
      <c r="MS66" s="152">
        <f>INDEX($FJ$2:$FJ$13,$MB66)</f>
        <v/>
      </c>
      <c r="MT66" s="152">
        <f>INDEX($FK$2:$FK$13,$MB66)</f>
        <v/>
      </c>
      <c r="MU66" s="152">
        <f>INDEX($FV$2:$FV$13,$MB66)</f>
        <v/>
      </c>
      <c r="MV66" s="152">
        <f>INDEX($FW$2:$FW$13,$MB66)</f>
        <v/>
      </c>
      <c r="MW66" s="152">
        <f>IFERROR(MATCH($MH66,$V$2:$V$11,0),0)</f>
        <v/>
      </c>
      <c r="MX66" s="152">
        <f>IFERROR(VLOOKUP($MK66,$AV$2:$BA$84,2,FALSE),"")</f>
        <v/>
      </c>
      <c r="MY66" s="152">
        <f>IFERROR(VLOOKUP($ML66,$AV$2:$BA$84,2,FALSE),"")</f>
        <v/>
      </c>
      <c r="MZ66" s="152">
        <f>IFERROR(VLOOKUP($MM66,$AV$2:$BA$84,2,FALSE),"")</f>
        <v/>
      </c>
      <c r="NA66" s="152">
        <f>IFERROR(VLOOKUP($MN66,$AV$2:$BA$84,2,FALSE),"")</f>
        <v/>
      </c>
      <c r="NB66" s="152">
        <f>IFERROR(VLOOKUP($MK66,$AV$2:$BA$84,3,FALSE),0)</f>
        <v/>
      </c>
      <c r="NC66" s="152">
        <f>IFERROR(VLOOKUP($ML66,$AV$2:$BA$84,3,FALSE),0)</f>
        <v/>
      </c>
      <c r="ND66" s="152">
        <f>IFERROR(VLOOKUP($MM66,$AV$2:$BA$84,3,FALSE),0)</f>
        <v/>
      </c>
      <c r="NE66" s="152">
        <f>IFERROR(VLOOKUP($MN66,$AV$2:$BA$84,3,FALSE),0)</f>
        <v/>
      </c>
      <c r="NF66" s="152">
        <f>IF($MF66=0,0,IF($MW66=0,0,INDEX($X$2:$X$11,$MW66)))</f>
        <v/>
      </c>
      <c r="NG66" s="152">
        <f>IF(OR($NB66=0,$MF66=0),0,$NB66+3*IF(AND($MX66&lt;&gt;"",OR($MX66=INDEX($EF$2:$EF$13,$MB66),$MX66=INDEX($EG$2:$EG$13,$MB66))),1,0))</f>
        <v/>
      </c>
      <c r="NH66" s="152">
        <f>IF(OR($NC66=0,$MF66=0),0,$NC66+3*IF(AND($MY66&lt;&gt;"",OR($MY66=INDEX($EF$2:$EF$13,$MB66),$MY66=INDEX($EG$2:$EG$13,$MB66))),1,0))</f>
        <v/>
      </c>
      <c r="NI66" s="152">
        <f>IF(OR($ND66=0,$MF66=0),0,$ND66+3*IF(AND($MZ66&lt;&gt;"",OR($MZ66=INDEX($EF$2:$EF$13,$MB66),$MZ66=INDEX($EG$2:$EG$13,$MB66))),1,0))</f>
        <v/>
      </c>
      <c r="NJ66" s="152">
        <f>IF(OR($NE66=0,$MF66=0),0,$NE66+3*IF(AND($NA66&lt;&gt;"",OR($NA66=INDEX($EF$2:$EF$13,$MB66),$NA66=INDEX($EG$2:$EG$13,$MB66))),1,0))</f>
        <v/>
      </c>
      <c r="NK66" s="152">
        <f>IF($MW66=0,0,IF(INDEX($W$2:$W$11,$MW66)="",0,IF(COUNTIF(INDEX($EF$2:$EJ$13,$MB66,0),INDEX($W$2:$W$11,$MW66))=0,1,0)))</f>
        <v/>
      </c>
      <c r="NL66" s="152">
        <f>IF(OR($NB66=0,$MX66=""),0,IF(COUNTIF(INDEX($EF$2:$EJ$13,$MB66,0),$MX66)=0,1,0))</f>
        <v/>
      </c>
      <c r="NM66" s="152">
        <f>IF(OR($NC66=0,$MY66=""),0,IF(COUNTIF(INDEX($EF$2:$EJ$13,$MB66,0),$MY66)=0,1,0))</f>
        <v/>
      </c>
      <c r="NN66" s="152">
        <f>IF(OR($ND66=0,$MZ66=""),0,IF(COUNTIF(INDEX($EF$2:$EJ$13,$MB66,0),$MZ66)=0,1,0))</f>
        <v/>
      </c>
      <c r="NO66" s="152">
        <f>IF(OR($NE66=0,$NA66=""),0,IF(COUNTIF(INDEX($EF$2:$EJ$13,$MB66,0),$NA66)=0,1,0))</f>
        <v/>
      </c>
      <c r="NP66" s="152">
        <f>IFERROR(VLOOKUP($MK66,$AV$2:$BA$84,4,FALSE),0)+IFERROR(VLOOKUP($ML66,$AV$2:$BA$84,4,FALSE),0)+IFERROR(VLOOKUP($MM66,$AV$2:$BA$84,4,FALSE),0)+IFERROR(VLOOKUP($MN66,$AV$2:$BA$84,4,FALSE),0)</f>
        <v/>
      </c>
      <c r="NQ66" s="152">
        <f>IFERROR(VLOOKUP($MK66,$AV$2:$BA$84,6,FALSE),0)+IFERROR(VLOOKUP($ML66,$AV$2:$BA$84,6,FALSE),0)+IFERROR(VLOOKUP($MM66,$AV$2:$BA$84,6,FALSE),0)+IFERROR(VLOOKUP($MN66,$AV$2:$BA$84,6,FALSE),0)</f>
        <v/>
      </c>
      <c r="NR66" s="152">
        <f>TEXTJOIN(", ",TRUE,IF(IFERROR(VLOOKUP($MK66,$AV$2:$BA$84,5,FALSE),0)=1,$MK66,""),IF(IFERROR(VLOOKUP($ML66,$AV$2:$BA$84,5,FALSE),0)=1,$ML66,""),IF(IFERROR(VLOOKUP($MM66,$AV$2:$BA$84,5,FALSE),0)=1,$MM66,""),IF(IFERROR(VLOOKUP($MN66,$AV$2:$BA$84,5,FALSE),0)=1,$MN66,""))</f>
        <v/>
      </c>
      <c r="NS66" s="152">
        <f>IF($MW66=0,0,INDEX($Y$2:$Y$11,$MW66))</f>
        <v/>
      </c>
      <c r="NT66" s="152">
        <f>IF($MW66=0,0,INDEX($Z$2:$Z$11,$MW66))</f>
        <v/>
      </c>
      <c r="NU66" s="152">
        <f>IF($MW66=0,0,INDEX($AB$2:$AB$11,$MW66))</f>
        <v/>
      </c>
      <c r="NV66" s="152">
        <f>IFERROR(VLOOKUP($MO66,$BC$2:$BG$24,3,FALSE),0)</f>
        <v/>
      </c>
      <c r="NW66" s="152">
        <f>IFERROR(VLOOKUP($MP66,$BC$2:$BG$24,3,FALSE),0)</f>
        <v/>
      </c>
      <c r="NX66" s="152">
        <f>IFERROR(VLOOKUP($MO66,$BC$2:$BG$24,2,FALSE),"")</f>
        <v/>
      </c>
      <c r="NY66" s="152">
        <f>IFERROR(VLOOKUP($MP66,$BC$2:$BG$24,2,FALSE),"")</f>
        <v/>
      </c>
      <c r="NZ66" s="152">
        <f>COUNTIF($NF66:$NJ66,1)</f>
        <v/>
      </c>
      <c r="OA66" s="152">
        <f>COUNTIF($NF66:$NJ66,2)</f>
        <v/>
      </c>
      <c r="OB66" s="152">
        <f>COUNTIF($NF66:$NJ66,3)</f>
        <v/>
      </c>
      <c r="OC66" s="152">
        <f>COUNTIF($NF66:$NJ66,4)</f>
        <v/>
      </c>
      <c r="OD66" s="152">
        <f>COUNTIF($NF66:$NJ66,5)</f>
        <v/>
      </c>
      <c r="OE66" s="152">
        <f>COUNTIF($NF66:$NJ66,6)</f>
        <v/>
      </c>
      <c r="OF66" s="152">
        <f>COUNTIF($NV66:$NW66,1)</f>
        <v/>
      </c>
      <c r="OG66" s="152">
        <f>COUNTIF($NV66:$NW66,2)+$NS66</f>
        <v/>
      </c>
      <c r="OH66" s="152">
        <f>COUNTIF($MK66:$MN66,"?*")</f>
        <v/>
      </c>
      <c r="OI66" s="152">
        <f>COUNTIF($MO66:$MP66,"?*")+$NS66</f>
        <v/>
      </c>
      <c r="OJ66" s="152">
        <f>IF($MF66=0,0,SUMPRODUCT($NZ66:$OE66,INDEX($I$2:$N$8,MAX(1,$MF66),0)))</f>
        <v/>
      </c>
      <c r="OK66" s="152">
        <f>IF($MF66=0,0,$OF66*CEILING($MF66/2,1)+$OG66*$MF66)</f>
        <v/>
      </c>
      <c r="OL66" s="152">
        <f>MIN(2*$MF66,$OK66)</f>
        <v/>
      </c>
      <c r="OM66" s="152">
        <f>MIN($OL66,$OJ66)</f>
        <v/>
      </c>
      <c r="ON66" s="152">
        <f>$OL66-$OM66</f>
        <v/>
      </c>
      <c r="OO66" s="152">
        <f>IF($MF66=0,0,INDEX($P$2:$P$8,MAX(1,$MF66)))</f>
        <v/>
      </c>
      <c r="OP66" s="152">
        <f>$OO66-$OJ66+$OM66</f>
        <v/>
      </c>
      <c r="OQ66" s="152">
        <f>IF($MF66=0,MAX(0,$MT66-IF($OH66&gt;0,1,0)),MAX(0,$OP66))</f>
        <v/>
      </c>
      <c r="OR66" s="152">
        <f>IF($MF66=0,0,(IF(COUNTIF($MK66:$MN66,"Salto")&gt;0,1,0)+IF(COUNTIF($MK66:$MN66,"Queima")&gt;0,1,0)+IF(COUNTIF($MK66:$MN66,"Estilhaço")&gt;0,1,0))*FLOOR($OQ66/2,1))</f>
        <v/>
      </c>
      <c r="OS66" s="152">
        <f>MAX(0,2-SUMPRODUCT($NZ66:$OE66,$I$2:$N$2)+MIN(2,$OF66*1+$OG66*1,SUMPRODUCT($NZ66:$OE66,$I$2:$N$2)))</f>
        <v/>
      </c>
      <c r="OT66" s="152">
        <f>MAX(0,4-SUMPRODUCT($NZ66:$OE66,$I$3:$N$3)+MIN(4,$OF66*1+$OG66*2,SUMPRODUCT($NZ66:$OE66,$I$3:$N$3)))</f>
        <v/>
      </c>
      <c r="OU66" s="152">
        <f>MAX(0,6-SUMPRODUCT($NZ66:$OE66,$I$4:$N$4)+MIN(6,$OF66*2+$OG66*3,SUMPRODUCT($NZ66:$OE66,$I$4:$N$4)))</f>
        <v/>
      </c>
      <c r="OV66" s="152">
        <f>MAX(0,9-SUMPRODUCT($NZ66:$OE66,$I$5:$N$5)+MIN(8,$OF66*2+$OG66*4,SUMPRODUCT($NZ66:$OE66,$I$5:$N$5)))</f>
        <v/>
      </c>
      <c r="OW66" s="152">
        <f>MAX(0,11-SUMPRODUCT($NZ66:$OE66,$I$6:$N$6)+MIN(10,$OF66*3+$OG66*5,SUMPRODUCT($NZ66:$OE66,$I$6:$N$6)))</f>
        <v/>
      </c>
      <c r="OX66" s="152">
        <f>MAX(0,13-SUMPRODUCT($NZ66:$OE66,$I$7:$N$7)+MIN(12,$OF66*3+$OG66*6,SUMPRODUCT($NZ66:$OE66,$I$7:$N$7)))</f>
        <v/>
      </c>
      <c r="OY66" s="152">
        <f>MAX(0,16-SUMPRODUCT($NZ66:$OE66,$I$8:$N$8)+MIN(14,$OF66*4+$OG66*7,SUMPRODUCT($NZ66:$OE66,$I$8:$N$8)))</f>
        <v/>
      </c>
      <c r="OZ66" s="152">
        <f>IF($NT66=2,3*$OS66&amp;" de vida temp.",IF($NT66=3,"sem dano",IF($OS66=0,IF($NT66=1,"sem cura","sem dano"),IF($NT66=1,"cura ","")&amp;$OS66&amp;"d8")))</f>
        <v/>
      </c>
      <c r="PA66" s="152">
        <f>IF($NT66=2,3*$OT66&amp;" de vida temp.",IF($NT66=3,"sem dano",IF($OT66=0,IF($NT66=1,"sem cura","sem dano"),IF($NT66=1,"cura ","")&amp;$OT66&amp;"d8")))</f>
        <v/>
      </c>
      <c r="PB66" s="152">
        <f>IF($NT66=2,3*$OU66&amp;" de vida temp.",IF($NT66=3,"sem dano",IF($OU66=0,IF($NT66=1,"sem cura","sem dano"),IF($NT66=1,"cura ","")&amp;$OU66&amp;"d8")))</f>
        <v/>
      </c>
      <c r="PC66" s="152">
        <f>IF($NT66=2,3*$OV66&amp;" de vida temp.",IF($NT66=3,"sem dano",IF($OV66=0,IF($NT66=1,"sem cura","sem dano"),IF($NT66=1,"cura ","")&amp;$OV66&amp;"d8")))</f>
        <v/>
      </c>
      <c r="PD66" s="152">
        <f>IF($NT66=2,3*$OW66&amp;" de vida temp.",IF($NT66=3,"sem dano",IF($OW66=0,IF($NT66=1,"sem cura","sem dano"),IF($NT66=1,"cura ","")&amp;$OW66&amp;"d8")))</f>
        <v/>
      </c>
      <c r="PE66" s="152">
        <f>IF($NT66=2,3*$OX66&amp;" de vida temp.",IF($NT66=3,"sem dano",IF($OX66=0,IF($NT66=1,"sem cura","sem dano"),IF($NT66=1,"cura ","")&amp;$OX66&amp;"d8")))</f>
        <v/>
      </c>
      <c r="PF66" s="152">
        <f>IF($NT66=2,3*$OY66&amp;" de vida temp.",IF($NT66=3,"sem dano",IF($OY66=0,IF($NT66=1,"sem cura","sem dano"),IF($NT66=1,"cura ","")&amp;$OY66&amp;"d8")))</f>
        <v/>
      </c>
      <c r="PG66" s="152">
        <f>IF($MQ66=0,"",TEXTJOIN(" · ",TRUE,IF($MD66&gt;$MR66,"Este lugar abre no nível "&amp;$MD66,""),IF($MF66&gt;$MS66,"Classe "&amp;$MF66&amp;": o nível "&amp;$MR66&amp;" libera até a "&amp;$MS66,""),IF($NK66=1,"A Forma "&amp;$MH66&amp;" pede "&amp;INDEX($W$2:$W$11,$MW66)&amp;" aberta",""),IF(AND($MF66=0,$MW66&gt;0,IF($MW66=0,0,INDEX($AF$2:$AF$11,$MW66))=0),$MH66&amp;" não existe na Classe 0",""),IF($NL66=1,"Família Fechada: "&amp;$MK66,""),IF($NM66=1,"Família Fechada: "&amp;$ML66,""),IF($NN66=1,"Família Fechada: "&amp;$MM66,""),IF($NO66=1,"Família Fechada: "&amp;$MN66,""),IF(AND($MF66&gt;0,$OH66&gt;INDEX($O$2:$O$8,MAX(1,$MF66))),$OH66&amp;" Melhorias: a Classe "&amp;$MF66&amp;" aceita "&amp;INDEX($O$2:$O$8,MAX(1,$MF66)),""),IF(AND($MF66=0,$OH66&gt;1),"A básica aceita uma Melhoria",""),IF(AND($MF66=0,COUNTIF($NB66:$NE66,"&gt;1")&gt;0),"A básica só aceita Melhoria Leve",""),IF(AND($MF66&gt;0,$OI66&gt;2),$OI66&amp;" Restrições"&amp;IF($NS66=1,", contando a que a Forma "&amp;$MH66&amp;" já traz","")&amp;": o limite é 2",""),IF(AND($MF66=0,COUNTIF($MO66:$MP66,"?*")&gt;1),"A básica aceita uma Restrição Leve",""),IF(AND($MF66=0,COUNTIF($NV66:$NW66,2)&gt;0),"A básica só aceita Restrição Leve",""),IF(AND($MF66&gt;0,$OP66&lt;0),"Orçamento estourado: faltam "&amp;(-$OP66)&amp;IF($OP66&lt;-1," pontos"," ponto"),""),IF(IFERROR(VLOOKUP($MO66,$BC$2:$BG$24,4,FALSE),0)+IFERROR(VLOOKUP($MP66,$BC$2:$BG$24,4,FALSE),0)&gt;1,$NX66&amp;" e "&amp;$NY66&amp;" são as duas de frequência",""),IF(AND((COUNTIF($MK66:$MN66,"Rápido")+COUNTIF($NX66:$NY66,"Rápido"))&gt;0,(COUNTIF($MK66:$MN66,"Atrasar")+COUNTIF($NX66:$NY66,"Atrasar"))&gt;0),"Rápido não entra com Atrasar",""),IF(AND((COUNTIF($MK66:$MN66,"Reação")+COUNTIF($NX66:$NY66,"Reação"))&gt;0,(COUNTIF($MK66:$MN66,"Rápido")+COUNTIF($NX66:$NY66,"Rápido"))&gt;0),"Reação não entra com Rápido",""),IF(AND((COUNTIF($MK66:$MN66,"Reação")+COUNTIF($NX66:$NY66,"Reação"))&gt;0,(COUNTIF($MK66:$MN66,"Armado")+COUNTIF($NX66:$NY66,"Armado"))&gt;0),"Reação não entra com Armado",""),IF(AND((COUNTIF($MK66:$MN66,"Reação")+COUNTIF($NX66:$NY66,"Reação"))&gt;0,(COUNTIF($MK66:$MN66,"Atrasar")+COUNTIF($NX66:$NY66,"Atrasar"))&gt;0),"Reação não entra com Atrasar",""),IF(AND((COUNTIF($MK66:$MN66,"Reação")+COUNTIF($NX66:$NY66,"Reação"))&gt;0,(COUNTIF($MK66:$MN66,"Parado")+COUNTIF($NX66:$NY66,"Parado"))&gt;0),"Reação não entra com Parado",""),IF(AND((COUNTIF($MK66:$MN66,"Atrasar")+COUNTIF($NX66:$NY66,"Atrasar"))&gt;0,(COUNTIF($MK66:$MN66,"Parado")+COUNTIF($NX66:$NY66,"Parado"))&gt;0),"Atrasar não entra com Parado",""),IF(AND((COUNTIF($MK66:$MN66,"Armado")+COUNTIF($NX66:$NY66,"Armado"))&gt;0,(COUNTIF($MK66:$MN66,"Carregar")+COUNTIF($NX66:$NY66,"Carregar"))&gt;0),"Armado não entra com Carregar",""),IF(AND(COUNTIF($NX66:$NY66,"Corpo a Corpo")&gt;0,$NS66=0,OR($MH66="Cone",$MH66="Linha")),"Corpo a Corpo não entra em "&amp;$MH66,""),IF(AND(COUNTIF($NX66:$NY66,"Corpo a Corpo")&gt;0,$NS66=1),"A Forma "&amp;$MH66&amp;" já traz o Corpo a Corpo",""),IF(AND(COUNTIF($NX66:$NY66,"Tudo ou Nada")&gt;0,$NU66=0),"Tudo ou Nada só entra em habilidade de Teste de Resistência",""),IF(AND(COUNTIF($MK66:$MN66,"Inescapável")&gt;0,OR($OH66&gt;1,$OI66&gt;0)),"Inescapável não aceita outra peça",""),IF(AND($MF66&gt;0,$OQ66*IF(COUNTIF($MK66:$MN66,"Remate")&gt;0,1.25,1)+$OR66&gt;4*$MF66),($OQ66*IF(COUNTIF($MK66:$MN66,"Remate")&gt;0,1.25,1)+$OR66)&amp;" dados somando repetições"&amp;IF(COUNTIF($MK66:$MN66,"Remate")&gt;0," e o Remate","")&amp;": o teto da Classe "&amp;$MF66&amp;" é "&amp;4*$MF66,"")))</f>
        <v/>
      </c>
      <c r="PH66" s="152">
        <f>IF($PG66="",0,(LEN($PG66)-LEN(SUBSTITUTE($PG66," · ","")))/3+1)</f>
        <v/>
      </c>
      <c r="PI66" s="152">
        <f>IF($MQ66=0,"",TEXTJOIN(" · ",TRUE,IF($OK66&gt;2*$MF66,"A devolução parou no teto de "&amp;2*$MF66,""),IF($ON66&gt;0,"Devolução perdida: "&amp;$ON66&amp;IF($ON66&gt;1," pontos"," ponto")&amp;" sem peça para pagar",""),IF(AND($NP66&gt;0,AND($MF66&gt;0,$NT66=0),$OQ66=0),"Controle sem dano: uma rodada a mais e CD +2",""),IF(AND($NP66&gt;0,AND($MF66&gt;0,$NT66=0),$OQ66&gt;0,$OQ66&lt;=$MF66),"Controle com saldo até a Classe: uma rodada a mais",""),IF(AND($MF66&gt;0,$NR66&lt;&gt;""),"Efeito de "&amp;$NR66&amp;" pela Classe "&amp;MAX(1,$MF66-1),"")))</f>
        <v/>
      </c>
      <c r="PJ66" s="152">
        <f>IF($PI66="",0,(LEN($PI66)-LEN(SUBSTITUTE($PI66," · ","")))/3+1)</f>
        <v/>
      </c>
      <c r="PK66" s="152">
        <f>IF($MQ66=0,IF($OH66+COUNTIF($MO66:$MP66,"?*")&gt;0,"Dê um nome",""),IF($PH66&gt;0,"⚠ "&amp;$PH66&amp;IF($PH66&gt;1," erros"," erro"),IF($PJ66&gt;0,"! "&amp;$PJ66&amp;IF($PJ66&gt;1," avisos"," aviso"),"Na regra")))</f>
        <v/>
      </c>
      <c r="PL66" s="152">
        <f>IF($MQ66=0,"",IF($PH66+$PJ66=0,"Dentro das regras que a ficha confere",$PG66&amp;IF(AND($PH66&gt;0,$PJ66&gt;0)," · ","")&amp;$PI66))</f>
        <v/>
      </c>
      <c r="PM66" s="152">
        <f>IF($MD66&gt;$MR66,$ME66&amp;" · ABRE NO NÍVEL "&amp;$MD66,$ME66)</f>
        <v/>
      </c>
      <c r="PN66" s="152">
        <f>IF($MQ66=0,"",IF($MF66=0,"Sem PE",3*$MF66&amp;" PE"))</f>
        <v/>
      </c>
      <c r="PO66" s="152">
        <f>IF($MQ66=0,"",IF($MF66=0,"A atuação básica dela",IF(COUNTIF($NX66:$NY66,"Atrasar")&gt;0,"Sua Ação Completa",IF(COUNTIF($MK66:$MN66,"Rápido")&gt;0,"Sua Bônus",IF(COUNTIF($MK66:$MN66,"Reação")&gt;0,"Sua Reação","Sua Padrão")))&amp;" + a básica dela"&amp;IF(COUNTIF($MK66:$MN66,"Reação")&gt;0," e a coletiva","")&amp;IF(COUNTIF($NX66:$NY66,"Carregar")&gt;0," · em dois turnos","")))</f>
        <v/>
      </c>
      <c r="PP66" s="152">
        <f>IF($MJ66&lt;&gt;"",$MJ66,IF($MW66=0,"",INDEX($AA$2:$AA$11,$MW66)))</f>
        <v/>
      </c>
      <c r="PQ66" s="152">
        <f>IF(OR($MQ66=0,$MW66=0),"",IF(COUNTIF($MK66:$MN66,"Inescapável")&gt;0,"Automático",IF($PP66="Ataque",IF($MU66="","Ataque","Ataque "&amp;IF(($MU66+2*IF(COUNTIF($MK66:$MN66,"Precisão")&gt;0,1,0))&gt;=0,"+","−")&amp;ABS(($MU66+2*IF(COUNTIF($MK66:$MN66,"Precisão")&gt;0,1,0))))&amp;IF($NQ66&gt;0," · TR"&amp;IF($MV66="",""," CD "&amp;$MV66),""),IF(LEFT($PP66,2)="TR",$PP66&amp;IF($MV66="",""," · CD "&amp;$MV66)&amp;IF(COUNTIF($MK66:$MN66,"Certeiro")&gt;0," · metade",""),"Sem rolagem"))))</f>
        <v/>
      </c>
      <c r="PR66" s="152">
        <f>IF(OR($MQ66=0,$MW66=0),"",IF($MF66=0,IF(OR($NT66&gt;=1,$OQ66=0),"Sem dano",$OQ66&amp;"d6"&amp;IF($MI66="",""," "&amp;$MI66)),IF(OR($NT66&gt;=1,$OQ66=0),UPPER(LEFT(INDEX($OZ66:$PF66,1,MAX(1,$MF66)),1))&amp;MID(INDEX($OZ66:$PF66,1,MAX(1,$MF66)),2,99),UPPER(LEFT(INDEX($OZ66:$PF66,1,MAX(1,$MF66)),1))&amp;MID(INDEX($OZ66:$PF66,1,MAX(1,$MF66)),2,99)&amp;IF($MI66="",""," "&amp;$MI66)&amp;IF($OR66&gt;0," · +"&amp;$OR66&amp;"d8",""))))</f>
        <v/>
      </c>
      <c r="PS66" s="152">
        <f>COUNTIF($MK66:$MN66,"Longe")+3*COUNTIF($MK66:$MN66,"Muito Longe")</f>
        <v/>
      </c>
      <c r="PT66" s="152">
        <f>COUNTIF($MK66:$MN66,"Maior")+3*COUNTIF($MK66:$MN66,"Muito Maior")</f>
        <v/>
      </c>
      <c r="PU66" s="152">
        <f>IF($MW66=0,0,CHOOSE(1+INDEX($AC$2:$AC$11,$MW66),0,$PS66,$PT66,$PS66+$PT66))</f>
        <v/>
      </c>
      <c r="PV66" s="152">
        <f>IF($MW66=0,0,CHOOSE(1+INDEX($AD$2:$AD$11,$MW66),0,$PS66,$PT66,$PS66+$PT66))</f>
        <v/>
      </c>
      <c r="PW66" s="152">
        <f>IF(OR($MQ66=0,$MW66=0),"",INDEX($AI$2:$AN$41,($MW66-1)*4+IF($MF66=0,1,IF($MF66&lt;=5,2,IF($MF66=6,3,4))),1+MIN(5,$PU66))&amp;INDEX($AO$2:$AT$41,($MW66-1)*4+IF($MF66=0,1,IF($MF66&lt;=5,2,IF($MF66=6,3,4))),1+MIN(5,$PV66))&amp;IF(INDEX($AE$2:$AE$11,$MW66)=1,IF(COUNTIF($MK66:$MN66,"Mais Um")&gt;0," · +"&amp;COUNTIF($MK66:$MN66,"Mais Um")&amp;IF(COUNTIF($MK66:$MN66,"Mais Um")&gt;1," alvos"," alvo"),"")&amp;IF(COUNTIF($MK66:$MN66,"Rajada")&gt;0,IF($MF66=0," · 1 tiro"," · "&amp;(MAX(1,$MF66-1)+1)&amp;" tiros"),""),""))</f>
        <v/>
      </c>
      <c r="PX66" s="152">
        <f>IF($MQ66=0,"",IF($MF66=0,$MT66&amp;"d6"&amp;IF($OH66&gt;0," − 1 = "&amp;$OQ66&amp;"d6"," da básica do nível "&amp;$MR66),$OO66&amp;" − "&amp;$OJ66&amp;" + "&amp;$OM66&amp;" = "&amp;$OP66&amp;" · teto "&amp;4*$MF66&amp;"d8"&amp;IF($NS66=1," · a Forma devolve "&amp;$MF66,"")&amp;IF($ON66&gt;0," · perde "&amp;$ON66,"")))</f>
        <v/>
      </c>
      <c r="PY66" s="152">
        <f>IF($MQ66=0,"",IF($MF66=0,"A básica não amplia: os dados dela sobem com o nível",IF($MF66&gt;=$MS66,"Já está na maior Classe que o nível liberou",TEXTJOIN(" · ",TRUE,IF(AND(2&gt;$MF66,2&lt;=$MS66),"2 → "&amp;$PA66&amp;", 6 PE",""),IF(AND(3&gt;$MF66,3&lt;=$MS66),"3 → "&amp;$PB66&amp;", 9 PE",""),IF(AND(4&gt;$MF66,4&lt;=$MS66),"4 → "&amp;$PC66&amp;", 12 PE",""),IF(AND(5&gt;$MF66,5&lt;=$MS66),"5 → "&amp;$PD66&amp;", 15 PE",""),IF(AND(6&gt;$MF66,6&lt;=$MS66),"6 → "&amp;$PE66&amp;", 18 PE",""),IF(AND(7&gt;$MF66,7&lt;=$MS66),"7 → "&amp;$PF66&amp;", 21 PE","")))))</f>
        <v/>
      </c>
      <c r="PZ66" s="152">
        <f>IF(OR($MQ66=0,$NB66=0),"",IF($MF66=0,"−1 dado","−"&amp;INDEX($I$2:$N$8,MAX(1,$MF66),MAX(1,$NG66))&amp;" · "&amp;CHOOSE(MAX(1,$NG66),"Leve","Média","Pesada","Leve · Livre","Média · Livre","Pesada · Livre")))</f>
        <v/>
      </c>
      <c r="QA66" s="152">
        <f>IF(OR($MQ66=0,$NC66=0),"",IF($MF66=0,"−1 dado","−"&amp;INDEX($I$2:$N$8,MAX(1,$MF66),MAX(1,$NH66))&amp;" · "&amp;CHOOSE(MAX(1,$NH66),"Leve","Média","Pesada","Leve · Livre","Média · Livre","Pesada · Livre")))</f>
        <v/>
      </c>
      <c r="QB66" s="152">
        <f>IF(OR($MQ66=0,$ND66=0),"",IF($MF66=0,"−1 dado","−"&amp;INDEX($I$2:$N$8,MAX(1,$MF66),MAX(1,$NI66))&amp;" · "&amp;CHOOSE(MAX(1,$NI66),"Leve","Média","Pesada","Leve · Livre","Média · Livre","Pesada · Livre")))</f>
        <v/>
      </c>
      <c r="QC66" s="152">
        <f>IF(OR($MQ66=0,$NE66=0),"",IF($MF66=0,"−1 dado","−"&amp;INDEX($I$2:$N$8,MAX(1,$MF66),MAX(1,$NJ66))&amp;" · "&amp;CHOOSE(MAX(1,$NJ66),"Leve","Média","Pesada","Leve · Livre","Média · Livre","Pesada · Livre")))</f>
        <v/>
      </c>
      <c r="QD66" s="152">
        <f>IF(OR($MQ66=0,$MO66=""),"",IF($MF66=0,"não devolve","+"&amp;IF($NV66=1,CEILING($MF66/2,1),$MF66)))</f>
        <v/>
      </c>
      <c r="QE66" s="152">
        <f>IF(OR($MQ66=0,$MP66=""),"",IF($MF66=0,"não devolve","+"&amp;IF($NW66=1,CEILING($MF66/2,1),$MF66)))</f>
        <v/>
      </c>
    </row>
    <row r="67">
      <c r="AV67" s="150" t="inlineStr">
        <is>
          <t>Duradoura</t>
        </is>
      </c>
      <c r="AW67" s="150" t="inlineStr">
        <is>
          <t>Tempo</t>
        </is>
      </c>
      <c r="AX67" s="152" t="n">
        <v>2</v>
      </c>
      <c r="AY67" s="152" t="n">
        <v>0</v>
      </c>
      <c r="AZ67" s="152" t="n">
        <v>0</v>
      </c>
      <c r="BA67" s="152" t="n">
        <v>0</v>
      </c>
      <c r="JG67" s="152">
        <f>IF(OR($AW67="",COUNTIF($EF$2:$EJ$2,$AW67)&gt;0),$AV67,"")</f>
        <v/>
      </c>
      <c r="JH67" s="152">
        <f>IF(AND($AX67=1,OR($AW67="",COUNTIF($EF$2:$EJ$2,$AW67)&gt;0)),$AV67,"")</f>
        <v/>
      </c>
      <c r="JM67" s="152">
        <f>IF(OR($AW67="",COUNTIF($EF$3:$EJ$3,$AW67)&gt;0),$AV67,"")</f>
        <v/>
      </c>
      <c r="JN67" s="152">
        <f>IF(AND($AX67=1,OR($AW67="",COUNTIF($EF$3:$EJ$3,$AW67)&gt;0)),$AV67,"")</f>
        <v/>
      </c>
      <c r="JS67" s="152">
        <f>IF(OR($AW67="",COUNTIF($EF$4:$EJ$4,$AW67)&gt;0),$AV67,"")</f>
        <v/>
      </c>
      <c r="JT67" s="152">
        <f>IF(AND($AX67=1,OR($AW67="",COUNTIF($EF$4:$EJ$4,$AW67)&gt;0)),$AV67,"")</f>
        <v/>
      </c>
      <c r="JY67" s="152">
        <f>IF(OR($AW67="",COUNTIF($EF$5:$EJ$5,$AW67)&gt;0),$AV67,"")</f>
        <v/>
      </c>
      <c r="JZ67" s="152">
        <f>IF(AND($AX67=1,OR($AW67="",COUNTIF($EF$5:$EJ$5,$AW67)&gt;0)),$AV67,"")</f>
        <v/>
      </c>
      <c r="KE67" s="152">
        <f>IF(OR($AW67="",COUNTIF($EF$6:$EJ$6,$AW67)&gt;0),$AV67,"")</f>
        <v/>
      </c>
      <c r="KF67" s="152">
        <f>IF(AND($AX67=1,OR($AW67="",COUNTIF($EF$6:$EJ$6,$AW67)&gt;0)),$AV67,"")</f>
        <v/>
      </c>
      <c r="KK67" s="152">
        <f>IF(OR($AW67="",COUNTIF($EF$7:$EJ$7,$AW67)&gt;0),$AV67,"")</f>
        <v/>
      </c>
      <c r="KL67" s="152">
        <f>IF(AND($AX67=1,OR($AW67="",COUNTIF($EF$7:$EJ$7,$AW67)&gt;0)),$AV67,"")</f>
        <v/>
      </c>
      <c r="KQ67" s="152">
        <f>IF(OR($AW67="",COUNTIF($EF$8:$EJ$8,$AW67)&gt;0),$AV67,"")</f>
        <v/>
      </c>
      <c r="KR67" s="152">
        <f>IF(AND($AX67=1,OR($AW67="",COUNTIF($EF$8:$EJ$8,$AW67)&gt;0)),$AV67,"")</f>
        <v/>
      </c>
      <c r="KW67" s="152">
        <f>IF(OR($AW67="",COUNTIF($EF$9:$EJ$9,$AW67)&gt;0),$AV67,"")</f>
        <v/>
      </c>
      <c r="KX67" s="152">
        <f>IF(AND($AX67=1,OR($AW67="",COUNTIF($EF$9:$EJ$9,$AW67)&gt;0)),$AV67,"")</f>
        <v/>
      </c>
      <c r="LC67" s="152">
        <f>IF(OR($AW67="",COUNTIF($EF$10:$EJ$10,$AW67)&gt;0),$AV67,"")</f>
        <v/>
      </c>
      <c r="LD67" s="152">
        <f>IF(AND($AX67=1,OR($AW67="",COUNTIF($EF$10:$EJ$10,$AW67)&gt;0)),$AV67,"")</f>
        <v/>
      </c>
      <c r="LI67" s="152">
        <f>IF(OR($AW67="",COUNTIF($EF$11:$EJ$11,$AW67)&gt;0),$AV67,"")</f>
        <v/>
      </c>
      <c r="LJ67" s="152">
        <f>IF(AND($AX67=1,OR($AW67="",COUNTIF($EF$11:$EJ$11,$AW67)&gt;0)),$AV67,"")</f>
        <v/>
      </c>
      <c r="LO67" s="152">
        <f>IF(OR($AW67="",COUNTIF($EF$12:$EJ$12,$AW67)&gt;0),$AV67,"")</f>
        <v/>
      </c>
      <c r="LP67" s="152">
        <f>IF(AND($AX67=1,OR($AW67="",COUNTIF($EF$12:$EJ$12,$AW67)&gt;0)),$AV67,"")</f>
        <v/>
      </c>
      <c r="LU67" s="152">
        <f>IF(OR($AW67="",COUNTIF($EF$13:$EJ$13,$AW67)&gt;0),$AV67,"")</f>
        <v/>
      </c>
      <c r="LV67" s="152">
        <f>IF(AND($AX67=1,OR($AW67="",COUNTIF($EF$13:$EJ$13,$AW67)&gt;0)),$AV67,"")</f>
        <v/>
      </c>
      <c r="MA67" s="150" t="inlineStr">
        <is>
          <t>Ficha 6 · Básica 1</t>
        </is>
      </c>
      <c r="MB67" s="152" t="n">
        <v>6</v>
      </c>
      <c r="MC67" s="152" t="n">
        <v>0</v>
      </c>
      <c r="MD67" s="152" t="n">
        <v>1</v>
      </c>
      <c r="ME67" s="150" t="inlineStr">
        <is>
          <t>BÁSICA 1</t>
        </is>
      </c>
      <c r="MF67" s="152" t="n">
        <v>0</v>
      </c>
      <c r="MG67" s="152">
        <f>'INVOCAÇÕES'!$J$1048&amp;""</f>
        <v/>
      </c>
      <c r="MH67" s="152">
        <f>'INVOCAÇÕES'!$I$1053&amp;""</f>
        <v/>
      </c>
      <c r="MI67" s="152">
        <f>'INVOCAÇÕES'!$I$1054&amp;""</f>
        <v/>
      </c>
      <c r="MJ67" s="152">
        <f>'INVOCAÇÕES'!$K$1054&amp;""</f>
        <v/>
      </c>
      <c r="MK67" s="152">
        <f>'INVOCAÇÕES'!$J$1057&amp;""</f>
        <v/>
      </c>
      <c r="ML67" s="152">
        <f>'INVOCAÇÕES'!$J$1058&amp;""</f>
        <v/>
      </c>
      <c r="MM67" s="152">
        <f>'INVOCAÇÕES'!$J$1059&amp;""</f>
        <v/>
      </c>
      <c r="MN67" s="152">
        <f>'INVOCAÇÕES'!$J$1060&amp;""</f>
        <v/>
      </c>
      <c r="MO67" s="152">
        <f>'INVOCAÇÕES'!$J$1061&amp;""</f>
        <v/>
      </c>
      <c r="MP67" s="152">
        <f>'INVOCAÇÕES'!$J$1062&amp;""</f>
        <v/>
      </c>
      <c r="MQ67" s="152">
        <f>IF($MG67&lt;&gt;"",1,0)</f>
        <v/>
      </c>
      <c r="MR67" s="152">
        <f>INDEX($FI$2:$FI$13,$MB67)</f>
        <v/>
      </c>
      <c r="MS67" s="152">
        <f>INDEX($FJ$2:$FJ$13,$MB67)</f>
        <v/>
      </c>
      <c r="MT67" s="152">
        <f>INDEX($FK$2:$FK$13,$MB67)</f>
        <v/>
      </c>
      <c r="MU67" s="152">
        <f>INDEX($FV$2:$FV$13,$MB67)</f>
        <v/>
      </c>
      <c r="MV67" s="152">
        <f>INDEX($FW$2:$FW$13,$MB67)</f>
        <v/>
      </c>
      <c r="MW67" s="152">
        <f>IFERROR(MATCH($MH67,$V$2:$V$11,0),0)</f>
        <v/>
      </c>
      <c r="MX67" s="152">
        <f>IFERROR(VLOOKUP($MK67,$AV$2:$BA$84,2,FALSE),"")</f>
        <v/>
      </c>
      <c r="MY67" s="152">
        <f>IFERROR(VLOOKUP($ML67,$AV$2:$BA$84,2,FALSE),"")</f>
        <v/>
      </c>
      <c r="MZ67" s="152">
        <f>IFERROR(VLOOKUP($MM67,$AV$2:$BA$84,2,FALSE),"")</f>
        <v/>
      </c>
      <c r="NA67" s="152">
        <f>IFERROR(VLOOKUP($MN67,$AV$2:$BA$84,2,FALSE),"")</f>
        <v/>
      </c>
      <c r="NB67" s="152">
        <f>IFERROR(VLOOKUP($MK67,$AV$2:$BA$84,3,FALSE),0)</f>
        <v/>
      </c>
      <c r="NC67" s="152">
        <f>IFERROR(VLOOKUP($ML67,$AV$2:$BA$84,3,FALSE),0)</f>
        <v/>
      </c>
      <c r="ND67" s="152">
        <f>IFERROR(VLOOKUP($MM67,$AV$2:$BA$84,3,FALSE),0)</f>
        <v/>
      </c>
      <c r="NE67" s="152">
        <f>IFERROR(VLOOKUP($MN67,$AV$2:$BA$84,3,FALSE),0)</f>
        <v/>
      </c>
      <c r="NF67" s="152">
        <f>IF($MF67=0,0,IF($MW67=0,0,INDEX($X$2:$X$11,$MW67)))</f>
        <v/>
      </c>
      <c r="NG67" s="152">
        <f>IF(OR($NB67=0,$MF67=0),0,$NB67+3*IF(AND($MX67&lt;&gt;"",OR($MX67=INDEX($EF$2:$EF$13,$MB67),$MX67=INDEX($EG$2:$EG$13,$MB67))),1,0))</f>
        <v/>
      </c>
      <c r="NH67" s="152">
        <f>IF(OR($NC67=0,$MF67=0),0,$NC67+3*IF(AND($MY67&lt;&gt;"",OR($MY67=INDEX($EF$2:$EF$13,$MB67),$MY67=INDEX($EG$2:$EG$13,$MB67))),1,0))</f>
        <v/>
      </c>
      <c r="NI67" s="152">
        <f>IF(OR($ND67=0,$MF67=0),0,$ND67+3*IF(AND($MZ67&lt;&gt;"",OR($MZ67=INDEX($EF$2:$EF$13,$MB67),$MZ67=INDEX($EG$2:$EG$13,$MB67))),1,0))</f>
        <v/>
      </c>
      <c r="NJ67" s="152">
        <f>IF(OR($NE67=0,$MF67=0),0,$NE67+3*IF(AND($NA67&lt;&gt;"",OR($NA67=INDEX($EF$2:$EF$13,$MB67),$NA67=INDEX($EG$2:$EG$13,$MB67))),1,0))</f>
        <v/>
      </c>
      <c r="NK67" s="152">
        <f>IF($MW67=0,0,IF(INDEX($W$2:$W$11,$MW67)="",0,IF(COUNTIF(INDEX($EF$2:$EJ$13,$MB67,0),INDEX($W$2:$W$11,$MW67))=0,1,0)))</f>
        <v/>
      </c>
      <c r="NL67" s="152">
        <f>IF(OR($NB67=0,$MX67=""),0,IF(COUNTIF(INDEX($EF$2:$EJ$13,$MB67,0),$MX67)=0,1,0))</f>
        <v/>
      </c>
      <c r="NM67" s="152">
        <f>IF(OR($NC67=0,$MY67=""),0,IF(COUNTIF(INDEX($EF$2:$EJ$13,$MB67,0),$MY67)=0,1,0))</f>
        <v/>
      </c>
      <c r="NN67" s="152">
        <f>IF(OR($ND67=0,$MZ67=""),0,IF(COUNTIF(INDEX($EF$2:$EJ$13,$MB67,0),$MZ67)=0,1,0))</f>
        <v/>
      </c>
      <c r="NO67" s="152">
        <f>IF(OR($NE67=0,$NA67=""),0,IF(COUNTIF(INDEX($EF$2:$EJ$13,$MB67,0),$NA67)=0,1,0))</f>
        <v/>
      </c>
      <c r="NP67" s="152">
        <f>IFERROR(VLOOKUP($MK67,$AV$2:$BA$84,4,FALSE),0)+IFERROR(VLOOKUP($ML67,$AV$2:$BA$84,4,FALSE),0)+IFERROR(VLOOKUP($MM67,$AV$2:$BA$84,4,FALSE),0)+IFERROR(VLOOKUP($MN67,$AV$2:$BA$84,4,FALSE),0)</f>
        <v/>
      </c>
      <c r="NQ67" s="152">
        <f>IFERROR(VLOOKUP($MK67,$AV$2:$BA$84,6,FALSE),0)+IFERROR(VLOOKUP($ML67,$AV$2:$BA$84,6,FALSE),0)+IFERROR(VLOOKUP($MM67,$AV$2:$BA$84,6,FALSE),0)+IFERROR(VLOOKUP($MN67,$AV$2:$BA$84,6,FALSE),0)</f>
        <v/>
      </c>
      <c r="NR67" s="152">
        <f>TEXTJOIN(", ",TRUE,IF(IFERROR(VLOOKUP($MK67,$AV$2:$BA$84,5,FALSE),0)=1,$MK67,""),IF(IFERROR(VLOOKUP($ML67,$AV$2:$BA$84,5,FALSE),0)=1,$ML67,""),IF(IFERROR(VLOOKUP($MM67,$AV$2:$BA$84,5,FALSE),0)=1,$MM67,""),IF(IFERROR(VLOOKUP($MN67,$AV$2:$BA$84,5,FALSE),0)=1,$MN67,""))</f>
        <v/>
      </c>
      <c r="NS67" s="152">
        <f>IF($MW67=0,0,INDEX($Y$2:$Y$11,$MW67))</f>
        <v/>
      </c>
      <c r="NT67" s="152">
        <f>IF($MW67=0,0,INDEX($Z$2:$Z$11,$MW67))</f>
        <v/>
      </c>
      <c r="NU67" s="152">
        <f>IF($MW67=0,0,INDEX($AB$2:$AB$11,$MW67))</f>
        <v/>
      </c>
      <c r="NV67" s="152">
        <f>IFERROR(VLOOKUP($MO67,$BC$2:$BG$24,3,FALSE),0)</f>
        <v/>
      </c>
      <c r="NW67" s="152">
        <f>IFERROR(VLOOKUP($MP67,$BC$2:$BG$24,3,FALSE),0)</f>
        <v/>
      </c>
      <c r="NX67" s="152">
        <f>IFERROR(VLOOKUP($MO67,$BC$2:$BG$24,2,FALSE),"")</f>
        <v/>
      </c>
      <c r="NY67" s="152">
        <f>IFERROR(VLOOKUP($MP67,$BC$2:$BG$24,2,FALSE),"")</f>
        <v/>
      </c>
      <c r="NZ67" s="152">
        <f>COUNTIF($NF67:$NJ67,1)</f>
        <v/>
      </c>
      <c r="OA67" s="152">
        <f>COUNTIF($NF67:$NJ67,2)</f>
        <v/>
      </c>
      <c r="OB67" s="152">
        <f>COUNTIF($NF67:$NJ67,3)</f>
        <v/>
      </c>
      <c r="OC67" s="152">
        <f>COUNTIF($NF67:$NJ67,4)</f>
        <v/>
      </c>
      <c r="OD67" s="152">
        <f>COUNTIF($NF67:$NJ67,5)</f>
        <v/>
      </c>
      <c r="OE67" s="152">
        <f>COUNTIF($NF67:$NJ67,6)</f>
        <v/>
      </c>
      <c r="OF67" s="152">
        <f>COUNTIF($NV67:$NW67,1)</f>
        <v/>
      </c>
      <c r="OG67" s="152">
        <f>COUNTIF($NV67:$NW67,2)+$NS67</f>
        <v/>
      </c>
      <c r="OH67" s="152">
        <f>COUNTIF($MK67:$MN67,"?*")</f>
        <v/>
      </c>
      <c r="OI67" s="152">
        <f>COUNTIF($MO67:$MP67,"?*")+$NS67</f>
        <v/>
      </c>
      <c r="OJ67" s="152">
        <f>IF($MF67=0,0,SUMPRODUCT($NZ67:$OE67,INDEX($I$2:$N$8,MAX(1,$MF67),0)))</f>
        <v/>
      </c>
      <c r="OK67" s="152">
        <f>IF($MF67=0,0,$OF67*CEILING($MF67/2,1)+$OG67*$MF67)</f>
        <v/>
      </c>
      <c r="OL67" s="152">
        <f>MIN(2*$MF67,$OK67)</f>
        <v/>
      </c>
      <c r="OM67" s="152">
        <f>MIN($OL67,$OJ67)</f>
        <v/>
      </c>
      <c r="ON67" s="152">
        <f>$OL67-$OM67</f>
        <v/>
      </c>
      <c r="OO67" s="152">
        <f>IF($MF67=0,0,INDEX($P$2:$P$8,MAX(1,$MF67)))</f>
        <v/>
      </c>
      <c r="OP67" s="152">
        <f>$OO67-$OJ67+$OM67</f>
        <v/>
      </c>
      <c r="OQ67" s="152">
        <f>IF($MF67=0,MAX(0,$MT67-IF($OH67&gt;0,1,0)),MAX(0,$OP67))</f>
        <v/>
      </c>
      <c r="OR67" s="152">
        <f>IF($MF67=0,0,(IF(COUNTIF($MK67:$MN67,"Salto")&gt;0,1,0)+IF(COUNTIF($MK67:$MN67,"Queima")&gt;0,1,0)+IF(COUNTIF($MK67:$MN67,"Estilhaço")&gt;0,1,0))*FLOOR($OQ67/2,1))</f>
        <v/>
      </c>
      <c r="OS67" s="152">
        <f>MAX(0,2-SUMPRODUCT($NZ67:$OE67,$I$2:$N$2)+MIN(2,$OF67*1+$OG67*1,SUMPRODUCT($NZ67:$OE67,$I$2:$N$2)))</f>
        <v/>
      </c>
      <c r="OT67" s="152">
        <f>MAX(0,4-SUMPRODUCT($NZ67:$OE67,$I$3:$N$3)+MIN(4,$OF67*1+$OG67*2,SUMPRODUCT($NZ67:$OE67,$I$3:$N$3)))</f>
        <v/>
      </c>
      <c r="OU67" s="152">
        <f>MAX(0,6-SUMPRODUCT($NZ67:$OE67,$I$4:$N$4)+MIN(6,$OF67*2+$OG67*3,SUMPRODUCT($NZ67:$OE67,$I$4:$N$4)))</f>
        <v/>
      </c>
      <c r="OV67" s="152">
        <f>MAX(0,9-SUMPRODUCT($NZ67:$OE67,$I$5:$N$5)+MIN(8,$OF67*2+$OG67*4,SUMPRODUCT($NZ67:$OE67,$I$5:$N$5)))</f>
        <v/>
      </c>
      <c r="OW67" s="152">
        <f>MAX(0,11-SUMPRODUCT($NZ67:$OE67,$I$6:$N$6)+MIN(10,$OF67*3+$OG67*5,SUMPRODUCT($NZ67:$OE67,$I$6:$N$6)))</f>
        <v/>
      </c>
      <c r="OX67" s="152">
        <f>MAX(0,13-SUMPRODUCT($NZ67:$OE67,$I$7:$N$7)+MIN(12,$OF67*3+$OG67*6,SUMPRODUCT($NZ67:$OE67,$I$7:$N$7)))</f>
        <v/>
      </c>
      <c r="OY67" s="152">
        <f>MAX(0,16-SUMPRODUCT($NZ67:$OE67,$I$8:$N$8)+MIN(14,$OF67*4+$OG67*7,SUMPRODUCT($NZ67:$OE67,$I$8:$N$8)))</f>
        <v/>
      </c>
      <c r="OZ67" s="152">
        <f>IF($NT67=2,3*$OS67&amp;" de vida temp.",IF($NT67=3,"sem dano",IF($OS67=0,IF($NT67=1,"sem cura","sem dano"),IF($NT67=1,"cura ","")&amp;$OS67&amp;"d8")))</f>
        <v/>
      </c>
      <c r="PA67" s="152">
        <f>IF($NT67=2,3*$OT67&amp;" de vida temp.",IF($NT67=3,"sem dano",IF($OT67=0,IF($NT67=1,"sem cura","sem dano"),IF($NT67=1,"cura ","")&amp;$OT67&amp;"d8")))</f>
        <v/>
      </c>
      <c r="PB67" s="152">
        <f>IF($NT67=2,3*$OU67&amp;" de vida temp.",IF($NT67=3,"sem dano",IF($OU67=0,IF($NT67=1,"sem cura","sem dano"),IF($NT67=1,"cura ","")&amp;$OU67&amp;"d8")))</f>
        <v/>
      </c>
      <c r="PC67" s="152">
        <f>IF($NT67=2,3*$OV67&amp;" de vida temp.",IF($NT67=3,"sem dano",IF($OV67=0,IF($NT67=1,"sem cura","sem dano"),IF($NT67=1,"cura ","")&amp;$OV67&amp;"d8")))</f>
        <v/>
      </c>
      <c r="PD67" s="152">
        <f>IF($NT67=2,3*$OW67&amp;" de vida temp.",IF($NT67=3,"sem dano",IF($OW67=0,IF($NT67=1,"sem cura","sem dano"),IF($NT67=1,"cura ","")&amp;$OW67&amp;"d8")))</f>
        <v/>
      </c>
      <c r="PE67" s="152">
        <f>IF($NT67=2,3*$OX67&amp;" de vida temp.",IF($NT67=3,"sem dano",IF($OX67=0,IF($NT67=1,"sem cura","sem dano"),IF($NT67=1,"cura ","")&amp;$OX67&amp;"d8")))</f>
        <v/>
      </c>
      <c r="PF67" s="152">
        <f>IF($NT67=2,3*$OY67&amp;" de vida temp.",IF($NT67=3,"sem dano",IF($OY67=0,IF($NT67=1,"sem cura","sem dano"),IF($NT67=1,"cura ","")&amp;$OY67&amp;"d8")))</f>
        <v/>
      </c>
      <c r="PG67" s="152">
        <f>IF($MQ67=0,"",TEXTJOIN(" · ",TRUE,IF($MD67&gt;$MR67,"Este lugar abre no nível "&amp;$MD67,""),IF($MF67&gt;$MS67,"Classe "&amp;$MF67&amp;": o nível "&amp;$MR67&amp;" libera até a "&amp;$MS67,""),IF($NK67=1,"A Forma "&amp;$MH67&amp;" pede "&amp;INDEX($W$2:$W$11,$MW67)&amp;" aberta",""),IF(AND($MF67=0,$MW67&gt;0,IF($MW67=0,0,INDEX($AF$2:$AF$11,$MW67))=0),$MH67&amp;" não existe na Classe 0",""),IF($NL67=1,"Família Fechada: "&amp;$MK67,""),IF($NM67=1,"Família Fechada: "&amp;$ML67,""),IF($NN67=1,"Família Fechada: "&amp;$MM67,""),IF($NO67=1,"Família Fechada: "&amp;$MN67,""),IF(AND($MF67&gt;0,$OH67&gt;INDEX($O$2:$O$8,MAX(1,$MF67))),$OH67&amp;" Melhorias: a Classe "&amp;$MF67&amp;" aceita "&amp;INDEX($O$2:$O$8,MAX(1,$MF67)),""),IF(AND($MF67=0,$OH67&gt;1),"A básica aceita uma Melhoria",""),IF(AND($MF67=0,COUNTIF($NB67:$NE67,"&gt;1")&gt;0),"A básica só aceita Melhoria Leve",""),IF(AND($MF67&gt;0,$OI67&gt;2),$OI67&amp;" Restrições"&amp;IF($NS67=1,", contando a que a Forma "&amp;$MH67&amp;" já traz","")&amp;": o limite é 2",""),IF(AND($MF67=0,COUNTIF($MO67:$MP67,"?*")&gt;1),"A básica aceita uma Restrição Leve",""),IF(AND($MF67=0,COUNTIF($NV67:$NW67,2)&gt;0),"A básica só aceita Restrição Leve",""),IF(AND($MF67&gt;0,$OP67&lt;0),"Orçamento estourado: faltam "&amp;(-$OP67)&amp;IF($OP67&lt;-1," pontos"," ponto"),""),IF(IFERROR(VLOOKUP($MO67,$BC$2:$BG$24,4,FALSE),0)+IFERROR(VLOOKUP($MP67,$BC$2:$BG$24,4,FALSE),0)&gt;1,$NX67&amp;" e "&amp;$NY67&amp;" são as duas de frequência",""),IF(AND((COUNTIF($MK67:$MN67,"Rápido")+COUNTIF($NX67:$NY67,"Rápido"))&gt;0,(COUNTIF($MK67:$MN67,"Atrasar")+COUNTIF($NX67:$NY67,"Atrasar"))&gt;0),"Rápido não entra com Atrasar",""),IF(AND((COUNTIF($MK67:$MN67,"Reação")+COUNTIF($NX67:$NY67,"Reação"))&gt;0,(COUNTIF($MK67:$MN67,"Rápido")+COUNTIF($NX67:$NY67,"Rápido"))&gt;0),"Reação não entra com Rápido",""),IF(AND((COUNTIF($MK67:$MN67,"Reação")+COUNTIF($NX67:$NY67,"Reação"))&gt;0,(COUNTIF($MK67:$MN67,"Armado")+COUNTIF($NX67:$NY67,"Armado"))&gt;0),"Reação não entra com Armado",""),IF(AND((COUNTIF($MK67:$MN67,"Reação")+COUNTIF($NX67:$NY67,"Reação"))&gt;0,(COUNTIF($MK67:$MN67,"Atrasar")+COUNTIF($NX67:$NY67,"Atrasar"))&gt;0),"Reação não entra com Atrasar",""),IF(AND((COUNTIF($MK67:$MN67,"Reação")+COUNTIF($NX67:$NY67,"Reação"))&gt;0,(COUNTIF($MK67:$MN67,"Parado")+COUNTIF($NX67:$NY67,"Parado"))&gt;0),"Reação não entra com Parado",""),IF(AND((COUNTIF($MK67:$MN67,"Atrasar")+COUNTIF($NX67:$NY67,"Atrasar"))&gt;0,(COUNTIF($MK67:$MN67,"Parado")+COUNTIF($NX67:$NY67,"Parado"))&gt;0),"Atrasar não entra com Parado",""),IF(AND((COUNTIF($MK67:$MN67,"Armado")+COUNTIF($NX67:$NY67,"Armado"))&gt;0,(COUNTIF($MK67:$MN67,"Carregar")+COUNTIF($NX67:$NY67,"Carregar"))&gt;0),"Armado não entra com Carregar",""),IF(AND(COUNTIF($NX67:$NY67,"Corpo a Corpo")&gt;0,$NS67=0,OR($MH67="Cone",$MH67="Linha")),"Corpo a Corpo não entra em "&amp;$MH67,""),IF(AND(COUNTIF($NX67:$NY67,"Corpo a Corpo")&gt;0,$NS67=1),"A Forma "&amp;$MH67&amp;" já traz o Corpo a Corpo",""),IF(AND(COUNTIF($NX67:$NY67,"Tudo ou Nada")&gt;0,$NU67=0),"Tudo ou Nada só entra em habilidade de Teste de Resistência",""),IF(AND(COUNTIF($MK67:$MN67,"Inescapável")&gt;0,OR($OH67&gt;1,$OI67&gt;0)),"Inescapável não aceita outra peça",""),IF(AND($MF67&gt;0,$OQ67*IF(COUNTIF($MK67:$MN67,"Remate")&gt;0,1.25,1)+$OR67&gt;4*$MF67),($OQ67*IF(COUNTIF($MK67:$MN67,"Remate")&gt;0,1.25,1)+$OR67)&amp;" dados somando repetições"&amp;IF(COUNTIF($MK67:$MN67,"Remate")&gt;0," e o Remate","")&amp;": o teto da Classe "&amp;$MF67&amp;" é "&amp;4*$MF67,"")))</f>
        <v/>
      </c>
      <c r="PH67" s="152">
        <f>IF($PG67="",0,(LEN($PG67)-LEN(SUBSTITUTE($PG67," · ","")))/3+1)</f>
        <v/>
      </c>
      <c r="PI67" s="152">
        <f>IF($MQ67=0,"",TEXTJOIN(" · ",TRUE,IF($OK67&gt;2*$MF67,"A devolução parou no teto de "&amp;2*$MF67,""),IF($ON67&gt;0,"Devolução perdida: "&amp;$ON67&amp;IF($ON67&gt;1," pontos"," ponto")&amp;" sem peça para pagar",""),IF(AND($NP67&gt;0,AND($MF67&gt;0,$NT67=0),$OQ67=0),"Controle sem dano: uma rodada a mais e CD +2",""),IF(AND($NP67&gt;0,AND($MF67&gt;0,$NT67=0),$OQ67&gt;0,$OQ67&lt;=$MF67),"Controle com saldo até a Classe: uma rodada a mais",""),IF(AND($MF67&gt;0,$NR67&lt;&gt;""),"Efeito de "&amp;$NR67&amp;" pela Classe "&amp;MAX(1,$MF67-1),"")))</f>
        <v/>
      </c>
      <c r="PJ67" s="152">
        <f>IF($PI67="",0,(LEN($PI67)-LEN(SUBSTITUTE($PI67," · ","")))/3+1)</f>
        <v/>
      </c>
      <c r="PK67" s="152">
        <f>IF($MQ67=0,IF($OH67+COUNTIF($MO67:$MP67,"?*")&gt;0,"Dê um nome",""),IF($PH67&gt;0,"⚠ "&amp;$PH67&amp;IF($PH67&gt;1," erros"," erro"),IF($PJ67&gt;0,"! "&amp;$PJ67&amp;IF($PJ67&gt;1," avisos"," aviso"),"Na regra")))</f>
        <v/>
      </c>
      <c r="PL67" s="152">
        <f>IF($MQ67=0,"",IF($PH67+$PJ67=0,"Dentro das regras que a ficha confere",$PG67&amp;IF(AND($PH67&gt;0,$PJ67&gt;0)," · ","")&amp;$PI67))</f>
        <v/>
      </c>
      <c r="PM67" s="152">
        <f>IF($MD67&gt;$MR67,$ME67&amp;" · ABRE NO NÍVEL "&amp;$MD67,$ME67)</f>
        <v/>
      </c>
      <c r="PN67" s="152">
        <f>IF($MQ67=0,"",IF($MF67=0,"Sem PE",3*$MF67&amp;" PE"))</f>
        <v/>
      </c>
      <c r="PO67" s="152">
        <f>IF($MQ67=0,"",IF($MF67=0,"A atuação básica dela",IF(COUNTIF($NX67:$NY67,"Atrasar")&gt;0,"Sua Ação Completa",IF(COUNTIF($MK67:$MN67,"Rápido")&gt;0,"Sua Bônus",IF(COUNTIF($MK67:$MN67,"Reação")&gt;0,"Sua Reação","Sua Padrão")))&amp;" + a básica dela"&amp;IF(COUNTIF($MK67:$MN67,"Reação")&gt;0," e a coletiva","")&amp;IF(COUNTIF($NX67:$NY67,"Carregar")&gt;0," · em dois turnos","")))</f>
        <v/>
      </c>
      <c r="PP67" s="152">
        <f>IF($MJ67&lt;&gt;"",$MJ67,IF($MW67=0,"",INDEX($AA$2:$AA$11,$MW67)))</f>
        <v/>
      </c>
      <c r="PQ67" s="152">
        <f>IF(OR($MQ67=0,$MW67=0),"",IF(COUNTIF($MK67:$MN67,"Inescapável")&gt;0,"Automático",IF($PP67="Ataque",IF($MU67="","Ataque","Ataque "&amp;IF(($MU67+2*IF(COUNTIF($MK67:$MN67,"Precisão")&gt;0,1,0))&gt;=0,"+","−")&amp;ABS(($MU67+2*IF(COUNTIF($MK67:$MN67,"Precisão")&gt;0,1,0))))&amp;IF($NQ67&gt;0," · TR"&amp;IF($MV67="",""," CD "&amp;$MV67),""),IF(LEFT($PP67,2)="TR",$PP67&amp;IF($MV67="",""," · CD "&amp;$MV67)&amp;IF(COUNTIF($MK67:$MN67,"Certeiro")&gt;0," · metade",""),"Sem rolagem"))))</f>
        <v/>
      </c>
      <c r="PR67" s="152">
        <f>IF(OR($MQ67=0,$MW67=0),"",IF($MF67=0,IF(OR($NT67&gt;=1,$OQ67=0),"Sem dano",$OQ67&amp;"d6"&amp;IF($MI67="",""," "&amp;$MI67)),IF(OR($NT67&gt;=1,$OQ67=0),UPPER(LEFT(INDEX($OZ67:$PF67,1,MAX(1,$MF67)),1))&amp;MID(INDEX($OZ67:$PF67,1,MAX(1,$MF67)),2,99),UPPER(LEFT(INDEX($OZ67:$PF67,1,MAX(1,$MF67)),1))&amp;MID(INDEX($OZ67:$PF67,1,MAX(1,$MF67)),2,99)&amp;IF($MI67="",""," "&amp;$MI67)&amp;IF($OR67&gt;0," · +"&amp;$OR67&amp;"d8",""))))</f>
        <v/>
      </c>
      <c r="PS67" s="152">
        <f>COUNTIF($MK67:$MN67,"Longe")+3*COUNTIF($MK67:$MN67,"Muito Longe")</f>
        <v/>
      </c>
      <c r="PT67" s="152">
        <f>COUNTIF($MK67:$MN67,"Maior")+3*COUNTIF($MK67:$MN67,"Muito Maior")</f>
        <v/>
      </c>
      <c r="PU67" s="152">
        <f>IF($MW67=0,0,CHOOSE(1+INDEX($AC$2:$AC$11,$MW67),0,$PS67,$PT67,$PS67+$PT67))</f>
        <v/>
      </c>
      <c r="PV67" s="152">
        <f>IF($MW67=0,0,CHOOSE(1+INDEX($AD$2:$AD$11,$MW67),0,$PS67,$PT67,$PS67+$PT67))</f>
        <v/>
      </c>
      <c r="PW67" s="152">
        <f>IF(OR($MQ67=0,$MW67=0),"",INDEX($AI$2:$AN$41,($MW67-1)*4+IF($MF67=0,1,IF($MF67&lt;=5,2,IF($MF67=6,3,4))),1+MIN(5,$PU67))&amp;INDEX($AO$2:$AT$41,($MW67-1)*4+IF($MF67=0,1,IF($MF67&lt;=5,2,IF($MF67=6,3,4))),1+MIN(5,$PV67))&amp;IF(INDEX($AE$2:$AE$11,$MW67)=1,IF(COUNTIF($MK67:$MN67,"Mais Um")&gt;0," · +"&amp;COUNTIF($MK67:$MN67,"Mais Um")&amp;IF(COUNTIF($MK67:$MN67,"Mais Um")&gt;1," alvos"," alvo"),"")&amp;IF(COUNTIF($MK67:$MN67,"Rajada")&gt;0,IF($MF67=0," · 1 tiro"," · "&amp;(MAX(1,$MF67-1)+1)&amp;" tiros"),""),""))</f>
        <v/>
      </c>
      <c r="PX67" s="152">
        <f>IF($MQ67=0,"",IF($MF67=0,$MT67&amp;"d6"&amp;IF($OH67&gt;0," − 1 = "&amp;$OQ67&amp;"d6"," da básica do nível "&amp;$MR67),$OO67&amp;" − "&amp;$OJ67&amp;" + "&amp;$OM67&amp;" = "&amp;$OP67&amp;" · teto "&amp;4*$MF67&amp;"d8"&amp;IF($NS67=1," · a Forma devolve "&amp;$MF67,"")&amp;IF($ON67&gt;0," · perde "&amp;$ON67,"")))</f>
        <v/>
      </c>
      <c r="PY67" s="152">
        <f>IF($MQ67=0,"",IF($MF67=0,"A básica não amplia: os dados dela sobem com o nível",IF($MF67&gt;=$MS67,"Já está na maior Classe que o nível liberou",TEXTJOIN(" · ",TRUE,IF(AND(2&gt;$MF67,2&lt;=$MS67),"2 → "&amp;$PA67&amp;", 6 PE",""),IF(AND(3&gt;$MF67,3&lt;=$MS67),"3 → "&amp;$PB67&amp;", 9 PE",""),IF(AND(4&gt;$MF67,4&lt;=$MS67),"4 → "&amp;$PC67&amp;", 12 PE",""),IF(AND(5&gt;$MF67,5&lt;=$MS67),"5 → "&amp;$PD67&amp;", 15 PE",""),IF(AND(6&gt;$MF67,6&lt;=$MS67),"6 → "&amp;$PE67&amp;", 18 PE",""),IF(AND(7&gt;$MF67,7&lt;=$MS67),"7 → "&amp;$PF67&amp;", 21 PE","")))))</f>
        <v/>
      </c>
      <c r="PZ67" s="152">
        <f>IF(OR($MQ67=0,$NB67=0),"",IF($MF67=0,"−1 dado","−"&amp;INDEX($I$2:$N$8,MAX(1,$MF67),MAX(1,$NG67))&amp;" · "&amp;CHOOSE(MAX(1,$NG67),"Leve","Média","Pesada","Leve · Livre","Média · Livre","Pesada · Livre")))</f>
        <v/>
      </c>
      <c r="QA67" s="152">
        <f>IF(OR($MQ67=0,$NC67=0),"",IF($MF67=0,"−1 dado","−"&amp;INDEX($I$2:$N$8,MAX(1,$MF67),MAX(1,$NH67))&amp;" · "&amp;CHOOSE(MAX(1,$NH67),"Leve","Média","Pesada","Leve · Livre","Média · Livre","Pesada · Livre")))</f>
        <v/>
      </c>
      <c r="QB67" s="152">
        <f>IF(OR($MQ67=0,$ND67=0),"",IF($MF67=0,"−1 dado","−"&amp;INDEX($I$2:$N$8,MAX(1,$MF67),MAX(1,$NI67))&amp;" · "&amp;CHOOSE(MAX(1,$NI67),"Leve","Média","Pesada","Leve · Livre","Média · Livre","Pesada · Livre")))</f>
        <v/>
      </c>
      <c r="QC67" s="152">
        <f>IF(OR($MQ67=0,$NE67=0),"",IF($MF67=0,"−1 dado","−"&amp;INDEX($I$2:$N$8,MAX(1,$MF67),MAX(1,$NJ67))&amp;" · "&amp;CHOOSE(MAX(1,$NJ67),"Leve","Média","Pesada","Leve · Livre","Média · Livre","Pesada · Livre")))</f>
        <v/>
      </c>
      <c r="QD67" s="152">
        <f>IF(OR($MQ67=0,$MO67=""),"",IF($MF67=0,"não devolve","+"&amp;IF($NV67=1,CEILING($MF67/2,1),$MF67)))</f>
        <v/>
      </c>
      <c r="QE67" s="152">
        <f>IF(OR($MQ67=0,$MP67=""),"",IF($MF67=0,"não devolve","+"&amp;IF($NW67=1,CEILING($MF67/2,1),$MF67)))</f>
        <v/>
      </c>
    </row>
    <row r="68">
      <c r="AV68" s="150" t="inlineStr">
        <is>
          <t>Marca</t>
        </is>
      </c>
      <c r="AW68" s="150" t="inlineStr">
        <is>
          <t>Marca</t>
        </is>
      </c>
      <c r="AX68" s="152" t="n">
        <v>1</v>
      </c>
      <c r="AY68" s="152" t="n">
        <v>0</v>
      </c>
      <c r="AZ68" s="152" t="n">
        <v>0</v>
      </c>
      <c r="BA68" s="152" t="n">
        <v>0</v>
      </c>
      <c r="JG68" s="152">
        <f>IF(OR($AW68="",COUNTIF($EF$2:$EJ$2,$AW68)&gt;0),$AV68,"")</f>
        <v/>
      </c>
      <c r="JH68" s="152">
        <f>IF(AND($AX68=1,OR($AW68="",COUNTIF($EF$2:$EJ$2,$AW68)&gt;0)),$AV68,"")</f>
        <v/>
      </c>
      <c r="JM68" s="152">
        <f>IF(OR($AW68="",COUNTIF($EF$3:$EJ$3,$AW68)&gt;0),$AV68,"")</f>
        <v/>
      </c>
      <c r="JN68" s="152">
        <f>IF(AND($AX68=1,OR($AW68="",COUNTIF($EF$3:$EJ$3,$AW68)&gt;0)),$AV68,"")</f>
        <v/>
      </c>
      <c r="JS68" s="152">
        <f>IF(OR($AW68="",COUNTIF($EF$4:$EJ$4,$AW68)&gt;0),$AV68,"")</f>
        <v/>
      </c>
      <c r="JT68" s="152">
        <f>IF(AND($AX68=1,OR($AW68="",COUNTIF($EF$4:$EJ$4,$AW68)&gt;0)),$AV68,"")</f>
        <v/>
      </c>
      <c r="JY68" s="152">
        <f>IF(OR($AW68="",COUNTIF($EF$5:$EJ$5,$AW68)&gt;0),$AV68,"")</f>
        <v/>
      </c>
      <c r="JZ68" s="152">
        <f>IF(AND($AX68=1,OR($AW68="",COUNTIF($EF$5:$EJ$5,$AW68)&gt;0)),$AV68,"")</f>
        <v/>
      </c>
      <c r="KE68" s="152">
        <f>IF(OR($AW68="",COUNTIF($EF$6:$EJ$6,$AW68)&gt;0),$AV68,"")</f>
        <v/>
      </c>
      <c r="KF68" s="152">
        <f>IF(AND($AX68=1,OR($AW68="",COUNTIF($EF$6:$EJ$6,$AW68)&gt;0)),$AV68,"")</f>
        <v/>
      </c>
      <c r="KK68" s="152">
        <f>IF(OR($AW68="",COUNTIF($EF$7:$EJ$7,$AW68)&gt;0),$AV68,"")</f>
        <v/>
      </c>
      <c r="KL68" s="152">
        <f>IF(AND($AX68=1,OR($AW68="",COUNTIF($EF$7:$EJ$7,$AW68)&gt;0)),$AV68,"")</f>
        <v/>
      </c>
      <c r="KQ68" s="152">
        <f>IF(OR($AW68="",COUNTIF($EF$8:$EJ$8,$AW68)&gt;0),$AV68,"")</f>
        <v/>
      </c>
      <c r="KR68" s="152">
        <f>IF(AND($AX68=1,OR($AW68="",COUNTIF($EF$8:$EJ$8,$AW68)&gt;0)),$AV68,"")</f>
        <v/>
      </c>
      <c r="KW68" s="152">
        <f>IF(OR($AW68="",COUNTIF($EF$9:$EJ$9,$AW68)&gt;0),$AV68,"")</f>
        <v/>
      </c>
      <c r="KX68" s="152">
        <f>IF(AND($AX68=1,OR($AW68="",COUNTIF($EF$9:$EJ$9,$AW68)&gt;0)),$AV68,"")</f>
        <v/>
      </c>
      <c r="LC68" s="152">
        <f>IF(OR($AW68="",COUNTIF($EF$10:$EJ$10,$AW68)&gt;0),$AV68,"")</f>
        <v/>
      </c>
      <c r="LD68" s="152">
        <f>IF(AND($AX68=1,OR($AW68="",COUNTIF($EF$10:$EJ$10,$AW68)&gt;0)),$AV68,"")</f>
        <v/>
      </c>
      <c r="LI68" s="152">
        <f>IF(OR($AW68="",COUNTIF($EF$11:$EJ$11,$AW68)&gt;0),$AV68,"")</f>
        <v/>
      </c>
      <c r="LJ68" s="152">
        <f>IF(AND($AX68=1,OR($AW68="",COUNTIF($EF$11:$EJ$11,$AW68)&gt;0)),$AV68,"")</f>
        <v/>
      </c>
      <c r="LO68" s="152">
        <f>IF(OR($AW68="",COUNTIF($EF$12:$EJ$12,$AW68)&gt;0),$AV68,"")</f>
        <v/>
      </c>
      <c r="LP68" s="152">
        <f>IF(AND($AX68=1,OR($AW68="",COUNTIF($EF$12:$EJ$12,$AW68)&gt;0)),$AV68,"")</f>
        <v/>
      </c>
      <c r="LU68" s="152">
        <f>IF(OR($AW68="",COUNTIF($EF$13:$EJ$13,$AW68)&gt;0),$AV68,"")</f>
        <v/>
      </c>
      <c r="LV68" s="152">
        <f>IF(AND($AX68=1,OR($AW68="",COUNTIF($EF$13:$EJ$13,$AW68)&gt;0)),$AV68,"")</f>
        <v/>
      </c>
      <c r="MA68" s="150" t="inlineStr">
        <is>
          <t>Ficha 6 · Especial 1</t>
        </is>
      </c>
      <c r="MB68" s="152" t="n">
        <v>6</v>
      </c>
      <c r="MC68" s="152" t="n">
        <v>1</v>
      </c>
      <c r="MD68" s="152" t="n">
        <v>1</v>
      </c>
      <c r="ME68" s="150" t="inlineStr">
        <is>
          <t>ESPECIAL 1</t>
        </is>
      </c>
      <c r="MF68" s="152">
        <f>MAX(1,MIN(7,N('INVOCAÇÕES'!$O$1048)))</f>
        <v/>
      </c>
      <c r="MG68" s="152">
        <f>'INVOCAÇÕES'!$P$1048&amp;""</f>
        <v/>
      </c>
      <c r="MH68" s="152">
        <f>'INVOCAÇÕES'!$O$1053&amp;""</f>
        <v/>
      </c>
      <c r="MI68" s="152">
        <f>'INVOCAÇÕES'!$O$1054&amp;""</f>
        <v/>
      </c>
      <c r="MJ68" s="152">
        <f>'INVOCAÇÕES'!$Q$1054&amp;""</f>
        <v/>
      </c>
      <c r="MK68" s="152">
        <f>'INVOCAÇÕES'!$P$1057&amp;""</f>
        <v/>
      </c>
      <c r="ML68" s="152">
        <f>'INVOCAÇÕES'!$P$1058&amp;""</f>
        <v/>
      </c>
      <c r="MM68" s="152">
        <f>'INVOCAÇÕES'!$P$1059&amp;""</f>
        <v/>
      </c>
      <c r="MN68" s="152">
        <f>'INVOCAÇÕES'!$P$1060&amp;""</f>
        <v/>
      </c>
      <c r="MO68" s="152">
        <f>'INVOCAÇÕES'!$P$1061&amp;""</f>
        <v/>
      </c>
      <c r="MP68" s="152">
        <f>'INVOCAÇÕES'!$P$1062&amp;""</f>
        <v/>
      </c>
      <c r="MQ68" s="152">
        <f>IF($MG68&lt;&gt;"",1,0)</f>
        <v/>
      </c>
      <c r="MR68" s="152">
        <f>INDEX($FI$2:$FI$13,$MB68)</f>
        <v/>
      </c>
      <c r="MS68" s="152">
        <f>INDEX($FJ$2:$FJ$13,$MB68)</f>
        <v/>
      </c>
      <c r="MT68" s="152">
        <f>INDEX($FK$2:$FK$13,$MB68)</f>
        <v/>
      </c>
      <c r="MU68" s="152">
        <f>INDEX($FV$2:$FV$13,$MB68)</f>
        <v/>
      </c>
      <c r="MV68" s="152">
        <f>INDEX($FW$2:$FW$13,$MB68)</f>
        <v/>
      </c>
      <c r="MW68" s="152">
        <f>IFERROR(MATCH($MH68,$V$2:$V$11,0),0)</f>
        <v/>
      </c>
      <c r="MX68" s="152">
        <f>IFERROR(VLOOKUP($MK68,$AV$2:$BA$84,2,FALSE),"")</f>
        <v/>
      </c>
      <c r="MY68" s="152">
        <f>IFERROR(VLOOKUP($ML68,$AV$2:$BA$84,2,FALSE),"")</f>
        <v/>
      </c>
      <c r="MZ68" s="152">
        <f>IFERROR(VLOOKUP($MM68,$AV$2:$BA$84,2,FALSE),"")</f>
        <v/>
      </c>
      <c r="NA68" s="152">
        <f>IFERROR(VLOOKUP($MN68,$AV$2:$BA$84,2,FALSE),"")</f>
        <v/>
      </c>
      <c r="NB68" s="152">
        <f>IFERROR(VLOOKUP($MK68,$AV$2:$BA$84,3,FALSE),0)</f>
        <v/>
      </c>
      <c r="NC68" s="152">
        <f>IFERROR(VLOOKUP($ML68,$AV$2:$BA$84,3,FALSE),0)</f>
        <v/>
      </c>
      <c r="ND68" s="152">
        <f>IFERROR(VLOOKUP($MM68,$AV$2:$BA$84,3,FALSE),0)</f>
        <v/>
      </c>
      <c r="NE68" s="152">
        <f>IFERROR(VLOOKUP($MN68,$AV$2:$BA$84,3,FALSE),0)</f>
        <v/>
      </c>
      <c r="NF68" s="152">
        <f>IF($MF68=0,0,IF($MW68=0,0,INDEX($X$2:$X$11,$MW68)))</f>
        <v/>
      </c>
      <c r="NG68" s="152">
        <f>IF(OR($NB68=0,$MF68=0),0,$NB68+3*IF(AND($MX68&lt;&gt;"",OR($MX68=INDEX($EF$2:$EF$13,$MB68),$MX68=INDEX($EG$2:$EG$13,$MB68))),1,0))</f>
        <v/>
      </c>
      <c r="NH68" s="152">
        <f>IF(OR($NC68=0,$MF68=0),0,$NC68+3*IF(AND($MY68&lt;&gt;"",OR($MY68=INDEX($EF$2:$EF$13,$MB68),$MY68=INDEX($EG$2:$EG$13,$MB68))),1,0))</f>
        <v/>
      </c>
      <c r="NI68" s="152">
        <f>IF(OR($ND68=0,$MF68=0),0,$ND68+3*IF(AND($MZ68&lt;&gt;"",OR($MZ68=INDEX($EF$2:$EF$13,$MB68),$MZ68=INDEX($EG$2:$EG$13,$MB68))),1,0))</f>
        <v/>
      </c>
      <c r="NJ68" s="152">
        <f>IF(OR($NE68=0,$MF68=0),0,$NE68+3*IF(AND($NA68&lt;&gt;"",OR($NA68=INDEX($EF$2:$EF$13,$MB68),$NA68=INDEX($EG$2:$EG$13,$MB68))),1,0))</f>
        <v/>
      </c>
      <c r="NK68" s="152">
        <f>IF($MW68=0,0,IF(INDEX($W$2:$W$11,$MW68)="",0,IF(COUNTIF(INDEX($EF$2:$EJ$13,$MB68,0),INDEX($W$2:$W$11,$MW68))=0,1,0)))</f>
        <v/>
      </c>
      <c r="NL68" s="152">
        <f>IF(OR($NB68=0,$MX68=""),0,IF(COUNTIF(INDEX($EF$2:$EJ$13,$MB68,0),$MX68)=0,1,0))</f>
        <v/>
      </c>
      <c r="NM68" s="152">
        <f>IF(OR($NC68=0,$MY68=""),0,IF(COUNTIF(INDEX($EF$2:$EJ$13,$MB68,0),$MY68)=0,1,0))</f>
        <v/>
      </c>
      <c r="NN68" s="152">
        <f>IF(OR($ND68=0,$MZ68=""),0,IF(COUNTIF(INDEX($EF$2:$EJ$13,$MB68,0),$MZ68)=0,1,0))</f>
        <v/>
      </c>
      <c r="NO68" s="152">
        <f>IF(OR($NE68=0,$NA68=""),0,IF(COUNTIF(INDEX($EF$2:$EJ$13,$MB68,0),$NA68)=0,1,0))</f>
        <v/>
      </c>
      <c r="NP68" s="152">
        <f>IFERROR(VLOOKUP($MK68,$AV$2:$BA$84,4,FALSE),0)+IFERROR(VLOOKUP($ML68,$AV$2:$BA$84,4,FALSE),0)+IFERROR(VLOOKUP($MM68,$AV$2:$BA$84,4,FALSE),0)+IFERROR(VLOOKUP($MN68,$AV$2:$BA$84,4,FALSE),0)</f>
        <v/>
      </c>
      <c r="NQ68" s="152">
        <f>IFERROR(VLOOKUP($MK68,$AV$2:$BA$84,6,FALSE),0)+IFERROR(VLOOKUP($ML68,$AV$2:$BA$84,6,FALSE),0)+IFERROR(VLOOKUP($MM68,$AV$2:$BA$84,6,FALSE),0)+IFERROR(VLOOKUP($MN68,$AV$2:$BA$84,6,FALSE),0)</f>
        <v/>
      </c>
      <c r="NR68" s="152">
        <f>TEXTJOIN(", ",TRUE,IF(IFERROR(VLOOKUP($MK68,$AV$2:$BA$84,5,FALSE),0)=1,$MK68,""),IF(IFERROR(VLOOKUP($ML68,$AV$2:$BA$84,5,FALSE),0)=1,$ML68,""),IF(IFERROR(VLOOKUP($MM68,$AV$2:$BA$84,5,FALSE),0)=1,$MM68,""),IF(IFERROR(VLOOKUP($MN68,$AV$2:$BA$84,5,FALSE),0)=1,$MN68,""))</f>
        <v/>
      </c>
      <c r="NS68" s="152">
        <f>IF($MW68=0,0,INDEX($Y$2:$Y$11,$MW68))</f>
        <v/>
      </c>
      <c r="NT68" s="152">
        <f>IF($MW68=0,0,INDEX($Z$2:$Z$11,$MW68))</f>
        <v/>
      </c>
      <c r="NU68" s="152">
        <f>IF($MW68=0,0,INDEX($AB$2:$AB$11,$MW68))</f>
        <v/>
      </c>
      <c r="NV68" s="152">
        <f>IFERROR(VLOOKUP($MO68,$BC$2:$BG$24,3,FALSE),0)</f>
        <v/>
      </c>
      <c r="NW68" s="152">
        <f>IFERROR(VLOOKUP($MP68,$BC$2:$BG$24,3,FALSE),0)</f>
        <v/>
      </c>
      <c r="NX68" s="152">
        <f>IFERROR(VLOOKUP($MO68,$BC$2:$BG$24,2,FALSE),"")</f>
        <v/>
      </c>
      <c r="NY68" s="152">
        <f>IFERROR(VLOOKUP($MP68,$BC$2:$BG$24,2,FALSE),"")</f>
        <v/>
      </c>
      <c r="NZ68" s="152">
        <f>COUNTIF($NF68:$NJ68,1)</f>
        <v/>
      </c>
      <c r="OA68" s="152">
        <f>COUNTIF($NF68:$NJ68,2)</f>
        <v/>
      </c>
      <c r="OB68" s="152">
        <f>COUNTIF($NF68:$NJ68,3)</f>
        <v/>
      </c>
      <c r="OC68" s="152">
        <f>COUNTIF($NF68:$NJ68,4)</f>
        <v/>
      </c>
      <c r="OD68" s="152">
        <f>COUNTIF($NF68:$NJ68,5)</f>
        <v/>
      </c>
      <c r="OE68" s="152">
        <f>COUNTIF($NF68:$NJ68,6)</f>
        <v/>
      </c>
      <c r="OF68" s="152">
        <f>COUNTIF($NV68:$NW68,1)</f>
        <v/>
      </c>
      <c r="OG68" s="152">
        <f>COUNTIF($NV68:$NW68,2)+$NS68</f>
        <v/>
      </c>
      <c r="OH68" s="152">
        <f>COUNTIF($MK68:$MN68,"?*")</f>
        <v/>
      </c>
      <c r="OI68" s="152">
        <f>COUNTIF($MO68:$MP68,"?*")+$NS68</f>
        <v/>
      </c>
      <c r="OJ68" s="152">
        <f>IF($MF68=0,0,SUMPRODUCT($NZ68:$OE68,INDEX($I$2:$N$8,MAX(1,$MF68),0)))</f>
        <v/>
      </c>
      <c r="OK68" s="152">
        <f>IF($MF68=0,0,$OF68*CEILING($MF68/2,1)+$OG68*$MF68)</f>
        <v/>
      </c>
      <c r="OL68" s="152">
        <f>MIN(2*$MF68,$OK68)</f>
        <v/>
      </c>
      <c r="OM68" s="152">
        <f>MIN($OL68,$OJ68)</f>
        <v/>
      </c>
      <c r="ON68" s="152">
        <f>$OL68-$OM68</f>
        <v/>
      </c>
      <c r="OO68" s="152">
        <f>IF($MF68=0,0,INDEX($P$2:$P$8,MAX(1,$MF68)))</f>
        <v/>
      </c>
      <c r="OP68" s="152">
        <f>$OO68-$OJ68+$OM68</f>
        <v/>
      </c>
      <c r="OQ68" s="152">
        <f>IF($MF68=0,MAX(0,$MT68-IF($OH68&gt;0,1,0)),MAX(0,$OP68))</f>
        <v/>
      </c>
      <c r="OR68" s="152">
        <f>IF($MF68=0,0,(IF(COUNTIF($MK68:$MN68,"Salto")&gt;0,1,0)+IF(COUNTIF($MK68:$MN68,"Queima")&gt;0,1,0)+IF(COUNTIF($MK68:$MN68,"Estilhaço")&gt;0,1,0))*FLOOR($OQ68/2,1))</f>
        <v/>
      </c>
      <c r="OS68" s="152">
        <f>MAX(0,2-SUMPRODUCT($NZ68:$OE68,$I$2:$N$2)+MIN(2,$OF68*1+$OG68*1,SUMPRODUCT($NZ68:$OE68,$I$2:$N$2)))</f>
        <v/>
      </c>
      <c r="OT68" s="152">
        <f>MAX(0,4-SUMPRODUCT($NZ68:$OE68,$I$3:$N$3)+MIN(4,$OF68*1+$OG68*2,SUMPRODUCT($NZ68:$OE68,$I$3:$N$3)))</f>
        <v/>
      </c>
      <c r="OU68" s="152">
        <f>MAX(0,6-SUMPRODUCT($NZ68:$OE68,$I$4:$N$4)+MIN(6,$OF68*2+$OG68*3,SUMPRODUCT($NZ68:$OE68,$I$4:$N$4)))</f>
        <v/>
      </c>
      <c r="OV68" s="152">
        <f>MAX(0,9-SUMPRODUCT($NZ68:$OE68,$I$5:$N$5)+MIN(8,$OF68*2+$OG68*4,SUMPRODUCT($NZ68:$OE68,$I$5:$N$5)))</f>
        <v/>
      </c>
      <c r="OW68" s="152">
        <f>MAX(0,11-SUMPRODUCT($NZ68:$OE68,$I$6:$N$6)+MIN(10,$OF68*3+$OG68*5,SUMPRODUCT($NZ68:$OE68,$I$6:$N$6)))</f>
        <v/>
      </c>
      <c r="OX68" s="152">
        <f>MAX(0,13-SUMPRODUCT($NZ68:$OE68,$I$7:$N$7)+MIN(12,$OF68*3+$OG68*6,SUMPRODUCT($NZ68:$OE68,$I$7:$N$7)))</f>
        <v/>
      </c>
      <c r="OY68" s="152">
        <f>MAX(0,16-SUMPRODUCT($NZ68:$OE68,$I$8:$N$8)+MIN(14,$OF68*4+$OG68*7,SUMPRODUCT($NZ68:$OE68,$I$8:$N$8)))</f>
        <v/>
      </c>
      <c r="OZ68" s="152">
        <f>IF($NT68=2,3*$OS68&amp;" de vida temp.",IF($NT68=3,"sem dano",IF($OS68=0,IF($NT68=1,"sem cura","sem dano"),IF($NT68=1,"cura ","")&amp;$OS68&amp;"d8")))</f>
        <v/>
      </c>
      <c r="PA68" s="152">
        <f>IF($NT68=2,3*$OT68&amp;" de vida temp.",IF($NT68=3,"sem dano",IF($OT68=0,IF($NT68=1,"sem cura","sem dano"),IF($NT68=1,"cura ","")&amp;$OT68&amp;"d8")))</f>
        <v/>
      </c>
      <c r="PB68" s="152">
        <f>IF($NT68=2,3*$OU68&amp;" de vida temp.",IF($NT68=3,"sem dano",IF($OU68=0,IF($NT68=1,"sem cura","sem dano"),IF($NT68=1,"cura ","")&amp;$OU68&amp;"d8")))</f>
        <v/>
      </c>
      <c r="PC68" s="152">
        <f>IF($NT68=2,3*$OV68&amp;" de vida temp.",IF($NT68=3,"sem dano",IF($OV68=0,IF($NT68=1,"sem cura","sem dano"),IF($NT68=1,"cura ","")&amp;$OV68&amp;"d8")))</f>
        <v/>
      </c>
      <c r="PD68" s="152">
        <f>IF($NT68=2,3*$OW68&amp;" de vida temp.",IF($NT68=3,"sem dano",IF($OW68=0,IF($NT68=1,"sem cura","sem dano"),IF($NT68=1,"cura ","")&amp;$OW68&amp;"d8")))</f>
        <v/>
      </c>
      <c r="PE68" s="152">
        <f>IF($NT68=2,3*$OX68&amp;" de vida temp.",IF($NT68=3,"sem dano",IF($OX68=0,IF($NT68=1,"sem cura","sem dano"),IF($NT68=1,"cura ","")&amp;$OX68&amp;"d8")))</f>
        <v/>
      </c>
      <c r="PF68" s="152">
        <f>IF($NT68=2,3*$OY68&amp;" de vida temp.",IF($NT68=3,"sem dano",IF($OY68=0,IF($NT68=1,"sem cura","sem dano"),IF($NT68=1,"cura ","")&amp;$OY68&amp;"d8")))</f>
        <v/>
      </c>
      <c r="PG68" s="152">
        <f>IF($MQ68=0,"",TEXTJOIN(" · ",TRUE,IF($MD68&gt;$MR68,"Este lugar abre no nível "&amp;$MD68,""),IF($MF68&gt;$MS68,"Classe "&amp;$MF68&amp;": o nível "&amp;$MR68&amp;" libera até a "&amp;$MS68,""),IF($NK68=1,"A Forma "&amp;$MH68&amp;" pede "&amp;INDEX($W$2:$W$11,$MW68)&amp;" aberta",""),IF(AND($MF68=0,$MW68&gt;0,IF($MW68=0,0,INDEX($AF$2:$AF$11,$MW68))=0),$MH68&amp;" não existe na Classe 0",""),IF($NL68=1,"Família Fechada: "&amp;$MK68,""),IF($NM68=1,"Família Fechada: "&amp;$ML68,""),IF($NN68=1,"Família Fechada: "&amp;$MM68,""),IF($NO68=1,"Família Fechada: "&amp;$MN68,""),IF(AND($MF68&gt;0,$OH68&gt;INDEX($O$2:$O$8,MAX(1,$MF68))),$OH68&amp;" Melhorias: a Classe "&amp;$MF68&amp;" aceita "&amp;INDEX($O$2:$O$8,MAX(1,$MF68)),""),IF(AND($MF68=0,$OH68&gt;1),"A básica aceita uma Melhoria",""),IF(AND($MF68=0,COUNTIF($NB68:$NE68,"&gt;1")&gt;0),"A básica só aceita Melhoria Leve",""),IF(AND($MF68&gt;0,$OI68&gt;2),$OI68&amp;" Restrições"&amp;IF($NS68=1,", contando a que a Forma "&amp;$MH68&amp;" já traz","")&amp;": o limite é 2",""),IF(AND($MF68=0,COUNTIF($MO68:$MP68,"?*")&gt;1),"A básica aceita uma Restrição Leve",""),IF(AND($MF68=0,COUNTIF($NV68:$NW68,2)&gt;0),"A básica só aceita Restrição Leve",""),IF(AND($MF68&gt;0,$OP68&lt;0),"Orçamento estourado: faltam "&amp;(-$OP68)&amp;IF($OP68&lt;-1," pontos"," ponto"),""),IF(IFERROR(VLOOKUP($MO68,$BC$2:$BG$24,4,FALSE),0)+IFERROR(VLOOKUP($MP68,$BC$2:$BG$24,4,FALSE),0)&gt;1,$NX68&amp;" e "&amp;$NY68&amp;" são as duas de frequência",""),IF(AND((COUNTIF($MK68:$MN68,"Rápido")+COUNTIF($NX68:$NY68,"Rápido"))&gt;0,(COUNTIF($MK68:$MN68,"Atrasar")+COUNTIF($NX68:$NY68,"Atrasar"))&gt;0),"Rápido não entra com Atrasar",""),IF(AND((COUNTIF($MK68:$MN68,"Reação")+COUNTIF($NX68:$NY68,"Reação"))&gt;0,(COUNTIF($MK68:$MN68,"Rápido")+COUNTIF($NX68:$NY68,"Rápido"))&gt;0),"Reação não entra com Rápido",""),IF(AND((COUNTIF($MK68:$MN68,"Reação")+COUNTIF($NX68:$NY68,"Reação"))&gt;0,(COUNTIF($MK68:$MN68,"Armado")+COUNTIF($NX68:$NY68,"Armado"))&gt;0),"Reação não entra com Armado",""),IF(AND((COUNTIF($MK68:$MN68,"Reação")+COUNTIF($NX68:$NY68,"Reação"))&gt;0,(COUNTIF($MK68:$MN68,"Atrasar")+COUNTIF($NX68:$NY68,"Atrasar"))&gt;0),"Reação não entra com Atrasar",""),IF(AND((COUNTIF($MK68:$MN68,"Reação")+COUNTIF($NX68:$NY68,"Reação"))&gt;0,(COUNTIF($MK68:$MN68,"Parado")+COUNTIF($NX68:$NY68,"Parado"))&gt;0),"Reação não entra com Parado",""),IF(AND((COUNTIF($MK68:$MN68,"Atrasar")+COUNTIF($NX68:$NY68,"Atrasar"))&gt;0,(COUNTIF($MK68:$MN68,"Parado")+COUNTIF($NX68:$NY68,"Parado"))&gt;0),"Atrasar não entra com Parado",""),IF(AND((COUNTIF($MK68:$MN68,"Armado")+COUNTIF($NX68:$NY68,"Armado"))&gt;0,(COUNTIF($MK68:$MN68,"Carregar")+COUNTIF($NX68:$NY68,"Carregar"))&gt;0),"Armado não entra com Carregar",""),IF(AND(COUNTIF($NX68:$NY68,"Corpo a Corpo")&gt;0,$NS68=0,OR($MH68="Cone",$MH68="Linha")),"Corpo a Corpo não entra em "&amp;$MH68,""),IF(AND(COUNTIF($NX68:$NY68,"Corpo a Corpo")&gt;0,$NS68=1),"A Forma "&amp;$MH68&amp;" já traz o Corpo a Corpo",""),IF(AND(COUNTIF($NX68:$NY68,"Tudo ou Nada")&gt;0,$NU68=0),"Tudo ou Nada só entra em habilidade de Teste de Resistência",""),IF(AND(COUNTIF($MK68:$MN68,"Inescapável")&gt;0,OR($OH68&gt;1,$OI68&gt;0)),"Inescapável não aceita outra peça",""),IF(AND($MF68&gt;0,$OQ68*IF(COUNTIF($MK68:$MN68,"Remate")&gt;0,1.25,1)+$OR68&gt;4*$MF68),($OQ68*IF(COUNTIF($MK68:$MN68,"Remate")&gt;0,1.25,1)+$OR68)&amp;" dados somando repetições"&amp;IF(COUNTIF($MK68:$MN68,"Remate")&gt;0," e o Remate","")&amp;": o teto da Classe "&amp;$MF68&amp;" é "&amp;4*$MF68,"")))</f>
        <v/>
      </c>
      <c r="PH68" s="152">
        <f>IF($PG68="",0,(LEN($PG68)-LEN(SUBSTITUTE($PG68," · ","")))/3+1)</f>
        <v/>
      </c>
      <c r="PI68" s="152">
        <f>IF($MQ68=0,"",TEXTJOIN(" · ",TRUE,IF($OK68&gt;2*$MF68,"A devolução parou no teto de "&amp;2*$MF68,""),IF($ON68&gt;0,"Devolução perdida: "&amp;$ON68&amp;IF($ON68&gt;1," pontos"," ponto")&amp;" sem peça para pagar",""),IF(AND($NP68&gt;0,AND($MF68&gt;0,$NT68=0),$OQ68=0),"Controle sem dano: uma rodada a mais e CD +2",""),IF(AND($NP68&gt;0,AND($MF68&gt;0,$NT68=0),$OQ68&gt;0,$OQ68&lt;=$MF68),"Controle com saldo até a Classe: uma rodada a mais",""),IF(AND($MF68&gt;0,$NR68&lt;&gt;""),"Efeito de "&amp;$NR68&amp;" pela Classe "&amp;MAX(1,$MF68-1),"")))</f>
        <v/>
      </c>
      <c r="PJ68" s="152">
        <f>IF($PI68="",0,(LEN($PI68)-LEN(SUBSTITUTE($PI68," · ","")))/3+1)</f>
        <v/>
      </c>
      <c r="PK68" s="152">
        <f>IF($MQ68=0,IF($OH68+COUNTIF($MO68:$MP68,"?*")&gt;0,"Dê um nome",""),IF($PH68&gt;0,"⚠ "&amp;$PH68&amp;IF($PH68&gt;1," erros"," erro"),IF($PJ68&gt;0,"! "&amp;$PJ68&amp;IF($PJ68&gt;1," avisos"," aviso"),"Na regra")))</f>
        <v/>
      </c>
      <c r="PL68" s="152">
        <f>IF($MQ68=0,"",IF($PH68+$PJ68=0,"Dentro das regras que a ficha confere",$PG68&amp;IF(AND($PH68&gt;0,$PJ68&gt;0)," · ","")&amp;$PI68))</f>
        <v/>
      </c>
      <c r="PM68" s="152">
        <f>IF($MD68&gt;$MR68,$ME68&amp;" · ABRE NO NÍVEL "&amp;$MD68,$ME68)</f>
        <v/>
      </c>
      <c r="PN68" s="152">
        <f>IF($MQ68=0,"",IF($MF68=0,"Sem PE",3*$MF68&amp;" PE"))</f>
        <v/>
      </c>
      <c r="PO68" s="152">
        <f>IF($MQ68=0,"",IF($MF68=0,"A atuação básica dela",IF(COUNTIF($NX68:$NY68,"Atrasar")&gt;0,"Sua Ação Completa",IF(COUNTIF($MK68:$MN68,"Rápido")&gt;0,"Sua Bônus",IF(COUNTIF($MK68:$MN68,"Reação")&gt;0,"Sua Reação","Sua Padrão")))&amp;" + a básica dela"&amp;IF(COUNTIF($MK68:$MN68,"Reação")&gt;0," e a coletiva","")&amp;IF(COUNTIF($NX68:$NY68,"Carregar")&gt;0," · em dois turnos","")))</f>
        <v/>
      </c>
      <c r="PP68" s="152">
        <f>IF($MJ68&lt;&gt;"",$MJ68,IF($MW68=0,"",INDEX($AA$2:$AA$11,$MW68)))</f>
        <v/>
      </c>
      <c r="PQ68" s="152">
        <f>IF(OR($MQ68=0,$MW68=0),"",IF(COUNTIF($MK68:$MN68,"Inescapável")&gt;0,"Automático",IF($PP68="Ataque",IF($MU68="","Ataque","Ataque "&amp;IF(($MU68+2*IF(COUNTIF($MK68:$MN68,"Precisão")&gt;0,1,0))&gt;=0,"+","−")&amp;ABS(($MU68+2*IF(COUNTIF($MK68:$MN68,"Precisão")&gt;0,1,0))))&amp;IF($NQ68&gt;0," · TR"&amp;IF($MV68="",""," CD "&amp;$MV68),""),IF(LEFT($PP68,2)="TR",$PP68&amp;IF($MV68="",""," · CD "&amp;$MV68)&amp;IF(COUNTIF($MK68:$MN68,"Certeiro")&gt;0," · metade",""),"Sem rolagem"))))</f>
        <v/>
      </c>
      <c r="PR68" s="152">
        <f>IF(OR($MQ68=0,$MW68=0),"",IF($MF68=0,IF(OR($NT68&gt;=1,$OQ68=0),"Sem dano",$OQ68&amp;"d6"&amp;IF($MI68="",""," "&amp;$MI68)),IF(OR($NT68&gt;=1,$OQ68=0),UPPER(LEFT(INDEX($OZ68:$PF68,1,MAX(1,$MF68)),1))&amp;MID(INDEX($OZ68:$PF68,1,MAX(1,$MF68)),2,99),UPPER(LEFT(INDEX($OZ68:$PF68,1,MAX(1,$MF68)),1))&amp;MID(INDEX($OZ68:$PF68,1,MAX(1,$MF68)),2,99)&amp;IF($MI68="",""," "&amp;$MI68)&amp;IF($OR68&gt;0," · +"&amp;$OR68&amp;"d8",""))))</f>
        <v/>
      </c>
      <c r="PS68" s="152">
        <f>COUNTIF($MK68:$MN68,"Longe")+3*COUNTIF($MK68:$MN68,"Muito Longe")</f>
        <v/>
      </c>
      <c r="PT68" s="152">
        <f>COUNTIF($MK68:$MN68,"Maior")+3*COUNTIF($MK68:$MN68,"Muito Maior")</f>
        <v/>
      </c>
      <c r="PU68" s="152">
        <f>IF($MW68=0,0,CHOOSE(1+INDEX($AC$2:$AC$11,$MW68),0,$PS68,$PT68,$PS68+$PT68))</f>
        <v/>
      </c>
      <c r="PV68" s="152">
        <f>IF($MW68=0,0,CHOOSE(1+INDEX($AD$2:$AD$11,$MW68),0,$PS68,$PT68,$PS68+$PT68))</f>
        <v/>
      </c>
      <c r="PW68" s="152">
        <f>IF(OR($MQ68=0,$MW68=0),"",INDEX($AI$2:$AN$41,($MW68-1)*4+IF($MF68=0,1,IF($MF68&lt;=5,2,IF($MF68=6,3,4))),1+MIN(5,$PU68))&amp;INDEX($AO$2:$AT$41,($MW68-1)*4+IF($MF68=0,1,IF($MF68&lt;=5,2,IF($MF68=6,3,4))),1+MIN(5,$PV68))&amp;IF(INDEX($AE$2:$AE$11,$MW68)=1,IF(COUNTIF($MK68:$MN68,"Mais Um")&gt;0," · +"&amp;COUNTIF($MK68:$MN68,"Mais Um")&amp;IF(COUNTIF($MK68:$MN68,"Mais Um")&gt;1," alvos"," alvo"),"")&amp;IF(COUNTIF($MK68:$MN68,"Rajada")&gt;0,IF($MF68=0," · 1 tiro"," · "&amp;(MAX(1,$MF68-1)+1)&amp;" tiros"),""),""))</f>
        <v/>
      </c>
      <c r="PX68" s="152">
        <f>IF($MQ68=0,"",IF($MF68=0,$MT68&amp;"d6"&amp;IF($OH68&gt;0," − 1 = "&amp;$OQ68&amp;"d6"," da básica do nível "&amp;$MR68),$OO68&amp;" − "&amp;$OJ68&amp;" + "&amp;$OM68&amp;" = "&amp;$OP68&amp;" · teto "&amp;4*$MF68&amp;"d8"&amp;IF($NS68=1," · a Forma devolve "&amp;$MF68,"")&amp;IF($ON68&gt;0," · perde "&amp;$ON68,"")))</f>
        <v/>
      </c>
      <c r="PY68" s="152">
        <f>IF($MQ68=0,"",IF($MF68=0,"A básica não amplia: os dados dela sobem com o nível",IF($MF68&gt;=$MS68,"Já está na maior Classe que o nível liberou",TEXTJOIN(" · ",TRUE,IF(AND(2&gt;$MF68,2&lt;=$MS68),"2 → "&amp;$PA68&amp;", 6 PE",""),IF(AND(3&gt;$MF68,3&lt;=$MS68),"3 → "&amp;$PB68&amp;", 9 PE",""),IF(AND(4&gt;$MF68,4&lt;=$MS68),"4 → "&amp;$PC68&amp;", 12 PE",""),IF(AND(5&gt;$MF68,5&lt;=$MS68),"5 → "&amp;$PD68&amp;", 15 PE",""),IF(AND(6&gt;$MF68,6&lt;=$MS68),"6 → "&amp;$PE68&amp;", 18 PE",""),IF(AND(7&gt;$MF68,7&lt;=$MS68),"7 → "&amp;$PF68&amp;", 21 PE","")))))</f>
        <v/>
      </c>
      <c r="PZ68" s="152">
        <f>IF(OR($MQ68=0,$NB68=0),"",IF($MF68=0,"−1 dado","−"&amp;INDEX($I$2:$N$8,MAX(1,$MF68),MAX(1,$NG68))&amp;" · "&amp;CHOOSE(MAX(1,$NG68),"Leve","Média","Pesada","Leve · Livre","Média · Livre","Pesada · Livre")))</f>
        <v/>
      </c>
      <c r="QA68" s="152">
        <f>IF(OR($MQ68=0,$NC68=0),"",IF($MF68=0,"−1 dado","−"&amp;INDEX($I$2:$N$8,MAX(1,$MF68),MAX(1,$NH68))&amp;" · "&amp;CHOOSE(MAX(1,$NH68),"Leve","Média","Pesada","Leve · Livre","Média · Livre","Pesada · Livre")))</f>
        <v/>
      </c>
      <c r="QB68" s="152">
        <f>IF(OR($MQ68=0,$ND68=0),"",IF($MF68=0,"−1 dado","−"&amp;INDEX($I$2:$N$8,MAX(1,$MF68),MAX(1,$NI68))&amp;" · "&amp;CHOOSE(MAX(1,$NI68),"Leve","Média","Pesada","Leve · Livre","Média · Livre","Pesada · Livre")))</f>
        <v/>
      </c>
      <c r="QC68" s="152">
        <f>IF(OR($MQ68=0,$NE68=0),"",IF($MF68=0,"−1 dado","−"&amp;INDEX($I$2:$N$8,MAX(1,$MF68),MAX(1,$NJ68))&amp;" · "&amp;CHOOSE(MAX(1,$NJ68),"Leve","Média","Pesada","Leve · Livre","Média · Livre","Pesada · Livre")))</f>
        <v/>
      </c>
      <c r="QD68" s="152">
        <f>IF(OR($MQ68=0,$MO68=""),"",IF($MF68=0,"não devolve","+"&amp;IF($NV68=1,CEILING($MF68/2,1),$MF68)))</f>
        <v/>
      </c>
      <c r="QE68" s="152">
        <f>IF(OR($MQ68=0,$MP68=""),"",IF($MF68=0,"não devolve","+"&amp;IF($NW68=1,CEILING($MF68/2,1),$MF68)))</f>
        <v/>
      </c>
    </row>
    <row r="69">
      <c r="AV69" s="150" t="inlineStr">
        <is>
          <t>Alvo de Caça</t>
        </is>
      </c>
      <c r="AW69" s="150" t="inlineStr">
        <is>
          <t>Marca</t>
        </is>
      </c>
      <c r="AX69" s="152" t="n">
        <v>1</v>
      </c>
      <c r="AY69" s="152" t="n">
        <v>0</v>
      </c>
      <c r="AZ69" s="152" t="n">
        <v>0</v>
      </c>
      <c r="BA69" s="152" t="n">
        <v>0</v>
      </c>
      <c r="JG69" s="152">
        <f>IF(OR($AW69="",COUNTIF($EF$2:$EJ$2,$AW69)&gt;0),$AV69,"")</f>
        <v/>
      </c>
      <c r="JH69" s="152">
        <f>IF(AND($AX69=1,OR($AW69="",COUNTIF($EF$2:$EJ$2,$AW69)&gt;0)),$AV69,"")</f>
        <v/>
      </c>
      <c r="JM69" s="152">
        <f>IF(OR($AW69="",COUNTIF($EF$3:$EJ$3,$AW69)&gt;0),$AV69,"")</f>
        <v/>
      </c>
      <c r="JN69" s="152">
        <f>IF(AND($AX69=1,OR($AW69="",COUNTIF($EF$3:$EJ$3,$AW69)&gt;0)),$AV69,"")</f>
        <v/>
      </c>
      <c r="JS69" s="152">
        <f>IF(OR($AW69="",COUNTIF($EF$4:$EJ$4,$AW69)&gt;0),$AV69,"")</f>
        <v/>
      </c>
      <c r="JT69" s="152">
        <f>IF(AND($AX69=1,OR($AW69="",COUNTIF($EF$4:$EJ$4,$AW69)&gt;0)),$AV69,"")</f>
        <v/>
      </c>
      <c r="JY69" s="152">
        <f>IF(OR($AW69="",COUNTIF($EF$5:$EJ$5,$AW69)&gt;0),$AV69,"")</f>
        <v/>
      </c>
      <c r="JZ69" s="152">
        <f>IF(AND($AX69=1,OR($AW69="",COUNTIF($EF$5:$EJ$5,$AW69)&gt;0)),$AV69,"")</f>
        <v/>
      </c>
      <c r="KE69" s="152">
        <f>IF(OR($AW69="",COUNTIF($EF$6:$EJ$6,$AW69)&gt;0),$AV69,"")</f>
        <v/>
      </c>
      <c r="KF69" s="152">
        <f>IF(AND($AX69=1,OR($AW69="",COUNTIF($EF$6:$EJ$6,$AW69)&gt;0)),$AV69,"")</f>
        <v/>
      </c>
      <c r="KK69" s="152">
        <f>IF(OR($AW69="",COUNTIF($EF$7:$EJ$7,$AW69)&gt;0),$AV69,"")</f>
        <v/>
      </c>
      <c r="KL69" s="152">
        <f>IF(AND($AX69=1,OR($AW69="",COUNTIF($EF$7:$EJ$7,$AW69)&gt;0)),$AV69,"")</f>
        <v/>
      </c>
      <c r="KQ69" s="152">
        <f>IF(OR($AW69="",COUNTIF($EF$8:$EJ$8,$AW69)&gt;0),$AV69,"")</f>
        <v/>
      </c>
      <c r="KR69" s="152">
        <f>IF(AND($AX69=1,OR($AW69="",COUNTIF($EF$8:$EJ$8,$AW69)&gt;0)),$AV69,"")</f>
        <v/>
      </c>
      <c r="KW69" s="152">
        <f>IF(OR($AW69="",COUNTIF($EF$9:$EJ$9,$AW69)&gt;0),$AV69,"")</f>
        <v/>
      </c>
      <c r="KX69" s="152">
        <f>IF(AND($AX69=1,OR($AW69="",COUNTIF($EF$9:$EJ$9,$AW69)&gt;0)),$AV69,"")</f>
        <v/>
      </c>
      <c r="LC69" s="152">
        <f>IF(OR($AW69="",COUNTIF($EF$10:$EJ$10,$AW69)&gt;0),$AV69,"")</f>
        <v/>
      </c>
      <c r="LD69" s="152">
        <f>IF(AND($AX69=1,OR($AW69="",COUNTIF($EF$10:$EJ$10,$AW69)&gt;0)),$AV69,"")</f>
        <v/>
      </c>
      <c r="LI69" s="152">
        <f>IF(OR($AW69="",COUNTIF($EF$11:$EJ$11,$AW69)&gt;0),$AV69,"")</f>
        <v/>
      </c>
      <c r="LJ69" s="152">
        <f>IF(AND($AX69=1,OR($AW69="",COUNTIF($EF$11:$EJ$11,$AW69)&gt;0)),$AV69,"")</f>
        <v/>
      </c>
      <c r="LO69" s="152">
        <f>IF(OR($AW69="",COUNTIF($EF$12:$EJ$12,$AW69)&gt;0),$AV69,"")</f>
        <v/>
      </c>
      <c r="LP69" s="152">
        <f>IF(AND($AX69=1,OR($AW69="",COUNTIF($EF$12:$EJ$12,$AW69)&gt;0)),$AV69,"")</f>
        <v/>
      </c>
      <c r="LU69" s="152">
        <f>IF(OR($AW69="",COUNTIF($EF$13:$EJ$13,$AW69)&gt;0),$AV69,"")</f>
        <v/>
      </c>
      <c r="LV69" s="152">
        <f>IF(AND($AX69=1,OR($AW69="",COUNTIF($EF$13:$EJ$13,$AW69)&gt;0)),$AV69,"")</f>
        <v/>
      </c>
      <c r="MA69" s="150" t="inlineStr">
        <is>
          <t>Ficha 6 · Especial 2</t>
        </is>
      </c>
      <c r="MB69" s="152" t="n">
        <v>6</v>
      </c>
      <c r="MC69" s="152" t="n">
        <v>1</v>
      </c>
      <c r="MD69" s="152" t="n">
        <v>4</v>
      </c>
      <c r="ME69" s="150" t="inlineStr">
        <is>
          <t>ESPECIAL 2</t>
        </is>
      </c>
      <c r="MF69" s="152">
        <f>MAX(1,MIN(7,N('INVOCAÇÕES'!$U$1048)))</f>
        <v/>
      </c>
      <c r="MG69" s="152">
        <f>'INVOCAÇÕES'!$V$1048&amp;""</f>
        <v/>
      </c>
      <c r="MH69" s="152">
        <f>'INVOCAÇÕES'!$U$1053&amp;""</f>
        <v/>
      </c>
      <c r="MI69" s="152">
        <f>'INVOCAÇÕES'!$U$1054&amp;""</f>
        <v/>
      </c>
      <c r="MJ69" s="152">
        <f>'INVOCAÇÕES'!$W$1054&amp;""</f>
        <v/>
      </c>
      <c r="MK69" s="152">
        <f>'INVOCAÇÕES'!$V$1057&amp;""</f>
        <v/>
      </c>
      <c r="ML69" s="152">
        <f>'INVOCAÇÕES'!$V$1058&amp;""</f>
        <v/>
      </c>
      <c r="MM69" s="152">
        <f>'INVOCAÇÕES'!$V$1059&amp;""</f>
        <v/>
      </c>
      <c r="MN69" s="152">
        <f>'INVOCAÇÕES'!$V$1060&amp;""</f>
        <v/>
      </c>
      <c r="MO69" s="152">
        <f>'INVOCAÇÕES'!$V$1061&amp;""</f>
        <v/>
      </c>
      <c r="MP69" s="152">
        <f>'INVOCAÇÕES'!$V$1062&amp;""</f>
        <v/>
      </c>
      <c r="MQ69" s="152">
        <f>IF($MG69&lt;&gt;"",1,0)</f>
        <v/>
      </c>
      <c r="MR69" s="152">
        <f>INDEX($FI$2:$FI$13,$MB69)</f>
        <v/>
      </c>
      <c r="MS69" s="152">
        <f>INDEX($FJ$2:$FJ$13,$MB69)</f>
        <v/>
      </c>
      <c r="MT69" s="152">
        <f>INDEX($FK$2:$FK$13,$MB69)</f>
        <v/>
      </c>
      <c r="MU69" s="152">
        <f>INDEX($FV$2:$FV$13,$MB69)</f>
        <v/>
      </c>
      <c r="MV69" s="152">
        <f>INDEX($FW$2:$FW$13,$MB69)</f>
        <v/>
      </c>
      <c r="MW69" s="152">
        <f>IFERROR(MATCH($MH69,$V$2:$V$11,0),0)</f>
        <v/>
      </c>
      <c r="MX69" s="152">
        <f>IFERROR(VLOOKUP($MK69,$AV$2:$BA$84,2,FALSE),"")</f>
        <v/>
      </c>
      <c r="MY69" s="152">
        <f>IFERROR(VLOOKUP($ML69,$AV$2:$BA$84,2,FALSE),"")</f>
        <v/>
      </c>
      <c r="MZ69" s="152">
        <f>IFERROR(VLOOKUP($MM69,$AV$2:$BA$84,2,FALSE),"")</f>
        <v/>
      </c>
      <c r="NA69" s="152">
        <f>IFERROR(VLOOKUP($MN69,$AV$2:$BA$84,2,FALSE),"")</f>
        <v/>
      </c>
      <c r="NB69" s="152">
        <f>IFERROR(VLOOKUP($MK69,$AV$2:$BA$84,3,FALSE),0)</f>
        <v/>
      </c>
      <c r="NC69" s="152">
        <f>IFERROR(VLOOKUP($ML69,$AV$2:$BA$84,3,FALSE),0)</f>
        <v/>
      </c>
      <c r="ND69" s="152">
        <f>IFERROR(VLOOKUP($MM69,$AV$2:$BA$84,3,FALSE),0)</f>
        <v/>
      </c>
      <c r="NE69" s="152">
        <f>IFERROR(VLOOKUP($MN69,$AV$2:$BA$84,3,FALSE),0)</f>
        <v/>
      </c>
      <c r="NF69" s="152">
        <f>IF($MF69=0,0,IF($MW69=0,0,INDEX($X$2:$X$11,$MW69)))</f>
        <v/>
      </c>
      <c r="NG69" s="152">
        <f>IF(OR($NB69=0,$MF69=0),0,$NB69+3*IF(AND($MX69&lt;&gt;"",OR($MX69=INDEX($EF$2:$EF$13,$MB69),$MX69=INDEX($EG$2:$EG$13,$MB69))),1,0))</f>
        <v/>
      </c>
      <c r="NH69" s="152">
        <f>IF(OR($NC69=0,$MF69=0),0,$NC69+3*IF(AND($MY69&lt;&gt;"",OR($MY69=INDEX($EF$2:$EF$13,$MB69),$MY69=INDEX($EG$2:$EG$13,$MB69))),1,0))</f>
        <v/>
      </c>
      <c r="NI69" s="152">
        <f>IF(OR($ND69=0,$MF69=0),0,$ND69+3*IF(AND($MZ69&lt;&gt;"",OR($MZ69=INDEX($EF$2:$EF$13,$MB69),$MZ69=INDEX($EG$2:$EG$13,$MB69))),1,0))</f>
        <v/>
      </c>
      <c r="NJ69" s="152">
        <f>IF(OR($NE69=0,$MF69=0),0,$NE69+3*IF(AND($NA69&lt;&gt;"",OR($NA69=INDEX($EF$2:$EF$13,$MB69),$NA69=INDEX($EG$2:$EG$13,$MB69))),1,0))</f>
        <v/>
      </c>
      <c r="NK69" s="152">
        <f>IF($MW69=0,0,IF(INDEX($W$2:$W$11,$MW69)="",0,IF(COUNTIF(INDEX($EF$2:$EJ$13,$MB69,0),INDEX($W$2:$W$11,$MW69))=0,1,0)))</f>
        <v/>
      </c>
      <c r="NL69" s="152">
        <f>IF(OR($NB69=0,$MX69=""),0,IF(COUNTIF(INDEX($EF$2:$EJ$13,$MB69,0),$MX69)=0,1,0))</f>
        <v/>
      </c>
      <c r="NM69" s="152">
        <f>IF(OR($NC69=0,$MY69=""),0,IF(COUNTIF(INDEX($EF$2:$EJ$13,$MB69,0),$MY69)=0,1,0))</f>
        <v/>
      </c>
      <c r="NN69" s="152">
        <f>IF(OR($ND69=0,$MZ69=""),0,IF(COUNTIF(INDEX($EF$2:$EJ$13,$MB69,0),$MZ69)=0,1,0))</f>
        <v/>
      </c>
      <c r="NO69" s="152">
        <f>IF(OR($NE69=0,$NA69=""),0,IF(COUNTIF(INDEX($EF$2:$EJ$13,$MB69,0),$NA69)=0,1,0))</f>
        <v/>
      </c>
      <c r="NP69" s="152">
        <f>IFERROR(VLOOKUP($MK69,$AV$2:$BA$84,4,FALSE),0)+IFERROR(VLOOKUP($ML69,$AV$2:$BA$84,4,FALSE),0)+IFERROR(VLOOKUP($MM69,$AV$2:$BA$84,4,FALSE),0)+IFERROR(VLOOKUP($MN69,$AV$2:$BA$84,4,FALSE),0)</f>
        <v/>
      </c>
      <c r="NQ69" s="152">
        <f>IFERROR(VLOOKUP($MK69,$AV$2:$BA$84,6,FALSE),0)+IFERROR(VLOOKUP($ML69,$AV$2:$BA$84,6,FALSE),0)+IFERROR(VLOOKUP($MM69,$AV$2:$BA$84,6,FALSE),0)+IFERROR(VLOOKUP($MN69,$AV$2:$BA$84,6,FALSE),0)</f>
        <v/>
      </c>
      <c r="NR69" s="152">
        <f>TEXTJOIN(", ",TRUE,IF(IFERROR(VLOOKUP($MK69,$AV$2:$BA$84,5,FALSE),0)=1,$MK69,""),IF(IFERROR(VLOOKUP($ML69,$AV$2:$BA$84,5,FALSE),0)=1,$ML69,""),IF(IFERROR(VLOOKUP($MM69,$AV$2:$BA$84,5,FALSE),0)=1,$MM69,""),IF(IFERROR(VLOOKUP($MN69,$AV$2:$BA$84,5,FALSE),0)=1,$MN69,""))</f>
        <v/>
      </c>
      <c r="NS69" s="152">
        <f>IF($MW69=0,0,INDEX($Y$2:$Y$11,$MW69))</f>
        <v/>
      </c>
      <c r="NT69" s="152">
        <f>IF($MW69=0,0,INDEX($Z$2:$Z$11,$MW69))</f>
        <v/>
      </c>
      <c r="NU69" s="152">
        <f>IF($MW69=0,0,INDEX($AB$2:$AB$11,$MW69))</f>
        <v/>
      </c>
      <c r="NV69" s="152">
        <f>IFERROR(VLOOKUP($MO69,$BC$2:$BG$24,3,FALSE),0)</f>
        <v/>
      </c>
      <c r="NW69" s="152">
        <f>IFERROR(VLOOKUP($MP69,$BC$2:$BG$24,3,FALSE),0)</f>
        <v/>
      </c>
      <c r="NX69" s="152">
        <f>IFERROR(VLOOKUP($MO69,$BC$2:$BG$24,2,FALSE),"")</f>
        <v/>
      </c>
      <c r="NY69" s="152">
        <f>IFERROR(VLOOKUP($MP69,$BC$2:$BG$24,2,FALSE),"")</f>
        <v/>
      </c>
      <c r="NZ69" s="152">
        <f>COUNTIF($NF69:$NJ69,1)</f>
        <v/>
      </c>
      <c r="OA69" s="152">
        <f>COUNTIF($NF69:$NJ69,2)</f>
        <v/>
      </c>
      <c r="OB69" s="152">
        <f>COUNTIF($NF69:$NJ69,3)</f>
        <v/>
      </c>
      <c r="OC69" s="152">
        <f>COUNTIF($NF69:$NJ69,4)</f>
        <v/>
      </c>
      <c r="OD69" s="152">
        <f>COUNTIF($NF69:$NJ69,5)</f>
        <v/>
      </c>
      <c r="OE69" s="152">
        <f>COUNTIF($NF69:$NJ69,6)</f>
        <v/>
      </c>
      <c r="OF69" s="152">
        <f>COUNTIF($NV69:$NW69,1)</f>
        <v/>
      </c>
      <c r="OG69" s="152">
        <f>COUNTIF($NV69:$NW69,2)+$NS69</f>
        <v/>
      </c>
      <c r="OH69" s="152">
        <f>COUNTIF($MK69:$MN69,"?*")</f>
        <v/>
      </c>
      <c r="OI69" s="152">
        <f>COUNTIF($MO69:$MP69,"?*")+$NS69</f>
        <v/>
      </c>
      <c r="OJ69" s="152">
        <f>IF($MF69=0,0,SUMPRODUCT($NZ69:$OE69,INDEX($I$2:$N$8,MAX(1,$MF69),0)))</f>
        <v/>
      </c>
      <c r="OK69" s="152">
        <f>IF($MF69=0,0,$OF69*CEILING($MF69/2,1)+$OG69*$MF69)</f>
        <v/>
      </c>
      <c r="OL69" s="152">
        <f>MIN(2*$MF69,$OK69)</f>
        <v/>
      </c>
      <c r="OM69" s="152">
        <f>MIN($OL69,$OJ69)</f>
        <v/>
      </c>
      <c r="ON69" s="152">
        <f>$OL69-$OM69</f>
        <v/>
      </c>
      <c r="OO69" s="152">
        <f>IF($MF69=0,0,INDEX($P$2:$P$8,MAX(1,$MF69)))</f>
        <v/>
      </c>
      <c r="OP69" s="152">
        <f>$OO69-$OJ69+$OM69</f>
        <v/>
      </c>
      <c r="OQ69" s="152">
        <f>IF($MF69=0,MAX(0,$MT69-IF($OH69&gt;0,1,0)),MAX(0,$OP69))</f>
        <v/>
      </c>
      <c r="OR69" s="152">
        <f>IF($MF69=0,0,(IF(COUNTIF($MK69:$MN69,"Salto")&gt;0,1,0)+IF(COUNTIF($MK69:$MN69,"Queima")&gt;0,1,0)+IF(COUNTIF($MK69:$MN69,"Estilhaço")&gt;0,1,0))*FLOOR($OQ69/2,1))</f>
        <v/>
      </c>
      <c r="OS69" s="152">
        <f>MAX(0,2-SUMPRODUCT($NZ69:$OE69,$I$2:$N$2)+MIN(2,$OF69*1+$OG69*1,SUMPRODUCT($NZ69:$OE69,$I$2:$N$2)))</f>
        <v/>
      </c>
      <c r="OT69" s="152">
        <f>MAX(0,4-SUMPRODUCT($NZ69:$OE69,$I$3:$N$3)+MIN(4,$OF69*1+$OG69*2,SUMPRODUCT($NZ69:$OE69,$I$3:$N$3)))</f>
        <v/>
      </c>
      <c r="OU69" s="152">
        <f>MAX(0,6-SUMPRODUCT($NZ69:$OE69,$I$4:$N$4)+MIN(6,$OF69*2+$OG69*3,SUMPRODUCT($NZ69:$OE69,$I$4:$N$4)))</f>
        <v/>
      </c>
      <c r="OV69" s="152">
        <f>MAX(0,9-SUMPRODUCT($NZ69:$OE69,$I$5:$N$5)+MIN(8,$OF69*2+$OG69*4,SUMPRODUCT($NZ69:$OE69,$I$5:$N$5)))</f>
        <v/>
      </c>
      <c r="OW69" s="152">
        <f>MAX(0,11-SUMPRODUCT($NZ69:$OE69,$I$6:$N$6)+MIN(10,$OF69*3+$OG69*5,SUMPRODUCT($NZ69:$OE69,$I$6:$N$6)))</f>
        <v/>
      </c>
      <c r="OX69" s="152">
        <f>MAX(0,13-SUMPRODUCT($NZ69:$OE69,$I$7:$N$7)+MIN(12,$OF69*3+$OG69*6,SUMPRODUCT($NZ69:$OE69,$I$7:$N$7)))</f>
        <v/>
      </c>
      <c r="OY69" s="152">
        <f>MAX(0,16-SUMPRODUCT($NZ69:$OE69,$I$8:$N$8)+MIN(14,$OF69*4+$OG69*7,SUMPRODUCT($NZ69:$OE69,$I$8:$N$8)))</f>
        <v/>
      </c>
      <c r="OZ69" s="152">
        <f>IF($NT69=2,3*$OS69&amp;" de vida temp.",IF($NT69=3,"sem dano",IF($OS69=0,IF($NT69=1,"sem cura","sem dano"),IF($NT69=1,"cura ","")&amp;$OS69&amp;"d8")))</f>
        <v/>
      </c>
      <c r="PA69" s="152">
        <f>IF($NT69=2,3*$OT69&amp;" de vida temp.",IF($NT69=3,"sem dano",IF($OT69=0,IF($NT69=1,"sem cura","sem dano"),IF($NT69=1,"cura ","")&amp;$OT69&amp;"d8")))</f>
        <v/>
      </c>
      <c r="PB69" s="152">
        <f>IF($NT69=2,3*$OU69&amp;" de vida temp.",IF($NT69=3,"sem dano",IF($OU69=0,IF($NT69=1,"sem cura","sem dano"),IF($NT69=1,"cura ","")&amp;$OU69&amp;"d8")))</f>
        <v/>
      </c>
      <c r="PC69" s="152">
        <f>IF($NT69=2,3*$OV69&amp;" de vida temp.",IF($NT69=3,"sem dano",IF($OV69=0,IF($NT69=1,"sem cura","sem dano"),IF($NT69=1,"cura ","")&amp;$OV69&amp;"d8")))</f>
        <v/>
      </c>
      <c r="PD69" s="152">
        <f>IF($NT69=2,3*$OW69&amp;" de vida temp.",IF($NT69=3,"sem dano",IF($OW69=0,IF($NT69=1,"sem cura","sem dano"),IF($NT69=1,"cura ","")&amp;$OW69&amp;"d8")))</f>
        <v/>
      </c>
      <c r="PE69" s="152">
        <f>IF($NT69=2,3*$OX69&amp;" de vida temp.",IF($NT69=3,"sem dano",IF($OX69=0,IF($NT69=1,"sem cura","sem dano"),IF($NT69=1,"cura ","")&amp;$OX69&amp;"d8")))</f>
        <v/>
      </c>
      <c r="PF69" s="152">
        <f>IF($NT69=2,3*$OY69&amp;" de vida temp.",IF($NT69=3,"sem dano",IF($OY69=0,IF($NT69=1,"sem cura","sem dano"),IF($NT69=1,"cura ","")&amp;$OY69&amp;"d8")))</f>
        <v/>
      </c>
      <c r="PG69" s="152">
        <f>IF($MQ69=0,"",TEXTJOIN(" · ",TRUE,IF($MD69&gt;$MR69,"Este lugar abre no nível "&amp;$MD69,""),IF($MF69&gt;$MS69,"Classe "&amp;$MF69&amp;": o nível "&amp;$MR69&amp;" libera até a "&amp;$MS69,""),IF($NK69=1,"A Forma "&amp;$MH69&amp;" pede "&amp;INDEX($W$2:$W$11,$MW69)&amp;" aberta",""),IF(AND($MF69=0,$MW69&gt;0,IF($MW69=0,0,INDEX($AF$2:$AF$11,$MW69))=0),$MH69&amp;" não existe na Classe 0",""),IF($NL69=1,"Família Fechada: "&amp;$MK69,""),IF($NM69=1,"Família Fechada: "&amp;$ML69,""),IF($NN69=1,"Família Fechada: "&amp;$MM69,""),IF($NO69=1,"Família Fechada: "&amp;$MN69,""),IF(AND($MF69&gt;0,$OH69&gt;INDEX($O$2:$O$8,MAX(1,$MF69))),$OH69&amp;" Melhorias: a Classe "&amp;$MF69&amp;" aceita "&amp;INDEX($O$2:$O$8,MAX(1,$MF69)),""),IF(AND($MF69=0,$OH69&gt;1),"A básica aceita uma Melhoria",""),IF(AND($MF69=0,COUNTIF($NB69:$NE69,"&gt;1")&gt;0),"A básica só aceita Melhoria Leve",""),IF(AND($MF69&gt;0,$OI69&gt;2),$OI69&amp;" Restrições"&amp;IF($NS69=1,", contando a que a Forma "&amp;$MH69&amp;" já traz","")&amp;": o limite é 2",""),IF(AND($MF69=0,COUNTIF($MO69:$MP69,"?*")&gt;1),"A básica aceita uma Restrição Leve",""),IF(AND($MF69=0,COUNTIF($NV69:$NW69,2)&gt;0),"A básica só aceita Restrição Leve",""),IF(AND($MF69&gt;0,$OP69&lt;0),"Orçamento estourado: faltam "&amp;(-$OP69)&amp;IF($OP69&lt;-1," pontos"," ponto"),""),IF(IFERROR(VLOOKUP($MO69,$BC$2:$BG$24,4,FALSE),0)+IFERROR(VLOOKUP($MP69,$BC$2:$BG$24,4,FALSE),0)&gt;1,$NX69&amp;" e "&amp;$NY69&amp;" são as duas de frequência",""),IF(AND((COUNTIF($MK69:$MN69,"Rápido")+COUNTIF($NX69:$NY69,"Rápido"))&gt;0,(COUNTIF($MK69:$MN69,"Atrasar")+COUNTIF($NX69:$NY69,"Atrasar"))&gt;0),"Rápido não entra com Atrasar",""),IF(AND((COUNTIF($MK69:$MN69,"Reação")+COUNTIF($NX69:$NY69,"Reação"))&gt;0,(COUNTIF($MK69:$MN69,"Rápido")+COUNTIF($NX69:$NY69,"Rápido"))&gt;0),"Reação não entra com Rápido",""),IF(AND((COUNTIF($MK69:$MN69,"Reação")+COUNTIF($NX69:$NY69,"Reação"))&gt;0,(COUNTIF($MK69:$MN69,"Armado")+COUNTIF($NX69:$NY69,"Armado"))&gt;0),"Reação não entra com Armado",""),IF(AND((COUNTIF($MK69:$MN69,"Reação")+COUNTIF($NX69:$NY69,"Reação"))&gt;0,(COUNTIF($MK69:$MN69,"Atrasar")+COUNTIF($NX69:$NY69,"Atrasar"))&gt;0),"Reação não entra com Atrasar",""),IF(AND((COUNTIF($MK69:$MN69,"Reação")+COUNTIF($NX69:$NY69,"Reação"))&gt;0,(COUNTIF($MK69:$MN69,"Parado")+COUNTIF($NX69:$NY69,"Parado"))&gt;0),"Reação não entra com Parado",""),IF(AND((COUNTIF($MK69:$MN69,"Atrasar")+COUNTIF($NX69:$NY69,"Atrasar"))&gt;0,(COUNTIF($MK69:$MN69,"Parado")+COUNTIF($NX69:$NY69,"Parado"))&gt;0),"Atrasar não entra com Parado",""),IF(AND((COUNTIF($MK69:$MN69,"Armado")+COUNTIF($NX69:$NY69,"Armado"))&gt;0,(COUNTIF($MK69:$MN69,"Carregar")+COUNTIF($NX69:$NY69,"Carregar"))&gt;0),"Armado não entra com Carregar",""),IF(AND(COUNTIF($NX69:$NY69,"Corpo a Corpo")&gt;0,$NS69=0,OR($MH69="Cone",$MH69="Linha")),"Corpo a Corpo não entra em "&amp;$MH69,""),IF(AND(COUNTIF($NX69:$NY69,"Corpo a Corpo")&gt;0,$NS69=1),"A Forma "&amp;$MH69&amp;" já traz o Corpo a Corpo",""),IF(AND(COUNTIF($NX69:$NY69,"Tudo ou Nada")&gt;0,$NU69=0),"Tudo ou Nada só entra em habilidade de Teste de Resistência",""),IF(AND(COUNTIF($MK69:$MN69,"Inescapável")&gt;0,OR($OH69&gt;1,$OI69&gt;0)),"Inescapável não aceita outra peça",""),IF(AND($MF69&gt;0,$OQ69*IF(COUNTIF($MK69:$MN69,"Remate")&gt;0,1.25,1)+$OR69&gt;4*$MF69),($OQ69*IF(COUNTIF($MK69:$MN69,"Remate")&gt;0,1.25,1)+$OR69)&amp;" dados somando repetições"&amp;IF(COUNTIF($MK69:$MN69,"Remate")&gt;0," e o Remate","")&amp;": o teto da Classe "&amp;$MF69&amp;" é "&amp;4*$MF69,"")))</f>
        <v/>
      </c>
      <c r="PH69" s="152">
        <f>IF($PG69="",0,(LEN($PG69)-LEN(SUBSTITUTE($PG69," · ","")))/3+1)</f>
        <v/>
      </c>
      <c r="PI69" s="152">
        <f>IF($MQ69=0,"",TEXTJOIN(" · ",TRUE,IF($OK69&gt;2*$MF69,"A devolução parou no teto de "&amp;2*$MF69,""),IF($ON69&gt;0,"Devolução perdida: "&amp;$ON69&amp;IF($ON69&gt;1," pontos"," ponto")&amp;" sem peça para pagar",""),IF(AND($NP69&gt;0,AND($MF69&gt;0,$NT69=0),$OQ69=0),"Controle sem dano: uma rodada a mais e CD +2",""),IF(AND($NP69&gt;0,AND($MF69&gt;0,$NT69=0),$OQ69&gt;0,$OQ69&lt;=$MF69),"Controle com saldo até a Classe: uma rodada a mais",""),IF(AND($MF69&gt;0,$NR69&lt;&gt;""),"Efeito de "&amp;$NR69&amp;" pela Classe "&amp;MAX(1,$MF69-1),"")))</f>
        <v/>
      </c>
      <c r="PJ69" s="152">
        <f>IF($PI69="",0,(LEN($PI69)-LEN(SUBSTITUTE($PI69," · ","")))/3+1)</f>
        <v/>
      </c>
      <c r="PK69" s="152">
        <f>IF($MQ69=0,IF($OH69+COUNTIF($MO69:$MP69,"?*")&gt;0,"Dê um nome",""),IF($PH69&gt;0,"⚠ "&amp;$PH69&amp;IF($PH69&gt;1," erros"," erro"),IF($PJ69&gt;0,"! "&amp;$PJ69&amp;IF($PJ69&gt;1," avisos"," aviso"),"Na regra")))</f>
        <v/>
      </c>
      <c r="PL69" s="152">
        <f>IF($MQ69=0,"",IF($PH69+$PJ69=0,"Dentro das regras que a ficha confere",$PG69&amp;IF(AND($PH69&gt;0,$PJ69&gt;0)," · ","")&amp;$PI69))</f>
        <v/>
      </c>
      <c r="PM69" s="152">
        <f>IF($MD69&gt;$MR69,$ME69&amp;" · ABRE NO NÍVEL "&amp;$MD69,$ME69)</f>
        <v/>
      </c>
      <c r="PN69" s="152">
        <f>IF($MQ69=0,"",IF($MF69=0,"Sem PE",3*$MF69&amp;" PE"))</f>
        <v/>
      </c>
      <c r="PO69" s="152">
        <f>IF($MQ69=0,"",IF($MF69=0,"A atuação básica dela",IF(COUNTIF($NX69:$NY69,"Atrasar")&gt;0,"Sua Ação Completa",IF(COUNTIF($MK69:$MN69,"Rápido")&gt;0,"Sua Bônus",IF(COUNTIF($MK69:$MN69,"Reação")&gt;0,"Sua Reação","Sua Padrão")))&amp;" + a básica dela"&amp;IF(COUNTIF($MK69:$MN69,"Reação")&gt;0," e a coletiva","")&amp;IF(COUNTIF($NX69:$NY69,"Carregar")&gt;0," · em dois turnos","")))</f>
        <v/>
      </c>
      <c r="PP69" s="152">
        <f>IF($MJ69&lt;&gt;"",$MJ69,IF($MW69=0,"",INDEX($AA$2:$AA$11,$MW69)))</f>
        <v/>
      </c>
      <c r="PQ69" s="152">
        <f>IF(OR($MQ69=0,$MW69=0),"",IF(COUNTIF($MK69:$MN69,"Inescapável")&gt;0,"Automático",IF($PP69="Ataque",IF($MU69="","Ataque","Ataque "&amp;IF(($MU69+2*IF(COUNTIF($MK69:$MN69,"Precisão")&gt;0,1,0))&gt;=0,"+","−")&amp;ABS(($MU69+2*IF(COUNTIF($MK69:$MN69,"Precisão")&gt;0,1,0))))&amp;IF($NQ69&gt;0," · TR"&amp;IF($MV69="",""," CD "&amp;$MV69),""),IF(LEFT($PP69,2)="TR",$PP69&amp;IF($MV69="",""," · CD "&amp;$MV69)&amp;IF(COUNTIF($MK69:$MN69,"Certeiro")&gt;0," · metade",""),"Sem rolagem"))))</f>
        <v/>
      </c>
      <c r="PR69" s="152">
        <f>IF(OR($MQ69=0,$MW69=0),"",IF($MF69=0,IF(OR($NT69&gt;=1,$OQ69=0),"Sem dano",$OQ69&amp;"d6"&amp;IF($MI69="",""," "&amp;$MI69)),IF(OR($NT69&gt;=1,$OQ69=0),UPPER(LEFT(INDEX($OZ69:$PF69,1,MAX(1,$MF69)),1))&amp;MID(INDEX($OZ69:$PF69,1,MAX(1,$MF69)),2,99),UPPER(LEFT(INDEX($OZ69:$PF69,1,MAX(1,$MF69)),1))&amp;MID(INDEX($OZ69:$PF69,1,MAX(1,$MF69)),2,99)&amp;IF($MI69="",""," "&amp;$MI69)&amp;IF($OR69&gt;0," · +"&amp;$OR69&amp;"d8",""))))</f>
        <v/>
      </c>
      <c r="PS69" s="152">
        <f>COUNTIF($MK69:$MN69,"Longe")+3*COUNTIF($MK69:$MN69,"Muito Longe")</f>
        <v/>
      </c>
      <c r="PT69" s="152">
        <f>COUNTIF($MK69:$MN69,"Maior")+3*COUNTIF($MK69:$MN69,"Muito Maior")</f>
        <v/>
      </c>
      <c r="PU69" s="152">
        <f>IF($MW69=0,0,CHOOSE(1+INDEX($AC$2:$AC$11,$MW69),0,$PS69,$PT69,$PS69+$PT69))</f>
        <v/>
      </c>
      <c r="PV69" s="152">
        <f>IF($MW69=0,0,CHOOSE(1+INDEX($AD$2:$AD$11,$MW69),0,$PS69,$PT69,$PS69+$PT69))</f>
        <v/>
      </c>
      <c r="PW69" s="152">
        <f>IF(OR($MQ69=0,$MW69=0),"",INDEX($AI$2:$AN$41,($MW69-1)*4+IF($MF69=0,1,IF($MF69&lt;=5,2,IF($MF69=6,3,4))),1+MIN(5,$PU69))&amp;INDEX($AO$2:$AT$41,($MW69-1)*4+IF($MF69=0,1,IF($MF69&lt;=5,2,IF($MF69=6,3,4))),1+MIN(5,$PV69))&amp;IF(INDEX($AE$2:$AE$11,$MW69)=1,IF(COUNTIF($MK69:$MN69,"Mais Um")&gt;0," · +"&amp;COUNTIF($MK69:$MN69,"Mais Um")&amp;IF(COUNTIF($MK69:$MN69,"Mais Um")&gt;1," alvos"," alvo"),"")&amp;IF(COUNTIF($MK69:$MN69,"Rajada")&gt;0,IF($MF69=0," · 1 tiro"," · "&amp;(MAX(1,$MF69-1)+1)&amp;" tiros"),""),""))</f>
        <v/>
      </c>
      <c r="PX69" s="152">
        <f>IF($MQ69=0,"",IF($MF69=0,$MT69&amp;"d6"&amp;IF($OH69&gt;0," − 1 = "&amp;$OQ69&amp;"d6"," da básica do nível "&amp;$MR69),$OO69&amp;" − "&amp;$OJ69&amp;" + "&amp;$OM69&amp;" = "&amp;$OP69&amp;" · teto "&amp;4*$MF69&amp;"d8"&amp;IF($NS69=1," · a Forma devolve "&amp;$MF69,"")&amp;IF($ON69&gt;0," · perde "&amp;$ON69,"")))</f>
        <v/>
      </c>
      <c r="PY69" s="152">
        <f>IF($MQ69=0,"",IF($MF69=0,"A básica não amplia: os dados dela sobem com o nível",IF($MF69&gt;=$MS69,"Já está na maior Classe que o nível liberou",TEXTJOIN(" · ",TRUE,IF(AND(2&gt;$MF69,2&lt;=$MS69),"2 → "&amp;$PA69&amp;", 6 PE",""),IF(AND(3&gt;$MF69,3&lt;=$MS69),"3 → "&amp;$PB69&amp;", 9 PE",""),IF(AND(4&gt;$MF69,4&lt;=$MS69),"4 → "&amp;$PC69&amp;", 12 PE",""),IF(AND(5&gt;$MF69,5&lt;=$MS69),"5 → "&amp;$PD69&amp;", 15 PE",""),IF(AND(6&gt;$MF69,6&lt;=$MS69),"6 → "&amp;$PE69&amp;", 18 PE",""),IF(AND(7&gt;$MF69,7&lt;=$MS69),"7 → "&amp;$PF69&amp;", 21 PE","")))))</f>
        <v/>
      </c>
      <c r="PZ69" s="152">
        <f>IF(OR($MQ69=0,$NB69=0),"",IF($MF69=0,"−1 dado","−"&amp;INDEX($I$2:$N$8,MAX(1,$MF69),MAX(1,$NG69))&amp;" · "&amp;CHOOSE(MAX(1,$NG69),"Leve","Média","Pesada","Leve · Livre","Média · Livre","Pesada · Livre")))</f>
        <v/>
      </c>
      <c r="QA69" s="152">
        <f>IF(OR($MQ69=0,$NC69=0),"",IF($MF69=0,"−1 dado","−"&amp;INDEX($I$2:$N$8,MAX(1,$MF69),MAX(1,$NH69))&amp;" · "&amp;CHOOSE(MAX(1,$NH69),"Leve","Média","Pesada","Leve · Livre","Média · Livre","Pesada · Livre")))</f>
        <v/>
      </c>
      <c r="QB69" s="152">
        <f>IF(OR($MQ69=0,$ND69=0),"",IF($MF69=0,"−1 dado","−"&amp;INDEX($I$2:$N$8,MAX(1,$MF69),MAX(1,$NI69))&amp;" · "&amp;CHOOSE(MAX(1,$NI69),"Leve","Média","Pesada","Leve · Livre","Média · Livre","Pesada · Livre")))</f>
        <v/>
      </c>
      <c r="QC69" s="152">
        <f>IF(OR($MQ69=0,$NE69=0),"",IF($MF69=0,"−1 dado","−"&amp;INDEX($I$2:$N$8,MAX(1,$MF69),MAX(1,$NJ69))&amp;" · "&amp;CHOOSE(MAX(1,$NJ69),"Leve","Média","Pesada","Leve · Livre","Média · Livre","Pesada · Livre")))</f>
        <v/>
      </c>
      <c r="QD69" s="152">
        <f>IF(OR($MQ69=0,$MO69=""),"",IF($MF69=0,"não devolve","+"&amp;IF($NV69=1,CEILING($MF69/2,1),$MF69)))</f>
        <v/>
      </c>
      <c r="QE69" s="152">
        <f>IF(OR($MQ69=0,$MP69=""),"",IF($MF69=0,"não devolve","+"&amp;IF($NW69=1,CEILING($MF69/2,1),$MF69)))</f>
        <v/>
      </c>
    </row>
    <row r="70">
      <c r="AV70" s="150" t="inlineStr">
        <is>
          <t>Rastro</t>
        </is>
      </c>
      <c r="AW70" s="150" t="inlineStr">
        <is>
          <t>Marca</t>
        </is>
      </c>
      <c r="AX70" s="152" t="n">
        <v>1</v>
      </c>
      <c r="AY70" s="152" t="n">
        <v>0</v>
      </c>
      <c r="AZ70" s="152" t="n">
        <v>0</v>
      </c>
      <c r="BA70" s="152" t="n">
        <v>0</v>
      </c>
      <c r="JG70" s="152">
        <f>IF(OR($AW70="",COUNTIF($EF$2:$EJ$2,$AW70)&gt;0),$AV70,"")</f>
        <v/>
      </c>
      <c r="JH70" s="152">
        <f>IF(AND($AX70=1,OR($AW70="",COUNTIF($EF$2:$EJ$2,$AW70)&gt;0)),$AV70,"")</f>
        <v/>
      </c>
      <c r="JM70" s="152">
        <f>IF(OR($AW70="",COUNTIF($EF$3:$EJ$3,$AW70)&gt;0),$AV70,"")</f>
        <v/>
      </c>
      <c r="JN70" s="152">
        <f>IF(AND($AX70=1,OR($AW70="",COUNTIF($EF$3:$EJ$3,$AW70)&gt;0)),$AV70,"")</f>
        <v/>
      </c>
      <c r="JS70" s="152">
        <f>IF(OR($AW70="",COUNTIF($EF$4:$EJ$4,$AW70)&gt;0),$AV70,"")</f>
        <v/>
      </c>
      <c r="JT70" s="152">
        <f>IF(AND($AX70=1,OR($AW70="",COUNTIF($EF$4:$EJ$4,$AW70)&gt;0)),$AV70,"")</f>
        <v/>
      </c>
      <c r="JY70" s="152">
        <f>IF(OR($AW70="",COUNTIF($EF$5:$EJ$5,$AW70)&gt;0),$AV70,"")</f>
        <v/>
      </c>
      <c r="JZ70" s="152">
        <f>IF(AND($AX70=1,OR($AW70="",COUNTIF($EF$5:$EJ$5,$AW70)&gt;0)),$AV70,"")</f>
        <v/>
      </c>
      <c r="KE70" s="152">
        <f>IF(OR($AW70="",COUNTIF($EF$6:$EJ$6,$AW70)&gt;0),$AV70,"")</f>
        <v/>
      </c>
      <c r="KF70" s="152">
        <f>IF(AND($AX70=1,OR($AW70="",COUNTIF($EF$6:$EJ$6,$AW70)&gt;0)),$AV70,"")</f>
        <v/>
      </c>
      <c r="KK70" s="152">
        <f>IF(OR($AW70="",COUNTIF($EF$7:$EJ$7,$AW70)&gt;0),$AV70,"")</f>
        <v/>
      </c>
      <c r="KL70" s="152">
        <f>IF(AND($AX70=1,OR($AW70="",COUNTIF($EF$7:$EJ$7,$AW70)&gt;0)),$AV70,"")</f>
        <v/>
      </c>
      <c r="KQ70" s="152">
        <f>IF(OR($AW70="",COUNTIF($EF$8:$EJ$8,$AW70)&gt;0),$AV70,"")</f>
        <v/>
      </c>
      <c r="KR70" s="152">
        <f>IF(AND($AX70=1,OR($AW70="",COUNTIF($EF$8:$EJ$8,$AW70)&gt;0)),$AV70,"")</f>
        <v/>
      </c>
      <c r="KW70" s="152">
        <f>IF(OR($AW70="",COUNTIF($EF$9:$EJ$9,$AW70)&gt;0),$AV70,"")</f>
        <v/>
      </c>
      <c r="KX70" s="152">
        <f>IF(AND($AX70=1,OR($AW70="",COUNTIF($EF$9:$EJ$9,$AW70)&gt;0)),$AV70,"")</f>
        <v/>
      </c>
      <c r="LC70" s="152">
        <f>IF(OR($AW70="",COUNTIF($EF$10:$EJ$10,$AW70)&gt;0),$AV70,"")</f>
        <v/>
      </c>
      <c r="LD70" s="152">
        <f>IF(AND($AX70=1,OR($AW70="",COUNTIF($EF$10:$EJ$10,$AW70)&gt;0)),$AV70,"")</f>
        <v/>
      </c>
      <c r="LI70" s="152">
        <f>IF(OR($AW70="",COUNTIF($EF$11:$EJ$11,$AW70)&gt;0),$AV70,"")</f>
        <v/>
      </c>
      <c r="LJ70" s="152">
        <f>IF(AND($AX70=1,OR($AW70="",COUNTIF($EF$11:$EJ$11,$AW70)&gt;0)),$AV70,"")</f>
        <v/>
      </c>
      <c r="LO70" s="152">
        <f>IF(OR($AW70="",COUNTIF($EF$12:$EJ$12,$AW70)&gt;0),$AV70,"")</f>
        <v/>
      </c>
      <c r="LP70" s="152">
        <f>IF(AND($AX70=1,OR($AW70="",COUNTIF($EF$12:$EJ$12,$AW70)&gt;0)),$AV70,"")</f>
        <v/>
      </c>
      <c r="LU70" s="152">
        <f>IF(OR($AW70="",COUNTIF($EF$13:$EJ$13,$AW70)&gt;0),$AV70,"")</f>
        <v/>
      </c>
      <c r="LV70" s="152">
        <f>IF(AND($AX70=1,OR($AW70="",COUNTIF($EF$13:$EJ$13,$AW70)&gt;0)),$AV70,"")</f>
        <v/>
      </c>
      <c r="MA70" s="150" t="inlineStr">
        <is>
          <t>Ficha 6 · Básica 2</t>
        </is>
      </c>
      <c r="MB70" s="152" t="n">
        <v>6</v>
      </c>
      <c r="MC70" s="152" t="n">
        <v>0</v>
      </c>
      <c r="MD70" s="152" t="n">
        <v>11</v>
      </c>
      <c r="ME70" s="150" t="inlineStr">
        <is>
          <t>BÁSICA 2</t>
        </is>
      </c>
      <c r="MF70" s="152" t="n">
        <v>0</v>
      </c>
      <c r="MG70" s="152">
        <f>'INVOCAÇÕES'!$J$1082&amp;""</f>
        <v/>
      </c>
      <c r="MH70" s="152">
        <f>'INVOCAÇÕES'!$I$1087&amp;""</f>
        <v/>
      </c>
      <c r="MI70" s="152">
        <f>'INVOCAÇÕES'!$I$1088&amp;""</f>
        <v/>
      </c>
      <c r="MJ70" s="152">
        <f>'INVOCAÇÕES'!$K$1088&amp;""</f>
        <v/>
      </c>
      <c r="MK70" s="152">
        <f>'INVOCAÇÕES'!$J$1091&amp;""</f>
        <v/>
      </c>
      <c r="ML70" s="152">
        <f>'INVOCAÇÕES'!$J$1092&amp;""</f>
        <v/>
      </c>
      <c r="MM70" s="152">
        <f>'INVOCAÇÕES'!$J$1093&amp;""</f>
        <v/>
      </c>
      <c r="MN70" s="152">
        <f>'INVOCAÇÕES'!$J$1094&amp;""</f>
        <v/>
      </c>
      <c r="MO70" s="152">
        <f>'INVOCAÇÕES'!$J$1095&amp;""</f>
        <v/>
      </c>
      <c r="MP70" s="152">
        <f>'INVOCAÇÕES'!$J$1096&amp;""</f>
        <v/>
      </c>
      <c r="MQ70" s="152">
        <f>IF($MG70&lt;&gt;"",1,0)</f>
        <v/>
      </c>
      <c r="MR70" s="152">
        <f>INDEX($FI$2:$FI$13,$MB70)</f>
        <v/>
      </c>
      <c r="MS70" s="152">
        <f>INDEX($FJ$2:$FJ$13,$MB70)</f>
        <v/>
      </c>
      <c r="MT70" s="152">
        <f>INDEX($FK$2:$FK$13,$MB70)</f>
        <v/>
      </c>
      <c r="MU70" s="152">
        <f>INDEX($FV$2:$FV$13,$MB70)</f>
        <v/>
      </c>
      <c r="MV70" s="152">
        <f>INDEX($FW$2:$FW$13,$MB70)</f>
        <v/>
      </c>
      <c r="MW70" s="152">
        <f>IFERROR(MATCH($MH70,$V$2:$V$11,0),0)</f>
        <v/>
      </c>
      <c r="MX70" s="152">
        <f>IFERROR(VLOOKUP($MK70,$AV$2:$BA$84,2,FALSE),"")</f>
        <v/>
      </c>
      <c r="MY70" s="152">
        <f>IFERROR(VLOOKUP($ML70,$AV$2:$BA$84,2,FALSE),"")</f>
        <v/>
      </c>
      <c r="MZ70" s="152">
        <f>IFERROR(VLOOKUP($MM70,$AV$2:$BA$84,2,FALSE),"")</f>
        <v/>
      </c>
      <c r="NA70" s="152">
        <f>IFERROR(VLOOKUP($MN70,$AV$2:$BA$84,2,FALSE),"")</f>
        <v/>
      </c>
      <c r="NB70" s="152">
        <f>IFERROR(VLOOKUP($MK70,$AV$2:$BA$84,3,FALSE),0)</f>
        <v/>
      </c>
      <c r="NC70" s="152">
        <f>IFERROR(VLOOKUP($ML70,$AV$2:$BA$84,3,FALSE),0)</f>
        <v/>
      </c>
      <c r="ND70" s="152">
        <f>IFERROR(VLOOKUP($MM70,$AV$2:$BA$84,3,FALSE),0)</f>
        <v/>
      </c>
      <c r="NE70" s="152">
        <f>IFERROR(VLOOKUP($MN70,$AV$2:$BA$84,3,FALSE),0)</f>
        <v/>
      </c>
      <c r="NF70" s="152">
        <f>IF($MF70=0,0,IF($MW70=0,0,INDEX($X$2:$X$11,$MW70)))</f>
        <v/>
      </c>
      <c r="NG70" s="152">
        <f>IF(OR($NB70=0,$MF70=0),0,$NB70+3*IF(AND($MX70&lt;&gt;"",OR($MX70=INDEX($EF$2:$EF$13,$MB70),$MX70=INDEX($EG$2:$EG$13,$MB70))),1,0))</f>
        <v/>
      </c>
      <c r="NH70" s="152">
        <f>IF(OR($NC70=0,$MF70=0),0,$NC70+3*IF(AND($MY70&lt;&gt;"",OR($MY70=INDEX($EF$2:$EF$13,$MB70),$MY70=INDEX($EG$2:$EG$13,$MB70))),1,0))</f>
        <v/>
      </c>
      <c r="NI70" s="152">
        <f>IF(OR($ND70=0,$MF70=0),0,$ND70+3*IF(AND($MZ70&lt;&gt;"",OR($MZ70=INDEX($EF$2:$EF$13,$MB70),$MZ70=INDEX($EG$2:$EG$13,$MB70))),1,0))</f>
        <v/>
      </c>
      <c r="NJ70" s="152">
        <f>IF(OR($NE70=0,$MF70=0),0,$NE70+3*IF(AND($NA70&lt;&gt;"",OR($NA70=INDEX($EF$2:$EF$13,$MB70),$NA70=INDEX($EG$2:$EG$13,$MB70))),1,0))</f>
        <v/>
      </c>
      <c r="NK70" s="152">
        <f>IF($MW70=0,0,IF(INDEX($W$2:$W$11,$MW70)="",0,IF(COUNTIF(INDEX($EF$2:$EJ$13,$MB70,0),INDEX($W$2:$W$11,$MW70))=0,1,0)))</f>
        <v/>
      </c>
      <c r="NL70" s="152">
        <f>IF(OR($NB70=0,$MX70=""),0,IF(COUNTIF(INDEX($EF$2:$EJ$13,$MB70,0),$MX70)=0,1,0))</f>
        <v/>
      </c>
      <c r="NM70" s="152">
        <f>IF(OR($NC70=0,$MY70=""),0,IF(COUNTIF(INDEX($EF$2:$EJ$13,$MB70,0),$MY70)=0,1,0))</f>
        <v/>
      </c>
      <c r="NN70" s="152">
        <f>IF(OR($ND70=0,$MZ70=""),0,IF(COUNTIF(INDEX($EF$2:$EJ$13,$MB70,0),$MZ70)=0,1,0))</f>
        <v/>
      </c>
      <c r="NO70" s="152">
        <f>IF(OR($NE70=0,$NA70=""),0,IF(COUNTIF(INDEX($EF$2:$EJ$13,$MB70,0),$NA70)=0,1,0))</f>
        <v/>
      </c>
      <c r="NP70" s="152">
        <f>IFERROR(VLOOKUP($MK70,$AV$2:$BA$84,4,FALSE),0)+IFERROR(VLOOKUP($ML70,$AV$2:$BA$84,4,FALSE),0)+IFERROR(VLOOKUP($MM70,$AV$2:$BA$84,4,FALSE),0)+IFERROR(VLOOKUP($MN70,$AV$2:$BA$84,4,FALSE),0)</f>
        <v/>
      </c>
      <c r="NQ70" s="152">
        <f>IFERROR(VLOOKUP($MK70,$AV$2:$BA$84,6,FALSE),0)+IFERROR(VLOOKUP($ML70,$AV$2:$BA$84,6,FALSE),0)+IFERROR(VLOOKUP($MM70,$AV$2:$BA$84,6,FALSE),0)+IFERROR(VLOOKUP($MN70,$AV$2:$BA$84,6,FALSE),0)</f>
        <v/>
      </c>
      <c r="NR70" s="152">
        <f>TEXTJOIN(", ",TRUE,IF(IFERROR(VLOOKUP($MK70,$AV$2:$BA$84,5,FALSE),0)=1,$MK70,""),IF(IFERROR(VLOOKUP($ML70,$AV$2:$BA$84,5,FALSE),0)=1,$ML70,""),IF(IFERROR(VLOOKUP($MM70,$AV$2:$BA$84,5,FALSE),0)=1,$MM70,""),IF(IFERROR(VLOOKUP($MN70,$AV$2:$BA$84,5,FALSE),0)=1,$MN70,""))</f>
        <v/>
      </c>
      <c r="NS70" s="152">
        <f>IF($MW70=0,0,INDEX($Y$2:$Y$11,$MW70))</f>
        <v/>
      </c>
      <c r="NT70" s="152">
        <f>IF($MW70=0,0,INDEX($Z$2:$Z$11,$MW70))</f>
        <v/>
      </c>
      <c r="NU70" s="152">
        <f>IF($MW70=0,0,INDEX($AB$2:$AB$11,$MW70))</f>
        <v/>
      </c>
      <c r="NV70" s="152">
        <f>IFERROR(VLOOKUP($MO70,$BC$2:$BG$24,3,FALSE),0)</f>
        <v/>
      </c>
      <c r="NW70" s="152">
        <f>IFERROR(VLOOKUP($MP70,$BC$2:$BG$24,3,FALSE),0)</f>
        <v/>
      </c>
      <c r="NX70" s="152">
        <f>IFERROR(VLOOKUP($MO70,$BC$2:$BG$24,2,FALSE),"")</f>
        <v/>
      </c>
      <c r="NY70" s="152">
        <f>IFERROR(VLOOKUP($MP70,$BC$2:$BG$24,2,FALSE),"")</f>
        <v/>
      </c>
      <c r="NZ70" s="152">
        <f>COUNTIF($NF70:$NJ70,1)</f>
        <v/>
      </c>
      <c r="OA70" s="152">
        <f>COUNTIF($NF70:$NJ70,2)</f>
        <v/>
      </c>
      <c r="OB70" s="152">
        <f>COUNTIF($NF70:$NJ70,3)</f>
        <v/>
      </c>
      <c r="OC70" s="152">
        <f>COUNTIF($NF70:$NJ70,4)</f>
        <v/>
      </c>
      <c r="OD70" s="152">
        <f>COUNTIF($NF70:$NJ70,5)</f>
        <v/>
      </c>
      <c r="OE70" s="152">
        <f>COUNTIF($NF70:$NJ70,6)</f>
        <v/>
      </c>
      <c r="OF70" s="152">
        <f>COUNTIF($NV70:$NW70,1)</f>
        <v/>
      </c>
      <c r="OG70" s="152">
        <f>COUNTIF($NV70:$NW70,2)+$NS70</f>
        <v/>
      </c>
      <c r="OH70" s="152">
        <f>COUNTIF($MK70:$MN70,"?*")</f>
        <v/>
      </c>
      <c r="OI70" s="152">
        <f>COUNTIF($MO70:$MP70,"?*")+$NS70</f>
        <v/>
      </c>
      <c r="OJ70" s="152">
        <f>IF($MF70=0,0,SUMPRODUCT($NZ70:$OE70,INDEX($I$2:$N$8,MAX(1,$MF70),0)))</f>
        <v/>
      </c>
      <c r="OK70" s="152">
        <f>IF($MF70=0,0,$OF70*CEILING($MF70/2,1)+$OG70*$MF70)</f>
        <v/>
      </c>
      <c r="OL70" s="152">
        <f>MIN(2*$MF70,$OK70)</f>
        <v/>
      </c>
      <c r="OM70" s="152">
        <f>MIN($OL70,$OJ70)</f>
        <v/>
      </c>
      <c r="ON70" s="152">
        <f>$OL70-$OM70</f>
        <v/>
      </c>
      <c r="OO70" s="152">
        <f>IF($MF70=0,0,INDEX($P$2:$P$8,MAX(1,$MF70)))</f>
        <v/>
      </c>
      <c r="OP70" s="152">
        <f>$OO70-$OJ70+$OM70</f>
        <v/>
      </c>
      <c r="OQ70" s="152">
        <f>IF($MF70=0,MAX(0,$MT70-IF($OH70&gt;0,1,0)),MAX(0,$OP70))</f>
        <v/>
      </c>
      <c r="OR70" s="152">
        <f>IF($MF70=0,0,(IF(COUNTIF($MK70:$MN70,"Salto")&gt;0,1,0)+IF(COUNTIF($MK70:$MN70,"Queima")&gt;0,1,0)+IF(COUNTIF($MK70:$MN70,"Estilhaço")&gt;0,1,0))*FLOOR($OQ70/2,1))</f>
        <v/>
      </c>
      <c r="OS70" s="152">
        <f>MAX(0,2-SUMPRODUCT($NZ70:$OE70,$I$2:$N$2)+MIN(2,$OF70*1+$OG70*1,SUMPRODUCT($NZ70:$OE70,$I$2:$N$2)))</f>
        <v/>
      </c>
      <c r="OT70" s="152">
        <f>MAX(0,4-SUMPRODUCT($NZ70:$OE70,$I$3:$N$3)+MIN(4,$OF70*1+$OG70*2,SUMPRODUCT($NZ70:$OE70,$I$3:$N$3)))</f>
        <v/>
      </c>
      <c r="OU70" s="152">
        <f>MAX(0,6-SUMPRODUCT($NZ70:$OE70,$I$4:$N$4)+MIN(6,$OF70*2+$OG70*3,SUMPRODUCT($NZ70:$OE70,$I$4:$N$4)))</f>
        <v/>
      </c>
      <c r="OV70" s="152">
        <f>MAX(0,9-SUMPRODUCT($NZ70:$OE70,$I$5:$N$5)+MIN(8,$OF70*2+$OG70*4,SUMPRODUCT($NZ70:$OE70,$I$5:$N$5)))</f>
        <v/>
      </c>
      <c r="OW70" s="152">
        <f>MAX(0,11-SUMPRODUCT($NZ70:$OE70,$I$6:$N$6)+MIN(10,$OF70*3+$OG70*5,SUMPRODUCT($NZ70:$OE70,$I$6:$N$6)))</f>
        <v/>
      </c>
      <c r="OX70" s="152">
        <f>MAX(0,13-SUMPRODUCT($NZ70:$OE70,$I$7:$N$7)+MIN(12,$OF70*3+$OG70*6,SUMPRODUCT($NZ70:$OE70,$I$7:$N$7)))</f>
        <v/>
      </c>
      <c r="OY70" s="152">
        <f>MAX(0,16-SUMPRODUCT($NZ70:$OE70,$I$8:$N$8)+MIN(14,$OF70*4+$OG70*7,SUMPRODUCT($NZ70:$OE70,$I$8:$N$8)))</f>
        <v/>
      </c>
      <c r="OZ70" s="152">
        <f>IF($NT70=2,3*$OS70&amp;" de vida temp.",IF($NT70=3,"sem dano",IF($OS70=0,IF($NT70=1,"sem cura","sem dano"),IF($NT70=1,"cura ","")&amp;$OS70&amp;"d8")))</f>
        <v/>
      </c>
      <c r="PA70" s="152">
        <f>IF($NT70=2,3*$OT70&amp;" de vida temp.",IF($NT70=3,"sem dano",IF($OT70=0,IF($NT70=1,"sem cura","sem dano"),IF($NT70=1,"cura ","")&amp;$OT70&amp;"d8")))</f>
        <v/>
      </c>
      <c r="PB70" s="152">
        <f>IF($NT70=2,3*$OU70&amp;" de vida temp.",IF($NT70=3,"sem dano",IF($OU70=0,IF($NT70=1,"sem cura","sem dano"),IF($NT70=1,"cura ","")&amp;$OU70&amp;"d8")))</f>
        <v/>
      </c>
      <c r="PC70" s="152">
        <f>IF($NT70=2,3*$OV70&amp;" de vida temp.",IF($NT70=3,"sem dano",IF($OV70=0,IF($NT70=1,"sem cura","sem dano"),IF($NT70=1,"cura ","")&amp;$OV70&amp;"d8")))</f>
        <v/>
      </c>
      <c r="PD70" s="152">
        <f>IF($NT70=2,3*$OW70&amp;" de vida temp.",IF($NT70=3,"sem dano",IF($OW70=0,IF($NT70=1,"sem cura","sem dano"),IF($NT70=1,"cura ","")&amp;$OW70&amp;"d8")))</f>
        <v/>
      </c>
      <c r="PE70" s="152">
        <f>IF($NT70=2,3*$OX70&amp;" de vida temp.",IF($NT70=3,"sem dano",IF($OX70=0,IF($NT70=1,"sem cura","sem dano"),IF($NT70=1,"cura ","")&amp;$OX70&amp;"d8")))</f>
        <v/>
      </c>
      <c r="PF70" s="152">
        <f>IF($NT70=2,3*$OY70&amp;" de vida temp.",IF($NT70=3,"sem dano",IF($OY70=0,IF($NT70=1,"sem cura","sem dano"),IF($NT70=1,"cura ","")&amp;$OY70&amp;"d8")))</f>
        <v/>
      </c>
      <c r="PG70" s="152">
        <f>IF($MQ70=0,"",TEXTJOIN(" · ",TRUE,IF($MD70&gt;$MR70,"Este lugar abre no nível "&amp;$MD70,""),IF($MF70&gt;$MS70,"Classe "&amp;$MF70&amp;": o nível "&amp;$MR70&amp;" libera até a "&amp;$MS70,""),IF($NK70=1,"A Forma "&amp;$MH70&amp;" pede "&amp;INDEX($W$2:$W$11,$MW70)&amp;" aberta",""),IF(AND($MF70=0,$MW70&gt;0,IF($MW70=0,0,INDEX($AF$2:$AF$11,$MW70))=0),$MH70&amp;" não existe na Classe 0",""),IF($NL70=1,"Família Fechada: "&amp;$MK70,""),IF($NM70=1,"Família Fechada: "&amp;$ML70,""),IF($NN70=1,"Família Fechada: "&amp;$MM70,""),IF($NO70=1,"Família Fechada: "&amp;$MN70,""),IF(AND($MF70&gt;0,$OH70&gt;INDEX($O$2:$O$8,MAX(1,$MF70))),$OH70&amp;" Melhorias: a Classe "&amp;$MF70&amp;" aceita "&amp;INDEX($O$2:$O$8,MAX(1,$MF70)),""),IF(AND($MF70=0,$OH70&gt;1),"A básica aceita uma Melhoria",""),IF(AND($MF70=0,COUNTIF($NB70:$NE70,"&gt;1")&gt;0),"A básica só aceita Melhoria Leve",""),IF(AND($MF70&gt;0,$OI70&gt;2),$OI70&amp;" Restrições"&amp;IF($NS70=1,", contando a que a Forma "&amp;$MH70&amp;" já traz","")&amp;": o limite é 2",""),IF(AND($MF70=0,COUNTIF($MO70:$MP70,"?*")&gt;1),"A básica aceita uma Restrição Leve",""),IF(AND($MF70=0,COUNTIF($NV70:$NW70,2)&gt;0),"A básica só aceita Restrição Leve",""),IF(AND($MF70&gt;0,$OP70&lt;0),"Orçamento estourado: faltam "&amp;(-$OP70)&amp;IF($OP70&lt;-1," pontos"," ponto"),""),IF(IFERROR(VLOOKUP($MO70,$BC$2:$BG$24,4,FALSE),0)+IFERROR(VLOOKUP($MP70,$BC$2:$BG$24,4,FALSE),0)&gt;1,$NX70&amp;" e "&amp;$NY70&amp;" são as duas de frequência",""),IF(AND((COUNTIF($MK70:$MN70,"Rápido")+COUNTIF($NX70:$NY70,"Rápido"))&gt;0,(COUNTIF($MK70:$MN70,"Atrasar")+COUNTIF($NX70:$NY70,"Atrasar"))&gt;0),"Rápido não entra com Atrasar",""),IF(AND((COUNTIF($MK70:$MN70,"Reação")+COUNTIF($NX70:$NY70,"Reação"))&gt;0,(COUNTIF($MK70:$MN70,"Rápido")+COUNTIF($NX70:$NY70,"Rápido"))&gt;0),"Reação não entra com Rápido",""),IF(AND((COUNTIF($MK70:$MN70,"Reação")+COUNTIF($NX70:$NY70,"Reação"))&gt;0,(COUNTIF($MK70:$MN70,"Armado")+COUNTIF($NX70:$NY70,"Armado"))&gt;0),"Reação não entra com Armado",""),IF(AND((COUNTIF($MK70:$MN70,"Reação")+COUNTIF($NX70:$NY70,"Reação"))&gt;0,(COUNTIF($MK70:$MN70,"Atrasar")+COUNTIF($NX70:$NY70,"Atrasar"))&gt;0),"Reação não entra com Atrasar",""),IF(AND((COUNTIF($MK70:$MN70,"Reação")+COUNTIF($NX70:$NY70,"Reação"))&gt;0,(COUNTIF($MK70:$MN70,"Parado")+COUNTIF($NX70:$NY70,"Parado"))&gt;0),"Reação não entra com Parado",""),IF(AND((COUNTIF($MK70:$MN70,"Atrasar")+COUNTIF($NX70:$NY70,"Atrasar"))&gt;0,(COUNTIF($MK70:$MN70,"Parado")+COUNTIF($NX70:$NY70,"Parado"))&gt;0),"Atrasar não entra com Parado",""),IF(AND((COUNTIF($MK70:$MN70,"Armado")+COUNTIF($NX70:$NY70,"Armado"))&gt;0,(COUNTIF($MK70:$MN70,"Carregar")+COUNTIF($NX70:$NY70,"Carregar"))&gt;0),"Armado não entra com Carregar",""),IF(AND(COUNTIF($NX70:$NY70,"Corpo a Corpo")&gt;0,$NS70=0,OR($MH70="Cone",$MH70="Linha")),"Corpo a Corpo não entra em "&amp;$MH70,""),IF(AND(COUNTIF($NX70:$NY70,"Corpo a Corpo")&gt;0,$NS70=1),"A Forma "&amp;$MH70&amp;" já traz o Corpo a Corpo",""),IF(AND(COUNTIF($NX70:$NY70,"Tudo ou Nada")&gt;0,$NU70=0),"Tudo ou Nada só entra em habilidade de Teste de Resistência",""),IF(AND(COUNTIF($MK70:$MN70,"Inescapável")&gt;0,OR($OH70&gt;1,$OI70&gt;0)),"Inescapável não aceita outra peça",""),IF(AND($MF70&gt;0,$OQ70*IF(COUNTIF($MK70:$MN70,"Remate")&gt;0,1.25,1)+$OR70&gt;4*$MF70),($OQ70*IF(COUNTIF($MK70:$MN70,"Remate")&gt;0,1.25,1)+$OR70)&amp;" dados somando repetições"&amp;IF(COUNTIF($MK70:$MN70,"Remate")&gt;0," e o Remate","")&amp;": o teto da Classe "&amp;$MF70&amp;" é "&amp;4*$MF70,"")))</f>
        <v/>
      </c>
      <c r="PH70" s="152">
        <f>IF($PG70="",0,(LEN($PG70)-LEN(SUBSTITUTE($PG70," · ","")))/3+1)</f>
        <v/>
      </c>
      <c r="PI70" s="152">
        <f>IF($MQ70=0,"",TEXTJOIN(" · ",TRUE,IF($OK70&gt;2*$MF70,"A devolução parou no teto de "&amp;2*$MF70,""),IF($ON70&gt;0,"Devolução perdida: "&amp;$ON70&amp;IF($ON70&gt;1," pontos"," ponto")&amp;" sem peça para pagar",""),IF(AND($NP70&gt;0,AND($MF70&gt;0,$NT70=0),$OQ70=0),"Controle sem dano: uma rodada a mais e CD +2",""),IF(AND($NP70&gt;0,AND($MF70&gt;0,$NT70=0),$OQ70&gt;0,$OQ70&lt;=$MF70),"Controle com saldo até a Classe: uma rodada a mais",""),IF(AND($MF70&gt;0,$NR70&lt;&gt;""),"Efeito de "&amp;$NR70&amp;" pela Classe "&amp;MAX(1,$MF70-1),"")))</f>
        <v/>
      </c>
      <c r="PJ70" s="152">
        <f>IF($PI70="",0,(LEN($PI70)-LEN(SUBSTITUTE($PI70," · ","")))/3+1)</f>
        <v/>
      </c>
      <c r="PK70" s="152">
        <f>IF($MQ70=0,IF($OH70+COUNTIF($MO70:$MP70,"?*")&gt;0,"Dê um nome",""),IF($PH70&gt;0,"⚠ "&amp;$PH70&amp;IF($PH70&gt;1," erros"," erro"),IF($PJ70&gt;0,"! "&amp;$PJ70&amp;IF($PJ70&gt;1," avisos"," aviso"),"Na regra")))</f>
        <v/>
      </c>
      <c r="PL70" s="152">
        <f>IF($MQ70=0,"",IF($PH70+$PJ70=0,"Dentro das regras que a ficha confere",$PG70&amp;IF(AND($PH70&gt;0,$PJ70&gt;0)," · ","")&amp;$PI70))</f>
        <v/>
      </c>
      <c r="PM70" s="152">
        <f>IF($MD70&gt;$MR70,$ME70&amp;" · ABRE NO NÍVEL "&amp;$MD70,$ME70)</f>
        <v/>
      </c>
      <c r="PN70" s="152">
        <f>IF($MQ70=0,"",IF($MF70=0,"Sem PE",3*$MF70&amp;" PE"))</f>
        <v/>
      </c>
      <c r="PO70" s="152">
        <f>IF($MQ70=0,"",IF($MF70=0,"A atuação básica dela",IF(COUNTIF($NX70:$NY70,"Atrasar")&gt;0,"Sua Ação Completa",IF(COUNTIF($MK70:$MN70,"Rápido")&gt;0,"Sua Bônus",IF(COUNTIF($MK70:$MN70,"Reação")&gt;0,"Sua Reação","Sua Padrão")))&amp;" + a básica dela"&amp;IF(COUNTIF($MK70:$MN70,"Reação")&gt;0," e a coletiva","")&amp;IF(COUNTIF($NX70:$NY70,"Carregar")&gt;0," · em dois turnos","")))</f>
        <v/>
      </c>
      <c r="PP70" s="152">
        <f>IF($MJ70&lt;&gt;"",$MJ70,IF($MW70=0,"",INDEX($AA$2:$AA$11,$MW70)))</f>
        <v/>
      </c>
      <c r="PQ70" s="152">
        <f>IF(OR($MQ70=0,$MW70=0),"",IF(COUNTIF($MK70:$MN70,"Inescapável")&gt;0,"Automático",IF($PP70="Ataque",IF($MU70="","Ataque","Ataque "&amp;IF(($MU70+2*IF(COUNTIF($MK70:$MN70,"Precisão")&gt;0,1,0))&gt;=0,"+","−")&amp;ABS(($MU70+2*IF(COUNTIF($MK70:$MN70,"Precisão")&gt;0,1,0))))&amp;IF($NQ70&gt;0," · TR"&amp;IF($MV70="",""," CD "&amp;$MV70),""),IF(LEFT($PP70,2)="TR",$PP70&amp;IF($MV70="",""," · CD "&amp;$MV70)&amp;IF(COUNTIF($MK70:$MN70,"Certeiro")&gt;0," · metade",""),"Sem rolagem"))))</f>
        <v/>
      </c>
      <c r="PR70" s="152">
        <f>IF(OR($MQ70=0,$MW70=0),"",IF($MF70=0,IF(OR($NT70&gt;=1,$OQ70=0),"Sem dano",$OQ70&amp;"d6"&amp;IF($MI70="",""," "&amp;$MI70)),IF(OR($NT70&gt;=1,$OQ70=0),UPPER(LEFT(INDEX($OZ70:$PF70,1,MAX(1,$MF70)),1))&amp;MID(INDEX($OZ70:$PF70,1,MAX(1,$MF70)),2,99),UPPER(LEFT(INDEX($OZ70:$PF70,1,MAX(1,$MF70)),1))&amp;MID(INDEX($OZ70:$PF70,1,MAX(1,$MF70)),2,99)&amp;IF($MI70="",""," "&amp;$MI70)&amp;IF($OR70&gt;0," · +"&amp;$OR70&amp;"d8",""))))</f>
        <v/>
      </c>
      <c r="PS70" s="152">
        <f>COUNTIF($MK70:$MN70,"Longe")+3*COUNTIF($MK70:$MN70,"Muito Longe")</f>
        <v/>
      </c>
      <c r="PT70" s="152">
        <f>COUNTIF($MK70:$MN70,"Maior")+3*COUNTIF($MK70:$MN70,"Muito Maior")</f>
        <v/>
      </c>
      <c r="PU70" s="152">
        <f>IF($MW70=0,0,CHOOSE(1+INDEX($AC$2:$AC$11,$MW70),0,$PS70,$PT70,$PS70+$PT70))</f>
        <v/>
      </c>
      <c r="PV70" s="152">
        <f>IF($MW70=0,0,CHOOSE(1+INDEX($AD$2:$AD$11,$MW70),0,$PS70,$PT70,$PS70+$PT70))</f>
        <v/>
      </c>
      <c r="PW70" s="152">
        <f>IF(OR($MQ70=0,$MW70=0),"",INDEX($AI$2:$AN$41,($MW70-1)*4+IF($MF70=0,1,IF($MF70&lt;=5,2,IF($MF70=6,3,4))),1+MIN(5,$PU70))&amp;INDEX($AO$2:$AT$41,($MW70-1)*4+IF($MF70=0,1,IF($MF70&lt;=5,2,IF($MF70=6,3,4))),1+MIN(5,$PV70))&amp;IF(INDEX($AE$2:$AE$11,$MW70)=1,IF(COUNTIF($MK70:$MN70,"Mais Um")&gt;0," · +"&amp;COUNTIF($MK70:$MN70,"Mais Um")&amp;IF(COUNTIF($MK70:$MN70,"Mais Um")&gt;1," alvos"," alvo"),"")&amp;IF(COUNTIF($MK70:$MN70,"Rajada")&gt;0,IF($MF70=0," · 1 tiro"," · "&amp;(MAX(1,$MF70-1)+1)&amp;" tiros"),""),""))</f>
        <v/>
      </c>
      <c r="PX70" s="152">
        <f>IF($MQ70=0,"",IF($MF70=0,$MT70&amp;"d6"&amp;IF($OH70&gt;0," − 1 = "&amp;$OQ70&amp;"d6"," da básica do nível "&amp;$MR70),$OO70&amp;" − "&amp;$OJ70&amp;" + "&amp;$OM70&amp;" = "&amp;$OP70&amp;" · teto "&amp;4*$MF70&amp;"d8"&amp;IF($NS70=1," · a Forma devolve "&amp;$MF70,"")&amp;IF($ON70&gt;0," · perde "&amp;$ON70,"")))</f>
        <v/>
      </c>
      <c r="PY70" s="152">
        <f>IF($MQ70=0,"",IF($MF70=0,"A básica não amplia: os dados dela sobem com o nível",IF($MF70&gt;=$MS70,"Já está na maior Classe que o nível liberou",TEXTJOIN(" · ",TRUE,IF(AND(2&gt;$MF70,2&lt;=$MS70),"2 → "&amp;$PA70&amp;", 6 PE",""),IF(AND(3&gt;$MF70,3&lt;=$MS70),"3 → "&amp;$PB70&amp;", 9 PE",""),IF(AND(4&gt;$MF70,4&lt;=$MS70),"4 → "&amp;$PC70&amp;", 12 PE",""),IF(AND(5&gt;$MF70,5&lt;=$MS70),"5 → "&amp;$PD70&amp;", 15 PE",""),IF(AND(6&gt;$MF70,6&lt;=$MS70),"6 → "&amp;$PE70&amp;", 18 PE",""),IF(AND(7&gt;$MF70,7&lt;=$MS70),"7 → "&amp;$PF70&amp;", 21 PE","")))))</f>
        <v/>
      </c>
      <c r="PZ70" s="152">
        <f>IF(OR($MQ70=0,$NB70=0),"",IF($MF70=0,"−1 dado","−"&amp;INDEX($I$2:$N$8,MAX(1,$MF70),MAX(1,$NG70))&amp;" · "&amp;CHOOSE(MAX(1,$NG70),"Leve","Média","Pesada","Leve · Livre","Média · Livre","Pesada · Livre")))</f>
        <v/>
      </c>
      <c r="QA70" s="152">
        <f>IF(OR($MQ70=0,$NC70=0),"",IF($MF70=0,"−1 dado","−"&amp;INDEX($I$2:$N$8,MAX(1,$MF70),MAX(1,$NH70))&amp;" · "&amp;CHOOSE(MAX(1,$NH70),"Leve","Média","Pesada","Leve · Livre","Média · Livre","Pesada · Livre")))</f>
        <v/>
      </c>
      <c r="QB70" s="152">
        <f>IF(OR($MQ70=0,$ND70=0),"",IF($MF70=0,"−1 dado","−"&amp;INDEX($I$2:$N$8,MAX(1,$MF70),MAX(1,$NI70))&amp;" · "&amp;CHOOSE(MAX(1,$NI70),"Leve","Média","Pesada","Leve · Livre","Média · Livre","Pesada · Livre")))</f>
        <v/>
      </c>
      <c r="QC70" s="152">
        <f>IF(OR($MQ70=0,$NE70=0),"",IF($MF70=0,"−1 dado","−"&amp;INDEX($I$2:$N$8,MAX(1,$MF70),MAX(1,$NJ70))&amp;" · "&amp;CHOOSE(MAX(1,$NJ70),"Leve","Média","Pesada","Leve · Livre","Média · Livre","Pesada · Livre")))</f>
        <v/>
      </c>
      <c r="QD70" s="152">
        <f>IF(OR($MQ70=0,$MO70=""),"",IF($MF70=0,"não devolve","+"&amp;IF($NV70=1,CEILING($MF70/2,1),$MF70)))</f>
        <v/>
      </c>
      <c r="QE70" s="152">
        <f>IF(OR($MQ70=0,$MP70=""),"",IF($MF70=0,"não devolve","+"&amp;IF($NW70=1,CEILING($MF70/2,1),$MF70)))</f>
        <v/>
      </c>
    </row>
    <row r="71">
      <c r="AV71" s="150" t="inlineStr">
        <is>
          <t>Isca</t>
        </is>
      </c>
      <c r="AW71" s="150" t="inlineStr">
        <is>
          <t>Marca</t>
        </is>
      </c>
      <c r="AX71" s="152" t="n">
        <v>1</v>
      </c>
      <c r="AY71" s="152" t="n">
        <v>0</v>
      </c>
      <c r="AZ71" s="152" t="n">
        <v>0</v>
      </c>
      <c r="BA71" s="152" t="n">
        <v>0</v>
      </c>
      <c r="JG71" s="152">
        <f>IF(OR($AW71="",COUNTIF($EF$2:$EJ$2,$AW71)&gt;0),$AV71,"")</f>
        <v/>
      </c>
      <c r="JH71" s="152">
        <f>IF(AND($AX71=1,OR($AW71="",COUNTIF($EF$2:$EJ$2,$AW71)&gt;0)),$AV71,"")</f>
        <v/>
      </c>
      <c r="JM71" s="152">
        <f>IF(OR($AW71="",COUNTIF($EF$3:$EJ$3,$AW71)&gt;0),$AV71,"")</f>
        <v/>
      </c>
      <c r="JN71" s="152">
        <f>IF(AND($AX71=1,OR($AW71="",COUNTIF($EF$3:$EJ$3,$AW71)&gt;0)),$AV71,"")</f>
        <v/>
      </c>
      <c r="JS71" s="152">
        <f>IF(OR($AW71="",COUNTIF($EF$4:$EJ$4,$AW71)&gt;0),$AV71,"")</f>
        <v/>
      </c>
      <c r="JT71" s="152">
        <f>IF(AND($AX71=1,OR($AW71="",COUNTIF($EF$4:$EJ$4,$AW71)&gt;0)),$AV71,"")</f>
        <v/>
      </c>
      <c r="JY71" s="152">
        <f>IF(OR($AW71="",COUNTIF($EF$5:$EJ$5,$AW71)&gt;0),$AV71,"")</f>
        <v/>
      </c>
      <c r="JZ71" s="152">
        <f>IF(AND($AX71=1,OR($AW71="",COUNTIF($EF$5:$EJ$5,$AW71)&gt;0)),$AV71,"")</f>
        <v/>
      </c>
      <c r="KE71" s="152">
        <f>IF(OR($AW71="",COUNTIF($EF$6:$EJ$6,$AW71)&gt;0),$AV71,"")</f>
        <v/>
      </c>
      <c r="KF71" s="152">
        <f>IF(AND($AX71=1,OR($AW71="",COUNTIF($EF$6:$EJ$6,$AW71)&gt;0)),$AV71,"")</f>
        <v/>
      </c>
      <c r="KK71" s="152">
        <f>IF(OR($AW71="",COUNTIF($EF$7:$EJ$7,$AW71)&gt;0),$AV71,"")</f>
        <v/>
      </c>
      <c r="KL71" s="152">
        <f>IF(AND($AX71=1,OR($AW71="",COUNTIF($EF$7:$EJ$7,$AW71)&gt;0)),$AV71,"")</f>
        <v/>
      </c>
      <c r="KQ71" s="152">
        <f>IF(OR($AW71="",COUNTIF($EF$8:$EJ$8,$AW71)&gt;0),$AV71,"")</f>
        <v/>
      </c>
      <c r="KR71" s="152">
        <f>IF(AND($AX71=1,OR($AW71="",COUNTIF($EF$8:$EJ$8,$AW71)&gt;0)),$AV71,"")</f>
        <v/>
      </c>
      <c r="KW71" s="152">
        <f>IF(OR($AW71="",COUNTIF($EF$9:$EJ$9,$AW71)&gt;0),$AV71,"")</f>
        <v/>
      </c>
      <c r="KX71" s="152">
        <f>IF(AND($AX71=1,OR($AW71="",COUNTIF($EF$9:$EJ$9,$AW71)&gt;0)),$AV71,"")</f>
        <v/>
      </c>
      <c r="LC71" s="152">
        <f>IF(OR($AW71="",COUNTIF($EF$10:$EJ$10,$AW71)&gt;0),$AV71,"")</f>
        <v/>
      </c>
      <c r="LD71" s="152">
        <f>IF(AND($AX71=1,OR($AW71="",COUNTIF($EF$10:$EJ$10,$AW71)&gt;0)),$AV71,"")</f>
        <v/>
      </c>
      <c r="LI71" s="152">
        <f>IF(OR($AW71="",COUNTIF($EF$11:$EJ$11,$AW71)&gt;0),$AV71,"")</f>
        <v/>
      </c>
      <c r="LJ71" s="152">
        <f>IF(AND($AX71=1,OR($AW71="",COUNTIF($EF$11:$EJ$11,$AW71)&gt;0)),$AV71,"")</f>
        <v/>
      </c>
      <c r="LO71" s="152">
        <f>IF(OR($AW71="",COUNTIF($EF$12:$EJ$12,$AW71)&gt;0),$AV71,"")</f>
        <v/>
      </c>
      <c r="LP71" s="152">
        <f>IF(AND($AX71=1,OR($AW71="",COUNTIF($EF$12:$EJ$12,$AW71)&gt;0)),$AV71,"")</f>
        <v/>
      </c>
      <c r="LU71" s="152">
        <f>IF(OR($AW71="",COUNTIF($EF$13:$EJ$13,$AW71)&gt;0),$AV71,"")</f>
        <v/>
      </c>
      <c r="LV71" s="152">
        <f>IF(AND($AX71=1,OR($AW71="",COUNTIF($EF$13:$EJ$13,$AW71)&gt;0)),$AV71,"")</f>
        <v/>
      </c>
      <c r="MA71" s="150" t="inlineStr">
        <is>
          <t>Ficha 6 · Especial 3</t>
        </is>
      </c>
      <c r="MB71" s="152" t="n">
        <v>6</v>
      </c>
      <c r="MC71" s="152" t="n">
        <v>1</v>
      </c>
      <c r="MD71" s="152" t="n">
        <v>8</v>
      </c>
      <c r="ME71" s="150" t="inlineStr">
        <is>
          <t>ESPECIAL 3</t>
        </is>
      </c>
      <c r="MF71" s="152">
        <f>MAX(1,MIN(7,N('INVOCAÇÕES'!$O$1082)))</f>
        <v/>
      </c>
      <c r="MG71" s="152">
        <f>'INVOCAÇÕES'!$P$1082&amp;""</f>
        <v/>
      </c>
      <c r="MH71" s="152">
        <f>'INVOCAÇÕES'!$O$1087&amp;""</f>
        <v/>
      </c>
      <c r="MI71" s="152">
        <f>'INVOCAÇÕES'!$O$1088&amp;""</f>
        <v/>
      </c>
      <c r="MJ71" s="152">
        <f>'INVOCAÇÕES'!$Q$1088&amp;""</f>
        <v/>
      </c>
      <c r="MK71" s="152">
        <f>'INVOCAÇÕES'!$P$1091&amp;""</f>
        <v/>
      </c>
      <c r="ML71" s="152">
        <f>'INVOCAÇÕES'!$P$1092&amp;""</f>
        <v/>
      </c>
      <c r="MM71" s="152">
        <f>'INVOCAÇÕES'!$P$1093&amp;""</f>
        <v/>
      </c>
      <c r="MN71" s="152">
        <f>'INVOCAÇÕES'!$P$1094&amp;""</f>
        <v/>
      </c>
      <c r="MO71" s="152">
        <f>'INVOCAÇÕES'!$P$1095&amp;""</f>
        <v/>
      </c>
      <c r="MP71" s="152">
        <f>'INVOCAÇÕES'!$P$1096&amp;""</f>
        <v/>
      </c>
      <c r="MQ71" s="152">
        <f>IF($MG71&lt;&gt;"",1,0)</f>
        <v/>
      </c>
      <c r="MR71" s="152">
        <f>INDEX($FI$2:$FI$13,$MB71)</f>
        <v/>
      </c>
      <c r="MS71" s="152">
        <f>INDEX($FJ$2:$FJ$13,$MB71)</f>
        <v/>
      </c>
      <c r="MT71" s="152">
        <f>INDEX($FK$2:$FK$13,$MB71)</f>
        <v/>
      </c>
      <c r="MU71" s="152">
        <f>INDEX($FV$2:$FV$13,$MB71)</f>
        <v/>
      </c>
      <c r="MV71" s="152">
        <f>INDEX($FW$2:$FW$13,$MB71)</f>
        <v/>
      </c>
      <c r="MW71" s="152">
        <f>IFERROR(MATCH($MH71,$V$2:$V$11,0),0)</f>
        <v/>
      </c>
      <c r="MX71" s="152">
        <f>IFERROR(VLOOKUP($MK71,$AV$2:$BA$84,2,FALSE),"")</f>
        <v/>
      </c>
      <c r="MY71" s="152">
        <f>IFERROR(VLOOKUP($ML71,$AV$2:$BA$84,2,FALSE),"")</f>
        <v/>
      </c>
      <c r="MZ71" s="152">
        <f>IFERROR(VLOOKUP($MM71,$AV$2:$BA$84,2,FALSE),"")</f>
        <v/>
      </c>
      <c r="NA71" s="152">
        <f>IFERROR(VLOOKUP($MN71,$AV$2:$BA$84,2,FALSE),"")</f>
        <v/>
      </c>
      <c r="NB71" s="152">
        <f>IFERROR(VLOOKUP($MK71,$AV$2:$BA$84,3,FALSE),0)</f>
        <v/>
      </c>
      <c r="NC71" s="152">
        <f>IFERROR(VLOOKUP($ML71,$AV$2:$BA$84,3,FALSE),0)</f>
        <v/>
      </c>
      <c r="ND71" s="152">
        <f>IFERROR(VLOOKUP($MM71,$AV$2:$BA$84,3,FALSE),0)</f>
        <v/>
      </c>
      <c r="NE71" s="152">
        <f>IFERROR(VLOOKUP($MN71,$AV$2:$BA$84,3,FALSE),0)</f>
        <v/>
      </c>
      <c r="NF71" s="152">
        <f>IF($MF71=0,0,IF($MW71=0,0,INDEX($X$2:$X$11,$MW71)))</f>
        <v/>
      </c>
      <c r="NG71" s="152">
        <f>IF(OR($NB71=0,$MF71=0),0,$NB71+3*IF(AND($MX71&lt;&gt;"",OR($MX71=INDEX($EF$2:$EF$13,$MB71),$MX71=INDEX($EG$2:$EG$13,$MB71))),1,0))</f>
        <v/>
      </c>
      <c r="NH71" s="152">
        <f>IF(OR($NC71=0,$MF71=0),0,$NC71+3*IF(AND($MY71&lt;&gt;"",OR($MY71=INDEX($EF$2:$EF$13,$MB71),$MY71=INDEX($EG$2:$EG$13,$MB71))),1,0))</f>
        <v/>
      </c>
      <c r="NI71" s="152">
        <f>IF(OR($ND71=0,$MF71=0),0,$ND71+3*IF(AND($MZ71&lt;&gt;"",OR($MZ71=INDEX($EF$2:$EF$13,$MB71),$MZ71=INDEX($EG$2:$EG$13,$MB71))),1,0))</f>
        <v/>
      </c>
      <c r="NJ71" s="152">
        <f>IF(OR($NE71=0,$MF71=0),0,$NE71+3*IF(AND($NA71&lt;&gt;"",OR($NA71=INDEX($EF$2:$EF$13,$MB71),$NA71=INDEX($EG$2:$EG$13,$MB71))),1,0))</f>
        <v/>
      </c>
      <c r="NK71" s="152">
        <f>IF($MW71=0,0,IF(INDEX($W$2:$W$11,$MW71)="",0,IF(COUNTIF(INDEX($EF$2:$EJ$13,$MB71,0),INDEX($W$2:$W$11,$MW71))=0,1,0)))</f>
        <v/>
      </c>
      <c r="NL71" s="152">
        <f>IF(OR($NB71=0,$MX71=""),0,IF(COUNTIF(INDEX($EF$2:$EJ$13,$MB71,0),$MX71)=0,1,0))</f>
        <v/>
      </c>
      <c r="NM71" s="152">
        <f>IF(OR($NC71=0,$MY71=""),0,IF(COUNTIF(INDEX($EF$2:$EJ$13,$MB71,0),$MY71)=0,1,0))</f>
        <v/>
      </c>
      <c r="NN71" s="152">
        <f>IF(OR($ND71=0,$MZ71=""),0,IF(COUNTIF(INDEX($EF$2:$EJ$13,$MB71,0),$MZ71)=0,1,0))</f>
        <v/>
      </c>
      <c r="NO71" s="152">
        <f>IF(OR($NE71=0,$NA71=""),0,IF(COUNTIF(INDEX($EF$2:$EJ$13,$MB71,0),$NA71)=0,1,0))</f>
        <v/>
      </c>
      <c r="NP71" s="152">
        <f>IFERROR(VLOOKUP($MK71,$AV$2:$BA$84,4,FALSE),0)+IFERROR(VLOOKUP($ML71,$AV$2:$BA$84,4,FALSE),0)+IFERROR(VLOOKUP($MM71,$AV$2:$BA$84,4,FALSE),0)+IFERROR(VLOOKUP($MN71,$AV$2:$BA$84,4,FALSE),0)</f>
        <v/>
      </c>
      <c r="NQ71" s="152">
        <f>IFERROR(VLOOKUP($MK71,$AV$2:$BA$84,6,FALSE),0)+IFERROR(VLOOKUP($ML71,$AV$2:$BA$84,6,FALSE),0)+IFERROR(VLOOKUP($MM71,$AV$2:$BA$84,6,FALSE),0)+IFERROR(VLOOKUP($MN71,$AV$2:$BA$84,6,FALSE),0)</f>
        <v/>
      </c>
      <c r="NR71" s="152">
        <f>TEXTJOIN(", ",TRUE,IF(IFERROR(VLOOKUP($MK71,$AV$2:$BA$84,5,FALSE),0)=1,$MK71,""),IF(IFERROR(VLOOKUP($ML71,$AV$2:$BA$84,5,FALSE),0)=1,$ML71,""),IF(IFERROR(VLOOKUP($MM71,$AV$2:$BA$84,5,FALSE),0)=1,$MM71,""),IF(IFERROR(VLOOKUP($MN71,$AV$2:$BA$84,5,FALSE),0)=1,$MN71,""))</f>
        <v/>
      </c>
      <c r="NS71" s="152">
        <f>IF($MW71=0,0,INDEX($Y$2:$Y$11,$MW71))</f>
        <v/>
      </c>
      <c r="NT71" s="152">
        <f>IF($MW71=0,0,INDEX($Z$2:$Z$11,$MW71))</f>
        <v/>
      </c>
      <c r="NU71" s="152">
        <f>IF($MW71=0,0,INDEX($AB$2:$AB$11,$MW71))</f>
        <v/>
      </c>
      <c r="NV71" s="152">
        <f>IFERROR(VLOOKUP($MO71,$BC$2:$BG$24,3,FALSE),0)</f>
        <v/>
      </c>
      <c r="NW71" s="152">
        <f>IFERROR(VLOOKUP($MP71,$BC$2:$BG$24,3,FALSE),0)</f>
        <v/>
      </c>
      <c r="NX71" s="152">
        <f>IFERROR(VLOOKUP($MO71,$BC$2:$BG$24,2,FALSE),"")</f>
        <v/>
      </c>
      <c r="NY71" s="152">
        <f>IFERROR(VLOOKUP($MP71,$BC$2:$BG$24,2,FALSE),"")</f>
        <v/>
      </c>
      <c r="NZ71" s="152">
        <f>COUNTIF($NF71:$NJ71,1)</f>
        <v/>
      </c>
      <c r="OA71" s="152">
        <f>COUNTIF($NF71:$NJ71,2)</f>
        <v/>
      </c>
      <c r="OB71" s="152">
        <f>COUNTIF($NF71:$NJ71,3)</f>
        <v/>
      </c>
      <c r="OC71" s="152">
        <f>COUNTIF($NF71:$NJ71,4)</f>
        <v/>
      </c>
      <c r="OD71" s="152">
        <f>COUNTIF($NF71:$NJ71,5)</f>
        <v/>
      </c>
      <c r="OE71" s="152">
        <f>COUNTIF($NF71:$NJ71,6)</f>
        <v/>
      </c>
      <c r="OF71" s="152">
        <f>COUNTIF($NV71:$NW71,1)</f>
        <v/>
      </c>
      <c r="OG71" s="152">
        <f>COUNTIF($NV71:$NW71,2)+$NS71</f>
        <v/>
      </c>
      <c r="OH71" s="152">
        <f>COUNTIF($MK71:$MN71,"?*")</f>
        <v/>
      </c>
      <c r="OI71" s="152">
        <f>COUNTIF($MO71:$MP71,"?*")+$NS71</f>
        <v/>
      </c>
      <c r="OJ71" s="152">
        <f>IF($MF71=0,0,SUMPRODUCT($NZ71:$OE71,INDEX($I$2:$N$8,MAX(1,$MF71),0)))</f>
        <v/>
      </c>
      <c r="OK71" s="152">
        <f>IF($MF71=0,0,$OF71*CEILING($MF71/2,1)+$OG71*$MF71)</f>
        <v/>
      </c>
      <c r="OL71" s="152">
        <f>MIN(2*$MF71,$OK71)</f>
        <v/>
      </c>
      <c r="OM71" s="152">
        <f>MIN($OL71,$OJ71)</f>
        <v/>
      </c>
      <c r="ON71" s="152">
        <f>$OL71-$OM71</f>
        <v/>
      </c>
      <c r="OO71" s="152">
        <f>IF($MF71=0,0,INDEX($P$2:$P$8,MAX(1,$MF71)))</f>
        <v/>
      </c>
      <c r="OP71" s="152">
        <f>$OO71-$OJ71+$OM71</f>
        <v/>
      </c>
      <c r="OQ71" s="152">
        <f>IF($MF71=0,MAX(0,$MT71-IF($OH71&gt;0,1,0)),MAX(0,$OP71))</f>
        <v/>
      </c>
      <c r="OR71" s="152">
        <f>IF($MF71=0,0,(IF(COUNTIF($MK71:$MN71,"Salto")&gt;0,1,0)+IF(COUNTIF($MK71:$MN71,"Queima")&gt;0,1,0)+IF(COUNTIF($MK71:$MN71,"Estilhaço")&gt;0,1,0))*FLOOR($OQ71/2,1))</f>
        <v/>
      </c>
      <c r="OS71" s="152">
        <f>MAX(0,2-SUMPRODUCT($NZ71:$OE71,$I$2:$N$2)+MIN(2,$OF71*1+$OG71*1,SUMPRODUCT($NZ71:$OE71,$I$2:$N$2)))</f>
        <v/>
      </c>
      <c r="OT71" s="152">
        <f>MAX(0,4-SUMPRODUCT($NZ71:$OE71,$I$3:$N$3)+MIN(4,$OF71*1+$OG71*2,SUMPRODUCT($NZ71:$OE71,$I$3:$N$3)))</f>
        <v/>
      </c>
      <c r="OU71" s="152">
        <f>MAX(0,6-SUMPRODUCT($NZ71:$OE71,$I$4:$N$4)+MIN(6,$OF71*2+$OG71*3,SUMPRODUCT($NZ71:$OE71,$I$4:$N$4)))</f>
        <v/>
      </c>
      <c r="OV71" s="152">
        <f>MAX(0,9-SUMPRODUCT($NZ71:$OE71,$I$5:$N$5)+MIN(8,$OF71*2+$OG71*4,SUMPRODUCT($NZ71:$OE71,$I$5:$N$5)))</f>
        <v/>
      </c>
      <c r="OW71" s="152">
        <f>MAX(0,11-SUMPRODUCT($NZ71:$OE71,$I$6:$N$6)+MIN(10,$OF71*3+$OG71*5,SUMPRODUCT($NZ71:$OE71,$I$6:$N$6)))</f>
        <v/>
      </c>
      <c r="OX71" s="152">
        <f>MAX(0,13-SUMPRODUCT($NZ71:$OE71,$I$7:$N$7)+MIN(12,$OF71*3+$OG71*6,SUMPRODUCT($NZ71:$OE71,$I$7:$N$7)))</f>
        <v/>
      </c>
      <c r="OY71" s="152">
        <f>MAX(0,16-SUMPRODUCT($NZ71:$OE71,$I$8:$N$8)+MIN(14,$OF71*4+$OG71*7,SUMPRODUCT($NZ71:$OE71,$I$8:$N$8)))</f>
        <v/>
      </c>
      <c r="OZ71" s="152">
        <f>IF($NT71=2,3*$OS71&amp;" de vida temp.",IF($NT71=3,"sem dano",IF($OS71=0,IF($NT71=1,"sem cura","sem dano"),IF($NT71=1,"cura ","")&amp;$OS71&amp;"d8")))</f>
        <v/>
      </c>
      <c r="PA71" s="152">
        <f>IF($NT71=2,3*$OT71&amp;" de vida temp.",IF($NT71=3,"sem dano",IF($OT71=0,IF($NT71=1,"sem cura","sem dano"),IF($NT71=1,"cura ","")&amp;$OT71&amp;"d8")))</f>
        <v/>
      </c>
      <c r="PB71" s="152">
        <f>IF($NT71=2,3*$OU71&amp;" de vida temp.",IF($NT71=3,"sem dano",IF($OU71=0,IF($NT71=1,"sem cura","sem dano"),IF($NT71=1,"cura ","")&amp;$OU71&amp;"d8")))</f>
        <v/>
      </c>
      <c r="PC71" s="152">
        <f>IF($NT71=2,3*$OV71&amp;" de vida temp.",IF($NT71=3,"sem dano",IF($OV71=0,IF($NT71=1,"sem cura","sem dano"),IF($NT71=1,"cura ","")&amp;$OV71&amp;"d8")))</f>
        <v/>
      </c>
      <c r="PD71" s="152">
        <f>IF($NT71=2,3*$OW71&amp;" de vida temp.",IF($NT71=3,"sem dano",IF($OW71=0,IF($NT71=1,"sem cura","sem dano"),IF($NT71=1,"cura ","")&amp;$OW71&amp;"d8")))</f>
        <v/>
      </c>
      <c r="PE71" s="152">
        <f>IF($NT71=2,3*$OX71&amp;" de vida temp.",IF($NT71=3,"sem dano",IF($OX71=0,IF($NT71=1,"sem cura","sem dano"),IF($NT71=1,"cura ","")&amp;$OX71&amp;"d8")))</f>
        <v/>
      </c>
      <c r="PF71" s="152">
        <f>IF($NT71=2,3*$OY71&amp;" de vida temp.",IF($NT71=3,"sem dano",IF($OY71=0,IF($NT71=1,"sem cura","sem dano"),IF($NT71=1,"cura ","")&amp;$OY71&amp;"d8")))</f>
        <v/>
      </c>
      <c r="PG71" s="152">
        <f>IF($MQ71=0,"",TEXTJOIN(" · ",TRUE,IF($MD71&gt;$MR71,"Este lugar abre no nível "&amp;$MD71,""),IF($MF71&gt;$MS71,"Classe "&amp;$MF71&amp;": o nível "&amp;$MR71&amp;" libera até a "&amp;$MS71,""),IF($NK71=1,"A Forma "&amp;$MH71&amp;" pede "&amp;INDEX($W$2:$W$11,$MW71)&amp;" aberta",""),IF(AND($MF71=0,$MW71&gt;0,IF($MW71=0,0,INDEX($AF$2:$AF$11,$MW71))=0),$MH71&amp;" não existe na Classe 0",""),IF($NL71=1,"Família Fechada: "&amp;$MK71,""),IF($NM71=1,"Família Fechada: "&amp;$ML71,""),IF($NN71=1,"Família Fechada: "&amp;$MM71,""),IF($NO71=1,"Família Fechada: "&amp;$MN71,""),IF(AND($MF71&gt;0,$OH71&gt;INDEX($O$2:$O$8,MAX(1,$MF71))),$OH71&amp;" Melhorias: a Classe "&amp;$MF71&amp;" aceita "&amp;INDEX($O$2:$O$8,MAX(1,$MF71)),""),IF(AND($MF71=0,$OH71&gt;1),"A básica aceita uma Melhoria",""),IF(AND($MF71=0,COUNTIF($NB71:$NE71,"&gt;1")&gt;0),"A básica só aceita Melhoria Leve",""),IF(AND($MF71&gt;0,$OI71&gt;2),$OI71&amp;" Restrições"&amp;IF($NS71=1,", contando a que a Forma "&amp;$MH71&amp;" já traz","")&amp;": o limite é 2",""),IF(AND($MF71=0,COUNTIF($MO71:$MP71,"?*")&gt;1),"A básica aceita uma Restrição Leve",""),IF(AND($MF71=0,COUNTIF($NV71:$NW71,2)&gt;0),"A básica só aceita Restrição Leve",""),IF(AND($MF71&gt;0,$OP71&lt;0),"Orçamento estourado: faltam "&amp;(-$OP71)&amp;IF($OP71&lt;-1," pontos"," ponto"),""),IF(IFERROR(VLOOKUP($MO71,$BC$2:$BG$24,4,FALSE),0)+IFERROR(VLOOKUP($MP71,$BC$2:$BG$24,4,FALSE),0)&gt;1,$NX71&amp;" e "&amp;$NY71&amp;" são as duas de frequência",""),IF(AND((COUNTIF($MK71:$MN71,"Rápido")+COUNTIF($NX71:$NY71,"Rápido"))&gt;0,(COUNTIF($MK71:$MN71,"Atrasar")+COUNTIF($NX71:$NY71,"Atrasar"))&gt;0),"Rápido não entra com Atrasar",""),IF(AND((COUNTIF($MK71:$MN71,"Reação")+COUNTIF($NX71:$NY71,"Reação"))&gt;0,(COUNTIF($MK71:$MN71,"Rápido")+COUNTIF($NX71:$NY71,"Rápido"))&gt;0),"Reação não entra com Rápido",""),IF(AND((COUNTIF($MK71:$MN71,"Reação")+COUNTIF($NX71:$NY71,"Reação"))&gt;0,(COUNTIF($MK71:$MN71,"Armado")+COUNTIF($NX71:$NY71,"Armado"))&gt;0),"Reação não entra com Armado",""),IF(AND((COUNTIF($MK71:$MN71,"Reação")+COUNTIF($NX71:$NY71,"Reação"))&gt;0,(COUNTIF($MK71:$MN71,"Atrasar")+COUNTIF($NX71:$NY71,"Atrasar"))&gt;0),"Reação não entra com Atrasar",""),IF(AND((COUNTIF($MK71:$MN71,"Reação")+COUNTIF($NX71:$NY71,"Reação"))&gt;0,(COUNTIF($MK71:$MN71,"Parado")+COUNTIF($NX71:$NY71,"Parado"))&gt;0),"Reação não entra com Parado",""),IF(AND((COUNTIF($MK71:$MN71,"Atrasar")+COUNTIF($NX71:$NY71,"Atrasar"))&gt;0,(COUNTIF($MK71:$MN71,"Parado")+COUNTIF($NX71:$NY71,"Parado"))&gt;0),"Atrasar não entra com Parado",""),IF(AND((COUNTIF($MK71:$MN71,"Armado")+COUNTIF($NX71:$NY71,"Armado"))&gt;0,(COUNTIF($MK71:$MN71,"Carregar")+COUNTIF($NX71:$NY71,"Carregar"))&gt;0),"Armado não entra com Carregar",""),IF(AND(COUNTIF($NX71:$NY71,"Corpo a Corpo")&gt;0,$NS71=0,OR($MH71="Cone",$MH71="Linha")),"Corpo a Corpo não entra em "&amp;$MH71,""),IF(AND(COUNTIF($NX71:$NY71,"Corpo a Corpo")&gt;0,$NS71=1),"A Forma "&amp;$MH71&amp;" já traz o Corpo a Corpo",""),IF(AND(COUNTIF($NX71:$NY71,"Tudo ou Nada")&gt;0,$NU71=0),"Tudo ou Nada só entra em habilidade de Teste de Resistência",""),IF(AND(COUNTIF($MK71:$MN71,"Inescapável")&gt;0,OR($OH71&gt;1,$OI71&gt;0)),"Inescapável não aceita outra peça",""),IF(AND($MF71&gt;0,$OQ71*IF(COUNTIF($MK71:$MN71,"Remate")&gt;0,1.25,1)+$OR71&gt;4*$MF71),($OQ71*IF(COUNTIF($MK71:$MN71,"Remate")&gt;0,1.25,1)+$OR71)&amp;" dados somando repetições"&amp;IF(COUNTIF($MK71:$MN71,"Remate")&gt;0," e o Remate","")&amp;": o teto da Classe "&amp;$MF71&amp;" é "&amp;4*$MF71,"")))</f>
        <v/>
      </c>
      <c r="PH71" s="152">
        <f>IF($PG71="",0,(LEN($PG71)-LEN(SUBSTITUTE($PG71," · ","")))/3+1)</f>
        <v/>
      </c>
      <c r="PI71" s="152">
        <f>IF($MQ71=0,"",TEXTJOIN(" · ",TRUE,IF($OK71&gt;2*$MF71,"A devolução parou no teto de "&amp;2*$MF71,""),IF($ON71&gt;0,"Devolução perdida: "&amp;$ON71&amp;IF($ON71&gt;1," pontos"," ponto")&amp;" sem peça para pagar",""),IF(AND($NP71&gt;0,AND($MF71&gt;0,$NT71=0),$OQ71=0),"Controle sem dano: uma rodada a mais e CD +2",""),IF(AND($NP71&gt;0,AND($MF71&gt;0,$NT71=0),$OQ71&gt;0,$OQ71&lt;=$MF71),"Controle com saldo até a Classe: uma rodada a mais",""),IF(AND($MF71&gt;0,$NR71&lt;&gt;""),"Efeito de "&amp;$NR71&amp;" pela Classe "&amp;MAX(1,$MF71-1),"")))</f>
        <v/>
      </c>
      <c r="PJ71" s="152">
        <f>IF($PI71="",0,(LEN($PI71)-LEN(SUBSTITUTE($PI71," · ","")))/3+1)</f>
        <v/>
      </c>
      <c r="PK71" s="152">
        <f>IF($MQ71=0,IF($OH71+COUNTIF($MO71:$MP71,"?*")&gt;0,"Dê um nome",""),IF($PH71&gt;0,"⚠ "&amp;$PH71&amp;IF($PH71&gt;1," erros"," erro"),IF($PJ71&gt;0,"! "&amp;$PJ71&amp;IF($PJ71&gt;1," avisos"," aviso"),"Na regra")))</f>
        <v/>
      </c>
      <c r="PL71" s="152">
        <f>IF($MQ71=0,"",IF($PH71+$PJ71=0,"Dentro das regras que a ficha confere",$PG71&amp;IF(AND($PH71&gt;0,$PJ71&gt;0)," · ","")&amp;$PI71))</f>
        <v/>
      </c>
      <c r="PM71" s="152">
        <f>IF($MD71&gt;$MR71,$ME71&amp;" · ABRE NO NÍVEL "&amp;$MD71,$ME71)</f>
        <v/>
      </c>
      <c r="PN71" s="152">
        <f>IF($MQ71=0,"",IF($MF71=0,"Sem PE",3*$MF71&amp;" PE"))</f>
        <v/>
      </c>
      <c r="PO71" s="152">
        <f>IF($MQ71=0,"",IF($MF71=0,"A atuação básica dela",IF(COUNTIF($NX71:$NY71,"Atrasar")&gt;0,"Sua Ação Completa",IF(COUNTIF($MK71:$MN71,"Rápido")&gt;0,"Sua Bônus",IF(COUNTIF($MK71:$MN71,"Reação")&gt;0,"Sua Reação","Sua Padrão")))&amp;" + a básica dela"&amp;IF(COUNTIF($MK71:$MN71,"Reação")&gt;0," e a coletiva","")&amp;IF(COUNTIF($NX71:$NY71,"Carregar")&gt;0," · em dois turnos","")))</f>
        <v/>
      </c>
      <c r="PP71" s="152">
        <f>IF($MJ71&lt;&gt;"",$MJ71,IF($MW71=0,"",INDEX($AA$2:$AA$11,$MW71)))</f>
        <v/>
      </c>
      <c r="PQ71" s="152">
        <f>IF(OR($MQ71=0,$MW71=0),"",IF(COUNTIF($MK71:$MN71,"Inescapável")&gt;0,"Automático",IF($PP71="Ataque",IF($MU71="","Ataque","Ataque "&amp;IF(($MU71+2*IF(COUNTIF($MK71:$MN71,"Precisão")&gt;0,1,0))&gt;=0,"+","−")&amp;ABS(($MU71+2*IF(COUNTIF($MK71:$MN71,"Precisão")&gt;0,1,0))))&amp;IF($NQ71&gt;0," · TR"&amp;IF($MV71="",""," CD "&amp;$MV71),""),IF(LEFT($PP71,2)="TR",$PP71&amp;IF($MV71="",""," · CD "&amp;$MV71)&amp;IF(COUNTIF($MK71:$MN71,"Certeiro")&gt;0," · metade",""),"Sem rolagem"))))</f>
        <v/>
      </c>
      <c r="PR71" s="152">
        <f>IF(OR($MQ71=0,$MW71=0),"",IF($MF71=0,IF(OR($NT71&gt;=1,$OQ71=0),"Sem dano",$OQ71&amp;"d6"&amp;IF($MI71="",""," "&amp;$MI71)),IF(OR($NT71&gt;=1,$OQ71=0),UPPER(LEFT(INDEX($OZ71:$PF71,1,MAX(1,$MF71)),1))&amp;MID(INDEX($OZ71:$PF71,1,MAX(1,$MF71)),2,99),UPPER(LEFT(INDEX($OZ71:$PF71,1,MAX(1,$MF71)),1))&amp;MID(INDEX($OZ71:$PF71,1,MAX(1,$MF71)),2,99)&amp;IF($MI71="",""," "&amp;$MI71)&amp;IF($OR71&gt;0," · +"&amp;$OR71&amp;"d8",""))))</f>
        <v/>
      </c>
      <c r="PS71" s="152">
        <f>COUNTIF($MK71:$MN71,"Longe")+3*COUNTIF($MK71:$MN71,"Muito Longe")</f>
        <v/>
      </c>
      <c r="PT71" s="152">
        <f>COUNTIF($MK71:$MN71,"Maior")+3*COUNTIF($MK71:$MN71,"Muito Maior")</f>
        <v/>
      </c>
      <c r="PU71" s="152">
        <f>IF($MW71=0,0,CHOOSE(1+INDEX($AC$2:$AC$11,$MW71),0,$PS71,$PT71,$PS71+$PT71))</f>
        <v/>
      </c>
      <c r="PV71" s="152">
        <f>IF($MW71=0,0,CHOOSE(1+INDEX($AD$2:$AD$11,$MW71),0,$PS71,$PT71,$PS71+$PT71))</f>
        <v/>
      </c>
      <c r="PW71" s="152">
        <f>IF(OR($MQ71=0,$MW71=0),"",INDEX($AI$2:$AN$41,($MW71-1)*4+IF($MF71=0,1,IF($MF71&lt;=5,2,IF($MF71=6,3,4))),1+MIN(5,$PU71))&amp;INDEX($AO$2:$AT$41,($MW71-1)*4+IF($MF71=0,1,IF($MF71&lt;=5,2,IF($MF71=6,3,4))),1+MIN(5,$PV71))&amp;IF(INDEX($AE$2:$AE$11,$MW71)=1,IF(COUNTIF($MK71:$MN71,"Mais Um")&gt;0," · +"&amp;COUNTIF($MK71:$MN71,"Mais Um")&amp;IF(COUNTIF($MK71:$MN71,"Mais Um")&gt;1," alvos"," alvo"),"")&amp;IF(COUNTIF($MK71:$MN71,"Rajada")&gt;0,IF($MF71=0," · 1 tiro"," · "&amp;(MAX(1,$MF71-1)+1)&amp;" tiros"),""),""))</f>
        <v/>
      </c>
      <c r="PX71" s="152">
        <f>IF($MQ71=0,"",IF($MF71=0,$MT71&amp;"d6"&amp;IF($OH71&gt;0," − 1 = "&amp;$OQ71&amp;"d6"," da básica do nível "&amp;$MR71),$OO71&amp;" − "&amp;$OJ71&amp;" + "&amp;$OM71&amp;" = "&amp;$OP71&amp;" · teto "&amp;4*$MF71&amp;"d8"&amp;IF($NS71=1," · a Forma devolve "&amp;$MF71,"")&amp;IF($ON71&gt;0," · perde "&amp;$ON71,"")))</f>
        <v/>
      </c>
      <c r="PY71" s="152">
        <f>IF($MQ71=0,"",IF($MF71=0,"A básica não amplia: os dados dela sobem com o nível",IF($MF71&gt;=$MS71,"Já está na maior Classe que o nível liberou",TEXTJOIN(" · ",TRUE,IF(AND(2&gt;$MF71,2&lt;=$MS71),"2 → "&amp;$PA71&amp;", 6 PE",""),IF(AND(3&gt;$MF71,3&lt;=$MS71),"3 → "&amp;$PB71&amp;", 9 PE",""),IF(AND(4&gt;$MF71,4&lt;=$MS71),"4 → "&amp;$PC71&amp;", 12 PE",""),IF(AND(5&gt;$MF71,5&lt;=$MS71),"5 → "&amp;$PD71&amp;", 15 PE",""),IF(AND(6&gt;$MF71,6&lt;=$MS71),"6 → "&amp;$PE71&amp;", 18 PE",""),IF(AND(7&gt;$MF71,7&lt;=$MS71),"7 → "&amp;$PF71&amp;", 21 PE","")))))</f>
        <v/>
      </c>
      <c r="PZ71" s="152">
        <f>IF(OR($MQ71=0,$NB71=0),"",IF($MF71=0,"−1 dado","−"&amp;INDEX($I$2:$N$8,MAX(1,$MF71),MAX(1,$NG71))&amp;" · "&amp;CHOOSE(MAX(1,$NG71),"Leve","Média","Pesada","Leve · Livre","Média · Livre","Pesada · Livre")))</f>
        <v/>
      </c>
      <c r="QA71" s="152">
        <f>IF(OR($MQ71=0,$NC71=0),"",IF($MF71=0,"−1 dado","−"&amp;INDEX($I$2:$N$8,MAX(1,$MF71),MAX(1,$NH71))&amp;" · "&amp;CHOOSE(MAX(1,$NH71),"Leve","Média","Pesada","Leve · Livre","Média · Livre","Pesada · Livre")))</f>
        <v/>
      </c>
      <c r="QB71" s="152">
        <f>IF(OR($MQ71=0,$ND71=0),"",IF($MF71=0,"−1 dado","−"&amp;INDEX($I$2:$N$8,MAX(1,$MF71),MAX(1,$NI71))&amp;" · "&amp;CHOOSE(MAX(1,$NI71),"Leve","Média","Pesada","Leve · Livre","Média · Livre","Pesada · Livre")))</f>
        <v/>
      </c>
      <c r="QC71" s="152">
        <f>IF(OR($MQ71=0,$NE71=0),"",IF($MF71=0,"−1 dado","−"&amp;INDEX($I$2:$N$8,MAX(1,$MF71),MAX(1,$NJ71))&amp;" · "&amp;CHOOSE(MAX(1,$NJ71),"Leve","Média","Pesada","Leve · Livre","Média · Livre","Pesada · Livre")))</f>
        <v/>
      </c>
      <c r="QD71" s="152">
        <f>IF(OR($MQ71=0,$MO71=""),"",IF($MF71=0,"não devolve","+"&amp;IF($NV71=1,CEILING($MF71/2,1),$MF71)))</f>
        <v/>
      </c>
      <c r="QE71" s="152">
        <f>IF(OR($MQ71=0,$MP71=""),"",IF($MF71=0,"não devolve","+"&amp;IF($NW71=1,CEILING($MF71/2,1),$MF71)))</f>
        <v/>
      </c>
    </row>
    <row r="72">
      <c r="AV72" s="150" t="inlineStr">
        <is>
          <t>Sugar</t>
        </is>
      </c>
      <c r="AW72" s="150" t="inlineStr">
        <is>
          <t>Marca</t>
        </is>
      </c>
      <c r="AX72" s="152" t="n">
        <v>2</v>
      </c>
      <c r="AY72" s="152" t="n">
        <v>0</v>
      </c>
      <c r="AZ72" s="152" t="n">
        <v>1</v>
      </c>
      <c r="BA72" s="152" t="n">
        <v>0</v>
      </c>
      <c r="JG72" s="152">
        <f>IF(OR($AW72="",COUNTIF($EF$2:$EJ$2,$AW72)&gt;0),$AV72,"")</f>
        <v/>
      </c>
      <c r="JH72" s="152">
        <f>IF(AND($AX72=1,OR($AW72="",COUNTIF($EF$2:$EJ$2,$AW72)&gt;0)),$AV72,"")</f>
        <v/>
      </c>
      <c r="JM72" s="152">
        <f>IF(OR($AW72="",COUNTIF($EF$3:$EJ$3,$AW72)&gt;0),$AV72,"")</f>
        <v/>
      </c>
      <c r="JN72" s="152">
        <f>IF(AND($AX72=1,OR($AW72="",COUNTIF($EF$3:$EJ$3,$AW72)&gt;0)),$AV72,"")</f>
        <v/>
      </c>
      <c r="JS72" s="152">
        <f>IF(OR($AW72="",COUNTIF($EF$4:$EJ$4,$AW72)&gt;0),$AV72,"")</f>
        <v/>
      </c>
      <c r="JT72" s="152">
        <f>IF(AND($AX72=1,OR($AW72="",COUNTIF($EF$4:$EJ$4,$AW72)&gt;0)),$AV72,"")</f>
        <v/>
      </c>
      <c r="JY72" s="152">
        <f>IF(OR($AW72="",COUNTIF($EF$5:$EJ$5,$AW72)&gt;0),$AV72,"")</f>
        <v/>
      </c>
      <c r="JZ72" s="152">
        <f>IF(AND($AX72=1,OR($AW72="",COUNTIF($EF$5:$EJ$5,$AW72)&gt;0)),$AV72,"")</f>
        <v/>
      </c>
      <c r="KE72" s="152">
        <f>IF(OR($AW72="",COUNTIF($EF$6:$EJ$6,$AW72)&gt;0),$AV72,"")</f>
        <v/>
      </c>
      <c r="KF72" s="152">
        <f>IF(AND($AX72=1,OR($AW72="",COUNTIF($EF$6:$EJ$6,$AW72)&gt;0)),$AV72,"")</f>
        <v/>
      </c>
      <c r="KK72" s="152">
        <f>IF(OR($AW72="",COUNTIF($EF$7:$EJ$7,$AW72)&gt;0),$AV72,"")</f>
        <v/>
      </c>
      <c r="KL72" s="152">
        <f>IF(AND($AX72=1,OR($AW72="",COUNTIF($EF$7:$EJ$7,$AW72)&gt;0)),$AV72,"")</f>
        <v/>
      </c>
      <c r="KQ72" s="152">
        <f>IF(OR($AW72="",COUNTIF($EF$8:$EJ$8,$AW72)&gt;0),$AV72,"")</f>
        <v/>
      </c>
      <c r="KR72" s="152">
        <f>IF(AND($AX72=1,OR($AW72="",COUNTIF($EF$8:$EJ$8,$AW72)&gt;0)),$AV72,"")</f>
        <v/>
      </c>
      <c r="KW72" s="152">
        <f>IF(OR($AW72="",COUNTIF($EF$9:$EJ$9,$AW72)&gt;0),$AV72,"")</f>
        <v/>
      </c>
      <c r="KX72" s="152">
        <f>IF(AND($AX72=1,OR($AW72="",COUNTIF($EF$9:$EJ$9,$AW72)&gt;0)),$AV72,"")</f>
        <v/>
      </c>
      <c r="LC72" s="152">
        <f>IF(OR($AW72="",COUNTIF($EF$10:$EJ$10,$AW72)&gt;0),$AV72,"")</f>
        <v/>
      </c>
      <c r="LD72" s="152">
        <f>IF(AND($AX72=1,OR($AW72="",COUNTIF($EF$10:$EJ$10,$AW72)&gt;0)),$AV72,"")</f>
        <v/>
      </c>
      <c r="LI72" s="152">
        <f>IF(OR($AW72="",COUNTIF($EF$11:$EJ$11,$AW72)&gt;0),$AV72,"")</f>
        <v/>
      </c>
      <c r="LJ72" s="152">
        <f>IF(AND($AX72=1,OR($AW72="",COUNTIF($EF$11:$EJ$11,$AW72)&gt;0)),$AV72,"")</f>
        <v/>
      </c>
      <c r="LO72" s="152">
        <f>IF(OR($AW72="",COUNTIF($EF$12:$EJ$12,$AW72)&gt;0),$AV72,"")</f>
        <v/>
      </c>
      <c r="LP72" s="152">
        <f>IF(AND($AX72=1,OR($AW72="",COUNTIF($EF$12:$EJ$12,$AW72)&gt;0)),$AV72,"")</f>
        <v/>
      </c>
      <c r="LU72" s="152">
        <f>IF(OR($AW72="",COUNTIF($EF$13:$EJ$13,$AW72)&gt;0),$AV72,"")</f>
        <v/>
      </c>
      <c r="LV72" s="152">
        <f>IF(AND($AX72=1,OR($AW72="",COUNTIF($EF$13:$EJ$13,$AW72)&gt;0)),$AV72,"")</f>
        <v/>
      </c>
      <c r="MA72" s="150" t="inlineStr">
        <is>
          <t>Ficha 6 · Especial 4</t>
        </is>
      </c>
      <c r="MB72" s="152" t="n">
        <v>6</v>
      </c>
      <c r="MC72" s="152" t="n">
        <v>1</v>
      </c>
      <c r="MD72" s="152" t="n">
        <v>12</v>
      </c>
      <c r="ME72" s="150" t="inlineStr">
        <is>
          <t>ESPECIAL 4</t>
        </is>
      </c>
      <c r="MF72" s="152">
        <f>MAX(1,MIN(7,N('INVOCAÇÕES'!$U$1082)))</f>
        <v/>
      </c>
      <c r="MG72" s="152">
        <f>'INVOCAÇÕES'!$V$1082&amp;""</f>
        <v/>
      </c>
      <c r="MH72" s="152">
        <f>'INVOCAÇÕES'!$U$1087&amp;""</f>
        <v/>
      </c>
      <c r="MI72" s="152">
        <f>'INVOCAÇÕES'!$U$1088&amp;""</f>
        <v/>
      </c>
      <c r="MJ72" s="152">
        <f>'INVOCAÇÕES'!$W$1088&amp;""</f>
        <v/>
      </c>
      <c r="MK72" s="152">
        <f>'INVOCAÇÕES'!$V$1091&amp;""</f>
        <v/>
      </c>
      <c r="ML72" s="152">
        <f>'INVOCAÇÕES'!$V$1092&amp;""</f>
        <v/>
      </c>
      <c r="MM72" s="152">
        <f>'INVOCAÇÕES'!$V$1093&amp;""</f>
        <v/>
      </c>
      <c r="MN72" s="152">
        <f>'INVOCAÇÕES'!$V$1094&amp;""</f>
        <v/>
      </c>
      <c r="MO72" s="152">
        <f>'INVOCAÇÕES'!$V$1095&amp;""</f>
        <v/>
      </c>
      <c r="MP72" s="152">
        <f>'INVOCAÇÕES'!$V$1096&amp;""</f>
        <v/>
      </c>
      <c r="MQ72" s="152">
        <f>IF($MG72&lt;&gt;"",1,0)</f>
        <v/>
      </c>
      <c r="MR72" s="152">
        <f>INDEX($FI$2:$FI$13,$MB72)</f>
        <v/>
      </c>
      <c r="MS72" s="152">
        <f>INDEX($FJ$2:$FJ$13,$MB72)</f>
        <v/>
      </c>
      <c r="MT72" s="152">
        <f>INDEX($FK$2:$FK$13,$MB72)</f>
        <v/>
      </c>
      <c r="MU72" s="152">
        <f>INDEX($FV$2:$FV$13,$MB72)</f>
        <v/>
      </c>
      <c r="MV72" s="152">
        <f>INDEX($FW$2:$FW$13,$MB72)</f>
        <v/>
      </c>
      <c r="MW72" s="152">
        <f>IFERROR(MATCH($MH72,$V$2:$V$11,0),0)</f>
        <v/>
      </c>
      <c r="MX72" s="152">
        <f>IFERROR(VLOOKUP($MK72,$AV$2:$BA$84,2,FALSE),"")</f>
        <v/>
      </c>
      <c r="MY72" s="152">
        <f>IFERROR(VLOOKUP($ML72,$AV$2:$BA$84,2,FALSE),"")</f>
        <v/>
      </c>
      <c r="MZ72" s="152">
        <f>IFERROR(VLOOKUP($MM72,$AV$2:$BA$84,2,FALSE),"")</f>
        <v/>
      </c>
      <c r="NA72" s="152">
        <f>IFERROR(VLOOKUP($MN72,$AV$2:$BA$84,2,FALSE),"")</f>
        <v/>
      </c>
      <c r="NB72" s="152">
        <f>IFERROR(VLOOKUP($MK72,$AV$2:$BA$84,3,FALSE),0)</f>
        <v/>
      </c>
      <c r="NC72" s="152">
        <f>IFERROR(VLOOKUP($ML72,$AV$2:$BA$84,3,FALSE),0)</f>
        <v/>
      </c>
      <c r="ND72" s="152">
        <f>IFERROR(VLOOKUP($MM72,$AV$2:$BA$84,3,FALSE),0)</f>
        <v/>
      </c>
      <c r="NE72" s="152">
        <f>IFERROR(VLOOKUP($MN72,$AV$2:$BA$84,3,FALSE),0)</f>
        <v/>
      </c>
      <c r="NF72" s="152">
        <f>IF($MF72=0,0,IF($MW72=0,0,INDEX($X$2:$X$11,$MW72)))</f>
        <v/>
      </c>
      <c r="NG72" s="152">
        <f>IF(OR($NB72=0,$MF72=0),0,$NB72+3*IF(AND($MX72&lt;&gt;"",OR($MX72=INDEX($EF$2:$EF$13,$MB72),$MX72=INDEX($EG$2:$EG$13,$MB72))),1,0))</f>
        <v/>
      </c>
      <c r="NH72" s="152">
        <f>IF(OR($NC72=0,$MF72=0),0,$NC72+3*IF(AND($MY72&lt;&gt;"",OR($MY72=INDEX($EF$2:$EF$13,$MB72),$MY72=INDEX($EG$2:$EG$13,$MB72))),1,0))</f>
        <v/>
      </c>
      <c r="NI72" s="152">
        <f>IF(OR($ND72=0,$MF72=0),0,$ND72+3*IF(AND($MZ72&lt;&gt;"",OR($MZ72=INDEX($EF$2:$EF$13,$MB72),$MZ72=INDEX($EG$2:$EG$13,$MB72))),1,0))</f>
        <v/>
      </c>
      <c r="NJ72" s="152">
        <f>IF(OR($NE72=0,$MF72=0),0,$NE72+3*IF(AND($NA72&lt;&gt;"",OR($NA72=INDEX($EF$2:$EF$13,$MB72),$NA72=INDEX($EG$2:$EG$13,$MB72))),1,0))</f>
        <v/>
      </c>
      <c r="NK72" s="152">
        <f>IF($MW72=0,0,IF(INDEX($W$2:$W$11,$MW72)="",0,IF(COUNTIF(INDEX($EF$2:$EJ$13,$MB72,0),INDEX($W$2:$W$11,$MW72))=0,1,0)))</f>
        <v/>
      </c>
      <c r="NL72" s="152">
        <f>IF(OR($NB72=0,$MX72=""),0,IF(COUNTIF(INDEX($EF$2:$EJ$13,$MB72,0),$MX72)=0,1,0))</f>
        <v/>
      </c>
      <c r="NM72" s="152">
        <f>IF(OR($NC72=0,$MY72=""),0,IF(COUNTIF(INDEX($EF$2:$EJ$13,$MB72,0),$MY72)=0,1,0))</f>
        <v/>
      </c>
      <c r="NN72" s="152">
        <f>IF(OR($ND72=0,$MZ72=""),0,IF(COUNTIF(INDEX($EF$2:$EJ$13,$MB72,0),$MZ72)=0,1,0))</f>
        <v/>
      </c>
      <c r="NO72" s="152">
        <f>IF(OR($NE72=0,$NA72=""),0,IF(COUNTIF(INDEX($EF$2:$EJ$13,$MB72,0),$NA72)=0,1,0))</f>
        <v/>
      </c>
      <c r="NP72" s="152">
        <f>IFERROR(VLOOKUP($MK72,$AV$2:$BA$84,4,FALSE),0)+IFERROR(VLOOKUP($ML72,$AV$2:$BA$84,4,FALSE),0)+IFERROR(VLOOKUP($MM72,$AV$2:$BA$84,4,FALSE),0)+IFERROR(VLOOKUP($MN72,$AV$2:$BA$84,4,FALSE),0)</f>
        <v/>
      </c>
      <c r="NQ72" s="152">
        <f>IFERROR(VLOOKUP($MK72,$AV$2:$BA$84,6,FALSE),0)+IFERROR(VLOOKUP($ML72,$AV$2:$BA$84,6,FALSE),0)+IFERROR(VLOOKUP($MM72,$AV$2:$BA$84,6,FALSE),0)+IFERROR(VLOOKUP($MN72,$AV$2:$BA$84,6,FALSE),0)</f>
        <v/>
      </c>
      <c r="NR72" s="152">
        <f>TEXTJOIN(", ",TRUE,IF(IFERROR(VLOOKUP($MK72,$AV$2:$BA$84,5,FALSE),0)=1,$MK72,""),IF(IFERROR(VLOOKUP($ML72,$AV$2:$BA$84,5,FALSE),0)=1,$ML72,""),IF(IFERROR(VLOOKUP($MM72,$AV$2:$BA$84,5,FALSE),0)=1,$MM72,""),IF(IFERROR(VLOOKUP($MN72,$AV$2:$BA$84,5,FALSE),0)=1,$MN72,""))</f>
        <v/>
      </c>
      <c r="NS72" s="152">
        <f>IF($MW72=0,0,INDEX($Y$2:$Y$11,$MW72))</f>
        <v/>
      </c>
      <c r="NT72" s="152">
        <f>IF($MW72=0,0,INDEX($Z$2:$Z$11,$MW72))</f>
        <v/>
      </c>
      <c r="NU72" s="152">
        <f>IF($MW72=0,0,INDEX($AB$2:$AB$11,$MW72))</f>
        <v/>
      </c>
      <c r="NV72" s="152">
        <f>IFERROR(VLOOKUP($MO72,$BC$2:$BG$24,3,FALSE),0)</f>
        <v/>
      </c>
      <c r="NW72" s="152">
        <f>IFERROR(VLOOKUP($MP72,$BC$2:$BG$24,3,FALSE),0)</f>
        <v/>
      </c>
      <c r="NX72" s="152">
        <f>IFERROR(VLOOKUP($MO72,$BC$2:$BG$24,2,FALSE),"")</f>
        <v/>
      </c>
      <c r="NY72" s="152">
        <f>IFERROR(VLOOKUP($MP72,$BC$2:$BG$24,2,FALSE),"")</f>
        <v/>
      </c>
      <c r="NZ72" s="152">
        <f>COUNTIF($NF72:$NJ72,1)</f>
        <v/>
      </c>
      <c r="OA72" s="152">
        <f>COUNTIF($NF72:$NJ72,2)</f>
        <v/>
      </c>
      <c r="OB72" s="152">
        <f>COUNTIF($NF72:$NJ72,3)</f>
        <v/>
      </c>
      <c r="OC72" s="152">
        <f>COUNTIF($NF72:$NJ72,4)</f>
        <v/>
      </c>
      <c r="OD72" s="152">
        <f>COUNTIF($NF72:$NJ72,5)</f>
        <v/>
      </c>
      <c r="OE72" s="152">
        <f>COUNTIF($NF72:$NJ72,6)</f>
        <v/>
      </c>
      <c r="OF72" s="152">
        <f>COUNTIF($NV72:$NW72,1)</f>
        <v/>
      </c>
      <c r="OG72" s="152">
        <f>COUNTIF($NV72:$NW72,2)+$NS72</f>
        <v/>
      </c>
      <c r="OH72" s="152">
        <f>COUNTIF($MK72:$MN72,"?*")</f>
        <v/>
      </c>
      <c r="OI72" s="152">
        <f>COUNTIF($MO72:$MP72,"?*")+$NS72</f>
        <v/>
      </c>
      <c r="OJ72" s="152">
        <f>IF($MF72=0,0,SUMPRODUCT($NZ72:$OE72,INDEX($I$2:$N$8,MAX(1,$MF72),0)))</f>
        <v/>
      </c>
      <c r="OK72" s="152">
        <f>IF($MF72=0,0,$OF72*CEILING($MF72/2,1)+$OG72*$MF72)</f>
        <v/>
      </c>
      <c r="OL72" s="152">
        <f>MIN(2*$MF72,$OK72)</f>
        <v/>
      </c>
      <c r="OM72" s="152">
        <f>MIN($OL72,$OJ72)</f>
        <v/>
      </c>
      <c r="ON72" s="152">
        <f>$OL72-$OM72</f>
        <v/>
      </c>
      <c r="OO72" s="152">
        <f>IF($MF72=0,0,INDEX($P$2:$P$8,MAX(1,$MF72)))</f>
        <v/>
      </c>
      <c r="OP72" s="152">
        <f>$OO72-$OJ72+$OM72</f>
        <v/>
      </c>
      <c r="OQ72" s="152">
        <f>IF($MF72=0,MAX(0,$MT72-IF($OH72&gt;0,1,0)),MAX(0,$OP72))</f>
        <v/>
      </c>
      <c r="OR72" s="152">
        <f>IF($MF72=0,0,(IF(COUNTIF($MK72:$MN72,"Salto")&gt;0,1,0)+IF(COUNTIF($MK72:$MN72,"Queima")&gt;0,1,0)+IF(COUNTIF($MK72:$MN72,"Estilhaço")&gt;0,1,0))*FLOOR($OQ72/2,1))</f>
        <v/>
      </c>
      <c r="OS72" s="152">
        <f>MAX(0,2-SUMPRODUCT($NZ72:$OE72,$I$2:$N$2)+MIN(2,$OF72*1+$OG72*1,SUMPRODUCT($NZ72:$OE72,$I$2:$N$2)))</f>
        <v/>
      </c>
      <c r="OT72" s="152">
        <f>MAX(0,4-SUMPRODUCT($NZ72:$OE72,$I$3:$N$3)+MIN(4,$OF72*1+$OG72*2,SUMPRODUCT($NZ72:$OE72,$I$3:$N$3)))</f>
        <v/>
      </c>
      <c r="OU72" s="152">
        <f>MAX(0,6-SUMPRODUCT($NZ72:$OE72,$I$4:$N$4)+MIN(6,$OF72*2+$OG72*3,SUMPRODUCT($NZ72:$OE72,$I$4:$N$4)))</f>
        <v/>
      </c>
      <c r="OV72" s="152">
        <f>MAX(0,9-SUMPRODUCT($NZ72:$OE72,$I$5:$N$5)+MIN(8,$OF72*2+$OG72*4,SUMPRODUCT($NZ72:$OE72,$I$5:$N$5)))</f>
        <v/>
      </c>
      <c r="OW72" s="152">
        <f>MAX(0,11-SUMPRODUCT($NZ72:$OE72,$I$6:$N$6)+MIN(10,$OF72*3+$OG72*5,SUMPRODUCT($NZ72:$OE72,$I$6:$N$6)))</f>
        <v/>
      </c>
      <c r="OX72" s="152">
        <f>MAX(0,13-SUMPRODUCT($NZ72:$OE72,$I$7:$N$7)+MIN(12,$OF72*3+$OG72*6,SUMPRODUCT($NZ72:$OE72,$I$7:$N$7)))</f>
        <v/>
      </c>
      <c r="OY72" s="152">
        <f>MAX(0,16-SUMPRODUCT($NZ72:$OE72,$I$8:$N$8)+MIN(14,$OF72*4+$OG72*7,SUMPRODUCT($NZ72:$OE72,$I$8:$N$8)))</f>
        <v/>
      </c>
      <c r="OZ72" s="152">
        <f>IF($NT72=2,3*$OS72&amp;" de vida temp.",IF($NT72=3,"sem dano",IF($OS72=0,IF($NT72=1,"sem cura","sem dano"),IF($NT72=1,"cura ","")&amp;$OS72&amp;"d8")))</f>
        <v/>
      </c>
      <c r="PA72" s="152">
        <f>IF($NT72=2,3*$OT72&amp;" de vida temp.",IF($NT72=3,"sem dano",IF($OT72=0,IF($NT72=1,"sem cura","sem dano"),IF($NT72=1,"cura ","")&amp;$OT72&amp;"d8")))</f>
        <v/>
      </c>
      <c r="PB72" s="152">
        <f>IF($NT72=2,3*$OU72&amp;" de vida temp.",IF($NT72=3,"sem dano",IF($OU72=0,IF($NT72=1,"sem cura","sem dano"),IF($NT72=1,"cura ","")&amp;$OU72&amp;"d8")))</f>
        <v/>
      </c>
      <c r="PC72" s="152">
        <f>IF($NT72=2,3*$OV72&amp;" de vida temp.",IF($NT72=3,"sem dano",IF($OV72=0,IF($NT72=1,"sem cura","sem dano"),IF($NT72=1,"cura ","")&amp;$OV72&amp;"d8")))</f>
        <v/>
      </c>
      <c r="PD72" s="152">
        <f>IF($NT72=2,3*$OW72&amp;" de vida temp.",IF($NT72=3,"sem dano",IF($OW72=0,IF($NT72=1,"sem cura","sem dano"),IF($NT72=1,"cura ","")&amp;$OW72&amp;"d8")))</f>
        <v/>
      </c>
      <c r="PE72" s="152">
        <f>IF($NT72=2,3*$OX72&amp;" de vida temp.",IF($NT72=3,"sem dano",IF($OX72=0,IF($NT72=1,"sem cura","sem dano"),IF($NT72=1,"cura ","")&amp;$OX72&amp;"d8")))</f>
        <v/>
      </c>
      <c r="PF72" s="152">
        <f>IF($NT72=2,3*$OY72&amp;" de vida temp.",IF($NT72=3,"sem dano",IF($OY72=0,IF($NT72=1,"sem cura","sem dano"),IF($NT72=1,"cura ","")&amp;$OY72&amp;"d8")))</f>
        <v/>
      </c>
      <c r="PG72" s="152">
        <f>IF($MQ72=0,"",TEXTJOIN(" · ",TRUE,IF($MD72&gt;$MR72,"Este lugar abre no nível "&amp;$MD72,""),IF($MF72&gt;$MS72,"Classe "&amp;$MF72&amp;": o nível "&amp;$MR72&amp;" libera até a "&amp;$MS72,""),IF($NK72=1,"A Forma "&amp;$MH72&amp;" pede "&amp;INDEX($W$2:$W$11,$MW72)&amp;" aberta",""),IF(AND($MF72=0,$MW72&gt;0,IF($MW72=0,0,INDEX($AF$2:$AF$11,$MW72))=0),$MH72&amp;" não existe na Classe 0",""),IF($NL72=1,"Família Fechada: "&amp;$MK72,""),IF($NM72=1,"Família Fechada: "&amp;$ML72,""),IF($NN72=1,"Família Fechada: "&amp;$MM72,""),IF($NO72=1,"Família Fechada: "&amp;$MN72,""),IF(AND($MF72&gt;0,$OH72&gt;INDEX($O$2:$O$8,MAX(1,$MF72))),$OH72&amp;" Melhorias: a Classe "&amp;$MF72&amp;" aceita "&amp;INDEX($O$2:$O$8,MAX(1,$MF72)),""),IF(AND($MF72=0,$OH72&gt;1),"A básica aceita uma Melhoria",""),IF(AND($MF72=0,COUNTIF($NB72:$NE72,"&gt;1")&gt;0),"A básica só aceita Melhoria Leve",""),IF(AND($MF72&gt;0,$OI72&gt;2),$OI72&amp;" Restrições"&amp;IF($NS72=1,", contando a que a Forma "&amp;$MH72&amp;" já traz","")&amp;": o limite é 2",""),IF(AND($MF72=0,COUNTIF($MO72:$MP72,"?*")&gt;1),"A básica aceita uma Restrição Leve",""),IF(AND($MF72=0,COUNTIF($NV72:$NW72,2)&gt;0),"A básica só aceita Restrição Leve",""),IF(AND($MF72&gt;0,$OP72&lt;0),"Orçamento estourado: faltam "&amp;(-$OP72)&amp;IF($OP72&lt;-1," pontos"," ponto"),""),IF(IFERROR(VLOOKUP($MO72,$BC$2:$BG$24,4,FALSE),0)+IFERROR(VLOOKUP($MP72,$BC$2:$BG$24,4,FALSE),0)&gt;1,$NX72&amp;" e "&amp;$NY72&amp;" são as duas de frequência",""),IF(AND((COUNTIF($MK72:$MN72,"Rápido")+COUNTIF($NX72:$NY72,"Rápido"))&gt;0,(COUNTIF($MK72:$MN72,"Atrasar")+COUNTIF($NX72:$NY72,"Atrasar"))&gt;0),"Rápido não entra com Atrasar",""),IF(AND((COUNTIF($MK72:$MN72,"Reação")+COUNTIF($NX72:$NY72,"Reação"))&gt;0,(COUNTIF($MK72:$MN72,"Rápido")+COUNTIF($NX72:$NY72,"Rápido"))&gt;0),"Reação não entra com Rápido",""),IF(AND((COUNTIF($MK72:$MN72,"Reação")+COUNTIF($NX72:$NY72,"Reação"))&gt;0,(COUNTIF($MK72:$MN72,"Armado")+COUNTIF($NX72:$NY72,"Armado"))&gt;0),"Reação não entra com Armado",""),IF(AND((COUNTIF($MK72:$MN72,"Reação")+COUNTIF($NX72:$NY72,"Reação"))&gt;0,(COUNTIF($MK72:$MN72,"Atrasar")+COUNTIF($NX72:$NY72,"Atrasar"))&gt;0),"Reação não entra com Atrasar",""),IF(AND((COUNTIF($MK72:$MN72,"Reação")+COUNTIF($NX72:$NY72,"Reação"))&gt;0,(COUNTIF($MK72:$MN72,"Parado")+COUNTIF($NX72:$NY72,"Parado"))&gt;0),"Reação não entra com Parado",""),IF(AND((COUNTIF($MK72:$MN72,"Atrasar")+COUNTIF($NX72:$NY72,"Atrasar"))&gt;0,(COUNTIF($MK72:$MN72,"Parado")+COUNTIF($NX72:$NY72,"Parado"))&gt;0),"Atrasar não entra com Parado",""),IF(AND((COUNTIF($MK72:$MN72,"Armado")+COUNTIF($NX72:$NY72,"Armado"))&gt;0,(COUNTIF($MK72:$MN72,"Carregar")+COUNTIF($NX72:$NY72,"Carregar"))&gt;0),"Armado não entra com Carregar",""),IF(AND(COUNTIF($NX72:$NY72,"Corpo a Corpo")&gt;0,$NS72=0,OR($MH72="Cone",$MH72="Linha")),"Corpo a Corpo não entra em "&amp;$MH72,""),IF(AND(COUNTIF($NX72:$NY72,"Corpo a Corpo")&gt;0,$NS72=1),"A Forma "&amp;$MH72&amp;" já traz o Corpo a Corpo",""),IF(AND(COUNTIF($NX72:$NY72,"Tudo ou Nada")&gt;0,$NU72=0),"Tudo ou Nada só entra em habilidade de Teste de Resistência",""),IF(AND(COUNTIF($MK72:$MN72,"Inescapável")&gt;0,OR($OH72&gt;1,$OI72&gt;0)),"Inescapável não aceita outra peça",""),IF(AND($MF72&gt;0,$OQ72*IF(COUNTIF($MK72:$MN72,"Remate")&gt;0,1.25,1)+$OR72&gt;4*$MF72),($OQ72*IF(COUNTIF($MK72:$MN72,"Remate")&gt;0,1.25,1)+$OR72)&amp;" dados somando repetições"&amp;IF(COUNTIF($MK72:$MN72,"Remate")&gt;0," e o Remate","")&amp;": o teto da Classe "&amp;$MF72&amp;" é "&amp;4*$MF72,"")))</f>
        <v/>
      </c>
      <c r="PH72" s="152">
        <f>IF($PG72="",0,(LEN($PG72)-LEN(SUBSTITUTE($PG72," · ","")))/3+1)</f>
        <v/>
      </c>
      <c r="PI72" s="152">
        <f>IF($MQ72=0,"",TEXTJOIN(" · ",TRUE,IF($OK72&gt;2*$MF72,"A devolução parou no teto de "&amp;2*$MF72,""),IF($ON72&gt;0,"Devolução perdida: "&amp;$ON72&amp;IF($ON72&gt;1," pontos"," ponto")&amp;" sem peça para pagar",""),IF(AND($NP72&gt;0,AND($MF72&gt;0,$NT72=0),$OQ72=0),"Controle sem dano: uma rodada a mais e CD +2",""),IF(AND($NP72&gt;0,AND($MF72&gt;0,$NT72=0),$OQ72&gt;0,$OQ72&lt;=$MF72),"Controle com saldo até a Classe: uma rodada a mais",""),IF(AND($MF72&gt;0,$NR72&lt;&gt;""),"Efeito de "&amp;$NR72&amp;" pela Classe "&amp;MAX(1,$MF72-1),"")))</f>
        <v/>
      </c>
      <c r="PJ72" s="152">
        <f>IF($PI72="",0,(LEN($PI72)-LEN(SUBSTITUTE($PI72," · ","")))/3+1)</f>
        <v/>
      </c>
      <c r="PK72" s="152">
        <f>IF($MQ72=0,IF($OH72+COUNTIF($MO72:$MP72,"?*")&gt;0,"Dê um nome",""),IF($PH72&gt;0,"⚠ "&amp;$PH72&amp;IF($PH72&gt;1," erros"," erro"),IF($PJ72&gt;0,"! "&amp;$PJ72&amp;IF($PJ72&gt;1," avisos"," aviso"),"Na regra")))</f>
        <v/>
      </c>
      <c r="PL72" s="152">
        <f>IF($MQ72=0,"",IF($PH72+$PJ72=0,"Dentro das regras que a ficha confere",$PG72&amp;IF(AND($PH72&gt;0,$PJ72&gt;0)," · ","")&amp;$PI72))</f>
        <v/>
      </c>
      <c r="PM72" s="152">
        <f>IF($MD72&gt;$MR72,$ME72&amp;" · ABRE NO NÍVEL "&amp;$MD72,$ME72)</f>
        <v/>
      </c>
      <c r="PN72" s="152">
        <f>IF($MQ72=0,"",IF($MF72=0,"Sem PE",3*$MF72&amp;" PE"))</f>
        <v/>
      </c>
      <c r="PO72" s="152">
        <f>IF($MQ72=0,"",IF($MF72=0,"A atuação básica dela",IF(COUNTIF($NX72:$NY72,"Atrasar")&gt;0,"Sua Ação Completa",IF(COUNTIF($MK72:$MN72,"Rápido")&gt;0,"Sua Bônus",IF(COUNTIF($MK72:$MN72,"Reação")&gt;0,"Sua Reação","Sua Padrão")))&amp;" + a básica dela"&amp;IF(COUNTIF($MK72:$MN72,"Reação")&gt;0," e a coletiva","")&amp;IF(COUNTIF($NX72:$NY72,"Carregar")&gt;0," · em dois turnos","")))</f>
        <v/>
      </c>
      <c r="PP72" s="152">
        <f>IF($MJ72&lt;&gt;"",$MJ72,IF($MW72=0,"",INDEX($AA$2:$AA$11,$MW72)))</f>
        <v/>
      </c>
      <c r="PQ72" s="152">
        <f>IF(OR($MQ72=0,$MW72=0),"",IF(COUNTIF($MK72:$MN72,"Inescapável")&gt;0,"Automático",IF($PP72="Ataque",IF($MU72="","Ataque","Ataque "&amp;IF(($MU72+2*IF(COUNTIF($MK72:$MN72,"Precisão")&gt;0,1,0))&gt;=0,"+","−")&amp;ABS(($MU72+2*IF(COUNTIF($MK72:$MN72,"Precisão")&gt;0,1,0))))&amp;IF($NQ72&gt;0," · TR"&amp;IF($MV72="",""," CD "&amp;$MV72),""),IF(LEFT($PP72,2)="TR",$PP72&amp;IF($MV72="",""," · CD "&amp;$MV72)&amp;IF(COUNTIF($MK72:$MN72,"Certeiro")&gt;0," · metade",""),"Sem rolagem"))))</f>
        <v/>
      </c>
      <c r="PR72" s="152">
        <f>IF(OR($MQ72=0,$MW72=0),"",IF($MF72=0,IF(OR($NT72&gt;=1,$OQ72=0),"Sem dano",$OQ72&amp;"d6"&amp;IF($MI72="",""," "&amp;$MI72)),IF(OR($NT72&gt;=1,$OQ72=0),UPPER(LEFT(INDEX($OZ72:$PF72,1,MAX(1,$MF72)),1))&amp;MID(INDEX($OZ72:$PF72,1,MAX(1,$MF72)),2,99),UPPER(LEFT(INDEX($OZ72:$PF72,1,MAX(1,$MF72)),1))&amp;MID(INDEX($OZ72:$PF72,1,MAX(1,$MF72)),2,99)&amp;IF($MI72="",""," "&amp;$MI72)&amp;IF($OR72&gt;0," · +"&amp;$OR72&amp;"d8",""))))</f>
        <v/>
      </c>
      <c r="PS72" s="152">
        <f>COUNTIF($MK72:$MN72,"Longe")+3*COUNTIF($MK72:$MN72,"Muito Longe")</f>
        <v/>
      </c>
      <c r="PT72" s="152">
        <f>COUNTIF($MK72:$MN72,"Maior")+3*COUNTIF($MK72:$MN72,"Muito Maior")</f>
        <v/>
      </c>
      <c r="PU72" s="152">
        <f>IF($MW72=0,0,CHOOSE(1+INDEX($AC$2:$AC$11,$MW72),0,$PS72,$PT72,$PS72+$PT72))</f>
        <v/>
      </c>
      <c r="PV72" s="152">
        <f>IF($MW72=0,0,CHOOSE(1+INDEX($AD$2:$AD$11,$MW72),0,$PS72,$PT72,$PS72+$PT72))</f>
        <v/>
      </c>
      <c r="PW72" s="152">
        <f>IF(OR($MQ72=0,$MW72=0),"",INDEX($AI$2:$AN$41,($MW72-1)*4+IF($MF72=0,1,IF($MF72&lt;=5,2,IF($MF72=6,3,4))),1+MIN(5,$PU72))&amp;INDEX($AO$2:$AT$41,($MW72-1)*4+IF($MF72=0,1,IF($MF72&lt;=5,2,IF($MF72=6,3,4))),1+MIN(5,$PV72))&amp;IF(INDEX($AE$2:$AE$11,$MW72)=1,IF(COUNTIF($MK72:$MN72,"Mais Um")&gt;0," · +"&amp;COUNTIF($MK72:$MN72,"Mais Um")&amp;IF(COUNTIF($MK72:$MN72,"Mais Um")&gt;1," alvos"," alvo"),"")&amp;IF(COUNTIF($MK72:$MN72,"Rajada")&gt;0,IF($MF72=0," · 1 tiro"," · "&amp;(MAX(1,$MF72-1)+1)&amp;" tiros"),""),""))</f>
        <v/>
      </c>
      <c r="PX72" s="152">
        <f>IF($MQ72=0,"",IF($MF72=0,$MT72&amp;"d6"&amp;IF($OH72&gt;0," − 1 = "&amp;$OQ72&amp;"d6"," da básica do nível "&amp;$MR72),$OO72&amp;" − "&amp;$OJ72&amp;" + "&amp;$OM72&amp;" = "&amp;$OP72&amp;" · teto "&amp;4*$MF72&amp;"d8"&amp;IF($NS72=1," · a Forma devolve "&amp;$MF72,"")&amp;IF($ON72&gt;0," · perde "&amp;$ON72,"")))</f>
        <v/>
      </c>
      <c r="PY72" s="152">
        <f>IF($MQ72=0,"",IF($MF72=0,"A básica não amplia: os dados dela sobem com o nível",IF($MF72&gt;=$MS72,"Já está na maior Classe que o nível liberou",TEXTJOIN(" · ",TRUE,IF(AND(2&gt;$MF72,2&lt;=$MS72),"2 → "&amp;$PA72&amp;", 6 PE",""),IF(AND(3&gt;$MF72,3&lt;=$MS72),"3 → "&amp;$PB72&amp;", 9 PE",""),IF(AND(4&gt;$MF72,4&lt;=$MS72),"4 → "&amp;$PC72&amp;", 12 PE",""),IF(AND(5&gt;$MF72,5&lt;=$MS72),"5 → "&amp;$PD72&amp;", 15 PE",""),IF(AND(6&gt;$MF72,6&lt;=$MS72),"6 → "&amp;$PE72&amp;", 18 PE",""),IF(AND(7&gt;$MF72,7&lt;=$MS72),"7 → "&amp;$PF72&amp;", 21 PE","")))))</f>
        <v/>
      </c>
      <c r="PZ72" s="152">
        <f>IF(OR($MQ72=0,$NB72=0),"",IF($MF72=0,"−1 dado","−"&amp;INDEX($I$2:$N$8,MAX(1,$MF72),MAX(1,$NG72))&amp;" · "&amp;CHOOSE(MAX(1,$NG72),"Leve","Média","Pesada","Leve · Livre","Média · Livre","Pesada · Livre")))</f>
        <v/>
      </c>
      <c r="QA72" s="152">
        <f>IF(OR($MQ72=0,$NC72=0),"",IF($MF72=0,"−1 dado","−"&amp;INDEX($I$2:$N$8,MAX(1,$MF72),MAX(1,$NH72))&amp;" · "&amp;CHOOSE(MAX(1,$NH72),"Leve","Média","Pesada","Leve · Livre","Média · Livre","Pesada · Livre")))</f>
        <v/>
      </c>
      <c r="QB72" s="152">
        <f>IF(OR($MQ72=0,$ND72=0),"",IF($MF72=0,"−1 dado","−"&amp;INDEX($I$2:$N$8,MAX(1,$MF72),MAX(1,$NI72))&amp;" · "&amp;CHOOSE(MAX(1,$NI72),"Leve","Média","Pesada","Leve · Livre","Média · Livre","Pesada · Livre")))</f>
        <v/>
      </c>
      <c r="QC72" s="152">
        <f>IF(OR($MQ72=0,$NE72=0),"",IF($MF72=0,"−1 dado","−"&amp;INDEX($I$2:$N$8,MAX(1,$MF72),MAX(1,$NJ72))&amp;" · "&amp;CHOOSE(MAX(1,$NJ72),"Leve","Média","Pesada","Leve · Livre","Média · Livre","Pesada · Livre")))</f>
        <v/>
      </c>
      <c r="QD72" s="152">
        <f>IF(OR($MQ72=0,$MO72=""),"",IF($MF72=0,"não devolve","+"&amp;IF($NV72=1,CEILING($MF72/2,1),$MF72)))</f>
        <v/>
      </c>
      <c r="QE72" s="152">
        <f>IF(OR($MQ72=0,$MP72=""),"",IF($MF72=0,"não devolve","+"&amp;IF($NW72=1,CEILING($MF72/2,1),$MF72)))</f>
        <v/>
      </c>
    </row>
    <row r="73">
      <c r="AV73" s="150" t="inlineStr">
        <is>
          <t>Cobrança</t>
        </is>
      </c>
      <c r="AW73" s="150" t="inlineStr">
        <is>
          <t>Marca</t>
        </is>
      </c>
      <c r="AX73" s="152" t="n">
        <v>2</v>
      </c>
      <c r="AY73" s="152" t="n">
        <v>0</v>
      </c>
      <c r="AZ73" s="152" t="n">
        <v>0</v>
      </c>
      <c r="BA73" s="152" t="n">
        <v>0</v>
      </c>
      <c r="JG73" s="152">
        <f>IF(OR($AW73="",COUNTIF($EF$2:$EJ$2,$AW73)&gt;0),$AV73,"")</f>
        <v/>
      </c>
      <c r="JH73" s="152">
        <f>IF(AND($AX73=1,OR($AW73="",COUNTIF($EF$2:$EJ$2,$AW73)&gt;0)),$AV73,"")</f>
        <v/>
      </c>
      <c r="JM73" s="152">
        <f>IF(OR($AW73="",COUNTIF($EF$3:$EJ$3,$AW73)&gt;0),$AV73,"")</f>
        <v/>
      </c>
      <c r="JN73" s="152">
        <f>IF(AND($AX73=1,OR($AW73="",COUNTIF($EF$3:$EJ$3,$AW73)&gt;0)),$AV73,"")</f>
        <v/>
      </c>
      <c r="JS73" s="152">
        <f>IF(OR($AW73="",COUNTIF($EF$4:$EJ$4,$AW73)&gt;0),$AV73,"")</f>
        <v/>
      </c>
      <c r="JT73" s="152">
        <f>IF(AND($AX73=1,OR($AW73="",COUNTIF($EF$4:$EJ$4,$AW73)&gt;0)),$AV73,"")</f>
        <v/>
      </c>
      <c r="JY73" s="152">
        <f>IF(OR($AW73="",COUNTIF($EF$5:$EJ$5,$AW73)&gt;0),$AV73,"")</f>
        <v/>
      </c>
      <c r="JZ73" s="152">
        <f>IF(AND($AX73=1,OR($AW73="",COUNTIF($EF$5:$EJ$5,$AW73)&gt;0)),$AV73,"")</f>
        <v/>
      </c>
      <c r="KE73" s="152">
        <f>IF(OR($AW73="",COUNTIF($EF$6:$EJ$6,$AW73)&gt;0),$AV73,"")</f>
        <v/>
      </c>
      <c r="KF73" s="152">
        <f>IF(AND($AX73=1,OR($AW73="",COUNTIF($EF$6:$EJ$6,$AW73)&gt;0)),$AV73,"")</f>
        <v/>
      </c>
      <c r="KK73" s="152">
        <f>IF(OR($AW73="",COUNTIF($EF$7:$EJ$7,$AW73)&gt;0),$AV73,"")</f>
        <v/>
      </c>
      <c r="KL73" s="152">
        <f>IF(AND($AX73=1,OR($AW73="",COUNTIF($EF$7:$EJ$7,$AW73)&gt;0)),$AV73,"")</f>
        <v/>
      </c>
      <c r="KQ73" s="152">
        <f>IF(OR($AW73="",COUNTIF($EF$8:$EJ$8,$AW73)&gt;0),$AV73,"")</f>
        <v/>
      </c>
      <c r="KR73" s="152">
        <f>IF(AND($AX73=1,OR($AW73="",COUNTIF($EF$8:$EJ$8,$AW73)&gt;0)),$AV73,"")</f>
        <v/>
      </c>
      <c r="KW73" s="152">
        <f>IF(OR($AW73="",COUNTIF($EF$9:$EJ$9,$AW73)&gt;0),$AV73,"")</f>
        <v/>
      </c>
      <c r="KX73" s="152">
        <f>IF(AND($AX73=1,OR($AW73="",COUNTIF($EF$9:$EJ$9,$AW73)&gt;0)),$AV73,"")</f>
        <v/>
      </c>
      <c r="LC73" s="152">
        <f>IF(OR($AW73="",COUNTIF($EF$10:$EJ$10,$AW73)&gt;0),$AV73,"")</f>
        <v/>
      </c>
      <c r="LD73" s="152">
        <f>IF(AND($AX73=1,OR($AW73="",COUNTIF($EF$10:$EJ$10,$AW73)&gt;0)),$AV73,"")</f>
        <v/>
      </c>
      <c r="LI73" s="152">
        <f>IF(OR($AW73="",COUNTIF($EF$11:$EJ$11,$AW73)&gt;0),$AV73,"")</f>
        <v/>
      </c>
      <c r="LJ73" s="152">
        <f>IF(AND($AX73=1,OR($AW73="",COUNTIF($EF$11:$EJ$11,$AW73)&gt;0)),$AV73,"")</f>
        <v/>
      </c>
      <c r="LO73" s="152">
        <f>IF(OR($AW73="",COUNTIF($EF$12:$EJ$12,$AW73)&gt;0),$AV73,"")</f>
        <v/>
      </c>
      <c r="LP73" s="152">
        <f>IF(AND($AX73=1,OR($AW73="",COUNTIF($EF$12:$EJ$12,$AW73)&gt;0)),$AV73,"")</f>
        <v/>
      </c>
      <c r="LU73" s="152">
        <f>IF(OR($AW73="",COUNTIF($EF$13:$EJ$13,$AW73)&gt;0),$AV73,"")</f>
        <v/>
      </c>
      <c r="LV73" s="152">
        <f>IF(AND($AX73=1,OR($AW73="",COUNTIF($EF$13:$EJ$13,$AW73)&gt;0)),$AV73,"")</f>
        <v/>
      </c>
      <c r="MA73" s="150" t="inlineStr">
        <is>
          <t>Ficha 6 · Especial 5</t>
        </is>
      </c>
      <c r="MB73" s="152" t="n">
        <v>6</v>
      </c>
      <c r="MC73" s="152" t="n">
        <v>1</v>
      </c>
      <c r="MD73" s="152" t="n">
        <v>16</v>
      </c>
      <c r="ME73" s="150" t="inlineStr">
        <is>
          <t>ESPECIAL 5</t>
        </is>
      </c>
      <c r="MF73" s="152">
        <f>MAX(1,MIN(7,N('INVOCAÇÕES'!$I$1104)))</f>
        <v/>
      </c>
      <c r="MG73" s="152">
        <f>'INVOCAÇÕES'!$J$1104&amp;""</f>
        <v/>
      </c>
      <c r="MH73" s="152">
        <f>'INVOCAÇÕES'!$I$1109&amp;""</f>
        <v/>
      </c>
      <c r="MI73" s="152">
        <f>'INVOCAÇÕES'!$I$1110&amp;""</f>
        <v/>
      </c>
      <c r="MJ73" s="152">
        <f>'INVOCAÇÕES'!$K$1110&amp;""</f>
        <v/>
      </c>
      <c r="MK73" s="152">
        <f>'INVOCAÇÕES'!$J$1113&amp;""</f>
        <v/>
      </c>
      <c r="ML73" s="152">
        <f>'INVOCAÇÕES'!$J$1114&amp;""</f>
        <v/>
      </c>
      <c r="MM73" s="152">
        <f>'INVOCAÇÕES'!$J$1115&amp;""</f>
        <v/>
      </c>
      <c r="MN73" s="152">
        <f>'INVOCAÇÕES'!$J$1116&amp;""</f>
        <v/>
      </c>
      <c r="MO73" s="152">
        <f>'INVOCAÇÕES'!$J$1117&amp;""</f>
        <v/>
      </c>
      <c r="MP73" s="152">
        <f>'INVOCAÇÕES'!$J$1118&amp;""</f>
        <v/>
      </c>
      <c r="MQ73" s="152">
        <f>IF($MG73&lt;&gt;"",1,0)</f>
        <v/>
      </c>
      <c r="MR73" s="152">
        <f>INDEX($FI$2:$FI$13,$MB73)</f>
        <v/>
      </c>
      <c r="MS73" s="152">
        <f>INDEX($FJ$2:$FJ$13,$MB73)</f>
        <v/>
      </c>
      <c r="MT73" s="152">
        <f>INDEX($FK$2:$FK$13,$MB73)</f>
        <v/>
      </c>
      <c r="MU73" s="152">
        <f>INDEX($FV$2:$FV$13,$MB73)</f>
        <v/>
      </c>
      <c r="MV73" s="152">
        <f>INDEX($FW$2:$FW$13,$MB73)</f>
        <v/>
      </c>
      <c r="MW73" s="152">
        <f>IFERROR(MATCH($MH73,$V$2:$V$11,0),0)</f>
        <v/>
      </c>
      <c r="MX73" s="152">
        <f>IFERROR(VLOOKUP($MK73,$AV$2:$BA$84,2,FALSE),"")</f>
        <v/>
      </c>
      <c r="MY73" s="152">
        <f>IFERROR(VLOOKUP($ML73,$AV$2:$BA$84,2,FALSE),"")</f>
        <v/>
      </c>
      <c r="MZ73" s="152">
        <f>IFERROR(VLOOKUP($MM73,$AV$2:$BA$84,2,FALSE),"")</f>
        <v/>
      </c>
      <c r="NA73" s="152">
        <f>IFERROR(VLOOKUP($MN73,$AV$2:$BA$84,2,FALSE),"")</f>
        <v/>
      </c>
      <c r="NB73" s="152">
        <f>IFERROR(VLOOKUP($MK73,$AV$2:$BA$84,3,FALSE),0)</f>
        <v/>
      </c>
      <c r="NC73" s="152">
        <f>IFERROR(VLOOKUP($ML73,$AV$2:$BA$84,3,FALSE),0)</f>
        <v/>
      </c>
      <c r="ND73" s="152">
        <f>IFERROR(VLOOKUP($MM73,$AV$2:$BA$84,3,FALSE),0)</f>
        <v/>
      </c>
      <c r="NE73" s="152">
        <f>IFERROR(VLOOKUP($MN73,$AV$2:$BA$84,3,FALSE),0)</f>
        <v/>
      </c>
      <c r="NF73" s="152">
        <f>IF($MF73=0,0,IF($MW73=0,0,INDEX($X$2:$X$11,$MW73)))</f>
        <v/>
      </c>
      <c r="NG73" s="152">
        <f>IF(OR($NB73=0,$MF73=0),0,$NB73+3*IF(AND($MX73&lt;&gt;"",OR($MX73=INDEX($EF$2:$EF$13,$MB73),$MX73=INDEX($EG$2:$EG$13,$MB73))),1,0))</f>
        <v/>
      </c>
      <c r="NH73" s="152">
        <f>IF(OR($NC73=0,$MF73=0),0,$NC73+3*IF(AND($MY73&lt;&gt;"",OR($MY73=INDEX($EF$2:$EF$13,$MB73),$MY73=INDEX($EG$2:$EG$13,$MB73))),1,0))</f>
        <v/>
      </c>
      <c r="NI73" s="152">
        <f>IF(OR($ND73=0,$MF73=0),0,$ND73+3*IF(AND($MZ73&lt;&gt;"",OR($MZ73=INDEX($EF$2:$EF$13,$MB73),$MZ73=INDEX($EG$2:$EG$13,$MB73))),1,0))</f>
        <v/>
      </c>
      <c r="NJ73" s="152">
        <f>IF(OR($NE73=0,$MF73=0),0,$NE73+3*IF(AND($NA73&lt;&gt;"",OR($NA73=INDEX($EF$2:$EF$13,$MB73),$NA73=INDEX($EG$2:$EG$13,$MB73))),1,0))</f>
        <v/>
      </c>
      <c r="NK73" s="152">
        <f>IF($MW73=0,0,IF(INDEX($W$2:$W$11,$MW73)="",0,IF(COUNTIF(INDEX($EF$2:$EJ$13,$MB73,0),INDEX($W$2:$W$11,$MW73))=0,1,0)))</f>
        <v/>
      </c>
      <c r="NL73" s="152">
        <f>IF(OR($NB73=0,$MX73=""),0,IF(COUNTIF(INDEX($EF$2:$EJ$13,$MB73,0),$MX73)=0,1,0))</f>
        <v/>
      </c>
      <c r="NM73" s="152">
        <f>IF(OR($NC73=0,$MY73=""),0,IF(COUNTIF(INDEX($EF$2:$EJ$13,$MB73,0),$MY73)=0,1,0))</f>
        <v/>
      </c>
      <c r="NN73" s="152">
        <f>IF(OR($ND73=0,$MZ73=""),0,IF(COUNTIF(INDEX($EF$2:$EJ$13,$MB73,0),$MZ73)=0,1,0))</f>
        <v/>
      </c>
      <c r="NO73" s="152">
        <f>IF(OR($NE73=0,$NA73=""),0,IF(COUNTIF(INDEX($EF$2:$EJ$13,$MB73,0),$NA73)=0,1,0))</f>
        <v/>
      </c>
      <c r="NP73" s="152">
        <f>IFERROR(VLOOKUP($MK73,$AV$2:$BA$84,4,FALSE),0)+IFERROR(VLOOKUP($ML73,$AV$2:$BA$84,4,FALSE),0)+IFERROR(VLOOKUP($MM73,$AV$2:$BA$84,4,FALSE),0)+IFERROR(VLOOKUP($MN73,$AV$2:$BA$84,4,FALSE),0)</f>
        <v/>
      </c>
      <c r="NQ73" s="152">
        <f>IFERROR(VLOOKUP($MK73,$AV$2:$BA$84,6,FALSE),0)+IFERROR(VLOOKUP($ML73,$AV$2:$BA$84,6,FALSE),0)+IFERROR(VLOOKUP($MM73,$AV$2:$BA$84,6,FALSE),0)+IFERROR(VLOOKUP($MN73,$AV$2:$BA$84,6,FALSE),0)</f>
        <v/>
      </c>
      <c r="NR73" s="152">
        <f>TEXTJOIN(", ",TRUE,IF(IFERROR(VLOOKUP($MK73,$AV$2:$BA$84,5,FALSE),0)=1,$MK73,""),IF(IFERROR(VLOOKUP($ML73,$AV$2:$BA$84,5,FALSE),0)=1,$ML73,""),IF(IFERROR(VLOOKUP($MM73,$AV$2:$BA$84,5,FALSE),0)=1,$MM73,""),IF(IFERROR(VLOOKUP($MN73,$AV$2:$BA$84,5,FALSE),0)=1,$MN73,""))</f>
        <v/>
      </c>
      <c r="NS73" s="152">
        <f>IF($MW73=0,0,INDEX($Y$2:$Y$11,$MW73))</f>
        <v/>
      </c>
      <c r="NT73" s="152">
        <f>IF($MW73=0,0,INDEX($Z$2:$Z$11,$MW73))</f>
        <v/>
      </c>
      <c r="NU73" s="152">
        <f>IF($MW73=0,0,INDEX($AB$2:$AB$11,$MW73))</f>
        <v/>
      </c>
      <c r="NV73" s="152">
        <f>IFERROR(VLOOKUP($MO73,$BC$2:$BG$24,3,FALSE),0)</f>
        <v/>
      </c>
      <c r="NW73" s="152">
        <f>IFERROR(VLOOKUP($MP73,$BC$2:$BG$24,3,FALSE),0)</f>
        <v/>
      </c>
      <c r="NX73" s="152">
        <f>IFERROR(VLOOKUP($MO73,$BC$2:$BG$24,2,FALSE),"")</f>
        <v/>
      </c>
      <c r="NY73" s="152">
        <f>IFERROR(VLOOKUP($MP73,$BC$2:$BG$24,2,FALSE),"")</f>
        <v/>
      </c>
      <c r="NZ73" s="152">
        <f>COUNTIF($NF73:$NJ73,1)</f>
        <v/>
      </c>
      <c r="OA73" s="152">
        <f>COUNTIF($NF73:$NJ73,2)</f>
        <v/>
      </c>
      <c r="OB73" s="152">
        <f>COUNTIF($NF73:$NJ73,3)</f>
        <v/>
      </c>
      <c r="OC73" s="152">
        <f>COUNTIF($NF73:$NJ73,4)</f>
        <v/>
      </c>
      <c r="OD73" s="152">
        <f>COUNTIF($NF73:$NJ73,5)</f>
        <v/>
      </c>
      <c r="OE73" s="152">
        <f>COUNTIF($NF73:$NJ73,6)</f>
        <v/>
      </c>
      <c r="OF73" s="152">
        <f>COUNTIF($NV73:$NW73,1)</f>
        <v/>
      </c>
      <c r="OG73" s="152">
        <f>COUNTIF($NV73:$NW73,2)+$NS73</f>
        <v/>
      </c>
      <c r="OH73" s="152">
        <f>COUNTIF($MK73:$MN73,"?*")</f>
        <v/>
      </c>
      <c r="OI73" s="152">
        <f>COUNTIF($MO73:$MP73,"?*")+$NS73</f>
        <v/>
      </c>
      <c r="OJ73" s="152">
        <f>IF($MF73=0,0,SUMPRODUCT($NZ73:$OE73,INDEX($I$2:$N$8,MAX(1,$MF73),0)))</f>
        <v/>
      </c>
      <c r="OK73" s="152">
        <f>IF($MF73=0,0,$OF73*CEILING($MF73/2,1)+$OG73*$MF73)</f>
        <v/>
      </c>
      <c r="OL73" s="152">
        <f>MIN(2*$MF73,$OK73)</f>
        <v/>
      </c>
      <c r="OM73" s="152">
        <f>MIN($OL73,$OJ73)</f>
        <v/>
      </c>
      <c r="ON73" s="152">
        <f>$OL73-$OM73</f>
        <v/>
      </c>
      <c r="OO73" s="152">
        <f>IF($MF73=0,0,INDEX($P$2:$P$8,MAX(1,$MF73)))</f>
        <v/>
      </c>
      <c r="OP73" s="152">
        <f>$OO73-$OJ73+$OM73</f>
        <v/>
      </c>
      <c r="OQ73" s="152">
        <f>IF($MF73=0,MAX(0,$MT73-IF($OH73&gt;0,1,0)),MAX(0,$OP73))</f>
        <v/>
      </c>
      <c r="OR73" s="152">
        <f>IF($MF73=0,0,(IF(COUNTIF($MK73:$MN73,"Salto")&gt;0,1,0)+IF(COUNTIF($MK73:$MN73,"Queima")&gt;0,1,0)+IF(COUNTIF($MK73:$MN73,"Estilhaço")&gt;0,1,0))*FLOOR($OQ73/2,1))</f>
        <v/>
      </c>
      <c r="OS73" s="152">
        <f>MAX(0,2-SUMPRODUCT($NZ73:$OE73,$I$2:$N$2)+MIN(2,$OF73*1+$OG73*1,SUMPRODUCT($NZ73:$OE73,$I$2:$N$2)))</f>
        <v/>
      </c>
      <c r="OT73" s="152">
        <f>MAX(0,4-SUMPRODUCT($NZ73:$OE73,$I$3:$N$3)+MIN(4,$OF73*1+$OG73*2,SUMPRODUCT($NZ73:$OE73,$I$3:$N$3)))</f>
        <v/>
      </c>
      <c r="OU73" s="152">
        <f>MAX(0,6-SUMPRODUCT($NZ73:$OE73,$I$4:$N$4)+MIN(6,$OF73*2+$OG73*3,SUMPRODUCT($NZ73:$OE73,$I$4:$N$4)))</f>
        <v/>
      </c>
      <c r="OV73" s="152">
        <f>MAX(0,9-SUMPRODUCT($NZ73:$OE73,$I$5:$N$5)+MIN(8,$OF73*2+$OG73*4,SUMPRODUCT($NZ73:$OE73,$I$5:$N$5)))</f>
        <v/>
      </c>
      <c r="OW73" s="152">
        <f>MAX(0,11-SUMPRODUCT($NZ73:$OE73,$I$6:$N$6)+MIN(10,$OF73*3+$OG73*5,SUMPRODUCT($NZ73:$OE73,$I$6:$N$6)))</f>
        <v/>
      </c>
      <c r="OX73" s="152">
        <f>MAX(0,13-SUMPRODUCT($NZ73:$OE73,$I$7:$N$7)+MIN(12,$OF73*3+$OG73*6,SUMPRODUCT($NZ73:$OE73,$I$7:$N$7)))</f>
        <v/>
      </c>
      <c r="OY73" s="152">
        <f>MAX(0,16-SUMPRODUCT($NZ73:$OE73,$I$8:$N$8)+MIN(14,$OF73*4+$OG73*7,SUMPRODUCT($NZ73:$OE73,$I$8:$N$8)))</f>
        <v/>
      </c>
      <c r="OZ73" s="152">
        <f>IF($NT73=2,3*$OS73&amp;" de vida temp.",IF($NT73=3,"sem dano",IF($OS73=0,IF($NT73=1,"sem cura","sem dano"),IF($NT73=1,"cura ","")&amp;$OS73&amp;"d8")))</f>
        <v/>
      </c>
      <c r="PA73" s="152">
        <f>IF($NT73=2,3*$OT73&amp;" de vida temp.",IF($NT73=3,"sem dano",IF($OT73=0,IF($NT73=1,"sem cura","sem dano"),IF($NT73=1,"cura ","")&amp;$OT73&amp;"d8")))</f>
        <v/>
      </c>
      <c r="PB73" s="152">
        <f>IF($NT73=2,3*$OU73&amp;" de vida temp.",IF($NT73=3,"sem dano",IF($OU73=0,IF($NT73=1,"sem cura","sem dano"),IF($NT73=1,"cura ","")&amp;$OU73&amp;"d8")))</f>
        <v/>
      </c>
      <c r="PC73" s="152">
        <f>IF($NT73=2,3*$OV73&amp;" de vida temp.",IF($NT73=3,"sem dano",IF($OV73=0,IF($NT73=1,"sem cura","sem dano"),IF($NT73=1,"cura ","")&amp;$OV73&amp;"d8")))</f>
        <v/>
      </c>
      <c r="PD73" s="152">
        <f>IF($NT73=2,3*$OW73&amp;" de vida temp.",IF($NT73=3,"sem dano",IF($OW73=0,IF($NT73=1,"sem cura","sem dano"),IF($NT73=1,"cura ","")&amp;$OW73&amp;"d8")))</f>
        <v/>
      </c>
      <c r="PE73" s="152">
        <f>IF($NT73=2,3*$OX73&amp;" de vida temp.",IF($NT73=3,"sem dano",IF($OX73=0,IF($NT73=1,"sem cura","sem dano"),IF($NT73=1,"cura ","")&amp;$OX73&amp;"d8")))</f>
        <v/>
      </c>
      <c r="PF73" s="152">
        <f>IF($NT73=2,3*$OY73&amp;" de vida temp.",IF($NT73=3,"sem dano",IF($OY73=0,IF($NT73=1,"sem cura","sem dano"),IF($NT73=1,"cura ","")&amp;$OY73&amp;"d8")))</f>
        <v/>
      </c>
      <c r="PG73" s="152">
        <f>IF($MQ73=0,"",TEXTJOIN(" · ",TRUE,IF($MD73&gt;$MR73,"Este lugar abre no nível "&amp;$MD73,""),IF($MF73&gt;$MS73,"Classe "&amp;$MF73&amp;": o nível "&amp;$MR73&amp;" libera até a "&amp;$MS73,""),IF($NK73=1,"A Forma "&amp;$MH73&amp;" pede "&amp;INDEX($W$2:$W$11,$MW73)&amp;" aberta",""),IF(AND($MF73=0,$MW73&gt;0,IF($MW73=0,0,INDEX($AF$2:$AF$11,$MW73))=0),$MH73&amp;" não existe na Classe 0",""),IF($NL73=1,"Família Fechada: "&amp;$MK73,""),IF($NM73=1,"Família Fechada: "&amp;$ML73,""),IF($NN73=1,"Família Fechada: "&amp;$MM73,""),IF($NO73=1,"Família Fechada: "&amp;$MN73,""),IF(AND($MF73&gt;0,$OH73&gt;INDEX($O$2:$O$8,MAX(1,$MF73))),$OH73&amp;" Melhorias: a Classe "&amp;$MF73&amp;" aceita "&amp;INDEX($O$2:$O$8,MAX(1,$MF73)),""),IF(AND($MF73=0,$OH73&gt;1),"A básica aceita uma Melhoria",""),IF(AND($MF73=0,COUNTIF($NB73:$NE73,"&gt;1")&gt;0),"A básica só aceita Melhoria Leve",""),IF(AND($MF73&gt;0,$OI73&gt;2),$OI73&amp;" Restrições"&amp;IF($NS73=1,", contando a que a Forma "&amp;$MH73&amp;" já traz","")&amp;": o limite é 2",""),IF(AND($MF73=0,COUNTIF($MO73:$MP73,"?*")&gt;1),"A básica aceita uma Restrição Leve",""),IF(AND($MF73=0,COUNTIF($NV73:$NW73,2)&gt;0),"A básica só aceita Restrição Leve",""),IF(AND($MF73&gt;0,$OP73&lt;0),"Orçamento estourado: faltam "&amp;(-$OP73)&amp;IF($OP73&lt;-1," pontos"," ponto"),""),IF(IFERROR(VLOOKUP($MO73,$BC$2:$BG$24,4,FALSE),0)+IFERROR(VLOOKUP($MP73,$BC$2:$BG$24,4,FALSE),0)&gt;1,$NX73&amp;" e "&amp;$NY73&amp;" são as duas de frequência",""),IF(AND((COUNTIF($MK73:$MN73,"Rápido")+COUNTIF($NX73:$NY73,"Rápido"))&gt;0,(COUNTIF($MK73:$MN73,"Atrasar")+COUNTIF($NX73:$NY73,"Atrasar"))&gt;0),"Rápido não entra com Atrasar",""),IF(AND((COUNTIF($MK73:$MN73,"Reação")+COUNTIF($NX73:$NY73,"Reação"))&gt;0,(COUNTIF($MK73:$MN73,"Rápido")+COUNTIF($NX73:$NY73,"Rápido"))&gt;0),"Reação não entra com Rápido",""),IF(AND((COUNTIF($MK73:$MN73,"Reação")+COUNTIF($NX73:$NY73,"Reação"))&gt;0,(COUNTIF($MK73:$MN73,"Armado")+COUNTIF($NX73:$NY73,"Armado"))&gt;0),"Reação não entra com Armado",""),IF(AND((COUNTIF($MK73:$MN73,"Reação")+COUNTIF($NX73:$NY73,"Reação"))&gt;0,(COUNTIF($MK73:$MN73,"Atrasar")+COUNTIF($NX73:$NY73,"Atrasar"))&gt;0),"Reação não entra com Atrasar",""),IF(AND((COUNTIF($MK73:$MN73,"Reação")+COUNTIF($NX73:$NY73,"Reação"))&gt;0,(COUNTIF($MK73:$MN73,"Parado")+COUNTIF($NX73:$NY73,"Parado"))&gt;0),"Reação não entra com Parado",""),IF(AND((COUNTIF($MK73:$MN73,"Atrasar")+COUNTIF($NX73:$NY73,"Atrasar"))&gt;0,(COUNTIF($MK73:$MN73,"Parado")+COUNTIF($NX73:$NY73,"Parado"))&gt;0),"Atrasar não entra com Parado",""),IF(AND((COUNTIF($MK73:$MN73,"Armado")+COUNTIF($NX73:$NY73,"Armado"))&gt;0,(COUNTIF($MK73:$MN73,"Carregar")+COUNTIF($NX73:$NY73,"Carregar"))&gt;0),"Armado não entra com Carregar",""),IF(AND(COUNTIF($NX73:$NY73,"Corpo a Corpo")&gt;0,$NS73=0,OR($MH73="Cone",$MH73="Linha")),"Corpo a Corpo não entra em "&amp;$MH73,""),IF(AND(COUNTIF($NX73:$NY73,"Corpo a Corpo")&gt;0,$NS73=1),"A Forma "&amp;$MH73&amp;" já traz o Corpo a Corpo",""),IF(AND(COUNTIF($NX73:$NY73,"Tudo ou Nada")&gt;0,$NU73=0),"Tudo ou Nada só entra em habilidade de Teste de Resistência",""),IF(AND(COUNTIF($MK73:$MN73,"Inescapável")&gt;0,OR($OH73&gt;1,$OI73&gt;0)),"Inescapável não aceita outra peça",""),IF(AND($MF73&gt;0,$OQ73*IF(COUNTIF($MK73:$MN73,"Remate")&gt;0,1.25,1)+$OR73&gt;4*$MF73),($OQ73*IF(COUNTIF($MK73:$MN73,"Remate")&gt;0,1.25,1)+$OR73)&amp;" dados somando repetições"&amp;IF(COUNTIF($MK73:$MN73,"Remate")&gt;0," e o Remate","")&amp;": o teto da Classe "&amp;$MF73&amp;" é "&amp;4*$MF73,"")))</f>
        <v/>
      </c>
      <c r="PH73" s="152">
        <f>IF($PG73="",0,(LEN($PG73)-LEN(SUBSTITUTE($PG73," · ","")))/3+1)</f>
        <v/>
      </c>
      <c r="PI73" s="152">
        <f>IF($MQ73=0,"",TEXTJOIN(" · ",TRUE,IF($OK73&gt;2*$MF73,"A devolução parou no teto de "&amp;2*$MF73,""),IF($ON73&gt;0,"Devolução perdida: "&amp;$ON73&amp;IF($ON73&gt;1," pontos"," ponto")&amp;" sem peça para pagar",""),IF(AND($NP73&gt;0,AND($MF73&gt;0,$NT73=0),$OQ73=0),"Controle sem dano: uma rodada a mais e CD +2",""),IF(AND($NP73&gt;0,AND($MF73&gt;0,$NT73=0),$OQ73&gt;0,$OQ73&lt;=$MF73),"Controle com saldo até a Classe: uma rodada a mais",""),IF(AND($MF73&gt;0,$NR73&lt;&gt;""),"Efeito de "&amp;$NR73&amp;" pela Classe "&amp;MAX(1,$MF73-1),"")))</f>
        <v/>
      </c>
      <c r="PJ73" s="152">
        <f>IF($PI73="",0,(LEN($PI73)-LEN(SUBSTITUTE($PI73," · ","")))/3+1)</f>
        <v/>
      </c>
      <c r="PK73" s="152">
        <f>IF($MQ73=0,IF($OH73+COUNTIF($MO73:$MP73,"?*")&gt;0,"Dê um nome",""),IF($PH73&gt;0,"⚠ "&amp;$PH73&amp;IF($PH73&gt;1," erros"," erro"),IF($PJ73&gt;0,"! "&amp;$PJ73&amp;IF($PJ73&gt;1," avisos"," aviso"),"Na regra")))</f>
        <v/>
      </c>
      <c r="PL73" s="152">
        <f>IF($MQ73=0,"",IF($PH73+$PJ73=0,"Dentro das regras que a ficha confere",$PG73&amp;IF(AND($PH73&gt;0,$PJ73&gt;0)," · ","")&amp;$PI73))</f>
        <v/>
      </c>
      <c r="PM73" s="152">
        <f>IF($MD73&gt;$MR73,$ME73&amp;" · ABRE NO NÍVEL "&amp;$MD73,$ME73)</f>
        <v/>
      </c>
      <c r="PN73" s="152">
        <f>IF($MQ73=0,"",IF($MF73=0,"Sem PE",3*$MF73&amp;" PE"))</f>
        <v/>
      </c>
      <c r="PO73" s="152">
        <f>IF($MQ73=0,"",IF($MF73=0,"A atuação básica dela",IF(COUNTIF($NX73:$NY73,"Atrasar")&gt;0,"Sua Ação Completa",IF(COUNTIF($MK73:$MN73,"Rápido")&gt;0,"Sua Bônus",IF(COUNTIF($MK73:$MN73,"Reação")&gt;0,"Sua Reação","Sua Padrão")))&amp;" + a básica dela"&amp;IF(COUNTIF($MK73:$MN73,"Reação")&gt;0," e a coletiva","")&amp;IF(COUNTIF($NX73:$NY73,"Carregar")&gt;0," · em dois turnos","")))</f>
        <v/>
      </c>
      <c r="PP73" s="152">
        <f>IF($MJ73&lt;&gt;"",$MJ73,IF($MW73=0,"",INDEX($AA$2:$AA$11,$MW73)))</f>
        <v/>
      </c>
      <c r="PQ73" s="152">
        <f>IF(OR($MQ73=0,$MW73=0),"",IF(COUNTIF($MK73:$MN73,"Inescapável")&gt;0,"Automático",IF($PP73="Ataque",IF($MU73="","Ataque","Ataque "&amp;IF(($MU73+2*IF(COUNTIF($MK73:$MN73,"Precisão")&gt;0,1,0))&gt;=0,"+","−")&amp;ABS(($MU73+2*IF(COUNTIF($MK73:$MN73,"Precisão")&gt;0,1,0))))&amp;IF($NQ73&gt;0," · TR"&amp;IF($MV73="",""," CD "&amp;$MV73),""),IF(LEFT($PP73,2)="TR",$PP73&amp;IF($MV73="",""," · CD "&amp;$MV73)&amp;IF(COUNTIF($MK73:$MN73,"Certeiro")&gt;0," · metade",""),"Sem rolagem"))))</f>
        <v/>
      </c>
      <c r="PR73" s="152">
        <f>IF(OR($MQ73=0,$MW73=0),"",IF($MF73=0,IF(OR($NT73&gt;=1,$OQ73=0),"Sem dano",$OQ73&amp;"d6"&amp;IF($MI73="",""," "&amp;$MI73)),IF(OR($NT73&gt;=1,$OQ73=0),UPPER(LEFT(INDEX($OZ73:$PF73,1,MAX(1,$MF73)),1))&amp;MID(INDEX($OZ73:$PF73,1,MAX(1,$MF73)),2,99),UPPER(LEFT(INDEX($OZ73:$PF73,1,MAX(1,$MF73)),1))&amp;MID(INDEX($OZ73:$PF73,1,MAX(1,$MF73)),2,99)&amp;IF($MI73="",""," "&amp;$MI73)&amp;IF($OR73&gt;0," · +"&amp;$OR73&amp;"d8",""))))</f>
        <v/>
      </c>
      <c r="PS73" s="152">
        <f>COUNTIF($MK73:$MN73,"Longe")+3*COUNTIF($MK73:$MN73,"Muito Longe")</f>
        <v/>
      </c>
      <c r="PT73" s="152">
        <f>COUNTIF($MK73:$MN73,"Maior")+3*COUNTIF($MK73:$MN73,"Muito Maior")</f>
        <v/>
      </c>
      <c r="PU73" s="152">
        <f>IF($MW73=0,0,CHOOSE(1+INDEX($AC$2:$AC$11,$MW73),0,$PS73,$PT73,$PS73+$PT73))</f>
        <v/>
      </c>
      <c r="PV73" s="152">
        <f>IF($MW73=0,0,CHOOSE(1+INDEX($AD$2:$AD$11,$MW73),0,$PS73,$PT73,$PS73+$PT73))</f>
        <v/>
      </c>
      <c r="PW73" s="152">
        <f>IF(OR($MQ73=0,$MW73=0),"",INDEX($AI$2:$AN$41,($MW73-1)*4+IF($MF73=0,1,IF($MF73&lt;=5,2,IF($MF73=6,3,4))),1+MIN(5,$PU73))&amp;INDEX($AO$2:$AT$41,($MW73-1)*4+IF($MF73=0,1,IF($MF73&lt;=5,2,IF($MF73=6,3,4))),1+MIN(5,$PV73))&amp;IF(INDEX($AE$2:$AE$11,$MW73)=1,IF(COUNTIF($MK73:$MN73,"Mais Um")&gt;0," · +"&amp;COUNTIF($MK73:$MN73,"Mais Um")&amp;IF(COUNTIF($MK73:$MN73,"Mais Um")&gt;1," alvos"," alvo"),"")&amp;IF(COUNTIF($MK73:$MN73,"Rajada")&gt;0,IF($MF73=0," · 1 tiro"," · "&amp;(MAX(1,$MF73-1)+1)&amp;" tiros"),""),""))</f>
        <v/>
      </c>
      <c r="PX73" s="152">
        <f>IF($MQ73=0,"",IF($MF73=0,$MT73&amp;"d6"&amp;IF($OH73&gt;0," − 1 = "&amp;$OQ73&amp;"d6"," da básica do nível "&amp;$MR73),$OO73&amp;" − "&amp;$OJ73&amp;" + "&amp;$OM73&amp;" = "&amp;$OP73&amp;" · teto "&amp;4*$MF73&amp;"d8"&amp;IF($NS73=1," · a Forma devolve "&amp;$MF73,"")&amp;IF($ON73&gt;0," · perde "&amp;$ON73,"")))</f>
        <v/>
      </c>
      <c r="PY73" s="152">
        <f>IF($MQ73=0,"",IF($MF73=0,"A básica não amplia: os dados dela sobem com o nível",IF($MF73&gt;=$MS73,"Já está na maior Classe que o nível liberou",TEXTJOIN(" · ",TRUE,IF(AND(2&gt;$MF73,2&lt;=$MS73),"2 → "&amp;$PA73&amp;", 6 PE",""),IF(AND(3&gt;$MF73,3&lt;=$MS73),"3 → "&amp;$PB73&amp;", 9 PE",""),IF(AND(4&gt;$MF73,4&lt;=$MS73),"4 → "&amp;$PC73&amp;", 12 PE",""),IF(AND(5&gt;$MF73,5&lt;=$MS73),"5 → "&amp;$PD73&amp;", 15 PE",""),IF(AND(6&gt;$MF73,6&lt;=$MS73),"6 → "&amp;$PE73&amp;", 18 PE",""),IF(AND(7&gt;$MF73,7&lt;=$MS73),"7 → "&amp;$PF73&amp;", 21 PE","")))))</f>
        <v/>
      </c>
      <c r="PZ73" s="152">
        <f>IF(OR($MQ73=0,$NB73=0),"",IF($MF73=0,"−1 dado","−"&amp;INDEX($I$2:$N$8,MAX(1,$MF73),MAX(1,$NG73))&amp;" · "&amp;CHOOSE(MAX(1,$NG73),"Leve","Média","Pesada","Leve · Livre","Média · Livre","Pesada · Livre")))</f>
        <v/>
      </c>
      <c r="QA73" s="152">
        <f>IF(OR($MQ73=0,$NC73=0),"",IF($MF73=0,"−1 dado","−"&amp;INDEX($I$2:$N$8,MAX(1,$MF73),MAX(1,$NH73))&amp;" · "&amp;CHOOSE(MAX(1,$NH73),"Leve","Média","Pesada","Leve · Livre","Média · Livre","Pesada · Livre")))</f>
        <v/>
      </c>
      <c r="QB73" s="152">
        <f>IF(OR($MQ73=0,$ND73=0),"",IF($MF73=0,"−1 dado","−"&amp;INDEX($I$2:$N$8,MAX(1,$MF73),MAX(1,$NI73))&amp;" · "&amp;CHOOSE(MAX(1,$NI73),"Leve","Média","Pesada","Leve · Livre","Média · Livre","Pesada · Livre")))</f>
        <v/>
      </c>
      <c r="QC73" s="152">
        <f>IF(OR($MQ73=0,$NE73=0),"",IF($MF73=0,"−1 dado","−"&amp;INDEX($I$2:$N$8,MAX(1,$MF73),MAX(1,$NJ73))&amp;" · "&amp;CHOOSE(MAX(1,$NJ73),"Leve","Média","Pesada","Leve · Livre","Média · Livre","Pesada · Livre")))</f>
        <v/>
      </c>
      <c r="QD73" s="152">
        <f>IF(OR($MQ73=0,$MO73=""),"",IF($MF73=0,"não devolve","+"&amp;IF($NV73=1,CEILING($MF73/2,1),$MF73)))</f>
        <v/>
      </c>
      <c r="QE73" s="152">
        <f>IF(OR($MQ73=0,$MP73=""),"",IF($MF73=0,"não devolve","+"&amp;IF($NW73=1,CEILING($MF73/2,1),$MF73)))</f>
        <v/>
      </c>
    </row>
    <row r="74">
      <c r="AV74" s="150" t="inlineStr">
        <is>
          <t>Identificar Feitiço</t>
        </is>
      </c>
      <c r="AW74" s="150" t="inlineStr">
        <is>
          <t>Marca</t>
        </is>
      </c>
      <c r="AX74" s="152" t="n">
        <v>1</v>
      </c>
      <c r="AY74" s="152" t="n">
        <v>0</v>
      </c>
      <c r="AZ74" s="152" t="n">
        <v>0</v>
      </c>
      <c r="BA74" s="152" t="n">
        <v>0</v>
      </c>
      <c r="JG74" s="152">
        <f>IF(OR($AW74="",COUNTIF($EF$2:$EJ$2,$AW74)&gt;0),$AV74,"")</f>
        <v/>
      </c>
      <c r="JH74" s="152">
        <f>IF(AND($AX74=1,OR($AW74="",COUNTIF($EF$2:$EJ$2,$AW74)&gt;0)),$AV74,"")</f>
        <v/>
      </c>
      <c r="JM74" s="152">
        <f>IF(OR($AW74="",COUNTIF($EF$3:$EJ$3,$AW74)&gt;0),$AV74,"")</f>
        <v/>
      </c>
      <c r="JN74" s="152">
        <f>IF(AND($AX74=1,OR($AW74="",COUNTIF($EF$3:$EJ$3,$AW74)&gt;0)),$AV74,"")</f>
        <v/>
      </c>
      <c r="JS74" s="152">
        <f>IF(OR($AW74="",COUNTIF($EF$4:$EJ$4,$AW74)&gt;0),$AV74,"")</f>
        <v/>
      </c>
      <c r="JT74" s="152">
        <f>IF(AND($AX74=1,OR($AW74="",COUNTIF($EF$4:$EJ$4,$AW74)&gt;0)),$AV74,"")</f>
        <v/>
      </c>
      <c r="JY74" s="152">
        <f>IF(OR($AW74="",COUNTIF($EF$5:$EJ$5,$AW74)&gt;0),$AV74,"")</f>
        <v/>
      </c>
      <c r="JZ74" s="152">
        <f>IF(AND($AX74=1,OR($AW74="",COUNTIF($EF$5:$EJ$5,$AW74)&gt;0)),$AV74,"")</f>
        <v/>
      </c>
      <c r="KE74" s="152">
        <f>IF(OR($AW74="",COUNTIF($EF$6:$EJ$6,$AW74)&gt;0),$AV74,"")</f>
        <v/>
      </c>
      <c r="KF74" s="152">
        <f>IF(AND($AX74=1,OR($AW74="",COUNTIF($EF$6:$EJ$6,$AW74)&gt;0)),$AV74,"")</f>
        <v/>
      </c>
      <c r="KK74" s="152">
        <f>IF(OR($AW74="",COUNTIF($EF$7:$EJ$7,$AW74)&gt;0),$AV74,"")</f>
        <v/>
      </c>
      <c r="KL74" s="152">
        <f>IF(AND($AX74=1,OR($AW74="",COUNTIF($EF$7:$EJ$7,$AW74)&gt;0)),$AV74,"")</f>
        <v/>
      </c>
      <c r="KQ74" s="152">
        <f>IF(OR($AW74="",COUNTIF($EF$8:$EJ$8,$AW74)&gt;0),$AV74,"")</f>
        <v/>
      </c>
      <c r="KR74" s="152">
        <f>IF(AND($AX74=1,OR($AW74="",COUNTIF($EF$8:$EJ$8,$AW74)&gt;0)),$AV74,"")</f>
        <v/>
      </c>
      <c r="KW74" s="152">
        <f>IF(OR($AW74="",COUNTIF($EF$9:$EJ$9,$AW74)&gt;0),$AV74,"")</f>
        <v/>
      </c>
      <c r="KX74" s="152">
        <f>IF(AND($AX74=1,OR($AW74="",COUNTIF($EF$9:$EJ$9,$AW74)&gt;0)),$AV74,"")</f>
        <v/>
      </c>
      <c r="LC74" s="152">
        <f>IF(OR($AW74="",COUNTIF($EF$10:$EJ$10,$AW74)&gt;0),$AV74,"")</f>
        <v/>
      </c>
      <c r="LD74" s="152">
        <f>IF(AND($AX74=1,OR($AW74="",COUNTIF($EF$10:$EJ$10,$AW74)&gt;0)),$AV74,"")</f>
        <v/>
      </c>
      <c r="LI74" s="152">
        <f>IF(OR($AW74="",COUNTIF($EF$11:$EJ$11,$AW74)&gt;0),$AV74,"")</f>
        <v/>
      </c>
      <c r="LJ74" s="152">
        <f>IF(AND($AX74=1,OR($AW74="",COUNTIF($EF$11:$EJ$11,$AW74)&gt;0)),$AV74,"")</f>
        <v/>
      </c>
      <c r="LO74" s="152">
        <f>IF(OR($AW74="",COUNTIF($EF$12:$EJ$12,$AW74)&gt;0),$AV74,"")</f>
        <v/>
      </c>
      <c r="LP74" s="152">
        <f>IF(AND($AX74=1,OR($AW74="",COUNTIF($EF$12:$EJ$12,$AW74)&gt;0)),$AV74,"")</f>
        <v/>
      </c>
      <c r="LU74" s="152">
        <f>IF(OR($AW74="",COUNTIF($EF$13:$EJ$13,$AW74)&gt;0),$AV74,"")</f>
        <v/>
      </c>
      <c r="LV74" s="152">
        <f>IF(AND($AX74=1,OR($AW74="",COUNTIF($EF$13:$EJ$13,$AW74)&gt;0)),$AV74,"")</f>
        <v/>
      </c>
      <c r="MA74" s="150" t="inlineStr">
        <is>
          <t>Ficha 6 · Especial 6</t>
        </is>
      </c>
      <c r="MB74" s="152" t="n">
        <v>6</v>
      </c>
      <c r="MC74" s="152" t="n">
        <v>1</v>
      </c>
      <c r="MD74" s="152" t="n">
        <v>20</v>
      </c>
      <c r="ME74" s="150" t="inlineStr">
        <is>
          <t>ESPECIAL 6</t>
        </is>
      </c>
      <c r="MF74" s="152">
        <f>MAX(1,MIN(7,N('INVOCAÇÕES'!$O$1104)))</f>
        <v/>
      </c>
      <c r="MG74" s="152">
        <f>'INVOCAÇÕES'!$P$1104&amp;""</f>
        <v/>
      </c>
      <c r="MH74" s="152">
        <f>'INVOCAÇÕES'!$O$1109&amp;""</f>
        <v/>
      </c>
      <c r="MI74" s="152">
        <f>'INVOCAÇÕES'!$O$1110&amp;""</f>
        <v/>
      </c>
      <c r="MJ74" s="152">
        <f>'INVOCAÇÕES'!$Q$1110&amp;""</f>
        <v/>
      </c>
      <c r="MK74" s="152">
        <f>'INVOCAÇÕES'!$P$1113&amp;""</f>
        <v/>
      </c>
      <c r="ML74" s="152">
        <f>'INVOCAÇÕES'!$P$1114&amp;""</f>
        <v/>
      </c>
      <c r="MM74" s="152">
        <f>'INVOCAÇÕES'!$P$1115&amp;""</f>
        <v/>
      </c>
      <c r="MN74" s="152">
        <f>'INVOCAÇÕES'!$P$1116&amp;""</f>
        <v/>
      </c>
      <c r="MO74" s="152">
        <f>'INVOCAÇÕES'!$P$1117&amp;""</f>
        <v/>
      </c>
      <c r="MP74" s="152">
        <f>'INVOCAÇÕES'!$P$1118&amp;""</f>
        <v/>
      </c>
      <c r="MQ74" s="152">
        <f>IF($MG74&lt;&gt;"",1,0)</f>
        <v/>
      </c>
      <c r="MR74" s="152">
        <f>INDEX($FI$2:$FI$13,$MB74)</f>
        <v/>
      </c>
      <c r="MS74" s="152">
        <f>INDEX($FJ$2:$FJ$13,$MB74)</f>
        <v/>
      </c>
      <c r="MT74" s="152">
        <f>INDEX($FK$2:$FK$13,$MB74)</f>
        <v/>
      </c>
      <c r="MU74" s="152">
        <f>INDEX($FV$2:$FV$13,$MB74)</f>
        <v/>
      </c>
      <c r="MV74" s="152">
        <f>INDEX($FW$2:$FW$13,$MB74)</f>
        <v/>
      </c>
      <c r="MW74" s="152">
        <f>IFERROR(MATCH($MH74,$V$2:$V$11,0),0)</f>
        <v/>
      </c>
      <c r="MX74" s="152">
        <f>IFERROR(VLOOKUP($MK74,$AV$2:$BA$84,2,FALSE),"")</f>
        <v/>
      </c>
      <c r="MY74" s="152">
        <f>IFERROR(VLOOKUP($ML74,$AV$2:$BA$84,2,FALSE),"")</f>
        <v/>
      </c>
      <c r="MZ74" s="152">
        <f>IFERROR(VLOOKUP($MM74,$AV$2:$BA$84,2,FALSE),"")</f>
        <v/>
      </c>
      <c r="NA74" s="152">
        <f>IFERROR(VLOOKUP($MN74,$AV$2:$BA$84,2,FALSE),"")</f>
        <v/>
      </c>
      <c r="NB74" s="152">
        <f>IFERROR(VLOOKUP($MK74,$AV$2:$BA$84,3,FALSE),0)</f>
        <v/>
      </c>
      <c r="NC74" s="152">
        <f>IFERROR(VLOOKUP($ML74,$AV$2:$BA$84,3,FALSE),0)</f>
        <v/>
      </c>
      <c r="ND74" s="152">
        <f>IFERROR(VLOOKUP($MM74,$AV$2:$BA$84,3,FALSE),0)</f>
        <v/>
      </c>
      <c r="NE74" s="152">
        <f>IFERROR(VLOOKUP($MN74,$AV$2:$BA$84,3,FALSE),0)</f>
        <v/>
      </c>
      <c r="NF74" s="152">
        <f>IF($MF74=0,0,IF($MW74=0,0,INDEX($X$2:$X$11,$MW74)))</f>
        <v/>
      </c>
      <c r="NG74" s="152">
        <f>IF(OR($NB74=0,$MF74=0),0,$NB74+3*IF(AND($MX74&lt;&gt;"",OR($MX74=INDEX($EF$2:$EF$13,$MB74),$MX74=INDEX($EG$2:$EG$13,$MB74))),1,0))</f>
        <v/>
      </c>
      <c r="NH74" s="152">
        <f>IF(OR($NC74=0,$MF74=0),0,$NC74+3*IF(AND($MY74&lt;&gt;"",OR($MY74=INDEX($EF$2:$EF$13,$MB74),$MY74=INDEX($EG$2:$EG$13,$MB74))),1,0))</f>
        <v/>
      </c>
      <c r="NI74" s="152">
        <f>IF(OR($ND74=0,$MF74=0),0,$ND74+3*IF(AND($MZ74&lt;&gt;"",OR($MZ74=INDEX($EF$2:$EF$13,$MB74),$MZ74=INDEX($EG$2:$EG$13,$MB74))),1,0))</f>
        <v/>
      </c>
      <c r="NJ74" s="152">
        <f>IF(OR($NE74=0,$MF74=0),0,$NE74+3*IF(AND($NA74&lt;&gt;"",OR($NA74=INDEX($EF$2:$EF$13,$MB74),$NA74=INDEX($EG$2:$EG$13,$MB74))),1,0))</f>
        <v/>
      </c>
      <c r="NK74" s="152">
        <f>IF($MW74=0,0,IF(INDEX($W$2:$W$11,$MW74)="",0,IF(COUNTIF(INDEX($EF$2:$EJ$13,$MB74,0),INDEX($W$2:$W$11,$MW74))=0,1,0)))</f>
        <v/>
      </c>
      <c r="NL74" s="152">
        <f>IF(OR($NB74=0,$MX74=""),0,IF(COUNTIF(INDEX($EF$2:$EJ$13,$MB74,0),$MX74)=0,1,0))</f>
        <v/>
      </c>
      <c r="NM74" s="152">
        <f>IF(OR($NC74=0,$MY74=""),0,IF(COUNTIF(INDEX($EF$2:$EJ$13,$MB74,0),$MY74)=0,1,0))</f>
        <v/>
      </c>
      <c r="NN74" s="152">
        <f>IF(OR($ND74=0,$MZ74=""),0,IF(COUNTIF(INDEX($EF$2:$EJ$13,$MB74,0),$MZ74)=0,1,0))</f>
        <v/>
      </c>
      <c r="NO74" s="152">
        <f>IF(OR($NE74=0,$NA74=""),0,IF(COUNTIF(INDEX($EF$2:$EJ$13,$MB74,0),$NA74)=0,1,0))</f>
        <v/>
      </c>
      <c r="NP74" s="152">
        <f>IFERROR(VLOOKUP($MK74,$AV$2:$BA$84,4,FALSE),0)+IFERROR(VLOOKUP($ML74,$AV$2:$BA$84,4,FALSE),0)+IFERROR(VLOOKUP($MM74,$AV$2:$BA$84,4,FALSE),0)+IFERROR(VLOOKUP($MN74,$AV$2:$BA$84,4,FALSE),0)</f>
        <v/>
      </c>
      <c r="NQ74" s="152">
        <f>IFERROR(VLOOKUP($MK74,$AV$2:$BA$84,6,FALSE),0)+IFERROR(VLOOKUP($ML74,$AV$2:$BA$84,6,FALSE),0)+IFERROR(VLOOKUP($MM74,$AV$2:$BA$84,6,FALSE),0)+IFERROR(VLOOKUP($MN74,$AV$2:$BA$84,6,FALSE),0)</f>
        <v/>
      </c>
      <c r="NR74" s="152">
        <f>TEXTJOIN(", ",TRUE,IF(IFERROR(VLOOKUP($MK74,$AV$2:$BA$84,5,FALSE),0)=1,$MK74,""),IF(IFERROR(VLOOKUP($ML74,$AV$2:$BA$84,5,FALSE),0)=1,$ML74,""),IF(IFERROR(VLOOKUP($MM74,$AV$2:$BA$84,5,FALSE),0)=1,$MM74,""),IF(IFERROR(VLOOKUP($MN74,$AV$2:$BA$84,5,FALSE),0)=1,$MN74,""))</f>
        <v/>
      </c>
      <c r="NS74" s="152">
        <f>IF($MW74=0,0,INDEX($Y$2:$Y$11,$MW74))</f>
        <v/>
      </c>
      <c r="NT74" s="152">
        <f>IF($MW74=0,0,INDEX($Z$2:$Z$11,$MW74))</f>
        <v/>
      </c>
      <c r="NU74" s="152">
        <f>IF($MW74=0,0,INDEX($AB$2:$AB$11,$MW74))</f>
        <v/>
      </c>
      <c r="NV74" s="152">
        <f>IFERROR(VLOOKUP($MO74,$BC$2:$BG$24,3,FALSE),0)</f>
        <v/>
      </c>
      <c r="NW74" s="152">
        <f>IFERROR(VLOOKUP($MP74,$BC$2:$BG$24,3,FALSE),0)</f>
        <v/>
      </c>
      <c r="NX74" s="152">
        <f>IFERROR(VLOOKUP($MO74,$BC$2:$BG$24,2,FALSE),"")</f>
        <v/>
      </c>
      <c r="NY74" s="152">
        <f>IFERROR(VLOOKUP($MP74,$BC$2:$BG$24,2,FALSE),"")</f>
        <v/>
      </c>
      <c r="NZ74" s="152">
        <f>COUNTIF($NF74:$NJ74,1)</f>
        <v/>
      </c>
      <c r="OA74" s="152">
        <f>COUNTIF($NF74:$NJ74,2)</f>
        <v/>
      </c>
      <c r="OB74" s="152">
        <f>COUNTIF($NF74:$NJ74,3)</f>
        <v/>
      </c>
      <c r="OC74" s="152">
        <f>COUNTIF($NF74:$NJ74,4)</f>
        <v/>
      </c>
      <c r="OD74" s="152">
        <f>COUNTIF($NF74:$NJ74,5)</f>
        <v/>
      </c>
      <c r="OE74" s="152">
        <f>COUNTIF($NF74:$NJ74,6)</f>
        <v/>
      </c>
      <c r="OF74" s="152">
        <f>COUNTIF($NV74:$NW74,1)</f>
        <v/>
      </c>
      <c r="OG74" s="152">
        <f>COUNTIF($NV74:$NW74,2)+$NS74</f>
        <v/>
      </c>
      <c r="OH74" s="152">
        <f>COUNTIF($MK74:$MN74,"?*")</f>
        <v/>
      </c>
      <c r="OI74" s="152">
        <f>COUNTIF($MO74:$MP74,"?*")+$NS74</f>
        <v/>
      </c>
      <c r="OJ74" s="152">
        <f>IF($MF74=0,0,SUMPRODUCT($NZ74:$OE74,INDEX($I$2:$N$8,MAX(1,$MF74),0)))</f>
        <v/>
      </c>
      <c r="OK74" s="152">
        <f>IF($MF74=0,0,$OF74*CEILING($MF74/2,1)+$OG74*$MF74)</f>
        <v/>
      </c>
      <c r="OL74" s="152">
        <f>MIN(2*$MF74,$OK74)</f>
        <v/>
      </c>
      <c r="OM74" s="152">
        <f>MIN($OL74,$OJ74)</f>
        <v/>
      </c>
      <c r="ON74" s="152">
        <f>$OL74-$OM74</f>
        <v/>
      </c>
      <c r="OO74" s="152">
        <f>IF($MF74=0,0,INDEX($P$2:$P$8,MAX(1,$MF74)))</f>
        <v/>
      </c>
      <c r="OP74" s="152">
        <f>$OO74-$OJ74+$OM74</f>
        <v/>
      </c>
      <c r="OQ74" s="152">
        <f>IF($MF74=0,MAX(0,$MT74-IF($OH74&gt;0,1,0)),MAX(0,$OP74))</f>
        <v/>
      </c>
      <c r="OR74" s="152">
        <f>IF($MF74=0,0,(IF(COUNTIF($MK74:$MN74,"Salto")&gt;0,1,0)+IF(COUNTIF($MK74:$MN74,"Queima")&gt;0,1,0)+IF(COUNTIF($MK74:$MN74,"Estilhaço")&gt;0,1,0))*FLOOR($OQ74/2,1))</f>
        <v/>
      </c>
      <c r="OS74" s="152">
        <f>MAX(0,2-SUMPRODUCT($NZ74:$OE74,$I$2:$N$2)+MIN(2,$OF74*1+$OG74*1,SUMPRODUCT($NZ74:$OE74,$I$2:$N$2)))</f>
        <v/>
      </c>
      <c r="OT74" s="152">
        <f>MAX(0,4-SUMPRODUCT($NZ74:$OE74,$I$3:$N$3)+MIN(4,$OF74*1+$OG74*2,SUMPRODUCT($NZ74:$OE74,$I$3:$N$3)))</f>
        <v/>
      </c>
      <c r="OU74" s="152">
        <f>MAX(0,6-SUMPRODUCT($NZ74:$OE74,$I$4:$N$4)+MIN(6,$OF74*2+$OG74*3,SUMPRODUCT($NZ74:$OE74,$I$4:$N$4)))</f>
        <v/>
      </c>
      <c r="OV74" s="152">
        <f>MAX(0,9-SUMPRODUCT($NZ74:$OE74,$I$5:$N$5)+MIN(8,$OF74*2+$OG74*4,SUMPRODUCT($NZ74:$OE74,$I$5:$N$5)))</f>
        <v/>
      </c>
      <c r="OW74" s="152">
        <f>MAX(0,11-SUMPRODUCT($NZ74:$OE74,$I$6:$N$6)+MIN(10,$OF74*3+$OG74*5,SUMPRODUCT($NZ74:$OE74,$I$6:$N$6)))</f>
        <v/>
      </c>
      <c r="OX74" s="152">
        <f>MAX(0,13-SUMPRODUCT($NZ74:$OE74,$I$7:$N$7)+MIN(12,$OF74*3+$OG74*6,SUMPRODUCT($NZ74:$OE74,$I$7:$N$7)))</f>
        <v/>
      </c>
      <c r="OY74" s="152">
        <f>MAX(0,16-SUMPRODUCT($NZ74:$OE74,$I$8:$N$8)+MIN(14,$OF74*4+$OG74*7,SUMPRODUCT($NZ74:$OE74,$I$8:$N$8)))</f>
        <v/>
      </c>
      <c r="OZ74" s="152">
        <f>IF($NT74=2,3*$OS74&amp;" de vida temp.",IF($NT74=3,"sem dano",IF($OS74=0,IF($NT74=1,"sem cura","sem dano"),IF($NT74=1,"cura ","")&amp;$OS74&amp;"d8")))</f>
        <v/>
      </c>
      <c r="PA74" s="152">
        <f>IF($NT74=2,3*$OT74&amp;" de vida temp.",IF($NT74=3,"sem dano",IF($OT74=0,IF($NT74=1,"sem cura","sem dano"),IF($NT74=1,"cura ","")&amp;$OT74&amp;"d8")))</f>
        <v/>
      </c>
      <c r="PB74" s="152">
        <f>IF($NT74=2,3*$OU74&amp;" de vida temp.",IF($NT74=3,"sem dano",IF($OU74=0,IF($NT74=1,"sem cura","sem dano"),IF($NT74=1,"cura ","")&amp;$OU74&amp;"d8")))</f>
        <v/>
      </c>
      <c r="PC74" s="152">
        <f>IF($NT74=2,3*$OV74&amp;" de vida temp.",IF($NT74=3,"sem dano",IF($OV74=0,IF($NT74=1,"sem cura","sem dano"),IF($NT74=1,"cura ","")&amp;$OV74&amp;"d8")))</f>
        <v/>
      </c>
      <c r="PD74" s="152">
        <f>IF($NT74=2,3*$OW74&amp;" de vida temp.",IF($NT74=3,"sem dano",IF($OW74=0,IF($NT74=1,"sem cura","sem dano"),IF($NT74=1,"cura ","")&amp;$OW74&amp;"d8")))</f>
        <v/>
      </c>
      <c r="PE74" s="152">
        <f>IF($NT74=2,3*$OX74&amp;" de vida temp.",IF($NT74=3,"sem dano",IF($OX74=0,IF($NT74=1,"sem cura","sem dano"),IF($NT74=1,"cura ","")&amp;$OX74&amp;"d8")))</f>
        <v/>
      </c>
      <c r="PF74" s="152">
        <f>IF($NT74=2,3*$OY74&amp;" de vida temp.",IF($NT74=3,"sem dano",IF($OY74=0,IF($NT74=1,"sem cura","sem dano"),IF($NT74=1,"cura ","")&amp;$OY74&amp;"d8")))</f>
        <v/>
      </c>
      <c r="PG74" s="152">
        <f>IF($MQ74=0,"",TEXTJOIN(" · ",TRUE,IF($MD74&gt;$MR74,"Este lugar abre no nível "&amp;$MD74,""),IF($MF74&gt;$MS74,"Classe "&amp;$MF74&amp;": o nível "&amp;$MR74&amp;" libera até a "&amp;$MS74,""),IF($NK74=1,"A Forma "&amp;$MH74&amp;" pede "&amp;INDEX($W$2:$W$11,$MW74)&amp;" aberta",""),IF(AND($MF74=0,$MW74&gt;0,IF($MW74=0,0,INDEX($AF$2:$AF$11,$MW74))=0),$MH74&amp;" não existe na Classe 0",""),IF($NL74=1,"Família Fechada: "&amp;$MK74,""),IF($NM74=1,"Família Fechada: "&amp;$ML74,""),IF($NN74=1,"Família Fechada: "&amp;$MM74,""),IF($NO74=1,"Família Fechada: "&amp;$MN74,""),IF(AND($MF74&gt;0,$OH74&gt;INDEX($O$2:$O$8,MAX(1,$MF74))),$OH74&amp;" Melhorias: a Classe "&amp;$MF74&amp;" aceita "&amp;INDEX($O$2:$O$8,MAX(1,$MF74)),""),IF(AND($MF74=0,$OH74&gt;1),"A básica aceita uma Melhoria",""),IF(AND($MF74=0,COUNTIF($NB74:$NE74,"&gt;1")&gt;0),"A básica só aceita Melhoria Leve",""),IF(AND($MF74&gt;0,$OI74&gt;2),$OI74&amp;" Restrições"&amp;IF($NS74=1,", contando a que a Forma "&amp;$MH74&amp;" já traz","")&amp;": o limite é 2",""),IF(AND($MF74=0,COUNTIF($MO74:$MP74,"?*")&gt;1),"A básica aceita uma Restrição Leve",""),IF(AND($MF74=0,COUNTIF($NV74:$NW74,2)&gt;0),"A básica só aceita Restrição Leve",""),IF(AND($MF74&gt;0,$OP74&lt;0),"Orçamento estourado: faltam "&amp;(-$OP74)&amp;IF($OP74&lt;-1," pontos"," ponto"),""),IF(IFERROR(VLOOKUP($MO74,$BC$2:$BG$24,4,FALSE),0)+IFERROR(VLOOKUP($MP74,$BC$2:$BG$24,4,FALSE),0)&gt;1,$NX74&amp;" e "&amp;$NY74&amp;" são as duas de frequência",""),IF(AND((COUNTIF($MK74:$MN74,"Rápido")+COUNTIF($NX74:$NY74,"Rápido"))&gt;0,(COUNTIF($MK74:$MN74,"Atrasar")+COUNTIF($NX74:$NY74,"Atrasar"))&gt;0),"Rápido não entra com Atrasar",""),IF(AND((COUNTIF($MK74:$MN74,"Reação")+COUNTIF($NX74:$NY74,"Reação"))&gt;0,(COUNTIF($MK74:$MN74,"Rápido")+COUNTIF($NX74:$NY74,"Rápido"))&gt;0),"Reação não entra com Rápido",""),IF(AND((COUNTIF($MK74:$MN74,"Reação")+COUNTIF($NX74:$NY74,"Reação"))&gt;0,(COUNTIF($MK74:$MN74,"Armado")+COUNTIF($NX74:$NY74,"Armado"))&gt;0),"Reação não entra com Armado",""),IF(AND((COUNTIF($MK74:$MN74,"Reação")+COUNTIF($NX74:$NY74,"Reação"))&gt;0,(COUNTIF($MK74:$MN74,"Atrasar")+COUNTIF($NX74:$NY74,"Atrasar"))&gt;0),"Reação não entra com Atrasar",""),IF(AND((COUNTIF($MK74:$MN74,"Reação")+COUNTIF($NX74:$NY74,"Reação"))&gt;0,(COUNTIF($MK74:$MN74,"Parado")+COUNTIF($NX74:$NY74,"Parado"))&gt;0),"Reação não entra com Parado",""),IF(AND((COUNTIF($MK74:$MN74,"Atrasar")+COUNTIF($NX74:$NY74,"Atrasar"))&gt;0,(COUNTIF($MK74:$MN74,"Parado")+COUNTIF($NX74:$NY74,"Parado"))&gt;0),"Atrasar não entra com Parado",""),IF(AND((COUNTIF($MK74:$MN74,"Armado")+COUNTIF($NX74:$NY74,"Armado"))&gt;0,(COUNTIF($MK74:$MN74,"Carregar")+COUNTIF($NX74:$NY74,"Carregar"))&gt;0),"Armado não entra com Carregar",""),IF(AND(COUNTIF($NX74:$NY74,"Corpo a Corpo")&gt;0,$NS74=0,OR($MH74="Cone",$MH74="Linha")),"Corpo a Corpo não entra em "&amp;$MH74,""),IF(AND(COUNTIF($NX74:$NY74,"Corpo a Corpo")&gt;0,$NS74=1),"A Forma "&amp;$MH74&amp;" já traz o Corpo a Corpo",""),IF(AND(COUNTIF($NX74:$NY74,"Tudo ou Nada")&gt;0,$NU74=0),"Tudo ou Nada só entra em habilidade de Teste de Resistência",""),IF(AND(COUNTIF($MK74:$MN74,"Inescapável")&gt;0,OR($OH74&gt;1,$OI74&gt;0)),"Inescapável não aceita outra peça",""),IF(AND($MF74&gt;0,$OQ74*IF(COUNTIF($MK74:$MN74,"Remate")&gt;0,1.25,1)+$OR74&gt;4*$MF74),($OQ74*IF(COUNTIF($MK74:$MN74,"Remate")&gt;0,1.25,1)+$OR74)&amp;" dados somando repetições"&amp;IF(COUNTIF($MK74:$MN74,"Remate")&gt;0," e o Remate","")&amp;": o teto da Classe "&amp;$MF74&amp;" é "&amp;4*$MF74,"")))</f>
        <v/>
      </c>
      <c r="PH74" s="152">
        <f>IF($PG74="",0,(LEN($PG74)-LEN(SUBSTITUTE($PG74," · ","")))/3+1)</f>
        <v/>
      </c>
      <c r="PI74" s="152">
        <f>IF($MQ74=0,"",TEXTJOIN(" · ",TRUE,IF($OK74&gt;2*$MF74,"A devolução parou no teto de "&amp;2*$MF74,""),IF($ON74&gt;0,"Devolução perdida: "&amp;$ON74&amp;IF($ON74&gt;1," pontos"," ponto")&amp;" sem peça para pagar",""),IF(AND($NP74&gt;0,AND($MF74&gt;0,$NT74=0),$OQ74=0),"Controle sem dano: uma rodada a mais e CD +2",""),IF(AND($NP74&gt;0,AND($MF74&gt;0,$NT74=0),$OQ74&gt;0,$OQ74&lt;=$MF74),"Controle com saldo até a Classe: uma rodada a mais",""),IF(AND($MF74&gt;0,$NR74&lt;&gt;""),"Efeito de "&amp;$NR74&amp;" pela Classe "&amp;MAX(1,$MF74-1),"")))</f>
        <v/>
      </c>
      <c r="PJ74" s="152">
        <f>IF($PI74="",0,(LEN($PI74)-LEN(SUBSTITUTE($PI74," · ","")))/3+1)</f>
        <v/>
      </c>
      <c r="PK74" s="152">
        <f>IF($MQ74=0,IF($OH74+COUNTIF($MO74:$MP74,"?*")&gt;0,"Dê um nome",""),IF($PH74&gt;0,"⚠ "&amp;$PH74&amp;IF($PH74&gt;1," erros"," erro"),IF($PJ74&gt;0,"! "&amp;$PJ74&amp;IF($PJ74&gt;1," avisos"," aviso"),"Na regra")))</f>
        <v/>
      </c>
      <c r="PL74" s="152">
        <f>IF($MQ74=0,"",IF($PH74+$PJ74=0,"Dentro das regras que a ficha confere",$PG74&amp;IF(AND($PH74&gt;0,$PJ74&gt;0)," · ","")&amp;$PI74))</f>
        <v/>
      </c>
      <c r="PM74" s="152">
        <f>IF($MD74&gt;$MR74,$ME74&amp;" · ABRE NO NÍVEL "&amp;$MD74,$ME74)</f>
        <v/>
      </c>
      <c r="PN74" s="152">
        <f>IF($MQ74=0,"",IF($MF74=0,"Sem PE",3*$MF74&amp;" PE"))</f>
        <v/>
      </c>
      <c r="PO74" s="152">
        <f>IF($MQ74=0,"",IF($MF74=0,"A atuação básica dela",IF(COUNTIF($NX74:$NY74,"Atrasar")&gt;0,"Sua Ação Completa",IF(COUNTIF($MK74:$MN74,"Rápido")&gt;0,"Sua Bônus",IF(COUNTIF($MK74:$MN74,"Reação")&gt;0,"Sua Reação","Sua Padrão")))&amp;" + a básica dela"&amp;IF(COUNTIF($MK74:$MN74,"Reação")&gt;0," e a coletiva","")&amp;IF(COUNTIF($NX74:$NY74,"Carregar")&gt;0," · em dois turnos","")))</f>
        <v/>
      </c>
      <c r="PP74" s="152">
        <f>IF($MJ74&lt;&gt;"",$MJ74,IF($MW74=0,"",INDEX($AA$2:$AA$11,$MW74)))</f>
        <v/>
      </c>
      <c r="PQ74" s="152">
        <f>IF(OR($MQ74=0,$MW74=0),"",IF(COUNTIF($MK74:$MN74,"Inescapável")&gt;0,"Automático",IF($PP74="Ataque",IF($MU74="","Ataque","Ataque "&amp;IF(($MU74+2*IF(COUNTIF($MK74:$MN74,"Precisão")&gt;0,1,0))&gt;=0,"+","−")&amp;ABS(($MU74+2*IF(COUNTIF($MK74:$MN74,"Precisão")&gt;0,1,0))))&amp;IF($NQ74&gt;0," · TR"&amp;IF($MV74="",""," CD "&amp;$MV74),""),IF(LEFT($PP74,2)="TR",$PP74&amp;IF($MV74="",""," · CD "&amp;$MV74)&amp;IF(COUNTIF($MK74:$MN74,"Certeiro")&gt;0," · metade",""),"Sem rolagem"))))</f>
        <v/>
      </c>
      <c r="PR74" s="152">
        <f>IF(OR($MQ74=0,$MW74=0),"",IF($MF74=0,IF(OR($NT74&gt;=1,$OQ74=0),"Sem dano",$OQ74&amp;"d6"&amp;IF($MI74="",""," "&amp;$MI74)),IF(OR($NT74&gt;=1,$OQ74=0),UPPER(LEFT(INDEX($OZ74:$PF74,1,MAX(1,$MF74)),1))&amp;MID(INDEX($OZ74:$PF74,1,MAX(1,$MF74)),2,99),UPPER(LEFT(INDEX($OZ74:$PF74,1,MAX(1,$MF74)),1))&amp;MID(INDEX($OZ74:$PF74,1,MAX(1,$MF74)),2,99)&amp;IF($MI74="",""," "&amp;$MI74)&amp;IF($OR74&gt;0," · +"&amp;$OR74&amp;"d8",""))))</f>
        <v/>
      </c>
      <c r="PS74" s="152">
        <f>COUNTIF($MK74:$MN74,"Longe")+3*COUNTIF($MK74:$MN74,"Muito Longe")</f>
        <v/>
      </c>
      <c r="PT74" s="152">
        <f>COUNTIF($MK74:$MN74,"Maior")+3*COUNTIF($MK74:$MN74,"Muito Maior")</f>
        <v/>
      </c>
      <c r="PU74" s="152">
        <f>IF($MW74=0,0,CHOOSE(1+INDEX($AC$2:$AC$11,$MW74),0,$PS74,$PT74,$PS74+$PT74))</f>
        <v/>
      </c>
      <c r="PV74" s="152">
        <f>IF($MW74=0,0,CHOOSE(1+INDEX($AD$2:$AD$11,$MW74),0,$PS74,$PT74,$PS74+$PT74))</f>
        <v/>
      </c>
      <c r="PW74" s="152">
        <f>IF(OR($MQ74=0,$MW74=0),"",INDEX($AI$2:$AN$41,($MW74-1)*4+IF($MF74=0,1,IF($MF74&lt;=5,2,IF($MF74=6,3,4))),1+MIN(5,$PU74))&amp;INDEX($AO$2:$AT$41,($MW74-1)*4+IF($MF74=0,1,IF($MF74&lt;=5,2,IF($MF74=6,3,4))),1+MIN(5,$PV74))&amp;IF(INDEX($AE$2:$AE$11,$MW74)=1,IF(COUNTIF($MK74:$MN74,"Mais Um")&gt;0," · +"&amp;COUNTIF($MK74:$MN74,"Mais Um")&amp;IF(COUNTIF($MK74:$MN74,"Mais Um")&gt;1," alvos"," alvo"),"")&amp;IF(COUNTIF($MK74:$MN74,"Rajada")&gt;0,IF($MF74=0," · 1 tiro"," · "&amp;(MAX(1,$MF74-1)+1)&amp;" tiros"),""),""))</f>
        <v/>
      </c>
      <c r="PX74" s="152">
        <f>IF($MQ74=0,"",IF($MF74=0,$MT74&amp;"d6"&amp;IF($OH74&gt;0," − 1 = "&amp;$OQ74&amp;"d6"," da básica do nível "&amp;$MR74),$OO74&amp;" − "&amp;$OJ74&amp;" + "&amp;$OM74&amp;" = "&amp;$OP74&amp;" · teto "&amp;4*$MF74&amp;"d8"&amp;IF($NS74=1," · a Forma devolve "&amp;$MF74,"")&amp;IF($ON74&gt;0," · perde "&amp;$ON74,"")))</f>
        <v/>
      </c>
      <c r="PY74" s="152">
        <f>IF($MQ74=0,"",IF($MF74=0,"A básica não amplia: os dados dela sobem com o nível",IF($MF74&gt;=$MS74,"Já está na maior Classe que o nível liberou",TEXTJOIN(" · ",TRUE,IF(AND(2&gt;$MF74,2&lt;=$MS74),"2 → "&amp;$PA74&amp;", 6 PE",""),IF(AND(3&gt;$MF74,3&lt;=$MS74),"3 → "&amp;$PB74&amp;", 9 PE",""),IF(AND(4&gt;$MF74,4&lt;=$MS74),"4 → "&amp;$PC74&amp;", 12 PE",""),IF(AND(5&gt;$MF74,5&lt;=$MS74),"5 → "&amp;$PD74&amp;", 15 PE",""),IF(AND(6&gt;$MF74,6&lt;=$MS74),"6 → "&amp;$PE74&amp;", 18 PE",""),IF(AND(7&gt;$MF74,7&lt;=$MS74),"7 → "&amp;$PF74&amp;", 21 PE","")))))</f>
        <v/>
      </c>
      <c r="PZ74" s="152">
        <f>IF(OR($MQ74=0,$NB74=0),"",IF($MF74=0,"−1 dado","−"&amp;INDEX($I$2:$N$8,MAX(1,$MF74),MAX(1,$NG74))&amp;" · "&amp;CHOOSE(MAX(1,$NG74),"Leve","Média","Pesada","Leve · Livre","Média · Livre","Pesada · Livre")))</f>
        <v/>
      </c>
      <c r="QA74" s="152">
        <f>IF(OR($MQ74=0,$NC74=0),"",IF($MF74=0,"−1 dado","−"&amp;INDEX($I$2:$N$8,MAX(1,$MF74),MAX(1,$NH74))&amp;" · "&amp;CHOOSE(MAX(1,$NH74),"Leve","Média","Pesada","Leve · Livre","Média · Livre","Pesada · Livre")))</f>
        <v/>
      </c>
      <c r="QB74" s="152">
        <f>IF(OR($MQ74=0,$ND74=0),"",IF($MF74=0,"−1 dado","−"&amp;INDEX($I$2:$N$8,MAX(1,$MF74),MAX(1,$NI74))&amp;" · "&amp;CHOOSE(MAX(1,$NI74),"Leve","Média","Pesada","Leve · Livre","Média · Livre","Pesada · Livre")))</f>
        <v/>
      </c>
      <c r="QC74" s="152">
        <f>IF(OR($MQ74=0,$NE74=0),"",IF($MF74=0,"−1 dado","−"&amp;INDEX($I$2:$N$8,MAX(1,$MF74),MAX(1,$NJ74))&amp;" · "&amp;CHOOSE(MAX(1,$NJ74),"Leve","Média","Pesada","Leve · Livre","Média · Livre","Pesada · Livre")))</f>
        <v/>
      </c>
      <c r="QD74" s="152">
        <f>IF(OR($MQ74=0,$MO74=""),"",IF($MF74=0,"não devolve","+"&amp;IF($NV74=1,CEILING($MF74/2,1),$MF74)))</f>
        <v/>
      </c>
      <c r="QE74" s="152">
        <f>IF(OR($MQ74=0,$MP74=""),"",IF($MF74=0,"não devolve","+"&amp;IF($NW74=1,CEILING($MF74/2,1),$MF74)))</f>
        <v/>
      </c>
    </row>
    <row r="75">
      <c r="AV75" s="150" t="inlineStr">
        <is>
          <t>Limpa</t>
        </is>
      </c>
      <c r="AW75" s="150" t="inlineStr">
        <is>
          <t>Amparo</t>
        </is>
      </c>
      <c r="AX75" s="152" t="n">
        <v>2</v>
      </c>
      <c r="AY75" s="152" t="n">
        <v>0</v>
      </c>
      <c r="AZ75" s="152" t="n">
        <v>0</v>
      </c>
      <c r="BA75" s="152" t="n">
        <v>0</v>
      </c>
      <c r="JG75" s="152">
        <f>IF(OR($AW75="",COUNTIF($EF$2:$EJ$2,$AW75)&gt;0),$AV75,"")</f>
        <v/>
      </c>
      <c r="JH75" s="152">
        <f>IF(AND($AX75=1,OR($AW75="",COUNTIF($EF$2:$EJ$2,$AW75)&gt;0)),$AV75,"")</f>
        <v/>
      </c>
      <c r="JM75" s="152">
        <f>IF(OR($AW75="",COUNTIF($EF$3:$EJ$3,$AW75)&gt;0),$AV75,"")</f>
        <v/>
      </c>
      <c r="JN75" s="152">
        <f>IF(AND($AX75=1,OR($AW75="",COUNTIF($EF$3:$EJ$3,$AW75)&gt;0)),$AV75,"")</f>
        <v/>
      </c>
      <c r="JS75" s="152">
        <f>IF(OR($AW75="",COUNTIF($EF$4:$EJ$4,$AW75)&gt;0),$AV75,"")</f>
        <v/>
      </c>
      <c r="JT75" s="152">
        <f>IF(AND($AX75=1,OR($AW75="",COUNTIF($EF$4:$EJ$4,$AW75)&gt;0)),$AV75,"")</f>
        <v/>
      </c>
      <c r="JY75" s="152">
        <f>IF(OR($AW75="",COUNTIF($EF$5:$EJ$5,$AW75)&gt;0),$AV75,"")</f>
        <v/>
      </c>
      <c r="JZ75" s="152">
        <f>IF(AND($AX75=1,OR($AW75="",COUNTIF($EF$5:$EJ$5,$AW75)&gt;0)),$AV75,"")</f>
        <v/>
      </c>
      <c r="KE75" s="152">
        <f>IF(OR($AW75="",COUNTIF($EF$6:$EJ$6,$AW75)&gt;0),$AV75,"")</f>
        <v/>
      </c>
      <c r="KF75" s="152">
        <f>IF(AND($AX75=1,OR($AW75="",COUNTIF($EF$6:$EJ$6,$AW75)&gt;0)),$AV75,"")</f>
        <v/>
      </c>
      <c r="KK75" s="152">
        <f>IF(OR($AW75="",COUNTIF($EF$7:$EJ$7,$AW75)&gt;0),$AV75,"")</f>
        <v/>
      </c>
      <c r="KL75" s="152">
        <f>IF(AND($AX75=1,OR($AW75="",COUNTIF($EF$7:$EJ$7,$AW75)&gt;0)),$AV75,"")</f>
        <v/>
      </c>
      <c r="KQ75" s="152">
        <f>IF(OR($AW75="",COUNTIF($EF$8:$EJ$8,$AW75)&gt;0),$AV75,"")</f>
        <v/>
      </c>
      <c r="KR75" s="152">
        <f>IF(AND($AX75=1,OR($AW75="",COUNTIF($EF$8:$EJ$8,$AW75)&gt;0)),$AV75,"")</f>
        <v/>
      </c>
      <c r="KW75" s="152">
        <f>IF(OR($AW75="",COUNTIF($EF$9:$EJ$9,$AW75)&gt;0),$AV75,"")</f>
        <v/>
      </c>
      <c r="KX75" s="152">
        <f>IF(AND($AX75=1,OR($AW75="",COUNTIF($EF$9:$EJ$9,$AW75)&gt;0)),$AV75,"")</f>
        <v/>
      </c>
      <c r="LC75" s="152">
        <f>IF(OR($AW75="",COUNTIF($EF$10:$EJ$10,$AW75)&gt;0),$AV75,"")</f>
        <v/>
      </c>
      <c r="LD75" s="152">
        <f>IF(AND($AX75=1,OR($AW75="",COUNTIF($EF$10:$EJ$10,$AW75)&gt;0)),$AV75,"")</f>
        <v/>
      </c>
      <c r="LI75" s="152">
        <f>IF(OR($AW75="",COUNTIF($EF$11:$EJ$11,$AW75)&gt;0),$AV75,"")</f>
        <v/>
      </c>
      <c r="LJ75" s="152">
        <f>IF(AND($AX75=1,OR($AW75="",COUNTIF($EF$11:$EJ$11,$AW75)&gt;0)),$AV75,"")</f>
        <v/>
      </c>
      <c r="LO75" s="152">
        <f>IF(OR($AW75="",COUNTIF($EF$12:$EJ$12,$AW75)&gt;0),$AV75,"")</f>
        <v/>
      </c>
      <c r="LP75" s="152">
        <f>IF(AND($AX75=1,OR($AW75="",COUNTIF($EF$12:$EJ$12,$AW75)&gt;0)),$AV75,"")</f>
        <v/>
      </c>
      <c r="LU75" s="152">
        <f>IF(OR($AW75="",COUNTIF($EF$13:$EJ$13,$AW75)&gt;0),$AV75,"")</f>
        <v/>
      </c>
      <c r="LV75" s="152">
        <f>IF(AND($AX75=1,OR($AW75="",COUNTIF($EF$13:$EJ$13,$AW75)&gt;0)),$AV75,"")</f>
        <v/>
      </c>
      <c r="MA75" s="150" t="inlineStr">
        <is>
          <t>Ficha 6 · Especial 7</t>
        </is>
      </c>
      <c r="MB75" s="152" t="n">
        <v>6</v>
      </c>
      <c r="MC75" s="152" t="n">
        <v>1</v>
      </c>
      <c r="MD75" s="152" t="n">
        <v>24</v>
      </c>
      <c r="ME75" s="150" t="inlineStr">
        <is>
          <t>ESPECIAL 7</t>
        </is>
      </c>
      <c r="MF75" s="152">
        <f>MAX(1,MIN(7,N('INVOCAÇÕES'!$U$1104)))</f>
        <v/>
      </c>
      <c r="MG75" s="152">
        <f>'INVOCAÇÕES'!$V$1104&amp;""</f>
        <v/>
      </c>
      <c r="MH75" s="152">
        <f>'INVOCAÇÕES'!$U$1109&amp;""</f>
        <v/>
      </c>
      <c r="MI75" s="152">
        <f>'INVOCAÇÕES'!$U$1110&amp;""</f>
        <v/>
      </c>
      <c r="MJ75" s="152">
        <f>'INVOCAÇÕES'!$W$1110&amp;""</f>
        <v/>
      </c>
      <c r="MK75" s="152">
        <f>'INVOCAÇÕES'!$V$1113&amp;""</f>
        <v/>
      </c>
      <c r="ML75" s="152">
        <f>'INVOCAÇÕES'!$V$1114&amp;""</f>
        <v/>
      </c>
      <c r="MM75" s="152">
        <f>'INVOCAÇÕES'!$V$1115&amp;""</f>
        <v/>
      </c>
      <c r="MN75" s="152">
        <f>'INVOCAÇÕES'!$V$1116&amp;""</f>
        <v/>
      </c>
      <c r="MO75" s="152">
        <f>'INVOCAÇÕES'!$V$1117&amp;""</f>
        <v/>
      </c>
      <c r="MP75" s="152">
        <f>'INVOCAÇÕES'!$V$1118&amp;""</f>
        <v/>
      </c>
      <c r="MQ75" s="152">
        <f>IF($MG75&lt;&gt;"",1,0)</f>
        <v/>
      </c>
      <c r="MR75" s="152">
        <f>INDEX($FI$2:$FI$13,$MB75)</f>
        <v/>
      </c>
      <c r="MS75" s="152">
        <f>INDEX($FJ$2:$FJ$13,$MB75)</f>
        <v/>
      </c>
      <c r="MT75" s="152">
        <f>INDEX($FK$2:$FK$13,$MB75)</f>
        <v/>
      </c>
      <c r="MU75" s="152">
        <f>INDEX($FV$2:$FV$13,$MB75)</f>
        <v/>
      </c>
      <c r="MV75" s="152">
        <f>INDEX($FW$2:$FW$13,$MB75)</f>
        <v/>
      </c>
      <c r="MW75" s="152">
        <f>IFERROR(MATCH($MH75,$V$2:$V$11,0),0)</f>
        <v/>
      </c>
      <c r="MX75" s="152">
        <f>IFERROR(VLOOKUP($MK75,$AV$2:$BA$84,2,FALSE),"")</f>
        <v/>
      </c>
      <c r="MY75" s="152">
        <f>IFERROR(VLOOKUP($ML75,$AV$2:$BA$84,2,FALSE),"")</f>
        <v/>
      </c>
      <c r="MZ75" s="152">
        <f>IFERROR(VLOOKUP($MM75,$AV$2:$BA$84,2,FALSE),"")</f>
        <v/>
      </c>
      <c r="NA75" s="152">
        <f>IFERROR(VLOOKUP($MN75,$AV$2:$BA$84,2,FALSE),"")</f>
        <v/>
      </c>
      <c r="NB75" s="152">
        <f>IFERROR(VLOOKUP($MK75,$AV$2:$BA$84,3,FALSE),0)</f>
        <v/>
      </c>
      <c r="NC75" s="152">
        <f>IFERROR(VLOOKUP($ML75,$AV$2:$BA$84,3,FALSE),0)</f>
        <v/>
      </c>
      <c r="ND75" s="152">
        <f>IFERROR(VLOOKUP($MM75,$AV$2:$BA$84,3,FALSE),0)</f>
        <v/>
      </c>
      <c r="NE75" s="152">
        <f>IFERROR(VLOOKUP($MN75,$AV$2:$BA$84,3,FALSE),0)</f>
        <v/>
      </c>
      <c r="NF75" s="152">
        <f>IF($MF75=0,0,IF($MW75=0,0,INDEX($X$2:$X$11,$MW75)))</f>
        <v/>
      </c>
      <c r="NG75" s="152">
        <f>IF(OR($NB75=0,$MF75=0),0,$NB75+3*IF(AND($MX75&lt;&gt;"",OR($MX75=INDEX($EF$2:$EF$13,$MB75),$MX75=INDEX($EG$2:$EG$13,$MB75))),1,0))</f>
        <v/>
      </c>
      <c r="NH75" s="152">
        <f>IF(OR($NC75=0,$MF75=0),0,$NC75+3*IF(AND($MY75&lt;&gt;"",OR($MY75=INDEX($EF$2:$EF$13,$MB75),$MY75=INDEX($EG$2:$EG$13,$MB75))),1,0))</f>
        <v/>
      </c>
      <c r="NI75" s="152">
        <f>IF(OR($ND75=0,$MF75=0),0,$ND75+3*IF(AND($MZ75&lt;&gt;"",OR($MZ75=INDEX($EF$2:$EF$13,$MB75),$MZ75=INDEX($EG$2:$EG$13,$MB75))),1,0))</f>
        <v/>
      </c>
      <c r="NJ75" s="152">
        <f>IF(OR($NE75=0,$MF75=0),0,$NE75+3*IF(AND($NA75&lt;&gt;"",OR($NA75=INDEX($EF$2:$EF$13,$MB75),$NA75=INDEX($EG$2:$EG$13,$MB75))),1,0))</f>
        <v/>
      </c>
      <c r="NK75" s="152">
        <f>IF($MW75=0,0,IF(INDEX($W$2:$W$11,$MW75)="",0,IF(COUNTIF(INDEX($EF$2:$EJ$13,$MB75,0),INDEX($W$2:$W$11,$MW75))=0,1,0)))</f>
        <v/>
      </c>
      <c r="NL75" s="152">
        <f>IF(OR($NB75=0,$MX75=""),0,IF(COUNTIF(INDEX($EF$2:$EJ$13,$MB75,0),$MX75)=0,1,0))</f>
        <v/>
      </c>
      <c r="NM75" s="152">
        <f>IF(OR($NC75=0,$MY75=""),0,IF(COUNTIF(INDEX($EF$2:$EJ$13,$MB75,0),$MY75)=0,1,0))</f>
        <v/>
      </c>
      <c r="NN75" s="152">
        <f>IF(OR($ND75=0,$MZ75=""),0,IF(COUNTIF(INDEX($EF$2:$EJ$13,$MB75,0),$MZ75)=0,1,0))</f>
        <v/>
      </c>
      <c r="NO75" s="152">
        <f>IF(OR($NE75=0,$NA75=""),0,IF(COUNTIF(INDEX($EF$2:$EJ$13,$MB75,0),$NA75)=0,1,0))</f>
        <v/>
      </c>
      <c r="NP75" s="152">
        <f>IFERROR(VLOOKUP($MK75,$AV$2:$BA$84,4,FALSE),0)+IFERROR(VLOOKUP($ML75,$AV$2:$BA$84,4,FALSE),0)+IFERROR(VLOOKUP($MM75,$AV$2:$BA$84,4,FALSE),0)+IFERROR(VLOOKUP($MN75,$AV$2:$BA$84,4,FALSE),0)</f>
        <v/>
      </c>
      <c r="NQ75" s="152">
        <f>IFERROR(VLOOKUP($MK75,$AV$2:$BA$84,6,FALSE),0)+IFERROR(VLOOKUP($ML75,$AV$2:$BA$84,6,FALSE),0)+IFERROR(VLOOKUP($MM75,$AV$2:$BA$84,6,FALSE),0)+IFERROR(VLOOKUP($MN75,$AV$2:$BA$84,6,FALSE),0)</f>
        <v/>
      </c>
      <c r="NR75" s="152">
        <f>TEXTJOIN(", ",TRUE,IF(IFERROR(VLOOKUP($MK75,$AV$2:$BA$84,5,FALSE),0)=1,$MK75,""),IF(IFERROR(VLOOKUP($ML75,$AV$2:$BA$84,5,FALSE),0)=1,$ML75,""),IF(IFERROR(VLOOKUP($MM75,$AV$2:$BA$84,5,FALSE),0)=1,$MM75,""),IF(IFERROR(VLOOKUP($MN75,$AV$2:$BA$84,5,FALSE),0)=1,$MN75,""))</f>
        <v/>
      </c>
      <c r="NS75" s="152">
        <f>IF($MW75=0,0,INDEX($Y$2:$Y$11,$MW75))</f>
        <v/>
      </c>
      <c r="NT75" s="152">
        <f>IF($MW75=0,0,INDEX($Z$2:$Z$11,$MW75))</f>
        <v/>
      </c>
      <c r="NU75" s="152">
        <f>IF($MW75=0,0,INDEX($AB$2:$AB$11,$MW75))</f>
        <v/>
      </c>
      <c r="NV75" s="152">
        <f>IFERROR(VLOOKUP($MO75,$BC$2:$BG$24,3,FALSE),0)</f>
        <v/>
      </c>
      <c r="NW75" s="152">
        <f>IFERROR(VLOOKUP($MP75,$BC$2:$BG$24,3,FALSE),0)</f>
        <v/>
      </c>
      <c r="NX75" s="152">
        <f>IFERROR(VLOOKUP($MO75,$BC$2:$BG$24,2,FALSE),"")</f>
        <v/>
      </c>
      <c r="NY75" s="152">
        <f>IFERROR(VLOOKUP($MP75,$BC$2:$BG$24,2,FALSE),"")</f>
        <v/>
      </c>
      <c r="NZ75" s="152">
        <f>COUNTIF($NF75:$NJ75,1)</f>
        <v/>
      </c>
      <c r="OA75" s="152">
        <f>COUNTIF($NF75:$NJ75,2)</f>
        <v/>
      </c>
      <c r="OB75" s="152">
        <f>COUNTIF($NF75:$NJ75,3)</f>
        <v/>
      </c>
      <c r="OC75" s="152">
        <f>COUNTIF($NF75:$NJ75,4)</f>
        <v/>
      </c>
      <c r="OD75" s="152">
        <f>COUNTIF($NF75:$NJ75,5)</f>
        <v/>
      </c>
      <c r="OE75" s="152">
        <f>COUNTIF($NF75:$NJ75,6)</f>
        <v/>
      </c>
      <c r="OF75" s="152">
        <f>COUNTIF($NV75:$NW75,1)</f>
        <v/>
      </c>
      <c r="OG75" s="152">
        <f>COUNTIF($NV75:$NW75,2)+$NS75</f>
        <v/>
      </c>
      <c r="OH75" s="152">
        <f>COUNTIF($MK75:$MN75,"?*")</f>
        <v/>
      </c>
      <c r="OI75" s="152">
        <f>COUNTIF($MO75:$MP75,"?*")+$NS75</f>
        <v/>
      </c>
      <c r="OJ75" s="152">
        <f>IF($MF75=0,0,SUMPRODUCT($NZ75:$OE75,INDEX($I$2:$N$8,MAX(1,$MF75),0)))</f>
        <v/>
      </c>
      <c r="OK75" s="152">
        <f>IF($MF75=0,0,$OF75*CEILING($MF75/2,1)+$OG75*$MF75)</f>
        <v/>
      </c>
      <c r="OL75" s="152">
        <f>MIN(2*$MF75,$OK75)</f>
        <v/>
      </c>
      <c r="OM75" s="152">
        <f>MIN($OL75,$OJ75)</f>
        <v/>
      </c>
      <c r="ON75" s="152">
        <f>$OL75-$OM75</f>
        <v/>
      </c>
      <c r="OO75" s="152">
        <f>IF($MF75=0,0,INDEX($P$2:$P$8,MAX(1,$MF75)))</f>
        <v/>
      </c>
      <c r="OP75" s="152">
        <f>$OO75-$OJ75+$OM75</f>
        <v/>
      </c>
      <c r="OQ75" s="152">
        <f>IF($MF75=0,MAX(0,$MT75-IF($OH75&gt;0,1,0)),MAX(0,$OP75))</f>
        <v/>
      </c>
      <c r="OR75" s="152">
        <f>IF($MF75=0,0,(IF(COUNTIF($MK75:$MN75,"Salto")&gt;0,1,0)+IF(COUNTIF($MK75:$MN75,"Queima")&gt;0,1,0)+IF(COUNTIF($MK75:$MN75,"Estilhaço")&gt;0,1,0))*FLOOR($OQ75/2,1))</f>
        <v/>
      </c>
      <c r="OS75" s="152">
        <f>MAX(0,2-SUMPRODUCT($NZ75:$OE75,$I$2:$N$2)+MIN(2,$OF75*1+$OG75*1,SUMPRODUCT($NZ75:$OE75,$I$2:$N$2)))</f>
        <v/>
      </c>
      <c r="OT75" s="152">
        <f>MAX(0,4-SUMPRODUCT($NZ75:$OE75,$I$3:$N$3)+MIN(4,$OF75*1+$OG75*2,SUMPRODUCT($NZ75:$OE75,$I$3:$N$3)))</f>
        <v/>
      </c>
      <c r="OU75" s="152">
        <f>MAX(0,6-SUMPRODUCT($NZ75:$OE75,$I$4:$N$4)+MIN(6,$OF75*2+$OG75*3,SUMPRODUCT($NZ75:$OE75,$I$4:$N$4)))</f>
        <v/>
      </c>
      <c r="OV75" s="152">
        <f>MAX(0,9-SUMPRODUCT($NZ75:$OE75,$I$5:$N$5)+MIN(8,$OF75*2+$OG75*4,SUMPRODUCT($NZ75:$OE75,$I$5:$N$5)))</f>
        <v/>
      </c>
      <c r="OW75" s="152">
        <f>MAX(0,11-SUMPRODUCT($NZ75:$OE75,$I$6:$N$6)+MIN(10,$OF75*3+$OG75*5,SUMPRODUCT($NZ75:$OE75,$I$6:$N$6)))</f>
        <v/>
      </c>
      <c r="OX75" s="152">
        <f>MAX(0,13-SUMPRODUCT($NZ75:$OE75,$I$7:$N$7)+MIN(12,$OF75*3+$OG75*6,SUMPRODUCT($NZ75:$OE75,$I$7:$N$7)))</f>
        <v/>
      </c>
      <c r="OY75" s="152">
        <f>MAX(0,16-SUMPRODUCT($NZ75:$OE75,$I$8:$N$8)+MIN(14,$OF75*4+$OG75*7,SUMPRODUCT($NZ75:$OE75,$I$8:$N$8)))</f>
        <v/>
      </c>
      <c r="OZ75" s="152">
        <f>IF($NT75=2,3*$OS75&amp;" de vida temp.",IF($NT75=3,"sem dano",IF($OS75=0,IF($NT75=1,"sem cura","sem dano"),IF($NT75=1,"cura ","")&amp;$OS75&amp;"d8")))</f>
        <v/>
      </c>
      <c r="PA75" s="152">
        <f>IF($NT75=2,3*$OT75&amp;" de vida temp.",IF($NT75=3,"sem dano",IF($OT75=0,IF($NT75=1,"sem cura","sem dano"),IF($NT75=1,"cura ","")&amp;$OT75&amp;"d8")))</f>
        <v/>
      </c>
      <c r="PB75" s="152">
        <f>IF($NT75=2,3*$OU75&amp;" de vida temp.",IF($NT75=3,"sem dano",IF($OU75=0,IF($NT75=1,"sem cura","sem dano"),IF($NT75=1,"cura ","")&amp;$OU75&amp;"d8")))</f>
        <v/>
      </c>
      <c r="PC75" s="152">
        <f>IF($NT75=2,3*$OV75&amp;" de vida temp.",IF($NT75=3,"sem dano",IF($OV75=0,IF($NT75=1,"sem cura","sem dano"),IF($NT75=1,"cura ","")&amp;$OV75&amp;"d8")))</f>
        <v/>
      </c>
      <c r="PD75" s="152">
        <f>IF($NT75=2,3*$OW75&amp;" de vida temp.",IF($NT75=3,"sem dano",IF($OW75=0,IF($NT75=1,"sem cura","sem dano"),IF($NT75=1,"cura ","")&amp;$OW75&amp;"d8")))</f>
        <v/>
      </c>
      <c r="PE75" s="152">
        <f>IF($NT75=2,3*$OX75&amp;" de vida temp.",IF($NT75=3,"sem dano",IF($OX75=0,IF($NT75=1,"sem cura","sem dano"),IF($NT75=1,"cura ","")&amp;$OX75&amp;"d8")))</f>
        <v/>
      </c>
      <c r="PF75" s="152">
        <f>IF($NT75=2,3*$OY75&amp;" de vida temp.",IF($NT75=3,"sem dano",IF($OY75=0,IF($NT75=1,"sem cura","sem dano"),IF($NT75=1,"cura ","")&amp;$OY75&amp;"d8")))</f>
        <v/>
      </c>
      <c r="PG75" s="152">
        <f>IF($MQ75=0,"",TEXTJOIN(" · ",TRUE,IF($MD75&gt;$MR75,"Este lugar abre no nível "&amp;$MD75,""),IF($MF75&gt;$MS75,"Classe "&amp;$MF75&amp;": o nível "&amp;$MR75&amp;" libera até a "&amp;$MS75,""),IF($NK75=1,"A Forma "&amp;$MH75&amp;" pede "&amp;INDEX($W$2:$W$11,$MW75)&amp;" aberta",""),IF(AND($MF75=0,$MW75&gt;0,IF($MW75=0,0,INDEX($AF$2:$AF$11,$MW75))=0),$MH75&amp;" não existe na Classe 0",""),IF($NL75=1,"Família Fechada: "&amp;$MK75,""),IF($NM75=1,"Família Fechada: "&amp;$ML75,""),IF($NN75=1,"Família Fechada: "&amp;$MM75,""),IF($NO75=1,"Família Fechada: "&amp;$MN75,""),IF(AND($MF75&gt;0,$OH75&gt;INDEX($O$2:$O$8,MAX(1,$MF75))),$OH75&amp;" Melhorias: a Classe "&amp;$MF75&amp;" aceita "&amp;INDEX($O$2:$O$8,MAX(1,$MF75)),""),IF(AND($MF75=0,$OH75&gt;1),"A básica aceita uma Melhoria",""),IF(AND($MF75=0,COUNTIF($NB75:$NE75,"&gt;1")&gt;0),"A básica só aceita Melhoria Leve",""),IF(AND($MF75&gt;0,$OI75&gt;2),$OI75&amp;" Restrições"&amp;IF($NS75=1,", contando a que a Forma "&amp;$MH75&amp;" já traz","")&amp;": o limite é 2",""),IF(AND($MF75=0,COUNTIF($MO75:$MP75,"?*")&gt;1),"A básica aceita uma Restrição Leve",""),IF(AND($MF75=0,COUNTIF($NV75:$NW75,2)&gt;0),"A básica só aceita Restrição Leve",""),IF(AND($MF75&gt;0,$OP75&lt;0),"Orçamento estourado: faltam "&amp;(-$OP75)&amp;IF($OP75&lt;-1," pontos"," ponto"),""),IF(IFERROR(VLOOKUP($MO75,$BC$2:$BG$24,4,FALSE),0)+IFERROR(VLOOKUP($MP75,$BC$2:$BG$24,4,FALSE),0)&gt;1,$NX75&amp;" e "&amp;$NY75&amp;" são as duas de frequência",""),IF(AND((COUNTIF($MK75:$MN75,"Rápido")+COUNTIF($NX75:$NY75,"Rápido"))&gt;0,(COUNTIF($MK75:$MN75,"Atrasar")+COUNTIF($NX75:$NY75,"Atrasar"))&gt;0),"Rápido não entra com Atrasar",""),IF(AND((COUNTIF($MK75:$MN75,"Reação")+COUNTIF($NX75:$NY75,"Reação"))&gt;0,(COUNTIF($MK75:$MN75,"Rápido")+COUNTIF($NX75:$NY75,"Rápido"))&gt;0),"Reação não entra com Rápido",""),IF(AND((COUNTIF($MK75:$MN75,"Reação")+COUNTIF($NX75:$NY75,"Reação"))&gt;0,(COUNTIF($MK75:$MN75,"Armado")+COUNTIF($NX75:$NY75,"Armado"))&gt;0),"Reação não entra com Armado",""),IF(AND((COUNTIF($MK75:$MN75,"Reação")+COUNTIF($NX75:$NY75,"Reação"))&gt;0,(COUNTIF($MK75:$MN75,"Atrasar")+COUNTIF($NX75:$NY75,"Atrasar"))&gt;0),"Reação não entra com Atrasar",""),IF(AND((COUNTIF($MK75:$MN75,"Reação")+COUNTIF($NX75:$NY75,"Reação"))&gt;0,(COUNTIF($MK75:$MN75,"Parado")+COUNTIF($NX75:$NY75,"Parado"))&gt;0),"Reação não entra com Parado",""),IF(AND((COUNTIF($MK75:$MN75,"Atrasar")+COUNTIF($NX75:$NY75,"Atrasar"))&gt;0,(COUNTIF($MK75:$MN75,"Parado")+COUNTIF($NX75:$NY75,"Parado"))&gt;0),"Atrasar não entra com Parado",""),IF(AND((COUNTIF($MK75:$MN75,"Armado")+COUNTIF($NX75:$NY75,"Armado"))&gt;0,(COUNTIF($MK75:$MN75,"Carregar")+COUNTIF($NX75:$NY75,"Carregar"))&gt;0),"Armado não entra com Carregar",""),IF(AND(COUNTIF($NX75:$NY75,"Corpo a Corpo")&gt;0,$NS75=0,OR($MH75="Cone",$MH75="Linha")),"Corpo a Corpo não entra em "&amp;$MH75,""),IF(AND(COUNTIF($NX75:$NY75,"Corpo a Corpo")&gt;0,$NS75=1),"A Forma "&amp;$MH75&amp;" já traz o Corpo a Corpo",""),IF(AND(COUNTIF($NX75:$NY75,"Tudo ou Nada")&gt;0,$NU75=0),"Tudo ou Nada só entra em habilidade de Teste de Resistência",""),IF(AND(COUNTIF($MK75:$MN75,"Inescapável")&gt;0,OR($OH75&gt;1,$OI75&gt;0)),"Inescapável não aceita outra peça",""),IF(AND($MF75&gt;0,$OQ75*IF(COUNTIF($MK75:$MN75,"Remate")&gt;0,1.25,1)+$OR75&gt;4*$MF75),($OQ75*IF(COUNTIF($MK75:$MN75,"Remate")&gt;0,1.25,1)+$OR75)&amp;" dados somando repetições"&amp;IF(COUNTIF($MK75:$MN75,"Remate")&gt;0," e o Remate","")&amp;": o teto da Classe "&amp;$MF75&amp;" é "&amp;4*$MF75,"")))</f>
        <v/>
      </c>
      <c r="PH75" s="152">
        <f>IF($PG75="",0,(LEN($PG75)-LEN(SUBSTITUTE($PG75," · ","")))/3+1)</f>
        <v/>
      </c>
      <c r="PI75" s="152">
        <f>IF($MQ75=0,"",TEXTJOIN(" · ",TRUE,IF($OK75&gt;2*$MF75,"A devolução parou no teto de "&amp;2*$MF75,""),IF($ON75&gt;0,"Devolução perdida: "&amp;$ON75&amp;IF($ON75&gt;1," pontos"," ponto")&amp;" sem peça para pagar",""),IF(AND($NP75&gt;0,AND($MF75&gt;0,$NT75=0),$OQ75=0),"Controle sem dano: uma rodada a mais e CD +2",""),IF(AND($NP75&gt;0,AND($MF75&gt;0,$NT75=0),$OQ75&gt;0,$OQ75&lt;=$MF75),"Controle com saldo até a Classe: uma rodada a mais",""),IF(AND($MF75&gt;0,$NR75&lt;&gt;""),"Efeito de "&amp;$NR75&amp;" pela Classe "&amp;MAX(1,$MF75-1),"")))</f>
        <v/>
      </c>
      <c r="PJ75" s="152">
        <f>IF($PI75="",0,(LEN($PI75)-LEN(SUBSTITUTE($PI75," · ","")))/3+1)</f>
        <v/>
      </c>
      <c r="PK75" s="152">
        <f>IF($MQ75=0,IF($OH75+COUNTIF($MO75:$MP75,"?*")&gt;0,"Dê um nome",""),IF($PH75&gt;0,"⚠ "&amp;$PH75&amp;IF($PH75&gt;1," erros"," erro"),IF($PJ75&gt;0,"! "&amp;$PJ75&amp;IF($PJ75&gt;1," avisos"," aviso"),"Na regra")))</f>
        <v/>
      </c>
      <c r="PL75" s="152">
        <f>IF($MQ75=0,"",IF($PH75+$PJ75=0,"Dentro das regras que a ficha confere",$PG75&amp;IF(AND($PH75&gt;0,$PJ75&gt;0)," · ","")&amp;$PI75))</f>
        <v/>
      </c>
      <c r="PM75" s="152">
        <f>IF($MD75&gt;$MR75,$ME75&amp;" · ABRE NO NÍVEL "&amp;$MD75,$ME75)</f>
        <v/>
      </c>
      <c r="PN75" s="152">
        <f>IF($MQ75=0,"",IF($MF75=0,"Sem PE",3*$MF75&amp;" PE"))</f>
        <v/>
      </c>
      <c r="PO75" s="152">
        <f>IF($MQ75=0,"",IF($MF75=0,"A atuação básica dela",IF(COUNTIF($NX75:$NY75,"Atrasar")&gt;0,"Sua Ação Completa",IF(COUNTIF($MK75:$MN75,"Rápido")&gt;0,"Sua Bônus",IF(COUNTIF($MK75:$MN75,"Reação")&gt;0,"Sua Reação","Sua Padrão")))&amp;" + a básica dela"&amp;IF(COUNTIF($MK75:$MN75,"Reação")&gt;0," e a coletiva","")&amp;IF(COUNTIF($NX75:$NY75,"Carregar")&gt;0," · em dois turnos","")))</f>
        <v/>
      </c>
      <c r="PP75" s="152">
        <f>IF($MJ75&lt;&gt;"",$MJ75,IF($MW75=0,"",INDEX($AA$2:$AA$11,$MW75)))</f>
        <v/>
      </c>
      <c r="PQ75" s="152">
        <f>IF(OR($MQ75=0,$MW75=0),"",IF(COUNTIF($MK75:$MN75,"Inescapável")&gt;0,"Automático",IF($PP75="Ataque",IF($MU75="","Ataque","Ataque "&amp;IF(($MU75+2*IF(COUNTIF($MK75:$MN75,"Precisão")&gt;0,1,0))&gt;=0,"+","−")&amp;ABS(($MU75+2*IF(COUNTIF($MK75:$MN75,"Precisão")&gt;0,1,0))))&amp;IF($NQ75&gt;0," · TR"&amp;IF($MV75="",""," CD "&amp;$MV75),""),IF(LEFT($PP75,2)="TR",$PP75&amp;IF($MV75="",""," · CD "&amp;$MV75)&amp;IF(COUNTIF($MK75:$MN75,"Certeiro")&gt;0," · metade",""),"Sem rolagem"))))</f>
        <v/>
      </c>
      <c r="PR75" s="152">
        <f>IF(OR($MQ75=0,$MW75=0),"",IF($MF75=0,IF(OR($NT75&gt;=1,$OQ75=0),"Sem dano",$OQ75&amp;"d6"&amp;IF($MI75="",""," "&amp;$MI75)),IF(OR($NT75&gt;=1,$OQ75=0),UPPER(LEFT(INDEX($OZ75:$PF75,1,MAX(1,$MF75)),1))&amp;MID(INDEX($OZ75:$PF75,1,MAX(1,$MF75)),2,99),UPPER(LEFT(INDEX($OZ75:$PF75,1,MAX(1,$MF75)),1))&amp;MID(INDEX($OZ75:$PF75,1,MAX(1,$MF75)),2,99)&amp;IF($MI75="",""," "&amp;$MI75)&amp;IF($OR75&gt;0," · +"&amp;$OR75&amp;"d8",""))))</f>
        <v/>
      </c>
      <c r="PS75" s="152">
        <f>COUNTIF($MK75:$MN75,"Longe")+3*COUNTIF($MK75:$MN75,"Muito Longe")</f>
        <v/>
      </c>
      <c r="PT75" s="152">
        <f>COUNTIF($MK75:$MN75,"Maior")+3*COUNTIF($MK75:$MN75,"Muito Maior")</f>
        <v/>
      </c>
      <c r="PU75" s="152">
        <f>IF($MW75=0,0,CHOOSE(1+INDEX($AC$2:$AC$11,$MW75),0,$PS75,$PT75,$PS75+$PT75))</f>
        <v/>
      </c>
      <c r="PV75" s="152">
        <f>IF($MW75=0,0,CHOOSE(1+INDEX($AD$2:$AD$11,$MW75),0,$PS75,$PT75,$PS75+$PT75))</f>
        <v/>
      </c>
      <c r="PW75" s="152">
        <f>IF(OR($MQ75=0,$MW75=0),"",INDEX($AI$2:$AN$41,($MW75-1)*4+IF($MF75=0,1,IF($MF75&lt;=5,2,IF($MF75=6,3,4))),1+MIN(5,$PU75))&amp;INDEX($AO$2:$AT$41,($MW75-1)*4+IF($MF75=0,1,IF($MF75&lt;=5,2,IF($MF75=6,3,4))),1+MIN(5,$PV75))&amp;IF(INDEX($AE$2:$AE$11,$MW75)=1,IF(COUNTIF($MK75:$MN75,"Mais Um")&gt;0," · +"&amp;COUNTIF($MK75:$MN75,"Mais Um")&amp;IF(COUNTIF($MK75:$MN75,"Mais Um")&gt;1," alvos"," alvo"),"")&amp;IF(COUNTIF($MK75:$MN75,"Rajada")&gt;0,IF($MF75=0," · 1 tiro"," · "&amp;(MAX(1,$MF75-1)+1)&amp;" tiros"),""),""))</f>
        <v/>
      </c>
      <c r="PX75" s="152">
        <f>IF($MQ75=0,"",IF($MF75=0,$MT75&amp;"d6"&amp;IF($OH75&gt;0," − 1 = "&amp;$OQ75&amp;"d6"," da básica do nível "&amp;$MR75),$OO75&amp;" − "&amp;$OJ75&amp;" + "&amp;$OM75&amp;" = "&amp;$OP75&amp;" · teto "&amp;4*$MF75&amp;"d8"&amp;IF($NS75=1," · a Forma devolve "&amp;$MF75,"")&amp;IF($ON75&gt;0," · perde "&amp;$ON75,"")))</f>
        <v/>
      </c>
      <c r="PY75" s="152">
        <f>IF($MQ75=0,"",IF($MF75=0,"A básica não amplia: os dados dela sobem com o nível",IF($MF75&gt;=$MS75,"Já está na maior Classe que o nível liberou",TEXTJOIN(" · ",TRUE,IF(AND(2&gt;$MF75,2&lt;=$MS75),"2 → "&amp;$PA75&amp;", 6 PE",""),IF(AND(3&gt;$MF75,3&lt;=$MS75),"3 → "&amp;$PB75&amp;", 9 PE",""),IF(AND(4&gt;$MF75,4&lt;=$MS75),"4 → "&amp;$PC75&amp;", 12 PE",""),IF(AND(5&gt;$MF75,5&lt;=$MS75),"5 → "&amp;$PD75&amp;", 15 PE",""),IF(AND(6&gt;$MF75,6&lt;=$MS75),"6 → "&amp;$PE75&amp;", 18 PE",""),IF(AND(7&gt;$MF75,7&lt;=$MS75),"7 → "&amp;$PF75&amp;", 21 PE","")))))</f>
        <v/>
      </c>
      <c r="PZ75" s="152">
        <f>IF(OR($MQ75=0,$NB75=0),"",IF($MF75=0,"−1 dado","−"&amp;INDEX($I$2:$N$8,MAX(1,$MF75),MAX(1,$NG75))&amp;" · "&amp;CHOOSE(MAX(1,$NG75),"Leve","Média","Pesada","Leve · Livre","Média · Livre","Pesada · Livre")))</f>
        <v/>
      </c>
      <c r="QA75" s="152">
        <f>IF(OR($MQ75=0,$NC75=0),"",IF($MF75=0,"−1 dado","−"&amp;INDEX($I$2:$N$8,MAX(1,$MF75),MAX(1,$NH75))&amp;" · "&amp;CHOOSE(MAX(1,$NH75),"Leve","Média","Pesada","Leve · Livre","Média · Livre","Pesada · Livre")))</f>
        <v/>
      </c>
      <c r="QB75" s="152">
        <f>IF(OR($MQ75=0,$ND75=0),"",IF($MF75=0,"−1 dado","−"&amp;INDEX($I$2:$N$8,MAX(1,$MF75),MAX(1,$NI75))&amp;" · "&amp;CHOOSE(MAX(1,$NI75),"Leve","Média","Pesada","Leve · Livre","Média · Livre","Pesada · Livre")))</f>
        <v/>
      </c>
      <c r="QC75" s="152">
        <f>IF(OR($MQ75=0,$NE75=0),"",IF($MF75=0,"−1 dado","−"&amp;INDEX($I$2:$N$8,MAX(1,$MF75),MAX(1,$NJ75))&amp;" · "&amp;CHOOSE(MAX(1,$NJ75),"Leve","Média","Pesada","Leve · Livre","Média · Livre","Pesada · Livre")))</f>
        <v/>
      </c>
      <c r="QD75" s="152">
        <f>IF(OR($MQ75=0,$MO75=""),"",IF($MF75=0,"não devolve","+"&amp;IF($NV75=1,CEILING($MF75/2,1),$MF75)))</f>
        <v/>
      </c>
      <c r="QE75" s="152">
        <f>IF(OR($MQ75=0,$MP75=""),"",IF($MF75=0,"não devolve","+"&amp;IF($NW75=1,CEILING($MF75/2,1),$MF75)))</f>
        <v/>
      </c>
    </row>
    <row r="76">
      <c r="AV76" s="150" t="inlineStr">
        <is>
          <t>Limpa Fundo</t>
        </is>
      </c>
      <c r="AW76" s="150" t="inlineStr">
        <is>
          <t>Amparo</t>
        </is>
      </c>
      <c r="AX76" s="152" t="n">
        <v>3</v>
      </c>
      <c r="AY76" s="152" t="n">
        <v>0</v>
      </c>
      <c r="AZ76" s="152" t="n">
        <v>0</v>
      </c>
      <c r="BA76" s="152" t="n">
        <v>0</v>
      </c>
      <c r="JG76" s="152">
        <f>IF(OR($AW76="",COUNTIF($EF$2:$EJ$2,$AW76)&gt;0),$AV76,"")</f>
        <v/>
      </c>
      <c r="JH76" s="152">
        <f>IF(AND($AX76=1,OR($AW76="",COUNTIF($EF$2:$EJ$2,$AW76)&gt;0)),$AV76,"")</f>
        <v/>
      </c>
      <c r="JM76" s="152">
        <f>IF(OR($AW76="",COUNTIF($EF$3:$EJ$3,$AW76)&gt;0),$AV76,"")</f>
        <v/>
      </c>
      <c r="JN76" s="152">
        <f>IF(AND($AX76=1,OR($AW76="",COUNTIF($EF$3:$EJ$3,$AW76)&gt;0)),$AV76,"")</f>
        <v/>
      </c>
      <c r="JS76" s="152">
        <f>IF(OR($AW76="",COUNTIF($EF$4:$EJ$4,$AW76)&gt;0),$AV76,"")</f>
        <v/>
      </c>
      <c r="JT76" s="152">
        <f>IF(AND($AX76=1,OR($AW76="",COUNTIF($EF$4:$EJ$4,$AW76)&gt;0)),$AV76,"")</f>
        <v/>
      </c>
      <c r="JY76" s="152">
        <f>IF(OR($AW76="",COUNTIF($EF$5:$EJ$5,$AW76)&gt;0),$AV76,"")</f>
        <v/>
      </c>
      <c r="JZ76" s="152">
        <f>IF(AND($AX76=1,OR($AW76="",COUNTIF($EF$5:$EJ$5,$AW76)&gt;0)),$AV76,"")</f>
        <v/>
      </c>
      <c r="KE76" s="152">
        <f>IF(OR($AW76="",COUNTIF($EF$6:$EJ$6,$AW76)&gt;0),$AV76,"")</f>
        <v/>
      </c>
      <c r="KF76" s="152">
        <f>IF(AND($AX76=1,OR($AW76="",COUNTIF($EF$6:$EJ$6,$AW76)&gt;0)),$AV76,"")</f>
        <v/>
      </c>
      <c r="KK76" s="152">
        <f>IF(OR($AW76="",COUNTIF($EF$7:$EJ$7,$AW76)&gt;0),$AV76,"")</f>
        <v/>
      </c>
      <c r="KL76" s="152">
        <f>IF(AND($AX76=1,OR($AW76="",COUNTIF($EF$7:$EJ$7,$AW76)&gt;0)),$AV76,"")</f>
        <v/>
      </c>
      <c r="KQ76" s="152">
        <f>IF(OR($AW76="",COUNTIF($EF$8:$EJ$8,$AW76)&gt;0),$AV76,"")</f>
        <v/>
      </c>
      <c r="KR76" s="152">
        <f>IF(AND($AX76=1,OR($AW76="",COUNTIF($EF$8:$EJ$8,$AW76)&gt;0)),$AV76,"")</f>
        <v/>
      </c>
      <c r="KW76" s="152">
        <f>IF(OR($AW76="",COUNTIF($EF$9:$EJ$9,$AW76)&gt;0),$AV76,"")</f>
        <v/>
      </c>
      <c r="KX76" s="152">
        <f>IF(AND($AX76=1,OR($AW76="",COUNTIF($EF$9:$EJ$9,$AW76)&gt;0)),$AV76,"")</f>
        <v/>
      </c>
      <c r="LC76" s="152">
        <f>IF(OR($AW76="",COUNTIF($EF$10:$EJ$10,$AW76)&gt;0),$AV76,"")</f>
        <v/>
      </c>
      <c r="LD76" s="152">
        <f>IF(AND($AX76=1,OR($AW76="",COUNTIF($EF$10:$EJ$10,$AW76)&gt;0)),$AV76,"")</f>
        <v/>
      </c>
      <c r="LI76" s="152">
        <f>IF(OR($AW76="",COUNTIF($EF$11:$EJ$11,$AW76)&gt;0),$AV76,"")</f>
        <v/>
      </c>
      <c r="LJ76" s="152">
        <f>IF(AND($AX76=1,OR($AW76="",COUNTIF($EF$11:$EJ$11,$AW76)&gt;0)),$AV76,"")</f>
        <v/>
      </c>
      <c r="LO76" s="152">
        <f>IF(OR($AW76="",COUNTIF($EF$12:$EJ$12,$AW76)&gt;0),$AV76,"")</f>
        <v/>
      </c>
      <c r="LP76" s="152">
        <f>IF(AND($AX76=1,OR($AW76="",COUNTIF($EF$12:$EJ$12,$AW76)&gt;0)),$AV76,"")</f>
        <v/>
      </c>
      <c r="LU76" s="152">
        <f>IF(OR($AW76="",COUNTIF($EF$13:$EJ$13,$AW76)&gt;0),$AV76,"")</f>
        <v/>
      </c>
      <c r="LV76" s="152">
        <f>IF(AND($AX76=1,OR($AW76="",COUNTIF($EF$13:$EJ$13,$AW76)&gt;0)),$AV76,"")</f>
        <v/>
      </c>
      <c r="MA76" s="150" t="inlineStr">
        <is>
          <t>Ficha 6 · Especial 8</t>
        </is>
      </c>
      <c r="MB76" s="152" t="n">
        <v>6</v>
      </c>
      <c r="MC76" s="152" t="n">
        <v>1</v>
      </c>
      <c r="MD76" s="152" t="n">
        <v>28</v>
      </c>
      <c r="ME76" s="150" t="inlineStr">
        <is>
          <t>ESPECIAL 8</t>
        </is>
      </c>
      <c r="MF76" s="152">
        <f>MAX(1,MIN(7,N('INVOCAÇÕES'!$I$1126)))</f>
        <v/>
      </c>
      <c r="MG76" s="152">
        <f>'INVOCAÇÕES'!$J$1126&amp;""</f>
        <v/>
      </c>
      <c r="MH76" s="152">
        <f>'INVOCAÇÕES'!$I$1131&amp;""</f>
        <v/>
      </c>
      <c r="MI76" s="152">
        <f>'INVOCAÇÕES'!$I$1132&amp;""</f>
        <v/>
      </c>
      <c r="MJ76" s="152">
        <f>'INVOCAÇÕES'!$K$1132&amp;""</f>
        <v/>
      </c>
      <c r="MK76" s="152">
        <f>'INVOCAÇÕES'!$J$1135&amp;""</f>
        <v/>
      </c>
      <c r="ML76" s="152">
        <f>'INVOCAÇÕES'!$J$1136&amp;""</f>
        <v/>
      </c>
      <c r="MM76" s="152">
        <f>'INVOCAÇÕES'!$J$1137&amp;""</f>
        <v/>
      </c>
      <c r="MN76" s="152">
        <f>'INVOCAÇÕES'!$J$1138&amp;""</f>
        <v/>
      </c>
      <c r="MO76" s="152">
        <f>'INVOCAÇÕES'!$J$1139&amp;""</f>
        <v/>
      </c>
      <c r="MP76" s="152">
        <f>'INVOCAÇÕES'!$J$1140&amp;""</f>
        <v/>
      </c>
      <c r="MQ76" s="152">
        <f>IF($MG76&lt;&gt;"",1,0)</f>
        <v/>
      </c>
      <c r="MR76" s="152">
        <f>INDEX($FI$2:$FI$13,$MB76)</f>
        <v/>
      </c>
      <c r="MS76" s="152">
        <f>INDEX($FJ$2:$FJ$13,$MB76)</f>
        <v/>
      </c>
      <c r="MT76" s="152">
        <f>INDEX($FK$2:$FK$13,$MB76)</f>
        <v/>
      </c>
      <c r="MU76" s="152">
        <f>INDEX($FV$2:$FV$13,$MB76)</f>
        <v/>
      </c>
      <c r="MV76" s="152">
        <f>INDEX($FW$2:$FW$13,$MB76)</f>
        <v/>
      </c>
      <c r="MW76" s="152">
        <f>IFERROR(MATCH($MH76,$V$2:$V$11,0),0)</f>
        <v/>
      </c>
      <c r="MX76" s="152">
        <f>IFERROR(VLOOKUP($MK76,$AV$2:$BA$84,2,FALSE),"")</f>
        <v/>
      </c>
      <c r="MY76" s="152">
        <f>IFERROR(VLOOKUP($ML76,$AV$2:$BA$84,2,FALSE),"")</f>
        <v/>
      </c>
      <c r="MZ76" s="152">
        <f>IFERROR(VLOOKUP($MM76,$AV$2:$BA$84,2,FALSE),"")</f>
        <v/>
      </c>
      <c r="NA76" s="152">
        <f>IFERROR(VLOOKUP($MN76,$AV$2:$BA$84,2,FALSE),"")</f>
        <v/>
      </c>
      <c r="NB76" s="152">
        <f>IFERROR(VLOOKUP($MK76,$AV$2:$BA$84,3,FALSE),0)</f>
        <v/>
      </c>
      <c r="NC76" s="152">
        <f>IFERROR(VLOOKUP($ML76,$AV$2:$BA$84,3,FALSE),0)</f>
        <v/>
      </c>
      <c r="ND76" s="152">
        <f>IFERROR(VLOOKUP($MM76,$AV$2:$BA$84,3,FALSE),0)</f>
        <v/>
      </c>
      <c r="NE76" s="152">
        <f>IFERROR(VLOOKUP($MN76,$AV$2:$BA$84,3,FALSE),0)</f>
        <v/>
      </c>
      <c r="NF76" s="152">
        <f>IF($MF76=0,0,IF($MW76=0,0,INDEX($X$2:$X$11,$MW76)))</f>
        <v/>
      </c>
      <c r="NG76" s="152">
        <f>IF(OR($NB76=0,$MF76=0),0,$NB76+3*IF(AND($MX76&lt;&gt;"",OR($MX76=INDEX($EF$2:$EF$13,$MB76),$MX76=INDEX($EG$2:$EG$13,$MB76))),1,0))</f>
        <v/>
      </c>
      <c r="NH76" s="152">
        <f>IF(OR($NC76=0,$MF76=0),0,$NC76+3*IF(AND($MY76&lt;&gt;"",OR($MY76=INDEX($EF$2:$EF$13,$MB76),$MY76=INDEX($EG$2:$EG$13,$MB76))),1,0))</f>
        <v/>
      </c>
      <c r="NI76" s="152">
        <f>IF(OR($ND76=0,$MF76=0),0,$ND76+3*IF(AND($MZ76&lt;&gt;"",OR($MZ76=INDEX($EF$2:$EF$13,$MB76),$MZ76=INDEX($EG$2:$EG$13,$MB76))),1,0))</f>
        <v/>
      </c>
      <c r="NJ76" s="152">
        <f>IF(OR($NE76=0,$MF76=0),0,$NE76+3*IF(AND($NA76&lt;&gt;"",OR($NA76=INDEX($EF$2:$EF$13,$MB76),$NA76=INDEX($EG$2:$EG$13,$MB76))),1,0))</f>
        <v/>
      </c>
      <c r="NK76" s="152">
        <f>IF($MW76=0,0,IF(INDEX($W$2:$W$11,$MW76)="",0,IF(COUNTIF(INDEX($EF$2:$EJ$13,$MB76,0),INDEX($W$2:$W$11,$MW76))=0,1,0)))</f>
        <v/>
      </c>
      <c r="NL76" s="152">
        <f>IF(OR($NB76=0,$MX76=""),0,IF(COUNTIF(INDEX($EF$2:$EJ$13,$MB76,0),$MX76)=0,1,0))</f>
        <v/>
      </c>
      <c r="NM76" s="152">
        <f>IF(OR($NC76=0,$MY76=""),0,IF(COUNTIF(INDEX($EF$2:$EJ$13,$MB76,0),$MY76)=0,1,0))</f>
        <v/>
      </c>
      <c r="NN76" s="152">
        <f>IF(OR($ND76=0,$MZ76=""),0,IF(COUNTIF(INDEX($EF$2:$EJ$13,$MB76,0),$MZ76)=0,1,0))</f>
        <v/>
      </c>
      <c r="NO76" s="152">
        <f>IF(OR($NE76=0,$NA76=""),0,IF(COUNTIF(INDEX($EF$2:$EJ$13,$MB76,0),$NA76)=0,1,0))</f>
        <v/>
      </c>
      <c r="NP76" s="152">
        <f>IFERROR(VLOOKUP($MK76,$AV$2:$BA$84,4,FALSE),0)+IFERROR(VLOOKUP($ML76,$AV$2:$BA$84,4,FALSE),0)+IFERROR(VLOOKUP($MM76,$AV$2:$BA$84,4,FALSE),0)+IFERROR(VLOOKUP($MN76,$AV$2:$BA$84,4,FALSE),0)</f>
        <v/>
      </c>
      <c r="NQ76" s="152">
        <f>IFERROR(VLOOKUP($MK76,$AV$2:$BA$84,6,FALSE),0)+IFERROR(VLOOKUP($ML76,$AV$2:$BA$84,6,FALSE),0)+IFERROR(VLOOKUP($MM76,$AV$2:$BA$84,6,FALSE),0)+IFERROR(VLOOKUP($MN76,$AV$2:$BA$84,6,FALSE),0)</f>
        <v/>
      </c>
      <c r="NR76" s="152">
        <f>TEXTJOIN(", ",TRUE,IF(IFERROR(VLOOKUP($MK76,$AV$2:$BA$84,5,FALSE),0)=1,$MK76,""),IF(IFERROR(VLOOKUP($ML76,$AV$2:$BA$84,5,FALSE),0)=1,$ML76,""),IF(IFERROR(VLOOKUP($MM76,$AV$2:$BA$84,5,FALSE),0)=1,$MM76,""),IF(IFERROR(VLOOKUP($MN76,$AV$2:$BA$84,5,FALSE),0)=1,$MN76,""))</f>
        <v/>
      </c>
      <c r="NS76" s="152">
        <f>IF($MW76=0,0,INDEX($Y$2:$Y$11,$MW76))</f>
        <v/>
      </c>
      <c r="NT76" s="152">
        <f>IF($MW76=0,0,INDEX($Z$2:$Z$11,$MW76))</f>
        <v/>
      </c>
      <c r="NU76" s="152">
        <f>IF($MW76=0,0,INDEX($AB$2:$AB$11,$MW76))</f>
        <v/>
      </c>
      <c r="NV76" s="152">
        <f>IFERROR(VLOOKUP($MO76,$BC$2:$BG$24,3,FALSE),0)</f>
        <v/>
      </c>
      <c r="NW76" s="152">
        <f>IFERROR(VLOOKUP($MP76,$BC$2:$BG$24,3,FALSE),0)</f>
        <v/>
      </c>
      <c r="NX76" s="152">
        <f>IFERROR(VLOOKUP($MO76,$BC$2:$BG$24,2,FALSE),"")</f>
        <v/>
      </c>
      <c r="NY76" s="152">
        <f>IFERROR(VLOOKUP($MP76,$BC$2:$BG$24,2,FALSE),"")</f>
        <v/>
      </c>
      <c r="NZ76" s="152">
        <f>COUNTIF($NF76:$NJ76,1)</f>
        <v/>
      </c>
      <c r="OA76" s="152">
        <f>COUNTIF($NF76:$NJ76,2)</f>
        <v/>
      </c>
      <c r="OB76" s="152">
        <f>COUNTIF($NF76:$NJ76,3)</f>
        <v/>
      </c>
      <c r="OC76" s="152">
        <f>COUNTIF($NF76:$NJ76,4)</f>
        <v/>
      </c>
      <c r="OD76" s="152">
        <f>COUNTIF($NF76:$NJ76,5)</f>
        <v/>
      </c>
      <c r="OE76" s="152">
        <f>COUNTIF($NF76:$NJ76,6)</f>
        <v/>
      </c>
      <c r="OF76" s="152">
        <f>COUNTIF($NV76:$NW76,1)</f>
        <v/>
      </c>
      <c r="OG76" s="152">
        <f>COUNTIF($NV76:$NW76,2)+$NS76</f>
        <v/>
      </c>
      <c r="OH76" s="152">
        <f>COUNTIF($MK76:$MN76,"?*")</f>
        <v/>
      </c>
      <c r="OI76" s="152">
        <f>COUNTIF($MO76:$MP76,"?*")+$NS76</f>
        <v/>
      </c>
      <c r="OJ76" s="152">
        <f>IF($MF76=0,0,SUMPRODUCT($NZ76:$OE76,INDEX($I$2:$N$8,MAX(1,$MF76),0)))</f>
        <v/>
      </c>
      <c r="OK76" s="152">
        <f>IF($MF76=0,0,$OF76*CEILING($MF76/2,1)+$OG76*$MF76)</f>
        <v/>
      </c>
      <c r="OL76" s="152">
        <f>MIN(2*$MF76,$OK76)</f>
        <v/>
      </c>
      <c r="OM76" s="152">
        <f>MIN($OL76,$OJ76)</f>
        <v/>
      </c>
      <c r="ON76" s="152">
        <f>$OL76-$OM76</f>
        <v/>
      </c>
      <c r="OO76" s="152">
        <f>IF($MF76=0,0,INDEX($P$2:$P$8,MAX(1,$MF76)))</f>
        <v/>
      </c>
      <c r="OP76" s="152">
        <f>$OO76-$OJ76+$OM76</f>
        <v/>
      </c>
      <c r="OQ76" s="152">
        <f>IF($MF76=0,MAX(0,$MT76-IF($OH76&gt;0,1,0)),MAX(0,$OP76))</f>
        <v/>
      </c>
      <c r="OR76" s="152">
        <f>IF($MF76=0,0,(IF(COUNTIF($MK76:$MN76,"Salto")&gt;0,1,0)+IF(COUNTIF($MK76:$MN76,"Queima")&gt;0,1,0)+IF(COUNTIF($MK76:$MN76,"Estilhaço")&gt;0,1,0))*FLOOR($OQ76/2,1))</f>
        <v/>
      </c>
      <c r="OS76" s="152">
        <f>MAX(0,2-SUMPRODUCT($NZ76:$OE76,$I$2:$N$2)+MIN(2,$OF76*1+$OG76*1,SUMPRODUCT($NZ76:$OE76,$I$2:$N$2)))</f>
        <v/>
      </c>
      <c r="OT76" s="152">
        <f>MAX(0,4-SUMPRODUCT($NZ76:$OE76,$I$3:$N$3)+MIN(4,$OF76*1+$OG76*2,SUMPRODUCT($NZ76:$OE76,$I$3:$N$3)))</f>
        <v/>
      </c>
      <c r="OU76" s="152">
        <f>MAX(0,6-SUMPRODUCT($NZ76:$OE76,$I$4:$N$4)+MIN(6,$OF76*2+$OG76*3,SUMPRODUCT($NZ76:$OE76,$I$4:$N$4)))</f>
        <v/>
      </c>
      <c r="OV76" s="152">
        <f>MAX(0,9-SUMPRODUCT($NZ76:$OE76,$I$5:$N$5)+MIN(8,$OF76*2+$OG76*4,SUMPRODUCT($NZ76:$OE76,$I$5:$N$5)))</f>
        <v/>
      </c>
      <c r="OW76" s="152">
        <f>MAX(0,11-SUMPRODUCT($NZ76:$OE76,$I$6:$N$6)+MIN(10,$OF76*3+$OG76*5,SUMPRODUCT($NZ76:$OE76,$I$6:$N$6)))</f>
        <v/>
      </c>
      <c r="OX76" s="152">
        <f>MAX(0,13-SUMPRODUCT($NZ76:$OE76,$I$7:$N$7)+MIN(12,$OF76*3+$OG76*6,SUMPRODUCT($NZ76:$OE76,$I$7:$N$7)))</f>
        <v/>
      </c>
      <c r="OY76" s="152">
        <f>MAX(0,16-SUMPRODUCT($NZ76:$OE76,$I$8:$N$8)+MIN(14,$OF76*4+$OG76*7,SUMPRODUCT($NZ76:$OE76,$I$8:$N$8)))</f>
        <v/>
      </c>
      <c r="OZ76" s="152">
        <f>IF($NT76=2,3*$OS76&amp;" de vida temp.",IF($NT76=3,"sem dano",IF($OS76=0,IF($NT76=1,"sem cura","sem dano"),IF($NT76=1,"cura ","")&amp;$OS76&amp;"d8")))</f>
        <v/>
      </c>
      <c r="PA76" s="152">
        <f>IF($NT76=2,3*$OT76&amp;" de vida temp.",IF($NT76=3,"sem dano",IF($OT76=0,IF($NT76=1,"sem cura","sem dano"),IF($NT76=1,"cura ","")&amp;$OT76&amp;"d8")))</f>
        <v/>
      </c>
      <c r="PB76" s="152">
        <f>IF($NT76=2,3*$OU76&amp;" de vida temp.",IF($NT76=3,"sem dano",IF($OU76=0,IF($NT76=1,"sem cura","sem dano"),IF($NT76=1,"cura ","")&amp;$OU76&amp;"d8")))</f>
        <v/>
      </c>
      <c r="PC76" s="152">
        <f>IF($NT76=2,3*$OV76&amp;" de vida temp.",IF($NT76=3,"sem dano",IF($OV76=0,IF($NT76=1,"sem cura","sem dano"),IF($NT76=1,"cura ","")&amp;$OV76&amp;"d8")))</f>
        <v/>
      </c>
      <c r="PD76" s="152">
        <f>IF($NT76=2,3*$OW76&amp;" de vida temp.",IF($NT76=3,"sem dano",IF($OW76=0,IF($NT76=1,"sem cura","sem dano"),IF($NT76=1,"cura ","")&amp;$OW76&amp;"d8")))</f>
        <v/>
      </c>
      <c r="PE76" s="152">
        <f>IF($NT76=2,3*$OX76&amp;" de vida temp.",IF($NT76=3,"sem dano",IF($OX76=0,IF($NT76=1,"sem cura","sem dano"),IF($NT76=1,"cura ","")&amp;$OX76&amp;"d8")))</f>
        <v/>
      </c>
      <c r="PF76" s="152">
        <f>IF($NT76=2,3*$OY76&amp;" de vida temp.",IF($NT76=3,"sem dano",IF($OY76=0,IF($NT76=1,"sem cura","sem dano"),IF($NT76=1,"cura ","")&amp;$OY76&amp;"d8")))</f>
        <v/>
      </c>
      <c r="PG76" s="152">
        <f>IF($MQ76=0,"",TEXTJOIN(" · ",TRUE,IF($MD76&gt;$MR76,"Este lugar abre no nível "&amp;$MD76,""),IF($MF76&gt;$MS76,"Classe "&amp;$MF76&amp;": o nível "&amp;$MR76&amp;" libera até a "&amp;$MS76,""),IF($NK76=1,"A Forma "&amp;$MH76&amp;" pede "&amp;INDEX($W$2:$W$11,$MW76)&amp;" aberta",""),IF(AND($MF76=0,$MW76&gt;0,IF($MW76=0,0,INDEX($AF$2:$AF$11,$MW76))=0),$MH76&amp;" não existe na Classe 0",""),IF($NL76=1,"Família Fechada: "&amp;$MK76,""),IF($NM76=1,"Família Fechada: "&amp;$ML76,""),IF($NN76=1,"Família Fechada: "&amp;$MM76,""),IF($NO76=1,"Família Fechada: "&amp;$MN76,""),IF(AND($MF76&gt;0,$OH76&gt;INDEX($O$2:$O$8,MAX(1,$MF76))),$OH76&amp;" Melhorias: a Classe "&amp;$MF76&amp;" aceita "&amp;INDEX($O$2:$O$8,MAX(1,$MF76)),""),IF(AND($MF76=0,$OH76&gt;1),"A básica aceita uma Melhoria",""),IF(AND($MF76=0,COUNTIF($NB76:$NE76,"&gt;1")&gt;0),"A básica só aceita Melhoria Leve",""),IF(AND($MF76&gt;0,$OI76&gt;2),$OI76&amp;" Restrições"&amp;IF($NS76=1,", contando a que a Forma "&amp;$MH76&amp;" já traz","")&amp;": o limite é 2",""),IF(AND($MF76=0,COUNTIF($MO76:$MP76,"?*")&gt;1),"A básica aceita uma Restrição Leve",""),IF(AND($MF76=0,COUNTIF($NV76:$NW76,2)&gt;0),"A básica só aceita Restrição Leve",""),IF(AND($MF76&gt;0,$OP76&lt;0),"Orçamento estourado: faltam "&amp;(-$OP76)&amp;IF($OP76&lt;-1," pontos"," ponto"),""),IF(IFERROR(VLOOKUP($MO76,$BC$2:$BG$24,4,FALSE),0)+IFERROR(VLOOKUP($MP76,$BC$2:$BG$24,4,FALSE),0)&gt;1,$NX76&amp;" e "&amp;$NY76&amp;" são as duas de frequência",""),IF(AND((COUNTIF($MK76:$MN76,"Rápido")+COUNTIF($NX76:$NY76,"Rápido"))&gt;0,(COUNTIF($MK76:$MN76,"Atrasar")+COUNTIF($NX76:$NY76,"Atrasar"))&gt;0),"Rápido não entra com Atrasar",""),IF(AND((COUNTIF($MK76:$MN76,"Reação")+COUNTIF($NX76:$NY76,"Reação"))&gt;0,(COUNTIF($MK76:$MN76,"Rápido")+COUNTIF($NX76:$NY76,"Rápido"))&gt;0),"Reação não entra com Rápido",""),IF(AND((COUNTIF($MK76:$MN76,"Reação")+COUNTIF($NX76:$NY76,"Reação"))&gt;0,(COUNTIF($MK76:$MN76,"Armado")+COUNTIF($NX76:$NY76,"Armado"))&gt;0),"Reação não entra com Armado",""),IF(AND((COUNTIF($MK76:$MN76,"Reação")+COUNTIF($NX76:$NY76,"Reação"))&gt;0,(COUNTIF($MK76:$MN76,"Atrasar")+COUNTIF($NX76:$NY76,"Atrasar"))&gt;0),"Reação não entra com Atrasar",""),IF(AND((COUNTIF($MK76:$MN76,"Reação")+COUNTIF($NX76:$NY76,"Reação"))&gt;0,(COUNTIF($MK76:$MN76,"Parado")+COUNTIF($NX76:$NY76,"Parado"))&gt;0),"Reação não entra com Parado",""),IF(AND((COUNTIF($MK76:$MN76,"Atrasar")+COUNTIF($NX76:$NY76,"Atrasar"))&gt;0,(COUNTIF($MK76:$MN76,"Parado")+COUNTIF($NX76:$NY76,"Parado"))&gt;0),"Atrasar não entra com Parado",""),IF(AND((COUNTIF($MK76:$MN76,"Armado")+COUNTIF($NX76:$NY76,"Armado"))&gt;0,(COUNTIF($MK76:$MN76,"Carregar")+COUNTIF($NX76:$NY76,"Carregar"))&gt;0),"Armado não entra com Carregar",""),IF(AND(COUNTIF($NX76:$NY76,"Corpo a Corpo")&gt;0,$NS76=0,OR($MH76="Cone",$MH76="Linha")),"Corpo a Corpo não entra em "&amp;$MH76,""),IF(AND(COUNTIF($NX76:$NY76,"Corpo a Corpo")&gt;0,$NS76=1),"A Forma "&amp;$MH76&amp;" já traz o Corpo a Corpo",""),IF(AND(COUNTIF($NX76:$NY76,"Tudo ou Nada")&gt;0,$NU76=0),"Tudo ou Nada só entra em habilidade de Teste de Resistência",""),IF(AND(COUNTIF($MK76:$MN76,"Inescapável")&gt;0,OR($OH76&gt;1,$OI76&gt;0)),"Inescapável não aceita outra peça",""),IF(AND($MF76&gt;0,$OQ76*IF(COUNTIF($MK76:$MN76,"Remate")&gt;0,1.25,1)+$OR76&gt;4*$MF76),($OQ76*IF(COUNTIF($MK76:$MN76,"Remate")&gt;0,1.25,1)+$OR76)&amp;" dados somando repetições"&amp;IF(COUNTIF($MK76:$MN76,"Remate")&gt;0," e o Remate","")&amp;": o teto da Classe "&amp;$MF76&amp;" é "&amp;4*$MF76,"")))</f>
        <v/>
      </c>
      <c r="PH76" s="152">
        <f>IF($PG76="",0,(LEN($PG76)-LEN(SUBSTITUTE($PG76," · ","")))/3+1)</f>
        <v/>
      </c>
      <c r="PI76" s="152">
        <f>IF($MQ76=0,"",TEXTJOIN(" · ",TRUE,IF($OK76&gt;2*$MF76,"A devolução parou no teto de "&amp;2*$MF76,""),IF($ON76&gt;0,"Devolução perdida: "&amp;$ON76&amp;IF($ON76&gt;1," pontos"," ponto")&amp;" sem peça para pagar",""),IF(AND($NP76&gt;0,AND($MF76&gt;0,$NT76=0),$OQ76=0),"Controle sem dano: uma rodada a mais e CD +2",""),IF(AND($NP76&gt;0,AND($MF76&gt;0,$NT76=0),$OQ76&gt;0,$OQ76&lt;=$MF76),"Controle com saldo até a Classe: uma rodada a mais",""),IF(AND($MF76&gt;0,$NR76&lt;&gt;""),"Efeito de "&amp;$NR76&amp;" pela Classe "&amp;MAX(1,$MF76-1),"")))</f>
        <v/>
      </c>
      <c r="PJ76" s="152">
        <f>IF($PI76="",0,(LEN($PI76)-LEN(SUBSTITUTE($PI76," · ","")))/3+1)</f>
        <v/>
      </c>
      <c r="PK76" s="152">
        <f>IF($MQ76=0,IF($OH76+COUNTIF($MO76:$MP76,"?*")&gt;0,"Dê um nome",""),IF($PH76&gt;0,"⚠ "&amp;$PH76&amp;IF($PH76&gt;1," erros"," erro"),IF($PJ76&gt;0,"! "&amp;$PJ76&amp;IF($PJ76&gt;1," avisos"," aviso"),"Na regra")))</f>
        <v/>
      </c>
      <c r="PL76" s="152">
        <f>IF($MQ76=0,"",IF($PH76+$PJ76=0,"Dentro das regras que a ficha confere",$PG76&amp;IF(AND($PH76&gt;0,$PJ76&gt;0)," · ","")&amp;$PI76))</f>
        <v/>
      </c>
      <c r="PM76" s="152">
        <f>IF($MD76&gt;$MR76,$ME76&amp;" · ABRE NO NÍVEL "&amp;$MD76,$ME76)</f>
        <v/>
      </c>
      <c r="PN76" s="152">
        <f>IF($MQ76=0,"",IF($MF76=0,"Sem PE",3*$MF76&amp;" PE"))</f>
        <v/>
      </c>
      <c r="PO76" s="152">
        <f>IF($MQ76=0,"",IF($MF76=0,"A atuação básica dela",IF(COUNTIF($NX76:$NY76,"Atrasar")&gt;0,"Sua Ação Completa",IF(COUNTIF($MK76:$MN76,"Rápido")&gt;0,"Sua Bônus",IF(COUNTIF($MK76:$MN76,"Reação")&gt;0,"Sua Reação","Sua Padrão")))&amp;" + a básica dela"&amp;IF(COUNTIF($MK76:$MN76,"Reação")&gt;0," e a coletiva","")&amp;IF(COUNTIF($NX76:$NY76,"Carregar")&gt;0," · em dois turnos","")))</f>
        <v/>
      </c>
      <c r="PP76" s="152">
        <f>IF($MJ76&lt;&gt;"",$MJ76,IF($MW76=0,"",INDEX($AA$2:$AA$11,$MW76)))</f>
        <v/>
      </c>
      <c r="PQ76" s="152">
        <f>IF(OR($MQ76=0,$MW76=0),"",IF(COUNTIF($MK76:$MN76,"Inescapável")&gt;0,"Automático",IF($PP76="Ataque",IF($MU76="","Ataque","Ataque "&amp;IF(($MU76+2*IF(COUNTIF($MK76:$MN76,"Precisão")&gt;0,1,0))&gt;=0,"+","−")&amp;ABS(($MU76+2*IF(COUNTIF($MK76:$MN76,"Precisão")&gt;0,1,0))))&amp;IF($NQ76&gt;0," · TR"&amp;IF($MV76="",""," CD "&amp;$MV76),""),IF(LEFT($PP76,2)="TR",$PP76&amp;IF($MV76="",""," · CD "&amp;$MV76)&amp;IF(COUNTIF($MK76:$MN76,"Certeiro")&gt;0," · metade",""),"Sem rolagem"))))</f>
        <v/>
      </c>
      <c r="PR76" s="152">
        <f>IF(OR($MQ76=0,$MW76=0),"",IF($MF76=0,IF(OR($NT76&gt;=1,$OQ76=0),"Sem dano",$OQ76&amp;"d6"&amp;IF($MI76="",""," "&amp;$MI76)),IF(OR($NT76&gt;=1,$OQ76=0),UPPER(LEFT(INDEX($OZ76:$PF76,1,MAX(1,$MF76)),1))&amp;MID(INDEX($OZ76:$PF76,1,MAX(1,$MF76)),2,99),UPPER(LEFT(INDEX($OZ76:$PF76,1,MAX(1,$MF76)),1))&amp;MID(INDEX($OZ76:$PF76,1,MAX(1,$MF76)),2,99)&amp;IF($MI76="",""," "&amp;$MI76)&amp;IF($OR76&gt;0," · +"&amp;$OR76&amp;"d8",""))))</f>
        <v/>
      </c>
      <c r="PS76" s="152">
        <f>COUNTIF($MK76:$MN76,"Longe")+3*COUNTIF($MK76:$MN76,"Muito Longe")</f>
        <v/>
      </c>
      <c r="PT76" s="152">
        <f>COUNTIF($MK76:$MN76,"Maior")+3*COUNTIF($MK76:$MN76,"Muito Maior")</f>
        <v/>
      </c>
      <c r="PU76" s="152">
        <f>IF($MW76=0,0,CHOOSE(1+INDEX($AC$2:$AC$11,$MW76),0,$PS76,$PT76,$PS76+$PT76))</f>
        <v/>
      </c>
      <c r="PV76" s="152">
        <f>IF($MW76=0,0,CHOOSE(1+INDEX($AD$2:$AD$11,$MW76),0,$PS76,$PT76,$PS76+$PT76))</f>
        <v/>
      </c>
      <c r="PW76" s="152">
        <f>IF(OR($MQ76=0,$MW76=0),"",INDEX($AI$2:$AN$41,($MW76-1)*4+IF($MF76=0,1,IF($MF76&lt;=5,2,IF($MF76=6,3,4))),1+MIN(5,$PU76))&amp;INDEX($AO$2:$AT$41,($MW76-1)*4+IF($MF76=0,1,IF($MF76&lt;=5,2,IF($MF76=6,3,4))),1+MIN(5,$PV76))&amp;IF(INDEX($AE$2:$AE$11,$MW76)=1,IF(COUNTIF($MK76:$MN76,"Mais Um")&gt;0," · +"&amp;COUNTIF($MK76:$MN76,"Mais Um")&amp;IF(COUNTIF($MK76:$MN76,"Mais Um")&gt;1," alvos"," alvo"),"")&amp;IF(COUNTIF($MK76:$MN76,"Rajada")&gt;0,IF($MF76=0," · 1 tiro"," · "&amp;(MAX(1,$MF76-1)+1)&amp;" tiros"),""),""))</f>
        <v/>
      </c>
      <c r="PX76" s="152">
        <f>IF($MQ76=0,"",IF($MF76=0,$MT76&amp;"d6"&amp;IF($OH76&gt;0," − 1 = "&amp;$OQ76&amp;"d6"," da básica do nível "&amp;$MR76),$OO76&amp;" − "&amp;$OJ76&amp;" + "&amp;$OM76&amp;" = "&amp;$OP76&amp;" · teto "&amp;4*$MF76&amp;"d8"&amp;IF($NS76=1," · a Forma devolve "&amp;$MF76,"")&amp;IF($ON76&gt;0," · perde "&amp;$ON76,"")))</f>
        <v/>
      </c>
      <c r="PY76" s="152">
        <f>IF($MQ76=0,"",IF($MF76=0,"A básica não amplia: os dados dela sobem com o nível",IF($MF76&gt;=$MS76,"Já está na maior Classe que o nível liberou",TEXTJOIN(" · ",TRUE,IF(AND(2&gt;$MF76,2&lt;=$MS76),"2 → "&amp;$PA76&amp;", 6 PE",""),IF(AND(3&gt;$MF76,3&lt;=$MS76),"3 → "&amp;$PB76&amp;", 9 PE",""),IF(AND(4&gt;$MF76,4&lt;=$MS76),"4 → "&amp;$PC76&amp;", 12 PE",""),IF(AND(5&gt;$MF76,5&lt;=$MS76),"5 → "&amp;$PD76&amp;", 15 PE",""),IF(AND(6&gt;$MF76,6&lt;=$MS76),"6 → "&amp;$PE76&amp;", 18 PE",""),IF(AND(7&gt;$MF76,7&lt;=$MS76),"7 → "&amp;$PF76&amp;", 21 PE","")))))</f>
        <v/>
      </c>
      <c r="PZ76" s="152">
        <f>IF(OR($MQ76=0,$NB76=0),"",IF($MF76=0,"−1 dado","−"&amp;INDEX($I$2:$N$8,MAX(1,$MF76),MAX(1,$NG76))&amp;" · "&amp;CHOOSE(MAX(1,$NG76),"Leve","Média","Pesada","Leve · Livre","Média · Livre","Pesada · Livre")))</f>
        <v/>
      </c>
      <c r="QA76" s="152">
        <f>IF(OR($MQ76=0,$NC76=0),"",IF($MF76=0,"−1 dado","−"&amp;INDEX($I$2:$N$8,MAX(1,$MF76),MAX(1,$NH76))&amp;" · "&amp;CHOOSE(MAX(1,$NH76),"Leve","Média","Pesada","Leve · Livre","Média · Livre","Pesada · Livre")))</f>
        <v/>
      </c>
      <c r="QB76" s="152">
        <f>IF(OR($MQ76=0,$ND76=0),"",IF($MF76=0,"−1 dado","−"&amp;INDEX($I$2:$N$8,MAX(1,$MF76),MAX(1,$NI76))&amp;" · "&amp;CHOOSE(MAX(1,$NI76),"Leve","Média","Pesada","Leve · Livre","Média · Livre","Pesada · Livre")))</f>
        <v/>
      </c>
      <c r="QC76" s="152">
        <f>IF(OR($MQ76=0,$NE76=0),"",IF($MF76=0,"−1 dado","−"&amp;INDEX($I$2:$N$8,MAX(1,$MF76),MAX(1,$NJ76))&amp;" · "&amp;CHOOSE(MAX(1,$NJ76),"Leve","Média","Pesada","Leve · Livre","Média · Livre","Pesada · Livre")))</f>
        <v/>
      </c>
      <c r="QD76" s="152">
        <f>IF(OR($MQ76=0,$MO76=""),"",IF($MF76=0,"não devolve","+"&amp;IF($NV76=1,CEILING($MF76/2,1),$MF76)))</f>
        <v/>
      </c>
      <c r="QE76" s="152">
        <f>IF(OR($MQ76=0,$MP76=""),"",IF($MF76=0,"não devolve","+"&amp;IF($NW76=1,CEILING($MF76/2,1),$MF76)))</f>
        <v/>
      </c>
    </row>
    <row r="77">
      <c r="AV77" s="150" t="inlineStr">
        <is>
          <t>Levanta</t>
        </is>
      </c>
      <c r="AW77" s="150" t="inlineStr">
        <is>
          <t>Amparo</t>
        </is>
      </c>
      <c r="AX77" s="152" t="n">
        <v>3</v>
      </c>
      <c r="AY77" s="152" t="n">
        <v>0</v>
      </c>
      <c r="AZ77" s="152" t="n">
        <v>1</v>
      </c>
      <c r="BA77" s="152" t="n">
        <v>0</v>
      </c>
      <c r="JG77" s="152">
        <f>IF(OR($AW77="",COUNTIF($EF$2:$EJ$2,$AW77)&gt;0),$AV77,"")</f>
        <v/>
      </c>
      <c r="JH77" s="152">
        <f>IF(AND($AX77=1,OR($AW77="",COUNTIF($EF$2:$EJ$2,$AW77)&gt;0)),$AV77,"")</f>
        <v/>
      </c>
      <c r="JM77" s="152">
        <f>IF(OR($AW77="",COUNTIF($EF$3:$EJ$3,$AW77)&gt;0),$AV77,"")</f>
        <v/>
      </c>
      <c r="JN77" s="152">
        <f>IF(AND($AX77=1,OR($AW77="",COUNTIF($EF$3:$EJ$3,$AW77)&gt;0)),$AV77,"")</f>
        <v/>
      </c>
      <c r="JS77" s="152">
        <f>IF(OR($AW77="",COUNTIF($EF$4:$EJ$4,$AW77)&gt;0),$AV77,"")</f>
        <v/>
      </c>
      <c r="JT77" s="152">
        <f>IF(AND($AX77=1,OR($AW77="",COUNTIF($EF$4:$EJ$4,$AW77)&gt;0)),$AV77,"")</f>
        <v/>
      </c>
      <c r="JY77" s="152">
        <f>IF(OR($AW77="",COUNTIF($EF$5:$EJ$5,$AW77)&gt;0),$AV77,"")</f>
        <v/>
      </c>
      <c r="JZ77" s="152">
        <f>IF(AND($AX77=1,OR($AW77="",COUNTIF($EF$5:$EJ$5,$AW77)&gt;0)),$AV77,"")</f>
        <v/>
      </c>
      <c r="KE77" s="152">
        <f>IF(OR($AW77="",COUNTIF($EF$6:$EJ$6,$AW77)&gt;0),$AV77,"")</f>
        <v/>
      </c>
      <c r="KF77" s="152">
        <f>IF(AND($AX77=1,OR($AW77="",COUNTIF($EF$6:$EJ$6,$AW77)&gt;0)),$AV77,"")</f>
        <v/>
      </c>
      <c r="KK77" s="152">
        <f>IF(OR($AW77="",COUNTIF($EF$7:$EJ$7,$AW77)&gt;0),$AV77,"")</f>
        <v/>
      </c>
      <c r="KL77" s="152">
        <f>IF(AND($AX77=1,OR($AW77="",COUNTIF($EF$7:$EJ$7,$AW77)&gt;0)),$AV77,"")</f>
        <v/>
      </c>
      <c r="KQ77" s="152">
        <f>IF(OR($AW77="",COUNTIF($EF$8:$EJ$8,$AW77)&gt;0),$AV77,"")</f>
        <v/>
      </c>
      <c r="KR77" s="152">
        <f>IF(AND($AX77=1,OR($AW77="",COUNTIF($EF$8:$EJ$8,$AW77)&gt;0)),$AV77,"")</f>
        <v/>
      </c>
      <c r="KW77" s="152">
        <f>IF(OR($AW77="",COUNTIF($EF$9:$EJ$9,$AW77)&gt;0),$AV77,"")</f>
        <v/>
      </c>
      <c r="KX77" s="152">
        <f>IF(AND($AX77=1,OR($AW77="",COUNTIF($EF$9:$EJ$9,$AW77)&gt;0)),$AV77,"")</f>
        <v/>
      </c>
      <c r="LC77" s="152">
        <f>IF(OR($AW77="",COUNTIF($EF$10:$EJ$10,$AW77)&gt;0),$AV77,"")</f>
        <v/>
      </c>
      <c r="LD77" s="152">
        <f>IF(AND($AX77=1,OR($AW77="",COUNTIF($EF$10:$EJ$10,$AW77)&gt;0)),$AV77,"")</f>
        <v/>
      </c>
      <c r="LI77" s="152">
        <f>IF(OR($AW77="",COUNTIF($EF$11:$EJ$11,$AW77)&gt;0),$AV77,"")</f>
        <v/>
      </c>
      <c r="LJ77" s="152">
        <f>IF(AND($AX77=1,OR($AW77="",COUNTIF($EF$11:$EJ$11,$AW77)&gt;0)),$AV77,"")</f>
        <v/>
      </c>
      <c r="LO77" s="152">
        <f>IF(OR($AW77="",COUNTIF($EF$12:$EJ$12,$AW77)&gt;0),$AV77,"")</f>
        <v/>
      </c>
      <c r="LP77" s="152">
        <f>IF(AND($AX77=1,OR($AW77="",COUNTIF($EF$12:$EJ$12,$AW77)&gt;0)),$AV77,"")</f>
        <v/>
      </c>
      <c r="LU77" s="152">
        <f>IF(OR($AW77="",COUNTIF($EF$13:$EJ$13,$AW77)&gt;0),$AV77,"")</f>
        <v/>
      </c>
      <c r="LV77" s="152">
        <f>IF(AND($AX77=1,OR($AW77="",COUNTIF($EF$13:$EJ$13,$AW77)&gt;0)),$AV77,"")</f>
        <v/>
      </c>
      <c r="MA77" s="150" t="inlineStr">
        <is>
          <t>Ficha 6 · Escolha da trilha 1</t>
        </is>
      </c>
      <c r="MB77" s="152" t="n">
        <v>6</v>
      </c>
      <c r="MC77" s="152" t="n">
        <v>2</v>
      </c>
      <c r="MD77" s="152" t="n">
        <v>0</v>
      </c>
      <c r="ME77" s="150" t="inlineStr">
        <is>
          <t>ESCOLHA DA TRILHA 1</t>
        </is>
      </c>
      <c r="MF77" s="152">
        <f>MAX(0,MIN(7,N('INVOCAÇÕES'!$I$1150)))</f>
        <v/>
      </c>
      <c r="MG77" s="152">
        <f>'INVOCAÇÕES'!$J$1150&amp;""</f>
        <v/>
      </c>
      <c r="MH77" s="152">
        <f>'INVOCAÇÕES'!$I$1155&amp;""</f>
        <v/>
      </c>
      <c r="MI77" s="152">
        <f>'INVOCAÇÕES'!$I$1156&amp;""</f>
        <v/>
      </c>
      <c r="MJ77" s="152">
        <f>'INVOCAÇÕES'!$K$1156&amp;""</f>
        <v/>
      </c>
      <c r="MK77" s="152">
        <f>'INVOCAÇÕES'!$J$1159&amp;""</f>
        <v/>
      </c>
      <c r="ML77" s="152">
        <f>'INVOCAÇÕES'!$J$1160&amp;""</f>
        <v/>
      </c>
      <c r="MM77" s="152">
        <f>'INVOCAÇÕES'!$J$1161&amp;""</f>
        <v/>
      </c>
      <c r="MN77" s="152">
        <f>'INVOCAÇÕES'!$J$1162&amp;""</f>
        <v/>
      </c>
      <c r="MO77" s="152">
        <f>'INVOCAÇÕES'!$J$1163&amp;""</f>
        <v/>
      </c>
      <c r="MP77" s="152">
        <f>'INVOCAÇÕES'!$J$1164&amp;""</f>
        <v/>
      </c>
      <c r="MQ77" s="152">
        <f>IF($MG77&lt;&gt;"",1,0)</f>
        <v/>
      </c>
      <c r="MR77" s="152">
        <f>INDEX($FI$2:$FI$13,$MB77)</f>
        <v/>
      </c>
      <c r="MS77" s="152">
        <f>INDEX($FJ$2:$FJ$13,$MB77)</f>
        <v/>
      </c>
      <c r="MT77" s="152">
        <f>INDEX($FK$2:$FK$13,$MB77)</f>
        <v/>
      </c>
      <c r="MU77" s="152">
        <f>INDEX($FV$2:$FV$13,$MB77)</f>
        <v/>
      </c>
      <c r="MV77" s="152">
        <f>INDEX($FW$2:$FW$13,$MB77)</f>
        <v/>
      </c>
      <c r="MW77" s="152">
        <f>IFERROR(MATCH($MH77,$V$2:$V$11,0),0)</f>
        <v/>
      </c>
      <c r="MX77" s="152">
        <f>IFERROR(VLOOKUP($MK77,$AV$2:$BA$84,2,FALSE),"")</f>
        <v/>
      </c>
      <c r="MY77" s="152">
        <f>IFERROR(VLOOKUP($ML77,$AV$2:$BA$84,2,FALSE),"")</f>
        <v/>
      </c>
      <c r="MZ77" s="152">
        <f>IFERROR(VLOOKUP($MM77,$AV$2:$BA$84,2,FALSE),"")</f>
        <v/>
      </c>
      <c r="NA77" s="152">
        <f>IFERROR(VLOOKUP($MN77,$AV$2:$BA$84,2,FALSE),"")</f>
        <v/>
      </c>
      <c r="NB77" s="152">
        <f>IFERROR(VLOOKUP($MK77,$AV$2:$BA$84,3,FALSE),0)</f>
        <v/>
      </c>
      <c r="NC77" s="152">
        <f>IFERROR(VLOOKUP($ML77,$AV$2:$BA$84,3,FALSE),0)</f>
        <v/>
      </c>
      <c r="ND77" s="152">
        <f>IFERROR(VLOOKUP($MM77,$AV$2:$BA$84,3,FALSE),0)</f>
        <v/>
      </c>
      <c r="NE77" s="152">
        <f>IFERROR(VLOOKUP($MN77,$AV$2:$BA$84,3,FALSE),0)</f>
        <v/>
      </c>
      <c r="NF77" s="152">
        <f>IF($MF77=0,0,IF($MW77=0,0,INDEX($X$2:$X$11,$MW77)))</f>
        <v/>
      </c>
      <c r="NG77" s="152">
        <f>IF(OR($NB77=0,$MF77=0),0,$NB77+3*IF(AND($MX77&lt;&gt;"",OR($MX77=INDEX($EF$2:$EF$13,$MB77),$MX77=INDEX($EG$2:$EG$13,$MB77))),1,0))</f>
        <v/>
      </c>
      <c r="NH77" s="152">
        <f>IF(OR($NC77=0,$MF77=0),0,$NC77+3*IF(AND($MY77&lt;&gt;"",OR($MY77=INDEX($EF$2:$EF$13,$MB77),$MY77=INDEX($EG$2:$EG$13,$MB77))),1,0))</f>
        <v/>
      </c>
      <c r="NI77" s="152">
        <f>IF(OR($ND77=0,$MF77=0),0,$ND77+3*IF(AND($MZ77&lt;&gt;"",OR($MZ77=INDEX($EF$2:$EF$13,$MB77),$MZ77=INDEX($EG$2:$EG$13,$MB77))),1,0))</f>
        <v/>
      </c>
      <c r="NJ77" s="152">
        <f>IF(OR($NE77=0,$MF77=0),0,$NE77+3*IF(AND($NA77&lt;&gt;"",OR($NA77=INDEX($EF$2:$EF$13,$MB77),$NA77=INDEX($EG$2:$EG$13,$MB77))),1,0))</f>
        <v/>
      </c>
      <c r="NK77" s="152">
        <f>IF($MW77=0,0,IF(INDEX($W$2:$W$11,$MW77)="",0,IF(COUNTIF(INDEX($EF$2:$EJ$13,$MB77,0),INDEX($W$2:$W$11,$MW77))=0,1,0)))</f>
        <v/>
      </c>
      <c r="NL77" s="152">
        <f>IF(OR($NB77=0,$MX77=""),0,IF(COUNTIF(INDEX($EF$2:$EJ$13,$MB77,0),$MX77)=0,1,0))</f>
        <v/>
      </c>
      <c r="NM77" s="152">
        <f>IF(OR($NC77=0,$MY77=""),0,IF(COUNTIF(INDEX($EF$2:$EJ$13,$MB77,0),$MY77)=0,1,0))</f>
        <v/>
      </c>
      <c r="NN77" s="152">
        <f>IF(OR($ND77=0,$MZ77=""),0,IF(COUNTIF(INDEX($EF$2:$EJ$13,$MB77,0),$MZ77)=0,1,0))</f>
        <v/>
      </c>
      <c r="NO77" s="152">
        <f>IF(OR($NE77=0,$NA77=""),0,IF(COUNTIF(INDEX($EF$2:$EJ$13,$MB77,0),$NA77)=0,1,0))</f>
        <v/>
      </c>
      <c r="NP77" s="152">
        <f>IFERROR(VLOOKUP($MK77,$AV$2:$BA$84,4,FALSE),0)+IFERROR(VLOOKUP($ML77,$AV$2:$BA$84,4,FALSE),0)+IFERROR(VLOOKUP($MM77,$AV$2:$BA$84,4,FALSE),0)+IFERROR(VLOOKUP($MN77,$AV$2:$BA$84,4,FALSE),0)</f>
        <v/>
      </c>
      <c r="NQ77" s="152">
        <f>IFERROR(VLOOKUP($MK77,$AV$2:$BA$84,6,FALSE),0)+IFERROR(VLOOKUP($ML77,$AV$2:$BA$84,6,FALSE),0)+IFERROR(VLOOKUP($MM77,$AV$2:$BA$84,6,FALSE),0)+IFERROR(VLOOKUP($MN77,$AV$2:$BA$84,6,FALSE),0)</f>
        <v/>
      </c>
      <c r="NR77" s="152">
        <f>TEXTJOIN(", ",TRUE,IF(IFERROR(VLOOKUP($MK77,$AV$2:$BA$84,5,FALSE),0)=1,$MK77,""),IF(IFERROR(VLOOKUP($ML77,$AV$2:$BA$84,5,FALSE),0)=1,$ML77,""),IF(IFERROR(VLOOKUP($MM77,$AV$2:$BA$84,5,FALSE),0)=1,$MM77,""),IF(IFERROR(VLOOKUP($MN77,$AV$2:$BA$84,5,FALSE),0)=1,$MN77,""))</f>
        <v/>
      </c>
      <c r="NS77" s="152">
        <f>IF($MW77=0,0,INDEX($Y$2:$Y$11,$MW77))</f>
        <v/>
      </c>
      <c r="NT77" s="152">
        <f>IF($MW77=0,0,INDEX($Z$2:$Z$11,$MW77))</f>
        <v/>
      </c>
      <c r="NU77" s="152">
        <f>IF($MW77=0,0,INDEX($AB$2:$AB$11,$MW77))</f>
        <v/>
      </c>
      <c r="NV77" s="152">
        <f>IFERROR(VLOOKUP($MO77,$BC$2:$BG$24,3,FALSE),0)</f>
        <v/>
      </c>
      <c r="NW77" s="152">
        <f>IFERROR(VLOOKUP($MP77,$BC$2:$BG$24,3,FALSE),0)</f>
        <v/>
      </c>
      <c r="NX77" s="152">
        <f>IFERROR(VLOOKUP($MO77,$BC$2:$BG$24,2,FALSE),"")</f>
        <v/>
      </c>
      <c r="NY77" s="152">
        <f>IFERROR(VLOOKUP($MP77,$BC$2:$BG$24,2,FALSE),"")</f>
        <v/>
      </c>
      <c r="NZ77" s="152">
        <f>COUNTIF($NF77:$NJ77,1)</f>
        <v/>
      </c>
      <c r="OA77" s="152">
        <f>COUNTIF($NF77:$NJ77,2)</f>
        <v/>
      </c>
      <c r="OB77" s="152">
        <f>COUNTIF($NF77:$NJ77,3)</f>
        <v/>
      </c>
      <c r="OC77" s="152">
        <f>COUNTIF($NF77:$NJ77,4)</f>
        <v/>
      </c>
      <c r="OD77" s="152">
        <f>COUNTIF($NF77:$NJ77,5)</f>
        <v/>
      </c>
      <c r="OE77" s="152">
        <f>COUNTIF($NF77:$NJ77,6)</f>
        <v/>
      </c>
      <c r="OF77" s="152">
        <f>COUNTIF($NV77:$NW77,1)</f>
        <v/>
      </c>
      <c r="OG77" s="152">
        <f>COUNTIF($NV77:$NW77,2)+$NS77</f>
        <v/>
      </c>
      <c r="OH77" s="152">
        <f>COUNTIF($MK77:$MN77,"?*")</f>
        <v/>
      </c>
      <c r="OI77" s="152">
        <f>COUNTIF($MO77:$MP77,"?*")+$NS77</f>
        <v/>
      </c>
      <c r="OJ77" s="152">
        <f>IF($MF77=0,0,SUMPRODUCT($NZ77:$OE77,INDEX($I$2:$N$8,MAX(1,$MF77),0)))</f>
        <v/>
      </c>
      <c r="OK77" s="152">
        <f>IF($MF77=0,0,$OF77*CEILING($MF77/2,1)+$OG77*$MF77)</f>
        <v/>
      </c>
      <c r="OL77" s="152">
        <f>MIN(2*$MF77,$OK77)</f>
        <v/>
      </c>
      <c r="OM77" s="152">
        <f>MIN($OL77,$OJ77)</f>
        <v/>
      </c>
      <c r="ON77" s="152">
        <f>$OL77-$OM77</f>
        <v/>
      </c>
      <c r="OO77" s="152">
        <f>IF($MF77=0,0,INDEX($P$2:$P$8,MAX(1,$MF77)))</f>
        <v/>
      </c>
      <c r="OP77" s="152">
        <f>$OO77-$OJ77+$OM77</f>
        <v/>
      </c>
      <c r="OQ77" s="152">
        <f>IF($MF77=0,MAX(0,$MT77-IF($OH77&gt;0,1,0)),MAX(0,$OP77))</f>
        <v/>
      </c>
      <c r="OR77" s="152">
        <f>IF($MF77=0,0,(IF(COUNTIF($MK77:$MN77,"Salto")&gt;0,1,0)+IF(COUNTIF($MK77:$MN77,"Queima")&gt;0,1,0)+IF(COUNTIF($MK77:$MN77,"Estilhaço")&gt;0,1,0))*FLOOR($OQ77/2,1))</f>
        <v/>
      </c>
      <c r="OS77" s="152">
        <f>MAX(0,2-SUMPRODUCT($NZ77:$OE77,$I$2:$N$2)+MIN(2,$OF77*1+$OG77*1,SUMPRODUCT($NZ77:$OE77,$I$2:$N$2)))</f>
        <v/>
      </c>
      <c r="OT77" s="152">
        <f>MAX(0,4-SUMPRODUCT($NZ77:$OE77,$I$3:$N$3)+MIN(4,$OF77*1+$OG77*2,SUMPRODUCT($NZ77:$OE77,$I$3:$N$3)))</f>
        <v/>
      </c>
      <c r="OU77" s="152">
        <f>MAX(0,6-SUMPRODUCT($NZ77:$OE77,$I$4:$N$4)+MIN(6,$OF77*2+$OG77*3,SUMPRODUCT($NZ77:$OE77,$I$4:$N$4)))</f>
        <v/>
      </c>
      <c r="OV77" s="152">
        <f>MAX(0,9-SUMPRODUCT($NZ77:$OE77,$I$5:$N$5)+MIN(8,$OF77*2+$OG77*4,SUMPRODUCT($NZ77:$OE77,$I$5:$N$5)))</f>
        <v/>
      </c>
      <c r="OW77" s="152">
        <f>MAX(0,11-SUMPRODUCT($NZ77:$OE77,$I$6:$N$6)+MIN(10,$OF77*3+$OG77*5,SUMPRODUCT($NZ77:$OE77,$I$6:$N$6)))</f>
        <v/>
      </c>
      <c r="OX77" s="152">
        <f>MAX(0,13-SUMPRODUCT($NZ77:$OE77,$I$7:$N$7)+MIN(12,$OF77*3+$OG77*6,SUMPRODUCT($NZ77:$OE77,$I$7:$N$7)))</f>
        <v/>
      </c>
      <c r="OY77" s="152">
        <f>MAX(0,16-SUMPRODUCT($NZ77:$OE77,$I$8:$N$8)+MIN(14,$OF77*4+$OG77*7,SUMPRODUCT($NZ77:$OE77,$I$8:$N$8)))</f>
        <v/>
      </c>
      <c r="OZ77" s="152">
        <f>IF($NT77=2,3*$OS77&amp;" de vida temp.",IF($NT77=3,"sem dano",IF($OS77=0,IF($NT77=1,"sem cura","sem dano"),IF($NT77=1,"cura ","")&amp;$OS77&amp;"d8")))</f>
        <v/>
      </c>
      <c r="PA77" s="152">
        <f>IF($NT77=2,3*$OT77&amp;" de vida temp.",IF($NT77=3,"sem dano",IF($OT77=0,IF($NT77=1,"sem cura","sem dano"),IF($NT77=1,"cura ","")&amp;$OT77&amp;"d8")))</f>
        <v/>
      </c>
      <c r="PB77" s="152">
        <f>IF($NT77=2,3*$OU77&amp;" de vida temp.",IF($NT77=3,"sem dano",IF($OU77=0,IF($NT77=1,"sem cura","sem dano"),IF($NT77=1,"cura ","")&amp;$OU77&amp;"d8")))</f>
        <v/>
      </c>
      <c r="PC77" s="152">
        <f>IF($NT77=2,3*$OV77&amp;" de vida temp.",IF($NT77=3,"sem dano",IF($OV77=0,IF($NT77=1,"sem cura","sem dano"),IF($NT77=1,"cura ","")&amp;$OV77&amp;"d8")))</f>
        <v/>
      </c>
      <c r="PD77" s="152">
        <f>IF($NT77=2,3*$OW77&amp;" de vida temp.",IF($NT77=3,"sem dano",IF($OW77=0,IF($NT77=1,"sem cura","sem dano"),IF($NT77=1,"cura ","")&amp;$OW77&amp;"d8")))</f>
        <v/>
      </c>
      <c r="PE77" s="152">
        <f>IF($NT77=2,3*$OX77&amp;" de vida temp.",IF($NT77=3,"sem dano",IF($OX77=0,IF($NT77=1,"sem cura","sem dano"),IF($NT77=1,"cura ","")&amp;$OX77&amp;"d8")))</f>
        <v/>
      </c>
      <c r="PF77" s="152">
        <f>IF($NT77=2,3*$OY77&amp;" de vida temp.",IF($NT77=3,"sem dano",IF($OY77=0,IF($NT77=1,"sem cura","sem dano"),IF($NT77=1,"cura ","")&amp;$OY77&amp;"d8")))</f>
        <v/>
      </c>
      <c r="PG77" s="152">
        <f>IF($MQ77=0,"",TEXTJOIN(" · ",TRUE,IF($MD77&gt;$MR77,"Este lugar abre no nível "&amp;$MD77,""),IF($MF77&gt;$MS77,"Classe "&amp;$MF77&amp;": o nível "&amp;$MR77&amp;" libera até a "&amp;$MS77,""),IF($NK77=1,"A Forma "&amp;$MH77&amp;" pede "&amp;INDEX($W$2:$W$11,$MW77)&amp;" aberta",""),IF(AND($MF77=0,$MW77&gt;0,IF($MW77=0,0,INDEX($AF$2:$AF$11,$MW77))=0),$MH77&amp;" não existe na Classe 0",""),IF($NL77=1,"Família Fechada: "&amp;$MK77,""),IF($NM77=1,"Família Fechada: "&amp;$ML77,""),IF($NN77=1,"Família Fechada: "&amp;$MM77,""),IF($NO77=1,"Família Fechada: "&amp;$MN77,""),IF(AND($MF77&gt;0,$OH77&gt;INDEX($O$2:$O$8,MAX(1,$MF77))),$OH77&amp;" Melhorias: a Classe "&amp;$MF77&amp;" aceita "&amp;INDEX($O$2:$O$8,MAX(1,$MF77)),""),IF(AND($MF77=0,$OH77&gt;1),"A básica aceita uma Melhoria",""),IF(AND($MF77=0,COUNTIF($NB77:$NE77,"&gt;1")&gt;0),"A básica só aceita Melhoria Leve",""),IF(AND($MF77&gt;0,$OI77&gt;2),$OI77&amp;" Restrições"&amp;IF($NS77=1,", contando a que a Forma "&amp;$MH77&amp;" já traz","")&amp;": o limite é 2",""),IF(AND($MF77=0,COUNTIF($MO77:$MP77,"?*")&gt;1),"A básica aceita uma Restrição Leve",""),IF(AND($MF77=0,COUNTIF($NV77:$NW77,2)&gt;0),"A básica só aceita Restrição Leve",""),IF(AND($MF77&gt;0,$OP77&lt;0),"Orçamento estourado: faltam "&amp;(-$OP77)&amp;IF($OP77&lt;-1," pontos"," ponto"),""),IF(IFERROR(VLOOKUP($MO77,$BC$2:$BG$24,4,FALSE),0)+IFERROR(VLOOKUP($MP77,$BC$2:$BG$24,4,FALSE),0)&gt;1,$NX77&amp;" e "&amp;$NY77&amp;" são as duas de frequência",""),IF(AND((COUNTIF($MK77:$MN77,"Rápido")+COUNTIF($NX77:$NY77,"Rápido"))&gt;0,(COUNTIF($MK77:$MN77,"Atrasar")+COUNTIF($NX77:$NY77,"Atrasar"))&gt;0),"Rápido não entra com Atrasar",""),IF(AND((COUNTIF($MK77:$MN77,"Reação")+COUNTIF($NX77:$NY77,"Reação"))&gt;0,(COUNTIF($MK77:$MN77,"Rápido")+COUNTIF($NX77:$NY77,"Rápido"))&gt;0),"Reação não entra com Rápido",""),IF(AND((COUNTIF($MK77:$MN77,"Reação")+COUNTIF($NX77:$NY77,"Reação"))&gt;0,(COUNTIF($MK77:$MN77,"Armado")+COUNTIF($NX77:$NY77,"Armado"))&gt;0),"Reação não entra com Armado",""),IF(AND((COUNTIF($MK77:$MN77,"Reação")+COUNTIF($NX77:$NY77,"Reação"))&gt;0,(COUNTIF($MK77:$MN77,"Atrasar")+COUNTIF($NX77:$NY77,"Atrasar"))&gt;0),"Reação não entra com Atrasar",""),IF(AND((COUNTIF($MK77:$MN77,"Reação")+COUNTIF($NX77:$NY77,"Reação"))&gt;0,(COUNTIF($MK77:$MN77,"Parado")+COUNTIF($NX77:$NY77,"Parado"))&gt;0),"Reação não entra com Parado",""),IF(AND((COUNTIF($MK77:$MN77,"Atrasar")+COUNTIF($NX77:$NY77,"Atrasar"))&gt;0,(COUNTIF($MK77:$MN77,"Parado")+COUNTIF($NX77:$NY77,"Parado"))&gt;0),"Atrasar não entra com Parado",""),IF(AND((COUNTIF($MK77:$MN77,"Armado")+COUNTIF($NX77:$NY77,"Armado"))&gt;0,(COUNTIF($MK77:$MN77,"Carregar")+COUNTIF($NX77:$NY77,"Carregar"))&gt;0),"Armado não entra com Carregar",""),IF(AND(COUNTIF($NX77:$NY77,"Corpo a Corpo")&gt;0,$NS77=0,OR($MH77="Cone",$MH77="Linha")),"Corpo a Corpo não entra em "&amp;$MH77,""),IF(AND(COUNTIF($NX77:$NY77,"Corpo a Corpo")&gt;0,$NS77=1),"A Forma "&amp;$MH77&amp;" já traz o Corpo a Corpo",""),IF(AND(COUNTIF($NX77:$NY77,"Tudo ou Nada")&gt;0,$NU77=0),"Tudo ou Nada só entra em habilidade de Teste de Resistência",""),IF(AND(COUNTIF($MK77:$MN77,"Inescapável")&gt;0,OR($OH77&gt;1,$OI77&gt;0)),"Inescapável não aceita outra peça",""),IF(AND($MF77&gt;0,$OQ77*IF(COUNTIF($MK77:$MN77,"Remate")&gt;0,1.25,1)+$OR77&gt;4*$MF77),($OQ77*IF(COUNTIF($MK77:$MN77,"Remate")&gt;0,1.25,1)+$OR77)&amp;" dados somando repetições"&amp;IF(COUNTIF($MK77:$MN77,"Remate")&gt;0," e o Remate","")&amp;": o teto da Classe "&amp;$MF77&amp;" é "&amp;4*$MF77,"")))</f>
        <v/>
      </c>
      <c r="PH77" s="152">
        <f>IF($PG77="",0,(LEN($PG77)-LEN(SUBSTITUTE($PG77," · ","")))/3+1)</f>
        <v/>
      </c>
      <c r="PI77" s="152">
        <f>IF($MQ77=0,"",TEXTJOIN(" · ",TRUE,IF($OK77&gt;2*$MF77,"A devolução parou no teto de "&amp;2*$MF77,""),IF($ON77&gt;0,"Devolução perdida: "&amp;$ON77&amp;IF($ON77&gt;1," pontos"," ponto")&amp;" sem peça para pagar",""),IF(AND($NP77&gt;0,AND($MF77&gt;0,$NT77=0),$OQ77=0),"Controle sem dano: uma rodada a mais e CD +2",""),IF(AND($NP77&gt;0,AND($MF77&gt;0,$NT77=0),$OQ77&gt;0,$OQ77&lt;=$MF77),"Controle com saldo até a Classe: uma rodada a mais",""),IF(AND($MF77&gt;0,$NR77&lt;&gt;""),"Efeito de "&amp;$NR77&amp;" pela Classe "&amp;MAX(1,$MF77-1),"")))</f>
        <v/>
      </c>
      <c r="PJ77" s="152">
        <f>IF($PI77="",0,(LEN($PI77)-LEN(SUBSTITUTE($PI77," · ","")))/3+1)</f>
        <v/>
      </c>
      <c r="PK77" s="152">
        <f>IF($MQ77=0,IF($OH77+COUNTIF($MO77:$MP77,"?*")&gt;0,"Dê um nome",""),IF($PH77&gt;0,"⚠ "&amp;$PH77&amp;IF($PH77&gt;1," erros"," erro"),IF($PJ77&gt;0,"! "&amp;$PJ77&amp;IF($PJ77&gt;1," avisos"," aviso"),"Na regra")))</f>
        <v/>
      </c>
      <c r="PL77" s="152">
        <f>IF($MQ77=0,"",IF($PH77+$PJ77=0,"Dentro das regras que a ficha confere",$PG77&amp;IF(AND($PH77&gt;0,$PJ77&gt;0)," · ","")&amp;$PI77))</f>
        <v/>
      </c>
      <c r="PM77" s="152">
        <f>IF($MD77&gt;$MR77,$ME77&amp;" · ABRE NO NÍVEL "&amp;$MD77,$ME77)</f>
        <v/>
      </c>
      <c r="PN77" s="152">
        <f>IF($MQ77=0,"",IF($MF77=0,"Sem PE",3*$MF77&amp;" PE"))</f>
        <v/>
      </c>
      <c r="PO77" s="152">
        <f>IF($MQ77=0,"",IF($MF77=0,"A atuação básica dela",IF(COUNTIF($NX77:$NY77,"Atrasar")&gt;0,"Sua Ação Completa",IF(COUNTIF($MK77:$MN77,"Rápido")&gt;0,"Sua Bônus",IF(COUNTIF($MK77:$MN77,"Reação")&gt;0,"Sua Reação","Sua Padrão")))&amp;" + a básica dela"&amp;IF(COUNTIF($MK77:$MN77,"Reação")&gt;0," e a coletiva","")&amp;IF(COUNTIF($NX77:$NY77,"Carregar")&gt;0," · em dois turnos","")))</f>
        <v/>
      </c>
      <c r="PP77" s="152">
        <f>IF($MJ77&lt;&gt;"",$MJ77,IF($MW77=0,"",INDEX($AA$2:$AA$11,$MW77)))</f>
        <v/>
      </c>
      <c r="PQ77" s="152">
        <f>IF(OR($MQ77=0,$MW77=0),"",IF(COUNTIF($MK77:$MN77,"Inescapável")&gt;0,"Automático",IF($PP77="Ataque",IF($MU77="","Ataque","Ataque "&amp;IF(($MU77+2*IF(COUNTIF($MK77:$MN77,"Precisão")&gt;0,1,0))&gt;=0,"+","−")&amp;ABS(($MU77+2*IF(COUNTIF($MK77:$MN77,"Precisão")&gt;0,1,0))))&amp;IF($NQ77&gt;0," · TR"&amp;IF($MV77="",""," CD "&amp;$MV77),""),IF(LEFT($PP77,2)="TR",$PP77&amp;IF($MV77="",""," · CD "&amp;$MV77)&amp;IF(COUNTIF($MK77:$MN77,"Certeiro")&gt;0," · metade",""),"Sem rolagem"))))</f>
        <v/>
      </c>
      <c r="PR77" s="152">
        <f>IF(OR($MQ77=0,$MW77=0),"",IF($MF77=0,IF(OR($NT77&gt;=1,$OQ77=0),"Sem dano",$OQ77&amp;"d6"&amp;IF($MI77="",""," "&amp;$MI77)),IF(OR($NT77&gt;=1,$OQ77=0),UPPER(LEFT(INDEX($OZ77:$PF77,1,MAX(1,$MF77)),1))&amp;MID(INDEX($OZ77:$PF77,1,MAX(1,$MF77)),2,99),UPPER(LEFT(INDEX($OZ77:$PF77,1,MAX(1,$MF77)),1))&amp;MID(INDEX($OZ77:$PF77,1,MAX(1,$MF77)),2,99)&amp;IF($MI77="",""," "&amp;$MI77)&amp;IF($OR77&gt;0," · +"&amp;$OR77&amp;"d8",""))))</f>
        <v/>
      </c>
      <c r="PS77" s="152">
        <f>COUNTIF($MK77:$MN77,"Longe")+3*COUNTIF($MK77:$MN77,"Muito Longe")</f>
        <v/>
      </c>
      <c r="PT77" s="152">
        <f>COUNTIF($MK77:$MN77,"Maior")+3*COUNTIF($MK77:$MN77,"Muito Maior")</f>
        <v/>
      </c>
      <c r="PU77" s="152">
        <f>IF($MW77=0,0,CHOOSE(1+INDEX($AC$2:$AC$11,$MW77),0,$PS77,$PT77,$PS77+$PT77))</f>
        <v/>
      </c>
      <c r="PV77" s="152">
        <f>IF($MW77=0,0,CHOOSE(1+INDEX($AD$2:$AD$11,$MW77),0,$PS77,$PT77,$PS77+$PT77))</f>
        <v/>
      </c>
      <c r="PW77" s="152">
        <f>IF(OR($MQ77=0,$MW77=0),"",INDEX($AI$2:$AN$41,($MW77-1)*4+IF($MF77=0,1,IF($MF77&lt;=5,2,IF($MF77=6,3,4))),1+MIN(5,$PU77))&amp;INDEX($AO$2:$AT$41,($MW77-1)*4+IF($MF77=0,1,IF($MF77&lt;=5,2,IF($MF77=6,3,4))),1+MIN(5,$PV77))&amp;IF(INDEX($AE$2:$AE$11,$MW77)=1,IF(COUNTIF($MK77:$MN77,"Mais Um")&gt;0," · +"&amp;COUNTIF($MK77:$MN77,"Mais Um")&amp;IF(COUNTIF($MK77:$MN77,"Mais Um")&gt;1," alvos"," alvo"),"")&amp;IF(COUNTIF($MK77:$MN77,"Rajada")&gt;0,IF($MF77=0," · 1 tiro"," · "&amp;(MAX(1,$MF77-1)+1)&amp;" tiros"),""),""))</f>
        <v/>
      </c>
      <c r="PX77" s="152">
        <f>IF($MQ77=0,"",IF($MF77=0,$MT77&amp;"d6"&amp;IF($OH77&gt;0," − 1 = "&amp;$OQ77&amp;"d6"," da básica do nível "&amp;$MR77),$OO77&amp;" − "&amp;$OJ77&amp;" + "&amp;$OM77&amp;" = "&amp;$OP77&amp;" · teto "&amp;4*$MF77&amp;"d8"&amp;IF($NS77=1," · a Forma devolve "&amp;$MF77,"")&amp;IF($ON77&gt;0," · perde "&amp;$ON77,"")))</f>
        <v/>
      </c>
      <c r="PY77" s="152">
        <f>IF($MQ77=0,"",IF($MF77=0,"A básica não amplia: os dados dela sobem com o nível",IF($MF77&gt;=$MS77,"Já está na maior Classe que o nível liberou",TEXTJOIN(" · ",TRUE,IF(AND(2&gt;$MF77,2&lt;=$MS77),"2 → "&amp;$PA77&amp;", 6 PE",""),IF(AND(3&gt;$MF77,3&lt;=$MS77),"3 → "&amp;$PB77&amp;", 9 PE",""),IF(AND(4&gt;$MF77,4&lt;=$MS77),"4 → "&amp;$PC77&amp;", 12 PE",""),IF(AND(5&gt;$MF77,5&lt;=$MS77),"5 → "&amp;$PD77&amp;", 15 PE",""),IF(AND(6&gt;$MF77,6&lt;=$MS77),"6 → "&amp;$PE77&amp;", 18 PE",""),IF(AND(7&gt;$MF77,7&lt;=$MS77),"7 → "&amp;$PF77&amp;", 21 PE","")))))</f>
        <v/>
      </c>
      <c r="PZ77" s="152">
        <f>IF(OR($MQ77=0,$NB77=0),"",IF($MF77=0,"−1 dado","−"&amp;INDEX($I$2:$N$8,MAX(1,$MF77),MAX(1,$NG77))&amp;" · "&amp;CHOOSE(MAX(1,$NG77),"Leve","Média","Pesada","Leve · Livre","Média · Livre","Pesada · Livre")))</f>
        <v/>
      </c>
      <c r="QA77" s="152">
        <f>IF(OR($MQ77=0,$NC77=0),"",IF($MF77=0,"−1 dado","−"&amp;INDEX($I$2:$N$8,MAX(1,$MF77),MAX(1,$NH77))&amp;" · "&amp;CHOOSE(MAX(1,$NH77),"Leve","Média","Pesada","Leve · Livre","Média · Livre","Pesada · Livre")))</f>
        <v/>
      </c>
      <c r="QB77" s="152">
        <f>IF(OR($MQ77=0,$ND77=0),"",IF($MF77=0,"−1 dado","−"&amp;INDEX($I$2:$N$8,MAX(1,$MF77),MAX(1,$NI77))&amp;" · "&amp;CHOOSE(MAX(1,$NI77),"Leve","Média","Pesada","Leve · Livre","Média · Livre","Pesada · Livre")))</f>
        <v/>
      </c>
      <c r="QC77" s="152">
        <f>IF(OR($MQ77=0,$NE77=0),"",IF($MF77=0,"−1 dado","−"&amp;INDEX($I$2:$N$8,MAX(1,$MF77),MAX(1,$NJ77))&amp;" · "&amp;CHOOSE(MAX(1,$NJ77),"Leve","Média","Pesada","Leve · Livre","Média · Livre","Pesada · Livre")))</f>
        <v/>
      </c>
      <c r="QD77" s="152">
        <f>IF(OR($MQ77=0,$MO77=""),"",IF($MF77=0,"não devolve","+"&amp;IF($NV77=1,CEILING($MF77/2,1),$MF77)))</f>
        <v/>
      </c>
      <c r="QE77" s="152">
        <f>IF(OR($MQ77=0,$MP77=""),"",IF($MF77=0,"não devolve","+"&amp;IF($NW77=1,CEILING($MF77/2,1),$MF77)))</f>
        <v/>
      </c>
    </row>
    <row r="78">
      <c r="AV78" s="150" t="inlineStr">
        <is>
          <t>Remenda</t>
        </is>
      </c>
      <c r="AW78" s="150" t="inlineStr">
        <is>
          <t>Amparo</t>
        </is>
      </c>
      <c r="AX78" s="152" t="n">
        <v>3</v>
      </c>
      <c r="AY78" s="152" t="n">
        <v>0</v>
      </c>
      <c r="AZ78" s="152" t="n">
        <v>1</v>
      </c>
      <c r="BA78" s="152" t="n">
        <v>0</v>
      </c>
      <c r="JG78" s="152">
        <f>IF(OR($AW78="",COUNTIF($EF$2:$EJ$2,$AW78)&gt;0),$AV78,"")</f>
        <v/>
      </c>
      <c r="JH78" s="152">
        <f>IF(AND($AX78=1,OR($AW78="",COUNTIF($EF$2:$EJ$2,$AW78)&gt;0)),$AV78,"")</f>
        <v/>
      </c>
      <c r="JM78" s="152">
        <f>IF(OR($AW78="",COUNTIF($EF$3:$EJ$3,$AW78)&gt;0),$AV78,"")</f>
        <v/>
      </c>
      <c r="JN78" s="152">
        <f>IF(AND($AX78=1,OR($AW78="",COUNTIF($EF$3:$EJ$3,$AW78)&gt;0)),$AV78,"")</f>
        <v/>
      </c>
      <c r="JS78" s="152">
        <f>IF(OR($AW78="",COUNTIF($EF$4:$EJ$4,$AW78)&gt;0),$AV78,"")</f>
        <v/>
      </c>
      <c r="JT78" s="152">
        <f>IF(AND($AX78=1,OR($AW78="",COUNTIF($EF$4:$EJ$4,$AW78)&gt;0)),$AV78,"")</f>
        <v/>
      </c>
      <c r="JY78" s="152">
        <f>IF(OR($AW78="",COUNTIF($EF$5:$EJ$5,$AW78)&gt;0),$AV78,"")</f>
        <v/>
      </c>
      <c r="JZ78" s="152">
        <f>IF(AND($AX78=1,OR($AW78="",COUNTIF($EF$5:$EJ$5,$AW78)&gt;0)),$AV78,"")</f>
        <v/>
      </c>
      <c r="KE78" s="152">
        <f>IF(OR($AW78="",COUNTIF($EF$6:$EJ$6,$AW78)&gt;0),$AV78,"")</f>
        <v/>
      </c>
      <c r="KF78" s="152">
        <f>IF(AND($AX78=1,OR($AW78="",COUNTIF($EF$6:$EJ$6,$AW78)&gt;0)),$AV78,"")</f>
        <v/>
      </c>
      <c r="KK78" s="152">
        <f>IF(OR($AW78="",COUNTIF($EF$7:$EJ$7,$AW78)&gt;0),$AV78,"")</f>
        <v/>
      </c>
      <c r="KL78" s="152">
        <f>IF(AND($AX78=1,OR($AW78="",COUNTIF($EF$7:$EJ$7,$AW78)&gt;0)),$AV78,"")</f>
        <v/>
      </c>
      <c r="KQ78" s="152">
        <f>IF(OR($AW78="",COUNTIF($EF$8:$EJ$8,$AW78)&gt;0),$AV78,"")</f>
        <v/>
      </c>
      <c r="KR78" s="152">
        <f>IF(AND($AX78=1,OR($AW78="",COUNTIF($EF$8:$EJ$8,$AW78)&gt;0)),$AV78,"")</f>
        <v/>
      </c>
      <c r="KW78" s="152">
        <f>IF(OR($AW78="",COUNTIF($EF$9:$EJ$9,$AW78)&gt;0),$AV78,"")</f>
        <v/>
      </c>
      <c r="KX78" s="152">
        <f>IF(AND($AX78=1,OR($AW78="",COUNTIF($EF$9:$EJ$9,$AW78)&gt;0)),$AV78,"")</f>
        <v/>
      </c>
      <c r="LC78" s="152">
        <f>IF(OR($AW78="",COUNTIF($EF$10:$EJ$10,$AW78)&gt;0),$AV78,"")</f>
        <v/>
      </c>
      <c r="LD78" s="152">
        <f>IF(AND($AX78=1,OR($AW78="",COUNTIF($EF$10:$EJ$10,$AW78)&gt;0)),$AV78,"")</f>
        <v/>
      </c>
      <c r="LI78" s="152">
        <f>IF(OR($AW78="",COUNTIF($EF$11:$EJ$11,$AW78)&gt;0),$AV78,"")</f>
        <v/>
      </c>
      <c r="LJ78" s="152">
        <f>IF(AND($AX78=1,OR($AW78="",COUNTIF($EF$11:$EJ$11,$AW78)&gt;0)),$AV78,"")</f>
        <v/>
      </c>
      <c r="LO78" s="152">
        <f>IF(OR($AW78="",COUNTIF($EF$12:$EJ$12,$AW78)&gt;0),$AV78,"")</f>
        <v/>
      </c>
      <c r="LP78" s="152">
        <f>IF(AND($AX78=1,OR($AW78="",COUNTIF($EF$12:$EJ$12,$AW78)&gt;0)),$AV78,"")</f>
        <v/>
      </c>
      <c r="LU78" s="152">
        <f>IF(OR($AW78="",COUNTIF($EF$13:$EJ$13,$AW78)&gt;0),$AV78,"")</f>
        <v/>
      </c>
      <c r="LV78" s="152">
        <f>IF(AND($AX78=1,OR($AW78="",COUNTIF($EF$13:$EJ$13,$AW78)&gt;0)),$AV78,"")</f>
        <v/>
      </c>
      <c r="MA78" s="150" t="inlineStr">
        <is>
          <t>Ficha 6 · Escolha da trilha 2</t>
        </is>
      </c>
      <c r="MB78" s="152" t="n">
        <v>6</v>
      </c>
      <c r="MC78" s="152" t="n">
        <v>2</v>
      </c>
      <c r="MD78" s="152" t="n">
        <v>0</v>
      </c>
      <c r="ME78" s="150" t="inlineStr">
        <is>
          <t>ESCOLHA DA TRILHA 2</t>
        </is>
      </c>
      <c r="MF78" s="152">
        <f>MAX(0,MIN(7,N('INVOCAÇÕES'!$O$1150)))</f>
        <v/>
      </c>
      <c r="MG78" s="152">
        <f>'INVOCAÇÕES'!$P$1150&amp;""</f>
        <v/>
      </c>
      <c r="MH78" s="152">
        <f>'INVOCAÇÕES'!$O$1155&amp;""</f>
        <v/>
      </c>
      <c r="MI78" s="152">
        <f>'INVOCAÇÕES'!$O$1156&amp;""</f>
        <v/>
      </c>
      <c r="MJ78" s="152">
        <f>'INVOCAÇÕES'!$Q$1156&amp;""</f>
        <v/>
      </c>
      <c r="MK78" s="152">
        <f>'INVOCAÇÕES'!$P$1159&amp;""</f>
        <v/>
      </c>
      <c r="ML78" s="152">
        <f>'INVOCAÇÕES'!$P$1160&amp;""</f>
        <v/>
      </c>
      <c r="MM78" s="152">
        <f>'INVOCAÇÕES'!$P$1161&amp;""</f>
        <v/>
      </c>
      <c r="MN78" s="152">
        <f>'INVOCAÇÕES'!$P$1162&amp;""</f>
        <v/>
      </c>
      <c r="MO78" s="152">
        <f>'INVOCAÇÕES'!$P$1163&amp;""</f>
        <v/>
      </c>
      <c r="MP78" s="152">
        <f>'INVOCAÇÕES'!$P$1164&amp;""</f>
        <v/>
      </c>
      <c r="MQ78" s="152">
        <f>IF($MG78&lt;&gt;"",1,0)</f>
        <v/>
      </c>
      <c r="MR78" s="152">
        <f>INDEX($FI$2:$FI$13,$MB78)</f>
        <v/>
      </c>
      <c r="MS78" s="152">
        <f>INDEX($FJ$2:$FJ$13,$MB78)</f>
        <v/>
      </c>
      <c r="MT78" s="152">
        <f>INDEX($FK$2:$FK$13,$MB78)</f>
        <v/>
      </c>
      <c r="MU78" s="152">
        <f>INDEX($FV$2:$FV$13,$MB78)</f>
        <v/>
      </c>
      <c r="MV78" s="152">
        <f>INDEX($FW$2:$FW$13,$MB78)</f>
        <v/>
      </c>
      <c r="MW78" s="152">
        <f>IFERROR(MATCH($MH78,$V$2:$V$11,0),0)</f>
        <v/>
      </c>
      <c r="MX78" s="152">
        <f>IFERROR(VLOOKUP($MK78,$AV$2:$BA$84,2,FALSE),"")</f>
        <v/>
      </c>
      <c r="MY78" s="152">
        <f>IFERROR(VLOOKUP($ML78,$AV$2:$BA$84,2,FALSE),"")</f>
        <v/>
      </c>
      <c r="MZ78" s="152">
        <f>IFERROR(VLOOKUP($MM78,$AV$2:$BA$84,2,FALSE),"")</f>
        <v/>
      </c>
      <c r="NA78" s="152">
        <f>IFERROR(VLOOKUP($MN78,$AV$2:$BA$84,2,FALSE),"")</f>
        <v/>
      </c>
      <c r="NB78" s="152">
        <f>IFERROR(VLOOKUP($MK78,$AV$2:$BA$84,3,FALSE),0)</f>
        <v/>
      </c>
      <c r="NC78" s="152">
        <f>IFERROR(VLOOKUP($ML78,$AV$2:$BA$84,3,FALSE),0)</f>
        <v/>
      </c>
      <c r="ND78" s="152">
        <f>IFERROR(VLOOKUP($MM78,$AV$2:$BA$84,3,FALSE),0)</f>
        <v/>
      </c>
      <c r="NE78" s="152">
        <f>IFERROR(VLOOKUP($MN78,$AV$2:$BA$84,3,FALSE),0)</f>
        <v/>
      </c>
      <c r="NF78" s="152">
        <f>IF($MF78=0,0,IF($MW78=0,0,INDEX($X$2:$X$11,$MW78)))</f>
        <v/>
      </c>
      <c r="NG78" s="152">
        <f>IF(OR($NB78=0,$MF78=0),0,$NB78+3*IF(AND($MX78&lt;&gt;"",OR($MX78=INDEX($EF$2:$EF$13,$MB78),$MX78=INDEX($EG$2:$EG$13,$MB78))),1,0))</f>
        <v/>
      </c>
      <c r="NH78" s="152">
        <f>IF(OR($NC78=0,$MF78=0),0,$NC78+3*IF(AND($MY78&lt;&gt;"",OR($MY78=INDEX($EF$2:$EF$13,$MB78),$MY78=INDEX($EG$2:$EG$13,$MB78))),1,0))</f>
        <v/>
      </c>
      <c r="NI78" s="152">
        <f>IF(OR($ND78=0,$MF78=0),0,$ND78+3*IF(AND($MZ78&lt;&gt;"",OR($MZ78=INDEX($EF$2:$EF$13,$MB78),$MZ78=INDEX($EG$2:$EG$13,$MB78))),1,0))</f>
        <v/>
      </c>
      <c r="NJ78" s="152">
        <f>IF(OR($NE78=0,$MF78=0),0,$NE78+3*IF(AND($NA78&lt;&gt;"",OR($NA78=INDEX($EF$2:$EF$13,$MB78),$NA78=INDEX($EG$2:$EG$13,$MB78))),1,0))</f>
        <v/>
      </c>
      <c r="NK78" s="152">
        <f>IF($MW78=0,0,IF(INDEX($W$2:$W$11,$MW78)="",0,IF(COUNTIF(INDEX($EF$2:$EJ$13,$MB78,0),INDEX($W$2:$W$11,$MW78))=0,1,0)))</f>
        <v/>
      </c>
      <c r="NL78" s="152">
        <f>IF(OR($NB78=0,$MX78=""),0,IF(COUNTIF(INDEX($EF$2:$EJ$13,$MB78,0),$MX78)=0,1,0))</f>
        <v/>
      </c>
      <c r="NM78" s="152">
        <f>IF(OR($NC78=0,$MY78=""),0,IF(COUNTIF(INDEX($EF$2:$EJ$13,$MB78,0),$MY78)=0,1,0))</f>
        <v/>
      </c>
      <c r="NN78" s="152">
        <f>IF(OR($ND78=0,$MZ78=""),0,IF(COUNTIF(INDEX($EF$2:$EJ$13,$MB78,0),$MZ78)=0,1,0))</f>
        <v/>
      </c>
      <c r="NO78" s="152">
        <f>IF(OR($NE78=0,$NA78=""),0,IF(COUNTIF(INDEX($EF$2:$EJ$13,$MB78,0),$NA78)=0,1,0))</f>
        <v/>
      </c>
      <c r="NP78" s="152">
        <f>IFERROR(VLOOKUP($MK78,$AV$2:$BA$84,4,FALSE),0)+IFERROR(VLOOKUP($ML78,$AV$2:$BA$84,4,FALSE),0)+IFERROR(VLOOKUP($MM78,$AV$2:$BA$84,4,FALSE),0)+IFERROR(VLOOKUP($MN78,$AV$2:$BA$84,4,FALSE),0)</f>
        <v/>
      </c>
      <c r="NQ78" s="152">
        <f>IFERROR(VLOOKUP($MK78,$AV$2:$BA$84,6,FALSE),0)+IFERROR(VLOOKUP($ML78,$AV$2:$BA$84,6,FALSE),0)+IFERROR(VLOOKUP($MM78,$AV$2:$BA$84,6,FALSE),0)+IFERROR(VLOOKUP($MN78,$AV$2:$BA$84,6,FALSE),0)</f>
        <v/>
      </c>
      <c r="NR78" s="152">
        <f>TEXTJOIN(", ",TRUE,IF(IFERROR(VLOOKUP($MK78,$AV$2:$BA$84,5,FALSE),0)=1,$MK78,""),IF(IFERROR(VLOOKUP($ML78,$AV$2:$BA$84,5,FALSE),0)=1,$ML78,""),IF(IFERROR(VLOOKUP($MM78,$AV$2:$BA$84,5,FALSE),0)=1,$MM78,""),IF(IFERROR(VLOOKUP($MN78,$AV$2:$BA$84,5,FALSE),0)=1,$MN78,""))</f>
        <v/>
      </c>
      <c r="NS78" s="152">
        <f>IF($MW78=0,0,INDEX($Y$2:$Y$11,$MW78))</f>
        <v/>
      </c>
      <c r="NT78" s="152">
        <f>IF($MW78=0,0,INDEX($Z$2:$Z$11,$MW78))</f>
        <v/>
      </c>
      <c r="NU78" s="152">
        <f>IF($MW78=0,0,INDEX($AB$2:$AB$11,$MW78))</f>
        <v/>
      </c>
      <c r="NV78" s="152">
        <f>IFERROR(VLOOKUP($MO78,$BC$2:$BG$24,3,FALSE),0)</f>
        <v/>
      </c>
      <c r="NW78" s="152">
        <f>IFERROR(VLOOKUP($MP78,$BC$2:$BG$24,3,FALSE),0)</f>
        <v/>
      </c>
      <c r="NX78" s="152">
        <f>IFERROR(VLOOKUP($MO78,$BC$2:$BG$24,2,FALSE),"")</f>
        <v/>
      </c>
      <c r="NY78" s="152">
        <f>IFERROR(VLOOKUP($MP78,$BC$2:$BG$24,2,FALSE),"")</f>
        <v/>
      </c>
      <c r="NZ78" s="152">
        <f>COUNTIF($NF78:$NJ78,1)</f>
        <v/>
      </c>
      <c r="OA78" s="152">
        <f>COUNTIF($NF78:$NJ78,2)</f>
        <v/>
      </c>
      <c r="OB78" s="152">
        <f>COUNTIF($NF78:$NJ78,3)</f>
        <v/>
      </c>
      <c r="OC78" s="152">
        <f>COUNTIF($NF78:$NJ78,4)</f>
        <v/>
      </c>
      <c r="OD78" s="152">
        <f>COUNTIF($NF78:$NJ78,5)</f>
        <v/>
      </c>
      <c r="OE78" s="152">
        <f>COUNTIF($NF78:$NJ78,6)</f>
        <v/>
      </c>
      <c r="OF78" s="152">
        <f>COUNTIF($NV78:$NW78,1)</f>
        <v/>
      </c>
      <c r="OG78" s="152">
        <f>COUNTIF($NV78:$NW78,2)+$NS78</f>
        <v/>
      </c>
      <c r="OH78" s="152">
        <f>COUNTIF($MK78:$MN78,"?*")</f>
        <v/>
      </c>
      <c r="OI78" s="152">
        <f>COUNTIF($MO78:$MP78,"?*")+$NS78</f>
        <v/>
      </c>
      <c r="OJ78" s="152">
        <f>IF($MF78=0,0,SUMPRODUCT($NZ78:$OE78,INDEX($I$2:$N$8,MAX(1,$MF78),0)))</f>
        <v/>
      </c>
      <c r="OK78" s="152">
        <f>IF($MF78=0,0,$OF78*CEILING($MF78/2,1)+$OG78*$MF78)</f>
        <v/>
      </c>
      <c r="OL78" s="152">
        <f>MIN(2*$MF78,$OK78)</f>
        <v/>
      </c>
      <c r="OM78" s="152">
        <f>MIN($OL78,$OJ78)</f>
        <v/>
      </c>
      <c r="ON78" s="152">
        <f>$OL78-$OM78</f>
        <v/>
      </c>
      <c r="OO78" s="152">
        <f>IF($MF78=0,0,INDEX($P$2:$P$8,MAX(1,$MF78)))</f>
        <v/>
      </c>
      <c r="OP78" s="152">
        <f>$OO78-$OJ78+$OM78</f>
        <v/>
      </c>
      <c r="OQ78" s="152">
        <f>IF($MF78=0,MAX(0,$MT78-IF($OH78&gt;0,1,0)),MAX(0,$OP78))</f>
        <v/>
      </c>
      <c r="OR78" s="152">
        <f>IF($MF78=0,0,(IF(COUNTIF($MK78:$MN78,"Salto")&gt;0,1,0)+IF(COUNTIF($MK78:$MN78,"Queima")&gt;0,1,0)+IF(COUNTIF($MK78:$MN78,"Estilhaço")&gt;0,1,0))*FLOOR($OQ78/2,1))</f>
        <v/>
      </c>
      <c r="OS78" s="152">
        <f>MAX(0,2-SUMPRODUCT($NZ78:$OE78,$I$2:$N$2)+MIN(2,$OF78*1+$OG78*1,SUMPRODUCT($NZ78:$OE78,$I$2:$N$2)))</f>
        <v/>
      </c>
      <c r="OT78" s="152">
        <f>MAX(0,4-SUMPRODUCT($NZ78:$OE78,$I$3:$N$3)+MIN(4,$OF78*1+$OG78*2,SUMPRODUCT($NZ78:$OE78,$I$3:$N$3)))</f>
        <v/>
      </c>
      <c r="OU78" s="152">
        <f>MAX(0,6-SUMPRODUCT($NZ78:$OE78,$I$4:$N$4)+MIN(6,$OF78*2+$OG78*3,SUMPRODUCT($NZ78:$OE78,$I$4:$N$4)))</f>
        <v/>
      </c>
      <c r="OV78" s="152">
        <f>MAX(0,9-SUMPRODUCT($NZ78:$OE78,$I$5:$N$5)+MIN(8,$OF78*2+$OG78*4,SUMPRODUCT($NZ78:$OE78,$I$5:$N$5)))</f>
        <v/>
      </c>
      <c r="OW78" s="152">
        <f>MAX(0,11-SUMPRODUCT($NZ78:$OE78,$I$6:$N$6)+MIN(10,$OF78*3+$OG78*5,SUMPRODUCT($NZ78:$OE78,$I$6:$N$6)))</f>
        <v/>
      </c>
      <c r="OX78" s="152">
        <f>MAX(0,13-SUMPRODUCT($NZ78:$OE78,$I$7:$N$7)+MIN(12,$OF78*3+$OG78*6,SUMPRODUCT($NZ78:$OE78,$I$7:$N$7)))</f>
        <v/>
      </c>
      <c r="OY78" s="152">
        <f>MAX(0,16-SUMPRODUCT($NZ78:$OE78,$I$8:$N$8)+MIN(14,$OF78*4+$OG78*7,SUMPRODUCT($NZ78:$OE78,$I$8:$N$8)))</f>
        <v/>
      </c>
      <c r="OZ78" s="152">
        <f>IF($NT78=2,3*$OS78&amp;" de vida temp.",IF($NT78=3,"sem dano",IF($OS78=0,IF($NT78=1,"sem cura","sem dano"),IF($NT78=1,"cura ","")&amp;$OS78&amp;"d8")))</f>
        <v/>
      </c>
      <c r="PA78" s="152">
        <f>IF($NT78=2,3*$OT78&amp;" de vida temp.",IF($NT78=3,"sem dano",IF($OT78=0,IF($NT78=1,"sem cura","sem dano"),IF($NT78=1,"cura ","")&amp;$OT78&amp;"d8")))</f>
        <v/>
      </c>
      <c r="PB78" s="152">
        <f>IF($NT78=2,3*$OU78&amp;" de vida temp.",IF($NT78=3,"sem dano",IF($OU78=0,IF($NT78=1,"sem cura","sem dano"),IF($NT78=1,"cura ","")&amp;$OU78&amp;"d8")))</f>
        <v/>
      </c>
      <c r="PC78" s="152">
        <f>IF($NT78=2,3*$OV78&amp;" de vida temp.",IF($NT78=3,"sem dano",IF($OV78=0,IF($NT78=1,"sem cura","sem dano"),IF($NT78=1,"cura ","")&amp;$OV78&amp;"d8")))</f>
        <v/>
      </c>
      <c r="PD78" s="152">
        <f>IF($NT78=2,3*$OW78&amp;" de vida temp.",IF($NT78=3,"sem dano",IF($OW78=0,IF($NT78=1,"sem cura","sem dano"),IF($NT78=1,"cura ","")&amp;$OW78&amp;"d8")))</f>
        <v/>
      </c>
      <c r="PE78" s="152">
        <f>IF($NT78=2,3*$OX78&amp;" de vida temp.",IF($NT78=3,"sem dano",IF($OX78=0,IF($NT78=1,"sem cura","sem dano"),IF($NT78=1,"cura ","")&amp;$OX78&amp;"d8")))</f>
        <v/>
      </c>
      <c r="PF78" s="152">
        <f>IF($NT78=2,3*$OY78&amp;" de vida temp.",IF($NT78=3,"sem dano",IF($OY78=0,IF($NT78=1,"sem cura","sem dano"),IF($NT78=1,"cura ","")&amp;$OY78&amp;"d8")))</f>
        <v/>
      </c>
      <c r="PG78" s="152">
        <f>IF($MQ78=0,"",TEXTJOIN(" · ",TRUE,IF($MD78&gt;$MR78,"Este lugar abre no nível "&amp;$MD78,""),IF($MF78&gt;$MS78,"Classe "&amp;$MF78&amp;": o nível "&amp;$MR78&amp;" libera até a "&amp;$MS78,""),IF($NK78=1,"A Forma "&amp;$MH78&amp;" pede "&amp;INDEX($W$2:$W$11,$MW78)&amp;" aberta",""),IF(AND($MF78=0,$MW78&gt;0,IF($MW78=0,0,INDEX($AF$2:$AF$11,$MW78))=0),$MH78&amp;" não existe na Classe 0",""),IF($NL78=1,"Família Fechada: "&amp;$MK78,""),IF($NM78=1,"Família Fechada: "&amp;$ML78,""),IF($NN78=1,"Família Fechada: "&amp;$MM78,""),IF($NO78=1,"Família Fechada: "&amp;$MN78,""),IF(AND($MF78&gt;0,$OH78&gt;INDEX($O$2:$O$8,MAX(1,$MF78))),$OH78&amp;" Melhorias: a Classe "&amp;$MF78&amp;" aceita "&amp;INDEX($O$2:$O$8,MAX(1,$MF78)),""),IF(AND($MF78=0,$OH78&gt;1),"A básica aceita uma Melhoria",""),IF(AND($MF78=0,COUNTIF($NB78:$NE78,"&gt;1")&gt;0),"A básica só aceita Melhoria Leve",""),IF(AND($MF78&gt;0,$OI78&gt;2),$OI78&amp;" Restrições"&amp;IF($NS78=1,", contando a que a Forma "&amp;$MH78&amp;" já traz","")&amp;": o limite é 2",""),IF(AND($MF78=0,COUNTIF($MO78:$MP78,"?*")&gt;1),"A básica aceita uma Restrição Leve",""),IF(AND($MF78=0,COUNTIF($NV78:$NW78,2)&gt;0),"A básica só aceita Restrição Leve",""),IF(AND($MF78&gt;0,$OP78&lt;0),"Orçamento estourado: faltam "&amp;(-$OP78)&amp;IF($OP78&lt;-1," pontos"," ponto"),""),IF(IFERROR(VLOOKUP($MO78,$BC$2:$BG$24,4,FALSE),0)+IFERROR(VLOOKUP($MP78,$BC$2:$BG$24,4,FALSE),0)&gt;1,$NX78&amp;" e "&amp;$NY78&amp;" são as duas de frequência",""),IF(AND((COUNTIF($MK78:$MN78,"Rápido")+COUNTIF($NX78:$NY78,"Rápido"))&gt;0,(COUNTIF($MK78:$MN78,"Atrasar")+COUNTIF($NX78:$NY78,"Atrasar"))&gt;0),"Rápido não entra com Atrasar",""),IF(AND((COUNTIF($MK78:$MN78,"Reação")+COUNTIF($NX78:$NY78,"Reação"))&gt;0,(COUNTIF($MK78:$MN78,"Rápido")+COUNTIF($NX78:$NY78,"Rápido"))&gt;0),"Reação não entra com Rápido",""),IF(AND((COUNTIF($MK78:$MN78,"Reação")+COUNTIF($NX78:$NY78,"Reação"))&gt;0,(COUNTIF($MK78:$MN78,"Armado")+COUNTIF($NX78:$NY78,"Armado"))&gt;0),"Reação não entra com Armado",""),IF(AND((COUNTIF($MK78:$MN78,"Reação")+COUNTIF($NX78:$NY78,"Reação"))&gt;0,(COUNTIF($MK78:$MN78,"Atrasar")+COUNTIF($NX78:$NY78,"Atrasar"))&gt;0),"Reação não entra com Atrasar",""),IF(AND((COUNTIF($MK78:$MN78,"Reação")+COUNTIF($NX78:$NY78,"Reação"))&gt;0,(COUNTIF($MK78:$MN78,"Parado")+COUNTIF($NX78:$NY78,"Parado"))&gt;0),"Reação não entra com Parado",""),IF(AND((COUNTIF($MK78:$MN78,"Atrasar")+COUNTIF($NX78:$NY78,"Atrasar"))&gt;0,(COUNTIF($MK78:$MN78,"Parado")+COUNTIF($NX78:$NY78,"Parado"))&gt;0),"Atrasar não entra com Parado",""),IF(AND((COUNTIF($MK78:$MN78,"Armado")+COUNTIF($NX78:$NY78,"Armado"))&gt;0,(COUNTIF($MK78:$MN78,"Carregar")+COUNTIF($NX78:$NY78,"Carregar"))&gt;0),"Armado não entra com Carregar",""),IF(AND(COUNTIF($NX78:$NY78,"Corpo a Corpo")&gt;0,$NS78=0,OR($MH78="Cone",$MH78="Linha")),"Corpo a Corpo não entra em "&amp;$MH78,""),IF(AND(COUNTIF($NX78:$NY78,"Corpo a Corpo")&gt;0,$NS78=1),"A Forma "&amp;$MH78&amp;" já traz o Corpo a Corpo",""),IF(AND(COUNTIF($NX78:$NY78,"Tudo ou Nada")&gt;0,$NU78=0),"Tudo ou Nada só entra em habilidade de Teste de Resistência",""),IF(AND(COUNTIF($MK78:$MN78,"Inescapável")&gt;0,OR($OH78&gt;1,$OI78&gt;0)),"Inescapável não aceita outra peça",""),IF(AND($MF78&gt;0,$OQ78*IF(COUNTIF($MK78:$MN78,"Remate")&gt;0,1.25,1)+$OR78&gt;4*$MF78),($OQ78*IF(COUNTIF($MK78:$MN78,"Remate")&gt;0,1.25,1)+$OR78)&amp;" dados somando repetições"&amp;IF(COUNTIF($MK78:$MN78,"Remate")&gt;0," e o Remate","")&amp;": o teto da Classe "&amp;$MF78&amp;" é "&amp;4*$MF78,"")))</f>
        <v/>
      </c>
      <c r="PH78" s="152">
        <f>IF($PG78="",0,(LEN($PG78)-LEN(SUBSTITUTE($PG78," · ","")))/3+1)</f>
        <v/>
      </c>
      <c r="PI78" s="152">
        <f>IF($MQ78=0,"",TEXTJOIN(" · ",TRUE,IF($OK78&gt;2*$MF78,"A devolução parou no teto de "&amp;2*$MF78,""),IF($ON78&gt;0,"Devolução perdida: "&amp;$ON78&amp;IF($ON78&gt;1," pontos"," ponto")&amp;" sem peça para pagar",""),IF(AND($NP78&gt;0,AND($MF78&gt;0,$NT78=0),$OQ78=0),"Controle sem dano: uma rodada a mais e CD +2",""),IF(AND($NP78&gt;0,AND($MF78&gt;0,$NT78=0),$OQ78&gt;0,$OQ78&lt;=$MF78),"Controle com saldo até a Classe: uma rodada a mais",""),IF(AND($MF78&gt;0,$NR78&lt;&gt;""),"Efeito de "&amp;$NR78&amp;" pela Classe "&amp;MAX(1,$MF78-1),"")))</f>
        <v/>
      </c>
      <c r="PJ78" s="152">
        <f>IF($PI78="",0,(LEN($PI78)-LEN(SUBSTITUTE($PI78," · ","")))/3+1)</f>
        <v/>
      </c>
      <c r="PK78" s="152">
        <f>IF($MQ78=0,IF($OH78+COUNTIF($MO78:$MP78,"?*")&gt;0,"Dê um nome",""),IF($PH78&gt;0,"⚠ "&amp;$PH78&amp;IF($PH78&gt;1," erros"," erro"),IF($PJ78&gt;0,"! "&amp;$PJ78&amp;IF($PJ78&gt;1," avisos"," aviso"),"Na regra")))</f>
        <v/>
      </c>
      <c r="PL78" s="152">
        <f>IF($MQ78=0,"",IF($PH78+$PJ78=0,"Dentro das regras que a ficha confere",$PG78&amp;IF(AND($PH78&gt;0,$PJ78&gt;0)," · ","")&amp;$PI78))</f>
        <v/>
      </c>
      <c r="PM78" s="152">
        <f>IF($MD78&gt;$MR78,$ME78&amp;" · ABRE NO NÍVEL "&amp;$MD78,$ME78)</f>
        <v/>
      </c>
      <c r="PN78" s="152">
        <f>IF($MQ78=0,"",IF($MF78=0,"Sem PE",3*$MF78&amp;" PE"))</f>
        <v/>
      </c>
      <c r="PO78" s="152">
        <f>IF($MQ78=0,"",IF($MF78=0,"A atuação básica dela",IF(COUNTIF($NX78:$NY78,"Atrasar")&gt;0,"Sua Ação Completa",IF(COUNTIF($MK78:$MN78,"Rápido")&gt;0,"Sua Bônus",IF(COUNTIF($MK78:$MN78,"Reação")&gt;0,"Sua Reação","Sua Padrão")))&amp;" + a básica dela"&amp;IF(COUNTIF($MK78:$MN78,"Reação")&gt;0," e a coletiva","")&amp;IF(COUNTIF($NX78:$NY78,"Carregar")&gt;0," · em dois turnos","")))</f>
        <v/>
      </c>
      <c r="PP78" s="152">
        <f>IF($MJ78&lt;&gt;"",$MJ78,IF($MW78=0,"",INDEX($AA$2:$AA$11,$MW78)))</f>
        <v/>
      </c>
      <c r="PQ78" s="152">
        <f>IF(OR($MQ78=0,$MW78=0),"",IF(COUNTIF($MK78:$MN78,"Inescapável")&gt;0,"Automático",IF($PP78="Ataque",IF($MU78="","Ataque","Ataque "&amp;IF(($MU78+2*IF(COUNTIF($MK78:$MN78,"Precisão")&gt;0,1,0))&gt;=0,"+","−")&amp;ABS(($MU78+2*IF(COUNTIF($MK78:$MN78,"Precisão")&gt;0,1,0))))&amp;IF($NQ78&gt;0," · TR"&amp;IF($MV78="",""," CD "&amp;$MV78),""),IF(LEFT($PP78,2)="TR",$PP78&amp;IF($MV78="",""," · CD "&amp;$MV78)&amp;IF(COUNTIF($MK78:$MN78,"Certeiro")&gt;0," · metade",""),"Sem rolagem"))))</f>
        <v/>
      </c>
      <c r="PR78" s="152">
        <f>IF(OR($MQ78=0,$MW78=0),"",IF($MF78=0,IF(OR($NT78&gt;=1,$OQ78=0),"Sem dano",$OQ78&amp;"d6"&amp;IF($MI78="",""," "&amp;$MI78)),IF(OR($NT78&gt;=1,$OQ78=0),UPPER(LEFT(INDEX($OZ78:$PF78,1,MAX(1,$MF78)),1))&amp;MID(INDEX($OZ78:$PF78,1,MAX(1,$MF78)),2,99),UPPER(LEFT(INDEX($OZ78:$PF78,1,MAX(1,$MF78)),1))&amp;MID(INDEX($OZ78:$PF78,1,MAX(1,$MF78)),2,99)&amp;IF($MI78="",""," "&amp;$MI78)&amp;IF($OR78&gt;0," · +"&amp;$OR78&amp;"d8",""))))</f>
        <v/>
      </c>
      <c r="PS78" s="152">
        <f>COUNTIF($MK78:$MN78,"Longe")+3*COUNTIF($MK78:$MN78,"Muito Longe")</f>
        <v/>
      </c>
      <c r="PT78" s="152">
        <f>COUNTIF($MK78:$MN78,"Maior")+3*COUNTIF($MK78:$MN78,"Muito Maior")</f>
        <v/>
      </c>
      <c r="PU78" s="152">
        <f>IF($MW78=0,0,CHOOSE(1+INDEX($AC$2:$AC$11,$MW78),0,$PS78,$PT78,$PS78+$PT78))</f>
        <v/>
      </c>
      <c r="PV78" s="152">
        <f>IF($MW78=0,0,CHOOSE(1+INDEX($AD$2:$AD$11,$MW78),0,$PS78,$PT78,$PS78+$PT78))</f>
        <v/>
      </c>
      <c r="PW78" s="152">
        <f>IF(OR($MQ78=0,$MW78=0),"",INDEX($AI$2:$AN$41,($MW78-1)*4+IF($MF78=0,1,IF($MF78&lt;=5,2,IF($MF78=6,3,4))),1+MIN(5,$PU78))&amp;INDEX($AO$2:$AT$41,($MW78-1)*4+IF($MF78=0,1,IF($MF78&lt;=5,2,IF($MF78=6,3,4))),1+MIN(5,$PV78))&amp;IF(INDEX($AE$2:$AE$11,$MW78)=1,IF(COUNTIF($MK78:$MN78,"Mais Um")&gt;0," · +"&amp;COUNTIF($MK78:$MN78,"Mais Um")&amp;IF(COUNTIF($MK78:$MN78,"Mais Um")&gt;1," alvos"," alvo"),"")&amp;IF(COUNTIF($MK78:$MN78,"Rajada")&gt;0,IF($MF78=0," · 1 tiro"," · "&amp;(MAX(1,$MF78-1)+1)&amp;" tiros"),""),""))</f>
        <v/>
      </c>
      <c r="PX78" s="152">
        <f>IF($MQ78=0,"",IF($MF78=0,$MT78&amp;"d6"&amp;IF($OH78&gt;0," − 1 = "&amp;$OQ78&amp;"d6"," da básica do nível "&amp;$MR78),$OO78&amp;" − "&amp;$OJ78&amp;" + "&amp;$OM78&amp;" = "&amp;$OP78&amp;" · teto "&amp;4*$MF78&amp;"d8"&amp;IF($NS78=1," · a Forma devolve "&amp;$MF78,"")&amp;IF($ON78&gt;0," · perde "&amp;$ON78,"")))</f>
        <v/>
      </c>
      <c r="PY78" s="152">
        <f>IF($MQ78=0,"",IF($MF78=0,"A básica não amplia: os dados dela sobem com o nível",IF($MF78&gt;=$MS78,"Já está na maior Classe que o nível liberou",TEXTJOIN(" · ",TRUE,IF(AND(2&gt;$MF78,2&lt;=$MS78),"2 → "&amp;$PA78&amp;", 6 PE",""),IF(AND(3&gt;$MF78,3&lt;=$MS78),"3 → "&amp;$PB78&amp;", 9 PE",""),IF(AND(4&gt;$MF78,4&lt;=$MS78),"4 → "&amp;$PC78&amp;", 12 PE",""),IF(AND(5&gt;$MF78,5&lt;=$MS78),"5 → "&amp;$PD78&amp;", 15 PE",""),IF(AND(6&gt;$MF78,6&lt;=$MS78),"6 → "&amp;$PE78&amp;", 18 PE",""),IF(AND(7&gt;$MF78,7&lt;=$MS78),"7 → "&amp;$PF78&amp;", 21 PE","")))))</f>
        <v/>
      </c>
      <c r="PZ78" s="152">
        <f>IF(OR($MQ78=0,$NB78=0),"",IF($MF78=0,"−1 dado","−"&amp;INDEX($I$2:$N$8,MAX(1,$MF78),MAX(1,$NG78))&amp;" · "&amp;CHOOSE(MAX(1,$NG78),"Leve","Média","Pesada","Leve · Livre","Média · Livre","Pesada · Livre")))</f>
        <v/>
      </c>
      <c r="QA78" s="152">
        <f>IF(OR($MQ78=0,$NC78=0),"",IF($MF78=0,"−1 dado","−"&amp;INDEX($I$2:$N$8,MAX(1,$MF78),MAX(1,$NH78))&amp;" · "&amp;CHOOSE(MAX(1,$NH78),"Leve","Média","Pesada","Leve · Livre","Média · Livre","Pesada · Livre")))</f>
        <v/>
      </c>
      <c r="QB78" s="152">
        <f>IF(OR($MQ78=0,$ND78=0),"",IF($MF78=0,"−1 dado","−"&amp;INDEX($I$2:$N$8,MAX(1,$MF78),MAX(1,$NI78))&amp;" · "&amp;CHOOSE(MAX(1,$NI78),"Leve","Média","Pesada","Leve · Livre","Média · Livre","Pesada · Livre")))</f>
        <v/>
      </c>
      <c r="QC78" s="152">
        <f>IF(OR($MQ78=0,$NE78=0),"",IF($MF78=0,"−1 dado","−"&amp;INDEX($I$2:$N$8,MAX(1,$MF78),MAX(1,$NJ78))&amp;" · "&amp;CHOOSE(MAX(1,$NJ78),"Leve","Média","Pesada","Leve · Livre","Média · Livre","Pesada · Livre")))</f>
        <v/>
      </c>
      <c r="QD78" s="152">
        <f>IF(OR($MQ78=0,$MO78=""),"",IF($MF78=0,"não devolve","+"&amp;IF($NV78=1,CEILING($MF78/2,1),$MF78)))</f>
        <v/>
      </c>
      <c r="QE78" s="152">
        <f>IF(OR($MQ78=0,$MP78=""),"",IF($MF78=0,"não devolve","+"&amp;IF($NW78=1,CEILING($MF78/2,1),$MF78)))</f>
        <v/>
      </c>
    </row>
    <row r="79">
      <c r="AV79" s="150" t="inlineStr">
        <is>
          <t>Divide</t>
        </is>
      </c>
      <c r="AW79" s="150" t="inlineStr">
        <is>
          <t>Amparo</t>
        </is>
      </c>
      <c r="AX79" s="152" t="n">
        <v>2</v>
      </c>
      <c r="AY79" s="152" t="n">
        <v>0</v>
      </c>
      <c r="AZ79" s="152" t="n">
        <v>0</v>
      </c>
      <c r="BA79" s="152" t="n">
        <v>0</v>
      </c>
      <c r="JG79" s="152">
        <f>IF(OR($AW79="",COUNTIF($EF$2:$EJ$2,$AW79)&gt;0),$AV79,"")</f>
        <v/>
      </c>
      <c r="JH79" s="152">
        <f>IF(AND($AX79=1,OR($AW79="",COUNTIF($EF$2:$EJ$2,$AW79)&gt;0)),$AV79,"")</f>
        <v/>
      </c>
      <c r="JM79" s="152">
        <f>IF(OR($AW79="",COUNTIF($EF$3:$EJ$3,$AW79)&gt;0),$AV79,"")</f>
        <v/>
      </c>
      <c r="JN79" s="152">
        <f>IF(AND($AX79=1,OR($AW79="",COUNTIF($EF$3:$EJ$3,$AW79)&gt;0)),$AV79,"")</f>
        <v/>
      </c>
      <c r="JS79" s="152">
        <f>IF(OR($AW79="",COUNTIF($EF$4:$EJ$4,$AW79)&gt;0),$AV79,"")</f>
        <v/>
      </c>
      <c r="JT79" s="152">
        <f>IF(AND($AX79=1,OR($AW79="",COUNTIF($EF$4:$EJ$4,$AW79)&gt;0)),$AV79,"")</f>
        <v/>
      </c>
      <c r="JY79" s="152">
        <f>IF(OR($AW79="",COUNTIF($EF$5:$EJ$5,$AW79)&gt;0),$AV79,"")</f>
        <v/>
      </c>
      <c r="JZ79" s="152">
        <f>IF(AND($AX79=1,OR($AW79="",COUNTIF($EF$5:$EJ$5,$AW79)&gt;0)),$AV79,"")</f>
        <v/>
      </c>
      <c r="KE79" s="152">
        <f>IF(OR($AW79="",COUNTIF($EF$6:$EJ$6,$AW79)&gt;0),$AV79,"")</f>
        <v/>
      </c>
      <c r="KF79" s="152">
        <f>IF(AND($AX79=1,OR($AW79="",COUNTIF($EF$6:$EJ$6,$AW79)&gt;0)),$AV79,"")</f>
        <v/>
      </c>
      <c r="KK79" s="152">
        <f>IF(OR($AW79="",COUNTIF($EF$7:$EJ$7,$AW79)&gt;0),$AV79,"")</f>
        <v/>
      </c>
      <c r="KL79" s="152">
        <f>IF(AND($AX79=1,OR($AW79="",COUNTIF($EF$7:$EJ$7,$AW79)&gt;0)),$AV79,"")</f>
        <v/>
      </c>
      <c r="KQ79" s="152">
        <f>IF(OR($AW79="",COUNTIF($EF$8:$EJ$8,$AW79)&gt;0),$AV79,"")</f>
        <v/>
      </c>
      <c r="KR79" s="152">
        <f>IF(AND($AX79=1,OR($AW79="",COUNTIF($EF$8:$EJ$8,$AW79)&gt;0)),$AV79,"")</f>
        <v/>
      </c>
      <c r="KW79" s="152">
        <f>IF(OR($AW79="",COUNTIF($EF$9:$EJ$9,$AW79)&gt;0),$AV79,"")</f>
        <v/>
      </c>
      <c r="KX79" s="152">
        <f>IF(AND($AX79=1,OR($AW79="",COUNTIF($EF$9:$EJ$9,$AW79)&gt;0)),$AV79,"")</f>
        <v/>
      </c>
      <c r="LC79" s="152">
        <f>IF(OR($AW79="",COUNTIF($EF$10:$EJ$10,$AW79)&gt;0),$AV79,"")</f>
        <v/>
      </c>
      <c r="LD79" s="152">
        <f>IF(AND($AX79=1,OR($AW79="",COUNTIF($EF$10:$EJ$10,$AW79)&gt;0)),$AV79,"")</f>
        <v/>
      </c>
      <c r="LI79" s="152">
        <f>IF(OR($AW79="",COUNTIF($EF$11:$EJ$11,$AW79)&gt;0),$AV79,"")</f>
        <v/>
      </c>
      <c r="LJ79" s="152">
        <f>IF(AND($AX79=1,OR($AW79="",COUNTIF($EF$11:$EJ$11,$AW79)&gt;0)),$AV79,"")</f>
        <v/>
      </c>
      <c r="LO79" s="152">
        <f>IF(OR($AW79="",COUNTIF($EF$12:$EJ$12,$AW79)&gt;0),$AV79,"")</f>
        <v/>
      </c>
      <c r="LP79" s="152">
        <f>IF(AND($AX79=1,OR($AW79="",COUNTIF($EF$12:$EJ$12,$AW79)&gt;0)),$AV79,"")</f>
        <v/>
      </c>
      <c r="LU79" s="152">
        <f>IF(OR($AW79="",COUNTIF($EF$13:$EJ$13,$AW79)&gt;0),$AV79,"")</f>
        <v/>
      </c>
      <c r="LV79" s="152">
        <f>IF(AND($AX79=1,OR($AW79="",COUNTIF($EF$13:$EJ$13,$AW79)&gt;0)),$AV79,"")</f>
        <v/>
      </c>
      <c r="MA79" s="150" t="inlineStr">
        <is>
          <t>Ficha 6 · Escolha da trilha 3</t>
        </is>
      </c>
      <c r="MB79" s="152" t="n">
        <v>6</v>
      </c>
      <c r="MC79" s="152" t="n">
        <v>2</v>
      </c>
      <c r="MD79" s="152" t="n">
        <v>0</v>
      </c>
      <c r="ME79" s="150" t="inlineStr">
        <is>
          <t>ESCOLHA DA TRILHA 3</t>
        </is>
      </c>
      <c r="MF79" s="152">
        <f>MAX(0,MIN(7,N('INVOCAÇÕES'!$U$1150)))</f>
        <v/>
      </c>
      <c r="MG79" s="152">
        <f>'INVOCAÇÕES'!$V$1150&amp;""</f>
        <v/>
      </c>
      <c r="MH79" s="152">
        <f>'INVOCAÇÕES'!$U$1155&amp;""</f>
        <v/>
      </c>
      <c r="MI79" s="152">
        <f>'INVOCAÇÕES'!$U$1156&amp;""</f>
        <v/>
      </c>
      <c r="MJ79" s="152">
        <f>'INVOCAÇÕES'!$W$1156&amp;""</f>
        <v/>
      </c>
      <c r="MK79" s="152">
        <f>'INVOCAÇÕES'!$V$1159&amp;""</f>
        <v/>
      </c>
      <c r="ML79" s="152">
        <f>'INVOCAÇÕES'!$V$1160&amp;""</f>
        <v/>
      </c>
      <c r="MM79" s="152">
        <f>'INVOCAÇÕES'!$V$1161&amp;""</f>
        <v/>
      </c>
      <c r="MN79" s="152">
        <f>'INVOCAÇÕES'!$V$1162&amp;""</f>
        <v/>
      </c>
      <c r="MO79" s="152">
        <f>'INVOCAÇÕES'!$V$1163&amp;""</f>
        <v/>
      </c>
      <c r="MP79" s="152">
        <f>'INVOCAÇÕES'!$V$1164&amp;""</f>
        <v/>
      </c>
      <c r="MQ79" s="152">
        <f>IF($MG79&lt;&gt;"",1,0)</f>
        <v/>
      </c>
      <c r="MR79" s="152">
        <f>INDEX($FI$2:$FI$13,$MB79)</f>
        <v/>
      </c>
      <c r="MS79" s="152">
        <f>INDEX($FJ$2:$FJ$13,$MB79)</f>
        <v/>
      </c>
      <c r="MT79" s="152">
        <f>INDEX($FK$2:$FK$13,$MB79)</f>
        <v/>
      </c>
      <c r="MU79" s="152">
        <f>INDEX($FV$2:$FV$13,$MB79)</f>
        <v/>
      </c>
      <c r="MV79" s="152">
        <f>INDEX($FW$2:$FW$13,$MB79)</f>
        <v/>
      </c>
      <c r="MW79" s="152">
        <f>IFERROR(MATCH($MH79,$V$2:$V$11,0),0)</f>
        <v/>
      </c>
      <c r="MX79" s="152">
        <f>IFERROR(VLOOKUP($MK79,$AV$2:$BA$84,2,FALSE),"")</f>
        <v/>
      </c>
      <c r="MY79" s="152">
        <f>IFERROR(VLOOKUP($ML79,$AV$2:$BA$84,2,FALSE),"")</f>
        <v/>
      </c>
      <c r="MZ79" s="152">
        <f>IFERROR(VLOOKUP($MM79,$AV$2:$BA$84,2,FALSE),"")</f>
        <v/>
      </c>
      <c r="NA79" s="152">
        <f>IFERROR(VLOOKUP($MN79,$AV$2:$BA$84,2,FALSE),"")</f>
        <v/>
      </c>
      <c r="NB79" s="152">
        <f>IFERROR(VLOOKUP($MK79,$AV$2:$BA$84,3,FALSE),0)</f>
        <v/>
      </c>
      <c r="NC79" s="152">
        <f>IFERROR(VLOOKUP($ML79,$AV$2:$BA$84,3,FALSE),0)</f>
        <v/>
      </c>
      <c r="ND79" s="152">
        <f>IFERROR(VLOOKUP($MM79,$AV$2:$BA$84,3,FALSE),0)</f>
        <v/>
      </c>
      <c r="NE79" s="152">
        <f>IFERROR(VLOOKUP($MN79,$AV$2:$BA$84,3,FALSE),0)</f>
        <v/>
      </c>
      <c r="NF79" s="152">
        <f>IF($MF79=0,0,IF($MW79=0,0,INDEX($X$2:$X$11,$MW79)))</f>
        <v/>
      </c>
      <c r="NG79" s="152">
        <f>IF(OR($NB79=0,$MF79=0),0,$NB79+3*IF(AND($MX79&lt;&gt;"",OR($MX79=INDEX($EF$2:$EF$13,$MB79),$MX79=INDEX($EG$2:$EG$13,$MB79))),1,0))</f>
        <v/>
      </c>
      <c r="NH79" s="152">
        <f>IF(OR($NC79=0,$MF79=0),0,$NC79+3*IF(AND($MY79&lt;&gt;"",OR($MY79=INDEX($EF$2:$EF$13,$MB79),$MY79=INDEX($EG$2:$EG$13,$MB79))),1,0))</f>
        <v/>
      </c>
      <c r="NI79" s="152">
        <f>IF(OR($ND79=0,$MF79=0),0,$ND79+3*IF(AND($MZ79&lt;&gt;"",OR($MZ79=INDEX($EF$2:$EF$13,$MB79),$MZ79=INDEX($EG$2:$EG$13,$MB79))),1,0))</f>
        <v/>
      </c>
      <c r="NJ79" s="152">
        <f>IF(OR($NE79=0,$MF79=0),0,$NE79+3*IF(AND($NA79&lt;&gt;"",OR($NA79=INDEX($EF$2:$EF$13,$MB79),$NA79=INDEX($EG$2:$EG$13,$MB79))),1,0))</f>
        <v/>
      </c>
      <c r="NK79" s="152">
        <f>IF($MW79=0,0,IF(INDEX($W$2:$W$11,$MW79)="",0,IF(COUNTIF(INDEX($EF$2:$EJ$13,$MB79,0),INDEX($W$2:$W$11,$MW79))=0,1,0)))</f>
        <v/>
      </c>
      <c r="NL79" s="152">
        <f>IF(OR($NB79=0,$MX79=""),0,IF(COUNTIF(INDEX($EF$2:$EJ$13,$MB79,0),$MX79)=0,1,0))</f>
        <v/>
      </c>
      <c r="NM79" s="152">
        <f>IF(OR($NC79=0,$MY79=""),0,IF(COUNTIF(INDEX($EF$2:$EJ$13,$MB79,0),$MY79)=0,1,0))</f>
        <v/>
      </c>
      <c r="NN79" s="152">
        <f>IF(OR($ND79=0,$MZ79=""),0,IF(COUNTIF(INDEX($EF$2:$EJ$13,$MB79,0),$MZ79)=0,1,0))</f>
        <v/>
      </c>
      <c r="NO79" s="152">
        <f>IF(OR($NE79=0,$NA79=""),0,IF(COUNTIF(INDEX($EF$2:$EJ$13,$MB79,0),$NA79)=0,1,0))</f>
        <v/>
      </c>
      <c r="NP79" s="152">
        <f>IFERROR(VLOOKUP($MK79,$AV$2:$BA$84,4,FALSE),0)+IFERROR(VLOOKUP($ML79,$AV$2:$BA$84,4,FALSE),0)+IFERROR(VLOOKUP($MM79,$AV$2:$BA$84,4,FALSE),0)+IFERROR(VLOOKUP($MN79,$AV$2:$BA$84,4,FALSE),0)</f>
        <v/>
      </c>
      <c r="NQ79" s="152">
        <f>IFERROR(VLOOKUP($MK79,$AV$2:$BA$84,6,FALSE),0)+IFERROR(VLOOKUP($ML79,$AV$2:$BA$84,6,FALSE),0)+IFERROR(VLOOKUP($MM79,$AV$2:$BA$84,6,FALSE),0)+IFERROR(VLOOKUP($MN79,$AV$2:$BA$84,6,FALSE),0)</f>
        <v/>
      </c>
      <c r="NR79" s="152">
        <f>TEXTJOIN(", ",TRUE,IF(IFERROR(VLOOKUP($MK79,$AV$2:$BA$84,5,FALSE),0)=1,$MK79,""),IF(IFERROR(VLOOKUP($ML79,$AV$2:$BA$84,5,FALSE),0)=1,$ML79,""),IF(IFERROR(VLOOKUP($MM79,$AV$2:$BA$84,5,FALSE),0)=1,$MM79,""),IF(IFERROR(VLOOKUP($MN79,$AV$2:$BA$84,5,FALSE),0)=1,$MN79,""))</f>
        <v/>
      </c>
      <c r="NS79" s="152">
        <f>IF($MW79=0,0,INDEX($Y$2:$Y$11,$MW79))</f>
        <v/>
      </c>
      <c r="NT79" s="152">
        <f>IF($MW79=0,0,INDEX($Z$2:$Z$11,$MW79))</f>
        <v/>
      </c>
      <c r="NU79" s="152">
        <f>IF($MW79=0,0,INDEX($AB$2:$AB$11,$MW79))</f>
        <v/>
      </c>
      <c r="NV79" s="152">
        <f>IFERROR(VLOOKUP($MO79,$BC$2:$BG$24,3,FALSE),0)</f>
        <v/>
      </c>
      <c r="NW79" s="152">
        <f>IFERROR(VLOOKUP($MP79,$BC$2:$BG$24,3,FALSE),0)</f>
        <v/>
      </c>
      <c r="NX79" s="152">
        <f>IFERROR(VLOOKUP($MO79,$BC$2:$BG$24,2,FALSE),"")</f>
        <v/>
      </c>
      <c r="NY79" s="152">
        <f>IFERROR(VLOOKUP($MP79,$BC$2:$BG$24,2,FALSE),"")</f>
        <v/>
      </c>
      <c r="NZ79" s="152">
        <f>COUNTIF($NF79:$NJ79,1)</f>
        <v/>
      </c>
      <c r="OA79" s="152">
        <f>COUNTIF($NF79:$NJ79,2)</f>
        <v/>
      </c>
      <c r="OB79" s="152">
        <f>COUNTIF($NF79:$NJ79,3)</f>
        <v/>
      </c>
      <c r="OC79" s="152">
        <f>COUNTIF($NF79:$NJ79,4)</f>
        <v/>
      </c>
      <c r="OD79" s="152">
        <f>COUNTIF($NF79:$NJ79,5)</f>
        <v/>
      </c>
      <c r="OE79" s="152">
        <f>COUNTIF($NF79:$NJ79,6)</f>
        <v/>
      </c>
      <c r="OF79" s="152">
        <f>COUNTIF($NV79:$NW79,1)</f>
        <v/>
      </c>
      <c r="OG79" s="152">
        <f>COUNTIF($NV79:$NW79,2)+$NS79</f>
        <v/>
      </c>
      <c r="OH79" s="152">
        <f>COUNTIF($MK79:$MN79,"?*")</f>
        <v/>
      </c>
      <c r="OI79" s="152">
        <f>COUNTIF($MO79:$MP79,"?*")+$NS79</f>
        <v/>
      </c>
      <c r="OJ79" s="152">
        <f>IF($MF79=0,0,SUMPRODUCT($NZ79:$OE79,INDEX($I$2:$N$8,MAX(1,$MF79),0)))</f>
        <v/>
      </c>
      <c r="OK79" s="152">
        <f>IF($MF79=0,0,$OF79*CEILING($MF79/2,1)+$OG79*$MF79)</f>
        <v/>
      </c>
      <c r="OL79" s="152">
        <f>MIN(2*$MF79,$OK79)</f>
        <v/>
      </c>
      <c r="OM79" s="152">
        <f>MIN($OL79,$OJ79)</f>
        <v/>
      </c>
      <c r="ON79" s="152">
        <f>$OL79-$OM79</f>
        <v/>
      </c>
      <c r="OO79" s="152">
        <f>IF($MF79=0,0,INDEX($P$2:$P$8,MAX(1,$MF79)))</f>
        <v/>
      </c>
      <c r="OP79" s="152">
        <f>$OO79-$OJ79+$OM79</f>
        <v/>
      </c>
      <c r="OQ79" s="152">
        <f>IF($MF79=0,MAX(0,$MT79-IF($OH79&gt;0,1,0)),MAX(0,$OP79))</f>
        <v/>
      </c>
      <c r="OR79" s="152">
        <f>IF($MF79=0,0,(IF(COUNTIF($MK79:$MN79,"Salto")&gt;0,1,0)+IF(COUNTIF($MK79:$MN79,"Queima")&gt;0,1,0)+IF(COUNTIF($MK79:$MN79,"Estilhaço")&gt;0,1,0))*FLOOR($OQ79/2,1))</f>
        <v/>
      </c>
      <c r="OS79" s="152">
        <f>MAX(0,2-SUMPRODUCT($NZ79:$OE79,$I$2:$N$2)+MIN(2,$OF79*1+$OG79*1,SUMPRODUCT($NZ79:$OE79,$I$2:$N$2)))</f>
        <v/>
      </c>
      <c r="OT79" s="152">
        <f>MAX(0,4-SUMPRODUCT($NZ79:$OE79,$I$3:$N$3)+MIN(4,$OF79*1+$OG79*2,SUMPRODUCT($NZ79:$OE79,$I$3:$N$3)))</f>
        <v/>
      </c>
      <c r="OU79" s="152">
        <f>MAX(0,6-SUMPRODUCT($NZ79:$OE79,$I$4:$N$4)+MIN(6,$OF79*2+$OG79*3,SUMPRODUCT($NZ79:$OE79,$I$4:$N$4)))</f>
        <v/>
      </c>
      <c r="OV79" s="152">
        <f>MAX(0,9-SUMPRODUCT($NZ79:$OE79,$I$5:$N$5)+MIN(8,$OF79*2+$OG79*4,SUMPRODUCT($NZ79:$OE79,$I$5:$N$5)))</f>
        <v/>
      </c>
      <c r="OW79" s="152">
        <f>MAX(0,11-SUMPRODUCT($NZ79:$OE79,$I$6:$N$6)+MIN(10,$OF79*3+$OG79*5,SUMPRODUCT($NZ79:$OE79,$I$6:$N$6)))</f>
        <v/>
      </c>
      <c r="OX79" s="152">
        <f>MAX(0,13-SUMPRODUCT($NZ79:$OE79,$I$7:$N$7)+MIN(12,$OF79*3+$OG79*6,SUMPRODUCT($NZ79:$OE79,$I$7:$N$7)))</f>
        <v/>
      </c>
      <c r="OY79" s="152">
        <f>MAX(0,16-SUMPRODUCT($NZ79:$OE79,$I$8:$N$8)+MIN(14,$OF79*4+$OG79*7,SUMPRODUCT($NZ79:$OE79,$I$8:$N$8)))</f>
        <v/>
      </c>
      <c r="OZ79" s="152">
        <f>IF($NT79=2,3*$OS79&amp;" de vida temp.",IF($NT79=3,"sem dano",IF($OS79=0,IF($NT79=1,"sem cura","sem dano"),IF($NT79=1,"cura ","")&amp;$OS79&amp;"d8")))</f>
        <v/>
      </c>
      <c r="PA79" s="152">
        <f>IF($NT79=2,3*$OT79&amp;" de vida temp.",IF($NT79=3,"sem dano",IF($OT79=0,IF($NT79=1,"sem cura","sem dano"),IF($NT79=1,"cura ","")&amp;$OT79&amp;"d8")))</f>
        <v/>
      </c>
      <c r="PB79" s="152">
        <f>IF($NT79=2,3*$OU79&amp;" de vida temp.",IF($NT79=3,"sem dano",IF($OU79=0,IF($NT79=1,"sem cura","sem dano"),IF($NT79=1,"cura ","")&amp;$OU79&amp;"d8")))</f>
        <v/>
      </c>
      <c r="PC79" s="152">
        <f>IF($NT79=2,3*$OV79&amp;" de vida temp.",IF($NT79=3,"sem dano",IF($OV79=0,IF($NT79=1,"sem cura","sem dano"),IF($NT79=1,"cura ","")&amp;$OV79&amp;"d8")))</f>
        <v/>
      </c>
      <c r="PD79" s="152">
        <f>IF($NT79=2,3*$OW79&amp;" de vida temp.",IF($NT79=3,"sem dano",IF($OW79=0,IF($NT79=1,"sem cura","sem dano"),IF($NT79=1,"cura ","")&amp;$OW79&amp;"d8")))</f>
        <v/>
      </c>
      <c r="PE79" s="152">
        <f>IF($NT79=2,3*$OX79&amp;" de vida temp.",IF($NT79=3,"sem dano",IF($OX79=0,IF($NT79=1,"sem cura","sem dano"),IF($NT79=1,"cura ","")&amp;$OX79&amp;"d8")))</f>
        <v/>
      </c>
      <c r="PF79" s="152">
        <f>IF($NT79=2,3*$OY79&amp;" de vida temp.",IF($NT79=3,"sem dano",IF($OY79=0,IF($NT79=1,"sem cura","sem dano"),IF($NT79=1,"cura ","")&amp;$OY79&amp;"d8")))</f>
        <v/>
      </c>
      <c r="PG79" s="152">
        <f>IF($MQ79=0,"",TEXTJOIN(" · ",TRUE,IF($MD79&gt;$MR79,"Este lugar abre no nível "&amp;$MD79,""),IF($MF79&gt;$MS79,"Classe "&amp;$MF79&amp;": o nível "&amp;$MR79&amp;" libera até a "&amp;$MS79,""),IF($NK79=1,"A Forma "&amp;$MH79&amp;" pede "&amp;INDEX($W$2:$W$11,$MW79)&amp;" aberta",""),IF(AND($MF79=0,$MW79&gt;0,IF($MW79=0,0,INDEX($AF$2:$AF$11,$MW79))=0),$MH79&amp;" não existe na Classe 0",""),IF($NL79=1,"Família Fechada: "&amp;$MK79,""),IF($NM79=1,"Família Fechada: "&amp;$ML79,""),IF($NN79=1,"Família Fechada: "&amp;$MM79,""),IF($NO79=1,"Família Fechada: "&amp;$MN79,""),IF(AND($MF79&gt;0,$OH79&gt;INDEX($O$2:$O$8,MAX(1,$MF79))),$OH79&amp;" Melhorias: a Classe "&amp;$MF79&amp;" aceita "&amp;INDEX($O$2:$O$8,MAX(1,$MF79)),""),IF(AND($MF79=0,$OH79&gt;1),"A básica aceita uma Melhoria",""),IF(AND($MF79=0,COUNTIF($NB79:$NE79,"&gt;1")&gt;0),"A básica só aceita Melhoria Leve",""),IF(AND($MF79&gt;0,$OI79&gt;2),$OI79&amp;" Restrições"&amp;IF($NS79=1,", contando a que a Forma "&amp;$MH79&amp;" já traz","")&amp;": o limite é 2",""),IF(AND($MF79=0,COUNTIF($MO79:$MP79,"?*")&gt;1),"A básica aceita uma Restrição Leve",""),IF(AND($MF79=0,COUNTIF($NV79:$NW79,2)&gt;0),"A básica só aceita Restrição Leve",""),IF(AND($MF79&gt;0,$OP79&lt;0),"Orçamento estourado: faltam "&amp;(-$OP79)&amp;IF($OP79&lt;-1," pontos"," ponto"),""),IF(IFERROR(VLOOKUP($MO79,$BC$2:$BG$24,4,FALSE),0)+IFERROR(VLOOKUP($MP79,$BC$2:$BG$24,4,FALSE),0)&gt;1,$NX79&amp;" e "&amp;$NY79&amp;" são as duas de frequência",""),IF(AND((COUNTIF($MK79:$MN79,"Rápido")+COUNTIF($NX79:$NY79,"Rápido"))&gt;0,(COUNTIF($MK79:$MN79,"Atrasar")+COUNTIF($NX79:$NY79,"Atrasar"))&gt;0),"Rápido não entra com Atrasar",""),IF(AND((COUNTIF($MK79:$MN79,"Reação")+COUNTIF($NX79:$NY79,"Reação"))&gt;0,(COUNTIF($MK79:$MN79,"Rápido")+COUNTIF($NX79:$NY79,"Rápido"))&gt;0),"Reação não entra com Rápido",""),IF(AND((COUNTIF($MK79:$MN79,"Reação")+COUNTIF($NX79:$NY79,"Reação"))&gt;0,(COUNTIF($MK79:$MN79,"Armado")+COUNTIF($NX79:$NY79,"Armado"))&gt;0),"Reação não entra com Armado",""),IF(AND((COUNTIF($MK79:$MN79,"Reação")+COUNTIF($NX79:$NY79,"Reação"))&gt;0,(COUNTIF($MK79:$MN79,"Atrasar")+COUNTIF($NX79:$NY79,"Atrasar"))&gt;0),"Reação não entra com Atrasar",""),IF(AND((COUNTIF($MK79:$MN79,"Reação")+COUNTIF($NX79:$NY79,"Reação"))&gt;0,(COUNTIF($MK79:$MN79,"Parado")+COUNTIF($NX79:$NY79,"Parado"))&gt;0),"Reação não entra com Parado",""),IF(AND((COUNTIF($MK79:$MN79,"Atrasar")+COUNTIF($NX79:$NY79,"Atrasar"))&gt;0,(COUNTIF($MK79:$MN79,"Parado")+COUNTIF($NX79:$NY79,"Parado"))&gt;0),"Atrasar não entra com Parado",""),IF(AND((COUNTIF($MK79:$MN79,"Armado")+COUNTIF($NX79:$NY79,"Armado"))&gt;0,(COUNTIF($MK79:$MN79,"Carregar")+COUNTIF($NX79:$NY79,"Carregar"))&gt;0),"Armado não entra com Carregar",""),IF(AND(COUNTIF($NX79:$NY79,"Corpo a Corpo")&gt;0,$NS79=0,OR($MH79="Cone",$MH79="Linha")),"Corpo a Corpo não entra em "&amp;$MH79,""),IF(AND(COUNTIF($NX79:$NY79,"Corpo a Corpo")&gt;0,$NS79=1),"A Forma "&amp;$MH79&amp;" já traz o Corpo a Corpo",""),IF(AND(COUNTIF($NX79:$NY79,"Tudo ou Nada")&gt;0,$NU79=0),"Tudo ou Nada só entra em habilidade de Teste de Resistência",""),IF(AND(COUNTIF($MK79:$MN79,"Inescapável")&gt;0,OR($OH79&gt;1,$OI79&gt;0)),"Inescapável não aceita outra peça",""),IF(AND($MF79&gt;0,$OQ79*IF(COUNTIF($MK79:$MN79,"Remate")&gt;0,1.25,1)+$OR79&gt;4*$MF79),($OQ79*IF(COUNTIF($MK79:$MN79,"Remate")&gt;0,1.25,1)+$OR79)&amp;" dados somando repetições"&amp;IF(COUNTIF($MK79:$MN79,"Remate")&gt;0," e o Remate","")&amp;": o teto da Classe "&amp;$MF79&amp;" é "&amp;4*$MF79,"")))</f>
        <v/>
      </c>
      <c r="PH79" s="152">
        <f>IF($PG79="",0,(LEN($PG79)-LEN(SUBSTITUTE($PG79," · ","")))/3+1)</f>
        <v/>
      </c>
      <c r="PI79" s="152">
        <f>IF($MQ79=0,"",TEXTJOIN(" · ",TRUE,IF($OK79&gt;2*$MF79,"A devolução parou no teto de "&amp;2*$MF79,""),IF($ON79&gt;0,"Devolução perdida: "&amp;$ON79&amp;IF($ON79&gt;1," pontos"," ponto")&amp;" sem peça para pagar",""),IF(AND($NP79&gt;0,AND($MF79&gt;0,$NT79=0),$OQ79=0),"Controle sem dano: uma rodada a mais e CD +2",""),IF(AND($NP79&gt;0,AND($MF79&gt;0,$NT79=0),$OQ79&gt;0,$OQ79&lt;=$MF79),"Controle com saldo até a Classe: uma rodada a mais",""),IF(AND($MF79&gt;0,$NR79&lt;&gt;""),"Efeito de "&amp;$NR79&amp;" pela Classe "&amp;MAX(1,$MF79-1),"")))</f>
        <v/>
      </c>
      <c r="PJ79" s="152">
        <f>IF($PI79="",0,(LEN($PI79)-LEN(SUBSTITUTE($PI79," · ","")))/3+1)</f>
        <v/>
      </c>
      <c r="PK79" s="152">
        <f>IF($MQ79=0,IF($OH79+COUNTIF($MO79:$MP79,"?*")&gt;0,"Dê um nome",""),IF($PH79&gt;0,"⚠ "&amp;$PH79&amp;IF($PH79&gt;1," erros"," erro"),IF($PJ79&gt;0,"! "&amp;$PJ79&amp;IF($PJ79&gt;1," avisos"," aviso"),"Na regra")))</f>
        <v/>
      </c>
      <c r="PL79" s="152">
        <f>IF($MQ79=0,"",IF($PH79+$PJ79=0,"Dentro das regras que a ficha confere",$PG79&amp;IF(AND($PH79&gt;0,$PJ79&gt;0)," · ","")&amp;$PI79))</f>
        <v/>
      </c>
      <c r="PM79" s="152">
        <f>IF($MD79&gt;$MR79,$ME79&amp;" · ABRE NO NÍVEL "&amp;$MD79,$ME79)</f>
        <v/>
      </c>
      <c r="PN79" s="152">
        <f>IF($MQ79=0,"",IF($MF79=0,"Sem PE",3*$MF79&amp;" PE"))</f>
        <v/>
      </c>
      <c r="PO79" s="152">
        <f>IF($MQ79=0,"",IF($MF79=0,"A atuação básica dela",IF(COUNTIF($NX79:$NY79,"Atrasar")&gt;0,"Sua Ação Completa",IF(COUNTIF($MK79:$MN79,"Rápido")&gt;0,"Sua Bônus",IF(COUNTIF($MK79:$MN79,"Reação")&gt;0,"Sua Reação","Sua Padrão")))&amp;" + a básica dela"&amp;IF(COUNTIF($MK79:$MN79,"Reação")&gt;0," e a coletiva","")&amp;IF(COUNTIF($NX79:$NY79,"Carregar")&gt;0," · em dois turnos","")))</f>
        <v/>
      </c>
      <c r="PP79" s="152">
        <f>IF($MJ79&lt;&gt;"",$MJ79,IF($MW79=0,"",INDEX($AA$2:$AA$11,$MW79)))</f>
        <v/>
      </c>
      <c r="PQ79" s="152">
        <f>IF(OR($MQ79=0,$MW79=0),"",IF(COUNTIF($MK79:$MN79,"Inescapável")&gt;0,"Automático",IF($PP79="Ataque",IF($MU79="","Ataque","Ataque "&amp;IF(($MU79+2*IF(COUNTIF($MK79:$MN79,"Precisão")&gt;0,1,0))&gt;=0,"+","−")&amp;ABS(($MU79+2*IF(COUNTIF($MK79:$MN79,"Precisão")&gt;0,1,0))))&amp;IF($NQ79&gt;0," · TR"&amp;IF($MV79="",""," CD "&amp;$MV79),""),IF(LEFT($PP79,2)="TR",$PP79&amp;IF($MV79="",""," · CD "&amp;$MV79)&amp;IF(COUNTIF($MK79:$MN79,"Certeiro")&gt;0," · metade",""),"Sem rolagem"))))</f>
        <v/>
      </c>
      <c r="PR79" s="152">
        <f>IF(OR($MQ79=0,$MW79=0),"",IF($MF79=0,IF(OR($NT79&gt;=1,$OQ79=0),"Sem dano",$OQ79&amp;"d6"&amp;IF($MI79="",""," "&amp;$MI79)),IF(OR($NT79&gt;=1,$OQ79=0),UPPER(LEFT(INDEX($OZ79:$PF79,1,MAX(1,$MF79)),1))&amp;MID(INDEX($OZ79:$PF79,1,MAX(1,$MF79)),2,99),UPPER(LEFT(INDEX($OZ79:$PF79,1,MAX(1,$MF79)),1))&amp;MID(INDEX($OZ79:$PF79,1,MAX(1,$MF79)),2,99)&amp;IF($MI79="",""," "&amp;$MI79)&amp;IF($OR79&gt;0," · +"&amp;$OR79&amp;"d8",""))))</f>
        <v/>
      </c>
      <c r="PS79" s="152">
        <f>COUNTIF($MK79:$MN79,"Longe")+3*COUNTIF($MK79:$MN79,"Muito Longe")</f>
        <v/>
      </c>
      <c r="PT79" s="152">
        <f>COUNTIF($MK79:$MN79,"Maior")+3*COUNTIF($MK79:$MN79,"Muito Maior")</f>
        <v/>
      </c>
      <c r="PU79" s="152">
        <f>IF($MW79=0,0,CHOOSE(1+INDEX($AC$2:$AC$11,$MW79),0,$PS79,$PT79,$PS79+$PT79))</f>
        <v/>
      </c>
      <c r="PV79" s="152">
        <f>IF($MW79=0,0,CHOOSE(1+INDEX($AD$2:$AD$11,$MW79),0,$PS79,$PT79,$PS79+$PT79))</f>
        <v/>
      </c>
      <c r="PW79" s="152">
        <f>IF(OR($MQ79=0,$MW79=0),"",INDEX($AI$2:$AN$41,($MW79-1)*4+IF($MF79=0,1,IF($MF79&lt;=5,2,IF($MF79=6,3,4))),1+MIN(5,$PU79))&amp;INDEX($AO$2:$AT$41,($MW79-1)*4+IF($MF79=0,1,IF($MF79&lt;=5,2,IF($MF79=6,3,4))),1+MIN(5,$PV79))&amp;IF(INDEX($AE$2:$AE$11,$MW79)=1,IF(COUNTIF($MK79:$MN79,"Mais Um")&gt;0," · +"&amp;COUNTIF($MK79:$MN79,"Mais Um")&amp;IF(COUNTIF($MK79:$MN79,"Mais Um")&gt;1," alvos"," alvo"),"")&amp;IF(COUNTIF($MK79:$MN79,"Rajada")&gt;0,IF($MF79=0," · 1 tiro"," · "&amp;(MAX(1,$MF79-1)+1)&amp;" tiros"),""),""))</f>
        <v/>
      </c>
      <c r="PX79" s="152">
        <f>IF($MQ79=0,"",IF($MF79=0,$MT79&amp;"d6"&amp;IF($OH79&gt;0," − 1 = "&amp;$OQ79&amp;"d6"," da básica do nível "&amp;$MR79),$OO79&amp;" − "&amp;$OJ79&amp;" + "&amp;$OM79&amp;" = "&amp;$OP79&amp;" · teto "&amp;4*$MF79&amp;"d8"&amp;IF($NS79=1," · a Forma devolve "&amp;$MF79,"")&amp;IF($ON79&gt;0," · perde "&amp;$ON79,"")))</f>
        <v/>
      </c>
      <c r="PY79" s="152">
        <f>IF($MQ79=0,"",IF($MF79=0,"A básica não amplia: os dados dela sobem com o nível",IF($MF79&gt;=$MS79,"Já está na maior Classe que o nível liberou",TEXTJOIN(" · ",TRUE,IF(AND(2&gt;$MF79,2&lt;=$MS79),"2 → "&amp;$PA79&amp;", 6 PE",""),IF(AND(3&gt;$MF79,3&lt;=$MS79),"3 → "&amp;$PB79&amp;", 9 PE",""),IF(AND(4&gt;$MF79,4&lt;=$MS79),"4 → "&amp;$PC79&amp;", 12 PE",""),IF(AND(5&gt;$MF79,5&lt;=$MS79),"5 → "&amp;$PD79&amp;", 15 PE",""),IF(AND(6&gt;$MF79,6&lt;=$MS79),"6 → "&amp;$PE79&amp;", 18 PE",""),IF(AND(7&gt;$MF79,7&lt;=$MS79),"7 → "&amp;$PF79&amp;", 21 PE","")))))</f>
        <v/>
      </c>
      <c r="PZ79" s="152">
        <f>IF(OR($MQ79=0,$NB79=0),"",IF($MF79=0,"−1 dado","−"&amp;INDEX($I$2:$N$8,MAX(1,$MF79),MAX(1,$NG79))&amp;" · "&amp;CHOOSE(MAX(1,$NG79),"Leve","Média","Pesada","Leve · Livre","Média · Livre","Pesada · Livre")))</f>
        <v/>
      </c>
      <c r="QA79" s="152">
        <f>IF(OR($MQ79=0,$NC79=0),"",IF($MF79=0,"−1 dado","−"&amp;INDEX($I$2:$N$8,MAX(1,$MF79),MAX(1,$NH79))&amp;" · "&amp;CHOOSE(MAX(1,$NH79),"Leve","Média","Pesada","Leve · Livre","Média · Livre","Pesada · Livre")))</f>
        <v/>
      </c>
      <c r="QB79" s="152">
        <f>IF(OR($MQ79=0,$ND79=0),"",IF($MF79=0,"−1 dado","−"&amp;INDEX($I$2:$N$8,MAX(1,$MF79),MAX(1,$NI79))&amp;" · "&amp;CHOOSE(MAX(1,$NI79),"Leve","Média","Pesada","Leve · Livre","Média · Livre","Pesada · Livre")))</f>
        <v/>
      </c>
      <c r="QC79" s="152">
        <f>IF(OR($MQ79=0,$NE79=0),"",IF($MF79=0,"−1 dado","−"&amp;INDEX($I$2:$N$8,MAX(1,$MF79),MAX(1,$NJ79))&amp;" · "&amp;CHOOSE(MAX(1,$NJ79),"Leve","Média","Pesada","Leve · Livre","Média · Livre","Pesada · Livre")))</f>
        <v/>
      </c>
      <c r="QD79" s="152">
        <f>IF(OR($MQ79=0,$MO79=""),"",IF($MF79=0,"não devolve","+"&amp;IF($NV79=1,CEILING($MF79/2,1),$MF79)))</f>
        <v/>
      </c>
      <c r="QE79" s="152">
        <f>IF(OR($MQ79=0,$MP79=""),"",IF($MF79=0,"não devolve","+"&amp;IF($NW79=1,CEILING($MF79/2,1),$MF79)))</f>
        <v/>
      </c>
    </row>
    <row r="80">
      <c r="AV80" s="150" t="inlineStr">
        <is>
          <t>Junto</t>
        </is>
      </c>
      <c r="AW80" s="150" t="inlineStr">
        <is>
          <t>Amparo</t>
        </is>
      </c>
      <c r="AX80" s="152" t="n">
        <v>1</v>
      </c>
      <c r="AY80" s="152" t="n">
        <v>0</v>
      </c>
      <c r="AZ80" s="152" t="n">
        <v>0</v>
      </c>
      <c r="BA80" s="152" t="n">
        <v>0</v>
      </c>
      <c r="JG80" s="152">
        <f>IF(OR($AW80="",COUNTIF($EF$2:$EJ$2,$AW80)&gt;0),$AV80,"")</f>
        <v/>
      </c>
      <c r="JH80" s="152">
        <f>IF(AND($AX80=1,OR($AW80="",COUNTIF($EF$2:$EJ$2,$AW80)&gt;0)),$AV80,"")</f>
        <v/>
      </c>
      <c r="JM80" s="152">
        <f>IF(OR($AW80="",COUNTIF($EF$3:$EJ$3,$AW80)&gt;0),$AV80,"")</f>
        <v/>
      </c>
      <c r="JN80" s="152">
        <f>IF(AND($AX80=1,OR($AW80="",COUNTIF($EF$3:$EJ$3,$AW80)&gt;0)),$AV80,"")</f>
        <v/>
      </c>
      <c r="JS80" s="152">
        <f>IF(OR($AW80="",COUNTIF($EF$4:$EJ$4,$AW80)&gt;0),$AV80,"")</f>
        <v/>
      </c>
      <c r="JT80" s="152">
        <f>IF(AND($AX80=1,OR($AW80="",COUNTIF($EF$4:$EJ$4,$AW80)&gt;0)),$AV80,"")</f>
        <v/>
      </c>
      <c r="JY80" s="152">
        <f>IF(OR($AW80="",COUNTIF($EF$5:$EJ$5,$AW80)&gt;0),$AV80,"")</f>
        <v/>
      </c>
      <c r="JZ80" s="152">
        <f>IF(AND($AX80=1,OR($AW80="",COUNTIF($EF$5:$EJ$5,$AW80)&gt;0)),$AV80,"")</f>
        <v/>
      </c>
      <c r="KE80" s="152">
        <f>IF(OR($AW80="",COUNTIF($EF$6:$EJ$6,$AW80)&gt;0),$AV80,"")</f>
        <v/>
      </c>
      <c r="KF80" s="152">
        <f>IF(AND($AX80=1,OR($AW80="",COUNTIF($EF$6:$EJ$6,$AW80)&gt;0)),$AV80,"")</f>
        <v/>
      </c>
      <c r="KK80" s="152">
        <f>IF(OR($AW80="",COUNTIF($EF$7:$EJ$7,$AW80)&gt;0),$AV80,"")</f>
        <v/>
      </c>
      <c r="KL80" s="152">
        <f>IF(AND($AX80=1,OR($AW80="",COUNTIF($EF$7:$EJ$7,$AW80)&gt;0)),$AV80,"")</f>
        <v/>
      </c>
      <c r="KQ80" s="152">
        <f>IF(OR($AW80="",COUNTIF($EF$8:$EJ$8,$AW80)&gt;0),$AV80,"")</f>
        <v/>
      </c>
      <c r="KR80" s="152">
        <f>IF(AND($AX80=1,OR($AW80="",COUNTIF($EF$8:$EJ$8,$AW80)&gt;0)),$AV80,"")</f>
        <v/>
      </c>
      <c r="KW80" s="152">
        <f>IF(OR($AW80="",COUNTIF($EF$9:$EJ$9,$AW80)&gt;0),$AV80,"")</f>
        <v/>
      </c>
      <c r="KX80" s="152">
        <f>IF(AND($AX80=1,OR($AW80="",COUNTIF($EF$9:$EJ$9,$AW80)&gt;0)),$AV80,"")</f>
        <v/>
      </c>
      <c r="LC80" s="152">
        <f>IF(OR($AW80="",COUNTIF($EF$10:$EJ$10,$AW80)&gt;0),$AV80,"")</f>
        <v/>
      </c>
      <c r="LD80" s="152">
        <f>IF(AND($AX80=1,OR($AW80="",COUNTIF($EF$10:$EJ$10,$AW80)&gt;0)),$AV80,"")</f>
        <v/>
      </c>
      <c r="LI80" s="152">
        <f>IF(OR($AW80="",COUNTIF($EF$11:$EJ$11,$AW80)&gt;0),$AV80,"")</f>
        <v/>
      </c>
      <c r="LJ80" s="152">
        <f>IF(AND($AX80=1,OR($AW80="",COUNTIF($EF$11:$EJ$11,$AW80)&gt;0)),$AV80,"")</f>
        <v/>
      </c>
      <c r="LO80" s="152">
        <f>IF(OR($AW80="",COUNTIF($EF$12:$EJ$12,$AW80)&gt;0),$AV80,"")</f>
        <v/>
      </c>
      <c r="LP80" s="152">
        <f>IF(AND($AX80=1,OR($AW80="",COUNTIF($EF$12:$EJ$12,$AW80)&gt;0)),$AV80,"")</f>
        <v/>
      </c>
      <c r="LU80" s="152">
        <f>IF(OR($AW80="",COUNTIF($EF$13:$EJ$13,$AW80)&gt;0),$AV80,"")</f>
        <v/>
      </c>
      <c r="LV80" s="152">
        <f>IF(AND($AX80=1,OR($AW80="",COUNTIF($EF$13:$EJ$13,$AW80)&gt;0)),$AV80,"")</f>
        <v/>
      </c>
      <c r="MA80" s="150" t="inlineStr">
        <is>
          <t>Ficha 7 · Básica 1</t>
        </is>
      </c>
      <c r="MB80" s="152" t="n">
        <v>7</v>
      </c>
      <c r="MC80" s="152" t="n">
        <v>0</v>
      </c>
      <c r="MD80" s="152" t="n">
        <v>1</v>
      </c>
      <c r="ME80" s="150" t="inlineStr">
        <is>
          <t>BÁSICA 1</t>
        </is>
      </c>
      <c r="MF80" s="152" t="n">
        <v>0</v>
      </c>
      <c r="MG80" s="152">
        <f>'INVOCAÇÕES'!$AC$58&amp;""</f>
        <v/>
      </c>
      <c r="MH80" s="152">
        <f>'INVOCAÇÕES'!$AB$63&amp;""</f>
        <v/>
      </c>
      <c r="MI80" s="152">
        <f>'INVOCAÇÕES'!$AB$64&amp;""</f>
        <v/>
      </c>
      <c r="MJ80" s="152">
        <f>'INVOCAÇÕES'!$AD$64&amp;""</f>
        <v/>
      </c>
      <c r="MK80" s="152">
        <f>'INVOCAÇÕES'!$AC$67&amp;""</f>
        <v/>
      </c>
      <c r="ML80" s="152">
        <f>'INVOCAÇÕES'!$AC$68&amp;""</f>
        <v/>
      </c>
      <c r="MM80" s="152">
        <f>'INVOCAÇÕES'!$AC$69&amp;""</f>
        <v/>
      </c>
      <c r="MN80" s="152">
        <f>'INVOCAÇÕES'!$AC$70&amp;""</f>
        <v/>
      </c>
      <c r="MO80" s="152">
        <f>'INVOCAÇÕES'!$AC$71&amp;""</f>
        <v/>
      </c>
      <c r="MP80" s="152">
        <f>'INVOCAÇÕES'!$AC$72&amp;""</f>
        <v/>
      </c>
      <c r="MQ80" s="152">
        <f>IF($MG80&lt;&gt;"",1,0)</f>
        <v/>
      </c>
      <c r="MR80" s="152">
        <f>INDEX($FI$2:$FI$13,$MB80)</f>
        <v/>
      </c>
      <c r="MS80" s="152">
        <f>INDEX($FJ$2:$FJ$13,$MB80)</f>
        <v/>
      </c>
      <c r="MT80" s="152">
        <f>INDEX($FK$2:$FK$13,$MB80)</f>
        <v/>
      </c>
      <c r="MU80" s="152">
        <f>INDEX($FV$2:$FV$13,$MB80)</f>
        <v/>
      </c>
      <c r="MV80" s="152">
        <f>INDEX($FW$2:$FW$13,$MB80)</f>
        <v/>
      </c>
      <c r="MW80" s="152">
        <f>IFERROR(MATCH($MH80,$V$2:$V$11,0),0)</f>
        <v/>
      </c>
      <c r="MX80" s="152">
        <f>IFERROR(VLOOKUP($MK80,$AV$2:$BA$84,2,FALSE),"")</f>
        <v/>
      </c>
      <c r="MY80" s="152">
        <f>IFERROR(VLOOKUP($ML80,$AV$2:$BA$84,2,FALSE),"")</f>
        <v/>
      </c>
      <c r="MZ80" s="152">
        <f>IFERROR(VLOOKUP($MM80,$AV$2:$BA$84,2,FALSE),"")</f>
        <v/>
      </c>
      <c r="NA80" s="152">
        <f>IFERROR(VLOOKUP($MN80,$AV$2:$BA$84,2,FALSE),"")</f>
        <v/>
      </c>
      <c r="NB80" s="152">
        <f>IFERROR(VLOOKUP($MK80,$AV$2:$BA$84,3,FALSE),0)</f>
        <v/>
      </c>
      <c r="NC80" s="152">
        <f>IFERROR(VLOOKUP($ML80,$AV$2:$BA$84,3,FALSE),0)</f>
        <v/>
      </c>
      <c r="ND80" s="152">
        <f>IFERROR(VLOOKUP($MM80,$AV$2:$BA$84,3,FALSE),0)</f>
        <v/>
      </c>
      <c r="NE80" s="152">
        <f>IFERROR(VLOOKUP($MN80,$AV$2:$BA$84,3,FALSE),0)</f>
        <v/>
      </c>
      <c r="NF80" s="152">
        <f>IF($MF80=0,0,IF($MW80=0,0,INDEX($X$2:$X$11,$MW80)))</f>
        <v/>
      </c>
      <c r="NG80" s="152">
        <f>IF(OR($NB80=0,$MF80=0),0,$NB80+3*IF(AND($MX80&lt;&gt;"",OR($MX80=INDEX($EF$2:$EF$13,$MB80),$MX80=INDEX($EG$2:$EG$13,$MB80))),1,0))</f>
        <v/>
      </c>
      <c r="NH80" s="152">
        <f>IF(OR($NC80=0,$MF80=0),0,$NC80+3*IF(AND($MY80&lt;&gt;"",OR($MY80=INDEX($EF$2:$EF$13,$MB80),$MY80=INDEX($EG$2:$EG$13,$MB80))),1,0))</f>
        <v/>
      </c>
      <c r="NI80" s="152">
        <f>IF(OR($ND80=0,$MF80=0),0,$ND80+3*IF(AND($MZ80&lt;&gt;"",OR($MZ80=INDEX($EF$2:$EF$13,$MB80),$MZ80=INDEX($EG$2:$EG$13,$MB80))),1,0))</f>
        <v/>
      </c>
      <c r="NJ80" s="152">
        <f>IF(OR($NE80=0,$MF80=0),0,$NE80+3*IF(AND($NA80&lt;&gt;"",OR($NA80=INDEX($EF$2:$EF$13,$MB80),$NA80=INDEX($EG$2:$EG$13,$MB80))),1,0))</f>
        <v/>
      </c>
      <c r="NK80" s="152">
        <f>IF($MW80=0,0,IF(INDEX($W$2:$W$11,$MW80)="",0,IF(COUNTIF(INDEX($EF$2:$EJ$13,$MB80,0),INDEX($W$2:$W$11,$MW80))=0,1,0)))</f>
        <v/>
      </c>
      <c r="NL80" s="152">
        <f>IF(OR($NB80=0,$MX80=""),0,IF(COUNTIF(INDEX($EF$2:$EJ$13,$MB80,0),$MX80)=0,1,0))</f>
        <v/>
      </c>
      <c r="NM80" s="152">
        <f>IF(OR($NC80=0,$MY80=""),0,IF(COUNTIF(INDEX($EF$2:$EJ$13,$MB80,0),$MY80)=0,1,0))</f>
        <v/>
      </c>
      <c r="NN80" s="152">
        <f>IF(OR($ND80=0,$MZ80=""),0,IF(COUNTIF(INDEX($EF$2:$EJ$13,$MB80,0),$MZ80)=0,1,0))</f>
        <v/>
      </c>
      <c r="NO80" s="152">
        <f>IF(OR($NE80=0,$NA80=""),0,IF(COUNTIF(INDEX($EF$2:$EJ$13,$MB80,0),$NA80)=0,1,0))</f>
        <v/>
      </c>
      <c r="NP80" s="152">
        <f>IFERROR(VLOOKUP($MK80,$AV$2:$BA$84,4,FALSE),0)+IFERROR(VLOOKUP($ML80,$AV$2:$BA$84,4,FALSE),0)+IFERROR(VLOOKUP($MM80,$AV$2:$BA$84,4,FALSE),0)+IFERROR(VLOOKUP($MN80,$AV$2:$BA$84,4,FALSE),0)</f>
        <v/>
      </c>
      <c r="NQ80" s="152">
        <f>IFERROR(VLOOKUP($MK80,$AV$2:$BA$84,6,FALSE),0)+IFERROR(VLOOKUP($ML80,$AV$2:$BA$84,6,FALSE),0)+IFERROR(VLOOKUP($MM80,$AV$2:$BA$84,6,FALSE),0)+IFERROR(VLOOKUP($MN80,$AV$2:$BA$84,6,FALSE),0)</f>
        <v/>
      </c>
      <c r="NR80" s="152">
        <f>TEXTJOIN(", ",TRUE,IF(IFERROR(VLOOKUP($MK80,$AV$2:$BA$84,5,FALSE),0)=1,$MK80,""),IF(IFERROR(VLOOKUP($ML80,$AV$2:$BA$84,5,FALSE),0)=1,$ML80,""),IF(IFERROR(VLOOKUP($MM80,$AV$2:$BA$84,5,FALSE),0)=1,$MM80,""),IF(IFERROR(VLOOKUP($MN80,$AV$2:$BA$84,5,FALSE),0)=1,$MN80,""))</f>
        <v/>
      </c>
      <c r="NS80" s="152">
        <f>IF($MW80=0,0,INDEX($Y$2:$Y$11,$MW80))</f>
        <v/>
      </c>
      <c r="NT80" s="152">
        <f>IF($MW80=0,0,INDEX($Z$2:$Z$11,$MW80))</f>
        <v/>
      </c>
      <c r="NU80" s="152">
        <f>IF($MW80=0,0,INDEX($AB$2:$AB$11,$MW80))</f>
        <v/>
      </c>
      <c r="NV80" s="152">
        <f>IFERROR(VLOOKUP($MO80,$BC$2:$BG$24,3,FALSE),0)</f>
        <v/>
      </c>
      <c r="NW80" s="152">
        <f>IFERROR(VLOOKUP($MP80,$BC$2:$BG$24,3,FALSE),0)</f>
        <v/>
      </c>
      <c r="NX80" s="152">
        <f>IFERROR(VLOOKUP($MO80,$BC$2:$BG$24,2,FALSE),"")</f>
        <v/>
      </c>
      <c r="NY80" s="152">
        <f>IFERROR(VLOOKUP($MP80,$BC$2:$BG$24,2,FALSE),"")</f>
        <v/>
      </c>
      <c r="NZ80" s="152">
        <f>COUNTIF($NF80:$NJ80,1)</f>
        <v/>
      </c>
      <c r="OA80" s="152">
        <f>COUNTIF($NF80:$NJ80,2)</f>
        <v/>
      </c>
      <c r="OB80" s="152">
        <f>COUNTIF($NF80:$NJ80,3)</f>
        <v/>
      </c>
      <c r="OC80" s="152">
        <f>COUNTIF($NF80:$NJ80,4)</f>
        <v/>
      </c>
      <c r="OD80" s="152">
        <f>COUNTIF($NF80:$NJ80,5)</f>
        <v/>
      </c>
      <c r="OE80" s="152">
        <f>COUNTIF($NF80:$NJ80,6)</f>
        <v/>
      </c>
      <c r="OF80" s="152">
        <f>COUNTIF($NV80:$NW80,1)</f>
        <v/>
      </c>
      <c r="OG80" s="152">
        <f>COUNTIF($NV80:$NW80,2)+$NS80</f>
        <v/>
      </c>
      <c r="OH80" s="152">
        <f>COUNTIF($MK80:$MN80,"?*")</f>
        <v/>
      </c>
      <c r="OI80" s="152">
        <f>COUNTIF($MO80:$MP80,"?*")+$NS80</f>
        <v/>
      </c>
      <c r="OJ80" s="152">
        <f>IF($MF80=0,0,SUMPRODUCT($NZ80:$OE80,INDEX($I$2:$N$8,MAX(1,$MF80),0)))</f>
        <v/>
      </c>
      <c r="OK80" s="152">
        <f>IF($MF80=0,0,$OF80*CEILING($MF80/2,1)+$OG80*$MF80)</f>
        <v/>
      </c>
      <c r="OL80" s="152">
        <f>MIN(2*$MF80,$OK80)</f>
        <v/>
      </c>
      <c r="OM80" s="152">
        <f>MIN($OL80,$OJ80)</f>
        <v/>
      </c>
      <c r="ON80" s="152">
        <f>$OL80-$OM80</f>
        <v/>
      </c>
      <c r="OO80" s="152">
        <f>IF($MF80=0,0,INDEX($P$2:$P$8,MAX(1,$MF80)))</f>
        <v/>
      </c>
      <c r="OP80" s="152">
        <f>$OO80-$OJ80+$OM80</f>
        <v/>
      </c>
      <c r="OQ80" s="152">
        <f>IF($MF80=0,MAX(0,$MT80-IF($OH80&gt;0,1,0)),MAX(0,$OP80))</f>
        <v/>
      </c>
      <c r="OR80" s="152">
        <f>IF($MF80=0,0,(IF(COUNTIF($MK80:$MN80,"Salto")&gt;0,1,0)+IF(COUNTIF($MK80:$MN80,"Queima")&gt;0,1,0)+IF(COUNTIF($MK80:$MN80,"Estilhaço")&gt;0,1,0))*FLOOR($OQ80/2,1))</f>
        <v/>
      </c>
      <c r="OS80" s="152">
        <f>MAX(0,2-SUMPRODUCT($NZ80:$OE80,$I$2:$N$2)+MIN(2,$OF80*1+$OG80*1,SUMPRODUCT($NZ80:$OE80,$I$2:$N$2)))</f>
        <v/>
      </c>
      <c r="OT80" s="152">
        <f>MAX(0,4-SUMPRODUCT($NZ80:$OE80,$I$3:$N$3)+MIN(4,$OF80*1+$OG80*2,SUMPRODUCT($NZ80:$OE80,$I$3:$N$3)))</f>
        <v/>
      </c>
      <c r="OU80" s="152">
        <f>MAX(0,6-SUMPRODUCT($NZ80:$OE80,$I$4:$N$4)+MIN(6,$OF80*2+$OG80*3,SUMPRODUCT($NZ80:$OE80,$I$4:$N$4)))</f>
        <v/>
      </c>
      <c r="OV80" s="152">
        <f>MAX(0,9-SUMPRODUCT($NZ80:$OE80,$I$5:$N$5)+MIN(8,$OF80*2+$OG80*4,SUMPRODUCT($NZ80:$OE80,$I$5:$N$5)))</f>
        <v/>
      </c>
      <c r="OW80" s="152">
        <f>MAX(0,11-SUMPRODUCT($NZ80:$OE80,$I$6:$N$6)+MIN(10,$OF80*3+$OG80*5,SUMPRODUCT($NZ80:$OE80,$I$6:$N$6)))</f>
        <v/>
      </c>
      <c r="OX80" s="152">
        <f>MAX(0,13-SUMPRODUCT($NZ80:$OE80,$I$7:$N$7)+MIN(12,$OF80*3+$OG80*6,SUMPRODUCT($NZ80:$OE80,$I$7:$N$7)))</f>
        <v/>
      </c>
      <c r="OY80" s="152">
        <f>MAX(0,16-SUMPRODUCT($NZ80:$OE80,$I$8:$N$8)+MIN(14,$OF80*4+$OG80*7,SUMPRODUCT($NZ80:$OE80,$I$8:$N$8)))</f>
        <v/>
      </c>
      <c r="OZ80" s="152">
        <f>IF($NT80=2,3*$OS80&amp;" de vida temp.",IF($NT80=3,"sem dano",IF($OS80=0,IF($NT80=1,"sem cura","sem dano"),IF($NT80=1,"cura ","")&amp;$OS80&amp;"d8")))</f>
        <v/>
      </c>
      <c r="PA80" s="152">
        <f>IF($NT80=2,3*$OT80&amp;" de vida temp.",IF($NT80=3,"sem dano",IF($OT80=0,IF($NT80=1,"sem cura","sem dano"),IF($NT80=1,"cura ","")&amp;$OT80&amp;"d8")))</f>
        <v/>
      </c>
      <c r="PB80" s="152">
        <f>IF($NT80=2,3*$OU80&amp;" de vida temp.",IF($NT80=3,"sem dano",IF($OU80=0,IF($NT80=1,"sem cura","sem dano"),IF($NT80=1,"cura ","")&amp;$OU80&amp;"d8")))</f>
        <v/>
      </c>
      <c r="PC80" s="152">
        <f>IF($NT80=2,3*$OV80&amp;" de vida temp.",IF($NT80=3,"sem dano",IF($OV80=0,IF($NT80=1,"sem cura","sem dano"),IF($NT80=1,"cura ","")&amp;$OV80&amp;"d8")))</f>
        <v/>
      </c>
      <c r="PD80" s="152">
        <f>IF($NT80=2,3*$OW80&amp;" de vida temp.",IF($NT80=3,"sem dano",IF($OW80=0,IF($NT80=1,"sem cura","sem dano"),IF($NT80=1,"cura ","")&amp;$OW80&amp;"d8")))</f>
        <v/>
      </c>
      <c r="PE80" s="152">
        <f>IF($NT80=2,3*$OX80&amp;" de vida temp.",IF($NT80=3,"sem dano",IF($OX80=0,IF($NT80=1,"sem cura","sem dano"),IF($NT80=1,"cura ","")&amp;$OX80&amp;"d8")))</f>
        <v/>
      </c>
      <c r="PF80" s="152">
        <f>IF($NT80=2,3*$OY80&amp;" de vida temp.",IF($NT80=3,"sem dano",IF($OY80=0,IF($NT80=1,"sem cura","sem dano"),IF($NT80=1,"cura ","")&amp;$OY80&amp;"d8")))</f>
        <v/>
      </c>
      <c r="PG80" s="152">
        <f>IF($MQ80=0,"",TEXTJOIN(" · ",TRUE,IF($MD80&gt;$MR80,"Este lugar abre no nível "&amp;$MD80,""),IF($MF80&gt;$MS80,"Classe "&amp;$MF80&amp;": o nível "&amp;$MR80&amp;" libera até a "&amp;$MS80,""),IF($NK80=1,"A Forma "&amp;$MH80&amp;" pede "&amp;INDEX($W$2:$W$11,$MW80)&amp;" aberta",""),IF(AND($MF80=0,$MW80&gt;0,IF($MW80=0,0,INDEX($AF$2:$AF$11,$MW80))=0),$MH80&amp;" não existe na Classe 0",""),IF($NL80=1,"Família Fechada: "&amp;$MK80,""),IF($NM80=1,"Família Fechada: "&amp;$ML80,""),IF($NN80=1,"Família Fechada: "&amp;$MM80,""),IF($NO80=1,"Família Fechada: "&amp;$MN80,""),IF(AND($MF80&gt;0,$OH80&gt;INDEX($O$2:$O$8,MAX(1,$MF80))),$OH80&amp;" Melhorias: a Classe "&amp;$MF80&amp;" aceita "&amp;INDEX($O$2:$O$8,MAX(1,$MF80)),""),IF(AND($MF80=0,$OH80&gt;1),"A básica aceita uma Melhoria",""),IF(AND($MF80=0,COUNTIF($NB80:$NE80,"&gt;1")&gt;0),"A básica só aceita Melhoria Leve",""),IF(AND($MF80&gt;0,$OI80&gt;2),$OI80&amp;" Restrições"&amp;IF($NS80=1,", contando a que a Forma "&amp;$MH80&amp;" já traz","")&amp;": o limite é 2",""),IF(AND($MF80=0,COUNTIF($MO80:$MP80,"?*")&gt;1),"A básica aceita uma Restrição Leve",""),IF(AND($MF80=0,COUNTIF($NV80:$NW80,2)&gt;0),"A básica só aceita Restrição Leve",""),IF(AND($MF80&gt;0,$OP80&lt;0),"Orçamento estourado: faltam "&amp;(-$OP80)&amp;IF($OP80&lt;-1," pontos"," ponto"),""),IF(IFERROR(VLOOKUP($MO80,$BC$2:$BG$24,4,FALSE),0)+IFERROR(VLOOKUP($MP80,$BC$2:$BG$24,4,FALSE),0)&gt;1,$NX80&amp;" e "&amp;$NY80&amp;" são as duas de frequência",""),IF(AND((COUNTIF($MK80:$MN80,"Rápido")+COUNTIF($NX80:$NY80,"Rápido"))&gt;0,(COUNTIF($MK80:$MN80,"Atrasar")+COUNTIF($NX80:$NY80,"Atrasar"))&gt;0),"Rápido não entra com Atrasar",""),IF(AND((COUNTIF($MK80:$MN80,"Reação")+COUNTIF($NX80:$NY80,"Reação"))&gt;0,(COUNTIF($MK80:$MN80,"Rápido")+COUNTIF($NX80:$NY80,"Rápido"))&gt;0),"Reação não entra com Rápido",""),IF(AND((COUNTIF($MK80:$MN80,"Reação")+COUNTIF($NX80:$NY80,"Reação"))&gt;0,(COUNTIF($MK80:$MN80,"Armado")+COUNTIF($NX80:$NY80,"Armado"))&gt;0),"Reação não entra com Armado",""),IF(AND((COUNTIF($MK80:$MN80,"Reação")+COUNTIF($NX80:$NY80,"Reação"))&gt;0,(COUNTIF($MK80:$MN80,"Atrasar")+COUNTIF($NX80:$NY80,"Atrasar"))&gt;0),"Reação não entra com Atrasar",""),IF(AND((COUNTIF($MK80:$MN80,"Reação")+COUNTIF($NX80:$NY80,"Reação"))&gt;0,(COUNTIF($MK80:$MN80,"Parado")+COUNTIF($NX80:$NY80,"Parado"))&gt;0),"Reação não entra com Parado",""),IF(AND((COUNTIF($MK80:$MN80,"Atrasar")+COUNTIF($NX80:$NY80,"Atrasar"))&gt;0,(COUNTIF($MK80:$MN80,"Parado")+COUNTIF($NX80:$NY80,"Parado"))&gt;0),"Atrasar não entra com Parado",""),IF(AND((COUNTIF($MK80:$MN80,"Armado")+COUNTIF($NX80:$NY80,"Armado"))&gt;0,(COUNTIF($MK80:$MN80,"Carregar")+COUNTIF($NX80:$NY80,"Carregar"))&gt;0),"Armado não entra com Carregar",""),IF(AND(COUNTIF($NX80:$NY80,"Corpo a Corpo")&gt;0,$NS80=0,OR($MH80="Cone",$MH80="Linha")),"Corpo a Corpo não entra em "&amp;$MH80,""),IF(AND(COUNTIF($NX80:$NY80,"Corpo a Corpo")&gt;0,$NS80=1),"A Forma "&amp;$MH80&amp;" já traz o Corpo a Corpo",""),IF(AND(COUNTIF($NX80:$NY80,"Tudo ou Nada")&gt;0,$NU80=0),"Tudo ou Nada só entra em habilidade de Teste de Resistência",""),IF(AND(COUNTIF($MK80:$MN80,"Inescapável")&gt;0,OR($OH80&gt;1,$OI80&gt;0)),"Inescapável não aceita outra peça",""),IF(AND($MF80&gt;0,$OQ80*IF(COUNTIF($MK80:$MN80,"Remate")&gt;0,1.25,1)+$OR80&gt;4*$MF80),($OQ80*IF(COUNTIF($MK80:$MN80,"Remate")&gt;0,1.25,1)+$OR80)&amp;" dados somando repetições"&amp;IF(COUNTIF($MK80:$MN80,"Remate")&gt;0," e o Remate","")&amp;": o teto da Classe "&amp;$MF80&amp;" é "&amp;4*$MF80,"")))</f>
        <v/>
      </c>
      <c r="PH80" s="152">
        <f>IF($PG80="",0,(LEN($PG80)-LEN(SUBSTITUTE($PG80," · ","")))/3+1)</f>
        <v/>
      </c>
      <c r="PI80" s="152">
        <f>IF($MQ80=0,"",TEXTJOIN(" · ",TRUE,IF($OK80&gt;2*$MF80,"A devolução parou no teto de "&amp;2*$MF80,""),IF($ON80&gt;0,"Devolução perdida: "&amp;$ON80&amp;IF($ON80&gt;1," pontos"," ponto")&amp;" sem peça para pagar",""),IF(AND($NP80&gt;0,AND($MF80&gt;0,$NT80=0),$OQ80=0),"Controle sem dano: uma rodada a mais e CD +2",""),IF(AND($NP80&gt;0,AND($MF80&gt;0,$NT80=0),$OQ80&gt;0,$OQ80&lt;=$MF80),"Controle com saldo até a Classe: uma rodada a mais",""),IF(AND($MF80&gt;0,$NR80&lt;&gt;""),"Efeito de "&amp;$NR80&amp;" pela Classe "&amp;MAX(1,$MF80-1),"")))</f>
        <v/>
      </c>
      <c r="PJ80" s="152">
        <f>IF($PI80="",0,(LEN($PI80)-LEN(SUBSTITUTE($PI80," · ","")))/3+1)</f>
        <v/>
      </c>
      <c r="PK80" s="152">
        <f>IF($MQ80=0,IF($OH80+COUNTIF($MO80:$MP80,"?*")&gt;0,"Dê um nome",""),IF($PH80&gt;0,"⚠ "&amp;$PH80&amp;IF($PH80&gt;1," erros"," erro"),IF($PJ80&gt;0,"! "&amp;$PJ80&amp;IF($PJ80&gt;1," avisos"," aviso"),"Na regra")))</f>
        <v/>
      </c>
      <c r="PL80" s="152">
        <f>IF($MQ80=0,"",IF($PH80+$PJ80=0,"Dentro das regras que a ficha confere",$PG80&amp;IF(AND($PH80&gt;0,$PJ80&gt;0)," · ","")&amp;$PI80))</f>
        <v/>
      </c>
      <c r="PM80" s="152">
        <f>IF($MD80&gt;$MR80,$ME80&amp;" · ABRE NO NÍVEL "&amp;$MD80,$ME80)</f>
        <v/>
      </c>
      <c r="PN80" s="152">
        <f>IF($MQ80=0,"",IF($MF80=0,"Sem PE",3*$MF80&amp;" PE"))</f>
        <v/>
      </c>
      <c r="PO80" s="152">
        <f>IF($MQ80=0,"",IF($MF80=0,"A atuação básica dela",IF(COUNTIF($NX80:$NY80,"Atrasar")&gt;0,"Sua Ação Completa",IF(COUNTIF($MK80:$MN80,"Rápido")&gt;0,"Sua Bônus",IF(COUNTIF($MK80:$MN80,"Reação")&gt;0,"Sua Reação","Sua Padrão")))&amp;" + a básica dela"&amp;IF(COUNTIF($MK80:$MN80,"Reação")&gt;0," e a coletiva","")&amp;IF(COUNTIF($NX80:$NY80,"Carregar")&gt;0," · em dois turnos","")))</f>
        <v/>
      </c>
      <c r="PP80" s="152">
        <f>IF($MJ80&lt;&gt;"",$MJ80,IF($MW80=0,"",INDEX($AA$2:$AA$11,$MW80)))</f>
        <v/>
      </c>
      <c r="PQ80" s="152">
        <f>IF(OR($MQ80=0,$MW80=0),"",IF(COUNTIF($MK80:$MN80,"Inescapável")&gt;0,"Automático",IF($PP80="Ataque",IF($MU80="","Ataque","Ataque "&amp;IF(($MU80+2*IF(COUNTIF($MK80:$MN80,"Precisão")&gt;0,1,0))&gt;=0,"+","−")&amp;ABS(($MU80+2*IF(COUNTIF($MK80:$MN80,"Precisão")&gt;0,1,0))))&amp;IF($NQ80&gt;0," · TR"&amp;IF($MV80="",""," CD "&amp;$MV80),""),IF(LEFT($PP80,2)="TR",$PP80&amp;IF($MV80="",""," · CD "&amp;$MV80)&amp;IF(COUNTIF($MK80:$MN80,"Certeiro")&gt;0," · metade",""),"Sem rolagem"))))</f>
        <v/>
      </c>
      <c r="PR80" s="152">
        <f>IF(OR($MQ80=0,$MW80=0),"",IF($MF80=0,IF(OR($NT80&gt;=1,$OQ80=0),"Sem dano",$OQ80&amp;"d6"&amp;IF($MI80="",""," "&amp;$MI80)),IF(OR($NT80&gt;=1,$OQ80=0),UPPER(LEFT(INDEX($OZ80:$PF80,1,MAX(1,$MF80)),1))&amp;MID(INDEX($OZ80:$PF80,1,MAX(1,$MF80)),2,99),UPPER(LEFT(INDEX($OZ80:$PF80,1,MAX(1,$MF80)),1))&amp;MID(INDEX($OZ80:$PF80,1,MAX(1,$MF80)),2,99)&amp;IF($MI80="",""," "&amp;$MI80)&amp;IF($OR80&gt;0," · +"&amp;$OR80&amp;"d8",""))))</f>
        <v/>
      </c>
      <c r="PS80" s="152">
        <f>COUNTIF($MK80:$MN80,"Longe")+3*COUNTIF($MK80:$MN80,"Muito Longe")</f>
        <v/>
      </c>
      <c r="PT80" s="152">
        <f>COUNTIF($MK80:$MN80,"Maior")+3*COUNTIF($MK80:$MN80,"Muito Maior")</f>
        <v/>
      </c>
      <c r="PU80" s="152">
        <f>IF($MW80=0,0,CHOOSE(1+INDEX($AC$2:$AC$11,$MW80),0,$PS80,$PT80,$PS80+$PT80))</f>
        <v/>
      </c>
      <c r="PV80" s="152">
        <f>IF($MW80=0,0,CHOOSE(1+INDEX($AD$2:$AD$11,$MW80),0,$PS80,$PT80,$PS80+$PT80))</f>
        <v/>
      </c>
      <c r="PW80" s="152">
        <f>IF(OR($MQ80=0,$MW80=0),"",INDEX($AI$2:$AN$41,($MW80-1)*4+IF($MF80=0,1,IF($MF80&lt;=5,2,IF($MF80=6,3,4))),1+MIN(5,$PU80))&amp;INDEX($AO$2:$AT$41,($MW80-1)*4+IF($MF80=0,1,IF($MF80&lt;=5,2,IF($MF80=6,3,4))),1+MIN(5,$PV80))&amp;IF(INDEX($AE$2:$AE$11,$MW80)=1,IF(COUNTIF($MK80:$MN80,"Mais Um")&gt;0," · +"&amp;COUNTIF($MK80:$MN80,"Mais Um")&amp;IF(COUNTIF($MK80:$MN80,"Mais Um")&gt;1," alvos"," alvo"),"")&amp;IF(COUNTIF($MK80:$MN80,"Rajada")&gt;0,IF($MF80=0," · 1 tiro"," · "&amp;(MAX(1,$MF80-1)+1)&amp;" tiros"),""),""))</f>
        <v/>
      </c>
      <c r="PX80" s="152">
        <f>IF($MQ80=0,"",IF($MF80=0,$MT80&amp;"d6"&amp;IF($OH80&gt;0," − 1 = "&amp;$OQ80&amp;"d6"," da básica do nível "&amp;$MR80),$OO80&amp;" − "&amp;$OJ80&amp;" + "&amp;$OM80&amp;" = "&amp;$OP80&amp;" · teto "&amp;4*$MF80&amp;"d8"&amp;IF($NS80=1," · a Forma devolve "&amp;$MF80,"")&amp;IF($ON80&gt;0," · perde "&amp;$ON80,"")))</f>
        <v/>
      </c>
      <c r="PY80" s="152">
        <f>IF($MQ80=0,"",IF($MF80=0,"A básica não amplia: os dados dela sobem com o nível",IF($MF80&gt;=$MS80,"Já está na maior Classe que o nível liberou",TEXTJOIN(" · ",TRUE,IF(AND(2&gt;$MF80,2&lt;=$MS80),"2 → "&amp;$PA80&amp;", 6 PE",""),IF(AND(3&gt;$MF80,3&lt;=$MS80),"3 → "&amp;$PB80&amp;", 9 PE",""),IF(AND(4&gt;$MF80,4&lt;=$MS80),"4 → "&amp;$PC80&amp;", 12 PE",""),IF(AND(5&gt;$MF80,5&lt;=$MS80),"5 → "&amp;$PD80&amp;", 15 PE",""),IF(AND(6&gt;$MF80,6&lt;=$MS80),"6 → "&amp;$PE80&amp;", 18 PE",""),IF(AND(7&gt;$MF80,7&lt;=$MS80),"7 → "&amp;$PF80&amp;", 21 PE","")))))</f>
        <v/>
      </c>
      <c r="PZ80" s="152">
        <f>IF(OR($MQ80=0,$NB80=0),"",IF($MF80=0,"−1 dado","−"&amp;INDEX($I$2:$N$8,MAX(1,$MF80),MAX(1,$NG80))&amp;" · "&amp;CHOOSE(MAX(1,$NG80),"Leve","Média","Pesada","Leve · Livre","Média · Livre","Pesada · Livre")))</f>
        <v/>
      </c>
      <c r="QA80" s="152">
        <f>IF(OR($MQ80=0,$NC80=0),"",IF($MF80=0,"−1 dado","−"&amp;INDEX($I$2:$N$8,MAX(1,$MF80),MAX(1,$NH80))&amp;" · "&amp;CHOOSE(MAX(1,$NH80),"Leve","Média","Pesada","Leve · Livre","Média · Livre","Pesada · Livre")))</f>
        <v/>
      </c>
      <c r="QB80" s="152">
        <f>IF(OR($MQ80=0,$ND80=0),"",IF($MF80=0,"−1 dado","−"&amp;INDEX($I$2:$N$8,MAX(1,$MF80),MAX(1,$NI80))&amp;" · "&amp;CHOOSE(MAX(1,$NI80),"Leve","Média","Pesada","Leve · Livre","Média · Livre","Pesada · Livre")))</f>
        <v/>
      </c>
      <c r="QC80" s="152">
        <f>IF(OR($MQ80=0,$NE80=0),"",IF($MF80=0,"−1 dado","−"&amp;INDEX($I$2:$N$8,MAX(1,$MF80),MAX(1,$NJ80))&amp;" · "&amp;CHOOSE(MAX(1,$NJ80),"Leve","Média","Pesada","Leve · Livre","Média · Livre","Pesada · Livre")))</f>
        <v/>
      </c>
      <c r="QD80" s="152">
        <f>IF(OR($MQ80=0,$MO80=""),"",IF($MF80=0,"não devolve","+"&amp;IF($NV80=1,CEILING($MF80/2,1),$MF80)))</f>
        <v/>
      </c>
      <c r="QE80" s="152">
        <f>IF(OR($MQ80=0,$MP80=""),"",IF($MF80=0,"não devolve","+"&amp;IF($NW80=1,CEILING($MF80/2,1),$MF80)))</f>
        <v/>
      </c>
    </row>
    <row r="81">
      <c r="AV81" s="150" t="inlineStr">
        <is>
          <t>Reserva</t>
        </is>
      </c>
      <c r="AW81" s="150" t="inlineStr">
        <is>
          <t>Amparo</t>
        </is>
      </c>
      <c r="AX81" s="152" t="n">
        <v>2</v>
      </c>
      <c r="AY81" s="152" t="n">
        <v>0</v>
      </c>
      <c r="AZ81" s="152" t="n">
        <v>0</v>
      </c>
      <c r="BA81" s="152" t="n">
        <v>0</v>
      </c>
      <c r="JG81" s="152">
        <f>IF(OR($AW81="",COUNTIF($EF$2:$EJ$2,$AW81)&gt;0),$AV81,"")</f>
        <v/>
      </c>
      <c r="JH81" s="152">
        <f>IF(AND($AX81=1,OR($AW81="",COUNTIF($EF$2:$EJ$2,$AW81)&gt;0)),$AV81,"")</f>
        <v/>
      </c>
      <c r="JM81" s="152">
        <f>IF(OR($AW81="",COUNTIF($EF$3:$EJ$3,$AW81)&gt;0),$AV81,"")</f>
        <v/>
      </c>
      <c r="JN81" s="152">
        <f>IF(AND($AX81=1,OR($AW81="",COUNTIF($EF$3:$EJ$3,$AW81)&gt;0)),$AV81,"")</f>
        <v/>
      </c>
      <c r="JS81" s="152">
        <f>IF(OR($AW81="",COUNTIF($EF$4:$EJ$4,$AW81)&gt;0),$AV81,"")</f>
        <v/>
      </c>
      <c r="JT81" s="152">
        <f>IF(AND($AX81=1,OR($AW81="",COUNTIF($EF$4:$EJ$4,$AW81)&gt;0)),$AV81,"")</f>
        <v/>
      </c>
      <c r="JY81" s="152">
        <f>IF(OR($AW81="",COUNTIF($EF$5:$EJ$5,$AW81)&gt;0),$AV81,"")</f>
        <v/>
      </c>
      <c r="JZ81" s="152">
        <f>IF(AND($AX81=1,OR($AW81="",COUNTIF($EF$5:$EJ$5,$AW81)&gt;0)),$AV81,"")</f>
        <v/>
      </c>
      <c r="KE81" s="152">
        <f>IF(OR($AW81="",COUNTIF($EF$6:$EJ$6,$AW81)&gt;0),$AV81,"")</f>
        <v/>
      </c>
      <c r="KF81" s="152">
        <f>IF(AND($AX81=1,OR($AW81="",COUNTIF($EF$6:$EJ$6,$AW81)&gt;0)),$AV81,"")</f>
        <v/>
      </c>
      <c r="KK81" s="152">
        <f>IF(OR($AW81="",COUNTIF($EF$7:$EJ$7,$AW81)&gt;0),$AV81,"")</f>
        <v/>
      </c>
      <c r="KL81" s="152">
        <f>IF(AND($AX81=1,OR($AW81="",COUNTIF($EF$7:$EJ$7,$AW81)&gt;0)),$AV81,"")</f>
        <v/>
      </c>
      <c r="KQ81" s="152">
        <f>IF(OR($AW81="",COUNTIF($EF$8:$EJ$8,$AW81)&gt;0),$AV81,"")</f>
        <v/>
      </c>
      <c r="KR81" s="152">
        <f>IF(AND($AX81=1,OR($AW81="",COUNTIF($EF$8:$EJ$8,$AW81)&gt;0)),$AV81,"")</f>
        <v/>
      </c>
      <c r="KW81" s="152">
        <f>IF(OR($AW81="",COUNTIF($EF$9:$EJ$9,$AW81)&gt;0),$AV81,"")</f>
        <v/>
      </c>
      <c r="KX81" s="152">
        <f>IF(AND($AX81=1,OR($AW81="",COUNTIF($EF$9:$EJ$9,$AW81)&gt;0)),$AV81,"")</f>
        <v/>
      </c>
      <c r="LC81" s="152">
        <f>IF(OR($AW81="",COUNTIF($EF$10:$EJ$10,$AW81)&gt;0),$AV81,"")</f>
        <v/>
      </c>
      <c r="LD81" s="152">
        <f>IF(AND($AX81=1,OR($AW81="",COUNTIF($EF$10:$EJ$10,$AW81)&gt;0)),$AV81,"")</f>
        <v/>
      </c>
      <c r="LI81" s="152">
        <f>IF(OR($AW81="",COUNTIF($EF$11:$EJ$11,$AW81)&gt;0),$AV81,"")</f>
        <v/>
      </c>
      <c r="LJ81" s="152">
        <f>IF(AND($AX81=1,OR($AW81="",COUNTIF($EF$11:$EJ$11,$AW81)&gt;0)),$AV81,"")</f>
        <v/>
      </c>
      <c r="LO81" s="152">
        <f>IF(OR($AW81="",COUNTIF($EF$12:$EJ$12,$AW81)&gt;0),$AV81,"")</f>
        <v/>
      </c>
      <c r="LP81" s="152">
        <f>IF(AND($AX81=1,OR($AW81="",COUNTIF($EF$12:$EJ$12,$AW81)&gt;0)),$AV81,"")</f>
        <v/>
      </c>
      <c r="LU81" s="152">
        <f>IF(OR($AW81="",COUNTIF($EF$13:$EJ$13,$AW81)&gt;0),$AV81,"")</f>
        <v/>
      </c>
      <c r="LV81" s="152">
        <f>IF(AND($AX81=1,OR($AW81="",COUNTIF($EF$13:$EJ$13,$AW81)&gt;0)),$AV81,"")</f>
        <v/>
      </c>
      <c r="MA81" s="150" t="inlineStr">
        <is>
          <t>Ficha 7 · Especial 1</t>
        </is>
      </c>
      <c r="MB81" s="152" t="n">
        <v>7</v>
      </c>
      <c r="MC81" s="152" t="n">
        <v>1</v>
      </c>
      <c r="MD81" s="152" t="n">
        <v>1</v>
      </c>
      <c r="ME81" s="150" t="inlineStr">
        <is>
          <t>ESPECIAL 1</t>
        </is>
      </c>
      <c r="MF81" s="152">
        <f>MAX(1,MIN(7,N('INVOCAÇÕES'!$AH$58)))</f>
        <v/>
      </c>
      <c r="MG81" s="152">
        <f>'INVOCAÇÕES'!$AI$58&amp;""</f>
        <v/>
      </c>
      <c r="MH81" s="152">
        <f>'INVOCAÇÕES'!$AH$63&amp;""</f>
        <v/>
      </c>
      <c r="MI81" s="152">
        <f>'INVOCAÇÕES'!$AH$64&amp;""</f>
        <v/>
      </c>
      <c r="MJ81" s="152">
        <f>'INVOCAÇÕES'!$AJ$64&amp;""</f>
        <v/>
      </c>
      <c r="MK81" s="152">
        <f>'INVOCAÇÕES'!$AI$67&amp;""</f>
        <v/>
      </c>
      <c r="ML81" s="152">
        <f>'INVOCAÇÕES'!$AI$68&amp;""</f>
        <v/>
      </c>
      <c r="MM81" s="152">
        <f>'INVOCAÇÕES'!$AI$69&amp;""</f>
        <v/>
      </c>
      <c r="MN81" s="152">
        <f>'INVOCAÇÕES'!$AI$70&amp;""</f>
        <v/>
      </c>
      <c r="MO81" s="152">
        <f>'INVOCAÇÕES'!$AI$71&amp;""</f>
        <v/>
      </c>
      <c r="MP81" s="152">
        <f>'INVOCAÇÕES'!$AI$72&amp;""</f>
        <v/>
      </c>
      <c r="MQ81" s="152">
        <f>IF($MG81&lt;&gt;"",1,0)</f>
        <v/>
      </c>
      <c r="MR81" s="152">
        <f>INDEX($FI$2:$FI$13,$MB81)</f>
        <v/>
      </c>
      <c r="MS81" s="152">
        <f>INDEX($FJ$2:$FJ$13,$MB81)</f>
        <v/>
      </c>
      <c r="MT81" s="152">
        <f>INDEX($FK$2:$FK$13,$MB81)</f>
        <v/>
      </c>
      <c r="MU81" s="152">
        <f>INDEX($FV$2:$FV$13,$MB81)</f>
        <v/>
      </c>
      <c r="MV81" s="152">
        <f>INDEX($FW$2:$FW$13,$MB81)</f>
        <v/>
      </c>
      <c r="MW81" s="152">
        <f>IFERROR(MATCH($MH81,$V$2:$V$11,0),0)</f>
        <v/>
      </c>
      <c r="MX81" s="152">
        <f>IFERROR(VLOOKUP($MK81,$AV$2:$BA$84,2,FALSE),"")</f>
        <v/>
      </c>
      <c r="MY81" s="152">
        <f>IFERROR(VLOOKUP($ML81,$AV$2:$BA$84,2,FALSE),"")</f>
        <v/>
      </c>
      <c r="MZ81" s="152">
        <f>IFERROR(VLOOKUP($MM81,$AV$2:$BA$84,2,FALSE),"")</f>
        <v/>
      </c>
      <c r="NA81" s="152">
        <f>IFERROR(VLOOKUP($MN81,$AV$2:$BA$84,2,FALSE),"")</f>
        <v/>
      </c>
      <c r="NB81" s="152">
        <f>IFERROR(VLOOKUP($MK81,$AV$2:$BA$84,3,FALSE),0)</f>
        <v/>
      </c>
      <c r="NC81" s="152">
        <f>IFERROR(VLOOKUP($ML81,$AV$2:$BA$84,3,FALSE),0)</f>
        <v/>
      </c>
      <c r="ND81" s="152">
        <f>IFERROR(VLOOKUP($MM81,$AV$2:$BA$84,3,FALSE),0)</f>
        <v/>
      </c>
      <c r="NE81" s="152">
        <f>IFERROR(VLOOKUP($MN81,$AV$2:$BA$84,3,FALSE),0)</f>
        <v/>
      </c>
      <c r="NF81" s="152">
        <f>IF($MF81=0,0,IF($MW81=0,0,INDEX($X$2:$X$11,$MW81)))</f>
        <v/>
      </c>
      <c r="NG81" s="152">
        <f>IF(OR($NB81=0,$MF81=0),0,$NB81+3*IF(AND($MX81&lt;&gt;"",OR($MX81=INDEX($EF$2:$EF$13,$MB81),$MX81=INDEX($EG$2:$EG$13,$MB81))),1,0))</f>
        <v/>
      </c>
      <c r="NH81" s="152">
        <f>IF(OR($NC81=0,$MF81=0),0,$NC81+3*IF(AND($MY81&lt;&gt;"",OR($MY81=INDEX($EF$2:$EF$13,$MB81),$MY81=INDEX($EG$2:$EG$13,$MB81))),1,0))</f>
        <v/>
      </c>
      <c r="NI81" s="152">
        <f>IF(OR($ND81=0,$MF81=0),0,$ND81+3*IF(AND($MZ81&lt;&gt;"",OR($MZ81=INDEX($EF$2:$EF$13,$MB81),$MZ81=INDEX($EG$2:$EG$13,$MB81))),1,0))</f>
        <v/>
      </c>
      <c r="NJ81" s="152">
        <f>IF(OR($NE81=0,$MF81=0),0,$NE81+3*IF(AND($NA81&lt;&gt;"",OR($NA81=INDEX($EF$2:$EF$13,$MB81),$NA81=INDEX($EG$2:$EG$13,$MB81))),1,0))</f>
        <v/>
      </c>
      <c r="NK81" s="152">
        <f>IF($MW81=0,0,IF(INDEX($W$2:$W$11,$MW81)="",0,IF(COUNTIF(INDEX($EF$2:$EJ$13,$MB81,0),INDEX($W$2:$W$11,$MW81))=0,1,0)))</f>
        <v/>
      </c>
      <c r="NL81" s="152">
        <f>IF(OR($NB81=0,$MX81=""),0,IF(COUNTIF(INDEX($EF$2:$EJ$13,$MB81,0),$MX81)=0,1,0))</f>
        <v/>
      </c>
      <c r="NM81" s="152">
        <f>IF(OR($NC81=0,$MY81=""),0,IF(COUNTIF(INDEX($EF$2:$EJ$13,$MB81,0),$MY81)=0,1,0))</f>
        <v/>
      </c>
      <c r="NN81" s="152">
        <f>IF(OR($ND81=0,$MZ81=""),0,IF(COUNTIF(INDEX($EF$2:$EJ$13,$MB81,0),$MZ81)=0,1,0))</f>
        <v/>
      </c>
      <c r="NO81" s="152">
        <f>IF(OR($NE81=0,$NA81=""),0,IF(COUNTIF(INDEX($EF$2:$EJ$13,$MB81,0),$NA81)=0,1,0))</f>
        <v/>
      </c>
      <c r="NP81" s="152">
        <f>IFERROR(VLOOKUP($MK81,$AV$2:$BA$84,4,FALSE),0)+IFERROR(VLOOKUP($ML81,$AV$2:$BA$84,4,FALSE),0)+IFERROR(VLOOKUP($MM81,$AV$2:$BA$84,4,FALSE),0)+IFERROR(VLOOKUP($MN81,$AV$2:$BA$84,4,FALSE),0)</f>
        <v/>
      </c>
      <c r="NQ81" s="152">
        <f>IFERROR(VLOOKUP($MK81,$AV$2:$BA$84,6,FALSE),0)+IFERROR(VLOOKUP($ML81,$AV$2:$BA$84,6,FALSE),0)+IFERROR(VLOOKUP($MM81,$AV$2:$BA$84,6,FALSE),0)+IFERROR(VLOOKUP($MN81,$AV$2:$BA$84,6,FALSE),0)</f>
        <v/>
      </c>
      <c r="NR81" s="152">
        <f>TEXTJOIN(", ",TRUE,IF(IFERROR(VLOOKUP($MK81,$AV$2:$BA$84,5,FALSE),0)=1,$MK81,""),IF(IFERROR(VLOOKUP($ML81,$AV$2:$BA$84,5,FALSE),0)=1,$ML81,""),IF(IFERROR(VLOOKUP($MM81,$AV$2:$BA$84,5,FALSE),0)=1,$MM81,""),IF(IFERROR(VLOOKUP($MN81,$AV$2:$BA$84,5,FALSE),0)=1,$MN81,""))</f>
        <v/>
      </c>
      <c r="NS81" s="152">
        <f>IF($MW81=0,0,INDEX($Y$2:$Y$11,$MW81))</f>
        <v/>
      </c>
      <c r="NT81" s="152">
        <f>IF($MW81=0,0,INDEX($Z$2:$Z$11,$MW81))</f>
        <v/>
      </c>
      <c r="NU81" s="152">
        <f>IF($MW81=0,0,INDEX($AB$2:$AB$11,$MW81))</f>
        <v/>
      </c>
      <c r="NV81" s="152">
        <f>IFERROR(VLOOKUP($MO81,$BC$2:$BG$24,3,FALSE),0)</f>
        <v/>
      </c>
      <c r="NW81" s="152">
        <f>IFERROR(VLOOKUP($MP81,$BC$2:$BG$24,3,FALSE),0)</f>
        <v/>
      </c>
      <c r="NX81" s="152">
        <f>IFERROR(VLOOKUP($MO81,$BC$2:$BG$24,2,FALSE),"")</f>
        <v/>
      </c>
      <c r="NY81" s="152">
        <f>IFERROR(VLOOKUP($MP81,$BC$2:$BG$24,2,FALSE),"")</f>
        <v/>
      </c>
      <c r="NZ81" s="152">
        <f>COUNTIF($NF81:$NJ81,1)</f>
        <v/>
      </c>
      <c r="OA81" s="152">
        <f>COUNTIF($NF81:$NJ81,2)</f>
        <v/>
      </c>
      <c r="OB81" s="152">
        <f>COUNTIF($NF81:$NJ81,3)</f>
        <v/>
      </c>
      <c r="OC81" s="152">
        <f>COUNTIF($NF81:$NJ81,4)</f>
        <v/>
      </c>
      <c r="OD81" s="152">
        <f>COUNTIF($NF81:$NJ81,5)</f>
        <v/>
      </c>
      <c r="OE81" s="152">
        <f>COUNTIF($NF81:$NJ81,6)</f>
        <v/>
      </c>
      <c r="OF81" s="152">
        <f>COUNTIF($NV81:$NW81,1)</f>
        <v/>
      </c>
      <c r="OG81" s="152">
        <f>COUNTIF($NV81:$NW81,2)+$NS81</f>
        <v/>
      </c>
      <c r="OH81" s="152">
        <f>COUNTIF($MK81:$MN81,"?*")</f>
        <v/>
      </c>
      <c r="OI81" s="152">
        <f>COUNTIF($MO81:$MP81,"?*")+$NS81</f>
        <v/>
      </c>
      <c r="OJ81" s="152">
        <f>IF($MF81=0,0,SUMPRODUCT($NZ81:$OE81,INDEX($I$2:$N$8,MAX(1,$MF81),0)))</f>
        <v/>
      </c>
      <c r="OK81" s="152">
        <f>IF($MF81=0,0,$OF81*CEILING($MF81/2,1)+$OG81*$MF81)</f>
        <v/>
      </c>
      <c r="OL81" s="152">
        <f>MIN(2*$MF81,$OK81)</f>
        <v/>
      </c>
      <c r="OM81" s="152">
        <f>MIN($OL81,$OJ81)</f>
        <v/>
      </c>
      <c r="ON81" s="152">
        <f>$OL81-$OM81</f>
        <v/>
      </c>
      <c r="OO81" s="152">
        <f>IF($MF81=0,0,INDEX($P$2:$P$8,MAX(1,$MF81)))</f>
        <v/>
      </c>
      <c r="OP81" s="152">
        <f>$OO81-$OJ81+$OM81</f>
        <v/>
      </c>
      <c r="OQ81" s="152">
        <f>IF($MF81=0,MAX(0,$MT81-IF($OH81&gt;0,1,0)),MAX(0,$OP81))</f>
        <v/>
      </c>
      <c r="OR81" s="152">
        <f>IF($MF81=0,0,(IF(COUNTIF($MK81:$MN81,"Salto")&gt;0,1,0)+IF(COUNTIF($MK81:$MN81,"Queima")&gt;0,1,0)+IF(COUNTIF($MK81:$MN81,"Estilhaço")&gt;0,1,0))*FLOOR($OQ81/2,1))</f>
        <v/>
      </c>
      <c r="OS81" s="152">
        <f>MAX(0,2-SUMPRODUCT($NZ81:$OE81,$I$2:$N$2)+MIN(2,$OF81*1+$OG81*1,SUMPRODUCT($NZ81:$OE81,$I$2:$N$2)))</f>
        <v/>
      </c>
      <c r="OT81" s="152">
        <f>MAX(0,4-SUMPRODUCT($NZ81:$OE81,$I$3:$N$3)+MIN(4,$OF81*1+$OG81*2,SUMPRODUCT($NZ81:$OE81,$I$3:$N$3)))</f>
        <v/>
      </c>
      <c r="OU81" s="152">
        <f>MAX(0,6-SUMPRODUCT($NZ81:$OE81,$I$4:$N$4)+MIN(6,$OF81*2+$OG81*3,SUMPRODUCT($NZ81:$OE81,$I$4:$N$4)))</f>
        <v/>
      </c>
      <c r="OV81" s="152">
        <f>MAX(0,9-SUMPRODUCT($NZ81:$OE81,$I$5:$N$5)+MIN(8,$OF81*2+$OG81*4,SUMPRODUCT($NZ81:$OE81,$I$5:$N$5)))</f>
        <v/>
      </c>
      <c r="OW81" s="152">
        <f>MAX(0,11-SUMPRODUCT($NZ81:$OE81,$I$6:$N$6)+MIN(10,$OF81*3+$OG81*5,SUMPRODUCT($NZ81:$OE81,$I$6:$N$6)))</f>
        <v/>
      </c>
      <c r="OX81" s="152">
        <f>MAX(0,13-SUMPRODUCT($NZ81:$OE81,$I$7:$N$7)+MIN(12,$OF81*3+$OG81*6,SUMPRODUCT($NZ81:$OE81,$I$7:$N$7)))</f>
        <v/>
      </c>
      <c r="OY81" s="152">
        <f>MAX(0,16-SUMPRODUCT($NZ81:$OE81,$I$8:$N$8)+MIN(14,$OF81*4+$OG81*7,SUMPRODUCT($NZ81:$OE81,$I$8:$N$8)))</f>
        <v/>
      </c>
      <c r="OZ81" s="152">
        <f>IF($NT81=2,3*$OS81&amp;" de vida temp.",IF($NT81=3,"sem dano",IF($OS81=0,IF($NT81=1,"sem cura","sem dano"),IF($NT81=1,"cura ","")&amp;$OS81&amp;"d8")))</f>
        <v/>
      </c>
      <c r="PA81" s="152">
        <f>IF($NT81=2,3*$OT81&amp;" de vida temp.",IF($NT81=3,"sem dano",IF($OT81=0,IF($NT81=1,"sem cura","sem dano"),IF($NT81=1,"cura ","")&amp;$OT81&amp;"d8")))</f>
        <v/>
      </c>
      <c r="PB81" s="152">
        <f>IF($NT81=2,3*$OU81&amp;" de vida temp.",IF($NT81=3,"sem dano",IF($OU81=0,IF($NT81=1,"sem cura","sem dano"),IF($NT81=1,"cura ","")&amp;$OU81&amp;"d8")))</f>
        <v/>
      </c>
      <c r="PC81" s="152">
        <f>IF($NT81=2,3*$OV81&amp;" de vida temp.",IF($NT81=3,"sem dano",IF($OV81=0,IF($NT81=1,"sem cura","sem dano"),IF($NT81=1,"cura ","")&amp;$OV81&amp;"d8")))</f>
        <v/>
      </c>
      <c r="PD81" s="152">
        <f>IF($NT81=2,3*$OW81&amp;" de vida temp.",IF($NT81=3,"sem dano",IF($OW81=0,IF($NT81=1,"sem cura","sem dano"),IF($NT81=1,"cura ","")&amp;$OW81&amp;"d8")))</f>
        <v/>
      </c>
      <c r="PE81" s="152">
        <f>IF($NT81=2,3*$OX81&amp;" de vida temp.",IF($NT81=3,"sem dano",IF($OX81=0,IF($NT81=1,"sem cura","sem dano"),IF($NT81=1,"cura ","")&amp;$OX81&amp;"d8")))</f>
        <v/>
      </c>
      <c r="PF81" s="152">
        <f>IF($NT81=2,3*$OY81&amp;" de vida temp.",IF($NT81=3,"sem dano",IF($OY81=0,IF($NT81=1,"sem cura","sem dano"),IF($NT81=1,"cura ","")&amp;$OY81&amp;"d8")))</f>
        <v/>
      </c>
      <c r="PG81" s="152">
        <f>IF($MQ81=0,"",TEXTJOIN(" · ",TRUE,IF($MD81&gt;$MR81,"Este lugar abre no nível "&amp;$MD81,""),IF($MF81&gt;$MS81,"Classe "&amp;$MF81&amp;": o nível "&amp;$MR81&amp;" libera até a "&amp;$MS81,""),IF($NK81=1,"A Forma "&amp;$MH81&amp;" pede "&amp;INDEX($W$2:$W$11,$MW81)&amp;" aberta",""),IF(AND($MF81=0,$MW81&gt;0,IF($MW81=0,0,INDEX($AF$2:$AF$11,$MW81))=0),$MH81&amp;" não existe na Classe 0",""),IF($NL81=1,"Família Fechada: "&amp;$MK81,""),IF($NM81=1,"Família Fechada: "&amp;$ML81,""),IF($NN81=1,"Família Fechada: "&amp;$MM81,""),IF($NO81=1,"Família Fechada: "&amp;$MN81,""),IF(AND($MF81&gt;0,$OH81&gt;INDEX($O$2:$O$8,MAX(1,$MF81))),$OH81&amp;" Melhorias: a Classe "&amp;$MF81&amp;" aceita "&amp;INDEX($O$2:$O$8,MAX(1,$MF81)),""),IF(AND($MF81=0,$OH81&gt;1),"A básica aceita uma Melhoria",""),IF(AND($MF81=0,COUNTIF($NB81:$NE81,"&gt;1")&gt;0),"A básica só aceita Melhoria Leve",""),IF(AND($MF81&gt;0,$OI81&gt;2),$OI81&amp;" Restrições"&amp;IF($NS81=1,", contando a que a Forma "&amp;$MH81&amp;" já traz","")&amp;": o limite é 2",""),IF(AND($MF81=0,COUNTIF($MO81:$MP81,"?*")&gt;1),"A básica aceita uma Restrição Leve",""),IF(AND($MF81=0,COUNTIF($NV81:$NW81,2)&gt;0),"A básica só aceita Restrição Leve",""),IF(AND($MF81&gt;0,$OP81&lt;0),"Orçamento estourado: faltam "&amp;(-$OP81)&amp;IF($OP81&lt;-1," pontos"," ponto"),""),IF(IFERROR(VLOOKUP($MO81,$BC$2:$BG$24,4,FALSE),0)+IFERROR(VLOOKUP($MP81,$BC$2:$BG$24,4,FALSE),0)&gt;1,$NX81&amp;" e "&amp;$NY81&amp;" são as duas de frequência",""),IF(AND((COUNTIF($MK81:$MN81,"Rápido")+COUNTIF($NX81:$NY81,"Rápido"))&gt;0,(COUNTIF($MK81:$MN81,"Atrasar")+COUNTIF($NX81:$NY81,"Atrasar"))&gt;0),"Rápido não entra com Atrasar",""),IF(AND((COUNTIF($MK81:$MN81,"Reação")+COUNTIF($NX81:$NY81,"Reação"))&gt;0,(COUNTIF($MK81:$MN81,"Rápido")+COUNTIF($NX81:$NY81,"Rápido"))&gt;0),"Reação não entra com Rápido",""),IF(AND((COUNTIF($MK81:$MN81,"Reação")+COUNTIF($NX81:$NY81,"Reação"))&gt;0,(COUNTIF($MK81:$MN81,"Armado")+COUNTIF($NX81:$NY81,"Armado"))&gt;0),"Reação não entra com Armado",""),IF(AND((COUNTIF($MK81:$MN81,"Reação")+COUNTIF($NX81:$NY81,"Reação"))&gt;0,(COUNTIF($MK81:$MN81,"Atrasar")+COUNTIF($NX81:$NY81,"Atrasar"))&gt;0),"Reação não entra com Atrasar",""),IF(AND((COUNTIF($MK81:$MN81,"Reação")+COUNTIF($NX81:$NY81,"Reação"))&gt;0,(COUNTIF($MK81:$MN81,"Parado")+COUNTIF($NX81:$NY81,"Parado"))&gt;0),"Reação não entra com Parado",""),IF(AND((COUNTIF($MK81:$MN81,"Atrasar")+COUNTIF($NX81:$NY81,"Atrasar"))&gt;0,(COUNTIF($MK81:$MN81,"Parado")+COUNTIF($NX81:$NY81,"Parado"))&gt;0),"Atrasar não entra com Parado",""),IF(AND((COUNTIF($MK81:$MN81,"Armado")+COUNTIF($NX81:$NY81,"Armado"))&gt;0,(COUNTIF($MK81:$MN81,"Carregar")+COUNTIF($NX81:$NY81,"Carregar"))&gt;0),"Armado não entra com Carregar",""),IF(AND(COUNTIF($NX81:$NY81,"Corpo a Corpo")&gt;0,$NS81=0,OR($MH81="Cone",$MH81="Linha")),"Corpo a Corpo não entra em "&amp;$MH81,""),IF(AND(COUNTIF($NX81:$NY81,"Corpo a Corpo")&gt;0,$NS81=1),"A Forma "&amp;$MH81&amp;" já traz o Corpo a Corpo",""),IF(AND(COUNTIF($NX81:$NY81,"Tudo ou Nada")&gt;0,$NU81=0),"Tudo ou Nada só entra em habilidade de Teste de Resistência",""),IF(AND(COUNTIF($MK81:$MN81,"Inescapável")&gt;0,OR($OH81&gt;1,$OI81&gt;0)),"Inescapável não aceita outra peça",""),IF(AND($MF81&gt;0,$OQ81*IF(COUNTIF($MK81:$MN81,"Remate")&gt;0,1.25,1)+$OR81&gt;4*$MF81),($OQ81*IF(COUNTIF($MK81:$MN81,"Remate")&gt;0,1.25,1)+$OR81)&amp;" dados somando repetições"&amp;IF(COUNTIF($MK81:$MN81,"Remate")&gt;0," e o Remate","")&amp;": o teto da Classe "&amp;$MF81&amp;" é "&amp;4*$MF81,"")))</f>
        <v/>
      </c>
      <c r="PH81" s="152">
        <f>IF($PG81="",0,(LEN($PG81)-LEN(SUBSTITUTE($PG81," · ","")))/3+1)</f>
        <v/>
      </c>
      <c r="PI81" s="152">
        <f>IF($MQ81=0,"",TEXTJOIN(" · ",TRUE,IF($OK81&gt;2*$MF81,"A devolução parou no teto de "&amp;2*$MF81,""),IF($ON81&gt;0,"Devolução perdida: "&amp;$ON81&amp;IF($ON81&gt;1," pontos"," ponto")&amp;" sem peça para pagar",""),IF(AND($NP81&gt;0,AND($MF81&gt;0,$NT81=0),$OQ81=0),"Controle sem dano: uma rodada a mais e CD +2",""),IF(AND($NP81&gt;0,AND($MF81&gt;0,$NT81=0),$OQ81&gt;0,$OQ81&lt;=$MF81),"Controle com saldo até a Classe: uma rodada a mais",""),IF(AND($MF81&gt;0,$NR81&lt;&gt;""),"Efeito de "&amp;$NR81&amp;" pela Classe "&amp;MAX(1,$MF81-1),"")))</f>
        <v/>
      </c>
      <c r="PJ81" s="152">
        <f>IF($PI81="",0,(LEN($PI81)-LEN(SUBSTITUTE($PI81," · ","")))/3+1)</f>
        <v/>
      </c>
      <c r="PK81" s="152">
        <f>IF($MQ81=0,IF($OH81+COUNTIF($MO81:$MP81,"?*")&gt;0,"Dê um nome",""),IF($PH81&gt;0,"⚠ "&amp;$PH81&amp;IF($PH81&gt;1," erros"," erro"),IF($PJ81&gt;0,"! "&amp;$PJ81&amp;IF($PJ81&gt;1," avisos"," aviso"),"Na regra")))</f>
        <v/>
      </c>
      <c r="PL81" s="152">
        <f>IF($MQ81=0,"",IF($PH81+$PJ81=0,"Dentro das regras que a ficha confere",$PG81&amp;IF(AND($PH81&gt;0,$PJ81&gt;0)," · ","")&amp;$PI81))</f>
        <v/>
      </c>
      <c r="PM81" s="152">
        <f>IF($MD81&gt;$MR81,$ME81&amp;" · ABRE NO NÍVEL "&amp;$MD81,$ME81)</f>
        <v/>
      </c>
      <c r="PN81" s="152">
        <f>IF($MQ81=0,"",IF($MF81=0,"Sem PE",3*$MF81&amp;" PE"))</f>
        <v/>
      </c>
      <c r="PO81" s="152">
        <f>IF($MQ81=0,"",IF($MF81=0,"A atuação básica dela",IF(COUNTIF($NX81:$NY81,"Atrasar")&gt;0,"Sua Ação Completa",IF(COUNTIF($MK81:$MN81,"Rápido")&gt;0,"Sua Bônus",IF(COUNTIF($MK81:$MN81,"Reação")&gt;0,"Sua Reação","Sua Padrão")))&amp;" + a básica dela"&amp;IF(COUNTIF($MK81:$MN81,"Reação")&gt;0," e a coletiva","")&amp;IF(COUNTIF($NX81:$NY81,"Carregar")&gt;0," · em dois turnos","")))</f>
        <v/>
      </c>
      <c r="PP81" s="152">
        <f>IF($MJ81&lt;&gt;"",$MJ81,IF($MW81=0,"",INDEX($AA$2:$AA$11,$MW81)))</f>
        <v/>
      </c>
      <c r="PQ81" s="152">
        <f>IF(OR($MQ81=0,$MW81=0),"",IF(COUNTIF($MK81:$MN81,"Inescapável")&gt;0,"Automático",IF($PP81="Ataque",IF($MU81="","Ataque","Ataque "&amp;IF(($MU81+2*IF(COUNTIF($MK81:$MN81,"Precisão")&gt;0,1,0))&gt;=0,"+","−")&amp;ABS(($MU81+2*IF(COUNTIF($MK81:$MN81,"Precisão")&gt;0,1,0))))&amp;IF($NQ81&gt;0," · TR"&amp;IF($MV81="",""," CD "&amp;$MV81),""),IF(LEFT($PP81,2)="TR",$PP81&amp;IF($MV81="",""," · CD "&amp;$MV81)&amp;IF(COUNTIF($MK81:$MN81,"Certeiro")&gt;0," · metade",""),"Sem rolagem"))))</f>
        <v/>
      </c>
      <c r="PR81" s="152">
        <f>IF(OR($MQ81=0,$MW81=0),"",IF($MF81=0,IF(OR($NT81&gt;=1,$OQ81=0),"Sem dano",$OQ81&amp;"d6"&amp;IF($MI81="",""," "&amp;$MI81)),IF(OR($NT81&gt;=1,$OQ81=0),UPPER(LEFT(INDEX($OZ81:$PF81,1,MAX(1,$MF81)),1))&amp;MID(INDEX($OZ81:$PF81,1,MAX(1,$MF81)),2,99),UPPER(LEFT(INDEX($OZ81:$PF81,1,MAX(1,$MF81)),1))&amp;MID(INDEX($OZ81:$PF81,1,MAX(1,$MF81)),2,99)&amp;IF($MI81="",""," "&amp;$MI81)&amp;IF($OR81&gt;0," · +"&amp;$OR81&amp;"d8",""))))</f>
        <v/>
      </c>
      <c r="PS81" s="152">
        <f>COUNTIF($MK81:$MN81,"Longe")+3*COUNTIF($MK81:$MN81,"Muito Longe")</f>
        <v/>
      </c>
      <c r="PT81" s="152">
        <f>COUNTIF($MK81:$MN81,"Maior")+3*COUNTIF($MK81:$MN81,"Muito Maior")</f>
        <v/>
      </c>
      <c r="PU81" s="152">
        <f>IF($MW81=0,0,CHOOSE(1+INDEX($AC$2:$AC$11,$MW81),0,$PS81,$PT81,$PS81+$PT81))</f>
        <v/>
      </c>
      <c r="PV81" s="152">
        <f>IF($MW81=0,0,CHOOSE(1+INDEX($AD$2:$AD$11,$MW81),0,$PS81,$PT81,$PS81+$PT81))</f>
        <v/>
      </c>
      <c r="PW81" s="152">
        <f>IF(OR($MQ81=0,$MW81=0),"",INDEX($AI$2:$AN$41,($MW81-1)*4+IF($MF81=0,1,IF($MF81&lt;=5,2,IF($MF81=6,3,4))),1+MIN(5,$PU81))&amp;INDEX($AO$2:$AT$41,($MW81-1)*4+IF($MF81=0,1,IF($MF81&lt;=5,2,IF($MF81=6,3,4))),1+MIN(5,$PV81))&amp;IF(INDEX($AE$2:$AE$11,$MW81)=1,IF(COUNTIF($MK81:$MN81,"Mais Um")&gt;0," · +"&amp;COUNTIF($MK81:$MN81,"Mais Um")&amp;IF(COUNTIF($MK81:$MN81,"Mais Um")&gt;1," alvos"," alvo"),"")&amp;IF(COUNTIF($MK81:$MN81,"Rajada")&gt;0,IF($MF81=0," · 1 tiro"," · "&amp;(MAX(1,$MF81-1)+1)&amp;" tiros"),""),""))</f>
        <v/>
      </c>
      <c r="PX81" s="152">
        <f>IF($MQ81=0,"",IF($MF81=0,$MT81&amp;"d6"&amp;IF($OH81&gt;0," − 1 = "&amp;$OQ81&amp;"d6"," da básica do nível "&amp;$MR81),$OO81&amp;" − "&amp;$OJ81&amp;" + "&amp;$OM81&amp;" = "&amp;$OP81&amp;" · teto "&amp;4*$MF81&amp;"d8"&amp;IF($NS81=1," · a Forma devolve "&amp;$MF81,"")&amp;IF($ON81&gt;0," · perde "&amp;$ON81,"")))</f>
        <v/>
      </c>
      <c r="PY81" s="152">
        <f>IF($MQ81=0,"",IF($MF81=0,"A básica não amplia: os dados dela sobem com o nível",IF($MF81&gt;=$MS81,"Já está na maior Classe que o nível liberou",TEXTJOIN(" · ",TRUE,IF(AND(2&gt;$MF81,2&lt;=$MS81),"2 → "&amp;$PA81&amp;", 6 PE",""),IF(AND(3&gt;$MF81,3&lt;=$MS81),"3 → "&amp;$PB81&amp;", 9 PE",""),IF(AND(4&gt;$MF81,4&lt;=$MS81),"4 → "&amp;$PC81&amp;", 12 PE",""),IF(AND(5&gt;$MF81,5&lt;=$MS81),"5 → "&amp;$PD81&amp;", 15 PE",""),IF(AND(6&gt;$MF81,6&lt;=$MS81),"6 → "&amp;$PE81&amp;", 18 PE",""),IF(AND(7&gt;$MF81,7&lt;=$MS81),"7 → "&amp;$PF81&amp;", 21 PE","")))))</f>
        <v/>
      </c>
      <c r="PZ81" s="152">
        <f>IF(OR($MQ81=0,$NB81=0),"",IF($MF81=0,"−1 dado","−"&amp;INDEX($I$2:$N$8,MAX(1,$MF81),MAX(1,$NG81))&amp;" · "&amp;CHOOSE(MAX(1,$NG81),"Leve","Média","Pesada","Leve · Livre","Média · Livre","Pesada · Livre")))</f>
        <v/>
      </c>
      <c r="QA81" s="152">
        <f>IF(OR($MQ81=0,$NC81=0),"",IF($MF81=0,"−1 dado","−"&amp;INDEX($I$2:$N$8,MAX(1,$MF81),MAX(1,$NH81))&amp;" · "&amp;CHOOSE(MAX(1,$NH81),"Leve","Média","Pesada","Leve · Livre","Média · Livre","Pesada · Livre")))</f>
        <v/>
      </c>
      <c r="QB81" s="152">
        <f>IF(OR($MQ81=0,$ND81=0),"",IF($MF81=0,"−1 dado","−"&amp;INDEX($I$2:$N$8,MAX(1,$MF81),MAX(1,$NI81))&amp;" · "&amp;CHOOSE(MAX(1,$NI81),"Leve","Média","Pesada","Leve · Livre","Média · Livre","Pesada · Livre")))</f>
        <v/>
      </c>
      <c r="QC81" s="152">
        <f>IF(OR($MQ81=0,$NE81=0),"",IF($MF81=0,"−1 dado","−"&amp;INDEX($I$2:$N$8,MAX(1,$MF81),MAX(1,$NJ81))&amp;" · "&amp;CHOOSE(MAX(1,$NJ81),"Leve","Média","Pesada","Leve · Livre","Média · Livre","Pesada · Livre")))</f>
        <v/>
      </c>
      <c r="QD81" s="152">
        <f>IF(OR($MQ81=0,$MO81=""),"",IF($MF81=0,"não devolve","+"&amp;IF($NV81=1,CEILING($MF81/2,1),$MF81)))</f>
        <v/>
      </c>
      <c r="QE81" s="152">
        <f>IF(OR($MQ81=0,$MP81=""),"",IF($MF81=0,"não devolve","+"&amp;IF($NW81=1,CEILING($MF81/2,1),$MF81)))</f>
        <v/>
      </c>
    </row>
    <row r="82">
      <c r="AV82" s="150" t="inlineStr">
        <is>
          <t>Efeito Próprio (Leve)</t>
        </is>
      </c>
      <c r="AW82" s="150" t="inlineStr"/>
      <c r="AX82" s="152" t="n">
        <v>1</v>
      </c>
      <c r="AY82" s="152" t="n">
        <v>0</v>
      </c>
      <c r="AZ82" s="152" t="n">
        <v>0</v>
      </c>
      <c r="BA82" s="152" t="n">
        <v>0</v>
      </c>
      <c r="JG82" s="152">
        <f>IF(OR($AW82="",COUNTIF($EF$2:$EJ$2,$AW82)&gt;0),$AV82,"")</f>
        <v/>
      </c>
      <c r="JH82" s="152">
        <f>IF(AND($AX82=1,OR($AW82="",COUNTIF($EF$2:$EJ$2,$AW82)&gt;0)),$AV82,"")</f>
        <v/>
      </c>
      <c r="JM82" s="152">
        <f>IF(OR($AW82="",COUNTIF($EF$3:$EJ$3,$AW82)&gt;0),$AV82,"")</f>
        <v/>
      </c>
      <c r="JN82" s="152">
        <f>IF(AND($AX82=1,OR($AW82="",COUNTIF($EF$3:$EJ$3,$AW82)&gt;0)),$AV82,"")</f>
        <v/>
      </c>
      <c r="JS82" s="152">
        <f>IF(OR($AW82="",COUNTIF($EF$4:$EJ$4,$AW82)&gt;0),$AV82,"")</f>
        <v/>
      </c>
      <c r="JT82" s="152">
        <f>IF(AND($AX82=1,OR($AW82="",COUNTIF($EF$4:$EJ$4,$AW82)&gt;0)),$AV82,"")</f>
        <v/>
      </c>
      <c r="JY82" s="152">
        <f>IF(OR($AW82="",COUNTIF($EF$5:$EJ$5,$AW82)&gt;0),$AV82,"")</f>
        <v/>
      </c>
      <c r="JZ82" s="152">
        <f>IF(AND($AX82=1,OR($AW82="",COUNTIF($EF$5:$EJ$5,$AW82)&gt;0)),$AV82,"")</f>
        <v/>
      </c>
      <c r="KE82" s="152">
        <f>IF(OR($AW82="",COUNTIF($EF$6:$EJ$6,$AW82)&gt;0),$AV82,"")</f>
        <v/>
      </c>
      <c r="KF82" s="152">
        <f>IF(AND($AX82=1,OR($AW82="",COUNTIF($EF$6:$EJ$6,$AW82)&gt;0)),$AV82,"")</f>
        <v/>
      </c>
      <c r="KK82" s="152">
        <f>IF(OR($AW82="",COUNTIF($EF$7:$EJ$7,$AW82)&gt;0),$AV82,"")</f>
        <v/>
      </c>
      <c r="KL82" s="152">
        <f>IF(AND($AX82=1,OR($AW82="",COUNTIF($EF$7:$EJ$7,$AW82)&gt;0)),$AV82,"")</f>
        <v/>
      </c>
      <c r="KQ82" s="152">
        <f>IF(OR($AW82="",COUNTIF($EF$8:$EJ$8,$AW82)&gt;0),$AV82,"")</f>
        <v/>
      </c>
      <c r="KR82" s="152">
        <f>IF(AND($AX82=1,OR($AW82="",COUNTIF($EF$8:$EJ$8,$AW82)&gt;0)),$AV82,"")</f>
        <v/>
      </c>
      <c r="KW82" s="152">
        <f>IF(OR($AW82="",COUNTIF($EF$9:$EJ$9,$AW82)&gt;0),$AV82,"")</f>
        <v/>
      </c>
      <c r="KX82" s="152">
        <f>IF(AND($AX82=1,OR($AW82="",COUNTIF($EF$9:$EJ$9,$AW82)&gt;0)),$AV82,"")</f>
        <v/>
      </c>
      <c r="LC82" s="152">
        <f>IF(OR($AW82="",COUNTIF($EF$10:$EJ$10,$AW82)&gt;0),$AV82,"")</f>
        <v/>
      </c>
      <c r="LD82" s="152">
        <f>IF(AND($AX82=1,OR($AW82="",COUNTIF($EF$10:$EJ$10,$AW82)&gt;0)),$AV82,"")</f>
        <v/>
      </c>
      <c r="LI82" s="152">
        <f>IF(OR($AW82="",COUNTIF($EF$11:$EJ$11,$AW82)&gt;0),$AV82,"")</f>
        <v/>
      </c>
      <c r="LJ82" s="152">
        <f>IF(AND($AX82=1,OR($AW82="",COUNTIF($EF$11:$EJ$11,$AW82)&gt;0)),$AV82,"")</f>
        <v/>
      </c>
      <c r="LO82" s="152">
        <f>IF(OR($AW82="",COUNTIF($EF$12:$EJ$12,$AW82)&gt;0),$AV82,"")</f>
        <v/>
      </c>
      <c r="LP82" s="152">
        <f>IF(AND($AX82=1,OR($AW82="",COUNTIF($EF$12:$EJ$12,$AW82)&gt;0)),$AV82,"")</f>
        <v/>
      </c>
      <c r="LU82" s="152">
        <f>IF(OR($AW82="",COUNTIF($EF$13:$EJ$13,$AW82)&gt;0),$AV82,"")</f>
        <v/>
      </c>
      <c r="LV82" s="152">
        <f>IF(AND($AX82=1,OR($AW82="",COUNTIF($EF$13:$EJ$13,$AW82)&gt;0)),$AV82,"")</f>
        <v/>
      </c>
      <c r="MA82" s="150" t="inlineStr">
        <is>
          <t>Ficha 7 · Especial 2</t>
        </is>
      </c>
      <c r="MB82" s="152" t="n">
        <v>7</v>
      </c>
      <c r="MC82" s="152" t="n">
        <v>1</v>
      </c>
      <c r="MD82" s="152" t="n">
        <v>4</v>
      </c>
      <c r="ME82" s="150" t="inlineStr">
        <is>
          <t>ESPECIAL 2</t>
        </is>
      </c>
      <c r="MF82" s="152">
        <f>MAX(1,MIN(7,N('INVOCAÇÕES'!$AN$58)))</f>
        <v/>
      </c>
      <c r="MG82" s="152">
        <f>'INVOCAÇÕES'!$AO$58&amp;""</f>
        <v/>
      </c>
      <c r="MH82" s="152">
        <f>'INVOCAÇÕES'!$AN$63&amp;""</f>
        <v/>
      </c>
      <c r="MI82" s="152">
        <f>'INVOCAÇÕES'!$AN$64&amp;""</f>
        <v/>
      </c>
      <c r="MJ82" s="152">
        <f>'INVOCAÇÕES'!$AP$64&amp;""</f>
        <v/>
      </c>
      <c r="MK82" s="152">
        <f>'INVOCAÇÕES'!$AO$67&amp;""</f>
        <v/>
      </c>
      <c r="ML82" s="152">
        <f>'INVOCAÇÕES'!$AO$68&amp;""</f>
        <v/>
      </c>
      <c r="MM82" s="152">
        <f>'INVOCAÇÕES'!$AO$69&amp;""</f>
        <v/>
      </c>
      <c r="MN82" s="152">
        <f>'INVOCAÇÕES'!$AO$70&amp;""</f>
        <v/>
      </c>
      <c r="MO82" s="152">
        <f>'INVOCAÇÕES'!$AO$71&amp;""</f>
        <v/>
      </c>
      <c r="MP82" s="152">
        <f>'INVOCAÇÕES'!$AO$72&amp;""</f>
        <v/>
      </c>
      <c r="MQ82" s="152">
        <f>IF($MG82&lt;&gt;"",1,0)</f>
        <v/>
      </c>
      <c r="MR82" s="152">
        <f>INDEX($FI$2:$FI$13,$MB82)</f>
        <v/>
      </c>
      <c r="MS82" s="152">
        <f>INDEX($FJ$2:$FJ$13,$MB82)</f>
        <v/>
      </c>
      <c r="MT82" s="152">
        <f>INDEX($FK$2:$FK$13,$MB82)</f>
        <v/>
      </c>
      <c r="MU82" s="152">
        <f>INDEX($FV$2:$FV$13,$MB82)</f>
        <v/>
      </c>
      <c r="MV82" s="152">
        <f>INDEX($FW$2:$FW$13,$MB82)</f>
        <v/>
      </c>
      <c r="MW82" s="152">
        <f>IFERROR(MATCH($MH82,$V$2:$V$11,0),0)</f>
        <v/>
      </c>
      <c r="MX82" s="152">
        <f>IFERROR(VLOOKUP($MK82,$AV$2:$BA$84,2,FALSE),"")</f>
        <v/>
      </c>
      <c r="MY82" s="152">
        <f>IFERROR(VLOOKUP($ML82,$AV$2:$BA$84,2,FALSE),"")</f>
        <v/>
      </c>
      <c r="MZ82" s="152">
        <f>IFERROR(VLOOKUP($MM82,$AV$2:$BA$84,2,FALSE),"")</f>
        <v/>
      </c>
      <c r="NA82" s="152">
        <f>IFERROR(VLOOKUP($MN82,$AV$2:$BA$84,2,FALSE),"")</f>
        <v/>
      </c>
      <c r="NB82" s="152">
        <f>IFERROR(VLOOKUP($MK82,$AV$2:$BA$84,3,FALSE),0)</f>
        <v/>
      </c>
      <c r="NC82" s="152">
        <f>IFERROR(VLOOKUP($ML82,$AV$2:$BA$84,3,FALSE),0)</f>
        <v/>
      </c>
      <c r="ND82" s="152">
        <f>IFERROR(VLOOKUP($MM82,$AV$2:$BA$84,3,FALSE),0)</f>
        <v/>
      </c>
      <c r="NE82" s="152">
        <f>IFERROR(VLOOKUP($MN82,$AV$2:$BA$84,3,FALSE),0)</f>
        <v/>
      </c>
      <c r="NF82" s="152">
        <f>IF($MF82=0,0,IF($MW82=0,0,INDEX($X$2:$X$11,$MW82)))</f>
        <v/>
      </c>
      <c r="NG82" s="152">
        <f>IF(OR($NB82=0,$MF82=0),0,$NB82+3*IF(AND($MX82&lt;&gt;"",OR($MX82=INDEX($EF$2:$EF$13,$MB82),$MX82=INDEX($EG$2:$EG$13,$MB82))),1,0))</f>
        <v/>
      </c>
      <c r="NH82" s="152">
        <f>IF(OR($NC82=0,$MF82=0),0,$NC82+3*IF(AND($MY82&lt;&gt;"",OR($MY82=INDEX($EF$2:$EF$13,$MB82),$MY82=INDEX($EG$2:$EG$13,$MB82))),1,0))</f>
        <v/>
      </c>
      <c r="NI82" s="152">
        <f>IF(OR($ND82=0,$MF82=0),0,$ND82+3*IF(AND($MZ82&lt;&gt;"",OR($MZ82=INDEX($EF$2:$EF$13,$MB82),$MZ82=INDEX($EG$2:$EG$13,$MB82))),1,0))</f>
        <v/>
      </c>
      <c r="NJ82" s="152">
        <f>IF(OR($NE82=0,$MF82=0),0,$NE82+3*IF(AND($NA82&lt;&gt;"",OR($NA82=INDEX($EF$2:$EF$13,$MB82),$NA82=INDEX($EG$2:$EG$13,$MB82))),1,0))</f>
        <v/>
      </c>
      <c r="NK82" s="152">
        <f>IF($MW82=0,0,IF(INDEX($W$2:$W$11,$MW82)="",0,IF(COUNTIF(INDEX($EF$2:$EJ$13,$MB82,0),INDEX($W$2:$W$11,$MW82))=0,1,0)))</f>
        <v/>
      </c>
      <c r="NL82" s="152">
        <f>IF(OR($NB82=0,$MX82=""),0,IF(COUNTIF(INDEX($EF$2:$EJ$13,$MB82,0),$MX82)=0,1,0))</f>
        <v/>
      </c>
      <c r="NM82" s="152">
        <f>IF(OR($NC82=0,$MY82=""),0,IF(COUNTIF(INDEX($EF$2:$EJ$13,$MB82,0),$MY82)=0,1,0))</f>
        <v/>
      </c>
      <c r="NN82" s="152">
        <f>IF(OR($ND82=0,$MZ82=""),0,IF(COUNTIF(INDEX($EF$2:$EJ$13,$MB82,0),$MZ82)=0,1,0))</f>
        <v/>
      </c>
      <c r="NO82" s="152">
        <f>IF(OR($NE82=0,$NA82=""),0,IF(COUNTIF(INDEX($EF$2:$EJ$13,$MB82,0),$NA82)=0,1,0))</f>
        <v/>
      </c>
      <c r="NP82" s="152">
        <f>IFERROR(VLOOKUP($MK82,$AV$2:$BA$84,4,FALSE),0)+IFERROR(VLOOKUP($ML82,$AV$2:$BA$84,4,FALSE),0)+IFERROR(VLOOKUP($MM82,$AV$2:$BA$84,4,FALSE),0)+IFERROR(VLOOKUP($MN82,$AV$2:$BA$84,4,FALSE),0)</f>
        <v/>
      </c>
      <c r="NQ82" s="152">
        <f>IFERROR(VLOOKUP($MK82,$AV$2:$BA$84,6,FALSE),0)+IFERROR(VLOOKUP($ML82,$AV$2:$BA$84,6,FALSE),0)+IFERROR(VLOOKUP($MM82,$AV$2:$BA$84,6,FALSE),0)+IFERROR(VLOOKUP($MN82,$AV$2:$BA$84,6,FALSE),0)</f>
        <v/>
      </c>
      <c r="NR82" s="152">
        <f>TEXTJOIN(", ",TRUE,IF(IFERROR(VLOOKUP($MK82,$AV$2:$BA$84,5,FALSE),0)=1,$MK82,""),IF(IFERROR(VLOOKUP($ML82,$AV$2:$BA$84,5,FALSE),0)=1,$ML82,""),IF(IFERROR(VLOOKUP($MM82,$AV$2:$BA$84,5,FALSE),0)=1,$MM82,""),IF(IFERROR(VLOOKUP($MN82,$AV$2:$BA$84,5,FALSE),0)=1,$MN82,""))</f>
        <v/>
      </c>
      <c r="NS82" s="152">
        <f>IF($MW82=0,0,INDEX($Y$2:$Y$11,$MW82))</f>
        <v/>
      </c>
      <c r="NT82" s="152">
        <f>IF($MW82=0,0,INDEX($Z$2:$Z$11,$MW82))</f>
        <v/>
      </c>
      <c r="NU82" s="152">
        <f>IF($MW82=0,0,INDEX($AB$2:$AB$11,$MW82))</f>
        <v/>
      </c>
      <c r="NV82" s="152">
        <f>IFERROR(VLOOKUP($MO82,$BC$2:$BG$24,3,FALSE),0)</f>
        <v/>
      </c>
      <c r="NW82" s="152">
        <f>IFERROR(VLOOKUP($MP82,$BC$2:$BG$24,3,FALSE),0)</f>
        <v/>
      </c>
      <c r="NX82" s="152">
        <f>IFERROR(VLOOKUP($MO82,$BC$2:$BG$24,2,FALSE),"")</f>
        <v/>
      </c>
      <c r="NY82" s="152">
        <f>IFERROR(VLOOKUP($MP82,$BC$2:$BG$24,2,FALSE),"")</f>
        <v/>
      </c>
      <c r="NZ82" s="152">
        <f>COUNTIF($NF82:$NJ82,1)</f>
        <v/>
      </c>
      <c r="OA82" s="152">
        <f>COUNTIF($NF82:$NJ82,2)</f>
        <v/>
      </c>
      <c r="OB82" s="152">
        <f>COUNTIF($NF82:$NJ82,3)</f>
        <v/>
      </c>
      <c r="OC82" s="152">
        <f>COUNTIF($NF82:$NJ82,4)</f>
        <v/>
      </c>
      <c r="OD82" s="152">
        <f>COUNTIF($NF82:$NJ82,5)</f>
        <v/>
      </c>
      <c r="OE82" s="152">
        <f>COUNTIF($NF82:$NJ82,6)</f>
        <v/>
      </c>
      <c r="OF82" s="152">
        <f>COUNTIF($NV82:$NW82,1)</f>
        <v/>
      </c>
      <c r="OG82" s="152">
        <f>COUNTIF($NV82:$NW82,2)+$NS82</f>
        <v/>
      </c>
      <c r="OH82" s="152">
        <f>COUNTIF($MK82:$MN82,"?*")</f>
        <v/>
      </c>
      <c r="OI82" s="152">
        <f>COUNTIF($MO82:$MP82,"?*")+$NS82</f>
        <v/>
      </c>
      <c r="OJ82" s="152">
        <f>IF($MF82=0,0,SUMPRODUCT($NZ82:$OE82,INDEX($I$2:$N$8,MAX(1,$MF82),0)))</f>
        <v/>
      </c>
      <c r="OK82" s="152">
        <f>IF($MF82=0,0,$OF82*CEILING($MF82/2,1)+$OG82*$MF82)</f>
        <v/>
      </c>
      <c r="OL82" s="152">
        <f>MIN(2*$MF82,$OK82)</f>
        <v/>
      </c>
      <c r="OM82" s="152">
        <f>MIN($OL82,$OJ82)</f>
        <v/>
      </c>
      <c r="ON82" s="152">
        <f>$OL82-$OM82</f>
        <v/>
      </c>
      <c r="OO82" s="152">
        <f>IF($MF82=0,0,INDEX($P$2:$P$8,MAX(1,$MF82)))</f>
        <v/>
      </c>
      <c r="OP82" s="152">
        <f>$OO82-$OJ82+$OM82</f>
        <v/>
      </c>
      <c r="OQ82" s="152">
        <f>IF($MF82=0,MAX(0,$MT82-IF($OH82&gt;0,1,0)),MAX(0,$OP82))</f>
        <v/>
      </c>
      <c r="OR82" s="152">
        <f>IF($MF82=0,0,(IF(COUNTIF($MK82:$MN82,"Salto")&gt;0,1,0)+IF(COUNTIF($MK82:$MN82,"Queima")&gt;0,1,0)+IF(COUNTIF($MK82:$MN82,"Estilhaço")&gt;0,1,0))*FLOOR($OQ82/2,1))</f>
        <v/>
      </c>
      <c r="OS82" s="152">
        <f>MAX(0,2-SUMPRODUCT($NZ82:$OE82,$I$2:$N$2)+MIN(2,$OF82*1+$OG82*1,SUMPRODUCT($NZ82:$OE82,$I$2:$N$2)))</f>
        <v/>
      </c>
      <c r="OT82" s="152">
        <f>MAX(0,4-SUMPRODUCT($NZ82:$OE82,$I$3:$N$3)+MIN(4,$OF82*1+$OG82*2,SUMPRODUCT($NZ82:$OE82,$I$3:$N$3)))</f>
        <v/>
      </c>
      <c r="OU82" s="152">
        <f>MAX(0,6-SUMPRODUCT($NZ82:$OE82,$I$4:$N$4)+MIN(6,$OF82*2+$OG82*3,SUMPRODUCT($NZ82:$OE82,$I$4:$N$4)))</f>
        <v/>
      </c>
      <c r="OV82" s="152">
        <f>MAX(0,9-SUMPRODUCT($NZ82:$OE82,$I$5:$N$5)+MIN(8,$OF82*2+$OG82*4,SUMPRODUCT($NZ82:$OE82,$I$5:$N$5)))</f>
        <v/>
      </c>
      <c r="OW82" s="152">
        <f>MAX(0,11-SUMPRODUCT($NZ82:$OE82,$I$6:$N$6)+MIN(10,$OF82*3+$OG82*5,SUMPRODUCT($NZ82:$OE82,$I$6:$N$6)))</f>
        <v/>
      </c>
      <c r="OX82" s="152">
        <f>MAX(0,13-SUMPRODUCT($NZ82:$OE82,$I$7:$N$7)+MIN(12,$OF82*3+$OG82*6,SUMPRODUCT($NZ82:$OE82,$I$7:$N$7)))</f>
        <v/>
      </c>
      <c r="OY82" s="152">
        <f>MAX(0,16-SUMPRODUCT($NZ82:$OE82,$I$8:$N$8)+MIN(14,$OF82*4+$OG82*7,SUMPRODUCT($NZ82:$OE82,$I$8:$N$8)))</f>
        <v/>
      </c>
      <c r="OZ82" s="152">
        <f>IF($NT82=2,3*$OS82&amp;" de vida temp.",IF($NT82=3,"sem dano",IF($OS82=0,IF($NT82=1,"sem cura","sem dano"),IF($NT82=1,"cura ","")&amp;$OS82&amp;"d8")))</f>
        <v/>
      </c>
      <c r="PA82" s="152">
        <f>IF($NT82=2,3*$OT82&amp;" de vida temp.",IF($NT82=3,"sem dano",IF($OT82=0,IF($NT82=1,"sem cura","sem dano"),IF($NT82=1,"cura ","")&amp;$OT82&amp;"d8")))</f>
        <v/>
      </c>
      <c r="PB82" s="152">
        <f>IF($NT82=2,3*$OU82&amp;" de vida temp.",IF($NT82=3,"sem dano",IF($OU82=0,IF($NT82=1,"sem cura","sem dano"),IF($NT82=1,"cura ","")&amp;$OU82&amp;"d8")))</f>
        <v/>
      </c>
      <c r="PC82" s="152">
        <f>IF($NT82=2,3*$OV82&amp;" de vida temp.",IF($NT82=3,"sem dano",IF($OV82=0,IF($NT82=1,"sem cura","sem dano"),IF($NT82=1,"cura ","")&amp;$OV82&amp;"d8")))</f>
        <v/>
      </c>
      <c r="PD82" s="152">
        <f>IF($NT82=2,3*$OW82&amp;" de vida temp.",IF($NT82=3,"sem dano",IF($OW82=0,IF($NT82=1,"sem cura","sem dano"),IF($NT82=1,"cura ","")&amp;$OW82&amp;"d8")))</f>
        <v/>
      </c>
      <c r="PE82" s="152">
        <f>IF($NT82=2,3*$OX82&amp;" de vida temp.",IF($NT82=3,"sem dano",IF($OX82=0,IF($NT82=1,"sem cura","sem dano"),IF($NT82=1,"cura ","")&amp;$OX82&amp;"d8")))</f>
        <v/>
      </c>
      <c r="PF82" s="152">
        <f>IF($NT82=2,3*$OY82&amp;" de vida temp.",IF($NT82=3,"sem dano",IF($OY82=0,IF($NT82=1,"sem cura","sem dano"),IF($NT82=1,"cura ","")&amp;$OY82&amp;"d8")))</f>
        <v/>
      </c>
      <c r="PG82" s="152">
        <f>IF($MQ82=0,"",TEXTJOIN(" · ",TRUE,IF($MD82&gt;$MR82,"Este lugar abre no nível "&amp;$MD82,""),IF($MF82&gt;$MS82,"Classe "&amp;$MF82&amp;": o nível "&amp;$MR82&amp;" libera até a "&amp;$MS82,""),IF($NK82=1,"A Forma "&amp;$MH82&amp;" pede "&amp;INDEX($W$2:$W$11,$MW82)&amp;" aberta",""),IF(AND($MF82=0,$MW82&gt;0,IF($MW82=0,0,INDEX($AF$2:$AF$11,$MW82))=0),$MH82&amp;" não existe na Classe 0",""),IF($NL82=1,"Família Fechada: "&amp;$MK82,""),IF($NM82=1,"Família Fechada: "&amp;$ML82,""),IF($NN82=1,"Família Fechada: "&amp;$MM82,""),IF($NO82=1,"Família Fechada: "&amp;$MN82,""),IF(AND($MF82&gt;0,$OH82&gt;INDEX($O$2:$O$8,MAX(1,$MF82))),$OH82&amp;" Melhorias: a Classe "&amp;$MF82&amp;" aceita "&amp;INDEX($O$2:$O$8,MAX(1,$MF82)),""),IF(AND($MF82=0,$OH82&gt;1),"A básica aceita uma Melhoria",""),IF(AND($MF82=0,COUNTIF($NB82:$NE82,"&gt;1")&gt;0),"A básica só aceita Melhoria Leve",""),IF(AND($MF82&gt;0,$OI82&gt;2),$OI82&amp;" Restrições"&amp;IF($NS82=1,", contando a que a Forma "&amp;$MH82&amp;" já traz","")&amp;": o limite é 2",""),IF(AND($MF82=0,COUNTIF($MO82:$MP82,"?*")&gt;1),"A básica aceita uma Restrição Leve",""),IF(AND($MF82=0,COUNTIF($NV82:$NW82,2)&gt;0),"A básica só aceita Restrição Leve",""),IF(AND($MF82&gt;0,$OP82&lt;0),"Orçamento estourado: faltam "&amp;(-$OP82)&amp;IF($OP82&lt;-1," pontos"," ponto"),""),IF(IFERROR(VLOOKUP($MO82,$BC$2:$BG$24,4,FALSE),0)+IFERROR(VLOOKUP($MP82,$BC$2:$BG$24,4,FALSE),0)&gt;1,$NX82&amp;" e "&amp;$NY82&amp;" são as duas de frequência",""),IF(AND((COUNTIF($MK82:$MN82,"Rápido")+COUNTIF($NX82:$NY82,"Rápido"))&gt;0,(COUNTIF($MK82:$MN82,"Atrasar")+COUNTIF($NX82:$NY82,"Atrasar"))&gt;0),"Rápido não entra com Atrasar",""),IF(AND((COUNTIF($MK82:$MN82,"Reação")+COUNTIF($NX82:$NY82,"Reação"))&gt;0,(COUNTIF($MK82:$MN82,"Rápido")+COUNTIF($NX82:$NY82,"Rápido"))&gt;0),"Reação não entra com Rápido",""),IF(AND((COUNTIF($MK82:$MN82,"Reação")+COUNTIF($NX82:$NY82,"Reação"))&gt;0,(COUNTIF($MK82:$MN82,"Armado")+COUNTIF($NX82:$NY82,"Armado"))&gt;0),"Reação não entra com Armado",""),IF(AND((COUNTIF($MK82:$MN82,"Reação")+COUNTIF($NX82:$NY82,"Reação"))&gt;0,(COUNTIF($MK82:$MN82,"Atrasar")+COUNTIF($NX82:$NY82,"Atrasar"))&gt;0),"Reação não entra com Atrasar",""),IF(AND((COUNTIF($MK82:$MN82,"Reação")+COUNTIF($NX82:$NY82,"Reação"))&gt;0,(COUNTIF($MK82:$MN82,"Parado")+COUNTIF($NX82:$NY82,"Parado"))&gt;0),"Reação não entra com Parado",""),IF(AND((COUNTIF($MK82:$MN82,"Atrasar")+COUNTIF($NX82:$NY82,"Atrasar"))&gt;0,(COUNTIF($MK82:$MN82,"Parado")+COUNTIF($NX82:$NY82,"Parado"))&gt;0),"Atrasar não entra com Parado",""),IF(AND((COUNTIF($MK82:$MN82,"Armado")+COUNTIF($NX82:$NY82,"Armado"))&gt;0,(COUNTIF($MK82:$MN82,"Carregar")+COUNTIF($NX82:$NY82,"Carregar"))&gt;0),"Armado não entra com Carregar",""),IF(AND(COUNTIF($NX82:$NY82,"Corpo a Corpo")&gt;0,$NS82=0,OR($MH82="Cone",$MH82="Linha")),"Corpo a Corpo não entra em "&amp;$MH82,""),IF(AND(COUNTIF($NX82:$NY82,"Corpo a Corpo")&gt;0,$NS82=1),"A Forma "&amp;$MH82&amp;" já traz o Corpo a Corpo",""),IF(AND(COUNTIF($NX82:$NY82,"Tudo ou Nada")&gt;0,$NU82=0),"Tudo ou Nada só entra em habilidade de Teste de Resistência",""),IF(AND(COUNTIF($MK82:$MN82,"Inescapável")&gt;0,OR($OH82&gt;1,$OI82&gt;0)),"Inescapável não aceita outra peça",""),IF(AND($MF82&gt;0,$OQ82*IF(COUNTIF($MK82:$MN82,"Remate")&gt;0,1.25,1)+$OR82&gt;4*$MF82),($OQ82*IF(COUNTIF($MK82:$MN82,"Remate")&gt;0,1.25,1)+$OR82)&amp;" dados somando repetições"&amp;IF(COUNTIF($MK82:$MN82,"Remate")&gt;0," e o Remate","")&amp;": o teto da Classe "&amp;$MF82&amp;" é "&amp;4*$MF82,"")))</f>
        <v/>
      </c>
      <c r="PH82" s="152">
        <f>IF($PG82="",0,(LEN($PG82)-LEN(SUBSTITUTE($PG82," · ","")))/3+1)</f>
        <v/>
      </c>
      <c r="PI82" s="152">
        <f>IF($MQ82=0,"",TEXTJOIN(" · ",TRUE,IF($OK82&gt;2*$MF82,"A devolução parou no teto de "&amp;2*$MF82,""),IF($ON82&gt;0,"Devolução perdida: "&amp;$ON82&amp;IF($ON82&gt;1," pontos"," ponto")&amp;" sem peça para pagar",""),IF(AND($NP82&gt;0,AND($MF82&gt;0,$NT82=0),$OQ82=0),"Controle sem dano: uma rodada a mais e CD +2",""),IF(AND($NP82&gt;0,AND($MF82&gt;0,$NT82=0),$OQ82&gt;0,$OQ82&lt;=$MF82),"Controle com saldo até a Classe: uma rodada a mais",""),IF(AND($MF82&gt;0,$NR82&lt;&gt;""),"Efeito de "&amp;$NR82&amp;" pela Classe "&amp;MAX(1,$MF82-1),"")))</f>
        <v/>
      </c>
      <c r="PJ82" s="152">
        <f>IF($PI82="",0,(LEN($PI82)-LEN(SUBSTITUTE($PI82," · ","")))/3+1)</f>
        <v/>
      </c>
      <c r="PK82" s="152">
        <f>IF($MQ82=0,IF($OH82+COUNTIF($MO82:$MP82,"?*")&gt;0,"Dê um nome",""),IF($PH82&gt;0,"⚠ "&amp;$PH82&amp;IF($PH82&gt;1," erros"," erro"),IF($PJ82&gt;0,"! "&amp;$PJ82&amp;IF($PJ82&gt;1," avisos"," aviso"),"Na regra")))</f>
        <v/>
      </c>
      <c r="PL82" s="152">
        <f>IF($MQ82=0,"",IF($PH82+$PJ82=0,"Dentro das regras que a ficha confere",$PG82&amp;IF(AND($PH82&gt;0,$PJ82&gt;0)," · ","")&amp;$PI82))</f>
        <v/>
      </c>
      <c r="PM82" s="152">
        <f>IF($MD82&gt;$MR82,$ME82&amp;" · ABRE NO NÍVEL "&amp;$MD82,$ME82)</f>
        <v/>
      </c>
      <c r="PN82" s="152">
        <f>IF($MQ82=0,"",IF($MF82=0,"Sem PE",3*$MF82&amp;" PE"))</f>
        <v/>
      </c>
      <c r="PO82" s="152">
        <f>IF($MQ82=0,"",IF($MF82=0,"A atuação básica dela",IF(COUNTIF($NX82:$NY82,"Atrasar")&gt;0,"Sua Ação Completa",IF(COUNTIF($MK82:$MN82,"Rápido")&gt;0,"Sua Bônus",IF(COUNTIF($MK82:$MN82,"Reação")&gt;0,"Sua Reação","Sua Padrão")))&amp;" + a básica dela"&amp;IF(COUNTIF($MK82:$MN82,"Reação")&gt;0," e a coletiva","")&amp;IF(COUNTIF($NX82:$NY82,"Carregar")&gt;0," · em dois turnos","")))</f>
        <v/>
      </c>
      <c r="PP82" s="152">
        <f>IF($MJ82&lt;&gt;"",$MJ82,IF($MW82=0,"",INDEX($AA$2:$AA$11,$MW82)))</f>
        <v/>
      </c>
      <c r="PQ82" s="152">
        <f>IF(OR($MQ82=0,$MW82=0),"",IF(COUNTIF($MK82:$MN82,"Inescapável")&gt;0,"Automático",IF($PP82="Ataque",IF($MU82="","Ataque","Ataque "&amp;IF(($MU82+2*IF(COUNTIF($MK82:$MN82,"Precisão")&gt;0,1,0))&gt;=0,"+","−")&amp;ABS(($MU82+2*IF(COUNTIF($MK82:$MN82,"Precisão")&gt;0,1,0))))&amp;IF($NQ82&gt;0," · TR"&amp;IF($MV82="",""," CD "&amp;$MV82),""),IF(LEFT($PP82,2)="TR",$PP82&amp;IF($MV82="",""," · CD "&amp;$MV82)&amp;IF(COUNTIF($MK82:$MN82,"Certeiro")&gt;0," · metade",""),"Sem rolagem"))))</f>
        <v/>
      </c>
      <c r="PR82" s="152">
        <f>IF(OR($MQ82=0,$MW82=0),"",IF($MF82=0,IF(OR($NT82&gt;=1,$OQ82=0),"Sem dano",$OQ82&amp;"d6"&amp;IF($MI82="",""," "&amp;$MI82)),IF(OR($NT82&gt;=1,$OQ82=0),UPPER(LEFT(INDEX($OZ82:$PF82,1,MAX(1,$MF82)),1))&amp;MID(INDEX($OZ82:$PF82,1,MAX(1,$MF82)),2,99),UPPER(LEFT(INDEX($OZ82:$PF82,1,MAX(1,$MF82)),1))&amp;MID(INDEX($OZ82:$PF82,1,MAX(1,$MF82)),2,99)&amp;IF($MI82="",""," "&amp;$MI82)&amp;IF($OR82&gt;0," · +"&amp;$OR82&amp;"d8",""))))</f>
        <v/>
      </c>
      <c r="PS82" s="152">
        <f>COUNTIF($MK82:$MN82,"Longe")+3*COUNTIF($MK82:$MN82,"Muito Longe")</f>
        <v/>
      </c>
      <c r="PT82" s="152">
        <f>COUNTIF($MK82:$MN82,"Maior")+3*COUNTIF($MK82:$MN82,"Muito Maior")</f>
        <v/>
      </c>
      <c r="PU82" s="152">
        <f>IF($MW82=0,0,CHOOSE(1+INDEX($AC$2:$AC$11,$MW82),0,$PS82,$PT82,$PS82+$PT82))</f>
        <v/>
      </c>
      <c r="PV82" s="152">
        <f>IF($MW82=0,0,CHOOSE(1+INDEX($AD$2:$AD$11,$MW82),0,$PS82,$PT82,$PS82+$PT82))</f>
        <v/>
      </c>
      <c r="PW82" s="152">
        <f>IF(OR($MQ82=0,$MW82=0),"",INDEX($AI$2:$AN$41,($MW82-1)*4+IF($MF82=0,1,IF($MF82&lt;=5,2,IF($MF82=6,3,4))),1+MIN(5,$PU82))&amp;INDEX($AO$2:$AT$41,($MW82-1)*4+IF($MF82=0,1,IF($MF82&lt;=5,2,IF($MF82=6,3,4))),1+MIN(5,$PV82))&amp;IF(INDEX($AE$2:$AE$11,$MW82)=1,IF(COUNTIF($MK82:$MN82,"Mais Um")&gt;0," · +"&amp;COUNTIF($MK82:$MN82,"Mais Um")&amp;IF(COUNTIF($MK82:$MN82,"Mais Um")&gt;1," alvos"," alvo"),"")&amp;IF(COUNTIF($MK82:$MN82,"Rajada")&gt;0,IF($MF82=0," · 1 tiro"," · "&amp;(MAX(1,$MF82-1)+1)&amp;" tiros"),""),""))</f>
        <v/>
      </c>
      <c r="PX82" s="152">
        <f>IF($MQ82=0,"",IF($MF82=0,$MT82&amp;"d6"&amp;IF($OH82&gt;0," − 1 = "&amp;$OQ82&amp;"d6"," da básica do nível "&amp;$MR82),$OO82&amp;" − "&amp;$OJ82&amp;" + "&amp;$OM82&amp;" = "&amp;$OP82&amp;" · teto "&amp;4*$MF82&amp;"d8"&amp;IF($NS82=1," · a Forma devolve "&amp;$MF82,"")&amp;IF($ON82&gt;0," · perde "&amp;$ON82,"")))</f>
        <v/>
      </c>
      <c r="PY82" s="152">
        <f>IF($MQ82=0,"",IF($MF82=0,"A básica não amplia: os dados dela sobem com o nível",IF($MF82&gt;=$MS82,"Já está na maior Classe que o nível liberou",TEXTJOIN(" · ",TRUE,IF(AND(2&gt;$MF82,2&lt;=$MS82),"2 → "&amp;$PA82&amp;", 6 PE",""),IF(AND(3&gt;$MF82,3&lt;=$MS82),"3 → "&amp;$PB82&amp;", 9 PE",""),IF(AND(4&gt;$MF82,4&lt;=$MS82),"4 → "&amp;$PC82&amp;", 12 PE",""),IF(AND(5&gt;$MF82,5&lt;=$MS82),"5 → "&amp;$PD82&amp;", 15 PE",""),IF(AND(6&gt;$MF82,6&lt;=$MS82),"6 → "&amp;$PE82&amp;", 18 PE",""),IF(AND(7&gt;$MF82,7&lt;=$MS82),"7 → "&amp;$PF82&amp;", 21 PE","")))))</f>
        <v/>
      </c>
      <c r="PZ82" s="152">
        <f>IF(OR($MQ82=0,$NB82=0),"",IF($MF82=0,"−1 dado","−"&amp;INDEX($I$2:$N$8,MAX(1,$MF82),MAX(1,$NG82))&amp;" · "&amp;CHOOSE(MAX(1,$NG82),"Leve","Média","Pesada","Leve · Livre","Média · Livre","Pesada · Livre")))</f>
        <v/>
      </c>
      <c r="QA82" s="152">
        <f>IF(OR($MQ82=0,$NC82=0),"",IF($MF82=0,"−1 dado","−"&amp;INDEX($I$2:$N$8,MAX(1,$MF82),MAX(1,$NH82))&amp;" · "&amp;CHOOSE(MAX(1,$NH82),"Leve","Média","Pesada","Leve · Livre","Média · Livre","Pesada · Livre")))</f>
        <v/>
      </c>
      <c r="QB82" s="152">
        <f>IF(OR($MQ82=0,$ND82=0),"",IF($MF82=0,"−1 dado","−"&amp;INDEX($I$2:$N$8,MAX(1,$MF82),MAX(1,$NI82))&amp;" · "&amp;CHOOSE(MAX(1,$NI82),"Leve","Média","Pesada","Leve · Livre","Média · Livre","Pesada · Livre")))</f>
        <v/>
      </c>
      <c r="QC82" s="152">
        <f>IF(OR($MQ82=0,$NE82=0),"",IF($MF82=0,"−1 dado","−"&amp;INDEX($I$2:$N$8,MAX(1,$MF82),MAX(1,$NJ82))&amp;" · "&amp;CHOOSE(MAX(1,$NJ82),"Leve","Média","Pesada","Leve · Livre","Média · Livre","Pesada · Livre")))</f>
        <v/>
      </c>
      <c r="QD82" s="152">
        <f>IF(OR($MQ82=0,$MO82=""),"",IF($MF82=0,"não devolve","+"&amp;IF($NV82=1,CEILING($MF82/2,1),$MF82)))</f>
        <v/>
      </c>
      <c r="QE82" s="152">
        <f>IF(OR($MQ82=0,$MP82=""),"",IF($MF82=0,"não devolve","+"&amp;IF($NW82=1,CEILING($MF82/2,1),$MF82)))</f>
        <v/>
      </c>
    </row>
    <row r="83">
      <c r="AV83" s="150" t="inlineStr">
        <is>
          <t>Efeito Próprio (Média)</t>
        </is>
      </c>
      <c r="AW83" s="150" t="inlineStr"/>
      <c r="AX83" s="152" t="n">
        <v>2</v>
      </c>
      <c r="AY83" s="152" t="n">
        <v>0</v>
      </c>
      <c r="AZ83" s="152" t="n">
        <v>0</v>
      </c>
      <c r="BA83" s="152" t="n">
        <v>0</v>
      </c>
      <c r="JG83" s="152">
        <f>IF(OR($AW83="",COUNTIF($EF$2:$EJ$2,$AW83)&gt;0),$AV83,"")</f>
        <v/>
      </c>
      <c r="JH83" s="152">
        <f>IF(AND($AX83=1,OR($AW83="",COUNTIF($EF$2:$EJ$2,$AW83)&gt;0)),$AV83,"")</f>
        <v/>
      </c>
      <c r="JM83" s="152">
        <f>IF(OR($AW83="",COUNTIF($EF$3:$EJ$3,$AW83)&gt;0),$AV83,"")</f>
        <v/>
      </c>
      <c r="JN83" s="152">
        <f>IF(AND($AX83=1,OR($AW83="",COUNTIF($EF$3:$EJ$3,$AW83)&gt;0)),$AV83,"")</f>
        <v/>
      </c>
      <c r="JS83" s="152">
        <f>IF(OR($AW83="",COUNTIF($EF$4:$EJ$4,$AW83)&gt;0),$AV83,"")</f>
        <v/>
      </c>
      <c r="JT83" s="152">
        <f>IF(AND($AX83=1,OR($AW83="",COUNTIF($EF$4:$EJ$4,$AW83)&gt;0)),$AV83,"")</f>
        <v/>
      </c>
      <c r="JY83" s="152">
        <f>IF(OR($AW83="",COUNTIF($EF$5:$EJ$5,$AW83)&gt;0),$AV83,"")</f>
        <v/>
      </c>
      <c r="JZ83" s="152">
        <f>IF(AND($AX83=1,OR($AW83="",COUNTIF($EF$5:$EJ$5,$AW83)&gt;0)),$AV83,"")</f>
        <v/>
      </c>
      <c r="KE83" s="152">
        <f>IF(OR($AW83="",COUNTIF($EF$6:$EJ$6,$AW83)&gt;0),$AV83,"")</f>
        <v/>
      </c>
      <c r="KF83" s="152">
        <f>IF(AND($AX83=1,OR($AW83="",COUNTIF($EF$6:$EJ$6,$AW83)&gt;0)),$AV83,"")</f>
        <v/>
      </c>
      <c r="KK83" s="152">
        <f>IF(OR($AW83="",COUNTIF($EF$7:$EJ$7,$AW83)&gt;0),$AV83,"")</f>
        <v/>
      </c>
      <c r="KL83" s="152">
        <f>IF(AND($AX83=1,OR($AW83="",COUNTIF($EF$7:$EJ$7,$AW83)&gt;0)),$AV83,"")</f>
        <v/>
      </c>
      <c r="KQ83" s="152">
        <f>IF(OR($AW83="",COUNTIF($EF$8:$EJ$8,$AW83)&gt;0),$AV83,"")</f>
        <v/>
      </c>
      <c r="KR83" s="152">
        <f>IF(AND($AX83=1,OR($AW83="",COUNTIF($EF$8:$EJ$8,$AW83)&gt;0)),$AV83,"")</f>
        <v/>
      </c>
      <c r="KW83" s="152">
        <f>IF(OR($AW83="",COUNTIF($EF$9:$EJ$9,$AW83)&gt;0),$AV83,"")</f>
        <v/>
      </c>
      <c r="KX83" s="152">
        <f>IF(AND($AX83=1,OR($AW83="",COUNTIF($EF$9:$EJ$9,$AW83)&gt;0)),$AV83,"")</f>
        <v/>
      </c>
      <c r="LC83" s="152">
        <f>IF(OR($AW83="",COUNTIF($EF$10:$EJ$10,$AW83)&gt;0),$AV83,"")</f>
        <v/>
      </c>
      <c r="LD83" s="152">
        <f>IF(AND($AX83=1,OR($AW83="",COUNTIF($EF$10:$EJ$10,$AW83)&gt;0)),$AV83,"")</f>
        <v/>
      </c>
      <c r="LI83" s="152">
        <f>IF(OR($AW83="",COUNTIF($EF$11:$EJ$11,$AW83)&gt;0),$AV83,"")</f>
        <v/>
      </c>
      <c r="LJ83" s="152">
        <f>IF(AND($AX83=1,OR($AW83="",COUNTIF($EF$11:$EJ$11,$AW83)&gt;0)),$AV83,"")</f>
        <v/>
      </c>
      <c r="LO83" s="152">
        <f>IF(OR($AW83="",COUNTIF($EF$12:$EJ$12,$AW83)&gt;0),$AV83,"")</f>
        <v/>
      </c>
      <c r="LP83" s="152">
        <f>IF(AND($AX83=1,OR($AW83="",COUNTIF($EF$12:$EJ$12,$AW83)&gt;0)),$AV83,"")</f>
        <v/>
      </c>
      <c r="LU83" s="152">
        <f>IF(OR($AW83="",COUNTIF($EF$13:$EJ$13,$AW83)&gt;0),$AV83,"")</f>
        <v/>
      </c>
      <c r="LV83" s="152">
        <f>IF(AND($AX83=1,OR($AW83="",COUNTIF($EF$13:$EJ$13,$AW83)&gt;0)),$AV83,"")</f>
        <v/>
      </c>
      <c r="MA83" s="150" t="inlineStr">
        <is>
          <t>Ficha 7 · Básica 2</t>
        </is>
      </c>
      <c r="MB83" s="152" t="n">
        <v>7</v>
      </c>
      <c r="MC83" s="152" t="n">
        <v>0</v>
      </c>
      <c r="MD83" s="152" t="n">
        <v>11</v>
      </c>
      <c r="ME83" s="150" t="inlineStr">
        <is>
          <t>BÁSICA 2</t>
        </is>
      </c>
      <c r="MF83" s="152" t="n">
        <v>0</v>
      </c>
      <c r="MG83" s="152">
        <f>'INVOCAÇÕES'!$AC$92&amp;""</f>
        <v/>
      </c>
      <c r="MH83" s="152">
        <f>'INVOCAÇÕES'!$AB$97&amp;""</f>
        <v/>
      </c>
      <c r="MI83" s="152">
        <f>'INVOCAÇÕES'!$AB$98&amp;""</f>
        <v/>
      </c>
      <c r="MJ83" s="152">
        <f>'INVOCAÇÕES'!$AD$98&amp;""</f>
        <v/>
      </c>
      <c r="MK83" s="152">
        <f>'INVOCAÇÕES'!$AC$101&amp;""</f>
        <v/>
      </c>
      <c r="ML83" s="152">
        <f>'INVOCAÇÕES'!$AC$102&amp;""</f>
        <v/>
      </c>
      <c r="MM83" s="152">
        <f>'INVOCAÇÕES'!$AC$103&amp;""</f>
        <v/>
      </c>
      <c r="MN83" s="152">
        <f>'INVOCAÇÕES'!$AC$104&amp;""</f>
        <v/>
      </c>
      <c r="MO83" s="152">
        <f>'INVOCAÇÕES'!$AC$105&amp;""</f>
        <v/>
      </c>
      <c r="MP83" s="152">
        <f>'INVOCAÇÕES'!$AC$106&amp;""</f>
        <v/>
      </c>
      <c r="MQ83" s="152">
        <f>IF($MG83&lt;&gt;"",1,0)</f>
        <v/>
      </c>
      <c r="MR83" s="152">
        <f>INDEX($FI$2:$FI$13,$MB83)</f>
        <v/>
      </c>
      <c r="MS83" s="152">
        <f>INDEX($FJ$2:$FJ$13,$MB83)</f>
        <v/>
      </c>
      <c r="MT83" s="152">
        <f>INDEX($FK$2:$FK$13,$MB83)</f>
        <v/>
      </c>
      <c r="MU83" s="152">
        <f>INDEX($FV$2:$FV$13,$MB83)</f>
        <v/>
      </c>
      <c r="MV83" s="152">
        <f>INDEX($FW$2:$FW$13,$MB83)</f>
        <v/>
      </c>
      <c r="MW83" s="152">
        <f>IFERROR(MATCH($MH83,$V$2:$V$11,0),0)</f>
        <v/>
      </c>
      <c r="MX83" s="152">
        <f>IFERROR(VLOOKUP($MK83,$AV$2:$BA$84,2,FALSE),"")</f>
        <v/>
      </c>
      <c r="MY83" s="152">
        <f>IFERROR(VLOOKUP($ML83,$AV$2:$BA$84,2,FALSE),"")</f>
        <v/>
      </c>
      <c r="MZ83" s="152">
        <f>IFERROR(VLOOKUP($MM83,$AV$2:$BA$84,2,FALSE),"")</f>
        <v/>
      </c>
      <c r="NA83" s="152">
        <f>IFERROR(VLOOKUP($MN83,$AV$2:$BA$84,2,FALSE),"")</f>
        <v/>
      </c>
      <c r="NB83" s="152">
        <f>IFERROR(VLOOKUP($MK83,$AV$2:$BA$84,3,FALSE),0)</f>
        <v/>
      </c>
      <c r="NC83" s="152">
        <f>IFERROR(VLOOKUP($ML83,$AV$2:$BA$84,3,FALSE),0)</f>
        <v/>
      </c>
      <c r="ND83" s="152">
        <f>IFERROR(VLOOKUP($MM83,$AV$2:$BA$84,3,FALSE),0)</f>
        <v/>
      </c>
      <c r="NE83" s="152">
        <f>IFERROR(VLOOKUP($MN83,$AV$2:$BA$84,3,FALSE),0)</f>
        <v/>
      </c>
      <c r="NF83" s="152">
        <f>IF($MF83=0,0,IF($MW83=0,0,INDEX($X$2:$X$11,$MW83)))</f>
        <v/>
      </c>
      <c r="NG83" s="152">
        <f>IF(OR($NB83=0,$MF83=0),0,$NB83+3*IF(AND($MX83&lt;&gt;"",OR($MX83=INDEX($EF$2:$EF$13,$MB83),$MX83=INDEX($EG$2:$EG$13,$MB83))),1,0))</f>
        <v/>
      </c>
      <c r="NH83" s="152">
        <f>IF(OR($NC83=0,$MF83=0),0,$NC83+3*IF(AND($MY83&lt;&gt;"",OR($MY83=INDEX($EF$2:$EF$13,$MB83),$MY83=INDEX($EG$2:$EG$13,$MB83))),1,0))</f>
        <v/>
      </c>
      <c r="NI83" s="152">
        <f>IF(OR($ND83=0,$MF83=0),0,$ND83+3*IF(AND($MZ83&lt;&gt;"",OR($MZ83=INDEX($EF$2:$EF$13,$MB83),$MZ83=INDEX($EG$2:$EG$13,$MB83))),1,0))</f>
        <v/>
      </c>
      <c r="NJ83" s="152">
        <f>IF(OR($NE83=0,$MF83=0),0,$NE83+3*IF(AND($NA83&lt;&gt;"",OR($NA83=INDEX($EF$2:$EF$13,$MB83),$NA83=INDEX($EG$2:$EG$13,$MB83))),1,0))</f>
        <v/>
      </c>
      <c r="NK83" s="152">
        <f>IF($MW83=0,0,IF(INDEX($W$2:$W$11,$MW83)="",0,IF(COUNTIF(INDEX($EF$2:$EJ$13,$MB83,0),INDEX($W$2:$W$11,$MW83))=0,1,0)))</f>
        <v/>
      </c>
      <c r="NL83" s="152">
        <f>IF(OR($NB83=0,$MX83=""),0,IF(COUNTIF(INDEX($EF$2:$EJ$13,$MB83,0),$MX83)=0,1,0))</f>
        <v/>
      </c>
      <c r="NM83" s="152">
        <f>IF(OR($NC83=0,$MY83=""),0,IF(COUNTIF(INDEX($EF$2:$EJ$13,$MB83,0),$MY83)=0,1,0))</f>
        <v/>
      </c>
      <c r="NN83" s="152">
        <f>IF(OR($ND83=0,$MZ83=""),0,IF(COUNTIF(INDEX($EF$2:$EJ$13,$MB83,0),$MZ83)=0,1,0))</f>
        <v/>
      </c>
      <c r="NO83" s="152">
        <f>IF(OR($NE83=0,$NA83=""),0,IF(COUNTIF(INDEX($EF$2:$EJ$13,$MB83,0),$NA83)=0,1,0))</f>
        <v/>
      </c>
      <c r="NP83" s="152">
        <f>IFERROR(VLOOKUP($MK83,$AV$2:$BA$84,4,FALSE),0)+IFERROR(VLOOKUP($ML83,$AV$2:$BA$84,4,FALSE),0)+IFERROR(VLOOKUP($MM83,$AV$2:$BA$84,4,FALSE),0)+IFERROR(VLOOKUP($MN83,$AV$2:$BA$84,4,FALSE),0)</f>
        <v/>
      </c>
      <c r="NQ83" s="152">
        <f>IFERROR(VLOOKUP($MK83,$AV$2:$BA$84,6,FALSE),0)+IFERROR(VLOOKUP($ML83,$AV$2:$BA$84,6,FALSE),0)+IFERROR(VLOOKUP($MM83,$AV$2:$BA$84,6,FALSE),0)+IFERROR(VLOOKUP($MN83,$AV$2:$BA$84,6,FALSE),0)</f>
        <v/>
      </c>
      <c r="NR83" s="152">
        <f>TEXTJOIN(", ",TRUE,IF(IFERROR(VLOOKUP($MK83,$AV$2:$BA$84,5,FALSE),0)=1,$MK83,""),IF(IFERROR(VLOOKUP($ML83,$AV$2:$BA$84,5,FALSE),0)=1,$ML83,""),IF(IFERROR(VLOOKUP($MM83,$AV$2:$BA$84,5,FALSE),0)=1,$MM83,""),IF(IFERROR(VLOOKUP($MN83,$AV$2:$BA$84,5,FALSE),0)=1,$MN83,""))</f>
        <v/>
      </c>
      <c r="NS83" s="152">
        <f>IF($MW83=0,0,INDEX($Y$2:$Y$11,$MW83))</f>
        <v/>
      </c>
      <c r="NT83" s="152">
        <f>IF($MW83=0,0,INDEX($Z$2:$Z$11,$MW83))</f>
        <v/>
      </c>
      <c r="NU83" s="152">
        <f>IF($MW83=0,0,INDEX($AB$2:$AB$11,$MW83))</f>
        <v/>
      </c>
      <c r="NV83" s="152">
        <f>IFERROR(VLOOKUP($MO83,$BC$2:$BG$24,3,FALSE),0)</f>
        <v/>
      </c>
      <c r="NW83" s="152">
        <f>IFERROR(VLOOKUP($MP83,$BC$2:$BG$24,3,FALSE),0)</f>
        <v/>
      </c>
      <c r="NX83" s="152">
        <f>IFERROR(VLOOKUP($MO83,$BC$2:$BG$24,2,FALSE),"")</f>
        <v/>
      </c>
      <c r="NY83" s="152">
        <f>IFERROR(VLOOKUP($MP83,$BC$2:$BG$24,2,FALSE),"")</f>
        <v/>
      </c>
      <c r="NZ83" s="152">
        <f>COUNTIF($NF83:$NJ83,1)</f>
        <v/>
      </c>
      <c r="OA83" s="152">
        <f>COUNTIF($NF83:$NJ83,2)</f>
        <v/>
      </c>
      <c r="OB83" s="152">
        <f>COUNTIF($NF83:$NJ83,3)</f>
        <v/>
      </c>
      <c r="OC83" s="152">
        <f>COUNTIF($NF83:$NJ83,4)</f>
        <v/>
      </c>
      <c r="OD83" s="152">
        <f>COUNTIF($NF83:$NJ83,5)</f>
        <v/>
      </c>
      <c r="OE83" s="152">
        <f>COUNTIF($NF83:$NJ83,6)</f>
        <v/>
      </c>
      <c r="OF83" s="152">
        <f>COUNTIF($NV83:$NW83,1)</f>
        <v/>
      </c>
      <c r="OG83" s="152">
        <f>COUNTIF($NV83:$NW83,2)+$NS83</f>
        <v/>
      </c>
      <c r="OH83" s="152">
        <f>COUNTIF($MK83:$MN83,"?*")</f>
        <v/>
      </c>
      <c r="OI83" s="152">
        <f>COUNTIF($MO83:$MP83,"?*")+$NS83</f>
        <v/>
      </c>
      <c r="OJ83" s="152">
        <f>IF($MF83=0,0,SUMPRODUCT($NZ83:$OE83,INDEX($I$2:$N$8,MAX(1,$MF83),0)))</f>
        <v/>
      </c>
      <c r="OK83" s="152">
        <f>IF($MF83=0,0,$OF83*CEILING($MF83/2,1)+$OG83*$MF83)</f>
        <v/>
      </c>
      <c r="OL83" s="152">
        <f>MIN(2*$MF83,$OK83)</f>
        <v/>
      </c>
      <c r="OM83" s="152">
        <f>MIN($OL83,$OJ83)</f>
        <v/>
      </c>
      <c r="ON83" s="152">
        <f>$OL83-$OM83</f>
        <v/>
      </c>
      <c r="OO83" s="152">
        <f>IF($MF83=0,0,INDEX($P$2:$P$8,MAX(1,$MF83)))</f>
        <v/>
      </c>
      <c r="OP83" s="152">
        <f>$OO83-$OJ83+$OM83</f>
        <v/>
      </c>
      <c r="OQ83" s="152">
        <f>IF($MF83=0,MAX(0,$MT83-IF($OH83&gt;0,1,0)),MAX(0,$OP83))</f>
        <v/>
      </c>
      <c r="OR83" s="152">
        <f>IF($MF83=0,0,(IF(COUNTIF($MK83:$MN83,"Salto")&gt;0,1,0)+IF(COUNTIF($MK83:$MN83,"Queima")&gt;0,1,0)+IF(COUNTIF($MK83:$MN83,"Estilhaço")&gt;0,1,0))*FLOOR($OQ83/2,1))</f>
        <v/>
      </c>
      <c r="OS83" s="152">
        <f>MAX(0,2-SUMPRODUCT($NZ83:$OE83,$I$2:$N$2)+MIN(2,$OF83*1+$OG83*1,SUMPRODUCT($NZ83:$OE83,$I$2:$N$2)))</f>
        <v/>
      </c>
      <c r="OT83" s="152">
        <f>MAX(0,4-SUMPRODUCT($NZ83:$OE83,$I$3:$N$3)+MIN(4,$OF83*1+$OG83*2,SUMPRODUCT($NZ83:$OE83,$I$3:$N$3)))</f>
        <v/>
      </c>
      <c r="OU83" s="152">
        <f>MAX(0,6-SUMPRODUCT($NZ83:$OE83,$I$4:$N$4)+MIN(6,$OF83*2+$OG83*3,SUMPRODUCT($NZ83:$OE83,$I$4:$N$4)))</f>
        <v/>
      </c>
      <c r="OV83" s="152">
        <f>MAX(0,9-SUMPRODUCT($NZ83:$OE83,$I$5:$N$5)+MIN(8,$OF83*2+$OG83*4,SUMPRODUCT($NZ83:$OE83,$I$5:$N$5)))</f>
        <v/>
      </c>
      <c r="OW83" s="152">
        <f>MAX(0,11-SUMPRODUCT($NZ83:$OE83,$I$6:$N$6)+MIN(10,$OF83*3+$OG83*5,SUMPRODUCT($NZ83:$OE83,$I$6:$N$6)))</f>
        <v/>
      </c>
      <c r="OX83" s="152">
        <f>MAX(0,13-SUMPRODUCT($NZ83:$OE83,$I$7:$N$7)+MIN(12,$OF83*3+$OG83*6,SUMPRODUCT($NZ83:$OE83,$I$7:$N$7)))</f>
        <v/>
      </c>
      <c r="OY83" s="152">
        <f>MAX(0,16-SUMPRODUCT($NZ83:$OE83,$I$8:$N$8)+MIN(14,$OF83*4+$OG83*7,SUMPRODUCT($NZ83:$OE83,$I$8:$N$8)))</f>
        <v/>
      </c>
      <c r="OZ83" s="152">
        <f>IF($NT83=2,3*$OS83&amp;" de vida temp.",IF($NT83=3,"sem dano",IF($OS83=0,IF($NT83=1,"sem cura","sem dano"),IF($NT83=1,"cura ","")&amp;$OS83&amp;"d8")))</f>
        <v/>
      </c>
      <c r="PA83" s="152">
        <f>IF($NT83=2,3*$OT83&amp;" de vida temp.",IF($NT83=3,"sem dano",IF($OT83=0,IF($NT83=1,"sem cura","sem dano"),IF($NT83=1,"cura ","")&amp;$OT83&amp;"d8")))</f>
        <v/>
      </c>
      <c r="PB83" s="152">
        <f>IF($NT83=2,3*$OU83&amp;" de vida temp.",IF($NT83=3,"sem dano",IF($OU83=0,IF($NT83=1,"sem cura","sem dano"),IF($NT83=1,"cura ","")&amp;$OU83&amp;"d8")))</f>
        <v/>
      </c>
      <c r="PC83" s="152">
        <f>IF($NT83=2,3*$OV83&amp;" de vida temp.",IF($NT83=3,"sem dano",IF($OV83=0,IF($NT83=1,"sem cura","sem dano"),IF($NT83=1,"cura ","")&amp;$OV83&amp;"d8")))</f>
        <v/>
      </c>
      <c r="PD83" s="152">
        <f>IF($NT83=2,3*$OW83&amp;" de vida temp.",IF($NT83=3,"sem dano",IF($OW83=0,IF($NT83=1,"sem cura","sem dano"),IF($NT83=1,"cura ","")&amp;$OW83&amp;"d8")))</f>
        <v/>
      </c>
      <c r="PE83" s="152">
        <f>IF($NT83=2,3*$OX83&amp;" de vida temp.",IF($NT83=3,"sem dano",IF($OX83=0,IF($NT83=1,"sem cura","sem dano"),IF($NT83=1,"cura ","")&amp;$OX83&amp;"d8")))</f>
        <v/>
      </c>
      <c r="PF83" s="152">
        <f>IF($NT83=2,3*$OY83&amp;" de vida temp.",IF($NT83=3,"sem dano",IF($OY83=0,IF($NT83=1,"sem cura","sem dano"),IF($NT83=1,"cura ","")&amp;$OY83&amp;"d8")))</f>
        <v/>
      </c>
      <c r="PG83" s="152">
        <f>IF($MQ83=0,"",TEXTJOIN(" · ",TRUE,IF($MD83&gt;$MR83,"Este lugar abre no nível "&amp;$MD83,""),IF($MF83&gt;$MS83,"Classe "&amp;$MF83&amp;": o nível "&amp;$MR83&amp;" libera até a "&amp;$MS83,""),IF($NK83=1,"A Forma "&amp;$MH83&amp;" pede "&amp;INDEX($W$2:$W$11,$MW83)&amp;" aberta",""),IF(AND($MF83=0,$MW83&gt;0,IF($MW83=0,0,INDEX($AF$2:$AF$11,$MW83))=0),$MH83&amp;" não existe na Classe 0",""),IF($NL83=1,"Família Fechada: "&amp;$MK83,""),IF($NM83=1,"Família Fechada: "&amp;$ML83,""),IF($NN83=1,"Família Fechada: "&amp;$MM83,""),IF($NO83=1,"Família Fechada: "&amp;$MN83,""),IF(AND($MF83&gt;0,$OH83&gt;INDEX($O$2:$O$8,MAX(1,$MF83))),$OH83&amp;" Melhorias: a Classe "&amp;$MF83&amp;" aceita "&amp;INDEX($O$2:$O$8,MAX(1,$MF83)),""),IF(AND($MF83=0,$OH83&gt;1),"A básica aceita uma Melhoria",""),IF(AND($MF83=0,COUNTIF($NB83:$NE83,"&gt;1")&gt;0),"A básica só aceita Melhoria Leve",""),IF(AND($MF83&gt;0,$OI83&gt;2),$OI83&amp;" Restrições"&amp;IF($NS83=1,", contando a que a Forma "&amp;$MH83&amp;" já traz","")&amp;": o limite é 2",""),IF(AND($MF83=0,COUNTIF($MO83:$MP83,"?*")&gt;1),"A básica aceita uma Restrição Leve",""),IF(AND($MF83=0,COUNTIF($NV83:$NW83,2)&gt;0),"A básica só aceita Restrição Leve",""),IF(AND($MF83&gt;0,$OP83&lt;0),"Orçamento estourado: faltam "&amp;(-$OP83)&amp;IF($OP83&lt;-1," pontos"," ponto"),""),IF(IFERROR(VLOOKUP($MO83,$BC$2:$BG$24,4,FALSE),0)+IFERROR(VLOOKUP($MP83,$BC$2:$BG$24,4,FALSE),0)&gt;1,$NX83&amp;" e "&amp;$NY83&amp;" são as duas de frequência",""),IF(AND((COUNTIF($MK83:$MN83,"Rápido")+COUNTIF($NX83:$NY83,"Rápido"))&gt;0,(COUNTIF($MK83:$MN83,"Atrasar")+COUNTIF($NX83:$NY83,"Atrasar"))&gt;0),"Rápido não entra com Atrasar",""),IF(AND((COUNTIF($MK83:$MN83,"Reação")+COUNTIF($NX83:$NY83,"Reação"))&gt;0,(COUNTIF($MK83:$MN83,"Rápido")+COUNTIF($NX83:$NY83,"Rápido"))&gt;0),"Reação não entra com Rápido",""),IF(AND((COUNTIF($MK83:$MN83,"Reação")+COUNTIF($NX83:$NY83,"Reação"))&gt;0,(COUNTIF($MK83:$MN83,"Armado")+COUNTIF($NX83:$NY83,"Armado"))&gt;0),"Reação não entra com Armado",""),IF(AND((COUNTIF($MK83:$MN83,"Reação")+COUNTIF($NX83:$NY83,"Reação"))&gt;0,(COUNTIF($MK83:$MN83,"Atrasar")+COUNTIF($NX83:$NY83,"Atrasar"))&gt;0),"Reação não entra com Atrasar",""),IF(AND((COUNTIF($MK83:$MN83,"Reação")+COUNTIF($NX83:$NY83,"Reação"))&gt;0,(COUNTIF($MK83:$MN83,"Parado")+COUNTIF($NX83:$NY83,"Parado"))&gt;0),"Reação não entra com Parado",""),IF(AND((COUNTIF($MK83:$MN83,"Atrasar")+COUNTIF($NX83:$NY83,"Atrasar"))&gt;0,(COUNTIF($MK83:$MN83,"Parado")+COUNTIF($NX83:$NY83,"Parado"))&gt;0),"Atrasar não entra com Parado",""),IF(AND((COUNTIF($MK83:$MN83,"Armado")+COUNTIF($NX83:$NY83,"Armado"))&gt;0,(COUNTIF($MK83:$MN83,"Carregar")+COUNTIF($NX83:$NY83,"Carregar"))&gt;0),"Armado não entra com Carregar",""),IF(AND(COUNTIF($NX83:$NY83,"Corpo a Corpo")&gt;0,$NS83=0,OR($MH83="Cone",$MH83="Linha")),"Corpo a Corpo não entra em "&amp;$MH83,""),IF(AND(COUNTIF($NX83:$NY83,"Corpo a Corpo")&gt;0,$NS83=1),"A Forma "&amp;$MH83&amp;" já traz o Corpo a Corpo",""),IF(AND(COUNTIF($NX83:$NY83,"Tudo ou Nada")&gt;0,$NU83=0),"Tudo ou Nada só entra em habilidade de Teste de Resistência",""),IF(AND(COUNTIF($MK83:$MN83,"Inescapável")&gt;0,OR($OH83&gt;1,$OI83&gt;0)),"Inescapável não aceita outra peça",""),IF(AND($MF83&gt;0,$OQ83*IF(COUNTIF($MK83:$MN83,"Remate")&gt;0,1.25,1)+$OR83&gt;4*$MF83),($OQ83*IF(COUNTIF($MK83:$MN83,"Remate")&gt;0,1.25,1)+$OR83)&amp;" dados somando repetições"&amp;IF(COUNTIF($MK83:$MN83,"Remate")&gt;0," e o Remate","")&amp;": o teto da Classe "&amp;$MF83&amp;" é "&amp;4*$MF83,"")))</f>
        <v/>
      </c>
      <c r="PH83" s="152">
        <f>IF($PG83="",0,(LEN($PG83)-LEN(SUBSTITUTE($PG83," · ","")))/3+1)</f>
        <v/>
      </c>
      <c r="PI83" s="152">
        <f>IF($MQ83=0,"",TEXTJOIN(" · ",TRUE,IF($OK83&gt;2*$MF83,"A devolução parou no teto de "&amp;2*$MF83,""),IF($ON83&gt;0,"Devolução perdida: "&amp;$ON83&amp;IF($ON83&gt;1," pontos"," ponto")&amp;" sem peça para pagar",""),IF(AND($NP83&gt;0,AND($MF83&gt;0,$NT83=0),$OQ83=0),"Controle sem dano: uma rodada a mais e CD +2",""),IF(AND($NP83&gt;0,AND($MF83&gt;0,$NT83=0),$OQ83&gt;0,$OQ83&lt;=$MF83),"Controle com saldo até a Classe: uma rodada a mais",""),IF(AND($MF83&gt;0,$NR83&lt;&gt;""),"Efeito de "&amp;$NR83&amp;" pela Classe "&amp;MAX(1,$MF83-1),"")))</f>
        <v/>
      </c>
      <c r="PJ83" s="152">
        <f>IF($PI83="",0,(LEN($PI83)-LEN(SUBSTITUTE($PI83," · ","")))/3+1)</f>
        <v/>
      </c>
      <c r="PK83" s="152">
        <f>IF($MQ83=0,IF($OH83+COUNTIF($MO83:$MP83,"?*")&gt;0,"Dê um nome",""),IF($PH83&gt;0,"⚠ "&amp;$PH83&amp;IF($PH83&gt;1," erros"," erro"),IF($PJ83&gt;0,"! "&amp;$PJ83&amp;IF($PJ83&gt;1," avisos"," aviso"),"Na regra")))</f>
        <v/>
      </c>
      <c r="PL83" s="152">
        <f>IF($MQ83=0,"",IF($PH83+$PJ83=0,"Dentro das regras que a ficha confere",$PG83&amp;IF(AND($PH83&gt;0,$PJ83&gt;0)," · ","")&amp;$PI83))</f>
        <v/>
      </c>
      <c r="PM83" s="152">
        <f>IF($MD83&gt;$MR83,$ME83&amp;" · ABRE NO NÍVEL "&amp;$MD83,$ME83)</f>
        <v/>
      </c>
      <c r="PN83" s="152">
        <f>IF($MQ83=0,"",IF($MF83=0,"Sem PE",3*$MF83&amp;" PE"))</f>
        <v/>
      </c>
      <c r="PO83" s="152">
        <f>IF($MQ83=0,"",IF($MF83=0,"A atuação básica dela",IF(COUNTIF($NX83:$NY83,"Atrasar")&gt;0,"Sua Ação Completa",IF(COUNTIF($MK83:$MN83,"Rápido")&gt;0,"Sua Bônus",IF(COUNTIF($MK83:$MN83,"Reação")&gt;0,"Sua Reação","Sua Padrão")))&amp;" + a básica dela"&amp;IF(COUNTIF($MK83:$MN83,"Reação")&gt;0," e a coletiva","")&amp;IF(COUNTIF($NX83:$NY83,"Carregar")&gt;0," · em dois turnos","")))</f>
        <v/>
      </c>
      <c r="PP83" s="152">
        <f>IF($MJ83&lt;&gt;"",$MJ83,IF($MW83=0,"",INDEX($AA$2:$AA$11,$MW83)))</f>
        <v/>
      </c>
      <c r="PQ83" s="152">
        <f>IF(OR($MQ83=0,$MW83=0),"",IF(COUNTIF($MK83:$MN83,"Inescapável")&gt;0,"Automático",IF($PP83="Ataque",IF($MU83="","Ataque","Ataque "&amp;IF(($MU83+2*IF(COUNTIF($MK83:$MN83,"Precisão")&gt;0,1,0))&gt;=0,"+","−")&amp;ABS(($MU83+2*IF(COUNTIF($MK83:$MN83,"Precisão")&gt;0,1,0))))&amp;IF($NQ83&gt;0," · TR"&amp;IF($MV83="",""," CD "&amp;$MV83),""),IF(LEFT($PP83,2)="TR",$PP83&amp;IF($MV83="",""," · CD "&amp;$MV83)&amp;IF(COUNTIF($MK83:$MN83,"Certeiro")&gt;0," · metade",""),"Sem rolagem"))))</f>
        <v/>
      </c>
      <c r="PR83" s="152">
        <f>IF(OR($MQ83=0,$MW83=0),"",IF($MF83=0,IF(OR($NT83&gt;=1,$OQ83=0),"Sem dano",$OQ83&amp;"d6"&amp;IF($MI83="",""," "&amp;$MI83)),IF(OR($NT83&gt;=1,$OQ83=0),UPPER(LEFT(INDEX($OZ83:$PF83,1,MAX(1,$MF83)),1))&amp;MID(INDEX($OZ83:$PF83,1,MAX(1,$MF83)),2,99),UPPER(LEFT(INDEX($OZ83:$PF83,1,MAX(1,$MF83)),1))&amp;MID(INDEX($OZ83:$PF83,1,MAX(1,$MF83)),2,99)&amp;IF($MI83="",""," "&amp;$MI83)&amp;IF($OR83&gt;0," · +"&amp;$OR83&amp;"d8",""))))</f>
        <v/>
      </c>
      <c r="PS83" s="152">
        <f>COUNTIF($MK83:$MN83,"Longe")+3*COUNTIF($MK83:$MN83,"Muito Longe")</f>
        <v/>
      </c>
      <c r="PT83" s="152">
        <f>COUNTIF($MK83:$MN83,"Maior")+3*COUNTIF($MK83:$MN83,"Muito Maior")</f>
        <v/>
      </c>
      <c r="PU83" s="152">
        <f>IF($MW83=0,0,CHOOSE(1+INDEX($AC$2:$AC$11,$MW83),0,$PS83,$PT83,$PS83+$PT83))</f>
        <v/>
      </c>
      <c r="PV83" s="152">
        <f>IF($MW83=0,0,CHOOSE(1+INDEX($AD$2:$AD$11,$MW83),0,$PS83,$PT83,$PS83+$PT83))</f>
        <v/>
      </c>
      <c r="PW83" s="152">
        <f>IF(OR($MQ83=0,$MW83=0),"",INDEX($AI$2:$AN$41,($MW83-1)*4+IF($MF83=0,1,IF($MF83&lt;=5,2,IF($MF83=6,3,4))),1+MIN(5,$PU83))&amp;INDEX($AO$2:$AT$41,($MW83-1)*4+IF($MF83=0,1,IF($MF83&lt;=5,2,IF($MF83=6,3,4))),1+MIN(5,$PV83))&amp;IF(INDEX($AE$2:$AE$11,$MW83)=1,IF(COUNTIF($MK83:$MN83,"Mais Um")&gt;0," · +"&amp;COUNTIF($MK83:$MN83,"Mais Um")&amp;IF(COUNTIF($MK83:$MN83,"Mais Um")&gt;1," alvos"," alvo"),"")&amp;IF(COUNTIF($MK83:$MN83,"Rajada")&gt;0,IF($MF83=0," · 1 tiro"," · "&amp;(MAX(1,$MF83-1)+1)&amp;" tiros"),""),""))</f>
        <v/>
      </c>
      <c r="PX83" s="152">
        <f>IF($MQ83=0,"",IF($MF83=0,$MT83&amp;"d6"&amp;IF($OH83&gt;0," − 1 = "&amp;$OQ83&amp;"d6"," da básica do nível "&amp;$MR83),$OO83&amp;" − "&amp;$OJ83&amp;" + "&amp;$OM83&amp;" = "&amp;$OP83&amp;" · teto "&amp;4*$MF83&amp;"d8"&amp;IF($NS83=1," · a Forma devolve "&amp;$MF83,"")&amp;IF($ON83&gt;0," · perde "&amp;$ON83,"")))</f>
        <v/>
      </c>
      <c r="PY83" s="152">
        <f>IF($MQ83=0,"",IF($MF83=0,"A básica não amplia: os dados dela sobem com o nível",IF($MF83&gt;=$MS83,"Já está na maior Classe que o nível liberou",TEXTJOIN(" · ",TRUE,IF(AND(2&gt;$MF83,2&lt;=$MS83),"2 → "&amp;$PA83&amp;", 6 PE",""),IF(AND(3&gt;$MF83,3&lt;=$MS83),"3 → "&amp;$PB83&amp;", 9 PE",""),IF(AND(4&gt;$MF83,4&lt;=$MS83),"4 → "&amp;$PC83&amp;", 12 PE",""),IF(AND(5&gt;$MF83,5&lt;=$MS83),"5 → "&amp;$PD83&amp;", 15 PE",""),IF(AND(6&gt;$MF83,6&lt;=$MS83),"6 → "&amp;$PE83&amp;", 18 PE",""),IF(AND(7&gt;$MF83,7&lt;=$MS83),"7 → "&amp;$PF83&amp;", 21 PE","")))))</f>
        <v/>
      </c>
      <c r="PZ83" s="152">
        <f>IF(OR($MQ83=0,$NB83=0),"",IF($MF83=0,"−1 dado","−"&amp;INDEX($I$2:$N$8,MAX(1,$MF83),MAX(1,$NG83))&amp;" · "&amp;CHOOSE(MAX(1,$NG83),"Leve","Média","Pesada","Leve · Livre","Média · Livre","Pesada · Livre")))</f>
        <v/>
      </c>
      <c r="QA83" s="152">
        <f>IF(OR($MQ83=0,$NC83=0),"",IF($MF83=0,"−1 dado","−"&amp;INDEX($I$2:$N$8,MAX(1,$MF83),MAX(1,$NH83))&amp;" · "&amp;CHOOSE(MAX(1,$NH83),"Leve","Média","Pesada","Leve · Livre","Média · Livre","Pesada · Livre")))</f>
        <v/>
      </c>
      <c r="QB83" s="152">
        <f>IF(OR($MQ83=0,$ND83=0),"",IF($MF83=0,"−1 dado","−"&amp;INDEX($I$2:$N$8,MAX(1,$MF83),MAX(1,$NI83))&amp;" · "&amp;CHOOSE(MAX(1,$NI83),"Leve","Média","Pesada","Leve · Livre","Média · Livre","Pesada · Livre")))</f>
        <v/>
      </c>
      <c r="QC83" s="152">
        <f>IF(OR($MQ83=0,$NE83=0),"",IF($MF83=0,"−1 dado","−"&amp;INDEX($I$2:$N$8,MAX(1,$MF83),MAX(1,$NJ83))&amp;" · "&amp;CHOOSE(MAX(1,$NJ83),"Leve","Média","Pesada","Leve · Livre","Média · Livre","Pesada · Livre")))</f>
        <v/>
      </c>
      <c r="QD83" s="152">
        <f>IF(OR($MQ83=0,$MO83=""),"",IF($MF83=0,"não devolve","+"&amp;IF($NV83=1,CEILING($MF83/2,1),$MF83)))</f>
        <v/>
      </c>
      <c r="QE83" s="152">
        <f>IF(OR($MQ83=0,$MP83=""),"",IF($MF83=0,"não devolve","+"&amp;IF($NW83=1,CEILING($MF83/2,1),$MF83)))</f>
        <v/>
      </c>
    </row>
    <row r="84">
      <c r="AV84" s="150" t="inlineStr">
        <is>
          <t>Efeito Próprio (Pesada)</t>
        </is>
      </c>
      <c r="AW84" s="150" t="inlineStr"/>
      <c r="AX84" s="152" t="n">
        <v>3</v>
      </c>
      <c r="AY84" s="152" t="n">
        <v>0</v>
      </c>
      <c r="AZ84" s="152" t="n">
        <v>0</v>
      </c>
      <c r="BA84" s="152" t="n">
        <v>0</v>
      </c>
      <c r="JG84" s="152">
        <f>IF(OR($AW84="",COUNTIF($EF$2:$EJ$2,$AW84)&gt;0),$AV84,"")</f>
        <v/>
      </c>
      <c r="JH84" s="152">
        <f>IF(AND($AX84=1,OR($AW84="",COUNTIF($EF$2:$EJ$2,$AW84)&gt;0)),$AV84,"")</f>
        <v/>
      </c>
      <c r="JM84" s="152">
        <f>IF(OR($AW84="",COUNTIF($EF$3:$EJ$3,$AW84)&gt;0),$AV84,"")</f>
        <v/>
      </c>
      <c r="JN84" s="152">
        <f>IF(AND($AX84=1,OR($AW84="",COUNTIF($EF$3:$EJ$3,$AW84)&gt;0)),$AV84,"")</f>
        <v/>
      </c>
      <c r="JS84" s="152">
        <f>IF(OR($AW84="",COUNTIF($EF$4:$EJ$4,$AW84)&gt;0),$AV84,"")</f>
        <v/>
      </c>
      <c r="JT84" s="152">
        <f>IF(AND($AX84=1,OR($AW84="",COUNTIF($EF$4:$EJ$4,$AW84)&gt;0)),$AV84,"")</f>
        <v/>
      </c>
      <c r="JY84" s="152">
        <f>IF(OR($AW84="",COUNTIF($EF$5:$EJ$5,$AW84)&gt;0),$AV84,"")</f>
        <v/>
      </c>
      <c r="JZ84" s="152">
        <f>IF(AND($AX84=1,OR($AW84="",COUNTIF($EF$5:$EJ$5,$AW84)&gt;0)),$AV84,"")</f>
        <v/>
      </c>
      <c r="KE84" s="152">
        <f>IF(OR($AW84="",COUNTIF($EF$6:$EJ$6,$AW84)&gt;0),$AV84,"")</f>
        <v/>
      </c>
      <c r="KF84" s="152">
        <f>IF(AND($AX84=1,OR($AW84="",COUNTIF($EF$6:$EJ$6,$AW84)&gt;0)),$AV84,"")</f>
        <v/>
      </c>
      <c r="KK84" s="152">
        <f>IF(OR($AW84="",COUNTIF($EF$7:$EJ$7,$AW84)&gt;0),$AV84,"")</f>
        <v/>
      </c>
      <c r="KL84" s="152">
        <f>IF(AND($AX84=1,OR($AW84="",COUNTIF($EF$7:$EJ$7,$AW84)&gt;0)),$AV84,"")</f>
        <v/>
      </c>
      <c r="KQ84" s="152">
        <f>IF(OR($AW84="",COUNTIF($EF$8:$EJ$8,$AW84)&gt;0),$AV84,"")</f>
        <v/>
      </c>
      <c r="KR84" s="152">
        <f>IF(AND($AX84=1,OR($AW84="",COUNTIF($EF$8:$EJ$8,$AW84)&gt;0)),$AV84,"")</f>
        <v/>
      </c>
      <c r="KW84" s="152">
        <f>IF(OR($AW84="",COUNTIF($EF$9:$EJ$9,$AW84)&gt;0),$AV84,"")</f>
        <v/>
      </c>
      <c r="KX84" s="152">
        <f>IF(AND($AX84=1,OR($AW84="",COUNTIF($EF$9:$EJ$9,$AW84)&gt;0)),$AV84,"")</f>
        <v/>
      </c>
      <c r="LC84" s="152">
        <f>IF(OR($AW84="",COUNTIF($EF$10:$EJ$10,$AW84)&gt;0),$AV84,"")</f>
        <v/>
      </c>
      <c r="LD84" s="152">
        <f>IF(AND($AX84=1,OR($AW84="",COUNTIF($EF$10:$EJ$10,$AW84)&gt;0)),$AV84,"")</f>
        <v/>
      </c>
      <c r="LI84" s="152">
        <f>IF(OR($AW84="",COUNTIF($EF$11:$EJ$11,$AW84)&gt;0),$AV84,"")</f>
        <v/>
      </c>
      <c r="LJ84" s="152">
        <f>IF(AND($AX84=1,OR($AW84="",COUNTIF($EF$11:$EJ$11,$AW84)&gt;0)),$AV84,"")</f>
        <v/>
      </c>
      <c r="LO84" s="152">
        <f>IF(OR($AW84="",COUNTIF($EF$12:$EJ$12,$AW84)&gt;0),$AV84,"")</f>
        <v/>
      </c>
      <c r="LP84" s="152">
        <f>IF(AND($AX84=1,OR($AW84="",COUNTIF($EF$12:$EJ$12,$AW84)&gt;0)),$AV84,"")</f>
        <v/>
      </c>
      <c r="LU84" s="152">
        <f>IF(OR($AW84="",COUNTIF($EF$13:$EJ$13,$AW84)&gt;0),$AV84,"")</f>
        <v/>
      </c>
      <c r="LV84" s="152">
        <f>IF(AND($AX84=1,OR($AW84="",COUNTIF($EF$13:$EJ$13,$AW84)&gt;0)),$AV84,"")</f>
        <v/>
      </c>
      <c r="MA84" s="150" t="inlineStr">
        <is>
          <t>Ficha 7 · Especial 3</t>
        </is>
      </c>
      <c r="MB84" s="152" t="n">
        <v>7</v>
      </c>
      <c r="MC84" s="152" t="n">
        <v>1</v>
      </c>
      <c r="MD84" s="152" t="n">
        <v>8</v>
      </c>
      <c r="ME84" s="150" t="inlineStr">
        <is>
          <t>ESPECIAL 3</t>
        </is>
      </c>
      <c r="MF84" s="152">
        <f>MAX(1,MIN(7,N('INVOCAÇÕES'!$AH$92)))</f>
        <v/>
      </c>
      <c r="MG84" s="152">
        <f>'INVOCAÇÕES'!$AI$92&amp;""</f>
        <v/>
      </c>
      <c r="MH84" s="152">
        <f>'INVOCAÇÕES'!$AH$97&amp;""</f>
        <v/>
      </c>
      <c r="MI84" s="152">
        <f>'INVOCAÇÕES'!$AH$98&amp;""</f>
        <v/>
      </c>
      <c r="MJ84" s="152">
        <f>'INVOCAÇÕES'!$AJ$98&amp;""</f>
        <v/>
      </c>
      <c r="MK84" s="152">
        <f>'INVOCAÇÕES'!$AI$101&amp;""</f>
        <v/>
      </c>
      <c r="ML84" s="152">
        <f>'INVOCAÇÕES'!$AI$102&amp;""</f>
        <v/>
      </c>
      <c r="MM84" s="152">
        <f>'INVOCAÇÕES'!$AI$103&amp;""</f>
        <v/>
      </c>
      <c r="MN84" s="152">
        <f>'INVOCAÇÕES'!$AI$104&amp;""</f>
        <v/>
      </c>
      <c r="MO84" s="152">
        <f>'INVOCAÇÕES'!$AI$105&amp;""</f>
        <v/>
      </c>
      <c r="MP84" s="152">
        <f>'INVOCAÇÕES'!$AI$106&amp;""</f>
        <v/>
      </c>
      <c r="MQ84" s="152">
        <f>IF($MG84&lt;&gt;"",1,0)</f>
        <v/>
      </c>
      <c r="MR84" s="152">
        <f>INDEX($FI$2:$FI$13,$MB84)</f>
        <v/>
      </c>
      <c r="MS84" s="152">
        <f>INDEX($FJ$2:$FJ$13,$MB84)</f>
        <v/>
      </c>
      <c r="MT84" s="152">
        <f>INDEX($FK$2:$FK$13,$MB84)</f>
        <v/>
      </c>
      <c r="MU84" s="152">
        <f>INDEX($FV$2:$FV$13,$MB84)</f>
        <v/>
      </c>
      <c r="MV84" s="152">
        <f>INDEX($FW$2:$FW$13,$MB84)</f>
        <v/>
      </c>
      <c r="MW84" s="152">
        <f>IFERROR(MATCH($MH84,$V$2:$V$11,0),0)</f>
        <v/>
      </c>
      <c r="MX84" s="152">
        <f>IFERROR(VLOOKUP($MK84,$AV$2:$BA$84,2,FALSE),"")</f>
        <v/>
      </c>
      <c r="MY84" s="152">
        <f>IFERROR(VLOOKUP($ML84,$AV$2:$BA$84,2,FALSE),"")</f>
        <v/>
      </c>
      <c r="MZ84" s="152">
        <f>IFERROR(VLOOKUP($MM84,$AV$2:$BA$84,2,FALSE),"")</f>
        <v/>
      </c>
      <c r="NA84" s="152">
        <f>IFERROR(VLOOKUP($MN84,$AV$2:$BA$84,2,FALSE),"")</f>
        <v/>
      </c>
      <c r="NB84" s="152">
        <f>IFERROR(VLOOKUP($MK84,$AV$2:$BA$84,3,FALSE),0)</f>
        <v/>
      </c>
      <c r="NC84" s="152">
        <f>IFERROR(VLOOKUP($ML84,$AV$2:$BA$84,3,FALSE),0)</f>
        <v/>
      </c>
      <c r="ND84" s="152">
        <f>IFERROR(VLOOKUP($MM84,$AV$2:$BA$84,3,FALSE),0)</f>
        <v/>
      </c>
      <c r="NE84" s="152">
        <f>IFERROR(VLOOKUP($MN84,$AV$2:$BA$84,3,FALSE),0)</f>
        <v/>
      </c>
      <c r="NF84" s="152">
        <f>IF($MF84=0,0,IF($MW84=0,0,INDEX($X$2:$X$11,$MW84)))</f>
        <v/>
      </c>
      <c r="NG84" s="152">
        <f>IF(OR($NB84=0,$MF84=0),0,$NB84+3*IF(AND($MX84&lt;&gt;"",OR($MX84=INDEX($EF$2:$EF$13,$MB84),$MX84=INDEX($EG$2:$EG$13,$MB84))),1,0))</f>
        <v/>
      </c>
      <c r="NH84" s="152">
        <f>IF(OR($NC84=0,$MF84=0),0,$NC84+3*IF(AND($MY84&lt;&gt;"",OR($MY84=INDEX($EF$2:$EF$13,$MB84),$MY84=INDEX($EG$2:$EG$13,$MB84))),1,0))</f>
        <v/>
      </c>
      <c r="NI84" s="152">
        <f>IF(OR($ND84=0,$MF84=0),0,$ND84+3*IF(AND($MZ84&lt;&gt;"",OR($MZ84=INDEX($EF$2:$EF$13,$MB84),$MZ84=INDEX($EG$2:$EG$13,$MB84))),1,0))</f>
        <v/>
      </c>
      <c r="NJ84" s="152">
        <f>IF(OR($NE84=0,$MF84=0),0,$NE84+3*IF(AND($NA84&lt;&gt;"",OR($NA84=INDEX($EF$2:$EF$13,$MB84),$NA84=INDEX($EG$2:$EG$13,$MB84))),1,0))</f>
        <v/>
      </c>
      <c r="NK84" s="152">
        <f>IF($MW84=0,0,IF(INDEX($W$2:$W$11,$MW84)="",0,IF(COUNTIF(INDEX($EF$2:$EJ$13,$MB84,0),INDEX($W$2:$W$11,$MW84))=0,1,0)))</f>
        <v/>
      </c>
      <c r="NL84" s="152">
        <f>IF(OR($NB84=0,$MX84=""),0,IF(COUNTIF(INDEX($EF$2:$EJ$13,$MB84,0),$MX84)=0,1,0))</f>
        <v/>
      </c>
      <c r="NM84" s="152">
        <f>IF(OR($NC84=0,$MY84=""),0,IF(COUNTIF(INDEX($EF$2:$EJ$13,$MB84,0),$MY84)=0,1,0))</f>
        <v/>
      </c>
      <c r="NN84" s="152">
        <f>IF(OR($ND84=0,$MZ84=""),0,IF(COUNTIF(INDEX($EF$2:$EJ$13,$MB84,0),$MZ84)=0,1,0))</f>
        <v/>
      </c>
      <c r="NO84" s="152">
        <f>IF(OR($NE84=0,$NA84=""),0,IF(COUNTIF(INDEX($EF$2:$EJ$13,$MB84,0),$NA84)=0,1,0))</f>
        <v/>
      </c>
      <c r="NP84" s="152">
        <f>IFERROR(VLOOKUP($MK84,$AV$2:$BA$84,4,FALSE),0)+IFERROR(VLOOKUP($ML84,$AV$2:$BA$84,4,FALSE),0)+IFERROR(VLOOKUP($MM84,$AV$2:$BA$84,4,FALSE),0)+IFERROR(VLOOKUP($MN84,$AV$2:$BA$84,4,FALSE),0)</f>
        <v/>
      </c>
      <c r="NQ84" s="152">
        <f>IFERROR(VLOOKUP($MK84,$AV$2:$BA$84,6,FALSE),0)+IFERROR(VLOOKUP($ML84,$AV$2:$BA$84,6,FALSE),0)+IFERROR(VLOOKUP($MM84,$AV$2:$BA$84,6,FALSE),0)+IFERROR(VLOOKUP($MN84,$AV$2:$BA$84,6,FALSE),0)</f>
        <v/>
      </c>
      <c r="NR84" s="152">
        <f>TEXTJOIN(", ",TRUE,IF(IFERROR(VLOOKUP($MK84,$AV$2:$BA$84,5,FALSE),0)=1,$MK84,""),IF(IFERROR(VLOOKUP($ML84,$AV$2:$BA$84,5,FALSE),0)=1,$ML84,""),IF(IFERROR(VLOOKUP($MM84,$AV$2:$BA$84,5,FALSE),0)=1,$MM84,""),IF(IFERROR(VLOOKUP($MN84,$AV$2:$BA$84,5,FALSE),0)=1,$MN84,""))</f>
        <v/>
      </c>
      <c r="NS84" s="152">
        <f>IF($MW84=0,0,INDEX($Y$2:$Y$11,$MW84))</f>
        <v/>
      </c>
      <c r="NT84" s="152">
        <f>IF($MW84=0,0,INDEX($Z$2:$Z$11,$MW84))</f>
        <v/>
      </c>
      <c r="NU84" s="152">
        <f>IF($MW84=0,0,INDEX($AB$2:$AB$11,$MW84))</f>
        <v/>
      </c>
      <c r="NV84" s="152">
        <f>IFERROR(VLOOKUP($MO84,$BC$2:$BG$24,3,FALSE),0)</f>
        <v/>
      </c>
      <c r="NW84" s="152">
        <f>IFERROR(VLOOKUP($MP84,$BC$2:$BG$24,3,FALSE),0)</f>
        <v/>
      </c>
      <c r="NX84" s="152">
        <f>IFERROR(VLOOKUP($MO84,$BC$2:$BG$24,2,FALSE),"")</f>
        <v/>
      </c>
      <c r="NY84" s="152">
        <f>IFERROR(VLOOKUP($MP84,$BC$2:$BG$24,2,FALSE),"")</f>
        <v/>
      </c>
      <c r="NZ84" s="152">
        <f>COUNTIF($NF84:$NJ84,1)</f>
        <v/>
      </c>
      <c r="OA84" s="152">
        <f>COUNTIF($NF84:$NJ84,2)</f>
        <v/>
      </c>
      <c r="OB84" s="152">
        <f>COUNTIF($NF84:$NJ84,3)</f>
        <v/>
      </c>
      <c r="OC84" s="152">
        <f>COUNTIF($NF84:$NJ84,4)</f>
        <v/>
      </c>
      <c r="OD84" s="152">
        <f>COUNTIF($NF84:$NJ84,5)</f>
        <v/>
      </c>
      <c r="OE84" s="152">
        <f>COUNTIF($NF84:$NJ84,6)</f>
        <v/>
      </c>
      <c r="OF84" s="152">
        <f>COUNTIF($NV84:$NW84,1)</f>
        <v/>
      </c>
      <c r="OG84" s="152">
        <f>COUNTIF($NV84:$NW84,2)+$NS84</f>
        <v/>
      </c>
      <c r="OH84" s="152">
        <f>COUNTIF($MK84:$MN84,"?*")</f>
        <v/>
      </c>
      <c r="OI84" s="152">
        <f>COUNTIF($MO84:$MP84,"?*")+$NS84</f>
        <v/>
      </c>
      <c r="OJ84" s="152">
        <f>IF($MF84=0,0,SUMPRODUCT($NZ84:$OE84,INDEX($I$2:$N$8,MAX(1,$MF84),0)))</f>
        <v/>
      </c>
      <c r="OK84" s="152">
        <f>IF($MF84=0,0,$OF84*CEILING($MF84/2,1)+$OG84*$MF84)</f>
        <v/>
      </c>
      <c r="OL84" s="152">
        <f>MIN(2*$MF84,$OK84)</f>
        <v/>
      </c>
      <c r="OM84" s="152">
        <f>MIN($OL84,$OJ84)</f>
        <v/>
      </c>
      <c r="ON84" s="152">
        <f>$OL84-$OM84</f>
        <v/>
      </c>
      <c r="OO84" s="152">
        <f>IF($MF84=0,0,INDEX($P$2:$P$8,MAX(1,$MF84)))</f>
        <v/>
      </c>
      <c r="OP84" s="152">
        <f>$OO84-$OJ84+$OM84</f>
        <v/>
      </c>
      <c r="OQ84" s="152">
        <f>IF($MF84=0,MAX(0,$MT84-IF($OH84&gt;0,1,0)),MAX(0,$OP84))</f>
        <v/>
      </c>
      <c r="OR84" s="152">
        <f>IF($MF84=0,0,(IF(COUNTIF($MK84:$MN84,"Salto")&gt;0,1,0)+IF(COUNTIF($MK84:$MN84,"Queima")&gt;0,1,0)+IF(COUNTIF($MK84:$MN84,"Estilhaço")&gt;0,1,0))*FLOOR($OQ84/2,1))</f>
        <v/>
      </c>
      <c r="OS84" s="152">
        <f>MAX(0,2-SUMPRODUCT($NZ84:$OE84,$I$2:$N$2)+MIN(2,$OF84*1+$OG84*1,SUMPRODUCT($NZ84:$OE84,$I$2:$N$2)))</f>
        <v/>
      </c>
      <c r="OT84" s="152">
        <f>MAX(0,4-SUMPRODUCT($NZ84:$OE84,$I$3:$N$3)+MIN(4,$OF84*1+$OG84*2,SUMPRODUCT($NZ84:$OE84,$I$3:$N$3)))</f>
        <v/>
      </c>
      <c r="OU84" s="152">
        <f>MAX(0,6-SUMPRODUCT($NZ84:$OE84,$I$4:$N$4)+MIN(6,$OF84*2+$OG84*3,SUMPRODUCT($NZ84:$OE84,$I$4:$N$4)))</f>
        <v/>
      </c>
      <c r="OV84" s="152">
        <f>MAX(0,9-SUMPRODUCT($NZ84:$OE84,$I$5:$N$5)+MIN(8,$OF84*2+$OG84*4,SUMPRODUCT($NZ84:$OE84,$I$5:$N$5)))</f>
        <v/>
      </c>
      <c r="OW84" s="152">
        <f>MAX(0,11-SUMPRODUCT($NZ84:$OE84,$I$6:$N$6)+MIN(10,$OF84*3+$OG84*5,SUMPRODUCT($NZ84:$OE84,$I$6:$N$6)))</f>
        <v/>
      </c>
      <c r="OX84" s="152">
        <f>MAX(0,13-SUMPRODUCT($NZ84:$OE84,$I$7:$N$7)+MIN(12,$OF84*3+$OG84*6,SUMPRODUCT($NZ84:$OE84,$I$7:$N$7)))</f>
        <v/>
      </c>
      <c r="OY84" s="152">
        <f>MAX(0,16-SUMPRODUCT($NZ84:$OE84,$I$8:$N$8)+MIN(14,$OF84*4+$OG84*7,SUMPRODUCT($NZ84:$OE84,$I$8:$N$8)))</f>
        <v/>
      </c>
      <c r="OZ84" s="152">
        <f>IF($NT84=2,3*$OS84&amp;" de vida temp.",IF($NT84=3,"sem dano",IF($OS84=0,IF($NT84=1,"sem cura","sem dano"),IF($NT84=1,"cura ","")&amp;$OS84&amp;"d8")))</f>
        <v/>
      </c>
      <c r="PA84" s="152">
        <f>IF($NT84=2,3*$OT84&amp;" de vida temp.",IF($NT84=3,"sem dano",IF($OT84=0,IF($NT84=1,"sem cura","sem dano"),IF($NT84=1,"cura ","")&amp;$OT84&amp;"d8")))</f>
        <v/>
      </c>
      <c r="PB84" s="152">
        <f>IF($NT84=2,3*$OU84&amp;" de vida temp.",IF($NT84=3,"sem dano",IF($OU84=0,IF($NT84=1,"sem cura","sem dano"),IF($NT84=1,"cura ","")&amp;$OU84&amp;"d8")))</f>
        <v/>
      </c>
      <c r="PC84" s="152">
        <f>IF($NT84=2,3*$OV84&amp;" de vida temp.",IF($NT84=3,"sem dano",IF($OV84=0,IF($NT84=1,"sem cura","sem dano"),IF($NT84=1,"cura ","")&amp;$OV84&amp;"d8")))</f>
        <v/>
      </c>
      <c r="PD84" s="152">
        <f>IF($NT84=2,3*$OW84&amp;" de vida temp.",IF($NT84=3,"sem dano",IF($OW84=0,IF($NT84=1,"sem cura","sem dano"),IF($NT84=1,"cura ","")&amp;$OW84&amp;"d8")))</f>
        <v/>
      </c>
      <c r="PE84" s="152">
        <f>IF($NT84=2,3*$OX84&amp;" de vida temp.",IF($NT84=3,"sem dano",IF($OX84=0,IF($NT84=1,"sem cura","sem dano"),IF($NT84=1,"cura ","")&amp;$OX84&amp;"d8")))</f>
        <v/>
      </c>
      <c r="PF84" s="152">
        <f>IF($NT84=2,3*$OY84&amp;" de vida temp.",IF($NT84=3,"sem dano",IF($OY84=0,IF($NT84=1,"sem cura","sem dano"),IF($NT84=1,"cura ","")&amp;$OY84&amp;"d8")))</f>
        <v/>
      </c>
      <c r="PG84" s="152">
        <f>IF($MQ84=0,"",TEXTJOIN(" · ",TRUE,IF($MD84&gt;$MR84,"Este lugar abre no nível "&amp;$MD84,""),IF($MF84&gt;$MS84,"Classe "&amp;$MF84&amp;": o nível "&amp;$MR84&amp;" libera até a "&amp;$MS84,""),IF($NK84=1,"A Forma "&amp;$MH84&amp;" pede "&amp;INDEX($W$2:$W$11,$MW84)&amp;" aberta",""),IF(AND($MF84=0,$MW84&gt;0,IF($MW84=0,0,INDEX($AF$2:$AF$11,$MW84))=0),$MH84&amp;" não existe na Classe 0",""),IF($NL84=1,"Família Fechada: "&amp;$MK84,""),IF($NM84=1,"Família Fechada: "&amp;$ML84,""),IF($NN84=1,"Família Fechada: "&amp;$MM84,""),IF($NO84=1,"Família Fechada: "&amp;$MN84,""),IF(AND($MF84&gt;0,$OH84&gt;INDEX($O$2:$O$8,MAX(1,$MF84))),$OH84&amp;" Melhorias: a Classe "&amp;$MF84&amp;" aceita "&amp;INDEX($O$2:$O$8,MAX(1,$MF84)),""),IF(AND($MF84=0,$OH84&gt;1),"A básica aceita uma Melhoria",""),IF(AND($MF84=0,COUNTIF($NB84:$NE84,"&gt;1")&gt;0),"A básica só aceita Melhoria Leve",""),IF(AND($MF84&gt;0,$OI84&gt;2),$OI84&amp;" Restrições"&amp;IF($NS84=1,", contando a que a Forma "&amp;$MH84&amp;" já traz","")&amp;": o limite é 2",""),IF(AND($MF84=0,COUNTIF($MO84:$MP84,"?*")&gt;1),"A básica aceita uma Restrição Leve",""),IF(AND($MF84=0,COUNTIF($NV84:$NW84,2)&gt;0),"A básica só aceita Restrição Leve",""),IF(AND($MF84&gt;0,$OP84&lt;0),"Orçamento estourado: faltam "&amp;(-$OP84)&amp;IF($OP84&lt;-1," pontos"," ponto"),""),IF(IFERROR(VLOOKUP($MO84,$BC$2:$BG$24,4,FALSE),0)+IFERROR(VLOOKUP($MP84,$BC$2:$BG$24,4,FALSE),0)&gt;1,$NX84&amp;" e "&amp;$NY84&amp;" são as duas de frequência",""),IF(AND((COUNTIF($MK84:$MN84,"Rápido")+COUNTIF($NX84:$NY84,"Rápido"))&gt;0,(COUNTIF($MK84:$MN84,"Atrasar")+COUNTIF($NX84:$NY84,"Atrasar"))&gt;0),"Rápido não entra com Atrasar",""),IF(AND((COUNTIF($MK84:$MN84,"Reação")+COUNTIF($NX84:$NY84,"Reação"))&gt;0,(COUNTIF($MK84:$MN84,"Rápido")+COUNTIF($NX84:$NY84,"Rápido"))&gt;0),"Reação não entra com Rápido",""),IF(AND((COUNTIF($MK84:$MN84,"Reação")+COUNTIF($NX84:$NY84,"Reação"))&gt;0,(COUNTIF($MK84:$MN84,"Armado")+COUNTIF($NX84:$NY84,"Armado"))&gt;0),"Reação não entra com Armado",""),IF(AND((COUNTIF($MK84:$MN84,"Reação")+COUNTIF($NX84:$NY84,"Reação"))&gt;0,(COUNTIF($MK84:$MN84,"Atrasar")+COUNTIF($NX84:$NY84,"Atrasar"))&gt;0),"Reação não entra com Atrasar",""),IF(AND((COUNTIF($MK84:$MN84,"Reação")+COUNTIF($NX84:$NY84,"Reação"))&gt;0,(COUNTIF($MK84:$MN84,"Parado")+COUNTIF($NX84:$NY84,"Parado"))&gt;0),"Reação não entra com Parado",""),IF(AND((COUNTIF($MK84:$MN84,"Atrasar")+COUNTIF($NX84:$NY84,"Atrasar"))&gt;0,(COUNTIF($MK84:$MN84,"Parado")+COUNTIF($NX84:$NY84,"Parado"))&gt;0),"Atrasar não entra com Parado",""),IF(AND((COUNTIF($MK84:$MN84,"Armado")+COUNTIF($NX84:$NY84,"Armado"))&gt;0,(COUNTIF($MK84:$MN84,"Carregar")+COUNTIF($NX84:$NY84,"Carregar"))&gt;0),"Armado não entra com Carregar",""),IF(AND(COUNTIF($NX84:$NY84,"Corpo a Corpo")&gt;0,$NS84=0,OR($MH84="Cone",$MH84="Linha")),"Corpo a Corpo não entra em "&amp;$MH84,""),IF(AND(COUNTIF($NX84:$NY84,"Corpo a Corpo")&gt;0,$NS84=1),"A Forma "&amp;$MH84&amp;" já traz o Corpo a Corpo",""),IF(AND(COUNTIF($NX84:$NY84,"Tudo ou Nada")&gt;0,$NU84=0),"Tudo ou Nada só entra em habilidade de Teste de Resistência",""),IF(AND(COUNTIF($MK84:$MN84,"Inescapável")&gt;0,OR($OH84&gt;1,$OI84&gt;0)),"Inescapável não aceita outra peça",""),IF(AND($MF84&gt;0,$OQ84*IF(COUNTIF($MK84:$MN84,"Remate")&gt;0,1.25,1)+$OR84&gt;4*$MF84),($OQ84*IF(COUNTIF($MK84:$MN84,"Remate")&gt;0,1.25,1)+$OR84)&amp;" dados somando repetições"&amp;IF(COUNTIF($MK84:$MN84,"Remate")&gt;0," e o Remate","")&amp;": o teto da Classe "&amp;$MF84&amp;" é "&amp;4*$MF84,"")))</f>
        <v/>
      </c>
      <c r="PH84" s="152">
        <f>IF($PG84="",0,(LEN($PG84)-LEN(SUBSTITUTE($PG84," · ","")))/3+1)</f>
        <v/>
      </c>
      <c r="PI84" s="152">
        <f>IF($MQ84=0,"",TEXTJOIN(" · ",TRUE,IF($OK84&gt;2*$MF84,"A devolução parou no teto de "&amp;2*$MF84,""),IF($ON84&gt;0,"Devolução perdida: "&amp;$ON84&amp;IF($ON84&gt;1," pontos"," ponto")&amp;" sem peça para pagar",""),IF(AND($NP84&gt;0,AND($MF84&gt;0,$NT84=0),$OQ84=0),"Controle sem dano: uma rodada a mais e CD +2",""),IF(AND($NP84&gt;0,AND($MF84&gt;0,$NT84=0),$OQ84&gt;0,$OQ84&lt;=$MF84),"Controle com saldo até a Classe: uma rodada a mais",""),IF(AND($MF84&gt;0,$NR84&lt;&gt;""),"Efeito de "&amp;$NR84&amp;" pela Classe "&amp;MAX(1,$MF84-1),"")))</f>
        <v/>
      </c>
      <c r="PJ84" s="152">
        <f>IF($PI84="",0,(LEN($PI84)-LEN(SUBSTITUTE($PI84," · ","")))/3+1)</f>
        <v/>
      </c>
      <c r="PK84" s="152">
        <f>IF($MQ84=0,IF($OH84+COUNTIF($MO84:$MP84,"?*")&gt;0,"Dê um nome",""),IF($PH84&gt;0,"⚠ "&amp;$PH84&amp;IF($PH84&gt;1," erros"," erro"),IF($PJ84&gt;0,"! "&amp;$PJ84&amp;IF($PJ84&gt;1," avisos"," aviso"),"Na regra")))</f>
        <v/>
      </c>
      <c r="PL84" s="152">
        <f>IF($MQ84=0,"",IF($PH84+$PJ84=0,"Dentro das regras que a ficha confere",$PG84&amp;IF(AND($PH84&gt;0,$PJ84&gt;0)," · ","")&amp;$PI84))</f>
        <v/>
      </c>
      <c r="PM84" s="152">
        <f>IF($MD84&gt;$MR84,$ME84&amp;" · ABRE NO NÍVEL "&amp;$MD84,$ME84)</f>
        <v/>
      </c>
      <c r="PN84" s="152">
        <f>IF($MQ84=0,"",IF($MF84=0,"Sem PE",3*$MF84&amp;" PE"))</f>
        <v/>
      </c>
      <c r="PO84" s="152">
        <f>IF($MQ84=0,"",IF($MF84=0,"A atuação básica dela",IF(COUNTIF($NX84:$NY84,"Atrasar")&gt;0,"Sua Ação Completa",IF(COUNTIF($MK84:$MN84,"Rápido")&gt;0,"Sua Bônus",IF(COUNTIF($MK84:$MN84,"Reação")&gt;0,"Sua Reação","Sua Padrão")))&amp;" + a básica dela"&amp;IF(COUNTIF($MK84:$MN84,"Reação")&gt;0," e a coletiva","")&amp;IF(COUNTIF($NX84:$NY84,"Carregar")&gt;0," · em dois turnos","")))</f>
        <v/>
      </c>
      <c r="PP84" s="152">
        <f>IF($MJ84&lt;&gt;"",$MJ84,IF($MW84=0,"",INDEX($AA$2:$AA$11,$MW84)))</f>
        <v/>
      </c>
      <c r="PQ84" s="152">
        <f>IF(OR($MQ84=0,$MW84=0),"",IF(COUNTIF($MK84:$MN84,"Inescapável")&gt;0,"Automático",IF($PP84="Ataque",IF($MU84="","Ataque","Ataque "&amp;IF(($MU84+2*IF(COUNTIF($MK84:$MN84,"Precisão")&gt;0,1,0))&gt;=0,"+","−")&amp;ABS(($MU84+2*IF(COUNTIF($MK84:$MN84,"Precisão")&gt;0,1,0))))&amp;IF($NQ84&gt;0," · TR"&amp;IF($MV84="",""," CD "&amp;$MV84),""),IF(LEFT($PP84,2)="TR",$PP84&amp;IF($MV84="",""," · CD "&amp;$MV84)&amp;IF(COUNTIF($MK84:$MN84,"Certeiro")&gt;0," · metade",""),"Sem rolagem"))))</f>
        <v/>
      </c>
      <c r="PR84" s="152">
        <f>IF(OR($MQ84=0,$MW84=0),"",IF($MF84=0,IF(OR($NT84&gt;=1,$OQ84=0),"Sem dano",$OQ84&amp;"d6"&amp;IF($MI84="",""," "&amp;$MI84)),IF(OR($NT84&gt;=1,$OQ84=0),UPPER(LEFT(INDEX($OZ84:$PF84,1,MAX(1,$MF84)),1))&amp;MID(INDEX($OZ84:$PF84,1,MAX(1,$MF84)),2,99),UPPER(LEFT(INDEX($OZ84:$PF84,1,MAX(1,$MF84)),1))&amp;MID(INDEX($OZ84:$PF84,1,MAX(1,$MF84)),2,99)&amp;IF($MI84="",""," "&amp;$MI84)&amp;IF($OR84&gt;0," · +"&amp;$OR84&amp;"d8",""))))</f>
        <v/>
      </c>
      <c r="PS84" s="152">
        <f>COUNTIF($MK84:$MN84,"Longe")+3*COUNTIF($MK84:$MN84,"Muito Longe")</f>
        <v/>
      </c>
      <c r="PT84" s="152">
        <f>COUNTIF($MK84:$MN84,"Maior")+3*COUNTIF($MK84:$MN84,"Muito Maior")</f>
        <v/>
      </c>
      <c r="PU84" s="152">
        <f>IF($MW84=0,0,CHOOSE(1+INDEX($AC$2:$AC$11,$MW84),0,$PS84,$PT84,$PS84+$PT84))</f>
        <v/>
      </c>
      <c r="PV84" s="152">
        <f>IF($MW84=0,0,CHOOSE(1+INDEX($AD$2:$AD$11,$MW84),0,$PS84,$PT84,$PS84+$PT84))</f>
        <v/>
      </c>
      <c r="PW84" s="152">
        <f>IF(OR($MQ84=0,$MW84=0),"",INDEX($AI$2:$AN$41,($MW84-1)*4+IF($MF84=0,1,IF($MF84&lt;=5,2,IF($MF84=6,3,4))),1+MIN(5,$PU84))&amp;INDEX($AO$2:$AT$41,($MW84-1)*4+IF($MF84=0,1,IF($MF84&lt;=5,2,IF($MF84=6,3,4))),1+MIN(5,$PV84))&amp;IF(INDEX($AE$2:$AE$11,$MW84)=1,IF(COUNTIF($MK84:$MN84,"Mais Um")&gt;0," · +"&amp;COUNTIF($MK84:$MN84,"Mais Um")&amp;IF(COUNTIF($MK84:$MN84,"Mais Um")&gt;1," alvos"," alvo"),"")&amp;IF(COUNTIF($MK84:$MN84,"Rajada")&gt;0,IF($MF84=0," · 1 tiro"," · "&amp;(MAX(1,$MF84-1)+1)&amp;" tiros"),""),""))</f>
        <v/>
      </c>
      <c r="PX84" s="152">
        <f>IF($MQ84=0,"",IF($MF84=0,$MT84&amp;"d6"&amp;IF($OH84&gt;0," − 1 = "&amp;$OQ84&amp;"d6"," da básica do nível "&amp;$MR84),$OO84&amp;" − "&amp;$OJ84&amp;" + "&amp;$OM84&amp;" = "&amp;$OP84&amp;" · teto "&amp;4*$MF84&amp;"d8"&amp;IF($NS84=1," · a Forma devolve "&amp;$MF84,"")&amp;IF($ON84&gt;0," · perde "&amp;$ON84,"")))</f>
        <v/>
      </c>
      <c r="PY84" s="152">
        <f>IF($MQ84=0,"",IF($MF84=0,"A básica não amplia: os dados dela sobem com o nível",IF($MF84&gt;=$MS84,"Já está na maior Classe que o nível liberou",TEXTJOIN(" · ",TRUE,IF(AND(2&gt;$MF84,2&lt;=$MS84),"2 → "&amp;$PA84&amp;", 6 PE",""),IF(AND(3&gt;$MF84,3&lt;=$MS84),"3 → "&amp;$PB84&amp;", 9 PE",""),IF(AND(4&gt;$MF84,4&lt;=$MS84),"4 → "&amp;$PC84&amp;", 12 PE",""),IF(AND(5&gt;$MF84,5&lt;=$MS84),"5 → "&amp;$PD84&amp;", 15 PE",""),IF(AND(6&gt;$MF84,6&lt;=$MS84),"6 → "&amp;$PE84&amp;", 18 PE",""),IF(AND(7&gt;$MF84,7&lt;=$MS84),"7 → "&amp;$PF84&amp;", 21 PE","")))))</f>
        <v/>
      </c>
      <c r="PZ84" s="152">
        <f>IF(OR($MQ84=0,$NB84=0),"",IF($MF84=0,"−1 dado","−"&amp;INDEX($I$2:$N$8,MAX(1,$MF84),MAX(1,$NG84))&amp;" · "&amp;CHOOSE(MAX(1,$NG84),"Leve","Média","Pesada","Leve · Livre","Média · Livre","Pesada · Livre")))</f>
        <v/>
      </c>
      <c r="QA84" s="152">
        <f>IF(OR($MQ84=0,$NC84=0),"",IF($MF84=0,"−1 dado","−"&amp;INDEX($I$2:$N$8,MAX(1,$MF84),MAX(1,$NH84))&amp;" · "&amp;CHOOSE(MAX(1,$NH84),"Leve","Média","Pesada","Leve · Livre","Média · Livre","Pesada · Livre")))</f>
        <v/>
      </c>
      <c r="QB84" s="152">
        <f>IF(OR($MQ84=0,$ND84=0),"",IF($MF84=0,"−1 dado","−"&amp;INDEX($I$2:$N$8,MAX(1,$MF84),MAX(1,$NI84))&amp;" · "&amp;CHOOSE(MAX(1,$NI84),"Leve","Média","Pesada","Leve · Livre","Média · Livre","Pesada · Livre")))</f>
        <v/>
      </c>
      <c r="QC84" s="152">
        <f>IF(OR($MQ84=0,$NE84=0),"",IF($MF84=0,"−1 dado","−"&amp;INDEX($I$2:$N$8,MAX(1,$MF84),MAX(1,$NJ84))&amp;" · "&amp;CHOOSE(MAX(1,$NJ84),"Leve","Média","Pesada","Leve · Livre","Média · Livre","Pesada · Livre")))</f>
        <v/>
      </c>
      <c r="QD84" s="152">
        <f>IF(OR($MQ84=0,$MO84=""),"",IF($MF84=0,"não devolve","+"&amp;IF($NV84=1,CEILING($MF84/2,1),$MF84)))</f>
        <v/>
      </c>
      <c r="QE84" s="152">
        <f>IF(OR($MQ84=0,$MP84=""),"",IF($MF84=0,"não devolve","+"&amp;IF($NW84=1,CEILING($MF84/2,1),$MF84)))</f>
        <v/>
      </c>
    </row>
    <row r="85">
      <c r="MA85" s="150" t="inlineStr">
        <is>
          <t>Ficha 7 · Especial 4</t>
        </is>
      </c>
      <c r="MB85" s="152" t="n">
        <v>7</v>
      </c>
      <c r="MC85" s="152" t="n">
        <v>1</v>
      </c>
      <c r="MD85" s="152" t="n">
        <v>12</v>
      </c>
      <c r="ME85" s="150" t="inlineStr">
        <is>
          <t>ESPECIAL 4</t>
        </is>
      </c>
      <c r="MF85" s="152">
        <f>MAX(1,MIN(7,N('INVOCAÇÕES'!$AN$92)))</f>
        <v/>
      </c>
      <c r="MG85" s="152">
        <f>'INVOCAÇÕES'!$AO$92&amp;""</f>
        <v/>
      </c>
      <c r="MH85" s="152">
        <f>'INVOCAÇÕES'!$AN$97&amp;""</f>
        <v/>
      </c>
      <c r="MI85" s="152">
        <f>'INVOCAÇÕES'!$AN$98&amp;""</f>
        <v/>
      </c>
      <c r="MJ85" s="152">
        <f>'INVOCAÇÕES'!$AP$98&amp;""</f>
        <v/>
      </c>
      <c r="MK85" s="152">
        <f>'INVOCAÇÕES'!$AO$101&amp;""</f>
        <v/>
      </c>
      <c r="ML85" s="152">
        <f>'INVOCAÇÕES'!$AO$102&amp;""</f>
        <v/>
      </c>
      <c r="MM85" s="152">
        <f>'INVOCAÇÕES'!$AO$103&amp;""</f>
        <v/>
      </c>
      <c r="MN85" s="152">
        <f>'INVOCAÇÕES'!$AO$104&amp;""</f>
        <v/>
      </c>
      <c r="MO85" s="152">
        <f>'INVOCAÇÕES'!$AO$105&amp;""</f>
        <v/>
      </c>
      <c r="MP85" s="152">
        <f>'INVOCAÇÕES'!$AO$106&amp;""</f>
        <v/>
      </c>
      <c r="MQ85" s="152">
        <f>IF($MG85&lt;&gt;"",1,0)</f>
        <v/>
      </c>
      <c r="MR85" s="152">
        <f>INDEX($FI$2:$FI$13,$MB85)</f>
        <v/>
      </c>
      <c r="MS85" s="152">
        <f>INDEX($FJ$2:$FJ$13,$MB85)</f>
        <v/>
      </c>
      <c r="MT85" s="152">
        <f>INDEX($FK$2:$FK$13,$MB85)</f>
        <v/>
      </c>
      <c r="MU85" s="152">
        <f>INDEX($FV$2:$FV$13,$MB85)</f>
        <v/>
      </c>
      <c r="MV85" s="152">
        <f>INDEX($FW$2:$FW$13,$MB85)</f>
        <v/>
      </c>
      <c r="MW85" s="152">
        <f>IFERROR(MATCH($MH85,$V$2:$V$11,0),0)</f>
        <v/>
      </c>
      <c r="MX85" s="152">
        <f>IFERROR(VLOOKUP($MK85,$AV$2:$BA$84,2,FALSE),"")</f>
        <v/>
      </c>
      <c r="MY85" s="152">
        <f>IFERROR(VLOOKUP($ML85,$AV$2:$BA$84,2,FALSE),"")</f>
        <v/>
      </c>
      <c r="MZ85" s="152">
        <f>IFERROR(VLOOKUP($MM85,$AV$2:$BA$84,2,FALSE),"")</f>
        <v/>
      </c>
      <c r="NA85" s="152">
        <f>IFERROR(VLOOKUP($MN85,$AV$2:$BA$84,2,FALSE),"")</f>
        <v/>
      </c>
      <c r="NB85" s="152">
        <f>IFERROR(VLOOKUP($MK85,$AV$2:$BA$84,3,FALSE),0)</f>
        <v/>
      </c>
      <c r="NC85" s="152">
        <f>IFERROR(VLOOKUP($ML85,$AV$2:$BA$84,3,FALSE),0)</f>
        <v/>
      </c>
      <c r="ND85" s="152">
        <f>IFERROR(VLOOKUP($MM85,$AV$2:$BA$84,3,FALSE),0)</f>
        <v/>
      </c>
      <c r="NE85" s="152">
        <f>IFERROR(VLOOKUP($MN85,$AV$2:$BA$84,3,FALSE),0)</f>
        <v/>
      </c>
      <c r="NF85" s="152">
        <f>IF($MF85=0,0,IF($MW85=0,0,INDEX($X$2:$X$11,$MW85)))</f>
        <v/>
      </c>
      <c r="NG85" s="152">
        <f>IF(OR($NB85=0,$MF85=0),0,$NB85+3*IF(AND($MX85&lt;&gt;"",OR($MX85=INDEX($EF$2:$EF$13,$MB85),$MX85=INDEX($EG$2:$EG$13,$MB85))),1,0))</f>
        <v/>
      </c>
      <c r="NH85" s="152">
        <f>IF(OR($NC85=0,$MF85=0),0,$NC85+3*IF(AND($MY85&lt;&gt;"",OR($MY85=INDEX($EF$2:$EF$13,$MB85),$MY85=INDEX($EG$2:$EG$13,$MB85))),1,0))</f>
        <v/>
      </c>
      <c r="NI85" s="152">
        <f>IF(OR($ND85=0,$MF85=0),0,$ND85+3*IF(AND($MZ85&lt;&gt;"",OR($MZ85=INDEX($EF$2:$EF$13,$MB85),$MZ85=INDEX($EG$2:$EG$13,$MB85))),1,0))</f>
        <v/>
      </c>
      <c r="NJ85" s="152">
        <f>IF(OR($NE85=0,$MF85=0),0,$NE85+3*IF(AND($NA85&lt;&gt;"",OR($NA85=INDEX($EF$2:$EF$13,$MB85),$NA85=INDEX($EG$2:$EG$13,$MB85))),1,0))</f>
        <v/>
      </c>
      <c r="NK85" s="152">
        <f>IF($MW85=0,0,IF(INDEX($W$2:$W$11,$MW85)="",0,IF(COUNTIF(INDEX($EF$2:$EJ$13,$MB85,0),INDEX($W$2:$W$11,$MW85))=0,1,0)))</f>
        <v/>
      </c>
      <c r="NL85" s="152">
        <f>IF(OR($NB85=0,$MX85=""),0,IF(COUNTIF(INDEX($EF$2:$EJ$13,$MB85,0),$MX85)=0,1,0))</f>
        <v/>
      </c>
      <c r="NM85" s="152">
        <f>IF(OR($NC85=0,$MY85=""),0,IF(COUNTIF(INDEX($EF$2:$EJ$13,$MB85,0),$MY85)=0,1,0))</f>
        <v/>
      </c>
      <c r="NN85" s="152">
        <f>IF(OR($ND85=0,$MZ85=""),0,IF(COUNTIF(INDEX($EF$2:$EJ$13,$MB85,0),$MZ85)=0,1,0))</f>
        <v/>
      </c>
      <c r="NO85" s="152">
        <f>IF(OR($NE85=0,$NA85=""),0,IF(COUNTIF(INDEX($EF$2:$EJ$13,$MB85,0),$NA85)=0,1,0))</f>
        <v/>
      </c>
      <c r="NP85" s="152">
        <f>IFERROR(VLOOKUP($MK85,$AV$2:$BA$84,4,FALSE),0)+IFERROR(VLOOKUP($ML85,$AV$2:$BA$84,4,FALSE),0)+IFERROR(VLOOKUP($MM85,$AV$2:$BA$84,4,FALSE),0)+IFERROR(VLOOKUP($MN85,$AV$2:$BA$84,4,FALSE),0)</f>
        <v/>
      </c>
      <c r="NQ85" s="152">
        <f>IFERROR(VLOOKUP($MK85,$AV$2:$BA$84,6,FALSE),0)+IFERROR(VLOOKUP($ML85,$AV$2:$BA$84,6,FALSE),0)+IFERROR(VLOOKUP($MM85,$AV$2:$BA$84,6,FALSE),0)+IFERROR(VLOOKUP($MN85,$AV$2:$BA$84,6,FALSE),0)</f>
        <v/>
      </c>
      <c r="NR85" s="152">
        <f>TEXTJOIN(", ",TRUE,IF(IFERROR(VLOOKUP($MK85,$AV$2:$BA$84,5,FALSE),0)=1,$MK85,""),IF(IFERROR(VLOOKUP($ML85,$AV$2:$BA$84,5,FALSE),0)=1,$ML85,""),IF(IFERROR(VLOOKUP($MM85,$AV$2:$BA$84,5,FALSE),0)=1,$MM85,""),IF(IFERROR(VLOOKUP($MN85,$AV$2:$BA$84,5,FALSE),0)=1,$MN85,""))</f>
        <v/>
      </c>
      <c r="NS85" s="152">
        <f>IF($MW85=0,0,INDEX($Y$2:$Y$11,$MW85))</f>
        <v/>
      </c>
      <c r="NT85" s="152">
        <f>IF($MW85=0,0,INDEX($Z$2:$Z$11,$MW85))</f>
        <v/>
      </c>
      <c r="NU85" s="152">
        <f>IF($MW85=0,0,INDEX($AB$2:$AB$11,$MW85))</f>
        <v/>
      </c>
      <c r="NV85" s="152">
        <f>IFERROR(VLOOKUP($MO85,$BC$2:$BG$24,3,FALSE),0)</f>
        <v/>
      </c>
      <c r="NW85" s="152">
        <f>IFERROR(VLOOKUP($MP85,$BC$2:$BG$24,3,FALSE),0)</f>
        <v/>
      </c>
      <c r="NX85" s="152">
        <f>IFERROR(VLOOKUP($MO85,$BC$2:$BG$24,2,FALSE),"")</f>
        <v/>
      </c>
      <c r="NY85" s="152">
        <f>IFERROR(VLOOKUP($MP85,$BC$2:$BG$24,2,FALSE),"")</f>
        <v/>
      </c>
      <c r="NZ85" s="152">
        <f>COUNTIF($NF85:$NJ85,1)</f>
        <v/>
      </c>
      <c r="OA85" s="152">
        <f>COUNTIF($NF85:$NJ85,2)</f>
        <v/>
      </c>
      <c r="OB85" s="152">
        <f>COUNTIF($NF85:$NJ85,3)</f>
        <v/>
      </c>
      <c r="OC85" s="152">
        <f>COUNTIF($NF85:$NJ85,4)</f>
        <v/>
      </c>
      <c r="OD85" s="152">
        <f>COUNTIF($NF85:$NJ85,5)</f>
        <v/>
      </c>
      <c r="OE85" s="152">
        <f>COUNTIF($NF85:$NJ85,6)</f>
        <v/>
      </c>
      <c r="OF85" s="152">
        <f>COUNTIF($NV85:$NW85,1)</f>
        <v/>
      </c>
      <c r="OG85" s="152">
        <f>COUNTIF($NV85:$NW85,2)+$NS85</f>
        <v/>
      </c>
      <c r="OH85" s="152">
        <f>COUNTIF($MK85:$MN85,"?*")</f>
        <v/>
      </c>
      <c r="OI85" s="152">
        <f>COUNTIF($MO85:$MP85,"?*")+$NS85</f>
        <v/>
      </c>
      <c r="OJ85" s="152">
        <f>IF($MF85=0,0,SUMPRODUCT($NZ85:$OE85,INDEX($I$2:$N$8,MAX(1,$MF85),0)))</f>
        <v/>
      </c>
      <c r="OK85" s="152">
        <f>IF($MF85=0,0,$OF85*CEILING($MF85/2,1)+$OG85*$MF85)</f>
        <v/>
      </c>
      <c r="OL85" s="152">
        <f>MIN(2*$MF85,$OK85)</f>
        <v/>
      </c>
      <c r="OM85" s="152">
        <f>MIN($OL85,$OJ85)</f>
        <v/>
      </c>
      <c r="ON85" s="152">
        <f>$OL85-$OM85</f>
        <v/>
      </c>
      <c r="OO85" s="152">
        <f>IF($MF85=0,0,INDEX($P$2:$P$8,MAX(1,$MF85)))</f>
        <v/>
      </c>
      <c r="OP85" s="152">
        <f>$OO85-$OJ85+$OM85</f>
        <v/>
      </c>
      <c r="OQ85" s="152">
        <f>IF($MF85=0,MAX(0,$MT85-IF($OH85&gt;0,1,0)),MAX(0,$OP85))</f>
        <v/>
      </c>
      <c r="OR85" s="152">
        <f>IF($MF85=0,0,(IF(COUNTIF($MK85:$MN85,"Salto")&gt;0,1,0)+IF(COUNTIF($MK85:$MN85,"Queima")&gt;0,1,0)+IF(COUNTIF($MK85:$MN85,"Estilhaço")&gt;0,1,0))*FLOOR($OQ85/2,1))</f>
        <v/>
      </c>
      <c r="OS85" s="152">
        <f>MAX(0,2-SUMPRODUCT($NZ85:$OE85,$I$2:$N$2)+MIN(2,$OF85*1+$OG85*1,SUMPRODUCT($NZ85:$OE85,$I$2:$N$2)))</f>
        <v/>
      </c>
      <c r="OT85" s="152">
        <f>MAX(0,4-SUMPRODUCT($NZ85:$OE85,$I$3:$N$3)+MIN(4,$OF85*1+$OG85*2,SUMPRODUCT($NZ85:$OE85,$I$3:$N$3)))</f>
        <v/>
      </c>
      <c r="OU85" s="152">
        <f>MAX(0,6-SUMPRODUCT($NZ85:$OE85,$I$4:$N$4)+MIN(6,$OF85*2+$OG85*3,SUMPRODUCT($NZ85:$OE85,$I$4:$N$4)))</f>
        <v/>
      </c>
      <c r="OV85" s="152">
        <f>MAX(0,9-SUMPRODUCT($NZ85:$OE85,$I$5:$N$5)+MIN(8,$OF85*2+$OG85*4,SUMPRODUCT($NZ85:$OE85,$I$5:$N$5)))</f>
        <v/>
      </c>
      <c r="OW85" s="152">
        <f>MAX(0,11-SUMPRODUCT($NZ85:$OE85,$I$6:$N$6)+MIN(10,$OF85*3+$OG85*5,SUMPRODUCT($NZ85:$OE85,$I$6:$N$6)))</f>
        <v/>
      </c>
      <c r="OX85" s="152">
        <f>MAX(0,13-SUMPRODUCT($NZ85:$OE85,$I$7:$N$7)+MIN(12,$OF85*3+$OG85*6,SUMPRODUCT($NZ85:$OE85,$I$7:$N$7)))</f>
        <v/>
      </c>
      <c r="OY85" s="152">
        <f>MAX(0,16-SUMPRODUCT($NZ85:$OE85,$I$8:$N$8)+MIN(14,$OF85*4+$OG85*7,SUMPRODUCT($NZ85:$OE85,$I$8:$N$8)))</f>
        <v/>
      </c>
      <c r="OZ85" s="152">
        <f>IF($NT85=2,3*$OS85&amp;" de vida temp.",IF($NT85=3,"sem dano",IF($OS85=0,IF($NT85=1,"sem cura","sem dano"),IF($NT85=1,"cura ","")&amp;$OS85&amp;"d8")))</f>
        <v/>
      </c>
      <c r="PA85" s="152">
        <f>IF($NT85=2,3*$OT85&amp;" de vida temp.",IF($NT85=3,"sem dano",IF($OT85=0,IF($NT85=1,"sem cura","sem dano"),IF($NT85=1,"cura ","")&amp;$OT85&amp;"d8")))</f>
        <v/>
      </c>
      <c r="PB85" s="152">
        <f>IF($NT85=2,3*$OU85&amp;" de vida temp.",IF($NT85=3,"sem dano",IF($OU85=0,IF($NT85=1,"sem cura","sem dano"),IF($NT85=1,"cura ","")&amp;$OU85&amp;"d8")))</f>
        <v/>
      </c>
      <c r="PC85" s="152">
        <f>IF($NT85=2,3*$OV85&amp;" de vida temp.",IF($NT85=3,"sem dano",IF($OV85=0,IF($NT85=1,"sem cura","sem dano"),IF($NT85=1,"cura ","")&amp;$OV85&amp;"d8")))</f>
        <v/>
      </c>
      <c r="PD85" s="152">
        <f>IF($NT85=2,3*$OW85&amp;" de vida temp.",IF($NT85=3,"sem dano",IF($OW85=0,IF($NT85=1,"sem cura","sem dano"),IF($NT85=1,"cura ","")&amp;$OW85&amp;"d8")))</f>
        <v/>
      </c>
      <c r="PE85" s="152">
        <f>IF($NT85=2,3*$OX85&amp;" de vida temp.",IF($NT85=3,"sem dano",IF($OX85=0,IF($NT85=1,"sem cura","sem dano"),IF($NT85=1,"cura ","")&amp;$OX85&amp;"d8")))</f>
        <v/>
      </c>
      <c r="PF85" s="152">
        <f>IF($NT85=2,3*$OY85&amp;" de vida temp.",IF($NT85=3,"sem dano",IF($OY85=0,IF($NT85=1,"sem cura","sem dano"),IF($NT85=1,"cura ","")&amp;$OY85&amp;"d8")))</f>
        <v/>
      </c>
      <c r="PG85" s="152">
        <f>IF($MQ85=0,"",TEXTJOIN(" · ",TRUE,IF($MD85&gt;$MR85,"Este lugar abre no nível "&amp;$MD85,""),IF($MF85&gt;$MS85,"Classe "&amp;$MF85&amp;": o nível "&amp;$MR85&amp;" libera até a "&amp;$MS85,""),IF($NK85=1,"A Forma "&amp;$MH85&amp;" pede "&amp;INDEX($W$2:$W$11,$MW85)&amp;" aberta",""),IF(AND($MF85=0,$MW85&gt;0,IF($MW85=0,0,INDEX($AF$2:$AF$11,$MW85))=0),$MH85&amp;" não existe na Classe 0",""),IF($NL85=1,"Família Fechada: "&amp;$MK85,""),IF($NM85=1,"Família Fechada: "&amp;$ML85,""),IF($NN85=1,"Família Fechada: "&amp;$MM85,""),IF($NO85=1,"Família Fechada: "&amp;$MN85,""),IF(AND($MF85&gt;0,$OH85&gt;INDEX($O$2:$O$8,MAX(1,$MF85))),$OH85&amp;" Melhorias: a Classe "&amp;$MF85&amp;" aceita "&amp;INDEX($O$2:$O$8,MAX(1,$MF85)),""),IF(AND($MF85=0,$OH85&gt;1),"A básica aceita uma Melhoria",""),IF(AND($MF85=0,COUNTIF($NB85:$NE85,"&gt;1")&gt;0),"A básica só aceita Melhoria Leve",""),IF(AND($MF85&gt;0,$OI85&gt;2),$OI85&amp;" Restrições"&amp;IF($NS85=1,", contando a que a Forma "&amp;$MH85&amp;" já traz","")&amp;": o limite é 2",""),IF(AND($MF85=0,COUNTIF($MO85:$MP85,"?*")&gt;1),"A básica aceita uma Restrição Leve",""),IF(AND($MF85=0,COUNTIF($NV85:$NW85,2)&gt;0),"A básica só aceita Restrição Leve",""),IF(AND($MF85&gt;0,$OP85&lt;0),"Orçamento estourado: faltam "&amp;(-$OP85)&amp;IF($OP85&lt;-1," pontos"," ponto"),""),IF(IFERROR(VLOOKUP($MO85,$BC$2:$BG$24,4,FALSE),0)+IFERROR(VLOOKUP($MP85,$BC$2:$BG$24,4,FALSE),0)&gt;1,$NX85&amp;" e "&amp;$NY85&amp;" são as duas de frequência",""),IF(AND((COUNTIF($MK85:$MN85,"Rápido")+COUNTIF($NX85:$NY85,"Rápido"))&gt;0,(COUNTIF($MK85:$MN85,"Atrasar")+COUNTIF($NX85:$NY85,"Atrasar"))&gt;0),"Rápido não entra com Atrasar",""),IF(AND((COUNTIF($MK85:$MN85,"Reação")+COUNTIF($NX85:$NY85,"Reação"))&gt;0,(COUNTIF($MK85:$MN85,"Rápido")+COUNTIF($NX85:$NY85,"Rápido"))&gt;0),"Reação não entra com Rápido",""),IF(AND((COUNTIF($MK85:$MN85,"Reação")+COUNTIF($NX85:$NY85,"Reação"))&gt;0,(COUNTIF($MK85:$MN85,"Armado")+COUNTIF($NX85:$NY85,"Armado"))&gt;0),"Reação não entra com Armado",""),IF(AND((COUNTIF($MK85:$MN85,"Reação")+COUNTIF($NX85:$NY85,"Reação"))&gt;0,(COUNTIF($MK85:$MN85,"Atrasar")+COUNTIF($NX85:$NY85,"Atrasar"))&gt;0),"Reação não entra com Atrasar",""),IF(AND((COUNTIF($MK85:$MN85,"Reação")+COUNTIF($NX85:$NY85,"Reação"))&gt;0,(COUNTIF($MK85:$MN85,"Parado")+COUNTIF($NX85:$NY85,"Parado"))&gt;0),"Reação não entra com Parado",""),IF(AND((COUNTIF($MK85:$MN85,"Atrasar")+COUNTIF($NX85:$NY85,"Atrasar"))&gt;0,(COUNTIF($MK85:$MN85,"Parado")+COUNTIF($NX85:$NY85,"Parado"))&gt;0),"Atrasar não entra com Parado",""),IF(AND((COUNTIF($MK85:$MN85,"Armado")+COUNTIF($NX85:$NY85,"Armado"))&gt;0,(COUNTIF($MK85:$MN85,"Carregar")+COUNTIF($NX85:$NY85,"Carregar"))&gt;0),"Armado não entra com Carregar",""),IF(AND(COUNTIF($NX85:$NY85,"Corpo a Corpo")&gt;0,$NS85=0,OR($MH85="Cone",$MH85="Linha")),"Corpo a Corpo não entra em "&amp;$MH85,""),IF(AND(COUNTIF($NX85:$NY85,"Corpo a Corpo")&gt;0,$NS85=1),"A Forma "&amp;$MH85&amp;" já traz o Corpo a Corpo",""),IF(AND(COUNTIF($NX85:$NY85,"Tudo ou Nada")&gt;0,$NU85=0),"Tudo ou Nada só entra em habilidade de Teste de Resistência",""),IF(AND(COUNTIF($MK85:$MN85,"Inescapável")&gt;0,OR($OH85&gt;1,$OI85&gt;0)),"Inescapável não aceita outra peça",""),IF(AND($MF85&gt;0,$OQ85*IF(COUNTIF($MK85:$MN85,"Remate")&gt;0,1.25,1)+$OR85&gt;4*$MF85),($OQ85*IF(COUNTIF($MK85:$MN85,"Remate")&gt;0,1.25,1)+$OR85)&amp;" dados somando repetições"&amp;IF(COUNTIF($MK85:$MN85,"Remate")&gt;0," e o Remate","")&amp;": o teto da Classe "&amp;$MF85&amp;" é "&amp;4*$MF85,"")))</f>
        <v/>
      </c>
      <c r="PH85" s="152">
        <f>IF($PG85="",0,(LEN($PG85)-LEN(SUBSTITUTE($PG85," · ","")))/3+1)</f>
        <v/>
      </c>
      <c r="PI85" s="152">
        <f>IF($MQ85=0,"",TEXTJOIN(" · ",TRUE,IF($OK85&gt;2*$MF85,"A devolução parou no teto de "&amp;2*$MF85,""),IF($ON85&gt;0,"Devolução perdida: "&amp;$ON85&amp;IF($ON85&gt;1," pontos"," ponto")&amp;" sem peça para pagar",""),IF(AND($NP85&gt;0,AND($MF85&gt;0,$NT85=0),$OQ85=0),"Controle sem dano: uma rodada a mais e CD +2",""),IF(AND($NP85&gt;0,AND($MF85&gt;0,$NT85=0),$OQ85&gt;0,$OQ85&lt;=$MF85),"Controle com saldo até a Classe: uma rodada a mais",""),IF(AND($MF85&gt;0,$NR85&lt;&gt;""),"Efeito de "&amp;$NR85&amp;" pela Classe "&amp;MAX(1,$MF85-1),"")))</f>
        <v/>
      </c>
      <c r="PJ85" s="152">
        <f>IF($PI85="",0,(LEN($PI85)-LEN(SUBSTITUTE($PI85," · ","")))/3+1)</f>
        <v/>
      </c>
      <c r="PK85" s="152">
        <f>IF($MQ85=0,IF($OH85+COUNTIF($MO85:$MP85,"?*")&gt;0,"Dê um nome",""),IF($PH85&gt;0,"⚠ "&amp;$PH85&amp;IF($PH85&gt;1," erros"," erro"),IF($PJ85&gt;0,"! "&amp;$PJ85&amp;IF($PJ85&gt;1," avisos"," aviso"),"Na regra")))</f>
        <v/>
      </c>
      <c r="PL85" s="152">
        <f>IF($MQ85=0,"",IF($PH85+$PJ85=0,"Dentro das regras que a ficha confere",$PG85&amp;IF(AND($PH85&gt;0,$PJ85&gt;0)," · ","")&amp;$PI85))</f>
        <v/>
      </c>
      <c r="PM85" s="152">
        <f>IF($MD85&gt;$MR85,$ME85&amp;" · ABRE NO NÍVEL "&amp;$MD85,$ME85)</f>
        <v/>
      </c>
      <c r="PN85" s="152">
        <f>IF($MQ85=0,"",IF($MF85=0,"Sem PE",3*$MF85&amp;" PE"))</f>
        <v/>
      </c>
      <c r="PO85" s="152">
        <f>IF($MQ85=0,"",IF($MF85=0,"A atuação básica dela",IF(COUNTIF($NX85:$NY85,"Atrasar")&gt;0,"Sua Ação Completa",IF(COUNTIF($MK85:$MN85,"Rápido")&gt;0,"Sua Bônus",IF(COUNTIF($MK85:$MN85,"Reação")&gt;0,"Sua Reação","Sua Padrão")))&amp;" + a básica dela"&amp;IF(COUNTIF($MK85:$MN85,"Reação")&gt;0," e a coletiva","")&amp;IF(COUNTIF($NX85:$NY85,"Carregar")&gt;0," · em dois turnos","")))</f>
        <v/>
      </c>
      <c r="PP85" s="152">
        <f>IF($MJ85&lt;&gt;"",$MJ85,IF($MW85=0,"",INDEX($AA$2:$AA$11,$MW85)))</f>
        <v/>
      </c>
      <c r="PQ85" s="152">
        <f>IF(OR($MQ85=0,$MW85=0),"",IF(COUNTIF($MK85:$MN85,"Inescapável")&gt;0,"Automático",IF($PP85="Ataque",IF($MU85="","Ataque","Ataque "&amp;IF(($MU85+2*IF(COUNTIF($MK85:$MN85,"Precisão")&gt;0,1,0))&gt;=0,"+","−")&amp;ABS(($MU85+2*IF(COUNTIF($MK85:$MN85,"Precisão")&gt;0,1,0))))&amp;IF($NQ85&gt;0," · TR"&amp;IF($MV85="",""," CD "&amp;$MV85),""),IF(LEFT($PP85,2)="TR",$PP85&amp;IF($MV85="",""," · CD "&amp;$MV85)&amp;IF(COUNTIF($MK85:$MN85,"Certeiro")&gt;0," · metade",""),"Sem rolagem"))))</f>
        <v/>
      </c>
      <c r="PR85" s="152">
        <f>IF(OR($MQ85=0,$MW85=0),"",IF($MF85=0,IF(OR($NT85&gt;=1,$OQ85=0),"Sem dano",$OQ85&amp;"d6"&amp;IF($MI85="",""," "&amp;$MI85)),IF(OR($NT85&gt;=1,$OQ85=0),UPPER(LEFT(INDEX($OZ85:$PF85,1,MAX(1,$MF85)),1))&amp;MID(INDEX($OZ85:$PF85,1,MAX(1,$MF85)),2,99),UPPER(LEFT(INDEX($OZ85:$PF85,1,MAX(1,$MF85)),1))&amp;MID(INDEX($OZ85:$PF85,1,MAX(1,$MF85)),2,99)&amp;IF($MI85="",""," "&amp;$MI85)&amp;IF($OR85&gt;0," · +"&amp;$OR85&amp;"d8",""))))</f>
        <v/>
      </c>
      <c r="PS85" s="152">
        <f>COUNTIF($MK85:$MN85,"Longe")+3*COUNTIF($MK85:$MN85,"Muito Longe")</f>
        <v/>
      </c>
      <c r="PT85" s="152">
        <f>COUNTIF($MK85:$MN85,"Maior")+3*COUNTIF($MK85:$MN85,"Muito Maior")</f>
        <v/>
      </c>
      <c r="PU85" s="152">
        <f>IF($MW85=0,0,CHOOSE(1+INDEX($AC$2:$AC$11,$MW85),0,$PS85,$PT85,$PS85+$PT85))</f>
        <v/>
      </c>
      <c r="PV85" s="152">
        <f>IF($MW85=0,0,CHOOSE(1+INDEX($AD$2:$AD$11,$MW85),0,$PS85,$PT85,$PS85+$PT85))</f>
        <v/>
      </c>
      <c r="PW85" s="152">
        <f>IF(OR($MQ85=0,$MW85=0),"",INDEX($AI$2:$AN$41,($MW85-1)*4+IF($MF85=0,1,IF($MF85&lt;=5,2,IF($MF85=6,3,4))),1+MIN(5,$PU85))&amp;INDEX($AO$2:$AT$41,($MW85-1)*4+IF($MF85=0,1,IF($MF85&lt;=5,2,IF($MF85=6,3,4))),1+MIN(5,$PV85))&amp;IF(INDEX($AE$2:$AE$11,$MW85)=1,IF(COUNTIF($MK85:$MN85,"Mais Um")&gt;0," · +"&amp;COUNTIF($MK85:$MN85,"Mais Um")&amp;IF(COUNTIF($MK85:$MN85,"Mais Um")&gt;1," alvos"," alvo"),"")&amp;IF(COUNTIF($MK85:$MN85,"Rajada")&gt;0,IF($MF85=0," · 1 tiro"," · "&amp;(MAX(1,$MF85-1)+1)&amp;" tiros"),""),""))</f>
        <v/>
      </c>
      <c r="PX85" s="152">
        <f>IF($MQ85=0,"",IF($MF85=0,$MT85&amp;"d6"&amp;IF($OH85&gt;0," − 1 = "&amp;$OQ85&amp;"d6"," da básica do nível "&amp;$MR85),$OO85&amp;" − "&amp;$OJ85&amp;" + "&amp;$OM85&amp;" = "&amp;$OP85&amp;" · teto "&amp;4*$MF85&amp;"d8"&amp;IF($NS85=1," · a Forma devolve "&amp;$MF85,"")&amp;IF($ON85&gt;0," · perde "&amp;$ON85,"")))</f>
        <v/>
      </c>
      <c r="PY85" s="152">
        <f>IF($MQ85=0,"",IF($MF85=0,"A básica não amplia: os dados dela sobem com o nível",IF($MF85&gt;=$MS85,"Já está na maior Classe que o nível liberou",TEXTJOIN(" · ",TRUE,IF(AND(2&gt;$MF85,2&lt;=$MS85),"2 → "&amp;$PA85&amp;", 6 PE",""),IF(AND(3&gt;$MF85,3&lt;=$MS85),"3 → "&amp;$PB85&amp;", 9 PE",""),IF(AND(4&gt;$MF85,4&lt;=$MS85),"4 → "&amp;$PC85&amp;", 12 PE",""),IF(AND(5&gt;$MF85,5&lt;=$MS85),"5 → "&amp;$PD85&amp;", 15 PE",""),IF(AND(6&gt;$MF85,6&lt;=$MS85),"6 → "&amp;$PE85&amp;", 18 PE",""),IF(AND(7&gt;$MF85,7&lt;=$MS85),"7 → "&amp;$PF85&amp;", 21 PE","")))))</f>
        <v/>
      </c>
      <c r="PZ85" s="152">
        <f>IF(OR($MQ85=0,$NB85=0),"",IF($MF85=0,"−1 dado","−"&amp;INDEX($I$2:$N$8,MAX(1,$MF85),MAX(1,$NG85))&amp;" · "&amp;CHOOSE(MAX(1,$NG85),"Leve","Média","Pesada","Leve · Livre","Média · Livre","Pesada · Livre")))</f>
        <v/>
      </c>
      <c r="QA85" s="152">
        <f>IF(OR($MQ85=0,$NC85=0),"",IF($MF85=0,"−1 dado","−"&amp;INDEX($I$2:$N$8,MAX(1,$MF85),MAX(1,$NH85))&amp;" · "&amp;CHOOSE(MAX(1,$NH85),"Leve","Média","Pesada","Leve · Livre","Média · Livre","Pesada · Livre")))</f>
        <v/>
      </c>
      <c r="QB85" s="152">
        <f>IF(OR($MQ85=0,$ND85=0),"",IF($MF85=0,"−1 dado","−"&amp;INDEX($I$2:$N$8,MAX(1,$MF85),MAX(1,$NI85))&amp;" · "&amp;CHOOSE(MAX(1,$NI85),"Leve","Média","Pesada","Leve · Livre","Média · Livre","Pesada · Livre")))</f>
        <v/>
      </c>
      <c r="QC85" s="152">
        <f>IF(OR($MQ85=0,$NE85=0),"",IF($MF85=0,"−1 dado","−"&amp;INDEX($I$2:$N$8,MAX(1,$MF85),MAX(1,$NJ85))&amp;" · "&amp;CHOOSE(MAX(1,$NJ85),"Leve","Média","Pesada","Leve · Livre","Média · Livre","Pesada · Livre")))</f>
        <v/>
      </c>
      <c r="QD85" s="152">
        <f>IF(OR($MQ85=0,$MO85=""),"",IF($MF85=0,"não devolve","+"&amp;IF($NV85=1,CEILING($MF85/2,1),$MF85)))</f>
        <v/>
      </c>
      <c r="QE85" s="152">
        <f>IF(OR($MQ85=0,$MP85=""),"",IF($MF85=0,"não devolve","+"&amp;IF($NW85=1,CEILING($MF85/2,1),$MF85)))</f>
        <v/>
      </c>
    </row>
    <row r="86">
      <c r="MA86" s="150" t="inlineStr">
        <is>
          <t>Ficha 7 · Especial 5</t>
        </is>
      </c>
      <c r="MB86" s="152" t="n">
        <v>7</v>
      </c>
      <c r="MC86" s="152" t="n">
        <v>1</v>
      </c>
      <c r="MD86" s="152" t="n">
        <v>16</v>
      </c>
      <c r="ME86" s="150" t="inlineStr">
        <is>
          <t>ESPECIAL 5</t>
        </is>
      </c>
      <c r="MF86" s="152">
        <f>MAX(1,MIN(7,N('INVOCAÇÕES'!$AB$114)))</f>
        <v/>
      </c>
      <c r="MG86" s="152">
        <f>'INVOCAÇÕES'!$AC$114&amp;""</f>
        <v/>
      </c>
      <c r="MH86" s="152">
        <f>'INVOCAÇÕES'!$AB$119&amp;""</f>
        <v/>
      </c>
      <c r="MI86" s="152">
        <f>'INVOCAÇÕES'!$AB$120&amp;""</f>
        <v/>
      </c>
      <c r="MJ86" s="152">
        <f>'INVOCAÇÕES'!$AD$120&amp;""</f>
        <v/>
      </c>
      <c r="MK86" s="152">
        <f>'INVOCAÇÕES'!$AC$123&amp;""</f>
        <v/>
      </c>
      <c r="ML86" s="152">
        <f>'INVOCAÇÕES'!$AC$124&amp;""</f>
        <v/>
      </c>
      <c r="MM86" s="152">
        <f>'INVOCAÇÕES'!$AC$125&amp;""</f>
        <v/>
      </c>
      <c r="MN86" s="152">
        <f>'INVOCAÇÕES'!$AC$126&amp;""</f>
        <v/>
      </c>
      <c r="MO86" s="152">
        <f>'INVOCAÇÕES'!$AC$127&amp;""</f>
        <v/>
      </c>
      <c r="MP86" s="152">
        <f>'INVOCAÇÕES'!$AC$128&amp;""</f>
        <v/>
      </c>
      <c r="MQ86" s="152">
        <f>IF($MG86&lt;&gt;"",1,0)</f>
        <v/>
      </c>
      <c r="MR86" s="152">
        <f>INDEX($FI$2:$FI$13,$MB86)</f>
        <v/>
      </c>
      <c r="MS86" s="152">
        <f>INDEX($FJ$2:$FJ$13,$MB86)</f>
        <v/>
      </c>
      <c r="MT86" s="152">
        <f>INDEX($FK$2:$FK$13,$MB86)</f>
        <v/>
      </c>
      <c r="MU86" s="152">
        <f>INDEX($FV$2:$FV$13,$MB86)</f>
        <v/>
      </c>
      <c r="MV86" s="152">
        <f>INDEX($FW$2:$FW$13,$MB86)</f>
        <v/>
      </c>
      <c r="MW86" s="152">
        <f>IFERROR(MATCH($MH86,$V$2:$V$11,0),0)</f>
        <v/>
      </c>
      <c r="MX86" s="152">
        <f>IFERROR(VLOOKUP($MK86,$AV$2:$BA$84,2,FALSE),"")</f>
        <v/>
      </c>
      <c r="MY86" s="152">
        <f>IFERROR(VLOOKUP($ML86,$AV$2:$BA$84,2,FALSE),"")</f>
        <v/>
      </c>
      <c r="MZ86" s="152">
        <f>IFERROR(VLOOKUP($MM86,$AV$2:$BA$84,2,FALSE),"")</f>
        <v/>
      </c>
      <c r="NA86" s="152">
        <f>IFERROR(VLOOKUP($MN86,$AV$2:$BA$84,2,FALSE),"")</f>
        <v/>
      </c>
      <c r="NB86" s="152">
        <f>IFERROR(VLOOKUP($MK86,$AV$2:$BA$84,3,FALSE),0)</f>
        <v/>
      </c>
      <c r="NC86" s="152">
        <f>IFERROR(VLOOKUP($ML86,$AV$2:$BA$84,3,FALSE),0)</f>
        <v/>
      </c>
      <c r="ND86" s="152">
        <f>IFERROR(VLOOKUP($MM86,$AV$2:$BA$84,3,FALSE),0)</f>
        <v/>
      </c>
      <c r="NE86" s="152">
        <f>IFERROR(VLOOKUP($MN86,$AV$2:$BA$84,3,FALSE),0)</f>
        <v/>
      </c>
      <c r="NF86" s="152">
        <f>IF($MF86=0,0,IF($MW86=0,0,INDEX($X$2:$X$11,$MW86)))</f>
        <v/>
      </c>
      <c r="NG86" s="152">
        <f>IF(OR($NB86=0,$MF86=0),0,$NB86+3*IF(AND($MX86&lt;&gt;"",OR($MX86=INDEX($EF$2:$EF$13,$MB86),$MX86=INDEX($EG$2:$EG$13,$MB86))),1,0))</f>
        <v/>
      </c>
      <c r="NH86" s="152">
        <f>IF(OR($NC86=0,$MF86=0),0,$NC86+3*IF(AND($MY86&lt;&gt;"",OR($MY86=INDEX($EF$2:$EF$13,$MB86),$MY86=INDEX($EG$2:$EG$13,$MB86))),1,0))</f>
        <v/>
      </c>
      <c r="NI86" s="152">
        <f>IF(OR($ND86=0,$MF86=0),0,$ND86+3*IF(AND($MZ86&lt;&gt;"",OR($MZ86=INDEX($EF$2:$EF$13,$MB86),$MZ86=INDEX($EG$2:$EG$13,$MB86))),1,0))</f>
        <v/>
      </c>
      <c r="NJ86" s="152">
        <f>IF(OR($NE86=0,$MF86=0),0,$NE86+3*IF(AND($NA86&lt;&gt;"",OR($NA86=INDEX($EF$2:$EF$13,$MB86),$NA86=INDEX($EG$2:$EG$13,$MB86))),1,0))</f>
        <v/>
      </c>
      <c r="NK86" s="152">
        <f>IF($MW86=0,0,IF(INDEX($W$2:$W$11,$MW86)="",0,IF(COUNTIF(INDEX($EF$2:$EJ$13,$MB86,0),INDEX($W$2:$W$11,$MW86))=0,1,0)))</f>
        <v/>
      </c>
      <c r="NL86" s="152">
        <f>IF(OR($NB86=0,$MX86=""),0,IF(COUNTIF(INDEX($EF$2:$EJ$13,$MB86,0),$MX86)=0,1,0))</f>
        <v/>
      </c>
      <c r="NM86" s="152">
        <f>IF(OR($NC86=0,$MY86=""),0,IF(COUNTIF(INDEX($EF$2:$EJ$13,$MB86,0),$MY86)=0,1,0))</f>
        <v/>
      </c>
      <c r="NN86" s="152">
        <f>IF(OR($ND86=0,$MZ86=""),0,IF(COUNTIF(INDEX($EF$2:$EJ$13,$MB86,0),$MZ86)=0,1,0))</f>
        <v/>
      </c>
      <c r="NO86" s="152">
        <f>IF(OR($NE86=0,$NA86=""),0,IF(COUNTIF(INDEX($EF$2:$EJ$13,$MB86,0),$NA86)=0,1,0))</f>
        <v/>
      </c>
      <c r="NP86" s="152">
        <f>IFERROR(VLOOKUP($MK86,$AV$2:$BA$84,4,FALSE),0)+IFERROR(VLOOKUP($ML86,$AV$2:$BA$84,4,FALSE),0)+IFERROR(VLOOKUP($MM86,$AV$2:$BA$84,4,FALSE),0)+IFERROR(VLOOKUP($MN86,$AV$2:$BA$84,4,FALSE),0)</f>
        <v/>
      </c>
      <c r="NQ86" s="152">
        <f>IFERROR(VLOOKUP($MK86,$AV$2:$BA$84,6,FALSE),0)+IFERROR(VLOOKUP($ML86,$AV$2:$BA$84,6,FALSE),0)+IFERROR(VLOOKUP($MM86,$AV$2:$BA$84,6,FALSE),0)+IFERROR(VLOOKUP($MN86,$AV$2:$BA$84,6,FALSE),0)</f>
        <v/>
      </c>
      <c r="NR86" s="152">
        <f>TEXTJOIN(", ",TRUE,IF(IFERROR(VLOOKUP($MK86,$AV$2:$BA$84,5,FALSE),0)=1,$MK86,""),IF(IFERROR(VLOOKUP($ML86,$AV$2:$BA$84,5,FALSE),0)=1,$ML86,""),IF(IFERROR(VLOOKUP($MM86,$AV$2:$BA$84,5,FALSE),0)=1,$MM86,""),IF(IFERROR(VLOOKUP($MN86,$AV$2:$BA$84,5,FALSE),0)=1,$MN86,""))</f>
        <v/>
      </c>
      <c r="NS86" s="152">
        <f>IF($MW86=0,0,INDEX($Y$2:$Y$11,$MW86))</f>
        <v/>
      </c>
      <c r="NT86" s="152">
        <f>IF($MW86=0,0,INDEX($Z$2:$Z$11,$MW86))</f>
        <v/>
      </c>
      <c r="NU86" s="152">
        <f>IF($MW86=0,0,INDEX($AB$2:$AB$11,$MW86))</f>
        <v/>
      </c>
      <c r="NV86" s="152">
        <f>IFERROR(VLOOKUP($MO86,$BC$2:$BG$24,3,FALSE),0)</f>
        <v/>
      </c>
      <c r="NW86" s="152">
        <f>IFERROR(VLOOKUP($MP86,$BC$2:$BG$24,3,FALSE),0)</f>
        <v/>
      </c>
      <c r="NX86" s="152">
        <f>IFERROR(VLOOKUP($MO86,$BC$2:$BG$24,2,FALSE),"")</f>
        <v/>
      </c>
      <c r="NY86" s="152">
        <f>IFERROR(VLOOKUP($MP86,$BC$2:$BG$24,2,FALSE),"")</f>
        <v/>
      </c>
      <c r="NZ86" s="152">
        <f>COUNTIF($NF86:$NJ86,1)</f>
        <v/>
      </c>
      <c r="OA86" s="152">
        <f>COUNTIF($NF86:$NJ86,2)</f>
        <v/>
      </c>
      <c r="OB86" s="152">
        <f>COUNTIF($NF86:$NJ86,3)</f>
        <v/>
      </c>
      <c r="OC86" s="152">
        <f>COUNTIF($NF86:$NJ86,4)</f>
        <v/>
      </c>
      <c r="OD86" s="152">
        <f>COUNTIF($NF86:$NJ86,5)</f>
        <v/>
      </c>
      <c r="OE86" s="152">
        <f>COUNTIF($NF86:$NJ86,6)</f>
        <v/>
      </c>
      <c r="OF86" s="152">
        <f>COUNTIF($NV86:$NW86,1)</f>
        <v/>
      </c>
      <c r="OG86" s="152">
        <f>COUNTIF($NV86:$NW86,2)+$NS86</f>
        <v/>
      </c>
      <c r="OH86" s="152">
        <f>COUNTIF($MK86:$MN86,"?*")</f>
        <v/>
      </c>
      <c r="OI86" s="152">
        <f>COUNTIF($MO86:$MP86,"?*")+$NS86</f>
        <v/>
      </c>
      <c r="OJ86" s="152">
        <f>IF($MF86=0,0,SUMPRODUCT($NZ86:$OE86,INDEX($I$2:$N$8,MAX(1,$MF86),0)))</f>
        <v/>
      </c>
      <c r="OK86" s="152">
        <f>IF($MF86=0,0,$OF86*CEILING($MF86/2,1)+$OG86*$MF86)</f>
        <v/>
      </c>
      <c r="OL86" s="152">
        <f>MIN(2*$MF86,$OK86)</f>
        <v/>
      </c>
      <c r="OM86" s="152">
        <f>MIN($OL86,$OJ86)</f>
        <v/>
      </c>
      <c r="ON86" s="152">
        <f>$OL86-$OM86</f>
        <v/>
      </c>
      <c r="OO86" s="152">
        <f>IF($MF86=0,0,INDEX($P$2:$P$8,MAX(1,$MF86)))</f>
        <v/>
      </c>
      <c r="OP86" s="152">
        <f>$OO86-$OJ86+$OM86</f>
        <v/>
      </c>
      <c r="OQ86" s="152">
        <f>IF($MF86=0,MAX(0,$MT86-IF($OH86&gt;0,1,0)),MAX(0,$OP86))</f>
        <v/>
      </c>
      <c r="OR86" s="152">
        <f>IF($MF86=0,0,(IF(COUNTIF($MK86:$MN86,"Salto")&gt;0,1,0)+IF(COUNTIF($MK86:$MN86,"Queima")&gt;0,1,0)+IF(COUNTIF($MK86:$MN86,"Estilhaço")&gt;0,1,0))*FLOOR($OQ86/2,1))</f>
        <v/>
      </c>
      <c r="OS86" s="152">
        <f>MAX(0,2-SUMPRODUCT($NZ86:$OE86,$I$2:$N$2)+MIN(2,$OF86*1+$OG86*1,SUMPRODUCT($NZ86:$OE86,$I$2:$N$2)))</f>
        <v/>
      </c>
      <c r="OT86" s="152">
        <f>MAX(0,4-SUMPRODUCT($NZ86:$OE86,$I$3:$N$3)+MIN(4,$OF86*1+$OG86*2,SUMPRODUCT($NZ86:$OE86,$I$3:$N$3)))</f>
        <v/>
      </c>
      <c r="OU86" s="152">
        <f>MAX(0,6-SUMPRODUCT($NZ86:$OE86,$I$4:$N$4)+MIN(6,$OF86*2+$OG86*3,SUMPRODUCT($NZ86:$OE86,$I$4:$N$4)))</f>
        <v/>
      </c>
      <c r="OV86" s="152">
        <f>MAX(0,9-SUMPRODUCT($NZ86:$OE86,$I$5:$N$5)+MIN(8,$OF86*2+$OG86*4,SUMPRODUCT($NZ86:$OE86,$I$5:$N$5)))</f>
        <v/>
      </c>
      <c r="OW86" s="152">
        <f>MAX(0,11-SUMPRODUCT($NZ86:$OE86,$I$6:$N$6)+MIN(10,$OF86*3+$OG86*5,SUMPRODUCT($NZ86:$OE86,$I$6:$N$6)))</f>
        <v/>
      </c>
      <c r="OX86" s="152">
        <f>MAX(0,13-SUMPRODUCT($NZ86:$OE86,$I$7:$N$7)+MIN(12,$OF86*3+$OG86*6,SUMPRODUCT($NZ86:$OE86,$I$7:$N$7)))</f>
        <v/>
      </c>
      <c r="OY86" s="152">
        <f>MAX(0,16-SUMPRODUCT($NZ86:$OE86,$I$8:$N$8)+MIN(14,$OF86*4+$OG86*7,SUMPRODUCT($NZ86:$OE86,$I$8:$N$8)))</f>
        <v/>
      </c>
      <c r="OZ86" s="152">
        <f>IF($NT86=2,3*$OS86&amp;" de vida temp.",IF($NT86=3,"sem dano",IF($OS86=0,IF($NT86=1,"sem cura","sem dano"),IF($NT86=1,"cura ","")&amp;$OS86&amp;"d8")))</f>
        <v/>
      </c>
      <c r="PA86" s="152">
        <f>IF($NT86=2,3*$OT86&amp;" de vida temp.",IF($NT86=3,"sem dano",IF($OT86=0,IF($NT86=1,"sem cura","sem dano"),IF($NT86=1,"cura ","")&amp;$OT86&amp;"d8")))</f>
        <v/>
      </c>
      <c r="PB86" s="152">
        <f>IF($NT86=2,3*$OU86&amp;" de vida temp.",IF($NT86=3,"sem dano",IF($OU86=0,IF($NT86=1,"sem cura","sem dano"),IF($NT86=1,"cura ","")&amp;$OU86&amp;"d8")))</f>
        <v/>
      </c>
      <c r="PC86" s="152">
        <f>IF($NT86=2,3*$OV86&amp;" de vida temp.",IF($NT86=3,"sem dano",IF($OV86=0,IF($NT86=1,"sem cura","sem dano"),IF($NT86=1,"cura ","")&amp;$OV86&amp;"d8")))</f>
        <v/>
      </c>
      <c r="PD86" s="152">
        <f>IF($NT86=2,3*$OW86&amp;" de vida temp.",IF($NT86=3,"sem dano",IF($OW86=0,IF($NT86=1,"sem cura","sem dano"),IF($NT86=1,"cura ","")&amp;$OW86&amp;"d8")))</f>
        <v/>
      </c>
      <c r="PE86" s="152">
        <f>IF($NT86=2,3*$OX86&amp;" de vida temp.",IF($NT86=3,"sem dano",IF($OX86=0,IF($NT86=1,"sem cura","sem dano"),IF($NT86=1,"cura ","")&amp;$OX86&amp;"d8")))</f>
        <v/>
      </c>
      <c r="PF86" s="152">
        <f>IF($NT86=2,3*$OY86&amp;" de vida temp.",IF($NT86=3,"sem dano",IF($OY86=0,IF($NT86=1,"sem cura","sem dano"),IF($NT86=1,"cura ","")&amp;$OY86&amp;"d8")))</f>
        <v/>
      </c>
      <c r="PG86" s="152">
        <f>IF($MQ86=0,"",TEXTJOIN(" · ",TRUE,IF($MD86&gt;$MR86,"Este lugar abre no nível "&amp;$MD86,""),IF($MF86&gt;$MS86,"Classe "&amp;$MF86&amp;": o nível "&amp;$MR86&amp;" libera até a "&amp;$MS86,""),IF($NK86=1,"A Forma "&amp;$MH86&amp;" pede "&amp;INDEX($W$2:$W$11,$MW86)&amp;" aberta",""),IF(AND($MF86=0,$MW86&gt;0,IF($MW86=0,0,INDEX($AF$2:$AF$11,$MW86))=0),$MH86&amp;" não existe na Classe 0",""),IF($NL86=1,"Família Fechada: "&amp;$MK86,""),IF($NM86=1,"Família Fechada: "&amp;$ML86,""),IF($NN86=1,"Família Fechada: "&amp;$MM86,""),IF($NO86=1,"Família Fechada: "&amp;$MN86,""),IF(AND($MF86&gt;0,$OH86&gt;INDEX($O$2:$O$8,MAX(1,$MF86))),$OH86&amp;" Melhorias: a Classe "&amp;$MF86&amp;" aceita "&amp;INDEX($O$2:$O$8,MAX(1,$MF86)),""),IF(AND($MF86=0,$OH86&gt;1),"A básica aceita uma Melhoria",""),IF(AND($MF86=0,COUNTIF($NB86:$NE86,"&gt;1")&gt;0),"A básica só aceita Melhoria Leve",""),IF(AND($MF86&gt;0,$OI86&gt;2),$OI86&amp;" Restrições"&amp;IF($NS86=1,", contando a que a Forma "&amp;$MH86&amp;" já traz","")&amp;": o limite é 2",""),IF(AND($MF86=0,COUNTIF($MO86:$MP86,"?*")&gt;1),"A básica aceita uma Restrição Leve",""),IF(AND($MF86=0,COUNTIF($NV86:$NW86,2)&gt;0),"A básica só aceita Restrição Leve",""),IF(AND($MF86&gt;0,$OP86&lt;0),"Orçamento estourado: faltam "&amp;(-$OP86)&amp;IF($OP86&lt;-1," pontos"," ponto"),""),IF(IFERROR(VLOOKUP($MO86,$BC$2:$BG$24,4,FALSE),0)+IFERROR(VLOOKUP($MP86,$BC$2:$BG$24,4,FALSE),0)&gt;1,$NX86&amp;" e "&amp;$NY86&amp;" são as duas de frequência",""),IF(AND((COUNTIF($MK86:$MN86,"Rápido")+COUNTIF($NX86:$NY86,"Rápido"))&gt;0,(COUNTIF($MK86:$MN86,"Atrasar")+COUNTIF($NX86:$NY86,"Atrasar"))&gt;0),"Rápido não entra com Atrasar",""),IF(AND((COUNTIF($MK86:$MN86,"Reação")+COUNTIF($NX86:$NY86,"Reação"))&gt;0,(COUNTIF($MK86:$MN86,"Rápido")+COUNTIF($NX86:$NY86,"Rápido"))&gt;0),"Reação não entra com Rápido",""),IF(AND((COUNTIF($MK86:$MN86,"Reação")+COUNTIF($NX86:$NY86,"Reação"))&gt;0,(COUNTIF($MK86:$MN86,"Armado")+COUNTIF($NX86:$NY86,"Armado"))&gt;0),"Reação não entra com Armado",""),IF(AND((COUNTIF($MK86:$MN86,"Reação")+COUNTIF($NX86:$NY86,"Reação"))&gt;0,(COUNTIF($MK86:$MN86,"Atrasar")+COUNTIF($NX86:$NY86,"Atrasar"))&gt;0),"Reação não entra com Atrasar",""),IF(AND((COUNTIF($MK86:$MN86,"Reação")+COUNTIF($NX86:$NY86,"Reação"))&gt;0,(COUNTIF($MK86:$MN86,"Parado")+COUNTIF($NX86:$NY86,"Parado"))&gt;0),"Reação não entra com Parado",""),IF(AND((COUNTIF($MK86:$MN86,"Atrasar")+COUNTIF($NX86:$NY86,"Atrasar"))&gt;0,(COUNTIF($MK86:$MN86,"Parado")+COUNTIF($NX86:$NY86,"Parado"))&gt;0),"Atrasar não entra com Parado",""),IF(AND((COUNTIF($MK86:$MN86,"Armado")+COUNTIF($NX86:$NY86,"Armado"))&gt;0,(COUNTIF($MK86:$MN86,"Carregar")+COUNTIF($NX86:$NY86,"Carregar"))&gt;0),"Armado não entra com Carregar",""),IF(AND(COUNTIF($NX86:$NY86,"Corpo a Corpo")&gt;0,$NS86=0,OR($MH86="Cone",$MH86="Linha")),"Corpo a Corpo não entra em "&amp;$MH86,""),IF(AND(COUNTIF($NX86:$NY86,"Corpo a Corpo")&gt;0,$NS86=1),"A Forma "&amp;$MH86&amp;" já traz o Corpo a Corpo",""),IF(AND(COUNTIF($NX86:$NY86,"Tudo ou Nada")&gt;0,$NU86=0),"Tudo ou Nada só entra em habilidade de Teste de Resistência",""),IF(AND(COUNTIF($MK86:$MN86,"Inescapável")&gt;0,OR($OH86&gt;1,$OI86&gt;0)),"Inescapável não aceita outra peça",""),IF(AND($MF86&gt;0,$OQ86*IF(COUNTIF($MK86:$MN86,"Remate")&gt;0,1.25,1)+$OR86&gt;4*$MF86),($OQ86*IF(COUNTIF($MK86:$MN86,"Remate")&gt;0,1.25,1)+$OR86)&amp;" dados somando repetições"&amp;IF(COUNTIF($MK86:$MN86,"Remate")&gt;0," e o Remate","")&amp;": o teto da Classe "&amp;$MF86&amp;" é "&amp;4*$MF86,"")))</f>
        <v/>
      </c>
      <c r="PH86" s="152">
        <f>IF($PG86="",0,(LEN($PG86)-LEN(SUBSTITUTE($PG86," · ","")))/3+1)</f>
        <v/>
      </c>
      <c r="PI86" s="152">
        <f>IF($MQ86=0,"",TEXTJOIN(" · ",TRUE,IF($OK86&gt;2*$MF86,"A devolução parou no teto de "&amp;2*$MF86,""),IF($ON86&gt;0,"Devolução perdida: "&amp;$ON86&amp;IF($ON86&gt;1," pontos"," ponto")&amp;" sem peça para pagar",""),IF(AND($NP86&gt;0,AND($MF86&gt;0,$NT86=0),$OQ86=0),"Controle sem dano: uma rodada a mais e CD +2",""),IF(AND($NP86&gt;0,AND($MF86&gt;0,$NT86=0),$OQ86&gt;0,$OQ86&lt;=$MF86),"Controle com saldo até a Classe: uma rodada a mais",""),IF(AND($MF86&gt;0,$NR86&lt;&gt;""),"Efeito de "&amp;$NR86&amp;" pela Classe "&amp;MAX(1,$MF86-1),"")))</f>
        <v/>
      </c>
      <c r="PJ86" s="152">
        <f>IF($PI86="",0,(LEN($PI86)-LEN(SUBSTITUTE($PI86," · ","")))/3+1)</f>
        <v/>
      </c>
      <c r="PK86" s="152">
        <f>IF($MQ86=0,IF($OH86+COUNTIF($MO86:$MP86,"?*")&gt;0,"Dê um nome",""),IF($PH86&gt;0,"⚠ "&amp;$PH86&amp;IF($PH86&gt;1," erros"," erro"),IF($PJ86&gt;0,"! "&amp;$PJ86&amp;IF($PJ86&gt;1," avisos"," aviso"),"Na regra")))</f>
        <v/>
      </c>
      <c r="PL86" s="152">
        <f>IF($MQ86=0,"",IF($PH86+$PJ86=0,"Dentro das regras que a ficha confere",$PG86&amp;IF(AND($PH86&gt;0,$PJ86&gt;0)," · ","")&amp;$PI86))</f>
        <v/>
      </c>
      <c r="PM86" s="152">
        <f>IF($MD86&gt;$MR86,$ME86&amp;" · ABRE NO NÍVEL "&amp;$MD86,$ME86)</f>
        <v/>
      </c>
      <c r="PN86" s="152">
        <f>IF($MQ86=0,"",IF($MF86=0,"Sem PE",3*$MF86&amp;" PE"))</f>
        <v/>
      </c>
      <c r="PO86" s="152">
        <f>IF($MQ86=0,"",IF($MF86=0,"A atuação básica dela",IF(COUNTIF($NX86:$NY86,"Atrasar")&gt;0,"Sua Ação Completa",IF(COUNTIF($MK86:$MN86,"Rápido")&gt;0,"Sua Bônus",IF(COUNTIF($MK86:$MN86,"Reação")&gt;0,"Sua Reação","Sua Padrão")))&amp;" + a básica dela"&amp;IF(COUNTIF($MK86:$MN86,"Reação")&gt;0," e a coletiva","")&amp;IF(COUNTIF($NX86:$NY86,"Carregar")&gt;0," · em dois turnos","")))</f>
        <v/>
      </c>
      <c r="PP86" s="152">
        <f>IF($MJ86&lt;&gt;"",$MJ86,IF($MW86=0,"",INDEX($AA$2:$AA$11,$MW86)))</f>
        <v/>
      </c>
      <c r="PQ86" s="152">
        <f>IF(OR($MQ86=0,$MW86=0),"",IF(COUNTIF($MK86:$MN86,"Inescapável")&gt;0,"Automático",IF($PP86="Ataque",IF($MU86="","Ataque","Ataque "&amp;IF(($MU86+2*IF(COUNTIF($MK86:$MN86,"Precisão")&gt;0,1,0))&gt;=0,"+","−")&amp;ABS(($MU86+2*IF(COUNTIF($MK86:$MN86,"Precisão")&gt;0,1,0))))&amp;IF($NQ86&gt;0," · TR"&amp;IF($MV86="",""," CD "&amp;$MV86),""),IF(LEFT($PP86,2)="TR",$PP86&amp;IF($MV86="",""," · CD "&amp;$MV86)&amp;IF(COUNTIF($MK86:$MN86,"Certeiro")&gt;0," · metade",""),"Sem rolagem"))))</f>
        <v/>
      </c>
      <c r="PR86" s="152">
        <f>IF(OR($MQ86=0,$MW86=0),"",IF($MF86=0,IF(OR($NT86&gt;=1,$OQ86=0),"Sem dano",$OQ86&amp;"d6"&amp;IF($MI86="",""," "&amp;$MI86)),IF(OR($NT86&gt;=1,$OQ86=0),UPPER(LEFT(INDEX($OZ86:$PF86,1,MAX(1,$MF86)),1))&amp;MID(INDEX($OZ86:$PF86,1,MAX(1,$MF86)),2,99),UPPER(LEFT(INDEX($OZ86:$PF86,1,MAX(1,$MF86)),1))&amp;MID(INDEX($OZ86:$PF86,1,MAX(1,$MF86)),2,99)&amp;IF($MI86="",""," "&amp;$MI86)&amp;IF($OR86&gt;0," · +"&amp;$OR86&amp;"d8",""))))</f>
        <v/>
      </c>
      <c r="PS86" s="152">
        <f>COUNTIF($MK86:$MN86,"Longe")+3*COUNTIF($MK86:$MN86,"Muito Longe")</f>
        <v/>
      </c>
      <c r="PT86" s="152">
        <f>COUNTIF($MK86:$MN86,"Maior")+3*COUNTIF($MK86:$MN86,"Muito Maior")</f>
        <v/>
      </c>
      <c r="PU86" s="152">
        <f>IF($MW86=0,0,CHOOSE(1+INDEX($AC$2:$AC$11,$MW86),0,$PS86,$PT86,$PS86+$PT86))</f>
        <v/>
      </c>
      <c r="PV86" s="152">
        <f>IF($MW86=0,0,CHOOSE(1+INDEX($AD$2:$AD$11,$MW86),0,$PS86,$PT86,$PS86+$PT86))</f>
        <v/>
      </c>
      <c r="PW86" s="152">
        <f>IF(OR($MQ86=0,$MW86=0),"",INDEX($AI$2:$AN$41,($MW86-1)*4+IF($MF86=0,1,IF($MF86&lt;=5,2,IF($MF86=6,3,4))),1+MIN(5,$PU86))&amp;INDEX($AO$2:$AT$41,($MW86-1)*4+IF($MF86=0,1,IF($MF86&lt;=5,2,IF($MF86=6,3,4))),1+MIN(5,$PV86))&amp;IF(INDEX($AE$2:$AE$11,$MW86)=1,IF(COUNTIF($MK86:$MN86,"Mais Um")&gt;0," · +"&amp;COUNTIF($MK86:$MN86,"Mais Um")&amp;IF(COUNTIF($MK86:$MN86,"Mais Um")&gt;1," alvos"," alvo"),"")&amp;IF(COUNTIF($MK86:$MN86,"Rajada")&gt;0,IF($MF86=0," · 1 tiro"," · "&amp;(MAX(1,$MF86-1)+1)&amp;" tiros"),""),""))</f>
        <v/>
      </c>
      <c r="PX86" s="152">
        <f>IF($MQ86=0,"",IF($MF86=0,$MT86&amp;"d6"&amp;IF($OH86&gt;0," − 1 = "&amp;$OQ86&amp;"d6"," da básica do nível "&amp;$MR86),$OO86&amp;" − "&amp;$OJ86&amp;" + "&amp;$OM86&amp;" = "&amp;$OP86&amp;" · teto "&amp;4*$MF86&amp;"d8"&amp;IF($NS86=1," · a Forma devolve "&amp;$MF86,"")&amp;IF($ON86&gt;0," · perde "&amp;$ON86,"")))</f>
        <v/>
      </c>
      <c r="PY86" s="152">
        <f>IF($MQ86=0,"",IF($MF86=0,"A básica não amplia: os dados dela sobem com o nível",IF($MF86&gt;=$MS86,"Já está na maior Classe que o nível liberou",TEXTJOIN(" · ",TRUE,IF(AND(2&gt;$MF86,2&lt;=$MS86),"2 → "&amp;$PA86&amp;", 6 PE",""),IF(AND(3&gt;$MF86,3&lt;=$MS86),"3 → "&amp;$PB86&amp;", 9 PE",""),IF(AND(4&gt;$MF86,4&lt;=$MS86),"4 → "&amp;$PC86&amp;", 12 PE",""),IF(AND(5&gt;$MF86,5&lt;=$MS86),"5 → "&amp;$PD86&amp;", 15 PE",""),IF(AND(6&gt;$MF86,6&lt;=$MS86),"6 → "&amp;$PE86&amp;", 18 PE",""),IF(AND(7&gt;$MF86,7&lt;=$MS86),"7 → "&amp;$PF86&amp;", 21 PE","")))))</f>
        <v/>
      </c>
      <c r="PZ86" s="152">
        <f>IF(OR($MQ86=0,$NB86=0),"",IF($MF86=0,"−1 dado","−"&amp;INDEX($I$2:$N$8,MAX(1,$MF86),MAX(1,$NG86))&amp;" · "&amp;CHOOSE(MAX(1,$NG86),"Leve","Média","Pesada","Leve · Livre","Média · Livre","Pesada · Livre")))</f>
        <v/>
      </c>
      <c r="QA86" s="152">
        <f>IF(OR($MQ86=0,$NC86=0),"",IF($MF86=0,"−1 dado","−"&amp;INDEX($I$2:$N$8,MAX(1,$MF86),MAX(1,$NH86))&amp;" · "&amp;CHOOSE(MAX(1,$NH86),"Leve","Média","Pesada","Leve · Livre","Média · Livre","Pesada · Livre")))</f>
        <v/>
      </c>
      <c r="QB86" s="152">
        <f>IF(OR($MQ86=0,$ND86=0),"",IF($MF86=0,"−1 dado","−"&amp;INDEX($I$2:$N$8,MAX(1,$MF86),MAX(1,$NI86))&amp;" · "&amp;CHOOSE(MAX(1,$NI86),"Leve","Média","Pesada","Leve · Livre","Média · Livre","Pesada · Livre")))</f>
        <v/>
      </c>
      <c r="QC86" s="152">
        <f>IF(OR($MQ86=0,$NE86=0),"",IF($MF86=0,"−1 dado","−"&amp;INDEX($I$2:$N$8,MAX(1,$MF86),MAX(1,$NJ86))&amp;" · "&amp;CHOOSE(MAX(1,$NJ86),"Leve","Média","Pesada","Leve · Livre","Média · Livre","Pesada · Livre")))</f>
        <v/>
      </c>
      <c r="QD86" s="152">
        <f>IF(OR($MQ86=0,$MO86=""),"",IF($MF86=0,"não devolve","+"&amp;IF($NV86=1,CEILING($MF86/2,1),$MF86)))</f>
        <v/>
      </c>
      <c r="QE86" s="152">
        <f>IF(OR($MQ86=0,$MP86=""),"",IF($MF86=0,"não devolve","+"&amp;IF($NW86=1,CEILING($MF86/2,1),$MF86)))</f>
        <v/>
      </c>
    </row>
    <row r="87">
      <c r="MA87" s="150" t="inlineStr">
        <is>
          <t>Ficha 7 · Especial 6</t>
        </is>
      </c>
      <c r="MB87" s="152" t="n">
        <v>7</v>
      </c>
      <c r="MC87" s="152" t="n">
        <v>1</v>
      </c>
      <c r="MD87" s="152" t="n">
        <v>20</v>
      </c>
      <c r="ME87" s="150" t="inlineStr">
        <is>
          <t>ESPECIAL 6</t>
        </is>
      </c>
      <c r="MF87" s="152">
        <f>MAX(1,MIN(7,N('INVOCAÇÕES'!$AH$114)))</f>
        <v/>
      </c>
      <c r="MG87" s="152">
        <f>'INVOCAÇÕES'!$AI$114&amp;""</f>
        <v/>
      </c>
      <c r="MH87" s="152">
        <f>'INVOCAÇÕES'!$AH$119&amp;""</f>
        <v/>
      </c>
      <c r="MI87" s="152">
        <f>'INVOCAÇÕES'!$AH$120&amp;""</f>
        <v/>
      </c>
      <c r="MJ87" s="152">
        <f>'INVOCAÇÕES'!$AJ$120&amp;""</f>
        <v/>
      </c>
      <c r="MK87" s="152">
        <f>'INVOCAÇÕES'!$AI$123&amp;""</f>
        <v/>
      </c>
      <c r="ML87" s="152">
        <f>'INVOCAÇÕES'!$AI$124&amp;""</f>
        <v/>
      </c>
      <c r="MM87" s="152">
        <f>'INVOCAÇÕES'!$AI$125&amp;""</f>
        <v/>
      </c>
      <c r="MN87" s="152">
        <f>'INVOCAÇÕES'!$AI$126&amp;""</f>
        <v/>
      </c>
      <c r="MO87" s="152">
        <f>'INVOCAÇÕES'!$AI$127&amp;""</f>
        <v/>
      </c>
      <c r="MP87" s="152">
        <f>'INVOCAÇÕES'!$AI$128&amp;""</f>
        <v/>
      </c>
      <c r="MQ87" s="152">
        <f>IF($MG87&lt;&gt;"",1,0)</f>
        <v/>
      </c>
      <c r="MR87" s="152">
        <f>INDEX($FI$2:$FI$13,$MB87)</f>
        <v/>
      </c>
      <c r="MS87" s="152">
        <f>INDEX($FJ$2:$FJ$13,$MB87)</f>
        <v/>
      </c>
      <c r="MT87" s="152">
        <f>INDEX($FK$2:$FK$13,$MB87)</f>
        <v/>
      </c>
      <c r="MU87" s="152">
        <f>INDEX($FV$2:$FV$13,$MB87)</f>
        <v/>
      </c>
      <c r="MV87" s="152">
        <f>INDEX($FW$2:$FW$13,$MB87)</f>
        <v/>
      </c>
      <c r="MW87" s="152">
        <f>IFERROR(MATCH($MH87,$V$2:$V$11,0),0)</f>
        <v/>
      </c>
      <c r="MX87" s="152">
        <f>IFERROR(VLOOKUP($MK87,$AV$2:$BA$84,2,FALSE),"")</f>
        <v/>
      </c>
      <c r="MY87" s="152">
        <f>IFERROR(VLOOKUP($ML87,$AV$2:$BA$84,2,FALSE),"")</f>
        <v/>
      </c>
      <c r="MZ87" s="152">
        <f>IFERROR(VLOOKUP($MM87,$AV$2:$BA$84,2,FALSE),"")</f>
        <v/>
      </c>
      <c r="NA87" s="152">
        <f>IFERROR(VLOOKUP($MN87,$AV$2:$BA$84,2,FALSE),"")</f>
        <v/>
      </c>
      <c r="NB87" s="152">
        <f>IFERROR(VLOOKUP($MK87,$AV$2:$BA$84,3,FALSE),0)</f>
        <v/>
      </c>
      <c r="NC87" s="152">
        <f>IFERROR(VLOOKUP($ML87,$AV$2:$BA$84,3,FALSE),0)</f>
        <v/>
      </c>
      <c r="ND87" s="152">
        <f>IFERROR(VLOOKUP($MM87,$AV$2:$BA$84,3,FALSE),0)</f>
        <v/>
      </c>
      <c r="NE87" s="152">
        <f>IFERROR(VLOOKUP($MN87,$AV$2:$BA$84,3,FALSE),0)</f>
        <v/>
      </c>
      <c r="NF87" s="152">
        <f>IF($MF87=0,0,IF($MW87=0,0,INDEX($X$2:$X$11,$MW87)))</f>
        <v/>
      </c>
      <c r="NG87" s="152">
        <f>IF(OR($NB87=0,$MF87=0),0,$NB87+3*IF(AND($MX87&lt;&gt;"",OR($MX87=INDEX($EF$2:$EF$13,$MB87),$MX87=INDEX($EG$2:$EG$13,$MB87))),1,0))</f>
        <v/>
      </c>
      <c r="NH87" s="152">
        <f>IF(OR($NC87=0,$MF87=0),0,$NC87+3*IF(AND($MY87&lt;&gt;"",OR($MY87=INDEX($EF$2:$EF$13,$MB87),$MY87=INDEX($EG$2:$EG$13,$MB87))),1,0))</f>
        <v/>
      </c>
      <c r="NI87" s="152">
        <f>IF(OR($ND87=0,$MF87=0),0,$ND87+3*IF(AND($MZ87&lt;&gt;"",OR($MZ87=INDEX($EF$2:$EF$13,$MB87),$MZ87=INDEX($EG$2:$EG$13,$MB87))),1,0))</f>
        <v/>
      </c>
      <c r="NJ87" s="152">
        <f>IF(OR($NE87=0,$MF87=0),0,$NE87+3*IF(AND($NA87&lt;&gt;"",OR($NA87=INDEX($EF$2:$EF$13,$MB87),$NA87=INDEX($EG$2:$EG$13,$MB87))),1,0))</f>
        <v/>
      </c>
      <c r="NK87" s="152">
        <f>IF($MW87=0,0,IF(INDEX($W$2:$W$11,$MW87)="",0,IF(COUNTIF(INDEX($EF$2:$EJ$13,$MB87,0),INDEX($W$2:$W$11,$MW87))=0,1,0)))</f>
        <v/>
      </c>
      <c r="NL87" s="152">
        <f>IF(OR($NB87=0,$MX87=""),0,IF(COUNTIF(INDEX($EF$2:$EJ$13,$MB87,0),$MX87)=0,1,0))</f>
        <v/>
      </c>
      <c r="NM87" s="152">
        <f>IF(OR($NC87=0,$MY87=""),0,IF(COUNTIF(INDEX($EF$2:$EJ$13,$MB87,0),$MY87)=0,1,0))</f>
        <v/>
      </c>
      <c r="NN87" s="152">
        <f>IF(OR($ND87=0,$MZ87=""),0,IF(COUNTIF(INDEX($EF$2:$EJ$13,$MB87,0),$MZ87)=0,1,0))</f>
        <v/>
      </c>
      <c r="NO87" s="152">
        <f>IF(OR($NE87=0,$NA87=""),0,IF(COUNTIF(INDEX($EF$2:$EJ$13,$MB87,0),$NA87)=0,1,0))</f>
        <v/>
      </c>
      <c r="NP87" s="152">
        <f>IFERROR(VLOOKUP($MK87,$AV$2:$BA$84,4,FALSE),0)+IFERROR(VLOOKUP($ML87,$AV$2:$BA$84,4,FALSE),0)+IFERROR(VLOOKUP($MM87,$AV$2:$BA$84,4,FALSE),0)+IFERROR(VLOOKUP($MN87,$AV$2:$BA$84,4,FALSE),0)</f>
        <v/>
      </c>
      <c r="NQ87" s="152">
        <f>IFERROR(VLOOKUP($MK87,$AV$2:$BA$84,6,FALSE),0)+IFERROR(VLOOKUP($ML87,$AV$2:$BA$84,6,FALSE),0)+IFERROR(VLOOKUP($MM87,$AV$2:$BA$84,6,FALSE),0)+IFERROR(VLOOKUP($MN87,$AV$2:$BA$84,6,FALSE),0)</f>
        <v/>
      </c>
      <c r="NR87" s="152">
        <f>TEXTJOIN(", ",TRUE,IF(IFERROR(VLOOKUP($MK87,$AV$2:$BA$84,5,FALSE),0)=1,$MK87,""),IF(IFERROR(VLOOKUP($ML87,$AV$2:$BA$84,5,FALSE),0)=1,$ML87,""),IF(IFERROR(VLOOKUP($MM87,$AV$2:$BA$84,5,FALSE),0)=1,$MM87,""),IF(IFERROR(VLOOKUP($MN87,$AV$2:$BA$84,5,FALSE),0)=1,$MN87,""))</f>
        <v/>
      </c>
      <c r="NS87" s="152">
        <f>IF($MW87=0,0,INDEX($Y$2:$Y$11,$MW87))</f>
        <v/>
      </c>
      <c r="NT87" s="152">
        <f>IF($MW87=0,0,INDEX($Z$2:$Z$11,$MW87))</f>
        <v/>
      </c>
      <c r="NU87" s="152">
        <f>IF($MW87=0,0,INDEX($AB$2:$AB$11,$MW87))</f>
        <v/>
      </c>
      <c r="NV87" s="152">
        <f>IFERROR(VLOOKUP($MO87,$BC$2:$BG$24,3,FALSE),0)</f>
        <v/>
      </c>
      <c r="NW87" s="152">
        <f>IFERROR(VLOOKUP($MP87,$BC$2:$BG$24,3,FALSE),0)</f>
        <v/>
      </c>
      <c r="NX87" s="152">
        <f>IFERROR(VLOOKUP($MO87,$BC$2:$BG$24,2,FALSE),"")</f>
        <v/>
      </c>
      <c r="NY87" s="152">
        <f>IFERROR(VLOOKUP($MP87,$BC$2:$BG$24,2,FALSE),"")</f>
        <v/>
      </c>
      <c r="NZ87" s="152">
        <f>COUNTIF($NF87:$NJ87,1)</f>
        <v/>
      </c>
      <c r="OA87" s="152">
        <f>COUNTIF($NF87:$NJ87,2)</f>
        <v/>
      </c>
      <c r="OB87" s="152">
        <f>COUNTIF($NF87:$NJ87,3)</f>
        <v/>
      </c>
      <c r="OC87" s="152">
        <f>COUNTIF($NF87:$NJ87,4)</f>
        <v/>
      </c>
      <c r="OD87" s="152">
        <f>COUNTIF($NF87:$NJ87,5)</f>
        <v/>
      </c>
      <c r="OE87" s="152">
        <f>COUNTIF($NF87:$NJ87,6)</f>
        <v/>
      </c>
      <c r="OF87" s="152">
        <f>COUNTIF($NV87:$NW87,1)</f>
        <v/>
      </c>
      <c r="OG87" s="152">
        <f>COUNTIF($NV87:$NW87,2)+$NS87</f>
        <v/>
      </c>
      <c r="OH87" s="152">
        <f>COUNTIF($MK87:$MN87,"?*")</f>
        <v/>
      </c>
      <c r="OI87" s="152">
        <f>COUNTIF($MO87:$MP87,"?*")+$NS87</f>
        <v/>
      </c>
      <c r="OJ87" s="152">
        <f>IF($MF87=0,0,SUMPRODUCT($NZ87:$OE87,INDEX($I$2:$N$8,MAX(1,$MF87),0)))</f>
        <v/>
      </c>
      <c r="OK87" s="152">
        <f>IF($MF87=0,0,$OF87*CEILING($MF87/2,1)+$OG87*$MF87)</f>
        <v/>
      </c>
      <c r="OL87" s="152">
        <f>MIN(2*$MF87,$OK87)</f>
        <v/>
      </c>
      <c r="OM87" s="152">
        <f>MIN($OL87,$OJ87)</f>
        <v/>
      </c>
      <c r="ON87" s="152">
        <f>$OL87-$OM87</f>
        <v/>
      </c>
      <c r="OO87" s="152">
        <f>IF($MF87=0,0,INDEX($P$2:$P$8,MAX(1,$MF87)))</f>
        <v/>
      </c>
      <c r="OP87" s="152">
        <f>$OO87-$OJ87+$OM87</f>
        <v/>
      </c>
      <c r="OQ87" s="152">
        <f>IF($MF87=0,MAX(0,$MT87-IF($OH87&gt;0,1,0)),MAX(0,$OP87))</f>
        <v/>
      </c>
      <c r="OR87" s="152">
        <f>IF($MF87=0,0,(IF(COUNTIF($MK87:$MN87,"Salto")&gt;0,1,0)+IF(COUNTIF($MK87:$MN87,"Queima")&gt;0,1,0)+IF(COUNTIF($MK87:$MN87,"Estilhaço")&gt;0,1,0))*FLOOR($OQ87/2,1))</f>
        <v/>
      </c>
      <c r="OS87" s="152">
        <f>MAX(0,2-SUMPRODUCT($NZ87:$OE87,$I$2:$N$2)+MIN(2,$OF87*1+$OG87*1,SUMPRODUCT($NZ87:$OE87,$I$2:$N$2)))</f>
        <v/>
      </c>
      <c r="OT87" s="152">
        <f>MAX(0,4-SUMPRODUCT($NZ87:$OE87,$I$3:$N$3)+MIN(4,$OF87*1+$OG87*2,SUMPRODUCT($NZ87:$OE87,$I$3:$N$3)))</f>
        <v/>
      </c>
      <c r="OU87" s="152">
        <f>MAX(0,6-SUMPRODUCT($NZ87:$OE87,$I$4:$N$4)+MIN(6,$OF87*2+$OG87*3,SUMPRODUCT($NZ87:$OE87,$I$4:$N$4)))</f>
        <v/>
      </c>
      <c r="OV87" s="152">
        <f>MAX(0,9-SUMPRODUCT($NZ87:$OE87,$I$5:$N$5)+MIN(8,$OF87*2+$OG87*4,SUMPRODUCT($NZ87:$OE87,$I$5:$N$5)))</f>
        <v/>
      </c>
      <c r="OW87" s="152">
        <f>MAX(0,11-SUMPRODUCT($NZ87:$OE87,$I$6:$N$6)+MIN(10,$OF87*3+$OG87*5,SUMPRODUCT($NZ87:$OE87,$I$6:$N$6)))</f>
        <v/>
      </c>
      <c r="OX87" s="152">
        <f>MAX(0,13-SUMPRODUCT($NZ87:$OE87,$I$7:$N$7)+MIN(12,$OF87*3+$OG87*6,SUMPRODUCT($NZ87:$OE87,$I$7:$N$7)))</f>
        <v/>
      </c>
      <c r="OY87" s="152">
        <f>MAX(0,16-SUMPRODUCT($NZ87:$OE87,$I$8:$N$8)+MIN(14,$OF87*4+$OG87*7,SUMPRODUCT($NZ87:$OE87,$I$8:$N$8)))</f>
        <v/>
      </c>
      <c r="OZ87" s="152">
        <f>IF($NT87=2,3*$OS87&amp;" de vida temp.",IF($NT87=3,"sem dano",IF($OS87=0,IF($NT87=1,"sem cura","sem dano"),IF($NT87=1,"cura ","")&amp;$OS87&amp;"d8")))</f>
        <v/>
      </c>
      <c r="PA87" s="152">
        <f>IF($NT87=2,3*$OT87&amp;" de vida temp.",IF($NT87=3,"sem dano",IF($OT87=0,IF($NT87=1,"sem cura","sem dano"),IF($NT87=1,"cura ","")&amp;$OT87&amp;"d8")))</f>
        <v/>
      </c>
      <c r="PB87" s="152">
        <f>IF($NT87=2,3*$OU87&amp;" de vida temp.",IF($NT87=3,"sem dano",IF($OU87=0,IF($NT87=1,"sem cura","sem dano"),IF($NT87=1,"cura ","")&amp;$OU87&amp;"d8")))</f>
        <v/>
      </c>
      <c r="PC87" s="152">
        <f>IF($NT87=2,3*$OV87&amp;" de vida temp.",IF($NT87=3,"sem dano",IF($OV87=0,IF($NT87=1,"sem cura","sem dano"),IF($NT87=1,"cura ","")&amp;$OV87&amp;"d8")))</f>
        <v/>
      </c>
      <c r="PD87" s="152">
        <f>IF($NT87=2,3*$OW87&amp;" de vida temp.",IF($NT87=3,"sem dano",IF($OW87=0,IF($NT87=1,"sem cura","sem dano"),IF($NT87=1,"cura ","")&amp;$OW87&amp;"d8")))</f>
        <v/>
      </c>
      <c r="PE87" s="152">
        <f>IF($NT87=2,3*$OX87&amp;" de vida temp.",IF($NT87=3,"sem dano",IF($OX87=0,IF($NT87=1,"sem cura","sem dano"),IF($NT87=1,"cura ","")&amp;$OX87&amp;"d8")))</f>
        <v/>
      </c>
      <c r="PF87" s="152">
        <f>IF($NT87=2,3*$OY87&amp;" de vida temp.",IF($NT87=3,"sem dano",IF($OY87=0,IF($NT87=1,"sem cura","sem dano"),IF($NT87=1,"cura ","")&amp;$OY87&amp;"d8")))</f>
        <v/>
      </c>
      <c r="PG87" s="152">
        <f>IF($MQ87=0,"",TEXTJOIN(" · ",TRUE,IF($MD87&gt;$MR87,"Este lugar abre no nível "&amp;$MD87,""),IF($MF87&gt;$MS87,"Classe "&amp;$MF87&amp;": o nível "&amp;$MR87&amp;" libera até a "&amp;$MS87,""),IF($NK87=1,"A Forma "&amp;$MH87&amp;" pede "&amp;INDEX($W$2:$W$11,$MW87)&amp;" aberta",""),IF(AND($MF87=0,$MW87&gt;0,IF($MW87=0,0,INDEX($AF$2:$AF$11,$MW87))=0),$MH87&amp;" não existe na Classe 0",""),IF($NL87=1,"Família Fechada: "&amp;$MK87,""),IF($NM87=1,"Família Fechada: "&amp;$ML87,""),IF($NN87=1,"Família Fechada: "&amp;$MM87,""),IF($NO87=1,"Família Fechada: "&amp;$MN87,""),IF(AND($MF87&gt;0,$OH87&gt;INDEX($O$2:$O$8,MAX(1,$MF87))),$OH87&amp;" Melhorias: a Classe "&amp;$MF87&amp;" aceita "&amp;INDEX($O$2:$O$8,MAX(1,$MF87)),""),IF(AND($MF87=0,$OH87&gt;1),"A básica aceita uma Melhoria",""),IF(AND($MF87=0,COUNTIF($NB87:$NE87,"&gt;1")&gt;0),"A básica só aceita Melhoria Leve",""),IF(AND($MF87&gt;0,$OI87&gt;2),$OI87&amp;" Restrições"&amp;IF($NS87=1,", contando a que a Forma "&amp;$MH87&amp;" já traz","")&amp;": o limite é 2",""),IF(AND($MF87=0,COUNTIF($MO87:$MP87,"?*")&gt;1),"A básica aceita uma Restrição Leve",""),IF(AND($MF87=0,COUNTIF($NV87:$NW87,2)&gt;0),"A básica só aceita Restrição Leve",""),IF(AND($MF87&gt;0,$OP87&lt;0),"Orçamento estourado: faltam "&amp;(-$OP87)&amp;IF($OP87&lt;-1," pontos"," ponto"),""),IF(IFERROR(VLOOKUP($MO87,$BC$2:$BG$24,4,FALSE),0)+IFERROR(VLOOKUP($MP87,$BC$2:$BG$24,4,FALSE),0)&gt;1,$NX87&amp;" e "&amp;$NY87&amp;" são as duas de frequência",""),IF(AND((COUNTIF($MK87:$MN87,"Rápido")+COUNTIF($NX87:$NY87,"Rápido"))&gt;0,(COUNTIF($MK87:$MN87,"Atrasar")+COUNTIF($NX87:$NY87,"Atrasar"))&gt;0),"Rápido não entra com Atrasar",""),IF(AND((COUNTIF($MK87:$MN87,"Reação")+COUNTIF($NX87:$NY87,"Reação"))&gt;0,(COUNTIF($MK87:$MN87,"Rápido")+COUNTIF($NX87:$NY87,"Rápido"))&gt;0),"Reação não entra com Rápido",""),IF(AND((COUNTIF($MK87:$MN87,"Reação")+COUNTIF($NX87:$NY87,"Reação"))&gt;0,(COUNTIF($MK87:$MN87,"Armado")+COUNTIF($NX87:$NY87,"Armado"))&gt;0),"Reação não entra com Armado",""),IF(AND((COUNTIF($MK87:$MN87,"Reação")+COUNTIF($NX87:$NY87,"Reação"))&gt;0,(COUNTIF($MK87:$MN87,"Atrasar")+COUNTIF($NX87:$NY87,"Atrasar"))&gt;0),"Reação não entra com Atrasar",""),IF(AND((COUNTIF($MK87:$MN87,"Reação")+COUNTIF($NX87:$NY87,"Reação"))&gt;0,(COUNTIF($MK87:$MN87,"Parado")+COUNTIF($NX87:$NY87,"Parado"))&gt;0),"Reação não entra com Parado",""),IF(AND((COUNTIF($MK87:$MN87,"Atrasar")+COUNTIF($NX87:$NY87,"Atrasar"))&gt;0,(COUNTIF($MK87:$MN87,"Parado")+COUNTIF($NX87:$NY87,"Parado"))&gt;0),"Atrasar não entra com Parado",""),IF(AND((COUNTIF($MK87:$MN87,"Armado")+COUNTIF($NX87:$NY87,"Armado"))&gt;0,(COUNTIF($MK87:$MN87,"Carregar")+COUNTIF($NX87:$NY87,"Carregar"))&gt;0),"Armado não entra com Carregar",""),IF(AND(COUNTIF($NX87:$NY87,"Corpo a Corpo")&gt;0,$NS87=0,OR($MH87="Cone",$MH87="Linha")),"Corpo a Corpo não entra em "&amp;$MH87,""),IF(AND(COUNTIF($NX87:$NY87,"Corpo a Corpo")&gt;0,$NS87=1),"A Forma "&amp;$MH87&amp;" já traz o Corpo a Corpo",""),IF(AND(COUNTIF($NX87:$NY87,"Tudo ou Nada")&gt;0,$NU87=0),"Tudo ou Nada só entra em habilidade de Teste de Resistência",""),IF(AND(COUNTIF($MK87:$MN87,"Inescapável")&gt;0,OR($OH87&gt;1,$OI87&gt;0)),"Inescapável não aceita outra peça",""),IF(AND($MF87&gt;0,$OQ87*IF(COUNTIF($MK87:$MN87,"Remate")&gt;0,1.25,1)+$OR87&gt;4*$MF87),($OQ87*IF(COUNTIF($MK87:$MN87,"Remate")&gt;0,1.25,1)+$OR87)&amp;" dados somando repetições"&amp;IF(COUNTIF($MK87:$MN87,"Remate")&gt;0," e o Remate","")&amp;": o teto da Classe "&amp;$MF87&amp;" é "&amp;4*$MF87,"")))</f>
        <v/>
      </c>
      <c r="PH87" s="152">
        <f>IF($PG87="",0,(LEN($PG87)-LEN(SUBSTITUTE($PG87," · ","")))/3+1)</f>
        <v/>
      </c>
      <c r="PI87" s="152">
        <f>IF($MQ87=0,"",TEXTJOIN(" · ",TRUE,IF($OK87&gt;2*$MF87,"A devolução parou no teto de "&amp;2*$MF87,""),IF($ON87&gt;0,"Devolução perdida: "&amp;$ON87&amp;IF($ON87&gt;1," pontos"," ponto")&amp;" sem peça para pagar",""),IF(AND($NP87&gt;0,AND($MF87&gt;0,$NT87=0),$OQ87=0),"Controle sem dano: uma rodada a mais e CD +2",""),IF(AND($NP87&gt;0,AND($MF87&gt;0,$NT87=0),$OQ87&gt;0,$OQ87&lt;=$MF87),"Controle com saldo até a Classe: uma rodada a mais",""),IF(AND($MF87&gt;0,$NR87&lt;&gt;""),"Efeito de "&amp;$NR87&amp;" pela Classe "&amp;MAX(1,$MF87-1),"")))</f>
        <v/>
      </c>
      <c r="PJ87" s="152">
        <f>IF($PI87="",0,(LEN($PI87)-LEN(SUBSTITUTE($PI87," · ","")))/3+1)</f>
        <v/>
      </c>
      <c r="PK87" s="152">
        <f>IF($MQ87=0,IF($OH87+COUNTIF($MO87:$MP87,"?*")&gt;0,"Dê um nome",""),IF($PH87&gt;0,"⚠ "&amp;$PH87&amp;IF($PH87&gt;1," erros"," erro"),IF($PJ87&gt;0,"! "&amp;$PJ87&amp;IF($PJ87&gt;1," avisos"," aviso"),"Na regra")))</f>
        <v/>
      </c>
      <c r="PL87" s="152">
        <f>IF($MQ87=0,"",IF($PH87+$PJ87=0,"Dentro das regras que a ficha confere",$PG87&amp;IF(AND($PH87&gt;0,$PJ87&gt;0)," · ","")&amp;$PI87))</f>
        <v/>
      </c>
      <c r="PM87" s="152">
        <f>IF($MD87&gt;$MR87,$ME87&amp;" · ABRE NO NÍVEL "&amp;$MD87,$ME87)</f>
        <v/>
      </c>
      <c r="PN87" s="152">
        <f>IF($MQ87=0,"",IF($MF87=0,"Sem PE",3*$MF87&amp;" PE"))</f>
        <v/>
      </c>
      <c r="PO87" s="152">
        <f>IF($MQ87=0,"",IF($MF87=0,"A atuação básica dela",IF(COUNTIF($NX87:$NY87,"Atrasar")&gt;0,"Sua Ação Completa",IF(COUNTIF($MK87:$MN87,"Rápido")&gt;0,"Sua Bônus",IF(COUNTIF($MK87:$MN87,"Reação")&gt;0,"Sua Reação","Sua Padrão")))&amp;" + a básica dela"&amp;IF(COUNTIF($MK87:$MN87,"Reação")&gt;0," e a coletiva","")&amp;IF(COUNTIF($NX87:$NY87,"Carregar")&gt;0," · em dois turnos","")))</f>
        <v/>
      </c>
      <c r="PP87" s="152">
        <f>IF($MJ87&lt;&gt;"",$MJ87,IF($MW87=0,"",INDEX($AA$2:$AA$11,$MW87)))</f>
        <v/>
      </c>
      <c r="PQ87" s="152">
        <f>IF(OR($MQ87=0,$MW87=0),"",IF(COUNTIF($MK87:$MN87,"Inescapável")&gt;0,"Automático",IF($PP87="Ataque",IF($MU87="","Ataque","Ataque "&amp;IF(($MU87+2*IF(COUNTIF($MK87:$MN87,"Precisão")&gt;0,1,0))&gt;=0,"+","−")&amp;ABS(($MU87+2*IF(COUNTIF($MK87:$MN87,"Precisão")&gt;0,1,0))))&amp;IF($NQ87&gt;0," · TR"&amp;IF($MV87="",""," CD "&amp;$MV87),""),IF(LEFT($PP87,2)="TR",$PP87&amp;IF($MV87="",""," · CD "&amp;$MV87)&amp;IF(COUNTIF($MK87:$MN87,"Certeiro")&gt;0," · metade",""),"Sem rolagem"))))</f>
        <v/>
      </c>
      <c r="PR87" s="152">
        <f>IF(OR($MQ87=0,$MW87=0),"",IF($MF87=0,IF(OR($NT87&gt;=1,$OQ87=0),"Sem dano",$OQ87&amp;"d6"&amp;IF($MI87="",""," "&amp;$MI87)),IF(OR($NT87&gt;=1,$OQ87=0),UPPER(LEFT(INDEX($OZ87:$PF87,1,MAX(1,$MF87)),1))&amp;MID(INDEX($OZ87:$PF87,1,MAX(1,$MF87)),2,99),UPPER(LEFT(INDEX($OZ87:$PF87,1,MAX(1,$MF87)),1))&amp;MID(INDEX($OZ87:$PF87,1,MAX(1,$MF87)),2,99)&amp;IF($MI87="",""," "&amp;$MI87)&amp;IF($OR87&gt;0," · +"&amp;$OR87&amp;"d8",""))))</f>
        <v/>
      </c>
      <c r="PS87" s="152">
        <f>COUNTIF($MK87:$MN87,"Longe")+3*COUNTIF($MK87:$MN87,"Muito Longe")</f>
        <v/>
      </c>
      <c r="PT87" s="152">
        <f>COUNTIF($MK87:$MN87,"Maior")+3*COUNTIF($MK87:$MN87,"Muito Maior")</f>
        <v/>
      </c>
      <c r="PU87" s="152">
        <f>IF($MW87=0,0,CHOOSE(1+INDEX($AC$2:$AC$11,$MW87),0,$PS87,$PT87,$PS87+$PT87))</f>
        <v/>
      </c>
      <c r="PV87" s="152">
        <f>IF($MW87=0,0,CHOOSE(1+INDEX($AD$2:$AD$11,$MW87),0,$PS87,$PT87,$PS87+$PT87))</f>
        <v/>
      </c>
      <c r="PW87" s="152">
        <f>IF(OR($MQ87=0,$MW87=0),"",INDEX($AI$2:$AN$41,($MW87-1)*4+IF($MF87=0,1,IF($MF87&lt;=5,2,IF($MF87=6,3,4))),1+MIN(5,$PU87))&amp;INDEX($AO$2:$AT$41,($MW87-1)*4+IF($MF87=0,1,IF($MF87&lt;=5,2,IF($MF87=6,3,4))),1+MIN(5,$PV87))&amp;IF(INDEX($AE$2:$AE$11,$MW87)=1,IF(COUNTIF($MK87:$MN87,"Mais Um")&gt;0," · +"&amp;COUNTIF($MK87:$MN87,"Mais Um")&amp;IF(COUNTIF($MK87:$MN87,"Mais Um")&gt;1," alvos"," alvo"),"")&amp;IF(COUNTIF($MK87:$MN87,"Rajada")&gt;0,IF($MF87=0," · 1 tiro"," · "&amp;(MAX(1,$MF87-1)+1)&amp;" tiros"),""),""))</f>
        <v/>
      </c>
      <c r="PX87" s="152">
        <f>IF($MQ87=0,"",IF($MF87=0,$MT87&amp;"d6"&amp;IF($OH87&gt;0," − 1 = "&amp;$OQ87&amp;"d6"," da básica do nível "&amp;$MR87),$OO87&amp;" − "&amp;$OJ87&amp;" + "&amp;$OM87&amp;" = "&amp;$OP87&amp;" · teto "&amp;4*$MF87&amp;"d8"&amp;IF($NS87=1," · a Forma devolve "&amp;$MF87,"")&amp;IF($ON87&gt;0," · perde "&amp;$ON87,"")))</f>
        <v/>
      </c>
      <c r="PY87" s="152">
        <f>IF($MQ87=0,"",IF($MF87=0,"A básica não amplia: os dados dela sobem com o nível",IF($MF87&gt;=$MS87,"Já está na maior Classe que o nível liberou",TEXTJOIN(" · ",TRUE,IF(AND(2&gt;$MF87,2&lt;=$MS87),"2 → "&amp;$PA87&amp;", 6 PE",""),IF(AND(3&gt;$MF87,3&lt;=$MS87),"3 → "&amp;$PB87&amp;", 9 PE",""),IF(AND(4&gt;$MF87,4&lt;=$MS87),"4 → "&amp;$PC87&amp;", 12 PE",""),IF(AND(5&gt;$MF87,5&lt;=$MS87),"5 → "&amp;$PD87&amp;", 15 PE",""),IF(AND(6&gt;$MF87,6&lt;=$MS87),"6 → "&amp;$PE87&amp;", 18 PE",""),IF(AND(7&gt;$MF87,7&lt;=$MS87),"7 → "&amp;$PF87&amp;", 21 PE","")))))</f>
        <v/>
      </c>
      <c r="PZ87" s="152">
        <f>IF(OR($MQ87=0,$NB87=0),"",IF($MF87=0,"−1 dado","−"&amp;INDEX($I$2:$N$8,MAX(1,$MF87),MAX(1,$NG87))&amp;" · "&amp;CHOOSE(MAX(1,$NG87),"Leve","Média","Pesada","Leve · Livre","Média · Livre","Pesada · Livre")))</f>
        <v/>
      </c>
      <c r="QA87" s="152">
        <f>IF(OR($MQ87=0,$NC87=0),"",IF($MF87=0,"−1 dado","−"&amp;INDEX($I$2:$N$8,MAX(1,$MF87),MAX(1,$NH87))&amp;" · "&amp;CHOOSE(MAX(1,$NH87),"Leve","Média","Pesada","Leve · Livre","Média · Livre","Pesada · Livre")))</f>
        <v/>
      </c>
      <c r="QB87" s="152">
        <f>IF(OR($MQ87=0,$ND87=0),"",IF($MF87=0,"−1 dado","−"&amp;INDEX($I$2:$N$8,MAX(1,$MF87),MAX(1,$NI87))&amp;" · "&amp;CHOOSE(MAX(1,$NI87),"Leve","Média","Pesada","Leve · Livre","Média · Livre","Pesada · Livre")))</f>
        <v/>
      </c>
      <c r="QC87" s="152">
        <f>IF(OR($MQ87=0,$NE87=0),"",IF($MF87=0,"−1 dado","−"&amp;INDEX($I$2:$N$8,MAX(1,$MF87),MAX(1,$NJ87))&amp;" · "&amp;CHOOSE(MAX(1,$NJ87),"Leve","Média","Pesada","Leve · Livre","Média · Livre","Pesada · Livre")))</f>
        <v/>
      </c>
      <c r="QD87" s="152">
        <f>IF(OR($MQ87=0,$MO87=""),"",IF($MF87=0,"não devolve","+"&amp;IF($NV87=1,CEILING($MF87/2,1),$MF87)))</f>
        <v/>
      </c>
      <c r="QE87" s="152">
        <f>IF(OR($MQ87=0,$MP87=""),"",IF($MF87=0,"não devolve","+"&amp;IF($NW87=1,CEILING($MF87/2,1),$MF87)))</f>
        <v/>
      </c>
    </row>
    <row r="88">
      <c r="MA88" s="150" t="inlineStr">
        <is>
          <t>Ficha 7 · Especial 7</t>
        </is>
      </c>
      <c r="MB88" s="152" t="n">
        <v>7</v>
      </c>
      <c r="MC88" s="152" t="n">
        <v>1</v>
      </c>
      <c r="MD88" s="152" t="n">
        <v>24</v>
      </c>
      <c r="ME88" s="150" t="inlineStr">
        <is>
          <t>ESPECIAL 7</t>
        </is>
      </c>
      <c r="MF88" s="152">
        <f>MAX(1,MIN(7,N('INVOCAÇÕES'!$AN$114)))</f>
        <v/>
      </c>
      <c r="MG88" s="152">
        <f>'INVOCAÇÕES'!$AO$114&amp;""</f>
        <v/>
      </c>
      <c r="MH88" s="152">
        <f>'INVOCAÇÕES'!$AN$119&amp;""</f>
        <v/>
      </c>
      <c r="MI88" s="152">
        <f>'INVOCAÇÕES'!$AN$120&amp;""</f>
        <v/>
      </c>
      <c r="MJ88" s="152">
        <f>'INVOCAÇÕES'!$AP$120&amp;""</f>
        <v/>
      </c>
      <c r="MK88" s="152">
        <f>'INVOCAÇÕES'!$AO$123&amp;""</f>
        <v/>
      </c>
      <c r="ML88" s="152">
        <f>'INVOCAÇÕES'!$AO$124&amp;""</f>
        <v/>
      </c>
      <c r="MM88" s="152">
        <f>'INVOCAÇÕES'!$AO$125&amp;""</f>
        <v/>
      </c>
      <c r="MN88" s="152">
        <f>'INVOCAÇÕES'!$AO$126&amp;""</f>
        <v/>
      </c>
      <c r="MO88" s="152">
        <f>'INVOCAÇÕES'!$AO$127&amp;""</f>
        <v/>
      </c>
      <c r="MP88" s="152">
        <f>'INVOCAÇÕES'!$AO$128&amp;""</f>
        <v/>
      </c>
      <c r="MQ88" s="152">
        <f>IF($MG88&lt;&gt;"",1,0)</f>
        <v/>
      </c>
      <c r="MR88" s="152">
        <f>INDEX($FI$2:$FI$13,$MB88)</f>
        <v/>
      </c>
      <c r="MS88" s="152">
        <f>INDEX($FJ$2:$FJ$13,$MB88)</f>
        <v/>
      </c>
      <c r="MT88" s="152">
        <f>INDEX($FK$2:$FK$13,$MB88)</f>
        <v/>
      </c>
      <c r="MU88" s="152">
        <f>INDEX($FV$2:$FV$13,$MB88)</f>
        <v/>
      </c>
      <c r="MV88" s="152">
        <f>INDEX($FW$2:$FW$13,$MB88)</f>
        <v/>
      </c>
      <c r="MW88" s="152">
        <f>IFERROR(MATCH($MH88,$V$2:$V$11,0),0)</f>
        <v/>
      </c>
      <c r="MX88" s="152">
        <f>IFERROR(VLOOKUP($MK88,$AV$2:$BA$84,2,FALSE),"")</f>
        <v/>
      </c>
      <c r="MY88" s="152">
        <f>IFERROR(VLOOKUP($ML88,$AV$2:$BA$84,2,FALSE),"")</f>
        <v/>
      </c>
      <c r="MZ88" s="152">
        <f>IFERROR(VLOOKUP($MM88,$AV$2:$BA$84,2,FALSE),"")</f>
        <v/>
      </c>
      <c r="NA88" s="152">
        <f>IFERROR(VLOOKUP($MN88,$AV$2:$BA$84,2,FALSE),"")</f>
        <v/>
      </c>
      <c r="NB88" s="152">
        <f>IFERROR(VLOOKUP($MK88,$AV$2:$BA$84,3,FALSE),0)</f>
        <v/>
      </c>
      <c r="NC88" s="152">
        <f>IFERROR(VLOOKUP($ML88,$AV$2:$BA$84,3,FALSE),0)</f>
        <v/>
      </c>
      <c r="ND88" s="152">
        <f>IFERROR(VLOOKUP($MM88,$AV$2:$BA$84,3,FALSE),0)</f>
        <v/>
      </c>
      <c r="NE88" s="152">
        <f>IFERROR(VLOOKUP($MN88,$AV$2:$BA$84,3,FALSE),0)</f>
        <v/>
      </c>
      <c r="NF88" s="152">
        <f>IF($MF88=0,0,IF($MW88=0,0,INDEX($X$2:$X$11,$MW88)))</f>
        <v/>
      </c>
      <c r="NG88" s="152">
        <f>IF(OR($NB88=0,$MF88=0),0,$NB88+3*IF(AND($MX88&lt;&gt;"",OR($MX88=INDEX($EF$2:$EF$13,$MB88),$MX88=INDEX($EG$2:$EG$13,$MB88))),1,0))</f>
        <v/>
      </c>
      <c r="NH88" s="152">
        <f>IF(OR($NC88=0,$MF88=0),0,$NC88+3*IF(AND($MY88&lt;&gt;"",OR($MY88=INDEX($EF$2:$EF$13,$MB88),$MY88=INDEX($EG$2:$EG$13,$MB88))),1,0))</f>
        <v/>
      </c>
      <c r="NI88" s="152">
        <f>IF(OR($ND88=0,$MF88=0),0,$ND88+3*IF(AND($MZ88&lt;&gt;"",OR($MZ88=INDEX($EF$2:$EF$13,$MB88),$MZ88=INDEX($EG$2:$EG$13,$MB88))),1,0))</f>
        <v/>
      </c>
      <c r="NJ88" s="152">
        <f>IF(OR($NE88=0,$MF88=0),0,$NE88+3*IF(AND($NA88&lt;&gt;"",OR($NA88=INDEX($EF$2:$EF$13,$MB88),$NA88=INDEX($EG$2:$EG$13,$MB88))),1,0))</f>
        <v/>
      </c>
      <c r="NK88" s="152">
        <f>IF($MW88=0,0,IF(INDEX($W$2:$W$11,$MW88)="",0,IF(COUNTIF(INDEX($EF$2:$EJ$13,$MB88,0),INDEX($W$2:$W$11,$MW88))=0,1,0)))</f>
        <v/>
      </c>
      <c r="NL88" s="152">
        <f>IF(OR($NB88=0,$MX88=""),0,IF(COUNTIF(INDEX($EF$2:$EJ$13,$MB88,0),$MX88)=0,1,0))</f>
        <v/>
      </c>
      <c r="NM88" s="152">
        <f>IF(OR($NC88=0,$MY88=""),0,IF(COUNTIF(INDEX($EF$2:$EJ$13,$MB88,0),$MY88)=0,1,0))</f>
        <v/>
      </c>
      <c r="NN88" s="152">
        <f>IF(OR($ND88=0,$MZ88=""),0,IF(COUNTIF(INDEX($EF$2:$EJ$13,$MB88,0),$MZ88)=0,1,0))</f>
        <v/>
      </c>
      <c r="NO88" s="152">
        <f>IF(OR($NE88=0,$NA88=""),0,IF(COUNTIF(INDEX($EF$2:$EJ$13,$MB88,0),$NA88)=0,1,0))</f>
        <v/>
      </c>
      <c r="NP88" s="152">
        <f>IFERROR(VLOOKUP($MK88,$AV$2:$BA$84,4,FALSE),0)+IFERROR(VLOOKUP($ML88,$AV$2:$BA$84,4,FALSE),0)+IFERROR(VLOOKUP($MM88,$AV$2:$BA$84,4,FALSE),0)+IFERROR(VLOOKUP($MN88,$AV$2:$BA$84,4,FALSE),0)</f>
        <v/>
      </c>
      <c r="NQ88" s="152">
        <f>IFERROR(VLOOKUP($MK88,$AV$2:$BA$84,6,FALSE),0)+IFERROR(VLOOKUP($ML88,$AV$2:$BA$84,6,FALSE),0)+IFERROR(VLOOKUP($MM88,$AV$2:$BA$84,6,FALSE),0)+IFERROR(VLOOKUP($MN88,$AV$2:$BA$84,6,FALSE),0)</f>
        <v/>
      </c>
      <c r="NR88" s="152">
        <f>TEXTJOIN(", ",TRUE,IF(IFERROR(VLOOKUP($MK88,$AV$2:$BA$84,5,FALSE),0)=1,$MK88,""),IF(IFERROR(VLOOKUP($ML88,$AV$2:$BA$84,5,FALSE),0)=1,$ML88,""),IF(IFERROR(VLOOKUP($MM88,$AV$2:$BA$84,5,FALSE),0)=1,$MM88,""),IF(IFERROR(VLOOKUP($MN88,$AV$2:$BA$84,5,FALSE),0)=1,$MN88,""))</f>
        <v/>
      </c>
      <c r="NS88" s="152">
        <f>IF($MW88=0,0,INDEX($Y$2:$Y$11,$MW88))</f>
        <v/>
      </c>
      <c r="NT88" s="152">
        <f>IF($MW88=0,0,INDEX($Z$2:$Z$11,$MW88))</f>
        <v/>
      </c>
      <c r="NU88" s="152">
        <f>IF($MW88=0,0,INDEX($AB$2:$AB$11,$MW88))</f>
        <v/>
      </c>
      <c r="NV88" s="152">
        <f>IFERROR(VLOOKUP($MO88,$BC$2:$BG$24,3,FALSE),0)</f>
        <v/>
      </c>
      <c r="NW88" s="152">
        <f>IFERROR(VLOOKUP($MP88,$BC$2:$BG$24,3,FALSE),0)</f>
        <v/>
      </c>
      <c r="NX88" s="152">
        <f>IFERROR(VLOOKUP($MO88,$BC$2:$BG$24,2,FALSE),"")</f>
        <v/>
      </c>
      <c r="NY88" s="152">
        <f>IFERROR(VLOOKUP($MP88,$BC$2:$BG$24,2,FALSE),"")</f>
        <v/>
      </c>
      <c r="NZ88" s="152">
        <f>COUNTIF($NF88:$NJ88,1)</f>
        <v/>
      </c>
      <c r="OA88" s="152">
        <f>COUNTIF($NF88:$NJ88,2)</f>
        <v/>
      </c>
      <c r="OB88" s="152">
        <f>COUNTIF($NF88:$NJ88,3)</f>
        <v/>
      </c>
      <c r="OC88" s="152">
        <f>COUNTIF($NF88:$NJ88,4)</f>
        <v/>
      </c>
      <c r="OD88" s="152">
        <f>COUNTIF($NF88:$NJ88,5)</f>
        <v/>
      </c>
      <c r="OE88" s="152">
        <f>COUNTIF($NF88:$NJ88,6)</f>
        <v/>
      </c>
      <c r="OF88" s="152">
        <f>COUNTIF($NV88:$NW88,1)</f>
        <v/>
      </c>
      <c r="OG88" s="152">
        <f>COUNTIF($NV88:$NW88,2)+$NS88</f>
        <v/>
      </c>
      <c r="OH88" s="152">
        <f>COUNTIF($MK88:$MN88,"?*")</f>
        <v/>
      </c>
      <c r="OI88" s="152">
        <f>COUNTIF($MO88:$MP88,"?*")+$NS88</f>
        <v/>
      </c>
      <c r="OJ88" s="152">
        <f>IF($MF88=0,0,SUMPRODUCT($NZ88:$OE88,INDEX($I$2:$N$8,MAX(1,$MF88),0)))</f>
        <v/>
      </c>
      <c r="OK88" s="152">
        <f>IF($MF88=0,0,$OF88*CEILING($MF88/2,1)+$OG88*$MF88)</f>
        <v/>
      </c>
      <c r="OL88" s="152">
        <f>MIN(2*$MF88,$OK88)</f>
        <v/>
      </c>
      <c r="OM88" s="152">
        <f>MIN($OL88,$OJ88)</f>
        <v/>
      </c>
      <c r="ON88" s="152">
        <f>$OL88-$OM88</f>
        <v/>
      </c>
      <c r="OO88" s="152">
        <f>IF($MF88=0,0,INDEX($P$2:$P$8,MAX(1,$MF88)))</f>
        <v/>
      </c>
      <c r="OP88" s="152">
        <f>$OO88-$OJ88+$OM88</f>
        <v/>
      </c>
      <c r="OQ88" s="152">
        <f>IF($MF88=0,MAX(0,$MT88-IF($OH88&gt;0,1,0)),MAX(0,$OP88))</f>
        <v/>
      </c>
      <c r="OR88" s="152">
        <f>IF($MF88=0,0,(IF(COUNTIF($MK88:$MN88,"Salto")&gt;0,1,0)+IF(COUNTIF($MK88:$MN88,"Queima")&gt;0,1,0)+IF(COUNTIF($MK88:$MN88,"Estilhaço")&gt;0,1,0))*FLOOR($OQ88/2,1))</f>
        <v/>
      </c>
      <c r="OS88" s="152">
        <f>MAX(0,2-SUMPRODUCT($NZ88:$OE88,$I$2:$N$2)+MIN(2,$OF88*1+$OG88*1,SUMPRODUCT($NZ88:$OE88,$I$2:$N$2)))</f>
        <v/>
      </c>
      <c r="OT88" s="152">
        <f>MAX(0,4-SUMPRODUCT($NZ88:$OE88,$I$3:$N$3)+MIN(4,$OF88*1+$OG88*2,SUMPRODUCT($NZ88:$OE88,$I$3:$N$3)))</f>
        <v/>
      </c>
      <c r="OU88" s="152">
        <f>MAX(0,6-SUMPRODUCT($NZ88:$OE88,$I$4:$N$4)+MIN(6,$OF88*2+$OG88*3,SUMPRODUCT($NZ88:$OE88,$I$4:$N$4)))</f>
        <v/>
      </c>
      <c r="OV88" s="152">
        <f>MAX(0,9-SUMPRODUCT($NZ88:$OE88,$I$5:$N$5)+MIN(8,$OF88*2+$OG88*4,SUMPRODUCT($NZ88:$OE88,$I$5:$N$5)))</f>
        <v/>
      </c>
      <c r="OW88" s="152">
        <f>MAX(0,11-SUMPRODUCT($NZ88:$OE88,$I$6:$N$6)+MIN(10,$OF88*3+$OG88*5,SUMPRODUCT($NZ88:$OE88,$I$6:$N$6)))</f>
        <v/>
      </c>
      <c r="OX88" s="152">
        <f>MAX(0,13-SUMPRODUCT($NZ88:$OE88,$I$7:$N$7)+MIN(12,$OF88*3+$OG88*6,SUMPRODUCT($NZ88:$OE88,$I$7:$N$7)))</f>
        <v/>
      </c>
      <c r="OY88" s="152">
        <f>MAX(0,16-SUMPRODUCT($NZ88:$OE88,$I$8:$N$8)+MIN(14,$OF88*4+$OG88*7,SUMPRODUCT($NZ88:$OE88,$I$8:$N$8)))</f>
        <v/>
      </c>
      <c r="OZ88" s="152">
        <f>IF($NT88=2,3*$OS88&amp;" de vida temp.",IF($NT88=3,"sem dano",IF($OS88=0,IF($NT88=1,"sem cura","sem dano"),IF($NT88=1,"cura ","")&amp;$OS88&amp;"d8")))</f>
        <v/>
      </c>
      <c r="PA88" s="152">
        <f>IF($NT88=2,3*$OT88&amp;" de vida temp.",IF($NT88=3,"sem dano",IF($OT88=0,IF($NT88=1,"sem cura","sem dano"),IF($NT88=1,"cura ","")&amp;$OT88&amp;"d8")))</f>
        <v/>
      </c>
      <c r="PB88" s="152">
        <f>IF($NT88=2,3*$OU88&amp;" de vida temp.",IF($NT88=3,"sem dano",IF($OU88=0,IF($NT88=1,"sem cura","sem dano"),IF($NT88=1,"cura ","")&amp;$OU88&amp;"d8")))</f>
        <v/>
      </c>
      <c r="PC88" s="152">
        <f>IF($NT88=2,3*$OV88&amp;" de vida temp.",IF($NT88=3,"sem dano",IF($OV88=0,IF($NT88=1,"sem cura","sem dano"),IF($NT88=1,"cura ","")&amp;$OV88&amp;"d8")))</f>
        <v/>
      </c>
      <c r="PD88" s="152">
        <f>IF($NT88=2,3*$OW88&amp;" de vida temp.",IF($NT88=3,"sem dano",IF($OW88=0,IF($NT88=1,"sem cura","sem dano"),IF($NT88=1,"cura ","")&amp;$OW88&amp;"d8")))</f>
        <v/>
      </c>
      <c r="PE88" s="152">
        <f>IF($NT88=2,3*$OX88&amp;" de vida temp.",IF($NT88=3,"sem dano",IF($OX88=0,IF($NT88=1,"sem cura","sem dano"),IF($NT88=1,"cura ","")&amp;$OX88&amp;"d8")))</f>
        <v/>
      </c>
      <c r="PF88" s="152">
        <f>IF($NT88=2,3*$OY88&amp;" de vida temp.",IF($NT88=3,"sem dano",IF($OY88=0,IF($NT88=1,"sem cura","sem dano"),IF($NT88=1,"cura ","")&amp;$OY88&amp;"d8")))</f>
        <v/>
      </c>
      <c r="PG88" s="152">
        <f>IF($MQ88=0,"",TEXTJOIN(" · ",TRUE,IF($MD88&gt;$MR88,"Este lugar abre no nível "&amp;$MD88,""),IF($MF88&gt;$MS88,"Classe "&amp;$MF88&amp;": o nível "&amp;$MR88&amp;" libera até a "&amp;$MS88,""),IF($NK88=1,"A Forma "&amp;$MH88&amp;" pede "&amp;INDEX($W$2:$W$11,$MW88)&amp;" aberta",""),IF(AND($MF88=0,$MW88&gt;0,IF($MW88=0,0,INDEX($AF$2:$AF$11,$MW88))=0),$MH88&amp;" não existe na Classe 0",""),IF($NL88=1,"Família Fechada: "&amp;$MK88,""),IF($NM88=1,"Família Fechada: "&amp;$ML88,""),IF($NN88=1,"Família Fechada: "&amp;$MM88,""),IF($NO88=1,"Família Fechada: "&amp;$MN88,""),IF(AND($MF88&gt;0,$OH88&gt;INDEX($O$2:$O$8,MAX(1,$MF88))),$OH88&amp;" Melhorias: a Classe "&amp;$MF88&amp;" aceita "&amp;INDEX($O$2:$O$8,MAX(1,$MF88)),""),IF(AND($MF88=0,$OH88&gt;1),"A básica aceita uma Melhoria",""),IF(AND($MF88=0,COUNTIF($NB88:$NE88,"&gt;1")&gt;0),"A básica só aceita Melhoria Leve",""),IF(AND($MF88&gt;0,$OI88&gt;2),$OI88&amp;" Restrições"&amp;IF($NS88=1,", contando a que a Forma "&amp;$MH88&amp;" já traz","")&amp;": o limite é 2",""),IF(AND($MF88=0,COUNTIF($MO88:$MP88,"?*")&gt;1),"A básica aceita uma Restrição Leve",""),IF(AND($MF88=0,COUNTIF($NV88:$NW88,2)&gt;0),"A básica só aceita Restrição Leve",""),IF(AND($MF88&gt;0,$OP88&lt;0),"Orçamento estourado: faltam "&amp;(-$OP88)&amp;IF($OP88&lt;-1," pontos"," ponto"),""),IF(IFERROR(VLOOKUP($MO88,$BC$2:$BG$24,4,FALSE),0)+IFERROR(VLOOKUP($MP88,$BC$2:$BG$24,4,FALSE),0)&gt;1,$NX88&amp;" e "&amp;$NY88&amp;" são as duas de frequência",""),IF(AND((COUNTIF($MK88:$MN88,"Rápido")+COUNTIF($NX88:$NY88,"Rápido"))&gt;0,(COUNTIF($MK88:$MN88,"Atrasar")+COUNTIF($NX88:$NY88,"Atrasar"))&gt;0),"Rápido não entra com Atrasar",""),IF(AND((COUNTIF($MK88:$MN88,"Reação")+COUNTIF($NX88:$NY88,"Reação"))&gt;0,(COUNTIF($MK88:$MN88,"Rápido")+COUNTIF($NX88:$NY88,"Rápido"))&gt;0),"Reação não entra com Rápido",""),IF(AND((COUNTIF($MK88:$MN88,"Reação")+COUNTIF($NX88:$NY88,"Reação"))&gt;0,(COUNTIF($MK88:$MN88,"Armado")+COUNTIF($NX88:$NY88,"Armado"))&gt;0),"Reação não entra com Armado",""),IF(AND((COUNTIF($MK88:$MN88,"Reação")+COUNTIF($NX88:$NY88,"Reação"))&gt;0,(COUNTIF($MK88:$MN88,"Atrasar")+COUNTIF($NX88:$NY88,"Atrasar"))&gt;0),"Reação não entra com Atrasar",""),IF(AND((COUNTIF($MK88:$MN88,"Reação")+COUNTIF($NX88:$NY88,"Reação"))&gt;0,(COUNTIF($MK88:$MN88,"Parado")+COUNTIF($NX88:$NY88,"Parado"))&gt;0),"Reação não entra com Parado",""),IF(AND((COUNTIF($MK88:$MN88,"Atrasar")+COUNTIF($NX88:$NY88,"Atrasar"))&gt;0,(COUNTIF($MK88:$MN88,"Parado")+COUNTIF($NX88:$NY88,"Parado"))&gt;0),"Atrasar não entra com Parado",""),IF(AND((COUNTIF($MK88:$MN88,"Armado")+COUNTIF($NX88:$NY88,"Armado"))&gt;0,(COUNTIF($MK88:$MN88,"Carregar")+COUNTIF($NX88:$NY88,"Carregar"))&gt;0),"Armado não entra com Carregar",""),IF(AND(COUNTIF($NX88:$NY88,"Corpo a Corpo")&gt;0,$NS88=0,OR($MH88="Cone",$MH88="Linha")),"Corpo a Corpo não entra em "&amp;$MH88,""),IF(AND(COUNTIF($NX88:$NY88,"Corpo a Corpo")&gt;0,$NS88=1),"A Forma "&amp;$MH88&amp;" já traz o Corpo a Corpo",""),IF(AND(COUNTIF($NX88:$NY88,"Tudo ou Nada")&gt;0,$NU88=0),"Tudo ou Nada só entra em habilidade de Teste de Resistência",""),IF(AND(COUNTIF($MK88:$MN88,"Inescapável")&gt;0,OR($OH88&gt;1,$OI88&gt;0)),"Inescapável não aceita outra peça",""),IF(AND($MF88&gt;0,$OQ88*IF(COUNTIF($MK88:$MN88,"Remate")&gt;0,1.25,1)+$OR88&gt;4*$MF88),($OQ88*IF(COUNTIF($MK88:$MN88,"Remate")&gt;0,1.25,1)+$OR88)&amp;" dados somando repetições"&amp;IF(COUNTIF($MK88:$MN88,"Remate")&gt;0," e o Remate","")&amp;": o teto da Classe "&amp;$MF88&amp;" é "&amp;4*$MF88,"")))</f>
        <v/>
      </c>
      <c r="PH88" s="152">
        <f>IF($PG88="",0,(LEN($PG88)-LEN(SUBSTITUTE($PG88," · ","")))/3+1)</f>
        <v/>
      </c>
      <c r="PI88" s="152">
        <f>IF($MQ88=0,"",TEXTJOIN(" · ",TRUE,IF($OK88&gt;2*$MF88,"A devolução parou no teto de "&amp;2*$MF88,""),IF($ON88&gt;0,"Devolução perdida: "&amp;$ON88&amp;IF($ON88&gt;1," pontos"," ponto")&amp;" sem peça para pagar",""),IF(AND($NP88&gt;0,AND($MF88&gt;0,$NT88=0),$OQ88=0),"Controle sem dano: uma rodada a mais e CD +2",""),IF(AND($NP88&gt;0,AND($MF88&gt;0,$NT88=0),$OQ88&gt;0,$OQ88&lt;=$MF88),"Controle com saldo até a Classe: uma rodada a mais",""),IF(AND($MF88&gt;0,$NR88&lt;&gt;""),"Efeito de "&amp;$NR88&amp;" pela Classe "&amp;MAX(1,$MF88-1),"")))</f>
        <v/>
      </c>
      <c r="PJ88" s="152">
        <f>IF($PI88="",0,(LEN($PI88)-LEN(SUBSTITUTE($PI88," · ","")))/3+1)</f>
        <v/>
      </c>
      <c r="PK88" s="152">
        <f>IF($MQ88=0,IF($OH88+COUNTIF($MO88:$MP88,"?*")&gt;0,"Dê um nome",""),IF($PH88&gt;0,"⚠ "&amp;$PH88&amp;IF($PH88&gt;1," erros"," erro"),IF($PJ88&gt;0,"! "&amp;$PJ88&amp;IF($PJ88&gt;1," avisos"," aviso"),"Na regra")))</f>
        <v/>
      </c>
      <c r="PL88" s="152">
        <f>IF($MQ88=0,"",IF($PH88+$PJ88=0,"Dentro das regras que a ficha confere",$PG88&amp;IF(AND($PH88&gt;0,$PJ88&gt;0)," · ","")&amp;$PI88))</f>
        <v/>
      </c>
      <c r="PM88" s="152">
        <f>IF($MD88&gt;$MR88,$ME88&amp;" · ABRE NO NÍVEL "&amp;$MD88,$ME88)</f>
        <v/>
      </c>
      <c r="PN88" s="152">
        <f>IF($MQ88=0,"",IF($MF88=0,"Sem PE",3*$MF88&amp;" PE"))</f>
        <v/>
      </c>
      <c r="PO88" s="152">
        <f>IF($MQ88=0,"",IF($MF88=0,"A atuação básica dela",IF(COUNTIF($NX88:$NY88,"Atrasar")&gt;0,"Sua Ação Completa",IF(COUNTIF($MK88:$MN88,"Rápido")&gt;0,"Sua Bônus",IF(COUNTIF($MK88:$MN88,"Reação")&gt;0,"Sua Reação","Sua Padrão")))&amp;" + a básica dela"&amp;IF(COUNTIF($MK88:$MN88,"Reação")&gt;0," e a coletiva","")&amp;IF(COUNTIF($NX88:$NY88,"Carregar")&gt;0," · em dois turnos","")))</f>
        <v/>
      </c>
      <c r="PP88" s="152">
        <f>IF($MJ88&lt;&gt;"",$MJ88,IF($MW88=0,"",INDEX($AA$2:$AA$11,$MW88)))</f>
        <v/>
      </c>
      <c r="PQ88" s="152">
        <f>IF(OR($MQ88=0,$MW88=0),"",IF(COUNTIF($MK88:$MN88,"Inescapável")&gt;0,"Automático",IF($PP88="Ataque",IF($MU88="","Ataque","Ataque "&amp;IF(($MU88+2*IF(COUNTIF($MK88:$MN88,"Precisão")&gt;0,1,0))&gt;=0,"+","−")&amp;ABS(($MU88+2*IF(COUNTIF($MK88:$MN88,"Precisão")&gt;0,1,0))))&amp;IF($NQ88&gt;0," · TR"&amp;IF($MV88="",""," CD "&amp;$MV88),""),IF(LEFT($PP88,2)="TR",$PP88&amp;IF($MV88="",""," · CD "&amp;$MV88)&amp;IF(COUNTIF($MK88:$MN88,"Certeiro")&gt;0," · metade",""),"Sem rolagem"))))</f>
        <v/>
      </c>
      <c r="PR88" s="152">
        <f>IF(OR($MQ88=0,$MW88=0),"",IF($MF88=0,IF(OR($NT88&gt;=1,$OQ88=0),"Sem dano",$OQ88&amp;"d6"&amp;IF($MI88="",""," "&amp;$MI88)),IF(OR($NT88&gt;=1,$OQ88=0),UPPER(LEFT(INDEX($OZ88:$PF88,1,MAX(1,$MF88)),1))&amp;MID(INDEX($OZ88:$PF88,1,MAX(1,$MF88)),2,99),UPPER(LEFT(INDEX($OZ88:$PF88,1,MAX(1,$MF88)),1))&amp;MID(INDEX($OZ88:$PF88,1,MAX(1,$MF88)),2,99)&amp;IF($MI88="",""," "&amp;$MI88)&amp;IF($OR88&gt;0," · +"&amp;$OR88&amp;"d8",""))))</f>
        <v/>
      </c>
      <c r="PS88" s="152">
        <f>COUNTIF($MK88:$MN88,"Longe")+3*COUNTIF($MK88:$MN88,"Muito Longe")</f>
        <v/>
      </c>
      <c r="PT88" s="152">
        <f>COUNTIF($MK88:$MN88,"Maior")+3*COUNTIF($MK88:$MN88,"Muito Maior")</f>
        <v/>
      </c>
      <c r="PU88" s="152">
        <f>IF($MW88=0,0,CHOOSE(1+INDEX($AC$2:$AC$11,$MW88),0,$PS88,$PT88,$PS88+$PT88))</f>
        <v/>
      </c>
      <c r="PV88" s="152">
        <f>IF($MW88=0,0,CHOOSE(1+INDEX($AD$2:$AD$11,$MW88),0,$PS88,$PT88,$PS88+$PT88))</f>
        <v/>
      </c>
      <c r="PW88" s="152">
        <f>IF(OR($MQ88=0,$MW88=0),"",INDEX($AI$2:$AN$41,($MW88-1)*4+IF($MF88=0,1,IF($MF88&lt;=5,2,IF($MF88=6,3,4))),1+MIN(5,$PU88))&amp;INDEX($AO$2:$AT$41,($MW88-1)*4+IF($MF88=0,1,IF($MF88&lt;=5,2,IF($MF88=6,3,4))),1+MIN(5,$PV88))&amp;IF(INDEX($AE$2:$AE$11,$MW88)=1,IF(COUNTIF($MK88:$MN88,"Mais Um")&gt;0," · +"&amp;COUNTIF($MK88:$MN88,"Mais Um")&amp;IF(COUNTIF($MK88:$MN88,"Mais Um")&gt;1," alvos"," alvo"),"")&amp;IF(COUNTIF($MK88:$MN88,"Rajada")&gt;0,IF($MF88=0," · 1 tiro"," · "&amp;(MAX(1,$MF88-1)+1)&amp;" tiros"),""),""))</f>
        <v/>
      </c>
      <c r="PX88" s="152">
        <f>IF($MQ88=0,"",IF($MF88=0,$MT88&amp;"d6"&amp;IF($OH88&gt;0," − 1 = "&amp;$OQ88&amp;"d6"," da básica do nível "&amp;$MR88),$OO88&amp;" − "&amp;$OJ88&amp;" + "&amp;$OM88&amp;" = "&amp;$OP88&amp;" · teto "&amp;4*$MF88&amp;"d8"&amp;IF($NS88=1," · a Forma devolve "&amp;$MF88,"")&amp;IF($ON88&gt;0," · perde "&amp;$ON88,"")))</f>
        <v/>
      </c>
      <c r="PY88" s="152">
        <f>IF($MQ88=0,"",IF($MF88=0,"A básica não amplia: os dados dela sobem com o nível",IF($MF88&gt;=$MS88,"Já está na maior Classe que o nível liberou",TEXTJOIN(" · ",TRUE,IF(AND(2&gt;$MF88,2&lt;=$MS88),"2 → "&amp;$PA88&amp;", 6 PE",""),IF(AND(3&gt;$MF88,3&lt;=$MS88),"3 → "&amp;$PB88&amp;", 9 PE",""),IF(AND(4&gt;$MF88,4&lt;=$MS88),"4 → "&amp;$PC88&amp;", 12 PE",""),IF(AND(5&gt;$MF88,5&lt;=$MS88),"5 → "&amp;$PD88&amp;", 15 PE",""),IF(AND(6&gt;$MF88,6&lt;=$MS88),"6 → "&amp;$PE88&amp;", 18 PE",""),IF(AND(7&gt;$MF88,7&lt;=$MS88),"7 → "&amp;$PF88&amp;", 21 PE","")))))</f>
        <v/>
      </c>
      <c r="PZ88" s="152">
        <f>IF(OR($MQ88=0,$NB88=0),"",IF($MF88=0,"−1 dado","−"&amp;INDEX($I$2:$N$8,MAX(1,$MF88),MAX(1,$NG88))&amp;" · "&amp;CHOOSE(MAX(1,$NG88),"Leve","Média","Pesada","Leve · Livre","Média · Livre","Pesada · Livre")))</f>
        <v/>
      </c>
      <c r="QA88" s="152">
        <f>IF(OR($MQ88=0,$NC88=0),"",IF($MF88=0,"−1 dado","−"&amp;INDEX($I$2:$N$8,MAX(1,$MF88),MAX(1,$NH88))&amp;" · "&amp;CHOOSE(MAX(1,$NH88),"Leve","Média","Pesada","Leve · Livre","Média · Livre","Pesada · Livre")))</f>
        <v/>
      </c>
      <c r="QB88" s="152">
        <f>IF(OR($MQ88=0,$ND88=0),"",IF($MF88=0,"−1 dado","−"&amp;INDEX($I$2:$N$8,MAX(1,$MF88),MAX(1,$NI88))&amp;" · "&amp;CHOOSE(MAX(1,$NI88),"Leve","Média","Pesada","Leve · Livre","Média · Livre","Pesada · Livre")))</f>
        <v/>
      </c>
      <c r="QC88" s="152">
        <f>IF(OR($MQ88=0,$NE88=0),"",IF($MF88=0,"−1 dado","−"&amp;INDEX($I$2:$N$8,MAX(1,$MF88),MAX(1,$NJ88))&amp;" · "&amp;CHOOSE(MAX(1,$NJ88),"Leve","Média","Pesada","Leve · Livre","Média · Livre","Pesada · Livre")))</f>
        <v/>
      </c>
      <c r="QD88" s="152">
        <f>IF(OR($MQ88=0,$MO88=""),"",IF($MF88=0,"não devolve","+"&amp;IF($NV88=1,CEILING($MF88/2,1),$MF88)))</f>
        <v/>
      </c>
      <c r="QE88" s="152">
        <f>IF(OR($MQ88=0,$MP88=""),"",IF($MF88=0,"não devolve","+"&amp;IF($NW88=1,CEILING($MF88/2,1),$MF88)))</f>
        <v/>
      </c>
    </row>
    <row r="89">
      <c r="MA89" s="150" t="inlineStr">
        <is>
          <t>Ficha 7 · Especial 8</t>
        </is>
      </c>
      <c r="MB89" s="152" t="n">
        <v>7</v>
      </c>
      <c r="MC89" s="152" t="n">
        <v>1</v>
      </c>
      <c r="MD89" s="152" t="n">
        <v>28</v>
      </c>
      <c r="ME89" s="150" t="inlineStr">
        <is>
          <t>ESPECIAL 8</t>
        </is>
      </c>
      <c r="MF89" s="152">
        <f>MAX(1,MIN(7,N('INVOCAÇÕES'!$AB$136)))</f>
        <v/>
      </c>
      <c r="MG89" s="152">
        <f>'INVOCAÇÕES'!$AC$136&amp;""</f>
        <v/>
      </c>
      <c r="MH89" s="152">
        <f>'INVOCAÇÕES'!$AB$141&amp;""</f>
        <v/>
      </c>
      <c r="MI89" s="152">
        <f>'INVOCAÇÕES'!$AB$142&amp;""</f>
        <v/>
      </c>
      <c r="MJ89" s="152">
        <f>'INVOCAÇÕES'!$AD$142&amp;""</f>
        <v/>
      </c>
      <c r="MK89" s="152">
        <f>'INVOCAÇÕES'!$AC$145&amp;""</f>
        <v/>
      </c>
      <c r="ML89" s="152">
        <f>'INVOCAÇÕES'!$AC$146&amp;""</f>
        <v/>
      </c>
      <c r="MM89" s="152">
        <f>'INVOCAÇÕES'!$AC$147&amp;""</f>
        <v/>
      </c>
      <c r="MN89" s="152">
        <f>'INVOCAÇÕES'!$AC$148&amp;""</f>
        <v/>
      </c>
      <c r="MO89" s="152">
        <f>'INVOCAÇÕES'!$AC$149&amp;""</f>
        <v/>
      </c>
      <c r="MP89" s="152">
        <f>'INVOCAÇÕES'!$AC$150&amp;""</f>
        <v/>
      </c>
      <c r="MQ89" s="152">
        <f>IF($MG89&lt;&gt;"",1,0)</f>
        <v/>
      </c>
      <c r="MR89" s="152">
        <f>INDEX($FI$2:$FI$13,$MB89)</f>
        <v/>
      </c>
      <c r="MS89" s="152">
        <f>INDEX($FJ$2:$FJ$13,$MB89)</f>
        <v/>
      </c>
      <c r="MT89" s="152">
        <f>INDEX($FK$2:$FK$13,$MB89)</f>
        <v/>
      </c>
      <c r="MU89" s="152">
        <f>INDEX($FV$2:$FV$13,$MB89)</f>
        <v/>
      </c>
      <c r="MV89" s="152">
        <f>INDEX($FW$2:$FW$13,$MB89)</f>
        <v/>
      </c>
      <c r="MW89" s="152">
        <f>IFERROR(MATCH($MH89,$V$2:$V$11,0),0)</f>
        <v/>
      </c>
      <c r="MX89" s="152">
        <f>IFERROR(VLOOKUP($MK89,$AV$2:$BA$84,2,FALSE),"")</f>
        <v/>
      </c>
      <c r="MY89" s="152">
        <f>IFERROR(VLOOKUP($ML89,$AV$2:$BA$84,2,FALSE),"")</f>
        <v/>
      </c>
      <c r="MZ89" s="152">
        <f>IFERROR(VLOOKUP($MM89,$AV$2:$BA$84,2,FALSE),"")</f>
        <v/>
      </c>
      <c r="NA89" s="152">
        <f>IFERROR(VLOOKUP($MN89,$AV$2:$BA$84,2,FALSE),"")</f>
        <v/>
      </c>
      <c r="NB89" s="152">
        <f>IFERROR(VLOOKUP($MK89,$AV$2:$BA$84,3,FALSE),0)</f>
        <v/>
      </c>
      <c r="NC89" s="152">
        <f>IFERROR(VLOOKUP($ML89,$AV$2:$BA$84,3,FALSE),0)</f>
        <v/>
      </c>
      <c r="ND89" s="152">
        <f>IFERROR(VLOOKUP($MM89,$AV$2:$BA$84,3,FALSE),0)</f>
        <v/>
      </c>
      <c r="NE89" s="152">
        <f>IFERROR(VLOOKUP($MN89,$AV$2:$BA$84,3,FALSE),0)</f>
        <v/>
      </c>
      <c r="NF89" s="152">
        <f>IF($MF89=0,0,IF($MW89=0,0,INDEX($X$2:$X$11,$MW89)))</f>
        <v/>
      </c>
      <c r="NG89" s="152">
        <f>IF(OR($NB89=0,$MF89=0),0,$NB89+3*IF(AND($MX89&lt;&gt;"",OR($MX89=INDEX($EF$2:$EF$13,$MB89),$MX89=INDEX($EG$2:$EG$13,$MB89))),1,0))</f>
        <v/>
      </c>
      <c r="NH89" s="152">
        <f>IF(OR($NC89=0,$MF89=0),0,$NC89+3*IF(AND($MY89&lt;&gt;"",OR($MY89=INDEX($EF$2:$EF$13,$MB89),$MY89=INDEX($EG$2:$EG$13,$MB89))),1,0))</f>
        <v/>
      </c>
      <c r="NI89" s="152">
        <f>IF(OR($ND89=0,$MF89=0),0,$ND89+3*IF(AND($MZ89&lt;&gt;"",OR($MZ89=INDEX($EF$2:$EF$13,$MB89),$MZ89=INDEX($EG$2:$EG$13,$MB89))),1,0))</f>
        <v/>
      </c>
      <c r="NJ89" s="152">
        <f>IF(OR($NE89=0,$MF89=0),0,$NE89+3*IF(AND($NA89&lt;&gt;"",OR($NA89=INDEX($EF$2:$EF$13,$MB89),$NA89=INDEX($EG$2:$EG$13,$MB89))),1,0))</f>
        <v/>
      </c>
      <c r="NK89" s="152">
        <f>IF($MW89=0,0,IF(INDEX($W$2:$W$11,$MW89)="",0,IF(COUNTIF(INDEX($EF$2:$EJ$13,$MB89,0),INDEX($W$2:$W$11,$MW89))=0,1,0)))</f>
        <v/>
      </c>
      <c r="NL89" s="152">
        <f>IF(OR($NB89=0,$MX89=""),0,IF(COUNTIF(INDEX($EF$2:$EJ$13,$MB89,0),$MX89)=0,1,0))</f>
        <v/>
      </c>
      <c r="NM89" s="152">
        <f>IF(OR($NC89=0,$MY89=""),0,IF(COUNTIF(INDEX($EF$2:$EJ$13,$MB89,0),$MY89)=0,1,0))</f>
        <v/>
      </c>
      <c r="NN89" s="152">
        <f>IF(OR($ND89=0,$MZ89=""),0,IF(COUNTIF(INDEX($EF$2:$EJ$13,$MB89,0),$MZ89)=0,1,0))</f>
        <v/>
      </c>
      <c r="NO89" s="152">
        <f>IF(OR($NE89=0,$NA89=""),0,IF(COUNTIF(INDEX($EF$2:$EJ$13,$MB89,0),$NA89)=0,1,0))</f>
        <v/>
      </c>
      <c r="NP89" s="152">
        <f>IFERROR(VLOOKUP($MK89,$AV$2:$BA$84,4,FALSE),0)+IFERROR(VLOOKUP($ML89,$AV$2:$BA$84,4,FALSE),0)+IFERROR(VLOOKUP($MM89,$AV$2:$BA$84,4,FALSE),0)+IFERROR(VLOOKUP($MN89,$AV$2:$BA$84,4,FALSE),0)</f>
        <v/>
      </c>
      <c r="NQ89" s="152">
        <f>IFERROR(VLOOKUP($MK89,$AV$2:$BA$84,6,FALSE),0)+IFERROR(VLOOKUP($ML89,$AV$2:$BA$84,6,FALSE),0)+IFERROR(VLOOKUP($MM89,$AV$2:$BA$84,6,FALSE),0)+IFERROR(VLOOKUP($MN89,$AV$2:$BA$84,6,FALSE),0)</f>
        <v/>
      </c>
      <c r="NR89" s="152">
        <f>TEXTJOIN(", ",TRUE,IF(IFERROR(VLOOKUP($MK89,$AV$2:$BA$84,5,FALSE),0)=1,$MK89,""),IF(IFERROR(VLOOKUP($ML89,$AV$2:$BA$84,5,FALSE),0)=1,$ML89,""),IF(IFERROR(VLOOKUP($MM89,$AV$2:$BA$84,5,FALSE),0)=1,$MM89,""),IF(IFERROR(VLOOKUP($MN89,$AV$2:$BA$84,5,FALSE),0)=1,$MN89,""))</f>
        <v/>
      </c>
      <c r="NS89" s="152">
        <f>IF($MW89=0,0,INDEX($Y$2:$Y$11,$MW89))</f>
        <v/>
      </c>
      <c r="NT89" s="152">
        <f>IF($MW89=0,0,INDEX($Z$2:$Z$11,$MW89))</f>
        <v/>
      </c>
      <c r="NU89" s="152">
        <f>IF($MW89=0,0,INDEX($AB$2:$AB$11,$MW89))</f>
        <v/>
      </c>
      <c r="NV89" s="152">
        <f>IFERROR(VLOOKUP($MO89,$BC$2:$BG$24,3,FALSE),0)</f>
        <v/>
      </c>
      <c r="NW89" s="152">
        <f>IFERROR(VLOOKUP($MP89,$BC$2:$BG$24,3,FALSE),0)</f>
        <v/>
      </c>
      <c r="NX89" s="152">
        <f>IFERROR(VLOOKUP($MO89,$BC$2:$BG$24,2,FALSE),"")</f>
        <v/>
      </c>
      <c r="NY89" s="152">
        <f>IFERROR(VLOOKUP($MP89,$BC$2:$BG$24,2,FALSE),"")</f>
        <v/>
      </c>
      <c r="NZ89" s="152">
        <f>COUNTIF($NF89:$NJ89,1)</f>
        <v/>
      </c>
      <c r="OA89" s="152">
        <f>COUNTIF($NF89:$NJ89,2)</f>
        <v/>
      </c>
      <c r="OB89" s="152">
        <f>COUNTIF($NF89:$NJ89,3)</f>
        <v/>
      </c>
      <c r="OC89" s="152">
        <f>COUNTIF($NF89:$NJ89,4)</f>
        <v/>
      </c>
      <c r="OD89" s="152">
        <f>COUNTIF($NF89:$NJ89,5)</f>
        <v/>
      </c>
      <c r="OE89" s="152">
        <f>COUNTIF($NF89:$NJ89,6)</f>
        <v/>
      </c>
      <c r="OF89" s="152">
        <f>COUNTIF($NV89:$NW89,1)</f>
        <v/>
      </c>
      <c r="OG89" s="152">
        <f>COUNTIF($NV89:$NW89,2)+$NS89</f>
        <v/>
      </c>
      <c r="OH89" s="152">
        <f>COUNTIF($MK89:$MN89,"?*")</f>
        <v/>
      </c>
      <c r="OI89" s="152">
        <f>COUNTIF($MO89:$MP89,"?*")+$NS89</f>
        <v/>
      </c>
      <c r="OJ89" s="152">
        <f>IF($MF89=0,0,SUMPRODUCT($NZ89:$OE89,INDEX($I$2:$N$8,MAX(1,$MF89),0)))</f>
        <v/>
      </c>
      <c r="OK89" s="152">
        <f>IF($MF89=0,0,$OF89*CEILING($MF89/2,1)+$OG89*$MF89)</f>
        <v/>
      </c>
      <c r="OL89" s="152">
        <f>MIN(2*$MF89,$OK89)</f>
        <v/>
      </c>
      <c r="OM89" s="152">
        <f>MIN($OL89,$OJ89)</f>
        <v/>
      </c>
      <c r="ON89" s="152">
        <f>$OL89-$OM89</f>
        <v/>
      </c>
      <c r="OO89" s="152">
        <f>IF($MF89=0,0,INDEX($P$2:$P$8,MAX(1,$MF89)))</f>
        <v/>
      </c>
      <c r="OP89" s="152">
        <f>$OO89-$OJ89+$OM89</f>
        <v/>
      </c>
      <c r="OQ89" s="152">
        <f>IF($MF89=0,MAX(0,$MT89-IF($OH89&gt;0,1,0)),MAX(0,$OP89))</f>
        <v/>
      </c>
      <c r="OR89" s="152">
        <f>IF($MF89=0,0,(IF(COUNTIF($MK89:$MN89,"Salto")&gt;0,1,0)+IF(COUNTIF($MK89:$MN89,"Queima")&gt;0,1,0)+IF(COUNTIF($MK89:$MN89,"Estilhaço")&gt;0,1,0))*FLOOR($OQ89/2,1))</f>
        <v/>
      </c>
      <c r="OS89" s="152">
        <f>MAX(0,2-SUMPRODUCT($NZ89:$OE89,$I$2:$N$2)+MIN(2,$OF89*1+$OG89*1,SUMPRODUCT($NZ89:$OE89,$I$2:$N$2)))</f>
        <v/>
      </c>
      <c r="OT89" s="152">
        <f>MAX(0,4-SUMPRODUCT($NZ89:$OE89,$I$3:$N$3)+MIN(4,$OF89*1+$OG89*2,SUMPRODUCT($NZ89:$OE89,$I$3:$N$3)))</f>
        <v/>
      </c>
      <c r="OU89" s="152">
        <f>MAX(0,6-SUMPRODUCT($NZ89:$OE89,$I$4:$N$4)+MIN(6,$OF89*2+$OG89*3,SUMPRODUCT($NZ89:$OE89,$I$4:$N$4)))</f>
        <v/>
      </c>
      <c r="OV89" s="152">
        <f>MAX(0,9-SUMPRODUCT($NZ89:$OE89,$I$5:$N$5)+MIN(8,$OF89*2+$OG89*4,SUMPRODUCT($NZ89:$OE89,$I$5:$N$5)))</f>
        <v/>
      </c>
      <c r="OW89" s="152">
        <f>MAX(0,11-SUMPRODUCT($NZ89:$OE89,$I$6:$N$6)+MIN(10,$OF89*3+$OG89*5,SUMPRODUCT($NZ89:$OE89,$I$6:$N$6)))</f>
        <v/>
      </c>
      <c r="OX89" s="152">
        <f>MAX(0,13-SUMPRODUCT($NZ89:$OE89,$I$7:$N$7)+MIN(12,$OF89*3+$OG89*6,SUMPRODUCT($NZ89:$OE89,$I$7:$N$7)))</f>
        <v/>
      </c>
      <c r="OY89" s="152">
        <f>MAX(0,16-SUMPRODUCT($NZ89:$OE89,$I$8:$N$8)+MIN(14,$OF89*4+$OG89*7,SUMPRODUCT($NZ89:$OE89,$I$8:$N$8)))</f>
        <v/>
      </c>
      <c r="OZ89" s="152">
        <f>IF($NT89=2,3*$OS89&amp;" de vida temp.",IF($NT89=3,"sem dano",IF($OS89=0,IF($NT89=1,"sem cura","sem dano"),IF($NT89=1,"cura ","")&amp;$OS89&amp;"d8")))</f>
        <v/>
      </c>
      <c r="PA89" s="152">
        <f>IF($NT89=2,3*$OT89&amp;" de vida temp.",IF($NT89=3,"sem dano",IF($OT89=0,IF($NT89=1,"sem cura","sem dano"),IF($NT89=1,"cura ","")&amp;$OT89&amp;"d8")))</f>
        <v/>
      </c>
      <c r="PB89" s="152">
        <f>IF($NT89=2,3*$OU89&amp;" de vida temp.",IF($NT89=3,"sem dano",IF($OU89=0,IF($NT89=1,"sem cura","sem dano"),IF($NT89=1,"cura ","")&amp;$OU89&amp;"d8")))</f>
        <v/>
      </c>
      <c r="PC89" s="152">
        <f>IF($NT89=2,3*$OV89&amp;" de vida temp.",IF($NT89=3,"sem dano",IF($OV89=0,IF($NT89=1,"sem cura","sem dano"),IF($NT89=1,"cura ","")&amp;$OV89&amp;"d8")))</f>
        <v/>
      </c>
      <c r="PD89" s="152">
        <f>IF($NT89=2,3*$OW89&amp;" de vida temp.",IF($NT89=3,"sem dano",IF($OW89=0,IF($NT89=1,"sem cura","sem dano"),IF($NT89=1,"cura ","")&amp;$OW89&amp;"d8")))</f>
        <v/>
      </c>
      <c r="PE89" s="152">
        <f>IF($NT89=2,3*$OX89&amp;" de vida temp.",IF($NT89=3,"sem dano",IF($OX89=0,IF($NT89=1,"sem cura","sem dano"),IF($NT89=1,"cura ","")&amp;$OX89&amp;"d8")))</f>
        <v/>
      </c>
      <c r="PF89" s="152">
        <f>IF($NT89=2,3*$OY89&amp;" de vida temp.",IF($NT89=3,"sem dano",IF($OY89=0,IF($NT89=1,"sem cura","sem dano"),IF($NT89=1,"cura ","")&amp;$OY89&amp;"d8")))</f>
        <v/>
      </c>
      <c r="PG89" s="152">
        <f>IF($MQ89=0,"",TEXTJOIN(" · ",TRUE,IF($MD89&gt;$MR89,"Este lugar abre no nível "&amp;$MD89,""),IF($MF89&gt;$MS89,"Classe "&amp;$MF89&amp;": o nível "&amp;$MR89&amp;" libera até a "&amp;$MS89,""),IF($NK89=1,"A Forma "&amp;$MH89&amp;" pede "&amp;INDEX($W$2:$W$11,$MW89)&amp;" aberta",""),IF(AND($MF89=0,$MW89&gt;0,IF($MW89=0,0,INDEX($AF$2:$AF$11,$MW89))=0),$MH89&amp;" não existe na Classe 0",""),IF($NL89=1,"Família Fechada: "&amp;$MK89,""),IF($NM89=1,"Família Fechada: "&amp;$ML89,""),IF($NN89=1,"Família Fechada: "&amp;$MM89,""),IF($NO89=1,"Família Fechada: "&amp;$MN89,""),IF(AND($MF89&gt;0,$OH89&gt;INDEX($O$2:$O$8,MAX(1,$MF89))),$OH89&amp;" Melhorias: a Classe "&amp;$MF89&amp;" aceita "&amp;INDEX($O$2:$O$8,MAX(1,$MF89)),""),IF(AND($MF89=0,$OH89&gt;1),"A básica aceita uma Melhoria",""),IF(AND($MF89=0,COUNTIF($NB89:$NE89,"&gt;1")&gt;0),"A básica só aceita Melhoria Leve",""),IF(AND($MF89&gt;0,$OI89&gt;2),$OI89&amp;" Restrições"&amp;IF($NS89=1,", contando a que a Forma "&amp;$MH89&amp;" já traz","")&amp;": o limite é 2",""),IF(AND($MF89=0,COUNTIF($MO89:$MP89,"?*")&gt;1),"A básica aceita uma Restrição Leve",""),IF(AND($MF89=0,COUNTIF($NV89:$NW89,2)&gt;0),"A básica só aceita Restrição Leve",""),IF(AND($MF89&gt;0,$OP89&lt;0),"Orçamento estourado: faltam "&amp;(-$OP89)&amp;IF($OP89&lt;-1," pontos"," ponto"),""),IF(IFERROR(VLOOKUP($MO89,$BC$2:$BG$24,4,FALSE),0)+IFERROR(VLOOKUP($MP89,$BC$2:$BG$24,4,FALSE),0)&gt;1,$NX89&amp;" e "&amp;$NY89&amp;" são as duas de frequência",""),IF(AND((COUNTIF($MK89:$MN89,"Rápido")+COUNTIF($NX89:$NY89,"Rápido"))&gt;0,(COUNTIF($MK89:$MN89,"Atrasar")+COUNTIF($NX89:$NY89,"Atrasar"))&gt;0),"Rápido não entra com Atrasar",""),IF(AND((COUNTIF($MK89:$MN89,"Reação")+COUNTIF($NX89:$NY89,"Reação"))&gt;0,(COUNTIF($MK89:$MN89,"Rápido")+COUNTIF($NX89:$NY89,"Rápido"))&gt;0),"Reação não entra com Rápido",""),IF(AND((COUNTIF($MK89:$MN89,"Reação")+COUNTIF($NX89:$NY89,"Reação"))&gt;0,(COUNTIF($MK89:$MN89,"Armado")+COUNTIF($NX89:$NY89,"Armado"))&gt;0),"Reação não entra com Armado",""),IF(AND((COUNTIF($MK89:$MN89,"Reação")+COUNTIF($NX89:$NY89,"Reação"))&gt;0,(COUNTIF($MK89:$MN89,"Atrasar")+COUNTIF($NX89:$NY89,"Atrasar"))&gt;0),"Reação não entra com Atrasar",""),IF(AND((COUNTIF($MK89:$MN89,"Reação")+COUNTIF($NX89:$NY89,"Reação"))&gt;0,(COUNTIF($MK89:$MN89,"Parado")+COUNTIF($NX89:$NY89,"Parado"))&gt;0),"Reação não entra com Parado",""),IF(AND((COUNTIF($MK89:$MN89,"Atrasar")+COUNTIF($NX89:$NY89,"Atrasar"))&gt;0,(COUNTIF($MK89:$MN89,"Parado")+COUNTIF($NX89:$NY89,"Parado"))&gt;0),"Atrasar não entra com Parado",""),IF(AND((COUNTIF($MK89:$MN89,"Armado")+COUNTIF($NX89:$NY89,"Armado"))&gt;0,(COUNTIF($MK89:$MN89,"Carregar")+COUNTIF($NX89:$NY89,"Carregar"))&gt;0),"Armado não entra com Carregar",""),IF(AND(COUNTIF($NX89:$NY89,"Corpo a Corpo")&gt;0,$NS89=0,OR($MH89="Cone",$MH89="Linha")),"Corpo a Corpo não entra em "&amp;$MH89,""),IF(AND(COUNTIF($NX89:$NY89,"Corpo a Corpo")&gt;0,$NS89=1),"A Forma "&amp;$MH89&amp;" já traz o Corpo a Corpo",""),IF(AND(COUNTIF($NX89:$NY89,"Tudo ou Nada")&gt;0,$NU89=0),"Tudo ou Nada só entra em habilidade de Teste de Resistência",""),IF(AND(COUNTIF($MK89:$MN89,"Inescapável")&gt;0,OR($OH89&gt;1,$OI89&gt;0)),"Inescapável não aceita outra peça",""),IF(AND($MF89&gt;0,$OQ89*IF(COUNTIF($MK89:$MN89,"Remate")&gt;0,1.25,1)+$OR89&gt;4*$MF89),($OQ89*IF(COUNTIF($MK89:$MN89,"Remate")&gt;0,1.25,1)+$OR89)&amp;" dados somando repetições"&amp;IF(COUNTIF($MK89:$MN89,"Remate")&gt;0," e o Remate","")&amp;": o teto da Classe "&amp;$MF89&amp;" é "&amp;4*$MF89,"")))</f>
        <v/>
      </c>
      <c r="PH89" s="152">
        <f>IF($PG89="",0,(LEN($PG89)-LEN(SUBSTITUTE($PG89," · ","")))/3+1)</f>
        <v/>
      </c>
      <c r="PI89" s="152">
        <f>IF($MQ89=0,"",TEXTJOIN(" · ",TRUE,IF($OK89&gt;2*$MF89,"A devolução parou no teto de "&amp;2*$MF89,""),IF($ON89&gt;0,"Devolução perdida: "&amp;$ON89&amp;IF($ON89&gt;1," pontos"," ponto")&amp;" sem peça para pagar",""),IF(AND($NP89&gt;0,AND($MF89&gt;0,$NT89=0),$OQ89=0),"Controle sem dano: uma rodada a mais e CD +2",""),IF(AND($NP89&gt;0,AND($MF89&gt;0,$NT89=0),$OQ89&gt;0,$OQ89&lt;=$MF89),"Controle com saldo até a Classe: uma rodada a mais",""),IF(AND($MF89&gt;0,$NR89&lt;&gt;""),"Efeito de "&amp;$NR89&amp;" pela Classe "&amp;MAX(1,$MF89-1),"")))</f>
        <v/>
      </c>
      <c r="PJ89" s="152">
        <f>IF($PI89="",0,(LEN($PI89)-LEN(SUBSTITUTE($PI89," · ","")))/3+1)</f>
        <v/>
      </c>
      <c r="PK89" s="152">
        <f>IF($MQ89=0,IF($OH89+COUNTIF($MO89:$MP89,"?*")&gt;0,"Dê um nome",""),IF($PH89&gt;0,"⚠ "&amp;$PH89&amp;IF($PH89&gt;1," erros"," erro"),IF($PJ89&gt;0,"! "&amp;$PJ89&amp;IF($PJ89&gt;1," avisos"," aviso"),"Na regra")))</f>
        <v/>
      </c>
      <c r="PL89" s="152">
        <f>IF($MQ89=0,"",IF($PH89+$PJ89=0,"Dentro das regras que a ficha confere",$PG89&amp;IF(AND($PH89&gt;0,$PJ89&gt;0)," · ","")&amp;$PI89))</f>
        <v/>
      </c>
      <c r="PM89" s="152">
        <f>IF($MD89&gt;$MR89,$ME89&amp;" · ABRE NO NÍVEL "&amp;$MD89,$ME89)</f>
        <v/>
      </c>
      <c r="PN89" s="152">
        <f>IF($MQ89=0,"",IF($MF89=0,"Sem PE",3*$MF89&amp;" PE"))</f>
        <v/>
      </c>
      <c r="PO89" s="152">
        <f>IF($MQ89=0,"",IF($MF89=0,"A atuação básica dela",IF(COUNTIF($NX89:$NY89,"Atrasar")&gt;0,"Sua Ação Completa",IF(COUNTIF($MK89:$MN89,"Rápido")&gt;0,"Sua Bônus",IF(COUNTIF($MK89:$MN89,"Reação")&gt;0,"Sua Reação","Sua Padrão")))&amp;" + a básica dela"&amp;IF(COUNTIF($MK89:$MN89,"Reação")&gt;0," e a coletiva","")&amp;IF(COUNTIF($NX89:$NY89,"Carregar")&gt;0," · em dois turnos","")))</f>
        <v/>
      </c>
      <c r="PP89" s="152">
        <f>IF($MJ89&lt;&gt;"",$MJ89,IF($MW89=0,"",INDEX($AA$2:$AA$11,$MW89)))</f>
        <v/>
      </c>
      <c r="PQ89" s="152">
        <f>IF(OR($MQ89=0,$MW89=0),"",IF(COUNTIF($MK89:$MN89,"Inescapável")&gt;0,"Automático",IF($PP89="Ataque",IF($MU89="","Ataque","Ataque "&amp;IF(($MU89+2*IF(COUNTIF($MK89:$MN89,"Precisão")&gt;0,1,0))&gt;=0,"+","−")&amp;ABS(($MU89+2*IF(COUNTIF($MK89:$MN89,"Precisão")&gt;0,1,0))))&amp;IF($NQ89&gt;0," · TR"&amp;IF($MV89="",""," CD "&amp;$MV89),""),IF(LEFT($PP89,2)="TR",$PP89&amp;IF($MV89="",""," · CD "&amp;$MV89)&amp;IF(COUNTIF($MK89:$MN89,"Certeiro")&gt;0," · metade",""),"Sem rolagem"))))</f>
        <v/>
      </c>
      <c r="PR89" s="152">
        <f>IF(OR($MQ89=0,$MW89=0),"",IF($MF89=0,IF(OR($NT89&gt;=1,$OQ89=0),"Sem dano",$OQ89&amp;"d6"&amp;IF($MI89="",""," "&amp;$MI89)),IF(OR($NT89&gt;=1,$OQ89=0),UPPER(LEFT(INDEX($OZ89:$PF89,1,MAX(1,$MF89)),1))&amp;MID(INDEX($OZ89:$PF89,1,MAX(1,$MF89)),2,99),UPPER(LEFT(INDEX($OZ89:$PF89,1,MAX(1,$MF89)),1))&amp;MID(INDEX($OZ89:$PF89,1,MAX(1,$MF89)),2,99)&amp;IF($MI89="",""," "&amp;$MI89)&amp;IF($OR89&gt;0," · +"&amp;$OR89&amp;"d8",""))))</f>
        <v/>
      </c>
      <c r="PS89" s="152">
        <f>COUNTIF($MK89:$MN89,"Longe")+3*COUNTIF($MK89:$MN89,"Muito Longe")</f>
        <v/>
      </c>
      <c r="PT89" s="152">
        <f>COUNTIF($MK89:$MN89,"Maior")+3*COUNTIF($MK89:$MN89,"Muito Maior")</f>
        <v/>
      </c>
      <c r="PU89" s="152">
        <f>IF($MW89=0,0,CHOOSE(1+INDEX($AC$2:$AC$11,$MW89),0,$PS89,$PT89,$PS89+$PT89))</f>
        <v/>
      </c>
      <c r="PV89" s="152">
        <f>IF($MW89=0,0,CHOOSE(1+INDEX($AD$2:$AD$11,$MW89),0,$PS89,$PT89,$PS89+$PT89))</f>
        <v/>
      </c>
      <c r="PW89" s="152">
        <f>IF(OR($MQ89=0,$MW89=0),"",INDEX($AI$2:$AN$41,($MW89-1)*4+IF($MF89=0,1,IF($MF89&lt;=5,2,IF($MF89=6,3,4))),1+MIN(5,$PU89))&amp;INDEX($AO$2:$AT$41,($MW89-1)*4+IF($MF89=0,1,IF($MF89&lt;=5,2,IF($MF89=6,3,4))),1+MIN(5,$PV89))&amp;IF(INDEX($AE$2:$AE$11,$MW89)=1,IF(COUNTIF($MK89:$MN89,"Mais Um")&gt;0," · +"&amp;COUNTIF($MK89:$MN89,"Mais Um")&amp;IF(COUNTIF($MK89:$MN89,"Mais Um")&gt;1," alvos"," alvo"),"")&amp;IF(COUNTIF($MK89:$MN89,"Rajada")&gt;0,IF($MF89=0," · 1 tiro"," · "&amp;(MAX(1,$MF89-1)+1)&amp;" tiros"),""),""))</f>
        <v/>
      </c>
      <c r="PX89" s="152">
        <f>IF($MQ89=0,"",IF($MF89=0,$MT89&amp;"d6"&amp;IF($OH89&gt;0," − 1 = "&amp;$OQ89&amp;"d6"," da básica do nível "&amp;$MR89),$OO89&amp;" − "&amp;$OJ89&amp;" + "&amp;$OM89&amp;" = "&amp;$OP89&amp;" · teto "&amp;4*$MF89&amp;"d8"&amp;IF($NS89=1," · a Forma devolve "&amp;$MF89,"")&amp;IF($ON89&gt;0," · perde "&amp;$ON89,"")))</f>
        <v/>
      </c>
      <c r="PY89" s="152">
        <f>IF($MQ89=0,"",IF($MF89=0,"A básica não amplia: os dados dela sobem com o nível",IF($MF89&gt;=$MS89,"Já está na maior Classe que o nível liberou",TEXTJOIN(" · ",TRUE,IF(AND(2&gt;$MF89,2&lt;=$MS89),"2 → "&amp;$PA89&amp;", 6 PE",""),IF(AND(3&gt;$MF89,3&lt;=$MS89),"3 → "&amp;$PB89&amp;", 9 PE",""),IF(AND(4&gt;$MF89,4&lt;=$MS89),"4 → "&amp;$PC89&amp;", 12 PE",""),IF(AND(5&gt;$MF89,5&lt;=$MS89),"5 → "&amp;$PD89&amp;", 15 PE",""),IF(AND(6&gt;$MF89,6&lt;=$MS89),"6 → "&amp;$PE89&amp;", 18 PE",""),IF(AND(7&gt;$MF89,7&lt;=$MS89),"7 → "&amp;$PF89&amp;", 21 PE","")))))</f>
        <v/>
      </c>
      <c r="PZ89" s="152">
        <f>IF(OR($MQ89=0,$NB89=0),"",IF($MF89=0,"−1 dado","−"&amp;INDEX($I$2:$N$8,MAX(1,$MF89),MAX(1,$NG89))&amp;" · "&amp;CHOOSE(MAX(1,$NG89),"Leve","Média","Pesada","Leve · Livre","Média · Livre","Pesada · Livre")))</f>
        <v/>
      </c>
      <c r="QA89" s="152">
        <f>IF(OR($MQ89=0,$NC89=0),"",IF($MF89=0,"−1 dado","−"&amp;INDEX($I$2:$N$8,MAX(1,$MF89),MAX(1,$NH89))&amp;" · "&amp;CHOOSE(MAX(1,$NH89),"Leve","Média","Pesada","Leve · Livre","Média · Livre","Pesada · Livre")))</f>
        <v/>
      </c>
      <c r="QB89" s="152">
        <f>IF(OR($MQ89=0,$ND89=0),"",IF($MF89=0,"−1 dado","−"&amp;INDEX($I$2:$N$8,MAX(1,$MF89),MAX(1,$NI89))&amp;" · "&amp;CHOOSE(MAX(1,$NI89),"Leve","Média","Pesada","Leve · Livre","Média · Livre","Pesada · Livre")))</f>
        <v/>
      </c>
      <c r="QC89" s="152">
        <f>IF(OR($MQ89=0,$NE89=0),"",IF($MF89=0,"−1 dado","−"&amp;INDEX($I$2:$N$8,MAX(1,$MF89),MAX(1,$NJ89))&amp;" · "&amp;CHOOSE(MAX(1,$NJ89),"Leve","Média","Pesada","Leve · Livre","Média · Livre","Pesada · Livre")))</f>
        <v/>
      </c>
      <c r="QD89" s="152">
        <f>IF(OR($MQ89=0,$MO89=""),"",IF($MF89=0,"não devolve","+"&amp;IF($NV89=1,CEILING($MF89/2,1),$MF89)))</f>
        <v/>
      </c>
      <c r="QE89" s="152">
        <f>IF(OR($MQ89=0,$MP89=""),"",IF($MF89=0,"não devolve","+"&amp;IF($NW89=1,CEILING($MF89/2,1),$MF89)))</f>
        <v/>
      </c>
    </row>
    <row r="90">
      <c r="MA90" s="150" t="inlineStr">
        <is>
          <t>Ficha 7 · Escolha da trilha 1</t>
        </is>
      </c>
      <c r="MB90" s="152" t="n">
        <v>7</v>
      </c>
      <c r="MC90" s="152" t="n">
        <v>2</v>
      </c>
      <c r="MD90" s="152" t="n">
        <v>0</v>
      </c>
      <c r="ME90" s="150" t="inlineStr">
        <is>
          <t>ESCOLHA DA TRILHA 1</t>
        </is>
      </c>
      <c r="MF90" s="152">
        <f>MAX(0,MIN(7,N('INVOCAÇÕES'!$AB$160)))</f>
        <v/>
      </c>
      <c r="MG90" s="152">
        <f>'INVOCAÇÕES'!$AC$160&amp;""</f>
        <v/>
      </c>
      <c r="MH90" s="152">
        <f>'INVOCAÇÕES'!$AB$165&amp;""</f>
        <v/>
      </c>
      <c r="MI90" s="152">
        <f>'INVOCAÇÕES'!$AB$166&amp;""</f>
        <v/>
      </c>
      <c r="MJ90" s="152">
        <f>'INVOCAÇÕES'!$AD$166&amp;""</f>
        <v/>
      </c>
      <c r="MK90" s="152">
        <f>'INVOCAÇÕES'!$AC$169&amp;""</f>
        <v/>
      </c>
      <c r="ML90" s="152">
        <f>'INVOCAÇÕES'!$AC$170&amp;""</f>
        <v/>
      </c>
      <c r="MM90" s="152">
        <f>'INVOCAÇÕES'!$AC$171&amp;""</f>
        <v/>
      </c>
      <c r="MN90" s="152">
        <f>'INVOCAÇÕES'!$AC$172&amp;""</f>
        <v/>
      </c>
      <c r="MO90" s="152">
        <f>'INVOCAÇÕES'!$AC$173&amp;""</f>
        <v/>
      </c>
      <c r="MP90" s="152">
        <f>'INVOCAÇÕES'!$AC$174&amp;""</f>
        <v/>
      </c>
      <c r="MQ90" s="152">
        <f>IF($MG90&lt;&gt;"",1,0)</f>
        <v/>
      </c>
      <c r="MR90" s="152">
        <f>INDEX($FI$2:$FI$13,$MB90)</f>
        <v/>
      </c>
      <c r="MS90" s="152">
        <f>INDEX($FJ$2:$FJ$13,$MB90)</f>
        <v/>
      </c>
      <c r="MT90" s="152">
        <f>INDEX($FK$2:$FK$13,$MB90)</f>
        <v/>
      </c>
      <c r="MU90" s="152">
        <f>INDEX($FV$2:$FV$13,$MB90)</f>
        <v/>
      </c>
      <c r="MV90" s="152">
        <f>INDEX($FW$2:$FW$13,$MB90)</f>
        <v/>
      </c>
      <c r="MW90" s="152">
        <f>IFERROR(MATCH($MH90,$V$2:$V$11,0),0)</f>
        <v/>
      </c>
      <c r="MX90" s="152">
        <f>IFERROR(VLOOKUP($MK90,$AV$2:$BA$84,2,FALSE),"")</f>
        <v/>
      </c>
      <c r="MY90" s="152">
        <f>IFERROR(VLOOKUP($ML90,$AV$2:$BA$84,2,FALSE),"")</f>
        <v/>
      </c>
      <c r="MZ90" s="152">
        <f>IFERROR(VLOOKUP($MM90,$AV$2:$BA$84,2,FALSE),"")</f>
        <v/>
      </c>
      <c r="NA90" s="152">
        <f>IFERROR(VLOOKUP($MN90,$AV$2:$BA$84,2,FALSE),"")</f>
        <v/>
      </c>
      <c r="NB90" s="152">
        <f>IFERROR(VLOOKUP($MK90,$AV$2:$BA$84,3,FALSE),0)</f>
        <v/>
      </c>
      <c r="NC90" s="152">
        <f>IFERROR(VLOOKUP($ML90,$AV$2:$BA$84,3,FALSE),0)</f>
        <v/>
      </c>
      <c r="ND90" s="152">
        <f>IFERROR(VLOOKUP($MM90,$AV$2:$BA$84,3,FALSE),0)</f>
        <v/>
      </c>
      <c r="NE90" s="152">
        <f>IFERROR(VLOOKUP($MN90,$AV$2:$BA$84,3,FALSE),0)</f>
        <v/>
      </c>
      <c r="NF90" s="152">
        <f>IF($MF90=0,0,IF($MW90=0,0,INDEX($X$2:$X$11,$MW90)))</f>
        <v/>
      </c>
      <c r="NG90" s="152">
        <f>IF(OR($NB90=0,$MF90=0),0,$NB90+3*IF(AND($MX90&lt;&gt;"",OR($MX90=INDEX($EF$2:$EF$13,$MB90),$MX90=INDEX($EG$2:$EG$13,$MB90))),1,0))</f>
        <v/>
      </c>
      <c r="NH90" s="152">
        <f>IF(OR($NC90=0,$MF90=0),0,$NC90+3*IF(AND($MY90&lt;&gt;"",OR($MY90=INDEX($EF$2:$EF$13,$MB90),$MY90=INDEX($EG$2:$EG$13,$MB90))),1,0))</f>
        <v/>
      </c>
      <c r="NI90" s="152">
        <f>IF(OR($ND90=0,$MF90=0),0,$ND90+3*IF(AND($MZ90&lt;&gt;"",OR($MZ90=INDEX($EF$2:$EF$13,$MB90),$MZ90=INDEX($EG$2:$EG$13,$MB90))),1,0))</f>
        <v/>
      </c>
      <c r="NJ90" s="152">
        <f>IF(OR($NE90=0,$MF90=0),0,$NE90+3*IF(AND($NA90&lt;&gt;"",OR($NA90=INDEX($EF$2:$EF$13,$MB90),$NA90=INDEX($EG$2:$EG$13,$MB90))),1,0))</f>
        <v/>
      </c>
      <c r="NK90" s="152">
        <f>IF($MW90=0,0,IF(INDEX($W$2:$W$11,$MW90)="",0,IF(COUNTIF(INDEX($EF$2:$EJ$13,$MB90,0),INDEX($W$2:$W$11,$MW90))=0,1,0)))</f>
        <v/>
      </c>
      <c r="NL90" s="152">
        <f>IF(OR($NB90=0,$MX90=""),0,IF(COUNTIF(INDEX($EF$2:$EJ$13,$MB90,0),$MX90)=0,1,0))</f>
        <v/>
      </c>
      <c r="NM90" s="152">
        <f>IF(OR($NC90=0,$MY90=""),0,IF(COUNTIF(INDEX($EF$2:$EJ$13,$MB90,0),$MY90)=0,1,0))</f>
        <v/>
      </c>
      <c r="NN90" s="152">
        <f>IF(OR($ND90=0,$MZ90=""),0,IF(COUNTIF(INDEX($EF$2:$EJ$13,$MB90,0),$MZ90)=0,1,0))</f>
        <v/>
      </c>
      <c r="NO90" s="152">
        <f>IF(OR($NE90=0,$NA90=""),0,IF(COUNTIF(INDEX($EF$2:$EJ$13,$MB90,0),$NA90)=0,1,0))</f>
        <v/>
      </c>
      <c r="NP90" s="152">
        <f>IFERROR(VLOOKUP($MK90,$AV$2:$BA$84,4,FALSE),0)+IFERROR(VLOOKUP($ML90,$AV$2:$BA$84,4,FALSE),0)+IFERROR(VLOOKUP($MM90,$AV$2:$BA$84,4,FALSE),0)+IFERROR(VLOOKUP($MN90,$AV$2:$BA$84,4,FALSE),0)</f>
        <v/>
      </c>
      <c r="NQ90" s="152">
        <f>IFERROR(VLOOKUP($MK90,$AV$2:$BA$84,6,FALSE),0)+IFERROR(VLOOKUP($ML90,$AV$2:$BA$84,6,FALSE),0)+IFERROR(VLOOKUP($MM90,$AV$2:$BA$84,6,FALSE),0)+IFERROR(VLOOKUP($MN90,$AV$2:$BA$84,6,FALSE),0)</f>
        <v/>
      </c>
      <c r="NR90" s="152">
        <f>TEXTJOIN(", ",TRUE,IF(IFERROR(VLOOKUP($MK90,$AV$2:$BA$84,5,FALSE),0)=1,$MK90,""),IF(IFERROR(VLOOKUP($ML90,$AV$2:$BA$84,5,FALSE),0)=1,$ML90,""),IF(IFERROR(VLOOKUP($MM90,$AV$2:$BA$84,5,FALSE),0)=1,$MM90,""),IF(IFERROR(VLOOKUP($MN90,$AV$2:$BA$84,5,FALSE),0)=1,$MN90,""))</f>
        <v/>
      </c>
      <c r="NS90" s="152">
        <f>IF($MW90=0,0,INDEX($Y$2:$Y$11,$MW90))</f>
        <v/>
      </c>
      <c r="NT90" s="152">
        <f>IF($MW90=0,0,INDEX($Z$2:$Z$11,$MW90))</f>
        <v/>
      </c>
      <c r="NU90" s="152">
        <f>IF($MW90=0,0,INDEX($AB$2:$AB$11,$MW90))</f>
        <v/>
      </c>
      <c r="NV90" s="152">
        <f>IFERROR(VLOOKUP($MO90,$BC$2:$BG$24,3,FALSE),0)</f>
        <v/>
      </c>
      <c r="NW90" s="152">
        <f>IFERROR(VLOOKUP($MP90,$BC$2:$BG$24,3,FALSE),0)</f>
        <v/>
      </c>
      <c r="NX90" s="152">
        <f>IFERROR(VLOOKUP($MO90,$BC$2:$BG$24,2,FALSE),"")</f>
        <v/>
      </c>
      <c r="NY90" s="152">
        <f>IFERROR(VLOOKUP($MP90,$BC$2:$BG$24,2,FALSE),"")</f>
        <v/>
      </c>
      <c r="NZ90" s="152">
        <f>COUNTIF($NF90:$NJ90,1)</f>
        <v/>
      </c>
      <c r="OA90" s="152">
        <f>COUNTIF($NF90:$NJ90,2)</f>
        <v/>
      </c>
      <c r="OB90" s="152">
        <f>COUNTIF($NF90:$NJ90,3)</f>
        <v/>
      </c>
      <c r="OC90" s="152">
        <f>COUNTIF($NF90:$NJ90,4)</f>
        <v/>
      </c>
      <c r="OD90" s="152">
        <f>COUNTIF($NF90:$NJ90,5)</f>
        <v/>
      </c>
      <c r="OE90" s="152">
        <f>COUNTIF($NF90:$NJ90,6)</f>
        <v/>
      </c>
      <c r="OF90" s="152">
        <f>COUNTIF($NV90:$NW90,1)</f>
        <v/>
      </c>
      <c r="OG90" s="152">
        <f>COUNTIF($NV90:$NW90,2)+$NS90</f>
        <v/>
      </c>
      <c r="OH90" s="152">
        <f>COUNTIF($MK90:$MN90,"?*")</f>
        <v/>
      </c>
      <c r="OI90" s="152">
        <f>COUNTIF($MO90:$MP90,"?*")+$NS90</f>
        <v/>
      </c>
      <c r="OJ90" s="152">
        <f>IF($MF90=0,0,SUMPRODUCT($NZ90:$OE90,INDEX($I$2:$N$8,MAX(1,$MF90),0)))</f>
        <v/>
      </c>
      <c r="OK90" s="152">
        <f>IF($MF90=0,0,$OF90*CEILING($MF90/2,1)+$OG90*$MF90)</f>
        <v/>
      </c>
      <c r="OL90" s="152">
        <f>MIN(2*$MF90,$OK90)</f>
        <v/>
      </c>
      <c r="OM90" s="152">
        <f>MIN($OL90,$OJ90)</f>
        <v/>
      </c>
      <c r="ON90" s="152">
        <f>$OL90-$OM90</f>
        <v/>
      </c>
      <c r="OO90" s="152">
        <f>IF($MF90=0,0,INDEX($P$2:$P$8,MAX(1,$MF90)))</f>
        <v/>
      </c>
      <c r="OP90" s="152">
        <f>$OO90-$OJ90+$OM90</f>
        <v/>
      </c>
      <c r="OQ90" s="152">
        <f>IF($MF90=0,MAX(0,$MT90-IF($OH90&gt;0,1,0)),MAX(0,$OP90))</f>
        <v/>
      </c>
      <c r="OR90" s="152">
        <f>IF($MF90=0,0,(IF(COUNTIF($MK90:$MN90,"Salto")&gt;0,1,0)+IF(COUNTIF($MK90:$MN90,"Queima")&gt;0,1,0)+IF(COUNTIF($MK90:$MN90,"Estilhaço")&gt;0,1,0))*FLOOR($OQ90/2,1))</f>
        <v/>
      </c>
      <c r="OS90" s="152">
        <f>MAX(0,2-SUMPRODUCT($NZ90:$OE90,$I$2:$N$2)+MIN(2,$OF90*1+$OG90*1,SUMPRODUCT($NZ90:$OE90,$I$2:$N$2)))</f>
        <v/>
      </c>
      <c r="OT90" s="152">
        <f>MAX(0,4-SUMPRODUCT($NZ90:$OE90,$I$3:$N$3)+MIN(4,$OF90*1+$OG90*2,SUMPRODUCT($NZ90:$OE90,$I$3:$N$3)))</f>
        <v/>
      </c>
      <c r="OU90" s="152">
        <f>MAX(0,6-SUMPRODUCT($NZ90:$OE90,$I$4:$N$4)+MIN(6,$OF90*2+$OG90*3,SUMPRODUCT($NZ90:$OE90,$I$4:$N$4)))</f>
        <v/>
      </c>
      <c r="OV90" s="152">
        <f>MAX(0,9-SUMPRODUCT($NZ90:$OE90,$I$5:$N$5)+MIN(8,$OF90*2+$OG90*4,SUMPRODUCT($NZ90:$OE90,$I$5:$N$5)))</f>
        <v/>
      </c>
      <c r="OW90" s="152">
        <f>MAX(0,11-SUMPRODUCT($NZ90:$OE90,$I$6:$N$6)+MIN(10,$OF90*3+$OG90*5,SUMPRODUCT($NZ90:$OE90,$I$6:$N$6)))</f>
        <v/>
      </c>
      <c r="OX90" s="152">
        <f>MAX(0,13-SUMPRODUCT($NZ90:$OE90,$I$7:$N$7)+MIN(12,$OF90*3+$OG90*6,SUMPRODUCT($NZ90:$OE90,$I$7:$N$7)))</f>
        <v/>
      </c>
      <c r="OY90" s="152">
        <f>MAX(0,16-SUMPRODUCT($NZ90:$OE90,$I$8:$N$8)+MIN(14,$OF90*4+$OG90*7,SUMPRODUCT($NZ90:$OE90,$I$8:$N$8)))</f>
        <v/>
      </c>
      <c r="OZ90" s="152">
        <f>IF($NT90=2,3*$OS90&amp;" de vida temp.",IF($NT90=3,"sem dano",IF($OS90=0,IF($NT90=1,"sem cura","sem dano"),IF($NT90=1,"cura ","")&amp;$OS90&amp;"d8")))</f>
        <v/>
      </c>
      <c r="PA90" s="152">
        <f>IF($NT90=2,3*$OT90&amp;" de vida temp.",IF($NT90=3,"sem dano",IF($OT90=0,IF($NT90=1,"sem cura","sem dano"),IF($NT90=1,"cura ","")&amp;$OT90&amp;"d8")))</f>
        <v/>
      </c>
      <c r="PB90" s="152">
        <f>IF($NT90=2,3*$OU90&amp;" de vida temp.",IF($NT90=3,"sem dano",IF($OU90=0,IF($NT90=1,"sem cura","sem dano"),IF($NT90=1,"cura ","")&amp;$OU90&amp;"d8")))</f>
        <v/>
      </c>
      <c r="PC90" s="152">
        <f>IF($NT90=2,3*$OV90&amp;" de vida temp.",IF($NT90=3,"sem dano",IF($OV90=0,IF($NT90=1,"sem cura","sem dano"),IF($NT90=1,"cura ","")&amp;$OV90&amp;"d8")))</f>
        <v/>
      </c>
      <c r="PD90" s="152">
        <f>IF($NT90=2,3*$OW90&amp;" de vida temp.",IF($NT90=3,"sem dano",IF($OW90=0,IF($NT90=1,"sem cura","sem dano"),IF($NT90=1,"cura ","")&amp;$OW90&amp;"d8")))</f>
        <v/>
      </c>
      <c r="PE90" s="152">
        <f>IF($NT90=2,3*$OX90&amp;" de vida temp.",IF($NT90=3,"sem dano",IF($OX90=0,IF($NT90=1,"sem cura","sem dano"),IF($NT90=1,"cura ","")&amp;$OX90&amp;"d8")))</f>
        <v/>
      </c>
      <c r="PF90" s="152">
        <f>IF($NT90=2,3*$OY90&amp;" de vida temp.",IF($NT90=3,"sem dano",IF($OY90=0,IF($NT90=1,"sem cura","sem dano"),IF($NT90=1,"cura ","")&amp;$OY90&amp;"d8")))</f>
        <v/>
      </c>
      <c r="PG90" s="152">
        <f>IF($MQ90=0,"",TEXTJOIN(" · ",TRUE,IF($MD90&gt;$MR90,"Este lugar abre no nível "&amp;$MD90,""),IF($MF90&gt;$MS90,"Classe "&amp;$MF90&amp;": o nível "&amp;$MR90&amp;" libera até a "&amp;$MS90,""),IF($NK90=1,"A Forma "&amp;$MH90&amp;" pede "&amp;INDEX($W$2:$W$11,$MW90)&amp;" aberta",""),IF(AND($MF90=0,$MW90&gt;0,IF($MW90=0,0,INDEX($AF$2:$AF$11,$MW90))=0),$MH90&amp;" não existe na Classe 0",""),IF($NL90=1,"Família Fechada: "&amp;$MK90,""),IF($NM90=1,"Família Fechada: "&amp;$ML90,""),IF($NN90=1,"Família Fechada: "&amp;$MM90,""),IF($NO90=1,"Família Fechada: "&amp;$MN90,""),IF(AND($MF90&gt;0,$OH90&gt;INDEX($O$2:$O$8,MAX(1,$MF90))),$OH90&amp;" Melhorias: a Classe "&amp;$MF90&amp;" aceita "&amp;INDEX($O$2:$O$8,MAX(1,$MF90)),""),IF(AND($MF90=0,$OH90&gt;1),"A básica aceita uma Melhoria",""),IF(AND($MF90=0,COUNTIF($NB90:$NE90,"&gt;1")&gt;0),"A básica só aceita Melhoria Leve",""),IF(AND($MF90&gt;0,$OI90&gt;2),$OI90&amp;" Restrições"&amp;IF($NS90=1,", contando a que a Forma "&amp;$MH90&amp;" já traz","")&amp;": o limite é 2",""),IF(AND($MF90=0,COUNTIF($MO90:$MP90,"?*")&gt;1),"A básica aceita uma Restrição Leve",""),IF(AND($MF90=0,COUNTIF($NV90:$NW90,2)&gt;0),"A básica só aceita Restrição Leve",""),IF(AND($MF90&gt;0,$OP90&lt;0),"Orçamento estourado: faltam "&amp;(-$OP90)&amp;IF($OP90&lt;-1," pontos"," ponto"),""),IF(IFERROR(VLOOKUP($MO90,$BC$2:$BG$24,4,FALSE),0)+IFERROR(VLOOKUP($MP90,$BC$2:$BG$24,4,FALSE),0)&gt;1,$NX90&amp;" e "&amp;$NY90&amp;" são as duas de frequência",""),IF(AND((COUNTIF($MK90:$MN90,"Rápido")+COUNTIF($NX90:$NY90,"Rápido"))&gt;0,(COUNTIF($MK90:$MN90,"Atrasar")+COUNTIF($NX90:$NY90,"Atrasar"))&gt;0),"Rápido não entra com Atrasar",""),IF(AND((COUNTIF($MK90:$MN90,"Reação")+COUNTIF($NX90:$NY90,"Reação"))&gt;0,(COUNTIF($MK90:$MN90,"Rápido")+COUNTIF($NX90:$NY90,"Rápido"))&gt;0),"Reação não entra com Rápido",""),IF(AND((COUNTIF($MK90:$MN90,"Reação")+COUNTIF($NX90:$NY90,"Reação"))&gt;0,(COUNTIF($MK90:$MN90,"Armado")+COUNTIF($NX90:$NY90,"Armado"))&gt;0),"Reação não entra com Armado",""),IF(AND((COUNTIF($MK90:$MN90,"Reação")+COUNTIF($NX90:$NY90,"Reação"))&gt;0,(COUNTIF($MK90:$MN90,"Atrasar")+COUNTIF($NX90:$NY90,"Atrasar"))&gt;0),"Reação não entra com Atrasar",""),IF(AND((COUNTIF($MK90:$MN90,"Reação")+COUNTIF($NX90:$NY90,"Reação"))&gt;0,(COUNTIF($MK90:$MN90,"Parado")+COUNTIF($NX90:$NY90,"Parado"))&gt;0),"Reação não entra com Parado",""),IF(AND((COUNTIF($MK90:$MN90,"Atrasar")+COUNTIF($NX90:$NY90,"Atrasar"))&gt;0,(COUNTIF($MK90:$MN90,"Parado")+COUNTIF($NX90:$NY90,"Parado"))&gt;0),"Atrasar não entra com Parado",""),IF(AND((COUNTIF($MK90:$MN90,"Armado")+COUNTIF($NX90:$NY90,"Armado"))&gt;0,(COUNTIF($MK90:$MN90,"Carregar")+COUNTIF($NX90:$NY90,"Carregar"))&gt;0),"Armado não entra com Carregar",""),IF(AND(COUNTIF($NX90:$NY90,"Corpo a Corpo")&gt;0,$NS90=0,OR($MH90="Cone",$MH90="Linha")),"Corpo a Corpo não entra em "&amp;$MH90,""),IF(AND(COUNTIF($NX90:$NY90,"Corpo a Corpo")&gt;0,$NS90=1),"A Forma "&amp;$MH90&amp;" já traz o Corpo a Corpo",""),IF(AND(COUNTIF($NX90:$NY90,"Tudo ou Nada")&gt;0,$NU90=0),"Tudo ou Nada só entra em habilidade de Teste de Resistência",""),IF(AND(COUNTIF($MK90:$MN90,"Inescapável")&gt;0,OR($OH90&gt;1,$OI90&gt;0)),"Inescapável não aceita outra peça",""),IF(AND($MF90&gt;0,$OQ90*IF(COUNTIF($MK90:$MN90,"Remate")&gt;0,1.25,1)+$OR90&gt;4*$MF90),($OQ90*IF(COUNTIF($MK90:$MN90,"Remate")&gt;0,1.25,1)+$OR90)&amp;" dados somando repetições"&amp;IF(COUNTIF($MK90:$MN90,"Remate")&gt;0," e o Remate","")&amp;": o teto da Classe "&amp;$MF90&amp;" é "&amp;4*$MF90,"")))</f>
        <v/>
      </c>
      <c r="PH90" s="152">
        <f>IF($PG90="",0,(LEN($PG90)-LEN(SUBSTITUTE($PG90," · ","")))/3+1)</f>
        <v/>
      </c>
      <c r="PI90" s="152">
        <f>IF($MQ90=0,"",TEXTJOIN(" · ",TRUE,IF($OK90&gt;2*$MF90,"A devolução parou no teto de "&amp;2*$MF90,""),IF($ON90&gt;0,"Devolução perdida: "&amp;$ON90&amp;IF($ON90&gt;1," pontos"," ponto")&amp;" sem peça para pagar",""),IF(AND($NP90&gt;0,AND($MF90&gt;0,$NT90=0),$OQ90=0),"Controle sem dano: uma rodada a mais e CD +2",""),IF(AND($NP90&gt;0,AND($MF90&gt;0,$NT90=0),$OQ90&gt;0,$OQ90&lt;=$MF90),"Controle com saldo até a Classe: uma rodada a mais",""),IF(AND($MF90&gt;0,$NR90&lt;&gt;""),"Efeito de "&amp;$NR90&amp;" pela Classe "&amp;MAX(1,$MF90-1),"")))</f>
        <v/>
      </c>
      <c r="PJ90" s="152">
        <f>IF($PI90="",0,(LEN($PI90)-LEN(SUBSTITUTE($PI90," · ","")))/3+1)</f>
        <v/>
      </c>
      <c r="PK90" s="152">
        <f>IF($MQ90=0,IF($OH90+COUNTIF($MO90:$MP90,"?*")&gt;0,"Dê um nome",""),IF($PH90&gt;0,"⚠ "&amp;$PH90&amp;IF($PH90&gt;1," erros"," erro"),IF($PJ90&gt;0,"! "&amp;$PJ90&amp;IF($PJ90&gt;1," avisos"," aviso"),"Na regra")))</f>
        <v/>
      </c>
      <c r="PL90" s="152">
        <f>IF($MQ90=0,"",IF($PH90+$PJ90=0,"Dentro das regras que a ficha confere",$PG90&amp;IF(AND($PH90&gt;0,$PJ90&gt;0)," · ","")&amp;$PI90))</f>
        <v/>
      </c>
      <c r="PM90" s="152">
        <f>IF($MD90&gt;$MR90,$ME90&amp;" · ABRE NO NÍVEL "&amp;$MD90,$ME90)</f>
        <v/>
      </c>
      <c r="PN90" s="152">
        <f>IF($MQ90=0,"",IF($MF90=0,"Sem PE",3*$MF90&amp;" PE"))</f>
        <v/>
      </c>
      <c r="PO90" s="152">
        <f>IF($MQ90=0,"",IF($MF90=0,"A atuação básica dela",IF(COUNTIF($NX90:$NY90,"Atrasar")&gt;0,"Sua Ação Completa",IF(COUNTIF($MK90:$MN90,"Rápido")&gt;0,"Sua Bônus",IF(COUNTIF($MK90:$MN90,"Reação")&gt;0,"Sua Reação","Sua Padrão")))&amp;" + a básica dela"&amp;IF(COUNTIF($MK90:$MN90,"Reação")&gt;0," e a coletiva","")&amp;IF(COUNTIF($NX90:$NY90,"Carregar")&gt;0," · em dois turnos","")))</f>
        <v/>
      </c>
      <c r="PP90" s="152">
        <f>IF($MJ90&lt;&gt;"",$MJ90,IF($MW90=0,"",INDEX($AA$2:$AA$11,$MW90)))</f>
        <v/>
      </c>
      <c r="PQ90" s="152">
        <f>IF(OR($MQ90=0,$MW90=0),"",IF(COUNTIF($MK90:$MN90,"Inescapável")&gt;0,"Automático",IF($PP90="Ataque",IF($MU90="","Ataque","Ataque "&amp;IF(($MU90+2*IF(COUNTIF($MK90:$MN90,"Precisão")&gt;0,1,0))&gt;=0,"+","−")&amp;ABS(($MU90+2*IF(COUNTIF($MK90:$MN90,"Precisão")&gt;0,1,0))))&amp;IF($NQ90&gt;0," · TR"&amp;IF($MV90="",""," CD "&amp;$MV90),""),IF(LEFT($PP90,2)="TR",$PP90&amp;IF($MV90="",""," · CD "&amp;$MV90)&amp;IF(COUNTIF($MK90:$MN90,"Certeiro")&gt;0," · metade",""),"Sem rolagem"))))</f>
        <v/>
      </c>
      <c r="PR90" s="152">
        <f>IF(OR($MQ90=0,$MW90=0),"",IF($MF90=0,IF(OR($NT90&gt;=1,$OQ90=0),"Sem dano",$OQ90&amp;"d6"&amp;IF($MI90="",""," "&amp;$MI90)),IF(OR($NT90&gt;=1,$OQ90=0),UPPER(LEFT(INDEX($OZ90:$PF90,1,MAX(1,$MF90)),1))&amp;MID(INDEX($OZ90:$PF90,1,MAX(1,$MF90)),2,99),UPPER(LEFT(INDEX($OZ90:$PF90,1,MAX(1,$MF90)),1))&amp;MID(INDEX($OZ90:$PF90,1,MAX(1,$MF90)),2,99)&amp;IF($MI90="",""," "&amp;$MI90)&amp;IF($OR90&gt;0," · +"&amp;$OR90&amp;"d8",""))))</f>
        <v/>
      </c>
      <c r="PS90" s="152">
        <f>COUNTIF($MK90:$MN90,"Longe")+3*COUNTIF($MK90:$MN90,"Muito Longe")</f>
        <v/>
      </c>
      <c r="PT90" s="152">
        <f>COUNTIF($MK90:$MN90,"Maior")+3*COUNTIF($MK90:$MN90,"Muito Maior")</f>
        <v/>
      </c>
      <c r="PU90" s="152">
        <f>IF($MW90=0,0,CHOOSE(1+INDEX($AC$2:$AC$11,$MW90),0,$PS90,$PT90,$PS90+$PT90))</f>
        <v/>
      </c>
      <c r="PV90" s="152">
        <f>IF($MW90=0,0,CHOOSE(1+INDEX($AD$2:$AD$11,$MW90),0,$PS90,$PT90,$PS90+$PT90))</f>
        <v/>
      </c>
      <c r="PW90" s="152">
        <f>IF(OR($MQ90=0,$MW90=0),"",INDEX($AI$2:$AN$41,($MW90-1)*4+IF($MF90=0,1,IF($MF90&lt;=5,2,IF($MF90=6,3,4))),1+MIN(5,$PU90))&amp;INDEX($AO$2:$AT$41,($MW90-1)*4+IF($MF90=0,1,IF($MF90&lt;=5,2,IF($MF90=6,3,4))),1+MIN(5,$PV90))&amp;IF(INDEX($AE$2:$AE$11,$MW90)=1,IF(COUNTIF($MK90:$MN90,"Mais Um")&gt;0," · +"&amp;COUNTIF($MK90:$MN90,"Mais Um")&amp;IF(COUNTIF($MK90:$MN90,"Mais Um")&gt;1," alvos"," alvo"),"")&amp;IF(COUNTIF($MK90:$MN90,"Rajada")&gt;0,IF($MF90=0," · 1 tiro"," · "&amp;(MAX(1,$MF90-1)+1)&amp;" tiros"),""),""))</f>
        <v/>
      </c>
      <c r="PX90" s="152">
        <f>IF($MQ90=0,"",IF($MF90=0,$MT90&amp;"d6"&amp;IF($OH90&gt;0," − 1 = "&amp;$OQ90&amp;"d6"," da básica do nível "&amp;$MR90),$OO90&amp;" − "&amp;$OJ90&amp;" + "&amp;$OM90&amp;" = "&amp;$OP90&amp;" · teto "&amp;4*$MF90&amp;"d8"&amp;IF($NS90=1," · a Forma devolve "&amp;$MF90,"")&amp;IF($ON90&gt;0," · perde "&amp;$ON90,"")))</f>
        <v/>
      </c>
      <c r="PY90" s="152">
        <f>IF($MQ90=0,"",IF($MF90=0,"A básica não amplia: os dados dela sobem com o nível",IF($MF90&gt;=$MS90,"Já está na maior Classe que o nível liberou",TEXTJOIN(" · ",TRUE,IF(AND(2&gt;$MF90,2&lt;=$MS90),"2 → "&amp;$PA90&amp;", 6 PE",""),IF(AND(3&gt;$MF90,3&lt;=$MS90),"3 → "&amp;$PB90&amp;", 9 PE",""),IF(AND(4&gt;$MF90,4&lt;=$MS90),"4 → "&amp;$PC90&amp;", 12 PE",""),IF(AND(5&gt;$MF90,5&lt;=$MS90),"5 → "&amp;$PD90&amp;", 15 PE",""),IF(AND(6&gt;$MF90,6&lt;=$MS90),"6 → "&amp;$PE90&amp;", 18 PE",""),IF(AND(7&gt;$MF90,7&lt;=$MS90),"7 → "&amp;$PF90&amp;", 21 PE","")))))</f>
        <v/>
      </c>
      <c r="PZ90" s="152">
        <f>IF(OR($MQ90=0,$NB90=0),"",IF($MF90=0,"−1 dado","−"&amp;INDEX($I$2:$N$8,MAX(1,$MF90),MAX(1,$NG90))&amp;" · "&amp;CHOOSE(MAX(1,$NG90),"Leve","Média","Pesada","Leve · Livre","Média · Livre","Pesada · Livre")))</f>
        <v/>
      </c>
      <c r="QA90" s="152">
        <f>IF(OR($MQ90=0,$NC90=0),"",IF($MF90=0,"−1 dado","−"&amp;INDEX($I$2:$N$8,MAX(1,$MF90),MAX(1,$NH90))&amp;" · "&amp;CHOOSE(MAX(1,$NH90),"Leve","Média","Pesada","Leve · Livre","Média · Livre","Pesada · Livre")))</f>
        <v/>
      </c>
      <c r="QB90" s="152">
        <f>IF(OR($MQ90=0,$ND90=0),"",IF($MF90=0,"−1 dado","−"&amp;INDEX($I$2:$N$8,MAX(1,$MF90),MAX(1,$NI90))&amp;" · "&amp;CHOOSE(MAX(1,$NI90),"Leve","Média","Pesada","Leve · Livre","Média · Livre","Pesada · Livre")))</f>
        <v/>
      </c>
      <c r="QC90" s="152">
        <f>IF(OR($MQ90=0,$NE90=0),"",IF($MF90=0,"−1 dado","−"&amp;INDEX($I$2:$N$8,MAX(1,$MF90),MAX(1,$NJ90))&amp;" · "&amp;CHOOSE(MAX(1,$NJ90),"Leve","Média","Pesada","Leve · Livre","Média · Livre","Pesada · Livre")))</f>
        <v/>
      </c>
      <c r="QD90" s="152">
        <f>IF(OR($MQ90=0,$MO90=""),"",IF($MF90=0,"não devolve","+"&amp;IF($NV90=1,CEILING($MF90/2,1),$MF90)))</f>
        <v/>
      </c>
      <c r="QE90" s="152">
        <f>IF(OR($MQ90=0,$MP90=""),"",IF($MF90=0,"não devolve","+"&amp;IF($NW90=1,CEILING($MF90/2,1),$MF90)))</f>
        <v/>
      </c>
    </row>
    <row r="91">
      <c r="MA91" s="150" t="inlineStr">
        <is>
          <t>Ficha 7 · Escolha da trilha 2</t>
        </is>
      </c>
      <c r="MB91" s="152" t="n">
        <v>7</v>
      </c>
      <c r="MC91" s="152" t="n">
        <v>2</v>
      </c>
      <c r="MD91" s="152" t="n">
        <v>0</v>
      </c>
      <c r="ME91" s="150" t="inlineStr">
        <is>
          <t>ESCOLHA DA TRILHA 2</t>
        </is>
      </c>
      <c r="MF91" s="152">
        <f>MAX(0,MIN(7,N('INVOCAÇÕES'!$AH$160)))</f>
        <v/>
      </c>
      <c r="MG91" s="152">
        <f>'INVOCAÇÕES'!$AI$160&amp;""</f>
        <v/>
      </c>
      <c r="MH91" s="152">
        <f>'INVOCAÇÕES'!$AH$165&amp;""</f>
        <v/>
      </c>
      <c r="MI91" s="152">
        <f>'INVOCAÇÕES'!$AH$166&amp;""</f>
        <v/>
      </c>
      <c r="MJ91" s="152">
        <f>'INVOCAÇÕES'!$AJ$166&amp;""</f>
        <v/>
      </c>
      <c r="MK91" s="152">
        <f>'INVOCAÇÕES'!$AI$169&amp;""</f>
        <v/>
      </c>
      <c r="ML91" s="152">
        <f>'INVOCAÇÕES'!$AI$170&amp;""</f>
        <v/>
      </c>
      <c r="MM91" s="152">
        <f>'INVOCAÇÕES'!$AI$171&amp;""</f>
        <v/>
      </c>
      <c r="MN91" s="152">
        <f>'INVOCAÇÕES'!$AI$172&amp;""</f>
        <v/>
      </c>
      <c r="MO91" s="152">
        <f>'INVOCAÇÕES'!$AI$173&amp;""</f>
        <v/>
      </c>
      <c r="MP91" s="152">
        <f>'INVOCAÇÕES'!$AI$174&amp;""</f>
        <v/>
      </c>
      <c r="MQ91" s="152">
        <f>IF($MG91&lt;&gt;"",1,0)</f>
        <v/>
      </c>
      <c r="MR91" s="152">
        <f>INDEX($FI$2:$FI$13,$MB91)</f>
        <v/>
      </c>
      <c r="MS91" s="152">
        <f>INDEX($FJ$2:$FJ$13,$MB91)</f>
        <v/>
      </c>
      <c r="MT91" s="152">
        <f>INDEX($FK$2:$FK$13,$MB91)</f>
        <v/>
      </c>
      <c r="MU91" s="152">
        <f>INDEX($FV$2:$FV$13,$MB91)</f>
        <v/>
      </c>
      <c r="MV91" s="152">
        <f>INDEX($FW$2:$FW$13,$MB91)</f>
        <v/>
      </c>
      <c r="MW91" s="152">
        <f>IFERROR(MATCH($MH91,$V$2:$V$11,0),0)</f>
        <v/>
      </c>
      <c r="MX91" s="152">
        <f>IFERROR(VLOOKUP($MK91,$AV$2:$BA$84,2,FALSE),"")</f>
        <v/>
      </c>
      <c r="MY91" s="152">
        <f>IFERROR(VLOOKUP($ML91,$AV$2:$BA$84,2,FALSE),"")</f>
        <v/>
      </c>
      <c r="MZ91" s="152">
        <f>IFERROR(VLOOKUP($MM91,$AV$2:$BA$84,2,FALSE),"")</f>
        <v/>
      </c>
      <c r="NA91" s="152">
        <f>IFERROR(VLOOKUP($MN91,$AV$2:$BA$84,2,FALSE),"")</f>
        <v/>
      </c>
      <c r="NB91" s="152">
        <f>IFERROR(VLOOKUP($MK91,$AV$2:$BA$84,3,FALSE),0)</f>
        <v/>
      </c>
      <c r="NC91" s="152">
        <f>IFERROR(VLOOKUP($ML91,$AV$2:$BA$84,3,FALSE),0)</f>
        <v/>
      </c>
      <c r="ND91" s="152">
        <f>IFERROR(VLOOKUP($MM91,$AV$2:$BA$84,3,FALSE),0)</f>
        <v/>
      </c>
      <c r="NE91" s="152">
        <f>IFERROR(VLOOKUP($MN91,$AV$2:$BA$84,3,FALSE),0)</f>
        <v/>
      </c>
      <c r="NF91" s="152">
        <f>IF($MF91=0,0,IF($MW91=0,0,INDEX($X$2:$X$11,$MW91)))</f>
        <v/>
      </c>
      <c r="NG91" s="152">
        <f>IF(OR($NB91=0,$MF91=0),0,$NB91+3*IF(AND($MX91&lt;&gt;"",OR($MX91=INDEX($EF$2:$EF$13,$MB91),$MX91=INDEX($EG$2:$EG$13,$MB91))),1,0))</f>
        <v/>
      </c>
      <c r="NH91" s="152">
        <f>IF(OR($NC91=0,$MF91=0),0,$NC91+3*IF(AND($MY91&lt;&gt;"",OR($MY91=INDEX($EF$2:$EF$13,$MB91),$MY91=INDEX($EG$2:$EG$13,$MB91))),1,0))</f>
        <v/>
      </c>
      <c r="NI91" s="152">
        <f>IF(OR($ND91=0,$MF91=0),0,$ND91+3*IF(AND($MZ91&lt;&gt;"",OR($MZ91=INDEX($EF$2:$EF$13,$MB91),$MZ91=INDEX($EG$2:$EG$13,$MB91))),1,0))</f>
        <v/>
      </c>
      <c r="NJ91" s="152">
        <f>IF(OR($NE91=0,$MF91=0),0,$NE91+3*IF(AND($NA91&lt;&gt;"",OR($NA91=INDEX($EF$2:$EF$13,$MB91),$NA91=INDEX($EG$2:$EG$13,$MB91))),1,0))</f>
        <v/>
      </c>
      <c r="NK91" s="152">
        <f>IF($MW91=0,0,IF(INDEX($W$2:$W$11,$MW91)="",0,IF(COUNTIF(INDEX($EF$2:$EJ$13,$MB91,0),INDEX($W$2:$W$11,$MW91))=0,1,0)))</f>
        <v/>
      </c>
      <c r="NL91" s="152">
        <f>IF(OR($NB91=0,$MX91=""),0,IF(COUNTIF(INDEX($EF$2:$EJ$13,$MB91,0),$MX91)=0,1,0))</f>
        <v/>
      </c>
      <c r="NM91" s="152">
        <f>IF(OR($NC91=0,$MY91=""),0,IF(COUNTIF(INDEX($EF$2:$EJ$13,$MB91,0),$MY91)=0,1,0))</f>
        <v/>
      </c>
      <c r="NN91" s="152">
        <f>IF(OR($ND91=0,$MZ91=""),0,IF(COUNTIF(INDEX($EF$2:$EJ$13,$MB91,0),$MZ91)=0,1,0))</f>
        <v/>
      </c>
      <c r="NO91" s="152">
        <f>IF(OR($NE91=0,$NA91=""),0,IF(COUNTIF(INDEX($EF$2:$EJ$13,$MB91,0),$NA91)=0,1,0))</f>
        <v/>
      </c>
      <c r="NP91" s="152">
        <f>IFERROR(VLOOKUP($MK91,$AV$2:$BA$84,4,FALSE),0)+IFERROR(VLOOKUP($ML91,$AV$2:$BA$84,4,FALSE),0)+IFERROR(VLOOKUP($MM91,$AV$2:$BA$84,4,FALSE),0)+IFERROR(VLOOKUP($MN91,$AV$2:$BA$84,4,FALSE),0)</f>
        <v/>
      </c>
      <c r="NQ91" s="152">
        <f>IFERROR(VLOOKUP($MK91,$AV$2:$BA$84,6,FALSE),0)+IFERROR(VLOOKUP($ML91,$AV$2:$BA$84,6,FALSE),0)+IFERROR(VLOOKUP($MM91,$AV$2:$BA$84,6,FALSE),0)+IFERROR(VLOOKUP($MN91,$AV$2:$BA$84,6,FALSE),0)</f>
        <v/>
      </c>
      <c r="NR91" s="152">
        <f>TEXTJOIN(", ",TRUE,IF(IFERROR(VLOOKUP($MK91,$AV$2:$BA$84,5,FALSE),0)=1,$MK91,""),IF(IFERROR(VLOOKUP($ML91,$AV$2:$BA$84,5,FALSE),0)=1,$ML91,""),IF(IFERROR(VLOOKUP($MM91,$AV$2:$BA$84,5,FALSE),0)=1,$MM91,""),IF(IFERROR(VLOOKUP($MN91,$AV$2:$BA$84,5,FALSE),0)=1,$MN91,""))</f>
        <v/>
      </c>
      <c r="NS91" s="152">
        <f>IF($MW91=0,0,INDEX($Y$2:$Y$11,$MW91))</f>
        <v/>
      </c>
      <c r="NT91" s="152">
        <f>IF($MW91=0,0,INDEX($Z$2:$Z$11,$MW91))</f>
        <v/>
      </c>
      <c r="NU91" s="152">
        <f>IF($MW91=0,0,INDEX($AB$2:$AB$11,$MW91))</f>
        <v/>
      </c>
      <c r="NV91" s="152">
        <f>IFERROR(VLOOKUP($MO91,$BC$2:$BG$24,3,FALSE),0)</f>
        <v/>
      </c>
      <c r="NW91" s="152">
        <f>IFERROR(VLOOKUP($MP91,$BC$2:$BG$24,3,FALSE),0)</f>
        <v/>
      </c>
      <c r="NX91" s="152">
        <f>IFERROR(VLOOKUP($MO91,$BC$2:$BG$24,2,FALSE),"")</f>
        <v/>
      </c>
      <c r="NY91" s="152">
        <f>IFERROR(VLOOKUP($MP91,$BC$2:$BG$24,2,FALSE),"")</f>
        <v/>
      </c>
      <c r="NZ91" s="152">
        <f>COUNTIF($NF91:$NJ91,1)</f>
        <v/>
      </c>
      <c r="OA91" s="152">
        <f>COUNTIF($NF91:$NJ91,2)</f>
        <v/>
      </c>
      <c r="OB91" s="152">
        <f>COUNTIF($NF91:$NJ91,3)</f>
        <v/>
      </c>
      <c r="OC91" s="152">
        <f>COUNTIF($NF91:$NJ91,4)</f>
        <v/>
      </c>
      <c r="OD91" s="152">
        <f>COUNTIF($NF91:$NJ91,5)</f>
        <v/>
      </c>
      <c r="OE91" s="152">
        <f>COUNTIF($NF91:$NJ91,6)</f>
        <v/>
      </c>
      <c r="OF91" s="152">
        <f>COUNTIF($NV91:$NW91,1)</f>
        <v/>
      </c>
      <c r="OG91" s="152">
        <f>COUNTIF($NV91:$NW91,2)+$NS91</f>
        <v/>
      </c>
      <c r="OH91" s="152">
        <f>COUNTIF($MK91:$MN91,"?*")</f>
        <v/>
      </c>
      <c r="OI91" s="152">
        <f>COUNTIF($MO91:$MP91,"?*")+$NS91</f>
        <v/>
      </c>
      <c r="OJ91" s="152">
        <f>IF($MF91=0,0,SUMPRODUCT($NZ91:$OE91,INDEX($I$2:$N$8,MAX(1,$MF91),0)))</f>
        <v/>
      </c>
      <c r="OK91" s="152">
        <f>IF($MF91=0,0,$OF91*CEILING($MF91/2,1)+$OG91*$MF91)</f>
        <v/>
      </c>
      <c r="OL91" s="152">
        <f>MIN(2*$MF91,$OK91)</f>
        <v/>
      </c>
      <c r="OM91" s="152">
        <f>MIN($OL91,$OJ91)</f>
        <v/>
      </c>
      <c r="ON91" s="152">
        <f>$OL91-$OM91</f>
        <v/>
      </c>
      <c r="OO91" s="152">
        <f>IF($MF91=0,0,INDEX($P$2:$P$8,MAX(1,$MF91)))</f>
        <v/>
      </c>
      <c r="OP91" s="152">
        <f>$OO91-$OJ91+$OM91</f>
        <v/>
      </c>
      <c r="OQ91" s="152">
        <f>IF($MF91=0,MAX(0,$MT91-IF($OH91&gt;0,1,0)),MAX(0,$OP91))</f>
        <v/>
      </c>
      <c r="OR91" s="152">
        <f>IF($MF91=0,0,(IF(COUNTIF($MK91:$MN91,"Salto")&gt;0,1,0)+IF(COUNTIF($MK91:$MN91,"Queima")&gt;0,1,0)+IF(COUNTIF($MK91:$MN91,"Estilhaço")&gt;0,1,0))*FLOOR($OQ91/2,1))</f>
        <v/>
      </c>
      <c r="OS91" s="152">
        <f>MAX(0,2-SUMPRODUCT($NZ91:$OE91,$I$2:$N$2)+MIN(2,$OF91*1+$OG91*1,SUMPRODUCT($NZ91:$OE91,$I$2:$N$2)))</f>
        <v/>
      </c>
      <c r="OT91" s="152">
        <f>MAX(0,4-SUMPRODUCT($NZ91:$OE91,$I$3:$N$3)+MIN(4,$OF91*1+$OG91*2,SUMPRODUCT($NZ91:$OE91,$I$3:$N$3)))</f>
        <v/>
      </c>
      <c r="OU91" s="152">
        <f>MAX(0,6-SUMPRODUCT($NZ91:$OE91,$I$4:$N$4)+MIN(6,$OF91*2+$OG91*3,SUMPRODUCT($NZ91:$OE91,$I$4:$N$4)))</f>
        <v/>
      </c>
      <c r="OV91" s="152">
        <f>MAX(0,9-SUMPRODUCT($NZ91:$OE91,$I$5:$N$5)+MIN(8,$OF91*2+$OG91*4,SUMPRODUCT($NZ91:$OE91,$I$5:$N$5)))</f>
        <v/>
      </c>
      <c r="OW91" s="152">
        <f>MAX(0,11-SUMPRODUCT($NZ91:$OE91,$I$6:$N$6)+MIN(10,$OF91*3+$OG91*5,SUMPRODUCT($NZ91:$OE91,$I$6:$N$6)))</f>
        <v/>
      </c>
      <c r="OX91" s="152">
        <f>MAX(0,13-SUMPRODUCT($NZ91:$OE91,$I$7:$N$7)+MIN(12,$OF91*3+$OG91*6,SUMPRODUCT($NZ91:$OE91,$I$7:$N$7)))</f>
        <v/>
      </c>
      <c r="OY91" s="152">
        <f>MAX(0,16-SUMPRODUCT($NZ91:$OE91,$I$8:$N$8)+MIN(14,$OF91*4+$OG91*7,SUMPRODUCT($NZ91:$OE91,$I$8:$N$8)))</f>
        <v/>
      </c>
      <c r="OZ91" s="152">
        <f>IF($NT91=2,3*$OS91&amp;" de vida temp.",IF($NT91=3,"sem dano",IF($OS91=0,IF($NT91=1,"sem cura","sem dano"),IF($NT91=1,"cura ","")&amp;$OS91&amp;"d8")))</f>
        <v/>
      </c>
      <c r="PA91" s="152">
        <f>IF($NT91=2,3*$OT91&amp;" de vida temp.",IF($NT91=3,"sem dano",IF($OT91=0,IF($NT91=1,"sem cura","sem dano"),IF($NT91=1,"cura ","")&amp;$OT91&amp;"d8")))</f>
        <v/>
      </c>
      <c r="PB91" s="152">
        <f>IF($NT91=2,3*$OU91&amp;" de vida temp.",IF($NT91=3,"sem dano",IF($OU91=0,IF($NT91=1,"sem cura","sem dano"),IF($NT91=1,"cura ","")&amp;$OU91&amp;"d8")))</f>
        <v/>
      </c>
      <c r="PC91" s="152">
        <f>IF($NT91=2,3*$OV91&amp;" de vida temp.",IF($NT91=3,"sem dano",IF($OV91=0,IF($NT91=1,"sem cura","sem dano"),IF($NT91=1,"cura ","")&amp;$OV91&amp;"d8")))</f>
        <v/>
      </c>
      <c r="PD91" s="152">
        <f>IF($NT91=2,3*$OW91&amp;" de vida temp.",IF($NT91=3,"sem dano",IF($OW91=0,IF($NT91=1,"sem cura","sem dano"),IF($NT91=1,"cura ","")&amp;$OW91&amp;"d8")))</f>
        <v/>
      </c>
      <c r="PE91" s="152">
        <f>IF($NT91=2,3*$OX91&amp;" de vida temp.",IF($NT91=3,"sem dano",IF($OX91=0,IF($NT91=1,"sem cura","sem dano"),IF($NT91=1,"cura ","")&amp;$OX91&amp;"d8")))</f>
        <v/>
      </c>
      <c r="PF91" s="152">
        <f>IF($NT91=2,3*$OY91&amp;" de vida temp.",IF($NT91=3,"sem dano",IF($OY91=0,IF($NT91=1,"sem cura","sem dano"),IF($NT91=1,"cura ","")&amp;$OY91&amp;"d8")))</f>
        <v/>
      </c>
      <c r="PG91" s="152">
        <f>IF($MQ91=0,"",TEXTJOIN(" · ",TRUE,IF($MD91&gt;$MR91,"Este lugar abre no nível "&amp;$MD91,""),IF($MF91&gt;$MS91,"Classe "&amp;$MF91&amp;": o nível "&amp;$MR91&amp;" libera até a "&amp;$MS91,""),IF($NK91=1,"A Forma "&amp;$MH91&amp;" pede "&amp;INDEX($W$2:$W$11,$MW91)&amp;" aberta",""),IF(AND($MF91=0,$MW91&gt;0,IF($MW91=0,0,INDEX($AF$2:$AF$11,$MW91))=0),$MH91&amp;" não existe na Classe 0",""),IF($NL91=1,"Família Fechada: "&amp;$MK91,""),IF($NM91=1,"Família Fechada: "&amp;$ML91,""),IF($NN91=1,"Família Fechada: "&amp;$MM91,""),IF($NO91=1,"Família Fechada: "&amp;$MN91,""),IF(AND($MF91&gt;0,$OH91&gt;INDEX($O$2:$O$8,MAX(1,$MF91))),$OH91&amp;" Melhorias: a Classe "&amp;$MF91&amp;" aceita "&amp;INDEX($O$2:$O$8,MAX(1,$MF91)),""),IF(AND($MF91=0,$OH91&gt;1),"A básica aceita uma Melhoria",""),IF(AND($MF91=0,COUNTIF($NB91:$NE91,"&gt;1")&gt;0),"A básica só aceita Melhoria Leve",""),IF(AND($MF91&gt;0,$OI91&gt;2),$OI91&amp;" Restrições"&amp;IF($NS91=1,", contando a que a Forma "&amp;$MH91&amp;" já traz","")&amp;": o limite é 2",""),IF(AND($MF91=0,COUNTIF($MO91:$MP91,"?*")&gt;1),"A básica aceita uma Restrição Leve",""),IF(AND($MF91=0,COUNTIF($NV91:$NW91,2)&gt;0),"A básica só aceita Restrição Leve",""),IF(AND($MF91&gt;0,$OP91&lt;0),"Orçamento estourado: faltam "&amp;(-$OP91)&amp;IF($OP91&lt;-1," pontos"," ponto"),""),IF(IFERROR(VLOOKUP($MO91,$BC$2:$BG$24,4,FALSE),0)+IFERROR(VLOOKUP($MP91,$BC$2:$BG$24,4,FALSE),0)&gt;1,$NX91&amp;" e "&amp;$NY91&amp;" são as duas de frequência",""),IF(AND((COUNTIF($MK91:$MN91,"Rápido")+COUNTIF($NX91:$NY91,"Rápido"))&gt;0,(COUNTIF($MK91:$MN91,"Atrasar")+COUNTIF($NX91:$NY91,"Atrasar"))&gt;0),"Rápido não entra com Atrasar",""),IF(AND((COUNTIF($MK91:$MN91,"Reação")+COUNTIF($NX91:$NY91,"Reação"))&gt;0,(COUNTIF($MK91:$MN91,"Rápido")+COUNTIF($NX91:$NY91,"Rápido"))&gt;0),"Reação não entra com Rápido",""),IF(AND((COUNTIF($MK91:$MN91,"Reação")+COUNTIF($NX91:$NY91,"Reação"))&gt;0,(COUNTIF($MK91:$MN91,"Armado")+COUNTIF($NX91:$NY91,"Armado"))&gt;0),"Reação não entra com Armado",""),IF(AND((COUNTIF($MK91:$MN91,"Reação")+COUNTIF($NX91:$NY91,"Reação"))&gt;0,(COUNTIF($MK91:$MN91,"Atrasar")+COUNTIF($NX91:$NY91,"Atrasar"))&gt;0),"Reação não entra com Atrasar",""),IF(AND((COUNTIF($MK91:$MN91,"Reação")+COUNTIF($NX91:$NY91,"Reação"))&gt;0,(COUNTIF($MK91:$MN91,"Parado")+COUNTIF($NX91:$NY91,"Parado"))&gt;0),"Reação não entra com Parado",""),IF(AND((COUNTIF($MK91:$MN91,"Atrasar")+COUNTIF($NX91:$NY91,"Atrasar"))&gt;0,(COUNTIF($MK91:$MN91,"Parado")+COUNTIF($NX91:$NY91,"Parado"))&gt;0),"Atrasar não entra com Parado",""),IF(AND((COUNTIF($MK91:$MN91,"Armado")+COUNTIF($NX91:$NY91,"Armado"))&gt;0,(COUNTIF($MK91:$MN91,"Carregar")+COUNTIF($NX91:$NY91,"Carregar"))&gt;0),"Armado não entra com Carregar",""),IF(AND(COUNTIF($NX91:$NY91,"Corpo a Corpo")&gt;0,$NS91=0,OR($MH91="Cone",$MH91="Linha")),"Corpo a Corpo não entra em "&amp;$MH91,""),IF(AND(COUNTIF($NX91:$NY91,"Corpo a Corpo")&gt;0,$NS91=1),"A Forma "&amp;$MH91&amp;" já traz o Corpo a Corpo",""),IF(AND(COUNTIF($NX91:$NY91,"Tudo ou Nada")&gt;0,$NU91=0),"Tudo ou Nada só entra em habilidade de Teste de Resistência",""),IF(AND(COUNTIF($MK91:$MN91,"Inescapável")&gt;0,OR($OH91&gt;1,$OI91&gt;0)),"Inescapável não aceita outra peça",""),IF(AND($MF91&gt;0,$OQ91*IF(COUNTIF($MK91:$MN91,"Remate")&gt;0,1.25,1)+$OR91&gt;4*$MF91),($OQ91*IF(COUNTIF($MK91:$MN91,"Remate")&gt;0,1.25,1)+$OR91)&amp;" dados somando repetições"&amp;IF(COUNTIF($MK91:$MN91,"Remate")&gt;0," e o Remate","")&amp;": o teto da Classe "&amp;$MF91&amp;" é "&amp;4*$MF91,"")))</f>
        <v/>
      </c>
      <c r="PH91" s="152">
        <f>IF($PG91="",0,(LEN($PG91)-LEN(SUBSTITUTE($PG91," · ","")))/3+1)</f>
        <v/>
      </c>
      <c r="PI91" s="152">
        <f>IF($MQ91=0,"",TEXTJOIN(" · ",TRUE,IF($OK91&gt;2*$MF91,"A devolução parou no teto de "&amp;2*$MF91,""),IF($ON91&gt;0,"Devolução perdida: "&amp;$ON91&amp;IF($ON91&gt;1," pontos"," ponto")&amp;" sem peça para pagar",""),IF(AND($NP91&gt;0,AND($MF91&gt;0,$NT91=0),$OQ91=0),"Controle sem dano: uma rodada a mais e CD +2",""),IF(AND($NP91&gt;0,AND($MF91&gt;0,$NT91=0),$OQ91&gt;0,$OQ91&lt;=$MF91),"Controle com saldo até a Classe: uma rodada a mais",""),IF(AND($MF91&gt;0,$NR91&lt;&gt;""),"Efeito de "&amp;$NR91&amp;" pela Classe "&amp;MAX(1,$MF91-1),"")))</f>
        <v/>
      </c>
      <c r="PJ91" s="152">
        <f>IF($PI91="",0,(LEN($PI91)-LEN(SUBSTITUTE($PI91," · ","")))/3+1)</f>
        <v/>
      </c>
      <c r="PK91" s="152">
        <f>IF($MQ91=0,IF($OH91+COUNTIF($MO91:$MP91,"?*")&gt;0,"Dê um nome",""),IF($PH91&gt;0,"⚠ "&amp;$PH91&amp;IF($PH91&gt;1," erros"," erro"),IF($PJ91&gt;0,"! "&amp;$PJ91&amp;IF($PJ91&gt;1," avisos"," aviso"),"Na regra")))</f>
        <v/>
      </c>
      <c r="PL91" s="152">
        <f>IF($MQ91=0,"",IF($PH91+$PJ91=0,"Dentro das regras que a ficha confere",$PG91&amp;IF(AND($PH91&gt;0,$PJ91&gt;0)," · ","")&amp;$PI91))</f>
        <v/>
      </c>
      <c r="PM91" s="152">
        <f>IF($MD91&gt;$MR91,$ME91&amp;" · ABRE NO NÍVEL "&amp;$MD91,$ME91)</f>
        <v/>
      </c>
      <c r="PN91" s="152">
        <f>IF($MQ91=0,"",IF($MF91=0,"Sem PE",3*$MF91&amp;" PE"))</f>
        <v/>
      </c>
      <c r="PO91" s="152">
        <f>IF($MQ91=0,"",IF($MF91=0,"A atuação básica dela",IF(COUNTIF($NX91:$NY91,"Atrasar")&gt;0,"Sua Ação Completa",IF(COUNTIF($MK91:$MN91,"Rápido")&gt;0,"Sua Bônus",IF(COUNTIF($MK91:$MN91,"Reação")&gt;0,"Sua Reação","Sua Padrão")))&amp;" + a básica dela"&amp;IF(COUNTIF($MK91:$MN91,"Reação")&gt;0," e a coletiva","")&amp;IF(COUNTIF($NX91:$NY91,"Carregar")&gt;0," · em dois turnos","")))</f>
        <v/>
      </c>
      <c r="PP91" s="152">
        <f>IF($MJ91&lt;&gt;"",$MJ91,IF($MW91=0,"",INDEX($AA$2:$AA$11,$MW91)))</f>
        <v/>
      </c>
      <c r="PQ91" s="152">
        <f>IF(OR($MQ91=0,$MW91=0),"",IF(COUNTIF($MK91:$MN91,"Inescapável")&gt;0,"Automático",IF($PP91="Ataque",IF($MU91="","Ataque","Ataque "&amp;IF(($MU91+2*IF(COUNTIF($MK91:$MN91,"Precisão")&gt;0,1,0))&gt;=0,"+","−")&amp;ABS(($MU91+2*IF(COUNTIF($MK91:$MN91,"Precisão")&gt;0,1,0))))&amp;IF($NQ91&gt;0," · TR"&amp;IF($MV91="",""," CD "&amp;$MV91),""),IF(LEFT($PP91,2)="TR",$PP91&amp;IF($MV91="",""," · CD "&amp;$MV91)&amp;IF(COUNTIF($MK91:$MN91,"Certeiro")&gt;0," · metade",""),"Sem rolagem"))))</f>
        <v/>
      </c>
      <c r="PR91" s="152">
        <f>IF(OR($MQ91=0,$MW91=0),"",IF($MF91=0,IF(OR($NT91&gt;=1,$OQ91=0),"Sem dano",$OQ91&amp;"d6"&amp;IF($MI91="",""," "&amp;$MI91)),IF(OR($NT91&gt;=1,$OQ91=0),UPPER(LEFT(INDEX($OZ91:$PF91,1,MAX(1,$MF91)),1))&amp;MID(INDEX($OZ91:$PF91,1,MAX(1,$MF91)),2,99),UPPER(LEFT(INDEX($OZ91:$PF91,1,MAX(1,$MF91)),1))&amp;MID(INDEX($OZ91:$PF91,1,MAX(1,$MF91)),2,99)&amp;IF($MI91="",""," "&amp;$MI91)&amp;IF($OR91&gt;0," · +"&amp;$OR91&amp;"d8",""))))</f>
        <v/>
      </c>
      <c r="PS91" s="152">
        <f>COUNTIF($MK91:$MN91,"Longe")+3*COUNTIF($MK91:$MN91,"Muito Longe")</f>
        <v/>
      </c>
      <c r="PT91" s="152">
        <f>COUNTIF($MK91:$MN91,"Maior")+3*COUNTIF($MK91:$MN91,"Muito Maior")</f>
        <v/>
      </c>
      <c r="PU91" s="152">
        <f>IF($MW91=0,0,CHOOSE(1+INDEX($AC$2:$AC$11,$MW91),0,$PS91,$PT91,$PS91+$PT91))</f>
        <v/>
      </c>
      <c r="PV91" s="152">
        <f>IF($MW91=0,0,CHOOSE(1+INDEX($AD$2:$AD$11,$MW91),0,$PS91,$PT91,$PS91+$PT91))</f>
        <v/>
      </c>
      <c r="PW91" s="152">
        <f>IF(OR($MQ91=0,$MW91=0),"",INDEX($AI$2:$AN$41,($MW91-1)*4+IF($MF91=0,1,IF($MF91&lt;=5,2,IF($MF91=6,3,4))),1+MIN(5,$PU91))&amp;INDEX($AO$2:$AT$41,($MW91-1)*4+IF($MF91=0,1,IF($MF91&lt;=5,2,IF($MF91=6,3,4))),1+MIN(5,$PV91))&amp;IF(INDEX($AE$2:$AE$11,$MW91)=1,IF(COUNTIF($MK91:$MN91,"Mais Um")&gt;0," · +"&amp;COUNTIF($MK91:$MN91,"Mais Um")&amp;IF(COUNTIF($MK91:$MN91,"Mais Um")&gt;1," alvos"," alvo"),"")&amp;IF(COUNTIF($MK91:$MN91,"Rajada")&gt;0,IF($MF91=0," · 1 tiro"," · "&amp;(MAX(1,$MF91-1)+1)&amp;" tiros"),""),""))</f>
        <v/>
      </c>
      <c r="PX91" s="152">
        <f>IF($MQ91=0,"",IF($MF91=0,$MT91&amp;"d6"&amp;IF($OH91&gt;0," − 1 = "&amp;$OQ91&amp;"d6"," da básica do nível "&amp;$MR91),$OO91&amp;" − "&amp;$OJ91&amp;" + "&amp;$OM91&amp;" = "&amp;$OP91&amp;" · teto "&amp;4*$MF91&amp;"d8"&amp;IF($NS91=1," · a Forma devolve "&amp;$MF91,"")&amp;IF($ON91&gt;0," · perde "&amp;$ON91,"")))</f>
        <v/>
      </c>
      <c r="PY91" s="152">
        <f>IF($MQ91=0,"",IF($MF91=0,"A básica não amplia: os dados dela sobem com o nível",IF($MF91&gt;=$MS91,"Já está na maior Classe que o nível liberou",TEXTJOIN(" · ",TRUE,IF(AND(2&gt;$MF91,2&lt;=$MS91),"2 → "&amp;$PA91&amp;", 6 PE",""),IF(AND(3&gt;$MF91,3&lt;=$MS91),"3 → "&amp;$PB91&amp;", 9 PE",""),IF(AND(4&gt;$MF91,4&lt;=$MS91),"4 → "&amp;$PC91&amp;", 12 PE",""),IF(AND(5&gt;$MF91,5&lt;=$MS91),"5 → "&amp;$PD91&amp;", 15 PE",""),IF(AND(6&gt;$MF91,6&lt;=$MS91),"6 → "&amp;$PE91&amp;", 18 PE",""),IF(AND(7&gt;$MF91,7&lt;=$MS91),"7 → "&amp;$PF91&amp;", 21 PE","")))))</f>
        <v/>
      </c>
      <c r="PZ91" s="152">
        <f>IF(OR($MQ91=0,$NB91=0),"",IF($MF91=0,"−1 dado","−"&amp;INDEX($I$2:$N$8,MAX(1,$MF91),MAX(1,$NG91))&amp;" · "&amp;CHOOSE(MAX(1,$NG91),"Leve","Média","Pesada","Leve · Livre","Média · Livre","Pesada · Livre")))</f>
        <v/>
      </c>
      <c r="QA91" s="152">
        <f>IF(OR($MQ91=0,$NC91=0),"",IF($MF91=0,"−1 dado","−"&amp;INDEX($I$2:$N$8,MAX(1,$MF91),MAX(1,$NH91))&amp;" · "&amp;CHOOSE(MAX(1,$NH91),"Leve","Média","Pesada","Leve · Livre","Média · Livre","Pesada · Livre")))</f>
        <v/>
      </c>
      <c r="QB91" s="152">
        <f>IF(OR($MQ91=0,$ND91=0),"",IF($MF91=0,"−1 dado","−"&amp;INDEX($I$2:$N$8,MAX(1,$MF91),MAX(1,$NI91))&amp;" · "&amp;CHOOSE(MAX(1,$NI91),"Leve","Média","Pesada","Leve · Livre","Média · Livre","Pesada · Livre")))</f>
        <v/>
      </c>
      <c r="QC91" s="152">
        <f>IF(OR($MQ91=0,$NE91=0),"",IF($MF91=0,"−1 dado","−"&amp;INDEX($I$2:$N$8,MAX(1,$MF91),MAX(1,$NJ91))&amp;" · "&amp;CHOOSE(MAX(1,$NJ91),"Leve","Média","Pesada","Leve · Livre","Média · Livre","Pesada · Livre")))</f>
        <v/>
      </c>
      <c r="QD91" s="152">
        <f>IF(OR($MQ91=0,$MO91=""),"",IF($MF91=0,"não devolve","+"&amp;IF($NV91=1,CEILING($MF91/2,1),$MF91)))</f>
        <v/>
      </c>
      <c r="QE91" s="152">
        <f>IF(OR($MQ91=0,$MP91=""),"",IF($MF91=0,"não devolve","+"&amp;IF($NW91=1,CEILING($MF91/2,1),$MF91)))</f>
        <v/>
      </c>
    </row>
    <row r="92">
      <c r="MA92" s="150" t="inlineStr">
        <is>
          <t>Ficha 7 · Escolha da trilha 3</t>
        </is>
      </c>
      <c r="MB92" s="152" t="n">
        <v>7</v>
      </c>
      <c r="MC92" s="152" t="n">
        <v>2</v>
      </c>
      <c r="MD92" s="152" t="n">
        <v>0</v>
      </c>
      <c r="ME92" s="150" t="inlineStr">
        <is>
          <t>ESCOLHA DA TRILHA 3</t>
        </is>
      </c>
      <c r="MF92" s="152">
        <f>MAX(0,MIN(7,N('INVOCAÇÕES'!$AN$160)))</f>
        <v/>
      </c>
      <c r="MG92" s="152">
        <f>'INVOCAÇÕES'!$AO$160&amp;""</f>
        <v/>
      </c>
      <c r="MH92" s="152">
        <f>'INVOCAÇÕES'!$AN$165&amp;""</f>
        <v/>
      </c>
      <c r="MI92" s="152">
        <f>'INVOCAÇÕES'!$AN$166&amp;""</f>
        <v/>
      </c>
      <c r="MJ92" s="152">
        <f>'INVOCAÇÕES'!$AP$166&amp;""</f>
        <v/>
      </c>
      <c r="MK92" s="152">
        <f>'INVOCAÇÕES'!$AO$169&amp;""</f>
        <v/>
      </c>
      <c r="ML92" s="152">
        <f>'INVOCAÇÕES'!$AO$170&amp;""</f>
        <v/>
      </c>
      <c r="MM92" s="152">
        <f>'INVOCAÇÕES'!$AO$171&amp;""</f>
        <v/>
      </c>
      <c r="MN92" s="152">
        <f>'INVOCAÇÕES'!$AO$172&amp;""</f>
        <v/>
      </c>
      <c r="MO92" s="152">
        <f>'INVOCAÇÕES'!$AO$173&amp;""</f>
        <v/>
      </c>
      <c r="MP92" s="152">
        <f>'INVOCAÇÕES'!$AO$174&amp;""</f>
        <v/>
      </c>
      <c r="MQ92" s="152">
        <f>IF($MG92&lt;&gt;"",1,0)</f>
        <v/>
      </c>
      <c r="MR92" s="152">
        <f>INDEX($FI$2:$FI$13,$MB92)</f>
        <v/>
      </c>
      <c r="MS92" s="152">
        <f>INDEX($FJ$2:$FJ$13,$MB92)</f>
        <v/>
      </c>
      <c r="MT92" s="152">
        <f>INDEX($FK$2:$FK$13,$MB92)</f>
        <v/>
      </c>
      <c r="MU92" s="152">
        <f>INDEX($FV$2:$FV$13,$MB92)</f>
        <v/>
      </c>
      <c r="MV92" s="152">
        <f>INDEX($FW$2:$FW$13,$MB92)</f>
        <v/>
      </c>
      <c r="MW92" s="152">
        <f>IFERROR(MATCH($MH92,$V$2:$V$11,0),0)</f>
        <v/>
      </c>
      <c r="MX92" s="152">
        <f>IFERROR(VLOOKUP($MK92,$AV$2:$BA$84,2,FALSE),"")</f>
        <v/>
      </c>
      <c r="MY92" s="152">
        <f>IFERROR(VLOOKUP($ML92,$AV$2:$BA$84,2,FALSE),"")</f>
        <v/>
      </c>
      <c r="MZ92" s="152">
        <f>IFERROR(VLOOKUP($MM92,$AV$2:$BA$84,2,FALSE),"")</f>
        <v/>
      </c>
      <c r="NA92" s="152">
        <f>IFERROR(VLOOKUP($MN92,$AV$2:$BA$84,2,FALSE),"")</f>
        <v/>
      </c>
      <c r="NB92" s="152">
        <f>IFERROR(VLOOKUP($MK92,$AV$2:$BA$84,3,FALSE),0)</f>
        <v/>
      </c>
      <c r="NC92" s="152">
        <f>IFERROR(VLOOKUP($ML92,$AV$2:$BA$84,3,FALSE),0)</f>
        <v/>
      </c>
      <c r="ND92" s="152">
        <f>IFERROR(VLOOKUP($MM92,$AV$2:$BA$84,3,FALSE),0)</f>
        <v/>
      </c>
      <c r="NE92" s="152">
        <f>IFERROR(VLOOKUP($MN92,$AV$2:$BA$84,3,FALSE),0)</f>
        <v/>
      </c>
      <c r="NF92" s="152">
        <f>IF($MF92=0,0,IF($MW92=0,0,INDEX($X$2:$X$11,$MW92)))</f>
        <v/>
      </c>
      <c r="NG92" s="152">
        <f>IF(OR($NB92=0,$MF92=0),0,$NB92+3*IF(AND($MX92&lt;&gt;"",OR($MX92=INDEX($EF$2:$EF$13,$MB92),$MX92=INDEX($EG$2:$EG$13,$MB92))),1,0))</f>
        <v/>
      </c>
      <c r="NH92" s="152">
        <f>IF(OR($NC92=0,$MF92=0),0,$NC92+3*IF(AND($MY92&lt;&gt;"",OR($MY92=INDEX($EF$2:$EF$13,$MB92),$MY92=INDEX($EG$2:$EG$13,$MB92))),1,0))</f>
        <v/>
      </c>
      <c r="NI92" s="152">
        <f>IF(OR($ND92=0,$MF92=0),0,$ND92+3*IF(AND($MZ92&lt;&gt;"",OR($MZ92=INDEX($EF$2:$EF$13,$MB92),$MZ92=INDEX($EG$2:$EG$13,$MB92))),1,0))</f>
        <v/>
      </c>
      <c r="NJ92" s="152">
        <f>IF(OR($NE92=0,$MF92=0),0,$NE92+3*IF(AND($NA92&lt;&gt;"",OR($NA92=INDEX($EF$2:$EF$13,$MB92),$NA92=INDEX($EG$2:$EG$13,$MB92))),1,0))</f>
        <v/>
      </c>
      <c r="NK92" s="152">
        <f>IF($MW92=0,0,IF(INDEX($W$2:$W$11,$MW92)="",0,IF(COUNTIF(INDEX($EF$2:$EJ$13,$MB92,0),INDEX($W$2:$W$11,$MW92))=0,1,0)))</f>
        <v/>
      </c>
      <c r="NL92" s="152">
        <f>IF(OR($NB92=0,$MX92=""),0,IF(COUNTIF(INDEX($EF$2:$EJ$13,$MB92,0),$MX92)=0,1,0))</f>
        <v/>
      </c>
      <c r="NM92" s="152">
        <f>IF(OR($NC92=0,$MY92=""),0,IF(COUNTIF(INDEX($EF$2:$EJ$13,$MB92,0),$MY92)=0,1,0))</f>
        <v/>
      </c>
      <c r="NN92" s="152">
        <f>IF(OR($ND92=0,$MZ92=""),0,IF(COUNTIF(INDEX($EF$2:$EJ$13,$MB92,0),$MZ92)=0,1,0))</f>
        <v/>
      </c>
      <c r="NO92" s="152">
        <f>IF(OR($NE92=0,$NA92=""),0,IF(COUNTIF(INDEX($EF$2:$EJ$13,$MB92,0),$NA92)=0,1,0))</f>
        <v/>
      </c>
      <c r="NP92" s="152">
        <f>IFERROR(VLOOKUP($MK92,$AV$2:$BA$84,4,FALSE),0)+IFERROR(VLOOKUP($ML92,$AV$2:$BA$84,4,FALSE),0)+IFERROR(VLOOKUP($MM92,$AV$2:$BA$84,4,FALSE),0)+IFERROR(VLOOKUP($MN92,$AV$2:$BA$84,4,FALSE),0)</f>
        <v/>
      </c>
      <c r="NQ92" s="152">
        <f>IFERROR(VLOOKUP($MK92,$AV$2:$BA$84,6,FALSE),0)+IFERROR(VLOOKUP($ML92,$AV$2:$BA$84,6,FALSE),0)+IFERROR(VLOOKUP($MM92,$AV$2:$BA$84,6,FALSE),0)+IFERROR(VLOOKUP($MN92,$AV$2:$BA$84,6,FALSE),0)</f>
        <v/>
      </c>
      <c r="NR92" s="152">
        <f>TEXTJOIN(", ",TRUE,IF(IFERROR(VLOOKUP($MK92,$AV$2:$BA$84,5,FALSE),0)=1,$MK92,""),IF(IFERROR(VLOOKUP($ML92,$AV$2:$BA$84,5,FALSE),0)=1,$ML92,""),IF(IFERROR(VLOOKUP($MM92,$AV$2:$BA$84,5,FALSE),0)=1,$MM92,""),IF(IFERROR(VLOOKUP($MN92,$AV$2:$BA$84,5,FALSE),0)=1,$MN92,""))</f>
        <v/>
      </c>
      <c r="NS92" s="152">
        <f>IF($MW92=0,0,INDEX($Y$2:$Y$11,$MW92))</f>
        <v/>
      </c>
      <c r="NT92" s="152">
        <f>IF($MW92=0,0,INDEX($Z$2:$Z$11,$MW92))</f>
        <v/>
      </c>
      <c r="NU92" s="152">
        <f>IF($MW92=0,0,INDEX($AB$2:$AB$11,$MW92))</f>
        <v/>
      </c>
      <c r="NV92" s="152">
        <f>IFERROR(VLOOKUP($MO92,$BC$2:$BG$24,3,FALSE),0)</f>
        <v/>
      </c>
      <c r="NW92" s="152">
        <f>IFERROR(VLOOKUP($MP92,$BC$2:$BG$24,3,FALSE),0)</f>
        <v/>
      </c>
      <c r="NX92" s="152">
        <f>IFERROR(VLOOKUP($MO92,$BC$2:$BG$24,2,FALSE),"")</f>
        <v/>
      </c>
      <c r="NY92" s="152">
        <f>IFERROR(VLOOKUP($MP92,$BC$2:$BG$24,2,FALSE),"")</f>
        <v/>
      </c>
      <c r="NZ92" s="152">
        <f>COUNTIF($NF92:$NJ92,1)</f>
        <v/>
      </c>
      <c r="OA92" s="152">
        <f>COUNTIF($NF92:$NJ92,2)</f>
        <v/>
      </c>
      <c r="OB92" s="152">
        <f>COUNTIF($NF92:$NJ92,3)</f>
        <v/>
      </c>
      <c r="OC92" s="152">
        <f>COUNTIF($NF92:$NJ92,4)</f>
        <v/>
      </c>
      <c r="OD92" s="152">
        <f>COUNTIF($NF92:$NJ92,5)</f>
        <v/>
      </c>
      <c r="OE92" s="152">
        <f>COUNTIF($NF92:$NJ92,6)</f>
        <v/>
      </c>
      <c r="OF92" s="152">
        <f>COUNTIF($NV92:$NW92,1)</f>
        <v/>
      </c>
      <c r="OG92" s="152">
        <f>COUNTIF($NV92:$NW92,2)+$NS92</f>
        <v/>
      </c>
      <c r="OH92" s="152">
        <f>COUNTIF($MK92:$MN92,"?*")</f>
        <v/>
      </c>
      <c r="OI92" s="152">
        <f>COUNTIF($MO92:$MP92,"?*")+$NS92</f>
        <v/>
      </c>
      <c r="OJ92" s="152">
        <f>IF($MF92=0,0,SUMPRODUCT($NZ92:$OE92,INDEX($I$2:$N$8,MAX(1,$MF92),0)))</f>
        <v/>
      </c>
      <c r="OK92" s="152">
        <f>IF($MF92=0,0,$OF92*CEILING($MF92/2,1)+$OG92*$MF92)</f>
        <v/>
      </c>
      <c r="OL92" s="152">
        <f>MIN(2*$MF92,$OK92)</f>
        <v/>
      </c>
      <c r="OM92" s="152">
        <f>MIN($OL92,$OJ92)</f>
        <v/>
      </c>
      <c r="ON92" s="152">
        <f>$OL92-$OM92</f>
        <v/>
      </c>
      <c r="OO92" s="152">
        <f>IF($MF92=0,0,INDEX($P$2:$P$8,MAX(1,$MF92)))</f>
        <v/>
      </c>
      <c r="OP92" s="152">
        <f>$OO92-$OJ92+$OM92</f>
        <v/>
      </c>
      <c r="OQ92" s="152">
        <f>IF($MF92=0,MAX(0,$MT92-IF($OH92&gt;0,1,0)),MAX(0,$OP92))</f>
        <v/>
      </c>
      <c r="OR92" s="152">
        <f>IF($MF92=0,0,(IF(COUNTIF($MK92:$MN92,"Salto")&gt;0,1,0)+IF(COUNTIF($MK92:$MN92,"Queima")&gt;0,1,0)+IF(COUNTIF($MK92:$MN92,"Estilhaço")&gt;0,1,0))*FLOOR($OQ92/2,1))</f>
        <v/>
      </c>
      <c r="OS92" s="152">
        <f>MAX(0,2-SUMPRODUCT($NZ92:$OE92,$I$2:$N$2)+MIN(2,$OF92*1+$OG92*1,SUMPRODUCT($NZ92:$OE92,$I$2:$N$2)))</f>
        <v/>
      </c>
      <c r="OT92" s="152">
        <f>MAX(0,4-SUMPRODUCT($NZ92:$OE92,$I$3:$N$3)+MIN(4,$OF92*1+$OG92*2,SUMPRODUCT($NZ92:$OE92,$I$3:$N$3)))</f>
        <v/>
      </c>
      <c r="OU92" s="152">
        <f>MAX(0,6-SUMPRODUCT($NZ92:$OE92,$I$4:$N$4)+MIN(6,$OF92*2+$OG92*3,SUMPRODUCT($NZ92:$OE92,$I$4:$N$4)))</f>
        <v/>
      </c>
      <c r="OV92" s="152">
        <f>MAX(0,9-SUMPRODUCT($NZ92:$OE92,$I$5:$N$5)+MIN(8,$OF92*2+$OG92*4,SUMPRODUCT($NZ92:$OE92,$I$5:$N$5)))</f>
        <v/>
      </c>
      <c r="OW92" s="152">
        <f>MAX(0,11-SUMPRODUCT($NZ92:$OE92,$I$6:$N$6)+MIN(10,$OF92*3+$OG92*5,SUMPRODUCT($NZ92:$OE92,$I$6:$N$6)))</f>
        <v/>
      </c>
      <c r="OX92" s="152">
        <f>MAX(0,13-SUMPRODUCT($NZ92:$OE92,$I$7:$N$7)+MIN(12,$OF92*3+$OG92*6,SUMPRODUCT($NZ92:$OE92,$I$7:$N$7)))</f>
        <v/>
      </c>
      <c r="OY92" s="152">
        <f>MAX(0,16-SUMPRODUCT($NZ92:$OE92,$I$8:$N$8)+MIN(14,$OF92*4+$OG92*7,SUMPRODUCT($NZ92:$OE92,$I$8:$N$8)))</f>
        <v/>
      </c>
      <c r="OZ92" s="152">
        <f>IF($NT92=2,3*$OS92&amp;" de vida temp.",IF($NT92=3,"sem dano",IF($OS92=0,IF($NT92=1,"sem cura","sem dano"),IF($NT92=1,"cura ","")&amp;$OS92&amp;"d8")))</f>
        <v/>
      </c>
      <c r="PA92" s="152">
        <f>IF($NT92=2,3*$OT92&amp;" de vida temp.",IF($NT92=3,"sem dano",IF($OT92=0,IF($NT92=1,"sem cura","sem dano"),IF($NT92=1,"cura ","")&amp;$OT92&amp;"d8")))</f>
        <v/>
      </c>
      <c r="PB92" s="152">
        <f>IF($NT92=2,3*$OU92&amp;" de vida temp.",IF($NT92=3,"sem dano",IF($OU92=0,IF($NT92=1,"sem cura","sem dano"),IF($NT92=1,"cura ","")&amp;$OU92&amp;"d8")))</f>
        <v/>
      </c>
      <c r="PC92" s="152">
        <f>IF($NT92=2,3*$OV92&amp;" de vida temp.",IF($NT92=3,"sem dano",IF($OV92=0,IF($NT92=1,"sem cura","sem dano"),IF($NT92=1,"cura ","")&amp;$OV92&amp;"d8")))</f>
        <v/>
      </c>
      <c r="PD92" s="152">
        <f>IF($NT92=2,3*$OW92&amp;" de vida temp.",IF($NT92=3,"sem dano",IF($OW92=0,IF($NT92=1,"sem cura","sem dano"),IF($NT92=1,"cura ","")&amp;$OW92&amp;"d8")))</f>
        <v/>
      </c>
      <c r="PE92" s="152">
        <f>IF($NT92=2,3*$OX92&amp;" de vida temp.",IF($NT92=3,"sem dano",IF($OX92=0,IF($NT92=1,"sem cura","sem dano"),IF($NT92=1,"cura ","")&amp;$OX92&amp;"d8")))</f>
        <v/>
      </c>
      <c r="PF92" s="152">
        <f>IF($NT92=2,3*$OY92&amp;" de vida temp.",IF($NT92=3,"sem dano",IF($OY92=0,IF($NT92=1,"sem cura","sem dano"),IF($NT92=1,"cura ","")&amp;$OY92&amp;"d8")))</f>
        <v/>
      </c>
      <c r="PG92" s="152">
        <f>IF($MQ92=0,"",TEXTJOIN(" · ",TRUE,IF($MD92&gt;$MR92,"Este lugar abre no nível "&amp;$MD92,""),IF($MF92&gt;$MS92,"Classe "&amp;$MF92&amp;": o nível "&amp;$MR92&amp;" libera até a "&amp;$MS92,""),IF($NK92=1,"A Forma "&amp;$MH92&amp;" pede "&amp;INDEX($W$2:$W$11,$MW92)&amp;" aberta",""),IF(AND($MF92=0,$MW92&gt;0,IF($MW92=0,0,INDEX($AF$2:$AF$11,$MW92))=0),$MH92&amp;" não existe na Classe 0",""),IF($NL92=1,"Família Fechada: "&amp;$MK92,""),IF($NM92=1,"Família Fechada: "&amp;$ML92,""),IF($NN92=1,"Família Fechada: "&amp;$MM92,""),IF($NO92=1,"Família Fechada: "&amp;$MN92,""),IF(AND($MF92&gt;0,$OH92&gt;INDEX($O$2:$O$8,MAX(1,$MF92))),$OH92&amp;" Melhorias: a Classe "&amp;$MF92&amp;" aceita "&amp;INDEX($O$2:$O$8,MAX(1,$MF92)),""),IF(AND($MF92=0,$OH92&gt;1),"A básica aceita uma Melhoria",""),IF(AND($MF92=0,COUNTIF($NB92:$NE92,"&gt;1")&gt;0),"A básica só aceita Melhoria Leve",""),IF(AND($MF92&gt;0,$OI92&gt;2),$OI92&amp;" Restrições"&amp;IF($NS92=1,", contando a que a Forma "&amp;$MH92&amp;" já traz","")&amp;": o limite é 2",""),IF(AND($MF92=0,COUNTIF($MO92:$MP92,"?*")&gt;1),"A básica aceita uma Restrição Leve",""),IF(AND($MF92=0,COUNTIF($NV92:$NW92,2)&gt;0),"A básica só aceita Restrição Leve",""),IF(AND($MF92&gt;0,$OP92&lt;0),"Orçamento estourado: faltam "&amp;(-$OP92)&amp;IF($OP92&lt;-1," pontos"," ponto"),""),IF(IFERROR(VLOOKUP($MO92,$BC$2:$BG$24,4,FALSE),0)+IFERROR(VLOOKUP($MP92,$BC$2:$BG$24,4,FALSE),0)&gt;1,$NX92&amp;" e "&amp;$NY92&amp;" são as duas de frequência",""),IF(AND((COUNTIF($MK92:$MN92,"Rápido")+COUNTIF($NX92:$NY92,"Rápido"))&gt;0,(COUNTIF($MK92:$MN92,"Atrasar")+COUNTIF($NX92:$NY92,"Atrasar"))&gt;0),"Rápido não entra com Atrasar",""),IF(AND((COUNTIF($MK92:$MN92,"Reação")+COUNTIF($NX92:$NY92,"Reação"))&gt;0,(COUNTIF($MK92:$MN92,"Rápido")+COUNTIF($NX92:$NY92,"Rápido"))&gt;0),"Reação não entra com Rápido",""),IF(AND((COUNTIF($MK92:$MN92,"Reação")+COUNTIF($NX92:$NY92,"Reação"))&gt;0,(COUNTIF($MK92:$MN92,"Armado")+COUNTIF($NX92:$NY92,"Armado"))&gt;0),"Reação não entra com Armado",""),IF(AND((COUNTIF($MK92:$MN92,"Reação")+COUNTIF($NX92:$NY92,"Reação"))&gt;0,(COUNTIF($MK92:$MN92,"Atrasar")+COUNTIF($NX92:$NY92,"Atrasar"))&gt;0),"Reação não entra com Atrasar",""),IF(AND((COUNTIF($MK92:$MN92,"Reação")+COUNTIF($NX92:$NY92,"Reação"))&gt;0,(COUNTIF($MK92:$MN92,"Parado")+COUNTIF($NX92:$NY92,"Parado"))&gt;0),"Reação não entra com Parado",""),IF(AND((COUNTIF($MK92:$MN92,"Atrasar")+COUNTIF($NX92:$NY92,"Atrasar"))&gt;0,(COUNTIF($MK92:$MN92,"Parado")+COUNTIF($NX92:$NY92,"Parado"))&gt;0),"Atrasar não entra com Parado",""),IF(AND((COUNTIF($MK92:$MN92,"Armado")+COUNTIF($NX92:$NY92,"Armado"))&gt;0,(COUNTIF($MK92:$MN92,"Carregar")+COUNTIF($NX92:$NY92,"Carregar"))&gt;0),"Armado não entra com Carregar",""),IF(AND(COUNTIF($NX92:$NY92,"Corpo a Corpo")&gt;0,$NS92=0,OR($MH92="Cone",$MH92="Linha")),"Corpo a Corpo não entra em "&amp;$MH92,""),IF(AND(COUNTIF($NX92:$NY92,"Corpo a Corpo")&gt;0,$NS92=1),"A Forma "&amp;$MH92&amp;" já traz o Corpo a Corpo",""),IF(AND(COUNTIF($NX92:$NY92,"Tudo ou Nada")&gt;0,$NU92=0),"Tudo ou Nada só entra em habilidade de Teste de Resistência",""),IF(AND(COUNTIF($MK92:$MN92,"Inescapável")&gt;0,OR($OH92&gt;1,$OI92&gt;0)),"Inescapável não aceita outra peça",""),IF(AND($MF92&gt;0,$OQ92*IF(COUNTIF($MK92:$MN92,"Remate")&gt;0,1.25,1)+$OR92&gt;4*$MF92),($OQ92*IF(COUNTIF($MK92:$MN92,"Remate")&gt;0,1.25,1)+$OR92)&amp;" dados somando repetições"&amp;IF(COUNTIF($MK92:$MN92,"Remate")&gt;0," e o Remate","")&amp;": o teto da Classe "&amp;$MF92&amp;" é "&amp;4*$MF92,"")))</f>
        <v/>
      </c>
      <c r="PH92" s="152">
        <f>IF($PG92="",0,(LEN($PG92)-LEN(SUBSTITUTE($PG92," · ","")))/3+1)</f>
        <v/>
      </c>
      <c r="PI92" s="152">
        <f>IF($MQ92=0,"",TEXTJOIN(" · ",TRUE,IF($OK92&gt;2*$MF92,"A devolução parou no teto de "&amp;2*$MF92,""),IF($ON92&gt;0,"Devolução perdida: "&amp;$ON92&amp;IF($ON92&gt;1," pontos"," ponto")&amp;" sem peça para pagar",""),IF(AND($NP92&gt;0,AND($MF92&gt;0,$NT92=0),$OQ92=0),"Controle sem dano: uma rodada a mais e CD +2",""),IF(AND($NP92&gt;0,AND($MF92&gt;0,$NT92=0),$OQ92&gt;0,$OQ92&lt;=$MF92),"Controle com saldo até a Classe: uma rodada a mais",""),IF(AND($MF92&gt;0,$NR92&lt;&gt;""),"Efeito de "&amp;$NR92&amp;" pela Classe "&amp;MAX(1,$MF92-1),"")))</f>
        <v/>
      </c>
      <c r="PJ92" s="152">
        <f>IF($PI92="",0,(LEN($PI92)-LEN(SUBSTITUTE($PI92," · ","")))/3+1)</f>
        <v/>
      </c>
      <c r="PK92" s="152">
        <f>IF($MQ92=0,IF($OH92+COUNTIF($MO92:$MP92,"?*")&gt;0,"Dê um nome",""),IF($PH92&gt;0,"⚠ "&amp;$PH92&amp;IF($PH92&gt;1," erros"," erro"),IF($PJ92&gt;0,"! "&amp;$PJ92&amp;IF($PJ92&gt;1," avisos"," aviso"),"Na regra")))</f>
        <v/>
      </c>
      <c r="PL92" s="152">
        <f>IF($MQ92=0,"",IF($PH92+$PJ92=0,"Dentro das regras que a ficha confere",$PG92&amp;IF(AND($PH92&gt;0,$PJ92&gt;0)," · ","")&amp;$PI92))</f>
        <v/>
      </c>
      <c r="PM92" s="152">
        <f>IF($MD92&gt;$MR92,$ME92&amp;" · ABRE NO NÍVEL "&amp;$MD92,$ME92)</f>
        <v/>
      </c>
      <c r="PN92" s="152">
        <f>IF($MQ92=0,"",IF($MF92=0,"Sem PE",3*$MF92&amp;" PE"))</f>
        <v/>
      </c>
      <c r="PO92" s="152">
        <f>IF($MQ92=0,"",IF($MF92=0,"A atuação básica dela",IF(COUNTIF($NX92:$NY92,"Atrasar")&gt;0,"Sua Ação Completa",IF(COUNTIF($MK92:$MN92,"Rápido")&gt;0,"Sua Bônus",IF(COUNTIF($MK92:$MN92,"Reação")&gt;0,"Sua Reação","Sua Padrão")))&amp;" + a básica dela"&amp;IF(COUNTIF($MK92:$MN92,"Reação")&gt;0," e a coletiva","")&amp;IF(COUNTIF($NX92:$NY92,"Carregar")&gt;0," · em dois turnos","")))</f>
        <v/>
      </c>
      <c r="PP92" s="152">
        <f>IF($MJ92&lt;&gt;"",$MJ92,IF($MW92=0,"",INDEX($AA$2:$AA$11,$MW92)))</f>
        <v/>
      </c>
      <c r="PQ92" s="152">
        <f>IF(OR($MQ92=0,$MW92=0),"",IF(COUNTIF($MK92:$MN92,"Inescapável")&gt;0,"Automático",IF($PP92="Ataque",IF($MU92="","Ataque","Ataque "&amp;IF(($MU92+2*IF(COUNTIF($MK92:$MN92,"Precisão")&gt;0,1,0))&gt;=0,"+","−")&amp;ABS(($MU92+2*IF(COUNTIF($MK92:$MN92,"Precisão")&gt;0,1,0))))&amp;IF($NQ92&gt;0," · TR"&amp;IF($MV92="",""," CD "&amp;$MV92),""),IF(LEFT($PP92,2)="TR",$PP92&amp;IF($MV92="",""," · CD "&amp;$MV92)&amp;IF(COUNTIF($MK92:$MN92,"Certeiro")&gt;0," · metade",""),"Sem rolagem"))))</f>
        <v/>
      </c>
      <c r="PR92" s="152">
        <f>IF(OR($MQ92=0,$MW92=0),"",IF($MF92=0,IF(OR($NT92&gt;=1,$OQ92=0),"Sem dano",$OQ92&amp;"d6"&amp;IF($MI92="",""," "&amp;$MI92)),IF(OR($NT92&gt;=1,$OQ92=0),UPPER(LEFT(INDEX($OZ92:$PF92,1,MAX(1,$MF92)),1))&amp;MID(INDEX($OZ92:$PF92,1,MAX(1,$MF92)),2,99),UPPER(LEFT(INDEX($OZ92:$PF92,1,MAX(1,$MF92)),1))&amp;MID(INDEX($OZ92:$PF92,1,MAX(1,$MF92)),2,99)&amp;IF($MI92="",""," "&amp;$MI92)&amp;IF($OR92&gt;0," · +"&amp;$OR92&amp;"d8",""))))</f>
        <v/>
      </c>
      <c r="PS92" s="152">
        <f>COUNTIF($MK92:$MN92,"Longe")+3*COUNTIF($MK92:$MN92,"Muito Longe")</f>
        <v/>
      </c>
      <c r="PT92" s="152">
        <f>COUNTIF($MK92:$MN92,"Maior")+3*COUNTIF($MK92:$MN92,"Muito Maior")</f>
        <v/>
      </c>
      <c r="PU92" s="152">
        <f>IF($MW92=0,0,CHOOSE(1+INDEX($AC$2:$AC$11,$MW92),0,$PS92,$PT92,$PS92+$PT92))</f>
        <v/>
      </c>
      <c r="PV92" s="152">
        <f>IF($MW92=0,0,CHOOSE(1+INDEX($AD$2:$AD$11,$MW92),0,$PS92,$PT92,$PS92+$PT92))</f>
        <v/>
      </c>
      <c r="PW92" s="152">
        <f>IF(OR($MQ92=0,$MW92=0),"",INDEX($AI$2:$AN$41,($MW92-1)*4+IF($MF92=0,1,IF($MF92&lt;=5,2,IF($MF92=6,3,4))),1+MIN(5,$PU92))&amp;INDEX($AO$2:$AT$41,($MW92-1)*4+IF($MF92=0,1,IF($MF92&lt;=5,2,IF($MF92=6,3,4))),1+MIN(5,$PV92))&amp;IF(INDEX($AE$2:$AE$11,$MW92)=1,IF(COUNTIF($MK92:$MN92,"Mais Um")&gt;0," · +"&amp;COUNTIF($MK92:$MN92,"Mais Um")&amp;IF(COUNTIF($MK92:$MN92,"Mais Um")&gt;1," alvos"," alvo"),"")&amp;IF(COUNTIF($MK92:$MN92,"Rajada")&gt;0,IF($MF92=0," · 1 tiro"," · "&amp;(MAX(1,$MF92-1)+1)&amp;" tiros"),""),""))</f>
        <v/>
      </c>
      <c r="PX92" s="152">
        <f>IF($MQ92=0,"",IF($MF92=0,$MT92&amp;"d6"&amp;IF($OH92&gt;0," − 1 = "&amp;$OQ92&amp;"d6"," da básica do nível "&amp;$MR92),$OO92&amp;" − "&amp;$OJ92&amp;" + "&amp;$OM92&amp;" = "&amp;$OP92&amp;" · teto "&amp;4*$MF92&amp;"d8"&amp;IF($NS92=1," · a Forma devolve "&amp;$MF92,"")&amp;IF($ON92&gt;0," · perde "&amp;$ON92,"")))</f>
        <v/>
      </c>
      <c r="PY92" s="152">
        <f>IF($MQ92=0,"",IF($MF92=0,"A básica não amplia: os dados dela sobem com o nível",IF($MF92&gt;=$MS92,"Já está na maior Classe que o nível liberou",TEXTJOIN(" · ",TRUE,IF(AND(2&gt;$MF92,2&lt;=$MS92),"2 → "&amp;$PA92&amp;", 6 PE",""),IF(AND(3&gt;$MF92,3&lt;=$MS92),"3 → "&amp;$PB92&amp;", 9 PE",""),IF(AND(4&gt;$MF92,4&lt;=$MS92),"4 → "&amp;$PC92&amp;", 12 PE",""),IF(AND(5&gt;$MF92,5&lt;=$MS92),"5 → "&amp;$PD92&amp;", 15 PE",""),IF(AND(6&gt;$MF92,6&lt;=$MS92),"6 → "&amp;$PE92&amp;", 18 PE",""),IF(AND(7&gt;$MF92,7&lt;=$MS92),"7 → "&amp;$PF92&amp;", 21 PE","")))))</f>
        <v/>
      </c>
      <c r="PZ92" s="152">
        <f>IF(OR($MQ92=0,$NB92=0),"",IF($MF92=0,"−1 dado","−"&amp;INDEX($I$2:$N$8,MAX(1,$MF92),MAX(1,$NG92))&amp;" · "&amp;CHOOSE(MAX(1,$NG92),"Leve","Média","Pesada","Leve · Livre","Média · Livre","Pesada · Livre")))</f>
        <v/>
      </c>
      <c r="QA92" s="152">
        <f>IF(OR($MQ92=0,$NC92=0),"",IF($MF92=0,"−1 dado","−"&amp;INDEX($I$2:$N$8,MAX(1,$MF92),MAX(1,$NH92))&amp;" · "&amp;CHOOSE(MAX(1,$NH92),"Leve","Média","Pesada","Leve · Livre","Média · Livre","Pesada · Livre")))</f>
        <v/>
      </c>
      <c r="QB92" s="152">
        <f>IF(OR($MQ92=0,$ND92=0),"",IF($MF92=0,"−1 dado","−"&amp;INDEX($I$2:$N$8,MAX(1,$MF92),MAX(1,$NI92))&amp;" · "&amp;CHOOSE(MAX(1,$NI92),"Leve","Média","Pesada","Leve · Livre","Média · Livre","Pesada · Livre")))</f>
        <v/>
      </c>
      <c r="QC92" s="152">
        <f>IF(OR($MQ92=0,$NE92=0),"",IF($MF92=0,"−1 dado","−"&amp;INDEX($I$2:$N$8,MAX(1,$MF92),MAX(1,$NJ92))&amp;" · "&amp;CHOOSE(MAX(1,$NJ92),"Leve","Média","Pesada","Leve · Livre","Média · Livre","Pesada · Livre")))</f>
        <v/>
      </c>
      <c r="QD92" s="152">
        <f>IF(OR($MQ92=0,$MO92=""),"",IF($MF92=0,"não devolve","+"&amp;IF($NV92=1,CEILING($MF92/2,1),$MF92)))</f>
        <v/>
      </c>
      <c r="QE92" s="152">
        <f>IF(OR($MQ92=0,$MP92=""),"",IF($MF92=0,"não devolve","+"&amp;IF($NW92=1,CEILING($MF92/2,1),$MF92)))</f>
        <v/>
      </c>
    </row>
    <row r="93">
      <c r="MA93" s="150" t="inlineStr">
        <is>
          <t>Ficha 8 · Básica 1</t>
        </is>
      </c>
      <c r="MB93" s="152" t="n">
        <v>8</v>
      </c>
      <c r="MC93" s="152" t="n">
        <v>0</v>
      </c>
      <c r="MD93" s="152" t="n">
        <v>1</v>
      </c>
      <c r="ME93" s="150" t="inlineStr">
        <is>
          <t>BÁSICA 1</t>
        </is>
      </c>
      <c r="MF93" s="152" t="n">
        <v>0</v>
      </c>
      <c r="MG93" s="152">
        <f>'INVOCAÇÕES'!$AC$256&amp;""</f>
        <v/>
      </c>
      <c r="MH93" s="152">
        <f>'INVOCAÇÕES'!$AB$261&amp;""</f>
        <v/>
      </c>
      <c r="MI93" s="152">
        <f>'INVOCAÇÕES'!$AB$262&amp;""</f>
        <v/>
      </c>
      <c r="MJ93" s="152">
        <f>'INVOCAÇÕES'!$AD$262&amp;""</f>
        <v/>
      </c>
      <c r="MK93" s="152">
        <f>'INVOCAÇÕES'!$AC$265&amp;""</f>
        <v/>
      </c>
      <c r="ML93" s="152">
        <f>'INVOCAÇÕES'!$AC$266&amp;""</f>
        <v/>
      </c>
      <c r="MM93" s="152">
        <f>'INVOCAÇÕES'!$AC$267&amp;""</f>
        <v/>
      </c>
      <c r="MN93" s="152">
        <f>'INVOCAÇÕES'!$AC$268&amp;""</f>
        <v/>
      </c>
      <c r="MO93" s="152">
        <f>'INVOCAÇÕES'!$AC$269&amp;""</f>
        <v/>
      </c>
      <c r="MP93" s="152">
        <f>'INVOCAÇÕES'!$AC$270&amp;""</f>
        <v/>
      </c>
      <c r="MQ93" s="152">
        <f>IF($MG93&lt;&gt;"",1,0)</f>
        <v/>
      </c>
      <c r="MR93" s="152">
        <f>INDEX($FI$2:$FI$13,$MB93)</f>
        <v/>
      </c>
      <c r="MS93" s="152">
        <f>INDEX($FJ$2:$FJ$13,$MB93)</f>
        <v/>
      </c>
      <c r="MT93" s="152">
        <f>INDEX($FK$2:$FK$13,$MB93)</f>
        <v/>
      </c>
      <c r="MU93" s="152">
        <f>INDEX($FV$2:$FV$13,$MB93)</f>
        <v/>
      </c>
      <c r="MV93" s="152">
        <f>INDEX($FW$2:$FW$13,$MB93)</f>
        <v/>
      </c>
      <c r="MW93" s="152">
        <f>IFERROR(MATCH($MH93,$V$2:$V$11,0),0)</f>
        <v/>
      </c>
      <c r="MX93" s="152">
        <f>IFERROR(VLOOKUP($MK93,$AV$2:$BA$84,2,FALSE),"")</f>
        <v/>
      </c>
      <c r="MY93" s="152">
        <f>IFERROR(VLOOKUP($ML93,$AV$2:$BA$84,2,FALSE),"")</f>
        <v/>
      </c>
      <c r="MZ93" s="152">
        <f>IFERROR(VLOOKUP($MM93,$AV$2:$BA$84,2,FALSE),"")</f>
        <v/>
      </c>
      <c r="NA93" s="152">
        <f>IFERROR(VLOOKUP($MN93,$AV$2:$BA$84,2,FALSE),"")</f>
        <v/>
      </c>
      <c r="NB93" s="152">
        <f>IFERROR(VLOOKUP($MK93,$AV$2:$BA$84,3,FALSE),0)</f>
        <v/>
      </c>
      <c r="NC93" s="152">
        <f>IFERROR(VLOOKUP($ML93,$AV$2:$BA$84,3,FALSE),0)</f>
        <v/>
      </c>
      <c r="ND93" s="152">
        <f>IFERROR(VLOOKUP($MM93,$AV$2:$BA$84,3,FALSE),0)</f>
        <v/>
      </c>
      <c r="NE93" s="152">
        <f>IFERROR(VLOOKUP($MN93,$AV$2:$BA$84,3,FALSE),0)</f>
        <v/>
      </c>
      <c r="NF93" s="152">
        <f>IF($MF93=0,0,IF($MW93=0,0,INDEX($X$2:$X$11,$MW93)))</f>
        <v/>
      </c>
      <c r="NG93" s="152">
        <f>IF(OR($NB93=0,$MF93=0),0,$NB93+3*IF(AND($MX93&lt;&gt;"",OR($MX93=INDEX($EF$2:$EF$13,$MB93),$MX93=INDEX($EG$2:$EG$13,$MB93))),1,0))</f>
        <v/>
      </c>
      <c r="NH93" s="152">
        <f>IF(OR($NC93=0,$MF93=0),0,$NC93+3*IF(AND($MY93&lt;&gt;"",OR($MY93=INDEX($EF$2:$EF$13,$MB93),$MY93=INDEX($EG$2:$EG$13,$MB93))),1,0))</f>
        <v/>
      </c>
      <c r="NI93" s="152">
        <f>IF(OR($ND93=0,$MF93=0),0,$ND93+3*IF(AND($MZ93&lt;&gt;"",OR($MZ93=INDEX($EF$2:$EF$13,$MB93),$MZ93=INDEX($EG$2:$EG$13,$MB93))),1,0))</f>
        <v/>
      </c>
      <c r="NJ93" s="152">
        <f>IF(OR($NE93=0,$MF93=0),0,$NE93+3*IF(AND($NA93&lt;&gt;"",OR($NA93=INDEX($EF$2:$EF$13,$MB93),$NA93=INDEX($EG$2:$EG$13,$MB93))),1,0))</f>
        <v/>
      </c>
      <c r="NK93" s="152">
        <f>IF($MW93=0,0,IF(INDEX($W$2:$W$11,$MW93)="",0,IF(COUNTIF(INDEX($EF$2:$EJ$13,$MB93,0),INDEX($W$2:$W$11,$MW93))=0,1,0)))</f>
        <v/>
      </c>
      <c r="NL93" s="152">
        <f>IF(OR($NB93=0,$MX93=""),0,IF(COUNTIF(INDEX($EF$2:$EJ$13,$MB93,0),$MX93)=0,1,0))</f>
        <v/>
      </c>
      <c r="NM93" s="152">
        <f>IF(OR($NC93=0,$MY93=""),0,IF(COUNTIF(INDEX($EF$2:$EJ$13,$MB93,0),$MY93)=0,1,0))</f>
        <v/>
      </c>
      <c r="NN93" s="152">
        <f>IF(OR($ND93=0,$MZ93=""),0,IF(COUNTIF(INDEX($EF$2:$EJ$13,$MB93,0),$MZ93)=0,1,0))</f>
        <v/>
      </c>
      <c r="NO93" s="152">
        <f>IF(OR($NE93=0,$NA93=""),0,IF(COUNTIF(INDEX($EF$2:$EJ$13,$MB93,0),$NA93)=0,1,0))</f>
        <v/>
      </c>
      <c r="NP93" s="152">
        <f>IFERROR(VLOOKUP($MK93,$AV$2:$BA$84,4,FALSE),0)+IFERROR(VLOOKUP($ML93,$AV$2:$BA$84,4,FALSE),0)+IFERROR(VLOOKUP($MM93,$AV$2:$BA$84,4,FALSE),0)+IFERROR(VLOOKUP($MN93,$AV$2:$BA$84,4,FALSE),0)</f>
        <v/>
      </c>
      <c r="NQ93" s="152">
        <f>IFERROR(VLOOKUP($MK93,$AV$2:$BA$84,6,FALSE),0)+IFERROR(VLOOKUP($ML93,$AV$2:$BA$84,6,FALSE),0)+IFERROR(VLOOKUP($MM93,$AV$2:$BA$84,6,FALSE),0)+IFERROR(VLOOKUP($MN93,$AV$2:$BA$84,6,FALSE),0)</f>
        <v/>
      </c>
      <c r="NR93" s="152">
        <f>TEXTJOIN(", ",TRUE,IF(IFERROR(VLOOKUP($MK93,$AV$2:$BA$84,5,FALSE),0)=1,$MK93,""),IF(IFERROR(VLOOKUP($ML93,$AV$2:$BA$84,5,FALSE),0)=1,$ML93,""),IF(IFERROR(VLOOKUP($MM93,$AV$2:$BA$84,5,FALSE),0)=1,$MM93,""),IF(IFERROR(VLOOKUP($MN93,$AV$2:$BA$84,5,FALSE),0)=1,$MN93,""))</f>
        <v/>
      </c>
      <c r="NS93" s="152">
        <f>IF($MW93=0,0,INDEX($Y$2:$Y$11,$MW93))</f>
        <v/>
      </c>
      <c r="NT93" s="152">
        <f>IF($MW93=0,0,INDEX($Z$2:$Z$11,$MW93))</f>
        <v/>
      </c>
      <c r="NU93" s="152">
        <f>IF($MW93=0,0,INDEX($AB$2:$AB$11,$MW93))</f>
        <v/>
      </c>
      <c r="NV93" s="152">
        <f>IFERROR(VLOOKUP($MO93,$BC$2:$BG$24,3,FALSE),0)</f>
        <v/>
      </c>
      <c r="NW93" s="152">
        <f>IFERROR(VLOOKUP($MP93,$BC$2:$BG$24,3,FALSE),0)</f>
        <v/>
      </c>
      <c r="NX93" s="152">
        <f>IFERROR(VLOOKUP($MO93,$BC$2:$BG$24,2,FALSE),"")</f>
        <v/>
      </c>
      <c r="NY93" s="152">
        <f>IFERROR(VLOOKUP($MP93,$BC$2:$BG$24,2,FALSE),"")</f>
        <v/>
      </c>
      <c r="NZ93" s="152">
        <f>COUNTIF($NF93:$NJ93,1)</f>
        <v/>
      </c>
      <c r="OA93" s="152">
        <f>COUNTIF($NF93:$NJ93,2)</f>
        <v/>
      </c>
      <c r="OB93" s="152">
        <f>COUNTIF($NF93:$NJ93,3)</f>
        <v/>
      </c>
      <c r="OC93" s="152">
        <f>COUNTIF($NF93:$NJ93,4)</f>
        <v/>
      </c>
      <c r="OD93" s="152">
        <f>COUNTIF($NF93:$NJ93,5)</f>
        <v/>
      </c>
      <c r="OE93" s="152">
        <f>COUNTIF($NF93:$NJ93,6)</f>
        <v/>
      </c>
      <c r="OF93" s="152">
        <f>COUNTIF($NV93:$NW93,1)</f>
        <v/>
      </c>
      <c r="OG93" s="152">
        <f>COUNTIF($NV93:$NW93,2)+$NS93</f>
        <v/>
      </c>
      <c r="OH93" s="152">
        <f>COUNTIF($MK93:$MN93,"?*")</f>
        <v/>
      </c>
      <c r="OI93" s="152">
        <f>COUNTIF($MO93:$MP93,"?*")+$NS93</f>
        <v/>
      </c>
      <c r="OJ93" s="152">
        <f>IF($MF93=0,0,SUMPRODUCT($NZ93:$OE93,INDEX($I$2:$N$8,MAX(1,$MF93),0)))</f>
        <v/>
      </c>
      <c r="OK93" s="152">
        <f>IF($MF93=0,0,$OF93*CEILING($MF93/2,1)+$OG93*$MF93)</f>
        <v/>
      </c>
      <c r="OL93" s="152">
        <f>MIN(2*$MF93,$OK93)</f>
        <v/>
      </c>
      <c r="OM93" s="152">
        <f>MIN($OL93,$OJ93)</f>
        <v/>
      </c>
      <c r="ON93" s="152">
        <f>$OL93-$OM93</f>
        <v/>
      </c>
      <c r="OO93" s="152">
        <f>IF($MF93=0,0,INDEX($P$2:$P$8,MAX(1,$MF93)))</f>
        <v/>
      </c>
      <c r="OP93" s="152">
        <f>$OO93-$OJ93+$OM93</f>
        <v/>
      </c>
      <c r="OQ93" s="152">
        <f>IF($MF93=0,MAX(0,$MT93-IF($OH93&gt;0,1,0)),MAX(0,$OP93))</f>
        <v/>
      </c>
      <c r="OR93" s="152">
        <f>IF($MF93=0,0,(IF(COUNTIF($MK93:$MN93,"Salto")&gt;0,1,0)+IF(COUNTIF($MK93:$MN93,"Queima")&gt;0,1,0)+IF(COUNTIF($MK93:$MN93,"Estilhaço")&gt;0,1,0))*FLOOR($OQ93/2,1))</f>
        <v/>
      </c>
      <c r="OS93" s="152">
        <f>MAX(0,2-SUMPRODUCT($NZ93:$OE93,$I$2:$N$2)+MIN(2,$OF93*1+$OG93*1,SUMPRODUCT($NZ93:$OE93,$I$2:$N$2)))</f>
        <v/>
      </c>
      <c r="OT93" s="152">
        <f>MAX(0,4-SUMPRODUCT($NZ93:$OE93,$I$3:$N$3)+MIN(4,$OF93*1+$OG93*2,SUMPRODUCT($NZ93:$OE93,$I$3:$N$3)))</f>
        <v/>
      </c>
      <c r="OU93" s="152">
        <f>MAX(0,6-SUMPRODUCT($NZ93:$OE93,$I$4:$N$4)+MIN(6,$OF93*2+$OG93*3,SUMPRODUCT($NZ93:$OE93,$I$4:$N$4)))</f>
        <v/>
      </c>
      <c r="OV93" s="152">
        <f>MAX(0,9-SUMPRODUCT($NZ93:$OE93,$I$5:$N$5)+MIN(8,$OF93*2+$OG93*4,SUMPRODUCT($NZ93:$OE93,$I$5:$N$5)))</f>
        <v/>
      </c>
      <c r="OW93" s="152">
        <f>MAX(0,11-SUMPRODUCT($NZ93:$OE93,$I$6:$N$6)+MIN(10,$OF93*3+$OG93*5,SUMPRODUCT($NZ93:$OE93,$I$6:$N$6)))</f>
        <v/>
      </c>
      <c r="OX93" s="152">
        <f>MAX(0,13-SUMPRODUCT($NZ93:$OE93,$I$7:$N$7)+MIN(12,$OF93*3+$OG93*6,SUMPRODUCT($NZ93:$OE93,$I$7:$N$7)))</f>
        <v/>
      </c>
      <c r="OY93" s="152">
        <f>MAX(0,16-SUMPRODUCT($NZ93:$OE93,$I$8:$N$8)+MIN(14,$OF93*4+$OG93*7,SUMPRODUCT($NZ93:$OE93,$I$8:$N$8)))</f>
        <v/>
      </c>
      <c r="OZ93" s="152">
        <f>IF($NT93=2,3*$OS93&amp;" de vida temp.",IF($NT93=3,"sem dano",IF($OS93=0,IF($NT93=1,"sem cura","sem dano"),IF($NT93=1,"cura ","")&amp;$OS93&amp;"d8")))</f>
        <v/>
      </c>
      <c r="PA93" s="152">
        <f>IF($NT93=2,3*$OT93&amp;" de vida temp.",IF($NT93=3,"sem dano",IF($OT93=0,IF($NT93=1,"sem cura","sem dano"),IF($NT93=1,"cura ","")&amp;$OT93&amp;"d8")))</f>
        <v/>
      </c>
      <c r="PB93" s="152">
        <f>IF($NT93=2,3*$OU93&amp;" de vida temp.",IF($NT93=3,"sem dano",IF($OU93=0,IF($NT93=1,"sem cura","sem dano"),IF($NT93=1,"cura ","")&amp;$OU93&amp;"d8")))</f>
        <v/>
      </c>
      <c r="PC93" s="152">
        <f>IF($NT93=2,3*$OV93&amp;" de vida temp.",IF($NT93=3,"sem dano",IF($OV93=0,IF($NT93=1,"sem cura","sem dano"),IF($NT93=1,"cura ","")&amp;$OV93&amp;"d8")))</f>
        <v/>
      </c>
      <c r="PD93" s="152">
        <f>IF($NT93=2,3*$OW93&amp;" de vida temp.",IF($NT93=3,"sem dano",IF($OW93=0,IF($NT93=1,"sem cura","sem dano"),IF($NT93=1,"cura ","")&amp;$OW93&amp;"d8")))</f>
        <v/>
      </c>
      <c r="PE93" s="152">
        <f>IF($NT93=2,3*$OX93&amp;" de vida temp.",IF($NT93=3,"sem dano",IF($OX93=0,IF($NT93=1,"sem cura","sem dano"),IF($NT93=1,"cura ","")&amp;$OX93&amp;"d8")))</f>
        <v/>
      </c>
      <c r="PF93" s="152">
        <f>IF($NT93=2,3*$OY93&amp;" de vida temp.",IF($NT93=3,"sem dano",IF($OY93=0,IF($NT93=1,"sem cura","sem dano"),IF($NT93=1,"cura ","")&amp;$OY93&amp;"d8")))</f>
        <v/>
      </c>
      <c r="PG93" s="152">
        <f>IF($MQ93=0,"",TEXTJOIN(" · ",TRUE,IF($MD93&gt;$MR93,"Este lugar abre no nível "&amp;$MD93,""),IF($MF93&gt;$MS93,"Classe "&amp;$MF93&amp;": o nível "&amp;$MR93&amp;" libera até a "&amp;$MS93,""),IF($NK93=1,"A Forma "&amp;$MH93&amp;" pede "&amp;INDEX($W$2:$W$11,$MW93)&amp;" aberta",""),IF(AND($MF93=0,$MW93&gt;0,IF($MW93=0,0,INDEX($AF$2:$AF$11,$MW93))=0),$MH93&amp;" não existe na Classe 0",""),IF($NL93=1,"Família Fechada: "&amp;$MK93,""),IF($NM93=1,"Família Fechada: "&amp;$ML93,""),IF($NN93=1,"Família Fechada: "&amp;$MM93,""),IF($NO93=1,"Família Fechada: "&amp;$MN93,""),IF(AND($MF93&gt;0,$OH93&gt;INDEX($O$2:$O$8,MAX(1,$MF93))),$OH93&amp;" Melhorias: a Classe "&amp;$MF93&amp;" aceita "&amp;INDEX($O$2:$O$8,MAX(1,$MF93)),""),IF(AND($MF93=0,$OH93&gt;1),"A básica aceita uma Melhoria",""),IF(AND($MF93=0,COUNTIF($NB93:$NE93,"&gt;1")&gt;0),"A básica só aceita Melhoria Leve",""),IF(AND($MF93&gt;0,$OI93&gt;2),$OI93&amp;" Restrições"&amp;IF($NS93=1,", contando a que a Forma "&amp;$MH93&amp;" já traz","")&amp;": o limite é 2",""),IF(AND($MF93=0,COUNTIF($MO93:$MP93,"?*")&gt;1),"A básica aceita uma Restrição Leve",""),IF(AND($MF93=0,COUNTIF($NV93:$NW93,2)&gt;0),"A básica só aceita Restrição Leve",""),IF(AND($MF93&gt;0,$OP93&lt;0),"Orçamento estourado: faltam "&amp;(-$OP93)&amp;IF($OP93&lt;-1," pontos"," ponto"),""),IF(IFERROR(VLOOKUP($MO93,$BC$2:$BG$24,4,FALSE),0)+IFERROR(VLOOKUP($MP93,$BC$2:$BG$24,4,FALSE),0)&gt;1,$NX93&amp;" e "&amp;$NY93&amp;" são as duas de frequência",""),IF(AND((COUNTIF($MK93:$MN93,"Rápido")+COUNTIF($NX93:$NY93,"Rápido"))&gt;0,(COUNTIF($MK93:$MN93,"Atrasar")+COUNTIF($NX93:$NY93,"Atrasar"))&gt;0),"Rápido não entra com Atrasar",""),IF(AND((COUNTIF($MK93:$MN93,"Reação")+COUNTIF($NX93:$NY93,"Reação"))&gt;0,(COUNTIF($MK93:$MN93,"Rápido")+COUNTIF($NX93:$NY93,"Rápido"))&gt;0),"Reação não entra com Rápido",""),IF(AND((COUNTIF($MK93:$MN93,"Reação")+COUNTIF($NX93:$NY93,"Reação"))&gt;0,(COUNTIF($MK93:$MN93,"Armado")+COUNTIF($NX93:$NY93,"Armado"))&gt;0),"Reação não entra com Armado",""),IF(AND((COUNTIF($MK93:$MN93,"Reação")+COUNTIF($NX93:$NY93,"Reação"))&gt;0,(COUNTIF($MK93:$MN93,"Atrasar")+COUNTIF($NX93:$NY93,"Atrasar"))&gt;0),"Reação não entra com Atrasar",""),IF(AND((COUNTIF($MK93:$MN93,"Reação")+COUNTIF($NX93:$NY93,"Reação"))&gt;0,(COUNTIF($MK93:$MN93,"Parado")+COUNTIF($NX93:$NY93,"Parado"))&gt;0),"Reação não entra com Parado",""),IF(AND((COUNTIF($MK93:$MN93,"Atrasar")+COUNTIF($NX93:$NY93,"Atrasar"))&gt;0,(COUNTIF($MK93:$MN93,"Parado")+COUNTIF($NX93:$NY93,"Parado"))&gt;0),"Atrasar não entra com Parado",""),IF(AND((COUNTIF($MK93:$MN93,"Armado")+COUNTIF($NX93:$NY93,"Armado"))&gt;0,(COUNTIF($MK93:$MN93,"Carregar")+COUNTIF($NX93:$NY93,"Carregar"))&gt;0),"Armado não entra com Carregar",""),IF(AND(COUNTIF($NX93:$NY93,"Corpo a Corpo")&gt;0,$NS93=0,OR($MH93="Cone",$MH93="Linha")),"Corpo a Corpo não entra em "&amp;$MH93,""),IF(AND(COUNTIF($NX93:$NY93,"Corpo a Corpo")&gt;0,$NS93=1),"A Forma "&amp;$MH93&amp;" já traz o Corpo a Corpo",""),IF(AND(COUNTIF($NX93:$NY93,"Tudo ou Nada")&gt;0,$NU93=0),"Tudo ou Nada só entra em habilidade de Teste de Resistência",""),IF(AND(COUNTIF($MK93:$MN93,"Inescapável")&gt;0,OR($OH93&gt;1,$OI93&gt;0)),"Inescapável não aceita outra peça",""),IF(AND($MF93&gt;0,$OQ93*IF(COUNTIF($MK93:$MN93,"Remate")&gt;0,1.25,1)+$OR93&gt;4*$MF93),($OQ93*IF(COUNTIF($MK93:$MN93,"Remate")&gt;0,1.25,1)+$OR93)&amp;" dados somando repetições"&amp;IF(COUNTIF($MK93:$MN93,"Remate")&gt;0," e o Remate","")&amp;": o teto da Classe "&amp;$MF93&amp;" é "&amp;4*$MF93,"")))</f>
        <v/>
      </c>
      <c r="PH93" s="152">
        <f>IF($PG93="",0,(LEN($PG93)-LEN(SUBSTITUTE($PG93," · ","")))/3+1)</f>
        <v/>
      </c>
      <c r="PI93" s="152">
        <f>IF($MQ93=0,"",TEXTJOIN(" · ",TRUE,IF($OK93&gt;2*$MF93,"A devolução parou no teto de "&amp;2*$MF93,""),IF($ON93&gt;0,"Devolução perdida: "&amp;$ON93&amp;IF($ON93&gt;1," pontos"," ponto")&amp;" sem peça para pagar",""),IF(AND($NP93&gt;0,AND($MF93&gt;0,$NT93=0),$OQ93=0),"Controle sem dano: uma rodada a mais e CD +2",""),IF(AND($NP93&gt;0,AND($MF93&gt;0,$NT93=0),$OQ93&gt;0,$OQ93&lt;=$MF93),"Controle com saldo até a Classe: uma rodada a mais",""),IF(AND($MF93&gt;0,$NR93&lt;&gt;""),"Efeito de "&amp;$NR93&amp;" pela Classe "&amp;MAX(1,$MF93-1),"")))</f>
        <v/>
      </c>
      <c r="PJ93" s="152">
        <f>IF($PI93="",0,(LEN($PI93)-LEN(SUBSTITUTE($PI93," · ","")))/3+1)</f>
        <v/>
      </c>
      <c r="PK93" s="152">
        <f>IF($MQ93=0,IF($OH93+COUNTIF($MO93:$MP93,"?*")&gt;0,"Dê um nome",""),IF($PH93&gt;0,"⚠ "&amp;$PH93&amp;IF($PH93&gt;1," erros"," erro"),IF($PJ93&gt;0,"! "&amp;$PJ93&amp;IF($PJ93&gt;1," avisos"," aviso"),"Na regra")))</f>
        <v/>
      </c>
      <c r="PL93" s="152">
        <f>IF($MQ93=0,"",IF($PH93+$PJ93=0,"Dentro das regras que a ficha confere",$PG93&amp;IF(AND($PH93&gt;0,$PJ93&gt;0)," · ","")&amp;$PI93))</f>
        <v/>
      </c>
      <c r="PM93" s="152">
        <f>IF($MD93&gt;$MR93,$ME93&amp;" · ABRE NO NÍVEL "&amp;$MD93,$ME93)</f>
        <v/>
      </c>
      <c r="PN93" s="152">
        <f>IF($MQ93=0,"",IF($MF93=0,"Sem PE",3*$MF93&amp;" PE"))</f>
        <v/>
      </c>
      <c r="PO93" s="152">
        <f>IF($MQ93=0,"",IF($MF93=0,"A atuação básica dela",IF(COUNTIF($NX93:$NY93,"Atrasar")&gt;0,"Sua Ação Completa",IF(COUNTIF($MK93:$MN93,"Rápido")&gt;0,"Sua Bônus",IF(COUNTIF($MK93:$MN93,"Reação")&gt;0,"Sua Reação","Sua Padrão")))&amp;" + a básica dela"&amp;IF(COUNTIF($MK93:$MN93,"Reação")&gt;0," e a coletiva","")&amp;IF(COUNTIF($NX93:$NY93,"Carregar")&gt;0," · em dois turnos","")))</f>
        <v/>
      </c>
      <c r="PP93" s="152">
        <f>IF($MJ93&lt;&gt;"",$MJ93,IF($MW93=0,"",INDEX($AA$2:$AA$11,$MW93)))</f>
        <v/>
      </c>
      <c r="PQ93" s="152">
        <f>IF(OR($MQ93=0,$MW93=0),"",IF(COUNTIF($MK93:$MN93,"Inescapável")&gt;0,"Automático",IF($PP93="Ataque",IF($MU93="","Ataque","Ataque "&amp;IF(($MU93+2*IF(COUNTIF($MK93:$MN93,"Precisão")&gt;0,1,0))&gt;=0,"+","−")&amp;ABS(($MU93+2*IF(COUNTIF($MK93:$MN93,"Precisão")&gt;0,1,0))))&amp;IF($NQ93&gt;0," · TR"&amp;IF($MV93="",""," CD "&amp;$MV93),""),IF(LEFT($PP93,2)="TR",$PP93&amp;IF($MV93="",""," · CD "&amp;$MV93)&amp;IF(COUNTIF($MK93:$MN93,"Certeiro")&gt;0," · metade",""),"Sem rolagem"))))</f>
        <v/>
      </c>
      <c r="PR93" s="152">
        <f>IF(OR($MQ93=0,$MW93=0),"",IF($MF93=0,IF(OR($NT93&gt;=1,$OQ93=0),"Sem dano",$OQ93&amp;"d6"&amp;IF($MI93="",""," "&amp;$MI93)),IF(OR($NT93&gt;=1,$OQ93=0),UPPER(LEFT(INDEX($OZ93:$PF93,1,MAX(1,$MF93)),1))&amp;MID(INDEX($OZ93:$PF93,1,MAX(1,$MF93)),2,99),UPPER(LEFT(INDEX($OZ93:$PF93,1,MAX(1,$MF93)),1))&amp;MID(INDEX($OZ93:$PF93,1,MAX(1,$MF93)),2,99)&amp;IF($MI93="",""," "&amp;$MI93)&amp;IF($OR93&gt;0," · +"&amp;$OR93&amp;"d8",""))))</f>
        <v/>
      </c>
      <c r="PS93" s="152">
        <f>COUNTIF($MK93:$MN93,"Longe")+3*COUNTIF($MK93:$MN93,"Muito Longe")</f>
        <v/>
      </c>
      <c r="PT93" s="152">
        <f>COUNTIF($MK93:$MN93,"Maior")+3*COUNTIF($MK93:$MN93,"Muito Maior")</f>
        <v/>
      </c>
      <c r="PU93" s="152">
        <f>IF($MW93=0,0,CHOOSE(1+INDEX($AC$2:$AC$11,$MW93),0,$PS93,$PT93,$PS93+$PT93))</f>
        <v/>
      </c>
      <c r="PV93" s="152">
        <f>IF($MW93=0,0,CHOOSE(1+INDEX($AD$2:$AD$11,$MW93),0,$PS93,$PT93,$PS93+$PT93))</f>
        <v/>
      </c>
      <c r="PW93" s="152">
        <f>IF(OR($MQ93=0,$MW93=0),"",INDEX($AI$2:$AN$41,($MW93-1)*4+IF($MF93=0,1,IF($MF93&lt;=5,2,IF($MF93=6,3,4))),1+MIN(5,$PU93))&amp;INDEX($AO$2:$AT$41,($MW93-1)*4+IF($MF93=0,1,IF($MF93&lt;=5,2,IF($MF93=6,3,4))),1+MIN(5,$PV93))&amp;IF(INDEX($AE$2:$AE$11,$MW93)=1,IF(COUNTIF($MK93:$MN93,"Mais Um")&gt;0," · +"&amp;COUNTIF($MK93:$MN93,"Mais Um")&amp;IF(COUNTIF($MK93:$MN93,"Mais Um")&gt;1," alvos"," alvo"),"")&amp;IF(COUNTIF($MK93:$MN93,"Rajada")&gt;0,IF($MF93=0," · 1 tiro"," · "&amp;(MAX(1,$MF93-1)+1)&amp;" tiros"),""),""))</f>
        <v/>
      </c>
      <c r="PX93" s="152">
        <f>IF($MQ93=0,"",IF($MF93=0,$MT93&amp;"d6"&amp;IF($OH93&gt;0," − 1 = "&amp;$OQ93&amp;"d6"," da básica do nível "&amp;$MR93),$OO93&amp;" − "&amp;$OJ93&amp;" + "&amp;$OM93&amp;" = "&amp;$OP93&amp;" · teto "&amp;4*$MF93&amp;"d8"&amp;IF($NS93=1," · a Forma devolve "&amp;$MF93,"")&amp;IF($ON93&gt;0," · perde "&amp;$ON93,"")))</f>
        <v/>
      </c>
      <c r="PY93" s="152">
        <f>IF($MQ93=0,"",IF($MF93=0,"A básica não amplia: os dados dela sobem com o nível",IF($MF93&gt;=$MS93,"Já está na maior Classe que o nível liberou",TEXTJOIN(" · ",TRUE,IF(AND(2&gt;$MF93,2&lt;=$MS93),"2 → "&amp;$PA93&amp;", 6 PE",""),IF(AND(3&gt;$MF93,3&lt;=$MS93),"3 → "&amp;$PB93&amp;", 9 PE",""),IF(AND(4&gt;$MF93,4&lt;=$MS93),"4 → "&amp;$PC93&amp;", 12 PE",""),IF(AND(5&gt;$MF93,5&lt;=$MS93),"5 → "&amp;$PD93&amp;", 15 PE",""),IF(AND(6&gt;$MF93,6&lt;=$MS93),"6 → "&amp;$PE93&amp;", 18 PE",""),IF(AND(7&gt;$MF93,7&lt;=$MS93),"7 → "&amp;$PF93&amp;", 21 PE","")))))</f>
        <v/>
      </c>
      <c r="PZ93" s="152">
        <f>IF(OR($MQ93=0,$NB93=0),"",IF($MF93=0,"−1 dado","−"&amp;INDEX($I$2:$N$8,MAX(1,$MF93),MAX(1,$NG93))&amp;" · "&amp;CHOOSE(MAX(1,$NG93),"Leve","Média","Pesada","Leve · Livre","Média · Livre","Pesada · Livre")))</f>
        <v/>
      </c>
      <c r="QA93" s="152">
        <f>IF(OR($MQ93=0,$NC93=0),"",IF($MF93=0,"−1 dado","−"&amp;INDEX($I$2:$N$8,MAX(1,$MF93),MAX(1,$NH93))&amp;" · "&amp;CHOOSE(MAX(1,$NH93),"Leve","Média","Pesada","Leve · Livre","Média · Livre","Pesada · Livre")))</f>
        <v/>
      </c>
      <c r="QB93" s="152">
        <f>IF(OR($MQ93=0,$ND93=0),"",IF($MF93=0,"−1 dado","−"&amp;INDEX($I$2:$N$8,MAX(1,$MF93),MAX(1,$NI93))&amp;" · "&amp;CHOOSE(MAX(1,$NI93),"Leve","Média","Pesada","Leve · Livre","Média · Livre","Pesada · Livre")))</f>
        <v/>
      </c>
      <c r="QC93" s="152">
        <f>IF(OR($MQ93=0,$NE93=0),"",IF($MF93=0,"−1 dado","−"&amp;INDEX($I$2:$N$8,MAX(1,$MF93),MAX(1,$NJ93))&amp;" · "&amp;CHOOSE(MAX(1,$NJ93),"Leve","Média","Pesada","Leve · Livre","Média · Livre","Pesada · Livre")))</f>
        <v/>
      </c>
      <c r="QD93" s="152">
        <f>IF(OR($MQ93=0,$MO93=""),"",IF($MF93=0,"não devolve","+"&amp;IF($NV93=1,CEILING($MF93/2,1),$MF93)))</f>
        <v/>
      </c>
      <c r="QE93" s="152">
        <f>IF(OR($MQ93=0,$MP93=""),"",IF($MF93=0,"não devolve","+"&amp;IF($NW93=1,CEILING($MF93/2,1),$MF93)))</f>
        <v/>
      </c>
    </row>
    <row r="94">
      <c r="MA94" s="150" t="inlineStr">
        <is>
          <t>Ficha 8 · Especial 1</t>
        </is>
      </c>
      <c r="MB94" s="152" t="n">
        <v>8</v>
      </c>
      <c r="MC94" s="152" t="n">
        <v>1</v>
      </c>
      <c r="MD94" s="152" t="n">
        <v>1</v>
      </c>
      <c r="ME94" s="150" t="inlineStr">
        <is>
          <t>ESPECIAL 1</t>
        </is>
      </c>
      <c r="MF94" s="152">
        <f>MAX(1,MIN(7,N('INVOCAÇÕES'!$AH$256)))</f>
        <v/>
      </c>
      <c r="MG94" s="152">
        <f>'INVOCAÇÕES'!$AI$256&amp;""</f>
        <v/>
      </c>
      <c r="MH94" s="152">
        <f>'INVOCAÇÕES'!$AH$261&amp;""</f>
        <v/>
      </c>
      <c r="MI94" s="152">
        <f>'INVOCAÇÕES'!$AH$262&amp;""</f>
        <v/>
      </c>
      <c r="MJ94" s="152">
        <f>'INVOCAÇÕES'!$AJ$262&amp;""</f>
        <v/>
      </c>
      <c r="MK94" s="152">
        <f>'INVOCAÇÕES'!$AI$265&amp;""</f>
        <v/>
      </c>
      <c r="ML94" s="152">
        <f>'INVOCAÇÕES'!$AI$266&amp;""</f>
        <v/>
      </c>
      <c r="MM94" s="152">
        <f>'INVOCAÇÕES'!$AI$267&amp;""</f>
        <v/>
      </c>
      <c r="MN94" s="152">
        <f>'INVOCAÇÕES'!$AI$268&amp;""</f>
        <v/>
      </c>
      <c r="MO94" s="152">
        <f>'INVOCAÇÕES'!$AI$269&amp;""</f>
        <v/>
      </c>
      <c r="MP94" s="152">
        <f>'INVOCAÇÕES'!$AI$270&amp;""</f>
        <v/>
      </c>
      <c r="MQ94" s="152">
        <f>IF($MG94&lt;&gt;"",1,0)</f>
        <v/>
      </c>
      <c r="MR94" s="152">
        <f>INDEX($FI$2:$FI$13,$MB94)</f>
        <v/>
      </c>
      <c r="MS94" s="152">
        <f>INDEX($FJ$2:$FJ$13,$MB94)</f>
        <v/>
      </c>
      <c r="MT94" s="152">
        <f>INDEX($FK$2:$FK$13,$MB94)</f>
        <v/>
      </c>
      <c r="MU94" s="152">
        <f>INDEX($FV$2:$FV$13,$MB94)</f>
        <v/>
      </c>
      <c r="MV94" s="152">
        <f>INDEX($FW$2:$FW$13,$MB94)</f>
        <v/>
      </c>
      <c r="MW94" s="152">
        <f>IFERROR(MATCH($MH94,$V$2:$V$11,0),0)</f>
        <v/>
      </c>
      <c r="MX94" s="152">
        <f>IFERROR(VLOOKUP($MK94,$AV$2:$BA$84,2,FALSE),"")</f>
        <v/>
      </c>
      <c r="MY94" s="152">
        <f>IFERROR(VLOOKUP($ML94,$AV$2:$BA$84,2,FALSE),"")</f>
        <v/>
      </c>
      <c r="MZ94" s="152">
        <f>IFERROR(VLOOKUP($MM94,$AV$2:$BA$84,2,FALSE),"")</f>
        <v/>
      </c>
      <c r="NA94" s="152">
        <f>IFERROR(VLOOKUP($MN94,$AV$2:$BA$84,2,FALSE),"")</f>
        <v/>
      </c>
      <c r="NB94" s="152">
        <f>IFERROR(VLOOKUP($MK94,$AV$2:$BA$84,3,FALSE),0)</f>
        <v/>
      </c>
      <c r="NC94" s="152">
        <f>IFERROR(VLOOKUP($ML94,$AV$2:$BA$84,3,FALSE),0)</f>
        <v/>
      </c>
      <c r="ND94" s="152">
        <f>IFERROR(VLOOKUP($MM94,$AV$2:$BA$84,3,FALSE),0)</f>
        <v/>
      </c>
      <c r="NE94" s="152">
        <f>IFERROR(VLOOKUP($MN94,$AV$2:$BA$84,3,FALSE),0)</f>
        <v/>
      </c>
      <c r="NF94" s="152">
        <f>IF($MF94=0,0,IF($MW94=0,0,INDEX($X$2:$X$11,$MW94)))</f>
        <v/>
      </c>
      <c r="NG94" s="152">
        <f>IF(OR($NB94=0,$MF94=0),0,$NB94+3*IF(AND($MX94&lt;&gt;"",OR($MX94=INDEX($EF$2:$EF$13,$MB94),$MX94=INDEX($EG$2:$EG$13,$MB94))),1,0))</f>
        <v/>
      </c>
      <c r="NH94" s="152">
        <f>IF(OR($NC94=0,$MF94=0),0,$NC94+3*IF(AND($MY94&lt;&gt;"",OR($MY94=INDEX($EF$2:$EF$13,$MB94),$MY94=INDEX($EG$2:$EG$13,$MB94))),1,0))</f>
        <v/>
      </c>
      <c r="NI94" s="152">
        <f>IF(OR($ND94=0,$MF94=0),0,$ND94+3*IF(AND($MZ94&lt;&gt;"",OR($MZ94=INDEX($EF$2:$EF$13,$MB94),$MZ94=INDEX($EG$2:$EG$13,$MB94))),1,0))</f>
        <v/>
      </c>
      <c r="NJ94" s="152">
        <f>IF(OR($NE94=0,$MF94=0),0,$NE94+3*IF(AND($NA94&lt;&gt;"",OR($NA94=INDEX($EF$2:$EF$13,$MB94),$NA94=INDEX($EG$2:$EG$13,$MB94))),1,0))</f>
        <v/>
      </c>
      <c r="NK94" s="152">
        <f>IF($MW94=0,0,IF(INDEX($W$2:$W$11,$MW94)="",0,IF(COUNTIF(INDEX($EF$2:$EJ$13,$MB94,0),INDEX($W$2:$W$11,$MW94))=0,1,0)))</f>
        <v/>
      </c>
      <c r="NL94" s="152">
        <f>IF(OR($NB94=0,$MX94=""),0,IF(COUNTIF(INDEX($EF$2:$EJ$13,$MB94,0),$MX94)=0,1,0))</f>
        <v/>
      </c>
      <c r="NM94" s="152">
        <f>IF(OR($NC94=0,$MY94=""),0,IF(COUNTIF(INDEX($EF$2:$EJ$13,$MB94,0),$MY94)=0,1,0))</f>
        <v/>
      </c>
      <c r="NN94" s="152">
        <f>IF(OR($ND94=0,$MZ94=""),0,IF(COUNTIF(INDEX($EF$2:$EJ$13,$MB94,0),$MZ94)=0,1,0))</f>
        <v/>
      </c>
      <c r="NO94" s="152">
        <f>IF(OR($NE94=0,$NA94=""),0,IF(COUNTIF(INDEX($EF$2:$EJ$13,$MB94,0),$NA94)=0,1,0))</f>
        <v/>
      </c>
      <c r="NP94" s="152">
        <f>IFERROR(VLOOKUP($MK94,$AV$2:$BA$84,4,FALSE),0)+IFERROR(VLOOKUP($ML94,$AV$2:$BA$84,4,FALSE),0)+IFERROR(VLOOKUP($MM94,$AV$2:$BA$84,4,FALSE),0)+IFERROR(VLOOKUP($MN94,$AV$2:$BA$84,4,FALSE),0)</f>
        <v/>
      </c>
      <c r="NQ94" s="152">
        <f>IFERROR(VLOOKUP($MK94,$AV$2:$BA$84,6,FALSE),0)+IFERROR(VLOOKUP($ML94,$AV$2:$BA$84,6,FALSE),0)+IFERROR(VLOOKUP($MM94,$AV$2:$BA$84,6,FALSE),0)+IFERROR(VLOOKUP($MN94,$AV$2:$BA$84,6,FALSE),0)</f>
        <v/>
      </c>
      <c r="NR94" s="152">
        <f>TEXTJOIN(", ",TRUE,IF(IFERROR(VLOOKUP($MK94,$AV$2:$BA$84,5,FALSE),0)=1,$MK94,""),IF(IFERROR(VLOOKUP($ML94,$AV$2:$BA$84,5,FALSE),0)=1,$ML94,""),IF(IFERROR(VLOOKUP($MM94,$AV$2:$BA$84,5,FALSE),0)=1,$MM94,""),IF(IFERROR(VLOOKUP($MN94,$AV$2:$BA$84,5,FALSE),0)=1,$MN94,""))</f>
        <v/>
      </c>
      <c r="NS94" s="152">
        <f>IF($MW94=0,0,INDEX($Y$2:$Y$11,$MW94))</f>
        <v/>
      </c>
      <c r="NT94" s="152">
        <f>IF($MW94=0,0,INDEX($Z$2:$Z$11,$MW94))</f>
        <v/>
      </c>
      <c r="NU94" s="152">
        <f>IF($MW94=0,0,INDEX($AB$2:$AB$11,$MW94))</f>
        <v/>
      </c>
      <c r="NV94" s="152">
        <f>IFERROR(VLOOKUP($MO94,$BC$2:$BG$24,3,FALSE),0)</f>
        <v/>
      </c>
      <c r="NW94" s="152">
        <f>IFERROR(VLOOKUP($MP94,$BC$2:$BG$24,3,FALSE),0)</f>
        <v/>
      </c>
      <c r="NX94" s="152">
        <f>IFERROR(VLOOKUP($MO94,$BC$2:$BG$24,2,FALSE),"")</f>
        <v/>
      </c>
      <c r="NY94" s="152">
        <f>IFERROR(VLOOKUP($MP94,$BC$2:$BG$24,2,FALSE),"")</f>
        <v/>
      </c>
      <c r="NZ94" s="152">
        <f>COUNTIF($NF94:$NJ94,1)</f>
        <v/>
      </c>
      <c r="OA94" s="152">
        <f>COUNTIF($NF94:$NJ94,2)</f>
        <v/>
      </c>
      <c r="OB94" s="152">
        <f>COUNTIF($NF94:$NJ94,3)</f>
        <v/>
      </c>
      <c r="OC94" s="152">
        <f>COUNTIF($NF94:$NJ94,4)</f>
        <v/>
      </c>
      <c r="OD94" s="152">
        <f>COUNTIF($NF94:$NJ94,5)</f>
        <v/>
      </c>
      <c r="OE94" s="152">
        <f>COUNTIF($NF94:$NJ94,6)</f>
        <v/>
      </c>
      <c r="OF94" s="152">
        <f>COUNTIF($NV94:$NW94,1)</f>
        <v/>
      </c>
      <c r="OG94" s="152">
        <f>COUNTIF($NV94:$NW94,2)+$NS94</f>
        <v/>
      </c>
      <c r="OH94" s="152">
        <f>COUNTIF($MK94:$MN94,"?*")</f>
        <v/>
      </c>
      <c r="OI94" s="152">
        <f>COUNTIF($MO94:$MP94,"?*")+$NS94</f>
        <v/>
      </c>
      <c r="OJ94" s="152">
        <f>IF($MF94=0,0,SUMPRODUCT($NZ94:$OE94,INDEX($I$2:$N$8,MAX(1,$MF94),0)))</f>
        <v/>
      </c>
      <c r="OK94" s="152">
        <f>IF($MF94=0,0,$OF94*CEILING($MF94/2,1)+$OG94*$MF94)</f>
        <v/>
      </c>
      <c r="OL94" s="152">
        <f>MIN(2*$MF94,$OK94)</f>
        <v/>
      </c>
      <c r="OM94" s="152">
        <f>MIN($OL94,$OJ94)</f>
        <v/>
      </c>
      <c r="ON94" s="152">
        <f>$OL94-$OM94</f>
        <v/>
      </c>
      <c r="OO94" s="152">
        <f>IF($MF94=0,0,INDEX($P$2:$P$8,MAX(1,$MF94)))</f>
        <v/>
      </c>
      <c r="OP94" s="152">
        <f>$OO94-$OJ94+$OM94</f>
        <v/>
      </c>
      <c r="OQ94" s="152">
        <f>IF($MF94=0,MAX(0,$MT94-IF($OH94&gt;0,1,0)),MAX(0,$OP94))</f>
        <v/>
      </c>
      <c r="OR94" s="152">
        <f>IF($MF94=0,0,(IF(COUNTIF($MK94:$MN94,"Salto")&gt;0,1,0)+IF(COUNTIF($MK94:$MN94,"Queima")&gt;0,1,0)+IF(COUNTIF($MK94:$MN94,"Estilhaço")&gt;0,1,0))*FLOOR($OQ94/2,1))</f>
        <v/>
      </c>
      <c r="OS94" s="152">
        <f>MAX(0,2-SUMPRODUCT($NZ94:$OE94,$I$2:$N$2)+MIN(2,$OF94*1+$OG94*1,SUMPRODUCT($NZ94:$OE94,$I$2:$N$2)))</f>
        <v/>
      </c>
      <c r="OT94" s="152">
        <f>MAX(0,4-SUMPRODUCT($NZ94:$OE94,$I$3:$N$3)+MIN(4,$OF94*1+$OG94*2,SUMPRODUCT($NZ94:$OE94,$I$3:$N$3)))</f>
        <v/>
      </c>
      <c r="OU94" s="152">
        <f>MAX(0,6-SUMPRODUCT($NZ94:$OE94,$I$4:$N$4)+MIN(6,$OF94*2+$OG94*3,SUMPRODUCT($NZ94:$OE94,$I$4:$N$4)))</f>
        <v/>
      </c>
      <c r="OV94" s="152">
        <f>MAX(0,9-SUMPRODUCT($NZ94:$OE94,$I$5:$N$5)+MIN(8,$OF94*2+$OG94*4,SUMPRODUCT($NZ94:$OE94,$I$5:$N$5)))</f>
        <v/>
      </c>
      <c r="OW94" s="152">
        <f>MAX(0,11-SUMPRODUCT($NZ94:$OE94,$I$6:$N$6)+MIN(10,$OF94*3+$OG94*5,SUMPRODUCT($NZ94:$OE94,$I$6:$N$6)))</f>
        <v/>
      </c>
      <c r="OX94" s="152">
        <f>MAX(0,13-SUMPRODUCT($NZ94:$OE94,$I$7:$N$7)+MIN(12,$OF94*3+$OG94*6,SUMPRODUCT($NZ94:$OE94,$I$7:$N$7)))</f>
        <v/>
      </c>
      <c r="OY94" s="152">
        <f>MAX(0,16-SUMPRODUCT($NZ94:$OE94,$I$8:$N$8)+MIN(14,$OF94*4+$OG94*7,SUMPRODUCT($NZ94:$OE94,$I$8:$N$8)))</f>
        <v/>
      </c>
      <c r="OZ94" s="152">
        <f>IF($NT94=2,3*$OS94&amp;" de vida temp.",IF($NT94=3,"sem dano",IF($OS94=0,IF($NT94=1,"sem cura","sem dano"),IF($NT94=1,"cura ","")&amp;$OS94&amp;"d8")))</f>
        <v/>
      </c>
      <c r="PA94" s="152">
        <f>IF($NT94=2,3*$OT94&amp;" de vida temp.",IF($NT94=3,"sem dano",IF($OT94=0,IF($NT94=1,"sem cura","sem dano"),IF($NT94=1,"cura ","")&amp;$OT94&amp;"d8")))</f>
        <v/>
      </c>
      <c r="PB94" s="152">
        <f>IF($NT94=2,3*$OU94&amp;" de vida temp.",IF($NT94=3,"sem dano",IF($OU94=0,IF($NT94=1,"sem cura","sem dano"),IF($NT94=1,"cura ","")&amp;$OU94&amp;"d8")))</f>
        <v/>
      </c>
      <c r="PC94" s="152">
        <f>IF($NT94=2,3*$OV94&amp;" de vida temp.",IF($NT94=3,"sem dano",IF($OV94=0,IF($NT94=1,"sem cura","sem dano"),IF($NT94=1,"cura ","")&amp;$OV94&amp;"d8")))</f>
        <v/>
      </c>
      <c r="PD94" s="152">
        <f>IF($NT94=2,3*$OW94&amp;" de vida temp.",IF($NT94=3,"sem dano",IF($OW94=0,IF($NT94=1,"sem cura","sem dano"),IF($NT94=1,"cura ","")&amp;$OW94&amp;"d8")))</f>
        <v/>
      </c>
      <c r="PE94" s="152">
        <f>IF($NT94=2,3*$OX94&amp;" de vida temp.",IF($NT94=3,"sem dano",IF($OX94=0,IF($NT94=1,"sem cura","sem dano"),IF($NT94=1,"cura ","")&amp;$OX94&amp;"d8")))</f>
        <v/>
      </c>
      <c r="PF94" s="152">
        <f>IF($NT94=2,3*$OY94&amp;" de vida temp.",IF($NT94=3,"sem dano",IF($OY94=0,IF($NT94=1,"sem cura","sem dano"),IF($NT94=1,"cura ","")&amp;$OY94&amp;"d8")))</f>
        <v/>
      </c>
      <c r="PG94" s="152">
        <f>IF($MQ94=0,"",TEXTJOIN(" · ",TRUE,IF($MD94&gt;$MR94,"Este lugar abre no nível "&amp;$MD94,""),IF($MF94&gt;$MS94,"Classe "&amp;$MF94&amp;": o nível "&amp;$MR94&amp;" libera até a "&amp;$MS94,""),IF($NK94=1,"A Forma "&amp;$MH94&amp;" pede "&amp;INDEX($W$2:$W$11,$MW94)&amp;" aberta",""),IF(AND($MF94=0,$MW94&gt;0,IF($MW94=0,0,INDEX($AF$2:$AF$11,$MW94))=0),$MH94&amp;" não existe na Classe 0",""),IF($NL94=1,"Família Fechada: "&amp;$MK94,""),IF($NM94=1,"Família Fechada: "&amp;$ML94,""),IF($NN94=1,"Família Fechada: "&amp;$MM94,""),IF($NO94=1,"Família Fechada: "&amp;$MN94,""),IF(AND($MF94&gt;0,$OH94&gt;INDEX($O$2:$O$8,MAX(1,$MF94))),$OH94&amp;" Melhorias: a Classe "&amp;$MF94&amp;" aceita "&amp;INDEX($O$2:$O$8,MAX(1,$MF94)),""),IF(AND($MF94=0,$OH94&gt;1),"A básica aceita uma Melhoria",""),IF(AND($MF94=0,COUNTIF($NB94:$NE94,"&gt;1")&gt;0),"A básica só aceita Melhoria Leve",""),IF(AND($MF94&gt;0,$OI94&gt;2),$OI94&amp;" Restrições"&amp;IF($NS94=1,", contando a que a Forma "&amp;$MH94&amp;" já traz","")&amp;": o limite é 2",""),IF(AND($MF94=0,COUNTIF($MO94:$MP94,"?*")&gt;1),"A básica aceita uma Restrição Leve",""),IF(AND($MF94=0,COUNTIF($NV94:$NW94,2)&gt;0),"A básica só aceita Restrição Leve",""),IF(AND($MF94&gt;0,$OP94&lt;0),"Orçamento estourado: faltam "&amp;(-$OP94)&amp;IF($OP94&lt;-1," pontos"," ponto"),""),IF(IFERROR(VLOOKUP($MO94,$BC$2:$BG$24,4,FALSE),0)+IFERROR(VLOOKUP($MP94,$BC$2:$BG$24,4,FALSE),0)&gt;1,$NX94&amp;" e "&amp;$NY94&amp;" são as duas de frequência",""),IF(AND((COUNTIF($MK94:$MN94,"Rápido")+COUNTIF($NX94:$NY94,"Rápido"))&gt;0,(COUNTIF($MK94:$MN94,"Atrasar")+COUNTIF($NX94:$NY94,"Atrasar"))&gt;0),"Rápido não entra com Atrasar",""),IF(AND((COUNTIF($MK94:$MN94,"Reação")+COUNTIF($NX94:$NY94,"Reação"))&gt;0,(COUNTIF($MK94:$MN94,"Rápido")+COUNTIF($NX94:$NY94,"Rápido"))&gt;0),"Reação não entra com Rápido",""),IF(AND((COUNTIF($MK94:$MN94,"Reação")+COUNTIF($NX94:$NY94,"Reação"))&gt;0,(COUNTIF($MK94:$MN94,"Armado")+COUNTIF($NX94:$NY94,"Armado"))&gt;0),"Reação não entra com Armado",""),IF(AND((COUNTIF($MK94:$MN94,"Reação")+COUNTIF($NX94:$NY94,"Reação"))&gt;0,(COUNTIF($MK94:$MN94,"Atrasar")+COUNTIF($NX94:$NY94,"Atrasar"))&gt;0),"Reação não entra com Atrasar",""),IF(AND((COUNTIF($MK94:$MN94,"Reação")+COUNTIF($NX94:$NY94,"Reação"))&gt;0,(COUNTIF($MK94:$MN94,"Parado")+COUNTIF($NX94:$NY94,"Parado"))&gt;0),"Reação não entra com Parado",""),IF(AND((COUNTIF($MK94:$MN94,"Atrasar")+COUNTIF($NX94:$NY94,"Atrasar"))&gt;0,(COUNTIF($MK94:$MN94,"Parado")+COUNTIF($NX94:$NY94,"Parado"))&gt;0),"Atrasar não entra com Parado",""),IF(AND((COUNTIF($MK94:$MN94,"Armado")+COUNTIF($NX94:$NY94,"Armado"))&gt;0,(COUNTIF($MK94:$MN94,"Carregar")+COUNTIF($NX94:$NY94,"Carregar"))&gt;0),"Armado não entra com Carregar",""),IF(AND(COUNTIF($NX94:$NY94,"Corpo a Corpo")&gt;0,$NS94=0,OR($MH94="Cone",$MH94="Linha")),"Corpo a Corpo não entra em "&amp;$MH94,""),IF(AND(COUNTIF($NX94:$NY94,"Corpo a Corpo")&gt;0,$NS94=1),"A Forma "&amp;$MH94&amp;" já traz o Corpo a Corpo",""),IF(AND(COUNTIF($NX94:$NY94,"Tudo ou Nada")&gt;0,$NU94=0),"Tudo ou Nada só entra em habilidade de Teste de Resistência",""),IF(AND(COUNTIF($MK94:$MN94,"Inescapável")&gt;0,OR($OH94&gt;1,$OI94&gt;0)),"Inescapável não aceita outra peça",""),IF(AND($MF94&gt;0,$OQ94*IF(COUNTIF($MK94:$MN94,"Remate")&gt;0,1.25,1)+$OR94&gt;4*$MF94),($OQ94*IF(COUNTIF($MK94:$MN94,"Remate")&gt;0,1.25,1)+$OR94)&amp;" dados somando repetições"&amp;IF(COUNTIF($MK94:$MN94,"Remate")&gt;0," e o Remate","")&amp;": o teto da Classe "&amp;$MF94&amp;" é "&amp;4*$MF94,"")))</f>
        <v/>
      </c>
      <c r="PH94" s="152">
        <f>IF($PG94="",0,(LEN($PG94)-LEN(SUBSTITUTE($PG94," · ","")))/3+1)</f>
        <v/>
      </c>
      <c r="PI94" s="152">
        <f>IF($MQ94=0,"",TEXTJOIN(" · ",TRUE,IF($OK94&gt;2*$MF94,"A devolução parou no teto de "&amp;2*$MF94,""),IF($ON94&gt;0,"Devolução perdida: "&amp;$ON94&amp;IF($ON94&gt;1," pontos"," ponto")&amp;" sem peça para pagar",""),IF(AND($NP94&gt;0,AND($MF94&gt;0,$NT94=0),$OQ94=0),"Controle sem dano: uma rodada a mais e CD +2",""),IF(AND($NP94&gt;0,AND($MF94&gt;0,$NT94=0),$OQ94&gt;0,$OQ94&lt;=$MF94),"Controle com saldo até a Classe: uma rodada a mais",""),IF(AND($MF94&gt;0,$NR94&lt;&gt;""),"Efeito de "&amp;$NR94&amp;" pela Classe "&amp;MAX(1,$MF94-1),"")))</f>
        <v/>
      </c>
      <c r="PJ94" s="152">
        <f>IF($PI94="",0,(LEN($PI94)-LEN(SUBSTITUTE($PI94," · ","")))/3+1)</f>
        <v/>
      </c>
      <c r="PK94" s="152">
        <f>IF($MQ94=0,IF($OH94+COUNTIF($MO94:$MP94,"?*")&gt;0,"Dê um nome",""),IF($PH94&gt;0,"⚠ "&amp;$PH94&amp;IF($PH94&gt;1," erros"," erro"),IF($PJ94&gt;0,"! "&amp;$PJ94&amp;IF($PJ94&gt;1," avisos"," aviso"),"Na regra")))</f>
        <v/>
      </c>
      <c r="PL94" s="152">
        <f>IF($MQ94=0,"",IF($PH94+$PJ94=0,"Dentro das regras que a ficha confere",$PG94&amp;IF(AND($PH94&gt;0,$PJ94&gt;0)," · ","")&amp;$PI94))</f>
        <v/>
      </c>
      <c r="PM94" s="152">
        <f>IF($MD94&gt;$MR94,$ME94&amp;" · ABRE NO NÍVEL "&amp;$MD94,$ME94)</f>
        <v/>
      </c>
      <c r="PN94" s="152">
        <f>IF($MQ94=0,"",IF($MF94=0,"Sem PE",3*$MF94&amp;" PE"))</f>
        <v/>
      </c>
      <c r="PO94" s="152">
        <f>IF($MQ94=0,"",IF($MF94=0,"A atuação básica dela",IF(COUNTIF($NX94:$NY94,"Atrasar")&gt;0,"Sua Ação Completa",IF(COUNTIF($MK94:$MN94,"Rápido")&gt;0,"Sua Bônus",IF(COUNTIF($MK94:$MN94,"Reação")&gt;0,"Sua Reação","Sua Padrão")))&amp;" + a básica dela"&amp;IF(COUNTIF($MK94:$MN94,"Reação")&gt;0," e a coletiva","")&amp;IF(COUNTIF($NX94:$NY94,"Carregar")&gt;0," · em dois turnos","")))</f>
        <v/>
      </c>
      <c r="PP94" s="152">
        <f>IF($MJ94&lt;&gt;"",$MJ94,IF($MW94=0,"",INDEX($AA$2:$AA$11,$MW94)))</f>
        <v/>
      </c>
      <c r="PQ94" s="152">
        <f>IF(OR($MQ94=0,$MW94=0),"",IF(COUNTIF($MK94:$MN94,"Inescapável")&gt;0,"Automático",IF($PP94="Ataque",IF($MU94="","Ataque","Ataque "&amp;IF(($MU94+2*IF(COUNTIF($MK94:$MN94,"Precisão")&gt;0,1,0))&gt;=0,"+","−")&amp;ABS(($MU94+2*IF(COUNTIF($MK94:$MN94,"Precisão")&gt;0,1,0))))&amp;IF($NQ94&gt;0," · TR"&amp;IF($MV94="",""," CD "&amp;$MV94),""),IF(LEFT($PP94,2)="TR",$PP94&amp;IF($MV94="",""," · CD "&amp;$MV94)&amp;IF(COUNTIF($MK94:$MN94,"Certeiro")&gt;0," · metade",""),"Sem rolagem"))))</f>
        <v/>
      </c>
      <c r="PR94" s="152">
        <f>IF(OR($MQ94=0,$MW94=0),"",IF($MF94=0,IF(OR($NT94&gt;=1,$OQ94=0),"Sem dano",$OQ94&amp;"d6"&amp;IF($MI94="",""," "&amp;$MI94)),IF(OR($NT94&gt;=1,$OQ94=0),UPPER(LEFT(INDEX($OZ94:$PF94,1,MAX(1,$MF94)),1))&amp;MID(INDEX($OZ94:$PF94,1,MAX(1,$MF94)),2,99),UPPER(LEFT(INDEX($OZ94:$PF94,1,MAX(1,$MF94)),1))&amp;MID(INDEX($OZ94:$PF94,1,MAX(1,$MF94)),2,99)&amp;IF($MI94="",""," "&amp;$MI94)&amp;IF($OR94&gt;0," · +"&amp;$OR94&amp;"d8",""))))</f>
        <v/>
      </c>
      <c r="PS94" s="152">
        <f>COUNTIF($MK94:$MN94,"Longe")+3*COUNTIF($MK94:$MN94,"Muito Longe")</f>
        <v/>
      </c>
      <c r="PT94" s="152">
        <f>COUNTIF($MK94:$MN94,"Maior")+3*COUNTIF($MK94:$MN94,"Muito Maior")</f>
        <v/>
      </c>
      <c r="PU94" s="152">
        <f>IF($MW94=0,0,CHOOSE(1+INDEX($AC$2:$AC$11,$MW94),0,$PS94,$PT94,$PS94+$PT94))</f>
        <v/>
      </c>
      <c r="PV94" s="152">
        <f>IF($MW94=0,0,CHOOSE(1+INDEX($AD$2:$AD$11,$MW94),0,$PS94,$PT94,$PS94+$PT94))</f>
        <v/>
      </c>
      <c r="PW94" s="152">
        <f>IF(OR($MQ94=0,$MW94=0),"",INDEX($AI$2:$AN$41,($MW94-1)*4+IF($MF94=0,1,IF($MF94&lt;=5,2,IF($MF94=6,3,4))),1+MIN(5,$PU94))&amp;INDEX($AO$2:$AT$41,($MW94-1)*4+IF($MF94=0,1,IF($MF94&lt;=5,2,IF($MF94=6,3,4))),1+MIN(5,$PV94))&amp;IF(INDEX($AE$2:$AE$11,$MW94)=1,IF(COUNTIF($MK94:$MN94,"Mais Um")&gt;0," · +"&amp;COUNTIF($MK94:$MN94,"Mais Um")&amp;IF(COUNTIF($MK94:$MN94,"Mais Um")&gt;1," alvos"," alvo"),"")&amp;IF(COUNTIF($MK94:$MN94,"Rajada")&gt;0,IF($MF94=0," · 1 tiro"," · "&amp;(MAX(1,$MF94-1)+1)&amp;" tiros"),""),""))</f>
        <v/>
      </c>
      <c r="PX94" s="152">
        <f>IF($MQ94=0,"",IF($MF94=0,$MT94&amp;"d6"&amp;IF($OH94&gt;0," − 1 = "&amp;$OQ94&amp;"d6"," da básica do nível "&amp;$MR94),$OO94&amp;" − "&amp;$OJ94&amp;" + "&amp;$OM94&amp;" = "&amp;$OP94&amp;" · teto "&amp;4*$MF94&amp;"d8"&amp;IF($NS94=1," · a Forma devolve "&amp;$MF94,"")&amp;IF($ON94&gt;0," · perde "&amp;$ON94,"")))</f>
        <v/>
      </c>
      <c r="PY94" s="152">
        <f>IF($MQ94=0,"",IF($MF94=0,"A básica não amplia: os dados dela sobem com o nível",IF($MF94&gt;=$MS94,"Já está na maior Classe que o nível liberou",TEXTJOIN(" · ",TRUE,IF(AND(2&gt;$MF94,2&lt;=$MS94),"2 → "&amp;$PA94&amp;", 6 PE",""),IF(AND(3&gt;$MF94,3&lt;=$MS94),"3 → "&amp;$PB94&amp;", 9 PE",""),IF(AND(4&gt;$MF94,4&lt;=$MS94),"4 → "&amp;$PC94&amp;", 12 PE",""),IF(AND(5&gt;$MF94,5&lt;=$MS94),"5 → "&amp;$PD94&amp;", 15 PE",""),IF(AND(6&gt;$MF94,6&lt;=$MS94),"6 → "&amp;$PE94&amp;", 18 PE",""),IF(AND(7&gt;$MF94,7&lt;=$MS94),"7 → "&amp;$PF94&amp;", 21 PE","")))))</f>
        <v/>
      </c>
      <c r="PZ94" s="152">
        <f>IF(OR($MQ94=0,$NB94=0),"",IF($MF94=0,"−1 dado","−"&amp;INDEX($I$2:$N$8,MAX(1,$MF94),MAX(1,$NG94))&amp;" · "&amp;CHOOSE(MAX(1,$NG94),"Leve","Média","Pesada","Leve · Livre","Média · Livre","Pesada · Livre")))</f>
        <v/>
      </c>
      <c r="QA94" s="152">
        <f>IF(OR($MQ94=0,$NC94=0),"",IF($MF94=0,"−1 dado","−"&amp;INDEX($I$2:$N$8,MAX(1,$MF94),MAX(1,$NH94))&amp;" · "&amp;CHOOSE(MAX(1,$NH94),"Leve","Média","Pesada","Leve · Livre","Média · Livre","Pesada · Livre")))</f>
        <v/>
      </c>
      <c r="QB94" s="152">
        <f>IF(OR($MQ94=0,$ND94=0),"",IF($MF94=0,"−1 dado","−"&amp;INDEX($I$2:$N$8,MAX(1,$MF94),MAX(1,$NI94))&amp;" · "&amp;CHOOSE(MAX(1,$NI94),"Leve","Média","Pesada","Leve · Livre","Média · Livre","Pesada · Livre")))</f>
        <v/>
      </c>
      <c r="QC94" s="152">
        <f>IF(OR($MQ94=0,$NE94=0),"",IF($MF94=0,"−1 dado","−"&amp;INDEX($I$2:$N$8,MAX(1,$MF94),MAX(1,$NJ94))&amp;" · "&amp;CHOOSE(MAX(1,$NJ94),"Leve","Média","Pesada","Leve · Livre","Média · Livre","Pesada · Livre")))</f>
        <v/>
      </c>
      <c r="QD94" s="152">
        <f>IF(OR($MQ94=0,$MO94=""),"",IF($MF94=0,"não devolve","+"&amp;IF($NV94=1,CEILING($MF94/2,1),$MF94)))</f>
        <v/>
      </c>
      <c r="QE94" s="152">
        <f>IF(OR($MQ94=0,$MP94=""),"",IF($MF94=0,"não devolve","+"&amp;IF($NW94=1,CEILING($MF94/2,1),$MF94)))</f>
        <v/>
      </c>
    </row>
    <row r="95">
      <c r="MA95" s="150" t="inlineStr">
        <is>
          <t>Ficha 8 · Especial 2</t>
        </is>
      </c>
      <c r="MB95" s="152" t="n">
        <v>8</v>
      </c>
      <c r="MC95" s="152" t="n">
        <v>1</v>
      </c>
      <c r="MD95" s="152" t="n">
        <v>4</v>
      </c>
      <c r="ME95" s="150" t="inlineStr">
        <is>
          <t>ESPECIAL 2</t>
        </is>
      </c>
      <c r="MF95" s="152">
        <f>MAX(1,MIN(7,N('INVOCAÇÕES'!$AN$256)))</f>
        <v/>
      </c>
      <c r="MG95" s="152">
        <f>'INVOCAÇÕES'!$AO$256&amp;""</f>
        <v/>
      </c>
      <c r="MH95" s="152">
        <f>'INVOCAÇÕES'!$AN$261&amp;""</f>
        <v/>
      </c>
      <c r="MI95" s="152">
        <f>'INVOCAÇÕES'!$AN$262&amp;""</f>
        <v/>
      </c>
      <c r="MJ95" s="152">
        <f>'INVOCAÇÕES'!$AP$262&amp;""</f>
        <v/>
      </c>
      <c r="MK95" s="152">
        <f>'INVOCAÇÕES'!$AO$265&amp;""</f>
        <v/>
      </c>
      <c r="ML95" s="152">
        <f>'INVOCAÇÕES'!$AO$266&amp;""</f>
        <v/>
      </c>
      <c r="MM95" s="152">
        <f>'INVOCAÇÕES'!$AO$267&amp;""</f>
        <v/>
      </c>
      <c r="MN95" s="152">
        <f>'INVOCAÇÕES'!$AO$268&amp;""</f>
        <v/>
      </c>
      <c r="MO95" s="152">
        <f>'INVOCAÇÕES'!$AO$269&amp;""</f>
        <v/>
      </c>
      <c r="MP95" s="152">
        <f>'INVOCAÇÕES'!$AO$270&amp;""</f>
        <v/>
      </c>
      <c r="MQ95" s="152">
        <f>IF($MG95&lt;&gt;"",1,0)</f>
        <v/>
      </c>
      <c r="MR95" s="152">
        <f>INDEX($FI$2:$FI$13,$MB95)</f>
        <v/>
      </c>
      <c r="MS95" s="152">
        <f>INDEX($FJ$2:$FJ$13,$MB95)</f>
        <v/>
      </c>
      <c r="MT95" s="152">
        <f>INDEX($FK$2:$FK$13,$MB95)</f>
        <v/>
      </c>
      <c r="MU95" s="152">
        <f>INDEX($FV$2:$FV$13,$MB95)</f>
        <v/>
      </c>
      <c r="MV95" s="152">
        <f>INDEX($FW$2:$FW$13,$MB95)</f>
        <v/>
      </c>
      <c r="MW95" s="152">
        <f>IFERROR(MATCH($MH95,$V$2:$V$11,0),0)</f>
        <v/>
      </c>
      <c r="MX95" s="152">
        <f>IFERROR(VLOOKUP($MK95,$AV$2:$BA$84,2,FALSE),"")</f>
        <v/>
      </c>
      <c r="MY95" s="152">
        <f>IFERROR(VLOOKUP($ML95,$AV$2:$BA$84,2,FALSE),"")</f>
        <v/>
      </c>
      <c r="MZ95" s="152">
        <f>IFERROR(VLOOKUP($MM95,$AV$2:$BA$84,2,FALSE),"")</f>
        <v/>
      </c>
      <c r="NA95" s="152">
        <f>IFERROR(VLOOKUP($MN95,$AV$2:$BA$84,2,FALSE),"")</f>
        <v/>
      </c>
      <c r="NB95" s="152">
        <f>IFERROR(VLOOKUP($MK95,$AV$2:$BA$84,3,FALSE),0)</f>
        <v/>
      </c>
      <c r="NC95" s="152">
        <f>IFERROR(VLOOKUP($ML95,$AV$2:$BA$84,3,FALSE),0)</f>
        <v/>
      </c>
      <c r="ND95" s="152">
        <f>IFERROR(VLOOKUP($MM95,$AV$2:$BA$84,3,FALSE),0)</f>
        <v/>
      </c>
      <c r="NE95" s="152">
        <f>IFERROR(VLOOKUP($MN95,$AV$2:$BA$84,3,FALSE),0)</f>
        <v/>
      </c>
      <c r="NF95" s="152">
        <f>IF($MF95=0,0,IF($MW95=0,0,INDEX($X$2:$X$11,$MW95)))</f>
        <v/>
      </c>
      <c r="NG95" s="152">
        <f>IF(OR($NB95=0,$MF95=0),0,$NB95+3*IF(AND($MX95&lt;&gt;"",OR($MX95=INDEX($EF$2:$EF$13,$MB95),$MX95=INDEX($EG$2:$EG$13,$MB95))),1,0))</f>
        <v/>
      </c>
      <c r="NH95" s="152">
        <f>IF(OR($NC95=0,$MF95=0),0,$NC95+3*IF(AND($MY95&lt;&gt;"",OR($MY95=INDEX($EF$2:$EF$13,$MB95),$MY95=INDEX($EG$2:$EG$13,$MB95))),1,0))</f>
        <v/>
      </c>
      <c r="NI95" s="152">
        <f>IF(OR($ND95=0,$MF95=0),0,$ND95+3*IF(AND($MZ95&lt;&gt;"",OR($MZ95=INDEX($EF$2:$EF$13,$MB95),$MZ95=INDEX($EG$2:$EG$13,$MB95))),1,0))</f>
        <v/>
      </c>
      <c r="NJ95" s="152">
        <f>IF(OR($NE95=0,$MF95=0),0,$NE95+3*IF(AND($NA95&lt;&gt;"",OR($NA95=INDEX($EF$2:$EF$13,$MB95),$NA95=INDEX($EG$2:$EG$13,$MB95))),1,0))</f>
        <v/>
      </c>
      <c r="NK95" s="152">
        <f>IF($MW95=0,0,IF(INDEX($W$2:$W$11,$MW95)="",0,IF(COUNTIF(INDEX($EF$2:$EJ$13,$MB95,0),INDEX($W$2:$W$11,$MW95))=0,1,0)))</f>
        <v/>
      </c>
      <c r="NL95" s="152">
        <f>IF(OR($NB95=0,$MX95=""),0,IF(COUNTIF(INDEX($EF$2:$EJ$13,$MB95,0),$MX95)=0,1,0))</f>
        <v/>
      </c>
      <c r="NM95" s="152">
        <f>IF(OR($NC95=0,$MY95=""),0,IF(COUNTIF(INDEX($EF$2:$EJ$13,$MB95,0),$MY95)=0,1,0))</f>
        <v/>
      </c>
      <c r="NN95" s="152">
        <f>IF(OR($ND95=0,$MZ95=""),0,IF(COUNTIF(INDEX($EF$2:$EJ$13,$MB95,0),$MZ95)=0,1,0))</f>
        <v/>
      </c>
      <c r="NO95" s="152">
        <f>IF(OR($NE95=0,$NA95=""),0,IF(COUNTIF(INDEX($EF$2:$EJ$13,$MB95,0),$NA95)=0,1,0))</f>
        <v/>
      </c>
      <c r="NP95" s="152">
        <f>IFERROR(VLOOKUP($MK95,$AV$2:$BA$84,4,FALSE),0)+IFERROR(VLOOKUP($ML95,$AV$2:$BA$84,4,FALSE),0)+IFERROR(VLOOKUP($MM95,$AV$2:$BA$84,4,FALSE),0)+IFERROR(VLOOKUP($MN95,$AV$2:$BA$84,4,FALSE),0)</f>
        <v/>
      </c>
      <c r="NQ95" s="152">
        <f>IFERROR(VLOOKUP($MK95,$AV$2:$BA$84,6,FALSE),0)+IFERROR(VLOOKUP($ML95,$AV$2:$BA$84,6,FALSE),0)+IFERROR(VLOOKUP($MM95,$AV$2:$BA$84,6,FALSE),0)+IFERROR(VLOOKUP($MN95,$AV$2:$BA$84,6,FALSE),0)</f>
        <v/>
      </c>
      <c r="NR95" s="152">
        <f>TEXTJOIN(", ",TRUE,IF(IFERROR(VLOOKUP($MK95,$AV$2:$BA$84,5,FALSE),0)=1,$MK95,""),IF(IFERROR(VLOOKUP($ML95,$AV$2:$BA$84,5,FALSE),0)=1,$ML95,""),IF(IFERROR(VLOOKUP($MM95,$AV$2:$BA$84,5,FALSE),0)=1,$MM95,""),IF(IFERROR(VLOOKUP($MN95,$AV$2:$BA$84,5,FALSE),0)=1,$MN95,""))</f>
        <v/>
      </c>
      <c r="NS95" s="152">
        <f>IF($MW95=0,0,INDEX($Y$2:$Y$11,$MW95))</f>
        <v/>
      </c>
      <c r="NT95" s="152">
        <f>IF($MW95=0,0,INDEX($Z$2:$Z$11,$MW95))</f>
        <v/>
      </c>
      <c r="NU95" s="152">
        <f>IF($MW95=0,0,INDEX($AB$2:$AB$11,$MW95))</f>
        <v/>
      </c>
      <c r="NV95" s="152">
        <f>IFERROR(VLOOKUP($MO95,$BC$2:$BG$24,3,FALSE),0)</f>
        <v/>
      </c>
      <c r="NW95" s="152">
        <f>IFERROR(VLOOKUP($MP95,$BC$2:$BG$24,3,FALSE),0)</f>
        <v/>
      </c>
      <c r="NX95" s="152">
        <f>IFERROR(VLOOKUP($MO95,$BC$2:$BG$24,2,FALSE),"")</f>
        <v/>
      </c>
      <c r="NY95" s="152">
        <f>IFERROR(VLOOKUP($MP95,$BC$2:$BG$24,2,FALSE),"")</f>
        <v/>
      </c>
      <c r="NZ95" s="152">
        <f>COUNTIF($NF95:$NJ95,1)</f>
        <v/>
      </c>
      <c r="OA95" s="152">
        <f>COUNTIF($NF95:$NJ95,2)</f>
        <v/>
      </c>
      <c r="OB95" s="152">
        <f>COUNTIF($NF95:$NJ95,3)</f>
        <v/>
      </c>
      <c r="OC95" s="152">
        <f>COUNTIF($NF95:$NJ95,4)</f>
        <v/>
      </c>
      <c r="OD95" s="152">
        <f>COUNTIF($NF95:$NJ95,5)</f>
        <v/>
      </c>
      <c r="OE95" s="152">
        <f>COUNTIF($NF95:$NJ95,6)</f>
        <v/>
      </c>
      <c r="OF95" s="152">
        <f>COUNTIF($NV95:$NW95,1)</f>
        <v/>
      </c>
      <c r="OG95" s="152">
        <f>COUNTIF($NV95:$NW95,2)+$NS95</f>
        <v/>
      </c>
      <c r="OH95" s="152">
        <f>COUNTIF($MK95:$MN95,"?*")</f>
        <v/>
      </c>
      <c r="OI95" s="152">
        <f>COUNTIF($MO95:$MP95,"?*")+$NS95</f>
        <v/>
      </c>
      <c r="OJ95" s="152">
        <f>IF($MF95=0,0,SUMPRODUCT($NZ95:$OE95,INDEX($I$2:$N$8,MAX(1,$MF95),0)))</f>
        <v/>
      </c>
      <c r="OK95" s="152">
        <f>IF($MF95=0,0,$OF95*CEILING($MF95/2,1)+$OG95*$MF95)</f>
        <v/>
      </c>
      <c r="OL95" s="152">
        <f>MIN(2*$MF95,$OK95)</f>
        <v/>
      </c>
      <c r="OM95" s="152">
        <f>MIN($OL95,$OJ95)</f>
        <v/>
      </c>
      <c r="ON95" s="152">
        <f>$OL95-$OM95</f>
        <v/>
      </c>
      <c r="OO95" s="152">
        <f>IF($MF95=0,0,INDEX($P$2:$P$8,MAX(1,$MF95)))</f>
        <v/>
      </c>
      <c r="OP95" s="152">
        <f>$OO95-$OJ95+$OM95</f>
        <v/>
      </c>
      <c r="OQ95" s="152">
        <f>IF($MF95=0,MAX(0,$MT95-IF($OH95&gt;0,1,0)),MAX(0,$OP95))</f>
        <v/>
      </c>
      <c r="OR95" s="152">
        <f>IF($MF95=0,0,(IF(COUNTIF($MK95:$MN95,"Salto")&gt;0,1,0)+IF(COUNTIF($MK95:$MN95,"Queima")&gt;0,1,0)+IF(COUNTIF($MK95:$MN95,"Estilhaço")&gt;0,1,0))*FLOOR($OQ95/2,1))</f>
        <v/>
      </c>
      <c r="OS95" s="152">
        <f>MAX(0,2-SUMPRODUCT($NZ95:$OE95,$I$2:$N$2)+MIN(2,$OF95*1+$OG95*1,SUMPRODUCT($NZ95:$OE95,$I$2:$N$2)))</f>
        <v/>
      </c>
      <c r="OT95" s="152">
        <f>MAX(0,4-SUMPRODUCT($NZ95:$OE95,$I$3:$N$3)+MIN(4,$OF95*1+$OG95*2,SUMPRODUCT($NZ95:$OE95,$I$3:$N$3)))</f>
        <v/>
      </c>
      <c r="OU95" s="152">
        <f>MAX(0,6-SUMPRODUCT($NZ95:$OE95,$I$4:$N$4)+MIN(6,$OF95*2+$OG95*3,SUMPRODUCT($NZ95:$OE95,$I$4:$N$4)))</f>
        <v/>
      </c>
      <c r="OV95" s="152">
        <f>MAX(0,9-SUMPRODUCT($NZ95:$OE95,$I$5:$N$5)+MIN(8,$OF95*2+$OG95*4,SUMPRODUCT($NZ95:$OE95,$I$5:$N$5)))</f>
        <v/>
      </c>
      <c r="OW95" s="152">
        <f>MAX(0,11-SUMPRODUCT($NZ95:$OE95,$I$6:$N$6)+MIN(10,$OF95*3+$OG95*5,SUMPRODUCT($NZ95:$OE95,$I$6:$N$6)))</f>
        <v/>
      </c>
      <c r="OX95" s="152">
        <f>MAX(0,13-SUMPRODUCT($NZ95:$OE95,$I$7:$N$7)+MIN(12,$OF95*3+$OG95*6,SUMPRODUCT($NZ95:$OE95,$I$7:$N$7)))</f>
        <v/>
      </c>
      <c r="OY95" s="152">
        <f>MAX(0,16-SUMPRODUCT($NZ95:$OE95,$I$8:$N$8)+MIN(14,$OF95*4+$OG95*7,SUMPRODUCT($NZ95:$OE95,$I$8:$N$8)))</f>
        <v/>
      </c>
      <c r="OZ95" s="152">
        <f>IF($NT95=2,3*$OS95&amp;" de vida temp.",IF($NT95=3,"sem dano",IF($OS95=0,IF($NT95=1,"sem cura","sem dano"),IF($NT95=1,"cura ","")&amp;$OS95&amp;"d8")))</f>
        <v/>
      </c>
      <c r="PA95" s="152">
        <f>IF($NT95=2,3*$OT95&amp;" de vida temp.",IF($NT95=3,"sem dano",IF($OT95=0,IF($NT95=1,"sem cura","sem dano"),IF($NT95=1,"cura ","")&amp;$OT95&amp;"d8")))</f>
        <v/>
      </c>
      <c r="PB95" s="152">
        <f>IF($NT95=2,3*$OU95&amp;" de vida temp.",IF($NT95=3,"sem dano",IF($OU95=0,IF($NT95=1,"sem cura","sem dano"),IF($NT95=1,"cura ","")&amp;$OU95&amp;"d8")))</f>
        <v/>
      </c>
      <c r="PC95" s="152">
        <f>IF($NT95=2,3*$OV95&amp;" de vida temp.",IF($NT95=3,"sem dano",IF($OV95=0,IF($NT95=1,"sem cura","sem dano"),IF($NT95=1,"cura ","")&amp;$OV95&amp;"d8")))</f>
        <v/>
      </c>
      <c r="PD95" s="152">
        <f>IF($NT95=2,3*$OW95&amp;" de vida temp.",IF($NT95=3,"sem dano",IF($OW95=0,IF($NT95=1,"sem cura","sem dano"),IF($NT95=1,"cura ","")&amp;$OW95&amp;"d8")))</f>
        <v/>
      </c>
      <c r="PE95" s="152">
        <f>IF($NT95=2,3*$OX95&amp;" de vida temp.",IF($NT95=3,"sem dano",IF($OX95=0,IF($NT95=1,"sem cura","sem dano"),IF($NT95=1,"cura ","")&amp;$OX95&amp;"d8")))</f>
        <v/>
      </c>
      <c r="PF95" s="152">
        <f>IF($NT95=2,3*$OY95&amp;" de vida temp.",IF($NT95=3,"sem dano",IF($OY95=0,IF($NT95=1,"sem cura","sem dano"),IF($NT95=1,"cura ","")&amp;$OY95&amp;"d8")))</f>
        <v/>
      </c>
      <c r="PG95" s="152">
        <f>IF($MQ95=0,"",TEXTJOIN(" · ",TRUE,IF($MD95&gt;$MR95,"Este lugar abre no nível "&amp;$MD95,""),IF($MF95&gt;$MS95,"Classe "&amp;$MF95&amp;": o nível "&amp;$MR95&amp;" libera até a "&amp;$MS95,""),IF($NK95=1,"A Forma "&amp;$MH95&amp;" pede "&amp;INDEX($W$2:$W$11,$MW95)&amp;" aberta",""),IF(AND($MF95=0,$MW95&gt;0,IF($MW95=0,0,INDEX($AF$2:$AF$11,$MW95))=0),$MH95&amp;" não existe na Classe 0",""),IF($NL95=1,"Família Fechada: "&amp;$MK95,""),IF($NM95=1,"Família Fechada: "&amp;$ML95,""),IF($NN95=1,"Família Fechada: "&amp;$MM95,""),IF($NO95=1,"Família Fechada: "&amp;$MN95,""),IF(AND($MF95&gt;0,$OH95&gt;INDEX($O$2:$O$8,MAX(1,$MF95))),$OH95&amp;" Melhorias: a Classe "&amp;$MF95&amp;" aceita "&amp;INDEX($O$2:$O$8,MAX(1,$MF95)),""),IF(AND($MF95=0,$OH95&gt;1),"A básica aceita uma Melhoria",""),IF(AND($MF95=0,COUNTIF($NB95:$NE95,"&gt;1")&gt;0),"A básica só aceita Melhoria Leve",""),IF(AND($MF95&gt;0,$OI95&gt;2),$OI95&amp;" Restrições"&amp;IF($NS95=1,", contando a que a Forma "&amp;$MH95&amp;" já traz","")&amp;": o limite é 2",""),IF(AND($MF95=0,COUNTIF($MO95:$MP95,"?*")&gt;1),"A básica aceita uma Restrição Leve",""),IF(AND($MF95=0,COUNTIF($NV95:$NW95,2)&gt;0),"A básica só aceita Restrição Leve",""),IF(AND($MF95&gt;0,$OP95&lt;0),"Orçamento estourado: faltam "&amp;(-$OP95)&amp;IF($OP95&lt;-1," pontos"," ponto"),""),IF(IFERROR(VLOOKUP($MO95,$BC$2:$BG$24,4,FALSE),0)+IFERROR(VLOOKUP($MP95,$BC$2:$BG$24,4,FALSE),0)&gt;1,$NX95&amp;" e "&amp;$NY95&amp;" são as duas de frequência",""),IF(AND((COUNTIF($MK95:$MN95,"Rápido")+COUNTIF($NX95:$NY95,"Rápido"))&gt;0,(COUNTIF($MK95:$MN95,"Atrasar")+COUNTIF($NX95:$NY95,"Atrasar"))&gt;0),"Rápido não entra com Atrasar",""),IF(AND((COUNTIF($MK95:$MN95,"Reação")+COUNTIF($NX95:$NY95,"Reação"))&gt;0,(COUNTIF($MK95:$MN95,"Rápido")+COUNTIF($NX95:$NY95,"Rápido"))&gt;0),"Reação não entra com Rápido",""),IF(AND((COUNTIF($MK95:$MN95,"Reação")+COUNTIF($NX95:$NY95,"Reação"))&gt;0,(COUNTIF($MK95:$MN95,"Armado")+COUNTIF($NX95:$NY95,"Armado"))&gt;0),"Reação não entra com Armado",""),IF(AND((COUNTIF($MK95:$MN95,"Reação")+COUNTIF($NX95:$NY95,"Reação"))&gt;0,(COUNTIF($MK95:$MN95,"Atrasar")+COUNTIF($NX95:$NY95,"Atrasar"))&gt;0),"Reação não entra com Atrasar",""),IF(AND((COUNTIF($MK95:$MN95,"Reação")+COUNTIF($NX95:$NY95,"Reação"))&gt;0,(COUNTIF($MK95:$MN95,"Parado")+COUNTIF($NX95:$NY95,"Parado"))&gt;0),"Reação não entra com Parado",""),IF(AND((COUNTIF($MK95:$MN95,"Atrasar")+COUNTIF($NX95:$NY95,"Atrasar"))&gt;0,(COUNTIF($MK95:$MN95,"Parado")+COUNTIF($NX95:$NY95,"Parado"))&gt;0),"Atrasar não entra com Parado",""),IF(AND((COUNTIF($MK95:$MN95,"Armado")+COUNTIF($NX95:$NY95,"Armado"))&gt;0,(COUNTIF($MK95:$MN95,"Carregar")+COUNTIF($NX95:$NY95,"Carregar"))&gt;0),"Armado não entra com Carregar",""),IF(AND(COUNTIF($NX95:$NY95,"Corpo a Corpo")&gt;0,$NS95=0,OR($MH95="Cone",$MH95="Linha")),"Corpo a Corpo não entra em "&amp;$MH95,""),IF(AND(COUNTIF($NX95:$NY95,"Corpo a Corpo")&gt;0,$NS95=1),"A Forma "&amp;$MH95&amp;" já traz o Corpo a Corpo",""),IF(AND(COUNTIF($NX95:$NY95,"Tudo ou Nada")&gt;0,$NU95=0),"Tudo ou Nada só entra em habilidade de Teste de Resistência",""),IF(AND(COUNTIF($MK95:$MN95,"Inescapável")&gt;0,OR($OH95&gt;1,$OI95&gt;0)),"Inescapável não aceita outra peça",""),IF(AND($MF95&gt;0,$OQ95*IF(COUNTIF($MK95:$MN95,"Remate")&gt;0,1.25,1)+$OR95&gt;4*$MF95),($OQ95*IF(COUNTIF($MK95:$MN95,"Remate")&gt;0,1.25,1)+$OR95)&amp;" dados somando repetições"&amp;IF(COUNTIF($MK95:$MN95,"Remate")&gt;0," e o Remate","")&amp;": o teto da Classe "&amp;$MF95&amp;" é "&amp;4*$MF95,"")))</f>
        <v/>
      </c>
      <c r="PH95" s="152">
        <f>IF($PG95="",0,(LEN($PG95)-LEN(SUBSTITUTE($PG95," · ","")))/3+1)</f>
        <v/>
      </c>
      <c r="PI95" s="152">
        <f>IF($MQ95=0,"",TEXTJOIN(" · ",TRUE,IF($OK95&gt;2*$MF95,"A devolução parou no teto de "&amp;2*$MF95,""),IF($ON95&gt;0,"Devolução perdida: "&amp;$ON95&amp;IF($ON95&gt;1," pontos"," ponto")&amp;" sem peça para pagar",""),IF(AND($NP95&gt;0,AND($MF95&gt;0,$NT95=0),$OQ95=0),"Controle sem dano: uma rodada a mais e CD +2",""),IF(AND($NP95&gt;0,AND($MF95&gt;0,$NT95=0),$OQ95&gt;0,$OQ95&lt;=$MF95),"Controle com saldo até a Classe: uma rodada a mais",""),IF(AND($MF95&gt;0,$NR95&lt;&gt;""),"Efeito de "&amp;$NR95&amp;" pela Classe "&amp;MAX(1,$MF95-1),"")))</f>
        <v/>
      </c>
      <c r="PJ95" s="152">
        <f>IF($PI95="",0,(LEN($PI95)-LEN(SUBSTITUTE($PI95," · ","")))/3+1)</f>
        <v/>
      </c>
      <c r="PK95" s="152">
        <f>IF($MQ95=0,IF($OH95+COUNTIF($MO95:$MP95,"?*")&gt;0,"Dê um nome",""),IF($PH95&gt;0,"⚠ "&amp;$PH95&amp;IF($PH95&gt;1," erros"," erro"),IF($PJ95&gt;0,"! "&amp;$PJ95&amp;IF($PJ95&gt;1," avisos"," aviso"),"Na regra")))</f>
        <v/>
      </c>
      <c r="PL95" s="152">
        <f>IF($MQ95=0,"",IF($PH95+$PJ95=0,"Dentro das regras que a ficha confere",$PG95&amp;IF(AND($PH95&gt;0,$PJ95&gt;0)," · ","")&amp;$PI95))</f>
        <v/>
      </c>
      <c r="PM95" s="152">
        <f>IF($MD95&gt;$MR95,$ME95&amp;" · ABRE NO NÍVEL "&amp;$MD95,$ME95)</f>
        <v/>
      </c>
      <c r="PN95" s="152">
        <f>IF($MQ95=0,"",IF($MF95=0,"Sem PE",3*$MF95&amp;" PE"))</f>
        <v/>
      </c>
      <c r="PO95" s="152">
        <f>IF($MQ95=0,"",IF($MF95=0,"A atuação básica dela",IF(COUNTIF($NX95:$NY95,"Atrasar")&gt;0,"Sua Ação Completa",IF(COUNTIF($MK95:$MN95,"Rápido")&gt;0,"Sua Bônus",IF(COUNTIF($MK95:$MN95,"Reação")&gt;0,"Sua Reação","Sua Padrão")))&amp;" + a básica dela"&amp;IF(COUNTIF($MK95:$MN95,"Reação")&gt;0," e a coletiva","")&amp;IF(COUNTIF($NX95:$NY95,"Carregar")&gt;0," · em dois turnos","")))</f>
        <v/>
      </c>
      <c r="PP95" s="152">
        <f>IF($MJ95&lt;&gt;"",$MJ95,IF($MW95=0,"",INDEX($AA$2:$AA$11,$MW95)))</f>
        <v/>
      </c>
      <c r="PQ95" s="152">
        <f>IF(OR($MQ95=0,$MW95=0),"",IF(COUNTIF($MK95:$MN95,"Inescapável")&gt;0,"Automático",IF($PP95="Ataque",IF($MU95="","Ataque","Ataque "&amp;IF(($MU95+2*IF(COUNTIF($MK95:$MN95,"Precisão")&gt;0,1,0))&gt;=0,"+","−")&amp;ABS(($MU95+2*IF(COUNTIF($MK95:$MN95,"Precisão")&gt;0,1,0))))&amp;IF($NQ95&gt;0," · TR"&amp;IF($MV95="",""," CD "&amp;$MV95),""),IF(LEFT($PP95,2)="TR",$PP95&amp;IF($MV95="",""," · CD "&amp;$MV95)&amp;IF(COUNTIF($MK95:$MN95,"Certeiro")&gt;0," · metade",""),"Sem rolagem"))))</f>
        <v/>
      </c>
      <c r="PR95" s="152">
        <f>IF(OR($MQ95=0,$MW95=0),"",IF($MF95=0,IF(OR($NT95&gt;=1,$OQ95=0),"Sem dano",$OQ95&amp;"d6"&amp;IF($MI95="",""," "&amp;$MI95)),IF(OR($NT95&gt;=1,$OQ95=0),UPPER(LEFT(INDEX($OZ95:$PF95,1,MAX(1,$MF95)),1))&amp;MID(INDEX($OZ95:$PF95,1,MAX(1,$MF95)),2,99),UPPER(LEFT(INDEX($OZ95:$PF95,1,MAX(1,$MF95)),1))&amp;MID(INDEX($OZ95:$PF95,1,MAX(1,$MF95)),2,99)&amp;IF($MI95="",""," "&amp;$MI95)&amp;IF($OR95&gt;0," · +"&amp;$OR95&amp;"d8",""))))</f>
        <v/>
      </c>
      <c r="PS95" s="152">
        <f>COUNTIF($MK95:$MN95,"Longe")+3*COUNTIF($MK95:$MN95,"Muito Longe")</f>
        <v/>
      </c>
      <c r="PT95" s="152">
        <f>COUNTIF($MK95:$MN95,"Maior")+3*COUNTIF($MK95:$MN95,"Muito Maior")</f>
        <v/>
      </c>
      <c r="PU95" s="152">
        <f>IF($MW95=0,0,CHOOSE(1+INDEX($AC$2:$AC$11,$MW95),0,$PS95,$PT95,$PS95+$PT95))</f>
        <v/>
      </c>
      <c r="PV95" s="152">
        <f>IF($MW95=0,0,CHOOSE(1+INDEX($AD$2:$AD$11,$MW95),0,$PS95,$PT95,$PS95+$PT95))</f>
        <v/>
      </c>
      <c r="PW95" s="152">
        <f>IF(OR($MQ95=0,$MW95=0),"",INDEX($AI$2:$AN$41,($MW95-1)*4+IF($MF95=0,1,IF($MF95&lt;=5,2,IF($MF95=6,3,4))),1+MIN(5,$PU95))&amp;INDEX($AO$2:$AT$41,($MW95-1)*4+IF($MF95=0,1,IF($MF95&lt;=5,2,IF($MF95=6,3,4))),1+MIN(5,$PV95))&amp;IF(INDEX($AE$2:$AE$11,$MW95)=1,IF(COUNTIF($MK95:$MN95,"Mais Um")&gt;0," · +"&amp;COUNTIF($MK95:$MN95,"Mais Um")&amp;IF(COUNTIF($MK95:$MN95,"Mais Um")&gt;1," alvos"," alvo"),"")&amp;IF(COUNTIF($MK95:$MN95,"Rajada")&gt;0,IF($MF95=0," · 1 tiro"," · "&amp;(MAX(1,$MF95-1)+1)&amp;" tiros"),""),""))</f>
        <v/>
      </c>
      <c r="PX95" s="152">
        <f>IF($MQ95=0,"",IF($MF95=0,$MT95&amp;"d6"&amp;IF($OH95&gt;0," − 1 = "&amp;$OQ95&amp;"d6"," da básica do nível "&amp;$MR95),$OO95&amp;" − "&amp;$OJ95&amp;" + "&amp;$OM95&amp;" = "&amp;$OP95&amp;" · teto "&amp;4*$MF95&amp;"d8"&amp;IF($NS95=1," · a Forma devolve "&amp;$MF95,"")&amp;IF($ON95&gt;0," · perde "&amp;$ON95,"")))</f>
        <v/>
      </c>
      <c r="PY95" s="152">
        <f>IF($MQ95=0,"",IF($MF95=0,"A básica não amplia: os dados dela sobem com o nível",IF($MF95&gt;=$MS95,"Já está na maior Classe que o nível liberou",TEXTJOIN(" · ",TRUE,IF(AND(2&gt;$MF95,2&lt;=$MS95),"2 → "&amp;$PA95&amp;", 6 PE",""),IF(AND(3&gt;$MF95,3&lt;=$MS95),"3 → "&amp;$PB95&amp;", 9 PE",""),IF(AND(4&gt;$MF95,4&lt;=$MS95),"4 → "&amp;$PC95&amp;", 12 PE",""),IF(AND(5&gt;$MF95,5&lt;=$MS95),"5 → "&amp;$PD95&amp;", 15 PE",""),IF(AND(6&gt;$MF95,6&lt;=$MS95),"6 → "&amp;$PE95&amp;", 18 PE",""),IF(AND(7&gt;$MF95,7&lt;=$MS95),"7 → "&amp;$PF95&amp;", 21 PE","")))))</f>
        <v/>
      </c>
      <c r="PZ95" s="152">
        <f>IF(OR($MQ95=0,$NB95=0),"",IF($MF95=0,"−1 dado","−"&amp;INDEX($I$2:$N$8,MAX(1,$MF95),MAX(1,$NG95))&amp;" · "&amp;CHOOSE(MAX(1,$NG95),"Leve","Média","Pesada","Leve · Livre","Média · Livre","Pesada · Livre")))</f>
        <v/>
      </c>
      <c r="QA95" s="152">
        <f>IF(OR($MQ95=0,$NC95=0),"",IF($MF95=0,"−1 dado","−"&amp;INDEX($I$2:$N$8,MAX(1,$MF95),MAX(1,$NH95))&amp;" · "&amp;CHOOSE(MAX(1,$NH95),"Leve","Média","Pesada","Leve · Livre","Média · Livre","Pesada · Livre")))</f>
        <v/>
      </c>
      <c r="QB95" s="152">
        <f>IF(OR($MQ95=0,$ND95=0),"",IF($MF95=0,"−1 dado","−"&amp;INDEX($I$2:$N$8,MAX(1,$MF95),MAX(1,$NI95))&amp;" · "&amp;CHOOSE(MAX(1,$NI95),"Leve","Média","Pesada","Leve · Livre","Média · Livre","Pesada · Livre")))</f>
        <v/>
      </c>
      <c r="QC95" s="152">
        <f>IF(OR($MQ95=0,$NE95=0),"",IF($MF95=0,"−1 dado","−"&amp;INDEX($I$2:$N$8,MAX(1,$MF95),MAX(1,$NJ95))&amp;" · "&amp;CHOOSE(MAX(1,$NJ95),"Leve","Média","Pesada","Leve · Livre","Média · Livre","Pesada · Livre")))</f>
        <v/>
      </c>
      <c r="QD95" s="152">
        <f>IF(OR($MQ95=0,$MO95=""),"",IF($MF95=0,"não devolve","+"&amp;IF($NV95=1,CEILING($MF95/2,1),$MF95)))</f>
        <v/>
      </c>
      <c r="QE95" s="152">
        <f>IF(OR($MQ95=0,$MP95=""),"",IF($MF95=0,"não devolve","+"&amp;IF($NW95=1,CEILING($MF95/2,1),$MF95)))</f>
        <v/>
      </c>
    </row>
    <row r="96">
      <c r="MA96" s="150" t="inlineStr">
        <is>
          <t>Ficha 8 · Básica 2</t>
        </is>
      </c>
      <c r="MB96" s="152" t="n">
        <v>8</v>
      </c>
      <c r="MC96" s="152" t="n">
        <v>0</v>
      </c>
      <c r="MD96" s="152" t="n">
        <v>11</v>
      </c>
      <c r="ME96" s="150" t="inlineStr">
        <is>
          <t>BÁSICA 2</t>
        </is>
      </c>
      <c r="MF96" s="152" t="n">
        <v>0</v>
      </c>
      <c r="MG96" s="152">
        <f>'INVOCAÇÕES'!$AC$290&amp;""</f>
        <v/>
      </c>
      <c r="MH96" s="152">
        <f>'INVOCAÇÕES'!$AB$295&amp;""</f>
        <v/>
      </c>
      <c r="MI96" s="152">
        <f>'INVOCAÇÕES'!$AB$296&amp;""</f>
        <v/>
      </c>
      <c r="MJ96" s="152">
        <f>'INVOCAÇÕES'!$AD$296&amp;""</f>
        <v/>
      </c>
      <c r="MK96" s="152">
        <f>'INVOCAÇÕES'!$AC$299&amp;""</f>
        <v/>
      </c>
      <c r="ML96" s="152">
        <f>'INVOCAÇÕES'!$AC$300&amp;""</f>
        <v/>
      </c>
      <c r="MM96" s="152">
        <f>'INVOCAÇÕES'!$AC$301&amp;""</f>
        <v/>
      </c>
      <c r="MN96" s="152">
        <f>'INVOCAÇÕES'!$AC$302&amp;""</f>
        <v/>
      </c>
      <c r="MO96" s="152">
        <f>'INVOCAÇÕES'!$AC$303&amp;""</f>
        <v/>
      </c>
      <c r="MP96" s="152">
        <f>'INVOCAÇÕES'!$AC$304&amp;""</f>
        <v/>
      </c>
      <c r="MQ96" s="152">
        <f>IF($MG96&lt;&gt;"",1,0)</f>
        <v/>
      </c>
      <c r="MR96" s="152">
        <f>INDEX($FI$2:$FI$13,$MB96)</f>
        <v/>
      </c>
      <c r="MS96" s="152">
        <f>INDEX($FJ$2:$FJ$13,$MB96)</f>
        <v/>
      </c>
      <c r="MT96" s="152">
        <f>INDEX($FK$2:$FK$13,$MB96)</f>
        <v/>
      </c>
      <c r="MU96" s="152">
        <f>INDEX($FV$2:$FV$13,$MB96)</f>
        <v/>
      </c>
      <c r="MV96" s="152">
        <f>INDEX($FW$2:$FW$13,$MB96)</f>
        <v/>
      </c>
      <c r="MW96" s="152">
        <f>IFERROR(MATCH($MH96,$V$2:$V$11,0),0)</f>
        <v/>
      </c>
      <c r="MX96" s="152">
        <f>IFERROR(VLOOKUP($MK96,$AV$2:$BA$84,2,FALSE),"")</f>
        <v/>
      </c>
      <c r="MY96" s="152">
        <f>IFERROR(VLOOKUP($ML96,$AV$2:$BA$84,2,FALSE),"")</f>
        <v/>
      </c>
      <c r="MZ96" s="152">
        <f>IFERROR(VLOOKUP($MM96,$AV$2:$BA$84,2,FALSE),"")</f>
        <v/>
      </c>
      <c r="NA96" s="152">
        <f>IFERROR(VLOOKUP($MN96,$AV$2:$BA$84,2,FALSE),"")</f>
        <v/>
      </c>
      <c r="NB96" s="152">
        <f>IFERROR(VLOOKUP($MK96,$AV$2:$BA$84,3,FALSE),0)</f>
        <v/>
      </c>
      <c r="NC96" s="152">
        <f>IFERROR(VLOOKUP($ML96,$AV$2:$BA$84,3,FALSE),0)</f>
        <v/>
      </c>
      <c r="ND96" s="152">
        <f>IFERROR(VLOOKUP($MM96,$AV$2:$BA$84,3,FALSE),0)</f>
        <v/>
      </c>
      <c r="NE96" s="152">
        <f>IFERROR(VLOOKUP($MN96,$AV$2:$BA$84,3,FALSE),0)</f>
        <v/>
      </c>
      <c r="NF96" s="152">
        <f>IF($MF96=0,0,IF($MW96=0,0,INDEX($X$2:$X$11,$MW96)))</f>
        <v/>
      </c>
      <c r="NG96" s="152">
        <f>IF(OR($NB96=0,$MF96=0),0,$NB96+3*IF(AND($MX96&lt;&gt;"",OR($MX96=INDEX($EF$2:$EF$13,$MB96),$MX96=INDEX($EG$2:$EG$13,$MB96))),1,0))</f>
        <v/>
      </c>
      <c r="NH96" s="152">
        <f>IF(OR($NC96=0,$MF96=0),0,$NC96+3*IF(AND($MY96&lt;&gt;"",OR($MY96=INDEX($EF$2:$EF$13,$MB96),$MY96=INDEX($EG$2:$EG$13,$MB96))),1,0))</f>
        <v/>
      </c>
      <c r="NI96" s="152">
        <f>IF(OR($ND96=0,$MF96=0),0,$ND96+3*IF(AND($MZ96&lt;&gt;"",OR($MZ96=INDEX($EF$2:$EF$13,$MB96),$MZ96=INDEX($EG$2:$EG$13,$MB96))),1,0))</f>
        <v/>
      </c>
      <c r="NJ96" s="152">
        <f>IF(OR($NE96=0,$MF96=0),0,$NE96+3*IF(AND($NA96&lt;&gt;"",OR($NA96=INDEX($EF$2:$EF$13,$MB96),$NA96=INDEX($EG$2:$EG$13,$MB96))),1,0))</f>
        <v/>
      </c>
      <c r="NK96" s="152">
        <f>IF($MW96=0,0,IF(INDEX($W$2:$W$11,$MW96)="",0,IF(COUNTIF(INDEX($EF$2:$EJ$13,$MB96,0),INDEX($W$2:$W$11,$MW96))=0,1,0)))</f>
        <v/>
      </c>
      <c r="NL96" s="152">
        <f>IF(OR($NB96=0,$MX96=""),0,IF(COUNTIF(INDEX($EF$2:$EJ$13,$MB96,0),$MX96)=0,1,0))</f>
        <v/>
      </c>
      <c r="NM96" s="152">
        <f>IF(OR($NC96=0,$MY96=""),0,IF(COUNTIF(INDEX($EF$2:$EJ$13,$MB96,0),$MY96)=0,1,0))</f>
        <v/>
      </c>
      <c r="NN96" s="152">
        <f>IF(OR($ND96=0,$MZ96=""),0,IF(COUNTIF(INDEX($EF$2:$EJ$13,$MB96,0),$MZ96)=0,1,0))</f>
        <v/>
      </c>
      <c r="NO96" s="152">
        <f>IF(OR($NE96=0,$NA96=""),0,IF(COUNTIF(INDEX($EF$2:$EJ$13,$MB96,0),$NA96)=0,1,0))</f>
        <v/>
      </c>
      <c r="NP96" s="152">
        <f>IFERROR(VLOOKUP($MK96,$AV$2:$BA$84,4,FALSE),0)+IFERROR(VLOOKUP($ML96,$AV$2:$BA$84,4,FALSE),0)+IFERROR(VLOOKUP($MM96,$AV$2:$BA$84,4,FALSE),0)+IFERROR(VLOOKUP($MN96,$AV$2:$BA$84,4,FALSE),0)</f>
        <v/>
      </c>
      <c r="NQ96" s="152">
        <f>IFERROR(VLOOKUP($MK96,$AV$2:$BA$84,6,FALSE),0)+IFERROR(VLOOKUP($ML96,$AV$2:$BA$84,6,FALSE),0)+IFERROR(VLOOKUP($MM96,$AV$2:$BA$84,6,FALSE),0)+IFERROR(VLOOKUP($MN96,$AV$2:$BA$84,6,FALSE),0)</f>
        <v/>
      </c>
      <c r="NR96" s="152">
        <f>TEXTJOIN(", ",TRUE,IF(IFERROR(VLOOKUP($MK96,$AV$2:$BA$84,5,FALSE),0)=1,$MK96,""),IF(IFERROR(VLOOKUP($ML96,$AV$2:$BA$84,5,FALSE),0)=1,$ML96,""),IF(IFERROR(VLOOKUP($MM96,$AV$2:$BA$84,5,FALSE),0)=1,$MM96,""),IF(IFERROR(VLOOKUP($MN96,$AV$2:$BA$84,5,FALSE),0)=1,$MN96,""))</f>
        <v/>
      </c>
      <c r="NS96" s="152">
        <f>IF($MW96=0,0,INDEX($Y$2:$Y$11,$MW96))</f>
        <v/>
      </c>
      <c r="NT96" s="152">
        <f>IF($MW96=0,0,INDEX($Z$2:$Z$11,$MW96))</f>
        <v/>
      </c>
      <c r="NU96" s="152">
        <f>IF($MW96=0,0,INDEX($AB$2:$AB$11,$MW96))</f>
        <v/>
      </c>
      <c r="NV96" s="152">
        <f>IFERROR(VLOOKUP($MO96,$BC$2:$BG$24,3,FALSE),0)</f>
        <v/>
      </c>
      <c r="NW96" s="152">
        <f>IFERROR(VLOOKUP($MP96,$BC$2:$BG$24,3,FALSE),0)</f>
        <v/>
      </c>
      <c r="NX96" s="152">
        <f>IFERROR(VLOOKUP($MO96,$BC$2:$BG$24,2,FALSE),"")</f>
        <v/>
      </c>
      <c r="NY96" s="152">
        <f>IFERROR(VLOOKUP($MP96,$BC$2:$BG$24,2,FALSE),"")</f>
        <v/>
      </c>
      <c r="NZ96" s="152">
        <f>COUNTIF($NF96:$NJ96,1)</f>
        <v/>
      </c>
      <c r="OA96" s="152">
        <f>COUNTIF($NF96:$NJ96,2)</f>
        <v/>
      </c>
      <c r="OB96" s="152">
        <f>COUNTIF($NF96:$NJ96,3)</f>
        <v/>
      </c>
      <c r="OC96" s="152">
        <f>COUNTIF($NF96:$NJ96,4)</f>
        <v/>
      </c>
      <c r="OD96" s="152">
        <f>COUNTIF($NF96:$NJ96,5)</f>
        <v/>
      </c>
      <c r="OE96" s="152">
        <f>COUNTIF($NF96:$NJ96,6)</f>
        <v/>
      </c>
      <c r="OF96" s="152">
        <f>COUNTIF($NV96:$NW96,1)</f>
        <v/>
      </c>
      <c r="OG96" s="152">
        <f>COUNTIF($NV96:$NW96,2)+$NS96</f>
        <v/>
      </c>
      <c r="OH96" s="152">
        <f>COUNTIF($MK96:$MN96,"?*")</f>
        <v/>
      </c>
      <c r="OI96" s="152">
        <f>COUNTIF($MO96:$MP96,"?*")+$NS96</f>
        <v/>
      </c>
      <c r="OJ96" s="152">
        <f>IF($MF96=0,0,SUMPRODUCT($NZ96:$OE96,INDEX($I$2:$N$8,MAX(1,$MF96),0)))</f>
        <v/>
      </c>
      <c r="OK96" s="152">
        <f>IF($MF96=0,0,$OF96*CEILING($MF96/2,1)+$OG96*$MF96)</f>
        <v/>
      </c>
      <c r="OL96" s="152">
        <f>MIN(2*$MF96,$OK96)</f>
        <v/>
      </c>
      <c r="OM96" s="152">
        <f>MIN($OL96,$OJ96)</f>
        <v/>
      </c>
      <c r="ON96" s="152">
        <f>$OL96-$OM96</f>
        <v/>
      </c>
      <c r="OO96" s="152">
        <f>IF($MF96=0,0,INDEX($P$2:$P$8,MAX(1,$MF96)))</f>
        <v/>
      </c>
      <c r="OP96" s="152">
        <f>$OO96-$OJ96+$OM96</f>
        <v/>
      </c>
      <c r="OQ96" s="152">
        <f>IF($MF96=0,MAX(0,$MT96-IF($OH96&gt;0,1,0)),MAX(0,$OP96))</f>
        <v/>
      </c>
      <c r="OR96" s="152">
        <f>IF($MF96=0,0,(IF(COUNTIF($MK96:$MN96,"Salto")&gt;0,1,0)+IF(COUNTIF($MK96:$MN96,"Queima")&gt;0,1,0)+IF(COUNTIF($MK96:$MN96,"Estilhaço")&gt;0,1,0))*FLOOR($OQ96/2,1))</f>
        <v/>
      </c>
      <c r="OS96" s="152">
        <f>MAX(0,2-SUMPRODUCT($NZ96:$OE96,$I$2:$N$2)+MIN(2,$OF96*1+$OG96*1,SUMPRODUCT($NZ96:$OE96,$I$2:$N$2)))</f>
        <v/>
      </c>
      <c r="OT96" s="152">
        <f>MAX(0,4-SUMPRODUCT($NZ96:$OE96,$I$3:$N$3)+MIN(4,$OF96*1+$OG96*2,SUMPRODUCT($NZ96:$OE96,$I$3:$N$3)))</f>
        <v/>
      </c>
      <c r="OU96" s="152">
        <f>MAX(0,6-SUMPRODUCT($NZ96:$OE96,$I$4:$N$4)+MIN(6,$OF96*2+$OG96*3,SUMPRODUCT($NZ96:$OE96,$I$4:$N$4)))</f>
        <v/>
      </c>
      <c r="OV96" s="152">
        <f>MAX(0,9-SUMPRODUCT($NZ96:$OE96,$I$5:$N$5)+MIN(8,$OF96*2+$OG96*4,SUMPRODUCT($NZ96:$OE96,$I$5:$N$5)))</f>
        <v/>
      </c>
      <c r="OW96" s="152">
        <f>MAX(0,11-SUMPRODUCT($NZ96:$OE96,$I$6:$N$6)+MIN(10,$OF96*3+$OG96*5,SUMPRODUCT($NZ96:$OE96,$I$6:$N$6)))</f>
        <v/>
      </c>
      <c r="OX96" s="152">
        <f>MAX(0,13-SUMPRODUCT($NZ96:$OE96,$I$7:$N$7)+MIN(12,$OF96*3+$OG96*6,SUMPRODUCT($NZ96:$OE96,$I$7:$N$7)))</f>
        <v/>
      </c>
      <c r="OY96" s="152">
        <f>MAX(0,16-SUMPRODUCT($NZ96:$OE96,$I$8:$N$8)+MIN(14,$OF96*4+$OG96*7,SUMPRODUCT($NZ96:$OE96,$I$8:$N$8)))</f>
        <v/>
      </c>
      <c r="OZ96" s="152">
        <f>IF($NT96=2,3*$OS96&amp;" de vida temp.",IF($NT96=3,"sem dano",IF($OS96=0,IF($NT96=1,"sem cura","sem dano"),IF($NT96=1,"cura ","")&amp;$OS96&amp;"d8")))</f>
        <v/>
      </c>
      <c r="PA96" s="152">
        <f>IF($NT96=2,3*$OT96&amp;" de vida temp.",IF($NT96=3,"sem dano",IF($OT96=0,IF($NT96=1,"sem cura","sem dano"),IF($NT96=1,"cura ","")&amp;$OT96&amp;"d8")))</f>
        <v/>
      </c>
      <c r="PB96" s="152">
        <f>IF($NT96=2,3*$OU96&amp;" de vida temp.",IF($NT96=3,"sem dano",IF($OU96=0,IF($NT96=1,"sem cura","sem dano"),IF($NT96=1,"cura ","")&amp;$OU96&amp;"d8")))</f>
        <v/>
      </c>
      <c r="PC96" s="152">
        <f>IF($NT96=2,3*$OV96&amp;" de vida temp.",IF($NT96=3,"sem dano",IF($OV96=0,IF($NT96=1,"sem cura","sem dano"),IF($NT96=1,"cura ","")&amp;$OV96&amp;"d8")))</f>
        <v/>
      </c>
      <c r="PD96" s="152">
        <f>IF($NT96=2,3*$OW96&amp;" de vida temp.",IF($NT96=3,"sem dano",IF($OW96=0,IF($NT96=1,"sem cura","sem dano"),IF($NT96=1,"cura ","")&amp;$OW96&amp;"d8")))</f>
        <v/>
      </c>
      <c r="PE96" s="152">
        <f>IF($NT96=2,3*$OX96&amp;" de vida temp.",IF($NT96=3,"sem dano",IF($OX96=0,IF($NT96=1,"sem cura","sem dano"),IF($NT96=1,"cura ","")&amp;$OX96&amp;"d8")))</f>
        <v/>
      </c>
      <c r="PF96" s="152">
        <f>IF($NT96=2,3*$OY96&amp;" de vida temp.",IF($NT96=3,"sem dano",IF($OY96=0,IF($NT96=1,"sem cura","sem dano"),IF($NT96=1,"cura ","")&amp;$OY96&amp;"d8")))</f>
        <v/>
      </c>
      <c r="PG96" s="152">
        <f>IF($MQ96=0,"",TEXTJOIN(" · ",TRUE,IF($MD96&gt;$MR96,"Este lugar abre no nível "&amp;$MD96,""),IF($MF96&gt;$MS96,"Classe "&amp;$MF96&amp;": o nível "&amp;$MR96&amp;" libera até a "&amp;$MS96,""),IF($NK96=1,"A Forma "&amp;$MH96&amp;" pede "&amp;INDEX($W$2:$W$11,$MW96)&amp;" aberta",""),IF(AND($MF96=0,$MW96&gt;0,IF($MW96=0,0,INDEX($AF$2:$AF$11,$MW96))=0),$MH96&amp;" não existe na Classe 0",""),IF($NL96=1,"Família Fechada: "&amp;$MK96,""),IF($NM96=1,"Família Fechada: "&amp;$ML96,""),IF($NN96=1,"Família Fechada: "&amp;$MM96,""),IF($NO96=1,"Família Fechada: "&amp;$MN96,""),IF(AND($MF96&gt;0,$OH96&gt;INDEX($O$2:$O$8,MAX(1,$MF96))),$OH96&amp;" Melhorias: a Classe "&amp;$MF96&amp;" aceita "&amp;INDEX($O$2:$O$8,MAX(1,$MF96)),""),IF(AND($MF96=0,$OH96&gt;1),"A básica aceita uma Melhoria",""),IF(AND($MF96=0,COUNTIF($NB96:$NE96,"&gt;1")&gt;0),"A básica só aceita Melhoria Leve",""),IF(AND($MF96&gt;0,$OI96&gt;2),$OI96&amp;" Restrições"&amp;IF($NS96=1,", contando a que a Forma "&amp;$MH96&amp;" já traz","")&amp;": o limite é 2",""),IF(AND($MF96=0,COUNTIF($MO96:$MP96,"?*")&gt;1),"A básica aceita uma Restrição Leve",""),IF(AND($MF96=0,COUNTIF($NV96:$NW96,2)&gt;0),"A básica só aceita Restrição Leve",""),IF(AND($MF96&gt;0,$OP96&lt;0),"Orçamento estourado: faltam "&amp;(-$OP96)&amp;IF($OP96&lt;-1," pontos"," ponto"),""),IF(IFERROR(VLOOKUP($MO96,$BC$2:$BG$24,4,FALSE),0)+IFERROR(VLOOKUP($MP96,$BC$2:$BG$24,4,FALSE),0)&gt;1,$NX96&amp;" e "&amp;$NY96&amp;" são as duas de frequência",""),IF(AND((COUNTIF($MK96:$MN96,"Rápido")+COUNTIF($NX96:$NY96,"Rápido"))&gt;0,(COUNTIF($MK96:$MN96,"Atrasar")+COUNTIF($NX96:$NY96,"Atrasar"))&gt;0),"Rápido não entra com Atrasar",""),IF(AND((COUNTIF($MK96:$MN96,"Reação")+COUNTIF($NX96:$NY96,"Reação"))&gt;0,(COUNTIF($MK96:$MN96,"Rápido")+COUNTIF($NX96:$NY96,"Rápido"))&gt;0),"Reação não entra com Rápido",""),IF(AND((COUNTIF($MK96:$MN96,"Reação")+COUNTIF($NX96:$NY96,"Reação"))&gt;0,(COUNTIF($MK96:$MN96,"Armado")+COUNTIF($NX96:$NY96,"Armado"))&gt;0),"Reação não entra com Armado",""),IF(AND((COUNTIF($MK96:$MN96,"Reação")+COUNTIF($NX96:$NY96,"Reação"))&gt;0,(COUNTIF($MK96:$MN96,"Atrasar")+COUNTIF($NX96:$NY96,"Atrasar"))&gt;0),"Reação não entra com Atrasar",""),IF(AND((COUNTIF($MK96:$MN96,"Reação")+COUNTIF($NX96:$NY96,"Reação"))&gt;0,(COUNTIF($MK96:$MN96,"Parado")+COUNTIF($NX96:$NY96,"Parado"))&gt;0),"Reação não entra com Parado",""),IF(AND((COUNTIF($MK96:$MN96,"Atrasar")+COUNTIF($NX96:$NY96,"Atrasar"))&gt;0,(COUNTIF($MK96:$MN96,"Parado")+COUNTIF($NX96:$NY96,"Parado"))&gt;0),"Atrasar não entra com Parado",""),IF(AND((COUNTIF($MK96:$MN96,"Armado")+COUNTIF($NX96:$NY96,"Armado"))&gt;0,(COUNTIF($MK96:$MN96,"Carregar")+COUNTIF($NX96:$NY96,"Carregar"))&gt;0),"Armado não entra com Carregar",""),IF(AND(COUNTIF($NX96:$NY96,"Corpo a Corpo")&gt;0,$NS96=0,OR($MH96="Cone",$MH96="Linha")),"Corpo a Corpo não entra em "&amp;$MH96,""),IF(AND(COUNTIF($NX96:$NY96,"Corpo a Corpo")&gt;0,$NS96=1),"A Forma "&amp;$MH96&amp;" já traz o Corpo a Corpo",""),IF(AND(COUNTIF($NX96:$NY96,"Tudo ou Nada")&gt;0,$NU96=0),"Tudo ou Nada só entra em habilidade de Teste de Resistência",""),IF(AND(COUNTIF($MK96:$MN96,"Inescapável")&gt;0,OR($OH96&gt;1,$OI96&gt;0)),"Inescapável não aceita outra peça",""),IF(AND($MF96&gt;0,$OQ96*IF(COUNTIF($MK96:$MN96,"Remate")&gt;0,1.25,1)+$OR96&gt;4*$MF96),($OQ96*IF(COUNTIF($MK96:$MN96,"Remate")&gt;0,1.25,1)+$OR96)&amp;" dados somando repetições"&amp;IF(COUNTIF($MK96:$MN96,"Remate")&gt;0," e o Remate","")&amp;": o teto da Classe "&amp;$MF96&amp;" é "&amp;4*$MF96,"")))</f>
        <v/>
      </c>
      <c r="PH96" s="152">
        <f>IF($PG96="",0,(LEN($PG96)-LEN(SUBSTITUTE($PG96," · ","")))/3+1)</f>
        <v/>
      </c>
      <c r="PI96" s="152">
        <f>IF($MQ96=0,"",TEXTJOIN(" · ",TRUE,IF($OK96&gt;2*$MF96,"A devolução parou no teto de "&amp;2*$MF96,""),IF($ON96&gt;0,"Devolução perdida: "&amp;$ON96&amp;IF($ON96&gt;1," pontos"," ponto")&amp;" sem peça para pagar",""),IF(AND($NP96&gt;0,AND($MF96&gt;0,$NT96=0),$OQ96=0),"Controle sem dano: uma rodada a mais e CD +2",""),IF(AND($NP96&gt;0,AND($MF96&gt;0,$NT96=0),$OQ96&gt;0,$OQ96&lt;=$MF96),"Controle com saldo até a Classe: uma rodada a mais",""),IF(AND($MF96&gt;0,$NR96&lt;&gt;""),"Efeito de "&amp;$NR96&amp;" pela Classe "&amp;MAX(1,$MF96-1),"")))</f>
        <v/>
      </c>
      <c r="PJ96" s="152">
        <f>IF($PI96="",0,(LEN($PI96)-LEN(SUBSTITUTE($PI96," · ","")))/3+1)</f>
        <v/>
      </c>
      <c r="PK96" s="152">
        <f>IF($MQ96=0,IF($OH96+COUNTIF($MO96:$MP96,"?*")&gt;0,"Dê um nome",""),IF($PH96&gt;0,"⚠ "&amp;$PH96&amp;IF($PH96&gt;1," erros"," erro"),IF($PJ96&gt;0,"! "&amp;$PJ96&amp;IF($PJ96&gt;1," avisos"," aviso"),"Na regra")))</f>
        <v/>
      </c>
      <c r="PL96" s="152">
        <f>IF($MQ96=0,"",IF($PH96+$PJ96=0,"Dentro das regras que a ficha confere",$PG96&amp;IF(AND($PH96&gt;0,$PJ96&gt;0)," · ","")&amp;$PI96))</f>
        <v/>
      </c>
      <c r="PM96" s="152">
        <f>IF($MD96&gt;$MR96,$ME96&amp;" · ABRE NO NÍVEL "&amp;$MD96,$ME96)</f>
        <v/>
      </c>
      <c r="PN96" s="152">
        <f>IF($MQ96=0,"",IF($MF96=0,"Sem PE",3*$MF96&amp;" PE"))</f>
        <v/>
      </c>
      <c r="PO96" s="152">
        <f>IF($MQ96=0,"",IF($MF96=0,"A atuação básica dela",IF(COUNTIF($NX96:$NY96,"Atrasar")&gt;0,"Sua Ação Completa",IF(COUNTIF($MK96:$MN96,"Rápido")&gt;0,"Sua Bônus",IF(COUNTIF($MK96:$MN96,"Reação")&gt;0,"Sua Reação","Sua Padrão")))&amp;" + a básica dela"&amp;IF(COUNTIF($MK96:$MN96,"Reação")&gt;0," e a coletiva","")&amp;IF(COUNTIF($NX96:$NY96,"Carregar")&gt;0," · em dois turnos","")))</f>
        <v/>
      </c>
      <c r="PP96" s="152">
        <f>IF($MJ96&lt;&gt;"",$MJ96,IF($MW96=0,"",INDEX($AA$2:$AA$11,$MW96)))</f>
        <v/>
      </c>
      <c r="PQ96" s="152">
        <f>IF(OR($MQ96=0,$MW96=0),"",IF(COUNTIF($MK96:$MN96,"Inescapável")&gt;0,"Automático",IF($PP96="Ataque",IF($MU96="","Ataque","Ataque "&amp;IF(($MU96+2*IF(COUNTIF($MK96:$MN96,"Precisão")&gt;0,1,0))&gt;=0,"+","−")&amp;ABS(($MU96+2*IF(COUNTIF($MK96:$MN96,"Precisão")&gt;0,1,0))))&amp;IF($NQ96&gt;0," · TR"&amp;IF($MV96="",""," CD "&amp;$MV96),""),IF(LEFT($PP96,2)="TR",$PP96&amp;IF($MV96="",""," · CD "&amp;$MV96)&amp;IF(COUNTIF($MK96:$MN96,"Certeiro")&gt;0," · metade",""),"Sem rolagem"))))</f>
        <v/>
      </c>
      <c r="PR96" s="152">
        <f>IF(OR($MQ96=0,$MW96=0),"",IF($MF96=0,IF(OR($NT96&gt;=1,$OQ96=0),"Sem dano",$OQ96&amp;"d6"&amp;IF($MI96="",""," "&amp;$MI96)),IF(OR($NT96&gt;=1,$OQ96=0),UPPER(LEFT(INDEX($OZ96:$PF96,1,MAX(1,$MF96)),1))&amp;MID(INDEX($OZ96:$PF96,1,MAX(1,$MF96)),2,99),UPPER(LEFT(INDEX($OZ96:$PF96,1,MAX(1,$MF96)),1))&amp;MID(INDEX($OZ96:$PF96,1,MAX(1,$MF96)),2,99)&amp;IF($MI96="",""," "&amp;$MI96)&amp;IF($OR96&gt;0," · +"&amp;$OR96&amp;"d8",""))))</f>
        <v/>
      </c>
      <c r="PS96" s="152">
        <f>COUNTIF($MK96:$MN96,"Longe")+3*COUNTIF($MK96:$MN96,"Muito Longe")</f>
        <v/>
      </c>
      <c r="PT96" s="152">
        <f>COUNTIF($MK96:$MN96,"Maior")+3*COUNTIF($MK96:$MN96,"Muito Maior")</f>
        <v/>
      </c>
      <c r="PU96" s="152">
        <f>IF($MW96=0,0,CHOOSE(1+INDEX($AC$2:$AC$11,$MW96),0,$PS96,$PT96,$PS96+$PT96))</f>
        <v/>
      </c>
      <c r="PV96" s="152">
        <f>IF($MW96=0,0,CHOOSE(1+INDEX($AD$2:$AD$11,$MW96),0,$PS96,$PT96,$PS96+$PT96))</f>
        <v/>
      </c>
      <c r="PW96" s="152">
        <f>IF(OR($MQ96=0,$MW96=0),"",INDEX($AI$2:$AN$41,($MW96-1)*4+IF($MF96=0,1,IF($MF96&lt;=5,2,IF($MF96=6,3,4))),1+MIN(5,$PU96))&amp;INDEX($AO$2:$AT$41,($MW96-1)*4+IF($MF96=0,1,IF($MF96&lt;=5,2,IF($MF96=6,3,4))),1+MIN(5,$PV96))&amp;IF(INDEX($AE$2:$AE$11,$MW96)=1,IF(COUNTIF($MK96:$MN96,"Mais Um")&gt;0," · +"&amp;COUNTIF($MK96:$MN96,"Mais Um")&amp;IF(COUNTIF($MK96:$MN96,"Mais Um")&gt;1," alvos"," alvo"),"")&amp;IF(COUNTIF($MK96:$MN96,"Rajada")&gt;0,IF($MF96=0," · 1 tiro"," · "&amp;(MAX(1,$MF96-1)+1)&amp;" tiros"),""),""))</f>
        <v/>
      </c>
      <c r="PX96" s="152">
        <f>IF($MQ96=0,"",IF($MF96=0,$MT96&amp;"d6"&amp;IF($OH96&gt;0," − 1 = "&amp;$OQ96&amp;"d6"," da básica do nível "&amp;$MR96),$OO96&amp;" − "&amp;$OJ96&amp;" + "&amp;$OM96&amp;" = "&amp;$OP96&amp;" · teto "&amp;4*$MF96&amp;"d8"&amp;IF($NS96=1," · a Forma devolve "&amp;$MF96,"")&amp;IF($ON96&gt;0," · perde "&amp;$ON96,"")))</f>
        <v/>
      </c>
      <c r="PY96" s="152">
        <f>IF($MQ96=0,"",IF($MF96=0,"A básica não amplia: os dados dela sobem com o nível",IF($MF96&gt;=$MS96,"Já está na maior Classe que o nível liberou",TEXTJOIN(" · ",TRUE,IF(AND(2&gt;$MF96,2&lt;=$MS96),"2 → "&amp;$PA96&amp;", 6 PE",""),IF(AND(3&gt;$MF96,3&lt;=$MS96),"3 → "&amp;$PB96&amp;", 9 PE",""),IF(AND(4&gt;$MF96,4&lt;=$MS96),"4 → "&amp;$PC96&amp;", 12 PE",""),IF(AND(5&gt;$MF96,5&lt;=$MS96),"5 → "&amp;$PD96&amp;", 15 PE",""),IF(AND(6&gt;$MF96,6&lt;=$MS96),"6 → "&amp;$PE96&amp;", 18 PE",""),IF(AND(7&gt;$MF96,7&lt;=$MS96),"7 → "&amp;$PF96&amp;", 21 PE","")))))</f>
        <v/>
      </c>
      <c r="PZ96" s="152">
        <f>IF(OR($MQ96=0,$NB96=0),"",IF($MF96=0,"−1 dado","−"&amp;INDEX($I$2:$N$8,MAX(1,$MF96),MAX(1,$NG96))&amp;" · "&amp;CHOOSE(MAX(1,$NG96),"Leve","Média","Pesada","Leve · Livre","Média · Livre","Pesada · Livre")))</f>
        <v/>
      </c>
      <c r="QA96" s="152">
        <f>IF(OR($MQ96=0,$NC96=0),"",IF($MF96=0,"−1 dado","−"&amp;INDEX($I$2:$N$8,MAX(1,$MF96),MAX(1,$NH96))&amp;" · "&amp;CHOOSE(MAX(1,$NH96),"Leve","Média","Pesada","Leve · Livre","Média · Livre","Pesada · Livre")))</f>
        <v/>
      </c>
      <c r="QB96" s="152">
        <f>IF(OR($MQ96=0,$ND96=0),"",IF($MF96=0,"−1 dado","−"&amp;INDEX($I$2:$N$8,MAX(1,$MF96),MAX(1,$NI96))&amp;" · "&amp;CHOOSE(MAX(1,$NI96),"Leve","Média","Pesada","Leve · Livre","Média · Livre","Pesada · Livre")))</f>
        <v/>
      </c>
      <c r="QC96" s="152">
        <f>IF(OR($MQ96=0,$NE96=0),"",IF($MF96=0,"−1 dado","−"&amp;INDEX($I$2:$N$8,MAX(1,$MF96),MAX(1,$NJ96))&amp;" · "&amp;CHOOSE(MAX(1,$NJ96),"Leve","Média","Pesada","Leve · Livre","Média · Livre","Pesada · Livre")))</f>
        <v/>
      </c>
      <c r="QD96" s="152">
        <f>IF(OR($MQ96=0,$MO96=""),"",IF($MF96=0,"não devolve","+"&amp;IF($NV96=1,CEILING($MF96/2,1),$MF96)))</f>
        <v/>
      </c>
      <c r="QE96" s="152">
        <f>IF(OR($MQ96=0,$MP96=""),"",IF($MF96=0,"não devolve","+"&amp;IF($NW96=1,CEILING($MF96/2,1),$MF96)))</f>
        <v/>
      </c>
    </row>
    <row r="97">
      <c r="MA97" s="150" t="inlineStr">
        <is>
          <t>Ficha 8 · Especial 3</t>
        </is>
      </c>
      <c r="MB97" s="152" t="n">
        <v>8</v>
      </c>
      <c r="MC97" s="152" t="n">
        <v>1</v>
      </c>
      <c r="MD97" s="152" t="n">
        <v>8</v>
      </c>
      <c r="ME97" s="150" t="inlineStr">
        <is>
          <t>ESPECIAL 3</t>
        </is>
      </c>
      <c r="MF97" s="152">
        <f>MAX(1,MIN(7,N('INVOCAÇÕES'!$AH$290)))</f>
        <v/>
      </c>
      <c r="MG97" s="152">
        <f>'INVOCAÇÕES'!$AI$290&amp;""</f>
        <v/>
      </c>
      <c r="MH97" s="152">
        <f>'INVOCAÇÕES'!$AH$295&amp;""</f>
        <v/>
      </c>
      <c r="MI97" s="152">
        <f>'INVOCAÇÕES'!$AH$296&amp;""</f>
        <v/>
      </c>
      <c r="MJ97" s="152">
        <f>'INVOCAÇÕES'!$AJ$296&amp;""</f>
        <v/>
      </c>
      <c r="MK97" s="152">
        <f>'INVOCAÇÕES'!$AI$299&amp;""</f>
        <v/>
      </c>
      <c r="ML97" s="152">
        <f>'INVOCAÇÕES'!$AI$300&amp;""</f>
        <v/>
      </c>
      <c r="MM97" s="152">
        <f>'INVOCAÇÕES'!$AI$301&amp;""</f>
        <v/>
      </c>
      <c r="MN97" s="152">
        <f>'INVOCAÇÕES'!$AI$302&amp;""</f>
        <v/>
      </c>
      <c r="MO97" s="152">
        <f>'INVOCAÇÕES'!$AI$303&amp;""</f>
        <v/>
      </c>
      <c r="MP97" s="152">
        <f>'INVOCAÇÕES'!$AI$304&amp;""</f>
        <v/>
      </c>
      <c r="MQ97" s="152">
        <f>IF($MG97&lt;&gt;"",1,0)</f>
        <v/>
      </c>
      <c r="MR97" s="152">
        <f>INDEX($FI$2:$FI$13,$MB97)</f>
        <v/>
      </c>
      <c r="MS97" s="152">
        <f>INDEX($FJ$2:$FJ$13,$MB97)</f>
        <v/>
      </c>
      <c r="MT97" s="152">
        <f>INDEX($FK$2:$FK$13,$MB97)</f>
        <v/>
      </c>
      <c r="MU97" s="152">
        <f>INDEX($FV$2:$FV$13,$MB97)</f>
        <v/>
      </c>
      <c r="MV97" s="152">
        <f>INDEX($FW$2:$FW$13,$MB97)</f>
        <v/>
      </c>
      <c r="MW97" s="152">
        <f>IFERROR(MATCH($MH97,$V$2:$V$11,0),0)</f>
        <v/>
      </c>
      <c r="MX97" s="152">
        <f>IFERROR(VLOOKUP($MK97,$AV$2:$BA$84,2,FALSE),"")</f>
        <v/>
      </c>
      <c r="MY97" s="152">
        <f>IFERROR(VLOOKUP($ML97,$AV$2:$BA$84,2,FALSE),"")</f>
        <v/>
      </c>
      <c r="MZ97" s="152">
        <f>IFERROR(VLOOKUP($MM97,$AV$2:$BA$84,2,FALSE),"")</f>
        <v/>
      </c>
      <c r="NA97" s="152">
        <f>IFERROR(VLOOKUP($MN97,$AV$2:$BA$84,2,FALSE),"")</f>
        <v/>
      </c>
      <c r="NB97" s="152">
        <f>IFERROR(VLOOKUP($MK97,$AV$2:$BA$84,3,FALSE),0)</f>
        <v/>
      </c>
      <c r="NC97" s="152">
        <f>IFERROR(VLOOKUP($ML97,$AV$2:$BA$84,3,FALSE),0)</f>
        <v/>
      </c>
      <c r="ND97" s="152">
        <f>IFERROR(VLOOKUP($MM97,$AV$2:$BA$84,3,FALSE),0)</f>
        <v/>
      </c>
      <c r="NE97" s="152">
        <f>IFERROR(VLOOKUP($MN97,$AV$2:$BA$84,3,FALSE),0)</f>
        <v/>
      </c>
      <c r="NF97" s="152">
        <f>IF($MF97=0,0,IF($MW97=0,0,INDEX($X$2:$X$11,$MW97)))</f>
        <v/>
      </c>
      <c r="NG97" s="152">
        <f>IF(OR($NB97=0,$MF97=0),0,$NB97+3*IF(AND($MX97&lt;&gt;"",OR($MX97=INDEX($EF$2:$EF$13,$MB97),$MX97=INDEX($EG$2:$EG$13,$MB97))),1,0))</f>
        <v/>
      </c>
      <c r="NH97" s="152">
        <f>IF(OR($NC97=0,$MF97=0),0,$NC97+3*IF(AND($MY97&lt;&gt;"",OR($MY97=INDEX($EF$2:$EF$13,$MB97),$MY97=INDEX($EG$2:$EG$13,$MB97))),1,0))</f>
        <v/>
      </c>
      <c r="NI97" s="152">
        <f>IF(OR($ND97=0,$MF97=0),0,$ND97+3*IF(AND($MZ97&lt;&gt;"",OR($MZ97=INDEX($EF$2:$EF$13,$MB97),$MZ97=INDEX($EG$2:$EG$13,$MB97))),1,0))</f>
        <v/>
      </c>
      <c r="NJ97" s="152">
        <f>IF(OR($NE97=0,$MF97=0),0,$NE97+3*IF(AND($NA97&lt;&gt;"",OR($NA97=INDEX($EF$2:$EF$13,$MB97),$NA97=INDEX($EG$2:$EG$13,$MB97))),1,0))</f>
        <v/>
      </c>
      <c r="NK97" s="152">
        <f>IF($MW97=0,0,IF(INDEX($W$2:$W$11,$MW97)="",0,IF(COUNTIF(INDEX($EF$2:$EJ$13,$MB97,0),INDEX($W$2:$W$11,$MW97))=0,1,0)))</f>
        <v/>
      </c>
      <c r="NL97" s="152">
        <f>IF(OR($NB97=0,$MX97=""),0,IF(COUNTIF(INDEX($EF$2:$EJ$13,$MB97,0),$MX97)=0,1,0))</f>
        <v/>
      </c>
      <c r="NM97" s="152">
        <f>IF(OR($NC97=0,$MY97=""),0,IF(COUNTIF(INDEX($EF$2:$EJ$13,$MB97,0),$MY97)=0,1,0))</f>
        <v/>
      </c>
      <c r="NN97" s="152">
        <f>IF(OR($ND97=0,$MZ97=""),0,IF(COUNTIF(INDEX($EF$2:$EJ$13,$MB97,0),$MZ97)=0,1,0))</f>
        <v/>
      </c>
      <c r="NO97" s="152">
        <f>IF(OR($NE97=0,$NA97=""),0,IF(COUNTIF(INDEX($EF$2:$EJ$13,$MB97,0),$NA97)=0,1,0))</f>
        <v/>
      </c>
      <c r="NP97" s="152">
        <f>IFERROR(VLOOKUP($MK97,$AV$2:$BA$84,4,FALSE),0)+IFERROR(VLOOKUP($ML97,$AV$2:$BA$84,4,FALSE),0)+IFERROR(VLOOKUP($MM97,$AV$2:$BA$84,4,FALSE),0)+IFERROR(VLOOKUP($MN97,$AV$2:$BA$84,4,FALSE),0)</f>
        <v/>
      </c>
      <c r="NQ97" s="152">
        <f>IFERROR(VLOOKUP($MK97,$AV$2:$BA$84,6,FALSE),0)+IFERROR(VLOOKUP($ML97,$AV$2:$BA$84,6,FALSE),0)+IFERROR(VLOOKUP($MM97,$AV$2:$BA$84,6,FALSE),0)+IFERROR(VLOOKUP($MN97,$AV$2:$BA$84,6,FALSE),0)</f>
        <v/>
      </c>
      <c r="NR97" s="152">
        <f>TEXTJOIN(", ",TRUE,IF(IFERROR(VLOOKUP($MK97,$AV$2:$BA$84,5,FALSE),0)=1,$MK97,""),IF(IFERROR(VLOOKUP($ML97,$AV$2:$BA$84,5,FALSE),0)=1,$ML97,""),IF(IFERROR(VLOOKUP($MM97,$AV$2:$BA$84,5,FALSE),0)=1,$MM97,""),IF(IFERROR(VLOOKUP($MN97,$AV$2:$BA$84,5,FALSE),0)=1,$MN97,""))</f>
        <v/>
      </c>
      <c r="NS97" s="152">
        <f>IF($MW97=0,0,INDEX($Y$2:$Y$11,$MW97))</f>
        <v/>
      </c>
      <c r="NT97" s="152">
        <f>IF($MW97=0,0,INDEX($Z$2:$Z$11,$MW97))</f>
        <v/>
      </c>
      <c r="NU97" s="152">
        <f>IF($MW97=0,0,INDEX($AB$2:$AB$11,$MW97))</f>
        <v/>
      </c>
      <c r="NV97" s="152">
        <f>IFERROR(VLOOKUP($MO97,$BC$2:$BG$24,3,FALSE),0)</f>
        <v/>
      </c>
      <c r="NW97" s="152">
        <f>IFERROR(VLOOKUP($MP97,$BC$2:$BG$24,3,FALSE),0)</f>
        <v/>
      </c>
      <c r="NX97" s="152">
        <f>IFERROR(VLOOKUP($MO97,$BC$2:$BG$24,2,FALSE),"")</f>
        <v/>
      </c>
      <c r="NY97" s="152">
        <f>IFERROR(VLOOKUP($MP97,$BC$2:$BG$24,2,FALSE),"")</f>
        <v/>
      </c>
      <c r="NZ97" s="152">
        <f>COUNTIF($NF97:$NJ97,1)</f>
        <v/>
      </c>
      <c r="OA97" s="152">
        <f>COUNTIF($NF97:$NJ97,2)</f>
        <v/>
      </c>
      <c r="OB97" s="152">
        <f>COUNTIF($NF97:$NJ97,3)</f>
        <v/>
      </c>
      <c r="OC97" s="152">
        <f>COUNTIF($NF97:$NJ97,4)</f>
        <v/>
      </c>
      <c r="OD97" s="152">
        <f>COUNTIF($NF97:$NJ97,5)</f>
        <v/>
      </c>
      <c r="OE97" s="152">
        <f>COUNTIF($NF97:$NJ97,6)</f>
        <v/>
      </c>
      <c r="OF97" s="152">
        <f>COUNTIF($NV97:$NW97,1)</f>
        <v/>
      </c>
      <c r="OG97" s="152">
        <f>COUNTIF($NV97:$NW97,2)+$NS97</f>
        <v/>
      </c>
      <c r="OH97" s="152">
        <f>COUNTIF($MK97:$MN97,"?*")</f>
        <v/>
      </c>
      <c r="OI97" s="152">
        <f>COUNTIF($MO97:$MP97,"?*")+$NS97</f>
        <v/>
      </c>
      <c r="OJ97" s="152">
        <f>IF($MF97=0,0,SUMPRODUCT($NZ97:$OE97,INDEX($I$2:$N$8,MAX(1,$MF97),0)))</f>
        <v/>
      </c>
      <c r="OK97" s="152">
        <f>IF($MF97=0,0,$OF97*CEILING($MF97/2,1)+$OG97*$MF97)</f>
        <v/>
      </c>
      <c r="OL97" s="152">
        <f>MIN(2*$MF97,$OK97)</f>
        <v/>
      </c>
      <c r="OM97" s="152">
        <f>MIN($OL97,$OJ97)</f>
        <v/>
      </c>
      <c r="ON97" s="152">
        <f>$OL97-$OM97</f>
        <v/>
      </c>
      <c r="OO97" s="152">
        <f>IF($MF97=0,0,INDEX($P$2:$P$8,MAX(1,$MF97)))</f>
        <v/>
      </c>
      <c r="OP97" s="152">
        <f>$OO97-$OJ97+$OM97</f>
        <v/>
      </c>
      <c r="OQ97" s="152">
        <f>IF($MF97=0,MAX(0,$MT97-IF($OH97&gt;0,1,0)),MAX(0,$OP97))</f>
        <v/>
      </c>
      <c r="OR97" s="152">
        <f>IF($MF97=0,0,(IF(COUNTIF($MK97:$MN97,"Salto")&gt;0,1,0)+IF(COUNTIF($MK97:$MN97,"Queima")&gt;0,1,0)+IF(COUNTIF($MK97:$MN97,"Estilhaço")&gt;0,1,0))*FLOOR($OQ97/2,1))</f>
        <v/>
      </c>
      <c r="OS97" s="152">
        <f>MAX(0,2-SUMPRODUCT($NZ97:$OE97,$I$2:$N$2)+MIN(2,$OF97*1+$OG97*1,SUMPRODUCT($NZ97:$OE97,$I$2:$N$2)))</f>
        <v/>
      </c>
      <c r="OT97" s="152">
        <f>MAX(0,4-SUMPRODUCT($NZ97:$OE97,$I$3:$N$3)+MIN(4,$OF97*1+$OG97*2,SUMPRODUCT($NZ97:$OE97,$I$3:$N$3)))</f>
        <v/>
      </c>
      <c r="OU97" s="152">
        <f>MAX(0,6-SUMPRODUCT($NZ97:$OE97,$I$4:$N$4)+MIN(6,$OF97*2+$OG97*3,SUMPRODUCT($NZ97:$OE97,$I$4:$N$4)))</f>
        <v/>
      </c>
      <c r="OV97" s="152">
        <f>MAX(0,9-SUMPRODUCT($NZ97:$OE97,$I$5:$N$5)+MIN(8,$OF97*2+$OG97*4,SUMPRODUCT($NZ97:$OE97,$I$5:$N$5)))</f>
        <v/>
      </c>
      <c r="OW97" s="152">
        <f>MAX(0,11-SUMPRODUCT($NZ97:$OE97,$I$6:$N$6)+MIN(10,$OF97*3+$OG97*5,SUMPRODUCT($NZ97:$OE97,$I$6:$N$6)))</f>
        <v/>
      </c>
      <c r="OX97" s="152">
        <f>MAX(0,13-SUMPRODUCT($NZ97:$OE97,$I$7:$N$7)+MIN(12,$OF97*3+$OG97*6,SUMPRODUCT($NZ97:$OE97,$I$7:$N$7)))</f>
        <v/>
      </c>
      <c r="OY97" s="152">
        <f>MAX(0,16-SUMPRODUCT($NZ97:$OE97,$I$8:$N$8)+MIN(14,$OF97*4+$OG97*7,SUMPRODUCT($NZ97:$OE97,$I$8:$N$8)))</f>
        <v/>
      </c>
      <c r="OZ97" s="152">
        <f>IF($NT97=2,3*$OS97&amp;" de vida temp.",IF($NT97=3,"sem dano",IF($OS97=0,IF($NT97=1,"sem cura","sem dano"),IF($NT97=1,"cura ","")&amp;$OS97&amp;"d8")))</f>
        <v/>
      </c>
      <c r="PA97" s="152">
        <f>IF($NT97=2,3*$OT97&amp;" de vida temp.",IF($NT97=3,"sem dano",IF($OT97=0,IF($NT97=1,"sem cura","sem dano"),IF($NT97=1,"cura ","")&amp;$OT97&amp;"d8")))</f>
        <v/>
      </c>
      <c r="PB97" s="152">
        <f>IF($NT97=2,3*$OU97&amp;" de vida temp.",IF($NT97=3,"sem dano",IF($OU97=0,IF($NT97=1,"sem cura","sem dano"),IF($NT97=1,"cura ","")&amp;$OU97&amp;"d8")))</f>
        <v/>
      </c>
      <c r="PC97" s="152">
        <f>IF($NT97=2,3*$OV97&amp;" de vida temp.",IF($NT97=3,"sem dano",IF($OV97=0,IF($NT97=1,"sem cura","sem dano"),IF($NT97=1,"cura ","")&amp;$OV97&amp;"d8")))</f>
        <v/>
      </c>
      <c r="PD97" s="152">
        <f>IF($NT97=2,3*$OW97&amp;" de vida temp.",IF($NT97=3,"sem dano",IF($OW97=0,IF($NT97=1,"sem cura","sem dano"),IF($NT97=1,"cura ","")&amp;$OW97&amp;"d8")))</f>
        <v/>
      </c>
      <c r="PE97" s="152">
        <f>IF($NT97=2,3*$OX97&amp;" de vida temp.",IF($NT97=3,"sem dano",IF($OX97=0,IF($NT97=1,"sem cura","sem dano"),IF($NT97=1,"cura ","")&amp;$OX97&amp;"d8")))</f>
        <v/>
      </c>
      <c r="PF97" s="152">
        <f>IF($NT97=2,3*$OY97&amp;" de vida temp.",IF($NT97=3,"sem dano",IF($OY97=0,IF($NT97=1,"sem cura","sem dano"),IF($NT97=1,"cura ","")&amp;$OY97&amp;"d8")))</f>
        <v/>
      </c>
      <c r="PG97" s="152">
        <f>IF($MQ97=0,"",TEXTJOIN(" · ",TRUE,IF($MD97&gt;$MR97,"Este lugar abre no nível "&amp;$MD97,""),IF($MF97&gt;$MS97,"Classe "&amp;$MF97&amp;": o nível "&amp;$MR97&amp;" libera até a "&amp;$MS97,""),IF($NK97=1,"A Forma "&amp;$MH97&amp;" pede "&amp;INDEX($W$2:$W$11,$MW97)&amp;" aberta",""),IF(AND($MF97=0,$MW97&gt;0,IF($MW97=0,0,INDEX($AF$2:$AF$11,$MW97))=0),$MH97&amp;" não existe na Classe 0",""),IF($NL97=1,"Família Fechada: "&amp;$MK97,""),IF($NM97=1,"Família Fechada: "&amp;$ML97,""),IF($NN97=1,"Família Fechada: "&amp;$MM97,""),IF($NO97=1,"Família Fechada: "&amp;$MN97,""),IF(AND($MF97&gt;0,$OH97&gt;INDEX($O$2:$O$8,MAX(1,$MF97))),$OH97&amp;" Melhorias: a Classe "&amp;$MF97&amp;" aceita "&amp;INDEX($O$2:$O$8,MAX(1,$MF97)),""),IF(AND($MF97=0,$OH97&gt;1),"A básica aceita uma Melhoria",""),IF(AND($MF97=0,COUNTIF($NB97:$NE97,"&gt;1")&gt;0),"A básica só aceita Melhoria Leve",""),IF(AND($MF97&gt;0,$OI97&gt;2),$OI97&amp;" Restrições"&amp;IF($NS97=1,", contando a que a Forma "&amp;$MH97&amp;" já traz","")&amp;": o limite é 2",""),IF(AND($MF97=0,COUNTIF($MO97:$MP97,"?*")&gt;1),"A básica aceita uma Restrição Leve",""),IF(AND($MF97=0,COUNTIF($NV97:$NW97,2)&gt;0),"A básica só aceita Restrição Leve",""),IF(AND($MF97&gt;0,$OP97&lt;0),"Orçamento estourado: faltam "&amp;(-$OP97)&amp;IF($OP97&lt;-1," pontos"," ponto"),""),IF(IFERROR(VLOOKUP($MO97,$BC$2:$BG$24,4,FALSE),0)+IFERROR(VLOOKUP($MP97,$BC$2:$BG$24,4,FALSE),0)&gt;1,$NX97&amp;" e "&amp;$NY97&amp;" são as duas de frequência",""),IF(AND((COUNTIF($MK97:$MN97,"Rápido")+COUNTIF($NX97:$NY97,"Rápido"))&gt;0,(COUNTIF($MK97:$MN97,"Atrasar")+COUNTIF($NX97:$NY97,"Atrasar"))&gt;0),"Rápido não entra com Atrasar",""),IF(AND((COUNTIF($MK97:$MN97,"Reação")+COUNTIF($NX97:$NY97,"Reação"))&gt;0,(COUNTIF($MK97:$MN97,"Rápido")+COUNTIF($NX97:$NY97,"Rápido"))&gt;0),"Reação não entra com Rápido",""),IF(AND((COUNTIF($MK97:$MN97,"Reação")+COUNTIF($NX97:$NY97,"Reação"))&gt;0,(COUNTIF($MK97:$MN97,"Armado")+COUNTIF($NX97:$NY97,"Armado"))&gt;0),"Reação não entra com Armado",""),IF(AND((COUNTIF($MK97:$MN97,"Reação")+COUNTIF($NX97:$NY97,"Reação"))&gt;0,(COUNTIF($MK97:$MN97,"Atrasar")+COUNTIF($NX97:$NY97,"Atrasar"))&gt;0),"Reação não entra com Atrasar",""),IF(AND((COUNTIF($MK97:$MN97,"Reação")+COUNTIF($NX97:$NY97,"Reação"))&gt;0,(COUNTIF($MK97:$MN97,"Parado")+COUNTIF($NX97:$NY97,"Parado"))&gt;0),"Reação não entra com Parado",""),IF(AND((COUNTIF($MK97:$MN97,"Atrasar")+COUNTIF($NX97:$NY97,"Atrasar"))&gt;0,(COUNTIF($MK97:$MN97,"Parado")+COUNTIF($NX97:$NY97,"Parado"))&gt;0),"Atrasar não entra com Parado",""),IF(AND((COUNTIF($MK97:$MN97,"Armado")+COUNTIF($NX97:$NY97,"Armado"))&gt;0,(COUNTIF($MK97:$MN97,"Carregar")+COUNTIF($NX97:$NY97,"Carregar"))&gt;0),"Armado não entra com Carregar",""),IF(AND(COUNTIF($NX97:$NY97,"Corpo a Corpo")&gt;0,$NS97=0,OR($MH97="Cone",$MH97="Linha")),"Corpo a Corpo não entra em "&amp;$MH97,""),IF(AND(COUNTIF($NX97:$NY97,"Corpo a Corpo")&gt;0,$NS97=1),"A Forma "&amp;$MH97&amp;" já traz o Corpo a Corpo",""),IF(AND(COUNTIF($NX97:$NY97,"Tudo ou Nada")&gt;0,$NU97=0),"Tudo ou Nada só entra em habilidade de Teste de Resistência",""),IF(AND(COUNTIF($MK97:$MN97,"Inescapável")&gt;0,OR($OH97&gt;1,$OI97&gt;0)),"Inescapável não aceita outra peça",""),IF(AND($MF97&gt;0,$OQ97*IF(COUNTIF($MK97:$MN97,"Remate")&gt;0,1.25,1)+$OR97&gt;4*$MF97),($OQ97*IF(COUNTIF($MK97:$MN97,"Remate")&gt;0,1.25,1)+$OR97)&amp;" dados somando repetições"&amp;IF(COUNTIF($MK97:$MN97,"Remate")&gt;0," e o Remate","")&amp;": o teto da Classe "&amp;$MF97&amp;" é "&amp;4*$MF97,"")))</f>
        <v/>
      </c>
      <c r="PH97" s="152">
        <f>IF($PG97="",0,(LEN($PG97)-LEN(SUBSTITUTE($PG97," · ","")))/3+1)</f>
        <v/>
      </c>
      <c r="PI97" s="152">
        <f>IF($MQ97=0,"",TEXTJOIN(" · ",TRUE,IF($OK97&gt;2*$MF97,"A devolução parou no teto de "&amp;2*$MF97,""),IF($ON97&gt;0,"Devolução perdida: "&amp;$ON97&amp;IF($ON97&gt;1," pontos"," ponto")&amp;" sem peça para pagar",""),IF(AND($NP97&gt;0,AND($MF97&gt;0,$NT97=0),$OQ97=0),"Controle sem dano: uma rodada a mais e CD +2",""),IF(AND($NP97&gt;0,AND($MF97&gt;0,$NT97=0),$OQ97&gt;0,$OQ97&lt;=$MF97),"Controle com saldo até a Classe: uma rodada a mais",""),IF(AND($MF97&gt;0,$NR97&lt;&gt;""),"Efeito de "&amp;$NR97&amp;" pela Classe "&amp;MAX(1,$MF97-1),"")))</f>
        <v/>
      </c>
      <c r="PJ97" s="152">
        <f>IF($PI97="",0,(LEN($PI97)-LEN(SUBSTITUTE($PI97," · ","")))/3+1)</f>
        <v/>
      </c>
      <c r="PK97" s="152">
        <f>IF($MQ97=0,IF($OH97+COUNTIF($MO97:$MP97,"?*")&gt;0,"Dê um nome",""),IF($PH97&gt;0,"⚠ "&amp;$PH97&amp;IF($PH97&gt;1," erros"," erro"),IF($PJ97&gt;0,"! "&amp;$PJ97&amp;IF($PJ97&gt;1," avisos"," aviso"),"Na regra")))</f>
        <v/>
      </c>
      <c r="PL97" s="152">
        <f>IF($MQ97=0,"",IF($PH97+$PJ97=0,"Dentro das regras que a ficha confere",$PG97&amp;IF(AND($PH97&gt;0,$PJ97&gt;0)," · ","")&amp;$PI97))</f>
        <v/>
      </c>
      <c r="PM97" s="152">
        <f>IF($MD97&gt;$MR97,$ME97&amp;" · ABRE NO NÍVEL "&amp;$MD97,$ME97)</f>
        <v/>
      </c>
      <c r="PN97" s="152">
        <f>IF($MQ97=0,"",IF($MF97=0,"Sem PE",3*$MF97&amp;" PE"))</f>
        <v/>
      </c>
      <c r="PO97" s="152">
        <f>IF($MQ97=0,"",IF($MF97=0,"A atuação básica dela",IF(COUNTIF($NX97:$NY97,"Atrasar")&gt;0,"Sua Ação Completa",IF(COUNTIF($MK97:$MN97,"Rápido")&gt;0,"Sua Bônus",IF(COUNTIF($MK97:$MN97,"Reação")&gt;0,"Sua Reação","Sua Padrão")))&amp;" + a básica dela"&amp;IF(COUNTIF($MK97:$MN97,"Reação")&gt;0," e a coletiva","")&amp;IF(COUNTIF($NX97:$NY97,"Carregar")&gt;0," · em dois turnos","")))</f>
        <v/>
      </c>
      <c r="PP97" s="152">
        <f>IF($MJ97&lt;&gt;"",$MJ97,IF($MW97=0,"",INDEX($AA$2:$AA$11,$MW97)))</f>
        <v/>
      </c>
      <c r="PQ97" s="152">
        <f>IF(OR($MQ97=0,$MW97=0),"",IF(COUNTIF($MK97:$MN97,"Inescapável")&gt;0,"Automático",IF($PP97="Ataque",IF($MU97="","Ataque","Ataque "&amp;IF(($MU97+2*IF(COUNTIF($MK97:$MN97,"Precisão")&gt;0,1,0))&gt;=0,"+","−")&amp;ABS(($MU97+2*IF(COUNTIF($MK97:$MN97,"Precisão")&gt;0,1,0))))&amp;IF($NQ97&gt;0," · TR"&amp;IF($MV97="",""," CD "&amp;$MV97),""),IF(LEFT($PP97,2)="TR",$PP97&amp;IF($MV97="",""," · CD "&amp;$MV97)&amp;IF(COUNTIF($MK97:$MN97,"Certeiro")&gt;0," · metade",""),"Sem rolagem"))))</f>
        <v/>
      </c>
      <c r="PR97" s="152">
        <f>IF(OR($MQ97=0,$MW97=0),"",IF($MF97=0,IF(OR($NT97&gt;=1,$OQ97=0),"Sem dano",$OQ97&amp;"d6"&amp;IF($MI97="",""," "&amp;$MI97)),IF(OR($NT97&gt;=1,$OQ97=0),UPPER(LEFT(INDEX($OZ97:$PF97,1,MAX(1,$MF97)),1))&amp;MID(INDEX($OZ97:$PF97,1,MAX(1,$MF97)),2,99),UPPER(LEFT(INDEX($OZ97:$PF97,1,MAX(1,$MF97)),1))&amp;MID(INDEX($OZ97:$PF97,1,MAX(1,$MF97)),2,99)&amp;IF($MI97="",""," "&amp;$MI97)&amp;IF($OR97&gt;0," · +"&amp;$OR97&amp;"d8",""))))</f>
        <v/>
      </c>
      <c r="PS97" s="152">
        <f>COUNTIF($MK97:$MN97,"Longe")+3*COUNTIF($MK97:$MN97,"Muito Longe")</f>
        <v/>
      </c>
      <c r="PT97" s="152">
        <f>COUNTIF($MK97:$MN97,"Maior")+3*COUNTIF($MK97:$MN97,"Muito Maior")</f>
        <v/>
      </c>
      <c r="PU97" s="152">
        <f>IF($MW97=0,0,CHOOSE(1+INDEX($AC$2:$AC$11,$MW97),0,$PS97,$PT97,$PS97+$PT97))</f>
        <v/>
      </c>
      <c r="PV97" s="152">
        <f>IF($MW97=0,0,CHOOSE(1+INDEX($AD$2:$AD$11,$MW97),0,$PS97,$PT97,$PS97+$PT97))</f>
        <v/>
      </c>
      <c r="PW97" s="152">
        <f>IF(OR($MQ97=0,$MW97=0),"",INDEX($AI$2:$AN$41,($MW97-1)*4+IF($MF97=0,1,IF($MF97&lt;=5,2,IF($MF97=6,3,4))),1+MIN(5,$PU97))&amp;INDEX($AO$2:$AT$41,($MW97-1)*4+IF($MF97=0,1,IF($MF97&lt;=5,2,IF($MF97=6,3,4))),1+MIN(5,$PV97))&amp;IF(INDEX($AE$2:$AE$11,$MW97)=1,IF(COUNTIF($MK97:$MN97,"Mais Um")&gt;0," · +"&amp;COUNTIF($MK97:$MN97,"Mais Um")&amp;IF(COUNTIF($MK97:$MN97,"Mais Um")&gt;1," alvos"," alvo"),"")&amp;IF(COUNTIF($MK97:$MN97,"Rajada")&gt;0,IF($MF97=0," · 1 tiro"," · "&amp;(MAX(1,$MF97-1)+1)&amp;" tiros"),""),""))</f>
        <v/>
      </c>
      <c r="PX97" s="152">
        <f>IF($MQ97=0,"",IF($MF97=0,$MT97&amp;"d6"&amp;IF($OH97&gt;0," − 1 = "&amp;$OQ97&amp;"d6"," da básica do nível "&amp;$MR97),$OO97&amp;" − "&amp;$OJ97&amp;" + "&amp;$OM97&amp;" = "&amp;$OP97&amp;" · teto "&amp;4*$MF97&amp;"d8"&amp;IF($NS97=1," · a Forma devolve "&amp;$MF97,"")&amp;IF($ON97&gt;0," · perde "&amp;$ON97,"")))</f>
        <v/>
      </c>
      <c r="PY97" s="152">
        <f>IF($MQ97=0,"",IF($MF97=0,"A básica não amplia: os dados dela sobem com o nível",IF($MF97&gt;=$MS97,"Já está na maior Classe que o nível liberou",TEXTJOIN(" · ",TRUE,IF(AND(2&gt;$MF97,2&lt;=$MS97),"2 → "&amp;$PA97&amp;", 6 PE",""),IF(AND(3&gt;$MF97,3&lt;=$MS97),"3 → "&amp;$PB97&amp;", 9 PE",""),IF(AND(4&gt;$MF97,4&lt;=$MS97),"4 → "&amp;$PC97&amp;", 12 PE",""),IF(AND(5&gt;$MF97,5&lt;=$MS97),"5 → "&amp;$PD97&amp;", 15 PE",""),IF(AND(6&gt;$MF97,6&lt;=$MS97),"6 → "&amp;$PE97&amp;", 18 PE",""),IF(AND(7&gt;$MF97,7&lt;=$MS97),"7 → "&amp;$PF97&amp;", 21 PE","")))))</f>
        <v/>
      </c>
      <c r="PZ97" s="152">
        <f>IF(OR($MQ97=0,$NB97=0),"",IF($MF97=0,"−1 dado","−"&amp;INDEX($I$2:$N$8,MAX(1,$MF97),MAX(1,$NG97))&amp;" · "&amp;CHOOSE(MAX(1,$NG97),"Leve","Média","Pesada","Leve · Livre","Média · Livre","Pesada · Livre")))</f>
        <v/>
      </c>
      <c r="QA97" s="152">
        <f>IF(OR($MQ97=0,$NC97=0),"",IF($MF97=0,"−1 dado","−"&amp;INDEX($I$2:$N$8,MAX(1,$MF97),MAX(1,$NH97))&amp;" · "&amp;CHOOSE(MAX(1,$NH97),"Leve","Média","Pesada","Leve · Livre","Média · Livre","Pesada · Livre")))</f>
        <v/>
      </c>
      <c r="QB97" s="152">
        <f>IF(OR($MQ97=0,$ND97=0),"",IF($MF97=0,"−1 dado","−"&amp;INDEX($I$2:$N$8,MAX(1,$MF97),MAX(1,$NI97))&amp;" · "&amp;CHOOSE(MAX(1,$NI97),"Leve","Média","Pesada","Leve · Livre","Média · Livre","Pesada · Livre")))</f>
        <v/>
      </c>
      <c r="QC97" s="152">
        <f>IF(OR($MQ97=0,$NE97=0),"",IF($MF97=0,"−1 dado","−"&amp;INDEX($I$2:$N$8,MAX(1,$MF97),MAX(1,$NJ97))&amp;" · "&amp;CHOOSE(MAX(1,$NJ97),"Leve","Média","Pesada","Leve · Livre","Média · Livre","Pesada · Livre")))</f>
        <v/>
      </c>
      <c r="QD97" s="152">
        <f>IF(OR($MQ97=0,$MO97=""),"",IF($MF97=0,"não devolve","+"&amp;IF($NV97=1,CEILING($MF97/2,1),$MF97)))</f>
        <v/>
      </c>
      <c r="QE97" s="152">
        <f>IF(OR($MQ97=0,$MP97=""),"",IF($MF97=0,"não devolve","+"&amp;IF($NW97=1,CEILING($MF97/2,1),$MF97)))</f>
        <v/>
      </c>
    </row>
    <row r="98">
      <c r="MA98" s="150" t="inlineStr">
        <is>
          <t>Ficha 8 · Especial 4</t>
        </is>
      </c>
      <c r="MB98" s="152" t="n">
        <v>8</v>
      </c>
      <c r="MC98" s="152" t="n">
        <v>1</v>
      </c>
      <c r="MD98" s="152" t="n">
        <v>12</v>
      </c>
      <c r="ME98" s="150" t="inlineStr">
        <is>
          <t>ESPECIAL 4</t>
        </is>
      </c>
      <c r="MF98" s="152">
        <f>MAX(1,MIN(7,N('INVOCAÇÕES'!$AN$290)))</f>
        <v/>
      </c>
      <c r="MG98" s="152">
        <f>'INVOCAÇÕES'!$AO$290&amp;""</f>
        <v/>
      </c>
      <c r="MH98" s="152">
        <f>'INVOCAÇÕES'!$AN$295&amp;""</f>
        <v/>
      </c>
      <c r="MI98" s="152">
        <f>'INVOCAÇÕES'!$AN$296&amp;""</f>
        <v/>
      </c>
      <c r="MJ98" s="152">
        <f>'INVOCAÇÕES'!$AP$296&amp;""</f>
        <v/>
      </c>
      <c r="MK98" s="152">
        <f>'INVOCAÇÕES'!$AO$299&amp;""</f>
        <v/>
      </c>
      <c r="ML98" s="152">
        <f>'INVOCAÇÕES'!$AO$300&amp;""</f>
        <v/>
      </c>
      <c r="MM98" s="152">
        <f>'INVOCAÇÕES'!$AO$301&amp;""</f>
        <v/>
      </c>
      <c r="MN98" s="152">
        <f>'INVOCAÇÕES'!$AO$302&amp;""</f>
        <v/>
      </c>
      <c r="MO98" s="152">
        <f>'INVOCAÇÕES'!$AO$303&amp;""</f>
        <v/>
      </c>
      <c r="MP98" s="152">
        <f>'INVOCAÇÕES'!$AO$304&amp;""</f>
        <v/>
      </c>
      <c r="MQ98" s="152">
        <f>IF($MG98&lt;&gt;"",1,0)</f>
        <v/>
      </c>
      <c r="MR98" s="152">
        <f>INDEX($FI$2:$FI$13,$MB98)</f>
        <v/>
      </c>
      <c r="MS98" s="152">
        <f>INDEX($FJ$2:$FJ$13,$MB98)</f>
        <v/>
      </c>
      <c r="MT98" s="152">
        <f>INDEX($FK$2:$FK$13,$MB98)</f>
        <v/>
      </c>
      <c r="MU98" s="152">
        <f>INDEX($FV$2:$FV$13,$MB98)</f>
        <v/>
      </c>
      <c r="MV98" s="152">
        <f>INDEX($FW$2:$FW$13,$MB98)</f>
        <v/>
      </c>
      <c r="MW98" s="152">
        <f>IFERROR(MATCH($MH98,$V$2:$V$11,0),0)</f>
        <v/>
      </c>
      <c r="MX98" s="152">
        <f>IFERROR(VLOOKUP($MK98,$AV$2:$BA$84,2,FALSE),"")</f>
        <v/>
      </c>
      <c r="MY98" s="152">
        <f>IFERROR(VLOOKUP($ML98,$AV$2:$BA$84,2,FALSE),"")</f>
        <v/>
      </c>
      <c r="MZ98" s="152">
        <f>IFERROR(VLOOKUP($MM98,$AV$2:$BA$84,2,FALSE),"")</f>
        <v/>
      </c>
      <c r="NA98" s="152">
        <f>IFERROR(VLOOKUP($MN98,$AV$2:$BA$84,2,FALSE),"")</f>
        <v/>
      </c>
      <c r="NB98" s="152">
        <f>IFERROR(VLOOKUP($MK98,$AV$2:$BA$84,3,FALSE),0)</f>
        <v/>
      </c>
      <c r="NC98" s="152">
        <f>IFERROR(VLOOKUP($ML98,$AV$2:$BA$84,3,FALSE),0)</f>
        <v/>
      </c>
      <c r="ND98" s="152">
        <f>IFERROR(VLOOKUP($MM98,$AV$2:$BA$84,3,FALSE),0)</f>
        <v/>
      </c>
      <c r="NE98" s="152">
        <f>IFERROR(VLOOKUP($MN98,$AV$2:$BA$84,3,FALSE),0)</f>
        <v/>
      </c>
      <c r="NF98" s="152">
        <f>IF($MF98=0,0,IF($MW98=0,0,INDEX($X$2:$X$11,$MW98)))</f>
        <v/>
      </c>
      <c r="NG98" s="152">
        <f>IF(OR($NB98=0,$MF98=0),0,$NB98+3*IF(AND($MX98&lt;&gt;"",OR($MX98=INDEX($EF$2:$EF$13,$MB98),$MX98=INDEX($EG$2:$EG$13,$MB98))),1,0))</f>
        <v/>
      </c>
      <c r="NH98" s="152">
        <f>IF(OR($NC98=0,$MF98=0),0,$NC98+3*IF(AND($MY98&lt;&gt;"",OR($MY98=INDEX($EF$2:$EF$13,$MB98),$MY98=INDEX($EG$2:$EG$13,$MB98))),1,0))</f>
        <v/>
      </c>
      <c r="NI98" s="152">
        <f>IF(OR($ND98=0,$MF98=0),0,$ND98+3*IF(AND($MZ98&lt;&gt;"",OR($MZ98=INDEX($EF$2:$EF$13,$MB98),$MZ98=INDEX($EG$2:$EG$13,$MB98))),1,0))</f>
        <v/>
      </c>
      <c r="NJ98" s="152">
        <f>IF(OR($NE98=0,$MF98=0),0,$NE98+3*IF(AND($NA98&lt;&gt;"",OR($NA98=INDEX($EF$2:$EF$13,$MB98),$NA98=INDEX($EG$2:$EG$13,$MB98))),1,0))</f>
        <v/>
      </c>
      <c r="NK98" s="152">
        <f>IF($MW98=0,0,IF(INDEX($W$2:$W$11,$MW98)="",0,IF(COUNTIF(INDEX($EF$2:$EJ$13,$MB98,0),INDEX($W$2:$W$11,$MW98))=0,1,0)))</f>
        <v/>
      </c>
      <c r="NL98" s="152">
        <f>IF(OR($NB98=0,$MX98=""),0,IF(COUNTIF(INDEX($EF$2:$EJ$13,$MB98,0),$MX98)=0,1,0))</f>
        <v/>
      </c>
      <c r="NM98" s="152">
        <f>IF(OR($NC98=0,$MY98=""),0,IF(COUNTIF(INDEX($EF$2:$EJ$13,$MB98,0),$MY98)=0,1,0))</f>
        <v/>
      </c>
      <c r="NN98" s="152">
        <f>IF(OR($ND98=0,$MZ98=""),0,IF(COUNTIF(INDEX($EF$2:$EJ$13,$MB98,0),$MZ98)=0,1,0))</f>
        <v/>
      </c>
      <c r="NO98" s="152">
        <f>IF(OR($NE98=0,$NA98=""),0,IF(COUNTIF(INDEX($EF$2:$EJ$13,$MB98,0),$NA98)=0,1,0))</f>
        <v/>
      </c>
      <c r="NP98" s="152">
        <f>IFERROR(VLOOKUP($MK98,$AV$2:$BA$84,4,FALSE),0)+IFERROR(VLOOKUP($ML98,$AV$2:$BA$84,4,FALSE),0)+IFERROR(VLOOKUP($MM98,$AV$2:$BA$84,4,FALSE),0)+IFERROR(VLOOKUP($MN98,$AV$2:$BA$84,4,FALSE),0)</f>
        <v/>
      </c>
      <c r="NQ98" s="152">
        <f>IFERROR(VLOOKUP($MK98,$AV$2:$BA$84,6,FALSE),0)+IFERROR(VLOOKUP($ML98,$AV$2:$BA$84,6,FALSE),0)+IFERROR(VLOOKUP($MM98,$AV$2:$BA$84,6,FALSE),0)+IFERROR(VLOOKUP($MN98,$AV$2:$BA$84,6,FALSE),0)</f>
        <v/>
      </c>
      <c r="NR98" s="152">
        <f>TEXTJOIN(", ",TRUE,IF(IFERROR(VLOOKUP($MK98,$AV$2:$BA$84,5,FALSE),0)=1,$MK98,""),IF(IFERROR(VLOOKUP($ML98,$AV$2:$BA$84,5,FALSE),0)=1,$ML98,""),IF(IFERROR(VLOOKUP($MM98,$AV$2:$BA$84,5,FALSE),0)=1,$MM98,""),IF(IFERROR(VLOOKUP($MN98,$AV$2:$BA$84,5,FALSE),0)=1,$MN98,""))</f>
        <v/>
      </c>
      <c r="NS98" s="152">
        <f>IF($MW98=0,0,INDEX($Y$2:$Y$11,$MW98))</f>
        <v/>
      </c>
      <c r="NT98" s="152">
        <f>IF($MW98=0,0,INDEX($Z$2:$Z$11,$MW98))</f>
        <v/>
      </c>
      <c r="NU98" s="152">
        <f>IF($MW98=0,0,INDEX($AB$2:$AB$11,$MW98))</f>
        <v/>
      </c>
      <c r="NV98" s="152">
        <f>IFERROR(VLOOKUP($MO98,$BC$2:$BG$24,3,FALSE),0)</f>
        <v/>
      </c>
      <c r="NW98" s="152">
        <f>IFERROR(VLOOKUP($MP98,$BC$2:$BG$24,3,FALSE),0)</f>
        <v/>
      </c>
      <c r="NX98" s="152">
        <f>IFERROR(VLOOKUP($MO98,$BC$2:$BG$24,2,FALSE),"")</f>
        <v/>
      </c>
      <c r="NY98" s="152">
        <f>IFERROR(VLOOKUP($MP98,$BC$2:$BG$24,2,FALSE),"")</f>
        <v/>
      </c>
      <c r="NZ98" s="152">
        <f>COUNTIF($NF98:$NJ98,1)</f>
        <v/>
      </c>
      <c r="OA98" s="152">
        <f>COUNTIF($NF98:$NJ98,2)</f>
        <v/>
      </c>
      <c r="OB98" s="152">
        <f>COUNTIF($NF98:$NJ98,3)</f>
        <v/>
      </c>
      <c r="OC98" s="152">
        <f>COUNTIF($NF98:$NJ98,4)</f>
        <v/>
      </c>
      <c r="OD98" s="152">
        <f>COUNTIF($NF98:$NJ98,5)</f>
        <v/>
      </c>
      <c r="OE98" s="152">
        <f>COUNTIF($NF98:$NJ98,6)</f>
        <v/>
      </c>
      <c r="OF98" s="152">
        <f>COUNTIF($NV98:$NW98,1)</f>
        <v/>
      </c>
      <c r="OG98" s="152">
        <f>COUNTIF($NV98:$NW98,2)+$NS98</f>
        <v/>
      </c>
      <c r="OH98" s="152">
        <f>COUNTIF($MK98:$MN98,"?*")</f>
        <v/>
      </c>
      <c r="OI98" s="152">
        <f>COUNTIF($MO98:$MP98,"?*")+$NS98</f>
        <v/>
      </c>
      <c r="OJ98" s="152">
        <f>IF($MF98=0,0,SUMPRODUCT($NZ98:$OE98,INDEX($I$2:$N$8,MAX(1,$MF98),0)))</f>
        <v/>
      </c>
      <c r="OK98" s="152">
        <f>IF($MF98=0,0,$OF98*CEILING($MF98/2,1)+$OG98*$MF98)</f>
        <v/>
      </c>
      <c r="OL98" s="152">
        <f>MIN(2*$MF98,$OK98)</f>
        <v/>
      </c>
      <c r="OM98" s="152">
        <f>MIN($OL98,$OJ98)</f>
        <v/>
      </c>
      <c r="ON98" s="152">
        <f>$OL98-$OM98</f>
        <v/>
      </c>
      <c r="OO98" s="152">
        <f>IF($MF98=0,0,INDEX($P$2:$P$8,MAX(1,$MF98)))</f>
        <v/>
      </c>
      <c r="OP98" s="152">
        <f>$OO98-$OJ98+$OM98</f>
        <v/>
      </c>
      <c r="OQ98" s="152">
        <f>IF($MF98=0,MAX(0,$MT98-IF($OH98&gt;0,1,0)),MAX(0,$OP98))</f>
        <v/>
      </c>
      <c r="OR98" s="152">
        <f>IF($MF98=0,0,(IF(COUNTIF($MK98:$MN98,"Salto")&gt;0,1,0)+IF(COUNTIF($MK98:$MN98,"Queima")&gt;0,1,0)+IF(COUNTIF($MK98:$MN98,"Estilhaço")&gt;0,1,0))*FLOOR($OQ98/2,1))</f>
        <v/>
      </c>
      <c r="OS98" s="152">
        <f>MAX(0,2-SUMPRODUCT($NZ98:$OE98,$I$2:$N$2)+MIN(2,$OF98*1+$OG98*1,SUMPRODUCT($NZ98:$OE98,$I$2:$N$2)))</f>
        <v/>
      </c>
      <c r="OT98" s="152">
        <f>MAX(0,4-SUMPRODUCT($NZ98:$OE98,$I$3:$N$3)+MIN(4,$OF98*1+$OG98*2,SUMPRODUCT($NZ98:$OE98,$I$3:$N$3)))</f>
        <v/>
      </c>
      <c r="OU98" s="152">
        <f>MAX(0,6-SUMPRODUCT($NZ98:$OE98,$I$4:$N$4)+MIN(6,$OF98*2+$OG98*3,SUMPRODUCT($NZ98:$OE98,$I$4:$N$4)))</f>
        <v/>
      </c>
      <c r="OV98" s="152">
        <f>MAX(0,9-SUMPRODUCT($NZ98:$OE98,$I$5:$N$5)+MIN(8,$OF98*2+$OG98*4,SUMPRODUCT($NZ98:$OE98,$I$5:$N$5)))</f>
        <v/>
      </c>
      <c r="OW98" s="152">
        <f>MAX(0,11-SUMPRODUCT($NZ98:$OE98,$I$6:$N$6)+MIN(10,$OF98*3+$OG98*5,SUMPRODUCT($NZ98:$OE98,$I$6:$N$6)))</f>
        <v/>
      </c>
      <c r="OX98" s="152">
        <f>MAX(0,13-SUMPRODUCT($NZ98:$OE98,$I$7:$N$7)+MIN(12,$OF98*3+$OG98*6,SUMPRODUCT($NZ98:$OE98,$I$7:$N$7)))</f>
        <v/>
      </c>
      <c r="OY98" s="152">
        <f>MAX(0,16-SUMPRODUCT($NZ98:$OE98,$I$8:$N$8)+MIN(14,$OF98*4+$OG98*7,SUMPRODUCT($NZ98:$OE98,$I$8:$N$8)))</f>
        <v/>
      </c>
      <c r="OZ98" s="152">
        <f>IF($NT98=2,3*$OS98&amp;" de vida temp.",IF($NT98=3,"sem dano",IF($OS98=0,IF($NT98=1,"sem cura","sem dano"),IF($NT98=1,"cura ","")&amp;$OS98&amp;"d8")))</f>
        <v/>
      </c>
      <c r="PA98" s="152">
        <f>IF($NT98=2,3*$OT98&amp;" de vida temp.",IF($NT98=3,"sem dano",IF($OT98=0,IF($NT98=1,"sem cura","sem dano"),IF($NT98=1,"cura ","")&amp;$OT98&amp;"d8")))</f>
        <v/>
      </c>
      <c r="PB98" s="152">
        <f>IF($NT98=2,3*$OU98&amp;" de vida temp.",IF($NT98=3,"sem dano",IF($OU98=0,IF($NT98=1,"sem cura","sem dano"),IF($NT98=1,"cura ","")&amp;$OU98&amp;"d8")))</f>
        <v/>
      </c>
      <c r="PC98" s="152">
        <f>IF($NT98=2,3*$OV98&amp;" de vida temp.",IF($NT98=3,"sem dano",IF($OV98=0,IF($NT98=1,"sem cura","sem dano"),IF($NT98=1,"cura ","")&amp;$OV98&amp;"d8")))</f>
        <v/>
      </c>
      <c r="PD98" s="152">
        <f>IF($NT98=2,3*$OW98&amp;" de vida temp.",IF($NT98=3,"sem dano",IF($OW98=0,IF($NT98=1,"sem cura","sem dano"),IF($NT98=1,"cura ","")&amp;$OW98&amp;"d8")))</f>
        <v/>
      </c>
      <c r="PE98" s="152">
        <f>IF($NT98=2,3*$OX98&amp;" de vida temp.",IF($NT98=3,"sem dano",IF($OX98=0,IF($NT98=1,"sem cura","sem dano"),IF($NT98=1,"cura ","")&amp;$OX98&amp;"d8")))</f>
        <v/>
      </c>
      <c r="PF98" s="152">
        <f>IF($NT98=2,3*$OY98&amp;" de vida temp.",IF($NT98=3,"sem dano",IF($OY98=0,IF($NT98=1,"sem cura","sem dano"),IF($NT98=1,"cura ","")&amp;$OY98&amp;"d8")))</f>
        <v/>
      </c>
      <c r="PG98" s="152">
        <f>IF($MQ98=0,"",TEXTJOIN(" · ",TRUE,IF($MD98&gt;$MR98,"Este lugar abre no nível "&amp;$MD98,""),IF($MF98&gt;$MS98,"Classe "&amp;$MF98&amp;": o nível "&amp;$MR98&amp;" libera até a "&amp;$MS98,""),IF($NK98=1,"A Forma "&amp;$MH98&amp;" pede "&amp;INDEX($W$2:$W$11,$MW98)&amp;" aberta",""),IF(AND($MF98=0,$MW98&gt;0,IF($MW98=0,0,INDEX($AF$2:$AF$11,$MW98))=0),$MH98&amp;" não existe na Classe 0",""),IF($NL98=1,"Família Fechada: "&amp;$MK98,""),IF($NM98=1,"Família Fechada: "&amp;$ML98,""),IF($NN98=1,"Família Fechada: "&amp;$MM98,""),IF($NO98=1,"Família Fechada: "&amp;$MN98,""),IF(AND($MF98&gt;0,$OH98&gt;INDEX($O$2:$O$8,MAX(1,$MF98))),$OH98&amp;" Melhorias: a Classe "&amp;$MF98&amp;" aceita "&amp;INDEX($O$2:$O$8,MAX(1,$MF98)),""),IF(AND($MF98=0,$OH98&gt;1),"A básica aceita uma Melhoria",""),IF(AND($MF98=0,COUNTIF($NB98:$NE98,"&gt;1")&gt;0),"A básica só aceita Melhoria Leve",""),IF(AND($MF98&gt;0,$OI98&gt;2),$OI98&amp;" Restrições"&amp;IF($NS98=1,", contando a que a Forma "&amp;$MH98&amp;" já traz","")&amp;": o limite é 2",""),IF(AND($MF98=0,COUNTIF($MO98:$MP98,"?*")&gt;1),"A básica aceita uma Restrição Leve",""),IF(AND($MF98=0,COUNTIF($NV98:$NW98,2)&gt;0),"A básica só aceita Restrição Leve",""),IF(AND($MF98&gt;0,$OP98&lt;0),"Orçamento estourado: faltam "&amp;(-$OP98)&amp;IF($OP98&lt;-1," pontos"," ponto"),""),IF(IFERROR(VLOOKUP($MO98,$BC$2:$BG$24,4,FALSE),0)+IFERROR(VLOOKUP($MP98,$BC$2:$BG$24,4,FALSE),0)&gt;1,$NX98&amp;" e "&amp;$NY98&amp;" são as duas de frequência",""),IF(AND((COUNTIF($MK98:$MN98,"Rápido")+COUNTIF($NX98:$NY98,"Rápido"))&gt;0,(COUNTIF($MK98:$MN98,"Atrasar")+COUNTIF($NX98:$NY98,"Atrasar"))&gt;0),"Rápido não entra com Atrasar",""),IF(AND((COUNTIF($MK98:$MN98,"Reação")+COUNTIF($NX98:$NY98,"Reação"))&gt;0,(COUNTIF($MK98:$MN98,"Rápido")+COUNTIF($NX98:$NY98,"Rápido"))&gt;0),"Reação não entra com Rápido",""),IF(AND((COUNTIF($MK98:$MN98,"Reação")+COUNTIF($NX98:$NY98,"Reação"))&gt;0,(COUNTIF($MK98:$MN98,"Armado")+COUNTIF($NX98:$NY98,"Armado"))&gt;0),"Reação não entra com Armado",""),IF(AND((COUNTIF($MK98:$MN98,"Reação")+COUNTIF($NX98:$NY98,"Reação"))&gt;0,(COUNTIF($MK98:$MN98,"Atrasar")+COUNTIF($NX98:$NY98,"Atrasar"))&gt;0),"Reação não entra com Atrasar",""),IF(AND((COUNTIF($MK98:$MN98,"Reação")+COUNTIF($NX98:$NY98,"Reação"))&gt;0,(COUNTIF($MK98:$MN98,"Parado")+COUNTIF($NX98:$NY98,"Parado"))&gt;0),"Reação não entra com Parado",""),IF(AND((COUNTIF($MK98:$MN98,"Atrasar")+COUNTIF($NX98:$NY98,"Atrasar"))&gt;0,(COUNTIF($MK98:$MN98,"Parado")+COUNTIF($NX98:$NY98,"Parado"))&gt;0),"Atrasar não entra com Parado",""),IF(AND((COUNTIF($MK98:$MN98,"Armado")+COUNTIF($NX98:$NY98,"Armado"))&gt;0,(COUNTIF($MK98:$MN98,"Carregar")+COUNTIF($NX98:$NY98,"Carregar"))&gt;0),"Armado não entra com Carregar",""),IF(AND(COUNTIF($NX98:$NY98,"Corpo a Corpo")&gt;0,$NS98=0,OR($MH98="Cone",$MH98="Linha")),"Corpo a Corpo não entra em "&amp;$MH98,""),IF(AND(COUNTIF($NX98:$NY98,"Corpo a Corpo")&gt;0,$NS98=1),"A Forma "&amp;$MH98&amp;" já traz o Corpo a Corpo",""),IF(AND(COUNTIF($NX98:$NY98,"Tudo ou Nada")&gt;0,$NU98=0),"Tudo ou Nada só entra em habilidade de Teste de Resistência",""),IF(AND(COUNTIF($MK98:$MN98,"Inescapável")&gt;0,OR($OH98&gt;1,$OI98&gt;0)),"Inescapável não aceita outra peça",""),IF(AND($MF98&gt;0,$OQ98*IF(COUNTIF($MK98:$MN98,"Remate")&gt;0,1.25,1)+$OR98&gt;4*$MF98),($OQ98*IF(COUNTIF($MK98:$MN98,"Remate")&gt;0,1.25,1)+$OR98)&amp;" dados somando repetições"&amp;IF(COUNTIF($MK98:$MN98,"Remate")&gt;0," e o Remate","")&amp;": o teto da Classe "&amp;$MF98&amp;" é "&amp;4*$MF98,"")))</f>
        <v/>
      </c>
      <c r="PH98" s="152">
        <f>IF($PG98="",0,(LEN($PG98)-LEN(SUBSTITUTE($PG98," · ","")))/3+1)</f>
        <v/>
      </c>
      <c r="PI98" s="152">
        <f>IF($MQ98=0,"",TEXTJOIN(" · ",TRUE,IF($OK98&gt;2*$MF98,"A devolução parou no teto de "&amp;2*$MF98,""),IF($ON98&gt;0,"Devolução perdida: "&amp;$ON98&amp;IF($ON98&gt;1," pontos"," ponto")&amp;" sem peça para pagar",""),IF(AND($NP98&gt;0,AND($MF98&gt;0,$NT98=0),$OQ98=0),"Controle sem dano: uma rodada a mais e CD +2",""),IF(AND($NP98&gt;0,AND($MF98&gt;0,$NT98=0),$OQ98&gt;0,$OQ98&lt;=$MF98),"Controle com saldo até a Classe: uma rodada a mais",""),IF(AND($MF98&gt;0,$NR98&lt;&gt;""),"Efeito de "&amp;$NR98&amp;" pela Classe "&amp;MAX(1,$MF98-1),"")))</f>
        <v/>
      </c>
      <c r="PJ98" s="152">
        <f>IF($PI98="",0,(LEN($PI98)-LEN(SUBSTITUTE($PI98," · ","")))/3+1)</f>
        <v/>
      </c>
      <c r="PK98" s="152">
        <f>IF($MQ98=0,IF($OH98+COUNTIF($MO98:$MP98,"?*")&gt;0,"Dê um nome",""),IF($PH98&gt;0,"⚠ "&amp;$PH98&amp;IF($PH98&gt;1," erros"," erro"),IF($PJ98&gt;0,"! "&amp;$PJ98&amp;IF($PJ98&gt;1," avisos"," aviso"),"Na regra")))</f>
        <v/>
      </c>
      <c r="PL98" s="152">
        <f>IF($MQ98=0,"",IF($PH98+$PJ98=0,"Dentro das regras que a ficha confere",$PG98&amp;IF(AND($PH98&gt;0,$PJ98&gt;0)," · ","")&amp;$PI98))</f>
        <v/>
      </c>
      <c r="PM98" s="152">
        <f>IF($MD98&gt;$MR98,$ME98&amp;" · ABRE NO NÍVEL "&amp;$MD98,$ME98)</f>
        <v/>
      </c>
      <c r="PN98" s="152">
        <f>IF($MQ98=0,"",IF($MF98=0,"Sem PE",3*$MF98&amp;" PE"))</f>
        <v/>
      </c>
      <c r="PO98" s="152">
        <f>IF($MQ98=0,"",IF($MF98=0,"A atuação básica dela",IF(COUNTIF($NX98:$NY98,"Atrasar")&gt;0,"Sua Ação Completa",IF(COUNTIF($MK98:$MN98,"Rápido")&gt;0,"Sua Bônus",IF(COUNTIF($MK98:$MN98,"Reação")&gt;0,"Sua Reação","Sua Padrão")))&amp;" + a básica dela"&amp;IF(COUNTIF($MK98:$MN98,"Reação")&gt;0," e a coletiva","")&amp;IF(COUNTIF($NX98:$NY98,"Carregar")&gt;0," · em dois turnos","")))</f>
        <v/>
      </c>
      <c r="PP98" s="152">
        <f>IF($MJ98&lt;&gt;"",$MJ98,IF($MW98=0,"",INDEX($AA$2:$AA$11,$MW98)))</f>
        <v/>
      </c>
      <c r="PQ98" s="152">
        <f>IF(OR($MQ98=0,$MW98=0),"",IF(COUNTIF($MK98:$MN98,"Inescapável")&gt;0,"Automático",IF($PP98="Ataque",IF($MU98="","Ataque","Ataque "&amp;IF(($MU98+2*IF(COUNTIF($MK98:$MN98,"Precisão")&gt;0,1,0))&gt;=0,"+","−")&amp;ABS(($MU98+2*IF(COUNTIF($MK98:$MN98,"Precisão")&gt;0,1,0))))&amp;IF($NQ98&gt;0," · TR"&amp;IF($MV98="",""," CD "&amp;$MV98),""),IF(LEFT($PP98,2)="TR",$PP98&amp;IF($MV98="",""," · CD "&amp;$MV98)&amp;IF(COUNTIF($MK98:$MN98,"Certeiro")&gt;0," · metade",""),"Sem rolagem"))))</f>
        <v/>
      </c>
      <c r="PR98" s="152">
        <f>IF(OR($MQ98=0,$MW98=0),"",IF($MF98=0,IF(OR($NT98&gt;=1,$OQ98=0),"Sem dano",$OQ98&amp;"d6"&amp;IF($MI98="",""," "&amp;$MI98)),IF(OR($NT98&gt;=1,$OQ98=0),UPPER(LEFT(INDEX($OZ98:$PF98,1,MAX(1,$MF98)),1))&amp;MID(INDEX($OZ98:$PF98,1,MAX(1,$MF98)),2,99),UPPER(LEFT(INDEX($OZ98:$PF98,1,MAX(1,$MF98)),1))&amp;MID(INDEX($OZ98:$PF98,1,MAX(1,$MF98)),2,99)&amp;IF($MI98="",""," "&amp;$MI98)&amp;IF($OR98&gt;0," · +"&amp;$OR98&amp;"d8",""))))</f>
        <v/>
      </c>
      <c r="PS98" s="152">
        <f>COUNTIF($MK98:$MN98,"Longe")+3*COUNTIF($MK98:$MN98,"Muito Longe")</f>
        <v/>
      </c>
      <c r="PT98" s="152">
        <f>COUNTIF($MK98:$MN98,"Maior")+3*COUNTIF($MK98:$MN98,"Muito Maior")</f>
        <v/>
      </c>
      <c r="PU98" s="152">
        <f>IF($MW98=0,0,CHOOSE(1+INDEX($AC$2:$AC$11,$MW98),0,$PS98,$PT98,$PS98+$PT98))</f>
        <v/>
      </c>
      <c r="PV98" s="152">
        <f>IF($MW98=0,0,CHOOSE(1+INDEX($AD$2:$AD$11,$MW98),0,$PS98,$PT98,$PS98+$PT98))</f>
        <v/>
      </c>
      <c r="PW98" s="152">
        <f>IF(OR($MQ98=0,$MW98=0),"",INDEX($AI$2:$AN$41,($MW98-1)*4+IF($MF98=0,1,IF($MF98&lt;=5,2,IF($MF98=6,3,4))),1+MIN(5,$PU98))&amp;INDEX($AO$2:$AT$41,($MW98-1)*4+IF($MF98=0,1,IF($MF98&lt;=5,2,IF($MF98=6,3,4))),1+MIN(5,$PV98))&amp;IF(INDEX($AE$2:$AE$11,$MW98)=1,IF(COUNTIF($MK98:$MN98,"Mais Um")&gt;0," · +"&amp;COUNTIF($MK98:$MN98,"Mais Um")&amp;IF(COUNTIF($MK98:$MN98,"Mais Um")&gt;1," alvos"," alvo"),"")&amp;IF(COUNTIF($MK98:$MN98,"Rajada")&gt;0,IF($MF98=0," · 1 tiro"," · "&amp;(MAX(1,$MF98-1)+1)&amp;" tiros"),""),""))</f>
        <v/>
      </c>
      <c r="PX98" s="152">
        <f>IF($MQ98=0,"",IF($MF98=0,$MT98&amp;"d6"&amp;IF($OH98&gt;0," − 1 = "&amp;$OQ98&amp;"d6"," da básica do nível "&amp;$MR98),$OO98&amp;" − "&amp;$OJ98&amp;" + "&amp;$OM98&amp;" = "&amp;$OP98&amp;" · teto "&amp;4*$MF98&amp;"d8"&amp;IF($NS98=1," · a Forma devolve "&amp;$MF98,"")&amp;IF($ON98&gt;0," · perde "&amp;$ON98,"")))</f>
        <v/>
      </c>
      <c r="PY98" s="152">
        <f>IF($MQ98=0,"",IF($MF98=0,"A básica não amplia: os dados dela sobem com o nível",IF($MF98&gt;=$MS98,"Já está na maior Classe que o nível liberou",TEXTJOIN(" · ",TRUE,IF(AND(2&gt;$MF98,2&lt;=$MS98),"2 → "&amp;$PA98&amp;", 6 PE",""),IF(AND(3&gt;$MF98,3&lt;=$MS98),"3 → "&amp;$PB98&amp;", 9 PE",""),IF(AND(4&gt;$MF98,4&lt;=$MS98),"4 → "&amp;$PC98&amp;", 12 PE",""),IF(AND(5&gt;$MF98,5&lt;=$MS98),"5 → "&amp;$PD98&amp;", 15 PE",""),IF(AND(6&gt;$MF98,6&lt;=$MS98),"6 → "&amp;$PE98&amp;", 18 PE",""),IF(AND(7&gt;$MF98,7&lt;=$MS98),"7 → "&amp;$PF98&amp;", 21 PE","")))))</f>
        <v/>
      </c>
      <c r="PZ98" s="152">
        <f>IF(OR($MQ98=0,$NB98=0),"",IF($MF98=0,"−1 dado","−"&amp;INDEX($I$2:$N$8,MAX(1,$MF98),MAX(1,$NG98))&amp;" · "&amp;CHOOSE(MAX(1,$NG98),"Leve","Média","Pesada","Leve · Livre","Média · Livre","Pesada · Livre")))</f>
        <v/>
      </c>
      <c r="QA98" s="152">
        <f>IF(OR($MQ98=0,$NC98=0),"",IF($MF98=0,"−1 dado","−"&amp;INDEX($I$2:$N$8,MAX(1,$MF98),MAX(1,$NH98))&amp;" · "&amp;CHOOSE(MAX(1,$NH98),"Leve","Média","Pesada","Leve · Livre","Média · Livre","Pesada · Livre")))</f>
        <v/>
      </c>
      <c r="QB98" s="152">
        <f>IF(OR($MQ98=0,$ND98=0),"",IF($MF98=0,"−1 dado","−"&amp;INDEX($I$2:$N$8,MAX(1,$MF98),MAX(1,$NI98))&amp;" · "&amp;CHOOSE(MAX(1,$NI98),"Leve","Média","Pesada","Leve · Livre","Média · Livre","Pesada · Livre")))</f>
        <v/>
      </c>
      <c r="QC98" s="152">
        <f>IF(OR($MQ98=0,$NE98=0),"",IF($MF98=0,"−1 dado","−"&amp;INDEX($I$2:$N$8,MAX(1,$MF98),MAX(1,$NJ98))&amp;" · "&amp;CHOOSE(MAX(1,$NJ98),"Leve","Média","Pesada","Leve · Livre","Média · Livre","Pesada · Livre")))</f>
        <v/>
      </c>
      <c r="QD98" s="152">
        <f>IF(OR($MQ98=0,$MO98=""),"",IF($MF98=0,"não devolve","+"&amp;IF($NV98=1,CEILING($MF98/2,1),$MF98)))</f>
        <v/>
      </c>
      <c r="QE98" s="152">
        <f>IF(OR($MQ98=0,$MP98=""),"",IF($MF98=0,"não devolve","+"&amp;IF($NW98=1,CEILING($MF98/2,1),$MF98)))</f>
        <v/>
      </c>
    </row>
    <row r="99">
      <c r="MA99" s="150" t="inlineStr">
        <is>
          <t>Ficha 8 · Especial 5</t>
        </is>
      </c>
      <c r="MB99" s="152" t="n">
        <v>8</v>
      </c>
      <c r="MC99" s="152" t="n">
        <v>1</v>
      </c>
      <c r="MD99" s="152" t="n">
        <v>16</v>
      </c>
      <c r="ME99" s="150" t="inlineStr">
        <is>
          <t>ESPECIAL 5</t>
        </is>
      </c>
      <c r="MF99" s="152">
        <f>MAX(1,MIN(7,N('INVOCAÇÕES'!$AB$312)))</f>
        <v/>
      </c>
      <c r="MG99" s="152">
        <f>'INVOCAÇÕES'!$AC$312&amp;""</f>
        <v/>
      </c>
      <c r="MH99" s="152">
        <f>'INVOCAÇÕES'!$AB$317&amp;""</f>
        <v/>
      </c>
      <c r="MI99" s="152">
        <f>'INVOCAÇÕES'!$AB$318&amp;""</f>
        <v/>
      </c>
      <c r="MJ99" s="152">
        <f>'INVOCAÇÕES'!$AD$318&amp;""</f>
        <v/>
      </c>
      <c r="MK99" s="152">
        <f>'INVOCAÇÕES'!$AC$321&amp;""</f>
        <v/>
      </c>
      <c r="ML99" s="152">
        <f>'INVOCAÇÕES'!$AC$322&amp;""</f>
        <v/>
      </c>
      <c r="MM99" s="152">
        <f>'INVOCAÇÕES'!$AC$323&amp;""</f>
        <v/>
      </c>
      <c r="MN99" s="152">
        <f>'INVOCAÇÕES'!$AC$324&amp;""</f>
        <v/>
      </c>
      <c r="MO99" s="152">
        <f>'INVOCAÇÕES'!$AC$325&amp;""</f>
        <v/>
      </c>
      <c r="MP99" s="152">
        <f>'INVOCAÇÕES'!$AC$326&amp;""</f>
        <v/>
      </c>
      <c r="MQ99" s="152">
        <f>IF($MG99&lt;&gt;"",1,0)</f>
        <v/>
      </c>
      <c r="MR99" s="152">
        <f>INDEX($FI$2:$FI$13,$MB99)</f>
        <v/>
      </c>
      <c r="MS99" s="152">
        <f>INDEX($FJ$2:$FJ$13,$MB99)</f>
        <v/>
      </c>
      <c r="MT99" s="152">
        <f>INDEX($FK$2:$FK$13,$MB99)</f>
        <v/>
      </c>
      <c r="MU99" s="152">
        <f>INDEX($FV$2:$FV$13,$MB99)</f>
        <v/>
      </c>
      <c r="MV99" s="152">
        <f>INDEX($FW$2:$FW$13,$MB99)</f>
        <v/>
      </c>
      <c r="MW99" s="152">
        <f>IFERROR(MATCH($MH99,$V$2:$V$11,0),0)</f>
        <v/>
      </c>
      <c r="MX99" s="152">
        <f>IFERROR(VLOOKUP($MK99,$AV$2:$BA$84,2,FALSE),"")</f>
        <v/>
      </c>
      <c r="MY99" s="152">
        <f>IFERROR(VLOOKUP($ML99,$AV$2:$BA$84,2,FALSE),"")</f>
        <v/>
      </c>
      <c r="MZ99" s="152">
        <f>IFERROR(VLOOKUP($MM99,$AV$2:$BA$84,2,FALSE),"")</f>
        <v/>
      </c>
      <c r="NA99" s="152">
        <f>IFERROR(VLOOKUP($MN99,$AV$2:$BA$84,2,FALSE),"")</f>
        <v/>
      </c>
      <c r="NB99" s="152">
        <f>IFERROR(VLOOKUP($MK99,$AV$2:$BA$84,3,FALSE),0)</f>
        <v/>
      </c>
      <c r="NC99" s="152">
        <f>IFERROR(VLOOKUP($ML99,$AV$2:$BA$84,3,FALSE),0)</f>
        <v/>
      </c>
      <c r="ND99" s="152">
        <f>IFERROR(VLOOKUP($MM99,$AV$2:$BA$84,3,FALSE),0)</f>
        <v/>
      </c>
      <c r="NE99" s="152">
        <f>IFERROR(VLOOKUP($MN99,$AV$2:$BA$84,3,FALSE),0)</f>
        <v/>
      </c>
      <c r="NF99" s="152">
        <f>IF($MF99=0,0,IF($MW99=0,0,INDEX($X$2:$X$11,$MW99)))</f>
        <v/>
      </c>
      <c r="NG99" s="152">
        <f>IF(OR($NB99=0,$MF99=0),0,$NB99+3*IF(AND($MX99&lt;&gt;"",OR($MX99=INDEX($EF$2:$EF$13,$MB99),$MX99=INDEX($EG$2:$EG$13,$MB99))),1,0))</f>
        <v/>
      </c>
      <c r="NH99" s="152">
        <f>IF(OR($NC99=0,$MF99=0),0,$NC99+3*IF(AND($MY99&lt;&gt;"",OR($MY99=INDEX($EF$2:$EF$13,$MB99),$MY99=INDEX($EG$2:$EG$13,$MB99))),1,0))</f>
        <v/>
      </c>
      <c r="NI99" s="152">
        <f>IF(OR($ND99=0,$MF99=0),0,$ND99+3*IF(AND($MZ99&lt;&gt;"",OR($MZ99=INDEX($EF$2:$EF$13,$MB99),$MZ99=INDEX($EG$2:$EG$13,$MB99))),1,0))</f>
        <v/>
      </c>
      <c r="NJ99" s="152">
        <f>IF(OR($NE99=0,$MF99=0),0,$NE99+3*IF(AND($NA99&lt;&gt;"",OR($NA99=INDEX($EF$2:$EF$13,$MB99),$NA99=INDEX($EG$2:$EG$13,$MB99))),1,0))</f>
        <v/>
      </c>
      <c r="NK99" s="152">
        <f>IF($MW99=0,0,IF(INDEX($W$2:$W$11,$MW99)="",0,IF(COUNTIF(INDEX($EF$2:$EJ$13,$MB99,0),INDEX($W$2:$W$11,$MW99))=0,1,0)))</f>
        <v/>
      </c>
      <c r="NL99" s="152">
        <f>IF(OR($NB99=0,$MX99=""),0,IF(COUNTIF(INDEX($EF$2:$EJ$13,$MB99,0),$MX99)=0,1,0))</f>
        <v/>
      </c>
      <c r="NM99" s="152">
        <f>IF(OR($NC99=0,$MY99=""),0,IF(COUNTIF(INDEX($EF$2:$EJ$13,$MB99,0),$MY99)=0,1,0))</f>
        <v/>
      </c>
      <c r="NN99" s="152">
        <f>IF(OR($ND99=0,$MZ99=""),0,IF(COUNTIF(INDEX($EF$2:$EJ$13,$MB99,0),$MZ99)=0,1,0))</f>
        <v/>
      </c>
      <c r="NO99" s="152">
        <f>IF(OR($NE99=0,$NA99=""),0,IF(COUNTIF(INDEX($EF$2:$EJ$13,$MB99,0),$NA99)=0,1,0))</f>
        <v/>
      </c>
      <c r="NP99" s="152">
        <f>IFERROR(VLOOKUP($MK99,$AV$2:$BA$84,4,FALSE),0)+IFERROR(VLOOKUP($ML99,$AV$2:$BA$84,4,FALSE),0)+IFERROR(VLOOKUP($MM99,$AV$2:$BA$84,4,FALSE),0)+IFERROR(VLOOKUP($MN99,$AV$2:$BA$84,4,FALSE),0)</f>
        <v/>
      </c>
      <c r="NQ99" s="152">
        <f>IFERROR(VLOOKUP($MK99,$AV$2:$BA$84,6,FALSE),0)+IFERROR(VLOOKUP($ML99,$AV$2:$BA$84,6,FALSE),0)+IFERROR(VLOOKUP($MM99,$AV$2:$BA$84,6,FALSE),0)+IFERROR(VLOOKUP($MN99,$AV$2:$BA$84,6,FALSE),0)</f>
        <v/>
      </c>
      <c r="NR99" s="152">
        <f>TEXTJOIN(", ",TRUE,IF(IFERROR(VLOOKUP($MK99,$AV$2:$BA$84,5,FALSE),0)=1,$MK99,""),IF(IFERROR(VLOOKUP($ML99,$AV$2:$BA$84,5,FALSE),0)=1,$ML99,""),IF(IFERROR(VLOOKUP($MM99,$AV$2:$BA$84,5,FALSE),0)=1,$MM99,""),IF(IFERROR(VLOOKUP($MN99,$AV$2:$BA$84,5,FALSE),0)=1,$MN99,""))</f>
        <v/>
      </c>
      <c r="NS99" s="152">
        <f>IF($MW99=0,0,INDEX($Y$2:$Y$11,$MW99))</f>
        <v/>
      </c>
      <c r="NT99" s="152">
        <f>IF($MW99=0,0,INDEX($Z$2:$Z$11,$MW99))</f>
        <v/>
      </c>
      <c r="NU99" s="152">
        <f>IF($MW99=0,0,INDEX($AB$2:$AB$11,$MW99))</f>
        <v/>
      </c>
      <c r="NV99" s="152">
        <f>IFERROR(VLOOKUP($MO99,$BC$2:$BG$24,3,FALSE),0)</f>
        <v/>
      </c>
      <c r="NW99" s="152">
        <f>IFERROR(VLOOKUP($MP99,$BC$2:$BG$24,3,FALSE),0)</f>
        <v/>
      </c>
      <c r="NX99" s="152">
        <f>IFERROR(VLOOKUP($MO99,$BC$2:$BG$24,2,FALSE),"")</f>
        <v/>
      </c>
      <c r="NY99" s="152">
        <f>IFERROR(VLOOKUP($MP99,$BC$2:$BG$24,2,FALSE),"")</f>
        <v/>
      </c>
      <c r="NZ99" s="152">
        <f>COUNTIF($NF99:$NJ99,1)</f>
        <v/>
      </c>
      <c r="OA99" s="152">
        <f>COUNTIF($NF99:$NJ99,2)</f>
        <v/>
      </c>
      <c r="OB99" s="152">
        <f>COUNTIF($NF99:$NJ99,3)</f>
        <v/>
      </c>
      <c r="OC99" s="152">
        <f>COUNTIF($NF99:$NJ99,4)</f>
        <v/>
      </c>
      <c r="OD99" s="152">
        <f>COUNTIF($NF99:$NJ99,5)</f>
        <v/>
      </c>
      <c r="OE99" s="152">
        <f>COUNTIF($NF99:$NJ99,6)</f>
        <v/>
      </c>
      <c r="OF99" s="152">
        <f>COUNTIF($NV99:$NW99,1)</f>
        <v/>
      </c>
      <c r="OG99" s="152">
        <f>COUNTIF($NV99:$NW99,2)+$NS99</f>
        <v/>
      </c>
      <c r="OH99" s="152">
        <f>COUNTIF($MK99:$MN99,"?*")</f>
        <v/>
      </c>
      <c r="OI99" s="152">
        <f>COUNTIF($MO99:$MP99,"?*")+$NS99</f>
        <v/>
      </c>
      <c r="OJ99" s="152">
        <f>IF($MF99=0,0,SUMPRODUCT($NZ99:$OE99,INDEX($I$2:$N$8,MAX(1,$MF99),0)))</f>
        <v/>
      </c>
      <c r="OK99" s="152">
        <f>IF($MF99=0,0,$OF99*CEILING($MF99/2,1)+$OG99*$MF99)</f>
        <v/>
      </c>
      <c r="OL99" s="152">
        <f>MIN(2*$MF99,$OK99)</f>
        <v/>
      </c>
      <c r="OM99" s="152">
        <f>MIN($OL99,$OJ99)</f>
        <v/>
      </c>
      <c r="ON99" s="152">
        <f>$OL99-$OM99</f>
        <v/>
      </c>
      <c r="OO99" s="152">
        <f>IF($MF99=0,0,INDEX($P$2:$P$8,MAX(1,$MF99)))</f>
        <v/>
      </c>
      <c r="OP99" s="152">
        <f>$OO99-$OJ99+$OM99</f>
        <v/>
      </c>
      <c r="OQ99" s="152">
        <f>IF($MF99=0,MAX(0,$MT99-IF($OH99&gt;0,1,0)),MAX(0,$OP99))</f>
        <v/>
      </c>
      <c r="OR99" s="152">
        <f>IF($MF99=0,0,(IF(COUNTIF($MK99:$MN99,"Salto")&gt;0,1,0)+IF(COUNTIF($MK99:$MN99,"Queima")&gt;0,1,0)+IF(COUNTIF($MK99:$MN99,"Estilhaço")&gt;0,1,0))*FLOOR($OQ99/2,1))</f>
        <v/>
      </c>
      <c r="OS99" s="152">
        <f>MAX(0,2-SUMPRODUCT($NZ99:$OE99,$I$2:$N$2)+MIN(2,$OF99*1+$OG99*1,SUMPRODUCT($NZ99:$OE99,$I$2:$N$2)))</f>
        <v/>
      </c>
      <c r="OT99" s="152">
        <f>MAX(0,4-SUMPRODUCT($NZ99:$OE99,$I$3:$N$3)+MIN(4,$OF99*1+$OG99*2,SUMPRODUCT($NZ99:$OE99,$I$3:$N$3)))</f>
        <v/>
      </c>
      <c r="OU99" s="152">
        <f>MAX(0,6-SUMPRODUCT($NZ99:$OE99,$I$4:$N$4)+MIN(6,$OF99*2+$OG99*3,SUMPRODUCT($NZ99:$OE99,$I$4:$N$4)))</f>
        <v/>
      </c>
      <c r="OV99" s="152">
        <f>MAX(0,9-SUMPRODUCT($NZ99:$OE99,$I$5:$N$5)+MIN(8,$OF99*2+$OG99*4,SUMPRODUCT($NZ99:$OE99,$I$5:$N$5)))</f>
        <v/>
      </c>
      <c r="OW99" s="152">
        <f>MAX(0,11-SUMPRODUCT($NZ99:$OE99,$I$6:$N$6)+MIN(10,$OF99*3+$OG99*5,SUMPRODUCT($NZ99:$OE99,$I$6:$N$6)))</f>
        <v/>
      </c>
      <c r="OX99" s="152">
        <f>MAX(0,13-SUMPRODUCT($NZ99:$OE99,$I$7:$N$7)+MIN(12,$OF99*3+$OG99*6,SUMPRODUCT($NZ99:$OE99,$I$7:$N$7)))</f>
        <v/>
      </c>
      <c r="OY99" s="152">
        <f>MAX(0,16-SUMPRODUCT($NZ99:$OE99,$I$8:$N$8)+MIN(14,$OF99*4+$OG99*7,SUMPRODUCT($NZ99:$OE99,$I$8:$N$8)))</f>
        <v/>
      </c>
      <c r="OZ99" s="152">
        <f>IF($NT99=2,3*$OS99&amp;" de vida temp.",IF($NT99=3,"sem dano",IF($OS99=0,IF($NT99=1,"sem cura","sem dano"),IF($NT99=1,"cura ","")&amp;$OS99&amp;"d8")))</f>
        <v/>
      </c>
      <c r="PA99" s="152">
        <f>IF($NT99=2,3*$OT99&amp;" de vida temp.",IF($NT99=3,"sem dano",IF($OT99=0,IF($NT99=1,"sem cura","sem dano"),IF($NT99=1,"cura ","")&amp;$OT99&amp;"d8")))</f>
        <v/>
      </c>
      <c r="PB99" s="152">
        <f>IF($NT99=2,3*$OU99&amp;" de vida temp.",IF($NT99=3,"sem dano",IF($OU99=0,IF($NT99=1,"sem cura","sem dano"),IF($NT99=1,"cura ","")&amp;$OU99&amp;"d8")))</f>
        <v/>
      </c>
      <c r="PC99" s="152">
        <f>IF($NT99=2,3*$OV99&amp;" de vida temp.",IF($NT99=3,"sem dano",IF($OV99=0,IF($NT99=1,"sem cura","sem dano"),IF($NT99=1,"cura ","")&amp;$OV99&amp;"d8")))</f>
        <v/>
      </c>
      <c r="PD99" s="152">
        <f>IF($NT99=2,3*$OW99&amp;" de vida temp.",IF($NT99=3,"sem dano",IF($OW99=0,IF($NT99=1,"sem cura","sem dano"),IF($NT99=1,"cura ","")&amp;$OW99&amp;"d8")))</f>
        <v/>
      </c>
      <c r="PE99" s="152">
        <f>IF($NT99=2,3*$OX99&amp;" de vida temp.",IF($NT99=3,"sem dano",IF($OX99=0,IF($NT99=1,"sem cura","sem dano"),IF($NT99=1,"cura ","")&amp;$OX99&amp;"d8")))</f>
        <v/>
      </c>
      <c r="PF99" s="152">
        <f>IF($NT99=2,3*$OY99&amp;" de vida temp.",IF($NT99=3,"sem dano",IF($OY99=0,IF($NT99=1,"sem cura","sem dano"),IF($NT99=1,"cura ","")&amp;$OY99&amp;"d8")))</f>
        <v/>
      </c>
      <c r="PG99" s="152">
        <f>IF($MQ99=0,"",TEXTJOIN(" · ",TRUE,IF($MD99&gt;$MR99,"Este lugar abre no nível "&amp;$MD99,""),IF($MF99&gt;$MS99,"Classe "&amp;$MF99&amp;": o nível "&amp;$MR99&amp;" libera até a "&amp;$MS99,""),IF($NK99=1,"A Forma "&amp;$MH99&amp;" pede "&amp;INDEX($W$2:$W$11,$MW99)&amp;" aberta",""),IF(AND($MF99=0,$MW99&gt;0,IF($MW99=0,0,INDEX($AF$2:$AF$11,$MW99))=0),$MH99&amp;" não existe na Classe 0",""),IF($NL99=1,"Família Fechada: "&amp;$MK99,""),IF($NM99=1,"Família Fechada: "&amp;$ML99,""),IF($NN99=1,"Família Fechada: "&amp;$MM99,""),IF($NO99=1,"Família Fechada: "&amp;$MN99,""),IF(AND($MF99&gt;0,$OH99&gt;INDEX($O$2:$O$8,MAX(1,$MF99))),$OH99&amp;" Melhorias: a Classe "&amp;$MF99&amp;" aceita "&amp;INDEX($O$2:$O$8,MAX(1,$MF99)),""),IF(AND($MF99=0,$OH99&gt;1),"A básica aceita uma Melhoria",""),IF(AND($MF99=0,COUNTIF($NB99:$NE99,"&gt;1")&gt;0),"A básica só aceita Melhoria Leve",""),IF(AND($MF99&gt;0,$OI99&gt;2),$OI99&amp;" Restrições"&amp;IF($NS99=1,", contando a que a Forma "&amp;$MH99&amp;" já traz","")&amp;": o limite é 2",""),IF(AND($MF99=0,COUNTIF($MO99:$MP99,"?*")&gt;1),"A básica aceita uma Restrição Leve",""),IF(AND($MF99=0,COUNTIF($NV99:$NW99,2)&gt;0),"A básica só aceita Restrição Leve",""),IF(AND($MF99&gt;0,$OP99&lt;0),"Orçamento estourado: faltam "&amp;(-$OP99)&amp;IF($OP99&lt;-1," pontos"," ponto"),""),IF(IFERROR(VLOOKUP($MO99,$BC$2:$BG$24,4,FALSE),0)+IFERROR(VLOOKUP($MP99,$BC$2:$BG$24,4,FALSE),0)&gt;1,$NX99&amp;" e "&amp;$NY99&amp;" são as duas de frequência",""),IF(AND((COUNTIF($MK99:$MN99,"Rápido")+COUNTIF($NX99:$NY99,"Rápido"))&gt;0,(COUNTIF($MK99:$MN99,"Atrasar")+COUNTIF($NX99:$NY99,"Atrasar"))&gt;0),"Rápido não entra com Atrasar",""),IF(AND((COUNTIF($MK99:$MN99,"Reação")+COUNTIF($NX99:$NY99,"Reação"))&gt;0,(COUNTIF($MK99:$MN99,"Rápido")+COUNTIF($NX99:$NY99,"Rápido"))&gt;0),"Reação não entra com Rápido",""),IF(AND((COUNTIF($MK99:$MN99,"Reação")+COUNTIF($NX99:$NY99,"Reação"))&gt;0,(COUNTIF($MK99:$MN99,"Armado")+COUNTIF($NX99:$NY99,"Armado"))&gt;0),"Reação não entra com Armado",""),IF(AND((COUNTIF($MK99:$MN99,"Reação")+COUNTIF($NX99:$NY99,"Reação"))&gt;0,(COUNTIF($MK99:$MN99,"Atrasar")+COUNTIF($NX99:$NY99,"Atrasar"))&gt;0),"Reação não entra com Atrasar",""),IF(AND((COUNTIF($MK99:$MN99,"Reação")+COUNTIF($NX99:$NY99,"Reação"))&gt;0,(COUNTIF($MK99:$MN99,"Parado")+COUNTIF($NX99:$NY99,"Parado"))&gt;0),"Reação não entra com Parado",""),IF(AND((COUNTIF($MK99:$MN99,"Atrasar")+COUNTIF($NX99:$NY99,"Atrasar"))&gt;0,(COUNTIF($MK99:$MN99,"Parado")+COUNTIF($NX99:$NY99,"Parado"))&gt;0),"Atrasar não entra com Parado",""),IF(AND((COUNTIF($MK99:$MN99,"Armado")+COUNTIF($NX99:$NY99,"Armado"))&gt;0,(COUNTIF($MK99:$MN99,"Carregar")+COUNTIF($NX99:$NY99,"Carregar"))&gt;0),"Armado não entra com Carregar",""),IF(AND(COUNTIF($NX99:$NY99,"Corpo a Corpo")&gt;0,$NS99=0,OR($MH99="Cone",$MH99="Linha")),"Corpo a Corpo não entra em "&amp;$MH99,""),IF(AND(COUNTIF($NX99:$NY99,"Corpo a Corpo")&gt;0,$NS99=1),"A Forma "&amp;$MH99&amp;" já traz o Corpo a Corpo",""),IF(AND(COUNTIF($NX99:$NY99,"Tudo ou Nada")&gt;0,$NU99=0),"Tudo ou Nada só entra em habilidade de Teste de Resistência",""),IF(AND(COUNTIF($MK99:$MN99,"Inescapável")&gt;0,OR($OH99&gt;1,$OI99&gt;0)),"Inescapável não aceita outra peça",""),IF(AND($MF99&gt;0,$OQ99*IF(COUNTIF($MK99:$MN99,"Remate")&gt;0,1.25,1)+$OR99&gt;4*$MF99),($OQ99*IF(COUNTIF($MK99:$MN99,"Remate")&gt;0,1.25,1)+$OR99)&amp;" dados somando repetições"&amp;IF(COUNTIF($MK99:$MN99,"Remate")&gt;0," e o Remate","")&amp;": o teto da Classe "&amp;$MF99&amp;" é "&amp;4*$MF99,"")))</f>
        <v/>
      </c>
      <c r="PH99" s="152">
        <f>IF($PG99="",0,(LEN($PG99)-LEN(SUBSTITUTE($PG99," · ","")))/3+1)</f>
        <v/>
      </c>
      <c r="PI99" s="152">
        <f>IF($MQ99=0,"",TEXTJOIN(" · ",TRUE,IF($OK99&gt;2*$MF99,"A devolução parou no teto de "&amp;2*$MF99,""),IF($ON99&gt;0,"Devolução perdida: "&amp;$ON99&amp;IF($ON99&gt;1," pontos"," ponto")&amp;" sem peça para pagar",""),IF(AND($NP99&gt;0,AND($MF99&gt;0,$NT99=0),$OQ99=0),"Controle sem dano: uma rodada a mais e CD +2",""),IF(AND($NP99&gt;0,AND($MF99&gt;0,$NT99=0),$OQ99&gt;0,$OQ99&lt;=$MF99),"Controle com saldo até a Classe: uma rodada a mais",""),IF(AND($MF99&gt;0,$NR99&lt;&gt;""),"Efeito de "&amp;$NR99&amp;" pela Classe "&amp;MAX(1,$MF99-1),"")))</f>
        <v/>
      </c>
      <c r="PJ99" s="152">
        <f>IF($PI99="",0,(LEN($PI99)-LEN(SUBSTITUTE($PI99," · ","")))/3+1)</f>
        <v/>
      </c>
      <c r="PK99" s="152">
        <f>IF($MQ99=0,IF($OH99+COUNTIF($MO99:$MP99,"?*")&gt;0,"Dê um nome",""),IF($PH99&gt;0,"⚠ "&amp;$PH99&amp;IF($PH99&gt;1," erros"," erro"),IF($PJ99&gt;0,"! "&amp;$PJ99&amp;IF($PJ99&gt;1," avisos"," aviso"),"Na regra")))</f>
        <v/>
      </c>
      <c r="PL99" s="152">
        <f>IF($MQ99=0,"",IF($PH99+$PJ99=0,"Dentro das regras que a ficha confere",$PG99&amp;IF(AND($PH99&gt;0,$PJ99&gt;0)," · ","")&amp;$PI99))</f>
        <v/>
      </c>
      <c r="PM99" s="152">
        <f>IF($MD99&gt;$MR99,$ME99&amp;" · ABRE NO NÍVEL "&amp;$MD99,$ME99)</f>
        <v/>
      </c>
      <c r="PN99" s="152">
        <f>IF($MQ99=0,"",IF($MF99=0,"Sem PE",3*$MF99&amp;" PE"))</f>
        <v/>
      </c>
      <c r="PO99" s="152">
        <f>IF($MQ99=0,"",IF($MF99=0,"A atuação básica dela",IF(COUNTIF($NX99:$NY99,"Atrasar")&gt;0,"Sua Ação Completa",IF(COUNTIF($MK99:$MN99,"Rápido")&gt;0,"Sua Bônus",IF(COUNTIF($MK99:$MN99,"Reação")&gt;0,"Sua Reação","Sua Padrão")))&amp;" + a básica dela"&amp;IF(COUNTIF($MK99:$MN99,"Reação")&gt;0," e a coletiva","")&amp;IF(COUNTIF($NX99:$NY99,"Carregar")&gt;0," · em dois turnos","")))</f>
        <v/>
      </c>
      <c r="PP99" s="152">
        <f>IF($MJ99&lt;&gt;"",$MJ99,IF($MW99=0,"",INDEX($AA$2:$AA$11,$MW99)))</f>
        <v/>
      </c>
      <c r="PQ99" s="152">
        <f>IF(OR($MQ99=0,$MW99=0),"",IF(COUNTIF($MK99:$MN99,"Inescapável")&gt;0,"Automático",IF($PP99="Ataque",IF($MU99="","Ataque","Ataque "&amp;IF(($MU99+2*IF(COUNTIF($MK99:$MN99,"Precisão")&gt;0,1,0))&gt;=0,"+","−")&amp;ABS(($MU99+2*IF(COUNTIF($MK99:$MN99,"Precisão")&gt;0,1,0))))&amp;IF($NQ99&gt;0," · TR"&amp;IF($MV99="",""," CD "&amp;$MV99),""),IF(LEFT($PP99,2)="TR",$PP99&amp;IF($MV99="",""," · CD "&amp;$MV99)&amp;IF(COUNTIF($MK99:$MN99,"Certeiro")&gt;0," · metade",""),"Sem rolagem"))))</f>
        <v/>
      </c>
      <c r="PR99" s="152">
        <f>IF(OR($MQ99=0,$MW99=0),"",IF($MF99=0,IF(OR($NT99&gt;=1,$OQ99=0),"Sem dano",$OQ99&amp;"d6"&amp;IF($MI99="",""," "&amp;$MI99)),IF(OR($NT99&gt;=1,$OQ99=0),UPPER(LEFT(INDEX($OZ99:$PF99,1,MAX(1,$MF99)),1))&amp;MID(INDEX($OZ99:$PF99,1,MAX(1,$MF99)),2,99),UPPER(LEFT(INDEX($OZ99:$PF99,1,MAX(1,$MF99)),1))&amp;MID(INDEX($OZ99:$PF99,1,MAX(1,$MF99)),2,99)&amp;IF($MI99="",""," "&amp;$MI99)&amp;IF($OR99&gt;0," · +"&amp;$OR99&amp;"d8",""))))</f>
        <v/>
      </c>
      <c r="PS99" s="152">
        <f>COUNTIF($MK99:$MN99,"Longe")+3*COUNTIF($MK99:$MN99,"Muito Longe")</f>
        <v/>
      </c>
      <c r="PT99" s="152">
        <f>COUNTIF($MK99:$MN99,"Maior")+3*COUNTIF($MK99:$MN99,"Muito Maior")</f>
        <v/>
      </c>
      <c r="PU99" s="152">
        <f>IF($MW99=0,0,CHOOSE(1+INDEX($AC$2:$AC$11,$MW99),0,$PS99,$PT99,$PS99+$PT99))</f>
        <v/>
      </c>
      <c r="PV99" s="152">
        <f>IF($MW99=0,0,CHOOSE(1+INDEX($AD$2:$AD$11,$MW99),0,$PS99,$PT99,$PS99+$PT99))</f>
        <v/>
      </c>
      <c r="PW99" s="152">
        <f>IF(OR($MQ99=0,$MW99=0),"",INDEX($AI$2:$AN$41,($MW99-1)*4+IF($MF99=0,1,IF($MF99&lt;=5,2,IF($MF99=6,3,4))),1+MIN(5,$PU99))&amp;INDEX($AO$2:$AT$41,($MW99-1)*4+IF($MF99=0,1,IF($MF99&lt;=5,2,IF($MF99=6,3,4))),1+MIN(5,$PV99))&amp;IF(INDEX($AE$2:$AE$11,$MW99)=1,IF(COUNTIF($MK99:$MN99,"Mais Um")&gt;0," · +"&amp;COUNTIF($MK99:$MN99,"Mais Um")&amp;IF(COUNTIF($MK99:$MN99,"Mais Um")&gt;1," alvos"," alvo"),"")&amp;IF(COUNTIF($MK99:$MN99,"Rajada")&gt;0,IF($MF99=0," · 1 tiro"," · "&amp;(MAX(1,$MF99-1)+1)&amp;" tiros"),""),""))</f>
        <v/>
      </c>
      <c r="PX99" s="152">
        <f>IF($MQ99=0,"",IF($MF99=0,$MT99&amp;"d6"&amp;IF($OH99&gt;0," − 1 = "&amp;$OQ99&amp;"d6"," da básica do nível "&amp;$MR99),$OO99&amp;" − "&amp;$OJ99&amp;" + "&amp;$OM99&amp;" = "&amp;$OP99&amp;" · teto "&amp;4*$MF99&amp;"d8"&amp;IF($NS99=1," · a Forma devolve "&amp;$MF99,"")&amp;IF($ON99&gt;0," · perde "&amp;$ON99,"")))</f>
        <v/>
      </c>
      <c r="PY99" s="152">
        <f>IF($MQ99=0,"",IF($MF99=0,"A básica não amplia: os dados dela sobem com o nível",IF($MF99&gt;=$MS99,"Já está na maior Classe que o nível liberou",TEXTJOIN(" · ",TRUE,IF(AND(2&gt;$MF99,2&lt;=$MS99),"2 → "&amp;$PA99&amp;", 6 PE",""),IF(AND(3&gt;$MF99,3&lt;=$MS99),"3 → "&amp;$PB99&amp;", 9 PE",""),IF(AND(4&gt;$MF99,4&lt;=$MS99),"4 → "&amp;$PC99&amp;", 12 PE",""),IF(AND(5&gt;$MF99,5&lt;=$MS99),"5 → "&amp;$PD99&amp;", 15 PE",""),IF(AND(6&gt;$MF99,6&lt;=$MS99),"6 → "&amp;$PE99&amp;", 18 PE",""),IF(AND(7&gt;$MF99,7&lt;=$MS99),"7 → "&amp;$PF99&amp;", 21 PE","")))))</f>
        <v/>
      </c>
      <c r="PZ99" s="152">
        <f>IF(OR($MQ99=0,$NB99=0),"",IF($MF99=0,"−1 dado","−"&amp;INDEX($I$2:$N$8,MAX(1,$MF99),MAX(1,$NG99))&amp;" · "&amp;CHOOSE(MAX(1,$NG99),"Leve","Média","Pesada","Leve · Livre","Média · Livre","Pesada · Livre")))</f>
        <v/>
      </c>
      <c r="QA99" s="152">
        <f>IF(OR($MQ99=0,$NC99=0),"",IF($MF99=0,"−1 dado","−"&amp;INDEX($I$2:$N$8,MAX(1,$MF99),MAX(1,$NH99))&amp;" · "&amp;CHOOSE(MAX(1,$NH99),"Leve","Média","Pesada","Leve · Livre","Média · Livre","Pesada · Livre")))</f>
        <v/>
      </c>
      <c r="QB99" s="152">
        <f>IF(OR($MQ99=0,$ND99=0),"",IF($MF99=0,"−1 dado","−"&amp;INDEX($I$2:$N$8,MAX(1,$MF99),MAX(1,$NI99))&amp;" · "&amp;CHOOSE(MAX(1,$NI99),"Leve","Média","Pesada","Leve · Livre","Média · Livre","Pesada · Livre")))</f>
        <v/>
      </c>
      <c r="QC99" s="152">
        <f>IF(OR($MQ99=0,$NE99=0),"",IF($MF99=0,"−1 dado","−"&amp;INDEX($I$2:$N$8,MAX(1,$MF99),MAX(1,$NJ99))&amp;" · "&amp;CHOOSE(MAX(1,$NJ99),"Leve","Média","Pesada","Leve · Livre","Média · Livre","Pesada · Livre")))</f>
        <v/>
      </c>
      <c r="QD99" s="152">
        <f>IF(OR($MQ99=0,$MO99=""),"",IF($MF99=0,"não devolve","+"&amp;IF($NV99=1,CEILING($MF99/2,1),$MF99)))</f>
        <v/>
      </c>
      <c r="QE99" s="152">
        <f>IF(OR($MQ99=0,$MP99=""),"",IF($MF99=0,"não devolve","+"&amp;IF($NW99=1,CEILING($MF99/2,1),$MF99)))</f>
        <v/>
      </c>
    </row>
    <row r="100">
      <c r="MA100" s="150" t="inlineStr">
        <is>
          <t>Ficha 8 · Especial 6</t>
        </is>
      </c>
      <c r="MB100" s="152" t="n">
        <v>8</v>
      </c>
      <c r="MC100" s="152" t="n">
        <v>1</v>
      </c>
      <c r="MD100" s="152" t="n">
        <v>20</v>
      </c>
      <c r="ME100" s="150" t="inlineStr">
        <is>
          <t>ESPECIAL 6</t>
        </is>
      </c>
      <c r="MF100" s="152">
        <f>MAX(1,MIN(7,N('INVOCAÇÕES'!$AH$312)))</f>
        <v/>
      </c>
      <c r="MG100" s="152">
        <f>'INVOCAÇÕES'!$AI$312&amp;""</f>
        <v/>
      </c>
      <c r="MH100" s="152">
        <f>'INVOCAÇÕES'!$AH$317&amp;""</f>
        <v/>
      </c>
      <c r="MI100" s="152">
        <f>'INVOCAÇÕES'!$AH$318&amp;""</f>
        <v/>
      </c>
      <c r="MJ100" s="152">
        <f>'INVOCAÇÕES'!$AJ$318&amp;""</f>
        <v/>
      </c>
      <c r="MK100" s="152">
        <f>'INVOCAÇÕES'!$AI$321&amp;""</f>
        <v/>
      </c>
      <c r="ML100" s="152">
        <f>'INVOCAÇÕES'!$AI$322&amp;""</f>
        <v/>
      </c>
      <c r="MM100" s="152">
        <f>'INVOCAÇÕES'!$AI$323&amp;""</f>
        <v/>
      </c>
      <c r="MN100" s="152">
        <f>'INVOCAÇÕES'!$AI$324&amp;""</f>
        <v/>
      </c>
      <c r="MO100" s="152">
        <f>'INVOCAÇÕES'!$AI$325&amp;""</f>
        <v/>
      </c>
      <c r="MP100" s="152">
        <f>'INVOCAÇÕES'!$AI$326&amp;""</f>
        <v/>
      </c>
      <c r="MQ100" s="152">
        <f>IF($MG100&lt;&gt;"",1,0)</f>
        <v/>
      </c>
      <c r="MR100" s="152">
        <f>INDEX($FI$2:$FI$13,$MB100)</f>
        <v/>
      </c>
      <c r="MS100" s="152">
        <f>INDEX($FJ$2:$FJ$13,$MB100)</f>
        <v/>
      </c>
      <c r="MT100" s="152">
        <f>INDEX($FK$2:$FK$13,$MB100)</f>
        <v/>
      </c>
      <c r="MU100" s="152">
        <f>INDEX($FV$2:$FV$13,$MB100)</f>
        <v/>
      </c>
      <c r="MV100" s="152">
        <f>INDEX($FW$2:$FW$13,$MB100)</f>
        <v/>
      </c>
      <c r="MW100" s="152">
        <f>IFERROR(MATCH($MH100,$V$2:$V$11,0),0)</f>
        <v/>
      </c>
      <c r="MX100" s="152">
        <f>IFERROR(VLOOKUP($MK100,$AV$2:$BA$84,2,FALSE),"")</f>
        <v/>
      </c>
      <c r="MY100" s="152">
        <f>IFERROR(VLOOKUP($ML100,$AV$2:$BA$84,2,FALSE),"")</f>
        <v/>
      </c>
      <c r="MZ100" s="152">
        <f>IFERROR(VLOOKUP($MM100,$AV$2:$BA$84,2,FALSE),"")</f>
        <v/>
      </c>
      <c r="NA100" s="152">
        <f>IFERROR(VLOOKUP($MN100,$AV$2:$BA$84,2,FALSE),"")</f>
        <v/>
      </c>
      <c r="NB100" s="152">
        <f>IFERROR(VLOOKUP($MK100,$AV$2:$BA$84,3,FALSE),0)</f>
        <v/>
      </c>
      <c r="NC100" s="152">
        <f>IFERROR(VLOOKUP($ML100,$AV$2:$BA$84,3,FALSE),0)</f>
        <v/>
      </c>
      <c r="ND100" s="152">
        <f>IFERROR(VLOOKUP($MM100,$AV$2:$BA$84,3,FALSE),0)</f>
        <v/>
      </c>
      <c r="NE100" s="152">
        <f>IFERROR(VLOOKUP($MN100,$AV$2:$BA$84,3,FALSE),0)</f>
        <v/>
      </c>
      <c r="NF100" s="152">
        <f>IF($MF100=0,0,IF($MW100=0,0,INDEX($X$2:$X$11,$MW100)))</f>
        <v/>
      </c>
      <c r="NG100" s="152">
        <f>IF(OR($NB100=0,$MF100=0),0,$NB100+3*IF(AND($MX100&lt;&gt;"",OR($MX100=INDEX($EF$2:$EF$13,$MB100),$MX100=INDEX($EG$2:$EG$13,$MB100))),1,0))</f>
        <v/>
      </c>
      <c r="NH100" s="152">
        <f>IF(OR($NC100=0,$MF100=0),0,$NC100+3*IF(AND($MY100&lt;&gt;"",OR($MY100=INDEX($EF$2:$EF$13,$MB100),$MY100=INDEX($EG$2:$EG$13,$MB100))),1,0))</f>
        <v/>
      </c>
      <c r="NI100" s="152">
        <f>IF(OR($ND100=0,$MF100=0),0,$ND100+3*IF(AND($MZ100&lt;&gt;"",OR($MZ100=INDEX($EF$2:$EF$13,$MB100),$MZ100=INDEX($EG$2:$EG$13,$MB100))),1,0))</f>
        <v/>
      </c>
      <c r="NJ100" s="152">
        <f>IF(OR($NE100=0,$MF100=0),0,$NE100+3*IF(AND($NA100&lt;&gt;"",OR($NA100=INDEX($EF$2:$EF$13,$MB100),$NA100=INDEX($EG$2:$EG$13,$MB100))),1,0))</f>
        <v/>
      </c>
      <c r="NK100" s="152">
        <f>IF($MW100=0,0,IF(INDEX($W$2:$W$11,$MW100)="",0,IF(COUNTIF(INDEX($EF$2:$EJ$13,$MB100,0),INDEX($W$2:$W$11,$MW100))=0,1,0)))</f>
        <v/>
      </c>
      <c r="NL100" s="152">
        <f>IF(OR($NB100=0,$MX100=""),0,IF(COUNTIF(INDEX($EF$2:$EJ$13,$MB100,0),$MX100)=0,1,0))</f>
        <v/>
      </c>
      <c r="NM100" s="152">
        <f>IF(OR($NC100=0,$MY100=""),0,IF(COUNTIF(INDEX($EF$2:$EJ$13,$MB100,0),$MY100)=0,1,0))</f>
        <v/>
      </c>
      <c r="NN100" s="152">
        <f>IF(OR($ND100=0,$MZ100=""),0,IF(COUNTIF(INDEX($EF$2:$EJ$13,$MB100,0),$MZ100)=0,1,0))</f>
        <v/>
      </c>
      <c r="NO100" s="152">
        <f>IF(OR($NE100=0,$NA100=""),0,IF(COUNTIF(INDEX($EF$2:$EJ$13,$MB100,0),$NA100)=0,1,0))</f>
        <v/>
      </c>
      <c r="NP100" s="152">
        <f>IFERROR(VLOOKUP($MK100,$AV$2:$BA$84,4,FALSE),0)+IFERROR(VLOOKUP($ML100,$AV$2:$BA$84,4,FALSE),0)+IFERROR(VLOOKUP($MM100,$AV$2:$BA$84,4,FALSE),0)+IFERROR(VLOOKUP($MN100,$AV$2:$BA$84,4,FALSE),0)</f>
        <v/>
      </c>
      <c r="NQ100" s="152">
        <f>IFERROR(VLOOKUP($MK100,$AV$2:$BA$84,6,FALSE),0)+IFERROR(VLOOKUP($ML100,$AV$2:$BA$84,6,FALSE),0)+IFERROR(VLOOKUP($MM100,$AV$2:$BA$84,6,FALSE),0)+IFERROR(VLOOKUP($MN100,$AV$2:$BA$84,6,FALSE),0)</f>
        <v/>
      </c>
      <c r="NR100" s="152">
        <f>TEXTJOIN(", ",TRUE,IF(IFERROR(VLOOKUP($MK100,$AV$2:$BA$84,5,FALSE),0)=1,$MK100,""),IF(IFERROR(VLOOKUP($ML100,$AV$2:$BA$84,5,FALSE),0)=1,$ML100,""),IF(IFERROR(VLOOKUP($MM100,$AV$2:$BA$84,5,FALSE),0)=1,$MM100,""),IF(IFERROR(VLOOKUP($MN100,$AV$2:$BA$84,5,FALSE),0)=1,$MN100,""))</f>
        <v/>
      </c>
      <c r="NS100" s="152">
        <f>IF($MW100=0,0,INDEX($Y$2:$Y$11,$MW100))</f>
        <v/>
      </c>
      <c r="NT100" s="152">
        <f>IF($MW100=0,0,INDEX($Z$2:$Z$11,$MW100))</f>
        <v/>
      </c>
      <c r="NU100" s="152">
        <f>IF($MW100=0,0,INDEX($AB$2:$AB$11,$MW100))</f>
        <v/>
      </c>
      <c r="NV100" s="152">
        <f>IFERROR(VLOOKUP($MO100,$BC$2:$BG$24,3,FALSE),0)</f>
        <v/>
      </c>
      <c r="NW100" s="152">
        <f>IFERROR(VLOOKUP($MP100,$BC$2:$BG$24,3,FALSE),0)</f>
        <v/>
      </c>
      <c r="NX100" s="152">
        <f>IFERROR(VLOOKUP($MO100,$BC$2:$BG$24,2,FALSE),"")</f>
        <v/>
      </c>
      <c r="NY100" s="152">
        <f>IFERROR(VLOOKUP($MP100,$BC$2:$BG$24,2,FALSE),"")</f>
        <v/>
      </c>
      <c r="NZ100" s="152">
        <f>COUNTIF($NF100:$NJ100,1)</f>
        <v/>
      </c>
      <c r="OA100" s="152">
        <f>COUNTIF($NF100:$NJ100,2)</f>
        <v/>
      </c>
      <c r="OB100" s="152">
        <f>COUNTIF($NF100:$NJ100,3)</f>
        <v/>
      </c>
      <c r="OC100" s="152">
        <f>COUNTIF($NF100:$NJ100,4)</f>
        <v/>
      </c>
      <c r="OD100" s="152">
        <f>COUNTIF($NF100:$NJ100,5)</f>
        <v/>
      </c>
      <c r="OE100" s="152">
        <f>COUNTIF($NF100:$NJ100,6)</f>
        <v/>
      </c>
      <c r="OF100" s="152">
        <f>COUNTIF($NV100:$NW100,1)</f>
        <v/>
      </c>
      <c r="OG100" s="152">
        <f>COUNTIF($NV100:$NW100,2)+$NS100</f>
        <v/>
      </c>
      <c r="OH100" s="152">
        <f>COUNTIF($MK100:$MN100,"?*")</f>
        <v/>
      </c>
      <c r="OI100" s="152">
        <f>COUNTIF($MO100:$MP100,"?*")+$NS100</f>
        <v/>
      </c>
      <c r="OJ100" s="152">
        <f>IF($MF100=0,0,SUMPRODUCT($NZ100:$OE100,INDEX($I$2:$N$8,MAX(1,$MF100),0)))</f>
        <v/>
      </c>
      <c r="OK100" s="152">
        <f>IF($MF100=0,0,$OF100*CEILING($MF100/2,1)+$OG100*$MF100)</f>
        <v/>
      </c>
      <c r="OL100" s="152">
        <f>MIN(2*$MF100,$OK100)</f>
        <v/>
      </c>
      <c r="OM100" s="152">
        <f>MIN($OL100,$OJ100)</f>
        <v/>
      </c>
      <c r="ON100" s="152">
        <f>$OL100-$OM100</f>
        <v/>
      </c>
      <c r="OO100" s="152">
        <f>IF($MF100=0,0,INDEX($P$2:$P$8,MAX(1,$MF100)))</f>
        <v/>
      </c>
      <c r="OP100" s="152">
        <f>$OO100-$OJ100+$OM100</f>
        <v/>
      </c>
      <c r="OQ100" s="152">
        <f>IF($MF100=0,MAX(0,$MT100-IF($OH100&gt;0,1,0)),MAX(0,$OP100))</f>
        <v/>
      </c>
      <c r="OR100" s="152">
        <f>IF($MF100=0,0,(IF(COUNTIF($MK100:$MN100,"Salto")&gt;0,1,0)+IF(COUNTIF($MK100:$MN100,"Queima")&gt;0,1,0)+IF(COUNTIF($MK100:$MN100,"Estilhaço")&gt;0,1,0))*FLOOR($OQ100/2,1))</f>
        <v/>
      </c>
      <c r="OS100" s="152">
        <f>MAX(0,2-SUMPRODUCT($NZ100:$OE100,$I$2:$N$2)+MIN(2,$OF100*1+$OG100*1,SUMPRODUCT($NZ100:$OE100,$I$2:$N$2)))</f>
        <v/>
      </c>
      <c r="OT100" s="152">
        <f>MAX(0,4-SUMPRODUCT($NZ100:$OE100,$I$3:$N$3)+MIN(4,$OF100*1+$OG100*2,SUMPRODUCT($NZ100:$OE100,$I$3:$N$3)))</f>
        <v/>
      </c>
      <c r="OU100" s="152">
        <f>MAX(0,6-SUMPRODUCT($NZ100:$OE100,$I$4:$N$4)+MIN(6,$OF100*2+$OG100*3,SUMPRODUCT($NZ100:$OE100,$I$4:$N$4)))</f>
        <v/>
      </c>
      <c r="OV100" s="152">
        <f>MAX(0,9-SUMPRODUCT($NZ100:$OE100,$I$5:$N$5)+MIN(8,$OF100*2+$OG100*4,SUMPRODUCT($NZ100:$OE100,$I$5:$N$5)))</f>
        <v/>
      </c>
      <c r="OW100" s="152">
        <f>MAX(0,11-SUMPRODUCT($NZ100:$OE100,$I$6:$N$6)+MIN(10,$OF100*3+$OG100*5,SUMPRODUCT($NZ100:$OE100,$I$6:$N$6)))</f>
        <v/>
      </c>
      <c r="OX100" s="152">
        <f>MAX(0,13-SUMPRODUCT($NZ100:$OE100,$I$7:$N$7)+MIN(12,$OF100*3+$OG100*6,SUMPRODUCT($NZ100:$OE100,$I$7:$N$7)))</f>
        <v/>
      </c>
      <c r="OY100" s="152">
        <f>MAX(0,16-SUMPRODUCT($NZ100:$OE100,$I$8:$N$8)+MIN(14,$OF100*4+$OG100*7,SUMPRODUCT($NZ100:$OE100,$I$8:$N$8)))</f>
        <v/>
      </c>
      <c r="OZ100" s="152">
        <f>IF($NT100=2,3*$OS100&amp;" de vida temp.",IF($NT100=3,"sem dano",IF($OS100=0,IF($NT100=1,"sem cura","sem dano"),IF($NT100=1,"cura ","")&amp;$OS100&amp;"d8")))</f>
        <v/>
      </c>
      <c r="PA100" s="152">
        <f>IF($NT100=2,3*$OT100&amp;" de vida temp.",IF($NT100=3,"sem dano",IF($OT100=0,IF($NT100=1,"sem cura","sem dano"),IF($NT100=1,"cura ","")&amp;$OT100&amp;"d8")))</f>
        <v/>
      </c>
      <c r="PB100" s="152">
        <f>IF($NT100=2,3*$OU100&amp;" de vida temp.",IF($NT100=3,"sem dano",IF($OU100=0,IF($NT100=1,"sem cura","sem dano"),IF($NT100=1,"cura ","")&amp;$OU100&amp;"d8")))</f>
        <v/>
      </c>
      <c r="PC100" s="152">
        <f>IF($NT100=2,3*$OV100&amp;" de vida temp.",IF($NT100=3,"sem dano",IF($OV100=0,IF($NT100=1,"sem cura","sem dano"),IF($NT100=1,"cura ","")&amp;$OV100&amp;"d8")))</f>
        <v/>
      </c>
      <c r="PD100" s="152">
        <f>IF($NT100=2,3*$OW100&amp;" de vida temp.",IF($NT100=3,"sem dano",IF($OW100=0,IF($NT100=1,"sem cura","sem dano"),IF($NT100=1,"cura ","")&amp;$OW100&amp;"d8")))</f>
        <v/>
      </c>
      <c r="PE100" s="152">
        <f>IF($NT100=2,3*$OX100&amp;" de vida temp.",IF($NT100=3,"sem dano",IF($OX100=0,IF($NT100=1,"sem cura","sem dano"),IF($NT100=1,"cura ","")&amp;$OX100&amp;"d8")))</f>
        <v/>
      </c>
      <c r="PF100" s="152">
        <f>IF($NT100=2,3*$OY100&amp;" de vida temp.",IF($NT100=3,"sem dano",IF($OY100=0,IF($NT100=1,"sem cura","sem dano"),IF($NT100=1,"cura ","")&amp;$OY100&amp;"d8")))</f>
        <v/>
      </c>
      <c r="PG100" s="152">
        <f>IF($MQ100=0,"",TEXTJOIN(" · ",TRUE,IF($MD100&gt;$MR100,"Este lugar abre no nível "&amp;$MD100,""),IF($MF100&gt;$MS100,"Classe "&amp;$MF100&amp;": o nível "&amp;$MR100&amp;" libera até a "&amp;$MS100,""),IF($NK100=1,"A Forma "&amp;$MH100&amp;" pede "&amp;INDEX($W$2:$W$11,$MW100)&amp;" aberta",""),IF(AND($MF100=0,$MW100&gt;0,IF($MW100=0,0,INDEX($AF$2:$AF$11,$MW100))=0),$MH100&amp;" não existe na Classe 0",""),IF($NL100=1,"Família Fechada: "&amp;$MK100,""),IF($NM100=1,"Família Fechada: "&amp;$ML100,""),IF($NN100=1,"Família Fechada: "&amp;$MM100,""),IF($NO100=1,"Família Fechada: "&amp;$MN100,""),IF(AND($MF100&gt;0,$OH100&gt;INDEX($O$2:$O$8,MAX(1,$MF100))),$OH100&amp;" Melhorias: a Classe "&amp;$MF100&amp;" aceita "&amp;INDEX($O$2:$O$8,MAX(1,$MF100)),""),IF(AND($MF100=0,$OH100&gt;1),"A básica aceita uma Melhoria",""),IF(AND($MF100=0,COUNTIF($NB100:$NE100,"&gt;1")&gt;0),"A básica só aceita Melhoria Leve",""),IF(AND($MF100&gt;0,$OI100&gt;2),$OI100&amp;" Restrições"&amp;IF($NS100=1,", contando a que a Forma "&amp;$MH100&amp;" já traz","")&amp;": o limite é 2",""),IF(AND($MF100=0,COUNTIF($MO100:$MP100,"?*")&gt;1),"A básica aceita uma Restrição Leve",""),IF(AND($MF100=0,COUNTIF($NV100:$NW100,2)&gt;0),"A básica só aceita Restrição Leve",""),IF(AND($MF100&gt;0,$OP100&lt;0),"Orçamento estourado: faltam "&amp;(-$OP100)&amp;IF($OP100&lt;-1," pontos"," ponto"),""),IF(IFERROR(VLOOKUP($MO100,$BC$2:$BG$24,4,FALSE),0)+IFERROR(VLOOKUP($MP100,$BC$2:$BG$24,4,FALSE),0)&gt;1,$NX100&amp;" e "&amp;$NY100&amp;" são as duas de frequência",""),IF(AND((COUNTIF($MK100:$MN100,"Rápido")+COUNTIF($NX100:$NY100,"Rápido"))&gt;0,(COUNTIF($MK100:$MN100,"Atrasar")+COUNTIF($NX100:$NY100,"Atrasar"))&gt;0),"Rápido não entra com Atrasar",""),IF(AND((COUNTIF($MK100:$MN100,"Reação")+COUNTIF($NX100:$NY100,"Reação"))&gt;0,(COUNTIF($MK100:$MN100,"Rápido")+COUNTIF($NX100:$NY100,"Rápido"))&gt;0),"Reação não entra com Rápido",""),IF(AND((COUNTIF($MK100:$MN100,"Reação")+COUNTIF($NX100:$NY100,"Reação"))&gt;0,(COUNTIF($MK100:$MN100,"Armado")+COUNTIF($NX100:$NY100,"Armado"))&gt;0),"Reação não entra com Armado",""),IF(AND((COUNTIF($MK100:$MN100,"Reação")+COUNTIF($NX100:$NY100,"Reação"))&gt;0,(COUNTIF($MK100:$MN100,"Atrasar")+COUNTIF($NX100:$NY100,"Atrasar"))&gt;0),"Reação não entra com Atrasar",""),IF(AND((COUNTIF($MK100:$MN100,"Reação")+COUNTIF($NX100:$NY100,"Reação"))&gt;0,(COUNTIF($MK100:$MN100,"Parado")+COUNTIF($NX100:$NY100,"Parado"))&gt;0),"Reação não entra com Parado",""),IF(AND((COUNTIF($MK100:$MN100,"Atrasar")+COUNTIF($NX100:$NY100,"Atrasar"))&gt;0,(COUNTIF($MK100:$MN100,"Parado")+COUNTIF($NX100:$NY100,"Parado"))&gt;0),"Atrasar não entra com Parado",""),IF(AND((COUNTIF($MK100:$MN100,"Armado")+COUNTIF($NX100:$NY100,"Armado"))&gt;0,(COUNTIF($MK100:$MN100,"Carregar")+COUNTIF($NX100:$NY100,"Carregar"))&gt;0),"Armado não entra com Carregar",""),IF(AND(COUNTIF($NX100:$NY100,"Corpo a Corpo")&gt;0,$NS100=0,OR($MH100="Cone",$MH100="Linha")),"Corpo a Corpo não entra em "&amp;$MH100,""),IF(AND(COUNTIF($NX100:$NY100,"Corpo a Corpo")&gt;0,$NS100=1),"A Forma "&amp;$MH100&amp;" já traz o Corpo a Corpo",""),IF(AND(COUNTIF($NX100:$NY100,"Tudo ou Nada")&gt;0,$NU100=0),"Tudo ou Nada só entra em habilidade de Teste de Resistência",""),IF(AND(COUNTIF($MK100:$MN100,"Inescapável")&gt;0,OR($OH100&gt;1,$OI100&gt;0)),"Inescapável não aceita outra peça",""),IF(AND($MF100&gt;0,$OQ100*IF(COUNTIF($MK100:$MN100,"Remate")&gt;0,1.25,1)+$OR100&gt;4*$MF100),($OQ100*IF(COUNTIF($MK100:$MN100,"Remate")&gt;0,1.25,1)+$OR100)&amp;" dados somando repetições"&amp;IF(COUNTIF($MK100:$MN100,"Remate")&gt;0," e o Remate","")&amp;": o teto da Classe "&amp;$MF100&amp;" é "&amp;4*$MF100,"")))</f>
        <v/>
      </c>
      <c r="PH100" s="152">
        <f>IF($PG100="",0,(LEN($PG100)-LEN(SUBSTITUTE($PG100," · ","")))/3+1)</f>
        <v/>
      </c>
      <c r="PI100" s="152">
        <f>IF($MQ100=0,"",TEXTJOIN(" · ",TRUE,IF($OK100&gt;2*$MF100,"A devolução parou no teto de "&amp;2*$MF100,""),IF($ON100&gt;0,"Devolução perdida: "&amp;$ON100&amp;IF($ON100&gt;1," pontos"," ponto")&amp;" sem peça para pagar",""),IF(AND($NP100&gt;0,AND($MF100&gt;0,$NT100=0),$OQ100=0),"Controle sem dano: uma rodada a mais e CD +2",""),IF(AND($NP100&gt;0,AND($MF100&gt;0,$NT100=0),$OQ100&gt;0,$OQ100&lt;=$MF100),"Controle com saldo até a Classe: uma rodada a mais",""),IF(AND($MF100&gt;0,$NR100&lt;&gt;""),"Efeito de "&amp;$NR100&amp;" pela Classe "&amp;MAX(1,$MF100-1),"")))</f>
        <v/>
      </c>
      <c r="PJ100" s="152">
        <f>IF($PI100="",0,(LEN($PI100)-LEN(SUBSTITUTE($PI100," · ","")))/3+1)</f>
        <v/>
      </c>
      <c r="PK100" s="152">
        <f>IF($MQ100=0,IF($OH100+COUNTIF($MO100:$MP100,"?*")&gt;0,"Dê um nome",""),IF($PH100&gt;0,"⚠ "&amp;$PH100&amp;IF($PH100&gt;1," erros"," erro"),IF($PJ100&gt;0,"! "&amp;$PJ100&amp;IF($PJ100&gt;1," avisos"," aviso"),"Na regra")))</f>
        <v/>
      </c>
      <c r="PL100" s="152">
        <f>IF($MQ100=0,"",IF($PH100+$PJ100=0,"Dentro das regras que a ficha confere",$PG100&amp;IF(AND($PH100&gt;0,$PJ100&gt;0)," · ","")&amp;$PI100))</f>
        <v/>
      </c>
      <c r="PM100" s="152">
        <f>IF($MD100&gt;$MR100,$ME100&amp;" · ABRE NO NÍVEL "&amp;$MD100,$ME100)</f>
        <v/>
      </c>
      <c r="PN100" s="152">
        <f>IF($MQ100=0,"",IF($MF100=0,"Sem PE",3*$MF100&amp;" PE"))</f>
        <v/>
      </c>
      <c r="PO100" s="152">
        <f>IF($MQ100=0,"",IF($MF100=0,"A atuação básica dela",IF(COUNTIF($NX100:$NY100,"Atrasar")&gt;0,"Sua Ação Completa",IF(COUNTIF($MK100:$MN100,"Rápido")&gt;0,"Sua Bônus",IF(COUNTIF($MK100:$MN100,"Reação")&gt;0,"Sua Reação","Sua Padrão")))&amp;" + a básica dela"&amp;IF(COUNTIF($MK100:$MN100,"Reação")&gt;0," e a coletiva","")&amp;IF(COUNTIF($NX100:$NY100,"Carregar")&gt;0," · em dois turnos","")))</f>
        <v/>
      </c>
      <c r="PP100" s="152">
        <f>IF($MJ100&lt;&gt;"",$MJ100,IF($MW100=0,"",INDEX($AA$2:$AA$11,$MW100)))</f>
        <v/>
      </c>
      <c r="PQ100" s="152">
        <f>IF(OR($MQ100=0,$MW100=0),"",IF(COUNTIF($MK100:$MN100,"Inescapável")&gt;0,"Automático",IF($PP100="Ataque",IF($MU100="","Ataque","Ataque "&amp;IF(($MU100+2*IF(COUNTIF($MK100:$MN100,"Precisão")&gt;0,1,0))&gt;=0,"+","−")&amp;ABS(($MU100+2*IF(COUNTIF($MK100:$MN100,"Precisão")&gt;0,1,0))))&amp;IF($NQ100&gt;0," · TR"&amp;IF($MV100="",""," CD "&amp;$MV100),""),IF(LEFT($PP100,2)="TR",$PP100&amp;IF($MV100="",""," · CD "&amp;$MV100)&amp;IF(COUNTIF($MK100:$MN100,"Certeiro")&gt;0," · metade",""),"Sem rolagem"))))</f>
        <v/>
      </c>
      <c r="PR100" s="152">
        <f>IF(OR($MQ100=0,$MW100=0),"",IF($MF100=0,IF(OR($NT100&gt;=1,$OQ100=0),"Sem dano",$OQ100&amp;"d6"&amp;IF($MI100="",""," "&amp;$MI100)),IF(OR($NT100&gt;=1,$OQ100=0),UPPER(LEFT(INDEX($OZ100:$PF100,1,MAX(1,$MF100)),1))&amp;MID(INDEX($OZ100:$PF100,1,MAX(1,$MF100)),2,99),UPPER(LEFT(INDEX($OZ100:$PF100,1,MAX(1,$MF100)),1))&amp;MID(INDEX($OZ100:$PF100,1,MAX(1,$MF100)),2,99)&amp;IF($MI100="",""," "&amp;$MI100)&amp;IF($OR100&gt;0," · +"&amp;$OR100&amp;"d8",""))))</f>
        <v/>
      </c>
      <c r="PS100" s="152">
        <f>COUNTIF($MK100:$MN100,"Longe")+3*COUNTIF($MK100:$MN100,"Muito Longe")</f>
        <v/>
      </c>
      <c r="PT100" s="152">
        <f>COUNTIF($MK100:$MN100,"Maior")+3*COUNTIF($MK100:$MN100,"Muito Maior")</f>
        <v/>
      </c>
      <c r="PU100" s="152">
        <f>IF($MW100=0,0,CHOOSE(1+INDEX($AC$2:$AC$11,$MW100),0,$PS100,$PT100,$PS100+$PT100))</f>
        <v/>
      </c>
      <c r="PV100" s="152">
        <f>IF($MW100=0,0,CHOOSE(1+INDEX($AD$2:$AD$11,$MW100),0,$PS100,$PT100,$PS100+$PT100))</f>
        <v/>
      </c>
      <c r="PW100" s="152">
        <f>IF(OR($MQ100=0,$MW100=0),"",INDEX($AI$2:$AN$41,($MW100-1)*4+IF($MF100=0,1,IF($MF100&lt;=5,2,IF($MF100=6,3,4))),1+MIN(5,$PU100))&amp;INDEX($AO$2:$AT$41,($MW100-1)*4+IF($MF100=0,1,IF($MF100&lt;=5,2,IF($MF100=6,3,4))),1+MIN(5,$PV100))&amp;IF(INDEX($AE$2:$AE$11,$MW100)=1,IF(COUNTIF($MK100:$MN100,"Mais Um")&gt;0," · +"&amp;COUNTIF($MK100:$MN100,"Mais Um")&amp;IF(COUNTIF($MK100:$MN100,"Mais Um")&gt;1," alvos"," alvo"),"")&amp;IF(COUNTIF($MK100:$MN100,"Rajada")&gt;0,IF($MF100=0," · 1 tiro"," · "&amp;(MAX(1,$MF100-1)+1)&amp;" tiros"),""),""))</f>
        <v/>
      </c>
      <c r="PX100" s="152">
        <f>IF($MQ100=0,"",IF($MF100=0,$MT100&amp;"d6"&amp;IF($OH100&gt;0," − 1 = "&amp;$OQ100&amp;"d6"," da básica do nível "&amp;$MR100),$OO100&amp;" − "&amp;$OJ100&amp;" + "&amp;$OM100&amp;" = "&amp;$OP100&amp;" · teto "&amp;4*$MF100&amp;"d8"&amp;IF($NS100=1," · a Forma devolve "&amp;$MF100,"")&amp;IF($ON100&gt;0," · perde "&amp;$ON100,"")))</f>
        <v/>
      </c>
      <c r="PY100" s="152">
        <f>IF($MQ100=0,"",IF($MF100=0,"A básica não amplia: os dados dela sobem com o nível",IF($MF100&gt;=$MS100,"Já está na maior Classe que o nível liberou",TEXTJOIN(" · ",TRUE,IF(AND(2&gt;$MF100,2&lt;=$MS100),"2 → "&amp;$PA100&amp;", 6 PE",""),IF(AND(3&gt;$MF100,3&lt;=$MS100),"3 → "&amp;$PB100&amp;", 9 PE",""),IF(AND(4&gt;$MF100,4&lt;=$MS100),"4 → "&amp;$PC100&amp;", 12 PE",""),IF(AND(5&gt;$MF100,5&lt;=$MS100),"5 → "&amp;$PD100&amp;", 15 PE",""),IF(AND(6&gt;$MF100,6&lt;=$MS100),"6 → "&amp;$PE100&amp;", 18 PE",""),IF(AND(7&gt;$MF100,7&lt;=$MS100),"7 → "&amp;$PF100&amp;", 21 PE","")))))</f>
        <v/>
      </c>
      <c r="PZ100" s="152">
        <f>IF(OR($MQ100=0,$NB100=0),"",IF($MF100=0,"−1 dado","−"&amp;INDEX($I$2:$N$8,MAX(1,$MF100),MAX(1,$NG100))&amp;" · "&amp;CHOOSE(MAX(1,$NG100),"Leve","Média","Pesada","Leve · Livre","Média · Livre","Pesada · Livre")))</f>
        <v/>
      </c>
      <c r="QA100" s="152">
        <f>IF(OR($MQ100=0,$NC100=0),"",IF($MF100=0,"−1 dado","−"&amp;INDEX($I$2:$N$8,MAX(1,$MF100),MAX(1,$NH100))&amp;" · "&amp;CHOOSE(MAX(1,$NH100),"Leve","Média","Pesada","Leve · Livre","Média · Livre","Pesada · Livre")))</f>
        <v/>
      </c>
      <c r="QB100" s="152">
        <f>IF(OR($MQ100=0,$ND100=0),"",IF($MF100=0,"−1 dado","−"&amp;INDEX($I$2:$N$8,MAX(1,$MF100),MAX(1,$NI100))&amp;" · "&amp;CHOOSE(MAX(1,$NI100),"Leve","Média","Pesada","Leve · Livre","Média · Livre","Pesada · Livre")))</f>
        <v/>
      </c>
      <c r="QC100" s="152">
        <f>IF(OR($MQ100=0,$NE100=0),"",IF($MF100=0,"−1 dado","−"&amp;INDEX($I$2:$N$8,MAX(1,$MF100),MAX(1,$NJ100))&amp;" · "&amp;CHOOSE(MAX(1,$NJ100),"Leve","Média","Pesada","Leve · Livre","Média · Livre","Pesada · Livre")))</f>
        <v/>
      </c>
      <c r="QD100" s="152">
        <f>IF(OR($MQ100=0,$MO100=""),"",IF($MF100=0,"não devolve","+"&amp;IF($NV100=1,CEILING($MF100/2,1),$MF100)))</f>
        <v/>
      </c>
      <c r="QE100" s="152">
        <f>IF(OR($MQ100=0,$MP100=""),"",IF($MF100=0,"não devolve","+"&amp;IF($NW100=1,CEILING($MF100/2,1),$MF100)))</f>
        <v/>
      </c>
    </row>
    <row r="101">
      <c r="MA101" s="150" t="inlineStr">
        <is>
          <t>Ficha 8 · Especial 7</t>
        </is>
      </c>
      <c r="MB101" s="152" t="n">
        <v>8</v>
      </c>
      <c r="MC101" s="152" t="n">
        <v>1</v>
      </c>
      <c r="MD101" s="152" t="n">
        <v>24</v>
      </c>
      <c r="ME101" s="150" t="inlineStr">
        <is>
          <t>ESPECIAL 7</t>
        </is>
      </c>
      <c r="MF101" s="152">
        <f>MAX(1,MIN(7,N('INVOCAÇÕES'!$AN$312)))</f>
        <v/>
      </c>
      <c r="MG101" s="152">
        <f>'INVOCAÇÕES'!$AO$312&amp;""</f>
        <v/>
      </c>
      <c r="MH101" s="152">
        <f>'INVOCAÇÕES'!$AN$317&amp;""</f>
        <v/>
      </c>
      <c r="MI101" s="152">
        <f>'INVOCAÇÕES'!$AN$318&amp;""</f>
        <v/>
      </c>
      <c r="MJ101" s="152">
        <f>'INVOCAÇÕES'!$AP$318&amp;""</f>
        <v/>
      </c>
      <c r="MK101" s="152">
        <f>'INVOCAÇÕES'!$AO$321&amp;""</f>
        <v/>
      </c>
      <c r="ML101" s="152">
        <f>'INVOCAÇÕES'!$AO$322&amp;""</f>
        <v/>
      </c>
      <c r="MM101" s="152">
        <f>'INVOCAÇÕES'!$AO$323&amp;""</f>
        <v/>
      </c>
      <c r="MN101" s="152">
        <f>'INVOCAÇÕES'!$AO$324&amp;""</f>
        <v/>
      </c>
      <c r="MO101" s="152">
        <f>'INVOCAÇÕES'!$AO$325&amp;""</f>
        <v/>
      </c>
      <c r="MP101" s="152">
        <f>'INVOCAÇÕES'!$AO$326&amp;""</f>
        <v/>
      </c>
      <c r="MQ101" s="152">
        <f>IF($MG101&lt;&gt;"",1,0)</f>
        <v/>
      </c>
      <c r="MR101" s="152">
        <f>INDEX($FI$2:$FI$13,$MB101)</f>
        <v/>
      </c>
      <c r="MS101" s="152">
        <f>INDEX($FJ$2:$FJ$13,$MB101)</f>
        <v/>
      </c>
      <c r="MT101" s="152">
        <f>INDEX($FK$2:$FK$13,$MB101)</f>
        <v/>
      </c>
      <c r="MU101" s="152">
        <f>INDEX($FV$2:$FV$13,$MB101)</f>
        <v/>
      </c>
      <c r="MV101" s="152">
        <f>INDEX($FW$2:$FW$13,$MB101)</f>
        <v/>
      </c>
      <c r="MW101" s="152">
        <f>IFERROR(MATCH($MH101,$V$2:$V$11,0),0)</f>
        <v/>
      </c>
      <c r="MX101" s="152">
        <f>IFERROR(VLOOKUP($MK101,$AV$2:$BA$84,2,FALSE),"")</f>
        <v/>
      </c>
      <c r="MY101" s="152">
        <f>IFERROR(VLOOKUP($ML101,$AV$2:$BA$84,2,FALSE),"")</f>
        <v/>
      </c>
      <c r="MZ101" s="152">
        <f>IFERROR(VLOOKUP($MM101,$AV$2:$BA$84,2,FALSE),"")</f>
        <v/>
      </c>
      <c r="NA101" s="152">
        <f>IFERROR(VLOOKUP($MN101,$AV$2:$BA$84,2,FALSE),"")</f>
        <v/>
      </c>
      <c r="NB101" s="152">
        <f>IFERROR(VLOOKUP($MK101,$AV$2:$BA$84,3,FALSE),0)</f>
        <v/>
      </c>
      <c r="NC101" s="152">
        <f>IFERROR(VLOOKUP($ML101,$AV$2:$BA$84,3,FALSE),0)</f>
        <v/>
      </c>
      <c r="ND101" s="152">
        <f>IFERROR(VLOOKUP($MM101,$AV$2:$BA$84,3,FALSE),0)</f>
        <v/>
      </c>
      <c r="NE101" s="152">
        <f>IFERROR(VLOOKUP($MN101,$AV$2:$BA$84,3,FALSE),0)</f>
        <v/>
      </c>
      <c r="NF101" s="152">
        <f>IF($MF101=0,0,IF($MW101=0,0,INDEX($X$2:$X$11,$MW101)))</f>
        <v/>
      </c>
      <c r="NG101" s="152">
        <f>IF(OR($NB101=0,$MF101=0),0,$NB101+3*IF(AND($MX101&lt;&gt;"",OR($MX101=INDEX($EF$2:$EF$13,$MB101),$MX101=INDEX($EG$2:$EG$13,$MB101))),1,0))</f>
        <v/>
      </c>
      <c r="NH101" s="152">
        <f>IF(OR($NC101=0,$MF101=0),0,$NC101+3*IF(AND($MY101&lt;&gt;"",OR($MY101=INDEX($EF$2:$EF$13,$MB101),$MY101=INDEX($EG$2:$EG$13,$MB101))),1,0))</f>
        <v/>
      </c>
      <c r="NI101" s="152">
        <f>IF(OR($ND101=0,$MF101=0),0,$ND101+3*IF(AND($MZ101&lt;&gt;"",OR($MZ101=INDEX($EF$2:$EF$13,$MB101),$MZ101=INDEX($EG$2:$EG$13,$MB101))),1,0))</f>
        <v/>
      </c>
      <c r="NJ101" s="152">
        <f>IF(OR($NE101=0,$MF101=0),0,$NE101+3*IF(AND($NA101&lt;&gt;"",OR($NA101=INDEX($EF$2:$EF$13,$MB101),$NA101=INDEX($EG$2:$EG$13,$MB101))),1,0))</f>
        <v/>
      </c>
      <c r="NK101" s="152">
        <f>IF($MW101=0,0,IF(INDEX($W$2:$W$11,$MW101)="",0,IF(COUNTIF(INDEX($EF$2:$EJ$13,$MB101,0),INDEX($W$2:$W$11,$MW101))=0,1,0)))</f>
        <v/>
      </c>
      <c r="NL101" s="152">
        <f>IF(OR($NB101=0,$MX101=""),0,IF(COUNTIF(INDEX($EF$2:$EJ$13,$MB101,0),$MX101)=0,1,0))</f>
        <v/>
      </c>
      <c r="NM101" s="152">
        <f>IF(OR($NC101=0,$MY101=""),0,IF(COUNTIF(INDEX($EF$2:$EJ$13,$MB101,0),$MY101)=0,1,0))</f>
        <v/>
      </c>
      <c r="NN101" s="152">
        <f>IF(OR($ND101=0,$MZ101=""),0,IF(COUNTIF(INDEX($EF$2:$EJ$13,$MB101,0),$MZ101)=0,1,0))</f>
        <v/>
      </c>
      <c r="NO101" s="152">
        <f>IF(OR($NE101=0,$NA101=""),0,IF(COUNTIF(INDEX($EF$2:$EJ$13,$MB101,0),$NA101)=0,1,0))</f>
        <v/>
      </c>
      <c r="NP101" s="152">
        <f>IFERROR(VLOOKUP($MK101,$AV$2:$BA$84,4,FALSE),0)+IFERROR(VLOOKUP($ML101,$AV$2:$BA$84,4,FALSE),0)+IFERROR(VLOOKUP($MM101,$AV$2:$BA$84,4,FALSE),0)+IFERROR(VLOOKUP($MN101,$AV$2:$BA$84,4,FALSE),0)</f>
        <v/>
      </c>
      <c r="NQ101" s="152">
        <f>IFERROR(VLOOKUP($MK101,$AV$2:$BA$84,6,FALSE),0)+IFERROR(VLOOKUP($ML101,$AV$2:$BA$84,6,FALSE),0)+IFERROR(VLOOKUP($MM101,$AV$2:$BA$84,6,FALSE),0)+IFERROR(VLOOKUP($MN101,$AV$2:$BA$84,6,FALSE),0)</f>
        <v/>
      </c>
      <c r="NR101" s="152">
        <f>TEXTJOIN(", ",TRUE,IF(IFERROR(VLOOKUP($MK101,$AV$2:$BA$84,5,FALSE),0)=1,$MK101,""),IF(IFERROR(VLOOKUP($ML101,$AV$2:$BA$84,5,FALSE),0)=1,$ML101,""),IF(IFERROR(VLOOKUP($MM101,$AV$2:$BA$84,5,FALSE),0)=1,$MM101,""),IF(IFERROR(VLOOKUP($MN101,$AV$2:$BA$84,5,FALSE),0)=1,$MN101,""))</f>
        <v/>
      </c>
      <c r="NS101" s="152">
        <f>IF($MW101=0,0,INDEX($Y$2:$Y$11,$MW101))</f>
        <v/>
      </c>
      <c r="NT101" s="152">
        <f>IF($MW101=0,0,INDEX($Z$2:$Z$11,$MW101))</f>
        <v/>
      </c>
      <c r="NU101" s="152">
        <f>IF($MW101=0,0,INDEX($AB$2:$AB$11,$MW101))</f>
        <v/>
      </c>
      <c r="NV101" s="152">
        <f>IFERROR(VLOOKUP($MO101,$BC$2:$BG$24,3,FALSE),0)</f>
        <v/>
      </c>
      <c r="NW101" s="152">
        <f>IFERROR(VLOOKUP($MP101,$BC$2:$BG$24,3,FALSE),0)</f>
        <v/>
      </c>
      <c r="NX101" s="152">
        <f>IFERROR(VLOOKUP($MO101,$BC$2:$BG$24,2,FALSE),"")</f>
        <v/>
      </c>
      <c r="NY101" s="152">
        <f>IFERROR(VLOOKUP($MP101,$BC$2:$BG$24,2,FALSE),"")</f>
        <v/>
      </c>
      <c r="NZ101" s="152">
        <f>COUNTIF($NF101:$NJ101,1)</f>
        <v/>
      </c>
      <c r="OA101" s="152">
        <f>COUNTIF($NF101:$NJ101,2)</f>
        <v/>
      </c>
      <c r="OB101" s="152">
        <f>COUNTIF($NF101:$NJ101,3)</f>
        <v/>
      </c>
      <c r="OC101" s="152">
        <f>COUNTIF($NF101:$NJ101,4)</f>
        <v/>
      </c>
      <c r="OD101" s="152">
        <f>COUNTIF($NF101:$NJ101,5)</f>
        <v/>
      </c>
      <c r="OE101" s="152">
        <f>COUNTIF($NF101:$NJ101,6)</f>
        <v/>
      </c>
      <c r="OF101" s="152">
        <f>COUNTIF($NV101:$NW101,1)</f>
        <v/>
      </c>
      <c r="OG101" s="152">
        <f>COUNTIF($NV101:$NW101,2)+$NS101</f>
        <v/>
      </c>
      <c r="OH101" s="152">
        <f>COUNTIF($MK101:$MN101,"?*")</f>
        <v/>
      </c>
      <c r="OI101" s="152">
        <f>COUNTIF($MO101:$MP101,"?*")+$NS101</f>
        <v/>
      </c>
      <c r="OJ101" s="152">
        <f>IF($MF101=0,0,SUMPRODUCT($NZ101:$OE101,INDEX($I$2:$N$8,MAX(1,$MF101),0)))</f>
        <v/>
      </c>
      <c r="OK101" s="152">
        <f>IF($MF101=0,0,$OF101*CEILING($MF101/2,1)+$OG101*$MF101)</f>
        <v/>
      </c>
      <c r="OL101" s="152">
        <f>MIN(2*$MF101,$OK101)</f>
        <v/>
      </c>
      <c r="OM101" s="152">
        <f>MIN($OL101,$OJ101)</f>
        <v/>
      </c>
      <c r="ON101" s="152">
        <f>$OL101-$OM101</f>
        <v/>
      </c>
      <c r="OO101" s="152">
        <f>IF($MF101=0,0,INDEX($P$2:$P$8,MAX(1,$MF101)))</f>
        <v/>
      </c>
      <c r="OP101" s="152">
        <f>$OO101-$OJ101+$OM101</f>
        <v/>
      </c>
      <c r="OQ101" s="152">
        <f>IF($MF101=0,MAX(0,$MT101-IF($OH101&gt;0,1,0)),MAX(0,$OP101))</f>
        <v/>
      </c>
      <c r="OR101" s="152">
        <f>IF($MF101=0,0,(IF(COUNTIF($MK101:$MN101,"Salto")&gt;0,1,0)+IF(COUNTIF($MK101:$MN101,"Queima")&gt;0,1,0)+IF(COUNTIF($MK101:$MN101,"Estilhaço")&gt;0,1,0))*FLOOR($OQ101/2,1))</f>
        <v/>
      </c>
      <c r="OS101" s="152">
        <f>MAX(0,2-SUMPRODUCT($NZ101:$OE101,$I$2:$N$2)+MIN(2,$OF101*1+$OG101*1,SUMPRODUCT($NZ101:$OE101,$I$2:$N$2)))</f>
        <v/>
      </c>
      <c r="OT101" s="152">
        <f>MAX(0,4-SUMPRODUCT($NZ101:$OE101,$I$3:$N$3)+MIN(4,$OF101*1+$OG101*2,SUMPRODUCT($NZ101:$OE101,$I$3:$N$3)))</f>
        <v/>
      </c>
      <c r="OU101" s="152">
        <f>MAX(0,6-SUMPRODUCT($NZ101:$OE101,$I$4:$N$4)+MIN(6,$OF101*2+$OG101*3,SUMPRODUCT($NZ101:$OE101,$I$4:$N$4)))</f>
        <v/>
      </c>
      <c r="OV101" s="152">
        <f>MAX(0,9-SUMPRODUCT($NZ101:$OE101,$I$5:$N$5)+MIN(8,$OF101*2+$OG101*4,SUMPRODUCT($NZ101:$OE101,$I$5:$N$5)))</f>
        <v/>
      </c>
      <c r="OW101" s="152">
        <f>MAX(0,11-SUMPRODUCT($NZ101:$OE101,$I$6:$N$6)+MIN(10,$OF101*3+$OG101*5,SUMPRODUCT($NZ101:$OE101,$I$6:$N$6)))</f>
        <v/>
      </c>
      <c r="OX101" s="152">
        <f>MAX(0,13-SUMPRODUCT($NZ101:$OE101,$I$7:$N$7)+MIN(12,$OF101*3+$OG101*6,SUMPRODUCT($NZ101:$OE101,$I$7:$N$7)))</f>
        <v/>
      </c>
      <c r="OY101" s="152">
        <f>MAX(0,16-SUMPRODUCT($NZ101:$OE101,$I$8:$N$8)+MIN(14,$OF101*4+$OG101*7,SUMPRODUCT($NZ101:$OE101,$I$8:$N$8)))</f>
        <v/>
      </c>
      <c r="OZ101" s="152">
        <f>IF($NT101=2,3*$OS101&amp;" de vida temp.",IF($NT101=3,"sem dano",IF($OS101=0,IF($NT101=1,"sem cura","sem dano"),IF($NT101=1,"cura ","")&amp;$OS101&amp;"d8")))</f>
        <v/>
      </c>
      <c r="PA101" s="152">
        <f>IF($NT101=2,3*$OT101&amp;" de vida temp.",IF($NT101=3,"sem dano",IF($OT101=0,IF($NT101=1,"sem cura","sem dano"),IF($NT101=1,"cura ","")&amp;$OT101&amp;"d8")))</f>
        <v/>
      </c>
      <c r="PB101" s="152">
        <f>IF($NT101=2,3*$OU101&amp;" de vida temp.",IF($NT101=3,"sem dano",IF($OU101=0,IF($NT101=1,"sem cura","sem dano"),IF($NT101=1,"cura ","")&amp;$OU101&amp;"d8")))</f>
        <v/>
      </c>
      <c r="PC101" s="152">
        <f>IF($NT101=2,3*$OV101&amp;" de vida temp.",IF($NT101=3,"sem dano",IF($OV101=0,IF($NT101=1,"sem cura","sem dano"),IF($NT101=1,"cura ","")&amp;$OV101&amp;"d8")))</f>
        <v/>
      </c>
      <c r="PD101" s="152">
        <f>IF($NT101=2,3*$OW101&amp;" de vida temp.",IF($NT101=3,"sem dano",IF($OW101=0,IF($NT101=1,"sem cura","sem dano"),IF($NT101=1,"cura ","")&amp;$OW101&amp;"d8")))</f>
        <v/>
      </c>
      <c r="PE101" s="152">
        <f>IF($NT101=2,3*$OX101&amp;" de vida temp.",IF($NT101=3,"sem dano",IF($OX101=0,IF($NT101=1,"sem cura","sem dano"),IF($NT101=1,"cura ","")&amp;$OX101&amp;"d8")))</f>
        <v/>
      </c>
      <c r="PF101" s="152">
        <f>IF($NT101=2,3*$OY101&amp;" de vida temp.",IF($NT101=3,"sem dano",IF($OY101=0,IF($NT101=1,"sem cura","sem dano"),IF($NT101=1,"cura ","")&amp;$OY101&amp;"d8")))</f>
        <v/>
      </c>
      <c r="PG101" s="152">
        <f>IF($MQ101=0,"",TEXTJOIN(" · ",TRUE,IF($MD101&gt;$MR101,"Este lugar abre no nível "&amp;$MD101,""),IF($MF101&gt;$MS101,"Classe "&amp;$MF101&amp;": o nível "&amp;$MR101&amp;" libera até a "&amp;$MS101,""),IF($NK101=1,"A Forma "&amp;$MH101&amp;" pede "&amp;INDEX($W$2:$W$11,$MW101)&amp;" aberta",""),IF(AND($MF101=0,$MW101&gt;0,IF($MW101=0,0,INDEX($AF$2:$AF$11,$MW101))=0),$MH101&amp;" não existe na Classe 0",""),IF($NL101=1,"Família Fechada: "&amp;$MK101,""),IF($NM101=1,"Família Fechada: "&amp;$ML101,""),IF($NN101=1,"Família Fechada: "&amp;$MM101,""),IF($NO101=1,"Família Fechada: "&amp;$MN101,""),IF(AND($MF101&gt;0,$OH101&gt;INDEX($O$2:$O$8,MAX(1,$MF101))),$OH101&amp;" Melhorias: a Classe "&amp;$MF101&amp;" aceita "&amp;INDEX($O$2:$O$8,MAX(1,$MF101)),""),IF(AND($MF101=0,$OH101&gt;1),"A básica aceita uma Melhoria",""),IF(AND($MF101=0,COUNTIF($NB101:$NE101,"&gt;1")&gt;0),"A básica só aceita Melhoria Leve",""),IF(AND($MF101&gt;0,$OI101&gt;2),$OI101&amp;" Restrições"&amp;IF($NS101=1,", contando a que a Forma "&amp;$MH101&amp;" já traz","")&amp;": o limite é 2",""),IF(AND($MF101=0,COUNTIF($MO101:$MP101,"?*")&gt;1),"A básica aceita uma Restrição Leve",""),IF(AND($MF101=0,COUNTIF($NV101:$NW101,2)&gt;0),"A básica só aceita Restrição Leve",""),IF(AND($MF101&gt;0,$OP101&lt;0),"Orçamento estourado: faltam "&amp;(-$OP101)&amp;IF($OP101&lt;-1," pontos"," ponto"),""),IF(IFERROR(VLOOKUP($MO101,$BC$2:$BG$24,4,FALSE),0)+IFERROR(VLOOKUP($MP101,$BC$2:$BG$24,4,FALSE),0)&gt;1,$NX101&amp;" e "&amp;$NY101&amp;" são as duas de frequência",""),IF(AND((COUNTIF($MK101:$MN101,"Rápido")+COUNTIF($NX101:$NY101,"Rápido"))&gt;0,(COUNTIF($MK101:$MN101,"Atrasar")+COUNTIF($NX101:$NY101,"Atrasar"))&gt;0),"Rápido não entra com Atrasar",""),IF(AND((COUNTIF($MK101:$MN101,"Reação")+COUNTIF($NX101:$NY101,"Reação"))&gt;0,(COUNTIF($MK101:$MN101,"Rápido")+COUNTIF($NX101:$NY101,"Rápido"))&gt;0),"Reação não entra com Rápido",""),IF(AND((COUNTIF($MK101:$MN101,"Reação")+COUNTIF($NX101:$NY101,"Reação"))&gt;0,(COUNTIF($MK101:$MN101,"Armado")+COUNTIF($NX101:$NY101,"Armado"))&gt;0),"Reação não entra com Armado",""),IF(AND((COUNTIF($MK101:$MN101,"Reação")+COUNTIF($NX101:$NY101,"Reação"))&gt;0,(COUNTIF($MK101:$MN101,"Atrasar")+COUNTIF($NX101:$NY101,"Atrasar"))&gt;0),"Reação não entra com Atrasar",""),IF(AND((COUNTIF($MK101:$MN101,"Reação")+COUNTIF($NX101:$NY101,"Reação"))&gt;0,(COUNTIF($MK101:$MN101,"Parado")+COUNTIF($NX101:$NY101,"Parado"))&gt;0),"Reação não entra com Parado",""),IF(AND((COUNTIF($MK101:$MN101,"Atrasar")+COUNTIF($NX101:$NY101,"Atrasar"))&gt;0,(COUNTIF($MK101:$MN101,"Parado")+COUNTIF($NX101:$NY101,"Parado"))&gt;0),"Atrasar não entra com Parado",""),IF(AND((COUNTIF($MK101:$MN101,"Armado")+COUNTIF($NX101:$NY101,"Armado"))&gt;0,(COUNTIF($MK101:$MN101,"Carregar")+COUNTIF($NX101:$NY101,"Carregar"))&gt;0),"Armado não entra com Carregar",""),IF(AND(COUNTIF($NX101:$NY101,"Corpo a Corpo")&gt;0,$NS101=0,OR($MH101="Cone",$MH101="Linha")),"Corpo a Corpo não entra em "&amp;$MH101,""),IF(AND(COUNTIF($NX101:$NY101,"Corpo a Corpo")&gt;0,$NS101=1),"A Forma "&amp;$MH101&amp;" já traz o Corpo a Corpo",""),IF(AND(COUNTIF($NX101:$NY101,"Tudo ou Nada")&gt;0,$NU101=0),"Tudo ou Nada só entra em habilidade de Teste de Resistência",""),IF(AND(COUNTIF($MK101:$MN101,"Inescapável")&gt;0,OR($OH101&gt;1,$OI101&gt;0)),"Inescapável não aceita outra peça",""),IF(AND($MF101&gt;0,$OQ101*IF(COUNTIF($MK101:$MN101,"Remate")&gt;0,1.25,1)+$OR101&gt;4*$MF101),($OQ101*IF(COUNTIF($MK101:$MN101,"Remate")&gt;0,1.25,1)+$OR101)&amp;" dados somando repetições"&amp;IF(COUNTIF($MK101:$MN101,"Remate")&gt;0," e o Remate","")&amp;": o teto da Classe "&amp;$MF101&amp;" é "&amp;4*$MF101,"")))</f>
        <v/>
      </c>
      <c r="PH101" s="152">
        <f>IF($PG101="",0,(LEN($PG101)-LEN(SUBSTITUTE($PG101," · ","")))/3+1)</f>
        <v/>
      </c>
      <c r="PI101" s="152">
        <f>IF($MQ101=0,"",TEXTJOIN(" · ",TRUE,IF($OK101&gt;2*$MF101,"A devolução parou no teto de "&amp;2*$MF101,""),IF($ON101&gt;0,"Devolução perdida: "&amp;$ON101&amp;IF($ON101&gt;1," pontos"," ponto")&amp;" sem peça para pagar",""),IF(AND($NP101&gt;0,AND($MF101&gt;0,$NT101=0),$OQ101=0),"Controle sem dano: uma rodada a mais e CD +2",""),IF(AND($NP101&gt;0,AND($MF101&gt;0,$NT101=0),$OQ101&gt;0,$OQ101&lt;=$MF101),"Controle com saldo até a Classe: uma rodada a mais",""),IF(AND($MF101&gt;0,$NR101&lt;&gt;""),"Efeito de "&amp;$NR101&amp;" pela Classe "&amp;MAX(1,$MF101-1),"")))</f>
        <v/>
      </c>
      <c r="PJ101" s="152">
        <f>IF($PI101="",0,(LEN($PI101)-LEN(SUBSTITUTE($PI101," · ","")))/3+1)</f>
        <v/>
      </c>
      <c r="PK101" s="152">
        <f>IF($MQ101=0,IF($OH101+COUNTIF($MO101:$MP101,"?*")&gt;0,"Dê um nome",""),IF($PH101&gt;0,"⚠ "&amp;$PH101&amp;IF($PH101&gt;1," erros"," erro"),IF($PJ101&gt;0,"! "&amp;$PJ101&amp;IF($PJ101&gt;1," avisos"," aviso"),"Na regra")))</f>
        <v/>
      </c>
      <c r="PL101" s="152">
        <f>IF($MQ101=0,"",IF($PH101+$PJ101=0,"Dentro das regras que a ficha confere",$PG101&amp;IF(AND($PH101&gt;0,$PJ101&gt;0)," · ","")&amp;$PI101))</f>
        <v/>
      </c>
      <c r="PM101" s="152">
        <f>IF($MD101&gt;$MR101,$ME101&amp;" · ABRE NO NÍVEL "&amp;$MD101,$ME101)</f>
        <v/>
      </c>
      <c r="PN101" s="152">
        <f>IF($MQ101=0,"",IF($MF101=0,"Sem PE",3*$MF101&amp;" PE"))</f>
        <v/>
      </c>
      <c r="PO101" s="152">
        <f>IF($MQ101=0,"",IF($MF101=0,"A atuação básica dela",IF(COUNTIF($NX101:$NY101,"Atrasar")&gt;0,"Sua Ação Completa",IF(COUNTIF($MK101:$MN101,"Rápido")&gt;0,"Sua Bônus",IF(COUNTIF($MK101:$MN101,"Reação")&gt;0,"Sua Reação","Sua Padrão")))&amp;" + a básica dela"&amp;IF(COUNTIF($MK101:$MN101,"Reação")&gt;0," e a coletiva","")&amp;IF(COUNTIF($NX101:$NY101,"Carregar")&gt;0," · em dois turnos","")))</f>
        <v/>
      </c>
      <c r="PP101" s="152">
        <f>IF($MJ101&lt;&gt;"",$MJ101,IF($MW101=0,"",INDEX($AA$2:$AA$11,$MW101)))</f>
        <v/>
      </c>
      <c r="PQ101" s="152">
        <f>IF(OR($MQ101=0,$MW101=0),"",IF(COUNTIF($MK101:$MN101,"Inescapável")&gt;0,"Automático",IF($PP101="Ataque",IF($MU101="","Ataque","Ataque "&amp;IF(($MU101+2*IF(COUNTIF($MK101:$MN101,"Precisão")&gt;0,1,0))&gt;=0,"+","−")&amp;ABS(($MU101+2*IF(COUNTIF($MK101:$MN101,"Precisão")&gt;0,1,0))))&amp;IF($NQ101&gt;0," · TR"&amp;IF($MV101="",""," CD "&amp;$MV101),""),IF(LEFT($PP101,2)="TR",$PP101&amp;IF($MV101="",""," · CD "&amp;$MV101)&amp;IF(COUNTIF($MK101:$MN101,"Certeiro")&gt;0," · metade",""),"Sem rolagem"))))</f>
        <v/>
      </c>
      <c r="PR101" s="152">
        <f>IF(OR($MQ101=0,$MW101=0),"",IF($MF101=0,IF(OR($NT101&gt;=1,$OQ101=0),"Sem dano",$OQ101&amp;"d6"&amp;IF($MI101="",""," "&amp;$MI101)),IF(OR($NT101&gt;=1,$OQ101=0),UPPER(LEFT(INDEX($OZ101:$PF101,1,MAX(1,$MF101)),1))&amp;MID(INDEX($OZ101:$PF101,1,MAX(1,$MF101)),2,99),UPPER(LEFT(INDEX($OZ101:$PF101,1,MAX(1,$MF101)),1))&amp;MID(INDEX($OZ101:$PF101,1,MAX(1,$MF101)),2,99)&amp;IF($MI101="",""," "&amp;$MI101)&amp;IF($OR101&gt;0," · +"&amp;$OR101&amp;"d8",""))))</f>
        <v/>
      </c>
      <c r="PS101" s="152">
        <f>COUNTIF($MK101:$MN101,"Longe")+3*COUNTIF($MK101:$MN101,"Muito Longe")</f>
        <v/>
      </c>
      <c r="PT101" s="152">
        <f>COUNTIF($MK101:$MN101,"Maior")+3*COUNTIF($MK101:$MN101,"Muito Maior")</f>
        <v/>
      </c>
      <c r="PU101" s="152">
        <f>IF($MW101=0,0,CHOOSE(1+INDEX($AC$2:$AC$11,$MW101),0,$PS101,$PT101,$PS101+$PT101))</f>
        <v/>
      </c>
      <c r="PV101" s="152">
        <f>IF($MW101=0,0,CHOOSE(1+INDEX($AD$2:$AD$11,$MW101),0,$PS101,$PT101,$PS101+$PT101))</f>
        <v/>
      </c>
      <c r="PW101" s="152">
        <f>IF(OR($MQ101=0,$MW101=0),"",INDEX($AI$2:$AN$41,($MW101-1)*4+IF($MF101=0,1,IF($MF101&lt;=5,2,IF($MF101=6,3,4))),1+MIN(5,$PU101))&amp;INDEX($AO$2:$AT$41,($MW101-1)*4+IF($MF101=0,1,IF($MF101&lt;=5,2,IF($MF101=6,3,4))),1+MIN(5,$PV101))&amp;IF(INDEX($AE$2:$AE$11,$MW101)=1,IF(COUNTIF($MK101:$MN101,"Mais Um")&gt;0," · +"&amp;COUNTIF($MK101:$MN101,"Mais Um")&amp;IF(COUNTIF($MK101:$MN101,"Mais Um")&gt;1," alvos"," alvo"),"")&amp;IF(COUNTIF($MK101:$MN101,"Rajada")&gt;0,IF($MF101=0," · 1 tiro"," · "&amp;(MAX(1,$MF101-1)+1)&amp;" tiros"),""),""))</f>
        <v/>
      </c>
      <c r="PX101" s="152">
        <f>IF($MQ101=0,"",IF($MF101=0,$MT101&amp;"d6"&amp;IF($OH101&gt;0," − 1 = "&amp;$OQ101&amp;"d6"," da básica do nível "&amp;$MR101),$OO101&amp;" − "&amp;$OJ101&amp;" + "&amp;$OM101&amp;" = "&amp;$OP101&amp;" · teto "&amp;4*$MF101&amp;"d8"&amp;IF($NS101=1," · a Forma devolve "&amp;$MF101,"")&amp;IF($ON101&gt;0," · perde "&amp;$ON101,"")))</f>
        <v/>
      </c>
      <c r="PY101" s="152">
        <f>IF($MQ101=0,"",IF($MF101=0,"A básica não amplia: os dados dela sobem com o nível",IF($MF101&gt;=$MS101,"Já está na maior Classe que o nível liberou",TEXTJOIN(" · ",TRUE,IF(AND(2&gt;$MF101,2&lt;=$MS101),"2 → "&amp;$PA101&amp;", 6 PE",""),IF(AND(3&gt;$MF101,3&lt;=$MS101),"3 → "&amp;$PB101&amp;", 9 PE",""),IF(AND(4&gt;$MF101,4&lt;=$MS101),"4 → "&amp;$PC101&amp;", 12 PE",""),IF(AND(5&gt;$MF101,5&lt;=$MS101),"5 → "&amp;$PD101&amp;", 15 PE",""),IF(AND(6&gt;$MF101,6&lt;=$MS101),"6 → "&amp;$PE101&amp;", 18 PE",""),IF(AND(7&gt;$MF101,7&lt;=$MS101),"7 → "&amp;$PF101&amp;", 21 PE","")))))</f>
        <v/>
      </c>
      <c r="PZ101" s="152">
        <f>IF(OR($MQ101=0,$NB101=0),"",IF($MF101=0,"−1 dado","−"&amp;INDEX($I$2:$N$8,MAX(1,$MF101),MAX(1,$NG101))&amp;" · "&amp;CHOOSE(MAX(1,$NG101),"Leve","Média","Pesada","Leve · Livre","Média · Livre","Pesada · Livre")))</f>
        <v/>
      </c>
      <c r="QA101" s="152">
        <f>IF(OR($MQ101=0,$NC101=0),"",IF($MF101=0,"−1 dado","−"&amp;INDEX($I$2:$N$8,MAX(1,$MF101),MAX(1,$NH101))&amp;" · "&amp;CHOOSE(MAX(1,$NH101),"Leve","Média","Pesada","Leve · Livre","Média · Livre","Pesada · Livre")))</f>
        <v/>
      </c>
      <c r="QB101" s="152">
        <f>IF(OR($MQ101=0,$ND101=0),"",IF($MF101=0,"−1 dado","−"&amp;INDEX($I$2:$N$8,MAX(1,$MF101),MAX(1,$NI101))&amp;" · "&amp;CHOOSE(MAX(1,$NI101),"Leve","Média","Pesada","Leve · Livre","Média · Livre","Pesada · Livre")))</f>
        <v/>
      </c>
      <c r="QC101" s="152">
        <f>IF(OR($MQ101=0,$NE101=0),"",IF($MF101=0,"−1 dado","−"&amp;INDEX($I$2:$N$8,MAX(1,$MF101),MAX(1,$NJ101))&amp;" · "&amp;CHOOSE(MAX(1,$NJ101),"Leve","Média","Pesada","Leve · Livre","Média · Livre","Pesada · Livre")))</f>
        <v/>
      </c>
      <c r="QD101" s="152">
        <f>IF(OR($MQ101=0,$MO101=""),"",IF($MF101=0,"não devolve","+"&amp;IF($NV101=1,CEILING($MF101/2,1),$MF101)))</f>
        <v/>
      </c>
      <c r="QE101" s="152">
        <f>IF(OR($MQ101=0,$MP101=""),"",IF($MF101=0,"não devolve","+"&amp;IF($NW101=1,CEILING($MF101/2,1),$MF101)))</f>
        <v/>
      </c>
    </row>
    <row r="102">
      <c r="MA102" s="150" t="inlineStr">
        <is>
          <t>Ficha 8 · Especial 8</t>
        </is>
      </c>
      <c r="MB102" s="152" t="n">
        <v>8</v>
      </c>
      <c r="MC102" s="152" t="n">
        <v>1</v>
      </c>
      <c r="MD102" s="152" t="n">
        <v>28</v>
      </c>
      <c r="ME102" s="150" t="inlineStr">
        <is>
          <t>ESPECIAL 8</t>
        </is>
      </c>
      <c r="MF102" s="152">
        <f>MAX(1,MIN(7,N('INVOCAÇÕES'!$AB$334)))</f>
        <v/>
      </c>
      <c r="MG102" s="152">
        <f>'INVOCAÇÕES'!$AC$334&amp;""</f>
        <v/>
      </c>
      <c r="MH102" s="152">
        <f>'INVOCAÇÕES'!$AB$339&amp;""</f>
        <v/>
      </c>
      <c r="MI102" s="152">
        <f>'INVOCAÇÕES'!$AB$340&amp;""</f>
        <v/>
      </c>
      <c r="MJ102" s="152">
        <f>'INVOCAÇÕES'!$AD$340&amp;""</f>
        <v/>
      </c>
      <c r="MK102" s="152">
        <f>'INVOCAÇÕES'!$AC$343&amp;""</f>
        <v/>
      </c>
      <c r="ML102" s="152">
        <f>'INVOCAÇÕES'!$AC$344&amp;""</f>
        <v/>
      </c>
      <c r="MM102" s="152">
        <f>'INVOCAÇÕES'!$AC$345&amp;""</f>
        <v/>
      </c>
      <c r="MN102" s="152">
        <f>'INVOCAÇÕES'!$AC$346&amp;""</f>
        <v/>
      </c>
      <c r="MO102" s="152">
        <f>'INVOCAÇÕES'!$AC$347&amp;""</f>
        <v/>
      </c>
      <c r="MP102" s="152">
        <f>'INVOCAÇÕES'!$AC$348&amp;""</f>
        <v/>
      </c>
      <c r="MQ102" s="152">
        <f>IF($MG102&lt;&gt;"",1,0)</f>
        <v/>
      </c>
      <c r="MR102" s="152">
        <f>INDEX($FI$2:$FI$13,$MB102)</f>
        <v/>
      </c>
      <c r="MS102" s="152">
        <f>INDEX($FJ$2:$FJ$13,$MB102)</f>
        <v/>
      </c>
      <c r="MT102" s="152">
        <f>INDEX($FK$2:$FK$13,$MB102)</f>
        <v/>
      </c>
      <c r="MU102" s="152">
        <f>INDEX($FV$2:$FV$13,$MB102)</f>
        <v/>
      </c>
      <c r="MV102" s="152">
        <f>INDEX($FW$2:$FW$13,$MB102)</f>
        <v/>
      </c>
      <c r="MW102" s="152">
        <f>IFERROR(MATCH($MH102,$V$2:$V$11,0),0)</f>
        <v/>
      </c>
      <c r="MX102" s="152">
        <f>IFERROR(VLOOKUP($MK102,$AV$2:$BA$84,2,FALSE),"")</f>
        <v/>
      </c>
      <c r="MY102" s="152">
        <f>IFERROR(VLOOKUP($ML102,$AV$2:$BA$84,2,FALSE),"")</f>
        <v/>
      </c>
      <c r="MZ102" s="152">
        <f>IFERROR(VLOOKUP($MM102,$AV$2:$BA$84,2,FALSE),"")</f>
        <v/>
      </c>
      <c r="NA102" s="152">
        <f>IFERROR(VLOOKUP($MN102,$AV$2:$BA$84,2,FALSE),"")</f>
        <v/>
      </c>
      <c r="NB102" s="152">
        <f>IFERROR(VLOOKUP($MK102,$AV$2:$BA$84,3,FALSE),0)</f>
        <v/>
      </c>
      <c r="NC102" s="152">
        <f>IFERROR(VLOOKUP($ML102,$AV$2:$BA$84,3,FALSE),0)</f>
        <v/>
      </c>
      <c r="ND102" s="152">
        <f>IFERROR(VLOOKUP($MM102,$AV$2:$BA$84,3,FALSE),0)</f>
        <v/>
      </c>
      <c r="NE102" s="152">
        <f>IFERROR(VLOOKUP($MN102,$AV$2:$BA$84,3,FALSE),0)</f>
        <v/>
      </c>
      <c r="NF102" s="152">
        <f>IF($MF102=0,0,IF($MW102=0,0,INDEX($X$2:$X$11,$MW102)))</f>
        <v/>
      </c>
      <c r="NG102" s="152">
        <f>IF(OR($NB102=0,$MF102=0),0,$NB102+3*IF(AND($MX102&lt;&gt;"",OR($MX102=INDEX($EF$2:$EF$13,$MB102),$MX102=INDEX($EG$2:$EG$13,$MB102))),1,0))</f>
        <v/>
      </c>
      <c r="NH102" s="152">
        <f>IF(OR($NC102=0,$MF102=0),0,$NC102+3*IF(AND($MY102&lt;&gt;"",OR($MY102=INDEX($EF$2:$EF$13,$MB102),$MY102=INDEX($EG$2:$EG$13,$MB102))),1,0))</f>
        <v/>
      </c>
      <c r="NI102" s="152">
        <f>IF(OR($ND102=0,$MF102=0),0,$ND102+3*IF(AND($MZ102&lt;&gt;"",OR($MZ102=INDEX($EF$2:$EF$13,$MB102),$MZ102=INDEX($EG$2:$EG$13,$MB102))),1,0))</f>
        <v/>
      </c>
      <c r="NJ102" s="152">
        <f>IF(OR($NE102=0,$MF102=0),0,$NE102+3*IF(AND($NA102&lt;&gt;"",OR($NA102=INDEX($EF$2:$EF$13,$MB102),$NA102=INDEX($EG$2:$EG$13,$MB102))),1,0))</f>
        <v/>
      </c>
      <c r="NK102" s="152">
        <f>IF($MW102=0,0,IF(INDEX($W$2:$W$11,$MW102)="",0,IF(COUNTIF(INDEX($EF$2:$EJ$13,$MB102,0),INDEX($W$2:$W$11,$MW102))=0,1,0)))</f>
        <v/>
      </c>
      <c r="NL102" s="152">
        <f>IF(OR($NB102=0,$MX102=""),0,IF(COUNTIF(INDEX($EF$2:$EJ$13,$MB102,0),$MX102)=0,1,0))</f>
        <v/>
      </c>
      <c r="NM102" s="152">
        <f>IF(OR($NC102=0,$MY102=""),0,IF(COUNTIF(INDEX($EF$2:$EJ$13,$MB102,0),$MY102)=0,1,0))</f>
        <v/>
      </c>
      <c r="NN102" s="152">
        <f>IF(OR($ND102=0,$MZ102=""),0,IF(COUNTIF(INDEX($EF$2:$EJ$13,$MB102,0),$MZ102)=0,1,0))</f>
        <v/>
      </c>
      <c r="NO102" s="152">
        <f>IF(OR($NE102=0,$NA102=""),0,IF(COUNTIF(INDEX($EF$2:$EJ$13,$MB102,0),$NA102)=0,1,0))</f>
        <v/>
      </c>
      <c r="NP102" s="152">
        <f>IFERROR(VLOOKUP($MK102,$AV$2:$BA$84,4,FALSE),0)+IFERROR(VLOOKUP($ML102,$AV$2:$BA$84,4,FALSE),0)+IFERROR(VLOOKUP($MM102,$AV$2:$BA$84,4,FALSE),0)+IFERROR(VLOOKUP($MN102,$AV$2:$BA$84,4,FALSE),0)</f>
        <v/>
      </c>
      <c r="NQ102" s="152">
        <f>IFERROR(VLOOKUP($MK102,$AV$2:$BA$84,6,FALSE),0)+IFERROR(VLOOKUP($ML102,$AV$2:$BA$84,6,FALSE),0)+IFERROR(VLOOKUP($MM102,$AV$2:$BA$84,6,FALSE),0)+IFERROR(VLOOKUP($MN102,$AV$2:$BA$84,6,FALSE),0)</f>
        <v/>
      </c>
      <c r="NR102" s="152">
        <f>TEXTJOIN(", ",TRUE,IF(IFERROR(VLOOKUP($MK102,$AV$2:$BA$84,5,FALSE),0)=1,$MK102,""),IF(IFERROR(VLOOKUP($ML102,$AV$2:$BA$84,5,FALSE),0)=1,$ML102,""),IF(IFERROR(VLOOKUP($MM102,$AV$2:$BA$84,5,FALSE),0)=1,$MM102,""),IF(IFERROR(VLOOKUP($MN102,$AV$2:$BA$84,5,FALSE),0)=1,$MN102,""))</f>
        <v/>
      </c>
      <c r="NS102" s="152">
        <f>IF($MW102=0,0,INDEX($Y$2:$Y$11,$MW102))</f>
        <v/>
      </c>
      <c r="NT102" s="152">
        <f>IF($MW102=0,0,INDEX($Z$2:$Z$11,$MW102))</f>
        <v/>
      </c>
      <c r="NU102" s="152">
        <f>IF($MW102=0,0,INDEX($AB$2:$AB$11,$MW102))</f>
        <v/>
      </c>
      <c r="NV102" s="152">
        <f>IFERROR(VLOOKUP($MO102,$BC$2:$BG$24,3,FALSE),0)</f>
        <v/>
      </c>
      <c r="NW102" s="152">
        <f>IFERROR(VLOOKUP($MP102,$BC$2:$BG$24,3,FALSE),0)</f>
        <v/>
      </c>
      <c r="NX102" s="152">
        <f>IFERROR(VLOOKUP($MO102,$BC$2:$BG$24,2,FALSE),"")</f>
        <v/>
      </c>
      <c r="NY102" s="152">
        <f>IFERROR(VLOOKUP($MP102,$BC$2:$BG$24,2,FALSE),"")</f>
        <v/>
      </c>
      <c r="NZ102" s="152">
        <f>COUNTIF($NF102:$NJ102,1)</f>
        <v/>
      </c>
      <c r="OA102" s="152">
        <f>COUNTIF($NF102:$NJ102,2)</f>
        <v/>
      </c>
      <c r="OB102" s="152">
        <f>COUNTIF($NF102:$NJ102,3)</f>
        <v/>
      </c>
      <c r="OC102" s="152">
        <f>COUNTIF($NF102:$NJ102,4)</f>
        <v/>
      </c>
      <c r="OD102" s="152">
        <f>COUNTIF($NF102:$NJ102,5)</f>
        <v/>
      </c>
      <c r="OE102" s="152">
        <f>COUNTIF($NF102:$NJ102,6)</f>
        <v/>
      </c>
      <c r="OF102" s="152">
        <f>COUNTIF($NV102:$NW102,1)</f>
        <v/>
      </c>
      <c r="OG102" s="152">
        <f>COUNTIF($NV102:$NW102,2)+$NS102</f>
        <v/>
      </c>
      <c r="OH102" s="152">
        <f>COUNTIF($MK102:$MN102,"?*")</f>
        <v/>
      </c>
      <c r="OI102" s="152">
        <f>COUNTIF($MO102:$MP102,"?*")+$NS102</f>
        <v/>
      </c>
      <c r="OJ102" s="152">
        <f>IF($MF102=0,0,SUMPRODUCT($NZ102:$OE102,INDEX($I$2:$N$8,MAX(1,$MF102),0)))</f>
        <v/>
      </c>
      <c r="OK102" s="152">
        <f>IF($MF102=0,0,$OF102*CEILING($MF102/2,1)+$OG102*$MF102)</f>
        <v/>
      </c>
      <c r="OL102" s="152">
        <f>MIN(2*$MF102,$OK102)</f>
        <v/>
      </c>
      <c r="OM102" s="152">
        <f>MIN($OL102,$OJ102)</f>
        <v/>
      </c>
      <c r="ON102" s="152">
        <f>$OL102-$OM102</f>
        <v/>
      </c>
      <c r="OO102" s="152">
        <f>IF($MF102=0,0,INDEX($P$2:$P$8,MAX(1,$MF102)))</f>
        <v/>
      </c>
      <c r="OP102" s="152">
        <f>$OO102-$OJ102+$OM102</f>
        <v/>
      </c>
      <c r="OQ102" s="152">
        <f>IF($MF102=0,MAX(0,$MT102-IF($OH102&gt;0,1,0)),MAX(0,$OP102))</f>
        <v/>
      </c>
      <c r="OR102" s="152">
        <f>IF($MF102=0,0,(IF(COUNTIF($MK102:$MN102,"Salto")&gt;0,1,0)+IF(COUNTIF($MK102:$MN102,"Queima")&gt;0,1,0)+IF(COUNTIF($MK102:$MN102,"Estilhaço")&gt;0,1,0))*FLOOR($OQ102/2,1))</f>
        <v/>
      </c>
      <c r="OS102" s="152">
        <f>MAX(0,2-SUMPRODUCT($NZ102:$OE102,$I$2:$N$2)+MIN(2,$OF102*1+$OG102*1,SUMPRODUCT($NZ102:$OE102,$I$2:$N$2)))</f>
        <v/>
      </c>
      <c r="OT102" s="152">
        <f>MAX(0,4-SUMPRODUCT($NZ102:$OE102,$I$3:$N$3)+MIN(4,$OF102*1+$OG102*2,SUMPRODUCT($NZ102:$OE102,$I$3:$N$3)))</f>
        <v/>
      </c>
      <c r="OU102" s="152">
        <f>MAX(0,6-SUMPRODUCT($NZ102:$OE102,$I$4:$N$4)+MIN(6,$OF102*2+$OG102*3,SUMPRODUCT($NZ102:$OE102,$I$4:$N$4)))</f>
        <v/>
      </c>
      <c r="OV102" s="152">
        <f>MAX(0,9-SUMPRODUCT($NZ102:$OE102,$I$5:$N$5)+MIN(8,$OF102*2+$OG102*4,SUMPRODUCT($NZ102:$OE102,$I$5:$N$5)))</f>
        <v/>
      </c>
      <c r="OW102" s="152">
        <f>MAX(0,11-SUMPRODUCT($NZ102:$OE102,$I$6:$N$6)+MIN(10,$OF102*3+$OG102*5,SUMPRODUCT($NZ102:$OE102,$I$6:$N$6)))</f>
        <v/>
      </c>
      <c r="OX102" s="152">
        <f>MAX(0,13-SUMPRODUCT($NZ102:$OE102,$I$7:$N$7)+MIN(12,$OF102*3+$OG102*6,SUMPRODUCT($NZ102:$OE102,$I$7:$N$7)))</f>
        <v/>
      </c>
      <c r="OY102" s="152">
        <f>MAX(0,16-SUMPRODUCT($NZ102:$OE102,$I$8:$N$8)+MIN(14,$OF102*4+$OG102*7,SUMPRODUCT($NZ102:$OE102,$I$8:$N$8)))</f>
        <v/>
      </c>
      <c r="OZ102" s="152">
        <f>IF($NT102=2,3*$OS102&amp;" de vida temp.",IF($NT102=3,"sem dano",IF($OS102=0,IF($NT102=1,"sem cura","sem dano"),IF($NT102=1,"cura ","")&amp;$OS102&amp;"d8")))</f>
        <v/>
      </c>
      <c r="PA102" s="152">
        <f>IF($NT102=2,3*$OT102&amp;" de vida temp.",IF($NT102=3,"sem dano",IF($OT102=0,IF($NT102=1,"sem cura","sem dano"),IF($NT102=1,"cura ","")&amp;$OT102&amp;"d8")))</f>
        <v/>
      </c>
      <c r="PB102" s="152">
        <f>IF($NT102=2,3*$OU102&amp;" de vida temp.",IF($NT102=3,"sem dano",IF($OU102=0,IF($NT102=1,"sem cura","sem dano"),IF($NT102=1,"cura ","")&amp;$OU102&amp;"d8")))</f>
        <v/>
      </c>
      <c r="PC102" s="152">
        <f>IF($NT102=2,3*$OV102&amp;" de vida temp.",IF($NT102=3,"sem dano",IF($OV102=0,IF($NT102=1,"sem cura","sem dano"),IF($NT102=1,"cura ","")&amp;$OV102&amp;"d8")))</f>
        <v/>
      </c>
      <c r="PD102" s="152">
        <f>IF($NT102=2,3*$OW102&amp;" de vida temp.",IF($NT102=3,"sem dano",IF($OW102=0,IF($NT102=1,"sem cura","sem dano"),IF($NT102=1,"cura ","")&amp;$OW102&amp;"d8")))</f>
        <v/>
      </c>
      <c r="PE102" s="152">
        <f>IF($NT102=2,3*$OX102&amp;" de vida temp.",IF($NT102=3,"sem dano",IF($OX102=0,IF($NT102=1,"sem cura","sem dano"),IF($NT102=1,"cura ","")&amp;$OX102&amp;"d8")))</f>
        <v/>
      </c>
      <c r="PF102" s="152">
        <f>IF($NT102=2,3*$OY102&amp;" de vida temp.",IF($NT102=3,"sem dano",IF($OY102=0,IF($NT102=1,"sem cura","sem dano"),IF($NT102=1,"cura ","")&amp;$OY102&amp;"d8")))</f>
        <v/>
      </c>
      <c r="PG102" s="152">
        <f>IF($MQ102=0,"",TEXTJOIN(" · ",TRUE,IF($MD102&gt;$MR102,"Este lugar abre no nível "&amp;$MD102,""),IF($MF102&gt;$MS102,"Classe "&amp;$MF102&amp;": o nível "&amp;$MR102&amp;" libera até a "&amp;$MS102,""),IF($NK102=1,"A Forma "&amp;$MH102&amp;" pede "&amp;INDEX($W$2:$W$11,$MW102)&amp;" aberta",""),IF(AND($MF102=0,$MW102&gt;0,IF($MW102=0,0,INDEX($AF$2:$AF$11,$MW102))=0),$MH102&amp;" não existe na Classe 0",""),IF($NL102=1,"Família Fechada: "&amp;$MK102,""),IF($NM102=1,"Família Fechada: "&amp;$ML102,""),IF($NN102=1,"Família Fechada: "&amp;$MM102,""),IF($NO102=1,"Família Fechada: "&amp;$MN102,""),IF(AND($MF102&gt;0,$OH102&gt;INDEX($O$2:$O$8,MAX(1,$MF102))),$OH102&amp;" Melhorias: a Classe "&amp;$MF102&amp;" aceita "&amp;INDEX($O$2:$O$8,MAX(1,$MF102)),""),IF(AND($MF102=0,$OH102&gt;1),"A básica aceita uma Melhoria",""),IF(AND($MF102=0,COUNTIF($NB102:$NE102,"&gt;1")&gt;0),"A básica só aceita Melhoria Leve",""),IF(AND($MF102&gt;0,$OI102&gt;2),$OI102&amp;" Restrições"&amp;IF($NS102=1,", contando a que a Forma "&amp;$MH102&amp;" já traz","")&amp;": o limite é 2",""),IF(AND($MF102=0,COUNTIF($MO102:$MP102,"?*")&gt;1),"A básica aceita uma Restrição Leve",""),IF(AND($MF102=0,COUNTIF($NV102:$NW102,2)&gt;0),"A básica só aceita Restrição Leve",""),IF(AND($MF102&gt;0,$OP102&lt;0),"Orçamento estourado: faltam "&amp;(-$OP102)&amp;IF($OP102&lt;-1," pontos"," ponto"),""),IF(IFERROR(VLOOKUP($MO102,$BC$2:$BG$24,4,FALSE),0)+IFERROR(VLOOKUP($MP102,$BC$2:$BG$24,4,FALSE),0)&gt;1,$NX102&amp;" e "&amp;$NY102&amp;" são as duas de frequência",""),IF(AND((COUNTIF($MK102:$MN102,"Rápido")+COUNTIF($NX102:$NY102,"Rápido"))&gt;0,(COUNTIF($MK102:$MN102,"Atrasar")+COUNTIF($NX102:$NY102,"Atrasar"))&gt;0),"Rápido não entra com Atrasar",""),IF(AND((COUNTIF($MK102:$MN102,"Reação")+COUNTIF($NX102:$NY102,"Reação"))&gt;0,(COUNTIF($MK102:$MN102,"Rápido")+COUNTIF($NX102:$NY102,"Rápido"))&gt;0),"Reação não entra com Rápido",""),IF(AND((COUNTIF($MK102:$MN102,"Reação")+COUNTIF($NX102:$NY102,"Reação"))&gt;0,(COUNTIF($MK102:$MN102,"Armado")+COUNTIF($NX102:$NY102,"Armado"))&gt;0),"Reação não entra com Armado",""),IF(AND((COUNTIF($MK102:$MN102,"Reação")+COUNTIF($NX102:$NY102,"Reação"))&gt;0,(COUNTIF($MK102:$MN102,"Atrasar")+COUNTIF($NX102:$NY102,"Atrasar"))&gt;0),"Reação não entra com Atrasar",""),IF(AND((COUNTIF($MK102:$MN102,"Reação")+COUNTIF($NX102:$NY102,"Reação"))&gt;0,(COUNTIF($MK102:$MN102,"Parado")+COUNTIF($NX102:$NY102,"Parado"))&gt;0),"Reação não entra com Parado",""),IF(AND((COUNTIF($MK102:$MN102,"Atrasar")+COUNTIF($NX102:$NY102,"Atrasar"))&gt;0,(COUNTIF($MK102:$MN102,"Parado")+COUNTIF($NX102:$NY102,"Parado"))&gt;0),"Atrasar não entra com Parado",""),IF(AND((COUNTIF($MK102:$MN102,"Armado")+COUNTIF($NX102:$NY102,"Armado"))&gt;0,(COUNTIF($MK102:$MN102,"Carregar")+COUNTIF($NX102:$NY102,"Carregar"))&gt;0),"Armado não entra com Carregar",""),IF(AND(COUNTIF($NX102:$NY102,"Corpo a Corpo")&gt;0,$NS102=0,OR($MH102="Cone",$MH102="Linha")),"Corpo a Corpo não entra em "&amp;$MH102,""),IF(AND(COUNTIF($NX102:$NY102,"Corpo a Corpo")&gt;0,$NS102=1),"A Forma "&amp;$MH102&amp;" já traz o Corpo a Corpo",""),IF(AND(COUNTIF($NX102:$NY102,"Tudo ou Nada")&gt;0,$NU102=0),"Tudo ou Nada só entra em habilidade de Teste de Resistência",""),IF(AND(COUNTIF($MK102:$MN102,"Inescapável")&gt;0,OR($OH102&gt;1,$OI102&gt;0)),"Inescapável não aceita outra peça",""),IF(AND($MF102&gt;0,$OQ102*IF(COUNTIF($MK102:$MN102,"Remate")&gt;0,1.25,1)+$OR102&gt;4*$MF102),($OQ102*IF(COUNTIF($MK102:$MN102,"Remate")&gt;0,1.25,1)+$OR102)&amp;" dados somando repetições"&amp;IF(COUNTIF($MK102:$MN102,"Remate")&gt;0," e o Remate","")&amp;": o teto da Classe "&amp;$MF102&amp;" é "&amp;4*$MF102,"")))</f>
        <v/>
      </c>
      <c r="PH102" s="152">
        <f>IF($PG102="",0,(LEN($PG102)-LEN(SUBSTITUTE($PG102," · ","")))/3+1)</f>
        <v/>
      </c>
      <c r="PI102" s="152">
        <f>IF($MQ102=0,"",TEXTJOIN(" · ",TRUE,IF($OK102&gt;2*$MF102,"A devolução parou no teto de "&amp;2*$MF102,""),IF($ON102&gt;0,"Devolução perdida: "&amp;$ON102&amp;IF($ON102&gt;1," pontos"," ponto")&amp;" sem peça para pagar",""),IF(AND($NP102&gt;0,AND($MF102&gt;0,$NT102=0),$OQ102=0),"Controle sem dano: uma rodada a mais e CD +2",""),IF(AND($NP102&gt;0,AND($MF102&gt;0,$NT102=0),$OQ102&gt;0,$OQ102&lt;=$MF102),"Controle com saldo até a Classe: uma rodada a mais",""),IF(AND($MF102&gt;0,$NR102&lt;&gt;""),"Efeito de "&amp;$NR102&amp;" pela Classe "&amp;MAX(1,$MF102-1),"")))</f>
        <v/>
      </c>
      <c r="PJ102" s="152">
        <f>IF($PI102="",0,(LEN($PI102)-LEN(SUBSTITUTE($PI102," · ","")))/3+1)</f>
        <v/>
      </c>
      <c r="PK102" s="152">
        <f>IF($MQ102=0,IF($OH102+COUNTIF($MO102:$MP102,"?*")&gt;0,"Dê um nome",""),IF($PH102&gt;0,"⚠ "&amp;$PH102&amp;IF($PH102&gt;1," erros"," erro"),IF($PJ102&gt;0,"! "&amp;$PJ102&amp;IF($PJ102&gt;1," avisos"," aviso"),"Na regra")))</f>
        <v/>
      </c>
      <c r="PL102" s="152">
        <f>IF($MQ102=0,"",IF($PH102+$PJ102=0,"Dentro das regras que a ficha confere",$PG102&amp;IF(AND($PH102&gt;0,$PJ102&gt;0)," · ","")&amp;$PI102))</f>
        <v/>
      </c>
      <c r="PM102" s="152">
        <f>IF($MD102&gt;$MR102,$ME102&amp;" · ABRE NO NÍVEL "&amp;$MD102,$ME102)</f>
        <v/>
      </c>
      <c r="PN102" s="152">
        <f>IF($MQ102=0,"",IF($MF102=0,"Sem PE",3*$MF102&amp;" PE"))</f>
        <v/>
      </c>
      <c r="PO102" s="152">
        <f>IF($MQ102=0,"",IF($MF102=0,"A atuação básica dela",IF(COUNTIF($NX102:$NY102,"Atrasar")&gt;0,"Sua Ação Completa",IF(COUNTIF($MK102:$MN102,"Rápido")&gt;0,"Sua Bônus",IF(COUNTIF($MK102:$MN102,"Reação")&gt;0,"Sua Reação","Sua Padrão")))&amp;" + a básica dela"&amp;IF(COUNTIF($MK102:$MN102,"Reação")&gt;0," e a coletiva","")&amp;IF(COUNTIF($NX102:$NY102,"Carregar")&gt;0," · em dois turnos","")))</f>
        <v/>
      </c>
      <c r="PP102" s="152">
        <f>IF($MJ102&lt;&gt;"",$MJ102,IF($MW102=0,"",INDEX($AA$2:$AA$11,$MW102)))</f>
        <v/>
      </c>
      <c r="PQ102" s="152">
        <f>IF(OR($MQ102=0,$MW102=0),"",IF(COUNTIF($MK102:$MN102,"Inescapável")&gt;0,"Automático",IF($PP102="Ataque",IF($MU102="","Ataque","Ataque "&amp;IF(($MU102+2*IF(COUNTIF($MK102:$MN102,"Precisão")&gt;0,1,0))&gt;=0,"+","−")&amp;ABS(($MU102+2*IF(COUNTIF($MK102:$MN102,"Precisão")&gt;0,1,0))))&amp;IF($NQ102&gt;0," · TR"&amp;IF($MV102="",""," CD "&amp;$MV102),""),IF(LEFT($PP102,2)="TR",$PP102&amp;IF($MV102="",""," · CD "&amp;$MV102)&amp;IF(COUNTIF($MK102:$MN102,"Certeiro")&gt;0," · metade",""),"Sem rolagem"))))</f>
        <v/>
      </c>
      <c r="PR102" s="152">
        <f>IF(OR($MQ102=0,$MW102=0),"",IF($MF102=0,IF(OR($NT102&gt;=1,$OQ102=0),"Sem dano",$OQ102&amp;"d6"&amp;IF($MI102="",""," "&amp;$MI102)),IF(OR($NT102&gt;=1,$OQ102=0),UPPER(LEFT(INDEX($OZ102:$PF102,1,MAX(1,$MF102)),1))&amp;MID(INDEX($OZ102:$PF102,1,MAX(1,$MF102)),2,99),UPPER(LEFT(INDEX($OZ102:$PF102,1,MAX(1,$MF102)),1))&amp;MID(INDEX($OZ102:$PF102,1,MAX(1,$MF102)),2,99)&amp;IF($MI102="",""," "&amp;$MI102)&amp;IF($OR102&gt;0," · +"&amp;$OR102&amp;"d8",""))))</f>
        <v/>
      </c>
      <c r="PS102" s="152">
        <f>COUNTIF($MK102:$MN102,"Longe")+3*COUNTIF($MK102:$MN102,"Muito Longe")</f>
        <v/>
      </c>
      <c r="PT102" s="152">
        <f>COUNTIF($MK102:$MN102,"Maior")+3*COUNTIF($MK102:$MN102,"Muito Maior")</f>
        <v/>
      </c>
      <c r="PU102" s="152">
        <f>IF($MW102=0,0,CHOOSE(1+INDEX($AC$2:$AC$11,$MW102),0,$PS102,$PT102,$PS102+$PT102))</f>
        <v/>
      </c>
      <c r="PV102" s="152">
        <f>IF($MW102=0,0,CHOOSE(1+INDEX($AD$2:$AD$11,$MW102),0,$PS102,$PT102,$PS102+$PT102))</f>
        <v/>
      </c>
      <c r="PW102" s="152">
        <f>IF(OR($MQ102=0,$MW102=0),"",INDEX($AI$2:$AN$41,($MW102-1)*4+IF($MF102=0,1,IF($MF102&lt;=5,2,IF($MF102=6,3,4))),1+MIN(5,$PU102))&amp;INDEX($AO$2:$AT$41,($MW102-1)*4+IF($MF102=0,1,IF($MF102&lt;=5,2,IF($MF102=6,3,4))),1+MIN(5,$PV102))&amp;IF(INDEX($AE$2:$AE$11,$MW102)=1,IF(COUNTIF($MK102:$MN102,"Mais Um")&gt;0," · +"&amp;COUNTIF($MK102:$MN102,"Mais Um")&amp;IF(COUNTIF($MK102:$MN102,"Mais Um")&gt;1," alvos"," alvo"),"")&amp;IF(COUNTIF($MK102:$MN102,"Rajada")&gt;0,IF($MF102=0," · 1 tiro"," · "&amp;(MAX(1,$MF102-1)+1)&amp;" tiros"),""),""))</f>
        <v/>
      </c>
      <c r="PX102" s="152">
        <f>IF($MQ102=0,"",IF($MF102=0,$MT102&amp;"d6"&amp;IF($OH102&gt;0," − 1 = "&amp;$OQ102&amp;"d6"," da básica do nível "&amp;$MR102),$OO102&amp;" − "&amp;$OJ102&amp;" + "&amp;$OM102&amp;" = "&amp;$OP102&amp;" · teto "&amp;4*$MF102&amp;"d8"&amp;IF($NS102=1," · a Forma devolve "&amp;$MF102,"")&amp;IF($ON102&gt;0," · perde "&amp;$ON102,"")))</f>
        <v/>
      </c>
      <c r="PY102" s="152">
        <f>IF($MQ102=0,"",IF($MF102=0,"A básica não amplia: os dados dela sobem com o nível",IF($MF102&gt;=$MS102,"Já está na maior Classe que o nível liberou",TEXTJOIN(" · ",TRUE,IF(AND(2&gt;$MF102,2&lt;=$MS102),"2 → "&amp;$PA102&amp;", 6 PE",""),IF(AND(3&gt;$MF102,3&lt;=$MS102),"3 → "&amp;$PB102&amp;", 9 PE",""),IF(AND(4&gt;$MF102,4&lt;=$MS102),"4 → "&amp;$PC102&amp;", 12 PE",""),IF(AND(5&gt;$MF102,5&lt;=$MS102),"5 → "&amp;$PD102&amp;", 15 PE",""),IF(AND(6&gt;$MF102,6&lt;=$MS102),"6 → "&amp;$PE102&amp;", 18 PE",""),IF(AND(7&gt;$MF102,7&lt;=$MS102),"7 → "&amp;$PF102&amp;", 21 PE","")))))</f>
        <v/>
      </c>
      <c r="PZ102" s="152">
        <f>IF(OR($MQ102=0,$NB102=0),"",IF($MF102=0,"−1 dado","−"&amp;INDEX($I$2:$N$8,MAX(1,$MF102),MAX(1,$NG102))&amp;" · "&amp;CHOOSE(MAX(1,$NG102),"Leve","Média","Pesada","Leve · Livre","Média · Livre","Pesada · Livre")))</f>
        <v/>
      </c>
      <c r="QA102" s="152">
        <f>IF(OR($MQ102=0,$NC102=0),"",IF($MF102=0,"−1 dado","−"&amp;INDEX($I$2:$N$8,MAX(1,$MF102),MAX(1,$NH102))&amp;" · "&amp;CHOOSE(MAX(1,$NH102),"Leve","Média","Pesada","Leve · Livre","Média · Livre","Pesada · Livre")))</f>
        <v/>
      </c>
      <c r="QB102" s="152">
        <f>IF(OR($MQ102=0,$ND102=0),"",IF($MF102=0,"−1 dado","−"&amp;INDEX($I$2:$N$8,MAX(1,$MF102),MAX(1,$NI102))&amp;" · "&amp;CHOOSE(MAX(1,$NI102),"Leve","Média","Pesada","Leve · Livre","Média · Livre","Pesada · Livre")))</f>
        <v/>
      </c>
      <c r="QC102" s="152">
        <f>IF(OR($MQ102=0,$NE102=0),"",IF($MF102=0,"−1 dado","−"&amp;INDEX($I$2:$N$8,MAX(1,$MF102),MAX(1,$NJ102))&amp;" · "&amp;CHOOSE(MAX(1,$NJ102),"Leve","Média","Pesada","Leve · Livre","Média · Livre","Pesada · Livre")))</f>
        <v/>
      </c>
      <c r="QD102" s="152">
        <f>IF(OR($MQ102=0,$MO102=""),"",IF($MF102=0,"não devolve","+"&amp;IF($NV102=1,CEILING($MF102/2,1),$MF102)))</f>
        <v/>
      </c>
      <c r="QE102" s="152">
        <f>IF(OR($MQ102=0,$MP102=""),"",IF($MF102=0,"não devolve","+"&amp;IF($NW102=1,CEILING($MF102/2,1),$MF102)))</f>
        <v/>
      </c>
    </row>
    <row r="103">
      <c r="MA103" s="150" t="inlineStr">
        <is>
          <t>Ficha 8 · Escolha da trilha 1</t>
        </is>
      </c>
      <c r="MB103" s="152" t="n">
        <v>8</v>
      </c>
      <c r="MC103" s="152" t="n">
        <v>2</v>
      </c>
      <c r="MD103" s="152" t="n">
        <v>0</v>
      </c>
      <c r="ME103" s="150" t="inlineStr">
        <is>
          <t>ESCOLHA DA TRILHA 1</t>
        </is>
      </c>
      <c r="MF103" s="152">
        <f>MAX(0,MIN(7,N('INVOCAÇÕES'!$AB$358)))</f>
        <v/>
      </c>
      <c r="MG103" s="152">
        <f>'INVOCAÇÕES'!$AC$358&amp;""</f>
        <v/>
      </c>
      <c r="MH103" s="152">
        <f>'INVOCAÇÕES'!$AB$363&amp;""</f>
        <v/>
      </c>
      <c r="MI103" s="152">
        <f>'INVOCAÇÕES'!$AB$364&amp;""</f>
        <v/>
      </c>
      <c r="MJ103" s="152">
        <f>'INVOCAÇÕES'!$AD$364&amp;""</f>
        <v/>
      </c>
      <c r="MK103" s="152">
        <f>'INVOCAÇÕES'!$AC$367&amp;""</f>
        <v/>
      </c>
      <c r="ML103" s="152">
        <f>'INVOCAÇÕES'!$AC$368&amp;""</f>
        <v/>
      </c>
      <c r="MM103" s="152">
        <f>'INVOCAÇÕES'!$AC$369&amp;""</f>
        <v/>
      </c>
      <c r="MN103" s="152">
        <f>'INVOCAÇÕES'!$AC$370&amp;""</f>
        <v/>
      </c>
      <c r="MO103" s="152">
        <f>'INVOCAÇÕES'!$AC$371&amp;""</f>
        <v/>
      </c>
      <c r="MP103" s="152">
        <f>'INVOCAÇÕES'!$AC$372&amp;""</f>
        <v/>
      </c>
      <c r="MQ103" s="152">
        <f>IF($MG103&lt;&gt;"",1,0)</f>
        <v/>
      </c>
      <c r="MR103" s="152">
        <f>INDEX($FI$2:$FI$13,$MB103)</f>
        <v/>
      </c>
      <c r="MS103" s="152">
        <f>INDEX($FJ$2:$FJ$13,$MB103)</f>
        <v/>
      </c>
      <c r="MT103" s="152">
        <f>INDEX($FK$2:$FK$13,$MB103)</f>
        <v/>
      </c>
      <c r="MU103" s="152">
        <f>INDEX($FV$2:$FV$13,$MB103)</f>
        <v/>
      </c>
      <c r="MV103" s="152">
        <f>INDEX($FW$2:$FW$13,$MB103)</f>
        <v/>
      </c>
      <c r="MW103" s="152">
        <f>IFERROR(MATCH($MH103,$V$2:$V$11,0),0)</f>
        <v/>
      </c>
      <c r="MX103" s="152">
        <f>IFERROR(VLOOKUP($MK103,$AV$2:$BA$84,2,FALSE),"")</f>
        <v/>
      </c>
      <c r="MY103" s="152">
        <f>IFERROR(VLOOKUP($ML103,$AV$2:$BA$84,2,FALSE),"")</f>
        <v/>
      </c>
      <c r="MZ103" s="152">
        <f>IFERROR(VLOOKUP($MM103,$AV$2:$BA$84,2,FALSE),"")</f>
        <v/>
      </c>
      <c r="NA103" s="152">
        <f>IFERROR(VLOOKUP($MN103,$AV$2:$BA$84,2,FALSE),"")</f>
        <v/>
      </c>
      <c r="NB103" s="152">
        <f>IFERROR(VLOOKUP($MK103,$AV$2:$BA$84,3,FALSE),0)</f>
        <v/>
      </c>
      <c r="NC103" s="152">
        <f>IFERROR(VLOOKUP($ML103,$AV$2:$BA$84,3,FALSE),0)</f>
        <v/>
      </c>
      <c r="ND103" s="152">
        <f>IFERROR(VLOOKUP($MM103,$AV$2:$BA$84,3,FALSE),0)</f>
        <v/>
      </c>
      <c r="NE103" s="152">
        <f>IFERROR(VLOOKUP($MN103,$AV$2:$BA$84,3,FALSE),0)</f>
        <v/>
      </c>
      <c r="NF103" s="152">
        <f>IF($MF103=0,0,IF($MW103=0,0,INDEX($X$2:$X$11,$MW103)))</f>
        <v/>
      </c>
      <c r="NG103" s="152">
        <f>IF(OR($NB103=0,$MF103=0),0,$NB103+3*IF(AND($MX103&lt;&gt;"",OR($MX103=INDEX($EF$2:$EF$13,$MB103),$MX103=INDEX($EG$2:$EG$13,$MB103))),1,0))</f>
        <v/>
      </c>
      <c r="NH103" s="152">
        <f>IF(OR($NC103=0,$MF103=0),0,$NC103+3*IF(AND($MY103&lt;&gt;"",OR($MY103=INDEX($EF$2:$EF$13,$MB103),$MY103=INDEX($EG$2:$EG$13,$MB103))),1,0))</f>
        <v/>
      </c>
      <c r="NI103" s="152">
        <f>IF(OR($ND103=0,$MF103=0),0,$ND103+3*IF(AND($MZ103&lt;&gt;"",OR($MZ103=INDEX($EF$2:$EF$13,$MB103),$MZ103=INDEX($EG$2:$EG$13,$MB103))),1,0))</f>
        <v/>
      </c>
      <c r="NJ103" s="152">
        <f>IF(OR($NE103=0,$MF103=0),0,$NE103+3*IF(AND($NA103&lt;&gt;"",OR($NA103=INDEX($EF$2:$EF$13,$MB103),$NA103=INDEX($EG$2:$EG$13,$MB103))),1,0))</f>
        <v/>
      </c>
      <c r="NK103" s="152">
        <f>IF($MW103=0,0,IF(INDEX($W$2:$W$11,$MW103)="",0,IF(COUNTIF(INDEX($EF$2:$EJ$13,$MB103,0),INDEX($W$2:$W$11,$MW103))=0,1,0)))</f>
        <v/>
      </c>
      <c r="NL103" s="152">
        <f>IF(OR($NB103=0,$MX103=""),0,IF(COUNTIF(INDEX($EF$2:$EJ$13,$MB103,0),$MX103)=0,1,0))</f>
        <v/>
      </c>
      <c r="NM103" s="152">
        <f>IF(OR($NC103=0,$MY103=""),0,IF(COUNTIF(INDEX($EF$2:$EJ$13,$MB103,0),$MY103)=0,1,0))</f>
        <v/>
      </c>
      <c r="NN103" s="152">
        <f>IF(OR($ND103=0,$MZ103=""),0,IF(COUNTIF(INDEX($EF$2:$EJ$13,$MB103,0),$MZ103)=0,1,0))</f>
        <v/>
      </c>
      <c r="NO103" s="152">
        <f>IF(OR($NE103=0,$NA103=""),0,IF(COUNTIF(INDEX($EF$2:$EJ$13,$MB103,0),$NA103)=0,1,0))</f>
        <v/>
      </c>
      <c r="NP103" s="152">
        <f>IFERROR(VLOOKUP($MK103,$AV$2:$BA$84,4,FALSE),0)+IFERROR(VLOOKUP($ML103,$AV$2:$BA$84,4,FALSE),0)+IFERROR(VLOOKUP($MM103,$AV$2:$BA$84,4,FALSE),0)+IFERROR(VLOOKUP($MN103,$AV$2:$BA$84,4,FALSE),0)</f>
        <v/>
      </c>
      <c r="NQ103" s="152">
        <f>IFERROR(VLOOKUP($MK103,$AV$2:$BA$84,6,FALSE),0)+IFERROR(VLOOKUP($ML103,$AV$2:$BA$84,6,FALSE),0)+IFERROR(VLOOKUP($MM103,$AV$2:$BA$84,6,FALSE),0)+IFERROR(VLOOKUP($MN103,$AV$2:$BA$84,6,FALSE),0)</f>
        <v/>
      </c>
      <c r="NR103" s="152">
        <f>TEXTJOIN(", ",TRUE,IF(IFERROR(VLOOKUP($MK103,$AV$2:$BA$84,5,FALSE),0)=1,$MK103,""),IF(IFERROR(VLOOKUP($ML103,$AV$2:$BA$84,5,FALSE),0)=1,$ML103,""),IF(IFERROR(VLOOKUP($MM103,$AV$2:$BA$84,5,FALSE),0)=1,$MM103,""),IF(IFERROR(VLOOKUP($MN103,$AV$2:$BA$84,5,FALSE),0)=1,$MN103,""))</f>
        <v/>
      </c>
      <c r="NS103" s="152">
        <f>IF($MW103=0,0,INDEX($Y$2:$Y$11,$MW103))</f>
        <v/>
      </c>
      <c r="NT103" s="152">
        <f>IF($MW103=0,0,INDEX($Z$2:$Z$11,$MW103))</f>
        <v/>
      </c>
      <c r="NU103" s="152">
        <f>IF($MW103=0,0,INDEX($AB$2:$AB$11,$MW103))</f>
        <v/>
      </c>
      <c r="NV103" s="152">
        <f>IFERROR(VLOOKUP($MO103,$BC$2:$BG$24,3,FALSE),0)</f>
        <v/>
      </c>
      <c r="NW103" s="152">
        <f>IFERROR(VLOOKUP($MP103,$BC$2:$BG$24,3,FALSE),0)</f>
        <v/>
      </c>
      <c r="NX103" s="152">
        <f>IFERROR(VLOOKUP($MO103,$BC$2:$BG$24,2,FALSE),"")</f>
        <v/>
      </c>
      <c r="NY103" s="152">
        <f>IFERROR(VLOOKUP($MP103,$BC$2:$BG$24,2,FALSE),"")</f>
        <v/>
      </c>
      <c r="NZ103" s="152">
        <f>COUNTIF($NF103:$NJ103,1)</f>
        <v/>
      </c>
      <c r="OA103" s="152">
        <f>COUNTIF($NF103:$NJ103,2)</f>
        <v/>
      </c>
      <c r="OB103" s="152">
        <f>COUNTIF($NF103:$NJ103,3)</f>
        <v/>
      </c>
      <c r="OC103" s="152">
        <f>COUNTIF($NF103:$NJ103,4)</f>
        <v/>
      </c>
      <c r="OD103" s="152">
        <f>COUNTIF($NF103:$NJ103,5)</f>
        <v/>
      </c>
      <c r="OE103" s="152">
        <f>COUNTIF($NF103:$NJ103,6)</f>
        <v/>
      </c>
      <c r="OF103" s="152">
        <f>COUNTIF($NV103:$NW103,1)</f>
        <v/>
      </c>
      <c r="OG103" s="152">
        <f>COUNTIF($NV103:$NW103,2)+$NS103</f>
        <v/>
      </c>
      <c r="OH103" s="152">
        <f>COUNTIF($MK103:$MN103,"?*")</f>
        <v/>
      </c>
      <c r="OI103" s="152">
        <f>COUNTIF($MO103:$MP103,"?*")+$NS103</f>
        <v/>
      </c>
      <c r="OJ103" s="152">
        <f>IF($MF103=0,0,SUMPRODUCT($NZ103:$OE103,INDEX($I$2:$N$8,MAX(1,$MF103),0)))</f>
        <v/>
      </c>
      <c r="OK103" s="152">
        <f>IF($MF103=0,0,$OF103*CEILING($MF103/2,1)+$OG103*$MF103)</f>
        <v/>
      </c>
      <c r="OL103" s="152">
        <f>MIN(2*$MF103,$OK103)</f>
        <v/>
      </c>
      <c r="OM103" s="152">
        <f>MIN($OL103,$OJ103)</f>
        <v/>
      </c>
      <c r="ON103" s="152">
        <f>$OL103-$OM103</f>
        <v/>
      </c>
      <c r="OO103" s="152">
        <f>IF($MF103=0,0,INDEX($P$2:$P$8,MAX(1,$MF103)))</f>
        <v/>
      </c>
      <c r="OP103" s="152">
        <f>$OO103-$OJ103+$OM103</f>
        <v/>
      </c>
      <c r="OQ103" s="152">
        <f>IF($MF103=0,MAX(0,$MT103-IF($OH103&gt;0,1,0)),MAX(0,$OP103))</f>
        <v/>
      </c>
      <c r="OR103" s="152">
        <f>IF($MF103=0,0,(IF(COUNTIF($MK103:$MN103,"Salto")&gt;0,1,0)+IF(COUNTIF($MK103:$MN103,"Queima")&gt;0,1,0)+IF(COUNTIF($MK103:$MN103,"Estilhaço")&gt;0,1,0))*FLOOR($OQ103/2,1))</f>
        <v/>
      </c>
      <c r="OS103" s="152">
        <f>MAX(0,2-SUMPRODUCT($NZ103:$OE103,$I$2:$N$2)+MIN(2,$OF103*1+$OG103*1,SUMPRODUCT($NZ103:$OE103,$I$2:$N$2)))</f>
        <v/>
      </c>
      <c r="OT103" s="152">
        <f>MAX(0,4-SUMPRODUCT($NZ103:$OE103,$I$3:$N$3)+MIN(4,$OF103*1+$OG103*2,SUMPRODUCT($NZ103:$OE103,$I$3:$N$3)))</f>
        <v/>
      </c>
      <c r="OU103" s="152">
        <f>MAX(0,6-SUMPRODUCT($NZ103:$OE103,$I$4:$N$4)+MIN(6,$OF103*2+$OG103*3,SUMPRODUCT($NZ103:$OE103,$I$4:$N$4)))</f>
        <v/>
      </c>
      <c r="OV103" s="152">
        <f>MAX(0,9-SUMPRODUCT($NZ103:$OE103,$I$5:$N$5)+MIN(8,$OF103*2+$OG103*4,SUMPRODUCT($NZ103:$OE103,$I$5:$N$5)))</f>
        <v/>
      </c>
      <c r="OW103" s="152">
        <f>MAX(0,11-SUMPRODUCT($NZ103:$OE103,$I$6:$N$6)+MIN(10,$OF103*3+$OG103*5,SUMPRODUCT($NZ103:$OE103,$I$6:$N$6)))</f>
        <v/>
      </c>
      <c r="OX103" s="152">
        <f>MAX(0,13-SUMPRODUCT($NZ103:$OE103,$I$7:$N$7)+MIN(12,$OF103*3+$OG103*6,SUMPRODUCT($NZ103:$OE103,$I$7:$N$7)))</f>
        <v/>
      </c>
      <c r="OY103" s="152">
        <f>MAX(0,16-SUMPRODUCT($NZ103:$OE103,$I$8:$N$8)+MIN(14,$OF103*4+$OG103*7,SUMPRODUCT($NZ103:$OE103,$I$8:$N$8)))</f>
        <v/>
      </c>
      <c r="OZ103" s="152">
        <f>IF($NT103=2,3*$OS103&amp;" de vida temp.",IF($NT103=3,"sem dano",IF($OS103=0,IF($NT103=1,"sem cura","sem dano"),IF($NT103=1,"cura ","")&amp;$OS103&amp;"d8")))</f>
        <v/>
      </c>
      <c r="PA103" s="152">
        <f>IF($NT103=2,3*$OT103&amp;" de vida temp.",IF($NT103=3,"sem dano",IF($OT103=0,IF($NT103=1,"sem cura","sem dano"),IF($NT103=1,"cura ","")&amp;$OT103&amp;"d8")))</f>
        <v/>
      </c>
      <c r="PB103" s="152">
        <f>IF($NT103=2,3*$OU103&amp;" de vida temp.",IF($NT103=3,"sem dano",IF($OU103=0,IF($NT103=1,"sem cura","sem dano"),IF($NT103=1,"cura ","")&amp;$OU103&amp;"d8")))</f>
        <v/>
      </c>
      <c r="PC103" s="152">
        <f>IF($NT103=2,3*$OV103&amp;" de vida temp.",IF($NT103=3,"sem dano",IF($OV103=0,IF($NT103=1,"sem cura","sem dano"),IF($NT103=1,"cura ","")&amp;$OV103&amp;"d8")))</f>
        <v/>
      </c>
      <c r="PD103" s="152">
        <f>IF($NT103=2,3*$OW103&amp;" de vida temp.",IF($NT103=3,"sem dano",IF($OW103=0,IF($NT103=1,"sem cura","sem dano"),IF($NT103=1,"cura ","")&amp;$OW103&amp;"d8")))</f>
        <v/>
      </c>
      <c r="PE103" s="152">
        <f>IF($NT103=2,3*$OX103&amp;" de vida temp.",IF($NT103=3,"sem dano",IF($OX103=0,IF($NT103=1,"sem cura","sem dano"),IF($NT103=1,"cura ","")&amp;$OX103&amp;"d8")))</f>
        <v/>
      </c>
      <c r="PF103" s="152">
        <f>IF($NT103=2,3*$OY103&amp;" de vida temp.",IF($NT103=3,"sem dano",IF($OY103=0,IF($NT103=1,"sem cura","sem dano"),IF($NT103=1,"cura ","")&amp;$OY103&amp;"d8")))</f>
        <v/>
      </c>
      <c r="PG103" s="152">
        <f>IF($MQ103=0,"",TEXTJOIN(" · ",TRUE,IF($MD103&gt;$MR103,"Este lugar abre no nível "&amp;$MD103,""),IF($MF103&gt;$MS103,"Classe "&amp;$MF103&amp;": o nível "&amp;$MR103&amp;" libera até a "&amp;$MS103,""),IF($NK103=1,"A Forma "&amp;$MH103&amp;" pede "&amp;INDEX($W$2:$W$11,$MW103)&amp;" aberta",""),IF(AND($MF103=0,$MW103&gt;0,IF($MW103=0,0,INDEX($AF$2:$AF$11,$MW103))=0),$MH103&amp;" não existe na Classe 0",""),IF($NL103=1,"Família Fechada: "&amp;$MK103,""),IF($NM103=1,"Família Fechada: "&amp;$ML103,""),IF($NN103=1,"Família Fechada: "&amp;$MM103,""),IF($NO103=1,"Família Fechada: "&amp;$MN103,""),IF(AND($MF103&gt;0,$OH103&gt;INDEX($O$2:$O$8,MAX(1,$MF103))),$OH103&amp;" Melhorias: a Classe "&amp;$MF103&amp;" aceita "&amp;INDEX($O$2:$O$8,MAX(1,$MF103)),""),IF(AND($MF103=0,$OH103&gt;1),"A básica aceita uma Melhoria",""),IF(AND($MF103=0,COUNTIF($NB103:$NE103,"&gt;1")&gt;0),"A básica só aceita Melhoria Leve",""),IF(AND($MF103&gt;0,$OI103&gt;2),$OI103&amp;" Restrições"&amp;IF($NS103=1,", contando a que a Forma "&amp;$MH103&amp;" já traz","")&amp;": o limite é 2",""),IF(AND($MF103=0,COUNTIF($MO103:$MP103,"?*")&gt;1),"A básica aceita uma Restrição Leve",""),IF(AND($MF103=0,COUNTIF($NV103:$NW103,2)&gt;0),"A básica só aceita Restrição Leve",""),IF(AND($MF103&gt;0,$OP103&lt;0),"Orçamento estourado: faltam "&amp;(-$OP103)&amp;IF($OP103&lt;-1," pontos"," ponto"),""),IF(IFERROR(VLOOKUP($MO103,$BC$2:$BG$24,4,FALSE),0)+IFERROR(VLOOKUP($MP103,$BC$2:$BG$24,4,FALSE),0)&gt;1,$NX103&amp;" e "&amp;$NY103&amp;" são as duas de frequência",""),IF(AND((COUNTIF($MK103:$MN103,"Rápido")+COUNTIF($NX103:$NY103,"Rápido"))&gt;0,(COUNTIF($MK103:$MN103,"Atrasar")+COUNTIF($NX103:$NY103,"Atrasar"))&gt;0),"Rápido não entra com Atrasar",""),IF(AND((COUNTIF($MK103:$MN103,"Reação")+COUNTIF($NX103:$NY103,"Reação"))&gt;0,(COUNTIF($MK103:$MN103,"Rápido")+COUNTIF($NX103:$NY103,"Rápido"))&gt;0),"Reação não entra com Rápido",""),IF(AND((COUNTIF($MK103:$MN103,"Reação")+COUNTIF($NX103:$NY103,"Reação"))&gt;0,(COUNTIF($MK103:$MN103,"Armado")+COUNTIF($NX103:$NY103,"Armado"))&gt;0),"Reação não entra com Armado",""),IF(AND((COUNTIF($MK103:$MN103,"Reação")+COUNTIF($NX103:$NY103,"Reação"))&gt;0,(COUNTIF($MK103:$MN103,"Atrasar")+COUNTIF($NX103:$NY103,"Atrasar"))&gt;0),"Reação não entra com Atrasar",""),IF(AND((COUNTIF($MK103:$MN103,"Reação")+COUNTIF($NX103:$NY103,"Reação"))&gt;0,(COUNTIF($MK103:$MN103,"Parado")+COUNTIF($NX103:$NY103,"Parado"))&gt;0),"Reação não entra com Parado",""),IF(AND((COUNTIF($MK103:$MN103,"Atrasar")+COUNTIF($NX103:$NY103,"Atrasar"))&gt;0,(COUNTIF($MK103:$MN103,"Parado")+COUNTIF($NX103:$NY103,"Parado"))&gt;0),"Atrasar não entra com Parado",""),IF(AND((COUNTIF($MK103:$MN103,"Armado")+COUNTIF($NX103:$NY103,"Armado"))&gt;0,(COUNTIF($MK103:$MN103,"Carregar")+COUNTIF($NX103:$NY103,"Carregar"))&gt;0),"Armado não entra com Carregar",""),IF(AND(COUNTIF($NX103:$NY103,"Corpo a Corpo")&gt;0,$NS103=0,OR($MH103="Cone",$MH103="Linha")),"Corpo a Corpo não entra em "&amp;$MH103,""),IF(AND(COUNTIF($NX103:$NY103,"Corpo a Corpo")&gt;0,$NS103=1),"A Forma "&amp;$MH103&amp;" já traz o Corpo a Corpo",""),IF(AND(COUNTIF($NX103:$NY103,"Tudo ou Nada")&gt;0,$NU103=0),"Tudo ou Nada só entra em habilidade de Teste de Resistência",""),IF(AND(COUNTIF($MK103:$MN103,"Inescapável")&gt;0,OR($OH103&gt;1,$OI103&gt;0)),"Inescapável não aceita outra peça",""),IF(AND($MF103&gt;0,$OQ103*IF(COUNTIF($MK103:$MN103,"Remate")&gt;0,1.25,1)+$OR103&gt;4*$MF103),($OQ103*IF(COUNTIF($MK103:$MN103,"Remate")&gt;0,1.25,1)+$OR103)&amp;" dados somando repetições"&amp;IF(COUNTIF($MK103:$MN103,"Remate")&gt;0," e o Remate","")&amp;": o teto da Classe "&amp;$MF103&amp;" é "&amp;4*$MF103,"")))</f>
        <v/>
      </c>
      <c r="PH103" s="152">
        <f>IF($PG103="",0,(LEN($PG103)-LEN(SUBSTITUTE($PG103," · ","")))/3+1)</f>
        <v/>
      </c>
      <c r="PI103" s="152">
        <f>IF($MQ103=0,"",TEXTJOIN(" · ",TRUE,IF($OK103&gt;2*$MF103,"A devolução parou no teto de "&amp;2*$MF103,""),IF($ON103&gt;0,"Devolução perdida: "&amp;$ON103&amp;IF($ON103&gt;1," pontos"," ponto")&amp;" sem peça para pagar",""),IF(AND($NP103&gt;0,AND($MF103&gt;0,$NT103=0),$OQ103=0),"Controle sem dano: uma rodada a mais e CD +2",""),IF(AND($NP103&gt;0,AND($MF103&gt;0,$NT103=0),$OQ103&gt;0,$OQ103&lt;=$MF103),"Controle com saldo até a Classe: uma rodada a mais",""),IF(AND($MF103&gt;0,$NR103&lt;&gt;""),"Efeito de "&amp;$NR103&amp;" pela Classe "&amp;MAX(1,$MF103-1),"")))</f>
        <v/>
      </c>
      <c r="PJ103" s="152">
        <f>IF($PI103="",0,(LEN($PI103)-LEN(SUBSTITUTE($PI103," · ","")))/3+1)</f>
        <v/>
      </c>
      <c r="PK103" s="152">
        <f>IF($MQ103=0,IF($OH103+COUNTIF($MO103:$MP103,"?*")&gt;0,"Dê um nome",""),IF($PH103&gt;0,"⚠ "&amp;$PH103&amp;IF($PH103&gt;1," erros"," erro"),IF($PJ103&gt;0,"! "&amp;$PJ103&amp;IF($PJ103&gt;1," avisos"," aviso"),"Na regra")))</f>
        <v/>
      </c>
      <c r="PL103" s="152">
        <f>IF($MQ103=0,"",IF($PH103+$PJ103=0,"Dentro das regras que a ficha confere",$PG103&amp;IF(AND($PH103&gt;0,$PJ103&gt;0)," · ","")&amp;$PI103))</f>
        <v/>
      </c>
      <c r="PM103" s="152">
        <f>IF($MD103&gt;$MR103,$ME103&amp;" · ABRE NO NÍVEL "&amp;$MD103,$ME103)</f>
        <v/>
      </c>
      <c r="PN103" s="152">
        <f>IF($MQ103=0,"",IF($MF103=0,"Sem PE",3*$MF103&amp;" PE"))</f>
        <v/>
      </c>
      <c r="PO103" s="152">
        <f>IF($MQ103=0,"",IF($MF103=0,"A atuação básica dela",IF(COUNTIF($NX103:$NY103,"Atrasar")&gt;0,"Sua Ação Completa",IF(COUNTIF($MK103:$MN103,"Rápido")&gt;0,"Sua Bônus",IF(COUNTIF($MK103:$MN103,"Reação")&gt;0,"Sua Reação","Sua Padrão")))&amp;" + a básica dela"&amp;IF(COUNTIF($MK103:$MN103,"Reação")&gt;0," e a coletiva","")&amp;IF(COUNTIF($NX103:$NY103,"Carregar")&gt;0," · em dois turnos","")))</f>
        <v/>
      </c>
      <c r="PP103" s="152">
        <f>IF($MJ103&lt;&gt;"",$MJ103,IF($MW103=0,"",INDEX($AA$2:$AA$11,$MW103)))</f>
        <v/>
      </c>
      <c r="PQ103" s="152">
        <f>IF(OR($MQ103=0,$MW103=0),"",IF(COUNTIF($MK103:$MN103,"Inescapável")&gt;0,"Automático",IF($PP103="Ataque",IF($MU103="","Ataque","Ataque "&amp;IF(($MU103+2*IF(COUNTIF($MK103:$MN103,"Precisão")&gt;0,1,0))&gt;=0,"+","−")&amp;ABS(($MU103+2*IF(COUNTIF($MK103:$MN103,"Precisão")&gt;0,1,0))))&amp;IF($NQ103&gt;0," · TR"&amp;IF($MV103="",""," CD "&amp;$MV103),""),IF(LEFT($PP103,2)="TR",$PP103&amp;IF($MV103="",""," · CD "&amp;$MV103)&amp;IF(COUNTIF($MK103:$MN103,"Certeiro")&gt;0," · metade",""),"Sem rolagem"))))</f>
        <v/>
      </c>
      <c r="PR103" s="152">
        <f>IF(OR($MQ103=0,$MW103=0),"",IF($MF103=0,IF(OR($NT103&gt;=1,$OQ103=0),"Sem dano",$OQ103&amp;"d6"&amp;IF($MI103="",""," "&amp;$MI103)),IF(OR($NT103&gt;=1,$OQ103=0),UPPER(LEFT(INDEX($OZ103:$PF103,1,MAX(1,$MF103)),1))&amp;MID(INDEX($OZ103:$PF103,1,MAX(1,$MF103)),2,99),UPPER(LEFT(INDEX($OZ103:$PF103,1,MAX(1,$MF103)),1))&amp;MID(INDEX($OZ103:$PF103,1,MAX(1,$MF103)),2,99)&amp;IF($MI103="",""," "&amp;$MI103)&amp;IF($OR103&gt;0," · +"&amp;$OR103&amp;"d8",""))))</f>
        <v/>
      </c>
      <c r="PS103" s="152">
        <f>COUNTIF($MK103:$MN103,"Longe")+3*COUNTIF($MK103:$MN103,"Muito Longe")</f>
        <v/>
      </c>
      <c r="PT103" s="152">
        <f>COUNTIF($MK103:$MN103,"Maior")+3*COUNTIF($MK103:$MN103,"Muito Maior")</f>
        <v/>
      </c>
      <c r="PU103" s="152">
        <f>IF($MW103=0,0,CHOOSE(1+INDEX($AC$2:$AC$11,$MW103),0,$PS103,$PT103,$PS103+$PT103))</f>
        <v/>
      </c>
      <c r="PV103" s="152">
        <f>IF($MW103=0,0,CHOOSE(1+INDEX($AD$2:$AD$11,$MW103),0,$PS103,$PT103,$PS103+$PT103))</f>
        <v/>
      </c>
      <c r="PW103" s="152">
        <f>IF(OR($MQ103=0,$MW103=0),"",INDEX($AI$2:$AN$41,($MW103-1)*4+IF($MF103=0,1,IF($MF103&lt;=5,2,IF($MF103=6,3,4))),1+MIN(5,$PU103))&amp;INDEX($AO$2:$AT$41,($MW103-1)*4+IF($MF103=0,1,IF($MF103&lt;=5,2,IF($MF103=6,3,4))),1+MIN(5,$PV103))&amp;IF(INDEX($AE$2:$AE$11,$MW103)=1,IF(COUNTIF($MK103:$MN103,"Mais Um")&gt;0," · +"&amp;COUNTIF($MK103:$MN103,"Mais Um")&amp;IF(COUNTIF($MK103:$MN103,"Mais Um")&gt;1," alvos"," alvo"),"")&amp;IF(COUNTIF($MK103:$MN103,"Rajada")&gt;0,IF($MF103=0," · 1 tiro"," · "&amp;(MAX(1,$MF103-1)+1)&amp;" tiros"),""),""))</f>
        <v/>
      </c>
      <c r="PX103" s="152">
        <f>IF($MQ103=0,"",IF($MF103=0,$MT103&amp;"d6"&amp;IF($OH103&gt;0," − 1 = "&amp;$OQ103&amp;"d6"," da básica do nível "&amp;$MR103),$OO103&amp;" − "&amp;$OJ103&amp;" + "&amp;$OM103&amp;" = "&amp;$OP103&amp;" · teto "&amp;4*$MF103&amp;"d8"&amp;IF($NS103=1," · a Forma devolve "&amp;$MF103,"")&amp;IF($ON103&gt;0," · perde "&amp;$ON103,"")))</f>
        <v/>
      </c>
      <c r="PY103" s="152">
        <f>IF($MQ103=0,"",IF($MF103=0,"A básica não amplia: os dados dela sobem com o nível",IF($MF103&gt;=$MS103,"Já está na maior Classe que o nível liberou",TEXTJOIN(" · ",TRUE,IF(AND(2&gt;$MF103,2&lt;=$MS103),"2 → "&amp;$PA103&amp;", 6 PE",""),IF(AND(3&gt;$MF103,3&lt;=$MS103),"3 → "&amp;$PB103&amp;", 9 PE",""),IF(AND(4&gt;$MF103,4&lt;=$MS103),"4 → "&amp;$PC103&amp;", 12 PE",""),IF(AND(5&gt;$MF103,5&lt;=$MS103),"5 → "&amp;$PD103&amp;", 15 PE",""),IF(AND(6&gt;$MF103,6&lt;=$MS103),"6 → "&amp;$PE103&amp;", 18 PE",""),IF(AND(7&gt;$MF103,7&lt;=$MS103),"7 → "&amp;$PF103&amp;", 21 PE","")))))</f>
        <v/>
      </c>
      <c r="PZ103" s="152">
        <f>IF(OR($MQ103=0,$NB103=0),"",IF($MF103=0,"−1 dado","−"&amp;INDEX($I$2:$N$8,MAX(1,$MF103),MAX(1,$NG103))&amp;" · "&amp;CHOOSE(MAX(1,$NG103),"Leve","Média","Pesada","Leve · Livre","Média · Livre","Pesada · Livre")))</f>
        <v/>
      </c>
      <c r="QA103" s="152">
        <f>IF(OR($MQ103=0,$NC103=0),"",IF($MF103=0,"−1 dado","−"&amp;INDEX($I$2:$N$8,MAX(1,$MF103),MAX(1,$NH103))&amp;" · "&amp;CHOOSE(MAX(1,$NH103),"Leve","Média","Pesada","Leve · Livre","Média · Livre","Pesada · Livre")))</f>
        <v/>
      </c>
      <c r="QB103" s="152">
        <f>IF(OR($MQ103=0,$ND103=0),"",IF($MF103=0,"−1 dado","−"&amp;INDEX($I$2:$N$8,MAX(1,$MF103),MAX(1,$NI103))&amp;" · "&amp;CHOOSE(MAX(1,$NI103),"Leve","Média","Pesada","Leve · Livre","Média · Livre","Pesada · Livre")))</f>
        <v/>
      </c>
      <c r="QC103" s="152">
        <f>IF(OR($MQ103=0,$NE103=0),"",IF($MF103=0,"−1 dado","−"&amp;INDEX($I$2:$N$8,MAX(1,$MF103),MAX(1,$NJ103))&amp;" · "&amp;CHOOSE(MAX(1,$NJ103),"Leve","Média","Pesada","Leve · Livre","Média · Livre","Pesada · Livre")))</f>
        <v/>
      </c>
      <c r="QD103" s="152">
        <f>IF(OR($MQ103=0,$MO103=""),"",IF($MF103=0,"não devolve","+"&amp;IF($NV103=1,CEILING($MF103/2,1),$MF103)))</f>
        <v/>
      </c>
      <c r="QE103" s="152">
        <f>IF(OR($MQ103=0,$MP103=""),"",IF($MF103=0,"não devolve","+"&amp;IF($NW103=1,CEILING($MF103/2,1),$MF103)))</f>
        <v/>
      </c>
    </row>
    <row r="104">
      <c r="MA104" s="150" t="inlineStr">
        <is>
          <t>Ficha 8 · Escolha da trilha 2</t>
        </is>
      </c>
      <c r="MB104" s="152" t="n">
        <v>8</v>
      </c>
      <c r="MC104" s="152" t="n">
        <v>2</v>
      </c>
      <c r="MD104" s="152" t="n">
        <v>0</v>
      </c>
      <c r="ME104" s="150" t="inlineStr">
        <is>
          <t>ESCOLHA DA TRILHA 2</t>
        </is>
      </c>
      <c r="MF104" s="152">
        <f>MAX(0,MIN(7,N('INVOCAÇÕES'!$AH$358)))</f>
        <v/>
      </c>
      <c r="MG104" s="152">
        <f>'INVOCAÇÕES'!$AI$358&amp;""</f>
        <v/>
      </c>
      <c r="MH104" s="152">
        <f>'INVOCAÇÕES'!$AH$363&amp;""</f>
        <v/>
      </c>
      <c r="MI104" s="152">
        <f>'INVOCAÇÕES'!$AH$364&amp;""</f>
        <v/>
      </c>
      <c r="MJ104" s="152">
        <f>'INVOCAÇÕES'!$AJ$364&amp;""</f>
        <v/>
      </c>
      <c r="MK104" s="152">
        <f>'INVOCAÇÕES'!$AI$367&amp;""</f>
        <v/>
      </c>
      <c r="ML104" s="152">
        <f>'INVOCAÇÕES'!$AI$368&amp;""</f>
        <v/>
      </c>
      <c r="MM104" s="152">
        <f>'INVOCAÇÕES'!$AI$369&amp;""</f>
        <v/>
      </c>
      <c r="MN104" s="152">
        <f>'INVOCAÇÕES'!$AI$370&amp;""</f>
        <v/>
      </c>
      <c r="MO104" s="152">
        <f>'INVOCAÇÕES'!$AI$371&amp;""</f>
        <v/>
      </c>
      <c r="MP104" s="152">
        <f>'INVOCAÇÕES'!$AI$372&amp;""</f>
        <v/>
      </c>
      <c r="MQ104" s="152">
        <f>IF($MG104&lt;&gt;"",1,0)</f>
        <v/>
      </c>
      <c r="MR104" s="152">
        <f>INDEX($FI$2:$FI$13,$MB104)</f>
        <v/>
      </c>
      <c r="MS104" s="152">
        <f>INDEX($FJ$2:$FJ$13,$MB104)</f>
        <v/>
      </c>
      <c r="MT104" s="152">
        <f>INDEX($FK$2:$FK$13,$MB104)</f>
        <v/>
      </c>
      <c r="MU104" s="152">
        <f>INDEX($FV$2:$FV$13,$MB104)</f>
        <v/>
      </c>
      <c r="MV104" s="152">
        <f>INDEX($FW$2:$FW$13,$MB104)</f>
        <v/>
      </c>
      <c r="MW104" s="152">
        <f>IFERROR(MATCH($MH104,$V$2:$V$11,0),0)</f>
        <v/>
      </c>
      <c r="MX104" s="152">
        <f>IFERROR(VLOOKUP($MK104,$AV$2:$BA$84,2,FALSE),"")</f>
        <v/>
      </c>
      <c r="MY104" s="152">
        <f>IFERROR(VLOOKUP($ML104,$AV$2:$BA$84,2,FALSE),"")</f>
        <v/>
      </c>
      <c r="MZ104" s="152">
        <f>IFERROR(VLOOKUP($MM104,$AV$2:$BA$84,2,FALSE),"")</f>
        <v/>
      </c>
      <c r="NA104" s="152">
        <f>IFERROR(VLOOKUP($MN104,$AV$2:$BA$84,2,FALSE),"")</f>
        <v/>
      </c>
      <c r="NB104" s="152">
        <f>IFERROR(VLOOKUP($MK104,$AV$2:$BA$84,3,FALSE),0)</f>
        <v/>
      </c>
      <c r="NC104" s="152">
        <f>IFERROR(VLOOKUP($ML104,$AV$2:$BA$84,3,FALSE),0)</f>
        <v/>
      </c>
      <c r="ND104" s="152">
        <f>IFERROR(VLOOKUP($MM104,$AV$2:$BA$84,3,FALSE),0)</f>
        <v/>
      </c>
      <c r="NE104" s="152">
        <f>IFERROR(VLOOKUP($MN104,$AV$2:$BA$84,3,FALSE),0)</f>
        <v/>
      </c>
      <c r="NF104" s="152">
        <f>IF($MF104=0,0,IF($MW104=0,0,INDEX($X$2:$X$11,$MW104)))</f>
        <v/>
      </c>
      <c r="NG104" s="152">
        <f>IF(OR($NB104=0,$MF104=0),0,$NB104+3*IF(AND($MX104&lt;&gt;"",OR($MX104=INDEX($EF$2:$EF$13,$MB104),$MX104=INDEX($EG$2:$EG$13,$MB104))),1,0))</f>
        <v/>
      </c>
      <c r="NH104" s="152">
        <f>IF(OR($NC104=0,$MF104=0),0,$NC104+3*IF(AND($MY104&lt;&gt;"",OR($MY104=INDEX($EF$2:$EF$13,$MB104),$MY104=INDEX($EG$2:$EG$13,$MB104))),1,0))</f>
        <v/>
      </c>
      <c r="NI104" s="152">
        <f>IF(OR($ND104=0,$MF104=0),0,$ND104+3*IF(AND($MZ104&lt;&gt;"",OR($MZ104=INDEX($EF$2:$EF$13,$MB104),$MZ104=INDEX($EG$2:$EG$13,$MB104))),1,0))</f>
        <v/>
      </c>
      <c r="NJ104" s="152">
        <f>IF(OR($NE104=0,$MF104=0),0,$NE104+3*IF(AND($NA104&lt;&gt;"",OR($NA104=INDEX($EF$2:$EF$13,$MB104),$NA104=INDEX($EG$2:$EG$13,$MB104))),1,0))</f>
        <v/>
      </c>
      <c r="NK104" s="152">
        <f>IF($MW104=0,0,IF(INDEX($W$2:$W$11,$MW104)="",0,IF(COUNTIF(INDEX($EF$2:$EJ$13,$MB104,0),INDEX($W$2:$W$11,$MW104))=0,1,0)))</f>
        <v/>
      </c>
      <c r="NL104" s="152">
        <f>IF(OR($NB104=0,$MX104=""),0,IF(COUNTIF(INDEX($EF$2:$EJ$13,$MB104,0),$MX104)=0,1,0))</f>
        <v/>
      </c>
      <c r="NM104" s="152">
        <f>IF(OR($NC104=0,$MY104=""),0,IF(COUNTIF(INDEX($EF$2:$EJ$13,$MB104,0),$MY104)=0,1,0))</f>
        <v/>
      </c>
      <c r="NN104" s="152">
        <f>IF(OR($ND104=0,$MZ104=""),0,IF(COUNTIF(INDEX($EF$2:$EJ$13,$MB104,0),$MZ104)=0,1,0))</f>
        <v/>
      </c>
      <c r="NO104" s="152">
        <f>IF(OR($NE104=0,$NA104=""),0,IF(COUNTIF(INDEX($EF$2:$EJ$13,$MB104,0),$NA104)=0,1,0))</f>
        <v/>
      </c>
      <c r="NP104" s="152">
        <f>IFERROR(VLOOKUP($MK104,$AV$2:$BA$84,4,FALSE),0)+IFERROR(VLOOKUP($ML104,$AV$2:$BA$84,4,FALSE),0)+IFERROR(VLOOKUP($MM104,$AV$2:$BA$84,4,FALSE),0)+IFERROR(VLOOKUP($MN104,$AV$2:$BA$84,4,FALSE),0)</f>
        <v/>
      </c>
      <c r="NQ104" s="152">
        <f>IFERROR(VLOOKUP($MK104,$AV$2:$BA$84,6,FALSE),0)+IFERROR(VLOOKUP($ML104,$AV$2:$BA$84,6,FALSE),0)+IFERROR(VLOOKUP($MM104,$AV$2:$BA$84,6,FALSE),0)+IFERROR(VLOOKUP($MN104,$AV$2:$BA$84,6,FALSE),0)</f>
        <v/>
      </c>
      <c r="NR104" s="152">
        <f>TEXTJOIN(", ",TRUE,IF(IFERROR(VLOOKUP($MK104,$AV$2:$BA$84,5,FALSE),0)=1,$MK104,""),IF(IFERROR(VLOOKUP($ML104,$AV$2:$BA$84,5,FALSE),0)=1,$ML104,""),IF(IFERROR(VLOOKUP($MM104,$AV$2:$BA$84,5,FALSE),0)=1,$MM104,""),IF(IFERROR(VLOOKUP($MN104,$AV$2:$BA$84,5,FALSE),0)=1,$MN104,""))</f>
        <v/>
      </c>
      <c r="NS104" s="152">
        <f>IF($MW104=0,0,INDEX($Y$2:$Y$11,$MW104))</f>
        <v/>
      </c>
      <c r="NT104" s="152">
        <f>IF($MW104=0,0,INDEX($Z$2:$Z$11,$MW104))</f>
        <v/>
      </c>
      <c r="NU104" s="152">
        <f>IF($MW104=0,0,INDEX($AB$2:$AB$11,$MW104))</f>
        <v/>
      </c>
      <c r="NV104" s="152">
        <f>IFERROR(VLOOKUP($MO104,$BC$2:$BG$24,3,FALSE),0)</f>
        <v/>
      </c>
      <c r="NW104" s="152">
        <f>IFERROR(VLOOKUP($MP104,$BC$2:$BG$24,3,FALSE),0)</f>
        <v/>
      </c>
      <c r="NX104" s="152">
        <f>IFERROR(VLOOKUP($MO104,$BC$2:$BG$24,2,FALSE),"")</f>
        <v/>
      </c>
      <c r="NY104" s="152">
        <f>IFERROR(VLOOKUP($MP104,$BC$2:$BG$24,2,FALSE),"")</f>
        <v/>
      </c>
      <c r="NZ104" s="152">
        <f>COUNTIF($NF104:$NJ104,1)</f>
        <v/>
      </c>
      <c r="OA104" s="152">
        <f>COUNTIF($NF104:$NJ104,2)</f>
        <v/>
      </c>
      <c r="OB104" s="152">
        <f>COUNTIF($NF104:$NJ104,3)</f>
        <v/>
      </c>
      <c r="OC104" s="152">
        <f>COUNTIF($NF104:$NJ104,4)</f>
        <v/>
      </c>
      <c r="OD104" s="152">
        <f>COUNTIF($NF104:$NJ104,5)</f>
        <v/>
      </c>
      <c r="OE104" s="152">
        <f>COUNTIF($NF104:$NJ104,6)</f>
        <v/>
      </c>
      <c r="OF104" s="152">
        <f>COUNTIF($NV104:$NW104,1)</f>
        <v/>
      </c>
      <c r="OG104" s="152">
        <f>COUNTIF($NV104:$NW104,2)+$NS104</f>
        <v/>
      </c>
      <c r="OH104" s="152">
        <f>COUNTIF($MK104:$MN104,"?*")</f>
        <v/>
      </c>
      <c r="OI104" s="152">
        <f>COUNTIF($MO104:$MP104,"?*")+$NS104</f>
        <v/>
      </c>
      <c r="OJ104" s="152">
        <f>IF($MF104=0,0,SUMPRODUCT($NZ104:$OE104,INDEX($I$2:$N$8,MAX(1,$MF104),0)))</f>
        <v/>
      </c>
      <c r="OK104" s="152">
        <f>IF($MF104=0,0,$OF104*CEILING($MF104/2,1)+$OG104*$MF104)</f>
        <v/>
      </c>
      <c r="OL104" s="152">
        <f>MIN(2*$MF104,$OK104)</f>
        <v/>
      </c>
      <c r="OM104" s="152">
        <f>MIN($OL104,$OJ104)</f>
        <v/>
      </c>
      <c r="ON104" s="152">
        <f>$OL104-$OM104</f>
        <v/>
      </c>
      <c r="OO104" s="152">
        <f>IF($MF104=0,0,INDEX($P$2:$P$8,MAX(1,$MF104)))</f>
        <v/>
      </c>
      <c r="OP104" s="152">
        <f>$OO104-$OJ104+$OM104</f>
        <v/>
      </c>
      <c r="OQ104" s="152">
        <f>IF($MF104=0,MAX(0,$MT104-IF($OH104&gt;0,1,0)),MAX(0,$OP104))</f>
        <v/>
      </c>
      <c r="OR104" s="152">
        <f>IF($MF104=0,0,(IF(COUNTIF($MK104:$MN104,"Salto")&gt;0,1,0)+IF(COUNTIF($MK104:$MN104,"Queima")&gt;0,1,0)+IF(COUNTIF($MK104:$MN104,"Estilhaço")&gt;0,1,0))*FLOOR($OQ104/2,1))</f>
        <v/>
      </c>
      <c r="OS104" s="152">
        <f>MAX(0,2-SUMPRODUCT($NZ104:$OE104,$I$2:$N$2)+MIN(2,$OF104*1+$OG104*1,SUMPRODUCT($NZ104:$OE104,$I$2:$N$2)))</f>
        <v/>
      </c>
      <c r="OT104" s="152">
        <f>MAX(0,4-SUMPRODUCT($NZ104:$OE104,$I$3:$N$3)+MIN(4,$OF104*1+$OG104*2,SUMPRODUCT($NZ104:$OE104,$I$3:$N$3)))</f>
        <v/>
      </c>
      <c r="OU104" s="152">
        <f>MAX(0,6-SUMPRODUCT($NZ104:$OE104,$I$4:$N$4)+MIN(6,$OF104*2+$OG104*3,SUMPRODUCT($NZ104:$OE104,$I$4:$N$4)))</f>
        <v/>
      </c>
      <c r="OV104" s="152">
        <f>MAX(0,9-SUMPRODUCT($NZ104:$OE104,$I$5:$N$5)+MIN(8,$OF104*2+$OG104*4,SUMPRODUCT($NZ104:$OE104,$I$5:$N$5)))</f>
        <v/>
      </c>
      <c r="OW104" s="152">
        <f>MAX(0,11-SUMPRODUCT($NZ104:$OE104,$I$6:$N$6)+MIN(10,$OF104*3+$OG104*5,SUMPRODUCT($NZ104:$OE104,$I$6:$N$6)))</f>
        <v/>
      </c>
      <c r="OX104" s="152">
        <f>MAX(0,13-SUMPRODUCT($NZ104:$OE104,$I$7:$N$7)+MIN(12,$OF104*3+$OG104*6,SUMPRODUCT($NZ104:$OE104,$I$7:$N$7)))</f>
        <v/>
      </c>
      <c r="OY104" s="152">
        <f>MAX(0,16-SUMPRODUCT($NZ104:$OE104,$I$8:$N$8)+MIN(14,$OF104*4+$OG104*7,SUMPRODUCT($NZ104:$OE104,$I$8:$N$8)))</f>
        <v/>
      </c>
      <c r="OZ104" s="152">
        <f>IF($NT104=2,3*$OS104&amp;" de vida temp.",IF($NT104=3,"sem dano",IF($OS104=0,IF($NT104=1,"sem cura","sem dano"),IF($NT104=1,"cura ","")&amp;$OS104&amp;"d8")))</f>
        <v/>
      </c>
      <c r="PA104" s="152">
        <f>IF($NT104=2,3*$OT104&amp;" de vida temp.",IF($NT104=3,"sem dano",IF($OT104=0,IF($NT104=1,"sem cura","sem dano"),IF($NT104=1,"cura ","")&amp;$OT104&amp;"d8")))</f>
        <v/>
      </c>
      <c r="PB104" s="152">
        <f>IF($NT104=2,3*$OU104&amp;" de vida temp.",IF($NT104=3,"sem dano",IF($OU104=0,IF($NT104=1,"sem cura","sem dano"),IF($NT104=1,"cura ","")&amp;$OU104&amp;"d8")))</f>
        <v/>
      </c>
      <c r="PC104" s="152">
        <f>IF($NT104=2,3*$OV104&amp;" de vida temp.",IF($NT104=3,"sem dano",IF($OV104=0,IF($NT104=1,"sem cura","sem dano"),IF($NT104=1,"cura ","")&amp;$OV104&amp;"d8")))</f>
        <v/>
      </c>
      <c r="PD104" s="152">
        <f>IF($NT104=2,3*$OW104&amp;" de vida temp.",IF($NT104=3,"sem dano",IF($OW104=0,IF($NT104=1,"sem cura","sem dano"),IF($NT104=1,"cura ","")&amp;$OW104&amp;"d8")))</f>
        <v/>
      </c>
      <c r="PE104" s="152">
        <f>IF($NT104=2,3*$OX104&amp;" de vida temp.",IF($NT104=3,"sem dano",IF($OX104=0,IF($NT104=1,"sem cura","sem dano"),IF($NT104=1,"cura ","")&amp;$OX104&amp;"d8")))</f>
        <v/>
      </c>
      <c r="PF104" s="152">
        <f>IF($NT104=2,3*$OY104&amp;" de vida temp.",IF($NT104=3,"sem dano",IF($OY104=0,IF($NT104=1,"sem cura","sem dano"),IF($NT104=1,"cura ","")&amp;$OY104&amp;"d8")))</f>
        <v/>
      </c>
      <c r="PG104" s="152">
        <f>IF($MQ104=0,"",TEXTJOIN(" · ",TRUE,IF($MD104&gt;$MR104,"Este lugar abre no nível "&amp;$MD104,""),IF($MF104&gt;$MS104,"Classe "&amp;$MF104&amp;": o nível "&amp;$MR104&amp;" libera até a "&amp;$MS104,""),IF($NK104=1,"A Forma "&amp;$MH104&amp;" pede "&amp;INDEX($W$2:$W$11,$MW104)&amp;" aberta",""),IF(AND($MF104=0,$MW104&gt;0,IF($MW104=0,0,INDEX($AF$2:$AF$11,$MW104))=0),$MH104&amp;" não existe na Classe 0",""),IF($NL104=1,"Família Fechada: "&amp;$MK104,""),IF($NM104=1,"Família Fechada: "&amp;$ML104,""),IF($NN104=1,"Família Fechada: "&amp;$MM104,""),IF($NO104=1,"Família Fechada: "&amp;$MN104,""),IF(AND($MF104&gt;0,$OH104&gt;INDEX($O$2:$O$8,MAX(1,$MF104))),$OH104&amp;" Melhorias: a Classe "&amp;$MF104&amp;" aceita "&amp;INDEX($O$2:$O$8,MAX(1,$MF104)),""),IF(AND($MF104=0,$OH104&gt;1),"A básica aceita uma Melhoria",""),IF(AND($MF104=0,COUNTIF($NB104:$NE104,"&gt;1")&gt;0),"A básica só aceita Melhoria Leve",""),IF(AND($MF104&gt;0,$OI104&gt;2),$OI104&amp;" Restrições"&amp;IF($NS104=1,", contando a que a Forma "&amp;$MH104&amp;" já traz","")&amp;": o limite é 2",""),IF(AND($MF104=0,COUNTIF($MO104:$MP104,"?*")&gt;1),"A básica aceita uma Restrição Leve",""),IF(AND($MF104=0,COUNTIF($NV104:$NW104,2)&gt;0),"A básica só aceita Restrição Leve",""),IF(AND($MF104&gt;0,$OP104&lt;0),"Orçamento estourado: faltam "&amp;(-$OP104)&amp;IF($OP104&lt;-1," pontos"," ponto"),""),IF(IFERROR(VLOOKUP($MO104,$BC$2:$BG$24,4,FALSE),0)+IFERROR(VLOOKUP($MP104,$BC$2:$BG$24,4,FALSE),0)&gt;1,$NX104&amp;" e "&amp;$NY104&amp;" são as duas de frequência",""),IF(AND((COUNTIF($MK104:$MN104,"Rápido")+COUNTIF($NX104:$NY104,"Rápido"))&gt;0,(COUNTIF($MK104:$MN104,"Atrasar")+COUNTIF($NX104:$NY104,"Atrasar"))&gt;0),"Rápido não entra com Atrasar",""),IF(AND((COUNTIF($MK104:$MN104,"Reação")+COUNTIF($NX104:$NY104,"Reação"))&gt;0,(COUNTIF($MK104:$MN104,"Rápido")+COUNTIF($NX104:$NY104,"Rápido"))&gt;0),"Reação não entra com Rápido",""),IF(AND((COUNTIF($MK104:$MN104,"Reação")+COUNTIF($NX104:$NY104,"Reação"))&gt;0,(COUNTIF($MK104:$MN104,"Armado")+COUNTIF($NX104:$NY104,"Armado"))&gt;0),"Reação não entra com Armado",""),IF(AND((COUNTIF($MK104:$MN104,"Reação")+COUNTIF($NX104:$NY104,"Reação"))&gt;0,(COUNTIF($MK104:$MN104,"Atrasar")+COUNTIF($NX104:$NY104,"Atrasar"))&gt;0),"Reação não entra com Atrasar",""),IF(AND((COUNTIF($MK104:$MN104,"Reação")+COUNTIF($NX104:$NY104,"Reação"))&gt;0,(COUNTIF($MK104:$MN104,"Parado")+COUNTIF($NX104:$NY104,"Parado"))&gt;0),"Reação não entra com Parado",""),IF(AND((COUNTIF($MK104:$MN104,"Atrasar")+COUNTIF($NX104:$NY104,"Atrasar"))&gt;0,(COUNTIF($MK104:$MN104,"Parado")+COUNTIF($NX104:$NY104,"Parado"))&gt;0),"Atrasar não entra com Parado",""),IF(AND((COUNTIF($MK104:$MN104,"Armado")+COUNTIF($NX104:$NY104,"Armado"))&gt;0,(COUNTIF($MK104:$MN104,"Carregar")+COUNTIF($NX104:$NY104,"Carregar"))&gt;0),"Armado não entra com Carregar",""),IF(AND(COUNTIF($NX104:$NY104,"Corpo a Corpo")&gt;0,$NS104=0,OR($MH104="Cone",$MH104="Linha")),"Corpo a Corpo não entra em "&amp;$MH104,""),IF(AND(COUNTIF($NX104:$NY104,"Corpo a Corpo")&gt;0,$NS104=1),"A Forma "&amp;$MH104&amp;" já traz o Corpo a Corpo",""),IF(AND(COUNTIF($NX104:$NY104,"Tudo ou Nada")&gt;0,$NU104=0),"Tudo ou Nada só entra em habilidade de Teste de Resistência",""),IF(AND(COUNTIF($MK104:$MN104,"Inescapável")&gt;0,OR($OH104&gt;1,$OI104&gt;0)),"Inescapável não aceita outra peça",""),IF(AND($MF104&gt;0,$OQ104*IF(COUNTIF($MK104:$MN104,"Remate")&gt;0,1.25,1)+$OR104&gt;4*$MF104),($OQ104*IF(COUNTIF($MK104:$MN104,"Remate")&gt;0,1.25,1)+$OR104)&amp;" dados somando repetições"&amp;IF(COUNTIF($MK104:$MN104,"Remate")&gt;0," e o Remate","")&amp;": o teto da Classe "&amp;$MF104&amp;" é "&amp;4*$MF104,"")))</f>
        <v/>
      </c>
      <c r="PH104" s="152">
        <f>IF($PG104="",0,(LEN($PG104)-LEN(SUBSTITUTE($PG104," · ","")))/3+1)</f>
        <v/>
      </c>
      <c r="PI104" s="152">
        <f>IF($MQ104=0,"",TEXTJOIN(" · ",TRUE,IF($OK104&gt;2*$MF104,"A devolução parou no teto de "&amp;2*$MF104,""),IF($ON104&gt;0,"Devolução perdida: "&amp;$ON104&amp;IF($ON104&gt;1," pontos"," ponto")&amp;" sem peça para pagar",""),IF(AND($NP104&gt;0,AND($MF104&gt;0,$NT104=0),$OQ104=0),"Controle sem dano: uma rodada a mais e CD +2",""),IF(AND($NP104&gt;0,AND($MF104&gt;0,$NT104=0),$OQ104&gt;0,$OQ104&lt;=$MF104),"Controle com saldo até a Classe: uma rodada a mais",""),IF(AND($MF104&gt;0,$NR104&lt;&gt;""),"Efeito de "&amp;$NR104&amp;" pela Classe "&amp;MAX(1,$MF104-1),"")))</f>
        <v/>
      </c>
      <c r="PJ104" s="152">
        <f>IF($PI104="",0,(LEN($PI104)-LEN(SUBSTITUTE($PI104," · ","")))/3+1)</f>
        <v/>
      </c>
      <c r="PK104" s="152">
        <f>IF($MQ104=0,IF($OH104+COUNTIF($MO104:$MP104,"?*")&gt;0,"Dê um nome",""),IF($PH104&gt;0,"⚠ "&amp;$PH104&amp;IF($PH104&gt;1," erros"," erro"),IF($PJ104&gt;0,"! "&amp;$PJ104&amp;IF($PJ104&gt;1," avisos"," aviso"),"Na regra")))</f>
        <v/>
      </c>
      <c r="PL104" s="152">
        <f>IF($MQ104=0,"",IF($PH104+$PJ104=0,"Dentro das regras que a ficha confere",$PG104&amp;IF(AND($PH104&gt;0,$PJ104&gt;0)," · ","")&amp;$PI104))</f>
        <v/>
      </c>
      <c r="PM104" s="152">
        <f>IF($MD104&gt;$MR104,$ME104&amp;" · ABRE NO NÍVEL "&amp;$MD104,$ME104)</f>
        <v/>
      </c>
      <c r="PN104" s="152">
        <f>IF($MQ104=0,"",IF($MF104=0,"Sem PE",3*$MF104&amp;" PE"))</f>
        <v/>
      </c>
      <c r="PO104" s="152">
        <f>IF($MQ104=0,"",IF($MF104=0,"A atuação básica dela",IF(COUNTIF($NX104:$NY104,"Atrasar")&gt;0,"Sua Ação Completa",IF(COUNTIF($MK104:$MN104,"Rápido")&gt;0,"Sua Bônus",IF(COUNTIF($MK104:$MN104,"Reação")&gt;0,"Sua Reação","Sua Padrão")))&amp;" + a básica dela"&amp;IF(COUNTIF($MK104:$MN104,"Reação")&gt;0," e a coletiva","")&amp;IF(COUNTIF($NX104:$NY104,"Carregar")&gt;0," · em dois turnos","")))</f>
        <v/>
      </c>
      <c r="PP104" s="152">
        <f>IF($MJ104&lt;&gt;"",$MJ104,IF($MW104=0,"",INDEX($AA$2:$AA$11,$MW104)))</f>
        <v/>
      </c>
      <c r="PQ104" s="152">
        <f>IF(OR($MQ104=0,$MW104=0),"",IF(COUNTIF($MK104:$MN104,"Inescapável")&gt;0,"Automático",IF($PP104="Ataque",IF($MU104="","Ataque","Ataque "&amp;IF(($MU104+2*IF(COUNTIF($MK104:$MN104,"Precisão")&gt;0,1,0))&gt;=0,"+","−")&amp;ABS(($MU104+2*IF(COUNTIF($MK104:$MN104,"Precisão")&gt;0,1,0))))&amp;IF($NQ104&gt;0," · TR"&amp;IF($MV104="",""," CD "&amp;$MV104),""),IF(LEFT($PP104,2)="TR",$PP104&amp;IF($MV104="",""," · CD "&amp;$MV104)&amp;IF(COUNTIF($MK104:$MN104,"Certeiro")&gt;0," · metade",""),"Sem rolagem"))))</f>
        <v/>
      </c>
      <c r="PR104" s="152">
        <f>IF(OR($MQ104=0,$MW104=0),"",IF($MF104=0,IF(OR($NT104&gt;=1,$OQ104=0),"Sem dano",$OQ104&amp;"d6"&amp;IF($MI104="",""," "&amp;$MI104)),IF(OR($NT104&gt;=1,$OQ104=0),UPPER(LEFT(INDEX($OZ104:$PF104,1,MAX(1,$MF104)),1))&amp;MID(INDEX($OZ104:$PF104,1,MAX(1,$MF104)),2,99),UPPER(LEFT(INDEX($OZ104:$PF104,1,MAX(1,$MF104)),1))&amp;MID(INDEX($OZ104:$PF104,1,MAX(1,$MF104)),2,99)&amp;IF($MI104="",""," "&amp;$MI104)&amp;IF($OR104&gt;0," · +"&amp;$OR104&amp;"d8",""))))</f>
        <v/>
      </c>
      <c r="PS104" s="152">
        <f>COUNTIF($MK104:$MN104,"Longe")+3*COUNTIF($MK104:$MN104,"Muito Longe")</f>
        <v/>
      </c>
      <c r="PT104" s="152">
        <f>COUNTIF($MK104:$MN104,"Maior")+3*COUNTIF($MK104:$MN104,"Muito Maior")</f>
        <v/>
      </c>
      <c r="PU104" s="152">
        <f>IF($MW104=0,0,CHOOSE(1+INDEX($AC$2:$AC$11,$MW104),0,$PS104,$PT104,$PS104+$PT104))</f>
        <v/>
      </c>
      <c r="PV104" s="152">
        <f>IF($MW104=0,0,CHOOSE(1+INDEX($AD$2:$AD$11,$MW104),0,$PS104,$PT104,$PS104+$PT104))</f>
        <v/>
      </c>
      <c r="PW104" s="152">
        <f>IF(OR($MQ104=0,$MW104=0),"",INDEX($AI$2:$AN$41,($MW104-1)*4+IF($MF104=0,1,IF($MF104&lt;=5,2,IF($MF104=6,3,4))),1+MIN(5,$PU104))&amp;INDEX($AO$2:$AT$41,($MW104-1)*4+IF($MF104=0,1,IF($MF104&lt;=5,2,IF($MF104=6,3,4))),1+MIN(5,$PV104))&amp;IF(INDEX($AE$2:$AE$11,$MW104)=1,IF(COUNTIF($MK104:$MN104,"Mais Um")&gt;0," · +"&amp;COUNTIF($MK104:$MN104,"Mais Um")&amp;IF(COUNTIF($MK104:$MN104,"Mais Um")&gt;1," alvos"," alvo"),"")&amp;IF(COUNTIF($MK104:$MN104,"Rajada")&gt;0,IF($MF104=0," · 1 tiro"," · "&amp;(MAX(1,$MF104-1)+1)&amp;" tiros"),""),""))</f>
        <v/>
      </c>
      <c r="PX104" s="152">
        <f>IF($MQ104=0,"",IF($MF104=0,$MT104&amp;"d6"&amp;IF($OH104&gt;0," − 1 = "&amp;$OQ104&amp;"d6"," da básica do nível "&amp;$MR104),$OO104&amp;" − "&amp;$OJ104&amp;" + "&amp;$OM104&amp;" = "&amp;$OP104&amp;" · teto "&amp;4*$MF104&amp;"d8"&amp;IF($NS104=1," · a Forma devolve "&amp;$MF104,"")&amp;IF($ON104&gt;0," · perde "&amp;$ON104,"")))</f>
        <v/>
      </c>
      <c r="PY104" s="152">
        <f>IF($MQ104=0,"",IF($MF104=0,"A básica não amplia: os dados dela sobem com o nível",IF($MF104&gt;=$MS104,"Já está na maior Classe que o nível liberou",TEXTJOIN(" · ",TRUE,IF(AND(2&gt;$MF104,2&lt;=$MS104),"2 → "&amp;$PA104&amp;", 6 PE",""),IF(AND(3&gt;$MF104,3&lt;=$MS104),"3 → "&amp;$PB104&amp;", 9 PE",""),IF(AND(4&gt;$MF104,4&lt;=$MS104),"4 → "&amp;$PC104&amp;", 12 PE",""),IF(AND(5&gt;$MF104,5&lt;=$MS104),"5 → "&amp;$PD104&amp;", 15 PE",""),IF(AND(6&gt;$MF104,6&lt;=$MS104),"6 → "&amp;$PE104&amp;", 18 PE",""),IF(AND(7&gt;$MF104,7&lt;=$MS104),"7 → "&amp;$PF104&amp;", 21 PE","")))))</f>
        <v/>
      </c>
      <c r="PZ104" s="152">
        <f>IF(OR($MQ104=0,$NB104=0),"",IF($MF104=0,"−1 dado","−"&amp;INDEX($I$2:$N$8,MAX(1,$MF104),MAX(1,$NG104))&amp;" · "&amp;CHOOSE(MAX(1,$NG104),"Leve","Média","Pesada","Leve · Livre","Média · Livre","Pesada · Livre")))</f>
        <v/>
      </c>
      <c r="QA104" s="152">
        <f>IF(OR($MQ104=0,$NC104=0),"",IF($MF104=0,"−1 dado","−"&amp;INDEX($I$2:$N$8,MAX(1,$MF104),MAX(1,$NH104))&amp;" · "&amp;CHOOSE(MAX(1,$NH104),"Leve","Média","Pesada","Leve · Livre","Média · Livre","Pesada · Livre")))</f>
        <v/>
      </c>
      <c r="QB104" s="152">
        <f>IF(OR($MQ104=0,$ND104=0),"",IF($MF104=0,"−1 dado","−"&amp;INDEX($I$2:$N$8,MAX(1,$MF104),MAX(1,$NI104))&amp;" · "&amp;CHOOSE(MAX(1,$NI104),"Leve","Média","Pesada","Leve · Livre","Média · Livre","Pesada · Livre")))</f>
        <v/>
      </c>
      <c r="QC104" s="152">
        <f>IF(OR($MQ104=0,$NE104=0),"",IF($MF104=0,"−1 dado","−"&amp;INDEX($I$2:$N$8,MAX(1,$MF104),MAX(1,$NJ104))&amp;" · "&amp;CHOOSE(MAX(1,$NJ104),"Leve","Média","Pesada","Leve · Livre","Média · Livre","Pesada · Livre")))</f>
        <v/>
      </c>
      <c r="QD104" s="152">
        <f>IF(OR($MQ104=0,$MO104=""),"",IF($MF104=0,"não devolve","+"&amp;IF($NV104=1,CEILING($MF104/2,1),$MF104)))</f>
        <v/>
      </c>
      <c r="QE104" s="152">
        <f>IF(OR($MQ104=0,$MP104=""),"",IF($MF104=0,"não devolve","+"&amp;IF($NW104=1,CEILING($MF104/2,1),$MF104)))</f>
        <v/>
      </c>
    </row>
    <row r="105">
      <c r="MA105" s="150" t="inlineStr">
        <is>
          <t>Ficha 8 · Escolha da trilha 3</t>
        </is>
      </c>
      <c r="MB105" s="152" t="n">
        <v>8</v>
      </c>
      <c r="MC105" s="152" t="n">
        <v>2</v>
      </c>
      <c r="MD105" s="152" t="n">
        <v>0</v>
      </c>
      <c r="ME105" s="150" t="inlineStr">
        <is>
          <t>ESCOLHA DA TRILHA 3</t>
        </is>
      </c>
      <c r="MF105" s="152">
        <f>MAX(0,MIN(7,N('INVOCAÇÕES'!$AN$358)))</f>
        <v/>
      </c>
      <c r="MG105" s="152">
        <f>'INVOCAÇÕES'!$AO$358&amp;""</f>
        <v/>
      </c>
      <c r="MH105" s="152">
        <f>'INVOCAÇÕES'!$AN$363&amp;""</f>
        <v/>
      </c>
      <c r="MI105" s="152">
        <f>'INVOCAÇÕES'!$AN$364&amp;""</f>
        <v/>
      </c>
      <c r="MJ105" s="152">
        <f>'INVOCAÇÕES'!$AP$364&amp;""</f>
        <v/>
      </c>
      <c r="MK105" s="152">
        <f>'INVOCAÇÕES'!$AO$367&amp;""</f>
        <v/>
      </c>
      <c r="ML105" s="152">
        <f>'INVOCAÇÕES'!$AO$368&amp;""</f>
        <v/>
      </c>
      <c r="MM105" s="152">
        <f>'INVOCAÇÕES'!$AO$369&amp;""</f>
        <v/>
      </c>
      <c r="MN105" s="152">
        <f>'INVOCAÇÕES'!$AO$370&amp;""</f>
        <v/>
      </c>
      <c r="MO105" s="152">
        <f>'INVOCAÇÕES'!$AO$371&amp;""</f>
        <v/>
      </c>
      <c r="MP105" s="152">
        <f>'INVOCAÇÕES'!$AO$372&amp;""</f>
        <v/>
      </c>
      <c r="MQ105" s="152">
        <f>IF($MG105&lt;&gt;"",1,0)</f>
        <v/>
      </c>
      <c r="MR105" s="152">
        <f>INDEX($FI$2:$FI$13,$MB105)</f>
        <v/>
      </c>
      <c r="MS105" s="152">
        <f>INDEX($FJ$2:$FJ$13,$MB105)</f>
        <v/>
      </c>
      <c r="MT105" s="152">
        <f>INDEX($FK$2:$FK$13,$MB105)</f>
        <v/>
      </c>
      <c r="MU105" s="152">
        <f>INDEX($FV$2:$FV$13,$MB105)</f>
        <v/>
      </c>
      <c r="MV105" s="152">
        <f>INDEX($FW$2:$FW$13,$MB105)</f>
        <v/>
      </c>
      <c r="MW105" s="152">
        <f>IFERROR(MATCH($MH105,$V$2:$V$11,0),0)</f>
        <v/>
      </c>
      <c r="MX105" s="152">
        <f>IFERROR(VLOOKUP($MK105,$AV$2:$BA$84,2,FALSE),"")</f>
        <v/>
      </c>
      <c r="MY105" s="152">
        <f>IFERROR(VLOOKUP($ML105,$AV$2:$BA$84,2,FALSE),"")</f>
        <v/>
      </c>
      <c r="MZ105" s="152">
        <f>IFERROR(VLOOKUP($MM105,$AV$2:$BA$84,2,FALSE),"")</f>
        <v/>
      </c>
      <c r="NA105" s="152">
        <f>IFERROR(VLOOKUP($MN105,$AV$2:$BA$84,2,FALSE),"")</f>
        <v/>
      </c>
      <c r="NB105" s="152">
        <f>IFERROR(VLOOKUP($MK105,$AV$2:$BA$84,3,FALSE),0)</f>
        <v/>
      </c>
      <c r="NC105" s="152">
        <f>IFERROR(VLOOKUP($ML105,$AV$2:$BA$84,3,FALSE),0)</f>
        <v/>
      </c>
      <c r="ND105" s="152">
        <f>IFERROR(VLOOKUP($MM105,$AV$2:$BA$84,3,FALSE),0)</f>
        <v/>
      </c>
      <c r="NE105" s="152">
        <f>IFERROR(VLOOKUP($MN105,$AV$2:$BA$84,3,FALSE),0)</f>
        <v/>
      </c>
      <c r="NF105" s="152">
        <f>IF($MF105=0,0,IF($MW105=0,0,INDEX($X$2:$X$11,$MW105)))</f>
        <v/>
      </c>
      <c r="NG105" s="152">
        <f>IF(OR($NB105=0,$MF105=0),0,$NB105+3*IF(AND($MX105&lt;&gt;"",OR($MX105=INDEX($EF$2:$EF$13,$MB105),$MX105=INDEX($EG$2:$EG$13,$MB105))),1,0))</f>
        <v/>
      </c>
      <c r="NH105" s="152">
        <f>IF(OR($NC105=0,$MF105=0),0,$NC105+3*IF(AND($MY105&lt;&gt;"",OR($MY105=INDEX($EF$2:$EF$13,$MB105),$MY105=INDEX($EG$2:$EG$13,$MB105))),1,0))</f>
        <v/>
      </c>
      <c r="NI105" s="152">
        <f>IF(OR($ND105=0,$MF105=0),0,$ND105+3*IF(AND($MZ105&lt;&gt;"",OR($MZ105=INDEX($EF$2:$EF$13,$MB105),$MZ105=INDEX($EG$2:$EG$13,$MB105))),1,0))</f>
        <v/>
      </c>
      <c r="NJ105" s="152">
        <f>IF(OR($NE105=0,$MF105=0),0,$NE105+3*IF(AND($NA105&lt;&gt;"",OR($NA105=INDEX($EF$2:$EF$13,$MB105),$NA105=INDEX($EG$2:$EG$13,$MB105))),1,0))</f>
        <v/>
      </c>
      <c r="NK105" s="152">
        <f>IF($MW105=0,0,IF(INDEX($W$2:$W$11,$MW105)="",0,IF(COUNTIF(INDEX($EF$2:$EJ$13,$MB105,0),INDEX($W$2:$W$11,$MW105))=0,1,0)))</f>
        <v/>
      </c>
      <c r="NL105" s="152">
        <f>IF(OR($NB105=0,$MX105=""),0,IF(COUNTIF(INDEX($EF$2:$EJ$13,$MB105,0),$MX105)=0,1,0))</f>
        <v/>
      </c>
      <c r="NM105" s="152">
        <f>IF(OR($NC105=0,$MY105=""),0,IF(COUNTIF(INDEX($EF$2:$EJ$13,$MB105,0),$MY105)=0,1,0))</f>
        <v/>
      </c>
      <c r="NN105" s="152">
        <f>IF(OR($ND105=0,$MZ105=""),0,IF(COUNTIF(INDEX($EF$2:$EJ$13,$MB105,0),$MZ105)=0,1,0))</f>
        <v/>
      </c>
      <c r="NO105" s="152">
        <f>IF(OR($NE105=0,$NA105=""),0,IF(COUNTIF(INDEX($EF$2:$EJ$13,$MB105,0),$NA105)=0,1,0))</f>
        <v/>
      </c>
      <c r="NP105" s="152">
        <f>IFERROR(VLOOKUP($MK105,$AV$2:$BA$84,4,FALSE),0)+IFERROR(VLOOKUP($ML105,$AV$2:$BA$84,4,FALSE),0)+IFERROR(VLOOKUP($MM105,$AV$2:$BA$84,4,FALSE),0)+IFERROR(VLOOKUP($MN105,$AV$2:$BA$84,4,FALSE),0)</f>
        <v/>
      </c>
      <c r="NQ105" s="152">
        <f>IFERROR(VLOOKUP($MK105,$AV$2:$BA$84,6,FALSE),0)+IFERROR(VLOOKUP($ML105,$AV$2:$BA$84,6,FALSE),0)+IFERROR(VLOOKUP($MM105,$AV$2:$BA$84,6,FALSE),0)+IFERROR(VLOOKUP($MN105,$AV$2:$BA$84,6,FALSE),0)</f>
        <v/>
      </c>
      <c r="NR105" s="152">
        <f>TEXTJOIN(", ",TRUE,IF(IFERROR(VLOOKUP($MK105,$AV$2:$BA$84,5,FALSE),0)=1,$MK105,""),IF(IFERROR(VLOOKUP($ML105,$AV$2:$BA$84,5,FALSE),0)=1,$ML105,""),IF(IFERROR(VLOOKUP($MM105,$AV$2:$BA$84,5,FALSE),0)=1,$MM105,""),IF(IFERROR(VLOOKUP($MN105,$AV$2:$BA$84,5,FALSE),0)=1,$MN105,""))</f>
        <v/>
      </c>
      <c r="NS105" s="152">
        <f>IF($MW105=0,0,INDEX($Y$2:$Y$11,$MW105))</f>
        <v/>
      </c>
      <c r="NT105" s="152">
        <f>IF($MW105=0,0,INDEX($Z$2:$Z$11,$MW105))</f>
        <v/>
      </c>
      <c r="NU105" s="152">
        <f>IF($MW105=0,0,INDEX($AB$2:$AB$11,$MW105))</f>
        <v/>
      </c>
      <c r="NV105" s="152">
        <f>IFERROR(VLOOKUP($MO105,$BC$2:$BG$24,3,FALSE),0)</f>
        <v/>
      </c>
      <c r="NW105" s="152">
        <f>IFERROR(VLOOKUP($MP105,$BC$2:$BG$24,3,FALSE),0)</f>
        <v/>
      </c>
      <c r="NX105" s="152">
        <f>IFERROR(VLOOKUP($MO105,$BC$2:$BG$24,2,FALSE),"")</f>
        <v/>
      </c>
      <c r="NY105" s="152">
        <f>IFERROR(VLOOKUP($MP105,$BC$2:$BG$24,2,FALSE),"")</f>
        <v/>
      </c>
      <c r="NZ105" s="152">
        <f>COUNTIF($NF105:$NJ105,1)</f>
        <v/>
      </c>
      <c r="OA105" s="152">
        <f>COUNTIF($NF105:$NJ105,2)</f>
        <v/>
      </c>
      <c r="OB105" s="152">
        <f>COUNTIF($NF105:$NJ105,3)</f>
        <v/>
      </c>
      <c r="OC105" s="152">
        <f>COUNTIF($NF105:$NJ105,4)</f>
        <v/>
      </c>
      <c r="OD105" s="152">
        <f>COUNTIF($NF105:$NJ105,5)</f>
        <v/>
      </c>
      <c r="OE105" s="152">
        <f>COUNTIF($NF105:$NJ105,6)</f>
        <v/>
      </c>
      <c r="OF105" s="152">
        <f>COUNTIF($NV105:$NW105,1)</f>
        <v/>
      </c>
      <c r="OG105" s="152">
        <f>COUNTIF($NV105:$NW105,2)+$NS105</f>
        <v/>
      </c>
      <c r="OH105" s="152">
        <f>COUNTIF($MK105:$MN105,"?*")</f>
        <v/>
      </c>
      <c r="OI105" s="152">
        <f>COUNTIF($MO105:$MP105,"?*")+$NS105</f>
        <v/>
      </c>
      <c r="OJ105" s="152">
        <f>IF($MF105=0,0,SUMPRODUCT($NZ105:$OE105,INDEX($I$2:$N$8,MAX(1,$MF105),0)))</f>
        <v/>
      </c>
      <c r="OK105" s="152">
        <f>IF($MF105=0,0,$OF105*CEILING($MF105/2,1)+$OG105*$MF105)</f>
        <v/>
      </c>
      <c r="OL105" s="152">
        <f>MIN(2*$MF105,$OK105)</f>
        <v/>
      </c>
      <c r="OM105" s="152">
        <f>MIN($OL105,$OJ105)</f>
        <v/>
      </c>
      <c r="ON105" s="152">
        <f>$OL105-$OM105</f>
        <v/>
      </c>
      <c r="OO105" s="152">
        <f>IF($MF105=0,0,INDEX($P$2:$P$8,MAX(1,$MF105)))</f>
        <v/>
      </c>
      <c r="OP105" s="152">
        <f>$OO105-$OJ105+$OM105</f>
        <v/>
      </c>
      <c r="OQ105" s="152">
        <f>IF($MF105=0,MAX(0,$MT105-IF($OH105&gt;0,1,0)),MAX(0,$OP105))</f>
        <v/>
      </c>
      <c r="OR105" s="152">
        <f>IF($MF105=0,0,(IF(COUNTIF($MK105:$MN105,"Salto")&gt;0,1,0)+IF(COUNTIF($MK105:$MN105,"Queima")&gt;0,1,0)+IF(COUNTIF($MK105:$MN105,"Estilhaço")&gt;0,1,0))*FLOOR($OQ105/2,1))</f>
        <v/>
      </c>
      <c r="OS105" s="152">
        <f>MAX(0,2-SUMPRODUCT($NZ105:$OE105,$I$2:$N$2)+MIN(2,$OF105*1+$OG105*1,SUMPRODUCT($NZ105:$OE105,$I$2:$N$2)))</f>
        <v/>
      </c>
      <c r="OT105" s="152">
        <f>MAX(0,4-SUMPRODUCT($NZ105:$OE105,$I$3:$N$3)+MIN(4,$OF105*1+$OG105*2,SUMPRODUCT($NZ105:$OE105,$I$3:$N$3)))</f>
        <v/>
      </c>
      <c r="OU105" s="152">
        <f>MAX(0,6-SUMPRODUCT($NZ105:$OE105,$I$4:$N$4)+MIN(6,$OF105*2+$OG105*3,SUMPRODUCT($NZ105:$OE105,$I$4:$N$4)))</f>
        <v/>
      </c>
      <c r="OV105" s="152">
        <f>MAX(0,9-SUMPRODUCT($NZ105:$OE105,$I$5:$N$5)+MIN(8,$OF105*2+$OG105*4,SUMPRODUCT($NZ105:$OE105,$I$5:$N$5)))</f>
        <v/>
      </c>
      <c r="OW105" s="152">
        <f>MAX(0,11-SUMPRODUCT($NZ105:$OE105,$I$6:$N$6)+MIN(10,$OF105*3+$OG105*5,SUMPRODUCT($NZ105:$OE105,$I$6:$N$6)))</f>
        <v/>
      </c>
      <c r="OX105" s="152">
        <f>MAX(0,13-SUMPRODUCT($NZ105:$OE105,$I$7:$N$7)+MIN(12,$OF105*3+$OG105*6,SUMPRODUCT($NZ105:$OE105,$I$7:$N$7)))</f>
        <v/>
      </c>
      <c r="OY105" s="152">
        <f>MAX(0,16-SUMPRODUCT($NZ105:$OE105,$I$8:$N$8)+MIN(14,$OF105*4+$OG105*7,SUMPRODUCT($NZ105:$OE105,$I$8:$N$8)))</f>
        <v/>
      </c>
      <c r="OZ105" s="152">
        <f>IF($NT105=2,3*$OS105&amp;" de vida temp.",IF($NT105=3,"sem dano",IF($OS105=0,IF($NT105=1,"sem cura","sem dano"),IF($NT105=1,"cura ","")&amp;$OS105&amp;"d8")))</f>
        <v/>
      </c>
      <c r="PA105" s="152">
        <f>IF($NT105=2,3*$OT105&amp;" de vida temp.",IF($NT105=3,"sem dano",IF($OT105=0,IF($NT105=1,"sem cura","sem dano"),IF($NT105=1,"cura ","")&amp;$OT105&amp;"d8")))</f>
        <v/>
      </c>
      <c r="PB105" s="152">
        <f>IF($NT105=2,3*$OU105&amp;" de vida temp.",IF($NT105=3,"sem dano",IF($OU105=0,IF($NT105=1,"sem cura","sem dano"),IF($NT105=1,"cura ","")&amp;$OU105&amp;"d8")))</f>
        <v/>
      </c>
      <c r="PC105" s="152">
        <f>IF($NT105=2,3*$OV105&amp;" de vida temp.",IF($NT105=3,"sem dano",IF($OV105=0,IF($NT105=1,"sem cura","sem dano"),IF($NT105=1,"cura ","")&amp;$OV105&amp;"d8")))</f>
        <v/>
      </c>
      <c r="PD105" s="152">
        <f>IF($NT105=2,3*$OW105&amp;" de vida temp.",IF($NT105=3,"sem dano",IF($OW105=0,IF($NT105=1,"sem cura","sem dano"),IF($NT105=1,"cura ","")&amp;$OW105&amp;"d8")))</f>
        <v/>
      </c>
      <c r="PE105" s="152">
        <f>IF($NT105=2,3*$OX105&amp;" de vida temp.",IF($NT105=3,"sem dano",IF($OX105=0,IF($NT105=1,"sem cura","sem dano"),IF($NT105=1,"cura ","")&amp;$OX105&amp;"d8")))</f>
        <v/>
      </c>
      <c r="PF105" s="152">
        <f>IF($NT105=2,3*$OY105&amp;" de vida temp.",IF($NT105=3,"sem dano",IF($OY105=0,IF($NT105=1,"sem cura","sem dano"),IF($NT105=1,"cura ","")&amp;$OY105&amp;"d8")))</f>
        <v/>
      </c>
      <c r="PG105" s="152">
        <f>IF($MQ105=0,"",TEXTJOIN(" · ",TRUE,IF($MD105&gt;$MR105,"Este lugar abre no nível "&amp;$MD105,""),IF($MF105&gt;$MS105,"Classe "&amp;$MF105&amp;": o nível "&amp;$MR105&amp;" libera até a "&amp;$MS105,""),IF($NK105=1,"A Forma "&amp;$MH105&amp;" pede "&amp;INDEX($W$2:$W$11,$MW105)&amp;" aberta",""),IF(AND($MF105=0,$MW105&gt;0,IF($MW105=0,0,INDEX($AF$2:$AF$11,$MW105))=0),$MH105&amp;" não existe na Classe 0",""),IF($NL105=1,"Família Fechada: "&amp;$MK105,""),IF($NM105=1,"Família Fechada: "&amp;$ML105,""),IF($NN105=1,"Família Fechada: "&amp;$MM105,""),IF($NO105=1,"Família Fechada: "&amp;$MN105,""),IF(AND($MF105&gt;0,$OH105&gt;INDEX($O$2:$O$8,MAX(1,$MF105))),$OH105&amp;" Melhorias: a Classe "&amp;$MF105&amp;" aceita "&amp;INDEX($O$2:$O$8,MAX(1,$MF105)),""),IF(AND($MF105=0,$OH105&gt;1),"A básica aceita uma Melhoria",""),IF(AND($MF105=0,COUNTIF($NB105:$NE105,"&gt;1")&gt;0),"A básica só aceita Melhoria Leve",""),IF(AND($MF105&gt;0,$OI105&gt;2),$OI105&amp;" Restrições"&amp;IF($NS105=1,", contando a que a Forma "&amp;$MH105&amp;" já traz","")&amp;": o limite é 2",""),IF(AND($MF105=0,COUNTIF($MO105:$MP105,"?*")&gt;1),"A básica aceita uma Restrição Leve",""),IF(AND($MF105=0,COUNTIF($NV105:$NW105,2)&gt;0),"A básica só aceita Restrição Leve",""),IF(AND($MF105&gt;0,$OP105&lt;0),"Orçamento estourado: faltam "&amp;(-$OP105)&amp;IF($OP105&lt;-1," pontos"," ponto"),""),IF(IFERROR(VLOOKUP($MO105,$BC$2:$BG$24,4,FALSE),0)+IFERROR(VLOOKUP($MP105,$BC$2:$BG$24,4,FALSE),0)&gt;1,$NX105&amp;" e "&amp;$NY105&amp;" são as duas de frequência",""),IF(AND((COUNTIF($MK105:$MN105,"Rápido")+COUNTIF($NX105:$NY105,"Rápido"))&gt;0,(COUNTIF($MK105:$MN105,"Atrasar")+COUNTIF($NX105:$NY105,"Atrasar"))&gt;0),"Rápido não entra com Atrasar",""),IF(AND((COUNTIF($MK105:$MN105,"Reação")+COUNTIF($NX105:$NY105,"Reação"))&gt;0,(COUNTIF($MK105:$MN105,"Rápido")+COUNTIF($NX105:$NY105,"Rápido"))&gt;0),"Reação não entra com Rápido",""),IF(AND((COUNTIF($MK105:$MN105,"Reação")+COUNTIF($NX105:$NY105,"Reação"))&gt;0,(COUNTIF($MK105:$MN105,"Armado")+COUNTIF($NX105:$NY105,"Armado"))&gt;0),"Reação não entra com Armado",""),IF(AND((COUNTIF($MK105:$MN105,"Reação")+COUNTIF($NX105:$NY105,"Reação"))&gt;0,(COUNTIF($MK105:$MN105,"Atrasar")+COUNTIF($NX105:$NY105,"Atrasar"))&gt;0),"Reação não entra com Atrasar",""),IF(AND((COUNTIF($MK105:$MN105,"Reação")+COUNTIF($NX105:$NY105,"Reação"))&gt;0,(COUNTIF($MK105:$MN105,"Parado")+COUNTIF($NX105:$NY105,"Parado"))&gt;0),"Reação não entra com Parado",""),IF(AND((COUNTIF($MK105:$MN105,"Atrasar")+COUNTIF($NX105:$NY105,"Atrasar"))&gt;0,(COUNTIF($MK105:$MN105,"Parado")+COUNTIF($NX105:$NY105,"Parado"))&gt;0),"Atrasar não entra com Parado",""),IF(AND((COUNTIF($MK105:$MN105,"Armado")+COUNTIF($NX105:$NY105,"Armado"))&gt;0,(COUNTIF($MK105:$MN105,"Carregar")+COUNTIF($NX105:$NY105,"Carregar"))&gt;0),"Armado não entra com Carregar",""),IF(AND(COUNTIF($NX105:$NY105,"Corpo a Corpo")&gt;0,$NS105=0,OR($MH105="Cone",$MH105="Linha")),"Corpo a Corpo não entra em "&amp;$MH105,""),IF(AND(COUNTIF($NX105:$NY105,"Corpo a Corpo")&gt;0,$NS105=1),"A Forma "&amp;$MH105&amp;" já traz o Corpo a Corpo",""),IF(AND(COUNTIF($NX105:$NY105,"Tudo ou Nada")&gt;0,$NU105=0),"Tudo ou Nada só entra em habilidade de Teste de Resistência",""),IF(AND(COUNTIF($MK105:$MN105,"Inescapável")&gt;0,OR($OH105&gt;1,$OI105&gt;0)),"Inescapável não aceita outra peça",""),IF(AND($MF105&gt;0,$OQ105*IF(COUNTIF($MK105:$MN105,"Remate")&gt;0,1.25,1)+$OR105&gt;4*$MF105),($OQ105*IF(COUNTIF($MK105:$MN105,"Remate")&gt;0,1.25,1)+$OR105)&amp;" dados somando repetições"&amp;IF(COUNTIF($MK105:$MN105,"Remate")&gt;0," e o Remate","")&amp;": o teto da Classe "&amp;$MF105&amp;" é "&amp;4*$MF105,"")))</f>
        <v/>
      </c>
      <c r="PH105" s="152">
        <f>IF($PG105="",0,(LEN($PG105)-LEN(SUBSTITUTE($PG105," · ","")))/3+1)</f>
        <v/>
      </c>
      <c r="PI105" s="152">
        <f>IF($MQ105=0,"",TEXTJOIN(" · ",TRUE,IF($OK105&gt;2*$MF105,"A devolução parou no teto de "&amp;2*$MF105,""),IF($ON105&gt;0,"Devolução perdida: "&amp;$ON105&amp;IF($ON105&gt;1," pontos"," ponto")&amp;" sem peça para pagar",""),IF(AND($NP105&gt;0,AND($MF105&gt;0,$NT105=0),$OQ105=0),"Controle sem dano: uma rodada a mais e CD +2",""),IF(AND($NP105&gt;0,AND($MF105&gt;0,$NT105=0),$OQ105&gt;0,$OQ105&lt;=$MF105),"Controle com saldo até a Classe: uma rodada a mais",""),IF(AND($MF105&gt;0,$NR105&lt;&gt;""),"Efeito de "&amp;$NR105&amp;" pela Classe "&amp;MAX(1,$MF105-1),"")))</f>
        <v/>
      </c>
      <c r="PJ105" s="152">
        <f>IF($PI105="",0,(LEN($PI105)-LEN(SUBSTITUTE($PI105," · ","")))/3+1)</f>
        <v/>
      </c>
      <c r="PK105" s="152">
        <f>IF($MQ105=0,IF($OH105+COUNTIF($MO105:$MP105,"?*")&gt;0,"Dê um nome",""),IF($PH105&gt;0,"⚠ "&amp;$PH105&amp;IF($PH105&gt;1," erros"," erro"),IF($PJ105&gt;0,"! "&amp;$PJ105&amp;IF($PJ105&gt;1," avisos"," aviso"),"Na regra")))</f>
        <v/>
      </c>
      <c r="PL105" s="152">
        <f>IF($MQ105=0,"",IF($PH105+$PJ105=0,"Dentro das regras que a ficha confere",$PG105&amp;IF(AND($PH105&gt;0,$PJ105&gt;0)," · ","")&amp;$PI105))</f>
        <v/>
      </c>
      <c r="PM105" s="152">
        <f>IF($MD105&gt;$MR105,$ME105&amp;" · ABRE NO NÍVEL "&amp;$MD105,$ME105)</f>
        <v/>
      </c>
      <c r="PN105" s="152">
        <f>IF($MQ105=0,"",IF($MF105=0,"Sem PE",3*$MF105&amp;" PE"))</f>
        <v/>
      </c>
      <c r="PO105" s="152">
        <f>IF($MQ105=0,"",IF($MF105=0,"A atuação básica dela",IF(COUNTIF($NX105:$NY105,"Atrasar")&gt;0,"Sua Ação Completa",IF(COUNTIF($MK105:$MN105,"Rápido")&gt;0,"Sua Bônus",IF(COUNTIF($MK105:$MN105,"Reação")&gt;0,"Sua Reação","Sua Padrão")))&amp;" + a básica dela"&amp;IF(COUNTIF($MK105:$MN105,"Reação")&gt;0," e a coletiva","")&amp;IF(COUNTIF($NX105:$NY105,"Carregar")&gt;0," · em dois turnos","")))</f>
        <v/>
      </c>
      <c r="PP105" s="152">
        <f>IF($MJ105&lt;&gt;"",$MJ105,IF($MW105=0,"",INDEX($AA$2:$AA$11,$MW105)))</f>
        <v/>
      </c>
      <c r="PQ105" s="152">
        <f>IF(OR($MQ105=0,$MW105=0),"",IF(COUNTIF($MK105:$MN105,"Inescapável")&gt;0,"Automático",IF($PP105="Ataque",IF($MU105="","Ataque","Ataque "&amp;IF(($MU105+2*IF(COUNTIF($MK105:$MN105,"Precisão")&gt;0,1,0))&gt;=0,"+","−")&amp;ABS(($MU105+2*IF(COUNTIF($MK105:$MN105,"Precisão")&gt;0,1,0))))&amp;IF($NQ105&gt;0," · TR"&amp;IF($MV105="",""," CD "&amp;$MV105),""),IF(LEFT($PP105,2)="TR",$PP105&amp;IF($MV105="",""," · CD "&amp;$MV105)&amp;IF(COUNTIF($MK105:$MN105,"Certeiro")&gt;0," · metade",""),"Sem rolagem"))))</f>
        <v/>
      </c>
      <c r="PR105" s="152">
        <f>IF(OR($MQ105=0,$MW105=0),"",IF($MF105=0,IF(OR($NT105&gt;=1,$OQ105=0),"Sem dano",$OQ105&amp;"d6"&amp;IF($MI105="",""," "&amp;$MI105)),IF(OR($NT105&gt;=1,$OQ105=0),UPPER(LEFT(INDEX($OZ105:$PF105,1,MAX(1,$MF105)),1))&amp;MID(INDEX($OZ105:$PF105,1,MAX(1,$MF105)),2,99),UPPER(LEFT(INDEX($OZ105:$PF105,1,MAX(1,$MF105)),1))&amp;MID(INDEX($OZ105:$PF105,1,MAX(1,$MF105)),2,99)&amp;IF($MI105="",""," "&amp;$MI105)&amp;IF($OR105&gt;0," · +"&amp;$OR105&amp;"d8",""))))</f>
        <v/>
      </c>
      <c r="PS105" s="152">
        <f>COUNTIF($MK105:$MN105,"Longe")+3*COUNTIF($MK105:$MN105,"Muito Longe")</f>
        <v/>
      </c>
      <c r="PT105" s="152">
        <f>COUNTIF($MK105:$MN105,"Maior")+3*COUNTIF($MK105:$MN105,"Muito Maior")</f>
        <v/>
      </c>
      <c r="PU105" s="152">
        <f>IF($MW105=0,0,CHOOSE(1+INDEX($AC$2:$AC$11,$MW105),0,$PS105,$PT105,$PS105+$PT105))</f>
        <v/>
      </c>
      <c r="PV105" s="152">
        <f>IF($MW105=0,0,CHOOSE(1+INDEX($AD$2:$AD$11,$MW105),0,$PS105,$PT105,$PS105+$PT105))</f>
        <v/>
      </c>
      <c r="PW105" s="152">
        <f>IF(OR($MQ105=0,$MW105=0),"",INDEX($AI$2:$AN$41,($MW105-1)*4+IF($MF105=0,1,IF($MF105&lt;=5,2,IF($MF105=6,3,4))),1+MIN(5,$PU105))&amp;INDEX($AO$2:$AT$41,($MW105-1)*4+IF($MF105=0,1,IF($MF105&lt;=5,2,IF($MF105=6,3,4))),1+MIN(5,$PV105))&amp;IF(INDEX($AE$2:$AE$11,$MW105)=1,IF(COUNTIF($MK105:$MN105,"Mais Um")&gt;0," · +"&amp;COUNTIF($MK105:$MN105,"Mais Um")&amp;IF(COUNTIF($MK105:$MN105,"Mais Um")&gt;1," alvos"," alvo"),"")&amp;IF(COUNTIF($MK105:$MN105,"Rajada")&gt;0,IF($MF105=0," · 1 tiro"," · "&amp;(MAX(1,$MF105-1)+1)&amp;" tiros"),""),""))</f>
        <v/>
      </c>
      <c r="PX105" s="152">
        <f>IF($MQ105=0,"",IF($MF105=0,$MT105&amp;"d6"&amp;IF($OH105&gt;0," − 1 = "&amp;$OQ105&amp;"d6"," da básica do nível "&amp;$MR105),$OO105&amp;" − "&amp;$OJ105&amp;" + "&amp;$OM105&amp;" = "&amp;$OP105&amp;" · teto "&amp;4*$MF105&amp;"d8"&amp;IF($NS105=1," · a Forma devolve "&amp;$MF105,"")&amp;IF($ON105&gt;0," · perde "&amp;$ON105,"")))</f>
        <v/>
      </c>
      <c r="PY105" s="152">
        <f>IF($MQ105=0,"",IF($MF105=0,"A básica não amplia: os dados dela sobem com o nível",IF($MF105&gt;=$MS105,"Já está na maior Classe que o nível liberou",TEXTJOIN(" · ",TRUE,IF(AND(2&gt;$MF105,2&lt;=$MS105),"2 → "&amp;$PA105&amp;", 6 PE",""),IF(AND(3&gt;$MF105,3&lt;=$MS105),"3 → "&amp;$PB105&amp;", 9 PE",""),IF(AND(4&gt;$MF105,4&lt;=$MS105),"4 → "&amp;$PC105&amp;", 12 PE",""),IF(AND(5&gt;$MF105,5&lt;=$MS105),"5 → "&amp;$PD105&amp;", 15 PE",""),IF(AND(6&gt;$MF105,6&lt;=$MS105),"6 → "&amp;$PE105&amp;", 18 PE",""),IF(AND(7&gt;$MF105,7&lt;=$MS105),"7 → "&amp;$PF105&amp;", 21 PE","")))))</f>
        <v/>
      </c>
      <c r="PZ105" s="152">
        <f>IF(OR($MQ105=0,$NB105=0),"",IF($MF105=0,"−1 dado","−"&amp;INDEX($I$2:$N$8,MAX(1,$MF105),MAX(1,$NG105))&amp;" · "&amp;CHOOSE(MAX(1,$NG105),"Leve","Média","Pesada","Leve · Livre","Média · Livre","Pesada · Livre")))</f>
        <v/>
      </c>
      <c r="QA105" s="152">
        <f>IF(OR($MQ105=0,$NC105=0),"",IF($MF105=0,"−1 dado","−"&amp;INDEX($I$2:$N$8,MAX(1,$MF105),MAX(1,$NH105))&amp;" · "&amp;CHOOSE(MAX(1,$NH105),"Leve","Média","Pesada","Leve · Livre","Média · Livre","Pesada · Livre")))</f>
        <v/>
      </c>
      <c r="QB105" s="152">
        <f>IF(OR($MQ105=0,$ND105=0),"",IF($MF105=0,"−1 dado","−"&amp;INDEX($I$2:$N$8,MAX(1,$MF105),MAX(1,$NI105))&amp;" · "&amp;CHOOSE(MAX(1,$NI105),"Leve","Média","Pesada","Leve · Livre","Média · Livre","Pesada · Livre")))</f>
        <v/>
      </c>
      <c r="QC105" s="152">
        <f>IF(OR($MQ105=0,$NE105=0),"",IF($MF105=0,"−1 dado","−"&amp;INDEX($I$2:$N$8,MAX(1,$MF105),MAX(1,$NJ105))&amp;" · "&amp;CHOOSE(MAX(1,$NJ105),"Leve","Média","Pesada","Leve · Livre","Média · Livre","Pesada · Livre")))</f>
        <v/>
      </c>
      <c r="QD105" s="152">
        <f>IF(OR($MQ105=0,$MO105=""),"",IF($MF105=0,"não devolve","+"&amp;IF($NV105=1,CEILING($MF105/2,1),$MF105)))</f>
        <v/>
      </c>
      <c r="QE105" s="152">
        <f>IF(OR($MQ105=0,$MP105=""),"",IF($MF105=0,"não devolve","+"&amp;IF($NW105=1,CEILING($MF105/2,1),$MF105)))</f>
        <v/>
      </c>
    </row>
    <row r="106">
      <c r="MA106" s="150" t="inlineStr">
        <is>
          <t>Ficha 9 · Básica 1</t>
        </is>
      </c>
      <c r="MB106" s="152" t="n">
        <v>9</v>
      </c>
      <c r="MC106" s="152" t="n">
        <v>0</v>
      </c>
      <c r="MD106" s="152" t="n">
        <v>1</v>
      </c>
      <c r="ME106" s="150" t="inlineStr">
        <is>
          <t>BÁSICA 1</t>
        </is>
      </c>
      <c r="MF106" s="152" t="n">
        <v>0</v>
      </c>
      <c r="MG106" s="152">
        <f>'INVOCAÇÕES'!$AC$454&amp;""</f>
        <v/>
      </c>
      <c r="MH106" s="152">
        <f>'INVOCAÇÕES'!$AB$459&amp;""</f>
        <v/>
      </c>
      <c r="MI106" s="152">
        <f>'INVOCAÇÕES'!$AB$460&amp;""</f>
        <v/>
      </c>
      <c r="MJ106" s="152">
        <f>'INVOCAÇÕES'!$AD$460&amp;""</f>
        <v/>
      </c>
      <c r="MK106" s="152">
        <f>'INVOCAÇÕES'!$AC$463&amp;""</f>
        <v/>
      </c>
      <c r="ML106" s="152">
        <f>'INVOCAÇÕES'!$AC$464&amp;""</f>
        <v/>
      </c>
      <c r="MM106" s="152">
        <f>'INVOCAÇÕES'!$AC$465&amp;""</f>
        <v/>
      </c>
      <c r="MN106" s="152">
        <f>'INVOCAÇÕES'!$AC$466&amp;""</f>
        <v/>
      </c>
      <c r="MO106" s="152">
        <f>'INVOCAÇÕES'!$AC$467&amp;""</f>
        <v/>
      </c>
      <c r="MP106" s="152">
        <f>'INVOCAÇÕES'!$AC$468&amp;""</f>
        <v/>
      </c>
      <c r="MQ106" s="152">
        <f>IF($MG106&lt;&gt;"",1,0)</f>
        <v/>
      </c>
      <c r="MR106" s="152">
        <f>INDEX($FI$2:$FI$13,$MB106)</f>
        <v/>
      </c>
      <c r="MS106" s="152">
        <f>INDEX($FJ$2:$FJ$13,$MB106)</f>
        <v/>
      </c>
      <c r="MT106" s="152">
        <f>INDEX($FK$2:$FK$13,$MB106)</f>
        <v/>
      </c>
      <c r="MU106" s="152">
        <f>INDEX($FV$2:$FV$13,$MB106)</f>
        <v/>
      </c>
      <c r="MV106" s="152">
        <f>INDEX($FW$2:$FW$13,$MB106)</f>
        <v/>
      </c>
      <c r="MW106" s="152">
        <f>IFERROR(MATCH($MH106,$V$2:$V$11,0),0)</f>
        <v/>
      </c>
      <c r="MX106" s="152">
        <f>IFERROR(VLOOKUP($MK106,$AV$2:$BA$84,2,FALSE),"")</f>
        <v/>
      </c>
      <c r="MY106" s="152">
        <f>IFERROR(VLOOKUP($ML106,$AV$2:$BA$84,2,FALSE),"")</f>
        <v/>
      </c>
      <c r="MZ106" s="152">
        <f>IFERROR(VLOOKUP($MM106,$AV$2:$BA$84,2,FALSE),"")</f>
        <v/>
      </c>
      <c r="NA106" s="152">
        <f>IFERROR(VLOOKUP($MN106,$AV$2:$BA$84,2,FALSE),"")</f>
        <v/>
      </c>
      <c r="NB106" s="152">
        <f>IFERROR(VLOOKUP($MK106,$AV$2:$BA$84,3,FALSE),0)</f>
        <v/>
      </c>
      <c r="NC106" s="152">
        <f>IFERROR(VLOOKUP($ML106,$AV$2:$BA$84,3,FALSE),0)</f>
        <v/>
      </c>
      <c r="ND106" s="152">
        <f>IFERROR(VLOOKUP($MM106,$AV$2:$BA$84,3,FALSE),0)</f>
        <v/>
      </c>
      <c r="NE106" s="152">
        <f>IFERROR(VLOOKUP($MN106,$AV$2:$BA$84,3,FALSE),0)</f>
        <v/>
      </c>
      <c r="NF106" s="152">
        <f>IF($MF106=0,0,IF($MW106=0,0,INDEX($X$2:$X$11,$MW106)))</f>
        <v/>
      </c>
      <c r="NG106" s="152">
        <f>IF(OR($NB106=0,$MF106=0),0,$NB106+3*IF(AND($MX106&lt;&gt;"",OR($MX106=INDEX($EF$2:$EF$13,$MB106),$MX106=INDEX($EG$2:$EG$13,$MB106))),1,0))</f>
        <v/>
      </c>
      <c r="NH106" s="152">
        <f>IF(OR($NC106=0,$MF106=0),0,$NC106+3*IF(AND($MY106&lt;&gt;"",OR($MY106=INDEX($EF$2:$EF$13,$MB106),$MY106=INDEX($EG$2:$EG$13,$MB106))),1,0))</f>
        <v/>
      </c>
      <c r="NI106" s="152">
        <f>IF(OR($ND106=0,$MF106=0),0,$ND106+3*IF(AND($MZ106&lt;&gt;"",OR($MZ106=INDEX($EF$2:$EF$13,$MB106),$MZ106=INDEX($EG$2:$EG$13,$MB106))),1,0))</f>
        <v/>
      </c>
      <c r="NJ106" s="152">
        <f>IF(OR($NE106=0,$MF106=0),0,$NE106+3*IF(AND($NA106&lt;&gt;"",OR($NA106=INDEX($EF$2:$EF$13,$MB106),$NA106=INDEX($EG$2:$EG$13,$MB106))),1,0))</f>
        <v/>
      </c>
      <c r="NK106" s="152">
        <f>IF($MW106=0,0,IF(INDEX($W$2:$W$11,$MW106)="",0,IF(COUNTIF(INDEX($EF$2:$EJ$13,$MB106,0),INDEX($W$2:$W$11,$MW106))=0,1,0)))</f>
        <v/>
      </c>
      <c r="NL106" s="152">
        <f>IF(OR($NB106=0,$MX106=""),0,IF(COUNTIF(INDEX($EF$2:$EJ$13,$MB106,0),$MX106)=0,1,0))</f>
        <v/>
      </c>
      <c r="NM106" s="152">
        <f>IF(OR($NC106=0,$MY106=""),0,IF(COUNTIF(INDEX($EF$2:$EJ$13,$MB106,0),$MY106)=0,1,0))</f>
        <v/>
      </c>
      <c r="NN106" s="152">
        <f>IF(OR($ND106=0,$MZ106=""),0,IF(COUNTIF(INDEX($EF$2:$EJ$13,$MB106,0),$MZ106)=0,1,0))</f>
        <v/>
      </c>
      <c r="NO106" s="152">
        <f>IF(OR($NE106=0,$NA106=""),0,IF(COUNTIF(INDEX($EF$2:$EJ$13,$MB106,0),$NA106)=0,1,0))</f>
        <v/>
      </c>
      <c r="NP106" s="152">
        <f>IFERROR(VLOOKUP($MK106,$AV$2:$BA$84,4,FALSE),0)+IFERROR(VLOOKUP($ML106,$AV$2:$BA$84,4,FALSE),0)+IFERROR(VLOOKUP($MM106,$AV$2:$BA$84,4,FALSE),0)+IFERROR(VLOOKUP($MN106,$AV$2:$BA$84,4,FALSE),0)</f>
        <v/>
      </c>
      <c r="NQ106" s="152">
        <f>IFERROR(VLOOKUP($MK106,$AV$2:$BA$84,6,FALSE),0)+IFERROR(VLOOKUP($ML106,$AV$2:$BA$84,6,FALSE),0)+IFERROR(VLOOKUP($MM106,$AV$2:$BA$84,6,FALSE),0)+IFERROR(VLOOKUP($MN106,$AV$2:$BA$84,6,FALSE),0)</f>
        <v/>
      </c>
      <c r="NR106" s="152">
        <f>TEXTJOIN(", ",TRUE,IF(IFERROR(VLOOKUP($MK106,$AV$2:$BA$84,5,FALSE),0)=1,$MK106,""),IF(IFERROR(VLOOKUP($ML106,$AV$2:$BA$84,5,FALSE),0)=1,$ML106,""),IF(IFERROR(VLOOKUP($MM106,$AV$2:$BA$84,5,FALSE),0)=1,$MM106,""),IF(IFERROR(VLOOKUP($MN106,$AV$2:$BA$84,5,FALSE),0)=1,$MN106,""))</f>
        <v/>
      </c>
      <c r="NS106" s="152">
        <f>IF($MW106=0,0,INDEX($Y$2:$Y$11,$MW106))</f>
        <v/>
      </c>
      <c r="NT106" s="152">
        <f>IF($MW106=0,0,INDEX($Z$2:$Z$11,$MW106))</f>
        <v/>
      </c>
      <c r="NU106" s="152">
        <f>IF($MW106=0,0,INDEX($AB$2:$AB$11,$MW106))</f>
        <v/>
      </c>
      <c r="NV106" s="152">
        <f>IFERROR(VLOOKUP($MO106,$BC$2:$BG$24,3,FALSE),0)</f>
        <v/>
      </c>
      <c r="NW106" s="152">
        <f>IFERROR(VLOOKUP($MP106,$BC$2:$BG$24,3,FALSE),0)</f>
        <v/>
      </c>
      <c r="NX106" s="152">
        <f>IFERROR(VLOOKUP($MO106,$BC$2:$BG$24,2,FALSE),"")</f>
        <v/>
      </c>
      <c r="NY106" s="152">
        <f>IFERROR(VLOOKUP($MP106,$BC$2:$BG$24,2,FALSE),"")</f>
        <v/>
      </c>
      <c r="NZ106" s="152">
        <f>COUNTIF($NF106:$NJ106,1)</f>
        <v/>
      </c>
      <c r="OA106" s="152">
        <f>COUNTIF($NF106:$NJ106,2)</f>
        <v/>
      </c>
      <c r="OB106" s="152">
        <f>COUNTIF($NF106:$NJ106,3)</f>
        <v/>
      </c>
      <c r="OC106" s="152">
        <f>COUNTIF($NF106:$NJ106,4)</f>
        <v/>
      </c>
      <c r="OD106" s="152">
        <f>COUNTIF($NF106:$NJ106,5)</f>
        <v/>
      </c>
      <c r="OE106" s="152">
        <f>COUNTIF($NF106:$NJ106,6)</f>
        <v/>
      </c>
      <c r="OF106" s="152">
        <f>COUNTIF($NV106:$NW106,1)</f>
        <v/>
      </c>
      <c r="OG106" s="152">
        <f>COUNTIF($NV106:$NW106,2)+$NS106</f>
        <v/>
      </c>
      <c r="OH106" s="152">
        <f>COUNTIF($MK106:$MN106,"?*")</f>
        <v/>
      </c>
      <c r="OI106" s="152">
        <f>COUNTIF($MO106:$MP106,"?*")+$NS106</f>
        <v/>
      </c>
      <c r="OJ106" s="152">
        <f>IF($MF106=0,0,SUMPRODUCT($NZ106:$OE106,INDEX($I$2:$N$8,MAX(1,$MF106),0)))</f>
        <v/>
      </c>
      <c r="OK106" s="152">
        <f>IF($MF106=0,0,$OF106*CEILING($MF106/2,1)+$OG106*$MF106)</f>
        <v/>
      </c>
      <c r="OL106" s="152">
        <f>MIN(2*$MF106,$OK106)</f>
        <v/>
      </c>
      <c r="OM106" s="152">
        <f>MIN($OL106,$OJ106)</f>
        <v/>
      </c>
      <c r="ON106" s="152">
        <f>$OL106-$OM106</f>
        <v/>
      </c>
      <c r="OO106" s="152">
        <f>IF($MF106=0,0,INDEX($P$2:$P$8,MAX(1,$MF106)))</f>
        <v/>
      </c>
      <c r="OP106" s="152">
        <f>$OO106-$OJ106+$OM106</f>
        <v/>
      </c>
      <c r="OQ106" s="152">
        <f>IF($MF106=0,MAX(0,$MT106-IF($OH106&gt;0,1,0)),MAX(0,$OP106))</f>
        <v/>
      </c>
      <c r="OR106" s="152">
        <f>IF($MF106=0,0,(IF(COUNTIF($MK106:$MN106,"Salto")&gt;0,1,0)+IF(COUNTIF($MK106:$MN106,"Queima")&gt;0,1,0)+IF(COUNTIF($MK106:$MN106,"Estilhaço")&gt;0,1,0))*FLOOR($OQ106/2,1))</f>
        <v/>
      </c>
      <c r="OS106" s="152">
        <f>MAX(0,2-SUMPRODUCT($NZ106:$OE106,$I$2:$N$2)+MIN(2,$OF106*1+$OG106*1,SUMPRODUCT($NZ106:$OE106,$I$2:$N$2)))</f>
        <v/>
      </c>
      <c r="OT106" s="152">
        <f>MAX(0,4-SUMPRODUCT($NZ106:$OE106,$I$3:$N$3)+MIN(4,$OF106*1+$OG106*2,SUMPRODUCT($NZ106:$OE106,$I$3:$N$3)))</f>
        <v/>
      </c>
      <c r="OU106" s="152">
        <f>MAX(0,6-SUMPRODUCT($NZ106:$OE106,$I$4:$N$4)+MIN(6,$OF106*2+$OG106*3,SUMPRODUCT($NZ106:$OE106,$I$4:$N$4)))</f>
        <v/>
      </c>
      <c r="OV106" s="152">
        <f>MAX(0,9-SUMPRODUCT($NZ106:$OE106,$I$5:$N$5)+MIN(8,$OF106*2+$OG106*4,SUMPRODUCT($NZ106:$OE106,$I$5:$N$5)))</f>
        <v/>
      </c>
      <c r="OW106" s="152">
        <f>MAX(0,11-SUMPRODUCT($NZ106:$OE106,$I$6:$N$6)+MIN(10,$OF106*3+$OG106*5,SUMPRODUCT($NZ106:$OE106,$I$6:$N$6)))</f>
        <v/>
      </c>
      <c r="OX106" s="152">
        <f>MAX(0,13-SUMPRODUCT($NZ106:$OE106,$I$7:$N$7)+MIN(12,$OF106*3+$OG106*6,SUMPRODUCT($NZ106:$OE106,$I$7:$N$7)))</f>
        <v/>
      </c>
      <c r="OY106" s="152">
        <f>MAX(0,16-SUMPRODUCT($NZ106:$OE106,$I$8:$N$8)+MIN(14,$OF106*4+$OG106*7,SUMPRODUCT($NZ106:$OE106,$I$8:$N$8)))</f>
        <v/>
      </c>
      <c r="OZ106" s="152">
        <f>IF($NT106=2,3*$OS106&amp;" de vida temp.",IF($NT106=3,"sem dano",IF($OS106=0,IF($NT106=1,"sem cura","sem dano"),IF($NT106=1,"cura ","")&amp;$OS106&amp;"d8")))</f>
        <v/>
      </c>
      <c r="PA106" s="152">
        <f>IF($NT106=2,3*$OT106&amp;" de vida temp.",IF($NT106=3,"sem dano",IF($OT106=0,IF($NT106=1,"sem cura","sem dano"),IF($NT106=1,"cura ","")&amp;$OT106&amp;"d8")))</f>
        <v/>
      </c>
      <c r="PB106" s="152">
        <f>IF($NT106=2,3*$OU106&amp;" de vida temp.",IF($NT106=3,"sem dano",IF($OU106=0,IF($NT106=1,"sem cura","sem dano"),IF($NT106=1,"cura ","")&amp;$OU106&amp;"d8")))</f>
        <v/>
      </c>
      <c r="PC106" s="152">
        <f>IF($NT106=2,3*$OV106&amp;" de vida temp.",IF($NT106=3,"sem dano",IF($OV106=0,IF($NT106=1,"sem cura","sem dano"),IF($NT106=1,"cura ","")&amp;$OV106&amp;"d8")))</f>
        <v/>
      </c>
      <c r="PD106" s="152">
        <f>IF($NT106=2,3*$OW106&amp;" de vida temp.",IF($NT106=3,"sem dano",IF($OW106=0,IF($NT106=1,"sem cura","sem dano"),IF($NT106=1,"cura ","")&amp;$OW106&amp;"d8")))</f>
        <v/>
      </c>
      <c r="PE106" s="152">
        <f>IF($NT106=2,3*$OX106&amp;" de vida temp.",IF($NT106=3,"sem dano",IF($OX106=0,IF($NT106=1,"sem cura","sem dano"),IF($NT106=1,"cura ","")&amp;$OX106&amp;"d8")))</f>
        <v/>
      </c>
      <c r="PF106" s="152">
        <f>IF($NT106=2,3*$OY106&amp;" de vida temp.",IF($NT106=3,"sem dano",IF($OY106=0,IF($NT106=1,"sem cura","sem dano"),IF($NT106=1,"cura ","")&amp;$OY106&amp;"d8")))</f>
        <v/>
      </c>
      <c r="PG106" s="152">
        <f>IF($MQ106=0,"",TEXTJOIN(" · ",TRUE,IF($MD106&gt;$MR106,"Este lugar abre no nível "&amp;$MD106,""),IF($MF106&gt;$MS106,"Classe "&amp;$MF106&amp;": o nível "&amp;$MR106&amp;" libera até a "&amp;$MS106,""),IF($NK106=1,"A Forma "&amp;$MH106&amp;" pede "&amp;INDEX($W$2:$W$11,$MW106)&amp;" aberta",""),IF(AND($MF106=0,$MW106&gt;0,IF($MW106=0,0,INDEX($AF$2:$AF$11,$MW106))=0),$MH106&amp;" não existe na Classe 0",""),IF($NL106=1,"Família Fechada: "&amp;$MK106,""),IF($NM106=1,"Família Fechada: "&amp;$ML106,""),IF($NN106=1,"Família Fechada: "&amp;$MM106,""),IF($NO106=1,"Família Fechada: "&amp;$MN106,""),IF(AND($MF106&gt;0,$OH106&gt;INDEX($O$2:$O$8,MAX(1,$MF106))),$OH106&amp;" Melhorias: a Classe "&amp;$MF106&amp;" aceita "&amp;INDEX($O$2:$O$8,MAX(1,$MF106)),""),IF(AND($MF106=0,$OH106&gt;1),"A básica aceita uma Melhoria",""),IF(AND($MF106=0,COUNTIF($NB106:$NE106,"&gt;1")&gt;0),"A básica só aceita Melhoria Leve",""),IF(AND($MF106&gt;0,$OI106&gt;2),$OI106&amp;" Restrições"&amp;IF($NS106=1,", contando a que a Forma "&amp;$MH106&amp;" já traz","")&amp;": o limite é 2",""),IF(AND($MF106=0,COUNTIF($MO106:$MP106,"?*")&gt;1),"A básica aceita uma Restrição Leve",""),IF(AND($MF106=0,COUNTIF($NV106:$NW106,2)&gt;0),"A básica só aceita Restrição Leve",""),IF(AND($MF106&gt;0,$OP106&lt;0),"Orçamento estourado: faltam "&amp;(-$OP106)&amp;IF($OP106&lt;-1," pontos"," ponto"),""),IF(IFERROR(VLOOKUP($MO106,$BC$2:$BG$24,4,FALSE),0)+IFERROR(VLOOKUP($MP106,$BC$2:$BG$24,4,FALSE),0)&gt;1,$NX106&amp;" e "&amp;$NY106&amp;" são as duas de frequência",""),IF(AND((COUNTIF($MK106:$MN106,"Rápido")+COUNTIF($NX106:$NY106,"Rápido"))&gt;0,(COUNTIF($MK106:$MN106,"Atrasar")+COUNTIF($NX106:$NY106,"Atrasar"))&gt;0),"Rápido não entra com Atrasar",""),IF(AND((COUNTIF($MK106:$MN106,"Reação")+COUNTIF($NX106:$NY106,"Reação"))&gt;0,(COUNTIF($MK106:$MN106,"Rápido")+COUNTIF($NX106:$NY106,"Rápido"))&gt;0),"Reação não entra com Rápido",""),IF(AND((COUNTIF($MK106:$MN106,"Reação")+COUNTIF($NX106:$NY106,"Reação"))&gt;0,(COUNTIF($MK106:$MN106,"Armado")+COUNTIF($NX106:$NY106,"Armado"))&gt;0),"Reação não entra com Armado",""),IF(AND((COUNTIF($MK106:$MN106,"Reação")+COUNTIF($NX106:$NY106,"Reação"))&gt;0,(COUNTIF($MK106:$MN106,"Atrasar")+COUNTIF($NX106:$NY106,"Atrasar"))&gt;0),"Reação não entra com Atrasar",""),IF(AND((COUNTIF($MK106:$MN106,"Reação")+COUNTIF($NX106:$NY106,"Reação"))&gt;0,(COUNTIF($MK106:$MN106,"Parado")+COUNTIF($NX106:$NY106,"Parado"))&gt;0),"Reação não entra com Parado",""),IF(AND((COUNTIF($MK106:$MN106,"Atrasar")+COUNTIF($NX106:$NY106,"Atrasar"))&gt;0,(COUNTIF($MK106:$MN106,"Parado")+COUNTIF($NX106:$NY106,"Parado"))&gt;0),"Atrasar não entra com Parado",""),IF(AND((COUNTIF($MK106:$MN106,"Armado")+COUNTIF($NX106:$NY106,"Armado"))&gt;0,(COUNTIF($MK106:$MN106,"Carregar")+COUNTIF($NX106:$NY106,"Carregar"))&gt;0),"Armado não entra com Carregar",""),IF(AND(COUNTIF($NX106:$NY106,"Corpo a Corpo")&gt;0,$NS106=0,OR($MH106="Cone",$MH106="Linha")),"Corpo a Corpo não entra em "&amp;$MH106,""),IF(AND(COUNTIF($NX106:$NY106,"Corpo a Corpo")&gt;0,$NS106=1),"A Forma "&amp;$MH106&amp;" já traz o Corpo a Corpo",""),IF(AND(COUNTIF($NX106:$NY106,"Tudo ou Nada")&gt;0,$NU106=0),"Tudo ou Nada só entra em habilidade de Teste de Resistência",""),IF(AND(COUNTIF($MK106:$MN106,"Inescapável")&gt;0,OR($OH106&gt;1,$OI106&gt;0)),"Inescapável não aceita outra peça",""),IF(AND($MF106&gt;0,$OQ106*IF(COUNTIF($MK106:$MN106,"Remate")&gt;0,1.25,1)+$OR106&gt;4*$MF106),($OQ106*IF(COUNTIF($MK106:$MN106,"Remate")&gt;0,1.25,1)+$OR106)&amp;" dados somando repetições"&amp;IF(COUNTIF($MK106:$MN106,"Remate")&gt;0," e o Remate","")&amp;": o teto da Classe "&amp;$MF106&amp;" é "&amp;4*$MF106,"")))</f>
        <v/>
      </c>
      <c r="PH106" s="152">
        <f>IF($PG106="",0,(LEN($PG106)-LEN(SUBSTITUTE($PG106," · ","")))/3+1)</f>
        <v/>
      </c>
      <c r="PI106" s="152">
        <f>IF($MQ106=0,"",TEXTJOIN(" · ",TRUE,IF($OK106&gt;2*$MF106,"A devolução parou no teto de "&amp;2*$MF106,""),IF($ON106&gt;0,"Devolução perdida: "&amp;$ON106&amp;IF($ON106&gt;1," pontos"," ponto")&amp;" sem peça para pagar",""),IF(AND($NP106&gt;0,AND($MF106&gt;0,$NT106=0),$OQ106=0),"Controle sem dano: uma rodada a mais e CD +2",""),IF(AND($NP106&gt;0,AND($MF106&gt;0,$NT106=0),$OQ106&gt;0,$OQ106&lt;=$MF106),"Controle com saldo até a Classe: uma rodada a mais",""),IF(AND($MF106&gt;0,$NR106&lt;&gt;""),"Efeito de "&amp;$NR106&amp;" pela Classe "&amp;MAX(1,$MF106-1),"")))</f>
        <v/>
      </c>
      <c r="PJ106" s="152">
        <f>IF($PI106="",0,(LEN($PI106)-LEN(SUBSTITUTE($PI106," · ","")))/3+1)</f>
        <v/>
      </c>
      <c r="PK106" s="152">
        <f>IF($MQ106=0,IF($OH106+COUNTIF($MO106:$MP106,"?*")&gt;0,"Dê um nome",""),IF($PH106&gt;0,"⚠ "&amp;$PH106&amp;IF($PH106&gt;1," erros"," erro"),IF($PJ106&gt;0,"! "&amp;$PJ106&amp;IF($PJ106&gt;1," avisos"," aviso"),"Na regra")))</f>
        <v/>
      </c>
      <c r="PL106" s="152">
        <f>IF($MQ106=0,"",IF($PH106+$PJ106=0,"Dentro das regras que a ficha confere",$PG106&amp;IF(AND($PH106&gt;0,$PJ106&gt;0)," · ","")&amp;$PI106))</f>
        <v/>
      </c>
      <c r="PM106" s="152">
        <f>IF($MD106&gt;$MR106,$ME106&amp;" · ABRE NO NÍVEL "&amp;$MD106,$ME106)</f>
        <v/>
      </c>
      <c r="PN106" s="152">
        <f>IF($MQ106=0,"",IF($MF106=0,"Sem PE",3*$MF106&amp;" PE"))</f>
        <v/>
      </c>
      <c r="PO106" s="152">
        <f>IF($MQ106=0,"",IF($MF106=0,"A atuação básica dela",IF(COUNTIF($NX106:$NY106,"Atrasar")&gt;0,"Sua Ação Completa",IF(COUNTIF($MK106:$MN106,"Rápido")&gt;0,"Sua Bônus",IF(COUNTIF($MK106:$MN106,"Reação")&gt;0,"Sua Reação","Sua Padrão")))&amp;" + a básica dela"&amp;IF(COUNTIF($MK106:$MN106,"Reação")&gt;0," e a coletiva","")&amp;IF(COUNTIF($NX106:$NY106,"Carregar")&gt;0," · em dois turnos","")))</f>
        <v/>
      </c>
      <c r="PP106" s="152">
        <f>IF($MJ106&lt;&gt;"",$MJ106,IF($MW106=0,"",INDEX($AA$2:$AA$11,$MW106)))</f>
        <v/>
      </c>
      <c r="PQ106" s="152">
        <f>IF(OR($MQ106=0,$MW106=0),"",IF(COUNTIF($MK106:$MN106,"Inescapável")&gt;0,"Automático",IF($PP106="Ataque",IF($MU106="","Ataque","Ataque "&amp;IF(($MU106+2*IF(COUNTIF($MK106:$MN106,"Precisão")&gt;0,1,0))&gt;=0,"+","−")&amp;ABS(($MU106+2*IF(COUNTIF($MK106:$MN106,"Precisão")&gt;0,1,0))))&amp;IF($NQ106&gt;0," · TR"&amp;IF($MV106="",""," CD "&amp;$MV106),""),IF(LEFT($PP106,2)="TR",$PP106&amp;IF($MV106="",""," · CD "&amp;$MV106)&amp;IF(COUNTIF($MK106:$MN106,"Certeiro")&gt;0," · metade",""),"Sem rolagem"))))</f>
        <v/>
      </c>
      <c r="PR106" s="152">
        <f>IF(OR($MQ106=0,$MW106=0),"",IF($MF106=0,IF(OR($NT106&gt;=1,$OQ106=0),"Sem dano",$OQ106&amp;"d6"&amp;IF($MI106="",""," "&amp;$MI106)),IF(OR($NT106&gt;=1,$OQ106=0),UPPER(LEFT(INDEX($OZ106:$PF106,1,MAX(1,$MF106)),1))&amp;MID(INDEX($OZ106:$PF106,1,MAX(1,$MF106)),2,99),UPPER(LEFT(INDEX($OZ106:$PF106,1,MAX(1,$MF106)),1))&amp;MID(INDEX($OZ106:$PF106,1,MAX(1,$MF106)),2,99)&amp;IF($MI106="",""," "&amp;$MI106)&amp;IF($OR106&gt;0," · +"&amp;$OR106&amp;"d8",""))))</f>
        <v/>
      </c>
      <c r="PS106" s="152">
        <f>COUNTIF($MK106:$MN106,"Longe")+3*COUNTIF($MK106:$MN106,"Muito Longe")</f>
        <v/>
      </c>
      <c r="PT106" s="152">
        <f>COUNTIF($MK106:$MN106,"Maior")+3*COUNTIF($MK106:$MN106,"Muito Maior")</f>
        <v/>
      </c>
      <c r="PU106" s="152">
        <f>IF($MW106=0,0,CHOOSE(1+INDEX($AC$2:$AC$11,$MW106),0,$PS106,$PT106,$PS106+$PT106))</f>
        <v/>
      </c>
      <c r="PV106" s="152">
        <f>IF($MW106=0,0,CHOOSE(1+INDEX($AD$2:$AD$11,$MW106),0,$PS106,$PT106,$PS106+$PT106))</f>
        <v/>
      </c>
      <c r="PW106" s="152">
        <f>IF(OR($MQ106=0,$MW106=0),"",INDEX($AI$2:$AN$41,($MW106-1)*4+IF($MF106=0,1,IF($MF106&lt;=5,2,IF($MF106=6,3,4))),1+MIN(5,$PU106))&amp;INDEX($AO$2:$AT$41,($MW106-1)*4+IF($MF106=0,1,IF($MF106&lt;=5,2,IF($MF106=6,3,4))),1+MIN(5,$PV106))&amp;IF(INDEX($AE$2:$AE$11,$MW106)=1,IF(COUNTIF($MK106:$MN106,"Mais Um")&gt;0," · +"&amp;COUNTIF($MK106:$MN106,"Mais Um")&amp;IF(COUNTIF($MK106:$MN106,"Mais Um")&gt;1," alvos"," alvo"),"")&amp;IF(COUNTIF($MK106:$MN106,"Rajada")&gt;0,IF($MF106=0," · 1 tiro"," · "&amp;(MAX(1,$MF106-1)+1)&amp;" tiros"),""),""))</f>
        <v/>
      </c>
      <c r="PX106" s="152">
        <f>IF($MQ106=0,"",IF($MF106=0,$MT106&amp;"d6"&amp;IF($OH106&gt;0," − 1 = "&amp;$OQ106&amp;"d6"," da básica do nível "&amp;$MR106),$OO106&amp;" − "&amp;$OJ106&amp;" + "&amp;$OM106&amp;" = "&amp;$OP106&amp;" · teto "&amp;4*$MF106&amp;"d8"&amp;IF($NS106=1," · a Forma devolve "&amp;$MF106,"")&amp;IF($ON106&gt;0," · perde "&amp;$ON106,"")))</f>
        <v/>
      </c>
      <c r="PY106" s="152">
        <f>IF($MQ106=0,"",IF($MF106=0,"A básica não amplia: os dados dela sobem com o nível",IF($MF106&gt;=$MS106,"Já está na maior Classe que o nível liberou",TEXTJOIN(" · ",TRUE,IF(AND(2&gt;$MF106,2&lt;=$MS106),"2 → "&amp;$PA106&amp;", 6 PE",""),IF(AND(3&gt;$MF106,3&lt;=$MS106),"3 → "&amp;$PB106&amp;", 9 PE",""),IF(AND(4&gt;$MF106,4&lt;=$MS106),"4 → "&amp;$PC106&amp;", 12 PE",""),IF(AND(5&gt;$MF106,5&lt;=$MS106),"5 → "&amp;$PD106&amp;", 15 PE",""),IF(AND(6&gt;$MF106,6&lt;=$MS106),"6 → "&amp;$PE106&amp;", 18 PE",""),IF(AND(7&gt;$MF106,7&lt;=$MS106),"7 → "&amp;$PF106&amp;", 21 PE","")))))</f>
        <v/>
      </c>
      <c r="PZ106" s="152">
        <f>IF(OR($MQ106=0,$NB106=0),"",IF($MF106=0,"−1 dado","−"&amp;INDEX($I$2:$N$8,MAX(1,$MF106),MAX(1,$NG106))&amp;" · "&amp;CHOOSE(MAX(1,$NG106),"Leve","Média","Pesada","Leve · Livre","Média · Livre","Pesada · Livre")))</f>
        <v/>
      </c>
      <c r="QA106" s="152">
        <f>IF(OR($MQ106=0,$NC106=0),"",IF($MF106=0,"−1 dado","−"&amp;INDEX($I$2:$N$8,MAX(1,$MF106),MAX(1,$NH106))&amp;" · "&amp;CHOOSE(MAX(1,$NH106),"Leve","Média","Pesada","Leve · Livre","Média · Livre","Pesada · Livre")))</f>
        <v/>
      </c>
      <c r="QB106" s="152">
        <f>IF(OR($MQ106=0,$ND106=0),"",IF($MF106=0,"−1 dado","−"&amp;INDEX($I$2:$N$8,MAX(1,$MF106),MAX(1,$NI106))&amp;" · "&amp;CHOOSE(MAX(1,$NI106),"Leve","Média","Pesada","Leve · Livre","Média · Livre","Pesada · Livre")))</f>
        <v/>
      </c>
      <c r="QC106" s="152">
        <f>IF(OR($MQ106=0,$NE106=0),"",IF($MF106=0,"−1 dado","−"&amp;INDEX($I$2:$N$8,MAX(1,$MF106),MAX(1,$NJ106))&amp;" · "&amp;CHOOSE(MAX(1,$NJ106),"Leve","Média","Pesada","Leve · Livre","Média · Livre","Pesada · Livre")))</f>
        <v/>
      </c>
      <c r="QD106" s="152">
        <f>IF(OR($MQ106=0,$MO106=""),"",IF($MF106=0,"não devolve","+"&amp;IF($NV106=1,CEILING($MF106/2,1),$MF106)))</f>
        <v/>
      </c>
      <c r="QE106" s="152">
        <f>IF(OR($MQ106=0,$MP106=""),"",IF($MF106=0,"não devolve","+"&amp;IF($NW106=1,CEILING($MF106/2,1),$MF106)))</f>
        <v/>
      </c>
    </row>
    <row r="107">
      <c r="MA107" s="150" t="inlineStr">
        <is>
          <t>Ficha 9 · Especial 1</t>
        </is>
      </c>
      <c r="MB107" s="152" t="n">
        <v>9</v>
      </c>
      <c r="MC107" s="152" t="n">
        <v>1</v>
      </c>
      <c r="MD107" s="152" t="n">
        <v>1</v>
      </c>
      <c r="ME107" s="150" t="inlineStr">
        <is>
          <t>ESPECIAL 1</t>
        </is>
      </c>
      <c r="MF107" s="152">
        <f>MAX(1,MIN(7,N('INVOCAÇÕES'!$AH$454)))</f>
        <v/>
      </c>
      <c r="MG107" s="152">
        <f>'INVOCAÇÕES'!$AI$454&amp;""</f>
        <v/>
      </c>
      <c r="MH107" s="152">
        <f>'INVOCAÇÕES'!$AH$459&amp;""</f>
        <v/>
      </c>
      <c r="MI107" s="152">
        <f>'INVOCAÇÕES'!$AH$460&amp;""</f>
        <v/>
      </c>
      <c r="MJ107" s="152">
        <f>'INVOCAÇÕES'!$AJ$460&amp;""</f>
        <v/>
      </c>
      <c r="MK107" s="152">
        <f>'INVOCAÇÕES'!$AI$463&amp;""</f>
        <v/>
      </c>
      <c r="ML107" s="152">
        <f>'INVOCAÇÕES'!$AI$464&amp;""</f>
        <v/>
      </c>
      <c r="MM107" s="152">
        <f>'INVOCAÇÕES'!$AI$465&amp;""</f>
        <v/>
      </c>
      <c r="MN107" s="152">
        <f>'INVOCAÇÕES'!$AI$466&amp;""</f>
        <v/>
      </c>
      <c r="MO107" s="152">
        <f>'INVOCAÇÕES'!$AI$467&amp;""</f>
        <v/>
      </c>
      <c r="MP107" s="152">
        <f>'INVOCAÇÕES'!$AI$468&amp;""</f>
        <v/>
      </c>
      <c r="MQ107" s="152">
        <f>IF($MG107&lt;&gt;"",1,0)</f>
        <v/>
      </c>
      <c r="MR107" s="152">
        <f>INDEX($FI$2:$FI$13,$MB107)</f>
        <v/>
      </c>
      <c r="MS107" s="152">
        <f>INDEX($FJ$2:$FJ$13,$MB107)</f>
        <v/>
      </c>
      <c r="MT107" s="152">
        <f>INDEX($FK$2:$FK$13,$MB107)</f>
        <v/>
      </c>
      <c r="MU107" s="152">
        <f>INDEX($FV$2:$FV$13,$MB107)</f>
        <v/>
      </c>
      <c r="MV107" s="152">
        <f>INDEX($FW$2:$FW$13,$MB107)</f>
        <v/>
      </c>
      <c r="MW107" s="152">
        <f>IFERROR(MATCH($MH107,$V$2:$V$11,0),0)</f>
        <v/>
      </c>
      <c r="MX107" s="152">
        <f>IFERROR(VLOOKUP($MK107,$AV$2:$BA$84,2,FALSE),"")</f>
        <v/>
      </c>
      <c r="MY107" s="152">
        <f>IFERROR(VLOOKUP($ML107,$AV$2:$BA$84,2,FALSE),"")</f>
        <v/>
      </c>
      <c r="MZ107" s="152">
        <f>IFERROR(VLOOKUP($MM107,$AV$2:$BA$84,2,FALSE),"")</f>
        <v/>
      </c>
      <c r="NA107" s="152">
        <f>IFERROR(VLOOKUP($MN107,$AV$2:$BA$84,2,FALSE),"")</f>
        <v/>
      </c>
      <c r="NB107" s="152">
        <f>IFERROR(VLOOKUP($MK107,$AV$2:$BA$84,3,FALSE),0)</f>
        <v/>
      </c>
      <c r="NC107" s="152">
        <f>IFERROR(VLOOKUP($ML107,$AV$2:$BA$84,3,FALSE),0)</f>
        <v/>
      </c>
      <c r="ND107" s="152">
        <f>IFERROR(VLOOKUP($MM107,$AV$2:$BA$84,3,FALSE),0)</f>
        <v/>
      </c>
      <c r="NE107" s="152">
        <f>IFERROR(VLOOKUP($MN107,$AV$2:$BA$84,3,FALSE),0)</f>
        <v/>
      </c>
      <c r="NF107" s="152">
        <f>IF($MF107=0,0,IF($MW107=0,0,INDEX($X$2:$X$11,$MW107)))</f>
        <v/>
      </c>
      <c r="NG107" s="152">
        <f>IF(OR($NB107=0,$MF107=0),0,$NB107+3*IF(AND($MX107&lt;&gt;"",OR($MX107=INDEX($EF$2:$EF$13,$MB107),$MX107=INDEX($EG$2:$EG$13,$MB107))),1,0))</f>
        <v/>
      </c>
      <c r="NH107" s="152">
        <f>IF(OR($NC107=0,$MF107=0),0,$NC107+3*IF(AND($MY107&lt;&gt;"",OR($MY107=INDEX($EF$2:$EF$13,$MB107),$MY107=INDEX($EG$2:$EG$13,$MB107))),1,0))</f>
        <v/>
      </c>
      <c r="NI107" s="152">
        <f>IF(OR($ND107=0,$MF107=0),0,$ND107+3*IF(AND($MZ107&lt;&gt;"",OR($MZ107=INDEX($EF$2:$EF$13,$MB107),$MZ107=INDEX($EG$2:$EG$13,$MB107))),1,0))</f>
        <v/>
      </c>
      <c r="NJ107" s="152">
        <f>IF(OR($NE107=0,$MF107=0),0,$NE107+3*IF(AND($NA107&lt;&gt;"",OR($NA107=INDEX($EF$2:$EF$13,$MB107),$NA107=INDEX($EG$2:$EG$13,$MB107))),1,0))</f>
        <v/>
      </c>
      <c r="NK107" s="152">
        <f>IF($MW107=0,0,IF(INDEX($W$2:$W$11,$MW107)="",0,IF(COUNTIF(INDEX($EF$2:$EJ$13,$MB107,0),INDEX($W$2:$W$11,$MW107))=0,1,0)))</f>
        <v/>
      </c>
      <c r="NL107" s="152">
        <f>IF(OR($NB107=0,$MX107=""),0,IF(COUNTIF(INDEX($EF$2:$EJ$13,$MB107,0),$MX107)=0,1,0))</f>
        <v/>
      </c>
      <c r="NM107" s="152">
        <f>IF(OR($NC107=0,$MY107=""),0,IF(COUNTIF(INDEX($EF$2:$EJ$13,$MB107,0),$MY107)=0,1,0))</f>
        <v/>
      </c>
      <c r="NN107" s="152">
        <f>IF(OR($ND107=0,$MZ107=""),0,IF(COUNTIF(INDEX($EF$2:$EJ$13,$MB107,0),$MZ107)=0,1,0))</f>
        <v/>
      </c>
      <c r="NO107" s="152">
        <f>IF(OR($NE107=0,$NA107=""),0,IF(COUNTIF(INDEX($EF$2:$EJ$13,$MB107,0),$NA107)=0,1,0))</f>
        <v/>
      </c>
      <c r="NP107" s="152">
        <f>IFERROR(VLOOKUP($MK107,$AV$2:$BA$84,4,FALSE),0)+IFERROR(VLOOKUP($ML107,$AV$2:$BA$84,4,FALSE),0)+IFERROR(VLOOKUP($MM107,$AV$2:$BA$84,4,FALSE),0)+IFERROR(VLOOKUP($MN107,$AV$2:$BA$84,4,FALSE),0)</f>
        <v/>
      </c>
      <c r="NQ107" s="152">
        <f>IFERROR(VLOOKUP($MK107,$AV$2:$BA$84,6,FALSE),0)+IFERROR(VLOOKUP($ML107,$AV$2:$BA$84,6,FALSE),0)+IFERROR(VLOOKUP($MM107,$AV$2:$BA$84,6,FALSE),0)+IFERROR(VLOOKUP($MN107,$AV$2:$BA$84,6,FALSE),0)</f>
        <v/>
      </c>
      <c r="NR107" s="152">
        <f>TEXTJOIN(", ",TRUE,IF(IFERROR(VLOOKUP($MK107,$AV$2:$BA$84,5,FALSE),0)=1,$MK107,""),IF(IFERROR(VLOOKUP($ML107,$AV$2:$BA$84,5,FALSE),0)=1,$ML107,""),IF(IFERROR(VLOOKUP($MM107,$AV$2:$BA$84,5,FALSE),0)=1,$MM107,""),IF(IFERROR(VLOOKUP($MN107,$AV$2:$BA$84,5,FALSE),0)=1,$MN107,""))</f>
        <v/>
      </c>
      <c r="NS107" s="152">
        <f>IF($MW107=0,0,INDEX($Y$2:$Y$11,$MW107))</f>
        <v/>
      </c>
      <c r="NT107" s="152">
        <f>IF($MW107=0,0,INDEX($Z$2:$Z$11,$MW107))</f>
        <v/>
      </c>
      <c r="NU107" s="152">
        <f>IF($MW107=0,0,INDEX($AB$2:$AB$11,$MW107))</f>
        <v/>
      </c>
      <c r="NV107" s="152">
        <f>IFERROR(VLOOKUP($MO107,$BC$2:$BG$24,3,FALSE),0)</f>
        <v/>
      </c>
      <c r="NW107" s="152">
        <f>IFERROR(VLOOKUP($MP107,$BC$2:$BG$24,3,FALSE),0)</f>
        <v/>
      </c>
      <c r="NX107" s="152">
        <f>IFERROR(VLOOKUP($MO107,$BC$2:$BG$24,2,FALSE),"")</f>
        <v/>
      </c>
      <c r="NY107" s="152">
        <f>IFERROR(VLOOKUP($MP107,$BC$2:$BG$24,2,FALSE),"")</f>
        <v/>
      </c>
      <c r="NZ107" s="152">
        <f>COUNTIF($NF107:$NJ107,1)</f>
        <v/>
      </c>
      <c r="OA107" s="152">
        <f>COUNTIF($NF107:$NJ107,2)</f>
        <v/>
      </c>
      <c r="OB107" s="152">
        <f>COUNTIF($NF107:$NJ107,3)</f>
        <v/>
      </c>
      <c r="OC107" s="152">
        <f>COUNTIF($NF107:$NJ107,4)</f>
        <v/>
      </c>
      <c r="OD107" s="152">
        <f>COUNTIF($NF107:$NJ107,5)</f>
        <v/>
      </c>
      <c r="OE107" s="152">
        <f>COUNTIF($NF107:$NJ107,6)</f>
        <v/>
      </c>
      <c r="OF107" s="152">
        <f>COUNTIF($NV107:$NW107,1)</f>
        <v/>
      </c>
      <c r="OG107" s="152">
        <f>COUNTIF($NV107:$NW107,2)+$NS107</f>
        <v/>
      </c>
      <c r="OH107" s="152">
        <f>COUNTIF($MK107:$MN107,"?*")</f>
        <v/>
      </c>
      <c r="OI107" s="152">
        <f>COUNTIF($MO107:$MP107,"?*")+$NS107</f>
        <v/>
      </c>
      <c r="OJ107" s="152">
        <f>IF($MF107=0,0,SUMPRODUCT($NZ107:$OE107,INDEX($I$2:$N$8,MAX(1,$MF107),0)))</f>
        <v/>
      </c>
      <c r="OK107" s="152">
        <f>IF($MF107=0,0,$OF107*CEILING($MF107/2,1)+$OG107*$MF107)</f>
        <v/>
      </c>
      <c r="OL107" s="152">
        <f>MIN(2*$MF107,$OK107)</f>
        <v/>
      </c>
      <c r="OM107" s="152">
        <f>MIN($OL107,$OJ107)</f>
        <v/>
      </c>
      <c r="ON107" s="152">
        <f>$OL107-$OM107</f>
        <v/>
      </c>
      <c r="OO107" s="152">
        <f>IF($MF107=0,0,INDEX($P$2:$P$8,MAX(1,$MF107)))</f>
        <v/>
      </c>
      <c r="OP107" s="152">
        <f>$OO107-$OJ107+$OM107</f>
        <v/>
      </c>
      <c r="OQ107" s="152">
        <f>IF($MF107=0,MAX(0,$MT107-IF($OH107&gt;0,1,0)),MAX(0,$OP107))</f>
        <v/>
      </c>
      <c r="OR107" s="152">
        <f>IF($MF107=0,0,(IF(COUNTIF($MK107:$MN107,"Salto")&gt;0,1,0)+IF(COUNTIF($MK107:$MN107,"Queima")&gt;0,1,0)+IF(COUNTIF($MK107:$MN107,"Estilhaço")&gt;0,1,0))*FLOOR($OQ107/2,1))</f>
        <v/>
      </c>
      <c r="OS107" s="152">
        <f>MAX(0,2-SUMPRODUCT($NZ107:$OE107,$I$2:$N$2)+MIN(2,$OF107*1+$OG107*1,SUMPRODUCT($NZ107:$OE107,$I$2:$N$2)))</f>
        <v/>
      </c>
      <c r="OT107" s="152">
        <f>MAX(0,4-SUMPRODUCT($NZ107:$OE107,$I$3:$N$3)+MIN(4,$OF107*1+$OG107*2,SUMPRODUCT($NZ107:$OE107,$I$3:$N$3)))</f>
        <v/>
      </c>
      <c r="OU107" s="152">
        <f>MAX(0,6-SUMPRODUCT($NZ107:$OE107,$I$4:$N$4)+MIN(6,$OF107*2+$OG107*3,SUMPRODUCT($NZ107:$OE107,$I$4:$N$4)))</f>
        <v/>
      </c>
      <c r="OV107" s="152">
        <f>MAX(0,9-SUMPRODUCT($NZ107:$OE107,$I$5:$N$5)+MIN(8,$OF107*2+$OG107*4,SUMPRODUCT($NZ107:$OE107,$I$5:$N$5)))</f>
        <v/>
      </c>
      <c r="OW107" s="152">
        <f>MAX(0,11-SUMPRODUCT($NZ107:$OE107,$I$6:$N$6)+MIN(10,$OF107*3+$OG107*5,SUMPRODUCT($NZ107:$OE107,$I$6:$N$6)))</f>
        <v/>
      </c>
      <c r="OX107" s="152">
        <f>MAX(0,13-SUMPRODUCT($NZ107:$OE107,$I$7:$N$7)+MIN(12,$OF107*3+$OG107*6,SUMPRODUCT($NZ107:$OE107,$I$7:$N$7)))</f>
        <v/>
      </c>
      <c r="OY107" s="152">
        <f>MAX(0,16-SUMPRODUCT($NZ107:$OE107,$I$8:$N$8)+MIN(14,$OF107*4+$OG107*7,SUMPRODUCT($NZ107:$OE107,$I$8:$N$8)))</f>
        <v/>
      </c>
      <c r="OZ107" s="152">
        <f>IF($NT107=2,3*$OS107&amp;" de vida temp.",IF($NT107=3,"sem dano",IF($OS107=0,IF($NT107=1,"sem cura","sem dano"),IF($NT107=1,"cura ","")&amp;$OS107&amp;"d8")))</f>
        <v/>
      </c>
      <c r="PA107" s="152">
        <f>IF($NT107=2,3*$OT107&amp;" de vida temp.",IF($NT107=3,"sem dano",IF($OT107=0,IF($NT107=1,"sem cura","sem dano"),IF($NT107=1,"cura ","")&amp;$OT107&amp;"d8")))</f>
        <v/>
      </c>
      <c r="PB107" s="152">
        <f>IF($NT107=2,3*$OU107&amp;" de vida temp.",IF($NT107=3,"sem dano",IF($OU107=0,IF($NT107=1,"sem cura","sem dano"),IF($NT107=1,"cura ","")&amp;$OU107&amp;"d8")))</f>
        <v/>
      </c>
      <c r="PC107" s="152">
        <f>IF($NT107=2,3*$OV107&amp;" de vida temp.",IF($NT107=3,"sem dano",IF($OV107=0,IF($NT107=1,"sem cura","sem dano"),IF($NT107=1,"cura ","")&amp;$OV107&amp;"d8")))</f>
        <v/>
      </c>
      <c r="PD107" s="152">
        <f>IF($NT107=2,3*$OW107&amp;" de vida temp.",IF($NT107=3,"sem dano",IF($OW107=0,IF($NT107=1,"sem cura","sem dano"),IF($NT107=1,"cura ","")&amp;$OW107&amp;"d8")))</f>
        <v/>
      </c>
      <c r="PE107" s="152">
        <f>IF($NT107=2,3*$OX107&amp;" de vida temp.",IF($NT107=3,"sem dano",IF($OX107=0,IF($NT107=1,"sem cura","sem dano"),IF($NT107=1,"cura ","")&amp;$OX107&amp;"d8")))</f>
        <v/>
      </c>
      <c r="PF107" s="152">
        <f>IF($NT107=2,3*$OY107&amp;" de vida temp.",IF($NT107=3,"sem dano",IF($OY107=0,IF($NT107=1,"sem cura","sem dano"),IF($NT107=1,"cura ","")&amp;$OY107&amp;"d8")))</f>
        <v/>
      </c>
      <c r="PG107" s="152">
        <f>IF($MQ107=0,"",TEXTJOIN(" · ",TRUE,IF($MD107&gt;$MR107,"Este lugar abre no nível "&amp;$MD107,""),IF($MF107&gt;$MS107,"Classe "&amp;$MF107&amp;": o nível "&amp;$MR107&amp;" libera até a "&amp;$MS107,""),IF($NK107=1,"A Forma "&amp;$MH107&amp;" pede "&amp;INDEX($W$2:$W$11,$MW107)&amp;" aberta",""),IF(AND($MF107=0,$MW107&gt;0,IF($MW107=0,0,INDEX($AF$2:$AF$11,$MW107))=0),$MH107&amp;" não existe na Classe 0",""),IF($NL107=1,"Família Fechada: "&amp;$MK107,""),IF($NM107=1,"Família Fechada: "&amp;$ML107,""),IF($NN107=1,"Família Fechada: "&amp;$MM107,""),IF($NO107=1,"Família Fechada: "&amp;$MN107,""),IF(AND($MF107&gt;0,$OH107&gt;INDEX($O$2:$O$8,MAX(1,$MF107))),$OH107&amp;" Melhorias: a Classe "&amp;$MF107&amp;" aceita "&amp;INDEX($O$2:$O$8,MAX(1,$MF107)),""),IF(AND($MF107=0,$OH107&gt;1),"A básica aceita uma Melhoria",""),IF(AND($MF107=0,COUNTIF($NB107:$NE107,"&gt;1")&gt;0),"A básica só aceita Melhoria Leve",""),IF(AND($MF107&gt;0,$OI107&gt;2),$OI107&amp;" Restrições"&amp;IF($NS107=1,", contando a que a Forma "&amp;$MH107&amp;" já traz","")&amp;": o limite é 2",""),IF(AND($MF107=0,COUNTIF($MO107:$MP107,"?*")&gt;1),"A básica aceita uma Restrição Leve",""),IF(AND($MF107=0,COUNTIF($NV107:$NW107,2)&gt;0),"A básica só aceita Restrição Leve",""),IF(AND($MF107&gt;0,$OP107&lt;0),"Orçamento estourado: faltam "&amp;(-$OP107)&amp;IF($OP107&lt;-1," pontos"," ponto"),""),IF(IFERROR(VLOOKUP($MO107,$BC$2:$BG$24,4,FALSE),0)+IFERROR(VLOOKUP($MP107,$BC$2:$BG$24,4,FALSE),0)&gt;1,$NX107&amp;" e "&amp;$NY107&amp;" são as duas de frequência",""),IF(AND((COUNTIF($MK107:$MN107,"Rápido")+COUNTIF($NX107:$NY107,"Rápido"))&gt;0,(COUNTIF($MK107:$MN107,"Atrasar")+COUNTIF($NX107:$NY107,"Atrasar"))&gt;0),"Rápido não entra com Atrasar",""),IF(AND((COUNTIF($MK107:$MN107,"Reação")+COUNTIF($NX107:$NY107,"Reação"))&gt;0,(COUNTIF($MK107:$MN107,"Rápido")+COUNTIF($NX107:$NY107,"Rápido"))&gt;0),"Reação não entra com Rápido",""),IF(AND((COUNTIF($MK107:$MN107,"Reação")+COUNTIF($NX107:$NY107,"Reação"))&gt;0,(COUNTIF($MK107:$MN107,"Armado")+COUNTIF($NX107:$NY107,"Armado"))&gt;0),"Reação não entra com Armado",""),IF(AND((COUNTIF($MK107:$MN107,"Reação")+COUNTIF($NX107:$NY107,"Reação"))&gt;0,(COUNTIF($MK107:$MN107,"Atrasar")+COUNTIF($NX107:$NY107,"Atrasar"))&gt;0),"Reação não entra com Atrasar",""),IF(AND((COUNTIF($MK107:$MN107,"Reação")+COUNTIF($NX107:$NY107,"Reação"))&gt;0,(COUNTIF($MK107:$MN107,"Parado")+COUNTIF($NX107:$NY107,"Parado"))&gt;0),"Reação não entra com Parado",""),IF(AND((COUNTIF($MK107:$MN107,"Atrasar")+COUNTIF($NX107:$NY107,"Atrasar"))&gt;0,(COUNTIF($MK107:$MN107,"Parado")+COUNTIF($NX107:$NY107,"Parado"))&gt;0),"Atrasar não entra com Parado",""),IF(AND((COUNTIF($MK107:$MN107,"Armado")+COUNTIF($NX107:$NY107,"Armado"))&gt;0,(COUNTIF($MK107:$MN107,"Carregar")+COUNTIF($NX107:$NY107,"Carregar"))&gt;0),"Armado não entra com Carregar",""),IF(AND(COUNTIF($NX107:$NY107,"Corpo a Corpo")&gt;0,$NS107=0,OR($MH107="Cone",$MH107="Linha")),"Corpo a Corpo não entra em "&amp;$MH107,""),IF(AND(COUNTIF($NX107:$NY107,"Corpo a Corpo")&gt;0,$NS107=1),"A Forma "&amp;$MH107&amp;" já traz o Corpo a Corpo",""),IF(AND(COUNTIF($NX107:$NY107,"Tudo ou Nada")&gt;0,$NU107=0),"Tudo ou Nada só entra em habilidade de Teste de Resistência",""),IF(AND(COUNTIF($MK107:$MN107,"Inescapável")&gt;0,OR($OH107&gt;1,$OI107&gt;0)),"Inescapável não aceita outra peça",""),IF(AND($MF107&gt;0,$OQ107*IF(COUNTIF($MK107:$MN107,"Remate")&gt;0,1.25,1)+$OR107&gt;4*$MF107),($OQ107*IF(COUNTIF($MK107:$MN107,"Remate")&gt;0,1.25,1)+$OR107)&amp;" dados somando repetições"&amp;IF(COUNTIF($MK107:$MN107,"Remate")&gt;0," e o Remate","")&amp;": o teto da Classe "&amp;$MF107&amp;" é "&amp;4*$MF107,"")))</f>
        <v/>
      </c>
      <c r="PH107" s="152">
        <f>IF($PG107="",0,(LEN($PG107)-LEN(SUBSTITUTE($PG107," · ","")))/3+1)</f>
        <v/>
      </c>
      <c r="PI107" s="152">
        <f>IF($MQ107=0,"",TEXTJOIN(" · ",TRUE,IF($OK107&gt;2*$MF107,"A devolução parou no teto de "&amp;2*$MF107,""),IF($ON107&gt;0,"Devolução perdida: "&amp;$ON107&amp;IF($ON107&gt;1," pontos"," ponto")&amp;" sem peça para pagar",""),IF(AND($NP107&gt;0,AND($MF107&gt;0,$NT107=0),$OQ107=0),"Controle sem dano: uma rodada a mais e CD +2",""),IF(AND($NP107&gt;0,AND($MF107&gt;0,$NT107=0),$OQ107&gt;0,$OQ107&lt;=$MF107),"Controle com saldo até a Classe: uma rodada a mais",""),IF(AND($MF107&gt;0,$NR107&lt;&gt;""),"Efeito de "&amp;$NR107&amp;" pela Classe "&amp;MAX(1,$MF107-1),"")))</f>
        <v/>
      </c>
      <c r="PJ107" s="152">
        <f>IF($PI107="",0,(LEN($PI107)-LEN(SUBSTITUTE($PI107," · ","")))/3+1)</f>
        <v/>
      </c>
      <c r="PK107" s="152">
        <f>IF($MQ107=0,IF($OH107+COUNTIF($MO107:$MP107,"?*")&gt;0,"Dê um nome",""),IF($PH107&gt;0,"⚠ "&amp;$PH107&amp;IF($PH107&gt;1," erros"," erro"),IF($PJ107&gt;0,"! "&amp;$PJ107&amp;IF($PJ107&gt;1," avisos"," aviso"),"Na regra")))</f>
        <v/>
      </c>
      <c r="PL107" s="152">
        <f>IF($MQ107=0,"",IF($PH107+$PJ107=0,"Dentro das regras que a ficha confere",$PG107&amp;IF(AND($PH107&gt;0,$PJ107&gt;0)," · ","")&amp;$PI107))</f>
        <v/>
      </c>
      <c r="PM107" s="152">
        <f>IF($MD107&gt;$MR107,$ME107&amp;" · ABRE NO NÍVEL "&amp;$MD107,$ME107)</f>
        <v/>
      </c>
      <c r="PN107" s="152">
        <f>IF($MQ107=0,"",IF($MF107=0,"Sem PE",3*$MF107&amp;" PE"))</f>
        <v/>
      </c>
      <c r="PO107" s="152">
        <f>IF($MQ107=0,"",IF($MF107=0,"A atuação básica dela",IF(COUNTIF($NX107:$NY107,"Atrasar")&gt;0,"Sua Ação Completa",IF(COUNTIF($MK107:$MN107,"Rápido")&gt;0,"Sua Bônus",IF(COUNTIF($MK107:$MN107,"Reação")&gt;0,"Sua Reação","Sua Padrão")))&amp;" + a básica dela"&amp;IF(COUNTIF($MK107:$MN107,"Reação")&gt;0," e a coletiva","")&amp;IF(COUNTIF($NX107:$NY107,"Carregar")&gt;0," · em dois turnos","")))</f>
        <v/>
      </c>
      <c r="PP107" s="152">
        <f>IF($MJ107&lt;&gt;"",$MJ107,IF($MW107=0,"",INDEX($AA$2:$AA$11,$MW107)))</f>
        <v/>
      </c>
      <c r="PQ107" s="152">
        <f>IF(OR($MQ107=0,$MW107=0),"",IF(COUNTIF($MK107:$MN107,"Inescapável")&gt;0,"Automático",IF($PP107="Ataque",IF($MU107="","Ataque","Ataque "&amp;IF(($MU107+2*IF(COUNTIF($MK107:$MN107,"Precisão")&gt;0,1,0))&gt;=0,"+","−")&amp;ABS(($MU107+2*IF(COUNTIF($MK107:$MN107,"Precisão")&gt;0,1,0))))&amp;IF($NQ107&gt;0," · TR"&amp;IF($MV107="",""," CD "&amp;$MV107),""),IF(LEFT($PP107,2)="TR",$PP107&amp;IF($MV107="",""," · CD "&amp;$MV107)&amp;IF(COUNTIF($MK107:$MN107,"Certeiro")&gt;0," · metade",""),"Sem rolagem"))))</f>
        <v/>
      </c>
      <c r="PR107" s="152">
        <f>IF(OR($MQ107=0,$MW107=0),"",IF($MF107=0,IF(OR($NT107&gt;=1,$OQ107=0),"Sem dano",$OQ107&amp;"d6"&amp;IF($MI107="",""," "&amp;$MI107)),IF(OR($NT107&gt;=1,$OQ107=0),UPPER(LEFT(INDEX($OZ107:$PF107,1,MAX(1,$MF107)),1))&amp;MID(INDEX($OZ107:$PF107,1,MAX(1,$MF107)),2,99),UPPER(LEFT(INDEX($OZ107:$PF107,1,MAX(1,$MF107)),1))&amp;MID(INDEX($OZ107:$PF107,1,MAX(1,$MF107)),2,99)&amp;IF($MI107="",""," "&amp;$MI107)&amp;IF($OR107&gt;0," · +"&amp;$OR107&amp;"d8",""))))</f>
        <v/>
      </c>
      <c r="PS107" s="152">
        <f>COUNTIF($MK107:$MN107,"Longe")+3*COUNTIF($MK107:$MN107,"Muito Longe")</f>
        <v/>
      </c>
      <c r="PT107" s="152">
        <f>COUNTIF($MK107:$MN107,"Maior")+3*COUNTIF($MK107:$MN107,"Muito Maior")</f>
        <v/>
      </c>
      <c r="PU107" s="152">
        <f>IF($MW107=0,0,CHOOSE(1+INDEX($AC$2:$AC$11,$MW107),0,$PS107,$PT107,$PS107+$PT107))</f>
        <v/>
      </c>
      <c r="PV107" s="152">
        <f>IF($MW107=0,0,CHOOSE(1+INDEX($AD$2:$AD$11,$MW107),0,$PS107,$PT107,$PS107+$PT107))</f>
        <v/>
      </c>
      <c r="PW107" s="152">
        <f>IF(OR($MQ107=0,$MW107=0),"",INDEX($AI$2:$AN$41,($MW107-1)*4+IF($MF107=0,1,IF($MF107&lt;=5,2,IF($MF107=6,3,4))),1+MIN(5,$PU107))&amp;INDEX($AO$2:$AT$41,($MW107-1)*4+IF($MF107=0,1,IF($MF107&lt;=5,2,IF($MF107=6,3,4))),1+MIN(5,$PV107))&amp;IF(INDEX($AE$2:$AE$11,$MW107)=1,IF(COUNTIF($MK107:$MN107,"Mais Um")&gt;0," · +"&amp;COUNTIF($MK107:$MN107,"Mais Um")&amp;IF(COUNTIF($MK107:$MN107,"Mais Um")&gt;1," alvos"," alvo"),"")&amp;IF(COUNTIF($MK107:$MN107,"Rajada")&gt;0,IF($MF107=0," · 1 tiro"," · "&amp;(MAX(1,$MF107-1)+1)&amp;" tiros"),""),""))</f>
        <v/>
      </c>
      <c r="PX107" s="152">
        <f>IF($MQ107=0,"",IF($MF107=0,$MT107&amp;"d6"&amp;IF($OH107&gt;0," − 1 = "&amp;$OQ107&amp;"d6"," da básica do nível "&amp;$MR107),$OO107&amp;" − "&amp;$OJ107&amp;" + "&amp;$OM107&amp;" = "&amp;$OP107&amp;" · teto "&amp;4*$MF107&amp;"d8"&amp;IF($NS107=1," · a Forma devolve "&amp;$MF107,"")&amp;IF($ON107&gt;0," · perde "&amp;$ON107,"")))</f>
        <v/>
      </c>
      <c r="PY107" s="152">
        <f>IF($MQ107=0,"",IF($MF107=0,"A básica não amplia: os dados dela sobem com o nível",IF($MF107&gt;=$MS107,"Já está na maior Classe que o nível liberou",TEXTJOIN(" · ",TRUE,IF(AND(2&gt;$MF107,2&lt;=$MS107),"2 → "&amp;$PA107&amp;", 6 PE",""),IF(AND(3&gt;$MF107,3&lt;=$MS107),"3 → "&amp;$PB107&amp;", 9 PE",""),IF(AND(4&gt;$MF107,4&lt;=$MS107),"4 → "&amp;$PC107&amp;", 12 PE",""),IF(AND(5&gt;$MF107,5&lt;=$MS107),"5 → "&amp;$PD107&amp;", 15 PE",""),IF(AND(6&gt;$MF107,6&lt;=$MS107),"6 → "&amp;$PE107&amp;", 18 PE",""),IF(AND(7&gt;$MF107,7&lt;=$MS107),"7 → "&amp;$PF107&amp;", 21 PE","")))))</f>
        <v/>
      </c>
      <c r="PZ107" s="152">
        <f>IF(OR($MQ107=0,$NB107=0),"",IF($MF107=0,"−1 dado","−"&amp;INDEX($I$2:$N$8,MAX(1,$MF107),MAX(1,$NG107))&amp;" · "&amp;CHOOSE(MAX(1,$NG107),"Leve","Média","Pesada","Leve · Livre","Média · Livre","Pesada · Livre")))</f>
        <v/>
      </c>
      <c r="QA107" s="152">
        <f>IF(OR($MQ107=0,$NC107=0),"",IF($MF107=0,"−1 dado","−"&amp;INDEX($I$2:$N$8,MAX(1,$MF107),MAX(1,$NH107))&amp;" · "&amp;CHOOSE(MAX(1,$NH107),"Leve","Média","Pesada","Leve · Livre","Média · Livre","Pesada · Livre")))</f>
        <v/>
      </c>
      <c r="QB107" s="152">
        <f>IF(OR($MQ107=0,$ND107=0),"",IF($MF107=0,"−1 dado","−"&amp;INDEX($I$2:$N$8,MAX(1,$MF107),MAX(1,$NI107))&amp;" · "&amp;CHOOSE(MAX(1,$NI107),"Leve","Média","Pesada","Leve · Livre","Média · Livre","Pesada · Livre")))</f>
        <v/>
      </c>
      <c r="QC107" s="152">
        <f>IF(OR($MQ107=0,$NE107=0),"",IF($MF107=0,"−1 dado","−"&amp;INDEX($I$2:$N$8,MAX(1,$MF107),MAX(1,$NJ107))&amp;" · "&amp;CHOOSE(MAX(1,$NJ107),"Leve","Média","Pesada","Leve · Livre","Média · Livre","Pesada · Livre")))</f>
        <v/>
      </c>
      <c r="QD107" s="152">
        <f>IF(OR($MQ107=0,$MO107=""),"",IF($MF107=0,"não devolve","+"&amp;IF($NV107=1,CEILING($MF107/2,1),$MF107)))</f>
        <v/>
      </c>
      <c r="QE107" s="152">
        <f>IF(OR($MQ107=0,$MP107=""),"",IF($MF107=0,"não devolve","+"&amp;IF($NW107=1,CEILING($MF107/2,1),$MF107)))</f>
        <v/>
      </c>
    </row>
    <row r="108">
      <c r="MA108" s="150" t="inlineStr">
        <is>
          <t>Ficha 9 · Especial 2</t>
        </is>
      </c>
      <c r="MB108" s="152" t="n">
        <v>9</v>
      </c>
      <c r="MC108" s="152" t="n">
        <v>1</v>
      </c>
      <c r="MD108" s="152" t="n">
        <v>4</v>
      </c>
      <c r="ME108" s="150" t="inlineStr">
        <is>
          <t>ESPECIAL 2</t>
        </is>
      </c>
      <c r="MF108" s="152">
        <f>MAX(1,MIN(7,N('INVOCAÇÕES'!$AN$454)))</f>
        <v/>
      </c>
      <c r="MG108" s="152">
        <f>'INVOCAÇÕES'!$AO$454&amp;""</f>
        <v/>
      </c>
      <c r="MH108" s="152">
        <f>'INVOCAÇÕES'!$AN$459&amp;""</f>
        <v/>
      </c>
      <c r="MI108" s="152">
        <f>'INVOCAÇÕES'!$AN$460&amp;""</f>
        <v/>
      </c>
      <c r="MJ108" s="152">
        <f>'INVOCAÇÕES'!$AP$460&amp;""</f>
        <v/>
      </c>
      <c r="MK108" s="152">
        <f>'INVOCAÇÕES'!$AO$463&amp;""</f>
        <v/>
      </c>
      <c r="ML108" s="152">
        <f>'INVOCAÇÕES'!$AO$464&amp;""</f>
        <v/>
      </c>
      <c r="MM108" s="152">
        <f>'INVOCAÇÕES'!$AO$465&amp;""</f>
        <v/>
      </c>
      <c r="MN108" s="152">
        <f>'INVOCAÇÕES'!$AO$466&amp;""</f>
        <v/>
      </c>
      <c r="MO108" s="152">
        <f>'INVOCAÇÕES'!$AO$467&amp;""</f>
        <v/>
      </c>
      <c r="MP108" s="152">
        <f>'INVOCAÇÕES'!$AO$468&amp;""</f>
        <v/>
      </c>
      <c r="MQ108" s="152">
        <f>IF($MG108&lt;&gt;"",1,0)</f>
        <v/>
      </c>
      <c r="MR108" s="152">
        <f>INDEX($FI$2:$FI$13,$MB108)</f>
        <v/>
      </c>
      <c r="MS108" s="152">
        <f>INDEX($FJ$2:$FJ$13,$MB108)</f>
        <v/>
      </c>
      <c r="MT108" s="152">
        <f>INDEX($FK$2:$FK$13,$MB108)</f>
        <v/>
      </c>
      <c r="MU108" s="152">
        <f>INDEX($FV$2:$FV$13,$MB108)</f>
        <v/>
      </c>
      <c r="MV108" s="152">
        <f>INDEX($FW$2:$FW$13,$MB108)</f>
        <v/>
      </c>
      <c r="MW108" s="152">
        <f>IFERROR(MATCH($MH108,$V$2:$V$11,0),0)</f>
        <v/>
      </c>
      <c r="MX108" s="152">
        <f>IFERROR(VLOOKUP($MK108,$AV$2:$BA$84,2,FALSE),"")</f>
        <v/>
      </c>
      <c r="MY108" s="152">
        <f>IFERROR(VLOOKUP($ML108,$AV$2:$BA$84,2,FALSE),"")</f>
        <v/>
      </c>
      <c r="MZ108" s="152">
        <f>IFERROR(VLOOKUP($MM108,$AV$2:$BA$84,2,FALSE),"")</f>
        <v/>
      </c>
      <c r="NA108" s="152">
        <f>IFERROR(VLOOKUP($MN108,$AV$2:$BA$84,2,FALSE),"")</f>
        <v/>
      </c>
      <c r="NB108" s="152">
        <f>IFERROR(VLOOKUP($MK108,$AV$2:$BA$84,3,FALSE),0)</f>
        <v/>
      </c>
      <c r="NC108" s="152">
        <f>IFERROR(VLOOKUP($ML108,$AV$2:$BA$84,3,FALSE),0)</f>
        <v/>
      </c>
      <c r="ND108" s="152">
        <f>IFERROR(VLOOKUP($MM108,$AV$2:$BA$84,3,FALSE),0)</f>
        <v/>
      </c>
      <c r="NE108" s="152">
        <f>IFERROR(VLOOKUP($MN108,$AV$2:$BA$84,3,FALSE),0)</f>
        <v/>
      </c>
      <c r="NF108" s="152">
        <f>IF($MF108=0,0,IF($MW108=0,0,INDEX($X$2:$X$11,$MW108)))</f>
        <v/>
      </c>
      <c r="NG108" s="152">
        <f>IF(OR($NB108=0,$MF108=0),0,$NB108+3*IF(AND($MX108&lt;&gt;"",OR($MX108=INDEX($EF$2:$EF$13,$MB108),$MX108=INDEX($EG$2:$EG$13,$MB108))),1,0))</f>
        <v/>
      </c>
      <c r="NH108" s="152">
        <f>IF(OR($NC108=0,$MF108=0),0,$NC108+3*IF(AND($MY108&lt;&gt;"",OR($MY108=INDEX($EF$2:$EF$13,$MB108),$MY108=INDEX($EG$2:$EG$13,$MB108))),1,0))</f>
        <v/>
      </c>
      <c r="NI108" s="152">
        <f>IF(OR($ND108=0,$MF108=0),0,$ND108+3*IF(AND($MZ108&lt;&gt;"",OR($MZ108=INDEX($EF$2:$EF$13,$MB108),$MZ108=INDEX($EG$2:$EG$13,$MB108))),1,0))</f>
        <v/>
      </c>
      <c r="NJ108" s="152">
        <f>IF(OR($NE108=0,$MF108=0),0,$NE108+3*IF(AND($NA108&lt;&gt;"",OR($NA108=INDEX($EF$2:$EF$13,$MB108),$NA108=INDEX($EG$2:$EG$13,$MB108))),1,0))</f>
        <v/>
      </c>
      <c r="NK108" s="152">
        <f>IF($MW108=0,0,IF(INDEX($W$2:$W$11,$MW108)="",0,IF(COUNTIF(INDEX($EF$2:$EJ$13,$MB108,0),INDEX($W$2:$W$11,$MW108))=0,1,0)))</f>
        <v/>
      </c>
      <c r="NL108" s="152">
        <f>IF(OR($NB108=0,$MX108=""),0,IF(COUNTIF(INDEX($EF$2:$EJ$13,$MB108,0),$MX108)=0,1,0))</f>
        <v/>
      </c>
      <c r="NM108" s="152">
        <f>IF(OR($NC108=0,$MY108=""),0,IF(COUNTIF(INDEX($EF$2:$EJ$13,$MB108,0),$MY108)=0,1,0))</f>
        <v/>
      </c>
      <c r="NN108" s="152">
        <f>IF(OR($ND108=0,$MZ108=""),0,IF(COUNTIF(INDEX($EF$2:$EJ$13,$MB108,0),$MZ108)=0,1,0))</f>
        <v/>
      </c>
      <c r="NO108" s="152">
        <f>IF(OR($NE108=0,$NA108=""),0,IF(COUNTIF(INDEX($EF$2:$EJ$13,$MB108,0),$NA108)=0,1,0))</f>
        <v/>
      </c>
      <c r="NP108" s="152">
        <f>IFERROR(VLOOKUP($MK108,$AV$2:$BA$84,4,FALSE),0)+IFERROR(VLOOKUP($ML108,$AV$2:$BA$84,4,FALSE),0)+IFERROR(VLOOKUP($MM108,$AV$2:$BA$84,4,FALSE),0)+IFERROR(VLOOKUP($MN108,$AV$2:$BA$84,4,FALSE),0)</f>
        <v/>
      </c>
      <c r="NQ108" s="152">
        <f>IFERROR(VLOOKUP($MK108,$AV$2:$BA$84,6,FALSE),0)+IFERROR(VLOOKUP($ML108,$AV$2:$BA$84,6,FALSE),0)+IFERROR(VLOOKUP($MM108,$AV$2:$BA$84,6,FALSE),0)+IFERROR(VLOOKUP($MN108,$AV$2:$BA$84,6,FALSE),0)</f>
        <v/>
      </c>
      <c r="NR108" s="152">
        <f>TEXTJOIN(", ",TRUE,IF(IFERROR(VLOOKUP($MK108,$AV$2:$BA$84,5,FALSE),0)=1,$MK108,""),IF(IFERROR(VLOOKUP($ML108,$AV$2:$BA$84,5,FALSE),0)=1,$ML108,""),IF(IFERROR(VLOOKUP($MM108,$AV$2:$BA$84,5,FALSE),0)=1,$MM108,""),IF(IFERROR(VLOOKUP($MN108,$AV$2:$BA$84,5,FALSE),0)=1,$MN108,""))</f>
        <v/>
      </c>
      <c r="NS108" s="152">
        <f>IF($MW108=0,0,INDEX($Y$2:$Y$11,$MW108))</f>
        <v/>
      </c>
      <c r="NT108" s="152">
        <f>IF($MW108=0,0,INDEX($Z$2:$Z$11,$MW108))</f>
        <v/>
      </c>
      <c r="NU108" s="152">
        <f>IF($MW108=0,0,INDEX($AB$2:$AB$11,$MW108))</f>
        <v/>
      </c>
      <c r="NV108" s="152">
        <f>IFERROR(VLOOKUP($MO108,$BC$2:$BG$24,3,FALSE),0)</f>
        <v/>
      </c>
      <c r="NW108" s="152">
        <f>IFERROR(VLOOKUP($MP108,$BC$2:$BG$24,3,FALSE),0)</f>
        <v/>
      </c>
      <c r="NX108" s="152">
        <f>IFERROR(VLOOKUP($MO108,$BC$2:$BG$24,2,FALSE),"")</f>
        <v/>
      </c>
      <c r="NY108" s="152">
        <f>IFERROR(VLOOKUP($MP108,$BC$2:$BG$24,2,FALSE),"")</f>
        <v/>
      </c>
      <c r="NZ108" s="152">
        <f>COUNTIF($NF108:$NJ108,1)</f>
        <v/>
      </c>
      <c r="OA108" s="152">
        <f>COUNTIF($NF108:$NJ108,2)</f>
        <v/>
      </c>
      <c r="OB108" s="152">
        <f>COUNTIF($NF108:$NJ108,3)</f>
        <v/>
      </c>
      <c r="OC108" s="152">
        <f>COUNTIF($NF108:$NJ108,4)</f>
        <v/>
      </c>
      <c r="OD108" s="152">
        <f>COUNTIF($NF108:$NJ108,5)</f>
        <v/>
      </c>
      <c r="OE108" s="152">
        <f>COUNTIF($NF108:$NJ108,6)</f>
        <v/>
      </c>
      <c r="OF108" s="152">
        <f>COUNTIF($NV108:$NW108,1)</f>
        <v/>
      </c>
      <c r="OG108" s="152">
        <f>COUNTIF($NV108:$NW108,2)+$NS108</f>
        <v/>
      </c>
      <c r="OH108" s="152">
        <f>COUNTIF($MK108:$MN108,"?*")</f>
        <v/>
      </c>
      <c r="OI108" s="152">
        <f>COUNTIF($MO108:$MP108,"?*")+$NS108</f>
        <v/>
      </c>
      <c r="OJ108" s="152">
        <f>IF($MF108=0,0,SUMPRODUCT($NZ108:$OE108,INDEX($I$2:$N$8,MAX(1,$MF108),0)))</f>
        <v/>
      </c>
      <c r="OK108" s="152">
        <f>IF($MF108=0,0,$OF108*CEILING($MF108/2,1)+$OG108*$MF108)</f>
        <v/>
      </c>
      <c r="OL108" s="152">
        <f>MIN(2*$MF108,$OK108)</f>
        <v/>
      </c>
      <c r="OM108" s="152">
        <f>MIN($OL108,$OJ108)</f>
        <v/>
      </c>
      <c r="ON108" s="152">
        <f>$OL108-$OM108</f>
        <v/>
      </c>
      <c r="OO108" s="152">
        <f>IF($MF108=0,0,INDEX($P$2:$P$8,MAX(1,$MF108)))</f>
        <v/>
      </c>
      <c r="OP108" s="152">
        <f>$OO108-$OJ108+$OM108</f>
        <v/>
      </c>
      <c r="OQ108" s="152">
        <f>IF($MF108=0,MAX(0,$MT108-IF($OH108&gt;0,1,0)),MAX(0,$OP108))</f>
        <v/>
      </c>
      <c r="OR108" s="152">
        <f>IF($MF108=0,0,(IF(COUNTIF($MK108:$MN108,"Salto")&gt;0,1,0)+IF(COUNTIF($MK108:$MN108,"Queima")&gt;0,1,0)+IF(COUNTIF($MK108:$MN108,"Estilhaço")&gt;0,1,0))*FLOOR($OQ108/2,1))</f>
        <v/>
      </c>
      <c r="OS108" s="152">
        <f>MAX(0,2-SUMPRODUCT($NZ108:$OE108,$I$2:$N$2)+MIN(2,$OF108*1+$OG108*1,SUMPRODUCT($NZ108:$OE108,$I$2:$N$2)))</f>
        <v/>
      </c>
      <c r="OT108" s="152">
        <f>MAX(0,4-SUMPRODUCT($NZ108:$OE108,$I$3:$N$3)+MIN(4,$OF108*1+$OG108*2,SUMPRODUCT($NZ108:$OE108,$I$3:$N$3)))</f>
        <v/>
      </c>
      <c r="OU108" s="152">
        <f>MAX(0,6-SUMPRODUCT($NZ108:$OE108,$I$4:$N$4)+MIN(6,$OF108*2+$OG108*3,SUMPRODUCT($NZ108:$OE108,$I$4:$N$4)))</f>
        <v/>
      </c>
      <c r="OV108" s="152">
        <f>MAX(0,9-SUMPRODUCT($NZ108:$OE108,$I$5:$N$5)+MIN(8,$OF108*2+$OG108*4,SUMPRODUCT($NZ108:$OE108,$I$5:$N$5)))</f>
        <v/>
      </c>
      <c r="OW108" s="152">
        <f>MAX(0,11-SUMPRODUCT($NZ108:$OE108,$I$6:$N$6)+MIN(10,$OF108*3+$OG108*5,SUMPRODUCT($NZ108:$OE108,$I$6:$N$6)))</f>
        <v/>
      </c>
      <c r="OX108" s="152">
        <f>MAX(0,13-SUMPRODUCT($NZ108:$OE108,$I$7:$N$7)+MIN(12,$OF108*3+$OG108*6,SUMPRODUCT($NZ108:$OE108,$I$7:$N$7)))</f>
        <v/>
      </c>
      <c r="OY108" s="152">
        <f>MAX(0,16-SUMPRODUCT($NZ108:$OE108,$I$8:$N$8)+MIN(14,$OF108*4+$OG108*7,SUMPRODUCT($NZ108:$OE108,$I$8:$N$8)))</f>
        <v/>
      </c>
      <c r="OZ108" s="152">
        <f>IF($NT108=2,3*$OS108&amp;" de vida temp.",IF($NT108=3,"sem dano",IF($OS108=0,IF($NT108=1,"sem cura","sem dano"),IF($NT108=1,"cura ","")&amp;$OS108&amp;"d8")))</f>
        <v/>
      </c>
      <c r="PA108" s="152">
        <f>IF($NT108=2,3*$OT108&amp;" de vida temp.",IF($NT108=3,"sem dano",IF($OT108=0,IF($NT108=1,"sem cura","sem dano"),IF($NT108=1,"cura ","")&amp;$OT108&amp;"d8")))</f>
        <v/>
      </c>
      <c r="PB108" s="152">
        <f>IF($NT108=2,3*$OU108&amp;" de vida temp.",IF($NT108=3,"sem dano",IF($OU108=0,IF($NT108=1,"sem cura","sem dano"),IF($NT108=1,"cura ","")&amp;$OU108&amp;"d8")))</f>
        <v/>
      </c>
      <c r="PC108" s="152">
        <f>IF($NT108=2,3*$OV108&amp;" de vida temp.",IF($NT108=3,"sem dano",IF($OV108=0,IF($NT108=1,"sem cura","sem dano"),IF($NT108=1,"cura ","")&amp;$OV108&amp;"d8")))</f>
        <v/>
      </c>
      <c r="PD108" s="152">
        <f>IF($NT108=2,3*$OW108&amp;" de vida temp.",IF($NT108=3,"sem dano",IF($OW108=0,IF($NT108=1,"sem cura","sem dano"),IF($NT108=1,"cura ","")&amp;$OW108&amp;"d8")))</f>
        <v/>
      </c>
      <c r="PE108" s="152">
        <f>IF($NT108=2,3*$OX108&amp;" de vida temp.",IF($NT108=3,"sem dano",IF($OX108=0,IF($NT108=1,"sem cura","sem dano"),IF($NT108=1,"cura ","")&amp;$OX108&amp;"d8")))</f>
        <v/>
      </c>
      <c r="PF108" s="152">
        <f>IF($NT108=2,3*$OY108&amp;" de vida temp.",IF($NT108=3,"sem dano",IF($OY108=0,IF($NT108=1,"sem cura","sem dano"),IF($NT108=1,"cura ","")&amp;$OY108&amp;"d8")))</f>
        <v/>
      </c>
      <c r="PG108" s="152">
        <f>IF($MQ108=0,"",TEXTJOIN(" · ",TRUE,IF($MD108&gt;$MR108,"Este lugar abre no nível "&amp;$MD108,""),IF($MF108&gt;$MS108,"Classe "&amp;$MF108&amp;": o nível "&amp;$MR108&amp;" libera até a "&amp;$MS108,""),IF($NK108=1,"A Forma "&amp;$MH108&amp;" pede "&amp;INDEX($W$2:$W$11,$MW108)&amp;" aberta",""),IF(AND($MF108=0,$MW108&gt;0,IF($MW108=0,0,INDEX($AF$2:$AF$11,$MW108))=0),$MH108&amp;" não existe na Classe 0",""),IF($NL108=1,"Família Fechada: "&amp;$MK108,""),IF($NM108=1,"Família Fechada: "&amp;$ML108,""),IF($NN108=1,"Família Fechada: "&amp;$MM108,""),IF($NO108=1,"Família Fechada: "&amp;$MN108,""),IF(AND($MF108&gt;0,$OH108&gt;INDEX($O$2:$O$8,MAX(1,$MF108))),$OH108&amp;" Melhorias: a Classe "&amp;$MF108&amp;" aceita "&amp;INDEX($O$2:$O$8,MAX(1,$MF108)),""),IF(AND($MF108=0,$OH108&gt;1),"A básica aceita uma Melhoria",""),IF(AND($MF108=0,COUNTIF($NB108:$NE108,"&gt;1")&gt;0),"A básica só aceita Melhoria Leve",""),IF(AND($MF108&gt;0,$OI108&gt;2),$OI108&amp;" Restrições"&amp;IF($NS108=1,", contando a que a Forma "&amp;$MH108&amp;" já traz","")&amp;": o limite é 2",""),IF(AND($MF108=0,COUNTIF($MO108:$MP108,"?*")&gt;1),"A básica aceita uma Restrição Leve",""),IF(AND($MF108=0,COUNTIF($NV108:$NW108,2)&gt;0),"A básica só aceita Restrição Leve",""),IF(AND($MF108&gt;0,$OP108&lt;0),"Orçamento estourado: faltam "&amp;(-$OP108)&amp;IF($OP108&lt;-1," pontos"," ponto"),""),IF(IFERROR(VLOOKUP($MO108,$BC$2:$BG$24,4,FALSE),0)+IFERROR(VLOOKUP($MP108,$BC$2:$BG$24,4,FALSE),0)&gt;1,$NX108&amp;" e "&amp;$NY108&amp;" são as duas de frequência",""),IF(AND((COUNTIF($MK108:$MN108,"Rápido")+COUNTIF($NX108:$NY108,"Rápido"))&gt;0,(COUNTIF($MK108:$MN108,"Atrasar")+COUNTIF($NX108:$NY108,"Atrasar"))&gt;0),"Rápido não entra com Atrasar",""),IF(AND((COUNTIF($MK108:$MN108,"Reação")+COUNTIF($NX108:$NY108,"Reação"))&gt;0,(COUNTIF($MK108:$MN108,"Rápido")+COUNTIF($NX108:$NY108,"Rápido"))&gt;0),"Reação não entra com Rápido",""),IF(AND((COUNTIF($MK108:$MN108,"Reação")+COUNTIF($NX108:$NY108,"Reação"))&gt;0,(COUNTIF($MK108:$MN108,"Armado")+COUNTIF($NX108:$NY108,"Armado"))&gt;0),"Reação não entra com Armado",""),IF(AND((COUNTIF($MK108:$MN108,"Reação")+COUNTIF($NX108:$NY108,"Reação"))&gt;0,(COUNTIF($MK108:$MN108,"Atrasar")+COUNTIF($NX108:$NY108,"Atrasar"))&gt;0),"Reação não entra com Atrasar",""),IF(AND((COUNTIF($MK108:$MN108,"Reação")+COUNTIF($NX108:$NY108,"Reação"))&gt;0,(COUNTIF($MK108:$MN108,"Parado")+COUNTIF($NX108:$NY108,"Parado"))&gt;0),"Reação não entra com Parado",""),IF(AND((COUNTIF($MK108:$MN108,"Atrasar")+COUNTIF($NX108:$NY108,"Atrasar"))&gt;0,(COUNTIF($MK108:$MN108,"Parado")+COUNTIF($NX108:$NY108,"Parado"))&gt;0),"Atrasar não entra com Parado",""),IF(AND((COUNTIF($MK108:$MN108,"Armado")+COUNTIF($NX108:$NY108,"Armado"))&gt;0,(COUNTIF($MK108:$MN108,"Carregar")+COUNTIF($NX108:$NY108,"Carregar"))&gt;0),"Armado não entra com Carregar",""),IF(AND(COUNTIF($NX108:$NY108,"Corpo a Corpo")&gt;0,$NS108=0,OR($MH108="Cone",$MH108="Linha")),"Corpo a Corpo não entra em "&amp;$MH108,""),IF(AND(COUNTIF($NX108:$NY108,"Corpo a Corpo")&gt;0,$NS108=1),"A Forma "&amp;$MH108&amp;" já traz o Corpo a Corpo",""),IF(AND(COUNTIF($NX108:$NY108,"Tudo ou Nada")&gt;0,$NU108=0),"Tudo ou Nada só entra em habilidade de Teste de Resistência",""),IF(AND(COUNTIF($MK108:$MN108,"Inescapável")&gt;0,OR($OH108&gt;1,$OI108&gt;0)),"Inescapável não aceita outra peça",""),IF(AND($MF108&gt;0,$OQ108*IF(COUNTIF($MK108:$MN108,"Remate")&gt;0,1.25,1)+$OR108&gt;4*$MF108),($OQ108*IF(COUNTIF($MK108:$MN108,"Remate")&gt;0,1.25,1)+$OR108)&amp;" dados somando repetições"&amp;IF(COUNTIF($MK108:$MN108,"Remate")&gt;0," e o Remate","")&amp;": o teto da Classe "&amp;$MF108&amp;" é "&amp;4*$MF108,"")))</f>
        <v/>
      </c>
      <c r="PH108" s="152">
        <f>IF($PG108="",0,(LEN($PG108)-LEN(SUBSTITUTE($PG108," · ","")))/3+1)</f>
        <v/>
      </c>
      <c r="PI108" s="152">
        <f>IF($MQ108=0,"",TEXTJOIN(" · ",TRUE,IF($OK108&gt;2*$MF108,"A devolução parou no teto de "&amp;2*$MF108,""),IF($ON108&gt;0,"Devolução perdida: "&amp;$ON108&amp;IF($ON108&gt;1," pontos"," ponto")&amp;" sem peça para pagar",""),IF(AND($NP108&gt;0,AND($MF108&gt;0,$NT108=0),$OQ108=0),"Controle sem dano: uma rodada a mais e CD +2",""),IF(AND($NP108&gt;0,AND($MF108&gt;0,$NT108=0),$OQ108&gt;0,$OQ108&lt;=$MF108),"Controle com saldo até a Classe: uma rodada a mais",""),IF(AND($MF108&gt;0,$NR108&lt;&gt;""),"Efeito de "&amp;$NR108&amp;" pela Classe "&amp;MAX(1,$MF108-1),"")))</f>
        <v/>
      </c>
      <c r="PJ108" s="152">
        <f>IF($PI108="",0,(LEN($PI108)-LEN(SUBSTITUTE($PI108," · ","")))/3+1)</f>
        <v/>
      </c>
      <c r="PK108" s="152">
        <f>IF($MQ108=0,IF($OH108+COUNTIF($MO108:$MP108,"?*")&gt;0,"Dê um nome",""),IF($PH108&gt;0,"⚠ "&amp;$PH108&amp;IF($PH108&gt;1," erros"," erro"),IF($PJ108&gt;0,"! "&amp;$PJ108&amp;IF($PJ108&gt;1," avisos"," aviso"),"Na regra")))</f>
        <v/>
      </c>
      <c r="PL108" s="152">
        <f>IF($MQ108=0,"",IF($PH108+$PJ108=0,"Dentro das regras que a ficha confere",$PG108&amp;IF(AND($PH108&gt;0,$PJ108&gt;0)," · ","")&amp;$PI108))</f>
        <v/>
      </c>
      <c r="PM108" s="152">
        <f>IF($MD108&gt;$MR108,$ME108&amp;" · ABRE NO NÍVEL "&amp;$MD108,$ME108)</f>
        <v/>
      </c>
      <c r="PN108" s="152">
        <f>IF($MQ108=0,"",IF($MF108=0,"Sem PE",3*$MF108&amp;" PE"))</f>
        <v/>
      </c>
      <c r="PO108" s="152">
        <f>IF($MQ108=0,"",IF($MF108=0,"A atuação básica dela",IF(COUNTIF($NX108:$NY108,"Atrasar")&gt;0,"Sua Ação Completa",IF(COUNTIF($MK108:$MN108,"Rápido")&gt;0,"Sua Bônus",IF(COUNTIF($MK108:$MN108,"Reação")&gt;0,"Sua Reação","Sua Padrão")))&amp;" + a básica dela"&amp;IF(COUNTIF($MK108:$MN108,"Reação")&gt;0," e a coletiva","")&amp;IF(COUNTIF($NX108:$NY108,"Carregar")&gt;0," · em dois turnos","")))</f>
        <v/>
      </c>
      <c r="PP108" s="152">
        <f>IF($MJ108&lt;&gt;"",$MJ108,IF($MW108=0,"",INDEX($AA$2:$AA$11,$MW108)))</f>
        <v/>
      </c>
      <c r="PQ108" s="152">
        <f>IF(OR($MQ108=0,$MW108=0),"",IF(COUNTIF($MK108:$MN108,"Inescapável")&gt;0,"Automático",IF($PP108="Ataque",IF($MU108="","Ataque","Ataque "&amp;IF(($MU108+2*IF(COUNTIF($MK108:$MN108,"Precisão")&gt;0,1,0))&gt;=0,"+","−")&amp;ABS(($MU108+2*IF(COUNTIF($MK108:$MN108,"Precisão")&gt;0,1,0))))&amp;IF($NQ108&gt;0," · TR"&amp;IF($MV108="",""," CD "&amp;$MV108),""),IF(LEFT($PP108,2)="TR",$PP108&amp;IF($MV108="",""," · CD "&amp;$MV108)&amp;IF(COUNTIF($MK108:$MN108,"Certeiro")&gt;0," · metade",""),"Sem rolagem"))))</f>
        <v/>
      </c>
      <c r="PR108" s="152">
        <f>IF(OR($MQ108=0,$MW108=0),"",IF($MF108=0,IF(OR($NT108&gt;=1,$OQ108=0),"Sem dano",$OQ108&amp;"d6"&amp;IF($MI108="",""," "&amp;$MI108)),IF(OR($NT108&gt;=1,$OQ108=0),UPPER(LEFT(INDEX($OZ108:$PF108,1,MAX(1,$MF108)),1))&amp;MID(INDEX($OZ108:$PF108,1,MAX(1,$MF108)),2,99),UPPER(LEFT(INDEX($OZ108:$PF108,1,MAX(1,$MF108)),1))&amp;MID(INDEX($OZ108:$PF108,1,MAX(1,$MF108)),2,99)&amp;IF($MI108="",""," "&amp;$MI108)&amp;IF($OR108&gt;0," · +"&amp;$OR108&amp;"d8",""))))</f>
        <v/>
      </c>
      <c r="PS108" s="152">
        <f>COUNTIF($MK108:$MN108,"Longe")+3*COUNTIF($MK108:$MN108,"Muito Longe")</f>
        <v/>
      </c>
      <c r="PT108" s="152">
        <f>COUNTIF($MK108:$MN108,"Maior")+3*COUNTIF($MK108:$MN108,"Muito Maior")</f>
        <v/>
      </c>
      <c r="PU108" s="152">
        <f>IF($MW108=0,0,CHOOSE(1+INDEX($AC$2:$AC$11,$MW108),0,$PS108,$PT108,$PS108+$PT108))</f>
        <v/>
      </c>
      <c r="PV108" s="152">
        <f>IF($MW108=0,0,CHOOSE(1+INDEX($AD$2:$AD$11,$MW108),0,$PS108,$PT108,$PS108+$PT108))</f>
        <v/>
      </c>
      <c r="PW108" s="152">
        <f>IF(OR($MQ108=0,$MW108=0),"",INDEX($AI$2:$AN$41,($MW108-1)*4+IF($MF108=0,1,IF($MF108&lt;=5,2,IF($MF108=6,3,4))),1+MIN(5,$PU108))&amp;INDEX($AO$2:$AT$41,($MW108-1)*4+IF($MF108=0,1,IF($MF108&lt;=5,2,IF($MF108=6,3,4))),1+MIN(5,$PV108))&amp;IF(INDEX($AE$2:$AE$11,$MW108)=1,IF(COUNTIF($MK108:$MN108,"Mais Um")&gt;0," · +"&amp;COUNTIF($MK108:$MN108,"Mais Um")&amp;IF(COUNTIF($MK108:$MN108,"Mais Um")&gt;1," alvos"," alvo"),"")&amp;IF(COUNTIF($MK108:$MN108,"Rajada")&gt;0,IF($MF108=0," · 1 tiro"," · "&amp;(MAX(1,$MF108-1)+1)&amp;" tiros"),""),""))</f>
        <v/>
      </c>
      <c r="PX108" s="152">
        <f>IF($MQ108=0,"",IF($MF108=0,$MT108&amp;"d6"&amp;IF($OH108&gt;0," − 1 = "&amp;$OQ108&amp;"d6"," da básica do nível "&amp;$MR108),$OO108&amp;" − "&amp;$OJ108&amp;" + "&amp;$OM108&amp;" = "&amp;$OP108&amp;" · teto "&amp;4*$MF108&amp;"d8"&amp;IF($NS108=1," · a Forma devolve "&amp;$MF108,"")&amp;IF($ON108&gt;0," · perde "&amp;$ON108,"")))</f>
        <v/>
      </c>
      <c r="PY108" s="152">
        <f>IF($MQ108=0,"",IF($MF108=0,"A básica não amplia: os dados dela sobem com o nível",IF($MF108&gt;=$MS108,"Já está na maior Classe que o nível liberou",TEXTJOIN(" · ",TRUE,IF(AND(2&gt;$MF108,2&lt;=$MS108),"2 → "&amp;$PA108&amp;", 6 PE",""),IF(AND(3&gt;$MF108,3&lt;=$MS108),"3 → "&amp;$PB108&amp;", 9 PE",""),IF(AND(4&gt;$MF108,4&lt;=$MS108),"4 → "&amp;$PC108&amp;", 12 PE",""),IF(AND(5&gt;$MF108,5&lt;=$MS108),"5 → "&amp;$PD108&amp;", 15 PE",""),IF(AND(6&gt;$MF108,6&lt;=$MS108),"6 → "&amp;$PE108&amp;", 18 PE",""),IF(AND(7&gt;$MF108,7&lt;=$MS108),"7 → "&amp;$PF108&amp;", 21 PE","")))))</f>
        <v/>
      </c>
      <c r="PZ108" s="152">
        <f>IF(OR($MQ108=0,$NB108=0),"",IF($MF108=0,"−1 dado","−"&amp;INDEX($I$2:$N$8,MAX(1,$MF108),MAX(1,$NG108))&amp;" · "&amp;CHOOSE(MAX(1,$NG108),"Leve","Média","Pesada","Leve · Livre","Média · Livre","Pesada · Livre")))</f>
        <v/>
      </c>
      <c r="QA108" s="152">
        <f>IF(OR($MQ108=0,$NC108=0),"",IF($MF108=0,"−1 dado","−"&amp;INDEX($I$2:$N$8,MAX(1,$MF108),MAX(1,$NH108))&amp;" · "&amp;CHOOSE(MAX(1,$NH108),"Leve","Média","Pesada","Leve · Livre","Média · Livre","Pesada · Livre")))</f>
        <v/>
      </c>
      <c r="QB108" s="152">
        <f>IF(OR($MQ108=0,$ND108=0),"",IF($MF108=0,"−1 dado","−"&amp;INDEX($I$2:$N$8,MAX(1,$MF108),MAX(1,$NI108))&amp;" · "&amp;CHOOSE(MAX(1,$NI108),"Leve","Média","Pesada","Leve · Livre","Média · Livre","Pesada · Livre")))</f>
        <v/>
      </c>
      <c r="QC108" s="152">
        <f>IF(OR($MQ108=0,$NE108=0),"",IF($MF108=0,"−1 dado","−"&amp;INDEX($I$2:$N$8,MAX(1,$MF108),MAX(1,$NJ108))&amp;" · "&amp;CHOOSE(MAX(1,$NJ108),"Leve","Média","Pesada","Leve · Livre","Média · Livre","Pesada · Livre")))</f>
        <v/>
      </c>
      <c r="QD108" s="152">
        <f>IF(OR($MQ108=0,$MO108=""),"",IF($MF108=0,"não devolve","+"&amp;IF($NV108=1,CEILING($MF108/2,1),$MF108)))</f>
        <v/>
      </c>
      <c r="QE108" s="152">
        <f>IF(OR($MQ108=0,$MP108=""),"",IF($MF108=0,"não devolve","+"&amp;IF($NW108=1,CEILING($MF108/2,1),$MF108)))</f>
        <v/>
      </c>
    </row>
    <row r="109">
      <c r="MA109" s="150" t="inlineStr">
        <is>
          <t>Ficha 9 · Básica 2</t>
        </is>
      </c>
      <c r="MB109" s="152" t="n">
        <v>9</v>
      </c>
      <c r="MC109" s="152" t="n">
        <v>0</v>
      </c>
      <c r="MD109" s="152" t="n">
        <v>11</v>
      </c>
      <c r="ME109" s="150" t="inlineStr">
        <is>
          <t>BÁSICA 2</t>
        </is>
      </c>
      <c r="MF109" s="152" t="n">
        <v>0</v>
      </c>
      <c r="MG109" s="152">
        <f>'INVOCAÇÕES'!$AC$488&amp;""</f>
        <v/>
      </c>
      <c r="MH109" s="152">
        <f>'INVOCAÇÕES'!$AB$493&amp;""</f>
        <v/>
      </c>
      <c r="MI109" s="152">
        <f>'INVOCAÇÕES'!$AB$494&amp;""</f>
        <v/>
      </c>
      <c r="MJ109" s="152">
        <f>'INVOCAÇÕES'!$AD$494&amp;""</f>
        <v/>
      </c>
      <c r="MK109" s="152">
        <f>'INVOCAÇÕES'!$AC$497&amp;""</f>
        <v/>
      </c>
      <c r="ML109" s="152">
        <f>'INVOCAÇÕES'!$AC$498&amp;""</f>
        <v/>
      </c>
      <c r="MM109" s="152">
        <f>'INVOCAÇÕES'!$AC$499&amp;""</f>
        <v/>
      </c>
      <c r="MN109" s="152">
        <f>'INVOCAÇÕES'!$AC$500&amp;""</f>
        <v/>
      </c>
      <c r="MO109" s="152">
        <f>'INVOCAÇÕES'!$AC$501&amp;""</f>
        <v/>
      </c>
      <c r="MP109" s="152">
        <f>'INVOCAÇÕES'!$AC$502&amp;""</f>
        <v/>
      </c>
      <c r="MQ109" s="152">
        <f>IF($MG109&lt;&gt;"",1,0)</f>
        <v/>
      </c>
      <c r="MR109" s="152">
        <f>INDEX($FI$2:$FI$13,$MB109)</f>
        <v/>
      </c>
      <c r="MS109" s="152">
        <f>INDEX($FJ$2:$FJ$13,$MB109)</f>
        <v/>
      </c>
      <c r="MT109" s="152">
        <f>INDEX($FK$2:$FK$13,$MB109)</f>
        <v/>
      </c>
      <c r="MU109" s="152">
        <f>INDEX($FV$2:$FV$13,$MB109)</f>
        <v/>
      </c>
      <c r="MV109" s="152">
        <f>INDEX($FW$2:$FW$13,$MB109)</f>
        <v/>
      </c>
      <c r="MW109" s="152">
        <f>IFERROR(MATCH($MH109,$V$2:$V$11,0),0)</f>
        <v/>
      </c>
      <c r="MX109" s="152">
        <f>IFERROR(VLOOKUP($MK109,$AV$2:$BA$84,2,FALSE),"")</f>
        <v/>
      </c>
      <c r="MY109" s="152">
        <f>IFERROR(VLOOKUP($ML109,$AV$2:$BA$84,2,FALSE),"")</f>
        <v/>
      </c>
      <c r="MZ109" s="152">
        <f>IFERROR(VLOOKUP($MM109,$AV$2:$BA$84,2,FALSE),"")</f>
        <v/>
      </c>
      <c r="NA109" s="152">
        <f>IFERROR(VLOOKUP($MN109,$AV$2:$BA$84,2,FALSE),"")</f>
        <v/>
      </c>
      <c r="NB109" s="152">
        <f>IFERROR(VLOOKUP($MK109,$AV$2:$BA$84,3,FALSE),0)</f>
        <v/>
      </c>
      <c r="NC109" s="152">
        <f>IFERROR(VLOOKUP($ML109,$AV$2:$BA$84,3,FALSE),0)</f>
        <v/>
      </c>
      <c r="ND109" s="152">
        <f>IFERROR(VLOOKUP($MM109,$AV$2:$BA$84,3,FALSE),0)</f>
        <v/>
      </c>
      <c r="NE109" s="152">
        <f>IFERROR(VLOOKUP($MN109,$AV$2:$BA$84,3,FALSE),0)</f>
        <v/>
      </c>
      <c r="NF109" s="152">
        <f>IF($MF109=0,0,IF($MW109=0,0,INDEX($X$2:$X$11,$MW109)))</f>
        <v/>
      </c>
      <c r="NG109" s="152">
        <f>IF(OR($NB109=0,$MF109=0),0,$NB109+3*IF(AND($MX109&lt;&gt;"",OR($MX109=INDEX($EF$2:$EF$13,$MB109),$MX109=INDEX($EG$2:$EG$13,$MB109))),1,0))</f>
        <v/>
      </c>
      <c r="NH109" s="152">
        <f>IF(OR($NC109=0,$MF109=0),0,$NC109+3*IF(AND($MY109&lt;&gt;"",OR($MY109=INDEX($EF$2:$EF$13,$MB109),$MY109=INDEX($EG$2:$EG$13,$MB109))),1,0))</f>
        <v/>
      </c>
      <c r="NI109" s="152">
        <f>IF(OR($ND109=0,$MF109=0),0,$ND109+3*IF(AND($MZ109&lt;&gt;"",OR($MZ109=INDEX($EF$2:$EF$13,$MB109),$MZ109=INDEX($EG$2:$EG$13,$MB109))),1,0))</f>
        <v/>
      </c>
      <c r="NJ109" s="152">
        <f>IF(OR($NE109=0,$MF109=0),0,$NE109+3*IF(AND($NA109&lt;&gt;"",OR($NA109=INDEX($EF$2:$EF$13,$MB109),$NA109=INDEX($EG$2:$EG$13,$MB109))),1,0))</f>
        <v/>
      </c>
      <c r="NK109" s="152">
        <f>IF($MW109=0,0,IF(INDEX($W$2:$W$11,$MW109)="",0,IF(COUNTIF(INDEX($EF$2:$EJ$13,$MB109,0),INDEX($W$2:$W$11,$MW109))=0,1,0)))</f>
        <v/>
      </c>
      <c r="NL109" s="152">
        <f>IF(OR($NB109=0,$MX109=""),0,IF(COUNTIF(INDEX($EF$2:$EJ$13,$MB109,0),$MX109)=0,1,0))</f>
        <v/>
      </c>
      <c r="NM109" s="152">
        <f>IF(OR($NC109=0,$MY109=""),0,IF(COUNTIF(INDEX($EF$2:$EJ$13,$MB109,0),$MY109)=0,1,0))</f>
        <v/>
      </c>
      <c r="NN109" s="152">
        <f>IF(OR($ND109=0,$MZ109=""),0,IF(COUNTIF(INDEX($EF$2:$EJ$13,$MB109,0),$MZ109)=0,1,0))</f>
        <v/>
      </c>
      <c r="NO109" s="152">
        <f>IF(OR($NE109=0,$NA109=""),0,IF(COUNTIF(INDEX($EF$2:$EJ$13,$MB109,0),$NA109)=0,1,0))</f>
        <v/>
      </c>
      <c r="NP109" s="152">
        <f>IFERROR(VLOOKUP($MK109,$AV$2:$BA$84,4,FALSE),0)+IFERROR(VLOOKUP($ML109,$AV$2:$BA$84,4,FALSE),0)+IFERROR(VLOOKUP($MM109,$AV$2:$BA$84,4,FALSE),0)+IFERROR(VLOOKUP($MN109,$AV$2:$BA$84,4,FALSE),0)</f>
        <v/>
      </c>
      <c r="NQ109" s="152">
        <f>IFERROR(VLOOKUP($MK109,$AV$2:$BA$84,6,FALSE),0)+IFERROR(VLOOKUP($ML109,$AV$2:$BA$84,6,FALSE),0)+IFERROR(VLOOKUP($MM109,$AV$2:$BA$84,6,FALSE),0)+IFERROR(VLOOKUP($MN109,$AV$2:$BA$84,6,FALSE),0)</f>
        <v/>
      </c>
      <c r="NR109" s="152">
        <f>TEXTJOIN(", ",TRUE,IF(IFERROR(VLOOKUP($MK109,$AV$2:$BA$84,5,FALSE),0)=1,$MK109,""),IF(IFERROR(VLOOKUP($ML109,$AV$2:$BA$84,5,FALSE),0)=1,$ML109,""),IF(IFERROR(VLOOKUP($MM109,$AV$2:$BA$84,5,FALSE),0)=1,$MM109,""),IF(IFERROR(VLOOKUP($MN109,$AV$2:$BA$84,5,FALSE),0)=1,$MN109,""))</f>
        <v/>
      </c>
      <c r="NS109" s="152">
        <f>IF($MW109=0,0,INDEX($Y$2:$Y$11,$MW109))</f>
        <v/>
      </c>
      <c r="NT109" s="152">
        <f>IF($MW109=0,0,INDEX($Z$2:$Z$11,$MW109))</f>
        <v/>
      </c>
      <c r="NU109" s="152">
        <f>IF($MW109=0,0,INDEX($AB$2:$AB$11,$MW109))</f>
        <v/>
      </c>
      <c r="NV109" s="152">
        <f>IFERROR(VLOOKUP($MO109,$BC$2:$BG$24,3,FALSE),0)</f>
        <v/>
      </c>
      <c r="NW109" s="152">
        <f>IFERROR(VLOOKUP($MP109,$BC$2:$BG$24,3,FALSE),0)</f>
        <v/>
      </c>
      <c r="NX109" s="152">
        <f>IFERROR(VLOOKUP($MO109,$BC$2:$BG$24,2,FALSE),"")</f>
        <v/>
      </c>
      <c r="NY109" s="152">
        <f>IFERROR(VLOOKUP($MP109,$BC$2:$BG$24,2,FALSE),"")</f>
        <v/>
      </c>
      <c r="NZ109" s="152">
        <f>COUNTIF($NF109:$NJ109,1)</f>
        <v/>
      </c>
      <c r="OA109" s="152">
        <f>COUNTIF($NF109:$NJ109,2)</f>
        <v/>
      </c>
      <c r="OB109" s="152">
        <f>COUNTIF($NF109:$NJ109,3)</f>
        <v/>
      </c>
      <c r="OC109" s="152">
        <f>COUNTIF($NF109:$NJ109,4)</f>
        <v/>
      </c>
      <c r="OD109" s="152">
        <f>COUNTIF($NF109:$NJ109,5)</f>
        <v/>
      </c>
      <c r="OE109" s="152">
        <f>COUNTIF($NF109:$NJ109,6)</f>
        <v/>
      </c>
      <c r="OF109" s="152">
        <f>COUNTIF($NV109:$NW109,1)</f>
        <v/>
      </c>
      <c r="OG109" s="152">
        <f>COUNTIF($NV109:$NW109,2)+$NS109</f>
        <v/>
      </c>
      <c r="OH109" s="152">
        <f>COUNTIF($MK109:$MN109,"?*")</f>
        <v/>
      </c>
      <c r="OI109" s="152">
        <f>COUNTIF($MO109:$MP109,"?*")+$NS109</f>
        <v/>
      </c>
      <c r="OJ109" s="152">
        <f>IF($MF109=0,0,SUMPRODUCT($NZ109:$OE109,INDEX($I$2:$N$8,MAX(1,$MF109),0)))</f>
        <v/>
      </c>
      <c r="OK109" s="152">
        <f>IF($MF109=0,0,$OF109*CEILING($MF109/2,1)+$OG109*$MF109)</f>
        <v/>
      </c>
      <c r="OL109" s="152">
        <f>MIN(2*$MF109,$OK109)</f>
        <v/>
      </c>
      <c r="OM109" s="152">
        <f>MIN($OL109,$OJ109)</f>
        <v/>
      </c>
      <c r="ON109" s="152">
        <f>$OL109-$OM109</f>
        <v/>
      </c>
      <c r="OO109" s="152">
        <f>IF($MF109=0,0,INDEX($P$2:$P$8,MAX(1,$MF109)))</f>
        <v/>
      </c>
      <c r="OP109" s="152">
        <f>$OO109-$OJ109+$OM109</f>
        <v/>
      </c>
      <c r="OQ109" s="152">
        <f>IF($MF109=0,MAX(0,$MT109-IF($OH109&gt;0,1,0)),MAX(0,$OP109))</f>
        <v/>
      </c>
      <c r="OR109" s="152">
        <f>IF($MF109=0,0,(IF(COUNTIF($MK109:$MN109,"Salto")&gt;0,1,0)+IF(COUNTIF($MK109:$MN109,"Queima")&gt;0,1,0)+IF(COUNTIF($MK109:$MN109,"Estilhaço")&gt;0,1,0))*FLOOR($OQ109/2,1))</f>
        <v/>
      </c>
      <c r="OS109" s="152">
        <f>MAX(0,2-SUMPRODUCT($NZ109:$OE109,$I$2:$N$2)+MIN(2,$OF109*1+$OG109*1,SUMPRODUCT($NZ109:$OE109,$I$2:$N$2)))</f>
        <v/>
      </c>
      <c r="OT109" s="152">
        <f>MAX(0,4-SUMPRODUCT($NZ109:$OE109,$I$3:$N$3)+MIN(4,$OF109*1+$OG109*2,SUMPRODUCT($NZ109:$OE109,$I$3:$N$3)))</f>
        <v/>
      </c>
      <c r="OU109" s="152">
        <f>MAX(0,6-SUMPRODUCT($NZ109:$OE109,$I$4:$N$4)+MIN(6,$OF109*2+$OG109*3,SUMPRODUCT($NZ109:$OE109,$I$4:$N$4)))</f>
        <v/>
      </c>
      <c r="OV109" s="152">
        <f>MAX(0,9-SUMPRODUCT($NZ109:$OE109,$I$5:$N$5)+MIN(8,$OF109*2+$OG109*4,SUMPRODUCT($NZ109:$OE109,$I$5:$N$5)))</f>
        <v/>
      </c>
      <c r="OW109" s="152">
        <f>MAX(0,11-SUMPRODUCT($NZ109:$OE109,$I$6:$N$6)+MIN(10,$OF109*3+$OG109*5,SUMPRODUCT($NZ109:$OE109,$I$6:$N$6)))</f>
        <v/>
      </c>
      <c r="OX109" s="152">
        <f>MAX(0,13-SUMPRODUCT($NZ109:$OE109,$I$7:$N$7)+MIN(12,$OF109*3+$OG109*6,SUMPRODUCT($NZ109:$OE109,$I$7:$N$7)))</f>
        <v/>
      </c>
      <c r="OY109" s="152">
        <f>MAX(0,16-SUMPRODUCT($NZ109:$OE109,$I$8:$N$8)+MIN(14,$OF109*4+$OG109*7,SUMPRODUCT($NZ109:$OE109,$I$8:$N$8)))</f>
        <v/>
      </c>
      <c r="OZ109" s="152">
        <f>IF($NT109=2,3*$OS109&amp;" de vida temp.",IF($NT109=3,"sem dano",IF($OS109=0,IF($NT109=1,"sem cura","sem dano"),IF($NT109=1,"cura ","")&amp;$OS109&amp;"d8")))</f>
        <v/>
      </c>
      <c r="PA109" s="152">
        <f>IF($NT109=2,3*$OT109&amp;" de vida temp.",IF($NT109=3,"sem dano",IF($OT109=0,IF($NT109=1,"sem cura","sem dano"),IF($NT109=1,"cura ","")&amp;$OT109&amp;"d8")))</f>
        <v/>
      </c>
      <c r="PB109" s="152">
        <f>IF($NT109=2,3*$OU109&amp;" de vida temp.",IF($NT109=3,"sem dano",IF($OU109=0,IF($NT109=1,"sem cura","sem dano"),IF($NT109=1,"cura ","")&amp;$OU109&amp;"d8")))</f>
        <v/>
      </c>
      <c r="PC109" s="152">
        <f>IF($NT109=2,3*$OV109&amp;" de vida temp.",IF($NT109=3,"sem dano",IF($OV109=0,IF($NT109=1,"sem cura","sem dano"),IF($NT109=1,"cura ","")&amp;$OV109&amp;"d8")))</f>
        <v/>
      </c>
      <c r="PD109" s="152">
        <f>IF($NT109=2,3*$OW109&amp;" de vida temp.",IF($NT109=3,"sem dano",IF($OW109=0,IF($NT109=1,"sem cura","sem dano"),IF($NT109=1,"cura ","")&amp;$OW109&amp;"d8")))</f>
        <v/>
      </c>
      <c r="PE109" s="152">
        <f>IF($NT109=2,3*$OX109&amp;" de vida temp.",IF($NT109=3,"sem dano",IF($OX109=0,IF($NT109=1,"sem cura","sem dano"),IF($NT109=1,"cura ","")&amp;$OX109&amp;"d8")))</f>
        <v/>
      </c>
      <c r="PF109" s="152">
        <f>IF($NT109=2,3*$OY109&amp;" de vida temp.",IF($NT109=3,"sem dano",IF($OY109=0,IF($NT109=1,"sem cura","sem dano"),IF($NT109=1,"cura ","")&amp;$OY109&amp;"d8")))</f>
        <v/>
      </c>
      <c r="PG109" s="152">
        <f>IF($MQ109=0,"",TEXTJOIN(" · ",TRUE,IF($MD109&gt;$MR109,"Este lugar abre no nível "&amp;$MD109,""),IF($MF109&gt;$MS109,"Classe "&amp;$MF109&amp;": o nível "&amp;$MR109&amp;" libera até a "&amp;$MS109,""),IF($NK109=1,"A Forma "&amp;$MH109&amp;" pede "&amp;INDEX($W$2:$W$11,$MW109)&amp;" aberta",""),IF(AND($MF109=0,$MW109&gt;0,IF($MW109=0,0,INDEX($AF$2:$AF$11,$MW109))=0),$MH109&amp;" não existe na Classe 0",""),IF($NL109=1,"Família Fechada: "&amp;$MK109,""),IF($NM109=1,"Família Fechada: "&amp;$ML109,""),IF($NN109=1,"Família Fechada: "&amp;$MM109,""),IF($NO109=1,"Família Fechada: "&amp;$MN109,""),IF(AND($MF109&gt;0,$OH109&gt;INDEX($O$2:$O$8,MAX(1,$MF109))),$OH109&amp;" Melhorias: a Classe "&amp;$MF109&amp;" aceita "&amp;INDEX($O$2:$O$8,MAX(1,$MF109)),""),IF(AND($MF109=0,$OH109&gt;1),"A básica aceita uma Melhoria",""),IF(AND($MF109=0,COUNTIF($NB109:$NE109,"&gt;1")&gt;0),"A básica só aceita Melhoria Leve",""),IF(AND($MF109&gt;0,$OI109&gt;2),$OI109&amp;" Restrições"&amp;IF($NS109=1,", contando a que a Forma "&amp;$MH109&amp;" já traz","")&amp;": o limite é 2",""),IF(AND($MF109=0,COUNTIF($MO109:$MP109,"?*")&gt;1),"A básica aceita uma Restrição Leve",""),IF(AND($MF109=0,COUNTIF($NV109:$NW109,2)&gt;0),"A básica só aceita Restrição Leve",""),IF(AND($MF109&gt;0,$OP109&lt;0),"Orçamento estourado: faltam "&amp;(-$OP109)&amp;IF($OP109&lt;-1," pontos"," ponto"),""),IF(IFERROR(VLOOKUP($MO109,$BC$2:$BG$24,4,FALSE),0)+IFERROR(VLOOKUP($MP109,$BC$2:$BG$24,4,FALSE),0)&gt;1,$NX109&amp;" e "&amp;$NY109&amp;" são as duas de frequência",""),IF(AND((COUNTIF($MK109:$MN109,"Rápido")+COUNTIF($NX109:$NY109,"Rápido"))&gt;0,(COUNTIF($MK109:$MN109,"Atrasar")+COUNTIF($NX109:$NY109,"Atrasar"))&gt;0),"Rápido não entra com Atrasar",""),IF(AND((COUNTIF($MK109:$MN109,"Reação")+COUNTIF($NX109:$NY109,"Reação"))&gt;0,(COUNTIF($MK109:$MN109,"Rápido")+COUNTIF($NX109:$NY109,"Rápido"))&gt;0),"Reação não entra com Rápido",""),IF(AND((COUNTIF($MK109:$MN109,"Reação")+COUNTIF($NX109:$NY109,"Reação"))&gt;0,(COUNTIF($MK109:$MN109,"Armado")+COUNTIF($NX109:$NY109,"Armado"))&gt;0),"Reação não entra com Armado",""),IF(AND((COUNTIF($MK109:$MN109,"Reação")+COUNTIF($NX109:$NY109,"Reação"))&gt;0,(COUNTIF($MK109:$MN109,"Atrasar")+COUNTIF($NX109:$NY109,"Atrasar"))&gt;0),"Reação não entra com Atrasar",""),IF(AND((COUNTIF($MK109:$MN109,"Reação")+COUNTIF($NX109:$NY109,"Reação"))&gt;0,(COUNTIF($MK109:$MN109,"Parado")+COUNTIF($NX109:$NY109,"Parado"))&gt;0),"Reação não entra com Parado",""),IF(AND((COUNTIF($MK109:$MN109,"Atrasar")+COUNTIF($NX109:$NY109,"Atrasar"))&gt;0,(COUNTIF($MK109:$MN109,"Parado")+COUNTIF($NX109:$NY109,"Parado"))&gt;0),"Atrasar não entra com Parado",""),IF(AND((COUNTIF($MK109:$MN109,"Armado")+COUNTIF($NX109:$NY109,"Armado"))&gt;0,(COUNTIF($MK109:$MN109,"Carregar")+COUNTIF($NX109:$NY109,"Carregar"))&gt;0),"Armado não entra com Carregar",""),IF(AND(COUNTIF($NX109:$NY109,"Corpo a Corpo")&gt;0,$NS109=0,OR($MH109="Cone",$MH109="Linha")),"Corpo a Corpo não entra em "&amp;$MH109,""),IF(AND(COUNTIF($NX109:$NY109,"Corpo a Corpo")&gt;0,$NS109=1),"A Forma "&amp;$MH109&amp;" já traz o Corpo a Corpo",""),IF(AND(COUNTIF($NX109:$NY109,"Tudo ou Nada")&gt;0,$NU109=0),"Tudo ou Nada só entra em habilidade de Teste de Resistência",""),IF(AND(COUNTIF($MK109:$MN109,"Inescapável")&gt;0,OR($OH109&gt;1,$OI109&gt;0)),"Inescapável não aceita outra peça",""),IF(AND($MF109&gt;0,$OQ109*IF(COUNTIF($MK109:$MN109,"Remate")&gt;0,1.25,1)+$OR109&gt;4*$MF109),($OQ109*IF(COUNTIF($MK109:$MN109,"Remate")&gt;0,1.25,1)+$OR109)&amp;" dados somando repetições"&amp;IF(COUNTIF($MK109:$MN109,"Remate")&gt;0," e o Remate","")&amp;": o teto da Classe "&amp;$MF109&amp;" é "&amp;4*$MF109,"")))</f>
        <v/>
      </c>
      <c r="PH109" s="152">
        <f>IF($PG109="",0,(LEN($PG109)-LEN(SUBSTITUTE($PG109," · ","")))/3+1)</f>
        <v/>
      </c>
      <c r="PI109" s="152">
        <f>IF($MQ109=0,"",TEXTJOIN(" · ",TRUE,IF($OK109&gt;2*$MF109,"A devolução parou no teto de "&amp;2*$MF109,""),IF($ON109&gt;0,"Devolução perdida: "&amp;$ON109&amp;IF($ON109&gt;1," pontos"," ponto")&amp;" sem peça para pagar",""),IF(AND($NP109&gt;0,AND($MF109&gt;0,$NT109=0),$OQ109=0),"Controle sem dano: uma rodada a mais e CD +2",""),IF(AND($NP109&gt;0,AND($MF109&gt;0,$NT109=0),$OQ109&gt;0,$OQ109&lt;=$MF109),"Controle com saldo até a Classe: uma rodada a mais",""),IF(AND($MF109&gt;0,$NR109&lt;&gt;""),"Efeito de "&amp;$NR109&amp;" pela Classe "&amp;MAX(1,$MF109-1),"")))</f>
        <v/>
      </c>
      <c r="PJ109" s="152">
        <f>IF($PI109="",0,(LEN($PI109)-LEN(SUBSTITUTE($PI109," · ","")))/3+1)</f>
        <v/>
      </c>
      <c r="PK109" s="152">
        <f>IF($MQ109=0,IF($OH109+COUNTIF($MO109:$MP109,"?*")&gt;0,"Dê um nome",""),IF($PH109&gt;0,"⚠ "&amp;$PH109&amp;IF($PH109&gt;1," erros"," erro"),IF($PJ109&gt;0,"! "&amp;$PJ109&amp;IF($PJ109&gt;1," avisos"," aviso"),"Na regra")))</f>
        <v/>
      </c>
      <c r="PL109" s="152">
        <f>IF($MQ109=0,"",IF($PH109+$PJ109=0,"Dentro das regras que a ficha confere",$PG109&amp;IF(AND($PH109&gt;0,$PJ109&gt;0)," · ","")&amp;$PI109))</f>
        <v/>
      </c>
      <c r="PM109" s="152">
        <f>IF($MD109&gt;$MR109,$ME109&amp;" · ABRE NO NÍVEL "&amp;$MD109,$ME109)</f>
        <v/>
      </c>
      <c r="PN109" s="152">
        <f>IF($MQ109=0,"",IF($MF109=0,"Sem PE",3*$MF109&amp;" PE"))</f>
        <v/>
      </c>
      <c r="PO109" s="152">
        <f>IF($MQ109=0,"",IF($MF109=0,"A atuação básica dela",IF(COUNTIF($NX109:$NY109,"Atrasar")&gt;0,"Sua Ação Completa",IF(COUNTIF($MK109:$MN109,"Rápido")&gt;0,"Sua Bônus",IF(COUNTIF($MK109:$MN109,"Reação")&gt;0,"Sua Reação","Sua Padrão")))&amp;" + a básica dela"&amp;IF(COUNTIF($MK109:$MN109,"Reação")&gt;0," e a coletiva","")&amp;IF(COUNTIF($NX109:$NY109,"Carregar")&gt;0," · em dois turnos","")))</f>
        <v/>
      </c>
      <c r="PP109" s="152">
        <f>IF($MJ109&lt;&gt;"",$MJ109,IF($MW109=0,"",INDEX($AA$2:$AA$11,$MW109)))</f>
        <v/>
      </c>
      <c r="PQ109" s="152">
        <f>IF(OR($MQ109=0,$MW109=0),"",IF(COUNTIF($MK109:$MN109,"Inescapável")&gt;0,"Automático",IF($PP109="Ataque",IF($MU109="","Ataque","Ataque "&amp;IF(($MU109+2*IF(COUNTIF($MK109:$MN109,"Precisão")&gt;0,1,0))&gt;=0,"+","−")&amp;ABS(($MU109+2*IF(COUNTIF($MK109:$MN109,"Precisão")&gt;0,1,0))))&amp;IF($NQ109&gt;0," · TR"&amp;IF($MV109="",""," CD "&amp;$MV109),""),IF(LEFT($PP109,2)="TR",$PP109&amp;IF($MV109="",""," · CD "&amp;$MV109)&amp;IF(COUNTIF($MK109:$MN109,"Certeiro")&gt;0," · metade",""),"Sem rolagem"))))</f>
        <v/>
      </c>
      <c r="PR109" s="152">
        <f>IF(OR($MQ109=0,$MW109=0),"",IF($MF109=0,IF(OR($NT109&gt;=1,$OQ109=0),"Sem dano",$OQ109&amp;"d6"&amp;IF($MI109="",""," "&amp;$MI109)),IF(OR($NT109&gt;=1,$OQ109=0),UPPER(LEFT(INDEX($OZ109:$PF109,1,MAX(1,$MF109)),1))&amp;MID(INDEX($OZ109:$PF109,1,MAX(1,$MF109)),2,99),UPPER(LEFT(INDEX($OZ109:$PF109,1,MAX(1,$MF109)),1))&amp;MID(INDEX($OZ109:$PF109,1,MAX(1,$MF109)),2,99)&amp;IF($MI109="",""," "&amp;$MI109)&amp;IF($OR109&gt;0," · +"&amp;$OR109&amp;"d8",""))))</f>
        <v/>
      </c>
      <c r="PS109" s="152">
        <f>COUNTIF($MK109:$MN109,"Longe")+3*COUNTIF($MK109:$MN109,"Muito Longe")</f>
        <v/>
      </c>
      <c r="PT109" s="152">
        <f>COUNTIF($MK109:$MN109,"Maior")+3*COUNTIF($MK109:$MN109,"Muito Maior")</f>
        <v/>
      </c>
      <c r="PU109" s="152">
        <f>IF($MW109=0,0,CHOOSE(1+INDEX($AC$2:$AC$11,$MW109),0,$PS109,$PT109,$PS109+$PT109))</f>
        <v/>
      </c>
      <c r="PV109" s="152">
        <f>IF($MW109=0,0,CHOOSE(1+INDEX($AD$2:$AD$11,$MW109),0,$PS109,$PT109,$PS109+$PT109))</f>
        <v/>
      </c>
      <c r="PW109" s="152">
        <f>IF(OR($MQ109=0,$MW109=0),"",INDEX($AI$2:$AN$41,($MW109-1)*4+IF($MF109=0,1,IF($MF109&lt;=5,2,IF($MF109=6,3,4))),1+MIN(5,$PU109))&amp;INDEX($AO$2:$AT$41,($MW109-1)*4+IF($MF109=0,1,IF($MF109&lt;=5,2,IF($MF109=6,3,4))),1+MIN(5,$PV109))&amp;IF(INDEX($AE$2:$AE$11,$MW109)=1,IF(COUNTIF($MK109:$MN109,"Mais Um")&gt;0," · +"&amp;COUNTIF($MK109:$MN109,"Mais Um")&amp;IF(COUNTIF($MK109:$MN109,"Mais Um")&gt;1," alvos"," alvo"),"")&amp;IF(COUNTIF($MK109:$MN109,"Rajada")&gt;0,IF($MF109=0," · 1 tiro"," · "&amp;(MAX(1,$MF109-1)+1)&amp;" tiros"),""),""))</f>
        <v/>
      </c>
      <c r="PX109" s="152">
        <f>IF($MQ109=0,"",IF($MF109=0,$MT109&amp;"d6"&amp;IF($OH109&gt;0," − 1 = "&amp;$OQ109&amp;"d6"," da básica do nível "&amp;$MR109),$OO109&amp;" − "&amp;$OJ109&amp;" + "&amp;$OM109&amp;" = "&amp;$OP109&amp;" · teto "&amp;4*$MF109&amp;"d8"&amp;IF($NS109=1," · a Forma devolve "&amp;$MF109,"")&amp;IF($ON109&gt;0," · perde "&amp;$ON109,"")))</f>
        <v/>
      </c>
      <c r="PY109" s="152">
        <f>IF($MQ109=0,"",IF($MF109=0,"A básica não amplia: os dados dela sobem com o nível",IF($MF109&gt;=$MS109,"Já está na maior Classe que o nível liberou",TEXTJOIN(" · ",TRUE,IF(AND(2&gt;$MF109,2&lt;=$MS109),"2 → "&amp;$PA109&amp;", 6 PE",""),IF(AND(3&gt;$MF109,3&lt;=$MS109),"3 → "&amp;$PB109&amp;", 9 PE",""),IF(AND(4&gt;$MF109,4&lt;=$MS109),"4 → "&amp;$PC109&amp;", 12 PE",""),IF(AND(5&gt;$MF109,5&lt;=$MS109),"5 → "&amp;$PD109&amp;", 15 PE",""),IF(AND(6&gt;$MF109,6&lt;=$MS109),"6 → "&amp;$PE109&amp;", 18 PE",""),IF(AND(7&gt;$MF109,7&lt;=$MS109),"7 → "&amp;$PF109&amp;", 21 PE","")))))</f>
        <v/>
      </c>
      <c r="PZ109" s="152">
        <f>IF(OR($MQ109=0,$NB109=0),"",IF($MF109=0,"−1 dado","−"&amp;INDEX($I$2:$N$8,MAX(1,$MF109),MAX(1,$NG109))&amp;" · "&amp;CHOOSE(MAX(1,$NG109),"Leve","Média","Pesada","Leve · Livre","Média · Livre","Pesada · Livre")))</f>
        <v/>
      </c>
      <c r="QA109" s="152">
        <f>IF(OR($MQ109=0,$NC109=0),"",IF($MF109=0,"−1 dado","−"&amp;INDEX($I$2:$N$8,MAX(1,$MF109),MAX(1,$NH109))&amp;" · "&amp;CHOOSE(MAX(1,$NH109),"Leve","Média","Pesada","Leve · Livre","Média · Livre","Pesada · Livre")))</f>
        <v/>
      </c>
      <c r="QB109" s="152">
        <f>IF(OR($MQ109=0,$ND109=0),"",IF($MF109=0,"−1 dado","−"&amp;INDEX($I$2:$N$8,MAX(1,$MF109),MAX(1,$NI109))&amp;" · "&amp;CHOOSE(MAX(1,$NI109),"Leve","Média","Pesada","Leve · Livre","Média · Livre","Pesada · Livre")))</f>
        <v/>
      </c>
      <c r="QC109" s="152">
        <f>IF(OR($MQ109=0,$NE109=0),"",IF($MF109=0,"−1 dado","−"&amp;INDEX($I$2:$N$8,MAX(1,$MF109),MAX(1,$NJ109))&amp;" · "&amp;CHOOSE(MAX(1,$NJ109),"Leve","Média","Pesada","Leve · Livre","Média · Livre","Pesada · Livre")))</f>
        <v/>
      </c>
      <c r="QD109" s="152">
        <f>IF(OR($MQ109=0,$MO109=""),"",IF($MF109=0,"não devolve","+"&amp;IF($NV109=1,CEILING($MF109/2,1),$MF109)))</f>
        <v/>
      </c>
      <c r="QE109" s="152">
        <f>IF(OR($MQ109=0,$MP109=""),"",IF($MF109=0,"não devolve","+"&amp;IF($NW109=1,CEILING($MF109/2,1),$MF109)))</f>
        <v/>
      </c>
    </row>
    <row r="110">
      <c r="MA110" s="150" t="inlineStr">
        <is>
          <t>Ficha 9 · Especial 3</t>
        </is>
      </c>
      <c r="MB110" s="152" t="n">
        <v>9</v>
      </c>
      <c r="MC110" s="152" t="n">
        <v>1</v>
      </c>
      <c r="MD110" s="152" t="n">
        <v>8</v>
      </c>
      <c r="ME110" s="150" t="inlineStr">
        <is>
          <t>ESPECIAL 3</t>
        </is>
      </c>
      <c r="MF110" s="152">
        <f>MAX(1,MIN(7,N('INVOCAÇÕES'!$AH$488)))</f>
        <v/>
      </c>
      <c r="MG110" s="152">
        <f>'INVOCAÇÕES'!$AI$488&amp;""</f>
        <v/>
      </c>
      <c r="MH110" s="152">
        <f>'INVOCAÇÕES'!$AH$493&amp;""</f>
        <v/>
      </c>
      <c r="MI110" s="152">
        <f>'INVOCAÇÕES'!$AH$494&amp;""</f>
        <v/>
      </c>
      <c r="MJ110" s="152">
        <f>'INVOCAÇÕES'!$AJ$494&amp;""</f>
        <v/>
      </c>
      <c r="MK110" s="152">
        <f>'INVOCAÇÕES'!$AI$497&amp;""</f>
        <v/>
      </c>
      <c r="ML110" s="152">
        <f>'INVOCAÇÕES'!$AI$498&amp;""</f>
        <v/>
      </c>
      <c r="MM110" s="152">
        <f>'INVOCAÇÕES'!$AI$499&amp;""</f>
        <v/>
      </c>
      <c r="MN110" s="152">
        <f>'INVOCAÇÕES'!$AI$500&amp;""</f>
        <v/>
      </c>
      <c r="MO110" s="152">
        <f>'INVOCAÇÕES'!$AI$501&amp;""</f>
        <v/>
      </c>
      <c r="MP110" s="152">
        <f>'INVOCAÇÕES'!$AI$502&amp;""</f>
        <v/>
      </c>
      <c r="MQ110" s="152">
        <f>IF($MG110&lt;&gt;"",1,0)</f>
        <v/>
      </c>
      <c r="MR110" s="152">
        <f>INDEX($FI$2:$FI$13,$MB110)</f>
        <v/>
      </c>
      <c r="MS110" s="152">
        <f>INDEX($FJ$2:$FJ$13,$MB110)</f>
        <v/>
      </c>
      <c r="MT110" s="152">
        <f>INDEX($FK$2:$FK$13,$MB110)</f>
        <v/>
      </c>
      <c r="MU110" s="152">
        <f>INDEX($FV$2:$FV$13,$MB110)</f>
        <v/>
      </c>
      <c r="MV110" s="152">
        <f>INDEX($FW$2:$FW$13,$MB110)</f>
        <v/>
      </c>
      <c r="MW110" s="152">
        <f>IFERROR(MATCH($MH110,$V$2:$V$11,0),0)</f>
        <v/>
      </c>
      <c r="MX110" s="152">
        <f>IFERROR(VLOOKUP($MK110,$AV$2:$BA$84,2,FALSE),"")</f>
        <v/>
      </c>
      <c r="MY110" s="152">
        <f>IFERROR(VLOOKUP($ML110,$AV$2:$BA$84,2,FALSE),"")</f>
        <v/>
      </c>
      <c r="MZ110" s="152">
        <f>IFERROR(VLOOKUP($MM110,$AV$2:$BA$84,2,FALSE),"")</f>
        <v/>
      </c>
      <c r="NA110" s="152">
        <f>IFERROR(VLOOKUP($MN110,$AV$2:$BA$84,2,FALSE),"")</f>
        <v/>
      </c>
      <c r="NB110" s="152">
        <f>IFERROR(VLOOKUP($MK110,$AV$2:$BA$84,3,FALSE),0)</f>
        <v/>
      </c>
      <c r="NC110" s="152">
        <f>IFERROR(VLOOKUP($ML110,$AV$2:$BA$84,3,FALSE),0)</f>
        <v/>
      </c>
      <c r="ND110" s="152">
        <f>IFERROR(VLOOKUP($MM110,$AV$2:$BA$84,3,FALSE),0)</f>
        <v/>
      </c>
      <c r="NE110" s="152">
        <f>IFERROR(VLOOKUP($MN110,$AV$2:$BA$84,3,FALSE),0)</f>
        <v/>
      </c>
      <c r="NF110" s="152">
        <f>IF($MF110=0,0,IF($MW110=0,0,INDEX($X$2:$X$11,$MW110)))</f>
        <v/>
      </c>
      <c r="NG110" s="152">
        <f>IF(OR($NB110=0,$MF110=0),0,$NB110+3*IF(AND($MX110&lt;&gt;"",OR($MX110=INDEX($EF$2:$EF$13,$MB110),$MX110=INDEX($EG$2:$EG$13,$MB110))),1,0))</f>
        <v/>
      </c>
      <c r="NH110" s="152">
        <f>IF(OR($NC110=0,$MF110=0),0,$NC110+3*IF(AND($MY110&lt;&gt;"",OR($MY110=INDEX($EF$2:$EF$13,$MB110),$MY110=INDEX($EG$2:$EG$13,$MB110))),1,0))</f>
        <v/>
      </c>
      <c r="NI110" s="152">
        <f>IF(OR($ND110=0,$MF110=0),0,$ND110+3*IF(AND($MZ110&lt;&gt;"",OR($MZ110=INDEX($EF$2:$EF$13,$MB110),$MZ110=INDEX($EG$2:$EG$13,$MB110))),1,0))</f>
        <v/>
      </c>
      <c r="NJ110" s="152">
        <f>IF(OR($NE110=0,$MF110=0),0,$NE110+3*IF(AND($NA110&lt;&gt;"",OR($NA110=INDEX($EF$2:$EF$13,$MB110),$NA110=INDEX($EG$2:$EG$13,$MB110))),1,0))</f>
        <v/>
      </c>
      <c r="NK110" s="152">
        <f>IF($MW110=0,0,IF(INDEX($W$2:$W$11,$MW110)="",0,IF(COUNTIF(INDEX($EF$2:$EJ$13,$MB110,0),INDEX($W$2:$W$11,$MW110))=0,1,0)))</f>
        <v/>
      </c>
      <c r="NL110" s="152">
        <f>IF(OR($NB110=0,$MX110=""),0,IF(COUNTIF(INDEX($EF$2:$EJ$13,$MB110,0),$MX110)=0,1,0))</f>
        <v/>
      </c>
      <c r="NM110" s="152">
        <f>IF(OR($NC110=0,$MY110=""),0,IF(COUNTIF(INDEX($EF$2:$EJ$13,$MB110,0),$MY110)=0,1,0))</f>
        <v/>
      </c>
      <c r="NN110" s="152">
        <f>IF(OR($ND110=0,$MZ110=""),0,IF(COUNTIF(INDEX($EF$2:$EJ$13,$MB110,0),$MZ110)=0,1,0))</f>
        <v/>
      </c>
      <c r="NO110" s="152">
        <f>IF(OR($NE110=0,$NA110=""),0,IF(COUNTIF(INDEX($EF$2:$EJ$13,$MB110,0),$NA110)=0,1,0))</f>
        <v/>
      </c>
      <c r="NP110" s="152">
        <f>IFERROR(VLOOKUP($MK110,$AV$2:$BA$84,4,FALSE),0)+IFERROR(VLOOKUP($ML110,$AV$2:$BA$84,4,FALSE),0)+IFERROR(VLOOKUP($MM110,$AV$2:$BA$84,4,FALSE),0)+IFERROR(VLOOKUP($MN110,$AV$2:$BA$84,4,FALSE),0)</f>
        <v/>
      </c>
      <c r="NQ110" s="152">
        <f>IFERROR(VLOOKUP($MK110,$AV$2:$BA$84,6,FALSE),0)+IFERROR(VLOOKUP($ML110,$AV$2:$BA$84,6,FALSE),0)+IFERROR(VLOOKUP($MM110,$AV$2:$BA$84,6,FALSE),0)+IFERROR(VLOOKUP($MN110,$AV$2:$BA$84,6,FALSE),0)</f>
        <v/>
      </c>
      <c r="NR110" s="152">
        <f>TEXTJOIN(", ",TRUE,IF(IFERROR(VLOOKUP($MK110,$AV$2:$BA$84,5,FALSE),0)=1,$MK110,""),IF(IFERROR(VLOOKUP($ML110,$AV$2:$BA$84,5,FALSE),0)=1,$ML110,""),IF(IFERROR(VLOOKUP($MM110,$AV$2:$BA$84,5,FALSE),0)=1,$MM110,""),IF(IFERROR(VLOOKUP($MN110,$AV$2:$BA$84,5,FALSE),0)=1,$MN110,""))</f>
        <v/>
      </c>
      <c r="NS110" s="152">
        <f>IF($MW110=0,0,INDEX($Y$2:$Y$11,$MW110))</f>
        <v/>
      </c>
      <c r="NT110" s="152">
        <f>IF($MW110=0,0,INDEX($Z$2:$Z$11,$MW110))</f>
        <v/>
      </c>
      <c r="NU110" s="152">
        <f>IF($MW110=0,0,INDEX($AB$2:$AB$11,$MW110))</f>
        <v/>
      </c>
      <c r="NV110" s="152">
        <f>IFERROR(VLOOKUP($MO110,$BC$2:$BG$24,3,FALSE),0)</f>
        <v/>
      </c>
      <c r="NW110" s="152">
        <f>IFERROR(VLOOKUP($MP110,$BC$2:$BG$24,3,FALSE),0)</f>
        <v/>
      </c>
      <c r="NX110" s="152">
        <f>IFERROR(VLOOKUP($MO110,$BC$2:$BG$24,2,FALSE),"")</f>
        <v/>
      </c>
      <c r="NY110" s="152">
        <f>IFERROR(VLOOKUP($MP110,$BC$2:$BG$24,2,FALSE),"")</f>
        <v/>
      </c>
      <c r="NZ110" s="152">
        <f>COUNTIF($NF110:$NJ110,1)</f>
        <v/>
      </c>
      <c r="OA110" s="152">
        <f>COUNTIF($NF110:$NJ110,2)</f>
        <v/>
      </c>
      <c r="OB110" s="152">
        <f>COUNTIF($NF110:$NJ110,3)</f>
        <v/>
      </c>
      <c r="OC110" s="152">
        <f>COUNTIF($NF110:$NJ110,4)</f>
        <v/>
      </c>
      <c r="OD110" s="152">
        <f>COUNTIF($NF110:$NJ110,5)</f>
        <v/>
      </c>
      <c r="OE110" s="152">
        <f>COUNTIF($NF110:$NJ110,6)</f>
        <v/>
      </c>
      <c r="OF110" s="152">
        <f>COUNTIF($NV110:$NW110,1)</f>
        <v/>
      </c>
      <c r="OG110" s="152">
        <f>COUNTIF($NV110:$NW110,2)+$NS110</f>
        <v/>
      </c>
      <c r="OH110" s="152">
        <f>COUNTIF($MK110:$MN110,"?*")</f>
        <v/>
      </c>
      <c r="OI110" s="152">
        <f>COUNTIF($MO110:$MP110,"?*")+$NS110</f>
        <v/>
      </c>
      <c r="OJ110" s="152">
        <f>IF($MF110=0,0,SUMPRODUCT($NZ110:$OE110,INDEX($I$2:$N$8,MAX(1,$MF110),0)))</f>
        <v/>
      </c>
      <c r="OK110" s="152">
        <f>IF($MF110=0,0,$OF110*CEILING($MF110/2,1)+$OG110*$MF110)</f>
        <v/>
      </c>
      <c r="OL110" s="152">
        <f>MIN(2*$MF110,$OK110)</f>
        <v/>
      </c>
      <c r="OM110" s="152">
        <f>MIN($OL110,$OJ110)</f>
        <v/>
      </c>
      <c r="ON110" s="152">
        <f>$OL110-$OM110</f>
        <v/>
      </c>
      <c r="OO110" s="152">
        <f>IF($MF110=0,0,INDEX($P$2:$P$8,MAX(1,$MF110)))</f>
        <v/>
      </c>
      <c r="OP110" s="152">
        <f>$OO110-$OJ110+$OM110</f>
        <v/>
      </c>
      <c r="OQ110" s="152">
        <f>IF($MF110=0,MAX(0,$MT110-IF($OH110&gt;0,1,0)),MAX(0,$OP110))</f>
        <v/>
      </c>
      <c r="OR110" s="152">
        <f>IF($MF110=0,0,(IF(COUNTIF($MK110:$MN110,"Salto")&gt;0,1,0)+IF(COUNTIF($MK110:$MN110,"Queima")&gt;0,1,0)+IF(COUNTIF($MK110:$MN110,"Estilhaço")&gt;0,1,0))*FLOOR($OQ110/2,1))</f>
        <v/>
      </c>
      <c r="OS110" s="152">
        <f>MAX(0,2-SUMPRODUCT($NZ110:$OE110,$I$2:$N$2)+MIN(2,$OF110*1+$OG110*1,SUMPRODUCT($NZ110:$OE110,$I$2:$N$2)))</f>
        <v/>
      </c>
      <c r="OT110" s="152">
        <f>MAX(0,4-SUMPRODUCT($NZ110:$OE110,$I$3:$N$3)+MIN(4,$OF110*1+$OG110*2,SUMPRODUCT($NZ110:$OE110,$I$3:$N$3)))</f>
        <v/>
      </c>
      <c r="OU110" s="152">
        <f>MAX(0,6-SUMPRODUCT($NZ110:$OE110,$I$4:$N$4)+MIN(6,$OF110*2+$OG110*3,SUMPRODUCT($NZ110:$OE110,$I$4:$N$4)))</f>
        <v/>
      </c>
      <c r="OV110" s="152">
        <f>MAX(0,9-SUMPRODUCT($NZ110:$OE110,$I$5:$N$5)+MIN(8,$OF110*2+$OG110*4,SUMPRODUCT($NZ110:$OE110,$I$5:$N$5)))</f>
        <v/>
      </c>
      <c r="OW110" s="152">
        <f>MAX(0,11-SUMPRODUCT($NZ110:$OE110,$I$6:$N$6)+MIN(10,$OF110*3+$OG110*5,SUMPRODUCT($NZ110:$OE110,$I$6:$N$6)))</f>
        <v/>
      </c>
      <c r="OX110" s="152">
        <f>MAX(0,13-SUMPRODUCT($NZ110:$OE110,$I$7:$N$7)+MIN(12,$OF110*3+$OG110*6,SUMPRODUCT($NZ110:$OE110,$I$7:$N$7)))</f>
        <v/>
      </c>
      <c r="OY110" s="152">
        <f>MAX(0,16-SUMPRODUCT($NZ110:$OE110,$I$8:$N$8)+MIN(14,$OF110*4+$OG110*7,SUMPRODUCT($NZ110:$OE110,$I$8:$N$8)))</f>
        <v/>
      </c>
      <c r="OZ110" s="152">
        <f>IF($NT110=2,3*$OS110&amp;" de vida temp.",IF($NT110=3,"sem dano",IF($OS110=0,IF($NT110=1,"sem cura","sem dano"),IF($NT110=1,"cura ","")&amp;$OS110&amp;"d8")))</f>
        <v/>
      </c>
      <c r="PA110" s="152">
        <f>IF($NT110=2,3*$OT110&amp;" de vida temp.",IF($NT110=3,"sem dano",IF($OT110=0,IF($NT110=1,"sem cura","sem dano"),IF($NT110=1,"cura ","")&amp;$OT110&amp;"d8")))</f>
        <v/>
      </c>
      <c r="PB110" s="152">
        <f>IF($NT110=2,3*$OU110&amp;" de vida temp.",IF($NT110=3,"sem dano",IF($OU110=0,IF($NT110=1,"sem cura","sem dano"),IF($NT110=1,"cura ","")&amp;$OU110&amp;"d8")))</f>
        <v/>
      </c>
      <c r="PC110" s="152">
        <f>IF($NT110=2,3*$OV110&amp;" de vida temp.",IF($NT110=3,"sem dano",IF($OV110=0,IF($NT110=1,"sem cura","sem dano"),IF($NT110=1,"cura ","")&amp;$OV110&amp;"d8")))</f>
        <v/>
      </c>
      <c r="PD110" s="152">
        <f>IF($NT110=2,3*$OW110&amp;" de vida temp.",IF($NT110=3,"sem dano",IF($OW110=0,IF($NT110=1,"sem cura","sem dano"),IF($NT110=1,"cura ","")&amp;$OW110&amp;"d8")))</f>
        <v/>
      </c>
      <c r="PE110" s="152">
        <f>IF($NT110=2,3*$OX110&amp;" de vida temp.",IF($NT110=3,"sem dano",IF($OX110=0,IF($NT110=1,"sem cura","sem dano"),IF($NT110=1,"cura ","")&amp;$OX110&amp;"d8")))</f>
        <v/>
      </c>
      <c r="PF110" s="152">
        <f>IF($NT110=2,3*$OY110&amp;" de vida temp.",IF($NT110=3,"sem dano",IF($OY110=0,IF($NT110=1,"sem cura","sem dano"),IF($NT110=1,"cura ","")&amp;$OY110&amp;"d8")))</f>
        <v/>
      </c>
      <c r="PG110" s="152">
        <f>IF($MQ110=0,"",TEXTJOIN(" · ",TRUE,IF($MD110&gt;$MR110,"Este lugar abre no nível "&amp;$MD110,""),IF($MF110&gt;$MS110,"Classe "&amp;$MF110&amp;": o nível "&amp;$MR110&amp;" libera até a "&amp;$MS110,""),IF($NK110=1,"A Forma "&amp;$MH110&amp;" pede "&amp;INDEX($W$2:$W$11,$MW110)&amp;" aberta",""),IF(AND($MF110=0,$MW110&gt;0,IF($MW110=0,0,INDEX($AF$2:$AF$11,$MW110))=0),$MH110&amp;" não existe na Classe 0",""),IF($NL110=1,"Família Fechada: "&amp;$MK110,""),IF($NM110=1,"Família Fechada: "&amp;$ML110,""),IF($NN110=1,"Família Fechada: "&amp;$MM110,""),IF($NO110=1,"Família Fechada: "&amp;$MN110,""),IF(AND($MF110&gt;0,$OH110&gt;INDEX($O$2:$O$8,MAX(1,$MF110))),$OH110&amp;" Melhorias: a Classe "&amp;$MF110&amp;" aceita "&amp;INDEX($O$2:$O$8,MAX(1,$MF110)),""),IF(AND($MF110=0,$OH110&gt;1),"A básica aceita uma Melhoria",""),IF(AND($MF110=0,COUNTIF($NB110:$NE110,"&gt;1")&gt;0),"A básica só aceita Melhoria Leve",""),IF(AND($MF110&gt;0,$OI110&gt;2),$OI110&amp;" Restrições"&amp;IF($NS110=1,", contando a que a Forma "&amp;$MH110&amp;" já traz","")&amp;": o limite é 2",""),IF(AND($MF110=0,COUNTIF($MO110:$MP110,"?*")&gt;1),"A básica aceita uma Restrição Leve",""),IF(AND($MF110=0,COUNTIF($NV110:$NW110,2)&gt;0),"A básica só aceita Restrição Leve",""),IF(AND($MF110&gt;0,$OP110&lt;0),"Orçamento estourado: faltam "&amp;(-$OP110)&amp;IF($OP110&lt;-1," pontos"," ponto"),""),IF(IFERROR(VLOOKUP($MO110,$BC$2:$BG$24,4,FALSE),0)+IFERROR(VLOOKUP($MP110,$BC$2:$BG$24,4,FALSE),0)&gt;1,$NX110&amp;" e "&amp;$NY110&amp;" são as duas de frequência",""),IF(AND((COUNTIF($MK110:$MN110,"Rápido")+COUNTIF($NX110:$NY110,"Rápido"))&gt;0,(COUNTIF($MK110:$MN110,"Atrasar")+COUNTIF($NX110:$NY110,"Atrasar"))&gt;0),"Rápido não entra com Atrasar",""),IF(AND((COUNTIF($MK110:$MN110,"Reação")+COUNTIF($NX110:$NY110,"Reação"))&gt;0,(COUNTIF($MK110:$MN110,"Rápido")+COUNTIF($NX110:$NY110,"Rápido"))&gt;0),"Reação não entra com Rápido",""),IF(AND((COUNTIF($MK110:$MN110,"Reação")+COUNTIF($NX110:$NY110,"Reação"))&gt;0,(COUNTIF($MK110:$MN110,"Armado")+COUNTIF($NX110:$NY110,"Armado"))&gt;0),"Reação não entra com Armado",""),IF(AND((COUNTIF($MK110:$MN110,"Reação")+COUNTIF($NX110:$NY110,"Reação"))&gt;0,(COUNTIF($MK110:$MN110,"Atrasar")+COUNTIF($NX110:$NY110,"Atrasar"))&gt;0),"Reação não entra com Atrasar",""),IF(AND((COUNTIF($MK110:$MN110,"Reação")+COUNTIF($NX110:$NY110,"Reação"))&gt;0,(COUNTIF($MK110:$MN110,"Parado")+COUNTIF($NX110:$NY110,"Parado"))&gt;0),"Reação não entra com Parado",""),IF(AND((COUNTIF($MK110:$MN110,"Atrasar")+COUNTIF($NX110:$NY110,"Atrasar"))&gt;0,(COUNTIF($MK110:$MN110,"Parado")+COUNTIF($NX110:$NY110,"Parado"))&gt;0),"Atrasar não entra com Parado",""),IF(AND((COUNTIF($MK110:$MN110,"Armado")+COUNTIF($NX110:$NY110,"Armado"))&gt;0,(COUNTIF($MK110:$MN110,"Carregar")+COUNTIF($NX110:$NY110,"Carregar"))&gt;0),"Armado não entra com Carregar",""),IF(AND(COUNTIF($NX110:$NY110,"Corpo a Corpo")&gt;0,$NS110=0,OR($MH110="Cone",$MH110="Linha")),"Corpo a Corpo não entra em "&amp;$MH110,""),IF(AND(COUNTIF($NX110:$NY110,"Corpo a Corpo")&gt;0,$NS110=1),"A Forma "&amp;$MH110&amp;" já traz o Corpo a Corpo",""),IF(AND(COUNTIF($NX110:$NY110,"Tudo ou Nada")&gt;0,$NU110=0),"Tudo ou Nada só entra em habilidade de Teste de Resistência",""),IF(AND(COUNTIF($MK110:$MN110,"Inescapável")&gt;0,OR($OH110&gt;1,$OI110&gt;0)),"Inescapável não aceita outra peça",""),IF(AND($MF110&gt;0,$OQ110*IF(COUNTIF($MK110:$MN110,"Remate")&gt;0,1.25,1)+$OR110&gt;4*$MF110),($OQ110*IF(COUNTIF($MK110:$MN110,"Remate")&gt;0,1.25,1)+$OR110)&amp;" dados somando repetições"&amp;IF(COUNTIF($MK110:$MN110,"Remate")&gt;0," e o Remate","")&amp;": o teto da Classe "&amp;$MF110&amp;" é "&amp;4*$MF110,"")))</f>
        <v/>
      </c>
      <c r="PH110" s="152">
        <f>IF($PG110="",0,(LEN($PG110)-LEN(SUBSTITUTE($PG110," · ","")))/3+1)</f>
        <v/>
      </c>
      <c r="PI110" s="152">
        <f>IF($MQ110=0,"",TEXTJOIN(" · ",TRUE,IF($OK110&gt;2*$MF110,"A devolução parou no teto de "&amp;2*$MF110,""),IF($ON110&gt;0,"Devolução perdida: "&amp;$ON110&amp;IF($ON110&gt;1," pontos"," ponto")&amp;" sem peça para pagar",""),IF(AND($NP110&gt;0,AND($MF110&gt;0,$NT110=0),$OQ110=0),"Controle sem dano: uma rodada a mais e CD +2",""),IF(AND($NP110&gt;0,AND($MF110&gt;0,$NT110=0),$OQ110&gt;0,$OQ110&lt;=$MF110),"Controle com saldo até a Classe: uma rodada a mais",""),IF(AND($MF110&gt;0,$NR110&lt;&gt;""),"Efeito de "&amp;$NR110&amp;" pela Classe "&amp;MAX(1,$MF110-1),"")))</f>
        <v/>
      </c>
      <c r="PJ110" s="152">
        <f>IF($PI110="",0,(LEN($PI110)-LEN(SUBSTITUTE($PI110," · ","")))/3+1)</f>
        <v/>
      </c>
      <c r="PK110" s="152">
        <f>IF($MQ110=0,IF($OH110+COUNTIF($MO110:$MP110,"?*")&gt;0,"Dê um nome",""),IF($PH110&gt;0,"⚠ "&amp;$PH110&amp;IF($PH110&gt;1," erros"," erro"),IF($PJ110&gt;0,"! "&amp;$PJ110&amp;IF($PJ110&gt;1," avisos"," aviso"),"Na regra")))</f>
        <v/>
      </c>
      <c r="PL110" s="152">
        <f>IF($MQ110=0,"",IF($PH110+$PJ110=0,"Dentro das regras que a ficha confere",$PG110&amp;IF(AND($PH110&gt;0,$PJ110&gt;0)," · ","")&amp;$PI110))</f>
        <v/>
      </c>
      <c r="PM110" s="152">
        <f>IF($MD110&gt;$MR110,$ME110&amp;" · ABRE NO NÍVEL "&amp;$MD110,$ME110)</f>
        <v/>
      </c>
      <c r="PN110" s="152">
        <f>IF($MQ110=0,"",IF($MF110=0,"Sem PE",3*$MF110&amp;" PE"))</f>
        <v/>
      </c>
      <c r="PO110" s="152">
        <f>IF($MQ110=0,"",IF($MF110=0,"A atuação básica dela",IF(COUNTIF($NX110:$NY110,"Atrasar")&gt;0,"Sua Ação Completa",IF(COUNTIF($MK110:$MN110,"Rápido")&gt;0,"Sua Bônus",IF(COUNTIF($MK110:$MN110,"Reação")&gt;0,"Sua Reação","Sua Padrão")))&amp;" + a básica dela"&amp;IF(COUNTIF($MK110:$MN110,"Reação")&gt;0," e a coletiva","")&amp;IF(COUNTIF($NX110:$NY110,"Carregar")&gt;0," · em dois turnos","")))</f>
        <v/>
      </c>
      <c r="PP110" s="152">
        <f>IF($MJ110&lt;&gt;"",$MJ110,IF($MW110=0,"",INDEX($AA$2:$AA$11,$MW110)))</f>
        <v/>
      </c>
      <c r="PQ110" s="152">
        <f>IF(OR($MQ110=0,$MW110=0),"",IF(COUNTIF($MK110:$MN110,"Inescapável")&gt;0,"Automático",IF($PP110="Ataque",IF($MU110="","Ataque","Ataque "&amp;IF(($MU110+2*IF(COUNTIF($MK110:$MN110,"Precisão")&gt;0,1,0))&gt;=0,"+","−")&amp;ABS(($MU110+2*IF(COUNTIF($MK110:$MN110,"Precisão")&gt;0,1,0))))&amp;IF($NQ110&gt;0," · TR"&amp;IF($MV110="",""," CD "&amp;$MV110),""),IF(LEFT($PP110,2)="TR",$PP110&amp;IF($MV110="",""," · CD "&amp;$MV110)&amp;IF(COUNTIF($MK110:$MN110,"Certeiro")&gt;0," · metade",""),"Sem rolagem"))))</f>
        <v/>
      </c>
      <c r="PR110" s="152">
        <f>IF(OR($MQ110=0,$MW110=0),"",IF($MF110=0,IF(OR($NT110&gt;=1,$OQ110=0),"Sem dano",$OQ110&amp;"d6"&amp;IF($MI110="",""," "&amp;$MI110)),IF(OR($NT110&gt;=1,$OQ110=0),UPPER(LEFT(INDEX($OZ110:$PF110,1,MAX(1,$MF110)),1))&amp;MID(INDEX($OZ110:$PF110,1,MAX(1,$MF110)),2,99),UPPER(LEFT(INDEX($OZ110:$PF110,1,MAX(1,$MF110)),1))&amp;MID(INDEX($OZ110:$PF110,1,MAX(1,$MF110)),2,99)&amp;IF($MI110="",""," "&amp;$MI110)&amp;IF($OR110&gt;0," · +"&amp;$OR110&amp;"d8",""))))</f>
        <v/>
      </c>
      <c r="PS110" s="152">
        <f>COUNTIF($MK110:$MN110,"Longe")+3*COUNTIF($MK110:$MN110,"Muito Longe")</f>
        <v/>
      </c>
      <c r="PT110" s="152">
        <f>COUNTIF($MK110:$MN110,"Maior")+3*COUNTIF($MK110:$MN110,"Muito Maior")</f>
        <v/>
      </c>
      <c r="PU110" s="152">
        <f>IF($MW110=0,0,CHOOSE(1+INDEX($AC$2:$AC$11,$MW110),0,$PS110,$PT110,$PS110+$PT110))</f>
        <v/>
      </c>
      <c r="PV110" s="152">
        <f>IF($MW110=0,0,CHOOSE(1+INDEX($AD$2:$AD$11,$MW110),0,$PS110,$PT110,$PS110+$PT110))</f>
        <v/>
      </c>
      <c r="PW110" s="152">
        <f>IF(OR($MQ110=0,$MW110=0),"",INDEX($AI$2:$AN$41,($MW110-1)*4+IF($MF110=0,1,IF($MF110&lt;=5,2,IF($MF110=6,3,4))),1+MIN(5,$PU110))&amp;INDEX($AO$2:$AT$41,($MW110-1)*4+IF($MF110=0,1,IF($MF110&lt;=5,2,IF($MF110=6,3,4))),1+MIN(5,$PV110))&amp;IF(INDEX($AE$2:$AE$11,$MW110)=1,IF(COUNTIF($MK110:$MN110,"Mais Um")&gt;0," · +"&amp;COUNTIF($MK110:$MN110,"Mais Um")&amp;IF(COUNTIF($MK110:$MN110,"Mais Um")&gt;1," alvos"," alvo"),"")&amp;IF(COUNTIF($MK110:$MN110,"Rajada")&gt;0,IF($MF110=0," · 1 tiro"," · "&amp;(MAX(1,$MF110-1)+1)&amp;" tiros"),""),""))</f>
        <v/>
      </c>
      <c r="PX110" s="152">
        <f>IF($MQ110=0,"",IF($MF110=0,$MT110&amp;"d6"&amp;IF($OH110&gt;0," − 1 = "&amp;$OQ110&amp;"d6"," da básica do nível "&amp;$MR110),$OO110&amp;" − "&amp;$OJ110&amp;" + "&amp;$OM110&amp;" = "&amp;$OP110&amp;" · teto "&amp;4*$MF110&amp;"d8"&amp;IF($NS110=1," · a Forma devolve "&amp;$MF110,"")&amp;IF($ON110&gt;0," · perde "&amp;$ON110,"")))</f>
        <v/>
      </c>
      <c r="PY110" s="152">
        <f>IF($MQ110=0,"",IF($MF110=0,"A básica não amplia: os dados dela sobem com o nível",IF($MF110&gt;=$MS110,"Já está na maior Classe que o nível liberou",TEXTJOIN(" · ",TRUE,IF(AND(2&gt;$MF110,2&lt;=$MS110),"2 → "&amp;$PA110&amp;", 6 PE",""),IF(AND(3&gt;$MF110,3&lt;=$MS110),"3 → "&amp;$PB110&amp;", 9 PE",""),IF(AND(4&gt;$MF110,4&lt;=$MS110),"4 → "&amp;$PC110&amp;", 12 PE",""),IF(AND(5&gt;$MF110,5&lt;=$MS110),"5 → "&amp;$PD110&amp;", 15 PE",""),IF(AND(6&gt;$MF110,6&lt;=$MS110),"6 → "&amp;$PE110&amp;", 18 PE",""),IF(AND(7&gt;$MF110,7&lt;=$MS110),"7 → "&amp;$PF110&amp;", 21 PE","")))))</f>
        <v/>
      </c>
      <c r="PZ110" s="152">
        <f>IF(OR($MQ110=0,$NB110=0),"",IF($MF110=0,"−1 dado","−"&amp;INDEX($I$2:$N$8,MAX(1,$MF110),MAX(1,$NG110))&amp;" · "&amp;CHOOSE(MAX(1,$NG110),"Leve","Média","Pesada","Leve · Livre","Média · Livre","Pesada · Livre")))</f>
        <v/>
      </c>
      <c r="QA110" s="152">
        <f>IF(OR($MQ110=0,$NC110=0),"",IF($MF110=0,"−1 dado","−"&amp;INDEX($I$2:$N$8,MAX(1,$MF110),MAX(1,$NH110))&amp;" · "&amp;CHOOSE(MAX(1,$NH110),"Leve","Média","Pesada","Leve · Livre","Média · Livre","Pesada · Livre")))</f>
        <v/>
      </c>
      <c r="QB110" s="152">
        <f>IF(OR($MQ110=0,$ND110=0),"",IF($MF110=0,"−1 dado","−"&amp;INDEX($I$2:$N$8,MAX(1,$MF110),MAX(1,$NI110))&amp;" · "&amp;CHOOSE(MAX(1,$NI110),"Leve","Média","Pesada","Leve · Livre","Média · Livre","Pesada · Livre")))</f>
        <v/>
      </c>
      <c r="QC110" s="152">
        <f>IF(OR($MQ110=0,$NE110=0),"",IF($MF110=0,"−1 dado","−"&amp;INDEX($I$2:$N$8,MAX(1,$MF110),MAX(1,$NJ110))&amp;" · "&amp;CHOOSE(MAX(1,$NJ110),"Leve","Média","Pesada","Leve · Livre","Média · Livre","Pesada · Livre")))</f>
        <v/>
      </c>
      <c r="QD110" s="152">
        <f>IF(OR($MQ110=0,$MO110=""),"",IF($MF110=0,"não devolve","+"&amp;IF($NV110=1,CEILING($MF110/2,1),$MF110)))</f>
        <v/>
      </c>
      <c r="QE110" s="152">
        <f>IF(OR($MQ110=0,$MP110=""),"",IF($MF110=0,"não devolve","+"&amp;IF($NW110=1,CEILING($MF110/2,1),$MF110)))</f>
        <v/>
      </c>
    </row>
    <row r="111">
      <c r="MA111" s="150" t="inlineStr">
        <is>
          <t>Ficha 9 · Especial 4</t>
        </is>
      </c>
      <c r="MB111" s="152" t="n">
        <v>9</v>
      </c>
      <c r="MC111" s="152" t="n">
        <v>1</v>
      </c>
      <c r="MD111" s="152" t="n">
        <v>12</v>
      </c>
      <c r="ME111" s="150" t="inlineStr">
        <is>
          <t>ESPECIAL 4</t>
        </is>
      </c>
      <c r="MF111" s="152">
        <f>MAX(1,MIN(7,N('INVOCAÇÕES'!$AN$488)))</f>
        <v/>
      </c>
      <c r="MG111" s="152">
        <f>'INVOCAÇÕES'!$AO$488&amp;""</f>
        <v/>
      </c>
      <c r="MH111" s="152">
        <f>'INVOCAÇÕES'!$AN$493&amp;""</f>
        <v/>
      </c>
      <c r="MI111" s="152">
        <f>'INVOCAÇÕES'!$AN$494&amp;""</f>
        <v/>
      </c>
      <c r="MJ111" s="152">
        <f>'INVOCAÇÕES'!$AP$494&amp;""</f>
        <v/>
      </c>
      <c r="MK111" s="152">
        <f>'INVOCAÇÕES'!$AO$497&amp;""</f>
        <v/>
      </c>
      <c r="ML111" s="152">
        <f>'INVOCAÇÕES'!$AO$498&amp;""</f>
        <v/>
      </c>
      <c r="MM111" s="152">
        <f>'INVOCAÇÕES'!$AO$499&amp;""</f>
        <v/>
      </c>
      <c r="MN111" s="152">
        <f>'INVOCAÇÕES'!$AO$500&amp;""</f>
        <v/>
      </c>
      <c r="MO111" s="152">
        <f>'INVOCAÇÕES'!$AO$501&amp;""</f>
        <v/>
      </c>
      <c r="MP111" s="152">
        <f>'INVOCAÇÕES'!$AO$502&amp;""</f>
        <v/>
      </c>
      <c r="MQ111" s="152">
        <f>IF($MG111&lt;&gt;"",1,0)</f>
        <v/>
      </c>
      <c r="MR111" s="152">
        <f>INDEX($FI$2:$FI$13,$MB111)</f>
        <v/>
      </c>
      <c r="MS111" s="152">
        <f>INDEX($FJ$2:$FJ$13,$MB111)</f>
        <v/>
      </c>
      <c r="MT111" s="152">
        <f>INDEX($FK$2:$FK$13,$MB111)</f>
        <v/>
      </c>
      <c r="MU111" s="152">
        <f>INDEX($FV$2:$FV$13,$MB111)</f>
        <v/>
      </c>
      <c r="MV111" s="152">
        <f>INDEX($FW$2:$FW$13,$MB111)</f>
        <v/>
      </c>
      <c r="MW111" s="152">
        <f>IFERROR(MATCH($MH111,$V$2:$V$11,0),0)</f>
        <v/>
      </c>
      <c r="MX111" s="152">
        <f>IFERROR(VLOOKUP($MK111,$AV$2:$BA$84,2,FALSE),"")</f>
        <v/>
      </c>
      <c r="MY111" s="152">
        <f>IFERROR(VLOOKUP($ML111,$AV$2:$BA$84,2,FALSE),"")</f>
        <v/>
      </c>
      <c r="MZ111" s="152">
        <f>IFERROR(VLOOKUP($MM111,$AV$2:$BA$84,2,FALSE),"")</f>
        <v/>
      </c>
      <c r="NA111" s="152">
        <f>IFERROR(VLOOKUP($MN111,$AV$2:$BA$84,2,FALSE),"")</f>
        <v/>
      </c>
      <c r="NB111" s="152">
        <f>IFERROR(VLOOKUP($MK111,$AV$2:$BA$84,3,FALSE),0)</f>
        <v/>
      </c>
      <c r="NC111" s="152">
        <f>IFERROR(VLOOKUP($ML111,$AV$2:$BA$84,3,FALSE),0)</f>
        <v/>
      </c>
      <c r="ND111" s="152">
        <f>IFERROR(VLOOKUP($MM111,$AV$2:$BA$84,3,FALSE),0)</f>
        <v/>
      </c>
      <c r="NE111" s="152">
        <f>IFERROR(VLOOKUP($MN111,$AV$2:$BA$84,3,FALSE),0)</f>
        <v/>
      </c>
      <c r="NF111" s="152">
        <f>IF($MF111=0,0,IF($MW111=0,0,INDEX($X$2:$X$11,$MW111)))</f>
        <v/>
      </c>
      <c r="NG111" s="152">
        <f>IF(OR($NB111=0,$MF111=0),0,$NB111+3*IF(AND($MX111&lt;&gt;"",OR($MX111=INDEX($EF$2:$EF$13,$MB111),$MX111=INDEX($EG$2:$EG$13,$MB111))),1,0))</f>
        <v/>
      </c>
      <c r="NH111" s="152">
        <f>IF(OR($NC111=0,$MF111=0),0,$NC111+3*IF(AND($MY111&lt;&gt;"",OR($MY111=INDEX($EF$2:$EF$13,$MB111),$MY111=INDEX($EG$2:$EG$13,$MB111))),1,0))</f>
        <v/>
      </c>
      <c r="NI111" s="152">
        <f>IF(OR($ND111=0,$MF111=0),0,$ND111+3*IF(AND($MZ111&lt;&gt;"",OR($MZ111=INDEX($EF$2:$EF$13,$MB111),$MZ111=INDEX($EG$2:$EG$13,$MB111))),1,0))</f>
        <v/>
      </c>
      <c r="NJ111" s="152">
        <f>IF(OR($NE111=0,$MF111=0),0,$NE111+3*IF(AND($NA111&lt;&gt;"",OR($NA111=INDEX($EF$2:$EF$13,$MB111),$NA111=INDEX($EG$2:$EG$13,$MB111))),1,0))</f>
        <v/>
      </c>
      <c r="NK111" s="152">
        <f>IF($MW111=0,0,IF(INDEX($W$2:$W$11,$MW111)="",0,IF(COUNTIF(INDEX($EF$2:$EJ$13,$MB111,0),INDEX($W$2:$W$11,$MW111))=0,1,0)))</f>
        <v/>
      </c>
      <c r="NL111" s="152">
        <f>IF(OR($NB111=0,$MX111=""),0,IF(COUNTIF(INDEX($EF$2:$EJ$13,$MB111,0),$MX111)=0,1,0))</f>
        <v/>
      </c>
      <c r="NM111" s="152">
        <f>IF(OR($NC111=0,$MY111=""),0,IF(COUNTIF(INDEX($EF$2:$EJ$13,$MB111,0),$MY111)=0,1,0))</f>
        <v/>
      </c>
      <c r="NN111" s="152">
        <f>IF(OR($ND111=0,$MZ111=""),0,IF(COUNTIF(INDEX($EF$2:$EJ$13,$MB111,0),$MZ111)=0,1,0))</f>
        <v/>
      </c>
      <c r="NO111" s="152">
        <f>IF(OR($NE111=0,$NA111=""),0,IF(COUNTIF(INDEX($EF$2:$EJ$13,$MB111,0),$NA111)=0,1,0))</f>
        <v/>
      </c>
      <c r="NP111" s="152">
        <f>IFERROR(VLOOKUP($MK111,$AV$2:$BA$84,4,FALSE),0)+IFERROR(VLOOKUP($ML111,$AV$2:$BA$84,4,FALSE),0)+IFERROR(VLOOKUP($MM111,$AV$2:$BA$84,4,FALSE),0)+IFERROR(VLOOKUP($MN111,$AV$2:$BA$84,4,FALSE),0)</f>
        <v/>
      </c>
      <c r="NQ111" s="152">
        <f>IFERROR(VLOOKUP($MK111,$AV$2:$BA$84,6,FALSE),0)+IFERROR(VLOOKUP($ML111,$AV$2:$BA$84,6,FALSE),0)+IFERROR(VLOOKUP($MM111,$AV$2:$BA$84,6,FALSE),0)+IFERROR(VLOOKUP($MN111,$AV$2:$BA$84,6,FALSE),0)</f>
        <v/>
      </c>
      <c r="NR111" s="152">
        <f>TEXTJOIN(", ",TRUE,IF(IFERROR(VLOOKUP($MK111,$AV$2:$BA$84,5,FALSE),0)=1,$MK111,""),IF(IFERROR(VLOOKUP($ML111,$AV$2:$BA$84,5,FALSE),0)=1,$ML111,""),IF(IFERROR(VLOOKUP($MM111,$AV$2:$BA$84,5,FALSE),0)=1,$MM111,""),IF(IFERROR(VLOOKUP($MN111,$AV$2:$BA$84,5,FALSE),0)=1,$MN111,""))</f>
        <v/>
      </c>
      <c r="NS111" s="152">
        <f>IF($MW111=0,0,INDEX($Y$2:$Y$11,$MW111))</f>
        <v/>
      </c>
      <c r="NT111" s="152">
        <f>IF($MW111=0,0,INDEX($Z$2:$Z$11,$MW111))</f>
        <v/>
      </c>
      <c r="NU111" s="152">
        <f>IF($MW111=0,0,INDEX($AB$2:$AB$11,$MW111))</f>
        <v/>
      </c>
      <c r="NV111" s="152">
        <f>IFERROR(VLOOKUP($MO111,$BC$2:$BG$24,3,FALSE),0)</f>
        <v/>
      </c>
      <c r="NW111" s="152">
        <f>IFERROR(VLOOKUP($MP111,$BC$2:$BG$24,3,FALSE),0)</f>
        <v/>
      </c>
      <c r="NX111" s="152">
        <f>IFERROR(VLOOKUP($MO111,$BC$2:$BG$24,2,FALSE),"")</f>
        <v/>
      </c>
      <c r="NY111" s="152">
        <f>IFERROR(VLOOKUP($MP111,$BC$2:$BG$24,2,FALSE),"")</f>
        <v/>
      </c>
      <c r="NZ111" s="152">
        <f>COUNTIF($NF111:$NJ111,1)</f>
        <v/>
      </c>
      <c r="OA111" s="152">
        <f>COUNTIF($NF111:$NJ111,2)</f>
        <v/>
      </c>
      <c r="OB111" s="152">
        <f>COUNTIF($NF111:$NJ111,3)</f>
        <v/>
      </c>
      <c r="OC111" s="152">
        <f>COUNTIF($NF111:$NJ111,4)</f>
        <v/>
      </c>
      <c r="OD111" s="152">
        <f>COUNTIF($NF111:$NJ111,5)</f>
        <v/>
      </c>
      <c r="OE111" s="152">
        <f>COUNTIF($NF111:$NJ111,6)</f>
        <v/>
      </c>
      <c r="OF111" s="152">
        <f>COUNTIF($NV111:$NW111,1)</f>
        <v/>
      </c>
      <c r="OG111" s="152">
        <f>COUNTIF($NV111:$NW111,2)+$NS111</f>
        <v/>
      </c>
      <c r="OH111" s="152">
        <f>COUNTIF($MK111:$MN111,"?*")</f>
        <v/>
      </c>
      <c r="OI111" s="152">
        <f>COUNTIF($MO111:$MP111,"?*")+$NS111</f>
        <v/>
      </c>
      <c r="OJ111" s="152">
        <f>IF($MF111=0,0,SUMPRODUCT($NZ111:$OE111,INDEX($I$2:$N$8,MAX(1,$MF111),0)))</f>
        <v/>
      </c>
      <c r="OK111" s="152">
        <f>IF($MF111=0,0,$OF111*CEILING($MF111/2,1)+$OG111*$MF111)</f>
        <v/>
      </c>
      <c r="OL111" s="152">
        <f>MIN(2*$MF111,$OK111)</f>
        <v/>
      </c>
      <c r="OM111" s="152">
        <f>MIN($OL111,$OJ111)</f>
        <v/>
      </c>
      <c r="ON111" s="152">
        <f>$OL111-$OM111</f>
        <v/>
      </c>
      <c r="OO111" s="152">
        <f>IF($MF111=0,0,INDEX($P$2:$P$8,MAX(1,$MF111)))</f>
        <v/>
      </c>
      <c r="OP111" s="152">
        <f>$OO111-$OJ111+$OM111</f>
        <v/>
      </c>
      <c r="OQ111" s="152">
        <f>IF($MF111=0,MAX(0,$MT111-IF($OH111&gt;0,1,0)),MAX(0,$OP111))</f>
        <v/>
      </c>
      <c r="OR111" s="152">
        <f>IF($MF111=0,0,(IF(COUNTIF($MK111:$MN111,"Salto")&gt;0,1,0)+IF(COUNTIF($MK111:$MN111,"Queima")&gt;0,1,0)+IF(COUNTIF($MK111:$MN111,"Estilhaço")&gt;0,1,0))*FLOOR($OQ111/2,1))</f>
        <v/>
      </c>
      <c r="OS111" s="152">
        <f>MAX(0,2-SUMPRODUCT($NZ111:$OE111,$I$2:$N$2)+MIN(2,$OF111*1+$OG111*1,SUMPRODUCT($NZ111:$OE111,$I$2:$N$2)))</f>
        <v/>
      </c>
      <c r="OT111" s="152">
        <f>MAX(0,4-SUMPRODUCT($NZ111:$OE111,$I$3:$N$3)+MIN(4,$OF111*1+$OG111*2,SUMPRODUCT($NZ111:$OE111,$I$3:$N$3)))</f>
        <v/>
      </c>
      <c r="OU111" s="152">
        <f>MAX(0,6-SUMPRODUCT($NZ111:$OE111,$I$4:$N$4)+MIN(6,$OF111*2+$OG111*3,SUMPRODUCT($NZ111:$OE111,$I$4:$N$4)))</f>
        <v/>
      </c>
      <c r="OV111" s="152">
        <f>MAX(0,9-SUMPRODUCT($NZ111:$OE111,$I$5:$N$5)+MIN(8,$OF111*2+$OG111*4,SUMPRODUCT($NZ111:$OE111,$I$5:$N$5)))</f>
        <v/>
      </c>
      <c r="OW111" s="152">
        <f>MAX(0,11-SUMPRODUCT($NZ111:$OE111,$I$6:$N$6)+MIN(10,$OF111*3+$OG111*5,SUMPRODUCT($NZ111:$OE111,$I$6:$N$6)))</f>
        <v/>
      </c>
      <c r="OX111" s="152">
        <f>MAX(0,13-SUMPRODUCT($NZ111:$OE111,$I$7:$N$7)+MIN(12,$OF111*3+$OG111*6,SUMPRODUCT($NZ111:$OE111,$I$7:$N$7)))</f>
        <v/>
      </c>
      <c r="OY111" s="152">
        <f>MAX(0,16-SUMPRODUCT($NZ111:$OE111,$I$8:$N$8)+MIN(14,$OF111*4+$OG111*7,SUMPRODUCT($NZ111:$OE111,$I$8:$N$8)))</f>
        <v/>
      </c>
      <c r="OZ111" s="152">
        <f>IF($NT111=2,3*$OS111&amp;" de vida temp.",IF($NT111=3,"sem dano",IF($OS111=0,IF($NT111=1,"sem cura","sem dano"),IF($NT111=1,"cura ","")&amp;$OS111&amp;"d8")))</f>
        <v/>
      </c>
      <c r="PA111" s="152">
        <f>IF($NT111=2,3*$OT111&amp;" de vida temp.",IF($NT111=3,"sem dano",IF($OT111=0,IF($NT111=1,"sem cura","sem dano"),IF($NT111=1,"cura ","")&amp;$OT111&amp;"d8")))</f>
        <v/>
      </c>
      <c r="PB111" s="152">
        <f>IF($NT111=2,3*$OU111&amp;" de vida temp.",IF($NT111=3,"sem dano",IF($OU111=0,IF($NT111=1,"sem cura","sem dano"),IF($NT111=1,"cura ","")&amp;$OU111&amp;"d8")))</f>
        <v/>
      </c>
      <c r="PC111" s="152">
        <f>IF($NT111=2,3*$OV111&amp;" de vida temp.",IF($NT111=3,"sem dano",IF($OV111=0,IF($NT111=1,"sem cura","sem dano"),IF($NT111=1,"cura ","")&amp;$OV111&amp;"d8")))</f>
        <v/>
      </c>
      <c r="PD111" s="152">
        <f>IF($NT111=2,3*$OW111&amp;" de vida temp.",IF($NT111=3,"sem dano",IF($OW111=0,IF($NT111=1,"sem cura","sem dano"),IF($NT111=1,"cura ","")&amp;$OW111&amp;"d8")))</f>
        <v/>
      </c>
      <c r="PE111" s="152">
        <f>IF($NT111=2,3*$OX111&amp;" de vida temp.",IF($NT111=3,"sem dano",IF($OX111=0,IF($NT111=1,"sem cura","sem dano"),IF($NT111=1,"cura ","")&amp;$OX111&amp;"d8")))</f>
        <v/>
      </c>
      <c r="PF111" s="152">
        <f>IF($NT111=2,3*$OY111&amp;" de vida temp.",IF($NT111=3,"sem dano",IF($OY111=0,IF($NT111=1,"sem cura","sem dano"),IF($NT111=1,"cura ","")&amp;$OY111&amp;"d8")))</f>
        <v/>
      </c>
      <c r="PG111" s="152">
        <f>IF($MQ111=0,"",TEXTJOIN(" · ",TRUE,IF($MD111&gt;$MR111,"Este lugar abre no nível "&amp;$MD111,""),IF($MF111&gt;$MS111,"Classe "&amp;$MF111&amp;": o nível "&amp;$MR111&amp;" libera até a "&amp;$MS111,""),IF($NK111=1,"A Forma "&amp;$MH111&amp;" pede "&amp;INDEX($W$2:$W$11,$MW111)&amp;" aberta",""),IF(AND($MF111=0,$MW111&gt;0,IF($MW111=0,0,INDEX($AF$2:$AF$11,$MW111))=0),$MH111&amp;" não existe na Classe 0",""),IF($NL111=1,"Família Fechada: "&amp;$MK111,""),IF($NM111=1,"Família Fechada: "&amp;$ML111,""),IF($NN111=1,"Família Fechada: "&amp;$MM111,""),IF($NO111=1,"Família Fechada: "&amp;$MN111,""),IF(AND($MF111&gt;0,$OH111&gt;INDEX($O$2:$O$8,MAX(1,$MF111))),$OH111&amp;" Melhorias: a Classe "&amp;$MF111&amp;" aceita "&amp;INDEX($O$2:$O$8,MAX(1,$MF111)),""),IF(AND($MF111=0,$OH111&gt;1),"A básica aceita uma Melhoria",""),IF(AND($MF111=0,COUNTIF($NB111:$NE111,"&gt;1")&gt;0),"A básica só aceita Melhoria Leve",""),IF(AND($MF111&gt;0,$OI111&gt;2),$OI111&amp;" Restrições"&amp;IF($NS111=1,", contando a que a Forma "&amp;$MH111&amp;" já traz","")&amp;": o limite é 2",""),IF(AND($MF111=0,COUNTIF($MO111:$MP111,"?*")&gt;1),"A básica aceita uma Restrição Leve",""),IF(AND($MF111=0,COUNTIF($NV111:$NW111,2)&gt;0),"A básica só aceita Restrição Leve",""),IF(AND($MF111&gt;0,$OP111&lt;0),"Orçamento estourado: faltam "&amp;(-$OP111)&amp;IF($OP111&lt;-1," pontos"," ponto"),""),IF(IFERROR(VLOOKUP($MO111,$BC$2:$BG$24,4,FALSE),0)+IFERROR(VLOOKUP($MP111,$BC$2:$BG$24,4,FALSE),0)&gt;1,$NX111&amp;" e "&amp;$NY111&amp;" são as duas de frequência",""),IF(AND((COUNTIF($MK111:$MN111,"Rápido")+COUNTIF($NX111:$NY111,"Rápido"))&gt;0,(COUNTIF($MK111:$MN111,"Atrasar")+COUNTIF($NX111:$NY111,"Atrasar"))&gt;0),"Rápido não entra com Atrasar",""),IF(AND((COUNTIF($MK111:$MN111,"Reação")+COUNTIF($NX111:$NY111,"Reação"))&gt;0,(COUNTIF($MK111:$MN111,"Rápido")+COUNTIF($NX111:$NY111,"Rápido"))&gt;0),"Reação não entra com Rápido",""),IF(AND((COUNTIF($MK111:$MN111,"Reação")+COUNTIF($NX111:$NY111,"Reação"))&gt;0,(COUNTIF($MK111:$MN111,"Armado")+COUNTIF($NX111:$NY111,"Armado"))&gt;0),"Reação não entra com Armado",""),IF(AND((COUNTIF($MK111:$MN111,"Reação")+COUNTIF($NX111:$NY111,"Reação"))&gt;0,(COUNTIF($MK111:$MN111,"Atrasar")+COUNTIF($NX111:$NY111,"Atrasar"))&gt;0),"Reação não entra com Atrasar",""),IF(AND((COUNTIF($MK111:$MN111,"Reação")+COUNTIF($NX111:$NY111,"Reação"))&gt;0,(COUNTIF($MK111:$MN111,"Parado")+COUNTIF($NX111:$NY111,"Parado"))&gt;0),"Reação não entra com Parado",""),IF(AND((COUNTIF($MK111:$MN111,"Atrasar")+COUNTIF($NX111:$NY111,"Atrasar"))&gt;0,(COUNTIF($MK111:$MN111,"Parado")+COUNTIF($NX111:$NY111,"Parado"))&gt;0),"Atrasar não entra com Parado",""),IF(AND((COUNTIF($MK111:$MN111,"Armado")+COUNTIF($NX111:$NY111,"Armado"))&gt;0,(COUNTIF($MK111:$MN111,"Carregar")+COUNTIF($NX111:$NY111,"Carregar"))&gt;0),"Armado não entra com Carregar",""),IF(AND(COUNTIF($NX111:$NY111,"Corpo a Corpo")&gt;0,$NS111=0,OR($MH111="Cone",$MH111="Linha")),"Corpo a Corpo não entra em "&amp;$MH111,""),IF(AND(COUNTIF($NX111:$NY111,"Corpo a Corpo")&gt;0,$NS111=1),"A Forma "&amp;$MH111&amp;" já traz o Corpo a Corpo",""),IF(AND(COUNTIF($NX111:$NY111,"Tudo ou Nada")&gt;0,$NU111=0),"Tudo ou Nada só entra em habilidade de Teste de Resistência",""),IF(AND(COUNTIF($MK111:$MN111,"Inescapável")&gt;0,OR($OH111&gt;1,$OI111&gt;0)),"Inescapável não aceita outra peça",""),IF(AND($MF111&gt;0,$OQ111*IF(COUNTIF($MK111:$MN111,"Remate")&gt;0,1.25,1)+$OR111&gt;4*$MF111),($OQ111*IF(COUNTIF($MK111:$MN111,"Remate")&gt;0,1.25,1)+$OR111)&amp;" dados somando repetições"&amp;IF(COUNTIF($MK111:$MN111,"Remate")&gt;0," e o Remate","")&amp;": o teto da Classe "&amp;$MF111&amp;" é "&amp;4*$MF111,"")))</f>
        <v/>
      </c>
      <c r="PH111" s="152">
        <f>IF($PG111="",0,(LEN($PG111)-LEN(SUBSTITUTE($PG111," · ","")))/3+1)</f>
        <v/>
      </c>
      <c r="PI111" s="152">
        <f>IF($MQ111=0,"",TEXTJOIN(" · ",TRUE,IF($OK111&gt;2*$MF111,"A devolução parou no teto de "&amp;2*$MF111,""),IF($ON111&gt;0,"Devolução perdida: "&amp;$ON111&amp;IF($ON111&gt;1," pontos"," ponto")&amp;" sem peça para pagar",""),IF(AND($NP111&gt;0,AND($MF111&gt;0,$NT111=0),$OQ111=0),"Controle sem dano: uma rodada a mais e CD +2",""),IF(AND($NP111&gt;0,AND($MF111&gt;0,$NT111=0),$OQ111&gt;0,$OQ111&lt;=$MF111),"Controle com saldo até a Classe: uma rodada a mais",""),IF(AND($MF111&gt;0,$NR111&lt;&gt;""),"Efeito de "&amp;$NR111&amp;" pela Classe "&amp;MAX(1,$MF111-1),"")))</f>
        <v/>
      </c>
      <c r="PJ111" s="152">
        <f>IF($PI111="",0,(LEN($PI111)-LEN(SUBSTITUTE($PI111," · ","")))/3+1)</f>
        <v/>
      </c>
      <c r="PK111" s="152">
        <f>IF($MQ111=0,IF($OH111+COUNTIF($MO111:$MP111,"?*")&gt;0,"Dê um nome",""),IF($PH111&gt;0,"⚠ "&amp;$PH111&amp;IF($PH111&gt;1," erros"," erro"),IF($PJ111&gt;0,"! "&amp;$PJ111&amp;IF($PJ111&gt;1," avisos"," aviso"),"Na regra")))</f>
        <v/>
      </c>
      <c r="PL111" s="152">
        <f>IF($MQ111=0,"",IF($PH111+$PJ111=0,"Dentro das regras que a ficha confere",$PG111&amp;IF(AND($PH111&gt;0,$PJ111&gt;0)," · ","")&amp;$PI111))</f>
        <v/>
      </c>
      <c r="PM111" s="152">
        <f>IF($MD111&gt;$MR111,$ME111&amp;" · ABRE NO NÍVEL "&amp;$MD111,$ME111)</f>
        <v/>
      </c>
      <c r="PN111" s="152">
        <f>IF($MQ111=0,"",IF($MF111=0,"Sem PE",3*$MF111&amp;" PE"))</f>
        <v/>
      </c>
      <c r="PO111" s="152">
        <f>IF($MQ111=0,"",IF($MF111=0,"A atuação básica dela",IF(COUNTIF($NX111:$NY111,"Atrasar")&gt;0,"Sua Ação Completa",IF(COUNTIF($MK111:$MN111,"Rápido")&gt;0,"Sua Bônus",IF(COUNTIF($MK111:$MN111,"Reação")&gt;0,"Sua Reação","Sua Padrão")))&amp;" + a básica dela"&amp;IF(COUNTIF($MK111:$MN111,"Reação")&gt;0," e a coletiva","")&amp;IF(COUNTIF($NX111:$NY111,"Carregar")&gt;0," · em dois turnos","")))</f>
        <v/>
      </c>
      <c r="PP111" s="152">
        <f>IF($MJ111&lt;&gt;"",$MJ111,IF($MW111=0,"",INDEX($AA$2:$AA$11,$MW111)))</f>
        <v/>
      </c>
      <c r="PQ111" s="152">
        <f>IF(OR($MQ111=0,$MW111=0),"",IF(COUNTIF($MK111:$MN111,"Inescapável")&gt;0,"Automático",IF($PP111="Ataque",IF($MU111="","Ataque","Ataque "&amp;IF(($MU111+2*IF(COUNTIF($MK111:$MN111,"Precisão")&gt;0,1,0))&gt;=0,"+","−")&amp;ABS(($MU111+2*IF(COUNTIF($MK111:$MN111,"Precisão")&gt;0,1,0))))&amp;IF($NQ111&gt;0," · TR"&amp;IF($MV111="",""," CD "&amp;$MV111),""),IF(LEFT($PP111,2)="TR",$PP111&amp;IF($MV111="",""," · CD "&amp;$MV111)&amp;IF(COUNTIF($MK111:$MN111,"Certeiro")&gt;0," · metade",""),"Sem rolagem"))))</f>
        <v/>
      </c>
      <c r="PR111" s="152">
        <f>IF(OR($MQ111=0,$MW111=0),"",IF($MF111=0,IF(OR($NT111&gt;=1,$OQ111=0),"Sem dano",$OQ111&amp;"d6"&amp;IF($MI111="",""," "&amp;$MI111)),IF(OR($NT111&gt;=1,$OQ111=0),UPPER(LEFT(INDEX($OZ111:$PF111,1,MAX(1,$MF111)),1))&amp;MID(INDEX($OZ111:$PF111,1,MAX(1,$MF111)),2,99),UPPER(LEFT(INDEX($OZ111:$PF111,1,MAX(1,$MF111)),1))&amp;MID(INDEX($OZ111:$PF111,1,MAX(1,$MF111)),2,99)&amp;IF($MI111="",""," "&amp;$MI111)&amp;IF($OR111&gt;0," · +"&amp;$OR111&amp;"d8",""))))</f>
        <v/>
      </c>
      <c r="PS111" s="152">
        <f>COUNTIF($MK111:$MN111,"Longe")+3*COUNTIF($MK111:$MN111,"Muito Longe")</f>
        <v/>
      </c>
      <c r="PT111" s="152">
        <f>COUNTIF($MK111:$MN111,"Maior")+3*COUNTIF($MK111:$MN111,"Muito Maior")</f>
        <v/>
      </c>
      <c r="PU111" s="152">
        <f>IF($MW111=0,0,CHOOSE(1+INDEX($AC$2:$AC$11,$MW111),0,$PS111,$PT111,$PS111+$PT111))</f>
        <v/>
      </c>
      <c r="PV111" s="152">
        <f>IF($MW111=0,0,CHOOSE(1+INDEX($AD$2:$AD$11,$MW111),0,$PS111,$PT111,$PS111+$PT111))</f>
        <v/>
      </c>
      <c r="PW111" s="152">
        <f>IF(OR($MQ111=0,$MW111=0),"",INDEX($AI$2:$AN$41,($MW111-1)*4+IF($MF111=0,1,IF($MF111&lt;=5,2,IF($MF111=6,3,4))),1+MIN(5,$PU111))&amp;INDEX($AO$2:$AT$41,($MW111-1)*4+IF($MF111=0,1,IF($MF111&lt;=5,2,IF($MF111=6,3,4))),1+MIN(5,$PV111))&amp;IF(INDEX($AE$2:$AE$11,$MW111)=1,IF(COUNTIF($MK111:$MN111,"Mais Um")&gt;0," · +"&amp;COUNTIF($MK111:$MN111,"Mais Um")&amp;IF(COUNTIF($MK111:$MN111,"Mais Um")&gt;1," alvos"," alvo"),"")&amp;IF(COUNTIF($MK111:$MN111,"Rajada")&gt;0,IF($MF111=0," · 1 tiro"," · "&amp;(MAX(1,$MF111-1)+1)&amp;" tiros"),""),""))</f>
        <v/>
      </c>
      <c r="PX111" s="152">
        <f>IF($MQ111=0,"",IF($MF111=0,$MT111&amp;"d6"&amp;IF($OH111&gt;0," − 1 = "&amp;$OQ111&amp;"d6"," da básica do nível "&amp;$MR111),$OO111&amp;" − "&amp;$OJ111&amp;" + "&amp;$OM111&amp;" = "&amp;$OP111&amp;" · teto "&amp;4*$MF111&amp;"d8"&amp;IF($NS111=1," · a Forma devolve "&amp;$MF111,"")&amp;IF($ON111&gt;0," · perde "&amp;$ON111,"")))</f>
        <v/>
      </c>
      <c r="PY111" s="152">
        <f>IF($MQ111=0,"",IF($MF111=0,"A básica não amplia: os dados dela sobem com o nível",IF($MF111&gt;=$MS111,"Já está na maior Classe que o nível liberou",TEXTJOIN(" · ",TRUE,IF(AND(2&gt;$MF111,2&lt;=$MS111),"2 → "&amp;$PA111&amp;", 6 PE",""),IF(AND(3&gt;$MF111,3&lt;=$MS111),"3 → "&amp;$PB111&amp;", 9 PE",""),IF(AND(4&gt;$MF111,4&lt;=$MS111),"4 → "&amp;$PC111&amp;", 12 PE",""),IF(AND(5&gt;$MF111,5&lt;=$MS111),"5 → "&amp;$PD111&amp;", 15 PE",""),IF(AND(6&gt;$MF111,6&lt;=$MS111),"6 → "&amp;$PE111&amp;", 18 PE",""),IF(AND(7&gt;$MF111,7&lt;=$MS111),"7 → "&amp;$PF111&amp;", 21 PE","")))))</f>
        <v/>
      </c>
      <c r="PZ111" s="152">
        <f>IF(OR($MQ111=0,$NB111=0),"",IF($MF111=0,"−1 dado","−"&amp;INDEX($I$2:$N$8,MAX(1,$MF111),MAX(1,$NG111))&amp;" · "&amp;CHOOSE(MAX(1,$NG111),"Leve","Média","Pesada","Leve · Livre","Média · Livre","Pesada · Livre")))</f>
        <v/>
      </c>
      <c r="QA111" s="152">
        <f>IF(OR($MQ111=0,$NC111=0),"",IF($MF111=0,"−1 dado","−"&amp;INDEX($I$2:$N$8,MAX(1,$MF111),MAX(1,$NH111))&amp;" · "&amp;CHOOSE(MAX(1,$NH111),"Leve","Média","Pesada","Leve · Livre","Média · Livre","Pesada · Livre")))</f>
        <v/>
      </c>
      <c r="QB111" s="152">
        <f>IF(OR($MQ111=0,$ND111=0),"",IF($MF111=0,"−1 dado","−"&amp;INDEX($I$2:$N$8,MAX(1,$MF111),MAX(1,$NI111))&amp;" · "&amp;CHOOSE(MAX(1,$NI111),"Leve","Média","Pesada","Leve · Livre","Média · Livre","Pesada · Livre")))</f>
        <v/>
      </c>
      <c r="QC111" s="152">
        <f>IF(OR($MQ111=0,$NE111=0),"",IF($MF111=0,"−1 dado","−"&amp;INDEX($I$2:$N$8,MAX(1,$MF111),MAX(1,$NJ111))&amp;" · "&amp;CHOOSE(MAX(1,$NJ111),"Leve","Média","Pesada","Leve · Livre","Média · Livre","Pesada · Livre")))</f>
        <v/>
      </c>
      <c r="QD111" s="152">
        <f>IF(OR($MQ111=0,$MO111=""),"",IF($MF111=0,"não devolve","+"&amp;IF($NV111=1,CEILING($MF111/2,1),$MF111)))</f>
        <v/>
      </c>
      <c r="QE111" s="152">
        <f>IF(OR($MQ111=0,$MP111=""),"",IF($MF111=0,"não devolve","+"&amp;IF($NW111=1,CEILING($MF111/2,1),$MF111)))</f>
        <v/>
      </c>
    </row>
    <row r="112">
      <c r="MA112" s="150" t="inlineStr">
        <is>
          <t>Ficha 9 · Especial 5</t>
        </is>
      </c>
      <c r="MB112" s="152" t="n">
        <v>9</v>
      </c>
      <c r="MC112" s="152" t="n">
        <v>1</v>
      </c>
      <c r="MD112" s="152" t="n">
        <v>16</v>
      </c>
      <c r="ME112" s="150" t="inlineStr">
        <is>
          <t>ESPECIAL 5</t>
        </is>
      </c>
      <c r="MF112" s="152">
        <f>MAX(1,MIN(7,N('INVOCAÇÕES'!$AB$510)))</f>
        <v/>
      </c>
      <c r="MG112" s="152">
        <f>'INVOCAÇÕES'!$AC$510&amp;""</f>
        <v/>
      </c>
      <c r="MH112" s="152">
        <f>'INVOCAÇÕES'!$AB$515&amp;""</f>
        <v/>
      </c>
      <c r="MI112" s="152">
        <f>'INVOCAÇÕES'!$AB$516&amp;""</f>
        <v/>
      </c>
      <c r="MJ112" s="152">
        <f>'INVOCAÇÕES'!$AD$516&amp;""</f>
        <v/>
      </c>
      <c r="MK112" s="152">
        <f>'INVOCAÇÕES'!$AC$519&amp;""</f>
        <v/>
      </c>
      <c r="ML112" s="152">
        <f>'INVOCAÇÕES'!$AC$520&amp;""</f>
        <v/>
      </c>
      <c r="MM112" s="152">
        <f>'INVOCAÇÕES'!$AC$521&amp;""</f>
        <v/>
      </c>
      <c r="MN112" s="152">
        <f>'INVOCAÇÕES'!$AC$522&amp;""</f>
        <v/>
      </c>
      <c r="MO112" s="152">
        <f>'INVOCAÇÕES'!$AC$523&amp;""</f>
        <v/>
      </c>
      <c r="MP112" s="152">
        <f>'INVOCAÇÕES'!$AC$524&amp;""</f>
        <v/>
      </c>
      <c r="MQ112" s="152">
        <f>IF($MG112&lt;&gt;"",1,0)</f>
        <v/>
      </c>
      <c r="MR112" s="152">
        <f>INDEX($FI$2:$FI$13,$MB112)</f>
        <v/>
      </c>
      <c r="MS112" s="152">
        <f>INDEX($FJ$2:$FJ$13,$MB112)</f>
        <v/>
      </c>
      <c r="MT112" s="152">
        <f>INDEX($FK$2:$FK$13,$MB112)</f>
        <v/>
      </c>
      <c r="MU112" s="152">
        <f>INDEX($FV$2:$FV$13,$MB112)</f>
        <v/>
      </c>
      <c r="MV112" s="152">
        <f>INDEX($FW$2:$FW$13,$MB112)</f>
        <v/>
      </c>
      <c r="MW112" s="152">
        <f>IFERROR(MATCH($MH112,$V$2:$V$11,0),0)</f>
        <v/>
      </c>
      <c r="MX112" s="152">
        <f>IFERROR(VLOOKUP($MK112,$AV$2:$BA$84,2,FALSE),"")</f>
        <v/>
      </c>
      <c r="MY112" s="152">
        <f>IFERROR(VLOOKUP($ML112,$AV$2:$BA$84,2,FALSE),"")</f>
        <v/>
      </c>
      <c r="MZ112" s="152">
        <f>IFERROR(VLOOKUP($MM112,$AV$2:$BA$84,2,FALSE),"")</f>
        <v/>
      </c>
      <c r="NA112" s="152">
        <f>IFERROR(VLOOKUP($MN112,$AV$2:$BA$84,2,FALSE),"")</f>
        <v/>
      </c>
      <c r="NB112" s="152">
        <f>IFERROR(VLOOKUP($MK112,$AV$2:$BA$84,3,FALSE),0)</f>
        <v/>
      </c>
      <c r="NC112" s="152">
        <f>IFERROR(VLOOKUP($ML112,$AV$2:$BA$84,3,FALSE),0)</f>
        <v/>
      </c>
      <c r="ND112" s="152">
        <f>IFERROR(VLOOKUP($MM112,$AV$2:$BA$84,3,FALSE),0)</f>
        <v/>
      </c>
      <c r="NE112" s="152">
        <f>IFERROR(VLOOKUP($MN112,$AV$2:$BA$84,3,FALSE),0)</f>
        <v/>
      </c>
      <c r="NF112" s="152">
        <f>IF($MF112=0,0,IF($MW112=0,0,INDEX($X$2:$X$11,$MW112)))</f>
        <v/>
      </c>
      <c r="NG112" s="152">
        <f>IF(OR($NB112=0,$MF112=0),0,$NB112+3*IF(AND($MX112&lt;&gt;"",OR($MX112=INDEX($EF$2:$EF$13,$MB112),$MX112=INDEX($EG$2:$EG$13,$MB112))),1,0))</f>
        <v/>
      </c>
      <c r="NH112" s="152">
        <f>IF(OR($NC112=0,$MF112=0),0,$NC112+3*IF(AND($MY112&lt;&gt;"",OR($MY112=INDEX($EF$2:$EF$13,$MB112),$MY112=INDEX($EG$2:$EG$13,$MB112))),1,0))</f>
        <v/>
      </c>
      <c r="NI112" s="152">
        <f>IF(OR($ND112=0,$MF112=0),0,$ND112+3*IF(AND($MZ112&lt;&gt;"",OR($MZ112=INDEX($EF$2:$EF$13,$MB112),$MZ112=INDEX($EG$2:$EG$13,$MB112))),1,0))</f>
        <v/>
      </c>
      <c r="NJ112" s="152">
        <f>IF(OR($NE112=0,$MF112=0),0,$NE112+3*IF(AND($NA112&lt;&gt;"",OR($NA112=INDEX($EF$2:$EF$13,$MB112),$NA112=INDEX($EG$2:$EG$13,$MB112))),1,0))</f>
        <v/>
      </c>
      <c r="NK112" s="152">
        <f>IF($MW112=0,0,IF(INDEX($W$2:$W$11,$MW112)="",0,IF(COUNTIF(INDEX($EF$2:$EJ$13,$MB112,0),INDEX($W$2:$W$11,$MW112))=0,1,0)))</f>
        <v/>
      </c>
      <c r="NL112" s="152">
        <f>IF(OR($NB112=0,$MX112=""),0,IF(COUNTIF(INDEX($EF$2:$EJ$13,$MB112,0),$MX112)=0,1,0))</f>
        <v/>
      </c>
      <c r="NM112" s="152">
        <f>IF(OR($NC112=0,$MY112=""),0,IF(COUNTIF(INDEX($EF$2:$EJ$13,$MB112,0),$MY112)=0,1,0))</f>
        <v/>
      </c>
      <c r="NN112" s="152">
        <f>IF(OR($ND112=0,$MZ112=""),0,IF(COUNTIF(INDEX($EF$2:$EJ$13,$MB112,0),$MZ112)=0,1,0))</f>
        <v/>
      </c>
      <c r="NO112" s="152">
        <f>IF(OR($NE112=0,$NA112=""),0,IF(COUNTIF(INDEX($EF$2:$EJ$13,$MB112,0),$NA112)=0,1,0))</f>
        <v/>
      </c>
      <c r="NP112" s="152">
        <f>IFERROR(VLOOKUP($MK112,$AV$2:$BA$84,4,FALSE),0)+IFERROR(VLOOKUP($ML112,$AV$2:$BA$84,4,FALSE),0)+IFERROR(VLOOKUP($MM112,$AV$2:$BA$84,4,FALSE),0)+IFERROR(VLOOKUP($MN112,$AV$2:$BA$84,4,FALSE),0)</f>
        <v/>
      </c>
      <c r="NQ112" s="152">
        <f>IFERROR(VLOOKUP($MK112,$AV$2:$BA$84,6,FALSE),0)+IFERROR(VLOOKUP($ML112,$AV$2:$BA$84,6,FALSE),0)+IFERROR(VLOOKUP($MM112,$AV$2:$BA$84,6,FALSE),0)+IFERROR(VLOOKUP($MN112,$AV$2:$BA$84,6,FALSE),0)</f>
        <v/>
      </c>
      <c r="NR112" s="152">
        <f>TEXTJOIN(", ",TRUE,IF(IFERROR(VLOOKUP($MK112,$AV$2:$BA$84,5,FALSE),0)=1,$MK112,""),IF(IFERROR(VLOOKUP($ML112,$AV$2:$BA$84,5,FALSE),0)=1,$ML112,""),IF(IFERROR(VLOOKUP($MM112,$AV$2:$BA$84,5,FALSE),0)=1,$MM112,""),IF(IFERROR(VLOOKUP($MN112,$AV$2:$BA$84,5,FALSE),0)=1,$MN112,""))</f>
        <v/>
      </c>
      <c r="NS112" s="152">
        <f>IF($MW112=0,0,INDEX($Y$2:$Y$11,$MW112))</f>
        <v/>
      </c>
      <c r="NT112" s="152">
        <f>IF($MW112=0,0,INDEX($Z$2:$Z$11,$MW112))</f>
        <v/>
      </c>
      <c r="NU112" s="152">
        <f>IF($MW112=0,0,INDEX($AB$2:$AB$11,$MW112))</f>
        <v/>
      </c>
      <c r="NV112" s="152">
        <f>IFERROR(VLOOKUP($MO112,$BC$2:$BG$24,3,FALSE),0)</f>
        <v/>
      </c>
      <c r="NW112" s="152">
        <f>IFERROR(VLOOKUP($MP112,$BC$2:$BG$24,3,FALSE),0)</f>
        <v/>
      </c>
      <c r="NX112" s="152">
        <f>IFERROR(VLOOKUP($MO112,$BC$2:$BG$24,2,FALSE),"")</f>
        <v/>
      </c>
      <c r="NY112" s="152">
        <f>IFERROR(VLOOKUP($MP112,$BC$2:$BG$24,2,FALSE),"")</f>
        <v/>
      </c>
      <c r="NZ112" s="152">
        <f>COUNTIF($NF112:$NJ112,1)</f>
        <v/>
      </c>
      <c r="OA112" s="152">
        <f>COUNTIF($NF112:$NJ112,2)</f>
        <v/>
      </c>
      <c r="OB112" s="152">
        <f>COUNTIF($NF112:$NJ112,3)</f>
        <v/>
      </c>
      <c r="OC112" s="152">
        <f>COUNTIF($NF112:$NJ112,4)</f>
        <v/>
      </c>
      <c r="OD112" s="152">
        <f>COUNTIF($NF112:$NJ112,5)</f>
        <v/>
      </c>
      <c r="OE112" s="152">
        <f>COUNTIF($NF112:$NJ112,6)</f>
        <v/>
      </c>
      <c r="OF112" s="152">
        <f>COUNTIF($NV112:$NW112,1)</f>
        <v/>
      </c>
      <c r="OG112" s="152">
        <f>COUNTIF($NV112:$NW112,2)+$NS112</f>
        <v/>
      </c>
      <c r="OH112" s="152">
        <f>COUNTIF($MK112:$MN112,"?*")</f>
        <v/>
      </c>
      <c r="OI112" s="152">
        <f>COUNTIF($MO112:$MP112,"?*")+$NS112</f>
        <v/>
      </c>
      <c r="OJ112" s="152">
        <f>IF($MF112=0,0,SUMPRODUCT($NZ112:$OE112,INDEX($I$2:$N$8,MAX(1,$MF112),0)))</f>
        <v/>
      </c>
      <c r="OK112" s="152">
        <f>IF($MF112=0,0,$OF112*CEILING($MF112/2,1)+$OG112*$MF112)</f>
        <v/>
      </c>
      <c r="OL112" s="152">
        <f>MIN(2*$MF112,$OK112)</f>
        <v/>
      </c>
      <c r="OM112" s="152">
        <f>MIN($OL112,$OJ112)</f>
        <v/>
      </c>
      <c r="ON112" s="152">
        <f>$OL112-$OM112</f>
        <v/>
      </c>
      <c r="OO112" s="152">
        <f>IF($MF112=0,0,INDEX($P$2:$P$8,MAX(1,$MF112)))</f>
        <v/>
      </c>
      <c r="OP112" s="152">
        <f>$OO112-$OJ112+$OM112</f>
        <v/>
      </c>
      <c r="OQ112" s="152">
        <f>IF($MF112=0,MAX(0,$MT112-IF($OH112&gt;0,1,0)),MAX(0,$OP112))</f>
        <v/>
      </c>
      <c r="OR112" s="152">
        <f>IF($MF112=0,0,(IF(COUNTIF($MK112:$MN112,"Salto")&gt;0,1,0)+IF(COUNTIF($MK112:$MN112,"Queima")&gt;0,1,0)+IF(COUNTIF($MK112:$MN112,"Estilhaço")&gt;0,1,0))*FLOOR($OQ112/2,1))</f>
        <v/>
      </c>
      <c r="OS112" s="152">
        <f>MAX(0,2-SUMPRODUCT($NZ112:$OE112,$I$2:$N$2)+MIN(2,$OF112*1+$OG112*1,SUMPRODUCT($NZ112:$OE112,$I$2:$N$2)))</f>
        <v/>
      </c>
      <c r="OT112" s="152">
        <f>MAX(0,4-SUMPRODUCT($NZ112:$OE112,$I$3:$N$3)+MIN(4,$OF112*1+$OG112*2,SUMPRODUCT($NZ112:$OE112,$I$3:$N$3)))</f>
        <v/>
      </c>
      <c r="OU112" s="152">
        <f>MAX(0,6-SUMPRODUCT($NZ112:$OE112,$I$4:$N$4)+MIN(6,$OF112*2+$OG112*3,SUMPRODUCT($NZ112:$OE112,$I$4:$N$4)))</f>
        <v/>
      </c>
      <c r="OV112" s="152">
        <f>MAX(0,9-SUMPRODUCT($NZ112:$OE112,$I$5:$N$5)+MIN(8,$OF112*2+$OG112*4,SUMPRODUCT($NZ112:$OE112,$I$5:$N$5)))</f>
        <v/>
      </c>
      <c r="OW112" s="152">
        <f>MAX(0,11-SUMPRODUCT($NZ112:$OE112,$I$6:$N$6)+MIN(10,$OF112*3+$OG112*5,SUMPRODUCT($NZ112:$OE112,$I$6:$N$6)))</f>
        <v/>
      </c>
      <c r="OX112" s="152">
        <f>MAX(0,13-SUMPRODUCT($NZ112:$OE112,$I$7:$N$7)+MIN(12,$OF112*3+$OG112*6,SUMPRODUCT($NZ112:$OE112,$I$7:$N$7)))</f>
        <v/>
      </c>
      <c r="OY112" s="152">
        <f>MAX(0,16-SUMPRODUCT($NZ112:$OE112,$I$8:$N$8)+MIN(14,$OF112*4+$OG112*7,SUMPRODUCT($NZ112:$OE112,$I$8:$N$8)))</f>
        <v/>
      </c>
      <c r="OZ112" s="152">
        <f>IF($NT112=2,3*$OS112&amp;" de vida temp.",IF($NT112=3,"sem dano",IF($OS112=0,IF($NT112=1,"sem cura","sem dano"),IF($NT112=1,"cura ","")&amp;$OS112&amp;"d8")))</f>
        <v/>
      </c>
      <c r="PA112" s="152">
        <f>IF($NT112=2,3*$OT112&amp;" de vida temp.",IF($NT112=3,"sem dano",IF($OT112=0,IF($NT112=1,"sem cura","sem dano"),IF($NT112=1,"cura ","")&amp;$OT112&amp;"d8")))</f>
        <v/>
      </c>
      <c r="PB112" s="152">
        <f>IF($NT112=2,3*$OU112&amp;" de vida temp.",IF($NT112=3,"sem dano",IF($OU112=0,IF($NT112=1,"sem cura","sem dano"),IF($NT112=1,"cura ","")&amp;$OU112&amp;"d8")))</f>
        <v/>
      </c>
      <c r="PC112" s="152">
        <f>IF($NT112=2,3*$OV112&amp;" de vida temp.",IF($NT112=3,"sem dano",IF($OV112=0,IF($NT112=1,"sem cura","sem dano"),IF($NT112=1,"cura ","")&amp;$OV112&amp;"d8")))</f>
        <v/>
      </c>
      <c r="PD112" s="152">
        <f>IF($NT112=2,3*$OW112&amp;" de vida temp.",IF($NT112=3,"sem dano",IF($OW112=0,IF($NT112=1,"sem cura","sem dano"),IF($NT112=1,"cura ","")&amp;$OW112&amp;"d8")))</f>
        <v/>
      </c>
      <c r="PE112" s="152">
        <f>IF($NT112=2,3*$OX112&amp;" de vida temp.",IF($NT112=3,"sem dano",IF($OX112=0,IF($NT112=1,"sem cura","sem dano"),IF($NT112=1,"cura ","")&amp;$OX112&amp;"d8")))</f>
        <v/>
      </c>
      <c r="PF112" s="152">
        <f>IF($NT112=2,3*$OY112&amp;" de vida temp.",IF($NT112=3,"sem dano",IF($OY112=0,IF($NT112=1,"sem cura","sem dano"),IF($NT112=1,"cura ","")&amp;$OY112&amp;"d8")))</f>
        <v/>
      </c>
      <c r="PG112" s="152">
        <f>IF($MQ112=0,"",TEXTJOIN(" · ",TRUE,IF($MD112&gt;$MR112,"Este lugar abre no nível "&amp;$MD112,""),IF($MF112&gt;$MS112,"Classe "&amp;$MF112&amp;": o nível "&amp;$MR112&amp;" libera até a "&amp;$MS112,""),IF($NK112=1,"A Forma "&amp;$MH112&amp;" pede "&amp;INDEX($W$2:$W$11,$MW112)&amp;" aberta",""),IF(AND($MF112=0,$MW112&gt;0,IF($MW112=0,0,INDEX($AF$2:$AF$11,$MW112))=0),$MH112&amp;" não existe na Classe 0",""),IF($NL112=1,"Família Fechada: "&amp;$MK112,""),IF($NM112=1,"Família Fechada: "&amp;$ML112,""),IF($NN112=1,"Família Fechada: "&amp;$MM112,""),IF($NO112=1,"Família Fechada: "&amp;$MN112,""),IF(AND($MF112&gt;0,$OH112&gt;INDEX($O$2:$O$8,MAX(1,$MF112))),$OH112&amp;" Melhorias: a Classe "&amp;$MF112&amp;" aceita "&amp;INDEX($O$2:$O$8,MAX(1,$MF112)),""),IF(AND($MF112=0,$OH112&gt;1),"A básica aceita uma Melhoria",""),IF(AND($MF112=0,COUNTIF($NB112:$NE112,"&gt;1")&gt;0),"A básica só aceita Melhoria Leve",""),IF(AND($MF112&gt;0,$OI112&gt;2),$OI112&amp;" Restrições"&amp;IF($NS112=1,", contando a que a Forma "&amp;$MH112&amp;" já traz","")&amp;": o limite é 2",""),IF(AND($MF112=0,COUNTIF($MO112:$MP112,"?*")&gt;1),"A básica aceita uma Restrição Leve",""),IF(AND($MF112=0,COUNTIF($NV112:$NW112,2)&gt;0),"A básica só aceita Restrição Leve",""),IF(AND($MF112&gt;0,$OP112&lt;0),"Orçamento estourado: faltam "&amp;(-$OP112)&amp;IF($OP112&lt;-1," pontos"," ponto"),""),IF(IFERROR(VLOOKUP($MO112,$BC$2:$BG$24,4,FALSE),0)+IFERROR(VLOOKUP($MP112,$BC$2:$BG$24,4,FALSE),0)&gt;1,$NX112&amp;" e "&amp;$NY112&amp;" são as duas de frequência",""),IF(AND((COUNTIF($MK112:$MN112,"Rápido")+COUNTIF($NX112:$NY112,"Rápido"))&gt;0,(COUNTIF($MK112:$MN112,"Atrasar")+COUNTIF($NX112:$NY112,"Atrasar"))&gt;0),"Rápido não entra com Atrasar",""),IF(AND((COUNTIF($MK112:$MN112,"Reação")+COUNTIF($NX112:$NY112,"Reação"))&gt;0,(COUNTIF($MK112:$MN112,"Rápido")+COUNTIF($NX112:$NY112,"Rápido"))&gt;0),"Reação não entra com Rápido",""),IF(AND((COUNTIF($MK112:$MN112,"Reação")+COUNTIF($NX112:$NY112,"Reação"))&gt;0,(COUNTIF($MK112:$MN112,"Armado")+COUNTIF($NX112:$NY112,"Armado"))&gt;0),"Reação não entra com Armado",""),IF(AND((COUNTIF($MK112:$MN112,"Reação")+COUNTIF($NX112:$NY112,"Reação"))&gt;0,(COUNTIF($MK112:$MN112,"Atrasar")+COUNTIF($NX112:$NY112,"Atrasar"))&gt;0),"Reação não entra com Atrasar",""),IF(AND((COUNTIF($MK112:$MN112,"Reação")+COUNTIF($NX112:$NY112,"Reação"))&gt;0,(COUNTIF($MK112:$MN112,"Parado")+COUNTIF($NX112:$NY112,"Parado"))&gt;0),"Reação não entra com Parado",""),IF(AND((COUNTIF($MK112:$MN112,"Atrasar")+COUNTIF($NX112:$NY112,"Atrasar"))&gt;0,(COUNTIF($MK112:$MN112,"Parado")+COUNTIF($NX112:$NY112,"Parado"))&gt;0),"Atrasar não entra com Parado",""),IF(AND((COUNTIF($MK112:$MN112,"Armado")+COUNTIF($NX112:$NY112,"Armado"))&gt;0,(COUNTIF($MK112:$MN112,"Carregar")+COUNTIF($NX112:$NY112,"Carregar"))&gt;0),"Armado não entra com Carregar",""),IF(AND(COUNTIF($NX112:$NY112,"Corpo a Corpo")&gt;0,$NS112=0,OR($MH112="Cone",$MH112="Linha")),"Corpo a Corpo não entra em "&amp;$MH112,""),IF(AND(COUNTIF($NX112:$NY112,"Corpo a Corpo")&gt;0,$NS112=1),"A Forma "&amp;$MH112&amp;" já traz o Corpo a Corpo",""),IF(AND(COUNTIF($NX112:$NY112,"Tudo ou Nada")&gt;0,$NU112=0),"Tudo ou Nada só entra em habilidade de Teste de Resistência",""),IF(AND(COUNTIF($MK112:$MN112,"Inescapável")&gt;0,OR($OH112&gt;1,$OI112&gt;0)),"Inescapável não aceita outra peça",""),IF(AND($MF112&gt;0,$OQ112*IF(COUNTIF($MK112:$MN112,"Remate")&gt;0,1.25,1)+$OR112&gt;4*$MF112),($OQ112*IF(COUNTIF($MK112:$MN112,"Remate")&gt;0,1.25,1)+$OR112)&amp;" dados somando repetições"&amp;IF(COUNTIF($MK112:$MN112,"Remate")&gt;0," e o Remate","")&amp;": o teto da Classe "&amp;$MF112&amp;" é "&amp;4*$MF112,"")))</f>
        <v/>
      </c>
      <c r="PH112" s="152">
        <f>IF($PG112="",0,(LEN($PG112)-LEN(SUBSTITUTE($PG112," · ","")))/3+1)</f>
        <v/>
      </c>
      <c r="PI112" s="152">
        <f>IF($MQ112=0,"",TEXTJOIN(" · ",TRUE,IF($OK112&gt;2*$MF112,"A devolução parou no teto de "&amp;2*$MF112,""),IF($ON112&gt;0,"Devolução perdida: "&amp;$ON112&amp;IF($ON112&gt;1," pontos"," ponto")&amp;" sem peça para pagar",""),IF(AND($NP112&gt;0,AND($MF112&gt;0,$NT112=0),$OQ112=0),"Controle sem dano: uma rodada a mais e CD +2",""),IF(AND($NP112&gt;0,AND($MF112&gt;0,$NT112=0),$OQ112&gt;0,$OQ112&lt;=$MF112),"Controle com saldo até a Classe: uma rodada a mais",""),IF(AND($MF112&gt;0,$NR112&lt;&gt;""),"Efeito de "&amp;$NR112&amp;" pela Classe "&amp;MAX(1,$MF112-1),"")))</f>
        <v/>
      </c>
      <c r="PJ112" s="152">
        <f>IF($PI112="",0,(LEN($PI112)-LEN(SUBSTITUTE($PI112," · ","")))/3+1)</f>
        <v/>
      </c>
      <c r="PK112" s="152">
        <f>IF($MQ112=0,IF($OH112+COUNTIF($MO112:$MP112,"?*")&gt;0,"Dê um nome",""),IF($PH112&gt;0,"⚠ "&amp;$PH112&amp;IF($PH112&gt;1," erros"," erro"),IF($PJ112&gt;0,"! "&amp;$PJ112&amp;IF($PJ112&gt;1," avisos"," aviso"),"Na regra")))</f>
        <v/>
      </c>
      <c r="PL112" s="152">
        <f>IF($MQ112=0,"",IF($PH112+$PJ112=0,"Dentro das regras que a ficha confere",$PG112&amp;IF(AND($PH112&gt;0,$PJ112&gt;0)," · ","")&amp;$PI112))</f>
        <v/>
      </c>
      <c r="PM112" s="152">
        <f>IF($MD112&gt;$MR112,$ME112&amp;" · ABRE NO NÍVEL "&amp;$MD112,$ME112)</f>
        <v/>
      </c>
      <c r="PN112" s="152">
        <f>IF($MQ112=0,"",IF($MF112=0,"Sem PE",3*$MF112&amp;" PE"))</f>
        <v/>
      </c>
      <c r="PO112" s="152">
        <f>IF($MQ112=0,"",IF($MF112=0,"A atuação básica dela",IF(COUNTIF($NX112:$NY112,"Atrasar")&gt;0,"Sua Ação Completa",IF(COUNTIF($MK112:$MN112,"Rápido")&gt;0,"Sua Bônus",IF(COUNTIF($MK112:$MN112,"Reação")&gt;0,"Sua Reação","Sua Padrão")))&amp;" + a básica dela"&amp;IF(COUNTIF($MK112:$MN112,"Reação")&gt;0," e a coletiva","")&amp;IF(COUNTIF($NX112:$NY112,"Carregar")&gt;0," · em dois turnos","")))</f>
        <v/>
      </c>
      <c r="PP112" s="152">
        <f>IF($MJ112&lt;&gt;"",$MJ112,IF($MW112=0,"",INDEX($AA$2:$AA$11,$MW112)))</f>
        <v/>
      </c>
      <c r="PQ112" s="152">
        <f>IF(OR($MQ112=0,$MW112=0),"",IF(COUNTIF($MK112:$MN112,"Inescapável")&gt;0,"Automático",IF($PP112="Ataque",IF($MU112="","Ataque","Ataque "&amp;IF(($MU112+2*IF(COUNTIF($MK112:$MN112,"Precisão")&gt;0,1,0))&gt;=0,"+","−")&amp;ABS(($MU112+2*IF(COUNTIF($MK112:$MN112,"Precisão")&gt;0,1,0))))&amp;IF($NQ112&gt;0," · TR"&amp;IF($MV112="",""," CD "&amp;$MV112),""),IF(LEFT($PP112,2)="TR",$PP112&amp;IF($MV112="",""," · CD "&amp;$MV112)&amp;IF(COUNTIF($MK112:$MN112,"Certeiro")&gt;0," · metade",""),"Sem rolagem"))))</f>
        <v/>
      </c>
      <c r="PR112" s="152">
        <f>IF(OR($MQ112=0,$MW112=0),"",IF($MF112=0,IF(OR($NT112&gt;=1,$OQ112=0),"Sem dano",$OQ112&amp;"d6"&amp;IF($MI112="",""," "&amp;$MI112)),IF(OR($NT112&gt;=1,$OQ112=0),UPPER(LEFT(INDEX($OZ112:$PF112,1,MAX(1,$MF112)),1))&amp;MID(INDEX($OZ112:$PF112,1,MAX(1,$MF112)),2,99),UPPER(LEFT(INDEX($OZ112:$PF112,1,MAX(1,$MF112)),1))&amp;MID(INDEX($OZ112:$PF112,1,MAX(1,$MF112)),2,99)&amp;IF($MI112="",""," "&amp;$MI112)&amp;IF($OR112&gt;0," · +"&amp;$OR112&amp;"d8",""))))</f>
        <v/>
      </c>
      <c r="PS112" s="152">
        <f>COUNTIF($MK112:$MN112,"Longe")+3*COUNTIF($MK112:$MN112,"Muito Longe")</f>
        <v/>
      </c>
      <c r="PT112" s="152">
        <f>COUNTIF($MK112:$MN112,"Maior")+3*COUNTIF($MK112:$MN112,"Muito Maior")</f>
        <v/>
      </c>
      <c r="PU112" s="152">
        <f>IF($MW112=0,0,CHOOSE(1+INDEX($AC$2:$AC$11,$MW112),0,$PS112,$PT112,$PS112+$PT112))</f>
        <v/>
      </c>
      <c r="PV112" s="152">
        <f>IF($MW112=0,0,CHOOSE(1+INDEX($AD$2:$AD$11,$MW112),0,$PS112,$PT112,$PS112+$PT112))</f>
        <v/>
      </c>
      <c r="PW112" s="152">
        <f>IF(OR($MQ112=0,$MW112=0),"",INDEX($AI$2:$AN$41,($MW112-1)*4+IF($MF112=0,1,IF($MF112&lt;=5,2,IF($MF112=6,3,4))),1+MIN(5,$PU112))&amp;INDEX($AO$2:$AT$41,($MW112-1)*4+IF($MF112=0,1,IF($MF112&lt;=5,2,IF($MF112=6,3,4))),1+MIN(5,$PV112))&amp;IF(INDEX($AE$2:$AE$11,$MW112)=1,IF(COUNTIF($MK112:$MN112,"Mais Um")&gt;0," · +"&amp;COUNTIF($MK112:$MN112,"Mais Um")&amp;IF(COUNTIF($MK112:$MN112,"Mais Um")&gt;1," alvos"," alvo"),"")&amp;IF(COUNTIF($MK112:$MN112,"Rajada")&gt;0,IF($MF112=0," · 1 tiro"," · "&amp;(MAX(1,$MF112-1)+1)&amp;" tiros"),""),""))</f>
        <v/>
      </c>
      <c r="PX112" s="152">
        <f>IF($MQ112=0,"",IF($MF112=0,$MT112&amp;"d6"&amp;IF($OH112&gt;0," − 1 = "&amp;$OQ112&amp;"d6"," da básica do nível "&amp;$MR112),$OO112&amp;" − "&amp;$OJ112&amp;" + "&amp;$OM112&amp;" = "&amp;$OP112&amp;" · teto "&amp;4*$MF112&amp;"d8"&amp;IF($NS112=1," · a Forma devolve "&amp;$MF112,"")&amp;IF($ON112&gt;0," · perde "&amp;$ON112,"")))</f>
        <v/>
      </c>
      <c r="PY112" s="152">
        <f>IF($MQ112=0,"",IF($MF112=0,"A básica não amplia: os dados dela sobem com o nível",IF($MF112&gt;=$MS112,"Já está na maior Classe que o nível liberou",TEXTJOIN(" · ",TRUE,IF(AND(2&gt;$MF112,2&lt;=$MS112),"2 → "&amp;$PA112&amp;", 6 PE",""),IF(AND(3&gt;$MF112,3&lt;=$MS112),"3 → "&amp;$PB112&amp;", 9 PE",""),IF(AND(4&gt;$MF112,4&lt;=$MS112),"4 → "&amp;$PC112&amp;", 12 PE",""),IF(AND(5&gt;$MF112,5&lt;=$MS112),"5 → "&amp;$PD112&amp;", 15 PE",""),IF(AND(6&gt;$MF112,6&lt;=$MS112),"6 → "&amp;$PE112&amp;", 18 PE",""),IF(AND(7&gt;$MF112,7&lt;=$MS112),"7 → "&amp;$PF112&amp;", 21 PE","")))))</f>
        <v/>
      </c>
      <c r="PZ112" s="152">
        <f>IF(OR($MQ112=0,$NB112=0),"",IF($MF112=0,"−1 dado","−"&amp;INDEX($I$2:$N$8,MAX(1,$MF112),MAX(1,$NG112))&amp;" · "&amp;CHOOSE(MAX(1,$NG112),"Leve","Média","Pesada","Leve · Livre","Média · Livre","Pesada · Livre")))</f>
        <v/>
      </c>
      <c r="QA112" s="152">
        <f>IF(OR($MQ112=0,$NC112=0),"",IF($MF112=0,"−1 dado","−"&amp;INDEX($I$2:$N$8,MAX(1,$MF112),MAX(1,$NH112))&amp;" · "&amp;CHOOSE(MAX(1,$NH112),"Leve","Média","Pesada","Leve · Livre","Média · Livre","Pesada · Livre")))</f>
        <v/>
      </c>
      <c r="QB112" s="152">
        <f>IF(OR($MQ112=0,$ND112=0),"",IF($MF112=0,"−1 dado","−"&amp;INDEX($I$2:$N$8,MAX(1,$MF112),MAX(1,$NI112))&amp;" · "&amp;CHOOSE(MAX(1,$NI112),"Leve","Média","Pesada","Leve · Livre","Média · Livre","Pesada · Livre")))</f>
        <v/>
      </c>
      <c r="QC112" s="152">
        <f>IF(OR($MQ112=0,$NE112=0),"",IF($MF112=0,"−1 dado","−"&amp;INDEX($I$2:$N$8,MAX(1,$MF112),MAX(1,$NJ112))&amp;" · "&amp;CHOOSE(MAX(1,$NJ112),"Leve","Média","Pesada","Leve · Livre","Média · Livre","Pesada · Livre")))</f>
        <v/>
      </c>
      <c r="QD112" s="152">
        <f>IF(OR($MQ112=0,$MO112=""),"",IF($MF112=0,"não devolve","+"&amp;IF($NV112=1,CEILING($MF112/2,1),$MF112)))</f>
        <v/>
      </c>
      <c r="QE112" s="152">
        <f>IF(OR($MQ112=0,$MP112=""),"",IF($MF112=0,"não devolve","+"&amp;IF($NW112=1,CEILING($MF112/2,1),$MF112)))</f>
        <v/>
      </c>
    </row>
    <row r="113">
      <c r="MA113" s="150" t="inlineStr">
        <is>
          <t>Ficha 9 · Especial 6</t>
        </is>
      </c>
      <c r="MB113" s="152" t="n">
        <v>9</v>
      </c>
      <c r="MC113" s="152" t="n">
        <v>1</v>
      </c>
      <c r="MD113" s="152" t="n">
        <v>20</v>
      </c>
      <c r="ME113" s="150" t="inlineStr">
        <is>
          <t>ESPECIAL 6</t>
        </is>
      </c>
      <c r="MF113" s="152">
        <f>MAX(1,MIN(7,N('INVOCAÇÕES'!$AH$510)))</f>
        <v/>
      </c>
      <c r="MG113" s="152">
        <f>'INVOCAÇÕES'!$AI$510&amp;""</f>
        <v/>
      </c>
      <c r="MH113" s="152">
        <f>'INVOCAÇÕES'!$AH$515&amp;""</f>
        <v/>
      </c>
      <c r="MI113" s="152">
        <f>'INVOCAÇÕES'!$AH$516&amp;""</f>
        <v/>
      </c>
      <c r="MJ113" s="152">
        <f>'INVOCAÇÕES'!$AJ$516&amp;""</f>
        <v/>
      </c>
      <c r="MK113" s="152">
        <f>'INVOCAÇÕES'!$AI$519&amp;""</f>
        <v/>
      </c>
      <c r="ML113" s="152">
        <f>'INVOCAÇÕES'!$AI$520&amp;""</f>
        <v/>
      </c>
      <c r="MM113" s="152">
        <f>'INVOCAÇÕES'!$AI$521&amp;""</f>
        <v/>
      </c>
      <c r="MN113" s="152">
        <f>'INVOCAÇÕES'!$AI$522&amp;""</f>
        <v/>
      </c>
      <c r="MO113" s="152">
        <f>'INVOCAÇÕES'!$AI$523&amp;""</f>
        <v/>
      </c>
      <c r="MP113" s="152">
        <f>'INVOCAÇÕES'!$AI$524&amp;""</f>
        <v/>
      </c>
      <c r="MQ113" s="152">
        <f>IF($MG113&lt;&gt;"",1,0)</f>
        <v/>
      </c>
      <c r="MR113" s="152">
        <f>INDEX($FI$2:$FI$13,$MB113)</f>
        <v/>
      </c>
      <c r="MS113" s="152">
        <f>INDEX($FJ$2:$FJ$13,$MB113)</f>
        <v/>
      </c>
      <c r="MT113" s="152">
        <f>INDEX($FK$2:$FK$13,$MB113)</f>
        <v/>
      </c>
      <c r="MU113" s="152">
        <f>INDEX($FV$2:$FV$13,$MB113)</f>
        <v/>
      </c>
      <c r="MV113" s="152">
        <f>INDEX($FW$2:$FW$13,$MB113)</f>
        <v/>
      </c>
      <c r="MW113" s="152">
        <f>IFERROR(MATCH($MH113,$V$2:$V$11,0),0)</f>
        <v/>
      </c>
      <c r="MX113" s="152">
        <f>IFERROR(VLOOKUP($MK113,$AV$2:$BA$84,2,FALSE),"")</f>
        <v/>
      </c>
      <c r="MY113" s="152">
        <f>IFERROR(VLOOKUP($ML113,$AV$2:$BA$84,2,FALSE),"")</f>
        <v/>
      </c>
      <c r="MZ113" s="152">
        <f>IFERROR(VLOOKUP($MM113,$AV$2:$BA$84,2,FALSE),"")</f>
        <v/>
      </c>
      <c r="NA113" s="152">
        <f>IFERROR(VLOOKUP($MN113,$AV$2:$BA$84,2,FALSE),"")</f>
        <v/>
      </c>
      <c r="NB113" s="152">
        <f>IFERROR(VLOOKUP($MK113,$AV$2:$BA$84,3,FALSE),0)</f>
        <v/>
      </c>
      <c r="NC113" s="152">
        <f>IFERROR(VLOOKUP($ML113,$AV$2:$BA$84,3,FALSE),0)</f>
        <v/>
      </c>
      <c r="ND113" s="152">
        <f>IFERROR(VLOOKUP($MM113,$AV$2:$BA$84,3,FALSE),0)</f>
        <v/>
      </c>
      <c r="NE113" s="152">
        <f>IFERROR(VLOOKUP($MN113,$AV$2:$BA$84,3,FALSE),0)</f>
        <v/>
      </c>
      <c r="NF113" s="152">
        <f>IF($MF113=0,0,IF($MW113=0,0,INDEX($X$2:$X$11,$MW113)))</f>
        <v/>
      </c>
      <c r="NG113" s="152">
        <f>IF(OR($NB113=0,$MF113=0),0,$NB113+3*IF(AND($MX113&lt;&gt;"",OR($MX113=INDEX($EF$2:$EF$13,$MB113),$MX113=INDEX($EG$2:$EG$13,$MB113))),1,0))</f>
        <v/>
      </c>
      <c r="NH113" s="152">
        <f>IF(OR($NC113=0,$MF113=0),0,$NC113+3*IF(AND($MY113&lt;&gt;"",OR($MY113=INDEX($EF$2:$EF$13,$MB113),$MY113=INDEX($EG$2:$EG$13,$MB113))),1,0))</f>
        <v/>
      </c>
      <c r="NI113" s="152">
        <f>IF(OR($ND113=0,$MF113=0),0,$ND113+3*IF(AND($MZ113&lt;&gt;"",OR($MZ113=INDEX($EF$2:$EF$13,$MB113),$MZ113=INDEX($EG$2:$EG$13,$MB113))),1,0))</f>
        <v/>
      </c>
      <c r="NJ113" s="152">
        <f>IF(OR($NE113=0,$MF113=0),0,$NE113+3*IF(AND($NA113&lt;&gt;"",OR($NA113=INDEX($EF$2:$EF$13,$MB113),$NA113=INDEX($EG$2:$EG$13,$MB113))),1,0))</f>
        <v/>
      </c>
      <c r="NK113" s="152">
        <f>IF($MW113=0,0,IF(INDEX($W$2:$W$11,$MW113)="",0,IF(COUNTIF(INDEX($EF$2:$EJ$13,$MB113,0),INDEX($W$2:$W$11,$MW113))=0,1,0)))</f>
        <v/>
      </c>
      <c r="NL113" s="152">
        <f>IF(OR($NB113=0,$MX113=""),0,IF(COUNTIF(INDEX($EF$2:$EJ$13,$MB113,0),$MX113)=0,1,0))</f>
        <v/>
      </c>
      <c r="NM113" s="152">
        <f>IF(OR($NC113=0,$MY113=""),0,IF(COUNTIF(INDEX($EF$2:$EJ$13,$MB113,0),$MY113)=0,1,0))</f>
        <v/>
      </c>
      <c r="NN113" s="152">
        <f>IF(OR($ND113=0,$MZ113=""),0,IF(COUNTIF(INDEX($EF$2:$EJ$13,$MB113,0),$MZ113)=0,1,0))</f>
        <v/>
      </c>
      <c r="NO113" s="152">
        <f>IF(OR($NE113=0,$NA113=""),0,IF(COUNTIF(INDEX($EF$2:$EJ$13,$MB113,0),$NA113)=0,1,0))</f>
        <v/>
      </c>
      <c r="NP113" s="152">
        <f>IFERROR(VLOOKUP($MK113,$AV$2:$BA$84,4,FALSE),0)+IFERROR(VLOOKUP($ML113,$AV$2:$BA$84,4,FALSE),0)+IFERROR(VLOOKUP($MM113,$AV$2:$BA$84,4,FALSE),0)+IFERROR(VLOOKUP($MN113,$AV$2:$BA$84,4,FALSE),0)</f>
        <v/>
      </c>
      <c r="NQ113" s="152">
        <f>IFERROR(VLOOKUP($MK113,$AV$2:$BA$84,6,FALSE),0)+IFERROR(VLOOKUP($ML113,$AV$2:$BA$84,6,FALSE),0)+IFERROR(VLOOKUP($MM113,$AV$2:$BA$84,6,FALSE),0)+IFERROR(VLOOKUP($MN113,$AV$2:$BA$84,6,FALSE),0)</f>
        <v/>
      </c>
      <c r="NR113" s="152">
        <f>TEXTJOIN(", ",TRUE,IF(IFERROR(VLOOKUP($MK113,$AV$2:$BA$84,5,FALSE),0)=1,$MK113,""),IF(IFERROR(VLOOKUP($ML113,$AV$2:$BA$84,5,FALSE),0)=1,$ML113,""),IF(IFERROR(VLOOKUP($MM113,$AV$2:$BA$84,5,FALSE),0)=1,$MM113,""),IF(IFERROR(VLOOKUP($MN113,$AV$2:$BA$84,5,FALSE),0)=1,$MN113,""))</f>
        <v/>
      </c>
      <c r="NS113" s="152">
        <f>IF($MW113=0,0,INDEX($Y$2:$Y$11,$MW113))</f>
        <v/>
      </c>
      <c r="NT113" s="152">
        <f>IF($MW113=0,0,INDEX($Z$2:$Z$11,$MW113))</f>
        <v/>
      </c>
      <c r="NU113" s="152">
        <f>IF($MW113=0,0,INDEX($AB$2:$AB$11,$MW113))</f>
        <v/>
      </c>
      <c r="NV113" s="152">
        <f>IFERROR(VLOOKUP($MO113,$BC$2:$BG$24,3,FALSE),0)</f>
        <v/>
      </c>
      <c r="NW113" s="152">
        <f>IFERROR(VLOOKUP($MP113,$BC$2:$BG$24,3,FALSE),0)</f>
        <v/>
      </c>
      <c r="NX113" s="152">
        <f>IFERROR(VLOOKUP($MO113,$BC$2:$BG$24,2,FALSE),"")</f>
        <v/>
      </c>
      <c r="NY113" s="152">
        <f>IFERROR(VLOOKUP($MP113,$BC$2:$BG$24,2,FALSE),"")</f>
        <v/>
      </c>
      <c r="NZ113" s="152">
        <f>COUNTIF($NF113:$NJ113,1)</f>
        <v/>
      </c>
      <c r="OA113" s="152">
        <f>COUNTIF($NF113:$NJ113,2)</f>
        <v/>
      </c>
      <c r="OB113" s="152">
        <f>COUNTIF($NF113:$NJ113,3)</f>
        <v/>
      </c>
      <c r="OC113" s="152">
        <f>COUNTIF($NF113:$NJ113,4)</f>
        <v/>
      </c>
      <c r="OD113" s="152">
        <f>COUNTIF($NF113:$NJ113,5)</f>
        <v/>
      </c>
      <c r="OE113" s="152">
        <f>COUNTIF($NF113:$NJ113,6)</f>
        <v/>
      </c>
      <c r="OF113" s="152">
        <f>COUNTIF($NV113:$NW113,1)</f>
        <v/>
      </c>
      <c r="OG113" s="152">
        <f>COUNTIF($NV113:$NW113,2)+$NS113</f>
        <v/>
      </c>
      <c r="OH113" s="152">
        <f>COUNTIF($MK113:$MN113,"?*")</f>
        <v/>
      </c>
      <c r="OI113" s="152">
        <f>COUNTIF($MO113:$MP113,"?*")+$NS113</f>
        <v/>
      </c>
      <c r="OJ113" s="152">
        <f>IF($MF113=0,0,SUMPRODUCT($NZ113:$OE113,INDEX($I$2:$N$8,MAX(1,$MF113),0)))</f>
        <v/>
      </c>
      <c r="OK113" s="152">
        <f>IF($MF113=0,0,$OF113*CEILING($MF113/2,1)+$OG113*$MF113)</f>
        <v/>
      </c>
      <c r="OL113" s="152">
        <f>MIN(2*$MF113,$OK113)</f>
        <v/>
      </c>
      <c r="OM113" s="152">
        <f>MIN($OL113,$OJ113)</f>
        <v/>
      </c>
      <c r="ON113" s="152">
        <f>$OL113-$OM113</f>
        <v/>
      </c>
      <c r="OO113" s="152">
        <f>IF($MF113=0,0,INDEX($P$2:$P$8,MAX(1,$MF113)))</f>
        <v/>
      </c>
      <c r="OP113" s="152">
        <f>$OO113-$OJ113+$OM113</f>
        <v/>
      </c>
      <c r="OQ113" s="152">
        <f>IF($MF113=0,MAX(0,$MT113-IF($OH113&gt;0,1,0)),MAX(0,$OP113))</f>
        <v/>
      </c>
      <c r="OR113" s="152">
        <f>IF($MF113=0,0,(IF(COUNTIF($MK113:$MN113,"Salto")&gt;0,1,0)+IF(COUNTIF($MK113:$MN113,"Queima")&gt;0,1,0)+IF(COUNTIF($MK113:$MN113,"Estilhaço")&gt;0,1,0))*FLOOR($OQ113/2,1))</f>
        <v/>
      </c>
      <c r="OS113" s="152">
        <f>MAX(0,2-SUMPRODUCT($NZ113:$OE113,$I$2:$N$2)+MIN(2,$OF113*1+$OG113*1,SUMPRODUCT($NZ113:$OE113,$I$2:$N$2)))</f>
        <v/>
      </c>
      <c r="OT113" s="152">
        <f>MAX(0,4-SUMPRODUCT($NZ113:$OE113,$I$3:$N$3)+MIN(4,$OF113*1+$OG113*2,SUMPRODUCT($NZ113:$OE113,$I$3:$N$3)))</f>
        <v/>
      </c>
      <c r="OU113" s="152">
        <f>MAX(0,6-SUMPRODUCT($NZ113:$OE113,$I$4:$N$4)+MIN(6,$OF113*2+$OG113*3,SUMPRODUCT($NZ113:$OE113,$I$4:$N$4)))</f>
        <v/>
      </c>
      <c r="OV113" s="152">
        <f>MAX(0,9-SUMPRODUCT($NZ113:$OE113,$I$5:$N$5)+MIN(8,$OF113*2+$OG113*4,SUMPRODUCT($NZ113:$OE113,$I$5:$N$5)))</f>
        <v/>
      </c>
      <c r="OW113" s="152">
        <f>MAX(0,11-SUMPRODUCT($NZ113:$OE113,$I$6:$N$6)+MIN(10,$OF113*3+$OG113*5,SUMPRODUCT($NZ113:$OE113,$I$6:$N$6)))</f>
        <v/>
      </c>
      <c r="OX113" s="152">
        <f>MAX(0,13-SUMPRODUCT($NZ113:$OE113,$I$7:$N$7)+MIN(12,$OF113*3+$OG113*6,SUMPRODUCT($NZ113:$OE113,$I$7:$N$7)))</f>
        <v/>
      </c>
      <c r="OY113" s="152">
        <f>MAX(0,16-SUMPRODUCT($NZ113:$OE113,$I$8:$N$8)+MIN(14,$OF113*4+$OG113*7,SUMPRODUCT($NZ113:$OE113,$I$8:$N$8)))</f>
        <v/>
      </c>
      <c r="OZ113" s="152">
        <f>IF($NT113=2,3*$OS113&amp;" de vida temp.",IF($NT113=3,"sem dano",IF($OS113=0,IF($NT113=1,"sem cura","sem dano"),IF($NT113=1,"cura ","")&amp;$OS113&amp;"d8")))</f>
        <v/>
      </c>
      <c r="PA113" s="152">
        <f>IF($NT113=2,3*$OT113&amp;" de vida temp.",IF($NT113=3,"sem dano",IF($OT113=0,IF($NT113=1,"sem cura","sem dano"),IF($NT113=1,"cura ","")&amp;$OT113&amp;"d8")))</f>
        <v/>
      </c>
      <c r="PB113" s="152">
        <f>IF($NT113=2,3*$OU113&amp;" de vida temp.",IF($NT113=3,"sem dano",IF($OU113=0,IF($NT113=1,"sem cura","sem dano"),IF($NT113=1,"cura ","")&amp;$OU113&amp;"d8")))</f>
        <v/>
      </c>
      <c r="PC113" s="152">
        <f>IF($NT113=2,3*$OV113&amp;" de vida temp.",IF($NT113=3,"sem dano",IF($OV113=0,IF($NT113=1,"sem cura","sem dano"),IF($NT113=1,"cura ","")&amp;$OV113&amp;"d8")))</f>
        <v/>
      </c>
      <c r="PD113" s="152">
        <f>IF($NT113=2,3*$OW113&amp;" de vida temp.",IF($NT113=3,"sem dano",IF($OW113=0,IF($NT113=1,"sem cura","sem dano"),IF($NT113=1,"cura ","")&amp;$OW113&amp;"d8")))</f>
        <v/>
      </c>
      <c r="PE113" s="152">
        <f>IF($NT113=2,3*$OX113&amp;" de vida temp.",IF($NT113=3,"sem dano",IF($OX113=0,IF($NT113=1,"sem cura","sem dano"),IF($NT113=1,"cura ","")&amp;$OX113&amp;"d8")))</f>
        <v/>
      </c>
      <c r="PF113" s="152">
        <f>IF($NT113=2,3*$OY113&amp;" de vida temp.",IF($NT113=3,"sem dano",IF($OY113=0,IF($NT113=1,"sem cura","sem dano"),IF($NT113=1,"cura ","")&amp;$OY113&amp;"d8")))</f>
        <v/>
      </c>
      <c r="PG113" s="152">
        <f>IF($MQ113=0,"",TEXTJOIN(" · ",TRUE,IF($MD113&gt;$MR113,"Este lugar abre no nível "&amp;$MD113,""),IF($MF113&gt;$MS113,"Classe "&amp;$MF113&amp;": o nível "&amp;$MR113&amp;" libera até a "&amp;$MS113,""),IF($NK113=1,"A Forma "&amp;$MH113&amp;" pede "&amp;INDEX($W$2:$W$11,$MW113)&amp;" aberta",""),IF(AND($MF113=0,$MW113&gt;0,IF($MW113=0,0,INDEX($AF$2:$AF$11,$MW113))=0),$MH113&amp;" não existe na Classe 0",""),IF($NL113=1,"Família Fechada: "&amp;$MK113,""),IF($NM113=1,"Família Fechada: "&amp;$ML113,""),IF($NN113=1,"Família Fechada: "&amp;$MM113,""),IF($NO113=1,"Família Fechada: "&amp;$MN113,""),IF(AND($MF113&gt;0,$OH113&gt;INDEX($O$2:$O$8,MAX(1,$MF113))),$OH113&amp;" Melhorias: a Classe "&amp;$MF113&amp;" aceita "&amp;INDEX($O$2:$O$8,MAX(1,$MF113)),""),IF(AND($MF113=0,$OH113&gt;1),"A básica aceita uma Melhoria",""),IF(AND($MF113=0,COUNTIF($NB113:$NE113,"&gt;1")&gt;0),"A básica só aceita Melhoria Leve",""),IF(AND($MF113&gt;0,$OI113&gt;2),$OI113&amp;" Restrições"&amp;IF($NS113=1,", contando a que a Forma "&amp;$MH113&amp;" já traz","")&amp;": o limite é 2",""),IF(AND($MF113=0,COUNTIF($MO113:$MP113,"?*")&gt;1),"A básica aceita uma Restrição Leve",""),IF(AND($MF113=0,COUNTIF($NV113:$NW113,2)&gt;0),"A básica só aceita Restrição Leve",""),IF(AND($MF113&gt;0,$OP113&lt;0),"Orçamento estourado: faltam "&amp;(-$OP113)&amp;IF($OP113&lt;-1," pontos"," ponto"),""),IF(IFERROR(VLOOKUP($MO113,$BC$2:$BG$24,4,FALSE),0)+IFERROR(VLOOKUP($MP113,$BC$2:$BG$24,4,FALSE),0)&gt;1,$NX113&amp;" e "&amp;$NY113&amp;" são as duas de frequência",""),IF(AND((COUNTIF($MK113:$MN113,"Rápido")+COUNTIF($NX113:$NY113,"Rápido"))&gt;0,(COUNTIF($MK113:$MN113,"Atrasar")+COUNTIF($NX113:$NY113,"Atrasar"))&gt;0),"Rápido não entra com Atrasar",""),IF(AND((COUNTIF($MK113:$MN113,"Reação")+COUNTIF($NX113:$NY113,"Reação"))&gt;0,(COUNTIF($MK113:$MN113,"Rápido")+COUNTIF($NX113:$NY113,"Rápido"))&gt;0),"Reação não entra com Rápido",""),IF(AND((COUNTIF($MK113:$MN113,"Reação")+COUNTIF($NX113:$NY113,"Reação"))&gt;0,(COUNTIF($MK113:$MN113,"Armado")+COUNTIF($NX113:$NY113,"Armado"))&gt;0),"Reação não entra com Armado",""),IF(AND((COUNTIF($MK113:$MN113,"Reação")+COUNTIF($NX113:$NY113,"Reação"))&gt;0,(COUNTIF($MK113:$MN113,"Atrasar")+COUNTIF($NX113:$NY113,"Atrasar"))&gt;0),"Reação não entra com Atrasar",""),IF(AND((COUNTIF($MK113:$MN113,"Reação")+COUNTIF($NX113:$NY113,"Reação"))&gt;0,(COUNTIF($MK113:$MN113,"Parado")+COUNTIF($NX113:$NY113,"Parado"))&gt;0),"Reação não entra com Parado",""),IF(AND((COUNTIF($MK113:$MN113,"Atrasar")+COUNTIF($NX113:$NY113,"Atrasar"))&gt;0,(COUNTIF($MK113:$MN113,"Parado")+COUNTIF($NX113:$NY113,"Parado"))&gt;0),"Atrasar não entra com Parado",""),IF(AND((COUNTIF($MK113:$MN113,"Armado")+COUNTIF($NX113:$NY113,"Armado"))&gt;0,(COUNTIF($MK113:$MN113,"Carregar")+COUNTIF($NX113:$NY113,"Carregar"))&gt;0),"Armado não entra com Carregar",""),IF(AND(COUNTIF($NX113:$NY113,"Corpo a Corpo")&gt;0,$NS113=0,OR($MH113="Cone",$MH113="Linha")),"Corpo a Corpo não entra em "&amp;$MH113,""),IF(AND(COUNTIF($NX113:$NY113,"Corpo a Corpo")&gt;0,$NS113=1),"A Forma "&amp;$MH113&amp;" já traz o Corpo a Corpo",""),IF(AND(COUNTIF($NX113:$NY113,"Tudo ou Nada")&gt;0,$NU113=0),"Tudo ou Nada só entra em habilidade de Teste de Resistência",""),IF(AND(COUNTIF($MK113:$MN113,"Inescapável")&gt;0,OR($OH113&gt;1,$OI113&gt;0)),"Inescapável não aceita outra peça",""),IF(AND($MF113&gt;0,$OQ113*IF(COUNTIF($MK113:$MN113,"Remate")&gt;0,1.25,1)+$OR113&gt;4*$MF113),($OQ113*IF(COUNTIF($MK113:$MN113,"Remate")&gt;0,1.25,1)+$OR113)&amp;" dados somando repetições"&amp;IF(COUNTIF($MK113:$MN113,"Remate")&gt;0," e o Remate","")&amp;": o teto da Classe "&amp;$MF113&amp;" é "&amp;4*$MF113,"")))</f>
        <v/>
      </c>
      <c r="PH113" s="152">
        <f>IF($PG113="",0,(LEN($PG113)-LEN(SUBSTITUTE($PG113," · ","")))/3+1)</f>
        <v/>
      </c>
      <c r="PI113" s="152">
        <f>IF($MQ113=0,"",TEXTJOIN(" · ",TRUE,IF($OK113&gt;2*$MF113,"A devolução parou no teto de "&amp;2*$MF113,""),IF($ON113&gt;0,"Devolução perdida: "&amp;$ON113&amp;IF($ON113&gt;1," pontos"," ponto")&amp;" sem peça para pagar",""),IF(AND($NP113&gt;0,AND($MF113&gt;0,$NT113=0),$OQ113=0),"Controle sem dano: uma rodada a mais e CD +2",""),IF(AND($NP113&gt;0,AND($MF113&gt;0,$NT113=0),$OQ113&gt;0,$OQ113&lt;=$MF113),"Controle com saldo até a Classe: uma rodada a mais",""),IF(AND($MF113&gt;0,$NR113&lt;&gt;""),"Efeito de "&amp;$NR113&amp;" pela Classe "&amp;MAX(1,$MF113-1),"")))</f>
        <v/>
      </c>
      <c r="PJ113" s="152">
        <f>IF($PI113="",0,(LEN($PI113)-LEN(SUBSTITUTE($PI113," · ","")))/3+1)</f>
        <v/>
      </c>
      <c r="PK113" s="152">
        <f>IF($MQ113=0,IF($OH113+COUNTIF($MO113:$MP113,"?*")&gt;0,"Dê um nome",""),IF($PH113&gt;0,"⚠ "&amp;$PH113&amp;IF($PH113&gt;1," erros"," erro"),IF($PJ113&gt;0,"! "&amp;$PJ113&amp;IF($PJ113&gt;1," avisos"," aviso"),"Na regra")))</f>
        <v/>
      </c>
      <c r="PL113" s="152">
        <f>IF($MQ113=0,"",IF($PH113+$PJ113=0,"Dentro das regras que a ficha confere",$PG113&amp;IF(AND($PH113&gt;0,$PJ113&gt;0)," · ","")&amp;$PI113))</f>
        <v/>
      </c>
      <c r="PM113" s="152">
        <f>IF($MD113&gt;$MR113,$ME113&amp;" · ABRE NO NÍVEL "&amp;$MD113,$ME113)</f>
        <v/>
      </c>
      <c r="PN113" s="152">
        <f>IF($MQ113=0,"",IF($MF113=0,"Sem PE",3*$MF113&amp;" PE"))</f>
        <v/>
      </c>
      <c r="PO113" s="152">
        <f>IF($MQ113=0,"",IF($MF113=0,"A atuação básica dela",IF(COUNTIF($NX113:$NY113,"Atrasar")&gt;0,"Sua Ação Completa",IF(COUNTIF($MK113:$MN113,"Rápido")&gt;0,"Sua Bônus",IF(COUNTIF($MK113:$MN113,"Reação")&gt;0,"Sua Reação","Sua Padrão")))&amp;" + a básica dela"&amp;IF(COUNTIF($MK113:$MN113,"Reação")&gt;0," e a coletiva","")&amp;IF(COUNTIF($NX113:$NY113,"Carregar")&gt;0," · em dois turnos","")))</f>
        <v/>
      </c>
      <c r="PP113" s="152">
        <f>IF($MJ113&lt;&gt;"",$MJ113,IF($MW113=0,"",INDEX($AA$2:$AA$11,$MW113)))</f>
        <v/>
      </c>
      <c r="PQ113" s="152">
        <f>IF(OR($MQ113=0,$MW113=0),"",IF(COUNTIF($MK113:$MN113,"Inescapável")&gt;0,"Automático",IF($PP113="Ataque",IF($MU113="","Ataque","Ataque "&amp;IF(($MU113+2*IF(COUNTIF($MK113:$MN113,"Precisão")&gt;0,1,0))&gt;=0,"+","−")&amp;ABS(($MU113+2*IF(COUNTIF($MK113:$MN113,"Precisão")&gt;0,1,0))))&amp;IF($NQ113&gt;0," · TR"&amp;IF($MV113="",""," CD "&amp;$MV113),""),IF(LEFT($PP113,2)="TR",$PP113&amp;IF($MV113="",""," · CD "&amp;$MV113)&amp;IF(COUNTIF($MK113:$MN113,"Certeiro")&gt;0," · metade",""),"Sem rolagem"))))</f>
        <v/>
      </c>
      <c r="PR113" s="152">
        <f>IF(OR($MQ113=0,$MW113=0),"",IF($MF113=0,IF(OR($NT113&gt;=1,$OQ113=0),"Sem dano",$OQ113&amp;"d6"&amp;IF($MI113="",""," "&amp;$MI113)),IF(OR($NT113&gt;=1,$OQ113=0),UPPER(LEFT(INDEX($OZ113:$PF113,1,MAX(1,$MF113)),1))&amp;MID(INDEX($OZ113:$PF113,1,MAX(1,$MF113)),2,99),UPPER(LEFT(INDEX($OZ113:$PF113,1,MAX(1,$MF113)),1))&amp;MID(INDEX($OZ113:$PF113,1,MAX(1,$MF113)),2,99)&amp;IF($MI113="",""," "&amp;$MI113)&amp;IF($OR113&gt;0," · +"&amp;$OR113&amp;"d8",""))))</f>
        <v/>
      </c>
      <c r="PS113" s="152">
        <f>COUNTIF($MK113:$MN113,"Longe")+3*COUNTIF($MK113:$MN113,"Muito Longe")</f>
        <v/>
      </c>
      <c r="PT113" s="152">
        <f>COUNTIF($MK113:$MN113,"Maior")+3*COUNTIF($MK113:$MN113,"Muito Maior")</f>
        <v/>
      </c>
      <c r="PU113" s="152">
        <f>IF($MW113=0,0,CHOOSE(1+INDEX($AC$2:$AC$11,$MW113),0,$PS113,$PT113,$PS113+$PT113))</f>
        <v/>
      </c>
      <c r="PV113" s="152">
        <f>IF($MW113=0,0,CHOOSE(1+INDEX($AD$2:$AD$11,$MW113),0,$PS113,$PT113,$PS113+$PT113))</f>
        <v/>
      </c>
      <c r="PW113" s="152">
        <f>IF(OR($MQ113=0,$MW113=0),"",INDEX($AI$2:$AN$41,($MW113-1)*4+IF($MF113=0,1,IF($MF113&lt;=5,2,IF($MF113=6,3,4))),1+MIN(5,$PU113))&amp;INDEX($AO$2:$AT$41,($MW113-1)*4+IF($MF113=0,1,IF($MF113&lt;=5,2,IF($MF113=6,3,4))),1+MIN(5,$PV113))&amp;IF(INDEX($AE$2:$AE$11,$MW113)=1,IF(COUNTIF($MK113:$MN113,"Mais Um")&gt;0," · +"&amp;COUNTIF($MK113:$MN113,"Mais Um")&amp;IF(COUNTIF($MK113:$MN113,"Mais Um")&gt;1," alvos"," alvo"),"")&amp;IF(COUNTIF($MK113:$MN113,"Rajada")&gt;0,IF($MF113=0," · 1 tiro"," · "&amp;(MAX(1,$MF113-1)+1)&amp;" tiros"),""),""))</f>
        <v/>
      </c>
      <c r="PX113" s="152">
        <f>IF($MQ113=0,"",IF($MF113=0,$MT113&amp;"d6"&amp;IF($OH113&gt;0," − 1 = "&amp;$OQ113&amp;"d6"," da básica do nível "&amp;$MR113),$OO113&amp;" − "&amp;$OJ113&amp;" + "&amp;$OM113&amp;" = "&amp;$OP113&amp;" · teto "&amp;4*$MF113&amp;"d8"&amp;IF($NS113=1," · a Forma devolve "&amp;$MF113,"")&amp;IF($ON113&gt;0," · perde "&amp;$ON113,"")))</f>
        <v/>
      </c>
      <c r="PY113" s="152">
        <f>IF($MQ113=0,"",IF($MF113=0,"A básica não amplia: os dados dela sobem com o nível",IF($MF113&gt;=$MS113,"Já está na maior Classe que o nível liberou",TEXTJOIN(" · ",TRUE,IF(AND(2&gt;$MF113,2&lt;=$MS113),"2 → "&amp;$PA113&amp;", 6 PE",""),IF(AND(3&gt;$MF113,3&lt;=$MS113),"3 → "&amp;$PB113&amp;", 9 PE",""),IF(AND(4&gt;$MF113,4&lt;=$MS113),"4 → "&amp;$PC113&amp;", 12 PE",""),IF(AND(5&gt;$MF113,5&lt;=$MS113),"5 → "&amp;$PD113&amp;", 15 PE",""),IF(AND(6&gt;$MF113,6&lt;=$MS113),"6 → "&amp;$PE113&amp;", 18 PE",""),IF(AND(7&gt;$MF113,7&lt;=$MS113),"7 → "&amp;$PF113&amp;", 21 PE","")))))</f>
        <v/>
      </c>
      <c r="PZ113" s="152">
        <f>IF(OR($MQ113=0,$NB113=0),"",IF($MF113=0,"−1 dado","−"&amp;INDEX($I$2:$N$8,MAX(1,$MF113),MAX(1,$NG113))&amp;" · "&amp;CHOOSE(MAX(1,$NG113),"Leve","Média","Pesada","Leve · Livre","Média · Livre","Pesada · Livre")))</f>
        <v/>
      </c>
      <c r="QA113" s="152">
        <f>IF(OR($MQ113=0,$NC113=0),"",IF($MF113=0,"−1 dado","−"&amp;INDEX($I$2:$N$8,MAX(1,$MF113),MAX(1,$NH113))&amp;" · "&amp;CHOOSE(MAX(1,$NH113),"Leve","Média","Pesada","Leve · Livre","Média · Livre","Pesada · Livre")))</f>
        <v/>
      </c>
      <c r="QB113" s="152">
        <f>IF(OR($MQ113=0,$ND113=0),"",IF($MF113=0,"−1 dado","−"&amp;INDEX($I$2:$N$8,MAX(1,$MF113),MAX(1,$NI113))&amp;" · "&amp;CHOOSE(MAX(1,$NI113),"Leve","Média","Pesada","Leve · Livre","Média · Livre","Pesada · Livre")))</f>
        <v/>
      </c>
      <c r="QC113" s="152">
        <f>IF(OR($MQ113=0,$NE113=0),"",IF($MF113=0,"−1 dado","−"&amp;INDEX($I$2:$N$8,MAX(1,$MF113),MAX(1,$NJ113))&amp;" · "&amp;CHOOSE(MAX(1,$NJ113),"Leve","Média","Pesada","Leve · Livre","Média · Livre","Pesada · Livre")))</f>
        <v/>
      </c>
      <c r="QD113" s="152">
        <f>IF(OR($MQ113=0,$MO113=""),"",IF($MF113=0,"não devolve","+"&amp;IF($NV113=1,CEILING($MF113/2,1),$MF113)))</f>
        <v/>
      </c>
      <c r="QE113" s="152">
        <f>IF(OR($MQ113=0,$MP113=""),"",IF($MF113=0,"não devolve","+"&amp;IF($NW113=1,CEILING($MF113/2,1),$MF113)))</f>
        <v/>
      </c>
    </row>
    <row r="114">
      <c r="MA114" s="150" t="inlineStr">
        <is>
          <t>Ficha 9 · Especial 7</t>
        </is>
      </c>
      <c r="MB114" s="152" t="n">
        <v>9</v>
      </c>
      <c r="MC114" s="152" t="n">
        <v>1</v>
      </c>
      <c r="MD114" s="152" t="n">
        <v>24</v>
      </c>
      <c r="ME114" s="150" t="inlineStr">
        <is>
          <t>ESPECIAL 7</t>
        </is>
      </c>
      <c r="MF114" s="152">
        <f>MAX(1,MIN(7,N('INVOCAÇÕES'!$AN$510)))</f>
        <v/>
      </c>
      <c r="MG114" s="152">
        <f>'INVOCAÇÕES'!$AO$510&amp;""</f>
        <v/>
      </c>
      <c r="MH114" s="152">
        <f>'INVOCAÇÕES'!$AN$515&amp;""</f>
        <v/>
      </c>
      <c r="MI114" s="152">
        <f>'INVOCAÇÕES'!$AN$516&amp;""</f>
        <v/>
      </c>
      <c r="MJ114" s="152">
        <f>'INVOCAÇÕES'!$AP$516&amp;""</f>
        <v/>
      </c>
      <c r="MK114" s="152">
        <f>'INVOCAÇÕES'!$AO$519&amp;""</f>
        <v/>
      </c>
      <c r="ML114" s="152">
        <f>'INVOCAÇÕES'!$AO$520&amp;""</f>
        <v/>
      </c>
      <c r="MM114" s="152">
        <f>'INVOCAÇÕES'!$AO$521&amp;""</f>
        <v/>
      </c>
      <c r="MN114" s="152">
        <f>'INVOCAÇÕES'!$AO$522&amp;""</f>
        <v/>
      </c>
      <c r="MO114" s="152">
        <f>'INVOCAÇÕES'!$AO$523&amp;""</f>
        <v/>
      </c>
      <c r="MP114" s="152">
        <f>'INVOCAÇÕES'!$AO$524&amp;""</f>
        <v/>
      </c>
      <c r="MQ114" s="152">
        <f>IF($MG114&lt;&gt;"",1,0)</f>
        <v/>
      </c>
      <c r="MR114" s="152">
        <f>INDEX($FI$2:$FI$13,$MB114)</f>
        <v/>
      </c>
      <c r="MS114" s="152">
        <f>INDEX($FJ$2:$FJ$13,$MB114)</f>
        <v/>
      </c>
      <c r="MT114" s="152">
        <f>INDEX($FK$2:$FK$13,$MB114)</f>
        <v/>
      </c>
      <c r="MU114" s="152">
        <f>INDEX($FV$2:$FV$13,$MB114)</f>
        <v/>
      </c>
      <c r="MV114" s="152">
        <f>INDEX($FW$2:$FW$13,$MB114)</f>
        <v/>
      </c>
      <c r="MW114" s="152">
        <f>IFERROR(MATCH($MH114,$V$2:$V$11,0),0)</f>
        <v/>
      </c>
      <c r="MX114" s="152">
        <f>IFERROR(VLOOKUP($MK114,$AV$2:$BA$84,2,FALSE),"")</f>
        <v/>
      </c>
      <c r="MY114" s="152">
        <f>IFERROR(VLOOKUP($ML114,$AV$2:$BA$84,2,FALSE),"")</f>
        <v/>
      </c>
      <c r="MZ114" s="152">
        <f>IFERROR(VLOOKUP($MM114,$AV$2:$BA$84,2,FALSE),"")</f>
        <v/>
      </c>
      <c r="NA114" s="152">
        <f>IFERROR(VLOOKUP($MN114,$AV$2:$BA$84,2,FALSE),"")</f>
        <v/>
      </c>
      <c r="NB114" s="152">
        <f>IFERROR(VLOOKUP($MK114,$AV$2:$BA$84,3,FALSE),0)</f>
        <v/>
      </c>
      <c r="NC114" s="152">
        <f>IFERROR(VLOOKUP($ML114,$AV$2:$BA$84,3,FALSE),0)</f>
        <v/>
      </c>
      <c r="ND114" s="152">
        <f>IFERROR(VLOOKUP($MM114,$AV$2:$BA$84,3,FALSE),0)</f>
        <v/>
      </c>
      <c r="NE114" s="152">
        <f>IFERROR(VLOOKUP($MN114,$AV$2:$BA$84,3,FALSE),0)</f>
        <v/>
      </c>
      <c r="NF114" s="152">
        <f>IF($MF114=0,0,IF($MW114=0,0,INDEX($X$2:$X$11,$MW114)))</f>
        <v/>
      </c>
      <c r="NG114" s="152">
        <f>IF(OR($NB114=0,$MF114=0),0,$NB114+3*IF(AND($MX114&lt;&gt;"",OR($MX114=INDEX($EF$2:$EF$13,$MB114),$MX114=INDEX($EG$2:$EG$13,$MB114))),1,0))</f>
        <v/>
      </c>
      <c r="NH114" s="152">
        <f>IF(OR($NC114=0,$MF114=0),0,$NC114+3*IF(AND($MY114&lt;&gt;"",OR($MY114=INDEX($EF$2:$EF$13,$MB114),$MY114=INDEX($EG$2:$EG$13,$MB114))),1,0))</f>
        <v/>
      </c>
      <c r="NI114" s="152">
        <f>IF(OR($ND114=0,$MF114=0),0,$ND114+3*IF(AND($MZ114&lt;&gt;"",OR($MZ114=INDEX($EF$2:$EF$13,$MB114),$MZ114=INDEX($EG$2:$EG$13,$MB114))),1,0))</f>
        <v/>
      </c>
      <c r="NJ114" s="152">
        <f>IF(OR($NE114=0,$MF114=0),0,$NE114+3*IF(AND($NA114&lt;&gt;"",OR($NA114=INDEX($EF$2:$EF$13,$MB114),$NA114=INDEX($EG$2:$EG$13,$MB114))),1,0))</f>
        <v/>
      </c>
      <c r="NK114" s="152">
        <f>IF($MW114=0,0,IF(INDEX($W$2:$W$11,$MW114)="",0,IF(COUNTIF(INDEX($EF$2:$EJ$13,$MB114,0),INDEX($W$2:$W$11,$MW114))=0,1,0)))</f>
        <v/>
      </c>
      <c r="NL114" s="152">
        <f>IF(OR($NB114=0,$MX114=""),0,IF(COUNTIF(INDEX($EF$2:$EJ$13,$MB114,0),$MX114)=0,1,0))</f>
        <v/>
      </c>
      <c r="NM114" s="152">
        <f>IF(OR($NC114=0,$MY114=""),0,IF(COUNTIF(INDEX($EF$2:$EJ$13,$MB114,0),$MY114)=0,1,0))</f>
        <v/>
      </c>
      <c r="NN114" s="152">
        <f>IF(OR($ND114=0,$MZ114=""),0,IF(COUNTIF(INDEX($EF$2:$EJ$13,$MB114,0),$MZ114)=0,1,0))</f>
        <v/>
      </c>
      <c r="NO114" s="152">
        <f>IF(OR($NE114=0,$NA114=""),0,IF(COUNTIF(INDEX($EF$2:$EJ$13,$MB114,0),$NA114)=0,1,0))</f>
        <v/>
      </c>
      <c r="NP114" s="152">
        <f>IFERROR(VLOOKUP($MK114,$AV$2:$BA$84,4,FALSE),0)+IFERROR(VLOOKUP($ML114,$AV$2:$BA$84,4,FALSE),0)+IFERROR(VLOOKUP($MM114,$AV$2:$BA$84,4,FALSE),0)+IFERROR(VLOOKUP($MN114,$AV$2:$BA$84,4,FALSE),0)</f>
        <v/>
      </c>
      <c r="NQ114" s="152">
        <f>IFERROR(VLOOKUP($MK114,$AV$2:$BA$84,6,FALSE),0)+IFERROR(VLOOKUP($ML114,$AV$2:$BA$84,6,FALSE),0)+IFERROR(VLOOKUP($MM114,$AV$2:$BA$84,6,FALSE),0)+IFERROR(VLOOKUP($MN114,$AV$2:$BA$84,6,FALSE),0)</f>
        <v/>
      </c>
      <c r="NR114" s="152">
        <f>TEXTJOIN(", ",TRUE,IF(IFERROR(VLOOKUP($MK114,$AV$2:$BA$84,5,FALSE),0)=1,$MK114,""),IF(IFERROR(VLOOKUP($ML114,$AV$2:$BA$84,5,FALSE),0)=1,$ML114,""),IF(IFERROR(VLOOKUP($MM114,$AV$2:$BA$84,5,FALSE),0)=1,$MM114,""),IF(IFERROR(VLOOKUP($MN114,$AV$2:$BA$84,5,FALSE),0)=1,$MN114,""))</f>
        <v/>
      </c>
      <c r="NS114" s="152">
        <f>IF($MW114=0,0,INDEX($Y$2:$Y$11,$MW114))</f>
        <v/>
      </c>
      <c r="NT114" s="152">
        <f>IF($MW114=0,0,INDEX($Z$2:$Z$11,$MW114))</f>
        <v/>
      </c>
      <c r="NU114" s="152">
        <f>IF($MW114=0,0,INDEX($AB$2:$AB$11,$MW114))</f>
        <v/>
      </c>
      <c r="NV114" s="152">
        <f>IFERROR(VLOOKUP($MO114,$BC$2:$BG$24,3,FALSE),0)</f>
        <v/>
      </c>
      <c r="NW114" s="152">
        <f>IFERROR(VLOOKUP($MP114,$BC$2:$BG$24,3,FALSE),0)</f>
        <v/>
      </c>
      <c r="NX114" s="152">
        <f>IFERROR(VLOOKUP($MO114,$BC$2:$BG$24,2,FALSE),"")</f>
        <v/>
      </c>
      <c r="NY114" s="152">
        <f>IFERROR(VLOOKUP($MP114,$BC$2:$BG$24,2,FALSE),"")</f>
        <v/>
      </c>
      <c r="NZ114" s="152">
        <f>COUNTIF($NF114:$NJ114,1)</f>
        <v/>
      </c>
      <c r="OA114" s="152">
        <f>COUNTIF($NF114:$NJ114,2)</f>
        <v/>
      </c>
      <c r="OB114" s="152">
        <f>COUNTIF($NF114:$NJ114,3)</f>
        <v/>
      </c>
      <c r="OC114" s="152">
        <f>COUNTIF($NF114:$NJ114,4)</f>
        <v/>
      </c>
      <c r="OD114" s="152">
        <f>COUNTIF($NF114:$NJ114,5)</f>
        <v/>
      </c>
      <c r="OE114" s="152">
        <f>COUNTIF($NF114:$NJ114,6)</f>
        <v/>
      </c>
      <c r="OF114" s="152">
        <f>COUNTIF($NV114:$NW114,1)</f>
        <v/>
      </c>
      <c r="OG114" s="152">
        <f>COUNTIF($NV114:$NW114,2)+$NS114</f>
        <v/>
      </c>
      <c r="OH114" s="152">
        <f>COUNTIF($MK114:$MN114,"?*")</f>
        <v/>
      </c>
      <c r="OI114" s="152">
        <f>COUNTIF($MO114:$MP114,"?*")+$NS114</f>
        <v/>
      </c>
      <c r="OJ114" s="152">
        <f>IF($MF114=0,0,SUMPRODUCT($NZ114:$OE114,INDEX($I$2:$N$8,MAX(1,$MF114),0)))</f>
        <v/>
      </c>
      <c r="OK114" s="152">
        <f>IF($MF114=0,0,$OF114*CEILING($MF114/2,1)+$OG114*$MF114)</f>
        <v/>
      </c>
      <c r="OL114" s="152">
        <f>MIN(2*$MF114,$OK114)</f>
        <v/>
      </c>
      <c r="OM114" s="152">
        <f>MIN($OL114,$OJ114)</f>
        <v/>
      </c>
      <c r="ON114" s="152">
        <f>$OL114-$OM114</f>
        <v/>
      </c>
      <c r="OO114" s="152">
        <f>IF($MF114=0,0,INDEX($P$2:$P$8,MAX(1,$MF114)))</f>
        <v/>
      </c>
      <c r="OP114" s="152">
        <f>$OO114-$OJ114+$OM114</f>
        <v/>
      </c>
      <c r="OQ114" s="152">
        <f>IF($MF114=0,MAX(0,$MT114-IF($OH114&gt;0,1,0)),MAX(0,$OP114))</f>
        <v/>
      </c>
      <c r="OR114" s="152">
        <f>IF($MF114=0,0,(IF(COUNTIF($MK114:$MN114,"Salto")&gt;0,1,0)+IF(COUNTIF($MK114:$MN114,"Queima")&gt;0,1,0)+IF(COUNTIF($MK114:$MN114,"Estilhaço")&gt;0,1,0))*FLOOR($OQ114/2,1))</f>
        <v/>
      </c>
      <c r="OS114" s="152">
        <f>MAX(0,2-SUMPRODUCT($NZ114:$OE114,$I$2:$N$2)+MIN(2,$OF114*1+$OG114*1,SUMPRODUCT($NZ114:$OE114,$I$2:$N$2)))</f>
        <v/>
      </c>
      <c r="OT114" s="152">
        <f>MAX(0,4-SUMPRODUCT($NZ114:$OE114,$I$3:$N$3)+MIN(4,$OF114*1+$OG114*2,SUMPRODUCT($NZ114:$OE114,$I$3:$N$3)))</f>
        <v/>
      </c>
      <c r="OU114" s="152">
        <f>MAX(0,6-SUMPRODUCT($NZ114:$OE114,$I$4:$N$4)+MIN(6,$OF114*2+$OG114*3,SUMPRODUCT($NZ114:$OE114,$I$4:$N$4)))</f>
        <v/>
      </c>
      <c r="OV114" s="152">
        <f>MAX(0,9-SUMPRODUCT($NZ114:$OE114,$I$5:$N$5)+MIN(8,$OF114*2+$OG114*4,SUMPRODUCT($NZ114:$OE114,$I$5:$N$5)))</f>
        <v/>
      </c>
      <c r="OW114" s="152">
        <f>MAX(0,11-SUMPRODUCT($NZ114:$OE114,$I$6:$N$6)+MIN(10,$OF114*3+$OG114*5,SUMPRODUCT($NZ114:$OE114,$I$6:$N$6)))</f>
        <v/>
      </c>
      <c r="OX114" s="152">
        <f>MAX(0,13-SUMPRODUCT($NZ114:$OE114,$I$7:$N$7)+MIN(12,$OF114*3+$OG114*6,SUMPRODUCT($NZ114:$OE114,$I$7:$N$7)))</f>
        <v/>
      </c>
      <c r="OY114" s="152">
        <f>MAX(0,16-SUMPRODUCT($NZ114:$OE114,$I$8:$N$8)+MIN(14,$OF114*4+$OG114*7,SUMPRODUCT($NZ114:$OE114,$I$8:$N$8)))</f>
        <v/>
      </c>
      <c r="OZ114" s="152">
        <f>IF($NT114=2,3*$OS114&amp;" de vida temp.",IF($NT114=3,"sem dano",IF($OS114=0,IF($NT114=1,"sem cura","sem dano"),IF($NT114=1,"cura ","")&amp;$OS114&amp;"d8")))</f>
        <v/>
      </c>
      <c r="PA114" s="152">
        <f>IF($NT114=2,3*$OT114&amp;" de vida temp.",IF($NT114=3,"sem dano",IF($OT114=0,IF($NT114=1,"sem cura","sem dano"),IF($NT114=1,"cura ","")&amp;$OT114&amp;"d8")))</f>
        <v/>
      </c>
      <c r="PB114" s="152">
        <f>IF($NT114=2,3*$OU114&amp;" de vida temp.",IF($NT114=3,"sem dano",IF($OU114=0,IF($NT114=1,"sem cura","sem dano"),IF($NT114=1,"cura ","")&amp;$OU114&amp;"d8")))</f>
        <v/>
      </c>
      <c r="PC114" s="152">
        <f>IF($NT114=2,3*$OV114&amp;" de vida temp.",IF($NT114=3,"sem dano",IF($OV114=0,IF($NT114=1,"sem cura","sem dano"),IF($NT114=1,"cura ","")&amp;$OV114&amp;"d8")))</f>
        <v/>
      </c>
      <c r="PD114" s="152">
        <f>IF($NT114=2,3*$OW114&amp;" de vida temp.",IF($NT114=3,"sem dano",IF($OW114=0,IF($NT114=1,"sem cura","sem dano"),IF($NT114=1,"cura ","")&amp;$OW114&amp;"d8")))</f>
        <v/>
      </c>
      <c r="PE114" s="152">
        <f>IF($NT114=2,3*$OX114&amp;" de vida temp.",IF($NT114=3,"sem dano",IF($OX114=0,IF($NT114=1,"sem cura","sem dano"),IF($NT114=1,"cura ","")&amp;$OX114&amp;"d8")))</f>
        <v/>
      </c>
      <c r="PF114" s="152">
        <f>IF($NT114=2,3*$OY114&amp;" de vida temp.",IF($NT114=3,"sem dano",IF($OY114=0,IF($NT114=1,"sem cura","sem dano"),IF($NT114=1,"cura ","")&amp;$OY114&amp;"d8")))</f>
        <v/>
      </c>
      <c r="PG114" s="152">
        <f>IF($MQ114=0,"",TEXTJOIN(" · ",TRUE,IF($MD114&gt;$MR114,"Este lugar abre no nível "&amp;$MD114,""),IF($MF114&gt;$MS114,"Classe "&amp;$MF114&amp;": o nível "&amp;$MR114&amp;" libera até a "&amp;$MS114,""),IF($NK114=1,"A Forma "&amp;$MH114&amp;" pede "&amp;INDEX($W$2:$W$11,$MW114)&amp;" aberta",""),IF(AND($MF114=0,$MW114&gt;0,IF($MW114=0,0,INDEX($AF$2:$AF$11,$MW114))=0),$MH114&amp;" não existe na Classe 0",""),IF($NL114=1,"Família Fechada: "&amp;$MK114,""),IF($NM114=1,"Família Fechada: "&amp;$ML114,""),IF($NN114=1,"Família Fechada: "&amp;$MM114,""),IF($NO114=1,"Família Fechada: "&amp;$MN114,""),IF(AND($MF114&gt;0,$OH114&gt;INDEX($O$2:$O$8,MAX(1,$MF114))),$OH114&amp;" Melhorias: a Classe "&amp;$MF114&amp;" aceita "&amp;INDEX($O$2:$O$8,MAX(1,$MF114)),""),IF(AND($MF114=0,$OH114&gt;1),"A básica aceita uma Melhoria",""),IF(AND($MF114=0,COUNTIF($NB114:$NE114,"&gt;1")&gt;0),"A básica só aceita Melhoria Leve",""),IF(AND($MF114&gt;0,$OI114&gt;2),$OI114&amp;" Restrições"&amp;IF($NS114=1,", contando a que a Forma "&amp;$MH114&amp;" já traz","")&amp;": o limite é 2",""),IF(AND($MF114=0,COUNTIF($MO114:$MP114,"?*")&gt;1),"A básica aceita uma Restrição Leve",""),IF(AND($MF114=0,COUNTIF($NV114:$NW114,2)&gt;0),"A básica só aceita Restrição Leve",""),IF(AND($MF114&gt;0,$OP114&lt;0),"Orçamento estourado: faltam "&amp;(-$OP114)&amp;IF($OP114&lt;-1," pontos"," ponto"),""),IF(IFERROR(VLOOKUP($MO114,$BC$2:$BG$24,4,FALSE),0)+IFERROR(VLOOKUP($MP114,$BC$2:$BG$24,4,FALSE),0)&gt;1,$NX114&amp;" e "&amp;$NY114&amp;" são as duas de frequência",""),IF(AND((COUNTIF($MK114:$MN114,"Rápido")+COUNTIF($NX114:$NY114,"Rápido"))&gt;0,(COUNTIF($MK114:$MN114,"Atrasar")+COUNTIF($NX114:$NY114,"Atrasar"))&gt;0),"Rápido não entra com Atrasar",""),IF(AND((COUNTIF($MK114:$MN114,"Reação")+COUNTIF($NX114:$NY114,"Reação"))&gt;0,(COUNTIF($MK114:$MN114,"Rápido")+COUNTIF($NX114:$NY114,"Rápido"))&gt;0),"Reação não entra com Rápido",""),IF(AND((COUNTIF($MK114:$MN114,"Reação")+COUNTIF($NX114:$NY114,"Reação"))&gt;0,(COUNTIF($MK114:$MN114,"Armado")+COUNTIF($NX114:$NY114,"Armado"))&gt;0),"Reação não entra com Armado",""),IF(AND((COUNTIF($MK114:$MN114,"Reação")+COUNTIF($NX114:$NY114,"Reação"))&gt;0,(COUNTIF($MK114:$MN114,"Atrasar")+COUNTIF($NX114:$NY114,"Atrasar"))&gt;0),"Reação não entra com Atrasar",""),IF(AND((COUNTIF($MK114:$MN114,"Reação")+COUNTIF($NX114:$NY114,"Reação"))&gt;0,(COUNTIF($MK114:$MN114,"Parado")+COUNTIF($NX114:$NY114,"Parado"))&gt;0),"Reação não entra com Parado",""),IF(AND((COUNTIF($MK114:$MN114,"Atrasar")+COUNTIF($NX114:$NY114,"Atrasar"))&gt;0,(COUNTIF($MK114:$MN114,"Parado")+COUNTIF($NX114:$NY114,"Parado"))&gt;0),"Atrasar não entra com Parado",""),IF(AND((COUNTIF($MK114:$MN114,"Armado")+COUNTIF($NX114:$NY114,"Armado"))&gt;0,(COUNTIF($MK114:$MN114,"Carregar")+COUNTIF($NX114:$NY114,"Carregar"))&gt;0),"Armado não entra com Carregar",""),IF(AND(COUNTIF($NX114:$NY114,"Corpo a Corpo")&gt;0,$NS114=0,OR($MH114="Cone",$MH114="Linha")),"Corpo a Corpo não entra em "&amp;$MH114,""),IF(AND(COUNTIF($NX114:$NY114,"Corpo a Corpo")&gt;0,$NS114=1),"A Forma "&amp;$MH114&amp;" já traz o Corpo a Corpo",""),IF(AND(COUNTIF($NX114:$NY114,"Tudo ou Nada")&gt;0,$NU114=0),"Tudo ou Nada só entra em habilidade de Teste de Resistência",""),IF(AND(COUNTIF($MK114:$MN114,"Inescapável")&gt;0,OR($OH114&gt;1,$OI114&gt;0)),"Inescapável não aceita outra peça",""),IF(AND($MF114&gt;0,$OQ114*IF(COUNTIF($MK114:$MN114,"Remate")&gt;0,1.25,1)+$OR114&gt;4*$MF114),($OQ114*IF(COUNTIF($MK114:$MN114,"Remate")&gt;0,1.25,1)+$OR114)&amp;" dados somando repetições"&amp;IF(COUNTIF($MK114:$MN114,"Remate")&gt;0," e o Remate","")&amp;": o teto da Classe "&amp;$MF114&amp;" é "&amp;4*$MF114,"")))</f>
        <v/>
      </c>
      <c r="PH114" s="152">
        <f>IF($PG114="",0,(LEN($PG114)-LEN(SUBSTITUTE($PG114," · ","")))/3+1)</f>
        <v/>
      </c>
      <c r="PI114" s="152">
        <f>IF($MQ114=0,"",TEXTJOIN(" · ",TRUE,IF($OK114&gt;2*$MF114,"A devolução parou no teto de "&amp;2*$MF114,""),IF($ON114&gt;0,"Devolução perdida: "&amp;$ON114&amp;IF($ON114&gt;1," pontos"," ponto")&amp;" sem peça para pagar",""),IF(AND($NP114&gt;0,AND($MF114&gt;0,$NT114=0),$OQ114=0),"Controle sem dano: uma rodada a mais e CD +2",""),IF(AND($NP114&gt;0,AND($MF114&gt;0,$NT114=0),$OQ114&gt;0,$OQ114&lt;=$MF114),"Controle com saldo até a Classe: uma rodada a mais",""),IF(AND($MF114&gt;0,$NR114&lt;&gt;""),"Efeito de "&amp;$NR114&amp;" pela Classe "&amp;MAX(1,$MF114-1),"")))</f>
        <v/>
      </c>
      <c r="PJ114" s="152">
        <f>IF($PI114="",0,(LEN($PI114)-LEN(SUBSTITUTE($PI114," · ","")))/3+1)</f>
        <v/>
      </c>
      <c r="PK114" s="152">
        <f>IF($MQ114=0,IF($OH114+COUNTIF($MO114:$MP114,"?*")&gt;0,"Dê um nome",""),IF($PH114&gt;0,"⚠ "&amp;$PH114&amp;IF($PH114&gt;1," erros"," erro"),IF($PJ114&gt;0,"! "&amp;$PJ114&amp;IF($PJ114&gt;1," avisos"," aviso"),"Na regra")))</f>
        <v/>
      </c>
      <c r="PL114" s="152">
        <f>IF($MQ114=0,"",IF($PH114+$PJ114=0,"Dentro das regras que a ficha confere",$PG114&amp;IF(AND($PH114&gt;0,$PJ114&gt;0)," · ","")&amp;$PI114))</f>
        <v/>
      </c>
      <c r="PM114" s="152">
        <f>IF($MD114&gt;$MR114,$ME114&amp;" · ABRE NO NÍVEL "&amp;$MD114,$ME114)</f>
        <v/>
      </c>
      <c r="PN114" s="152">
        <f>IF($MQ114=0,"",IF($MF114=0,"Sem PE",3*$MF114&amp;" PE"))</f>
        <v/>
      </c>
      <c r="PO114" s="152">
        <f>IF($MQ114=0,"",IF($MF114=0,"A atuação básica dela",IF(COUNTIF($NX114:$NY114,"Atrasar")&gt;0,"Sua Ação Completa",IF(COUNTIF($MK114:$MN114,"Rápido")&gt;0,"Sua Bônus",IF(COUNTIF($MK114:$MN114,"Reação")&gt;0,"Sua Reação","Sua Padrão")))&amp;" + a básica dela"&amp;IF(COUNTIF($MK114:$MN114,"Reação")&gt;0," e a coletiva","")&amp;IF(COUNTIF($NX114:$NY114,"Carregar")&gt;0," · em dois turnos","")))</f>
        <v/>
      </c>
      <c r="PP114" s="152">
        <f>IF($MJ114&lt;&gt;"",$MJ114,IF($MW114=0,"",INDEX($AA$2:$AA$11,$MW114)))</f>
        <v/>
      </c>
      <c r="PQ114" s="152">
        <f>IF(OR($MQ114=0,$MW114=0),"",IF(COUNTIF($MK114:$MN114,"Inescapável")&gt;0,"Automático",IF($PP114="Ataque",IF($MU114="","Ataque","Ataque "&amp;IF(($MU114+2*IF(COUNTIF($MK114:$MN114,"Precisão")&gt;0,1,0))&gt;=0,"+","−")&amp;ABS(($MU114+2*IF(COUNTIF($MK114:$MN114,"Precisão")&gt;0,1,0))))&amp;IF($NQ114&gt;0," · TR"&amp;IF($MV114="",""," CD "&amp;$MV114),""),IF(LEFT($PP114,2)="TR",$PP114&amp;IF($MV114="",""," · CD "&amp;$MV114)&amp;IF(COUNTIF($MK114:$MN114,"Certeiro")&gt;0," · metade",""),"Sem rolagem"))))</f>
        <v/>
      </c>
      <c r="PR114" s="152">
        <f>IF(OR($MQ114=0,$MW114=0),"",IF($MF114=0,IF(OR($NT114&gt;=1,$OQ114=0),"Sem dano",$OQ114&amp;"d6"&amp;IF($MI114="",""," "&amp;$MI114)),IF(OR($NT114&gt;=1,$OQ114=0),UPPER(LEFT(INDEX($OZ114:$PF114,1,MAX(1,$MF114)),1))&amp;MID(INDEX($OZ114:$PF114,1,MAX(1,$MF114)),2,99),UPPER(LEFT(INDEX($OZ114:$PF114,1,MAX(1,$MF114)),1))&amp;MID(INDEX($OZ114:$PF114,1,MAX(1,$MF114)),2,99)&amp;IF($MI114="",""," "&amp;$MI114)&amp;IF($OR114&gt;0," · +"&amp;$OR114&amp;"d8",""))))</f>
        <v/>
      </c>
      <c r="PS114" s="152">
        <f>COUNTIF($MK114:$MN114,"Longe")+3*COUNTIF($MK114:$MN114,"Muito Longe")</f>
        <v/>
      </c>
      <c r="PT114" s="152">
        <f>COUNTIF($MK114:$MN114,"Maior")+3*COUNTIF($MK114:$MN114,"Muito Maior")</f>
        <v/>
      </c>
      <c r="PU114" s="152">
        <f>IF($MW114=0,0,CHOOSE(1+INDEX($AC$2:$AC$11,$MW114),0,$PS114,$PT114,$PS114+$PT114))</f>
        <v/>
      </c>
      <c r="PV114" s="152">
        <f>IF($MW114=0,0,CHOOSE(1+INDEX($AD$2:$AD$11,$MW114),0,$PS114,$PT114,$PS114+$PT114))</f>
        <v/>
      </c>
      <c r="PW114" s="152">
        <f>IF(OR($MQ114=0,$MW114=0),"",INDEX($AI$2:$AN$41,($MW114-1)*4+IF($MF114=0,1,IF($MF114&lt;=5,2,IF($MF114=6,3,4))),1+MIN(5,$PU114))&amp;INDEX($AO$2:$AT$41,($MW114-1)*4+IF($MF114=0,1,IF($MF114&lt;=5,2,IF($MF114=6,3,4))),1+MIN(5,$PV114))&amp;IF(INDEX($AE$2:$AE$11,$MW114)=1,IF(COUNTIF($MK114:$MN114,"Mais Um")&gt;0," · +"&amp;COUNTIF($MK114:$MN114,"Mais Um")&amp;IF(COUNTIF($MK114:$MN114,"Mais Um")&gt;1," alvos"," alvo"),"")&amp;IF(COUNTIF($MK114:$MN114,"Rajada")&gt;0,IF($MF114=0," · 1 tiro"," · "&amp;(MAX(1,$MF114-1)+1)&amp;" tiros"),""),""))</f>
        <v/>
      </c>
      <c r="PX114" s="152">
        <f>IF($MQ114=0,"",IF($MF114=0,$MT114&amp;"d6"&amp;IF($OH114&gt;0," − 1 = "&amp;$OQ114&amp;"d6"," da básica do nível "&amp;$MR114),$OO114&amp;" − "&amp;$OJ114&amp;" + "&amp;$OM114&amp;" = "&amp;$OP114&amp;" · teto "&amp;4*$MF114&amp;"d8"&amp;IF($NS114=1," · a Forma devolve "&amp;$MF114,"")&amp;IF($ON114&gt;0," · perde "&amp;$ON114,"")))</f>
        <v/>
      </c>
      <c r="PY114" s="152">
        <f>IF($MQ114=0,"",IF($MF114=0,"A básica não amplia: os dados dela sobem com o nível",IF($MF114&gt;=$MS114,"Já está na maior Classe que o nível liberou",TEXTJOIN(" · ",TRUE,IF(AND(2&gt;$MF114,2&lt;=$MS114),"2 → "&amp;$PA114&amp;", 6 PE",""),IF(AND(3&gt;$MF114,3&lt;=$MS114),"3 → "&amp;$PB114&amp;", 9 PE",""),IF(AND(4&gt;$MF114,4&lt;=$MS114),"4 → "&amp;$PC114&amp;", 12 PE",""),IF(AND(5&gt;$MF114,5&lt;=$MS114),"5 → "&amp;$PD114&amp;", 15 PE",""),IF(AND(6&gt;$MF114,6&lt;=$MS114),"6 → "&amp;$PE114&amp;", 18 PE",""),IF(AND(7&gt;$MF114,7&lt;=$MS114),"7 → "&amp;$PF114&amp;", 21 PE","")))))</f>
        <v/>
      </c>
      <c r="PZ114" s="152">
        <f>IF(OR($MQ114=0,$NB114=0),"",IF($MF114=0,"−1 dado","−"&amp;INDEX($I$2:$N$8,MAX(1,$MF114),MAX(1,$NG114))&amp;" · "&amp;CHOOSE(MAX(1,$NG114),"Leve","Média","Pesada","Leve · Livre","Média · Livre","Pesada · Livre")))</f>
        <v/>
      </c>
      <c r="QA114" s="152">
        <f>IF(OR($MQ114=0,$NC114=0),"",IF($MF114=0,"−1 dado","−"&amp;INDEX($I$2:$N$8,MAX(1,$MF114),MAX(1,$NH114))&amp;" · "&amp;CHOOSE(MAX(1,$NH114),"Leve","Média","Pesada","Leve · Livre","Média · Livre","Pesada · Livre")))</f>
        <v/>
      </c>
      <c r="QB114" s="152">
        <f>IF(OR($MQ114=0,$ND114=0),"",IF($MF114=0,"−1 dado","−"&amp;INDEX($I$2:$N$8,MAX(1,$MF114),MAX(1,$NI114))&amp;" · "&amp;CHOOSE(MAX(1,$NI114),"Leve","Média","Pesada","Leve · Livre","Média · Livre","Pesada · Livre")))</f>
        <v/>
      </c>
      <c r="QC114" s="152">
        <f>IF(OR($MQ114=0,$NE114=0),"",IF($MF114=0,"−1 dado","−"&amp;INDEX($I$2:$N$8,MAX(1,$MF114),MAX(1,$NJ114))&amp;" · "&amp;CHOOSE(MAX(1,$NJ114),"Leve","Média","Pesada","Leve · Livre","Média · Livre","Pesada · Livre")))</f>
        <v/>
      </c>
      <c r="QD114" s="152">
        <f>IF(OR($MQ114=0,$MO114=""),"",IF($MF114=0,"não devolve","+"&amp;IF($NV114=1,CEILING($MF114/2,1),$MF114)))</f>
        <v/>
      </c>
      <c r="QE114" s="152">
        <f>IF(OR($MQ114=0,$MP114=""),"",IF($MF114=0,"não devolve","+"&amp;IF($NW114=1,CEILING($MF114/2,1),$MF114)))</f>
        <v/>
      </c>
    </row>
    <row r="115">
      <c r="MA115" s="150" t="inlineStr">
        <is>
          <t>Ficha 9 · Especial 8</t>
        </is>
      </c>
      <c r="MB115" s="152" t="n">
        <v>9</v>
      </c>
      <c r="MC115" s="152" t="n">
        <v>1</v>
      </c>
      <c r="MD115" s="152" t="n">
        <v>28</v>
      </c>
      <c r="ME115" s="150" t="inlineStr">
        <is>
          <t>ESPECIAL 8</t>
        </is>
      </c>
      <c r="MF115" s="152">
        <f>MAX(1,MIN(7,N('INVOCAÇÕES'!$AB$532)))</f>
        <v/>
      </c>
      <c r="MG115" s="152">
        <f>'INVOCAÇÕES'!$AC$532&amp;""</f>
        <v/>
      </c>
      <c r="MH115" s="152">
        <f>'INVOCAÇÕES'!$AB$537&amp;""</f>
        <v/>
      </c>
      <c r="MI115" s="152">
        <f>'INVOCAÇÕES'!$AB$538&amp;""</f>
        <v/>
      </c>
      <c r="MJ115" s="152">
        <f>'INVOCAÇÕES'!$AD$538&amp;""</f>
        <v/>
      </c>
      <c r="MK115" s="152">
        <f>'INVOCAÇÕES'!$AC$541&amp;""</f>
        <v/>
      </c>
      <c r="ML115" s="152">
        <f>'INVOCAÇÕES'!$AC$542&amp;""</f>
        <v/>
      </c>
      <c r="MM115" s="152">
        <f>'INVOCAÇÕES'!$AC$543&amp;""</f>
        <v/>
      </c>
      <c r="MN115" s="152">
        <f>'INVOCAÇÕES'!$AC$544&amp;""</f>
        <v/>
      </c>
      <c r="MO115" s="152">
        <f>'INVOCAÇÕES'!$AC$545&amp;""</f>
        <v/>
      </c>
      <c r="MP115" s="152">
        <f>'INVOCAÇÕES'!$AC$546&amp;""</f>
        <v/>
      </c>
      <c r="MQ115" s="152">
        <f>IF($MG115&lt;&gt;"",1,0)</f>
        <v/>
      </c>
      <c r="MR115" s="152">
        <f>INDEX($FI$2:$FI$13,$MB115)</f>
        <v/>
      </c>
      <c r="MS115" s="152">
        <f>INDEX($FJ$2:$FJ$13,$MB115)</f>
        <v/>
      </c>
      <c r="MT115" s="152">
        <f>INDEX($FK$2:$FK$13,$MB115)</f>
        <v/>
      </c>
      <c r="MU115" s="152">
        <f>INDEX($FV$2:$FV$13,$MB115)</f>
        <v/>
      </c>
      <c r="MV115" s="152">
        <f>INDEX($FW$2:$FW$13,$MB115)</f>
        <v/>
      </c>
      <c r="MW115" s="152">
        <f>IFERROR(MATCH($MH115,$V$2:$V$11,0),0)</f>
        <v/>
      </c>
      <c r="MX115" s="152">
        <f>IFERROR(VLOOKUP($MK115,$AV$2:$BA$84,2,FALSE),"")</f>
        <v/>
      </c>
      <c r="MY115" s="152">
        <f>IFERROR(VLOOKUP($ML115,$AV$2:$BA$84,2,FALSE),"")</f>
        <v/>
      </c>
      <c r="MZ115" s="152">
        <f>IFERROR(VLOOKUP($MM115,$AV$2:$BA$84,2,FALSE),"")</f>
        <v/>
      </c>
      <c r="NA115" s="152">
        <f>IFERROR(VLOOKUP($MN115,$AV$2:$BA$84,2,FALSE),"")</f>
        <v/>
      </c>
      <c r="NB115" s="152">
        <f>IFERROR(VLOOKUP($MK115,$AV$2:$BA$84,3,FALSE),0)</f>
        <v/>
      </c>
      <c r="NC115" s="152">
        <f>IFERROR(VLOOKUP($ML115,$AV$2:$BA$84,3,FALSE),0)</f>
        <v/>
      </c>
      <c r="ND115" s="152">
        <f>IFERROR(VLOOKUP($MM115,$AV$2:$BA$84,3,FALSE),0)</f>
        <v/>
      </c>
      <c r="NE115" s="152">
        <f>IFERROR(VLOOKUP($MN115,$AV$2:$BA$84,3,FALSE),0)</f>
        <v/>
      </c>
      <c r="NF115" s="152">
        <f>IF($MF115=0,0,IF($MW115=0,0,INDEX($X$2:$X$11,$MW115)))</f>
        <v/>
      </c>
      <c r="NG115" s="152">
        <f>IF(OR($NB115=0,$MF115=0),0,$NB115+3*IF(AND($MX115&lt;&gt;"",OR($MX115=INDEX($EF$2:$EF$13,$MB115),$MX115=INDEX($EG$2:$EG$13,$MB115))),1,0))</f>
        <v/>
      </c>
      <c r="NH115" s="152">
        <f>IF(OR($NC115=0,$MF115=0),0,$NC115+3*IF(AND($MY115&lt;&gt;"",OR($MY115=INDEX($EF$2:$EF$13,$MB115),$MY115=INDEX($EG$2:$EG$13,$MB115))),1,0))</f>
        <v/>
      </c>
      <c r="NI115" s="152">
        <f>IF(OR($ND115=0,$MF115=0),0,$ND115+3*IF(AND($MZ115&lt;&gt;"",OR($MZ115=INDEX($EF$2:$EF$13,$MB115),$MZ115=INDEX($EG$2:$EG$13,$MB115))),1,0))</f>
        <v/>
      </c>
      <c r="NJ115" s="152">
        <f>IF(OR($NE115=0,$MF115=0),0,$NE115+3*IF(AND($NA115&lt;&gt;"",OR($NA115=INDEX($EF$2:$EF$13,$MB115),$NA115=INDEX($EG$2:$EG$13,$MB115))),1,0))</f>
        <v/>
      </c>
      <c r="NK115" s="152">
        <f>IF($MW115=0,0,IF(INDEX($W$2:$W$11,$MW115)="",0,IF(COUNTIF(INDEX($EF$2:$EJ$13,$MB115,0),INDEX($W$2:$W$11,$MW115))=0,1,0)))</f>
        <v/>
      </c>
      <c r="NL115" s="152">
        <f>IF(OR($NB115=0,$MX115=""),0,IF(COUNTIF(INDEX($EF$2:$EJ$13,$MB115,0),$MX115)=0,1,0))</f>
        <v/>
      </c>
      <c r="NM115" s="152">
        <f>IF(OR($NC115=0,$MY115=""),0,IF(COUNTIF(INDEX($EF$2:$EJ$13,$MB115,0),$MY115)=0,1,0))</f>
        <v/>
      </c>
      <c r="NN115" s="152">
        <f>IF(OR($ND115=0,$MZ115=""),0,IF(COUNTIF(INDEX($EF$2:$EJ$13,$MB115,0),$MZ115)=0,1,0))</f>
        <v/>
      </c>
      <c r="NO115" s="152">
        <f>IF(OR($NE115=0,$NA115=""),0,IF(COUNTIF(INDEX($EF$2:$EJ$13,$MB115,0),$NA115)=0,1,0))</f>
        <v/>
      </c>
      <c r="NP115" s="152">
        <f>IFERROR(VLOOKUP($MK115,$AV$2:$BA$84,4,FALSE),0)+IFERROR(VLOOKUP($ML115,$AV$2:$BA$84,4,FALSE),0)+IFERROR(VLOOKUP($MM115,$AV$2:$BA$84,4,FALSE),0)+IFERROR(VLOOKUP($MN115,$AV$2:$BA$84,4,FALSE),0)</f>
        <v/>
      </c>
      <c r="NQ115" s="152">
        <f>IFERROR(VLOOKUP($MK115,$AV$2:$BA$84,6,FALSE),0)+IFERROR(VLOOKUP($ML115,$AV$2:$BA$84,6,FALSE),0)+IFERROR(VLOOKUP($MM115,$AV$2:$BA$84,6,FALSE),0)+IFERROR(VLOOKUP($MN115,$AV$2:$BA$84,6,FALSE),0)</f>
        <v/>
      </c>
      <c r="NR115" s="152">
        <f>TEXTJOIN(", ",TRUE,IF(IFERROR(VLOOKUP($MK115,$AV$2:$BA$84,5,FALSE),0)=1,$MK115,""),IF(IFERROR(VLOOKUP($ML115,$AV$2:$BA$84,5,FALSE),0)=1,$ML115,""),IF(IFERROR(VLOOKUP($MM115,$AV$2:$BA$84,5,FALSE),0)=1,$MM115,""),IF(IFERROR(VLOOKUP($MN115,$AV$2:$BA$84,5,FALSE),0)=1,$MN115,""))</f>
        <v/>
      </c>
      <c r="NS115" s="152">
        <f>IF($MW115=0,0,INDEX($Y$2:$Y$11,$MW115))</f>
        <v/>
      </c>
      <c r="NT115" s="152">
        <f>IF($MW115=0,0,INDEX($Z$2:$Z$11,$MW115))</f>
        <v/>
      </c>
      <c r="NU115" s="152">
        <f>IF($MW115=0,0,INDEX($AB$2:$AB$11,$MW115))</f>
        <v/>
      </c>
      <c r="NV115" s="152">
        <f>IFERROR(VLOOKUP($MO115,$BC$2:$BG$24,3,FALSE),0)</f>
        <v/>
      </c>
      <c r="NW115" s="152">
        <f>IFERROR(VLOOKUP($MP115,$BC$2:$BG$24,3,FALSE),0)</f>
        <v/>
      </c>
      <c r="NX115" s="152">
        <f>IFERROR(VLOOKUP($MO115,$BC$2:$BG$24,2,FALSE),"")</f>
        <v/>
      </c>
      <c r="NY115" s="152">
        <f>IFERROR(VLOOKUP($MP115,$BC$2:$BG$24,2,FALSE),"")</f>
        <v/>
      </c>
      <c r="NZ115" s="152">
        <f>COUNTIF($NF115:$NJ115,1)</f>
        <v/>
      </c>
      <c r="OA115" s="152">
        <f>COUNTIF($NF115:$NJ115,2)</f>
        <v/>
      </c>
      <c r="OB115" s="152">
        <f>COUNTIF($NF115:$NJ115,3)</f>
        <v/>
      </c>
      <c r="OC115" s="152">
        <f>COUNTIF($NF115:$NJ115,4)</f>
        <v/>
      </c>
      <c r="OD115" s="152">
        <f>COUNTIF($NF115:$NJ115,5)</f>
        <v/>
      </c>
      <c r="OE115" s="152">
        <f>COUNTIF($NF115:$NJ115,6)</f>
        <v/>
      </c>
      <c r="OF115" s="152">
        <f>COUNTIF($NV115:$NW115,1)</f>
        <v/>
      </c>
      <c r="OG115" s="152">
        <f>COUNTIF($NV115:$NW115,2)+$NS115</f>
        <v/>
      </c>
      <c r="OH115" s="152">
        <f>COUNTIF($MK115:$MN115,"?*")</f>
        <v/>
      </c>
      <c r="OI115" s="152">
        <f>COUNTIF($MO115:$MP115,"?*")+$NS115</f>
        <v/>
      </c>
      <c r="OJ115" s="152">
        <f>IF($MF115=0,0,SUMPRODUCT($NZ115:$OE115,INDEX($I$2:$N$8,MAX(1,$MF115),0)))</f>
        <v/>
      </c>
      <c r="OK115" s="152">
        <f>IF($MF115=0,0,$OF115*CEILING($MF115/2,1)+$OG115*$MF115)</f>
        <v/>
      </c>
      <c r="OL115" s="152">
        <f>MIN(2*$MF115,$OK115)</f>
        <v/>
      </c>
      <c r="OM115" s="152">
        <f>MIN($OL115,$OJ115)</f>
        <v/>
      </c>
      <c r="ON115" s="152">
        <f>$OL115-$OM115</f>
        <v/>
      </c>
      <c r="OO115" s="152">
        <f>IF($MF115=0,0,INDEX($P$2:$P$8,MAX(1,$MF115)))</f>
        <v/>
      </c>
      <c r="OP115" s="152">
        <f>$OO115-$OJ115+$OM115</f>
        <v/>
      </c>
      <c r="OQ115" s="152">
        <f>IF($MF115=0,MAX(0,$MT115-IF($OH115&gt;0,1,0)),MAX(0,$OP115))</f>
        <v/>
      </c>
      <c r="OR115" s="152">
        <f>IF($MF115=0,0,(IF(COUNTIF($MK115:$MN115,"Salto")&gt;0,1,0)+IF(COUNTIF($MK115:$MN115,"Queima")&gt;0,1,0)+IF(COUNTIF($MK115:$MN115,"Estilhaço")&gt;0,1,0))*FLOOR($OQ115/2,1))</f>
        <v/>
      </c>
      <c r="OS115" s="152">
        <f>MAX(0,2-SUMPRODUCT($NZ115:$OE115,$I$2:$N$2)+MIN(2,$OF115*1+$OG115*1,SUMPRODUCT($NZ115:$OE115,$I$2:$N$2)))</f>
        <v/>
      </c>
      <c r="OT115" s="152">
        <f>MAX(0,4-SUMPRODUCT($NZ115:$OE115,$I$3:$N$3)+MIN(4,$OF115*1+$OG115*2,SUMPRODUCT($NZ115:$OE115,$I$3:$N$3)))</f>
        <v/>
      </c>
      <c r="OU115" s="152">
        <f>MAX(0,6-SUMPRODUCT($NZ115:$OE115,$I$4:$N$4)+MIN(6,$OF115*2+$OG115*3,SUMPRODUCT($NZ115:$OE115,$I$4:$N$4)))</f>
        <v/>
      </c>
      <c r="OV115" s="152">
        <f>MAX(0,9-SUMPRODUCT($NZ115:$OE115,$I$5:$N$5)+MIN(8,$OF115*2+$OG115*4,SUMPRODUCT($NZ115:$OE115,$I$5:$N$5)))</f>
        <v/>
      </c>
      <c r="OW115" s="152">
        <f>MAX(0,11-SUMPRODUCT($NZ115:$OE115,$I$6:$N$6)+MIN(10,$OF115*3+$OG115*5,SUMPRODUCT($NZ115:$OE115,$I$6:$N$6)))</f>
        <v/>
      </c>
      <c r="OX115" s="152">
        <f>MAX(0,13-SUMPRODUCT($NZ115:$OE115,$I$7:$N$7)+MIN(12,$OF115*3+$OG115*6,SUMPRODUCT($NZ115:$OE115,$I$7:$N$7)))</f>
        <v/>
      </c>
      <c r="OY115" s="152">
        <f>MAX(0,16-SUMPRODUCT($NZ115:$OE115,$I$8:$N$8)+MIN(14,$OF115*4+$OG115*7,SUMPRODUCT($NZ115:$OE115,$I$8:$N$8)))</f>
        <v/>
      </c>
      <c r="OZ115" s="152">
        <f>IF($NT115=2,3*$OS115&amp;" de vida temp.",IF($NT115=3,"sem dano",IF($OS115=0,IF($NT115=1,"sem cura","sem dano"),IF($NT115=1,"cura ","")&amp;$OS115&amp;"d8")))</f>
        <v/>
      </c>
      <c r="PA115" s="152">
        <f>IF($NT115=2,3*$OT115&amp;" de vida temp.",IF($NT115=3,"sem dano",IF($OT115=0,IF($NT115=1,"sem cura","sem dano"),IF($NT115=1,"cura ","")&amp;$OT115&amp;"d8")))</f>
        <v/>
      </c>
      <c r="PB115" s="152">
        <f>IF($NT115=2,3*$OU115&amp;" de vida temp.",IF($NT115=3,"sem dano",IF($OU115=0,IF($NT115=1,"sem cura","sem dano"),IF($NT115=1,"cura ","")&amp;$OU115&amp;"d8")))</f>
        <v/>
      </c>
      <c r="PC115" s="152">
        <f>IF($NT115=2,3*$OV115&amp;" de vida temp.",IF($NT115=3,"sem dano",IF($OV115=0,IF($NT115=1,"sem cura","sem dano"),IF($NT115=1,"cura ","")&amp;$OV115&amp;"d8")))</f>
        <v/>
      </c>
      <c r="PD115" s="152">
        <f>IF($NT115=2,3*$OW115&amp;" de vida temp.",IF($NT115=3,"sem dano",IF($OW115=0,IF($NT115=1,"sem cura","sem dano"),IF($NT115=1,"cura ","")&amp;$OW115&amp;"d8")))</f>
        <v/>
      </c>
      <c r="PE115" s="152">
        <f>IF($NT115=2,3*$OX115&amp;" de vida temp.",IF($NT115=3,"sem dano",IF($OX115=0,IF($NT115=1,"sem cura","sem dano"),IF($NT115=1,"cura ","")&amp;$OX115&amp;"d8")))</f>
        <v/>
      </c>
      <c r="PF115" s="152">
        <f>IF($NT115=2,3*$OY115&amp;" de vida temp.",IF($NT115=3,"sem dano",IF($OY115=0,IF($NT115=1,"sem cura","sem dano"),IF($NT115=1,"cura ","")&amp;$OY115&amp;"d8")))</f>
        <v/>
      </c>
      <c r="PG115" s="152">
        <f>IF($MQ115=0,"",TEXTJOIN(" · ",TRUE,IF($MD115&gt;$MR115,"Este lugar abre no nível "&amp;$MD115,""),IF($MF115&gt;$MS115,"Classe "&amp;$MF115&amp;": o nível "&amp;$MR115&amp;" libera até a "&amp;$MS115,""),IF($NK115=1,"A Forma "&amp;$MH115&amp;" pede "&amp;INDEX($W$2:$W$11,$MW115)&amp;" aberta",""),IF(AND($MF115=0,$MW115&gt;0,IF($MW115=0,0,INDEX($AF$2:$AF$11,$MW115))=0),$MH115&amp;" não existe na Classe 0",""),IF($NL115=1,"Família Fechada: "&amp;$MK115,""),IF($NM115=1,"Família Fechada: "&amp;$ML115,""),IF($NN115=1,"Família Fechada: "&amp;$MM115,""),IF($NO115=1,"Família Fechada: "&amp;$MN115,""),IF(AND($MF115&gt;0,$OH115&gt;INDEX($O$2:$O$8,MAX(1,$MF115))),$OH115&amp;" Melhorias: a Classe "&amp;$MF115&amp;" aceita "&amp;INDEX($O$2:$O$8,MAX(1,$MF115)),""),IF(AND($MF115=0,$OH115&gt;1),"A básica aceita uma Melhoria",""),IF(AND($MF115=0,COUNTIF($NB115:$NE115,"&gt;1")&gt;0),"A básica só aceita Melhoria Leve",""),IF(AND($MF115&gt;0,$OI115&gt;2),$OI115&amp;" Restrições"&amp;IF($NS115=1,", contando a que a Forma "&amp;$MH115&amp;" já traz","")&amp;": o limite é 2",""),IF(AND($MF115=0,COUNTIF($MO115:$MP115,"?*")&gt;1),"A básica aceita uma Restrição Leve",""),IF(AND($MF115=0,COUNTIF($NV115:$NW115,2)&gt;0),"A básica só aceita Restrição Leve",""),IF(AND($MF115&gt;0,$OP115&lt;0),"Orçamento estourado: faltam "&amp;(-$OP115)&amp;IF($OP115&lt;-1," pontos"," ponto"),""),IF(IFERROR(VLOOKUP($MO115,$BC$2:$BG$24,4,FALSE),0)+IFERROR(VLOOKUP($MP115,$BC$2:$BG$24,4,FALSE),0)&gt;1,$NX115&amp;" e "&amp;$NY115&amp;" são as duas de frequência",""),IF(AND((COUNTIF($MK115:$MN115,"Rápido")+COUNTIF($NX115:$NY115,"Rápido"))&gt;0,(COUNTIF($MK115:$MN115,"Atrasar")+COUNTIF($NX115:$NY115,"Atrasar"))&gt;0),"Rápido não entra com Atrasar",""),IF(AND((COUNTIF($MK115:$MN115,"Reação")+COUNTIF($NX115:$NY115,"Reação"))&gt;0,(COUNTIF($MK115:$MN115,"Rápido")+COUNTIF($NX115:$NY115,"Rápido"))&gt;0),"Reação não entra com Rápido",""),IF(AND((COUNTIF($MK115:$MN115,"Reação")+COUNTIF($NX115:$NY115,"Reação"))&gt;0,(COUNTIF($MK115:$MN115,"Armado")+COUNTIF($NX115:$NY115,"Armado"))&gt;0),"Reação não entra com Armado",""),IF(AND((COUNTIF($MK115:$MN115,"Reação")+COUNTIF($NX115:$NY115,"Reação"))&gt;0,(COUNTIF($MK115:$MN115,"Atrasar")+COUNTIF($NX115:$NY115,"Atrasar"))&gt;0),"Reação não entra com Atrasar",""),IF(AND((COUNTIF($MK115:$MN115,"Reação")+COUNTIF($NX115:$NY115,"Reação"))&gt;0,(COUNTIF($MK115:$MN115,"Parado")+COUNTIF($NX115:$NY115,"Parado"))&gt;0),"Reação não entra com Parado",""),IF(AND((COUNTIF($MK115:$MN115,"Atrasar")+COUNTIF($NX115:$NY115,"Atrasar"))&gt;0,(COUNTIF($MK115:$MN115,"Parado")+COUNTIF($NX115:$NY115,"Parado"))&gt;0),"Atrasar não entra com Parado",""),IF(AND((COUNTIF($MK115:$MN115,"Armado")+COUNTIF($NX115:$NY115,"Armado"))&gt;0,(COUNTIF($MK115:$MN115,"Carregar")+COUNTIF($NX115:$NY115,"Carregar"))&gt;0),"Armado não entra com Carregar",""),IF(AND(COUNTIF($NX115:$NY115,"Corpo a Corpo")&gt;0,$NS115=0,OR($MH115="Cone",$MH115="Linha")),"Corpo a Corpo não entra em "&amp;$MH115,""),IF(AND(COUNTIF($NX115:$NY115,"Corpo a Corpo")&gt;0,$NS115=1),"A Forma "&amp;$MH115&amp;" já traz o Corpo a Corpo",""),IF(AND(COUNTIF($NX115:$NY115,"Tudo ou Nada")&gt;0,$NU115=0),"Tudo ou Nada só entra em habilidade de Teste de Resistência",""),IF(AND(COUNTIF($MK115:$MN115,"Inescapável")&gt;0,OR($OH115&gt;1,$OI115&gt;0)),"Inescapável não aceita outra peça",""),IF(AND($MF115&gt;0,$OQ115*IF(COUNTIF($MK115:$MN115,"Remate")&gt;0,1.25,1)+$OR115&gt;4*$MF115),($OQ115*IF(COUNTIF($MK115:$MN115,"Remate")&gt;0,1.25,1)+$OR115)&amp;" dados somando repetições"&amp;IF(COUNTIF($MK115:$MN115,"Remate")&gt;0," e o Remate","")&amp;": o teto da Classe "&amp;$MF115&amp;" é "&amp;4*$MF115,"")))</f>
        <v/>
      </c>
      <c r="PH115" s="152">
        <f>IF($PG115="",0,(LEN($PG115)-LEN(SUBSTITUTE($PG115," · ","")))/3+1)</f>
        <v/>
      </c>
      <c r="PI115" s="152">
        <f>IF($MQ115=0,"",TEXTJOIN(" · ",TRUE,IF($OK115&gt;2*$MF115,"A devolução parou no teto de "&amp;2*$MF115,""),IF($ON115&gt;0,"Devolução perdida: "&amp;$ON115&amp;IF($ON115&gt;1," pontos"," ponto")&amp;" sem peça para pagar",""),IF(AND($NP115&gt;0,AND($MF115&gt;0,$NT115=0),$OQ115=0),"Controle sem dano: uma rodada a mais e CD +2",""),IF(AND($NP115&gt;0,AND($MF115&gt;0,$NT115=0),$OQ115&gt;0,$OQ115&lt;=$MF115),"Controle com saldo até a Classe: uma rodada a mais",""),IF(AND($MF115&gt;0,$NR115&lt;&gt;""),"Efeito de "&amp;$NR115&amp;" pela Classe "&amp;MAX(1,$MF115-1),"")))</f>
        <v/>
      </c>
      <c r="PJ115" s="152">
        <f>IF($PI115="",0,(LEN($PI115)-LEN(SUBSTITUTE($PI115," · ","")))/3+1)</f>
        <v/>
      </c>
      <c r="PK115" s="152">
        <f>IF($MQ115=0,IF($OH115+COUNTIF($MO115:$MP115,"?*")&gt;0,"Dê um nome",""),IF($PH115&gt;0,"⚠ "&amp;$PH115&amp;IF($PH115&gt;1," erros"," erro"),IF($PJ115&gt;0,"! "&amp;$PJ115&amp;IF($PJ115&gt;1," avisos"," aviso"),"Na regra")))</f>
        <v/>
      </c>
      <c r="PL115" s="152">
        <f>IF($MQ115=0,"",IF($PH115+$PJ115=0,"Dentro das regras que a ficha confere",$PG115&amp;IF(AND($PH115&gt;0,$PJ115&gt;0)," · ","")&amp;$PI115))</f>
        <v/>
      </c>
      <c r="PM115" s="152">
        <f>IF($MD115&gt;$MR115,$ME115&amp;" · ABRE NO NÍVEL "&amp;$MD115,$ME115)</f>
        <v/>
      </c>
      <c r="PN115" s="152">
        <f>IF($MQ115=0,"",IF($MF115=0,"Sem PE",3*$MF115&amp;" PE"))</f>
        <v/>
      </c>
      <c r="PO115" s="152">
        <f>IF($MQ115=0,"",IF($MF115=0,"A atuação básica dela",IF(COUNTIF($NX115:$NY115,"Atrasar")&gt;0,"Sua Ação Completa",IF(COUNTIF($MK115:$MN115,"Rápido")&gt;0,"Sua Bônus",IF(COUNTIF($MK115:$MN115,"Reação")&gt;0,"Sua Reação","Sua Padrão")))&amp;" + a básica dela"&amp;IF(COUNTIF($MK115:$MN115,"Reação")&gt;0," e a coletiva","")&amp;IF(COUNTIF($NX115:$NY115,"Carregar")&gt;0," · em dois turnos","")))</f>
        <v/>
      </c>
      <c r="PP115" s="152">
        <f>IF($MJ115&lt;&gt;"",$MJ115,IF($MW115=0,"",INDEX($AA$2:$AA$11,$MW115)))</f>
        <v/>
      </c>
      <c r="PQ115" s="152">
        <f>IF(OR($MQ115=0,$MW115=0),"",IF(COUNTIF($MK115:$MN115,"Inescapável")&gt;0,"Automático",IF($PP115="Ataque",IF($MU115="","Ataque","Ataque "&amp;IF(($MU115+2*IF(COUNTIF($MK115:$MN115,"Precisão")&gt;0,1,0))&gt;=0,"+","−")&amp;ABS(($MU115+2*IF(COUNTIF($MK115:$MN115,"Precisão")&gt;0,1,0))))&amp;IF($NQ115&gt;0," · TR"&amp;IF($MV115="",""," CD "&amp;$MV115),""),IF(LEFT($PP115,2)="TR",$PP115&amp;IF($MV115="",""," · CD "&amp;$MV115)&amp;IF(COUNTIF($MK115:$MN115,"Certeiro")&gt;0," · metade",""),"Sem rolagem"))))</f>
        <v/>
      </c>
      <c r="PR115" s="152">
        <f>IF(OR($MQ115=0,$MW115=0),"",IF($MF115=0,IF(OR($NT115&gt;=1,$OQ115=0),"Sem dano",$OQ115&amp;"d6"&amp;IF($MI115="",""," "&amp;$MI115)),IF(OR($NT115&gt;=1,$OQ115=0),UPPER(LEFT(INDEX($OZ115:$PF115,1,MAX(1,$MF115)),1))&amp;MID(INDEX($OZ115:$PF115,1,MAX(1,$MF115)),2,99),UPPER(LEFT(INDEX($OZ115:$PF115,1,MAX(1,$MF115)),1))&amp;MID(INDEX($OZ115:$PF115,1,MAX(1,$MF115)),2,99)&amp;IF($MI115="",""," "&amp;$MI115)&amp;IF($OR115&gt;0," · +"&amp;$OR115&amp;"d8",""))))</f>
        <v/>
      </c>
      <c r="PS115" s="152">
        <f>COUNTIF($MK115:$MN115,"Longe")+3*COUNTIF($MK115:$MN115,"Muito Longe")</f>
        <v/>
      </c>
      <c r="PT115" s="152">
        <f>COUNTIF($MK115:$MN115,"Maior")+3*COUNTIF($MK115:$MN115,"Muito Maior")</f>
        <v/>
      </c>
      <c r="PU115" s="152">
        <f>IF($MW115=0,0,CHOOSE(1+INDEX($AC$2:$AC$11,$MW115),0,$PS115,$PT115,$PS115+$PT115))</f>
        <v/>
      </c>
      <c r="PV115" s="152">
        <f>IF($MW115=0,0,CHOOSE(1+INDEX($AD$2:$AD$11,$MW115),0,$PS115,$PT115,$PS115+$PT115))</f>
        <v/>
      </c>
      <c r="PW115" s="152">
        <f>IF(OR($MQ115=0,$MW115=0),"",INDEX($AI$2:$AN$41,($MW115-1)*4+IF($MF115=0,1,IF($MF115&lt;=5,2,IF($MF115=6,3,4))),1+MIN(5,$PU115))&amp;INDEX($AO$2:$AT$41,($MW115-1)*4+IF($MF115=0,1,IF($MF115&lt;=5,2,IF($MF115=6,3,4))),1+MIN(5,$PV115))&amp;IF(INDEX($AE$2:$AE$11,$MW115)=1,IF(COUNTIF($MK115:$MN115,"Mais Um")&gt;0," · +"&amp;COUNTIF($MK115:$MN115,"Mais Um")&amp;IF(COUNTIF($MK115:$MN115,"Mais Um")&gt;1," alvos"," alvo"),"")&amp;IF(COUNTIF($MK115:$MN115,"Rajada")&gt;0,IF($MF115=0," · 1 tiro"," · "&amp;(MAX(1,$MF115-1)+1)&amp;" tiros"),""),""))</f>
        <v/>
      </c>
      <c r="PX115" s="152">
        <f>IF($MQ115=0,"",IF($MF115=0,$MT115&amp;"d6"&amp;IF($OH115&gt;0," − 1 = "&amp;$OQ115&amp;"d6"," da básica do nível "&amp;$MR115),$OO115&amp;" − "&amp;$OJ115&amp;" + "&amp;$OM115&amp;" = "&amp;$OP115&amp;" · teto "&amp;4*$MF115&amp;"d8"&amp;IF($NS115=1," · a Forma devolve "&amp;$MF115,"")&amp;IF($ON115&gt;0," · perde "&amp;$ON115,"")))</f>
        <v/>
      </c>
      <c r="PY115" s="152">
        <f>IF($MQ115=0,"",IF($MF115=0,"A básica não amplia: os dados dela sobem com o nível",IF($MF115&gt;=$MS115,"Já está na maior Classe que o nível liberou",TEXTJOIN(" · ",TRUE,IF(AND(2&gt;$MF115,2&lt;=$MS115),"2 → "&amp;$PA115&amp;", 6 PE",""),IF(AND(3&gt;$MF115,3&lt;=$MS115),"3 → "&amp;$PB115&amp;", 9 PE",""),IF(AND(4&gt;$MF115,4&lt;=$MS115),"4 → "&amp;$PC115&amp;", 12 PE",""),IF(AND(5&gt;$MF115,5&lt;=$MS115),"5 → "&amp;$PD115&amp;", 15 PE",""),IF(AND(6&gt;$MF115,6&lt;=$MS115),"6 → "&amp;$PE115&amp;", 18 PE",""),IF(AND(7&gt;$MF115,7&lt;=$MS115),"7 → "&amp;$PF115&amp;", 21 PE","")))))</f>
        <v/>
      </c>
      <c r="PZ115" s="152">
        <f>IF(OR($MQ115=0,$NB115=0),"",IF($MF115=0,"−1 dado","−"&amp;INDEX($I$2:$N$8,MAX(1,$MF115),MAX(1,$NG115))&amp;" · "&amp;CHOOSE(MAX(1,$NG115),"Leve","Média","Pesada","Leve · Livre","Média · Livre","Pesada · Livre")))</f>
        <v/>
      </c>
      <c r="QA115" s="152">
        <f>IF(OR($MQ115=0,$NC115=0),"",IF($MF115=0,"−1 dado","−"&amp;INDEX($I$2:$N$8,MAX(1,$MF115),MAX(1,$NH115))&amp;" · "&amp;CHOOSE(MAX(1,$NH115),"Leve","Média","Pesada","Leve · Livre","Média · Livre","Pesada · Livre")))</f>
        <v/>
      </c>
      <c r="QB115" s="152">
        <f>IF(OR($MQ115=0,$ND115=0),"",IF($MF115=0,"−1 dado","−"&amp;INDEX($I$2:$N$8,MAX(1,$MF115),MAX(1,$NI115))&amp;" · "&amp;CHOOSE(MAX(1,$NI115),"Leve","Média","Pesada","Leve · Livre","Média · Livre","Pesada · Livre")))</f>
        <v/>
      </c>
      <c r="QC115" s="152">
        <f>IF(OR($MQ115=0,$NE115=0),"",IF($MF115=0,"−1 dado","−"&amp;INDEX($I$2:$N$8,MAX(1,$MF115),MAX(1,$NJ115))&amp;" · "&amp;CHOOSE(MAX(1,$NJ115),"Leve","Média","Pesada","Leve · Livre","Média · Livre","Pesada · Livre")))</f>
        <v/>
      </c>
      <c r="QD115" s="152">
        <f>IF(OR($MQ115=0,$MO115=""),"",IF($MF115=0,"não devolve","+"&amp;IF($NV115=1,CEILING($MF115/2,1),$MF115)))</f>
        <v/>
      </c>
      <c r="QE115" s="152">
        <f>IF(OR($MQ115=0,$MP115=""),"",IF($MF115=0,"não devolve","+"&amp;IF($NW115=1,CEILING($MF115/2,1),$MF115)))</f>
        <v/>
      </c>
    </row>
    <row r="116">
      <c r="MA116" s="150" t="inlineStr">
        <is>
          <t>Ficha 9 · Escolha da trilha 1</t>
        </is>
      </c>
      <c r="MB116" s="152" t="n">
        <v>9</v>
      </c>
      <c r="MC116" s="152" t="n">
        <v>2</v>
      </c>
      <c r="MD116" s="152" t="n">
        <v>0</v>
      </c>
      <c r="ME116" s="150" t="inlineStr">
        <is>
          <t>ESCOLHA DA TRILHA 1</t>
        </is>
      </c>
      <c r="MF116" s="152">
        <f>MAX(0,MIN(7,N('INVOCAÇÕES'!$AB$556)))</f>
        <v/>
      </c>
      <c r="MG116" s="152">
        <f>'INVOCAÇÕES'!$AC$556&amp;""</f>
        <v/>
      </c>
      <c r="MH116" s="152">
        <f>'INVOCAÇÕES'!$AB$561&amp;""</f>
        <v/>
      </c>
      <c r="MI116" s="152">
        <f>'INVOCAÇÕES'!$AB$562&amp;""</f>
        <v/>
      </c>
      <c r="MJ116" s="152">
        <f>'INVOCAÇÕES'!$AD$562&amp;""</f>
        <v/>
      </c>
      <c r="MK116" s="152">
        <f>'INVOCAÇÕES'!$AC$565&amp;""</f>
        <v/>
      </c>
      <c r="ML116" s="152">
        <f>'INVOCAÇÕES'!$AC$566&amp;""</f>
        <v/>
      </c>
      <c r="MM116" s="152">
        <f>'INVOCAÇÕES'!$AC$567&amp;""</f>
        <v/>
      </c>
      <c r="MN116" s="152">
        <f>'INVOCAÇÕES'!$AC$568&amp;""</f>
        <v/>
      </c>
      <c r="MO116" s="152">
        <f>'INVOCAÇÕES'!$AC$569&amp;""</f>
        <v/>
      </c>
      <c r="MP116" s="152">
        <f>'INVOCAÇÕES'!$AC$570&amp;""</f>
        <v/>
      </c>
      <c r="MQ116" s="152">
        <f>IF($MG116&lt;&gt;"",1,0)</f>
        <v/>
      </c>
      <c r="MR116" s="152">
        <f>INDEX($FI$2:$FI$13,$MB116)</f>
        <v/>
      </c>
      <c r="MS116" s="152">
        <f>INDEX($FJ$2:$FJ$13,$MB116)</f>
        <v/>
      </c>
      <c r="MT116" s="152">
        <f>INDEX($FK$2:$FK$13,$MB116)</f>
        <v/>
      </c>
      <c r="MU116" s="152">
        <f>INDEX($FV$2:$FV$13,$MB116)</f>
        <v/>
      </c>
      <c r="MV116" s="152">
        <f>INDEX($FW$2:$FW$13,$MB116)</f>
        <v/>
      </c>
      <c r="MW116" s="152">
        <f>IFERROR(MATCH($MH116,$V$2:$V$11,0),0)</f>
        <v/>
      </c>
      <c r="MX116" s="152">
        <f>IFERROR(VLOOKUP($MK116,$AV$2:$BA$84,2,FALSE),"")</f>
        <v/>
      </c>
      <c r="MY116" s="152">
        <f>IFERROR(VLOOKUP($ML116,$AV$2:$BA$84,2,FALSE),"")</f>
        <v/>
      </c>
      <c r="MZ116" s="152">
        <f>IFERROR(VLOOKUP($MM116,$AV$2:$BA$84,2,FALSE),"")</f>
        <v/>
      </c>
      <c r="NA116" s="152">
        <f>IFERROR(VLOOKUP($MN116,$AV$2:$BA$84,2,FALSE),"")</f>
        <v/>
      </c>
      <c r="NB116" s="152">
        <f>IFERROR(VLOOKUP($MK116,$AV$2:$BA$84,3,FALSE),0)</f>
        <v/>
      </c>
      <c r="NC116" s="152">
        <f>IFERROR(VLOOKUP($ML116,$AV$2:$BA$84,3,FALSE),0)</f>
        <v/>
      </c>
      <c r="ND116" s="152">
        <f>IFERROR(VLOOKUP($MM116,$AV$2:$BA$84,3,FALSE),0)</f>
        <v/>
      </c>
      <c r="NE116" s="152">
        <f>IFERROR(VLOOKUP($MN116,$AV$2:$BA$84,3,FALSE),0)</f>
        <v/>
      </c>
      <c r="NF116" s="152">
        <f>IF($MF116=0,0,IF($MW116=0,0,INDEX($X$2:$X$11,$MW116)))</f>
        <v/>
      </c>
      <c r="NG116" s="152">
        <f>IF(OR($NB116=0,$MF116=0),0,$NB116+3*IF(AND($MX116&lt;&gt;"",OR($MX116=INDEX($EF$2:$EF$13,$MB116),$MX116=INDEX($EG$2:$EG$13,$MB116))),1,0))</f>
        <v/>
      </c>
      <c r="NH116" s="152">
        <f>IF(OR($NC116=0,$MF116=0),0,$NC116+3*IF(AND($MY116&lt;&gt;"",OR($MY116=INDEX($EF$2:$EF$13,$MB116),$MY116=INDEX($EG$2:$EG$13,$MB116))),1,0))</f>
        <v/>
      </c>
      <c r="NI116" s="152">
        <f>IF(OR($ND116=0,$MF116=0),0,$ND116+3*IF(AND($MZ116&lt;&gt;"",OR($MZ116=INDEX($EF$2:$EF$13,$MB116),$MZ116=INDEX($EG$2:$EG$13,$MB116))),1,0))</f>
        <v/>
      </c>
      <c r="NJ116" s="152">
        <f>IF(OR($NE116=0,$MF116=0),0,$NE116+3*IF(AND($NA116&lt;&gt;"",OR($NA116=INDEX($EF$2:$EF$13,$MB116),$NA116=INDEX($EG$2:$EG$13,$MB116))),1,0))</f>
        <v/>
      </c>
      <c r="NK116" s="152">
        <f>IF($MW116=0,0,IF(INDEX($W$2:$W$11,$MW116)="",0,IF(COUNTIF(INDEX($EF$2:$EJ$13,$MB116,0),INDEX($W$2:$W$11,$MW116))=0,1,0)))</f>
        <v/>
      </c>
      <c r="NL116" s="152">
        <f>IF(OR($NB116=0,$MX116=""),0,IF(COUNTIF(INDEX($EF$2:$EJ$13,$MB116,0),$MX116)=0,1,0))</f>
        <v/>
      </c>
      <c r="NM116" s="152">
        <f>IF(OR($NC116=0,$MY116=""),0,IF(COUNTIF(INDEX($EF$2:$EJ$13,$MB116,0),$MY116)=0,1,0))</f>
        <v/>
      </c>
      <c r="NN116" s="152">
        <f>IF(OR($ND116=0,$MZ116=""),0,IF(COUNTIF(INDEX($EF$2:$EJ$13,$MB116,0),$MZ116)=0,1,0))</f>
        <v/>
      </c>
      <c r="NO116" s="152">
        <f>IF(OR($NE116=0,$NA116=""),0,IF(COUNTIF(INDEX($EF$2:$EJ$13,$MB116,0),$NA116)=0,1,0))</f>
        <v/>
      </c>
      <c r="NP116" s="152">
        <f>IFERROR(VLOOKUP($MK116,$AV$2:$BA$84,4,FALSE),0)+IFERROR(VLOOKUP($ML116,$AV$2:$BA$84,4,FALSE),0)+IFERROR(VLOOKUP($MM116,$AV$2:$BA$84,4,FALSE),0)+IFERROR(VLOOKUP($MN116,$AV$2:$BA$84,4,FALSE),0)</f>
        <v/>
      </c>
      <c r="NQ116" s="152">
        <f>IFERROR(VLOOKUP($MK116,$AV$2:$BA$84,6,FALSE),0)+IFERROR(VLOOKUP($ML116,$AV$2:$BA$84,6,FALSE),0)+IFERROR(VLOOKUP($MM116,$AV$2:$BA$84,6,FALSE),0)+IFERROR(VLOOKUP($MN116,$AV$2:$BA$84,6,FALSE),0)</f>
        <v/>
      </c>
      <c r="NR116" s="152">
        <f>TEXTJOIN(", ",TRUE,IF(IFERROR(VLOOKUP($MK116,$AV$2:$BA$84,5,FALSE),0)=1,$MK116,""),IF(IFERROR(VLOOKUP($ML116,$AV$2:$BA$84,5,FALSE),0)=1,$ML116,""),IF(IFERROR(VLOOKUP($MM116,$AV$2:$BA$84,5,FALSE),0)=1,$MM116,""),IF(IFERROR(VLOOKUP($MN116,$AV$2:$BA$84,5,FALSE),0)=1,$MN116,""))</f>
        <v/>
      </c>
      <c r="NS116" s="152">
        <f>IF($MW116=0,0,INDEX($Y$2:$Y$11,$MW116))</f>
        <v/>
      </c>
      <c r="NT116" s="152">
        <f>IF($MW116=0,0,INDEX($Z$2:$Z$11,$MW116))</f>
        <v/>
      </c>
      <c r="NU116" s="152">
        <f>IF($MW116=0,0,INDEX($AB$2:$AB$11,$MW116))</f>
        <v/>
      </c>
      <c r="NV116" s="152">
        <f>IFERROR(VLOOKUP($MO116,$BC$2:$BG$24,3,FALSE),0)</f>
        <v/>
      </c>
      <c r="NW116" s="152">
        <f>IFERROR(VLOOKUP($MP116,$BC$2:$BG$24,3,FALSE),0)</f>
        <v/>
      </c>
      <c r="NX116" s="152">
        <f>IFERROR(VLOOKUP($MO116,$BC$2:$BG$24,2,FALSE),"")</f>
        <v/>
      </c>
      <c r="NY116" s="152">
        <f>IFERROR(VLOOKUP($MP116,$BC$2:$BG$24,2,FALSE),"")</f>
        <v/>
      </c>
      <c r="NZ116" s="152">
        <f>COUNTIF($NF116:$NJ116,1)</f>
        <v/>
      </c>
      <c r="OA116" s="152">
        <f>COUNTIF($NF116:$NJ116,2)</f>
        <v/>
      </c>
      <c r="OB116" s="152">
        <f>COUNTIF($NF116:$NJ116,3)</f>
        <v/>
      </c>
      <c r="OC116" s="152">
        <f>COUNTIF($NF116:$NJ116,4)</f>
        <v/>
      </c>
      <c r="OD116" s="152">
        <f>COUNTIF($NF116:$NJ116,5)</f>
        <v/>
      </c>
      <c r="OE116" s="152">
        <f>COUNTIF($NF116:$NJ116,6)</f>
        <v/>
      </c>
      <c r="OF116" s="152">
        <f>COUNTIF($NV116:$NW116,1)</f>
        <v/>
      </c>
      <c r="OG116" s="152">
        <f>COUNTIF($NV116:$NW116,2)+$NS116</f>
        <v/>
      </c>
      <c r="OH116" s="152">
        <f>COUNTIF($MK116:$MN116,"?*")</f>
        <v/>
      </c>
      <c r="OI116" s="152">
        <f>COUNTIF($MO116:$MP116,"?*")+$NS116</f>
        <v/>
      </c>
      <c r="OJ116" s="152">
        <f>IF($MF116=0,0,SUMPRODUCT($NZ116:$OE116,INDEX($I$2:$N$8,MAX(1,$MF116),0)))</f>
        <v/>
      </c>
      <c r="OK116" s="152">
        <f>IF($MF116=0,0,$OF116*CEILING($MF116/2,1)+$OG116*$MF116)</f>
        <v/>
      </c>
      <c r="OL116" s="152">
        <f>MIN(2*$MF116,$OK116)</f>
        <v/>
      </c>
      <c r="OM116" s="152">
        <f>MIN($OL116,$OJ116)</f>
        <v/>
      </c>
      <c r="ON116" s="152">
        <f>$OL116-$OM116</f>
        <v/>
      </c>
      <c r="OO116" s="152">
        <f>IF($MF116=0,0,INDEX($P$2:$P$8,MAX(1,$MF116)))</f>
        <v/>
      </c>
      <c r="OP116" s="152">
        <f>$OO116-$OJ116+$OM116</f>
        <v/>
      </c>
      <c r="OQ116" s="152">
        <f>IF($MF116=0,MAX(0,$MT116-IF($OH116&gt;0,1,0)),MAX(0,$OP116))</f>
        <v/>
      </c>
      <c r="OR116" s="152">
        <f>IF($MF116=0,0,(IF(COUNTIF($MK116:$MN116,"Salto")&gt;0,1,0)+IF(COUNTIF($MK116:$MN116,"Queima")&gt;0,1,0)+IF(COUNTIF($MK116:$MN116,"Estilhaço")&gt;0,1,0))*FLOOR($OQ116/2,1))</f>
        <v/>
      </c>
      <c r="OS116" s="152">
        <f>MAX(0,2-SUMPRODUCT($NZ116:$OE116,$I$2:$N$2)+MIN(2,$OF116*1+$OG116*1,SUMPRODUCT($NZ116:$OE116,$I$2:$N$2)))</f>
        <v/>
      </c>
      <c r="OT116" s="152">
        <f>MAX(0,4-SUMPRODUCT($NZ116:$OE116,$I$3:$N$3)+MIN(4,$OF116*1+$OG116*2,SUMPRODUCT($NZ116:$OE116,$I$3:$N$3)))</f>
        <v/>
      </c>
      <c r="OU116" s="152">
        <f>MAX(0,6-SUMPRODUCT($NZ116:$OE116,$I$4:$N$4)+MIN(6,$OF116*2+$OG116*3,SUMPRODUCT($NZ116:$OE116,$I$4:$N$4)))</f>
        <v/>
      </c>
      <c r="OV116" s="152">
        <f>MAX(0,9-SUMPRODUCT($NZ116:$OE116,$I$5:$N$5)+MIN(8,$OF116*2+$OG116*4,SUMPRODUCT($NZ116:$OE116,$I$5:$N$5)))</f>
        <v/>
      </c>
      <c r="OW116" s="152">
        <f>MAX(0,11-SUMPRODUCT($NZ116:$OE116,$I$6:$N$6)+MIN(10,$OF116*3+$OG116*5,SUMPRODUCT($NZ116:$OE116,$I$6:$N$6)))</f>
        <v/>
      </c>
      <c r="OX116" s="152">
        <f>MAX(0,13-SUMPRODUCT($NZ116:$OE116,$I$7:$N$7)+MIN(12,$OF116*3+$OG116*6,SUMPRODUCT($NZ116:$OE116,$I$7:$N$7)))</f>
        <v/>
      </c>
      <c r="OY116" s="152">
        <f>MAX(0,16-SUMPRODUCT($NZ116:$OE116,$I$8:$N$8)+MIN(14,$OF116*4+$OG116*7,SUMPRODUCT($NZ116:$OE116,$I$8:$N$8)))</f>
        <v/>
      </c>
      <c r="OZ116" s="152">
        <f>IF($NT116=2,3*$OS116&amp;" de vida temp.",IF($NT116=3,"sem dano",IF($OS116=0,IF($NT116=1,"sem cura","sem dano"),IF($NT116=1,"cura ","")&amp;$OS116&amp;"d8")))</f>
        <v/>
      </c>
      <c r="PA116" s="152">
        <f>IF($NT116=2,3*$OT116&amp;" de vida temp.",IF($NT116=3,"sem dano",IF($OT116=0,IF($NT116=1,"sem cura","sem dano"),IF($NT116=1,"cura ","")&amp;$OT116&amp;"d8")))</f>
        <v/>
      </c>
      <c r="PB116" s="152">
        <f>IF($NT116=2,3*$OU116&amp;" de vida temp.",IF($NT116=3,"sem dano",IF($OU116=0,IF($NT116=1,"sem cura","sem dano"),IF($NT116=1,"cura ","")&amp;$OU116&amp;"d8")))</f>
        <v/>
      </c>
      <c r="PC116" s="152">
        <f>IF($NT116=2,3*$OV116&amp;" de vida temp.",IF($NT116=3,"sem dano",IF($OV116=0,IF($NT116=1,"sem cura","sem dano"),IF($NT116=1,"cura ","")&amp;$OV116&amp;"d8")))</f>
        <v/>
      </c>
      <c r="PD116" s="152">
        <f>IF($NT116=2,3*$OW116&amp;" de vida temp.",IF($NT116=3,"sem dano",IF($OW116=0,IF($NT116=1,"sem cura","sem dano"),IF($NT116=1,"cura ","")&amp;$OW116&amp;"d8")))</f>
        <v/>
      </c>
      <c r="PE116" s="152">
        <f>IF($NT116=2,3*$OX116&amp;" de vida temp.",IF($NT116=3,"sem dano",IF($OX116=0,IF($NT116=1,"sem cura","sem dano"),IF($NT116=1,"cura ","")&amp;$OX116&amp;"d8")))</f>
        <v/>
      </c>
      <c r="PF116" s="152">
        <f>IF($NT116=2,3*$OY116&amp;" de vida temp.",IF($NT116=3,"sem dano",IF($OY116=0,IF($NT116=1,"sem cura","sem dano"),IF($NT116=1,"cura ","")&amp;$OY116&amp;"d8")))</f>
        <v/>
      </c>
      <c r="PG116" s="152">
        <f>IF($MQ116=0,"",TEXTJOIN(" · ",TRUE,IF($MD116&gt;$MR116,"Este lugar abre no nível "&amp;$MD116,""),IF($MF116&gt;$MS116,"Classe "&amp;$MF116&amp;": o nível "&amp;$MR116&amp;" libera até a "&amp;$MS116,""),IF($NK116=1,"A Forma "&amp;$MH116&amp;" pede "&amp;INDEX($W$2:$W$11,$MW116)&amp;" aberta",""),IF(AND($MF116=0,$MW116&gt;0,IF($MW116=0,0,INDEX($AF$2:$AF$11,$MW116))=0),$MH116&amp;" não existe na Classe 0",""),IF($NL116=1,"Família Fechada: "&amp;$MK116,""),IF($NM116=1,"Família Fechada: "&amp;$ML116,""),IF($NN116=1,"Família Fechada: "&amp;$MM116,""),IF($NO116=1,"Família Fechada: "&amp;$MN116,""),IF(AND($MF116&gt;0,$OH116&gt;INDEX($O$2:$O$8,MAX(1,$MF116))),$OH116&amp;" Melhorias: a Classe "&amp;$MF116&amp;" aceita "&amp;INDEX($O$2:$O$8,MAX(1,$MF116)),""),IF(AND($MF116=0,$OH116&gt;1),"A básica aceita uma Melhoria",""),IF(AND($MF116=0,COUNTIF($NB116:$NE116,"&gt;1")&gt;0),"A básica só aceita Melhoria Leve",""),IF(AND($MF116&gt;0,$OI116&gt;2),$OI116&amp;" Restrições"&amp;IF($NS116=1,", contando a que a Forma "&amp;$MH116&amp;" já traz","")&amp;": o limite é 2",""),IF(AND($MF116=0,COUNTIF($MO116:$MP116,"?*")&gt;1),"A básica aceita uma Restrição Leve",""),IF(AND($MF116=0,COUNTIF($NV116:$NW116,2)&gt;0),"A básica só aceita Restrição Leve",""),IF(AND($MF116&gt;0,$OP116&lt;0),"Orçamento estourado: faltam "&amp;(-$OP116)&amp;IF($OP116&lt;-1," pontos"," ponto"),""),IF(IFERROR(VLOOKUP($MO116,$BC$2:$BG$24,4,FALSE),0)+IFERROR(VLOOKUP($MP116,$BC$2:$BG$24,4,FALSE),0)&gt;1,$NX116&amp;" e "&amp;$NY116&amp;" são as duas de frequência",""),IF(AND((COUNTIF($MK116:$MN116,"Rápido")+COUNTIF($NX116:$NY116,"Rápido"))&gt;0,(COUNTIF($MK116:$MN116,"Atrasar")+COUNTIF($NX116:$NY116,"Atrasar"))&gt;0),"Rápido não entra com Atrasar",""),IF(AND((COUNTIF($MK116:$MN116,"Reação")+COUNTIF($NX116:$NY116,"Reação"))&gt;0,(COUNTIF($MK116:$MN116,"Rápido")+COUNTIF($NX116:$NY116,"Rápido"))&gt;0),"Reação não entra com Rápido",""),IF(AND((COUNTIF($MK116:$MN116,"Reação")+COUNTIF($NX116:$NY116,"Reação"))&gt;0,(COUNTIF($MK116:$MN116,"Armado")+COUNTIF($NX116:$NY116,"Armado"))&gt;0),"Reação não entra com Armado",""),IF(AND((COUNTIF($MK116:$MN116,"Reação")+COUNTIF($NX116:$NY116,"Reação"))&gt;0,(COUNTIF($MK116:$MN116,"Atrasar")+COUNTIF($NX116:$NY116,"Atrasar"))&gt;0),"Reação não entra com Atrasar",""),IF(AND((COUNTIF($MK116:$MN116,"Reação")+COUNTIF($NX116:$NY116,"Reação"))&gt;0,(COUNTIF($MK116:$MN116,"Parado")+COUNTIF($NX116:$NY116,"Parado"))&gt;0),"Reação não entra com Parado",""),IF(AND((COUNTIF($MK116:$MN116,"Atrasar")+COUNTIF($NX116:$NY116,"Atrasar"))&gt;0,(COUNTIF($MK116:$MN116,"Parado")+COUNTIF($NX116:$NY116,"Parado"))&gt;0),"Atrasar não entra com Parado",""),IF(AND((COUNTIF($MK116:$MN116,"Armado")+COUNTIF($NX116:$NY116,"Armado"))&gt;0,(COUNTIF($MK116:$MN116,"Carregar")+COUNTIF($NX116:$NY116,"Carregar"))&gt;0),"Armado não entra com Carregar",""),IF(AND(COUNTIF($NX116:$NY116,"Corpo a Corpo")&gt;0,$NS116=0,OR($MH116="Cone",$MH116="Linha")),"Corpo a Corpo não entra em "&amp;$MH116,""),IF(AND(COUNTIF($NX116:$NY116,"Corpo a Corpo")&gt;0,$NS116=1),"A Forma "&amp;$MH116&amp;" já traz o Corpo a Corpo",""),IF(AND(COUNTIF($NX116:$NY116,"Tudo ou Nada")&gt;0,$NU116=0),"Tudo ou Nada só entra em habilidade de Teste de Resistência",""),IF(AND(COUNTIF($MK116:$MN116,"Inescapável")&gt;0,OR($OH116&gt;1,$OI116&gt;0)),"Inescapável não aceita outra peça",""),IF(AND($MF116&gt;0,$OQ116*IF(COUNTIF($MK116:$MN116,"Remate")&gt;0,1.25,1)+$OR116&gt;4*$MF116),($OQ116*IF(COUNTIF($MK116:$MN116,"Remate")&gt;0,1.25,1)+$OR116)&amp;" dados somando repetições"&amp;IF(COUNTIF($MK116:$MN116,"Remate")&gt;0," e o Remate","")&amp;": o teto da Classe "&amp;$MF116&amp;" é "&amp;4*$MF116,"")))</f>
        <v/>
      </c>
      <c r="PH116" s="152">
        <f>IF($PG116="",0,(LEN($PG116)-LEN(SUBSTITUTE($PG116," · ","")))/3+1)</f>
        <v/>
      </c>
      <c r="PI116" s="152">
        <f>IF($MQ116=0,"",TEXTJOIN(" · ",TRUE,IF($OK116&gt;2*$MF116,"A devolução parou no teto de "&amp;2*$MF116,""),IF($ON116&gt;0,"Devolução perdida: "&amp;$ON116&amp;IF($ON116&gt;1," pontos"," ponto")&amp;" sem peça para pagar",""),IF(AND($NP116&gt;0,AND($MF116&gt;0,$NT116=0),$OQ116=0),"Controle sem dano: uma rodada a mais e CD +2",""),IF(AND($NP116&gt;0,AND($MF116&gt;0,$NT116=0),$OQ116&gt;0,$OQ116&lt;=$MF116),"Controle com saldo até a Classe: uma rodada a mais",""),IF(AND($MF116&gt;0,$NR116&lt;&gt;""),"Efeito de "&amp;$NR116&amp;" pela Classe "&amp;MAX(1,$MF116-1),"")))</f>
        <v/>
      </c>
      <c r="PJ116" s="152">
        <f>IF($PI116="",0,(LEN($PI116)-LEN(SUBSTITUTE($PI116," · ","")))/3+1)</f>
        <v/>
      </c>
      <c r="PK116" s="152">
        <f>IF($MQ116=0,IF($OH116+COUNTIF($MO116:$MP116,"?*")&gt;0,"Dê um nome",""),IF($PH116&gt;0,"⚠ "&amp;$PH116&amp;IF($PH116&gt;1," erros"," erro"),IF($PJ116&gt;0,"! "&amp;$PJ116&amp;IF($PJ116&gt;1," avisos"," aviso"),"Na regra")))</f>
        <v/>
      </c>
      <c r="PL116" s="152">
        <f>IF($MQ116=0,"",IF($PH116+$PJ116=0,"Dentro das regras que a ficha confere",$PG116&amp;IF(AND($PH116&gt;0,$PJ116&gt;0)," · ","")&amp;$PI116))</f>
        <v/>
      </c>
      <c r="PM116" s="152">
        <f>IF($MD116&gt;$MR116,$ME116&amp;" · ABRE NO NÍVEL "&amp;$MD116,$ME116)</f>
        <v/>
      </c>
      <c r="PN116" s="152">
        <f>IF($MQ116=0,"",IF($MF116=0,"Sem PE",3*$MF116&amp;" PE"))</f>
        <v/>
      </c>
      <c r="PO116" s="152">
        <f>IF($MQ116=0,"",IF($MF116=0,"A atuação básica dela",IF(COUNTIF($NX116:$NY116,"Atrasar")&gt;0,"Sua Ação Completa",IF(COUNTIF($MK116:$MN116,"Rápido")&gt;0,"Sua Bônus",IF(COUNTIF($MK116:$MN116,"Reação")&gt;0,"Sua Reação","Sua Padrão")))&amp;" + a básica dela"&amp;IF(COUNTIF($MK116:$MN116,"Reação")&gt;0," e a coletiva","")&amp;IF(COUNTIF($NX116:$NY116,"Carregar")&gt;0," · em dois turnos","")))</f>
        <v/>
      </c>
      <c r="PP116" s="152">
        <f>IF($MJ116&lt;&gt;"",$MJ116,IF($MW116=0,"",INDEX($AA$2:$AA$11,$MW116)))</f>
        <v/>
      </c>
      <c r="PQ116" s="152">
        <f>IF(OR($MQ116=0,$MW116=0),"",IF(COUNTIF($MK116:$MN116,"Inescapável")&gt;0,"Automático",IF($PP116="Ataque",IF($MU116="","Ataque","Ataque "&amp;IF(($MU116+2*IF(COUNTIF($MK116:$MN116,"Precisão")&gt;0,1,0))&gt;=0,"+","−")&amp;ABS(($MU116+2*IF(COUNTIF($MK116:$MN116,"Precisão")&gt;0,1,0))))&amp;IF($NQ116&gt;0," · TR"&amp;IF($MV116="",""," CD "&amp;$MV116),""),IF(LEFT($PP116,2)="TR",$PP116&amp;IF($MV116="",""," · CD "&amp;$MV116)&amp;IF(COUNTIF($MK116:$MN116,"Certeiro")&gt;0," · metade",""),"Sem rolagem"))))</f>
        <v/>
      </c>
      <c r="PR116" s="152">
        <f>IF(OR($MQ116=0,$MW116=0),"",IF($MF116=0,IF(OR($NT116&gt;=1,$OQ116=0),"Sem dano",$OQ116&amp;"d6"&amp;IF($MI116="",""," "&amp;$MI116)),IF(OR($NT116&gt;=1,$OQ116=0),UPPER(LEFT(INDEX($OZ116:$PF116,1,MAX(1,$MF116)),1))&amp;MID(INDEX($OZ116:$PF116,1,MAX(1,$MF116)),2,99),UPPER(LEFT(INDEX($OZ116:$PF116,1,MAX(1,$MF116)),1))&amp;MID(INDEX($OZ116:$PF116,1,MAX(1,$MF116)),2,99)&amp;IF($MI116="",""," "&amp;$MI116)&amp;IF($OR116&gt;0," · +"&amp;$OR116&amp;"d8",""))))</f>
        <v/>
      </c>
      <c r="PS116" s="152">
        <f>COUNTIF($MK116:$MN116,"Longe")+3*COUNTIF($MK116:$MN116,"Muito Longe")</f>
        <v/>
      </c>
      <c r="PT116" s="152">
        <f>COUNTIF($MK116:$MN116,"Maior")+3*COUNTIF($MK116:$MN116,"Muito Maior")</f>
        <v/>
      </c>
      <c r="PU116" s="152">
        <f>IF($MW116=0,0,CHOOSE(1+INDEX($AC$2:$AC$11,$MW116),0,$PS116,$PT116,$PS116+$PT116))</f>
        <v/>
      </c>
      <c r="PV116" s="152">
        <f>IF($MW116=0,0,CHOOSE(1+INDEX($AD$2:$AD$11,$MW116),0,$PS116,$PT116,$PS116+$PT116))</f>
        <v/>
      </c>
      <c r="PW116" s="152">
        <f>IF(OR($MQ116=0,$MW116=0),"",INDEX($AI$2:$AN$41,($MW116-1)*4+IF($MF116=0,1,IF($MF116&lt;=5,2,IF($MF116=6,3,4))),1+MIN(5,$PU116))&amp;INDEX($AO$2:$AT$41,($MW116-1)*4+IF($MF116=0,1,IF($MF116&lt;=5,2,IF($MF116=6,3,4))),1+MIN(5,$PV116))&amp;IF(INDEX($AE$2:$AE$11,$MW116)=1,IF(COUNTIF($MK116:$MN116,"Mais Um")&gt;0," · +"&amp;COUNTIF($MK116:$MN116,"Mais Um")&amp;IF(COUNTIF($MK116:$MN116,"Mais Um")&gt;1," alvos"," alvo"),"")&amp;IF(COUNTIF($MK116:$MN116,"Rajada")&gt;0,IF($MF116=0," · 1 tiro"," · "&amp;(MAX(1,$MF116-1)+1)&amp;" tiros"),""),""))</f>
        <v/>
      </c>
      <c r="PX116" s="152">
        <f>IF($MQ116=0,"",IF($MF116=0,$MT116&amp;"d6"&amp;IF($OH116&gt;0," − 1 = "&amp;$OQ116&amp;"d6"," da básica do nível "&amp;$MR116),$OO116&amp;" − "&amp;$OJ116&amp;" + "&amp;$OM116&amp;" = "&amp;$OP116&amp;" · teto "&amp;4*$MF116&amp;"d8"&amp;IF($NS116=1," · a Forma devolve "&amp;$MF116,"")&amp;IF($ON116&gt;0," · perde "&amp;$ON116,"")))</f>
        <v/>
      </c>
      <c r="PY116" s="152">
        <f>IF($MQ116=0,"",IF($MF116=0,"A básica não amplia: os dados dela sobem com o nível",IF($MF116&gt;=$MS116,"Já está na maior Classe que o nível liberou",TEXTJOIN(" · ",TRUE,IF(AND(2&gt;$MF116,2&lt;=$MS116),"2 → "&amp;$PA116&amp;", 6 PE",""),IF(AND(3&gt;$MF116,3&lt;=$MS116),"3 → "&amp;$PB116&amp;", 9 PE",""),IF(AND(4&gt;$MF116,4&lt;=$MS116),"4 → "&amp;$PC116&amp;", 12 PE",""),IF(AND(5&gt;$MF116,5&lt;=$MS116),"5 → "&amp;$PD116&amp;", 15 PE",""),IF(AND(6&gt;$MF116,6&lt;=$MS116),"6 → "&amp;$PE116&amp;", 18 PE",""),IF(AND(7&gt;$MF116,7&lt;=$MS116),"7 → "&amp;$PF116&amp;", 21 PE","")))))</f>
        <v/>
      </c>
      <c r="PZ116" s="152">
        <f>IF(OR($MQ116=0,$NB116=0),"",IF($MF116=0,"−1 dado","−"&amp;INDEX($I$2:$N$8,MAX(1,$MF116),MAX(1,$NG116))&amp;" · "&amp;CHOOSE(MAX(1,$NG116),"Leve","Média","Pesada","Leve · Livre","Média · Livre","Pesada · Livre")))</f>
        <v/>
      </c>
      <c r="QA116" s="152">
        <f>IF(OR($MQ116=0,$NC116=0),"",IF($MF116=0,"−1 dado","−"&amp;INDEX($I$2:$N$8,MAX(1,$MF116),MAX(1,$NH116))&amp;" · "&amp;CHOOSE(MAX(1,$NH116),"Leve","Média","Pesada","Leve · Livre","Média · Livre","Pesada · Livre")))</f>
        <v/>
      </c>
      <c r="QB116" s="152">
        <f>IF(OR($MQ116=0,$ND116=0),"",IF($MF116=0,"−1 dado","−"&amp;INDEX($I$2:$N$8,MAX(1,$MF116),MAX(1,$NI116))&amp;" · "&amp;CHOOSE(MAX(1,$NI116),"Leve","Média","Pesada","Leve · Livre","Média · Livre","Pesada · Livre")))</f>
        <v/>
      </c>
      <c r="QC116" s="152">
        <f>IF(OR($MQ116=0,$NE116=0),"",IF($MF116=0,"−1 dado","−"&amp;INDEX($I$2:$N$8,MAX(1,$MF116),MAX(1,$NJ116))&amp;" · "&amp;CHOOSE(MAX(1,$NJ116),"Leve","Média","Pesada","Leve · Livre","Média · Livre","Pesada · Livre")))</f>
        <v/>
      </c>
      <c r="QD116" s="152">
        <f>IF(OR($MQ116=0,$MO116=""),"",IF($MF116=0,"não devolve","+"&amp;IF($NV116=1,CEILING($MF116/2,1),$MF116)))</f>
        <v/>
      </c>
      <c r="QE116" s="152">
        <f>IF(OR($MQ116=0,$MP116=""),"",IF($MF116=0,"não devolve","+"&amp;IF($NW116=1,CEILING($MF116/2,1),$MF116)))</f>
        <v/>
      </c>
    </row>
    <row r="117">
      <c r="MA117" s="150" t="inlineStr">
        <is>
          <t>Ficha 9 · Escolha da trilha 2</t>
        </is>
      </c>
      <c r="MB117" s="152" t="n">
        <v>9</v>
      </c>
      <c r="MC117" s="152" t="n">
        <v>2</v>
      </c>
      <c r="MD117" s="152" t="n">
        <v>0</v>
      </c>
      <c r="ME117" s="150" t="inlineStr">
        <is>
          <t>ESCOLHA DA TRILHA 2</t>
        </is>
      </c>
      <c r="MF117" s="152">
        <f>MAX(0,MIN(7,N('INVOCAÇÕES'!$AH$556)))</f>
        <v/>
      </c>
      <c r="MG117" s="152">
        <f>'INVOCAÇÕES'!$AI$556&amp;""</f>
        <v/>
      </c>
      <c r="MH117" s="152">
        <f>'INVOCAÇÕES'!$AH$561&amp;""</f>
        <v/>
      </c>
      <c r="MI117" s="152">
        <f>'INVOCAÇÕES'!$AH$562&amp;""</f>
        <v/>
      </c>
      <c r="MJ117" s="152">
        <f>'INVOCAÇÕES'!$AJ$562&amp;""</f>
        <v/>
      </c>
      <c r="MK117" s="152">
        <f>'INVOCAÇÕES'!$AI$565&amp;""</f>
        <v/>
      </c>
      <c r="ML117" s="152">
        <f>'INVOCAÇÕES'!$AI$566&amp;""</f>
        <v/>
      </c>
      <c r="MM117" s="152">
        <f>'INVOCAÇÕES'!$AI$567&amp;""</f>
        <v/>
      </c>
      <c r="MN117" s="152">
        <f>'INVOCAÇÕES'!$AI$568&amp;""</f>
        <v/>
      </c>
      <c r="MO117" s="152">
        <f>'INVOCAÇÕES'!$AI$569&amp;""</f>
        <v/>
      </c>
      <c r="MP117" s="152">
        <f>'INVOCAÇÕES'!$AI$570&amp;""</f>
        <v/>
      </c>
      <c r="MQ117" s="152">
        <f>IF($MG117&lt;&gt;"",1,0)</f>
        <v/>
      </c>
      <c r="MR117" s="152">
        <f>INDEX($FI$2:$FI$13,$MB117)</f>
        <v/>
      </c>
      <c r="MS117" s="152">
        <f>INDEX($FJ$2:$FJ$13,$MB117)</f>
        <v/>
      </c>
      <c r="MT117" s="152">
        <f>INDEX($FK$2:$FK$13,$MB117)</f>
        <v/>
      </c>
      <c r="MU117" s="152">
        <f>INDEX($FV$2:$FV$13,$MB117)</f>
        <v/>
      </c>
      <c r="MV117" s="152">
        <f>INDEX($FW$2:$FW$13,$MB117)</f>
        <v/>
      </c>
      <c r="MW117" s="152">
        <f>IFERROR(MATCH($MH117,$V$2:$V$11,0),0)</f>
        <v/>
      </c>
      <c r="MX117" s="152">
        <f>IFERROR(VLOOKUP($MK117,$AV$2:$BA$84,2,FALSE),"")</f>
        <v/>
      </c>
      <c r="MY117" s="152">
        <f>IFERROR(VLOOKUP($ML117,$AV$2:$BA$84,2,FALSE),"")</f>
        <v/>
      </c>
      <c r="MZ117" s="152">
        <f>IFERROR(VLOOKUP($MM117,$AV$2:$BA$84,2,FALSE),"")</f>
        <v/>
      </c>
      <c r="NA117" s="152">
        <f>IFERROR(VLOOKUP($MN117,$AV$2:$BA$84,2,FALSE),"")</f>
        <v/>
      </c>
      <c r="NB117" s="152">
        <f>IFERROR(VLOOKUP($MK117,$AV$2:$BA$84,3,FALSE),0)</f>
        <v/>
      </c>
      <c r="NC117" s="152">
        <f>IFERROR(VLOOKUP($ML117,$AV$2:$BA$84,3,FALSE),0)</f>
        <v/>
      </c>
      <c r="ND117" s="152">
        <f>IFERROR(VLOOKUP($MM117,$AV$2:$BA$84,3,FALSE),0)</f>
        <v/>
      </c>
      <c r="NE117" s="152">
        <f>IFERROR(VLOOKUP($MN117,$AV$2:$BA$84,3,FALSE),0)</f>
        <v/>
      </c>
      <c r="NF117" s="152">
        <f>IF($MF117=0,0,IF($MW117=0,0,INDEX($X$2:$X$11,$MW117)))</f>
        <v/>
      </c>
      <c r="NG117" s="152">
        <f>IF(OR($NB117=0,$MF117=0),0,$NB117+3*IF(AND($MX117&lt;&gt;"",OR($MX117=INDEX($EF$2:$EF$13,$MB117),$MX117=INDEX($EG$2:$EG$13,$MB117))),1,0))</f>
        <v/>
      </c>
      <c r="NH117" s="152">
        <f>IF(OR($NC117=0,$MF117=0),0,$NC117+3*IF(AND($MY117&lt;&gt;"",OR($MY117=INDEX($EF$2:$EF$13,$MB117),$MY117=INDEX($EG$2:$EG$13,$MB117))),1,0))</f>
        <v/>
      </c>
      <c r="NI117" s="152">
        <f>IF(OR($ND117=0,$MF117=0),0,$ND117+3*IF(AND($MZ117&lt;&gt;"",OR($MZ117=INDEX($EF$2:$EF$13,$MB117),$MZ117=INDEX($EG$2:$EG$13,$MB117))),1,0))</f>
        <v/>
      </c>
      <c r="NJ117" s="152">
        <f>IF(OR($NE117=0,$MF117=0),0,$NE117+3*IF(AND($NA117&lt;&gt;"",OR($NA117=INDEX($EF$2:$EF$13,$MB117),$NA117=INDEX($EG$2:$EG$13,$MB117))),1,0))</f>
        <v/>
      </c>
      <c r="NK117" s="152">
        <f>IF($MW117=0,0,IF(INDEX($W$2:$W$11,$MW117)="",0,IF(COUNTIF(INDEX($EF$2:$EJ$13,$MB117,0),INDEX($W$2:$W$11,$MW117))=0,1,0)))</f>
        <v/>
      </c>
      <c r="NL117" s="152">
        <f>IF(OR($NB117=0,$MX117=""),0,IF(COUNTIF(INDEX($EF$2:$EJ$13,$MB117,0),$MX117)=0,1,0))</f>
        <v/>
      </c>
      <c r="NM117" s="152">
        <f>IF(OR($NC117=0,$MY117=""),0,IF(COUNTIF(INDEX($EF$2:$EJ$13,$MB117,0),$MY117)=0,1,0))</f>
        <v/>
      </c>
      <c r="NN117" s="152">
        <f>IF(OR($ND117=0,$MZ117=""),0,IF(COUNTIF(INDEX($EF$2:$EJ$13,$MB117,0),$MZ117)=0,1,0))</f>
        <v/>
      </c>
      <c r="NO117" s="152">
        <f>IF(OR($NE117=0,$NA117=""),0,IF(COUNTIF(INDEX($EF$2:$EJ$13,$MB117,0),$NA117)=0,1,0))</f>
        <v/>
      </c>
      <c r="NP117" s="152">
        <f>IFERROR(VLOOKUP($MK117,$AV$2:$BA$84,4,FALSE),0)+IFERROR(VLOOKUP($ML117,$AV$2:$BA$84,4,FALSE),0)+IFERROR(VLOOKUP($MM117,$AV$2:$BA$84,4,FALSE),0)+IFERROR(VLOOKUP($MN117,$AV$2:$BA$84,4,FALSE),0)</f>
        <v/>
      </c>
      <c r="NQ117" s="152">
        <f>IFERROR(VLOOKUP($MK117,$AV$2:$BA$84,6,FALSE),0)+IFERROR(VLOOKUP($ML117,$AV$2:$BA$84,6,FALSE),0)+IFERROR(VLOOKUP($MM117,$AV$2:$BA$84,6,FALSE),0)+IFERROR(VLOOKUP($MN117,$AV$2:$BA$84,6,FALSE),0)</f>
        <v/>
      </c>
      <c r="NR117" s="152">
        <f>TEXTJOIN(", ",TRUE,IF(IFERROR(VLOOKUP($MK117,$AV$2:$BA$84,5,FALSE),0)=1,$MK117,""),IF(IFERROR(VLOOKUP($ML117,$AV$2:$BA$84,5,FALSE),0)=1,$ML117,""),IF(IFERROR(VLOOKUP($MM117,$AV$2:$BA$84,5,FALSE),0)=1,$MM117,""),IF(IFERROR(VLOOKUP($MN117,$AV$2:$BA$84,5,FALSE),0)=1,$MN117,""))</f>
        <v/>
      </c>
      <c r="NS117" s="152">
        <f>IF($MW117=0,0,INDEX($Y$2:$Y$11,$MW117))</f>
        <v/>
      </c>
      <c r="NT117" s="152">
        <f>IF($MW117=0,0,INDEX($Z$2:$Z$11,$MW117))</f>
        <v/>
      </c>
      <c r="NU117" s="152">
        <f>IF($MW117=0,0,INDEX($AB$2:$AB$11,$MW117))</f>
        <v/>
      </c>
      <c r="NV117" s="152">
        <f>IFERROR(VLOOKUP($MO117,$BC$2:$BG$24,3,FALSE),0)</f>
        <v/>
      </c>
      <c r="NW117" s="152">
        <f>IFERROR(VLOOKUP($MP117,$BC$2:$BG$24,3,FALSE),0)</f>
        <v/>
      </c>
      <c r="NX117" s="152">
        <f>IFERROR(VLOOKUP($MO117,$BC$2:$BG$24,2,FALSE),"")</f>
        <v/>
      </c>
      <c r="NY117" s="152">
        <f>IFERROR(VLOOKUP($MP117,$BC$2:$BG$24,2,FALSE),"")</f>
        <v/>
      </c>
      <c r="NZ117" s="152">
        <f>COUNTIF($NF117:$NJ117,1)</f>
        <v/>
      </c>
      <c r="OA117" s="152">
        <f>COUNTIF($NF117:$NJ117,2)</f>
        <v/>
      </c>
      <c r="OB117" s="152">
        <f>COUNTIF($NF117:$NJ117,3)</f>
        <v/>
      </c>
      <c r="OC117" s="152">
        <f>COUNTIF($NF117:$NJ117,4)</f>
        <v/>
      </c>
      <c r="OD117" s="152">
        <f>COUNTIF($NF117:$NJ117,5)</f>
        <v/>
      </c>
      <c r="OE117" s="152">
        <f>COUNTIF($NF117:$NJ117,6)</f>
        <v/>
      </c>
      <c r="OF117" s="152">
        <f>COUNTIF($NV117:$NW117,1)</f>
        <v/>
      </c>
      <c r="OG117" s="152">
        <f>COUNTIF($NV117:$NW117,2)+$NS117</f>
        <v/>
      </c>
      <c r="OH117" s="152">
        <f>COUNTIF($MK117:$MN117,"?*")</f>
        <v/>
      </c>
      <c r="OI117" s="152">
        <f>COUNTIF($MO117:$MP117,"?*")+$NS117</f>
        <v/>
      </c>
      <c r="OJ117" s="152">
        <f>IF($MF117=0,0,SUMPRODUCT($NZ117:$OE117,INDEX($I$2:$N$8,MAX(1,$MF117),0)))</f>
        <v/>
      </c>
      <c r="OK117" s="152">
        <f>IF($MF117=0,0,$OF117*CEILING($MF117/2,1)+$OG117*$MF117)</f>
        <v/>
      </c>
      <c r="OL117" s="152">
        <f>MIN(2*$MF117,$OK117)</f>
        <v/>
      </c>
      <c r="OM117" s="152">
        <f>MIN($OL117,$OJ117)</f>
        <v/>
      </c>
      <c r="ON117" s="152">
        <f>$OL117-$OM117</f>
        <v/>
      </c>
      <c r="OO117" s="152">
        <f>IF($MF117=0,0,INDEX($P$2:$P$8,MAX(1,$MF117)))</f>
        <v/>
      </c>
      <c r="OP117" s="152">
        <f>$OO117-$OJ117+$OM117</f>
        <v/>
      </c>
      <c r="OQ117" s="152">
        <f>IF($MF117=0,MAX(0,$MT117-IF($OH117&gt;0,1,0)),MAX(0,$OP117))</f>
        <v/>
      </c>
      <c r="OR117" s="152">
        <f>IF($MF117=0,0,(IF(COUNTIF($MK117:$MN117,"Salto")&gt;0,1,0)+IF(COUNTIF($MK117:$MN117,"Queima")&gt;0,1,0)+IF(COUNTIF($MK117:$MN117,"Estilhaço")&gt;0,1,0))*FLOOR($OQ117/2,1))</f>
        <v/>
      </c>
      <c r="OS117" s="152">
        <f>MAX(0,2-SUMPRODUCT($NZ117:$OE117,$I$2:$N$2)+MIN(2,$OF117*1+$OG117*1,SUMPRODUCT($NZ117:$OE117,$I$2:$N$2)))</f>
        <v/>
      </c>
      <c r="OT117" s="152">
        <f>MAX(0,4-SUMPRODUCT($NZ117:$OE117,$I$3:$N$3)+MIN(4,$OF117*1+$OG117*2,SUMPRODUCT($NZ117:$OE117,$I$3:$N$3)))</f>
        <v/>
      </c>
      <c r="OU117" s="152">
        <f>MAX(0,6-SUMPRODUCT($NZ117:$OE117,$I$4:$N$4)+MIN(6,$OF117*2+$OG117*3,SUMPRODUCT($NZ117:$OE117,$I$4:$N$4)))</f>
        <v/>
      </c>
      <c r="OV117" s="152">
        <f>MAX(0,9-SUMPRODUCT($NZ117:$OE117,$I$5:$N$5)+MIN(8,$OF117*2+$OG117*4,SUMPRODUCT($NZ117:$OE117,$I$5:$N$5)))</f>
        <v/>
      </c>
      <c r="OW117" s="152">
        <f>MAX(0,11-SUMPRODUCT($NZ117:$OE117,$I$6:$N$6)+MIN(10,$OF117*3+$OG117*5,SUMPRODUCT($NZ117:$OE117,$I$6:$N$6)))</f>
        <v/>
      </c>
      <c r="OX117" s="152">
        <f>MAX(0,13-SUMPRODUCT($NZ117:$OE117,$I$7:$N$7)+MIN(12,$OF117*3+$OG117*6,SUMPRODUCT($NZ117:$OE117,$I$7:$N$7)))</f>
        <v/>
      </c>
      <c r="OY117" s="152">
        <f>MAX(0,16-SUMPRODUCT($NZ117:$OE117,$I$8:$N$8)+MIN(14,$OF117*4+$OG117*7,SUMPRODUCT($NZ117:$OE117,$I$8:$N$8)))</f>
        <v/>
      </c>
      <c r="OZ117" s="152">
        <f>IF($NT117=2,3*$OS117&amp;" de vida temp.",IF($NT117=3,"sem dano",IF($OS117=0,IF($NT117=1,"sem cura","sem dano"),IF($NT117=1,"cura ","")&amp;$OS117&amp;"d8")))</f>
        <v/>
      </c>
      <c r="PA117" s="152">
        <f>IF($NT117=2,3*$OT117&amp;" de vida temp.",IF($NT117=3,"sem dano",IF($OT117=0,IF($NT117=1,"sem cura","sem dano"),IF($NT117=1,"cura ","")&amp;$OT117&amp;"d8")))</f>
        <v/>
      </c>
      <c r="PB117" s="152">
        <f>IF($NT117=2,3*$OU117&amp;" de vida temp.",IF($NT117=3,"sem dano",IF($OU117=0,IF($NT117=1,"sem cura","sem dano"),IF($NT117=1,"cura ","")&amp;$OU117&amp;"d8")))</f>
        <v/>
      </c>
      <c r="PC117" s="152">
        <f>IF($NT117=2,3*$OV117&amp;" de vida temp.",IF($NT117=3,"sem dano",IF($OV117=0,IF($NT117=1,"sem cura","sem dano"),IF($NT117=1,"cura ","")&amp;$OV117&amp;"d8")))</f>
        <v/>
      </c>
      <c r="PD117" s="152">
        <f>IF($NT117=2,3*$OW117&amp;" de vida temp.",IF($NT117=3,"sem dano",IF($OW117=0,IF($NT117=1,"sem cura","sem dano"),IF($NT117=1,"cura ","")&amp;$OW117&amp;"d8")))</f>
        <v/>
      </c>
      <c r="PE117" s="152">
        <f>IF($NT117=2,3*$OX117&amp;" de vida temp.",IF($NT117=3,"sem dano",IF($OX117=0,IF($NT117=1,"sem cura","sem dano"),IF($NT117=1,"cura ","")&amp;$OX117&amp;"d8")))</f>
        <v/>
      </c>
      <c r="PF117" s="152">
        <f>IF($NT117=2,3*$OY117&amp;" de vida temp.",IF($NT117=3,"sem dano",IF($OY117=0,IF($NT117=1,"sem cura","sem dano"),IF($NT117=1,"cura ","")&amp;$OY117&amp;"d8")))</f>
        <v/>
      </c>
      <c r="PG117" s="152">
        <f>IF($MQ117=0,"",TEXTJOIN(" · ",TRUE,IF($MD117&gt;$MR117,"Este lugar abre no nível "&amp;$MD117,""),IF($MF117&gt;$MS117,"Classe "&amp;$MF117&amp;": o nível "&amp;$MR117&amp;" libera até a "&amp;$MS117,""),IF($NK117=1,"A Forma "&amp;$MH117&amp;" pede "&amp;INDEX($W$2:$W$11,$MW117)&amp;" aberta",""),IF(AND($MF117=0,$MW117&gt;0,IF($MW117=0,0,INDEX($AF$2:$AF$11,$MW117))=0),$MH117&amp;" não existe na Classe 0",""),IF($NL117=1,"Família Fechada: "&amp;$MK117,""),IF($NM117=1,"Família Fechada: "&amp;$ML117,""),IF($NN117=1,"Família Fechada: "&amp;$MM117,""),IF($NO117=1,"Família Fechada: "&amp;$MN117,""),IF(AND($MF117&gt;0,$OH117&gt;INDEX($O$2:$O$8,MAX(1,$MF117))),$OH117&amp;" Melhorias: a Classe "&amp;$MF117&amp;" aceita "&amp;INDEX($O$2:$O$8,MAX(1,$MF117)),""),IF(AND($MF117=0,$OH117&gt;1),"A básica aceita uma Melhoria",""),IF(AND($MF117=0,COUNTIF($NB117:$NE117,"&gt;1")&gt;0),"A básica só aceita Melhoria Leve",""),IF(AND($MF117&gt;0,$OI117&gt;2),$OI117&amp;" Restrições"&amp;IF($NS117=1,", contando a que a Forma "&amp;$MH117&amp;" já traz","")&amp;": o limite é 2",""),IF(AND($MF117=0,COUNTIF($MO117:$MP117,"?*")&gt;1),"A básica aceita uma Restrição Leve",""),IF(AND($MF117=0,COUNTIF($NV117:$NW117,2)&gt;0),"A básica só aceita Restrição Leve",""),IF(AND($MF117&gt;0,$OP117&lt;0),"Orçamento estourado: faltam "&amp;(-$OP117)&amp;IF($OP117&lt;-1," pontos"," ponto"),""),IF(IFERROR(VLOOKUP($MO117,$BC$2:$BG$24,4,FALSE),0)+IFERROR(VLOOKUP($MP117,$BC$2:$BG$24,4,FALSE),0)&gt;1,$NX117&amp;" e "&amp;$NY117&amp;" são as duas de frequência",""),IF(AND((COUNTIF($MK117:$MN117,"Rápido")+COUNTIF($NX117:$NY117,"Rápido"))&gt;0,(COUNTIF($MK117:$MN117,"Atrasar")+COUNTIF($NX117:$NY117,"Atrasar"))&gt;0),"Rápido não entra com Atrasar",""),IF(AND((COUNTIF($MK117:$MN117,"Reação")+COUNTIF($NX117:$NY117,"Reação"))&gt;0,(COUNTIF($MK117:$MN117,"Rápido")+COUNTIF($NX117:$NY117,"Rápido"))&gt;0),"Reação não entra com Rápido",""),IF(AND((COUNTIF($MK117:$MN117,"Reação")+COUNTIF($NX117:$NY117,"Reação"))&gt;0,(COUNTIF($MK117:$MN117,"Armado")+COUNTIF($NX117:$NY117,"Armado"))&gt;0),"Reação não entra com Armado",""),IF(AND((COUNTIF($MK117:$MN117,"Reação")+COUNTIF($NX117:$NY117,"Reação"))&gt;0,(COUNTIF($MK117:$MN117,"Atrasar")+COUNTIF($NX117:$NY117,"Atrasar"))&gt;0),"Reação não entra com Atrasar",""),IF(AND((COUNTIF($MK117:$MN117,"Reação")+COUNTIF($NX117:$NY117,"Reação"))&gt;0,(COUNTIF($MK117:$MN117,"Parado")+COUNTIF($NX117:$NY117,"Parado"))&gt;0),"Reação não entra com Parado",""),IF(AND((COUNTIF($MK117:$MN117,"Atrasar")+COUNTIF($NX117:$NY117,"Atrasar"))&gt;0,(COUNTIF($MK117:$MN117,"Parado")+COUNTIF($NX117:$NY117,"Parado"))&gt;0),"Atrasar não entra com Parado",""),IF(AND((COUNTIF($MK117:$MN117,"Armado")+COUNTIF($NX117:$NY117,"Armado"))&gt;0,(COUNTIF($MK117:$MN117,"Carregar")+COUNTIF($NX117:$NY117,"Carregar"))&gt;0),"Armado não entra com Carregar",""),IF(AND(COUNTIF($NX117:$NY117,"Corpo a Corpo")&gt;0,$NS117=0,OR($MH117="Cone",$MH117="Linha")),"Corpo a Corpo não entra em "&amp;$MH117,""),IF(AND(COUNTIF($NX117:$NY117,"Corpo a Corpo")&gt;0,$NS117=1),"A Forma "&amp;$MH117&amp;" já traz o Corpo a Corpo",""),IF(AND(COUNTIF($NX117:$NY117,"Tudo ou Nada")&gt;0,$NU117=0),"Tudo ou Nada só entra em habilidade de Teste de Resistência",""),IF(AND(COUNTIF($MK117:$MN117,"Inescapável")&gt;0,OR($OH117&gt;1,$OI117&gt;0)),"Inescapável não aceita outra peça",""),IF(AND($MF117&gt;0,$OQ117*IF(COUNTIF($MK117:$MN117,"Remate")&gt;0,1.25,1)+$OR117&gt;4*$MF117),($OQ117*IF(COUNTIF($MK117:$MN117,"Remate")&gt;0,1.25,1)+$OR117)&amp;" dados somando repetições"&amp;IF(COUNTIF($MK117:$MN117,"Remate")&gt;0," e o Remate","")&amp;": o teto da Classe "&amp;$MF117&amp;" é "&amp;4*$MF117,"")))</f>
        <v/>
      </c>
      <c r="PH117" s="152">
        <f>IF($PG117="",0,(LEN($PG117)-LEN(SUBSTITUTE($PG117," · ","")))/3+1)</f>
        <v/>
      </c>
      <c r="PI117" s="152">
        <f>IF($MQ117=0,"",TEXTJOIN(" · ",TRUE,IF($OK117&gt;2*$MF117,"A devolução parou no teto de "&amp;2*$MF117,""),IF($ON117&gt;0,"Devolução perdida: "&amp;$ON117&amp;IF($ON117&gt;1," pontos"," ponto")&amp;" sem peça para pagar",""),IF(AND($NP117&gt;0,AND($MF117&gt;0,$NT117=0),$OQ117=0),"Controle sem dano: uma rodada a mais e CD +2",""),IF(AND($NP117&gt;0,AND($MF117&gt;0,$NT117=0),$OQ117&gt;0,$OQ117&lt;=$MF117),"Controle com saldo até a Classe: uma rodada a mais",""),IF(AND($MF117&gt;0,$NR117&lt;&gt;""),"Efeito de "&amp;$NR117&amp;" pela Classe "&amp;MAX(1,$MF117-1),"")))</f>
        <v/>
      </c>
      <c r="PJ117" s="152">
        <f>IF($PI117="",0,(LEN($PI117)-LEN(SUBSTITUTE($PI117," · ","")))/3+1)</f>
        <v/>
      </c>
      <c r="PK117" s="152">
        <f>IF($MQ117=0,IF($OH117+COUNTIF($MO117:$MP117,"?*")&gt;0,"Dê um nome",""),IF($PH117&gt;0,"⚠ "&amp;$PH117&amp;IF($PH117&gt;1," erros"," erro"),IF($PJ117&gt;0,"! "&amp;$PJ117&amp;IF($PJ117&gt;1," avisos"," aviso"),"Na regra")))</f>
        <v/>
      </c>
      <c r="PL117" s="152">
        <f>IF($MQ117=0,"",IF($PH117+$PJ117=0,"Dentro das regras que a ficha confere",$PG117&amp;IF(AND($PH117&gt;0,$PJ117&gt;0)," · ","")&amp;$PI117))</f>
        <v/>
      </c>
      <c r="PM117" s="152">
        <f>IF($MD117&gt;$MR117,$ME117&amp;" · ABRE NO NÍVEL "&amp;$MD117,$ME117)</f>
        <v/>
      </c>
      <c r="PN117" s="152">
        <f>IF($MQ117=0,"",IF($MF117=0,"Sem PE",3*$MF117&amp;" PE"))</f>
        <v/>
      </c>
      <c r="PO117" s="152">
        <f>IF($MQ117=0,"",IF($MF117=0,"A atuação básica dela",IF(COUNTIF($NX117:$NY117,"Atrasar")&gt;0,"Sua Ação Completa",IF(COUNTIF($MK117:$MN117,"Rápido")&gt;0,"Sua Bônus",IF(COUNTIF($MK117:$MN117,"Reação")&gt;0,"Sua Reação","Sua Padrão")))&amp;" + a básica dela"&amp;IF(COUNTIF($MK117:$MN117,"Reação")&gt;0," e a coletiva","")&amp;IF(COUNTIF($NX117:$NY117,"Carregar")&gt;0," · em dois turnos","")))</f>
        <v/>
      </c>
      <c r="PP117" s="152">
        <f>IF($MJ117&lt;&gt;"",$MJ117,IF($MW117=0,"",INDEX($AA$2:$AA$11,$MW117)))</f>
        <v/>
      </c>
      <c r="PQ117" s="152">
        <f>IF(OR($MQ117=0,$MW117=0),"",IF(COUNTIF($MK117:$MN117,"Inescapável")&gt;0,"Automático",IF($PP117="Ataque",IF($MU117="","Ataque","Ataque "&amp;IF(($MU117+2*IF(COUNTIF($MK117:$MN117,"Precisão")&gt;0,1,0))&gt;=0,"+","−")&amp;ABS(($MU117+2*IF(COUNTIF($MK117:$MN117,"Precisão")&gt;0,1,0))))&amp;IF($NQ117&gt;0," · TR"&amp;IF($MV117="",""," CD "&amp;$MV117),""),IF(LEFT($PP117,2)="TR",$PP117&amp;IF($MV117="",""," · CD "&amp;$MV117)&amp;IF(COUNTIF($MK117:$MN117,"Certeiro")&gt;0," · metade",""),"Sem rolagem"))))</f>
        <v/>
      </c>
      <c r="PR117" s="152">
        <f>IF(OR($MQ117=0,$MW117=0),"",IF($MF117=0,IF(OR($NT117&gt;=1,$OQ117=0),"Sem dano",$OQ117&amp;"d6"&amp;IF($MI117="",""," "&amp;$MI117)),IF(OR($NT117&gt;=1,$OQ117=0),UPPER(LEFT(INDEX($OZ117:$PF117,1,MAX(1,$MF117)),1))&amp;MID(INDEX($OZ117:$PF117,1,MAX(1,$MF117)),2,99),UPPER(LEFT(INDEX($OZ117:$PF117,1,MAX(1,$MF117)),1))&amp;MID(INDEX($OZ117:$PF117,1,MAX(1,$MF117)),2,99)&amp;IF($MI117="",""," "&amp;$MI117)&amp;IF($OR117&gt;0," · +"&amp;$OR117&amp;"d8",""))))</f>
        <v/>
      </c>
      <c r="PS117" s="152">
        <f>COUNTIF($MK117:$MN117,"Longe")+3*COUNTIF($MK117:$MN117,"Muito Longe")</f>
        <v/>
      </c>
      <c r="PT117" s="152">
        <f>COUNTIF($MK117:$MN117,"Maior")+3*COUNTIF($MK117:$MN117,"Muito Maior")</f>
        <v/>
      </c>
      <c r="PU117" s="152">
        <f>IF($MW117=0,0,CHOOSE(1+INDEX($AC$2:$AC$11,$MW117),0,$PS117,$PT117,$PS117+$PT117))</f>
        <v/>
      </c>
      <c r="PV117" s="152">
        <f>IF($MW117=0,0,CHOOSE(1+INDEX($AD$2:$AD$11,$MW117),0,$PS117,$PT117,$PS117+$PT117))</f>
        <v/>
      </c>
      <c r="PW117" s="152">
        <f>IF(OR($MQ117=0,$MW117=0),"",INDEX($AI$2:$AN$41,($MW117-1)*4+IF($MF117=0,1,IF($MF117&lt;=5,2,IF($MF117=6,3,4))),1+MIN(5,$PU117))&amp;INDEX($AO$2:$AT$41,($MW117-1)*4+IF($MF117=0,1,IF($MF117&lt;=5,2,IF($MF117=6,3,4))),1+MIN(5,$PV117))&amp;IF(INDEX($AE$2:$AE$11,$MW117)=1,IF(COUNTIF($MK117:$MN117,"Mais Um")&gt;0," · +"&amp;COUNTIF($MK117:$MN117,"Mais Um")&amp;IF(COUNTIF($MK117:$MN117,"Mais Um")&gt;1," alvos"," alvo"),"")&amp;IF(COUNTIF($MK117:$MN117,"Rajada")&gt;0,IF($MF117=0," · 1 tiro"," · "&amp;(MAX(1,$MF117-1)+1)&amp;" tiros"),""),""))</f>
        <v/>
      </c>
      <c r="PX117" s="152">
        <f>IF($MQ117=0,"",IF($MF117=0,$MT117&amp;"d6"&amp;IF($OH117&gt;0," − 1 = "&amp;$OQ117&amp;"d6"," da básica do nível "&amp;$MR117),$OO117&amp;" − "&amp;$OJ117&amp;" + "&amp;$OM117&amp;" = "&amp;$OP117&amp;" · teto "&amp;4*$MF117&amp;"d8"&amp;IF($NS117=1," · a Forma devolve "&amp;$MF117,"")&amp;IF($ON117&gt;0," · perde "&amp;$ON117,"")))</f>
        <v/>
      </c>
      <c r="PY117" s="152">
        <f>IF($MQ117=0,"",IF($MF117=0,"A básica não amplia: os dados dela sobem com o nível",IF($MF117&gt;=$MS117,"Já está na maior Classe que o nível liberou",TEXTJOIN(" · ",TRUE,IF(AND(2&gt;$MF117,2&lt;=$MS117),"2 → "&amp;$PA117&amp;", 6 PE",""),IF(AND(3&gt;$MF117,3&lt;=$MS117),"3 → "&amp;$PB117&amp;", 9 PE",""),IF(AND(4&gt;$MF117,4&lt;=$MS117),"4 → "&amp;$PC117&amp;", 12 PE",""),IF(AND(5&gt;$MF117,5&lt;=$MS117),"5 → "&amp;$PD117&amp;", 15 PE",""),IF(AND(6&gt;$MF117,6&lt;=$MS117),"6 → "&amp;$PE117&amp;", 18 PE",""),IF(AND(7&gt;$MF117,7&lt;=$MS117),"7 → "&amp;$PF117&amp;", 21 PE","")))))</f>
        <v/>
      </c>
      <c r="PZ117" s="152">
        <f>IF(OR($MQ117=0,$NB117=0),"",IF($MF117=0,"−1 dado","−"&amp;INDEX($I$2:$N$8,MAX(1,$MF117),MAX(1,$NG117))&amp;" · "&amp;CHOOSE(MAX(1,$NG117),"Leve","Média","Pesada","Leve · Livre","Média · Livre","Pesada · Livre")))</f>
        <v/>
      </c>
      <c r="QA117" s="152">
        <f>IF(OR($MQ117=0,$NC117=0),"",IF($MF117=0,"−1 dado","−"&amp;INDEX($I$2:$N$8,MAX(1,$MF117),MAX(1,$NH117))&amp;" · "&amp;CHOOSE(MAX(1,$NH117),"Leve","Média","Pesada","Leve · Livre","Média · Livre","Pesada · Livre")))</f>
        <v/>
      </c>
      <c r="QB117" s="152">
        <f>IF(OR($MQ117=0,$ND117=0),"",IF($MF117=0,"−1 dado","−"&amp;INDEX($I$2:$N$8,MAX(1,$MF117),MAX(1,$NI117))&amp;" · "&amp;CHOOSE(MAX(1,$NI117),"Leve","Média","Pesada","Leve · Livre","Média · Livre","Pesada · Livre")))</f>
        <v/>
      </c>
      <c r="QC117" s="152">
        <f>IF(OR($MQ117=0,$NE117=0),"",IF($MF117=0,"−1 dado","−"&amp;INDEX($I$2:$N$8,MAX(1,$MF117),MAX(1,$NJ117))&amp;" · "&amp;CHOOSE(MAX(1,$NJ117),"Leve","Média","Pesada","Leve · Livre","Média · Livre","Pesada · Livre")))</f>
        <v/>
      </c>
      <c r="QD117" s="152">
        <f>IF(OR($MQ117=0,$MO117=""),"",IF($MF117=0,"não devolve","+"&amp;IF($NV117=1,CEILING($MF117/2,1),$MF117)))</f>
        <v/>
      </c>
      <c r="QE117" s="152">
        <f>IF(OR($MQ117=0,$MP117=""),"",IF($MF117=0,"não devolve","+"&amp;IF($NW117=1,CEILING($MF117/2,1),$MF117)))</f>
        <v/>
      </c>
    </row>
    <row r="118">
      <c r="MA118" s="150" t="inlineStr">
        <is>
          <t>Ficha 9 · Escolha da trilha 3</t>
        </is>
      </c>
      <c r="MB118" s="152" t="n">
        <v>9</v>
      </c>
      <c r="MC118" s="152" t="n">
        <v>2</v>
      </c>
      <c r="MD118" s="152" t="n">
        <v>0</v>
      </c>
      <c r="ME118" s="150" t="inlineStr">
        <is>
          <t>ESCOLHA DA TRILHA 3</t>
        </is>
      </c>
      <c r="MF118" s="152">
        <f>MAX(0,MIN(7,N('INVOCAÇÕES'!$AN$556)))</f>
        <v/>
      </c>
      <c r="MG118" s="152">
        <f>'INVOCAÇÕES'!$AO$556&amp;""</f>
        <v/>
      </c>
      <c r="MH118" s="152">
        <f>'INVOCAÇÕES'!$AN$561&amp;""</f>
        <v/>
      </c>
      <c r="MI118" s="152">
        <f>'INVOCAÇÕES'!$AN$562&amp;""</f>
        <v/>
      </c>
      <c r="MJ118" s="152">
        <f>'INVOCAÇÕES'!$AP$562&amp;""</f>
        <v/>
      </c>
      <c r="MK118" s="152">
        <f>'INVOCAÇÕES'!$AO$565&amp;""</f>
        <v/>
      </c>
      <c r="ML118" s="152">
        <f>'INVOCAÇÕES'!$AO$566&amp;""</f>
        <v/>
      </c>
      <c r="MM118" s="152">
        <f>'INVOCAÇÕES'!$AO$567&amp;""</f>
        <v/>
      </c>
      <c r="MN118" s="152">
        <f>'INVOCAÇÕES'!$AO$568&amp;""</f>
        <v/>
      </c>
      <c r="MO118" s="152">
        <f>'INVOCAÇÕES'!$AO$569&amp;""</f>
        <v/>
      </c>
      <c r="MP118" s="152">
        <f>'INVOCAÇÕES'!$AO$570&amp;""</f>
        <v/>
      </c>
      <c r="MQ118" s="152">
        <f>IF($MG118&lt;&gt;"",1,0)</f>
        <v/>
      </c>
      <c r="MR118" s="152">
        <f>INDEX($FI$2:$FI$13,$MB118)</f>
        <v/>
      </c>
      <c r="MS118" s="152">
        <f>INDEX($FJ$2:$FJ$13,$MB118)</f>
        <v/>
      </c>
      <c r="MT118" s="152">
        <f>INDEX($FK$2:$FK$13,$MB118)</f>
        <v/>
      </c>
      <c r="MU118" s="152">
        <f>INDEX($FV$2:$FV$13,$MB118)</f>
        <v/>
      </c>
      <c r="MV118" s="152">
        <f>INDEX($FW$2:$FW$13,$MB118)</f>
        <v/>
      </c>
      <c r="MW118" s="152">
        <f>IFERROR(MATCH($MH118,$V$2:$V$11,0),0)</f>
        <v/>
      </c>
      <c r="MX118" s="152">
        <f>IFERROR(VLOOKUP($MK118,$AV$2:$BA$84,2,FALSE),"")</f>
        <v/>
      </c>
      <c r="MY118" s="152">
        <f>IFERROR(VLOOKUP($ML118,$AV$2:$BA$84,2,FALSE),"")</f>
        <v/>
      </c>
      <c r="MZ118" s="152">
        <f>IFERROR(VLOOKUP($MM118,$AV$2:$BA$84,2,FALSE),"")</f>
        <v/>
      </c>
      <c r="NA118" s="152">
        <f>IFERROR(VLOOKUP($MN118,$AV$2:$BA$84,2,FALSE),"")</f>
        <v/>
      </c>
      <c r="NB118" s="152">
        <f>IFERROR(VLOOKUP($MK118,$AV$2:$BA$84,3,FALSE),0)</f>
        <v/>
      </c>
      <c r="NC118" s="152">
        <f>IFERROR(VLOOKUP($ML118,$AV$2:$BA$84,3,FALSE),0)</f>
        <v/>
      </c>
      <c r="ND118" s="152">
        <f>IFERROR(VLOOKUP($MM118,$AV$2:$BA$84,3,FALSE),0)</f>
        <v/>
      </c>
      <c r="NE118" s="152">
        <f>IFERROR(VLOOKUP($MN118,$AV$2:$BA$84,3,FALSE),0)</f>
        <v/>
      </c>
      <c r="NF118" s="152">
        <f>IF($MF118=0,0,IF($MW118=0,0,INDEX($X$2:$X$11,$MW118)))</f>
        <v/>
      </c>
      <c r="NG118" s="152">
        <f>IF(OR($NB118=0,$MF118=0),0,$NB118+3*IF(AND($MX118&lt;&gt;"",OR($MX118=INDEX($EF$2:$EF$13,$MB118),$MX118=INDEX($EG$2:$EG$13,$MB118))),1,0))</f>
        <v/>
      </c>
      <c r="NH118" s="152">
        <f>IF(OR($NC118=0,$MF118=0),0,$NC118+3*IF(AND($MY118&lt;&gt;"",OR($MY118=INDEX($EF$2:$EF$13,$MB118),$MY118=INDEX($EG$2:$EG$13,$MB118))),1,0))</f>
        <v/>
      </c>
      <c r="NI118" s="152">
        <f>IF(OR($ND118=0,$MF118=0),0,$ND118+3*IF(AND($MZ118&lt;&gt;"",OR($MZ118=INDEX($EF$2:$EF$13,$MB118),$MZ118=INDEX($EG$2:$EG$13,$MB118))),1,0))</f>
        <v/>
      </c>
      <c r="NJ118" s="152">
        <f>IF(OR($NE118=0,$MF118=0),0,$NE118+3*IF(AND($NA118&lt;&gt;"",OR($NA118=INDEX($EF$2:$EF$13,$MB118),$NA118=INDEX($EG$2:$EG$13,$MB118))),1,0))</f>
        <v/>
      </c>
      <c r="NK118" s="152">
        <f>IF($MW118=0,0,IF(INDEX($W$2:$W$11,$MW118)="",0,IF(COUNTIF(INDEX($EF$2:$EJ$13,$MB118,0),INDEX($W$2:$W$11,$MW118))=0,1,0)))</f>
        <v/>
      </c>
      <c r="NL118" s="152">
        <f>IF(OR($NB118=0,$MX118=""),0,IF(COUNTIF(INDEX($EF$2:$EJ$13,$MB118,0),$MX118)=0,1,0))</f>
        <v/>
      </c>
      <c r="NM118" s="152">
        <f>IF(OR($NC118=0,$MY118=""),0,IF(COUNTIF(INDEX($EF$2:$EJ$13,$MB118,0),$MY118)=0,1,0))</f>
        <v/>
      </c>
      <c r="NN118" s="152">
        <f>IF(OR($ND118=0,$MZ118=""),0,IF(COUNTIF(INDEX($EF$2:$EJ$13,$MB118,0),$MZ118)=0,1,0))</f>
        <v/>
      </c>
      <c r="NO118" s="152">
        <f>IF(OR($NE118=0,$NA118=""),0,IF(COUNTIF(INDEX($EF$2:$EJ$13,$MB118,0),$NA118)=0,1,0))</f>
        <v/>
      </c>
      <c r="NP118" s="152">
        <f>IFERROR(VLOOKUP($MK118,$AV$2:$BA$84,4,FALSE),0)+IFERROR(VLOOKUP($ML118,$AV$2:$BA$84,4,FALSE),0)+IFERROR(VLOOKUP($MM118,$AV$2:$BA$84,4,FALSE),0)+IFERROR(VLOOKUP($MN118,$AV$2:$BA$84,4,FALSE),0)</f>
        <v/>
      </c>
      <c r="NQ118" s="152">
        <f>IFERROR(VLOOKUP($MK118,$AV$2:$BA$84,6,FALSE),0)+IFERROR(VLOOKUP($ML118,$AV$2:$BA$84,6,FALSE),0)+IFERROR(VLOOKUP($MM118,$AV$2:$BA$84,6,FALSE),0)+IFERROR(VLOOKUP($MN118,$AV$2:$BA$84,6,FALSE),0)</f>
        <v/>
      </c>
      <c r="NR118" s="152">
        <f>TEXTJOIN(", ",TRUE,IF(IFERROR(VLOOKUP($MK118,$AV$2:$BA$84,5,FALSE),0)=1,$MK118,""),IF(IFERROR(VLOOKUP($ML118,$AV$2:$BA$84,5,FALSE),0)=1,$ML118,""),IF(IFERROR(VLOOKUP($MM118,$AV$2:$BA$84,5,FALSE),0)=1,$MM118,""),IF(IFERROR(VLOOKUP($MN118,$AV$2:$BA$84,5,FALSE),0)=1,$MN118,""))</f>
        <v/>
      </c>
      <c r="NS118" s="152">
        <f>IF($MW118=0,0,INDEX($Y$2:$Y$11,$MW118))</f>
        <v/>
      </c>
      <c r="NT118" s="152">
        <f>IF($MW118=0,0,INDEX($Z$2:$Z$11,$MW118))</f>
        <v/>
      </c>
      <c r="NU118" s="152">
        <f>IF($MW118=0,0,INDEX($AB$2:$AB$11,$MW118))</f>
        <v/>
      </c>
      <c r="NV118" s="152">
        <f>IFERROR(VLOOKUP($MO118,$BC$2:$BG$24,3,FALSE),0)</f>
        <v/>
      </c>
      <c r="NW118" s="152">
        <f>IFERROR(VLOOKUP($MP118,$BC$2:$BG$24,3,FALSE),0)</f>
        <v/>
      </c>
      <c r="NX118" s="152">
        <f>IFERROR(VLOOKUP($MO118,$BC$2:$BG$24,2,FALSE),"")</f>
        <v/>
      </c>
      <c r="NY118" s="152">
        <f>IFERROR(VLOOKUP($MP118,$BC$2:$BG$24,2,FALSE),"")</f>
        <v/>
      </c>
      <c r="NZ118" s="152">
        <f>COUNTIF($NF118:$NJ118,1)</f>
        <v/>
      </c>
      <c r="OA118" s="152">
        <f>COUNTIF($NF118:$NJ118,2)</f>
        <v/>
      </c>
      <c r="OB118" s="152">
        <f>COUNTIF($NF118:$NJ118,3)</f>
        <v/>
      </c>
      <c r="OC118" s="152">
        <f>COUNTIF($NF118:$NJ118,4)</f>
        <v/>
      </c>
      <c r="OD118" s="152">
        <f>COUNTIF($NF118:$NJ118,5)</f>
        <v/>
      </c>
      <c r="OE118" s="152">
        <f>COUNTIF($NF118:$NJ118,6)</f>
        <v/>
      </c>
      <c r="OF118" s="152">
        <f>COUNTIF($NV118:$NW118,1)</f>
        <v/>
      </c>
      <c r="OG118" s="152">
        <f>COUNTIF($NV118:$NW118,2)+$NS118</f>
        <v/>
      </c>
      <c r="OH118" s="152">
        <f>COUNTIF($MK118:$MN118,"?*")</f>
        <v/>
      </c>
      <c r="OI118" s="152">
        <f>COUNTIF($MO118:$MP118,"?*")+$NS118</f>
        <v/>
      </c>
      <c r="OJ118" s="152">
        <f>IF($MF118=0,0,SUMPRODUCT($NZ118:$OE118,INDEX($I$2:$N$8,MAX(1,$MF118),0)))</f>
        <v/>
      </c>
      <c r="OK118" s="152">
        <f>IF($MF118=0,0,$OF118*CEILING($MF118/2,1)+$OG118*$MF118)</f>
        <v/>
      </c>
      <c r="OL118" s="152">
        <f>MIN(2*$MF118,$OK118)</f>
        <v/>
      </c>
      <c r="OM118" s="152">
        <f>MIN($OL118,$OJ118)</f>
        <v/>
      </c>
      <c r="ON118" s="152">
        <f>$OL118-$OM118</f>
        <v/>
      </c>
      <c r="OO118" s="152">
        <f>IF($MF118=0,0,INDEX($P$2:$P$8,MAX(1,$MF118)))</f>
        <v/>
      </c>
      <c r="OP118" s="152">
        <f>$OO118-$OJ118+$OM118</f>
        <v/>
      </c>
      <c r="OQ118" s="152">
        <f>IF($MF118=0,MAX(0,$MT118-IF($OH118&gt;0,1,0)),MAX(0,$OP118))</f>
        <v/>
      </c>
      <c r="OR118" s="152">
        <f>IF($MF118=0,0,(IF(COUNTIF($MK118:$MN118,"Salto")&gt;0,1,0)+IF(COUNTIF($MK118:$MN118,"Queima")&gt;0,1,0)+IF(COUNTIF($MK118:$MN118,"Estilhaço")&gt;0,1,0))*FLOOR($OQ118/2,1))</f>
        <v/>
      </c>
      <c r="OS118" s="152">
        <f>MAX(0,2-SUMPRODUCT($NZ118:$OE118,$I$2:$N$2)+MIN(2,$OF118*1+$OG118*1,SUMPRODUCT($NZ118:$OE118,$I$2:$N$2)))</f>
        <v/>
      </c>
      <c r="OT118" s="152">
        <f>MAX(0,4-SUMPRODUCT($NZ118:$OE118,$I$3:$N$3)+MIN(4,$OF118*1+$OG118*2,SUMPRODUCT($NZ118:$OE118,$I$3:$N$3)))</f>
        <v/>
      </c>
      <c r="OU118" s="152">
        <f>MAX(0,6-SUMPRODUCT($NZ118:$OE118,$I$4:$N$4)+MIN(6,$OF118*2+$OG118*3,SUMPRODUCT($NZ118:$OE118,$I$4:$N$4)))</f>
        <v/>
      </c>
      <c r="OV118" s="152">
        <f>MAX(0,9-SUMPRODUCT($NZ118:$OE118,$I$5:$N$5)+MIN(8,$OF118*2+$OG118*4,SUMPRODUCT($NZ118:$OE118,$I$5:$N$5)))</f>
        <v/>
      </c>
      <c r="OW118" s="152">
        <f>MAX(0,11-SUMPRODUCT($NZ118:$OE118,$I$6:$N$6)+MIN(10,$OF118*3+$OG118*5,SUMPRODUCT($NZ118:$OE118,$I$6:$N$6)))</f>
        <v/>
      </c>
      <c r="OX118" s="152">
        <f>MAX(0,13-SUMPRODUCT($NZ118:$OE118,$I$7:$N$7)+MIN(12,$OF118*3+$OG118*6,SUMPRODUCT($NZ118:$OE118,$I$7:$N$7)))</f>
        <v/>
      </c>
      <c r="OY118" s="152">
        <f>MAX(0,16-SUMPRODUCT($NZ118:$OE118,$I$8:$N$8)+MIN(14,$OF118*4+$OG118*7,SUMPRODUCT($NZ118:$OE118,$I$8:$N$8)))</f>
        <v/>
      </c>
      <c r="OZ118" s="152">
        <f>IF($NT118=2,3*$OS118&amp;" de vida temp.",IF($NT118=3,"sem dano",IF($OS118=0,IF($NT118=1,"sem cura","sem dano"),IF($NT118=1,"cura ","")&amp;$OS118&amp;"d8")))</f>
        <v/>
      </c>
      <c r="PA118" s="152">
        <f>IF($NT118=2,3*$OT118&amp;" de vida temp.",IF($NT118=3,"sem dano",IF($OT118=0,IF($NT118=1,"sem cura","sem dano"),IF($NT118=1,"cura ","")&amp;$OT118&amp;"d8")))</f>
        <v/>
      </c>
      <c r="PB118" s="152">
        <f>IF($NT118=2,3*$OU118&amp;" de vida temp.",IF($NT118=3,"sem dano",IF($OU118=0,IF($NT118=1,"sem cura","sem dano"),IF($NT118=1,"cura ","")&amp;$OU118&amp;"d8")))</f>
        <v/>
      </c>
      <c r="PC118" s="152">
        <f>IF($NT118=2,3*$OV118&amp;" de vida temp.",IF($NT118=3,"sem dano",IF($OV118=0,IF($NT118=1,"sem cura","sem dano"),IF($NT118=1,"cura ","")&amp;$OV118&amp;"d8")))</f>
        <v/>
      </c>
      <c r="PD118" s="152">
        <f>IF($NT118=2,3*$OW118&amp;" de vida temp.",IF($NT118=3,"sem dano",IF($OW118=0,IF($NT118=1,"sem cura","sem dano"),IF($NT118=1,"cura ","")&amp;$OW118&amp;"d8")))</f>
        <v/>
      </c>
      <c r="PE118" s="152">
        <f>IF($NT118=2,3*$OX118&amp;" de vida temp.",IF($NT118=3,"sem dano",IF($OX118=0,IF($NT118=1,"sem cura","sem dano"),IF($NT118=1,"cura ","")&amp;$OX118&amp;"d8")))</f>
        <v/>
      </c>
      <c r="PF118" s="152">
        <f>IF($NT118=2,3*$OY118&amp;" de vida temp.",IF($NT118=3,"sem dano",IF($OY118=0,IF($NT118=1,"sem cura","sem dano"),IF($NT118=1,"cura ","")&amp;$OY118&amp;"d8")))</f>
        <v/>
      </c>
      <c r="PG118" s="152">
        <f>IF($MQ118=0,"",TEXTJOIN(" · ",TRUE,IF($MD118&gt;$MR118,"Este lugar abre no nível "&amp;$MD118,""),IF($MF118&gt;$MS118,"Classe "&amp;$MF118&amp;": o nível "&amp;$MR118&amp;" libera até a "&amp;$MS118,""),IF($NK118=1,"A Forma "&amp;$MH118&amp;" pede "&amp;INDEX($W$2:$W$11,$MW118)&amp;" aberta",""),IF(AND($MF118=0,$MW118&gt;0,IF($MW118=0,0,INDEX($AF$2:$AF$11,$MW118))=0),$MH118&amp;" não existe na Classe 0",""),IF($NL118=1,"Família Fechada: "&amp;$MK118,""),IF($NM118=1,"Família Fechada: "&amp;$ML118,""),IF($NN118=1,"Família Fechada: "&amp;$MM118,""),IF($NO118=1,"Família Fechada: "&amp;$MN118,""),IF(AND($MF118&gt;0,$OH118&gt;INDEX($O$2:$O$8,MAX(1,$MF118))),$OH118&amp;" Melhorias: a Classe "&amp;$MF118&amp;" aceita "&amp;INDEX($O$2:$O$8,MAX(1,$MF118)),""),IF(AND($MF118=0,$OH118&gt;1),"A básica aceita uma Melhoria",""),IF(AND($MF118=0,COUNTIF($NB118:$NE118,"&gt;1")&gt;0),"A básica só aceita Melhoria Leve",""),IF(AND($MF118&gt;0,$OI118&gt;2),$OI118&amp;" Restrições"&amp;IF($NS118=1,", contando a que a Forma "&amp;$MH118&amp;" já traz","")&amp;": o limite é 2",""),IF(AND($MF118=0,COUNTIF($MO118:$MP118,"?*")&gt;1),"A básica aceita uma Restrição Leve",""),IF(AND($MF118=0,COUNTIF($NV118:$NW118,2)&gt;0),"A básica só aceita Restrição Leve",""),IF(AND($MF118&gt;0,$OP118&lt;0),"Orçamento estourado: faltam "&amp;(-$OP118)&amp;IF($OP118&lt;-1," pontos"," ponto"),""),IF(IFERROR(VLOOKUP($MO118,$BC$2:$BG$24,4,FALSE),0)+IFERROR(VLOOKUP($MP118,$BC$2:$BG$24,4,FALSE),0)&gt;1,$NX118&amp;" e "&amp;$NY118&amp;" são as duas de frequência",""),IF(AND((COUNTIF($MK118:$MN118,"Rápido")+COUNTIF($NX118:$NY118,"Rápido"))&gt;0,(COUNTIF($MK118:$MN118,"Atrasar")+COUNTIF($NX118:$NY118,"Atrasar"))&gt;0),"Rápido não entra com Atrasar",""),IF(AND((COUNTIF($MK118:$MN118,"Reação")+COUNTIF($NX118:$NY118,"Reação"))&gt;0,(COUNTIF($MK118:$MN118,"Rápido")+COUNTIF($NX118:$NY118,"Rápido"))&gt;0),"Reação não entra com Rápido",""),IF(AND((COUNTIF($MK118:$MN118,"Reação")+COUNTIF($NX118:$NY118,"Reação"))&gt;0,(COUNTIF($MK118:$MN118,"Armado")+COUNTIF($NX118:$NY118,"Armado"))&gt;0),"Reação não entra com Armado",""),IF(AND((COUNTIF($MK118:$MN118,"Reação")+COUNTIF($NX118:$NY118,"Reação"))&gt;0,(COUNTIF($MK118:$MN118,"Atrasar")+COUNTIF($NX118:$NY118,"Atrasar"))&gt;0),"Reação não entra com Atrasar",""),IF(AND((COUNTIF($MK118:$MN118,"Reação")+COUNTIF($NX118:$NY118,"Reação"))&gt;0,(COUNTIF($MK118:$MN118,"Parado")+COUNTIF($NX118:$NY118,"Parado"))&gt;0),"Reação não entra com Parado",""),IF(AND((COUNTIF($MK118:$MN118,"Atrasar")+COUNTIF($NX118:$NY118,"Atrasar"))&gt;0,(COUNTIF($MK118:$MN118,"Parado")+COUNTIF($NX118:$NY118,"Parado"))&gt;0),"Atrasar não entra com Parado",""),IF(AND((COUNTIF($MK118:$MN118,"Armado")+COUNTIF($NX118:$NY118,"Armado"))&gt;0,(COUNTIF($MK118:$MN118,"Carregar")+COUNTIF($NX118:$NY118,"Carregar"))&gt;0),"Armado não entra com Carregar",""),IF(AND(COUNTIF($NX118:$NY118,"Corpo a Corpo")&gt;0,$NS118=0,OR($MH118="Cone",$MH118="Linha")),"Corpo a Corpo não entra em "&amp;$MH118,""),IF(AND(COUNTIF($NX118:$NY118,"Corpo a Corpo")&gt;0,$NS118=1),"A Forma "&amp;$MH118&amp;" já traz o Corpo a Corpo",""),IF(AND(COUNTIF($NX118:$NY118,"Tudo ou Nada")&gt;0,$NU118=0),"Tudo ou Nada só entra em habilidade de Teste de Resistência",""),IF(AND(COUNTIF($MK118:$MN118,"Inescapável")&gt;0,OR($OH118&gt;1,$OI118&gt;0)),"Inescapável não aceita outra peça",""),IF(AND($MF118&gt;0,$OQ118*IF(COUNTIF($MK118:$MN118,"Remate")&gt;0,1.25,1)+$OR118&gt;4*$MF118),($OQ118*IF(COUNTIF($MK118:$MN118,"Remate")&gt;0,1.25,1)+$OR118)&amp;" dados somando repetições"&amp;IF(COUNTIF($MK118:$MN118,"Remate")&gt;0," e o Remate","")&amp;": o teto da Classe "&amp;$MF118&amp;" é "&amp;4*$MF118,"")))</f>
        <v/>
      </c>
      <c r="PH118" s="152">
        <f>IF($PG118="",0,(LEN($PG118)-LEN(SUBSTITUTE($PG118," · ","")))/3+1)</f>
        <v/>
      </c>
      <c r="PI118" s="152">
        <f>IF($MQ118=0,"",TEXTJOIN(" · ",TRUE,IF($OK118&gt;2*$MF118,"A devolução parou no teto de "&amp;2*$MF118,""),IF($ON118&gt;0,"Devolução perdida: "&amp;$ON118&amp;IF($ON118&gt;1," pontos"," ponto")&amp;" sem peça para pagar",""),IF(AND($NP118&gt;0,AND($MF118&gt;0,$NT118=0),$OQ118=0),"Controle sem dano: uma rodada a mais e CD +2",""),IF(AND($NP118&gt;0,AND($MF118&gt;0,$NT118=0),$OQ118&gt;0,$OQ118&lt;=$MF118),"Controle com saldo até a Classe: uma rodada a mais",""),IF(AND($MF118&gt;0,$NR118&lt;&gt;""),"Efeito de "&amp;$NR118&amp;" pela Classe "&amp;MAX(1,$MF118-1),"")))</f>
        <v/>
      </c>
      <c r="PJ118" s="152">
        <f>IF($PI118="",0,(LEN($PI118)-LEN(SUBSTITUTE($PI118," · ","")))/3+1)</f>
        <v/>
      </c>
      <c r="PK118" s="152">
        <f>IF($MQ118=0,IF($OH118+COUNTIF($MO118:$MP118,"?*")&gt;0,"Dê um nome",""),IF($PH118&gt;0,"⚠ "&amp;$PH118&amp;IF($PH118&gt;1," erros"," erro"),IF($PJ118&gt;0,"! "&amp;$PJ118&amp;IF($PJ118&gt;1," avisos"," aviso"),"Na regra")))</f>
        <v/>
      </c>
      <c r="PL118" s="152">
        <f>IF($MQ118=0,"",IF($PH118+$PJ118=0,"Dentro das regras que a ficha confere",$PG118&amp;IF(AND($PH118&gt;0,$PJ118&gt;0)," · ","")&amp;$PI118))</f>
        <v/>
      </c>
      <c r="PM118" s="152">
        <f>IF($MD118&gt;$MR118,$ME118&amp;" · ABRE NO NÍVEL "&amp;$MD118,$ME118)</f>
        <v/>
      </c>
      <c r="PN118" s="152">
        <f>IF($MQ118=0,"",IF($MF118=0,"Sem PE",3*$MF118&amp;" PE"))</f>
        <v/>
      </c>
      <c r="PO118" s="152">
        <f>IF($MQ118=0,"",IF($MF118=0,"A atuação básica dela",IF(COUNTIF($NX118:$NY118,"Atrasar")&gt;0,"Sua Ação Completa",IF(COUNTIF($MK118:$MN118,"Rápido")&gt;0,"Sua Bônus",IF(COUNTIF($MK118:$MN118,"Reação")&gt;0,"Sua Reação","Sua Padrão")))&amp;" + a básica dela"&amp;IF(COUNTIF($MK118:$MN118,"Reação")&gt;0," e a coletiva","")&amp;IF(COUNTIF($NX118:$NY118,"Carregar")&gt;0," · em dois turnos","")))</f>
        <v/>
      </c>
      <c r="PP118" s="152">
        <f>IF($MJ118&lt;&gt;"",$MJ118,IF($MW118=0,"",INDEX($AA$2:$AA$11,$MW118)))</f>
        <v/>
      </c>
      <c r="PQ118" s="152">
        <f>IF(OR($MQ118=0,$MW118=0),"",IF(COUNTIF($MK118:$MN118,"Inescapável")&gt;0,"Automático",IF($PP118="Ataque",IF($MU118="","Ataque","Ataque "&amp;IF(($MU118+2*IF(COUNTIF($MK118:$MN118,"Precisão")&gt;0,1,0))&gt;=0,"+","−")&amp;ABS(($MU118+2*IF(COUNTIF($MK118:$MN118,"Precisão")&gt;0,1,0))))&amp;IF($NQ118&gt;0," · TR"&amp;IF($MV118="",""," CD "&amp;$MV118),""),IF(LEFT($PP118,2)="TR",$PP118&amp;IF($MV118="",""," · CD "&amp;$MV118)&amp;IF(COUNTIF($MK118:$MN118,"Certeiro")&gt;0," · metade",""),"Sem rolagem"))))</f>
        <v/>
      </c>
      <c r="PR118" s="152">
        <f>IF(OR($MQ118=0,$MW118=0),"",IF($MF118=0,IF(OR($NT118&gt;=1,$OQ118=0),"Sem dano",$OQ118&amp;"d6"&amp;IF($MI118="",""," "&amp;$MI118)),IF(OR($NT118&gt;=1,$OQ118=0),UPPER(LEFT(INDEX($OZ118:$PF118,1,MAX(1,$MF118)),1))&amp;MID(INDEX($OZ118:$PF118,1,MAX(1,$MF118)),2,99),UPPER(LEFT(INDEX($OZ118:$PF118,1,MAX(1,$MF118)),1))&amp;MID(INDEX($OZ118:$PF118,1,MAX(1,$MF118)),2,99)&amp;IF($MI118="",""," "&amp;$MI118)&amp;IF($OR118&gt;0," · +"&amp;$OR118&amp;"d8",""))))</f>
        <v/>
      </c>
      <c r="PS118" s="152">
        <f>COUNTIF($MK118:$MN118,"Longe")+3*COUNTIF($MK118:$MN118,"Muito Longe")</f>
        <v/>
      </c>
      <c r="PT118" s="152">
        <f>COUNTIF($MK118:$MN118,"Maior")+3*COUNTIF($MK118:$MN118,"Muito Maior")</f>
        <v/>
      </c>
      <c r="PU118" s="152">
        <f>IF($MW118=0,0,CHOOSE(1+INDEX($AC$2:$AC$11,$MW118),0,$PS118,$PT118,$PS118+$PT118))</f>
        <v/>
      </c>
      <c r="PV118" s="152">
        <f>IF($MW118=0,0,CHOOSE(1+INDEX($AD$2:$AD$11,$MW118),0,$PS118,$PT118,$PS118+$PT118))</f>
        <v/>
      </c>
      <c r="PW118" s="152">
        <f>IF(OR($MQ118=0,$MW118=0),"",INDEX($AI$2:$AN$41,($MW118-1)*4+IF($MF118=0,1,IF($MF118&lt;=5,2,IF($MF118=6,3,4))),1+MIN(5,$PU118))&amp;INDEX($AO$2:$AT$41,($MW118-1)*4+IF($MF118=0,1,IF($MF118&lt;=5,2,IF($MF118=6,3,4))),1+MIN(5,$PV118))&amp;IF(INDEX($AE$2:$AE$11,$MW118)=1,IF(COUNTIF($MK118:$MN118,"Mais Um")&gt;0," · +"&amp;COUNTIF($MK118:$MN118,"Mais Um")&amp;IF(COUNTIF($MK118:$MN118,"Mais Um")&gt;1," alvos"," alvo"),"")&amp;IF(COUNTIF($MK118:$MN118,"Rajada")&gt;0,IF($MF118=0," · 1 tiro"," · "&amp;(MAX(1,$MF118-1)+1)&amp;" tiros"),""),""))</f>
        <v/>
      </c>
      <c r="PX118" s="152">
        <f>IF($MQ118=0,"",IF($MF118=0,$MT118&amp;"d6"&amp;IF($OH118&gt;0," − 1 = "&amp;$OQ118&amp;"d6"," da básica do nível "&amp;$MR118),$OO118&amp;" − "&amp;$OJ118&amp;" + "&amp;$OM118&amp;" = "&amp;$OP118&amp;" · teto "&amp;4*$MF118&amp;"d8"&amp;IF($NS118=1," · a Forma devolve "&amp;$MF118,"")&amp;IF($ON118&gt;0," · perde "&amp;$ON118,"")))</f>
        <v/>
      </c>
      <c r="PY118" s="152">
        <f>IF($MQ118=0,"",IF($MF118=0,"A básica não amplia: os dados dela sobem com o nível",IF($MF118&gt;=$MS118,"Já está na maior Classe que o nível liberou",TEXTJOIN(" · ",TRUE,IF(AND(2&gt;$MF118,2&lt;=$MS118),"2 → "&amp;$PA118&amp;", 6 PE",""),IF(AND(3&gt;$MF118,3&lt;=$MS118),"3 → "&amp;$PB118&amp;", 9 PE",""),IF(AND(4&gt;$MF118,4&lt;=$MS118),"4 → "&amp;$PC118&amp;", 12 PE",""),IF(AND(5&gt;$MF118,5&lt;=$MS118),"5 → "&amp;$PD118&amp;", 15 PE",""),IF(AND(6&gt;$MF118,6&lt;=$MS118),"6 → "&amp;$PE118&amp;", 18 PE",""),IF(AND(7&gt;$MF118,7&lt;=$MS118),"7 → "&amp;$PF118&amp;", 21 PE","")))))</f>
        <v/>
      </c>
      <c r="PZ118" s="152">
        <f>IF(OR($MQ118=0,$NB118=0),"",IF($MF118=0,"−1 dado","−"&amp;INDEX($I$2:$N$8,MAX(1,$MF118),MAX(1,$NG118))&amp;" · "&amp;CHOOSE(MAX(1,$NG118),"Leve","Média","Pesada","Leve · Livre","Média · Livre","Pesada · Livre")))</f>
        <v/>
      </c>
      <c r="QA118" s="152">
        <f>IF(OR($MQ118=0,$NC118=0),"",IF($MF118=0,"−1 dado","−"&amp;INDEX($I$2:$N$8,MAX(1,$MF118),MAX(1,$NH118))&amp;" · "&amp;CHOOSE(MAX(1,$NH118),"Leve","Média","Pesada","Leve · Livre","Média · Livre","Pesada · Livre")))</f>
        <v/>
      </c>
      <c r="QB118" s="152">
        <f>IF(OR($MQ118=0,$ND118=0),"",IF($MF118=0,"−1 dado","−"&amp;INDEX($I$2:$N$8,MAX(1,$MF118),MAX(1,$NI118))&amp;" · "&amp;CHOOSE(MAX(1,$NI118),"Leve","Média","Pesada","Leve · Livre","Média · Livre","Pesada · Livre")))</f>
        <v/>
      </c>
      <c r="QC118" s="152">
        <f>IF(OR($MQ118=0,$NE118=0),"",IF($MF118=0,"−1 dado","−"&amp;INDEX($I$2:$N$8,MAX(1,$MF118),MAX(1,$NJ118))&amp;" · "&amp;CHOOSE(MAX(1,$NJ118),"Leve","Média","Pesada","Leve · Livre","Média · Livre","Pesada · Livre")))</f>
        <v/>
      </c>
      <c r="QD118" s="152">
        <f>IF(OR($MQ118=0,$MO118=""),"",IF($MF118=0,"não devolve","+"&amp;IF($NV118=1,CEILING($MF118/2,1),$MF118)))</f>
        <v/>
      </c>
      <c r="QE118" s="152">
        <f>IF(OR($MQ118=0,$MP118=""),"",IF($MF118=0,"não devolve","+"&amp;IF($NW118=1,CEILING($MF118/2,1),$MF118)))</f>
        <v/>
      </c>
    </row>
    <row r="119">
      <c r="MA119" s="150" t="inlineStr">
        <is>
          <t>Ficha 10 · Básica 1</t>
        </is>
      </c>
      <c r="MB119" s="152" t="n">
        <v>10</v>
      </c>
      <c r="MC119" s="152" t="n">
        <v>0</v>
      </c>
      <c r="MD119" s="152" t="n">
        <v>1</v>
      </c>
      <c r="ME119" s="150" t="inlineStr">
        <is>
          <t>BÁSICA 1</t>
        </is>
      </c>
      <c r="MF119" s="152" t="n">
        <v>0</v>
      </c>
      <c r="MG119" s="152">
        <f>'INVOCAÇÕES'!$AC$652&amp;""</f>
        <v/>
      </c>
      <c r="MH119" s="152">
        <f>'INVOCAÇÕES'!$AB$657&amp;""</f>
        <v/>
      </c>
      <c r="MI119" s="152">
        <f>'INVOCAÇÕES'!$AB$658&amp;""</f>
        <v/>
      </c>
      <c r="MJ119" s="152">
        <f>'INVOCAÇÕES'!$AD$658&amp;""</f>
        <v/>
      </c>
      <c r="MK119" s="152">
        <f>'INVOCAÇÕES'!$AC$661&amp;""</f>
        <v/>
      </c>
      <c r="ML119" s="152">
        <f>'INVOCAÇÕES'!$AC$662&amp;""</f>
        <v/>
      </c>
      <c r="MM119" s="152">
        <f>'INVOCAÇÕES'!$AC$663&amp;""</f>
        <v/>
      </c>
      <c r="MN119" s="152">
        <f>'INVOCAÇÕES'!$AC$664&amp;""</f>
        <v/>
      </c>
      <c r="MO119" s="152">
        <f>'INVOCAÇÕES'!$AC$665&amp;""</f>
        <v/>
      </c>
      <c r="MP119" s="152">
        <f>'INVOCAÇÕES'!$AC$666&amp;""</f>
        <v/>
      </c>
      <c r="MQ119" s="152">
        <f>IF($MG119&lt;&gt;"",1,0)</f>
        <v/>
      </c>
      <c r="MR119" s="152">
        <f>INDEX($FI$2:$FI$13,$MB119)</f>
        <v/>
      </c>
      <c r="MS119" s="152">
        <f>INDEX($FJ$2:$FJ$13,$MB119)</f>
        <v/>
      </c>
      <c r="MT119" s="152">
        <f>INDEX($FK$2:$FK$13,$MB119)</f>
        <v/>
      </c>
      <c r="MU119" s="152">
        <f>INDEX($FV$2:$FV$13,$MB119)</f>
        <v/>
      </c>
      <c r="MV119" s="152">
        <f>INDEX($FW$2:$FW$13,$MB119)</f>
        <v/>
      </c>
      <c r="MW119" s="152">
        <f>IFERROR(MATCH($MH119,$V$2:$V$11,0),0)</f>
        <v/>
      </c>
      <c r="MX119" s="152">
        <f>IFERROR(VLOOKUP($MK119,$AV$2:$BA$84,2,FALSE),"")</f>
        <v/>
      </c>
      <c r="MY119" s="152">
        <f>IFERROR(VLOOKUP($ML119,$AV$2:$BA$84,2,FALSE),"")</f>
        <v/>
      </c>
      <c r="MZ119" s="152">
        <f>IFERROR(VLOOKUP($MM119,$AV$2:$BA$84,2,FALSE),"")</f>
        <v/>
      </c>
      <c r="NA119" s="152">
        <f>IFERROR(VLOOKUP($MN119,$AV$2:$BA$84,2,FALSE),"")</f>
        <v/>
      </c>
      <c r="NB119" s="152">
        <f>IFERROR(VLOOKUP($MK119,$AV$2:$BA$84,3,FALSE),0)</f>
        <v/>
      </c>
      <c r="NC119" s="152">
        <f>IFERROR(VLOOKUP($ML119,$AV$2:$BA$84,3,FALSE),0)</f>
        <v/>
      </c>
      <c r="ND119" s="152">
        <f>IFERROR(VLOOKUP($MM119,$AV$2:$BA$84,3,FALSE),0)</f>
        <v/>
      </c>
      <c r="NE119" s="152">
        <f>IFERROR(VLOOKUP($MN119,$AV$2:$BA$84,3,FALSE),0)</f>
        <v/>
      </c>
      <c r="NF119" s="152">
        <f>IF($MF119=0,0,IF($MW119=0,0,INDEX($X$2:$X$11,$MW119)))</f>
        <v/>
      </c>
      <c r="NG119" s="152">
        <f>IF(OR($NB119=0,$MF119=0),0,$NB119+3*IF(AND($MX119&lt;&gt;"",OR($MX119=INDEX($EF$2:$EF$13,$MB119),$MX119=INDEX($EG$2:$EG$13,$MB119))),1,0))</f>
        <v/>
      </c>
      <c r="NH119" s="152">
        <f>IF(OR($NC119=0,$MF119=0),0,$NC119+3*IF(AND($MY119&lt;&gt;"",OR($MY119=INDEX($EF$2:$EF$13,$MB119),$MY119=INDEX($EG$2:$EG$13,$MB119))),1,0))</f>
        <v/>
      </c>
      <c r="NI119" s="152">
        <f>IF(OR($ND119=0,$MF119=0),0,$ND119+3*IF(AND($MZ119&lt;&gt;"",OR($MZ119=INDEX($EF$2:$EF$13,$MB119),$MZ119=INDEX($EG$2:$EG$13,$MB119))),1,0))</f>
        <v/>
      </c>
      <c r="NJ119" s="152">
        <f>IF(OR($NE119=0,$MF119=0),0,$NE119+3*IF(AND($NA119&lt;&gt;"",OR($NA119=INDEX($EF$2:$EF$13,$MB119),$NA119=INDEX($EG$2:$EG$13,$MB119))),1,0))</f>
        <v/>
      </c>
      <c r="NK119" s="152">
        <f>IF($MW119=0,0,IF(INDEX($W$2:$W$11,$MW119)="",0,IF(COUNTIF(INDEX($EF$2:$EJ$13,$MB119,0),INDEX($W$2:$W$11,$MW119))=0,1,0)))</f>
        <v/>
      </c>
      <c r="NL119" s="152">
        <f>IF(OR($NB119=0,$MX119=""),0,IF(COUNTIF(INDEX($EF$2:$EJ$13,$MB119,0),$MX119)=0,1,0))</f>
        <v/>
      </c>
      <c r="NM119" s="152">
        <f>IF(OR($NC119=0,$MY119=""),0,IF(COUNTIF(INDEX($EF$2:$EJ$13,$MB119,0),$MY119)=0,1,0))</f>
        <v/>
      </c>
      <c r="NN119" s="152">
        <f>IF(OR($ND119=0,$MZ119=""),0,IF(COUNTIF(INDEX($EF$2:$EJ$13,$MB119,0),$MZ119)=0,1,0))</f>
        <v/>
      </c>
      <c r="NO119" s="152">
        <f>IF(OR($NE119=0,$NA119=""),0,IF(COUNTIF(INDEX($EF$2:$EJ$13,$MB119,0),$NA119)=0,1,0))</f>
        <v/>
      </c>
      <c r="NP119" s="152">
        <f>IFERROR(VLOOKUP($MK119,$AV$2:$BA$84,4,FALSE),0)+IFERROR(VLOOKUP($ML119,$AV$2:$BA$84,4,FALSE),0)+IFERROR(VLOOKUP($MM119,$AV$2:$BA$84,4,FALSE),0)+IFERROR(VLOOKUP($MN119,$AV$2:$BA$84,4,FALSE),0)</f>
        <v/>
      </c>
      <c r="NQ119" s="152">
        <f>IFERROR(VLOOKUP($MK119,$AV$2:$BA$84,6,FALSE),0)+IFERROR(VLOOKUP($ML119,$AV$2:$BA$84,6,FALSE),0)+IFERROR(VLOOKUP($MM119,$AV$2:$BA$84,6,FALSE),0)+IFERROR(VLOOKUP($MN119,$AV$2:$BA$84,6,FALSE),0)</f>
        <v/>
      </c>
      <c r="NR119" s="152">
        <f>TEXTJOIN(", ",TRUE,IF(IFERROR(VLOOKUP($MK119,$AV$2:$BA$84,5,FALSE),0)=1,$MK119,""),IF(IFERROR(VLOOKUP($ML119,$AV$2:$BA$84,5,FALSE),0)=1,$ML119,""),IF(IFERROR(VLOOKUP($MM119,$AV$2:$BA$84,5,FALSE),0)=1,$MM119,""),IF(IFERROR(VLOOKUP($MN119,$AV$2:$BA$84,5,FALSE),0)=1,$MN119,""))</f>
        <v/>
      </c>
      <c r="NS119" s="152">
        <f>IF($MW119=0,0,INDEX($Y$2:$Y$11,$MW119))</f>
        <v/>
      </c>
      <c r="NT119" s="152">
        <f>IF($MW119=0,0,INDEX($Z$2:$Z$11,$MW119))</f>
        <v/>
      </c>
      <c r="NU119" s="152">
        <f>IF($MW119=0,0,INDEX($AB$2:$AB$11,$MW119))</f>
        <v/>
      </c>
      <c r="NV119" s="152">
        <f>IFERROR(VLOOKUP($MO119,$BC$2:$BG$24,3,FALSE),0)</f>
        <v/>
      </c>
      <c r="NW119" s="152">
        <f>IFERROR(VLOOKUP($MP119,$BC$2:$BG$24,3,FALSE),0)</f>
        <v/>
      </c>
      <c r="NX119" s="152">
        <f>IFERROR(VLOOKUP($MO119,$BC$2:$BG$24,2,FALSE),"")</f>
        <v/>
      </c>
      <c r="NY119" s="152">
        <f>IFERROR(VLOOKUP($MP119,$BC$2:$BG$24,2,FALSE),"")</f>
        <v/>
      </c>
      <c r="NZ119" s="152">
        <f>COUNTIF($NF119:$NJ119,1)</f>
        <v/>
      </c>
      <c r="OA119" s="152">
        <f>COUNTIF($NF119:$NJ119,2)</f>
        <v/>
      </c>
      <c r="OB119" s="152">
        <f>COUNTIF($NF119:$NJ119,3)</f>
        <v/>
      </c>
      <c r="OC119" s="152">
        <f>COUNTIF($NF119:$NJ119,4)</f>
        <v/>
      </c>
      <c r="OD119" s="152">
        <f>COUNTIF($NF119:$NJ119,5)</f>
        <v/>
      </c>
      <c r="OE119" s="152">
        <f>COUNTIF($NF119:$NJ119,6)</f>
        <v/>
      </c>
      <c r="OF119" s="152">
        <f>COUNTIF($NV119:$NW119,1)</f>
        <v/>
      </c>
      <c r="OG119" s="152">
        <f>COUNTIF($NV119:$NW119,2)+$NS119</f>
        <v/>
      </c>
      <c r="OH119" s="152">
        <f>COUNTIF($MK119:$MN119,"?*")</f>
        <v/>
      </c>
      <c r="OI119" s="152">
        <f>COUNTIF($MO119:$MP119,"?*")+$NS119</f>
        <v/>
      </c>
      <c r="OJ119" s="152">
        <f>IF($MF119=0,0,SUMPRODUCT($NZ119:$OE119,INDEX($I$2:$N$8,MAX(1,$MF119),0)))</f>
        <v/>
      </c>
      <c r="OK119" s="152">
        <f>IF($MF119=0,0,$OF119*CEILING($MF119/2,1)+$OG119*$MF119)</f>
        <v/>
      </c>
      <c r="OL119" s="152">
        <f>MIN(2*$MF119,$OK119)</f>
        <v/>
      </c>
      <c r="OM119" s="152">
        <f>MIN($OL119,$OJ119)</f>
        <v/>
      </c>
      <c r="ON119" s="152">
        <f>$OL119-$OM119</f>
        <v/>
      </c>
      <c r="OO119" s="152">
        <f>IF($MF119=0,0,INDEX($P$2:$P$8,MAX(1,$MF119)))</f>
        <v/>
      </c>
      <c r="OP119" s="152">
        <f>$OO119-$OJ119+$OM119</f>
        <v/>
      </c>
      <c r="OQ119" s="152">
        <f>IF($MF119=0,MAX(0,$MT119-IF($OH119&gt;0,1,0)),MAX(0,$OP119))</f>
        <v/>
      </c>
      <c r="OR119" s="152">
        <f>IF($MF119=0,0,(IF(COUNTIF($MK119:$MN119,"Salto")&gt;0,1,0)+IF(COUNTIF($MK119:$MN119,"Queima")&gt;0,1,0)+IF(COUNTIF($MK119:$MN119,"Estilhaço")&gt;0,1,0))*FLOOR($OQ119/2,1))</f>
        <v/>
      </c>
      <c r="OS119" s="152">
        <f>MAX(0,2-SUMPRODUCT($NZ119:$OE119,$I$2:$N$2)+MIN(2,$OF119*1+$OG119*1,SUMPRODUCT($NZ119:$OE119,$I$2:$N$2)))</f>
        <v/>
      </c>
      <c r="OT119" s="152">
        <f>MAX(0,4-SUMPRODUCT($NZ119:$OE119,$I$3:$N$3)+MIN(4,$OF119*1+$OG119*2,SUMPRODUCT($NZ119:$OE119,$I$3:$N$3)))</f>
        <v/>
      </c>
      <c r="OU119" s="152">
        <f>MAX(0,6-SUMPRODUCT($NZ119:$OE119,$I$4:$N$4)+MIN(6,$OF119*2+$OG119*3,SUMPRODUCT($NZ119:$OE119,$I$4:$N$4)))</f>
        <v/>
      </c>
      <c r="OV119" s="152">
        <f>MAX(0,9-SUMPRODUCT($NZ119:$OE119,$I$5:$N$5)+MIN(8,$OF119*2+$OG119*4,SUMPRODUCT($NZ119:$OE119,$I$5:$N$5)))</f>
        <v/>
      </c>
      <c r="OW119" s="152">
        <f>MAX(0,11-SUMPRODUCT($NZ119:$OE119,$I$6:$N$6)+MIN(10,$OF119*3+$OG119*5,SUMPRODUCT($NZ119:$OE119,$I$6:$N$6)))</f>
        <v/>
      </c>
      <c r="OX119" s="152">
        <f>MAX(0,13-SUMPRODUCT($NZ119:$OE119,$I$7:$N$7)+MIN(12,$OF119*3+$OG119*6,SUMPRODUCT($NZ119:$OE119,$I$7:$N$7)))</f>
        <v/>
      </c>
      <c r="OY119" s="152">
        <f>MAX(0,16-SUMPRODUCT($NZ119:$OE119,$I$8:$N$8)+MIN(14,$OF119*4+$OG119*7,SUMPRODUCT($NZ119:$OE119,$I$8:$N$8)))</f>
        <v/>
      </c>
      <c r="OZ119" s="152">
        <f>IF($NT119=2,3*$OS119&amp;" de vida temp.",IF($NT119=3,"sem dano",IF($OS119=0,IF($NT119=1,"sem cura","sem dano"),IF($NT119=1,"cura ","")&amp;$OS119&amp;"d8")))</f>
        <v/>
      </c>
      <c r="PA119" s="152">
        <f>IF($NT119=2,3*$OT119&amp;" de vida temp.",IF($NT119=3,"sem dano",IF($OT119=0,IF($NT119=1,"sem cura","sem dano"),IF($NT119=1,"cura ","")&amp;$OT119&amp;"d8")))</f>
        <v/>
      </c>
      <c r="PB119" s="152">
        <f>IF($NT119=2,3*$OU119&amp;" de vida temp.",IF($NT119=3,"sem dano",IF($OU119=0,IF($NT119=1,"sem cura","sem dano"),IF($NT119=1,"cura ","")&amp;$OU119&amp;"d8")))</f>
        <v/>
      </c>
      <c r="PC119" s="152">
        <f>IF($NT119=2,3*$OV119&amp;" de vida temp.",IF($NT119=3,"sem dano",IF($OV119=0,IF($NT119=1,"sem cura","sem dano"),IF($NT119=1,"cura ","")&amp;$OV119&amp;"d8")))</f>
        <v/>
      </c>
      <c r="PD119" s="152">
        <f>IF($NT119=2,3*$OW119&amp;" de vida temp.",IF($NT119=3,"sem dano",IF($OW119=0,IF($NT119=1,"sem cura","sem dano"),IF($NT119=1,"cura ","")&amp;$OW119&amp;"d8")))</f>
        <v/>
      </c>
      <c r="PE119" s="152">
        <f>IF($NT119=2,3*$OX119&amp;" de vida temp.",IF($NT119=3,"sem dano",IF($OX119=0,IF($NT119=1,"sem cura","sem dano"),IF($NT119=1,"cura ","")&amp;$OX119&amp;"d8")))</f>
        <v/>
      </c>
      <c r="PF119" s="152">
        <f>IF($NT119=2,3*$OY119&amp;" de vida temp.",IF($NT119=3,"sem dano",IF($OY119=0,IF($NT119=1,"sem cura","sem dano"),IF($NT119=1,"cura ","")&amp;$OY119&amp;"d8")))</f>
        <v/>
      </c>
      <c r="PG119" s="152">
        <f>IF($MQ119=0,"",TEXTJOIN(" · ",TRUE,IF($MD119&gt;$MR119,"Este lugar abre no nível "&amp;$MD119,""),IF($MF119&gt;$MS119,"Classe "&amp;$MF119&amp;": o nível "&amp;$MR119&amp;" libera até a "&amp;$MS119,""),IF($NK119=1,"A Forma "&amp;$MH119&amp;" pede "&amp;INDEX($W$2:$W$11,$MW119)&amp;" aberta",""),IF(AND($MF119=0,$MW119&gt;0,IF($MW119=0,0,INDEX($AF$2:$AF$11,$MW119))=0),$MH119&amp;" não existe na Classe 0",""),IF($NL119=1,"Família Fechada: "&amp;$MK119,""),IF($NM119=1,"Família Fechada: "&amp;$ML119,""),IF($NN119=1,"Família Fechada: "&amp;$MM119,""),IF($NO119=1,"Família Fechada: "&amp;$MN119,""),IF(AND($MF119&gt;0,$OH119&gt;INDEX($O$2:$O$8,MAX(1,$MF119))),$OH119&amp;" Melhorias: a Classe "&amp;$MF119&amp;" aceita "&amp;INDEX($O$2:$O$8,MAX(1,$MF119)),""),IF(AND($MF119=0,$OH119&gt;1),"A básica aceita uma Melhoria",""),IF(AND($MF119=0,COUNTIF($NB119:$NE119,"&gt;1")&gt;0),"A básica só aceita Melhoria Leve",""),IF(AND($MF119&gt;0,$OI119&gt;2),$OI119&amp;" Restrições"&amp;IF($NS119=1,", contando a que a Forma "&amp;$MH119&amp;" já traz","")&amp;": o limite é 2",""),IF(AND($MF119=0,COUNTIF($MO119:$MP119,"?*")&gt;1),"A básica aceita uma Restrição Leve",""),IF(AND($MF119=0,COUNTIF($NV119:$NW119,2)&gt;0),"A básica só aceita Restrição Leve",""),IF(AND($MF119&gt;0,$OP119&lt;0),"Orçamento estourado: faltam "&amp;(-$OP119)&amp;IF($OP119&lt;-1," pontos"," ponto"),""),IF(IFERROR(VLOOKUP($MO119,$BC$2:$BG$24,4,FALSE),0)+IFERROR(VLOOKUP($MP119,$BC$2:$BG$24,4,FALSE),0)&gt;1,$NX119&amp;" e "&amp;$NY119&amp;" são as duas de frequência",""),IF(AND((COUNTIF($MK119:$MN119,"Rápido")+COUNTIF($NX119:$NY119,"Rápido"))&gt;0,(COUNTIF($MK119:$MN119,"Atrasar")+COUNTIF($NX119:$NY119,"Atrasar"))&gt;0),"Rápido não entra com Atrasar",""),IF(AND((COUNTIF($MK119:$MN119,"Reação")+COUNTIF($NX119:$NY119,"Reação"))&gt;0,(COUNTIF($MK119:$MN119,"Rápido")+COUNTIF($NX119:$NY119,"Rápido"))&gt;0),"Reação não entra com Rápido",""),IF(AND((COUNTIF($MK119:$MN119,"Reação")+COUNTIF($NX119:$NY119,"Reação"))&gt;0,(COUNTIF($MK119:$MN119,"Armado")+COUNTIF($NX119:$NY119,"Armado"))&gt;0),"Reação não entra com Armado",""),IF(AND((COUNTIF($MK119:$MN119,"Reação")+COUNTIF($NX119:$NY119,"Reação"))&gt;0,(COUNTIF($MK119:$MN119,"Atrasar")+COUNTIF($NX119:$NY119,"Atrasar"))&gt;0),"Reação não entra com Atrasar",""),IF(AND((COUNTIF($MK119:$MN119,"Reação")+COUNTIF($NX119:$NY119,"Reação"))&gt;0,(COUNTIF($MK119:$MN119,"Parado")+COUNTIF($NX119:$NY119,"Parado"))&gt;0),"Reação não entra com Parado",""),IF(AND((COUNTIF($MK119:$MN119,"Atrasar")+COUNTIF($NX119:$NY119,"Atrasar"))&gt;0,(COUNTIF($MK119:$MN119,"Parado")+COUNTIF($NX119:$NY119,"Parado"))&gt;0),"Atrasar não entra com Parado",""),IF(AND((COUNTIF($MK119:$MN119,"Armado")+COUNTIF($NX119:$NY119,"Armado"))&gt;0,(COUNTIF($MK119:$MN119,"Carregar")+COUNTIF($NX119:$NY119,"Carregar"))&gt;0),"Armado não entra com Carregar",""),IF(AND(COUNTIF($NX119:$NY119,"Corpo a Corpo")&gt;0,$NS119=0,OR($MH119="Cone",$MH119="Linha")),"Corpo a Corpo não entra em "&amp;$MH119,""),IF(AND(COUNTIF($NX119:$NY119,"Corpo a Corpo")&gt;0,$NS119=1),"A Forma "&amp;$MH119&amp;" já traz o Corpo a Corpo",""),IF(AND(COUNTIF($NX119:$NY119,"Tudo ou Nada")&gt;0,$NU119=0),"Tudo ou Nada só entra em habilidade de Teste de Resistência",""),IF(AND(COUNTIF($MK119:$MN119,"Inescapável")&gt;0,OR($OH119&gt;1,$OI119&gt;0)),"Inescapável não aceita outra peça",""),IF(AND($MF119&gt;0,$OQ119*IF(COUNTIF($MK119:$MN119,"Remate")&gt;0,1.25,1)+$OR119&gt;4*$MF119),($OQ119*IF(COUNTIF($MK119:$MN119,"Remate")&gt;0,1.25,1)+$OR119)&amp;" dados somando repetições"&amp;IF(COUNTIF($MK119:$MN119,"Remate")&gt;0," e o Remate","")&amp;": o teto da Classe "&amp;$MF119&amp;" é "&amp;4*$MF119,"")))</f>
        <v/>
      </c>
      <c r="PH119" s="152">
        <f>IF($PG119="",0,(LEN($PG119)-LEN(SUBSTITUTE($PG119," · ","")))/3+1)</f>
        <v/>
      </c>
      <c r="PI119" s="152">
        <f>IF($MQ119=0,"",TEXTJOIN(" · ",TRUE,IF($OK119&gt;2*$MF119,"A devolução parou no teto de "&amp;2*$MF119,""),IF($ON119&gt;0,"Devolução perdida: "&amp;$ON119&amp;IF($ON119&gt;1," pontos"," ponto")&amp;" sem peça para pagar",""),IF(AND($NP119&gt;0,AND($MF119&gt;0,$NT119=0),$OQ119=0),"Controle sem dano: uma rodada a mais e CD +2",""),IF(AND($NP119&gt;0,AND($MF119&gt;0,$NT119=0),$OQ119&gt;0,$OQ119&lt;=$MF119),"Controle com saldo até a Classe: uma rodada a mais",""),IF(AND($MF119&gt;0,$NR119&lt;&gt;""),"Efeito de "&amp;$NR119&amp;" pela Classe "&amp;MAX(1,$MF119-1),"")))</f>
        <v/>
      </c>
      <c r="PJ119" s="152">
        <f>IF($PI119="",0,(LEN($PI119)-LEN(SUBSTITUTE($PI119," · ","")))/3+1)</f>
        <v/>
      </c>
      <c r="PK119" s="152">
        <f>IF($MQ119=0,IF($OH119+COUNTIF($MO119:$MP119,"?*")&gt;0,"Dê um nome",""),IF($PH119&gt;0,"⚠ "&amp;$PH119&amp;IF($PH119&gt;1," erros"," erro"),IF($PJ119&gt;0,"! "&amp;$PJ119&amp;IF($PJ119&gt;1," avisos"," aviso"),"Na regra")))</f>
        <v/>
      </c>
      <c r="PL119" s="152">
        <f>IF($MQ119=0,"",IF($PH119+$PJ119=0,"Dentro das regras que a ficha confere",$PG119&amp;IF(AND($PH119&gt;0,$PJ119&gt;0)," · ","")&amp;$PI119))</f>
        <v/>
      </c>
      <c r="PM119" s="152">
        <f>IF($MD119&gt;$MR119,$ME119&amp;" · ABRE NO NÍVEL "&amp;$MD119,$ME119)</f>
        <v/>
      </c>
      <c r="PN119" s="152">
        <f>IF($MQ119=0,"",IF($MF119=0,"Sem PE",3*$MF119&amp;" PE"))</f>
        <v/>
      </c>
      <c r="PO119" s="152">
        <f>IF($MQ119=0,"",IF($MF119=0,"A atuação básica dela",IF(COUNTIF($NX119:$NY119,"Atrasar")&gt;0,"Sua Ação Completa",IF(COUNTIF($MK119:$MN119,"Rápido")&gt;0,"Sua Bônus",IF(COUNTIF($MK119:$MN119,"Reação")&gt;0,"Sua Reação","Sua Padrão")))&amp;" + a básica dela"&amp;IF(COUNTIF($MK119:$MN119,"Reação")&gt;0," e a coletiva","")&amp;IF(COUNTIF($NX119:$NY119,"Carregar")&gt;0," · em dois turnos","")))</f>
        <v/>
      </c>
      <c r="PP119" s="152">
        <f>IF($MJ119&lt;&gt;"",$MJ119,IF($MW119=0,"",INDEX($AA$2:$AA$11,$MW119)))</f>
        <v/>
      </c>
      <c r="PQ119" s="152">
        <f>IF(OR($MQ119=0,$MW119=0),"",IF(COUNTIF($MK119:$MN119,"Inescapável")&gt;0,"Automático",IF($PP119="Ataque",IF($MU119="","Ataque","Ataque "&amp;IF(($MU119+2*IF(COUNTIF($MK119:$MN119,"Precisão")&gt;0,1,0))&gt;=0,"+","−")&amp;ABS(($MU119+2*IF(COUNTIF($MK119:$MN119,"Precisão")&gt;0,1,0))))&amp;IF($NQ119&gt;0," · TR"&amp;IF($MV119="",""," CD "&amp;$MV119),""),IF(LEFT($PP119,2)="TR",$PP119&amp;IF($MV119="",""," · CD "&amp;$MV119)&amp;IF(COUNTIF($MK119:$MN119,"Certeiro")&gt;0," · metade",""),"Sem rolagem"))))</f>
        <v/>
      </c>
      <c r="PR119" s="152">
        <f>IF(OR($MQ119=0,$MW119=0),"",IF($MF119=0,IF(OR($NT119&gt;=1,$OQ119=0),"Sem dano",$OQ119&amp;"d6"&amp;IF($MI119="",""," "&amp;$MI119)),IF(OR($NT119&gt;=1,$OQ119=0),UPPER(LEFT(INDEX($OZ119:$PF119,1,MAX(1,$MF119)),1))&amp;MID(INDEX($OZ119:$PF119,1,MAX(1,$MF119)),2,99),UPPER(LEFT(INDEX($OZ119:$PF119,1,MAX(1,$MF119)),1))&amp;MID(INDEX($OZ119:$PF119,1,MAX(1,$MF119)),2,99)&amp;IF($MI119="",""," "&amp;$MI119)&amp;IF($OR119&gt;0," · +"&amp;$OR119&amp;"d8",""))))</f>
        <v/>
      </c>
      <c r="PS119" s="152">
        <f>COUNTIF($MK119:$MN119,"Longe")+3*COUNTIF($MK119:$MN119,"Muito Longe")</f>
        <v/>
      </c>
      <c r="PT119" s="152">
        <f>COUNTIF($MK119:$MN119,"Maior")+3*COUNTIF($MK119:$MN119,"Muito Maior")</f>
        <v/>
      </c>
      <c r="PU119" s="152">
        <f>IF($MW119=0,0,CHOOSE(1+INDEX($AC$2:$AC$11,$MW119),0,$PS119,$PT119,$PS119+$PT119))</f>
        <v/>
      </c>
      <c r="PV119" s="152">
        <f>IF($MW119=0,0,CHOOSE(1+INDEX($AD$2:$AD$11,$MW119),0,$PS119,$PT119,$PS119+$PT119))</f>
        <v/>
      </c>
      <c r="PW119" s="152">
        <f>IF(OR($MQ119=0,$MW119=0),"",INDEX($AI$2:$AN$41,($MW119-1)*4+IF($MF119=0,1,IF($MF119&lt;=5,2,IF($MF119=6,3,4))),1+MIN(5,$PU119))&amp;INDEX($AO$2:$AT$41,($MW119-1)*4+IF($MF119=0,1,IF($MF119&lt;=5,2,IF($MF119=6,3,4))),1+MIN(5,$PV119))&amp;IF(INDEX($AE$2:$AE$11,$MW119)=1,IF(COUNTIF($MK119:$MN119,"Mais Um")&gt;0," · +"&amp;COUNTIF($MK119:$MN119,"Mais Um")&amp;IF(COUNTIF($MK119:$MN119,"Mais Um")&gt;1," alvos"," alvo"),"")&amp;IF(COUNTIF($MK119:$MN119,"Rajada")&gt;0,IF($MF119=0," · 1 tiro"," · "&amp;(MAX(1,$MF119-1)+1)&amp;" tiros"),""),""))</f>
        <v/>
      </c>
      <c r="PX119" s="152">
        <f>IF($MQ119=0,"",IF($MF119=0,$MT119&amp;"d6"&amp;IF($OH119&gt;0," − 1 = "&amp;$OQ119&amp;"d6"," da básica do nível "&amp;$MR119),$OO119&amp;" − "&amp;$OJ119&amp;" + "&amp;$OM119&amp;" = "&amp;$OP119&amp;" · teto "&amp;4*$MF119&amp;"d8"&amp;IF($NS119=1," · a Forma devolve "&amp;$MF119,"")&amp;IF($ON119&gt;0," · perde "&amp;$ON119,"")))</f>
        <v/>
      </c>
      <c r="PY119" s="152">
        <f>IF($MQ119=0,"",IF($MF119=0,"A básica não amplia: os dados dela sobem com o nível",IF($MF119&gt;=$MS119,"Já está na maior Classe que o nível liberou",TEXTJOIN(" · ",TRUE,IF(AND(2&gt;$MF119,2&lt;=$MS119),"2 → "&amp;$PA119&amp;", 6 PE",""),IF(AND(3&gt;$MF119,3&lt;=$MS119),"3 → "&amp;$PB119&amp;", 9 PE",""),IF(AND(4&gt;$MF119,4&lt;=$MS119),"4 → "&amp;$PC119&amp;", 12 PE",""),IF(AND(5&gt;$MF119,5&lt;=$MS119),"5 → "&amp;$PD119&amp;", 15 PE",""),IF(AND(6&gt;$MF119,6&lt;=$MS119),"6 → "&amp;$PE119&amp;", 18 PE",""),IF(AND(7&gt;$MF119,7&lt;=$MS119),"7 → "&amp;$PF119&amp;", 21 PE","")))))</f>
        <v/>
      </c>
      <c r="PZ119" s="152">
        <f>IF(OR($MQ119=0,$NB119=0),"",IF($MF119=0,"−1 dado","−"&amp;INDEX($I$2:$N$8,MAX(1,$MF119),MAX(1,$NG119))&amp;" · "&amp;CHOOSE(MAX(1,$NG119),"Leve","Média","Pesada","Leve · Livre","Média · Livre","Pesada · Livre")))</f>
        <v/>
      </c>
      <c r="QA119" s="152">
        <f>IF(OR($MQ119=0,$NC119=0),"",IF($MF119=0,"−1 dado","−"&amp;INDEX($I$2:$N$8,MAX(1,$MF119),MAX(1,$NH119))&amp;" · "&amp;CHOOSE(MAX(1,$NH119),"Leve","Média","Pesada","Leve · Livre","Média · Livre","Pesada · Livre")))</f>
        <v/>
      </c>
      <c r="QB119" s="152">
        <f>IF(OR($MQ119=0,$ND119=0),"",IF($MF119=0,"−1 dado","−"&amp;INDEX($I$2:$N$8,MAX(1,$MF119),MAX(1,$NI119))&amp;" · "&amp;CHOOSE(MAX(1,$NI119),"Leve","Média","Pesada","Leve · Livre","Média · Livre","Pesada · Livre")))</f>
        <v/>
      </c>
      <c r="QC119" s="152">
        <f>IF(OR($MQ119=0,$NE119=0),"",IF($MF119=0,"−1 dado","−"&amp;INDEX($I$2:$N$8,MAX(1,$MF119),MAX(1,$NJ119))&amp;" · "&amp;CHOOSE(MAX(1,$NJ119),"Leve","Média","Pesada","Leve · Livre","Média · Livre","Pesada · Livre")))</f>
        <v/>
      </c>
      <c r="QD119" s="152">
        <f>IF(OR($MQ119=0,$MO119=""),"",IF($MF119=0,"não devolve","+"&amp;IF($NV119=1,CEILING($MF119/2,1),$MF119)))</f>
        <v/>
      </c>
      <c r="QE119" s="152">
        <f>IF(OR($MQ119=0,$MP119=""),"",IF($MF119=0,"não devolve","+"&amp;IF($NW119=1,CEILING($MF119/2,1),$MF119)))</f>
        <v/>
      </c>
    </row>
    <row r="120">
      <c r="MA120" s="150" t="inlineStr">
        <is>
          <t>Ficha 10 · Especial 1</t>
        </is>
      </c>
      <c r="MB120" s="152" t="n">
        <v>10</v>
      </c>
      <c r="MC120" s="152" t="n">
        <v>1</v>
      </c>
      <c r="MD120" s="152" t="n">
        <v>1</v>
      </c>
      <c r="ME120" s="150" t="inlineStr">
        <is>
          <t>ESPECIAL 1</t>
        </is>
      </c>
      <c r="MF120" s="152">
        <f>MAX(1,MIN(7,N('INVOCAÇÕES'!$AH$652)))</f>
        <v/>
      </c>
      <c r="MG120" s="152">
        <f>'INVOCAÇÕES'!$AI$652&amp;""</f>
        <v/>
      </c>
      <c r="MH120" s="152">
        <f>'INVOCAÇÕES'!$AH$657&amp;""</f>
        <v/>
      </c>
      <c r="MI120" s="152">
        <f>'INVOCAÇÕES'!$AH$658&amp;""</f>
        <v/>
      </c>
      <c r="MJ120" s="152">
        <f>'INVOCAÇÕES'!$AJ$658&amp;""</f>
        <v/>
      </c>
      <c r="MK120" s="152">
        <f>'INVOCAÇÕES'!$AI$661&amp;""</f>
        <v/>
      </c>
      <c r="ML120" s="152">
        <f>'INVOCAÇÕES'!$AI$662&amp;""</f>
        <v/>
      </c>
      <c r="MM120" s="152">
        <f>'INVOCAÇÕES'!$AI$663&amp;""</f>
        <v/>
      </c>
      <c r="MN120" s="152">
        <f>'INVOCAÇÕES'!$AI$664&amp;""</f>
        <v/>
      </c>
      <c r="MO120" s="152">
        <f>'INVOCAÇÕES'!$AI$665&amp;""</f>
        <v/>
      </c>
      <c r="MP120" s="152">
        <f>'INVOCAÇÕES'!$AI$666&amp;""</f>
        <v/>
      </c>
      <c r="MQ120" s="152">
        <f>IF($MG120&lt;&gt;"",1,0)</f>
        <v/>
      </c>
      <c r="MR120" s="152">
        <f>INDEX($FI$2:$FI$13,$MB120)</f>
        <v/>
      </c>
      <c r="MS120" s="152">
        <f>INDEX($FJ$2:$FJ$13,$MB120)</f>
        <v/>
      </c>
      <c r="MT120" s="152">
        <f>INDEX($FK$2:$FK$13,$MB120)</f>
        <v/>
      </c>
      <c r="MU120" s="152">
        <f>INDEX($FV$2:$FV$13,$MB120)</f>
        <v/>
      </c>
      <c r="MV120" s="152">
        <f>INDEX($FW$2:$FW$13,$MB120)</f>
        <v/>
      </c>
      <c r="MW120" s="152">
        <f>IFERROR(MATCH($MH120,$V$2:$V$11,0),0)</f>
        <v/>
      </c>
      <c r="MX120" s="152">
        <f>IFERROR(VLOOKUP($MK120,$AV$2:$BA$84,2,FALSE),"")</f>
        <v/>
      </c>
      <c r="MY120" s="152">
        <f>IFERROR(VLOOKUP($ML120,$AV$2:$BA$84,2,FALSE),"")</f>
        <v/>
      </c>
      <c r="MZ120" s="152">
        <f>IFERROR(VLOOKUP($MM120,$AV$2:$BA$84,2,FALSE),"")</f>
        <v/>
      </c>
      <c r="NA120" s="152">
        <f>IFERROR(VLOOKUP($MN120,$AV$2:$BA$84,2,FALSE),"")</f>
        <v/>
      </c>
      <c r="NB120" s="152">
        <f>IFERROR(VLOOKUP($MK120,$AV$2:$BA$84,3,FALSE),0)</f>
        <v/>
      </c>
      <c r="NC120" s="152">
        <f>IFERROR(VLOOKUP($ML120,$AV$2:$BA$84,3,FALSE),0)</f>
        <v/>
      </c>
      <c r="ND120" s="152">
        <f>IFERROR(VLOOKUP($MM120,$AV$2:$BA$84,3,FALSE),0)</f>
        <v/>
      </c>
      <c r="NE120" s="152">
        <f>IFERROR(VLOOKUP($MN120,$AV$2:$BA$84,3,FALSE),0)</f>
        <v/>
      </c>
      <c r="NF120" s="152">
        <f>IF($MF120=0,0,IF($MW120=0,0,INDEX($X$2:$X$11,$MW120)))</f>
        <v/>
      </c>
      <c r="NG120" s="152">
        <f>IF(OR($NB120=0,$MF120=0),0,$NB120+3*IF(AND($MX120&lt;&gt;"",OR($MX120=INDEX($EF$2:$EF$13,$MB120),$MX120=INDEX($EG$2:$EG$13,$MB120))),1,0))</f>
        <v/>
      </c>
      <c r="NH120" s="152">
        <f>IF(OR($NC120=0,$MF120=0),0,$NC120+3*IF(AND($MY120&lt;&gt;"",OR($MY120=INDEX($EF$2:$EF$13,$MB120),$MY120=INDEX($EG$2:$EG$13,$MB120))),1,0))</f>
        <v/>
      </c>
      <c r="NI120" s="152">
        <f>IF(OR($ND120=0,$MF120=0),0,$ND120+3*IF(AND($MZ120&lt;&gt;"",OR($MZ120=INDEX($EF$2:$EF$13,$MB120),$MZ120=INDEX($EG$2:$EG$13,$MB120))),1,0))</f>
        <v/>
      </c>
      <c r="NJ120" s="152">
        <f>IF(OR($NE120=0,$MF120=0),0,$NE120+3*IF(AND($NA120&lt;&gt;"",OR($NA120=INDEX($EF$2:$EF$13,$MB120),$NA120=INDEX($EG$2:$EG$13,$MB120))),1,0))</f>
        <v/>
      </c>
      <c r="NK120" s="152">
        <f>IF($MW120=0,0,IF(INDEX($W$2:$W$11,$MW120)="",0,IF(COUNTIF(INDEX($EF$2:$EJ$13,$MB120,0),INDEX($W$2:$W$11,$MW120))=0,1,0)))</f>
        <v/>
      </c>
      <c r="NL120" s="152">
        <f>IF(OR($NB120=0,$MX120=""),0,IF(COUNTIF(INDEX($EF$2:$EJ$13,$MB120,0),$MX120)=0,1,0))</f>
        <v/>
      </c>
      <c r="NM120" s="152">
        <f>IF(OR($NC120=0,$MY120=""),0,IF(COUNTIF(INDEX($EF$2:$EJ$13,$MB120,0),$MY120)=0,1,0))</f>
        <v/>
      </c>
      <c r="NN120" s="152">
        <f>IF(OR($ND120=0,$MZ120=""),0,IF(COUNTIF(INDEX($EF$2:$EJ$13,$MB120,0),$MZ120)=0,1,0))</f>
        <v/>
      </c>
      <c r="NO120" s="152">
        <f>IF(OR($NE120=0,$NA120=""),0,IF(COUNTIF(INDEX($EF$2:$EJ$13,$MB120,0),$NA120)=0,1,0))</f>
        <v/>
      </c>
      <c r="NP120" s="152">
        <f>IFERROR(VLOOKUP($MK120,$AV$2:$BA$84,4,FALSE),0)+IFERROR(VLOOKUP($ML120,$AV$2:$BA$84,4,FALSE),0)+IFERROR(VLOOKUP($MM120,$AV$2:$BA$84,4,FALSE),0)+IFERROR(VLOOKUP($MN120,$AV$2:$BA$84,4,FALSE),0)</f>
        <v/>
      </c>
      <c r="NQ120" s="152">
        <f>IFERROR(VLOOKUP($MK120,$AV$2:$BA$84,6,FALSE),0)+IFERROR(VLOOKUP($ML120,$AV$2:$BA$84,6,FALSE),0)+IFERROR(VLOOKUP($MM120,$AV$2:$BA$84,6,FALSE),0)+IFERROR(VLOOKUP($MN120,$AV$2:$BA$84,6,FALSE),0)</f>
        <v/>
      </c>
      <c r="NR120" s="152">
        <f>TEXTJOIN(", ",TRUE,IF(IFERROR(VLOOKUP($MK120,$AV$2:$BA$84,5,FALSE),0)=1,$MK120,""),IF(IFERROR(VLOOKUP($ML120,$AV$2:$BA$84,5,FALSE),0)=1,$ML120,""),IF(IFERROR(VLOOKUP($MM120,$AV$2:$BA$84,5,FALSE),0)=1,$MM120,""),IF(IFERROR(VLOOKUP($MN120,$AV$2:$BA$84,5,FALSE),0)=1,$MN120,""))</f>
        <v/>
      </c>
      <c r="NS120" s="152">
        <f>IF($MW120=0,0,INDEX($Y$2:$Y$11,$MW120))</f>
        <v/>
      </c>
      <c r="NT120" s="152">
        <f>IF($MW120=0,0,INDEX($Z$2:$Z$11,$MW120))</f>
        <v/>
      </c>
      <c r="NU120" s="152">
        <f>IF($MW120=0,0,INDEX($AB$2:$AB$11,$MW120))</f>
        <v/>
      </c>
      <c r="NV120" s="152">
        <f>IFERROR(VLOOKUP($MO120,$BC$2:$BG$24,3,FALSE),0)</f>
        <v/>
      </c>
      <c r="NW120" s="152">
        <f>IFERROR(VLOOKUP($MP120,$BC$2:$BG$24,3,FALSE),0)</f>
        <v/>
      </c>
      <c r="NX120" s="152">
        <f>IFERROR(VLOOKUP($MO120,$BC$2:$BG$24,2,FALSE),"")</f>
        <v/>
      </c>
      <c r="NY120" s="152">
        <f>IFERROR(VLOOKUP($MP120,$BC$2:$BG$24,2,FALSE),"")</f>
        <v/>
      </c>
      <c r="NZ120" s="152">
        <f>COUNTIF($NF120:$NJ120,1)</f>
        <v/>
      </c>
      <c r="OA120" s="152">
        <f>COUNTIF($NF120:$NJ120,2)</f>
        <v/>
      </c>
      <c r="OB120" s="152">
        <f>COUNTIF($NF120:$NJ120,3)</f>
        <v/>
      </c>
      <c r="OC120" s="152">
        <f>COUNTIF($NF120:$NJ120,4)</f>
        <v/>
      </c>
      <c r="OD120" s="152">
        <f>COUNTIF($NF120:$NJ120,5)</f>
        <v/>
      </c>
      <c r="OE120" s="152">
        <f>COUNTIF($NF120:$NJ120,6)</f>
        <v/>
      </c>
      <c r="OF120" s="152">
        <f>COUNTIF($NV120:$NW120,1)</f>
        <v/>
      </c>
      <c r="OG120" s="152">
        <f>COUNTIF($NV120:$NW120,2)+$NS120</f>
        <v/>
      </c>
      <c r="OH120" s="152">
        <f>COUNTIF($MK120:$MN120,"?*")</f>
        <v/>
      </c>
      <c r="OI120" s="152">
        <f>COUNTIF($MO120:$MP120,"?*")+$NS120</f>
        <v/>
      </c>
      <c r="OJ120" s="152">
        <f>IF($MF120=0,0,SUMPRODUCT($NZ120:$OE120,INDEX($I$2:$N$8,MAX(1,$MF120),0)))</f>
        <v/>
      </c>
      <c r="OK120" s="152">
        <f>IF($MF120=0,0,$OF120*CEILING($MF120/2,1)+$OG120*$MF120)</f>
        <v/>
      </c>
      <c r="OL120" s="152">
        <f>MIN(2*$MF120,$OK120)</f>
        <v/>
      </c>
      <c r="OM120" s="152">
        <f>MIN($OL120,$OJ120)</f>
        <v/>
      </c>
      <c r="ON120" s="152">
        <f>$OL120-$OM120</f>
        <v/>
      </c>
      <c r="OO120" s="152">
        <f>IF($MF120=0,0,INDEX($P$2:$P$8,MAX(1,$MF120)))</f>
        <v/>
      </c>
      <c r="OP120" s="152">
        <f>$OO120-$OJ120+$OM120</f>
        <v/>
      </c>
      <c r="OQ120" s="152">
        <f>IF($MF120=0,MAX(0,$MT120-IF($OH120&gt;0,1,0)),MAX(0,$OP120))</f>
        <v/>
      </c>
      <c r="OR120" s="152">
        <f>IF($MF120=0,0,(IF(COUNTIF($MK120:$MN120,"Salto")&gt;0,1,0)+IF(COUNTIF($MK120:$MN120,"Queima")&gt;0,1,0)+IF(COUNTIF($MK120:$MN120,"Estilhaço")&gt;0,1,0))*FLOOR($OQ120/2,1))</f>
        <v/>
      </c>
      <c r="OS120" s="152">
        <f>MAX(0,2-SUMPRODUCT($NZ120:$OE120,$I$2:$N$2)+MIN(2,$OF120*1+$OG120*1,SUMPRODUCT($NZ120:$OE120,$I$2:$N$2)))</f>
        <v/>
      </c>
      <c r="OT120" s="152">
        <f>MAX(0,4-SUMPRODUCT($NZ120:$OE120,$I$3:$N$3)+MIN(4,$OF120*1+$OG120*2,SUMPRODUCT($NZ120:$OE120,$I$3:$N$3)))</f>
        <v/>
      </c>
      <c r="OU120" s="152">
        <f>MAX(0,6-SUMPRODUCT($NZ120:$OE120,$I$4:$N$4)+MIN(6,$OF120*2+$OG120*3,SUMPRODUCT($NZ120:$OE120,$I$4:$N$4)))</f>
        <v/>
      </c>
      <c r="OV120" s="152">
        <f>MAX(0,9-SUMPRODUCT($NZ120:$OE120,$I$5:$N$5)+MIN(8,$OF120*2+$OG120*4,SUMPRODUCT($NZ120:$OE120,$I$5:$N$5)))</f>
        <v/>
      </c>
      <c r="OW120" s="152">
        <f>MAX(0,11-SUMPRODUCT($NZ120:$OE120,$I$6:$N$6)+MIN(10,$OF120*3+$OG120*5,SUMPRODUCT($NZ120:$OE120,$I$6:$N$6)))</f>
        <v/>
      </c>
      <c r="OX120" s="152">
        <f>MAX(0,13-SUMPRODUCT($NZ120:$OE120,$I$7:$N$7)+MIN(12,$OF120*3+$OG120*6,SUMPRODUCT($NZ120:$OE120,$I$7:$N$7)))</f>
        <v/>
      </c>
      <c r="OY120" s="152">
        <f>MAX(0,16-SUMPRODUCT($NZ120:$OE120,$I$8:$N$8)+MIN(14,$OF120*4+$OG120*7,SUMPRODUCT($NZ120:$OE120,$I$8:$N$8)))</f>
        <v/>
      </c>
      <c r="OZ120" s="152">
        <f>IF($NT120=2,3*$OS120&amp;" de vida temp.",IF($NT120=3,"sem dano",IF($OS120=0,IF($NT120=1,"sem cura","sem dano"),IF($NT120=1,"cura ","")&amp;$OS120&amp;"d8")))</f>
        <v/>
      </c>
      <c r="PA120" s="152">
        <f>IF($NT120=2,3*$OT120&amp;" de vida temp.",IF($NT120=3,"sem dano",IF($OT120=0,IF($NT120=1,"sem cura","sem dano"),IF($NT120=1,"cura ","")&amp;$OT120&amp;"d8")))</f>
        <v/>
      </c>
      <c r="PB120" s="152">
        <f>IF($NT120=2,3*$OU120&amp;" de vida temp.",IF($NT120=3,"sem dano",IF($OU120=0,IF($NT120=1,"sem cura","sem dano"),IF($NT120=1,"cura ","")&amp;$OU120&amp;"d8")))</f>
        <v/>
      </c>
      <c r="PC120" s="152">
        <f>IF($NT120=2,3*$OV120&amp;" de vida temp.",IF($NT120=3,"sem dano",IF($OV120=0,IF($NT120=1,"sem cura","sem dano"),IF($NT120=1,"cura ","")&amp;$OV120&amp;"d8")))</f>
        <v/>
      </c>
      <c r="PD120" s="152">
        <f>IF($NT120=2,3*$OW120&amp;" de vida temp.",IF($NT120=3,"sem dano",IF($OW120=0,IF($NT120=1,"sem cura","sem dano"),IF($NT120=1,"cura ","")&amp;$OW120&amp;"d8")))</f>
        <v/>
      </c>
      <c r="PE120" s="152">
        <f>IF($NT120=2,3*$OX120&amp;" de vida temp.",IF($NT120=3,"sem dano",IF($OX120=0,IF($NT120=1,"sem cura","sem dano"),IF($NT120=1,"cura ","")&amp;$OX120&amp;"d8")))</f>
        <v/>
      </c>
      <c r="PF120" s="152">
        <f>IF($NT120=2,3*$OY120&amp;" de vida temp.",IF($NT120=3,"sem dano",IF($OY120=0,IF($NT120=1,"sem cura","sem dano"),IF($NT120=1,"cura ","")&amp;$OY120&amp;"d8")))</f>
        <v/>
      </c>
      <c r="PG120" s="152">
        <f>IF($MQ120=0,"",TEXTJOIN(" · ",TRUE,IF($MD120&gt;$MR120,"Este lugar abre no nível "&amp;$MD120,""),IF($MF120&gt;$MS120,"Classe "&amp;$MF120&amp;": o nível "&amp;$MR120&amp;" libera até a "&amp;$MS120,""),IF($NK120=1,"A Forma "&amp;$MH120&amp;" pede "&amp;INDEX($W$2:$W$11,$MW120)&amp;" aberta",""),IF(AND($MF120=0,$MW120&gt;0,IF($MW120=0,0,INDEX($AF$2:$AF$11,$MW120))=0),$MH120&amp;" não existe na Classe 0",""),IF($NL120=1,"Família Fechada: "&amp;$MK120,""),IF($NM120=1,"Família Fechada: "&amp;$ML120,""),IF($NN120=1,"Família Fechada: "&amp;$MM120,""),IF($NO120=1,"Família Fechada: "&amp;$MN120,""),IF(AND($MF120&gt;0,$OH120&gt;INDEX($O$2:$O$8,MAX(1,$MF120))),$OH120&amp;" Melhorias: a Classe "&amp;$MF120&amp;" aceita "&amp;INDEX($O$2:$O$8,MAX(1,$MF120)),""),IF(AND($MF120=0,$OH120&gt;1),"A básica aceita uma Melhoria",""),IF(AND($MF120=0,COUNTIF($NB120:$NE120,"&gt;1")&gt;0),"A básica só aceita Melhoria Leve",""),IF(AND($MF120&gt;0,$OI120&gt;2),$OI120&amp;" Restrições"&amp;IF($NS120=1,", contando a que a Forma "&amp;$MH120&amp;" já traz","")&amp;": o limite é 2",""),IF(AND($MF120=0,COUNTIF($MO120:$MP120,"?*")&gt;1),"A básica aceita uma Restrição Leve",""),IF(AND($MF120=0,COUNTIF($NV120:$NW120,2)&gt;0),"A básica só aceita Restrição Leve",""),IF(AND($MF120&gt;0,$OP120&lt;0),"Orçamento estourado: faltam "&amp;(-$OP120)&amp;IF($OP120&lt;-1," pontos"," ponto"),""),IF(IFERROR(VLOOKUP($MO120,$BC$2:$BG$24,4,FALSE),0)+IFERROR(VLOOKUP($MP120,$BC$2:$BG$24,4,FALSE),0)&gt;1,$NX120&amp;" e "&amp;$NY120&amp;" são as duas de frequência",""),IF(AND((COUNTIF($MK120:$MN120,"Rápido")+COUNTIF($NX120:$NY120,"Rápido"))&gt;0,(COUNTIF($MK120:$MN120,"Atrasar")+COUNTIF($NX120:$NY120,"Atrasar"))&gt;0),"Rápido não entra com Atrasar",""),IF(AND((COUNTIF($MK120:$MN120,"Reação")+COUNTIF($NX120:$NY120,"Reação"))&gt;0,(COUNTIF($MK120:$MN120,"Rápido")+COUNTIF($NX120:$NY120,"Rápido"))&gt;0),"Reação não entra com Rápido",""),IF(AND((COUNTIF($MK120:$MN120,"Reação")+COUNTIF($NX120:$NY120,"Reação"))&gt;0,(COUNTIF($MK120:$MN120,"Armado")+COUNTIF($NX120:$NY120,"Armado"))&gt;0),"Reação não entra com Armado",""),IF(AND((COUNTIF($MK120:$MN120,"Reação")+COUNTIF($NX120:$NY120,"Reação"))&gt;0,(COUNTIF($MK120:$MN120,"Atrasar")+COUNTIF($NX120:$NY120,"Atrasar"))&gt;0),"Reação não entra com Atrasar",""),IF(AND((COUNTIF($MK120:$MN120,"Reação")+COUNTIF($NX120:$NY120,"Reação"))&gt;0,(COUNTIF($MK120:$MN120,"Parado")+COUNTIF($NX120:$NY120,"Parado"))&gt;0),"Reação não entra com Parado",""),IF(AND((COUNTIF($MK120:$MN120,"Atrasar")+COUNTIF($NX120:$NY120,"Atrasar"))&gt;0,(COUNTIF($MK120:$MN120,"Parado")+COUNTIF($NX120:$NY120,"Parado"))&gt;0),"Atrasar não entra com Parado",""),IF(AND((COUNTIF($MK120:$MN120,"Armado")+COUNTIF($NX120:$NY120,"Armado"))&gt;0,(COUNTIF($MK120:$MN120,"Carregar")+COUNTIF($NX120:$NY120,"Carregar"))&gt;0),"Armado não entra com Carregar",""),IF(AND(COUNTIF($NX120:$NY120,"Corpo a Corpo")&gt;0,$NS120=0,OR($MH120="Cone",$MH120="Linha")),"Corpo a Corpo não entra em "&amp;$MH120,""),IF(AND(COUNTIF($NX120:$NY120,"Corpo a Corpo")&gt;0,$NS120=1),"A Forma "&amp;$MH120&amp;" já traz o Corpo a Corpo",""),IF(AND(COUNTIF($NX120:$NY120,"Tudo ou Nada")&gt;0,$NU120=0),"Tudo ou Nada só entra em habilidade de Teste de Resistência",""),IF(AND(COUNTIF($MK120:$MN120,"Inescapável")&gt;0,OR($OH120&gt;1,$OI120&gt;0)),"Inescapável não aceita outra peça",""),IF(AND($MF120&gt;0,$OQ120*IF(COUNTIF($MK120:$MN120,"Remate")&gt;0,1.25,1)+$OR120&gt;4*$MF120),($OQ120*IF(COUNTIF($MK120:$MN120,"Remate")&gt;0,1.25,1)+$OR120)&amp;" dados somando repetições"&amp;IF(COUNTIF($MK120:$MN120,"Remate")&gt;0," e o Remate","")&amp;": o teto da Classe "&amp;$MF120&amp;" é "&amp;4*$MF120,"")))</f>
        <v/>
      </c>
      <c r="PH120" s="152">
        <f>IF($PG120="",0,(LEN($PG120)-LEN(SUBSTITUTE($PG120," · ","")))/3+1)</f>
        <v/>
      </c>
      <c r="PI120" s="152">
        <f>IF($MQ120=0,"",TEXTJOIN(" · ",TRUE,IF($OK120&gt;2*$MF120,"A devolução parou no teto de "&amp;2*$MF120,""),IF($ON120&gt;0,"Devolução perdida: "&amp;$ON120&amp;IF($ON120&gt;1," pontos"," ponto")&amp;" sem peça para pagar",""),IF(AND($NP120&gt;0,AND($MF120&gt;0,$NT120=0),$OQ120=0),"Controle sem dano: uma rodada a mais e CD +2",""),IF(AND($NP120&gt;0,AND($MF120&gt;0,$NT120=0),$OQ120&gt;0,$OQ120&lt;=$MF120),"Controle com saldo até a Classe: uma rodada a mais",""),IF(AND($MF120&gt;0,$NR120&lt;&gt;""),"Efeito de "&amp;$NR120&amp;" pela Classe "&amp;MAX(1,$MF120-1),"")))</f>
        <v/>
      </c>
      <c r="PJ120" s="152">
        <f>IF($PI120="",0,(LEN($PI120)-LEN(SUBSTITUTE($PI120," · ","")))/3+1)</f>
        <v/>
      </c>
      <c r="PK120" s="152">
        <f>IF($MQ120=0,IF($OH120+COUNTIF($MO120:$MP120,"?*")&gt;0,"Dê um nome",""),IF($PH120&gt;0,"⚠ "&amp;$PH120&amp;IF($PH120&gt;1," erros"," erro"),IF($PJ120&gt;0,"! "&amp;$PJ120&amp;IF($PJ120&gt;1," avisos"," aviso"),"Na regra")))</f>
        <v/>
      </c>
      <c r="PL120" s="152">
        <f>IF($MQ120=0,"",IF($PH120+$PJ120=0,"Dentro das regras que a ficha confere",$PG120&amp;IF(AND($PH120&gt;0,$PJ120&gt;0)," · ","")&amp;$PI120))</f>
        <v/>
      </c>
      <c r="PM120" s="152">
        <f>IF($MD120&gt;$MR120,$ME120&amp;" · ABRE NO NÍVEL "&amp;$MD120,$ME120)</f>
        <v/>
      </c>
      <c r="PN120" s="152">
        <f>IF($MQ120=0,"",IF($MF120=0,"Sem PE",3*$MF120&amp;" PE"))</f>
        <v/>
      </c>
      <c r="PO120" s="152">
        <f>IF($MQ120=0,"",IF($MF120=0,"A atuação básica dela",IF(COUNTIF($NX120:$NY120,"Atrasar")&gt;0,"Sua Ação Completa",IF(COUNTIF($MK120:$MN120,"Rápido")&gt;0,"Sua Bônus",IF(COUNTIF($MK120:$MN120,"Reação")&gt;0,"Sua Reação","Sua Padrão")))&amp;" + a básica dela"&amp;IF(COUNTIF($MK120:$MN120,"Reação")&gt;0," e a coletiva","")&amp;IF(COUNTIF($NX120:$NY120,"Carregar")&gt;0," · em dois turnos","")))</f>
        <v/>
      </c>
      <c r="PP120" s="152">
        <f>IF($MJ120&lt;&gt;"",$MJ120,IF($MW120=0,"",INDEX($AA$2:$AA$11,$MW120)))</f>
        <v/>
      </c>
      <c r="PQ120" s="152">
        <f>IF(OR($MQ120=0,$MW120=0),"",IF(COUNTIF($MK120:$MN120,"Inescapável")&gt;0,"Automático",IF($PP120="Ataque",IF($MU120="","Ataque","Ataque "&amp;IF(($MU120+2*IF(COUNTIF($MK120:$MN120,"Precisão")&gt;0,1,0))&gt;=0,"+","−")&amp;ABS(($MU120+2*IF(COUNTIF($MK120:$MN120,"Precisão")&gt;0,1,0))))&amp;IF($NQ120&gt;0," · TR"&amp;IF($MV120="",""," CD "&amp;$MV120),""),IF(LEFT($PP120,2)="TR",$PP120&amp;IF($MV120="",""," · CD "&amp;$MV120)&amp;IF(COUNTIF($MK120:$MN120,"Certeiro")&gt;0," · metade",""),"Sem rolagem"))))</f>
        <v/>
      </c>
      <c r="PR120" s="152">
        <f>IF(OR($MQ120=0,$MW120=0),"",IF($MF120=0,IF(OR($NT120&gt;=1,$OQ120=0),"Sem dano",$OQ120&amp;"d6"&amp;IF($MI120="",""," "&amp;$MI120)),IF(OR($NT120&gt;=1,$OQ120=0),UPPER(LEFT(INDEX($OZ120:$PF120,1,MAX(1,$MF120)),1))&amp;MID(INDEX($OZ120:$PF120,1,MAX(1,$MF120)),2,99),UPPER(LEFT(INDEX($OZ120:$PF120,1,MAX(1,$MF120)),1))&amp;MID(INDEX($OZ120:$PF120,1,MAX(1,$MF120)),2,99)&amp;IF($MI120="",""," "&amp;$MI120)&amp;IF($OR120&gt;0," · +"&amp;$OR120&amp;"d8",""))))</f>
        <v/>
      </c>
      <c r="PS120" s="152">
        <f>COUNTIF($MK120:$MN120,"Longe")+3*COUNTIF($MK120:$MN120,"Muito Longe")</f>
        <v/>
      </c>
      <c r="PT120" s="152">
        <f>COUNTIF($MK120:$MN120,"Maior")+3*COUNTIF($MK120:$MN120,"Muito Maior")</f>
        <v/>
      </c>
      <c r="PU120" s="152">
        <f>IF($MW120=0,0,CHOOSE(1+INDEX($AC$2:$AC$11,$MW120),0,$PS120,$PT120,$PS120+$PT120))</f>
        <v/>
      </c>
      <c r="PV120" s="152">
        <f>IF($MW120=0,0,CHOOSE(1+INDEX($AD$2:$AD$11,$MW120),0,$PS120,$PT120,$PS120+$PT120))</f>
        <v/>
      </c>
      <c r="PW120" s="152">
        <f>IF(OR($MQ120=0,$MW120=0),"",INDEX($AI$2:$AN$41,($MW120-1)*4+IF($MF120=0,1,IF($MF120&lt;=5,2,IF($MF120=6,3,4))),1+MIN(5,$PU120))&amp;INDEX($AO$2:$AT$41,($MW120-1)*4+IF($MF120=0,1,IF($MF120&lt;=5,2,IF($MF120=6,3,4))),1+MIN(5,$PV120))&amp;IF(INDEX($AE$2:$AE$11,$MW120)=1,IF(COUNTIF($MK120:$MN120,"Mais Um")&gt;0," · +"&amp;COUNTIF($MK120:$MN120,"Mais Um")&amp;IF(COUNTIF($MK120:$MN120,"Mais Um")&gt;1," alvos"," alvo"),"")&amp;IF(COUNTIF($MK120:$MN120,"Rajada")&gt;0,IF($MF120=0," · 1 tiro"," · "&amp;(MAX(1,$MF120-1)+1)&amp;" tiros"),""),""))</f>
        <v/>
      </c>
      <c r="PX120" s="152">
        <f>IF($MQ120=0,"",IF($MF120=0,$MT120&amp;"d6"&amp;IF($OH120&gt;0," − 1 = "&amp;$OQ120&amp;"d6"," da básica do nível "&amp;$MR120),$OO120&amp;" − "&amp;$OJ120&amp;" + "&amp;$OM120&amp;" = "&amp;$OP120&amp;" · teto "&amp;4*$MF120&amp;"d8"&amp;IF($NS120=1," · a Forma devolve "&amp;$MF120,"")&amp;IF($ON120&gt;0," · perde "&amp;$ON120,"")))</f>
        <v/>
      </c>
      <c r="PY120" s="152">
        <f>IF($MQ120=0,"",IF($MF120=0,"A básica não amplia: os dados dela sobem com o nível",IF($MF120&gt;=$MS120,"Já está na maior Classe que o nível liberou",TEXTJOIN(" · ",TRUE,IF(AND(2&gt;$MF120,2&lt;=$MS120),"2 → "&amp;$PA120&amp;", 6 PE",""),IF(AND(3&gt;$MF120,3&lt;=$MS120),"3 → "&amp;$PB120&amp;", 9 PE",""),IF(AND(4&gt;$MF120,4&lt;=$MS120),"4 → "&amp;$PC120&amp;", 12 PE",""),IF(AND(5&gt;$MF120,5&lt;=$MS120),"5 → "&amp;$PD120&amp;", 15 PE",""),IF(AND(6&gt;$MF120,6&lt;=$MS120),"6 → "&amp;$PE120&amp;", 18 PE",""),IF(AND(7&gt;$MF120,7&lt;=$MS120),"7 → "&amp;$PF120&amp;", 21 PE","")))))</f>
        <v/>
      </c>
      <c r="PZ120" s="152">
        <f>IF(OR($MQ120=0,$NB120=0),"",IF($MF120=0,"−1 dado","−"&amp;INDEX($I$2:$N$8,MAX(1,$MF120),MAX(1,$NG120))&amp;" · "&amp;CHOOSE(MAX(1,$NG120),"Leve","Média","Pesada","Leve · Livre","Média · Livre","Pesada · Livre")))</f>
        <v/>
      </c>
      <c r="QA120" s="152">
        <f>IF(OR($MQ120=0,$NC120=0),"",IF($MF120=0,"−1 dado","−"&amp;INDEX($I$2:$N$8,MAX(1,$MF120),MAX(1,$NH120))&amp;" · "&amp;CHOOSE(MAX(1,$NH120),"Leve","Média","Pesada","Leve · Livre","Média · Livre","Pesada · Livre")))</f>
        <v/>
      </c>
      <c r="QB120" s="152">
        <f>IF(OR($MQ120=0,$ND120=0),"",IF($MF120=0,"−1 dado","−"&amp;INDEX($I$2:$N$8,MAX(1,$MF120),MAX(1,$NI120))&amp;" · "&amp;CHOOSE(MAX(1,$NI120),"Leve","Média","Pesada","Leve · Livre","Média · Livre","Pesada · Livre")))</f>
        <v/>
      </c>
      <c r="QC120" s="152">
        <f>IF(OR($MQ120=0,$NE120=0),"",IF($MF120=0,"−1 dado","−"&amp;INDEX($I$2:$N$8,MAX(1,$MF120),MAX(1,$NJ120))&amp;" · "&amp;CHOOSE(MAX(1,$NJ120),"Leve","Média","Pesada","Leve · Livre","Média · Livre","Pesada · Livre")))</f>
        <v/>
      </c>
      <c r="QD120" s="152">
        <f>IF(OR($MQ120=0,$MO120=""),"",IF($MF120=0,"não devolve","+"&amp;IF($NV120=1,CEILING($MF120/2,1),$MF120)))</f>
        <v/>
      </c>
      <c r="QE120" s="152">
        <f>IF(OR($MQ120=0,$MP120=""),"",IF($MF120=0,"não devolve","+"&amp;IF($NW120=1,CEILING($MF120/2,1),$MF120)))</f>
        <v/>
      </c>
    </row>
    <row r="121">
      <c r="MA121" s="150" t="inlineStr">
        <is>
          <t>Ficha 10 · Especial 2</t>
        </is>
      </c>
      <c r="MB121" s="152" t="n">
        <v>10</v>
      </c>
      <c r="MC121" s="152" t="n">
        <v>1</v>
      </c>
      <c r="MD121" s="152" t="n">
        <v>4</v>
      </c>
      <c r="ME121" s="150" t="inlineStr">
        <is>
          <t>ESPECIAL 2</t>
        </is>
      </c>
      <c r="MF121" s="152">
        <f>MAX(1,MIN(7,N('INVOCAÇÕES'!$AN$652)))</f>
        <v/>
      </c>
      <c r="MG121" s="152">
        <f>'INVOCAÇÕES'!$AO$652&amp;""</f>
        <v/>
      </c>
      <c r="MH121" s="152">
        <f>'INVOCAÇÕES'!$AN$657&amp;""</f>
        <v/>
      </c>
      <c r="MI121" s="152">
        <f>'INVOCAÇÕES'!$AN$658&amp;""</f>
        <v/>
      </c>
      <c r="MJ121" s="152">
        <f>'INVOCAÇÕES'!$AP$658&amp;""</f>
        <v/>
      </c>
      <c r="MK121" s="152">
        <f>'INVOCAÇÕES'!$AO$661&amp;""</f>
        <v/>
      </c>
      <c r="ML121" s="152">
        <f>'INVOCAÇÕES'!$AO$662&amp;""</f>
        <v/>
      </c>
      <c r="MM121" s="152">
        <f>'INVOCAÇÕES'!$AO$663&amp;""</f>
        <v/>
      </c>
      <c r="MN121" s="152">
        <f>'INVOCAÇÕES'!$AO$664&amp;""</f>
        <v/>
      </c>
      <c r="MO121" s="152">
        <f>'INVOCAÇÕES'!$AO$665&amp;""</f>
        <v/>
      </c>
      <c r="MP121" s="152">
        <f>'INVOCAÇÕES'!$AO$666&amp;""</f>
        <v/>
      </c>
      <c r="MQ121" s="152">
        <f>IF($MG121&lt;&gt;"",1,0)</f>
        <v/>
      </c>
      <c r="MR121" s="152">
        <f>INDEX($FI$2:$FI$13,$MB121)</f>
        <v/>
      </c>
      <c r="MS121" s="152">
        <f>INDEX($FJ$2:$FJ$13,$MB121)</f>
        <v/>
      </c>
      <c r="MT121" s="152">
        <f>INDEX($FK$2:$FK$13,$MB121)</f>
        <v/>
      </c>
      <c r="MU121" s="152">
        <f>INDEX($FV$2:$FV$13,$MB121)</f>
        <v/>
      </c>
      <c r="MV121" s="152">
        <f>INDEX($FW$2:$FW$13,$MB121)</f>
        <v/>
      </c>
      <c r="MW121" s="152">
        <f>IFERROR(MATCH($MH121,$V$2:$V$11,0),0)</f>
        <v/>
      </c>
      <c r="MX121" s="152">
        <f>IFERROR(VLOOKUP($MK121,$AV$2:$BA$84,2,FALSE),"")</f>
        <v/>
      </c>
      <c r="MY121" s="152">
        <f>IFERROR(VLOOKUP($ML121,$AV$2:$BA$84,2,FALSE),"")</f>
        <v/>
      </c>
      <c r="MZ121" s="152">
        <f>IFERROR(VLOOKUP($MM121,$AV$2:$BA$84,2,FALSE),"")</f>
        <v/>
      </c>
      <c r="NA121" s="152">
        <f>IFERROR(VLOOKUP($MN121,$AV$2:$BA$84,2,FALSE),"")</f>
        <v/>
      </c>
      <c r="NB121" s="152">
        <f>IFERROR(VLOOKUP($MK121,$AV$2:$BA$84,3,FALSE),0)</f>
        <v/>
      </c>
      <c r="NC121" s="152">
        <f>IFERROR(VLOOKUP($ML121,$AV$2:$BA$84,3,FALSE),0)</f>
        <v/>
      </c>
      <c r="ND121" s="152">
        <f>IFERROR(VLOOKUP($MM121,$AV$2:$BA$84,3,FALSE),0)</f>
        <v/>
      </c>
      <c r="NE121" s="152">
        <f>IFERROR(VLOOKUP($MN121,$AV$2:$BA$84,3,FALSE),0)</f>
        <v/>
      </c>
      <c r="NF121" s="152">
        <f>IF($MF121=0,0,IF($MW121=0,0,INDEX($X$2:$X$11,$MW121)))</f>
        <v/>
      </c>
      <c r="NG121" s="152">
        <f>IF(OR($NB121=0,$MF121=0),0,$NB121+3*IF(AND($MX121&lt;&gt;"",OR($MX121=INDEX($EF$2:$EF$13,$MB121),$MX121=INDEX($EG$2:$EG$13,$MB121))),1,0))</f>
        <v/>
      </c>
      <c r="NH121" s="152">
        <f>IF(OR($NC121=0,$MF121=0),0,$NC121+3*IF(AND($MY121&lt;&gt;"",OR($MY121=INDEX($EF$2:$EF$13,$MB121),$MY121=INDEX($EG$2:$EG$13,$MB121))),1,0))</f>
        <v/>
      </c>
      <c r="NI121" s="152">
        <f>IF(OR($ND121=0,$MF121=0),0,$ND121+3*IF(AND($MZ121&lt;&gt;"",OR($MZ121=INDEX($EF$2:$EF$13,$MB121),$MZ121=INDEX($EG$2:$EG$13,$MB121))),1,0))</f>
        <v/>
      </c>
      <c r="NJ121" s="152">
        <f>IF(OR($NE121=0,$MF121=0),0,$NE121+3*IF(AND($NA121&lt;&gt;"",OR($NA121=INDEX($EF$2:$EF$13,$MB121),$NA121=INDEX($EG$2:$EG$13,$MB121))),1,0))</f>
        <v/>
      </c>
      <c r="NK121" s="152">
        <f>IF($MW121=0,0,IF(INDEX($W$2:$W$11,$MW121)="",0,IF(COUNTIF(INDEX($EF$2:$EJ$13,$MB121,0),INDEX($W$2:$W$11,$MW121))=0,1,0)))</f>
        <v/>
      </c>
      <c r="NL121" s="152">
        <f>IF(OR($NB121=0,$MX121=""),0,IF(COUNTIF(INDEX($EF$2:$EJ$13,$MB121,0),$MX121)=0,1,0))</f>
        <v/>
      </c>
      <c r="NM121" s="152">
        <f>IF(OR($NC121=0,$MY121=""),0,IF(COUNTIF(INDEX($EF$2:$EJ$13,$MB121,0),$MY121)=0,1,0))</f>
        <v/>
      </c>
      <c r="NN121" s="152">
        <f>IF(OR($ND121=0,$MZ121=""),0,IF(COUNTIF(INDEX($EF$2:$EJ$13,$MB121,0),$MZ121)=0,1,0))</f>
        <v/>
      </c>
      <c r="NO121" s="152">
        <f>IF(OR($NE121=0,$NA121=""),0,IF(COUNTIF(INDEX($EF$2:$EJ$13,$MB121,0),$NA121)=0,1,0))</f>
        <v/>
      </c>
      <c r="NP121" s="152">
        <f>IFERROR(VLOOKUP($MK121,$AV$2:$BA$84,4,FALSE),0)+IFERROR(VLOOKUP($ML121,$AV$2:$BA$84,4,FALSE),0)+IFERROR(VLOOKUP($MM121,$AV$2:$BA$84,4,FALSE),0)+IFERROR(VLOOKUP($MN121,$AV$2:$BA$84,4,FALSE),0)</f>
        <v/>
      </c>
      <c r="NQ121" s="152">
        <f>IFERROR(VLOOKUP($MK121,$AV$2:$BA$84,6,FALSE),0)+IFERROR(VLOOKUP($ML121,$AV$2:$BA$84,6,FALSE),0)+IFERROR(VLOOKUP($MM121,$AV$2:$BA$84,6,FALSE),0)+IFERROR(VLOOKUP($MN121,$AV$2:$BA$84,6,FALSE),0)</f>
        <v/>
      </c>
      <c r="NR121" s="152">
        <f>TEXTJOIN(", ",TRUE,IF(IFERROR(VLOOKUP($MK121,$AV$2:$BA$84,5,FALSE),0)=1,$MK121,""),IF(IFERROR(VLOOKUP($ML121,$AV$2:$BA$84,5,FALSE),0)=1,$ML121,""),IF(IFERROR(VLOOKUP($MM121,$AV$2:$BA$84,5,FALSE),0)=1,$MM121,""),IF(IFERROR(VLOOKUP($MN121,$AV$2:$BA$84,5,FALSE),0)=1,$MN121,""))</f>
        <v/>
      </c>
      <c r="NS121" s="152">
        <f>IF($MW121=0,0,INDEX($Y$2:$Y$11,$MW121))</f>
        <v/>
      </c>
      <c r="NT121" s="152">
        <f>IF($MW121=0,0,INDEX($Z$2:$Z$11,$MW121))</f>
        <v/>
      </c>
      <c r="NU121" s="152">
        <f>IF($MW121=0,0,INDEX($AB$2:$AB$11,$MW121))</f>
        <v/>
      </c>
      <c r="NV121" s="152">
        <f>IFERROR(VLOOKUP($MO121,$BC$2:$BG$24,3,FALSE),0)</f>
        <v/>
      </c>
      <c r="NW121" s="152">
        <f>IFERROR(VLOOKUP($MP121,$BC$2:$BG$24,3,FALSE),0)</f>
        <v/>
      </c>
      <c r="NX121" s="152">
        <f>IFERROR(VLOOKUP($MO121,$BC$2:$BG$24,2,FALSE),"")</f>
        <v/>
      </c>
      <c r="NY121" s="152">
        <f>IFERROR(VLOOKUP($MP121,$BC$2:$BG$24,2,FALSE),"")</f>
        <v/>
      </c>
      <c r="NZ121" s="152">
        <f>COUNTIF($NF121:$NJ121,1)</f>
        <v/>
      </c>
      <c r="OA121" s="152">
        <f>COUNTIF($NF121:$NJ121,2)</f>
        <v/>
      </c>
      <c r="OB121" s="152">
        <f>COUNTIF($NF121:$NJ121,3)</f>
        <v/>
      </c>
      <c r="OC121" s="152">
        <f>COUNTIF($NF121:$NJ121,4)</f>
        <v/>
      </c>
      <c r="OD121" s="152">
        <f>COUNTIF($NF121:$NJ121,5)</f>
        <v/>
      </c>
      <c r="OE121" s="152">
        <f>COUNTIF($NF121:$NJ121,6)</f>
        <v/>
      </c>
      <c r="OF121" s="152">
        <f>COUNTIF($NV121:$NW121,1)</f>
        <v/>
      </c>
      <c r="OG121" s="152">
        <f>COUNTIF($NV121:$NW121,2)+$NS121</f>
        <v/>
      </c>
      <c r="OH121" s="152">
        <f>COUNTIF($MK121:$MN121,"?*")</f>
        <v/>
      </c>
      <c r="OI121" s="152">
        <f>COUNTIF($MO121:$MP121,"?*")+$NS121</f>
        <v/>
      </c>
      <c r="OJ121" s="152">
        <f>IF($MF121=0,0,SUMPRODUCT($NZ121:$OE121,INDEX($I$2:$N$8,MAX(1,$MF121),0)))</f>
        <v/>
      </c>
      <c r="OK121" s="152">
        <f>IF($MF121=0,0,$OF121*CEILING($MF121/2,1)+$OG121*$MF121)</f>
        <v/>
      </c>
      <c r="OL121" s="152">
        <f>MIN(2*$MF121,$OK121)</f>
        <v/>
      </c>
      <c r="OM121" s="152">
        <f>MIN($OL121,$OJ121)</f>
        <v/>
      </c>
      <c r="ON121" s="152">
        <f>$OL121-$OM121</f>
        <v/>
      </c>
      <c r="OO121" s="152">
        <f>IF($MF121=0,0,INDEX($P$2:$P$8,MAX(1,$MF121)))</f>
        <v/>
      </c>
      <c r="OP121" s="152">
        <f>$OO121-$OJ121+$OM121</f>
        <v/>
      </c>
      <c r="OQ121" s="152">
        <f>IF($MF121=0,MAX(0,$MT121-IF($OH121&gt;0,1,0)),MAX(0,$OP121))</f>
        <v/>
      </c>
      <c r="OR121" s="152">
        <f>IF($MF121=0,0,(IF(COUNTIF($MK121:$MN121,"Salto")&gt;0,1,0)+IF(COUNTIF($MK121:$MN121,"Queima")&gt;0,1,0)+IF(COUNTIF($MK121:$MN121,"Estilhaço")&gt;0,1,0))*FLOOR($OQ121/2,1))</f>
        <v/>
      </c>
      <c r="OS121" s="152">
        <f>MAX(0,2-SUMPRODUCT($NZ121:$OE121,$I$2:$N$2)+MIN(2,$OF121*1+$OG121*1,SUMPRODUCT($NZ121:$OE121,$I$2:$N$2)))</f>
        <v/>
      </c>
      <c r="OT121" s="152">
        <f>MAX(0,4-SUMPRODUCT($NZ121:$OE121,$I$3:$N$3)+MIN(4,$OF121*1+$OG121*2,SUMPRODUCT($NZ121:$OE121,$I$3:$N$3)))</f>
        <v/>
      </c>
      <c r="OU121" s="152">
        <f>MAX(0,6-SUMPRODUCT($NZ121:$OE121,$I$4:$N$4)+MIN(6,$OF121*2+$OG121*3,SUMPRODUCT($NZ121:$OE121,$I$4:$N$4)))</f>
        <v/>
      </c>
      <c r="OV121" s="152">
        <f>MAX(0,9-SUMPRODUCT($NZ121:$OE121,$I$5:$N$5)+MIN(8,$OF121*2+$OG121*4,SUMPRODUCT($NZ121:$OE121,$I$5:$N$5)))</f>
        <v/>
      </c>
      <c r="OW121" s="152">
        <f>MAX(0,11-SUMPRODUCT($NZ121:$OE121,$I$6:$N$6)+MIN(10,$OF121*3+$OG121*5,SUMPRODUCT($NZ121:$OE121,$I$6:$N$6)))</f>
        <v/>
      </c>
      <c r="OX121" s="152">
        <f>MAX(0,13-SUMPRODUCT($NZ121:$OE121,$I$7:$N$7)+MIN(12,$OF121*3+$OG121*6,SUMPRODUCT($NZ121:$OE121,$I$7:$N$7)))</f>
        <v/>
      </c>
      <c r="OY121" s="152">
        <f>MAX(0,16-SUMPRODUCT($NZ121:$OE121,$I$8:$N$8)+MIN(14,$OF121*4+$OG121*7,SUMPRODUCT($NZ121:$OE121,$I$8:$N$8)))</f>
        <v/>
      </c>
      <c r="OZ121" s="152">
        <f>IF($NT121=2,3*$OS121&amp;" de vida temp.",IF($NT121=3,"sem dano",IF($OS121=0,IF($NT121=1,"sem cura","sem dano"),IF($NT121=1,"cura ","")&amp;$OS121&amp;"d8")))</f>
        <v/>
      </c>
      <c r="PA121" s="152">
        <f>IF($NT121=2,3*$OT121&amp;" de vida temp.",IF($NT121=3,"sem dano",IF($OT121=0,IF($NT121=1,"sem cura","sem dano"),IF($NT121=1,"cura ","")&amp;$OT121&amp;"d8")))</f>
        <v/>
      </c>
      <c r="PB121" s="152">
        <f>IF($NT121=2,3*$OU121&amp;" de vida temp.",IF($NT121=3,"sem dano",IF($OU121=0,IF($NT121=1,"sem cura","sem dano"),IF($NT121=1,"cura ","")&amp;$OU121&amp;"d8")))</f>
        <v/>
      </c>
      <c r="PC121" s="152">
        <f>IF($NT121=2,3*$OV121&amp;" de vida temp.",IF($NT121=3,"sem dano",IF($OV121=0,IF($NT121=1,"sem cura","sem dano"),IF($NT121=1,"cura ","")&amp;$OV121&amp;"d8")))</f>
        <v/>
      </c>
      <c r="PD121" s="152">
        <f>IF($NT121=2,3*$OW121&amp;" de vida temp.",IF($NT121=3,"sem dano",IF($OW121=0,IF($NT121=1,"sem cura","sem dano"),IF($NT121=1,"cura ","")&amp;$OW121&amp;"d8")))</f>
        <v/>
      </c>
      <c r="PE121" s="152">
        <f>IF($NT121=2,3*$OX121&amp;" de vida temp.",IF($NT121=3,"sem dano",IF($OX121=0,IF($NT121=1,"sem cura","sem dano"),IF($NT121=1,"cura ","")&amp;$OX121&amp;"d8")))</f>
        <v/>
      </c>
      <c r="PF121" s="152">
        <f>IF($NT121=2,3*$OY121&amp;" de vida temp.",IF($NT121=3,"sem dano",IF($OY121=0,IF($NT121=1,"sem cura","sem dano"),IF($NT121=1,"cura ","")&amp;$OY121&amp;"d8")))</f>
        <v/>
      </c>
      <c r="PG121" s="152">
        <f>IF($MQ121=0,"",TEXTJOIN(" · ",TRUE,IF($MD121&gt;$MR121,"Este lugar abre no nível "&amp;$MD121,""),IF($MF121&gt;$MS121,"Classe "&amp;$MF121&amp;": o nível "&amp;$MR121&amp;" libera até a "&amp;$MS121,""),IF($NK121=1,"A Forma "&amp;$MH121&amp;" pede "&amp;INDEX($W$2:$W$11,$MW121)&amp;" aberta",""),IF(AND($MF121=0,$MW121&gt;0,IF($MW121=0,0,INDEX($AF$2:$AF$11,$MW121))=0),$MH121&amp;" não existe na Classe 0",""),IF($NL121=1,"Família Fechada: "&amp;$MK121,""),IF($NM121=1,"Família Fechada: "&amp;$ML121,""),IF($NN121=1,"Família Fechada: "&amp;$MM121,""),IF($NO121=1,"Família Fechada: "&amp;$MN121,""),IF(AND($MF121&gt;0,$OH121&gt;INDEX($O$2:$O$8,MAX(1,$MF121))),$OH121&amp;" Melhorias: a Classe "&amp;$MF121&amp;" aceita "&amp;INDEX($O$2:$O$8,MAX(1,$MF121)),""),IF(AND($MF121=0,$OH121&gt;1),"A básica aceita uma Melhoria",""),IF(AND($MF121=0,COUNTIF($NB121:$NE121,"&gt;1")&gt;0),"A básica só aceita Melhoria Leve",""),IF(AND($MF121&gt;0,$OI121&gt;2),$OI121&amp;" Restrições"&amp;IF($NS121=1,", contando a que a Forma "&amp;$MH121&amp;" já traz","")&amp;": o limite é 2",""),IF(AND($MF121=0,COUNTIF($MO121:$MP121,"?*")&gt;1),"A básica aceita uma Restrição Leve",""),IF(AND($MF121=0,COUNTIF($NV121:$NW121,2)&gt;0),"A básica só aceita Restrição Leve",""),IF(AND($MF121&gt;0,$OP121&lt;0),"Orçamento estourado: faltam "&amp;(-$OP121)&amp;IF($OP121&lt;-1," pontos"," ponto"),""),IF(IFERROR(VLOOKUP($MO121,$BC$2:$BG$24,4,FALSE),0)+IFERROR(VLOOKUP($MP121,$BC$2:$BG$24,4,FALSE),0)&gt;1,$NX121&amp;" e "&amp;$NY121&amp;" são as duas de frequência",""),IF(AND((COUNTIF($MK121:$MN121,"Rápido")+COUNTIF($NX121:$NY121,"Rápido"))&gt;0,(COUNTIF($MK121:$MN121,"Atrasar")+COUNTIF($NX121:$NY121,"Atrasar"))&gt;0),"Rápido não entra com Atrasar",""),IF(AND((COUNTIF($MK121:$MN121,"Reação")+COUNTIF($NX121:$NY121,"Reação"))&gt;0,(COUNTIF($MK121:$MN121,"Rápido")+COUNTIF($NX121:$NY121,"Rápido"))&gt;0),"Reação não entra com Rápido",""),IF(AND((COUNTIF($MK121:$MN121,"Reação")+COUNTIF($NX121:$NY121,"Reação"))&gt;0,(COUNTIF($MK121:$MN121,"Armado")+COUNTIF($NX121:$NY121,"Armado"))&gt;0),"Reação não entra com Armado",""),IF(AND((COUNTIF($MK121:$MN121,"Reação")+COUNTIF($NX121:$NY121,"Reação"))&gt;0,(COUNTIF($MK121:$MN121,"Atrasar")+COUNTIF($NX121:$NY121,"Atrasar"))&gt;0),"Reação não entra com Atrasar",""),IF(AND((COUNTIF($MK121:$MN121,"Reação")+COUNTIF($NX121:$NY121,"Reação"))&gt;0,(COUNTIF($MK121:$MN121,"Parado")+COUNTIF($NX121:$NY121,"Parado"))&gt;0),"Reação não entra com Parado",""),IF(AND((COUNTIF($MK121:$MN121,"Atrasar")+COUNTIF($NX121:$NY121,"Atrasar"))&gt;0,(COUNTIF($MK121:$MN121,"Parado")+COUNTIF($NX121:$NY121,"Parado"))&gt;0),"Atrasar não entra com Parado",""),IF(AND((COUNTIF($MK121:$MN121,"Armado")+COUNTIF($NX121:$NY121,"Armado"))&gt;0,(COUNTIF($MK121:$MN121,"Carregar")+COUNTIF($NX121:$NY121,"Carregar"))&gt;0),"Armado não entra com Carregar",""),IF(AND(COUNTIF($NX121:$NY121,"Corpo a Corpo")&gt;0,$NS121=0,OR($MH121="Cone",$MH121="Linha")),"Corpo a Corpo não entra em "&amp;$MH121,""),IF(AND(COUNTIF($NX121:$NY121,"Corpo a Corpo")&gt;0,$NS121=1),"A Forma "&amp;$MH121&amp;" já traz o Corpo a Corpo",""),IF(AND(COUNTIF($NX121:$NY121,"Tudo ou Nada")&gt;0,$NU121=0),"Tudo ou Nada só entra em habilidade de Teste de Resistência",""),IF(AND(COUNTIF($MK121:$MN121,"Inescapável")&gt;0,OR($OH121&gt;1,$OI121&gt;0)),"Inescapável não aceita outra peça",""),IF(AND($MF121&gt;0,$OQ121*IF(COUNTIF($MK121:$MN121,"Remate")&gt;0,1.25,1)+$OR121&gt;4*$MF121),($OQ121*IF(COUNTIF($MK121:$MN121,"Remate")&gt;0,1.25,1)+$OR121)&amp;" dados somando repetições"&amp;IF(COUNTIF($MK121:$MN121,"Remate")&gt;0," e o Remate","")&amp;": o teto da Classe "&amp;$MF121&amp;" é "&amp;4*$MF121,"")))</f>
        <v/>
      </c>
      <c r="PH121" s="152">
        <f>IF($PG121="",0,(LEN($PG121)-LEN(SUBSTITUTE($PG121," · ","")))/3+1)</f>
        <v/>
      </c>
      <c r="PI121" s="152">
        <f>IF($MQ121=0,"",TEXTJOIN(" · ",TRUE,IF($OK121&gt;2*$MF121,"A devolução parou no teto de "&amp;2*$MF121,""),IF($ON121&gt;0,"Devolução perdida: "&amp;$ON121&amp;IF($ON121&gt;1," pontos"," ponto")&amp;" sem peça para pagar",""),IF(AND($NP121&gt;0,AND($MF121&gt;0,$NT121=0),$OQ121=0),"Controle sem dano: uma rodada a mais e CD +2",""),IF(AND($NP121&gt;0,AND($MF121&gt;0,$NT121=0),$OQ121&gt;0,$OQ121&lt;=$MF121),"Controle com saldo até a Classe: uma rodada a mais",""),IF(AND($MF121&gt;0,$NR121&lt;&gt;""),"Efeito de "&amp;$NR121&amp;" pela Classe "&amp;MAX(1,$MF121-1),"")))</f>
        <v/>
      </c>
      <c r="PJ121" s="152">
        <f>IF($PI121="",0,(LEN($PI121)-LEN(SUBSTITUTE($PI121," · ","")))/3+1)</f>
        <v/>
      </c>
      <c r="PK121" s="152">
        <f>IF($MQ121=0,IF($OH121+COUNTIF($MO121:$MP121,"?*")&gt;0,"Dê um nome",""),IF($PH121&gt;0,"⚠ "&amp;$PH121&amp;IF($PH121&gt;1," erros"," erro"),IF($PJ121&gt;0,"! "&amp;$PJ121&amp;IF($PJ121&gt;1," avisos"," aviso"),"Na regra")))</f>
        <v/>
      </c>
      <c r="PL121" s="152">
        <f>IF($MQ121=0,"",IF($PH121+$PJ121=0,"Dentro das regras que a ficha confere",$PG121&amp;IF(AND($PH121&gt;0,$PJ121&gt;0)," · ","")&amp;$PI121))</f>
        <v/>
      </c>
      <c r="PM121" s="152">
        <f>IF($MD121&gt;$MR121,$ME121&amp;" · ABRE NO NÍVEL "&amp;$MD121,$ME121)</f>
        <v/>
      </c>
      <c r="PN121" s="152">
        <f>IF($MQ121=0,"",IF($MF121=0,"Sem PE",3*$MF121&amp;" PE"))</f>
        <v/>
      </c>
      <c r="PO121" s="152">
        <f>IF($MQ121=0,"",IF($MF121=0,"A atuação básica dela",IF(COUNTIF($NX121:$NY121,"Atrasar")&gt;0,"Sua Ação Completa",IF(COUNTIF($MK121:$MN121,"Rápido")&gt;0,"Sua Bônus",IF(COUNTIF($MK121:$MN121,"Reação")&gt;0,"Sua Reação","Sua Padrão")))&amp;" + a básica dela"&amp;IF(COUNTIF($MK121:$MN121,"Reação")&gt;0," e a coletiva","")&amp;IF(COUNTIF($NX121:$NY121,"Carregar")&gt;0," · em dois turnos","")))</f>
        <v/>
      </c>
      <c r="PP121" s="152">
        <f>IF($MJ121&lt;&gt;"",$MJ121,IF($MW121=0,"",INDEX($AA$2:$AA$11,$MW121)))</f>
        <v/>
      </c>
      <c r="PQ121" s="152">
        <f>IF(OR($MQ121=0,$MW121=0),"",IF(COUNTIF($MK121:$MN121,"Inescapável")&gt;0,"Automático",IF($PP121="Ataque",IF($MU121="","Ataque","Ataque "&amp;IF(($MU121+2*IF(COUNTIF($MK121:$MN121,"Precisão")&gt;0,1,0))&gt;=0,"+","−")&amp;ABS(($MU121+2*IF(COUNTIF($MK121:$MN121,"Precisão")&gt;0,1,0))))&amp;IF($NQ121&gt;0," · TR"&amp;IF($MV121="",""," CD "&amp;$MV121),""),IF(LEFT($PP121,2)="TR",$PP121&amp;IF($MV121="",""," · CD "&amp;$MV121)&amp;IF(COUNTIF($MK121:$MN121,"Certeiro")&gt;0," · metade",""),"Sem rolagem"))))</f>
        <v/>
      </c>
      <c r="PR121" s="152">
        <f>IF(OR($MQ121=0,$MW121=0),"",IF($MF121=0,IF(OR($NT121&gt;=1,$OQ121=0),"Sem dano",$OQ121&amp;"d6"&amp;IF($MI121="",""," "&amp;$MI121)),IF(OR($NT121&gt;=1,$OQ121=0),UPPER(LEFT(INDEX($OZ121:$PF121,1,MAX(1,$MF121)),1))&amp;MID(INDEX($OZ121:$PF121,1,MAX(1,$MF121)),2,99),UPPER(LEFT(INDEX($OZ121:$PF121,1,MAX(1,$MF121)),1))&amp;MID(INDEX($OZ121:$PF121,1,MAX(1,$MF121)),2,99)&amp;IF($MI121="",""," "&amp;$MI121)&amp;IF($OR121&gt;0," · +"&amp;$OR121&amp;"d8",""))))</f>
        <v/>
      </c>
      <c r="PS121" s="152">
        <f>COUNTIF($MK121:$MN121,"Longe")+3*COUNTIF($MK121:$MN121,"Muito Longe")</f>
        <v/>
      </c>
      <c r="PT121" s="152">
        <f>COUNTIF($MK121:$MN121,"Maior")+3*COUNTIF($MK121:$MN121,"Muito Maior")</f>
        <v/>
      </c>
      <c r="PU121" s="152">
        <f>IF($MW121=0,0,CHOOSE(1+INDEX($AC$2:$AC$11,$MW121),0,$PS121,$PT121,$PS121+$PT121))</f>
        <v/>
      </c>
      <c r="PV121" s="152">
        <f>IF($MW121=0,0,CHOOSE(1+INDEX($AD$2:$AD$11,$MW121),0,$PS121,$PT121,$PS121+$PT121))</f>
        <v/>
      </c>
      <c r="PW121" s="152">
        <f>IF(OR($MQ121=0,$MW121=0),"",INDEX($AI$2:$AN$41,($MW121-1)*4+IF($MF121=0,1,IF($MF121&lt;=5,2,IF($MF121=6,3,4))),1+MIN(5,$PU121))&amp;INDEX($AO$2:$AT$41,($MW121-1)*4+IF($MF121=0,1,IF($MF121&lt;=5,2,IF($MF121=6,3,4))),1+MIN(5,$PV121))&amp;IF(INDEX($AE$2:$AE$11,$MW121)=1,IF(COUNTIF($MK121:$MN121,"Mais Um")&gt;0," · +"&amp;COUNTIF($MK121:$MN121,"Mais Um")&amp;IF(COUNTIF($MK121:$MN121,"Mais Um")&gt;1," alvos"," alvo"),"")&amp;IF(COUNTIF($MK121:$MN121,"Rajada")&gt;0,IF($MF121=0," · 1 tiro"," · "&amp;(MAX(1,$MF121-1)+1)&amp;" tiros"),""),""))</f>
        <v/>
      </c>
      <c r="PX121" s="152">
        <f>IF($MQ121=0,"",IF($MF121=0,$MT121&amp;"d6"&amp;IF($OH121&gt;0," − 1 = "&amp;$OQ121&amp;"d6"," da básica do nível "&amp;$MR121),$OO121&amp;" − "&amp;$OJ121&amp;" + "&amp;$OM121&amp;" = "&amp;$OP121&amp;" · teto "&amp;4*$MF121&amp;"d8"&amp;IF($NS121=1," · a Forma devolve "&amp;$MF121,"")&amp;IF($ON121&gt;0," · perde "&amp;$ON121,"")))</f>
        <v/>
      </c>
      <c r="PY121" s="152">
        <f>IF($MQ121=0,"",IF($MF121=0,"A básica não amplia: os dados dela sobem com o nível",IF($MF121&gt;=$MS121,"Já está na maior Classe que o nível liberou",TEXTJOIN(" · ",TRUE,IF(AND(2&gt;$MF121,2&lt;=$MS121),"2 → "&amp;$PA121&amp;", 6 PE",""),IF(AND(3&gt;$MF121,3&lt;=$MS121),"3 → "&amp;$PB121&amp;", 9 PE",""),IF(AND(4&gt;$MF121,4&lt;=$MS121),"4 → "&amp;$PC121&amp;", 12 PE",""),IF(AND(5&gt;$MF121,5&lt;=$MS121),"5 → "&amp;$PD121&amp;", 15 PE",""),IF(AND(6&gt;$MF121,6&lt;=$MS121),"6 → "&amp;$PE121&amp;", 18 PE",""),IF(AND(7&gt;$MF121,7&lt;=$MS121),"7 → "&amp;$PF121&amp;", 21 PE","")))))</f>
        <v/>
      </c>
      <c r="PZ121" s="152">
        <f>IF(OR($MQ121=0,$NB121=0),"",IF($MF121=0,"−1 dado","−"&amp;INDEX($I$2:$N$8,MAX(1,$MF121),MAX(1,$NG121))&amp;" · "&amp;CHOOSE(MAX(1,$NG121),"Leve","Média","Pesada","Leve · Livre","Média · Livre","Pesada · Livre")))</f>
        <v/>
      </c>
      <c r="QA121" s="152">
        <f>IF(OR($MQ121=0,$NC121=0),"",IF($MF121=0,"−1 dado","−"&amp;INDEX($I$2:$N$8,MAX(1,$MF121),MAX(1,$NH121))&amp;" · "&amp;CHOOSE(MAX(1,$NH121),"Leve","Média","Pesada","Leve · Livre","Média · Livre","Pesada · Livre")))</f>
        <v/>
      </c>
      <c r="QB121" s="152">
        <f>IF(OR($MQ121=0,$ND121=0),"",IF($MF121=0,"−1 dado","−"&amp;INDEX($I$2:$N$8,MAX(1,$MF121),MAX(1,$NI121))&amp;" · "&amp;CHOOSE(MAX(1,$NI121),"Leve","Média","Pesada","Leve · Livre","Média · Livre","Pesada · Livre")))</f>
        <v/>
      </c>
      <c r="QC121" s="152">
        <f>IF(OR($MQ121=0,$NE121=0),"",IF($MF121=0,"−1 dado","−"&amp;INDEX($I$2:$N$8,MAX(1,$MF121),MAX(1,$NJ121))&amp;" · "&amp;CHOOSE(MAX(1,$NJ121),"Leve","Média","Pesada","Leve · Livre","Média · Livre","Pesada · Livre")))</f>
        <v/>
      </c>
      <c r="QD121" s="152">
        <f>IF(OR($MQ121=0,$MO121=""),"",IF($MF121=0,"não devolve","+"&amp;IF($NV121=1,CEILING($MF121/2,1),$MF121)))</f>
        <v/>
      </c>
      <c r="QE121" s="152">
        <f>IF(OR($MQ121=0,$MP121=""),"",IF($MF121=0,"não devolve","+"&amp;IF($NW121=1,CEILING($MF121/2,1),$MF121)))</f>
        <v/>
      </c>
    </row>
    <row r="122">
      <c r="MA122" s="150" t="inlineStr">
        <is>
          <t>Ficha 10 · Básica 2</t>
        </is>
      </c>
      <c r="MB122" s="152" t="n">
        <v>10</v>
      </c>
      <c r="MC122" s="152" t="n">
        <v>0</v>
      </c>
      <c r="MD122" s="152" t="n">
        <v>11</v>
      </c>
      <c r="ME122" s="150" t="inlineStr">
        <is>
          <t>BÁSICA 2</t>
        </is>
      </c>
      <c r="MF122" s="152" t="n">
        <v>0</v>
      </c>
      <c r="MG122" s="152">
        <f>'INVOCAÇÕES'!$AC$686&amp;""</f>
        <v/>
      </c>
      <c r="MH122" s="152">
        <f>'INVOCAÇÕES'!$AB$691&amp;""</f>
        <v/>
      </c>
      <c r="MI122" s="152">
        <f>'INVOCAÇÕES'!$AB$692&amp;""</f>
        <v/>
      </c>
      <c r="MJ122" s="152">
        <f>'INVOCAÇÕES'!$AD$692&amp;""</f>
        <v/>
      </c>
      <c r="MK122" s="152">
        <f>'INVOCAÇÕES'!$AC$695&amp;""</f>
        <v/>
      </c>
      <c r="ML122" s="152">
        <f>'INVOCAÇÕES'!$AC$696&amp;""</f>
        <v/>
      </c>
      <c r="MM122" s="152">
        <f>'INVOCAÇÕES'!$AC$697&amp;""</f>
        <v/>
      </c>
      <c r="MN122" s="152">
        <f>'INVOCAÇÕES'!$AC$698&amp;""</f>
        <v/>
      </c>
      <c r="MO122" s="152">
        <f>'INVOCAÇÕES'!$AC$699&amp;""</f>
        <v/>
      </c>
      <c r="MP122" s="152">
        <f>'INVOCAÇÕES'!$AC$700&amp;""</f>
        <v/>
      </c>
      <c r="MQ122" s="152">
        <f>IF($MG122&lt;&gt;"",1,0)</f>
        <v/>
      </c>
      <c r="MR122" s="152">
        <f>INDEX($FI$2:$FI$13,$MB122)</f>
        <v/>
      </c>
      <c r="MS122" s="152">
        <f>INDEX($FJ$2:$FJ$13,$MB122)</f>
        <v/>
      </c>
      <c r="MT122" s="152">
        <f>INDEX($FK$2:$FK$13,$MB122)</f>
        <v/>
      </c>
      <c r="MU122" s="152">
        <f>INDEX($FV$2:$FV$13,$MB122)</f>
        <v/>
      </c>
      <c r="MV122" s="152">
        <f>INDEX($FW$2:$FW$13,$MB122)</f>
        <v/>
      </c>
      <c r="MW122" s="152">
        <f>IFERROR(MATCH($MH122,$V$2:$V$11,0),0)</f>
        <v/>
      </c>
      <c r="MX122" s="152">
        <f>IFERROR(VLOOKUP($MK122,$AV$2:$BA$84,2,FALSE),"")</f>
        <v/>
      </c>
      <c r="MY122" s="152">
        <f>IFERROR(VLOOKUP($ML122,$AV$2:$BA$84,2,FALSE),"")</f>
        <v/>
      </c>
      <c r="MZ122" s="152">
        <f>IFERROR(VLOOKUP($MM122,$AV$2:$BA$84,2,FALSE),"")</f>
        <v/>
      </c>
      <c r="NA122" s="152">
        <f>IFERROR(VLOOKUP($MN122,$AV$2:$BA$84,2,FALSE),"")</f>
        <v/>
      </c>
      <c r="NB122" s="152">
        <f>IFERROR(VLOOKUP($MK122,$AV$2:$BA$84,3,FALSE),0)</f>
        <v/>
      </c>
      <c r="NC122" s="152">
        <f>IFERROR(VLOOKUP($ML122,$AV$2:$BA$84,3,FALSE),0)</f>
        <v/>
      </c>
      <c r="ND122" s="152">
        <f>IFERROR(VLOOKUP($MM122,$AV$2:$BA$84,3,FALSE),0)</f>
        <v/>
      </c>
      <c r="NE122" s="152">
        <f>IFERROR(VLOOKUP($MN122,$AV$2:$BA$84,3,FALSE),0)</f>
        <v/>
      </c>
      <c r="NF122" s="152">
        <f>IF($MF122=0,0,IF($MW122=0,0,INDEX($X$2:$X$11,$MW122)))</f>
        <v/>
      </c>
      <c r="NG122" s="152">
        <f>IF(OR($NB122=0,$MF122=0),0,$NB122+3*IF(AND($MX122&lt;&gt;"",OR($MX122=INDEX($EF$2:$EF$13,$MB122),$MX122=INDEX($EG$2:$EG$13,$MB122))),1,0))</f>
        <v/>
      </c>
      <c r="NH122" s="152">
        <f>IF(OR($NC122=0,$MF122=0),0,$NC122+3*IF(AND($MY122&lt;&gt;"",OR($MY122=INDEX($EF$2:$EF$13,$MB122),$MY122=INDEX($EG$2:$EG$13,$MB122))),1,0))</f>
        <v/>
      </c>
      <c r="NI122" s="152">
        <f>IF(OR($ND122=0,$MF122=0),0,$ND122+3*IF(AND($MZ122&lt;&gt;"",OR($MZ122=INDEX($EF$2:$EF$13,$MB122),$MZ122=INDEX($EG$2:$EG$13,$MB122))),1,0))</f>
        <v/>
      </c>
      <c r="NJ122" s="152">
        <f>IF(OR($NE122=0,$MF122=0),0,$NE122+3*IF(AND($NA122&lt;&gt;"",OR($NA122=INDEX($EF$2:$EF$13,$MB122),$NA122=INDEX($EG$2:$EG$13,$MB122))),1,0))</f>
        <v/>
      </c>
      <c r="NK122" s="152">
        <f>IF($MW122=0,0,IF(INDEX($W$2:$W$11,$MW122)="",0,IF(COUNTIF(INDEX($EF$2:$EJ$13,$MB122,0),INDEX($W$2:$W$11,$MW122))=0,1,0)))</f>
        <v/>
      </c>
      <c r="NL122" s="152">
        <f>IF(OR($NB122=0,$MX122=""),0,IF(COUNTIF(INDEX($EF$2:$EJ$13,$MB122,0),$MX122)=0,1,0))</f>
        <v/>
      </c>
      <c r="NM122" s="152">
        <f>IF(OR($NC122=0,$MY122=""),0,IF(COUNTIF(INDEX($EF$2:$EJ$13,$MB122,0),$MY122)=0,1,0))</f>
        <v/>
      </c>
      <c r="NN122" s="152">
        <f>IF(OR($ND122=0,$MZ122=""),0,IF(COUNTIF(INDEX($EF$2:$EJ$13,$MB122,0),$MZ122)=0,1,0))</f>
        <v/>
      </c>
      <c r="NO122" s="152">
        <f>IF(OR($NE122=0,$NA122=""),0,IF(COUNTIF(INDEX($EF$2:$EJ$13,$MB122,0),$NA122)=0,1,0))</f>
        <v/>
      </c>
      <c r="NP122" s="152">
        <f>IFERROR(VLOOKUP($MK122,$AV$2:$BA$84,4,FALSE),0)+IFERROR(VLOOKUP($ML122,$AV$2:$BA$84,4,FALSE),0)+IFERROR(VLOOKUP($MM122,$AV$2:$BA$84,4,FALSE),0)+IFERROR(VLOOKUP($MN122,$AV$2:$BA$84,4,FALSE),0)</f>
        <v/>
      </c>
      <c r="NQ122" s="152">
        <f>IFERROR(VLOOKUP($MK122,$AV$2:$BA$84,6,FALSE),0)+IFERROR(VLOOKUP($ML122,$AV$2:$BA$84,6,FALSE),0)+IFERROR(VLOOKUP($MM122,$AV$2:$BA$84,6,FALSE),0)+IFERROR(VLOOKUP($MN122,$AV$2:$BA$84,6,FALSE),0)</f>
        <v/>
      </c>
      <c r="NR122" s="152">
        <f>TEXTJOIN(", ",TRUE,IF(IFERROR(VLOOKUP($MK122,$AV$2:$BA$84,5,FALSE),0)=1,$MK122,""),IF(IFERROR(VLOOKUP($ML122,$AV$2:$BA$84,5,FALSE),0)=1,$ML122,""),IF(IFERROR(VLOOKUP($MM122,$AV$2:$BA$84,5,FALSE),0)=1,$MM122,""),IF(IFERROR(VLOOKUP($MN122,$AV$2:$BA$84,5,FALSE),0)=1,$MN122,""))</f>
        <v/>
      </c>
      <c r="NS122" s="152">
        <f>IF($MW122=0,0,INDEX($Y$2:$Y$11,$MW122))</f>
        <v/>
      </c>
      <c r="NT122" s="152">
        <f>IF($MW122=0,0,INDEX($Z$2:$Z$11,$MW122))</f>
        <v/>
      </c>
      <c r="NU122" s="152">
        <f>IF($MW122=0,0,INDEX($AB$2:$AB$11,$MW122))</f>
        <v/>
      </c>
      <c r="NV122" s="152">
        <f>IFERROR(VLOOKUP($MO122,$BC$2:$BG$24,3,FALSE),0)</f>
        <v/>
      </c>
      <c r="NW122" s="152">
        <f>IFERROR(VLOOKUP($MP122,$BC$2:$BG$24,3,FALSE),0)</f>
        <v/>
      </c>
      <c r="NX122" s="152">
        <f>IFERROR(VLOOKUP($MO122,$BC$2:$BG$24,2,FALSE),"")</f>
        <v/>
      </c>
      <c r="NY122" s="152">
        <f>IFERROR(VLOOKUP($MP122,$BC$2:$BG$24,2,FALSE),"")</f>
        <v/>
      </c>
      <c r="NZ122" s="152">
        <f>COUNTIF($NF122:$NJ122,1)</f>
        <v/>
      </c>
      <c r="OA122" s="152">
        <f>COUNTIF($NF122:$NJ122,2)</f>
        <v/>
      </c>
      <c r="OB122" s="152">
        <f>COUNTIF($NF122:$NJ122,3)</f>
        <v/>
      </c>
      <c r="OC122" s="152">
        <f>COUNTIF($NF122:$NJ122,4)</f>
        <v/>
      </c>
      <c r="OD122" s="152">
        <f>COUNTIF($NF122:$NJ122,5)</f>
        <v/>
      </c>
      <c r="OE122" s="152">
        <f>COUNTIF($NF122:$NJ122,6)</f>
        <v/>
      </c>
      <c r="OF122" s="152">
        <f>COUNTIF($NV122:$NW122,1)</f>
        <v/>
      </c>
      <c r="OG122" s="152">
        <f>COUNTIF($NV122:$NW122,2)+$NS122</f>
        <v/>
      </c>
      <c r="OH122" s="152">
        <f>COUNTIF($MK122:$MN122,"?*")</f>
        <v/>
      </c>
      <c r="OI122" s="152">
        <f>COUNTIF($MO122:$MP122,"?*")+$NS122</f>
        <v/>
      </c>
      <c r="OJ122" s="152">
        <f>IF($MF122=0,0,SUMPRODUCT($NZ122:$OE122,INDEX($I$2:$N$8,MAX(1,$MF122),0)))</f>
        <v/>
      </c>
      <c r="OK122" s="152">
        <f>IF($MF122=0,0,$OF122*CEILING($MF122/2,1)+$OG122*$MF122)</f>
        <v/>
      </c>
      <c r="OL122" s="152">
        <f>MIN(2*$MF122,$OK122)</f>
        <v/>
      </c>
      <c r="OM122" s="152">
        <f>MIN($OL122,$OJ122)</f>
        <v/>
      </c>
      <c r="ON122" s="152">
        <f>$OL122-$OM122</f>
        <v/>
      </c>
      <c r="OO122" s="152">
        <f>IF($MF122=0,0,INDEX($P$2:$P$8,MAX(1,$MF122)))</f>
        <v/>
      </c>
      <c r="OP122" s="152">
        <f>$OO122-$OJ122+$OM122</f>
        <v/>
      </c>
      <c r="OQ122" s="152">
        <f>IF($MF122=0,MAX(0,$MT122-IF($OH122&gt;0,1,0)),MAX(0,$OP122))</f>
        <v/>
      </c>
      <c r="OR122" s="152">
        <f>IF($MF122=0,0,(IF(COUNTIF($MK122:$MN122,"Salto")&gt;0,1,0)+IF(COUNTIF($MK122:$MN122,"Queima")&gt;0,1,0)+IF(COUNTIF($MK122:$MN122,"Estilhaço")&gt;0,1,0))*FLOOR($OQ122/2,1))</f>
        <v/>
      </c>
      <c r="OS122" s="152">
        <f>MAX(0,2-SUMPRODUCT($NZ122:$OE122,$I$2:$N$2)+MIN(2,$OF122*1+$OG122*1,SUMPRODUCT($NZ122:$OE122,$I$2:$N$2)))</f>
        <v/>
      </c>
      <c r="OT122" s="152">
        <f>MAX(0,4-SUMPRODUCT($NZ122:$OE122,$I$3:$N$3)+MIN(4,$OF122*1+$OG122*2,SUMPRODUCT($NZ122:$OE122,$I$3:$N$3)))</f>
        <v/>
      </c>
      <c r="OU122" s="152">
        <f>MAX(0,6-SUMPRODUCT($NZ122:$OE122,$I$4:$N$4)+MIN(6,$OF122*2+$OG122*3,SUMPRODUCT($NZ122:$OE122,$I$4:$N$4)))</f>
        <v/>
      </c>
      <c r="OV122" s="152">
        <f>MAX(0,9-SUMPRODUCT($NZ122:$OE122,$I$5:$N$5)+MIN(8,$OF122*2+$OG122*4,SUMPRODUCT($NZ122:$OE122,$I$5:$N$5)))</f>
        <v/>
      </c>
      <c r="OW122" s="152">
        <f>MAX(0,11-SUMPRODUCT($NZ122:$OE122,$I$6:$N$6)+MIN(10,$OF122*3+$OG122*5,SUMPRODUCT($NZ122:$OE122,$I$6:$N$6)))</f>
        <v/>
      </c>
      <c r="OX122" s="152">
        <f>MAX(0,13-SUMPRODUCT($NZ122:$OE122,$I$7:$N$7)+MIN(12,$OF122*3+$OG122*6,SUMPRODUCT($NZ122:$OE122,$I$7:$N$7)))</f>
        <v/>
      </c>
      <c r="OY122" s="152">
        <f>MAX(0,16-SUMPRODUCT($NZ122:$OE122,$I$8:$N$8)+MIN(14,$OF122*4+$OG122*7,SUMPRODUCT($NZ122:$OE122,$I$8:$N$8)))</f>
        <v/>
      </c>
      <c r="OZ122" s="152">
        <f>IF($NT122=2,3*$OS122&amp;" de vida temp.",IF($NT122=3,"sem dano",IF($OS122=0,IF($NT122=1,"sem cura","sem dano"),IF($NT122=1,"cura ","")&amp;$OS122&amp;"d8")))</f>
        <v/>
      </c>
      <c r="PA122" s="152">
        <f>IF($NT122=2,3*$OT122&amp;" de vida temp.",IF($NT122=3,"sem dano",IF($OT122=0,IF($NT122=1,"sem cura","sem dano"),IF($NT122=1,"cura ","")&amp;$OT122&amp;"d8")))</f>
        <v/>
      </c>
      <c r="PB122" s="152">
        <f>IF($NT122=2,3*$OU122&amp;" de vida temp.",IF($NT122=3,"sem dano",IF($OU122=0,IF($NT122=1,"sem cura","sem dano"),IF($NT122=1,"cura ","")&amp;$OU122&amp;"d8")))</f>
        <v/>
      </c>
      <c r="PC122" s="152">
        <f>IF($NT122=2,3*$OV122&amp;" de vida temp.",IF($NT122=3,"sem dano",IF($OV122=0,IF($NT122=1,"sem cura","sem dano"),IF($NT122=1,"cura ","")&amp;$OV122&amp;"d8")))</f>
        <v/>
      </c>
      <c r="PD122" s="152">
        <f>IF($NT122=2,3*$OW122&amp;" de vida temp.",IF($NT122=3,"sem dano",IF($OW122=0,IF($NT122=1,"sem cura","sem dano"),IF($NT122=1,"cura ","")&amp;$OW122&amp;"d8")))</f>
        <v/>
      </c>
      <c r="PE122" s="152">
        <f>IF($NT122=2,3*$OX122&amp;" de vida temp.",IF($NT122=3,"sem dano",IF($OX122=0,IF($NT122=1,"sem cura","sem dano"),IF($NT122=1,"cura ","")&amp;$OX122&amp;"d8")))</f>
        <v/>
      </c>
      <c r="PF122" s="152">
        <f>IF($NT122=2,3*$OY122&amp;" de vida temp.",IF($NT122=3,"sem dano",IF($OY122=0,IF($NT122=1,"sem cura","sem dano"),IF($NT122=1,"cura ","")&amp;$OY122&amp;"d8")))</f>
        <v/>
      </c>
      <c r="PG122" s="152">
        <f>IF($MQ122=0,"",TEXTJOIN(" · ",TRUE,IF($MD122&gt;$MR122,"Este lugar abre no nível "&amp;$MD122,""),IF($MF122&gt;$MS122,"Classe "&amp;$MF122&amp;": o nível "&amp;$MR122&amp;" libera até a "&amp;$MS122,""),IF($NK122=1,"A Forma "&amp;$MH122&amp;" pede "&amp;INDEX($W$2:$W$11,$MW122)&amp;" aberta",""),IF(AND($MF122=0,$MW122&gt;0,IF($MW122=0,0,INDEX($AF$2:$AF$11,$MW122))=0),$MH122&amp;" não existe na Classe 0",""),IF($NL122=1,"Família Fechada: "&amp;$MK122,""),IF($NM122=1,"Família Fechada: "&amp;$ML122,""),IF($NN122=1,"Família Fechada: "&amp;$MM122,""),IF($NO122=1,"Família Fechada: "&amp;$MN122,""),IF(AND($MF122&gt;0,$OH122&gt;INDEX($O$2:$O$8,MAX(1,$MF122))),$OH122&amp;" Melhorias: a Classe "&amp;$MF122&amp;" aceita "&amp;INDEX($O$2:$O$8,MAX(1,$MF122)),""),IF(AND($MF122=0,$OH122&gt;1),"A básica aceita uma Melhoria",""),IF(AND($MF122=0,COUNTIF($NB122:$NE122,"&gt;1")&gt;0),"A básica só aceita Melhoria Leve",""),IF(AND($MF122&gt;0,$OI122&gt;2),$OI122&amp;" Restrições"&amp;IF($NS122=1,", contando a que a Forma "&amp;$MH122&amp;" já traz","")&amp;": o limite é 2",""),IF(AND($MF122=0,COUNTIF($MO122:$MP122,"?*")&gt;1),"A básica aceita uma Restrição Leve",""),IF(AND($MF122=0,COUNTIF($NV122:$NW122,2)&gt;0),"A básica só aceita Restrição Leve",""),IF(AND($MF122&gt;0,$OP122&lt;0),"Orçamento estourado: faltam "&amp;(-$OP122)&amp;IF($OP122&lt;-1," pontos"," ponto"),""),IF(IFERROR(VLOOKUP($MO122,$BC$2:$BG$24,4,FALSE),0)+IFERROR(VLOOKUP($MP122,$BC$2:$BG$24,4,FALSE),0)&gt;1,$NX122&amp;" e "&amp;$NY122&amp;" são as duas de frequência",""),IF(AND((COUNTIF($MK122:$MN122,"Rápido")+COUNTIF($NX122:$NY122,"Rápido"))&gt;0,(COUNTIF($MK122:$MN122,"Atrasar")+COUNTIF($NX122:$NY122,"Atrasar"))&gt;0),"Rápido não entra com Atrasar",""),IF(AND((COUNTIF($MK122:$MN122,"Reação")+COUNTIF($NX122:$NY122,"Reação"))&gt;0,(COUNTIF($MK122:$MN122,"Rápido")+COUNTIF($NX122:$NY122,"Rápido"))&gt;0),"Reação não entra com Rápido",""),IF(AND((COUNTIF($MK122:$MN122,"Reação")+COUNTIF($NX122:$NY122,"Reação"))&gt;0,(COUNTIF($MK122:$MN122,"Armado")+COUNTIF($NX122:$NY122,"Armado"))&gt;0),"Reação não entra com Armado",""),IF(AND((COUNTIF($MK122:$MN122,"Reação")+COUNTIF($NX122:$NY122,"Reação"))&gt;0,(COUNTIF($MK122:$MN122,"Atrasar")+COUNTIF($NX122:$NY122,"Atrasar"))&gt;0),"Reação não entra com Atrasar",""),IF(AND((COUNTIF($MK122:$MN122,"Reação")+COUNTIF($NX122:$NY122,"Reação"))&gt;0,(COUNTIF($MK122:$MN122,"Parado")+COUNTIF($NX122:$NY122,"Parado"))&gt;0),"Reação não entra com Parado",""),IF(AND((COUNTIF($MK122:$MN122,"Atrasar")+COUNTIF($NX122:$NY122,"Atrasar"))&gt;0,(COUNTIF($MK122:$MN122,"Parado")+COUNTIF($NX122:$NY122,"Parado"))&gt;0),"Atrasar não entra com Parado",""),IF(AND((COUNTIF($MK122:$MN122,"Armado")+COUNTIF($NX122:$NY122,"Armado"))&gt;0,(COUNTIF($MK122:$MN122,"Carregar")+COUNTIF($NX122:$NY122,"Carregar"))&gt;0),"Armado não entra com Carregar",""),IF(AND(COUNTIF($NX122:$NY122,"Corpo a Corpo")&gt;0,$NS122=0,OR($MH122="Cone",$MH122="Linha")),"Corpo a Corpo não entra em "&amp;$MH122,""),IF(AND(COUNTIF($NX122:$NY122,"Corpo a Corpo")&gt;0,$NS122=1),"A Forma "&amp;$MH122&amp;" já traz o Corpo a Corpo",""),IF(AND(COUNTIF($NX122:$NY122,"Tudo ou Nada")&gt;0,$NU122=0),"Tudo ou Nada só entra em habilidade de Teste de Resistência",""),IF(AND(COUNTIF($MK122:$MN122,"Inescapável")&gt;0,OR($OH122&gt;1,$OI122&gt;0)),"Inescapável não aceita outra peça",""),IF(AND($MF122&gt;0,$OQ122*IF(COUNTIF($MK122:$MN122,"Remate")&gt;0,1.25,1)+$OR122&gt;4*$MF122),($OQ122*IF(COUNTIF($MK122:$MN122,"Remate")&gt;0,1.25,1)+$OR122)&amp;" dados somando repetições"&amp;IF(COUNTIF($MK122:$MN122,"Remate")&gt;0," e o Remate","")&amp;": o teto da Classe "&amp;$MF122&amp;" é "&amp;4*$MF122,"")))</f>
        <v/>
      </c>
      <c r="PH122" s="152">
        <f>IF($PG122="",0,(LEN($PG122)-LEN(SUBSTITUTE($PG122," · ","")))/3+1)</f>
        <v/>
      </c>
      <c r="PI122" s="152">
        <f>IF($MQ122=0,"",TEXTJOIN(" · ",TRUE,IF($OK122&gt;2*$MF122,"A devolução parou no teto de "&amp;2*$MF122,""),IF($ON122&gt;0,"Devolução perdida: "&amp;$ON122&amp;IF($ON122&gt;1," pontos"," ponto")&amp;" sem peça para pagar",""),IF(AND($NP122&gt;0,AND($MF122&gt;0,$NT122=0),$OQ122=0),"Controle sem dano: uma rodada a mais e CD +2",""),IF(AND($NP122&gt;0,AND($MF122&gt;0,$NT122=0),$OQ122&gt;0,$OQ122&lt;=$MF122),"Controle com saldo até a Classe: uma rodada a mais",""),IF(AND($MF122&gt;0,$NR122&lt;&gt;""),"Efeito de "&amp;$NR122&amp;" pela Classe "&amp;MAX(1,$MF122-1),"")))</f>
        <v/>
      </c>
      <c r="PJ122" s="152">
        <f>IF($PI122="",0,(LEN($PI122)-LEN(SUBSTITUTE($PI122," · ","")))/3+1)</f>
        <v/>
      </c>
      <c r="PK122" s="152">
        <f>IF($MQ122=0,IF($OH122+COUNTIF($MO122:$MP122,"?*")&gt;0,"Dê um nome",""),IF($PH122&gt;0,"⚠ "&amp;$PH122&amp;IF($PH122&gt;1," erros"," erro"),IF($PJ122&gt;0,"! "&amp;$PJ122&amp;IF($PJ122&gt;1," avisos"," aviso"),"Na regra")))</f>
        <v/>
      </c>
      <c r="PL122" s="152">
        <f>IF($MQ122=0,"",IF($PH122+$PJ122=0,"Dentro das regras que a ficha confere",$PG122&amp;IF(AND($PH122&gt;0,$PJ122&gt;0)," · ","")&amp;$PI122))</f>
        <v/>
      </c>
      <c r="PM122" s="152">
        <f>IF($MD122&gt;$MR122,$ME122&amp;" · ABRE NO NÍVEL "&amp;$MD122,$ME122)</f>
        <v/>
      </c>
      <c r="PN122" s="152">
        <f>IF($MQ122=0,"",IF($MF122=0,"Sem PE",3*$MF122&amp;" PE"))</f>
        <v/>
      </c>
      <c r="PO122" s="152">
        <f>IF($MQ122=0,"",IF($MF122=0,"A atuação básica dela",IF(COUNTIF($NX122:$NY122,"Atrasar")&gt;0,"Sua Ação Completa",IF(COUNTIF($MK122:$MN122,"Rápido")&gt;0,"Sua Bônus",IF(COUNTIF($MK122:$MN122,"Reação")&gt;0,"Sua Reação","Sua Padrão")))&amp;" + a básica dela"&amp;IF(COUNTIF($MK122:$MN122,"Reação")&gt;0," e a coletiva","")&amp;IF(COUNTIF($NX122:$NY122,"Carregar")&gt;0," · em dois turnos","")))</f>
        <v/>
      </c>
      <c r="PP122" s="152">
        <f>IF($MJ122&lt;&gt;"",$MJ122,IF($MW122=0,"",INDEX($AA$2:$AA$11,$MW122)))</f>
        <v/>
      </c>
      <c r="PQ122" s="152">
        <f>IF(OR($MQ122=0,$MW122=0),"",IF(COUNTIF($MK122:$MN122,"Inescapável")&gt;0,"Automático",IF($PP122="Ataque",IF($MU122="","Ataque","Ataque "&amp;IF(($MU122+2*IF(COUNTIF($MK122:$MN122,"Precisão")&gt;0,1,0))&gt;=0,"+","−")&amp;ABS(($MU122+2*IF(COUNTIF($MK122:$MN122,"Precisão")&gt;0,1,0))))&amp;IF($NQ122&gt;0," · TR"&amp;IF($MV122="",""," CD "&amp;$MV122),""),IF(LEFT($PP122,2)="TR",$PP122&amp;IF($MV122="",""," · CD "&amp;$MV122)&amp;IF(COUNTIF($MK122:$MN122,"Certeiro")&gt;0," · metade",""),"Sem rolagem"))))</f>
        <v/>
      </c>
      <c r="PR122" s="152">
        <f>IF(OR($MQ122=0,$MW122=0),"",IF($MF122=0,IF(OR($NT122&gt;=1,$OQ122=0),"Sem dano",$OQ122&amp;"d6"&amp;IF($MI122="",""," "&amp;$MI122)),IF(OR($NT122&gt;=1,$OQ122=0),UPPER(LEFT(INDEX($OZ122:$PF122,1,MAX(1,$MF122)),1))&amp;MID(INDEX($OZ122:$PF122,1,MAX(1,$MF122)),2,99),UPPER(LEFT(INDEX($OZ122:$PF122,1,MAX(1,$MF122)),1))&amp;MID(INDEX($OZ122:$PF122,1,MAX(1,$MF122)),2,99)&amp;IF($MI122="",""," "&amp;$MI122)&amp;IF($OR122&gt;0," · +"&amp;$OR122&amp;"d8",""))))</f>
        <v/>
      </c>
      <c r="PS122" s="152">
        <f>COUNTIF($MK122:$MN122,"Longe")+3*COUNTIF($MK122:$MN122,"Muito Longe")</f>
        <v/>
      </c>
      <c r="PT122" s="152">
        <f>COUNTIF($MK122:$MN122,"Maior")+3*COUNTIF($MK122:$MN122,"Muito Maior")</f>
        <v/>
      </c>
      <c r="PU122" s="152">
        <f>IF($MW122=0,0,CHOOSE(1+INDEX($AC$2:$AC$11,$MW122),0,$PS122,$PT122,$PS122+$PT122))</f>
        <v/>
      </c>
      <c r="PV122" s="152">
        <f>IF($MW122=0,0,CHOOSE(1+INDEX($AD$2:$AD$11,$MW122),0,$PS122,$PT122,$PS122+$PT122))</f>
        <v/>
      </c>
      <c r="PW122" s="152">
        <f>IF(OR($MQ122=0,$MW122=0),"",INDEX($AI$2:$AN$41,($MW122-1)*4+IF($MF122=0,1,IF($MF122&lt;=5,2,IF($MF122=6,3,4))),1+MIN(5,$PU122))&amp;INDEX($AO$2:$AT$41,($MW122-1)*4+IF($MF122=0,1,IF($MF122&lt;=5,2,IF($MF122=6,3,4))),1+MIN(5,$PV122))&amp;IF(INDEX($AE$2:$AE$11,$MW122)=1,IF(COUNTIF($MK122:$MN122,"Mais Um")&gt;0," · +"&amp;COUNTIF($MK122:$MN122,"Mais Um")&amp;IF(COUNTIF($MK122:$MN122,"Mais Um")&gt;1," alvos"," alvo"),"")&amp;IF(COUNTIF($MK122:$MN122,"Rajada")&gt;0,IF($MF122=0," · 1 tiro"," · "&amp;(MAX(1,$MF122-1)+1)&amp;" tiros"),""),""))</f>
        <v/>
      </c>
      <c r="PX122" s="152">
        <f>IF($MQ122=0,"",IF($MF122=0,$MT122&amp;"d6"&amp;IF($OH122&gt;0," − 1 = "&amp;$OQ122&amp;"d6"," da básica do nível "&amp;$MR122),$OO122&amp;" − "&amp;$OJ122&amp;" + "&amp;$OM122&amp;" = "&amp;$OP122&amp;" · teto "&amp;4*$MF122&amp;"d8"&amp;IF($NS122=1," · a Forma devolve "&amp;$MF122,"")&amp;IF($ON122&gt;0," · perde "&amp;$ON122,"")))</f>
        <v/>
      </c>
      <c r="PY122" s="152">
        <f>IF($MQ122=0,"",IF($MF122=0,"A básica não amplia: os dados dela sobem com o nível",IF($MF122&gt;=$MS122,"Já está na maior Classe que o nível liberou",TEXTJOIN(" · ",TRUE,IF(AND(2&gt;$MF122,2&lt;=$MS122),"2 → "&amp;$PA122&amp;", 6 PE",""),IF(AND(3&gt;$MF122,3&lt;=$MS122),"3 → "&amp;$PB122&amp;", 9 PE",""),IF(AND(4&gt;$MF122,4&lt;=$MS122),"4 → "&amp;$PC122&amp;", 12 PE",""),IF(AND(5&gt;$MF122,5&lt;=$MS122),"5 → "&amp;$PD122&amp;", 15 PE",""),IF(AND(6&gt;$MF122,6&lt;=$MS122),"6 → "&amp;$PE122&amp;", 18 PE",""),IF(AND(7&gt;$MF122,7&lt;=$MS122),"7 → "&amp;$PF122&amp;", 21 PE","")))))</f>
        <v/>
      </c>
      <c r="PZ122" s="152">
        <f>IF(OR($MQ122=0,$NB122=0),"",IF($MF122=0,"−1 dado","−"&amp;INDEX($I$2:$N$8,MAX(1,$MF122),MAX(1,$NG122))&amp;" · "&amp;CHOOSE(MAX(1,$NG122),"Leve","Média","Pesada","Leve · Livre","Média · Livre","Pesada · Livre")))</f>
        <v/>
      </c>
      <c r="QA122" s="152">
        <f>IF(OR($MQ122=0,$NC122=0),"",IF($MF122=0,"−1 dado","−"&amp;INDEX($I$2:$N$8,MAX(1,$MF122),MAX(1,$NH122))&amp;" · "&amp;CHOOSE(MAX(1,$NH122),"Leve","Média","Pesada","Leve · Livre","Média · Livre","Pesada · Livre")))</f>
        <v/>
      </c>
      <c r="QB122" s="152">
        <f>IF(OR($MQ122=0,$ND122=0),"",IF($MF122=0,"−1 dado","−"&amp;INDEX($I$2:$N$8,MAX(1,$MF122),MAX(1,$NI122))&amp;" · "&amp;CHOOSE(MAX(1,$NI122),"Leve","Média","Pesada","Leve · Livre","Média · Livre","Pesada · Livre")))</f>
        <v/>
      </c>
      <c r="QC122" s="152">
        <f>IF(OR($MQ122=0,$NE122=0),"",IF($MF122=0,"−1 dado","−"&amp;INDEX($I$2:$N$8,MAX(1,$MF122),MAX(1,$NJ122))&amp;" · "&amp;CHOOSE(MAX(1,$NJ122),"Leve","Média","Pesada","Leve · Livre","Média · Livre","Pesada · Livre")))</f>
        <v/>
      </c>
      <c r="QD122" s="152">
        <f>IF(OR($MQ122=0,$MO122=""),"",IF($MF122=0,"não devolve","+"&amp;IF($NV122=1,CEILING($MF122/2,1),$MF122)))</f>
        <v/>
      </c>
      <c r="QE122" s="152">
        <f>IF(OR($MQ122=0,$MP122=""),"",IF($MF122=0,"não devolve","+"&amp;IF($NW122=1,CEILING($MF122/2,1),$MF122)))</f>
        <v/>
      </c>
    </row>
    <row r="123">
      <c r="MA123" s="150" t="inlineStr">
        <is>
          <t>Ficha 10 · Especial 3</t>
        </is>
      </c>
      <c r="MB123" s="152" t="n">
        <v>10</v>
      </c>
      <c r="MC123" s="152" t="n">
        <v>1</v>
      </c>
      <c r="MD123" s="152" t="n">
        <v>8</v>
      </c>
      <c r="ME123" s="150" t="inlineStr">
        <is>
          <t>ESPECIAL 3</t>
        </is>
      </c>
      <c r="MF123" s="152">
        <f>MAX(1,MIN(7,N('INVOCAÇÕES'!$AH$686)))</f>
        <v/>
      </c>
      <c r="MG123" s="152">
        <f>'INVOCAÇÕES'!$AI$686&amp;""</f>
        <v/>
      </c>
      <c r="MH123" s="152">
        <f>'INVOCAÇÕES'!$AH$691&amp;""</f>
        <v/>
      </c>
      <c r="MI123" s="152">
        <f>'INVOCAÇÕES'!$AH$692&amp;""</f>
        <v/>
      </c>
      <c r="MJ123" s="152">
        <f>'INVOCAÇÕES'!$AJ$692&amp;""</f>
        <v/>
      </c>
      <c r="MK123" s="152">
        <f>'INVOCAÇÕES'!$AI$695&amp;""</f>
        <v/>
      </c>
      <c r="ML123" s="152">
        <f>'INVOCAÇÕES'!$AI$696&amp;""</f>
        <v/>
      </c>
      <c r="MM123" s="152">
        <f>'INVOCAÇÕES'!$AI$697&amp;""</f>
        <v/>
      </c>
      <c r="MN123" s="152">
        <f>'INVOCAÇÕES'!$AI$698&amp;""</f>
        <v/>
      </c>
      <c r="MO123" s="152">
        <f>'INVOCAÇÕES'!$AI$699&amp;""</f>
        <v/>
      </c>
      <c r="MP123" s="152">
        <f>'INVOCAÇÕES'!$AI$700&amp;""</f>
        <v/>
      </c>
      <c r="MQ123" s="152">
        <f>IF($MG123&lt;&gt;"",1,0)</f>
        <v/>
      </c>
      <c r="MR123" s="152">
        <f>INDEX($FI$2:$FI$13,$MB123)</f>
        <v/>
      </c>
      <c r="MS123" s="152">
        <f>INDEX($FJ$2:$FJ$13,$MB123)</f>
        <v/>
      </c>
      <c r="MT123" s="152">
        <f>INDEX($FK$2:$FK$13,$MB123)</f>
        <v/>
      </c>
      <c r="MU123" s="152">
        <f>INDEX($FV$2:$FV$13,$MB123)</f>
        <v/>
      </c>
      <c r="MV123" s="152">
        <f>INDEX($FW$2:$FW$13,$MB123)</f>
        <v/>
      </c>
      <c r="MW123" s="152">
        <f>IFERROR(MATCH($MH123,$V$2:$V$11,0),0)</f>
        <v/>
      </c>
      <c r="MX123" s="152">
        <f>IFERROR(VLOOKUP($MK123,$AV$2:$BA$84,2,FALSE),"")</f>
        <v/>
      </c>
      <c r="MY123" s="152">
        <f>IFERROR(VLOOKUP($ML123,$AV$2:$BA$84,2,FALSE),"")</f>
        <v/>
      </c>
      <c r="MZ123" s="152">
        <f>IFERROR(VLOOKUP($MM123,$AV$2:$BA$84,2,FALSE),"")</f>
        <v/>
      </c>
      <c r="NA123" s="152">
        <f>IFERROR(VLOOKUP($MN123,$AV$2:$BA$84,2,FALSE),"")</f>
        <v/>
      </c>
      <c r="NB123" s="152">
        <f>IFERROR(VLOOKUP($MK123,$AV$2:$BA$84,3,FALSE),0)</f>
        <v/>
      </c>
      <c r="NC123" s="152">
        <f>IFERROR(VLOOKUP($ML123,$AV$2:$BA$84,3,FALSE),0)</f>
        <v/>
      </c>
      <c r="ND123" s="152">
        <f>IFERROR(VLOOKUP($MM123,$AV$2:$BA$84,3,FALSE),0)</f>
        <v/>
      </c>
      <c r="NE123" s="152">
        <f>IFERROR(VLOOKUP($MN123,$AV$2:$BA$84,3,FALSE),0)</f>
        <v/>
      </c>
      <c r="NF123" s="152">
        <f>IF($MF123=0,0,IF($MW123=0,0,INDEX($X$2:$X$11,$MW123)))</f>
        <v/>
      </c>
      <c r="NG123" s="152">
        <f>IF(OR($NB123=0,$MF123=0),0,$NB123+3*IF(AND($MX123&lt;&gt;"",OR($MX123=INDEX($EF$2:$EF$13,$MB123),$MX123=INDEX($EG$2:$EG$13,$MB123))),1,0))</f>
        <v/>
      </c>
      <c r="NH123" s="152">
        <f>IF(OR($NC123=0,$MF123=0),0,$NC123+3*IF(AND($MY123&lt;&gt;"",OR($MY123=INDEX($EF$2:$EF$13,$MB123),$MY123=INDEX($EG$2:$EG$13,$MB123))),1,0))</f>
        <v/>
      </c>
      <c r="NI123" s="152">
        <f>IF(OR($ND123=0,$MF123=0),0,$ND123+3*IF(AND($MZ123&lt;&gt;"",OR($MZ123=INDEX($EF$2:$EF$13,$MB123),$MZ123=INDEX($EG$2:$EG$13,$MB123))),1,0))</f>
        <v/>
      </c>
      <c r="NJ123" s="152">
        <f>IF(OR($NE123=0,$MF123=0),0,$NE123+3*IF(AND($NA123&lt;&gt;"",OR($NA123=INDEX($EF$2:$EF$13,$MB123),$NA123=INDEX($EG$2:$EG$13,$MB123))),1,0))</f>
        <v/>
      </c>
      <c r="NK123" s="152">
        <f>IF($MW123=0,0,IF(INDEX($W$2:$W$11,$MW123)="",0,IF(COUNTIF(INDEX($EF$2:$EJ$13,$MB123,0),INDEX($W$2:$W$11,$MW123))=0,1,0)))</f>
        <v/>
      </c>
      <c r="NL123" s="152">
        <f>IF(OR($NB123=0,$MX123=""),0,IF(COUNTIF(INDEX($EF$2:$EJ$13,$MB123,0),$MX123)=0,1,0))</f>
        <v/>
      </c>
      <c r="NM123" s="152">
        <f>IF(OR($NC123=0,$MY123=""),0,IF(COUNTIF(INDEX($EF$2:$EJ$13,$MB123,0),$MY123)=0,1,0))</f>
        <v/>
      </c>
      <c r="NN123" s="152">
        <f>IF(OR($ND123=0,$MZ123=""),0,IF(COUNTIF(INDEX($EF$2:$EJ$13,$MB123,0),$MZ123)=0,1,0))</f>
        <v/>
      </c>
      <c r="NO123" s="152">
        <f>IF(OR($NE123=0,$NA123=""),0,IF(COUNTIF(INDEX($EF$2:$EJ$13,$MB123,0),$NA123)=0,1,0))</f>
        <v/>
      </c>
      <c r="NP123" s="152">
        <f>IFERROR(VLOOKUP($MK123,$AV$2:$BA$84,4,FALSE),0)+IFERROR(VLOOKUP($ML123,$AV$2:$BA$84,4,FALSE),0)+IFERROR(VLOOKUP($MM123,$AV$2:$BA$84,4,FALSE),0)+IFERROR(VLOOKUP($MN123,$AV$2:$BA$84,4,FALSE),0)</f>
        <v/>
      </c>
      <c r="NQ123" s="152">
        <f>IFERROR(VLOOKUP($MK123,$AV$2:$BA$84,6,FALSE),0)+IFERROR(VLOOKUP($ML123,$AV$2:$BA$84,6,FALSE),0)+IFERROR(VLOOKUP($MM123,$AV$2:$BA$84,6,FALSE),0)+IFERROR(VLOOKUP($MN123,$AV$2:$BA$84,6,FALSE),0)</f>
        <v/>
      </c>
      <c r="NR123" s="152">
        <f>TEXTJOIN(", ",TRUE,IF(IFERROR(VLOOKUP($MK123,$AV$2:$BA$84,5,FALSE),0)=1,$MK123,""),IF(IFERROR(VLOOKUP($ML123,$AV$2:$BA$84,5,FALSE),0)=1,$ML123,""),IF(IFERROR(VLOOKUP($MM123,$AV$2:$BA$84,5,FALSE),0)=1,$MM123,""),IF(IFERROR(VLOOKUP($MN123,$AV$2:$BA$84,5,FALSE),0)=1,$MN123,""))</f>
        <v/>
      </c>
      <c r="NS123" s="152">
        <f>IF($MW123=0,0,INDEX($Y$2:$Y$11,$MW123))</f>
        <v/>
      </c>
      <c r="NT123" s="152">
        <f>IF($MW123=0,0,INDEX($Z$2:$Z$11,$MW123))</f>
        <v/>
      </c>
      <c r="NU123" s="152">
        <f>IF($MW123=0,0,INDEX($AB$2:$AB$11,$MW123))</f>
        <v/>
      </c>
      <c r="NV123" s="152">
        <f>IFERROR(VLOOKUP($MO123,$BC$2:$BG$24,3,FALSE),0)</f>
        <v/>
      </c>
      <c r="NW123" s="152">
        <f>IFERROR(VLOOKUP($MP123,$BC$2:$BG$24,3,FALSE),0)</f>
        <v/>
      </c>
      <c r="NX123" s="152">
        <f>IFERROR(VLOOKUP($MO123,$BC$2:$BG$24,2,FALSE),"")</f>
        <v/>
      </c>
      <c r="NY123" s="152">
        <f>IFERROR(VLOOKUP($MP123,$BC$2:$BG$24,2,FALSE),"")</f>
        <v/>
      </c>
      <c r="NZ123" s="152">
        <f>COUNTIF($NF123:$NJ123,1)</f>
        <v/>
      </c>
      <c r="OA123" s="152">
        <f>COUNTIF($NF123:$NJ123,2)</f>
        <v/>
      </c>
      <c r="OB123" s="152">
        <f>COUNTIF($NF123:$NJ123,3)</f>
        <v/>
      </c>
      <c r="OC123" s="152">
        <f>COUNTIF($NF123:$NJ123,4)</f>
        <v/>
      </c>
      <c r="OD123" s="152">
        <f>COUNTIF($NF123:$NJ123,5)</f>
        <v/>
      </c>
      <c r="OE123" s="152">
        <f>COUNTIF($NF123:$NJ123,6)</f>
        <v/>
      </c>
      <c r="OF123" s="152">
        <f>COUNTIF($NV123:$NW123,1)</f>
        <v/>
      </c>
      <c r="OG123" s="152">
        <f>COUNTIF($NV123:$NW123,2)+$NS123</f>
        <v/>
      </c>
      <c r="OH123" s="152">
        <f>COUNTIF($MK123:$MN123,"?*")</f>
        <v/>
      </c>
      <c r="OI123" s="152">
        <f>COUNTIF($MO123:$MP123,"?*")+$NS123</f>
        <v/>
      </c>
      <c r="OJ123" s="152">
        <f>IF($MF123=0,0,SUMPRODUCT($NZ123:$OE123,INDEX($I$2:$N$8,MAX(1,$MF123),0)))</f>
        <v/>
      </c>
      <c r="OK123" s="152">
        <f>IF($MF123=0,0,$OF123*CEILING($MF123/2,1)+$OG123*$MF123)</f>
        <v/>
      </c>
      <c r="OL123" s="152">
        <f>MIN(2*$MF123,$OK123)</f>
        <v/>
      </c>
      <c r="OM123" s="152">
        <f>MIN($OL123,$OJ123)</f>
        <v/>
      </c>
      <c r="ON123" s="152">
        <f>$OL123-$OM123</f>
        <v/>
      </c>
      <c r="OO123" s="152">
        <f>IF($MF123=0,0,INDEX($P$2:$P$8,MAX(1,$MF123)))</f>
        <v/>
      </c>
      <c r="OP123" s="152">
        <f>$OO123-$OJ123+$OM123</f>
        <v/>
      </c>
      <c r="OQ123" s="152">
        <f>IF($MF123=0,MAX(0,$MT123-IF($OH123&gt;0,1,0)),MAX(0,$OP123))</f>
        <v/>
      </c>
      <c r="OR123" s="152">
        <f>IF($MF123=0,0,(IF(COUNTIF($MK123:$MN123,"Salto")&gt;0,1,0)+IF(COUNTIF($MK123:$MN123,"Queima")&gt;0,1,0)+IF(COUNTIF($MK123:$MN123,"Estilhaço")&gt;0,1,0))*FLOOR($OQ123/2,1))</f>
        <v/>
      </c>
      <c r="OS123" s="152">
        <f>MAX(0,2-SUMPRODUCT($NZ123:$OE123,$I$2:$N$2)+MIN(2,$OF123*1+$OG123*1,SUMPRODUCT($NZ123:$OE123,$I$2:$N$2)))</f>
        <v/>
      </c>
      <c r="OT123" s="152">
        <f>MAX(0,4-SUMPRODUCT($NZ123:$OE123,$I$3:$N$3)+MIN(4,$OF123*1+$OG123*2,SUMPRODUCT($NZ123:$OE123,$I$3:$N$3)))</f>
        <v/>
      </c>
      <c r="OU123" s="152">
        <f>MAX(0,6-SUMPRODUCT($NZ123:$OE123,$I$4:$N$4)+MIN(6,$OF123*2+$OG123*3,SUMPRODUCT($NZ123:$OE123,$I$4:$N$4)))</f>
        <v/>
      </c>
      <c r="OV123" s="152">
        <f>MAX(0,9-SUMPRODUCT($NZ123:$OE123,$I$5:$N$5)+MIN(8,$OF123*2+$OG123*4,SUMPRODUCT($NZ123:$OE123,$I$5:$N$5)))</f>
        <v/>
      </c>
      <c r="OW123" s="152">
        <f>MAX(0,11-SUMPRODUCT($NZ123:$OE123,$I$6:$N$6)+MIN(10,$OF123*3+$OG123*5,SUMPRODUCT($NZ123:$OE123,$I$6:$N$6)))</f>
        <v/>
      </c>
      <c r="OX123" s="152">
        <f>MAX(0,13-SUMPRODUCT($NZ123:$OE123,$I$7:$N$7)+MIN(12,$OF123*3+$OG123*6,SUMPRODUCT($NZ123:$OE123,$I$7:$N$7)))</f>
        <v/>
      </c>
      <c r="OY123" s="152">
        <f>MAX(0,16-SUMPRODUCT($NZ123:$OE123,$I$8:$N$8)+MIN(14,$OF123*4+$OG123*7,SUMPRODUCT($NZ123:$OE123,$I$8:$N$8)))</f>
        <v/>
      </c>
      <c r="OZ123" s="152">
        <f>IF($NT123=2,3*$OS123&amp;" de vida temp.",IF($NT123=3,"sem dano",IF($OS123=0,IF($NT123=1,"sem cura","sem dano"),IF($NT123=1,"cura ","")&amp;$OS123&amp;"d8")))</f>
        <v/>
      </c>
      <c r="PA123" s="152">
        <f>IF($NT123=2,3*$OT123&amp;" de vida temp.",IF($NT123=3,"sem dano",IF($OT123=0,IF($NT123=1,"sem cura","sem dano"),IF($NT123=1,"cura ","")&amp;$OT123&amp;"d8")))</f>
        <v/>
      </c>
      <c r="PB123" s="152">
        <f>IF($NT123=2,3*$OU123&amp;" de vida temp.",IF($NT123=3,"sem dano",IF($OU123=0,IF($NT123=1,"sem cura","sem dano"),IF($NT123=1,"cura ","")&amp;$OU123&amp;"d8")))</f>
        <v/>
      </c>
      <c r="PC123" s="152">
        <f>IF($NT123=2,3*$OV123&amp;" de vida temp.",IF($NT123=3,"sem dano",IF($OV123=0,IF($NT123=1,"sem cura","sem dano"),IF($NT123=1,"cura ","")&amp;$OV123&amp;"d8")))</f>
        <v/>
      </c>
      <c r="PD123" s="152">
        <f>IF($NT123=2,3*$OW123&amp;" de vida temp.",IF($NT123=3,"sem dano",IF($OW123=0,IF($NT123=1,"sem cura","sem dano"),IF($NT123=1,"cura ","")&amp;$OW123&amp;"d8")))</f>
        <v/>
      </c>
      <c r="PE123" s="152">
        <f>IF($NT123=2,3*$OX123&amp;" de vida temp.",IF($NT123=3,"sem dano",IF($OX123=0,IF($NT123=1,"sem cura","sem dano"),IF($NT123=1,"cura ","")&amp;$OX123&amp;"d8")))</f>
        <v/>
      </c>
      <c r="PF123" s="152">
        <f>IF($NT123=2,3*$OY123&amp;" de vida temp.",IF($NT123=3,"sem dano",IF($OY123=0,IF($NT123=1,"sem cura","sem dano"),IF($NT123=1,"cura ","")&amp;$OY123&amp;"d8")))</f>
        <v/>
      </c>
      <c r="PG123" s="152">
        <f>IF($MQ123=0,"",TEXTJOIN(" · ",TRUE,IF($MD123&gt;$MR123,"Este lugar abre no nível "&amp;$MD123,""),IF($MF123&gt;$MS123,"Classe "&amp;$MF123&amp;": o nível "&amp;$MR123&amp;" libera até a "&amp;$MS123,""),IF($NK123=1,"A Forma "&amp;$MH123&amp;" pede "&amp;INDEX($W$2:$W$11,$MW123)&amp;" aberta",""),IF(AND($MF123=0,$MW123&gt;0,IF($MW123=0,0,INDEX($AF$2:$AF$11,$MW123))=0),$MH123&amp;" não existe na Classe 0",""),IF($NL123=1,"Família Fechada: "&amp;$MK123,""),IF($NM123=1,"Família Fechada: "&amp;$ML123,""),IF($NN123=1,"Família Fechada: "&amp;$MM123,""),IF($NO123=1,"Família Fechada: "&amp;$MN123,""),IF(AND($MF123&gt;0,$OH123&gt;INDEX($O$2:$O$8,MAX(1,$MF123))),$OH123&amp;" Melhorias: a Classe "&amp;$MF123&amp;" aceita "&amp;INDEX($O$2:$O$8,MAX(1,$MF123)),""),IF(AND($MF123=0,$OH123&gt;1),"A básica aceita uma Melhoria",""),IF(AND($MF123=0,COUNTIF($NB123:$NE123,"&gt;1")&gt;0),"A básica só aceita Melhoria Leve",""),IF(AND($MF123&gt;0,$OI123&gt;2),$OI123&amp;" Restrições"&amp;IF($NS123=1,", contando a que a Forma "&amp;$MH123&amp;" já traz","")&amp;": o limite é 2",""),IF(AND($MF123=0,COUNTIF($MO123:$MP123,"?*")&gt;1),"A básica aceita uma Restrição Leve",""),IF(AND($MF123=0,COUNTIF($NV123:$NW123,2)&gt;0),"A básica só aceita Restrição Leve",""),IF(AND($MF123&gt;0,$OP123&lt;0),"Orçamento estourado: faltam "&amp;(-$OP123)&amp;IF($OP123&lt;-1," pontos"," ponto"),""),IF(IFERROR(VLOOKUP($MO123,$BC$2:$BG$24,4,FALSE),0)+IFERROR(VLOOKUP($MP123,$BC$2:$BG$24,4,FALSE),0)&gt;1,$NX123&amp;" e "&amp;$NY123&amp;" são as duas de frequência",""),IF(AND((COUNTIF($MK123:$MN123,"Rápido")+COUNTIF($NX123:$NY123,"Rápido"))&gt;0,(COUNTIF($MK123:$MN123,"Atrasar")+COUNTIF($NX123:$NY123,"Atrasar"))&gt;0),"Rápido não entra com Atrasar",""),IF(AND((COUNTIF($MK123:$MN123,"Reação")+COUNTIF($NX123:$NY123,"Reação"))&gt;0,(COUNTIF($MK123:$MN123,"Rápido")+COUNTIF($NX123:$NY123,"Rápido"))&gt;0),"Reação não entra com Rápido",""),IF(AND((COUNTIF($MK123:$MN123,"Reação")+COUNTIF($NX123:$NY123,"Reação"))&gt;0,(COUNTIF($MK123:$MN123,"Armado")+COUNTIF($NX123:$NY123,"Armado"))&gt;0),"Reação não entra com Armado",""),IF(AND((COUNTIF($MK123:$MN123,"Reação")+COUNTIF($NX123:$NY123,"Reação"))&gt;0,(COUNTIF($MK123:$MN123,"Atrasar")+COUNTIF($NX123:$NY123,"Atrasar"))&gt;0),"Reação não entra com Atrasar",""),IF(AND((COUNTIF($MK123:$MN123,"Reação")+COUNTIF($NX123:$NY123,"Reação"))&gt;0,(COUNTIF($MK123:$MN123,"Parado")+COUNTIF($NX123:$NY123,"Parado"))&gt;0),"Reação não entra com Parado",""),IF(AND((COUNTIF($MK123:$MN123,"Atrasar")+COUNTIF($NX123:$NY123,"Atrasar"))&gt;0,(COUNTIF($MK123:$MN123,"Parado")+COUNTIF($NX123:$NY123,"Parado"))&gt;0),"Atrasar não entra com Parado",""),IF(AND((COUNTIF($MK123:$MN123,"Armado")+COUNTIF($NX123:$NY123,"Armado"))&gt;0,(COUNTIF($MK123:$MN123,"Carregar")+COUNTIF($NX123:$NY123,"Carregar"))&gt;0),"Armado não entra com Carregar",""),IF(AND(COUNTIF($NX123:$NY123,"Corpo a Corpo")&gt;0,$NS123=0,OR($MH123="Cone",$MH123="Linha")),"Corpo a Corpo não entra em "&amp;$MH123,""),IF(AND(COUNTIF($NX123:$NY123,"Corpo a Corpo")&gt;0,$NS123=1),"A Forma "&amp;$MH123&amp;" já traz o Corpo a Corpo",""),IF(AND(COUNTIF($NX123:$NY123,"Tudo ou Nada")&gt;0,$NU123=0),"Tudo ou Nada só entra em habilidade de Teste de Resistência",""),IF(AND(COUNTIF($MK123:$MN123,"Inescapável")&gt;0,OR($OH123&gt;1,$OI123&gt;0)),"Inescapável não aceita outra peça",""),IF(AND($MF123&gt;0,$OQ123*IF(COUNTIF($MK123:$MN123,"Remate")&gt;0,1.25,1)+$OR123&gt;4*$MF123),($OQ123*IF(COUNTIF($MK123:$MN123,"Remate")&gt;0,1.25,1)+$OR123)&amp;" dados somando repetições"&amp;IF(COUNTIF($MK123:$MN123,"Remate")&gt;0," e o Remate","")&amp;": o teto da Classe "&amp;$MF123&amp;" é "&amp;4*$MF123,"")))</f>
        <v/>
      </c>
      <c r="PH123" s="152">
        <f>IF($PG123="",0,(LEN($PG123)-LEN(SUBSTITUTE($PG123," · ","")))/3+1)</f>
        <v/>
      </c>
      <c r="PI123" s="152">
        <f>IF($MQ123=0,"",TEXTJOIN(" · ",TRUE,IF($OK123&gt;2*$MF123,"A devolução parou no teto de "&amp;2*$MF123,""),IF($ON123&gt;0,"Devolução perdida: "&amp;$ON123&amp;IF($ON123&gt;1," pontos"," ponto")&amp;" sem peça para pagar",""),IF(AND($NP123&gt;0,AND($MF123&gt;0,$NT123=0),$OQ123=0),"Controle sem dano: uma rodada a mais e CD +2",""),IF(AND($NP123&gt;0,AND($MF123&gt;0,$NT123=0),$OQ123&gt;0,$OQ123&lt;=$MF123),"Controle com saldo até a Classe: uma rodada a mais",""),IF(AND($MF123&gt;0,$NR123&lt;&gt;""),"Efeito de "&amp;$NR123&amp;" pela Classe "&amp;MAX(1,$MF123-1),"")))</f>
        <v/>
      </c>
      <c r="PJ123" s="152">
        <f>IF($PI123="",0,(LEN($PI123)-LEN(SUBSTITUTE($PI123," · ","")))/3+1)</f>
        <v/>
      </c>
      <c r="PK123" s="152">
        <f>IF($MQ123=0,IF($OH123+COUNTIF($MO123:$MP123,"?*")&gt;0,"Dê um nome",""),IF($PH123&gt;0,"⚠ "&amp;$PH123&amp;IF($PH123&gt;1," erros"," erro"),IF($PJ123&gt;0,"! "&amp;$PJ123&amp;IF($PJ123&gt;1," avisos"," aviso"),"Na regra")))</f>
        <v/>
      </c>
      <c r="PL123" s="152">
        <f>IF($MQ123=0,"",IF($PH123+$PJ123=0,"Dentro das regras que a ficha confere",$PG123&amp;IF(AND($PH123&gt;0,$PJ123&gt;0)," · ","")&amp;$PI123))</f>
        <v/>
      </c>
      <c r="PM123" s="152">
        <f>IF($MD123&gt;$MR123,$ME123&amp;" · ABRE NO NÍVEL "&amp;$MD123,$ME123)</f>
        <v/>
      </c>
      <c r="PN123" s="152">
        <f>IF($MQ123=0,"",IF($MF123=0,"Sem PE",3*$MF123&amp;" PE"))</f>
        <v/>
      </c>
      <c r="PO123" s="152">
        <f>IF($MQ123=0,"",IF($MF123=0,"A atuação básica dela",IF(COUNTIF($NX123:$NY123,"Atrasar")&gt;0,"Sua Ação Completa",IF(COUNTIF($MK123:$MN123,"Rápido")&gt;0,"Sua Bônus",IF(COUNTIF($MK123:$MN123,"Reação")&gt;0,"Sua Reação","Sua Padrão")))&amp;" + a básica dela"&amp;IF(COUNTIF($MK123:$MN123,"Reação")&gt;0," e a coletiva","")&amp;IF(COUNTIF($NX123:$NY123,"Carregar")&gt;0," · em dois turnos","")))</f>
        <v/>
      </c>
      <c r="PP123" s="152">
        <f>IF($MJ123&lt;&gt;"",$MJ123,IF($MW123=0,"",INDEX($AA$2:$AA$11,$MW123)))</f>
        <v/>
      </c>
      <c r="PQ123" s="152">
        <f>IF(OR($MQ123=0,$MW123=0),"",IF(COUNTIF($MK123:$MN123,"Inescapável")&gt;0,"Automático",IF($PP123="Ataque",IF($MU123="","Ataque","Ataque "&amp;IF(($MU123+2*IF(COUNTIF($MK123:$MN123,"Precisão")&gt;0,1,0))&gt;=0,"+","−")&amp;ABS(($MU123+2*IF(COUNTIF($MK123:$MN123,"Precisão")&gt;0,1,0))))&amp;IF($NQ123&gt;0," · TR"&amp;IF($MV123="",""," CD "&amp;$MV123),""),IF(LEFT($PP123,2)="TR",$PP123&amp;IF($MV123="",""," · CD "&amp;$MV123)&amp;IF(COUNTIF($MK123:$MN123,"Certeiro")&gt;0," · metade",""),"Sem rolagem"))))</f>
        <v/>
      </c>
      <c r="PR123" s="152">
        <f>IF(OR($MQ123=0,$MW123=0),"",IF($MF123=0,IF(OR($NT123&gt;=1,$OQ123=0),"Sem dano",$OQ123&amp;"d6"&amp;IF($MI123="",""," "&amp;$MI123)),IF(OR($NT123&gt;=1,$OQ123=0),UPPER(LEFT(INDEX($OZ123:$PF123,1,MAX(1,$MF123)),1))&amp;MID(INDEX($OZ123:$PF123,1,MAX(1,$MF123)),2,99),UPPER(LEFT(INDEX($OZ123:$PF123,1,MAX(1,$MF123)),1))&amp;MID(INDEX($OZ123:$PF123,1,MAX(1,$MF123)),2,99)&amp;IF($MI123="",""," "&amp;$MI123)&amp;IF($OR123&gt;0," · +"&amp;$OR123&amp;"d8",""))))</f>
        <v/>
      </c>
      <c r="PS123" s="152">
        <f>COUNTIF($MK123:$MN123,"Longe")+3*COUNTIF($MK123:$MN123,"Muito Longe")</f>
        <v/>
      </c>
      <c r="PT123" s="152">
        <f>COUNTIF($MK123:$MN123,"Maior")+3*COUNTIF($MK123:$MN123,"Muito Maior")</f>
        <v/>
      </c>
      <c r="PU123" s="152">
        <f>IF($MW123=0,0,CHOOSE(1+INDEX($AC$2:$AC$11,$MW123),0,$PS123,$PT123,$PS123+$PT123))</f>
        <v/>
      </c>
      <c r="PV123" s="152">
        <f>IF($MW123=0,0,CHOOSE(1+INDEX($AD$2:$AD$11,$MW123),0,$PS123,$PT123,$PS123+$PT123))</f>
        <v/>
      </c>
      <c r="PW123" s="152">
        <f>IF(OR($MQ123=0,$MW123=0),"",INDEX($AI$2:$AN$41,($MW123-1)*4+IF($MF123=0,1,IF($MF123&lt;=5,2,IF($MF123=6,3,4))),1+MIN(5,$PU123))&amp;INDEX($AO$2:$AT$41,($MW123-1)*4+IF($MF123=0,1,IF($MF123&lt;=5,2,IF($MF123=6,3,4))),1+MIN(5,$PV123))&amp;IF(INDEX($AE$2:$AE$11,$MW123)=1,IF(COUNTIF($MK123:$MN123,"Mais Um")&gt;0," · +"&amp;COUNTIF($MK123:$MN123,"Mais Um")&amp;IF(COUNTIF($MK123:$MN123,"Mais Um")&gt;1," alvos"," alvo"),"")&amp;IF(COUNTIF($MK123:$MN123,"Rajada")&gt;0,IF($MF123=0," · 1 tiro"," · "&amp;(MAX(1,$MF123-1)+1)&amp;" tiros"),""),""))</f>
        <v/>
      </c>
      <c r="PX123" s="152">
        <f>IF($MQ123=0,"",IF($MF123=0,$MT123&amp;"d6"&amp;IF($OH123&gt;0," − 1 = "&amp;$OQ123&amp;"d6"," da básica do nível "&amp;$MR123),$OO123&amp;" − "&amp;$OJ123&amp;" + "&amp;$OM123&amp;" = "&amp;$OP123&amp;" · teto "&amp;4*$MF123&amp;"d8"&amp;IF($NS123=1," · a Forma devolve "&amp;$MF123,"")&amp;IF($ON123&gt;0," · perde "&amp;$ON123,"")))</f>
        <v/>
      </c>
      <c r="PY123" s="152">
        <f>IF($MQ123=0,"",IF($MF123=0,"A básica não amplia: os dados dela sobem com o nível",IF($MF123&gt;=$MS123,"Já está na maior Classe que o nível liberou",TEXTJOIN(" · ",TRUE,IF(AND(2&gt;$MF123,2&lt;=$MS123),"2 → "&amp;$PA123&amp;", 6 PE",""),IF(AND(3&gt;$MF123,3&lt;=$MS123),"3 → "&amp;$PB123&amp;", 9 PE",""),IF(AND(4&gt;$MF123,4&lt;=$MS123),"4 → "&amp;$PC123&amp;", 12 PE",""),IF(AND(5&gt;$MF123,5&lt;=$MS123),"5 → "&amp;$PD123&amp;", 15 PE",""),IF(AND(6&gt;$MF123,6&lt;=$MS123),"6 → "&amp;$PE123&amp;", 18 PE",""),IF(AND(7&gt;$MF123,7&lt;=$MS123),"7 → "&amp;$PF123&amp;", 21 PE","")))))</f>
        <v/>
      </c>
      <c r="PZ123" s="152">
        <f>IF(OR($MQ123=0,$NB123=0),"",IF($MF123=0,"−1 dado","−"&amp;INDEX($I$2:$N$8,MAX(1,$MF123),MAX(1,$NG123))&amp;" · "&amp;CHOOSE(MAX(1,$NG123),"Leve","Média","Pesada","Leve · Livre","Média · Livre","Pesada · Livre")))</f>
        <v/>
      </c>
      <c r="QA123" s="152">
        <f>IF(OR($MQ123=0,$NC123=0),"",IF($MF123=0,"−1 dado","−"&amp;INDEX($I$2:$N$8,MAX(1,$MF123),MAX(1,$NH123))&amp;" · "&amp;CHOOSE(MAX(1,$NH123),"Leve","Média","Pesada","Leve · Livre","Média · Livre","Pesada · Livre")))</f>
        <v/>
      </c>
      <c r="QB123" s="152">
        <f>IF(OR($MQ123=0,$ND123=0),"",IF($MF123=0,"−1 dado","−"&amp;INDEX($I$2:$N$8,MAX(1,$MF123),MAX(1,$NI123))&amp;" · "&amp;CHOOSE(MAX(1,$NI123),"Leve","Média","Pesada","Leve · Livre","Média · Livre","Pesada · Livre")))</f>
        <v/>
      </c>
      <c r="QC123" s="152">
        <f>IF(OR($MQ123=0,$NE123=0),"",IF($MF123=0,"−1 dado","−"&amp;INDEX($I$2:$N$8,MAX(1,$MF123),MAX(1,$NJ123))&amp;" · "&amp;CHOOSE(MAX(1,$NJ123),"Leve","Média","Pesada","Leve · Livre","Média · Livre","Pesada · Livre")))</f>
        <v/>
      </c>
      <c r="QD123" s="152">
        <f>IF(OR($MQ123=0,$MO123=""),"",IF($MF123=0,"não devolve","+"&amp;IF($NV123=1,CEILING($MF123/2,1),$MF123)))</f>
        <v/>
      </c>
      <c r="QE123" s="152">
        <f>IF(OR($MQ123=0,$MP123=""),"",IF($MF123=0,"não devolve","+"&amp;IF($NW123=1,CEILING($MF123/2,1),$MF123)))</f>
        <v/>
      </c>
    </row>
    <row r="124">
      <c r="MA124" s="150" t="inlineStr">
        <is>
          <t>Ficha 10 · Especial 4</t>
        </is>
      </c>
      <c r="MB124" s="152" t="n">
        <v>10</v>
      </c>
      <c r="MC124" s="152" t="n">
        <v>1</v>
      </c>
      <c r="MD124" s="152" t="n">
        <v>12</v>
      </c>
      <c r="ME124" s="150" t="inlineStr">
        <is>
          <t>ESPECIAL 4</t>
        </is>
      </c>
      <c r="MF124" s="152">
        <f>MAX(1,MIN(7,N('INVOCAÇÕES'!$AN$686)))</f>
        <v/>
      </c>
      <c r="MG124" s="152">
        <f>'INVOCAÇÕES'!$AO$686&amp;""</f>
        <v/>
      </c>
      <c r="MH124" s="152">
        <f>'INVOCAÇÕES'!$AN$691&amp;""</f>
        <v/>
      </c>
      <c r="MI124" s="152">
        <f>'INVOCAÇÕES'!$AN$692&amp;""</f>
        <v/>
      </c>
      <c r="MJ124" s="152">
        <f>'INVOCAÇÕES'!$AP$692&amp;""</f>
        <v/>
      </c>
      <c r="MK124" s="152">
        <f>'INVOCAÇÕES'!$AO$695&amp;""</f>
        <v/>
      </c>
      <c r="ML124" s="152">
        <f>'INVOCAÇÕES'!$AO$696&amp;""</f>
        <v/>
      </c>
      <c r="MM124" s="152">
        <f>'INVOCAÇÕES'!$AO$697&amp;""</f>
        <v/>
      </c>
      <c r="MN124" s="152">
        <f>'INVOCAÇÕES'!$AO$698&amp;""</f>
        <v/>
      </c>
      <c r="MO124" s="152">
        <f>'INVOCAÇÕES'!$AO$699&amp;""</f>
        <v/>
      </c>
      <c r="MP124" s="152">
        <f>'INVOCAÇÕES'!$AO$700&amp;""</f>
        <v/>
      </c>
      <c r="MQ124" s="152">
        <f>IF($MG124&lt;&gt;"",1,0)</f>
        <v/>
      </c>
      <c r="MR124" s="152">
        <f>INDEX($FI$2:$FI$13,$MB124)</f>
        <v/>
      </c>
      <c r="MS124" s="152">
        <f>INDEX($FJ$2:$FJ$13,$MB124)</f>
        <v/>
      </c>
      <c r="MT124" s="152">
        <f>INDEX($FK$2:$FK$13,$MB124)</f>
        <v/>
      </c>
      <c r="MU124" s="152">
        <f>INDEX($FV$2:$FV$13,$MB124)</f>
        <v/>
      </c>
      <c r="MV124" s="152">
        <f>INDEX($FW$2:$FW$13,$MB124)</f>
        <v/>
      </c>
      <c r="MW124" s="152">
        <f>IFERROR(MATCH($MH124,$V$2:$V$11,0),0)</f>
        <v/>
      </c>
      <c r="MX124" s="152">
        <f>IFERROR(VLOOKUP($MK124,$AV$2:$BA$84,2,FALSE),"")</f>
        <v/>
      </c>
      <c r="MY124" s="152">
        <f>IFERROR(VLOOKUP($ML124,$AV$2:$BA$84,2,FALSE),"")</f>
        <v/>
      </c>
      <c r="MZ124" s="152">
        <f>IFERROR(VLOOKUP($MM124,$AV$2:$BA$84,2,FALSE),"")</f>
        <v/>
      </c>
      <c r="NA124" s="152">
        <f>IFERROR(VLOOKUP($MN124,$AV$2:$BA$84,2,FALSE),"")</f>
        <v/>
      </c>
      <c r="NB124" s="152">
        <f>IFERROR(VLOOKUP($MK124,$AV$2:$BA$84,3,FALSE),0)</f>
        <v/>
      </c>
      <c r="NC124" s="152">
        <f>IFERROR(VLOOKUP($ML124,$AV$2:$BA$84,3,FALSE),0)</f>
        <v/>
      </c>
      <c r="ND124" s="152">
        <f>IFERROR(VLOOKUP($MM124,$AV$2:$BA$84,3,FALSE),0)</f>
        <v/>
      </c>
      <c r="NE124" s="152">
        <f>IFERROR(VLOOKUP($MN124,$AV$2:$BA$84,3,FALSE),0)</f>
        <v/>
      </c>
      <c r="NF124" s="152">
        <f>IF($MF124=0,0,IF($MW124=0,0,INDEX($X$2:$X$11,$MW124)))</f>
        <v/>
      </c>
      <c r="NG124" s="152">
        <f>IF(OR($NB124=0,$MF124=0),0,$NB124+3*IF(AND($MX124&lt;&gt;"",OR($MX124=INDEX($EF$2:$EF$13,$MB124),$MX124=INDEX($EG$2:$EG$13,$MB124))),1,0))</f>
        <v/>
      </c>
      <c r="NH124" s="152">
        <f>IF(OR($NC124=0,$MF124=0),0,$NC124+3*IF(AND($MY124&lt;&gt;"",OR($MY124=INDEX($EF$2:$EF$13,$MB124),$MY124=INDEX($EG$2:$EG$13,$MB124))),1,0))</f>
        <v/>
      </c>
      <c r="NI124" s="152">
        <f>IF(OR($ND124=0,$MF124=0),0,$ND124+3*IF(AND($MZ124&lt;&gt;"",OR($MZ124=INDEX($EF$2:$EF$13,$MB124),$MZ124=INDEX($EG$2:$EG$13,$MB124))),1,0))</f>
        <v/>
      </c>
      <c r="NJ124" s="152">
        <f>IF(OR($NE124=0,$MF124=0),0,$NE124+3*IF(AND($NA124&lt;&gt;"",OR($NA124=INDEX($EF$2:$EF$13,$MB124),$NA124=INDEX($EG$2:$EG$13,$MB124))),1,0))</f>
        <v/>
      </c>
      <c r="NK124" s="152">
        <f>IF($MW124=0,0,IF(INDEX($W$2:$W$11,$MW124)="",0,IF(COUNTIF(INDEX($EF$2:$EJ$13,$MB124,0),INDEX($W$2:$W$11,$MW124))=0,1,0)))</f>
        <v/>
      </c>
      <c r="NL124" s="152">
        <f>IF(OR($NB124=0,$MX124=""),0,IF(COUNTIF(INDEX($EF$2:$EJ$13,$MB124,0),$MX124)=0,1,0))</f>
        <v/>
      </c>
      <c r="NM124" s="152">
        <f>IF(OR($NC124=0,$MY124=""),0,IF(COUNTIF(INDEX($EF$2:$EJ$13,$MB124,0),$MY124)=0,1,0))</f>
        <v/>
      </c>
      <c r="NN124" s="152">
        <f>IF(OR($ND124=0,$MZ124=""),0,IF(COUNTIF(INDEX($EF$2:$EJ$13,$MB124,0),$MZ124)=0,1,0))</f>
        <v/>
      </c>
      <c r="NO124" s="152">
        <f>IF(OR($NE124=0,$NA124=""),0,IF(COUNTIF(INDEX($EF$2:$EJ$13,$MB124,0),$NA124)=0,1,0))</f>
        <v/>
      </c>
      <c r="NP124" s="152">
        <f>IFERROR(VLOOKUP($MK124,$AV$2:$BA$84,4,FALSE),0)+IFERROR(VLOOKUP($ML124,$AV$2:$BA$84,4,FALSE),0)+IFERROR(VLOOKUP($MM124,$AV$2:$BA$84,4,FALSE),0)+IFERROR(VLOOKUP($MN124,$AV$2:$BA$84,4,FALSE),0)</f>
        <v/>
      </c>
      <c r="NQ124" s="152">
        <f>IFERROR(VLOOKUP($MK124,$AV$2:$BA$84,6,FALSE),0)+IFERROR(VLOOKUP($ML124,$AV$2:$BA$84,6,FALSE),0)+IFERROR(VLOOKUP($MM124,$AV$2:$BA$84,6,FALSE),0)+IFERROR(VLOOKUP($MN124,$AV$2:$BA$84,6,FALSE),0)</f>
        <v/>
      </c>
      <c r="NR124" s="152">
        <f>TEXTJOIN(", ",TRUE,IF(IFERROR(VLOOKUP($MK124,$AV$2:$BA$84,5,FALSE),0)=1,$MK124,""),IF(IFERROR(VLOOKUP($ML124,$AV$2:$BA$84,5,FALSE),0)=1,$ML124,""),IF(IFERROR(VLOOKUP($MM124,$AV$2:$BA$84,5,FALSE),0)=1,$MM124,""),IF(IFERROR(VLOOKUP($MN124,$AV$2:$BA$84,5,FALSE),0)=1,$MN124,""))</f>
        <v/>
      </c>
      <c r="NS124" s="152">
        <f>IF($MW124=0,0,INDEX($Y$2:$Y$11,$MW124))</f>
        <v/>
      </c>
      <c r="NT124" s="152">
        <f>IF($MW124=0,0,INDEX($Z$2:$Z$11,$MW124))</f>
        <v/>
      </c>
      <c r="NU124" s="152">
        <f>IF($MW124=0,0,INDEX($AB$2:$AB$11,$MW124))</f>
        <v/>
      </c>
      <c r="NV124" s="152">
        <f>IFERROR(VLOOKUP($MO124,$BC$2:$BG$24,3,FALSE),0)</f>
        <v/>
      </c>
      <c r="NW124" s="152">
        <f>IFERROR(VLOOKUP($MP124,$BC$2:$BG$24,3,FALSE),0)</f>
        <v/>
      </c>
      <c r="NX124" s="152">
        <f>IFERROR(VLOOKUP($MO124,$BC$2:$BG$24,2,FALSE),"")</f>
        <v/>
      </c>
      <c r="NY124" s="152">
        <f>IFERROR(VLOOKUP($MP124,$BC$2:$BG$24,2,FALSE),"")</f>
        <v/>
      </c>
      <c r="NZ124" s="152">
        <f>COUNTIF($NF124:$NJ124,1)</f>
        <v/>
      </c>
      <c r="OA124" s="152">
        <f>COUNTIF($NF124:$NJ124,2)</f>
        <v/>
      </c>
      <c r="OB124" s="152">
        <f>COUNTIF($NF124:$NJ124,3)</f>
        <v/>
      </c>
      <c r="OC124" s="152">
        <f>COUNTIF($NF124:$NJ124,4)</f>
        <v/>
      </c>
      <c r="OD124" s="152">
        <f>COUNTIF($NF124:$NJ124,5)</f>
        <v/>
      </c>
      <c r="OE124" s="152">
        <f>COUNTIF($NF124:$NJ124,6)</f>
        <v/>
      </c>
      <c r="OF124" s="152">
        <f>COUNTIF($NV124:$NW124,1)</f>
        <v/>
      </c>
      <c r="OG124" s="152">
        <f>COUNTIF($NV124:$NW124,2)+$NS124</f>
        <v/>
      </c>
      <c r="OH124" s="152">
        <f>COUNTIF($MK124:$MN124,"?*")</f>
        <v/>
      </c>
      <c r="OI124" s="152">
        <f>COUNTIF($MO124:$MP124,"?*")+$NS124</f>
        <v/>
      </c>
      <c r="OJ124" s="152">
        <f>IF($MF124=0,0,SUMPRODUCT($NZ124:$OE124,INDEX($I$2:$N$8,MAX(1,$MF124),0)))</f>
        <v/>
      </c>
      <c r="OK124" s="152">
        <f>IF($MF124=0,0,$OF124*CEILING($MF124/2,1)+$OG124*$MF124)</f>
        <v/>
      </c>
      <c r="OL124" s="152">
        <f>MIN(2*$MF124,$OK124)</f>
        <v/>
      </c>
      <c r="OM124" s="152">
        <f>MIN($OL124,$OJ124)</f>
        <v/>
      </c>
      <c r="ON124" s="152">
        <f>$OL124-$OM124</f>
        <v/>
      </c>
      <c r="OO124" s="152">
        <f>IF($MF124=0,0,INDEX($P$2:$P$8,MAX(1,$MF124)))</f>
        <v/>
      </c>
      <c r="OP124" s="152">
        <f>$OO124-$OJ124+$OM124</f>
        <v/>
      </c>
      <c r="OQ124" s="152">
        <f>IF($MF124=0,MAX(0,$MT124-IF($OH124&gt;0,1,0)),MAX(0,$OP124))</f>
        <v/>
      </c>
      <c r="OR124" s="152">
        <f>IF($MF124=0,0,(IF(COUNTIF($MK124:$MN124,"Salto")&gt;0,1,0)+IF(COUNTIF($MK124:$MN124,"Queima")&gt;0,1,0)+IF(COUNTIF($MK124:$MN124,"Estilhaço")&gt;0,1,0))*FLOOR($OQ124/2,1))</f>
        <v/>
      </c>
      <c r="OS124" s="152">
        <f>MAX(0,2-SUMPRODUCT($NZ124:$OE124,$I$2:$N$2)+MIN(2,$OF124*1+$OG124*1,SUMPRODUCT($NZ124:$OE124,$I$2:$N$2)))</f>
        <v/>
      </c>
      <c r="OT124" s="152">
        <f>MAX(0,4-SUMPRODUCT($NZ124:$OE124,$I$3:$N$3)+MIN(4,$OF124*1+$OG124*2,SUMPRODUCT($NZ124:$OE124,$I$3:$N$3)))</f>
        <v/>
      </c>
      <c r="OU124" s="152">
        <f>MAX(0,6-SUMPRODUCT($NZ124:$OE124,$I$4:$N$4)+MIN(6,$OF124*2+$OG124*3,SUMPRODUCT($NZ124:$OE124,$I$4:$N$4)))</f>
        <v/>
      </c>
      <c r="OV124" s="152">
        <f>MAX(0,9-SUMPRODUCT($NZ124:$OE124,$I$5:$N$5)+MIN(8,$OF124*2+$OG124*4,SUMPRODUCT($NZ124:$OE124,$I$5:$N$5)))</f>
        <v/>
      </c>
      <c r="OW124" s="152">
        <f>MAX(0,11-SUMPRODUCT($NZ124:$OE124,$I$6:$N$6)+MIN(10,$OF124*3+$OG124*5,SUMPRODUCT($NZ124:$OE124,$I$6:$N$6)))</f>
        <v/>
      </c>
      <c r="OX124" s="152">
        <f>MAX(0,13-SUMPRODUCT($NZ124:$OE124,$I$7:$N$7)+MIN(12,$OF124*3+$OG124*6,SUMPRODUCT($NZ124:$OE124,$I$7:$N$7)))</f>
        <v/>
      </c>
      <c r="OY124" s="152">
        <f>MAX(0,16-SUMPRODUCT($NZ124:$OE124,$I$8:$N$8)+MIN(14,$OF124*4+$OG124*7,SUMPRODUCT($NZ124:$OE124,$I$8:$N$8)))</f>
        <v/>
      </c>
      <c r="OZ124" s="152">
        <f>IF($NT124=2,3*$OS124&amp;" de vida temp.",IF($NT124=3,"sem dano",IF($OS124=0,IF($NT124=1,"sem cura","sem dano"),IF($NT124=1,"cura ","")&amp;$OS124&amp;"d8")))</f>
        <v/>
      </c>
      <c r="PA124" s="152">
        <f>IF($NT124=2,3*$OT124&amp;" de vida temp.",IF($NT124=3,"sem dano",IF($OT124=0,IF($NT124=1,"sem cura","sem dano"),IF($NT124=1,"cura ","")&amp;$OT124&amp;"d8")))</f>
        <v/>
      </c>
      <c r="PB124" s="152">
        <f>IF($NT124=2,3*$OU124&amp;" de vida temp.",IF($NT124=3,"sem dano",IF($OU124=0,IF($NT124=1,"sem cura","sem dano"),IF($NT124=1,"cura ","")&amp;$OU124&amp;"d8")))</f>
        <v/>
      </c>
      <c r="PC124" s="152">
        <f>IF($NT124=2,3*$OV124&amp;" de vida temp.",IF($NT124=3,"sem dano",IF($OV124=0,IF($NT124=1,"sem cura","sem dano"),IF($NT124=1,"cura ","")&amp;$OV124&amp;"d8")))</f>
        <v/>
      </c>
      <c r="PD124" s="152">
        <f>IF($NT124=2,3*$OW124&amp;" de vida temp.",IF($NT124=3,"sem dano",IF($OW124=0,IF($NT124=1,"sem cura","sem dano"),IF($NT124=1,"cura ","")&amp;$OW124&amp;"d8")))</f>
        <v/>
      </c>
      <c r="PE124" s="152">
        <f>IF($NT124=2,3*$OX124&amp;" de vida temp.",IF($NT124=3,"sem dano",IF($OX124=0,IF($NT124=1,"sem cura","sem dano"),IF($NT124=1,"cura ","")&amp;$OX124&amp;"d8")))</f>
        <v/>
      </c>
      <c r="PF124" s="152">
        <f>IF($NT124=2,3*$OY124&amp;" de vida temp.",IF($NT124=3,"sem dano",IF($OY124=0,IF($NT124=1,"sem cura","sem dano"),IF($NT124=1,"cura ","")&amp;$OY124&amp;"d8")))</f>
        <v/>
      </c>
      <c r="PG124" s="152">
        <f>IF($MQ124=0,"",TEXTJOIN(" · ",TRUE,IF($MD124&gt;$MR124,"Este lugar abre no nível "&amp;$MD124,""),IF($MF124&gt;$MS124,"Classe "&amp;$MF124&amp;": o nível "&amp;$MR124&amp;" libera até a "&amp;$MS124,""),IF($NK124=1,"A Forma "&amp;$MH124&amp;" pede "&amp;INDEX($W$2:$W$11,$MW124)&amp;" aberta",""),IF(AND($MF124=0,$MW124&gt;0,IF($MW124=0,0,INDEX($AF$2:$AF$11,$MW124))=0),$MH124&amp;" não existe na Classe 0",""),IF($NL124=1,"Família Fechada: "&amp;$MK124,""),IF($NM124=1,"Família Fechada: "&amp;$ML124,""),IF($NN124=1,"Família Fechada: "&amp;$MM124,""),IF($NO124=1,"Família Fechada: "&amp;$MN124,""),IF(AND($MF124&gt;0,$OH124&gt;INDEX($O$2:$O$8,MAX(1,$MF124))),$OH124&amp;" Melhorias: a Classe "&amp;$MF124&amp;" aceita "&amp;INDEX($O$2:$O$8,MAX(1,$MF124)),""),IF(AND($MF124=0,$OH124&gt;1),"A básica aceita uma Melhoria",""),IF(AND($MF124=0,COUNTIF($NB124:$NE124,"&gt;1")&gt;0),"A básica só aceita Melhoria Leve",""),IF(AND($MF124&gt;0,$OI124&gt;2),$OI124&amp;" Restrições"&amp;IF($NS124=1,", contando a que a Forma "&amp;$MH124&amp;" já traz","")&amp;": o limite é 2",""),IF(AND($MF124=0,COUNTIF($MO124:$MP124,"?*")&gt;1),"A básica aceita uma Restrição Leve",""),IF(AND($MF124=0,COUNTIF($NV124:$NW124,2)&gt;0),"A básica só aceita Restrição Leve",""),IF(AND($MF124&gt;0,$OP124&lt;0),"Orçamento estourado: faltam "&amp;(-$OP124)&amp;IF($OP124&lt;-1," pontos"," ponto"),""),IF(IFERROR(VLOOKUP($MO124,$BC$2:$BG$24,4,FALSE),0)+IFERROR(VLOOKUP($MP124,$BC$2:$BG$24,4,FALSE),0)&gt;1,$NX124&amp;" e "&amp;$NY124&amp;" são as duas de frequência",""),IF(AND((COUNTIF($MK124:$MN124,"Rápido")+COUNTIF($NX124:$NY124,"Rápido"))&gt;0,(COUNTIF($MK124:$MN124,"Atrasar")+COUNTIF($NX124:$NY124,"Atrasar"))&gt;0),"Rápido não entra com Atrasar",""),IF(AND((COUNTIF($MK124:$MN124,"Reação")+COUNTIF($NX124:$NY124,"Reação"))&gt;0,(COUNTIF($MK124:$MN124,"Rápido")+COUNTIF($NX124:$NY124,"Rápido"))&gt;0),"Reação não entra com Rápido",""),IF(AND((COUNTIF($MK124:$MN124,"Reação")+COUNTIF($NX124:$NY124,"Reação"))&gt;0,(COUNTIF($MK124:$MN124,"Armado")+COUNTIF($NX124:$NY124,"Armado"))&gt;0),"Reação não entra com Armado",""),IF(AND((COUNTIF($MK124:$MN124,"Reação")+COUNTIF($NX124:$NY124,"Reação"))&gt;0,(COUNTIF($MK124:$MN124,"Atrasar")+COUNTIF($NX124:$NY124,"Atrasar"))&gt;0),"Reação não entra com Atrasar",""),IF(AND((COUNTIF($MK124:$MN124,"Reação")+COUNTIF($NX124:$NY124,"Reação"))&gt;0,(COUNTIF($MK124:$MN124,"Parado")+COUNTIF($NX124:$NY124,"Parado"))&gt;0),"Reação não entra com Parado",""),IF(AND((COUNTIF($MK124:$MN124,"Atrasar")+COUNTIF($NX124:$NY124,"Atrasar"))&gt;0,(COUNTIF($MK124:$MN124,"Parado")+COUNTIF($NX124:$NY124,"Parado"))&gt;0),"Atrasar não entra com Parado",""),IF(AND((COUNTIF($MK124:$MN124,"Armado")+COUNTIF($NX124:$NY124,"Armado"))&gt;0,(COUNTIF($MK124:$MN124,"Carregar")+COUNTIF($NX124:$NY124,"Carregar"))&gt;0),"Armado não entra com Carregar",""),IF(AND(COUNTIF($NX124:$NY124,"Corpo a Corpo")&gt;0,$NS124=0,OR($MH124="Cone",$MH124="Linha")),"Corpo a Corpo não entra em "&amp;$MH124,""),IF(AND(COUNTIF($NX124:$NY124,"Corpo a Corpo")&gt;0,$NS124=1),"A Forma "&amp;$MH124&amp;" já traz o Corpo a Corpo",""),IF(AND(COUNTIF($NX124:$NY124,"Tudo ou Nada")&gt;0,$NU124=0),"Tudo ou Nada só entra em habilidade de Teste de Resistência",""),IF(AND(COUNTIF($MK124:$MN124,"Inescapável")&gt;0,OR($OH124&gt;1,$OI124&gt;0)),"Inescapável não aceita outra peça",""),IF(AND($MF124&gt;0,$OQ124*IF(COUNTIF($MK124:$MN124,"Remate")&gt;0,1.25,1)+$OR124&gt;4*$MF124),($OQ124*IF(COUNTIF($MK124:$MN124,"Remate")&gt;0,1.25,1)+$OR124)&amp;" dados somando repetições"&amp;IF(COUNTIF($MK124:$MN124,"Remate")&gt;0," e o Remate","")&amp;": o teto da Classe "&amp;$MF124&amp;" é "&amp;4*$MF124,"")))</f>
        <v/>
      </c>
      <c r="PH124" s="152">
        <f>IF($PG124="",0,(LEN($PG124)-LEN(SUBSTITUTE($PG124," · ","")))/3+1)</f>
        <v/>
      </c>
      <c r="PI124" s="152">
        <f>IF($MQ124=0,"",TEXTJOIN(" · ",TRUE,IF($OK124&gt;2*$MF124,"A devolução parou no teto de "&amp;2*$MF124,""),IF($ON124&gt;0,"Devolução perdida: "&amp;$ON124&amp;IF($ON124&gt;1," pontos"," ponto")&amp;" sem peça para pagar",""),IF(AND($NP124&gt;0,AND($MF124&gt;0,$NT124=0),$OQ124=0),"Controle sem dano: uma rodada a mais e CD +2",""),IF(AND($NP124&gt;0,AND($MF124&gt;0,$NT124=0),$OQ124&gt;0,$OQ124&lt;=$MF124),"Controle com saldo até a Classe: uma rodada a mais",""),IF(AND($MF124&gt;0,$NR124&lt;&gt;""),"Efeito de "&amp;$NR124&amp;" pela Classe "&amp;MAX(1,$MF124-1),"")))</f>
        <v/>
      </c>
      <c r="PJ124" s="152">
        <f>IF($PI124="",0,(LEN($PI124)-LEN(SUBSTITUTE($PI124," · ","")))/3+1)</f>
        <v/>
      </c>
      <c r="PK124" s="152">
        <f>IF($MQ124=0,IF($OH124+COUNTIF($MO124:$MP124,"?*")&gt;0,"Dê um nome",""),IF($PH124&gt;0,"⚠ "&amp;$PH124&amp;IF($PH124&gt;1," erros"," erro"),IF($PJ124&gt;0,"! "&amp;$PJ124&amp;IF($PJ124&gt;1," avisos"," aviso"),"Na regra")))</f>
        <v/>
      </c>
      <c r="PL124" s="152">
        <f>IF($MQ124=0,"",IF($PH124+$PJ124=0,"Dentro das regras que a ficha confere",$PG124&amp;IF(AND($PH124&gt;0,$PJ124&gt;0)," · ","")&amp;$PI124))</f>
        <v/>
      </c>
      <c r="PM124" s="152">
        <f>IF($MD124&gt;$MR124,$ME124&amp;" · ABRE NO NÍVEL "&amp;$MD124,$ME124)</f>
        <v/>
      </c>
      <c r="PN124" s="152">
        <f>IF($MQ124=0,"",IF($MF124=0,"Sem PE",3*$MF124&amp;" PE"))</f>
        <v/>
      </c>
      <c r="PO124" s="152">
        <f>IF($MQ124=0,"",IF($MF124=0,"A atuação básica dela",IF(COUNTIF($NX124:$NY124,"Atrasar")&gt;0,"Sua Ação Completa",IF(COUNTIF($MK124:$MN124,"Rápido")&gt;0,"Sua Bônus",IF(COUNTIF($MK124:$MN124,"Reação")&gt;0,"Sua Reação","Sua Padrão")))&amp;" + a básica dela"&amp;IF(COUNTIF($MK124:$MN124,"Reação")&gt;0," e a coletiva","")&amp;IF(COUNTIF($NX124:$NY124,"Carregar")&gt;0," · em dois turnos","")))</f>
        <v/>
      </c>
      <c r="PP124" s="152">
        <f>IF($MJ124&lt;&gt;"",$MJ124,IF($MW124=0,"",INDEX($AA$2:$AA$11,$MW124)))</f>
        <v/>
      </c>
      <c r="PQ124" s="152">
        <f>IF(OR($MQ124=0,$MW124=0),"",IF(COUNTIF($MK124:$MN124,"Inescapável")&gt;0,"Automático",IF($PP124="Ataque",IF($MU124="","Ataque","Ataque "&amp;IF(($MU124+2*IF(COUNTIF($MK124:$MN124,"Precisão")&gt;0,1,0))&gt;=0,"+","−")&amp;ABS(($MU124+2*IF(COUNTIF($MK124:$MN124,"Precisão")&gt;0,1,0))))&amp;IF($NQ124&gt;0," · TR"&amp;IF($MV124="",""," CD "&amp;$MV124),""),IF(LEFT($PP124,2)="TR",$PP124&amp;IF($MV124="",""," · CD "&amp;$MV124)&amp;IF(COUNTIF($MK124:$MN124,"Certeiro")&gt;0," · metade",""),"Sem rolagem"))))</f>
        <v/>
      </c>
      <c r="PR124" s="152">
        <f>IF(OR($MQ124=0,$MW124=0),"",IF($MF124=0,IF(OR($NT124&gt;=1,$OQ124=0),"Sem dano",$OQ124&amp;"d6"&amp;IF($MI124="",""," "&amp;$MI124)),IF(OR($NT124&gt;=1,$OQ124=0),UPPER(LEFT(INDEX($OZ124:$PF124,1,MAX(1,$MF124)),1))&amp;MID(INDEX($OZ124:$PF124,1,MAX(1,$MF124)),2,99),UPPER(LEFT(INDEX($OZ124:$PF124,1,MAX(1,$MF124)),1))&amp;MID(INDEX($OZ124:$PF124,1,MAX(1,$MF124)),2,99)&amp;IF($MI124="",""," "&amp;$MI124)&amp;IF($OR124&gt;0," · +"&amp;$OR124&amp;"d8",""))))</f>
        <v/>
      </c>
      <c r="PS124" s="152">
        <f>COUNTIF($MK124:$MN124,"Longe")+3*COUNTIF($MK124:$MN124,"Muito Longe")</f>
        <v/>
      </c>
      <c r="PT124" s="152">
        <f>COUNTIF($MK124:$MN124,"Maior")+3*COUNTIF($MK124:$MN124,"Muito Maior")</f>
        <v/>
      </c>
      <c r="PU124" s="152">
        <f>IF($MW124=0,0,CHOOSE(1+INDEX($AC$2:$AC$11,$MW124),0,$PS124,$PT124,$PS124+$PT124))</f>
        <v/>
      </c>
      <c r="PV124" s="152">
        <f>IF($MW124=0,0,CHOOSE(1+INDEX($AD$2:$AD$11,$MW124),0,$PS124,$PT124,$PS124+$PT124))</f>
        <v/>
      </c>
      <c r="PW124" s="152">
        <f>IF(OR($MQ124=0,$MW124=0),"",INDEX($AI$2:$AN$41,($MW124-1)*4+IF($MF124=0,1,IF($MF124&lt;=5,2,IF($MF124=6,3,4))),1+MIN(5,$PU124))&amp;INDEX($AO$2:$AT$41,($MW124-1)*4+IF($MF124=0,1,IF($MF124&lt;=5,2,IF($MF124=6,3,4))),1+MIN(5,$PV124))&amp;IF(INDEX($AE$2:$AE$11,$MW124)=1,IF(COUNTIF($MK124:$MN124,"Mais Um")&gt;0," · +"&amp;COUNTIF($MK124:$MN124,"Mais Um")&amp;IF(COUNTIF($MK124:$MN124,"Mais Um")&gt;1," alvos"," alvo"),"")&amp;IF(COUNTIF($MK124:$MN124,"Rajada")&gt;0,IF($MF124=0," · 1 tiro"," · "&amp;(MAX(1,$MF124-1)+1)&amp;" tiros"),""),""))</f>
        <v/>
      </c>
      <c r="PX124" s="152">
        <f>IF($MQ124=0,"",IF($MF124=0,$MT124&amp;"d6"&amp;IF($OH124&gt;0," − 1 = "&amp;$OQ124&amp;"d6"," da básica do nível "&amp;$MR124),$OO124&amp;" − "&amp;$OJ124&amp;" + "&amp;$OM124&amp;" = "&amp;$OP124&amp;" · teto "&amp;4*$MF124&amp;"d8"&amp;IF($NS124=1," · a Forma devolve "&amp;$MF124,"")&amp;IF($ON124&gt;0," · perde "&amp;$ON124,"")))</f>
        <v/>
      </c>
      <c r="PY124" s="152">
        <f>IF($MQ124=0,"",IF($MF124=0,"A básica não amplia: os dados dela sobem com o nível",IF($MF124&gt;=$MS124,"Já está na maior Classe que o nível liberou",TEXTJOIN(" · ",TRUE,IF(AND(2&gt;$MF124,2&lt;=$MS124),"2 → "&amp;$PA124&amp;", 6 PE",""),IF(AND(3&gt;$MF124,3&lt;=$MS124),"3 → "&amp;$PB124&amp;", 9 PE",""),IF(AND(4&gt;$MF124,4&lt;=$MS124),"4 → "&amp;$PC124&amp;", 12 PE",""),IF(AND(5&gt;$MF124,5&lt;=$MS124),"5 → "&amp;$PD124&amp;", 15 PE",""),IF(AND(6&gt;$MF124,6&lt;=$MS124),"6 → "&amp;$PE124&amp;", 18 PE",""),IF(AND(7&gt;$MF124,7&lt;=$MS124),"7 → "&amp;$PF124&amp;", 21 PE","")))))</f>
        <v/>
      </c>
      <c r="PZ124" s="152">
        <f>IF(OR($MQ124=0,$NB124=0),"",IF($MF124=0,"−1 dado","−"&amp;INDEX($I$2:$N$8,MAX(1,$MF124),MAX(1,$NG124))&amp;" · "&amp;CHOOSE(MAX(1,$NG124),"Leve","Média","Pesada","Leve · Livre","Média · Livre","Pesada · Livre")))</f>
        <v/>
      </c>
      <c r="QA124" s="152">
        <f>IF(OR($MQ124=0,$NC124=0),"",IF($MF124=0,"−1 dado","−"&amp;INDEX($I$2:$N$8,MAX(1,$MF124),MAX(1,$NH124))&amp;" · "&amp;CHOOSE(MAX(1,$NH124),"Leve","Média","Pesada","Leve · Livre","Média · Livre","Pesada · Livre")))</f>
        <v/>
      </c>
      <c r="QB124" s="152">
        <f>IF(OR($MQ124=0,$ND124=0),"",IF($MF124=0,"−1 dado","−"&amp;INDEX($I$2:$N$8,MAX(1,$MF124),MAX(1,$NI124))&amp;" · "&amp;CHOOSE(MAX(1,$NI124),"Leve","Média","Pesada","Leve · Livre","Média · Livre","Pesada · Livre")))</f>
        <v/>
      </c>
      <c r="QC124" s="152">
        <f>IF(OR($MQ124=0,$NE124=0),"",IF($MF124=0,"−1 dado","−"&amp;INDEX($I$2:$N$8,MAX(1,$MF124),MAX(1,$NJ124))&amp;" · "&amp;CHOOSE(MAX(1,$NJ124),"Leve","Média","Pesada","Leve · Livre","Média · Livre","Pesada · Livre")))</f>
        <v/>
      </c>
      <c r="QD124" s="152">
        <f>IF(OR($MQ124=0,$MO124=""),"",IF($MF124=0,"não devolve","+"&amp;IF($NV124=1,CEILING($MF124/2,1),$MF124)))</f>
        <v/>
      </c>
      <c r="QE124" s="152">
        <f>IF(OR($MQ124=0,$MP124=""),"",IF($MF124=0,"não devolve","+"&amp;IF($NW124=1,CEILING($MF124/2,1),$MF124)))</f>
        <v/>
      </c>
    </row>
    <row r="125">
      <c r="MA125" s="150" t="inlineStr">
        <is>
          <t>Ficha 10 · Especial 5</t>
        </is>
      </c>
      <c r="MB125" s="152" t="n">
        <v>10</v>
      </c>
      <c r="MC125" s="152" t="n">
        <v>1</v>
      </c>
      <c r="MD125" s="152" t="n">
        <v>16</v>
      </c>
      <c r="ME125" s="150" t="inlineStr">
        <is>
          <t>ESPECIAL 5</t>
        </is>
      </c>
      <c r="MF125" s="152">
        <f>MAX(1,MIN(7,N('INVOCAÇÕES'!$AB$708)))</f>
        <v/>
      </c>
      <c r="MG125" s="152">
        <f>'INVOCAÇÕES'!$AC$708&amp;""</f>
        <v/>
      </c>
      <c r="MH125" s="152">
        <f>'INVOCAÇÕES'!$AB$713&amp;""</f>
        <v/>
      </c>
      <c r="MI125" s="152">
        <f>'INVOCAÇÕES'!$AB$714&amp;""</f>
        <v/>
      </c>
      <c r="MJ125" s="152">
        <f>'INVOCAÇÕES'!$AD$714&amp;""</f>
        <v/>
      </c>
      <c r="MK125" s="152">
        <f>'INVOCAÇÕES'!$AC$717&amp;""</f>
        <v/>
      </c>
      <c r="ML125" s="152">
        <f>'INVOCAÇÕES'!$AC$718&amp;""</f>
        <v/>
      </c>
      <c r="MM125" s="152">
        <f>'INVOCAÇÕES'!$AC$719&amp;""</f>
        <v/>
      </c>
      <c r="MN125" s="152">
        <f>'INVOCAÇÕES'!$AC$720&amp;""</f>
        <v/>
      </c>
      <c r="MO125" s="152">
        <f>'INVOCAÇÕES'!$AC$721&amp;""</f>
        <v/>
      </c>
      <c r="MP125" s="152">
        <f>'INVOCAÇÕES'!$AC$722&amp;""</f>
        <v/>
      </c>
      <c r="MQ125" s="152">
        <f>IF($MG125&lt;&gt;"",1,0)</f>
        <v/>
      </c>
      <c r="MR125" s="152">
        <f>INDEX($FI$2:$FI$13,$MB125)</f>
        <v/>
      </c>
      <c r="MS125" s="152">
        <f>INDEX($FJ$2:$FJ$13,$MB125)</f>
        <v/>
      </c>
      <c r="MT125" s="152">
        <f>INDEX($FK$2:$FK$13,$MB125)</f>
        <v/>
      </c>
      <c r="MU125" s="152">
        <f>INDEX($FV$2:$FV$13,$MB125)</f>
        <v/>
      </c>
      <c r="MV125" s="152">
        <f>INDEX($FW$2:$FW$13,$MB125)</f>
        <v/>
      </c>
      <c r="MW125" s="152">
        <f>IFERROR(MATCH($MH125,$V$2:$V$11,0),0)</f>
        <v/>
      </c>
      <c r="MX125" s="152">
        <f>IFERROR(VLOOKUP($MK125,$AV$2:$BA$84,2,FALSE),"")</f>
        <v/>
      </c>
      <c r="MY125" s="152">
        <f>IFERROR(VLOOKUP($ML125,$AV$2:$BA$84,2,FALSE),"")</f>
        <v/>
      </c>
      <c r="MZ125" s="152">
        <f>IFERROR(VLOOKUP($MM125,$AV$2:$BA$84,2,FALSE),"")</f>
        <v/>
      </c>
      <c r="NA125" s="152">
        <f>IFERROR(VLOOKUP($MN125,$AV$2:$BA$84,2,FALSE),"")</f>
        <v/>
      </c>
      <c r="NB125" s="152">
        <f>IFERROR(VLOOKUP($MK125,$AV$2:$BA$84,3,FALSE),0)</f>
        <v/>
      </c>
      <c r="NC125" s="152">
        <f>IFERROR(VLOOKUP($ML125,$AV$2:$BA$84,3,FALSE),0)</f>
        <v/>
      </c>
      <c r="ND125" s="152">
        <f>IFERROR(VLOOKUP($MM125,$AV$2:$BA$84,3,FALSE),0)</f>
        <v/>
      </c>
      <c r="NE125" s="152">
        <f>IFERROR(VLOOKUP($MN125,$AV$2:$BA$84,3,FALSE),0)</f>
        <v/>
      </c>
      <c r="NF125" s="152">
        <f>IF($MF125=0,0,IF($MW125=0,0,INDEX($X$2:$X$11,$MW125)))</f>
        <v/>
      </c>
      <c r="NG125" s="152">
        <f>IF(OR($NB125=0,$MF125=0),0,$NB125+3*IF(AND($MX125&lt;&gt;"",OR($MX125=INDEX($EF$2:$EF$13,$MB125),$MX125=INDEX($EG$2:$EG$13,$MB125))),1,0))</f>
        <v/>
      </c>
      <c r="NH125" s="152">
        <f>IF(OR($NC125=0,$MF125=0),0,$NC125+3*IF(AND($MY125&lt;&gt;"",OR($MY125=INDEX($EF$2:$EF$13,$MB125),$MY125=INDEX($EG$2:$EG$13,$MB125))),1,0))</f>
        <v/>
      </c>
      <c r="NI125" s="152">
        <f>IF(OR($ND125=0,$MF125=0),0,$ND125+3*IF(AND($MZ125&lt;&gt;"",OR($MZ125=INDEX($EF$2:$EF$13,$MB125),$MZ125=INDEX($EG$2:$EG$13,$MB125))),1,0))</f>
        <v/>
      </c>
      <c r="NJ125" s="152">
        <f>IF(OR($NE125=0,$MF125=0),0,$NE125+3*IF(AND($NA125&lt;&gt;"",OR($NA125=INDEX($EF$2:$EF$13,$MB125),$NA125=INDEX($EG$2:$EG$13,$MB125))),1,0))</f>
        <v/>
      </c>
      <c r="NK125" s="152">
        <f>IF($MW125=0,0,IF(INDEX($W$2:$W$11,$MW125)="",0,IF(COUNTIF(INDEX($EF$2:$EJ$13,$MB125,0),INDEX($W$2:$W$11,$MW125))=0,1,0)))</f>
        <v/>
      </c>
      <c r="NL125" s="152">
        <f>IF(OR($NB125=0,$MX125=""),0,IF(COUNTIF(INDEX($EF$2:$EJ$13,$MB125,0),$MX125)=0,1,0))</f>
        <v/>
      </c>
      <c r="NM125" s="152">
        <f>IF(OR($NC125=0,$MY125=""),0,IF(COUNTIF(INDEX($EF$2:$EJ$13,$MB125,0),$MY125)=0,1,0))</f>
        <v/>
      </c>
      <c r="NN125" s="152">
        <f>IF(OR($ND125=0,$MZ125=""),0,IF(COUNTIF(INDEX($EF$2:$EJ$13,$MB125,0),$MZ125)=0,1,0))</f>
        <v/>
      </c>
      <c r="NO125" s="152">
        <f>IF(OR($NE125=0,$NA125=""),0,IF(COUNTIF(INDEX($EF$2:$EJ$13,$MB125,0),$NA125)=0,1,0))</f>
        <v/>
      </c>
      <c r="NP125" s="152">
        <f>IFERROR(VLOOKUP($MK125,$AV$2:$BA$84,4,FALSE),0)+IFERROR(VLOOKUP($ML125,$AV$2:$BA$84,4,FALSE),0)+IFERROR(VLOOKUP($MM125,$AV$2:$BA$84,4,FALSE),0)+IFERROR(VLOOKUP($MN125,$AV$2:$BA$84,4,FALSE),0)</f>
        <v/>
      </c>
      <c r="NQ125" s="152">
        <f>IFERROR(VLOOKUP($MK125,$AV$2:$BA$84,6,FALSE),0)+IFERROR(VLOOKUP($ML125,$AV$2:$BA$84,6,FALSE),0)+IFERROR(VLOOKUP($MM125,$AV$2:$BA$84,6,FALSE),0)+IFERROR(VLOOKUP($MN125,$AV$2:$BA$84,6,FALSE),0)</f>
        <v/>
      </c>
      <c r="NR125" s="152">
        <f>TEXTJOIN(", ",TRUE,IF(IFERROR(VLOOKUP($MK125,$AV$2:$BA$84,5,FALSE),0)=1,$MK125,""),IF(IFERROR(VLOOKUP($ML125,$AV$2:$BA$84,5,FALSE),0)=1,$ML125,""),IF(IFERROR(VLOOKUP($MM125,$AV$2:$BA$84,5,FALSE),0)=1,$MM125,""),IF(IFERROR(VLOOKUP($MN125,$AV$2:$BA$84,5,FALSE),0)=1,$MN125,""))</f>
        <v/>
      </c>
      <c r="NS125" s="152">
        <f>IF($MW125=0,0,INDEX($Y$2:$Y$11,$MW125))</f>
        <v/>
      </c>
      <c r="NT125" s="152">
        <f>IF($MW125=0,0,INDEX($Z$2:$Z$11,$MW125))</f>
        <v/>
      </c>
      <c r="NU125" s="152">
        <f>IF($MW125=0,0,INDEX($AB$2:$AB$11,$MW125))</f>
        <v/>
      </c>
      <c r="NV125" s="152">
        <f>IFERROR(VLOOKUP($MO125,$BC$2:$BG$24,3,FALSE),0)</f>
        <v/>
      </c>
      <c r="NW125" s="152">
        <f>IFERROR(VLOOKUP($MP125,$BC$2:$BG$24,3,FALSE),0)</f>
        <v/>
      </c>
      <c r="NX125" s="152">
        <f>IFERROR(VLOOKUP($MO125,$BC$2:$BG$24,2,FALSE),"")</f>
        <v/>
      </c>
      <c r="NY125" s="152">
        <f>IFERROR(VLOOKUP($MP125,$BC$2:$BG$24,2,FALSE),"")</f>
        <v/>
      </c>
      <c r="NZ125" s="152">
        <f>COUNTIF($NF125:$NJ125,1)</f>
        <v/>
      </c>
      <c r="OA125" s="152">
        <f>COUNTIF($NF125:$NJ125,2)</f>
        <v/>
      </c>
      <c r="OB125" s="152">
        <f>COUNTIF($NF125:$NJ125,3)</f>
        <v/>
      </c>
      <c r="OC125" s="152">
        <f>COUNTIF($NF125:$NJ125,4)</f>
        <v/>
      </c>
      <c r="OD125" s="152">
        <f>COUNTIF($NF125:$NJ125,5)</f>
        <v/>
      </c>
      <c r="OE125" s="152">
        <f>COUNTIF($NF125:$NJ125,6)</f>
        <v/>
      </c>
      <c r="OF125" s="152">
        <f>COUNTIF($NV125:$NW125,1)</f>
        <v/>
      </c>
      <c r="OG125" s="152">
        <f>COUNTIF($NV125:$NW125,2)+$NS125</f>
        <v/>
      </c>
      <c r="OH125" s="152">
        <f>COUNTIF($MK125:$MN125,"?*")</f>
        <v/>
      </c>
      <c r="OI125" s="152">
        <f>COUNTIF($MO125:$MP125,"?*")+$NS125</f>
        <v/>
      </c>
      <c r="OJ125" s="152">
        <f>IF($MF125=0,0,SUMPRODUCT($NZ125:$OE125,INDEX($I$2:$N$8,MAX(1,$MF125),0)))</f>
        <v/>
      </c>
      <c r="OK125" s="152">
        <f>IF($MF125=0,0,$OF125*CEILING($MF125/2,1)+$OG125*$MF125)</f>
        <v/>
      </c>
      <c r="OL125" s="152">
        <f>MIN(2*$MF125,$OK125)</f>
        <v/>
      </c>
      <c r="OM125" s="152">
        <f>MIN($OL125,$OJ125)</f>
        <v/>
      </c>
      <c r="ON125" s="152">
        <f>$OL125-$OM125</f>
        <v/>
      </c>
      <c r="OO125" s="152">
        <f>IF($MF125=0,0,INDEX($P$2:$P$8,MAX(1,$MF125)))</f>
        <v/>
      </c>
      <c r="OP125" s="152">
        <f>$OO125-$OJ125+$OM125</f>
        <v/>
      </c>
      <c r="OQ125" s="152">
        <f>IF($MF125=0,MAX(0,$MT125-IF($OH125&gt;0,1,0)),MAX(0,$OP125))</f>
        <v/>
      </c>
      <c r="OR125" s="152">
        <f>IF($MF125=0,0,(IF(COUNTIF($MK125:$MN125,"Salto")&gt;0,1,0)+IF(COUNTIF($MK125:$MN125,"Queima")&gt;0,1,0)+IF(COUNTIF($MK125:$MN125,"Estilhaço")&gt;0,1,0))*FLOOR($OQ125/2,1))</f>
        <v/>
      </c>
      <c r="OS125" s="152">
        <f>MAX(0,2-SUMPRODUCT($NZ125:$OE125,$I$2:$N$2)+MIN(2,$OF125*1+$OG125*1,SUMPRODUCT($NZ125:$OE125,$I$2:$N$2)))</f>
        <v/>
      </c>
      <c r="OT125" s="152">
        <f>MAX(0,4-SUMPRODUCT($NZ125:$OE125,$I$3:$N$3)+MIN(4,$OF125*1+$OG125*2,SUMPRODUCT($NZ125:$OE125,$I$3:$N$3)))</f>
        <v/>
      </c>
      <c r="OU125" s="152">
        <f>MAX(0,6-SUMPRODUCT($NZ125:$OE125,$I$4:$N$4)+MIN(6,$OF125*2+$OG125*3,SUMPRODUCT($NZ125:$OE125,$I$4:$N$4)))</f>
        <v/>
      </c>
      <c r="OV125" s="152">
        <f>MAX(0,9-SUMPRODUCT($NZ125:$OE125,$I$5:$N$5)+MIN(8,$OF125*2+$OG125*4,SUMPRODUCT($NZ125:$OE125,$I$5:$N$5)))</f>
        <v/>
      </c>
      <c r="OW125" s="152">
        <f>MAX(0,11-SUMPRODUCT($NZ125:$OE125,$I$6:$N$6)+MIN(10,$OF125*3+$OG125*5,SUMPRODUCT($NZ125:$OE125,$I$6:$N$6)))</f>
        <v/>
      </c>
      <c r="OX125" s="152">
        <f>MAX(0,13-SUMPRODUCT($NZ125:$OE125,$I$7:$N$7)+MIN(12,$OF125*3+$OG125*6,SUMPRODUCT($NZ125:$OE125,$I$7:$N$7)))</f>
        <v/>
      </c>
      <c r="OY125" s="152">
        <f>MAX(0,16-SUMPRODUCT($NZ125:$OE125,$I$8:$N$8)+MIN(14,$OF125*4+$OG125*7,SUMPRODUCT($NZ125:$OE125,$I$8:$N$8)))</f>
        <v/>
      </c>
      <c r="OZ125" s="152">
        <f>IF($NT125=2,3*$OS125&amp;" de vida temp.",IF($NT125=3,"sem dano",IF($OS125=0,IF($NT125=1,"sem cura","sem dano"),IF($NT125=1,"cura ","")&amp;$OS125&amp;"d8")))</f>
        <v/>
      </c>
      <c r="PA125" s="152">
        <f>IF($NT125=2,3*$OT125&amp;" de vida temp.",IF($NT125=3,"sem dano",IF($OT125=0,IF($NT125=1,"sem cura","sem dano"),IF($NT125=1,"cura ","")&amp;$OT125&amp;"d8")))</f>
        <v/>
      </c>
      <c r="PB125" s="152">
        <f>IF($NT125=2,3*$OU125&amp;" de vida temp.",IF($NT125=3,"sem dano",IF($OU125=0,IF($NT125=1,"sem cura","sem dano"),IF($NT125=1,"cura ","")&amp;$OU125&amp;"d8")))</f>
        <v/>
      </c>
      <c r="PC125" s="152">
        <f>IF($NT125=2,3*$OV125&amp;" de vida temp.",IF($NT125=3,"sem dano",IF($OV125=0,IF($NT125=1,"sem cura","sem dano"),IF($NT125=1,"cura ","")&amp;$OV125&amp;"d8")))</f>
        <v/>
      </c>
      <c r="PD125" s="152">
        <f>IF($NT125=2,3*$OW125&amp;" de vida temp.",IF($NT125=3,"sem dano",IF($OW125=0,IF($NT125=1,"sem cura","sem dano"),IF($NT125=1,"cura ","")&amp;$OW125&amp;"d8")))</f>
        <v/>
      </c>
      <c r="PE125" s="152">
        <f>IF($NT125=2,3*$OX125&amp;" de vida temp.",IF($NT125=3,"sem dano",IF($OX125=0,IF($NT125=1,"sem cura","sem dano"),IF($NT125=1,"cura ","")&amp;$OX125&amp;"d8")))</f>
        <v/>
      </c>
      <c r="PF125" s="152">
        <f>IF($NT125=2,3*$OY125&amp;" de vida temp.",IF($NT125=3,"sem dano",IF($OY125=0,IF($NT125=1,"sem cura","sem dano"),IF($NT125=1,"cura ","")&amp;$OY125&amp;"d8")))</f>
        <v/>
      </c>
      <c r="PG125" s="152">
        <f>IF($MQ125=0,"",TEXTJOIN(" · ",TRUE,IF($MD125&gt;$MR125,"Este lugar abre no nível "&amp;$MD125,""),IF($MF125&gt;$MS125,"Classe "&amp;$MF125&amp;": o nível "&amp;$MR125&amp;" libera até a "&amp;$MS125,""),IF($NK125=1,"A Forma "&amp;$MH125&amp;" pede "&amp;INDEX($W$2:$W$11,$MW125)&amp;" aberta",""),IF(AND($MF125=0,$MW125&gt;0,IF($MW125=0,0,INDEX($AF$2:$AF$11,$MW125))=0),$MH125&amp;" não existe na Classe 0",""),IF($NL125=1,"Família Fechada: "&amp;$MK125,""),IF($NM125=1,"Família Fechada: "&amp;$ML125,""),IF($NN125=1,"Família Fechada: "&amp;$MM125,""),IF($NO125=1,"Família Fechada: "&amp;$MN125,""),IF(AND($MF125&gt;0,$OH125&gt;INDEX($O$2:$O$8,MAX(1,$MF125))),$OH125&amp;" Melhorias: a Classe "&amp;$MF125&amp;" aceita "&amp;INDEX($O$2:$O$8,MAX(1,$MF125)),""),IF(AND($MF125=0,$OH125&gt;1),"A básica aceita uma Melhoria",""),IF(AND($MF125=0,COUNTIF($NB125:$NE125,"&gt;1")&gt;0),"A básica só aceita Melhoria Leve",""),IF(AND($MF125&gt;0,$OI125&gt;2),$OI125&amp;" Restrições"&amp;IF($NS125=1,", contando a que a Forma "&amp;$MH125&amp;" já traz","")&amp;": o limite é 2",""),IF(AND($MF125=0,COUNTIF($MO125:$MP125,"?*")&gt;1),"A básica aceita uma Restrição Leve",""),IF(AND($MF125=0,COUNTIF($NV125:$NW125,2)&gt;0),"A básica só aceita Restrição Leve",""),IF(AND($MF125&gt;0,$OP125&lt;0),"Orçamento estourado: faltam "&amp;(-$OP125)&amp;IF($OP125&lt;-1," pontos"," ponto"),""),IF(IFERROR(VLOOKUP($MO125,$BC$2:$BG$24,4,FALSE),0)+IFERROR(VLOOKUP($MP125,$BC$2:$BG$24,4,FALSE),0)&gt;1,$NX125&amp;" e "&amp;$NY125&amp;" são as duas de frequência",""),IF(AND((COUNTIF($MK125:$MN125,"Rápido")+COUNTIF($NX125:$NY125,"Rápido"))&gt;0,(COUNTIF($MK125:$MN125,"Atrasar")+COUNTIF($NX125:$NY125,"Atrasar"))&gt;0),"Rápido não entra com Atrasar",""),IF(AND((COUNTIF($MK125:$MN125,"Reação")+COUNTIF($NX125:$NY125,"Reação"))&gt;0,(COUNTIF($MK125:$MN125,"Rápido")+COUNTIF($NX125:$NY125,"Rápido"))&gt;0),"Reação não entra com Rápido",""),IF(AND((COUNTIF($MK125:$MN125,"Reação")+COUNTIF($NX125:$NY125,"Reação"))&gt;0,(COUNTIF($MK125:$MN125,"Armado")+COUNTIF($NX125:$NY125,"Armado"))&gt;0),"Reação não entra com Armado",""),IF(AND((COUNTIF($MK125:$MN125,"Reação")+COUNTIF($NX125:$NY125,"Reação"))&gt;0,(COUNTIF($MK125:$MN125,"Atrasar")+COUNTIF($NX125:$NY125,"Atrasar"))&gt;0),"Reação não entra com Atrasar",""),IF(AND((COUNTIF($MK125:$MN125,"Reação")+COUNTIF($NX125:$NY125,"Reação"))&gt;0,(COUNTIF($MK125:$MN125,"Parado")+COUNTIF($NX125:$NY125,"Parado"))&gt;0),"Reação não entra com Parado",""),IF(AND((COUNTIF($MK125:$MN125,"Atrasar")+COUNTIF($NX125:$NY125,"Atrasar"))&gt;0,(COUNTIF($MK125:$MN125,"Parado")+COUNTIF($NX125:$NY125,"Parado"))&gt;0),"Atrasar não entra com Parado",""),IF(AND((COUNTIF($MK125:$MN125,"Armado")+COUNTIF($NX125:$NY125,"Armado"))&gt;0,(COUNTIF($MK125:$MN125,"Carregar")+COUNTIF($NX125:$NY125,"Carregar"))&gt;0),"Armado não entra com Carregar",""),IF(AND(COUNTIF($NX125:$NY125,"Corpo a Corpo")&gt;0,$NS125=0,OR($MH125="Cone",$MH125="Linha")),"Corpo a Corpo não entra em "&amp;$MH125,""),IF(AND(COUNTIF($NX125:$NY125,"Corpo a Corpo")&gt;0,$NS125=1),"A Forma "&amp;$MH125&amp;" já traz o Corpo a Corpo",""),IF(AND(COUNTIF($NX125:$NY125,"Tudo ou Nada")&gt;0,$NU125=0),"Tudo ou Nada só entra em habilidade de Teste de Resistência",""),IF(AND(COUNTIF($MK125:$MN125,"Inescapável")&gt;0,OR($OH125&gt;1,$OI125&gt;0)),"Inescapável não aceita outra peça",""),IF(AND($MF125&gt;0,$OQ125*IF(COUNTIF($MK125:$MN125,"Remate")&gt;0,1.25,1)+$OR125&gt;4*$MF125),($OQ125*IF(COUNTIF($MK125:$MN125,"Remate")&gt;0,1.25,1)+$OR125)&amp;" dados somando repetições"&amp;IF(COUNTIF($MK125:$MN125,"Remate")&gt;0," e o Remate","")&amp;": o teto da Classe "&amp;$MF125&amp;" é "&amp;4*$MF125,"")))</f>
        <v/>
      </c>
      <c r="PH125" s="152">
        <f>IF($PG125="",0,(LEN($PG125)-LEN(SUBSTITUTE($PG125," · ","")))/3+1)</f>
        <v/>
      </c>
      <c r="PI125" s="152">
        <f>IF($MQ125=0,"",TEXTJOIN(" · ",TRUE,IF($OK125&gt;2*$MF125,"A devolução parou no teto de "&amp;2*$MF125,""),IF($ON125&gt;0,"Devolução perdida: "&amp;$ON125&amp;IF($ON125&gt;1," pontos"," ponto")&amp;" sem peça para pagar",""),IF(AND($NP125&gt;0,AND($MF125&gt;0,$NT125=0),$OQ125=0),"Controle sem dano: uma rodada a mais e CD +2",""),IF(AND($NP125&gt;0,AND($MF125&gt;0,$NT125=0),$OQ125&gt;0,$OQ125&lt;=$MF125),"Controle com saldo até a Classe: uma rodada a mais",""),IF(AND($MF125&gt;0,$NR125&lt;&gt;""),"Efeito de "&amp;$NR125&amp;" pela Classe "&amp;MAX(1,$MF125-1),"")))</f>
        <v/>
      </c>
      <c r="PJ125" s="152">
        <f>IF($PI125="",0,(LEN($PI125)-LEN(SUBSTITUTE($PI125," · ","")))/3+1)</f>
        <v/>
      </c>
      <c r="PK125" s="152">
        <f>IF($MQ125=0,IF($OH125+COUNTIF($MO125:$MP125,"?*")&gt;0,"Dê um nome",""),IF($PH125&gt;0,"⚠ "&amp;$PH125&amp;IF($PH125&gt;1," erros"," erro"),IF($PJ125&gt;0,"! "&amp;$PJ125&amp;IF($PJ125&gt;1," avisos"," aviso"),"Na regra")))</f>
        <v/>
      </c>
      <c r="PL125" s="152">
        <f>IF($MQ125=0,"",IF($PH125+$PJ125=0,"Dentro das regras que a ficha confere",$PG125&amp;IF(AND($PH125&gt;0,$PJ125&gt;0)," · ","")&amp;$PI125))</f>
        <v/>
      </c>
      <c r="PM125" s="152">
        <f>IF($MD125&gt;$MR125,$ME125&amp;" · ABRE NO NÍVEL "&amp;$MD125,$ME125)</f>
        <v/>
      </c>
      <c r="PN125" s="152">
        <f>IF($MQ125=0,"",IF($MF125=0,"Sem PE",3*$MF125&amp;" PE"))</f>
        <v/>
      </c>
      <c r="PO125" s="152">
        <f>IF($MQ125=0,"",IF($MF125=0,"A atuação básica dela",IF(COUNTIF($NX125:$NY125,"Atrasar")&gt;0,"Sua Ação Completa",IF(COUNTIF($MK125:$MN125,"Rápido")&gt;0,"Sua Bônus",IF(COUNTIF($MK125:$MN125,"Reação")&gt;0,"Sua Reação","Sua Padrão")))&amp;" + a básica dela"&amp;IF(COUNTIF($MK125:$MN125,"Reação")&gt;0," e a coletiva","")&amp;IF(COUNTIF($NX125:$NY125,"Carregar")&gt;0," · em dois turnos","")))</f>
        <v/>
      </c>
      <c r="PP125" s="152">
        <f>IF($MJ125&lt;&gt;"",$MJ125,IF($MW125=0,"",INDEX($AA$2:$AA$11,$MW125)))</f>
        <v/>
      </c>
      <c r="PQ125" s="152">
        <f>IF(OR($MQ125=0,$MW125=0),"",IF(COUNTIF($MK125:$MN125,"Inescapável")&gt;0,"Automático",IF($PP125="Ataque",IF($MU125="","Ataque","Ataque "&amp;IF(($MU125+2*IF(COUNTIF($MK125:$MN125,"Precisão")&gt;0,1,0))&gt;=0,"+","−")&amp;ABS(($MU125+2*IF(COUNTIF($MK125:$MN125,"Precisão")&gt;0,1,0))))&amp;IF($NQ125&gt;0," · TR"&amp;IF($MV125="",""," CD "&amp;$MV125),""),IF(LEFT($PP125,2)="TR",$PP125&amp;IF($MV125="",""," · CD "&amp;$MV125)&amp;IF(COUNTIF($MK125:$MN125,"Certeiro")&gt;0," · metade",""),"Sem rolagem"))))</f>
        <v/>
      </c>
      <c r="PR125" s="152">
        <f>IF(OR($MQ125=0,$MW125=0),"",IF($MF125=0,IF(OR($NT125&gt;=1,$OQ125=0),"Sem dano",$OQ125&amp;"d6"&amp;IF($MI125="",""," "&amp;$MI125)),IF(OR($NT125&gt;=1,$OQ125=0),UPPER(LEFT(INDEX($OZ125:$PF125,1,MAX(1,$MF125)),1))&amp;MID(INDEX($OZ125:$PF125,1,MAX(1,$MF125)),2,99),UPPER(LEFT(INDEX($OZ125:$PF125,1,MAX(1,$MF125)),1))&amp;MID(INDEX($OZ125:$PF125,1,MAX(1,$MF125)),2,99)&amp;IF($MI125="",""," "&amp;$MI125)&amp;IF($OR125&gt;0," · +"&amp;$OR125&amp;"d8",""))))</f>
        <v/>
      </c>
      <c r="PS125" s="152">
        <f>COUNTIF($MK125:$MN125,"Longe")+3*COUNTIF($MK125:$MN125,"Muito Longe")</f>
        <v/>
      </c>
      <c r="PT125" s="152">
        <f>COUNTIF($MK125:$MN125,"Maior")+3*COUNTIF($MK125:$MN125,"Muito Maior")</f>
        <v/>
      </c>
      <c r="PU125" s="152">
        <f>IF($MW125=0,0,CHOOSE(1+INDEX($AC$2:$AC$11,$MW125),0,$PS125,$PT125,$PS125+$PT125))</f>
        <v/>
      </c>
      <c r="PV125" s="152">
        <f>IF($MW125=0,0,CHOOSE(1+INDEX($AD$2:$AD$11,$MW125),0,$PS125,$PT125,$PS125+$PT125))</f>
        <v/>
      </c>
      <c r="PW125" s="152">
        <f>IF(OR($MQ125=0,$MW125=0),"",INDEX($AI$2:$AN$41,($MW125-1)*4+IF($MF125=0,1,IF($MF125&lt;=5,2,IF($MF125=6,3,4))),1+MIN(5,$PU125))&amp;INDEX($AO$2:$AT$41,($MW125-1)*4+IF($MF125=0,1,IF($MF125&lt;=5,2,IF($MF125=6,3,4))),1+MIN(5,$PV125))&amp;IF(INDEX($AE$2:$AE$11,$MW125)=1,IF(COUNTIF($MK125:$MN125,"Mais Um")&gt;0," · +"&amp;COUNTIF($MK125:$MN125,"Mais Um")&amp;IF(COUNTIF($MK125:$MN125,"Mais Um")&gt;1," alvos"," alvo"),"")&amp;IF(COUNTIF($MK125:$MN125,"Rajada")&gt;0,IF($MF125=0," · 1 tiro"," · "&amp;(MAX(1,$MF125-1)+1)&amp;" tiros"),""),""))</f>
        <v/>
      </c>
      <c r="PX125" s="152">
        <f>IF($MQ125=0,"",IF($MF125=0,$MT125&amp;"d6"&amp;IF($OH125&gt;0," − 1 = "&amp;$OQ125&amp;"d6"," da básica do nível "&amp;$MR125),$OO125&amp;" − "&amp;$OJ125&amp;" + "&amp;$OM125&amp;" = "&amp;$OP125&amp;" · teto "&amp;4*$MF125&amp;"d8"&amp;IF($NS125=1," · a Forma devolve "&amp;$MF125,"")&amp;IF($ON125&gt;0," · perde "&amp;$ON125,"")))</f>
        <v/>
      </c>
      <c r="PY125" s="152">
        <f>IF($MQ125=0,"",IF($MF125=0,"A básica não amplia: os dados dela sobem com o nível",IF($MF125&gt;=$MS125,"Já está na maior Classe que o nível liberou",TEXTJOIN(" · ",TRUE,IF(AND(2&gt;$MF125,2&lt;=$MS125),"2 → "&amp;$PA125&amp;", 6 PE",""),IF(AND(3&gt;$MF125,3&lt;=$MS125),"3 → "&amp;$PB125&amp;", 9 PE",""),IF(AND(4&gt;$MF125,4&lt;=$MS125),"4 → "&amp;$PC125&amp;", 12 PE",""),IF(AND(5&gt;$MF125,5&lt;=$MS125),"5 → "&amp;$PD125&amp;", 15 PE",""),IF(AND(6&gt;$MF125,6&lt;=$MS125),"6 → "&amp;$PE125&amp;", 18 PE",""),IF(AND(7&gt;$MF125,7&lt;=$MS125),"7 → "&amp;$PF125&amp;", 21 PE","")))))</f>
        <v/>
      </c>
      <c r="PZ125" s="152">
        <f>IF(OR($MQ125=0,$NB125=0),"",IF($MF125=0,"−1 dado","−"&amp;INDEX($I$2:$N$8,MAX(1,$MF125),MAX(1,$NG125))&amp;" · "&amp;CHOOSE(MAX(1,$NG125),"Leve","Média","Pesada","Leve · Livre","Média · Livre","Pesada · Livre")))</f>
        <v/>
      </c>
      <c r="QA125" s="152">
        <f>IF(OR($MQ125=0,$NC125=0),"",IF($MF125=0,"−1 dado","−"&amp;INDEX($I$2:$N$8,MAX(1,$MF125),MAX(1,$NH125))&amp;" · "&amp;CHOOSE(MAX(1,$NH125),"Leve","Média","Pesada","Leve · Livre","Média · Livre","Pesada · Livre")))</f>
        <v/>
      </c>
      <c r="QB125" s="152">
        <f>IF(OR($MQ125=0,$ND125=0),"",IF($MF125=0,"−1 dado","−"&amp;INDEX($I$2:$N$8,MAX(1,$MF125),MAX(1,$NI125))&amp;" · "&amp;CHOOSE(MAX(1,$NI125),"Leve","Média","Pesada","Leve · Livre","Média · Livre","Pesada · Livre")))</f>
        <v/>
      </c>
      <c r="QC125" s="152">
        <f>IF(OR($MQ125=0,$NE125=0),"",IF($MF125=0,"−1 dado","−"&amp;INDEX($I$2:$N$8,MAX(1,$MF125),MAX(1,$NJ125))&amp;" · "&amp;CHOOSE(MAX(1,$NJ125),"Leve","Média","Pesada","Leve · Livre","Média · Livre","Pesada · Livre")))</f>
        <v/>
      </c>
      <c r="QD125" s="152">
        <f>IF(OR($MQ125=0,$MO125=""),"",IF($MF125=0,"não devolve","+"&amp;IF($NV125=1,CEILING($MF125/2,1),$MF125)))</f>
        <v/>
      </c>
      <c r="QE125" s="152">
        <f>IF(OR($MQ125=0,$MP125=""),"",IF($MF125=0,"não devolve","+"&amp;IF($NW125=1,CEILING($MF125/2,1),$MF125)))</f>
        <v/>
      </c>
    </row>
    <row r="126">
      <c r="MA126" s="150" t="inlineStr">
        <is>
          <t>Ficha 10 · Especial 6</t>
        </is>
      </c>
      <c r="MB126" s="152" t="n">
        <v>10</v>
      </c>
      <c r="MC126" s="152" t="n">
        <v>1</v>
      </c>
      <c r="MD126" s="152" t="n">
        <v>20</v>
      </c>
      <c r="ME126" s="150" t="inlineStr">
        <is>
          <t>ESPECIAL 6</t>
        </is>
      </c>
      <c r="MF126" s="152">
        <f>MAX(1,MIN(7,N('INVOCAÇÕES'!$AH$708)))</f>
        <v/>
      </c>
      <c r="MG126" s="152">
        <f>'INVOCAÇÕES'!$AI$708&amp;""</f>
        <v/>
      </c>
      <c r="MH126" s="152">
        <f>'INVOCAÇÕES'!$AH$713&amp;""</f>
        <v/>
      </c>
      <c r="MI126" s="152">
        <f>'INVOCAÇÕES'!$AH$714&amp;""</f>
        <v/>
      </c>
      <c r="MJ126" s="152">
        <f>'INVOCAÇÕES'!$AJ$714&amp;""</f>
        <v/>
      </c>
      <c r="MK126" s="152">
        <f>'INVOCAÇÕES'!$AI$717&amp;""</f>
        <v/>
      </c>
      <c r="ML126" s="152">
        <f>'INVOCAÇÕES'!$AI$718&amp;""</f>
        <v/>
      </c>
      <c r="MM126" s="152">
        <f>'INVOCAÇÕES'!$AI$719&amp;""</f>
        <v/>
      </c>
      <c r="MN126" s="152">
        <f>'INVOCAÇÕES'!$AI$720&amp;""</f>
        <v/>
      </c>
      <c r="MO126" s="152">
        <f>'INVOCAÇÕES'!$AI$721&amp;""</f>
        <v/>
      </c>
      <c r="MP126" s="152">
        <f>'INVOCAÇÕES'!$AI$722&amp;""</f>
        <v/>
      </c>
      <c r="MQ126" s="152">
        <f>IF($MG126&lt;&gt;"",1,0)</f>
        <v/>
      </c>
      <c r="MR126" s="152">
        <f>INDEX($FI$2:$FI$13,$MB126)</f>
        <v/>
      </c>
      <c r="MS126" s="152">
        <f>INDEX($FJ$2:$FJ$13,$MB126)</f>
        <v/>
      </c>
      <c r="MT126" s="152">
        <f>INDEX($FK$2:$FK$13,$MB126)</f>
        <v/>
      </c>
      <c r="MU126" s="152">
        <f>INDEX($FV$2:$FV$13,$MB126)</f>
        <v/>
      </c>
      <c r="MV126" s="152">
        <f>INDEX($FW$2:$FW$13,$MB126)</f>
        <v/>
      </c>
      <c r="MW126" s="152">
        <f>IFERROR(MATCH($MH126,$V$2:$V$11,0),0)</f>
        <v/>
      </c>
      <c r="MX126" s="152">
        <f>IFERROR(VLOOKUP($MK126,$AV$2:$BA$84,2,FALSE),"")</f>
        <v/>
      </c>
      <c r="MY126" s="152">
        <f>IFERROR(VLOOKUP($ML126,$AV$2:$BA$84,2,FALSE),"")</f>
        <v/>
      </c>
      <c r="MZ126" s="152">
        <f>IFERROR(VLOOKUP($MM126,$AV$2:$BA$84,2,FALSE),"")</f>
        <v/>
      </c>
      <c r="NA126" s="152">
        <f>IFERROR(VLOOKUP($MN126,$AV$2:$BA$84,2,FALSE),"")</f>
        <v/>
      </c>
      <c r="NB126" s="152">
        <f>IFERROR(VLOOKUP($MK126,$AV$2:$BA$84,3,FALSE),0)</f>
        <v/>
      </c>
      <c r="NC126" s="152">
        <f>IFERROR(VLOOKUP($ML126,$AV$2:$BA$84,3,FALSE),0)</f>
        <v/>
      </c>
      <c r="ND126" s="152">
        <f>IFERROR(VLOOKUP($MM126,$AV$2:$BA$84,3,FALSE),0)</f>
        <v/>
      </c>
      <c r="NE126" s="152">
        <f>IFERROR(VLOOKUP($MN126,$AV$2:$BA$84,3,FALSE),0)</f>
        <v/>
      </c>
      <c r="NF126" s="152">
        <f>IF($MF126=0,0,IF($MW126=0,0,INDEX($X$2:$X$11,$MW126)))</f>
        <v/>
      </c>
      <c r="NG126" s="152">
        <f>IF(OR($NB126=0,$MF126=0),0,$NB126+3*IF(AND($MX126&lt;&gt;"",OR($MX126=INDEX($EF$2:$EF$13,$MB126),$MX126=INDEX($EG$2:$EG$13,$MB126))),1,0))</f>
        <v/>
      </c>
      <c r="NH126" s="152">
        <f>IF(OR($NC126=0,$MF126=0),0,$NC126+3*IF(AND($MY126&lt;&gt;"",OR($MY126=INDEX($EF$2:$EF$13,$MB126),$MY126=INDEX($EG$2:$EG$13,$MB126))),1,0))</f>
        <v/>
      </c>
      <c r="NI126" s="152">
        <f>IF(OR($ND126=0,$MF126=0),0,$ND126+3*IF(AND($MZ126&lt;&gt;"",OR($MZ126=INDEX($EF$2:$EF$13,$MB126),$MZ126=INDEX($EG$2:$EG$13,$MB126))),1,0))</f>
        <v/>
      </c>
      <c r="NJ126" s="152">
        <f>IF(OR($NE126=0,$MF126=0),0,$NE126+3*IF(AND($NA126&lt;&gt;"",OR($NA126=INDEX($EF$2:$EF$13,$MB126),$NA126=INDEX($EG$2:$EG$13,$MB126))),1,0))</f>
        <v/>
      </c>
      <c r="NK126" s="152">
        <f>IF($MW126=0,0,IF(INDEX($W$2:$W$11,$MW126)="",0,IF(COUNTIF(INDEX($EF$2:$EJ$13,$MB126,0),INDEX($W$2:$W$11,$MW126))=0,1,0)))</f>
        <v/>
      </c>
      <c r="NL126" s="152">
        <f>IF(OR($NB126=0,$MX126=""),0,IF(COUNTIF(INDEX($EF$2:$EJ$13,$MB126,0),$MX126)=0,1,0))</f>
        <v/>
      </c>
      <c r="NM126" s="152">
        <f>IF(OR($NC126=0,$MY126=""),0,IF(COUNTIF(INDEX($EF$2:$EJ$13,$MB126,0),$MY126)=0,1,0))</f>
        <v/>
      </c>
      <c r="NN126" s="152">
        <f>IF(OR($ND126=0,$MZ126=""),0,IF(COUNTIF(INDEX($EF$2:$EJ$13,$MB126,0),$MZ126)=0,1,0))</f>
        <v/>
      </c>
      <c r="NO126" s="152">
        <f>IF(OR($NE126=0,$NA126=""),0,IF(COUNTIF(INDEX($EF$2:$EJ$13,$MB126,0),$NA126)=0,1,0))</f>
        <v/>
      </c>
      <c r="NP126" s="152">
        <f>IFERROR(VLOOKUP($MK126,$AV$2:$BA$84,4,FALSE),0)+IFERROR(VLOOKUP($ML126,$AV$2:$BA$84,4,FALSE),0)+IFERROR(VLOOKUP($MM126,$AV$2:$BA$84,4,FALSE),0)+IFERROR(VLOOKUP($MN126,$AV$2:$BA$84,4,FALSE),0)</f>
        <v/>
      </c>
      <c r="NQ126" s="152">
        <f>IFERROR(VLOOKUP($MK126,$AV$2:$BA$84,6,FALSE),0)+IFERROR(VLOOKUP($ML126,$AV$2:$BA$84,6,FALSE),0)+IFERROR(VLOOKUP($MM126,$AV$2:$BA$84,6,FALSE),0)+IFERROR(VLOOKUP($MN126,$AV$2:$BA$84,6,FALSE),0)</f>
        <v/>
      </c>
      <c r="NR126" s="152">
        <f>TEXTJOIN(", ",TRUE,IF(IFERROR(VLOOKUP($MK126,$AV$2:$BA$84,5,FALSE),0)=1,$MK126,""),IF(IFERROR(VLOOKUP($ML126,$AV$2:$BA$84,5,FALSE),0)=1,$ML126,""),IF(IFERROR(VLOOKUP($MM126,$AV$2:$BA$84,5,FALSE),0)=1,$MM126,""),IF(IFERROR(VLOOKUP($MN126,$AV$2:$BA$84,5,FALSE),0)=1,$MN126,""))</f>
        <v/>
      </c>
      <c r="NS126" s="152">
        <f>IF($MW126=0,0,INDEX($Y$2:$Y$11,$MW126))</f>
        <v/>
      </c>
      <c r="NT126" s="152">
        <f>IF($MW126=0,0,INDEX($Z$2:$Z$11,$MW126))</f>
        <v/>
      </c>
      <c r="NU126" s="152">
        <f>IF($MW126=0,0,INDEX($AB$2:$AB$11,$MW126))</f>
        <v/>
      </c>
      <c r="NV126" s="152">
        <f>IFERROR(VLOOKUP($MO126,$BC$2:$BG$24,3,FALSE),0)</f>
        <v/>
      </c>
      <c r="NW126" s="152">
        <f>IFERROR(VLOOKUP($MP126,$BC$2:$BG$24,3,FALSE),0)</f>
        <v/>
      </c>
      <c r="NX126" s="152">
        <f>IFERROR(VLOOKUP($MO126,$BC$2:$BG$24,2,FALSE),"")</f>
        <v/>
      </c>
      <c r="NY126" s="152">
        <f>IFERROR(VLOOKUP($MP126,$BC$2:$BG$24,2,FALSE),"")</f>
        <v/>
      </c>
      <c r="NZ126" s="152">
        <f>COUNTIF($NF126:$NJ126,1)</f>
        <v/>
      </c>
      <c r="OA126" s="152">
        <f>COUNTIF($NF126:$NJ126,2)</f>
        <v/>
      </c>
      <c r="OB126" s="152">
        <f>COUNTIF($NF126:$NJ126,3)</f>
        <v/>
      </c>
      <c r="OC126" s="152">
        <f>COUNTIF($NF126:$NJ126,4)</f>
        <v/>
      </c>
      <c r="OD126" s="152">
        <f>COUNTIF($NF126:$NJ126,5)</f>
        <v/>
      </c>
      <c r="OE126" s="152">
        <f>COUNTIF($NF126:$NJ126,6)</f>
        <v/>
      </c>
      <c r="OF126" s="152">
        <f>COUNTIF($NV126:$NW126,1)</f>
        <v/>
      </c>
      <c r="OG126" s="152">
        <f>COUNTIF($NV126:$NW126,2)+$NS126</f>
        <v/>
      </c>
      <c r="OH126" s="152">
        <f>COUNTIF($MK126:$MN126,"?*")</f>
        <v/>
      </c>
      <c r="OI126" s="152">
        <f>COUNTIF($MO126:$MP126,"?*")+$NS126</f>
        <v/>
      </c>
      <c r="OJ126" s="152">
        <f>IF($MF126=0,0,SUMPRODUCT($NZ126:$OE126,INDEX($I$2:$N$8,MAX(1,$MF126),0)))</f>
        <v/>
      </c>
      <c r="OK126" s="152">
        <f>IF($MF126=0,0,$OF126*CEILING($MF126/2,1)+$OG126*$MF126)</f>
        <v/>
      </c>
      <c r="OL126" s="152">
        <f>MIN(2*$MF126,$OK126)</f>
        <v/>
      </c>
      <c r="OM126" s="152">
        <f>MIN($OL126,$OJ126)</f>
        <v/>
      </c>
      <c r="ON126" s="152">
        <f>$OL126-$OM126</f>
        <v/>
      </c>
      <c r="OO126" s="152">
        <f>IF($MF126=0,0,INDEX($P$2:$P$8,MAX(1,$MF126)))</f>
        <v/>
      </c>
      <c r="OP126" s="152">
        <f>$OO126-$OJ126+$OM126</f>
        <v/>
      </c>
      <c r="OQ126" s="152">
        <f>IF($MF126=0,MAX(0,$MT126-IF($OH126&gt;0,1,0)),MAX(0,$OP126))</f>
        <v/>
      </c>
      <c r="OR126" s="152">
        <f>IF($MF126=0,0,(IF(COUNTIF($MK126:$MN126,"Salto")&gt;0,1,0)+IF(COUNTIF($MK126:$MN126,"Queima")&gt;0,1,0)+IF(COUNTIF($MK126:$MN126,"Estilhaço")&gt;0,1,0))*FLOOR($OQ126/2,1))</f>
        <v/>
      </c>
      <c r="OS126" s="152">
        <f>MAX(0,2-SUMPRODUCT($NZ126:$OE126,$I$2:$N$2)+MIN(2,$OF126*1+$OG126*1,SUMPRODUCT($NZ126:$OE126,$I$2:$N$2)))</f>
        <v/>
      </c>
      <c r="OT126" s="152">
        <f>MAX(0,4-SUMPRODUCT($NZ126:$OE126,$I$3:$N$3)+MIN(4,$OF126*1+$OG126*2,SUMPRODUCT($NZ126:$OE126,$I$3:$N$3)))</f>
        <v/>
      </c>
      <c r="OU126" s="152">
        <f>MAX(0,6-SUMPRODUCT($NZ126:$OE126,$I$4:$N$4)+MIN(6,$OF126*2+$OG126*3,SUMPRODUCT($NZ126:$OE126,$I$4:$N$4)))</f>
        <v/>
      </c>
      <c r="OV126" s="152">
        <f>MAX(0,9-SUMPRODUCT($NZ126:$OE126,$I$5:$N$5)+MIN(8,$OF126*2+$OG126*4,SUMPRODUCT($NZ126:$OE126,$I$5:$N$5)))</f>
        <v/>
      </c>
      <c r="OW126" s="152">
        <f>MAX(0,11-SUMPRODUCT($NZ126:$OE126,$I$6:$N$6)+MIN(10,$OF126*3+$OG126*5,SUMPRODUCT($NZ126:$OE126,$I$6:$N$6)))</f>
        <v/>
      </c>
      <c r="OX126" s="152">
        <f>MAX(0,13-SUMPRODUCT($NZ126:$OE126,$I$7:$N$7)+MIN(12,$OF126*3+$OG126*6,SUMPRODUCT($NZ126:$OE126,$I$7:$N$7)))</f>
        <v/>
      </c>
      <c r="OY126" s="152">
        <f>MAX(0,16-SUMPRODUCT($NZ126:$OE126,$I$8:$N$8)+MIN(14,$OF126*4+$OG126*7,SUMPRODUCT($NZ126:$OE126,$I$8:$N$8)))</f>
        <v/>
      </c>
      <c r="OZ126" s="152">
        <f>IF($NT126=2,3*$OS126&amp;" de vida temp.",IF($NT126=3,"sem dano",IF($OS126=0,IF($NT126=1,"sem cura","sem dano"),IF($NT126=1,"cura ","")&amp;$OS126&amp;"d8")))</f>
        <v/>
      </c>
      <c r="PA126" s="152">
        <f>IF($NT126=2,3*$OT126&amp;" de vida temp.",IF($NT126=3,"sem dano",IF($OT126=0,IF($NT126=1,"sem cura","sem dano"),IF($NT126=1,"cura ","")&amp;$OT126&amp;"d8")))</f>
        <v/>
      </c>
      <c r="PB126" s="152">
        <f>IF($NT126=2,3*$OU126&amp;" de vida temp.",IF($NT126=3,"sem dano",IF($OU126=0,IF($NT126=1,"sem cura","sem dano"),IF($NT126=1,"cura ","")&amp;$OU126&amp;"d8")))</f>
        <v/>
      </c>
      <c r="PC126" s="152">
        <f>IF($NT126=2,3*$OV126&amp;" de vida temp.",IF($NT126=3,"sem dano",IF($OV126=0,IF($NT126=1,"sem cura","sem dano"),IF($NT126=1,"cura ","")&amp;$OV126&amp;"d8")))</f>
        <v/>
      </c>
      <c r="PD126" s="152">
        <f>IF($NT126=2,3*$OW126&amp;" de vida temp.",IF($NT126=3,"sem dano",IF($OW126=0,IF($NT126=1,"sem cura","sem dano"),IF($NT126=1,"cura ","")&amp;$OW126&amp;"d8")))</f>
        <v/>
      </c>
      <c r="PE126" s="152">
        <f>IF($NT126=2,3*$OX126&amp;" de vida temp.",IF($NT126=3,"sem dano",IF($OX126=0,IF($NT126=1,"sem cura","sem dano"),IF($NT126=1,"cura ","")&amp;$OX126&amp;"d8")))</f>
        <v/>
      </c>
      <c r="PF126" s="152">
        <f>IF($NT126=2,3*$OY126&amp;" de vida temp.",IF($NT126=3,"sem dano",IF($OY126=0,IF($NT126=1,"sem cura","sem dano"),IF($NT126=1,"cura ","")&amp;$OY126&amp;"d8")))</f>
        <v/>
      </c>
      <c r="PG126" s="152">
        <f>IF($MQ126=0,"",TEXTJOIN(" · ",TRUE,IF($MD126&gt;$MR126,"Este lugar abre no nível "&amp;$MD126,""),IF($MF126&gt;$MS126,"Classe "&amp;$MF126&amp;": o nível "&amp;$MR126&amp;" libera até a "&amp;$MS126,""),IF($NK126=1,"A Forma "&amp;$MH126&amp;" pede "&amp;INDEX($W$2:$W$11,$MW126)&amp;" aberta",""),IF(AND($MF126=0,$MW126&gt;0,IF($MW126=0,0,INDEX($AF$2:$AF$11,$MW126))=0),$MH126&amp;" não existe na Classe 0",""),IF($NL126=1,"Família Fechada: "&amp;$MK126,""),IF($NM126=1,"Família Fechada: "&amp;$ML126,""),IF($NN126=1,"Família Fechada: "&amp;$MM126,""),IF($NO126=1,"Família Fechada: "&amp;$MN126,""),IF(AND($MF126&gt;0,$OH126&gt;INDEX($O$2:$O$8,MAX(1,$MF126))),$OH126&amp;" Melhorias: a Classe "&amp;$MF126&amp;" aceita "&amp;INDEX($O$2:$O$8,MAX(1,$MF126)),""),IF(AND($MF126=0,$OH126&gt;1),"A básica aceita uma Melhoria",""),IF(AND($MF126=0,COUNTIF($NB126:$NE126,"&gt;1")&gt;0),"A básica só aceita Melhoria Leve",""),IF(AND($MF126&gt;0,$OI126&gt;2),$OI126&amp;" Restrições"&amp;IF($NS126=1,", contando a que a Forma "&amp;$MH126&amp;" já traz","")&amp;": o limite é 2",""),IF(AND($MF126=0,COUNTIF($MO126:$MP126,"?*")&gt;1),"A básica aceita uma Restrição Leve",""),IF(AND($MF126=0,COUNTIF($NV126:$NW126,2)&gt;0),"A básica só aceita Restrição Leve",""),IF(AND($MF126&gt;0,$OP126&lt;0),"Orçamento estourado: faltam "&amp;(-$OP126)&amp;IF($OP126&lt;-1," pontos"," ponto"),""),IF(IFERROR(VLOOKUP($MO126,$BC$2:$BG$24,4,FALSE),0)+IFERROR(VLOOKUP($MP126,$BC$2:$BG$24,4,FALSE),0)&gt;1,$NX126&amp;" e "&amp;$NY126&amp;" são as duas de frequência",""),IF(AND((COUNTIF($MK126:$MN126,"Rápido")+COUNTIF($NX126:$NY126,"Rápido"))&gt;0,(COUNTIF($MK126:$MN126,"Atrasar")+COUNTIF($NX126:$NY126,"Atrasar"))&gt;0),"Rápido não entra com Atrasar",""),IF(AND((COUNTIF($MK126:$MN126,"Reação")+COUNTIF($NX126:$NY126,"Reação"))&gt;0,(COUNTIF($MK126:$MN126,"Rápido")+COUNTIF($NX126:$NY126,"Rápido"))&gt;0),"Reação não entra com Rápido",""),IF(AND((COUNTIF($MK126:$MN126,"Reação")+COUNTIF($NX126:$NY126,"Reação"))&gt;0,(COUNTIF($MK126:$MN126,"Armado")+COUNTIF($NX126:$NY126,"Armado"))&gt;0),"Reação não entra com Armado",""),IF(AND((COUNTIF($MK126:$MN126,"Reação")+COUNTIF($NX126:$NY126,"Reação"))&gt;0,(COUNTIF($MK126:$MN126,"Atrasar")+COUNTIF($NX126:$NY126,"Atrasar"))&gt;0),"Reação não entra com Atrasar",""),IF(AND((COUNTIF($MK126:$MN126,"Reação")+COUNTIF($NX126:$NY126,"Reação"))&gt;0,(COUNTIF($MK126:$MN126,"Parado")+COUNTIF($NX126:$NY126,"Parado"))&gt;0),"Reação não entra com Parado",""),IF(AND((COUNTIF($MK126:$MN126,"Atrasar")+COUNTIF($NX126:$NY126,"Atrasar"))&gt;0,(COUNTIF($MK126:$MN126,"Parado")+COUNTIF($NX126:$NY126,"Parado"))&gt;0),"Atrasar não entra com Parado",""),IF(AND((COUNTIF($MK126:$MN126,"Armado")+COUNTIF($NX126:$NY126,"Armado"))&gt;0,(COUNTIF($MK126:$MN126,"Carregar")+COUNTIF($NX126:$NY126,"Carregar"))&gt;0),"Armado não entra com Carregar",""),IF(AND(COUNTIF($NX126:$NY126,"Corpo a Corpo")&gt;0,$NS126=0,OR($MH126="Cone",$MH126="Linha")),"Corpo a Corpo não entra em "&amp;$MH126,""),IF(AND(COUNTIF($NX126:$NY126,"Corpo a Corpo")&gt;0,$NS126=1),"A Forma "&amp;$MH126&amp;" já traz o Corpo a Corpo",""),IF(AND(COUNTIF($NX126:$NY126,"Tudo ou Nada")&gt;0,$NU126=0),"Tudo ou Nada só entra em habilidade de Teste de Resistência",""),IF(AND(COUNTIF($MK126:$MN126,"Inescapável")&gt;0,OR($OH126&gt;1,$OI126&gt;0)),"Inescapável não aceita outra peça",""),IF(AND($MF126&gt;0,$OQ126*IF(COUNTIF($MK126:$MN126,"Remate")&gt;0,1.25,1)+$OR126&gt;4*$MF126),($OQ126*IF(COUNTIF($MK126:$MN126,"Remate")&gt;0,1.25,1)+$OR126)&amp;" dados somando repetições"&amp;IF(COUNTIF($MK126:$MN126,"Remate")&gt;0," e o Remate","")&amp;": o teto da Classe "&amp;$MF126&amp;" é "&amp;4*$MF126,"")))</f>
        <v/>
      </c>
      <c r="PH126" s="152">
        <f>IF($PG126="",0,(LEN($PG126)-LEN(SUBSTITUTE($PG126," · ","")))/3+1)</f>
        <v/>
      </c>
      <c r="PI126" s="152">
        <f>IF($MQ126=0,"",TEXTJOIN(" · ",TRUE,IF($OK126&gt;2*$MF126,"A devolução parou no teto de "&amp;2*$MF126,""),IF($ON126&gt;0,"Devolução perdida: "&amp;$ON126&amp;IF($ON126&gt;1," pontos"," ponto")&amp;" sem peça para pagar",""),IF(AND($NP126&gt;0,AND($MF126&gt;0,$NT126=0),$OQ126=0),"Controle sem dano: uma rodada a mais e CD +2",""),IF(AND($NP126&gt;0,AND($MF126&gt;0,$NT126=0),$OQ126&gt;0,$OQ126&lt;=$MF126),"Controle com saldo até a Classe: uma rodada a mais",""),IF(AND($MF126&gt;0,$NR126&lt;&gt;""),"Efeito de "&amp;$NR126&amp;" pela Classe "&amp;MAX(1,$MF126-1),"")))</f>
        <v/>
      </c>
      <c r="PJ126" s="152">
        <f>IF($PI126="",0,(LEN($PI126)-LEN(SUBSTITUTE($PI126," · ","")))/3+1)</f>
        <v/>
      </c>
      <c r="PK126" s="152">
        <f>IF($MQ126=0,IF($OH126+COUNTIF($MO126:$MP126,"?*")&gt;0,"Dê um nome",""),IF($PH126&gt;0,"⚠ "&amp;$PH126&amp;IF($PH126&gt;1," erros"," erro"),IF($PJ126&gt;0,"! "&amp;$PJ126&amp;IF($PJ126&gt;1," avisos"," aviso"),"Na regra")))</f>
        <v/>
      </c>
      <c r="PL126" s="152">
        <f>IF($MQ126=0,"",IF($PH126+$PJ126=0,"Dentro das regras que a ficha confere",$PG126&amp;IF(AND($PH126&gt;0,$PJ126&gt;0)," · ","")&amp;$PI126))</f>
        <v/>
      </c>
      <c r="PM126" s="152">
        <f>IF($MD126&gt;$MR126,$ME126&amp;" · ABRE NO NÍVEL "&amp;$MD126,$ME126)</f>
        <v/>
      </c>
      <c r="PN126" s="152">
        <f>IF($MQ126=0,"",IF($MF126=0,"Sem PE",3*$MF126&amp;" PE"))</f>
        <v/>
      </c>
      <c r="PO126" s="152">
        <f>IF($MQ126=0,"",IF($MF126=0,"A atuação básica dela",IF(COUNTIF($NX126:$NY126,"Atrasar")&gt;0,"Sua Ação Completa",IF(COUNTIF($MK126:$MN126,"Rápido")&gt;0,"Sua Bônus",IF(COUNTIF($MK126:$MN126,"Reação")&gt;0,"Sua Reação","Sua Padrão")))&amp;" + a básica dela"&amp;IF(COUNTIF($MK126:$MN126,"Reação")&gt;0," e a coletiva","")&amp;IF(COUNTIF($NX126:$NY126,"Carregar")&gt;0," · em dois turnos","")))</f>
        <v/>
      </c>
      <c r="PP126" s="152">
        <f>IF($MJ126&lt;&gt;"",$MJ126,IF($MW126=0,"",INDEX($AA$2:$AA$11,$MW126)))</f>
        <v/>
      </c>
      <c r="PQ126" s="152">
        <f>IF(OR($MQ126=0,$MW126=0),"",IF(COUNTIF($MK126:$MN126,"Inescapável")&gt;0,"Automático",IF($PP126="Ataque",IF($MU126="","Ataque","Ataque "&amp;IF(($MU126+2*IF(COUNTIF($MK126:$MN126,"Precisão")&gt;0,1,0))&gt;=0,"+","−")&amp;ABS(($MU126+2*IF(COUNTIF($MK126:$MN126,"Precisão")&gt;0,1,0))))&amp;IF($NQ126&gt;0," · TR"&amp;IF($MV126="",""," CD "&amp;$MV126),""),IF(LEFT($PP126,2)="TR",$PP126&amp;IF($MV126="",""," · CD "&amp;$MV126)&amp;IF(COUNTIF($MK126:$MN126,"Certeiro")&gt;0," · metade",""),"Sem rolagem"))))</f>
        <v/>
      </c>
      <c r="PR126" s="152">
        <f>IF(OR($MQ126=0,$MW126=0),"",IF($MF126=0,IF(OR($NT126&gt;=1,$OQ126=0),"Sem dano",$OQ126&amp;"d6"&amp;IF($MI126="",""," "&amp;$MI126)),IF(OR($NT126&gt;=1,$OQ126=0),UPPER(LEFT(INDEX($OZ126:$PF126,1,MAX(1,$MF126)),1))&amp;MID(INDEX($OZ126:$PF126,1,MAX(1,$MF126)),2,99),UPPER(LEFT(INDEX($OZ126:$PF126,1,MAX(1,$MF126)),1))&amp;MID(INDEX($OZ126:$PF126,1,MAX(1,$MF126)),2,99)&amp;IF($MI126="",""," "&amp;$MI126)&amp;IF($OR126&gt;0," · +"&amp;$OR126&amp;"d8",""))))</f>
        <v/>
      </c>
      <c r="PS126" s="152">
        <f>COUNTIF($MK126:$MN126,"Longe")+3*COUNTIF($MK126:$MN126,"Muito Longe")</f>
        <v/>
      </c>
      <c r="PT126" s="152">
        <f>COUNTIF($MK126:$MN126,"Maior")+3*COUNTIF($MK126:$MN126,"Muito Maior")</f>
        <v/>
      </c>
      <c r="PU126" s="152">
        <f>IF($MW126=0,0,CHOOSE(1+INDEX($AC$2:$AC$11,$MW126),0,$PS126,$PT126,$PS126+$PT126))</f>
        <v/>
      </c>
      <c r="PV126" s="152">
        <f>IF($MW126=0,0,CHOOSE(1+INDEX($AD$2:$AD$11,$MW126),0,$PS126,$PT126,$PS126+$PT126))</f>
        <v/>
      </c>
      <c r="PW126" s="152">
        <f>IF(OR($MQ126=0,$MW126=0),"",INDEX($AI$2:$AN$41,($MW126-1)*4+IF($MF126=0,1,IF($MF126&lt;=5,2,IF($MF126=6,3,4))),1+MIN(5,$PU126))&amp;INDEX($AO$2:$AT$41,($MW126-1)*4+IF($MF126=0,1,IF($MF126&lt;=5,2,IF($MF126=6,3,4))),1+MIN(5,$PV126))&amp;IF(INDEX($AE$2:$AE$11,$MW126)=1,IF(COUNTIF($MK126:$MN126,"Mais Um")&gt;0," · +"&amp;COUNTIF($MK126:$MN126,"Mais Um")&amp;IF(COUNTIF($MK126:$MN126,"Mais Um")&gt;1," alvos"," alvo"),"")&amp;IF(COUNTIF($MK126:$MN126,"Rajada")&gt;0,IF($MF126=0," · 1 tiro"," · "&amp;(MAX(1,$MF126-1)+1)&amp;" tiros"),""),""))</f>
        <v/>
      </c>
      <c r="PX126" s="152">
        <f>IF($MQ126=0,"",IF($MF126=0,$MT126&amp;"d6"&amp;IF($OH126&gt;0," − 1 = "&amp;$OQ126&amp;"d6"," da básica do nível "&amp;$MR126),$OO126&amp;" − "&amp;$OJ126&amp;" + "&amp;$OM126&amp;" = "&amp;$OP126&amp;" · teto "&amp;4*$MF126&amp;"d8"&amp;IF($NS126=1," · a Forma devolve "&amp;$MF126,"")&amp;IF($ON126&gt;0," · perde "&amp;$ON126,"")))</f>
        <v/>
      </c>
      <c r="PY126" s="152">
        <f>IF($MQ126=0,"",IF($MF126=0,"A básica não amplia: os dados dela sobem com o nível",IF($MF126&gt;=$MS126,"Já está na maior Classe que o nível liberou",TEXTJOIN(" · ",TRUE,IF(AND(2&gt;$MF126,2&lt;=$MS126),"2 → "&amp;$PA126&amp;", 6 PE",""),IF(AND(3&gt;$MF126,3&lt;=$MS126),"3 → "&amp;$PB126&amp;", 9 PE",""),IF(AND(4&gt;$MF126,4&lt;=$MS126),"4 → "&amp;$PC126&amp;", 12 PE",""),IF(AND(5&gt;$MF126,5&lt;=$MS126),"5 → "&amp;$PD126&amp;", 15 PE",""),IF(AND(6&gt;$MF126,6&lt;=$MS126),"6 → "&amp;$PE126&amp;", 18 PE",""),IF(AND(7&gt;$MF126,7&lt;=$MS126),"7 → "&amp;$PF126&amp;", 21 PE","")))))</f>
        <v/>
      </c>
      <c r="PZ126" s="152">
        <f>IF(OR($MQ126=0,$NB126=0),"",IF($MF126=0,"−1 dado","−"&amp;INDEX($I$2:$N$8,MAX(1,$MF126),MAX(1,$NG126))&amp;" · "&amp;CHOOSE(MAX(1,$NG126),"Leve","Média","Pesada","Leve · Livre","Média · Livre","Pesada · Livre")))</f>
        <v/>
      </c>
      <c r="QA126" s="152">
        <f>IF(OR($MQ126=0,$NC126=0),"",IF($MF126=0,"−1 dado","−"&amp;INDEX($I$2:$N$8,MAX(1,$MF126),MAX(1,$NH126))&amp;" · "&amp;CHOOSE(MAX(1,$NH126),"Leve","Média","Pesada","Leve · Livre","Média · Livre","Pesada · Livre")))</f>
        <v/>
      </c>
      <c r="QB126" s="152">
        <f>IF(OR($MQ126=0,$ND126=0),"",IF($MF126=0,"−1 dado","−"&amp;INDEX($I$2:$N$8,MAX(1,$MF126),MAX(1,$NI126))&amp;" · "&amp;CHOOSE(MAX(1,$NI126),"Leve","Média","Pesada","Leve · Livre","Média · Livre","Pesada · Livre")))</f>
        <v/>
      </c>
      <c r="QC126" s="152">
        <f>IF(OR($MQ126=0,$NE126=0),"",IF($MF126=0,"−1 dado","−"&amp;INDEX($I$2:$N$8,MAX(1,$MF126),MAX(1,$NJ126))&amp;" · "&amp;CHOOSE(MAX(1,$NJ126),"Leve","Média","Pesada","Leve · Livre","Média · Livre","Pesada · Livre")))</f>
        <v/>
      </c>
      <c r="QD126" s="152">
        <f>IF(OR($MQ126=0,$MO126=""),"",IF($MF126=0,"não devolve","+"&amp;IF($NV126=1,CEILING($MF126/2,1),$MF126)))</f>
        <v/>
      </c>
      <c r="QE126" s="152">
        <f>IF(OR($MQ126=0,$MP126=""),"",IF($MF126=0,"não devolve","+"&amp;IF($NW126=1,CEILING($MF126/2,1),$MF126)))</f>
        <v/>
      </c>
    </row>
    <row r="127">
      <c r="MA127" s="150" t="inlineStr">
        <is>
          <t>Ficha 10 · Especial 7</t>
        </is>
      </c>
      <c r="MB127" s="152" t="n">
        <v>10</v>
      </c>
      <c r="MC127" s="152" t="n">
        <v>1</v>
      </c>
      <c r="MD127" s="152" t="n">
        <v>24</v>
      </c>
      <c r="ME127" s="150" t="inlineStr">
        <is>
          <t>ESPECIAL 7</t>
        </is>
      </c>
      <c r="MF127" s="152">
        <f>MAX(1,MIN(7,N('INVOCAÇÕES'!$AN$708)))</f>
        <v/>
      </c>
      <c r="MG127" s="152">
        <f>'INVOCAÇÕES'!$AO$708&amp;""</f>
        <v/>
      </c>
      <c r="MH127" s="152">
        <f>'INVOCAÇÕES'!$AN$713&amp;""</f>
        <v/>
      </c>
      <c r="MI127" s="152">
        <f>'INVOCAÇÕES'!$AN$714&amp;""</f>
        <v/>
      </c>
      <c r="MJ127" s="152">
        <f>'INVOCAÇÕES'!$AP$714&amp;""</f>
        <v/>
      </c>
      <c r="MK127" s="152">
        <f>'INVOCAÇÕES'!$AO$717&amp;""</f>
        <v/>
      </c>
      <c r="ML127" s="152">
        <f>'INVOCAÇÕES'!$AO$718&amp;""</f>
        <v/>
      </c>
      <c r="MM127" s="152">
        <f>'INVOCAÇÕES'!$AO$719&amp;""</f>
        <v/>
      </c>
      <c r="MN127" s="152">
        <f>'INVOCAÇÕES'!$AO$720&amp;""</f>
        <v/>
      </c>
      <c r="MO127" s="152">
        <f>'INVOCAÇÕES'!$AO$721&amp;""</f>
        <v/>
      </c>
      <c r="MP127" s="152">
        <f>'INVOCAÇÕES'!$AO$722&amp;""</f>
        <v/>
      </c>
      <c r="MQ127" s="152">
        <f>IF($MG127&lt;&gt;"",1,0)</f>
        <v/>
      </c>
      <c r="MR127" s="152">
        <f>INDEX($FI$2:$FI$13,$MB127)</f>
        <v/>
      </c>
      <c r="MS127" s="152">
        <f>INDEX($FJ$2:$FJ$13,$MB127)</f>
        <v/>
      </c>
      <c r="MT127" s="152">
        <f>INDEX($FK$2:$FK$13,$MB127)</f>
        <v/>
      </c>
      <c r="MU127" s="152">
        <f>INDEX($FV$2:$FV$13,$MB127)</f>
        <v/>
      </c>
      <c r="MV127" s="152">
        <f>INDEX($FW$2:$FW$13,$MB127)</f>
        <v/>
      </c>
      <c r="MW127" s="152">
        <f>IFERROR(MATCH($MH127,$V$2:$V$11,0),0)</f>
        <v/>
      </c>
      <c r="MX127" s="152">
        <f>IFERROR(VLOOKUP($MK127,$AV$2:$BA$84,2,FALSE),"")</f>
        <v/>
      </c>
      <c r="MY127" s="152">
        <f>IFERROR(VLOOKUP($ML127,$AV$2:$BA$84,2,FALSE),"")</f>
        <v/>
      </c>
      <c r="MZ127" s="152">
        <f>IFERROR(VLOOKUP($MM127,$AV$2:$BA$84,2,FALSE),"")</f>
        <v/>
      </c>
      <c r="NA127" s="152">
        <f>IFERROR(VLOOKUP($MN127,$AV$2:$BA$84,2,FALSE),"")</f>
        <v/>
      </c>
      <c r="NB127" s="152">
        <f>IFERROR(VLOOKUP($MK127,$AV$2:$BA$84,3,FALSE),0)</f>
        <v/>
      </c>
      <c r="NC127" s="152">
        <f>IFERROR(VLOOKUP($ML127,$AV$2:$BA$84,3,FALSE),0)</f>
        <v/>
      </c>
      <c r="ND127" s="152">
        <f>IFERROR(VLOOKUP($MM127,$AV$2:$BA$84,3,FALSE),0)</f>
        <v/>
      </c>
      <c r="NE127" s="152">
        <f>IFERROR(VLOOKUP($MN127,$AV$2:$BA$84,3,FALSE),0)</f>
        <v/>
      </c>
      <c r="NF127" s="152">
        <f>IF($MF127=0,0,IF($MW127=0,0,INDEX($X$2:$X$11,$MW127)))</f>
        <v/>
      </c>
      <c r="NG127" s="152">
        <f>IF(OR($NB127=0,$MF127=0),0,$NB127+3*IF(AND($MX127&lt;&gt;"",OR($MX127=INDEX($EF$2:$EF$13,$MB127),$MX127=INDEX($EG$2:$EG$13,$MB127))),1,0))</f>
        <v/>
      </c>
      <c r="NH127" s="152">
        <f>IF(OR($NC127=0,$MF127=0),0,$NC127+3*IF(AND($MY127&lt;&gt;"",OR($MY127=INDEX($EF$2:$EF$13,$MB127),$MY127=INDEX($EG$2:$EG$13,$MB127))),1,0))</f>
        <v/>
      </c>
      <c r="NI127" s="152">
        <f>IF(OR($ND127=0,$MF127=0),0,$ND127+3*IF(AND($MZ127&lt;&gt;"",OR($MZ127=INDEX($EF$2:$EF$13,$MB127),$MZ127=INDEX($EG$2:$EG$13,$MB127))),1,0))</f>
        <v/>
      </c>
      <c r="NJ127" s="152">
        <f>IF(OR($NE127=0,$MF127=0),0,$NE127+3*IF(AND($NA127&lt;&gt;"",OR($NA127=INDEX($EF$2:$EF$13,$MB127),$NA127=INDEX($EG$2:$EG$13,$MB127))),1,0))</f>
        <v/>
      </c>
      <c r="NK127" s="152">
        <f>IF($MW127=0,0,IF(INDEX($W$2:$W$11,$MW127)="",0,IF(COUNTIF(INDEX($EF$2:$EJ$13,$MB127,0),INDEX($W$2:$W$11,$MW127))=0,1,0)))</f>
        <v/>
      </c>
      <c r="NL127" s="152">
        <f>IF(OR($NB127=0,$MX127=""),0,IF(COUNTIF(INDEX($EF$2:$EJ$13,$MB127,0),$MX127)=0,1,0))</f>
        <v/>
      </c>
      <c r="NM127" s="152">
        <f>IF(OR($NC127=0,$MY127=""),0,IF(COUNTIF(INDEX($EF$2:$EJ$13,$MB127,0),$MY127)=0,1,0))</f>
        <v/>
      </c>
      <c r="NN127" s="152">
        <f>IF(OR($ND127=0,$MZ127=""),0,IF(COUNTIF(INDEX($EF$2:$EJ$13,$MB127,0),$MZ127)=0,1,0))</f>
        <v/>
      </c>
      <c r="NO127" s="152">
        <f>IF(OR($NE127=0,$NA127=""),0,IF(COUNTIF(INDEX($EF$2:$EJ$13,$MB127,0),$NA127)=0,1,0))</f>
        <v/>
      </c>
      <c r="NP127" s="152">
        <f>IFERROR(VLOOKUP($MK127,$AV$2:$BA$84,4,FALSE),0)+IFERROR(VLOOKUP($ML127,$AV$2:$BA$84,4,FALSE),0)+IFERROR(VLOOKUP($MM127,$AV$2:$BA$84,4,FALSE),0)+IFERROR(VLOOKUP($MN127,$AV$2:$BA$84,4,FALSE),0)</f>
        <v/>
      </c>
      <c r="NQ127" s="152">
        <f>IFERROR(VLOOKUP($MK127,$AV$2:$BA$84,6,FALSE),0)+IFERROR(VLOOKUP($ML127,$AV$2:$BA$84,6,FALSE),0)+IFERROR(VLOOKUP($MM127,$AV$2:$BA$84,6,FALSE),0)+IFERROR(VLOOKUP($MN127,$AV$2:$BA$84,6,FALSE),0)</f>
        <v/>
      </c>
      <c r="NR127" s="152">
        <f>TEXTJOIN(", ",TRUE,IF(IFERROR(VLOOKUP($MK127,$AV$2:$BA$84,5,FALSE),0)=1,$MK127,""),IF(IFERROR(VLOOKUP($ML127,$AV$2:$BA$84,5,FALSE),0)=1,$ML127,""),IF(IFERROR(VLOOKUP($MM127,$AV$2:$BA$84,5,FALSE),0)=1,$MM127,""),IF(IFERROR(VLOOKUP($MN127,$AV$2:$BA$84,5,FALSE),0)=1,$MN127,""))</f>
        <v/>
      </c>
      <c r="NS127" s="152">
        <f>IF($MW127=0,0,INDEX($Y$2:$Y$11,$MW127))</f>
        <v/>
      </c>
      <c r="NT127" s="152">
        <f>IF($MW127=0,0,INDEX($Z$2:$Z$11,$MW127))</f>
        <v/>
      </c>
      <c r="NU127" s="152">
        <f>IF($MW127=0,0,INDEX($AB$2:$AB$11,$MW127))</f>
        <v/>
      </c>
      <c r="NV127" s="152">
        <f>IFERROR(VLOOKUP($MO127,$BC$2:$BG$24,3,FALSE),0)</f>
        <v/>
      </c>
      <c r="NW127" s="152">
        <f>IFERROR(VLOOKUP($MP127,$BC$2:$BG$24,3,FALSE),0)</f>
        <v/>
      </c>
      <c r="NX127" s="152">
        <f>IFERROR(VLOOKUP($MO127,$BC$2:$BG$24,2,FALSE),"")</f>
        <v/>
      </c>
      <c r="NY127" s="152">
        <f>IFERROR(VLOOKUP($MP127,$BC$2:$BG$24,2,FALSE),"")</f>
        <v/>
      </c>
      <c r="NZ127" s="152">
        <f>COUNTIF($NF127:$NJ127,1)</f>
        <v/>
      </c>
      <c r="OA127" s="152">
        <f>COUNTIF($NF127:$NJ127,2)</f>
        <v/>
      </c>
      <c r="OB127" s="152">
        <f>COUNTIF($NF127:$NJ127,3)</f>
        <v/>
      </c>
      <c r="OC127" s="152">
        <f>COUNTIF($NF127:$NJ127,4)</f>
        <v/>
      </c>
      <c r="OD127" s="152">
        <f>COUNTIF($NF127:$NJ127,5)</f>
        <v/>
      </c>
      <c r="OE127" s="152">
        <f>COUNTIF($NF127:$NJ127,6)</f>
        <v/>
      </c>
      <c r="OF127" s="152">
        <f>COUNTIF($NV127:$NW127,1)</f>
        <v/>
      </c>
      <c r="OG127" s="152">
        <f>COUNTIF($NV127:$NW127,2)+$NS127</f>
        <v/>
      </c>
      <c r="OH127" s="152">
        <f>COUNTIF($MK127:$MN127,"?*")</f>
        <v/>
      </c>
      <c r="OI127" s="152">
        <f>COUNTIF($MO127:$MP127,"?*")+$NS127</f>
        <v/>
      </c>
      <c r="OJ127" s="152">
        <f>IF($MF127=0,0,SUMPRODUCT($NZ127:$OE127,INDEX($I$2:$N$8,MAX(1,$MF127),0)))</f>
        <v/>
      </c>
      <c r="OK127" s="152">
        <f>IF($MF127=0,0,$OF127*CEILING($MF127/2,1)+$OG127*$MF127)</f>
        <v/>
      </c>
      <c r="OL127" s="152">
        <f>MIN(2*$MF127,$OK127)</f>
        <v/>
      </c>
      <c r="OM127" s="152">
        <f>MIN($OL127,$OJ127)</f>
        <v/>
      </c>
      <c r="ON127" s="152">
        <f>$OL127-$OM127</f>
        <v/>
      </c>
      <c r="OO127" s="152">
        <f>IF($MF127=0,0,INDEX($P$2:$P$8,MAX(1,$MF127)))</f>
        <v/>
      </c>
      <c r="OP127" s="152">
        <f>$OO127-$OJ127+$OM127</f>
        <v/>
      </c>
      <c r="OQ127" s="152">
        <f>IF($MF127=0,MAX(0,$MT127-IF($OH127&gt;0,1,0)),MAX(0,$OP127))</f>
        <v/>
      </c>
      <c r="OR127" s="152">
        <f>IF($MF127=0,0,(IF(COUNTIF($MK127:$MN127,"Salto")&gt;0,1,0)+IF(COUNTIF($MK127:$MN127,"Queima")&gt;0,1,0)+IF(COUNTIF($MK127:$MN127,"Estilhaço")&gt;0,1,0))*FLOOR($OQ127/2,1))</f>
        <v/>
      </c>
      <c r="OS127" s="152">
        <f>MAX(0,2-SUMPRODUCT($NZ127:$OE127,$I$2:$N$2)+MIN(2,$OF127*1+$OG127*1,SUMPRODUCT($NZ127:$OE127,$I$2:$N$2)))</f>
        <v/>
      </c>
      <c r="OT127" s="152">
        <f>MAX(0,4-SUMPRODUCT($NZ127:$OE127,$I$3:$N$3)+MIN(4,$OF127*1+$OG127*2,SUMPRODUCT($NZ127:$OE127,$I$3:$N$3)))</f>
        <v/>
      </c>
      <c r="OU127" s="152">
        <f>MAX(0,6-SUMPRODUCT($NZ127:$OE127,$I$4:$N$4)+MIN(6,$OF127*2+$OG127*3,SUMPRODUCT($NZ127:$OE127,$I$4:$N$4)))</f>
        <v/>
      </c>
      <c r="OV127" s="152">
        <f>MAX(0,9-SUMPRODUCT($NZ127:$OE127,$I$5:$N$5)+MIN(8,$OF127*2+$OG127*4,SUMPRODUCT($NZ127:$OE127,$I$5:$N$5)))</f>
        <v/>
      </c>
      <c r="OW127" s="152">
        <f>MAX(0,11-SUMPRODUCT($NZ127:$OE127,$I$6:$N$6)+MIN(10,$OF127*3+$OG127*5,SUMPRODUCT($NZ127:$OE127,$I$6:$N$6)))</f>
        <v/>
      </c>
      <c r="OX127" s="152">
        <f>MAX(0,13-SUMPRODUCT($NZ127:$OE127,$I$7:$N$7)+MIN(12,$OF127*3+$OG127*6,SUMPRODUCT($NZ127:$OE127,$I$7:$N$7)))</f>
        <v/>
      </c>
      <c r="OY127" s="152">
        <f>MAX(0,16-SUMPRODUCT($NZ127:$OE127,$I$8:$N$8)+MIN(14,$OF127*4+$OG127*7,SUMPRODUCT($NZ127:$OE127,$I$8:$N$8)))</f>
        <v/>
      </c>
      <c r="OZ127" s="152">
        <f>IF($NT127=2,3*$OS127&amp;" de vida temp.",IF($NT127=3,"sem dano",IF($OS127=0,IF($NT127=1,"sem cura","sem dano"),IF($NT127=1,"cura ","")&amp;$OS127&amp;"d8")))</f>
        <v/>
      </c>
      <c r="PA127" s="152">
        <f>IF($NT127=2,3*$OT127&amp;" de vida temp.",IF($NT127=3,"sem dano",IF($OT127=0,IF($NT127=1,"sem cura","sem dano"),IF($NT127=1,"cura ","")&amp;$OT127&amp;"d8")))</f>
        <v/>
      </c>
      <c r="PB127" s="152">
        <f>IF($NT127=2,3*$OU127&amp;" de vida temp.",IF($NT127=3,"sem dano",IF($OU127=0,IF($NT127=1,"sem cura","sem dano"),IF($NT127=1,"cura ","")&amp;$OU127&amp;"d8")))</f>
        <v/>
      </c>
      <c r="PC127" s="152">
        <f>IF($NT127=2,3*$OV127&amp;" de vida temp.",IF($NT127=3,"sem dano",IF($OV127=0,IF($NT127=1,"sem cura","sem dano"),IF($NT127=1,"cura ","")&amp;$OV127&amp;"d8")))</f>
        <v/>
      </c>
      <c r="PD127" s="152">
        <f>IF($NT127=2,3*$OW127&amp;" de vida temp.",IF($NT127=3,"sem dano",IF($OW127=0,IF($NT127=1,"sem cura","sem dano"),IF($NT127=1,"cura ","")&amp;$OW127&amp;"d8")))</f>
        <v/>
      </c>
      <c r="PE127" s="152">
        <f>IF($NT127=2,3*$OX127&amp;" de vida temp.",IF($NT127=3,"sem dano",IF($OX127=0,IF($NT127=1,"sem cura","sem dano"),IF($NT127=1,"cura ","")&amp;$OX127&amp;"d8")))</f>
        <v/>
      </c>
      <c r="PF127" s="152">
        <f>IF($NT127=2,3*$OY127&amp;" de vida temp.",IF($NT127=3,"sem dano",IF($OY127=0,IF($NT127=1,"sem cura","sem dano"),IF($NT127=1,"cura ","")&amp;$OY127&amp;"d8")))</f>
        <v/>
      </c>
      <c r="PG127" s="152">
        <f>IF($MQ127=0,"",TEXTJOIN(" · ",TRUE,IF($MD127&gt;$MR127,"Este lugar abre no nível "&amp;$MD127,""),IF($MF127&gt;$MS127,"Classe "&amp;$MF127&amp;": o nível "&amp;$MR127&amp;" libera até a "&amp;$MS127,""),IF($NK127=1,"A Forma "&amp;$MH127&amp;" pede "&amp;INDEX($W$2:$W$11,$MW127)&amp;" aberta",""),IF(AND($MF127=0,$MW127&gt;0,IF($MW127=0,0,INDEX($AF$2:$AF$11,$MW127))=0),$MH127&amp;" não existe na Classe 0",""),IF($NL127=1,"Família Fechada: "&amp;$MK127,""),IF($NM127=1,"Família Fechada: "&amp;$ML127,""),IF($NN127=1,"Família Fechada: "&amp;$MM127,""),IF($NO127=1,"Família Fechada: "&amp;$MN127,""),IF(AND($MF127&gt;0,$OH127&gt;INDEX($O$2:$O$8,MAX(1,$MF127))),$OH127&amp;" Melhorias: a Classe "&amp;$MF127&amp;" aceita "&amp;INDEX($O$2:$O$8,MAX(1,$MF127)),""),IF(AND($MF127=0,$OH127&gt;1),"A básica aceita uma Melhoria",""),IF(AND($MF127=0,COUNTIF($NB127:$NE127,"&gt;1")&gt;0),"A básica só aceita Melhoria Leve",""),IF(AND($MF127&gt;0,$OI127&gt;2),$OI127&amp;" Restrições"&amp;IF($NS127=1,", contando a que a Forma "&amp;$MH127&amp;" já traz","")&amp;": o limite é 2",""),IF(AND($MF127=0,COUNTIF($MO127:$MP127,"?*")&gt;1),"A básica aceita uma Restrição Leve",""),IF(AND($MF127=0,COUNTIF($NV127:$NW127,2)&gt;0),"A básica só aceita Restrição Leve",""),IF(AND($MF127&gt;0,$OP127&lt;0),"Orçamento estourado: faltam "&amp;(-$OP127)&amp;IF($OP127&lt;-1," pontos"," ponto"),""),IF(IFERROR(VLOOKUP($MO127,$BC$2:$BG$24,4,FALSE),0)+IFERROR(VLOOKUP($MP127,$BC$2:$BG$24,4,FALSE),0)&gt;1,$NX127&amp;" e "&amp;$NY127&amp;" são as duas de frequência",""),IF(AND((COUNTIF($MK127:$MN127,"Rápido")+COUNTIF($NX127:$NY127,"Rápido"))&gt;0,(COUNTIF($MK127:$MN127,"Atrasar")+COUNTIF($NX127:$NY127,"Atrasar"))&gt;0),"Rápido não entra com Atrasar",""),IF(AND((COUNTIF($MK127:$MN127,"Reação")+COUNTIF($NX127:$NY127,"Reação"))&gt;0,(COUNTIF($MK127:$MN127,"Rápido")+COUNTIF($NX127:$NY127,"Rápido"))&gt;0),"Reação não entra com Rápido",""),IF(AND((COUNTIF($MK127:$MN127,"Reação")+COUNTIF($NX127:$NY127,"Reação"))&gt;0,(COUNTIF($MK127:$MN127,"Armado")+COUNTIF($NX127:$NY127,"Armado"))&gt;0),"Reação não entra com Armado",""),IF(AND((COUNTIF($MK127:$MN127,"Reação")+COUNTIF($NX127:$NY127,"Reação"))&gt;0,(COUNTIF($MK127:$MN127,"Atrasar")+COUNTIF($NX127:$NY127,"Atrasar"))&gt;0),"Reação não entra com Atrasar",""),IF(AND((COUNTIF($MK127:$MN127,"Reação")+COUNTIF($NX127:$NY127,"Reação"))&gt;0,(COUNTIF($MK127:$MN127,"Parado")+COUNTIF($NX127:$NY127,"Parado"))&gt;0),"Reação não entra com Parado",""),IF(AND((COUNTIF($MK127:$MN127,"Atrasar")+COUNTIF($NX127:$NY127,"Atrasar"))&gt;0,(COUNTIF($MK127:$MN127,"Parado")+COUNTIF($NX127:$NY127,"Parado"))&gt;0),"Atrasar não entra com Parado",""),IF(AND((COUNTIF($MK127:$MN127,"Armado")+COUNTIF($NX127:$NY127,"Armado"))&gt;0,(COUNTIF($MK127:$MN127,"Carregar")+COUNTIF($NX127:$NY127,"Carregar"))&gt;0),"Armado não entra com Carregar",""),IF(AND(COUNTIF($NX127:$NY127,"Corpo a Corpo")&gt;0,$NS127=0,OR($MH127="Cone",$MH127="Linha")),"Corpo a Corpo não entra em "&amp;$MH127,""),IF(AND(COUNTIF($NX127:$NY127,"Corpo a Corpo")&gt;0,$NS127=1),"A Forma "&amp;$MH127&amp;" já traz o Corpo a Corpo",""),IF(AND(COUNTIF($NX127:$NY127,"Tudo ou Nada")&gt;0,$NU127=0),"Tudo ou Nada só entra em habilidade de Teste de Resistência",""),IF(AND(COUNTIF($MK127:$MN127,"Inescapável")&gt;0,OR($OH127&gt;1,$OI127&gt;0)),"Inescapável não aceita outra peça",""),IF(AND($MF127&gt;0,$OQ127*IF(COUNTIF($MK127:$MN127,"Remate")&gt;0,1.25,1)+$OR127&gt;4*$MF127),($OQ127*IF(COUNTIF($MK127:$MN127,"Remate")&gt;0,1.25,1)+$OR127)&amp;" dados somando repetições"&amp;IF(COUNTIF($MK127:$MN127,"Remate")&gt;0," e o Remate","")&amp;": o teto da Classe "&amp;$MF127&amp;" é "&amp;4*$MF127,"")))</f>
        <v/>
      </c>
      <c r="PH127" s="152">
        <f>IF($PG127="",0,(LEN($PG127)-LEN(SUBSTITUTE($PG127," · ","")))/3+1)</f>
        <v/>
      </c>
      <c r="PI127" s="152">
        <f>IF($MQ127=0,"",TEXTJOIN(" · ",TRUE,IF($OK127&gt;2*$MF127,"A devolução parou no teto de "&amp;2*$MF127,""),IF($ON127&gt;0,"Devolução perdida: "&amp;$ON127&amp;IF($ON127&gt;1," pontos"," ponto")&amp;" sem peça para pagar",""),IF(AND($NP127&gt;0,AND($MF127&gt;0,$NT127=0),$OQ127=0),"Controle sem dano: uma rodada a mais e CD +2",""),IF(AND($NP127&gt;0,AND($MF127&gt;0,$NT127=0),$OQ127&gt;0,$OQ127&lt;=$MF127),"Controle com saldo até a Classe: uma rodada a mais",""),IF(AND($MF127&gt;0,$NR127&lt;&gt;""),"Efeito de "&amp;$NR127&amp;" pela Classe "&amp;MAX(1,$MF127-1),"")))</f>
        <v/>
      </c>
      <c r="PJ127" s="152">
        <f>IF($PI127="",0,(LEN($PI127)-LEN(SUBSTITUTE($PI127," · ","")))/3+1)</f>
        <v/>
      </c>
      <c r="PK127" s="152">
        <f>IF($MQ127=0,IF($OH127+COUNTIF($MO127:$MP127,"?*")&gt;0,"Dê um nome",""),IF($PH127&gt;0,"⚠ "&amp;$PH127&amp;IF($PH127&gt;1," erros"," erro"),IF($PJ127&gt;0,"! "&amp;$PJ127&amp;IF($PJ127&gt;1," avisos"," aviso"),"Na regra")))</f>
        <v/>
      </c>
      <c r="PL127" s="152">
        <f>IF($MQ127=0,"",IF($PH127+$PJ127=0,"Dentro das regras que a ficha confere",$PG127&amp;IF(AND($PH127&gt;0,$PJ127&gt;0)," · ","")&amp;$PI127))</f>
        <v/>
      </c>
      <c r="PM127" s="152">
        <f>IF($MD127&gt;$MR127,$ME127&amp;" · ABRE NO NÍVEL "&amp;$MD127,$ME127)</f>
        <v/>
      </c>
      <c r="PN127" s="152">
        <f>IF($MQ127=0,"",IF($MF127=0,"Sem PE",3*$MF127&amp;" PE"))</f>
        <v/>
      </c>
      <c r="PO127" s="152">
        <f>IF($MQ127=0,"",IF($MF127=0,"A atuação básica dela",IF(COUNTIF($NX127:$NY127,"Atrasar")&gt;0,"Sua Ação Completa",IF(COUNTIF($MK127:$MN127,"Rápido")&gt;0,"Sua Bônus",IF(COUNTIF($MK127:$MN127,"Reação")&gt;0,"Sua Reação","Sua Padrão")))&amp;" + a básica dela"&amp;IF(COUNTIF($MK127:$MN127,"Reação")&gt;0," e a coletiva","")&amp;IF(COUNTIF($NX127:$NY127,"Carregar")&gt;0," · em dois turnos","")))</f>
        <v/>
      </c>
      <c r="PP127" s="152">
        <f>IF($MJ127&lt;&gt;"",$MJ127,IF($MW127=0,"",INDEX($AA$2:$AA$11,$MW127)))</f>
        <v/>
      </c>
      <c r="PQ127" s="152">
        <f>IF(OR($MQ127=0,$MW127=0),"",IF(COUNTIF($MK127:$MN127,"Inescapável")&gt;0,"Automático",IF($PP127="Ataque",IF($MU127="","Ataque","Ataque "&amp;IF(($MU127+2*IF(COUNTIF($MK127:$MN127,"Precisão")&gt;0,1,0))&gt;=0,"+","−")&amp;ABS(($MU127+2*IF(COUNTIF($MK127:$MN127,"Precisão")&gt;0,1,0))))&amp;IF($NQ127&gt;0," · TR"&amp;IF($MV127="",""," CD "&amp;$MV127),""),IF(LEFT($PP127,2)="TR",$PP127&amp;IF($MV127="",""," · CD "&amp;$MV127)&amp;IF(COUNTIF($MK127:$MN127,"Certeiro")&gt;0," · metade",""),"Sem rolagem"))))</f>
        <v/>
      </c>
      <c r="PR127" s="152">
        <f>IF(OR($MQ127=0,$MW127=0),"",IF($MF127=0,IF(OR($NT127&gt;=1,$OQ127=0),"Sem dano",$OQ127&amp;"d6"&amp;IF($MI127="",""," "&amp;$MI127)),IF(OR($NT127&gt;=1,$OQ127=0),UPPER(LEFT(INDEX($OZ127:$PF127,1,MAX(1,$MF127)),1))&amp;MID(INDEX($OZ127:$PF127,1,MAX(1,$MF127)),2,99),UPPER(LEFT(INDEX($OZ127:$PF127,1,MAX(1,$MF127)),1))&amp;MID(INDEX($OZ127:$PF127,1,MAX(1,$MF127)),2,99)&amp;IF($MI127="",""," "&amp;$MI127)&amp;IF($OR127&gt;0," · +"&amp;$OR127&amp;"d8",""))))</f>
        <v/>
      </c>
      <c r="PS127" s="152">
        <f>COUNTIF($MK127:$MN127,"Longe")+3*COUNTIF($MK127:$MN127,"Muito Longe")</f>
        <v/>
      </c>
      <c r="PT127" s="152">
        <f>COUNTIF($MK127:$MN127,"Maior")+3*COUNTIF($MK127:$MN127,"Muito Maior")</f>
        <v/>
      </c>
      <c r="PU127" s="152">
        <f>IF($MW127=0,0,CHOOSE(1+INDEX($AC$2:$AC$11,$MW127),0,$PS127,$PT127,$PS127+$PT127))</f>
        <v/>
      </c>
      <c r="PV127" s="152">
        <f>IF($MW127=0,0,CHOOSE(1+INDEX($AD$2:$AD$11,$MW127),0,$PS127,$PT127,$PS127+$PT127))</f>
        <v/>
      </c>
      <c r="PW127" s="152">
        <f>IF(OR($MQ127=0,$MW127=0),"",INDEX($AI$2:$AN$41,($MW127-1)*4+IF($MF127=0,1,IF($MF127&lt;=5,2,IF($MF127=6,3,4))),1+MIN(5,$PU127))&amp;INDEX($AO$2:$AT$41,($MW127-1)*4+IF($MF127=0,1,IF($MF127&lt;=5,2,IF($MF127=6,3,4))),1+MIN(5,$PV127))&amp;IF(INDEX($AE$2:$AE$11,$MW127)=1,IF(COUNTIF($MK127:$MN127,"Mais Um")&gt;0," · +"&amp;COUNTIF($MK127:$MN127,"Mais Um")&amp;IF(COUNTIF($MK127:$MN127,"Mais Um")&gt;1," alvos"," alvo"),"")&amp;IF(COUNTIF($MK127:$MN127,"Rajada")&gt;0,IF($MF127=0," · 1 tiro"," · "&amp;(MAX(1,$MF127-1)+1)&amp;" tiros"),""),""))</f>
        <v/>
      </c>
      <c r="PX127" s="152">
        <f>IF($MQ127=0,"",IF($MF127=0,$MT127&amp;"d6"&amp;IF($OH127&gt;0," − 1 = "&amp;$OQ127&amp;"d6"," da básica do nível "&amp;$MR127),$OO127&amp;" − "&amp;$OJ127&amp;" + "&amp;$OM127&amp;" = "&amp;$OP127&amp;" · teto "&amp;4*$MF127&amp;"d8"&amp;IF($NS127=1," · a Forma devolve "&amp;$MF127,"")&amp;IF($ON127&gt;0," · perde "&amp;$ON127,"")))</f>
        <v/>
      </c>
      <c r="PY127" s="152">
        <f>IF($MQ127=0,"",IF($MF127=0,"A básica não amplia: os dados dela sobem com o nível",IF($MF127&gt;=$MS127,"Já está na maior Classe que o nível liberou",TEXTJOIN(" · ",TRUE,IF(AND(2&gt;$MF127,2&lt;=$MS127),"2 → "&amp;$PA127&amp;", 6 PE",""),IF(AND(3&gt;$MF127,3&lt;=$MS127),"3 → "&amp;$PB127&amp;", 9 PE",""),IF(AND(4&gt;$MF127,4&lt;=$MS127),"4 → "&amp;$PC127&amp;", 12 PE",""),IF(AND(5&gt;$MF127,5&lt;=$MS127),"5 → "&amp;$PD127&amp;", 15 PE",""),IF(AND(6&gt;$MF127,6&lt;=$MS127),"6 → "&amp;$PE127&amp;", 18 PE",""),IF(AND(7&gt;$MF127,7&lt;=$MS127),"7 → "&amp;$PF127&amp;", 21 PE","")))))</f>
        <v/>
      </c>
      <c r="PZ127" s="152">
        <f>IF(OR($MQ127=0,$NB127=0),"",IF($MF127=0,"−1 dado","−"&amp;INDEX($I$2:$N$8,MAX(1,$MF127),MAX(1,$NG127))&amp;" · "&amp;CHOOSE(MAX(1,$NG127),"Leve","Média","Pesada","Leve · Livre","Média · Livre","Pesada · Livre")))</f>
        <v/>
      </c>
      <c r="QA127" s="152">
        <f>IF(OR($MQ127=0,$NC127=0),"",IF($MF127=0,"−1 dado","−"&amp;INDEX($I$2:$N$8,MAX(1,$MF127),MAX(1,$NH127))&amp;" · "&amp;CHOOSE(MAX(1,$NH127),"Leve","Média","Pesada","Leve · Livre","Média · Livre","Pesada · Livre")))</f>
        <v/>
      </c>
      <c r="QB127" s="152">
        <f>IF(OR($MQ127=0,$ND127=0),"",IF($MF127=0,"−1 dado","−"&amp;INDEX($I$2:$N$8,MAX(1,$MF127),MAX(1,$NI127))&amp;" · "&amp;CHOOSE(MAX(1,$NI127),"Leve","Média","Pesada","Leve · Livre","Média · Livre","Pesada · Livre")))</f>
        <v/>
      </c>
      <c r="QC127" s="152">
        <f>IF(OR($MQ127=0,$NE127=0),"",IF($MF127=0,"−1 dado","−"&amp;INDEX($I$2:$N$8,MAX(1,$MF127),MAX(1,$NJ127))&amp;" · "&amp;CHOOSE(MAX(1,$NJ127),"Leve","Média","Pesada","Leve · Livre","Média · Livre","Pesada · Livre")))</f>
        <v/>
      </c>
      <c r="QD127" s="152">
        <f>IF(OR($MQ127=0,$MO127=""),"",IF($MF127=0,"não devolve","+"&amp;IF($NV127=1,CEILING($MF127/2,1),$MF127)))</f>
        <v/>
      </c>
      <c r="QE127" s="152">
        <f>IF(OR($MQ127=0,$MP127=""),"",IF($MF127=0,"não devolve","+"&amp;IF($NW127=1,CEILING($MF127/2,1),$MF127)))</f>
        <v/>
      </c>
    </row>
    <row r="128">
      <c r="MA128" s="150" t="inlineStr">
        <is>
          <t>Ficha 10 · Especial 8</t>
        </is>
      </c>
      <c r="MB128" s="152" t="n">
        <v>10</v>
      </c>
      <c r="MC128" s="152" t="n">
        <v>1</v>
      </c>
      <c r="MD128" s="152" t="n">
        <v>28</v>
      </c>
      <c r="ME128" s="150" t="inlineStr">
        <is>
          <t>ESPECIAL 8</t>
        </is>
      </c>
      <c r="MF128" s="152">
        <f>MAX(1,MIN(7,N('INVOCAÇÕES'!$AB$730)))</f>
        <v/>
      </c>
      <c r="MG128" s="152">
        <f>'INVOCAÇÕES'!$AC$730&amp;""</f>
        <v/>
      </c>
      <c r="MH128" s="152">
        <f>'INVOCAÇÕES'!$AB$735&amp;""</f>
        <v/>
      </c>
      <c r="MI128" s="152">
        <f>'INVOCAÇÕES'!$AB$736&amp;""</f>
        <v/>
      </c>
      <c r="MJ128" s="152">
        <f>'INVOCAÇÕES'!$AD$736&amp;""</f>
        <v/>
      </c>
      <c r="MK128" s="152">
        <f>'INVOCAÇÕES'!$AC$739&amp;""</f>
        <v/>
      </c>
      <c r="ML128" s="152">
        <f>'INVOCAÇÕES'!$AC$740&amp;""</f>
        <v/>
      </c>
      <c r="MM128" s="152">
        <f>'INVOCAÇÕES'!$AC$741&amp;""</f>
        <v/>
      </c>
      <c r="MN128" s="152">
        <f>'INVOCAÇÕES'!$AC$742&amp;""</f>
        <v/>
      </c>
      <c r="MO128" s="152">
        <f>'INVOCAÇÕES'!$AC$743&amp;""</f>
        <v/>
      </c>
      <c r="MP128" s="152">
        <f>'INVOCAÇÕES'!$AC$744&amp;""</f>
        <v/>
      </c>
      <c r="MQ128" s="152">
        <f>IF($MG128&lt;&gt;"",1,0)</f>
        <v/>
      </c>
      <c r="MR128" s="152">
        <f>INDEX($FI$2:$FI$13,$MB128)</f>
        <v/>
      </c>
      <c r="MS128" s="152">
        <f>INDEX($FJ$2:$FJ$13,$MB128)</f>
        <v/>
      </c>
      <c r="MT128" s="152">
        <f>INDEX($FK$2:$FK$13,$MB128)</f>
        <v/>
      </c>
      <c r="MU128" s="152">
        <f>INDEX($FV$2:$FV$13,$MB128)</f>
        <v/>
      </c>
      <c r="MV128" s="152">
        <f>INDEX($FW$2:$FW$13,$MB128)</f>
        <v/>
      </c>
      <c r="MW128" s="152">
        <f>IFERROR(MATCH($MH128,$V$2:$V$11,0),0)</f>
        <v/>
      </c>
      <c r="MX128" s="152">
        <f>IFERROR(VLOOKUP($MK128,$AV$2:$BA$84,2,FALSE),"")</f>
        <v/>
      </c>
      <c r="MY128" s="152">
        <f>IFERROR(VLOOKUP($ML128,$AV$2:$BA$84,2,FALSE),"")</f>
        <v/>
      </c>
      <c r="MZ128" s="152">
        <f>IFERROR(VLOOKUP($MM128,$AV$2:$BA$84,2,FALSE),"")</f>
        <v/>
      </c>
      <c r="NA128" s="152">
        <f>IFERROR(VLOOKUP($MN128,$AV$2:$BA$84,2,FALSE),"")</f>
        <v/>
      </c>
      <c r="NB128" s="152">
        <f>IFERROR(VLOOKUP($MK128,$AV$2:$BA$84,3,FALSE),0)</f>
        <v/>
      </c>
      <c r="NC128" s="152">
        <f>IFERROR(VLOOKUP($ML128,$AV$2:$BA$84,3,FALSE),0)</f>
        <v/>
      </c>
      <c r="ND128" s="152">
        <f>IFERROR(VLOOKUP($MM128,$AV$2:$BA$84,3,FALSE),0)</f>
        <v/>
      </c>
      <c r="NE128" s="152">
        <f>IFERROR(VLOOKUP($MN128,$AV$2:$BA$84,3,FALSE),0)</f>
        <v/>
      </c>
      <c r="NF128" s="152">
        <f>IF($MF128=0,0,IF($MW128=0,0,INDEX($X$2:$X$11,$MW128)))</f>
        <v/>
      </c>
      <c r="NG128" s="152">
        <f>IF(OR($NB128=0,$MF128=0),0,$NB128+3*IF(AND($MX128&lt;&gt;"",OR($MX128=INDEX($EF$2:$EF$13,$MB128),$MX128=INDEX($EG$2:$EG$13,$MB128))),1,0))</f>
        <v/>
      </c>
      <c r="NH128" s="152">
        <f>IF(OR($NC128=0,$MF128=0),0,$NC128+3*IF(AND($MY128&lt;&gt;"",OR($MY128=INDEX($EF$2:$EF$13,$MB128),$MY128=INDEX($EG$2:$EG$13,$MB128))),1,0))</f>
        <v/>
      </c>
      <c r="NI128" s="152">
        <f>IF(OR($ND128=0,$MF128=0),0,$ND128+3*IF(AND($MZ128&lt;&gt;"",OR($MZ128=INDEX($EF$2:$EF$13,$MB128),$MZ128=INDEX($EG$2:$EG$13,$MB128))),1,0))</f>
        <v/>
      </c>
      <c r="NJ128" s="152">
        <f>IF(OR($NE128=0,$MF128=0),0,$NE128+3*IF(AND($NA128&lt;&gt;"",OR($NA128=INDEX($EF$2:$EF$13,$MB128),$NA128=INDEX($EG$2:$EG$13,$MB128))),1,0))</f>
        <v/>
      </c>
      <c r="NK128" s="152">
        <f>IF($MW128=0,0,IF(INDEX($W$2:$W$11,$MW128)="",0,IF(COUNTIF(INDEX($EF$2:$EJ$13,$MB128,0),INDEX($W$2:$W$11,$MW128))=0,1,0)))</f>
        <v/>
      </c>
      <c r="NL128" s="152">
        <f>IF(OR($NB128=0,$MX128=""),0,IF(COUNTIF(INDEX($EF$2:$EJ$13,$MB128,0),$MX128)=0,1,0))</f>
        <v/>
      </c>
      <c r="NM128" s="152">
        <f>IF(OR($NC128=0,$MY128=""),0,IF(COUNTIF(INDEX($EF$2:$EJ$13,$MB128,0),$MY128)=0,1,0))</f>
        <v/>
      </c>
      <c r="NN128" s="152">
        <f>IF(OR($ND128=0,$MZ128=""),0,IF(COUNTIF(INDEX($EF$2:$EJ$13,$MB128,0),$MZ128)=0,1,0))</f>
        <v/>
      </c>
      <c r="NO128" s="152">
        <f>IF(OR($NE128=0,$NA128=""),0,IF(COUNTIF(INDEX($EF$2:$EJ$13,$MB128,0),$NA128)=0,1,0))</f>
        <v/>
      </c>
      <c r="NP128" s="152">
        <f>IFERROR(VLOOKUP($MK128,$AV$2:$BA$84,4,FALSE),0)+IFERROR(VLOOKUP($ML128,$AV$2:$BA$84,4,FALSE),0)+IFERROR(VLOOKUP($MM128,$AV$2:$BA$84,4,FALSE),0)+IFERROR(VLOOKUP($MN128,$AV$2:$BA$84,4,FALSE),0)</f>
        <v/>
      </c>
      <c r="NQ128" s="152">
        <f>IFERROR(VLOOKUP($MK128,$AV$2:$BA$84,6,FALSE),0)+IFERROR(VLOOKUP($ML128,$AV$2:$BA$84,6,FALSE),0)+IFERROR(VLOOKUP($MM128,$AV$2:$BA$84,6,FALSE),0)+IFERROR(VLOOKUP($MN128,$AV$2:$BA$84,6,FALSE),0)</f>
        <v/>
      </c>
      <c r="NR128" s="152">
        <f>TEXTJOIN(", ",TRUE,IF(IFERROR(VLOOKUP($MK128,$AV$2:$BA$84,5,FALSE),0)=1,$MK128,""),IF(IFERROR(VLOOKUP($ML128,$AV$2:$BA$84,5,FALSE),0)=1,$ML128,""),IF(IFERROR(VLOOKUP($MM128,$AV$2:$BA$84,5,FALSE),0)=1,$MM128,""),IF(IFERROR(VLOOKUP($MN128,$AV$2:$BA$84,5,FALSE),0)=1,$MN128,""))</f>
        <v/>
      </c>
      <c r="NS128" s="152">
        <f>IF($MW128=0,0,INDEX($Y$2:$Y$11,$MW128))</f>
        <v/>
      </c>
      <c r="NT128" s="152">
        <f>IF($MW128=0,0,INDEX($Z$2:$Z$11,$MW128))</f>
        <v/>
      </c>
      <c r="NU128" s="152">
        <f>IF($MW128=0,0,INDEX($AB$2:$AB$11,$MW128))</f>
        <v/>
      </c>
      <c r="NV128" s="152">
        <f>IFERROR(VLOOKUP($MO128,$BC$2:$BG$24,3,FALSE),0)</f>
        <v/>
      </c>
      <c r="NW128" s="152">
        <f>IFERROR(VLOOKUP($MP128,$BC$2:$BG$24,3,FALSE),0)</f>
        <v/>
      </c>
      <c r="NX128" s="152">
        <f>IFERROR(VLOOKUP($MO128,$BC$2:$BG$24,2,FALSE),"")</f>
        <v/>
      </c>
      <c r="NY128" s="152">
        <f>IFERROR(VLOOKUP($MP128,$BC$2:$BG$24,2,FALSE),"")</f>
        <v/>
      </c>
      <c r="NZ128" s="152">
        <f>COUNTIF($NF128:$NJ128,1)</f>
        <v/>
      </c>
      <c r="OA128" s="152">
        <f>COUNTIF($NF128:$NJ128,2)</f>
        <v/>
      </c>
      <c r="OB128" s="152">
        <f>COUNTIF($NF128:$NJ128,3)</f>
        <v/>
      </c>
      <c r="OC128" s="152">
        <f>COUNTIF($NF128:$NJ128,4)</f>
        <v/>
      </c>
      <c r="OD128" s="152">
        <f>COUNTIF($NF128:$NJ128,5)</f>
        <v/>
      </c>
      <c r="OE128" s="152">
        <f>COUNTIF($NF128:$NJ128,6)</f>
        <v/>
      </c>
      <c r="OF128" s="152">
        <f>COUNTIF($NV128:$NW128,1)</f>
        <v/>
      </c>
      <c r="OG128" s="152">
        <f>COUNTIF($NV128:$NW128,2)+$NS128</f>
        <v/>
      </c>
      <c r="OH128" s="152">
        <f>COUNTIF($MK128:$MN128,"?*")</f>
        <v/>
      </c>
      <c r="OI128" s="152">
        <f>COUNTIF($MO128:$MP128,"?*")+$NS128</f>
        <v/>
      </c>
      <c r="OJ128" s="152">
        <f>IF($MF128=0,0,SUMPRODUCT($NZ128:$OE128,INDEX($I$2:$N$8,MAX(1,$MF128),0)))</f>
        <v/>
      </c>
      <c r="OK128" s="152">
        <f>IF($MF128=0,0,$OF128*CEILING($MF128/2,1)+$OG128*$MF128)</f>
        <v/>
      </c>
      <c r="OL128" s="152">
        <f>MIN(2*$MF128,$OK128)</f>
        <v/>
      </c>
      <c r="OM128" s="152">
        <f>MIN($OL128,$OJ128)</f>
        <v/>
      </c>
      <c r="ON128" s="152">
        <f>$OL128-$OM128</f>
        <v/>
      </c>
      <c r="OO128" s="152">
        <f>IF($MF128=0,0,INDEX($P$2:$P$8,MAX(1,$MF128)))</f>
        <v/>
      </c>
      <c r="OP128" s="152">
        <f>$OO128-$OJ128+$OM128</f>
        <v/>
      </c>
      <c r="OQ128" s="152">
        <f>IF($MF128=0,MAX(0,$MT128-IF($OH128&gt;0,1,0)),MAX(0,$OP128))</f>
        <v/>
      </c>
      <c r="OR128" s="152">
        <f>IF($MF128=0,0,(IF(COUNTIF($MK128:$MN128,"Salto")&gt;0,1,0)+IF(COUNTIF($MK128:$MN128,"Queima")&gt;0,1,0)+IF(COUNTIF($MK128:$MN128,"Estilhaço")&gt;0,1,0))*FLOOR($OQ128/2,1))</f>
        <v/>
      </c>
      <c r="OS128" s="152">
        <f>MAX(0,2-SUMPRODUCT($NZ128:$OE128,$I$2:$N$2)+MIN(2,$OF128*1+$OG128*1,SUMPRODUCT($NZ128:$OE128,$I$2:$N$2)))</f>
        <v/>
      </c>
      <c r="OT128" s="152">
        <f>MAX(0,4-SUMPRODUCT($NZ128:$OE128,$I$3:$N$3)+MIN(4,$OF128*1+$OG128*2,SUMPRODUCT($NZ128:$OE128,$I$3:$N$3)))</f>
        <v/>
      </c>
      <c r="OU128" s="152">
        <f>MAX(0,6-SUMPRODUCT($NZ128:$OE128,$I$4:$N$4)+MIN(6,$OF128*2+$OG128*3,SUMPRODUCT($NZ128:$OE128,$I$4:$N$4)))</f>
        <v/>
      </c>
      <c r="OV128" s="152">
        <f>MAX(0,9-SUMPRODUCT($NZ128:$OE128,$I$5:$N$5)+MIN(8,$OF128*2+$OG128*4,SUMPRODUCT($NZ128:$OE128,$I$5:$N$5)))</f>
        <v/>
      </c>
      <c r="OW128" s="152">
        <f>MAX(0,11-SUMPRODUCT($NZ128:$OE128,$I$6:$N$6)+MIN(10,$OF128*3+$OG128*5,SUMPRODUCT($NZ128:$OE128,$I$6:$N$6)))</f>
        <v/>
      </c>
      <c r="OX128" s="152">
        <f>MAX(0,13-SUMPRODUCT($NZ128:$OE128,$I$7:$N$7)+MIN(12,$OF128*3+$OG128*6,SUMPRODUCT($NZ128:$OE128,$I$7:$N$7)))</f>
        <v/>
      </c>
      <c r="OY128" s="152">
        <f>MAX(0,16-SUMPRODUCT($NZ128:$OE128,$I$8:$N$8)+MIN(14,$OF128*4+$OG128*7,SUMPRODUCT($NZ128:$OE128,$I$8:$N$8)))</f>
        <v/>
      </c>
      <c r="OZ128" s="152">
        <f>IF($NT128=2,3*$OS128&amp;" de vida temp.",IF($NT128=3,"sem dano",IF($OS128=0,IF($NT128=1,"sem cura","sem dano"),IF($NT128=1,"cura ","")&amp;$OS128&amp;"d8")))</f>
        <v/>
      </c>
      <c r="PA128" s="152">
        <f>IF($NT128=2,3*$OT128&amp;" de vida temp.",IF($NT128=3,"sem dano",IF($OT128=0,IF($NT128=1,"sem cura","sem dano"),IF($NT128=1,"cura ","")&amp;$OT128&amp;"d8")))</f>
        <v/>
      </c>
      <c r="PB128" s="152">
        <f>IF($NT128=2,3*$OU128&amp;" de vida temp.",IF($NT128=3,"sem dano",IF($OU128=0,IF($NT128=1,"sem cura","sem dano"),IF($NT128=1,"cura ","")&amp;$OU128&amp;"d8")))</f>
        <v/>
      </c>
      <c r="PC128" s="152">
        <f>IF($NT128=2,3*$OV128&amp;" de vida temp.",IF($NT128=3,"sem dano",IF($OV128=0,IF($NT128=1,"sem cura","sem dano"),IF($NT128=1,"cura ","")&amp;$OV128&amp;"d8")))</f>
        <v/>
      </c>
      <c r="PD128" s="152">
        <f>IF($NT128=2,3*$OW128&amp;" de vida temp.",IF($NT128=3,"sem dano",IF($OW128=0,IF($NT128=1,"sem cura","sem dano"),IF($NT128=1,"cura ","")&amp;$OW128&amp;"d8")))</f>
        <v/>
      </c>
      <c r="PE128" s="152">
        <f>IF($NT128=2,3*$OX128&amp;" de vida temp.",IF($NT128=3,"sem dano",IF($OX128=0,IF($NT128=1,"sem cura","sem dano"),IF($NT128=1,"cura ","")&amp;$OX128&amp;"d8")))</f>
        <v/>
      </c>
      <c r="PF128" s="152">
        <f>IF($NT128=2,3*$OY128&amp;" de vida temp.",IF($NT128=3,"sem dano",IF($OY128=0,IF($NT128=1,"sem cura","sem dano"),IF($NT128=1,"cura ","")&amp;$OY128&amp;"d8")))</f>
        <v/>
      </c>
      <c r="PG128" s="152">
        <f>IF($MQ128=0,"",TEXTJOIN(" · ",TRUE,IF($MD128&gt;$MR128,"Este lugar abre no nível "&amp;$MD128,""),IF($MF128&gt;$MS128,"Classe "&amp;$MF128&amp;": o nível "&amp;$MR128&amp;" libera até a "&amp;$MS128,""),IF($NK128=1,"A Forma "&amp;$MH128&amp;" pede "&amp;INDEX($W$2:$W$11,$MW128)&amp;" aberta",""),IF(AND($MF128=0,$MW128&gt;0,IF($MW128=0,0,INDEX($AF$2:$AF$11,$MW128))=0),$MH128&amp;" não existe na Classe 0",""),IF($NL128=1,"Família Fechada: "&amp;$MK128,""),IF($NM128=1,"Família Fechada: "&amp;$ML128,""),IF($NN128=1,"Família Fechada: "&amp;$MM128,""),IF($NO128=1,"Família Fechada: "&amp;$MN128,""),IF(AND($MF128&gt;0,$OH128&gt;INDEX($O$2:$O$8,MAX(1,$MF128))),$OH128&amp;" Melhorias: a Classe "&amp;$MF128&amp;" aceita "&amp;INDEX($O$2:$O$8,MAX(1,$MF128)),""),IF(AND($MF128=0,$OH128&gt;1),"A básica aceita uma Melhoria",""),IF(AND($MF128=0,COUNTIF($NB128:$NE128,"&gt;1")&gt;0),"A básica só aceita Melhoria Leve",""),IF(AND($MF128&gt;0,$OI128&gt;2),$OI128&amp;" Restrições"&amp;IF($NS128=1,", contando a que a Forma "&amp;$MH128&amp;" já traz","")&amp;": o limite é 2",""),IF(AND($MF128=0,COUNTIF($MO128:$MP128,"?*")&gt;1),"A básica aceita uma Restrição Leve",""),IF(AND($MF128=0,COUNTIF($NV128:$NW128,2)&gt;0),"A básica só aceita Restrição Leve",""),IF(AND($MF128&gt;0,$OP128&lt;0),"Orçamento estourado: faltam "&amp;(-$OP128)&amp;IF($OP128&lt;-1," pontos"," ponto"),""),IF(IFERROR(VLOOKUP($MO128,$BC$2:$BG$24,4,FALSE),0)+IFERROR(VLOOKUP($MP128,$BC$2:$BG$24,4,FALSE),0)&gt;1,$NX128&amp;" e "&amp;$NY128&amp;" são as duas de frequência",""),IF(AND((COUNTIF($MK128:$MN128,"Rápido")+COUNTIF($NX128:$NY128,"Rápido"))&gt;0,(COUNTIF($MK128:$MN128,"Atrasar")+COUNTIF($NX128:$NY128,"Atrasar"))&gt;0),"Rápido não entra com Atrasar",""),IF(AND((COUNTIF($MK128:$MN128,"Reação")+COUNTIF($NX128:$NY128,"Reação"))&gt;0,(COUNTIF($MK128:$MN128,"Rápido")+COUNTIF($NX128:$NY128,"Rápido"))&gt;0),"Reação não entra com Rápido",""),IF(AND((COUNTIF($MK128:$MN128,"Reação")+COUNTIF($NX128:$NY128,"Reação"))&gt;0,(COUNTIF($MK128:$MN128,"Armado")+COUNTIF($NX128:$NY128,"Armado"))&gt;0),"Reação não entra com Armado",""),IF(AND((COUNTIF($MK128:$MN128,"Reação")+COUNTIF($NX128:$NY128,"Reação"))&gt;0,(COUNTIF($MK128:$MN128,"Atrasar")+COUNTIF($NX128:$NY128,"Atrasar"))&gt;0),"Reação não entra com Atrasar",""),IF(AND((COUNTIF($MK128:$MN128,"Reação")+COUNTIF($NX128:$NY128,"Reação"))&gt;0,(COUNTIF($MK128:$MN128,"Parado")+COUNTIF($NX128:$NY128,"Parado"))&gt;0),"Reação não entra com Parado",""),IF(AND((COUNTIF($MK128:$MN128,"Atrasar")+COUNTIF($NX128:$NY128,"Atrasar"))&gt;0,(COUNTIF($MK128:$MN128,"Parado")+COUNTIF($NX128:$NY128,"Parado"))&gt;0),"Atrasar não entra com Parado",""),IF(AND((COUNTIF($MK128:$MN128,"Armado")+COUNTIF($NX128:$NY128,"Armado"))&gt;0,(COUNTIF($MK128:$MN128,"Carregar")+COUNTIF($NX128:$NY128,"Carregar"))&gt;0),"Armado não entra com Carregar",""),IF(AND(COUNTIF($NX128:$NY128,"Corpo a Corpo")&gt;0,$NS128=0,OR($MH128="Cone",$MH128="Linha")),"Corpo a Corpo não entra em "&amp;$MH128,""),IF(AND(COUNTIF($NX128:$NY128,"Corpo a Corpo")&gt;0,$NS128=1),"A Forma "&amp;$MH128&amp;" já traz o Corpo a Corpo",""),IF(AND(COUNTIF($NX128:$NY128,"Tudo ou Nada")&gt;0,$NU128=0),"Tudo ou Nada só entra em habilidade de Teste de Resistência",""),IF(AND(COUNTIF($MK128:$MN128,"Inescapável")&gt;0,OR($OH128&gt;1,$OI128&gt;0)),"Inescapável não aceita outra peça",""),IF(AND($MF128&gt;0,$OQ128*IF(COUNTIF($MK128:$MN128,"Remate")&gt;0,1.25,1)+$OR128&gt;4*$MF128),($OQ128*IF(COUNTIF($MK128:$MN128,"Remate")&gt;0,1.25,1)+$OR128)&amp;" dados somando repetições"&amp;IF(COUNTIF($MK128:$MN128,"Remate")&gt;0," e o Remate","")&amp;": o teto da Classe "&amp;$MF128&amp;" é "&amp;4*$MF128,"")))</f>
        <v/>
      </c>
      <c r="PH128" s="152">
        <f>IF($PG128="",0,(LEN($PG128)-LEN(SUBSTITUTE($PG128," · ","")))/3+1)</f>
        <v/>
      </c>
      <c r="PI128" s="152">
        <f>IF($MQ128=0,"",TEXTJOIN(" · ",TRUE,IF($OK128&gt;2*$MF128,"A devolução parou no teto de "&amp;2*$MF128,""),IF($ON128&gt;0,"Devolução perdida: "&amp;$ON128&amp;IF($ON128&gt;1," pontos"," ponto")&amp;" sem peça para pagar",""),IF(AND($NP128&gt;0,AND($MF128&gt;0,$NT128=0),$OQ128=0),"Controle sem dano: uma rodada a mais e CD +2",""),IF(AND($NP128&gt;0,AND($MF128&gt;0,$NT128=0),$OQ128&gt;0,$OQ128&lt;=$MF128),"Controle com saldo até a Classe: uma rodada a mais",""),IF(AND($MF128&gt;0,$NR128&lt;&gt;""),"Efeito de "&amp;$NR128&amp;" pela Classe "&amp;MAX(1,$MF128-1),"")))</f>
        <v/>
      </c>
      <c r="PJ128" s="152">
        <f>IF($PI128="",0,(LEN($PI128)-LEN(SUBSTITUTE($PI128," · ","")))/3+1)</f>
        <v/>
      </c>
      <c r="PK128" s="152">
        <f>IF($MQ128=0,IF($OH128+COUNTIF($MO128:$MP128,"?*")&gt;0,"Dê um nome",""),IF($PH128&gt;0,"⚠ "&amp;$PH128&amp;IF($PH128&gt;1," erros"," erro"),IF($PJ128&gt;0,"! "&amp;$PJ128&amp;IF($PJ128&gt;1," avisos"," aviso"),"Na regra")))</f>
        <v/>
      </c>
      <c r="PL128" s="152">
        <f>IF($MQ128=0,"",IF($PH128+$PJ128=0,"Dentro das regras que a ficha confere",$PG128&amp;IF(AND($PH128&gt;0,$PJ128&gt;0)," · ","")&amp;$PI128))</f>
        <v/>
      </c>
      <c r="PM128" s="152">
        <f>IF($MD128&gt;$MR128,$ME128&amp;" · ABRE NO NÍVEL "&amp;$MD128,$ME128)</f>
        <v/>
      </c>
      <c r="PN128" s="152">
        <f>IF($MQ128=0,"",IF($MF128=0,"Sem PE",3*$MF128&amp;" PE"))</f>
        <v/>
      </c>
      <c r="PO128" s="152">
        <f>IF($MQ128=0,"",IF($MF128=0,"A atuação básica dela",IF(COUNTIF($NX128:$NY128,"Atrasar")&gt;0,"Sua Ação Completa",IF(COUNTIF($MK128:$MN128,"Rápido")&gt;0,"Sua Bônus",IF(COUNTIF($MK128:$MN128,"Reação")&gt;0,"Sua Reação","Sua Padrão")))&amp;" + a básica dela"&amp;IF(COUNTIF($MK128:$MN128,"Reação")&gt;0," e a coletiva","")&amp;IF(COUNTIF($NX128:$NY128,"Carregar")&gt;0," · em dois turnos","")))</f>
        <v/>
      </c>
      <c r="PP128" s="152">
        <f>IF($MJ128&lt;&gt;"",$MJ128,IF($MW128=0,"",INDEX($AA$2:$AA$11,$MW128)))</f>
        <v/>
      </c>
      <c r="PQ128" s="152">
        <f>IF(OR($MQ128=0,$MW128=0),"",IF(COUNTIF($MK128:$MN128,"Inescapável")&gt;0,"Automático",IF($PP128="Ataque",IF($MU128="","Ataque","Ataque "&amp;IF(($MU128+2*IF(COUNTIF($MK128:$MN128,"Precisão")&gt;0,1,0))&gt;=0,"+","−")&amp;ABS(($MU128+2*IF(COUNTIF($MK128:$MN128,"Precisão")&gt;0,1,0))))&amp;IF($NQ128&gt;0," · TR"&amp;IF($MV128="",""," CD "&amp;$MV128),""),IF(LEFT($PP128,2)="TR",$PP128&amp;IF($MV128="",""," · CD "&amp;$MV128)&amp;IF(COUNTIF($MK128:$MN128,"Certeiro")&gt;0," · metade",""),"Sem rolagem"))))</f>
        <v/>
      </c>
      <c r="PR128" s="152">
        <f>IF(OR($MQ128=0,$MW128=0),"",IF($MF128=0,IF(OR($NT128&gt;=1,$OQ128=0),"Sem dano",$OQ128&amp;"d6"&amp;IF($MI128="",""," "&amp;$MI128)),IF(OR($NT128&gt;=1,$OQ128=0),UPPER(LEFT(INDEX($OZ128:$PF128,1,MAX(1,$MF128)),1))&amp;MID(INDEX($OZ128:$PF128,1,MAX(1,$MF128)),2,99),UPPER(LEFT(INDEX($OZ128:$PF128,1,MAX(1,$MF128)),1))&amp;MID(INDEX($OZ128:$PF128,1,MAX(1,$MF128)),2,99)&amp;IF($MI128="",""," "&amp;$MI128)&amp;IF($OR128&gt;0," · +"&amp;$OR128&amp;"d8",""))))</f>
        <v/>
      </c>
      <c r="PS128" s="152">
        <f>COUNTIF($MK128:$MN128,"Longe")+3*COUNTIF($MK128:$MN128,"Muito Longe")</f>
        <v/>
      </c>
      <c r="PT128" s="152">
        <f>COUNTIF($MK128:$MN128,"Maior")+3*COUNTIF($MK128:$MN128,"Muito Maior")</f>
        <v/>
      </c>
      <c r="PU128" s="152">
        <f>IF($MW128=0,0,CHOOSE(1+INDEX($AC$2:$AC$11,$MW128),0,$PS128,$PT128,$PS128+$PT128))</f>
        <v/>
      </c>
      <c r="PV128" s="152">
        <f>IF($MW128=0,0,CHOOSE(1+INDEX($AD$2:$AD$11,$MW128),0,$PS128,$PT128,$PS128+$PT128))</f>
        <v/>
      </c>
      <c r="PW128" s="152">
        <f>IF(OR($MQ128=0,$MW128=0),"",INDEX($AI$2:$AN$41,($MW128-1)*4+IF($MF128=0,1,IF($MF128&lt;=5,2,IF($MF128=6,3,4))),1+MIN(5,$PU128))&amp;INDEX($AO$2:$AT$41,($MW128-1)*4+IF($MF128=0,1,IF($MF128&lt;=5,2,IF($MF128=6,3,4))),1+MIN(5,$PV128))&amp;IF(INDEX($AE$2:$AE$11,$MW128)=1,IF(COUNTIF($MK128:$MN128,"Mais Um")&gt;0," · +"&amp;COUNTIF($MK128:$MN128,"Mais Um")&amp;IF(COUNTIF($MK128:$MN128,"Mais Um")&gt;1," alvos"," alvo"),"")&amp;IF(COUNTIF($MK128:$MN128,"Rajada")&gt;0,IF($MF128=0," · 1 tiro"," · "&amp;(MAX(1,$MF128-1)+1)&amp;" tiros"),""),""))</f>
        <v/>
      </c>
      <c r="PX128" s="152">
        <f>IF($MQ128=0,"",IF($MF128=0,$MT128&amp;"d6"&amp;IF($OH128&gt;0," − 1 = "&amp;$OQ128&amp;"d6"," da básica do nível "&amp;$MR128),$OO128&amp;" − "&amp;$OJ128&amp;" + "&amp;$OM128&amp;" = "&amp;$OP128&amp;" · teto "&amp;4*$MF128&amp;"d8"&amp;IF($NS128=1," · a Forma devolve "&amp;$MF128,"")&amp;IF($ON128&gt;0," · perde "&amp;$ON128,"")))</f>
        <v/>
      </c>
      <c r="PY128" s="152">
        <f>IF($MQ128=0,"",IF($MF128=0,"A básica não amplia: os dados dela sobem com o nível",IF($MF128&gt;=$MS128,"Já está na maior Classe que o nível liberou",TEXTJOIN(" · ",TRUE,IF(AND(2&gt;$MF128,2&lt;=$MS128),"2 → "&amp;$PA128&amp;", 6 PE",""),IF(AND(3&gt;$MF128,3&lt;=$MS128),"3 → "&amp;$PB128&amp;", 9 PE",""),IF(AND(4&gt;$MF128,4&lt;=$MS128),"4 → "&amp;$PC128&amp;", 12 PE",""),IF(AND(5&gt;$MF128,5&lt;=$MS128),"5 → "&amp;$PD128&amp;", 15 PE",""),IF(AND(6&gt;$MF128,6&lt;=$MS128),"6 → "&amp;$PE128&amp;", 18 PE",""),IF(AND(7&gt;$MF128,7&lt;=$MS128),"7 → "&amp;$PF128&amp;", 21 PE","")))))</f>
        <v/>
      </c>
      <c r="PZ128" s="152">
        <f>IF(OR($MQ128=0,$NB128=0),"",IF($MF128=0,"−1 dado","−"&amp;INDEX($I$2:$N$8,MAX(1,$MF128),MAX(1,$NG128))&amp;" · "&amp;CHOOSE(MAX(1,$NG128),"Leve","Média","Pesada","Leve · Livre","Média · Livre","Pesada · Livre")))</f>
        <v/>
      </c>
      <c r="QA128" s="152">
        <f>IF(OR($MQ128=0,$NC128=0),"",IF($MF128=0,"−1 dado","−"&amp;INDEX($I$2:$N$8,MAX(1,$MF128),MAX(1,$NH128))&amp;" · "&amp;CHOOSE(MAX(1,$NH128),"Leve","Média","Pesada","Leve · Livre","Média · Livre","Pesada · Livre")))</f>
        <v/>
      </c>
      <c r="QB128" s="152">
        <f>IF(OR($MQ128=0,$ND128=0),"",IF($MF128=0,"−1 dado","−"&amp;INDEX($I$2:$N$8,MAX(1,$MF128),MAX(1,$NI128))&amp;" · "&amp;CHOOSE(MAX(1,$NI128),"Leve","Média","Pesada","Leve · Livre","Média · Livre","Pesada · Livre")))</f>
        <v/>
      </c>
      <c r="QC128" s="152">
        <f>IF(OR($MQ128=0,$NE128=0),"",IF($MF128=0,"−1 dado","−"&amp;INDEX($I$2:$N$8,MAX(1,$MF128),MAX(1,$NJ128))&amp;" · "&amp;CHOOSE(MAX(1,$NJ128),"Leve","Média","Pesada","Leve · Livre","Média · Livre","Pesada · Livre")))</f>
        <v/>
      </c>
      <c r="QD128" s="152">
        <f>IF(OR($MQ128=0,$MO128=""),"",IF($MF128=0,"não devolve","+"&amp;IF($NV128=1,CEILING($MF128/2,1),$MF128)))</f>
        <v/>
      </c>
      <c r="QE128" s="152">
        <f>IF(OR($MQ128=0,$MP128=""),"",IF($MF128=0,"não devolve","+"&amp;IF($NW128=1,CEILING($MF128/2,1),$MF128)))</f>
        <v/>
      </c>
    </row>
    <row r="129">
      <c r="MA129" s="150" t="inlineStr">
        <is>
          <t>Ficha 10 · Escolha da trilha 1</t>
        </is>
      </c>
      <c r="MB129" s="152" t="n">
        <v>10</v>
      </c>
      <c r="MC129" s="152" t="n">
        <v>2</v>
      </c>
      <c r="MD129" s="152" t="n">
        <v>0</v>
      </c>
      <c r="ME129" s="150" t="inlineStr">
        <is>
          <t>ESCOLHA DA TRILHA 1</t>
        </is>
      </c>
      <c r="MF129" s="152">
        <f>MAX(0,MIN(7,N('INVOCAÇÕES'!$AB$754)))</f>
        <v/>
      </c>
      <c r="MG129" s="152">
        <f>'INVOCAÇÕES'!$AC$754&amp;""</f>
        <v/>
      </c>
      <c r="MH129" s="152">
        <f>'INVOCAÇÕES'!$AB$759&amp;""</f>
        <v/>
      </c>
      <c r="MI129" s="152">
        <f>'INVOCAÇÕES'!$AB$760&amp;""</f>
        <v/>
      </c>
      <c r="MJ129" s="152">
        <f>'INVOCAÇÕES'!$AD$760&amp;""</f>
        <v/>
      </c>
      <c r="MK129" s="152">
        <f>'INVOCAÇÕES'!$AC$763&amp;""</f>
        <v/>
      </c>
      <c r="ML129" s="152">
        <f>'INVOCAÇÕES'!$AC$764&amp;""</f>
        <v/>
      </c>
      <c r="MM129" s="152">
        <f>'INVOCAÇÕES'!$AC$765&amp;""</f>
        <v/>
      </c>
      <c r="MN129" s="152">
        <f>'INVOCAÇÕES'!$AC$766&amp;""</f>
        <v/>
      </c>
      <c r="MO129" s="152">
        <f>'INVOCAÇÕES'!$AC$767&amp;""</f>
        <v/>
      </c>
      <c r="MP129" s="152">
        <f>'INVOCAÇÕES'!$AC$768&amp;""</f>
        <v/>
      </c>
      <c r="MQ129" s="152">
        <f>IF($MG129&lt;&gt;"",1,0)</f>
        <v/>
      </c>
      <c r="MR129" s="152">
        <f>INDEX($FI$2:$FI$13,$MB129)</f>
        <v/>
      </c>
      <c r="MS129" s="152">
        <f>INDEX($FJ$2:$FJ$13,$MB129)</f>
        <v/>
      </c>
      <c r="MT129" s="152">
        <f>INDEX($FK$2:$FK$13,$MB129)</f>
        <v/>
      </c>
      <c r="MU129" s="152">
        <f>INDEX($FV$2:$FV$13,$MB129)</f>
        <v/>
      </c>
      <c r="MV129" s="152">
        <f>INDEX($FW$2:$FW$13,$MB129)</f>
        <v/>
      </c>
      <c r="MW129" s="152">
        <f>IFERROR(MATCH($MH129,$V$2:$V$11,0),0)</f>
        <v/>
      </c>
      <c r="MX129" s="152">
        <f>IFERROR(VLOOKUP($MK129,$AV$2:$BA$84,2,FALSE),"")</f>
        <v/>
      </c>
      <c r="MY129" s="152">
        <f>IFERROR(VLOOKUP($ML129,$AV$2:$BA$84,2,FALSE),"")</f>
        <v/>
      </c>
      <c r="MZ129" s="152">
        <f>IFERROR(VLOOKUP($MM129,$AV$2:$BA$84,2,FALSE),"")</f>
        <v/>
      </c>
      <c r="NA129" s="152">
        <f>IFERROR(VLOOKUP($MN129,$AV$2:$BA$84,2,FALSE),"")</f>
        <v/>
      </c>
      <c r="NB129" s="152">
        <f>IFERROR(VLOOKUP($MK129,$AV$2:$BA$84,3,FALSE),0)</f>
        <v/>
      </c>
      <c r="NC129" s="152">
        <f>IFERROR(VLOOKUP($ML129,$AV$2:$BA$84,3,FALSE),0)</f>
        <v/>
      </c>
      <c r="ND129" s="152">
        <f>IFERROR(VLOOKUP($MM129,$AV$2:$BA$84,3,FALSE),0)</f>
        <v/>
      </c>
      <c r="NE129" s="152">
        <f>IFERROR(VLOOKUP($MN129,$AV$2:$BA$84,3,FALSE),0)</f>
        <v/>
      </c>
      <c r="NF129" s="152">
        <f>IF($MF129=0,0,IF($MW129=0,0,INDEX($X$2:$X$11,$MW129)))</f>
        <v/>
      </c>
      <c r="NG129" s="152">
        <f>IF(OR($NB129=0,$MF129=0),0,$NB129+3*IF(AND($MX129&lt;&gt;"",OR($MX129=INDEX($EF$2:$EF$13,$MB129),$MX129=INDEX($EG$2:$EG$13,$MB129))),1,0))</f>
        <v/>
      </c>
      <c r="NH129" s="152">
        <f>IF(OR($NC129=0,$MF129=0),0,$NC129+3*IF(AND($MY129&lt;&gt;"",OR($MY129=INDEX($EF$2:$EF$13,$MB129),$MY129=INDEX($EG$2:$EG$13,$MB129))),1,0))</f>
        <v/>
      </c>
      <c r="NI129" s="152">
        <f>IF(OR($ND129=0,$MF129=0),0,$ND129+3*IF(AND($MZ129&lt;&gt;"",OR($MZ129=INDEX($EF$2:$EF$13,$MB129),$MZ129=INDEX($EG$2:$EG$13,$MB129))),1,0))</f>
        <v/>
      </c>
      <c r="NJ129" s="152">
        <f>IF(OR($NE129=0,$MF129=0),0,$NE129+3*IF(AND($NA129&lt;&gt;"",OR($NA129=INDEX($EF$2:$EF$13,$MB129),$NA129=INDEX($EG$2:$EG$13,$MB129))),1,0))</f>
        <v/>
      </c>
      <c r="NK129" s="152">
        <f>IF($MW129=0,0,IF(INDEX($W$2:$W$11,$MW129)="",0,IF(COUNTIF(INDEX($EF$2:$EJ$13,$MB129,0),INDEX($W$2:$W$11,$MW129))=0,1,0)))</f>
        <v/>
      </c>
      <c r="NL129" s="152">
        <f>IF(OR($NB129=0,$MX129=""),0,IF(COUNTIF(INDEX($EF$2:$EJ$13,$MB129,0),$MX129)=0,1,0))</f>
        <v/>
      </c>
      <c r="NM129" s="152">
        <f>IF(OR($NC129=0,$MY129=""),0,IF(COUNTIF(INDEX($EF$2:$EJ$13,$MB129,0),$MY129)=0,1,0))</f>
        <v/>
      </c>
      <c r="NN129" s="152">
        <f>IF(OR($ND129=0,$MZ129=""),0,IF(COUNTIF(INDEX($EF$2:$EJ$13,$MB129,0),$MZ129)=0,1,0))</f>
        <v/>
      </c>
      <c r="NO129" s="152">
        <f>IF(OR($NE129=0,$NA129=""),0,IF(COUNTIF(INDEX($EF$2:$EJ$13,$MB129,0),$NA129)=0,1,0))</f>
        <v/>
      </c>
      <c r="NP129" s="152">
        <f>IFERROR(VLOOKUP($MK129,$AV$2:$BA$84,4,FALSE),0)+IFERROR(VLOOKUP($ML129,$AV$2:$BA$84,4,FALSE),0)+IFERROR(VLOOKUP($MM129,$AV$2:$BA$84,4,FALSE),0)+IFERROR(VLOOKUP($MN129,$AV$2:$BA$84,4,FALSE),0)</f>
        <v/>
      </c>
      <c r="NQ129" s="152">
        <f>IFERROR(VLOOKUP($MK129,$AV$2:$BA$84,6,FALSE),0)+IFERROR(VLOOKUP($ML129,$AV$2:$BA$84,6,FALSE),0)+IFERROR(VLOOKUP($MM129,$AV$2:$BA$84,6,FALSE),0)+IFERROR(VLOOKUP($MN129,$AV$2:$BA$84,6,FALSE),0)</f>
        <v/>
      </c>
      <c r="NR129" s="152">
        <f>TEXTJOIN(", ",TRUE,IF(IFERROR(VLOOKUP($MK129,$AV$2:$BA$84,5,FALSE),0)=1,$MK129,""),IF(IFERROR(VLOOKUP($ML129,$AV$2:$BA$84,5,FALSE),0)=1,$ML129,""),IF(IFERROR(VLOOKUP($MM129,$AV$2:$BA$84,5,FALSE),0)=1,$MM129,""),IF(IFERROR(VLOOKUP($MN129,$AV$2:$BA$84,5,FALSE),0)=1,$MN129,""))</f>
        <v/>
      </c>
      <c r="NS129" s="152">
        <f>IF($MW129=0,0,INDEX($Y$2:$Y$11,$MW129))</f>
        <v/>
      </c>
      <c r="NT129" s="152">
        <f>IF($MW129=0,0,INDEX($Z$2:$Z$11,$MW129))</f>
        <v/>
      </c>
      <c r="NU129" s="152">
        <f>IF($MW129=0,0,INDEX($AB$2:$AB$11,$MW129))</f>
        <v/>
      </c>
      <c r="NV129" s="152">
        <f>IFERROR(VLOOKUP($MO129,$BC$2:$BG$24,3,FALSE),0)</f>
        <v/>
      </c>
      <c r="NW129" s="152">
        <f>IFERROR(VLOOKUP($MP129,$BC$2:$BG$24,3,FALSE),0)</f>
        <v/>
      </c>
      <c r="NX129" s="152">
        <f>IFERROR(VLOOKUP($MO129,$BC$2:$BG$24,2,FALSE),"")</f>
        <v/>
      </c>
      <c r="NY129" s="152">
        <f>IFERROR(VLOOKUP($MP129,$BC$2:$BG$24,2,FALSE),"")</f>
        <v/>
      </c>
      <c r="NZ129" s="152">
        <f>COUNTIF($NF129:$NJ129,1)</f>
        <v/>
      </c>
      <c r="OA129" s="152">
        <f>COUNTIF($NF129:$NJ129,2)</f>
        <v/>
      </c>
      <c r="OB129" s="152">
        <f>COUNTIF($NF129:$NJ129,3)</f>
        <v/>
      </c>
      <c r="OC129" s="152">
        <f>COUNTIF($NF129:$NJ129,4)</f>
        <v/>
      </c>
      <c r="OD129" s="152">
        <f>COUNTIF($NF129:$NJ129,5)</f>
        <v/>
      </c>
      <c r="OE129" s="152">
        <f>COUNTIF($NF129:$NJ129,6)</f>
        <v/>
      </c>
      <c r="OF129" s="152">
        <f>COUNTIF($NV129:$NW129,1)</f>
        <v/>
      </c>
      <c r="OG129" s="152">
        <f>COUNTIF($NV129:$NW129,2)+$NS129</f>
        <v/>
      </c>
      <c r="OH129" s="152">
        <f>COUNTIF($MK129:$MN129,"?*")</f>
        <v/>
      </c>
      <c r="OI129" s="152">
        <f>COUNTIF($MO129:$MP129,"?*")+$NS129</f>
        <v/>
      </c>
      <c r="OJ129" s="152">
        <f>IF($MF129=0,0,SUMPRODUCT($NZ129:$OE129,INDEX($I$2:$N$8,MAX(1,$MF129),0)))</f>
        <v/>
      </c>
      <c r="OK129" s="152">
        <f>IF($MF129=0,0,$OF129*CEILING($MF129/2,1)+$OG129*$MF129)</f>
        <v/>
      </c>
      <c r="OL129" s="152">
        <f>MIN(2*$MF129,$OK129)</f>
        <v/>
      </c>
      <c r="OM129" s="152">
        <f>MIN($OL129,$OJ129)</f>
        <v/>
      </c>
      <c r="ON129" s="152">
        <f>$OL129-$OM129</f>
        <v/>
      </c>
      <c r="OO129" s="152">
        <f>IF($MF129=0,0,INDEX($P$2:$P$8,MAX(1,$MF129)))</f>
        <v/>
      </c>
      <c r="OP129" s="152">
        <f>$OO129-$OJ129+$OM129</f>
        <v/>
      </c>
      <c r="OQ129" s="152">
        <f>IF($MF129=0,MAX(0,$MT129-IF($OH129&gt;0,1,0)),MAX(0,$OP129))</f>
        <v/>
      </c>
      <c r="OR129" s="152">
        <f>IF($MF129=0,0,(IF(COUNTIF($MK129:$MN129,"Salto")&gt;0,1,0)+IF(COUNTIF($MK129:$MN129,"Queima")&gt;0,1,0)+IF(COUNTIF($MK129:$MN129,"Estilhaço")&gt;0,1,0))*FLOOR($OQ129/2,1))</f>
        <v/>
      </c>
      <c r="OS129" s="152">
        <f>MAX(0,2-SUMPRODUCT($NZ129:$OE129,$I$2:$N$2)+MIN(2,$OF129*1+$OG129*1,SUMPRODUCT($NZ129:$OE129,$I$2:$N$2)))</f>
        <v/>
      </c>
      <c r="OT129" s="152">
        <f>MAX(0,4-SUMPRODUCT($NZ129:$OE129,$I$3:$N$3)+MIN(4,$OF129*1+$OG129*2,SUMPRODUCT($NZ129:$OE129,$I$3:$N$3)))</f>
        <v/>
      </c>
      <c r="OU129" s="152">
        <f>MAX(0,6-SUMPRODUCT($NZ129:$OE129,$I$4:$N$4)+MIN(6,$OF129*2+$OG129*3,SUMPRODUCT($NZ129:$OE129,$I$4:$N$4)))</f>
        <v/>
      </c>
      <c r="OV129" s="152">
        <f>MAX(0,9-SUMPRODUCT($NZ129:$OE129,$I$5:$N$5)+MIN(8,$OF129*2+$OG129*4,SUMPRODUCT($NZ129:$OE129,$I$5:$N$5)))</f>
        <v/>
      </c>
      <c r="OW129" s="152">
        <f>MAX(0,11-SUMPRODUCT($NZ129:$OE129,$I$6:$N$6)+MIN(10,$OF129*3+$OG129*5,SUMPRODUCT($NZ129:$OE129,$I$6:$N$6)))</f>
        <v/>
      </c>
      <c r="OX129" s="152">
        <f>MAX(0,13-SUMPRODUCT($NZ129:$OE129,$I$7:$N$7)+MIN(12,$OF129*3+$OG129*6,SUMPRODUCT($NZ129:$OE129,$I$7:$N$7)))</f>
        <v/>
      </c>
      <c r="OY129" s="152">
        <f>MAX(0,16-SUMPRODUCT($NZ129:$OE129,$I$8:$N$8)+MIN(14,$OF129*4+$OG129*7,SUMPRODUCT($NZ129:$OE129,$I$8:$N$8)))</f>
        <v/>
      </c>
      <c r="OZ129" s="152">
        <f>IF($NT129=2,3*$OS129&amp;" de vida temp.",IF($NT129=3,"sem dano",IF($OS129=0,IF($NT129=1,"sem cura","sem dano"),IF($NT129=1,"cura ","")&amp;$OS129&amp;"d8")))</f>
        <v/>
      </c>
      <c r="PA129" s="152">
        <f>IF($NT129=2,3*$OT129&amp;" de vida temp.",IF($NT129=3,"sem dano",IF($OT129=0,IF($NT129=1,"sem cura","sem dano"),IF($NT129=1,"cura ","")&amp;$OT129&amp;"d8")))</f>
        <v/>
      </c>
      <c r="PB129" s="152">
        <f>IF($NT129=2,3*$OU129&amp;" de vida temp.",IF($NT129=3,"sem dano",IF($OU129=0,IF($NT129=1,"sem cura","sem dano"),IF($NT129=1,"cura ","")&amp;$OU129&amp;"d8")))</f>
        <v/>
      </c>
      <c r="PC129" s="152">
        <f>IF($NT129=2,3*$OV129&amp;" de vida temp.",IF($NT129=3,"sem dano",IF($OV129=0,IF($NT129=1,"sem cura","sem dano"),IF($NT129=1,"cura ","")&amp;$OV129&amp;"d8")))</f>
        <v/>
      </c>
      <c r="PD129" s="152">
        <f>IF($NT129=2,3*$OW129&amp;" de vida temp.",IF($NT129=3,"sem dano",IF($OW129=0,IF($NT129=1,"sem cura","sem dano"),IF($NT129=1,"cura ","")&amp;$OW129&amp;"d8")))</f>
        <v/>
      </c>
      <c r="PE129" s="152">
        <f>IF($NT129=2,3*$OX129&amp;" de vida temp.",IF($NT129=3,"sem dano",IF($OX129=0,IF($NT129=1,"sem cura","sem dano"),IF($NT129=1,"cura ","")&amp;$OX129&amp;"d8")))</f>
        <v/>
      </c>
      <c r="PF129" s="152">
        <f>IF($NT129=2,3*$OY129&amp;" de vida temp.",IF($NT129=3,"sem dano",IF($OY129=0,IF($NT129=1,"sem cura","sem dano"),IF($NT129=1,"cura ","")&amp;$OY129&amp;"d8")))</f>
        <v/>
      </c>
      <c r="PG129" s="152">
        <f>IF($MQ129=0,"",TEXTJOIN(" · ",TRUE,IF($MD129&gt;$MR129,"Este lugar abre no nível "&amp;$MD129,""),IF($MF129&gt;$MS129,"Classe "&amp;$MF129&amp;": o nível "&amp;$MR129&amp;" libera até a "&amp;$MS129,""),IF($NK129=1,"A Forma "&amp;$MH129&amp;" pede "&amp;INDEX($W$2:$W$11,$MW129)&amp;" aberta",""),IF(AND($MF129=0,$MW129&gt;0,IF($MW129=0,0,INDEX($AF$2:$AF$11,$MW129))=0),$MH129&amp;" não existe na Classe 0",""),IF($NL129=1,"Família Fechada: "&amp;$MK129,""),IF($NM129=1,"Família Fechada: "&amp;$ML129,""),IF($NN129=1,"Família Fechada: "&amp;$MM129,""),IF($NO129=1,"Família Fechada: "&amp;$MN129,""),IF(AND($MF129&gt;0,$OH129&gt;INDEX($O$2:$O$8,MAX(1,$MF129))),$OH129&amp;" Melhorias: a Classe "&amp;$MF129&amp;" aceita "&amp;INDEX($O$2:$O$8,MAX(1,$MF129)),""),IF(AND($MF129=0,$OH129&gt;1),"A básica aceita uma Melhoria",""),IF(AND($MF129=0,COUNTIF($NB129:$NE129,"&gt;1")&gt;0),"A básica só aceita Melhoria Leve",""),IF(AND($MF129&gt;0,$OI129&gt;2),$OI129&amp;" Restrições"&amp;IF($NS129=1,", contando a que a Forma "&amp;$MH129&amp;" já traz","")&amp;": o limite é 2",""),IF(AND($MF129=0,COUNTIF($MO129:$MP129,"?*")&gt;1),"A básica aceita uma Restrição Leve",""),IF(AND($MF129=0,COUNTIF($NV129:$NW129,2)&gt;0),"A básica só aceita Restrição Leve",""),IF(AND($MF129&gt;0,$OP129&lt;0),"Orçamento estourado: faltam "&amp;(-$OP129)&amp;IF($OP129&lt;-1," pontos"," ponto"),""),IF(IFERROR(VLOOKUP($MO129,$BC$2:$BG$24,4,FALSE),0)+IFERROR(VLOOKUP($MP129,$BC$2:$BG$24,4,FALSE),0)&gt;1,$NX129&amp;" e "&amp;$NY129&amp;" são as duas de frequência",""),IF(AND((COUNTIF($MK129:$MN129,"Rápido")+COUNTIF($NX129:$NY129,"Rápido"))&gt;0,(COUNTIF($MK129:$MN129,"Atrasar")+COUNTIF($NX129:$NY129,"Atrasar"))&gt;0),"Rápido não entra com Atrasar",""),IF(AND((COUNTIF($MK129:$MN129,"Reação")+COUNTIF($NX129:$NY129,"Reação"))&gt;0,(COUNTIF($MK129:$MN129,"Rápido")+COUNTIF($NX129:$NY129,"Rápido"))&gt;0),"Reação não entra com Rápido",""),IF(AND((COUNTIF($MK129:$MN129,"Reação")+COUNTIF($NX129:$NY129,"Reação"))&gt;0,(COUNTIF($MK129:$MN129,"Armado")+COUNTIF($NX129:$NY129,"Armado"))&gt;0),"Reação não entra com Armado",""),IF(AND((COUNTIF($MK129:$MN129,"Reação")+COUNTIF($NX129:$NY129,"Reação"))&gt;0,(COUNTIF($MK129:$MN129,"Atrasar")+COUNTIF($NX129:$NY129,"Atrasar"))&gt;0),"Reação não entra com Atrasar",""),IF(AND((COUNTIF($MK129:$MN129,"Reação")+COUNTIF($NX129:$NY129,"Reação"))&gt;0,(COUNTIF($MK129:$MN129,"Parado")+COUNTIF($NX129:$NY129,"Parado"))&gt;0),"Reação não entra com Parado",""),IF(AND((COUNTIF($MK129:$MN129,"Atrasar")+COUNTIF($NX129:$NY129,"Atrasar"))&gt;0,(COUNTIF($MK129:$MN129,"Parado")+COUNTIF($NX129:$NY129,"Parado"))&gt;0),"Atrasar não entra com Parado",""),IF(AND((COUNTIF($MK129:$MN129,"Armado")+COUNTIF($NX129:$NY129,"Armado"))&gt;0,(COUNTIF($MK129:$MN129,"Carregar")+COUNTIF($NX129:$NY129,"Carregar"))&gt;0),"Armado não entra com Carregar",""),IF(AND(COUNTIF($NX129:$NY129,"Corpo a Corpo")&gt;0,$NS129=0,OR($MH129="Cone",$MH129="Linha")),"Corpo a Corpo não entra em "&amp;$MH129,""),IF(AND(COUNTIF($NX129:$NY129,"Corpo a Corpo")&gt;0,$NS129=1),"A Forma "&amp;$MH129&amp;" já traz o Corpo a Corpo",""),IF(AND(COUNTIF($NX129:$NY129,"Tudo ou Nada")&gt;0,$NU129=0),"Tudo ou Nada só entra em habilidade de Teste de Resistência",""),IF(AND(COUNTIF($MK129:$MN129,"Inescapável")&gt;0,OR($OH129&gt;1,$OI129&gt;0)),"Inescapável não aceita outra peça",""),IF(AND($MF129&gt;0,$OQ129*IF(COUNTIF($MK129:$MN129,"Remate")&gt;0,1.25,1)+$OR129&gt;4*$MF129),($OQ129*IF(COUNTIF($MK129:$MN129,"Remate")&gt;0,1.25,1)+$OR129)&amp;" dados somando repetições"&amp;IF(COUNTIF($MK129:$MN129,"Remate")&gt;0," e o Remate","")&amp;": o teto da Classe "&amp;$MF129&amp;" é "&amp;4*$MF129,"")))</f>
        <v/>
      </c>
      <c r="PH129" s="152">
        <f>IF($PG129="",0,(LEN($PG129)-LEN(SUBSTITUTE($PG129," · ","")))/3+1)</f>
        <v/>
      </c>
      <c r="PI129" s="152">
        <f>IF($MQ129=0,"",TEXTJOIN(" · ",TRUE,IF($OK129&gt;2*$MF129,"A devolução parou no teto de "&amp;2*$MF129,""),IF($ON129&gt;0,"Devolução perdida: "&amp;$ON129&amp;IF($ON129&gt;1," pontos"," ponto")&amp;" sem peça para pagar",""),IF(AND($NP129&gt;0,AND($MF129&gt;0,$NT129=0),$OQ129=0),"Controle sem dano: uma rodada a mais e CD +2",""),IF(AND($NP129&gt;0,AND($MF129&gt;0,$NT129=0),$OQ129&gt;0,$OQ129&lt;=$MF129),"Controle com saldo até a Classe: uma rodada a mais",""),IF(AND($MF129&gt;0,$NR129&lt;&gt;""),"Efeito de "&amp;$NR129&amp;" pela Classe "&amp;MAX(1,$MF129-1),"")))</f>
        <v/>
      </c>
      <c r="PJ129" s="152">
        <f>IF($PI129="",0,(LEN($PI129)-LEN(SUBSTITUTE($PI129," · ","")))/3+1)</f>
        <v/>
      </c>
      <c r="PK129" s="152">
        <f>IF($MQ129=0,IF($OH129+COUNTIF($MO129:$MP129,"?*")&gt;0,"Dê um nome",""),IF($PH129&gt;0,"⚠ "&amp;$PH129&amp;IF($PH129&gt;1," erros"," erro"),IF($PJ129&gt;0,"! "&amp;$PJ129&amp;IF($PJ129&gt;1," avisos"," aviso"),"Na regra")))</f>
        <v/>
      </c>
      <c r="PL129" s="152">
        <f>IF($MQ129=0,"",IF($PH129+$PJ129=0,"Dentro das regras que a ficha confere",$PG129&amp;IF(AND($PH129&gt;0,$PJ129&gt;0)," · ","")&amp;$PI129))</f>
        <v/>
      </c>
      <c r="PM129" s="152">
        <f>IF($MD129&gt;$MR129,$ME129&amp;" · ABRE NO NÍVEL "&amp;$MD129,$ME129)</f>
        <v/>
      </c>
      <c r="PN129" s="152">
        <f>IF($MQ129=0,"",IF($MF129=0,"Sem PE",3*$MF129&amp;" PE"))</f>
        <v/>
      </c>
      <c r="PO129" s="152">
        <f>IF($MQ129=0,"",IF($MF129=0,"A atuação básica dela",IF(COUNTIF($NX129:$NY129,"Atrasar")&gt;0,"Sua Ação Completa",IF(COUNTIF($MK129:$MN129,"Rápido")&gt;0,"Sua Bônus",IF(COUNTIF($MK129:$MN129,"Reação")&gt;0,"Sua Reação","Sua Padrão")))&amp;" + a básica dela"&amp;IF(COUNTIF($MK129:$MN129,"Reação")&gt;0," e a coletiva","")&amp;IF(COUNTIF($NX129:$NY129,"Carregar")&gt;0," · em dois turnos","")))</f>
        <v/>
      </c>
      <c r="PP129" s="152">
        <f>IF($MJ129&lt;&gt;"",$MJ129,IF($MW129=0,"",INDEX($AA$2:$AA$11,$MW129)))</f>
        <v/>
      </c>
      <c r="PQ129" s="152">
        <f>IF(OR($MQ129=0,$MW129=0),"",IF(COUNTIF($MK129:$MN129,"Inescapável")&gt;0,"Automático",IF($PP129="Ataque",IF($MU129="","Ataque","Ataque "&amp;IF(($MU129+2*IF(COUNTIF($MK129:$MN129,"Precisão")&gt;0,1,0))&gt;=0,"+","−")&amp;ABS(($MU129+2*IF(COUNTIF($MK129:$MN129,"Precisão")&gt;0,1,0))))&amp;IF($NQ129&gt;0," · TR"&amp;IF($MV129="",""," CD "&amp;$MV129),""),IF(LEFT($PP129,2)="TR",$PP129&amp;IF($MV129="",""," · CD "&amp;$MV129)&amp;IF(COUNTIF($MK129:$MN129,"Certeiro")&gt;0," · metade",""),"Sem rolagem"))))</f>
        <v/>
      </c>
      <c r="PR129" s="152">
        <f>IF(OR($MQ129=0,$MW129=0),"",IF($MF129=0,IF(OR($NT129&gt;=1,$OQ129=0),"Sem dano",$OQ129&amp;"d6"&amp;IF($MI129="",""," "&amp;$MI129)),IF(OR($NT129&gt;=1,$OQ129=0),UPPER(LEFT(INDEX($OZ129:$PF129,1,MAX(1,$MF129)),1))&amp;MID(INDEX($OZ129:$PF129,1,MAX(1,$MF129)),2,99),UPPER(LEFT(INDEX($OZ129:$PF129,1,MAX(1,$MF129)),1))&amp;MID(INDEX($OZ129:$PF129,1,MAX(1,$MF129)),2,99)&amp;IF($MI129="",""," "&amp;$MI129)&amp;IF($OR129&gt;0," · +"&amp;$OR129&amp;"d8",""))))</f>
        <v/>
      </c>
      <c r="PS129" s="152">
        <f>COUNTIF($MK129:$MN129,"Longe")+3*COUNTIF($MK129:$MN129,"Muito Longe")</f>
        <v/>
      </c>
      <c r="PT129" s="152">
        <f>COUNTIF($MK129:$MN129,"Maior")+3*COUNTIF($MK129:$MN129,"Muito Maior")</f>
        <v/>
      </c>
      <c r="PU129" s="152">
        <f>IF($MW129=0,0,CHOOSE(1+INDEX($AC$2:$AC$11,$MW129),0,$PS129,$PT129,$PS129+$PT129))</f>
        <v/>
      </c>
      <c r="PV129" s="152">
        <f>IF($MW129=0,0,CHOOSE(1+INDEX($AD$2:$AD$11,$MW129),0,$PS129,$PT129,$PS129+$PT129))</f>
        <v/>
      </c>
      <c r="PW129" s="152">
        <f>IF(OR($MQ129=0,$MW129=0),"",INDEX($AI$2:$AN$41,($MW129-1)*4+IF($MF129=0,1,IF($MF129&lt;=5,2,IF($MF129=6,3,4))),1+MIN(5,$PU129))&amp;INDEX($AO$2:$AT$41,($MW129-1)*4+IF($MF129=0,1,IF($MF129&lt;=5,2,IF($MF129=6,3,4))),1+MIN(5,$PV129))&amp;IF(INDEX($AE$2:$AE$11,$MW129)=1,IF(COUNTIF($MK129:$MN129,"Mais Um")&gt;0," · +"&amp;COUNTIF($MK129:$MN129,"Mais Um")&amp;IF(COUNTIF($MK129:$MN129,"Mais Um")&gt;1," alvos"," alvo"),"")&amp;IF(COUNTIF($MK129:$MN129,"Rajada")&gt;0,IF($MF129=0," · 1 tiro"," · "&amp;(MAX(1,$MF129-1)+1)&amp;" tiros"),""),""))</f>
        <v/>
      </c>
      <c r="PX129" s="152">
        <f>IF($MQ129=0,"",IF($MF129=0,$MT129&amp;"d6"&amp;IF($OH129&gt;0," − 1 = "&amp;$OQ129&amp;"d6"," da básica do nível "&amp;$MR129),$OO129&amp;" − "&amp;$OJ129&amp;" + "&amp;$OM129&amp;" = "&amp;$OP129&amp;" · teto "&amp;4*$MF129&amp;"d8"&amp;IF($NS129=1," · a Forma devolve "&amp;$MF129,"")&amp;IF($ON129&gt;0," · perde "&amp;$ON129,"")))</f>
        <v/>
      </c>
      <c r="PY129" s="152">
        <f>IF($MQ129=0,"",IF($MF129=0,"A básica não amplia: os dados dela sobem com o nível",IF($MF129&gt;=$MS129,"Já está na maior Classe que o nível liberou",TEXTJOIN(" · ",TRUE,IF(AND(2&gt;$MF129,2&lt;=$MS129),"2 → "&amp;$PA129&amp;", 6 PE",""),IF(AND(3&gt;$MF129,3&lt;=$MS129),"3 → "&amp;$PB129&amp;", 9 PE",""),IF(AND(4&gt;$MF129,4&lt;=$MS129),"4 → "&amp;$PC129&amp;", 12 PE",""),IF(AND(5&gt;$MF129,5&lt;=$MS129),"5 → "&amp;$PD129&amp;", 15 PE",""),IF(AND(6&gt;$MF129,6&lt;=$MS129),"6 → "&amp;$PE129&amp;", 18 PE",""),IF(AND(7&gt;$MF129,7&lt;=$MS129),"7 → "&amp;$PF129&amp;", 21 PE","")))))</f>
        <v/>
      </c>
      <c r="PZ129" s="152">
        <f>IF(OR($MQ129=0,$NB129=0),"",IF($MF129=0,"−1 dado","−"&amp;INDEX($I$2:$N$8,MAX(1,$MF129),MAX(1,$NG129))&amp;" · "&amp;CHOOSE(MAX(1,$NG129),"Leve","Média","Pesada","Leve · Livre","Média · Livre","Pesada · Livre")))</f>
        <v/>
      </c>
      <c r="QA129" s="152">
        <f>IF(OR($MQ129=0,$NC129=0),"",IF($MF129=0,"−1 dado","−"&amp;INDEX($I$2:$N$8,MAX(1,$MF129),MAX(1,$NH129))&amp;" · "&amp;CHOOSE(MAX(1,$NH129),"Leve","Média","Pesada","Leve · Livre","Média · Livre","Pesada · Livre")))</f>
        <v/>
      </c>
      <c r="QB129" s="152">
        <f>IF(OR($MQ129=0,$ND129=0),"",IF($MF129=0,"−1 dado","−"&amp;INDEX($I$2:$N$8,MAX(1,$MF129),MAX(1,$NI129))&amp;" · "&amp;CHOOSE(MAX(1,$NI129),"Leve","Média","Pesada","Leve · Livre","Média · Livre","Pesada · Livre")))</f>
        <v/>
      </c>
      <c r="QC129" s="152">
        <f>IF(OR($MQ129=0,$NE129=0),"",IF($MF129=0,"−1 dado","−"&amp;INDEX($I$2:$N$8,MAX(1,$MF129),MAX(1,$NJ129))&amp;" · "&amp;CHOOSE(MAX(1,$NJ129),"Leve","Média","Pesada","Leve · Livre","Média · Livre","Pesada · Livre")))</f>
        <v/>
      </c>
      <c r="QD129" s="152">
        <f>IF(OR($MQ129=0,$MO129=""),"",IF($MF129=0,"não devolve","+"&amp;IF($NV129=1,CEILING($MF129/2,1),$MF129)))</f>
        <v/>
      </c>
      <c r="QE129" s="152">
        <f>IF(OR($MQ129=0,$MP129=""),"",IF($MF129=0,"não devolve","+"&amp;IF($NW129=1,CEILING($MF129/2,1),$MF129)))</f>
        <v/>
      </c>
    </row>
    <row r="130">
      <c r="MA130" s="150" t="inlineStr">
        <is>
          <t>Ficha 10 · Escolha da trilha 2</t>
        </is>
      </c>
      <c r="MB130" s="152" t="n">
        <v>10</v>
      </c>
      <c r="MC130" s="152" t="n">
        <v>2</v>
      </c>
      <c r="MD130" s="152" t="n">
        <v>0</v>
      </c>
      <c r="ME130" s="150" t="inlineStr">
        <is>
          <t>ESCOLHA DA TRILHA 2</t>
        </is>
      </c>
      <c r="MF130" s="152">
        <f>MAX(0,MIN(7,N('INVOCAÇÕES'!$AH$754)))</f>
        <v/>
      </c>
      <c r="MG130" s="152">
        <f>'INVOCAÇÕES'!$AI$754&amp;""</f>
        <v/>
      </c>
      <c r="MH130" s="152">
        <f>'INVOCAÇÕES'!$AH$759&amp;""</f>
        <v/>
      </c>
      <c r="MI130" s="152">
        <f>'INVOCAÇÕES'!$AH$760&amp;""</f>
        <v/>
      </c>
      <c r="MJ130" s="152">
        <f>'INVOCAÇÕES'!$AJ$760&amp;""</f>
        <v/>
      </c>
      <c r="MK130" s="152">
        <f>'INVOCAÇÕES'!$AI$763&amp;""</f>
        <v/>
      </c>
      <c r="ML130" s="152">
        <f>'INVOCAÇÕES'!$AI$764&amp;""</f>
        <v/>
      </c>
      <c r="MM130" s="152">
        <f>'INVOCAÇÕES'!$AI$765&amp;""</f>
        <v/>
      </c>
      <c r="MN130" s="152">
        <f>'INVOCAÇÕES'!$AI$766&amp;""</f>
        <v/>
      </c>
      <c r="MO130" s="152">
        <f>'INVOCAÇÕES'!$AI$767&amp;""</f>
        <v/>
      </c>
      <c r="MP130" s="152">
        <f>'INVOCAÇÕES'!$AI$768&amp;""</f>
        <v/>
      </c>
      <c r="MQ130" s="152">
        <f>IF($MG130&lt;&gt;"",1,0)</f>
        <v/>
      </c>
      <c r="MR130" s="152">
        <f>INDEX($FI$2:$FI$13,$MB130)</f>
        <v/>
      </c>
      <c r="MS130" s="152">
        <f>INDEX($FJ$2:$FJ$13,$MB130)</f>
        <v/>
      </c>
      <c r="MT130" s="152">
        <f>INDEX($FK$2:$FK$13,$MB130)</f>
        <v/>
      </c>
      <c r="MU130" s="152">
        <f>INDEX($FV$2:$FV$13,$MB130)</f>
        <v/>
      </c>
      <c r="MV130" s="152">
        <f>INDEX($FW$2:$FW$13,$MB130)</f>
        <v/>
      </c>
      <c r="MW130" s="152">
        <f>IFERROR(MATCH($MH130,$V$2:$V$11,0),0)</f>
        <v/>
      </c>
      <c r="MX130" s="152">
        <f>IFERROR(VLOOKUP($MK130,$AV$2:$BA$84,2,FALSE),"")</f>
        <v/>
      </c>
      <c r="MY130" s="152">
        <f>IFERROR(VLOOKUP($ML130,$AV$2:$BA$84,2,FALSE),"")</f>
        <v/>
      </c>
      <c r="MZ130" s="152">
        <f>IFERROR(VLOOKUP($MM130,$AV$2:$BA$84,2,FALSE),"")</f>
        <v/>
      </c>
      <c r="NA130" s="152">
        <f>IFERROR(VLOOKUP($MN130,$AV$2:$BA$84,2,FALSE),"")</f>
        <v/>
      </c>
      <c r="NB130" s="152">
        <f>IFERROR(VLOOKUP($MK130,$AV$2:$BA$84,3,FALSE),0)</f>
        <v/>
      </c>
      <c r="NC130" s="152">
        <f>IFERROR(VLOOKUP($ML130,$AV$2:$BA$84,3,FALSE),0)</f>
        <v/>
      </c>
      <c r="ND130" s="152">
        <f>IFERROR(VLOOKUP($MM130,$AV$2:$BA$84,3,FALSE),0)</f>
        <v/>
      </c>
      <c r="NE130" s="152">
        <f>IFERROR(VLOOKUP($MN130,$AV$2:$BA$84,3,FALSE),0)</f>
        <v/>
      </c>
      <c r="NF130" s="152">
        <f>IF($MF130=0,0,IF($MW130=0,0,INDEX($X$2:$X$11,$MW130)))</f>
        <v/>
      </c>
      <c r="NG130" s="152">
        <f>IF(OR($NB130=0,$MF130=0),0,$NB130+3*IF(AND($MX130&lt;&gt;"",OR($MX130=INDEX($EF$2:$EF$13,$MB130),$MX130=INDEX($EG$2:$EG$13,$MB130))),1,0))</f>
        <v/>
      </c>
      <c r="NH130" s="152">
        <f>IF(OR($NC130=0,$MF130=0),0,$NC130+3*IF(AND($MY130&lt;&gt;"",OR($MY130=INDEX($EF$2:$EF$13,$MB130),$MY130=INDEX($EG$2:$EG$13,$MB130))),1,0))</f>
        <v/>
      </c>
      <c r="NI130" s="152">
        <f>IF(OR($ND130=0,$MF130=0),0,$ND130+3*IF(AND($MZ130&lt;&gt;"",OR($MZ130=INDEX($EF$2:$EF$13,$MB130),$MZ130=INDEX($EG$2:$EG$13,$MB130))),1,0))</f>
        <v/>
      </c>
      <c r="NJ130" s="152">
        <f>IF(OR($NE130=0,$MF130=0),0,$NE130+3*IF(AND($NA130&lt;&gt;"",OR($NA130=INDEX($EF$2:$EF$13,$MB130),$NA130=INDEX($EG$2:$EG$13,$MB130))),1,0))</f>
        <v/>
      </c>
      <c r="NK130" s="152">
        <f>IF($MW130=0,0,IF(INDEX($W$2:$W$11,$MW130)="",0,IF(COUNTIF(INDEX($EF$2:$EJ$13,$MB130,0),INDEX($W$2:$W$11,$MW130))=0,1,0)))</f>
        <v/>
      </c>
      <c r="NL130" s="152">
        <f>IF(OR($NB130=0,$MX130=""),0,IF(COUNTIF(INDEX($EF$2:$EJ$13,$MB130,0),$MX130)=0,1,0))</f>
        <v/>
      </c>
      <c r="NM130" s="152">
        <f>IF(OR($NC130=0,$MY130=""),0,IF(COUNTIF(INDEX($EF$2:$EJ$13,$MB130,0),$MY130)=0,1,0))</f>
        <v/>
      </c>
      <c r="NN130" s="152">
        <f>IF(OR($ND130=0,$MZ130=""),0,IF(COUNTIF(INDEX($EF$2:$EJ$13,$MB130,0),$MZ130)=0,1,0))</f>
        <v/>
      </c>
      <c r="NO130" s="152">
        <f>IF(OR($NE130=0,$NA130=""),0,IF(COUNTIF(INDEX($EF$2:$EJ$13,$MB130,0),$NA130)=0,1,0))</f>
        <v/>
      </c>
      <c r="NP130" s="152">
        <f>IFERROR(VLOOKUP($MK130,$AV$2:$BA$84,4,FALSE),0)+IFERROR(VLOOKUP($ML130,$AV$2:$BA$84,4,FALSE),0)+IFERROR(VLOOKUP($MM130,$AV$2:$BA$84,4,FALSE),0)+IFERROR(VLOOKUP($MN130,$AV$2:$BA$84,4,FALSE),0)</f>
        <v/>
      </c>
      <c r="NQ130" s="152">
        <f>IFERROR(VLOOKUP($MK130,$AV$2:$BA$84,6,FALSE),0)+IFERROR(VLOOKUP($ML130,$AV$2:$BA$84,6,FALSE),0)+IFERROR(VLOOKUP($MM130,$AV$2:$BA$84,6,FALSE),0)+IFERROR(VLOOKUP($MN130,$AV$2:$BA$84,6,FALSE),0)</f>
        <v/>
      </c>
      <c r="NR130" s="152">
        <f>TEXTJOIN(", ",TRUE,IF(IFERROR(VLOOKUP($MK130,$AV$2:$BA$84,5,FALSE),0)=1,$MK130,""),IF(IFERROR(VLOOKUP($ML130,$AV$2:$BA$84,5,FALSE),0)=1,$ML130,""),IF(IFERROR(VLOOKUP($MM130,$AV$2:$BA$84,5,FALSE),0)=1,$MM130,""),IF(IFERROR(VLOOKUP($MN130,$AV$2:$BA$84,5,FALSE),0)=1,$MN130,""))</f>
        <v/>
      </c>
      <c r="NS130" s="152">
        <f>IF($MW130=0,0,INDEX($Y$2:$Y$11,$MW130))</f>
        <v/>
      </c>
      <c r="NT130" s="152">
        <f>IF($MW130=0,0,INDEX($Z$2:$Z$11,$MW130))</f>
        <v/>
      </c>
      <c r="NU130" s="152">
        <f>IF($MW130=0,0,INDEX($AB$2:$AB$11,$MW130))</f>
        <v/>
      </c>
      <c r="NV130" s="152">
        <f>IFERROR(VLOOKUP($MO130,$BC$2:$BG$24,3,FALSE),0)</f>
        <v/>
      </c>
      <c r="NW130" s="152">
        <f>IFERROR(VLOOKUP($MP130,$BC$2:$BG$24,3,FALSE),0)</f>
        <v/>
      </c>
      <c r="NX130" s="152">
        <f>IFERROR(VLOOKUP($MO130,$BC$2:$BG$24,2,FALSE),"")</f>
        <v/>
      </c>
      <c r="NY130" s="152">
        <f>IFERROR(VLOOKUP($MP130,$BC$2:$BG$24,2,FALSE),"")</f>
        <v/>
      </c>
      <c r="NZ130" s="152">
        <f>COUNTIF($NF130:$NJ130,1)</f>
        <v/>
      </c>
      <c r="OA130" s="152">
        <f>COUNTIF($NF130:$NJ130,2)</f>
        <v/>
      </c>
      <c r="OB130" s="152">
        <f>COUNTIF($NF130:$NJ130,3)</f>
        <v/>
      </c>
      <c r="OC130" s="152">
        <f>COUNTIF($NF130:$NJ130,4)</f>
        <v/>
      </c>
      <c r="OD130" s="152">
        <f>COUNTIF($NF130:$NJ130,5)</f>
        <v/>
      </c>
      <c r="OE130" s="152">
        <f>COUNTIF($NF130:$NJ130,6)</f>
        <v/>
      </c>
      <c r="OF130" s="152">
        <f>COUNTIF($NV130:$NW130,1)</f>
        <v/>
      </c>
      <c r="OG130" s="152">
        <f>COUNTIF($NV130:$NW130,2)+$NS130</f>
        <v/>
      </c>
      <c r="OH130" s="152">
        <f>COUNTIF($MK130:$MN130,"?*")</f>
        <v/>
      </c>
      <c r="OI130" s="152">
        <f>COUNTIF($MO130:$MP130,"?*")+$NS130</f>
        <v/>
      </c>
      <c r="OJ130" s="152">
        <f>IF($MF130=0,0,SUMPRODUCT($NZ130:$OE130,INDEX($I$2:$N$8,MAX(1,$MF130),0)))</f>
        <v/>
      </c>
      <c r="OK130" s="152">
        <f>IF($MF130=0,0,$OF130*CEILING($MF130/2,1)+$OG130*$MF130)</f>
        <v/>
      </c>
      <c r="OL130" s="152">
        <f>MIN(2*$MF130,$OK130)</f>
        <v/>
      </c>
      <c r="OM130" s="152">
        <f>MIN($OL130,$OJ130)</f>
        <v/>
      </c>
      <c r="ON130" s="152">
        <f>$OL130-$OM130</f>
        <v/>
      </c>
      <c r="OO130" s="152">
        <f>IF($MF130=0,0,INDEX($P$2:$P$8,MAX(1,$MF130)))</f>
        <v/>
      </c>
      <c r="OP130" s="152">
        <f>$OO130-$OJ130+$OM130</f>
        <v/>
      </c>
      <c r="OQ130" s="152">
        <f>IF($MF130=0,MAX(0,$MT130-IF($OH130&gt;0,1,0)),MAX(0,$OP130))</f>
        <v/>
      </c>
      <c r="OR130" s="152">
        <f>IF($MF130=0,0,(IF(COUNTIF($MK130:$MN130,"Salto")&gt;0,1,0)+IF(COUNTIF($MK130:$MN130,"Queima")&gt;0,1,0)+IF(COUNTIF($MK130:$MN130,"Estilhaço")&gt;0,1,0))*FLOOR($OQ130/2,1))</f>
        <v/>
      </c>
      <c r="OS130" s="152">
        <f>MAX(0,2-SUMPRODUCT($NZ130:$OE130,$I$2:$N$2)+MIN(2,$OF130*1+$OG130*1,SUMPRODUCT($NZ130:$OE130,$I$2:$N$2)))</f>
        <v/>
      </c>
      <c r="OT130" s="152">
        <f>MAX(0,4-SUMPRODUCT($NZ130:$OE130,$I$3:$N$3)+MIN(4,$OF130*1+$OG130*2,SUMPRODUCT($NZ130:$OE130,$I$3:$N$3)))</f>
        <v/>
      </c>
      <c r="OU130" s="152">
        <f>MAX(0,6-SUMPRODUCT($NZ130:$OE130,$I$4:$N$4)+MIN(6,$OF130*2+$OG130*3,SUMPRODUCT($NZ130:$OE130,$I$4:$N$4)))</f>
        <v/>
      </c>
      <c r="OV130" s="152">
        <f>MAX(0,9-SUMPRODUCT($NZ130:$OE130,$I$5:$N$5)+MIN(8,$OF130*2+$OG130*4,SUMPRODUCT($NZ130:$OE130,$I$5:$N$5)))</f>
        <v/>
      </c>
      <c r="OW130" s="152">
        <f>MAX(0,11-SUMPRODUCT($NZ130:$OE130,$I$6:$N$6)+MIN(10,$OF130*3+$OG130*5,SUMPRODUCT($NZ130:$OE130,$I$6:$N$6)))</f>
        <v/>
      </c>
      <c r="OX130" s="152">
        <f>MAX(0,13-SUMPRODUCT($NZ130:$OE130,$I$7:$N$7)+MIN(12,$OF130*3+$OG130*6,SUMPRODUCT($NZ130:$OE130,$I$7:$N$7)))</f>
        <v/>
      </c>
      <c r="OY130" s="152">
        <f>MAX(0,16-SUMPRODUCT($NZ130:$OE130,$I$8:$N$8)+MIN(14,$OF130*4+$OG130*7,SUMPRODUCT($NZ130:$OE130,$I$8:$N$8)))</f>
        <v/>
      </c>
      <c r="OZ130" s="152">
        <f>IF($NT130=2,3*$OS130&amp;" de vida temp.",IF($NT130=3,"sem dano",IF($OS130=0,IF($NT130=1,"sem cura","sem dano"),IF($NT130=1,"cura ","")&amp;$OS130&amp;"d8")))</f>
        <v/>
      </c>
      <c r="PA130" s="152">
        <f>IF($NT130=2,3*$OT130&amp;" de vida temp.",IF($NT130=3,"sem dano",IF($OT130=0,IF($NT130=1,"sem cura","sem dano"),IF($NT130=1,"cura ","")&amp;$OT130&amp;"d8")))</f>
        <v/>
      </c>
      <c r="PB130" s="152">
        <f>IF($NT130=2,3*$OU130&amp;" de vida temp.",IF($NT130=3,"sem dano",IF($OU130=0,IF($NT130=1,"sem cura","sem dano"),IF($NT130=1,"cura ","")&amp;$OU130&amp;"d8")))</f>
        <v/>
      </c>
      <c r="PC130" s="152">
        <f>IF($NT130=2,3*$OV130&amp;" de vida temp.",IF($NT130=3,"sem dano",IF($OV130=0,IF($NT130=1,"sem cura","sem dano"),IF($NT130=1,"cura ","")&amp;$OV130&amp;"d8")))</f>
        <v/>
      </c>
      <c r="PD130" s="152">
        <f>IF($NT130=2,3*$OW130&amp;" de vida temp.",IF($NT130=3,"sem dano",IF($OW130=0,IF($NT130=1,"sem cura","sem dano"),IF($NT130=1,"cura ","")&amp;$OW130&amp;"d8")))</f>
        <v/>
      </c>
      <c r="PE130" s="152">
        <f>IF($NT130=2,3*$OX130&amp;" de vida temp.",IF($NT130=3,"sem dano",IF($OX130=0,IF($NT130=1,"sem cura","sem dano"),IF($NT130=1,"cura ","")&amp;$OX130&amp;"d8")))</f>
        <v/>
      </c>
      <c r="PF130" s="152">
        <f>IF($NT130=2,3*$OY130&amp;" de vida temp.",IF($NT130=3,"sem dano",IF($OY130=0,IF($NT130=1,"sem cura","sem dano"),IF($NT130=1,"cura ","")&amp;$OY130&amp;"d8")))</f>
        <v/>
      </c>
      <c r="PG130" s="152">
        <f>IF($MQ130=0,"",TEXTJOIN(" · ",TRUE,IF($MD130&gt;$MR130,"Este lugar abre no nível "&amp;$MD130,""),IF($MF130&gt;$MS130,"Classe "&amp;$MF130&amp;": o nível "&amp;$MR130&amp;" libera até a "&amp;$MS130,""),IF($NK130=1,"A Forma "&amp;$MH130&amp;" pede "&amp;INDEX($W$2:$W$11,$MW130)&amp;" aberta",""),IF(AND($MF130=0,$MW130&gt;0,IF($MW130=0,0,INDEX($AF$2:$AF$11,$MW130))=0),$MH130&amp;" não existe na Classe 0",""),IF($NL130=1,"Família Fechada: "&amp;$MK130,""),IF($NM130=1,"Família Fechada: "&amp;$ML130,""),IF($NN130=1,"Família Fechada: "&amp;$MM130,""),IF($NO130=1,"Família Fechada: "&amp;$MN130,""),IF(AND($MF130&gt;0,$OH130&gt;INDEX($O$2:$O$8,MAX(1,$MF130))),$OH130&amp;" Melhorias: a Classe "&amp;$MF130&amp;" aceita "&amp;INDEX($O$2:$O$8,MAX(1,$MF130)),""),IF(AND($MF130=0,$OH130&gt;1),"A básica aceita uma Melhoria",""),IF(AND($MF130=0,COUNTIF($NB130:$NE130,"&gt;1")&gt;0),"A básica só aceita Melhoria Leve",""),IF(AND($MF130&gt;0,$OI130&gt;2),$OI130&amp;" Restrições"&amp;IF($NS130=1,", contando a que a Forma "&amp;$MH130&amp;" já traz","")&amp;": o limite é 2",""),IF(AND($MF130=0,COUNTIF($MO130:$MP130,"?*")&gt;1),"A básica aceita uma Restrição Leve",""),IF(AND($MF130=0,COUNTIF($NV130:$NW130,2)&gt;0),"A básica só aceita Restrição Leve",""),IF(AND($MF130&gt;0,$OP130&lt;0),"Orçamento estourado: faltam "&amp;(-$OP130)&amp;IF($OP130&lt;-1," pontos"," ponto"),""),IF(IFERROR(VLOOKUP($MO130,$BC$2:$BG$24,4,FALSE),0)+IFERROR(VLOOKUP($MP130,$BC$2:$BG$24,4,FALSE),0)&gt;1,$NX130&amp;" e "&amp;$NY130&amp;" são as duas de frequência",""),IF(AND((COUNTIF($MK130:$MN130,"Rápido")+COUNTIF($NX130:$NY130,"Rápido"))&gt;0,(COUNTIF($MK130:$MN130,"Atrasar")+COUNTIF($NX130:$NY130,"Atrasar"))&gt;0),"Rápido não entra com Atrasar",""),IF(AND((COUNTIF($MK130:$MN130,"Reação")+COUNTIF($NX130:$NY130,"Reação"))&gt;0,(COUNTIF($MK130:$MN130,"Rápido")+COUNTIF($NX130:$NY130,"Rápido"))&gt;0),"Reação não entra com Rápido",""),IF(AND((COUNTIF($MK130:$MN130,"Reação")+COUNTIF($NX130:$NY130,"Reação"))&gt;0,(COUNTIF($MK130:$MN130,"Armado")+COUNTIF($NX130:$NY130,"Armado"))&gt;0),"Reação não entra com Armado",""),IF(AND((COUNTIF($MK130:$MN130,"Reação")+COUNTIF($NX130:$NY130,"Reação"))&gt;0,(COUNTIF($MK130:$MN130,"Atrasar")+COUNTIF($NX130:$NY130,"Atrasar"))&gt;0),"Reação não entra com Atrasar",""),IF(AND((COUNTIF($MK130:$MN130,"Reação")+COUNTIF($NX130:$NY130,"Reação"))&gt;0,(COUNTIF($MK130:$MN130,"Parado")+COUNTIF($NX130:$NY130,"Parado"))&gt;0),"Reação não entra com Parado",""),IF(AND((COUNTIF($MK130:$MN130,"Atrasar")+COUNTIF($NX130:$NY130,"Atrasar"))&gt;0,(COUNTIF($MK130:$MN130,"Parado")+COUNTIF($NX130:$NY130,"Parado"))&gt;0),"Atrasar não entra com Parado",""),IF(AND((COUNTIF($MK130:$MN130,"Armado")+COUNTIF($NX130:$NY130,"Armado"))&gt;0,(COUNTIF($MK130:$MN130,"Carregar")+COUNTIF($NX130:$NY130,"Carregar"))&gt;0),"Armado não entra com Carregar",""),IF(AND(COUNTIF($NX130:$NY130,"Corpo a Corpo")&gt;0,$NS130=0,OR($MH130="Cone",$MH130="Linha")),"Corpo a Corpo não entra em "&amp;$MH130,""),IF(AND(COUNTIF($NX130:$NY130,"Corpo a Corpo")&gt;0,$NS130=1),"A Forma "&amp;$MH130&amp;" já traz o Corpo a Corpo",""),IF(AND(COUNTIF($NX130:$NY130,"Tudo ou Nada")&gt;0,$NU130=0),"Tudo ou Nada só entra em habilidade de Teste de Resistência",""),IF(AND(COUNTIF($MK130:$MN130,"Inescapável")&gt;0,OR($OH130&gt;1,$OI130&gt;0)),"Inescapável não aceita outra peça",""),IF(AND($MF130&gt;0,$OQ130*IF(COUNTIF($MK130:$MN130,"Remate")&gt;0,1.25,1)+$OR130&gt;4*$MF130),($OQ130*IF(COUNTIF($MK130:$MN130,"Remate")&gt;0,1.25,1)+$OR130)&amp;" dados somando repetições"&amp;IF(COUNTIF($MK130:$MN130,"Remate")&gt;0," e o Remate","")&amp;": o teto da Classe "&amp;$MF130&amp;" é "&amp;4*$MF130,"")))</f>
        <v/>
      </c>
      <c r="PH130" s="152">
        <f>IF($PG130="",0,(LEN($PG130)-LEN(SUBSTITUTE($PG130," · ","")))/3+1)</f>
        <v/>
      </c>
      <c r="PI130" s="152">
        <f>IF($MQ130=0,"",TEXTJOIN(" · ",TRUE,IF($OK130&gt;2*$MF130,"A devolução parou no teto de "&amp;2*$MF130,""),IF($ON130&gt;0,"Devolução perdida: "&amp;$ON130&amp;IF($ON130&gt;1," pontos"," ponto")&amp;" sem peça para pagar",""),IF(AND($NP130&gt;0,AND($MF130&gt;0,$NT130=0),$OQ130=0),"Controle sem dano: uma rodada a mais e CD +2",""),IF(AND($NP130&gt;0,AND($MF130&gt;0,$NT130=0),$OQ130&gt;0,$OQ130&lt;=$MF130),"Controle com saldo até a Classe: uma rodada a mais",""),IF(AND($MF130&gt;0,$NR130&lt;&gt;""),"Efeito de "&amp;$NR130&amp;" pela Classe "&amp;MAX(1,$MF130-1),"")))</f>
        <v/>
      </c>
      <c r="PJ130" s="152">
        <f>IF($PI130="",0,(LEN($PI130)-LEN(SUBSTITUTE($PI130," · ","")))/3+1)</f>
        <v/>
      </c>
      <c r="PK130" s="152">
        <f>IF($MQ130=0,IF($OH130+COUNTIF($MO130:$MP130,"?*")&gt;0,"Dê um nome",""),IF($PH130&gt;0,"⚠ "&amp;$PH130&amp;IF($PH130&gt;1," erros"," erro"),IF($PJ130&gt;0,"! "&amp;$PJ130&amp;IF($PJ130&gt;1," avisos"," aviso"),"Na regra")))</f>
        <v/>
      </c>
      <c r="PL130" s="152">
        <f>IF($MQ130=0,"",IF($PH130+$PJ130=0,"Dentro das regras que a ficha confere",$PG130&amp;IF(AND($PH130&gt;0,$PJ130&gt;0)," · ","")&amp;$PI130))</f>
        <v/>
      </c>
      <c r="PM130" s="152">
        <f>IF($MD130&gt;$MR130,$ME130&amp;" · ABRE NO NÍVEL "&amp;$MD130,$ME130)</f>
        <v/>
      </c>
      <c r="PN130" s="152">
        <f>IF($MQ130=0,"",IF($MF130=0,"Sem PE",3*$MF130&amp;" PE"))</f>
        <v/>
      </c>
      <c r="PO130" s="152">
        <f>IF($MQ130=0,"",IF($MF130=0,"A atuação básica dela",IF(COUNTIF($NX130:$NY130,"Atrasar")&gt;0,"Sua Ação Completa",IF(COUNTIF($MK130:$MN130,"Rápido")&gt;0,"Sua Bônus",IF(COUNTIF($MK130:$MN130,"Reação")&gt;0,"Sua Reação","Sua Padrão")))&amp;" + a básica dela"&amp;IF(COUNTIF($MK130:$MN130,"Reação")&gt;0," e a coletiva","")&amp;IF(COUNTIF($NX130:$NY130,"Carregar")&gt;0," · em dois turnos","")))</f>
        <v/>
      </c>
      <c r="PP130" s="152">
        <f>IF($MJ130&lt;&gt;"",$MJ130,IF($MW130=0,"",INDEX($AA$2:$AA$11,$MW130)))</f>
        <v/>
      </c>
      <c r="PQ130" s="152">
        <f>IF(OR($MQ130=0,$MW130=0),"",IF(COUNTIF($MK130:$MN130,"Inescapável")&gt;0,"Automático",IF($PP130="Ataque",IF($MU130="","Ataque","Ataque "&amp;IF(($MU130+2*IF(COUNTIF($MK130:$MN130,"Precisão")&gt;0,1,0))&gt;=0,"+","−")&amp;ABS(($MU130+2*IF(COUNTIF($MK130:$MN130,"Precisão")&gt;0,1,0))))&amp;IF($NQ130&gt;0," · TR"&amp;IF($MV130="",""," CD "&amp;$MV130),""),IF(LEFT($PP130,2)="TR",$PP130&amp;IF($MV130="",""," · CD "&amp;$MV130)&amp;IF(COUNTIF($MK130:$MN130,"Certeiro")&gt;0," · metade",""),"Sem rolagem"))))</f>
        <v/>
      </c>
      <c r="PR130" s="152">
        <f>IF(OR($MQ130=0,$MW130=0),"",IF($MF130=0,IF(OR($NT130&gt;=1,$OQ130=0),"Sem dano",$OQ130&amp;"d6"&amp;IF($MI130="",""," "&amp;$MI130)),IF(OR($NT130&gt;=1,$OQ130=0),UPPER(LEFT(INDEX($OZ130:$PF130,1,MAX(1,$MF130)),1))&amp;MID(INDEX($OZ130:$PF130,1,MAX(1,$MF130)),2,99),UPPER(LEFT(INDEX($OZ130:$PF130,1,MAX(1,$MF130)),1))&amp;MID(INDEX($OZ130:$PF130,1,MAX(1,$MF130)),2,99)&amp;IF($MI130="",""," "&amp;$MI130)&amp;IF($OR130&gt;0," · +"&amp;$OR130&amp;"d8",""))))</f>
        <v/>
      </c>
      <c r="PS130" s="152">
        <f>COUNTIF($MK130:$MN130,"Longe")+3*COUNTIF($MK130:$MN130,"Muito Longe")</f>
        <v/>
      </c>
      <c r="PT130" s="152">
        <f>COUNTIF($MK130:$MN130,"Maior")+3*COUNTIF($MK130:$MN130,"Muito Maior")</f>
        <v/>
      </c>
      <c r="PU130" s="152">
        <f>IF($MW130=0,0,CHOOSE(1+INDEX($AC$2:$AC$11,$MW130),0,$PS130,$PT130,$PS130+$PT130))</f>
        <v/>
      </c>
      <c r="PV130" s="152">
        <f>IF($MW130=0,0,CHOOSE(1+INDEX($AD$2:$AD$11,$MW130),0,$PS130,$PT130,$PS130+$PT130))</f>
        <v/>
      </c>
      <c r="PW130" s="152">
        <f>IF(OR($MQ130=0,$MW130=0),"",INDEX($AI$2:$AN$41,($MW130-1)*4+IF($MF130=0,1,IF($MF130&lt;=5,2,IF($MF130=6,3,4))),1+MIN(5,$PU130))&amp;INDEX($AO$2:$AT$41,($MW130-1)*4+IF($MF130=0,1,IF($MF130&lt;=5,2,IF($MF130=6,3,4))),1+MIN(5,$PV130))&amp;IF(INDEX($AE$2:$AE$11,$MW130)=1,IF(COUNTIF($MK130:$MN130,"Mais Um")&gt;0," · +"&amp;COUNTIF($MK130:$MN130,"Mais Um")&amp;IF(COUNTIF($MK130:$MN130,"Mais Um")&gt;1," alvos"," alvo"),"")&amp;IF(COUNTIF($MK130:$MN130,"Rajada")&gt;0,IF($MF130=0," · 1 tiro"," · "&amp;(MAX(1,$MF130-1)+1)&amp;" tiros"),""),""))</f>
        <v/>
      </c>
      <c r="PX130" s="152">
        <f>IF($MQ130=0,"",IF($MF130=0,$MT130&amp;"d6"&amp;IF($OH130&gt;0," − 1 = "&amp;$OQ130&amp;"d6"," da básica do nível "&amp;$MR130),$OO130&amp;" − "&amp;$OJ130&amp;" + "&amp;$OM130&amp;" = "&amp;$OP130&amp;" · teto "&amp;4*$MF130&amp;"d8"&amp;IF($NS130=1," · a Forma devolve "&amp;$MF130,"")&amp;IF($ON130&gt;0," · perde "&amp;$ON130,"")))</f>
        <v/>
      </c>
      <c r="PY130" s="152">
        <f>IF($MQ130=0,"",IF($MF130=0,"A básica não amplia: os dados dela sobem com o nível",IF($MF130&gt;=$MS130,"Já está na maior Classe que o nível liberou",TEXTJOIN(" · ",TRUE,IF(AND(2&gt;$MF130,2&lt;=$MS130),"2 → "&amp;$PA130&amp;", 6 PE",""),IF(AND(3&gt;$MF130,3&lt;=$MS130),"3 → "&amp;$PB130&amp;", 9 PE",""),IF(AND(4&gt;$MF130,4&lt;=$MS130),"4 → "&amp;$PC130&amp;", 12 PE",""),IF(AND(5&gt;$MF130,5&lt;=$MS130),"5 → "&amp;$PD130&amp;", 15 PE",""),IF(AND(6&gt;$MF130,6&lt;=$MS130),"6 → "&amp;$PE130&amp;", 18 PE",""),IF(AND(7&gt;$MF130,7&lt;=$MS130),"7 → "&amp;$PF130&amp;", 21 PE","")))))</f>
        <v/>
      </c>
      <c r="PZ130" s="152">
        <f>IF(OR($MQ130=0,$NB130=0),"",IF($MF130=0,"−1 dado","−"&amp;INDEX($I$2:$N$8,MAX(1,$MF130),MAX(1,$NG130))&amp;" · "&amp;CHOOSE(MAX(1,$NG130),"Leve","Média","Pesada","Leve · Livre","Média · Livre","Pesada · Livre")))</f>
        <v/>
      </c>
      <c r="QA130" s="152">
        <f>IF(OR($MQ130=0,$NC130=0),"",IF($MF130=0,"−1 dado","−"&amp;INDEX($I$2:$N$8,MAX(1,$MF130),MAX(1,$NH130))&amp;" · "&amp;CHOOSE(MAX(1,$NH130),"Leve","Média","Pesada","Leve · Livre","Média · Livre","Pesada · Livre")))</f>
        <v/>
      </c>
      <c r="QB130" s="152">
        <f>IF(OR($MQ130=0,$ND130=0),"",IF($MF130=0,"−1 dado","−"&amp;INDEX($I$2:$N$8,MAX(1,$MF130),MAX(1,$NI130))&amp;" · "&amp;CHOOSE(MAX(1,$NI130),"Leve","Média","Pesada","Leve · Livre","Média · Livre","Pesada · Livre")))</f>
        <v/>
      </c>
      <c r="QC130" s="152">
        <f>IF(OR($MQ130=0,$NE130=0),"",IF($MF130=0,"−1 dado","−"&amp;INDEX($I$2:$N$8,MAX(1,$MF130),MAX(1,$NJ130))&amp;" · "&amp;CHOOSE(MAX(1,$NJ130),"Leve","Média","Pesada","Leve · Livre","Média · Livre","Pesada · Livre")))</f>
        <v/>
      </c>
      <c r="QD130" s="152">
        <f>IF(OR($MQ130=0,$MO130=""),"",IF($MF130=0,"não devolve","+"&amp;IF($NV130=1,CEILING($MF130/2,1),$MF130)))</f>
        <v/>
      </c>
      <c r="QE130" s="152">
        <f>IF(OR($MQ130=0,$MP130=""),"",IF($MF130=0,"não devolve","+"&amp;IF($NW130=1,CEILING($MF130/2,1),$MF130)))</f>
        <v/>
      </c>
    </row>
    <row r="131">
      <c r="MA131" s="150" t="inlineStr">
        <is>
          <t>Ficha 10 · Escolha da trilha 3</t>
        </is>
      </c>
      <c r="MB131" s="152" t="n">
        <v>10</v>
      </c>
      <c r="MC131" s="152" t="n">
        <v>2</v>
      </c>
      <c r="MD131" s="152" t="n">
        <v>0</v>
      </c>
      <c r="ME131" s="150" t="inlineStr">
        <is>
          <t>ESCOLHA DA TRILHA 3</t>
        </is>
      </c>
      <c r="MF131" s="152">
        <f>MAX(0,MIN(7,N('INVOCAÇÕES'!$AN$754)))</f>
        <v/>
      </c>
      <c r="MG131" s="152">
        <f>'INVOCAÇÕES'!$AO$754&amp;""</f>
        <v/>
      </c>
      <c r="MH131" s="152">
        <f>'INVOCAÇÕES'!$AN$759&amp;""</f>
        <v/>
      </c>
      <c r="MI131" s="152">
        <f>'INVOCAÇÕES'!$AN$760&amp;""</f>
        <v/>
      </c>
      <c r="MJ131" s="152">
        <f>'INVOCAÇÕES'!$AP$760&amp;""</f>
        <v/>
      </c>
      <c r="MK131" s="152">
        <f>'INVOCAÇÕES'!$AO$763&amp;""</f>
        <v/>
      </c>
      <c r="ML131" s="152">
        <f>'INVOCAÇÕES'!$AO$764&amp;""</f>
        <v/>
      </c>
      <c r="MM131" s="152">
        <f>'INVOCAÇÕES'!$AO$765&amp;""</f>
        <v/>
      </c>
      <c r="MN131" s="152">
        <f>'INVOCAÇÕES'!$AO$766&amp;""</f>
        <v/>
      </c>
      <c r="MO131" s="152">
        <f>'INVOCAÇÕES'!$AO$767&amp;""</f>
        <v/>
      </c>
      <c r="MP131" s="152">
        <f>'INVOCAÇÕES'!$AO$768&amp;""</f>
        <v/>
      </c>
      <c r="MQ131" s="152">
        <f>IF($MG131&lt;&gt;"",1,0)</f>
        <v/>
      </c>
      <c r="MR131" s="152">
        <f>INDEX($FI$2:$FI$13,$MB131)</f>
        <v/>
      </c>
      <c r="MS131" s="152">
        <f>INDEX($FJ$2:$FJ$13,$MB131)</f>
        <v/>
      </c>
      <c r="MT131" s="152">
        <f>INDEX($FK$2:$FK$13,$MB131)</f>
        <v/>
      </c>
      <c r="MU131" s="152">
        <f>INDEX($FV$2:$FV$13,$MB131)</f>
        <v/>
      </c>
      <c r="MV131" s="152">
        <f>INDEX($FW$2:$FW$13,$MB131)</f>
        <v/>
      </c>
      <c r="MW131" s="152">
        <f>IFERROR(MATCH($MH131,$V$2:$V$11,0),0)</f>
        <v/>
      </c>
      <c r="MX131" s="152">
        <f>IFERROR(VLOOKUP($MK131,$AV$2:$BA$84,2,FALSE),"")</f>
        <v/>
      </c>
      <c r="MY131" s="152">
        <f>IFERROR(VLOOKUP($ML131,$AV$2:$BA$84,2,FALSE),"")</f>
        <v/>
      </c>
      <c r="MZ131" s="152">
        <f>IFERROR(VLOOKUP($MM131,$AV$2:$BA$84,2,FALSE),"")</f>
        <v/>
      </c>
      <c r="NA131" s="152">
        <f>IFERROR(VLOOKUP($MN131,$AV$2:$BA$84,2,FALSE),"")</f>
        <v/>
      </c>
      <c r="NB131" s="152">
        <f>IFERROR(VLOOKUP($MK131,$AV$2:$BA$84,3,FALSE),0)</f>
        <v/>
      </c>
      <c r="NC131" s="152">
        <f>IFERROR(VLOOKUP($ML131,$AV$2:$BA$84,3,FALSE),0)</f>
        <v/>
      </c>
      <c r="ND131" s="152">
        <f>IFERROR(VLOOKUP($MM131,$AV$2:$BA$84,3,FALSE),0)</f>
        <v/>
      </c>
      <c r="NE131" s="152">
        <f>IFERROR(VLOOKUP($MN131,$AV$2:$BA$84,3,FALSE),0)</f>
        <v/>
      </c>
      <c r="NF131" s="152">
        <f>IF($MF131=0,0,IF($MW131=0,0,INDEX($X$2:$X$11,$MW131)))</f>
        <v/>
      </c>
      <c r="NG131" s="152">
        <f>IF(OR($NB131=0,$MF131=0),0,$NB131+3*IF(AND($MX131&lt;&gt;"",OR($MX131=INDEX($EF$2:$EF$13,$MB131),$MX131=INDEX($EG$2:$EG$13,$MB131))),1,0))</f>
        <v/>
      </c>
      <c r="NH131" s="152">
        <f>IF(OR($NC131=0,$MF131=0),0,$NC131+3*IF(AND($MY131&lt;&gt;"",OR($MY131=INDEX($EF$2:$EF$13,$MB131),$MY131=INDEX($EG$2:$EG$13,$MB131))),1,0))</f>
        <v/>
      </c>
      <c r="NI131" s="152">
        <f>IF(OR($ND131=0,$MF131=0),0,$ND131+3*IF(AND($MZ131&lt;&gt;"",OR($MZ131=INDEX($EF$2:$EF$13,$MB131),$MZ131=INDEX($EG$2:$EG$13,$MB131))),1,0))</f>
        <v/>
      </c>
      <c r="NJ131" s="152">
        <f>IF(OR($NE131=0,$MF131=0),0,$NE131+3*IF(AND($NA131&lt;&gt;"",OR($NA131=INDEX($EF$2:$EF$13,$MB131),$NA131=INDEX($EG$2:$EG$13,$MB131))),1,0))</f>
        <v/>
      </c>
      <c r="NK131" s="152">
        <f>IF($MW131=0,0,IF(INDEX($W$2:$W$11,$MW131)="",0,IF(COUNTIF(INDEX($EF$2:$EJ$13,$MB131,0),INDEX($W$2:$W$11,$MW131))=0,1,0)))</f>
        <v/>
      </c>
      <c r="NL131" s="152">
        <f>IF(OR($NB131=0,$MX131=""),0,IF(COUNTIF(INDEX($EF$2:$EJ$13,$MB131,0),$MX131)=0,1,0))</f>
        <v/>
      </c>
      <c r="NM131" s="152">
        <f>IF(OR($NC131=0,$MY131=""),0,IF(COUNTIF(INDEX($EF$2:$EJ$13,$MB131,0),$MY131)=0,1,0))</f>
        <v/>
      </c>
      <c r="NN131" s="152">
        <f>IF(OR($ND131=0,$MZ131=""),0,IF(COUNTIF(INDEX($EF$2:$EJ$13,$MB131,0),$MZ131)=0,1,0))</f>
        <v/>
      </c>
      <c r="NO131" s="152">
        <f>IF(OR($NE131=0,$NA131=""),0,IF(COUNTIF(INDEX($EF$2:$EJ$13,$MB131,0),$NA131)=0,1,0))</f>
        <v/>
      </c>
      <c r="NP131" s="152">
        <f>IFERROR(VLOOKUP($MK131,$AV$2:$BA$84,4,FALSE),0)+IFERROR(VLOOKUP($ML131,$AV$2:$BA$84,4,FALSE),0)+IFERROR(VLOOKUP($MM131,$AV$2:$BA$84,4,FALSE),0)+IFERROR(VLOOKUP($MN131,$AV$2:$BA$84,4,FALSE),0)</f>
        <v/>
      </c>
      <c r="NQ131" s="152">
        <f>IFERROR(VLOOKUP($MK131,$AV$2:$BA$84,6,FALSE),0)+IFERROR(VLOOKUP($ML131,$AV$2:$BA$84,6,FALSE),0)+IFERROR(VLOOKUP($MM131,$AV$2:$BA$84,6,FALSE),0)+IFERROR(VLOOKUP($MN131,$AV$2:$BA$84,6,FALSE),0)</f>
        <v/>
      </c>
      <c r="NR131" s="152">
        <f>TEXTJOIN(", ",TRUE,IF(IFERROR(VLOOKUP($MK131,$AV$2:$BA$84,5,FALSE),0)=1,$MK131,""),IF(IFERROR(VLOOKUP($ML131,$AV$2:$BA$84,5,FALSE),0)=1,$ML131,""),IF(IFERROR(VLOOKUP($MM131,$AV$2:$BA$84,5,FALSE),0)=1,$MM131,""),IF(IFERROR(VLOOKUP($MN131,$AV$2:$BA$84,5,FALSE),0)=1,$MN131,""))</f>
        <v/>
      </c>
      <c r="NS131" s="152">
        <f>IF($MW131=0,0,INDEX($Y$2:$Y$11,$MW131))</f>
        <v/>
      </c>
      <c r="NT131" s="152">
        <f>IF($MW131=0,0,INDEX($Z$2:$Z$11,$MW131))</f>
        <v/>
      </c>
      <c r="NU131" s="152">
        <f>IF($MW131=0,0,INDEX($AB$2:$AB$11,$MW131))</f>
        <v/>
      </c>
      <c r="NV131" s="152">
        <f>IFERROR(VLOOKUP($MO131,$BC$2:$BG$24,3,FALSE),0)</f>
        <v/>
      </c>
      <c r="NW131" s="152">
        <f>IFERROR(VLOOKUP($MP131,$BC$2:$BG$24,3,FALSE),0)</f>
        <v/>
      </c>
      <c r="NX131" s="152">
        <f>IFERROR(VLOOKUP($MO131,$BC$2:$BG$24,2,FALSE),"")</f>
        <v/>
      </c>
      <c r="NY131" s="152">
        <f>IFERROR(VLOOKUP($MP131,$BC$2:$BG$24,2,FALSE),"")</f>
        <v/>
      </c>
      <c r="NZ131" s="152">
        <f>COUNTIF($NF131:$NJ131,1)</f>
        <v/>
      </c>
      <c r="OA131" s="152">
        <f>COUNTIF($NF131:$NJ131,2)</f>
        <v/>
      </c>
      <c r="OB131" s="152">
        <f>COUNTIF($NF131:$NJ131,3)</f>
        <v/>
      </c>
      <c r="OC131" s="152">
        <f>COUNTIF($NF131:$NJ131,4)</f>
        <v/>
      </c>
      <c r="OD131" s="152">
        <f>COUNTIF($NF131:$NJ131,5)</f>
        <v/>
      </c>
      <c r="OE131" s="152">
        <f>COUNTIF($NF131:$NJ131,6)</f>
        <v/>
      </c>
      <c r="OF131" s="152">
        <f>COUNTIF($NV131:$NW131,1)</f>
        <v/>
      </c>
      <c r="OG131" s="152">
        <f>COUNTIF($NV131:$NW131,2)+$NS131</f>
        <v/>
      </c>
      <c r="OH131" s="152">
        <f>COUNTIF($MK131:$MN131,"?*")</f>
        <v/>
      </c>
      <c r="OI131" s="152">
        <f>COUNTIF($MO131:$MP131,"?*")+$NS131</f>
        <v/>
      </c>
      <c r="OJ131" s="152">
        <f>IF($MF131=0,0,SUMPRODUCT($NZ131:$OE131,INDEX($I$2:$N$8,MAX(1,$MF131),0)))</f>
        <v/>
      </c>
      <c r="OK131" s="152">
        <f>IF($MF131=0,0,$OF131*CEILING($MF131/2,1)+$OG131*$MF131)</f>
        <v/>
      </c>
      <c r="OL131" s="152">
        <f>MIN(2*$MF131,$OK131)</f>
        <v/>
      </c>
      <c r="OM131" s="152">
        <f>MIN($OL131,$OJ131)</f>
        <v/>
      </c>
      <c r="ON131" s="152">
        <f>$OL131-$OM131</f>
        <v/>
      </c>
      <c r="OO131" s="152">
        <f>IF($MF131=0,0,INDEX($P$2:$P$8,MAX(1,$MF131)))</f>
        <v/>
      </c>
      <c r="OP131" s="152">
        <f>$OO131-$OJ131+$OM131</f>
        <v/>
      </c>
      <c r="OQ131" s="152">
        <f>IF($MF131=0,MAX(0,$MT131-IF($OH131&gt;0,1,0)),MAX(0,$OP131))</f>
        <v/>
      </c>
      <c r="OR131" s="152">
        <f>IF($MF131=0,0,(IF(COUNTIF($MK131:$MN131,"Salto")&gt;0,1,0)+IF(COUNTIF($MK131:$MN131,"Queima")&gt;0,1,0)+IF(COUNTIF($MK131:$MN131,"Estilhaço")&gt;0,1,0))*FLOOR($OQ131/2,1))</f>
        <v/>
      </c>
      <c r="OS131" s="152">
        <f>MAX(0,2-SUMPRODUCT($NZ131:$OE131,$I$2:$N$2)+MIN(2,$OF131*1+$OG131*1,SUMPRODUCT($NZ131:$OE131,$I$2:$N$2)))</f>
        <v/>
      </c>
      <c r="OT131" s="152">
        <f>MAX(0,4-SUMPRODUCT($NZ131:$OE131,$I$3:$N$3)+MIN(4,$OF131*1+$OG131*2,SUMPRODUCT($NZ131:$OE131,$I$3:$N$3)))</f>
        <v/>
      </c>
      <c r="OU131" s="152">
        <f>MAX(0,6-SUMPRODUCT($NZ131:$OE131,$I$4:$N$4)+MIN(6,$OF131*2+$OG131*3,SUMPRODUCT($NZ131:$OE131,$I$4:$N$4)))</f>
        <v/>
      </c>
      <c r="OV131" s="152">
        <f>MAX(0,9-SUMPRODUCT($NZ131:$OE131,$I$5:$N$5)+MIN(8,$OF131*2+$OG131*4,SUMPRODUCT($NZ131:$OE131,$I$5:$N$5)))</f>
        <v/>
      </c>
      <c r="OW131" s="152">
        <f>MAX(0,11-SUMPRODUCT($NZ131:$OE131,$I$6:$N$6)+MIN(10,$OF131*3+$OG131*5,SUMPRODUCT($NZ131:$OE131,$I$6:$N$6)))</f>
        <v/>
      </c>
      <c r="OX131" s="152">
        <f>MAX(0,13-SUMPRODUCT($NZ131:$OE131,$I$7:$N$7)+MIN(12,$OF131*3+$OG131*6,SUMPRODUCT($NZ131:$OE131,$I$7:$N$7)))</f>
        <v/>
      </c>
      <c r="OY131" s="152">
        <f>MAX(0,16-SUMPRODUCT($NZ131:$OE131,$I$8:$N$8)+MIN(14,$OF131*4+$OG131*7,SUMPRODUCT($NZ131:$OE131,$I$8:$N$8)))</f>
        <v/>
      </c>
      <c r="OZ131" s="152">
        <f>IF($NT131=2,3*$OS131&amp;" de vida temp.",IF($NT131=3,"sem dano",IF($OS131=0,IF($NT131=1,"sem cura","sem dano"),IF($NT131=1,"cura ","")&amp;$OS131&amp;"d8")))</f>
        <v/>
      </c>
      <c r="PA131" s="152">
        <f>IF($NT131=2,3*$OT131&amp;" de vida temp.",IF($NT131=3,"sem dano",IF($OT131=0,IF($NT131=1,"sem cura","sem dano"),IF($NT131=1,"cura ","")&amp;$OT131&amp;"d8")))</f>
        <v/>
      </c>
      <c r="PB131" s="152">
        <f>IF($NT131=2,3*$OU131&amp;" de vida temp.",IF($NT131=3,"sem dano",IF($OU131=0,IF($NT131=1,"sem cura","sem dano"),IF($NT131=1,"cura ","")&amp;$OU131&amp;"d8")))</f>
        <v/>
      </c>
      <c r="PC131" s="152">
        <f>IF($NT131=2,3*$OV131&amp;" de vida temp.",IF($NT131=3,"sem dano",IF($OV131=0,IF($NT131=1,"sem cura","sem dano"),IF($NT131=1,"cura ","")&amp;$OV131&amp;"d8")))</f>
        <v/>
      </c>
      <c r="PD131" s="152">
        <f>IF($NT131=2,3*$OW131&amp;" de vida temp.",IF($NT131=3,"sem dano",IF($OW131=0,IF($NT131=1,"sem cura","sem dano"),IF($NT131=1,"cura ","")&amp;$OW131&amp;"d8")))</f>
        <v/>
      </c>
      <c r="PE131" s="152">
        <f>IF($NT131=2,3*$OX131&amp;" de vida temp.",IF($NT131=3,"sem dano",IF($OX131=0,IF($NT131=1,"sem cura","sem dano"),IF($NT131=1,"cura ","")&amp;$OX131&amp;"d8")))</f>
        <v/>
      </c>
      <c r="PF131" s="152">
        <f>IF($NT131=2,3*$OY131&amp;" de vida temp.",IF($NT131=3,"sem dano",IF($OY131=0,IF($NT131=1,"sem cura","sem dano"),IF($NT131=1,"cura ","")&amp;$OY131&amp;"d8")))</f>
        <v/>
      </c>
      <c r="PG131" s="152">
        <f>IF($MQ131=0,"",TEXTJOIN(" · ",TRUE,IF($MD131&gt;$MR131,"Este lugar abre no nível "&amp;$MD131,""),IF($MF131&gt;$MS131,"Classe "&amp;$MF131&amp;": o nível "&amp;$MR131&amp;" libera até a "&amp;$MS131,""),IF($NK131=1,"A Forma "&amp;$MH131&amp;" pede "&amp;INDEX($W$2:$W$11,$MW131)&amp;" aberta",""),IF(AND($MF131=0,$MW131&gt;0,IF($MW131=0,0,INDEX($AF$2:$AF$11,$MW131))=0),$MH131&amp;" não existe na Classe 0",""),IF($NL131=1,"Família Fechada: "&amp;$MK131,""),IF($NM131=1,"Família Fechada: "&amp;$ML131,""),IF($NN131=1,"Família Fechada: "&amp;$MM131,""),IF($NO131=1,"Família Fechada: "&amp;$MN131,""),IF(AND($MF131&gt;0,$OH131&gt;INDEX($O$2:$O$8,MAX(1,$MF131))),$OH131&amp;" Melhorias: a Classe "&amp;$MF131&amp;" aceita "&amp;INDEX($O$2:$O$8,MAX(1,$MF131)),""),IF(AND($MF131=0,$OH131&gt;1),"A básica aceita uma Melhoria",""),IF(AND($MF131=0,COUNTIF($NB131:$NE131,"&gt;1")&gt;0),"A básica só aceita Melhoria Leve",""),IF(AND($MF131&gt;0,$OI131&gt;2),$OI131&amp;" Restrições"&amp;IF($NS131=1,", contando a que a Forma "&amp;$MH131&amp;" já traz","")&amp;": o limite é 2",""),IF(AND($MF131=0,COUNTIF($MO131:$MP131,"?*")&gt;1),"A básica aceita uma Restrição Leve",""),IF(AND($MF131=0,COUNTIF($NV131:$NW131,2)&gt;0),"A básica só aceita Restrição Leve",""),IF(AND($MF131&gt;0,$OP131&lt;0),"Orçamento estourado: faltam "&amp;(-$OP131)&amp;IF($OP131&lt;-1," pontos"," ponto"),""),IF(IFERROR(VLOOKUP($MO131,$BC$2:$BG$24,4,FALSE),0)+IFERROR(VLOOKUP($MP131,$BC$2:$BG$24,4,FALSE),0)&gt;1,$NX131&amp;" e "&amp;$NY131&amp;" são as duas de frequência",""),IF(AND((COUNTIF($MK131:$MN131,"Rápido")+COUNTIF($NX131:$NY131,"Rápido"))&gt;0,(COUNTIF($MK131:$MN131,"Atrasar")+COUNTIF($NX131:$NY131,"Atrasar"))&gt;0),"Rápido não entra com Atrasar",""),IF(AND((COUNTIF($MK131:$MN131,"Reação")+COUNTIF($NX131:$NY131,"Reação"))&gt;0,(COUNTIF($MK131:$MN131,"Rápido")+COUNTIF($NX131:$NY131,"Rápido"))&gt;0),"Reação não entra com Rápido",""),IF(AND((COUNTIF($MK131:$MN131,"Reação")+COUNTIF($NX131:$NY131,"Reação"))&gt;0,(COUNTIF($MK131:$MN131,"Armado")+COUNTIF($NX131:$NY131,"Armado"))&gt;0),"Reação não entra com Armado",""),IF(AND((COUNTIF($MK131:$MN131,"Reação")+COUNTIF($NX131:$NY131,"Reação"))&gt;0,(COUNTIF($MK131:$MN131,"Atrasar")+COUNTIF($NX131:$NY131,"Atrasar"))&gt;0),"Reação não entra com Atrasar",""),IF(AND((COUNTIF($MK131:$MN131,"Reação")+COUNTIF($NX131:$NY131,"Reação"))&gt;0,(COUNTIF($MK131:$MN131,"Parado")+COUNTIF($NX131:$NY131,"Parado"))&gt;0),"Reação não entra com Parado",""),IF(AND((COUNTIF($MK131:$MN131,"Atrasar")+COUNTIF($NX131:$NY131,"Atrasar"))&gt;0,(COUNTIF($MK131:$MN131,"Parado")+COUNTIF($NX131:$NY131,"Parado"))&gt;0),"Atrasar não entra com Parado",""),IF(AND((COUNTIF($MK131:$MN131,"Armado")+COUNTIF($NX131:$NY131,"Armado"))&gt;0,(COUNTIF($MK131:$MN131,"Carregar")+COUNTIF($NX131:$NY131,"Carregar"))&gt;0),"Armado não entra com Carregar",""),IF(AND(COUNTIF($NX131:$NY131,"Corpo a Corpo")&gt;0,$NS131=0,OR($MH131="Cone",$MH131="Linha")),"Corpo a Corpo não entra em "&amp;$MH131,""),IF(AND(COUNTIF($NX131:$NY131,"Corpo a Corpo")&gt;0,$NS131=1),"A Forma "&amp;$MH131&amp;" já traz o Corpo a Corpo",""),IF(AND(COUNTIF($NX131:$NY131,"Tudo ou Nada")&gt;0,$NU131=0),"Tudo ou Nada só entra em habilidade de Teste de Resistência",""),IF(AND(COUNTIF($MK131:$MN131,"Inescapável")&gt;0,OR($OH131&gt;1,$OI131&gt;0)),"Inescapável não aceita outra peça",""),IF(AND($MF131&gt;0,$OQ131*IF(COUNTIF($MK131:$MN131,"Remate")&gt;0,1.25,1)+$OR131&gt;4*$MF131),($OQ131*IF(COUNTIF($MK131:$MN131,"Remate")&gt;0,1.25,1)+$OR131)&amp;" dados somando repetições"&amp;IF(COUNTIF($MK131:$MN131,"Remate")&gt;0," e o Remate","")&amp;": o teto da Classe "&amp;$MF131&amp;" é "&amp;4*$MF131,"")))</f>
        <v/>
      </c>
      <c r="PH131" s="152">
        <f>IF($PG131="",0,(LEN($PG131)-LEN(SUBSTITUTE($PG131," · ","")))/3+1)</f>
        <v/>
      </c>
      <c r="PI131" s="152">
        <f>IF($MQ131=0,"",TEXTJOIN(" · ",TRUE,IF($OK131&gt;2*$MF131,"A devolução parou no teto de "&amp;2*$MF131,""),IF($ON131&gt;0,"Devolução perdida: "&amp;$ON131&amp;IF($ON131&gt;1," pontos"," ponto")&amp;" sem peça para pagar",""),IF(AND($NP131&gt;0,AND($MF131&gt;0,$NT131=0),$OQ131=0),"Controle sem dano: uma rodada a mais e CD +2",""),IF(AND($NP131&gt;0,AND($MF131&gt;0,$NT131=0),$OQ131&gt;0,$OQ131&lt;=$MF131),"Controle com saldo até a Classe: uma rodada a mais",""),IF(AND($MF131&gt;0,$NR131&lt;&gt;""),"Efeito de "&amp;$NR131&amp;" pela Classe "&amp;MAX(1,$MF131-1),"")))</f>
        <v/>
      </c>
      <c r="PJ131" s="152">
        <f>IF($PI131="",0,(LEN($PI131)-LEN(SUBSTITUTE($PI131," · ","")))/3+1)</f>
        <v/>
      </c>
      <c r="PK131" s="152">
        <f>IF($MQ131=0,IF($OH131+COUNTIF($MO131:$MP131,"?*")&gt;0,"Dê um nome",""),IF($PH131&gt;0,"⚠ "&amp;$PH131&amp;IF($PH131&gt;1," erros"," erro"),IF($PJ131&gt;0,"! "&amp;$PJ131&amp;IF($PJ131&gt;1," avisos"," aviso"),"Na regra")))</f>
        <v/>
      </c>
      <c r="PL131" s="152">
        <f>IF($MQ131=0,"",IF($PH131+$PJ131=0,"Dentro das regras que a ficha confere",$PG131&amp;IF(AND($PH131&gt;0,$PJ131&gt;0)," · ","")&amp;$PI131))</f>
        <v/>
      </c>
      <c r="PM131" s="152">
        <f>IF($MD131&gt;$MR131,$ME131&amp;" · ABRE NO NÍVEL "&amp;$MD131,$ME131)</f>
        <v/>
      </c>
      <c r="PN131" s="152">
        <f>IF($MQ131=0,"",IF($MF131=0,"Sem PE",3*$MF131&amp;" PE"))</f>
        <v/>
      </c>
      <c r="PO131" s="152">
        <f>IF($MQ131=0,"",IF($MF131=0,"A atuação básica dela",IF(COUNTIF($NX131:$NY131,"Atrasar")&gt;0,"Sua Ação Completa",IF(COUNTIF($MK131:$MN131,"Rápido")&gt;0,"Sua Bônus",IF(COUNTIF($MK131:$MN131,"Reação")&gt;0,"Sua Reação","Sua Padrão")))&amp;" + a básica dela"&amp;IF(COUNTIF($MK131:$MN131,"Reação")&gt;0," e a coletiva","")&amp;IF(COUNTIF($NX131:$NY131,"Carregar")&gt;0," · em dois turnos","")))</f>
        <v/>
      </c>
      <c r="PP131" s="152">
        <f>IF($MJ131&lt;&gt;"",$MJ131,IF($MW131=0,"",INDEX($AA$2:$AA$11,$MW131)))</f>
        <v/>
      </c>
      <c r="PQ131" s="152">
        <f>IF(OR($MQ131=0,$MW131=0),"",IF(COUNTIF($MK131:$MN131,"Inescapável")&gt;0,"Automático",IF($PP131="Ataque",IF($MU131="","Ataque","Ataque "&amp;IF(($MU131+2*IF(COUNTIF($MK131:$MN131,"Precisão")&gt;0,1,0))&gt;=0,"+","−")&amp;ABS(($MU131+2*IF(COUNTIF($MK131:$MN131,"Precisão")&gt;0,1,0))))&amp;IF($NQ131&gt;0," · TR"&amp;IF($MV131="",""," CD "&amp;$MV131),""),IF(LEFT($PP131,2)="TR",$PP131&amp;IF($MV131="",""," · CD "&amp;$MV131)&amp;IF(COUNTIF($MK131:$MN131,"Certeiro")&gt;0," · metade",""),"Sem rolagem"))))</f>
        <v/>
      </c>
      <c r="PR131" s="152">
        <f>IF(OR($MQ131=0,$MW131=0),"",IF($MF131=0,IF(OR($NT131&gt;=1,$OQ131=0),"Sem dano",$OQ131&amp;"d6"&amp;IF($MI131="",""," "&amp;$MI131)),IF(OR($NT131&gt;=1,$OQ131=0),UPPER(LEFT(INDEX($OZ131:$PF131,1,MAX(1,$MF131)),1))&amp;MID(INDEX($OZ131:$PF131,1,MAX(1,$MF131)),2,99),UPPER(LEFT(INDEX($OZ131:$PF131,1,MAX(1,$MF131)),1))&amp;MID(INDEX($OZ131:$PF131,1,MAX(1,$MF131)),2,99)&amp;IF($MI131="",""," "&amp;$MI131)&amp;IF($OR131&gt;0," · +"&amp;$OR131&amp;"d8",""))))</f>
        <v/>
      </c>
      <c r="PS131" s="152">
        <f>COUNTIF($MK131:$MN131,"Longe")+3*COUNTIF($MK131:$MN131,"Muito Longe")</f>
        <v/>
      </c>
      <c r="PT131" s="152">
        <f>COUNTIF($MK131:$MN131,"Maior")+3*COUNTIF($MK131:$MN131,"Muito Maior")</f>
        <v/>
      </c>
      <c r="PU131" s="152">
        <f>IF($MW131=0,0,CHOOSE(1+INDEX($AC$2:$AC$11,$MW131),0,$PS131,$PT131,$PS131+$PT131))</f>
        <v/>
      </c>
      <c r="PV131" s="152">
        <f>IF($MW131=0,0,CHOOSE(1+INDEX($AD$2:$AD$11,$MW131),0,$PS131,$PT131,$PS131+$PT131))</f>
        <v/>
      </c>
      <c r="PW131" s="152">
        <f>IF(OR($MQ131=0,$MW131=0),"",INDEX($AI$2:$AN$41,($MW131-1)*4+IF($MF131=0,1,IF($MF131&lt;=5,2,IF($MF131=6,3,4))),1+MIN(5,$PU131))&amp;INDEX($AO$2:$AT$41,($MW131-1)*4+IF($MF131=0,1,IF($MF131&lt;=5,2,IF($MF131=6,3,4))),1+MIN(5,$PV131))&amp;IF(INDEX($AE$2:$AE$11,$MW131)=1,IF(COUNTIF($MK131:$MN131,"Mais Um")&gt;0," · +"&amp;COUNTIF($MK131:$MN131,"Mais Um")&amp;IF(COUNTIF($MK131:$MN131,"Mais Um")&gt;1," alvos"," alvo"),"")&amp;IF(COUNTIF($MK131:$MN131,"Rajada")&gt;0,IF($MF131=0," · 1 tiro"," · "&amp;(MAX(1,$MF131-1)+1)&amp;" tiros"),""),""))</f>
        <v/>
      </c>
      <c r="PX131" s="152">
        <f>IF($MQ131=0,"",IF($MF131=0,$MT131&amp;"d6"&amp;IF($OH131&gt;0," − 1 = "&amp;$OQ131&amp;"d6"," da básica do nível "&amp;$MR131),$OO131&amp;" − "&amp;$OJ131&amp;" + "&amp;$OM131&amp;" = "&amp;$OP131&amp;" · teto "&amp;4*$MF131&amp;"d8"&amp;IF($NS131=1," · a Forma devolve "&amp;$MF131,"")&amp;IF($ON131&gt;0," · perde "&amp;$ON131,"")))</f>
        <v/>
      </c>
      <c r="PY131" s="152">
        <f>IF($MQ131=0,"",IF($MF131=0,"A básica não amplia: os dados dela sobem com o nível",IF($MF131&gt;=$MS131,"Já está na maior Classe que o nível liberou",TEXTJOIN(" · ",TRUE,IF(AND(2&gt;$MF131,2&lt;=$MS131),"2 → "&amp;$PA131&amp;", 6 PE",""),IF(AND(3&gt;$MF131,3&lt;=$MS131),"3 → "&amp;$PB131&amp;", 9 PE",""),IF(AND(4&gt;$MF131,4&lt;=$MS131),"4 → "&amp;$PC131&amp;", 12 PE",""),IF(AND(5&gt;$MF131,5&lt;=$MS131),"5 → "&amp;$PD131&amp;", 15 PE",""),IF(AND(6&gt;$MF131,6&lt;=$MS131),"6 → "&amp;$PE131&amp;", 18 PE",""),IF(AND(7&gt;$MF131,7&lt;=$MS131),"7 → "&amp;$PF131&amp;", 21 PE","")))))</f>
        <v/>
      </c>
      <c r="PZ131" s="152">
        <f>IF(OR($MQ131=0,$NB131=0),"",IF($MF131=0,"−1 dado","−"&amp;INDEX($I$2:$N$8,MAX(1,$MF131),MAX(1,$NG131))&amp;" · "&amp;CHOOSE(MAX(1,$NG131),"Leve","Média","Pesada","Leve · Livre","Média · Livre","Pesada · Livre")))</f>
        <v/>
      </c>
      <c r="QA131" s="152">
        <f>IF(OR($MQ131=0,$NC131=0),"",IF($MF131=0,"−1 dado","−"&amp;INDEX($I$2:$N$8,MAX(1,$MF131),MAX(1,$NH131))&amp;" · "&amp;CHOOSE(MAX(1,$NH131),"Leve","Média","Pesada","Leve · Livre","Média · Livre","Pesada · Livre")))</f>
        <v/>
      </c>
      <c r="QB131" s="152">
        <f>IF(OR($MQ131=0,$ND131=0),"",IF($MF131=0,"−1 dado","−"&amp;INDEX($I$2:$N$8,MAX(1,$MF131),MAX(1,$NI131))&amp;" · "&amp;CHOOSE(MAX(1,$NI131),"Leve","Média","Pesada","Leve · Livre","Média · Livre","Pesada · Livre")))</f>
        <v/>
      </c>
      <c r="QC131" s="152">
        <f>IF(OR($MQ131=0,$NE131=0),"",IF($MF131=0,"−1 dado","−"&amp;INDEX($I$2:$N$8,MAX(1,$MF131),MAX(1,$NJ131))&amp;" · "&amp;CHOOSE(MAX(1,$NJ131),"Leve","Média","Pesada","Leve · Livre","Média · Livre","Pesada · Livre")))</f>
        <v/>
      </c>
      <c r="QD131" s="152">
        <f>IF(OR($MQ131=0,$MO131=""),"",IF($MF131=0,"não devolve","+"&amp;IF($NV131=1,CEILING($MF131/2,1),$MF131)))</f>
        <v/>
      </c>
      <c r="QE131" s="152">
        <f>IF(OR($MQ131=0,$MP131=""),"",IF($MF131=0,"não devolve","+"&amp;IF($NW131=1,CEILING($MF131/2,1),$MF131)))</f>
        <v/>
      </c>
    </row>
    <row r="132">
      <c r="MA132" s="150" t="inlineStr">
        <is>
          <t>Ficha 11 · Básica 1</t>
        </is>
      </c>
      <c r="MB132" s="152" t="n">
        <v>11</v>
      </c>
      <c r="MC132" s="152" t="n">
        <v>0</v>
      </c>
      <c r="MD132" s="152" t="n">
        <v>1</v>
      </c>
      <c r="ME132" s="150" t="inlineStr">
        <is>
          <t>BÁSICA 1</t>
        </is>
      </c>
      <c r="MF132" s="152" t="n">
        <v>0</v>
      </c>
      <c r="MG132" s="152">
        <f>'INVOCAÇÕES'!$AC$850&amp;""</f>
        <v/>
      </c>
      <c r="MH132" s="152">
        <f>'INVOCAÇÕES'!$AB$855&amp;""</f>
        <v/>
      </c>
      <c r="MI132" s="152">
        <f>'INVOCAÇÕES'!$AB$856&amp;""</f>
        <v/>
      </c>
      <c r="MJ132" s="152">
        <f>'INVOCAÇÕES'!$AD$856&amp;""</f>
        <v/>
      </c>
      <c r="MK132" s="152">
        <f>'INVOCAÇÕES'!$AC$859&amp;""</f>
        <v/>
      </c>
      <c r="ML132" s="152">
        <f>'INVOCAÇÕES'!$AC$860&amp;""</f>
        <v/>
      </c>
      <c r="MM132" s="152">
        <f>'INVOCAÇÕES'!$AC$861&amp;""</f>
        <v/>
      </c>
      <c r="MN132" s="152">
        <f>'INVOCAÇÕES'!$AC$862&amp;""</f>
        <v/>
      </c>
      <c r="MO132" s="152">
        <f>'INVOCAÇÕES'!$AC$863&amp;""</f>
        <v/>
      </c>
      <c r="MP132" s="152">
        <f>'INVOCAÇÕES'!$AC$864&amp;""</f>
        <v/>
      </c>
      <c r="MQ132" s="152">
        <f>IF($MG132&lt;&gt;"",1,0)</f>
        <v/>
      </c>
      <c r="MR132" s="152">
        <f>INDEX($FI$2:$FI$13,$MB132)</f>
        <v/>
      </c>
      <c r="MS132" s="152">
        <f>INDEX($FJ$2:$FJ$13,$MB132)</f>
        <v/>
      </c>
      <c r="MT132" s="152">
        <f>INDEX($FK$2:$FK$13,$MB132)</f>
        <v/>
      </c>
      <c r="MU132" s="152">
        <f>INDEX($FV$2:$FV$13,$MB132)</f>
        <v/>
      </c>
      <c r="MV132" s="152">
        <f>INDEX($FW$2:$FW$13,$MB132)</f>
        <v/>
      </c>
      <c r="MW132" s="152">
        <f>IFERROR(MATCH($MH132,$V$2:$V$11,0),0)</f>
        <v/>
      </c>
      <c r="MX132" s="152">
        <f>IFERROR(VLOOKUP($MK132,$AV$2:$BA$84,2,FALSE),"")</f>
        <v/>
      </c>
      <c r="MY132" s="152">
        <f>IFERROR(VLOOKUP($ML132,$AV$2:$BA$84,2,FALSE),"")</f>
        <v/>
      </c>
      <c r="MZ132" s="152">
        <f>IFERROR(VLOOKUP($MM132,$AV$2:$BA$84,2,FALSE),"")</f>
        <v/>
      </c>
      <c r="NA132" s="152">
        <f>IFERROR(VLOOKUP($MN132,$AV$2:$BA$84,2,FALSE),"")</f>
        <v/>
      </c>
      <c r="NB132" s="152">
        <f>IFERROR(VLOOKUP($MK132,$AV$2:$BA$84,3,FALSE),0)</f>
        <v/>
      </c>
      <c r="NC132" s="152">
        <f>IFERROR(VLOOKUP($ML132,$AV$2:$BA$84,3,FALSE),0)</f>
        <v/>
      </c>
      <c r="ND132" s="152">
        <f>IFERROR(VLOOKUP($MM132,$AV$2:$BA$84,3,FALSE),0)</f>
        <v/>
      </c>
      <c r="NE132" s="152">
        <f>IFERROR(VLOOKUP($MN132,$AV$2:$BA$84,3,FALSE),0)</f>
        <v/>
      </c>
      <c r="NF132" s="152">
        <f>IF($MF132=0,0,IF($MW132=0,0,INDEX($X$2:$X$11,$MW132)))</f>
        <v/>
      </c>
      <c r="NG132" s="152">
        <f>IF(OR($NB132=0,$MF132=0),0,$NB132+3*IF(AND($MX132&lt;&gt;"",OR($MX132=INDEX($EF$2:$EF$13,$MB132),$MX132=INDEX($EG$2:$EG$13,$MB132))),1,0))</f>
        <v/>
      </c>
      <c r="NH132" s="152">
        <f>IF(OR($NC132=0,$MF132=0),0,$NC132+3*IF(AND($MY132&lt;&gt;"",OR($MY132=INDEX($EF$2:$EF$13,$MB132),$MY132=INDEX($EG$2:$EG$13,$MB132))),1,0))</f>
        <v/>
      </c>
      <c r="NI132" s="152">
        <f>IF(OR($ND132=0,$MF132=0),0,$ND132+3*IF(AND($MZ132&lt;&gt;"",OR($MZ132=INDEX($EF$2:$EF$13,$MB132),$MZ132=INDEX($EG$2:$EG$13,$MB132))),1,0))</f>
        <v/>
      </c>
      <c r="NJ132" s="152">
        <f>IF(OR($NE132=0,$MF132=0),0,$NE132+3*IF(AND($NA132&lt;&gt;"",OR($NA132=INDEX($EF$2:$EF$13,$MB132),$NA132=INDEX($EG$2:$EG$13,$MB132))),1,0))</f>
        <v/>
      </c>
      <c r="NK132" s="152">
        <f>IF($MW132=0,0,IF(INDEX($W$2:$W$11,$MW132)="",0,IF(COUNTIF(INDEX($EF$2:$EJ$13,$MB132,0),INDEX($W$2:$W$11,$MW132))=0,1,0)))</f>
        <v/>
      </c>
      <c r="NL132" s="152">
        <f>IF(OR($NB132=0,$MX132=""),0,IF(COUNTIF(INDEX($EF$2:$EJ$13,$MB132,0),$MX132)=0,1,0))</f>
        <v/>
      </c>
      <c r="NM132" s="152">
        <f>IF(OR($NC132=0,$MY132=""),0,IF(COUNTIF(INDEX($EF$2:$EJ$13,$MB132,0),$MY132)=0,1,0))</f>
        <v/>
      </c>
      <c r="NN132" s="152">
        <f>IF(OR($ND132=0,$MZ132=""),0,IF(COUNTIF(INDEX($EF$2:$EJ$13,$MB132,0),$MZ132)=0,1,0))</f>
        <v/>
      </c>
      <c r="NO132" s="152">
        <f>IF(OR($NE132=0,$NA132=""),0,IF(COUNTIF(INDEX($EF$2:$EJ$13,$MB132,0),$NA132)=0,1,0))</f>
        <v/>
      </c>
      <c r="NP132" s="152">
        <f>IFERROR(VLOOKUP($MK132,$AV$2:$BA$84,4,FALSE),0)+IFERROR(VLOOKUP($ML132,$AV$2:$BA$84,4,FALSE),0)+IFERROR(VLOOKUP($MM132,$AV$2:$BA$84,4,FALSE),0)+IFERROR(VLOOKUP($MN132,$AV$2:$BA$84,4,FALSE),0)</f>
        <v/>
      </c>
      <c r="NQ132" s="152">
        <f>IFERROR(VLOOKUP($MK132,$AV$2:$BA$84,6,FALSE),0)+IFERROR(VLOOKUP($ML132,$AV$2:$BA$84,6,FALSE),0)+IFERROR(VLOOKUP($MM132,$AV$2:$BA$84,6,FALSE),0)+IFERROR(VLOOKUP($MN132,$AV$2:$BA$84,6,FALSE),0)</f>
        <v/>
      </c>
      <c r="NR132" s="152">
        <f>TEXTJOIN(", ",TRUE,IF(IFERROR(VLOOKUP($MK132,$AV$2:$BA$84,5,FALSE),0)=1,$MK132,""),IF(IFERROR(VLOOKUP($ML132,$AV$2:$BA$84,5,FALSE),0)=1,$ML132,""),IF(IFERROR(VLOOKUP($MM132,$AV$2:$BA$84,5,FALSE),0)=1,$MM132,""),IF(IFERROR(VLOOKUP($MN132,$AV$2:$BA$84,5,FALSE),0)=1,$MN132,""))</f>
        <v/>
      </c>
      <c r="NS132" s="152">
        <f>IF($MW132=0,0,INDEX($Y$2:$Y$11,$MW132))</f>
        <v/>
      </c>
      <c r="NT132" s="152">
        <f>IF($MW132=0,0,INDEX($Z$2:$Z$11,$MW132))</f>
        <v/>
      </c>
      <c r="NU132" s="152">
        <f>IF($MW132=0,0,INDEX($AB$2:$AB$11,$MW132))</f>
        <v/>
      </c>
      <c r="NV132" s="152">
        <f>IFERROR(VLOOKUP($MO132,$BC$2:$BG$24,3,FALSE),0)</f>
        <v/>
      </c>
      <c r="NW132" s="152">
        <f>IFERROR(VLOOKUP($MP132,$BC$2:$BG$24,3,FALSE),0)</f>
        <v/>
      </c>
      <c r="NX132" s="152">
        <f>IFERROR(VLOOKUP($MO132,$BC$2:$BG$24,2,FALSE),"")</f>
        <v/>
      </c>
      <c r="NY132" s="152">
        <f>IFERROR(VLOOKUP($MP132,$BC$2:$BG$24,2,FALSE),"")</f>
        <v/>
      </c>
      <c r="NZ132" s="152">
        <f>COUNTIF($NF132:$NJ132,1)</f>
        <v/>
      </c>
      <c r="OA132" s="152">
        <f>COUNTIF($NF132:$NJ132,2)</f>
        <v/>
      </c>
      <c r="OB132" s="152">
        <f>COUNTIF($NF132:$NJ132,3)</f>
        <v/>
      </c>
      <c r="OC132" s="152">
        <f>COUNTIF($NF132:$NJ132,4)</f>
        <v/>
      </c>
      <c r="OD132" s="152">
        <f>COUNTIF($NF132:$NJ132,5)</f>
        <v/>
      </c>
      <c r="OE132" s="152">
        <f>COUNTIF($NF132:$NJ132,6)</f>
        <v/>
      </c>
      <c r="OF132" s="152">
        <f>COUNTIF($NV132:$NW132,1)</f>
        <v/>
      </c>
      <c r="OG132" s="152">
        <f>COUNTIF($NV132:$NW132,2)+$NS132</f>
        <v/>
      </c>
      <c r="OH132" s="152">
        <f>COUNTIF($MK132:$MN132,"?*")</f>
        <v/>
      </c>
      <c r="OI132" s="152">
        <f>COUNTIF($MO132:$MP132,"?*")+$NS132</f>
        <v/>
      </c>
      <c r="OJ132" s="152">
        <f>IF($MF132=0,0,SUMPRODUCT($NZ132:$OE132,INDEX($I$2:$N$8,MAX(1,$MF132),0)))</f>
        <v/>
      </c>
      <c r="OK132" s="152">
        <f>IF($MF132=0,0,$OF132*CEILING($MF132/2,1)+$OG132*$MF132)</f>
        <v/>
      </c>
      <c r="OL132" s="152">
        <f>MIN(2*$MF132,$OK132)</f>
        <v/>
      </c>
      <c r="OM132" s="152">
        <f>MIN($OL132,$OJ132)</f>
        <v/>
      </c>
      <c r="ON132" s="152">
        <f>$OL132-$OM132</f>
        <v/>
      </c>
      <c r="OO132" s="152">
        <f>IF($MF132=0,0,INDEX($P$2:$P$8,MAX(1,$MF132)))</f>
        <v/>
      </c>
      <c r="OP132" s="152">
        <f>$OO132-$OJ132+$OM132</f>
        <v/>
      </c>
      <c r="OQ132" s="152">
        <f>IF($MF132=0,MAX(0,$MT132-IF($OH132&gt;0,1,0)),MAX(0,$OP132))</f>
        <v/>
      </c>
      <c r="OR132" s="152">
        <f>IF($MF132=0,0,(IF(COUNTIF($MK132:$MN132,"Salto")&gt;0,1,0)+IF(COUNTIF($MK132:$MN132,"Queima")&gt;0,1,0)+IF(COUNTIF($MK132:$MN132,"Estilhaço")&gt;0,1,0))*FLOOR($OQ132/2,1))</f>
        <v/>
      </c>
      <c r="OS132" s="152">
        <f>MAX(0,2-SUMPRODUCT($NZ132:$OE132,$I$2:$N$2)+MIN(2,$OF132*1+$OG132*1,SUMPRODUCT($NZ132:$OE132,$I$2:$N$2)))</f>
        <v/>
      </c>
      <c r="OT132" s="152">
        <f>MAX(0,4-SUMPRODUCT($NZ132:$OE132,$I$3:$N$3)+MIN(4,$OF132*1+$OG132*2,SUMPRODUCT($NZ132:$OE132,$I$3:$N$3)))</f>
        <v/>
      </c>
      <c r="OU132" s="152">
        <f>MAX(0,6-SUMPRODUCT($NZ132:$OE132,$I$4:$N$4)+MIN(6,$OF132*2+$OG132*3,SUMPRODUCT($NZ132:$OE132,$I$4:$N$4)))</f>
        <v/>
      </c>
      <c r="OV132" s="152">
        <f>MAX(0,9-SUMPRODUCT($NZ132:$OE132,$I$5:$N$5)+MIN(8,$OF132*2+$OG132*4,SUMPRODUCT($NZ132:$OE132,$I$5:$N$5)))</f>
        <v/>
      </c>
      <c r="OW132" s="152">
        <f>MAX(0,11-SUMPRODUCT($NZ132:$OE132,$I$6:$N$6)+MIN(10,$OF132*3+$OG132*5,SUMPRODUCT($NZ132:$OE132,$I$6:$N$6)))</f>
        <v/>
      </c>
      <c r="OX132" s="152">
        <f>MAX(0,13-SUMPRODUCT($NZ132:$OE132,$I$7:$N$7)+MIN(12,$OF132*3+$OG132*6,SUMPRODUCT($NZ132:$OE132,$I$7:$N$7)))</f>
        <v/>
      </c>
      <c r="OY132" s="152">
        <f>MAX(0,16-SUMPRODUCT($NZ132:$OE132,$I$8:$N$8)+MIN(14,$OF132*4+$OG132*7,SUMPRODUCT($NZ132:$OE132,$I$8:$N$8)))</f>
        <v/>
      </c>
      <c r="OZ132" s="152">
        <f>IF($NT132=2,3*$OS132&amp;" de vida temp.",IF($NT132=3,"sem dano",IF($OS132=0,IF($NT132=1,"sem cura","sem dano"),IF($NT132=1,"cura ","")&amp;$OS132&amp;"d8")))</f>
        <v/>
      </c>
      <c r="PA132" s="152">
        <f>IF($NT132=2,3*$OT132&amp;" de vida temp.",IF($NT132=3,"sem dano",IF($OT132=0,IF($NT132=1,"sem cura","sem dano"),IF($NT132=1,"cura ","")&amp;$OT132&amp;"d8")))</f>
        <v/>
      </c>
      <c r="PB132" s="152">
        <f>IF($NT132=2,3*$OU132&amp;" de vida temp.",IF($NT132=3,"sem dano",IF($OU132=0,IF($NT132=1,"sem cura","sem dano"),IF($NT132=1,"cura ","")&amp;$OU132&amp;"d8")))</f>
        <v/>
      </c>
      <c r="PC132" s="152">
        <f>IF($NT132=2,3*$OV132&amp;" de vida temp.",IF($NT132=3,"sem dano",IF($OV132=0,IF($NT132=1,"sem cura","sem dano"),IF($NT132=1,"cura ","")&amp;$OV132&amp;"d8")))</f>
        <v/>
      </c>
      <c r="PD132" s="152">
        <f>IF($NT132=2,3*$OW132&amp;" de vida temp.",IF($NT132=3,"sem dano",IF($OW132=0,IF($NT132=1,"sem cura","sem dano"),IF($NT132=1,"cura ","")&amp;$OW132&amp;"d8")))</f>
        <v/>
      </c>
      <c r="PE132" s="152">
        <f>IF($NT132=2,3*$OX132&amp;" de vida temp.",IF($NT132=3,"sem dano",IF($OX132=0,IF($NT132=1,"sem cura","sem dano"),IF($NT132=1,"cura ","")&amp;$OX132&amp;"d8")))</f>
        <v/>
      </c>
      <c r="PF132" s="152">
        <f>IF($NT132=2,3*$OY132&amp;" de vida temp.",IF($NT132=3,"sem dano",IF($OY132=0,IF($NT132=1,"sem cura","sem dano"),IF($NT132=1,"cura ","")&amp;$OY132&amp;"d8")))</f>
        <v/>
      </c>
      <c r="PG132" s="152">
        <f>IF($MQ132=0,"",TEXTJOIN(" · ",TRUE,IF($MD132&gt;$MR132,"Este lugar abre no nível "&amp;$MD132,""),IF($MF132&gt;$MS132,"Classe "&amp;$MF132&amp;": o nível "&amp;$MR132&amp;" libera até a "&amp;$MS132,""),IF($NK132=1,"A Forma "&amp;$MH132&amp;" pede "&amp;INDEX($W$2:$W$11,$MW132)&amp;" aberta",""),IF(AND($MF132=0,$MW132&gt;0,IF($MW132=0,0,INDEX($AF$2:$AF$11,$MW132))=0),$MH132&amp;" não existe na Classe 0",""),IF($NL132=1,"Família Fechada: "&amp;$MK132,""),IF($NM132=1,"Família Fechada: "&amp;$ML132,""),IF($NN132=1,"Família Fechada: "&amp;$MM132,""),IF($NO132=1,"Família Fechada: "&amp;$MN132,""),IF(AND($MF132&gt;0,$OH132&gt;INDEX($O$2:$O$8,MAX(1,$MF132))),$OH132&amp;" Melhorias: a Classe "&amp;$MF132&amp;" aceita "&amp;INDEX($O$2:$O$8,MAX(1,$MF132)),""),IF(AND($MF132=0,$OH132&gt;1),"A básica aceita uma Melhoria",""),IF(AND($MF132=0,COUNTIF($NB132:$NE132,"&gt;1")&gt;0),"A básica só aceita Melhoria Leve",""),IF(AND($MF132&gt;0,$OI132&gt;2),$OI132&amp;" Restrições"&amp;IF($NS132=1,", contando a que a Forma "&amp;$MH132&amp;" já traz","")&amp;": o limite é 2",""),IF(AND($MF132=0,COUNTIF($MO132:$MP132,"?*")&gt;1),"A básica aceita uma Restrição Leve",""),IF(AND($MF132=0,COUNTIF($NV132:$NW132,2)&gt;0),"A básica só aceita Restrição Leve",""),IF(AND($MF132&gt;0,$OP132&lt;0),"Orçamento estourado: faltam "&amp;(-$OP132)&amp;IF($OP132&lt;-1," pontos"," ponto"),""),IF(IFERROR(VLOOKUP($MO132,$BC$2:$BG$24,4,FALSE),0)+IFERROR(VLOOKUP($MP132,$BC$2:$BG$24,4,FALSE),0)&gt;1,$NX132&amp;" e "&amp;$NY132&amp;" são as duas de frequência",""),IF(AND((COUNTIF($MK132:$MN132,"Rápido")+COUNTIF($NX132:$NY132,"Rápido"))&gt;0,(COUNTIF($MK132:$MN132,"Atrasar")+COUNTIF($NX132:$NY132,"Atrasar"))&gt;0),"Rápido não entra com Atrasar",""),IF(AND((COUNTIF($MK132:$MN132,"Reação")+COUNTIF($NX132:$NY132,"Reação"))&gt;0,(COUNTIF($MK132:$MN132,"Rápido")+COUNTIF($NX132:$NY132,"Rápido"))&gt;0),"Reação não entra com Rápido",""),IF(AND((COUNTIF($MK132:$MN132,"Reação")+COUNTIF($NX132:$NY132,"Reação"))&gt;0,(COUNTIF($MK132:$MN132,"Armado")+COUNTIF($NX132:$NY132,"Armado"))&gt;0),"Reação não entra com Armado",""),IF(AND((COUNTIF($MK132:$MN132,"Reação")+COUNTIF($NX132:$NY132,"Reação"))&gt;0,(COUNTIF($MK132:$MN132,"Atrasar")+COUNTIF($NX132:$NY132,"Atrasar"))&gt;0),"Reação não entra com Atrasar",""),IF(AND((COUNTIF($MK132:$MN132,"Reação")+COUNTIF($NX132:$NY132,"Reação"))&gt;0,(COUNTIF($MK132:$MN132,"Parado")+COUNTIF($NX132:$NY132,"Parado"))&gt;0),"Reação não entra com Parado",""),IF(AND((COUNTIF($MK132:$MN132,"Atrasar")+COUNTIF($NX132:$NY132,"Atrasar"))&gt;0,(COUNTIF($MK132:$MN132,"Parado")+COUNTIF($NX132:$NY132,"Parado"))&gt;0),"Atrasar não entra com Parado",""),IF(AND((COUNTIF($MK132:$MN132,"Armado")+COUNTIF($NX132:$NY132,"Armado"))&gt;0,(COUNTIF($MK132:$MN132,"Carregar")+COUNTIF($NX132:$NY132,"Carregar"))&gt;0),"Armado não entra com Carregar",""),IF(AND(COUNTIF($NX132:$NY132,"Corpo a Corpo")&gt;0,$NS132=0,OR($MH132="Cone",$MH132="Linha")),"Corpo a Corpo não entra em "&amp;$MH132,""),IF(AND(COUNTIF($NX132:$NY132,"Corpo a Corpo")&gt;0,$NS132=1),"A Forma "&amp;$MH132&amp;" já traz o Corpo a Corpo",""),IF(AND(COUNTIF($NX132:$NY132,"Tudo ou Nada")&gt;0,$NU132=0),"Tudo ou Nada só entra em habilidade de Teste de Resistência",""),IF(AND(COUNTIF($MK132:$MN132,"Inescapável")&gt;0,OR($OH132&gt;1,$OI132&gt;0)),"Inescapável não aceita outra peça",""),IF(AND($MF132&gt;0,$OQ132*IF(COUNTIF($MK132:$MN132,"Remate")&gt;0,1.25,1)+$OR132&gt;4*$MF132),($OQ132*IF(COUNTIF($MK132:$MN132,"Remate")&gt;0,1.25,1)+$OR132)&amp;" dados somando repetições"&amp;IF(COUNTIF($MK132:$MN132,"Remate")&gt;0," e o Remate","")&amp;": o teto da Classe "&amp;$MF132&amp;" é "&amp;4*$MF132,"")))</f>
        <v/>
      </c>
      <c r="PH132" s="152">
        <f>IF($PG132="",0,(LEN($PG132)-LEN(SUBSTITUTE($PG132," · ","")))/3+1)</f>
        <v/>
      </c>
      <c r="PI132" s="152">
        <f>IF($MQ132=0,"",TEXTJOIN(" · ",TRUE,IF($OK132&gt;2*$MF132,"A devolução parou no teto de "&amp;2*$MF132,""),IF($ON132&gt;0,"Devolução perdida: "&amp;$ON132&amp;IF($ON132&gt;1," pontos"," ponto")&amp;" sem peça para pagar",""),IF(AND($NP132&gt;0,AND($MF132&gt;0,$NT132=0),$OQ132=0),"Controle sem dano: uma rodada a mais e CD +2",""),IF(AND($NP132&gt;0,AND($MF132&gt;0,$NT132=0),$OQ132&gt;0,$OQ132&lt;=$MF132),"Controle com saldo até a Classe: uma rodada a mais",""),IF(AND($MF132&gt;0,$NR132&lt;&gt;""),"Efeito de "&amp;$NR132&amp;" pela Classe "&amp;MAX(1,$MF132-1),"")))</f>
        <v/>
      </c>
      <c r="PJ132" s="152">
        <f>IF($PI132="",0,(LEN($PI132)-LEN(SUBSTITUTE($PI132," · ","")))/3+1)</f>
        <v/>
      </c>
      <c r="PK132" s="152">
        <f>IF($MQ132=0,IF($OH132+COUNTIF($MO132:$MP132,"?*")&gt;0,"Dê um nome",""),IF($PH132&gt;0,"⚠ "&amp;$PH132&amp;IF($PH132&gt;1," erros"," erro"),IF($PJ132&gt;0,"! "&amp;$PJ132&amp;IF($PJ132&gt;1," avisos"," aviso"),"Na regra")))</f>
        <v/>
      </c>
      <c r="PL132" s="152">
        <f>IF($MQ132=0,"",IF($PH132+$PJ132=0,"Dentro das regras que a ficha confere",$PG132&amp;IF(AND($PH132&gt;0,$PJ132&gt;0)," · ","")&amp;$PI132))</f>
        <v/>
      </c>
      <c r="PM132" s="152">
        <f>IF($MD132&gt;$MR132,$ME132&amp;" · ABRE NO NÍVEL "&amp;$MD132,$ME132)</f>
        <v/>
      </c>
      <c r="PN132" s="152">
        <f>IF($MQ132=0,"",IF($MF132=0,"Sem PE",3*$MF132&amp;" PE"))</f>
        <v/>
      </c>
      <c r="PO132" s="152">
        <f>IF($MQ132=0,"",IF($MF132=0,"A atuação básica dela",IF(COUNTIF($NX132:$NY132,"Atrasar")&gt;0,"Sua Ação Completa",IF(COUNTIF($MK132:$MN132,"Rápido")&gt;0,"Sua Bônus",IF(COUNTIF($MK132:$MN132,"Reação")&gt;0,"Sua Reação","Sua Padrão")))&amp;" + a básica dela"&amp;IF(COUNTIF($MK132:$MN132,"Reação")&gt;0," e a coletiva","")&amp;IF(COUNTIF($NX132:$NY132,"Carregar")&gt;0," · em dois turnos","")))</f>
        <v/>
      </c>
      <c r="PP132" s="152">
        <f>IF($MJ132&lt;&gt;"",$MJ132,IF($MW132=0,"",INDEX($AA$2:$AA$11,$MW132)))</f>
        <v/>
      </c>
      <c r="PQ132" s="152">
        <f>IF(OR($MQ132=0,$MW132=0),"",IF(COUNTIF($MK132:$MN132,"Inescapável")&gt;0,"Automático",IF($PP132="Ataque",IF($MU132="","Ataque","Ataque "&amp;IF(($MU132+2*IF(COUNTIF($MK132:$MN132,"Precisão")&gt;0,1,0))&gt;=0,"+","−")&amp;ABS(($MU132+2*IF(COUNTIF($MK132:$MN132,"Precisão")&gt;0,1,0))))&amp;IF($NQ132&gt;0," · TR"&amp;IF($MV132="",""," CD "&amp;$MV132),""),IF(LEFT($PP132,2)="TR",$PP132&amp;IF($MV132="",""," · CD "&amp;$MV132)&amp;IF(COUNTIF($MK132:$MN132,"Certeiro")&gt;0," · metade",""),"Sem rolagem"))))</f>
        <v/>
      </c>
      <c r="PR132" s="152">
        <f>IF(OR($MQ132=0,$MW132=0),"",IF($MF132=0,IF(OR($NT132&gt;=1,$OQ132=0),"Sem dano",$OQ132&amp;"d6"&amp;IF($MI132="",""," "&amp;$MI132)),IF(OR($NT132&gt;=1,$OQ132=0),UPPER(LEFT(INDEX($OZ132:$PF132,1,MAX(1,$MF132)),1))&amp;MID(INDEX($OZ132:$PF132,1,MAX(1,$MF132)),2,99),UPPER(LEFT(INDEX($OZ132:$PF132,1,MAX(1,$MF132)),1))&amp;MID(INDEX($OZ132:$PF132,1,MAX(1,$MF132)),2,99)&amp;IF($MI132="",""," "&amp;$MI132)&amp;IF($OR132&gt;0," · +"&amp;$OR132&amp;"d8",""))))</f>
        <v/>
      </c>
      <c r="PS132" s="152">
        <f>COUNTIF($MK132:$MN132,"Longe")+3*COUNTIF($MK132:$MN132,"Muito Longe")</f>
        <v/>
      </c>
      <c r="PT132" s="152">
        <f>COUNTIF($MK132:$MN132,"Maior")+3*COUNTIF($MK132:$MN132,"Muito Maior")</f>
        <v/>
      </c>
      <c r="PU132" s="152">
        <f>IF($MW132=0,0,CHOOSE(1+INDEX($AC$2:$AC$11,$MW132),0,$PS132,$PT132,$PS132+$PT132))</f>
        <v/>
      </c>
      <c r="PV132" s="152">
        <f>IF($MW132=0,0,CHOOSE(1+INDEX($AD$2:$AD$11,$MW132),0,$PS132,$PT132,$PS132+$PT132))</f>
        <v/>
      </c>
      <c r="PW132" s="152">
        <f>IF(OR($MQ132=0,$MW132=0),"",INDEX($AI$2:$AN$41,($MW132-1)*4+IF($MF132=0,1,IF($MF132&lt;=5,2,IF($MF132=6,3,4))),1+MIN(5,$PU132))&amp;INDEX($AO$2:$AT$41,($MW132-1)*4+IF($MF132=0,1,IF($MF132&lt;=5,2,IF($MF132=6,3,4))),1+MIN(5,$PV132))&amp;IF(INDEX($AE$2:$AE$11,$MW132)=1,IF(COUNTIF($MK132:$MN132,"Mais Um")&gt;0," · +"&amp;COUNTIF($MK132:$MN132,"Mais Um")&amp;IF(COUNTIF($MK132:$MN132,"Mais Um")&gt;1," alvos"," alvo"),"")&amp;IF(COUNTIF($MK132:$MN132,"Rajada")&gt;0,IF($MF132=0," · 1 tiro"," · "&amp;(MAX(1,$MF132-1)+1)&amp;" tiros"),""),""))</f>
        <v/>
      </c>
      <c r="PX132" s="152">
        <f>IF($MQ132=0,"",IF($MF132=0,$MT132&amp;"d6"&amp;IF($OH132&gt;0," − 1 = "&amp;$OQ132&amp;"d6"," da básica do nível "&amp;$MR132),$OO132&amp;" − "&amp;$OJ132&amp;" + "&amp;$OM132&amp;" = "&amp;$OP132&amp;" · teto "&amp;4*$MF132&amp;"d8"&amp;IF($NS132=1," · a Forma devolve "&amp;$MF132,"")&amp;IF($ON132&gt;0," · perde "&amp;$ON132,"")))</f>
        <v/>
      </c>
      <c r="PY132" s="152">
        <f>IF($MQ132=0,"",IF($MF132=0,"A básica não amplia: os dados dela sobem com o nível",IF($MF132&gt;=$MS132,"Já está na maior Classe que o nível liberou",TEXTJOIN(" · ",TRUE,IF(AND(2&gt;$MF132,2&lt;=$MS132),"2 → "&amp;$PA132&amp;", 6 PE",""),IF(AND(3&gt;$MF132,3&lt;=$MS132),"3 → "&amp;$PB132&amp;", 9 PE",""),IF(AND(4&gt;$MF132,4&lt;=$MS132),"4 → "&amp;$PC132&amp;", 12 PE",""),IF(AND(5&gt;$MF132,5&lt;=$MS132),"5 → "&amp;$PD132&amp;", 15 PE",""),IF(AND(6&gt;$MF132,6&lt;=$MS132),"6 → "&amp;$PE132&amp;", 18 PE",""),IF(AND(7&gt;$MF132,7&lt;=$MS132),"7 → "&amp;$PF132&amp;", 21 PE","")))))</f>
        <v/>
      </c>
      <c r="PZ132" s="152">
        <f>IF(OR($MQ132=0,$NB132=0),"",IF($MF132=0,"−1 dado","−"&amp;INDEX($I$2:$N$8,MAX(1,$MF132),MAX(1,$NG132))&amp;" · "&amp;CHOOSE(MAX(1,$NG132),"Leve","Média","Pesada","Leve · Livre","Média · Livre","Pesada · Livre")))</f>
        <v/>
      </c>
      <c r="QA132" s="152">
        <f>IF(OR($MQ132=0,$NC132=0),"",IF($MF132=0,"−1 dado","−"&amp;INDEX($I$2:$N$8,MAX(1,$MF132),MAX(1,$NH132))&amp;" · "&amp;CHOOSE(MAX(1,$NH132),"Leve","Média","Pesada","Leve · Livre","Média · Livre","Pesada · Livre")))</f>
        <v/>
      </c>
      <c r="QB132" s="152">
        <f>IF(OR($MQ132=0,$ND132=0),"",IF($MF132=0,"−1 dado","−"&amp;INDEX($I$2:$N$8,MAX(1,$MF132),MAX(1,$NI132))&amp;" · "&amp;CHOOSE(MAX(1,$NI132),"Leve","Média","Pesada","Leve · Livre","Média · Livre","Pesada · Livre")))</f>
        <v/>
      </c>
      <c r="QC132" s="152">
        <f>IF(OR($MQ132=0,$NE132=0),"",IF($MF132=0,"−1 dado","−"&amp;INDEX($I$2:$N$8,MAX(1,$MF132),MAX(1,$NJ132))&amp;" · "&amp;CHOOSE(MAX(1,$NJ132),"Leve","Média","Pesada","Leve · Livre","Média · Livre","Pesada · Livre")))</f>
        <v/>
      </c>
      <c r="QD132" s="152">
        <f>IF(OR($MQ132=0,$MO132=""),"",IF($MF132=0,"não devolve","+"&amp;IF($NV132=1,CEILING($MF132/2,1),$MF132)))</f>
        <v/>
      </c>
      <c r="QE132" s="152">
        <f>IF(OR($MQ132=0,$MP132=""),"",IF($MF132=0,"não devolve","+"&amp;IF($NW132=1,CEILING($MF132/2,1),$MF132)))</f>
        <v/>
      </c>
    </row>
    <row r="133">
      <c r="MA133" s="150" t="inlineStr">
        <is>
          <t>Ficha 11 · Especial 1</t>
        </is>
      </c>
      <c r="MB133" s="152" t="n">
        <v>11</v>
      </c>
      <c r="MC133" s="152" t="n">
        <v>1</v>
      </c>
      <c r="MD133" s="152" t="n">
        <v>1</v>
      </c>
      <c r="ME133" s="150" t="inlineStr">
        <is>
          <t>ESPECIAL 1</t>
        </is>
      </c>
      <c r="MF133" s="152">
        <f>MAX(1,MIN(7,N('INVOCAÇÕES'!$AH$850)))</f>
        <v/>
      </c>
      <c r="MG133" s="152">
        <f>'INVOCAÇÕES'!$AI$850&amp;""</f>
        <v/>
      </c>
      <c r="MH133" s="152">
        <f>'INVOCAÇÕES'!$AH$855&amp;""</f>
        <v/>
      </c>
      <c r="MI133" s="152">
        <f>'INVOCAÇÕES'!$AH$856&amp;""</f>
        <v/>
      </c>
      <c r="MJ133" s="152">
        <f>'INVOCAÇÕES'!$AJ$856&amp;""</f>
        <v/>
      </c>
      <c r="MK133" s="152">
        <f>'INVOCAÇÕES'!$AI$859&amp;""</f>
        <v/>
      </c>
      <c r="ML133" s="152">
        <f>'INVOCAÇÕES'!$AI$860&amp;""</f>
        <v/>
      </c>
      <c r="MM133" s="152">
        <f>'INVOCAÇÕES'!$AI$861&amp;""</f>
        <v/>
      </c>
      <c r="MN133" s="152">
        <f>'INVOCAÇÕES'!$AI$862&amp;""</f>
        <v/>
      </c>
      <c r="MO133" s="152">
        <f>'INVOCAÇÕES'!$AI$863&amp;""</f>
        <v/>
      </c>
      <c r="MP133" s="152">
        <f>'INVOCAÇÕES'!$AI$864&amp;""</f>
        <v/>
      </c>
      <c r="MQ133" s="152">
        <f>IF($MG133&lt;&gt;"",1,0)</f>
        <v/>
      </c>
      <c r="MR133" s="152">
        <f>INDEX($FI$2:$FI$13,$MB133)</f>
        <v/>
      </c>
      <c r="MS133" s="152">
        <f>INDEX($FJ$2:$FJ$13,$MB133)</f>
        <v/>
      </c>
      <c r="MT133" s="152">
        <f>INDEX($FK$2:$FK$13,$MB133)</f>
        <v/>
      </c>
      <c r="MU133" s="152">
        <f>INDEX($FV$2:$FV$13,$MB133)</f>
        <v/>
      </c>
      <c r="MV133" s="152">
        <f>INDEX($FW$2:$FW$13,$MB133)</f>
        <v/>
      </c>
      <c r="MW133" s="152">
        <f>IFERROR(MATCH($MH133,$V$2:$V$11,0),0)</f>
        <v/>
      </c>
      <c r="MX133" s="152">
        <f>IFERROR(VLOOKUP($MK133,$AV$2:$BA$84,2,FALSE),"")</f>
        <v/>
      </c>
      <c r="MY133" s="152">
        <f>IFERROR(VLOOKUP($ML133,$AV$2:$BA$84,2,FALSE),"")</f>
        <v/>
      </c>
      <c r="MZ133" s="152">
        <f>IFERROR(VLOOKUP($MM133,$AV$2:$BA$84,2,FALSE),"")</f>
        <v/>
      </c>
      <c r="NA133" s="152">
        <f>IFERROR(VLOOKUP($MN133,$AV$2:$BA$84,2,FALSE),"")</f>
        <v/>
      </c>
      <c r="NB133" s="152">
        <f>IFERROR(VLOOKUP($MK133,$AV$2:$BA$84,3,FALSE),0)</f>
        <v/>
      </c>
      <c r="NC133" s="152">
        <f>IFERROR(VLOOKUP($ML133,$AV$2:$BA$84,3,FALSE),0)</f>
        <v/>
      </c>
      <c r="ND133" s="152">
        <f>IFERROR(VLOOKUP($MM133,$AV$2:$BA$84,3,FALSE),0)</f>
        <v/>
      </c>
      <c r="NE133" s="152">
        <f>IFERROR(VLOOKUP($MN133,$AV$2:$BA$84,3,FALSE),0)</f>
        <v/>
      </c>
      <c r="NF133" s="152">
        <f>IF($MF133=0,0,IF($MW133=0,0,INDEX($X$2:$X$11,$MW133)))</f>
        <v/>
      </c>
      <c r="NG133" s="152">
        <f>IF(OR($NB133=0,$MF133=0),0,$NB133+3*IF(AND($MX133&lt;&gt;"",OR($MX133=INDEX($EF$2:$EF$13,$MB133),$MX133=INDEX($EG$2:$EG$13,$MB133))),1,0))</f>
        <v/>
      </c>
      <c r="NH133" s="152">
        <f>IF(OR($NC133=0,$MF133=0),0,$NC133+3*IF(AND($MY133&lt;&gt;"",OR($MY133=INDEX($EF$2:$EF$13,$MB133),$MY133=INDEX($EG$2:$EG$13,$MB133))),1,0))</f>
        <v/>
      </c>
      <c r="NI133" s="152">
        <f>IF(OR($ND133=0,$MF133=0),0,$ND133+3*IF(AND($MZ133&lt;&gt;"",OR($MZ133=INDEX($EF$2:$EF$13,$MB133),$MZ133=INDEX($EG$2:$EG$13,$MB133))),1,0))</f>
        <v/>
      </c>
      <c r="NJ133" s="152">
        <f>IF(OR($NE133=0,$MF133=0),0,$NE133+3*IF(AND($NA133&lt;&gt;"",OR($NA133=INDEX($EF$2:$EF$13,$MB133),$NA133=INDEX($EG$2:$EG$13,$MB133))),1,0))</f>
        <v/>
      </c>
      <c r="NK133" s="152">
        <f>IF($MW133=0,0,IF(INDEX($W$2:$W$11,$MW133)="",0,IF(COUNTIF(INDEX($EF$2:$EJ$13,$MB133,0),INDEX($W$2:$W$11,$MW133))=0,1,0)))</f>
        <v/>
      </c>
      <c r="NL133" s="152">
        <f>IF(OR($NB133=0,$MX133=""),0,IF(COUNTIF(INDEX($EF$2:$EJ$13,$MB133,0),$MX133)=0,1,0))</f>
        <v/>
      </c>
      <c r="NM133" s="152">
        <f>IF(OR($NC133=0,$MY133=""),0,IF(COUNTIF(INDEX($EF$2:$EJ$13,$MB133,0),$MY133)=0,1,0))</f>
        <v/>
      </c>
      <c r="NN133" s="152">
        <f>IF(OR($ND133=0,$MZ133=""),0,IF(COUNTIF(INDEX($EF$2:$EJ$13,$MB133,0),$MZ133)=0,1,0))</f>
        <v/>
      </c>
      <c r="NO133" s="152">
        <f>IF(OR($NE133=0,$NA133=""),0,IF(COUNTIF(INDEX($EF$2:$EJ$13,$MB133,0),$NA133)=0,1,0))</f>
        <v/>
      </c>
      <c r="NP133" s="152">
        <f>IFERROR(VLOOKUP($MK133,$AV$2:$BA$84,4,FALSE),0)+IFERROR(VLOOKUP($ML133,$AV$2:$BA$84,4,FALSE),0)+IFERROR(VLOOKUP($MM133,$AV$2:$BA$84,4,FALSE),0)+IFERROR(VLOOKUP($MN133,$AV$2:$BA$84,4,FALSE),0)</f>
        <v/>
      </c>
      <c r="NQ133" s="152">
        <f>IFERROR(VLOOKUP($MK133,$AV$2:$BA$84,6,FALSE),0)+IFERROR(VLOOKUP($ML133,$AV$2:$BA$84,6,FALSE),0)+IFERROR(VLOOKUP($MM133,$AV$2:$BA$84,6,FALSE),0)+IFERROR(VLOOKUP($MN133,$AV$2:$BA$84,6,FALSE),0)</f>
        <v/>
      </c>
      <c r="NR133" s="152">
        <f>TEXTJOIN(", ",TRUE,IF(IFERROR(VLOOKUP($MK133,$AV$2:$BA$84,5,FALSE),0)=1,$MK133,""),IF(IFERROR(VLOOKUP($ML133,$AV$2:$BA$84,5,FALSE),0)=1,$ML133,""),IF(IFERROR(VLOOKUP($MM133,$AV$2:$BA$84,5,FALSE),0)=1,$MM133,""),IF(IFERROR(VLOOKUP($MN133,$AV$2:$BA$84,5,FALSE),0)=1,$MN133,""))</f>
        <v/>
      </c>
      <c r="NS133" s="152">
        <f>IF($MW133=0,0,INDEX($Y$2:$Y$11,$MW133))</f>
        <v/>
      </c>
      <c r="NT133" s="152">
        <f>IF($MW133=0,0,INDEX($Z$2:$Z$11,$MW133))</f>
        <v/>
      </c>
      <c r="NU133" s="152">
        <f>IF($MW133=0,0,INDEX($AB$2:$AB$11,$MW133))</f>
        <v/>
      </c>
      <c r="NV133" s="152">
        <f>IFERROR(VLOOKUP($MO133,$BC$2:$BG$24,3,FALSE),0)</f>
        <v/>
      </c>
      <c r="NW133" s="152">
        <f>IFERROR(VLOOKUP($MP133,$BC$2:$BG$24,3,FALSE),0)</f>
        <v/>
      </c>
      <c r="NX133" s="152">
        <f>IFERROR(VLOOKUP($MO133,$BC$2:$BG$24,2,FALSE),"")</f>
        <v/>
      </c>
      <c r="NY133" s="152">
        <f>IFERROR(VLOOKUP($MP133,$BC$2:$BG$24,2,FALSE),"")</f>
        <v/>
      </c>
      <c r="NZ133" s="152">
        <f>COUNTIF($NF133:$NJ133,1)</f>
        <v/>
      </c>
      <c r="OA133" s="152">
        <f>COUNTIF($NF133:$NJ133,2)</f>
        <v/>
      </c>
      <c r="OB133" s="152">
        <f>COUNTIF($NF133:$NJ133,3)</f>
        <v/>
      </c>
      <c r="OC133" s="152">
        <f>COUNTIF($NF133:$NJ133,4)</f>
        <v/>
      </c>
      <c r="OD133" s="152">
        <f>COUNTIF($NF133:$NJ133,5)</f>
        <v/>
      </c>
      <c r="OE133" s="152">
        <f>COUNTIF($NF133:$NJ133,6)</f>
        <v/>
      </c>
      <c r="OF133" s="152">
        <f>COUNTIF($NV133:$NW133,1)</f>
        <v/>
      </c>
      <c r="OG133" s="152">
        <f>COUNTIF($NV133:$NW133,2)+$NS133</f>
        <v/>
      </c>
      <c r="OH133" s="152">
        <f>COUNTIF($MK133:$MN133,"?*")</f>
        <v/>
      </c>
      <c r="OI133" s="152">
        <f>COUNTIF($MO133:$MP133,"?*")+$NS133</f>
        <v/>
      </c>
      <c r="OJ133" s="152">
        <f>IF($MF133=0,0,SUMPRODUCT($NZ133:$OE133,INDEX($I$2:$N$8,MAX(1,$MF133),0)))</f>
        <v/>
      </c>
      <c r="OK133" s="152">
        <f>IF($MF133=0,0,$OF133*CEILING($MF133/2,1)+$OG133*$MF133)</f>
        <v/>
      </c>
      <c r="OL133" s="152">
        <f>MIN(2*$MF133,$OK133)</f>
        <v/>
      </c>
      <c r="OM133" s="152">
        <f>MIN($OL133,$OJ133)</f>
        <v/>
      </c>
      <c r="ON133" s="152">
        <f>$OL133-$OM133</f>
        <v/>
      </c>
      <c r="OO133" s="152">
        <f>IF($MF133=0,0,INDEX($P$2:$P$8,MAX(1,$MF133)))</f>
        <v/>
      </c>
      <c r="OP133" s="152">
        <f>$OO133-$OJ133+$OM133</f>
        <v/>
      </c>
      <c r="OQ133" s="152">
        <f>IF($MF133=0,MAX(0,$MT133-IF($OH133&gt;0,1,0)),MAX(0,$OP133))</f>
        <v/>
      </c>
      <c r="OR133" s="152">
        <f>IF($MF133=0,0,(IF(COUNTIF($MK133:$MN133,"Salto")&gt;0,1,0)+IF(COUNTIF($MK133:$MN133,"Queima")&gt;0,1,0)+IF(COUNTIF($MK133:$MN133,"Estilhaço")&gt;0,1,0))*FLOOR($OQ133/2,1))</f>
        <v/>
      </c>
      <c r="OS133" s="152">
        <f>MAX(0,2-SUMPRODUCT($NZ133:$OE133,$I$2:$N$2)+MIN(2,$OF133*1+$OG133*1,SUMPRODUCT($NZ133:$OE133,$I$2:$N$2)))</f>
        <v/>
      </c>
      <c r="OT133" s="152">
        <f>MAX(0,4-SUMPRODUCT($NZ133:$OE133,$I$3:$N$3)+MIN(4,$OF133*1+$OG133*2,SUMPRODUCT($NZ133:$OE133,$I$3:$N$3)))</f>
        <v/>
      </c>
      <c r="OU133" s="152">
        <f>MAX(0,6-SUMPRODUCT($NZ133:$OE133,$I$4:$N$4)+MIN(6,$OF133*2+$OG133*3,SUMPRODUCT($NZ133:$OE133,$I$4:$N$4)))</f>
        <v/>
      </c>
      <c r="OV133" s="152">
        <f>MAX(0,9-SUMPRODUCT($NZ133:$OE133,$I$5:$N$5)+MIN(8,$OF133*2+$OG133*4,SUMPRODUCT($NZ133:$OE133,$I$5:$N$5)))</f>
        <v/>
      </c>
      <c r="OW133" s="152">
        <f>MAX(0,11-SUMPRODUCT($NZ133:$OE133,$I$6:$N$6)+MIN(10,$OF133*3+$OG133*5,SUMPRODUCT($NZ133:$OE133,$I$6:$N$6)))</f>
        <v/>
      </c>
      <c r="OX133" s="152">
        <f>MAX(0,13-SUMPRODUCT($NZ133:$OE133,$I$7:$N$7)+MIN(12,$OF133*3+$OG133*6,SUMPRODUCT($NZ133:$OE133,$I$7:$N$7)))</f>
        <v/>
      </c>
      <c r="OY133" s="152">
        <f>MAX(0,16-SUMPRODUCT($NZ133:$OE133,$I$8:$N$8)+MIN(14,$OF133*4+$OG133*7,SUMPRODUCT($NZ133:$OE133,$I$8:$N$8)))</f>
        <v/>
      </c>
      <c r="OZ133" s="152">
        <f>IF($NT133=2,3*$OS133&amp;" de vida temp.",IF($NT133=3,"sem dano",IF($OS133=0,IF($NT133=1,"sem cura","sem dano"),IF($NT133=1,"cura ","")&amp;$OS133&amp;"d8")))</f>
        <v/>
      </c>
      <c r="PA133" s="152">
        <f>IF($NT133=2,3*$OT133&amp;" de vida temp.",IF($NT133=3,"sem dano",IF($OT133=0,IF($NT133=1,"sem cura","sem dano"),IF($NT133=1,"cura ","")&amp;$OT133&amp;"d8")))</f>
        <v/>
      </c>
      <c r="PB133" s="152">
        <f>IF($NT133=2,3*$OU133&amp;" de vida temp.",IF($NT133=3,"sem dano",IF($OU133=0,IF($NT133=1,"sem cura","sem dano"),IF($NT133=1,"cura ","")&amp;$OU133&amp;"d8")))</f>
        <v/>
      </c>
      <c r="PC133" s="152">
        <f>IF($NT133=2,3*$OV133&amp;" de vida temp.",IF($NT133=3,"sem dano",IF($OV133=0,IF($NT133=1,"sem cura","sem dano"),IF($NT133=1,"cura ","")&amp;$OV133&amp;"d8")))</f>
        <v/>
      </c>
      <c r="PD133" s="152">
        <f>IF($NT133=2,3*$OW133&amp;" de vida temp.",IF($NT133=3,"sem dano",IF($OW133=0,IF($NT133=1,"sem cura","sem dano"),IF($NT133=1,"cura ","")&amp;$OW133&amp;"d8")))</f>
        <v/>
      </c>
      <c r="PE133" s="152">
        <f>IF($NT133=2,3*$OX133&amp;" de vida temp.",IF($NT133=3,"sem dano",IF($OX133=0,IF($NT133=1,"sem cura","sem dano"),IF($NT133=1,"cura ","")&amp;$OX133&amp;"d8")))</f>
        <v/>
      </c>
      <c r="PF133" s="152">
        <f>IF($NT133=2,3*$OY133&amp;" de vida temp.",IF($NT133=3,"sem dano",IF($OY133=0,IF($NT133=1,"sem cura","sem dano"),IF($NT133=1,"cura ","")&amp;$OY133&amp;"d8")))</f>
        <v/>
      </c>
      <c r="PG133" s="152">
        <f>IF($MQ133=0,"",TEXTJOIN(" · ",TRUE,IF($MD133&gt;$MR133,"Este lugar abre no nível "&amp;$MD133,""),IF($MF133&gt;$MS133,"Classe "&amp;$MF133&amp;": o nível "&amp;$MR133&amp;" libera até a "&amp;$MS133,""),IF($NK133=1,"A Forma "&amp;$MH133&amp;" pede "&amp;INDEX($W$2:$W$11,$MW133)&amp;" aberta",""),IF(AND($MF133=0,$MW133&gt;0,IF($MW133=0,0,INDEX($AF$2:$AF$11,$MW133))=0),$MH133&amp;" não existe na Classe 0",""),IF($NL133=1,"Família Fechada: "&amp;$MK133,""),IF($NM133=1,"Família Fechada: "&amp;$ML133,""),IF($NN133=1,"Família Fechada: "&amp;$MM133,""),IF($NO133=1,"Família Fechada: "&amp;$MN133,""),IF(AND($MF133&gt;0,$OH133&gt;INDEX($O$2:$O$8,MAX(1,$MF133))),$OH133&amp;" Melhorias: a Classe "&amp;$MF133&amp;" aceita "&amp;INDEX($O$2:$O$8,MAX(1,$MF133)),""),IF(AND($MF133=0,$OH133&gt;1),"A básica aceita uma Melhoria",""),IF(AND($MF133=0,COUNTIF($NB133:$NE133,"&gt;1")&gt;0),"A básica só aceita Melhoria Leve",""),IF(AND($MF133&gt;0,$OI133&gt;2),$OI133&amp;" Restrições"&amp;IF($NS133=1,", contando a que a Forma "&amp;$MH133&amp;" já traz","")&amp;": o limite é 2",""),IF(AND($MF133=0,COUNTIF($MO133:$MP133,"?*")&gt;1),"A básica aceita uma Restrição Leve",""),IF(AND($MF133=0,COUNTIF($NV133:$NW133,2)&gt;0),"A básica só aceita Restrição Leve",""),IF(AND($MF133&gt;0,$OP133&lt;0),"Orçamento estourado: faltam "&amp;(-$OP133)&amp;IF($OP133&lt;-1," pontos"," ponto"),""),IF(IFERROR(VLOOKUP($MO133,$BC$2:$BG$24,4,FALSE),0)+IFERROR(VLOOKUP($MP133,$BC$2:$BG$24,4,FALSE),0)&gt;1,$NX133&amp;" e "&amp;$NY133&amp;" são as duas de frequência",""),IF(AND((COUNTIF($MK133:$MN133,"Rápido")+COUNTIF($NX133:$NY133,"Rápido"))&gt;0,(COUNTIF($MK133:$MN133,"Atrasar")+COUNTIF($NX133:$NY133,"Atrasar"))&gt;0),"Rápido não entra com Atrasar",""),IF(AND((COUNTIF($MK133:$MN133,"Reação")+COUNTIF($NX133:$NY133,"Reação"))&gt;0,(COUNTIF($MK133:$MN133,"Rápido")+COUNTIF($NX133:$NY133,"Rápido"))&gt;0),"Reação não entra com Rápido",""),IF(AND((COUNTIF($MK133:$MN133,"Reação")+COUNTIF($NX133:$NY133,"Reação"))&gt;0,(COUNTIF($MK133:$MN133,"Armado")+COUNTIF($NX133:$NY133,"Armado"))&gt;0),"Reação não entra com Armado",""),IF(AND((COUNTIF($MK133:$MN133,"Reação")+COUNTIF($NX133:$NY133,"Reação"))&gt;0,(COUNTIF($MK133:$MN133,"Atrasar")+COUNTIF($NX133:$NY133,"Atrasar"))&gt;0),"Reação não entra com Atrasar",""),IF(AND((COUNTIF($MK133:$MN133,"Reação")+COUNTIF($NX133:$NY133,"Reação"))&gt;0,(COUNTIF($MK133:$MN133,"Parado")+COUNTIF($NX133:$NY133,"Parado"))&gt;0),"Reação não entra com Parado",""),IF(AND((COUNTIF($MK133:$MN133,"Atrasar")+COUNTIF($NX133:$NY133,"Atrasar"))&gt;0,(COUNTIF($MK133:$MN133,"Parado")+COUNTIF($NX133:$NY133,"Parado"))&gt;0),"Atrasar não entra com Parado",""),IF(AND((COUNTIF($MK133:$MN133,"Armado")+COUNTIF($NX133:$NY133,"Armado"))&gt;0,(COUNTIF($MK133:$MN133,"Carregar")+COUNTIF($NX133:$NY133,"Carregar"))&gt;0),"Armado não entra com Carregar",""),IF(AND(COUNTIF($NX133:$NY133,"Corpo a Corpo")&gt;0,$NS133=0,OR($MH133="Cone",$MH133="Linha")),"Corpo a Corpo não entra em "&amp;$MH133,""),IF(AND(COUNTIF($NX133:$NY133,"Corpo a Corpo")&gt;0,$NS133=1),"A Forma "&amp;$MH133&amp;" já traz o Corpo a Corpo",""),IF(AND(COUNTIF($NX133:$NY133,"Tudo ou Nada")&gt;0,$NU133=0),"Tudo ou Nada só entra em habilidade de Teste de Resistência",""),IF(AND(COUNTIF($MK133:$MN133,"Inescapável")&gt;0,OR($OH133&gt;1,$OI133&gt;0)),"Inescapável não aceita outra peça",""),IF(AND($MF133&gt;0,$OQ133*IF(COUNTIF($MK133:$MN133,"Remate")&gt;0,1.25,1)+$OR133&gt;4*$MF133),($OQ133*IF(COUNTIF($MK133:$MN133,"Remate")&gt;0,1.25,1)+$OR133)&amp;" dados somando repetições"&amp;IF(COUNTIF($MK133:$MN133,"Remate")&gt;0," e o Remate","")&amp;": o teto da Classe "&amp;$MF133&amp;" é "&amp;4*$MF133,"")))</f>
        <v/>
      </c>
      <c r="PH133" s="152">
        <f>IF($PG133="",0,(LEN($PG133)-LEN(SUBSTITUTE($PG133," · ","")))/3+1)</f>
        <v/>
      </c>
      <c r="PI133" s="152">
        <f>IF($MQ133=0,"",TEXTJOIN(" · ",TRUE,IF($OK133&gt;2*$MF133,"A devolução parou no teto de "&amp;2*$MF133,""),IF($ON133&gt;0,"Devolução perdida: "&amp;$ON133&amp;IF($ON133&gt;1," pontos"," ponto")&amp;" sem peça para pagar",""),IF(AND($NP133&gt;0,AND($MF133&gt;0,$NT133=0),$OQ133=0),"Controle sem dano: uma rodada a mais e CD +2",""),IF(AND($NP133&gt;0,AND($MF133&gt;0,$NT133=0),$OQ133&gt;0,$OQ133&lt;=$MF133),"Controle com saldo até a Classe: uma rodada a mais",""),IF(AND($MF133&gt;0,$NR133&lt;&gt;""),"Efeito de "&amp;$NR133&amp;" pela Classe "&amp;MAX(1,$MF133-1),"")))</f>
        <v/>
      </c>
      <c r="PJ133" s="152">
        <f>IF($PI133="",0,(LEN($PI133)-LEN(SUBSTITUTE($PI133," · ","")))/3+1)</f>
        <v/>
      </c>
      <c r="PK133" s="152">
        <f>IF($MQ133=0,IF($OH133+COUNTIF($MO133:$MP133,"?*")&gt;0,"Dê um nome",""),IF($PH133&gt;0,"⚠ "&amp;$PH133&amp;IF($PH133&gt;1," erros"," erro"),IF($PJ133&gt;0,"! "&amp;$PJ133&amp;IF($PJ133&gt;1," avisos"," aviso"),"Na regra")))</f>
        <v/>
      </c>
      <c r="PL133" s="152">
        <f>IF($MQ133=0,"",IF($PH133+$PJ133=0,"Dentro das regras que a ficha confere",$PG133&amp;IF(AND($PH133&gt;0,$PJ133&gt;0)," · ","")&amp;$PI133))</f>
        <v/>
      </c>
      <c r="PM133" s="152">
        <f>IF($MD133&gt;$MR133,$ME133&amp;" · ABRE NO NÍVEL "&amp;$MD133,$ME133)</f>
        <v/>
      </c>
      <c r="PN133" s="152">
        <f>IF($MQ133=0,"",IF($MF133=0,"Sem PE",3*$MF133&amp;" PE"))</f>
        <v/>
      </c>
      <c r="PO133" s="152">
        <f>IF($MQ133=0,"",IF($MF133=0,"A atuação básica dela",IF(COUNTIF($NX133:$NY133,"Atrasar")&gt;0,"Sua Ação Completa",IF(COUNTIF($MK133:$MN133,"Rápido")&gt;0,"Sua Bônus",IF(COUNTIF($MK133:$MN133,"Reação")&gt;0,"Sua Reação","Sua Padrão")))&amp;" + a básica dela"&amp;IF(COUNTIF($MK133:$MN133,"Reação")&gt;0," e a coletiva","")&amp;IF(COUNTIF($NX133:$NY133,"Carregar")&gt;0," · em dois turnos","")))</f>
        <v/>
      </c>
      <c r="PP133" s="152">
        <f>IF($MJ133&lt;&gt;"",$MJ133,IF($MW133=0,"",INDEX($AA$2:$AA$11,$MW133)))</f>
        <v/>
      </c>
      <c r="PQ133" s="152">
        <f>IF(OR($MQ133=0,$MW133=0),"",IF(COUNTIF($MK133:$MN133,"Inescapável")&gt;0,"Automático",IF($PP133="Ataque",IF($MU133="","Ataque","Ataque "&amp;IF(($MU133+2*IF(COUNTIF($MK133:$MN133,"Precisão")&gt;0,1,0))&gt;=0,"+","−")&amp;ABS(($MU133+2*IF(COUNTIF($MK133:$MN133,"Precisão")&gt;0,1,0))))&amp;IF($NQ133&gt;0," · TR"&amp;IF($MV133="",""," CD "&amp;$MV133),""),IF(LEFT($PP133,2)="TR",$PP133&amp;IF($MV133="",""," · CD "&amp;$MV133)&amp;IF(COUNTIF($MK133:$MN133,"Certeiro")&gt;0," · metade",""),"Sem rolagem"))))</f>
        <v/>
      </c>
      <c r="PR133" s="152">
        <f>IF(OR($MQ133=0,$MW133=0),"",IF($MF133=0,IF(OR($NT133&gt;=1,$OQ133=0),"Sem dano",$OQ133&amp;"d6"&amp;IF($MI133="",""," "&amp;$MI133)),IF(OR($NT133&gt;=1,$OQ133=0),UPPER(LEFT(INDEX($OZ133:$PF133,1,MAX(1,$MF133)),1))&amp;MID(INDEX($OZ133:$PF133,1,MAX(1,$MF133)),2,99),UPPER(LEFT(INDEX($OZ133:$PF133,1,MAX(1,$MF133)),1))&amp;MID(INDEX($OZ133:$PF133,1,MAX(1,$MF133)),2,99)&amp;IF($MI133="",""," "&amp;$MI133)&amp;IF($OR133&gt;0," · +"&amp;$OR133&amp;"d8",""))))</f>
        <v/>
      </c>
      <c r="PS133" s="152">
        <f>COUNTIF($MK133:$MN133,"Longe")+3*COUNTIF($MK133:$MN133,"Muito Longe")</f>
        <v/>
      </c>
      <c r="PT133" s="152">
        <f>COUNTIF($MK133:$MN133,"Maior")+3*COUNTIF($MK133:$MN133,"Muito Maior")</f>
        <v/>
      </c>
      <c r="PU133" s="152">
        <f>IF($MW133=0,0,CHOOSE(1+INDEX($AC$2:$AC$11,$MW133),0,$PS133,$PT133,$PS133+$PT133))</f>
        <v/>
      </c>
      <c r="PV133" s="152">
        <f>IF($MW133=0,0,CHOOSE(1+INDEX($AD$2:$AD$11,$MW133),0,$PS133,$PT133,$PS133+$PT133))</f>
        <v/>
      </c>
      <c r="PW133" s="152">
        <f>IF(OR($MQ133=0,$MW133=0),"",INDEX($AI$2:$AN$41,($MW133-1)*4+IF($MF133=0,1,IF($MF133&lt;=5,2,IF($MF133=6,3,4))),1+MIN(5,$PU133))&amp;INDEX($AO$2:$AT$41,($MW133-1)*4+IF($MF133=0,1,IF($MF133&lt;=5,2,IF($MF133=6,3,4))),1+MIN(5,$PV133))&amp;IF(INDEX($AE$2:$AE$11,$MW133)=1,IF(COUNTIF($MK133:$MN133,"Mais Um")&gt;0," · +"&amp;COUNTIF($MK133:$MN133,"Mais Um")&amp;IF(COUNTIF($MK133:$MN133,"Mais Um")&gt;1," alvos"," alvo"),"")&amp;IF(COUNTIF($MK133:$MN133,"Rajada")&gt;0,IF($MF133=0," · 1 tiro"," · "&amp;(MAX(1,$MF133-1)+1)&amp;" tiros"),""),""))</f>
        <v/>
      </c>
      <c r="PX133" s="152">
        <f>IF($MQ133=0,"",IF($MF133=0,$MT133&amp;"d6"&amp;IF($OH133&gt;0," − 1 = "&amp;$OQ133&amp;"d6"," da básica do nível "&amp;$MR133),$OO133&amp;" − "&amp;$OJ133&amp;" + "&amp;$OM133&amp;" = "&amp;$OP133&amp;" · teto "&amp;4*$MF133&amp;"d8"&amp;IF($NS133=1," · a Forma devolve "&amp;$MF133,"")&amp;IF($ON133&gt;0," · perde "&amp;$ON133,"")))</f>
        <v/>
      </c>
      <c r="PY133" s="152">
        <f>IF($MQ133=0,"",IF($MF133=0,"A básica não amplia: os dados dela sobem com o nível",IF($MF133&gt;=$MS133,"Já está na maior Classe que o nível liberou",TEXTJOIN(" · ",TRUE,IF(AND(2&gt;$MF133,2&lt;=$MS133),"2 → "&amp;$PA133&amp;", 6 PE",""),IF(AND(3&gt;$MF133,3&lt;=$MS133),"3 → "&amp;$PB133&amp;", 9 PE",""),IF(AND(4&gt;$MF133,4&lt;=$MS133),"4 → "&amp;$PC133&amp;", 12 PE",""),IF(AND(5&gt;$MF133,5&lt;=$MS133),"5 → "&amp;$PD133&amp;", 15 PE",""),IF(AND(6&gt;$MF133,6&lt;=$MS133),"6 → "&amp;$PE133&amp;", 18 PE",""),IF(AND(7&gt;$MF133,7&lt;=$MS133),"7 → "&amp;$PF133&amp;", 21 PE","")))))</f>
        <v/>
      </c>
      <c r="PZ133" s="152">
        <f>IF(OR($MQ133=0,$NB133=0),"",IF($MF133=0,"−1 dado","−"&amp;INDEX($I$2:$N$8,MAX(1,$MF133),MAX(1,$NG133))&amp;" · "&amp;CHOOSE(MAX(1,$NG133),"Leve","Média","Pesada","Leve · Livre","Média · Livre","Pesada · Livre")))</f>
        <v/>
      </c>
      <c r="QA133" s="152">
        <f>IF(OR($MQ133=0,$NC133=0),"",IF($MF133=0,"−1 dado","−"&amp;INDEX($I$2:$N$8,MAX(1,$MF133),MAX(1,$NH133))&amp;" · "&amp;CHOOSE(MAX(1,$NH133),"Leve","Média","Pesada","Leve · Livre","Média · Livre","Pesada · Livre")))</f>
        <v/>
      </c>
      <c r="QB133" s="152">
        <f>IF(OR($MQ133=0,$ND133=0),"",IF($MF133=0,"−1 dado","−"&amp;INDEX($I$2:$N$8,MAX(1,$MF133),MAX(1,$NI133))&amp;" · "&amp;CHOOSE(MAX(1,$NI133),"Leve","Média","Pesada","Leve · Livre","Média · Livre","Pesada · Livre")))</f>
        <v/>
      </c>
      <c r="QC133" s="152">
        <f>IF(OR($MQ133=0,$NE133=0),"",IF($MF133=0,"−1 dado","−"&amp;INDEX($I$2:$N$8,MAX(1,$MF133),MAX(1,$NJ133))&amp;" · "&amp;CHOOSE(MAX(1,$NJ133),"Leve","Média","Pesada","Leve · Livre","Média · Livre","Pesada · Livre")))</f>
        <v/>
      </c>
      <c r="QD133" s="152">
        <f>IF(OR($MQ133=0,$MO133=""),"",IF($MF133=0,"não devolve","+"&amp;IF($NV133=1,CEILING($MF133/2,1),$MF133)))</f>
        <v/>
      </c>
      <c r="QE133" s="152">
        <f>IF(OR($MQ133=0,$MP133=""),"",IF($MF133=0,"não devolve","+"&amp;IF($NW133=1,CEILING($MF133/2,1),$MF133)))</f>
        <v/>
      </c>
    </row>
    <row r="134">
      <c r="MA134" s="150" t="inlineStr">
        <is>
          <t>Ficha 11 · Especial 2</t>
        </is>
      </c>
      <c r="MB134" s="152" t="n">
        <v>11</v>
      </c>
      <c r="MC134" s="152" t="n">
        <v>1</v>
      </c>
      <c r="MD134" s="152" t="n">
        <v>4</v>
      </c>
      <c r="ME134" s="150" t="inlineStr">
        <is>
          <t>ESPECIAL 2</t>
        </is>
      </c>
      <c r="MF134" s="152">
        <f>MAX(1,MIN(7,N('INVOCAÇÕES'!$AN$850)))</f>
        <v/>
      </c>
      <c r="MG134" s="152">
        <f>'INVOCAÇÕES'!$AO$850&amp;""</f>
        <v/>
      </c>
      <c r="MH134" s="152">
        <f>'INVOCAÇÕES'!$AN$855&amp;""</f>
        <v/>
      </c>
      <c r="MI134" s="152">
        <f>'INVOCAÇÕES'!$AN$856&amp;""</f>
        <v/>
      </c>
      <c r="MJ134" s="152">
        <f>'INVOCAÇÕES'!$AP$856&amp;""</f>
        <v/>
      </c>
      <c r="MK134" s="152">
        <f>'INVOCAÇÕES'!$AO$859&amp;""</f>
        <v/>
      </c>
      <c r="ML134" s="152">
        <f>'INVOCAÇÕES'!$AO$860&amp;""</f>
        <v/>
      </c>
      <c r="MM134" s="152">
        <f>'INVOCAÇÕES'!$AO$861&amp;""</f>
        <v/>
      </c>
      <c r="MN134" s="152">
        <f>'INVOCAÇÕES'!$AO$862&amp;""</f>
        <v/>
      </c>
      <c r="MO134" s="152">
        <f>'INVOCAÇÕES'!$AO$863&amp;""</f>
        <v/>
      </c>
      <c r="MP134" s="152">
        <f>'INVOCAÇÕES'!$AO$864&amp;""</f>
        <v/>
      </c>
      <c r="MQ134" s="152">
        <f>IF($MG134&lt;&gt;"",1,0)</f>
        <v/>
      </c>
      <c r="MR134" s="152">
        <f>INDEX($FI$2:$FI$13,$MB134)</f>
        <v/>
      </c>
      <c r="MS134" s="152">
        <f>INDEX($FJ$2:$FJ$13,$MB134)</f>
        <v/>
      </c>
      <c r="MT134" s="152">
        <f>INDEX($FK$2:$FK$13,$MB134)</f>
        <v/>
      </c>
      <c r="MU134" s="152">
        <f>INDEX($FV$2:$FV$13,$MB134)</f>
        <v/>
      </c>
      <c r="MV134" s="152">
        <f>INDEX($FW$2:$FW$13,$MB134)</f>
        <v/>
      </c>
      <c r="MW134" s="152">
        <f>IFERROR(MATCH($MH134,$V$2:$V$11,0),0)</f>
        <v/>
      </c>
      <c r="MX134" s="152">
        <f>IFERROR(VLOOKUP($MK134,$AV$2:$BA$84,2,FALSE),"")</f>
        <v/>
      </c>
      <c r="MY134" s="152">
        <f>IFERROR(VLOOKUP($ML134,$AV$2:$BA$84,2,FALSE),"")</f>
        <v/>
      </c>
      <c r="MZ134" s="152">
        <f>IFERROR(VLOOKUP($MM134,$AV$2:$BA$84,2,FALSE),"")</f>
        <v/>
      </c>
      <c r="NA134" s="152">
        <f>IFERROR(VLOOKUP($MN134,$AV$2:$BA$84,2,FALSE),"")</f>
        <v/>
      </c>
      <c r="NB134" s="152">
        <f>IFERROR(VLOOKUP($MK134,$AV$2:$BA$84,3,FALSE),0)</f>
        <v/>
      </c>
      <c r="NC134" s="152">
        <f>IFERROR(VLOOKUP($ML134,$AV$2:$BA$84,3,FALSE),0)</f>
        <v/>
      </c>
      <c r="ND134" s="152">
        <f>IFERROR(VLOOKUP($MM134,$AV$2:$BA$84,3,FALSE),0)</f>
        <v/>
      </c>
      <c r="NE134" s="152">
        <f>IFERROR(VLOOKUP($MN134,$AV$2:$BA$84,3,FALSE),0)</f>
        <v/>
      </c>
      <c r="NF134" s="152">
        <f>IF($MF134=0,0,IF($MW134=0,0,INDEX($X$2:$X$11,$MW134)))</f>
        <v/>
      </c>
      <c r="NG134" s="152">
        <f>IF(OR($NB134=0,$MF134=0),0,$NB134+3*IF(AND($MX134&lt;&gt;"",OR($MX134=INDEX($EF$2:$EF$13,$MB134),$MX134=INDEX($EG$2:$EG$13,$MB134))),1,0))</f>
        <v/>
      </c>
      <c r="NH134" s="152">
        <f>IF(OR($NC134=0,$MF134=0),0,$NC134+3*IF(AND($MY134&lt;&gt;"",OR($MY134=INDEX($EF$2:$EF$13,$MB134),$MY134=INDEX($EG$2:$EG$13,$MB134))),1,0))</f>
        <v/>
      </c>
      <c r="NI134" s="152">
        <f>IF(OR($ND134=0,$MF134=0),0,$ND134+3*IF(AND($MZ134&lt;&gt;"",OR($MZ134=INDEX($EF$2:$EF$13,$MB134),$MZ134=INDEX($EG$2:$EG$13,$MB134))),1,0))</f>
        <v/>
      </c>
      <c r="NJ134" s="152">
        <f>IF(OR($NE134=0,$MF134=0),0,$NE134+3*IF(AND($NA134&lt;&gt;"",OR($NA134=INDEX($EF$2:$EF$13,$MB134),$NA134=INDEX($EG$2:$EG$13,$MB134))),1,0))</f>
        <v/>
      </c>
      <c r="NK134" s="152">
        <f>IF($MW134=0,0,IF(INDEX($W$2:$W$11,$MW134)="",0,IF(COUNTIF(INDEX($EF$2:$EJ$13,$MB134,0),INDEX($W$2:$W$11,$MW134))=0,1,0)))</f>
        <v/>
      </c>
      <c r="NL134" s="152">
        <f>IF(OR($NB134=0,$MX134=""),0,IF(COUNTIF(INDEX($EF$2:$EJ$13,$MB134,0),$MX134)=0,1,0))</f>
        <v/>
      </c>
      <c r="NM134" s="152">
        <f>IF(OR($NC134=0,$MY134=""),0,IF(COUNTIF(INDEX($EF$2:$EJ$13,$MB134,0),$MY134)=0,1,0))</f>
        <v/>
      </c>
      <c r="NN134" s="152">
        <f>IF(OR($ND134=0,$MZ134=""),0,IF(COUNTIF(INDEX($EF$2:$EJ$13,$MB134,0),$MZ134)=0,1,0))</f>
        <v/>
      </c>
      <c r="NO134" s="152">
        <f>IF(OR($NE134=0,$NA134=""),0,IF(COUNTIF(INDEX($EF$2:$EJ$13,$MB134,0),$NA134)=0,1,0))</f>
        <v/>
      </c>
      <c r="NP134" s="152">
        <f>IFERROR(VLOOKUP($MK134,$AV$2:$BA$84,4,FALSE),0)+IFERROR(VLOOKUP($ML134,$AV$2:$BA$84,4,FALSE),0)+IFERROR(VLOOKUP($MM134,$AV$2:$BA$84,4,FALSE),0)+IFERROR(VLOOKUP($MN134,$AV$2:$BA$84,4,FALSE),0)</f>
        <v/>
      </c>
      <c r="NQ134" s="152">
        <f>IFERROR(VLOOKUP($MK134,$AV$2:$BA$84,6,FALSE),0)+IFERROR(VLOOKUP($ML134,$AV$2:$BA$84,6,FALSE),0)+IFERROR(VLOOKUP($MM134,$AV$2:$BA$84,6,FALSE),0)+IFERROR(VLOOKUP($MN134,$AV$2:$BA$84,6,FALSE),0)</f>
        <v/>
      </c>
      <c r="NR134" s="152">
        <f>TEXTJOIN(", ",TRUE,IF(IFERROR(VLOOKUP($MK134,$AV$2:$BA$84,5,FALSE),0)=1,$MK134,""),IF(IFERROR(VLOOKUP($ML134,$AV$2:$BA$84,5,FALSE),0)=1,$ML134,""),IF(IFERROR(VLOOKUP($MM134,$AV$2:$BA$84,5,FALSE),0)=1,$MM134,""),IF(IFERROR(VLOOKUP($MN134,$AV$2:$BA$84,5,FALSE),0)=1,$MN134,""))</f>
        <v/>
      </c>
      <c r="NS134" s="152">
        <f>IF($MW134=0,0,INDEX($Y$2:$Y$11,$MW134))</f>
        <v/>
      </c>
      <c r="NT134" s="152">
        <f>IF($MW134=0,0,INDEX($Z$2:$Z$11,$MW134))</f>
        <v/>
      </c>
      <c r="NU134" s="152">
        <f>IF($MW134=0,0,INDEX($AB$2:$AB$11,$MW134))</f>
        <v/>
      </c>
      <c r="NV134" s="152">
        <f>IFERROR(VLOOKUP($MO134,$BC$2:$BG$24,3,FALSE),0)</f>
        <v/>
      </c>
      <c r="NW134" s="152">
        <f>IFERROR(VLOOKUP($MP134,$BC$2:$BG$24,3,FALSE),0)</f>
        <v/>
      </c>
      <c r="NX134" s="152">
        <f>IFERROR(VLOOKUP($MO134,$BC$2:$BG$24,2,FALSE),"")</f>
        <v/>
      </c>
      <c r="NY134" s="152">
        <f>IFERROR(VLOOKUP($MP134,$BC$2:$BG$24,2,FALSE),"")</f>
        <v/>
      </c>
      <c r="NZ134" s="152">
        <f>COUNTIF($NF134:$NJ134,1)</f>
        <v/>
      </c>
      <c r="OA134" s="152">
        <f>COUNTIF($NF134:$NJ134,2)</f>
        <v/>
      </c>
      <c r="OB134" s="152">
        <f>COUNTIF($NF134:$NJ134,3)</f>
        <v/>
      </c>
      <c r="OC134" s="152">
        <f>COUNTIF($NF134:$NJ134,4)</f>
        <v/>
      </c>
      <c r="OD134" s="152">
        <f>COUNTIF($NF134:$NJ134,5)</f>
        <v/>
      </c>
      <c r="OE134" s="152">
        <f>COUNTIF($NF134:$NJ134,6)</f>
        <v/>
      </c>
      <c r="OF134" s="152">
        <f>COUNTIF($NV134:$NW134,1)</f>
        <v/>
      </c>
      <c r="OG134" s="152">
        <f>COUNTIF($NV134:$NW134,2)+$NS134</f>
        <v/>
      </c>
      <c r="OH134" s="152">
        <f>COUNTIF($MK134:$MN134,"?*")</f>
        <v/>
      </c>
      <c r="OI134" s="152">
        <f>COUNTIF($MO134:$MP134,"?*")+$NS134</f>
        <v/>
      </c>
      <c r="OJ134" s="152">
        <f>IF($MF134=0,0,SUMPRODUCT($NZ134:$OE134,INDEX($I$2:$N$8,MAX(1,$MF134),0)))</f>
        <v/>
      </c>
      <c r="OK134" s="152">
        <f>IF($MF134=0,0,$OF134*CEILING($MF134/2,1)+$OG134*$MF134)</f>
        <v/>
      </c>
      <c r="OL134" s="152">
        <f>MIN(2*$MF134,$OK134)</f>
        <v/>
      </c>
      <c r="OM134" s="152">
        <f>MIN($OL134,$OJ134)</f>
        <v/>
      </c>
      <c r="ON134" s="152">
        <f>$OL134-$OM134</f>
        <v/>
      </c>
      <c r="OO134" s="152">
        <f>IF($MF134=0,0,INDEX($P$2:$P$8,MAX(1,$MF134)))</f>
        <v/>
      </c>
      <c r="OP134" s="152">
        <f>$OO134-$OJ134+$OM134</f>
        <v/>
      </c>
      <c r="OQ134" s="152">
        <f>IF($MF134=0,MAX(0,$MT134-IF($OH134&gt;0,1,0)),MAX(0,$OP134))</f>
        <v/>
      </c>
      <c r="OR134" s="152">
        <f>IF($MF134=0,0,(IF(COUNTIF($MK134:$MN134,"Salto")&gt;0,1,0)+IF(COUNTIF($MK134:$MN134,"Queima")&gt;0,1,0)+IF(COUNTIF($MK134:$MN134,"Estilhaço")&gt;0,1,0))*FLOOR($OQ134/2,1))</f>
        <v/>
      </c>
      <c r="OS134" s="152">
        <f>MAX(0,2-SUMPRODUCT($NZ134:$OE134,$I$2:$N$2)+MIN(2,$OF134*1+$OG134*1,SUMPRODUCT($NZ134:$OE134,$I$2:$N$2)))</f>
        <v/>
      </c>
      <c r="OT134" s="152">
        <f>MAX(0,4-SUMPRODUCT($NZ134:$OE134,$I$3:$N$3)+MIN(4,$OF134*1+$OG134*2,SUMPRODUCT($NZ134:$OE134,$I$3:$N$3)))</f>
        <v/>
      </c>
      <c r="OU134" s="152">
        <f>MAX(0,6-SUMPRODUCT($NZ134:$OE134,$I$4:$N$4)+MIN(6,$OF134*2+$OG134*3,SUMPRODUCT($NZ134:$OE134,$I$4:$N$4)))</f>
        <v/>
      </c>
      <c r="OV134" s="152">
        <f>MAX(0,9-SUMPRODUCT($NZ134:$OE134,$I$5:$N$5)+MIN(8,$OF134*2+$OG134*4,SUMPRODUCT($NZ134:$OE134,$I$5:$N$5)))</f>
        <v/>
      </c>
      <c r="OW134" s="152">
        <f>MAX(0,11-SUMPRODUCT($NZ134:$OE134,$I$6:$N$6)+MIN(10,$OF134*3+$OG134*5,SUMPRODUCT($NZ134:$OE134,$I$6:$N$6)))</f>
        <v/>
      </c>
      <c r="OX134" s="152">
        <f>MAX(0,13-SUMPRODUCT($NZ134:$OE134,$I$7:$N$7)+MIN(12,$OF134*3+$OG134*6,SUMPRODUCT($NZ134:$OE134,$I$7:$N$7)))</f>
        <v/>
      </c>
      <c r="OY134" s="152">
        <f>MAX(0,16-SUMPRODUCT($NZ134:$OE134,$I$8:$N$8)+MIN(14,$OF134*4+$OG134*7,SUMPRODUCT($NZ134:$OE134,$I$8:$N$8)))</f>
        <v/>
      </c>
      <c r="OZ134" s="152">
        <f>IF($NT134=2,3*$OS134&amp;" de vida temp.",IF($NT134=3,"sem dano",IF($OS134=0,IF($NT134=1,"sem cura","sem dano"),IF($NT134=1,"cura ","")&amp;$OS134&amp;"d8")))</f>
        <v/>
      </c>
      <c r="PA134" s="152">
        <f>IF($NT134=2,3*$OT134&amp;" de vida temp.",IF($NT134=3,"sem dano",IF($OT134=0,IF($NT134=1,"sem cura","sem dano"),IF($NT134=1,"cura ","")&amp;$OT134&amp;"d8")))</f>
        <v/>
      </c>
      <c r="PB134" s="152">
        <f>IF($NT134=2,3*$OU134&amp;" de vida temp.",IF($NT134=3,"sem dano",IF($OU134=0,IF($NT134=1,"sem cura","sem dano"),IF($NT134=1,"cura ","")&amp;$OU134&amp;"d8")))</f>
        <v/>
      </c>
      <c r="PC134" s="152">
        <f>IF($NT134=2,3*$OV134&amp;" de vida temp.",IF($NT134=3,"sem dano",IF($OV134=0,IF($NT134=1,"sem cura","sem dano"),IF($NT134=1,"cura ","")&amp;$OV134&amp;"d8")))</f>
        <v/>
      </c>
      <c r="PD134" s="152">
        <f>IF($NT134=2,3*$OW134&amp;" de vida temp.",IF($NT134=3,"sem dano",IF($OW134=0,IF($NT134=1,"sem cura","sem dano"),IF($NT134=1,"cura ","")&amp;$OW134&amp;"d8")))</f>
        <v/>
      </c>
      <c r="PE134" s="152">
        <f>IF($NT134=2,3*$OX134&amp;" de vida temp.",IF($NT134=3,"sem dano",IF($OX134=0,IF($NT134=1,"sem cura","sem dano"),IF($NT134=1,"cura ","")&amp;$OX134&amp;"d8")))</f>
        <v/>
      </c>
      <c r="PF134" s="152">
        <f>IF($NT134=2,3*$OY134&amp;" de vida temp.",IF($NT134=3,"sem dano",IF($OY134=0,IF($NT134=1,"sem cura","sem dano"),IF($NT134=1,"cura ","")&amp;$OY134&amp;"d8")))</f>
        <v/>
      </c>
      <c r="PG134" s="152">
        <f>IF($MQ134=0,"",TEXTJOIN(" · ",TRUE,IF($MD134&gt;$MR134,"Este lugar abre no nível "&amp;$MD134,""),IF($MF134&gt;$MS134,"Classe "&amp;$MF134&amp;": o nível "&amp;$MR134&amp;" libera até a "&amp;$MS134,""),IF($NK134=1,"A Forma "&amp;$MH134&amp;" pede "&amp;INDEX($W$2:$W$11,$MW134)&amp;" aberta",""),IF(AND($MF134=0,$MW134&gt;0,IF($MW134=0,0,INDEX($AF$2:$AF$11,$MW134))=0),$MH134&amp;" não existe na Classe 0",""),IF($NL134=1,"Família Fechada: "&amp;$MK134,""),IF($NM134=1,"Família Fechada: "&amp;$ML134,""),IF($NN134=1,"Família Fechada: "&amp;$MM134,""),IF($NO134=1,"Família Fechada: "&amp;$MN134,""),IF(AND($MF134&gt;0,$OH134&gt;INDEX($O$2:$O$8,MAX(1,$MF134))),$OH134&amp;" Melhorias: a Classe "&amp;$MF134&amp;" aceita "&amp;INDEX($O$2:$O$8,MAX(1,$MF134)),""),IF(AND($MF134=0,$OH134&gt;1),"A básica aceita uma Melhoria",""),IF(AND($MF134=0,COUNTIF($NB134:$NE134,"&gt;1")&gt;0),"A básica só aceita Melhoria Leve",""),IF(AND($MF134&gt;0,$OI134&gt;2),$OI134&amp;" Restrições"&amp;IF($NS134=1,", contando a que a Forma "&amp;$MH134&amp;" já traz","")&amp;": o limite é 2",""),IF(AND($MF134=0,COUNTIF($MO134:$MP134,"?*")&gt;1),"A básica aceita uma Restrição Leve",""),IF(AND($MF134=0,COUNTIF($NV134:$NW134,2)&gt;0),"A básica só aceita Restrição Leve",""),IF(AND($MF134&gt;0,$OP134&lt;0),"Orçamento estourado: faltam "&amp;(-$OP134)&amp;IF($OP134&lt;-1," pontos"," ponto"),""),IF(IFERROR(VLOOKUP($MO134,$BC$2:$BG$24,4,FALSE),0)+IFERROR(VLOOKUP($MP134,$BC$2:$BG$24,4,FALSE),0)&gt;1,$NX134&amp;" e "&amp;$NY134&amp;" são as duas de frequência",""),IF(AND((COUNTIF($MK134:$MN134,"Rápido")+COUNTIF($NX134:$NY134,"Rápido"))&gt;0,(COUNTIF($MK134:$MN134,"Atrasar")+COUNTIF($NX134:$NY134,"Atrasar"))&gt;0),"Rápido não entra com Atrasar",""),IF(AND((COUNTIF($MK134:$MN134,"Reação")+COUNTIF($NX134:$NY134,"Reação"))&gt;0,(COUNTIF($MK134:$MN134,"Rápido")+COUNTIF($NX134:$NY134,"Rápido"))&gt;0),"Reação não entra com Rápido",""),IF(AND((COUNTIF($MK134:$MN134,"Reação")+COUNTIF($NX134:$NY134,"Reação"))&gt;0,(COUNTIF($MK134:$MN134,"Armado")+COUNTIF($NX134:$NY134,"Armado"))&gt;0),"Reação não entra com Armado",""),IF(AND((COUNTIF($MK134:$MN134,"Reação")+COUNTIF($NX134:$NY134,"Reação"))&gt;0,(COUNTIF($MK134:$MN134,"Atrasar")+COUNTIF($NX134:$NY134,"Atrasar"))&gt;0),"Reação não entra com Atrasar",""),IF(AND((COUNTIF($MK134:$MN134,"Reação")+COUNTIF($NX134:$NY134,"Reação"))&gt;0,(COUNTIF($MK134:$MN134,"Parado")+COUNTIF($NX134:$NY134,"Parado"))&gt;0),"Reação não entra com Parado",""),IF(AND((COUNTIF($MK134:$MN134,"Atrasar")+COUNTIF($NX134:$NY134,"Atrasar"))&gt;0,(COUNTIF($MK134:$MN134,"Parado")+COUNTIF($NX134:$NY134,"Parado"))&gt;0),"Atrasar não entra com Parado",""),IF(AND((COUNTIF($MK134:$MN134,"Armado")+COUNTIF($NX134:$NY134,"Armado"))&gt;0,(COUNTIF($MK134:$MN134,"Carregar")+COUNTIF($NX134:$NY134,"Carregar"))&gt;0),"Armado não entra com Carregar",""),IF(AND(COUNTIF($NX134:$NY134,"Corpo a Corpo")&gt;0,$NS134=0,OR($MH134="Cone",$MH134="Linha")),"Corpo a Corpo não entra em "&amp;$MH134,""),IF(AND(COUNTIF($NX134:$NY134,"Corpo a Corpo")&gt;0,$NS134=1),"A Forma "&amp;$MH134&amp;" já traz o Corpo a Corpo",""),IF(AND(COUNTIF($NX134:$NY134,"Tudo ou Nada")&gt;0,$NU134=0),"Tudo ou Nada só entra em habilidade de Teste de Resistência",""),IF(AND(COUNTIF($MK134:$MN134,"Inescapável")&gt;0,OR($OH134&gt;1,$OI134&gt;0)),"Inescapável não aceita outra peça",""),IF(AND($MF134&gt;0,$OQ134*IF(COUNTIF($MK134:$MN134,"Remate")&gt;0,1.25,1)+$OR134&gt;4*$MF134),($OQ134*IF(COUNTIF($MK134:$MN134,"Remate")&gt;0,1.25,1)+$OR134)&amp;" dados somando repetições"&amp;IF(COUNTIF($MK134:$MN134,"Remate")&gt;0," e o Remate","")&amp;": o teto da Classe "&amp;$MF134&amp;" é "&amp;4*$MF134,"")))</f>
        <v/>
      </c>
      <c r="PH134" s="152">
        <f>IF($PG134="",0,(LEN($PG134)-LEN(SUBSTITUTE($PG134," · ","")))/3+1)</f>
        <v/>
      </c>
      <c r="PI134" s="152">
        <f>IF($MQ134=0,"",TEXTJOIN(" · ",TRUE,IF($OK134&gt;2*$MF134,"A devolução parou no teto de "&amp;2*$MF134,""),IF($ON134&gt;0,"Devolução perdida: "&amp;$ON134&amp;IF($ON134&gt;1," pontos"," ponto")&amp;" sem peça para pagar",""),IF(AND($NP134&gt;0,AND($MF134&gt;0,$NT134=0),$OQ134=0),"Controle sem dano: uma rodada a mais e CD +2",""),IF(AND($NP134&gt;0,AND($MF134&gt;0,$NT134=0),$OQ134&gt;0,$OQ134&lt;=$MF134),"Controle com saldo até a Classe: uma rodada a mais",""),IF(AND($MF134&gt;0,$NR134&lt;&gt;""),"Efeito de "&amp;$NR134&amp;" pela Classe "&amp;MAX(1,$MF134-1),"")))</f>
        <v/>
      </c>
      <c r="PJ134" s="152">
        <f>IF($PI134="",0,(LEN($PI134)-LEN(SUBSTITUTE($PI134," · ","")))/3+1)</f>
        <v/>
      </c>
      <c r="PK134" s="152">
        <f>IF($MQ134=0,IF($OH134+COUNTIF($MO134:$MP134,"?*")&gt;0,"Dê um nome",""),IF($PH134&gt;0,"⚠ "&amp;$PH134&amp;IF($PH134&gt;1," erros"," erro"),IF($PJ134&gt;0,"! "&amp;$PJ134&amp;IF($PJ134&gt;1," avisos"," aviso"),"Na regra")))</f>
        <v/>
      </c>
      <c r="PL134" s="152">
        <f>IF($MQ134=0,"",IF($PH134+$PJ134=0,"Dentro das regras que a ficha confere",$PG134&amp;IF(AND($PH134&gt;0,$PJ134&gt;0)," · ","")&amp;$PI134))</f>
        <v/>
      </c>
      <c r="PM134" s="152">
        <f>IF($MD134&gt;$MR134,$ME134&amp;" · ABRE NO NÍVEL "&amp;$MD134,$ME134)</f>
        <v/>
      </c>
      <c r="PN134" s="152">
        <f>IF($MQ134=0,"",IF($MF134=0,"Sem PE",3*$MF134&amp;" PE"))</f>
        <v/>
      </c>
      <c r="PO134" s="152">
        <f>IF($MQ134=0,"",IF($MF134=0,"A atuação básica dela",IF(COUNTIF($NX134:$NY134,"Atrasar")&gt;0,"Sua Ação Completa",IF(COUNTIF($MK134:$MN134,"Rápido")&gt;0,"Sua Bônus",IF(COUNTIF($MK134:$MN134,"Reação")&gt;0,"Sua Reação","Sua Padrão")))&amp;" + a básica dela"&amp;IF(COUNTIF($MK134:$MN134,"Reação")&gt;0," e a coletiva","")&amp;IF(COUNTIF($NX134:$NY134,"Carregar")&gt;0," · em dois turnos","")))</f>
        <v/>
      </c>
      <c r="PP134" s="152">
        <f>IF($MJ134&lt;&gt;"",$MJ134,IF($MW134=0,"",INDEX($AA$2:$AA$11,$MW134)))</f>
        <v/>
      </c>
      <c r="PQ134" s="152">
        <f>IF(OR($MQ134=0,$MW134=0),"",IF(COUNTIF($MK134:$MN134,"Inescapável")&gt;0,"Automático",IF($PP134="Ataque",IF($MU134="","Ataque","Ataque "&amp;IF(($MU134+2*IF(COUNTIF($MK134:$MN134,"Precisão")&gt;0,1,0))&gt;=0,"+","−")&amp;ABS(($MU134+2*IF(COUNTIF($MK134:$MN134,"Precisão")&gt;0,1,0))))&amp;IF($NQ134&gt;0," · TR"&amp;IF($MV134="",""," CD "&amp;$MV134),""),IF(LEFT($PP134,2)="TR",$PP134&amp;IF($MV134="",""," · CD "&amp;$MV134)&amp;IF(COUNTIF($MK134:$MN134,"Certeiro")&gt;0," · metade",""),"Sem rolagem"))))</f>
        <v/>
      </c>
      <c r="PR134" s="152">
        <f>IF(OR($MQ134=0,$MW134=0),"",IF($MF134=0,IF(OR($NT134&gt;=1,$OQ134=0),"Sem dano",$OQ134&amp;"d6"&amp;IF($MI134="",""," "&amp;$MI134)),IF(OR($NT134&gt;=1,$OQ134=0),UPPER(LEFT(INDEX($OZ134:$PF134,1,MAX(1,$MF134)),1))&amp;MID(INDEX($OZ134:$PF134,1,MAX(1,$MF134)),2,99),UPPER(LEFT(INDEX($OZ134:$PF134,1,MAX(1,$MF134)),1))&amp;MID(INDEX($OZ134:$PF134,1,MAX(1,$MF134)),2,99)&amp;IF($MI134="",""," "&amp;$MI134)&amp;IF($OR134&gt;0," · +"&amp;$OR134&amp;"d8",""))))</f>
        <v/>
      </c>
      <c r="PS134" s="152">
        <f>COUNTIF($MK134:$MN134,"Longe")+3*COUNTIF($MK134:$MN134,"Muito Longe")</f>
        <v/>
      </c>
      <c r="PT134" s="152">
        <f>COUNTIF($MK134:$MN134,"Maior")+3*COUNTIF($MK134:$MN134,"Muito Maior")</f>
        <v/>
      </c>
      <c r="PU134" s="152">
        <f>IF($MW134=0,0,CHOOSE(1+INDEX($AC$2:$AC$11,$MW134),0,$PS134,$PT134,$PS134+$PT134))</f>
        <v/>
      </c>
      <c r="PV134" s="152">
        <f>IF($MW134=0,0,CHOOSE(1+INDEX($AD$2:$AD$11,$MW134),0,$PS134,$PT134,$PS134+$PT134))</f>
        <v/>
      </c>
      <c r="PW134" s="152">
        <f>IF(OR($MQ134=0,$MW134=0),"",INDEX($AI$2:$AN$41,($MW134-1)*4+IF($MF134=0,1,IF($MF134&lt;=5,2,IF($MF134=6,3,4))),1+MIN(5,$PU134))&amp;INDEX($AO$2:$AT$41,($MW134-1)*4+IF($MF134=0,1,IF($MF134&lt;=5,2,IF($MF134=6,3,4))),1+MIN(5,$PV134))&amp;IF(INDEX($AE$2:$AE$11,$MW134)=1,IF(COUNTIF($MK134:$MN134,"Mais Um")&gt;0," · +"&amp;COUNTIF($MK134:$MN134,"Mais Um")&amp;IF(COUNTIF($MK134:$MN134,"Mais Um")&gt;1," alvos"," alvo"),"")&amp;IF(COUNTIF($MK134:$MN134,"Rajada")&gt;0,IF($MF134=0," · 1 tiro"," · "&amp;(MAX(1,$MF134-1)+1)&amp;" tiros"),""),""))</f>
        <v/>
      </c>
      <c r="PX134" s="152">
        <f>IF($MQ134=0,"",IF($MF134=0,$MT134&amp;"d6"&amp;IF($OH134&gt;0," − 1 = "&amp;$OQ134&amp;"d6"," da básica do nível "&amp;$MR134),$OO134&amp;" − "&amp;$OJ134&amp;" + "&amp;$OM134&amp;" = "&amp;$OP134&amp;" · teto "&amp;4*$MF134&amp;"d8"&amp;IF($NS134=1," · a Forma devolve "&amp;$MF134,"")&amp;IF($ON134&gt;0," · perde "&amp;$ON134,"")))</f>
        <v/>
      </c>
      <c r="PY134" s="152">
        <f>IF($MQ134=0,"",IF($MF134=0,"A básica não amplia: os dados dela sobem com o nível",IF($MF134&gt;=$MS134,"Já está na maior Classe que o nível liberou",TEXTJOIN(" · ",TRUE,IF(AND(2&gt;$MF134,2&lt;=$MS134),"2 → "&amp;$PA134&amp;", 6 PE",""),IF(AND(3&gt;$MF134,3&lt;=$MS134),"3 → "&amp;$PB134&amp;", 9 PE",""),IF(AND(4&gt;$MF134,4&lt;=$MS134),"4 → "&amp;$PC134&amp;", 12 PE",""),IF(AND(5&gt;$MF134,5&lt;=$MS134),"5 → "&amp;$PD134&amp;", 15 PE",""),IF(AND(6&gt;$MF134,6&lt;=$MS134),"6 → "&amp;$PE134&amp;", 18 PE",""),IF(AND(7&gt;$MF134,7&lt;=$MS134),"7 → "&amp;$PF134&amp;", 21 PE","")))))</f>
        <v/>
      </c>
      <c r="PZ134" s="152">
        <f>IF(OR($MQ134=0,$NB134=0),"",IF($MF134=0,"−1 dado","−"&amp;INDEX($I$2:$N$8,MAX(1,$MF134),MAX(1,$NG134))&amp;" · "&amp;CHOOSE(MAX(1,$NG134),"Leve","Média","Pesada","Leve · Livre","Média · Livre","Pesada · Livre")))</f>
        <v/>
      </c>
      <c r="QA134" s="152">
        <f>IF(OR($MQ134=0,$NC134=0),"",IF($MF134=0,"−1 dado","−"&amp;INDEX($I$2:$N$8,MAX(1,$MF134),MAX(1,$NH134))&amp;" · "&amp;CHOOSE(MAX(1,$NH134),"Leve","Média","Pesada","Leve · Livre","Média · Livre","Pesada · Livre")))</f>
        <v/>
      </c>
      <c r="QB134" s="152">
        <f>IF(OR($MQ134=0,$ND134=0),"",IF($MF134=0,"−1 dado","−"&amp;INDEX($I$2:$N$8,MAX(1,$MF134),MAX(1,$NI134))&amp;" · "&amp;CHOOSE(MAX(1,$NI134),"Leve","Média","Pesada","Leve · Livre","Média · Livre","Pesada · Livre")))</f>
        <v/>
      </c>
      <c r="QC134" s="152">
        <f>IF(OR($MQ134=0,$NE134=0),"",IF($MF134=0,"−1 dado","−"&amp;INDEX($I$2:$N$8,MAX(1,$MF134),MAX(1,$NJ134))&amp;" · "&amp;CHOOSE(MAX(1,$NJ134),"Leve","Média","Pesada","Leve · Livre","Média · Livre","Pesada · Livre")))</f>
        <v/>
      </c>
      <c r="QD134" s="152">
        <f>IF(OR($MQ134=0,$MO134=""),"",IF($MF134=0,"não devolve","+"&amp;IF($NV134=1,CEILING($MF134/2,1),$MF134)))</f>
        <v/>
      </c>
      <c r="QE134" s="152">
        <f>IF(OR($MQ134=0,$MP134=""),"",IF($MF134=0,"não devolve","+"&amp;IF($NW134=1,CEILING($MF134/2,1),$MF134)))</f>
        <v/>
      </c>
    </row>
    <row r="135">
      <c r="MA135" s="150" t="inlineStr">
        <is>
          <t>Ficha 11 · Básica 2</t>
        </is>
      </c>
      <c r="MB135" s="152" t="n">
        <v>11</v>
      </c>
      <c r="MC135" s="152" t="n">
        <v>0</v>
      </c>
      <c r="MD135" s="152" t="n">
        <v>11</v>
      </c>
      <c r="ME135" s="150" t="inlineStr">
        <is>
          <t>BÁSICA 2</t>
        </is>
      </c>
      <c r="MF135" s="152" t="n">
        <v>0</v>
      </c>
      <c r="MG135" s="152">
        <f>'INVOCAÇÕES'!$AC$884&amp;""</f>
        <v/>
      </c>
      <c r="MH135" s="152">
        <f>'INVOCAÇÕES'!$AB$889&amp;""</f>
        <v/>
      </c>
      <c r="MI135" s="152">
        <f>'INVOCAÇÕES'!$AB$890&amp;""</f>
        <v/>
      </c>
      <c r="MJ135" s="152">
        <f>'INVOCAÇÕES'!$AD$890&amp;""</f>
        <v/>
      </c>
      <c r="MK135" s="152">
        <f>'INVOCAÇÕES'!$AC$893&amp;""</f>
        <v/>
      </c>
      <c r="ML135" s="152">
        <f>'INVOCAÇÕES'!$AC$894&amp;""</f>
        <v/>
      </c>
      <c r="MM135" s="152">
        <f>'INVOCAÇÕES'!$AC$895&amp;""</f>
        <v/>
      </c>
      <c r="MN135" s="152">
        <f>'INVOCAÇÕES'!$AC$896&amp;""</f>
        <v/>
      </c>
      <c r="MO135" s="152">
        <f>'INVOCAÇÕES'!$AC$897&amp;""</f>
        <v/>
      </c>
      <c r="MP135" s="152">
        <f>'INVOCAÇÕES'!$AC$898&amp;""</f>
        <v/>
      </c>
      <c r="MQ135" s="152">
        <f>IF($MG135&lt;&gt;"",1,0)</f>
        <v/>
      </c>
      <c r="MR135" s="152">
        <f>INDEX($FI$2:$FI$13,$MB135)</f>
        <v/>
      </c>
      <c r="MS135" s="152">
        <f>INDEX($FJ$2:$FJ$13,$MB135)</f>
        <v/>
      </c>
      <c r="MT135" s="152">
        <f>INDEX($FK$2:$FK$13,$MB135)</f>
        <v/>
      </c>
      <c r="MU135" s="152">
        <f>INDEX($FV$2:$FV$13,$MB135)</f>
        <v/>
      </c>
      <c r="MV135" s="152">
        <f>INDEX($FW$2:$FW$13,$MB135)</f>
        <v/>
      </c>
      <c r="MW135" s="152">
        <f>IFERROR(MATCH($MH135,$V$2:$V$11,0),0)</f>
        <v/>
      </c>
      <c r="MX135" s="152">
        <f>IFERROR(VLOOKUP($MK135,$AV$2:$BA$84,2,FALSE),"")</f>
        <v/>
      </c>
      <c r="MY135" s="152">
        <f>IFERROR(VLOOKUP($ML135,$AV$2:$BA$84,2,FALSE),"")</f>
        <v/>
      </c>
      <c r="MZ135" s="152">
        <f>IFERROR(VLOOKUP($MM135,$AV$2:$BA$84,2,FALSE),"")</f>
        <v/>
      </c>
      <c r="NA135" s="152">
        <f>IFERROR(VLOOKUP($MN135,$AV$2:$BA$84,2,FALSE),"")</f>
        <v/>
      </c>
      <c r="NB135" s="152">
        <f>IFERROR(VLOOKUP($MK135,$AV$2:$BA$84,3,FALSE),0)</f>
        <v/>
      </c>
      <c r="NC135" s="152">
        <f>IFERROR(VLOOKUP($ML135,$AV$2:$BA$84,3,FALSE),0)</f>
        <v/>
      </c>
      <c r="ND135" s="152">
        <f>IFERROR(VLOOKUP($MM135,$AV$2:$BA$84,3,FALSE),0)</f>
        <v/>
      </c>
      <c r="NE135" s="152">
        <f>IFERROR(VLOOKUP($MN135,$AV$2:$BA$84,3,FALSE),0)</f>
        <v/>
      </c>
      <c r="NF135" s="152">
        <f>IF($MF135=0,0,IF($MW135=0,0,INDEX($X$2:$X$11,$MW135)))</f>
        <v/>
      </c>
      <c r="NG135" s="152">
        <f>IF(OR($NB135=0,$MF135=0),0,$NB135+3*IF(AND($MX135&lt;&gt;"",OR($MX135=INDEX($EF$2:$EF$13,$MB135),$MX135=INDEX($EG$2:$EG$13,$MB135))),1,0))</f>
        <v/>
      </c>
      <c r="NH135" s="152">
        <f>IF(OR($NC135=0,$MF135=0),0,$NC135+3*IF(AND($MY135&lt;&gt;"",OR($MY135=INDEX($EF$2:$EF$13,$MB135),$MY135=INDEX($EG$2:$EG$13,$MB135))),1,0))</f>
        <v/>
      </c>
      <c r="NI135" s="152">
        <f>IF(OR($ND135=0,$MF135=0),0,$ND135+3*IF(AND($MZ135&lt;&gt;"",OR($MZ135=INDEX($EF$2:$EF$13,$MB135),$MZ135=INDEX($EG$2:$EG$13,$MB135))),1,0))</f>
        <v/>
      </c>
      <c r="NJ135" s="152">
        <f>IF(OR($NE135=0,$MF135=0),0,$NE135+3*IF(AND($NA135&lt;&gt;"",OR($NA135=INDEX($EF$2:$EF$13,$MB135),$NA135=INDEX($EG$2:$EG$13,$MB135))),1,0))</f>
        <v/>
      </c>
      <c r="NK135" s="152">
        <f>IF($MW135=0,0,IF(INDEX($W$2:$W$11,$MW135)="",0,IF(COUNTIF(INDEX($EF$2:$EJ$13,$MB135,0),INDEX($W$2:$W$11,$MW135))=0,1,0)))</f>
        <v/>
      </c>
      <c r="NL135" s="152">
        <f>IF(OR($NB135=0,$MX135=""),0,IF(COUNTIF(INDEX($EF$2:$EJ$13,$MB135,0),$MX135)=0,1,0))</f>
        <v/>
      </c>
      <c r="NM135" s="152">
        <f>IF(OR($NC135=0,$MY135=""),0,IF(COUNTIF(INDEX($EF$2:$EJ$13,$MB135,0),$MY135)=0,1,0))</f>
        <v/>
      </c>
      <c r="NN135" s="152">
        <f>IF(OR($ND135=0,$MZ135=""),0,IF(COUNTIF(INDEX($EF$2:$EJ$13,$MB135,0),$MZ135)=0,1,0))</f>
        <v/>
      </c>
      <c r="NO135" s="152">
        <f>IF(OR($NE135=0,$NA135=""),0,IF(COUNTIF(INDEX($EF$2:$EJ$13,$MB135,0),$NA135)=0,1,0))</f>
        <v/>
      </c>
      <c r="NP135" s="152">
        <f>IFERROR(VLOOKUP($MK135,$AV$2:$BA$84,4,FALSE),0)+IFERROR(VLOOKUP($ML135,$AV$2:$BA$84,4,FALSE),0)+IFERROR(VLOOKUP($MM135,$AV$2:$BA$84,4,FALSE),0)+IFERROR(VLOOKUP($MN135,$AV$2:$BA$84,4,FALSE),0)</f>
        <v/>
      </c>
      <c r="NQ135" s="152">
        <f>IFERROR(VLOOKUP($MK135,$AV$2:$BA$84,6,FALSE),0)+IFERROR(VLOOKUP($ML135,$AV$2:$BA$84,6,FALSE),0)+IFERROR(VLOOKUP($MM135,$AV$2:$BA$84,6,FALSE),0)+IFERROR(VLOOKUP($MN135,$AV$2:$BA$84,6,FALSE),0)</f>
        <v/>
      </c>
      <c r="NR135" s="152">
        <f>TEXTJOIN(", ",TRUE,IF(IFERROR(VLOOKUP($MK135,$AV$2:$BA$84,5,FALSE),0)=1,$MK135,""),IF(IFERROR(VLOOKUP($ML135,$AV$2:$BA$84,5,FALSE),0)=1,$ML135,""),IF(IFERROR(VLOOKUP($MM135,$AV$2:$BA$84,5,FALSE),0)=1,$MM135,""),IF(IFERROR(VLOOKUP($MN135,$AV$2:$BA$84,5,FALSE),0)=1,$MN135,""))</f>
        <v/>
      </c>
      <c r="NS135" s="152">
        <f>IF($MW135=0,0,INDEX($Y$2:$Y$11,$MW135))</f>
        <v/>
      </c>
      <c r="NT135" s="152">
        <f>IF($MW135=0,0,INDEX($Z$2:$Z$11,$MW135))</f>
        <v/>
      </c>
      <c r="NU135" s="152">
        <f>IF($MW135=0,0,INDEX($AB$2:$AB$11,$MW135))</f>
        <v/>
      </c>
      <c r="NV135" s="152">
        <f>IFERROR(VLOOKUP($MO135,$BC$2:$BG$24,3,FALSE),0)</f>
        <v/>
      </c>
      <c r="NW135" s="152">
        <f>IFERROR(VLOOKUP($MP135,$BC$2:$BG$24,3,FALSE),0)</f>
        <v/>
      </c>
      <c r="NX135" s="152">
        <f>IFERROR(VLOOKUP($MO135,$BC$2:$BG$24,2,FALSE),"")</f>
        <v/>
      </c>
      <c r="NY135" s="152">
        <f>IFERROR(VLOOKUP($MP135,$BC$2:$BG$24,2,FALSE),"")</f>
        <v/>
      </c>
      <c r="NZ135" s="152">
        <f>COUNTIF($NF135:$NJ135,1)</f>
        <v/>
      </c>
      <c r="OA135" s="152">
        <f>COUNTIF($NF135:$NJ135,2)</f>
        <v/>
      </c>
      <c r="OB135" s="152">
        <f>COUNTIF($NF135:$NJ135,3)</f>
        <v/>
      </c>
      <c r="OC135" s="152">
        <f>COUNTIF($NF135:$NJ135,4)</f>
        <v/>
      </c>
      <c r="OD135" s="152">
        <f>COUNTIF($NF135:$NJ135,5)</f>
        <v/>
      </c>
      <c r="OE135" s="152">
        <f>COUNTIF($NF135:$NJ135,6)</f>
        <v/>
      </c>
      <c r="OF135" s="152">
        <f>COUNTIF($NV135:$NW135,1)</f>
        <v/>
      </c>
      <c r="OG135" s="152">
        <f>COUNTIF($NV135:$NW135,2)+$NS135</f>
        <v/>
      </c>
      <c r="OH135" s="152">
        <f>COUNTIF($MK135:$MN135,"?*")</f>
        <v/>
      </c>
      <c r="OI135" s="152">
        <f>COUNTIF($MO135:$MP135,"?*")+$NS135</f>
        <v/>
      </c>
      <c r="OJ135" s="152">
        <f>IF($MF135=0,0,SUMPRODUCT($NZ135:$OE135,INDEX($I$2:$N$8,MAX(1,$MF135),0)))</f>
        <v/>
      </c>
      <c r="OK135" s="152">
        <f>IF($MF135=0,0,$OF135*CEILING($MF135/2,1)+$OG135*$MF135)</f>
        <v/>
      </c>
      <c r="OL135" s="152">
        <f>MIN(2*$MF135,$OK135)</f>
        <v/>
      </c>
      <c r="OM135" s="152">
        <f>MIN($OL135,$OJ135)</f>
        <v/>
      </c>
      <c r="ON135" s="152">
        <f>$OL135-$OM135</f>
        <v/>
      </c>
      <c r="OO135" s="152">
        <f>IF($MF135=0,0,INDEX($P$2:$P$8,MAX(1,$MF135)))</f>
        <v/>
      </c>
      <c r="OP135" s="152">
        <f>$OO135-$OJ135+$OM135</f>
        <v/>
      </c>
      <c r="OQ135" s="152">
        <f>IF($MF135=0,MAX(0,$MT135-IF($OH135&gt;0,1,0)),MAX(0,$OP135))</f>
        <v/>
      </c>
      <c r="OR135" s="152">
        <f>IF($MF135=0,0,(IF(COUNTIF($MK135:$MN135,"Salto")&gt;0,1,0)+IF(COUNTIF($MK135:$MN135,"Queima")&gt;0,1,0)+IF(COUNTIF($MK135:$MN135,"Estilhaço")&gt;0,1,0))*FLOOR($OQ135/2,1))</f>
        <v/>
      </c>
      <c r="OS135" s="152">
        <f>MAX(0,2-SUMPRODUCT($NZ135:$OE135,$I$2:$N$2)+MIN(2,$OF135*1+$OG135*1,SUMPRODUCT($NZ135:$OE135,$I$2:$N$2)))</f>
        <v/>
      </c>
      <c r="OT135" s="152">
        <f>MAX(0,4-SUMPRODUCT($NZ135:$OE135,$I$3:$N$3)+MIN(4,$OF135*1+$OG135*2,SUMPRODUCT($NZ135:$OE135,$I$3:$N$3)))</f>
        <v/>
      </c>
      <c r="OU135" s="152">
        <f>MAX(0,6-SUMPRODUCT($NZ135:$OE135,$I$4:$N$4)+MIN(6,$OF135*2+$OG135*3,SUMPRODUCT($NZ135:$OE135,$I$4:$N$4)))</f>
        <v/>
      </c>
      <c r="OV135" s="152">
        <f>MAX(0,9-SUMPRODUCT($NZ135:$OE135,$I$5:$N$5)+MIN(8,$OF135*2+$OG135*4,SUMPRODUCT($NZ135:$OE135,$I$5:$N$5)))</f>
        <v/>
      </c>
      <c r="OW135" s="152">
        <f>MAX(0,11-SUMPRODUCT($NZ135:$OE135,$I$6:$N$6)+MIN(10,$OF135*3+$OG135*5,SUMPRODUCT($NZ135:$OE135,$I$6:$N$6)))</f>
        <v/>
      </c>
      <c r="OX135" s="152">
        <f>MAX(0,13-SUMPRODUCT($NZ135:$OE135,$I$7:$N$7)+MIN(12,$OF135*3+$OG135*6,SUMPRODUCT($NZ135:$OE135,$I$7:$N$7)))</f>
        <v/>
      </c>
      <c r="OY135" s="152">
        <f>MAX(0,16-SUMPRODUCT($NZ135:$OE135,$I$8:$N$8)+MIN(14,$OF135*4+$OG135*7,SUMPRODUCT($NZ135:$OE135,$I$8:$N$8)))</f>
        <v/>
      </c>
      <c r="OZ135" s="152">
        <f>IF($NT135=2,3*$OS135&amp;" de vida temp.",IF($NT135=3,"sem dano",IF($OS135=0,IF($NT135=1,"sem cura","sem dano"),IF($NT135=1,"cura ","")&amp;$OS135&amp;"d8")))</f>
        <v/>
      </c>
      <c r="PA135" s="152">
        <f>IF($NT135=2,3*$OT135&amp;" de vida temp.",IF($NT135=3,"sem dano",IF($OT135=0,IF($NT135=1,"sem cura","sem dano"),IF($NT135=1,"cura ","")&amp;$OT135&amp;"d8")))</f>
        <v/>
      </c>
      <c r="PB135" s="152">
        <f>IF($NT135=2,3*$OU135&amp;" de vida temp.",IF($NT135=3,"sem dano",IF($OU135=0,IF($NT135=1,"sem cura","sem dano"),IF($NT135=1,"cura ","")&amp;$OU135&amp;"d8")))</f>
        <v/>
      </c>
      <c r="PC135" s="152">
        <f>IF($NT135=2,3*$OV135&amp;" de vida temp.",IF($NT135=3,"sem dano",IF($OV135=0,IF($NT135=1,"sem cura","sem dano"),IF($NT135=1,"cura ","")&amp;$OV135&amp;"d8")))</f>
        <v/>
      </c>
      <c r="PD135" s="152">
        <f>IF($NT135=2,3*$OW135&amp;" de vida temp.",IF($NT135=3,"sem dano",IF($OW135=0,IF($NT135=1,"sem cura","sem dano"),IF($NT135=1,"cura ","")&amp;$OW135&amp;"d8")))</f>
        <v/>
      </c>
      <c r="PE135" s="152">
        <f>IF($NT135=2,3*$OX135&amp;" de vida temp.",IF($NT135=3,"sem dano",IF($OX135=0,IF($NT135=1,"sem cura","sem dano"),IF($NT135=1,"cura ","")&amp;$OX135&amp;"d8")))</f>
        <v/>
      </c>
      <c r="PF135" s="152">
        <f>IF($NT135=2,3*$OY135&amp;" de vida temp.",IF($NT135=3,"sem dano",IF($OY135=0,IF($NT135=1,"sem cura","sem dano"),IF($NT135=1,"cura ","")&amp;$OY135&amp;"d8")))</f>
        <v/>
      </c>
      <c r="PG135" s="152">
        <f>IF($MQ135=0,"",TEXTJOIN(" · ",TRUE,IF($MD135&gt;$MR135,"Este lugar abre no nível "&amp;$MD135,""),IF($MF135&gt;$MS135,"Classe "&amp;$MF135&amp;": o nível "&amp;$MR135&amp;" libera até a "&amp;$MS135,""),IF($NK135=1,"A Forma "&amp;$MH135&amp;" pede "&amp;INDEX($W$2:$W$11,$MW135)&amp;" aberta",""),IF(AND($MF135=0,$MW135&gt;0,IF($MW135=0,0,INDEX($AF$2:$AF$11,$MW135))=0),$MH135&amp;" não existe na Classe 0",""),IF($NL135=1,"Família Fechada: "&amp;$MK135,""),IF($NM135=1,"Família Fechada: "&amp;$ML135,""),IF($NN135=1,"Família Fechada: "&amp;$MM135,""),IF($NO135=1,"Família Fechada: "&amp;$MN135,""),IF(AND($MF135&gt;0,$OH135&gt;INDEX($O$2:$O$8,MAX(1,$MF135))),$OH135&amp;" Melhorias: a Classe "&amp;$MF135&amp;" aceita "&amp;INDEX($O$2:$O$8,MAX(1,$MF135)),""),IF(AND($MF135=0,$OH135&gt;1),"A básica aceita uma Melhoria",""),IF(AND($MF135=0,COUNTIF($NB135:$NE135,"&gt;1")&gt;0),"A básica só aceita Melhoria Leve",""),IF(AND($MF135&gt;0,$OI135&gt;2),$OI135&amp;" Restrições"&amp;IF($NS135=1,", contando a que a Forma "&amp;$MH135&amp;" já traz","")&amp;": o limite é 2",""),IF(AND($MF135=0,COUNTIF($MO135:$MP135,"?*")&gt;1),"A básica aceita uma Restrição Leve",""),IF(AND($MF135=0,COUNTIF($NV135:$NW135,2)&gt;0),"A básica só aceita Restrição Leve",""),IF(AND($MF135&gt;0,$OP135&lt;0),"Orçamento estourado: faltam "&amp;(-$OP135)&amp;IF($OP135&lt;-1," pontos"," ponto"),""),IF(IFERROR(VLOOKUP($MO135,$BC$2:$BG$24,4,FALSE),0)+IFERROR(VLOOKUP($MP135,$BC$2:$BG$24,4,FALSE),0)&gt;1,$NX135&amp;" e "&amp;$NY135&amp;" são as duas de frequência",""),IF(AND((COUNTIF($MK135:$MN135,"Rápido")+COUNTIF($NX135:$NY135,"Rápido"))&gt;0,(COUNTIF($MK135:$MN135,"Atrasar")+COUNTIF($NX135:$NY135,"Atrasar"))&gt;0),"Rápido não entra com Atrasar",""),IF(AND((COUNTIF($MK135:$MN135,"Reação")+COUNTIF($NX135:$NY135,"Reação"))&gt;0,(COUNTIF($MK135:$MN135,"Rápido")+COUNTIF($NX135:$NY135,"Rápido"))&gt;0),"Reação não entra com Rápido",""),IF(AND((COUNTIF($MK135:$MN135,"Reação")+COUNTIF($NX135:$NY135,"Reação"))&gt;0,(COUNTIF($MK135:$MN135,"Armado")+COUNTIF($NX135:$NY135,"Armado"))&gt;0),"Reação não entra com Armado",""),IF(AND((COUNTIF($MK135:$MN135,"Reação")+COUNTIF($NX135:$NY135,"Reação"))&gt;0,(COUNTIF($MK135:$MN135,"Atrasar")+COUNTIF($NX135:$NY135,"Atrasar"))&gt;0),"Reação não entra com Atrasar",""),IF(AND((COUNTIF($MK135:$MN135,"Reação")+COUNTIF($NX135:$NY135,"Reação"))&gt;0,(COUNTIF($MK135:$MN135,"Parado")+COUNTIF($NX135:$NY135,"Parado"))&gt;0),"Reação não entra com Parado",""),IF(AND((COUNTIF($MK135:$MN135,"Atrasar")+COUNTIF($NX135:$NY135,"Atrasar"))&gt;0,(COUNTIF($MK135:$MN135,"Parado")+COUNTIF($NX135:$NY135,"Parado"))&gt;0),"Atrasar não entra com Parado",""),IF(AND((COUNTIF($MK135:$MN135,"Armado")+COUNTIF($NX135:$NY135,"Armado"))&gt;0,(COUNTIF($MK135:$MN135,"Carregar")+COUNTIF($NX135:$NY135,"Carregar"))&gt;0),"Armado não entra com Carregar",""),IF(AND(COUNTIF($NX135:$NY135,"Corpo a Corpo")&gt;0,$NS135=0,OR($MH135="Cone",$MH135="Linha")),"Corpo a Corpo não entra em "&amp;$MH135,""),IF(AND(COUNTIF($NX135:$NY135,"Corpo a Corpo")&gt;0,$NS135=1),"A Forma "&amp;$MH135&amp;" já traz o Corpo a Corpo",""),IF(AND(COUNTIF($NX135:$NY135,"Tudo ou Nada")&gt;0,$NU135=0),"Tudo ou Nada só entra em habilidade de Teste de Resistência",""),IF(AND(COUNTIF($MK135:$MN135,"Inescapável")&gt;0,OR($OH135&gt;1,$OI135&gt;0)),"Inescapável não aceita outra peça",""),IF(AND($MF135&gt;0,$OQ135*IF(COUNTIF($MK135:$MN135,"Remate")&gt;0,1.25,1)+$OR135&gt;4*$MF135),($OQ135*IF(COUNTIF($MK135:$MN135,"Remate")&gt;0,1.25,1)+$OR135)&amp;" dados somando repetições"&amp;IF(COUNTIF($MK135:$MN135,"Remate")&gt;0," e o Remate","")&amp;": o teto da Classe "&amp;$MF135&amp;" é "&amp;4*$MF135,"")))</f>
        <v/>
      </c>
      <c r="PH135" s="152">
        <f>IF($PG135="",0,(LEN($PG135)-LEN(SUBSTITUTE($PG135," · ","")))/3+1)</f>
        <v/>
      </c>
      <c r="PI135" s="152">
        <f>IF($MQ135=0,"",TEXTJOIN(" · ",TRUE,IF($OK135&gt;2*$MF135,"A devolução parou no teto de "&amp;2*$MF135,""),IF($ON135&gt;0,"Devolução perdida: "&amp;$ON135&amp;IF($ON135&gt;1," pontos"," ponto")&amp;" sem peça para pagar",""),IF(AND($NP135&gt;0,AND($MF135&gt;0,$NT135=0),$OQ135=0),"Controle sem dano: uma rodada a mais e CD +2",""),IF(AND($NP135&gt;0,AND($MF135&gt;0,$NT135=0),$OQ135&gt;0,$OQ135&lt;=$MF135),"Controle com saldo até a Classe: uma rodada a mais",""),IF(AND($MF135&gt;0,$NR135&lt;&gt;""),"Efeito de "&amp;$NR135&amp;" pela Classe "&amp;MAX(1,$MF135-1),"")))</f>
        <v/>
      </c>
      <c r="PJ135" s="152">
        <f>IF($PI135="",0,(LEN($PI135)-LEN(SUBSTITUTE($PI135," · ","")))/3+1)</f>
        <v/>
      </c>
      <c r="PK135" s="152">
        <f>IF($MQ135=0,IF($OH135+COUNTIF($MO135:$MP135,"?*")&gt;0,"Dê um nome",""),IF($PH135&gt;0,"⚠ "&amp;$PH135&amp;IF($PH135&gt;1," erros"," erro"),IF($PJ135&gt;0,"! "&amp;$PJ135&amp;IF($PJ135&gt;1," avisos"," aviso"),"Na regra")))</f>
        <v/>
      </c>
      <c r="PL135" s="152">
        <f>IF($MQ135=0,"",IF($PH135+$PJ135=0,"Dentro das regras que a ficha confere",$PG135&amp;IF(AND($PH135&gt;0,$PJ135&gt;0)," · ","")&amp;$PI135))</f>
        <v/>
      </c>
      <c r="PM135" s="152">
        <f>IF($MD135&gt;$MR135,$ME135&amp;" · ABRE NO NÍVEL "&amp;$MD135,$ME135)</f>
        <v/>
      </c>
      <c r="PN135" s="152">
        <f>IF($MQ135=0,"",IF($MF135=0,"Sem PE",3*$MF135&amp;" PE"))</f>
        <v/>
      </c>
      <c r="PO135" s="152">
        <f>IF($MQ135=0,"",IF($MF135=0,"A atuação básica dela",IF(COUNTIF($NX135:$NY135,"Atrasar")&gt;0,"Sua Ação Completa",IF(COUNTIF($MK135:$MN135,"Rápido")&gt;0,"Sua Bônus",IF(COUNTIF($MK135:$MN135,"Reação")&gt;0,"Sua Reação","Sua Padrão")))&amp;" + a básica dela"&amp;IF(COUNTIF($MK135:$MN135,"Reação")&gt;0," e a coletiva","")&amp;IF(COUNTIF($NX135:$NY135,"Carregar")&gt;0," · em dois turnos","")))</f>
        <v/>
      </c>
      <c r="PP135" s="152">
        <f>IF($MJ135&lt;&gt;"",$MJ135,IF($MW135=0,"",INDEX($AA$2:$AA$11,$MW135)))</f>
        <v/>
      </c>
      <c r="PQ135" s="152">
        <f>IF(OR($MQ135=0,$MW135=0),"",IF(COUNTIF($MK135:$MN135,"Inescapável")&gt;0,"Automático",IF($PP135="Ataque",IF($MU135="","Ataque","Ataque "&amp;IF(($MU135+2*IF(COUNTIF($MK135:$MN135,"Precisão")&gt;0,1,0))&gt;=0,"+","−")&amp;ABS(($MU135+2*IF(COUNTIF($MK135:$MN135,"Precisão")&gt;0,1,0))))&amp;IF($NQ135&gt;0," · TR"&amp;IF($MV135="",""," CD "&amp;$MV135),""),IF(LEFT($PP135,2)="TR",$PP135&amp;IF($MV135="",""," · CD "&amp;$MV135)&amp;IF(COUNTIF($MK135:$MN135,"Certeiro")&gt;0," · metade",""),"Sem rolagem"))))</f>
        <v/>
      </c>
      <c r="PR135" s="152">
        <f>IF(OR($MQ135=0,$MW135=0),"",IF($MF135=0,IF(OR($NT135&gt;=1,$OQ135=0),"Sem dano",$OQ135&amp;"d6"&amp;IF($MI135="",""," "&amp;$MI135)),IF(OR($NT135&gt;=1,$OQ135=0),UPPER(LEFT(INDEX($OZ135:$PF135,1,MAX(1,$MF135)),1))&amp;MID(INDEX($OZ135:$PF135,1,MAX(1,$MF135)),2,99),UPPER(LEFT(INDEX($OZ135:$PF135,1,MAX(1,$MF135)),1))&amp;MID(INDEX($OZ135:$PF135,1,MAX(1,$MF135)),2,99)&amp;IF($MI135="",""," "&amp;$MI135)&amp;IF($OR135&gt;0," · +"&amp;$OR135&amp;"d8",""))))</f>
        <v/>
      </c>
      <c r="PS135" s="152">
        <f>COUNTIF($MK135:$MN135,"Longe")+3*COUNTIF($MK135:$MN135,"Muito Longe")</f>
        <v/>
      </c>
      <c r="PT135" s="152">
        <f>COUNTIF($MK135:$MN135,"Maior")+3*COUNTIF($MK135:$MN135,"Muito Maior")</f>
        <v/>
      </c>
      <c r="PU135" s="152">
        <f>IF($MW135=0,0,CHOOSE(1+INDEX($AC$2:$AC$11,$MW135),0,$PS135,$PT135,$PS135+$PT135))</f>
        <v/>
      </c>
      <c r="PV135" s="152">
        <f>IF($MW135=0,0,CHOOSE(1+INDEX($AD$2:$AD$11,$MW135),0,$PS135,$PT135,$PS135+$PT135))</f>
        <v/>
      </c>
      <c r="PW135" s="152">
        <f>IF(OR($MQ135=0,$MW135=0),"",INDEX($AI$2:$AN$41,($MW135-1)*4+IF($MF135=0,1,IF($MF135&lt;=5,2,IF($MF135=6,3,4))),1+MIN(5,$PU135))&amp;INDEX($AO$2:$AT$41,($MW135-1)*4+IF($MF135=0,1,IF($MF135&lt;=5,2,IF($MF135=6,3,4))),1+MIN(5,$PV135))&amp;IF(INDEX($AE$2:$AE$11,$MW135)=1,IF(COUNTIF($MK135:$MN135,"Mais Um")&gt;0," · +"&amp;COUNTIF($MK135:$MN135,"Mais Um")&amp;IF(COUNTIF($MK135:$MN135,"Mais Um")&gt;1," alvos"," alvo"),"")&amp;IF(COUNTIF($MK135:$MN135,"Rajada")&gt;0,IF($MF135=0," · 1 tiro"," · "&amp;(MAX(1,$MF135-1)+1)&amp;" tiros"),""),""))</f>
        <v/>
      </c>
      <c r="PX135" s="152">
        <f>IF($MQ135=0,"",IF($MF135=0,$MT135&amp;"d6"&amp;IF($OH135&gt;0," − 1 = "&amp;$OQ135&amp;"d6"," da básica do nível "&amp;$MR135),$OO135&amp;" − "&amp;$OJ135&amp;" + "&amp;$OM135&amp;" = "&amp;$OP135&amp;" · teto "&amp;4*$MF135&amp;"d8"&amp;IF($NS135=1," · a Forma devolve "&amp;$MF135,"")&amp;IF($ON135&gt;0," · perde "&amp;$ON135,"")))</f>
        <v/>
      </c>
      <c r="PY135" s="152">
        <f>IF($MQ135=0,"",IF($MF135=0,"A básica não amplia: os dados dela sobem com o nível",IF($MF135&gt;=$MS135,"Já está na maior Classe que o nível liberou",TEXTJOIN(" · ",TRUE,IF(AND(2&gt;$MF135,2&lt;=$MS135),"2 → "&amp;$PA135&amp;", 6 PE",""),IF(AND(3&gt;$MF135,3&lt;=$MS135),"3 → "&amp;$PB135&amp;", 9 PE",""),IF(AND(4&gt;$MF135,4&lt;=$MS135),"4 → "&amp;$PC135&amp;", 12 PE",""),IF(AND(5&gt;$MF135,5&lt;=$MS135),"5 → "&amp;$PD135&amp;", 15 PE",""),IF(AND(6&gt;$MF135,6&lt;=$MS135),"6 → "&amp;$PE135&amp;", 18 PE",""),IF(AND(7&gt;$MF135,7&lt;=$MS135),"7 → "&amp;$PF135&amp;", 21 PE","")))))</f>
        <v/>
      </c>
      <c r="PZ135" s="152">
        <f>IF(OR($MQ135=0,$NB135=0),"",IF($MF135=0,"−1 dado","−"&amp;INDEX($I$2:$N$8,MAX(1,$MF135),MAX(1,$NG135))&amp;" · "&amp;CHOOSE(MAX(1,$NG135),"Leve","Média","Pesada","Leve · Livre","Média · Livre","Pesada · Livre")))</f>
        <v/>
      </c>
      <c r="QA135" s="152">
        <f>IF(OR($MQ135=0,$NC135=0),"",IF($MF135=0,"−1 dado","−"&amp;INDEX($I$2:$N$8,MAX(1,$MF135),MAX(1,$NH135))&amp;" · "&amp;CHOOSE(MAX(1,$NH135),"Leve","Média","Pesada","Leve · Livre","Média · Livre","Pesada · Livre")))</f>
        <v/>
      </c>
      <c r="QB135" s="152">
        <f>IF(OR($MQ135=0,$ND135=0),"",IF($MF135=0,"−1 dado","−"&amp;INDEX($I$2:$N$8,MAX(1,$MF135),MAX(1,$NI135))&amp;" · "&amp;CHOOSE(MAX(1,$NI135),"Leve","Média","Pesada","Leve · Livre","Média · Livre","Pesada · Livre")))</f>
        <v/>
      </c>
      <c r="QC135" s="152">
        <f>IF(OR($MQ135=0,$NE135=0),"",IF($MF135=0,"−1 dado","−"&amp;INDEX($I$2:$N$8,MAX(1,$MF135),MAX(1,$NJ135))&amp;" · "&amp;CHOOSE(MAX(1,$NJ135),"Leve","Média","Pesada","Leve · Livre","Média · Livre","Pesada · Livre")))</f>
        <v/>
      </c>
      <c r="QD135" s="152">
        <f>IF(OR($MQ135=0,$MO135=""),"",IF($MF135=0,"não devolve","+"&amp;IF($NV135=1,CEILING($MF135/2,1),$MF135)))</f>
        <v/>
      </c>
      <c r="QE135" s="152">
        <f>IF(OR($MQ135=0,$MP135=""),"",IF($MF135=0,"não devolve","+"&amp;IF($NW135=1,CEILING($MF135/2,1),$MF135)))</f>
        <v/>
      </c>
    </row>
    <row r="136">
      <c r="MA136" s="150" t="inlineStr">
        <is>
          <t>Ficha 11 · Especial 3</t>
        </is>
      </c>
      <c r="MB136" s="152" t="n">
        <v>11</v>
      </c>
      <c r="MC136" s="152" t="n">
        <v>1</v>
      </c>
      <c r="MD136" s="152" t="n">
        <v>8</v>
      </c>
      <c r="ME136" s="150" t="inlineStr">
        <is>
          <t>ESPECIAL 3</t>
        </is>
      </c>
      <c r="MF136" s="152">
        <f>MAX(1,MIN(7,N('INVOCAÇÕES'!$AH$884)))</f>
        <v/>
      </c>
      <c r="MG136" s="152">
        <f>'INVOCAÇÕES'!$AI$884&amp;""</f>
        <v/>
      </c>
      <c r="MH136" s="152">
        <f>'INVOCAÇÕES'!$AH$889&amp;""</f>
        <v/>
      </c>
      <c r="MI136" s="152">
        <f>'INVOCAÇÕES'!$AH$890&amp;""</f>
        <v/>
      </c>
      <c r="MJ136" s="152">
        <f>'INVOCAÇÕES'!$AJ$890&amp;""</f>
        <v/>
      </c>
      <c r="MK136" s="152">
        <f>'INVOCAÇÕES'!$AI$893&amp;""</f>
        <v/>
      </c>
      <c r="ML136" s="152">
        <f>'INVOCAÇÕES'!$AI$894&amp;""</f>
        <v/>
      </c>
      <c r="MM136" s="152">
        <f>'INVOCAÇÕES'!$AI$895&amp;""</f>
        <v/>
      </c>
      <c r="MN136" s="152">
        <f>'INVOCAÇÕES'!$AI$896&amp;""</f>
        <v/>
      </c>
      <c r="MO136" s="152">
        <f>'INVOCAÇÕES'!$AI$897&amp;""</f>
        <v/>
      </c>
      <c r="MP136" s="152">
        <f>'INVOCAÇÕES'!$AI$898&amp;""</f>
        <v/>
      </c>
      <c r="MQ136" s="152">
        <f>IF($MG136&lt;&gt;"",1,0)</f>
        <v/>
      </c>
      <c r="MR136" s="152">
        <f>INDEX($FI$2:$FI$13,$MB136)</f>
        <v/>
      </c>
      <c r="MS136" s="152">
        <f>INDEX($FJ$2:$FJ$13,$MB136)</f>
        <v/>
      </c>
      <c r="MT136" s="152">
        <f>INDEX($FK$2:$FK$13,$MB136)</f>
        <v/>
      </c>
      <c r="MU136" s="152">
        <f>INDEX($FV$2:$FV$13,$MB136)</f>
        <v/>
      </c>
      <c r="MV136" s="152">
        <f>INDEX($FW$2:$FW$13,$MB136)</f>
        <v/>
      </c>
      <c r="MW136" s="152">
        <f>IFERROR(MATCH($MH136,$V$2:$V$11,0),0)</f>
        <v/>
      </c>
      <c r="MX136" s="152">
        <f>IFERROR(VLOOKUP($MK136,$AV$2:$BA$84,2,FALSE),"")</f>
        <v/>
      </c>
      <c r="MY136" s="152">
        <f>IFERROR(VLOOKUP($ML136,$AV$2:$BA$84,2,FALSE),"")</f>
        <v/>
      </c>
      <c r="MZ136" s="152">
        <f>IFERROR(VLOOKUP($MM136,$AV$2:$BA$84,2,FALSE),"")</f>
        <v/>
      </c>
      <c r="NA136" s="152">
        <f>IFERROR(VLOOKUP($MN136,$AV$2:$BA$84,2,FALSE),"")</f>
        <v/>
      </c>
      <c r="NB136" s="152">
        <f>IFERROR(VLOOKUP($MK136,$AV$2:$BA$84,3,FALSE),0)</f>
        <v/>
      </c>
      <c r="NC136" s="152">
        <f>IFERROR(VLOOKUP($ML136,$AV$2:$BA$84,3,FALSE),0)</f>
        <v/>
      </c>
      <c r="ND136" s="152">
        <f>IFERROR(VLOOKUP($MM136,$AV$2:$BA$84,3,FALSE),0)</f>
        <v/>
      </c>
      <c r="NE136" s="152">
        <f>IFERROR(VLOOKUP($MN136,$AV$2:$BA$84,3,FALSE),0)</f>
        <v/>
      </c>
      <c r="NF136" s="152">
        <f>IF($MF136=0,0,IF($MW136=0,0,INDEX($X$2:$X$11,$MW136)))</f>
        <v/>
      </c>
      <c r="NG136" s="152">
        <f>IF(OR($NB136=0,$MF136=0),0,$NB136+3*IF(AND($MX136&lt;&gt;"",OR($MX136=INDEX($EF$2:$EF$13,$MB136),$MX136=INDEX($EG$2:$EG$13,$MB136))),1,0))</f>
        <v/>
      </c>
      <c r="NH136" s="152">
        <f>IF(OR($NC136=0,$MF136=0),0,$NC136+3*IF(AND($MY136&lt;&gt;"",OR($MY136=INDEX($EF$2:$EF$13,$MB136),$MY136=INDEX($EG$2:$EG$13,$MB136))),1,0))</f>
        <v/>
      </c>
      <c r="NI136" s="152">
        <f>IF(OR($ND136=0,$MF136=0),0,$ND136+3*IF(AND($MZ136&lt;&gt;"",OR($MZ136=INDEX($EF$2:$EF$13,$MB136),$MZ136=INDEX($EG$2:$EG$13,$MB136))),1,0))</f>
        <v/>
      </c>
      <c r="NJ136" s="152">
        <f>IF(OR($NE136=0,$MF136=0),0,$NE136+3*IF(AND($NA136&lt;&gt;"",OR($NA136=INDEX($EF$2:$EF$13,$MB136),$NA136=INDEX($EG$2:$EG$13,$MB136))),1,0))</f>
        <v/>
      </c>
      <c r="NK136" s="152">
        <f>IF($MW136=0,0,IF(INDEX($W$2:$W$11,$MW136)="",0,IF(COUNTIF(INDEX($EF$2:$EJ$13,$MB136,0),INDEX($W$2:$W$11,$MW136))=0,1,0)))</f>
        <v/>
      </c>
      <c r="NL136" s="152">
        <f>IF(OR($NB136=0,$MX136=""),0,IF(COUNTIF(INDEX($EF$2:$EJ$13,$MB136,0),$MX136)=0,1,0))</f>
        <v/>
      </c>
      <c r="NM136" s="152">
        <f>IF(OR($NC136=0,$MY136=""),0,IF(COUNTIF(INDEX($EF$2:$EJ$13,$MB136,0),$MY136)=0,1,0))</f>
        <v/>
      </c>
      <c r="NN136" s="152">
        <f>IF(OR($ND136=0,$MZ136=""),0,IF(COUNTIF(INDEX($EF$2:$EJ$13,$MB136,0),$MZ136)=0,1,0))</f>
        <v/>
      </c>
      <c r="NO136" s="152">
        <f>IF(OR($NE136=0,$NA136=""),0,IF(COUNTIF(INDEX($EF$2:$EJ$13,$MB136,0),$NA136)=0,1,0))</f>
        <v/>
      </c>
      <c r="NP136" s="152">
        <f>IFERROR(VLOOKUP($MK136,$AV$2:$BA$84,4,FALSE),0)+IFERROR(VLOOKUP($ML136,$AV$2:$BA$84,4,FALSE),0)+IFERROR(VLOOKUP($MM136,$AV$2:$BA$84,4,FALSE),0)+IFERROR(VLOOKUP($MN136,$AV$2:$BA$84,4,FALSE),0)</f>
        <v/>
      </c>
      <c r="NQ136" s="152">
        <f>IFERROR(VLOOKUP($MK136,$AV$2:$BA$84,6,FALSE),0)+IFERROR(VLOOKUP($ML136,$AV$2:$BA$84,6,FALSE),0)+IFERROR(VLOOKUP($MM136,$AV$2:$BA$84,6,FALSE),0)+IFERROR(VLOOKUP($MN136,$AV$2:$BA$84,6,FALSE),0)</f>
        <v/>
      </c>
      <c r="NR136" s="152">
        <f>TEXTJOIN(", ",TRUE,IF(IFERROR(VLOOKUP($MK136,$AV$2:$BA$84,5,FALSE),0)=1,$MK136,""),IF(IFERROR(VLOOKUP($ML136,$AV$2:$BA$84,5,FALSE),0)=1,$ML136,""),IF(IFERROR(VLOOKUP($MM136,$AV$2:$BA$84,5,FALSE),0)=1,$MM136,""),IF(IFERROR(VLOOKUP($MN136,$AV$2:$BA$84,5,FALSE),0)=1,$MN136,""))</f>
        <v/>
      </c>
      <c r="NS136" s="152">
        <f>IF($MW136=0,0,INDEX($Y$2:$Y$11,$MW136))</f>
        <v/>
      </c>
      <c r="NT136" s="152">
        <f>IF($MW136=0,0,INDEX($Z$2:$Z$11,$MW136))</f>
        <v/>
      </c>
      <c r="NU136" s="152">
        <f>IF($MW136=0,0,INDEX($AB$2:$AB$11,$MW136))</f>
        <v/>
      </c>
      <c r="NV136" s="152">
        <f>IFERROR(VLOOKUP($MO136,$BC$2:$BG$24,3,FALSE),0)</f>
        <v/>
      </c>
      <c r="NW136" s="152">
        <f>IFERROR(VLOOKUP($MP136,$BC$2:$BG$24,3,FALSE),0)</f>
        <v/>
      </c>
      <c r="NX136" s="152">
        <f>IFERROR(VLOOKUP($MO136,$BC$2:$BG$24,2,FALSE),"")</f>
        <v/>
      </c>
      <c r="NY136" s="152">
        <f>IFERROR(VLOOKUP($MP136,$BC$2:$BG$24,2,FALSE),"")</f>
        <v/>
      </c>
      <c r="NZ136" s="152">
        <f>COUNTIF($NF136:$NJ136,1)</f>
        <v/>
      </c>
      <c r="OA136" s="152">
        <f>COUNTIF($NF136:$NJ136,2)</f>
        <v/>
      </c>
      <c r="OB136" s="152">
        <f>COUNTIF($NF136:$NJ136,3)</f>
        <v/>
      </c>
      <c r="OC136" s="152">
        <f>COUNTIF($NF136:$NJ136,4)</f>
        <v/>
      </c>
      <c r="OD136" s="152">
        <f>COUNTIF($NF136:$NJ136,5)</f>
        <v/>
      </c>
      <c r="OE136" s="152">
        <f>COUNTIF($NF136:$NJ136,6)</f>
        <v/>
      </c>
      <c r="OF136" s="152">
        <f>COUNTIF($NV136:$NW136,1)</f>
        <v/>
      </c>
      <c r="OG136" s="152">
        <f>COUNTIF($NV136:$NW136,2)+$NS136</f>
        <v/>
      </c>
      <c r="OH136" s="152">
        <f>COUNTIF($MK136:$MN136,"?*")</f>
        <v/>
      </c>
      <c r="OI136" s="152">
        <f>COUNTIF($MO136:$MP136,"?*")+$NS136</f>
        <v/>
      </c>
      <c r="OJ136" s="152">
        <f>IF($MF136=0,0,SUMPRODUCT($NZ136:$OE136,INDEX($I$2:$N$8,MAX(1,$MF136),0)))</f>
        <v/>
      </c>
      <c r="OK136" s="152">
        <f>IF($MF136=0,0,$OF136*CEILING($MF136/2,1)+$OG136*$MF136)</f>
        <v/>
      </c>
      <c r="OL136" s="152">
        <f>MIN(2*$MF136,$OK136)</f>
        <v/>
      </c>
      <c r="OM136" s="152">
        <f>MIN($OL136,$OJ136)</f>
        <v/>
      </c>
      <c r="ON136" s="152">
        <f>$OL136-$OM136</f>
        <v/>
      </c>
      <c r="OO136" s="152">
        <f>IF($MF136=0,0,INDEX($P$2:$P$8,MAX(1,$MF136)))</f>
        <v/>
      </c>
      <c r="OP136" s="152">
        <f>$OO136-$OJ136+$OM136</f>
        <v/>
      </c>
      <c r="OQ136" s="152">
        <f>IF($MF136=0,MAX(0,$MT136-IF($OH136&gt;0,1,0)),MAX(0,$OP136))</f>
        <v/>
      </c>
      <c r="OR136" s="152">
        <f>IF($MF136=0,0,(IF(COUNTIF($MK136:$MN136,"Salto")&gt;0,1,0)+IF(COUNTIF($MK136:$MN136,"Queima")&gt;0,1,0)+IF(COUNTIF($MK136:$MN136,"Estilhaço")&gt;0,1,0))*FLOOR($OQ136/2,1))</f>
        <v/>
      </c>
      <c r="OS136" s="152">
        <f>MAX(0,2-SUMPRODUCT($NZ136:$OE136,$I$2:$N$2)+MIN(2,$OF136*1+$OG136*1,SUMPRODUCT($NZ136:$OE136,$I$2:$N$2)))</f>
        <v/>
      </c>
      <c r="OT136" s="152">
        <f>MAX(0,4-SUMPRODUCT($NZ136:$OE136,$I$3:$N$3)+MIN(4,$OF136*1+$OG136*2,SUMPRODUCT($NZ136:$OE136,$I$3:$N$3)))</f>
        <v/>
      </c>
      <c r="OU136" s="152">
        <f>MAX(0,6-SUMPRODUCT($NZ136:$OE136,$I$4:$N$4)+MIN(6,$OF136*2+$OG136*3,SUMPRODUCT($NZ136:$OE136,$I$4:$N$4)))</f>
        <v/>
      </c>
      <c r="OV136" s="152">
        <f>MAX(0,9-SUMPRODUCT($NZ136:$OE136,$I$5:$N$5)+MIN(8,$OF136*2+$OG136*4,SUMPRODUCT($NZ136:$OE136,$I$5:$N$5)))</f>
        <v/>
      </c>
      <c r="OW136" s="152">
        <f>MAX(0,11-SUMPRODUCT($NZ136:$OE136,$I$6:$N$6)+MIN(10,$OF136*3+$OG136*5,SUMPRODUCT($NZ136:$OE136,$I$6:$N$6)))</f>
        <v/>
      </c>
      <c r="OX136" s="152">
        <f>MAX(0,13-SUMPRODUCT($NZ136:$OE136,$I$7:$N$7)+MIN(12,$OF136*3+$OG136*6,SUMPRODUCT($NZ136:$OE136,$I$7:$N$7)))</f>
        <v/>
      </c>
      <c r="OY136" s="152">
        <f>MAX(0,16-SUMPRODUCT($NZ136:$OE136,$I$8:$N$8)+MIN(14,$OF136*4+$OG136*7,SUMPRODUCT($NZ136:$OE136,$I$8:$N$8)))</f>
        <v/>
      </c>
      <c r="OZ136" s="152">
        <f>IF($NT136=2,3*$OS136&amp;" de vida temp.",IF($NT136=3,"sem dano",IF($OS136=0,IF($NT136=1,"sem cura","sem dano"),IF($NT136=1,"cura ","")&amp;$OS136&amp;"d8")))</f>
        <v/>
      </c>
      <c r="PA136" s="152">
        <f>IF($NT136=2,3*$OT136&amp;" de vida temp.",IF($NT136=3,"sem dano",IF($OT136=0,IF($NT136=1,"sem cura","sem dano"),IF($NT136=1,"cura ","")&amp;$OT136&amp;"d8")))</f>
        <v/>
      </c>
      <c r="PB136" s="152">
        <f>IF($NT136=2,3*$OU136&amp;" de vida temp.",IF($NT136=3,"sem dano",IF($OU136=0,IF($NT136=1,"sem cura","sem dano"),IF($NT136=1,"cura ","")&amp;$OU136&amp;"d8")))</f>
        <v/>
      </c>
      <c r="PC136" s="152">
        <f>IF($NT136=2,3*$OV136&amp;" de vida temp.",IF($NT136=3,"sem dano",IF($OV136=0,IF($NT136=1,"sem cura","sem dano"),IF($NT136=1,"cura ","")&amp;$OV136&amp;"d8")))</f>
        <v/>
      </c>
      <c r="PD136" s="152">
        <f>IF($NT136=2,3*$OW136&amp;" de vida temp.",IF($NT136=3,"sem dano",IF($OW136=0,IF($NT136=1,"sem cura","sem dano"),IF($NT136=1,"cura ","")&amp;$OW136&amp;"d8")))</f>
        <v/>
      </c>
      <c r="PE136" s="152">
        <f>IF($NT136=2,3*$OX136&amp;" de vida temp.",IF($NT136=3,"sem dano",IF($OX136=0,IF($NT136=1,"sem cura","sem dano"),IF($NT136=1,"cura ","")&amp;$OX136&amp;"d8")))</f>
        <v/>
      </c>
      <c r="PF136" s="152">
        <f>IF($NT136=2,3*$OY136&amp;" de vida temp.",IF($NT136=3,"sem dano",IF($OY136=0,IF($NT136=1,"sem cura","sem dano"),IF($NT136=1,"cura ","")&amp;$OY136&amp;"d8")))</f>
        <v/>
      </c>
      <c r="PG136" s="152">
        <f>IF($MQ136=0,"",TEXTJOIN(" · ",TRUE,IF($MD136&gt;$MR136,"Este lugar abre no nível "&amp;$MD136,""),IF($MF136&gt;$MS136,"Classe "&amp;$MF136&amp;": o nível "&amp;$MR136&amp;" libera até a "&amp;$MS136,""),IF($NK136=1,"A Forma "&amp;$MH136&amp;" pede "&amp;INDEX($W$2:$W$11,$MW136)&amp;" aberta",""),IF(AND($MF136=0,$MW136&gt;0,IF($MW136=0,0,INDEX($AF$2:$AF$11,$MW136))=0),$MH136&amp;" não existe na Classe 0",""),IF($NL136=1,"Família Fechada: "&amp;$MK136,""),IF($NM136=1,"Família Fechada: "&amp;$ML136,""),IF($NN136=1,"Família Fechada: "&amp;$MM136,""),IF($NO136=1,"Família Fechada: "&amp;$MN136,""),IF(AND($MF136&gt;0,$OH136&gt;INDEX($O$2:$O$8,MAX(1,$MF136))),$OH136&amp;" Melhorias: a Classe "&amp;$MF136&amp;" aceita "&amp;INDEX($O$2:$O$8,MAX(1,$MF136)),""),IF(AND($MF136=0,$OH136&gt;1),"A básica aceita uma Melhoria",""),IF(AND($MF136=0,COUNTIF($NB136:$NE136,"&gt;1")&gt;0),"A básica só aceita Melhoria Leve",""),IF(AND($MF136&gt;0,$OI136&gt;2),$OI136&amp;" Restrições"&amp;IF($NS136=1,", contando a que a Forma "&amp;$MH136&amp;" já traz","")&amp;": o limite é 2",""),IF(AND($MF136=0,COUNTIF($MO136:$MP136,"?*")&gt;1),"A básica aceita uma Restrição Leve",""),IF(AND($MF136=0,COUNTIF($NV136:$NW136,2)&gt;0),"A básica só aceita Restrição Leve",""),IF(AND($MF136&gt;0,$OP136&lt;0),"Orçamento estourado: faltam "&amp;(-$OP136)&amp;IF($OP136&lt;-1," pontos"," ponto"),""),IF(IFERROR(VLOOKUP($MO136,$BC$2:$BG$24,4,FALSE),0)+IFERROR(VLOOKUP($MP136,$BC$2:$BG$24,4,FALSE),0)&gt;1,$NX136&amp;" e "&amp;$NY136&amp;" são as duas de frequência",""),IF(AND((COUNTIF($MK136:$MN136,"Rápido")+COUNTIF($NX136:$NY136,"Rápido"))&gt;0,(COUNTIF($MK136:$MN136,"Atrasar")+COUNTIF($NX136:$NY136,"Atrasar"))&gt;0),"Rápido não entra com Atrasar",""),IF(AND((COUNTIF($MK136:$MN136,"Reação")+COUNTIF($NX136:$NY136,"Reação"))&gt;0,(COUNTIF($MK136:$MN136,"Rápido")+COUNTIF($NX136:$NY136,"Rápido"))&gt;0),"Reação não entra com Rápido",""),IF(AND((COUNTIF($MK136:$MN136,"Reação")+COUNTIF($NX136:$NY136,"Reação"))&gt;0,(COUNTIF($MK136:$MN136,"Armado")+COUNTIF($NX136:$NY136,"Armado"))&gt;0),"Reação não entra com Armado",""),IF(AND((COUNTIF($MK136:$MN136,"Reação")+COUNTIF($NX136:$NY136,"Reação"))&gt;0,(COUNTIF($MK136:$MN136,"Atrasar")+COUNTIF($NX136:$NY136,"Atrasar"))&gt;0),"Reação não entra com Atrasar",""),IF(AND((COUNTIF($MK136:$MN136,"Reação")+COUNTIF($NX136:$NY136,"Reação"))&gt;0,(COUNTIF($MK136:$MN136,"Parado")+COUNTIF($NX136:$NY136,"Parado"))&gt;0),"Reação não entra com Parado",""),IF(AND((COUNTIF($MK136:$MN136,"Atrasar")+COUNTIF($NX136:$NY136,"Atrasar"))&gt;0,(COUNTIF($MK136:$MN136,"Parado")+COUNTIF($NX136:$NY136,"Parado"))&gt;0),"Atrasar não entra com Parado",""),IF(AND((COUNTIF($MK136:$MN136,"Armado")+COUNTIF($NX136:$NY136,"Armado"))&gt;0,(COUNTIF($MK136:$MN136,"Carregar")+COUNTIF($NX136:$NY136,"Carregar"))&gt;0),"Armado não entra com Carregar",""),IF(AND(COUNTIF($NX136:$NY136,"Corpo a Corpo")&gt;0,$NS136=0,OR($MH136="Cone",$MH136="Linha")),"Corpo a Corpo não entra em "&amp;$MH136,""),IF(AND(COUNTIF($NX136:$NY136,"Corpo a Corpo")&gt;0,$NS136=1),"A Forma "&amp;$MH136&amp;" já traz o Corpo a Corpo",""),IF(AND(COUNTIF($NX136:$NY136,"Tudo ou Nada")&gt;0,$NU136=0),"Tudo ou Nada só entra em habilidade de Teste de Resistência",""),IF(AND(COUNTIF($MK136:$MN136,"Inescapável")&gt;0,OR($OH136&gt;1,$OI136&gt;0)),"Inescapável não aceita outra peça",""),IF(AND($MF136&gt;0,$OQ136*IF(COUNTIF($MK136:$MN136,"Remate")&gt;0,1.25,1)+$OR136&gt;4*$MF136),($OQ136*IF(COUNTIF($MK136:$MN136,"Remate")&gt;0,1.25,1)+$OR136)&amp;" dados somando repetições"&amp;IF(COUNTIF($MK136:$MN136,"Remate")&gt;0," e o Remate","")&amp;": o teto da Classe "&amp;$MF136&amp;" é "&amp;4*$MF136,"")))</f>
        <v/>
      </c>
      <c r="PH136" s="152">
        <f>IF($PG136="",0,(LEN($PG136)-LEN(SUBSTITUTE($PG136," · ","")))/3+1)</f>
        <v/>
      </c>
      <c r="PI136" s="152">
        <f>IF($MQ136=0,"",TEXTJOIN(" · ",TRUE,IF($OK136&gt;2*$MF136,"A devolução parou no teto de "&amp;2*$MF136,""),IF($ON136&gt;0,"Devolução perdida: "&amp;$ON136&amp;IF($ON136&gt;1," pontos"," ponto")&amp;" sem peça para pagar",""),IF(AND($NP136&gt;0,AND($MF136&gt;0,$NT136=0),$OQ136=0),"Controle sem dano: uma rodada a mais e CD +2",""),IF(AND($NP136&gt;0,AND($MF136&gt;0,$NT136=0),$OQ136&gt;0,$OQ136&lt;=$MF136),"Controle com saldo até a Classe: uma rodada a mais",""),IF(AND($MF136&gt;0,$NR136&lt;&gt;""),"Efeito de "&amp;$NR136&amp;" pela Classe "&amp;MAX(1,$MF136-1),"")))</f>
        <v/>
      </c>
      <c r="PJ136" s="152">
        <f>IF($PI136="",0,(LEN($PI136)-LEN(SUBSTITUTE($PI136," · ","")))/3+1)</f>
        <v/>
      </c>
      <c r="PK136" s="152">
        <f>IF($MQ136=0,IF($OH136+COUNTIF($MO136:$MP136,"?*")&gt;0,"Dê um nome",""),IF($PH136&gt;0,"⚠ "&amp;$PH136&amp;IF($PH136&gt;1," erros"," erro"),IF($PJ136&gt;0,"! "&amp;$PJ136&amp;IF($PJ136&gt;1," avisos"," aviso"),"Na regra")))</f>
        <v/>
      </c>
      <c r="PL136" s="152">
        <f>IF($MQ136=0,"",IF($PH136+$PJ136=0,"Dentro das regras que a ficha confere",$PG136&amp;IF(AND($PH136&gt;0,$PJ136&gt;0)," · ","")&amp;$PI136))</f>
        <v/>
      </c>
      <c r="PM136" s="152">
        <f>IF($MD136&gt;$MR136,$ME136&amp;" · ABRE NO NÍVEL "&amp;$MD136,$ME136)</f>
        <v/>
      </c>
      <c r="PN136" s="152">
        <f>IF($MQ136=0,"",IF($MF136=0,"Sem PE",3*$MF136&amp;" PE"))</f>
        <v/>
      </c>
      <c r="PO136" s="152">
        <f>IF($MQ136=0,"",IF($MF136=0,"A atuação básica dela",IF(COUNTIF($NX136:$NY136,"Atrasar")&gt;0,"Sua Ação Completa",IF(COUNTIF($MK136:$MN136,"Rápido")&gt;0,"Sua Bônus",IF(COUNTIF($MK136:$MN136,"Reação")&gt;0,"Sua Reação","Sua Padrão")))&amp;" + a básica dela"&amp;IF(COUNTIF($MK136:$MN136,"Reação")&gt;0," e a coletiva","")&amp;IF(COUNTIF($NX136:$NY136,"Carregar")&gt;0," · em dois turnos","")))</f>
        <v/>
      </c>
      <c r="PP136" s="152">
        <f>IF($MJ136&lt;&gt;"",$MJ136,IF($MW136=0,"",INDEX($AA$2:$AA$11,$MW136)))</f>
        <v/>
      </c>
      <c r="PQ136" s="152">
        <f>IF(OR($MQ136=0,$MW136=0),"",IF(COUNTIF($MK136:$MN136,"Inescapável")&gt;0,"Automático",IF($PP136="Ataque",IF($MU136="","Ataque","Ataque "&amp;IF(($MU136+2*IF(COUNTIF($MK136:$MN136,"Precisão")&gt;0,1,0))&gt;=0,"+","−")&amp;ABS(($MU136+2*IF(COUNTIF($MK136:$MN136,"Precisão")&gt;0,1,0))))&amp;IF($NQ136&gt;0," · TR"&amp;IF($MV136="",""," CD "&amp;$MV136),""),IF(LEFT($PP136,2)="TR",$PP136&amp;IF($MV136="",""," · CD "&amp;$MV136)&amp;IF(COUNTIF($MK136:$MN136,"Certeiro")&gt;0," · metade",""),"Sem rolagem"))))</f>
        <v/>
      </c>
      <c r="PR136" s="152">
        <f>IF(OR($MQ136=0,$MW136=0),"",IF($MF136=0,IF(OR($NT136&gt;=1,$OQ136=0),"Sem dano",$OQ136&amp;"d6"&amp;IF($MI136="",""," "&amp;$MI136)),IF(OR($NT136&gt;=1,$OQ136=0),UPPER(LEFT(INDEX($OZ136:$PF136,1,MAX(1,$MF136)),1))&amp;MID(INDEX($OZ136:$PF136,1,MAX(1,$MF136)),2,99),UPPER(LEFT(INDEX($OZ136:$PF136,1,MAX(1,$MF136)),1))&amp;MID(INDEX($OZ136:$PF136,1,MAX(1,$MF136)),2,99)&amp;IF($MI136="",""," "&amp;$MI136)&amp;IF($OR136&gt;0," · +"&amp;$OR136&amp;"d8",""))))</f>
        <v/>
      </c>
      <c r="PS136" s="152">
        <f>COUNTIF($MK136:$MN136,"Longe")+3*COUNTIF($MK136:$MN136,"Muito Longe")</f>
        <v/>
      </c>
      <c r="PT136" s="152">
        <f>COUNTIF($MK136:$MN136,"Maior")+3*COUNTIF($MK136:$MN136,"Muito Maior")</f>
        <v/>
      </c>
      <c r="PU136" s="152">
        <f>IF($MW136=0,0,CHOOSE(1+INDEX($AC$2:$AC$11,$MW136),0,$PS136,$PT136,$PS136+$PT136))</f>
        <v/>
      </c>
      <c r="PV136" s="152">
        <f>IF($MW136=0,0,CHOOSE(1+INDEX($AD$2:$AD$11,$MW136),0,$PS136,$PT136,$PS136+$PT136))</f>
        <v/>
      </c>
      <c r="PW136" s="152">
        <f>IF(OR($MQ136=0,$MW136=0),"",INDEX($AI$2:$AN$41,($MW136-1)*4+IF($MF136=0,1,IF($MF136&lt;=5,2,IF($MF136=6,3,4))),1+MIN(5,$PU136))&amp;INDEX($AO$2:$AT$41,($MW136-1)*4+IF($MF136=0,1,IF($MF136&lt;=5,2,IF($MF136=6,3,4))),1+MIN(5,$PV136))&amp;IF(INDEX($AE$2:$AE$11,$MW136)=1,IF(COUNTIF($MK136:$MN136,"Mais Um")&gt;0," · +"&amp;COUNTIF($MK136:$MN136,"Mais Um")&amp;IF(COUNTIF($MK136:$MN136,"Mais Um")&gt;1," alvos"," alvo"),"")&amp;IF(COUNTIF($MK136:$MN136,"Rajada")&gt;0,IF($MF136=0," · 1 tiro"," · "&amp;(MAX(1,$MF136-1)+1)&amp;" tiros"),""),""))</f>
        <v/>
      </c>
      <c r="PX136" s="152">
        <f>IF($MQ136=0,"",IF($MF136=0,$MT136&amp;"d6"&amp;IF($OH136&gt;0," − 1 = "&amp;$OQ136&amp;"d6"," da básica do nível "&amp;$MR136),$OO136&amp;" − "&amp;$OJ136&amp;" + "&amp;$OM136&amp;" = "&amp;$OP136&amp;" · teto "&amp;4*$MF136&amp;"d8"&amp;IF($NS136=1," · a Forma devolve "&amp;$MF136,"")&amp;IF($ON136&gt;0," · perde "&amp;$ON136,"")))</f>
        <v/>
      </c>
      <c r="PY136" s="152">
        <f>IF($MQ136=0,"",IF($MF136=0,"A básica não amplia: os dados dela sobem com o nível",IF($MF136&gt;=$MS136,"Já está na maior Classe que o nível liberou",TEXTJOIN(" · ",TRUE,IF(AND(2&gt;$MF136,2&lt;=$MS136),"2 → "&amp;$PA136&amp;", 6 PE",""),IF(AND(3&gt;$MF136,3&lt;=$MS136),"3 → "&amp;$PB136&amp;", 9 PE",""),IF(AND(4&gt;$MF136,4&lt;=$MS136),"4 → "&amp;$PC136&amp;", 12 PE",""),IF(AND(5&gt;$MF136,5&lt;=$MS136),"5 → "&amp;$PD136&amp;", 15 PE",""),IF(AND(6&gt;$MF136,6&lt;=$MS136),"6 → "&amp;$PE136&amp;", 18 PE",""),IF(AND(7&gt;$MF136,7&lt;=$MS136),"7 → "&amp;$PF136&amp;", 21 PE","")))))</f>
        <v/>
      </c>
      <c r="PZ136" s="152">
        <f>IF(OR($MQ136=0,$NB136=0),"",IF($MF136=0,"−1 dado","−"&amp;INDEX($I$2:$N$8,MAX(1,$MF136),MAX(1,$NG136))&amp;" · "&amp;CHOOSE(MAX(1,$NG136),"Leve","Média","Pesada","Leve · Livre","Média · Livre","Pesada · Livre")))</f>
        <v/>
      </c>
      <c r="QA136" s="152">
        <f>IF(OR($MQ136=0,$NC136=0),"",IF($MF136=0,"−1 dado","−"&amp;INDEX($I$2:$N$8,MAX(1,$MF136),MAX(1,$NH136))&amp;" · "&amp;CHOOSE(MAX(1,$NH136),"Leve","Média","Pesada","Leve · Livre","Média · Livre","Pesada · Livre")))</f>
        <v/>
      </c>
      <c r="QB136" s="152">
        <f>IF(OR($MQ136=0,$ND136=0),"",IF($MF136=0,"−1 dado","−"&amp;INDEX($I$2:$N$8,MAX(1,$MF136),MAX(1,$NI136))&amp;" · "&amp;CHOOSE(MAX(1,$NI136),"Leve","Média","Pesada","Leve · Livre","Média · Livre","Pesada · Livre")))</f>
        <v/>
      </c>
      <c r="QC136" s="152">
        <f>IF(OR($MQ136=0,$NE136=0),"",IF($MF136=0,"−1 dado","−"&amp;INDEX($I$2:$N$8,MAX(1,$MF136),MAX(1,$NJ136))&amp;" · "&amp;CHOOSE(MAX(1,$NJ136),"Leve","Média","Pesada","Leve · Livre","Média · Livre","Pesada · Livre")))</f>
        <v/>
      </c>
      <c r="QD136" s="152">
        <f>IF(OR($MQ136=0,$MO136=""),"",IF($MF136=0,"não devolve","+"&amp;IF($NV136=1,CEILING($MF136/2,1),$MF136)))</f>
        <v/>
      </c>
      <c r="QE136" s="152">
        <f>IF(OR($MQ136=0,$MP136=""),"",IF($MF136=0,"não devolve","+"&amp;IF($NW136=1,CEILING($MF136/2,1),$MF136)))</f>
        <v/>
      </c>
    </row>
    <row r="137">
      <c r="MA137" s="150" t="inlineStr">
        <is>
          <t>Ficha 11 · Especial 4</t>
        </is>
      </c>
      <c r="MB137" s="152" t="n">
        <v>11</v>
      </c>
      <c r="MC137" s="152" t="n">
        <v>1</v>
      </c>
      <c r="MD137" s="152" t="n">
        <v>12</v>
      </c>
      <c r="ME137" s="150" t="inlineStr">
        <is>
          <t>ESPECIAL 4</t>
        </is>
      </c>
      <c r="MF137" s="152">
        <f>MAX(1,MIN(7,N('INVOCAÇÕES'!$AN$884)))</f>
        <v/>
      </c>
      <c r="MG137" s="152">
        <f>'INVOCAÇÕES'!$AO$884&amp;""</f>
        <v/>
      </c>
      <c r="MH137" s="152">
        <f>'INVOCAÇÕES'!$AN$889&amp;""</f>
        <v/>
      </c>
      <c r="MI137" s="152">
        <f>'INVOCAÇÕES'!$AN$890&amp;""</f>
        <v/>
      </c>
      <c r="MJ137" s="152">
        <f>'INVOCAÇÕES'!$AP$890&amp;""</f>
        <v/>
      </c>
      <c r="MK137" s="152">
        <f>'INVOCAÇÕES'!$AO$893&amp;""</f>
        <v/>
      </c>
      <c r="ML137" s="152">
        <f>'INVOCAÇÕES'!$AO$894&amp;""</f>
        <v/>
      </c>
      <c r="MM137" s="152">
        <f>'INVOCAÇÕES'!$AO$895&amp;""</f>
        <v/>
      </c>
      <c r="MN137" s="152">
        <f>'INVOCAÇÕES'!$AO$896&amp;""</f>
        <v/>
      </c>
      <c r="MO137" s="152">
        <f>'INVOCAÇÕES'!$AO$897&amp;""</f>
        <v/>
      </c>
      <c r="MP137" s="152">
        <f>'INVOCAÇÕES'!$AO$898&amp;""</f>
        <v/>
      </c>
      <c r="MQ137" s="152">
        <f>IF($MG137&lt;&gt;"",1,0)</f>
        <v/>
      </c>
      <c r="MR137" s="152">
        <f>INDEX($FI$2:$FI$13,$MB137)</f>
        <v/>
      </c>
      <c r="MS137" s="152">
        <f>INDEX($FJ$2:$FJ$13,$MB137)</f>
        <v/>
      </c>
      <c r="MT137" s="152">
        <f>INDEX($FK$2:$FK$13,$MB137)</f>
        <v/>
      </c>
      <c r="MU137" s="152">
        <f>INDEX($FV$2:$FV$13,$MB137)</f>
        <v/>
      </c>
      <c r="MV137" s="152">
        <f>INDEX($FW$2:$FW$13,$MB137)</f>
        <v/>
      </c>
      <c r="MW137" s="152">
        <f>IFERROR(MATCH($MH137,$V$2:$V$11,0),0)</f>
        <v/>
      </c>
      <c r="MX137" s="152">
        <f>IFERROR(VLOOKUP($MK137,$AV$2:$BA$84,2,FALSE),"")</f>
        <v/>
      </c>
      <c r="MY137" s="152">
        <f>IFERROR(VLOOKUP($ML137,$AV$2:$BA$84,2,FALSE),"")</f>
        <v/>
      </c>
      <c r="MZ137" s="152">
        <f>IFERROR(VLOOKUP($MM137,$AV$2:$BA$84,2,FALSE),"")</f>
        <v/>
      </c>
      <c r="NA137" s="152">
        <f>IFERROR(VLOOKUP($MN137,$AV$2:$BA$84,2,FALSE),"")</f>
        <v/>
      </c>
      <c r="NB137" s="152">
        <f>IFERROR(VLOOKUP($MK137,$AV$2:$BA$84,3,FALSE),0)</f>
        <v/>
      </c>
      <c r="NC137" s="152">
        <f>IFERROR(VLOOKUP($ML137,$AV$2:$BA$84,3,FALSE),0)</f>
        <v/>
      </c>
      <c r="ND137" s="152">
        <f>IFERROR(VLOOKUP($MM137,$AV$2:$BA$84,3,FALSE),0)</f>
        <v/>
      </c>
      <c r="NE137" s="152">
        <f>IFERROR(VLOOKUP($MN137,$AV$2:$BA$84,3,FALSE),0)</f>
        <v/>
      </c>
      <c r="NF137" s="152">
        <f>IF($MF137=0,0,IF($MW137=0,0,INDEX($X$2:$X$11,$MW137)))</f>
        <v/>
      </c>
      <c r="NG137" s="152">
        <f>IF(OR($NB137=0,$MF137=0),0,$NB137+3*IF(AND($MX137&lt;&gt;"",OR($MX137=INDEX($EF$2:$EF$13,$MB137),$MX137=INDEX($EG$2:$EG$13,$MB137))),1,0))</f>
        <v/>
      </c>
      <c r="NH137" s="152">
        <f>IF(OR($NC137=0,$MF137=0),0,$NC137+3*IF(AND($MY137&lt;&gt;"",OR($MY137=INDEX($EF$2:$EF$13,$MB137),$MY137=INDEX($EG$2:$EG$13,$MB137))),1,0))</f>
        <v/>
      </c>
      <c r="NI137" s="152">
        <f>IF(OR($ND137=0,$MF137=0),0,$ND137+3*IF(AND($MZ137&lt;&gt;"",OR($MZ137=INDEX($EF$2:$EF$13,$MB137),$MZ137=INDEX($EG$2:$EG$13,$MB137))),1,0))</f>
        <v/>
      </c>
      <c r="NJ137" s="152">
        <f>IF(OR($NE137=0,$MF137=0),0,$NE137+3*IF(AND($NA137&lt;&gt;"",OR($NA137=INDEX($EF$2:$EF$13,$MB137),$NA137=INDEX($EG$2:$EG$13,$MB137))),1,0))</f>
        <v/>
      </c>
      <c r="NK137" s="152">
        <f>IF($MW137=0,0,IF(INDEX($W$2:$W$11,$MW137)="",0,IF(COUNTIF(INDEX($EF$2:$EJ$13,$MB137,0),INDEX($W$2:$W$11,$MW137))=0,1,0)))</f>
        <v/>
      </c>
      <c r="NL137" s="152">
        <f>IF(OR($NB137=0,$MX137=""),0,IF(COUNTIF(INDEX($EF$2:$EJ$13,$MB137,0),$MX137)=0,1,0))</f>
        <v/>
      </c>
      <c r="NM137" s="152">
        <f>IF(OR($NC137=0,$MY137=""),0,IF(COUNTIF(INDEX($EF$2:$EJ$13,$MB137,0),$MY137)=0,1,0))</f>
        <v/>
      </c>
      <c r="NN137" s="152">
        <f>IF(OR($ND137=0,$MZ137=""),0,IF(COUNTIF(INDEX($EF$2:$EJ$13,$MB137,0),$MZ137)=0,1,0))</f>
        <v/>
      </c>
      <c r="NO137" s="152">
        <f>IF(OR($NE137=0,$NA137=""),0,IF(COUNTIF(INDEX($EF$2:$EJ$13,$MB137,0),$NA137)=0,1,0))</f>
        <v/>
      </c>
      <c r="NP137" s="152">
        <f>IFERROR(VLOOKUP($MK137,$AV$2:$BA$84,4,FALSE),0)+IFERROR(VLOOKUP($ML137,$AV$2:$BA$84,4,FALSE),0)+IFERROR(VLOOKUP($MM137,$AV$2:$BA$84,4,FALSE),0)+IFERROR(VLOOKUP($MN137,$AV$2:$BA$84,4,FALSE),0)</f>
        <v/>
      </c>
      <c r="NQ137" s="152">
        <f>IFERROR(VLOOKUP($MK137,$AV$2:$BA$84,6,FALSE),0)+IFERROR(VLOOKUP($ML137,$AV$2:$BA$84,6,FALSE),0)+IFERROR(VLOOKUP($MM137,$AV$2:$BA$84,6,FALSE),0)+IFERROR(VLOOKUP($MN137,$AV$2:$BA$84,6,FALSE),0)</f>
        <v/>
      </c>
      <c r="NR137" s="152">
        <f>TEXTJOIN(", ",TRUE,IF(IFERROR(VLOOKUP($MK137,$AV$2:$BA$84,5,FALSE),0)=1,$MK137,""),IF(IFERROR(VLOOKUP($ML137,$AV$2:$BA$84,5,FALSE),0)=1,$ML137,""),IF(IFERROR(VLOOKUP($MM137,$AV$2:$BA$84,5,FALSE),0)=1,$MM137,""),IF(IFERROR(VLOOKUP($MN137,$AV$2:$BA$84,5,FALSE),0)=1,$MN137,""))</f>
        <v/>
      </c>
      <c r="NS137" s="152">
        <f>IF($MW137=0,0,INDEX($Y$2:$Y$11,$MW137))</f>
        <v/>
      </c>
      <c r="NT137" s="152">
        <f>IF($MW137=0,0,INDEX($Z$2:$Z$11,$MW137))</f>
        <v/>
      </c>
      <c r="NU137" s="152">
        <f>IF($MW137=0,0,INDEX($AB$2:$AB$11,$MW137))</f>
        <v/>
      </c>
      <c r="NV137" s="152">
        <f>IFERROR(VLOOKUP($MO137,$BC$2:$BG$24,3,FALSE),0)</f>
        <v/>
      </c>
      <c r="NW137" s="152">
        <f>IFERROR(VLOOKUP($MP137,$BC$2:$BG$24,3,FALSE),0)</f>
        <v/>
      </c>
      <c r="NX137" s="152">
        <f>IFERROR(VLOOKUP($MO137,$BC$2:$BG$24,2,FALSE),"")</f>
        <v/>
      </c>
      <c r="NY137" s="152">
        <f>IFERROR(VLOOKUP($MP137,$BC$2:$BG$24,2,FALSE),"")</f>
        <v/>
      </c>
      <c r="NZ137" s="152">
        <f>COUNTIF($NF137:$NJ137,1)</f>
        <v/>
      </c>
      <c r="OA137" s="152">
        <f>COUNTIF($NF137:$NJ137,2)</f>
        <v/>
      </c>
      <c r="OB137" s="152">
        <f>COUNTIF($NF137:$NJ137,3)</f>
        <v/>
      </c>
      <c r="OC137" s="152">
        <f>COUNTIF($NF137:$NJ137,4)</f>
        <v/>
      </c>
      <c r="OD137" s="152">
        <f>COUNTIF($NF137:$NJ137,5)</f>
        <v/>
      </c>
      <c r="OE137" s="152">
        <f>COUNTIF($NF137:$NJ137,6)</f>
        <v/>
      </c>
      <c r="OF137" s="152">
        <f>COUNTIF($NV137:$NW137,1)</f>
        <v/>
      </c>
      <c r="OG137" s="152">
        <f>COUNTIF($NV137:$NW137,2)+$NS137</f>
        <v/>
      </c>
      <c r="OH137" s="152">
        <f>COUNTIF($MK137:$MN137,"?*")</f>
        <v/>
      </c>
      <c r="OI137" s="152">
        <f>COUNTIF($MO137:$MP137,"?*")+$NS137</f>
        <v/>
      </c>
      <c r="OJ137" s="152">
        <f>IF($MF137=0,0,SUMPRODUCT($NZ137:$OE137,INDEX($I$2:$N$8,MAX(1,$MF137),0)))</f>
        <v/>
      </c>
      <c r="OK137" s="152">
        <f>IF($MF137=0,0,$OF137*CEILING($MF137/2,1)+$OG137*$MF137)</f>
        <v/>
      </c>
      <c r="OL137" s="152">
        <f>MIN(2*$MF137,$OK137)</f>
        <v/>
      </c>
      <c r="OM137" s="152">
        <f>MIN($OL137,$OJ137)</f>
        <v/>
      </c>
      <c r="ON137" s="152">
        <f>$OL137-$OM137</f>
        <v/>
      </c>
      <c r="OO137" s="152">
        <f>IF($MF137=0,0,INDEX($P$2:$P$8,MAX(1,$MF137)))</f>
        <v/>
      </c>
      <c r="OP137" s="152">
        <f>$OO137-$OJ137+$OM137</f>
        <v/>
      </c>
      <c r="OQ137" s="152">
        <f>IF($MF137=0,MAX(0,$MT137-IF($OH137&gt;0,1,0)),MAX(0,$OP137))</f>
        <v/>
      </c>
      <c r="OR137" s="152">
        <f>IF($MF137=0,0,(IF(COUNTIF($MK137:$MN137,"Salto")&gt;0,1,0)+IF(COUNTIF($MK137:$MN137,"Queima")&gt;0,1,0)+IF(COUNTIF($MK137:$MN137,"Estilhaço")&gt;0,1,0))*FLOOR($OQ137/2,1))</f>
        <v/>
      </c>
      <c r="OS137" s="152">
        <f>MAX(0,2-SUMPRODUCT($NZ137:$OE137,$I$2:$N$2)+MIN(2,$OF137*1+$OG137*1,SUMPRODUCT($NZ137:$OE137,$I$2:$N$2)))</f>
        <v/>
      </c>
      <c r="OT137" s="152">
        <f>MAX(0,4-SUMPRODUCT($NZ137:$OE137,$I$3:$N$3)+MIN(4,$OF137*1+$OG137*2,SUMPRODUCT($NZ137:$OE137,$I$3:$N$3)))</f>
        <v/>
      </c>
      <c r="OU137" s="152">
        <f>MAX(0,6-SUMPRODUCT($NZ137:$OE137,$I$4:$N$4)+MIN(6,$OF137*2+$OG137*3,SUMPRODUCT($NZ137:$OE137,$I$4:$N$4)))</f>
        <v/>
      </c>
      <c r="OV137" s="152">
        <f>MAX(0,9-SUMPRODUCT($NZ137:$OE137,$I$5:$N$5)+MIN(8,$OF137*2+$OG137*4,SUMPRODUCT($NZ137:$OE137,$I$5:$N$5)))</f>
        <v/>
      </c>
      <c r="OW137" s="152">
        <f>MAX(0,11-SUMPRODUCT($NZ137:$OE137,$I$6:$N$6)+MIN(10,$OF137*3+$OG137*5,SUMPRODUCT($NZ137:$OE137,$I$6:$N$6)))</f>
        <v/>
      </c>
      <c r="OX137" s="152">
        <f>MAX(0,13-SUMPRODUCT($NZ137:$OE137,$I$7:$N$7)+MIN(12,$OF137*3+$OG137*6,SUMPRODUCT($NZ137:$OE137,$I$7:$N$7)))</f>
        <v/>
      </c>
      <c r="OY137" s="152">
        <f>MAX(0,16-SUMPRODUCT($NZ137:$OE137,$I$8:$N$8)+MIN(14,$OF137*4+$OG137*7,SUMPRODUCT($NZ137:$OE137,$I$8:$N$8)))</f>
        <v/>
      </c>
      <c r="OZ137" s="152">
        <f>IF($NT137=2,3*$OS137&amp;" de vida temp.",IF($NT137=3,"sem dano",IF($OS137=0,IF($NT137=1,"sem cura","sem dano"),IF($NT137=1,"cura ","")&amp;$OS137&amp;"d8")))</f>
        <v/>
      </c>
      <c r="PA137" s="152">
        <f>IF($NT137=2,3*$OT137&amp;" de vida temp.",IF($NT137=3,"sem dano",IF($OT137=0,IF($NT137=1,"sem cura","sem dano"),IF($NT137=1,"cura ","")&amp;$OT137&amp;"d8")))</f>
        <v/>
      </c>
      <c r="PB137" s="152">
        <f>IF($NT137=2,3*$OU137&amp;" de vida temp.",IF($NT137=3,"sem dano",IF($OU137=0,IF($NT137=1,"sem cura","sem dano"),IF($NT137=1,"cura ","")&amp;$OU137&amp;"d8")))</f>
        <v/>
      </c>
      <c r="PC137" s="152">
        <f>IF($NT137=2,3*$OV137&amp;" de vida temp.",IF($NT137=3,"sem dano",IF($OV137=0,IF($NT137=1,"sem cura","sem dano"),IF($NT137=1,"cura ","")&amp;$OV137&amp;"d8")))</f>
        <v/>
      </c>
      <c r="PD137" s="152">
        <f>IF($NT137=2,3*$OW137&amp;" de vida temp.",IF($NT137=3,"sem dano",IF($OW137=0,IF($NT137=1,"sem cura","sem dano"),IF($NT137=1,"cura ","")&amp;$OW137&amp;"d8")))</f>
        <v/>
      </c>
      <c r="PE137" s="152">
        <f>IF($NT137=2,3*$OX137&amp;" de vida temp.",IF($NT137=3,"sem dano",IF($OX137=0,IF($NT137=1,"sem cura","sem dano"),IF($NT137=1,"cura ","")&amp;$OX137&amp;"d8")))</f>
        <v/>
      </c>
      <c r="PF137" s="152">
        <f>IF($NT137=2,3*$OY137&amp;" de vida temp.",IF($NT137=3,"sem dano",IF($OY137=0,IF($NT137=1,"sem cura","sem dano"),IF($NT137=1,"cura ","")&amp;$OY137&amp;"d8")))</f>
        <v/>
      </c>
      <c r="PG137" s="152">
        <f>IF($MQ137=0,"",TEXTJOIN(" · ",TRUE,IF($MD137&gt;$MR137,"Este lugar abre no nível "&amp;$MD137,""),IF($MF137&gt;$MS137,"Classe "&amp;$MF137&amp;": o nível "&amp;$MR137&amp;" libera até a "&amp;$MS137,""),IF($NK137=1,"A Forma "&amp;$MH137&amp;" pede "&amp;INDEX($W$2:$W$11,$MW137)&amp;" aberta",""),IF(AND($MF137=0,$MW137&gt;0,IF($MW137=0,0,INDEX($AF$2:$AF$11,$MW137))=0),$MH137&amp;" não existe na Classe 0",""),IF($NL137=1,"Família Fechada: "&amp;$MK137,""),IF($NM137=1,"Família Fechada: "&amp;$ML137,""),IF($NN137=1,"Família Fechada: "&amp;$MM137,""),IF($NO137=1,"Família Fechada: "&amp;$MN137,""),IF(AND($MF137&gt;0,$OH137&gt;INDEX($O$2:$O$8,MAX(1,$MF137))),$OH137&amp;" Melhorias: a Classe "&amp;$MF137&amp;" aceita "&amp;INDEX($O$2:$O$8,MAX(1,$MF137)),""),IF(AND($MF137=0,$OH137&gt;1),"A básica aceita uma Melhoria",""),IF(AND($MF137=0,COUNTIF($NB137:$NE137,"&gt;1")&gt;0),"A básica só aceita Melhoria Leve",""),IF(AND($MF137&gt;0,$OI137&gt;2),$OI137&amp;" Restrições"&amp;IF($NS137=1,", contando a que a Forma "&amp;$MH137&amp;" já traz","")&amp;": o limite é 2",""),IF(AND($MF137=0,COUNTIF($MO137:$MP137,"?*")&gt;1),"A básica aceita uma Restrição Leve",""),IF(AND($MF137=0,COUNTIF($NV137:$NW137,2)&gt;0),"A básica só aceita Restrição Leve",""),IF(AND($MF137&gt;0,$OP137&lt;0),"Orçamento estourado: faltam "&amp;(-$OP137)&amp;IF($OP137&lt;-1," pontos"," ponto"),""),IF(IFERROR(VLOOKUP($MO137,$BC$2:$BG$24,4,FALSE),0)+IFERROR(VLOOKUP($MP137,$BC$2:$BG$24,4,FALSE),0)&gt;1,$NX137&amp;" e "&amp;$NY137&amp;" são as duas de frequência",""),IF(AND((COUNTIF($MK137:$MN137,"Rápido")+COUNTIF($NX137:$NY137,"Rápido"))&gt;0,(COUNTIF($MK137:$MN137,"Atrasar")+COUNTIF($NX137:$NY137,"Atrasar"))&gt;0),"Rápido não entra com Atrasar",""),IF(AND((COUNTIF($MK137:$MN137,"Reação")+COUNTIF($NX137:$NY137,"Reação"))&gt;0,(COUNTIF($MK137:$MN137,"Rápido")+COUNTIF($NX137:$NY137,"Rápido"))&gt;0),"Reação não entra com Rápido",""),IF(AND((COUNTIF($MK137:$MN137,"Reação")+COUNTIF($NX137:$NY137,"Reação"))&gt;0,(COUNTIF($MK137:$MN137,"Armado")+COUNTIF($NX137:$NY137,"Armado"))&gt;0),"Reação não entra com Armado",""),IF(AND((COUNTIF($MK137:$MN137,"Reação")+COUNTIF($NX137:$NY137,"Reação"))&gt;0,(COUNTIF($MK137:$MN137,"Atrasar")+COUNTIF($NX137:$NY137,"Atrasar"))&gt;0),"Reação não entra com Atrasar",""),IF(AND((COUNTIF($MK137:$MN137,"Reação")+COUNTIF($NX137:$NY137,"Reação"))&gt;0,(COUNTIF($MK137:$MN137,"Parado")+COUNTIF($NX137:$NY137,"Parado"))&gt;0),"Reação não entra com Parado",""),IF(AND((COUNTIF($MK137:$MN137,"Atrasar")+COUNTIF($NX137:$NY137,"Atrasar"))&gt;0,(COUNTIF($MK137:$MN137,"Parado")+COUNTIF($NX137:$NY137,"Parado"))&gt;0),"Atrasar não entra com Parado",""),IF(AND((COUNTIF($MK137:$MN137,"Armado")+COUNTIF($NX137:$NY137,"Armado"))&gt;0,(COUNTIF($MK137:$MN137,"Carregar")+COUNTIF($NX137:$NY137,"Carregar"))&gt;0),"Armado não entra com Carregar",""),IF(AND(COUNTIF($NX137:$NY137,"Corpo a Corpo")&gt;0,$NS137=0,OR($MH137="Cone",$MH137="Linha")),"Corpo a Corpo não entra em "&amp;$MH137,""),IF(AND(COUNTIF($NX137:$NY137,"Corpo a Corpo")&gt;0,$NS137=1),"A Forma "&amp;$MH137&amp;" já traz o Corpo a Corpo",""),IF(AND(COUNTIF($NX137:$NY137,"Tudo ou Nada")&gt;0,$NU137=0),"Tudo ou Nada só entra em habilidade de Teste de Resistência",""),IF(AND(COUNTIF($MK137:$MN137,"Inescapável")&gt;0,OR($OH137&gt;1,$OI137&gt;0)),"Inescapável não aceita outra peça",""),IF(AND($MF137&gt;0,$OQ137*IF(COUNTIF($MK137:$MN137,"Remate")&gt;0,1.25,1)+$OR137&gt;4*$MF137),($OQ137*IF(COUNTIF($MK137:$MN137,"Remate")&gt;0,1.25,1)+$OR137)&amp;" dados somando repetições"&amp;IF(COUNTIF($MK137:$MN137,"Remate")&gt;0," e o Remate","")&amp;": o teto da Classe "&amp;$MF137&amp;" é "&amp;4*$MF137,"")))</f>
        <v/>
      </c>
      <c r="PH137" s="152">
        <f>IF($PG137="",0,(LEN($PG137)-LEN(SUBSTITUTE($PG137," · ","")))/3+1)</f>
        <v/>
      </c>
      <c r="PI137" s="152">
        <f>IF($MQ137=0,"",TEXTJOIN(" · ",TRUE,IF($OK137&gt;2*$MF137,"A devolução parou no teto de "&amp;2*$MF137,""),IF($ON137&gt;0,"Devolução perdida: "&amp;$ON137&amp;IF($ON137&gt;1," pontos"," ponto")&amp;" sem peça para pagar",""),IF(AND($NP137&gt;0,AND($MF137&gt;0,$NT137=0),$OQ137=0),"Controle sem dano: uma rodada a mais e CD +2",""),IF(AND($NP137&gt;0,AND($MF137&gt;0,$NT137=0),$OQ137&gt;0,$OQ137&lt;=$MF137),"Controle com saldo até a Classe: uma rodada a mais",""),IF(AND($MF137&gt;0,$NR137&lt;&gt;""),"Efeito de "&amp;$NR137&amp;" pela Classe "&amp;MAX(1,$MF137-1),"")))</f>
        <v/>
      </c>
      <c r="PJ137" s="152">
        <f>IF($PI137="",0,(LEN($PI137)-LEN(SUBSTITUTE($PI137," · ","")))/3+1)</f>
        <v/>
      </c>
      <c r="PK137" s="152">
        <f>IF($MQ137=0,IF($OH137+COUNTIF($MO137:$MP137,"?*")&gt;0,"Dê um nome",""),IF($PH137&gt;0,"⚠ "&amp;$PH137&amp;IF($PH137&gt;1," erros"," erro"),IF($PJ137&gt;0,"! "&amp;$PJ137&amp;IF($PJ137&gt;1," avisos"," aviso"),"Na regra")))</f>
        <v/>
      </c>
      <c r="PL137" s="152">
        <f>IF($MQ137=0,"",IF($PH137+$PJ137=0,"Dentro das regras que a ficha confere",$PG137&amp;IF(AND($PH137&gt;0,$PJ137&gt;0)," · ","")&amp;$PI137))</f>
        <v/>
      </c>
      <c r="PM137" s="152">
        <f>IF($MD137&gt;$MR137,$ME137&amp;" · ABRE NO NÍVEL "&amp;$MD137,$ME137)</f>
        <v/>
      </c>
      <c r="PN137" s="152">
        <f>IF($MQ137=0,"",IF($MF137=0,"Sem PE",3*$MF137&amp;" PE"))</f>
        <v/>
      </c>
      <c r="PO137" s="152">
        <f>IF($MQ137=0,"",IF($MF137=0,"A atuação básica dela",IF(COUNTIF($NX137:$NY137,"Atrasar")&gt;0,"Sua Ação Completa",IF(COUNTIF($MK137:$MN137,"Rápido")&gt;0,"Sua Bônus",IF(COUNTIF($MK137:$MN137,"Reação")&gt;0,"Sua Reação","Sua Padrão")))&amp;" + a básica dela"&amp;IF(COUNTIF($MK137:$MN137,"Reação")&gt;0," e a coletiva","")&amp;IF(COUNTIF($NX137:$NY137,"Carregar")&gt;0," · em dois turnos","")))</f>
        <v/>
      </c>
      <c r="PP137" s="152">
        <f>IF($MJ137&lt;&gt;"",$MJ137,IF($MW137=0,"",INDEX($AA$2:$AA$11,$MW137)))</f>
        <v/>
      </c>
      <c r="PQ137" s="152">
        <f>IF(OR($MQ137=0,$MW137=0),"",IF(COUNTIF($MK137:$MN137,"Inescapável")&gt;0,"Automático",IF($PP137="Ataque",IF($MU137="","Ataque","Ataque "&amp;IF(($MU137+2*IF(COUNTIF($MK137:$MN137,"Precisão")&gt;0,1,0))&gt;=0,"+","−")&amp;ABS(($MU137+2*IF(COUNTIF($MK137:$MN137,"Precisão")&gt;0,1,0))))&amp;IF($NQ137&gt;0," · TR"&amp;IF($MV137="",""," CD "&amp;$MV137),""),IF(LEFT($PP137,2)="TR",$PP137&amp;IF($MV137="",""," · CD "&amp;$MV137)&amp;IF(COUNTIF($MK137:$MN137,"Certeiro")&gt;0," · metade",""),"Sem rolagem"))))</f>
        <v/>
      </c>
      <c r="PR137" s="152">
        <f>IF(OR($MQ137=0,$MW137=0),"",IF($MF137=0,IF(OR($NT137&gt;=1,$OQ137=0),"Sem dano",$OQ137&amp;"d6"&amp;IF($MI137="",""," "&amp;$MI137)),IF(OR($NT137&gt;=1,$OQ137=0),UPPER(LEFT(INDEX($OZ137:$PF137,1,MAX(1,$MF137)),1))&amp;MID(INDEX($OZ137:$PF137,1,MAX(1,$MF137)),2,99),UPPER(LEFT(INDEX($OZ137:$PF137,1,MAX(1,$MF137)),1))&amp;MID(INDEX($OZ137:$PF137,1,MAX(1,$MF137)),2,99)&amp;IF($MI137="",""," "&amp;$MI137)&amp;IF($OR137&gt;0," · +"&amp;$OR137&amp;"d8",""))))</f>
        <v/>
      </c>
      <c r="PS137" s="152">
        <f>COUNTIF($MK137:$MN137,"Longe")+3*COUNTIF($MK137:$MN137,"Muito Longe")</f>
        <v/>
      </c>
      <c r="PT137" s="152">
        <f>COUNTIF($MK137:$MN137,"Maior")+3*COUNTIF($MK137:$MN137,"Muito Maior")</f>
        <v/>
      </c>
      <c r="PU137" s="152">
        <f>IF($MW137=0,0,CHOOSE(1+INDEX($AC$2:$AC$11,$MW137),0,$PS137,$PT137,$PS137+$PT137))</f>
        <v/>
      </c>
      <c r="PV137" s="152">
        <f>IF($MW137=0,0,CHOOSE(1+INDEX($AD$2:$AD$11,$MW137),0,$PS137,$PT137,$PS137+$PT137))</f>
        <v/>
      </c>
      <c r="PW137" s="152">
        <f>IF(OR($MQ137=0,$MW137=0),"",INDEX($AI$2:$AN$41,($MW137-1)*4+IF($MF137=0,1,IF($MF137&lt;=5,2,IF($MF137=6,3,4))),1+MIN(5,$PU137))&amp;INDEX($AO$2:$AT$41,($MW137-1)*4+IF($MF137=0,1,IF($MF137&lt;=5,2,IF($MF137=6,3,4))),1+MIN(5,$PV137))&amp;IF(INDEX($AE$2:$AE$11,$MW137)=1,IF(COUNTIF($MK137:$MN137,"Mais Um")&gt;0," · +"&amp;COUNTIF($MK137:$MN137,"Mais Um")&amp;IF(COUNTIF($MK137:$MN137,"Mais Um")&gt;1," alvos"," alvo"),"")&amp;IF(COUNTIF($MK137:$MN137,"Rajada")&gt;0,IF($MF137=0," · 1 tiro"," · "&amp;(MAX(1,$MF137-1)+1)&amp;" tiros"),""),""))</f>
        <v/>
      </c>
      <c r="PX137" s="152">
        <f>IF($MQ137=0,"",IF($MF137=0,$MT137&amp;"d6"&amp;IF($OH137&gt;0," − 1 = "&amp;$OQ137&amp;"d6"," da básica do nível "&amp;$MR137),$OO137&amp;" − "&amp;$OJ137&amp;" + "&amp;$OM137&amp;" = "&amp;$OP137&amp;" · teto "&amp;4*$MF137&amp;"d8"&amp;IF($NS137=1," · a Forma devolve "&amp;$MF137,"")&amp;IF($ON137&gt;0," · perde "&amp;$ON137,"")))</f>
        <v/>
      </c>
      <c r="PY137" s="152">
        <f>IF($MQ137=0,"",IF($MF137=0,"A básica não amplia: os dados dela sobem com o nível",IF($MF137&gt;=$MS137,"Já está na maior Classe que o nível liberou",TEXTJOIN(" · ",TRUE,IF(AND(2&gt;$MF137,2&lt;=$MS137),"2 → "&amp;$PA137&amp;", 6 PE",""),IF(AND(3&gt;$MF137,3&lt;=$MS137),"3 → "&amp;$PB137&amp;", 9 PE",""),IF(AND(4&gt;$MF137,4&lt;=$MS137),"4 → "&amp;$PC137&amp;", 12 PE",""),IF(AND(5&gt;$MF137,5&lt;=$MS137),"5 → "&amp;$PD137&amp;", 15 PE",""),IF(AND(6&gt;$MF137,6&lt;=$MS137),"6 → "&amp;$PE137&amp;", 18 PE",""),IF(AND(7&gt;$MF137,7&lt;=$MS137),"7 → "&amp;$PF137&amp;", 21 PE","")))))</f>
        <v/>
      </c>
      <c r="PZ137" s="152">
        <f>IF(OR($MQ137=0,$NB137=0),"",IF($MF137=0,"−1 dado","−"&amp;INDEX($I$2:$N$8,MAX(1,$MF137),MAX(1,$NG137))&amp;" · "&amp;CHOOSE(MAX(1,$NG137),"Leve","Média","Pesada","Leve · Livre","Média · Livre","Pesada · Livre")))</f>
        <v/>
      </c>
      <c r="QA137" s="152">
        <f>IF(OR($MQ137=0,$NC137=0),"",IF($MF137=0,"−1 dado","−"&amp;INDEX($I$2:$N$8,MAX(1,$MF137),MAX(1,$NH137))&amp;" · "&amp;CHOOSE(MAX(1,$NH137),"Leve","Média","Pesada","Leve · Livre","Média · Livre","Pesada · Livre")))</f>
        <v/>
      </c>
      <c r="QB137" s="152">
        <f>IF(OR($MQ137=0,$ND137=0),"",IF($MF137=0,"−1 dado","−"&amp;INDEX($I$2:$N$8,MAX(1,$MF137),MAX(1,$NI137))&amp;" · "&amp;CHOOSE(MAX(1,$NI137),"Leve","Média","Pesada","Leve · Livre","Média · Livre","Pesada · Livre")))</f>
        <v/>
      </c>
      <c r="QC137" s="152">
        <f>IF(OR($MQ137=0,$NE137=0),"",IF($MF137=0,"−1 dado","−"&amp;INDEX($I$2:$N$8,MAX(1,$MF137),MAX(1,$NJ137))&amp;" · "&amp;CHOOSE(MAX(1,$NJ137),"Leve","Média","Pesada","Leve · Livre","Média · Livre","Pesada · Livre")))</f>
        <v/>
      </c>
      <c r="QD137" s="152">
        <f>IF(OR($MQ137=0,$MO137=""),"",IF($MF137=0,"não devolve","+"&amp;IF($NV137=1,CEILING($MF137/2,1),$MF137)))</f>
        <v/>
      </c>
      <c r="QE137" s="152">
        <f>IF(OR($MQ137=0,$MP137=""),"",IF($MF137=0,"não devolve","+"&amp;IF($NW137=1,CEILING($MF137/2,1),$MF137)))</f>
        <v/>
      </c>
    </row>
    <row r="138">
      <c r="MA138" s="150" t="inlineStr">
        <is>
          <t>Ficha 11 · Especial 5</t>
        </is>
      </c>
      <c r="MB138" s="152" t="n">
        <v>11</v>
      </c>
      <c r="MC138" s="152" t="n">
        <v>1</v>
      </c>
      <c r="MD138" s="152" t="n">
        <v>16</v>
      </c>
      <c r="ME138" s="150" t="inlineStr">
        <is>
          <t>ESPECIAL 5</t>
        </is>
      </c>
      <c r="MF138" s="152">
        <f>MAX(1,MIN(7,N('INVOCAÇÕES'!$AB$906)))</f>
        <v/>
      </c>
      <c r="MG138" s="152">
        <f>'INVOCAÇÕES'!$AC$906&amp;""</f>
        <v/>
      </c>
      <c r="MH138" s="152">
        <f>'INVOCAÇÕES'!$AB$911&amp;""</f>
        <v/>
      </c>
      <c r="MI138" s="152">
        <f>'INVOCAÇÕES'!$AB$912&amp;""</f>
        <v/>
      </c>
      <c r="MJ138" s="152">
        <f>'INVOCAÇÕES'!$AD$912&amp;""</f>
        <v/>
      </c>
      <c r="MK138" s="152">
        <f>'INVOCAÇÕES'!$AC$915&amp;""</f>
        <v/>
      </c>
      <c r="ML138" s="152">
        <f>'INVOCAÇÕES'!$AC$916&amp;""</f>
        <v/>
      </c>
      <c r="MM138" s="152">
        <f>'INVOCAÇÕES'!$AC$917&amp;""</f>
        <v/>
      </c>
      <c r="MN138" s="152">
        <f>'INVOCAÇÕES'!$AC$918&amp;""</f>
        <v/>
      </c>
      <c r="MO138" s="152">
        <f>'INVOCAÇÕES'!$AC$919&amp;""</f>
        <v/>
      </c>
      <c r="MP138" s="152">
        <f>'INVOCAÇÕES'!$AC$920&amp;""</f>
        <v/>
      </c>
      <c r="MQ138" s="152">
        <f>IF($MG138&lt;&gt;"",1,0)</f>
        <v/>
      </c>
      <c r="MR138" s="152">
        <f>INDEX($FI$2:$FI$13,$MB138)</f>
        <v/>
      </c>
      <c r="MS138" s="152">
        <f>INDEX($FJ$2:$FJ$13,$MB138)</f>
        <v/>
      </c>
      <c r="MT138" s="152">
        <f>INDEX($FK$2:$FK$13,$MB138)</f>
        <v/>
      </c>
      <c r="MU138" s="152">
        <f>INDEX($FV$2:$FV$13,$MB138)</f>
        <v/>
      </c>
      <c r="MV138" s="152">
        <f>INDEX($FW$2:$FW$13,$MB138)</f>
        <v/>
      </c>
      <c r="MW138" s="152">
        <f>IFERROR(MATCH($MH138,$V$2:$V$11,0),0)</f>
        <v/>
      </c>
      <c r="MX138" s="152">
        <f>IFERROR(VLOOKUP($MK138,$AV$2:$BA$84,2,FALSE),"")</f>
        <v/>
      </c>
      <c r="MY138" s="152">
        <f>IFERROR(VLOOKUP($ML138,$AV$2:$BA$84,2,FALSE),"")</f>
        <v/>
      </c>
      <c r="MZ138" s="152">
        <f>IFERROR(VLOOKUP($MM138,$AV$2:$BA$84,2,FALSE),"")</f>
        <v/>
      </c>
      <c r="NA138" s="152">
        <f>IFERROR(VLOOKUP($MN138,$AV$2:$BA$84,2,FALSE),"")</f>
        <v/>
      </c>
      <c r="NB138" s="152">
        <f>IFERROR(VLOOKUP($MK138,$AV$2:$BA$84,3,FALSE),0)</f>
        <v/>
      </c>
      <c r="NC138" s="152">
        <f>IFERROR(VLOOKUP($ML138,$AV$2:$BA$84,3,FALSE),0)</f>
        <v/>
      </c>
      <c r="ND138" s="152">
        <f>IFERROR(VLOOKUP($MM138,$AV$2:$BA$84,3,FALSE),0)</f>
        <v/>
      </c>
      <c r="NE138" s="152">
        <f>IFERROR(VLOOKUP($MN138,$AV$2:$BA$84,3,FALSE),0)</f>
        <v/>
      </c>
      <c r="NF138" s="152">
        <f>IF($MF138=0,0,IF($MW138=0,0,INDEX($X$2:$X$11,$MW138)))</f>
        <v/>
      </c>
      <c r="NG138" s="152">
        <f>IF(OR($NB138=0,$MF138=0),0,$NB138+3*IF(AND($MX138&lt;&gt;"",OR($MX138=INDEX($EF$2:$EF$13,$MB138),$MX138=INDEX($EG$2:$EG$13,$MB138))),1,0))</f>
        <v/>
      </c>
      <c r="NH138" s="152">
        <f>IF(OR($NC138=0,$MF138=0),0,$NC138+3*IF(AND($MY138&lt;&gt;"",OR($MY138=INDEX($EF$2:$EF$13,$MB138),$MY138=INDEX($EG$2:$EG$13,$MB138))),1,0))</f>
        <v/>
      </c>
      <c r="NI138" s="152">
        <f>IF(OR($ND138=0,$MF138=0),0,$ND138+3*IF(AND($MZ138&lt;&gt;"",OR($MZ138=INDEX($EF$2:$EF$13,$MB138),$MZ138=INDEX($EG$2:$EG$13,$MB138))),1,0))</f>
        <v/>
      </c>
      <c r="NJ138" s="152">
        <f>IF(OR($NE138=0,$MF138=0),0,$NE138+3*IF(AND($NA138&lt;&gt;"",OR($NA138=INDEX($EF$2:$EF$13,$MB138),$NA138=INDEX($EG$2:$EG$13,$MB138))),1,0))</f>
        <v/>
      </c>
      <c r="NK138" s="152">
        <f>IF($MW138=0,0,IF(INDEX($W$2:$W$11,$MW138)="",0,IF(COUNTIF(INDEX($EF$2:$EJ$13,$MB138,0),INDEX($W$2:$W$11,$MW138))=0,1,0)))</f>
        <v/>
      </c>
      <c r="NL138" s="152">
        <f>IF(OR($NB138=0,$MX138=""),0,IF(COUNTIF(INDEX($EF$2:$EJ$13,$MB138,0),$MX138)=0,1,0))</f>
        <v/>
      </c>
      <c r="NM138" s="152">
        <f>IF(OR($NC138=0,$MY138=""),0,IF(COUNTIF(INDEX($EF$2:$EJ$13,$MB138,0),$MY138)=0,1,0))</f>
        <v/>
      </c>
      <c r="NN138" s="152">
        <f>IF(OR($ND138=0,$MZ138=""),0,IF(COUNTIF(INDEX($EF$2:$EJ$13,$MB138,0),$MZ138)=0,1,0))</f>
        <v/>
      </c>
      <c r="NO138" s="152">
        <f>IF(OR($NE138=0,$NA138=""),0,IF(COUNTIF(INDEX($EF$2:$EJ$13,$MB138,0),$NA138)=0,1,0))</f>
        <v/>
      </c>
      <c r="NP138" s="152">
        <f>IFERROR(VLOOKUP($MK138,$AV$2:$BA$84,4,FALSE),0)+IFERROR(VLOOKUP($ML138,$AV$2:$BA$84,4,FALSE),0)+IFERROR(VLOOKUP($MM138,$AV$2:$BA$84,4,FALSE),0)+IFERROR(VLOOKUP($MN138,$AV$2:$BA$84,4,FALSE),0)</f>
        <v/>
      </c>
      <c r="NQ138" s="152">
        <f>IFERROR(VLOOKUP($MK138,$AV$2:$BA$84,6,FALSE),0)+IFERROR(VLOOKUP($ML138,$AV$2:$BA$84,6,FALSE),0)+IFERROR(VLOOKUP($MM138,$AV$2:$BA$84,6,FALSE),0)+IFERROR(VLOOKUP($MN138,$AV$2:$BA$84,6,FALSE),0)</f>
        <v/>
      </c>
      <c r="NR138" s="152">
        <f>TEXTJOIN(", ",TRUE,IF(IFERROR(VLOOKUP($MK138,$AV$2:$BA$84,5,FALSE),0)=1,$MK138,""),IF(IFERROR(VLOOKUP($ML138,$AV$2:$BA$84,5,FALSE),0)=1,$ML138,""),IF(IFERROR(VLOOKUP($MM138,$AV$2:$BA$84,5,FALSE),0)=1,$MM138,""),IF(IFERROR(VLOOKUP($MN138,$AV$2:$BA$84,5,FALSE),0)=1,$MN138,""))</f>
        <v/>
      </c>
      <c r="NS138" s="152">
        <f>IF($MW138=0,0,INDEX($Y$2:$Y$11,$MW138))</f>
        <v/>
      </c>
      <c r="NT138" s="152">
        <f>IF($MW138=0,0,INDEX($Z$2:$Z$11,$MW138))</f>
        <v/>
      </c>
      <c r="NU138" s="152">
        <f>IF($MW138=0,0,INDEX($AB$2:$AB$11,$MW138))</f>
        <v/>
      </c>
      <c r="NV138" s="152">
        <f>IFERROR(VLOOKUP($MO138,$BC$2:$BG$24,3,FALSE),0)</f>
        <v/>
      </c>
      <c r="NW138" s="152">
        <f>IFERROR(VLOOKUP($MP138,$BC$2:$BG$24,3,FALSE),0)</f>
        <v/>
      </c>
      <c r="NX138" s="152">
        <f>IFERROR(VLOOKUP($MO138,$BC$2:$BG$24,2,FALSE),"")</f>
        <v/>
      </c>
      <c r="NY138" s="152">
        <f>IFERROR(VLOOKUP($MP138,$BC$2:$BG$24,2,FALSE),"")</f>
        <v/>
      </c>
      <c r="NZ138" s="152">
        <f>COUNTIF($NF138:$NJ138,1)</f>
        <v/>
      </c>
      <c r="OA138" s="152">
        <f>COUNTIF($NF138:$NJ138,2)</f>
        <v/>
      </c>
      <c r="OB138" s="152">
        <f>COUNTIF($NF138:$NJ138,3)</f>
        <v/>
      </c>
      <c r="OC138" s="152">
        <f>COUNTIF($NF138:$NJ138,4)</f>
        <v/>
      </c>
      <c r="OD138" s="152">
        <f>COUNTIF($NF138:$NJ138,5)</f>
        <v/>
      </c>
      <c r="OE138" s="152">
        <f>COUNTIF($NF138:$NJ138,6)</f>
        <v/>
      </c>
      <c r="OF138" s="152">
        <f>COUNTIF($NV138:$NW138,1)</f>
        <v/>
      </c>
      <c r="OG138" s="152">
        <f>COUNTIF($NV138:$NW138,2)+$NS138</f>
        <v/>
      </c>
      <c r="OH138" s="152">
        <f>COUNTIF($MK138:$MN138,"?*")</f>
        <v/>
      </c>
      <c r="OI138" s="152">
        <f>COUNTIF($MO138:$MP138,"?*")+$NS138</f>
        <v/>
      </c>
      <c r="OJ138" s="152">
        <f>IF($MF138=0,0,SUMPRODUCT($NZ138:$OE138,INDEX($I$2:$N$8,MAX(1,$MF138),0)))</f>
        <v/>
      </c>
      <c r="OK138" s="152">
        <f>IF($MF138=0,0,$OF138*CEILING($MF138/2,1)+$OG138*$MF138)</f>
        <v/>
      </c>
      <c r="OL138" s="152">
        <f>MIN(2*$MF138,$OK138)</f>
        <v/>
      </c>
      <c r="OM138" s="152">
        <f>MIN($OL138,$OJ138)</f>
        <v/>
      </c>
      <c r="ON138" s="152">
        <f>$OL138-$OM138</f>
        <v/>
      </c>
      <c r="OO138" s="152">
        <f>IF($MF138=0,0,INDEX($P$2:$P$8,MAX(1,$MF138)))</f>
        <v/>
      </c>
      <c r="OP138" s="152">
        <f>$OO138-$OJ138+$OM138</f>
        <v/>
      </c>
      <c r="OQ138" s="152">
        <f>IF($MF138=0,MAX(0,$MT138-IF($OH138&gt;0,1,0)),MAX(0,$OP138))</f>
        <v/>
      </c>
      <c r="OR138" s="152">
        <f>IF($MF138=0,0,(IF(COUNTIF($MK138:$MN138,"Salto")&gt;0,1,0)+IF(COUNTIF($MK138:$MN138,"Queima")&gt;0,1,0)+IF(COUNTIF($MK138:$MN138,"Estilhaço")&gt;0,1,0))*FLOOR($OQ138/2,1))</f>
        <v/>
      </c>
      <c r="OS138" s="152">
        <f>MAX(0,2-SUMPRODUCT($NZ138:$OE138,$I$2:$N$2)+MIN(2,$OF138*1+$OG138*1,SUMPRODUCT($NZ138:$OE138,$I$2:$N$2)))</f>
        <v/>
      </c>
      <c r="OT138" s="152">
        <f>MAX(0,4-SUMPRODUCT($NZ138:$OE138,$I$3:$N$3)+MIN(4,$OF138*1+$OG138*2,SUMPRODUCT($NZ138:$OE138,$I$3:$N$3)))</f>
        <v/>
      </c>
      <c r="OU138" s="152">
        <f>MAX(0,6-SUMPRODUCT($NZ138:$OE138,$I$4:$N$4)+MIN(6,$OF138*2+$OG138*3,SUMPRODUCT($NZ138:$OE138,$I$4:$N$4)))</f>
        <v/>
      </c>
      <c r="OV138" s="152">
        <f>MAX(0,9-SUMPRODUCT($NZ138:$OE138,$I$5:$N$5)+MIN(8,$OF138*2+$OG138*4,SUMPRODUCT($NZ138:$OE138,$I$5:$N$5)))</f>
        <v/>
      </c>
      <c r="OW138" s="152">
        <f>MAX(0,11-SUMPRODUCT($NZ138:$OE138,$I$6:$N$6)+MIN(10,$OF138*3+$OG138*5,SUMPRODUCT($NZ138:$OE138,$I$6:$N$6)))</f>
        <v/>
      </c>
      <c r="OX138" s="152">
        <f>MAX(0,13-SUMPRODUCT($NZ138:$OE138,$I$7:$N$7)+MIN(12,$OF138*3+$OG138*6,SUMPRODUCT($NZ138:$OE138,$I$7:$N$7)))</f>
        <v/>
      </c>
      <c r="OY138" s="152">
        <f>MAX(0,16-SUMPRODUCT($NZ138:$OE138,$I$8:$N$8)+MIN(14,$OF138*4+$OG138*7,SUMPRODUCT($NZ138:$OE138,$I$8:$N$8)))</f>
        <v/>
      </c>
      <c r="OZ138" s="152">
        <f>IF($NT138=2,3*$OS138&amp;" de vida temp.",IF($NT138=3,"sem dano",IF($OS138=0,IF($NT138=1,"sem cura","sem dano"),IF($NT138=1,"cura ","")&amp;$OS138&amp;"d8")))</f>
        <v/>
      </c>
      <c r="PA138" s="152">
        <f>IF($NT138=2,3*$OT138&amp;" de vida temp.",IF($NT138=3,"sem dano",IF($OT138=0,IF($NT138=1,"sem cura","sem dano"),IF($NT138=1,"cura ","")&amp;$OT138&amp;"d8")))</f>
        <v/>
      </c>
      <c r="PB138" s="152">
        <f>IF($NT138=2,3*$OU138&amp;" de vida temp.",IF($NT138=3,"sem dano",IF($OU138=0,IF($NT138=1,"sem cura","sem dano"),IF($NT138=1,"cura ","")&amp;$OU138&amp;"d8")))</f>
        <v/>
      </c>
      <c r="PC138" s="152">
        <f>IF($NT138=2,3*$OV138&amp;" de vida temp.",IF($NT138=3,"sem dano",IF($OV138=0,IF($NT138=1,"sem cura","sem dano"),IF($NT138=1,"cura ","")&amp;$OV138&amp;"d8")))</f>
        <v/>
      </c>
      <c r="PD138" s="152">
        <f>IF($NT138=2,3*$OW138&amp;" de vida temp.",IF($NT138=3,"sem dano",IF($OW138=0,IF($NT138=1,"sem cura","sem dano"),IF($NT138=1,"cura ","")&amp;$OW138&amp;"d8")))</f>
        <v/>
      </c>
      <c r="PE138" s="152">
        <f>IF($NT138=2,3*$OX138&amp;" de vida temp.",IF($NT138=3,"sem dano",IF($OX138=0,IF($NT138=1,"sem cura","sem dano"),IF($NT138=1,"cura ","")&amp;$OX138&amp;"d8")))</f>
        <v/>
      </c>
      <c r="PF138" s="152">
        <f>IF($NT138=2,3*$OY138&amp;" de vida temp.",IF($NT138=3,"sem dano",IF($OY138=0,IF($NT138=1,"sem cura","sem dano"),IF($NT138=1,"cura ","")&amp;$OY138&amp;"d8")))</f>
        <v/>
      </c>
      <c r="PG138" s="152">
        <f>IF($MQ138=0,"",TEXTJOIN(" · ",TRUE,IF($MD138&gt;$MR138,"Este lugar abre no nível "&amp;$MD138,""),IF($MF138&gt;$MS138,"Classe "&amp;$MF138&amp;": o nível "&amp;$MR138&amp;" libera até a "&amp;$MS138,""),IF($NK138=1,"A Forma "&amp;$MH138&amp;" pede "&amp;INDEX($W$2:$W$11,$MW138)&amp;" aberta",""),IF(AND($MF138=0,$MW138&gt;0,IF($MW138=0,0,INDEX($AF$2:$AF$11,$MW138))=0),$MH138&amp;" não existe na Classe 0",""),IF($NL138=1,"Família Fechada: "&amp;$MK138,""),IF($NM138=1,"Família Fechada: "&amp;$ML138,""),IF($NN138=1,"Família Fechada: "&amp;$MM138,""),IF($NO138=1,"Família Fechada: "&amp;$MN138,""),IF(AND($MF138&gt;0,$OH138&gt;INDEX($O$2:$O$8,MAX(1,$MF138))),$OH138&amp;" Melhorias: a Classe "&amp;$MF138&amp;" aceita "&amp;INDEX($O$2:$O$8,MAX(1,$MF138)),""),IF(AND($MF138=0,$OH138&gt;1),"A básica aceita uma Melhoria",""),IF(AND($MF138=0,COUNTIF($NB138:$NE138,"&gt;1")&gt;0),"A básica só aceita Melhoria Leve",""),IF(AND($MF138&gt;0,$OI138&gt;2),$OI138&amp;" Restrições"&amp;IF($NS138=1,", contando a que a Forma "&amp;$MH138&amp;" já traz","")&amp;": o limite é 2",""),IF(AND($MF138=0,COUNTIF($MO138:$MP138,"?*")&gt;1),"A básica aceita uma Restrição Leve",""),IF(AND($MF138=0,COUNTIF($NV138:$NW138,2)&gt;0),"A básica só aceita Restrição Leve",""),IF(AND($MF138&gt;0,$OP138&lt;0),"Orçamento estourado: faltam "&amp;(-$OP138)&amp;IF($OP138&lt;-1," pontos"," ponto"),""),IF(IFERROR(VLOOKUP($MO138,$BC$2:$BG$24,4,FALSE),0)+IFERROR(VLOOKUP($MP138,$BC$2:$BG$24,4,FALSE),0)&gt;1,$NX138&amp;" e "&amp;$NY138&amp;" são as duas de frequência",""),IF(AND((COUNTIF($MK138:$MN138,"Rápido")+COUNTIF($NX138:$NY138,"Rápido"))&gt;0,(COUNTIF($MK138:$MN138,"Atrasar")+COUNTIF($NX138:$NY138,"Atrasar"))&gt;0),"Rápido não entra com Atrasar",""),IF(AND((COUNTIF($MK138:$MN138,"Reação")+COUNTIF($NX138:$NY138,"Reação"))&gt;0,(COUNTIF($MK138:$MN138,"Rápido")+COUNTIF($NX138:$NY138,"Rápido"))&gt;0),"Reação não entra com Rápido",""),IF(AND((COUNTIF($MK138:$MN138,"Reação")+COUNTIF($NX138:$NY138,"Reação"))&gt;0,(COUNTIF($MK138:$MN138,"Armado")+COUNTIF($NX138:$NY138,"Armado"))&gt;0),"Reação não entra com Armado",""),IF(AND((COUNTIF($MK138:$MN138,"Reação")+COUNTIF($NX138:$NY138,"Reação"))&gt;0,(COUNTIF($MK138:$MN138,"Atrasar")+COUNTIF($NX138:$NY138,"Atrasar"))&gt;0),"Reação não entra com Atrasar",""),IF(AND((COUNTIF($MK138:$MN138,"Reação")+COUNTIF($NX138:$NY138,"Reação"))&gt;0,(COUNTIF($MK138:$MN138,"Parado")+COUNTIF($NX138:$NY138,"Parado"))&gt;0),"Reação não entra com Parado",""),IF(AND((COUNTIF($MK138:$MN138,"Atrasar")+COUNTIF($NX138:$NY138,"Atrasar"))&gt;0,(COUNTIF($MK138:$MN138,"Parado")+COUNTIF($NX138:$NY138,"Parado"))&gt;0),"Atrasar não entra com Parado",""),IF(AND((COUNTIF($MK138:$MN138,"Armado")+COUNTIF($NX138:$NY138,"Armado"))&gt;0,(COUNTIF($MK138:$MN138,"Carregar")+COUNTIF($NX138:$NY138,"Carregar"))&gt;0),"Armado não entra com Carregar",""),IF(AND(COUNTIF($NX138:$NY138,"Corpo a Corpo")&gt;0,$NS138=0,OR($MH138="Cone",$MH138="Linha")),"Corpo a Corpo não entra em "&amp;$MH138,""),IF(AND(COUNTIF($NX138:$NY138,"Corpo a Corpo")&gt;0,$NS138=1),"A Forma "&amp;$MH138&amp;" já traz o Corpo a Corpo",""),IF(AND(COUNTIF($NX138:$NY138,"Tudo ou Nada")&gt;0,$NU138=0),"Tudo ou Nada só entra em habilidade de Teste de Resistência",""),IF(AND(COUNTIF($MK138:$MN138,"Inescapável")&gt;0,OR($OH138&gt;1,$OI138&gt;0)),"Inescapável não aceita outra peça",""),IF(AND($MF138&gt;0,$OQ138*IF(COUNTIF($MK138:$MN138,"Remate")&gt;0,1.25,1)+$OR138&gt;4*$MF138),($OQ138*IF(COUNTIF($MK138:$MN138,"Remate")&gt;0,1.25,1)+$OR138)&amp;" dados somando repetições"&amp;IF(COUNTIF($MK138:$MN138,"Remate")&gt;0," e o Remate","")&amp;": o teto da Classe "&amp;$MF138&amp;" é "&amp;4*$MF138,"")))</f>
        <v/>
      </c>
      <c r="PH138" s="152">
        <f>IF($PG138="",0,(LEN($PG138)-LEN(SUBSTITUTE($PG138," · ","")))/3+1)</f>
        <v/>
      </c>
      <c r="PI138" s="152">
        <f>IF($MQ138=0,"",TEXTJOIN(" · ",TRUE,IF($OK138&gt;2*$MF138,"A devolução parou no teto de "&amp;2*$MF138,""),IF($ON138&gt;0,"Devolução perdida: "&amp;$ON138&amp;IF($ON138&gt;1," pontos"," ponto")&amp;" sem peça para pagar",""),IF(AND($NP138&gt;0,AND($MF138&gt;0,$NT138=0),$OQ138=0),"Controle sem dano: uma rodada a mais e CD +2",""),IF(AND($NP138&gt;0,AND($MF138&gt;0,$NT138=0),$OQ138&gt;0,$OQ138&lt;=$MF138),"Controle com saldo até a Classe: uma rodada a mais",""),IF(AND($MF138&gt;0,$NR138&lt;&gt;""),"Efeito de "&amp;$NR138&amp;" pela Classe "&amp;MAX(1,$MF138-1),"")))</f>
        <v/>
      </c>
      <c r="PJ138" s="152">
        <f>IF($PI138="",0,(LEN($PI138)-LEN(SUBSTITUTE($PI138," · ","")))/3+1)</f>
        <v/>
      </c>
      <c r="PK138" s="152">
        <f>IF($MQ138=0,IF($OH138+COUNTIF($MO138:$MP138,"?*")&gt;0,"Dê um nome",""),IF($PH138&gt;0,"⚠ "&amp;$PH138&amp;IF($PH138&gt;1," erros"," erro"),IF($PJ138&gt;0,"! "&amp;$PJ138&amp;IF($PJ138&gt;1," avisos"," aviso"),"Na regra")))</f>
        <v/>
      </c>
      <c r="PL138" s="152">
        <f>IF($MQ138=0,"",IF($PH138+$PJ138=0,"Dentro das regras que a ficha confere",$PG138&amp;IF(AND($PH138&gt;0,$PJ138&gt;0)," · ","")&amp;$PI138))</f>
        <v/>
      </c>
      <c r="PM138" s="152">
        <f>IF($MD138&gt;$MR138,$ME138&amp;" · ABRE NO NÍVEL "&amp;$MD138,$ME138)</f>
        <v/>
      </c>
      <c r="PN138" s="152">
        <f>IF($MQ138=0,"",IF($MF138=0,"Sem PE",3*$MF138&amp;" PE"))</f>
        <v/>
      </c>
      <c r="PO138" s="152">
        <f>IF($MQ138=0,"",IF($MF138=0,"A atuação básica dela",IF(COUNTIF($NX138:$NY138,"Atrasar")&gt;0,"Sua Ação Completa",IF(COUNTIF($MK138:$MN138,"Rápido")&gt;0,"Sua Bônus",IF(COUNTIF($MK138:$MN138,"Reação")&gt;0,"Sua Reação","Sua Padrão")))&amp;" + a básica dela"&amp;IF(COUNTIF($MK138:$MN138,"Reação")&gt;0," e a coletiva","")&amp;IF(COUNTIF($NX138:$NY138,"Carregar")&gt;0," · em dois turnos","")))</f>
        <v/>
      </c>
      <c r="PP138" s="152">
        <f>IF($MJ138&lt;&gt;"",$MJ138,IF($MW138=0,"",INDEX($AA$2:$AA$11,$MW138)))</f>
        <v/>
      </c>
      <c r="PQ138" s="152">
        <f>IF(OR($MQ138=0,$MW138=0),"",IF(COUNTIF($MK138:$MN138,"Inescapável")&gt;0,"Automático",IF($PP138="Ataque",IF($MU138="","Ataque","Ataque "&amp;IF(($MU138+2*IF(COUNTIF($MK138:$MN138,"Precisão")&gt;0,1,0))&gt;=0,"+","−")&amp;ABS(($MU138+2*IF(COUNTIF($MK138:$MN138,"Precisão")&gt;0,1,0))))&amp;IF($NQ138&gt;0," · TR"&amp;IF($MV138="",""," CD "&amp;$MV138),""),IF(LEFT($PP138,2)="TR",$PP138&amp;IF($MV138="",""," · CD "&amp;$MV138)&amp;IF(COUNTIF($MK138:$MN138,"Certeiro")&gt;0," · metade",""),"Sem rolagem"))))</f>
        <v/>
      </c>
      <c r="PR138" s="152">
        <f>IF(OR($MQ138=0,$MW138=0),"",IF($MF138=0,IF(OR($NT138&gt;=1,$OQ138=0),"Sem dano",$OQ138&amp;"d6"&amp;IF($MI138="",""," "&amp;$MI138)),IF(OR($NT138&gt;=1,$OQ138=0),UPPER(LEFT(INDEX($OZ138:$PF138,1,MAX(1,$MF138)),1))&amp;MID(INDEX($OZ138:$PF138,1,MAX(1,$MF138)),2,99),UPPER(LEFT(INDEX($OZ138:$PF138,1,MAX(1,$MF138)),1))&amp;MID(INDEX($OZ138:$PF138,1,MAX(1,$MF138)),2,99)&amp;IF($MI138="",""," "&amp;$MI138)&amp;IF($OR138&gt;0," · +"&amp;$OR138&amp;"d8",""))))</f>
        <v/>
      </c>
      <c r="PS138" s="152">
        <f>COUNTIF($MK138:$MN138,"Longe")+3*COUNTIF($MK138:$MN138,"Muito Longe")</f>
        <v/>
      </c>
      <c r="PT138" s="152">
        <f>COUNTIF($MK138:$MN138,"Maior")+3*COUNTIF($MK138:$MN138,"Muito Maior")</f>
        <v/>
      </c>
      <c r="PU138" s="152">
        <f>IF($MW138=0,0,CHOOSE(1+INDEX($AC$2:$AC$11,$MW138),0,$PS138,$PT138,$PS138+$PT138))</f>
        <v/>
      </c>
      <c r="PV138" s="152">
        <f>IF($MW138=0,0,CHOOSE(1+INDEX($AD$2:$AD$11,$MW138),0,$PS138,$PT138,$PS138+$PT138))</f>
        <v/>
      </c>
      <c r="PW138" s="152">
        <f>IF(OR($MQ138=0,$MW138=0),"",INDEX($AI$2:$AN$41,($MW138-1)*4+IF($MF138=0,1,IF($MF138&lt;=5,2,IF($MF138=6,3,4))),1+MIN(5,$PU138))&amp;INDEX($AO$2:$AT$41,($MW138-1)*4+IF($MF138=0,1,IF($MF138&lt;=5,2,IF($MF138=6,3,4))),1+MIN(5,$PV138))&amp;IF(INDEX($AE$2:$AE$11,$MW138)=1,IF(COUNTIF($MK138:$MN138,"Mais Um")&gt;0," · +"&amp;COUNTIF($MK138:$MN138,"Mais Um")&amp;IF(COUNTIF($MK138:$MN138,"Mais Um")&gt;1," alvos"," alvo"),"")&amp;IF(COUNTIF($MK138:$MN138,"Rajada")&gt;0,IF($MF138=0," · 1 tiro"," · "&amp;(MAX(1,$MF138-1)+1)&amp;" tiros"),""),""))</f>
        <v/>
      </c>
      <c r="PX138" s="152">
        <f>IF($MQ138=0,"",IF($MF138=0,$MT138&amp;"d6"&amp;IF($OH138&gt;0," − 1 = "&amp;$OQ138&amp;"d6"," da básica do nível "&amp;$MR138),$OO138&amp;" − "&amp;$OJ138&amp;" + "&amp;$OM138&amp;" = "&amp;$OP138&amp;" · teto "&amp;4*$MF138&amp;"d8"&amp;IF($NS138=1," · a Forma devolve "&amp;$MF138,"")&amp;IF($ON138&gt;0," · perde "&amp;$ON138,"")))</f>
        <v/>
      </c>
      <c r="PY138" s="152">
        <f>IF($MQ138=0,"",IF($MF138=0,"A básica não amplia: os dados dela sobem com o nível",IF($MF138&gt;=$MS138,"Já está na maior Classe que o nível liberou",TEXTJOIN(" · ",TRUE,IF(AND(2&gt;$MF138,2&lt;=$MS138),"2 → "&amp;$PA138&amp;", 6 PE",""),IF(AND(3&gt;$MF138,3&lt;=$MS138),"3 → "&amp;$PB138&amp;", 9 PE",""),IF(AND(4&gt;$MF138,4&lt;=$MS138),"4 → "&amp;$PC138&amp;", 12 PE",""),IF(AND(5&gt;$MF138,5&lt;=$MS138),"5 → "&amp;$PD138&amp;", 15 PE",""),IF(AND(6&gt;$MF138,6&lt;=$MS138),"6 → "&amp;$PE138&amp;", 18 PE",""),IF(AND(7&gt;$MF138,7&lt;=$MS138),"7 → "&amp;$PF138&amp;", 21 PE","")))))</f>
        <v/>
      </c>
      <c r="PZ138" s="152">
        <f>IF(OR($MQ138=0,$NB138=0),"",IF($MF138=0,"−1 dado","−"&amp;INDEX($I$2:$N$8,MAX(1,$MF138),MAX(1,$NG138))&amp;" · "&amp;CHOOSE(MAX(1,$NG138),"Leve","Média","Pesada","Leve · Livre","Média · Livre","Pesada · Livre")))</f>
        <v/>
      </c>
      <c r="QA138" s="152">
        <f>IF(OR($MQ138=0,$NC138=0),"",IF($MF138=0,"−1 dado","−"&amp;INDEX($I$2:$N$8,MAX(1,$MF138),MAX(1,$NH138))&amp;" · "&amp;CHOOSE(MAX(1,$NH138),"Leve","Média","Pesada","Leve · Livre","Média · Livre","Pesada · Livre")))</f>
        <v/>
      </c>
      <c r="QB138" s="152">
        <f>IF(OR($MQ138=0,$ND138=0),"",IF($MF138=0,"−1 dado","−"&amp;INDEX($I$2:$N$8,MAX(1,$MF138),MAX(1,$NI138))&amp;" · "&amp;CHOOSE(MAX(1,$NI138),"Leve","Média","Pesada","Leve · Livre","Média · Livre","Pesada · Livre")))</f>
        <v/>
      </c>
      <c r="QC138" s="152">
        <f>IF(OR($MQ138=0,$NE138=0),"",IF($MF138=0,"−1 dado","−"&amp;INDEX($I$2:$N$8,MAX(1,$MF138),MAX(1,$NJ138))&amp;" · "&amp;CHOOSE(MAX(1,$NJ138),"Leve","Média","Pesada","Leve · Livre","Média · Livre","Pesada · Livre")))</f>
        <v/>
      </c>
      <c r="QD138" s="152">
        <f>IF(OR($MQ138=0,$MO138=""),"",IF($MF138=0,"não devolve","+"&amp;IF($NV138=1,CEILING($MF138/2,1),$MF138)))</f>
        <v/>
      </c>
      <c r="QE138" s="152">
        <f>IF(OR($MQ138=0,$MP138=""),"",IF($MF138=0,"não devolve","+"&amp;IF($NW138=1,CEILING($MF138/2,1),$MF138)))</f>
        <v/>
      </c>
    </row>
    <row r="139">
      <c r="MA139" s="150" t="inlineStr">
        <is>
          <t>Ficha 11 · Especial 6</t>
        </is>
      </c>
      <c r="MB139" s="152" t="n">
        <v>11</v>
      </c>
      <c r="MC139" s="152" t="n">
        <v>1</v>
      </c>
      <c r="MD139" s="152" t="n">
        <v>20</v>
      </c>
      <c r="ME139" s="150" t="inlineStr">
        <is>
          <t>ESPECIAL 6</t>
        </is>
      </c>
      <c r="MF139" s="152">
        <f>MAX(1,MIN(7,N('INVOCAÇÕES'!$AH$906)))</f>
        <v/>
      </c>
      <c r="MG139" s="152">
        <f>'INVOCAÇÕES'!$AI$906&amp;""</f>
        <v/>
      </c>
      <c r="MH139" s="152">
        <f>'INVOCAÇÕES'!$AH$911&amp;""</f>
        <v/>
      </c>
      <c r="MI139" s="152">
        <f>'INVOCAÇÕES'!$AH$912&amp;""</f>
        <v/>
      </c>
      <c r="MJ139" s="152">
        <f>'INVOCAÇÕES'!$AJ$912&amp;""</f>
        <v/>
      </c>
      <c r="MK139" s="152">
        <f>'INVOCAÇÕES'!$AI$915&amp;""</f>
        <v/>
      </c>
      <c r="ML139" s="152">
        <f>'INVOCAÇÕES'!$AI$916&amp;""</f>
        <v/>
      </c>
      <c r="MM139" s="152">
        <f>'INVOCAÇÕES'!$AI$917&amp;""</f>
        <v/>
      </c>
      <c r="MN139" s="152">
        <f>'INVOCAÇÕES'!$AI$918&amp;""</f>
        <v/>
      </c>
      <c r="MO139" s="152">
        <f>'INVOCAÇÕES'!$AI$919&amp;""</f>
        <v/>
      </c>
      <c r="MP139" s="152">
        <f>'INVOCAÇÕES'!$AI$920&amp;""</f>
        <v/>
      </c>
      <c r="MQ139" s="152">
        <f>IF($MG139&lt;&gt;"",1,0)</f>
        <v/>
      </c>
      <c r="MR139" s="152">
        <f>INDEX($FI$2:$FI$13,$MB139)</f>
        <v/>
      </c>
      <c r="MS139" s="152">
        <f>INDEX($FJ$2:$FJ$13,$MB139)</f>
        <v/>
      </c>
      <c r="MT139" s="152">
        <f>INDEX($FK$2:$FK$13,$MB139)</f>
        <v/>
      </c>
      <c r="MU139" s="152">
        <f>INDEX($FV$2:$FV$13,$MB139)</f>
        <v/>
      </c>
      <c r="MV139" s="152">
        <f>INDEX($FW$2:$FW$13,$MB139)</f>
        <v/>
      </c>
      <c r="MW139" s="152">
        <f>IFERROR(MATCH($MH139,$V$2:$V$11,0),0)</f>
        <v/>
      </c>
      <c r="MX139" s="152">
        <f>IFERROR(VLOOKUP($MK139,$AV$2:$BA$84,2,FALSE),"")</f>
        <v/>
      </c>
      <c r="MY139" s="152">
        <f>IFERROR(VLOOKUP($ML139,$AV$2:$BA$84,2,FALSE),"")</f>
        <v/>
      </c>
      <c r="MZ139" s="152">
        <f>IFERROR(VLOOKUP($MM139,$AV$2:$BA$84,2,FALSE),"")</f>
        <v/>
      </c>
      <c r="NA139" s="152">
        <f>IFERROR(VLOOKUP($MN139,$AV$2:$BA$84,2,FALSE),"")</f>
        <v/>
      </c>
      <c r="NB139" s="152">
        <f>IFERROR(VLOOKUP($MK139,$AV$2:$BA$84,3,FALSE),0)</f>
        <v/>
      </c>
      <c r="NC139" s="152">
        <f>IFERROR(VLOOKUP($ML139,$AV$2:$BA$84,3,FALSE),0)</f>
        <v/>
      </c>
      <c r="ND139" s="152">
        <f>IFERROR(VLOOKUP($MM139,$AV$2:$BA$84,3,FALSE),0)</f>
        <v/>
      </c>
      <c r="NE139" s="152">
        <f>IFERROR(VLOOKUP($MN139,$AV$2:$BA$84,3,FALSE),0)</f>
        <v/>
      </c>
      <c r="NF139" s="152">
        <f>IF($MF139=0,0,IF($MW139=0,0,INDEX($X$2:$X$11,$MW139)))</f>
        <v/>
      </c>
      <c r="NG139" s="152">
        <f>IF(OR($NB139=0,$MF139=0),0,$NB139+3*IF(AND($MX139&lt;&gt;"",OR($MX139=INDEX($EF$2:$EF$13,$MB139),$MX139=INDEX($EG$2:$EG$13,$MB139))),1,0))</f>
        <v/>
      </c>
      <c r="NH139" s="152">
        <f>IF(OR($NC139=0,$MF139=0),0,$NC139+3*IF(AND($MY139&lt;&gt;"",OR($MY139=INDEX($EF$2:$EF$13,$MB139),$MY139=INDEX($EG$2:$EG$13,$MB139))),1,0))</f>
        <v/>
      </c>
      <c r="NI139" s="152">
        <f>IF(OR($ND139=0,$MF139=0),0,$ND139+3*IF(AND($MZ139&lt;&gt;"",OR($MZ139=INDEX($EF$2:$EF$13,$MB139),$MZ139=INDEX($EG$2:$EG$13,$MB139))),1,0))</f>
        <v/>
      </c>
      <c r="NJ139" s="152">
        <f>IF(OR($NE139=0,$MF139=0),0,$NE139+3*IF(AND($NA139&lt;&gt;"",OR($NA139=INDEX($EF$2:$EF$13,$MB139),$NA139=INDEX($EG$2:$EG$13,$MB139))),1,0))</f>
        <v/>
      </c>
      <c r="NK139" s="152">
        <f>IF($MW139=0,0,IF(INDEX($W$2:$W$11,$MW139)="",0,IF(COUNTIF(INDEX($EF$2:$EJ$13,$MB139,0),INDEX($W$2:$W$11,$MW139))=0,1,0)))</f>
        <v/>
      </c>
      <c r="NL139" s="152">
        <f>IF(OR($NB139=0,$MX139=""),0,IF(COUNTIF(INDEX($EF$2:$EJ$13,$MB139,0),$MX139)=0,1,0))</f>
        <v/>
      </c>
      <c r="NM139" s="152">
        <f>IF(OR($NC139=0,$MY139=""),0,IF(COUNTIF(INDEX($EF$2:$EJ$13,$MB139,0),$MY139)=0,1,0))</f>
        <v/>
      </c>
      <c r="NN139" s="152">
        <f>IF(OR($ND139=0,$MZ139=""),0,IF(COUNTIF(INDEX($EF$2:$EJ$13,$MB139,0),$MZ139)=0,1,0))</f>
        <v/>
      </c>
      <c r="NO139" s="152">
        <f>IF(OR($NE139=0,$NA139=""),0,IF(COUNTIF(INDEX($EF$2:$EJ$13,$MB139,0),$NA139)=0,1,0))</f>
        <v/>
      </c>
      <c r="NP139" s="152">
        <f>IFERROR(VLOOKUP($MK139,$AV$2:$BA$84,4,FALSE),0)+IFERROR(VLOOKUP($ML139,$AV$2:$BA$84,4,FALSE),0)+IFERROR(VLOOKUP($MM139,$AV$2:$BA$84,4,FALSE),0)+IFERROR(VLOOKUP($MN139,$AV$2:$BA$84,4,FALSE),0)</f>
        <v/>
      </c>
      <c r="NQ139" s="152">
        <f>IFERROR(VLOOKUP($MK139,$AV$2:$BA$84,6,FALSE),0)+IFERROR(VLOOKUP($ML139,$AV$2:$BA$84,6,FALSE),0)+IFERROR(VLOOKUP($MM139,$AV$2:$BA$84,6,FALSE),0)+IFERROR(VLOOKUP($MN139,$AV$2:$BA$84,6,FALSE),0)</f>
        <v/>
      </c>
      <c r="NR139" s="152">
        <f>TEXTJOIN(", ",TRUE,IF(IFERROR(VLOOKUP($MK139,$AV$2:$BA$84,5,FALSE),0)=1,$MK139,""),IF(IFERROR(VLOOKUP($ML139,$AV$2:$BA$84,5,FALSE),0)=1,$ML139,""),IF(IFERROR(VLOOKUP($MM139,$AV$2:$BA$84,5,FALSE),0)=1,$MM139,""),IF(IFERROR(VLOOKUP($MN139,$AV$2:$BA$84,5,FALSE),0)=1,$MN139,""))</f>
        <v/>
      </c>
      <c r="NS139" s="152">
        <f>IF($MW139=0,0,INDEX($Y$2:$Y$11,$MW139))</f>
        <v/>
      </c>
      <c r="NT139" s="152">
        <f>IF($MW139=0,0,INDEX($Z$2:$Z$11,$MW139))</f>
        <v/>
      </c>
      <c r="NU139" s="152">
        <f>IF($MW139=0,0,INDEX($AB$2:$AB$11,$MW139))</f>
        <v/>
      </c>
      <c r="NV139" s="152">
        <f>IFERROR(VLOOKUP($MO139,$BC$2:$BG$24,3,FALSE),0)</f>
        <v/>
      </c>
      <c r="NW139" s="152">
        <f>IFERROR(VLOOKUP($MP139,$BC$2:$BG$24,3,FALSE),0)</f>
        <v/>
      </c>
      <c r="NX139" s="152">
        <f>IFERROR(VLOOKUP($MO139,$BC$2:$BG$24,2,FALSE),"")</f>
        <v/>
      </c>
      <c r="NY139" s="152">
        <f>IFERROR(VLOOKUP($MP139,$BC$2:$BG$24,2,FALSE),"")</f>
        <v/>
      </c>
      <c r="NZ139" s="152">
        <f>COUNTIF($NF139:$NJ139,1)</f>
        <v/>
      </c>
      <c r="OA139" s="152">
        <f>COUNTIF($NF139:$NJ139,2)</f>
        <v/>
      </c>
      <c r="OB139" s="152">
        <f>COUNTIF($NF139:$NJ139,3)</f>
        <v/>
      </c>
      <c r="OC139" s="152">
        <f>COUNTIF($NF139:$NJ139,4)</f>
        <v/>
      </c>
      <c r="OD139" s="152">
        <f>COUNTIF($NF139:$NJ139,5)</f>
        <v/>
      </c>
      <c r="OE139" s="152">
        <f>COUNTIF($NF139:$NJ139,6)</f>
        <v/>
      </c>
      <c r="OF139" s="152">
        <f>COUNTIF($NV139:$NW139,1)</f>
        <v/>
      </c>
      <c r="OG139" s="152">
        <f>COUNTIF($NV139:$NW139,2)+$NS139</f>
        <v/>
      </c>
      <c r="OH139" s="152">
        <f>COUNTIF($MK139:$MN139,"?*")</f>
        <v/>
      </c>
      <c r="OI139" s="152">
        <f>COUNTIF($MO139:$MP139,"?*")+$NS139</f>
        <v/>
      </c>
      <c r="OJ139" s="152">
        <f>IF($MF139=0,0,SUMPRODUCT($NZ139:$OE139,INDEX($I$2:$N$8,MAX(1,$MF139),0)))</f>
        <v/>
      </c>
      <c r="OK139" s="152">
        <f>IF($MF139=0,0,$OF139*CEILING($MF139/2,1)+$OG139*$MF139)</f>
        <v/>
      </c>
      <c r="OL139" s="152">
        <f>MIN(2*$MF139,$OK139)</f>
        <v/>
      </c>
      <c r="OM139" s="152">
        <f>MIN($OL139,$OJ139)</f>
        <v/>
      </c>
      <c r="ON139" s="152">
        <f>$OL139-$OM139</f>
        <v/>
      </c>
      <c r="OO139" s="152">
        <f>IF($MF139=0,0,INDEX($P$2:$P$8,MAX(1,$MF139)))</f>
        <v/>
      </c>
      <c r="OP139" s="152">
        <f>$OO139-$OJ139+$OM139</f>
        <v/>
      </c>
      <c r="OQ139" s="152">
        <f>IF($MF139=0,MAX(0,$MT139-IF($OH139&gt;0,1,0)),MAX(0,$OP139))</f>
        <v/>
      </c>
      <c r="OR139" s="152">
        <f>IF($MF139=0,0,(IF(COUNTIF($MK139:$MN139,"Salto")&gt;0,1,0)+IF(COUNTIF($MK139:$MN139,"Queima")&gt;0,1,0)+IF(COUNTIF($MK139:$MN139,"Estilhaço")&gt;0,1,0))*FLOOR($OQ139/2,1))</f>
        <v/>
      </c>
      <c r="OS139" s="152">
        <f>MAX(0,2-SUMPRODUCT($NZ139:$OE139,$I$2:$N$2)+MIN(2,$OF139*1+$OG139*1,SUMPRODUCT($NZ139:$OE139,$I$2:$N$2)))</f>
        <v/>
      </c>
      <c r="OT139" s="152">
        <f>MAX(0,4-SUMPRODUCT($NZ139:$OE139,$I$3:$N$3)+MIN(4,$OF139*1+$OG139*2,SUMPRODUCT($NZ139:$OE139,$I$3:$N$3)))</f>
        <v/>
      </c>
      <c r="OU139" s="152">
        <f>MAX(0,6-SUMPRODUCT($NZ139:$OE139,$I$4:$N$4)+MIN(6,$OF139*2+$OG139*3,SUMPRODUCT($NZ139:$OE139,$I$4:$N$4)))</f>
        <v/>
      </c>
      <c r="OV139" s="152">
        <f>MAX(0,9-SUMPRODUCT($NZ139:$OE139,$I$5:$N$5)+MIN(8,$OF139*2+$OG139*4,SUMPRODUCT($NZ139:$OE139,$I$5:$N$5)))</f>
        <v/>
      </c>
      <c r="OW139" s="152">
        <f>MAX(0,11-SUMPRODUCT($NZ139:$OE139,$I$6:$N$6)+MIN(10,$OF139*3+$OG139*5,SUMPRODUCT($NZ139:$OE139,$I$6:$N$6)))</f>
        <v/>
      </c>
      <c r="OX139" s="152">
        <f>MAX(0,13-SUMPRODUCT($NZ139:$OE139,$I$7:$N$7)+MIN(12,$OF139*3+$OG139*6,SUMPRODUCT($NZ139:$OE139,$I$7:$N$7)))</f>
        <v/>
      </c>
      <c r="OY139" s="152">
        <f>MAX(0,16-SUMPRODUCT($NZ139:$OE139,$I$8:$N$8)+MIN(14,$OF139*4+$OG139*7,SUMPRODUCT($NZ139:$OE139,$I$8:$N$8)))</f>
        <v/>
      </c>
      <c r="OZ139" s="152">
        <f>IF($NT139=2,3*$OS139&amp;" de vida temp.",IF($NT139=3,"sem dano",IF($OS139=0,IF($NT139=1,"sem cura","sem dano"),IF($NT139=1,"cura ","")&amp;$OS139&amp;"d8")))</f>
        <v/>
      </c>
      <c r="PA139" s="152">
        <f>IF($NT139=2,3*$OT139&amp;" de vida temp.",IF($NT139=3,"sem dano",IF($OT139=0,IF($NT139=1,"sem cura","sem dano"),IF($NT139=1,"cura ","")&amp;$OT139&amp;"d8")))</f>
        <v/>
      </c>
      <c r="PB139" s="152">
        <f>IF($NT139=2,3*$OU139&amp;" de vida temp.",IF($NT139=3,"sem dano",IF($OU139=0,IF($NT139=1,"sem cura","sem dano"),IF($NT139=1,"cura ","")&amp;$OU139&amp;"d8")))</f>
        <v/>
      </c>
      <c r="PC139" s="152">
        <f>IF($NT139=2,3*$OV139&amp;" de vida temp.",IF($NT139=3,"sem dano",IF($OV139=0,IF($NT139=1,"sem cura","sem dano"),IF($NT139=1,"cura ","")&amp;$OV139&amp;"d8")))</f>
        <v/>
      </c>
      <c r="PD139" s="152">
        <f>IF($NT139=2,3*$OW139&amp;" de vida temp.",IF($NT139=3,"sem dano",IF($OW139=0,IF($NT139=1,"sem cura","sem dano"),IF($NT139=1,"cura ","")&amp;$OW139&amp;"d8")))</f>
        <v/>
      </c>
      <c r="PE139" s="152">
        <f>IF($NT139=2,3*$OX139&amp;" de vida temp.",IF($NT139=3,"sem dano",IF($OX139=0,IF($NT139=1,"sem cura","sem dano"),IF($NT139=1,"cura ","")&amp;$OX139&amp;"d8")))</f>
        <v/>
      </c>
      <c r="PF139" s="152">
        <f>IF($NT139=2,3*$OY139&amp;" de vida temp.",IF($NT139=3,"sem dano",IF($OY139=0,IF($NT139=1,"sem cura","sem dano"),IF($NT139=1,"cura ","")&amp;$OY139&amp;"d8")))</f>
        <v/>
      </c>
      <c r="PG139" s="152">
        <f>IF($MQ139=0,"",TEXTJOIN(" · ",TRUE,IF($MD139&gt;$MR139,"Este lugar abre no nível "&amp;$MD139,""),IF($MF139&gt;$MS139,"Classe "&amp;$MF139&amp;": o nível "&amp;$MR139&amp;" libera até a "&amp;$MS139,""),IF($NK139=1,"A Forma "&amp;$MH139&amp;" pede "&amp;INDEX($W$2:$W$11,$MW139)&amp;" aberta",""),IF(AND($MF139=0,$MW139&gt;0,IF($MW139=0,0,INDEX($AF$2:$AF$11,$MW139))=0),$MH139&amp;" não existe na Classe 0",""),IF($NL139=1,"Família Fechada: "&amp;$MK139,""),IF($NM139=1,"Família Fechada: "&amp;$ML139,""),IF($NN139=1,"Família Fechada: "&amp;$MM139,""),IF($NO139=1,"Família Fechada: "&amp;$MN139,""),IF(AND($MF139&gt;0,$OH139&gt;INDEX($O$2:$O$8,MAX(1,$MF139))),$OH139&amp;" Melhorias: a Classe "&amp;$MF139&amp;" aceita "&amp;INDEX($O$2:$O$8,MAX(1,$MF139)),""),IF(AND($MF139=0,$OH139&gt;1),"A básica aceita uma Melhoria",""),IF(AND($MF139=0,COUNTIF($NB139:$NE139,"&gt;1")&gt;0),"A básica só aceita Melhoria Leve",""),IF(AND($MF139&gt;0,$OI139&gt;2),$OI139&amp;" Restrições"&amp;IF($NS139=1,", contando a que a Forma "&amp;$MH139&amp;" já traz","")&amp;": o limite é 2",""),IF(AND($MF139=0,COUNTIF($MO139:$MP139,"?*")&gt;1),"A básica aceita uma Restrição Leve",""),IF(AND($MF139=0,COUNTIF($NV139:$NW139,2)&gt;0),"A básica só aceita Restrição Leve",""),IF(AND($MF139&gt;0,$OP139&lt;0),"Orçamento estourado: faltam "&amp;(-$OP139)&amp;IF($OP139&lt;-1," pontos"," ponto"),""),IF(IFERROR(VLOOKUP($MO139,$BC$2:$BG$24,4,FALSE),0)+IFERROR(VLOOKUP($MP139,$BC$2:$BG$24,4,FALSE),0)&gt;1,$NX139&amp;" e "&amp;$NY139&amp;" são as duas de frequência",""),IF(AND((COUNTIF($MK139:$MN139,"Rápido")+COUNTIF($NX139:$NY139,"Rápido"))&gt;0,(COUNTIF($MK139:$MN139,"Atrasar")+COUNTIF($NX139:$NY139,"Atrasar"))&gt;0),"Rápido não entra com Atrasar",""),IF(AND((COUNTIF($MK139:$MN139,"Reação")+COUNTIF($NX139:$NY139,"Reação"))&gt;0,(COUNTIF($MK139:$MN139,"Rápido")+COUNTIF($NX139:$NY139,"Rápido"))&gt;0),"Reação não entra com Rápido",""),IF(AND((COUNTIF($MK139:$MN139,"Reação")+COUNTIF($NX139:$NY139,"Reação"))&gt;0,(COUNTIF($MK139:$MN139,"Armado")+COUNTIF($NX139:$NY139,"Armado"))&gt;0),"Reação não entra com Armado",""),IF(AND((COUNTIF($MK139:$MN139,"Reação")+COUNTIF($NX139:$NY139,"Reação"))&gt;0,(COUNTIF($MK139:$MN139,"Atrasar")+COUNTIF($NX139:$NY139,"Atrasar"))&gt;0),"Reação não entra com Atrasar",""),IF(AND((COUNTIF($MK139:$MN139,"Reação")+COUNTIF($NX139:$NY139,"Reação"))&gt;0,(COUNTIF($MK139:$MN139,"Parado")+COUNTIF($NX139:$NY139,"Parado"))&gt;0),"Reação não entra com Parado",""),IF(AND((COUNTIF($MK139:$MN139,"Atrasar")+COUNTIF($NX139:$NY139,"Atrasar"))&gt;0,(COUNTIF($MK139:$MN139,"Parado")+COUNTIF($NX139:$NY139,"Parado"))&gt;0),"Atrasar não entra com Parado",""),IF(AND((COUNTIF($MK139:$MN139,"Armado")+COUNTIF($NX139:$NY139,"Armado"))&gt;0,(COUNTIF($MK139:$MN139,"Carregar")+COUNTIF($NX139:$NY139,"Carregar"))&gt;0),"Armado não entra com Carregar",""),IF(AND(COUNTIF($NX139:$NY139,"Corpo a Corpo")&gt;0,$NS139=0,OR($MH139="Cone",$MH139="Linha")),"Corpo a Corpo não entra em "&amp;$MH139,""),IF(AND(COUNTIF($NX139:$NY139,"Corpo a Corpo")&gt;0,$NS139=1),"A Forma "&amp;$MH139&amp;" já traz o Corpo a Corpo",""),IF(AND(COUNTIF($NX139:$NY139,"Tudo ou Nada")&gt;0,$NU139=0),"Tudo ou Nada só entra em habilidade de Teste de Resistência",""),IF(AND(COUNTIF($MK139:$MN139,"Inescapável")&gt;0,OR($OH139&gt;1,$OI139&gt;0)),"Inescapável não aceita outra peça",""),IF(AND($MF139&gt;0,$OQ139*IF(COUNTIF($MK139:$MN139,"Remate")&gt;0,1.25,1)+$OR139&gt;4*$MF139),($OQ139*IF(COUNTIF($MK139:$MN139,"Remate")&gt;0,1.25,1)+$OR139)&amp;" dados somando repetições"&amp;IF(COUNTIF($MK139:$MN139,"Remate")&gt;0," e o Remate","")&amp;": o teto da Classe "&amp;$MF139&amp;" é "&amp;4*$MF139,"")))</f>
        <v/>
      </c>
      <c r="PH139" s="152">
        <f>IF($PG139="",0,(LEN($PG139)-LEN(SUBSTITUTE($PG139," · ","")))/3+1)</f>
        <v/>
      </c>
      <c r="PI139" s="152">
        <f>IF($MQ139=0,"",TEXTJOIN(" · ",TRUE,IF($OK139&gt;2*$MF139,"A devolução parou no teto de "&amp;2*$MF139,""),IF($ON139&gt;0,"Devolução perdida: "&amp;$ON139&amp;IF($ON139&gt;1," pontos"," ponto")&amp;" sem peça para pagar",""),IF(AND($NP139&gt;0,AND($MF139&gt;0,$NT139=0),$OQ139=0),"Controle sem dano: uma rodada a mais e CD +2",""),IF(AND($NP139&gt;0,AND($MF139&gt;0,$NT139=0),$OQ139&gt;0,$OQ139&lt;=$MF139),"Controle com saldo até a Classe: uma rodada a mais",""),IF(AND($MF139&gt;0,$NR139&lt;&gt;""),"Efeito de "&amp;$NR139&amp;" pela Classe "&amp;MAX(1,$MF139-1),"")))</f>
        <v/>
      </c>
      <c r="PJ139" s="152">
        <f>IF($PI139="",0,(LEN($PI139)-LEN(SUBSTITUTE($PI139," · ","")))/3+1)</f>
        <v/>
      </c>
      <c r="PK139" s="152">
        <f>IF($MQ139=0,IF($OH139+COUNTIF($MO139:$MP139,"?*")&gt;0,"Dê um nome",""),IF($PH139&gt;0,"⚠ "&amp;$PH139&amp;IF($PH139&gt;1," erros"," erro"),IF($PJ139&gt;0,"! "&amp;$PJ139&amp;IF($PJ139&gt;1," avisos"," aviso"),"Na regra")))</f>
        <v/>
      </c>
      <c r="PL139" s="152">
        <f>IF($MQ139=0,"",IF($PH139+$PJ139=0,"Dentro das regras que a ficha confere",$PG139&amp;IF(AND($PH139&gt;0,$PJ139&gt;0)," · ","")&amp;$PI139))</f>
        <v/>
      </c>
      <c r="PM139" s="152">
        <f>IF($MD139&gt;$MR139,$ME139&amp;" · ABRE NO NÍVEL "&amp;$MD139,$ME139)</f>
        <v/>
      </c>
      <c r="PN139" s="152">
        <f>IF($MQ139=0,"",IF($MF139=0,"Sem PE",3*$MF139&amp;" PE"))</f>
        <v/>
      </c>
      <c r="PO139" s="152">
        <f>IF($MQ139=0,"",IF($MF139=0,"A atuação básica dela",IF(COUNTIF($NX139:$NY139,"Atrasar")&gt;0,"Sua Ação Completa",IF(COUNTIF($MK139:$MN139,"Rápido")&gt;0,"Sua Bônus",IF(COUNTIF($MK139:$MN139,"Reação")&gt;0,"Sua Reação","Sua Padrão")))&amp;" + a básica dela"&amp;IF(COUNTIF($MK139:$MN139,"Reação")&gt;0," e a coletiva","")&amp;IF(COUNTIF($NX139:$NY139,"Carregar")&gt;0," · em dois turnos","")))</f>
        <v/>
      </c>
      <c r="PP139" s="152">
        <f>IF($MJ139&lt;&gt;"",$MJ139,IF($MW139=0,"",INDEX($AA$2:$AA$11,$MW139)))</f>
        <v/>
      </c>
      <c r="PQ139" s="152">
        <f>IF(OR($MQ139=0,$MW139=0),"",IF(COUNTIF($MK139:$MN139,"Inescapável")&gt;0,"Automático",IF($PP139="Ataque",IF($MU139="","Ataque","Ataque "&amp;IF(($MU139+2*IF(COUNTIF($MK139:$MN139,"Precisão")&gt;0,1,0))&gt;=0,"+","−")&amp;ABS(($MU139+2*IF(COUNTIF($MK139:$MN139,"Precisão")&gt;0,1,0))))&amp;IF($NQ139&gt;0," · TR"&amp;IF($MV139="",""," CD "&amp;$MV139),""),IF(LEFT($PP139,2)="TR",$PP139&amp;IF($MV139="",""," · CD "&amp;$MV139)&amp;IF(COUNTIF($MK139:$MN139,"Certeiro")&gt;0," · metade",""),"Sem rolagem"))))</f>
        <v/>
      </c>
      <c r="PR139" s="152">
        <f>IF(OR($MQ139=0,$MW139=0),"",IF($MF139=0,IF(OR($NT139&gt;=1,$OQ139=0),"Sem dano",$OQ139&amp;"d6"&amp;IF($MI139="",""," "&amp;$MI139)),IF(OR($NT139&gt;=1,$OQ139=0),UPPER(LEFT(INDEX($OZ139:$PF139,1,MAX(1,$MF139)),1))&amp;MID(INDEX($OZ139:$PF139,1,MAX(1,$MF139)),2,99),UPPER(LEFT(INDEX($OZ139:$PF139,1,MAX(1,$MF139)),1))&amp;MID(INDEX($OZ139:$PF139,1,MAX(1,$MF139)),2,99)&amp;IF($MI139="",""," "&amp;$MI139)&amp;IF($OR139&gt;0," · +"&amp;$OR139&amp;"d8",""))))</f>
        <v/>
      </c>
      <c r="PS139" s="152">
        <f>COUNTIF($MK139:$MN139,"Longe")+3*COUNTIF($MK139:$MN139,"Muito Longe")</f>
        <v/>
      </c>
      <c r="PT139" s="152">
        <f>COUNTIF($MK139:$MN139,"Maior")+3*COUNTIF($MK139:$MN139,"Muito Maior")</f>
        <v/>
      </c>
      <c r="PU139" s="152">
        <f>IF($MW139=0,0,CHOOSE(1+INDEX($AC$2:$AC$11,$MW139),0,$PS139,$PT139,$PS139+$PT139))</f>
        <v/>
      </c>
      <c r="PV139" s="152">
        <f>IF($MW139=0,0,CHOOSE(1+INDEX($AD$2:$AD$11,$MW139),0,$PS139,$PT139,$PS139+$PT139))</f>
        <v/>
      </c>
      <c r="PW139" s="152">
        <f>IF(OR($MQ139=0,$MW139=0),"",INDEX($AI$2:$AN$41,($MW139-1)*4+IF($MF139=0,1,IF($MF139&lt;=5,2,IF($MF139=6,3,4))),1+MIN(5,$PU139))&amp;INDEX($AO$2:$AT$41,($MW139-1)*4+IF($MF139=0,1,IF($MF139&lt;=5,2,IF($MF139=6,3,4))),1+MIN(5,$PV139))&amp;IF(INDEX($AE$2:$AE$11,$MW139)=1,IF(COUNTIF($MK139:$MN139,"Mais Um")&gt;0," · +"&amp;COUNTIF($MK139:$MN139,"Mais Um")&amp;IF(COUNTIF($MK139:$MN139,"Mais Um")&gt;1," alvos"," alvo"),"")&amp;IF(COUNTIF($MK139:$MN139,"Rajada")&gt;0,IF($MF139=0," · 1 tiro"," · "&amp;(MAX(1,$MF139-1)+1)&amp;" tiros"),""),""))</f>
        <v/>
      </c>
      <c r="PX139" s="152">
        <f>IF($MQ139=0,"",IF($MF139=0,$MT139&amp;"d6"&amp;IF($OH139&gt;0," − 1 = "&amp;$OQ139&amp;"d6"," da básica do nível "&amp;$MR139),$OO139&amp;" − "&amp;$OJ139&amp;" + "&amp;$OM139&amp;" = "&amp;$OP139&amp;" · teto "&amp;4*$MF139&amp;"d8"&amp;IF($NS139=1," · a Forma devolve "&amp;$MF139,"")&amp;IF($ON139&gt;0," · perde "&amp;$ON139,"")))</f>
        <v/>
      </c>
      <c r="PY139" s="152">
        <f>IF($MQ139=0,"",IF($MF139=0,"A básica não amplia: os dados dela sobem com o nível",IF($MF139&gt;=$MS139,"Já está na maior Classe que o nível liberou",TEXTJOIN(" · ",TRUE,IF(AND(2&gt;$MF139,2&lt;=$MS139),"2 → "&amp;$PA139&amp;", 6 PE",""),IF(AND(3&gt;$MF139,3&lt;=$MS139),"3 → "&amp;$PB139&amp;", 9 PE",""),IF(AND(4&gt;$MF139,4&lt;=$MS139),"4 → "&amp;$PC139&amp;", 12 PE",""),IF(AND(5&gt;$MF139,5&lt;=$MS139),"5 → "&amp;$PD139&amp;", 15 PE",""),IF(AND(6&gt;$MF139,6&lt;=$MS139),"6 → "&amp;$PE139&amp;", 18 PE",""),IF(AND(7&gt;$MF139,7&lt;=$MS139),"7 → "&amp;$PF139&amp;", 21 PE","")))))</f>
        <v/>
      </c>
      <c r="PZ139" s="152">
        <f>IF(OR($MQ139=0,$NB139=0),"",IF($MF139=0,"−1 dado","−"&amp;INDEX($I$2:$N$8,MAX(1,$MF139),MAX(1,$NG139))&amp;" · "&amp;CHOOSE(MAX(1,$NG139),"Leve","Média","Pesada","Leve · Livre","Média · Livre","Pesada · Livre")))</f>
        <v/>
      </c>
      <c r="QA139" s="152">
        <f>IF(OR($MQ139=0,$NC139=0),"",IF($MF139=0,"−1 dado","−"&amp;INDEX($I$2:$N$8,MAX(1,$MF139),MAX(1,$NH139))&amp;" · "&amp;CHOOSE(MAX(1,$NH139),"Leve","Média","Pesada","Leve · Livre","Média · Livre","Pesada · Livre")))</f>
        <v/>
      </c>
      <c r="QB139" s="152">
        <f>IF(OR($MQ139=0,$ND139=0),"",IF($MF139=0,"−1 dado","−"&amp;INDEX($I$2:$N$8,MAX(1,$MF139),MAX(1,$NI139))&amp;" · "&amp;CHOOSE(MAX(1,$NI139),"Leve","Média","Pesada","Leve · Livre","Média · Livre","Pesada · Livre")))</f>
        <v/>
      </c>
      <c r="QC139" s="152">
        <f>IF(OR($MQ139=0,$NE139=0),"",IF($MF139=0,"−1 dado","−"&amp;INDEX($I$2:$N$8,MAX(1,$MF139),MAX(1,$NJ139))&amp;" · "&amp;CHOOSE(MAX(1,$NJ139),"Leve","Média","Pesada","Leve · Livre","Média · Livre","Pesada · Livre")))</f>
        <v/>
      </c>
      <c r="QD139" s="152">
        <f>IF(OR($MQ139=0,$MO139=""),"",IF($MF139=0,"não devolve","+"&amp;IF($NV139=1,CEILING($MF139/2,1),$MF139)))</f>
        <v/>
      </c>
      <c r="QE139" s="152">
        <f>IF(OR($MQ139=0,$MP139=""),"",IF($MF139=0,"não devolve","+"&amp;IF($NW139=1,CEILING($MF139/2,1),$MF139)))</f>
        <v/>
      </c>
    </row>
    <row r="140">
      <c r="MA140" s="150" t="inlineStr">
        <is>
          <t>Ficha 11 · Especial 7</t>
        </is>
      </c>
      <c r="MB140" s="152" t="n">
        <v>11</v>
      </c>
      <c r="MC140" s="152" t="n">
        <v>1</v>
      </c>
      <c r="MD140" s="152" t="n">
        <v>24</v>
      </c>
      <c r="ME140" s="150" t="inlineStr">
        <is>
          <t>ESPECIAL 7</t>
        </is>
      </c>
      <c r="MF140" s="152">
        <f>MAX(1,MIN(7,N('INVOCAÇÕES'!$AN$906)))</f>
        <v/>
      </c>
      <c r="MG140" s="152">
        <f>'INVOCAÇÕES'!$AO$906&amp;""</f>
        <v/>
      </c>
      <c r="MH140" s="152">
        <f>'INVOCAÇÕES'!$AN$911&amp;""</f>
        <v/>
      </c>
      <c r="MI140" s="152">
        <f>'INVOCAÇÕES'!$AN$912&amp;""</f>
        <v/>
      </c>
      <c r="MJ140" s="152">
        <f>'INVOCAÇÕES'!$AP$912&amp;""</f>
        <v/>
      </c>
      <c r="MK140" s="152">
        <f>'INVOCAÇÕES'!$AO$915&amp;""</f>
        <v/>
      </c>
      <c r="ML140" s="152">
        <f>'INVOCAÇÕES'!$AO$916&amp;""</f>
        <v/>
      </c>
      <c r="MM140" s="152">
        <f>'INVOCAÇÕES'!$AO$917&amp;""</f>
        <v/>
      </c>
      <c r="MN140" s="152">
        <f>'INVOCAÇÕES'!$AO$918&amp;""</f>
        <v/>
      </c>
      <c r="MO140" s="152">
        <f>'INVOCAÇÕES'!$AO$919&amp;""</f>
        <v/>
      </c>
      <c r="MP140" s="152">
        <f>'INVOCAÇÕES'!$AO$920&amp;""</f>
        <v/>
      </c>
      <c r="MQ140" s="152">
        <f>IF($MG140&lt;&gt;"",1,0)</f>
        <v/>
      </c>
      <c r="MR140" s="152">
        <f>INDEX($FI$2:$FI$13,$MB140)</f>
        <v/>
      </c>
      <c r="MS140" s="152">
        <f>INDEX($FJ$2:$FJ$13,$MB140)</f>
        <v/>
      </c>
      <c r="MT140" s="152">
        <f>INDEX($FK$2:$FK$13,$MB140)</f>
        <v/>
      </c>
      <c r="MU140" s="152">
        <f>INDEX($FV$2:$FV$13,$MB140)</f>
        <v/>
      </c>
      <c r="MV140" s="152">
        <f>INDEX($FW$2:$FW$13,$MB140)</f>
        <v/>
      </c>
      <c r="MW140" s="152">
        <f>IFERROR(MATCH($MH140,$V$2:$V$11,0),0)</f>
        <v/>
      </c>
      <c r="MX140" s="152">
        <f>IFERROR(VLOOKUP($MK140,$AV$2:$BA$84,2,FALSE),"")</f>
        <v/>
      </c>
      <c r="MY140" s="152">
        <f>IFERROR(VLOOKUP($ML140,$AV$2:$BA$84,2,FALSE),"")</f>
        <v/>
      </c>
      <c r="MZ140" s="152">
        <f>IFERROR(VLOOKUP($MM140,$AV$2:$BA$84,2,FALSE),"")</f>
        <v/>
      </c>
      <c r="NA140" s="152">
        <f>IFERROR(VLOOKUP($MN140,$AV$2:$BA$84,2,FALSE),"")</f>
        <v/>
      </c>
      <c r="NB140" s="152">
        <f>IFERROR(VLOOKUP($MK140,$AV$2:$BA$84,3,FALSE),0)</f>
        <v/>
      </c>
      <c r="NC140" s="152">
        <f>IFERROR(VLOOKUP($ML140,$AV$2:$BA$84,3,FALSE),0)</f>
        <v/>
      </c>
      <c r="ND140" s="152">
        <f>IFERROR(VLOOKUP($MM140,$AV$2:$BA$84,3,FALSE),0)</f>
        <v/>
      </c>
      <c r="NE140" s="152">
        <f>IFERROR(VLOOKUP($MN140,$AV$2:$BA$84,3,FALSE),0)</f>
        <v/>
      </c>
      <c r="NF140" s="152">
        <f>IF($MF140=0,0,IF($MW140=0,0,INDEX($X$2:$X$11,$MW140)))</f>
        <v/>
      </c>
      <c r="NG140" s="152">
        <f>IF(OR($NB140=0,$MF140=0),0,$NB140+3*IF(AND($MX140&lt;&gt;"",OR($MX140=INDEX($EF$2:$EF$13,$MB140),$MX140=INDEX($EG$2:$EG$13,$MB140))),1,0))</f>
        <v/>
      </c>
      <c r="NH140" s="152">
        <f>IF(OR($NC140=0,$MF140=0),0,$NC140+3*IF(AND($MY140&lt;&gt;"",OR($MY140=INDEX($EF$2:$EF$13,$MB140),$MY140=INDEX($EG$2:$EG$13,$MB140))),1,0))</f>
        <v/>
      </c>
      <c r="NI140" s="152">
        <f>IF(OR($ND140=0,$MF140=0),0,$ND140+3*IF(AND($MZ140&lt;&gt;"",OR($MZ140=INDEX($EF$2:$EF$13,$MB140),$MZ140=INDEX($EG$2:$EG$13,$MB140))),1,0))</f>
        <v/>
      </c>
      <c r="NJ140" s="152">
        <f>IF(OR($NE140=0,$MF140=0),0,$NE140+3*IF(AND($NA140&lt;&gt;"",OR($NA140=INDEX($EF$2:$EF$13,$MB140),$NA140=INDEX($EG$2:$EG$13,$MB140))),1,0))</f>
        <v/>
      </c>
      <c r="NK140" s="152">
        <f>IF($MW140=0,0,IF(INDEX($W$2:$W$11,$MW140)="",0,IF(COUNTIF(INDEX($EF$2:$EJ$13,$MB140,0),INDEX($W$2:$W$11,$MW140))=0,1,0)))</f>
        <v/>
      </c>
      <c r="NL140" s="152">
        <f>IF(OR($NB140=0,$MX140=""),0,IF(COUNTIF(INDEX($EF$2:$EJ$13,$MB140,0),$MX140)=0,1,0))</f>
        <v/>
      </c>
      <c r="NM140" s="152">
        <f>IF(OR($NC140=0,$MY140=""),0,IF(COUNTIF(INDEX($EF$2:$EJ$13,$MB140,0),$MY140)=0,1,0))</f>
        <v/>
      </c>
      <c r="NN140" s="152">
        <f>IF(OR($ND140=0,$MZ140=""),0,IF(COUNTIF(INDEX($EF$2:$EJ$13,$MB140,0),$MZ140)=0,1,0))</f>
        <v/>
      </c>
      <c r="NO140" s="152">
        <f>IF(OR($NE140=0,$NA140=""),0,IF(COUNTIF(INDEX($EF$2:$EJ$13,$MB140,0),$NA140)=0,1,0))</f>
        <v/>
      </c>
      <c r="NP140" s="152">
        <f>IFERROR(VLOOKUP($MK140,$AV$2:$BA$84,4,FALSE),0)+IFERROR(VLOOKUP($ML140,$AV$2:$BA$84,4,FALSE),0)+IFERROR(VLOOKUP($MM140,$AV$2:$BA$84,4,FALSE),0)+IFERROR(VLOOKUP($MN140,$AV$2:$BA$84,4,FALSE),0)</f>
        <v/>
      </c>
      <c r="NQ140" s="152">
        <f>IFERROR(VLOOKUP($MK140,$AV$2:$BA$84,6,FALSE),0)+IFERROR(VLOOKUP($ML140,$AV$2:$BA$84,6,FALSE),0)+IFERROR(VLOOKUP($MM140,$AV$2:$BA$84,6,FALSE),0)+IFERROR(VLOOKUP($MN140,$AV$2:$BA$84,6,FALSE),0)</f>
        <v/>
      </c>
      <c r="NR140" s="152">
        <f>TEXTJOIN(", ",TRUE,IF(IFERROR(VLOOKUP($MK140,$AV$2:$BA$84,5,FALSE),0)=1,$MK140,""),IF(IFERROR(VLOOKUP($ML140,$AV$2:$BA$84,5,FALSE),0)=1,$ML140,""),IF(IFERROR(VLOOKUP($MM140,$AV$2:$BA$84,5,FALSE),0)=1,$MM140,""),IF(IFERROR(VLOOKUP($MN140,$AV$2:$BA$84,5,FALSE),0)=1,$MN140,""))</f>
        <v/>
      </c>
      <c r="NS140" s="152">
        <f>IF($MW140=0,0,INDEX($Y$2:$Y$11,$MW140))</f>
        <v/>
      </c>
      <c r="NT140" s="152">
        <f>IF($MW140=0,0,INDEX($Z$2:$Z$11,$MW140))</f>
        <v/>
      </c>
      <c r="NU140" s="152">
        <f>IF($MW140=0,0,INDEX($AB$2:$AB$11,$MW140))</f>
        <v/>
      </c>
      <c r="NV140" s="152">
        <f>IFERROR(VLOOKUP($MO140,$BC$2:$BG$24,3,FALSE),0)</f>
        <v/>
      </c>
      <c r="NW140" s="152">
        <f>IFERROR(VLOOKUP($MP140,$BC$2:$BG$24,3,FALSE),0)</f>
        <v/>
      </c>
      <c r="NX140" s="152">
        <f>IFERROR(VLOOKUP($MO140,$BC$2:$BG$24,2,FALSE),"")</f>
        <v/>
      </c>
      <c r="NY140" s="152">
        <f>IFERROR(VLOOKUP($MP140,$BC$2:$BG$24,2,FALSE),"")</f>
        <v/>
      </c>
      <c r="NZ140" s="152">
        <f>COUNTIF($NF140:$NJ140,1)</f>
        <v/>
      </c>
      <c r="OA140" s="152">
        <f>COUNTIF($NF140:$NJ140,2)</f>
        <v/>
      </c>
      <c r="OB140" s="152">
        <f>COUNTIF($NF140:$NJ140,3)</f>
        <v/>
      </c>
      <c r="OC140" s="152">
        <f>COUNTIF($NF140:$NJ140,4)</f>
        <v/>
      </c>
      <c r="OD140" s="152">
        <f>COUNTIF($NF140:$NJ140,5)</f>
        <v/>
      </c>
      <c r="OE140" s="152">
        <f>COUNTIF($NF140:$NJ140,6)</f>
        <v/>
      </c>
      <c r="OF140" s="152">
        <f>COUNTIF($NV140:$NW140,1)</f>
        <v/>
      </c>
      <c r="OG140" s="152">
        <f>COUNTIF($NV140:$NW140,2)+$NS140</f>
        <v/>
      </c>
      <c r="OH140" s="152">
        <f>COUNTIF($MK140:$MN140,"?*")</f>
        <v/>
      </c>
      <c r="OI140" s="152">
        <f>COUNTIF($MO140:$MP140,"?*")+$NS140</f>
        <v/>
      </c>
      <c r="OJ140" s="152">
        <f>IF($MF140=0,0,SUMPRODUCT($NZ140:$OE140,INDEX($I$2:$N$8,MAX(1,$MF140),0)))</f>
        <v/>
      </c>
      <c r="OK140" s="152">
        <f>IF($MF140=0,0,$OF140*CEILING($MF140/2,1)+$OG140*$MF140)</f>
        <v/>
      </c>
      <c r="OL140" s="152">
        <f>MIN(2*$MF140,$OK140)</f>
        <v/>
      </c>
      <c r="OM140" s="152">
        <f>MIN($OL140,$OJ140)</f>
        <v/>
      </c>
      <c r="ON140" s="152">
        <f>$OL140-$OM140</f>
        <v/>
      </c>
      <c r="OO140" s="152">
        <f>IF($MF140=0,0,INDEX($P$2:$P$8,MAX(1,$MF140)))</f>
        <v/>
      </c>
      <c r="OP140" s="152">
        <f>$OO140-$OJ140+$OM140</f>
        <v/>
      </c>
      <c r="OQ140" s="152">
        <f>IF($MF140=0,MAX(0,$MT140-IF($OH140&gt;0,1,0)),MAX(0,$OP140))</f>
        <v/>
      </c>
      <c r="OR140" s="152">
        <f>IF($MF140=0,0,(IF(COUNTIF($MK140:$MN140,"Salto")&gt;0,1,0)+IF(COUNTIF($MK140:$MN140,"Queima")&gt;0,1,0)+IF(COUNTIF($MK140:$MN140,"Estilhaço")&gt;0,1,0))*FLOOR($OQ140/2,1))</f>
        <v/>
      </c>
      <c r="OS140" s="152">
        <f>MAX(0,2-SUMPRODUCT($NZ140:$OE140,$I$2:$N$2)+MIN(2,$OF140*1+$OG140*1,SUMPRODUCT($NZ140:$OE140,$I$2:$N$2)))</f>
        <v/>
      </c>
      <c r="OT140" s="152">
        <f>MAX(0,4-SUMPRODUCT($NZ140:$OE140,$I$3:$N$3)+MIN(4,$OF140*1+$OG140*2,SUMPRODUCT($NZ140:$OE140,$I$3:$N$3)))</f>
        <v/>
      </c>
      <c r="OU140" s="152">
        <f>MAX(0,6-SUMPRODUCT($NZ140:$OE140,$I$4:$N$4)+MIN(6,$OF140*2+$OG140*3,SUMPRODUCT($NZ140:$OE140,$I$4:$N$4)))</f>
        <v/>
      </c>
      <c r="OV140" s="152">
        <f>MAX(0,9-SUMPRODUCT($NZ140:$OE140,$I$5:$N$5)+MIN(8,$OF140*2+$OG140*4,SUMPRODUCT($NZ140:$OE140,$I$5:$N$5)))</f>
        <v/>
      </c>
      <c r="OW140" s="152">
        <f>MAX(0,11-SUMPRODUCT($NZ140:$OE140,$I$6:$N$6)+MIN(10,$OF140*3+$OG140*5,SUMPRODUCT($NZ140:$OE140,$I$6:$N$6)))</f>
        <v/>
      </c>
      <c r="OX140" s="152">
        <f>MAX(0,13-SUMPRODUCT($NZ140:$OE140,$I$7:$N$7)+MIN(12,$OF140*3+$OG140*6,SUMPRODUCT($NZ140:$OE140,$I$7:$N$7)))</f>
        <v/>
      </c>
      <c r="OY140" s="152">
        <f>MAX(0,16-SUMPRODUCT($NZ140:$OE140,$I$8:$N$8)+MIN(14,$OF140*4+$OG140*7,SUMPRODUCT($NZ140:$OE140,$I$8:$N$8)))</f>
        <v/>
      </c>
      <c r="OZ140" s="152">
        <f>IF($NT140=2,3*$OS140&amp;" de vida temp.",IF($NT140=3,"sem dano",IF($OS140=0,IF($NT140=1,"sem cura","sem dano"),IF($NT140=1,"cura ","")&amp;$OS140&amp;"d8")))</f>
        <v/>
      </c>
      <c r="PA140" s="152">
        <f>IF($NT140=2,3*$OT140&amp;" de vida temp.",IF($NT140=3,"sem dano",IF($OT140=0,IF($NT140=1,"sem cura","sem dano"),IF($NT140=1,"cura ","")&amp;$OT140&amp;"d8")))</f>
        <v/>
      </c>
      <c r="PB140" s="152">
        <f>IF($NT140=2,3*$OU140&amp;" de vida temp.",IF($NT140=3,"sem dano",IF($OU140=0,IF($NT140=1,"sem cura","sem dano"),IF($NT140=1,"cura ","")&amp;$OU140&amp;"d8")))</f>
        <v/>
      </c>
      <c r="PC140" s="152">
        <f>IF($NT140=2,3*$OV140&amp;" de vida temp.",IF($NT140=3,"sem dano",IF($OV140=0,IF($NT140=1,"sem cura","sem dano"),IF($NT140=1,"cura ","")&amp;$OV140&amp;"d8")))</f>
        <v/>
      </c>
      <c r="PD140" s="152">
        <f>IF($NT140=2,3*$OW140&amp;" de vida temp.",IF($NT140=3,"sem dano",IF($OW140=0,IF($NT140=1,"sem cura","sem dano"),IF($NT140=1,"cura ","")&amp;$OW140&amp;"d8")))</f>
        <v/>
      </c>
      <c r="PE140" s="152">
        <f>IF($NT140=2,3*$OX140&amp;" de vida temp.",IF($NT140=3,"sem dano",IF($OX140=0,IF($NT140=1,"sem cura","sem dano"),IF($NT140=1,"cura ","")&amp;$OX140&amp;"d8")))</f>
        <v/>
      </c>
      <c r="PF140" s="152">
        <f>IF($NT140=2,3*$OY140&amp;" de vida temp.",IF($NT140=3,"sem dano",IF($OY140=0,IF($NT140=1,"sem cura","sem dano"),IF($NT140=1,"cura ","")&amp;$OY140&amp;"d8")))</f>
        <v/>
      </c>
      <c r="PG140" s="152">
        <f>IF($MQ140=0,"",TEXTJOIN(" · ",TRUE,IF($MD140&gt;$MR140,"Este lugar abre no nível "&amp;$MD140,""),IF($MF140&gt;$MS140,"Classe "&amp;$MF140&amp;": o nível "&amp;$MR140&amp;" libera até a "&amp;$MS140,""),IF($NK140=1,"A Forma "&amp;$MH140&amp;" pede "&amp;INDEX($W$2:$W$11,$MW140)&amp;" aberta",""),IF(AND($MF140=0,$MW140&gt;0,IF($MW140=0,0,INDEX($AF$2:$AF$11,$MW140))=0),$MH140&amp;" não existe na Classe 0",""),IF($NL140=1,"Família Fechada: "&amp;$MK140,""),IF($NM140=1,"Família Fechada: "&amp;$ML140,""),IF($NN140=1,"Família Fechada: "&amp;$MM140,""),IF($NO140=1,"Família Fechada: "&amp;$MN140,""),IF(AND($MF140&gt;0,$OH140&gt;INDEX($O$2:$O$8,MAX(1,$MF140))),$OH140&amp;" Melhorias: a Classe "&amp;$MF140&amp;" aceita "&amp;INDEX($O$2:$O$8,MAX(1,$MF140)),""),IF(AND($MF140=0,$OH140&gt;1),"A básica aceita uma Melhoria",""),IF(AND($MF140=0,COUNTIF($NB140:$NE140,"&gt;1")&gt;0),"A básica só aceita Melhoria Leve",""),IF(AND($MF140&gt;0,$OI140&gt;2),$OI140&amp;" Restrições"&amp;IF($NS140=1,", contando a que a Forma "&amp;$MH140&amp;" já traz","")&amp;": o limite é 2",""),IF(AND($MF140=0,COUNTIF($MO140:$MP140,"?*")&gt;1),"A básica aceita uma Restrição Leve",""),IF(AND($MF140=0,COUNTIF($NV140:$NW140,2)&gt;0),"A básica só aceita Restrição Leve",""),IF(AND($MF140&gt;0,$OP140&lt;0),"Orçamento estourado: faltam "&amp;(-$OP140)&amp;IF($OP140&lt;-1," pontos"," ponto"),""),IF(IFERROR(VLOOKUP($MO140,$BC$2:$BG$24,4,FALSE),0)+IFERROR(VLOOKUP($MP140,$BC$2:$BG$24,4,FALSE),0)&gt;1,$NX140&amp;" e "&amp;$NY140&amp;" são as duas de frequência",""),IF(AND((COUNTIF($MK140:$MN140,"Rápido")+COUNTIF($NX140:$NY140,"Rápido"))&gt;0,(COUNTIF($MK140:$MN140,"Atrasar")+COUNTIF($NX140:$NY140,"Atrasar"))&gt;0),"Rápido não entra com Atrasar",""),IF(AND((COUNTIF($MK140:$MN140,"Reação")+COUNTIF($NX140:$NY140,"Reação"))&gt;0,(COUNTIF($MK140:$MN140,"Rápido")+COUNTIF($NX140:$NY140,"Rápido"))&gt;0),"Reação não entra com Rápido",""),IF(AND((COUNTIF($MK140:$MN140,"Reação")+COUNTIF($NX140:$NY140,"Reação"))&gt;0,(COUNTIF($MK140:$MN140,"Armado")+COUNTIF($NX140:$NY140,"Armado"))&gt;0),"Reação não entra com Armado",""),IF(AND((COUNTIF($MK140:$MN140,"Reação")+COUNTIF($NX140:$NY140,"Reação"))&gt;0,(COUNTIF($MK140:$MN140,"Atrasar")+COUNTIF($NX140:$NY140,"Atrasar"))&gt;0),"Reação não entra com Atrasar",""),IF(AND((COUNTIF($MK140:$MN140,"Reação")+COUNTIF($NX140:$NY140,"Reação"))&gt;0,(COUNTIF($MK140:$MN140,"Parado")+COUNTIF($NX140:$NY140,"Parado"))&gt;0),"Reação não entra com Parado",""),IF(AND((COUNTIF($MK140:$MN140,"Atrasar")+COUNTIF($NX140:$NY140,"Atrasar"))&gt;0,(COUNTIF($MK140:$MN140,"Parado")+COUNTIF($NX140:$NY140,"Parado"))&gt;0),"Atrasar não entra com Parado",""),IF(AND((COUNTIF($MK140:$MN140,"Armado")+COUNTIF($NX140:$NY140,"Armado"))&gt;0,(COUNTIF($MK140:$MN140,"Carregar")+COUNTIF($NX140:$NY140,"Carregar"))&gt;0),"Armado não entra com Carregar",""),IF(AND(COUNTIF($NX140:$NY140,"Corpo a Corpo")&gt;0,$NS140=0,OR($MH140="Cone",$MH140="Linha")),"Corpo a Corpo não entra em "&amp;$MH140,""),IF(AND(COUNTIF($NX140:$NY140,"Corpo a Corpo")&gt;0,$NS140=1),"A Forma "&amp;$MH140&amp;" já traz o Corpo a Corpo",""),IF(AND(COUNTIF($NX140:$NY140,"Tudo ou Nada")&gt;0,$NU140=0),"Tudo ou Nada só entra em habilidade de Teste de Resistência",""),IF(AND(COUNTIF($MK140:$MN140,"Inescapável")&gt;0,OR($OH140&gt;1,$OI140&gt;0)),"Inescapável não aceita outra peça",""),IF(AND($MF140&gt;0,$OQ140*IF(COUNTIF($MK140:$MN140,"Remate")&gt;0,1.25,1)+$OR140&gt;4*$MF140),($OQ140*IF(COUNTIF($MK140:$MN140,"Remate")&gt;0,1.25,1)+$OR140)&amp;" dados somando repetições"&amp;IF(COUNTIF($MK140:$MN140,"Remate")&gt;0," e o Remate","")&amp;": o teto da Classe "&amp;$MF140&amp;" é "&amp;4*$MF140,"")))</f>
        <v/>
      </c>
      <c r="PH140" s="152">
        <f>IF($PG140="",0,(LEN($PG140)-LEN(SUBSTITUTE($PG140," · ","")))/3+1)</f>
        <v/>
      </c>
      <c r="PI140" s="152">
        <f>IF($MQ140=0,"",TEXTJOIN(" · ",TRUE,IF($OK140&gt;2*$MF140,"A devolução parou no teto de "&amp;2*$MF140,""),IF($ON140&gt;0,"Devolução perdida: "&amp;$ON140&amp;IF($ON140&gt;1," pontos"," ponto")&amp;" sem peça para pagar",""),IF(AND($NP140&gt;0,AND($MF140&gt;0,$NT140=0),$OQ140=0),"Controle sem dano: uma rodada a mais e CD +2",""),IF(AND($NP140&gt;0,AND($MF140&gt;0,$NT140=0),$OQ140&gt;0,$OQ140&lt;=$MF140),"Controle com saldo até a Classe: uma rodada a mais",""),IF(AND($MF140&gt;0,$NR140&lt;&gt;""),"Efeito de "&amp;$NR140&amp;" pela Classe "&amp;MAX(1,$MF140-1),"")))</f>
        <v/>
      </c>
      <c r="PJ140" s="152">
        <f>IF($PI140="",0,(LEN($PI140)-LEN(SUBSTITUTE($PI140," · ","")))/3+1)</f>
        <v/>
      </c>
      <c r="PK140" s="152">
        <f>IF($MQ140=0,IF($OH140+COUNTIF($MO140:$MP140,"?*")&gt;0,"Dê um nome",""),IF($PH140&gt;0,"⚠ "&amp;$PH140&amp;IF($PH140&gt;1," erros"," erro"),IF($PJ140&gt;0,"! "&amp;$PJ140&amp;IF($PJ140&gt;1," avisos"," aviso"),"Na regra")))</f>
        <v/>
      </c>
      <c r="PL140" s="152">
        <f>IF($MQ140=0,"",IF($PH140+$PJ140=0,"Dentro das regras que a ficha confere",$PG140&amp;IF(AND($PH140&gt;0,$PJ140&gt;0)," · ","")&amp;$PI140))</f>
        <v/>
      </c>
      <c r="PM140" s="152">
        <f>IF($MD140&gt;$MR140,$ME140&amp;" · ABRE NO NÍVEL "&amp;$MD140,$ME140)</f>
        <v/>
      </c>
      <c r="PN140" s="152">
        <f>IF($MQ140=0,"",IF($MF140=0,"Sem PE",3*$MF140&amp;" PE"))</f>
        <v/>
      </c>
      <c r="PO140" s="152">
        <f>IF($MQ140=0,"",IF($MF140=0,"A atuação básica dela",IF(COUNTIF($NX140:$NY140,"Atrasar")&gt;0,"Sua Ação Completa",IF(COUNTIF($MK140:$MN140,"Rápido")&gt;0,"Sua Bônus",IF(COUNTIF($MK140:$MN140,"Reação")&gt;0,"Sua Reação","Sua Padrão")))&amp;" + a básica dela"&amp;IF(COUNTIF($MK140:$MN140,"Reação")&gt;0," e a coletiva","")&amp;IF(COUNTIF($NX140:$NY140,"Carregar")&gt;0," · em dois turnos","")))</f>
        <v/>
      </c>
      <c r="PP140" s="152">
        <f>IF($MJ140&lt;&gt;"",$MJ140,IF($MW140=0,"",INDEX($AA$2:$AA$11,$MW140)))</f>
        <v/>
      </c>
      <c r="PQ140" s="152">
        <f>IF(OR($MQ140=0,$MW140=0),"",IF(COUNTIF($MK140:$MN140,"Inescapável")&gt;0,"Automático",IF($PP140="Ataque",IF($MU140="","Ataque","Ataque "&amp;IF(($MU140+2*IF(COUNTIF($MK140:$MN140,"Precisão")&gt;0,1,0))&gt;=0,"+","−")&amp;ABS(($MU140+2*IF(COUNTIF($MK140:$MN140,"Precisão")&gt;0,1,0))))&amp;IF($NQ140&gt;0," · TR"&amp;IF($MV140="",""," CD "&amp;$MV140),""),IF(LEFT($PP140,2)="TR",$PP140&amp;IF($MV140="",""," · CD "&amp;$MV140)&amp;IF(COUNTIF($MK140:$MN140,"Certeiro")&gt;0," · metade",""),"Sem rolagem"))))</f>
        <v/>
      </c>
      <c r="PR140" s="152">
        <f>IF(OR($MQ140=0,$MW140=0),"",IF($MF140=0,IF(OR($NT140&gt;=1,$OQ140=0),"Sem dano",$OQ140&amp;"d6"&amp;IF($MI140="",""," "&amp;$MI140)),IF(OR($NT140&gt;=1,$OQ140=0),UPPER(LEFT(INDEX($OZ140:$PF140,1,MAX(1,$MF140)),1))&amp;MID(INDEX($OZ140:$PF140,1,MAX(1,$MF140)),2,99),UPPER(LEFT(INDEX($OZ140:$PF140,1,MAX(1,$MF140)),1))&amp;MID(INDEX($OZ140:$PF140,1,MAX(1,$MF140)),2,99)&amp;IF($MI140="",""," "&amp;$MI140)&amp;IF($OR140&gt;0," · +"&amp;$OR140&amp;"d8",""))))</f>
        <v/>
      </c>
      <c r="PS140" s="152">
        <f>COUNTIF($MK140:$MN140,"Longe")+3*COUNTIF($MK140:$MN140,"Muito Longe")</f>
        <v/>
      </c>
      <c r="PT140" s="152">
        <f>COUNTIF($MK140:$MN140,"Maior")+3*COUNTIF($MK140:$MN140,"Muito Maior")</f>
        <v/>
      </c>
      <c r="PU140" s="152">
        <f>IF($MW140=0,0,CHOOSE(1+INDEX($AC$2:$AC$11,$MW140),0,$PS140,$PT140,$PS140+$PT140))</f>
        <v/>
      </c>
      <c r="PV140" s="152">
        <f>IF($MW140=0,0,CHOOSE(1+INDEX($AD$2:$AD$11,$MW140),0,$PS140,$PT140,$PS140+$PT140))</f>
        <v/>
      </c>
      <c r="PW140" s="152">
        <f>IF(OR($MQ140=0,$MW140=0),"",INDEX($AI$2:$AN$41,($MW140-1)*4+IF($MF140=0,1,IF($MF140&lt;=5,2,IF($MF140=6,3,4))),1+MIN(5,$PU140))&amp;INDEX($AO$2:$AT$41,($MW140-1)*4+IF($MF140=0,1,IF($MF140&lt;=5,2,IF($MF140=6,3,4))),1+MIN(5,$PV140))&amp;IF(INDEX($AE$2:$AE$11,$MW140)=1,IF(COUNTIF($MK140:$MN140,"Mais Um")&gt;0," · +"&amp;COUNTIF($MK140:$MN140,"Mais Um")&amp;IF(COUNTIF($MK140:$MN140,"Mais Um")&gt;1," alvos"," alvo"),"")&amp;IF(COUNTIF($MK140:$MN140,"Rajada")&gt;0,IF($MF140=0," · 1 tiro"," · "&amp;(MAX(1,$MF140-1)+1)&amp;" tiros"),""),""))</f>
        <v/>
      </c>
      <c r="PX140" s="152">
        <f>IF($MQ140=0,"",IF($MF140=0,$MT140&amp;"d6"&amp;IF($OH140&gt;0," − 1 = "&amp;$OQ140&amp;"d6"," da básica do nível "&amp;$MR140),$OO140&amp;" − "&amp;$OJ140&amp;" + "&amp;$OM140&amp;" = "&amp;$OP140&amp;" · teto "&amp;4*$MF140&amp;"d8"&amp;IF($NS140=1," · a Forma devolve "&amp;$MF140,"")&amp;IF($ON140&gt;0," · perde "&amp;$ON140,"")))</f>
        <v/>
      </c>
      <c r="PY140" s="152">
        <f>IF($MQ140=0,"",IF($MF140=0,"A básica não amplia: os dados dela sobem com o nível",IF($MF140&gt;=$MS140,"Já está na maior Classe que o nível liberou",TEXTJOIN(" · ",TRUE,IF(AND(2&gt;$MF140,2&lt;=$MS140),"2 → "&amp;$PA140&amp;", 6 PE",""),IF(AND(3&gt;$MF140,3&lt;=$MS140),"3 → "&amp;$PB140&amp;", 9 PE",""),IF(AND(4&gt;$MF140,4&lt;=$MS140),"4 → "&amp;$PC140&amp;", 12 PE",""),IF(AND(5&gt;$MF140,5&lt;=$MS140),"5 → "&amp;$PD140&amp;", 15 PE",""),IF(AND(6&gt;$MF140,6&lt;=$MS140),"6 → "&amp;$PE140&amp;", 18 PE",""),IF(AND(7&gt;$MF140,7&lt;=$MS140),"7 → "&amp;$PF140&amp;", 21 PE","")))))</f>
        <v/>
      </c>
      <c r="PZ140" s="152">
        <f>IF(OR($MQ140=0,$NB140=0),"",IF($MF140=0,"−1 dado","−"&amp;INDEX($I$2:$N$8,MAX(1,$MF140),MAX(1,$NG140))&amp;" · "&amp;CHOOSE(MAX(1,$NG140),"Leve","Média","Pesada","Leve · Livre","Média · Livre","Pesada · Livre")))</f>
        <v/>
      </c>
      <c r="QA140" s="152">
        <f>IF(OR($MQ140=0,$NC140=0),"",IF($MF140=0,"−1 dado","−"&amp;INDEX($I$2:$N$8,MAX(1,$MF140),MAX(1,$NH140))&amp;" · "&amp;CHOOSE(MAX(1,$NH140),"Leve","Média","Pesada","Leve · Livre","Média · Livre","Pesada · Livre")))</f>
        <v/>
      </c>
      <c r="QB140" s="152">
        <f>IF(OR($MQ140=0,$ND140=0),"",IF($MF140=0,"−1 dado","−"&amp;INDEX($I$2:$N$8,MAX(1,$MF140),MAX(1,$NI140))&amp;" · "&amp;CHOOSE(MAX(1,$NI140),"Leve","Média","Pesada","Leve · Livre","Média · Livre","Pesada · Livre")))</f>
        <v/>
      </c>
      <c r="QC140" s="152">
        <f>IF(OR($MQ140=0,$NE140=0),"",IF($MF140=0,"−1 dado","−"&amp;INDEX($I$2:$N$8,MAX(1,$MF140),MAX(1,$NJ140))&amp;" · "&amp;CHOOSE(MAX(1,$NJ140),"Leve","Média","Pesada","Leve · Livre","Média · Livre","Pesada · Livre")))</f>
        <v/>
      </c>
      <c r="QD140" s="152">
        <f>IF(OR($MQ140=0,$MO140=""),"",IF($MF140=0,"não devolve","+"&amp;IF($NV140=1,CEILING($MF140/2,1),$MF140)))</f>
        <v/>
      </c>
      <c r="QE140" s="152">
        <f>IF(OR($MQ140=0,$MP140=""),"",IF($MF140=0,"não devolve","+"&amp;IF($NW140=1,CEILING($MF140/2,1),$MF140)))</f>
        <v/>
      </c>
    </row>
    <row r="141">
      <c r="MA141" s="150" t="inlineStr">
        <is>
          <t>Ficha 11 · Especial 8</t>
        </is>
      </c>
      <c r="MB141" s="152" t="n">
        <v>11</v>
      </c>
      <c r="MC141" s="152" t="n">
        <v>1</v>
      </c>
      <c r="MD141" s="152" t="n">
        <v>28</v>
      </c>
      <c r="ME141" s="150" t="inlineStr">
        <is>
          <t>ESPECIAL 8</t>
        </is>
      </c>
      <c r="MF141" s="152">
        <f>MAX(1,MIN(7,N('INVOCAÇÕES'!$AB$928)))</f>
        <v/>
      </c>
      <c r="MG141" s="152">
        <f>'INVOCAÇÕES'!$AC$928&amp;""</f>
        <v/>
      </c>
      <c r="MH141" s="152">
        <f>'INVOCAÇÕES'!$AB$933&amp;""</f>
        <v/>
      </c>
      <c r="MI141" s="152">
        <f>'INVOCAÇÕES'!$AB$934&amp;""</f>
        <v/>
      </c>
      <c r="MJ141" s="152">
        <f>'INVOCAÇÕES'!$AD$934&amp;""</f>
        <v/>
      </c>
      <c r="MK141" s="152">
        <f>'INVOCAÇÕES'!$AC$937&amp;""</f>
        <v/>
      </c>
      <c r="ML141" s="152">
        <f>'INVOCAÇÕES'!$AC$938&amp;""</f>
        <v/>
      </c>
      <c r="MM141" s="152">
        <f>'INVOCAÇÕES'!$AC$939&amp;""</f>
        <v/>
      </c>
      <c r="MN141" s="152">
        <f>'INVOCAÇÕES'!$AC$940&amp;""</f>
        <v/>
      </c>
      <c r="MO141" s="152">
        <f>'INVOCAÇÕES'!$AC$941&amp;""</f>
        <v/>
      </c>
      <c r="MP141" s="152">
        <f>'INVOCAÇÕES'!$AC$942&amp;""</f>
        <v/>
      </c>
      <c r="MQ141" s="152">
        <f>IF($MG141&lt;&gt;"",1,0)</f>
        <v/>
      </c>
      <c r="MR141" s="152">
        <f>INDEX($FI$2:$FI$13,$MB141)</f>
        <v/>
      </c>
      <c r="MS141" s="152">
        <f>INDEX($FJ$2:$FJ$13,$MB141)</f>
        <v/>
      </c>
      <c r="MT141" s="152">
        <f>INDEX($FK$2:$FK$13,$MB141)</f>
        <v/>
      </c>
      <c r="MU141" s="152">
        <f>INDEX($FV$2:$FV$13,$MB141)</f>
        <v/>
      </c>
      <c r="MV141" s="152">
        <f>INDEX($FW$2:$FW$13,$MB141)</f>
        <v/>
      </c>
      <c r="MW141" s="152">
        <f>IFERROR(MATCH($MH141,$V$2:$V$11,0),0)</f>
        <v/>
      </c>
      <c r="MX141" s="152">
        <f>IFERROR(VLOOKUP($MK141,$AV$2:$BA$84,2,FALSE),"")</f>
        <v/>
      </c>
      <c r="MY141" s="152">
        <f>IFERROR(VLOOKUP($ML141,$AV$2:$BA$84,2,FALSE),"")</f>
        <v/>
      </c>
      <c r="MZ141" s="152">
        <f>IFERROR(VLOOKUP($MM141,$AV$2:$BA$84,2,FALSE),"")</f>
        <v/>
      </c>
      <c r="NA141" s="152">
        <f>IFERROR(VLOOKUP($MN141,$AV$2:$BA$84,2,FALSE),"")</f>
        <v/>
      </c>
      <c r="NB141" s="152">
        <f>IFERROR(VLOOKUP($MK141,$AV$2:$BA$84,3,FALSE),0)</f>
        <v/>
      </c>
      <c r="NC141" s="152">
        <f>IFERROR(VLOOKUP($ML141,$AV$2:$BA$84,3,FALSE),0)</f>
        <v/>
      </c>
      <c r="ND141" s="152">
        <f>IFERROR(VLOOKUP($MM141,$AV$2:$BA$84,3,FALSE),0)</f>
        <v/>
      </c>
      <c r="NE141" s="152">
        <f>IFERROR(VLOOKUP($MN141,$AV$2:$BA$84,3,FALSE),0)</f>
        <v/>
      </c>
      <c r="NF141" s="152">
        <f>IF($MF141=0,0,IF($MW141=0,0,INDEX($X$2:$X$11,$MW141)))</f>
        <v/>
      </c>
      <c r="NG141" s="152">
        <f>IF(OR($NB141=0,$MF141=0),0,$NB141+3*IF(AND($MX141&lt;&gt;"",OR($MX141=INDEX($EF$2:$EF$13,$MB141),$MX141=INDEX($EG$2:$EG$13,$MB141))),1,0))</f>
        <v/>
      </c>
      <c r="NH141" s="152">
        <f>IF(OR($NC141=0,$MF141=0),0,$NC141+3*IF(AND($MY141&lt;&gt;"",OR($MY141=INDEX($EF$2:$EF$13,$MB141),$MY141=INDEX($EG$2:$EG$13,$MB141))),1,0))</f>
        <v/>
      </c>
      <c r="NI141" s="152">
        <f>IF(OR($ND141=0,$MF141=0),0,$ND141+3*IF(AND($MZ141&lt;&gt;"",OR($MZ141=INDEX($EF$2:$EF$13,$MB141),$MZ141=INDEX($EG$2:$EG$13,$MB141))),1,0))</f>
        <v/>
      </c>
      <c r="NJ141" s="152">
        <f>IF(OR($NE141=0,$MF141=0),0,$NE141+3*IF(AND($NA141&lt;&gt;"",OR($NA141=INDEX($EF$2:$EF$13,$MB141),$NA141=INDEX($EG$2:$EG$13,$MB141))),1,0))</f>
        <v/>
      </c>
      <c r="NK141" s="152">
        <f>IF($MW141=0,0,IF(INDEX($W$2:$W$11,$MW141)="",0,IF(COUNTIF(INDEX($EF$2:$EJ$13,$MB141,0),INDEX($W$2:$W$11,$MW141))=0,1,0)))</f>
        <v/>
      </c>
      <c r="NL141" s="152">
        <f>IF(OR($NB141=0,$MX141=""),0,IF(COUNTIF(INDEX($EF$2:$EJ$13,$MB141,0),$MX141)=0,1,0))</f>
        <v/>
      </c>
      <c r="NM141" s="152">
        <f>IF(OR($NC141=0,$MY141=""),0,IF(COUNTIF(INDEX($EF$2:$EJ$13,$MB141,0),$MY141)=0,1,0))</f>
        <v/>
      </c>
      <c r="NN141" s="152">
        <f>IF(OR($ND141=0,$MZ141=""),0,IF(COUNTIF(INDEX($EF$2:$EJ$13,$MB141,0),$MZ141)=0,1,0))</f>
        <v/>
      </c>
      <c r="NO141" s="152">
        <f>IF(OR($NE141=0,$NA141=""),0,IF(COUNTIF(INDEX($EF$2:$EJ$13,$MB141,0),$NA141)=0,1,0))</f>
        <v/>
      </c>
      <c r="NP141" s="152">
        <f>IFERROR(VLOOKUP($MK141,$AV$2:$BA$84,4,FALSE),0)+IFERROR(VLOOKUP($ML141,$AV$2:$BA$84,4,FALSE),0)+IFERROR(VLOOKUP($MM141,$AV$2:$BA$84,4,FALSE),0)+IFERROR(VLOOKUP($MN141,$AV$2:$BA$84,4,FALSE),0)</f>
        <v/>
      </c>
      <c r="NQ141" s="152">
        <f>IFERROR(VLOOKUP($MK141,$AV$2:$BA$84,6,FALSE),0)+IFERROR(VLOOKUP($ML141,$AV$2:$BA$84,6,FALSE),0)+IFERROR(VLOOKUP($MM141,$AV$2:$BA$84,6,FALSE),0)+IFERROR(VLOOKUP($MN141,$AV$2:$BA$84,6,FALSE),0)</f>
        <v/>
      </c>
      <c r="NR141" s="152">
        <f>TEXTJOIN(", ",TRUE,IF(IFERROR(VLOOKUP($MK141,$AV$2:$BA$84,5,FALSE),0)=1,$MK141,""),IF(IFERROR(VLOOKUP($ML141,$AV$2:$BA$84,5,FALSE),0)=1,$ML141,""),IF(IFERROR(VLOOKUP($MM141,$AV$2:$BA$84,5,FALSE),0)=1,$MM141,""),IF(IFERROR(VLOOKUP($MN141,$AV$2:$BA$84,5,FALSE),0)=1,$MN141,""))</f>
        <v/>
      </c>
      <c r="NS141" s="152">
        <f>IF($MW141=0,0,INDEX($Y$2:$Y$11,$MW141))</f>
        <v/>
      </c>
      <c r="NT141" s="152">
        <f>IF($MW141=0,0,INDEX($Z$2:$Z$11,$MW141))</f>
        <v/>
      </c>
      <c r="NU141" s="152">
        <f>IF($MW141=0,0,INDEX($AB$2:$AB$11,$MW141))</f>
        <v/>
      </c>
      <c r="NV141" s="152">
        <f>IFERROR(VLOOKUP($MO141,$BC$2:$BG$24,3,FALSE),0)</f>
        <v/>
      </c>
      <c r="NW141" s="152">
        <f>IFERROR(VLOOKUP($MP141,$BC$2:$BG$24,3,FALSE),0)</f>
        <v/>
      </c>
      <c r="NX141" s="152">
        <f>IFERROR(VLOOKUP($MO141,$BC$2:$BG$24,2,FALSE),"")</f>
        <v/>
      </c>
      <c r="NY141" s="152">
        <f>IFERROR(VLOOKUP($MP141,$BC$2:$BG$24,2,FALSE),"")</f>
        <v/>
      </c>
      <c r="NZ141" s="152">
        <f>COUNTIF($NF141:$NJ141,1)</f>
        <v/>
      </c>
      <c r="OA141" s="152">
        <f>COUNTIF($NF141:$NJ141,2)</f>
        <v/>
      </c>
      <c r="OB141" s="152">
        <f>COUNTIF($NF141:$NJ141,3)</f>
        <v/>
      </c>
      <c r="OC141" s="152">
        <f>COUNTIF($NF141:$NJ141,4)</f>
        <v/>
      </c>
      <c r="OD141" s="152">
        <f>COUNTIF($NF141:$NJ141,5)</f>
        <v/>
      </c>
      <c r="OE141" s="152">
        <f>COUNTIF($NF141:$NJ141,6)</f>
        <v/>
      </c>
      <c r="OF141" s="152">
        <f>COUNTIF($NV141:$NW141,1)</f>
        <v/>
      </c>
      <c r="OG141" s="152">
        <f>COUNTIF($NV141:$NW141,2)+$NS141</f>
        <v/>
      </c>
      <c r="OH141" s="152">
        <f>COUNTIF($MK141:$MN141,"?*")</f>
        <v/>
      </c>
      <c r="OI141" s="152">
        <f>COUNTIF($MO141:$MP141,"?*")+$NS141</f>
        <v/>
      </c>
      <c r="OJ141" s="152">
        <f>IF($MF141=0,0,SUMPRODUCT($NZ141:$OE141,INDEX($I$2:$N$8,MAX(1,$MF141),0)))</f>
        <v/>
      </c>
      <c r="OK141" s="152">
        <f>IF($MF141=0,0,$OF141*CEILING($MF141/2,1)+$OG141*$MF141)</f>
        <v/>
      </c>
      <c r="OL141" s="152">
        <f>MIN(2*$MF141,$OK141)</f>
        <v/>
      </c>
      <c r="OM141" s="152">
        <f>MIN($OL141,$OJ141)</f>
        <v/>
      </c>
      <c r="ON141" s="152">
        <f>$OL141-$OM141</f>
        <v/>
      </c>
      <c r="OO141" s="152">
        <f>IF($MF141=0,0,INDEX($P$2:$P$8,MAX(1,$MF141)))</f>
        <v/>
      </c>
      <c r="OP141" s="152">
        <f>$OO141-$OJ141+$OM141</f>
        <v/>
      </c>
      <c r="OQ141" s="152">
        <f>IF($MF141=0,MAX(0,$MT141-IF($OH141&gt;0,1,0)),MAX(0,$OP141))</f>
        <v/>
      </c>
      <c r="OR141" s="152">
        <f>IF($MF141=0,0,(IF(COUNTIF($MK141:$MN141,"Salto")&gt;0,1,0)+IF(COUNTIF($MK141:$MN141,"Queima")&gt;0,1,0)+IF(COUNTIF($MK141:$MN141,"Estilhaço")&gt;0,1,0))*FLOOR($OQ141/2,1))</f>
        <v/>
      </c>
      <c r="OS141" s="152">
        <f>MAX(0,2-SUMPRODUCT($NZ141:$OE141,$I$2:$N$2)+MIN(2,$OF141*1+$OG141*1,SUMPRODUCT($NZ141:$OE141,$I$2:$N$2)))</f>
        <v/>
      </c>
      <c r="OT141" s="152">
        <f>MAX(0,4-SUMPRODUCT($NZ141:$OE141,$I$3:$N$3)+MIN(4,$OF141*1+$OG141*2,SUMPRODUCT($NZ141:$OE141,$I$3:$N$3)))</f>
        <v/>
      </c>
      <c r="OU141" s="152">
        <f>MAX(0,6-SUMPRODUCT($NZ141:$OE141,$I$4:$N$4)+MIN(6,$OF141*2+$OG141*3,SUMPRODUCT($NZ141:$OE141,$I$4:$N$4)))</f>
        <v/>
      </c>
      <c r="OV141" s="152">
        <f>MAX(0,9-SUMPRODUCT($NZ141:$OE141,$I$5:$N$5)+MIN(8,$OF141*2+$OG141*4,SUMPRODUCT($NZ141:$OE141,$I$5:$N$5)))</f>
        <v/>
      </c>
      <c r="OW141" s="152">
        <f>MAX(0,11-SUMPRODUCT($NZ141:$OE141,$I$6:$N$6)+MIN(10,$OF141*3+$OG141*5,SUMPRODUCT($NZ141:$OE141,$I$6:$N$6)))</f>
        <v/>
      </c>
      <c r="OX141" s="152">
        <f>MAX(0,13-SUMPRODUCT($NZ141:$OE141,$I$7:$N$7)+MIN(12,$OF141*3+$OG141*6,SUMPRODUCT($NZ141:$OE141,$I$7:$N$7)))</f>
        <v/>
      </c>
      <c r="OY141" s="152">
        <f>MAX(0,16-SUMPRODUCT($NZ141:$OE141,$I$8:$N$8)+MIN(14,$OF141*4+$OG141*7,SUMPRODUCT($NZ141:$OE141,$I$8:$N$8)))</f>
        <v/>
      </c>
      <c r="OZ141" s="152">
        <f>IF($NT141=2,3*$OS141&amp;" de vida temp.",IF($NT141=3,"sem dano",IF($OS141=0,IF($NT141=1,"sem cura","sem dano"),IF($NT141=1,"cura ","")&amp;$OS141&amp;"d8")))</f>
        <v/>
      </c>
      <c r="PA141" s="152">
        <f>IF($NT141=2,3*$OT141&amp;" de vida temp.",IF($NT141=3,"sem dano",IF($OT141=0,IF($NT141=1,"sem cura","sem dano"),IF($NT141=1,"cura ","")&amp;$OT141&amp;"d8")))</f>
        <v/>
      </c>
      <c r="PB141" s="152">
        <f>IF($NT141=2,3*$OU141&amp;" de vida temp.",IF($NT141=3,"sem dano",IF($OU141=0,IF($NT141=1,"sem cura","sem dano"),IF($NT141=1,"cura ","")&amp;$OU141&amp;"d8")))</f>
        <v/>
      </c>
      <c r="PC141" s="152">
        <f>IF($NT141=2,3*$OV141&amp;" de vida temp.",IF($NT141=3,"sem dano",IF($OV141=0,IF($NT141=1,"sem cura","sem dano"),IF($NT141=1,"cura ","")&amp;$OV141&amp;"d8")))</f>
        <v/>
      </c>
      <c r="PD141" s="152">
        <f>IF($NT141=2,3*$OW141&amp;" de vida temp.",IF($NT141=3,"sem dano",IF($OW141=0,IF($NT141=1,"sem cura","sem dano"),IF($NT141=1,"cura ","")&amp;$OW141&amp;"d8")))</f>
        <v/>
      </c>
      <c r="PE141" s="152">
        <f>IF($NT141=2,3*$OX141&amp;" de vida temp.",IF($NT141=3,"sem dano",IF($OX141=0,IF($NT141=1,"sem cura","sem dano"),IF($NT141=1,"cura ","")&amp;$OX141&amp;"d8")))</f>
        <v/>
      </c>
      <c r="PF141" s="152">
        <f>IF($NT141=2,3*$OY141&amp;" de vida temp.",IF($NT141=3,"sem dano",IF($OY141=0,IF($NT141=1,"sem cura","sem dano"),IF($NT141=1,"cura ","")&amp;$OY141&amp;"d8")))</f>
        <v/>
      </c>
      <c r="PG141" s="152">
        <f>IF($MQ141=0,"",TEXTJOIN(" · ",TRUE,IF($MD141&gt;$MR141,"Este lugar abre no nível "&amp;$MD141,""),IF($MF141&gt;$MS141,"Classe "&amp;$MF141&amp;": o nível "&amp;$MR141&amp;" libera até a "&amp;$MS141,""),IF($NK141=1,"A Forma "&amp;$MH141&amp;" pede "&amp;INDEX($W$2:$W$11,$MW141)&amp;" aberta",""),IF(AND($MF141=0,$MW141&gt;0,IF($MW141=0,0,INDEX($AF$2:$AF$11,$MW141))=0),$MH141&amp;" não existe na Classe 0",""),IF($NL141=1,"Família Fechada: "&amp;$MK141,""),IF($NM141=1,"Família Fechada: "&amp;$ML141,""),IF($NN141=1,"Família Fechada: "&amp;$MM141,""),IF($NO141=1,"Família Fechada: "&amp;$MN141,""),IF(AND($MF141&gt;0,$OH141&gt;INDEX($O$2:$O$8,MAX(1,$MF141))),$OH141&amp;" Melhorias: a Classe "&amp;$MF141&amp;" aceita "&amp;INDEX($O$2:$O$8,MAX(1,$MF141)),""),IF(AND($MF141=0,$OH141&gt;1),"A básica aceita uma Melhoria",""),IF(AND($MF141=0,COUNTIF($NB141:$NE141,"&gt;1")&gt;0),"A básica só aceita Melhoria Leve",""),IF(AND($MF141&gt;0,$OI141&gt;2),$OI141&amp;" Restrições"&amp;IF($NS141=1,", contando a que a Forma "&amp;$MH141&amp;" já traz","")&amp;": o limite é 2",""),IF(AND($MF141=0,COUNTIF($MO141:$MP141,"?*")&gt;1),"A básica aceita uma Restrição Leve",""),IF(AND($MF141=0,COUNTIF($NV141:$NW141,2)&gt;0),"A básica só aceita Restrição Leve",""),IF(AND($MF141&gt;0,$OP141&lt;0),"Orçamento estourado: faltam "&amp;(-$OP141)&amp;IF($OP141&lt;-1," pontos"," ponto"),""),IF(IFERROR(VLOOKUP($MO141,$BC$2:$BG$24,4,FALSE),0)+IFERROR(VLOOKUP($MP141,$BC$2:$BG$24,4,FALSE),0)&gt;1,$NX141&amp;" e "&amp;$NY141&amp;" são as duas de frequência",""),IF(AND((COUNTIF($MK141:$MN141,"Rápido")+COUNTIF($NX141:$NY141,"Rápido"))&gt;0,(COUNTIF($MK141:$MN141,"Atrasar")+COUNTIF($NX141:$NY141,"Atrasar"))&gt;0),"Rápido não entra com Atrasar",""),IF(AND((COUNTIF($MK141:$MN141,"Reação")+COUNTIF($NX141:$NY141,"Reação"))&gt;0,(COUNTIF($MK141:$MN141,"Rápido")+COUNTIF($NX141:$NY141,"Rápido"))&gt;0),"Reação não entra com Rápido",""),IF(AND((COUNTIF($MK141:$MN141,"Reação")+COUNTIF($NX141:$NY141,"Reação"))&gt;0,(COUNTIF($MK141:$MN141,"Armado")+COUNTIF($NX141:$NY141,"Armado"))&gt;0),"Reação não entra com Armado",""),IF(AND((COUNTIF($MK141:$MN141,"Reação")+COUNTIF($NX141:$NY141,"Reação"))&gt;0,(COUNTIF($MK141:$MN141,"Atrasar")+COUNTIF($NX141:$NY141,"Atrasar"))&gt;0),"Reação não entra com Atrasar",""),IF(AND((COUNTIF($MK141:$MN141,"Reação")+COUNTIF($NX141:$NY141,"Reação"))&gt;0,(COUNTIF($MK141:$MN141,"Parado")+COUNTIF($NX141:$NY141,"Parado"))&gt;0),"Reação não entra com Parado",""),IF(AND((COUNTIF($MK141:$MN141,"Atrasar")+COUNTIF($NX141:$NY141,"Atrasar"))&gt;0,(COUNTIF($MK141:$MN141,"Parado")+COUNTIF($NX141:$NY141,"Parado"))&gt;0),"Atrasar não entra com Parado",""),IF(AND((COUNTIF($MK141:$MN141,"Armado")+COUNTIF($NX141:$NY141,"Armado"))&gt;0,(COUNTIF($MK141:$MN141,"Carregar")+COUNTIF($NX141:$NY141,"Carregar"))&gt;0),"Armado não entra com Carregar",""),IF(AND(COUNTIF($NX141:$NY141,"Corpo a Corpo")&gt;0,$NS141=0,OR($MH141="Cone",$MH141="Linha")),"Corpo a Corpo não entra em "&amp;$MH141,""),IF(AND(COUNTIF($NX141:$NY141,"Corpo a Corpo")&gt;0,$NS141=1),"A Forma "&amp;$MH141&amp;" já traz o Corpo a Corpo",""),IF(AND(COUNTIF($NX141:$NY141,"Tudo ou Nada")&gt;0,$NU141=0),"Tudo ou Nada só entra em habilidade de Teste de Resistência",""),IF(AND(COUNTIF($MK141:$MN141,"Inescapável")&gt;0,OR($OH141&gt;1,$OI141&gt;0)),"Inescapável não aceita outra peça",""),IF(AND($MF141&gt;0,$OQ141*IF(COUNTIF($MK141:$MN141,"Remate")&gt;0,1.25,1)+$OR141&gt;4*$MF141),($OQ141*IF(COUNTIF($MK141:$MN141,"Remate")&gt;0,1.25,1)+$OR141)&amp;" dados somando repetições"&amp;IF(COUNTIF($MK141:$MN141,"Remate")&gt;0," e o Remate","")&amp;": o teto da Classe "&amp;$MF141&amp;" é "&amp;4*$MF141,"")))</f>
        <v/>
      </c>
      <c r="PH141" s="152">
        <f>IF($PG141="",0,(LEN($PG141)-LEN(SUBSTITUTE($PG141," · ","")))/3+1)</f>
        <v/>
      </c>
      <c r="PI141" s="152">
        <f>IF($MQ141=0,"",TEXTJOIN(" · ",TRUE,IF($OK141&gt;2*$MF141,"A devolução parou no teto de "&amp;2*$MF141,""),IF($ON141&gt;0,"Devolução perdida: "&amp;$ON141&amp;IF($ON141&gt;1," pontos"," ponto")&amp;" sem peça para pagar",""),IF(AND($NP141&gt;0,AND($MF141&gt;0,$NT141=0),$OQ141=0),"Controle sem dano: uma rodada a mais e CD +2",""),IF(AND($NP141&gt;0,AND($MF141&gt;0,$NT141=0),$OQ141&gt;0,$OQ141&lt;=$MF141),"Controle com saldo até a Classe: uma rodada a mais",""),IF(AND($MF141&gt;0,$NR141&lt;&gt;""),"Efeito de "&amp;$NR141&amp;" pela Classe "&amp;MAX(1,$MF141-1),"")))</f>
        <v/>
      </c>
      <c r="PJ141" s="152">
        <f>IF($PI141="",0,(LEN($PI141)-LEN(SUBSTITUTE($PI141," · ","")))/3+1)</f>
        <v/>
      </c>
      <c r="PK141" s="152">
        <f>IF($MQ141=0,IF($OH141+COUNTIF($MO141:$MP141,"?*")&gt;0,"Dê um nome",""),IF($PH141&gt;0,"⚠ "&amp;$PH141&amp;IF($PH141&gt;1," erros"," erro"),IF($PJ141&gt;0,"! "&amp;$PJ141&amp;IF($PJ141&gt;1," avisos"," aviso"),"Na regra")))</f>
        <v/>
      </c>
      <c r="PL141" s="152">
        <f>IF($MQ141=0,"",IF($PH141+$PJ141=0,"Dentro das regras que a ficha confere",$PG141&amp;IF(AND($PH141&gt;0,$PJ141&gt;0)," · ","")&amp;$PI141))</f>
        <v/>
      </c>
      <c r="PM141" s="152">
        <f>IF($MD141&gt;$MR141,$ME141&amp;" · ABRE NO NÍVEL "&amp;$MD141,$ME141)</f>
        <v/>
      </c>
      <c r="PN141" s="152">
        <f>IF($MQ141=0,"",IF($MF141=0,"Sem PE",3*$MF141&amp;" PE"))</f>
        <v/>
      </c>
      <c r="PO141" s="152">
        <f>IF($MQ141=0,"",IF($MF141=0,"A atuação básica dela",IF(COUNTIF($NX141:$NY141,"Atrasar")&gt;0,"Sua Ação Completa",IF(COUNTIF($MK141:$MN141,"Rápido")&gt;0,"Sua Bônus",IF(COUNTIF($MK141:$MN141,"Reação")&gt;0,"Sua Reação","Sua Padrão")))&amp;" + a básica dela"&amp;IF(COUNTIF($MK141:$MN141,"Reação")&gt;0," e a coletiva","")&amp;IF(COUNTIF($NX141:$NY141,"Carregar")&gt;0," · em dois turnos","")))</f>
        <v/>
      </c>
      <c r="PP141" s="152">
        <f>IF($MJ141&lt;&gt;"",$MJ141,IF($MW141=0,"",INDEX($AA$2:$AA$11,$MW141)))</f>
        <v/>
      </c>
      <c r="PQ141" s="152">
        <f>IF(OR($MQ141=0,$MW141=0),"",IF(COUNTIF($MK141:$MN141,"Inescapável")&gt;0,"Automático",IF($PP141="Ataque",IF($MU141="","Ataque","Ataque "&amp;IF(($MU141+2*IF(COUNTIF($MK141:$MN141,"Precisão")&gt;0,1,0))&gt;=0,"+","−")&amp;ABS(($MU141+2*IF(COUNTIF($MK141:$MN141,"Precisão")&gt;0,1,0))))&amp;IF($NQ141&gt;0," · TR"&amp;IF($MV141="",""," CD "&amp;$MV141),""),IF(LEFT($PP141,2)="TR",$PP141&amp;IF($MV141="",""," · CD "&amp;$MV141)&amp;IF(COUNTIF($MK141:$MN141,"Certeiro")&gt;0," · metade",""),"Sem rolagem"))))</f>
        <v/>
      </c>
      <c r="PR141" s="152">
        <f>IF(OR($MQ141=0,$MW141=0),"",IF($MF141=0,IF(OR($NT141&gt;=1,$OQ141=0),"Sem dano",$OQ141&amp;"d6"&amp;IF($MI141="",""," "&amp;$MI141)),IF(OR($NT141&gt;=1,$OQ141=0),UPPER(LEFT(INDEX($OZ141:$PF141,1,MAX(1,$MF141)),1))&amp;MID(INDEX($OZ141:$PF141,1,MAX(1,$MF141)),2,99),UPPER(LEFT(INDEX($OZ141:$PF141,1,MAX(1,$MF141)),1))&amp;MID(INDEX($OZ141:$PF141,1,MAX(1,$MF141)),2,99)&amp;IF($MI141="",""," "&amp;$MI141)&amp;IF($OR141&gt;0," · +"&amp;$OR141&amp;"d8",""))))</f>
        <v/>
      </c>
      <c r="PS141" s="152">
        <f>COUNTIF($MK141:$MN141,"Longe")+3*COUNTIF($MK141:$MN141,"Muito Longe")</f>
        <v/>
      </c>
      <c r="PT141" s="152">
        <f>COUNTIF($MK141:$MN141,"Maior")+3*COUNTIF($MK141:$MN141,"Muito Maior")</f>
        <v/>
      </c>
      <c r="PU141" s="152">
        <f>IF($MW141=0,0,CHOOSE(1+INDEX($AC$2:$AC$11,$MW141),0,$PS141,$PT141,$PS141+$PT141))</f>
        <v/>
      </c>
      <c r="PV141" s="152">
        <f>IF($MW141=0,0,CHOOSE(1+INDEX($AD$2:$AD$11,$MW141),0,$PS141,$PT141,$PS141+$PT141))</f>
        <v/>
      </c>
      <c r="PW141" s="152">
        <f>IF(OR($MQ141=0,$MW141=0),"",INDEX($AI$2:$AN$41,($MW141-1)*4+IF($MF141=0,1,IF($MF141&lt;=5,2,IF($MF141=6,3,4))),1+MIN(5,$PU141))&amp;INDEX($AO$2:$AT$41,($MW141-1)*4+IF($MF141=0,1,IF($MF141&lt;=5,2,IF($MF141=6,3,4))),1+MIN(5,$PV141))&amp;IF(INDEX($AE$2:$AE$11,$MW141)=1,IF(COUNTIF($MK141:$MN141,"Mais Um")&gt;0," · +"&amp;COUNTIF($MK141:$MN141,"Mais Um")&amp;IF(COUNTIF($MK141:$MN141,"Mais Um")&gt;1," alvos"," alvo"),"")&amp;IF(COUNTIF($MK141:$MN141,"Rajada")&gt;0,IF($MF141=0," · 1 tiro"," · "&amp;(MAX(1,$MF141-1)+1)&amp;" tiros"),""),""))</f>
        <v/>
      </c>
      <c r="PX141" s="152">
        <f>IF($MQ141=0,"",IF($MF141=0,$MT141&amp;"d6"&amp;IF($OH141&gt;0," − 1 = "&amp;$OQ141&amp;"d6"," da básica do nível "&amp;$MR141),$OO141&amp;" − "&amp;$OJ141&amp;" + "&amp;$OM141&amp;" = "&amp;$OP141&amp;" · teto "&amp;4*$MF141&amp;"d8"&amp;IF($NS141=1," · a Forma devolve "&amp;$MF141,"")&amp;IF($ON141&gt;0," · perde "&amp;$ON141,"")))</f>
        <v/>
      </c>
      <c r="PY141" s="152">
        <f>IF($MQ141=0,"",IF($MF141=0,"A básica não amplia: os dados dela sobem com o nível",IF($MF141&gt;=$MS141,"Já está na maior Classe que o nível liberou",TEXTJOIN(" · ",TRUE,IF(AND(2&gt;$MF141,2&lt;=$MS141),"2 → "&amp;$PA141&amp;", 6 PE",""),IF(AND(3&gt;$MF141,3&lt;=$MS141),"3 → "&amp;$PB141&amp;", 9 PE",""),IF(AND(4&gt;$MF141,4&lt;=$MS141),"4 → "&amp;$PC141&amp;", 12 PE",""),IF(AND(5&gt;$MF141,5&lt;=$MS141),"5 → "&amp;$PD141&amp;", 15 PE",""),IF(AND(6&gt;$MF141,6&lt;=$MS141),"6 → "&amp;$PE141&amp;", 18 PE",""),IF(AND(7&gt;$MF141,7&lt;=$MS141),"7 → "&amp;$PF141&amp;", 21 PE","")))))</f>
        <v/>
      </c>
      <c r="PZ141" s="152">
        <f>IF(OR($MQ141=0,$NB141=0),"",IF($MF141=0,"−1 dado","−"&amp;INDEX($I$2:$N$8,MAX(1,$MF141),MAX(1,$NG141))&amp;" · "&amp;CHOOSE(MAX(1,$NG141),"Leve","Média","Pesada","Leve · Livre","Média · Livre","Pesada · Livre")))</f>
        <v/>
      </c>
      <c r="QA141" s="152">
        <f>IF(OR($MQ141=0,$NC141=0),"",IF($MF141=0,"−1 dado","−"&amp;INDEX($I$2:$N$8,MAX(1,$MF141),MAX(1,$NH141))&amp;" · "&amp;CHOOSE(MAX(1,$NH141),"Leve","Média","Pesada","Leve · Livre","Média · Livre","Pesada · Livre")))</f>
        <v/>
      </c>
      <c r="QB141" s="152">
        <f>IF(OR($MQ141=0,$ND141=0),"",IF($MF141=0,"−1 dado","−"&amp;INDEX($I$2:$N$8,MAX(1,$MF141),MAX(1,$NI141))&amp;" · "&amp;CHOOSE(MAX(1,$NI141),"Leve","Média","Pesada","Leve · Livre","Média · Livre","Pesada · Livre")))</f>
        <v/>
      </c>
      <c r="QC141" s="152">
        <f>IF(OR($MQ141=0,$NE141=0),"",IF($MF141=0,"−1 dado","−"&amp;INDEX($I$2:$N$8,MAX(1,$MF141),MAX(1,$NJ141))&amp;" · "&amp;CHOOSE(MAX(1,$NJ141),"Leve","Média","Pesada","Leve · Livre","Média · Livre","Pesada · Livre")))</f>
        <v/>
      </c>
      <c r="QD141" s="152">
        <f>IF(OR($MQ141=0,$MO141=""),"",IF($MF141=0,"não devolve","+"&amp;IF($NV141=1,CEILING($MF141/2,1),$MF141)))</f>
        <v/>
      </c>
      <c r="QE141" s="152">
        <f>IF(OR($MQ141=0,$MP141=""),"",IF($MF141=0,"não devolve","+"&amp;IF($NW141=1,CEILING($MF141/2,1),$MF141)))</f>
        <v/>
      </c>
    </row>
    <row r="142">
      <c r="MA142" s="150" t="inlineStr">
        <is>
          <t>Ficha 11 · Escolha da trilha 1</t>
        </is>
      </c>
      <c r="MB142" s="152" t="n">
        <v>11</v>
      </c>
      <c r="MC142" s="152" t="n">
        <v>2</v>
      </c>
      <c r="MD142" s="152" t="n">
        <v>0</v>
      </c>
      <c r="ME142" s="150" t="inlineStr">
        <is>
          <t>ESCOLHA DA TRILHA 1</t>
        </is>
      </c>
      <c r="MF142" s="152">
        <f>MAX(0,MIN(7,N('INVOCAÇÕES'!$AB$952)))</f>
        <v/>
      </c>
      <c r="MG142" s="152">
        <f>'INVOCAÇÕES'!$AC$952&amp;""</f>
        <v/>
      </c>
      <c r="MH142" s="152">
        <f>'INVOCAÇÕES'!$AB$957&amp;""</f>
        <v/>
      </c>
      <c r="MI142" s="152">
        <f>'INVOCAÇÕES'!$AB$958&amp;""</f>
        <v/>
      </c>
      <c r="MJ142" s="152">
        <f>'INVOCAÇÕES'!$AD$958&amp;""</f>
        <v/>
      </c>
      <c r="MK142" s="152">
        <f>'INVOCAÇÕES'!$AC$961&amp;""</f>
        <v/>
      </c>
      <c r="ML142" s="152">
        <f>'INVOCAÇÕES'!$AC$962&amp;""</f>
        <v/>
      </c>
      <c r="MM142" s="152">
        <f>'INVOCAÇÕES'!$AC$963&amp;""</f>
        <v/>
      </c>
      <c r="MN142" s="152">
        <f>'INVOCAÇÕES'!$AC$964&amp;""</f>
        <v/>
      </c>
      <c r="MO142" s="152">
        <f>'INVOCAÇÕES'!$AC$965&amp;""</f>
        <v/>
      </c>
      <c r="MP142" s="152">
        <f>'INVOCAÇÕES'!$AC$966&amp;""</f>
        <v/>
      </c>
      <c r="MQ142" s="152">
        <f>IF($MG142&lt;&gt;"",1,0)</f>
        <v/>
      </c>
      <c r="MR142" s="152">
        <f>INDEX($FI$2:$FI$13,$MB142)</f>
        <v/>
      </c>
      <c r="MS142" s="152">
        <f>INDEX($FJ$2:$FJ$13,$MB142)</f>
        <v/>
      </c>
      <c r="MT142" s="152">
        <f>INDEX($FK$2:$FK$13,$MB142)</f>
        <v/>
      </c>
      <c r="MU142" s="152">
        <f>INDEX($FV$2:$FV$13,$MB142)</f>
        <v/>
      </c>
      <c r="MV142" s="152">
        <f>INDEX($FW$2:$FW$13,$MB142)</f>
        <v/>
      </c>
      <c r="MW142" s="152">
        <f>IFERROR(MATCH($MH142,$V$2:$V$11,0),0)</f>
        <v/>
      </c>
      <c r="MX142" s="152">
        <f>IFERROR(VLOOKUP($MK142,$AV$2:$BA$84,2,FALSE),"")</f>
        <v/>
      </c>
      <c r="MY142" s="152">
        <f>IFERROR(VLOOKUP($ML142,$AV$2:$BA$84,2,FALSE),"")</f>
        <v/>
      </c>
      <c r="MZ142" s="152">
        <f>IFERROR(VLOOKUP($MM142,$AV$2:$BA$84,2,FALSE),"")</f>
        <v/>
      </c>
      <c r="NA142" s="152">
        <f>IFERROR(VLOOKUP($MN142,$AV$2:$BA$84,2,FALSE),"")</f>
        <v/>
      </c>
      <c r="NB142" s="152">
        <f>IFERROR(VLOOKUP($MK142,$AV$2:$BA$84,3,FALSE),0)</f>
        <v/>
      </c>
      <c r="NC142" s="152">
        <f>IFERROR(VLOOKUP($ML142,$AV$2:$BA$84,3,FALSE),0)</f>
        <v/>
      </c>
      <c r="ND142" s="152">
        <f>IFERROR(VLOOKUP($MM142,$AV$2:$BA$84,3,FALSE),0)</f>
        <v/>
      </c>
      <c r="NE142" s="152">
        <f>IFERROR(VLOOKUP($MN142,$AV$2:$BA$84,3,FALSE),0)</f>
        <v/>
      </c>
      <c r="NF142" s="152">
        <f>IF($MF142=0,0,IF($MW142=0,0,INDEX($X$2:$X$11,$MW142)))</f>
        <v/>
      </c>
      <c r="NG142" s="152">
        <f>IF(OR($NB142=0,$MF142=0),0,$NB142+3*IF(AND($MX142&lt;&gt;"",OR($MX142=INDEX($EF$2:$EF$13,$MB142),$MX142=INDEX($EG$2:$EG$13,$MB142))),1,0))</f>
        <v/>
      </c>
      <c r="NH142" s="152">
        <f>IF(OR($NC142=0,$MF142=0),0,$NC142+3*IF(AND($MY142&lt;&gt;"",OR($MY142=INDEX($EF$2:$EF$13,$MB142),$MY142=INDEX($EG$2:$EG$13,$MB142))),1,0))</f>
        <v/>
      </c>
      <c r="NI142" s="152">
        <f>IF(OR($ND142=0,$MF142=0),0,$ND142+3*IF(AND($MZ142&lt;&gt;"",OR($MZ142=INDEX($EF$2:$EF$13,$MB142),$MZ142=INDEX($EG$2:$EG$13,$MB142))),1,0))</f>
        <v/>
      </c>
      <c r="NJ142" s="152">
        <f>IF(OR($NE142=0,$MF142=0),0,$NE142+3*IF(AND($NA142&lt;&gt;"",OR($NA142=INDEX($EF$2:$EF$13,$MB142),$NA142=INDEX($EG$2:$EG$13,$MB142))),1,0))</f>
        <v/>
      </c>
      <c r="NK142" s="152">
        <f>IF($MW142=0,0,IF(INDEX($W$2:$W$11,$MW142)="",0,IF(COUNTIF(INDEX($EF$2:$EJ$13,$MB142,0),INDEX($W$2:$W$11,$MW142))=0,1,0)))</f>
        <v/>
      </c>
      <c r="NL142" s="152">
        <f>IF(OR($NB142=0,$MX142=""),0,IF(COUNTIF(INDEX($EF$2:$EJ$13,$MB142,0),$MX142)=0,1,0))</f>
        <v/>
      </c>
      <c r="NM142" s="152">
        <f>IF(OR($NC142=0,$MY142=""),0,IF(COUNTIF(INDEX($EF$2:$EJ$13,$MB142,0),$MY142)=0,1,0))</f>
        <v/>
      </c>
      <c r="NN142" s="152">
        <f>IF(OR($ND142=0,$MZ142=""),0,IF(COUNTIF(INDEX($EF$2:$EJ$13,$MB142,0),$MZ142)=0,1,0))</f>
        <v/>
      </c>
      <c r="NO142" s="152">
        <f>IF(OR($NE142=0,$NA142=""),0,IF(COUNTIF(INDEX($EF$2:$EJ$13,$MB142,0),$NA142)=0,1,0))</f>
        <v/>
      </c>
      <c r="NP142" s="152">
        <f>IFERROR(VLOOKUP($MK142,$AV$2:$BA$84,4,FALSE),0)+IFERROR(VLOOKUP($ML142,$AV$2:$BA$84,4,FALSE),0)+IFERROR(VLOOKUP($MM142,$AV$2:$BA$84,4,FALSE),0)+IFERROR(VLOOKUP($MN142,$AV$2:$BA$84,4,FALSE),0)</f>
        <v/>
      </c>
      <c r="NQ142" s="152">
        <f>IFERROR(VLOOKUP($MK142,$AV$2:$BA$84,6,FALSE),0)+IFERROR(VLOOKUP($ML142,$AV$2:$BA$84,6,FALSE),0)+IFERROR(VLOOKUP($MM142,$AV$2:$BA$84,6,FALSE),0)+IFERROR(VLOOKUP($MN142,$AV$2:$BA$84,6,FALSE),0)</f>
        <v/>
      </c>
      <c r="NR142" s="152">
        <f>TEXTJOIN(", ",TRUE,IF(IFERROR(VLOOKUP($MK142,$AV$2:$BA$84,5,FALSE),0)=1,$MK142,""),IF(IFERROR(VLOOKUP($ML142,$AV$2:$BA$84,5,FALSE),0)=1,$ML142,""),IF(IFERROR(VLOOKUP($MM142,$AV$2:$BA$84,5,FALSE),0)=1,$MM142,""),IF(IFERROR(VLOOKUP($MN142,$AV$2:$BA$84,5,FALSE),0)=1,$MN142,""))</f>
        <v/>
      </c>
      <c r="NS142" s="152">
        <f>IF($MW142=0,0,INDEX($Y$2:$Y$11,$MW142))</f>
        <v/>
      </c>
      <c r="NT142" s="152">
        <f>IF($MW142=0,0,INDEX($Z$2:$Z$11,$MW142))</f>
        <v/>
      </c>
      <c r="NU142" s="152">
        <f>IF($MW142=0,0,INDEX($AB$2:$AB$11,$MW142))</f>
        <v/>
      </c>
      <c r="NV142" s="152">
        <f>IFERROR(VLOOKUP($MO142,$BC$2:$BG$24,3,FALSE),0)</f>
        <v/>
      </c>
      <c r="NW142" s="152">
        <f>IFERROR(VLOOKUP($MP142,$BC$2:$BG$24,3,FALSE),0)</f>
        <v/>
      </c>
      <c r="NX142" s="152">
        <f>IFERROR(VLOOKUP($MO142,$BC$2:$BG$24,2,FALSE),"")</f>
        <v/>
      </c>
      <c r="NY142" s="152">
        <f>IFERROR(VLOOKUP($MP142,$BC$2:$BG$24,2,FALSE),"")</f>
        <v/>
      </c>
      <c r="NZ142" s="152">
        <f>COUNTIF($NF142:$NJ142,1)</f>
        <v/>
      </c>
      <c r="OA142" s="152">
        <f>COUNTIF($NF142:$NJ142,2)</f>
        <v/>
      </c>
      <c r="OB142" s="152">
        <f>COUNTIF($NF142:$NJ142,3)</f>
        <v/>
      </c>
      <c r="OC142" s="152">
        <f>COUNTIF($NF142:$NJ142,4)</f>
        <v/>
      </c>
      <c r="OD142" s="152">
        <f>COUNTIF($NF142:$NJ142,5)</f>
        <v/>
      </c>
      <c r="OE142" s="152">
        <f>COUNTIF($NF142:$NJ142,6)</f>
        <v/>
      </c>
      <c r="OF142" s="152">
        <f>COUNTIF($NV142:$NW142,1)</f>
        <v/>
      </c>
      <c r="OG142" s="152">
        <f>COUNTIF($NV142:$NW142,2)+$NS142</f>
        <v/>
      </c>
      <c r="OH142" s="152">
        <f>COUNTIF($MK142:$MN142,"?*")</f>
        <v/>
      </c>
      <c r="OI142" s="152">
        <f>COUNTIF($MO142:$MP142,"?*")+$NS142</f>
        <v/>
      </c>
      <c r="OJ142" s="152">
        <f>IF($MF142=0,0,SUMPRODUCT($NZ142:$OE142,INDEX($I$2:$N$8,MAX(1,$MF142),0)))</f>
        <v/>
      </c>
      <c r="OK142" s="152">
        <f>IF($MF142=0,0,$OF142*CEILING($MF142/2,1)+$OG142*$MF142)</f>
        <v/>
      </c>
      <c r="OL142" s="152">
        <f>MIN(2*$MF142,$OK142)</f>
        <v/>
      </c>
      <c r="OM142" s="152">
        <f>MIN($OL142,$OJ142)</f>
        <v/>
      </c>
      <c r="ON142" s="152">
        <f>$OL142-$OM142</f>
        <v/>
      </c>
      <c r="OO142" s="152">
        <f>IF($MF142=0,0,INDEX($P$2:$P$8,MAX(1,$MF142)))</f>
        <v/>
      </c>
      <c r="OP142" s="152">
        <f>$OO142-$OJ142+$OM142</f>
        <v/>
      </c>
      <c r="OQ142" s="152">
        <f>IF($MF142=0,MAX(0,$MT142-IF($OH142&gt;0,1,0)),MAX(0,$OP142))</f>
        <v/>
      </c>
      <c r="OR142" s="152">
        <f>IF($MF142=0,0,(IF(COUNTIF($MK142:$MN142,"Salto")&gt;0,1,0)+IF(COUNTIF($MK142:$MN142,"Queima")&gt;0,1,0)+IF(COUNTIF($MK142:$MN142,"Estilhaço")&gt;0,1,0))*FLOOR($OQ142/2,1))</f>
        <v/>
      </c>
      <c r="OS142" s="152">
        <f>MAX(0,2-SUMPRODUCT($NZ142:$OE142,$I$2:$N$2)+MIN(2,$OF142*1+$OG142*1,SUMPRODUCT($NZ142:$OE142,$I$2:$N$2)))</f>
        <v/>
      </c>
      <c r="OT142" s="152">
        <f>MAX(0,4-SUMPRODUCT($NZ142:$OE142,$I$3:$N$3)+MIN(4,$OF142*1+$OG142*2,SUMPRODUCT($NZ142:$OE142,$I$3:$N$3)))</f>
        <v/>
      </c>
      <c r="OU142" s="152">
        <f>MAX(0,6-SUMPRODUCT($NZ142:$OE142,$I$4:$N$4)+MIN(6,$OF142*2+$OG142*3,SUMPRODUCT($NZ142:$OE142,$I$4:$N$4)))</f>
        <v/>
      </c>
      <c r="OV142" s="152">
        <f>MAX(0,9-SUMPRODUCT($NZ142:$OE142,$I$5:$N$5)+MIN(8,$OF142*2+$OG142*4,SUMPRODUCT($NZ142:$OE142,$I$5:$N$5)))</f>
        <v/>
      </c>
      <c r="OW142" s="152">
        <f>MAX(0,11-SUMPRODUCT($NZ142:$OE142,$I$6:$N$6)+MIN(10,$OF142*3+$OG142*5,SUMPRODUCT($NZ142:$OE142,$I$6:$N$6)))</f>
        <v/>
      </c>
      <c r="OX142" s="152">
        <f>MAX(0,13-SUMPRODUCT($NZ142:$OE142,$I$7:$N$7)+MIN(12,$OF142*3+$OG142*6,SUMPRODUCT($NZ142:$OE142,$I$7:$N$7)))</f>
        <v/>
      </c>
      <c r="OY142" s="152">
        <f>MAX(0,16-SUMPRODUCT($NZ142:$OE142,$I$8:$N$8)+MIN(14,$OF142*4+$OG142*7,SUMPRODUCT($NZ142:$OE142,$I$8:$N$8)))</f>
        <v/>
      </c>
      <c r="OZ142" s="152">
        <f>IF($NT142=2,3*$OS142&amp;" de vida temp.",IF($NT142=3,"sem dano",IF($OS142=0,IF($NT142=1,"sem cura","sem dano"),IF($NT142=1,"cura ","")&amp;$OS142&amp;"d8")))</f>
        <v/>
      </c>
      <c r="PA142" s="152">
        <f>IF($NT142=2,3*$OT142&amp;" de vida temp.",IF($NT142=3,"sem dano",IF($OT142=0,IF($NT142=1,"sem cura","sem dano"),IF($NT142=1,"cura ","")&amp;$OT142&amp;"d8")))</f>
        <v/>
      </c>
      <c r="PB142" s="152">
        <f>IF($NT142=2,3*$OU142&amp;" de vida temp.",IF($NT142=3,"sem dano",IF($OU142=0,IF($NT142=1,"sem cura","sem dano"),IF($NT142=1,"cura ","")&amp;$OU142&amp;"d8")))</f>
        <v/>
      </c>
      <c r="PC142" s="152">
        <f>IF($NT142=2,3*$OV142&amp;" de vida temp.",IF($NT142=3,"sem dano",IF($OV142=0,IF($NT142=1,"sem cura","sem dano"),IF($NT142=1,"cura ","")&amp;$OV142&amp;"d8")))</f>
        <v/>
      </c>
      <c r="PD142" s="152">
        <f>IF($NT142=2,3*$OW142&amp;" de vida temp.",IF($NT142=3,"sem dano",IF($OW142=0,IF($NT142=1,"sem cura","sem dano"),IF($NT142=1,"cura ","")&amp;$OW142&amp;"d8")))</f>
        <v/>
      </c>
      <c r="PE142" s="152">
        <f>IF($NT142=2,3*$OX142&amp;" de vida temp.",IF($NT142=3,"sem dano",IF($OX142=0,IF($NT142=1,"sem cura","sem dano"),IF($NT142=1,"cura ","")&amp;$OX142&amp;"d8")))</f>
        <v/>
      </c>
      <c r="PF142" s="152">
        <f>IF($NT142=2,3*$OY142&amp;" de vida temp.",IF($NT142=3,"sem dano",IF($OY142=0,IF($NT142=1,"sem cura","sem dano"),IF($NT142=1,"cura ","")&amp;$OY142&amp;"d8")))</f>
        <v/>
      </c>
      <c r="PG142" s="152">
        <f>IF($MQ142=0,"",TEXTJOIN(" · ",TRUE,IF($MD142&gt;$MR142,"Este lugar abre no nível "&amp;$MD142,""),IF($MF142&gt;$MS142,"Classe "&amp;$MF142&amp;": o nível "&amp;$MR142&amp;" libera até a "&amp;$MS142,""),IF($NK142=1,"A Forma "&amp;$MH142&amp;" pede "&amp;INDEX($W$2:$W$11,$MW142)&amp;" aberta",""),IF(AND($MF142=0,$MW142&gt;0,IF($MW142=0,0,INDEX($AF$2:$AF$11,$MW142))=0),$MH142&amp;" não existe na Classe 0",""),IF($NL142=1,"Família Fechada: "&amp;$MK142,""),IF($NM142=1,"Família Fechada: "&amp;$ML142,""),IF($NN142=1,"Família Fechada: "&amp;$MM142,""),IF($NO142=1,"Família Fechada: "&amp;$MN142,""),IF(AND($MF142&gt;0,$OH142&gt;INDEX($O$2:$O$8,MAX(1,$MF142))),$OH142&amp;" Melhorias: a Classe "&amp;$MF142&amp;" aceita "&amp;INDEX($O$2:$O$8,MAX(1,$MF142)),""),IF(AND($MF142=0,$OH142&gt;1),"A básica aceita uma Melhoria",""),IF(AND($MF142=0,COUNTIF($NB142:$NE142,"&gt;1")&gt;0),"A básica só aceita Melhoria Leve",""),IF(AND($MF142&gt;0,$OI142&gt;2),$OI142&amp;" Restrições"&amp;IF($NS142=1,", contando a que a Forma "&amp;$MH142&amp;" já traz","")&amp;": o limite é 2",""),IF(AND($MF142=0,COUNTIF($MO142:$MP142,"?*")&gt;1),"A básica aceita uma Restrição Leve",""),IF(AND($MF142=0,COUNTIF($NV142:$NW142,2)&gt;0),"A básica só aceita Restrição Leve",""),IF(AND($MF142&gt;0,$OP142&lt;0),"Orçamento estourado: faltam "&amp;(-$OP142)&amp;IF($OP142&lt;-1," pontos"," ponto"),""),IF(IFERROR(VLOOKUP($MO142,$BC$2:$BG$24,4,FALSE),0)+IFERROR(VLOOKUP($MP142,$BC$2:$BG$24,4,FALSE),0)&gt;1,$NX142&amp;" e "&amp;$NY142&amp;" são as duas de frequência",""),IF(AND((COUNTIF($MK142:$MN142,"Rápido")+COUNTIF($NX142:$NY142,"Rápido"))&gt;0,(COUNTIF($MK142:$MN142,"Atrasar")+COUNTIF($NX142:$NY142,"Atrasar"))&gt;0),"Rápido não entra com Atrasar",""),IF(AND((COUNTIF($MK142:$MN142,"Reação")+COUNTIF($NX142:$NY142,"Reação"))&gt;0,(COUNTIF($MK142:$MN142,"Rápido")+COUNTIF($NX142:$NY142,"Rápido"))&gt;0),"Reação não entra com Rápido",""),IF(AND((COUNTIF($MK142:$MN142,"Reação")+COUNTIF($NX142:$NY142,"Reação"))&gt;0,(COUNTIF($MK142:$MN142,"Armado")+COUNTIF($NX142:$NY142,"Armado"))&gt;0),"Reação não entra com Armado",""),IF(AND((COUNTIF($MK142:$MN142,"Reação")+COUNTIF($NX142:$NY142,"Reação"))&gt;0,(COUNTIF($MK142:$MN142,"Atrasar")+COUNTIF($NX142:$NY142,"Atrasar"))&gt;0),"Reação não entra com Atrasar",""),IF(AND((COUNTIF($MK142:$MN142,"Reação")+COUNTIF($NX142:$NY142,"Reação"))&gt;0,(COUNTIF($MK142:$MN142,"Parado")+COUNTIF($NX142:$NY142,"Parado"))&gt;0),"Reação não entra com Parado",""),IF(AND((COUNTIF($MK142:$MN142,"Atrasar")+COUNTIF($NX142:$NY142,"Atrasar"))&gt;0,(COUNTIF($MK142:$MN142,"Parado")+COUNTIF($NX142:$NY142,"Parado"))&gt;0),"Atrasar não entra com Parado",""),IF(AND((COUNTIF($MK142:$MN142,"Armado")+COUNTIF($NX142:$NY142,"Armado"))&gt;0,(COUNTIF($MK142:$MN142,"Carregar")+COUNTIF($NX142:$NY142,"Carregar"))&gt;0),"Armado não entra com Carregar",""),IF(AND(COUNTIF($NX142:$NY142,"Corpo a Corpo")&gt;0,$NS142=0,OR($MH142="Cone",$MH142="Linha")),"Corpo a Corpo não entra em "&amp;$MH142,""),IF(AND(COUNTIF($NX142:$NY142,"Corpo a Corpo")&gt;0,$NS142=1),"A Forma "&amp;$MH142&amp;" já traz o Corpo a Corpo",""),IF(AND(COUNTIF($NX142:$NY142,"Tudo ou Nada")&gt;0,$NU142=0),"Tudo ou Nada só entra em habilidade de Teste de Resistência",""),IF(AND(COUNTIF($MK142:$MN142,"Inescapável")&gt;0,OR($OH142&gt;1,$OI142&gt;0)),"Inescapável não aceita outra peça",""),IF(AND($MF142&gt;0,$OQ142*IF(COUNTIF($MK142:$MN142,"Remate")&gt;0,1.25,1)+$OR142&gt;4*$MF142),($OQ142*IF(COUNTIF($MK142:$MN142,"Remate")&gt;0,1.25,1)+$OR142)&amp;" dados somando repetições"&amp;IF(COUNTIF($MK142:$MN142,"Remate")&gt;0," e o Remate","")&amp;": o teto da Classe "&amp;$MF142&amp;" é "&amp;4*$MF142,"")))</f>
        <v/>
      </c>
      <c r="PH142" s="152">
        <f>IF($PG142="",0,(LEN($PG142)-LEN(SUBSTITUTE($PG142," · ","")))/3+1)</f>
        <v/>
      </c>
      <c r="PI142" s="152">
        <f>IF($MQ142=0,"",TEXTJOIN(" · ",TRUE,IF($OK142&gt;2*$MF142,"A devolução parou no teto de "&amp;2*$MF142,""),IF($ON142&gt;0,"Devolução perdida: "&amp;$ON142&amp;IF($ON142&gt;1," pontos"," ponto")&amp;" sem peça para pagar",""),IF(AND($NP142&gt;0,AND($MF142&gt;0,$NT142=0),$OQ142=0),"Controle sem dano: uma rodada a mais e CD +2",""),IF(AND($NP142&gt;0,AND($MF142&gt;0,$NT142=0),$OQ142&gt;0,$OQ142&lt;=$MF142),"Controle com saldo até a Classe: uma rodada a mais",""),IF(AND($MF142&gt;0,$NR142&lt;&gt;""),"Efeito de "&amp;$NR142&amp;" pela Classe "&amp;MAX(1,$MF142-1),"")))</f>
        <v/>
      </c>
      <c r="PJ142" s="152">
        <f>IF($PI142="",0,(LEN($PI142)-LEN(SUBSTITUTE($PI142," · ","")))/3+1)</f>
        <v/>
      </c>
      <c r="PK142" s="152">
        <f>IF($MQ142=0,IF($OH142+COUNTIF($MO142:$MP142,"?*")&gt;0,"Dê um nome",""),IF($PH142&gt;0,"⚠ "&amp;$PH142&amp;IF($PH142&gt;1," erros"," erro"),IF($PJ142&gt;0,"! "&amp;$PJ142&amp;IF($PJ142&gt;1," avisos"," aviso"),"Na regra")))</f>
        <v/>
      </c>
      <c r="PL142" s="152">
        <f>IF($MQ142=0,"",IF($PH142+$PJ142=0,"Dentro das regras que a ficha confere",$PG142&amp;IF(AND($PH142&gt;0,$PJ142&gt;0)," · ","")&amp;$PI142))</f>
        <v/>
      </c>
      <c r="PM142" s="152">
        <f>IF($MD142&gt;$MR142,$ME142&amp;" · ABRE NO NÍVEL "&amp;$MD142,$ME142)</f>
        <v/>
      </c>
      <c r="PN142" s="152">
        <f>IF($MQ142=0,"",IF($MF142=0,"Sem PE",3*$MF142&amp;" PE"))</f>
        <v/>
      </c>
      <c r="PO142" s="152">
        <f>IF($MQ142=0,"",IF($MF142=0,"A atuação básica dela",IF(COUNTIF($NX142:$NY142,"Atrasar")&gt;0,"Sua Ação Completa",IF(COUNTIF($MK142:$MN142,"Rápido")&gt;0,"Sua Bônus",IF(COUNTIF($MK142:$MN142,"Reação")&gt;0,"Sua Reação","Sua Padrão")))&amp;" + a básica dela"&amp;IF(COUNTIF($MK142:$MN142,"Reação")&gt;0," e a coletiva","")&amp;IF(COUNTIF($NX142:$NY142,"Carregar")&gt;0," · em dois turnos","")))</f>
        <v/>
      </c>
      <c r="PP142" s="152">
        <f>IF($MJ142&lt;&gt;"",$MJ142,IF($MW142=0,"",INDEX($AA$2:$AA$11,$MW142)))</f>
        <v/>
      </c>
      <c r="PQ142" s="152">
        <f>IF(OR($MQ142=0,$MW142=0),"",IF(COUNTIF($MK142:$MN142,"Inescapável")&gt;0,"Automático",IF($PP142="Ataque",IF($MU142="","Ataque","Ataque "&amp;IF(($MU142+2*IF(COUNTIF($MK142:$MN142,"Precisão")&gt;0,1,0))&gt;=0,"+","−")&amp;ABS(($MU142+2*IF(COUNTIF($MK142:$MN142,"Precisão")&gt;0,1,0))))&amp;IF($NQ142&gt;0," · TR"&amp;IF($MV142="",""," CD "&amp;$MV142),""),IF(LEFT($PP142,2)="TR",$PP142&amp;IF($MV142="",""," · CD "&amp;$MV142)&amp;IF(COUNTIF($MK142:$MN142,"Certeiro")&gt;0," · metade",""),"Sem rolagem"))))</f>
        <v/>
      </c>
      <c r="PR142" s="152">
        <f>IF(OR($MQ142=0,$MW142=0),"",IF($MF142=0,IF(OR($NT142&gt;=1,$OQ142=0),"Sem dano",$OQ142&amp;"d6"&amp;IF($MI142="",""," "&amp;$MI142)),IF(OR($NT142&gt;=1,$OQ142=0),UPPER(LEFT(INDEX($OZ142:$PF142,1,MAX(1,$MF142)),1))&amp;MID(INDEX($OZ142:$PF142,1,MAX(1,$MF142)),2,99),UPPER(LEFT(INDEX($OZ142:$PF142,1,MAX(1,$MF142)),1))&amp;MID(INDEX($OZ142:$PF142,1,MAX(1,$MF142)),2,99)&amp;IF($MI142="",""," "&amp;$MI142)&amp;IF($OR142&gt;0," · +"&amp;$OR142&amp;"d8",""))))</f>
        <v/>
      </c>
      <c r="PS142" s="152">
        <f>COUNTIF($MK142:$MN142,"Longe")+3*COUNTIF($MK142:$MN142,"Muito Longe")</f>
        <v/>
      </c>
      <c r="PT142" s="152">
        <f>COUNTIF($MK142:$MN142,"Maior")+3*COUNTIF($MK142:$MN142,"Muito Maior")</f>
        <v/>
      </c>
      <c r="PU142" s="152">
        <f>IF($MW142=0,0,CHOOSE(1+INDEX($AC$2:$AC$11,$MW142),0,$PS142,$PT142,$PS142+$PT142))</f>
        <v/>
      </c>
      <c r="PV142" s="152">
        <f>IF($MW142=0,0,CHOOSE(1+INDEX($AD$2:$AD$11,$MW142),0,$PS142,$PT142,$PS142+$PT142))</f>
        <v/>
      </c>
      <c r="PW142" s="152">
        <f>IF(OR($MQ142=0,$MW142=0),"",INDEX($AI$2:$AN$41,($MW142-1)*4+IF($MF142=0,1,IF($MF142&lt;=5,2,IF($MF142=6,3,4))),1+MIN(5,$PU142))&amp;INDEX($AO$2:$AT$41,($MW142-1)*4+IF($MF142=0,1,IF($MF142&lt;=5,2,IF($MF142=6,3,4))),1+MIN(5,$PV142))&amp;IF(INDEX($AE$2:$AE$11,$MW142)=1,IF(COUNTIF($MK142:$MN142,"Mais Um")&gt;0," · +"&amp;COUNTIF($MK142:$MN142,"Mais Um")&amp;IF(COUNTIF($MK142:$MN142,"Mais Um")&gt;1," alvos"," alvo"),"")&amp;IF(COUNTIF($MK142:$MN142,"Rajada")&gt;0,IF($MF142=0," · 1 tiro"," · "&amp;(MAX(1,$MF142-1)+1)&amp;" tiros"),""),""))</f>
        <v/>
      </c>
      <c r="PX142" s="152">
        <f>IF($MQ142=0,"",IF($MF142=0,$MT142&amp;"d6"&amp;IF($OH142&gt;0," − 1 = "&amp;$OQ142&amp;"d6"," da básica do nível "&amp;$MR142),$OO142&amp;" − "&amp;$OJ142&amp;" + "&amp;$OM142&amp;" = "&amp;$OP142&amp;" · teto "&amp;4*$MF142&amp;"d8"&amp;IF($NS142=1," · a Forma devolve "&amp;$MF142,"")&amp;IF($ON142&gt;0," · perde "&amp;$ON142,"")))</f>
        <v/>
      </c>
      <c r="PY142" s="152">
        <f>IF($MQ142=0,"",IF($MF142=0,"A básica não amplia: os dados dela sobem com o nível",IF($MF142&gt;=$MS142,"Já está na maior Classe que o nível liberou",TEXTJOIN(" · ",TRUE,IF(AND(2&gt;$MF142,2&lt;=$MS142),"2 → "&amp;$PA142&amp;", 6 PE",""),IF(AND(3&gt;$MF142,3&lt;=$MS142),"3 → "&amp;$PB142&amp;", 9 PE",""),IF(AND(4&gt;$MF142,4&lt;=$MS142),"4 → "&amp;$PC142&amp;", 12 PE",""),IF(AND(5&gt;$MF142,5&lt;=$MS142),"5 → "&amp;$PD142&amp;", 15 PE",""),IF(AND(6&gt;$MF142,6&lt;=$MS142),"6 → "&amp;$PE142&amp;", 18 PE",""),IF(AND(7&gt;$MF142,7&lt;=$MS142),"7 → "&amp;$PF142&amp;", 21 PE","")))))</f>
        <v/>
      </c>
      <c r="PZ142" s="152">
        <f>IF(OR($MQ142=0,$NB142=0),"",IF($MF142=0,"−1 dado","−"&amp;INDEX($I$2:$N$8,MAX(1,$MF142),MAX(1,$NG142))&amp;" · "&amp;CHOOSE(MAX(1,$NG142),"Leve","Média","Pesada","Leve · Livre","Média · Livre","Pesada · Livre")))</f>
        <v/>
      </c>
      <c r="QA142" s="152">
        <f>IF(OR($MQ142=0,$NC142=0),"",IF($MF142=0,"−1 dado","−"&amp;INDEX($I$2:$N$8,MAX(1,$MF142),MAX(1,$NH142))&amp;" · "&amp;CHOOSE(MAX(1,$NH142),"Leve","Média","Pesada","Leve · Livre","Média · Livre","Pesada · Livre")))</f>
        <v/>
      </c>
      <c r="QB142" s="152">
        <f>IF(OR($MQ142=0,$ND142=0),"",IF($MF142=0,"−1 dado","−"&amp;INDEX($I$2:$N$8,MAX(1,$MF142),MAX(1,$NI142))&amp;" · "&amp;CHOOSE(MAX(1,$NI142),"Leve","Média","Pesada","Leve · Livre","Média · Livre","Pesada · Livre")))</f>
        <v/>
      </c>
      <c r="QC142" s="152">
        <f>IF(OR($MQ142=0,$NE142=0),"",IF($MF142=0,"−1 dado","−"&amp;INDEX($I$2:$N$8,MAX(1,$MF142),MAX(1,$NJ142))&amp;" · "&amp;CHOOSE(MAX(1,$NJ142),"Leve","Média","Pesada","Leve · Livre","Média · Livre","Pesada · Livre")))</f>
        <v/>
      </c>
      <c r="QD142" s="152">
        <f>IF(OR($MQ142=0,$MO142=""),"",IF($MF142=0,"não devolve","+"&amp;IF($NV142=1,CEILING($MF142/2,1),$MF142)))</f>
        <v/>
      </c>
      <c r="QE142" s="152">
        <f>IF(OR($MQ142=0,$MP142=""),"",IF($MF142=0,"não devolve","+"&amp;IF($NW142=1,CEILING($MF142/2,1),$MF142)))</f>
        <v/>
      </c>
    </row>
    <row r="143">
      <c r="MA143" s="150" t="inlineStr">
        <is>
          <t>Ficha 11 · Escolha da trilha 2</t>
        </is>
      </c>
      <c r="MB143" s="152" t="n">
        <v>11</v>
      </c>
      <c r="MC143" s="152" t="n">
        <v>2</v>
      </c>
      <c r="MD143" s="152" t="n">
        <v>0</v>
      </c>
      <c r="ME143" s="150" t="inlineStr">
        <is>
          <t>ESCOLHA DA TRILHA 2</t>
        </is>
      </c>
      <c r="MF143" s="152">
        <f>MAX(0,MIN(7,N('INVOCAÇÕES'!$AH$952)))</f>
        <v/>
      </c>
      <c r="MG143" s="152">
        <f>'INVOCAÇÕES'!$AI$952&amp;""</f>
        <v/>
      </c>
      <c r="MH143" s="152">
        <f>'INVOCAÇÕES'!$AH$957&amp;""</f>
        <v/>
      </c>
      <c r="MI143" s="152">
        <f>'INVOCAÇÕES'!$AH$958&amp;""</f>
        <v/>
      </c>
      <c r="MJ143" s="152">
        <f>'INVOCAÇÕES'!$AJ$958&amp;""</f>
        <v/>
      </c>
      <c r="MK143" s="152">
        <f>'INVOCAÇÕES'!$AI$961&amp;""</f>
        <v/>
      </c>
      <c r="ML143" s="152">
        <f>'INVOCAÇÕES'!$AI$962&amp;""</f>
        <v/>
      </c>
      <c r="MM143" s="152">
        <f>'INVOCAÇÕES'!$AI$963&amp;""</f>
        <v/>
      </c>
      <c r="MN143" s="152">
        <f>'INVOCAÇÕES'!$AI$964&amp;""</f>
        <v/>
      </c>
      <c r="MO143" s="152">
        <f>'INVOCAÇÕES'!$AI$965&amp;""</f>
        <v/>
      </c>
      <c r="MP143" s="152">
        <f>'INVOCAÇÕES'!$AI$966&amp;""</f>
        <v/>
      </c>
      <c r="MQ143" s="152">
        <f>IF($MG143&lt;&gt;"",1,0)</f>
        <v/>
      </c>
      <c r="MR143" s="152">
        <f>INDEX($FI$2:$FI$13,$MB143)</f>
        <v/>
      </c>
      <c r="MS143" s="152">
        <f>INDEX($FJ$2:$FJ$13,$MB143)</f>
        <v/>
      </c>
      <c r="MT143" s="152">
        <f>INDEX($FK$2:$FK$13,$MB143)</f>
        <v/>
      </c>
      <c r="MU143" s="152">
        <f>INDEX($FV$2:$FV$13,$MB143)</f>
        <v/>
      </c>
      <c r="MV143" s="152">
        <f>INDEX($FW$2:$FW$13,$MB143)</f>
        <v/>
      </c>
      <c r="MW143" s="152">
        <f>IFERROR(MATCH($MH143,$V$2:$V$11,0),0)</f>
        <v/>
      </c>
      <c r="MX143" s="152">
        <f>IFERROR(VLOOKUP($MK143,$AV$2:$BA$84,2,FALSE),"")</f>
        <v/>
      </c>
      <c r="MY143" s="152">
        <f>IFERROR(VLOOKUP($ML143,$AV$2:$BA$84,2,FALSE),"")</f>
        <v/>
      </c>
      <c r="MZ143" s="152">
        <f>IFERROR(VLOOKUP($MM143,$AV$2:$BA$84,2,FALSE),"")</f>
        <v/>
      </c>
      <c r="NA143" s="152">
        <f>IFERROR(VLOOKUP($MN143,$AV$2:$BA$84,2,FALSE),"")</f>
        <v/>
      </c>
      <c r="NB143" s="152">
        <f>IFERROR(VLOOKUP($MK143,$AV$2:$BA$84,3,FALSE),0)</f>
        <v/>
      </c>
      <c r="NC143" s="152">
        <f>IFERROR(VLOOKUP($ML143,$AV$2:$BA$84,3,FALSE),0)</f>
        <v/>
      </c>
      <c r="ND143" s="152">
        <f>IFERROR(VLOOKUP($MM143,$AV$2:$BA$84,3,FALSE),0)</f>
        <v/>
      </c>
      <c r="NE143" s="152">
        <f>IFERROR(VLOOKUP($MN143,$AV$2:$BA$84,3,FALSE),0)</f>
        <v/>
      </c>
      <c r="NF143" s="152">
        <f>IF($MF143=0,0,IF($MW143=0,0,INDEX($X$2:$X$11,$MW143)))</f>
        <v/>
      </c>
      <c r="NG143" s="152">
        <f>IF(OR($NB143=0,$MF143=0),0,$NB143+3*IF(AND($MX143&lt;&gt;"",OR($MX143=INDEX($EF$2:$EF$13,$MB143),$MX143=INDEX($EG$2:$EG$13,$MB143))),1,0))</f>
        <v/>
      </c>
      <c r="NH143" s="152">
        <f>IF(OR($NC143=0,$MF143=0),0,$NC143+3*IF(AND($MY143&lt;&gt;"",OR($MY143=INDEX($EF$2:$EF$13,$MB143),$MY143=INDEX($EG$2:$EG$13,$MB143))),1,0))</f>
        <v/>
      </c>
      <c r="NI143" s="152">
        <f>IF(OR($ND143=0,$MF143=0),0,$ND143+3*IF(AND($MZ143&lt;&gt;"",OR($MZ143=INDEX($EF$2:$EF$13,$MB143),$MZ143=INDEX($EG$2:$EG$13,$MB143))),1,0))</f>
        <v/>
      </c>
      <c r="NJ143" s="152">
        <f>IF(OR($NE143=0,$MF143=0),0,$NE143+3*IF(AND($NA143&lt;&gt;"",OR($NA143=INDEX($EF$2:$EF$13,$MB143),$NA143=INDEX($EG$2:$EG$13,$MB143))),1,0))</f>
        <v/>
      </c>
      <c r="NK143" s="152">
        <f>IF($MW143=0,0,IF(INDEX($W$2:$W$11,$MW143)="",0,IF(COUNTIF(INDEX($EF$2:$EJ$13,$MB143,0),INDEX($W$2:$W$11,$MW143))=0,1,0)))</f>
        <v/>
      </c>
      <c r="NL143" s="152">
        <f>IF(OR($NB143=0,$MX143=""),0,IF(COUNTIF(INDEX($EF$2:$EJ$13,$MB143,0),$MX143)=0,1,0))</f>
        <v/>
      </c>
      <c r="NM143" s="152">
        <f>IF(OR($NC143=0,$MY143=""),0,IF(COUNTIF(INDEX($EF$2:$EJ$13,$MB143,0),$MY143)=0,1,0))</f>
        <v/>
      </c>
      <c r="NN143" s="152">
        <f>IF(OR($ND143=0,$MZ143=""),0,IF(COUNTIF(INDEX($EF$2:$EJ$13,$MB143,0),$MZ143)=0,1,0))</f>
        <v/>
      </c>
      <c r="NO143" s="152">
        <f>IF(OR($NE143=0,$NA143=""),0,IF(COUNTIF(INDEX($EF$2:$EJ$13,$MB143,0),$NA143)=0,1,0))</f>
        <v/>
      </c>
      <c r="NP143" s="152">
        <f>IFERROR(VLOOKUP($MK143,$AV$2:$BA$84,4,FALSE),0)+IFERROR(VLOOKUP($ML143,$AV$2:$BA$84,4,FALSE),0)+IFERROR(VLOOKUP($MM143,$AV$2:$BA$84,4,FALSE),0)+IFERROR(VLOOKUP($MN143,$AV$2:$BA$84,4,FALSE),0)</f>
        <v/>
      </c>
      <c r="NQ143" s="152">
        <f>IFERROR(VLOOKUP($MK143,$AV$2:$BA$84,6,FALSE),0)+IFERROR(VLOOKUP($ML143,$AV$2:$BA$84,6,FALSE),0)+IFERROR(VLOOKUP($MM143,$AV$2:$BA$84,6,FALSE),0)+IFERROR(VLOOKUP($MN143,$AV$2:$BA$84,6,FALSE),0)</f>
        <v/>
      </c>
      <c r="NR143" s="152">
        <f>TEXTJOIN(", ",TRUE,IF(IFERROR(VLOOKUP($MK143,$AV$2:$BA$84,5,FALSE),0)=1,$MK143,""),IF(IFERROR(VLOOKUP($ML143,$AV$2:$BA$84,5,FALSE),0)=1,$ML143,""),IF(IFERROR(VLOOKUP($MM143,$AV$2:$BA$84,5,FALSE),0)=1,$MM143,""),IF(IFERROR(VLOOKUP($MN143,$AV$2:$BA$84,5,FALSE),0)=1,$MN143,""))</f>
        <v/>
      </c>
      <c r="NS143" s="152">
        <f>IF($MW143=0,0,INDEX($Y$2:$Y$11,$MW143))</f>
        <v/>
      </c>
      <c r="NT143" s="152">
        <f>IF($MW143=0,0,INDEX($Z$2:$Z$11,$MW143))</f>
        <v/>
      </c>
      <c r="NU143" s="152">
        <f>IF($MW143=0,0,INDEX($AB$2:$AB$11,$MW143))</f>
        <v/>
      </c>
      <c r="NV143" s="152">
        <f>IFERROR(VLOOKUP($MO143,$BC$2:$BG$24,3,FALSE),0)</f>
        <v/>
      </c>
      <c r="NW143" s="152">
        <f>IFERROR(VLOOKUP($MP143,$BC$2:$BG$24,3,FALSE),0)</f>
        <v/>
      </c>
      <c r="NX143" s="152">
        <f>IFERROR(VLOOKUP($MO143,$BC$2:$BG$24,2,FALSE),"")</f>
        <v/>
      </c>
      <c r="NY143" s="152">
        <f>IFERROR(VLOOKUP($MP143,$BC$2:$BG$24,2,FALSE),"")</f>
        <v/>
      </c>
      <c r="NZ143" s="152">
        <f>COUNTIF($NF143:$NJ143,1)</f>
        <v/>
      </c>
      <c r="OA143" s="152">
        <f>COUNTIF($NF143:$NJ143,2)</f>
        <v/>
      </c>
      <c r="OB143" s="152">
        <f>COUNTIF($NF143:$NJ143,3)</f>
        <v/>
      </c>
      <c r="OC143" s="152">
        <f>COUNTIF($NF143:$NJ143,4)</f>
        <v/>
      </c>
      <c r="OD143" s="152">
        <f>COUNTIF($NF143:$NJ143,5)</f>
        <v/>
      </c>
      <c r="OE143" s="152">
        <f>COUNTIF($NF143:$NJ143,6)</f>
        <v/>
      </c>
      <c r="OF143" s="152">
        <f>COUNTIF($NV143:$NW143,1)</f>
        <v/>
      </c>
      <c r="OG143" s="152">
        <f>COUNTIF($NV143:$NW143,2)+$NS143</f>
        <v/>
      </c>
      <c r="OH143" s="152">
        <f>COUNTIF($MK143:$MN143,"?*")</f>
        <v/>
      </c>
      <c r="OI143" s="152">
        <f>COUNTIF($MO143:$MP143,"?*")+$NS143</f>
        <v/>
      </c>
      <c r="OJ143" s="152">
        <f>IF($MF143=0,0,SUMPRODUCT($NZ143:$OE143,INDEX($I$2:$N$8,MAX(1,$MF143),0)))</f>
        <v/>
      </c>
      <c r="OK143" s="152">
        <f>IF($MF143=0,0,$OF143*CEILING($MF143/2,1)+$OG143*$MF143)</f>
        <v/>
      </c>
      <c r="OL143" s="152">
        <f>MIN(2*$MF143,$OK143)</f>
        <v/>
      </c>
      <c r="OM143" s="152">
        <f>MIN($OL143,$OJ143)</f>
        <v/>
      </c>
      <c r="ON143" s="152">
        <f>$OL143-$OM143</f>
        <v/>
      </c>
      <c r="OO143" s="152">
        <f>IF($MF143=0,0,INDEX($P$2:$P$8,MAX(1,$MF143)))</f>
        <v/>
      </c>
      <c r="OP143" s="152">
        <f>$OO143-$OJ143+$OM143</f>
        <v/>
      </c>
      <c r="OQ143" s="152">
        <f>IF($MF143=0,MAX(0,$MT143-IF($OH143&gt;0,1,0)),MAX(0,$OP143))</f>
        <v/>
      </c>
      <c r="OR143" s="152">
        <f>IF($MF143=0,0,(IF(COUNTIF($MK143:$MN143,"Salto")&gt;0,1,0)+IF(COUNTIF($MK143:$MN143,"Queima")&gt;0,1,0)+IF(COUNTIF($MK143:$MN143,"Estilhaço")&gt;0,1,0))*FLOOR($OQ143/2,1))</f>
        <v/>
      </c>
      <c r="OS143" s="152">
        <f>MAX(0,2-SUMPRODUCT($NZ143:$OE143,$I$2:$N$2)+MIN(2,$OF143*1+$OG143*1,SUMPRODUCT($NZ143:$OE143,$I$2:$N$2)))</f>
        <v/>
      </c>
      <c r="OT143" s="152">
        <f>MAX(0,4-SUMPRODUCT($NZ143:$OE143,$I$3:$N$3)+MIN(4,$OF143*1+$OG143*2,SUMPRODUCT($NZ143:$OE143,$I$3:$N$3)))</f>
        <v/>
      </c>
      <c r="OU143" s="152">
        <f>MAX(0,6-SUMPRODUCT($NZ143:$OE143,$I$4:$N$4)+MIN(6,$OF143*2+$OG143*3,SUMPRODUCT($NZ143:$OE143,$I$4:$N$4)))</f>
        <v/>
      </c>
      <c r="OV143" s="152">
        <f>MAX(0,9-SUMPRODUCT($NZ143:$OE143,$I$5:$N$5)+MIN(8,$OF143*2+$OG143*4,SUMPRODUCT($NZ143:$OE143,$I$5:$N$5)))</f>
        <v/>
      </c>
      <c r="OW143" s="152">
        <f>MAX(0,11-SUMPRODUCT($NZ143:$OE143,$I$6:$N$6)+MIN(10,$OF143*3+$OG143*5,SUMPRODUCT($NZ143:$OE143,$I$6:$N$6)))</f>
        <v/>
      </c>
      <c r="OX143" s="152">
        <f>MAX(0,13-SUMPRODUCT($NZ143:$OE143,$I$7:$N$7)+MIN(12,$OF143*3+$OG143*6,SUMPRODUCT($NZ143:$OE143,$I$7:$N$7)))</f>
        <v/>
      </c>
      <c r="OY143" s="152">
        <f>MAX(0,16-SUMPRODUCT($NZ143:$OE143,$I$8:$N$8)+MIN(14,$OF143*4+$OG143*7,SUMPRODUCT($NZ143:$OE143,$I$8:$N$8)))</f>
        <v/>
      </c>
      <c r="OZ143" s="152">
        <f>IF($NT143=2,3*$OS143&amp;" de vida temp.",IF($NT143=3,"sem dano",IF($OS143=0,IF($NT143=1,"sem cura","sem dano"),IF($NT143=1,"cura ","")&amp;$OS143&amp;"d8")))</f>
        <v/>
      </c>
      <c r="PA143" s="152">
        <f>IF($NT143=2,3*$OT143&amp;" de vida temp.",IF($NT143=3,"sem dano",IF($OT143=0,IF($NT143=1,"sem cura","sem dano"),IF($NT143=1,"cura ","")&amp;$OT143&amp;"d8")))</f>
        <v/>
      </c>
      <c r="PB143" s="152">
        <f>IF($NT143=2,3*$OU143&amp;" de vida temp.",IF($NT143=3,"sem dano",IF($OU143=0,IF($NT143=1,"sem cura","sem dano"),IF($NT143=1,"cura ","")&amp;$OU143&amp;"d8")))</f>
        <v/>
      </c>
      <c r="PC143" s="152">
        <f>IF($NT143=2,3*$OV143&amp;" de vida temp.",IF($NT143=3,"sem dano",IF($OV143=0,IF($NT143=1,"sem cura","sem dano"),IF($NT143=1,"cura ","")&amp;$OV143&amp;"d8")))</f>
        <v/>
      </c>
      <c r="PD143" s="152">
        <f>IF($NT143=2,3*$OW143&amp;" de vida temp.",IF($NT143=3,"sem dano",IF($OW143=0,IF($NT143=1,"sem cura","sem dano"),IF($NT143=1,"cura ","")&amp;$OW143&amp;"d8")))</f>
        <v/>
      </c>
      <c r="PE143" s="152">
        <f>IF($NT143=2,3*$OX143&amp;" de vida temp.",IF($NT143=3,"sem dano",IF($OX143=0,IF($NT143=1,"sem cura","sem dano"),IF($NT143=1,"cura ","")&amp;$OX143&amp;"d8")))</f>
        <v/>
      </c>
      <c r="PF143" s="152">
        <f>IF($NT143=2,3*$OY143&amp;" de vida temp.",IF($NT143=3,"sem dano",IF($OY143=0,IF($NT143=1,"sem cura","sem dano"),IF($NT143=1,"cura ","")&amp;$OY143&amp;"d8")))</f>
        <v/>
      </c>
      <c r="PG143" s="152">
        <f>IF($MQ143=0,"",TEXTJOIN(" · ",TRUE,IF($MD143&gt;$MR143,"Este lugar abre no nível "&amp;$MD143,""),IF($MF143&gt;$MS143,"Classe "&amp;$MF143&amp;": o nível "&amp;$MR143&amp;" libera até a "&amp;$MS143,""),IF($NK143=1,"A Forma "&amp;$MH143&amp;" pede "&amp;INDEX($W$2:$W$11,$MW143)&amp;" aberta",""),IF(AND($MF143=0,$MW143&gt;0,IF($MW143=0,0,INDEX($AF$2:$AF$11,$MW143))=0),$MH143&amp;" não existe na Classe 0",""),IF($NL143=1,"Família Fechada: "&amp;$MK143,""),IF($NM143=1,"Família Fechada: "&amp;$ML143,""),IF($NN143=1,"Família Fechada: "&amp;$MM143,""),IF($NO143=1,"Família Fechada: "&amp;$MN143,""),IF(AND($MF143&gt;0,$OH143&gt;INDEX($O$2:$O$8,MAX(1,$MF143))),$OH143&amp;" Melhorias: a Classe "&amp;$MF143&amp;" aceita "&amp;INDEX($O$2:$O$8,MAX(1,$MF143)),""),IF(AND($MF143=0,$OH143&gt;1),"A básica aceita uma Melhoria",""),IF(AND($MF143=0,COUNTIF($NB143:$NE143,"&gt;1")&gt;0),"A básica só aceita Melhoria Leve",""),IF(AND($MF143&gt;0,$OI143&gt;2),$OI143&amp;" Restrições"&amp;IF($NS143=1,", contando a que a Forma "&amp;$MH143&amp;" já traz","")&amp;": o limite é 2",""),IF(AND($MF143=0,COUNTIF($MO143:$MP143,"?*")&gt;1),"A básica aceita uma Restrição Leve",""),IF(AND($MF143=0,COUNTIF($NV143:$NW143,2)&gt;0),"A básica só aceita Restrição Leve",""),IF(AND($MF143&gt;0,$OP143&lt;0),"Orçamento estourado: faltam "&amp;(-$OP143)&amp;IF($OP143&lt;-1," pontos"," ponto"),""),IF(IFERROR(VLOOKUP($MO143,$BC$2:$BG$24,4,FALSE),0)+IFERROR(VLOOKUP($MP143,$BC$2:$BG$24,4,FALSE),0)&gt;1,$NX143&amp;" e "&amp;$NY143&amp;" são as duas de frequência",""),IF(AND((COUNTIF($MK143:$MN143,"Rápido")+COUNTIF($NX143:$NY143,"Rápido"))&gt;0,(COUNTIF($MK143:$MN143,"Atrasar")+COUNTIF($NX143:$NY143,"Atrasar"))&gt;0),"Rápido não entra com Atrasar",""),IF(AND((COUNTIF($MK143:$MN143,"Reação")+COUNTIF($NX143:$NY143,"Reação"))&gt;0,(COUNTIF($MK143:$MN143,"Rápido")+COUNTIF($NX143:$NY143,"Rápido"))&gt;0),"Reação não entra com Rápido",""),IF(AND((COUNTIF($MK143:$MN143,"Reação")+COUNTIF($NX143:$NY143,"Reação"))&gt;0,(COUNTIF($MK143:$MN143,"Armado")+COUNTIF($NX143:$NY143,"Armado"))&gt;0),"Reação não entra com Armado",""),IF(AND((COUNTIF($MK143:$MN143,"Reação")+COUNTIF($NX143:$NY143,"Reação"))&gt;0,(COUNTIF($MK143:$MN143,"Atrasar")+COUNTIF($NX143:$NY143,"Atrasar"))&gt;0),"Reação não entra com Atrasar",""),IF(AND((COUNTIF($MK143:$MN143,"Reação")+COUNTIF($NX143:$NY143,"Reação"))&gt;0,(COUNTIF($MK143:$MN143,"Parado")+COUNTIF($NX143:$NY143,"Parado"))&gt;0),"Reação não entra com Parado",""),IF(AND((COUNTIF($MK143:$MN143,"Atrasar")+COUNTIF($NX143:$NY143,"Atrasar"))&gt;0,(COUNTIF($MK143:$MN143,"Parado")+COUNTIF($NX143:$NY143,"Parado"))&gt;0),"Atrasar não entra com Parado",""),IF(AND((COUNTIF($MK143:$MN143,"Armado")+COUNTIF($NX143:$NY143,"Armado"))&gt;0,(COUNTIF($MK143:$MN143,"Carregar")+COUNTIF($NX143:$NY143,"Carregar"))&gt;0),"Armado não entra com Carregar",""),IF(AND(COUNTIF($NX143:$NY143,"Corpo a Corpo")&gt;0,$NS143=0,OR($MH143="Cone",$MH143="Linha")),"Corpo a Corpo não entra em "&amp;$MH143,""),IF(AND(COUNTIF($NX143:$NY143,"Corpo a Corpo")&gt;0,$NS143=1),"A Forma "&amp;$MH143&amp;" já traz o Corpo a Corpo",""),IF(AND(COUNTIF($NX143:$NY143,"Tudo ou Nada")&gt;0,$NU143=0),"Tudo ou Nada só entra em habilidade de Teste de Resistência",""),IF(AND(COUNTIF($MK143:$MN143,"Inescapável")&gt;0,OR($OH143&gt;1,$OI143&gt;0)),"Inescapável não aceita outra peça",""),IF(AND($MF143&gt;0,$OQ143*IF(COUNTIF($MK143:$MN143,"Remate")&gt;0,1.25,1)+$OR143&gt;4*$MF143),($OQ143*IF(COUNTIF($MK143:$MN143,"Remate")&gt;0,1.25,1)+$OR143)&amp;" dados somando repetições"&amp;IF(COUNTIF($MK143:$MN143,"Remate")&gt;0," e o Remate","")&amp;": o teto da Classe "&amp;$MF143&amp;" é "&amp;4*$MF143,"")))</f>
        <v/>
      </c>
      <c r="PH143" s="152">
        <f>IF($PG143="",0,(LEN($PG143)-LEN(SUBSTITUTE($PG143," · ","")))/3+1)</f>
        <v/>
      </c>
      <c r="PI143" s="152">
        <f>IF($MQ143=0,"",TEXTJOIN(" · ",TRUE,IF($OK143&gt;2*$MF143,"A devolução parou no teto de "&amp;2*$MF143,""),IF($ON143&gt;0,"Devolução perdida: "&amp;$ON143&amp;IF($ON143&gt;1," pontos"," ponto")&amp;" sem peça para pagar",""),IF(AND($NP143&gt;0,AND($MF143&gt;0,$NT143=0),$OQ143=0),"Controle sem dano: uma rodada a mais e CD +2",""),IF(AND($NP143&gt;0,AND($MF143&gt;0,$NT143=0),$OQ143&gt;0,$OQ143&lt;=$MF143),"Controle com saldo até a Classe: uma rodada a mais",""),IF(AND($MF143&gt;0,$NR143&lt;&gt;""),"Efeito de "&amp;$NR143&amp;" pela Classe "&amp;MAX(1,$MF143-1),"")))</f>
        <v/>
      </c>
      <c r="PJ143" s="152">
        <f>IF($PI143="",0,(LEN($PI143)-LEN(SUBSTITUTE($PI143," · ","")))/3+1)</f>
        <v/>
      </c>
      <c r="PK143" s="152">
        <f>IF($MQ143=0,IF($OH143+COUNTIF($MO143:$MP143,"?*")&gt;0,"Dê um nome",""),IF($PH143&gt;0,"⚠ "&amp;$PH143&amp;IF($PH143&gt;1," erros"," erro"),IF($PJ143&gt;0,"! "&amp;$PJ143&amp;IF($PJ143&gt;1," avisos"," aviso"),"Na regra")))</f>
        <v/>
      </c>
      <c r="PL143" s="152">
        <f>IF($MQ143=0,"",IF($PH143+$PJ143=0,"Dentro das regras que a ficha confere",$PG143&amp;IF(AND($PH143&gt;0,$PJ143&gt;0)," · ","")&amp;$PI143))</f>
        <v/>
      </c>
      <c r="PM143" s="152">
        <f>IF($MD143&gt;$MR143,$ME143&amp;" · ABRE NO NÍVEL "&amp;$MD143,$ME143)</f>
        <v/>
      </c>
      <c r="PN143" s="152">
        <f>IF($MQ143=0,"",IF($MF143=0,"Sem PE",3*$MF143&amp;" PE"))</f>
        <v/>
      </c>
      <c r="PO143" s="152">
        <f>IF($MQ143=0,"",IF($MF143=0,"A atuação básica dela",IF(COUNTIF($NX143:$NY143,"Atrasar")&gt;0,"Sua Ação Completa",IF(COUNTIF($MK143:$MN143,"Rápido")&gt;0,"Sua Bônus",IF(COUNTIF($MK143:$MN143,"Reação")&gt;0,"Sua Reação","Sua Padrão")))&amp;" + a básica dela"&amp;IF(COUNTIF($MK143:$MN143,"Reação")&gt;0," e a coletiva","")&amp;IF(COUNTIF($NX143:$NY143,"Carregar")&gt;0," · em dois turnos","")))</f>
        <v/>
      </c>
      <c r="PP143" s="152">
        <f>IF($MJ143&lt;&gt;"",$MJ143,IF($MW143=0,"",INDEX($AA$2:$AA$11,$MW143)))</f>
        <v/>
      </c>
      <c r="PQ143" s="152">
        <f>IF(OR($MQ143=0,$MW143=0),"",IF(COUNTIF($MK143:$MN143,"Inescapável")&gt;0,"Automático",IF($PP143="Ataque",IF($MU143="","Ataque","Ataque "&amp;IF(($MU143+2*IF(COUNTIF($MK143:$MN143,"Precisão")&gt;0,1,0))&gt;=0,"+","−")&amp;ABS(($MU143+2*IF(COUNTIF($MK143:$MN143,"Precisão")&gt;0,1,0))))&amp;IF($NQ143&gt;0," · TR"&amp;IF($MV143="",""," CD "&amp;$MV143),""),IF(LEFT($PP143,2)="TR",$PP143&amp;IF($MV143="",""," · CD "&amp;$MV143)&amp;IF(COUNTIF($MK143:$MN143,"Certeiro")&gt;0," · metade",""),"Sem rolagem"))))</f>
        <v/>
      </c>
      <c r="PR143" s="152">
        <f>IF(OR($MQ143=0,$MW143=0),"",IF($MF143=0,IF(OR($NT143&gt;=1,$OQ143=0),"Sem dano",$OQ143&amp;"d6"&amp;IF($MI143="",""," "&amp;$MI143)),IF(OR($NT143&gt;=1,$OQ143=0),UPPER(LEFT(INDEX($OZ143:$PF143,1,MAX(1,$MF143)),1))&amp;MID(INDEX($OZ143:$PF143,1,MAX(1,$MF143)),2,99),UPPER(LEFT(INDEX($OZ143:$PF143,1,MAX(1,$MF143)),1))&amp;MID(INDEX($OZ143:$PF143,1,MAX(1,$MF143)),2,99)&amp;IF($MI143="",""," "&amp;$MI143)&amp;IF($OR143&gt;0," · +"&amp;$OR143&amp;"d8",""))))</f>
        <v/>
      </c>
      <c r="PS143" s="152">
        <f>COUNTIF($MK143:$MN143,"Longe")+3*COUNTIF($MK143:$MN143,"Muito Longe")</f>
        <v/>
      </c>
      <c r="PT143" s="152">
        <f>COUNTIF($MK143:$MN143,"Maior")+3*COUNTIF($MK143:$MN143,"Muito Maior")</f>
        <v/>
      </c>
      <c r="PU143" s="152">
        <f>IF($MW143=0,0,CHOOSE(1+INDEX($AC$2:$AC$11,$MW143),0,$PS143,$PT143,$PS143+$PT143))</f>
        <v/>
      </c>
      <c r="PV143" s="152">
        <f>IF($MW143=0,0,CHOOSE(1+INDEX($AD$2:$AD$11,$MW143),0,$PS143,$PT143,$PS143+$PT143))</f>
        <v/>
      </c>
      <c r="PW143" s="152">
        <f>IF(OR($MQ143=0,$MW143=0),"",INDEX($AI$2:$AN$41,($MW143-1)*4+IF($MF143=0,1,IF($MF143&lt;=5,2,IF($MF143=6,3,4))),1+MIN(5,$PU143))&amp;INDEX($AO$2:$AT$41,($MW143-1)*4+IF($MF143=0,1,IF($MF143&lt;=5,2,IF($MF143=6,3,4))),1+MIN(5,$PV143))&amp;IF(INDEX($AE$2:$AE$11,$MW143)=1,IF(COUNTIF($MK143:$MN143,"Mais Um")&gt;0," · +"&amp;COUNTIF($MK143:$MN143,"Mais Um")&amp;IF(COUNTIF($MK143:$MN143,"Mais Um")&gt;1," alvos"," alvo"),"")&amp;IF(COUNTIF($MK143:$MN143,"Rajada")&gt;0,IF($MF143=0," · 1 tiro"," · "&amp;(MAX(1,$MF143-1)+1)&amp;" tiros"),""),""))</f>
        <v/>
      </c>
      <c r="PX143" s="152">
        <f>IF($MQ143=0,"",IF($MF143=0,$MT143&amp;"d6"&amp;IF($OH143&gt;0," − 1 = "&amp;$OQ143&amp;"d6"," da básica do nível "&amp;$MR143),$OO143&amp;" − "&amp;$OJ143&amp;" + "&amp;$OM143&amp;" = "&amp;$OP143&amp;" · teto "&amp;4*$MF143&amp;"d8"&amp;IF($NS143=1," · a Forma devolve "&amp;$MF143,"")&amp;IF($ON143&gt;0," · perde "&amp;$ON143,"")))</f>
        <v/>
      </c>
      <c r="PY143" s="152">
        <f>IF($MQ143=0,"",IF($MF143=0,"A básica não amplia: os dados dela sobem com o nível",IF($MF143&gt;=$MS143,"Já está na maior Classe que o nível liberou",TEXTJOIN(" · ",TRUE,IF(AND(2&gt;$MF143,2&lt;=$MS143),"2 → "&amp;$PA143&amp;", 6 PE",""),IF(AND(3&gt;$MF143,3&lt;=$MS143),"3 → "&amp;$PB143&amp;", 9 PE",""),IF(AND(4&gt;$MF143,4&lt;=$MS143),"4 → "&amp;$PC143&amp;", 12 PE",""),IF(AND(5&gt;$MF143,5&lt;=$MS143),"5 → "&amp;$PD143&amp;", 15 PE",""),IF(AND(6&gt;$MF143,6&lt;=$MS143),"6 → "&amp;$PE143&amp;", 18 PE",""),IF(AND(7&gt;$MF143,7&lt;=$MS143),"7 → "&amp;$PF143&amp;", 21 PE","")))))</f>
        <v/>
      </c>
      <c r="PZ143" s="152">
        <f>IF(OR($MQ143=0,$NB143=0),"",IF($MF143=0,"−1 dado","−"&amp;INDEX($I$2:$N$8,MAX(1,$MF143),MAX(1,$NG143))&amp;" · "&amp;CHOOSE(MAX(1,$NG143),"Leve","Média","Pesada","Leve · Livre","Média · Livre","Pesada · Livre")))</f>
        <v/>
      </c>
      <c r="QA143" s="152">
        <f>IF(OR($MQ143=0,$NC143=0),"",IF($MF143=0,"−1 dado","−"&amp;INDEX($I$2:$N$8,MAX(1,$MF143),MAX(1,$NH143))&amp;" · "&amp;CHOOSE(MAX(1,$NH143),"Leve","Média","Pesada","Leve · Livre","Média · Livre","Pesada · Livre")))</f>
        <v/>
      </c>
      <c r="QB143" s="152">
        <f>IF(OR($MQ143=0,$ND143=0),"",IF($MF143=0,"−1 dado","−"&amp;INDEX($I$2:$N$8,MAX(1,$MF143),MAX(1,$NI143))&amp;" · "&amp;CHOOSE(MAX(1,$NI143),"Leve","Média","Pesada","Leve · Livre","Média · Livre","Pesada · Livre")))</f>
        <v/>
      </c>
      <c r="QC143" s="152">
        <f>IF(OR($MQ143=0,$NE143=0),"",IF($MF143=0,"−1 dado","−"&amp;INDEX($I$2:$N$8,MAX(1,$MF143),MAX(1,$NJ143))&amp;" · "&amp;CHOOSE(MAX(1,$NJ143),"Leve","Média","Pesada","Leve · Livre","Média · Livre","Pesada · Livre")))</f>
        <v/>
      </c>
      <c r="QD143" s="152">
        <f>IF(OR($MQ143=0,$MO143=""),"",IF($MF143=0,"não devolve","+"&amp;IF($NV143=1,CEILING($MF143/2,1),$MF143)))</f>
        <v/>
      </c>
      <c r="QE143" s="152">
        <f>IF(OR($MQ143=0,$MP143=""),"",IF($MF143=0,"não devolve","+"&amp;IF($NW143=1,CEILING($MF143/2,1),$MF143)))</f>
        <v/>
      </c>
    </row>
    <row r="144">
      <c r="MA144" s="150" t="inlineStr">
        <is>
          <t>Ficha 11 · Escolha da trilha 3</t>
        </is>
      </c>
      <c r="MB144" s="152" t="n">
        <v>11</v>
      </c>
      <c r="MC144" s="152" t="n">
        <v>2</v>
      </c>
      <c r="MD144" s="152" t="n">
        <v>0</v>
      </c>
      <c r="ME144" s="150" t="inlineStr">
        <is>
          <t>ESCOLHA DA TRILHA 3</t>
        </is>
      </c>
      <c r="MF144" s="152">
        <f>MAX(0,MIN(7,N('INVOCAÇÕES'!$AN$952)))</f>
        <v/>
      </c>
      <c r="MG144" s="152">
        <f>'INVOCAÇÕES'!$AO$952&amp;""</f>
        <v/>
      </c>
      <c r="MH144" s="152">
        <f>'INVOCAÇÕES'!$AN$957&amp;""</f>
        <v/>
      </c>
      <c r="MI144" s="152">
        <f>'INVOCAÇÕES'!$AN$958&amp;""</f>
        <v/>
      </c>
      <c r="MJ144" s="152">
        <f>'INVOCAÇÕES'!$AP$958&amp;""</f>
        <v/>
      </c>
      <c r="MK144" s="152">
        <f>'INVOCAÇÕES'!$AO$961&amp;""</f>
        <v/>
      </c>
      <c r="ML144" s="152">
        <f>'INVOCAÇÕES'!$AO$962&amp;""</f>
        <v/>
      </c>
      <c r="MM144" s="152">
        <f>'INVOCAÇÕES'!$AO$963&amp;""</f>
        <v/>
      </c>
      <c r="MN144" s="152">
        <f>'INVOCAÇÕES'!$AO$964&amp;""</f>
        <v/>
      </c>
      <c r="MO144" s="152">
        <f>'INVOCAÇÕES'!$AO$965&amp;""</f>
        <v/>
      </c>
      <c r="MP144" s="152">
        <f>'INVOCAÇÕES'!$AO$966&amp;""</f>
        <v/>
      </c>
      <c r="MQ144" s="152">
        <f>IF($MG144&lt;&gt;"",1,0)</f>
        <v/>
      </c>
      <c r="MR144" s="152">
        <f>INDEX($FI$2:$FI$13,$MB144)</f>
        <v/>
      </c>
      <c r="MS144" s="152">
        <f>INDEX($FJ$2:$FJ$13,$MB144)</f>
        <v/>
      </c>
      <c r="MT144" s="152">
        <f>INDEX($FK$2:$FK$13,$MB144)</f>
        <v/>
      </c>
      <c r="MU144" s="152">
        <f>INDEX($FV$2:$FV$13,$MB144)</f>
        <v/>
      </c>
      <c r="MV144" s="152">
        <f>INDEX($FW$2:$FW$13,$MB144)</f>
        <v/>
      </c>
      <c r="MW144" s="152">
        <f>IFERROR(MATCH($MH144,$V$2:$V$11,0),0)</f>
        <v/>
      </c>
      <c r="MX144" s="152">
        <f>IFERROR(VLOOKUP($MK144,$AV$2:$BA$84,2,FALSE),"")</f>
        <v/>
      </c>
      <c r="MY144" s="152">
        <f>IFERROR(VLOOKUP($ML144,$AV$2:$BA$84,2,FALSE),"")</f>
        <v/>
      </c>
      <c r="MZ144" s="152">
        <f>IFERROR(VLOOKUP($MM144,$AV$2:$BA$84,2,FALSE),"")</f>
        <v/>
      </c>
      <c r="NA144" s="152">
        <f>IFERROR(VLOOKUP($MN144,$AV$2:$BA$84,2,FALSE),"")</f>
        <v/>
      </c>
      <c r="NB144" s="152">
        <f>IFERROR(VLOOKUP($MK144,$AV$2:$BA$84,3,FALSE),0)</f>
        <v/>
      </c>
      <c r="NC144" s="152">
        <f>IFERROR(VLOOKUP($ML144,$AV$2:$BA$84,3,FALSE),0)</f>
        <v/>
      </c>
      <c r="ND144" s="152">
        <f>IFERROR(VLOOKUP($MM144,$AV$2:$BA$84,3,FALSE),0)</f>
        <v/>
      </c>
      <c r="NE144" s="152">
        <f>IFERROR(VLOOKUP($MN144,$AV$2:$BA$84,3,FALSE),0)</f>
        <v/>
      </c>
      <c r="NF144" s="152">
        <f>IF($MF144=0,0,IF($MW144=0,0,INDEX($X$2:$X$11,$MW144)))</f>
        <v/>
      </c>
      <c r="NG144" s="152">
        <f>IF(OR($NB144=0,$MF144=0),0,$NB144+3*IF(AND($MX144&lt;&gt;"",OR($MX144=INDEX($EF$2:$EF$13,$MB144),$MX144=INDEX($EG$2:$EG$13,$MB144))),1,0))</f>
        <v/>
      </c>
      <c r="NH144" s="152">
        <f>IF(OR($NC144=0,$MF144=0),0,$NC144+3*IF(AND($MY144&lt;&gt;"",OR($MY144=INDEX($EF$2:$EF$13,$MB144),$MY144=INDEX($EG$2:$EG$13,$MB144))),1,0))</f>
        <v/>
      </c>
      <c r="NI144" s="152">
        <f>IF(OR($ND144=0,$MF144=0),0,$ND144+3*IF(AND($MZ144&lt;&gt;"",OR($MZ144=INDEX($EF$2:$EF$13,$MB144),$MZ144=INDEX($EG$2:$EG$13,$MB144))),1,0))</f>
        <v/>
      </c>
      <c r="NJ144" s="152">
        <f>IF(OR($NE144=0,$MF144=0),0,$NE144+3*IF(AND($NA144&lt;&gt;"",OR($NA144=INDEX($EF$2:$EF$13,$MB144),$NA144=INDEX($EG$2:$EG$13,$MB144))),1,0))</f>
        <v/>
      </c>
      <c r="NK144" s="152">
        <f>IF($MW144=0,0,IF(INDEX($W$2:$W$11,$MW144)="",0,IF(COUNTIF(INDEX($EF$2:$EJ$13,$MB144,0),INDEX($W$2:$W$11,$MW144))=0,1,0)))</f>
        <v/>
      </c>
      <c r="NL144" s="152">
        <f>IF(OR($NB144=0,$MX144=""),0,IF(COUNTIF(INDEX($EF$2:$EJ$13,$MB144,0),$MX144)=0,1,0))</f>
        <v/>
      </c>
      <c r="NM144" s="152">
        <f>IF(OR($NC144=0,$MY144=""),0,IF(COUNTIF(INDEX($EF$2:$EJ$13,$MB144,0),$MY144)=0,1,0))</f>
        <v/>
      </c>
      <c r="NN144" s="152">
        <f>IF(OR($ND144=0,$MZ144=""),0,IF(COUNTIF(INDEX($EF$2:$EJ$13,$MB144,0),$MZ144)=0,1,0))</f>
        <v/>
      </c>
      <c r="NO144" s="152">
        <f>IF(OR($NE144=0,$NA144=""),0,IF(COUNTIF(INDEX($EF$2:$EJ$13,$MB144,0),$NA144)=0,1,0))</f>
        <v/>
      </c>
      <c r="NP144" s="152">
        <f>IFERROR(VLOOKUP($MK144,$AV$2:$BA$84,4,FALSE),0)+IFERROR(VLOOKUP($ML144,$AV$2:$BA$84,4,FALSE),0)+IFERROR(VLOOKUP($MM144,$AV$2:$BA$84,4,FALSE),0)+IFERROR(VLOOKUP($MN144,$AV$2:$BA$84,4,FALSE),0)</f>
        <v/>
      </c>
      <c r="NQ144" s="152">
        <f>IFERROR(VLOOKUP($MK144,$AV$2:$BA$84,6,FALSE),0)+IFERROR(VLOOKUP($ML144,$AV$2:$BA$84,6,FALSE),0)+IFERROR(VLOOKUP($MM144,$AV$2:$BA$84,6,FALSE),0)+IFERROR(VLOOKUP($MN144,$AV$2:$BA$84,6,FALSE),0)</f>
        <v/>
      </c>
      <c r="NR144" s="152">
        <f>TEXTJOIN(", ",TRUE,IF(IFERROR(VLOOKUP($MK144,$AV$2:$BA$84,5,FALSE),0)=1,$MK144,""),IF(IFERROR(VLOOKUP($ML144,$AV$2:$BA$84,5,FALSE),0)=1,$ML144,""),IF(IFERROR(VLOOKUP($MM144,$AV$2:$BA$84,5,FALSE),0)=1,$MM144,""),IF(IFERROR(VLOOKUP($MN144,$AV$2:$BA$84,5,FALSE),0)=1,$MN144,""))</f>
        <v/>
      </c>
      <c r="NS144" s="152">
        <f>IF($MW144=0,0,INDEX($Y$2:$Y$11,$MW144))</f>
        <v/>
      </c>
      <c r="NT144" s="152">
        <f>IF($MW144=0,0,INDEX($Z$2:$Z$11,$MW144))</f>
        <v/>
      </c>
      <c r="NU144" s="152">
        <f>IF($MW144=0,0,INDEX($AB$2:$AB$11,$MW144))</f>
        <v/>
      </c>
      <c r="NV144" s="152">
        <f>IFERROR(VLOOKUP($MO144,$BC$2:$BG$24,3,FALSE),0)</f>
        <v/>
      </c>
      <c r="NW144" s="152">
        <f>IFERROR(VLOOKUP($MP144,$BC$2:$BG$24,3,FALSE),0)</f>
        <v/>
      </c>
      <c r="NX144" s="152">
        <f>IFERROR(VLOOKUP($MO144,$BC$2:$BG$24,2,FALSE),"")</f>
        <v/>
      </c>
      <c r="NY144" s="152">
        <f>IFERROR(VLOOKUP($MP144,$BC$2:$BG$24,2,FALSE),"")</f>
        <v/>
      </c>
      <c r="NZ144" s="152">
        <f>COUNTIF($NF144:$NJ144,1)</f>
        <v/>
      </c>
      <c r="OA144" s="152">
        <f>COUNTIF($NF144:$NJ144,2)</f>
        <v/>
      </c>
      <c r="OB144" s="152">
        <f>COUNTIF($NF144:$NJ144,3)</f>
        <v/>
      </c>
      <c r="OC144" s="152">
        <f>COUNTIF($NF144:$NJ144,4)</f>
        <v/>
      </c>
      <c r="OD144" s="152">
        <f>COUNTIF($NF144:$NJ144,5)</f>
        <v/>
      </c>
      <c r="OE144" s="152">
        <f>COUNTIF($NF144:$NJ144,6)</f>
        <v/>
      </c>
      <c r="OF144" s="152">
        <f>COUNTIF($NV144:$NW144,1)</f>
        <v/>
      </c>
      <c r="OG144" s="152">
        <f>COUNTIF($NV144:$NW144,2)+$NS144</f>
        <v/>
      </c>
      <c r="OH144" s="152">
        <f>COUNTIF($MK144:$MN144,"?*")</f>
        <v/>
      </c>
      <c r="OI144" s="152">
        <f>COUNTIF($MO144:$MP144,"?*")+$NS144</f>
        <v/>
      </c>
      <c r="OJ144" s="152">
        <f>IF($MF144=0,0,SUMPRODUCT($NZ144:$OE144,INDEX($I$2:$N$8,MAX(1,$MF144),0)))</f>
        <v/>
      </c>
      <c r="OK144" s="152">
        <f>IF($MF144=0,0,$OF144*CEILING($MF144/2,1)+$OG144*$MF144)</f>
        <v/>
      </c>
      <c r="OL144" s="152">
        <f>MIN(2*$MF144,$OK144)</f>
        <v/>
      </c>
      <c r="OM144" s="152">
        <f>MIN($OL144,$OJ144)</f>
        <v/>
      </c>
      <c r="ON144" s="152">
        <f>$OL144-$OM144</f>
        <v/>
      </c>
      <c r="OO144" s="152">
        <f>IF($MF144=0,0,INDEX($P$2:$P$8,MAX(1,$MF144)))</f>
        <v/>
      </c>
      <c r="OP144" s="152">
        <f>$OO144-$OJ144+$OM144</f>
        <v/>
      </c>
      <c r="OQ144" s="152">
        <f>IF($MF144=0,MAX(0,$MT144-IF($OH144&gt;0,1,0)),MAX(0,$OP144))</f>
        <v/>
      </c>
      <c r="OR144" s="152">
        <f>IF($MF144=0,0,(IF(COUNTIF($MK144:$MN144,"Salto")&gt;0,1,0)+IF(COUNTIF($MK144:$MN144,"Queima")&gt;0,1,0)+IF(COUNTIF($MK144:$MN144,"Estilhaço")&gt;0,1,0))*FLOOR($OQ144/2,1))</f>
        <v/>
      </c>
      <c r="OS144" s="152">
        <f>MAX(0,2-SUMPRODUCT($NZ144:$OE144,$I$2:$N$2)+MIN(2,$OF144*1+$OG144*1,SUMPRODUCT($NZ144:$OE144,$I$2:$N$2)))</f>
        <v/>
      </c>
      <c r="OT144" s="152">
        <f>MAX(0,4-SUMPRODUCT($NZ144:$OE144,$I$3:$N$3)+MIN(4,$OF144*1+$OG144*2,SUMPRODUCT($NZ144:$OE144,$I$3:$N$3)))</f>
        <v/>
      </c>
      <c r="OU144" s="152">
        <f>MAX(0,6-SUMPRODUCT($NZ144:$OE144,$I$4:$N$4)+MIN(6,$OF144*2+$OG144*3,SUMPRODUCT($NZ144:$OE144,$I$4:$N$4)))</f>
        <v/>
      </c>
      <c r="OV144" s="152">
        <f>MAX(0,9-SUMPRODUCT($NZ144:$OE144,$I$5:$N$5)+MIN(8,$OF144*2+$OG144*4,SUMPRODUCT($NZ144:$OE144,$I$5:$N$5)))</f>
        <v/>
      </c>
      <c r="OW144" s="152">
        <f>MAX(0,11-SUMPRODUCT($NZ144:$OE144,$I$6:$N$6)+MIN(10,$OF144*3+$OG144*5,SUMPRODUCT($NZ144:$OE144,$I$6:$N$6)))</f>
        <v/>
      </c>
      <c r="OX144" s="152">
        <f>MAX(0,13-SUMPRODUCT($NZ144:$OE144,$I$7:$N$7)+MIN(12,$OF144*3+$OG144*6,SUMPRODUCT($NZ144:$OE144,$I$7:$N$7)))</f>
        <v/>
      </c>
      <c r="OY144" s="152">
        <f>MAX(0,16-SUMPRODUCT($NZ144:$OE144,$I$8:$N$8)+MIN(14,$OF144*4+$OG144*7,SUMPRODUCT($NZ144:$OE144,$I$8:$N$8)))</f>
        <v/>
      </c>
      <c r="OZ144" s="152">
        <f>IF($NT144=2,3*$OS144&amp;" de vida temp.",IF($NT144=3,"sem dano",IF($OS144=0,IF($NT144=1,"sem cura","sem dano"),IF($NT144=1,"cura ","")&amp;$OS144&amp;"d8")))</f>
        <v/>
      </c>
      <c r="PA144" s="152">
        <f>IF($NT144=2,3*$OT144&amp;" de vida temp.",IF($NT144=3,"sem dano",IF($OT144=0,IF($NT144=1,"sem cura","sem dano"),IF($NT144=1,"cura ","")&amp;$OT144&amp;"d8")))</f>
        <v/>
      </c>
      <c r="PB144" s="152">
        <f>IF($NT144=2,3*$OU144&amp;" de vida temp.",IF($NT144=3,"sem dano",IF($OU144=0,IF($NT144=1,"sem cura","sem dano"),IF($NT144=1,"cura ","")&amp;$OU144&amp;"d8")))</f>
        <v/>
      </c>
      <c r="PC144" s="152">
        <f>IF($NT144=2,3*$OV144&amp;" de vida temp.",IF($NT144=3,"sem dano",IF($OV144=0,IF($NT144=1,"sem cura","sem dano"),IF($NT144=1,"cura ","")&amp;$OV144&amp;"d8")))</f>
        <v/>
      </c>
      <c r="PD144" s="152">
        <f>IF($NT144=2,3*$OW144&amp;" de vida temp.",IF($NT144=3,"sem dano",IF($OW144=0,IF($NT144=1,"sem cura","sem dano"),IF($NT144=1,"cura ","")&amp;$OW144&amp;"d8")))</f>
        <v/>
      </c>
      <c r="PE144" s="152">
        <f>IF($NT144=2,3*$OX144&amp;" de vida temp.",IF($NT144=3,"sem dano",IF($OX144=0,IF($NT144=1,"sem cura","sem dano"),IF($NT144=1,"cura ","")&amp;$OX144&amp;"d8")))</f>
        <v/>
      </c>
      <c r="PF144" s="152">
        <f>IF($NT144=2,3*$OY144&amp;" de vida temp.",IF($NT144=3,"sem dano",IF($OY144=0,IF($NT144=1,"sem cura","sem dano"),IF($NT144=1,"cura ","")&amp;$OY144&amp;"d8")))</f>
        <v/>
      </c>
      <c r="PG144" s="152">
        <f>IF($MQ144=0,"",TEXTJOIN(" · ",TRUE,IF($MD144&gt;$MR144,"Este lugar abre no nível "&amp;$MD144,""),IF($MF144&gt;$MS144,"Classe "&amp;$MF144&amp;": o nível "&amp;$MR144&amp;" libera até a "&amp;$MS144,""),IF($NK144=1,"A Forma "&amp;$MH144&amp;" pede "&amp;INDEX($W$2:$W$11,$MW144)&amp;" aberta",""),IF(AND($MF144=0,$MW144&gt;0,IF($MW144=0,0,INDEX($AF$2:$AF$11,$MW144))=0),$MH144&amp;" não existe na Classe 0",""),IF($NL144=1,"Família Fechada: "&amp;$MK144,""),IF($NM144=1,"Família Fechada: "&amp;$ML144,""),IF($NN144=1,"Família Fechada: "&amp;$MM144,""),IF($NO144=1,"Família Fechada: "&amp;$MN144,""),IF(AND($MF144&gt;0,$OH144&gt;INDEX($O$2:$O$8,MAX(1,$MF144))),$OH144&amp;" Melhorias: a Classe "&amp;$MF144&amp;" aceita "&amp;INDEX($O$2:$O$8,MAX(1,$MF144)),""),IF(AND($MF144=0,$OH144&gt;1),"A básica aceita uma Melhoria",""),IF(AND($MF144=0,COUNTIF($NB144:$NE144,"&gt;1")&gt;0),"A básica só aceita Melhoria Leve",""),IF(AND($MF144&gt;0,$OI144&gt;2),$OI144&amp;" Restrições"&amp;IF($NS144=1,", contando a que a Forma "&amp;$MH144&amp;" já traz","")&amp;": o limite é 2",""),IF(AND($MF144=0,COUNTIF($MO144:$MP144,"?*")&gt;1),"A básica aceita uma Restrição Leve",""),IF(AND($MF144=0,COUNTIF($NV144:$NW144,2)&gt;0),"A básica só aceita Restrição Leve",""),IF(AND($MF144&gt;0,$OP144&lt;0),"Orçamento estourado: faltam "&amp;(-$OP144)&amp;IF($OP144&lt;-1," pontos"," ponto"),""),IF(IFERROR(VLOOKUP($MO144,$BC$2:$BG$24,4,FALSE),0)+IFERROR(VLOOKUP($MP144,$BC$2:$BG$24,4,FALSE),0)&gt;1,$NX144&amp;" e "&amp;$NY144&amp;" são as duas de frequência",""),IF(AND((COUNTIF($MK144:$MN144,"Rápido")+COUNTIF($NX144:$NY144,"Rápido"))&gt;0,(COUNTIF($MK144:$MN144,"Atrasar")+COUNTIF($NX144:$NY144,"Atrasar"))&gt;0),"Rápido não entra com Atrasar",""),IF(AND((COUNTIF($MK144:$MN144,"Reação")+COUNTIF($NX144:$NY144,"Reação"))&gt;0,(COUNTIF($MK144:$MN144,"Rápido")+COUNTIF($NX144:$NY144,"Rápido"))&gt;0),"Reação não entra com Rápido",""),IF(AND((COUNTIF($MK144:$MN144,"Reação")+COUNTIF($NX144:$NY144,"Reação"))&gt;0,(COUNTIF($MK144:$MN144,"Armado")+COUNTIF($NX144:$NY144,"Armado"))&gt;0),"Reação não entra com Armado",""),IF(AND((COUNTIF($MK144:$MN144,"Reação")+COUNTIF($NX144:$NY144,"Reação"))&gt;0,(COUNTIF($MK144:$MN144,"Atrasar")+COUNTIF($NX144:$NY144,"Atrasar"))&gt;0),"Reação não entra com Atrasar",""),IF(AND((COUNTIF($MK144:$MN144,"Reação")+COUNTIF($NX144:$NY144,"Reação"))&gt;0,(COUNTIF($MK144:$MN144,"Parado")+COUNTIF($NX144:$NY144,"Parado"))&gt;0),"Reação não entra com Parado",""),IF(AND((COUNTIF($MK144:$MN144,"Atrasar")+COUNTIF($NX144:$NY144,"Atrasar"))&gt;0,(COUNTIF($MK144:$MN144,"Parado")+COUNTIF($NX144:$NY144,"Parado"))&gt;0),"Atrasar não entra com Parado",""),IF(AND((COUNTIF($MK144:$MN144,"Armado")+COUNTIF($NX144:$NY144,"Armado"))&gt;0,(COUNTIF($MK144:$MN144,"Carregar")+COUNTIF($NX144:$NY144,"Carregar"))&gt;0),"Armado não entra com Carregar",""),IF(AND(COUNTIF($NX144:$NY144,"Corpo a Corpo")&gt;0,$NS144=0,OR($MH144="Cone",$MH144="Linha")),"Corpo a Corpo não entra em "&amp;$MH144,""),IF(AND(COUNTIF($NX144:$NY144,"Corpo a Corpo")&gt;0,$NS144=1),"A Forma "&amp;$MH144&amp;" já traz o Corpo a Corpo",""),IF(AND(COUNTIF($NX144:$NY144,"Tudo ou Nada")&gt;0,$NU144=0),"Tudo ou Nada só entra em habilidade de Teste de Resistência",""),IF(AND(COUNTIF($MK144:$MN144,"Inescapável")&gt;0,OR($OH144&gt;1,$OI144&gt;0)),"Inescapável não aceita outra peça",""),IF(AND($MF144&gt;0,$OQ144*IF(COUNTIF($MK144:$MN144,"Remate")&gt;0,1.25,1)+$OR144&gt;4*$MF144),($OQ144*IF(COUNTIF($MK144:$MN144,"Remate")&gt;0,1.25,1)+$OR144)&amp;" dados somando repetições"&amp;IF(COUNTIF($MK144:$MN144,"Remate")&gt;0," e o Remate","")&amp;": o teto da Classe "&amp;$MF144&amp;" é "&amp;4*$MF144,"")))</f>
        <v/>
      </c>
      <c r="PH144" s="152">
        <f>IF($PG144="",0,(LEN($PG144)-LEN(SUBSTITUTE($PG144," · ","")))/3+1)</f>
        <v/>
      </c>
      <c r="PI144" s="152">
        <f>IF($MQ144=0,"",TEXTJOIN(" · ",TRUE,IF($OK144&gt;2*$MF144,"A devolução parou no teto de "&amp;2*$MF144,""),IF($ON144&gt;0,"Devolução perdida: "&amp;$ON144&amp;IF($ON144&gt;1," pontos"," ponto")&amp;" sem peça para pagar",""),IF(AND($NP144&gt;0,AND($MF144&gt;0,$NT144=0),$OQ144=0),"Controle sem dano: uma rodada a mais e CD +2",""),IF(AND($NP144&gt;0,AND($MF144&gt;0,$NT144=0),$OQ144&gt;0,$OQ144&lt;=$MF144),"Controle com saldo até a Classe: uma rodada a mais",""),IF(AND($MF144&gt;0,$NR144&lt;&gt;""),"Efeito de "&amp;$NR144&amp;" pela Classe "&amp;MAX(1,$MF144-1),"")))</f>
        <v/>
      </c>
      <c r="PJ144" s="152">
        <f>IF($PI144="",0,(LEN($PI144)-LEN(SUBSTITUTE($PI144," · ","")))/3+1)</f>
        <v/>
      </c>
      <c r="PK144" s="152">
        <f>IF($MQ144=0,IF($OH144+COUNTIF($MO144:$MP144,"?*")&gt;0,"Dê um nome",""),IF($PH144&gt;0,"⚠ "&amp;$PH144&amp;IF($PH144&gt;1," erros"," erro"),IF($PJ144&gt;0,"! "&amp;$PJ144&amp;IF($PJ144&gt;1," avisos"," aviso"),"Na regra")))</f>
        <v/>
      </c>
      <c r="PL144" s="152">
        <f>IF($MQ144=0,"",IF($PH144+$PJ144=0,"Dentro das regras que a ficha confere",$PG144&amp;IF(AND($PH144&gt;0,$PJ144&gt;0)," · ","")&amp;$PI144))</f>
        <v/>
      </c>
      <c r="PM144" s="152">
        <f>IF($MD144&gt;$MR144,$ME144&amp;" · ABRE NO NÍVEL "&amp;$MD144,$ME144)</f>
        <v/>
      </c>
      <c r="PN144" s="152">
        <f>IF($MQ144=0,"",IF($MF144=0,"Sem PE",3*$MF144&amp;" PE"))</f>
        <v/>
      </c>
      <c r="PO144" s="152">
        <f>IF($MQ144=0,"",IF($MF144=0,"A atuação básica dela",IF(COUNTIF($NX144:$NY144,"Atrasar")&gt;0,"Sua Ação Completa",IF(COUNTIF($MK144:$MN144,"Rápido")&gt;0,"Sua Bônus",IF(COUNTIF($MK144:$MN144,"Reação")&gt;0,"Sua Reação","Sua Padrão")))&amp;" + a básica dela"&amp;IF(COUNTIF($MK144:$MN144,"Reação")&gt;0," e a coletiva","")&amp;IF(COUNTIF($NX144:$NY144,"Carregar")&gt;0," · em dois turnos","")))</f>
        <v/>
      </c>
      <c r="PP144" s="152">
        <f>IF($MJ144&lt;&gt;"",$MJ144,IF($MW144=0,"",INDEX($AA$2:$AA$11,$MW144)))</f>
        <v/>
      </c>
      <c r="PQ144" s="152">
        <f>IF(OR($MQ144=0,$MW144=0),"",IF(COUNTIF($MK144:$MN144,"Inescapável")&gt;0,"Automático",IF($PP144="Ataque",IF($MU144="","Ataque","Ataque "&amp;IF(($MU144+2*IF(COUNTIF($MK144:$MN144,"Precisão")&gt;0,1,0))&gt;=0,"+","−")&amp;ABS(($MU144+2*IF(COUNTIF($MK144:$MN144,"Precisão")&gt;0,1,0))))&amp;IF($NQ144&gt;0," · TR"&amp;IF($MV144="",""," CD "&amp;$MV144),""),IF(LEFT($PP144,2)="TR",$PP144&amp;IF($MV144="",""," · CD "&amp;$MV144)&amp;IF(COUNTIF($MK144:$MN144,"Certeiro")&gt;0," · metade",""),"Sem rolagem"))))</f>
        <v/>
      </c>
      <c r="PR144" s="152">
        <f>IF(OR($MQ144=0,$MW144=0),"",IF($MF144=0,IF(OR($NT144&gt;=1,$OQ144=0),"Sem dano",$OQ144&amp;"d6"&amp;IF($MI144="",""," "&amp;$MI144)),IF(OR($NT144&gt;=1,$OQ144=0),UPPER(LEFT(INDEX($OZ144:$PF144,1,MAX(1,$MF144)),1))&amp;MID(INDEX($OZ144:$PF144,1,MAX(1,$MF144)),2,99),UPPER(LEFT(INDEX($OZ144:$PF144,1,MAX(1,$MF144)),1))&amp;MID(INDEX($OZ144:$PF144,1,MAX(1,$MF144)),2,99)&amp;IF($MI144="",""," "&amp;$MI144)&amp;IF($OR144&gt;0," · +"&amp;$OR144&amp;"d8",""))))</f>
        <v/>
      </c>
      <c r="PS144" s="152">
        <f>COUNTIF($MK144:$MN144,"Longe")+3*COUNTIF($MK144:$MN144,"Muito Longe")</f>
        <v/>
      </c>
      <c r="PT144" s="152">
        <f>COUNTIF($MK144:$MN144,"Maior")+3*COUNTIF($MK144:$MN144,"Muito Maior")</f>
        <v/>
      </c>
      <c r="PU144" s="152">
        <f>IF($MW144=0,0,CHOOSE(1+INDEX($AC$2:$AC$11,$MW144),0,$PS144,$PT144,$PS144+$PT144))</f>
        <v/>
      </c>
      <c r="PV144" s="152">
        <f>IF($MW144=0,0,CHOOSE(1+INDEX($AD$2:$AD$11,$MW144),0,$PS144,$PT144,$PS144+$PT144))</f>
        <v/>
      </c>
      <c r="PW144" s="152">
        <f>IF(OR($MQ144=0,$MW144=0),"",INDEX($AI$2:$AN$41,($MW144-1)*4+IF($MF144=0,1,IF($MF144&lt;=5,2,IF($MF144=6,3,4))),1+MIN(5,$PU144))&amp;INDEX($AO$2:$AT$41,($MW144-1)*4+IF($MF144=0,1,IF($MF144&lt;=5,2,IF($MF144=6,3,4))),1+MIN(5,$PV144))&amp;IF(INDEX($AE$2:$AE$11,$MW144)=1,IF(COUNTIF($MK144:$MN144,"Mais Um")&gt;0," · +"&amp;COUNTIF($MK144:$MN144,"Mais Um")&amp;IF(COUNTIF($MK144:$MN144,"Mais Um")&gt;1," alvos"," alvo"),"")&amp;IF(COUNTIF($MK144:$MN144,"Rajada")&gt;0,IF($MF144=0," · 1 tiro"," · "&amp;(MAX(1,$MF144-1)+1)&amp;" tiros"),""),""))</f>
        <v/>
      </c>
      <c r="PX144" s="152">
        <f>IF($MQ144=0,"",IF($MF144=0,$MT144&amp;"d6"&amp;IF($OH144&gt;0," − 1 = "&amp;$OQ144&amp;"d6"," da básica do nível "&amp;$MR144),$OO144&amp;" − "&amp;$OJ144&amp;" + "&amp;$OM144&amp;" = "&amp;$OP144&amp;" · teto "&amp;4*$MF144&amp;"d8"&amp;IF($NS144=1," · a Forma devolve "&amp;$MF144,"")&amp;IF($ON144&gt;0," · perde "&amp;$ON144,"")))</f>
        <v/>
      </c>
      <c r="PY144" s="152">
        <f>IF($MQ144=0,"",IF($MF144=0,"A básica não amplia: os dados dela sobem com o nível",IF($MF144&gt;=$MS144,"Já está na maior Classe que o nível liberou",TEXTJOIN(" · ",TRUE,IF(AND(2&gt;$MF144,2&lt;=$MS144),"2 → "&amp;$PA144&amp;", 6 PE",""),IF(AND(3&gt;$MF144,3&lt;=$MS144),"3 → "&amp;$PB144&amp;", 9 PE",""),IF(AND(4&gt;$MF144,4&lt;=$MS144),"4 → "&amp;$PC144&amp;", 12 PE",""),IF(AND(5&gt;$MF144,5&lt;=$MS144),"5 → "&amp;$PD144&amp;", 15 PE",""),IF(AND(6&gt;$MF144,6&lt;=$MS144),"6 → "&amp;$PE144&amp;", 18 PE",""),IF(AND(7&gt;$MF144,7&lt;=$MS144),"7 → "&amp;$PF144&amp;", 21 PE","")))))</f>
        <v/>
      </c>
      <c r="PZ144" s="152">
        <f>IF(OR($MQ144=0,$NB144=0),"",IF($MF144=0,"−1 dado","−"&amp;INDEX($I$2:$N$8,MAX(1,$MF144),MAX(1,$NG144))&amp;" · "&amp;CHOOSE(MAX(1,$NG144),"Leve","Média","Pesada","Leve · Livre","Média · Livre","Pesada · Livre")))</f>
        <v/>
      </c>
      <c r="QA144" s="152">
        <f>IF(OR($MQ144=0,$NC144=0),"",IF($MF144=0,"−1 dado","−"&amp;INDEX($I$2:$N$8,MAX(1,$MF144),MAX(1,$NH144))&amp;" · "&amp;CHOOSE(MAX(1,$NH144),"Leve","Média","Pesada","Leve · Livre","Média · Livre","Pesada · Livre")))</f>
        <v/>
      </c>
      <c r="QB144" s="152">
        <f>IF(OR($MQ144=0,$ND144=0),"",IF($MF144=0,"−1 dado","−"&amp;INDEX($I$2:$N$8,MAX(1,$MF144),MAX(1,$NI144))&amp;" · "&amp;CHOOSE(MAX(1,$NI144),"Leve","Média","Pesada","Leve · Livre","Média · Livre","Pesada · Livre")))</f>
        <v/>
      </c>
      <c r="QC144" s="152">
        <f>IF(OR($MQ144=0,$NE144=0),"",IF($MF144=0,"−1 dado","−"&amp;INDEX($I$2:$N$8,MAX(1,$MF144),MAX(1,$NJ144))&amp;" · "&amp;CHOOSE(MAX(1,$NJ144),"Leve","Média","Pesada","Leve · Livre","Média · Livre","Pesada · Livre")))</f>
        <v/>
      </c>
      <c r="QD144" s="152">
        <f>IF(OR($MQ144=0,$MO144=""),"",IF($MF144=0,"não devolve","+"&amp;IF($NV144=1,CEILING($MF144/2,1),$MF144)))</f>
        <v/>
      </c>
      <c r="QE144" s="152">
        <f>IF(OR($MQ144=0,$MP144=""),"",IF($MF144=0,"não devolve","+"&amp;IF($NW144=1,CEILING($MF144/2,1),$MF144)))</f>
        <v/>
      </c>
    </row>
    <row r="145">
      <c r="MA145" s="150" t="inlineStr">
        <is>
          <t>Ficha 12 · Básica 1</t>
        </is>
      </c>
      <c r="MB145" s="152" t="n">
        <v>12</v>
      </c>
      <c r="MC145" s="152" t="n">
        <v>0</v>
      </c>
      <c r="MD145" s="152" t="n">
        <v>1</v>
      </c>
      <c r="ME145" s="150" t="inlineStr">
        <is>
          <t>BÁSICA 1</t>
        </is>
      </c>
      <c r="MF145" s="152" t="n">
        <v>0</v>
      </c>
      <c r="MG145" s="152">
        <f>'INVOCAÇÕES'!$AC$1048&amp;""</f>
        <v/>
      </c>
      <c r="MH145" s="152">
        <f>'INVOCAÇÕES'!$AB$1053&amp;""</f>
        <v/>
      </c>
      <c r="MI145" s="152">
        <f>'INVOCAÇÕES'!$AB$1054&amp;""</f>
        <v/>
      </c>
      <c r="MJ145" s="152">
        <f>'INVOCAÇÕES'!$AD$1054&amp;""</f>
        <v/>
      </c>
      <c r="MK145" s="152">
        <f>'INVOCAÇÕES'!$AC$1057&amp;""</f>
        <v/>
      </c>
      <c r="ML145" s="152">
        <f>'INVOCAÇÕES'!$AC$1058&amp;""</f>
        <v/>
      </c>
      <c r="MM145" s="152">
        <f>'INVOCAÇÕES'!$AC$1059&amp;""</f>
        <v/>
      </c>
      <c r="MN145" s="152">
        <f>'INVOCAÇÕES'!$AC$1060&amp;""</f>
        <v/>
      </c>
      <c r="MO145" s="152">
        <f>'INVOCAÇÕES'!$AC$1061&amp;""</f>
        <v/>
      </c>
      <c r="MP145" s="152">
        <f>'INVOCAÇÕES'!$AC$1062&amp;""</f>
        <v/>
      </c>
      <c r="MQ145" s="152">
        <f>IF($MG145&lt;&gt;"",1,0)</f>
        <v/>
      </c>
      <c r="MR145" s="152">
        <f>INDEX($FI$2:$FI$13,$MB145)</f>
        <v/>
      </c>
      <c r="MS145" s="152">
        <f>INDEX($FJ$2:$FJ$13,$MB145)</f>
        <v/>
      </c>
      <c r="MT145" s="152">
        <f>INDEX($FK$2:$FK$13,$MB145)</f>
        <v/>
      </c>
      <c r="MU145" s="152">
        <f>INDEX($FV$2:$FV$13,$MB145)</f>
        <v/>
      </c>
      <c r="MV145" s="152">
        <f>INDEX($FW$2:$FW$13,$MB145)</f>
        <v/>
      </c>
      <c r="MW145" s="152">
        <f>IFERROR(MATCH($MH145,$V$2:$V$11,0),0)</f>
        <v/>
      </c>
      <c r="MX145" s="152">
        <f>IFERROR(VLOOKUP($MK145,$AV$2:$BA$84,2,FALSE),"")</f>
        <v/>
      </c>
      <c r="MY145" s="152">
        <f>IFERROR(VLOOKUP($ML145,$AV$2:$BA$84,2,FALSE),"")</f>
        <v/>
      </c>
      <c r="MZ145" s="152">
        <f>IFERROR(VLOOKUP($MM145,$AV$2:$BA$84,2,FALSE),"")</f>
        <v/>
      </c>
      <c r="NA145" s="152">
        <f>IFERROR(VLOOKUP($MN145,$AV$2:$BA$84,2,FALSE),"")</f>
        <v/>
      </c>
      <c r="NB145" s="152">
        <f>IFERROR(VLOOKUP($MK145,$AV$2:$BA$84,3,FALSE),0)</f>
        <v/>
      </c>
      <c r="NC145" s="152">
        <f>IFERROR(VLOOKUP($ML145,$AV$2:$BA$84,3,FALSE),0)</f>
        <v/>
      </c>
      <c r="ND145" s="152">
        <f>IFERROR(VLOOKUP($MM145,$AV$2:$BA$84,3,FALSE),0)</f>
        <v/>
      </c>
      <c r="NE145" s="152">
        <f>IFERROR(VLOOKUP($MN145,$AV$2:$BA$84,3,FALSE),0)</f>
        <v/>
      </c>
      <c r="NF145" s="152">
        <f>IF($MF145=0,0,IF($MW145=0,0,INDEX($X$2:$X$11,$MW145)))</f>
        <v/>
      </c>
      <c r="NG145" s="152">
        <f>IF(OR($NB145=0,$MF145=0),0,$NB145+3*IF(AND($MX145&lt;&gt;"",OR($MX145=INDEX($EF$2:$EF$13,$MB145),$MX145=INDEX($EG$2:$EG$13,$MB145))),1,0))</f>
        <v/>
      </c>
      <c r="NH145" s="152">
        <f>IF(OR($NC145=0,$MF145=0),0,$NC145+3*IF(AND($MY145&lt;&gt;"",OR($MY145=INDEX($EF$2:$EF$13,$MB145),$MY145=INDEX($EG$2:$EG$13,$MB145))),1,0))</f>
        <v/>
      </c>
      <c r="NI145" s="152">
        <f>IF(OR($ND145=0,$MF145=0),0,$ND145+3*IF(AND($MZ145&lt;&gt;"",OR($MZ145=INDEX($EF$2:$EF$13,$MB145),$MZ145=INDEX($EG$2:$EG$13,$MB145))),1,0))</f>
        <v/>
      </c>
      <c r="NJ145" s="152">
        <f>IF(OR($NE145=0,$MF145=0),0,$NE145+3*IF(AND($NA145&lt;&gt;"",OR($NA145=INDEX($EF$2:$EF$13,$MB145),$NA145=INDEX($EG$2:$EG$13,$MB145))),1,0))</f>
        <v/>
      </c>
      <c r="NK145" s="152">
        <f>IF($MW145=0,0,IF(INDEX($W$2:$W$11,$MW145)="",0,IF(COUNTIF(INDEX($EF$2:$EJ$13,$MB145,0),INDEX($W$2:$W$11,$MW145))=0,1,0)))</f>
        <v/>
      </c>
      <c r="NL145" s="152">
        <f>IF(OR($NB145=0,$MX145=""),0,IF(COUNTIF(INDEX($EF$2:$EJ$13,$MB145,0),$MX145)=0,1,0))</f>
        <v/>
      </c>
      <c r="NM145" s="152">
        <f>IF(OR($NC145=0,$MY145=""),0,IF(COUNTIF(INDEX($EF$2:$EJ$13,$MB145,0),$MY145)=0,1,0))</f>
        <v/>
      </c>
      <c r="NN145" s="152">
        <f>IF(OR($ND145=0,$MZ145=""),0,IF(COUNTIF(INDEX($EF$2:$EJ$13,$MB145,0),$MZ145)=0,1,0))</f>
        <v/>
      </c>
      <c r="NO145" s="152">
        <f>IF(OR($NE145=0,$NA145=""),0,IF(COUNTIF(INDEX($EF$2:$EJ$13,$MB145,0),$NA145)=0,1,0))</f>
        <v/>
      </c>
      <c r="NP145" s="152">
        <f>IFERROR(VLOOKUP($MK145,$AV$2:$BA$84,4,FALSE),0)+IFERROR(VLOOKUP($ML145,$AV$2:$BA$84,4,FALSE),0)+IFERROR(VLOOKUP($MM145,$AV$2:$BA$84,4,FALSE),0)+IFERROR(VLOOKUP($MN145,$AV$2:$BA$84,4,FALSE),0)</f>
        <v/>
      </c>
      <c r="NQ145" s="152">
        <f>IFERROR(VLOOKUP($MK145,$AV$2:$BA$84,6,FALSE),0)+IFERROR(VLOOKUP($ML145,$AV$2:$BA$84,6,FALSE),0)+IFERROR(VLOOKUP($MM145,$AV$2:$BA$84,6,FALSE),0)+IFERROR(VLOOKUP($MN145,$AV$2:$BA$84,6,FALSE),0)</f>
        <v/>
      </c>
      <c r="NR145" s="152">
        <f>TEXTJOIN(", ",TRUE,IF(IFERROR(VLOOKUP($MK145,$AV$2:$BA$84,5,FALSE),0)=1,$MK145,""),IF(IFERROR(VLOOKUP($ML145,$AV$2:$BA$84,5,FALSE),0)=1,$ML145,""),IF(IFERROR(VLOOKUP($MM145,$AV$2:$BA$84,5,FALSE),0)=1,$MM145,""),IF(IFERROR(VLOOKUP($MN145,$AV$2:$BA$84,5,FALSE),0)=1,$MN145,""))</f>
        <v/>
      </c>
      <c r="NS145" s="152">
        <f>IF($MW145=0,0,INDEX($Y$2:$Y$11,$MW145))</f>
        <v/>
      </c>
      <c r="NT145" s="152">
        <f>IF($MW145=0,0,INDEX($Z$2:$Z$11,$MW145))</f>
        <v/>
      </c>
      <c r="NU145" s="152">
        <f>IF($MW145=0,0,INDEX($AB$2:$AB$11,$MW145))</f>
        <v/>
      </c>
      <c r="NV145" s="152">
        <f>IFERROR(VLOOKUP($MO145,$BC$2:$BG$24,3,FALSE),0)</f>
        <v/>
      </c>
      <c r="NW145" s="152">
        <f>IFERROR(VLOOKUP($MP145,$BC$2:$BG$24,3,FALSE),0)</f>
        <v/>
      </c>
      <c r="NX145" s="152">
        <f>IFERROR(VLOOKUP($MO145,$BC$2:$BG$24,2,FALSE),"")</f>
        <v/>
      </c>
      <c r="NY145" s="152">
        <f>IFERROR(VLOOKUP($MP145,$BC$2:$BG$24,2,FALSE),"")</f>
        <v/>
      </c>
      <c r="NZ145" s="152">
        <f>COUNTIF($NF145:$NJ145,1)</f>
        <v/>
      </c>
      <c r="OA145" s="152">
        <f>COUNTIF($NF145:$NJ145,2)</f>
        <v/>
      </c>
      <c r="OB145" s="152">
        <f>COUNTIF($NF145:$NJ145,3)</f>
        <v/>
      </c>
      <c r="OC145" s="152">
        <f>COUNTIF($NF145:$NJ145,4)</f>
        <v/>
      </c>
      <c r="OD145" s="152">
        <f>COUNTIF($NF145:$NJ145,5)</f>
        <v/>
      </c>
      <c r="OE145" s="152">
        <f>COUNTIF($NF145:$NJ145,6)</f>
        <v/>
      </c>
      <c r="OF145" s="152">
        <f>COUNTIF($NV145:$NW145,1)</f>
        <v/>
      </c>
      <c r="OG145" s="152">
        <f>COUNTIF($NV145:$NW145,2)+$NS145</f>
        <v/>
      </c>
      <c r="OH145" s="152">
        <f>COUNTIF($MK145:$MN145,"?*")</f>
        <v/>
      </c>
      <c r="OI145" s="152">
        <f>COUNTIF($MO145:$MP145,"?*")+$NS145</f>
        <v/>
      </c>
      <c r="OJ145" s="152">
        <f>IF($MF145=0,0,SUMPRODUCT($NZ145:$OE145,INDEX($I$2:$N$8,MAX(1,$MF145),0)))</f>
        <v/>
      </c>
      <c r="OK145" s="152">
        <f>IF($MF145=0,0,$OF145*CEILING($MF145/2,1)+$OG145*$MF145)</f>
        <v/>
      </c>
      <c r="OL145" s="152">
        <f>MIN(2*$MF145,$OK145)</f>
        <v/>
      </c>
      <c r="OM145" s="152">
        <f>MIN($OL145,$OJ145)</f>
        <v/>
      </c>
      <c r="ON145" s="152">
        <f>$OL145-$OM145</f>
        <v/>
      </c>
      <c r="OO145" s="152">
        <f>IF($MF145=0,0,INDEX($P$2:$P$8,MAX(1,$MF145)))</f>
        <v/>
      </c>
      <c r="OP145" s="152">
        <f>$OO145-$OJ145+$OM145</f>
        <v/>
      </c>
      <c r="OQ145" s="152">
        <f>IF($MF145=0,MAX(0,$MT145-IF($OH145&gt;0,1,0)),MAX(0,$OP145))</f>
        <v/>
      </c>
      <c r="OR145" s="152">
        <f>IF($MF145=0,0,(IF(COUNTIF($MK145:$MN145,"Salto")&gt;0,1,0)+IF(COUNTIF($MK145:$MN145,"Queima")&gt;0,1,0)+IF(COUNTIF($MK145:$MN145,"Estilhaço")&gt;0,1,0))*FLOOR($OQ145/2,1))</f>
        <v/>
      </c>
      <c r="OS145" s="152">
        <f>MAX(0,2-SUMPRODUCT($NZ145:$OE145,$I$2:$N$2)+MIN(2,$OF145*1+$OG145*1,SUMPRODUCT($NZ145:$OE145,$I$2:$N$2)))</f>
        <v/>
      </c>
      <c r="OT145" s="152">
        <f>MAX(0,4-SUMPRODUCT($NZ145:$OE145,$I$3:$N$3)+MIN(4,$OF145*1+$OG145*2,SUMPRODUCT($NZ145:$OE145,$I$3:$N$3)))</f>
        <v/>
      </c>
      <c r="OU145" s="152">
        <f>MAX(0,6-SUMPRODUCT($NZ145:$OE145,$I$4:$N$4)+MIN(6,$OF145*2+$OG145*3,SUMPRODUCT($NZ145:$OE145,$I$4:$N$4)))</f>
        <v/>
      </c>
      <c r="OV145" s="152">
        <f>MAX(0,9-SUMPRODUCT($NZ145:$OE145,$I$5:$N$5)+MIN(8,$OF145*2+$OG145*4,SUMPRODUCT($NZ145:$OE145,$I$5:$N$5)))</f>
        <v/>
      </c>
      <c r="OW145" s="152">
        <f>MAX(0,11-SUMPRODUCT($NZ145:$OE145,$I$6:$N$6)+MIN(10,$OF145*3+$OG145*5,SUMPRODUCT($NZ145:$OE145,$I$6:$N$6)))</f>
        <v/>
      </c>
      <c r="OX145" s="152">
        <f>MAX(0,13-SUMPRODUCT($NZ145:$OE145,$I$7:$N$7)+MIN(12,$OF145*3+$OG145*6,SUMPRODUCT($NZ145:$OE145,$I$7:$N$7)))</f>
        <v/>
      </c>
      <c r="OY145" s="152">
        <f>MAX(0,16-SUMPRODUCT($NZ145:$OE145,$I$8:$N$8)+MIN(14,$OF145*4+$OG145*7,SUMPRODUCT($NZ145:$OE145,$I$8:$N$8)))</f>
        <v/>
      </c>
      <c r="OZ145" s="152">
        <f>IF($NT145=2,3*$OS145&amp;" de vida temp.",IF($NT145=3,"sem dano",IF($OS145=0,IF($NT145=1,"sem cura","sem dano"),IF($NT145=1,"cura ","")&amp;$OS145&amp;"d8")))</f>
        <v/>
      </c>
      <c r="PA145" s="152">
        <f>IF($NT145=2,3*$OT145&amp;" de vida temp.",IF($NT145=3,"sem dano",IF($OT145=0,IF($NT145=1,"sem cura","sem dano"),IF($NT145=1,"cura ","")&amp;$OT145&amp;"d8")))</f>
        <v/>
      </c>
      <c r="PB145" s="152">
        <f>IF($NT145=2,3*$OU145&amp;" de vida temp.",IF($NT145=3,"sem dano",IF($OU145=0,IF($NT145=1,"sem cura","sem dano"),IF($NT145=1,"cura ","")&amp;$OU145&amp;"d8")))</f>
        <v/>
      </c>
      <c r="PC145" s="152">
        <f>IF($NT145=2,3*$OV145&amp;" de vida temp.",IF($NT145=3,"sem dano",IF($OV145=0,IF($NT145=1,"sem cura","sem dano"),IF($NT145=1,"cura ","")&amp;$OV145&amp;"d8")))</f>
        <v/>
      </c>
      <c r="PD145" s="152">
        <f>IF($NT145=2,3*$OW145&amp;" de vida temp.",IF($NT145=3,"sem dano",IF($OW145=0,IF($NT145=1,"sem cura","sem dano"),IF($NT145=1,"cura ","")&amp;$OW145&amp;"d8")))</f>
        <v/>
      </c>
      <c r="PE145" s="152">
        <f>IF($NT145=2,3*$OX145&amp;" de vida temp.",IF($NT145=3,"sem dano",IF($OX145=0,IF($NT145=1,"sem cura","sem dano"),IF($NT145=1,"cura ","")&amp;$OX145&amp;"d8")))</f>
        <v/>
      </c>
      <c r="PF145" s="152">
        <f>IF($NT145=2,3*$OY145&amp;" de vida temp.",IF($NT145=3,"sem dano",IF($OY145=0,IF($NT145=1,"sem cura","sem dano"),IF($NT145=1,"cura ","")&amp;$OY145&amp;"d8")))</f>
        <v/>
      </c>
      <c r="PG145" s="152">
        <f>IF($MQ145=0,"",TEXTJOIN(" · ",TRUE,IF($MD145&gt;$MR145,"Este lugar abre no nível "&amp;$MD145,""),IF($MF145&gt;$MS145,"Classe "&amp;$MF145&amp;": o nível "&amp;$MR145&amp;" libera até a "&amp;$MS145,""),IF($NK145=1,"A Forma "&amp;$MH145&amp;" pede "&amp;INDEX($W$2:$W$11,$MW145)&amp;" aberta",""),IF(AND($MF145=0,$MW145&gt;0,IF($MW145=0,0,INDEX($AF$2:$AF$11,$MW145))=0),$MH145&amp;" não existe na Classe 0",""),IF($NL145=1,"Família Fechada: "&amp;$MK145,""),IF($NM145=1,"Família Fechada: "&amp;$ML145,""),IF($NN145=1,"Família Fechada: "&amp;$MM145,""),IF($NO145=1,"Família Fechada: "&amp;$MN145,""),IF(AND($MF145&gt;0,$OH145&gt;INDEX($O$2:$O$8,MAX(1,$MF145))),$OH145&amp;" Melhorias: a Classe "&amp;$MF145&amp;" aceita "&amp;INDEX($O$2:$O$8,MAX(1,$MF145)),""),IF(AND($MF145=0,$OH145&gt;1),"A básica aceita uma Melhoria",""),IF(AND($MF145=0,COUNTIF($NB145:$NE145,"&gt;1")&gt;0),"A básica só aceita Melhoria Leve",""),IF(AND($MF145&gt;0,$OI145&gt;2),$OI145&amp;" Restrições"&amp;IF($NS145=1,", contando a que a Forma "&amp;$MH145&amp;" já traz","")&amp;": o limite é 2",""),IF(AND($MF145=0,COUNTIF($MO145:$MP145,"?*")&gt;1),"A básica aceita uma Restrição Leve",""),IF(AND($MF145=0,COUNTIF($NV145:$NW145,2)&gt;0),"A básica só aceita Restrição Leve",""),IF(AND($MF145&gt;0,$OP145&lt;0),"Orçamento estourado: faltam "&amp;(-$OP145)&amp;IF($OP145&lt;-1," pontos"," ponto"),""),IF(IFERROR(VLOOKUP($MO145,$BC$2:$BG$24,4,FALSE),0)+IFERROR(VLOOKUP($MP145,$BC$2:$BG$24,4,FALSE),0)&gt;1,$NX145&amp;" e "&amp;$NY145&amp;" são as duas de frequência",""),IF(AND((COUNTIF($MK145:$MN145,"Rápido")+COUNTIF($NX145:$NY145,"Rápido"))&gt;0,(COUNTIF($MK145:$MN145,"Atrasar")+COUNTIF($NX145:$NY145,"Atrasar"))&gt;0),"Rápido não entra com Atrasar",""),IF(AND((COUNTIF($MK145:$MN145,"Reação")+COUNTIF($NX145:$NY145,"Reação"))&gt;0,(COUNTIF($MK145:$MN145,"Rápido")+COUNTIF($NX145:$NY145,"Rápido"))&gt;0),"Reação não entra com Rápido",""),IF(AND((COUNTIF($MK145:$MN145,"Reação")+COUNTIF($NX145:$NY145,"Reação"))&gt;0,(COUNTIF($MK145:$MN145,"Armado")+COUNTIF($NX145:$NY145,"Armado"))&gt;0),"Reação não entra com Armado",""),IF(AND((COUNTIF($MK145:$MN145,"Reação")+COUNTIF($NX145:$NY145,"Reação"))&gt;0,(COUNTIF($MK145:$MN145,"Atrasar")+COUNTIF($NX145:$NY145,"Atrasar"))&gt;0),"Reação não entra com Atrasar",""),IF(AND((COUNTIF($MK145:$MN145,"Reação")+COUNTIF($NX145:$NY145,"Reação"))&gt;0,(COUNTIF($MK145:$MN145,"Parado")+COUNTIF($NX145:$NY145,"Parado"))&gt;0),"Reação não entra com Parado",""),IF(AND((COUNTIF($MK145:$MN145,"Atrasar")+COUNTIF($NX145:$NY145,"Atrasar"))&gt;0,(COUNTIF($MK145:$MN145,"Parado")+COUNTIF($NX145:$NY145,"Parado"))&gt;0),"Atrasar não entra com Parado",""),IF(AND((COUNTIF($MK145:$MN145,"Armado")+COUNTIF($NX145:$NY145,"Armado"))&gt;0,(COUNTIF($MK145:$MN145,"Carregar")+COUNTIF($NX145:$NY145,"Carregar"))&gt;0),"Armado não entra com Carregar",""),IF(AND(COUNTIF($NX145:$NY145,"Corpo a Corpo")&gt;0,$NS145=0,OR($MH145="Cone",$MH145="Linha")),"Corpo a Corpo não entra em "&amp;$MH145,""),IF(AND(COUNTIF($NX145:$NY145,"Corpo a Corpo")&gt;0,$NS145=1),"A Forma "&amp;$MH145&amp;" já traz o Corpo a Corpo",""),IF(AND(COUNTIF($NX145:$NY145,"Tudo ou Nada")&gt;0,$NU145=0),"Tudo ou Nada só entra em habilidade de Teste de Resistência",""),IF(AND(COUNTIF($MK145:$MN145,"Inescapável")&gt;0,OR($OH145&gt;1,$OI145&gt;0)),"Inescapável não aceita outra peça",""),IF(AND($MF145&gt;0,$OQ145*IF(COUNTIF($MK145:$MN145,"Remate")&gt;0,1.25,1)+$OR145&gt;4*$MF145),($OQ145*IF(COUNTIF($MK145:$MN145,"Remate")&gt;0,1.25,1)+$OR145)&amp;" dados somando repetições"&amp;IF(COUNTIF($MK145:$MN145,"Remate")&gt;0," e o Remate","")&amp;": o teto da Classe "&amp;$MF145&amp;" é "&amp;4*$MF145,"")))</f>
        <v/>
      </c>
      <c r="PH145" s="152">
        <f>IF($PG145="",0,(LEN($PG145)-LEN(SUBSTITUTE($PG145," · ","")))/3+1)</f>
        <v/>
      </c>
      <c r="PI145" s="152">
        <f>IF($MQ145=0,"",TEXTJOIN(" · ",TRUE,IF($OK145&gt;2*$MF145,"A devolução parou no teto de "&amp;2*$MF145,""),IF($ON145&gt;0,"Devolução perdida: "&amp;$ON145&amp;IF($ON145&gt;1," pontos"," ponto")&amp;" sem peça para pagar",""),IF(AND($NP145&gt;0,AND($MF145&gt;0,$NT145=0),$OQ145=0),"Controle sem dano: uma rodada a mais e CD +2",""),IF(AND($NP145&gt;0,AND($MF145&gt;0,$NT145=0),$OQ145&gt;0,$OQ145&lt;=$MF145),"Controle com saldo até a Classe: uma rodada a mais",""),IF(AND($MF145&gt;0,$NR145&lt;&gt;""),"Efeito de "&amp;$NR145&amp;" pela Classe "&amp;MAX(1,$MF145-1),"")))</f>
        <v/>
      </c>
      <c r="PJ145" s="152">
        <f>IF($PI145="",0,(LEN($PI145)-LEN(SUBSTITUTE($PI145," · ","")))/3+1)</f>
        <v/>
      </c>
      <c r="PK145" s="152">
        <f>IF($MQ145=0,IF($OH145+COUNTIF($MO145:$MP145,"?*")&gt;0,"Dê um nome",""),IF($PH145&gt;0,"⚠ "&amp;$PH145&amp;IF($PH145&gt;1," erros"," erro"),IF($PJ145&gt;0,"! "&amp;$PJ145&amp;IF($PJ145&gt;1," avisos"," aviso"),"Na regra")))</f>
        <v/>
      </c>
      <c r="PL145" s="152">
        <f>IF($MQ145=0,"",IF($PH145+$PJ145=0,"Dentro das regras que a ficha confere",$PG145&amp;IF(AND($PH145&gt;0,$PJ145&gt;0)," · ","")&amp;$PI145))</f>
        <v/>
      </c>
      <c r="PM145" s="152">
        <f>IF($MD145&gt;$MR145,$ME145&amp;" · ABRE NO NÍVEL "&amp;$MD145,$ME145)</f>
        <v/>
      </c>
      <c r="PN145" s="152">
        <f>IF($MQ145=0,"",IF($MF145=0,"Sem PE",3*$MF145&amp;" PE"))</f>
        <v/>
      </c>
      <c r="PO145" s="152">
        <f>IF($MQ145=0,"",IF($MF145=0,"A atuação básica dela",IF(COUNTIF($NX145:$NY145,"Atrasar")&gt;0,"Sua Ação Completa",IF(COUNTIF($MK145:$MN145,"Rápido")&gt;0,"Sua Bônus",IF(COUNTIF($MK145:$MN145,"Reação")&gt;0,"Sua Reação","Sua Padrão")))&amp;" + a básica dela"&amp;IF(COUNTIF($MK145:$MN145,"Reação")&gt;0," e a coletiva","")&amp;IF(COUNTIF($NX145:$NY145,"Carregar")&gt;0," · em dois turnos","")))</f>
        <v/>
      </c>
      <c r="PP145" s="152">
        <f>IF($MJ145&lt;&gt;"",$MJ145,IF($MW145=0,"",INDEX($AA$2:$AA$11,$MW145)))</f>
        <v/>
      </c>
      <c r="PQ145" s="152">
        <f>IF(OR($MQ145=0,$MW145=0),"",IF(COUNTIF($MK145:$MN145,"Inescapável")&gt;0,"Automático",IF($PP145="Ataque",IF($MU145="","Ataque","Ataque "&amp;IF(($MU145+2*IF(COUNTIF($MK145:$MN145,"Precisão")&gt;0,1,0))&gt;=0,"+","−")&amp;ABS(($MU145+2*IF(COUNTIF($MK145:$MN145,"Precisão")&gt;0,1,0))))&amp;IF($NQ145&gt;0," · TR"&amp;IF($MV145="",""," CD "&amp;$MV145),""),IF(LEFT($PP145,2)="TR",$PP145&amp;IF($MV145="",""," · CD "&amp;$MV145)&amp;IF(COUNTIF($MK145:$MN145,"Certeiro")&gt;0," · metade",""),"Sem rolagem"))))</f>
        <v/>
      </c>
      <c r="PR145" s="152">
        <f>IF(OR($MQ145=0,$MW145=0),"",IF($MF145=0,IF(OR($NT145&gt;=1,$OQ145=0),"Sem dano",$OQ145&amp;"d6"&amp;IF($MI145="",""," "&amp;$MI145)),IF(OR($NT145&gt;=1,$OQ145=0),UPPER(LEFT(INDEX($OZ145:$PF145,1,MAX(1,$MF145)),1))&amp;MID(INDEX($OZ145:$PF145,1,MAX(1,$MF145)),2,99),UPPER(LEFT(INDEX($OZ145:$PF145,1,MAX(1,$MF145)),1))&amp;MID(INDEX($OZ145:$PF145,1,MAX(1,$MF145)),2,99)&amp;IF($MI145="",""," "&amp;$MI145)&amp;IF($OR145&gt;0," · +"&amp;$OR145&amp;"d8",""))))</f>
        <v/>
      </c>
      <c r="PS145" s="152">
        <f>COUNTIF($MK145:$MN145,"Longe")+3*COUNTIF($MK145:$MN145,"Muito Longe")</f>
        <v/>
      </c>
      <c r="PT145" s="152">
        <f>COUNTIF($MK145:$MN145,"Maior")+3*COUNTIF($MK145:$MN145,"Muito Maior")</f>
        <v/>
      </c>
      <c r="PU145" s="152">
        <f>IF($MW145=0,0,CHOOSE(1+INDEX($AC$2:$AC$11,$MW145),0,$PS145,$PT145,$PS145+$PT145))</f>
        <v/>
      </c>
      <c r="PV145" s="152">
        <f>IF($MW145=0,0,CHOOSE(1+INDEX($AD$2:$AD$11,$MW145),0,$PS145,$PT145,$PS145+$PT145))</f>
        <v/>
      </c>
      <c r="PW145" s="152">
        <f>IF(OR($MQ145=0,$MW145=0),"",INDEX($AI$2:$AN$41,($MW145-1)*4+IF($MF145=0,1,IF($MF145&lt;=5,2,IF($MF145=6,3,4))),1+MIN(5,$PU145))&amp;INDEX($AO$2:$AT$41,($MW145-1)*4+IF($MF145=0,1,IF($MF145&lt;=5,2,IF($MF145=6,3,4))),1+MIN(5,$PV145))&amp;IF(INDEX($AE$2:$AE$11,$MW145)=1,IF(COUNTIF($MK145:$MN145,"Mais Um")&gt;0," · +"&amp;COUNTIF($MK145:$MN145,"Mais Um")&amp;IF(COUNTIF($MK145:$MN145,"Mais Um")&gt;1," alvos"," alvo"),"")&amp;IF(COUNTIF($MK145:$MN145,"Rajada")&gt;0,IF($MF145=0," · 1 tiro"," · "&amp;(MAX(1,$MF145-1)+1)&amp;" tiros"),""),""))</f>
        <v/>
      </c>
      <c r="PX145" s="152">
        <f>IF($MQ145=0,"",IF($MF145=0,$MT145&amp;"d6"&amp;IF($OH145&gt;0," − 1 = "&amp;$OQ145&amp;"d6"," da básica do nível "&amp;$MR145),$OO145&amp;" − "&amp;$OJ145&amp;" + "&amp;$OM145&amp;" = "&amp;$OP145&amp;" · teto "&amp;4*$MF145&amp;"d8"&amp;IF($NS145=1," · a Forma devolve "&amp;$MF145,"")&amp;IF($ON145&gt;0," · perde "&amp;$ON145,"")))</f>
        <v/>
      </c>
      <c r="PY145" s="152">
        <f>IF($MQ145=0,"",IF($MF145=0,"A básica não amplia: os dados dela sobem com o nível",IF($MF145&gt;=$MS145,"Já está na maior Classe que o nível liberou",TEXTJOIN(" · ",TRUE,IF(AND(2&gt;$MF145,2&lt;=$MS145),"2 → "&amp;$PA145&amp;", 6 PE",""),IF(AND(3&gt;$MF145,3&lt;=$MS145),"3 → "&amp;$PB145&amp;", 9 PE",""),IF(AND(4&gt;$MF145,4&lt;=$MS145),"4 → "&amp;$PC145&amp;", 12 PE",""),IF(AND(5&gt;$MF145,5&lt;=$MS145),"5 → "&amp;$PD145&amp;", 15 PE",""),IF(AND(6&gt;$MF145,6&lt;=$MS145),"6 → "&amp;$PE145&amp;", 18 PE",""),IF(AND(7&gt;$MF145,7&lt;=$MS145),"7 → "&amp;$PF145&amp;", 21 PE","")))))</f>
        <v/>
      </c>
      <c r="PZ145" s="152">
        <f>IF(OR($MQ145=0,$NB145=0),"",IF($MF145=0,"−1 dado","−"&amp;INDEX($I$2:$N$8,MAX(1,$MF145),MAX(1,$NG145))&amp;" · "&amp;CHOOSE(MAX(1,$NG145),"Leve","Média","Pesada","Leve · Livre","Média · Livre","Pesada · Livre")))</f>
        <v/>
      </c>
      <c r="QA145" s="152">
        <f>IF(OR($MQ145=0,$NC145=0),"",IF($MF145=0,"−1 dado","−"&amp;INDEX($I$2:$N$8,MAX(1,$MF145),MAX(1,$NH145))&amp;" · "&amp;CHOOSE(MAX(1,$NH145),"Leve","Média","Pesada","Leve · Livre","Média · Livre","Pesada · Livre")))</f>
        <v/>
      </c>
      <c r="QB145" s="152">
        <f>IF(OR($MQ145=0,$ND145=0),"",IF($MF145=0,"−1 dado","−"&amp;INDEX($I$2:$N$8,MAX(1,$MF145),MAX(1,$NI145))&amp;" · "&amp;CHOOSE(MAX(1,$NI145),"Leve","Média","Pesada","Leve · Livre","Média · Livre","Pesada · Livre")))</f>
        <v/>
      </c>
      <c r="QC145" s="152">
        <f>IF(OR($MQ145=0,$NE145=0),"",IF($MF145=0,"−1 dado","−"&amp;INDEX($I$2:$N$8,MAX(1,$MF145),MAX(1,$NJ145))&amp;" · "&amp;CHOOSE(MAX(1,$NJ145),"Leve","Média","Pesada","Leve · Livre","Média · Livre","Pesada · Livre")))</f>
        <v/>
      </c>
      <c r="QD145" s="152">
        <f>IF(OR($MQ145=0,$MO145=""),"",IF($MF145=0,"não devolve","+"&amp;IF($NV145=1,CEILING($MF145/2,1),$MF145)))</f>
        <v/>
      </c>
      <c r="QE145" s="152">
        <f>IF(OR($MQ145=0,$MP145=""),"",IF($MF145=0,"não devolve","+"&amp;IF($NW145=1,CEILING($MF145/2,1),$MF145)))</f>
        <v/>
      </c>
    </row>
    <row r="146">
      <c r="MA146" s="150" t="inlineStr">
        <is>
          <t>Ficha 12 · Especial 1</t>
        </is>
      </c>
      <c r="MB146" s="152" t="n">
        <v>12</v>
      </c>
      <c r="MC146" s="152" t="n">
        <v>1</v>
      </c>
      <c r="MD146" s="152" t="n">
        <v>1</v>
      </c>
      <c r="ME146" s="150" t="inlineStr">
        <is>
          <t>ESPECIAL 1</t>
        </is>
      </c>
      <c r="MF146" s="152">
        <f>MAX(1,MIN(7,N('INVOCAÇÕES'!$AH$1048)))</f>
        <v/>
      </c>
      <c r="MG146" s="152">
        <f>'INVOCAÇÕES'!$AI$1048&amp;""</f>
        <v/>
      </c>
      <c r="MH146" s="152">
        <f>'INVOCAÇÕES'!$AH$1053&amp;""</f>
        <v/>
      </c>
      <c r="MI146" s="152">
        <f>'INVOCAÇÕES'!$AH$1054&amp;""</f>
        <v/>
      </c>
      <c r="MJ146" s="152">
        <f>'INVOCAÇÕES'!$AJ$1054&amp;""</f>
        <v/>
      </c>
      <c r="MK146" s="152">
        <f>'INVOCAÇÕES'!$AI$1057&amp;""</f>
        <v/>
      </c>
      <c r="ML146" s="152">
        <f>'INVOCAÇÕES'!$AI$1058&amp;""</f>
        <v/>
      </c>
      <c r="MM146" s="152">
        <f>'INVOCAÇÕES'!$AI$1059&amp;""</f>
        <v/>
      </c>
      <c r="MN146" s="152">
        <f>'INVOCAÇÕES'!$AI$1060&amp;""</f>
        <v/>
      </c>
      <c r="MO146" s="152">
        <f>'INVOCAÇÕES'!$AI$1061&amp;""</f>
        <v/>
      </c>
      <c r="MP146" s="152">
        <f>'INVOCAÇÕES'!$AI$1062&amp;""</f>
        <v/>
      </c>
      <c r="MQ146" s="152">
        <f>IF($MG146&lt;&gt;"",1,0)</f>
        <v/>
      </c>
      <c r="MR146" s="152">
        <f>INDEX($FI$2:$FI$13,$MB146)</f>
        <v/>
      </c>
      <c r="MS146" s="152">
        <f>INDEX($FJ$2:$FJ$13,$MB146)</f>
        <v/>
      </c>
      <c r="MT146" s="152">
        <f>INDEX($FK$2:$FK$13,$MB146)</f>
        <v/>
      </c>
      <c r="MU146" s="152">
        <f>INDEX($FV$2:$FV$13,$MB146)</f>
        <v/>
      </c>
      <c r="MV146" s="152">
        <f>INDEX($FW$2:$FW$13,$MB146)</f>
        <v/>
      </c>
      <c r="MW146" s="152">
        <f>IFERROR(MATCH($MH146,$V$2:$V$11,0),0)</f>
        <v/>
      </c>
      <c r="MX146" s="152">
        <f>IFERROR(VLOOKUP($MK146,$AV$2:$BA$84,2,FALSE),"")</f>
        <v/>
      </c>
      <c r="MY146" s="152">
        <f>IFERROR(VLOOKUP($ML146,$AV$2:$BA$84,2,FALSE),"")</f>
        <v/>
      </c>
      <c r="MZ146" s="152">
        <f>IFERROR(VLOOKUP($MM146,$AV$2:$BA$84,2,FALSE),"")</f>
        <v/>
      </c>
      <c r="NA146" s="152">
        <f>IFERROR(VLOOKUP($MN146,$AV$2:$BA$84,2,FALSE),"")</f>
        <v/>
      </c>
      <c r="NB146" s="152">
        <f>IFERROR(VLOOKUP($MK146,$AV$2:$BA$84,3,FALSE),0)</f>
        <v/>
      </c>
      <c r="NC146" s="152">
        <f>IFERROR(VLOOKUP($ML146,$AV$2:$BA$84,3,FALSE),0)</f>
        <v/>
      </c>
      <c r="ND146" s="152">
        <f>IFERROR(VLOOKUP($MM146,$AV$2:$BA$84,3,FALSE),0)</f>
        <v/>
      </c>
      <c r="NE146" s="152">
        <f>IFERROR(VLOOKUP($MN146,$AV$2:$BA$84,3,FALSE),0)</f>
        <v/>
      </c>
      <c r="NF146" s="152">
        <f>IF($MF146=0,0,IF($MW146=0,0,INDEX($X$2:$X$11,$MW146)))</f>
        <v/>
      </c>
      <c r="NG146" s="152">
        <f>IF(OR($NB146=0,$MF146=0),0,$NB146+3*IF(AND($MX146&lt;&gt;"",OR($MX146=INDEX($EF$2:$EF$13,$MB146),$MX146=INDEX($EG$2:$EG$13,$MB146))),1,0))</f>
        <v/>
      </c>
      <c r="NH146" s="152">
        <f>IF(OR($NC146=0,$MF146=0),0,$NC146+3*IF(AND($MY146&lt;&gt;"",OR($MY146=INDEX($EF$2:$EF$13,$MB146),$MY146=INDEX($EG$2:$EG$13,$MB146))),1,0))</f>
        <v/>
      </c>
      <c r="NI146" s="152">
        <f>IF(OR($ND146=0,$MF146=0),0,$ND146+3*IF(AND($MZ146&lt;&gt;"",OR($MZ146=INDEX($EF$2:$EF$13,$MB146),$MZ146=INDEX($EG$2:$EG$13,$MB146))),1,0))</f>
        <v/>
      </c>
      <c r="NJ146" s="152">
        <f>IF(OR($NE146=0,$MF146=0),0,$NE146+3*IF(AND($NA146&lt;&gt;"",OR($NA146=INDEX($EF$2:$EF$13,$MB146),$NA146=INDEX($EG$2:$EG$13,$MB146))),1,0))</f>
        <v/>
      </c>
      <c r="NK146" s="152">
        <f>IF($MW146=0,0,IF(INDEX($W$2:$W$11,$MW146)="",0,IF(COUNTIF(INDEX($EF$2:$EJ$13,$MB146,0),INDEX($W$2:$W$11,$MW146))=0,1,0)))</f>
        <v/>
      </c>
      <c r="NL146" s="152">
        <f>IF(OR($NB146=0,$MX146=""),0,IF(COUNTIF(INDEX($EF$2:$EJ$13,$MB146,0),$MX146)=0,1,0))</f>
        <v/>
      </c>
      <c r="NM146" s="152">
        <f>IF(OR($NC146=0,$MY146=""),0,IF(COUNTIF(INDEX($EF$2:$EJ$13,$MB146,0),$MY146)=0,1,0))</f>
        <v/>
      </c>
      <c r="NN146" s="152">
        <f>IF(OR($ND146=0,$MZ146=""),0,IF(COUNTIF(INDEX($EF$2:$EJ$13,$MB146,0),$MZ146)=0,1,0))</f>
        <v/>
      </c>
      <c r="NO146" s="152">
        <f>IF(OR($NE146=0,$NA146=""),0,IF(COUNTIF(INDEX($EF$2:$EJ$13,$MB146,0),$NA146)=0,1,0))</f>
        <v/>
      </c>
      <c r="NP146" s="152">
        <f>IFERROR(VLOOKUP($MK146,$AV$2:$BA$84,4,FALSE),0)+IFERROR(VLOOKUP($ML146,$AV$2:$BA$84,4,FALSE),0)+IFERROR(VLOOKUP($MM146,$AV$2:$BA$84,4,FALSE),0)+IFERROR(VLOOKUP($MN146,$AV$2:$BA$84,4,FALSE),0)</f>
        <v/>
      </c>
      <c r="NQ146" s="152">
        <f>IFERROR(VLOOKUP($MK146,$AV$2:$BA$84,6,FALSE),0)+IFERROR(VLOOKUP($ML146,$AV$2:$BA$84,6,FALSE),0)+IFERROR(VLOOKUP($MM146,$AV$2:$BA$84,6,FALSE),0)+IFERROR(VLOOKUP($MN146,$AV$2:$BA$84,6,FALSE),0)</f>
        <v/>
      </c>
      <c r="NR146" s="152">
        <f>TEXTJOIN(", ",TRUE,IF(IFERROR(VLOOKUP($MK146,$AV$2:$BA$84,5,FALSE),0)=1,$MK146,""),IF(IFERROR(VLOOKUP($ML146,$AV$2:$BA$84,5,FALSE),0)=1,$ML146,""),IF(IFERROR(VLOOKUP($MM146,$AV$2:$BA$84,5,FALSE),0)=1,$MM146,""),IF(IFERROR(VLOOKUP($MN146,$AV$2:$BA$84,5,FALSE),0)=1,$MN146,""))</f>
        <v/>
      </c>
      <c r="NS146" s="152">
        <f>IF($MW146=0,0,INDEX($Y$2:$Y$11,$MW146))</f>
        <v/>
      </c>
      <c r="NT146" s="152">
        <f>IF($MW146=0,0,INDEX($Z$2:$Z$11,$MW146))</f>
        <v/>
      </c>
      <c r="NU146" s="152">
        <f>IF($MW146=0,0,INDEX($AB$2:$AB$11,$MW146))</f>
        <v/>
      </c>
      <c r="NV146" s="152">
        <f>IFERROR(VLOOKUP($MO146,$BC$2:$BG$24,3,FALSE),0)</f>
        <v/>
      </c>
      <c r="NW146" s="152">
        <f>IFERROR(VLOOKUP($MP146,$BC$2:$BG$24,3,FALSE),0)</f>
        <v/>
      </c>
      <c r="NX146" s="152">
        <f>IFERROR(VLOOKUP($MO146,$BC$2:$BG$24,2,FALSE),"")</f>
        <v/>
      </c>
      <c r="NY146" s="152">
        <f>IFERROR(VLOOKUP($MP146,$BC$2:$BG$24,2,FALSE),"")</f>
        <v/>
      </c>
      <c r="NZ146" s="152">
        <f>COUNTIF($NF146:$NJ146,1)</f>
        <v/>
      </c>
      <c r="OA146" s="152">
        <f>COUNTIF($NF146:$NJ146,2)</f>
        <v/>
      </c>
      <c r="OB146" s="152">
        <f>COUNTIF($NF146:$NJ146,3)</f>
        <v/>
      </c>
      <c r="OC146" s="152">
        <f>COUNTIF($NF146:$NJ146,4)</f>
        <v/>
      </c>
      <c r="OD146" s="152">
        <f>COUNTIF($NF146:$NJ146,5)</f>
        <v/>
      </c>
      <c r="OE146" s="152">
        <f>COUNTIF($NF146:$NJ146,6)</f>
        <v/>
      </c>
      <c r="OF146" s="152">
        <f>COUNTIF($NV146:$NW146,1)</f>
        <v/>
      </c>
      <c r="OG146" s="152">
        <f>COUNTIF($NV146:$NW146,2)+$NS146</f>
        <v/>
      </c>
      <c r="OH146" s="152">
        <f>COUNTIF($MK146:$MN146,"?*")</f>
        <v/>
      </c>
      <c r="OI146" s="152">
        <f>COUNTIF($MO146:$MP146,"?*")+$NS146</f>
        <v/>
      </c>
      <c r="OJ146" s="152">
        <f>IF($MF146=0,0,SUMPRODUCT($NZ146:$OE146,INDEX($I$2:$N$8,MAX(1,$MF146),0)))</f>
        <v/>
      </c>
      <c r="OK146" s="152">
        <f>IF($MF146=0,0,$OF146*CEILING($MF146/2,1)+$OG146*$MF146)</f>
        <v/>
      </c>
      <c r="OL146" s="152">
        <f>MIN(2*$MF146,$OK146)</f>
        <v/>
      </c>
      <c r="OM146" s="152">
        <f>MIN($OL146,$OJ146)</f>
        <v/>
      </c>
      <c r="ON146" s="152">
        <f>$OL146-$OM146</f>
        <v/>
      </c>
      <c r="OO146" s="152">
        <f>IF($MF146=0,0,INDEX($P$2:$P$8,MAX(1,$MF146)))</f>
        <v/>
      </c>
      <c r="OP146" s="152">
        <f>$OO146-$OJ146+$OM146</f>
        <v/>
      </c>
      <c r="OQ146" s="152">
        <f>IF($MF146=0,MAX(0,$MT146-IF($OH146&gt;0,1,0)),MAX(0,$OP146))</f>
        <v/>
      </c>
      <c r="OR146" s="152">
        <f>IF($MF146=0,0,(IF(COUNTIF($MK146:$MN146,"Salto")&gt;0,1,0)+IF(COUNTIF($MK146:$MN146,"Queima")&gt;0,1,0)+IF(COUNTIF($MK146:$MN146,"Estilhaço")&gt;0,1,0))*FLOOR($OQ146/2,1))</f>
        <v/>
      </c>
      <c r="OS146" s="152">
        <f>MAX(0,2-SUMPRODUCT($NZ146:$OE146,$I$2:$N$2)+MIN(2,$OF146*1+$OG146*1,SUMPRODUCT($NZ146:$OE146,$I$2:$N$2)))</f>
        <v/>
      </c>
      <c r="OT146" s="152">
        <f>MAX(0,4-SUMPRODUCT($NZ146:$OE146,$I$3:$N$3)+MIN(4,$OF146*1+$OG146*2,SUMPRODUCT($NZ146:$OE146,$I$3:$N$3)))</f>
        <v/>
      </c>
      <c r="OU146" s="152">
        <f>MAX(0,6-SUMPRODUCT($NZ146:$OE146,$I$4:$N$4)+MIN(6,$OF146*2+$OG146*3,SUMPRODUCT($NZ146:$OE146,$I$4:$N$4)))</f>
        <v/>
      </c>
      <c r="OV146" s="152">
        <f>MAX(0,9-SUMPRODUCT($NZ146:$OE146,$I$5:$N$5)+MIN(8,$OF146*2+$OG146*4,SUMPRODUCT($NZ146:$OE146,$I$5:$N$5)))</f>
        <v/>
      </c>
      <c r="OW146" s="152">
        <f>MAX(0,11-SUMPRODUCT($NZ146:$OE146,$I$6:$N$6)+MIN(10,$OF146*3+$OG146*5,SUMPRODUCT($NZ146:$OE146,$I$6:$N$6)))</f>
        <v/>
      </c>
      <c r="OX146" s="152">
        <f>MAX(0,13-SUMPRODUCT($NZ146:$OE146,$I$7:$N$7)+MIN(12,$OF146*3+$OG146*6,SUMPRODUCT($NZ146:$OE146,$I$7:$N$7)))</f>
        <v/>
      </c>
      <c r="OY146" s="152">
        <f>MAX(0,16-SUMPRODUCT($NZ146:$OE146,$I$8:$N$8)+MIN(14,$OF146*4+$OG146*7,SUMPRODUCT($NZ146:$OE146,$I$8:$N$8)))</f>
        <v/>
      </c>
      <c r="OZ146" s="152">
        <f>IF($NT146=2,3*$OS146&amp;" de vida temp.",IF($NT146=3,"sem dano",IF($OS146=0,IF($NT146=1,"sem cura","sem dano"),IF($NT146=1,"cura ","")&amp;$OS146&amp;"d8")))</f>
        <v/>
      </c>
      <c r="PA146" s="152">
        <f>IF($NT146=2,3*$OT146&amp;" de vida temp.",IF($NT146=3,"sem dano",IF($OT146=0,IF($NT146=1,"sem cura","sem dano"),IF($NT146=1,"cura ","")&amp;$OT146&amp;"d8")))</f>
        <v/>
      </c>
      <c r="PB146" s="152">
        <f>IF($NT146=2,3*$OU146&amp;" de vida temp.",IF($NT146=3,"sem dano",IF($OU146=0,IF($NT146=1,"sem cura","sem dano"),IF($NT146=1,"cura ","")&amp;$OU146&amp;"d8")))</f>
        <v/>
      </c>
      <c r="PC146" s="152">
        <f>IF($NT146=2,3*$OV146&amp;" de vida temp.",IF($NT146=3,"sem dano",IF($OV146=0,IF($NT146=1,"sem cura","sem dano"),IF($NT146=1,"cura ","")&amp;$OV146&amp;"d8")))</f>
        <v/>
      </c>
      <c r="PD146" s="152">
        <f>IF($NT146=2,3*$OW146&amp;" de vida temp.",IF($NT146=3,"sem dano",IF($OW146=0,IF($NT146=1,"sem cura","sem dano"),IF($NT146=1,"cura ","")&amp;$OW146&amp;"d8")))</f>
        <v/>
      </c>
      <c r="PE146" s="152">
        <f>IF($NT146=2,3*$OX146&amp;" de vida temp.",IF($NT146=3,"sem dano",IF($OX146=0,IF($NT146=1,"sem cura","sem dano"),IF($NT146=1,"cura ","")&amp;$OX146&amp;"d8")))</f>
        <v/>
      </c>
      <c r="PF146" s="152">
        <f>IF($NT146=2,3*$OY146&amp;" de vida temp.",IF($NT146=3,"sem dano",IF($OY146=0,IF($NT146=1,"sem cura","sem dano"),IF($NT146=1,"cura ","")&amp;$OY146&amp;"d8")))</f>
        <v/>
      </c>
      <c r="PG146" s="152">
        <f>IF($MQ146=0,"",TEXTJOIN(" · ",TRUE,IF($MD146&gt;$MR146,"Este lugar abre no nível "&amp;$MD146,""),IF($MF146&gt;$MS146,"Classe "&amp;$MF146&amp;": o nível "&amp;$MR146&amp;" libera até a "&amp;$MS146,""),IF($NK146=1,"A Forma "&amp;$MH146&amp;" pede "&amp;INDEX($W$2:$W$11,$MW146)&amp;" aberta",""),IF(AND($MF146=0,$MW146&gt;0,IF($MW146=0,0,INDEX($AF$2:$AF$11,$MW146))=0),$MH146&amp;" não existe na Classe 0",""),IF($NL146=1,"Família Fechada: "&amp;$MK146,""),IF($NM146=1,"Família Fechada: "&amp;$ML146,""),IF($NN146=1,"Família Fechada: "&amp;$MM146,""),IF($NO146=1,"Família Fechada: "&amp;$MN146,""),IF(AND($MF146&gt;0,$OH146&gt;INDEX($O$2:$O$8,MAX(1,$MF146))),$OH146&amp;" Melhorias: a Classe "&amp;$MF146&amp;" aceita "&amp;INDEX($O$2:$O$8,MAX(1,$MF146)),""),IF(AND($MF146=0,$OH146&gt;1),"A básica aceita uma Melhoria",""),IF(AND($MF146=0,COUNTIF($NB146:$NE146,"&gt;1")&gt;0),"A básica só aceita Melhoria Leve",""),IF(AND($MF146&gt;0,$OI146&gt;2),$OI146&amp;" Restrições"&amp;IF($NS146=1,", contando a que a Forma "&amp;$MH146&amp;" já traz","")&amp;": o limite é 2",""),IF(AND($MF146=0,COUNTIF($MO146:$MP146,"?*")&gt;1),"A básica aceita uma Restrição Leve",""),IF(AND($MF146=0,COUNTIF($NV146:$NW146,2)&gt;0),"A básica só aceita Restrição Leve",""),IF(AND($MF146&gt;0,$OP146&lt;0),"Orçamento estourado: faltam "&amp;(-$OP146)&amp;IF($OP146&lt;-1," pontos"," ponto"),""),IF(IFERROR(VLOOKUP($MO146,$BC$2:$BG$24,4,FALSE),0)+IFERROR(VLOOKUP($MP146,$BC$2:$BG$24,4,FALSE),0)&gt;1,$NX146&amp;" e "&amp;$NY146&amp;" são as duas de frequência",""),IF(AND((COUNTIF($MK146:$MN146,"Rápido")+COUNTIF($NX146:$NY146,"Rápido"))&gt;0,(COUNTIF($MK146:$MN146,"Atrasar")+COUNTIF($NX146:$NY146,"Atrasar"))&gt;0),"Rápido não entra com Atrasar",""),IF(AND((COUNTIF($MK146:$MN146,"Reação")+COUNTIF($NX146:$NY146,"Reação"))&gt;0,(COUNTIF($MK146:$MN146,"Rápido")+COUNTIF($NX146:$NY146,"Rápido"))&gt;0),"Reação não entra com Rápido",""),IF(AND((COUNTIF($MK146:$MN146,"Reação")+COUNTIF($NX146:$NY146,"Reação"))&gt;0,(COUNTIF($MK146:$MN146,"Armado")+COUNTIF($NX146:$NY146,"Armado"))&gt;0),"Reação não entra com Armado",""),IF(AND((COUNTIF($MK146:$MN146,"Reação")+COUNTIF($NX146:$NY146,"Reação"))&gt;0,(COUNTIF($MK146:$MN146,"Atrasar")+COUNTIF($NX146:$NY146,"Atrasar"))&gt;0),"Reação não entra com Atrasar",""),IF(AND((COUNTIF($MK146:$MN146,"Reação")+COUNTIF($NX146:$NY146,"Reação"))&gt;0,(COUNTIF($MK146:$MN146,"Parado")+COUNTIF($NX146:$NY146,"Parado"))&gt;0),"Reação não entra com Parado",""),IF(AND((COUNTIF($MK146:$MN146,"Atrasar")+COUNTIF($NX146:$NY146,"Atrasar"))&gt;0,(COUNTIF($MK146:$MN146,"Parado")+COUNTIF($NX146:$NY146,"Parado"))&gt;0),"Atrasar não entra com Parado",""),IF(AND((COUNTIF($MK146:$MN146,"Armado")+COUNTIF($NX146:$NY146,"Armado"))&gt;0,(COUNTIF($MK146:$MN146,"Carregar")+COUNTIF($NX146:$NY146,"Carregar"))&gt;0),"Armado não entra com Carregar",""),IF(AND(COUNTIF($NX146:$NY146,"Corpo a Corpo")&gt;0,$NS146=0,OR($MH146="Cone",$MH146="Linha")),"Corpo a Corpo não entra em "&amp;$MH146,""),IF(AND(COUNTIF($NX146:$NY146,"Corpo a Corpo")&gt;0,$NS146=1),"A Forma "&amp;$MH146&amp;" já traz o Corpo a Corpo",""),IF(AND(COUNTIF($NX146:$NY146,"Tudo ou Nada")&gt;0,$NU146=0),"Tudo ou Nada só entra em habilidade de Teste de Resistência",""),IF(AND(COUNTIF($MK146:$MN146,"Inescapável")&gt;0,OR($OH146&gt;1,$OI146&gt;0)),"Inescapável não aceita outra peça",""),IF(AND($MF146&gt;0,$OQ146*IF(COUNTIF($MK146:$MN146,"Remate")&gt;0,1.25,1)+$OR146&gt;4*$MF146),($OQ146*IF(COUNTIF($MK146:$MN146,"Remate")&gt;0,1.25,1)+$OR146)&amp;" dados somando repetições"&amp;IF(COUNTIF($MK146:$MN146,"Remate")&gt;0," e o Remate","")&amp;": o teto da Classe "&amp;$MF146&amp;" é "&amp;4*$MF146,"")))</f>
        <v/>
      </c>
      <c r="PH146" s="152">
        <f>IF($PG146="",0,(LEN($PG146)-LEN(SUBSTITUTE($PG146," · ","")))/3+1)</f>
        <v/>
      </c>
      <c r="PI146" s="152">
        <f>IF($MQ146=0,"",TEXTJOIN(" · ",TRUE,IF($OK146&gt;2*$MF146,"A devolução parou no teto de "&amp;2*$MF146,""),IF($ON146&gt;0,"Devolução perdida: "&amp;$ON146&amp;IF($ON146&gt;1," pontos"," ponto")&amp;" sem peça para pagar",""),IF(AND($NP146&gt;0,AND($MF146&gt;0,$NT146=0),$OQ146=0),"Controle sem dano: uma rodada a mais e CD +2",""),IF(AND($NP146&gt;0,AND($MF146&gt;0,$NT146=0),$OQ146&gt;0,$OQ146&lt;=$MF146),"Controle com saldo até a Classe: uma rodada a mais",""),IF(AND($MF146&gt;0,$NR146&lt;&gt;""),"Efeito de "&amp;$NR146&amp;" pela Classe "&amp;MAX(1,$MF146-1),"")))</f>
        <v/>
      </c>
      <c r="PJ146" s="152">
        <f>IF($PI146="",0,(LEN($PI146)-LEN(SUBSTITUTE($PI146," · ","")))/3+1)</f>
        <v/>
      </c>
      <c r="PK146" s="152">
        <f>IF($MQ146=0,IF($OH146+COUNTIF($MO146:$MP146,"?*")&gt;0,"Dê um nome",""),IF($PH146&gt;0,"⚠ "&amp;$PH146&amp;IF($PH146&gt;1," erros"," erro"),IF($PJ146&gt;0,"! "&amp;$PJ146&amp;IF($PJ146&gt;1," avisos"," aviso"),"Na regra")))</f>
        <v/>
      </c>
      <c r="PL146" s="152">
        <f>IF($MQ146=0,"",IF($PH146+$PJ146=0,"Dentro das regras que a ficha confere",$PG146&amp;IF(AND($PH146&gt;0,$PJ146&gt;0)," · ","")&amp;$PI146))</f>
        <v/>
      </c>
      <c r="PM146" s="152">
        <f>IF($MD146&gt;$MR146,$ME146&amp;" · ABRE NO NÍVEL "&amp;$MD146,$ME146)</f>
        <v/>
      </c>
      <c r="PN146" s="152">
        <f>IF($MQ146=0,"",IF($MF146=0,"Sem PE",3*$MF146&amp;" PE"))</f>
        <v/>
      </c>
      <c r="PO146" s="152">
        <f>IF($MQ146=0,"",IF($MF146=0,"A atuação básica dela",IF(COUNTIF($NX146:$NY146,"Atrasar")&gt;0,"Sua Ação Completa",IF(COUNTIF($MK146:$MN146,"Rápido")&gt;0,"Sua Bônus",IF(COUNTIF($MK146:$MN146,"Reação")&gt;0,"Sua Reação","Sua Padrão")))&amp;" + a básica dela"&amp;IF(COUNTIF($MK146:$MN146,"Reação")&gt;0," e a coletiva","")&amp;IF(COUNTIF($NX146:$NY146,"Carregar")&gt;0," · em dois turnos","")))</f>
        <v/>
      </c>
      <c r="PP146" s="152">
        <f>IF($MJ146&lt;&gt;"",$MJ146,IF($MW146=0,"",INDEX($AA$2:$AA$11,$MW146)))</f>
        <v/>
      </c>
      <c r="PQ146" s="152">
        <f>IF(OR($MQ146=0,$MW146=0),"",IF(COUNTIF($MK146:$MN146,"Inescapável")&gt;0,"Automático",IF($PP146="Ataque",IF($MU146="","Ataque","Ataque "&amp;IF(($MU146+2*IF(COUNTIF($MK146:$MN146,"Precisão")&gt;0,1,0))&gt;=0,"+","−")&amp;ABS(($MU146+2*IF(COUNTIF($MK146:$MN146,"Precisão")&gt;0,1,0))))&amp;IF($NQ146&gt;0," · TR"&amp;IF($MV146="",""," CD "&amp;$MV146),""),IF(LEFT($PP146,2)="TR",$PP146&amp;IF($MV146="",""," · CD "&amp;$MV146)&amp;IF(COUNTIF($MK146:$MN146,"Certeiro")&gt;0," · metade",""),"Sem rolagem"))))</f>
        <v/>
      </c>
      <c r="PR146" s="152">
        <f>IF(OR($MQ146=0,$MW146=0),"",IF($MF146=0,IF(OR($NT146&gt;=1,$OQ146=0),"Sem dano",$OQ146&amp;"d6"&amp;IF($MI146="",""," "&amp;$MI146)),IF(OR($NT146&gt;=1,$OQ146=0),UPPER(LEFT(INDEX($OZ146:$PF146,1,MAX(1,$MF146)),1))&amp;MID(INDEX($OZ146:$PF146,1,MAX(1,$MF146)),2,99),UPPER(LEFT(INDEX($OZ146:$PF146,1,MAX(1,$MF146)),1))&amp;MID(INDEX($OZ146:$PF146,1,MAX(1,$MF146)),2,99)&amp;IF($MI146="",""," "&amp;$MI146)&amp;IF($OR146&gt;0," · +"&amp;$OR146&amp;"d8",""))))</f>
        <v/>
      </c>
      <c r="PS146" s="152">
        <f>COUNTIF($MK146:$MN146,"Longe")+3*COUNTIF($MK146:$MN146,"Muito Longe")</f>
        <v/>
      </c>
      <c r="PT146" s="152">
        <f>COUNTIF($MK146:$MN146,"Maior")+3*COUNTIF($MK146:$MN146,"Muito Maior")</f>
        <v/>
      </c>
      <c r="PU146" s="152">
        <f>IF($MW146=0,0,CHOOSE(1+INDEX($AC$2:$AC$11,$MW146),0,$PS146,$PT146,$PS146+$PT146))</f>
        <v/>
      </c>
      <c r="PV146" s="152">
        <f>IF($MW146=0,0,CHOOSE(1+INDEX($AD$2:$AD$11,$MW146),0,$PS146,$PT146,$PS146+$PT146))</f>
        <v/>
      </c>
      <c r="PW146" s="152">
        <f>IF(OR($MQ146=0,$MW146=0),"",INDEX($AI$2:$AN$41,($MW146-1)*4+IF($MF146=0,1,IF($MF146&lt;=5,2,IF($MF146=6,3,4))),1+MIN(5,$PU146))&amp;INDEX($AO$2:$AT$41,($MW146-1)*4+IF($MF146=0,1,IF($MF146&lt;=5,2,IF($MF146=6,3,4))),1+MIN(5,$PV146))&amp;IF(INDEX($AE$2:$AE$11,$MW146)=1,IF(COUNTIF($MK146:$MN146,"Mais Um")&gt;0," · +"&amp;COUNTIF($MK146:$MN146,"Mais Um")&amp;IF(COUNTIF($MK146:$MN146,"Mais Um")&gt;1," alvos"," alvo"),"")&amp;IF(COUNTIF($MK146:$MN146,"Rajada")&gt;0,IF($MF146=0," · 1 tiro"," · "&amp;(MAX(1,$MF146-1)+1)&amp;" tiros"),""),""))</f>
        <v/>
      </c>
      <c r="PX146" s="152">
        <f>IF($MQ146=0,"",IF($MF146=0,$MT146&amp;"d6"&amp;IF($OH146&gt;0," − 1 = "&amp;$OQ146&amp;"d6"," da básica do nível "&amp;$MR146),$OO146&amp;" − "&amp;$OJ146&amp;" + "&amp;$OM146&amp;" = "&amp;$OP146&amp;" · teto "&amp;4*$MF146&amp;"d8"&amp;IF($NS146=1," · a Forma devolve "&amp;$MF146,"")&amp;IF($ON146&gt;0," · perde "&amp;$ON146,"")))</f>
        <v/>
      </c>
      <c r="PY146" s="152">
        <f>IF($MQ146=0,"",IF($MF146=0,"A básica não amplia: os dados dela sobem com o nível",IF($MF146&gt;=$MS146,"Já está na maior Classe que o nível liberou",TEXTJOIN(" · ",TRUE,IF(AND(2&gt;$MF146,2&lt;=$MS146),"2 → "&amp;$PA146&amp;", 6 PE",""),IF(AND(3&gt;$MF146,3&lt;=$MS146),"3 → "&amp;$PB146&amp;", 9 PE",""),IF(AND(4&gt;$MF146,4&lt;=$MS146),"4 → "&amp;$PC146&amp;", 12 PE",""),IF(AND(5&gt;$MF146,5&lt;=$MS146),"5 → "&amp;$PD146&amp;", 15 PE",""),IF(AND(6&gt;$MF146,6&lt;=$MS146),"6 → "&amp;$PE146&amp;", 18 PE",""),IF(AND(7&gt;$MF146,7&lt;=$MS146),"7 → "&amp;$PF146&amp;", 21 PE","")))))</f>
        <v/>
      </c>
      <c r="PZ146" s="152">
        <f>IF(OR($MQ146=0,$NB146=0),"",IF($MF146=0,"−1 dado","−"&amp;INDEX($I$2:$N$8,MAX(1,$MF146),MAX(1,$NG146))&amp;" · "&amp;CHOOSE(MAX(1,$NG146),"Leve","Média","Pesada","Leve · Livre","Média · Livre","Pesada · Livre")))</f>
        <v/>
      </c>
      <c r="QA146" s="152">
        <f>IF(OR($MQ146=0,$NC146=0),"",IF($MF146=0,"−1 dado","−"&amp;INDEX($I$2:$N$8,MAX(1,$MF146),MAX(1,$NH146))&amp;" · "&amp;CHOOSE(MAX(1,$NH146),"Leve","Média","Pesada","Leve · Livre","Média · Livre","Pesada · Livre")))</f>
        <v/>
      </c>
      <c r="QB146" s="152">
        <f>IF(OR($MQ146=0,$ND146=0),"",IF($MF146=0,"−1 dado","−"&amp;INDEX($I$2:$N$8,MAX(1,$MF146),MAX(1,$NI146))&amp;" · "&amp;CHOOSE(MAX(1,$NI146),"Leve","Média","Pesada","Leve · Livre","Média · Livre","Pesada · Livre")))</f>
        <v/>
      </c>
      <c r="QC146" s="152">
        <f>IF(OR($MQ146=0,$NE146=0),"",IF($MF146=0,"−1 dado","−"&amp;INDEX($I$2:$N$8,MAX(1,$MF146),MAX(1,$NJ146))&amp;" · "&amp;CHOOSE(MAX(1,$NJ146),"Leve","Média","Pesada","Leve · Livre","Média · Livre","Pesada · Livre")))</f>
        <v/>
      </c>
      <c r="QD146" s="152">
        <f>IF(OR($MQ146=0,$MO146=""),"",IF($MF146=0,"não devolve","+"&amp;IF($NV146=1,CEILING($MF146/2,1),$MF146)))</f>
        <v/>
      </c>
      <c r="QE146" s="152">
        <f>IF(OR($MQ146=0,$MP146=""),"",IF($MF146=0,"não devolve","+"&amp;IF($NW146=1,CEILING($MF146/2,1),$MF146)))</f>
        <v/>
      </c>
    </row>
    <row r="147">
      <c r="MA147" s="150" t="inlineStr">
        <is>
          <t>Ficha 12 · Especial 2</t>
        </is>
      </c>
      <c r="MB147" s="152" t="n">
        <v>12</v>
      </c>
      <c r="MC147" s="152" t="n">
        <v>1</v>
      </c>
      <c r="MD147" s="152" t="n">
        <v>4</v>
      </c>
      <c r="ME147" s="150" t="inlineStr">
        <is>
          <t>ESPECIAL 2</t>
        </is>
      </c>
      <c r="MF147" s="152">
        <f>MAX(1,MIN(7,N('INVOCAÇÕES'!$AN$1048)))</f>
        <v/>
      </c>
      <c r="MG147" s="152">
        <f>'INVOCAÇÕES'!$AO$1048&amp;""</f>
        <v/>
      </c>
      <c r="MH147" s="152">
        <f>'INVOCAÇÕES'!$AN$1053&amp;""</f>
        <v/>
      </c>
      <c r="MI147" s="152">
        <f>'INVOCAÇÕES'!$AN$1054&amp;""</f>
        <v/>
      </c>
      <c r="MJ147" s="152">
        <f>'INVOCAÇÕES'!$AP$1054&amp;""</f>
        <v/>
      </c>
      <c r="MK147" s="152">
        <f>'INVOCAÇÕES'!$AO$1057&amp;""</f>
        <v/>
      </c>
      <c r="ML147" s="152">
        <f>'INVOCAÇÕES'!$AO$1058&amp;""</f>
        <v/>
      </c>
      <c r="MM147" s="152">
        <f>'INVOCAÇÕES'!$AO$1059&amp;""</f>
        <v/>
      </c>
      <c r="MN147" s="152">
        <f>'INVOCAÇÕES'!$AO$1060&amp;""</f>
        <v/>
      </c>
      <c r="MO147" s="152">
        <f>'INVOCAÇÕES'!$AO$1061&amp;""</f>
        <v/>
      </c>
      <c r="MP147" s="152">
        <f>'INVOCAÇÕES'!$AO$1062&amp;""</f>
        <v/>
      </c>
      <c r="MQ147" s="152">
        <f>IF($MG147&lt;&gt;"",1,0)</f>
        <v/>
      </c>
      <c r="MR147" s="152">
        <f>INDEX($FI$2:$FI$13,$MB147)</f>
        <v/>
      </c>
      <c r="MS147" s="152">
        <f>INDEX($FJ$2:$FJ$13,$MB147)</f>
        <v/>
      </c>
      <c r="MT147" s="152">
        <f>INDEX($FK$2:$FK$13,$MB147)</f>
        <v/>
      </c>
      <c r="MU147" s="152">
        <f>INDEX($FV$2:$FV$13,$MB147)</f>
        <v/>
      </c>
      <c r="MV147" s="152">
        <f>INDEX($FW$2:$FW$13,$MB147)</f>
        <v/>
      </c>
      <c r="MW147" s="152">
        <f>IFERROR(MATCH($MH147,$V$2:$V$11,0),0)</f>
        <v/>
      </c>
      <c r="MX147" s="152">
        <f>IFERROR(VLOOKUP($MK147,$AV$2:$BA$84,2,FALSE),"")</f>
        <v/>
      </c>
      <c r="MY147" s="152">
        <f>IFERROR(VLOOKUP($ML147,$AV$2:$BA$84,2,FALSE),"")</f>
        <v/>
      </c>
      <c r="MZ147" s="152">
        <f>IFERROR(VLOOKUP($MM147,$AV$2:$BA$84,2,FALSE),"")</f>
        <v/>
      </c>
      <c r="NA147" s="152">
        <f>IFERROR(VLOOKUP($MN147,$AV$2:$BA$84,2,FALSE),"")</f>
        <v/>
      </c>
      <c r="NB147" s="152">
        <f>IFERROR(VLOOKUP($MK147,$AV$2:$BA$84,3,FALSE),0)</f>
        <v/>
      </c>
      <c r="NC147" s="152">
        <f>IFERROR(VLOOKUP($ML147,$AV$2:$BA$84,3,FALSE),0)</f>
        <v/>
      </c>
      <c r="ND147" s="152">
        <f>IFERROR(VLOOKUP($MM147,$AV$2:$BA$84,3,FALSE),0)</f>
        <v/>
      </c>
      <c r="NE147" s="152">
        <f>IFERROR(VLOOKUP($MN147,$AV$2:$BA$84,3,FALSE),0)</f>
        <v/>
      </c>
      <c r="NF147" s="152">
        <f>IF($MF147=0,0,IF($MW147=0,0,INDEX($X$2:$X$11,$MW147)))</f>
        <v/>
      </c>
      <c r="NG147" s="152">
        <f>IF(OR($NB147=0,$MF147=0),0,$NB147+3*IF(AND($MX147&lt;&gt;"",OR($MX147=INDEX($EF$2:$EF$13,$MB147),$MX147=INDEX($EG$2:$EG$13,$MB147))),1,0))</f>
        <v/>
      </c>
      <c r="NH147" s="152">
        <f>IF(OR($NC147=0,$MF147=0),0,$NC147+3*IF(AND($MY147&lt;&gt;"",OR($MY147=INDEX($EF$2:$EF$13,$MB147),$MY147=INDEX($EG$2:$EG$13,$MB147))),1,0))</f>
        <v/>
      </c>
      <c r="NI147" s="152">
        <f>IF(OR($ND147=0,$MF147=0),0,$ND147+3*IF(AND($MZ147&lt;&gt;"",OR($MZ147=INDEX($EF$2:$EF$13,$MB147),$MZ147=INDEX($EG$2:$EG$13,$MB147))),1,0))</f>
        <v/>
      </c>
      <c r="NJ147" s="152">
        <f>IF(OR($NE147=0,$MF147=0),0,$NE147+3*IF(AND($NA147&lt;&gt;"",OR($NA147=INDEX($EF$2:$EF$13,$MB147),$NA147=INDEX($EG$2:$EG$13,$MB147))),1,0))</f>
        <v/>
      </c>
      <c r="NK147" s="152">
        <f>IF($MW147=0,0,IF(INDEX($W$2:$W$11,$MW147)="",0,IF(COUNTIF(INDEX($EF$2:$EJ$13,$MB147,0),INDEX($W$2:$W$11,$MW147))=0,1,0)))</f>
        <v/>
      </c>
      <c r="NL147" s="152">
        <f>IF(OR($NB147=0,$MX147=""),0,IF(COUNTIF(INDEX($EF$2:$EJ$13,$MB147,0),$MX147)=0,1,0))</f>
        <v/>
      </c>
      <c r="NM147" s="152">
        <f>IF(OR($NC147=0,$MY147=""),0,IF(COUNTIF(INDEX($EF$2:$EJ$13,$MB147,0),$MY147)=0,1,0))</f>
        <v/>
      </c>
      <c r="NN147" s="152">
        <f>IF(OR($ND147=0,$MZ147=""),0,IF(COUNTIF(INDEX($EF$2:$EJ$13,$MB147,0),$MZ147)=0,1,0))</f>
        <v/>
      </c>
      <c r="NO147" s="152">
        <f>IF(OR($NE147=0,$NA147=""),0,IF(COUNTIF(INDEX($EF$2:$EJ$13,$MB147,0),$NA147)=0,1,0))</f>
        <v/>
      </c>
      <c r="NP147" s="152">
        <f>IFERROR(VLOOKUP($MK147,$AV$2:$BA$84,4,FALSE),0)+IFERROR(VLOOKUP($ML147,$AV$2:$BA$84,4,FALSE),0)+IFERROR(VLOOKUP($MM147,$AV$2:$BA$84,4,FALSE),0)+IFERROR(VLOOKUP($MN147,$AV$2:$BA$84,4,FALSE),0)</f>
        <v/>
      </c>
      <c r="NQ147" s="152">
        <f>IFERROR(VLOOKUP($MK147,$AV$2:$BA$84,6,FALSE),0)+IFERROR(VLOOKUP($ML147,$AV$2:$BA$84,6,FALSE),0)+IFERROR(VLOOKUP($MM147,$AV$2:$BA$84,6,FALSE),0)+IFERROR(VLOOKUP($MN147,$AV$2:$BA$84,6,FALSE),0)</f>
        <v/>
      </c>
      <c r="NR147" s="152">
        <f>TEXTJOIN(", ",TRUE,IF(IFERROR(VLOOKUP($MK147,$AV$2:$BA$84,5,FALSE),0)=1,$MK147,""),IF(IFERROR(VLOOKUP($ML147,$AV$2:$BA$84,5,FALSE),0)=1,$ML147,""),IF(IFERROR(VLOOKUP($MM147,$AV$2:$BA$84,5,FALSE),0)=1,$MM147,""),IF(IFERROR(VLOOKUP($MN147,$AV$2:$BA$84,5,FALSE),0)=1,$MN147,""))</f>
        <v/>
      </c>
      <c r="NS147" s="152">
        <f>IF($MW147=0,0,INDEX($Y$2:$Y$11,$MW147))</f>
        <v/>
      </c>
      <c r="NT147" s="152">
        <f>IF($MW147=0,0,INDEX($Z$2:$Z$11,$MW147))</f>
        <v/>
      </c>
      <c r="NU147" s="152">
        <f>IF($MW147=0,0,INDEX($AB$2:$AB$11,$MW147))</f>
        <v/>
      </c>
      <c r="NV147" s="152">
        <f>IFERROR(VLOOKUP($MO147,$BC$2:$BG$24,3,FALSE),0)</f>
        <v/>
      </c>
      <c r="NW147" s="152">
        <f>IFERROR(VLOOKUP($MP147,$BC$2:$BG$24,3,FALSE),0)</f>
        <v/>
      </c>
      <c r="NX147" s="152">
        <f>IFERROR(VLOOKUP($MO147,$BC$2:$BG$24,2,FALSE),"")</f>
        <v/>
      </c>
      <c r="NY147" s="152">
        <f>IFERROR(VLOOKUP($MP147,$BC$2:$BG$24,2,FALSE),"")</f>
        <v/>
      </c>
      <c r="NZ147" s="152">
        <f>COUNTIF($NF147:$NJ147,1)</f>
        <v/>
      </c>
      <c r="OA147" s="152">
        <f>COUNTIF($NF147:$NJ147,2)</f>
        <v/>
      </c>
      <c r="OB147" s="152">
        <f>COUNTIF($NF147:$NJ147,3)</f>
        <v/>
      </c>
      <c r="OC147" s="152">
        <f>COUNTIF($NF147:$NJ147,4)</f>
        <v/>
      </c>
      <c r="OD147" s="152">
        <f>COUNTIF($NF147:$NJ147,5)</f>
        <v/>
      </c>
      <c r="OE147" s="152">
        <f>COUNTIF($NF147:$NJ147,6)</f>
        <v/>
      </c>
      <c r="OF147" s="152">
        <f>COUNTIF($NV147:$NW147,1)</f>
        <v/>
      </c>
      <c r="OG147" s="152">
        <f>COUNTIF($NV147:$NW147,2)+$NS147</f>
        <v/>
      </c>
      <c r="OH147" s="152">
        <f>COUNTIF($MK147:$MN147,"?*")</f>
        <v/>
      </c>
      <c r="OI147" s="152">
        <f>COUNTIF($MO147:$MP147,"?*")+$NS147</f>
        <v/>
      </c>
      <c r="OJ147" s="152">
        <f>IF($MF147=0,0,SUMPRODUCT($NZ147:$OE147,INDEX($I$2:$N$8,MAX(1,$MF147),0)))</f>
        <v/>
      </c>
      <c r="OK147" s="152">
        <f>IF($MF147=0,0,$OF147*CEILING($MF147/2,1)+$OG147*$MF147)</f>
        <v/>
      </c>
      <c r="OL147" s="152">
        <f>MIN(2*$MF147,$OK147)</f>
        <v/>
      </c>
      <c r="OM147" s="152">
        <f>MIN($OL147,$OJ147)</f>
        <v/>
      </c>
      <c r="ON147" s="152">
        <f>$OL147-$OM147</f>
        <v/>
      </c>
      <c r="OO147" s="152">
        <f>IF($MF147=0,0,INDEX($P$2:$P$8,MAX(1,$MF147)))</f>
        <v/>
      </c>
      <c r="OP147" s="152">
        <f>$OO147-$OJ147+$OM147</f>
        <v/>
      </c>
      <c r="OQ147" s="152">
        <f>IF($MF147=0,MAX(0,$MT147-IF($OH147&gt;0,1,0)),MAX(0,$OP147))</f>
        <v/>
      </c>
      <c r="OR147" s="152">
        <f>IF($MF147=0,0,(IF(COUNTIF($MK147:$MN147,"Salto")&gt;0,1,0)+IF(COUNTIF($MK147:$MN147,"Queima")&gt;0,1,0)+IF(COUNTIF($MK147:$MN147,"Estilhaço")&gt;0,1,0))*FLOOR($OQ147/2,1))</f>
        <v/>
      </c>
      <c r="OS147" s="152">
        <f>MAX(0,2-SUMPRODUCT($NZ147:$OE147,$I$2:$N$2)+MIN(2,$OF147*1+$OG147*1,SUMPRODUCT($NZ147:$OE147,$I$2:$N$2)))</f>
        <v/>
      </c>
      <c r="OT147" s="152">
        <f>MAX(0,4-SUMPRODUCT($NZ147:$OE147,$I$3:$N$3)+MIN(4,$OF147*1+$OG147*2,SUMPRODUCT($NZ147:$OE147,$I$3:$N$3)))</f>
        <v/>
      </c>
      <c r="OU147" s="152">
        <f>MAX(0,6-SUMPRODUCT($NZ147:$OE147,$I$4:$N$4)+MIN(6,$OF147*2+$OG147*3,SUMPRODUCT($NZ147:$OE147,$I$4:$N$4)))</f>
        <v/>
      </c>
      <c r="OV147" s="152">
        <f>MAX(0,9-SUMPRODUCT($NZ147:$OE147,$I$5:$N$5)+MIN(8,$OF147*2+$OG147*4,SUMPRODUCT($NZ147:$OE147,$I$5:$N$5)))</f>
        <v/>
      </c>
      <c r="OW147" s="152">
        <f>MAX(0,11-SUMPRODUCT($NZ147:$OE147,$I$6:$N$6)+MIN(10,$OF147*3+$OG147*5,SUMPRODUCT($NZ147:$OE147,$I$6:$N$6)))</f>
        <v/>
      </c>
      <c r="OX147" s="152">
        <f>MAX(0,13-SUMPRODUCT($NZ147:$OE147,$I$7:$N$7)+MIN(12,$OF147*3+$OG147*6,SUMPRODUCT($NZ147:$OE147,$I$7:$N$7)))</f>
        <v/>
      </c>
      <c r="OY147" s="152">
        <f>MAX(0,16-SUMPRODUCT($NZ147:$OE147,$I$8:$N$8)+MIN(14,$OF147*4+$OG147*7,SUMPRODUCT($NZ147:$OE147,$I$8:$N$8)))</f>
        <v/>
      </c>
      <c r="OZ147" s="152">
        <f>IF($NT147=2,3*$OS147&amp;" de vida temp.",IF($NT147=3,"sem dano",IF($OS147=0,IF($NT147=1,"sem cura","sem dano"),IF($NT147=1,"cura ","")&amp;$OS147&amp;"d8")))</f>
        <v/>
      </c>
      <c r="PA147" s="152">
        <f>IF($NT147=2,3*$OT147&amp;" de vida temp.",IF($NT147=3,"sem dano",IF($OT147=0,IF($NT147=1,"sem cura","sem dano"),IF($NT147=1,"cura ","")&amp;$OT147&amp;"d8")))</f>
        <v/>
      </c>
      <c r="PB147" s="152">
        <f>IF($NT147=2,3*$OU147&amp;" de vida temp.",IF($NT147=3,"sem dano",IF($OU147=0,IF($NT147=1,"sem cura","sem dano"),IF($NT147=1,"cura ","")&amp;$OU147&amp;"d8")))</f>
        <v/>
      </c>
      <c r="PC147" s="152">
        <f>IF($NT147=2,3*$OV147&amp;" de vida temp.",IF($NT147=3,"sem dano",IF($OV147=0,IF($NT147=1,"sem cura","sem dano"),IF($NT147=1,"cura ","")&amp;$OV147&amp;"d8")))</f>
        <v/>
      </c>
      <c r="PD147" s="152">
        <f>IF($NT147=2,3*$OW147&amp;" de vida temp.",IF($NT147=3,"sem dano",IF($OW147=0,IF($NT147=1,"sem cura","sem dano"),IF($NT147=1,"cura ","")&amp;$OW147&amp;"d8")))</f>
        <v/>
      </c>
      <c r="PE147" s="152">
        <f>IF($NT147=2,3*$OX147&amp;" de vida temp.",IF($NT147=3,"sem dano",IF($OX147=0,IF($NT147=1,"sem cura","sem dano"),IF($NT147=1,"cura ","")&amp;$OX147&amp;"d8")))</f>
        <v/>
      </c>
      <c r="PF147" s="152">
        <f>IF($NT147=2,3*$OY147&amp;" de vida temp.",IF($NT147=3,"sem dano",IF($OY147=0,IF($NT147=1,"sem cura","sem dano"),IF($NT147=1,"cura ","")&amp;$OY147&amp;"d8")))</f>
        <v/>
      </c>
      <c r="PG147" s="152">
        <f>IF($MQ147=0,"",TEXTJOIN(" · ",TRUE,IF($MD147&gt;$MR147,"Este lugar abre no nível "&amp;$MD147,""),IF($MF147&gt;$MS147,"Classe "&amp;$MF147&amp;": o nível "&amp;$MR147&amp;" libera até a "&amp;$MS147,""),IF($NK147=1,"A Forma "&amp;$MH147&amp;" pede "&amp;INDEX($W$2:$W$11,$MW147)&amp;" aberta",""),IF(AND($MF147=0,$MW147&gt;0,IF($MW147=0,0,INDEX($AF$2:$AF$11,$MW147))=0),$MH147&amp;" não existe na Classe 0",""),IF($NL147=1,"Família Fechada: "&amp;$MK147,""),IF($NM147=1,"Família Fechada: "&amp;$ML147,""),IF($NN147=1,"Família Fechada: "&amp;$MM147,""),IF($NO147=1,"Família Fechada: "&amp;$MN147,""),IF(AND($MF147&gt;0,$OH147&gt;INDEX($O$2:$O$8,MAX(1,$MF147))),$OH147&amp;" Melhorias: a Classe "&amp;$MF147&amp;" aceita "&amp;INDEX($O$2:$O$8,MAX(1,$MF147)),""),IF(AND($MF147=0,$OH147&gt;1),"A básica aceita uma Melhoria",""),IF(AND($MF147=0,COUNTIF($NB147:$NE147,"&gt;1")&gt;0),"A básica só aceita Melhoria Leve",""),IF(AND($MF147&gt;0,$OI147&gt;2),$OI147&amp;" Restrições"&amp;IF($NS147=1,", contando a que a Forma "&amp;$MH147&amp;" já traz","")&amp;": o limite é 2",""),IF(AND($MF147=0,COUNTIF($MO147:$MP147,"?*")&gt;1),"A básica aceita uma Restrição Leve",""),IF(AND($MF147=0,COUNTIF($NV147:$NW147,2)&gt;0),"A básica só aceita Restrição Leve",""),IF(AND($MF147&gt;0,$OP147&lt;0),"Orçamento estourado: faltam "&amp;(-$OP147)&amp;IF($OP147&lt;-1," pontos"," ponto"),""),IF(IFERROR(VLOOKUP($MO147,$BC$2:$BG$24,4,FALSE),0)+IFERROR(VLOOKUP($MP147,$BC$2:$BG$24,4,FALSE),0)&gt;1,$NX147&amp;" e "&amp;$NY147&amp;" são as duas de frequência",""),IF(AND((COUNTIF($MK147:$MN147,"Rápido")+COUNTIF($NX147:$NY147,"Rápido"))&gt;0,(COUNTIF($MK147:$MN147,"Atrasar")+COUNTIF($NX147:$NY147,"Atrasar"))&gt;0),"Rápido não entra com Atrasar",""),IF(AND((COUNTIF($MK147:$MN147,"Reação")+COUNTIF($NX147:$NY147,"Reação"))&gt;0,(COUNTIF($MK147:$MN147,"Rápido")+COUNTIF($NX147:$NY147,"Rápido"))&gt;0),"Reação não entra com Rápido",""),IF(AND((COUNTIF($MK147:$MN147,"Reação")+COUNTIF($NX147:$NY147,"Reação"))&gt;0,(COUNTIF($MK147:$MN147,"Armado")+COUNTIF($NX147:$NY147,"Armado"))&gt;0),"Reação não entra com Armado",""),IF(AND((COUNTIF($MK147:$MN147,"Reação")+COUNTIF($NX147:$NY147,"Reação"))&gt;0,(COUNTIF($MK147:$MN147,"Atrasar")+COUNTIF($NX147:$NY147,"Atrasar"))&gt;0),"Reação não entra com Atrasar",""),IF(AND((COUNTIF($MK147:$MN147,"Reação")+COUNTIF($NX147:$NY147,"Reação"))&gt;0,(COUNTIF($MK147:$MN147,"Parado")+COUNTIF($NX147:$NY147,"Parado"))&gt;0),"Reação não entra com Parado",""),IF(AND((COUNTIF($MK147:$MN147,"Atrasar")+COUNTIF($NX147:$NY147,"Atrasar"))&gt;0,(COUNTIF($MK147:$MN147,"Parado")+COUNTIF($NX147:$NY147,"Parado"))&gt;0),"Atrasar não entra com Parado",""),IF(AND((COUNTIF($MK147:$MN147,"Armado")+COUNTIF($NX147:$NY147,"Armado"))&gt;0,(COUNTIF($MK147:$MN147,"Carregar")+COUNTIF($NX147:$NY147,"Carregar"))&gt;0),"Armado não entra com Carregar",""),IF(AND(COUNTIF($NX147:$NY147,"Corpo a Corpo")&gt;0,$NS147=0,OR($MH147="Cone",$MH147="Linha")),"Corpo a Corpo não entra em "&amp;$MH147,""),IF(AND(COUNTIF($NX147:$NY147,"Corpo a Corpo")&gt;0,$NS147=1),"A Forma "&amp;$MH147&amp;" já traz o Corpo a Corpo",""),IF(AND(COUNTIF($NX147:$NY147,"Tudo ou Nada")&gt;0,$NU147=0),"Tudo ou Nada só entra em habilidade de Teste de Resistência",""),IF(AND(COUNTIF($MK147:$MN147,"Inescapável")&gt;0,OR($OH147&gt;1,$OI147&gt;0)),"Inescapável não aceita outra peça",""),IF(AND($MF147&gt;0,$OQ147*IF(COUNTIF($MK147:$MN147,"Remate")&gt;0,1.25,1)+$OR147&gt;4*$MF147),($OQ147*IF(COUNTIF($MK147:$MN147,"Remate")&gt;0,1.25,1)+$OR147)&amp;" dados somando repetições"&amp;IF(COUNTIF($MK147:$MN147,"Remate")&gt;0," e o Remate","")&amp;": o teto da Classe "&amp;$MF147&amp;" é "&amp;4*$MF147,"")))</f>
        <v/>
      </c>
      <c r="PH147" s="152">
        <f>IF($PG147="",0,(LEN($PG147)-LEN(SUBSTITUTE($PG147," · ","")))/3+1)</f>
        <v/>
      </c>
      <c r="PI147" s="152">
        <f>IF($MQ147=0,"",TEXTJOIN(" · ",TRUE,IF($OK147&gt;2*$MF147,"A devolução parou no teto de "&amp;2*$MF147,""),IF($ON147&gt;0,"Devolução perdida: "&amp;$ON147&amp;IF($ON147&gt;1," pontos"," ponto")&amp;" sem peça para pagar",""),IF(AND($NP147&gt;0,AND($MF147&gt;0,$NT147=0),$OQ147=0),"Controle sem dano: uma rodada a mais e CD +2",""),IF(AND($NP147&gt;0,AND($MF147&gt;0,$NT147=0),$OQ147&gt;0,$OQ147&lt;=$MF147),"Controle com saldo até a Classe: uma rodada a mais",""),IF(AND($MF147&gt;0,$NR147&lt;&gt;""),"Efeito de "&amp;$NR147&amp;" pela Classe "&amp;MAX(1,$MF147-1),"")))</f>
        <v/>
      </c>
      <c r="PJ147" s="152">
        <f>IF($PI147="",0,(LEN($PI147)-LEN(SUBSTITUTE($PI147," · ","")))/3+1)</f>
        <v/>
      </c>
      <c r="PK147" s="152">
        <f>IF($MQ147=0,IF($OH147+COUNTIF($MO147:$MP147,"?*")&gt;0,"Dê um nome",""),IF($PH147&gt;0,"⚠ "&amp;$PH147&amp;IF($PH147&gt;1," erros"," erro"),IF($PJ147&gt;0,"! "&amp;$PJ147&amp;IF($PJ147&gt;1," avisos"," aviso"),"Na regra")))</f>
        <v/>
      </c>
      <c r="PL147" s="152">
        <f>IF($MQ147=0,"",IF($PH147+$PJ147=0,"Dentro das regras que a ficha confere",$PG147&amp;IF(AND($PH147&gt;0,$PJ147&gt;0)," · ","")&amp;$PI147))</f>
        <v/>
      </c>
      <c r="PM147" s="152">
        <f>IF($MD147&gt;$MR147,$ME147&amp;" · ABRE NO NÍVEL "&amp;$MD147,$ME147)</f>
        <v/>
      </c>
      <c r="PN147" s="152">
        <f>IF($MQ147=0,"",IF($MF147=0,"Sem PE",3*$MF147&amp;" PE"))</f>
        <v/>
      </c>
      <c r="PO147" s="152">
        <f>IF($MQ147=0,"",IF($MF147=0,"A atuação básica dela",IF(COUNTIF($NX147:$NY147,"Atrasar")&gt;0,"Sua Ação Completa",IF(COUNTIF($MK147:$MN147,"Rápido")&gt;0,"Sua Bônus",IF(COUNTIF($MK147:$MN147,"Reação")&gt;0,"Sua Reação","Sua Padrão")))&amp;" + a básica dela"&amp;IF(COUNTIF($MK147:$MN147,"Reação")&gt;0," e a coletiva","")&amp;IF(COUNTIF($NX147:$NY147,"Carregar")&gt;0," · em dois turnos","")))</f>
        <v/>
      </c>
      <c r="PP147" s="152">
        <f>IF($MJ147&lt;&gt;"",$MJ147,IF($MW147=0,"",INDEX($AA$2:$AA$11,$MW147)))</f>
        <v/>
      </c>
      <c r="PQ147" s="152">
        <f>IF(OR($MQ147=0,$MW147=0),"",IF(COUNTIF($MK147:$MN147,"Inescapável")&gt;0,"Automático",IF($PP147="Ataque",IF($MU147="","Ataque","Ataque "&amp;IF(($MU147+2*IF(COUNTIF($MK147:$MN147,"Precisão")&gt;0,1,0))&gt;=0,"+","−")&amp;ABS(($MU147+2*IF(COUNTIF($MK147:$MN147,"Precisão")&gt;0,1,0))))&amp;IF($NQ147&gt;0," · TR"&amp;IF($MV147="",""," CD "&amp;$MV147),""),IF(LEFT($PP147,2)="TR",$PP147&amp;IF($MV147="",""," · CD "&amp;$MV147)&amp;IF(COUNTIF($MK147:$MN147,"Certeiro")&gt;0," · metade",""),"Sem rolagem"))))</f>
        <v/>
      </c>
      <c r="PR147" s="152">
        <f>IF(OR($MQ147=0,$MW147=0),"",IF($MF147=0,IF(OR($NT147&gt;=1,$OQ147=0),"Sem dano",$OQ147&amp;"d6"&amp;IF($MI147="",""," "&amp;$MI147)),IF(OR($NT147&gt;=1,$OQ147=0),UPPER(LEFT(INDEX($OZ147:$PF147,1,MAX(1,$MF147)),1))&amp;MID(INDEX($OZ147:$PF147,1,MAX(1,$MF147)),2,99),UPPER(LEFT(INDEX($OZ147:$PF147,1,MAX(1,$MF147)),1))&amp;MID(INDEX($OZ147:$PF147,1,MAX(1,$MF147)),2,99)&amp;IF($MI147="",""," "&amp;$MI147)&amp;IF($OR147&gt;0," · +"&amp;$OR147&amp;"d8",""))))</f>
        <v/>
      </c>
      <c r="PS147" s="152">
        <f>COUNTIF($MK147:$MN147,"Longe")+3*COUNTIF($MK147:$MN147,"Muito Longe")</f>
        <v/>
      </c>
      <c r="PT147" s="152">
        <f>COUNTIF($MK147:$MN147,"Maior")+3*COUNTIF($MK147:$MN147,"Muito Maior")</f>
        <v/>
      </c>
      <c r="PU147" s="152">
        <f>IF($MW147=0,0,CHOOSE(1+INDEX($AC$2:$AC$11,$MW147),0,$PS147,$PT147,$PS147+$PT147))</f>
        <v/>
      </c>
      <c r="PV147" s="152">
        <f>IF($MW147=0,0,CHOOSE(1+INDEX($AD$2:$AD$11,$MW147),0,$PS147,$PT147,$PS147+$PT147))</f>
        <v/>
      </c>
      <c r="PW147" s="152">
        <f>IF(OR($MQ147=0,$MW147=0),"",INDEX($AI$2:$AN$41,($MW147-1)*4+IF($MF147=0,1,IF($MF147&lt;=5,2,IF($MF147=6,3,4))),1+MIN(5,$PU147))&amp;INDEX($AO$2:$AT$41,($MW147-1)*4+IF($MF147=0,1,IF($MF147&lt;=5,2,IF($MF147=6,3,4))),1+MIN(5,$PV147))&amp;IF(INDEX($AE$2:$AE$11,$MW147)=1,IF(COUNTIF($MK147:$MN147,"Mais Um")&gt;0," · +"&amp;COUNTIF($MK147:$MN147,"Mais Um")&amp;IF(COUNTIF($MK147:$MN147,"Mais Um")&gt;1," alvos"," alvo"),"")&amp;IF(COUNTIF($MK147:$MN147,"Rajada")&gt;0,IF($MF147=0," · 1 tiro"," · "&amp;(MAX(1,$MF147-1)+1)&amp;" tiros"),""),""))</f>
        <v/>
      </c>
      <c r="PX147" s="152">
        <f>IF($MQ147=0,"",IF($MF147=0,$MT147&amp;"d6"&amp;IF($OH147&gt;0," − 1 = "&amp;$OQ147&amp;"d6"," da básica do nível "&amp;$MR147),$OO147&amp;" − "&amp;$OJ147&amp;" + "&amp;$OM147&amp;" = "&amp;$OP147&amp;" · teto "&amp;4*$MF147&amp;"d8"&amp;IF($NS147=1," · a Forma devolve "&amp;$MF147,"")&amp;IF($ON147&gt;0," · perde "&amp;$ON147,"")))</f>
        <v/>
      </c>
      <c r="PY147" s="152">
        <f>IF($MQ147=0,"",IF($MF147=0,"A básica não amplia: os dados dela sobem com o nível",IF($MF147&gt;=$MS147,"Já está na maior Classe que o nível liberou",TEXTJOIN(" · ",TRUE,IF(AND(2&gt;$MF147,2&lt;=$MS147),"2 → "&amp;$PA147&amp;", 6 PE",""),IF(AND(3&gt;$MF147,3&lt;=$MS147),"3 → "&amp;$PB147&amp;", 9 PE",""),IF(AND(4&gt;$MF147,4&lt;=$MS147),"4 → "&amp;$PC147&amp;", 12 PE",""),IF(AND(5&gt;$MF147,5&lt;=$MS147),"5 → "&amp;$PD147&amp;", 15 PE",""),IF(AND(6&gt;$MF147,6&lt;=$MS147),"6 → "&amp;$PE147&amp;", 18 PE",""),IF(AND(7&gt;$MF147,7&lt;=$MS147),"7 → "&amp;$PF147&amp;", 21 PE","")))))</f>
        <v/>
      </c>
      <c r="PZ147" s="152">
        <f>IF(OR($MQ147=0,$NB147=0),"",IF($MF147=0,"−1 dado","−"&amp;INDEX($I$2:$N$8,MAX(1,$MF147),MAX(1,$NG147))&amp;" · "&amp;CHOOSE(MAX(1,$NG147),"Leve","Média","Pesada","Leve · Livre","Média · Livre","Pesada · Livre")))</f>
        <v/>
      </c>
      <c r="QA147" s="152">
        <f>IF(OR($MQ147=0,$NC147=0),"",IF($MF147=0,"−1 dado","−"&amp;INDEX($I$2:$N$8,MAX(1,$MF147),MAX(1,$NH147))&amp;" · "&amp;CHOOSE(MAX(1,$NH147),"Leve","Média","Pesada","Leve · Livre","Média · Livre","Pesada · Livre")))</f>
        <v/>
      </c>
      <c r="QB147" s="152">
        <f>IF(OR($MQ147=0,$ND147=0),"",IF($MF147=0,"−1 dado","−"&amp;INDEX($I$2:$N$8,MAX(1,$MF147),MAX(1,$NI147))&amp;" · "&amp;CHOOSE(MAX(1,$NI147),"Leve","Média","Pesada","Leve · Livre","Média · Livre","Pesada · Livre")))</f>
        <v/>
      </c>
      <c r="QC147" s="152">
        <f>IF(OR($MQ147=0,$NE147=0),"",IF($MF147=0,"−1 dado","−"&amp;INDEX($I$2:$N$8,MAX(1,$MF147),MAX(1,$NJ147))&amp;" · "&amp;CHOOSE(MAX(1,$NJ147),"Leve","Média","Pesada","Leve · Livre","Média · Livre","Pesada · Livre")))</f>
        <v/>
      </c>
      <c r="QD147" s="152">
        <f>IF(OR($MQ147=0,$MO147=""),"",IF($MF147=0,"não devolve","+"&amp;IF($NV147=1,CEILING($MF147/2,1),$MF147)))</f>
        <v/>
      </c>
      <c r="QE147" s="152">
        <f>IF(OR($MQ147=0,$MP147=""),"",IF($MF147=0,"não devolve","+"&amp;IF($NW147=1,CEILING($MF147/2,1),$MF147)))</f>
        <v/>
      </c>
    </row>
    <row r="148">
      <c r="MA148" s="150" t="inlineStr">
        <is>
          <t>Ficha 12 · Básica 2</t>
        </is>
      </c>
      <c r="MB148" s="152" t="n">
        <v>12</v>
      </c>
      <c r="MC148" s="152" t="n">
        <v>0</v>
      </c>
      <c r="MD148" s="152" t="n">
        <v>11</v>
      </c>
      <c r="ME148" s="150" t="inlineStr">
        <is>
          <t>BÁSICA 2</t>
        </is>
      </c>
      <c r="MF148" s="152" t="n">
        <v>0</v>
      </c>
      <c r="MG148" s="152">
        <f>'INVOCAÇÕES'!$AC$1082&amp;""</f>
        <v/>
      </c>
      <c r="MH148" s="152">
        <f>'INVOCAÇÕES'!$AB$1087&amp;""</f>
        <v/>
      </c>
      <c r="MI148" s="152">
        <f>'INVOCAÇÕES'!$AB$1088&amp;""</f>
        <v/>
      </c>
      <c r="MJ148" s="152">
        <f>'INVOCAÇÕES'!$AD$1088&amp;""</f>
        <v/>
      </c>
      <c r="MK148" s="152">
        <f>'INVOCAÇÕES'!$AC$1091&amp;""</f>
        <v/>
      </c>
      <c r="ML148" s="152">
        <f>'INVOCAÇÕES'!$AC$1092&amp;""</f>
        <v/>
      </c>
      <c r="MM148" s="152">
        <f>'INVOCAÇÕES'!$AC$1093&amp;""</f>
        <v/>
      </c>
      <c r="MN148" s="152">
        <f>'INVOCAÇÕES'!$AC$1094&amp;""</f>
        <v/>
      </c>
      <c r="MO148" s="152">
        <f>'INVOCAÇÕES'!$AC$1095&amp;""</f>
        <v/>
      </c>
      <c r="MP148" s="152">
        <f>'INVOCAÇÕES'!$AC$1096&amp;""</f>
        <v/>
      </c>
      <c r="MQ148" s="152">
        <f>IF($MG148&lt;&gt;"",1,0)</f>
        <v/>
      </c>
      <c r="MR148" s="152">
        <f>INDEX($FI$2:$FI$13,$MB148)</f>
        <v/>
      </c>
      <c r="MS148" s="152">
        <f>INDEX($FJ$2:$FJ$13,$MB148)</f>
        <v/>
      </c>
      <c r="MT148" s="152">
        <f>INDEX($FK$2:$FK$13,$MB148)</f>
        <v/>
      </c>
      <c r="MU148" s="152">
        <f>INDEX($FV$2:$FV$13,$MB148)</f>
        <v/>
      </c>
      <c r="MV148" s="152">
        <f>INDEX($FW$2:$FW$13,$MB148)</f>
        <v/>
      </c>
      <c r="MW148" s="152">
        <f>IFERROR(MATCH($MH148,$V$2:$V$11,0),0)</f>
        <v/>
      </c>
      <c r="MX148" s="152">
        <f>IFERROR(VLOOKUP($MK148,$AV$2:$BA$84,2,FALSE),"")</f>
        <v/>
      </c>
      <c r="MY148" s="152">
        <f>IFERROR(VLOOKUP($ML148,$AV$2:$BA$84,2,FALSE),"")</f>
        <v/>
      </c>
      <c r="MZ148" s="152">
        <f>IFERROR(VLOOKUP($MM148,$AV$2:$BA$84,2,FALSE),"")</f>
        <v/>
      </c>
      <c r="NA148" s="152">
        <f>IFERROR(VLOOKUP($MN148,$AV$2:$BA$84,2,FALSE),"")</f>
        <v/>
      </c>
      <c r="NB148" s="152">
        <f>IFERROR(VLOOKUP($MK148,$AV$2:$BA$84,3,FALSE),0)</f>
        <v/>
      </c>
      <c r="NC148" s="152">
        <f>IFERROR(VLOOKUP($ML148,$AV$2:$BA$84,3,FALSE),0)</f>
        <v/>
      </c>
      <c r="ND148" s="152">
        <f>IFERROR(VLOOKUP($MM148,$AV$2:$BA$84,3,FALSE),0)</f>
        <v/>
      </c>
      <c r="NE148" s="152">
        <f>IFERROR(VLOOKUP($MN148,$AV$2:$BA$84,3,FALSE),0)</f>
        <v/>
      </c>
      <c r="NF148" s="152">
        <f>IF($MF148=0,0,IF($MW148=0,0,INDEX($X$2:$X$11,$MW148)))</f>
        <v/>
      </c>
      <c r="NG148" s="152">
        <f>IF(OR($NB148=0,$MF148=0),0,$NB148+3*IF(AND($MX148&lt;&gt;"",OR($MX148=INDEX($EF$2:$EF$13,$MB148),$MX148=INDEX($EG$2:$EG$13,$MB148))),1,0))</f>
        <v/>
      </c>
      <c r="NH148" s="152">
        <f>IF(OR($NC148=0,$MF148=0),0,$NC148+3*IF(AND($MY148&lt;&gt;"",OR($MY148=INDEX($EF$2:$EF$13,$MB148),$MY148=INDEX($EG$2:$EG$13,$MB148))),1,0))</f>
        <v/>
      </c>
      <c r="NI148" s="152">
        <f>IF(OR($ND148=0,$MF148=0),0,$ND148+3*IF(AND($MZ148&lt;&gt;"",OR($MZ148=INDEX($EF$2:$EF$13,$MB148),$MZ148=INDEX($EG$2:$EG$13,$MB148))),1,0))</f>
        <v/>
      </c>
      <c r="NJ148" s="152">
        <f>IF(OR($NE148=0,$MF148=0),0,$NE148+3*IF(AND($NA148&lt;&gt;"",OR($NA148=INDEX($EF$2:$EF$13,$MB148),$NA148=INDEX($EG$2:$EG$13,$MB148))),1,0))</f>
        <v/>
      </c>
      <c r="NK148" s="152">
        <f>IF($MW148=0,0,IF(INDEX($W$2:$W$11,$MW148)="",0,IF(COUNTIF(INDEX($EF$2:$EJ$13,$MB148,0),INDEX($W$2:$W$11,$MW148))=0,1,0)))</f>
        <v/>
      </c>
      <c r="NL148" s="152">
        <f>IF(OR($NB148=0,$MX148=""),0,IF(COUNTIF(INDEX($EF$2:$EJ$13,$MB148,0),$MX148)=0,1,0))</f>
        <v/>
      </c>
      <c r="NM148" s="152">
        <f>IF(OR($NC148=0,$MY148=""),0,IF(COUNTIF(INDEX($EF$2:$EJ$13,$MB148,0),$MY148)=0,1,0))</f>
        <v/>
      </c>
      <c r="NN148" s="152">
        <f>IF(OR($ND148=0,$MZ148=""),0,IF(COUNTIF(INDEX($EF$2:$EJ$13,$MB148,0),$MZ148)=0,1,0))</f>
        <v/>
      </c>
      <c r="NO148" s="152">
        <f>IF(OR($NE148=0,$NA148=""),0,IF(COUNTIF(INDEX($EF$2:$EJ$13,$MB148,0),$NA148)=0,1,0))</f>
        <v/>
      </c>
      <c r="NP148" s="152">
        <f>IFERROR(VLOOKUP($MK148,$AV$2:$BA$84,4,FALSE),0)+IFERROR(VLOOKUP($ML148,$AV$2:$BA$84,4,FALSE),0)+IFERROR(VLOOKUP($MM148,$AV$2:$BA$84,4,FALSE),0)+IFERROR(VLOOKUP($MN148,$AV$2:$BA$84,4,FALSE),0)</f>
        <v/>
      </c>
      <c r="NQ148" s="152">
        <f>IFERROR(VLOOKUP($MK148,$AV$2:$BA$84,6,FALSE),0)+IFERROR(VLOOKUP($ML148,$AV$2:$BA$84,6,FALSE),0)+IFERROR(VLOOKUP($MM148,$AV$2:$BA$84,6,FALSE),0)+IFERROR(VLOOKUP($MN148,$AV$2:$BA$84,6,FALSE),0)</f>
        <v/>
      </c>
      <c r="NR148" s="152">
        <f>TEXTJOIN(", ",TRUE,IF(IFERROR(VLOOKUP($MK148,$AV$2:$BA$84,5,FALSE),0)=1,$MK148,""),IF(IFERROR(VLOOKUP($ML148,$AV$2:$BA$84,5,FALSE),0)=1,$ML148,""),IF(IFERROR(VLOOKUP($MM148,$AV$2:$BA$84,5,FALSE),0)=1,$MM148,""),IF(IFERROR(VLOOKUP($MN148,$AV$2:$BA$84,5,FALSE),0)=1,$MN148,""))</f>
        <v/>
      </c>
      <c r="NS148" s="152">
        <f>IF($MW148=0,0,INDEX($Y$2:$Y$11,$MW148))</f>
        <v/>
      </c>
      <c r="NT148" s="152">
        <f>IF($MW148=0,0,INDEX($Z$2:$Z$11,$MW148))</f>
        <v/>
      </c>
      <c r="NU148" s="152">
        <f>IF($MW148=0,0,INDEX($AB$2:$AB$11,$MW148))</f>
        <v/>
      </c>
      <c r="NV148" s="152">
        <f>IFERROR(VLOOKUP($MO148,$BC$2:$BG$24,3,FALSE),0)</f>
        <v/>
      </c>
      <c r="NW148" s="152">
        <f>IFERROR(VLOOKUP($MP148,$BC$2:$BG$24,3,FALSE),0)</f>
        <v/>
      </c>
      <c r="NX148" s="152">
        <f>IFERROR(VLOOKUP($MO148,$BC$2:$BG$24,2,FALSE),"")</f>
        <v/>
      </c>
      <c r="NY148" s="152">
        <f>IFERROR(VLOOKUP($MP148,$BC$2:$BG$24,2,FALSE),"")</f>
        <v/>
      </c>
      <c r="NZ148" s="152">
        <f>COUNTIF($NF148:$NJ148,1)</f>
        <v/>
      </c>
      <c r="OA148" s="152">
        <f>COUNTIF($NF148:$NJ148,2)</f>
        <v/>
      </c>
      <c r="OB148" s="152">
        <f>COUNTIF($NF148:$NJ148,3)</f>
        <v/>
      </c>
      <c r="OC148" s="152">
        <f>COUNTIF($NF148:$NJ148,4)</f>
        <v/>
      </c>
      <c r="OD148" s="152">
        <f>COUNTIF($NF148:$NJ148,5)</f>
        <v/>
      </c>
      <c r="OE148" s="152">
        <f>COUNTIF($NF148:$NJ148,6)</f>
        <v/>
      </c>
      <c r="OF148" s="152">
        <f>COUNTIF($NV148:$NW148,1)</f>
        <v/>
      </c>
      <c r="OG148" s="152">
        <f>COUNTIF($NV148:$NW148,2)+$NS148</f>
        <v/>
      </c>
      <c r="OH148" s="152">
        <f>COUNTIF($MK148:$MN148,"?*")</f>
        <v/>
      </c>
      <c r="OI148" s="152">
        <f>COUNTIF($MO148:$MP148,"?*")+$NS148</f>
        <v/>
      </c>
      <c r="OJ148" s="152">
        <f>IF($MF148=0,0,SUMPRODUCT($NZ148:$OE148,INDEX($I$2:$N$8,MAX(1,$MF148),0)))</f>
        <v/>
      </c>
      <c r="OK148" s="152">
        <f>IF($MF148=0,0,$OF148*CEILING($MF148/2,1)+$OG148*$MF148)</f>
        <v/>
      </c>
      <c r="OL148" s="152">
        <f>MIN(2*$MF148,$OK148)</f>
        <v/>
      </c>
      <c r="OM148" s="152">
        <f>MIN($OL148,$OJ148)</f>
        <v/>
      </c>
      <c r="ON148" s="152">
        <f>$OL148-$OM148</f>
        <v/>
      </c>
      <c r="OO148" s="152">
        <f>IF($MF148=0,0,INDEX($P$2:$P$8,MAX(1,$MF148)))</f>
        <v/>
      </c>
      <c r="OP148" s="152">
        <f>$OO148-$OJ148+$OM148</f>
        <v/>
      </c>
      <c r="OQ148" s="152">
        <f>IF($MF148=0,MAX(0,$MT148-IF($OH148&gt;0,1,0)),MAX(0,$OP148))</f>
        <v/>
      </c>
      <c r="OR148" s="152">
        <f>IF($MF148=0,0,(IF(COUNTIF($MK148:$MN148,"Salto")&gt;0,1,0)+IF(COUNTIF($MK148:$MN148,"Queima")&gt;0,1,0)+IF(COUNTIF($MK148:$MN148,"Estilhaço")&gt;0,1,0))*FLOOR($OQ148/2,1))</f>
        <v/>
      </c>
      <c r="OS148" s="152">
        <f>MAX(0,2-SUMPRODUCT($NZ148:$OE148,$I$2:$N$2)+MIN(2,$OF148*1+$OG148*1,SUMPRODUCT($NZ148:$OE148,$I$2:$N$2)))</f>
        <v/>
      </c>
      <c r="OT148" s="152">
        <f>MAX(0,4-SUMPRODUCT($NZ148:$OE148,$I$3:$N$3)+MIN(4,$OF148*1+$OG148*2,SUMPRODUCT($NZ148:$OE148,$I$3:$N$3)))</f>
        <v/>
      </c>
      <c r="OU148" s="152">
        <f>MAX(0,6-SUMPRODUCT($NZ148:$OE148,$I$4:$N$4)+MIN(6,$OF148*2+$OG148*3,SUMPRODUCT($NZ148:$OE148,$I$4:$N$4)))</f>
        <v/>
      </c>
      <c r="OV148" s="152">
        <f>MAX(0,9-SUMPRODUCT($NZ148:$OE148,$I$5:$N$5)+MIN(8,$OF148*2+$OG148*4,SUMPRODUCT($NZ148:$OE148,$I$5:$N$5)))</f>
        <v/>
      </c>
      <c r="OW148" s="152">
        <f>MAX(0,11-SUMPRODUCT($NZ148:$OE148,$I$6:$N$6)+MIN(10,$OF148*3+$OG148*5,SUMPRODUCT($NZ148:$OE148,$I$6:$N$6)))</f>
        <v/>
      </c>
      <c r="OX148" s="152">
        <f>MAX(0,13-SUMPRODUCT($NZ148:$OE148,$I$7:$N$7)+MIN(12,$OF148*3+$OG148*6,SUMPRODUCT($NZ148:$OE148,$I$7:$N$7)))</f>
        <v/>
      </c>
      <c r="OY148" s="152">
        <f>MAX(0,16-SUMPRODUCT($NZ148:$OE148,$I$8:$N$8)+MIN(14,$OF148*4+$OG148*7,SUMPRODUCT($NZ148:$OE148,$I$8:$N$8)))</f>
        <v/>
      </c>
      <c r="OZ148" s="152">
        <f>IF($NT148=2,3*$OS148&amp;" de vida temp.",IF($NT148=3,"sem dano",IF($OS148=0,IF($NT148=1,"sem cura","sem dano"),IF($NT148=1,"cura ","")&amp;$OS148&amp;"d8")))</f>
        <v/>
      </c>
      <c r="PA148" s="152">
        <f>IF($NT148=2,3*$OT148&amp;" de vida temp.",IF($NT148=3,"sem dano",IF($OT148=0,IF($NT148=1,"sem cura","sem dano"),IF($NT148=1,"cura ","")&amp;$OT148&amp;"d8")))</f>
        <v/>
      </c>
      <c r="PB148" s="152">
        <f>IF($NT148=2,3*$OU148&amp;" de vida temp.",IF($NT148=3,"sem dano",IF($OU148=0,IF($NT148=1,"sem cura","sem dano"),IF($NT148=1,"cura ","")&amp;$OU148&amp;"d8")))</f>
        <v/>
      </c>
      <c r="PC148" s="152">
        <f>IF($NT148=2,3*$OV148&amp;" de vida temp.",IF($NT148=3,"sem dano",IF($OV148=0,IF($NT148=1,"sem cura","sem dano"),IF($NT148=1,"cura ","")&amp;$OV148&amp;"d8")))</f>
        <v/>
      </c>
      <c r="PD148" s="152">
        <f>IF($NT148=2,3*$OW148&amp;" de vida temp.",IF($NT148=3,"sem dano",IF($OW148=0,IF($NT148=1,"sem cura","sem dano"),IF($NT148=1,"cura ","")&amp;$OW148&amp;"d8")))</f>
        <v/>
      </c>
      <c r="PE148" s="152">
        <f>IF($NT148=2,3*$OX148&amp;" de vida temp.",IF($NT148=3,"sem dano",IF($OX148=0,IF($NT148=1,"sem cura","sem dano"),IF($NT148=1,"cura ","")&amp;$OX148&amp;"d8")))</f>
        <v/>
      </c>
      <c r="PF148" s="152">
        <f>IF($NT148=2,3*$OY148&amp;" de vida temp.",IF($NT148=3,"sem dano",IF($OY148=0,IF($NT148=1,"sem cura","sem dano"),IF($NT148=1,"cura ","")&amp;$OY148&amp;"d8")))</f>
        <v/>
      </c>
      <c r="PG148" s="152">
        <f>IF($MQ148=0,"",TEXTJOIN(" · ",TRUE,IF($MD148&gt;$MR148,"Este lugar abre no nível "&amp;$MD148,""),IF($MF148&gt;$MS148,"Classe "&amp;$MF148&amp;": o nível "&amp;$MR148&amp;" libera até a "&amp;$MS148,""),IF($NK148=1,"A Forma "&amp;$MH148&amp;" pede "&amp;INDEX($W$2:$W$11,$MW148)&amp;" aberta",""),IF(AND($MF148=0,$MW148&gt;0,IF($MW148=0,0,INDEX($AF$2:$AF$11,$MW148))=0),$MH148&amp;" não existe na Classe 0",""),IF($NL148=1,"Família Fechada: "&amp;$MK148,""),IF($NM148=1,"Família Fechada: "&amp;$ML148,""),IF($NN148=1,"Família Fechada: "&amp;$MM148,""),IF($NO148=1,"Família Fechada: "&amp;$MN148,""),IF(AND($MF148&gt;0,$OH148&gt;INDEX($O$2:$O$8,MAX(1,$MF148))),$OH148&amp;" Melhorias: a Classe "&amp;$MF148&amp;" aceita "&amp;INDEX($O$2:$O$8,MAX(1,$MF148)),""),IF(AND($MF148=0,$OH148&gt;1),"A básica aceita uma Melhoria",""),IF(AND($MF148=0,COUNTIF($NB148:$NE148,"&gt;1")&gt;0),"A básica só aceita Melhoria Leve",""),IF(AND($MF148&gt;0,$OI148&gt;2),$OI148&amp;" Restrições"&amp;IF($NS148=1,", contando a que a Forma "&amp;$MH148&amp;" já traz","")&amp;": o limite é 2",""),IF(AND($MF148=0,COUNTIF($MO148:$MP148,"?*")&gt;1),"A básica aceita uma Restrição Leve",""),IF(AND($MF148=0,COUNTIF($NV148:$NW148,2)&gt;0),"A básica só aceita Restrição Leve",""),IF(AND($MF148&gt;0,$OP148&lt;0),"Orçamento estourado: faltam "&amp;(-$OP148)&amp;IF($OP148&lt;-1," pontos"," ponto"),""),IF(IFERROR(VLOOKUP($MO148,$BC$2:$BG$24,4,FALSE),0)+IFERROR(VLOOKUP($MP148,$BC$2:$BG$24,4,FALSE),0)&gt;1,$NX148&amp;" e "&amp;$NY148&amp;" são as duas de frequência",""),IF(AND((COUNTIF($MK148:$MN148,"Rápido")+COUNTIF($NX148:$NY148,"Rápido"))&gt;0,(COUNTIF($MK148:$MN148,"Atrasar")+COUNTIF($NX148:$NY148,"Atrasar"))&gt;0),"Rápido não entra com Atrasar",""),IF(AND((COUNTIF($MK148:$MN148,"Reação")+COUNTIF($NX148:$NY148,"Reação"))&gt;0,(COUNTIF($MK148:$MN148,"Rápido")+COUNTIF($NX148:$NY148,"Rápido"))&gt;0),"Reação não entra com Rápido",""),IF(AND((COUNTIF($MK148:$MN148,"Reação")+COUNTIF($NX148:$NY148,"Reação"))&gt;0,(COUNTIF($MK148:$MN148,"Armado")+COUNTIF($NX148:$NY148,"Armado"))&gt;0),"Reação não entra com Armado",""),IF(AND((COUNTIF($MK148:$MN148,"Reação")+COUNTIF($NX148:$NY148,"Reação"))&gt;0,(COUNTIF($MK148:$MN148,"Atrasar")+COUNTIF($NX148:$NY148,"Atrasar"))&gt;0),"Reação não entra com Atrasar",""),IF(AND((COUNTIF($MK148:$MN148,"Reação")+COUNTIF($NX148:$NY148,"Reação"))&gt;0,(COUNTIF($MK148:$MN148,"Parado")+COUNTIF($NX148:$NY148,"Parado"))&gt;0),"Reação não entra com Parado",""),IF(AND((COUNTIF($MK148:$MN148,"Atrasar")+COUNTIF($NX148:$NY148,"Atrasar"))&gt;0,(COUNTIF($MK148:$MN148,"Parado")+COUNTIF($NX148:$NY148,"Parado"))&gt;0),"Atrasar não entra com Parado",""),IF(AND((COUNTIF($MK148:$MN148,"Armado")+COUNTIF($NX148:$NY148,"Armado"))&gt;0,(COUNTIF($MK148:$MN148,"Carregar")+COUNTIF($NX148:$NY148,"Carregar"))&gt;0),"Armado não entra com Carregar",""),IF(AND(COUNTIF($NX148:$NY148,"Corpo a Corpo")&gt;0,$NS148=0,OR($MH148="Cone",$MH148="Linha")),"Corpo a Corpo não entra em "&amp;$MH148,""),IF(AND(COUNTIF($NX148:$NY148,"Corpo a Corpo")&gt;0,$NS148=1),"A Forma "&amp;$MH148&amp;" já traz o Corpo a Corpo",""),IF(AND(COUNTIF($NX148:$NY148,"Tudo ou Nada")&gt;0,$NU148=0),"Tudo ou Nada só entra em habilidade de Teste de Resistência",""),IF(AND(COUNTIF($MK148:$MN148,"Inescapável")&gt;0,OR($OH148&gt;1,$OI148&gt;0)),"Inescapável não aceita outra peça",""),IF(AND($MF148&gt;0,$OQ148*IF(COUNTIF($MK148:$MN148,"Remate")&gt;0,1.25,1)+$OR148&gt;4*$MF148),($OQ148*IF(COUNTIF($MK148:$MN148,"Remate")&gt;0,1.25,1)+$OR148)&amp;" dados somando repetições"&amp;IF(COUNTIF($MK148:$MN148,"Remate")&gt;0," e o Remate","")&amp;": o teto da Classe "&amp;$MF148&amp;" é "&amp;4*$MF148,"")))</f>
        <v/>
      </c>
      <c r="PH148" s="152">
        <f>IF($PG148="",0,(LEN($PG148)-LEN(SUBSTITUTE($PG148," · ","")))/3+1)</f>
        <v/>
      </c>
      <c r="PI148" s="152">
        <f>IF($MQ148=0,"",TEXTJOIN(" · ",TRUE,IF($OK148&gt;2*$MF148,"A devolução parou no teto de "&amp;2*$MF148,""),IF($ON148&gt;0,"Devolução perdida: "&amp;$ON148&amp;IF($ON148&gt;1," pontos"," ponto")&amp;" sem peça para pagar",""),IF(AND($NP148&gt;0,AND($MF148&gt;0,$NT148=0),$OQ148=0),"Controle sem dano: uma rodada a mais e CD +2",""),IF(AND($NP148&gt;0,AND($MF148&gt;0,$NT148=0),$OQ148&gt;0,$OQ148&lt;=$MF148),"Controle com saldo até a Classe: uma rodada a mais",""),IF(AND($MF148&gt;0,$NR148&lt;&gt;""),"Efeito de "&amp;$NR148&amp;" pela Classe "&amp;MAX(1,$MF148-1),"")))</f>
        <v/>
      </c>
      <c r="PJ148" s="152">
        <f>IF($PI148="",0,(LEN($PI148)-LEN(SUBSTITUTE($PI148," · ","")))/3+1)</f>
        <v/>
      </c>
      <c r="PK148" s="152">
        <f>IF($MQ148=0,IF($OH148+COUNTIF($MO148:$MP148,"?*")&gt;0,"Dê um nome",""),IF($PH148&gt;0,"⚠ "&amp;$PH148&amp;IF($PH148&gt;1," erros"," erro"),IF($PJ148&gt;0,"! "&amp;$PJ148&amp;IF($PJ148&gt;1," avisos"," aviso"),"Na regra")))</f>
        <v/>
      </c>
      <c r="PL148" s="152">
        <f>IF($MQ148=0,"",IF($PH148+$PJ148=0,"Dentro das regras que a ficha confere",$PG148&amp;IF(AND($PH148&gt;0,$PJ148&gt;0)," · ","")&amp;$PI148))</f>
        <v/>
      </c>
      <c r="PM148" s="152">
        <f>IF($MD148&gt;$MR148,$ME148&amp;" · ABRE NO NÍVEL "&amp;$MD148,$ME148)</f>
        <v/>
      </c>
      <c r="PN148" s="152">
        <f>IF($MQ148=0,"",IF($MF148=0,"Sem PE",3*$MF148&amp;" PE"))</f>
        <v/>
      </c>
      <c r="PO148" s="152">
        <f>IF($MQ148=0,"",IF($MF148=0,"A atuação básica dela",IF(COUNTIF($NX148:$NY148,"Atrasar")&gt;0,"Sua Ação Completa",IF(COUNTIF($MK148:$MN148,"Rápido")&gt;0,"Sua Bônus",IF(COUNTIF($MK148:$MN148,"Reação")&gt;0,"Sua Reação","Sua Padrão")))&amp;" + a básica dela"&amp;IF(COUNTIF($MK148:$MN148,"Reação")&gt;0," e a coletiva","")&amp;IF(COUNTIF($NX148:$NY148,"Carregar")&gt;0," · em dois turnos","")))</f>
        <v/>
      </c>
      <c r="PP148" s="152">
        <f>IF($MJ148&lt;&gt;"",$MJ148,IF($MW148=0,"",INDEX($AA$2:$AA$11,$MW148)))</f>
        <v/>
      </c>
      <c r="PQ148" s="152">
        <f>IF(OR($MQ148=0,$MW148=0),"",IF(COUNTIF($MK148:$MN148,"Inescapável")&gt;0,"Automático",IF($PP148="Ataque",IF($MU148="","Ataque","Ataque "&amp;IF(($MU148+2*IF(COUNTIF($MK148:$MN148,"Precisão")&gt;0,1,0))&gt;=0,"+","−")&amp;ABS(($MU148+2*IF(COUNTIF($MK148:$MN148,"Precisão")&gt;0,1,0))))&amp;IF($NQ148&gt;0," · TR"&amp;IF($MV148="",""," CD "&amp;$MV148),""),IF(LEFT($PP148,2)="TR",$PP148&amp;IF($MV148="",""," · CD "&amp;$MV148)&amp;IF(COUNTIF($MK148:$MN148,"Certeiro")&gt;0," · metade",""),"Sem rolagem"))))</f>
        <v/>
      </c>
      <c r="PR148" s="152">
        <f>IF(OR($MQ148=0,$MW148=0),"",IF($MF148=0,IF(OR($NT148&gt;=1,$OQ148=0),"Sem dano",$OQ148&amp;"d6"&amp;IF($MI148="",""," "&amp;$MI148)),IF(OR($NT148&gt;=1,$OQ148=0),UPPER(LEFT(INDEX($OZ148:$PF148,1,MAX(1,$MF148)),1))&amp;MID(INDEX($OZ148:$PF148,1,MAX(1,$MF148)),2,99),UPPER(LEFT(INDEX($OZ148:$PF148,1,MAX(1,$MF148)),1))&amp;MID(INDEX($OZ148:$PF148,1,MAX(1,$MF148)),2,99)&amp;IF($MI148="",""," "&amp;$MI148)&amp;IF($OR148&gt;0," · +"&amp;$OR148&amp;"d8",""))))</f>
        <v/>
      </c>
      <c r="PS148" s="152">
        <f>COUNTIF($MK148:$MN148,"Longe")+3*COUNTIF($MK148:$MN148,"Muito Longe")</f>
        <v/>
      </c>
      <c r="PT148" s="152">
        <f>COUNTIF($MK148:$MN148,"Maior")+3*COUNTIF($MK148:$MN148,"Muito Maior")</f>
        <v/>
      </c>
      <c r="PU148" s="152">
        <f>IF($MW148=0,0,CHOOSE(1+INDEX($AC$2:$AC$11,$MW148),0,$PS148,$PT148,$PS148+$PT148))</f>
        <v/>
      </c>
      <c r="PV148" s="152">
        <f>IF($MW148=0,0,CHOOSE(1+INDEX($AD$2:$AD$11,$MW148),0,$PS148,$PT148,$PS148+$PT148))</f>
        <v/>
      </c>
      <c r="PW148" s="152">
        <f>IF(OR($MQ148=0,$MW148=0),"",INDEX($AI$2:$AN$41,($MW148-1)*4+IF($MF148=0,1,IF($MF148&lt;=5,2,IF($MF148=6,3,4))),1+MIN(5,$PU148))&amp;INDEX($AO$2:$AT$41,($MW148-1)*4+IF($MF148=0,1,IF($MF148&lt;=5,2,IF($MF148=6,3,4))),1+MIN(5,$PV148))&amp;IF(INDEX($AE$2:$AE$11,$MW148)=1,IF(COUNTIF($MK148:$MN148,"Mais Um")&gt;0," · +"&amp;COUNTIF($MK148:$MN148,"Mais Um")&amp;IF(COUNTIF($MK148:$MN148,"Mais Um")&gt;1," alvos"," alvo"),"")&amp;IF(COUNTIF($MK148:$MN148,"Rajada")&gt;0,IF($MF148=0," · 1 tiro"," · "&amp;(MAX(1,$MF148-1)+1)&amp;" tiros"),""),""))</f>
        <v/>
      </c>
      <c r="PX148" s="152">
        <f>IF($MQ148=0,"",IF($MF148=0,$MT148&amp;"d6"&amp;IF($OH148&gt;0," − 1 = "&amp;$OQ148&amp;"d6"," da básica do nível "&amp;$MR148),$OO148&amp;" − "&amp;$OJ148&amp;" + "&amp;$OM148&amp;" = "&amp;$OP148&amp;" · teto "&amp;4*$MF148&amp;"d8"&amp;IF($NS148=1," · a Forma devolve "&amp;$MF148,"")&amp;IF($ON148&gt;0," · perde "&amp;$ON148,"")))</f>
        <v/>
      </c>
      <c r="PY148" s="152">
        <f>IF($MQ148=0,"",IF($MF148=0,"A básica não amplia: os dados dela sobem com o nível",IF($MF148&gt;=$MS148,"Já está na maior Classe que o nível liberou",TEXTJOIN(" · ",TRUE,IF(AND(2&gt;$MF148,2&lt;=$MS148),"2 → "&amp;$PA148&amp;", 6 PE",""),IF(AND(3&gt;$MF148,3&lt;=$MS148),"3 → "&amp;$PB148&amp;", 9 PE",""),IF(AND(4&gt;$MF148,4&lt;=$MS148),"4 → "&amp;$PC148&amp;", 12 PE",""),IF(AND(5&gt;$MF148,5&lt;=$MS148),"5 → "&amp;$PD148&amp;", 15 PE",""),IF(AND(6&gt;$MF148,6&lt;=$MS148),"6 → "&amp;$PE148&amp;", 18 PE",""),IF(AND(7&gt;$MF148,7&lt;=$MS148),"7 → "&amp;$PF148&amp;", 21 PE","")))))</f>
        <v/>
      </c>
      <c r="PZ148" s="152">
        <f>IF(OR($MQ148=0,$NB148=0),"",IF($MF148=0,"−1 dado","−"&amp;INDEX($I$2:$N$8,MAX(1,$MF148),MAX(1,$NG148))&amp;" · "&amp;CHOOSE(MAX(1,$NG148),"Leve","Média","Pesada","Leve · Livre","Média · Livre","Pesada · Livre")))</f>
        <v/>
      </c>
      <c r="QA148" s="152">
        <f>IF(OR($MQ148=0,$NC148=0),"",IF($MF148=0,"−1 dado","−"&amp;INDEX($I$2:$N$8,MAX(1,$MF148),MAX(1,$NH148))&amp;" · "&amp;CHOOSE(MAX(1,$NH148),"Leve","Média","Pesada","Leve · Livre","Média · Livre","Pesada · Livre")))</f>
        <v/>
      </c>
      <c r="QB148" s="152">
        <f>IF(OR($MQ148=0,$ND148=0),"",IF($MF148=0,"−1 dado","−"&amp;INDEX($I$2:$N$8,MAX(1,$MF148),MAX(1,$NI148))&amp;" · "&amp;CHOOSE(MAX(1,$NI148),"Leve","Média","Pesada","Leve · Livre","Média · Livre","Pesada · Livre")))</f>
        <v/>
      </c>
      <c r="QC148" s="152">
        <f>IF(OR($MQ148=0,$NE148=0),"",IF($MF148=0,"−1 dado","−"&amp;INDEX($I$2:$N$8,MAX(1,$MF148),MAX(1,$NJ148))&amp;" · "&amp;CHOOSE(MAX(1,$NJ148),"Leve","Média","Pesada","Leve · Livre","Média · Livre","Pesada · Livre")))</f>
        <v/>
      </c>
      <c r="QD148" s="152">
        <f>IF(OR($MQ148=0,$MO148=""),"",IF($MF148=0,"não devolve","+"&amp;IF($NV148=1,CEILING($MF148/2,1),$MF148)))</f>
        <v/>
      </c>
      <c r="QE148" s="152">
        <f>IF(OR($MQ148=0,$MP148=""),"",IF($MF148=0,"não devolve","+"&amp;IF($NW148=1,CEILING($MF148/2,1),$MF148)))</f>
        <v/>
      </c>
    </row>
    <row r="149">
      <c r="MA149" s="150" t="inlineStr">
        <is>
          <t>Ficha 12 · Especial 3</t>
        </is>
      </c>
      <c r="MB149" s="152" t="n">
        <v>12</v>
      </c>
      <c r="MC149" s="152" t="n">
        <v>1</v>
      </c>
      <c r="MD149" s="152" t="n">
        <v>8</v>
      </c>
      <c r="ME149" s="150" t="inlineStr">
        <is>
          <t>ESPECIAL 3</t>
        </is>
      </c>
      <c r="MF149" s="152">
        <f>MAX(1,MIN(7,N('INVOCAÇÕES'!$AH$1082)))</f>
        <v/>
      </c>
      <c r="MG149" s="152">
        <f>'INVOCAÇÕES'!$AI$1082&amp;""</f>
        <v/>
      </c>
      <c r="MH149" s="152">
        <f>'INVOCAÇÕES'!$AH$1087&amp;""</f>
        <v/>
      </c>
      <c r="MI149" s="152">
        <f>'INVOCAÇÕES'!$AH$1088&amp;""</f>
        <v/>
      </c>
      <c r="MJ149" s="152">
        <f>'INVOCAÇÕES'!$AJ$1088&amp;""</f>
        <v/>
      </c>
      <c r="MK149" s="152">
        <f>'INVOCAÇÕES'!$AI$1091&amp;""</f>
        <v/>
      </c>
      <c r="ML149" s="152">
        <f>'INVOCAÇÕES'!$AI$1092&amp;""</f>
        <v/>
      </c>
      <c r="MM149" s="152">
        <f>'INVOCAÇÕES'!$AI$1093&amp;""</f>
        <v/>
      </c>
      <c r="MN149" s="152">
        <f>'INVOCAÇÕES'!$AI$1094&amp;""</f>
        <v/>
      </c>
      <c r="MO149" s="152">
        <f>'INVOCAÇÕES'!$AI$1095&amp;""</f>
        <v/>
      </c>
      <c r="MP149" s="152">
        <f>'INVOCAÇÕES'!$AI$1096&amp;""</f>
        <v/>
      </c>
      <c r="MQ149" s="152">
        <f>IF($MG149&lt;&gt;"",1,0)</f>
        <v/>
      </c>
      <c r="MR149" s="152">
        <f>INDEX($FI$2:$FI$13,$MB149)</f>
        <v/>
      </c>
      <c r="MS149" s="152">
        <f>INDEX($FJ$2:$FJ$13,$MB149)</f>
        <v/>
      </c>
      <c r="MT149" s="152">
        <f>INDEX($FK$2:$FK$13,$MB149)</f>
        <v/>
      </c>
      <c r="MU149" s="152">
        <f>INDEX($FV$2:$FV$13,$MB149)</f>
        <v/>
      </c>
      <c r="MV149" s="152">
        <f>INDEX($FW$2:$FW$13,$MB149)</f>
        <v/>
      </c>
      <c r="MW149" s="152">
        <f>IFERROR(MATCH($MH149,$V$2:$V$11,0),0)</f>
        <v/>
      </c>
      <c r="MX149" s="152">
        <f>IFERROR(VLOOKUP($MK149,$AV$2:$BA$84,2,FALSE),"")</f>
        <v/>
      </c>
      <c r="MY149" s="152">
        <f>IFERROR(VLOOKUP($ML149,$AV$2:$BA$84,2,FALSE),"")</f>
        <v/>
      </c>
      <c r="MZ149" s="152">
        <f>IFERROR(VLOOKUP($MM149,$AV$2:$BA$84,2,FALSE),"")</f>
        <v/>
      </c>
      <c r="NA149" s="152">
        <f>IFERROR(VLOOKUP($MN149,$AV$2:$BA$84,2,FALSE),"")</f>
        <v/>
      </c>
      <c r="NB149" s="152">
        <f>IFERROR(VLOOKUP($MK149,$AV$2:$BA$84,3,FALSE),0)</f>
        <v/>
      </c>
      <c r="NC149" s="152">
        <f>IFERROR(VLOOKUP($ML149,$AV$2:$BA$84,3,FALSE),0)</f>
        <v/>
      </c>
      <c r="ND149" s="152">
        <f>IFERROR(VLOOKUP($MM149,$AV$2:$BA$84,3,FALSE),0)</f>
        <v/>
      </c>
      <c r="NE149" s="152">
        <f>IFERROR(VLOOKUP($MN149,$AV$2:$BA$84,3,FALSE),0)</f>
        <v/>
      </c>
      <c r="NF149" s="152">
        <f>IF($MF149=0,0,IF($MW149=0,0,INDEX($X$2:$X$11,$MW149)))</f>
        <v/>
      </c>
      <c r="NG149" s="152">
        <f>IF(OR($NB149=0,$MF149=0),0,$NB149+3*IF(AND($MX149&lt;&gt;"",OR($MX149=INDEX($EF$2:$EF$13,$MB149),$MX149=INDEX($EG$2:$EG$13,$MB149))),1,0))</f>
        <v/>
      </c>
      <c r="NH149" s="152">
        <f>IF(OR($NC149=0,$MF149=0),0,$NC149+3*IF(AND($MY149&lt;&gt;"",OR($MY149=INDEX($EF$2:$EF$13,$MB149),$MY149=INDEX($EG$2:$EG$13,$MB149))),1,0))</f>
        <v/>
      </c>
      <c r="NI149" s="152">
        <f>IF(OR($ND149=0,$MF149=0),0,$ND149+3*IF(AND($MZ149&lt;&gt;"",OR($MZ149=INDEX($EF$2:$EF$13,$MB149),$MZ149=INDEX($EG$2:$EG$13,$MB149))),1,0))</f>
        <v/>
      </c>
      <c r="NJ149" s="152">
        <f>IF(OR($NE149=0,$MF149=0),0,$NE149+3*IF(AND($NA149&lt;&gt;"",OR($NA149=INDEX($EF$2:$EF$13,$MB149),$NA149=INDEX($EG$2:$EG$13,$MB149))),1,0))</f>
        <v/>
      </c>
      <c r="NK149" s="152">
        <f>IF($MW149=0,0,IF(INDEX($W$2:$W$11,$MW149)="",0,IF(COUNTIF(INDEX($EF$2:$EJ$13,$MB149,0),INDEX($W$2:$W$11,$MW149))=0,1,0)))</f>
        <v/>
      </c>
      <c r="NL149" s="152">
        <f>IF(OR($NB149=0,$MX149=""),0,IF(COUNTIF(INDEX($EF$2:$EJ$13,$MB149,0),$MX149)=0,1,0))</f>
        <v/>
      </c>
      <c r="NM149" s="152">
        <f>IF(OR($NC149=0,$MY149=""),0,IF(COUNTIF(INDEX($EF$2:$EJ$13,$MB149,0),$MY149)=0,1,0))</f>
        <v/>
      </c>
      <c r="NN149" s="152">
        <f>IF(OR($ND149=0,$MZ149=""),0,IF(COUNTIF(INDEX($EF$2:$EJ$13,$MB149,0),$MZ149)=0,1,0))</f>
        <v/>
      </c>
      <c r="NO149" s="152">
        <f>IF(OR($NE149=0,$NA149=""),0,IF(COUNTIF(INDEX($EF$2:$EJ$13,$MB149,0),$NA149)=0,1,0))</f>
        <v/>
      </c>
      <c r="NP149" s="152">
        <f>IFERROR(VLOOKUP($MK149,$AV$2:$BA$84,4,FALSE),0)+IFERROR(VLOOKUP($ML149,$AV$2:$BA$84,4,FALSE),0)+IFERROR(VLOOKUP($MM149,$AV$2:$BA$84,4,FALSE),0)+IFERROR(VLOOKUP($MN149,$AV$2:$BA$84,4,FALSE),0)</f>
        <v/>
      </c>
      <c r="NQ149" s="152">
        <f>IFERROR(VLOOKUP($MK149,$AV$2:$BA$84,6,FALSE),0)+IFERROR(VLOOKUP($ML149,$AV$2:$BA$84,6,FALSE),0)+IFERROR(VLOOKUP($MM149,$AV$2:$BA$84,6,FALSE),0)+IFERROR(VLOOKUP($MN149,$AV$2:$BA$84,6,FALSE),0)</f>
        <v/>
      </c>
      <c r="NR149" s="152">
        <f>TEXTJOIN(", ",TRUE,IF(IFERROR(VLOOKUP($MK149,$AV$2:$BA$84,5,FALSE),0)=1,$MK149,""),IF(IFERROR(VLOOKUP($ML149,$AV$2:$BA$84,5,FALSE),0)=1,$ML149,""),IF(IFERROR(VLOOKUP($MM149,$AV$2:$BA$84,5,FALSE),0)=1,$MM149,""),IF(IFERROR(VLOOKUP($MN149,$AV$2:$BA$84,5,FALSE),0)=1,$MN149,""))</f>
        <v/>
      </c>
      <c r="NS149" s="152">
        <f>IF($MW149=0,0,INDEX($Y$2:$Y$11,$MW149))</f>
        <v/>
      </c>
      <c r="NT149" s="152">
        <f>IF($MW149=0,0,INDEX($Z$2:$Z$11,$MW149))</f>
        <v/>
      </c>
      <c r="NU149" s="152">
        <f>IF($MW149=0,0,INDEX($AB$2:$AB$11,$MW149))</f>
        <v/>
      </c>
      <c r="NV149" s="152">
        <f>IFERROR(VLOOKUP($MO149,$BC$2:$BG$24,3,FALSE),0)</f>
        <v/>
      </c>
      <c r="NW149" s="152">
        <f>IFERROR(VLOOKUP($MP149,$BC$2:$BG$24,3,FALSE),0)</f>
        <v/>
      </c>
      <c r="NX149" s="152">
        <f>IFERROR(VLOOKUP($MO149,$BC$2:$BG$24,2,FALSE),"")</f>
        <v/>
      </c>
      <c r="NY149" s="152">
        <f>IFERROR(VLOOKUP($MP149,$BC$2:$BG$24,2,FALSE),"")</f>
        <v/>
      </c>
      <c r="NZ149" s="152">
        <f>COUNTIF($NF149:$NJ149,1)</f>
        <v/>
      </c>
      <c r="OA149" s="152">
        <f>COUNTIF($NF149:$NJ149,2)</f>
        <v/>
      </c>
      <c r="OB149" s="152">
        <f>COUNTIF($NF149:$NJ149,3)</f>
        <v/>
      </c>
      <c r="OC149" s="152">
        <f>COUNTIF($NF149:$NJ149,4)</f>
        <v/>
      </c>
      <c r="OD149" s="152">
        <f>COUNTIF($NF149:$NJ149,5)</f>
        <v/>
      </c>
      <c r="OE149" s="152">
        <f>COUNTIF($NF149:$NJ149,6)</f>
        <v/>
      </c>
      <c r="OF149" s="152">
        <f>COUNTIF($NV149:$NW149,1)</f>
        <v/>
      </c>
      <c r="OG149" s="152">
        <f>COUNTIF($NV149:$NW149,2)+$NS149</f>
        <v/>
      </c>
      <c r="OH149" s="152">
        <f>COUNTIF($MK149:$MN149,"?*")</f>
        <v/>
      </c>
      <c r="OI149" s="152">
        <f>COUNTIF($MO149:$MP149,"?*")+$NS149</f>
        <v/>
      </c>
      <c r="OJ149" s="152">
        <f>IF($MF149=0,0,SUMPRODUCT($NZ149:$OE149,INDEX($I$2:$N$8,MAX(1,$MF149),0)))</f>
        <v/>
      </c>
      <c r="OK149" s="152">
        <f>IF($MF149=0,0,$OF149*CEILING($MF149/2,1)+$OG149*$MF149)</f>
        <v/>
      </c>
      <c r="OL149" s="152">
        <f>MIN(2*$MF149,$OK149)</f>
        <v/>
      </c>
      <c r="OM149" s="152">
        <f>MIN($OL149,$OJ149)</f>
        <v/>
      </c>
      <c r="ON149" s="152">
        <f>$OL149-$OM149</f>
        <v/>
      </c>
      <c r="OO149" s="152">
        <f>IF($MF149=0,0,INDEX($P$2:$P$8,MAX(1,$MF149)))</f>
        <v/>
      </c>
      <c r="OP149" s="152">
        <f>$OO149-$OJ149+$OM149</f>
        <v/>
      </c>
      <c r="OQ149" s="152">
        <f>IF($MF149=0,MAX(0,$MT149-IF($OH149&gt;0,1,0)),MAX(0,$OP149))</f>
        <v/>
      </c>
      <c r="OR149" s="152">
        <f>IF($MF149=0,0,(IF(COUNTIF($MK149:$MN149,"Salto")&gt;0,1,0)+IF(COUNTIF($MK149:$MN149,"Queima")&gt;0,1,0)+IF(COUNTIF($MK149:$MN149,"Estilhaço")&gt;0,1,0))*FLOOR($OQ149/2,1))</f>
        <v/>
      </c>
      <c r="OS149" s="152">
        <f>MAX(0,2-SUMPRODUCT($NZ149:$OE149,$I$2:$N$2)+MIN(2,$OF149*1+$OG149*1,SUMPRODUCT($NZ149:$OE149,$I$2:$N$2)))</f>
        <v/>
      </c>
      <c r="OT149" s="152">
        <f>MAX(0,4-SUMPRODUCT($NZ149:$OE149,$I$3:$N$3)+MIN(4,$OF149*1+$OG149*2,SUMPRODUCT($NZ149:$OE149,$I$3:$N$3)))</f>
        <v/>
      </c>
      <c r="OU149" s="152">
        <f>MAX(0,6-SUMPRODUCT($NZ149:$OE149,$I$4:$N$4)+MIN(6,$OF149*2+$OG149*3,SUMPRODUCT($NZ149:$OE149,$I$4:$N$4)))</f>
        <v/>
      </c>
      <c r="OV149" s="152">
        <f>MAX(0,9-SUMPRODUCT($NZ149:$OE149,$I$5:$N$5)+MIN(8,$OF149*2+$OG149*4,SUMPRODUCT($NZ149:$OE149,$I$5:$N$5)))</f>
        <v/>
      </c>
      <c r="OW149" s="152">
        <f>MAX(0,11-SUMPRODUCT($NZ149:$OE149,$I$6:$N$6)+MIN(10,$OF149*3+$OG149*5,SUMPRODUCT($NZ149:$OE149,$I$6:$N$6)))</f>
        <v/>
      </c>
      <c r="OX149" s="152">
        <f>MAX(0,13-SUMPRODUCT($NZ149:$OE149,$I$7:$N$7)+MIN(12,$OF149*3+$OG149*6,SUMPRODUCT($NZ149:$OE149,$I$7:$N$7)))</f>
        <v/>
      </c>
      <c r="OY149" s="152">
        <f>MAX(0,16-SUMPRODUCT($NZ149:$OE149,$I$8:$N$8)+MIN(14,$OF149*4+$OG149*7,SUMPRODUCT($NZ149:$OE149,$I$8:$N$8)))</f>
        <v/>
      </c>
      <c r="OZ149" s="152">
        <f>IF($NT149=2,3*$OS149&amp;" de vida temp.",IF($NT149=3,"sem dano",IF($OS149=0,IF($NT149=1,"sem cura","sem dano"),IF($NT149=1,"cura ","")&amp;$OS149&amp;"d8")))</f>
        <v/>
      </c>
      <c r="PA149" s="152">
        <f>IF($NT149=2,3*$OT149&amp;" de vida temp.",IF($NT149=3,"sem dano",IF($OT149=0,IF($NT149=1,"sem cura","sem dano"),IF($NT149=1,"cura ","")&amp;$OT149&amp;"d8")))</f>
        <v/>
      </c>
      <c r="PB149" s="152">
        <f>IF($NT149=2,3*$OU149&amp;" de vida temp.",IF($NT149=3,"sem dano",IF($OU149=0,IF($NT149=1,"sem cura","sem dano"),IF($NT149=1,"cura ","")&amp;$OU149&amp;"d8")))</f>
        <v/>
      </c>
      <c r="PC149" s="152">
        <f>IF($NT149=2,3*$OV149&amp;" de vida temp.",IF($NT149=3,"sem dano",IF($OV149=0,IF($NT149=1,"sem cura","sem dano"),IF($NT149=1,"cura ","")&amp;$OV149&amp;"d8")))</f>
        <v/>
      </c>
      <c r="PD149" s="152">
        <f>IF($NT149=2,3*$OW149&amp;" de vida temp.",IF($NT149=3,"sem dano",IF($OW149=0,IF($NT149=1,"sem cura","sem dano"),IF($NT149=1,"cura ","")&amp;$OW149&amp;"d8")))</f>
        <v/>
      </c>
      <c r="PE149" s="152">
        <f>IF($NT149=2,3*$OX149&amp;" de vida temp.",IF($NT149=3,"sem dano",IF($OX149=0,IF($NT149=1,"sem cura","sem dano"),IF($NT149=1,"cura ","")&amp;$OX149&amp;"d8")))</f>
        <v/>
      </c>
      <c r="PF149" s="152">
        <f>IF($NT149=2,3*$OY149&amp;" de vida temp.",IF($NT149=3,"sem dano",IF($OY149=0,IF($NT149=1,"sem cura","sem dano"),IF($NT149=1,"cura ","")&amp;$OY149&amp;"d8")))</f>
        <v/>
      </c>
      <c r="PG149" s="152">
        <f>IF($MQ149=0,"",TEXTJOIN(" · ",TRUE,IF($MD149&gt;$MR149,"Este lugar abre no nível "&amp;$MD149,""),IF($MF149&gt;$MS149,"Classe "&amp;$MF149&amp;": o nível "&amp;$MR149&amp;" libera até a "&amp;$MS149,""),IF($NK149=1,"A Forma "&amp;$MH149&amp;" pede "&amp;INDEX($W$2:$W$11,$MW149)&amp;" aberta",""),IF(AND($MF149=0,$MW149&gt;0,IF($MW149=0,0,INDEX($AF$2:$AF$11,$MW149))=0),$MH149&amp;" não existe na Classe 0",""),IF($NL149=1,"Família Fechada: "&amp;$MK149,""),IF($NM149=1,"Família Fechada: "&amp;$ML149,""),IF($NN149=1,"Família Fechada: "&amp;$MM149,""),IF($NO149=1,"Família Fechada: "&amp;$MN149,""),IF(AND($MF149&gt;0,$OH149&gt;INDEX($O$2:$O$8,MAX(1,$MF149))),$OH149&amp;" Melhorias: a Classe "&amp;$MF149&amp;" aceita "&amp;INDEX($O$2:$O$8,MAX(1,$MF149)),""),IF(AND($MF149=0,$OH149&gt;1),"A básica aceita uma Melhoria",""),IF(AND($MF149=0,COUNTIF($NB149:$NE149,"&gt;1")&gt;0),"A básica só aceita Melhoria Leve",""),IF(AND($MF149&gt;0,$OI149&gt;2),$OI149&amp;" Restrições"&amp;IF($NS149=1,", contando a que a Forma "&amp;$MH149&amp;" já traz","")&amp;": o limite é 2",""),IF(AND($MF149=0,COUNTIF($MO149:$MP149,"?*")&gt;1),"A básica aceita uma Restrição Leve",""),IF(AND($MF149=0,COUNTIF($NV149:$NW149,2)&gt;0),"A básica só aceita Restrição Leve",""),IF(AND($MF149&gt;0,$OP149&lt;0),"Orçamento estourado: faltam "&amp;(-$OP149)&amp;IF($OP149&lt;-1," pontos"," ponto"),""),IF(IFERROR(VLOOKUP($MO149,$BC$2:$BG$24,4,FALSE),0)+IFERROR(VLOOKUP($MP149,$BC$2:$BG$24,4,FALSE),0)&gt;1,$NX149&amp;" e "&amp;$NY149&amp;" são as duas de frequência",""),IF(AND((COUNTIF($MK149:$MN149,"Rápido")+COUNTIF($NX149:$NY149,"Rápido"))&gt;0,(COUNTIF($MK149:$MN149,"Atrasar")+COUNTIF($NX149:$NY149,"Atrasar"))&gt;0),"Rápido não entra com Atrasar",""),IF(AND((COUNTIF($MK149:$MN149,"Reação")+COUNTIF($NX149:$NY149,"Reação"))&gt;0,(COUNTIF($MK149:$MN149,"Rápido")+COUNTIF($NX149:$NY149,"Rápido"))&gt;0),"Reação não entra com Rápido",""),IF(AND((COUNTIF($MK149:$MN149,"Reação")+COUNTIF($NX149:$NY149,"Reação"))&gt;0,(COUNTIF($MK149:$MN149,"Armado")+COUNTIF($NX149:$NY149,"Armado"))&gt;0),"Reação não entra com Armado",""),IF(AND((COUNTIF($MK149:$MN149,"Reação")+COUNTIF($NX149:$NY149,"Reação"))&gt;0,(COUNTIF($MK149:$MN149,"Atrasar")+COUNTIF($NX149:$NY149,"Atrasar"))&gt;0),"Reação não entra com Atrasar",""),IF(AND((COUNTIF($MK149:$MN149,"Reação")+COUNTIF($NX149:$NY149,"Reação"))&gt;0,(COUNTIF($MK149:$MN149,"Parado")+COUNTIF($NX149:$NY149,"Parado"))&gt;0),"Reação não entra com Parado",""),IF(AND((COUNTIF($MK149:$MN149,"Atrasar")+COUNTIF($NX149:$NY149,"Atrasar"))&gt;0,(COUNTIF($MK149:$MN149,"Parado")+COUNTIF($NX149:$NY149,"Parado"))&gt;0),"Atrasar não entra com Parado",""),IF(AND((COUNTIF($MK149:$MN149,"Armado")+COUNTIF($NX149:$NY149,"Armado"))&gt;0,(COUNTIF($MK149:$MN149,"Carregar")+COUNTIF($NX149:$NY149,"Carregar"))&gt;0),"Armado não entra com Carregar",""),IF(AND(COUNTIF($NX149:$NY149,"Corpo a Corpo")&gt;0,$NS149=0,OR($MH149="Cone",$MH149="Linha")),"Corpo a Corpo não entra em "&amp;$MH149,""),IF(AND(COUNTIF($NX149:$NY149,"Corpo a Corpo")&gt;0,$NS149=1),"A Forma "&amp;$MH149&amp;" já traz o Corpo a Corpo",""),IF(AND(COUNTIF($NX149:$NY149,"Tudo ou Nada")&gt;0,$NU149=0),"Tudo ou Nada só entra em habilidade de Teste de Resistência",""),IF(AND(COUNTIF($MK149:$MN149,"Inescapável")&gt;0,OR($OH149&gt;1,$OI149&gt;0)),"Inescapável não aceita outra peça",""),IF(AND($MF149&gt;0,$OQ149*IF(COUNTIF($MK149:$MN149,"Remate")&gt;0,1.25,1)+$OR149&gt;4*$MF149),($OQ149*IF(COUNTIF($MK149:$MN149,"Remate")&gt;0,1.25,1)+$OR149)&amp;" dados somando repetições"&amp;IF(COUNTIF($MK149:$MN149,"Remate")&gt;0," e o Remate","")&amp;": o teto da Classe "&amp;$MF149&amp;" é "&amp;4*$MF149,"")))</f>
        <v/>
      </c>
      <c r="PH149" s="152">
        <f>IF($PG149="",0,(LEN($PG149)-LEN(SUBSTITUTE($PG149," · ","")))/3+1)</f>
        <v/>
      </c>
      <c r="PI149" s="152">
        <f>IF($MQ149=0,"",TEXTJOIN(" · ",TRUE,IF($OK149&gt;2*$MF149,"A devolução parou no teto de "&amp;2*$MF149,""),IF($ON149&gt;0,"Devolução perdida: "&amp;$ON149&amp;IF($ON149&gt;1," pontos"," ponto")&amp;" sem peça para pagar",""),IF(AND($NP149&gt;0,AND($MF149&gt;0,$NT149=0),$OQ149=0),"Controle sem dano: uma rodada a mais e CD +2",""),IF(AND($NP149&gt;0,AND($MF149&gt;0,$NT149=0),$OQ149&gt;0,$OQ149&lt;=$MF149),"Controle com saldo até a Classe: uma rodada a mais",""),IF(AND($MF149&gt;0,$NR149&lt;&gt;""),"Efeito de "&amp;$NR149&amp;" pela Classe "&amp;MAX(1,$MF149-1),"")))</f>
        <v/>
      </c>
      <c r="PJ149" s="152">
        <f>IF($PI149="",0,(LEN($PI149)-LEN(SUBSTITUTE($PI149," · ","")))/3+1)</f>
        <v/>
      </c>
      <c r="PK149" s="152">
        <f>IF($MQ149=0,IF($OH149+COUNTIF($MO149:$MP149,"?*")&gt;0,"Dê um nome",""),IF($PH149&gt;0,"⚠ "&amp;$PH149&amp;IF($PH149&gt;1," erros"," erro"),IF($PJ149&gt;0,"! "&amp;$PJ149&amp;IF($PJ149&gt;1," avisos"," aviso"),"Na regra")))</f>
        <v/>
      </c>
      <c r="PL149" s="152">
        <f>IF($MQ149=0,"",IF($PH149+$PJ149=0,"Dentro das regras que a ficha confere",$PG149&amp;IF(AND($PH149&gt;0,$PJ149&gt;0)," · ","")&amp;$PI149))</f>
        <v/>
      </c>
      <c r="PM149" s="152">
        <f>IF($MD149&gt;$MR149,$ME149&amp;" · ABRE NO NÍVEL "&amp;$MD149,$ME149)</f>
        <v/>
      </c>
      <c r="PN149" s="152">
        <f>IF($MQ149=0,"",IF($MF149=0,"Sem PE",3*$MF149&amp;" PE"))</f>
        <v/>
      </c>
      <c r="PO149" s="152">
        <f>IF($MQ149=0,"",IF($MF149=0,"A atuação básica dela",IF(COUNTIF($NX149:$NY149,"Atrasar")&gt;0,"Sua Ação Completa",IF(COUNTIF($MK149:$MN149,"Rápido")&gt;0,"Sua Bônus",IF(COUNTIF($MK149:$MN149,"Reação")&gt;0,"Sua Reação","Sua Padrão")))&amp;" + a básica dela"&amp;IF(COUNTIF($MK149:$MN149,"Reação")&gt;0," e a coletiva","")&amp;IF(COUNTIF($NX149:$NY149,"Carregar")&gt;0," · em dois turnos","")))</f>
        <v/>
      </c>
      <c r="PP149" s="152">
        <f>IF($MJ149&lt;&gt;"",$MJ149,IF($MW149=0,"",INDEX($AA$2:$AA$11,$MW149)))</f>
        <v/>
      </c>
      <c r="PQ149" s="152">
        <f>IF(OR($MQ149=0,$MW149=0),"",IF(COUNTIF($MK149:$MN149,"Inescapável")&gt;0,"Automático",IF($PP149="Ataque",IF($MU149="","Ataque","Ataque "&amp;IF(($MU149+2*IF(COUNTIF($MK149:$MN149,"Precisão")&gt;0,1,0))&gt;=0,"+","−")&amp;ABS(($MU149+2*IF(COUNTIF($MK149:$MN149,"Precisão")&gt;0,1,0))))&amp;IF($NQ149&gt;0," · TR"&amp;IF($MV149="",""," CD "&amp;$MV149),""),IF(LEFT($PP149,2)="TR",$PP149&amp;IF($MV149="",""," · CD "&amp;$MV149)&amp;IF(COUNTIF($MK149:$MN149,"Certeiro")&gt;0," · metade",""),"Sem rolagem"))))</f>
        <v/>
      </c>
      <c r="PR149" s="152">
        <f>IF(OR($MQ149=0,$MW149=0),"",IF($MF149=0,IF(OR($NT149&gt;=1,$OQ149=0),"Sem dano",$OQ149&amp;"d6"&amp;IF($MI149="",""," "&amp;$MI149)),IF(OR($NT149&gt;=1,$OQ149=0),UPPER(LEFT(INDEX($OZ149:$PF149,1,MAX(1,$MF149)),1))&amp;MID(INDEX($OZ149:$PF149,1,MAX(1,$MF149)),2,99),UPPER(LEFT(INDEX($OZ149:$PF149,1,MAX(1,$MF149)),1))&amp;MID(INDEX($OZ149:$PF149,1,MAX(1,$MF149)),2,99)&amp;IF($MI149="",""," "&amp;$MI149)&amp;IF($OR149&gt;0," · +"&amp;$OR149&amp;"d8",""))))</f>
        <v/>
      </c>
      <c r="PS149" s="152">
        <f>COUNTIF($MK149:$MN149,"Longe")+3*COUNTIF($MK149:$MN149,"Muito Longe")</f>
        <v/>
      </c>
      <c r="PT149" s="152">
        <f>COUNTIF($MK149:$MN149,"Maior")+3*COUNTIF($MK149:$MN149,"Muito Maior")</f>
        <v/>
      </c>
      <c r="PU149" s="152">
        <f>IF($MW149=0,0,CHOOSE(1+INDEX($AC$2:$AC$11,$MW149),0,$PS149,$PT149,$PS149+$PT149))</f>
        <v/>
      </c>
      <c r="PV149" s="152">
        <f>IF($MW149=0,0,CHOOSE(1+INDEX($AD$2:$AD$11,$MW149),0,$PS149,$PT149,$PS149+$PT149))</f>
        <v/>
      </c>
      <c r="PW149" s="152">
        <f>IF(OR($MQ149=0,$MW149=0),"",INDEX($AI$2:$AN$41,($MW149-1)*4+IF($MF149=0,1,IF($MF149&lt;=5,2,IF($MF149=6,3,4))),1+MIN(5,$PU149))&amp;INDEX($AO$2:$AT$41,($MW149-1)*4+IF($MF149=0,1,IF($MF149&lt;=5,2,IF($MF149=6,3,4))),1+MIN(5,$PV149))&amp;IF(INDEX($AE$2:$AE$11,$MW149)=1,IF(COUNTIF($MK149:$MN149,"Mais Um")&gt;0," · +"&amp;COUNTIF($MK149:$MN149,"Mais Um")&amp;IF(COUNTIF($MK149:$MN149,"Mais Um")&gt;1," alvos"," alvo"),"")&amp;IF(COUNTIF($MK149:$MN149,"Rajada")&gt;0,IF($MF149=0," · 1 tiro"," · "&amp;(MAX(1,$MF149-1)+1)&amp;" tiros"),""),""))</f>
        <v/>
      </c>
      <c r="PX149" s="152">
        <f>IF($MQ149=0,"",IF($MF149=0,$MT149&amp;"d6"&amp;IF($OH149&gt;0," − 1 = "&amp;$OQ149&amp;"d6"," da básica do nível "&amp;$MR149),$OO149&amp;" − "&amp;$OJ149&amp;" + "&amp;$OM149&amp;" = "&amp;$OP149&amp;" · teto "&amp;4*$MF149&amp;"d8"&amp;IF($NS149=1," · a Forma devolve "&amp;$MF149,"")&amp;IF($ON149&gt;0," · perde "&amp;$ON149,"")))</f>
        <v/>
      </c>
      <c r="PY149" s="152">
        <f>IF($MQ149=0,"",IF($MF149=0,"A básica não amplia: os dados dela sobem com o nível",IF($MF149&gt;=$MS149,"Já está na maior Classe que o nível liberou",TEXTJOIN(" · ",TRUE,IF(AND(2&gt;$MF149,2&lt;=$MS149),"2 → "&amp;$PA149&amp;", 6 PE",""),IF(AND(3&gt;$MF149,3&lt;=$MS149),"3 → "&amp;$PB149&amp;", 9 PE",""),IF(AND(4&gt;$MF149,4&lt;=$MS149),"4 → "&amp;$PC149&amp;", 12 PE",""),IF(AND(5&gt;$MF149,5&lt;=$MS149),"5 → "&amp;$PD149&amp;", 15 PE",""),IF(AND(6&gt;$MF149,6&lt;=$MS149),"6 → "&amp;$PE149&amp;", 18 PE",""),IF(AND(7&gt;$MF149,7&lt;=$MS149),"7 → "&amp;$PF149&amp;", 21 PE","")))))</f>
        <v/>
      </c>
      <c r="PZ149" s="152">
        <f>IF(OR($MQ149=0,$NB149=0),"",IF($MF149=0,"−1 dado","−"&amp;INDEX($I$2:$N$8,MAX(1,$MF149),MAX(1,$NG149))&amp;" · "&amp;CHOOSE(MAX(1,$NG149),"Leve","Média","Pesada","Leve · Livre","Média · Livre","Pesada · Livre")))</f>
        <v/>
      </c>
      <c r="QA149" s="152">
        <f>IF(OR($MQ149=0,$NC149=0),"",IF($MF149=0,"−1 dado","−"&amp;INDEX($I$2:$N$8,MAX(1,$MF149),MAX(1,$NH149))&amp;" · "&amp;CHOOSE(MAX(1,$NH149),"Leve","Média","Pesada","Leve · Livre","Média · Livre","Pesada · Livre")))</f>
        <v/>
      </c>
      <c r="QB149" s="152">
        <f>IF(OR($MQ149=0,$ND149=0),"",IF($MF149=0,"−1 dado","−"&amp;INDEX($I$2:$N$8,MAX(1,$MF149),MAX(1,$NI149))&amp;" · "&amp;CHOOSE(MAX(1,$NI149),"Leve","Média","Pesada","Leve · Livre","Média · Livre","Pesada · Livre")))</f>
        <v/>
      </c>
      <c r="QC149" s="152">
        <f>IF(OR($MQ149=0,$NE149=0),"",IF($MF149=0,"−1 dado","−"&amp;INDEX($I$2:$N$8,MAX(1,$MF149),MAX(1,$NJ149))&amp;" · "&amp;CHOOSE(MAX(1,$NJ149),"Leve","Média","Pesada","Leve · Livre","Média · Livre","Pesada · Livre")))</f>
        <v/>
      </c>
      <c r="QD149" s="152">
        <f>IF(OR($MQ149=0,$MO149=""),"",IF($MF149=0,"não devolve","+"&amp;IF($NV149=1,CEILING($MF149/2,1),$MF149)))</f>
        <v/>
      </c>
      <c r="QE149" s="152">
        <f>IF(OR($MQ149=0,$MP149=""),"",IF($MF149=0,"não devolve","+"&amp;IF($NW149=1,CEILING($MF149/2,1),$MF149)))</f>
        <v/>
      </c>
    </row>
    <row r="150">
      <c r="MA150" s="150" t="inlineStr">
        <is>
          <t>Ficha 12 · Especial 4</t>
        </is>
      </c>
      <c r="MB150" s="152" t="n">
        <v>12</v>
      </c>
      <c r="MC150" s="152" t="n">
        <v>1</v>
      </c>
      <c r="MD150" s="152" t="n">
        <v>12</v>
      </c>
      <c r="ME150" s="150" t="inlineStr">
        <is>
          <t>ESPECIAL 4</t>
        </is>
      </c>
      <c r="MF150" s="152">
        <f>MAX(1,MIN(7,N('INVOCAÇÕES'!$AN$1082)))</f>
        <v/>
      </c>
      <c r="MG150" s="152">
        <f>'INVOCAÇÕES'!$AO$1082&amp;""</f>
        <v/>
      </c>
      <c r="MH150" s="152">
        <f>'INVOCAÇÕES'!$AN$1087&amp;""</f>
        <v/>
      </c>
      <c r="MI150" s="152">
        <f>'INVOCAÇÕES'!$AN$1088&amp;""</f>
        <v/>
      </c>
      <c r="MJ150" s="152">
        <f>'INVOCAÇÕES'!$AP$1088&amp;""</f>
        <v/>
      </c>
      <c r="MK150" s="152">
        <f>'INVOCAÇÕES'!$AO$1091&amp;""</f>
        <v/>
      </c>
      <c r="ML150" s="152">
        <f>'INVOCAÇÕES'!$AO$1092&amp;""</f>
        <v/>
      </c>
      <c r="MM150" s="152">
        <f>'INVOCAÇÕES'!$AO$1093&amp;""</f>
        <v/>
      </c>
      <c r="MN150" s="152">
        <f>'INVOCAÇÕES'!$AO$1094&amp;""</f>
        <v/>
      </c>
      <c r="MO150" s="152">
        <f>'INVOCAÇÕES'!$AO$1095&amp;""</f>
        <v/>
      </c>
      <c r="MP150" s="152">
        <f>'INVOCAÇÕES'!$AO$1096&amp;""</f>
        <v/>
      </c>
      <c r="MQ150" s="152">
        <f>IF($MG150&lt;&gt;"",1,0)</f>
        <v/>
      </c>
      <c r="MR150" s="152">
        <f>INDEX($FI$2:$FI$13,$MB150)</f>
        <v/>
      </c>
      <c r="MS150" s="152">
        <f>INDEX($FJ$2:$FJ$13,$MB150)</f>
        <v/>
      </c>
      <c r="MT150" s="152">
        <f>INDEX($FK$2:$FK$13,$MB150)</f>
        <v/>
      </c>
      <c r="MU150" s="152">
        <f>INDEX($FV$2:$FV$13,$MB150)</f>
        <v/>
      </c>
      <c r="MV150" s="152">
        <f>INDEX($FW$2:$FW$13,$MB150)</f>
        <v/>
      </c>
      <c r="MW150" s="152">
        <f>IFERROR(MATCH($MH150,$V$2:$V$11,0),0)</f>
        <v/>
      </c>
      <c r="MX150" s="152">
        <f>IFERROR(VLOOKUP($MK150,$AV$2:$BA$84,2,FALSE),"")</f>
        <v/>
      </c>
      <c r="MY150" s="152">
        <f>IFERROR(VLOOKUP($ML150,$AV$2:$BA$84,2,FALSE),"")</f>
        <v/>
      </c>
      <c r="MZ150" s="152">
        <f>IFERROR(VLOOKUP($MM150,$AV$2:$BA$84,2,FALSE),"")</f>
        <v/>
      </c>
      <c r="NA150" s="152">
        <f>IFERROR(VLOOKUP($MN150,$AV$2:$BA$84,2,FALSE),"")</f>
        <v/>
      </c>
      <c r="NB150" s="152">
        <f>IFERROR(VLOOKUP($MK150,$AV$2:$BA$84,3,FALSE),0)</f>
        <v/>
      </c>
      <c r="NC150" s="152">
        <f>IFERROR(VLOOKUP($ML150,$AV$2:$BA$84,3,FALSE),0)</f>
        <v/>
      </c>
      <c r="ND150" s="152">
        <f>IFERROR(VLOOKUP($MM150,$AV$2:$BA$84,3,FALSE),0)</f>
        <v/>
      </c>
      <c r="NE150" s="152">
        <f>IFERROR(VLOOKUP($MN150,$AV$2:$BA$84,3,FALSE),0)</f>
        <v/>
      </c>
      <c r="NF150" s="152">
        <f>IF($MF150=0,0,IF($MW150=0,0,INDEX($X$2:$X$11,$MW150)))</f>
        <v/>
      </c>
      <c r="NG150" s="152">
        <f>IF(OR($NB150=0,$MF150=0),0,$NB150+3*IF(AND($MX150&lt;&gt;"",OR($MX150=INDEX($EF$2:$EF$13,$MB150),$MX150=INDEX($EG$2:$EG$13,$MB150))),1,0))</f>
        <v/>
      </c>
      <c r="NH150" s="152">
        <f>IF(OR($NC150=0,$MF150=0),0,$NC150+3*IF(AND($MY150&lt;&gt;"",OR($MY150=INDEX($EF$2:$EF$13,$MB150),$MY150=INDEX($EG$2:$EG$13,$MB150))),1,0))</f>
        <v/>
      </c>
      <c r="NI150" s="152">
        <f>IF(OR($ND150=0,$MF150=0),0,$ND150+3*IF(AND($MZ150&lt;&gt;"",OR($MZ150=INDEX($EF$2:$EF$13,$MB150),$MZ150=INDEX($EG$2:$EG$13,$MB150))),1,0))</f>
        <v/>
      </c>
      <c r="NJ150" s="152">
        <f>IF(OR($NE150=0,$MF150=0),0,$NE150+3*IF(AND($NA150&lt;&gt;"",OR($NA150=INDEX($EF$2:$EF$13,$MB150),$NA150=INDEX($EG$2:$EG$13,$MB150))),1,0))</f>
        <v/>
      </c>
      <c r="NK150" s="152">
        <f>IF($MW150=0,0,IF(INDEX($W$2:$W$11,$MW150)="",0,IF(COUNTIF(INDEX($EF$2:$EJ$13,$MB150,0),INDEX($W$2:$W$11,$MW150))=0,1,0)))</f>
        <v/>
      </c>
      <c r="NL150" s="152">
        <f>IF(OR($NB150=0,$MX150=""),0,IF(COUNTIF(INDEX($EF$2:$EJ$13,$MB150,0),$MX150)=0,1,0))</f>
        <v/>
      </c>
      <c r="NM150" s="152">
        <f>IF(OR($NC150=0,$MY150=""),0,IF(COUNTIF(INDEX($EF$2:$EJ$13,$MB150,0),$MY150)=0,1,0))</f>
        <v/>
      </c>
      <c r="NN150" s="152">
        <f>IF(OR($ND150=0,$MZ150=""),0,IF(COUNTIF(INDEX($EF$2:$EJ$13,$MB150,0),$MZ150)=0,1,0))</f>
        <v/>
      </c>
      <c r="NO150" s="152">
        <f>IF(OR($NE150=0,$NA150=""),0,IF(COUNTIF(INDEX($EF$2:$EJ$13,$MB150,0),$NA150)=0,1,0))</f>
        <v/>
      </c>
      <c r="NP150" s="152">
        <f>IFERROR(VLOOKUP($MK150,$AV$2:$BA$84,4,FALSE),0)+IFERROR(VLOOKUP($ML150,$AV$2:$BA$84,4,FALSE),0)+IFERROR(VLOOKUP($MM150,$AV$2:$BA$84,4,FALSE),0)+IFERROR(VLOOKUP($MN150,$AV$2:$BA$84,4,FALSE),0)</f>
        <v/>
      </c>
      <c r="NQ150" s="152">
        <f>IFERROR(VLOOKUP($MK150,$AV$2:$BA$84,6,FALSE),0)+IFERROR(VLOOKUP($ML150,$AV$2:$BA$84,6,FALSE),0)+IFERROR(VLOOKUP($MM150,$AV$2:$BA$84,6,FALSE),0)+IFERROR(VLOOKUP($MN150,$AV$2:$BA$84,6,FALSE),0)</f>
        <v/>
      </c>
      <c r="NR150" s="152">
        <f>TEXTJOIN(", ",TRUE,IF(IFERROR(VLOOKUP($MK150,$AV$2:$BA$84,5,FALSE),0)=1,$MK150,""),IF(IFERROR(VLOOKUP($ML150,$AV$2:$BA$84,5,FALSE),0)=1,$ML150,""),IF(IFERROR(VLOOKUP($MM150,$AV$2:$BA$84,5,FALSE),0)=1,$MM150,""),IF(IFERROR(VLOOKUP($MN150,$AV$2:$BA$84,5,FALSE),0)=1,$MN150,""))</f>
        <v/>
      </c>
      <c r="NS150" s="152">
        <f>IF($MW150=0,0,INDEX($Y$2:$Y$11,$MW150))</f>
        <v/>
      </c>
      <c r="NT150" s="152">
        <f>IF($MW150=0,0,INDEX($Z$2:$Z$11,$MW150))</f>
        <v/>
      </c>
      <c r="NU150" s="152">
        <f>IF($MW150=0,0,INDEX($AB$2:$AB$11,$MW150))</f>
        <v/>
      </c>
      <c r="NV150" s="152">
        <f>IFERROR(VLOOKUP($MO150,$BC$2:$BG$24,3,FALSE),0)</f>
        <v/>
      </c>
      <c r="NW150" s="152">
        <f>IFERROR(VLOOKUP($MP150,$BC$2:$BG$24,3,FALSE),0)</f>
        <v/>
      </c>
      <c r="NX150" s="152">
        <f>IFERROR(VLOOKUP($MO150,$BC$2:$BG$24,2,FALSE),"")</f>
        <v/>
      </c>
      <c r="NY150" s="152">
        <f>IFERROR(VLOOKUP($MP150,$BC$2:$BG$24,2,FALSE),"")</f>
        <v/>
      </c>
      <c r="NZ150" s="152">
        <f>COUNTIF($NF150:$NJ150,1)</f>
        <v/>
      </c>
      <c r="OA150" s="152">
        <f>COUNTIF($NF150:$NJ150,2)</f>
        <v/>
      </c>
      <c r="OB150" s="152">
        <f>COUNTIF($NF150:$NJ150,3)</f>
        <v/>
      </c>
      <c r="OC150" s="152">
        <f>COUNTIF($NF150:$NJ150,4)</f>
        <v/>
      </c>
      <c r="OD150" s="152">
        <f>COUNTIF($NF150:$NJ150,5)</f>
        <v/>
      </c>
      <c r="OE150" s="152">
        <f>COUNTIF($NF150:$NJ150,6)</f>
        <v/>
      </c>
      <c r="OF150" s="152">
        <f>COUNTIF($NV150:$NW150,1)</f>
        <v/>
      </c>
      <c r="OG150" s="152">
        <f>COUNTIF($NV150:$NW150,2)+$NS150</f>
        <v/>
      </c>
      <c r="OH150" s="152">
        <f>COUNTIF($MK150:$MN150,"?*")</f>
        <v/>
      </c>
      <c r="OI150" s="152">
        <f>COUNTIF($MO150:$MP150,"?*")+$NS150</f>
        <v/>
      </c>
      <c r="OJ150" s="152">
        <f>IF($MF150=0,0,SUMPRODUCT($NZ150:$OE150,INDEX($I$2:$N$8,MAX(1,$MF150),0)))</f>
        <v/>
      </c>
      <c r="OK150" s="152">
        <f>IF($MF150=0,0,$OF150*CEILING($MF150/2,1)+$OG150*$MF150)</f>
        <v/>
      </c>
      <c r="OL150" s="152">
        <f>MIN(2*$MF150,$OK150)</f>
        <v/>
      </c>
      <c r="OM150" s="152">
        <f>MIN($OL150,$OJ150)</f>
        <v/>
      </c>
      <c r="ON150" s="152">
        <f>$OL150-$OM150</f>
        <v/>
      </c>
      <c r="OO150" s="152">
        <f>IF($MF150=0,0,INDEX($P$2:$P$8,MAX(1,$MF150)))</f>
        <v/>
      </c>
      <c r="OP150" s="152">
        <f>$OO150-$OJ150+$OM150</f>
        <v/>
      </c>
      <c r="OQ150" s="152">
        <f>IF($MF150=0,MAX(0,$MT150-IF($OH150&gt;0,1,0)),MAX(0,$OP150))</f>
        <v/>
      </c>
      <c r="OR150" s="152">
        <f>IF($MF150=0,0,(IF(COUNTIF($MK150:$MN150,"Salto")&gt;0,1,0)+IF(COUNTIF($MK150:$MN150,"Queima")&gt;0,1,0)+IF(COUNTIF($MK150:$MN150,"Estilhaço")&gt;0,1,0))*FLOOR($OQ150/2,1))</f>
        <v/>
      </c>
      <c r="OS150" s="152">
        <f>MAX(0,2-SUMPRODUCT($NZ150:$OE150,$I$2:$N$2)+MIN(2,$OF150*1+$OG150*1,SUMPRODUCT($NZ150:$OE150,$I$2:$N$2)))</f>
        <v/>
      </c>
      <c r="OT150" s="152">
        <f>MAX(0,4-SUMPRODUCT($NZ150:$OE150,$I$3:$N$3)+MIN(4,$OF150*1+$OG150*2,SUMPRODUCT($NZ150:$OE150,$I$3:$N$3)))</f>
        <v/>
      </c>
      <c r="OU150" s="152">
        <f>MAX(0,6-SUMPRODUCT($NZ150:$OE150,$I$4:$N$4)+MIN(6,$OF150*2+$OG150*3,SUMPRODUCT($NZ150:$OE150,$I$4:$N$4)))</f>
        <v/>
      </c>
      <c r="OV150" s="152">
        <f>MAX(0,9-SUMPRODUCT($NZ150:$OE150,$I$5:$N$5)+MIN(8,$OF150*2+$OG150*4,SUMPRODUCT($NZ150:$OE150,$I$5:$N$5)))</f>
        <v/>
      </c>
      <c r="OW150" s="152">
        <f>MAX(0,11-SUMPRODUCT($NZ150:$OE150,$I$6:$N$6)+MIN(10,$OF150*3+$OG150*5,SUMPRODUCT($NZ150:$OE150,$I$6:$N$6)))</f>
        <v/>
      </c>
      <c r="OX150" s="152">
        <f>MAX(0,13-SUMPRODUCT($NZ150:$OE150,$I$7:$N$7)+MIN(12,$OF150*3+$OG150*6,SUMPRODUCT($NZ150:$OE150,$I$7:$N$7)))</f>
        <v/>
      </c>
      <c r="OY150" s="152">
        <f>MAX(0,16-SUMPRODUCT($NZ150:$OE150,$I$8:$N$8)+MIN(14,$OF150*4+$OG150*7,SUMPRODUCT($NZ150:$OE150,$I$8:$N$8)))</f>
        <v/>
      </c>
      <c r="OZ150" s="152">
        <f>IF($NT150=2,3*$OS150&amp;" de vida temp.",IF($NT150=3,"sem dano",IF($OS150=0,IF($NT150=1,"sem cura","sem dano"),IF($NT150=1,"cura ","")&amp;$OS150&amp;"d8")))</f>
        <v/>
      </c>
      <c r="PA150" s="152">
        <f>IF($NT150=2,3*$OT150&amp;" de vida temp.",IF($NT150=3,"sem dano",IF($OT150=0,IF($NT150=1,"sem cura","sem dano"),IF($NT150=1,"cura ","")&amp;$OT150&amp;"d8")))</f>
        <v/>
      </c>
      <c r="PB150" s="152">
        <f>IF($NT150=2,3*$OU150&amp;" de vida temp.",IF($NT150=3,"sem dano",IF($OU150=0,IF($NT150=1,"sem cura","sem dano"),IF($NT150=1,"cura ","")&amp;$OU150&amp;"d8")))</f>
        <v/>
      </c>
      <c r="PC150" s="152">
        <f>IF($NT150=2,3*$OV150&amp;" de vida temp.",IF($NT150=3,"sem dano",IF($OV150=0,IF($NT150=1,"sem cura","sem dano"),IF($NT150=1,"cura ","")&amp;$OV150&amp;"d8")))</f>
        <v/>
      </c>
      <c r="PD150" s="152">
        <f>IF($NT150=2,3*$OW150&amp;" de vida temp.",IF($NT150=3,"sem dano",IF($OW150=0,IF($NT150=1,"sem cura","sem dano"),IF($NT150=1,"cura ","")&amp;$OW150&amp;"d8")))</f>
        <v/>
      </c>
      <c r="PE150" s="152">
        <f>IF($NT150=2,3*$OX150&amp;" de vida temp.",IF($NT150=3,"sem dano",IF($OX150=0,IF($NT150=1,"sem cura","sem dano"),IF($NT150=1,"cura ","")&amp;$OX150&amp;"d8")))</f>
        <v/>
      </c>
      <c r="PF150" s="152">
        <f>IF($NT150=2,3*$OY150&amp;" de vida temp.",IF($NT150=3,"sem dano",IF($OY150=0,IF($NT150=1,"sem cura","sem dano"),IF($NT150=1,"cura ","")&amp;$OY150&amp;"d8")))</f>
        <v/>
      </c>
      <c r="PG150" s="152">
        <f>IF($MQ150=0,"",TEXTJOIN(" · ",TRUE,IF($MD150&gt;$MR150,"Este lugar abre no nível "&amp;$MD150,""),IF($MF150&gt;$MS150,"Classe "&amp;$MF150&amp;": o nível "&amp;$MR150&amp;" libera até a "&amp;$MS150,""),IF($NK150=1,"A Forma "&amp;$MH150&amp;" pede "&amp;INDEX($W$2:$W$11,$MW150)&amp;" aberta",""),IF(AND($MF150=0,$MW150&gt;0,IF($MW150=0,0,INDEX($AF$2:$AF$11,$MW150))=0),$MH150&amp;" não existe na Classe 0",""),IF($NL150=1,"Família Fechada: "&amp;$MK150,""),IF($NM150=1,"Família Fechada: "&amp;$ML150,""),IF($NN150=1,"Família Fechada: "&amp;$MM150,""),IF($NO150=1,"Família Fechada: "&amp;$MN150,""),IF(AND($MF150&gt;0,$OH150&gt;INDEX($O$2:$O$8,MAX(1,$MF150))),$OH150&amp;" Melhorias: a Classe "&amp;$MF150&amp;" aceita "&amp;INDEX($O$2:$O$8,MAX(1,$MF150)),""),IF(AND($MF150=0,$OH150&gt;1),"A básica aceita uma Melhoria",""),IF(AND($MF150=0,COUNTIF($NB150:$NE150,"&gt;1")&gt;0),"A básica só aceita Melhoria Leve",""),IF(AND($MF150&gt;0,$OI150&gt;2),$OI150&amp;" Restrições"&amp;IF($NS150=1,", contando a que a Forma "&amp;$MH150&amp;" já traz","")&amp;": o limite é 2",""),IF(AND($MF150=0,COUNTIF($MO150:$MP150,"?*")&gt;1),"A básica aceita uma Restrição Leve",""),IF(AND($MF150=0,COUNTIF($NV150:$NW150,2)&gt;0),"A básica só aceita Restrição Leve",""),IF(AND($MF150&gt;0,$OP150&lt;0),"Orçamento estourado: faltam "&amp;(-$OP150)&amp;IF($OP150&lt;-1," pontos"," ponto"),""),IF(IFERROR(VLOOKUP($MO150,$BC$2:$BG$24,4,FALSE),0)+IFERROR(VLOOKUP($MP150,$BC$2:$BG$24,4,FALSE),0)&gt;1,$NX150&amp;" e "&amp;$NY150&amp;" são as duas de frequência",""),IF(AND((COUNTIF($MK150:$MN150,"Rápido")+COUNTIF($NX150:$NY150,"Rápido"))&gt;0,(COUNTIF($MK150:$MN150,"Atrasar")+COUNTIF($NX150:$NY150,"Atrasar"))&gt;0),"Rápido não entra com Atrasar",""),IF(AND((COUNTIF($MK150:$MN150,"Reação")+COUNTIF($NX150:$NY150,"Reação"))&gt;0,(COUNTIF($MK150:$MN150,"Rápido")+COUNTIF($NX150:$NY150,"Rápido"))&gt;0),"Reação não entra com Rápido",""),IF(AND((COUNTIF($MK150:$MN150,"Reação")+COUNTIF($NX150:$NY150,"Reação"))&gt;0,(COUNTIF($MK150:$MN150,"Armado")+COUNTIF($NX150:$NY150,"Armado"))&gt;0),"Reação não entra com Armado",""),IF(AND((COUNTIF($MK150:$MN150,"Reação")+COUNTIF($NX150:$NY150,"Reação"))&gt;0,(COUNTIF($MK150:$MN150,"Atrasar")+COUNTIF($NX150:$NY150,"Atrasar"))&gt;0),"Reação não entra com Atrasar",""),IF(AND((COUNTIF($MK150:$MN150,"Reação")+COUNTIF($NX150:$NY150,"Reação"))&gt;0,(COUNTIF($MK150:$MN150,"Parado")+COUNTIF($NX150:$NY150,"Parado"))&gt;0),"Reação não entra com Parado",""),IF(AND((COUNTIF($MK150:$MN150,"Atrasar")+COUNTIF($NX150:$NY150,"Atrasar"))&gt;0,(COUNTIF($MK150:$MN150,"Parado")+COUNTIF($NX150:$NY150,"Parado"))&gt;0),"Atrasar não entra com Parado",""),IF(AND((COUNTIF($MK150:$MN150,"Armado")+COUNTIF($NX150:$NY150,"Armado"))&gt;0,(COUNTIF($MK150:$MN150,"Carregar")+COUNTIF($NX150:$NY150,"Carregar"))&gt;0),"Armado não entra com Carregar",""),IF(AND(COUNTIF($NX150:$NY150,"Corpo a Corpo")&gt;0,$NS150=0,OR($MH150="Cone",$MH150="Linha")),"Corpo a Corpo não entra em "&amp;$MH150,""),IF(AND(COUNTIF($NX150:$NY150,"Corpo a Corpo")&gt;0,$NS150=1),"A Forma "&amp;$MH150&amp;" já traz o Corpo a Corpo",""),IF(AND(COUNTIF($NX150:$NY150,"Tudo ou Nada")&gt;0,$NU150=0),"Tudo ou Nada só entra em habilidade de Teste de Resistência",""),IF(AND(COUNTIF($MK150:$MN150,"Inescapável")&gt;0,OR($OH150&gt;1,$OI150&gt;0)),"Inescapável não aceita outra peça",""),IF(AND($MF150&gt;0,$OQ150*IF(COUNTIF($MK150:$MN150,"Remate")&gt;0,1.25,1)+$OR150&gt;4*$MF150),($OQ150*IF(COUNTIF($MK150:$MN150,"Remate")&gt;0,1.25,1)+$OR150)&amp;" dados somando repetições"&amp;IF(COUNTIF($MK150:$MN150,"Remate")&gt;0," e o Remate","")&amp;": o teto da Classe "&amp;$MF150&amp;" é "&amp;4*$MF150,"")))</f>
        <v/>
      </c>
      <c r="PH150" s="152">
        <f>IF($PG150="",0,(LEN($PG150)-LEN(SUBSTITUTE($PG150," · ","")))/3+1)</f>
        <v/>
      </c>
      <c r="PI150" s="152">
        <f>IF($MQ150=0,"",TEXTJOIN(" · ",TRUE,IF($OK150&gt;2*$MF150,"A devolução parou no teto de "&amp;2*$MF150,""),IF($ON150&gt;0,"Devolução perdida: "&amp;$ON150&amp;IF($ON150&gt;1," pontos"," ponto")&amp;" sem peça para pagar",""),IF(AND($NP150&gt;0,AND($MF150&gt;0,$NT150=0),$OQ150=0),"Controle sem dano: uma rodada a mais e CD +2",""),IF(AND($NP150&gt;0,AND($MF150&gt;0,$NT150=0),$OQ150&gt;0,$OQ150&lt;=$MF150),"Controle com saldo até a Classe: uma rodada a mais",""),IF(AND($MF150&gt;0,$NR150&lt;&gt;""),"Efeito de "&amp;$NR150&amp;" pela Classe "&amp;MAX(1,$MF150-1),"")))</f>
        <v/>
      </c>
      <c r="PJ150" s="152">
        <f>IF($PI150="",0,(LEN($PI150)-LEN(SUBSTITUTE($PI150," · ","")))/3+1)</f>
        <v/>
      </c>
      <c r="PK150" s="152">
        <f>IF($MQ150=0,IF($OH150+COUNTIF($MO150:$MP150,"?*")&gt;0,"Dê um nome",""),IF($PH150&gt;0,"⚠ "&amp;$PH150&amp;IF($PH150&gt;1," erros"," erro"),IF($PJ150&gt;0,"! "&amp;$PJ150&amp;IF($PJ150&gt;1," avisos"," aviso"),"Na regra")))</f>
        <v/>
      </c>
      <c r="PL150" s="152">
        <f>IF($MQ150=0,"",IF($PH150+$PJ150=0,"Dentro das regras que a ficha confere",$PG150&amp;IF(AND($PH150&gt;0,$PJ150&gt;0)," · ","")&amp;$PI150))</f>
        <v/>
      </c>
      <c r="PM150" s="152">
        <f>IF($MD150&gt;$MR150,$ME150&amp;" · ABRE NO NÍVEL "&amp;$MD150,$ME150)</f>
        <v/>
      </c>
      <c r="PN150" s="152">
        <f>IF($MQ150=0,"",IF($MF150=0,"Sem PE",3*$MF150&amp;" PE"))</f>
        <v/>
      </c>
      <c r="PO150" s="152">
        <f>IF($MQ150=0,"",IF($MF150=0,"A atuação básica dela",IF(COUNTIF($NX150:$NY150,"Atrasar")&gt;0,"Sua Ação Completa",IF(COUNTIF($MK150:$MN150,"Rápido")&gt;0,"Sua Bônus",IF(COUNTIF($MK150:$MN150,"Reação")&gt;0,"Sua Reação","Sua Padrão")))&amp;" + a básica dela"&amp;IF(COUNTIF($MK150:$MN150,"Reação")&gt;0," e a coletiva","")&amp;IF(COUNTIF($NX150:$NY150,"Carregar")&gt;0," · em dois turnos","")))</f>
        <v/>
      </c>
      <c r="PP150" s="152">
        <f>IF($MJ150&lt;&gt;"",$MJ150,IF($MW150=0,"",INDEX($AA$2:$AA$11,$MW150)))</f>
        <v/>
      </c>
      <c r="PQ150" s="152">
        <f>IF(OR($MQ150=0,$MW150=0),"",IF(COUNTIF($MK150:$MN150,"Inescapável")&gt;0,"Automático",IF($PP150="Ataque",IF($MU150="","Ataque","Ataque "&amp;IF(($MU150+2*IF(COUNTIF($MK150:$MN150,"Precisão")&gt;0,1,0))&gt;=0,"+","−")&amp;ABS(($MU150+2*IF(COUNTIF($MK150:$MN150,"Precisão")&gt;0,1,0))))&amp;IF($NQ150&gt;0," · TR"&amp;IF($MV150="",""," CD "&amp;$MV150),""),IF(LEFT($PP150,2)="TR",$PP150&amp;IF($MV150="",""," · CD "&amp;$MV150)&amp;IF(COUNTIF($MK150:$MN150,"Certeiro")&gt;0," · metade",""),"Sem rolagem"))))</f>
        <v/>
      </c>
      <c r="PR150" s="152">
        <f>IF(OR($MQ150=0,$MW150=0),"",IF($MF150=0,IF(OR($NT150&gt;=1,$OQ150=0),"Sem dano",$OQ150&amp;"d6"&amp;IF($MI150="",""," "&amp;$MI150)),IF(OR($NT150&gt;=1,$OQ150=0),UPPER(LEFT(INDEX($OZ150:$PF150,1,MAX(1,$MF150)),1))&amp;MID(INDEX($OZ150:$PF150,1,MAX(1,$MF150)),2,99),UPPER(LEFT(INDEX($OZ150:$PF150,1,MAX(1,$MF150)),1))&amp;MID(INDEX($OZ150:$PF150,1,MAX(1,$MF150)),2,99)&amp;IF($MI150="",""," "&amp;$MI150)&amp;IF($OR150&gt;0," · +"&amp;$OR150&amp;"d8",""))))</f>
        <v/>
      </c>
      <c r="PS150" s="152">
        <f>COUNTIF($MK150:$MN150,"Longe")+3*COUNTIF($MK150:$MN150,"Muito Longe")</f>
        <v/>
      </c>
      <c r="PT150" s="152">
        <f>COUNTIF($MK150:$MN150,"Maior")+3*COUNTIF($MK150:$MN150,"Muito Maior")</f>
        <v/>
      </c>
      <c r="PU150" s="152">
        <f>IF($MW150=0,0,CHOOSE(1+INDEX($AC$2:$AC$11,$MW150),0,$PS150,$PT150,$PS150+$PT150))</f>
        <v/>
      </c>
      <c r="PV150" s="152">
        <f>IF($MW150=0,0,CHOOSE(1+INDEX($AD$2:$AD$11,$MW150),0,$PS150,$PT150,$PS150+$PT150))</f>
        <v/>
      </c>
      <c r="PW150" s="152">
        <f>IF(OR($MQ150=0,$MW150=0),"",INDEX($AI$2:$AN$41,($MW150-1)*4+IF($MF150=0,1,IF($MF150&lt;=5,2,IF($MF150=6,3,4))),1+MIN(5,$PU150))&amp;INDEX($AO$2:$AT$41,($MW150-1)*4+IF($MF150=0,1,IF($MF150&lt;=5,2,IF($MF150=6,3,4))),1+MIN(5,$PV150))&amp;IF(INDEX($AE$2:$AE$11,$MW150)=1,IF(COUNTIF($MK150:$MN150,"Mais Um")&gt;0," · +"&amp;COUNTIF($MK150:$MN150,"Mais Um")&amp;IF(COUNTIF($MK150:$MN150,"Mais Um")&gt;1," alvos"," alvo"),"")&amp;IF(COUNTIF($MK150:$MN150,"Rajada")&gt;0,IF($MF150=0," · 1 tiro"," · "&amp;(MAX(1,$MF150-1)+1)&amp;" tiros"),""),""))</f>
        <v/>
      </c>
      <c r="PX150" s="152">
        <f>IF($MQ150=0,"",IF($MF150=0,$MT150&amp;"d6"&amp;IF($OH150&gt;0," − 1 = "&amp;$OQ150&amp;"d6"," da básica do nível "&amp;$MR150),$OO150&amp;" − "&amp;$OJ150&amp;" + "&amp;$OM150&amp;" = "&amp;$OP150&amp;" · teto "&amp;4*$MF150&amp;"d8"&amp;IF($NS150=1," · a Forma devolve "&amp;$MF150,"")&amp;IF($ON150&gt;0," · perde "&amp;$ON150,"")))</f>
        <v/>
      </c>
      <c r="PY150" s="152">
        <f>IF($MQ150=0,"",IF($MF150=0,"A básica não amplia: os dados dela sobem com o nível",IF($MF150&gt;=$MS150,"Já está na maior Classe que o nível liberou",TEXTJOIN(" · ",TRUE,IF(AND(2&gt;$MF150,2&lt;=$MS150),"2 → "&amp;$PA150&amp;", 6 PE",""),IF(AND(3&gt;$MF150,3&lt;=$MS150),"3 → "&amp;$PB150&amp;", 9 PE",""),IF(AND(4&gt;$MF150,4&lt;=$MS150),"4 → "&amp;$PC150&amp;", 12 PE",""),IF(AND(5&gt;$MF150,5&lt;=$MS150),"5 → "&amp;$PD150&amp;", 15 PE",""),IF(AND(6&gt;$MF150,6&lt;=$MS150),"6 → "&amp;$PE150&amp;", 18 PE",""),IF(AND(7&gt;$MF150,7&lt;=$MS150),"7 → "&amp;$PF150&amp;", 21 PE","")))))</f>
        <v/>
      </c>
      <c r="PZ150" s="152">
        <f>IF(OR($MQ150=0,$NB150=0),"",IF($MF150=0,"−1 dado","−"&amp;INDEX($I$2:$N$8,MAX(1,$MF150),MAX(1,$NG150))&amp;" · "&amp;CHOOSE(MAX(1,$NG150),"Leve","Média","Pesada","Leve · Livre","Média · Livre","Pesada · Livre")))</f>
        <v/>
      </c>
      <c r="QA150" s="152">
        <f>IF(OR($MQ150=0,$NC150=0),"",IF($MF150=0,"−1 dado","−"&amp;INDEX($I$2:$N$8,MAX(1,$MF150),MAX(1,$NH150))&amp;" · "&amp;CHOOSE(MAX(1,$NH150),"Leve","Média","Pesada","Leve · Livre","Média · Livre","Pesada · Livre")))</f>
        <v/>
      </c>
      <c r="QB150" s="152">
        <f>IF(OR($MQ150=0,$ND150=0),"",IF($MF150=0,"−1 dado","−"&amp;INDEX($I$2:$N$8,MAX(1,$MF150),MAX(1,$NI150))&amp;" · "&amp;CHOOSE(MAX(1,$NI150),"Leve","Média","Pesada","Leve · Livre","Média · Livre","Pesada · Livre")))</f>
        <v/>
      </c>
      <c r="QC150" s="152">
        <f>IF(OR($MQ150=0,$NE150=0),"",IF($MF150=0,"−1 dado","−"&amp;INDEX($I$2:$N$8,MAX(1,$MF150),MAX(1,$NJ150))&amp;" · "&amp;CHOOSE(MAX(1,$NJ150),"Leve","Média","Pesada","Leve · Livre","Média · Livre","Pesada · Livre")))</f>
        <v/>
      </c>
      <c r="QD150" s="152">
        <f>IF(OR($MQ150=0,$MO150=""),"",IF($MF150=0,"não devolve","+"&amp;IF($NV150=1,CEILING($MF150/2,1),$MF150)))</f>
        <v/>
      </c>
      <c r="QE150" s="152">
        <f>IF(OR($MQ150=0,$MP150=""),"",IF($MF150=0,"não devolve","+"&amp;IF($NW150=1,CEILING($MF150/2,1),$MF150)))</f>
        <v/>
      </c>
    </row>
    <row r="151">
      <c r="MA151" s="150" t="inlineStr">
        <is>
          <t>Ficha 12 · Especial 5</t>
        </is>
      </c>
      <c r="MB151" s="152" t="n">
        <v>12</v>
      </c>
      <c r="MC151" s="152" t="n">
        <v>1</v>
      </c>
      <c r="MD151" s="152" t="n">
        <v>16</v>
      </c>
      <c r="ME151" s="150" t="inlineStr">
        <is>
          <t>ESPECIAL 5</t>
        </is>
      </c>
      <c r="MF151" s="152">
        <f>MAX(1,MIN(7,N('INVOCAÇÕES'!$AB$1104)))</f>
        <v/>
      </c>
      <c r="MG151" s="152">
        <f>'INVOCAÇÕES'!$AC$1104&amp;""</f>
        <v/>
      </c>
      <c r="MH151" s="152">
        <f>'INVOCAÇÕES'!$AB$1109&amp;""</f>
        <v/>
      </c>
      <c r="MI151" s="152">
        <f>'INVOCAÇÕES'!$AB$1110&amp;""</f>
        <v/>
      </c>
      <c r="MJ151" s="152">
        <f>'INVOCAÇÕES'!$AD$1110&amp;""</f>
        <v/>
      </c>
      <c r="MK151" s="152">
        <f>'INVOCAÇÕES'!$AC$1113&amp;""</f>
        <v/>
      </c>
      <c r="ML151" s="152">
        <f>'INVOCAÇÕES'!$AC$1114&amp;""</f>
        <v/>
      </c>
      <c r="MM151" s="152">
        <f>'INVOCAÇÕES'!$AC$1115&amp;""</f>
        <v/>
      </c>
      <c r="MN151" s="152">
        <f>'INVOCAÇÕES'!$AC$1116&amp;""</f>
        <v/>
      </c>
      <c r="MO151" s="152">
        <f>'INVOCAÇÕES'!$AC$1117&amp;""</f>
        <v/>
      </c>
      <c r="MP151" s="152">
        <f>'INVOCAÇÕES'!$AC$1118&amp;""</f>
        <v/>
      </c>
      <c r="MQ151" s="152">
        <f>IF($MG151&lt;&gt;"",1,0)</f>
        <v/>
      </c>
      <c r="MR151" s="152">
        <f>INDEX($FI$2:$FI$13,$MB151)</f>
        <v/>
      </c>
      <c r="MS151" s="152">
        <f>INDEX($FJ$2:$FJ$13,$MB151)</f>
        <v/>
      </c>
      <c r="MT151" s="152">
        <f>INDEX($FK$2:$FK$13,$MB151)</f>
        <v/>
      </c>
      <c r="MU151" s="152">
        <f>INDEX($FV$2:$FV$13,$MB151)</f>
        <v/>
      </c>
      <c r="MV151" s="152">
        <f>INDEX($FW$2:$FW$13,$MB151)</f>
        <v/>
      </c>
      <c r="MW151" s="152">
        <f>IFERROR(MATCH($MH151,$V$2:$V$11,0),0)</f>
        <v/>
      </c>
      <c r="MX151" s="152">
        <f>IFERROR(VLOOKUP($MK151,$AV$2:$BA$84,2,FALSE),"")</f>
        <v/>
      </c>
      <c r="MY151" s="152">
        <f>IFERROR(VLOOKUP($ML151,$AV$2:$BA$84,2,FALSE),"")</f>
        <v/>
      </c>
      <c r="MZ151" s="152">
        <f>IFERROR(VLOOKUP($MM151,$AV$2:$BA$84,2,FALSE),"")</f>
        <v/>
      </c>
      <c r="NA151" s="152">
        <f>IFERROR(VLOOKUP($MN151,$AV$2:$BA$84,2,FALSE),"")</f>
        <v/>
      </c>
      <c r="NB151" s="152">
        <f>IFERROR(VLOOKUP($MK151,$AV$2:$BA$84,3,FALSE),0)</f>
        <v/>
      </c>
      <c r="NC151" s="152">
        <f>IFERROR(VLOOKUP($ML151,$AV$2:$BA$84,3,FALSE),0)</f>
        <v/>
      </c>
      <c r="ND151" s="152">
        <f>IFERROR(VLOOKUP($MM151,$AV$2:$BA$84,3,FALSE),0)</f>
        <v/>
      </c>
      <c r="NE151" s="152">
        <f>IFERROR(VLOOKUP($MN151,$AV$2:$BA$84,3,FALSE),0)</f>
        <v/>
      </c>
      <c r="NF151" s="152">
        <f>IF($MF151=0,0,IF($MW151=0,0,INDEX($X$2:$X$11,$MW151)))</f>
        <v/>
      </c>
      <c r="NG151" s="152">
        <f>IF(OR($NB151=0,$MF151=0),0,$NB151+3*IF(AND($MX151&lt;&gt;"",OR($MX151=INDEX($EF$2:$EF$13,$MB151),$MX151=INDEX($EG$2:$EG$13,$MB151))),1,0))</f>
        <v/>
      </c>
      <c r="NH151" s="152">
        <f>IF(OR($NC151=0,$MF151=0),0,$NC151+3*IF(AND($MY151&lt;&gt;"",OR($MY151=INDEX($EF$2:$EF$13,$MB151),$MY151=INDEX($EG$2:$EG$13,$MB151))),1,0))</f>
        <v/>
      </c>
      <c r="NI151" s="152">
        <f>IF(OR($ND151=0,$MF151=0),0,$ND151+3*IF(AND($MZ151&lt;&gt;"",OR($MZ151=INDEX($EF$2:$EF$13,$MB151),$MZ151=INDEX($EG$2:$EG$13,$MB151))),1,0))</f>
        <v/>
      </c>
      <c r="NJ151" s="152">
        <f>IF(OR($NE151=0,$MF151=0),0,$NE151+3*IF(AND($NA151&lt;&gt;"",OR($NA151=INDEX($EF$2:$EF$13,$MB151),$NA151=INDEX($EG$2:$EG$13,$MB151))),1,0))</f>
        <v/>
      </c>
      <c r="NK151" s="152">
        <f>IF($MW151=0,0,IF(INDEX($W$2:$W$11,$MW151)="",0,IF(COUNTIF(INDEX($EF$2:$EJ$13,$MB151,0),INDEX($W$2:$W$11,$MW151))=0,1,0)))</f>
        <v/>
      </c>
      <c r="NL151" s="152">
        <f>IF(OR($NB151=0,$MX151=""),0,IF(COUNTIF(INDEX($EF$2:$EJ$13,$MB151,0),$MX151)=0,1,0))</f>
        <v/>
      </c>
      <c r="NM151" s="152">
        <f>IF(OR($NC151=0,$MY151=""),0,IF(COUNTIF(INDEX($EF$2:$EJ$13,$MB151,0),$MY151)=0,1,0))</f>
        <v/>
      </c>
      <c r="NN151" s="152">
        <f>IF(OR($ND151=0,$MZ151=""),0,IF(COUNTIF(INDEX($EF$2:$EJ$13,$MB151,0),$MZ151)=0,1,0))</f>
        <v/>
      </c>
      <c r="NO151" s="152">
        <f>IF(OR($NE151=0,$NA151=""),0,IF(COUNTIF(INDEX($EF$2:$EJ$13,$MB151,0),$NA151)=0,1,0))</f>
        <v/>
      </c>
      <c r="NP151" s="152">
        <f>IFERROR(VLOOKUP($MK151,$AV$2:$BA$84,4,FALSE),0)+IFERROR(VLOOKUP($ML151,$AV$2:$BA$84,4,FALSE),0)+IFERROR(VLOOKUP($MM151,$AV$2:$BA$84,4,FALSE),0)+IFERROR(VLOOKUP($MN151,$AV$2:$BA$84,4,FALSE),0)</f>
        <v/>
      </c>
      <c r="NQ151" s="152">
        <f>IFERROR(VLOOKUP($MK151,$AV$2:$BA$84,6,FALSE),0)+IFERROR(VLOOKUP($ML151,$AV$2:$BA$84,6,FALSE),0)+IFERROR(VLOOKUP($MM151,$AV$2:$BA$84,6,FALSE),0)+IFERROR(VLOOKUP($MN151,$AV$2:$BA$84,6,FALSE),0)</f>
        <v/>
      </c>
      <c r="NR151" s="152">
        <f>TEXTJOIN(", ",TRUE,IF(IFERROR(VLOOKUP($MK151,$AV$2:$BA$84,5,FALSE),0)=1,$MK151,""),IF(IFERROR(VLOOKUP($ML151,$AV$2:$BA$84,5,FALSE),0)=1,$ML151,""),IF(IFERROR(VLOOKUP($MM151,$AV$2:$BA$84,5,FALSE),0)=1,$MM151,""),IF(IFERROR(VLOOKUP($MN151,$AV$2:$BA$84,5,FALSE),0)=1,$MN151,""))</f>
        <v/>
      </c>
      <c r="NS151" s="152">
        <f>IF($MW151=0,0,INDEX($Y$2:$Y$11,$MW151))</f>
        <v/>
      </c>
      <c r="NT151" s="152">
        <f>IF($MW151=0,0,INDEX($Z$2:$Z$11,$MW151))</f>
        <v/>
      </c>
      <c r="NU151" s="152">
        <f>IF($MW151=0,0,INDEX($AB$2:$AB$11,$MW151))</f>
        <v/>
      </c>
      <c r="NV151" s="152">
        <f>IFERROR(VLOOKUP($MO151,$BC$2:$BG$24,3,FALSE),0)</f>
        <v/>
      </c>
      <c r="NW151" s="152">
        <f>IFERROR(VLOOKUP($MP151,$BC$2:$BG$24,3,FALSE),0)</f>
        <v/>
      </c>
      <c r="NX151" s="152">
        <f>IFERROR(VLOOKUP($MO151,$BC$2:$BG$24,2,FALSE),"")</f>
        <v/>
      </c>
      <c r="NY151" s="152">
        <f>IFERROR(VLOOKUP($MP151,$BC$2:$BG$24,2,FALSE),"")</f>
        <v/>
      </c>
      <c r="NZ151" s="152">
        <f>COUNTIF($NF151:$NJ151,1)</f>
        <v/>
      </c>
      <c r="OA151" s="152">
        <f>COUNTIF($NF151:$NJ151,2)</f>
        <v/>
      </c>
      <c r="OB151" s="152">
        <f>COUNTIF($NF151:$NJ151,3)</f>
        <v/>
      </c>
      <c r="OC151" s="152">
        <f>COUNTIF($NF151:$NJ151,4)</f>
        <v/>
      </c>
      <c r="OD151" s="152">
        <f>COUNTIF($NF151:$NJ151,5)</f>
        <v/>
      </c>
      <c r="OE151" s="152">
        <f>COUNTIF($NF151:$NJ151,6)</f>
        <v/>
      </c>
      <c r="OF151" s="152">
        <f>COUNTIF($NV151:$NW151,1)</f>
        <v/>
      </c>
      <c r="OG151" s="152">
        <f>COUNTIF($NV151:$NW151,2)+$NS151</f>
        <v/>
      </c>
      <c r="OH151" s="152">
        <f>COUNTIF($MK151:$MN151,"?*")</f>
        <v/>
      </c>
      <c r="OI151" s="152">
        <f>COUNTIF($MO151:$MP151,"?*")+$NS151</f>
        <v/>
      </c>
      <c r="OJ151" s="152">
        <f>IF($MF151=0,0,SUMPRODUCT($NZ151:$OE151,INDEX($I$2:$N$8,MAX(1,$MF151),0)))</f>
        <v/>
      </c>
      <c r="OK151" s="152">
        <f>IF($MF151=0,0,$OF151*CEILING($MF151/2,1)+$OG151*$MF151)</f>
        <v/>
      </c>
      <c r="OL151" s="152">
        <f>MIN(2*$MF151,$OK151)</f>
        <v/>
      </c>
      <c r="OM151" s="152">
        <f>MIN($OL151,$OJ151)</f>
        <v/>
      </c>
      <c r="ON151" s="152">
        <f>$OL151-$OM151</f>
        <v/>
      </c>
      <c r="OO151" s="152">
        <f>IF($MF151=0,0,INDEX($P$2:$P$8,MAX(1,$MF151)))</f>
        <v/>
      </c>
      <c r="OP151" s="152">
        <f>$OO151-$OJ151+$OM151</f>
        <v/>
      </c>
      <c r="OQ151" s="152">
        <f>IF($MF151=0,MAX(0,$MT151-IF($OH151&gt;0,1,0)),MAX(0,$OP151))</f>
        <v/>
      </c>
      <c r="OR151" s="152">
        <f>IF($MF151=0,0,(IF(COUNTIF($MK151:$MN151,"Salto")&gt;0,1,0)+IF(COUNTIF($MK151:$MN151,"Queima")&gt;0,1,0)+IF(COUNTIF($MK151:$MN151,"Estilhaço")&gt;0,1,0))*FLOOR($OQ151/2,1))</f>
        <v/>
      </c>
      <c r="OS151" s="152">
        <f>MAX(0,2-SUMPRODUCT($NZ151:$OE151,$I$2:$N$2)+MIN(2,$OF151*1+$OG151*1,SUMPRODUCT($NZ151:$OE151,$I$2:$N$2)))</f>
        <v/>
      </c>
      <c r="OT151" s="152">
        <f>MAX(0,4-SUMPRODUCT($NZ151:$OE151,$I$3:$N$3)+MIN(4,$OF151*1+$OG151*2,SUMPRODUCT($NZ151:$OE151,$I$3:$N$3)))</f>
        <v/>
      </c>
      <c r="OU151" s="152">
        <f>MAX(0,6-SUMPRODUCT($NZ151:$OE151,$I$4:$N$4)+MIN(6,$OF151*2+$OG151*3,SUMPRODUCT($NZ151:$OE151,$I$4:$N$4)))</f>
        <v/>
      </c>
      <c r="OV151" s="152">
        <f>MAX(0,9-SUMPRODUCT($NZ151:$OE151,$I$5:$N$5)+MIN(8,$OF151*2+$OG151*4,SUMPRODUCT($NZ151:$OE151,$I$5:$N$5)))</f>
        <v/>
      </c>
      <c r="OW151" s="152">
        <f>MAX(0,11-SUMPRODUCT($NZ151:$OE151,$I$6:$N$6)+MIN(10,$OF151*3+$OG151*5,SUMPRODUCT($NZ151:$OE151,$I$6:$N$6)))</f>
        <v/>
      </c>
      <c r="OX151" s="152">
        <f>MAX(0,13-SUMPRODUCT($NZ151:$OE151,$I$7:$N$7)+MIN(12,$OF151*3+$OG151*6,SUMPRODUCT($NZ151:$OE151,$I$7:$N$7)))</f>
        <v/>
      </c>
      <c r="OY151" s="152">
        <f>MAX(0,16-SUMPRODUCT($NZ151:$OE151,$I$8:$N$8)+MIN(14,$OF151*4+$OG151*7,SUMPRODUCT($NZ151:$OE151,$I$8:$N$8)))</f>
        <v/>
      </c>
      <c r="OZ151" s="152">
        <f>IF($NT151=2,3*$OS151&amp;" de vida temp.",IF($NT151=3,"sem dano",IF($OS151=0,IF($NT151=1,"sem cura","sem dano"),IF($NT151=1,"cura ","")&amp;$OS151&amp;"d8")))</f>
        <v/>
      </c>
      <c r="PA151" s="152">
        <f>IF($NT151=2,3*$OT151&amp;" de vida temp.",IF($NT151=3,"sem dano",IF($OT151=0,IF($NT151=1,"sem cura","sem dano"),IF($NT151=1,"cura ","")&amp;$OT151&amp;"d8")))</f>
        <v/>
      </c>
      <c r="PB151" s="152">
        <f>IF($NT151=2,3*$OU151&amp;" de vida temp.",IF($NT151=3,"sem dano",IF($OU151=0,IF($NT151=1,"sem cura","sem dano"),IF($NT151=1,"cura ","")&amp;$OU151&amp;"d8")))</f>
        <v/>
      </c>
      <c r="PC151" s="152">
        <f>IF($NT151=2,3*$OV151&amp;" de vida temp.",IF($NT151=3,"sem dano",IF($OV151=0,IF($NT151=1,"sem cura","sem dano"),IF($NT151=1,"cura ","")&amp;$OV151&amp;"d8")))</f>
        <v/>
      </c>
      <c r="PD151" s="152">
        <f>IF($NT151=2,3*$OW151&amp;" de vida temp.",IF($NT151=3,"sem dano",IF($OW151=0,IF($NT151=1,"sem cura","sem dano"),IF($NT151=1,"cura ","")&amp;$OW151&amp;"d8")))</f>
        <v/>
      </c>
      <c r="PE151" s="152">
        <f>IF($NT151=2,3*$OX151&amp;" de vida temp.",IF($NT151=3,"sem dano",IF($OX151=0,IF($NT151=1,"sem cura","sem dano"),IF($NT151=1,"cura ","")&amp;$OX151&amp;"d8")))</f>
        <v/>
      </c>
      <c r="PF151" s="152">
        <f>IF($NT151=2,3*$OY151&amp;" de vida temp.",IF($NT151=3,"sem dano",IF($OY151=0,IF($NT151=1,"sem cura","sem dano"),IF($NT151=1,"cura ","")&amp;$OY151&amp;"d8")))</f>
        <v/>
      </c>
      <c r="PG151" s="152">
        <f>IF($MQ151=0,"",TEXTJOIN(" · ",TRUE,IF($MD151&gt;$MR151,"Este lugar abre no nível "&amp;$MD151,""),IF($MF151&gt;$MS151,"Classe "&amp;$MF151&amp;": o nível "&amp;$MR151&amp;" libera até a "&amp;$MS151,""),IF($NK151=1,"A Forma "&amp;$MH151&amp;" pede "&amp;INDEX($W$2:$W$11,$MW151)&amp;" aberta",""),IF(AND($MF151=0,$MW151&gt;0,IF($MW151=0,0,INDEX($AF$2:$AF$11,$MW151))=0),$MH151&amp;" não existe na Classe 0",""),IF($NL151=1,"Família Fechada: "&amp;$MK151,""),IF($NM151=1,"Família Fechada: "&amp;$ML151,""),IF($NN151=1,"Família Fechada: "&amp;$MM151,""),IF($NO151=1,"Família Fechada: "&amp;$MN151,""),IF(AND($MF151&gt;0,$OH151&gt;INDEX($O$2:$O$8,MAX(1,$MF151))),$OH151&amp;" Melhorias: a Classe "&amp;$MF151&amp;" aceita "&amp;INDEX($O$2:$O$8,MAX(1,$MF151)),""),IF(AND($MF151=0,$OH151&gt;1),"A básica aceita uma Melhoria",""),IF(AND($MF151=0,COUNTIF($NB151:$NE151,"&gt;1")&gt;0),"A básica só aceita Melhoria Leve",""),IF(AND($MF151&gt;0,$OI151&gt;2),$OI151&amp;" Restrições"&amp;IF($NS151=1,", contando a que a Forma "&amp;$MH151&amp;" já traz","")&amp;": o limite é 2",""),IF(AND($MF151=0,COUNTIF($MO151:$MP151,"?*")&gt;1),"A básica aceita uma Restrição Leve",""),IF(AND($MF151=0,COUNTIF($NV151:$NW151,2)&gt;0),"A básica só aceita Restrição Leve",""),IF(AND($MF151&gt;0,$OP151&lt;0),"Orçamento estourado: faltam "&amp;(-$OP151)&amp;IF($OP151&lt;-1," pontos"," ponto"),""),IF(IFERROR(VLOOKUP($MO151,$BC$2:$BG$24,4,FALSE),0)+IFERROR(VLOOKUP($MP151,$BC$2:$BG$24,4,FALSE),0)&gt;1,$NX151&amp;" e "&amp;$NY151&amp;" são as duas de frequência",""),IF(AND((COUNTIF($MK151:$MN151,"Rápido")+COUNTIF($NX151:$NY151,"Rápido"))&gt;0,(COUNTIF($MK151:$MN151,"Atrasar")+COUNTIF($NX151:$NY151,"Atrasar"))&gt;0),"Rápido não entra com Atrasar",""),IF(AND((COUNTIF($MK151:$MN151,"Reação")+COUNTIF($NX151:$NY151,"Reação"))&gt;0,(COUNTIF($MK151:$MN151,"Rápido")+COUNTIF($NX151:$NY151,"Rápido"))&gt;0),"Reação não entra com Rápido",""),IF(AND((COUNTIF($MK151:$MN151,"Reação")+COUNTIF($NX151:$NY151,"Reação"))&gt;0,(COUNTIF($MK151:$MN151,"Armado")+COUNTIF($NX151:$NY151,"Armado"))&gt;0),"Reação não entra com Armado",""),IF(AND((COUNTIF($MK151:$MN151,"Reação")+COUNTIF($NX151:$NY151,"Reação"))&gt;0,(COUNTIF($MK151:$MN151,"Atrasar")+COUNTIF($NX151:$NY151,"Atrasar"))&gt;0),"Reação não entra com Atrasar",""),IF(AND((COUNTIF($MK151:$MN151,"Reação")+COUNTIF($NX151:$NY151,"Reação"))&gt;0,(COUNTIF($MK151:$MN151,"Parado")+COUNTIF($NX151:$NY151,"Parado"))&gt;0),"Reação não entra com Parado",""),IF(AND((COUNTIF($MK151:$MN151,"Atrasar")+COUNTIF($NX151:$NY151,"Atrasar"))&gt;0,(COUNTIF($MK151:$MN151,"Parado")+COUNTIF($NX151:$NY151,"Parado"))&gt;0),"Atrasar não entra com Parado",""),IF(AND((COUNTIF($MK151:$MN151,"Armado")+COUNTIF($NX151:$NY151,"Armado"))&gt;0,(COUNTIF($MK151:$MN151,"Carregar")+COUNTIF($NX151:$NY151,"Carregar"))&gt;0),"Armado não entra com Carregar",""),IF(AND(COUNTIF($NX151:$NY151,"Corpo a Corpo")&gt;0,$NS151=0,OR($MH151="Cone",$MH151="Linha")),"Corpo a Corpo não entra em "&amp;$MH151,""),IF(AND(COUNTIF($NX151:$NY151,"Corpo a Corpo")&gt;0,$NS151=1),"A Forma "&amp;$MH151&amp;" já traz o Corpo a Corpo",""),IF(AND(COUNTIF($NX151:$NY151,"Tudo ou Nada")&gt;0,$NU151=0),"Tudo ou Nada só entra em habilidade de Teste de Resistência",""),IF(AND(COUNTIF($MK151:$MN151,"Inescapável")&gt;0,OR($OH151&gt;1,$OI151&gt;0)),"Inescapável não aceita outra peça",""),IF(AND($MF151&gt;0,$OQ151*IF(COUNTIF($MK151:$MN151,"Remate")&gt;0,1.25,1)+$OR151&gt;4*$MF151),($OQ151*IF(COUNTIF($MK151:$MN151,"Remate")&gt;0,1.25,1)+$OR151)&amp;" dados somando repetições"&amp;IF(COUNTIF($MK151:$MN151,"Remate")&gt;0," e o Remate","")&amp;": o teto da Classe "&amp;$MF151&amp;" é "&amp;4*$MF151,"")))</f>
        <v/>
      </c>
      <c r="PH151" s="152">
        <f>IF($PG151="",0,(LEN($PG151)-LEN(SUBSTITUTE($PG151," · ","")))/3+1)</f>
        <v/>
      </c>
      <c r="PI151" s="152">
        <f>IF($MQ151=0,"",TEXTJOIN(" · ",TRUE,IF($OK151&gt;2*$MF151,"A devolução parou no teto de "&amp;2*$MF151,""),IF($ON151&gt;0,"Devolução perdida: "&amp;$ON151&amp;IF($ON151&gt;1," pontos"," ponto")&amp;" sem peça para pagar",""),IF(AND($NP151&gt;0,AND($MF151&gt;0,$NT151=0),$OQ151=0),"Controle sem dano: uma rodada a mais e CD +2",""),IF(AND($NP151&gt;0,AND($MF151&gt;0,$NT151=0),$OQ151&gt;0,$OQ151&lt;=$MF151),"Controle com saldo até a Classe: uma rodada a mais",""),IF(AND($MF151&gt;0,$NR151&lt;&gt;""),"Efeito de "&amp;$NR151&amp;" pela Classe "&amp;MAX(1,$MF151-1),"")))</f>
        <v/>
      </c>
      <c r="PJ151" s="152">
        <f>IF($PI151="",0,(LEN($PI151)-LEN(SUBSTITUTE($PI151," · ","")))/3+1)</f>
        <v/>
      </c>
      <c r="PK151" s="152">
        <f>IF($MQ151=0,IF($OH151+COUNTIF($MO151:$MP151,"?*")&gt;0,"Dê um nome",""),IF($PH151&gt;0,"⚠ "&amp;$PH151&amp;IF($PH151&gt;1," erros"," erro"),IF($PJ151&gt;0,"! "&amp;$PJ151&amp;IF($PJ151&gt;1," avisos"," aviso"),"Na regra")))</f>
        <v/>
      </c>
      <c r="PL151" s="152">
        <f>IF($MQ151=0,"",IF($PH151+$PJ151=0,"Dentro das regras que a ficha confere",$PG151&amp;IF(AND($PH151&gt;0,$PJ151&gt;0)," · ","")&amp;$PI151))</f>
        <v/>
      </c>
      <c r="PM151" s="152">
        <f>IF($MD151&gt;$MR151,$ME151&amp;" · ABRE NO NÍVEL "&amp;$MD151,$ME151)</f>
        <v/>
      </c>
      <c r="PN151" s="152">
        <f>IF($MQ151=0,"",IF($MF151=0,"Sem PE",3*$MF151&amp;" PE"))</f>
        <v/>
      </c>
      <c r="PO151" s="152">
        <f>IF($MQ151=0,"",IF($MF151=0,"A atuação básica dela",IF(COUNTIF($NX151:$NY151,"Atrasar")&gt;0,"Sua Ação Completa",IF(COUNTIF($MK151:$MN151,"Rápido")&gt;0,"Sua Bônus",IF(COUNTIF($MK151:$MN151,"Reação")&gt;0,"Sua Reação","Sua Padrão")))&amp;" + a básica dela"&amp;IF(COUNTIF($MK151:$MN151,"Reação")&gt;0," e a coletiva","")&amp;IF(COUNTIF($NX151:$NY151,"Carregar")&gt;0," · em dois turnos","")))</f>
        <v/>
      </c>
      <c r="PP151" s="152">
        <f>IF($MJ151&lt;&gt;"",$MJ151,IF($MW151=0,"",INDEX($AA$2:$AA$11,$MW151)))</f>
        <v/>
      </c>
      <c r="PQ151" s="152">
        <f>IF(OR($MQ151=0,$MW151=0),"",IF(COUNTIF($MK151:$MN151,"Inescapável")&gt;0,"Automático",IF($PP151="Ataque",IF($MU151="","Ataque","Ataque "&amp;IF(($MU151+2*IF(COUNTIF($MK151:$MN151,"Precisão")&gt;0,1,0))&gt;=0,"+","−")&amp;ABS(($MU151+2*IF(COUNTIF($MK151:$MN151,"Precisão")&gt;0,1,0))))&amp;IF($NQ151&gt;0," · TR"&amp;IF($MV151="",""," CD "&amp;$MV151),""),IF(LEFT($PP151,2)="TR",$PP151&amp;IF($MV151="",""," · CD "&amp;$MV151)&amp;IF(COUNTIF($MK151:$MN151,"Certeiro")&gt;0," · metade",""),"Sem rolagem"))))</f>
        <v/>
      </c>
      <c r="PR151" s="152">
        <f>IF(OR($MQ151=0,$MW151=0),"",IF($MF151=0,IF(OR($NT151&gt;=1,$OQ151=0),"Sem dano",$OQ151&amp;"d6"&amp;IF($MI151="",""," "&amp;$MI151)),IF(OR($NT151&gt;=1,$OQ151=0),UPPER(LEFT(INDEX($OZ151:$PF151,1,MAX(1,$MF151)),1))&amp;MID(INDEX($OZ151:$PF151,1,MAX(1,$MF151)),2,99),UPPER(LEFT(INDEX($OZ151:$PF151,1,MAX(1,$MF151)),1))&amp;MID(INDEX($OZ151:$PF151,1,MAX(1,$MF151)),2,99)&amp;IF($MI151="",""," "&amp;$MI151)&amp;IF($OR151&gt;0," · +"&amp;$OR151&amp;"d8",""))))</f>
        <v/>
      </c>
      <c r="PS151" s="152">
        <f>COUNTIF($MK151:$MN151,"Longe")+3*COUNTIF($MK151:$MN151,"Muito Longe")</f>
        <v/>
      </c>
      <c r="PT151" s="152">
        <f>COUNTIF($MK151:$MN151,"Maior")+3*COUNTIF($MK151:$MN151,"Muito Maior")</f>
        <v/>
      </c>
      <c r="PU151" s="152">
        <f>IF($MW151=0,0,CHOOSE(1+INDEX($AC$2:$AC$11,$MW151),0,$PS151,$PT151,$PS151+$PT151))</f>
        <v/>
      </c>
      <c r="PV151" s="152">
        <f>IF($MW151=0,0,CHOOSE(1+INDEX($AD$2:$AD$11,$MW151),0,$PS151,$PT151,$PS151+$PT151))</f>
        <v/>
      </c>
      <c r="PW151" s="152">
        <f>IF(OR($MQ151=0,$MW151=0),"",INDEX($AI$2:$AN$41,($MW151-1)*4+IF($MF151=0,1,IF($MF151&lt;=5,2,IF($MF151=6,3,4))),1+MIN(5,$PU151))&amp;INDEX($AO$2:$AT$41,($MW151-1)*4+IF($MF151=0,1,IF($MF151&lt;=5,2,IF($MF151=6,3,4))),1+MIN(5,$PV151))&amp;IF(INDEX($AE$2:$AE$11,$MW151)=1,IF(COUNTIF($MK151:$MN151,"Mais Um")&gt;0," · +"&amp;COUNTIF($MK151:$MN151,"Mais Um")&amp;IF(COUNTIF($MK151:$MN151,"Mais Um")&gt;1," alvos"," alvo"),"")&amp;IF(COUNTIF($MK151:$MN151,"Rajada")&gt;0,IF($MF151=0," · 1 tiro"," · "&amp;(MAX(1,$MF151-1)+1)&amp;" tiros"),""),""))</f>
        <v/>
      </c>
      <c r="PX151" s="152">
        <f>IF($MQ151=0,"",IF($MF151=0,$MT151&amp;"d6"&amp;IF($OH151&gt;0," − 1 = "&amp;$OQ151&amp;"d6"," da básica do nível "&amp;$MR151),$OO151&amp;" − "&amp;$OJ151&amp;" + "&amp;$OM151&amp;" = "&amp;$OP151&amp;" · teto "&amp;4*$MF151&amp;"d8"&amp;IF($NS151=1," · a Forma devolve "&amp;$MF151,"")&amp;IF($ON151&gt;0," · perde "&amp;$ON151,"")))</f>
        <v/>
      </c>
      <c r="PY151" s="152">
        <f>IF($MQ151=0,"",IF($MF151=0,"A básica não amplia: os dados dela sobem com o nível",IF($MF151&gt;=$MS151,"Já está na maior Classe que o nível liberou",TEXTJOIN(" · ",TRUE,IF(AND(2&gt;$MF151,2&lt;=$MS151),"2 → "&amp;$PA151&amp;", 6 PE",""),IF(AND(3&gt;$MF151,3&lt;=$MS151),"3 → "&amp;$PB151&amp;", 9 PE",""),IF(AND(4&gt;$MF151,4&lt;=$MS151),"4 → "&amp;$PC151&amp;", 12 PE",""),IF(AND(5&gt;$MF151,5&lt;=$MS151),"5 → "&amp;$PD151&amp;", 15 PE",""),IF(AND(6&gt;$MF151,6&lt;=$MS151),"6 → "&amp;$PE151&amp;", 18 PE",""),IF(AND(7&gt;$MF151,7&lt;=$MS151),"7 → "&amp;$PF151&amp;", 21 PE","")))))</f>
        <v/>
      </c>
      <c r="PZ151" s="152">
        <f>IF(OR($MQ151=0,$NB151=0),"",IF($MF151=0,"−1 dado","−"&amp;INDEX($I$2:$N$8,MAX(1,$MF151),MAX(1,$NG151))&amp;" · "&amp;CHOOSE(MAX(1,$NG151),"Leve","Média","Pesada","Leve · Livre","Média · Livre","Pesada · Livre")))</f>
        <v/>
      </c>
      <c r="QA151" s="152">
        <f>IF(OR($MQ151=0,$NC151=0),"",IF($MF151=0,"−1 dado","−"&amp;INDEX($I$2:$N$8,MAX(1,$MF151),MAX(1,$NH151))&amp;" · "&amp;CHOOSE(MAX(1,$NH151),"Leve","Média","Pesada","Leve · Livre","Média · Livre","Pesada · Livre")))</f>
        <v/>
      </c>
      <c r="QB151" s="152">
        <f>IF(OR($MQ151=0,$ND151=0),"",IF($MF151=0,"−1 dado","−"&amp;INDEX($I$2:$N$8,MAX(1,$MF151),MAX(1,$NI151))&amp;" · "&amp;CHOOSE(MAX(1,$NI151),"Leve","Média","Pesada","Leve · Livre","Média · Livre","Pesada · Livre")))</f>
        <v/>
      </c>
      <c r="QC151" s="152">
        <f>IF(OR($MQ151=0,$NE151=0),"",IF($MF151=0,"−1 dado","−"&amp;INDEX($I$2:$N$8,MAX(1,$MF151),MAX(1,$NJ151))&amp;" · "&amp;CHOOSE(MAX(1,$NJ151),"Leve","Média","Pesada","Leve · Livre","Média · Livre","Pesada · Livre")))</f>
        <v/>
      </c>
      <c r="QD151" s="152">
        <f>IF(OR($MQ151=0,$MO151=""),"",IF($MF151=0,"não devolve","+"&amp;IF($NV151=1,CEILING($MF151/2,1),$MF151)))</f>
        <v/>
      </c>
      <c r="QE151" s="152">
        <f>IF(OR($MQ151=0,$MP151=""),"",IF($MF151=0,"não devolve","+"&amp;IF($NW151=1,CEILING($MF151/2,1),$MF151)))</f>
        <v/>
      </c>
    </row>
    <row r="152">
      <c r="MA152" s="150" t="inlineStr">
        <is>
          <t>Ficha 12 · Especial 6</t>
        </is>
      </c>
      <c r="MB152" s="152" t="n">
        <v>12</v>
      </c>
      <c r="MC152" s="152" t="n">
        <v>1</v>
      </c>
      <c r="MD152" s="152" t="n">
        <v>20</v>
      </c>
      <c r="ME152" s="150" t="inlineStr">
        <is>
          <t>ESPECIAL 6</t>
        </is>
      </c>
      <c r="MF152" s="152">
        <f>MAX(1,MIN(7,N('INVOCAÇÕES'!$AH$1104)))</f>
        <v/>
      </c>
      <c r="MG152" s="152">
        <f>'INVOCAÇÕES'!$AI$1104&amp;""</f>
        <v/>
      </c>
      <c r="MH152" s="152">
        <f>'INVOCAÇÕES'!$AH$1109&amp;""</f>
        <v/>
      </c>
      <c r="MI152" s="152">
        <f>'INVOCAÇÕES'!$AH$1110&amp;""</f>
        <v/>
      </c>
      <c r="MJ152" s="152">
        <f>'INVOCAÇÕES'!$AJ$1110&amp;""</f>
        <v/>
      </c>
      <c r="MK152" s="152">
        <f>'INVOCAÇÕES'!$AI$1113&amp;""</f>
        <v/>
      </c>
      <c r="ML152" s="152">
        <f>'INVOCAÇÕES'!$AI$1114&amp;""</f>
        <v/>
      </c>
      <c r="MM152" s="152">
        <f>'INVOCAÇÕES'!$AI$1115&amp;""</f>
        <v/>
      </c>
      <c r="MN152" s="152">
        <f>'INVOCAÇÕES'!$AI$1116&amp;""</f>
        <v/>
      </c>
      <c r="MO152" s="152">
        <f>'INVOCAÇÕES'!$AI$1117&amp;""</f>
        <v/>
      </c>
      <c r="MP152" s="152">
        <f>'INVOCAÇÕES'!$AI$1118&amp;""</f>
        <v/>
      </c>
      <c r="MQ152" s="152">
        <f>IF($MG152&lt;&gt;"",1,0)</f>
        <v/>
      </c>
      <c r="MR152" s="152">
        <f>INDEX($FI$2:$FI$13,$MB152)</f>
        <v/>
      </c>
      <c r="MS152" s="152">
        <f>INDEX($FJ$2:$FJ$13,$MB152)</f>
        <v/>
      </c>
      <c r="MT152" s="152">
        <f>INDEX($FK$2:$FK$13,$MB152)</f>
        <v/>
      </c>
      <c r="MU152" s="152">
        <f>INDEX($FV$2:$FV$13,$MB152)</f>
        <v/>
      </c>
      <c r="MV152" s="152">
        <f>INDEX($FW$2:$FW$13,$MB152)</f>
        <v/>
      </c>
      <c r="MW152" s="152">
        <f>IFERROR(MATCH($MH152,$V$2:$V$11,0),0)</f>
        <v/>
      </c>
      <c r="MX152" s="152">
        <f>IFERROR(VLOOKUP($MK152,$AV$2:$BA$84,2,FALSE),"")</f>
        <v/>
      </c>
      <c r="MY152" s="152">
        <f>IFERROR(VLOOKUP($ML152,$AV$2:$BA$84,2,FALSE),"")</f>
        <v/>
      </c>
      <c r="MZ152" s="152">
        <f>IFERROR(VLOOKUP($MM152,$AV$2:$BA$84,2,FALSE),"")</f>
        <v/>
      </c>
      <c r="NA152" s="152">
        <f>IFERROR(VLOOKUP($MN152,$AV$2:$BA$84,2,FALSE),"")</f>
        <v/>
      </c>
      <c r="NB152" s="152">
        <f>IFERROR(VLOOKUP($MK152,$AV$2:$BA$84,3,FALSE),0)</f>
        <v/>
      </c>
      <c r="NC152" s="152">
        <f>IFERROR(VLOOKUP($ML152,$AV$2:$BA$84,3,FALSE),0)</f>
        <v/>
      </c>
      <c r="ND152" s="152">
        <f>IFERROR(VLOOKUP($MM152,$AV$2:$BA$84,3,FALSE),0)</f>
        <v/>
      </c>
      <c r="NE152" s="152">
        <f>IFERROR(VLOOKUP($MN152,$AV$2:$BA$84,3,FALSE),0)</f>
        <v/>
      </c>
      <c r="NF152" s="152">
        <f>IF($MF152=0,0,IF($MW152=0,0,INDEX($X$2:$X$11,$MW152)))</f>
        <v/>
      </c>
      <c r="NG152" s="152">
        <f>IF(OR($NB152=0,$MF152=0),0,$NB152+3*IF(AND($MX152&lt;&gt;"",OR($MX152=INDEX($EF$2:$EF$13,$MB152),$MX152=INDEX($EG$2:$EG$13,$MB152))),1,0))</f>
        <v/>
      </c>
      <c r="NH152" s="152">
        <f>IF(OR($NC152=0,$MF152=0),0,$NC152+3*IF(AND($MY152&lt;&gt;"",OR($MY152=INDEX($EF$2:$EF$13,$MB152),$MY152=INDEX($EG$2:$EG$13,$MB152))),1,0))</f>
        <v/>
      </c>
      <c r="NI152" s="152">
        <f>IF(OR($ND152=0,$MF152=0),0,$ND152+3*IF(AND($MZ152&lt;&gt;"",OR($MZ152=INDEX($EF$2:$EF$13,$MB152),$MZ152=INDEX($EG$2:$EG$13,$MB152))),1,0))</f>
        <v/>
      </c>
      <c r="NJ152" s="152">
        <f>IF(OR($NE152=0,$MF152=0),0,$NE152+3*IF(AND($NA152&lt;&gt;"",OR($NA152=INDEX($EF$2:$EF$13,$MB152),$NA152=INDEX($EG$2:$EG$13,$MB152))),1,0))</f>
        <v/>
      </c>
      <c r="NK152" s="152">
        <f>IF($MW152=0,0,IF(INDEX($W$2:$W$11,$MW152)="",0,IF(COUNTIF(INDEX($EF$2:$EJ$13,$MB152,0),INDEX($W$2:$W$11,$MW152))=0,1,0)))</f>
        <v/>
      </c>
      <c r="NL152" s="152">
        <f>IF(OR($NB152=0,$MX152=""),0,IF(COUNTIF(INDEX($EF$2:$EJ$13,$MB152,0),$MX152)=0,1,0))</f>
        <v/>
      </c>
      <c r="NM152" s="152">
        <f>IF(OR($NC152=0,$MY152=""),0,IF(COUNTIF(INDEX($EF$2:$EJ$13,$MB152,0),$MY152)=0,1,0))</f>
        <v/>
      </c>
      <c r="NN152" s="152">
        <f>IF(OR($ND152=0,$MZ152=""),0,IF(COUNTIF(INDEX($EF$2:$EJ$13,$MB152,0),$MZ152)=0,1,0))</f>
        <v/>
      </c>
      <c r="NO152" s="152">
        <f>IF(OR($NE152=0,$NA152=""),0,IF(COUNTIF(INDEX($EF$2:$EJ$13,$MB152,0),$NA152)=0,1,0))</f>
        <v/>
      </c>
      <c r="NP152" s="152">
        <f>IFERROR(VLOOKUP($MK152,$AV$2:$BA$84,4,FALSE),0)+IFERROR(VLOOKUP($ML152,$AV$2:$BA$84,4,FALSE),0)+IFERROR(VLOOKUP($MM152,$AV$2:$BA$84,4,FALSE),0)+IFERROR(VLOOKUP($MN152,$AV$2:$BA$84,4,FALSE),0)</f>
        <v/>
      </c>
      <c r="NQ152" s="152">
        <f>IFERROR(VLOOKUP($MK152,$AV$2:$BA$84,6,FALSE),0)+IFERROR(VLOOKUP($ML152,$AV$2:$BA$84,6,FALSE),0)+IFERROR(VLOOKUP($MM152,$AV$2:$BA$84,6,FALSE),0)+IFERROR(VLOOKUP($MN152,$AV$2:$BA$84,6,FALSE),0)</f>
        <v/>
      </c>
      <c r="NR152" s="152">
        <f>TEXTJOIN(", ",TRUE,IF(IFERROR(VLOOKUP($MK152,$AV$2:$BA$84,5,FALSE),0)=1,$MK152,""),IF(IFERROR(VLOOKUP($ML152,$AV$2:$BA$84,5,FALSE),0)=1,$ML152,""),IF(IFERROR(VLOOKUP($MM152,$AV$2:$BA$84,5,FALSE),0)=1,$MM152,""),IF(IFERROR(VLOOKUP($MN152,$AV$2:$BA$84,5,FALSE),0)=1,$MN152,""))</f>
        <v/>
      </c>
      <c r="NS152" s="152">
        <f>IF($MW152=0,0,INDEX($Y$2:$Y$11,$MW152))</f>
        <v/>
      </c>
      <c r="NT152" s="152">
        <f>IF($MW152=0,0,INDEX($Z$2:$Z$11,$MW152))</f>
        <v/>
      </c>
      <c r="NU152" s="152">
        <f>IF($MW152=0,0,INDEX($AB$2:$AB$11,$MW152))</f>
        <v/>
      </c>
      <c r="NV152" s="152">
        <f>IFERROR(VLOOKUP($MO152,$BC$2:$BG$24,3,FALSE),0)</f>
        <v/>
      </c>
      <c r="NW152" s="152">
        <f>IFERROR(VLOOKUP($MP152,$BC$2:$BG$24,3,FALSE),0)</f>
        <v/>
      </c>
      <c r="NX152" s="152">
        <f>IFERROR(VLOOKUP($MO152,$BC$2:$BG$24,2,FALSE),"")</f>
        <v/>
      </c>
      <c r="NY152" s="152">
        <f>IFERROR(VLOOKUP($MP152,$BC$2:$BG$24,2,FALSE),"")</f>
        <v/>
      </c>
      <c r="NZ152" s="152">
        <f>COUNTIF($NF152:$NJ152,1)</f>
        <v/>
      </c>
      <c r="OA152" s="152">
        <f>COUNTIF($NF152:$NJ152,2)</f>
        <v/>
      </c>
      <c r="OB152" s="152">
        <f>COUNTIF($NF152:$NJ152,3)</f>
        <v/>
      </c>
      <c r="OC152" s="152">
        <f>COUNTIF($NF152:$NJ152,4)</f>
        <v/>
      </c>
      <c r="OD152" s="152">
        <f>COUNTIF($NF152:$NJ152,5)</f>
        <v/>
      </c>
      <c r="OE152" s="152">
        <f>COUNTIF($NF152:$NJ152,6)</f>
        <v/>
      </c>
      <c r="OF152" s="152">
        <f>COUNTIF($NV152:$NW152,1)</f>
        <v/>
      </c>
      <c r="OG152" s="152">
        <f>COUNTIF($NV152:$NW152,2)+$NS152</f>
        <v/>
      </c>
      <c r="OH152" s="152">
        <f>COUNTIF($MK152:$MN152,"?*")</f>
        <v/>
      </c>
      <c r="OI152" s="152">
        <f>COUNTIF($MO152:$MP152,"?*")+$NS152</f>
        <v/>
      </c>
      <c r="OJ152" s="152">
        <f>IF($MF152=0,0,SUMPRODUCT($NZ152:$OE152,INDEX($I$2:$N$8,MAX(1,$MF152),0)))</f>
        <v/>
      </c>
      <c r="OK152" s="152">
        <f>IF($MF152=0,0,$OF152*CEILING($MF152/2,1)+$OG152*$MF152)</f>
        <v/>
      </c>
      <c r="OL152" s="152">
        <f>MIN(2*$MF152,$OK152)</f>
        <v/>
      </c>
      <c r="OM152" s="152">
        <f>MIN($OL152,$OJ152)</f>
        <v/>
      </c>
      <c r="ON152" s="152">
        <f>$OL152-$OM152</f>
        <v/>
      </c>
      <c r="OO152" s="152">
        <f>IF($MF152=0,0,INDEX($P$2:$P$8,MAX(1,$MF152)))</f>
        <v/>
      </c>
      <c r="OP152" s="152">
        <f>$OO152-$OJ152+$OM152</f>
        <v/>
      </c>
      <c r="OQ152" s="152">
        <f>IF($MF152=0,MAX(0,$MT152-IF($OH152&gt;0,1,0)),MAX(0,$OP152))</f>
        <v/>
      </c>
      <c r="OR152" s="152">
        <f>IF($MF152=0,0,(IF(COUNTIF($MK152:$MN152,"Salto")&gt;0,1,0)+IF(COUNTIF($MK152:$MN152,"Queima")&gt;0,1,0)+IF(COUNTIF($MK152:$MN152,"Estilhaço")&gt;0,1,0))*FLOOR($OQ152/2,1))</f>
        <v/>
      </c>
      <c r="OS152" s="152">
        <f>MAX(0,2-SUMPRODUCT($NZ152:$OE152,$I$2:$N$2)+MIN(2,$OF152*1+$OG152*1,SUMPRODUCT($NZ152:$OE152,$I$2:$N$2)))</f>
        <v/>
      </c>
      <c r="OT152" s="152">
        <f>MAX(0,4-SUMPRODUCT($NZ152:$OE152,$I$3:$N$3)+MIN(4,$OF152*1+$OG152*2,SUMPRODUCT($NZ152:$OE152,$I$3:$N$3)))</f>
        <v/>
      </c>
      <c r="OU152" s="152">
        <f>MAX(0,6-SUMPRODUCT($NZ152:$OE152,$I$4:$N$4)+MIN(6,$OF152*2+$OG152*3,SUMPRODUCT($NZ152:$OE152,$I$4:$N$4)))</f>
        <v/>
      </c>
      <c r="OV152" s="152">
        <f>MAX(0,9-SUMPRODUCT($NZ152:$OE152,$I$5:$N$5)+MIN(8,$OF152*2+$OG152*4,SUMPRODUCT($NZ152:$OE152,$I$5:$N$5)))</f>
        <v/>
      </c>
      <c r="OW152" s="152">
        <f>MAX(0,11-SUMPRODUCT($NZ152:$OE152,$I$6:$N$6)+MIN(10,$OF152*3+$OG152*5,SUMPRODUCT($NZ152:$OE152,$I$6:$N$6)))</f>
        <v/>
      </c>
      <c r="OX152" s="152">
        <f>MAX(0,13-SUMPRODUCT($NZ152:$OE152,$I$7:$N$7)+MIN(12,$OF152*3+$OG152*6,SUMPRODUCT($NZ152:$OE152,$I$7:$N$7)))</f>
        <v/>
      </c>
      <c r="OY152" s="152">
        <f>MAX(0,16-SUMPRODUCT($NZ152:$OE152,$I$8:$N$8)+MIN(14,$OF152*4+$OG152*7,SUMPRODUCT($NZ152:$OE152,$I$8:$N$8)))</f>
        <v/>
      </c>
      <c r="OZ152" s="152">
        <f>IF($NT152=2,3*$OS152&amp;" de vida temp.",IF($NT152=3,"sem dano",IF($OS152=0,IF($NT152=1,"sem cura","sem dano"),IF($NT152=1,"cura ","")&amp;$OS152&amp;"d8")))</f>
        <v/>
      </c>
      <c r="PA152" s="152">
        <f>IF($NT152=2,3*$OT152&amp;" de vida temp.",IF($NT152=3,"sem dano",IF($OT152=0,IF($NT152=1,"sem cura","sem dano"),IF($NT152=1,"cura ","")&amp;$OT152&amp;"d8")))</f>
        <v/>
      </c>
      <c r="PB152" s="152">
        <f>IF($NT152=2,3*$OU152&amp;" de vida temp.",IF($NT152=3,"sem dano",IF($OU152=0,IF($NT152=1,"sem cura","sem dano"),IF($NT152=1,"cura ","")&amp;$OU152&amp;"d8")))</f>
        <v/>
      </c>
      <c r="PC152" s="152">
        <f>IF($NT152=2,3*$OV152&amp;" de vida temp.",IF($NT152=3,"sem dano",IF($OV152=0,IF($NT152=1,"sem cura","sem dano"),IF($NT152=1,"cura ","")&amp;$OV152&amp;"d8")))</f>
        <v/>
      </c>
      <c r="PD152" s="152">
        <f>IF($NT152=2,3*$OW152&amp;" de vida temp.",IF($NT152=3,"sem dano",IF($OW152=0,IF($NT152=1,"sem cura","sem dano"),IF($NT152=1,"cura ","")&amp;$OW152&amp;"d8")))</f>
        <v/>
      </c>
      <c r="PE152" s="152">
        <f>IF($NT152=2,3*$OX152&amp;" de vida temp.",IF($NT152=3,"sem dano",IF($OX152=0,IF($NT152=1,"sem cura","sem dano"),IF($NT152=1,"cura ","")&amp;$OX152&amp;"d8")))</f>
        <v/>
      </c>
      <c r="PF152" s="152">
        <f>IF($NT152=2,3*$OY152&amp;" de vida temp.",IF($NT152=3,"sem dano",IF($OY152=0,IF($NT152=1,"sem cura","sem dano"),IF($NT152=1,"cura ","")&amp;$OY152&amp;"d8")))</f>
        <v/>
      </c>
      <c r="PG152" s="152">
        <f>IF($MQ152=0,"",TEXTJOIN(" · ",TRUE,IF($MD152&gt;$MR152,"Este lugar abre no nível "&amp;$MD152,""),IF($MF152&gt;$MS152,"Classe "&amp;$MF152&amp;": o nível "&amp;$MR152&amp;" libera até a "&amp;$MS152,""),IF($NK152=1,"A Forma "&amp;$MH152&amp;" pede "&amp;INDEX($W$2:$W$11,$MW152)&amp;" aberta",""),IF(AND($MF152=0,$MW152&gt;0,IF($MW152=0,0,INDEX($AF$2:$AF$11,$MW152))=0),$MH152&amp;" não existe na Classe 0",""),IF($NL152=1,"Família Fechada: "&amp;$MK152,""),IF($NM152=1,"Família Fechada: "&amp;$ML152,""),IF($NN152=1,"Família Fechada: "&amp;$MM152,""),IF($NO152=1,"Família Fechada: "&amp;$MN152,""),IF(AND($MF152&gt;0,$OH152&gt;INDEX($O$2:$O$8,MAX(1,$MF152))),$OH152&amp;" Melhorias: a Classe "&amp;$MF152&amp;" aceita "&amp;INDEX($O$2:$O$8,MAX(1,$MF152)),""),IF(AND($MF152=0,$OH152&gt;1),"A básica aceita uma Melhoria",""),IF(AND($MF152=0,COUNTIF($NB152:$NE152,"&gt;1")&gt;0),"A básica só aceita Melhoria Leve",""),IF(AND($MF152&gt;0,$OI152&gt;2),$OI152&amp;" Restrições"&amp;IF($NS152=1,", contando a que a Forma "&amp;$MH152&amp;" já traz","")&amp;": o limite é 2",""),IF(AND($MF152=0,COUNTIF($MO152:$MP152,"?*")&gt;1),"A básica aceita uma Restrição Leve",""),IF(AND($MF152=0,COUNTIF($NV152:$NW152,2)&gt;0),"A básica só aceita Restrição Leve",""),IF(AND($MF152&gt;0,$OP152&lt;0),"Orçamento estourado: faltam "&amp;(-$OP152)&amp;IF($OP152&lt;-1," pontos"," ponto"),""),IF(IFERROR(VLOOKUP($MO152,$BC$2:$BG$24,4,FALSE),0)+IFERROR(VLOOKUP($MP152,$BC$2:$BG$24,4,FALSE),0)&gt;1,$NX152&amp;" e "&amp;$NY152&amp;" são as duas de frequência",""),IF(AND((COUNTIF($MK152:$MN152,"Rápido")+COUNTIF($NX152:$NY152,"Rápido"))&gt;0,(COUNTIF($MK152:$MN152,"Atrasar")+COUNTIF($NX152:$NY152,"Atrasar"))&gt;0),"Rápido não entra com Atrasar",""),IF(AND((COUNTIF($MK152:$MN152,"Reação")+COUNTIF($NX152:$NY152,"Reação"))&gt;0,(COUNTIF($MK152:$MN152,"Rápido")+COUNTIF($NX152:$NY152,"Rápido"))&gt;0),"Reação não entra com Rápido",""),IF(AND((COUNTIF($MK152:$MN152,"Reação")+COUNTIF($NX152:$NY152,"Reação"))&gt;0,(COUNTIF($MK152:$MN152,"Armado")+COUNTIF($NX152:$NY152,"Armado"))&gt;0),"Reação não entra com Armado",""),IF(AND((COUNTIF($MK152:$MN152,"Reação")+COUNTIF($NX152:$NY152,"Reação"))&gt;0,(COUNTIF($MK152:$MN152,"Atrasar")+COUNTIF($NX152:$NY152,"Atrasar"))&gt;0),"Reação não entra com Atrasar",""),IF(AND((COUNTIF($MK152:$MN152,"Reação")+COUNTIF($NX152:$NY152,"Reação"))&gt;0,(COUNTIF($MK152:$MN152,"Parado")+COUNTIF($NX152:$NY152,"Parado"))&gt;0),"Reação não entra com Parado",""),IF(AND((COUNTIF($MK152:$MN152,"Atrasar")+COUNTIF($NX152:$NY152,"Atrasar"))&gt;0,(COUNTIF($MK152:$MN152,"Parado")+COUNTIF($NX152:$NY152,"Parado"))&gt;0),"Atrasar não entra com Parado",""),IF(AND((COUNTIF($MK152:$MN152,"Armado")+COUNTIF($NX152:$NY152,"Armado"))&gt;0,(COUNTIF($MK152:$MN152,"Carregar")+COUNTIF($NX152:$NY152,"Carregar"))&gt;0),"Armado não entra com Carregar",""),IF(AND(COUNTIF($NX152:$NY152,"Corpo a Corpo")&gt;0,$NS152=0,OR($MH152="Cone",$MH152="Linha")),"Corpo a Corpo não entra em "&amp;$MH152,""),IF(AND(COUNTIF($NX152:$NY152,"Corpo a Corpo")&gt;0,$NS152=1),"A Forma "&amp;$MH152&amp;" já traz o Corpo a Corpo",""),IF(AND(COUNTIF($NX152:$NY152,"Tudo ou Nada")&gt;0,$NU152=0),"Tudo ou Nada só entra em habilidade de Teste de Resistência",""),IF(AND(COUNTIF($MK152:$MN152,"Inescapável")&gt;0,OR($OH152&gt;1,$OI152&gt;0)),"Inescapável não aceita outra peça",""),IF(AND($MF152&gt;0,$OQ152*IF(COUNTIF($MK152:$MN152,"Remate")&gt;0,1.25,1)+$OR152&gt;4*$MF152),($OQ152*IF(COUNTIF($MK152:$MN152,"Remate")&gt;0,1.25,1)+$OR152)&amp;" dados somando repetições"&amp;IF(COUNTIF($MK152:$MN152,"Remate")&gt;0," e o Remate","")&amp;": o teto da Classe "&amp;$MF152&amp;" é "&amp;4*$MF152,"")))</f>
        <v/>
      </c>
      <c r="PH152" s="152">
        <f>IF($PG152="",0,(LEN($PG152)-LEN(SUBSTITUTE($PG152," · ","")))/3+1)</f>
        <v/>
      </c>
      <c r="PI152" s="152">
        <f>IF($MQ152=0,"",TEXTJOIN(" · ",TRUE,IF($OK152&gt;2*$MF152,"A devolução parou no teto de "&amp;2*$MF152,""),IF($ON152&gt;0,"Devolução perdida: "&amp;$ON152&amp;IF($ON152&gt;1," pontos"," ponto")&amp;" sem peça para pagar",""),IF(AND($NP152&gt;0,AND($MF152&gt;0,$NT152=0),$OQ152=0),"Controle sem dano: uma rodada a mais e CD +2",""),IF(AND($NP152&gt;0,AND($MF152&gt;0,$NT152=0),$OQ152&gt;0,$OQ152&lt;=$MF152),"Controle com saldo até a Classe: uma rodada a mais",""),IF(AND($MF152&gt;0,$NR152&lt;&gt;""),"Efeito de "&amp;$NR152&amp;" pela Classe "&amp;MAX(1,$MF152-1),"")))</f>
        <v/>
      </c>
      <c r="PJ152" s="152">
        <f>IF($PI152="",0,(LEN($PI152)-LEN(SUBSTITUTE($PI152," · ","")))/3+1)</f>
        <v/>
      </c>
      <c r="PK152" s="152">
        <f>IF($MQ152=0,IF($OH152+COUNTIF($MO152:$MP152,"?*")&gt;0,"Dê um nome",""),IF($PH152&gt;0,"⚠ "&amp;$PH152&amp;IF($PH152&gt;1," erros"," erro"),IF($PJ152&gt;0,"! "&amp;$PJ152&amp;IF($PJ152&gt;1," avisos"," aviso"),"Na regra")))</f>
        <v/>
      </c>
      <c r="PL152" s="152">
        <f>IF($MQ152=0,"",IF($PH152+$PJ152=0,"Dentro das regras que a ficha confere",$PG152&amp;IF(AND($PH152&gt;0,$PJ152&gt;0)," · ","")&amp;$PI152))</f>
        <v/>
      </c>
      <c r="PM152" s="152">
        <f>IF($MD152&gt;$MR152,$ME152&amp;" · ABRE NO NÍVEL "&amp;$MD152,$ME152)</f>
        <v/>
      </c>
      <c r="PN152" s="152">
        <f>IF($MQ152=0,"",IF($MF152=0,"Sem PE",3*$MF152&amp;" PE"))</f>
        <v/>
      </c>
      <c r="PO152" s="152">
        <f>IF($MQ152=0,"",IF($MF152=0,"A atuação básica dela",IF(COUNTIF($NX152:$NY152,"Atrasar")&gt;0,"Sua Ação Completa",IF(COUNTIF($MK152:$MN152,"Rápido")&gt;0,"Sua Bônus",IF(COUNTIF($MK152:$MN152,"Reação")&gt;0,"Sua Reação","Sua Padrão")))&amp;" + a básica dela"&amp;IF(COUNTIF($MK152:$MN152,"Reação")&gt;0," e a coletiva","")&amp;IF(COUNTIF($NX152:$NY152,"Carregar")&gt;0," · em dois turnos","")))</f>
        <v/>
      </c>
      <c r="PP152" s="152">
        <f>IF($MJ152&lt;&gt;"",$MJ152,IF($MW152=0,"",INDEX($AA$2:$AA$11,$MW152)))</f>
        <v/>
      </c>
      <c r="PQ152" s="152">
        <f>IF(OR($MQ152=0,$MW152=0),"",IF(COUNTIF($MK152:$MN152,"Inescapável")&gt;0,"Automático",IF($PP152="Ataque",IF($MU152="","Ataque","Ataque "&amp;IF(($MU152+2*IF(COUNTIF($MK152:$MN152,"Precisão")&gt;0,1,0))&gt;=0,"+","−")&amp;ABS(($MU152+2*IF(COUNTIF($MK152:$MN152,"Precisão")&gt;0,1,0))))&amp;IF($NQ152&gt;0," · TR"&amp;IF($MV152="",""," CD "&amp;$MV152),""),IF(LEFT($PP152,2)="TR",$PP152&amp;IF($MV152="",""," · CD "&amp;$MV152)&amp;IF(COUNTIF($MK152:$MN152,"Certeiro")&gt;0," · metade",""),"Sem rolagem"))))</f>
        <v/>
      </c>
      <c r="PR152" s="152">
        <f>IF(OR($MQ152=0,$MW152=0),"",IF($MF152=0,IF(OR($NT152&gt;=1,$OQ152=0),"Sem dano",$OQ152&amp;"d6"&amp;IF($MI152="",""," "&amp;$MI152)),IF(OR($NT152&gt;=1,$OQ152=0),UPPER(LEFT(INDEX($OZ152:$PF152,1,MAX(1,$MF152)),1))&amp;MID(INDEX($OZ152:$PF152,1,MAX(1,$MF152)),2,99),UPPER(LEFT(INDEX($OZ152:$PF152,1,MAX(1,$MF152)),1))&amp;MID(INDEX($OZ152:$PF152,1,MAX(1,$MF152)),2,99)&amp;IF($MI152="",""," "&amp;$MI152)&amp;IF($OR152&gt;0," · +"&amp;$OR152&amp;"d8",""))))</f>
        <v/>
      </c>
      <c r="PS152" s="152">
        <f>COUNTIF($MK152:$MN152,"Longe")+3*COUNTIF($MK152:$MN152,"Muito Longe")</f>
        <v/>
      </c>
      <c r="PT152" s="152">
        <f>COUNTIF($MK152:$MN152,"Maior")+3*COUNTIF($MK152:$MN152,"Muito Maior")</f>
        <v/>
      </c>
      <c r="PU152" s="152">
        <f>IF($MW152=0,0,CHOOSE(1+INDEX($AC$2:$AC$11,$MW152),0,$PS152,$PT152,$PS152+$PT152))</f>
        <v/>
      </c>
      <c r="PV152" s="152">
        <f>IF($MW152=0,0,CHOOSE(1+INDEX($AD$2:$AD$11,$MW152),0,$PS152,$PT152,$PS152+$PT152))</f>
        <v/>
      </c>
      <c r="PW152" s="152">
        <f>IF(OR($MQ152=0,$MW152=0),"",INDEX($AI$2:$AN$41,($MW152-1)*4+IF($MF152=0,1,IF($MF152&lt;=5,2,IF($MF152=6,3,4))),1+MIN(5,$PU152))&amp;INDEX($AO$2:$AT$41,($MW152-1)*4+IF($MF152=0,1,IF($MF152&lt;=5,2,IF($MF152=6,3,4))),1+MIN(5,$PV152))&amp;IF(INDEX($AE$2:$AE$11,$MW152)=1,IF(COUNTIF($MK152:$MN152,"Mais Um")&gt;0," · +"&amp;COUNTIF($MK152:$MN152,"Mais Um")&amp;IF(COUNTIF($MK152:$MN152,"Mais Um")&gt;1," alvos"," alvo"),"")&amp;IF(COUNTIF($MK152:$MN152,"Rajada")&gt;0,IF($MF152=0," · 1 tiro"," · "&amp;(MAX(1,$MF152-1)+1)&amp;" tiros"),""),""))</f>
        <v/>
      </c>
      <c r="PX152" s="152">
        <f>IF($MQ152=0,"",IF($MF152=0,$MT152&amp;"d6"&amp;IF($OH152&gt;0," − 1 = "&amp;$OQ152&amp;"d6"," da básica do nível "&amp;$MR152),$OO152&amp;" − "&amp;$OJ152&amp;" + "&amp;$OM152&amp;" = "&amp;$OP152&amp;" · teto "&amp;4*$MF152&amp;"d8"&amp;IF($NS152=1," · a Forma devolve "&amp;$MF152,"")&amp;IF($ON152&gt;0," · perde "&amp;$ON152,"")))</f>
        <v/>
      </c>
      <c r="PY152" s="152">
        <f>IF($MQ152=0,"",IF($MF152=0,"A básica não amplia: os dados dela sobem com o nível",IF($MF152&gt;=$MS152,"Já está na maior Classe que o nível liberou",TEXTJOIN(" · ",TRUE,IF(AND(2&gt;$MF152,2&lt;=$MS152),"2 → "&amp;$PA152&amp;", 6 PE",""),IF(AND(3&gt;$MF152,3&lt;=$MS152),"3 → "&amp;$PB152&amp;", 9 PE",""),IF(AND(4&gt;$MF152,4&lt;=$MS152),"4 → "&amp;$PC152&amp;", 12 PE",""),IF(AND(5&gt;$MF152,5&lt;=$MS152),"5 → "&amp;$PD152&amp;", 15 PE",""),IF(AND(6&gt;$MF152,6&lt;=$MS152),"6 → "&amp;$PE152&amp;", 18 PE",""),IF(AND(7&gt;$MF152,7&lt;=$MS152),"7 → "&amp;$PF152&amp;", 21 PE","")))))</f>
        <v/>
      </c>
      <c r="PZ152" s="152">
        <f>IF(OR($MQ152=0,$NB152=0),"",IF($MF152=0,"−1 dado","−"&amp;INDEX($I$2:$N$8,MAX(1,$MF152),MAX(1,$NG152))&amp;" · "&amp;CHOOSE(MAX(1,$NG152),"Leve","Média","Pesada","Leve · Livre","Média · Livre","Pesada · Livre")))</f>
        <v/>
      </c>
      <c r="QA152" s="152">
        <f>IF(OR($MQ152=0,$NC152=0),"",IF($MF152=0,"−1 dado","−"&amp;INDEX($I$2:$N$8,MAX(1,$MF152),MAX(1,$NH152))&amp;" · "&amp;CHOOSE(MAX(1,$NH152),"Leve","Média","Pesada","Leve · Livre","Média · Livre","Pesada · Livre")))</f>
        <v/>
      </c>
      <c r="QB152" s="152">
        <f>IF(OR($MQ152=0,$ND152=0),"",IF($MF152=0,"−1 dado","−"&amp;INDEX($I$2:$N$8,MAX(1,$MF152),MAX(1,$NI152))&amp;" · "&amp;CHOOSE(MAX(1,$NI152),"Leve","Média","Pesada","Leve · Livre","Média · Livre","Pesada · Livre")))</f>
        <v/>
      </c>
      <c r="QC152" s="152">
        <f>IF(OR($MQ152=0,$NE152=0),"",IF($MF152=0,"−1 dado","−"&amp;INDEX($I$2:$N$8,MAX(1,$MF152),MAX(1,$NJ152))&amp;" · "&amp;CHOOSE(MAX(1,$NJ152),"Leve","Média","Pesada","Leve · Livre","Média · Livre","Pesada · Livre")))</f>
        <v/>
      </c>
      <c r="QD152" s="152">
        <f>IF(OR($MQ152=0,$MO152=""),"",IF($MF152=0,"não devolve","+"&amp;IF($NV152=1,CEILING($MF152/2,1),$MF152)))</f>
        <v/>
      </c>
      <c r="QE152" s="152">
        <f>IF(OR($MQ152=0,$MP152=""),"",IF($MF152=0,"não devolve","+"&amp;IF($NW152=1,CEILING($MF152/2,1),$MF152)))</f>
        <v/>
      </c>
    </row>
    <row r="153">
      <c r="MA153" s="150" t="inlineStr">
        <is>
          <t>Ficha 12 · Especial 7</t>
        </is>
      </c>
      <c r="MB153" s="152" t="n">
        <v>12</v>
      </c>
      <c r="MC153" s="152" t="n">
        <v>1</v>
      </c>
      <c r="MD153" s="152" t="n">
        <v>24</v>
      </c>
      <c r="ME153" s="150" t="inlineStr">
        <is>
          <t>ESPECIAL 7</t>
        </is>
      </c>
      <c r="MF153" s="152">
        <f>MAX(1,MIN(7,N('INVOCAÇÕES'!$AN$1104)))</f>
        <v/>
      </c>
      <c r="MG153" s="152">
        <f>'INVOCAÇÕES'!$AO$1104&amp;""</f>
        <v/>
      </c>
      <c r="MH153" s="152">
        <f>'INVOCAÇÕES'!$AN$1109&amp;""</f>
        <v/>
      </c>
      <c r="MI153" s="152">
        <f>'INVOCAÇÕES'!$AN$1110&amp;""</f>
        <v/>
      </c>
      <c r="MJ153" s="152">
        <f>'INVOCAÇÕES'!$AP$1110&amp;""</f>
        <v/>
      </c>
      <c r="MK153" s="152">
        <f>'INVOCAÇÕES'!$AO$1113&amp;""</f>
        <v/>
      </c>
      <c r="ML153" s="152">
        <f>'INVOCAÇÕES'!$AO$1114&amp;""</f>
        <v/>
      </c>
      <c r="MM153" s="152">
        <f>'INVOCAÇÕES'!$AO$1115&amp;""</f>
        <v/>
      </c>
      <c r="MN153" s="152">
        <f>'INVOCAÇÕES'!$AO$1116&amp;""</f>
        <v/>
      </c>
      <c r="MO153" s="152">
        <f>'INVOCAÇÕES'!$AO$1117&amp;""</f>
        <v/>
      </c>
      <c r="MP153" s="152">
        <f>'INVOCAÇÕES'!$AO$1118&amp;""</f>
        <v/>
      </c>
      <c r="MQ153" s="152">
        <f>IF($MG153&lt;&gt;"",1,0)</f>
        <v/>
      </c>
      <c r="MR153" s="152">
        <f>INDEX($FI$2:$FI$13,$MB153)</f>
        <v/>
      </c>
      <c r="MS153" s="152">
        <f>INDEX($FJ$2:$FJ$13,$MB153)</f>
        <v/>
      </c>
      <c r="MT153" s="152">
        <f>INDEX($FK$2:$FK$13,$MB153)</f>
        <v/>
      </c>
      <c r="MU153" s="152">
        <f>INDEX($FV$2:$FV$13,$MB153)</f>
        <v/>
      </c>
      <c r="MV153" s="152">
        <f>INDEX($FW$2:$FW$13,$MB153)</f>
        <v/>
      </c>
      <c r="MW153" s="152">
        <f>IFERROR(MATCH($MH153,$V$2:$V$11,0),0)</f>
        <v/>
      </c>
      <c r="MX153" s="152">
        <f>IFERROR(VLOOKUP($MK153,$AV$2:$BA$84,2,FALSE),"")</f>
        <v/>
      </c>
      <c r="MY153" s="152">
        <f>IFERROR(VLOOKUP($ML153,$AV$2:$BA$84,2,FALSE),"")</f>
        <v/>
      </c>
      <c r="MZ153" s="152">
        <f>IFERROR(VLOOKUP($MM153,$AV$2:$BA$84,2,FALSE),"")</f>
        <v/>
      </c>
      <c r="NA153" s="152">
        <f>IFERROR(VLOOKUP($MN153,$AV$2:$BA$84,2,FALSE),"")</f>
        <v/>
      </c>
      <c r="NB153" s="152">
        <f>IFERROR(VLOOKUP($MK153,$AV$2:$BA$84,3,FALSE),0)</f>
        <v/>
      </c>
      <c r="NC153" s="152">
        <f>IFERROR(VLOOKUP($ML153,$AV$2:$BA$84,3,FALSE),0)</f>
        <v/>
      </c>
      <c r="ND153" s="152">
        <f>IFERROR(VLOOKUP($MM153,$AV$2:$BA$84,3,FALSE),0)</f>
        <v/>
      </c>
      <c r="NE153" s="152">
        <f>IFERROR(VLOOKUP($MN153,$AV$2:$BA$84,3,FALSE),0)</f>
        <v/>
      </c>
      <c r="NF153" s="152">
        <f>IF($MF153=0,0,IF($MW153=0,0,INDEX($X$2:$X$11,$MW153)))</f>
        <v/>
      </c>
      <c r="NG153" s="152">
        <f>IF(OR($NB153=0,$MF153=0),0,$NB153+3*IF(AND($MX153&lt;&gt;"",OR($MX153=INDEX($EF$2:$EF$13,$MB153),$MX153=INDEX($EG$2:$EG$13,$MB153))),1,0))</f>
        <v/>
      </c>
      <c r="NH153" s="152">
        <f>IF(OR($NC153=0,$MF153=0),0,$NC153+3*IF(AND($MY153&lt;&gt;"",OR($MY153=INDEX($EF$2:$EF$13,$MB153),$MY153=INDEX($EG$2:$EG$13,$MB153))),1,0))</f>
        <v/>
      </c>
      <c r="NI153" s="152">
        <f>IF(OR($ND153=0,$MF153=0),0,$ND153+3*IF(AND($MZ153&lt;&gt;"",OR($MZ153=INDEX($EF$2:$EF$13,$MB153),$MZ153=INDEX($EG$2:$EG$13,$MB153))),1,0))</f>
        <v/>
      </c>
      <c r="NJ153" s="152">
        <f>IF(OR($NE153=0,$MF153=0),0,$NE153+3*IF(AND($NA153&lt;&gt;"",OR($NA153=INDEX($EF$2:$EF$13,$MB153),$NA153=INDEX($EG$2:$EG$13,$MB153))),1,0))</f>
        <v/>
      </c>
      <c r="NK153" s="152">
        <f>IF($MW153=0,0,IF(INDEX($W$2:$W$11,$MW153)="",0,IF(COUNTIF(INDEX($EF$2:$EJ$13,$MB153,0),INDEX($W$2:$W$11,$MW153))=0,1,0)))</f>
        <v/>
      </c>
      <c r="NL153" s="152">
        <f>IF(OR($NB153=0,$MX153=""),0,IF(COUNTIF(INDEX($EF$2:$EJ$13,$MB153,0),$MX153)=0,1,0))</f>
        <v/>
      </c>
      <c r="NM153" s="152">
        <f>IF(OR($NC153=0,$MY153=""),0,IF(COUNTIF(INDEX($EF$2:$EJ$13,$MB153,0),$MY153)=0,1,0))</f>
        <v/>
      </c>
      <c r="NN153" s="152">
        <f>IF(OR($ND153=0,$MZ153=""),0,IF(COUNTIF(INDEX($EF$2:$EJ$13,$MB153,0),$MZ153)=0,1,0))</f>
        <v/>
      </c>
      <c r="NO153" s="152">
        <f>IF(OR($NE153=0,$NA153=""),0,IF(COUNTIF(INDEX($EF$2:$EJ$13,$MB153,0),$NA153)=0,1,0))</f>
        <v/>
      </c>
      <c r="NP153" s="152">
        <f>IFERROR(VLOOKUP($MK153,$AV$2:$BA$84,4,FALSE),0)+IFERROR(VLOOKUP($ML153,$AV$2:$BA$84,4,FALSE),0)+IFERROR(VLOOKUP($MM153,$AV$2:$BA$84,4,FALSE),0)+IFERROR(VLOOKUP($MN153,$AV$2:$BA$84,4,FALSE),0)</f>
        <v/>
      </c>
      <c r="NQ153" s="152">
        <f>IFERROR(VLOOKUP($MK153,$AV$2:$BA$84,6,FALSE),0)+IFERROR(VLOOKUP($ML153,$AV$2:$BA$84,6,FALSE),0)+IFERROR(VLOOKUP($MM153,$AV$2:$BA$84,6,FALSE),0)+IFERROR(VLOOKUP($MN153,$AV$2:$BA$84,6,FALSE),0)</f>
        <v/>
      </c>
      <c r="NR153" s="152">
        <f>TEXTJOIN(", ",TRUE,IF(IFERROR(VLOOKUP($MK153,$AV$2:$BA$84,5,FALSE),0)=1,$MK153,""),IF(IFERROR(VLOOKUP($ML153,$AV$2:$BA$84,5,FALSE),0)=1,$ML153,""),IF(IFERROR(VLOOKUP($MM153,$AV$2:$BA$84,5,FALSE),0)=1,$MM153,""),IF(IFERROR(VLOOKUP($MN153,$AV$2:$BA$84,5,FALSE),0)=1,$MN153,""))</f>
        <v/>
      </c>
      <c r="NS153" s="152">
        <f>IF($MW153=0,0,INDEX($Y$2:$Y$11,$MW153))</f>
        <v/>
      </c>
      <c r="NT153" s="152">
        <f>IF($MW153=0,0,INDEX($Z$2:$Z$11,$MW153))</f>
        <v/>
      </c>
      <c r="NU153" s="152">
        <f>IF($MW153=0,0,INDEX($AB$2:$AB$11,$MW153))</f>
        <v/>
      </c>
      <c r="NV153" s="152">
        <f>IFERROR(VLOOKUP($MO153,$BC$2:$BG$24,3,FALSE),0)</f>
        <v/>
      </c>
      <c r="NW153" s="152">
        <f>IFERROR(VLOOKUP($MP153,$BC$2:$BG$24,3,FALSE),0)</f>
        <v/>
      </c>
      <c r="NX153" s="152">
        <f>IFERROR(VLOOKUP($MO153,$BC$2:$BG$24,2,FALSE),"")</f>
        <v/>
      </c>
      <c r="NY153" s="152">
        <f>IFERROR(VLOOKUP($MP153,$BC$2:$BG$24,2,FALSE),"")</f>
        <v/>
      </c>
      <c r="NZ153" s="152">
        <f>COUNTIF($NF153:$NJ153,1)</f>
        <v/>
      </c>
      <c r="OA153" s="152">
        <f>COUNTIF($NF153:$NJ153,2)</f>
        <v/>
      </c>
      <c r="OB153" s="152">
        <f>COUNTIF($NF153:$NJ153,3)</f>
        <v/>
      </c>
      <c r="OC153" s="152">
        <f>COUNTIF($NF153:$NJ153,4)</f>
        <v/>
      </c>
      <c r="OD153" s="152">
        <f>COUNTIF($NF153:$NJ153,5)</f>
        <v/>
      </c>
      <c r="OE153" s="152">
        <f>COUNTIF($NF153:$NJ153,6)</f>
        <v/>
      </c>
      <c r="OF153" s="152">
        <f>COUNTIF($NV153:$NW153,1)</f>
        <v/>
      </c>
      <c r="OG153" s="152">
        <f>COUNTIF($NV153:$NW153,2)+$NS153</f>
        <v/>
      </c>
      <c r="OH153" s="152">
        <f>COUNTIF($MK153:$MN153,"?*")</f>
        <v/>
      </c>
      <c r="OI153" s="152">
        <f>COUNTIF($MO153:$MP153,"?*")+$NS153</f>
        <v/>
      </c>
      <c r="OJ153" s="152">
        <f>IF($MF153=0,0,SUMPRODUCT($NZ153:$OE153,INDEX($I$2:$N$8,MAX(1,$MF153),0)))</f>
        <v/>
      </c>
      <c r="OK153" s="152">
        <f>IF($MF153=0,0,$OF153*CEILING($MF153/2,1)+$OG153*$MF153)</f>
        <v/>
      </c>
      <c r="OL153" s="152">
        <f>MIN(2*$MF153,$OK153)</f>
        <v/>
      </c>
      <c r="OM153" s="152">
        <f>MIN($OL153,$OJ153)</f>
        <v/>
      </c>
      <c r="ON153" s="152">
        <f>$OL153-$OM153</f>
        <v/>
      </c>
      <c r="OO153" s="152">
        <f>IF($MF153=0,0,INDEX($P$2:$P$8,MAX(1,$MF153)))</f>
        <v/>
      </c>
      <c r="OP153" s="152">
        <f>$OO153-$OJ153+$OM153</f>
        <v/>
      </c>
      <c r="OQ153" s="152">
        <f>IF($MF153=0,MAX(0,$MT153-IF($OH153&gt;0,1,0)),MAX(0,$OP153))</f>
        <v/>
      </c>
      <c r="OR153" s="152">
        <f>IF($MF153=0,0,(IF(COUNTIF($MK153:$MN153,"Salto")&gt;0,1,0)+IF(COUNTIF($MK153:$MN153,"Queima")&gt;0,1,0)+IF(COUNTIF($MK153:$MN153,"Estilhaço")&gt;0,1,0))*FLOOR($OQ153/2,1))</f>
        <v/>
      </c>
      <c r="OS153" s="152">
        <f>MAX(0,2-SUMPRODUCT($NZ153:$OE153,$I$2:$N$2)+MIN(2,$OF153*1+$OG153*1,SUMPRODUCT($NZ153:$OE153,$I$2:$N$2)))</f>
        <v/>
      </c>
      <c r="OT153" s="152">
        <f>MAX(0,4-SUMPRODUCT($NZ153:$OE153,$I$3:$N$3)+MIN(4,$OF153*1+$OG153*2,SUMPRODUCT($NZ153:$OE153,$I$3:$N$3)))</f>
        <v/>
      </c>
      <c r="OU153" s="152">
        <f>MAX(0,6-SUMPRODUCT($NZ153:$OE153,$I$4:$N$4)+MIN(6,$OF153*2+$OG153*3,SUMPRODUCT($NZ153:$OE153,$I$4:$N$4)))</f>
        <v/>
      </c>
      <c r="OV153" s="152">
        <f>MAX(0,9-SUMPRODUCT($NZ153:$OE153,$I$5:$N$5)+MIN(8,$OF153*2+$OG153*4,SUMPRODUCT($NZ153:$OE153,$I$5:$N$5)))</f>
        <v/>
      </c>
      <c r="OW153" s="152">
        <f>MAX(0,11-SUMPRODUCT($NZ153:$OE153,$I$6:$N$6)+MIN(10,$OF153*3+$OG153*5,SUMPRODUCT($NZ153:$OE153,$I$6:$N$6)))</f>
        <v/>
      </c>
      <c r="OX153" s="152">
        <f>MAX(0,13-SUMPRODUCT($NZ153:$OE153,$I$7:$N$7)+MIN(12,$OF153*3+$OG153*6,SUMPRODUCT($NZ153:$OE153,$I$7:$N$7)))</f>
        <v/>
      </c>
      <c r="OY153" s="152">
        <f>MAX(0,16-SUMPRODUCT($NZ153:$OE153,$I$8:$N$8)+MIN(14,$OF153*4+$OG153*7,SUMPRODUCT($NZ153:$OE153,$I$8:$N$8)))</f>
        <v/>
      </c>
      <c r="OZ153" s="152">
        <f>IF($NT153=2,3*$OS153&amp;" de vida temp.",IF($NT153=3,"sem dano",IF($OS153=0,IF($NT153=1,"sem cura","sem dano"),IF($NT153=1,"cura ","")&amp;$OS153&amp;"d8")))</f>
        <v/>
      </c>
      <c r="PA153" s="152">
        <f>IF($NT153=2,3*$OT153&amp;" de vida temp.",IF($NT153=3,"sem dano",IF($OT153=0,IF($NT153=1,"sem cura","sem dano"),IF($NT153=1,"cura ","")&amp;$OT153&amp;"d8")))</f>
        <v/>
      </c>
      <c r="PB153" s="152">
        <f>IF($NT153=2,3*$OU153&amp;" de vida temp.",IF($NT153=3,"sem dano",IF($OU153=0,IF($NT153=1,"sem cura","sem dano"),IF($NT153=1,"cura ","")&amp;$OU153&amp;"d8")))</f>
        <v/>
      </c>
      <c r="PC153" s="152">
        <f>IF($NT153=2,3*$OV153&amp;" de vida temp.",IF($NT153=3,"sem dano",IF($OV153=0,IF($NT153=1,"sem cura","sem dano"),IF($NT153=1,"cura ","")&amp;$OV153&amp;"d8")))</f>
        <v/>
      </c>
      <c r="PD153" s="152">
        <f>IF($NT153=2,3*$OW153&amp;" de vida temp.",IF($NT153=3,"sem dano",IF($OW153=0,IF($NT153=1,"sem cura","sem dano"),IF($NT153=1,"cura ","")&amp;$OW153&amp;"d8")))</f>
        <v/>
      </c>
      <c r="PE153" s="152">
        <f>IF($NT153=2,3*$OX153&amp;" de vida temp.",IF($NT153=3,"sem dano",IF($OX153=0,IF($NT153=1,"sem cura","sem dano"),IF($NT153=1,"cura ","")&amp;$OX153&amp;"d8")))</f>
        <v/>
      </c>
      <c r="PF153" s="152">
        <f>IF($NT153=2,3*$OY153&amp;" de vida temp.",IF($NT153=3,"sem dano",IF($OY153=0,IF($NT153=1,"sem cura","sem dano"),IF($NT153=1,"cura ","")&amp;$OY153&amp;"d8")))</f>
        <v/>
      </c>
      <c r="PG153" s="152">
        <f>IF($MQ153=0,"",TEXTJOIN(" · ",TRUE,IF($MD153&gt;$MR153,"Este lugar abre no nível "&amp;$MD153,""),IF($MF153&gt;$MS153,"Classe "&amp;$MF153&amp;": o nível "&amp;$MR153&amp;" libera até a "&amp;$MS153,""),IF($NK153=1,"A Forma "&amp;$MH153&amp;" pede "&amp;INDEX($W$2:$W$11,$MW153)&amp;" aberta",""),IF(AND($MF153=0,$MW153&gt;0,IF($MW153=0,0,INDEX($AF$2:$AF$11,$MW153))=0),$MH153&amp;" não existe na Classe 0",""),IF($NL153=1,"Família Fechada: "&amp;$MK153,""),IF($NM153=1,"Família Fechada: "&amp;$ML153,""),IF($NN153=1,"Família Fechada: "&amp;$MM153,""),IF($NO153=1,"Família Fechada: "&amp;$MN153,""),IF(AND($MF153&gt;0,$OH153&gt;INDEX($O$2:$O$8,MAX(1,$MF153))),$OH153&amp;" Melhorias: a Classe "&amp;$MF153&amp;" aceita "&amp;INDEX($O$2:$O$8,MAX(1,$MF153)),""),IF(AND($MF153=0,$OH153&gt;1),"A básica aceita uma Melhoria",""),IF(AND($MF153=0,COUNTIF($NB153:$NE153,"&gt;1")&gt;0),"A básica só aceita Melhoria Leve",""),IF(AND($MF153&gt;0,$OI153&gt;2),$OI153&amp;" Restrições"&amp;IF($NS153=1,", contando a que a Forma "&amp;$MH153&amp;" já traz","")&amp;": o limite é 2",""),IF(AND($MF153=0,COUNTIF($MO153:$MP153,"?*")&gt;1),"A básica aceita uma Restrição Leve",""),IF(AND($MF153=0,COUNTIF($NV153:$NW153,2)&gt;0),"A básica só aceita Restrição Leve",""),IF(AND($MF153&gt;0,$OP153&lt;0),"Orçamento estourado: faltam "&amp;(-$OP153)&amp;IF($OP153&lt;-1," pontos"," ponto"),""),IF(IFERROR(VLOOKUP($MO153,$BC$2:$BG$24,4,FALSE),0)+IFERROR(VLOOKUP($MP153,$BC$2:$BG$24,4,FALSE),0)&gt;1,$NX153&amp;" e "&amp;$NY153&amp;" são as duas de frequência",""),IF(AND((COUNTIF($MK153:$MN153,"Rápido")+COUNTIF($NX153:$NY153,"Rápido"))&gt;0,(COUNTIF($MK153:$MN153,"Atrasar")+COUNTIF($NX153:$NY153,"Atrasar"))&gt;0),"Rápido não entra com Atrasar",""),IF(AND((COUNTIF($MK153:$MN153,"Reação")+COUNTIF($NX153:$NY153,"Reação"))&gt;0,(COUNTIF($MK153:$MN153,"Rápido")+COUNTIF($NX153:$NY153,"Rápido"))&gt;0),"Reação não entra com Rápido",""),IF(AND((COUNTIF($MK153:$MN153,"Reação")+COUNTIF($NX153:$NY153,"Reação"))&gt;0,(COUNTIF($MK153:$MN153,"Armado")+COUNTIF($NX153:$NY153,"Armado"))&gt;0),"Reação não entra com Armado",""),IF(AND((COUNTIF($MK153:$MN153,"Reação")+COUNTIF($NX153:$NY153,"Reação"))&gt;0,(COUNTIF($MK153:$MN153,"Atrasar")+COUNTIF($NX153:$NY153,"Atrasar"))&gt;0),"Reação não entra com Atrasar",""),IF(AND((COUNTIF($MK153:$MN153,"Reação")+COUNTIF($NX153:$NY153,"Reação"))&gt;0,(COUNTIF($MK153:$MN153,"Parado")+COUNTIF($NX153:$NY153,"Parado"))&gt;0),"Reação não entra com Parado",""),IF(AND((COUNTIF($MK153:$MN153,"Atrasar")+COUNTIF($NX153:$NY153,"Atrasar"))&gt;0,(COUNTIF($MK153:$MN153,"Parado")+COUNTIF($NX153:$NY153,"Parado"))&gt;0),"Atrasar não entra com Parado",""),IF(AND((COUNTIF($MK153:$MN153,"Armado")+COUNTIF($NX153:$NY153,"Armado"))&gt;0,(COUNTIF($MK153:$MN153,"Carregar")+COUNTIF($NX153:$NY153,"Carregar"))&gt;0),"Armado não entra com Carregar",""),IF(AND(COUNTIF($NX153:$NY153,"Corpo a Corpo")&gt;0,$NS153=0,OR($MH153="Cone",$MH153="Linha")),"Corpo a Corpo não entra em "&amp;$MH153,""),IF(AND(COUNTIF($NX153:$NY153,"Corpo a Corpo")&gt;0,$NS153=1),"A Forma "&amp;$MH153&amp;" já traz o Corpo a Corpo",""),IF(AND(COUNTIF($NX153:$NY153,"Tudo ou Nada")&gt;0,$NU153=0),"Tudo ou Nada só entra em habilidade de Teste de Resistência",""),IF(AND(COUNTIF($MK153:$MN153,"Inescapável")&gt;0,OR($OH153&gt;1,$OI153&gt;0)),"Inescapável não aceita outra peça",""),IF(AND($MF153&gt;0,$OQ153*IF(COUNTIF($MK153:$MN153,"Remate")&gt;0,1.25,1)+$OR153&gt;4*$MF153),($OQ153*IF(COUNTIF($MK153:$MN153,"Remate")&gt;0,1.25,1)+$OR153)&amp;" dados somando repetições"&amp;IF(COUNTIF($MK153:$MN153,"Remate")&gt;0," e o Remate","")&amp;": o teto da Classe "&amp;$MF153&amp;" é "&amp;4*$MF153,"")))</f>
        <v/>
      </c>
      <c r="PH153" s="152">
        <f>IF($PG153="",0,(LEN($PG153)-LEN(SUBSTITUTE($PG153," · ","")))/3+1)</f>
        <v/>
      </c>
      <c r="PI153" s="152">
        <f>IF($MQ153=0,"",TEXTJOIN(" · ",TRUE,IF($OK153&gt;2*$MF153,"A devolução parou no teto de "&amp;2*$MF153,""),IF($ON153&gt;0,"Devolução perdida: "&amp;$ON153&amp;IF($ON153&gt;1," pontos"," ponto")&amp;" sem peça para pagar",""),IF(AND($NP153&gt;0,AND($MF153&gt;0,$NT153=0),$OQ153=0),"Controle sem dano: uma rodada a mais e CD +2",""),IF(AND($NP153&gt;0,AND($MF153&gt;0,$NT153=0),$OQ153&gt;0,$OQ153&lt;=$MF153),"Controle com saldo até a Classe: uma rodada a mais",""),IF(AND($MF153&gt;0,$NR153&lt;&gt;""),"Efeito de "&amp;$NR153&amp;" pela Classe "&amp;MAX(1,$MF153-1),"")))</f>
        <v/>
      </c>
      <c r="PJ153" s="152">
        <f>IF($PI153="",0,(LEN($PI153)-LEN(SUBSTITUTE($PI153," · ","")))/3+1)</f>
        <v/>
      </c>
      <c r="PK153" s="152">
        <f>IF($MQ153=0,IF($OH153+COUNTIF($MO153:$MP153,"?*")&gt;0,"Dê um nome",""),IF($PH153&gt;0,"⚠ "&amp;$PH153&amp;IF($PH153&gt;1," erros"," erro"),IF($PJ153&gt;0,"! "&amp;$PJ153&amp;IF($PJ153&gt;1," avisos"," aviso"),"Na regra")))</f>
        <v/>
      </c>
      <c r="PL153" s="152">
        <f>IF($MQ153=0,"",IF($PH153+$PJ153=0,"Dentro das regras que a ficha confere",$PG153&amp;IF(AND($PH153&gt;0,$PJ153&gt;0)," · ","")&amp;$PI153))</f>
        <v/>
      </c>
      <c r="PM153" s="152">
        <f>IF($MD153&gt;$MR153,$ME153&amp;" · ABRE NO NÍVEL "&amp;$MD153,$ME153)</f>
        <v/>
      </c>
      <c r="PN153" s="152">
        <f>IF($MQ153=0,"",IF($MF153=0,"Sem PE",3*$MF153&amp;" PE"))</f>
        <v/>
      </c>
      <c r="PO153" s="152">
        <f>IF($MQ153=0,"",IF($MF153=0,"A atuação básica dela",IF(COUNTIF($NX153:$NY153,"Atrasar")&gt;0,"Sua Ação Completa",IF(COUNTIF($MK153:$MN153,"Rápido")&gt;0,"Sua Bônus",IF(COUNTIF($MK153:$MN153,"Reação")&gt;0,"Sua Reação","Sua Padrão")))&amp;" + a básica dela"&amp;IF(COUNTIF($MK153:$MN153,"Reação")&gt;0," e a coletiva","")&amp;IF(COUNTIF($NX153:$NY153,"Carregar")&gt;0," · em dois turnos","")))</f>
        <v/>
      </c>
      <c r="PP153" s="152">
        <f>IF($MJ153&lt;&gt;"",$MJ153,IF($MW153=0,"",INDEX($AA$2:$AA$11,$MW153)))</f>
        <v/>
      </c>
      <c r="PQ153" s="152">
        <f>IF(OR($MQ153=0,$MW153=0),"",IF(COUNTIF($MK153:$MN153,"Inescapável")&gt;0,"Automático",IF($PP153="Ataque",IF($MU153="","Ataque","Ataque "&amp;IF(($MU153+2*IF(COUNTIF($MK153:$MN153,"Precisão")&gt;0,1,0))&gt;=0,"+","−")&amp;ABS(($MU153+2*IF(COUNTIF($MK153:$MN153,"Precisão")&gt;0,1,0))))&amp;IF($NQ153&gt;0," · TR"&amp;IF($MV153="",""," CD "&amp;$MV153),""),IF(LEFT($PP153,2)="TR",$PP153&amp;IF($MV153="",""," · CD "&amp;$MV153)&amp;IF(COUNTIF($MK153:$MN153,"Certeiro")&gt;0," · metade",""),"Sem rolagem"))))</f>
        <v/>
      </c>
      <c r="PR153" s="152">
        <f>IF(OR($MQ153=0,$MW153=0),"",IF($MF153=0,IF(OR($NT153&gt;=1,$OQ153=0),"Sem dano",$OQ153&amp;"d6"&amp;IF($MI153="",""," "&amp;$MI153)),IF(OR($NT153&gt;=1,$OQ153=0),UPPER(LEFT(INDEX($OZ153:$PF153,1,MAX(1,$MF153)),1))&amp;MID(INDEX($OZ153:$PF153,1,MAX(1,$MF153)),2,99),UPPER(LEFT(INDEX($OZ153:$PF153,1,MAX(1,$MF153)),1))&amp;MID(INDEX($OZ153:$PF153,1,MAX(1,$MF153)),2,99)&amp;IF($MI153="",""," "&amp;$MI153)&amp;IF($OR153&gt;0," · +"&amp;$OR153&amp;"d8",""))))</f>
        <v/>
      </c>
      <c r="PS153" s="152">
        <f>COUNTIF($MK153:$MN153,"Longe")+3*COUNTIF($MK153:$MN153,"Muito Longe")</f>
        <v/>
      </c>
      <c r="PT153" s="152">
        <f>COUNTIF($MK153:$MN153,"Maior")+3*COUNTIF($MK153:$MN153,"Muito Maior")</f>
        <v/>
      </c>
      <c r="PU153" s="152">
        <f>IF($MW153=0,0,CHOOSE(1+INDEX($AC$2:$AC$11,$MW153),0,$PS153,$PT153,$PS153+$PT153))</f>
        <v/>
      </c>
      <c r="PV153" s="152">
        <f>IF($MW153=0,0,CHOOSE(1+INDEX($AD$2:$AD$11,$MW153),0,$PS153,$PT153,$PS153+$PT153))</f>
        <v/>
      </c>
      <c r="PW153" s="152">
        <f>IF(OR($MQ153=0,$MW153=0),"",INDEX($AI$2:$AN$41,($MW153-1)*4+IF($MF153=0,1,IF($MF153&lt;=5,2,IF($MF153=6,3,4))),1+MIN(5,$PU153))&amp;INDEX($AO$2:$AT$41,($MW153-1)*4+IF($MF153=0,1,IF($MF153&lt;=5,2,IF($MF153=6,3,4))),1+MIN(5,$PV153))&amp;IF(INDEX($AE$2:$AE$11,$MW153)=1,IF(COUNTIF($MK153:$MN153,"Mais Um")&gt;0," · +"&amp;COUNTIF($MK153:$MN153,"Mais Um")&amp;IF(COUNTIF($MK153:$MN153,"Mais Um")&gt;1," alvos"," alvo"),"")&amp;IF(COUNTIF($MK153:$MN153,"Rajada")&gt;0,IF($MF153=0," · 1 tiro"," · "&amp;(MAX(1,$MF153-1)+1)&amp;" tiros"),""),""))</f>
        <v/>
      </c>
      <c r="PX153" s="152">
        <f>IF($MQ153=0,"",IF($MF153=0,$MT153&amp;"d6"&amp;IF($OH153&gt;0," − 1 = "&amp;$OQ153&amp;"d6"," da básica do nível "&amp;$MR153),$OO153&amp;" − "&amp;$OJ153&amp;" + "&amp;$OM153&amp;" = "&amp;$OP153&amp;" · teto "&amp;4*$MF153&amp;"d8"&amp;IF($NS153=1," · a Forma devolve "&amp;$MF153,"")&amp;IF($ON153&gt;0," · perde "&amp;$ON153,"")))</f>
        <v/>
      </c>
      <c r="PY153" s="152">
        <f>IF($MQ153=0,"",IF($MF153=0,"A básica não amplia: os dados dela sobem com o nível",IF($MF153&gt;=$MS153,"Já está na maior Classe que o nível liberou",TEXTJOIN(" · ",TRUE,IF(AND(2&gt;$MF153,2&lt;=$MS153),"2 → "&amp;$PA153&amp;", 6 PE",""),IF(AND(3&gt;$MF153,3&lt;=$MS153),"3 → "&amp;$PB153&amp;", 9 PE",""),IF(AND(4&gt;$MF153,4&lt;=$MS153),"4 → "&amp;$PC153&amp;", 12 PE",""),IF(AND(5&gt;$MF153,5&lt;=$MS153),"5 → "&amp;$PD153&amp;", 15 PE",""),IF(AND(6&gt;$MF153,6&lt;=$MS153),"6 → "&amp;$PE153&amp;", 18 PE",""),IF(AND(7&gt;$MF153,7&lt;=$MS153),"7 → "&amp;$PF153&amp;", 21 PE","")))))</f>
        <v/>
      </c>
      <c r="PZ153" s="152">
        <f>IF(OR($MQ153=0,$NB153=0),"",IF($MF153=0,"−1 dado","−"&amp;INDEX($I$2:$N$8,MAX(1,$MF153),MAX(1,$NG153))&amp;" · "&amp;CHOOSE(MAX(1,$NG153),"Leve","Média","Pesada","Leve · Livre","Média · Livre","Pesada · Livre")))</f>
        <v/>
      </c>
      <c r="QA153" s="152">
        <f>IF(OR($MQ153=0,$NC153=0),"",IF($MF153=0,"−1 dado","−"&amp;INDEX($I$2:$N$8,MAX(1,$MF153),MAX(1,$NH153))&amp;" · "&amp;CHOOSE(MAX(1,$NH153),"Leve","Média","Pesada","Leve · Livre","Média · Livre","Pesada · Livre")))</f>
        <v/>
      </c>
      <c r="QB153" s="152">
        <f>IF(OR($MQ153=0,$ND153=0),"",IF($MF153=0,"−1 dado","−"&amp;INDEX($I$2:$N$8,MAX(1,$MF153),MAX(1,$NI153))&amp;" · "&amp;CHOOSE(MAX(1,$NI153),"Leve","Média","Pesada","Leve · Livre","Média · Livre","Pesada · Livre")))</f>
        <v/>
      </c>
      <c r="QC153" s="152">
        <f>IF(OR($MQ153=0,$NE153=0),"",IF($MF153=0,"−1 dado","−"&amp;INDEX($I$2:$N$8,MAX(1,$MF153),MAX(1,$NJ153))&amp;" · "&amp;CHOOSE(MAX(1,$NJ153),"Leve","Média","Pesada","Leve · Livre","Média · Livre","Pesada · Livre")))</f>
        <v/>
      </c>
      <c r="QD153" s="152">
        <f>IF(OR($MQ153=0,$MO153=""),"",IF($MF153=0,"não devolve","+"&amp;IF($NV153=1,CEILING($MF153/2,1),$MF153)))</f>
        <v/>
      </c>
      <c r="QE153" s="152">
        <f>IF(OR($MQ153=0,$MP153=""),"",IF($MF153=0,"não devolve","+"&amp;IF($NW153=1,CEILING($MF153/2,1),$MF153)))</f>
        <v/>
      </c>
    </row>
    <row r="154">
      <c r="MA154" s="150" t="inlineStr">
        <is>
          <t>Ficha 12 · Especial 8</t>
        </is>
      </c>
      <c r="MB154" s="152" t="n">
        <v>12</v>
      </c>
      <c r="MC154" s="152" t="n">
        <v>1</v>
      </c>
      <c r="MD154" s="152" t="n">
        <v>28</v>
      </c>
      <c r="ME154" s="150" t="inlineStr">
        <is>
          <t>ESPECIAL 8</t>
        </is>
      </c>
      <c r="MF154" s="152">
        <f>MAX(1,MIN(7,N('INVOCAÇÕES'!$AB$1126)))</f>
        <v/>
      </c>
      <c r="MG154" s="152">
        <f>'INVOCAÇÕES'!$AC$1126&amp;""</f>
        <v/>
      </c>
      <c r="MH154" s="152">
        <f>'INVOCAÇÕES'!$AB$1131&amp;""</f>
        <v/>
      </c>
      <c r="MI154" s="152">
        <f>'INVOCAÇÕES'!$AB$1132&amp;""</f>
        <v/>
      </c>
      <c r="MJ154" s="152">
        <f>'INVOCAÇÕES'!$AD$1132&amp;""</f>
        <v/>
      </c>
      <c r="MK154" s="152">
        <f>'INVOCAÇÕES'!$AC$1135&amp;""</f>
        <v/>
      </c>
      <c r="ML154" s="152">
        <f>'INVOCAÇÕES'!$AC$1136&amp;""</f>
        <v/>
      </c>
      <c r="MM154" s="152">
        <f>'INVOCAÇÕES'!$AC$1137&amp;""</f>
        <v/>
      </c>
      <c r="MN154" s="152">
        <f>'INVOCAÇÕES'!$AC$1138&amp;""</f>
        <v/>
      </c>
      <c r="MO154" s="152">
        <f>'INVOCAÇÕES'!$AC$1139&amp;""</f>
        <v/>
      </c>
      <c r="MP154" s="152">
        <f>'INVOCAÇÕES'!$AC$1140&amp;""</f>
        <v/>
      </c>
      <c r="MQ154" s="152">
        <f>IF($MG154&lt;&gt;"",1,0)</f>
        <v/>
      </c>
      <c r="MR154" s="152">
        <f>INDEX($FI$2:$FI$13,$MB154)</f>
        <v/>
      </c>
      <c r="MS154" s="152">
        <f>INDEX($FJ$2:$FJ$13,$MB154)</f>
        <v/>
      </c>
      <c r="MT154" s="152">
        <f>INDEX($FK$2:$FK$13,$MB154)</f>
        <v/>
      </c>
      <c r="MU154" s="152">
        <f>INDEX($FV$2:$FV$13,$MB154)</f>
        <v/>
      </c>
      <c r="MV154" s="152">
        <f>INDEX($FW$2:$FW$13,$MB154)</f>
        <v/>
      </c>
      <c r="MW154" s="152">
        <f>IFERROR(MATCH($MH154,$V$2:$V$11,0),0)</f>
        <v/>
      </c>
      <c r="MX154" s="152">
        <f>IFERROR(VLOOKUP($MK154,$AV$2:$BA$84,2,FALSE),"")</f>
        <v/>
      </c>
      <c r="MY154" s="152">
        <f>IFERROR(VLOOKUP($ML154,$AV$2:$BA$84,2,FALSE),"")</f>
        <v/>
      </c>
      <c r="MZ154" s="152">
        <f>IFERROR(VLOOKUP($MM154,$AV$2:$BA$84,2,FALSE),"")</f>
        <v/>
      </c>
      <c r="NA154" s="152">
        <f>IFERROR(VLOOKUP($MN154,$AV$2:$BA$84,2,FALSE),"")</f>
        <v/>
      </c>
      <c r="NB154" s="152">
        <f>IFERROR(VLOOKUP($MK154,$AV$2:$BA$84,3,FALSE),0)</f>
        <v/>
      </c>
      <c r="NC154" s="152">
        <f>IFERROR(VLOOKUP($ML154,$AV$2:$BA$84,3,FALSE),0)</f>
        <v/>
      </c>
      <c r="ND154" s="152">
        <f>IFERROR(VLOOKUP($MM154,$AV$2:$BA$84,3,FALSE),0)</f>
        <v/>
      </c>
      <c r="NE154" s="152">
        <f>IFERROR(VLOOKUP($MN154,$AV$2:$BA$84,3,FALSE),0)</f>
        <v/>
      </c>
      <c r="NF154" s="152">
        <f>IF($MF154=0,0,IF($MW154=0,0,INDEX($X$2:$X$11,$MW154)))</f>
        <v/>
      </c>
      <c r="NG154" s="152">
        <f>IF(OR($NB154=0,$MF154=0),0,$NB154+3*IF(AND($MX154&lt;&gt;"",OR($MX154=INDEX($EF$2:$EF$13,$MB154),$MX154=INDEX($EG$2:$EG$13,$MB154))),1,0))</f>
        <v/>
      </c>
      <c r="NH154" s="152">
        <f>IF(OR($NC154=0,$MF154=0),0,$NC154+3*IF(AND($MY154&lt;&gt;"",OR($MY154=INDEX($EF$2:$EF$13,$MB154),$MY154=INDEX($EG$2:$EG$13,$MB154))),1,0))</f>
        <v/>
      </c>
      <c r="NI154" s="152">
        <f>IF(OR($ND154=0,$MF154=0),0,$ND154+3*IF(AND($MZ154&lt;&gt;"",OR($MZ154=INDEX($EF$2:$EF$13,$MB154),$MZ154=INDEX($EG$2:$EG$13,$MB154))),1,0))</f>
        <v/>
      </c>
      <c r="NJ154" s="152">
        <f>IF(OR($NE154=0,$MF154=0),0,$NE154+3*IF(AND($NA154&lt;&gt;"",OR($NA154=INDEX($EF$2:$EF$13,$MB154),$NA154=INDEX($EG$2:$EG$13,$MB154))),1,0))</f>
        <v/>
      </c>
      <c r="NK154" s="152">
        <f>IF($MW154=0,0,IF(INDEX($W$2:$W$11,$MW154)="",0,IF(COUNTIF(INDEX($EF$2:$EJ$13,$MB154,0),INDEX($W$2:$W$11,$MW154))=0,1,0)))</f>
        <v/>
      </c>
      <c r="NL154" s="152">
        <f>IF(OR($NB154=0,$MX154=""),0,IF(COUNTIF(INDEX($EF$2:$EJ$13,$MB154,0),$MX154)=0,1,0))</f>
        <v/>
      </c>
      <c r="NM154" s="152">
        <f>IF(OR($NC154=0,$MY154=""),0,IF(COUNTIF(INDEX($EF$2:$EJ$13,$MB154,0),$MY154)=0,1,0))</f>
        <v/>
      </c>
      <c r="NN154" s="152">
        <f>IF(OR($ND154=0,$MZ154=""),0,IF(COUNTIF(INDEX($EF$2:$EJ$13,$MB154,0),$MZ154)=0,1,0))</f>
        <v/>
      </c>
      <c r="NO154" s="152">
        <f>IF(OR($NE154=0,$NA154=""),0,IF(COUNTIF(INDEX($EF$2:$EJ$13,$MB154,0),$NA154)=0,1,0))</f>
        <v/>
      </c>
      <c r="NP154" s="152">
        <f>IFERROR(VLOOKUP($MK154,$AV$2:$BA$84,4,FALSE),0)+IFERROR(VLOOKUP($ML154,$AV$2:$BA$84,4,FALSE),0)+IFERROR(VLOOKUP($MM154,$AV$2:$BA$84,4,FALSE),0)+IFERROR(VLOOKUP($MN154,$AV$2:$BA$84,4,FALSE),0)</f>
        <v/>
      </c>
      <c r="NQ154" s="152">
        <f>IFERROR(VLOOKUP($MK154,$AV$2:$BA$84,6,FALSE),0)+IFERROR(VLOOKUP($ML154,$AV$2:$BA$84,6,FALSE),0)+IFERROR(VLOOKUP($MM154,$AV$2:$BA$84,6,FALSE),0)+IFERROR(VLOOKUP($MN154,$AV$2:$BA$84,6,FALSE),0)</f>
        <v/>
      </c>
      <c r="NR154" s="152">
        <f>TEXTJOIN(", ",TRUE,IF(IFERROR(VLOOKUP($MK154,$AV$2:$BA$84,5,FALSE),0)=1,$MK154,""),IF(IFERROR(VLOOKUP($ML154,$AV$2:$BA$84,5,FALSE),0)=1,$ML154,""),IF(IFERROR(VLOOKUP($MM154,$AV$2:$BA$84,5,FALSE),0)=1,$MM154,""),IF(IFERROR(VLOOKUP($MN154,$AV$2:$BA$84,5,FALSE),0)=1,$MN154,""))</f>
        <v/>
      </c>
      <c r="NS154" s="152">
        <f>IF($MW154=0,0,INDEX($Y$2:$Y$11,$MW154))</f>
        <v/>
      </c>
      <c r="NT154" s="152">
        <f>IF($MW154=0,0,INDEX($Z$2:$Z$11,$MW154))</f>
        <v/>
      </c>
      <c r="NU154" s="152">
        <f>IF($MW154=0,0,INDEX($AB$2:$AB$11,$MW154))</f>
        <v/>
      </c>
      <c r="NV154" s="152">
        <f>IFERROR(VLOOKUP($MO154,$BC$2:$BG$24,3,FALSE),0)</f>
        <v/>
      </c>
      <c r="NW154" s="152">
        <f>IFERROR(VLOOKUP($MP154,$BC$2:$BG$24,3,FALSE),0)</f>
        <v/>
      </c>
      <c r="NX154" s="152">
        <f>IFERROR(VLOOKUP($MO154,$BC$2:$BG$24,2,FALSE),"")</f>
        <v/>
      </c>
      <c r="NY154" s="152">
        <f>IFERROR(VLOOKUP($MP154,$BC$2:$BG$24,2,FALSE),"")</f>
        <v/>
      </c>
      <c r="NZ154" s="152">
        <f>COUNTIF($NF154:$NJ154,1)</f>
        <v/>
      </c>
      <c r="OA154" s="152">
        <f>COUNTIF($NF154:$NJ154,2)</f>
        <v/>
      </c>
      <c r="OB154" s="152">
        <f>COUNTIF($NF154:$NJ154,3)</f>
        <v/>
      </c>
      <c r="OC154" s="152">
        <f>COUNTIF($NF154:$NJ154,4)</f>
        <v/>
      </c>
      <c r="OD154" s="152">
        <f>COUNTIF($NF154:$NJ154,5)</f>
        <v/>
      </c>
      <c r="OE154" s="152">
        <f>COUNTIF($NF154:$NJ154,6)</f>
        <v/>
      </c>
      <c r="OF154" s="152">
        <f>COUNTIF($NV154:$NW154,1)</f>
        <v/>
      </c>
      <c r="OG154" s="152">
        <f>COUNTIF($NV154:$NW154,2)+$NS154</f>
        <v/>
      </c>
      <c r="OH154" s="152">
        <f>COUNTIF($MK154:$MN154,"?*")</f>
        <v/>
      </c>
      <c r="OI154" s="152">
        <f>COUNTIF($MO154:$MP154,"?*")+$NS154</f>
        <v/>
      </c>
      <c r="OJ154" s="152">
        <f>IF($MF154=0,0,SUMPRODUCT($NZ154:$OE154,INDEX($I$2:$N$8,MAX(1,$MF154),0)))</f>
        <v/>
      </c>
      <c r="OK154" s="152">
        <f>IF($MF154=0,0,$OF154*CEILING($MF154/2,1)+$OG154*$MF154)</f>
        <v/>
      </c>
      <c r="OL154" s="152">
        <f>MIN(2*$MF154,$OK154)</f>
        <v/>
      </c>
      <c r="OM154" s="152">
        <f>MIN($OL154,$OJ154)</f>
        <v/>
      </c>
      <c r="ON154" s="152">
        <f>$OL154-$OM154</f>
        <v/>
      </c>
      <c r="OO154" s="152">
        <f>IF($MF154=0,0,INDEX($P$2:$P$8,MAX(1,$MF154)))</f>
        <v/>
      </c>
      <c r="OP154" s="152">
        <f>$OO154-$OJ154+$OM154</f>
        <v/>
      </c>
      <c r="OQ154" s="152">
        <f>IF($MF154=0,MAX(0,$MT154-IF($OH154&gt;0,1,0)),MAX(0,$OP154))</f>
        <v/>
      </c>
      <c r="OR154" s="152">
        <f>IF($MF154=0,0,(IF(COUNTIF($MK154:$MN154,"Salto")&gt;0,1,0)+IF(COUNTIF($MK154:$MN154,"Queima")&gt;0,1,0)+IF(COUNTIF($MK154:$MN154,"Estilhaço")&gt;0,1,0))*FLOOR($OQ154/2,1))</f>
        <v/>
      </c>
      <c r="OS154" s="152">
        <f>MAX(0,2-SUMPRODUCT($NZ154:$OE154,$I$2:$N$2)+MIN(2,$OF154*1+$OG154*1,SUMPRODUCT($NZ154:$OE154,$I$2:$N$2)))</f>
        <v/>
      </c>
      <c r="OT154" s="152">
        <f>MAX(0,4-SUMPRODUCT($NZ154:$OE154,$I$3:$N$3)+MIN(4,$OF154*1+$OG154*2,SUMPRODUCT($NZ154:$OE154,$I$3:$N$3)))</f>
        <v/>
      </c>
      <c r="OU154" s="152">
        <f>MAX(0,6-SUMPRODUCT($NZ154:$OE154,$I$4:$N$4)+MIN(6,$OF154*2+$OG154*3,SUMPRODUCT($NZ154:$OE154,$I$4:$N$4)))</f>
        <v/>
      </c>
      <c r="OV154" s="152">
        <f>MAX(0,9-SUMPRODUCT($NZ154:$OE154,$I$5:$N$5)+MIN(8,$OF154*2+$OG154*4,SUMPRODUCT($NZ154:$OE154,$I$5:$N$5)))</f>
        <v/>
      </c>
      <c r="OW154" s="152">
        <f>MAX(0,11-SUMPRODUCT($NZ154:$OE154,$I$6:$N$6)+MIN(10,$OF154*3+$OG154*5,SUMPRODUCT($NZ154:$OE154,$I$6:$N$6)))</f>
        <v/>
      </c>
      <c r="OX154" s="152">
        <f>MAX(0,13-SUMPRODUCT($NZ154:$OE154,$I$7:$N$7)+MIN(12,$OF154*3+$OG154*6,SUMPRODUCT($NZ154:$OE154,$I$7:$N$7)))</f>
        <v/>
      </c>
      <c r="OY154" s="152">
        <f>MAX(0,16-SUMPRODUCT($NZ154:$OE154,$I$8:$N$8)+MIN(14,$OF154*4+$OG154*7,SUMPRODUCT($NZ154:$OE154,$I$8:$N$8)))</f>
        <v/>
      </c>
      <c r="OZ154" s="152">
        <f>IF($NT154=2,3*$OS154&amp;" de vida temp.",IF($NT154=3,"sem dano",IF($OS154=0,IF($NT154=1,"sem cura","sem dano"),IF($NT154=1,"cura ","")&amp;$OS154&amp;"d8")))</f>
        <v/>
      </c>
      <c r="PA154" s="152">
        <f>IF($NT154=2,3*$OT154&amp;" de vida temp.",IF($NT154=3,"sem dano",IF($OT154=0,IF($NT154=1,"sem cura","sem dano"),IF($NT154=1,"cura ","")&amp;$OT154&amp;"d8")))</f>
        <v/>
      </c>
      <c r="PB154" s="152">
        <f>IF($NT154=2,3*$OU154&amp;" de vida temp.",IF($NT154=3,"sem dano",IF($OU154=0,IF($NT154=1,"sem cura","sem dano"),IF($NT154=1,"cura ","")&amp;$OU154&amp;"d8")))</f>
        <v/>
      </c>
      <c r="PC154" s="152">
        <f>IF($NT154=2,3*$OV154&amp;" de vida temp.",IF($NT154=3,"sem dano",IF($OV154=0,IF($NT154=1,"sem cura","sem dano"),IF($NT154=1,"cura ","")&amp;$OV154&amp;"d8")))</f>
        <v/>
      </c>
      <c r="PD154" s="152">
        <f>IF($NT154=2,3*$OW154&amp;" de vida temp.",IF($NT154=3,"sem dano",IF($OW154=0,IF($NT154=1,"sem cura","sem dano"),IF($NT154=1,"cura ","")&amp;$OW154&amp;"d8")))</f>
        <v/>
      </c>
      <c r="PE154" s="152">
        <f>IF($NT154=2,3*$OX154&amp;" de vida temp.",IF($NT154=3,"sem dano",IF($OX154=0,IF($NT154=1,"sem cura","sem dano"),IF($NT154=1,"cura ","")&amp;$OX154&amp;"d8")))</f>
        <v/>
      </c>
      <c r="PF154" s="152">
        <f>IF($NT154=2,3*$OY154&amp;" de vida temp.",IF($NT154=3,"sem dano",IF($OY154=0,IF($NT154=1,"sem cura","sem dano"),IF($NT154=1,"cura ","")&amp;$OY154&amp;"d8")))</f>
        <v/>
      </c>
      <c r="PG154" s="152">
        <f>IF($MQ154=0,"",TEXTJOIN(" · ",TRUE,IF($MD154&gt;$MR154,"Este lugar abre no nível "&amp;$MD154,""),IF($MF154&gt;$MS154,"Classe "&amp;$MF154&amp;": o nível "&amp;$MR154&amp;" libera até a "&amp;$MS154,""),IF($NK154=1,"A Forma "&amp;$MH154&amp;" pede "&amp;INDEX($W$2:$W$11,$MW154)&amp;" aberta",""),IF(AND($MF154=0,$MW154&gt;0,IF($MW154=0,0,INDEX($AF$2:$AF$11,$MW154))=0),$MH154&amp;" não existe na Classe 0",""),IF($NL154=1,"Família Fechada: "&amp;$MK154,""),IF($NM154=1,"Família Fechada: "&amp;$ML154,""),IF($NN154=1,"Família Fechada: "&amp;$MM154,""),IF($NO154=1,"Família Fechada: "&amp;$MN154,""),IF(AND($MF154&gt;0,$OH154&gt;INDEX($O$2:$O$8,MAX(1,$MF154))),$OH154&amp;" Melhorias: a Classe "&amp;$MF154&amp;" aceita "&amp;INDEX($O$2:$O$8,MAX(1,$MF154)),""),IF(AND($MF154=0,$OH154&gt;1),"A básica aceita uma Melhoria",""),IF(AND($MF154=0,COUNTIF($NB154:$NE154,"&gt;1")&gt;0),"A básica só aceita Melhoria Leve",""),IF(AND($MF154&gt;0,$OI154&gt;2),$OI154&amp;" Restrições"&amp;IF($NS154=1,", contando a que a Forma "&amp;$MH154&amp;" já traz","")&amp;": o limite é 2",""),IF(AND($MF154=0,COUNTIF($MO154:$MP154,"?*")&gt;1),"A básica aceita uma Restrição Leve",""),IF(AND($MF154=0,COUNTIF($NV154:$NW154,2)&gt;0),"A básica só aceita Restrição Leve",""),IF(AND($MF154&gt;0,$OP154&lt;0),"Orçamento estourado: faltam "&amp;(-$OP154)&amp;IF($OP154&lt;-1," pontos"," ponto"),""),IF(IFERROR(VLOOKUP($MO154,$BC$2:$BG$24,4,FALSE),0)+IFERROR(VLOOKUP($MP154,$BC$2:$BG$24,4,FALSE),0)&gt;1,$NX154&amp;" e "&amp;$NY154&amp;" são as duas de frequência",""),IF(AND((COUNTIF($MK154:$MN154,"Rápido")+COUNTIF($NX154:$NY154,"Rápido"))&gt;0,(COUNTIF($MK154:$MN154,"Atrasar")+COUNTIF($NX154:$NY154,"Atrasar"))&gt;0),"Rápido não entra com Atrasar",""),IF(AND((COUNTIF($MK154:$MN154,"Reação")+COUNTIF($NX154:$NY154,"Reação"))&gt;0,(COUNTIF($MK154:$MN154,"Rápido")+COUNTIF($NX154:$NY154,"Rápido"))&gt;0),"Reação não entra com Rápido",""),IF(AND((COUNTIF($MK154:$MN154,"Reação")+COUNTIF($NX154:$NY154,"Reação"))&gt;0,(COUNTIF($MK154:$MN154,"Armado")+COUNTIF($NX154:$NY154,"Armado"))&gt;0),"Reação não entra com Armado",""),IF(AND((COUNTIF($MK154:$MN154,"Reação")+COUNTIF($NX154:$NY154,"Reação"))&gt;0,(COUNTIF($MK154:$MN154,"Atrasar")+COUNTIF($NX154:$NY154,"Atrasar"))&gt;0),"Reação não entra com Atrasar",""),IF(AND((COUNTIF($MK154:$MN154,"Reação")+COUNTIF($NX154:$NY154,"Reação"))&gt;0,(COUNTIF($MK154:$MN154,"Parado")+COUNTIF($NX154:$NY154,"Parado"))&gt;0),"Reação não entra com Parado",""),IF(AND((COUNTIF($MK154:$MN154,"Atrasar")+COUNTIF($NX154:$NY154,"Atrasar"))&gt;0,(COUNTIF($MK154:$MN154,"Parado")+COUNTIF($NX154:$NY154,"Parado"))&gt;0),"Atrasar não entra com Parado",""),IF(AND((COUNTIF($MK154:$MN154,"Armado")+COUNTIF($NX154:$NY154,"Armado"))&gt;0,(COUNTIF($MK154:$MN154,"Carregar")+COUNTIF($NX154:$NY154,"Carregar"))&gt;0),"Armado não entra com Carregar",""),IF(AND(COUNTIF($NX154:$NY154,"Corpo a Corpo")&gt;0,$NS154=0,OR($MH154="Cone",$MH154="Linha")),"Corpo a Corpo não entra em "&amp;$MH154,""),IF(AND(COUNTIF($NX154:$NY154,"Corpo a Corpo")&gt;0,$NS154=1),"A Forma "&amp;$MH154&amp;" já traz o Corpo a Corpo",""),IF(AND(COUNTIF($NX154:$NY154,"Tudo ou Nada")&gt;0,$NU154=0),"Tudo ou Nada só entra em habilidade de Teste de Resistência",""),IF(AND(COUNTIF($MK154:$MN154,"Inescapável")&gt;0,OR($OH154&gt;1,$OI154&gt;0)),"Inescapável não aceita outra peça",""),IF(AND($MF154&gt;0,$OQ154*IF(COUNTIF($MK154:$MN154,"Remate")&gt;0,1.25,1)+$OR154&gt;4*$MF154),($OQ154*IF(COUNTIF($MK154:$MN154,"Remate")&gt;0,1.25,1)+$OR154)&amp;" dados somando repetições"&amp;IF(COUNTIF($MK154:$MN154,"Remate")&gt;0," e o Remate","")&amp;": o teto da Classe "&amp;$MF154&amp;" é "&amp;4*$MF154,"")))</f>
        <v/>
      </c>
      <c r="PH154" s="152">
        <f>IF($PG154="",0,(LEN($PG154)-LEN(SUBSTITUTE($PG154," · ","")))/3+1)</f>
        <v/>
      </c>
      <c r="PI154" s="152">
        <f>IF($MQ154=0,"",TEXTJOIN(" · ",TRUE,IF($OK154&gt;2*$MF154,"A devolução parou no teto de "&amp;2*$MF154,""),IF($ON154&gt;0,"Devolução perdida: "&amp;$ON154&amp;IF($ON154&gt;1," pontos"," ponto")&amp;" sem peça para pagar",""),IF(AND($NP154&gt;0,AND($MF154&gt;0,$NT154=0),$OQ154=0),"Controle sem dano: uma rodada a mais e CD +2",""),IF(AND($NP154&gt;0,AND($MF154&gt;0,$NT154=0),$OQ154&gt;0,$OQ154&lt;=$MF154),"Controle com saldo até a Classe: uma rodada a mais",""),IF(AND($MF154&gt;0,$NR154&lt;&gt;""),"Efeito de "&amp;$NR154&amp;" pela Classe "&amp;MAX(1,$MF154-1),"")))</f>
        <v/>
      </c>
      <c r="PJ154" s="152">
        <f>IF($PI154="",0,(LEN($PI154)-LEN(SUBSTITUTE($PI154," · ","")))/3+1)</f>
        <v/>
      </c>
      <c r="PK154" s="152">
        <f>IF($MQ154=0,IF($OH154+COUNTIF($MO154:$MP154,"?*")&gt;0,"Dê um nome",""),IF($PH154&gt;0,"⚠ "&amp;$PH154&amp;IF($PH154&gt;1," erros"," erro"),IF($PJ154&gt;0,"! "&amp;$PJ154&amp;IF($PJ154&gt;1," avisos"," aviso"),"Na regra")))</f>
        <v/>
      </c>
      <c r="PL154" s="152">
        <f>IF($MQ154=0,"",IF($PH154+$PJ154=0,"Dentro das regras que a ficha confere",$PG154&amp;IF(AND($PH154&gt;0,$PJ154&gt;0)," · ","")&amp;$PI154))</f>
        <v/>
      </c>
      <c r="PM154" s="152">
        <f>IF($MD154&gt;$MR154,$ME154&amp;" · ABRE NO NÍVEL "&amp;$MD154,$ME154)</f>
        <v/>
      </c>
      <c r="PN154" s="152">
        <f>IF($MQ154=0,"",IF($MF154=0,"Sem PE",3*$MF154&amp;" PE"))</f>
        <v/>
      </c>
      <c r="PO154" s="152">
        <f>IF($MQ154=0,"",IF($MF154=0,"A atuação básica dela",IF(COUNTIF($NX154:$NY154,"Atrasar")&gt;0,"Sua Ação Completa",IF(COUNTIF($MK154:$MN154,"Rápido")&gt;0,"Sua Bônus",IF(COUNTIF($MK154:$MN154,"Reação")&gt;0,"Sua Reação","Sua Padrão")))&amp;" + a básica dela"&amp;IF(COUNTIF($MK154:$MN154,"Reação")&gt;0," e a coletiva","")&amp;IF(COUNTIF($NX154:$NY154,"Carregar")&gt;0," · em dois turnos","")))</f>
        <v/>
      </c>
      <c r="PP154" s="152">
        <f>IF($MJ154&lt;&gt;"",$MJ154,IF($MW154=0,"",INDEX($AA$2:$AA$11,$MW154)))</f>
        <v/>
      </c>
      <c r="PQ154" s="152">
        <f>IF(OR($MQ154=0,$MW154=0),"",IF(COUNTIF($MK154:$MN154,"Inescapável")&gt;0,"Automático",IF($PP154="Ataque",IF($MU154="","Ataque","Ataque "&amp;IF(($MU154+2*IF(COUNTIF($MK154:$MN154,"Precisão")&gt;0,1,0))&gt;=0,"+","−")&amp;ABS(($MU154+2*IF(COUNTIF($MK154:$MN154,"Precisão")&gt;0,1,0))))&amp;IF($NQ154&gt;0," · TR"&amp;IF($MV154="",""," CD "&amp;$MV154),""),IF(LEFT($PP154,2)="TR",$PP154&amp;IF($MV154="",""," · CD "&amp;$MV154)&amp;IF(COUNTIF($MK154:$MN154,"Certeiro")&gt;0," · metade",""),"Sem rolagem"))))</f>
        <v/>
      </c>
      <c r="PR154" s="152">
        <f>IF(OR($MQ154=0,$MW154=0),"",IF($MF154=0,IF(OR($NT154&gt;=1,$OQ154=0),"Sem dano",$OQ154&amp;"d6"&amp;IF($MI154="",""," "&amp;$MI154)),IF(OR($NT154&gt;=1,$OQ154=0),UPPER(LEFT(INDEX($OZ154:$PF154,1,MAX(1,$MF154)),1))&amp;MID(INDEX($OZ154:$PF154,1,MAX(1,$MF154)),2,99),UPPER(LEFT(INDEX($OZ154:$PF154,1,MAX(1,$MF154)),1))&amp;MID(INDEX($OZ154:$PF154,1,MAX(1,$MF154)),2,99)&amp;IF($MI154="",""," "&amp;$MI154)&amp;IF($OR154&gt;0," · +"&amp;$OR154&amp;"d8",""))))</f>
        <v/>
      </c>
      <c r="PS154" s="152">
        <f>COUNTIF($MK154:$MN154,"Longe")+3*COUNTIF($MK154:$MN154,"Muito Longe")</f>
        <v/>
      </c>
      <c r="PT154" s="152">
        <f>COUNTIF($MK154:$MN154,"Maior")+3*COUNTIF($MK154:$MN154,"Muito Maior")</f>
        <v/>
      </c>
      <c r="PU154" s="152">
        <f>IF($MW154=0,0,CHOOSE(1+INDEX($AC$2:$AC$11,$MW154),0,$PS154,$PT154,$PS154+$PT154))</f>
        <v/>
      </c>
      <c r="PV154" s="152">
        <f>IF($MW154=0,0,CHOOSE(1+INDEX($AD$2:$AD$11,$MW154),0,$PS154,$PT154,$PS154+$PT154))</f>
        <v/>
      </c>
      <c r="PW154" s="152">
        <f>IF(OR($MQ154=0,$MW154=0),"",INDEX($AI$2:$AN$41,($MW154-1)*4+IF($MF154=0,1,IF($MF154&lt;=5,2,IF($MF154=6,3,4))),1+MIN(5,$PU154))&amp;INDEX($AO$2:$AT$41,($MW154-1)*4+IF($MF154=0,1,IF($MF154&lt;=5,2,IF($MF154=6,3,4))),1+MIN(5,$PV154))&amp;IF(INDEX($AE$2:$AE$11,$MW154)=1,IF(COUNTIF($MK154:$MN154,"Mais Um")&gt;0," · +"&amp;COUNTIF($MK154:$MN154,"Mais Um")&amp;IF(COUNTIF($MK154:$MN154,"Mais Um")&gt;1," alvos"," alvo"),"")&amp;IF(COUNTIF($MK154:$MN154,"Rajada")&gt;0,IF($MF154=0," · 1 tiro"," · "&amp;(MAX(1,$MF154-1)+1)&amp;" tiros"),""),""))</f>
        <v/>
      </c>
      <c r="PX154" s="152">
        <f>IF($MQ154=0,"",IF($MF154=0,$MT154&amp;"d6"&amp;IF($OH154&gt;0," − 1 = "&amp;$OQ154&amp;"d6"," da básica do nível "&amp;$MR154),$OO154&amp;" − "&amp;$OJ154&amp;" + "&amp;$OM154&amp;" = "&amp;$OP154&amp;" · teto "&amp;4*$MF154&amp;"d8"&amp;IF($NS154=1," · a Forma devolve "&amp;$MF154,"")&amp;IF($ON154&gt;0," · perde "&amp;$ON154,"")))</f>
        <v/>
      </c>
      <c r="PY154" s="152">
        <f>IF($MQ154=0,"",IF($MF154=0,"A básica não amplia: os dados dela sobem com o nível",IF($MF154&gt;=$MS154,"Já está na maior Classe que o nível liberou",TEXTJOIN(" · ",TRUE,IF(AND(2&gt;$MF154,2&lt;=$MS154),"2 → "&amp;$PA154&amp;", 6 PE",""),IF(AND(3&gt;$MF154,3&lt;=$MS154),"3 → "&amp;$PB154&amp;", 9 PE",""),IF(AND(4&gt;$MF154,4&lt;=$MS154),"4 → "&amp;$PC154&amp;", 12 PE",""),IF(AND(5&gt;$MF154,5&lt;=$MS154),"5 → "&amp;$PD154&amp;", 15 PE",""),IF(AND(6&gt;$MF154,6&lt;=$MS154),"6 → "&amp;$PE154&amp;", 18 PE",""),IF(AND(7&gt;$MF154,7&lt;=$MS154),"7 → "&amp;$PF154&amp;", 21 PE","")))))</f>
        <v/>
      </c>
      <c r="PZ154" s="152">
        <f>IF(OR($MQ154=0,$NB154=0),"",IF($MF154=0,"−1 dado","−"&amp;INDEX($I$2:$N$8,MAX(1,$MF154),MAX(1,$NG154))&amp;" · "&amp;CHOOSE(MAX(1,$NG154),"Leve","Média","Pesada","Leve · Livre","Média · Livre","Pesada · Livre")))</f>
        <v/>
      </c>
      <c r="QA154" s="152">
        <f>IF(OR($MQ154=0,$NC154=0),"",IF($MF154=0,"−1 dado","−"&amp;INDEX($I$2:$N$8,MAX(1,$MF154),MAX(1,$NH154))&amp;" · "&amp;CHOOSE(MAX(1,$NH154),"Leve","Média","Pesada","Leve · Livre","Média · Livre","Pesada · Livre")))</f>
        <v/>
      </c>
      <c r="QB154" s="152">
        <f>IF(OR($MQ154=0,$ND154=0),"",IF($MF154=0,"−1 dado","−"&amp;INDEX($I$2:$N$8,MAX(1,$MF154),MAX(1,$NI154))&amp;" · "&amp;CHOOSE(MAX(1,$NI154),"Leve","Média","Pesada","Leve · Livre","Média · Livre","Pesada · Livre")))</f>
        <v/>
      </c>
      <c r="QC154" s="152">
        <f>IF(OR($MQ154=0,$NE154=0),"",IF($MF154=0,"−1 dado","−"&amp;INDEX($I$2:$N$8,MAX(1,$MF154),MAX(1,$NJ154))&amp;" · "&amp;CHOOSE(MAX(1,$NJ154),"Leve","Média","Pesada","Leve · Livre","Média · Livre","Pesada · Livre")))</f>
        <v/>
      </c>
      <c r="QD154" s="152">
        <f>IF(OR($MQ154=0,$MO154=""),"",IF($MF154=0,"não devolve","+"&amp;IF($NV154=1,CEILING($MF154/2,1),$MF154)))</f>
        <v/>
      </c>
      <c r="QE154" s="152">
        <f>IF(OR($MQ154=0,$MP154=""),"",IF($MF154=0,"não devolve","+"&amp;IF($NW154=1,CEILING($MF154/2,1),$MF154)))</f>
        <v/>
      </c>
    </row>
    <row r="155">
      <c r="MA155" s="150" t="inlineStr">
        <is>
          <t>Ficha 12 · Escolha da trilha 1</t>
        </is>
      </c>
      <c r="MB155" s="152" t="n">
        <v>12</v>
      </c>
      <c r="MC155" s="152" t="n">
        <v>2</v>
      </c>
      <c r="MD155" s="152" t="n">
        <v>0</v>
      </c>
      <c r="ME155" s="150" t="inlineStr">
        <is>
          <t>ESCOLHA DA TRILHA 1</t>
        </is>
      </c>
      <c r="MF155" s="152">
        <f>MAX(0,MIN(7,N('INVOCAÇÕES'!$AB$1150)))</f>
        <v/>
      </c>
      <c r="MG155" s="152">
        <f>'INVOCAÇÕES'!$AC$1150&amp;""</f>
        <v/>
      </c>
      <c r="MH155" s="152">
        <f>'INVOCAÇÕES'!$AB$1155&amp;""</f>
        <v/>
      </c>
      <c r="MI155" s="152">
        <f>'INVOCAÇÕES'!$AB$1156&amp;""</f>
        <v/>
      </c>
      <c r="MJ155" s="152">
        <f>'INVOCAÇÕES'!$AD$1156&amp;""</f>
        <v/>
      </c>
      <c r="MK155" s="152">
        <f>'INVOCAÇÕES'!$AC$1159&amp;""</f>
        <v/>
      </c>
      <c r="ML155" s="152">
        <f>'INVOCAÇÕES'!$AC$1160&amp;""</f>
        <v/>
      </c>
      <c r="MM155" s="152">
        <f>'INVOCAÇÕES'!$AC$1161&amp;""</f>
        <v/>
      </c>
      <c r="MN155" s="152">
        <f>'INVOCAÇÕES'!$AC$1162&amp;""</f>
        <v/>
      </c>
      <c r="MO155" s="152">
        <f>'INVOCAÇÕES'!$AC$1163&amp;""</f>
        <v/>
      </c>
      <c r="MP155" s="152">
        <f>'INVOCAÇÕES'!$AC$1164&amp;""</f>
        <v/>
      </c>
      <c r="MQ155" s="152">
        <f>IF($MG155&lt;&gt;"",1,0)</f>
        <v/>
      </c>
      <c r="MR155" s="152">
        <f>INDEX($FI$2:$FI$13,$MB155)</f>
        <v/>
      </c>
      <c r="MS155" s="152">
        <f>INDEX($FJ$2:$FJ$13,$MB155)</f>
        <v/>
      </c>
      <c r="MT155" s="152">
        <f>INDEX($FK$2:$FK$13,$MB155)</f>
        <v/>
      </c>
      <c r="MU155" s="152">
        <f>INDEX($FV$2:$FV$13,$MB155)</f>
        <v/>
      </c>
      <c r="MV155" s="152">
        <f>INDEX($FW$2:$FW$13,$MB155)</f>
        <v/>
      </c>
      <c r="MW155" s="152">
        <f>IFERROR(MATCH($MH155,$V$2:$V$11,0),0)</f>
        <v/>
      </c>
      <c r="MX155" s="152">
        <f>IFERROR(VLOOKUP($MK155,$AV$2:$BA$84,2,FALSE),"")</f>
        <v/>
      </c>
      <c r="MY155" s="152">
        <f>IFERROR(VLOOKUP($ML155,$AV$2:$BA$84,2,FALSE),"")</f>
        <v/>
      </c>
      <c r="MZ155" s="152">
        <f>IFERROR(VLOOKUP($MM155,$AV$2:$BA$84,2,FALSE),"")</f>
        <v/>
      </c>
      <c r="NA155" s="152">
        <f>IFERROR(VLOOKUP($MN155,$AV$2:$BA$84,2,FALSE),"")</f>
        <v/>
      </c>
      <c r="NB155" s="152">
        <f>IFERROR(VLOOKUP($MK155,$AV$2:$BA$84,3,FALSE),0)</f>
        <v/>
      </c>
      <c r="NC155" s="152">
        <f>IFERROR(VLOOKUP($ML155,$AV$2:$BA$84,3,FALSE),0)</f>
        <v/>
      </c>
      <c r="ND155" s="152">
        <f>IFERROR(VLOOKUP($MM155,$AV$2:$BA$84,3,FALSE),0)</f>
        <v/>
      </c>
      <c r="NE155" s="152">
        <f>IFERROR(VLOOKUP($MN155,$AV$2:$BA$84,3,FALSE),0)</f>
        <v/>
      </c>
      <c r="NF155" s="152">
        <f>IF($MF155=0,0,IF($MW155=0,0,INDEX($X$2:$X$11,$MW155)))</f>
        <v/>
      </c>
      <c r="NG155" s="152">
        <f>IF(OR($NB155=0,$MF155=0),0,$NB155+3*IF(AND($MX155&lt;&gt;"",OR($MX155=INDEX($EF$2:$EF$13,$MB155),$MX155=INDEX($EG$2:$EG$13,$MB155))),1,0))</f>
        <v/>
      </c>
      <c r="NH155" s="152">
        <f>IF(OR($NC155=0,$MF155=0),0,$NC155+3*IF(AND($MY155&lt;&gt;"",OR($MY155=INDEX($EF$2:$EF$13,$MB155),$MY155=INDEX($EG$2:$EG$13,$MB155))),1,0))</f>
        <v/>
      </c>
      <c r="NI155" s="152">
        <f>IF(OR($ND155=0,$MF155=0),0,$ND155+3*IF(AND($MZ155&lt;&gt;"",OR($MZ155=INDEX($EF$2:$EF$13,$MB155),$MZ155=INDEX($EG$2:$EG$13,$MB155))),1,0))</f>
        <v/>
      </c>
      <c r="NJ155" s="152">
        <f>IF(OR($NE155=0,$MF155=0),0,$NE155+3*IF(AND($NA155&lt;&gt;"",OR($NA155=INDEX($EF$2:$EF$13,$MB155),$NA155=INDEX($EG$2:$EG$13,$MB155))),1,0))</f>
        <v/>
      </c>
      <c r="NK155" s="152">
        <f>IF($MW155=0,0,IF(INDEX($W$2:$W$11,$MW155)="",0,IF(COUNTIF(INDEX($EF$2:$EJ$13,$MB155,0),INDEX($W$2:$W$11,$MW155))=0,1,0)))</f>
        <v/>
      </c>
      <c r="NL155" s="152">
        <f>IF(OR($NB155=0,$MX155=""),0,IF(COUNTIF(INDEX($EF$2:$EJ$13,$MB155,0),$MX155)=0,1,0))</f>
        <v/>
      </c>
      <c r="NM155" s="152">
        <f>IF(OR($NC155=0,$MY155=""),0,IF(COUNTIF(INDEX($EF$2:$EJ$13,$MB155,0),$MY155)=0,1,0))</f>
        <v/>
      </c>
      <c r="NN155" s="152">
        <f>IF(OR($ND155=0,$MZ155=""),0,IF(COUNTIF(INDEX($EF$2:$EJ$13,$MB155,0),$MZ155)=0,1,0))</f>
        <v/>
      </c>
      <c r="NO155" s="152">
        <f>IF(OR($NE155=0,$NA155=""),0,IF(COUNTIF(INDEX($EF$2:$EJ$13,$MB155,0),$NA155)=0,1,0))</f>
        <v/>
      </c>
      <c r="NP155" s="152">
        <f>IFERROR(VLOOKUP($MK155,$AV$2:$BA$84,4,FALSE),0)+IFERROR(VLOOKUP($ML155,$AV$2:$BA$84,4,FALSE),0)+IFERROR(VLOOKUP($MM155,$AV$2:$BA$84,4,FALSE),0)+IFERROR(VLOOKUP($MN155,$AV$2:$BA$84,4,FALSE),0)</f>
        <v/>
      </c>
      <c r="NQ155" s="152">
        <f>IFERROR(VLOOKUP($MK155,$AV$2:$BA$84,6,FALSE),0)+IFERROR(VLOOKUP($ML155,$AV$2:$BA$84,6,FALSE),0)+IFERROR(VLOOKUP($MM155,$AV$2:$BA$84,6,FALSE),0)+IFERROR(VLOOKUP($MN155,$AV$2:$BA$84,6,FALSE),0)</f>
        <v/>
      </c>
      <c r="NR155" s="152">
        <f>TEXTJOIN(", ",TRUE,IF(IFERROR(VLOOKUP($MK155,$AV$2:$BA$84,5,FALSE),0)=1,$MK155,""),IF(IFERROR(VLOOKUP($ML155,$AV$2:$BA$84,5,FALSE),0)=1,$ML155,""),IF(IFERROR(VLOOKUP($MM155,$AV$2:$BA$84,5,FALSE),0)=1,$MM155,""),IF(IFERROR(VLOOKUP($MN155,$AV$2:$BA$84,5,FALSE),0)=1,$MN155,""))</f>
        <v/>
      </c>
      <c r="NS155" s="152">
        <f>IF($MW155=0,0,INDEX($Y$2:$Y$11,$MW155))</f>
        <v/>
      </c>
      <c r="NT155" s="152">
        <f>IF($MW155=0,0,INDEX($Z$2:$Z$11,$MW155))</f>
        <v/>
      </c>
      <c r="NU155" s="152">
        <f>IF($MW155=0,0,INDEX($AB$2:$AB$11,$MW155))</f>
        <v/>
      </c>
      <c r="NV155" s="152">
        <f>IFERROR(VLOOKUP($MO155,$BC$2:$BG$24,3,FALSE),0)</f>
        <v/>
      </c>
      <c r="NW155" s="152">
        <f>IFERROR(VLOOKUP($MP155,$BC$2:$BG$24,3,FALSE),0)</f>
        <v/>
      </c>
      <c r="NX155" s="152">
        <f>IFERROR(VLOOKUP($MO155,$BC$2:$BG$24,2,FALSE),"")</f>
        <v/>
      </c>
      <c r="NY155" s="152">
        <f>IFERROR(VLOOKUP($MP155,$BC$2:$BG$24,2,FALSE),"")</f>
        <v/>
      </c>
      <c r="NZ155" s="152">
        <f>COUNTIF($NF155:$NJ155,1)</f>
        <v/>
      </c>
      <c r="OA155" s="152">
        <f>COUNTIF($NF155:$NJ155,2)</f>
        <v/>
      </c>
      <c r="OB155" s="152">
        <f>COUNTIF($NF155:$NJ155,3)</f>
        <v/>
      </c>
      <c r="OC155" s="152">
        <f>COUNTIF($NF155:$NJ155,4)</f>
        <v/>
      </c>
      <c r="OD155" s="152">
        <f>COUNTIF($NF155:$NJ155,5)</f>
        <v/>
      </c>
      <c r="OE155" s="152">
        <f>COUNTIF($NF155:$NJ155,6)</f>
        <v/>
      </c>
      <c r="OF155" s="152">
        <f>COUNTIF($NV155:$NW155,1)</f>
        <v/>
      </c>
      <c r="OG155" s="152">
        <f>COUNTIF($NV155:$NW155,2)+$NS155</f>
        <v/>
      </c>
      <c r="OH155" s="152">
        <f>COUNTIF($MK155:$MN155,"?*")</f>
        <v/>
      </c>
      <c r="OI155" s="152">
        <f>COUNTIF($MO155:$MP155,"?*")+$NS155</f>
        <v/>
      </c>
      <c r="OJ155" s="152">
        <f>IF($MF155=0,0,SUMPRODUCT($NZ155:$OE155,INDEX($I$2:$N$8,MAX(1,$MF155),0)))</f>
        <v/>
      </c>
      <c r="OK155" s="152">
        <f>IF($MF155=0,0,$OF155*CEILING($MF155/2,1)+$OG155*$MF155)</f>
        <v/>
      </c>
      <c r="OL155" s="152">
        <f>MIN(2*$MF155,$OK155)</f>
        <v/>
      </c>
      <c r="OM155" s="152">
        <f>MIN($OL155,$OJ155)</f>
        <v/>
      </c>
      <c r="ON155" s="152">
        <f>$OL155-$OM155</f>
        <v/>
      </c>
      <c r="OO155" s="152">
        <f>IF($MF155=0,0,INDEX($P$2:$P$8,MAX(1,$MF155)))</f>
        <v/>
      </c>
      <c r="OP155" s="152">
        <f>$OO155-$OJ155+$OM155</f>
        <v/>
      </c>
      <c r="OQ155" s="152">
        <f>IF($MF155=0,MAX(0,$MT155-IF($OH155&gt;0,1,0)),MAX(0,$OP155))</f>
        <v/>
      </c>
      <c r="OR155" s="152">
        <f>IF($MF155=0,0,(IF(COUNTIF($MK155:$MN155,"Salto")&gt;0,1,0)+IF(COUNTIF($MK155:$MN155,"Queima")&gt;0,1,0)+IF(COUNTIF($MK155:$MN155,"Estilhaço")&gt;0,1,0))*FLOOR($OQ155/2,1))</f>
        <v/>
      </c>
      <c r="OS155" s="152">
        <f>MAX(0,2-SUMPRODUCT($NZ155:$OE155,$I$2:$N$2)+MIN(2,$OF155*1+$OG155*1,SUMPRODUCT($NZ155:$OE155,$I$2:$N$2)))</f>
        <v/>
      </c>
      <c r="OT155" s="152">
        <f>MAX(0,4-SUMPRODUCT($NZ155:$OE155,$I$3:$N$3)+MIN(4,$OF155*1+$OG155*2,SUMPRODUCT($NZ155:$OE155,$I$3:$N$3)))</f>
        <v/>
      </c>
      <c r="OU155" s="152">
        <f>MAX(0,6-SUMPRODUCT($NZ155:$OE155,$I$4:$N$4)+MIN(6,$OF155*2+$OG155*3,SUMPRODUCT($NZ155:$OE155,$I$4:$N$4)))</f>
        <v/>
      </c>
      <c r="OV155" s="152">
        <f>MAX(0,9-SUMPRODUCT($NZ155:$OE155,$I$5:$N$5)+MIN(8,$OF155*2+$OG155*4,SUMPRODUCT($NZ155:$OE155,$I$5:$N$5)))</f>
        <v/>
      </c>
      <c r="OW155" s="152">
        <f>MAX(0,11-SUMPRODUCT($NZ155:$OE155,$I$6:$N$6)+MIN(10,$OF155*3+$OG155*5,SUMPRODUCT($NZ155:$OE155,$I$6:$N$6)))</f>
        <v/>
      </c>
      <c r="OX155" s="152">
        <f>MAX(0,13-SUMPRODUCT($NZ155:$OE155,$I$7:$N$7)+MIN(12,$OF155*3+$OG155*6,SUMPRODUCT($NZ155:$OE155,$I$7:$N$7)))</f>
        <v/>
      </c>
      <c r="OY155" s="152">
        <f>MAX(0,16-SUMPRODUCT($NZ155:$OE155,$I$8:$N$8)+MIN(14,$OF155*4+$OG155*7,SUMPRODUCT($NZ155:$OE155,$I$8:$N$8)))</f>
        <v/>
      </c>
      <c r="OZ155" s="152">
        <f>IF($NT155=2,3*$OS155&amp;" de vida temp.",IF($NT155=3,"sem dano",IF($OS155=0,IF($NT155=1,"sem cura","sem dano"),IF($NT155=1,"cura ","")&amp;$OS155&amp;"d8")))</f>
        <v/>
      </c>
      <c r="PA155" s="152">
        <f>IF($NT155=2,3*$OT155&amp;" de vida temp.",IF($NT155=3,"sem dano",IF($OT155=0,IF($NT155=1,"sem cura","sem dano"),IF($NT155=1,"cura ","")&amp;$OT155&amp;"d8")))</f>
        <v/>
      </c>
      <c r="PB155" s="152">
        <f>IF($NT155=2,3*$OU155&amp;" de vida temp.",IF($NT155=3,"sem dano",IF($OU155=0,IF($NT155=1,"sem cura","sem dano"),IF($NT155=1,"cura ","")&amp;$OU155&amp;"d8")))</f>
        <v/>
      </c>
      <c r="PC155" s="152">
        <f>IF($NT155=2,3*$OV155&amp;" de vida temp.",IF($NT155=3,"sem dano",IF($OV155=0,IF($NT155=1,"sem cura","sem dano"),IF($NT155=1,"cura ","")&amp;$OV155&amp;"d8")))</f>
        <v/>
      </c>
      <c r="PD155" s="152">
        <f>IF($NT155=2,3*$OW155&amp;" de vida temp.",IF($NT155=3,"sem dano",IF($OW155=0,IF($NT155=1,"sem cura","sem dano"),IF($NT155=1,"cura ","")&amp;$OW155&amp;"d8")))</f>
        <v/>
      </c>
      <c r="PE155" s="152">
        <f>IF($NT155=2,3*$OX155&amp;" de vida temp.",IF($NT155=3,"sem dano",IF($OX155=0,IF($NT155=1,"sem cura","sem dano"),IF($NT155=1,"cura ","")&amp;$OX155&amp;"d8")))</f>
        <v/>
      </c>
      <c r="PF155" s="152">
        <f>IF($NT155=2,3*$OY155&amp;" de vida temp.",IF($NT155=3,"sem dano",IF($OY155=0,IF($NT155=1,"sem cura","sem dano"),IF($NT155=1,"cura ","")&amp;$OY155&amp;"d8")))</f>
        <v/>
      </c>
      <c r="PG155" s="152">
        <f>IF($MQ155=0,"",TEXTJOIN(" · ",TRUE,IF($MD155&gt;$MR155,"Este lugar abre no nível "&amp;$MD155,""),IF($MF155&gt;$MS155,"Classe "&amp;$MF155&amp;": o nível "&amp;$MR155&amp;" libera até a "&amp;$MS155,""),IF($NK155=1,"A Forma "&amp;$MH155&amp;" pede "&amp;INDEX($W$2:$W$11,$MW155)&amp;" aberta",""),IF(AND($MF155=0,$MW155&gt;0,IF($MW155=0,0,INDEX($AF$2:$AF$11,$MW155))=0),$MH155&amp;" não existe na Classe 0",""),IF($NL155=1,"Família Fechada: "&amp;$MK155,""),IF($NM155=1,"Família Fechada: "&amp;$ML155,""),IF($NN155=1,"Família Fechada: "&amp;$MM155,""),IF($NO155=1,"Família Fechada: "&amp;$MN155,""),IF(AND($MF155&gt;0,$OH155&gt;INDEX($O$2:$O$8,MAX(1,$MF155))),$OH155&amp;" Melhorias: a Classe "&amp;$MF155&amp;" aceita "&amp;INDEX($O$2:$O$8,MAX(1,$MF155)),""),IF(AND($MF155=0,$OH155&gt;1),"A básica aceita uma Melhoria",""),IF(AND($MF155=0,COUNTIF($NB155:$NE155,"&gt;1")&gt;0),"A básica só aceita Melhoria Leve",""),IF(AND($MF155&gt;0,$OI155&gt;2),$OI155&amp;" Restrições"&amp;IF($NS155=1,", contando a que a Forma "&amp;$MH155&amp;" já traz","")&amp;": o limite é 2",""),IF(AND($MF155=0,COUNTIF($MO155:$MP155,"?*")&gt;1),"A básica aceita uma Restrição Leve",""),IF(AND($MF155=0,COUNTIF($NV155:$NW155,2)&gt;0),"A básica só aceita Restrição Leve",""),IF(AND($MF155&gt;0,$OP155&lt;0),"Orçamento estourado: faltam "&amp;(-$OP155)&amp;IF($OP155&lt;-1," pontos"," ponto"),""),IF(IFERROR(VLOOKUP($MO155,$BC$2:$BG$24,4,FALSE),0)+IFERROR(VLOOKUP($MP155,$BC$2:$BG$24,4,FALSE),0)&gt;1,$NX155&amp;" e "&amp;$NY155&amp;" são as duas de frequência",""),IF(AND((COUNTIF($MK155:$MN155,"Rápido")+COUNTIF($NX155:$NY155,"Rápido"))&gt;0,(COUNTIF($MK155:$MN155,"Atrasar")+COUNTIF($NX155:$NY155,"Atrasar"))&gt;0),"Rápido não entra com Atrasar",""),IF(AND((COUNTIF($MK155:$MN155,"Reação")+COUNTIF($NX155:$NY155,"Reação"))&gt;0,(COUNTIF($MK155:$MN155,"Rápido")+COUNTIF($NX155:$NY155,"Rápido"))&gt;0),"Reação não entra com Rápido",""),IF(AND((COUNTIF($MK155:$MN155,"Reação")+COUNTIF($NX155:$NY155,"Reação"))&gt;0,(COUNTIF($MK155:$MN155,"Armado")+COUNTIF($NX155:$NY155,"Armado"))&gt;0),"Reação não entra com Armado",""),IF(AND((COUNTIF($MK155:$MN155,"Reação")+COUNTIF($NX155:$NY155,"Reação"))&gt;0,(COUNTIF($MK155:$MN155,"Atrasar")+COUNTIF($NX155:$NY155,"Atrasar"))&gt;0),"Reação não entra com Atrasar",""),IF(AND((COUNTIF($MK155:$MN155,"Reação")+COUNTIF($NX155:$NY155,"Reação"))&gt;0,(COUNTIF($MK155:$MN155,"Parado")+COUNTIF($NX155:$NY155,"Parado"))&gt;0),"Reação não entra com Parado",""),IF(AND((COUNTIF($MK155:$MN155,"Atrasar")+COUNTIF($NX155:$NY155,"Atrasar"))&gt;0,(COUNTIF($MK155:$MN155,"Parado")+COUNTIF($NX155:$NY155,"Parado"))&gt;0),"Atrasar não entra com Parado",""),IF(AND((COUNTIF($MK155:$MN155,"Armado")+COUNTIF($NX155:$NY155,"Armado"))&gt;0,(COUNTIF($MK155:$MN155,"Carregar")+COUNTIF($NX155:$NY155,"Carregar"))&gt;0),"Armado não entra com Carregar",""),IF(AND(COUNTIF($NX155:$NY155,"Corpo a Corpo")&gt;0,$NS155=0,OR($MH155="Cone",$MH155="Linha")),"Corpo a Corpo não entra em "&amp;$MH155,""),IF(AND(COUNTIF($NX155:$NY155,"Corpo a Corpo")&gt;0,$NS155=1),"A Forma "&amp;$MH155&amp;" já traz o Corpo a Corpo",""),IF(AND(COUNTIF($NX155:$NY155,"Tudo ou Nada")&gt;0,$NU155=0),"Tudo ou Nada só entra em habilidade de Teste de Resistência",""),IF(AND(COUNTIF($MK155:$MN155,"Inescapável")&gt;0,OR($OH155&gt;1,$OI155&gt;0)),"Inescapável não aceita outra peça",""),IF(AND($MF155&gt;0,$OQ155*IF(COUNTIF($MK155:$MN155,"Remate")&gt;0,1.25,1)+$OR155&gt;4*$MF155),($OQ155*IF(COUNTIF($MK155:$MN155,"Remate")&gt;0,1.25,1)+$OR155)&amp;" dados somando repetições"&amp;IF(COUNTIF($MK155:$MN155,"Remate")&gt;0," e o Remate","")&amp;": o teto da Classe "&amp;$MF155&amp;" é "&amp;4*$MF155,"")))</f>
        <v/>
      </c>
      <c r="PH155" s="152">
        <f>IF($PG155="",0,(LEN($PG155)-LEN(SUBSTITUTE($PG155," · ","")))/3+1)</f>
        <v/>
      </c>
      <c r="PI155" s="152">
        <f>IF($MQ155=0,"",TEXTJOIN(" · ",TRUE,IF($OK155&gt;2*$MF155,"A devolução parou no teto de "&amp;2*$MF155,""),IF($ON155&gt;0,"Devolução perdida: "&amp;$ON155&amp;IF($ON155&gt;1," pontos"," ponto")&amp;" sem peça para pagar",""),IF(AND($NP155&gt;0,AND($MF155&gt;0,$NT155=0),$OQ155=0),"Controle sem dano: uma rodada a mais e CD +2",""),IF(AND($NP155&gt;0,AND($MF155&gt;0,$NT155=0),$OQ155&gt;0,$OQ155&lt;=$MF155),"Controle com saldo até a Classe: uma rodada a mais",""),IF(AND($MF155&gt;0,$NR155&lt;&gt;""),"Efeito de "&amp;$NR155&amp;" pela Classe "&amp;MAX(1,$MF155-1),"")))</f>
        <v/>
      </c>
      <c r="PJ155" s="152">
        <f>IF($PI155="",0,(LEN($PI155)-LEN(SUBSTITUTE($PI155," · ","")))/3+1)</f>
        <v/>
      </c>
      <c r="PK155" s="152">
        <f>IF($MQ155=0,IF($OH155+COUNTIF($MO155:$MP155,"?*")&gt;0,"Dê um nome",""),IF($PH155&gt;0,"⚠ "&amp;$PH155&amp;IF($PH155&gt;1," erros"," erro"),IF($PJ155&gt;0,"! "&amp;$PJ155&amp;IF($PJ155&gt;1," avisos"," aviso"),"Na regra")))</f>
        <v/>
      </c>
      <c r="PL155" s="152">
        <f>IF($MQ155=0,"",IF($PH155+$PJ155=0,"Dentro das regras que a ficha confere",$PG155&amp;IF(AND($PH155&gt;0,$PJ155&gt;0)," · ","")&amp;$PI155))</f>
        <v/>
      </c>
      <c r="PM155" s="152">
        <f>IF($MD155&gt;$MR155,$ME155&amp;" · ABRE NO NÍVEL "&amp;$MD155,$ME155)</f>
        <v/>
      </c>
      <c r="PN155" s="152">
        <f>IF($MQ155=0,"",IF($MF155=0,"Sem PE",3*$MF155&amp;" PE"))</f>
        <v/>
      </c>
      <c r="PO155" s="152">
        <f>IF($MQ155=0,"",IF($MF155=0,"A atuação básica dela",IF(COUNTIF($NX155:$NY155,"Atrasar")&gt;0,"Sua Ação Completa",IF(COUNTIF($MK155:$MN155,"Rápido")&gt;0,"Sua Bônus",IF(COUNTIF($MK155:$MN155,"Reação")&gt;0,"Sua Reação","Sua Padrão")))&amp;" + a básica dela"&amp;IF(COUNTIF($MK155:$MN155,"Reação")&gt;0," e a coletiva","")&amp;IF(COUNTIF($NX155:$NY155,"Carregar")&gt;0," · em dois turnos","")))</f>
        <v/>
      </c>
      <c r="PP155" s="152">
        <f>IF($MJ155&lt;&gt;"",$MJ155,IF($MW155=0,"",INDEX($AA$2:$AA$11,$MW155)))</f>
        <v/>
      </c>
      <c r="PQ155" s="152">
        <f>IF(OR($MQ155=0,$MW155=0),"",IF(COUNTIF($MK155:$MN155,"Inescapável")&gt;0,"Automático",IF($PP155="Ataque",IF($MU155="","Ataque","Ataque "&amp;IF(($MU155+2*IF(COUNTIF($MK155:$MN155,"Precisão")&gt;0,1,0))&gt;=0,"+","−")&amp;ABS(($MU155+2*IF(COUNTIF($MK155:$MN155,"Precisão")&gt;0,1,0))))&amp;IF($NQ155&gt;0," · TR"&amp;IF($MV155="",""," CD "&amp;$MV155),""),IF(LEFT($PP155,2)="TR",$PP155&amp;IF($MV155="",""," · CD "&amp;$MV155)&amp;IF(COUNTIF($MK155:$MN155,"Certeiro")&gt;0," · metade",""),"Sem rolagem"))))</f>
        <v/>
      </c>
      <c r="PR155" s="152">
        <f>IF(OR($MQ155=0,$MW155=0),"",IF($MF155=0,IF(OR($NT155&gt;=1,$OQ155=0),"Sem dano",$OQ155&amp;"d6"&amp;IF($MI155="",""," "&amp;$MI155)),IF(OR($NT155&gt;=1,$OQ155=0),UPPER(LEFT(INDEX($OZ155:$PF155,1,MAX(1,$MF155)),1))&amp;MID(INDEX($OZ155:$PF155,1,MAX(1,$MF155)),2,99),UPPER(LEFT(INDEX($OZ155:$PF155,1,MAX(1,$MF155)),1))&amp;MID(INDEX($OZ155:$PF155,1,MAX(1,$MF155)),2,99)&amp;IF($MI155="",""," "&amp;$MI155)&amp;IF($OR155&gt;0," · +"&amp;$OR155&amp;"d8",""))))</f>
        <v/>
      </c>
      <c r="PS155" s="152">
        <f>COUNTIF($MK155:$MN155,"Longe")+3*COUNTIF($MK155:$MN155,"Muito Longe")</f>
        <v/>
      </c>
      <c r="PT155" s="152">
        <f>COUNTIF($MK155:$MN155,"Maior")+3*COUNTIF($MK155:$MN155,"Muito Maior")</f>
        <v/>
      </c>
      <c r="PU155" s="152">
        <f>IF($MW155=0,0,CHOOSE(1+INDEX($AC$2:$AC$11,$MW155),0,$PS155,$PT155,$PS155+$PT155))</f>
        <v/>
      </c>
      <c r="PV155" s="152">
        <f>IF($MW155=0,0,CHOOSE(1+INDEX($AD$2:$AD$11,$MW155),0,$PS155,$PT155,$PS155+$PT155))</f>
        <v/>
      </c>
      <c r="PW155" s="152">
        <f>IF(OR($MQ155=0,$MW155=0),"",INDEX($AI$2:$AN$41,($MW155-1)*4+IF($MF155=0,1,IF($MF155&lt;=5,2,IF($MF155=6,3,4))),1+MIN(5,$PU155))&amp;INDEX($AO$2:$AT$41,($MW155-1)*4+IF($MF155=0,1,IF($MF155&lt;=5,2,IF($MF155=6,3,4))),1+MIN(5,$PV155))&amp;IF(INDEX($AE$2:$AE$11,$MW155)=1,IF(COUNTIF($MK155:$MN155,"Mais Um")&gt;0," · +"&amp;COUNTIF($MK155:$MN155,"Mais Um")&amp;IF(COUNTIF($MK155:$MN155,"Mais Um")&gt;1," alvos"," alvo"),"")&amp;IF(COUNTIF($MK155:$MN155,"Rajada")&gt;0,IF($MF155=0," · 1 tiro"," · "&amp;(MAX(1,$MF155-1)+1)&amp;" tiros"),""),""))</f>
        <v/>
      </c>
      <c r="PX155" s="152">
        <f>IF($MQ155=0,"",IF($MF155=0,$MT155&amp;"d6"&amp;IF($OH155&gt;0," − 1 = "&amp;$OQ155&amp;"d6"," da básica do nível "&amp;$MR155),$OO155&amp;" − "&amp;$OJ155&amp;" + "&amp;$OM155&amp;" = "&amp;$OP155&amp;" · teto "&amp;4*$MF155&amp;"d8"&amp;IF($NS155=1," · a Forma devolve "&amp;$MF155,"")&amp;IF($ON155&gt;0," · perde "&amp;$ON155,"")))</f>
        <v/>
      </c>
      <c r="PY155" s="152">
        <f>IF($MQ155=0,"",IF($MF155=0,"A básica não amplia: os dados dela sobem com o nível",IF($MF155&gt;=$MS155,"Já está na maior Classe que o nível liberou",TEXTJOIN(" · ",TRUE,IF(AND(2&gt;$MF155,2&lt;=$MS155),"2 → "&amp;$PA155&amp;", 6 PE",""),IF(AND(3&gt;$MF155,3&lt;=$MS155),"3 → "&amp;$PB155&amp;", 9 PE",""),IF(AND(4&gt;$MF155,4&lt;=$MS155),"4 → "&amp;$PC155&amp;", 12 PE",""),IF(AND(5&gt;$MF155,5&lt;=$MS155),"5 → "&amp;$PD155&amp;", 15 PE",""),IF(AND(6&gt;$MF155,6&lt;=$MS155),"6 → "&amp;$PE155&amp;", 18 PE",""),IF(AND(7&gt;$MF155,7&lt;=$MS155),"7 → "&amp;$PF155&amp;", 21 PE","")))))</f>
        <v/>
      </c>
      <c r="PZ155" s="152">
        <f>IF(OR($MQ155=0,$NB155=0),"",IF($MF155=0,"−1 dado","−"&amp;INDEX($I$2:$N$8,MAX(1,$MF155),MAX(1,$NG155))&amp;" · "&amp;CHOOSE(MAX(1,$NG155),"Leve","Média","Pesada","Leve · Livre","Média · Livre","Pesada · Livre")))</f>
        <v/>
      </c>
      <c r="QA155" s="152">
        <f>IF(OR($MQ155=0,$NC155=0),"",IF($MF155=0,"−1 dado","−"&amp;INDEX($I$2:$N$8,MAX(1,$MF155),MAX(1,$NH155))&amp;" · "&amp;CHOOSE(MAX(1,$NH155),"Leve","Média","Pesada","Leve · Livre","Média · Livre","Pesada · Livre")))</f>
        <v/>
      </c>
      <c r="QB155" s="152">
        <f>IF(OR($MQ155=0,$ND155=0),"",IF($MF155=0,"−1 dado","−"&amp;INDEX($I$2:$N$8,MAX(1,$MF155),MAX(1,$NI155))&amp;" · "&amp;CHOOSE(MAX(1,$NI155),"Leve","Média","Pesada","Leve · Livre","Média · Livre","Pesada · Livre")))</f>
        <v/>
      </c>
      <c r="QC155" s="152">
        <f>IF(OR($MQ155=0,$NE155=0),"",IF($MF155=0,"−1 dado","−"&amp;INDEX($I$2:$N$8,MAX(1,$MF155),MAX(1,$NJ155))&amp;" · "&amp;CHOOSE(MAX(1,$NJ155),"Leve","Média","Pesada","Leve · Livre","Média · Livre","Pesada · Livre")))</f>
        <v/>
      </c>
      <c r="QD155" s="152">
        <f>IF(OR($MQ155=0,$MO155=""),"",IF($MF155=0,"não devolve","+"&amp;IF($NV155=1,CEILING($MF155/2,1),$MF155)))</f>
        <v/>
      </c>
      <c r="QE155" s="152">
        <f>IF(OR($MQ155=0,$MP155=""),"",IF($MF155=0,"não devolve","+"&amp;IF($NW155=1,CEILING($MF155/2,1),$MF155)))</f>
        <v/>
      </c>
    </row>
    <row r="156">
      <c r="MA156" s="150" t="inlineStr">
        <is>
          <t>Ficha 12 · Escolha da trilha 2</t>
        </is>
      </c>
      <c r="MB156" s="152" t="n">
        <v>12</v>
      </c>
      <c r="MC156" s="152" t="n">
        <v>2</v>
      </c>
      <c r="MD156" s="152" t="n">
        <v>0</v>
      </c>
      <c r="ME156" s="150" t="inlineStr">
        <is>
          <t>ESCOLHA DA TRILHA 2</t>
        </is>
      </c>
      <c r="MF156" s="152">
        <f>MAX(0,MIN(7,N('INVOCAÇÕES'!$AH$1150)))</f>
        <v/>
      </c>
      <c r="MG156" s="152">
        <f>'INVOCAÇÕES'!$AI$1150&amp;""</f>
        <v/>
      </c>
      <c r="MH156" s="152">
        <f>'INVOCAÇÕES'!$AH$1155&amp;""</f>
        <v/>
      </c>
      <c r="MI156" s="152">
        <f>'INVOCAÇÕES'!$AH$1156&amp;""</f>
        <v/>
      </c>
      <c r="MJ156" s="152">
        <f>'INVOCAÇÕES'!$AJ$1156&amp;""</f>
        <v/>
      </c>
      <c r="MK156" s="152">
        <f>'INVOCAÇÕES'!$AI$1159&amp;""</f>
        <v/>
      </c>
      <c r="ML156" s="152">
        <f>'INVOCAÇÕES'!$AI$1160&amp;""</f>
        <v/>
      </c>
      <c r="MM156" s="152">
        <f>'INVOCAÇÕES'!$AI$1161&amp;""</f>
        <v/>
      </c>
      <c r="MN156" s="152">
        <f>'INVOCAÇÕES'!$AI$1162&amp;""</f>
        <v/>
      </c>
      <c r="MO156" s="152">
        <f>'INVOCAÇÕES'!$AI$1163&amp;""</f>
        <v/>
      </c>
      <c r="MP156" s="152">
        <f>'INVOCAÇÕES'!$AI$1164&amp;""</f>
        <v/>
      </c>
      <c r="MQ156" s="152">
        <f>IF($MG156&lt;&gt;"",1,0)</f>
        <v/>
      </c>
      <c r="MR156" s="152">
        <f>INDEX($FI$2:$FI$13,$MB156)</f>
        <v/>
      </c>
      <c r="MS156" s="152">
        <f>INDEX($FJ$2:$FJ$13,$MB156)</f>
        <v/>
      </c>
      <c r="MT156" s="152">
        <f>INDEX($FK$2:$FK$13,$MB156)</f>
        <v/>
      </c>
      <c r="MU156" s="152">
        <f>INDEX($FV$2:$FV$13,$MB156)</f>
        <v/>
      </c>
      <c r="MV156" s="152">
        <f>INDEX($FW$2:$FW$13,$MB156)</f>
        <v/>
      </c>
      <c r="MW156" s="152">
        <f>IFERROR(MATCH($MH156,$V$2:$V$11,0),0)</f>
        <v/>
      </c>
      <c r="MX156" s="152">
        <f>IFERROR(VLOOKUP($MK156,$AV$2:$BA$84,2,FALSE),"")</f>
        <v/>
      </c>
      <c r="MY156" s="152">
        <f>IFERROR(VLOOKUP($ML156,$AV$2:$BA$84,2,FALSE),"")</f>
        <v/>
      </c>
      <c r="MZ156" s="152">
        <f>IFERROR(VLOOKUP($MM156,$AV$2:$BA$84,2,FALSE),"")</f>
        <v/>
      </c>
      <c r="NA156" s="152">
        <f>IFERROR(VLOOKUP($MN156,$AV$2:$BA$84,2,FALSE),"")</f>
        <v/>
      </c>
      <c r="NB156" s="152">
        <f>IFERROR(VLOOKUP($MK156,$AV$2:$BA$84,3,FALSE),0)</f>
        <v/>
      </c>
      <c r="NC156" s="152">
        <f>IFERROR(VLOOKUP($ML156,$AV$2:$BA$84,3,FALSE),0)</f>
        <v/>
      </c>
      <c r="ND156" s="152">
        <f>IFERROR(VLOOKUP($MM156,$AV$2:$BA$84,3,FALSE),0)</f>
        <v/>
      </c>
      <c r="NE156" s="152">
        <f>IFERROR(VLOOKUP($MN156,$AV$2:$BA$84,3,FALSE),0)</f>
        <v/>
      </c>
      <c r="NF156" s="152">
        <f>IF($MF156=0,0,IF($MW156=0,0,INDEX($X$2:$X$11,$MW156)))</f>
        <v/>
      </c>
      <c r="NG156" s="152">
        <f>IF(OR($NB156=0,$MF156=0),0,$NB156+3*IF(AND($MX156&lt;&gt;"",OR($MX156=INDEX($EF$2:$EF$13,$MB156),$MX156=INDEX($EG$2:$EG$13,$MB156))),1,0))</f>
        <v/>
      </c>
      <c r="NH156" s="152">
        <f>IF(OR($NC156=0,$MF156=0),0,$NC156+3*IF(AND($MY156&lt;&gt;"",OR($MY156=INDEX($EF$2:$EF$13,$MB156),$MY156=INDEX($EG$2:$EG$13,$MB156))),1,0))</f>
        <v/>
      </c>
      <c r="NI156" s="152">
        <f>IF(OR($ND156=0,$MF156=0),0,$ND156+3*IF(AND($MZ156&lt;&gt;"",OR($MZ156=INDEX($EF$2:$EF$13,$MB156),$MZ156=INDEX($EG$2:$EG$13,$MB156))),1,0))</f>
        <v/>
      </c>
      <c r="NJ156" s="152">
        <f>IF(OR($NE156=0,$MF156=0),0,$NE156+3*IF(AND($NA156&lt;&gt;"",OR($NA156=INDEX($EF$2:$EF$13,$MB156),$NA156=INDEX($EG$2:$EG$13,$MB156))),1,0))</f>
        <v/>
      </c>
      <c r="NK156" s="152">
        <f>IF($MW156=0,0,IF(INDEX($W$2:$W$11,$MW156)="",0,IF(COUNTIF(INDEX($EF$2:$EJ$13,$MB156,0),INDEX($W$2:$W$11,$MW156))=0,1,0)))</f>
        <v/>
      </c>
      <c r="NL156" s="152">
        <f>IF(OR($NB156=0,$MX156=""),0,IF(COUNTIF(INDEX($EF$2:$EJ$13,$MB156,0),$MX156)=0,1,0))</f>
        <v/>
      </c>
      <c r="NM156" s="152">
        <f>IF(OR($NC156=0,$MY156=""),0,IF(COUNTIF(INDEX($EF$2:$EJ$13,$MB156,0),$MY156)=0,1,0))</f>
        <v/>
      </c>
      <c r="NN156" s="152">
        <f>IF(OR($ND156=0,$MZ156=""),0,IF(COUNTIF(INDEX($EF$2:$EJ$13,$MB156,0),$MZ156)=0,1,0))</f>
        <v/>
      </c>
      <c r="NO156" s="152">
        <f>IF(OR($NE156=0,$NA156=""),0,IF(COUNTIF(INDEX($EF$2:$EJ$13,$MB156,0),$NA156)=0,1,0))</f>
        <v/>
      </c>
      <c r="NP156" s="152">
        <f>IFERROR(VLOOKUP($MK156,$AV$2:$BA$84,4,FALSE),0)+IFERROR(VLOOKUP($ML156,$AV$2:$BA$84,4,FALSE),0)+IFERROR(VLOOKUP($MM156,$AV$2:$BA$84,4,FALSE),0)+IFERROR(VLOOKUP($MN156,$AV$2:$BA$84,4,FALSE),0)</f>
        <v/>
      </c>
      <c r="NQ156" s="152">
        <f>IFERROR(VLOOKUP($MK156,$AV$2:$BA$84,6,FALSE),0)+IFERROR(VLOOKUP($ML156,$AV$2:$BA$84,6,FALSE),0)+IFERROR(VLOOKUP($MM156,$AV$2:$BA$84,6,FALSE),0)+IFERROR(VLOOKUP($MN156,$AV$2:$BA$84,6,FALSE),0)</f>
        <v/>
      </c>
      <c r="NR156" s="152">
        <f>TEXTJOIN(", ",TRUE,IF(IFERROR(VLOOKUP($MK156,$AV$2:$BA$84,5,FALSE),0)=1,$MK156,""),IF(IFERROR(VLOOKUP($ML156,$AV$2:$BA$84,5,FALSE),0)=1,$ML156,""),IF(IFERROR(VLOOKUP($MM156,$AV$2:$BA$84,5,FALSE),0)=1,$MM156,""),IF(IFERROR(VLOOKUP($MN156,$AV$2:$BA$84,5,FALSE),0)=1,$MN156,""))</f>
        <v/>
      </c>
      <c r="NS156" s="152">
        <f>IF($MW156=0,0,INDEX($Y$2:$Y$11,$MW156))</f>
        <v/>
      </c>
      <c r="NT156" s="152">
        <f>IF($MW156=0,0,INDEX($Z$2:$Z$11,$MW156))</f>
        <v/>
      </c>
      <c r="NU156" s="152">
        <f>IF($MW156=0,0,INDEX($AB$2:$AB$11,$MW156))</f>
        <v/>
      </c>
      <c r="NV156" s="152">
        <f>IFERROR(VLOOKUP($MO156,$BC$2:$BG$24,3,FALSE),0)</f>
        <v/>
      </c>
      <c r="NW156" s="152">
        <f>IFERROR(VLOOKUP($MP156,$BC$2:$BG$24,3,FALSE),0)</f>
        <v/>
      </c>
      <c r="NX156" s="152">
        <f>IFERROR(VLOOKUP($MO156,$BC$2:$BG$24,2,FALSE),"")</f>
        <v/>
      </c>
      <c r="NY156" s="152">
        <f>IFERROR(VLOOKUP($MP156,$BC$2:$BG$24,2,FALSE),"")</f>
        <v/>
      </c>
      <c r="NZ156" s="152">
        <f>COUNTIF($NF156:$NJ156,1)</f>
        <v/>
      </c>
      <c r="OA156" s="152">
        <f>COUNTIF($NF156:$NJ156,2)</f>
        <v/>
      </c>
      <c r="OB156" s="152">
        <f>COUNTIF($NF156:$NJ156,3)</f>
        <v/>
      </c>
      <c r="OC156" s="152">
        <f>COUNTIF($NF156:$NJ156,4)</f>
        <v/>
      </c>
      <c r="OD156" s="152">
        <f>COUNTIF($NF156:$NJ156,5)</f>
        <v/>
      </c>
      <c r="OE156" s="152">
        <f>COUNTIF($NF156:$NJ156,6)</f>
        <v/>
      </c>
      <c r="OF156" s="152">
        <f>COUNTIF($NV156:$NW156,1)</f>
        <v/>
      </c>
      <c r="OG156" s="152">
        <f>COUNTIF($NV156:$NW156,2)+$NS156</f>
        <v/>
      </c>
      <c r="OH156" s="152">
        <f>COUNTIF($MK156:$MN156,"?*")</f>
        <v/>
      </c>
      <c r="OI156" s="152">
        <f>COUNTIF($MO156:$MP156,"?*")+$NS156</f>
        <v/>
      </c>
      <c r="OJ156" s="152">
        <f>IF($MF156=0,0,SUMPRODUCT($NZ156:$OE156,INDEX($I$2:$N$8,MAX(1,$MF156),0)))</f>
        <v/>
      </c>
      <c r="OK156" s="152">
        <f>IF($MF156=0,0,$OF156*CEILING($MF156/2,1)+$OG156*$MF156)</f>
        <v/>
      </c>
      <c r="OL156" s="152">
        <f>MIN(2*$MF156,$OK156)</f>
        <v/>
      </c>
      <c r="OM156" s="152">
        <f>MIN($OL156,$OJ156)</f>
        <v/>
      </c>
      <c r="ON156" s="152">
        <f>$OL156-$OM156</f>
        <v/>
      </c>
      <c r="OO156" s="152">
        <f>IF($MF156=0,0,INDEX($P$2:$P$8,MAX(1,$MF156)))</f>
        <v/>
      </c>
      <c r="OP156" s="152">
        <f>$OO156-$OJ156+$OM156</f>
        <v/>
      </c>
      <c r="OQ156" s="152">
        <f>IF($MF156=0,MAX(0,$MT156-IF($OH156&gt;0,1,0)),MAX(0,$OP156))</f>
        <v/>
      </c>
      <c r="OR156" s="152">
        <f>IF($MF156=0,0,(IF(COUNTIF($MK156:$MN156,"Salto")&gt;0,1,0)+IF(COUNTIF($MK156:$MN156,"Queima")&gt;0,1,0)+IF(COUNTIF($MK156:$MN156,"Estilhaço")&gt;0,1,0))*FLOOR($OQ156/2,1))</f>
        <v/>
      </c>
      <c r="OS156" s="152">
        <f>MAX(0,2-SUMPRODUCT($NZ156:$OE156,$I$2:$N$2)+MIN(2,$OF156*1+$OG156*1,SUMPRODUCT($NZ156:$OE156,$I$2:$N$2)))</f>
        <v/>
      </c>
      <c r="OT156" s="152">
        <f>MAX(0,4-SUMPRODUCT($NZ156:$OE156,$I$3:$N$3)+MIN(4,$OF156*1+$OG156*2,SUMPRODUCT($NZ156:$OE156,$I$3:$N$3)))</f>
        <v/>
      </c>
      <c r="OU156" s="152">
        <f>MAX(0,6-SUMPRODUCT($NZ156:$OE156,$I$4:$N$4)+MIN(6,$OF156*2+$OG156*3,SUMPRODUCT($NZ156:$OE156,$I$4:$N$4)))</f>
        <v/>
      </c>
      <c r="OV156" s="152">
        <f>MAX(0,9-SUMPRODUCT($NZ156:$OE156,$I$5:$N$5)+MIN(8,$OF156*2+$OG156*4,SUMPRODUCT($NZ156:$OE156,$I$5:$N$5)))</f>
        <v/>
      </c>
      <c r="OW156" s="152">
        <f>MAX(0,11-SUMPRODUCT($NZ156:$OE156,$I$6:$N$6)+MIN(10,$OF156*3+$OG156*5,SUMPRODUCT($NZ156:$OE156,$I$6:$N$6)))</f>
        <v/>
      </c>
      <c r="OX156" s="152">
        <f>MAX(0,13-SUMPRODUCT($NZ156:$OE156,$I$7:$N$7)+MIN(12,$OF156*3+$OG156*6,SUMPRODUCT($NZ156:$OE156,$I$7:$N$7)))</f>
        <v/>
      </c>
      <c r="OY156" s="152">
        <f>MAX(0,16-SUMPRODUCT($NZ156:$OE156,$I$8:$N$8)+MIN(14,$OF156*4+$OG156*7,SUMPRODUCT($NZ156:$OE156,$I$8:$N$8)))</f>
        <v/>
      </c>
      <c r="OZ156" s="152">
        <f>IF($NT156=2,3*$OS156&amp;" de vida temp.",IF($NT156=3,"sem dano",IF($OS156=0,IF($NT156=1,"sem cura","sem dano"),IF($NT156=1,"cura ","")&amp;$OS156&amp;"d8")))</f>
        <v/>
      </c>
      <c r="PA156" s="152">
        <f>IF($NT156=2,3*$OT156&amp;" de vida temp.",IF($NT156=3,"sem dano",IF($OT156=0,IF($NT156=1,"sem cura","sem dano"),IF($NT156=1,"cura ","")&amp;$OT156&amp;"d8")))</f>
        <v/>
      </c>
      <c r="PB156" s="152">
        <f>IF($NT156=2,3*$OU156&amp;" de vida temp.",IF($NT156=3,"sem dano",IF($OU156=0,IF($NT156=1,"sem cura","sem dano"),IF($NT156=1,"cura ","")&amp;$OU156&amp;"d8")))</f>
        <v/>
      </c>
      <c r="PC156" s="152">
        <f>IF($NT156=2,3*$OV156&amp;" de vida temp.",IF($NT156=3,"sem dano",IF($OV156=0,IF($NT156=1,"sem cura","sem dano"),IF($NT156=1,"cura ","")&amp;$OV156&amp;"d8")))</f>
        <v/>
      </c>
      <c r="PD156" s="152">
        <f>IF($NT156=2,3*$OW156&amp;" de vida temp.",IF($NT156=3,"sem dano",IF($OW156=0,IF($NT156=1,"sem cura","sem dano"),IF($NT156=1,"cura ","")&amp;$OW156&amp;"d8")))</f>
        <v/>
      </c>
      <c r="PE156" s="152">
        <f>IF($NT156=2,3*$OX156&amp;" de vida temp.",IF($NT156=3,"sem dano",IF($OX156=0,IF($NT156=1,"sem cura","sem dano"),IF($NT156=1,"cura ","")&amp;$OX156&amp;"d8")))</f>
        <v/>
      </c>
      <c r="PF156" s="152">
        <f>IF($NT156=2,3*$OY156&amp;" de vida temp.",IF($NT156=3,"sem dano",IF($OY156=0,IF($NT156=1,"sem cura","sem dano"),IF($NT156=1,"cura ","")&amp;$OY156&amp;"d8")))</f>
        <v/>
      </c>
      <c r="PG156" s="152">
        <f>IF($MQ156=0,"",TEXTJOIN(" · ",TRUE,IF($MD156&gt;$MR156,"Este lugar abre no nível "&amp;$MD156,""),IF($MF156&gt;$MS156,"Classe "&amp;$MF156&amp;": o nível "&amp;$MR156&amp;" libera até a "&amp;$MS156,""),IF($NK156=1,"A Forma "&amp;$MH156&amp;" pede "&amp;INDEX($W$2:$W$11,$MW156)&amp;" aberta",""),IF(AND($MF156=0,$MW156&gt;0,IF($MW156=0,0,INDEX($AF$2:$AF$11,$MW156))=0),$MH156&amp;" não existe na Classe 0",""),IF($NL156=1,"Família Fechada: "&amp;$MK156,""),IF($NM156=1,"Família Fechada: "&amp;$ML156,""),IF($NN156=1,"Família Fechada: "&amp;$MM156,""),IF($NO156=1,"Família Fechada: "&amp;$MN156,""),IF(AND($MF156&gt;0,$OH156&gt;INDEX($O$2:$O$8,MAX(1,$MF156))),$OH156&amp;" Melhorias: a Classe "&amp;$MF156&amp;" aceita "&amp;INDEX($O$2:$O$8,MAX(1,$MF156)),""),IF(AND($MF156=0,$OH156&gt;1),"A básica aceita uma Melhoria",""),IF(AND($MF156=0,COUNTIF($NB156:$NE156,"&gt;1")&gt;0),"A básica só aceita Melhoria Leve",""),IF(AND($MF156&gt;0,$OI156&gt;2),$OI156&amp;" Restrições"&amp;IF($NS156=1,", contando a que a Forma "&amp;$MH156&amp;" já traz","")&amp;": o limite é 2",""),IF(AND($MF156=0,COUNTIF($MO156:$MP156,"?*")&gt;1),"A básica aceita uma Restrição Leve",""),IF(AND($MF156=0,COUNTIF($NV156:$NW156,2)&gt;0),"A básica só aceita Restrição Leve",""),IF(AND($MF156&gt;0,$OP156&lt;0),"Orçamento estourado: faltam "&amp;(-$OP156)&amp;IF($OP156&lt;-1," pontos"," ponto"),""),IF(IFERROR(VLOOKUP($MO156,$BC$2:$BG$24,4,FALSE),0)+IFERROR(VLOOKUP($MP156,$BC$2:$BG$24,4,FALSE),0)&gt;1,$NX156&amp;" e "&amp;$NY156&amp;" são as duas de frequência",""),IF(AND((COUNTIF($MK156:$MN156,"Rápido")+COUNTIF($NX156:$NY156,"Rápido"))&gt;0,(COUNTIF($MK156:$MN156,"Atrasar")+COUNTIF($NX156:$NY156,"Atrasar"))&gt;0),"Rápido não entra com Atrasar",""),IF(AND((COUNTIF($MK156:$MN156,"Reação")+COUNTIF($NX156:$NY156,"Reação"))&gt;0,(COUNTIF($MK156:$MN156,"Rápido")+COUNTIF($NX156:$NY156,"Rápido"))&gt;0),"Reação não entra com Rápido",""),IF(AND((COUNTIF($MK156:$MN156,"Reação")+COUNTIF($NX156:$NY156,"Reação"))&gt;0,(COUNTIF($MK156:$MN156,"Armado")+COUNTIF($NX156:$NY156,"Armado"))&gt;0),"Reação não entra com Armado",""),IF(AND((COUNTIF($MK156:$MN156,"Reação")+COUNTIF($NX156:$NY156,"Reação"))&gt;0,(COUNTIF($MK156:$MN156,"Atrasar")+COUNTIF($NX156:$NY156,"Atrasar"))&gt;0),"Reação não entra com Atrasar",""),IF(AND((COUNTIF($MK156:$MN156,"Reação")+COUNTIF($NX156:$NY156,"Reação"))&gt;0,(COUNTIF($MK156:$MN156,"Parado")+COUNTIF($NX156:$NY156,"Parado"))&gt;0),"Reação não entra com Parado",""),IF(AND((COUNTIF($MK156:$MN156,"Atrasar")+COUNTIF($NX156:$NY156,"Atrasar"))&gt;0,(COUNTIF($MK156:$MN156,"Parado")+COUNTIF($NX156:$NY156,"Parado"))&gt;0),"Atrasar não entra com Parado",""),IF(AND((COUNTIF($MK156:$MN156,"Armado")+COUNTIF($NX156:$NY156,"Armado"))&gt;0,(COUNTIF($MK156:$MN156,"Carregar")+COUNTIF($NX156:$NY156,"Carregar"))&gt;0),"Armado não entra com Carregar",""),IF(AND(COUNTIF($NX156:$NY156,"Corpo a Corpo")&gt;0,$NS156=0,OR($MH156="Cone",$MH156="Linha")),"Corpo a Corpo não entra em "&amp;$MH156,""),IF(AND(COUNTIF($NX156:$NY156,"Corpo a Corpo")&gt;0,$NS156=1),"A Forma "&amp;$MH156&amp;" já traz o Corpo a Corpo",""),IF(AND(COUNTIF($NX156:$NY156,"Tudo ou Nada")&gt;0,$NU156=0),"Tudo ou Nada só entra em habilidade de Teste de Resistência",""),IF(AND(COUNTIF($MK156:$MN156,"Inescapável")&gt;0,OR($OH156&gt;1,$OI156&gt;0)),"Inescapável não aceita outra peça",""),IF(AND($MF156&gt;0,$OQ156*IF(COUNTIF($MK156:$MN156,"Remate")&gt;0,1.25,1)+$OR156&gt;4*$MF156),($OQ156*IF(COUNTIF($MK156:$MN156,"Remate")&gt;0,1.25,1)+$OR156)&amp;" dados somando repetições"&amp;IF(COUNTIF($MK156:$MN156,"Remate")&gt;0," e o Remate","")&amp;": o teto da Classe "&amp;$MF156&amp;" é "&amp;4*$MF156,"")))</f>
        <v/>
      </c>
      <c r="PH156" s="152">
        <f>IF($PG156="",0,(LEN($PG156)-LEN(SUBSTITUTE($PG156," · ","")))/3+1)</f>
        <v/>
      </c>
      <c r="PI156" s="152">
        <f>IF($MQ156=0,"",TEXTJOIN(" · ",TRUE,IF($OK156&gt;2*$MF156,"A devolução parou no teto de "&amp;2*$MF156,""),IF($ON156&gt;0,"Devolução perdida: "&amp;$ON156&amp;IF($ON156&gt;1," pontos"," ponto")&amp;" sem peça para pagar",""),IF(AND($NP156&gt;0,AND($MF156&gt;0,$NT156=0),$OQ156=0),"Controle sem dano: uma rodada a mais e CD +2",""),IF(AND($NP156&gt;0,AND($MF156&gt;0,$NT156=0),$OQ156&gt;0,$OQ156&lt;=$MF156),"Controle com saldo até a Classe: uma rodada a mais",""),IF(AND($MF156&gt;0,$NR156&lt;&gt;""),"Efeito de "&amp;$NR156&amp;" pela Classe "&amp;MAX(1,$MF156-1),"")))</f>
        <v/>
      </c>
      <c r="PJ156" s="152">
        <f>IF($PI156="",0,(LEN($PI156)-LEN(SUBSTITUTE($PI156," · ","")))/3+1)</f>
        <v/>
      </c>
      <c r="PK156" s="152">
        <f>IF($MQ156=0,IF($OH156+COUNTIF($MO156:$MP156,"?*")&gt;0,"Dê um nome",""),IF($PH156&gt;0,"⚠ "&amp;$PH156&amp;IF($PH156&gt;1," erros"," erro"),IF($PJ156&gt;0,"! "&amp;$PJ156&amp;IF($PJ156&gt;1," avisos"," aviso"),"Na regra")))</f>
        <v/>
      </c>
      <c r="PL156" s="152">
        <f>IF($MQ156=0,"",IF($PH156+$PJ156=0,"Dentro das regras que a ficha confere",$PG156&amp;IF(AND($PH156&gt;0,$PJ156&gt;0)," · ","")&amp;$PI156))</f>
        <v/>
      </c>
      <c r="PM156" s="152">
        <f>IF($MD156&gt;$MR156,$ME156&amp;" · ABRE NO NÍVEL "&amp;$MD156,$ME156)</f>
        <v/>
      </c>
      <c r="PN156" s="152">
        <f>IF($MQ156=0,"",IF($MF156=0,"Sem PE",3*$MF156&amp;" PE"))</f>
        <v/>
      </c>
      <c r="PO156" s="152">
        <f>IF($MQ156=0,"",IF($MF156=0,"A atuação básica dela",IF(COUNTIF($NX156:$NY156,"Atrasar")&gt;0,"Sua Ação Completa",IF(COUNTIF($MK156:$MN156,"Rápido")&gt;0,"Sua Bônus",IF(COUNTIF($MK156:$MN156,"Reação")&gt;0,"Sua Reação","Sua Padrão")))&amp;" + a básica dela"&amp;IF(COUNTIF($MK156:$MN156,"Reação")&gt;0," e a coletiva","")&amp;IF(COUNTIF($NX156:$NY156,"Carregar")&gt;0," · em dois turnos","")))</f>
        <v/>
      </c>
      <c r="PP156" s="152">
        <f>IF($MJ156&lt;&gt;"",$MJ156,IF($MW156=0,"",INDEX($AA$2:$AA$11,$MW156)))</f>
        <v/>
      </c>
      <c r="PQ156" s="152">
        <f>IF(OR($MQ156=0,$MW156=0),"",IF(COUNTIF($MK156:$MN156,"Inescapável")&gt;0,"Automático",IF($PP156="Ataque",IF($MU156="","Ataque","Ataque "&amp;IF(($MU156+2*IF(COUNTIF($MK156:$MN156,"Precisão")&gt;0,1,0))&gt;=0,"+","−")&amp;ABS(($MU156+2*IF(COUNTIF($MK156:$MN156,"Precisão")&gt;0,1,0))))&amp;IF($NQ156&gt;0," · TR"&amp;IF($MV156="",""," CD "&amp;$MV156),""),IF(LEFT($PP156,2)="TR",$PP156&amp;IF($MV156="",""," · CD "&amp;$MV156)&amp;IF(COUNTIF($MK156:$MN156,"Certeiro")&gt;0," · metade",""),"Sem rolagem"))))</f>
        <v/>
      </c>
      <c r="PR156" s="152">
        <f>IF(OR($MQ156=0,$MW156=0),"",IF($MF156=0,IF(OR($NT156&gt;=1,$OQ156=0),"Sem dano",$OQ156&amp;"d6"&amp;IF($MI156="",""," "&amp;$MI156)),IF(OR($NT156&gt;=1,$OQ156=0),UPPER(LEFT(INDEX($OZ156:$PF156,1,MAX(1,$MF156)),1))&amp;MID(INDEX($OZ156:$PF156,1,MAX(1,$MF156)),2,99),UPPER(LEFT(INDEX($OZ156:$PF156,1,MAX(1,$MF156)),1))&amp;MID(INDEX($OZ156:$PF156,1,MAX(1,$MF156)),2,99)&amp;IF($MI156="",""," "&amp;$MI156)&amp;IF($OR156&gt;0," · +"&amp;$OR156&amp;"d8",""))))</f>
        <v/>
      </c>
      <c r="PS156" s="152">
        <f>COUNTIF($MK156:$MN156,"Longe")+3*COUNTIF($MK156:$MN156,"Muito Longe")</f>
        <v/>
      </c>
      <c r="PT156" s="152">
        <f>COUNTIF($MK156:$MN156,"Maior")+3*COUNTIF($MK156:$MN156,"Muito Maior")</f>
        <v/>
      </c>
      <c r="PU156" s="152">
        <f>IF($MW156=0,0,CHOOSE(1+INDEX($AC$2:$AC$11,$MW156),0,$PS156,$PT156,$PS156+$PT156))</f>
        <v/>
      </c>
      <c r="PV156" s="152">
        <f>IF($MW156=0,0,CHOOSE(1+INDEX($AD$2:$AD$11,$MW156),0,$PS156,$PT156,$PS156+$PT156))</f>
        <v/>
      </c>
      <c r="PW156" s="152">
        <f>IF(OR($MQ156=0,$MW156=0),"",INDEX($AI$2:$AN$41,($MW156-1)*4+IF($MF156=0,1,IF($MF156&lt;=5,2,IF($MF156=6,3,4))),1+MIN(5,$PU156))&amp;INDEX($AO$2:$AT$41,($MW156-1)*4+IF($MF156=0,1,IF($MF156&lt;=5,2,IF($MF156=6,3,4))),1+MIN(5,$PV156))&amp;IF(INDEX($AE$2:$AE$11,$MW156)=1,IF(COUNTIF($MK156:$MN156,"Mais Um")&gt;0," · +"&amp;COUNTIF($MK156:$MN156,"Mais Um")&amp;IF(COUNTIF($MK156:$MN156,"Mais Um")&gt;1," alvos"," alvo"),"")&amp;IF(COUNTIF($MK156:$MN156,"Rajada")&gt;0,IF($MF156=0," · 1 tiro"," · "&amp;(MAX(1,$MF156-1)+1)&amp;" tiros"),""),""))</f>
        <v/>
      </c>
      <c r="PX156" s="152">
        <f>IF($MQ156=0,"",IF($MF156=0,$MT156&amp;"d6"&amp;IF($OH156&gt;0," − 1 = "&amp;$OQ156&amp;"d6"," da básica do nível "&amp;$MR156),$OO156&amp;" − "&amp;$OJ156&amp;" + "&amp;$OM156&amp;" = "&amp;$OP156&amp;" · teto "&amp;4*$MF156&amp;"d8"&amp;IF($NS156=1," · a Forma devolve "&amp;$MF156,"")&amp;IF($ON156&gt;0," · perde "&amp;$ON156,"")))</f>
        <v/>
      </c>
      <c r="PY156" s="152">
        <f>IF($MQ156=0,"",IF($MF156=0,"A básica não amplia: os dados dela sobem com o nível",IF($MF156&gt;=$MS156,"Já está na maior Classe que o nível liberou",TEXTJOIN(" · ",TRUE,IF(AND(2&gt;$MF156,2&lt;=$MS156),"2 → "&amp;$PA156&amp;", 6 PE",""),IF(AND(3&gt;$MF156,3&lt;=$MS156),"3 → "&amp;$PB156&amp;", 9 PE",""),IF(AND(4&gt;$MF156,4&lt;=$MS156),"4 → "&amp;$PC156&amp;", 12 PE",""),IF(AND(5&gt;$MF156,5&lt;=$MS156),"5 → "&amp;$PD156&amp;", 15 PE",""),IF(AND(6&gt;$MF156,6&lt;=$MS156),"6 → "&amp;$PE156&amp;", 18 PE",""),IF(AND(7&gt;$MF156,7&lt;=$MS156),"7 → "&amp;$PF156&amp;", 21 PE","")))))</f>
        <v/>
      </c>
      <c r="PZ156" s="152">
        <f>IF(OR($MQ156=0,$NB156=0),"",IF($MF156=0,"−1 dado","−"&amp;INDEX($I$2:$N$8,MAX(1,$MF156),MAX(1,$NG156))&amp;" · "&amp;CHOOSE(MAX(1,$NG156),"Leve","Média","Pesada","Leve · Livre","Média · Livre","Pesada · Livre")))</f>
        <v/>
      </c>
      <c r="QA156" s="152">
        <f>IF(OR($MQ156=0,$NC156=0),"",IF($MF156=0,"−1 dado","−"&amp;INDEX($I$2:$N$8,MAX(1,$MF156),MAX(1,$NH156))&amp;" · "&amp;CHOOSE(MAX(1,$NH156),"Leve","Média","Pesada","Leve · Livre","Média · Livre","Pesada · Livre")))</f>
        <v/>
      </c>
      <c r="QB156" s="152">
        <f>IF(OR($MQ156=0,$ND156=0),"",IF($MF156=0,"−1 dado","−"&amp;INDEX($I$2:$N$8,MAX(1,$MF156),MAX(1,$NI156))&amp;" · "&amp;CHOOSE(MAX(1,$NI156),"Leve","Média","Pesada","Leve · Livre","Média · Livre","Pesada · Livre")))</f>
        <v/>
      </c>
      <c r="QC156" s="152">
        <f>IF(OR($MQ156=0,$NE156=0),"",IF($MF156=0,"−1 dado","−"&amp;INDEX($I$2:$N$8,MAX(1,$MF156),MAX(1,$NJ156))&amp;" · "&amp;CHOOSE(MAX(1,$NJ156),"Leve","Média","Pesada","Leve · Livre","Média · Livre","Pesada · Livre")))</f>
        <v/>
      </c>
      <c r="QD156" s="152">
        <f>IF(OR($MQ156=0,$MO156=""),"",IF($MF156=0,"não devolve","+"&amp;IF($NV156=1,CEILING($MF156/2,1),$MF156)))</f>
        <v/>
      </c>
      <c r="QE156" s="152">
        <f>IF(OR($MQ156=0,$MP156=""),"",IF($MF156=0,"não devolve","+"&amp;IF($NW156=1,CEILING($MF156/2,1),$MF156)))</f>
        <v/>
      </c>
    </row>
    <row r="157">
      <c r="MA157" s="150" t="inlineStr">
        <is>
          <t>Ficha 12 · Escolha da trilha 3</t>
        </is>
      </c>
      <c r="MB157" s="152" t="n">
        <v>12</v>
      </c>
      <c r="MC157" s="152" t="n">
        <v>2</v>
      </c>
      <c r="MD157" s="152" t="n">
        <v>0</v>
      </c>
      <c r="ME157" s="150" t="inlineStr">
        <is>
          <t>ESCOLHA DA TRILHA 3</t>
        </is>
      </c>
      <c r="MF157" s="152">
        <f>MAX(0,MIN(7,N('INVOCAÇÕES'!$AN$1150)))</f>
        <v/>
      </c>
      <c r="MG157" s="152">
        <f>'INVOCAÇÕES'!$AO$1150&amp;""</f>
        <v/>
      </c>
      <c r="MH157" s="152">
        <f>'INVOCAÇÕES'!$AN$1155&amp;""</f>
        <v/>
      </c>
      <c r="MI157" s="152">
        <f>'INVOCAÇÕES'!$AN$1156&amp;""</f>
        <v/>
      </c>
      <c r="MJ157" s="152">
        <f>'INVOCAÇÕES'!$AP$1156&amp;""</f>
        <v/>
      </c>
      <c r="MK157" s="152">
        <f>'INVOCAÇÕES'!$AO$1159&amp;""</f>
        <v/>
      </c>
      <c r="ML157" s="152">
        <f>'INVOCAÇÕES'!$AO$1160&amp;""</f>
        <v/>
      </c>
      <c r="MM157" s="152">
        <f>'INVOCAÇÕES'!$AO$1161&amp;""</f>
        <v/>
      </c>
      <c r="MN157" s="152">
        <f>'INVOCAÇÕES'!$AO$1162&amp;""</f>
        <v/>
      </c>
      <c r="MO157" s="152">
        <f>'INVOCAÇÕES'!$AO$1163&amp;""</f>
        <v/>
      </c>
      <c r="MP157" s="152">
        <f>'INVOCAÇÕES'!$AO$1164&amp;""</f>
        <v/>
      </c>
      <c r="MQ157" s="152">
        <f>IF($MG157&lt;&gt;"",1,0)</f>
        <v/>
      </c>
      <c r="MR157" s="152">
        <f>INDEX($FI$2:$FI$13,$MB157)</f>
        <v/>
      </c>
      <c r="MS157" s="152">
        <f>INDEX($FJ$2:$FJ$13,$MB157)</f>
        <v/>
      </c>
      <c r="MT157" s="152">
        <f>INDEX($FK$2:$FK$13,$MB157)</f>
        <v/>
      </c>
      <c r="MU157" s="152">
        <f>INDEX($FV$2:$FV$13,$MB157)</f>
        <v/>
      </c>
      <c r="MV157" s="152">
        <f>INDEX($FW$2:$FW$13,$MB157)</f>
        <v/>
      </c>
      <c r="MW157" s="152">
        <f>IFERROR(MATCH($MH157,$V$2:$V$11,0),0)</f>
        <v/>
      </c>
      <c r="MX157" s="152">
        <f>IFERROR(VLOOKUP($MK157,$AV$2:$BA$84,2,FALSE),"")</f>
        <v/>
      </c>
      <c r="MY157" s="152">
        <f>IFERROR(VLOOKUP($ML157,$AV$2:$BA$84,2,FALSE),"")</f>
        <v/>
      </c>
      <c r="MZ157" s="152">
        <f>IFERROR(VLOOKUP($MM157,$AV$2:$BA$84,2,FALSE),"")</f>
        <v/>
      </c>
      <c r="NA157" s="152">
        <f>IFERROR(VLOOKUP($MN157,$AV$2:$BA$84,2,FALSE),"")</f>
        <v/>
      </c>
      <c r="NB157" s="152">
        <f>IFERROR(VLOOKUP($MK157,$AV$2:$BA$84,3,FALSE),0)</f>
        <v/>
      </c>
      <c r="NC157" s="152">
        <f>IFERROR(VLOOKUP($ML157,$AV$2:$BA$84,3,FALSE),0)</f>
        <v/>
      </c>
      <c r="ND157" s="152">
        <f>IFERROR(VLOOKUP($MM157,$AV$2:$BA$84,3,FALSE),0)</f>
        <v/>
      </c>
      <c r="NE157" s="152">
        <f>IFERROR(VLOOKUP($MN157,$AV$2:$BA$84,3,FALSE),0)</f>
        <v/>
      </c>
      <c r="NF157" s="152">
        <f>IF($MF157=0,0,IF($MW157=0,0,INDEX($X$2:$X$11,$MW157)))</f>
        <v/>
      </c>
      <c r="NG157" s="152">
        <f>IF(OR($NB157=0,$MF157=0),0,$NB157+3*IF(AND($MX157&lt;&gt;"",OR($MX157=INDEX($EF$2:$EF$13,$MB157),$MX157=INDEX($EG$2:$EG$13,$MB157))),1,0))</f>
        <v/>
      </c>
      <c r="NH157" s="152">
        <f>IF(OR($NC157=0,$MF157=0),0,$NC157+3*IF(AND($MY157&lt;&gt;"",OR($MY157=INDEX($EF$2:$EF$13,$MB157),$MY157=INDEX($EG$2:$EG$13,$MB157))),1,0))</f>
        <v/>
      </c>
      <c r="NI157" s="152">
        <f>IF(OR($ND157=0,$MF157=0),0,$ND157+3*IF(AND($MZ157&lt;&gt;"",OR($MZ157=INDEX($EF$2:$EF$13,$MB157),$MZ157=INDEX($EG$2:$EG$13,$MB157))),1,0))</f>
        <v/>
      </c>
      <c r="NJ157" s="152">
        <f>IF(OR($NE157=0,$MF157=0),0,$NE157+3*IF(AND($NA157&lt;&gt;"",OR($NA157=INDEX($EF$2:$EF$13,$MB157),$NA157=INDEX($EG$2:$EG$13,$MB157))),1,0))</f>
        <v/>
      </c>
      <c r="NK157" s="152">
        <f>IF($MW157=0,0,IF(INDEX($W$2:$W$11,$MW157)="",0,IF(COUNTIF(INDEX($EF$2:$EJ$13,$MB157,0),INDEX($W$2:$W$11,$MW157))=0,1,0)))</f>
        <v/>
      </c>
      <c r="NL157" s="152">
        <f>IF(OR($NB157=0,$MX157=""),0,IF(COUNTIF(INDEX($EF$2:$EJ$13,$MB157,0),$MX157)=0,1,0))</f>
        <v/>
      </c>
      <c r="NM157" s="152">
        <f>IF(OR($NC157=0,$MY157=""),0,IF(COUNTIF(INDEX($EF$2:$EJ$13,$MB157,0),$MY157)=0,1,0))</f>
        <v/>
      </c>
      <c r="NN157" s="152">
        <f>IF(OR($ND157=0,$MZ157=""),0,IF(COUNTIF(INDEX($EF$2:$EJ$13,$MB157,0),$MZ157)=0,1,0))</f>
        <v/>
      </c>
      <c r="NO157" s="152">
        <f>IF(OR($NE157=0,$NA157=""),0,IF(COUNTIF(INDEX($EF$2:$EJ$13,$MB157,0),$NA157)=0,1,0))</f>
        <v/>
      </c>
      <c r="NP157" s="152">
        <f>IFERROR(VLOOKUP($MK157,$AV$2:$BA$84,4,FALSE),0)+IFERROR(VLOOKUP($ML157,$AV$2:$BA$84,4,FALSE),0)+IFERROR(VLOOKUP($MM157,$AV$2:$BA$84,4,FALSE),0)+IFERROR(VLOOKUP($MN157,$AV$2:$BA$84,4,FALSE),0)</f>
        <v/>
      </c>
      <c r="NQ157" s="152">
        <f>IFERROR(VLOOKUP($MK157,$AV$2:$BA$84,6,FALSE),0)+IFERROR(VLOOKUP($ML157,$AV$2:$BA$84,6,FALSE),0)+IFERROR(VLOOKUP($MM157,$AV$2:$BA$84,6,FALSE),0)+IFERROR(VLOOKUP($MN157,$AV$2:$BA$84,6,FALSE),0)</f>
        <v/>
      </c>
      <c r="NR157" s="152">
        <f>TEXTJOIN(", ",TRUE,IF(IFERROR(VLOOKUP($MK157,$AV$2:$BA$84,5,FALSE),0)=1,$MK157,""),IF(IFERROR(VLOOKUP($ML157,$AV$2:$BA$84,5,FALSE),0)=1,$ML157,""),IF(IFERROR(VLOOKUP($MM157,$AV$2:$BA$84,5,FALSE),0)=1,$MM157,""),IF(IFERROR(VLOOKUP($MN157,$AV$2:$BA$84,5,FALSE),0)=1,$MN157,""))</f>
        <v/>
      </c>
      <c r="NS157" s="152">
        <f>IF($MW157=0,0,INDEX($Y$2:$Y$11,$MW157))</f>
        <v/>
      </c>
      <c r="NT157" s="152">
        <f>IF($MW157=0,0,INDEX($Z$2:$Z$11,$MW157))</f>
        <v/>
      </c>
      <c r="NU157" s="152">
        <f>IF($MW157=0,0,INDEX($AB$2:$AB$11,$MW157))</f>
        <v/>
      </c>
      <c r="NV157" s="152">
        <f>IFERROR(VLOOKUP($MO157,$BC$2:$BG$24,3,FALSE),0)</f>
        <v/>
      </c>
      <c r="NW157" s="152">
        <f>IFERROR(VLOOKUP($MP157,$BC$2:$BG$24,3,FALSE),0)</f>
        <v/>
      </c>
      <c r="NX157" s="152">
        <f>IFERROR(VLOOKUP($MO157,$BC$2:$BG$24,2,FALSE),"")</f>
        <v/>
      </c>
      <c r="NY157" s="152">
        <f>IFERROR(VLOOKUP($MP157,$BC$2:$BG$24,2,FALSE),"")</f>
        <v/>
      </c>
      <c r="NZ157" s="152">
        <f>COUNTIF($NF157:$NJ157,1)</f>
        <v/>
      </c>
      <c r="OA157" s="152">
        <f>COUNTIF($NF157:$NJ157,2)</f>
        <v/>
      </c>
      <c r="OB157" s="152">
        <f>COUNTIF($NF157:$NJ157,3)</f>
        <v/>
      </c>
      <c r="OC157" s="152">
        <f>COUNTIF($NF157:$NJ157,4)</f>
        <v/>
      </c>
      <c r="OD157" s="152">
        <f>COUNTIF($NF157:$NJ157,5)</f>
        <v/>
      </c>
      <c r="OE157" s="152">
        <f>COUNTIF($NF157:$NJ157,6)</f>
        <v/>
      </c>
      <c r="OF157" s="152">
        <f>COUNTIF($NV157:$NW157,1)</f>
        <v/>
      </c>
      <c r="OG157" s="152">
        <f>COUNTIF($NV157:$NW157,2)+$NS157</f>
        <v/>
      </c>
      <c r="OH157" s="152">
        <f>COUNTIF($MK157:$MN157,"?*")</f>
        <v/>
      </c>
      <c r="OI157" s="152">
        <f>COUNTIF($MO157:$MP157,"?*")+$NS157</f>
        <v/>
      </c>
      <c r="OJ157" s="152">
        <f>IF($MF157=0,0,SUMPRODUCT($NZ157:$OE157,INDEX($I$2:$N$8,MAX(1,$MF157),0)))</f>
        <v/>
      </c>
      <c r="OK157" s="152">
        <f>IF($MF157=0,0,$OF157*CEILING($MF157/2,1)+$OG157*$MF157)</f>
        <v/>
      </c>
      <c r="OL157" s="152">
        <f>MIN(2*$MF157,$OK157)</f>
        <v/>
      </c>
      <c r="OM157" s="152">
        <f>MIN($OL157,$OJ157)</f>
        <v/>
      </c>
      <c r="ON157" s="152">
        <f>$OL157-$OM157</f>
        <v/>
      </c>
      <c r="OO157" s="152">
        <f>IF($MF157=0,0,INDEX($P$2:$P$8,MAX(1,$MF157)))</f>
        <v/>
      </c>
      <c r="OP157" s="152">
        <f>$OO157-$OJ157+$OM157</f>
        <v/>
      </c>
      <c r="OQ157" s="152">
        <f>IF($MF157=0,MAX(0,$MT157-IF($OH157&gt;0,1,0)),MAX(0,$OP157))</f>
        <v/>
      </c>
      <c r="OR157" s="152">
        <f>IF($MF157=0,0,(IF(COUNTIF($MK157:$MN157,"Salto")&gt;0,1,0)+IF(COUNTIF($MK157:$MN157,"Queima")&gt;0,1,0)+IF(COUNTIF($MK157:$MN157,"Estilhaço")&gt;0,1,0))*FLOOR($OQ157/2,1))</f>
        <v/>
      </c>
      <c r="OS157" s="152">
        <f>MAX(0,2-SUMPRODUCT($NZ157:$OE157,$I$2:$N$2)+MIN(2,$OF157*1+$OG157*1,SUMPRODUCT($NZ157:$OE157,$I$2:$N$2)))</f>
        <v/>
      </c>
      <c r="OT157" s="152">
        <f>MAX(0,4-SUMPRODUCT($NZ157:$OE157,$I$3:$N$3)+MIN(4,$OF157*1+$OG157*2,SUMPRODUCT($NZ157:$OE157,$I$3:$N$3)))</f>
        <v/>
      </c>
      <c r="OU157" s="152">
        <f>MAX(0,6-SUMPRODUCT($NZ157:$OE157,$I$4:$N$4)+MIN(6,$OF157*2+$OG157*3,SUMPRODUCT($NZ157:$OE157,$I$4:$N$4)))</f>
        <v/>
      </c>
      <c r="OV157" s="152">
        <f>MAX(0,9-SUMPRODUCT($NZ157:$OE157,$I$5:$N$5)+MIN(8,$OF157*2+$OG157*4,SUMPRODUCT($NZ157:$OE157,$I$5:$N$5)))</f>
        <v/>
      </c>
      <c r="OW157" s="152">
        <f>MAX(0,11-SUMPRODUCT($NZ157:$OE157,$I$6:$N$6)+MIN(10,$OF157*3+$OG157*5,SUMPRODUCT($NZ157:$OE157,$I$6:$N$6)))</f>
        <v/>
      </c>
      <c r="OX157" s="152">
        <f>MAX(0,13-SUMPRODUCT($NZ157:$OE157,$I$7:$N$7)+MIN(12,$OF157*3+$OG157*6,SUMPRODUCT($NZ157:$OE157,$I$7:$N$7)))</f>
        <v/>
      </c>
      <c r="OY157" s="152">
        <f>MAX(0,16-SUMPRODUCT($NZ157:$OE157,$I$8:$N$8)+MIN(14,$OF157*4+$OG157*7,SUMPRODUCT($NZ157:$OE157,$I$8:$N$8)))</f>
        <v/>
      </c>
      <c r="OZ157" s="152">
        <f>IF($NT157=2,3*$OS157&amp;" de vida temp.",IF($NT157=3,"sem dano",IF($OS157=0,IF($NT157=1,"sem cura","sem dano"),IF($NT157=1,"cura ","")&amp;$OS157&amp;"d8")))</f>
        <v/>
      </c>
      <c r="PA157" s="152">
        <f>IF($NT157=2,3*$OT157&amp;" de vida temp.",IF($NT157=3,"sem dano",IF($OT157=0,IF($NT157=1,"sem cura","sem dano"),IF($NT157=1,"cura ","")&amp;$OT157&amp;"d8")))</f>
        <v/>
      </c>
      <c r="PB157" s="152">
        <f>IF($NT157=2,3*$OU157&amp;" de vida temp.",IF($NT157=3,"sem dano",IF($OU157=0,IF($NT157=1,"sem cura","sem dano"),IF($NT157=1,"cura ","")&amp;$OU157&amp;"d8")))</f>
        <v/>
      </c>
      <c r="PC157" s="152">
        <f>IF($NT157=2,3*$OV157&amp;" de vida temp.",IF($NT157=3,"sem dano",IF($OV157=0,IF($NT157=1,"sem cura","sem dano"),IF($NT157=1,"cura ","")&amp;$OV157&amp;"d8")))</f>
        <v/>
      </c>
      <c r="PD157" s="152">
        <f>IF($NT157=2,3*$OW157&amp;" de vida temp.",IF($NT157=3,"sem dano",IF($OW157=0,IF($NT157=1,"sem cura","sem dano"),IF($NT157=1,"cura ","")&amp;$OW157&amp;"d8")))</f>
        <v/>
      </c>
      <c r="PE157" s="152">
        <f>IF($NT157=2,3*$OX157&amp;" de vida temp.",IF($NT157=3,"sem dano",IF($OX157=0,IF($NT157=1,"sem cura","sem dano"),IF($NT157=1,"cura ","")&amp;$OX157&amp;"d8")))</f>
        <v/>
      </c>
      <c r="PF157" s="152">
        <f>IF($NT157=2,3*$OY157&amp;" de vida temp.",IF($NT157=3,"sem dano",IF($OY157=0,IF($NT157=1,"sem cura","sem dano"),IF($NT157=1,"cura ","")&amp;$OY157&amp;"d8")))</f>
        <v/>
      </c>
      <c r="PG157" s="152">
        <f>IF($MQ157=0,"",TEXTJOIN(" · ",TRUE,IF($MD157&gt;$MR157,"Este lugar abre no nível "&amp;$MD157,""),IF($MF157&gt;$MS157,"Classe "&amp;$MF157&amp;": o nível "&amp;$MR157&amp;" libera até a "&amp;$MS157,""),IF($NK157=1,"A Forma "&amp;$MH157&amp;" pede "&amp;INDEX($W$2:$W$11,$MW157)&amp;" aberta",""),IF(AND($MF157=0,$MW157&gt;0,IF($MW157=0,0,INDEX($AF$2:$AF$11,$MW157))=0),$MH157&amp;" não existe na Classe 0",""),IF($NL157=1,"Família Fechada: "&amp;$MK157,""),IF($NM157=1,"Família Fechada: "&amp;$ML157,""),IF($NN157=1,"Família Fechada: "&amp;$MM157,""),IF($NO157=1,"Família Fechada: "&amp;$MN157,""),IF(AND($MF157&gt;0,$OH157&gt;INDEX($O$2:$O$8,MAX(1,$MF157))),$OH157&amp;" Melhorias: a Classe "&amp;$MF157&amp;" aceita "&amp;INDEX($O$2:$O$8,MAX(1,$MF157)),""),IF(AND($MF157=0,$OH157&gt;1),"A básica aceita uma Melhoria",""),IF(AND($MF157=0,COUNTIF($NB157:$NE157,"&gt;1")&gt;0),"A básica só aceita Melhoria Leve",""),IF(AND($MF157&gt;0,$OI157&gt;2),$OI157&amp;" Restrições"&amp;IF($NS157=1,", contando a que a Forma "&amp;$MH157&amp;" já traz","")&amp;": o limite é 2",""),IF(AND($MF157=0,COUNTIF($MO157:$MP157,"?*")&gt;1),"A básica aceita uma Restrição Leve",""),IF(AND($MF157=0,COUNTIF($NV157:$NW157,2)&gt;0),"A básica só aceita Restrição Leve",""),IF(AND($MF157&gt;0,$OP157&lt;0),"Orçamento estourado: faltam "&amp;(-$OP157)&amp;IF($OP157&lt;-1," pontos"," ponto"),""),IF(IFERROR(VLOOKUP($MO157,$BC$2:$BG$24,4,FALSE),0)+IFERROR(VLOOKUP($MP157,$BC$2:$BG$24,4,FALSE),0)&gt;1,$NX157&amp;" e "&amp;$NY157&amp;" são as duas de frequência",""),IF(AND((COUNTIF($MK157:$MN157,"Rápido")+COUNTIF($NX157:$NY157,"Rápido"))&gt;0,(COUNTIF($MK157:$MN157,"Atrasar")+COUNTIF($NX157:$NY157,"Atrasar"))&gt;0),"Rápido não entra com Atrasar",""),IF(AND((COUNTIF($MK157:$MN157,"Reação")+COUNTIF($NX157:$NY157,"Reação"))&gt;0,(COUNTIF($MK157:$MN157,"Rápido")+COUNTIF($NX157:$NY157,"Rápido"))&gt;0),"Reação não entra com Rápido",""),IF(AND((COUNTIF($MK157:$MN157,"Reação")+COUNTIF($NX157:$NY157,"Reação"))&gt;0,(COUNTIF($MK157:$MN157,"Armado")+COUNTIF($NX157:$NY157,"Armado"))&gt;0),"Reação não entra com Armado",""),IF(AND((COUNTIF($MK157:$MN157,"Reação")+COUNTIF($NX157:$NY157,"Reação"))&gt;0,(COUNTIF($MK157:$MN157,"Atrasar")+COUNTIF($NX157:$NY157,"Atrasar"))&gt;0),"Reação não entra com Atrasar",""),IF(AND((COUNTIF($MK157:$MN157,"Reação")+COUNTIF($NX157:$NY157,"Reação"))&gt;0,(COUNTIF($MK157:$MN157,"Parado")+COUNTIF($NX157:$NY157,"Parado"))&gt;0),"Reação não entra com Parado",""),IF(AND((COUNTIF($MK157:$MN157,"Atrasar")+COUNTIF($NX157:$NY157,"Atrasar"))&gt;0,(COUNTIF($MK157:$MN157,"Parado")+COUNTIF($NX157:$NY157,"Parado"))&gt;0),"Atrasar não entra com Parado",""),IF(AND((COUNTIF($MK157:$MN157,"Armado")+COUNTIF($NX157:$NY157,"Armado"))&gt;0,(COUNTIF($MK157:$MN157,"Carregar")+COUNTIF($NX157:$NY157,"Carregar"))&gt;0),"Armado não entra com Carregar",""),IF(AND(COUNTIF($NX157:$NY157,"Corpo a Corpo")&gt;0,$NS157=0,OR($MH157="Cone",$MH157="Linha")),"Corpo a Corpo não entra em "&amp;$MH157,""),IF(AND(COUNTIF($NX157:$NY157,"Corpo a Corpo")&gt;0,$NS157=1),"A Forma "&amp;$MH157&amp;" já traz o Corpo a Corpo",""),IF(AND(COUNTIF($NX157:$NY157,"Tudo ou Nada")&gt;0,$NU157=0),"Tudo ou Nada só entra em habilidade de Teste de Resistência",""),IF(AND(COUNTIF($MK157:$MN157,"Inescapável")&gt;0,OR($OH157&gt;1,$OI157&gt;0)),"Inescapável não aceita outra peça",""),IF(AND($MF157&gt;0,$OQ157*IF(COUNTIF($MK157:$MN157,"Remate")&gt;0,1.25,1)+$OR157&gt;4*$MF157),($OQ157*IF(COUNTIF($MK157:$MN157,"Remate")&gt;0,1.25,1)+$OR157)&amp;" dados somando repetições"&amp;IF(COUNTIF($MK157:$MN157,"Remate")&gt;0," e o Remate","")&amp;": o teto da Classe "&amp;$MF157&amp;" é "&amp;4*$MF157,"")))</f>
        <v/>
      </c>
      <c r="PH157" s="152">
        <f>IF($PG157="",0,(LEN($PG157)-LEN(SUBSTITUTE($PG157," · ","")))/3+1)</f>
        <v/>
      </c>
      <c r="PI157" s="152">
        <f>IF($MQ157=0,"",TEXTJOIN(" · ",TRUE,IF($OK157&gt;2*$MF157,"A devolução parou no teto de "&amp;2*$MF157,""),IF($ON157&gt;0,"Devolução perdida: "&amp;$ON157&amp;IF($ON157&gt;1," pontos"," ponto")&amp;" sem peça para pagar",""),IF(AND($NP157&gt;0,AND($MF157&gt;0,$NT157=0),$OQ157=0),"Controle sem dano: uma rodada a mais e CD +2",""),IF(AND($NP157&gt;0,AND($MF157&gt;0,$NT157=0),$OQ157&gt;0,$OQ157&lt;=$MF157),"Controle com saldo até a Classe: uma rodada a mais",""),IF(AND($MF157&gt;0,$NR157&lt;&gt;""),"Efeito de "&amp;$NR157&amp;" pela Classe "&amp;MAX(1,$MF157-1),"")))</f>
        <v/>
      </c>
      <c r="PJ157" s="152">
        <f>IF($PI157="",0,(LEN($PI157)-LEN(SUBSTITUTE($PI157," · ","")))/3+1)</f>
        <v/>
      </c>
      <c r="PK157" s="152">
        <f>IF($MQ157=0,IF($OH157+COUNTIF($MO157:$MP157,"?*")&gt;0,"Dê um nome",""),IF($PH157&gt;0,"⚠ "&amp;$PH157&amp;IF($PH157&gt;1," erros"," erro"),IF($PJ157&gt;0,"! "&amp;$PJ157&amp;IF($PJ157&gt;1," avisos"," aviso"),"Na regra")))</f>
        <v/>
      </c>
      <c r="PL157" s="152">
        <f>IF($MQ157=0,"",IF($PH157+$PJ157=0,"Dentro das regras que a ficha confere",$PG157&amp;IF(AND($PH157&gt;0,$PJ157&gt;0)," · ","")&amp;$PI157))</f>
        <v/>
      </c>
      <c r="PM157" s="152">
        <f>IF($MD157&gt;$MR157,$ME157&amp;" · ABRE NO NÍVEL "&amp;$MD157,$ME157)</f>
        <v/>
      </c>
      <c r="PN157" s="152">
        <f>IF($MQ157=0,"",IF($MF157=0,"Sem PE",3*$MF157&amp;" PE"))</f>
        <v/>
      </c>
      <c r="PO157" s="152">
        <f>IF($MQ157=0,"",IF($MF157=0,"A atuação básica dela",IF(COUNTIF($NX157:$NY157,"Atrasar")&gt;0,"Sua Ação Completa",IF(COUNTIF($MK157:$MN157,"Rápido")&gt;0,"Sua Bônus",IF(COUNTIF($MK157:$MN157,"Reação")&gt;0,"Sua Reação","Sua Padrão")))&amp;" + a básica dela"&amp;IF(COUNTIF($MK157:$MN157,"Reação")&gt;0," e a coletiva","")&amp;IF(COUNTIF($NX157:$NY157,"Carregar")&gt;0," · em dois turnos","")))</f>
        <v/>
      </c>
      <c r="PP157" s="152">
        <f>IF($MJ157&lt;&gt;"",$MJ157,IF($MW157=0,"",INDEX($AA$2:$AA$11,$MW157)))</f>
        <v/>
      </c>
      <c r="PQ157" s="152">
        <f>IF(OR($MQ157=0,$MW157=0),"",IF(COUNTIF($MK157:$MN157,"Inescapável")&gt;0,"Automático",IF($PP157="Ataque",IF($MU157="","Ataque","Ataque "&amp;IF(($MU157+2*IF(COUNTIF($MK157:$MN157,"Precisão")&gt;0,1,0))&gt;=0,"+","−")&amp;ABS(($MU157+2*IF(COUNTIF($MK157:$MN157,"Precisão")&gt;0,1,0))))&amp;IF($NQ157&gt;0," · TR"&amp;IF($MV157="",""," CD "&amp;$MV157),""),IF(LEFT($PP157,2)="TR",$PP157&amp;IF($MV157="",""," · CD "&amp;$MV157)&amp;IF(COUNTIF($MK157:$MN157,"Certeiro")&gt;0," · metade",""),"Sem rolagem"))))</f>
        <v/>
      </c>
      <c r="PR157" s="152">
        <f>IF(OR($MQ157=0,$MW157=0),"",IF($MF157=0,IF(OR($NT157&gt;=1,$OQ157=0),"Sem dano",$OQ157&amp;"d6"&amp;IF($MI157="",""," "&amp;$MI157)),IF(OR($NT157&gt;=1,$OQ157=0),UPPER(LEFT(INDEX($OZ157:$PF157,1,MAX(1,$MF157)),1))&amp;MID(INDEX($OZ157:$PF157,1,MAX(1,$MF157)),2,99),UPPER(LEFT(INDEX($OZ157:$PF157,1,MAX(1,$MF157)),1))&amp;MID(INDEX($OZ157:$PF157,1,MAX(1,$MF157)),2,99)&amp;IF($MI157="",""," "&amp;$MI157)&amp;IF($OR157&gt;0," · +"&amp;$OR157&amp;"d8",""))))</f>
        <v/>
      </c>
      <c r="PS157" s="152">
        <f>COUNTIF($MK157:$MN157,"Longe")+3*COUNTIF($MK157:$MN157,"Muito Longe")</f>
        <v/>
      </c>
      <c r="PT157" s="152">
        <f>COUNTIF($MK157:$MN157,"Maior")+3*COUNTIF($MK157:$MN157,"Muito Maior")</f>
        <v/>
      </c>
      <c r="PU157" s="152">
        <f>IF($MW157=0,0,CHOOSE(1+INDEX($AC$2:$AC$11,$MW157),0,$PS157,$PT157,$PS157+$PT157))</f>
        <v/>
      </c>
      <c r="PV157" s="152">
        <f>IF($MW157=0,0,CHOOSE(1+INDEX($AD$2:$AD$11,$MW157),0,$PS157,$PT157,$PS157+$PT157))</f>
        <v/>
      </c>
      <c r="PW157" s="152">
        <f>IF(OR($MQ157=0,$MW157=0),"",INDEX($AI$2:$AN$41,($MW157-1)*4+IF($MF157=0,1,IF($MF157&lt;=5,2,IF($MF157=6,3,4))),1+MIN(5,$PU157))&amp;INDEX($AO$2:$AT$41,($MW157-1)*4+IF($MF157=0,1,IF($MF157&lt;=5,2,IF($MF157=6,3,4))),1+MIN(5,$PV157))&amp;IF(INDEX($AE$2:$AE$11,$MW157)=1,IF(COUNTIF($MK157:$MN157,"Mais Um")&gt;0," · +"&amp;COUNTIF($MK157:$MN157,"Mais Um")&amp;IF(COUNTIF($MK157:$MN157,"Mais Um")&gt;1," alvos"," alvo"),"")&amp;IF(COUNTIF($MK157:$MN157,"Rajada")&gt;0,IF($MF157=0," · 1 tiro"," · "&amp;(MAX(1,$MF157-1)+1)&amp;" tiros"),""),""))</f>
        <v/>
      </c>
      <c r="PX157" s="152">
        <f>IF($MQ157=0,"",IF($MF157=0,$MT157&amp;"d6"&amp;IF($OH157&gt;0," − 1 = "&amp;$OQ157&amp;"d6"," da básica do nível "&amp;$MR157),$OO157&amp;" − "&amp;$OJ157&amp;" + "&amp;$OM157&amp;" = "&amp;$OP157&amp;" · teto "&amp;4*$MF157&amp;"d8"&amp;IF($NS157=1," · a Forma devolve "&amp;$MF157,"")&amp;IF($ON157&gt;0," · perde "&amp;$ON157,"")))</f>
        <v/>
      </c>
      <c r="PY157" s="152">
        <f>IF($MQ157=0,"",IF($MF157=0,"A básica não amplia: os dados dela sobem com o nível",IF($MF157&gt;=$MS157,"Já está na maior Classe que o nível liberou",TEXTJOIN(" · ",TRUE,IF(AND(2&gt;$MF157,2&lt;=$MS157),"2 → "&amp;$PA157&amp;", 6 PE",""),IF(AND(3&gt;$MF157,3&lt;=$MS157),"3 → "&amp;$PB157&amp;", 9 PE",""),IF(AND(4&gt;$MF157,4&lt;=$MS157),"4 → "&amp;$PC157&amp;", 12 PE",""),IF(AND(5&gt;$MF157,5&lt;=$MS157),"5 → "&amp;$PD157&amp;", 15 PE",""),IF(AND(6&gt;$MF157,6&lt;=$MS157),"6 → "&amp;$PE157&amp;", 18 PE",""),IF(AND(7&gt;$MF157,7&lt;=$MS157),"7 → "&amp;$PF157&amp;", 21 PE","")))))</f>
        <v/>
      </c>
      <c r="PZ157" s="152">
        <f>IF(OR($MQ157=0,$NB157=0),"",IF($MF157=0,"−1 dado","−"&amp;INDEX($I$2:$N$8,MAX(1,$MF157),MAX(1,$NG157))&amp;" · "&amp;CHOOSE(MAX(1,$NG157),"Leve","Média","Pesada","Leve · Livre","Média · Livre","Pesada · Livre")))</f>
        <v/>
      </c>
      <c r="QA157" s="152">
        <f>IF(OR($MQ157=0,$NC157=0),"",IF($MF157=0,"−1 dado","−"&amp;INDEX($I$2:$N$8,MAX(1,$MF157),MAX(1,$NH157))&amp;" · "&amp;CHOOSE(MAX(1,$NH157),"Leve","Média","Pesada","Leve · Livre","Média · Livre","Pesada · Livre")))</f>
        <v/>
      </c>
      <c r="QB157" s="152">
        <f>IF(OR($MQ157=0,$ND157=0),"",IF($MF157=0,"−1 dado","−"&amp;INDEX($I$2:$N$8,MAX(1,$MF157),MAX(1,$NI157))&amp;" · "&amp;CHOOSE(MAX(1,$NI157),"Leve","Média","Pesada","Leve · Livre","Média · Livre","Pesada · Livre")))</f>
        <v/>
      </c>
      <c r="QC157" s="152">
        <f>IF(OR($MQ157=0,$NE157=0),"",IF($MF157=0,"−1 dado","−"&amp;INDEX($I$2:$N$8,MAX(1,$MF157),MAX(1,$NJ157))&amp;" · "&amp;CHOOSE(MAX(1,$NJ157),"Leve","Média","Pesada","Leve · Livre","Média · Livre","Pesada · Livre")))</f>
        <v/>
      </c>
      <c r="QD157" s="152">
        <f>IF(OR($MQ157=0,$MO157=""),"",IF($MF157=0,"não devolve","+"&amp;IF($NV157=1,CEILING($MF157/2,1),$MF157)))</f>
        <v/>
      </c>
      <c r="QE157" s="152">
        <f>IF(OR($MQ157=0,$MP157=""),"",IF($MF157=0,"não devolve","+"&amp;IF($NW157=1,CEILING($MF157/2,1),$MF157)))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2026-10-07T23:43:07Z</dcterms:created>
  <dcterms:modified xmlns:dcterms="http://purl.org/dc/terms/" xmlns:xsi="http://www.w3.org/2001/XMLSchema-instance" xsi:type="dcterms:W3CDTF">2026-10-07T23:43:36Z</dcterms:modified>
</cp:coreProperties>
</file>
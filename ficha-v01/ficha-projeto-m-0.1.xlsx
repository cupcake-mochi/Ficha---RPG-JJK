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3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Oswald"/>
      <color rgb="FF998BA9"/>
      <sz val="8"/>
    </font>
    <font>
      <name val="Castoro"/>
      <color rgb="FFF4F1F7"/>
      <sz val="15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Castoro"/>
      <color rgb="FFE8DCD4"/>
      <sz val="10"/>
    </font>
    <font>
      <name val="Oswald"/>
      <color rgb="FFE8DCD4"/>
      <sz val="10"/>
    </font>
    <font>
      <name val="Oswald"/>
      <color rgb="FFE8DCD4"/>
      <sz val="9"/>
    </font>
    <font>
      <name val="Castoro"/>
      <color rgb="FFE8DCD4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  <font>
      <name val="Arial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1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right style="thin">
        <color rgb="FFFFFFFF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" fillId="5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8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9" fillId="5" borderId="1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8" fillId="4" borderId="15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6" fillId="5" borderId="1" applyAlignment="1" pivotButton="0" quotePrefix="0" xfId="0">
      <alignment horizontal="center" vertical="center"/>
    </xf>
    <xf numFmtId="0" fontId="24" fillId="5" borderId="3" applyAlignment="1" pivotButton="0" quotePrefix="0" xfId="0">
      <alignment horizontal="center" vertical="center"/>
    </xf>
    <xf numFmtId="0" fontId="26" fillId="5" borderId="28" applyAlignment="1" pivotButton="0" quotePrefix="0" xfId="0">
      <alignment horizontal="center" vertical="center"/>
    </xf>
    <xf numFmtId="0" fontId="0" fillId="0" borderId="30" pivotButton="0" quotePrefix="0" xfId="0"/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/>
    </xf>
    <xf numFmtId="0" fontId="31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1" fillId="5" borderId="3" applyAlignment="1" pivotButton="0" quotePrefix="0" xfId="0">
      <alignment horizontal="center" vertical="center" wrapText="1"/>
    </xf>
    <xf numFmtId="0" fontId="31" fillId="5" borderId="29" applyAlignment="1" pivotButton="0" quotePrefix="0" xfId="0">
      <alignment horizontal="left" vertical="center"/>
    </xf>
    <xf numFmtId="0" fontId="33" fillId="5" borderId="1" applyAlignment="1" pivotButton="0" quotePrefix="0" xfId="0">
      <alignment horizontal="center" vertical="center"/>
    </xf>
    <xf numFmtId="0" fontId="34" fillId="5" borderId="1" pivotButton="0" quotePrefix="0" xfId="0"/>
    <xf numFmtId="0" fontId="35" fillId="4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6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  <xf numFmtId="0" fontId="37" fillId="3" borderId="0" pivotButton="0" quotePrefix="0" xfId="0"/>
    <xf numFmtId="0" fontId="37" fillId="3" borderId="7" pivotButton="0" quotePrefix="0" xfId="0"/>
    <xf numFmtId="0" fontId="37" fillId="4" borderId="4" pivotButton="0" quotePrefix="0" xfId="0"/>
    <xf numFmtId="0" fontId="38" fillId="4" borderId="2" applyAlignment="1" pivotButton="0" quotePrefix="0" xfId="0">
      <alignment horizontal="left" vertical="center"/>
    </xf>
    <xf numFmtId="0" fontId="39" fillId="4" borderId="3" applyAlignment="1" pivotButton="0" quotePrefix="0" xfId="0">
      <alignment horizontal="right" vertical="center"/>
    </xf>
    <xf numFmtId="0" fontId="37" fillId="4" borderId="9" pivotButton="0" quotePrefix="0" xfId="0"/>
    <xf numFmtId="0" fontId="37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41" fillId="6" borderId="0" applyAlignment="1" pivotButton="0" quotePrefix="0" xfId="0">
      <alignment horizontal="left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right" vertical="center"/>
    </xf>
    <xf numFmtId="0" fontId="32" fillId="5" borderId="15" applyAlignment="1" pivotButton="0" quotePrefix="0" xfId="0">
      <alignment horizontal="right" vertical="center"/>
    </xf>
    <xf numFmtId="0" fontId="31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center" vertical="center"/>
    </xf>
    <xf numFmtId="0" fontId="32" fillId="4" borderId="1" applyAlignment="1" pivotButton="0" quotePrefix="0" xfId="0">
      <alignment horizontal="right" vertical="center"/>
    </xf>
    <xf numFmtId="0" fontId="37" fillId="5" borderId="1" applyAlignment="1" pivotButton="0" quotePrefix="0" xfId="0">
      <alignment horizontal="left" vertical="center"/>
    </xf>
    <xf numFmtId="0" fontId="45" fillId="4" borderId="1" applyAlignment="1" pivotButton="0" quotePrefix="0" xfId="0">
      <alignment horizontal="left" vertical="center"/>
    </xf>
    <xf numFmtId="0" fontId="43" fillId="5" borderId="1" applyAlignment="1" pivotButton="0" quotePrefix="0" xfId="0">
      <alignment horizontal="left" vertical="center"/>
    </xf>
    <xf numFmtId="0" fontId="19" fillId="4" borderId="29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8" fillId="4" borderId="3" applyAlignment="1" pivotButton="0" quotePrefix="0" xfId="0">
      <alignment horizontal="right" vertical="center"/>
    </xf>
    <xf numFmtId="0" fontId="46" fillId="5" borderId="3" applyAlignment="1" pivotButton="0" quotePrefix="0" xfId="0">
      <alignment horizontal="center" vertical="center"/>
    </xf>
    <xf numFmtId="0" fontId="47" fillId="5" borderId="1" applyAlignment="1" pivotButton="0" quotePrefix="0" xfId="0">
      <alignment horizontal="right" vertical="center"/>
    </xf>
    <xf numFmtId="0" fontId="46" fillId="4" borderId="3" applyAlignment="1" pivotButton="0" quotePrefix="0" xfId="0">
      <alignment horizontal="center" vertical="center"/>
    </xf>
    <xf numFmtId="0" fontId="47" fillId="4" borderId="1" applyAlignment="1" pivotButton="0" quotePrefix="0" xfId="0">
      <alignment horizontal="right" vertical="center"/>
    </xf>
    <xf numFmtId="0" fontId="48" fillId="5" borderId="1" applyAlignment="1" pivotButton="0" quotePrefix="0" xfId="0">
      <alignment vertical="center"/>
    </xf>
    <xf numFmtId="0" fontId="4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50" fillId="5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0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1" fillId="5" borderId="1" applyAlignment="1" pivotButton="0" quotePrefix="0" xfId="0">
      <alignment horizontal="left" vertical="center"/>
    </xf>
    <xf numFmtId="0" fontId="37" fillId="4" borderId="0" pivotButton="0" quotePrefix="0" xfId="0"/>
    <xf numFmtId="0" fontId="29" fillId="4" borderId="0" applyAlignment="1" pivotButton="0" quotePrefix="0" xfId="0">
      <alignment horizontal="left" vertical="center"/>
    </xf>
    <xf numFmtId="0" fontId="39" fillId="4" borderId="0" applyAlignment="1" pivotButton="0" quotePrefix="0" xfId="0">
      <alignment horizontal="right" vertical="center"/>
    </xf>
    <xf numFmtId="0" fontId="17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left" vertical="center"/>
    </xf>
    <xf numFmtId="0" fontId="47" fillId="5" borderId="0" applyAlignment="1" pivotButton="0" quotePrefix="0" xfId="0">
      <alignment horizontal="center" vertical="center"/>
    </xf>
    <xf numFmtId="0" fontId="31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 vertical="center"/>
    </xf>
    <xf numFmtId="0" fontId="47" fillId="4" borderId="0" applyAlignment="1" pivotButton="0" quotePrefix="0" xfId="0">
      <alignment horizontal="center" vertical="center"/>
    </xf>
    <xf numFmtId="0" fontId="31" fillId="4" borderId="0" applyAlignment="1" pivotButton="0" quotePrefix="0" xfId="0">
      <alignment horizontal="left" vertical="center"/>
    </xf>
    <xf numFmtId="0" fontId="43" fillId="4" borderId="0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_rels/drawing2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0</row>
      <rowOff>0</rowOff>
    </from>
    <ext cx="14649450" cy="195072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83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3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8" t="n"/>
      <c r="AE38" s="7" t="n"/>
      <c r="AF38" s="7" t="n"/>
      <c r="AG38" s="7" t="n"/>
      <c r="AH38" s="39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7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2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</row>
    <row r="8" ht="27" customHeight="1">
      <c r="A8" s="44" t="inlineStr">
        <is>
          <t>PROJETO M</t>
        </is>
      </c>
      <c r="C8" s="40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C9" s="40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C10" s="40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40" t="n"/>
      <c r="D11" s="56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7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7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8" t="n">
        <v>2</v>
      </c>
      <c r="AI11" s="13" t="n"/>
      <c r="AJ11" s="13" t="n"/>
      <c r="AK11" s="13" t="n"/>
      <c r="AL11" s="14" t="n"/>
      <c r="AM11" s="54" t="n"/>
      <c r="AN11" s="59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40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C13" s="40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 ht="27" customHeight="1">
      <c r="C14" s="40" t="n"/>
      <c r="D14" s="61" t="n">
        <v>2</v>
      </c>
      <c r="E14" s="13" t="n"/>
      <c r="F14" s="14" t="n"/>
      <c r="G14" s="46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2" t="n"/>
      <c r="Z14" s="47" t="n"/>
      <c r="AA14" s="47" t="n"/>
      <c r="AB14" s="47" t="n"/>
      <c r="AC14" s="47" t="n"/>
      <c r="AD14" s="47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  <c r="AQ14" s="47" t="n"/>
      <c r="AR14" s="47" t="n"/>
      <c r="AS14" s="47" t="n"/>
      <c r="AT14" s="47" t="n"/>
    </row>
    <row r="15">
      <c r="C15" s="40" t="n"/>
      <c r="D15" s="17" t="n"/>
      <c r="E15" s="18" t="n"/>
      <c r="F15" s="19" t="n"/>
      <c r="G15" s="48" t="n"/>
      <c r="H15" s="48" t="n"/>
      <c r="I15" s="48" t="n"/>
      <c r="J15" s="48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8" t="n"/>
      <c r="T15" s="49" t="n"/>
      <c r="U15" s="49" t="n"/>
      <c r="V15" s="49" t="n"/>
      <c r="W15" s="49" t="n"/>
      <c r="X15" s="49" t="n"/>
      <c r="Y15" s="50" t="n"/>
      <c r="Z15" s="50" t="n"/>
      <c r="AA15" s="47" t="n"/>
      <c r="AB15" s="50" t="n"/>
      <c r="AC15" s="50" t="n"/>
      <c r="AD15" s="50" t="n"/>
      <c r="AE15" s="50" t="n"/>
      <c r="AF15" s="50" t="n"/>
      <c r="AG15" s="50" t="n"/>
      <c r="AH15" s="50" t="n"/>
      <c r="AI15" s="47" t="n"/>
      <c r="AJ15" s="50" t="n"/>
      <c r="AK15" s="50" t="n"/>
      <c r="AL15" s="50" t="n"/>
      <c r="AM15" s="50" t="n"/>
      <c r="AN15" s="50" t="n"/>
      <c r="AO15" s="50" t="n"/>
      <c r="AP15" s="50" t="n"/>
      <c r="AQ15" s="47" t="n"/>
      <c r="AR15" s="47" t="n"/>
      <c r="AS15" s="47" t="n"/>
      <c r="AT15" s="47" t="n"/>
    </row>
    <row r="16">
      <c r="C16" s="40" t="n"/>
      <c r="D16" s="51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2" t="n"/>
      <c r="L16" s="53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4" t="n"/>
      <c r="T16" s="55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4" t="n"/>
      <c r="AB16" s="55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4" t="n"/>
      <c r="AJ16" s="55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7" t="n"/>
      <c r="AR16" s="63" t="n"/>
      <c r="AS16" s="47" t="n"/>
      <c r="AT16" s="47" t="n"/>
    </row>
    <row r="17" ht="29.25" customHeight="1">
      <c r="C17" s="40" t="n"/>
      <c r="D17" s="64" t="n">
        <v>0</v>
      </c>
      <c r="E17" s="13" t="n"/>
      <c r="F17" s="13" t="n"/>
      <c r="G17" s="13" t="n"/>
      <c r="H17" s="13" t="n"/>
      <c r="I17" s="13" t="n"/>
      <c r="J17" s="14" t="n"/>
      <c r="K17" s="54" t="n"/>
      <c r="L17" s="65" t="n">
        <v>0</v>
      </c>
      <c r="M17" s="13" t="n"/>
      <c r="N17" s="13" t="n"/>
      <c r="O17" s="13" t="n"/>
      <c r="P17" s="13" t="n"/>
      <c r="Q17" s="13" t="n"/>
      <c r="R17" s="14" t="n"/>
      <c r="S17" s="54" t="n"/>
      <c r="T17" s="65" t="n">
        <v>0</v>
      </c>
      <c r="U17" s="13" t="n"/>
      <c r="V17" s="13" t="n"/>
      <c r="W17" s="13" t="n"/>
      <c r="X17" s="13" t="n"/>
      <c r="Y17" s="13" t="n"/>
      <c r="Z17" s="14" t="n"/>
      <c r="AA17" s="54" t="n"/>
      <c r="AB17" s="65" t="n">
        <v>0</v>
      </c>
      <c r="AC17" s="13" t="n"/>
      <c r="AD17" s="13" t="n"/>
      <c r="AE17" s="13" t="n"/>
      <c r="AF17" s="13" t="n"/>
      <c r="AG17" s="13" t="n"/>
      <c r="AH17" s="14" t="n"/>
      <c r="AI17" s="54" t="n"/>
      <c r="AJ17" s="65" t="n">
        <v>0</v>
      </c>
      <c r="AK17" s="13" t="n"/>
      <c r="AL17" s="13" t="n"/>
      <c r="AM17" s="13" t="n"/>
      <c r="AN17" s="13" t="n"/>
      <c r="AO17" s="13" t="n"/>
      <c r="AP17" s="14" t="n"/>
      <c r="AQ17" s="47" t="n"/>
      <c r="AR17" s="47" t="n"/>
      <c r="AS17" s="47" t="n"/>
      <c r="AT17" s="47" t="n"/>
    </row>
    <row r="18">
      <c r="C18" s="40" t="n"/>
      <c r="D18" s="17" t="n"/>
      <c r="E18" s="18" t="n"/>
      <c r="F18" s="18" t="n"/>
      <c r="G18" s="18" t="n"/>
      <c r="H18" s="18" t="n"/>
      <c r="I18" s="18" t="n"/>
      <c r="J18" s="19" t="n"/>
      <c r="K18" s="54" t="n"/>
      <c r="L18" s="18" t="n"/>
      <c r="M18" s="18" t="n"/>
      <c r="N18" s="18" t="n"/>
      <c r="O18" s="18" t="n"/>
      <c r="P18" s="18" t="n"/>
      <c r="Q18" s="18" t="n"/>
      <c r="R18" s="19" t="n"/>
      <c r="S18" s="54" t="n"/>
      <c r="T18" s="18" t="n"/>
      <c r="U18" s="18" t="n"/>
      <c r="V18" s="18" t="n"/>
      <c r="W18" s="18" t="n"/>
      <c r="X18" s="18" t="n"/>
      <c r="Y18" s="18" t="n"/>
      <c r="Z18" s="19" t="n"/>
      <c r="AA18" s="54" t="n"/>
      <c r="AB18" s="18" t="n"/>
      <c r="AC18" s="18" t="n"/>
      <c r="AD18" s="18" t="n"/>
      <c r="AE18" s="18" t="n"/>
      <c r="AF18" s="18" t="n"/>
      <c r="AG18" s="18" t="n"/>
      <c r="AH18" s="19" t="n"/>
      <c r="AI18" s="54" t="n"/>
      <c r="AJ18" s="18" t="n"/>
      <c r="AK18" s="18" t="n"/>
      <c r="AL18" s="18" t="n"/>
      <c r="AM18" s="18" t="n"/>
      <c r="AN18" s="18" t="n"/>
      <c r="AO18" s="18" t="n"/>
      <c r="AP18" s="19" t="n"/>
      <c r="AQ18" s="47" t="n"/>
      <c r="AR18" s="47" t="n"/>
      <c r="AS18" s="47" t="n"/>
      <c r="AT18" s="47" t="n"/>
    </row>
    <row r="19">
      <c r="C19" s="40" t="n"/>
      <c r="D19" s="66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4" t="n"/>
      <c r="L19" s="67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4" t="n"/>
      <c r="T19" s="67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4" t="n"/>
      <c r="AB19" s="67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4" t="n"/>
      <c r="AJ19" s="67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7" t="n"/>
      <c r="AR19" s="47" t="n"/>
      <c r="AS19" s="47" t="n"/>
      <c r="AT19" s="47" t="n"/>
    </row>
    <row r="20">
      <c r="C20" s="40" t="n"/>
      <c r="D20" s="47" t="n"/>
      <c r="E20" s="47" t="n"/>
      <c r="F20" s="48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  <c r="AQ20" s="47" t="n"/>
      <c r="AR20" s="47" t="n"/>
      <c r="AS20" s="47" t="n"/>
      <c r="AT20" s="47" t="n"/>
    </row>
    <row r="21">
      <c r="C21" s="40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</row>
    <row r="22">
      <c r="C22" s="40" t="n"/>
      <c r="D22" s="51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51" t="inlineStr">
        <is>
          <t>TEMPORÁRIO</t>
        </is>
      </c>
      <c r="AG22" s="10" t="n"/>
      <c r="AH22" s="10" t="n"/>
      <c r="AI22" s="10" t="n"/>
      <c r="AJ22" s="10" t="n"/>
      <c r="AK22" s="11" t="n"/>
      <c r="AL22" s="54" t="n"/>
      <c r="AM22" s="68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7" t="n"/>
      <c r="AT22" s="47" t="n"/>
    </row>
    <row r="23" ht="27" customHeight="1">
      <c r="C23" s="40" t="n"/>
      <c r="D23" s="69">
        <f>J23</f>
        <v/>
      </c>
      <c r="E23" s="13" t="n"/>
      <c r="F23" s="13" t="n"/>
      <c r="G23" s="13" t="n"/>
      <c r="H23" s="14" t="n"/>
      <c r="I23" s="47" t="n"/>
      <c r="J23" s="70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7" t="n"/>
      <c r="P23" s="71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7" t="n"/>
      <c r="AF23" s="72" t="n">
        <v>0</v>
      </c>
      <c r="AG23" s="18" t="n"/>
      <c r="AH23" s="18" t="n"/>
      <c r="AI23" s="18" t="n"/>
      <c r="AJ23" s="18" t="n"/>
      <c r="AK23" s="19" t="n"/>
      <c r="AL23" s="47" t="n"/>
      <c r="AM23" s="73" t="n"/>
      <c r="AN23" s="10" t="n"/>
      <c r="AO23" s="10" t="n"/>
      <c r="AP23" s="10" t="n"/>
      <c r="AQ23" s="10" t="n"/>
      <c r="AR23" s="11" t="n"/>
      <c r="AS23" s="47" t="n"/>
      <c r="AT23" s="47" t="n"/>
    </row>
    <row r="24">
      <c r="C24" s="40" t="n"/>
      <c r="D24" s="17" t="n"/>
      <c r="E24" s="18" t="n"/>
      <c r="F24" s="18" t="n"/>
      <c r="G24" s="18" t="n"/>
      <c r="H24" s="19" t="n"/>
      <c r="I24" s="47" t="n"/>
      <c r="J24" s="17" t="n"/>
      <c r="K24" s="18" t="n"/>
      <c r="L24" s="18" t="n"/>
      <c r="M24" s="18" t="n"/>
      <c r="N24" s="19" t="n"/>
      <c r="O24" s="47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8" t="n"/>
      <c r="AS24" s="47" t="n"/>
      <c r="AT24" s="47" t="n"/>
    </row>
    <row r="25">
      <c r="C25" s="4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50" t="n"/>
      <c r="AS25" s="47" t="n"/>
      <c r="AT25" s="47" t="n"/>
    </row>
    <row r="26">
      <c r="C26" s="40" t="n"/>
      <c r="D26" s="53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51" t="inlineStr">
        <is>
          <t>TEMPORÁRIO</t>
        </is>
      </c>
      <c r="AG26" s="10" t="n"/>
      <c r="AH26" s="10" t="n"/>
      <c r="AI26" s="10" t="n"/>
      <c r="AJ26" s="10" t="n"/>
      <c r="AK26" s="11" t="n"/>
      <c r="AL26" s="54" t="n"/>
      <c r="AM26" s="68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7" t="n"/>
      <c r="AT26" s="47" t="n"/>
    </row>
    <row r="27" ht="27" customHeight="1">
      <c r="A27" s="7" t="n"/>
      <c r="B27" s="7" t="n"/>
      <c r="C27" s="40" t="n"/>
      <c r="D27" s="69">
        <f>J27</f>
        <v/>
      </c>
      <c r="E27" s="13" t="n"/>
      <c r="F27" s="13" t="n"/>
      <c r="G27" s="13" t="n"/>
      <c r="H27" s="14" t="n"/>
      <c r="I27" s="47" t="n"/>
      <c r="J27" s="70">
        <f>IF($D$11="","",VLOOKUP($D$11,DADOS!$N$5:$U$9,5,FALSE)*$AH$11)</f>
        <v/>
      </c>
      <c r="K27" s="13" t="n"/>
      <c r="L27" s="13" t="n"/>
      <c r="M27" s="13" t="n"/>
      <c r="N27" s="14" t="n"/>
      <c r="O27" s="47" t="n"/>
      <c r="P27" s="74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7" t="n"/>
      <c r="AF27" s="75" t="n">
        <v>0</v>
      </c>
      <c r="AG27" s="10" t="n"/>
      <c r="AH27" s="10" t="n"/>
      <c r="AI27" s="10" t="n"/>
      <c r="AJ27" s="10" t="n"/>
      <c r="AK27" s="11" t="n"/>
      <c r="AL27" s="47" t="n"/>
      <c r="AM27" s="73" t="n"/>
      <c r="AN27" s="10" t="n"/>
      <c r="AO27" s="10" t="n"/>
      <c r="AP27" s="10" t="n"/>
      <c r="AQ27" s="10" t="n"/>
      <c r="AR27" s="11" t="n"/>
      <c r="AS27" s="47" t="n"/>
      <c r="AT27" s="47" t="n"/>
    </row>
    <row r="28">
      <c r="A28" s="7" t="n"/>
      <c r="B28" s="7" t="n"/>
      <c r="C28" s="40" t="n"/>
      <c r="D28" s="17" t="n"/>
      <c r="E28" s="18" t="n"/>
      <c r="F28" s="18" t="n"/>
      <c r="G28" s="18" t="n"/>
      <c r="H28" s="19" t="n"/>
      <c r="I28" s="47" t="n"/>
      <c r="J28" s="17" t="n"/>
      <c r="K28" s="18" t="n"/>
      <c r="L28" s="18" t="n"/>
      <c r="M28" s="18" t="n"/>
      <c r="N28" s="19" t="n"/>
      <c r="O28" s="47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48" t="n"/>
      <c r="AS28" s="47" t="n"/>
      <c r="AT28" s="47" t="n"/>
    </row>
    <row r="29">
      <c r="A29" s="7" t="n"/>
      <c r="B29" s="7" t="n"/>
      <c r="C29" s="4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50" t="n"/>
      <c r="AS29" s="47" t="n"/>
      <c r="AT29" s="47" t="n"/>
    </row>
    <row r="30">
      <c r="A30" s="44" t="inlineStr">
        <is>
          <t>FICHA DE REGISTRO</t>
        </is>
      </c>
      <c r="C30" s="40" t="n"/>
      <c r="D30" s="53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51" t="inlineStr">
        <is>
          <t>TEMPORÁRIO</t>
        </is>
      </c>
      <c r="AG30" s="10" t="n"/>
      <c r="AH30" s="10" t="n"/>
      <c r="AI30" s="10" t="n"/>
      <c r="AJ30" s="10" t="n"/>
      <c r="AK30" s="11" t="n"/>
      <c r="AL30" s="54" t="n"/>
      <c r="AM30" s="68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7" t="n"/>
      <c r="AT30" s="47" t="n"/>
    </row>
    <row r="31" ht="27" customHeight="1">
      <c r="C31" s="40" t="n"/>
      <c r="D31" s="69">
        <f>J31</f>
        <v/>
      </c>
      <c r="E31" s="13" t="n"/>
      <c r="F31" s="13" t="n"/>
      <c r="G31" s="13" t="n"/>
      <c r="H31" s="14" t="n"/>
      <c r="I31" s="52" t="n"/>
      <c r="J31" s="76">
        <f>20+(AJ17+5)*($AH$11-1)</f>
        <v/>
      </c>
      <c r="K31" s="13" t="n"/>
      <c r="L31" s="13" t="n"/>
      <c r="M31" s="13" t="n"/>
      <c r="N31" s="14" t="n"/>
      <c r="O31" s="47" t="n"/>
      <c r="P31" s="74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4" t="n"/>
      <c r="AF31" s="77" t="n">
        <v>0</v>
      </c>
      <c r="AK31" s="78" t="n"/>
      <c r="AL31" s="52" t="n"/>
      <c r="AM31" s="79" t="n"/>
      <c r="AR31" s="16" t="n"/>
      <c r="AS31" s="47" t="n"/>
      <c r="AT31" s="47" t="n"/>
    </row>
    <row r="32">
      <c r="C32" s="40" t="n"/>
      <c r="D32" s="17" t="n"/>
      <c r="E32" s="18" t="n"/>
      <c r="F32" s="18" t="n"/>
      <c r="G32" s="18" t="n"/>
      <c r="H32" s="19" t="n"/>
      <c r="I32" s="52" t="n"/>
      <c r="J32" s="18" t="n"/>
      <c r="K32" s="18" t="n"/>
      <c r="L32" s="18" t="n"/>
      <c r="M32" s="18" t="n"/>
      <c r="N32" s="19" t="n"/>
      <c r="O32" s="47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7" t="n"/>
      <c r="AF32" s="48" t="n"/>
      <c r="AG32" s="48" t="n"/>
      <c r="AH32" s="48" t="n"/>
      <c r="AI32" s="48" t="n"/>
      <c r="AJ32" s="48" t="n"/>
      <c r="AK32" s="48" t="n"/>
      <c r="AL32" s="47" t="n"/>
      <c r="AM32" s="48" t="n"/>
      <c r="AN32" s="48" t="n"/>
      <c r="AO32" s="48" t="n"/>
      <c r="AP32" s="48" t="n"/>
      <c r="AQ32" s="48" t="n"/>
      <c r="AR32" s="48" t="n"/>
      <c r="AS32" s="47" t="n"/>
      <c r="AT32" s="47" t="n"/>
    </row>
    <row r="33">
      <c r="C33" s="40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</row>
    <row r="34">
      <c r="C34" s="40" t="n"/>
      <c r="D34" s="80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40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</row>
    <row r="36">
      <c r="C36" s="40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 ht="27" customHeight="1">
      <c r="C37" s="40" t="n"/>
      <c r="D37" s="61" t="n">
        <v>3</v>
      </c>
      <c r="E37" s="13" t="n"/>
      <c r="F37" s="14" t="n"/>
      <c r="G37" s="81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63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</row>
    <row r="38">
      <c r="C38" s="40" t="n"/>
      <c r="D38" s="17" t="n"/>
      <c r="E38" s="18" t="n"/>
      <c r="F38" s="19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C39" s="40" t="n"/>
      <c r="D39" s="51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7" t="n"/>
      <c r="O39" s="51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7" t="n"/>
      <c r="Z39" s="51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51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40" t="n"/>
      <c r="D40" s="82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7" t="n"/>
      <c r="O40" s="82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3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7" t="n"/>
      <c r="AK40" s="82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40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C42" s="40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</row>
    <row r="43">
      <c r="C43" s="40" t="n"/>
      <c r="D43" s="51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7" t="n"/>
      <c r="O43" s="51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51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51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40" t="n"/>
      <c r="D44" s="82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7" t="n"/>
      <c r="O44" s="82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7" t="n"/>
      <c r="Z44" s="82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7" t="n"/>
      <c r="AK44" s="82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40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C46" s="40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  <c r="AQ46" s="47" t="n"/>
      <c r="AR46" s="47" t="n"/>
      <c r="AS46" s="47" t="n"/>
      <c r="AT46" s="47" t="n"/>
    </row>
    <row r="47">
      <c r="C47" s="40" t="n"/>
      <c r="D47" s="51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7" t="n"/>
      <c r="O47" s="51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7" t="n"/>
      <c r="Z47" s="51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7" t="n"/>
      <c r="AK47" s="51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40" t="n"/>
      <c r="D48" s="82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7" t="n"/>
      <c r="O48" s="82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40" t="n"/>
      <c r="Z48" s="82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7" t="n"/>
      <c r="AK48" s="82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40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0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A50" s="7" t="n"/>
      <c r="B50" s="7" t="n"/>
      <c r="C50" s="40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0" t="n"/>
      <c r="Z50" s="47" t="n"/>
      <c r="AA50" s="47" t="n"/>
      <c r="AB50" s="47" t="n"/>
      <c r="AC50" s="47" t="n"/>
      <c r="AD50" s="47" t="n"/>
      <c r="AE50" s="51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7" t="n"/>
      <c r="AQ50" s="47" t="n"/>
      <c r="AR50" s="47" t="n"/>
      <c r="AS50" s="47" t="n"/>
      <c r="AT50" s="47" t="n"/>
    </row>
    <row r="51" ht="27" customHeight="1">
      <c r="A51" s="7" t="n"/>
      <c r="B51" s="7" t="n"/>
      <c r="C51" s="40" t="n"/>
      <c r="D51" s="61" t="n">
        <v>4</v>
      </c>
      <c r="E51" s="13" t="n"/>
      <c r="F51" s="14" t="n"/>
      <c r="G51" s="81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40" t="n"/>
      <c r="Z51" s="47" t="n"/>
      <c r="AA51" s="47" t="n"/>
      <c r="AB51" s="47" t="n"/>
      <c r="AC51" s="47" t="n"/>
      <c r="AD51" s="47" t="n"/>
      <c r="AE51" s="82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7" t="n"/>
      <c r="AQ51" s="47" t="n"/>
      <c r="AR51" s="47" t="n"/>
      <c r="AS51" s="47" t="n"/>
      <c r="AT51" s="47" t="n"/>
    </row>
    <row r="52">
      <c r="A52" s="7" t="n"/>
      <c r="B52" s="7" t="n"/>
      <c r="C52" s="40" t="n"/>
      <c r="D52" s="17" t="n"/>
      <c r="E52" s="18" t="n"/>
      <c r="F52" s="19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0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7" t="n"/>
      <c r="B53" s="7" t="n"/>
      <c r="C53" s="40" t="n"/>
      <c r="D53" s="51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7" t="n"/>
      <c r="O53" s="51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40" t="n"/>
      <c r="Z53" s="51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7" t="n"/>
      <c r="AK53" s="51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40" t="n"/>
      <c r="D54" s="82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40" t="n"/>
      <c r="O54" s="82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82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7" t="n"/>
      <c r="AK54" s="82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7" t="n"/>
      <c r="B56" s="7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</row>
    <row r="57" ht="27" customHeight="1">
      <c r="A57" s="7" t="n"/>
      <c r="B57" s="7" t="n"/>
      <c r="C57" s="40" t="n"/>
      <c r="D57" s="61" t="n">
        <v>5</v>
      </c>
      <c r="E57" s="13" t="n"/>
      <c r="F57" s="14" t="n"/>
      <c r="G57" s="81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</row>
    <row r="58">
      <c r="A58" s="7" t="n"/>
      <c r="B58" s="7" t="n"/>
      <c r="C58" s="40" t="n"/>
      <c r="D58" s="17" t="n"/>
      <c r="E58" s="18" t="n"/>
      <c r="F58" s="19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83" t="inlineStr">
        <is>
          <t>Extra</t>
        </is>
      </c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83" t="inlineStr">
        <is>
          <t>Extra</t>
        </is>
      </c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7" t="n"/>
      <c r="B59" s="7" t="n"/>
      <c r="C59" s="40" t="n"/>
      <c r="D59" s="84" t="b">
        <v>0</v>
      </c>
      <c r="E59" s="85" t="inlineStr">
        <is>
          <t>Atletismo</t>
        </is>
      </c>
      <c r="F59" s="10" t="n"/>
      <c r="G59" s="10" t="n"/>
      <c r="H59" s="10" t="n"/>
      <c r="I59" s="10" t="n"/>
      <c r="J59" s="10" t="n"/>
      <c r="K59" s="10" t="n"/>
      <c r="L59" s="11" t="n"/>
      <c r="M59" s="86" t="inlineStr">
        <is>
          <t>For</t>
        </is>
      </c>
      <c r="N59" s="11" t="n"/>
      <c r="O59" s="87">
        <f>$D$17+IF($D$59=TRUE,(1+COUNTIF(DADOS!$X$5:$X$7,"&lt;="&amp;$AH$11)),0)+Q59</f>
        <v/>
      </c>
      <c r="P59" s="11" t="n"/>
      <c r="Q59" s="88" t="n"/>
      <c r="R59" s="47" t="n"/>
      <c r="S59" s="84" t="b">
        <v>0</v>
      </c>
      <c r="T59" s="85" t="inlineStr">
        <is>
          <t>Sobrevivência</t>
        </is>
      </c>
      <c r="U59" s="10" t="n"/>
      <c r="V59" s="10" t="n"/>
      <c r="W59" s="10" t="n"/>
      <c r="X59" s="10" t="n"/>
      <c r="Y59" s="10" t="n"/>
      <c r="Z59" s="10" t="n"/>
      <c r="AA59" s="11" t="n"/>
      <c r="AB59" s="86" t="inlineStr">
        <is>
          <t>Int</t>
        </is>
      </c>
      <c r="AC59" s="11" t="n"/>
      <c r="AD59" s="87">
        <f>$AB$17+IF($S59=TRUE,(1+COUNTIF(DADOS!$X$5:$X$7,"&lt;="&amp;$AH$11)),0)+AF59</f>
        <v/>
      </c>
      <c r="AE59" s="11" t="n"/>
      <c r="AF59" s="88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</row>
    <row r="60">
      <c r="A60" s="7" t="n"/>
      <c r="B60" s="7" t="n"/>
      <c r="C60" s="40" t="n"/>
      <c r="D60" s="84" t="b">
        <v>0</v>
      </c>
      <c r="E60" s="85" t="inlineStr">
        <is>
          <t>Acrobacia</t>
        </is>
      </c>
      <c r="F60" s="10" t="n"/>
      <c r="G60" s="10" t="n"/>
      <c r="H60" s="10" t="n"/>
      <c r="I60" s="10" t="n"/>
      <c r="J60" s="10" t="n"/>
      <c r="K60" s="10" t="n"/>
      <c r="L60" s="11" t="n"/>
      <c r="M60" s="86" t="inlineStr">
        <is>
          <t>Des</t>
        </is>
      </c>
      <c r="N60" s="11" t="n"/>
      <c r="O60" s="87">
        <f>$L$17+IF($D60=TRUE,(1+COUNTIF(DADOS!$X$5:$X$7,"&lt;="&amp;$AH$11)),0)+Q60</f>
        <v/>
      </c>
      <c r="P60" s="11" t="n"/>
      <c r="Q60" s="88" t="n"/>
      <c r="R60" s="47" t="n"/>
      <c r="S60" s="84" t="b">
        <v>0</v>
      </c>
      <c r="T60" s="85" t="inlineStr">
        <is>
          <t>Natureza</t>
        </is>
      </c>
      <c r="U60" s="10" t="n"/>
      <c r="V60" s="10" t="n"/>
      <c r="W60" s="10" t="n"/>
      <c r="X60" s="10" t="n"/>
      <c r="Y60" s="10" t="n"/>
      <c r="Z60" s="10" t="n"/>
      <c r="AA60" s="11" t="n"/>
      <c r="AB60" s="86" t="inlineStr">
        <is>
          <t>Int</t>
        </is>
      </c>
      <c r="AC60" s="11" t="n"/>
      <c r="AD60" s="87">
        <f>$AB$17+IF($S60=TRUE,(1+COUNTIF(DADOS!$X$5:$X$7,"&lt;="&amp;$AH$11)),0)+AF60</f>
        <v/>
      </c>
      <c r="AE60" s="11" t="n"/>
      <c r="AF60" s="88" t="n"/>
      <c r="AG60" s="47" t="n"/>
      <c r="AH60" s="47" t="n"/>
      <c r="AI60" s="51" t="inlineStr">
        <is>
          <t xml:space="preserve">ANOTAÇÕES RÁPIDAS </t>
        </is>
      </c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1" t="n"/>
      <c r="AS60" s="47" t="n"/>
      <c r="AT60" s="47" t="n"/>
    </row>
    <row r="61">
      <c r="A61" s="7" t="n"/>
      <c r="B61" s="7" t="n"/>
      <c r="C61" s="40" t="n"/>
      <c r="D61" s="84" t="b">
        <v>0</v>
      </c>
      <c r="E61" s="85" t="inlineStr">
        <is>
          <t>Furtividade</t>
        </is>
      </c>
      <c r="F61" s="10" t="n"/>
      <c r="G61" s="10" t="n"/>
      <c r="H61" s="10" t="n"/>
      <c r="I61" s="10" t="n"/>
      <c r="J61" s="10" t="n"/>
      <c r="K61" s="10" t="n"/>
      <c r="L61" s="11" t="n"/>
      <c r="M61" s="86" t="inlineStr">
        <is>
          <t>Des</t>
        </is>
      </c>
      <c r="N61" s="11" t="n"/>
      <c r="O61" s="87">
        <f>$L$17+IF($D61=TRUE,(1+COUNTIF(DADOS!$X$5:$X$7,"&lt;="&amp;$AH$11)),0)+Q61</f>
        <v/>
      </c>
      <c r="P61" s="11" t="n"/>
      <c r="Q61" s="88" t="n"/>
      <c r="R61" s="47" t="n"/>
      <c r="S61" s="84" t="b">
        <v>0</v>
      </c>
      <c r="T61" s="85" t="inlineStr">
        <is>
          <t>Lidar com Animais</t>
        </is>
      </c>
      <c r="U61" s="10" t="n"/>
      <c r="V61" s="10" t="n"/>
      <c r="W61" s="10" t="n"/>
      <c r="X61" s="10" t="n"/>
      <c r="Y61" s="10" t="n"/>
      <c r="Z61" s="10" t="n"/>
      <c r="AA61" s="11" t="n"/>
      <c r="AB61" s="86" t="inlineStr">
        <is>
          <t>Int</t>
        </is>
      </c>
      <c r="AC61" s="11" t="n"/>
      <c r="AD61" s="87">
        <f>$AB$17+IF($S61=TRUE,(1+COUNTIF(DADOS!$X$5:$X$7,"&lt;="&amp;$AH$11)),0)+AF61</f>
        <v/>
      </c>
      <c r="AE61" s="11" t="n"/>
      <c r="AF61" s="88" t="n"/>
      <c r="AG61" s="47" t="n"/>
      <c r="AH61" s="47" t="n"/>
      <c r="AI61" s="82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4" t="n"/>
      <c r="AS61" s="47" t="n"/>
      <c r="AT61" s="47" t="n"/>
    </row>
    <row r="62">
      <c r="A62" s="7" t="n"/>
      <c r="B62" s="7" t="n"/>
      <c r="C62" s="40" t="n"/>
      <c r="D62" s="84" t="b">
        <v>0</v>
      </c>
      <c r="E62" s="85" t="inlineStr">
        <is>
          <t>Pontaria</t>
        </is>
      </c>
      <c r="F62" s="10" t="n"/>
      <c r="G62" s="10" t="n"/>
      <c r="H62" s="10" t="n"/>
      <c r="I62" s="10" t="n"/>
      <c r="J62" s="10" t="n"/>
      <c r="K62" s="10" t="n"/>
      <c r="L62" s="11" t="n"/>
      <c r="M62" s="86" t="inlineStr">
        <is>
          <t>Des</t>
        </is>
      </c>
      <c r="N62" s="11" t="n"/>
      <c r="O62" s="87">
        <f>$L$17+IF($D62=TRUE,(1+COUNTIF(DADOS!$X$5:$X$7,"&lt;="&amp;$AH$11)),0)+Q62</f>
        <v/>
      </c>
      <c r="P62" s="11" t="n"/>
      <c r="Q62" s="88" t="n"/>
      <c r="R62" s="47" t="n"/>
      <c r="S62" s="84" t="b">
        <v>0</v>
      </c>
      <c r="T62" s="85" t="inlineStr">
        <is>
          <t>Tecnologia</t>
        </is>
      </c>
      <c r="U62" s="10" t="n"/>
      <c r="V62" s="10" t="n"/>
      <c r="W62" s="10" t="n"/>
      <c r="X62" s="10" t="n"/>
      <c r="Y62" s="10" t="n"/>
      <c r="Z62" s="10" t="n"/>
      <c r="AA62" s="11" t="n"/>
      <c r="AB62" s="86" t="inlineStr">
        <is>
          <t>Int</t>
        </is>
      </c>
      <c r="AC62" s="11" t="n"/>
      <c r="AD62" s="87">
        <f>$AB$17+IF($S62=TRUE,(1+COUNTIF(DADOS!$X$5:$X$7,"&lt;="&amp;$AH$11)),0)+AF62</f>
        <v/>
      </c>
      <c r="AE62" s="11" t="n"/>
      <c r="AF62" s="88" t="n"/>
      <c r="AG62" s="47" t="n"/>
      <c r="AH62" s="47" t="n"/>
      <c r="AI62" s="17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47" t="n"/>
      <c r="AT62" s="47" t="n"/>
    </row>
    <row r="63">
      <c r="A63" s="7" t="n"/>
      <c r="B63" s="7" t="n"/>
      <c r="C63" s="40" t="n"/>
      <c r="D63" s="84" t="b">
        <v>0</v>
      </c>
      <c r="E63" s="85" t="inlineStr">
        <is>
          <t>Prestidigitação</t>
        </is>
      </c>
      <c r="F63" s="10" t="n"/>
      <c r="G63" s="10" t="n"/>
      <c r="H63" s="10" t="n"/>
      <c r="I63" s="10" t="n"/>
      <c r="J63" s="10" t="n"/>
      <c r="K63" s="10" t="n"/>
      <c r="L63" s="11" t="n"/>
      <c r="M63" s="86" t="inlineStr">
        <is>
          <t>Des</t>
        </is>
      </c>
      <c r="N63" s="11" t="n"/>
      <c r="O63" s="87">
        <f>$L$17+IF($D63=TRUE,(1+COUNTIF(DADOS!$X$5:$X$7,"&lt;="&amp;$AH$11)),0)+Q63</f>
        <v/>
      </c>
      <c r="P63" s="11" t="n"/>
      <c r="Q63" s="88" t="n"/>
      <c r="R63" s="47" t="n"/>
      <c r="S63" s="84" t="b">
        <v>0</v>
      </c>
      <c r="T63" s="85" t="inlineStr">
        <is>
          <t>Sentir Energia</t>
        </is>
      </c>
      <c r="U63" s="10" t="n"/>
      <c r="V63" s="10" t="n"/>
      <c r="W63" s="10" t="n"/>
      <c r="X63" s="10" t="n"/>
      <c r="Y63" s="10" t="n"/>
      <c r="Z63" s="10" t="n"/>
      <c r="AA63" s="11" t="n"/>
      <c r="AB63" s="86" t="inlineStr">
        <is>
          <t>Ess</t>
        </is>
      </c>
      <c r="AC63" s="11" t="n"/>
      <c r="AD63" s="87">
        <f>$AB$17+IF($S63=TRUE,(1+COUNTIF(DADOS!$X$5:$X$7,"&lt;="&amp;$AH$11)),0)+AF63</f>
        <v/>
      </c>
      <c r="AE63" s="11" t="n"/>
      <c r="AF63" s="88" t="n"/>
      <c r="AG63" s="47" t="n"/>
      <c r="AH63" s="47" t="n"/>
      <c r="AI63" s="82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4" t="n"/>
      <c r="AS63" s="47" t="n"/>
      <c r="AT63" s="47" t="n"/>
    </row>
    <row r="64">
      <c r="A64" s="7" t="n"/>
      <c r="B64" s="7" t="n"/>
      <c r="C64" s="40" t="n"/>
      <c r="D64" s="84" t="b">
        <v>0</v>
      </c>
      <c r="E64" s="85" t="inlineStr">
        <is>
          <t>Investigação</t>
        </is>
      </c>
      <c r="F64" s="10" t="n"/>
      <c r="G64" s="10" t="n"/>
      <c r="H64" s="10" t="n"/>
      <c r="I64" s="10" t="n"/>
      <c r="J64" s="10" t="n"/>
      <c r="K64" s="10" t="n"/>
      <c r="L64" s="11" t="n"/>
      <c r="M64" s="86" t="inlineStr">
        <is>
          <t>Int</t>
        </is>
      </c>
      <c r="N64" s="11" t="n"/>
      <c r="O64" s="87">
        <f>$L$17+IF($D64=TRUE,(1+COUNTIF(DADOS!$X$5:$X$7,"&lt;="&amp;$AH$11)),0)+Q64</f>
        <v/>
      </c>
      <c r="P64" s="11" t="n"/>
      <c r="Q64" s="88" t="n"/>
      <c r="R64" s="47" t="n"/>
      <c r="S64" s="84" t="b">
        <v>0</v>
      </c>
      <c r="T64" s="85" t="inlineStr">
        <is>
          <t>Percepção</t>
        </is>
      </c>
      <c r="U64" s="10" t="n"/>
      <c r="V64" s="10" t="n"/>
      <c r="W64" s="10" t="n"/>
      <c r="X64" s="10" t="n"/>
      <c r="Y64" s="10" t="n"/>
      <c r="Z64" s="10" t="n"/>
      <c r="AA64" s="11" t="n"/>
      <c r="AB64" s="86" t="inlineStr">
        <is>
          <t>Ess</t>
        </is>
      </c>
      <c r="AC64" s="11" t="n"/>
      <c r="AD64" s="87">
        <f>$AB$17+IF($S64=TRUE,(1+COUNTIF(DADOS!$X$5:$X$7,"&lt;="&amp;$AH$11)),0)+AF64</f>
        <v/>
      </c>
      <c r="AE64" s="11" t="n"/>
      <c r="AF64" s="88" t="n"/>
      <c r="AG64" s="47" t="n"/>
      <c r="AH64" s="47" t="n"/>
      <c r="AI64" s="17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47" t="n"/>
      <c r="AT64" s="47" t="n"/>
    </row>
    <row r="65">
      <c r="A65" s="7" t="n"/>
      <c r="B65" s="7" t="n"/>
      <c r="C65" s="40" t="n"/>
      <c r="D65" s="84" t="b">
        <v>0</v>
      </c>
      <c r="E65" s="85" t="inlineStr">
        <is>
          <t>Intuição</t>
        </is>
      </c>
      <c r="F65" s="10" t="n"/>
      <c r="G65" s="10" t="n"/>
      <c r="H65" s="10" t="n"/>
      <c r="I65" s="10" t="n"/>
      <c r="J65" s="10" t="n"/>
      <c r="K65" s="10" t="n"/>
      <c r="L65" s="11" t="n"/>
      <c r="M65" s="86" t="inlineStr">
        <is>
          <t>Int</t>
        </is>
      </c>
      <c r="N65" s="11" t="n"/>
      <c r="O65" s="87">
        <f>$L$17+IF($D65=TRUE,(1+COUNTIF(DADOS!$X$5:$X$7,"&lt;="&amp;$AH$11)),0)+Q65</f>
        <v/>
      </c>
      <c r="P65" s="11" t="n"/>
      <c r="Q65" s="88" t="n"/>
      <c r="R65" s="47" t="n"/>
      <c r="S65" s="84" t="b">
        <v>0</v>
      </c>
      <c r="T65" s="85" t="inlineStr">
        <is>
          <t>Persuasão</t>
        </is>
      </c>
      <c r="U65" s="10" t="n"/>
      <c r="V65" s="10" t="n"/>
      <c r="W65" s="10" t="n"/>
      <c r="X65" s="10" t="n"/>
      <c r="Y65" s="10" t="n"/>
      <c r="Z65" s="10" t="n"/>
      <c r="AA65" s="11" t="n"/>
      <c r="AB65" s="86" t="inlineStr">
        <is>
          <t>Ess</t>
        </is>
      </c>
      <c r="AC65" s="11" t="n"/>
      <c r="AD65" s="87">
        <f>$AB$17+IF($S65=TRUE,(1+COUNTIF(DADOS!$X$5:$X$7,"&lt;="&amp;$AH$11)),0)+AF65</f>
        <v/>
      </c>
      <c r="AE65" s="11" t="n"/>
      <c r="AF65" s="88" t="n"/>
      <c r="AG65" s="47" t="n"/>
      <c r="AH65" s="47" t="n"/>
      <c r="AI65" s="82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4" t="n"/>
      <c r="AS65" s="47" t="n"/>
      <c r="AT65" s="47" t="n"/>
    </row>
    <row r="66">
      <c r="A66" s="7" t="n"/>
      <c r="B66" s="7" t="n"/>
      <c r="C66" s="40" t="n"/>
      <c r="D66" s="84" t="b">
        <v>0</v>
      </c>
      <c r="E66" s="85" t="inlineStr">
        <is>
          <t>Ocultismo</t>
        </is>
      </c>
      <c r="F66" s="10" t="n"/>
      <c r="G66" s="10" t="n"/>
      <c r="H66" s="10" t="n"/>
      <c r="I66" s="10" t="n"/>
      <c r="J66" s="10" t="n"/>
      <c r="K66" s="10" t="n"/>
      <c r="L66" s="11" t="n"/>
      <c r="M66" s="86" t="inlineStr">
        <is>
          <t>Int</t>
        </is>
      </c>
      <c r="N66" s="11" t="n"/>
      <c r="O66" s="87">
        <f>$L$17+IF($D66=TRUE,(1+COUNTIF(DADOS!$X$5:$X$7,"&lt;="&amp;$AH$11)),0)+Q66</f>
        <v/>
      </c>
      <c r="P66" s="11" t="n"/>
      <c r="Q66" s="88" t="n"/>
      <c r="R66" s="47" t="n"/>
      <c r="S66" s="84" t="b">
        <v>0</v>
      </c>
      <c r="T66" s="85" t="inlineStr">
        <is>
          <t>Enganação</t>
        </is>
      </c>
      <c r="U66" s="10" t="n"/>
      <c r="V66" s="10" t="n"/>
      <c r="W66" s="10" t="n"/>
      <c r="X66" s="10" t="n"/>
      <c r="Y66" s="10" t="n"/>
      <c r="Z66" s="10" t="n"/>
      <c r="AA66" s="11" t="n"/>
      <c r="AB66" s="86" t="inlineStr">
        <is>
          <t>Ess</t>
        </is>
      </c>
      <c r="AC66" s="11" t="n"/>
      <c r="AD66" s="87">
        <f>$AB$17+IF($S66=TRUE,(1+COUNTIF(DADOS!$X$5:$X$7,"&lt;="&amp;$AH$11)),0)+AF66</f>
        <v/>
      </c>
      <c r="AE66" s="11" t="n"/>
      <c r="AF66" s="88" t="n"/>
      <c r="AG66" s="47" t="n"/>
      <c r="AH66" s="47" t="n"/>
      <c r="AI66" s="17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9" t="n"/>
      <c r="AS66" s="47" t="n"/>
      <c r="AT66" s="47" t="n"/>
    </row>
    <row r="67">
      <c r="A67" s="7" t="n"/>
      <c r="B67" s="7" t="n"/>
      <c r="C67" s="40" t="n"/>
      <c r="D67" s="84" t="b">
        <v>0</v>
      </c>
      <c r="E67" s="85" t="inlineStr">
        <is>
          <t>Religião</t>
        </is>
      </c>
      <c r="F67" s="10" t="n"/>
      <c r="G67" s="10" t="n"/>
      <c r="H67" s="10" t="n"/>
      <c r="I67" s="10" t="n"/>
      <c r="J67" s="10" t="n"/>
      <c r="K67" s="10" t="n"/>
      <c r="L67" s="11" t="n"/>
      <c r="M67" s="86" t="inlineStr">
        <is>
          <t>Int</t>
        </is>
      </c>
      <c r="N67" s="11" t="n"/>
      <c r="O67" s="87">
        <f>$L$17+IF($D67=TRUE,(1+COUNTIF(DADOS!$X$5:$X$7,"&lt;="&amp;$AH$11)),0)+Q67</f>
        <v/>
      </c>
      <c r="P67" s="11" t="n"/>
      <c r="Q67" s="88" t="n"/>
      <c r="R67" s="47" t="n"/>
      <c r="S67" s="84" t="b">
        <v>0</v>
      </c>
      <c r="T67" s="85" t="inlineStr">
        <is>
          <t>Intimidação</t>
        </is>
      </c>
      <c r="U67" s="10" t="n"/>
      <c r="V67" s="10" t="n"/>
      <c r="W67" s="10" t="n"/>
      <c r="X67" s="10" t="n"/>
      <c r="Y67" s="10" t="n"/>
      <c r="Z67" s="10" t="n"/>
      <c r="AA67" s="11" t="n"/>
      <c r="AB67" s="86" t="inlineStr">
        <is>
          <t>Ess</t>
        </is>
      </c>
      <c r="AC67" s="11" t="n"/>
      <c r="AD67" s="87">
        <f>$AB$17+IF($S67=TRUE,(1+COUNTIF(DADOS!$X$5:$X$7,"&lt;="&amp;$AH$11)),0)+AF67</f>
        <v/>
      </c>
      <c r="AE67" s="11" t="n"/>
      <c r="AF67" s="88" t="n"/>
      <c r="AG67" s="47" t="n"/>
      <c r="AH67" s="47" t="n"/>
      <c r="AI67" s="82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4" t="n"/>
      <c r="AS67" s="47" t="n"/>
      <c r="AT67" s="47" t="n"/>
    </row>
    <row r="68">
      <c r="A68" s="7" t="n"/>
      <c r="B68" s="7" t="n"/>
      <c r="C68" s="40" t="n"/>
      <c r="D68" s="84" t="b">
        <v>0</v>
      </c>
      <c r="E68" s="85" t="inlineStr">
        <is>
          <t>História</t>
        </is>
      </c>
      <c r="F68" s="10" t="n"/>
      <c r="G68" s="10" t="n"/>
      <c r="H68" s="10" t="n"/>
      <c r="I68" s="10" t="n"/>
      <c r="J68" s="10" t="n"/>
      <c r="K68" s="10" t="n"/>
      <c r="L68" s="11" t="n"/>
      <c r="M68" s="86" t="inlineStr">
        <is>
          <t>Int</t>
        </is>
      </c>
      <c r="N68" s="11" t="n"/>
      <c r="O68" s="87">
        <f>$L$17+IF($D68=TRUE,(1+COUNTIF(DADOS!$X$5:$X$7,"&lt;="&amp;$AH$11)),0)+Q68</f>
        <v/>
      </c>
      <c r="P68" s="11" t="n"/>
      <c r="Q68" s="88" t="n"/>
      <c r="R68" s="47" t="n"/>
      <c r="S68" s="84" t="b">
        <v>0</v>
      </c>
      <c r="T68" s="85" t="inlineStr">
        <is>
          <t>Atuação</t>
        </is>
      </c>
      <c r="U68" s="10" t="n"/>
      <c r="V68" s="10" t="n"/>
      <c r="W68" s="10" t="n"/>
      <c r="X68" s="10" t="n"/>
      <c r="Y68" s="10" t="n"/>
      <c r="Z68" s="10" t="n"/>
      <c r="AA68" s="11" t="n"/>
      <c r="AB68" s="86" t="inlineStr">
        <is>
          <t>Ess</t>
        </is>
      </c>
      <c r="AC68" s="11" t="n"/>
      <c r="AD68" s="87">
        <f>$AB$17+IF($S68=TRUE,(1+COUNTIF(DADOS!$X$5:$X$7,"&lt;="&amp;$AH$11)),0)+AF68</f>
        <v/>
      </c>
      <c r="AE68" s="11" t="n"/>
      <c r="AF68" s="88" t="n"/>
      <c r="AG68" s="47" t="n"/>
      <c r="AH68" s="47" t="n"/>
      <c r="AI68" s="17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9" t="n"/>
      <c r="AS68" s="47" t="n"/>
      <c r="AT68" s="47" t="n"/>
    </row>
    <row r="69">
      <c r="A69" s="7" t="n"/>
      <c r="B69" s="7" t="n"/>
      <c r="C69" s="40" t="n"/>
      <c r="D69" s="84" t="b">
        <v>0</v>
      </c>
      <c r="E69" s="85" t="inlineStr">
        <is>
          <t>Hierarquia</t>
        </is>
      </c>
      <c r="F69" s="10" t="n"/>
      <c r="G69" s="10" t="n"/>
      <c r="H69" s="10" t="n"/>
      <c r="I69" s="10" t="n"/>
      <c r="J69" s="10" t="n"/>
      <c r="K69" s="10" t="n"/>
      <c r="L69" s="11" t="n"/>
      <c r="M69" s="86" t="inlineStr">
        <is>
          <t>Int</t>
        </is>
      </c>
      <c r="N69" s="11" t="n"/>
      <c r="O69" s="87">
        <f>$L$17+IF($D69=TRUE,(1+COUNTIF(DADOS!$X$5:$X$7,"&lt;="&amp;$AH$11)),0)+Q69</f>
        <v/>
      </c>
      <c r="P69" s="11" t="n"/>
      <c r="Q69" s="88" t="n"/>
      <c r="R69" s="47" t="n"/>
      <c r="S69" s="84" t="b">
        <v>0</v>
      </c>
      <c r="T69" s="85" t="inlineStr">
        <is>
          <t>Provocar</t>
        </is>
      </c>
      <c r="U69" s="10" t="n"/>
      <c r="V69" s="10" t="n"/>
      <c r="W69" s="10" t="n"/>
      <c r="X69" s="10" t="n"/>
      <c r="Y69" s="10" t="n"/>
      <c r="Z69" s="10" t="n"/>
      <c r="AA69" s="11" t="n"/>
      <c r="AB69" s="86" t="inlineStr">
        <is>
          <t>Ess</t>
        </is>
      </c>
      <c r="AC69" s="11" t="n"/>
      <c r="AD69" s="87">
        <f>$AB$17+IF($S69=TRUE,(1+COUNTIF(DADOS!$X$5:$X$7,"&lt;="&amp;$AH$11)),0)+AF69</f>
        <v/>
      </c>
      <c r="AE69" s="11" t="n"/>
      <c r="AF69" s="88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  <c r="AQ69" s="47" t="n"/>
      <c r="AR69" s="47" t="n"/>
      <c r="AS69" s="47" t="n"/>
      <c r="AT69" s="47" t="n"/>
    </row>
    <row r="70">
      <c r="A70" s="7" t="n"/>
      <c r="B70" s="7" t="n"/>
      <c r="C70" s="40" t="n"/>
      <c r="D70" s="84" t="b">
        <v>0</v>
      </c>
      <c r="E70" s="85" t="inlineStr">
        <is>
          <t>Medicina</t>
        </is>
      </c>
      <c r="F70" s="10" t="n"/>
      <c r="G70" s="10" t="n"/>
      <c r="H70" s="10" t="n"/>
      <c r="I70" s="10" t="n"/>
      <c r="J70" s="10" t="n"/>
      <c r="K70" s="10" t="n"/>
      <c r="L70" s="11" t="n"/>
      <c r="M70" s="86" t="inlineStr">
        <is>
          <t>Int</t>
        </is>
      </c>
      <c r="N70" s="11" t="n"/>
      <c r="O70" s="87">
        <f>$L$17+IF($D70=TRUE,(1+COUNTIF(DADOS!$X$5:$X$7,"&lt;="&amp;$AH$11)),0)+Q70</f>
        <v/>
      </c>
      <c r="P70" s="11" t="n"/>
      <c r="Q70" s="88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  <c r="AQ70" s="47" t="n"/>
      <c r="AR70" s="47" t="n"/>
      <c r="AS70" s="47" t="n"/>
      <c r="AT70" s="47" t="n"/>
    </row>
    <row r="71">
      <c r="A71" s="7" t="n"/>
      <c r="B71" s="7" t="n"/>
      <c r="C71" s="40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</row>
    <row r="72" ht="27" customHeight="1">
      <c r="A72" s="7" t="n"/>
      <c r="B72" s="7" t="n"/>
      <c r="C72" s="40" t="n"/>
      <c r="D72" s="61" t="n">
        <v>6</v>
      </c>
      <c r="E72" s="13" t="n"/>
      <c r="F72" s="14" t="n"/>
      <c r="G72" s="81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</row>
    <row r="73">
      <c r="A73" s="7" t="n"/>
      <c r="B73" s="7" t="n"/>
      <c r="C73" s="40" t="n"/>
      <c r="D73" s="17" t="n"/>
      <c r="E73" s="18" t="n"/>
      <c r="F73" s="19" t="n"/>
      <c r="G73" s="47" t="n"/>
      <c r="H73" s="47" t="n"/>
      <c r="I73" s="47" t="n"/>
      <c r="J73" s="47" t="n"/>
      <c r="K73" s="47" t="n"/>
      <c r="L73" s="47" t="n"/>
      <c r="M73" s="47" t="n"/>
      <c r="N73" s="83" t="inlineStr">
        <is>
          <t>Extra</t>
        </is>
      </c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83" t="inlineStr">
        <is>
          <t>Extra</t>
        </is>
      </c>
      <c r="AA73" s="47" t="n"/>
      <c r="AB73" s="47" t="n"/>
      <c r="AC73" s="47" t="n"/>
      <c r="AD73" s="47" t="n"/>
      <c r="AE73" s="47" t="n"/>
      <c r="AF73" s="47" t="n"/>
      <c r="AG73" s="47" t="n"/>
      <c r="AH73" s="47" t="n"/>
      <c r="AI73" s="47" t="n"/>
      <c r="AJ73" s="83" t="inlineStr">
        <is>
          <t>Extra</t>
        </is>
      </c>
      <c r="AK73" s="47" t="n"/>
      <c r="AL73" s="47" t="n"/>
      <c r="AM73" s="47" t="n"/>
      <c r="AN73" s="47" t="n"/>
      <c r="AO73" s="47" t="n"/>
      <c r="AP73" s="47" t="n"/>
      <c r="AQ73" s="47" t="n"/>
      <c r="AR73" s="47" t="n"/>
      <c r="AS73" s="47" t="n"/>
      <c r="AT73" s="47" t="n"/>
    </row>
    <row r="74">
      <c r="A74" s="7" t="n"/>
      <c r="B74" s="7" t="n"/>
      <c r="C74" s="40" t="n"/>
      <c r="D74" s="84" t="b">
        <v>0</v>
      </c>
      <c r="E74" s="85" t="inlineStr">
        <is>
          <t>Condução</t>
        </is>
      </c>
      <c r="F74" s="10" t="n"/>
      <c r="G74" s="10" t="n"/>
      <c r="H74" s="10" t="n"/>
      <c r="I74" s="11" t="n"/>
      <c r="J74" s="86" t="inlineStr">
        <is>
          <t>INTELIGÊNCIA</t>
        </is>
      </c>
      <c r="K74" s="10" t="n"/>
      <c r="L74" s="11" t="n"/>
      <c r="M74" s="88">
        <f>+IFS(J74="FORÇA",$D$17, J74="DESTREZA",$L$17, J74="CONSTITUIÇÃO",$T$17, J74="INTELIGÊNCIA",$AB$17, J74="ESSÊNCIA",$AJ$17)+IF($D74=TRUE,D$48,0)+N74</f>
        <v/>
      </c>
      <c r="N74" s="88" t="n"/>
      <c r="O74" s="47" t="n"/>
      <c r="P74" s="84" t="b">
        <v>0</v>
      </c>
      <c r="Q74" s="85" t="inlineStr">
        <is>
          <t>Entalhador</t>
        </is>
      </c>
      <c r="R74" s="10" t="n"/>
      <c r="S74" s="10" t="n"/>
      <c r="T74" s="10" t="n"/>
      <c r="U74" s="11" t="n"/>
      <c r="V74" s="86" t="inlineStr">
        <is>
          <t>INTELIGÊNCIA</t>
        </is>
      </c>
      <c r="W74" s="10" t="n"/>
      <c r="X74" s="11" t="n"/>
      <c r="Y74" s="88">
        <f>+IFS(V74="FORÇA",$D$17, V74="DESTREZA",$L$17, V74="CONSTITUIÇÃO",$T$17, V74="INTELIGÊNCIA",$AB$17, V74="ESSÊNCIA",$AJ$17)+IF($P74=TRUE,$D$48,0)+Z74</f>
        <v/>
      </c>
      <c r="Z74" s="88" t="n"/>
      <c r="AA74" s="47" t="n"/>
      <c r="AB74" s="84" t="b">
        <v>0</v>
      </c>
      <c r="AC74" s="89" t="inlineStr">
        <is>
          <t>Físico</t>
        </is>
      </c>
      <c r="AD74" s="10" t="n"/>
      <c r="AE74" s="10" t="n"/>
      <c r="AF74" s="10" t="n"/>
      <c r="AG74" s="10" t="n"/>
      <c r="AH74" s="10" t="n"/>
      <c r="AI74" s="10" t="n"/>
      <c r="AJ74" s="85" t="n"/>
      <c r="AK74" s="90" t="inlineStr">
        <is>
          <t>FORÇA</t>
        </is>
      </c>
      <c r="AL74" s="10" t="n"/>
      <c r="AM74" s="10" t="n"/>
      <c r="AN74" s="10" t="n"/>
      <c r="AO74" s="11" t="n"/>
      <c r="AP74" s="87">
        <f>+IFS(AK74="FORÇA",$D$17, AK74="DESTREZA",$L$17)+IF($AB$74=TRUE,2,0)+AJ74</f>
        <v/>
      </c>
      <c r="AQ74" s="10" t="n"/>
      <c r="AR74" s="10" t="n"/>
      <c r="AS74" s="10" t="n"/>
      <c r="AT74" s="11" t="n"/>
    </row>
    <row r="75">
      <c r="A75" s="7" t="n"/>
      <c r="B75" s="7" t="n"/>
      <c r="C75" s="40" t="n"/>
      <c r="D75" s="84" t="b">
        <v>0</v>
      </c>
      <c r="E75" s="85" t="inlineStr">
        <is>
          <t>Arrombamento</t>
        </is>
      </c>
      <c r="F75" s="10" t="n"/>
      <c r="G75" s="10" t="n"/>
      <c r="H75" s="10" t="n"/>
      <c r="I75" s="11" t="n"/>
      <c r="J75" s="86" t="inlineStr">
        <is>
          <t>INTELIGÊNCIA</t>
        </is>
      </c>
      <c r="K75" s="10" t="n"/>
      <c r="L75" s="11" t="n"/>
      <c r="M75" s="88">
        <f>+IFS(J75="FORÇA",$D$17, J75="DESTREZA",$L$17, J75="CONSTITUIÇÃO",$T$17, J75="INTELIGÊNCIA",$AB$17, J75="ESSÊNCIA",$AJ$17)+IF($D75=TRUE,D$48,0)+N75</f>
        <v/>
      </c>
      <c r="N75" s="88" t="n"/>
      <c r="O75" s="47" t="n"/>
      <c r="P75" s="84" t="b">
        <v>0</v>
      </c>
      <c r="Q75" s="85" t="inlineStr">
        <is>
          <t xml:space="preserve">Alfaiate </t>
        </is>
      </c>
      <c r="R75" s="10" t="n"/>
      <c r="S75" s="10" t="n"/>
      <c r="T75" s="10" t="n"/>
      <c r="U75" s="11" t="n"/>
      <c r="V75" s="86" t="inlineStr">
        <is>
          <t>INTELIGÊNCIA</t>
        </is>
      </c>
      <c r="W75" s="10" t="n"/>
      <c r="X75" s="11" t="n"/>
      <c r="Y75" s="88">
        <f>+IFS(V75="FORÇA",$D$17, V75="DESTREZA",$L$17, V75="CONSTITUIÇÃO",$T$17, V75="INTELIGÊNCIA",$AB$17, V75="ESSÊNCIA",$AJ$17)+IF($P75=TRUE,$D$48,0)+Z75</f>
        <v/>
      </c>
      <c r="Z75" s="88" t="n"/>
      <c r="AA75" s="47" t="n"/>
      <c r="AB75" s="84" t="b">
        <v>0</v>
      </c>
      <c r="AC75" s="89" t="inlineStr">
        <is>
          <t>Vigor</t>
        </is>
      </c>
      <c r="AD75" s="10" t="n"/>
      <c r="AE75" s="10" t="n"/>
      <c r="AF75" s="10" t="n"/>
      <c r="AG75" s="10" t="n"/>
      <c r="AH75" s="10" t="n"/>
      <c r="AI75" s="10" t="n"/>
      <c r="AJ75" s="85" t="n"/>
      <c r="AK75" s="86" t="inlineStr">
        <is>
          <t xml:space="preserve">CONSTITUIÇÃO </t>
        </is>
      </c>
      <c r="AL75" s="10" t="n"/>
      <c r="AM75" s="10" t="n"/>
      <c r="AN75" s="10" t="n"/>
      <c r="AO75" s="11" t="n"/>
      <c r="AP75" s="87">
        <f>$T$17+IF($AB$75=TRUE,2,0)+AJ75</f>
        <v/>
      </c>
      <c r="AQ75" s="10" t="n"/>
      <c r="AR75" s="10" t="n"/>
      <c r="AS75" s="10" t="n"/>
      <c r="AT75" s="11" t="n"/>
    </row>
    <row r="76">
      <c r="A76" s="7" t="n"/>
      <c r="B76" s="7" t="n"/>
      <c r="C76" s="40" t="n"/>
      <c r="D76" s="84" t="b">
        <v>0</v>
      </c>
      <c r="E76" s="85" t="inlineStr">
        <is>
          <t>Herbalismo</t>
        </is>
      </c>
      <c r="F76" s="10" t="n"/>
      <c r="G76" s="10" t="n"/>
      <c r="H76" s="10" t="n"/>
      <c r="I76" s="11" t="n"/>
      <c r="J76" s="86" t="inlineStr">
        <is>
          <t>INTELIGÊNCIA</t>
        </is>
      </c>
      <c r="K76" s="10" t="n"/>
      <c r="L76" s="11" t="n"/>
      <c r="M76" s="88">
        <f>+IFS(J76="FORÇA",$D$17, J76="DESTREZA",$L$17, J76="CONSTITUIÇÃO",$T$17, J76="INTELIGÊNCIA",$AB$17, J76="ESSÊNCIA",$AJ$17)+IF($D76=TRUE,D$48,0)+N76</f>
        <v/>
      </c>
      <c r="N76" s="88" t="n"/>
      <c r="O76" s="47" t="n"/>
      <c r="P76" s="84" t="b">
        <v>0</v>
      </c>
      <c r="Q76" s="91" t="inlineStr">
        <is>
          <t>Culinária</t>
        </is>
      </c>
      <c r="R76" s="10" t="n"/>
      <c r="S76" s="10" t="n"/>
      <c r="T76" s="10" t="n"/>
      <c r="U76" s="11" t="n"/>
      <c r="V76" s="86" t="inlineStr">
        <is>
          <t>INTELIGÊNCIA</t>
        </is>
      </c>
      <c r="W76" s="10" t="n"/>
      <c r="X76" s="11" t="n"/>
      <c r="Y76" s="88">
        <f>+IFS(V76="FORÇA",$D$17, V76="DESTREZA",$L$17, V76="CONSTITUIÇÃO",$T$17, V76="INTELIGÊNCIA",$AB$17, V76="ESSÊNCIA",$AJ$17)+IF($P76=TRUE,$D$48,0)+Z76</f>
        <v/>
      </c>
      <c r="Z76" s="88" t="n"/>
      <c r="AA76" s="47" t="n"/>
      <c r="AB76" s="84" t="b">
        <v>0</v>
      </c>
      <c r="AC76" s="89" t="inlineStr">
        <is>
          <t>Intelecto</t>
        </is>
      </c>
      <c r="AD76" s="10" t="n"/>
      <c r="AE76" s="10" t="n"/>
      <c r="AF76" s="10" t="n"/>
      <c r="AG76" s="10" t="n"/>
      <c r="AH76" s="10" t="n"/>
      <c r="AI76" s="10" t="n"/>
      <c r="AJ76" s="89" t="n"/>
      <c r="AK76" s="86" t="inlineStr">
        <is>
          <t>INTELIGÊNCIA</t>
        </is>
      </c>
      <c r="AL76" s="10" t="n"/>
      <c r="AM76" s="10" t="n"/>
      <c r="AN76" s="10" t="n"/>
      <c r="AO76" s="11" t="n"/>
      <c r="AP76" s="87">
        <f>$AB$17+IF($AB$76=TRUE,2,0)+AJ76</f>
        <v/>
      </c>
      <c r="AQ76" s="10" t="n"/>
      <c r="AR76" s="10" t="n"/>
      <c r="AS76" s="10" t="n"/>
      <c r="AT76" s="11" t="n"/>
    </row>
    <row r="77">
      <c r="A77" s="7" t="n"/>
      <c r="B77" s="7" t="n"/>
      <c r="C77" s="40" t="n"/>
      <c r="D77" s="84" t="b">
        <v>0</v>
      </c>
      <c r="E77" s="85" t="inlineStr">
        <is>
          <t>Forja</t>
        </is>
      </c>
      <c r="F77" s="10" t="n"/>
      <c r="G77" s="10" t="n"/>
      <c r="H77" s="10" t="n"/>
      <c r="I77" s="11" t="n"/>
      <c r="J77" s="86" t="inlineStr">
        <is>
          <t>INTELIGÊNCIA</t>
        </is>
      </c>
      <c r="K77" s="10" t="n"/>
      <c r="L77" s="11" t="n"/>
      <c r="M77" s="88">
        <f>+IFS(J77="FORÇA",$D$17, J77="DESTREZA",$L$17, J77="CONSTITUIÇÃO",$T$17, J77="INTELIGÊNCIA",$AB$17, J77="ESSÊNCIA",$AJ$17)+IF($D77=TRUE,D$48,0)+N77</f>
        <v/>
      </c>
      <c r="N77" s="88" t="n"/>
      <c r="O77" s="47" t="n"/>
      <c r="P77" s="84" t="b">
        <v>0</v>
      </c>
      <c r="Q77" s="85" t="inlineStr">
        <is>
          <t>Jogatina</t>
        </is>
      </c>
      <c r="R77" s="10" t="n"/>
      <c r="S77" s="10" t="n"/>
      <c r="T77" s="10" t="n"/>
      <c r="U77" s="11" t="n"/>
      <c r="V77" s="86" t="inlineStr">
        <is>
          <t>INTELIGÊNCIA</t>
        </is>
      </c>
      <c r="W77" s="10" t="n"/>
      <c r="X77" s="11" t="n"/>
      <c r="Y77" s="88">
        <f>+IFS(V77="FORÇA",$D$17, V77="DESTREZA",$L$17, V77="CONSTITUIÇÃO",$T$17, V77="INTELIGÊNCIA",$AB$17, V77="ESSÊNCIA",$AJ$17)+IF($P77=TRUE,$D$48,0)+Z77</f>
        <v/>
      </c>
      <c r="Z77" s="88" t="n"/>
      <c r="AA77" s="47" t="n"/>
      <c r="AB77" s="84" t="b">
        <v>0</v>
      </c>
      <c r="AC77" s="89" t="inlineStr">
        <is>
          <t>Espírito</t>
        </is>
      </c>
      <c r="AD77" s="10" t="n"/>
      <c r="AE77" s="10" t="n"/>
      <c r="AF77" s="10" t="n"/>
      <c r="AG77" s="10" t="n"/>
      <c r="AH77" s="10" t="n"/>
      <c r="AI77" s="10" t="n"/>
      <c r="AJ77" s="85" t="n"/>
      <c r="AK77" s="86" t="inlineStr">
        <is>
          <t>ESSÊNCIA</t>
        </is>
      </c>
      <c r="AL77" s="10" t="n"/>
      <c r="AM77" s="10" t="n"/>
      <c r="AN77" s="10" t="n"/>
      <c r="AO77" s="11" t="n"/>
      <c r="AP77" s="87">
        <f>$AJ$17+IF($AB$77=TRUE,2,0)+AJ77</f>
        <v/>
      </c>
      <c r="AQ77" s="10" t="n"/>
      <c r="AR77" s="10" t="n"/>
      <c r="AS77" s="10" t="n"/>
      <c r="AT77" s="11" t="n"/>
    </row>
    <row r="78">
      <c r="A78" s="7" t="n"/>
      <c r="B78" s="7" t="n"/>
      <c r="C78" s="40" t="n"/>
      <c r="D78" s="84" t="b">
        <v>0</v>
      </c>
      <c r="E78" s="85" t="inlineStr">
        <is>
          <t>Caligrafia</t>
        </is>
      </c>
      <c r="F78" s="10" t="n"/>
      <c r="G78" s="10" t="n"/>
      <c r="H78" s="10" t="n"/>
      <c r="I78" s="11" t="n"/>
      <c r="J78" s="86" t="inlineStr">
        <is>
          <t>INTELIGÊNCIA</t>
        </is>
      </c>
      <c r="K78" s="10" t="n"/>
      <c r="L78" s="11" t="n"/>
      <c r="M78" s="88">
        <f>+IFS(J78="FORÇA",$D$17, J78="DESTREZA",$L$17, J78="CONSTITUIÇÃO",$T$17, J78="INTELIGÊNCIA",$AB$17, J78="ESSÊNCIA",$AJ$17)+IF($D78=TRUE,D$48,0)+N78</f>
        <v/>
      </c>
      <c r="N78" s="88" t="n"/>
      <c r="O78" s="47" t="n"/>
      <c r="P78" s="84" t="b">
        <v>0</v>
      </c>
      <c r="Q78" s="85" t="inlineStr">
        <is>
          <t>Instrumento</t>
        </is>
      </c>
      <c r="R78" s="10" t="n"/>
      <c r="S78" s="10" t="n"/>
      <c r="T78" s="10" t="n"/>
      <c r="U78" s="11" t="n"/>
      <c r="V78" s="86" t="inlineStr">
        <is>
          <t>INTELIGÊNCIA</t>
        </is>
      </c>
      <c r="W78" s="10" t="n"/>
      <c r="X78" s="11" t="n"/>
      <c r="Y78" s="88">
        <f>+IFS(V78="FORÇA",$D$17, V78="DESTREZA",$L$17, V78="CONSTITUIÇÃO",$T$17, V78="INTELIGÊNCIA",$AB$17, V78="ESSÊNCIA",$AJ$17)+IF($P78=TRUE,$D$48,0)+Z78</f>
        <v/>
      </c>
      <c r="Z78" s="88" t="n"/>
      <c r="AA78" s="47" t="n"/>
      <c r="AB78" s="47" t="n"/>
      <c r="AC78" s="47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7" t="n"/>
      <c r="B79" s="7" t="n"/>
      <c r="C79" s="40" t="n"/>
      <c r="D79" s="84" t="b">
        <v>0</v>
      </c>
      <c r="E79" s="85" t="inlineStr">
        <is>
          <t>Burocracia</t>
        </is>
      </c>
      <c r="F79" s="10" t="n"/>
      <c r="G79" s="10" t="n"/>
      <c r="H79" s="10" t="n"/>
      <c r="I79" s="11" t="n"/>
      <c r="J79" s="86" t="inlineStr">
        <is>
          <t>INTELIGÊNCIA</t>
        </is>
      </c>
      <c r="K79" s="10" t="n"/>
      <c r="L79" s="11" t="n"/>
      <c r="M79" s="88">
        <f>+IFS(J79="FORÇA",$D$17, J79="DESTREZA",$L$17, J79="CONSTITUIÇÃO",$T$17, J79="INTELIGÊNCIA",$AB$17, J79="ESSÊNCIA",$AJ$17)+IF($D79=TRUE,D$48,0)+N79</f>
        <v/>
      </c>
      <c r="N79" s="88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  <c r="AQ79" s="47" t="n"/>
      <c r="AR79" s="47" t="n"/>
      <c r="AS79" s="47" t="n"/>
      <c r="AT79" s="47" t="n"/>
    </row>
    <row r="80">
      <c r="A80" s="7" t="n"/>
      <c r="B80" s="7" t="n"/>
      <c r="C80" s="40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  <c r="AQ80" s="47" t="n"/>
      <c r="AR80" s="47" t="n"/>
      <c r="AS80" s="47" t="n"/>
      <c r="AT80" s="47" t="n"/>
    </row>
    <row r="81" ht="27" customHeight="1">
      <c r="A81" s="7" t="n"/>
      <c r="B81" s="7" t="n"/>
      <c r="C81" s="40" t="n"/>
      <c r="D81" s="61" t="n">
        <v>7</v>
      </c>
      <c r="E81" s="13" t="n"/>
      <c r="F81" s="14" t="n"/>
      <c r="G81" s="81" t="inlineStr">
        <is>
          <t>ANOTAÇÕES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1" t="n"/>
      <c r="AI81" s="47" t="n"/>
      <c r="AJ81" s="47" t="n"/>
      <c r="AK81" s="47" t="n"/>
      <c r="AL81" s="47" t="n"/>
      <c r="AM81" s="47" t="n"/>
      <c r="AN81" s="47" t="n"/>
      <c r="AO81" s="47" t="n"/>
      <c r="AP81" s="47" t="n"/>
      <c r="AQ81" s="47" t="n"/>
      <c r="AR81" s="47" t="n"/>
      <c r="AS81" s="47" t="n"/>
      <c r="AT81" s="47" t="n"/>
    </row>
    <row r="82">
      <c r="A82" s="7" t="n"/>
      <c r="B82" s="7" t="n"/>
      <c r="C82" s="40" t="n"/>
      <c r="D82" s="17" t="n"/>
      <c r="E82" s="18" t="n"/>
      <c r="F82" s="19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  <c r="AR82" s="40" t="n"/>
      <c r="AS82" s="40" t="n"/>
      <c r="AT82" s="40" t="n"/>
    </row>
    <row r="83" ht="5.25" customHeight="1">
      <c r="A83" s="7" t="n"/>
      <c r="B83" s="7" t="n"/>
      <c r="C83" s="40" t="n"/>
      <c r="D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  <c r="AR83" s="40" t="n"/>
      <c r="AS83" s="40" t="n"/>
      <c r="AT83" s="40" t="n"/>
    </row>
    <row r="84">
      <c r="A84" s="7" t="n"/>
      <c r="B84" s="7" t="n"/>
      <c r="C84" s="40" t="n"/>
      <c r="D84" s="92" t="inlineStr">
        <is>
          <t>Skill Base de Caminho 1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40" t="n"/>
      <c r="P84" s="92" t="inlineStr">
        <is>
          <t>Skill Base de Trilha 1</t>
        </is>
      </c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1" t="n"/>
      <c r="AA84" s="40" t="n"/>
      <c r="AB84" s="92" t="inlineStr">
        <is>
          <t>Outras Anotações</t>
        </is>
      </c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1" t="n"/>
      <c r="AM84" s="40" t="n"/>
      <c r="AN84" s="40" t="n"/>
      <c r="AO84" s="40" t="n"/>
      <c r="AP84" s="40" t="n"/>
      <c r="AQ84" s="40" t="n"/>
      <c r="AR84" s="40" t="n"/>
      <c r="AS84" s="40" t="n"/>
      <c r="AT84" s="40" t="n"/>
    </row>
    <row r="85" ht="5.25" customHeight="1">
      <c r="A85" s="7" t="n"/>
      <c r="B85" s="7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  <c r="AR85" s="40" t="n"/>
      <c r="AS85" s="40" t="n"/>
      <c r="AT85" s="40" t="n"/>
    </row>
    <row r="86">
      <c r="A86" s="7" t="n"/>
      <c r="B86" s="7" t="n"/>
      <c r="C86" s="40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4" t="n"/>
      <c r="O86" s="40" t="n"/>
      <c r="P86" s="12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4" t="n"/>
      <c r="AA86" s="40" t="n"/>
      <c r="AB86" s="12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4" t="n"/>
      <c r="AM86" s="40" t="n"/>
      <c r="AN86" s="40" t="n"/>
      <c r="AO86" s="40" t="n"/>
      <c r="AP86" s="40" t="n"/>
      <c r="AQ86" s="40" t="n"/>
      <c r="AR86" s="40" t="n"/>
      <c r="AS86" s="40" t="n"/>
      <c r="AT86" s="40" t="n"/>
    </row>
    <row r="87">
      <c r="A87" s="7" t="n"/>
      <c r="B87" s="7" t="n"/>
      <c r="C87" s="40" t="n"/>
      <c r="D87" s="15" t="n"/>
      <c r="N87" s="16" t="n"/>
      <c r="O87" s="40" t="n"/>
      <c r="P87" s="15" t="n"/>
      <c r="Z87" s="16" t="n"/>
      <c r="AA87" s="40" t="n"/>
      <c r="AB87" s="15" t="n"/>
      <c r="AL87" s="16" t="n"/>
      <c r="AM87" s="40" t="n"/>
      <c r="AN87" s="40" t="n"/>
      <c r="AO87" s="40" t="n"/>
      <c r="AP87" s="40" t="n"/>
      <c r="AQ87" s="40" t="n"/>
      <c r="AR87" s="40" t="n"/>
      <c r="AS87" s="40" t="n"/>
      <c r="AT87" s="40" t="n"/>
    </row>
    <row r="88">
      <c r="A88" s="7" t="n"/>
      <c r="B88" s="7" t="n"/>
      <c r="C88" s="40" t="n"/>
      <c r="D88" s="15" t="n"/>
      <c r="N88" s="16" t="n"/>
      <c r="O88" s="40" t="n"/>
      <c r="P88" s="15" t="n"/>
      <c r="Z88" s="16" t="n"/>
      <c r="AA88" s="40" t="n"/>
      <c r="AB88" s="15" t="n"/>
      <c r="AL88" s="16" t="n"/>
      <c r="AM88" s="40" t="n"/>
      <c r="AN88" s="40" t="n"/>
      <c r="AO88" s="40" t="n"/>
      <c r="AP88" s="40" t="n"/>
      <c r="AQ88" s="40" t="n"/>
      <c r="AR88" s="40" t="n"/>
      <c r="AS88" s="40" t="n"/>
      <c r="AT88" s="40" t="n"/>
    </row>
    <row r="89">
      <c r="A89" s="7" t="n"/>
      <c r="B89" s="7" t="n"/>
      <c r="C89" s="40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9" t="n"/>
      <c r="O89" s="40" t="n"/>
      <c r="P89" s="17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9" t="n"/>
      <c r="AA89" s="40" t="n"/>
      <c r="AB89" s="17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9" t="n"/>
      <c r="AM89" s="40" t="n"/>
      <c r="AN89" s="40" t="n"/>
      <c r="AO89" s="40" t="n"/>
      <c r="AP89" s="40" t="n"/>
      <c r="AQ89" s="40" t="n"/>
      <c r="AR89" s="40" t="n"/>
      <c r="AS89" s="40" t="n"/>
      <c r="AT89" s="40" t="n"/>
    </row>
    <row r="90" ht="5.25" customHeight="1">
      <c r="A90" s="7" t="n"/>
      <c r="B90" s="7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</row>
    <row r="91">
      <c r="A91" s="7" t="n"/>
      <c r="B91" s="7" t="n"/>
      <c r="C91" s="40" t="n"/>
      <c r="D91" s="92" t="inlineStr">
        <is>
          <t>Skill Base de Caminho 2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92" t="inlineStr">
        <is>
          <t>Skill Base de Trilha 2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92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  <c r="AR92" s="40" t="n"/>
      <c r="AS92" s="40" t="n"/>
      <c r="AT92" s="40" t="n"/>
    </row>
    <row r="93">
      <c r="A93" s="7" t="n"/>
      <c r="B93" s="7" t="n"/>
      <c r="C93" s="40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2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2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P93" s="40" t="n"/>
      <c r="AQ93" s="40" t="n"/>
      <c r="AR93" s="40" t="n"/>
      <c r="AS93" s="40" t="n"/>
      <c r="AT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P94" s="40" t="n"/>
      <c r="AQ94" s="40" t="n"/>
      <c r="AR94" s="40" t="n"/>
      <c r="AS94" s="40" t="n"/>
      <c r="AT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P95" s="40" t="n"/>
      <c r="AQ95" s="40" t="n"/>
      <c r="AR95" s="40" t="n"/>
      <c r="AS95" s="40" t="n"/>
      <c r="AT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P96" s="40" t="n"/>
      <c r="AQ96" s="40" t="n"/>
      <c r="AR96" s="40" t="n"/>
      <c r="AS96" s="40" t="n"/>
      <c r="AT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</row>
    <row r="98">
      <c r="A98" s="7" t="n"/>
      <c r="B98" s="7" t="n"/>
      <c r="C98" s="40" t="n"/>
      <c r="D98" s="92" t="inlineStr">
        <is>
          <t>Skill Base de Caminho 3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92" t="inlineStr">
        <is>
          <t>Skill Base de Trilha 3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92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</row>
    <row r="100">
      <c r="A100" s="7" t="n"/>
      <c r="B100" s="7" t="n"/>
      <c r="C100" s="40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2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2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</row>
    <row r="105">
      <c r="A105" s="7" t="n"/>
      <c r="B105" s="7" t="n"/>
      <c r="C105" s="40" t="n"/>
      <c r="D105" s="92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92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92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</row>
    <row r="107">
      <c r="A107" s="7" t="n"/>
      <c r="B107" s="7" t="n"/>
      <c r="C107" s="40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2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2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</row>
    <row r="11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</row>
    <row r="112" ht="27" customHeight="1">
      <c r="A112" s="7" t="n"/>
      <c r="B112" s="7" t="n"/>
      <c r="C112" s="40" t="n"/>
      <c r="D112" s="61" t="n">
        <v>8</v>
      </c>
      <c r="E112" s="13" t="n"/>
      <c r="F112" s="14" t="n"/>
      <c r="G112" s="81" t="inlineStr">
        <is>
          <t>APTIDÕES E FEITIÇOS</t>
        </is>
      </c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1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</row>
    <row r="113">
      <c r="A113" s="7" t="n"/>
      <c r="B113" s="7" t="n"/>
      <c r="C113" s="40" t="n"/>
      <c r="D113" s="17" t="n"/>
      <c r="E113" s="18" t="n"/>
      <c r="F113" s="19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</row>
    <row r="114" ht="4.5" customHeight="1">
      <c r="A114" s="7" t="n"/>
      <c r="B114" s="7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</row>
    <row r="115">
      <c r="A115" s="7" t="n"/>
      <c r="B115" s="7" t="n"/>
      <c r="C115" s="40" t="n"/>
      <c r="D115" s="92" t="inlineStr">
        <is>
          <t>Classe</t>
        </is>
      </c>
      <c r="E115" s="11" t="n"/>
      <c r="F115" s="92">
        <f>"Feitiços - Disponível: " &amp; (D54 - SUM(D117:D135) - SUM(V132:W135,AD132:AE135)) &amp; " - Conhecidos (Total): " &amp; D54 &amp; " - Classe 0: " &amp; (AK54 - COUNTIFS(D117:D135,0,F117:F135,"&lt;&gt;")) &amp; "/" &amp; AK54</f>
        <v/>
      </c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1" t="n"/>
      <c r="U115" s="93" t="n"/>
      <c r="V115" s="92">
        <f>"Refino Atual: " &amp; O54+0 &amp; "/10"</f>
        <v/>
      </c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1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</row>
    <row r="116" ht="5.25" customHeight="1">
      <c r="A116" s="7" t="n"/>
      <c r="B116" s="7" t="n"/>
      <c r="C116" s="40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  <c r="AA116" s="93" t="n"/>
      <c r="AB116" s="93" t="n"/>
      <c r="AC116" s="93" t="n"/>
      <c r="AD116" s="93" t="n"/>
      <c r="AE116" s="93" t="n"/>
      <c r="AF116" s="93" t="n"/>
      <c r="AG116" s="93" t="n"/>
      <c r="AH116" s="93" t="n"/>
      <c r="AI116" s="93" t="n"/>
      <c r="AJ116" s="93" t="n"/>
      <c r="AK116" s="93" t="n"/>
      <c r="AL116" s="93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</row>
    <row r="117">
      <c r="A117" s="7" t="n"/>
      <c r="B117" s="7" t="n"/>
      <c r="C117" s="40" t="n"/>
      <c r="D117" s="86" t="n">
        <v>0</v>
      </c>
      <c r="E117" s="11" t="n"/>
      <c r="F117" s="34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1" t="n"/>
      <c r="U117" s="93" t="n"/>
      <c r="V117" s="34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1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</row>
    <row r="118">
      <c r="A118" s="7" t="n"/>
      <c r="B118" s="7" t="n"/>
      <c r="C118" s="40" t="n"/>
      <c r="D118" s="86" t="n">
        <v>0</v>
      </c>
      <c r="E118" s="11" t="n"/>
      <c r="F118" s="34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3" t="n"/>
      <c r="V118" s="34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</row>
    <row r="119">
      <c r="A119" s="7" t="n"/>
      <c r="B119" s="7" t="n"/>
      <c r="C119" s="40" t="n"/>
      <c r="D119" s="86" t="n">
        <v>0</v>
      </c>
      <c r="E119" s="11" t="n"/>
      <c r="F119" s="34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3" t="n"/>
      <c r="V119" s="34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</row>
    <row r="120">
      <c r="A120" s="7" t="n"/>
      <c r="B120" s="7" t="n"/>
      <c r="C120" s="40" t="n"/>
      <c r="D120" s="86" t="n">
        <v>0</v>
      </c>
      <c r="E120" s="11" t="n"/>
      <c r="F120" s="34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3" t="n"/>
      <c r="V120" s="34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</row>
    <row r="121">
      <c r="A121" s="7" t="n"/>
      <c r="B121" s="7" t="n"/>
      <c r="C121" s="40" t="n"/>
      <c r="D121" s="86" t="n">
        <v>0</v>
      </c>
      <c r="E121" s="11" t="n"/>
      <c r="F121" s="34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3" t="n"/>
      <c r="V121" s="34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</row>
    <row r="122">
      <c r="A122" s="7" t="n"/>
      <c r="B122" s="7" t="n"/>
      <c r="C122" s="40" t="n"/>
      <c r="D122" s="86" t="n">
        <v>0</v>
      </c>
      <c r="E122" s="11" t="n"/>
      <c r="F122" s="34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3" t="n"/>
      <c r="V122" s="34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</row>
    <row r="123">
      <c r="A123" s="7" t="n"/>
      <c r="B123" s="7" t="n"/>
      <c r="C123" s="40" t="n"/>
      <c r="D123" s="86" t="n">
        <v>0</v>
      </c>
      <c r="E123" s="11" t="n"/>
      <c r="F123" s="34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3" t="n"/>
      <c r="V123" s="34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</row>
    <row r="124">
      <c r="A124" s="7" t="n"/>
      <c r="B124" s="7" t="n"/>
      <c r="C124" s="40" t="n"/>
      <c r="D124" s="86" t="n">
        <v>0</v>
      </c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3" t="n"/>
      <c r="V124" s="34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</row>
    <row r="125">
      <c r="A125" s="7" t="n"/>
      <c r="B125" s="7" t="n"/>
      <c r="C125" s="40" t="n"/>
      <c r="D125" s="86" t="n">
        <v>0</v>
      </c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3" t="n"/>
      <c r="V125" s="34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</row>
    <row r="126">
      <c r="A126" s="7" t="n"/>
      <c r="B126" s="7" t="n"/>
      <c r="C126" s="40" t="n"/>
      <c r="D126" s="86" t="n">
        <v>0</v>
      </c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3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</row>
    <row r="127">
      <c r="A127" s="7" t="n"/>
      <c r="B127" s="7" t="n"/>
      <c r="C127" s="40" t="n"/>
      <c r="D127" s="86" t="n">
        <v>0</v>
      </c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3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</row>
    <row r="128">
      <c r="A128" s="7" t="n"/>
      <c r="B128" s="7" t="n"/>
      <c r="C128" s="40" t="n"/>
      <c r="D128" s="86" t="n">
        <v>0</v>
      </c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3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</row>
    <row r="129">
      <c r="A129" s="7" t="n"/>
      <c r="B129" s="7" t="n"/>
      <c r="C129" s="40" t="n"/>
      <c r="D129" s="86" t="n">
        <v>0</v>
      </c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</row>
    <row r="130">
      <c r="A130" s="7" t="n"/>
      <c r="B130" s="7" t="n"/>
      <c r="C130" s="40" t="n"/>
      <c r="D130" s="86" t="n">
        <v>0</v>
      </c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40" t="n"/>
      <c r="V130" s="92" t="inlineStr">
        <is>
          <t>Classe</t>
        </is>
      </c>
      <c r="W130" s="11" t="n"/>
      <c r="X130" s="92">
        <f>"Passivas - Regras"</f>
        <v/>
      </c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</row>
    <row r="131">
      <c r="A131" s="7" t="n"/>
      <c r="B131" s="7" t="n"/>
      <c r="C131" s="40" t="n"/>
      <c r="D131" s="86" t="n">
        <v>0</v>
      </c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40" t="n"/>
      <c r="V131" s="93" t="n"/>
      <c r="W131" s="93" t="n"/>
      <c r="X131" s="93" t="n"/>
      <c r="Y131" s="93" t="n"/>
      <c r="Z131" s="93" t="n"/>
      <c r="AA131" s="93" t="n"/>
      <c r="AB131" s="93" t="n"/>
      <c r="AC131" s="93" t="n"/>
      <c r="AD131" s="93" t="n"/>
      <c r="AE131" s="93" t="n"/>
      <c r="AF131" s="93" t="n"/>
      <c r="AG131" s="93" t="n"/>
      <c r="AH131" s="93" t="n"/>
      <c r="AI131" s="93" t="n"/>
      <c r="AJ131" s="93" t="n"/>
      <c r="AK131" s="93" t="n"/>
      <c r="AL131" s="93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</row>
    <row r="132">
      <c r="A132" s="7" t="n"/>
      <c r="B132" s="7" t="n"/>
      <c r="C132" s="40" t="n"/>
      <c r="D132" s="86" t="n">
        <v>0</v>
      </c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40" t="n"/>
      <c r="V132" s="86" t="n">
        <v>0</v>
      </c>
      <c r="W132" s="11" t="n"/>
      <c r="X132" s="34" t="n"/>
      <c r="Y132" s="10" t="n"/>
      <c r="Z132" s="10" t="n"/>
      <c r="AA132" s="10" t="n"/>
      <c r="AB132" s="10" t="n"/>
      <c r="AC132" s="11" t="n"/>
      <c r="AD132" s="86" t="n">
        <v>0</v>
      </c>
      <c r="AE132" s="11" t="n"/>
      <c r="AF132" s="34" t="n"/>
      <c r="AG132" s="10" t="n"/>
      <c r="AH132" s="10" t="n"/>
      <c r="AI132" s="10" t="n"/>
      <c r="AJ132" s="10" t="n"/>
      <c r="AK132" s="10" t="n"/>
      <c r="AL132" s="11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</row>
    <row r="133">
      <c r="A133" s="7" t="n"/>
      <c r="B133" s="7" t="n"/>
      <c r="C133" s="40" t="n"/>
      <c r="D133" s="86" t="n">
        <v>0</v>
      </c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40" t="n"/>
      <c r="V133" s="86" t="n">
        <v>0</v>
      </c>
      <c r="W133" s="11" t="n"/>
      <c r="X133" s="34" t="n"/>
      <c r="Y133" s="10" t="n"/>
      <c r="Z133" s="10" t="n"/>
      <c r="AA133" s="10" t="n"/>
      <c r="AB133" s="10" t="n"/>
      <c r="AC133" s="11" t="n"/>
      <c r="AD133" s="86" t="n">
        <v>0</v>
      </c>
      <c r="AE133" s="11" t="n"/>
      <c r="AF133" s="34" t="n"/>
      <c r="AG133" s="10" t="n"/>
      <c r="AH133" s="10" t="n"/>
      <c r="AI133" s="10" t="n"/>
      <c r="AJ133" s="10" t="n"/>
      <c r="AK133" s="10" t="n"/>
      <c r="AL133" s="11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</row>
    <row r="134">
      <c r="A134" s="7" t="n"/>
      <c r="B134" s="7" t="n"/>
      <c r="C134" s="40" t="n"/>
      <c r="D134" s="86" t="n">
        <v>0</v>
      </c>
      <c r="E134" s="11" t="n"/>
      <c r="F134" s="34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40" t="n"/>
      <c r="V134" s="86" t="n">
        <v>0</v>
      </c>
      <c r="W134" s="11" t="n"/>
      <c r="X134" s="34" t="n"/>
      <c r="Y134" s="10" t="n"/>
      <c r="Z134" s="10" t="n"/>
      <c r="AA134" s="10" t="n"/>
      <c r="AB134" s="10" t="n"/>
      <c r="AC134" s="11" t="n"/>
      <c r="AD134" s="86" t="n">
        <v>0</v>
      </c>
      <c r="AE134" s="11" t="n"/>
      <c r="AF134" s="34" t="n"/>
      <c r="AG134" s="10" t="n"/>
      <c r="AH134" s="10" t="n"/>
      <c r="AI134" s="10" t="n"/>
      <c r="AJ134" s="10" t="n"/>
      <c r="AK134" s="10" t="n"/>
      <c r="AL134" s="11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</row>
    <row r="135">
      <c r="A135" s="7" t="n"/>
      <c r="B135" s="7" t="n"/>
      <c r="C135" s="40" t="n"/>
      <c r="D135" s="86" t="n">
        <v>0</v>
      </c>
      <c r="E135" s="11" t="n"/>
      <c r="F135" s="34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40" t="n"/>
      <c r="V135" s="86" t="n">
        <v>0</v>
      </c>
      <c r="W135" s="11" t="n"/>
      <c r="X135" s="34" t="n"/>
      <c r="Y135" s="10" t="n"/>
      <c r="Z135" s="10" t="n"/>
      <c r="AA135" s="10" t="n"/>
      <c r="AB135" s="10" t="n"/>
      <c r="AC135" s="11" t="n"/>
      <c r="AD135" s="86" t="n">
        <v>0</v>
      </c>
      <c r="AE135" s="11" t="n"/>
      <c r="AF135" s="34" t="n"/>
      <c r="AG135" s="10" t="n"/>
      <c r="AH135" s="10" t="n"/>
      <c r="AI135" s="10" t="n"/>
      <c r="AJ135" s="10" t="n"/>
      <c r="AK135" s="10" t="n"/>
      <c r="AL135" s="11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</row>
    <row r="136">
      <c r="A136" s="7" t="n"/>
      <c r="B136" s="7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  <c r="AR136" s="40" t="n"/>
      <c r="AS136" s="40" t="n"/>
      <c r="AT136" s="40" t="n"/>
      <c r="AU136" s="40" t="n"/>
    </row>
    <row r="137">
      <c r="A137" s="7" t="n"/>
      <c r="B137" s="7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  <c r="AE137" s="40" t="n"/>
      <c r="AF137" s="40" t="n"/>
      <c r="AG137" s="40" t="n"/>
      <c r="AH137" s="40" t="n"/>
      <c r="AI137" s="40" t="n"/>
      <c r="AJ137" s="40" t="n"/>
      <c r="AK137" s="40" t="n"/>
      <c r="AL137" s="40" t="n"/>
      <c r="AM137" s="40" t="n"/>
      <c r="AN137" s="40" t="n"/>
      <c r="AO137" s="40" t="n"/>
      <c r="AP137" s="40" t="n"/>
      <c r="AQ137" s="40" t="n"/>
      <c r="AR137" s="40" t="n"/>
      <c r="AS137" s="40" t="n"/>
      <c r="AT137" s="40" t="n"/>
      <c r="AU137" s="40" t="n"/>
    </row>
  </sheetData>
  <mergeCells count="312">
    <mergeCell ref="D107:N110"/>
    <mergeCell ref="D2:X2"/>
    <mergeCell ref="D39:M39"/>
    <mergeCell ref="V74:X74"/>
    <mergeCell ref="AH2:AT2"/>
    <mergeCell ref="M70:N70"/>
    <mergeCell ref="V121:AL121"/>
    <mergeCell ref="M60:N60"/>
    <mergeCell ref="J75:L75"/>
    <mergeCell ref="AB59:AC59"/>
    <mergeCell ref="O63:P63"/>
    <mergeCell ref="E69:L69"/>
    <mergeCell ref="A8:B26"/>
    <mergeCell ref="AB61:AC61"/>
    <mergeCell ref="D134:E134"/>
    <mergeCell ref="AF22:AK22"/>
    <mergeCell ref="F123:T123"/>
    <mergeCell ref="AB93:AL96"/>
    <mergeCell ref="V120:AL120"/>
    <mergeCell ref="T60:AA60"/>
    <mergeCell ref="F118:T118"/>
    <mergeCell ref="V124:AL124"/>
    <mergeCell ref="D8:F9"/>
    <mergeCell ref="D11:L11"/>
    <mergeCell ref="Z48:AI48"/>
    <mergeCell ref="V126:AL126"/>
    <mergeCell ref="D83:M83"/>
    <mergeCell ref="AE50:AO50"/>
    <mergeCell ref="D131:E131"/>
    <mergeCell ref="AD59:AE59"/>
    <mergeCell ref="F129:T129"/>
    <mergeCell ref="F134:T134"/>
    <mergeCell ref="D124:E124"/>
    <mergeCell ref="T65:AA65"/>
    <mergeCell ref="F121:T121"/>
    <mergeCell ref="F131:T131"/>
    <mergeCell ref="D126:E126"/>
    <mergeCell ref="E78:I78"/>
    <mergeCell ref="E65:L65"/>
    <mergeCell ref="AC75:AI75"/>
    <mergeCell ref="J23:N24"/>
    <mergeCell ref="AB67:AC67"/>
    <mergeCell ref="AB16:AH16"/>
    <mergeCell ref="AD61:AE61"/>
    <mergeCell ref="AB69:AC69"/>
    <mergeCell ref="AP77:AT77"/>
    <mergeCell ref="D129:E129"/>
    <mergeCell ref="L17:R18"/>
    <mergeCell ref="J78:L78"/>
    <mergeCell ref="AB62:AC62"/>
    <mergeCell ref="AD62:AE62"/>
    <mergeCell ref="AP75:AT75"/>
    <mergeCell ref="AK44:AT44"/>
    <mergeCell ref="AB64:AC64"/>
    <mergeCell ref="AD64:AE64"/>
    <mergeCell ref="F126:T126"/>
    <mergeCell ref="AF30:AK30"/>
    <mergeCell ref="D81:F82"/>
    <mergeCell ref="AF31:AK31"/>
    <mergeCell ref="O53:X53"/>
    <mergeCell ref="E74:I74"/>
    <mergeCell ref="G81:AH81"/>
    <mergeCell ref="O59:P59"/>
    <mergeCell ref="P91:Z91"/>
    <mergeCell ref="O61:P61"/>
    <mergeCell ref="D27:H28"/>
    <mergeCell ref="D117:E117"/>
    <mergeCell ref="D30:N30"/>
    <mergeCell ref="AK77:AO77"/>
    <mergeCell ref="P100:Z103"/>
    <mergeCell ref="D16:J16"/>
    <mergeCell ref="F124:T124"/>
    <mergeCell ref="AJ16:AP16"/>
    <mergeCell ref="AB19:AH19"/>
    <mergeCell ref="T63:AA63"/>
    <mergeCell ref="AB17:AH18"/>
    <mergeCell ref="T17:Z18"/>
    <mergeCell ref="X10:AF10"/>
    <mergeCell ref="D122:E122"/>
    <mergeCell ref="AM27:AR27"/>
    <mergeCell ref="AK47:AT47"/>
    <mergeCell ref="T69:AA69"/>
    <mergeCell ref="N11:V11"/>
    <mergeCell ref="T66:AA66"/>
    <mergeCell ref="E76:I76"/>
    <mergeCell ref="V76:X76"/>
    <mergeCell ref="O67:P67"/>
    <mergeCell ref="AM22:AR22"/>
    <mergeCell ref="J74:L74"/>
    <mergeCell ref="V122:AL122"/>
    <mergeCell ref="AI65:AR66"/>
    <mergeCell ref="AF134:AL134"/>
    <mergeCell ref="AB60:AC60"/>
    <mergeCell ref="AD60:AE60"/>
    <mergeCell ref="AF23:AK23"/>
    <mergeCell ref="AH10:AL10"/>
    <mergeCell ref="D135:E135"/>
    <mergeCell ref="L16:R16"/>
    <mergeCell ref="D19:J19"/>
    <mergeCell ref="AP74:AT74"/>
    <mergeCell ref="E59:L59"/>
    <mergeCell ref="AI60:AR60"/>
    <mergeCell ref="O39:X39"/>
    <mergeCell ref="E61:L61"/>
    <mergeCell ref="D10:L10"/>
    <mergeCell ref="V134:W134"/>
    <mergeCell ref="D26:N26"/>
    <mergeCell ref="D115:E115"/>
    <mergeCell ref="AK40:AT40"/>
    <mergeCell ref="Z44:AI44"/>
    <mergeCell ref="D54:M54"/>
    <mergeCell ref="AB91:AL91"/>
    <mergeCell ref="P93:Z96"/>
    <mergeCell ref="AB84:AL84"/>
    <mergeCell ref="X134:AC134"/>
    <mergeCell ref="D100:N103"/>
    <mergeCell ref="D118:E118"/>
    <mergeCell ref="Z47:AI47"/>
    <mergeCell ref="M66:N66"/>
    <mergeCell ref="M63:N63"/>
    <mergeCell ref="D98:N98"/>
    <mergeCell ref="AU6:AU135"/>
    <mergeCell ref="M68:N68"/>
    <mergeCell ref="AJ17:AP18"/>
    <mergeCell ref="G37:X37"/>
    <mergeCell ref="E62:L62"/>
    <mergeCell ref="M67:N67"/>
    <mergeCell ref="E64:L64"/>
    <mergeCell ref="M69:N69"/>
    <mergeCell ref="N10:V10"/>
    <mergeCell ref="AK74:AO74"/>
    <mergeCell ref="D44:M44"/>
    <mergeCell ref="AK48:AT48"/>
    <mergeCell ref="D91:N91"/>
    <mergeCell ref="J76:L76"/>
    <mergeCell ref="P31:AD32"/>
    <mergeCell ref="AK43:AT43"/>
    <mergeCell ref="Z53:AI53"/>
    <mergeCell ref="V130:W130"/>
    <mergeCell ref="O40:X40"/>
    <mergeCell ref="D119:E119"/>
    <mergeCell ref="T16:Z16"/>
    <mergeCell ref="AB86:AL89"/>
    <mergeCell ref="E79:I79"/>
    <mergeCell ref="AN10:AT10"/>
    <mergeCell ref="Z40:AI40"/>
    <mergeCell ref="AM30:AR30"/>
    <mergeCell ref="X132:AC132"/>
    <mergeCell ref="T68:AA68"/>
    <mergeCell ref="V75:X75"/>
    <mergeCell ref="O69:P69"/>
    <mergeCell ref="V117:AL117"/>
    <mergeCell ref="Z54:AI54"/>
    <mergeCell ref="AB105:AL105"/>
    <mergeCell ref="AK76:AO76"/>
    <mergeCell ref="V119:AL119"/>
    <mergeCell ref="AK39:AT39"/>
    <mergeCell ref="E70:L70"/>
    <mergeCell ref="Z43:AI43"/>
    <mergeCell ref="AC76:AI76"/>
    <mergeCell ref="O64:P64"/>
    <mergeCell ref="D130:E130"/>
    <mergeCell ref="G112:AH112"/>
    <mergeCell ref="D53:M53"/>
    <mergeCell ref="D47:M47"/>
    <mergeCell ref="D132:E132"/>
    <mergeCell ref="J77:L77"/>
    <mergeCell ref="G8:X8"/>
    <mergeCell ref="O47:X47"/>
    <mergeCell ref="AK75:AO75"/>
    <mergeCell ref="M59:N59"/>
    <mergeCell ref="D93:N96"/>
    <mergeCell ref="P84:Z84"/>
    <mergeCell ref="AB107:AL110"/>
    <mergeCell ref="E60:L60"/>
    <mergeCell ref="Q78:U78"/>
    <mergeCell ref="F130:T130"/>
    <mergeCell ref="D125:E125"/>
    <mergeCell ref="F117:T117"/>
    <mergeCell ref="F132:T132"/>
    <mergeCell ref="P98:Z98"/>
    <mergeCell ref="D127:E127"/>
    <mergeCell ref="F119:T119"/>
    <mergeCell ref="O60:P60"/>
    <mergeCell ref="AM23:AR23"/>
    <mergeCell ref="D43:M43"/>
    <mergeCell ref="V78:X78"/>
    <mergeCell ref="F127:T127"/>
    <mergeCell ref="AN11:AT11"/>
    <mergeCell ref="AB65:AC65"/>
    <mergeCell ref="Q77:U77"/>
    <mergeCell ref="O48:X48"/>
    <mergeCell ref="AB63:AC63"/>
    <mergeCell ref="AD63:AE63"/>
    <mergeCell ref="O65:P65"/>
    <mergeCell ref="AI63:AR64"/>
    <mergeCell ref="T62:AA62"/>
    <mergeCell ref="T59:AA59"/>
    <mergeCell ref="AF26:AK26"/>
    <mergeCell ref="V132:W132"/>
    <mergeCell ref="T64:AA64"/>
    <mergeCell ref="E77:I77"/>
    <mergeCell ref="AC74:AI74"/>
    <mergeCell ref="O62:P62"/>
    <mergeCell ref="P27:AD28"/>
    <mergeCell ref="AF27:AK27"/>
    <mergeCell ref="V128:AL128"/>
    <mergeCell ref="D72:F73"/>
    <mergeCell ref="AD134:AE134"/>
    <mergeCell ref="AB100:AL103"/>
    <mergeCell ref="O43:X43"/>
    <mergeCell ref="D37:F38"/>
    <mergeCell ref="D5:Z5"/>
    <mergeCell ref="T67:AA67"/>
    <mergeCell ref="F133:T133"/>
    <mergeCell ref="AE51:AO51"/>
    <mergeCell ref="D128:E128"/>
    <mergeCell ref="F135:T135"/>
    <mergeCell ref="F122:T122"/>
    <mergeCell ref="P105:Z105"/>
    <mergeCell ref="G72:AH72"/>
    <mergeCell ref="G51:X51"/>
    <mergeCell ref="D23:H24"/>
    <mergeCell ref="T61:AA61"/>
    <mergeCell ref="AB66:AC66"/>
    <mergeCell ref="AD66:AE66"/>
    <mergeCell ref="O70:P70"/>
    <mergeCell ref="AB68:AC68"/>
    <mergeCell ref="V133:W133"/>
    <mergeCell ref="AP76:AT76"/>
    <mergeCell ref="V125:AL125"/>
    <mergeCell ref="A30:B48"/>
    <mergeCell ref="J27:N28"/>
    <mergeCell ref="V135:W135"/>
    <mergeCell ref="D14:F15"/>
    <mergeCell ref="P86:Z89"/>
    <mergeCell ref="G14:X14"/>
    <mergeCell ref="AH3:AT3"/>
    <mergeCell ref="L19:R19"/>
    <mergeCell ref="D31:H32"/>
    <mergeCell ref="AF132:AL132"/>
    <mergeCell ref="AH11:AL11"/>
    <mergeCell ref="AI61:AR62"/>
    <mergeCell ref="M61:N61"/>
    <mergeCell ref="X135:AC135"/>
    <mergeCell ref="P23:AD24"/>
    <mergeCell ref="Q75:U75"/>
    <mergeCell ref="AD68:AE68"/>
    <mergeCell ref="AD67:AE67"/>
    <mergeCell ref="AD132:AE132"/>
    <mergeCell ref="D84:N84"/>
    <mergeCell ref="D22:N22"/>
    <mergeCell ref="AD69:AE69"/>
    <mergeCell ref="P107:Z110"/>
    <mergeCell ref="AM31:AR31"/>
    <mergeCell ref="D34:AT34"/>
    <mergeCell ref="AM26:AR26"/>
    <mergeCell ref="X130:AL130"/>
    <mergeCell ref="AI67:AR68"/>
    <mergeCell ref="M62:N62"/>
    <mergeCell ref="AK54:AT54"/>
    <mergeCell ref="O66:P66"/>
    <mergeCell ref="D112:F113"/>
    <mergeCell ref="AF133:AL133"/>
    <mergeCell ref="O68:P68"/>
    <mergeCell ref="AF135:AL135"/>
    <mergeCell ref="J79:L79"/>
    <mergeCell ref="D51:F52"/>
    <mergeCell ref="M64:N64"/>
    <mergeCell ref="J31:N32"/>
    <mergeCell ref="E63:L63"/>
    <mergeCell ref="M65:N65"/>
    <mergeCell ref="D40:M40"/>
    <mergeCell ref="AD133:AE133"/>
    <mergeCell ref="AD135:AE135"/>
    <mergeCell ref="D86:N89"/>
    <mergeCell ref="G57:AD57"/>
    <mergeCell ref="T19:Z19"/>
    <mergeCell ref="D105:N105"/>
    <mergeCell ref="X133:AC133"/>
    <mergeCell ref="F125:T125"/>
    <mergeCell ref="D120:E120"/>
    <mergeCell ref="AD65:AE65"/>
    <mergeCell ref="V127:AL127"/>
    <mergeCell ref="F120:T120"/>
    <mergeCell ref="D57:F58"/>
    <mergeCell ref="AC77:AI77"/>
    <mergeCell ref="O54:X54"/>
    <mergeCell ref="D48:M48"/>
    <mergeCell ref="D133:E133"/>
    <mergeCell ref="E66:L66"/>
    <mergeCell ref="Z39:AI39"/>
    <mergeCell ref="V77:X77"/>
    <mergeCell ref="E68:L68"/>
    <mergeCell ref="E67:L67"/>
    <mergeCell ref="D3:Z4"/>
    <mergeCell ref="D17:J18"/>
    <mergeCell ref="F115:T115"/>
    <mergeCell ref="AK53:AT53"/>
    <mergeCell ref="V115:AL115"/>
    <mergeCell ref="V123:AL123"/>
    <mergeCell ref="AB98:AL98"/>
    <mergeCell ref="Q74:U74"/>
    <mergeCell ref="D121:E121"/>
    <mergeCell ref="AJ19:AP19"/>
    <mergeCell ref="X11:AF11"/>
    <mergeCell ref="O44:X44"/>
    <mergeCell ref="V118:AL118"/>
    <mergeCell ref="Q76:U76"/>
    <mergeCell ref="F128:T128"/>
    <mergeCell ref="D123:E123"/>
    <mergeCell ref="E75:I75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7:D135" showDropDown="0" showInputMessage="0" showErrorMessage="0" allowBlank="1" type="list">
      <formula1>"0,1,2,3,4,5,6,7,Lib. Max.,Téc. Max."</formula1>
    </dataValidation>
    <dataValidation sqref="V132:V135 AD132:AD135" showDropDown="0" showInputMessage="0" showErrorMessage="0" allowBlank="1" type="list">
      <formula1>"0,1,2,3"</formula1>
    </dataValidation>
    <dataValidation sqref="J74:J79 V74:V78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4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94" t="inlineStr">
        <is>
          <t>VERSÃO DO CATÁLOGO</t>
        </is>
      </c>
      <c r="B1" s="95" t="n">
        <v>104</v>
      </c>
      <c r="C1" s="96" t="inlineStr">
        <is>
          <t>versão corrente (puxada da central)</t>
        </is>
      </c>
      <c r="D1" s="95" t="n">
        <v>104</v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96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97" t="inlineStr">
        <is>
          <t>Caminhos</t>
        </is>
      </c>
      <c r="B3" s="97" t="inlineStr">
        <is>
          <t>Perícias</t>
        </is>
      </c>
      <c r="C3" s="97" t="inlineStr">
        <is>
          <t>Ofícios</t>
        </is>
      </c>
      <c r="D3" s="97" t="inlineStr">
        <is>
          <t>Famílias</t>
        </is>
      </c>
      <c r="E3" s="97" t="inlineStr">
        <is>
          <t>Formas</t>
        </is>
      </c>
      <c r="F3" s="97" t="inlineStr">
        <is>
          <t>Melhorias</t>
        </is>
      </c>
      <c r="G3" s="97" t="inlineStr">
        <is>
          <t>Restrições</t>
        </is>
      </c>
      <c r="H3" s="97" t="inlineStr">
        <is>
          <t>Condições</t>
        </is>
      </c>
      <c r="I3" s="97" t="inlineStr">
        <is>
          <t>Origens</t>
        </is>
      </c>
      <c r="J3" s="97" t="inlineStr">
        <is>
          <t>Testes</t>
        </is>
      </c>
      <c r="K3" s="97" t="inlineStr">
        <is>
          <t>Atributos</t>
        </is>
      </c>
      <c r="L3" s="97" t="inlineStr">
        <is>
          <t>Trilhas</t>
        </is>
      </c>
      <c r="M3" s="40" t="n"/>
      <c r="N3" s="97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98" t="inlineStr">
        <is>
          <t>Bastião</t>
        </is>
      </c>
      <c r="B4" s="98" t="inlineStr">
        <is>
          <t>Atletismo</t>
        </is>
      </c>
      <c r="C4" s="98" t="inlineStr">
        <is>
          <t>Condução</t>
        </is>
      </c>
      <c r="D4" s="98" t="inlineStr">
        <is>
          <t>Alcance</t>
        </is>
      </c>
      <c r="E4" s="98" t="inlineStr">
        <is>
          <t>Projétil</t>
        </is>
      </c>
      <c r="F4" s="98" t="inlineStr">
        <is>
          <t>Longe</t>
        </is>
      </c>
      <c r="G4" s="98" t="inlineStr">
        <is>
          <t>Corpo a Corpo</t>
        </is>
      </c>
      <c r="H4" s="98" t="inlineStr">
        <is>
          <t>Lento</t>
        </is>
      </c>
      <c r="I4" s="98" t="inlineStr">
        <is>
          <t>Latente</t>
        </is>
      </c>
      <c r="J4" s="98" t="inlineStr">
        <is>
          <t>Físico</t>
        </is>
      </c>
      <c r="K4" s="98" t="inlineStr">
        <is>
          <t>lista</t>
        </is>
      </c>
      <c r="L4" s="98" t="inlineStr">
        <is>
          <t>Muro</t>
        </is>
      </c>
      <c r="M4" s="40" t="n"/>
      <c r="N4" s="99" t="inlineStr">
        <is>
          <t>Caminho</t>
        </is>
      </c>
      <c r="O4" s="99" t="inlineStr">
        <is>
          <t>dado</t>
        </is>
      </c>
      <c r="P4" s="99" t="inlineStr">
        <is>
          <t>vida inicial</t>
        </is>
      </c>
      <c r="Q4" s="99" t="inlineStr">
        <is>
          <t>vida por nível</t>
        </is>
      </c>
      <c r="R4" s="99" t="inlineStr">
        <is>
          <t>PE por nível</t>
        </is>
      </c>
      <c r="S4" s="99" t="inlineStr">
        <is>
          <t>perícia fixa 1</t>
        </is>
      </c>
      <c r="T4" s="99" t="inlineStr">
        <is>
          <t>perícia fixa 2</t>
        </is>
      </c>
      <c r="U4" s="99" t="inlineStr">
        <is>
          <t>ofício fixo</t>
        </is>
      </c>
      <c r="V4" s="40" t="n"/>
      <c r="W4" s="99" t="inlineStr">
        <is>
          <t>marcos</t>
        </is>
      </c>
      <c r="X4" s="99" t="inlineStr">
        <is>
          <t>maestria</t>
        </is>
      </c>
      <c r="Y4" s="99" t="inlineStr">
        <is>
          <t>classe</t>
        </is>
      </c>
      <c r="Z4" s="99" t="inlineStr">
        <is>
          <t>classe 0</t>
        </is>
      </c>
      <c r="AA4" s="40" t="n"/>
      <c r="AB4" s="99" t="inlineStr">
        <is>
          <t>perícia</t>
        </is>
      </c>
      <c r="AC4" s="99" t="inlineStr">
        <is>
          <t>atributo</t>
        </is>
      </c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99" t="inlineStr">
        <is>
          <t>campo</t>
        </is>
      </c>
      <c r="BB4" s="99" t="inlineStr">
        <is>
          <t>célula</t>
        </is>
      </c>
    </row>
    <row r="5" ht="17.25" customHeight="1">
      <c r="A5" s="98" t="inlineStr">
        <is>
          <t>Vanguarda</t>
        </is>
      </c>
      <c r="B5" s="98" t="inlineStr">
        <is>
          <t>Acrobacia</t>
        </is>
      </c>
      <c r="C5" s="98" t="inlineStr">
        <is>
          <t>Arrombamento</t>
        </is>
      </c>
      <c r="D5" s="98" t="inlineStr">
        <is>
          <t>Área</t>
        </is>
      </c>
      <c r="E5" s="98" t="inlineStr">
        <is>
          <t>Toque</t>
        </is>
      </c>
      <c r="F5" s="98" t="inlineStr">
        <is>
          <t>Muito Longe</t>
        </is>
      </c>
      <c r="G5" s="98" t="inlineStr">
        <is>
          <t>Lento</t>
        </is>
      </c>
      <c r="H5" s="98" t="inlineStr">
        <is>
          <t>Incapacitado</t>
        </is>
      </c>
      <c r="I5" s="98" t="inlineStr">
        <is>
          <t>Receptáculo</t>
        </is>
      </c>
      <c r="J5" s="98" t="inlineStr">
        <is>
          <t>Vigor</t>
        </is>
      </c>
      <c r="K5" s="98" t="inlineStr">
        <is>
          <t>escala</t>
        </is>
      </c>
      <c r="L5" s="98" t="inlineStr">
        <is>
          <t>Punho</t>
        </is>
      </c>
      <c r="M5" s="40" t="n"/>
      <c r="N5" s="98" t="inlineStr">
        <is>
          <t>Bastião</t>
        </is>
      </c>
      <c r="O5" s="98" t="inlineStr">
        <is>
          <t>d12</t>
        </is>
      </c>
      <c r="P5" s="98" t="n">
        <v>12</v>
      </c>
      <c r="Q5" s="98" t="n">
        <v>7</v>
      </c>
      <c r="R5" s="98" t="n">
        <v>4</v>
      </c>
      <c r="S5" s="98" t="inlineStr">
        <is>
          <t>Atletismo</t>
        </is>
      </c>
      <c r="T5" s="98" t="inlineStr">
        <is>
          <t>Intimidação</t>
        </is>
      </c>
      <c r="U5" s="98" t="inlineStr">
        <is>
          <t>Forja</t>
        </is>
      </c>
      <c r="V5" s="40" t="n"/>
      <c r="W5" s="100" t="n">
        <v>6</v>
      </c>
      <c r="X5" s="100" t="n">
        <v>10</v>
      </c>
      <c r="Y5" s="100" t="n">
        <v>1</v>
      </c>
      <c r="Z5" s="100" t="n">
        <v>5</v>
      </c>
      <c r="AA5" s="40" t="n"/>
      <c r="AB5" s="98" t="inlineStr">
        <is>
          <t>Atletismo</t>
        </is>
      </c>
      <c r="AC5" s="98" t="inlineStr">
        <is>
          <t>Força</t>
        </is>
      </c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98" t="inlineStr">
        <is>
          <t>nome</t>
        </is>
      </c>
      <c r="BB5" s="98" t="inlineStr">
        <is>
          <t>D3</t>
        </is>
      </c>
    </row>
    <row r="6" ht="17.25" customHeight="1">
      <c r="A6" s="98" t="inlineStr">
        <is>
          <t>Guia</t>
        </is>
      </c>
      <c r="B6" s="98" t="inlineStr">
        <is>
          <t>Furtividade</t>
        </is>
      </c>
      <c r="C6" s="98" t="inlineStr">
        <is>
          <t>Herbalismo</t>
        </is>
      </c>
      <c r="D6" s="98" t="inlineStr">
        <is>
          <t>Mira</t>
        </is>
      </c>
      <c r="E6" s="98" t="inlineStr">
        <is>
          <t>Explosão</t>
        </is>
      </c>
      <c r="F6" s="98" t="inlineStr">
        <is>
          <t>Sem Ver</t>
        </is>
      </c>
      <c r="G6" s="98" t="inlineStr">
        <is>
          <t>Parado</t>
        </is>
      </c>
      <c r="H6" s="98" t="inlineStr">
        <is>
          <t>Derrubado</t>
        </is>
      </c>
      <c r="I6" s="98" t="inlineStr">
        <is>
          <t>Descendente</t>
        </is>
      </c>
      <c r="J6" s="98" t="inlineStr">
        <is>
          <t>Intelecto</t>
        </is>
      </c>
      <c r="K6" s="98" t="inlineStr">
        <is>
          <t>criacao</t>
        </is>
      </c>
      <c r="L6" s="98" t="inlineStr">
        <is>
          <t>Brasa</t>
        </is>
      </c>
      <c r="M6" s="40" t="n"/>
      <c r="N6" s="98" t="inlineStr">
        <is>
          <t>Vanguarda</t>
        </is>
      </c>
      <c r="O6" s="98" t="inlineStr">
        <is>
          <t>d8</t>
        </is>
      </c>
      <c r="P6" s="98" t="n">
        <v>8</v>
      </c>
      <c r="Q6" s="98" t="n">
        <v>5</v>
      </c>
      <c r="R6" s="98" t="n">
        <v>5</v>
      </c>
      <c r="S6" s="98" t="inlineStr">
        <is>
          <t>Acrobacia</t>
        </is>
      </c>
      <c r="T6" s="98" t="inlineStr">
        <is>
          <t>Percepção</t>
        </is>
      </c>
      <c r="U6" s="98" t="inlineStr">
        <is>
          <t>Arrombamento</t>
        </is>
      </c>
      <c r="V6" s="40" t="n"/>
      <c r="W6" s="100" t="n">
        <v>10</v>
      </c>
      <c r="X6" s="100" t="n">
        <v>18</v>
      </c>
      <c r="Y6" s="100" t="n">
        <v>5</v>
      </c>
      <c r="Z6" s="100" t="n">
        <v>11</v>
      </c>
      <c r="AA6" s="40" t="n"/>
      <c r="AB6" s="98" t="inlineStr">
        <is>
          <t>Acrobacia</t>
        </is>
      </c>
      <c r="AC6" s="98" t="inlineStr">
        <is>
          <t>Destreza</t>
        </is>
      </c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98" t="inlineStr">
        <is>
          <t>caminho</t>
        </is>
      </c>
      <c r="BB6" s="98" t="inlineStr">
        <is>
          <t>D11</t>
        </is>
      </c>
    </row>
    <row r="7" ht="17.25" customHeight="1">
      <c r="A7" s="98" t="inlineStr">
        <is>
          <t>Emanador</t>
        </is>
      </c>
      <c r="B7" s="98" t="inlineStr">
        <is>
          <t>Pontaria</t>
        </is>
      </c>
      <c r="C7" s="98" t="inlineStr">
        <is>
          <t>Forja</t>
        </is>
      </c>
      <c r="D7" s="98" t="inlineStr">
        <is>
          <t>Controle</t>
        </is>
      </c>
      <c r="E7" s="98" t="inlineStr">
        <is>
          <t>Aura</t>
        </is>
      </c>
      <c r="F7" s="98" t="inlineStr">
        <is>
          <t>Passo</t>
        </is>
      </c>
      <c r="G7" s="98" t="inlineStr">
        <is>
          <t>Gesto</t>
        </is>
      </c>
      <c r="H7" s="98" t="inlineStr">
        <is>
          <t>Agarrado</t>
        </is>
      </c>
      <c r="I7" s="98" t="inlineStr">
        <is>
          <t>Reencarnado</t>
        </is>
      </c>
      <c r="J7" s="98" t="inlineStr">
        <is>
          <t>Espírito</t>
        </is>
      </c>
      <c r="K7" s="98" t="inlineStr">
        <is>
          <t>nota</t>
        </is>
      </c>
      <c r="L7" s="98" t="inlineStr">
        <is>
          <t>Estocada</t>
        </is>
      </c>
      <c r="M7" s="40" t="n"/>
      <c r="N7" s="98" t="inlineStr">
        <is>
          <t>Guia</t>
        </is>
      </c>
      <c r="O7" s="98" t="inlineStr">
        <is>
          <t>d8</t>
        </is>
      </c>
      <c r="P7" s="98" t="n">
        <v>8</v>
      </c>
      <c r="Q7" s="98" t="n">
        <v>5</v>
      </c>
      <c r="R7" s="98" t="n">
        <v>5</v>
      </c>
      <c r="S7" s="98" t="inlineStr">
        <is>
          <t>Persuasão</t>
        </is>
      </c>
      <c r="T7" s="98" t="inlineStr">
        <is>
          <t>Medicina</t>
        </is>
      </c>
      <c r="U7" s="98" t="inlineStr">
        <is>
          <t>Herbalismo</t>
        </is>
      </c>
      <c r="V7" s="40" t="n"/>
      <c r="W7" s="100" t="n">
        <v>14</v>
      </c>
      <c r="X7" s="100" t="n">
        <v>26</v>
      </c>
      <c r="Y7" s="100" t="n">
        <v>9</v>
      </c>
      <c r="Z7" s="100" t="n">
        <v>17</v>
      </c>
      <c r="AA7" s="40" t="n"/>
      <c r="AB7" s="98" t="inlineStr">
        <is>
          <t>Furtividade</t>
        </is>
      </c>
      <c r="AC7" s="98" t="inlineStr">
        <is>
          <t>Destreza</t>
        </is>
      </c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98" t="inlineStr">
        <is>
          <t>trilha</t>
        </is>
      </c>
      <c r="BB7" s="98" t="inlineStr">
        <is>
          <t>N11</t>
        </is>
      </c>
    </row>
    <row r="8" ht="17.25" customHeight="1">
      <c r="A8" s="98" t="inlineStr">
        <is>
          <t>Evocador</t>
        </is>
      </c>
      <c r="B8" s="98" t="inlineStr">
        <is>
          <t>Prestidigitação</t>
        </is>
      </c>
      <c r="C8" s="98" t="inlineStr">
        <is>
          <t>Caligrafia</t>
        </is>
      </c>
      <c r="D8" s="98" t="inlineStr">
        <is>
          <t>Auxiliares</t>
        </is>
      </c>
      <c r="E8" s="98" t="inlineStr">
        <is>
          <t>Cone</t>
        </is>
      </c>
      <c r="F8" s="98" t="inlineStr">
        <is>
          <t>Empurrão</t>
        </is>
      </c>
      <c r="G8" s="98" t="inlineStr">
        <is>
          <t>Sangra</t>
        </is>
      </c>
      <c r="H8" s="98" t="inlineStr">
        <is>
          <t>Desarmado</t>
        </is>
      </c>
      <c r="I8" s="98" t="inlineStr">
        <is>
          <t>Feto</t>
        </is>
      </c>
      <c r="J8" s="40" t="n"/>
      <c r="K8" s="98" t="inlineStr">
        <is>
          <t>pagina</t>
        </is>
      </c>
      <c r="L8" s="98" t="inlineStr">
        <is>
          <t>Batedor</t>
        </is>
      </c>
      <c r="M8" s="40" t="n"/>
      <c r="N8" s="98" t="inlineStr">
        <is>
          <t>Evocador</t>
        </is>
      </c>
      <c r="O8" s="98" t="inlineStr">
        <is>
          <t>d6</t>
        </is>
      </c>
      <c r="P8" s="98" t="n">
        <v>6</v>
      </c>
      <c r="Q8" s="98" t="n">
        <v>4</v>
      </c>
      <c r="R8" s="98" t="n">
        <v>6</v>
      </c>
      <c r="S8" s="98" t="inlineStr">
        <is>
          <t>Religião</t>
        </is>
      </c>
      <c r="T8" s="98" t="inlineStr">
        <is>
          <t>Lidar com Animais</t>
        </is>
      </c>
      <c r="U8" s="98" t="inlineStr">
        <is>
          <t>Entalhador</t>
        </is>
      </c>
      <c r="V8" s="40" t="n"/>
      <c r="W8" s="100" t="n">
        <v>18</v>
      </c>
      <c r="X8" s="40" t="n"/>
      <c r="Y8" s="100" t="n">
        <v>13</v>
      </c>
      <c r="Z8" s="40" t="n"/>
      <c r="AA8" s="40" t="n"/>
      <c r="AB8" s="98" t="inlineStr">
        <is>
          <t>Pontaria</t>
        </is>
      </c>
      <c r="AC8" s="98" t="inlineStr">
        <is>
          <t>Destreza</t>
        </is>
      </c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98" t="inlineStr">
        <is>
          <t>origem</t>
        </is>
      </c>
      <c r="BB8" s="98" t="inlineStr">
        <is>
          <t>X11</t>
        </is>
      </c>
    </row>
    <row r="9" ht="17.25" customHeight="1">
      <c r="A9" s="40" t="n"/>
      <c r="B9" s="98" t="inlineStr">
        <is>
          <t>Investigação</t>
        </is>
      </c>
      <c r="C9" s="98" t="inlineStr">
        <is>
          <t>Burocracia</t>
        </is>
      </c>
      <c r="D9" s="98" t="inlineStr">
        <is>
          <t>Castigo</t>
        </is>
      </c>
      <c r="E9" s="98" t="inlineStr">
        <is>
          <t>Linha</t>
        </is>
      </c>
      <c r="F9" s="98" t="inlineStr">
        <is>
          <t>Troca</t>
        </is>
      </c>
      <c r="G9" s="98" t="inlineStr">
        <is>
          <t>Recuo</t>
        </is>
      </c>
      <c r="H9" s="98" t="inlineStr">
        <is>
          <t>Surdo</t>
        </is>
      </c>
      <c r="I9" s="98" t="inlineStr">
        <is>
          <t>Corpo Amaldiçoado</t>
        </is>
      </c>
      <c r="J9" s="40" t="n"/>
      <c r="K9" s="40" t="n"/>
      <c r="L9" s="98" t="inlineStr">
        <is>
          <t>Executor</t>
        </is>
      </c>
      <c r="M9" s="40" t="n"/>
      <c r="N9" s="98" t="inlineStr">
        <is>
          <t>Emanador</t>
        </is>
      </c>
      <c r="O9" s="98" t="inlineStr">
        <is>
          <t>d6</t>
        </is>
      </c>
      <c r="P9" s="98" t="n">
        <v>6</v>
      </c>
      <c r="Q9" s="98" t="n">
        <v>4</v>
      </c>
      <c r="R9" s="98" t="n">
        <v>6</v>
      </c>
      <c r="S9" s="98" t="inlineStr">
        <is>
          <t>Ocultismo</t>
        </is>
      </c>
      <c r="T9" s="98" t="inlineStr">
        <is>
          <t>Investigação</t>
        </is>
      </c>
      <c r="U9" s="98" t="inlineStr">
        <is>
          <t>Caligrafia</t>
        </is>
      </c>
      <c r="V9" s="40" t="n"/>
      <c r="W9" s="100" t="n">
        <v>22</v>
      </c>
      <c r="X9" s="40" t="n"/>
      <c r="Y9" s="100" t="n">
        <v>17</v>
      </c>
      <c r="Z9" s="40" t="n"/>
      <c r="AA9" s="40" t="n"/>
      <c r="AB9" s="98" t="inlineStr">
        <is>
          <t>Prestidigitação</t>
        </is>
      </c>
      <c r="AC9" s="98" t="inlineStr">
        <is>
          <t>Destreza</t>
        </is>
      </c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98" t="inlineStr">
        <is>
          <t>nivel</t>
        </is>
      </c>
      <c r="BB9" s="98" t="inlineStr">
        <is>
          <t>AH11</t>
        </is>
      </c>
    </row>
    <row r="10" ht="17.25" customHeight="1">
      <c r="A10" s="40" t="n"/>
      <c r="B10" s="98" t="inlineStr">
        <is>
          <t>Intuição</t>
        </is>
      </c>
      <c r="C10" s="98" t="inlineStr">
        <is>
          <t>Entalhador</t>
        </is>
      </c>
      <c r="D10" s="98" t="inlineStr">
        <is>
          <t>Tempo</t>
        </is>
      </c>
      <c r="E10" s="98" t="inlineStr">
        <is>
          <t>Cura</t>
        </is>
      </c>
      <c r="F10" s="98" t="inlineStr">
        <is>
          <t>Perseguir</t>
        </is>
      </c>
      <c r="G10" s="98" t="inlineStr">
        <is>
          <t>Carregar</t>
        </is>
      </c>
      <c r="H10" s="98" t="inlineStr">
        <is>
          <t>Calado</t>
        </is>
      </c>
      <c r="I10" s="98" t="inlineStr">
        <is>
          <t>Restrição Celestial</t>
        </is>
      </c>
      <c r="J10" s="40" t="n"/>
      <c r="K10" s="40" t="n"/>
      <c r="L10" s="98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00" t="n">
        <v>26</v>
      </c>
      <c r="X10" s="40" t="n"/>
      <c r="Y10" s="100" t="n">
        <v>21</v>
      </c>
      <c r="Z10" s="40" t="n"/>
      <c r="AA10" s="40" t="n"/>
      <c r="AB10" s="98" t="inlineStr">
        <is>
          <t>Investigação</t>
        </is>
      </c>
      <c r="AC10" s="98" t="inlineStr">
        <is>
          <t>Inteligência</t>
        </is>
      </c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98" t="inlineStr">
        <is>
          <t>xp</t>
        </is>
      </c>
      <c r="BB10" s="98" t="inlineStr">
        <is>
          <t>AN11</t>
        </is>
      </c>
    </row>
    <row r="11" ht="17.25" customHeight="1">
      <c r="A11" s="40" t="n"/>
      <c r="B11" s="98" t="inlineStr">
        <is>
          <t>Ocultismo</t>
        </is>
      </c>
      <c r="C11" s="98" t="inlineStr">
        <is>
          <t>Alfaiate</t>
        </is>
      </c>
      <c r="D11" s="98" t="inlineStr">
        <is>
          <t>Marca</t>
        </is>
      </c>
      <c r="E11" s="98" t="inlineStr">
        <is>
          <t>Apoio</t>
        </is>
      </c>
      <c r="F11" s="98" t="inlineStr">
        <is>
          <t>Maior</t>
        </is>
      </c>
      <c r="G11" s="98" t="inlineStr">
        <is>
          <t>Tudo ou Nada</t>
        </is>
      </c>
      <c r="H11" s="98" t="inlineStr">
        <is>
          <t>Enfeitiçado</t>
        </is>
      </c>
      <c r="I11" s="40" t="n"/>
      <c r="J11" s="40" t="n"/>
      <c r="K11" s="40" t="n"/>
      <c r="L11" s="98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00" t="n">
        <v>30</v>
      </c>
      <c r="X11" s="40" t="n"/>
      <c r="Y11" s="100" t="n">
        <v>26</v>
      </c>
      <c r="Z11" s="40" t="n"/>
      <c r="AA11" s="40" t="n"/>
      <c r="AB11" s="98" t="inlineStr">
        <is>
          <t>Intuição</t>
        </is>
      </c>
      <c r="AC11" s="98" t="inlineStr">
        <is>
          <t>Inteligência</t>
        </is>
      </c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98" t="inlineStr">
        <is>
          <t>atr_Força</t>
        </is>
      </c>
      <c r="BB11" s="98" t="inlineStr">
        <is>
          <t>D17</t>
        </is>
      </c>
    </row>
    <row r="12" ht="17.25" customHeight="1">
      <c r="A12" s="40" t="n"/>
      <c r="B12" s="98" t="inlineStr">
        <is>
          <t>Religião</t>
        </is>
      </c>
      <c r="C12" s="98" t="inlineStr">
        <is>
          <t>Culinária</t>
        </is>
      </c>
      <c r="D12" s="98" t="inlineStr">
        <is>
          <t>Amparo</t>
        </is>
      </c>
      <c r="E12" s="98" t="inlineStr">
        <is>
          <t>Onda</t>
        </is>
      </c>
      <c r="F12" s="98" t="inlineStr">
        <is>
          <t>Muito Maior</t>
        </is>
      </c>
      <c r="G12" s="98" t="inlineStr">
        <is>
          <t>Uma Vez</t>
        </is>
      </c>
      <c r="H12" s="98" t="inlineStr">
        <is>
          <t>Petrificado</t>
        </is>
      </c>
      <c r="I12" s="40" t="n"/>
      <c r="J12" s="40" t="n"/>
      <c r="K12" s="40" t="n"/>
      <c r="L12" s="98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98" t="inlineStr">
        <is>
          <t>Ocultismo</t>
        </is>
      </c>
      <c r="AC12" s="98" t="inlineStr">
        <is>
          <t>Inteligência</t>
        </is>
      </c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98" t="inlineStr">
        <is>
          <t>atr_Destreza</t>
        </is>
      </c>
      <c r="BB12" s="98" t="inlineStr">
        <is>
          <t>L17</t>
        </is>
      </c>
    </row>
    <row r="13" ht="17.25" customHeight="1">
      <c r="A13" s="40" t="n"/>
      <c r="B13" s="98" t="inlineStr">
        <is>
          <t>História</t>
        </is>
      </c>
      <c r="C13" s="98" t="inlineStr">
        <is>
          <t>Instrumento</t>
        </is>
      </c>
      <c r="D13" s="40" t="n"/>
      <c r="E13" s="98" t="inlineStr">
        <is>
          <t>Efeito</t>
        </is>
      </c>
      <c r="F13" s="98" t="inlineStr">
        <is>
          <t>Escolher</t>
        </is>
      </c>
      <c r="G13" s="98" t="inlineStr">
        <is>
          <t>Condicional</t>
        </is>
      </c>
      <c r="H13" s="98" t="inlineStr">
        <is>
          <t>Impedido</t>
        </is>
      </c>
      <c r="I13" s="40" t="n"/>
      <c r="J13" s="40" t="n"/>
      <c r="K13" s="40" t="n"/>
      <c r="L13" s="98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98" t="inlineStr">
        <is>
          <t>Religião</t>
        </is>
      </c>
      <c r="AC13" s="98" t="inlineStr">
        <is>
          <t>Inteligência</t>
        </is>
      </c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98" t="inlineStr">
        <is>
          <t>atr_Constituição</t>
        </is>
      </c>
      <c r="BB13" s="98" t="inlineStr">
        <is>
          <t>T17</t>
        </is>
      </c>
    </row>
    <row r="14" ht="17.25" customHeight="1">
      <c r="A14" s="40" t="n"/>
      <c r="B14" s="98" t="inlineStr">
        <is>
          <t>Hierarquia</t>
        </is>
      </c>
      <c r="C14" s="98" t="inlineStr">
        <is>
          <t>Jogatina</t>
        </is>
      </c>
      <c r="D14" s="40" t="n"/>
      <c r="E14" s="40" t="n"/>
      <c r="F14" s="98" t="inlineStr">
        <is>
          <t>Fica</t>
        </is>
      </c>
      <c r="G14" s="98" t="inlineStr">
        <is>
          <t>Fraqueza</t>
        </is>
      </c>
      <c r="H14" s="98" t="inlineStr">
        <is>
          <t>Cego</t>
        </is>
      </c>
      <c r="I14" s="40" t="n"/>
      <c r="J14" s="40" t="n"/>
      <c r="K14" s="40" t="n"/>
      <c r="L14" s="98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98" t="inlineStr">
        <is>
          <t>História</t>
        </is>
      </c>
      <c r="AC14" s="98" t="inlineStr">
        <is>
          <t>Inteligência</t>
        </is>
      </c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98" t="inlineStr">
        <is>
          <t>atr_Inteligência</t>
        </is>
      </c>
      <c r="BB14" s="98" t="inlineStr">
        <is>
          <t>AB17</t>
        </is>
      </c>
    </row>
    <row r="15" ht="17.25" customHeight="1">
      <c r="A15" s="40" t="n"/>
      <c r="B15" s="98" t="inlineStr">
        <is>
          <t>Medicina</t>
        </is>
      </c>
      <c r="C15" s="40" t="n"/>
      <c r="D15" s="40" t="n"/>
      <c r="E15" s="40" t="n"/>
      <c r="F15" s="98" t="inlineStr">
        <is>
          <t>Mais Um</t>
        </is>
      </c>
      <c r="G15" s="98" t="inlineStr">
        <is>
          <t>Frágil</t>
        </is>
      </c>
      <c r="H15" s="98" t="inlineStr">
        <is>
          <t>Amedrontado</t>
        </is>
      </c>
      <c r="I15" s="40" t="n"/>
      <c r="J15" s="40" t="n"/>
      <c r="K15" s="40" t="n"/>
      <c r="L15" s="98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98" t="inlineStr">
        <is>
          <t>Hierarquia</t>
        </is>
      </c>
      <c r="AC15" s="98" t="inlineStr">
        <is>
          <t>Inteligência</t>
        </is>
      </c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98" t="inlineStr">
        <is>
          <t>atr_Essência</t>
        </is>
      </c>
      <c r="BB15" s="98" t="inlineStr">
        <is>
          <t>AJ17</t>
        </is>
      </c>
    </row>
    <row r="16" ht="17.25" customHeight="1">
      <c r="A16" s="40" t="n"/>
      <c r="B16" s="98" t="inlineStr">
        <is>
          <t>Sobrevivência</t>
        </is>
      </c>
      <c r="C16" s="40" t="n"/>
      <c r="D16" s="40" t="n"/>
      <c r="E16" s="40" t="n"/>
      <c r="F16" s="98" t="inlineStr">
        <is>
          <t>Rajada</t>
        </is>
      </c>
      <c r="G16" s="98" t="inlineStr">
        <is>
          <t>Barulho</t>
        </is>
      </c>
      <c r="H16" s="98" t="inlineStr">
        <is>
          <t>Envenenado</t>
        </is>
      </c>
      <c r="I16" s="40" t="n"/>
      <c r="J16" s="40" t="n"/>
      <c r="K16" s="40" t="n"/>
      <c r="L16" s="98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98" t="inlineStr">
        <is>
          <t>Medicina</t>
        </is>
      </c>
      <c r="AC16" s="98" t="inlineStr">
        <is>
          <t>Inteligência</t>
        </is>
      </c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98" t="inlineStr">
        <is>
          <t>vida</t>
        </is>
      </c>
      <c r="BB16" s="98" t="inlineStr">
        <is>
          <t>D23</t>
        </is>
      </c>
    </row>
    <row r="17" ht="17.25" customHeight="1">
      <c r="A17" s="40" t="n"/>
      <c r="B17" s="98" t="inlineStr">
        <is>
          <t>Natureza</t>
        </is>
      </c>
      <c r="C17" s="40" t="n"/>
      <c r="D17" s="40" t="n"/>
      <c r="E17" s="40" t="n"/>
      <c r="F17" s="98" t="inlineStr">
        <is>
          <t>Salto</t>
        </is>
      </c>
      <c r="G17" s="98" t="inlineStr">
        <is>
          <t>Assinatura</t>
        </is>
      </c>
      <c r="H17" s="98" t="inlineStr">
        <is>
          <t>Atordoado</t>
        </is>
      </c>
      <c r="I17" s="40" t="n"/>
      <c r="J17" s="40" t="n"/>
      <c r="K17" s="40" t="n"/>
      <c r="L17" s="98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98" t="inlineStr">
        <is>
          <t>Sobrevivência</t>
        </is>
      </c>
      <c r="AC17" s="98" t="inlineStr">
        <is>
          <t>Inteligência</t>
        </is>
      </c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98" t="inlineStr">
        <is>
          <t>vida_max</t>
        </is>
      </c>
      <c r="BB17" s="98" t="inlineStr">
        <is>
          <t>J23</t>
        </is>
      </c>
    </row>
    <row r="18" ht="17.25" customHeight="1">
      <c r="A18" s="40" t="n"/>
      <c r="B18" s="98" t="inlineStr">
        <is>
          <t>Lidar com Animais</t>
        </is>
      </c>
      <c r="C18" s="40" t="n"/>
      <c r="D18" s="40" t="n"/>
      <c r="E18" s="40" t="n"/>
      <c r="F18" s="98" t="inlineStr">
        <is>
          <t>Contorno</t>
        </is>
      </c>
      <c r="G18" s="98" t="inlineStr">
        <is>
          <t>Aquecer</t>
        </is>
      </c>
      <c r="H18" s="40" t="n"/>
      <c r="I18" s="40" t="n"/>
      <c r="J18" s="40" t="n"/>
      <c r="K18" s="40" t="n"/>
      <c r="L18" s="98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98" t="inlineStr">
        <is>
          <t>Natureza</t>
        </is>
      </c>
      <c r="AC18" s="98" t="inlineStr">
        <is>
          <t>Inteligência</t>
        </is>
      </c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98" t="inlineStr">
        <is>
          <t>vida_temp</t>
        </is>
      </c>
      <c r="BB18" s="98" t="inlineStr">
        <is>
          <t>AF23</t>
        </is>
      </c>
    </row>
    <row r="19" ht="17.25" customHeight="1">
      <c r="A19" s="40" t="n"/>
      <c r="B19" s="98" t="inlineStr">
        <is>
          <t>Tecnologia</t>
        </is>
      </c>
      <c r="C19" s="40" t="n"/>
      <c r="D19" s="40" t="n"/>
      <c r="E19" s="40" t="n"/>
      <c r="F19" s="98" t="inlineStr">
        <is>
          <t>Precisão</t>
        </is>
      </c>
      <c r="G19" s="98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98" t="inlineStr">
        <is>
          <t>Lidar com Animais</t>
        </is>
      </c>
      <c r="AC19" s="98" t="inlineStr">
        <is>
          <t>Inteligência</t>
        </is>
      </c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98" t="inlineStr">
        <is>
          <t>vida_delta</t>
        </is>
      </c>
      <c r="BB19" s="98" t="inlineStr">
        <is>
          <t>AM23</t>
        </is>
      </c>
    </row>
    <row r="20" ht="17.25" customHeight="1">
      <c r="A20" s="40" t="n"/>
      <c r="B20" s="98" t="inlineStr">
        <is>
          <t>Sentir Energia</t>
        </is>
      </c>
      <c r="C20" s="40" t="n"/>
      <c r="D20" s="40" t="n"/>
      <c r="E20" s="40" t="n"/>
      <c r="F20" s="98" t="inlineStr">
        <is>
          <t>Certeiro</t>
        </is>
      </c>
      <c r="G20" s="98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98" t="inlineStr">
        <is>
          <t>Tecnologia</t>
        </is>
      </c>
      <c r="AC20" s="98" t="inlineStr">
        <is>
          <t>Inteligência</t>
        </is>
      </c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98" t="inlineStr">
        <is>
          <t>energia</t>
        </is>
      </c>
      <c r="BB20" s="98" t="inlineStr">
        <is>
          <t>D27</t>
        </is>
      </c>
    </row>
    <row r="21" ht="17.25" customHeight="1">
      <c r="A21" s="40" t="n"/>
      <c r="B21" s="98" t="inlineStr">
        <is>
          <t>Percepção</t>
        </is>
      </c>
      <c r="C21" s="40" t="n"/>
      <c r="D21" s="40" t="n"/>
      <c r="E21" s="40" t="n"/>
      <c r="F21" s="98" t="inlineStr">
        <is>
          <t>Inescapável</t>
        </is>
      </c>
      <c r="G21" s="98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98" t="inlineStr">
        <is>
          <t>Sentir Energia</t>
        </is>
      </c>
      <c r="AC21" s="98" t="inlineStr">
        <is>
          <t>Essência</t>
        </is>
      </c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98" t="inlineStr">
        <is>
          <t>energia_max</t>
        </is>
      </c>
      <c r="BB21" s="98" t="inlineStr">
        <is>
          <t>J27</t>
        </is>
      </c>
    </row>
    <row r="22" ht="17.25" customHeight="1">
      <c r="A22" s="40" t="n"/>
      <c r="B22" s="98" t="inlineStr">
        <is>
          <t>Persuasão</t>
        </is>
      </c>
      <c r="C22" s="40" t="n"/>
      <c r="D22" s="40" t="n"/>
      <c r="E22" s="40" t="n"/>
      <c r="F22" s="98" t="inlineStr">
        <is>
          <t>Fura</t>
        </is>
      </c>
      <c r="G22" s="98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98" t="inlineStr">
        <is>
          <t>Percepção</t>
        </is>
      </c>
      <c r="AC22" s="98" t="inlineStr">
        <is>
          <t>Essência</t>
        </is>
      </c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98" t="inlineStr">
        <is>
          <t>energia_temp</t>
        </is>
      </c>
      <c r="BB22" s="98" t="inlineStr">
        <is>
          <t>AF27</t>
        </is>
      </c>
    </row>
    <row r="23" ht="17.25" customHeight="1">
      <c r="A23" s="40" t="n"/>
      <c r="B23" s="98" t="inlineStr">
        <is>
          <t>Enganação</t>
        </is>
      </c>
      <c r="C23" s="40" t="n"/>
      <c r="D23" s="40" t="n"/>
      <c r="E23" s="40" t="n"/>
      <c r="F23" s="98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98" t="inlineStr">
        <is>
          <t>Persuasão</t>
        </is>
      </c>
      <c r="AC23" s="98" t="inlineStr">
        <is>
          <t>Essência</t>
        </is>
      </c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98" t="inlineStr">
        <is>
          <t>energia_delta</t>
        </is>
      </c>
      <c r="BB23" s="98" t="inlineStr">
        <is>
          <t>AM27</t>
        </is>
      </c>
    </row>
    <row r="24" ht="17.25" customHeight="1">
      <c r="A24" s="40" t="n"/>
      <c r="B24" s="98" t="inlineStr">
        <is>
          <t>Intimidação</t>
        </is>
      </c>
      <c r="C24" s="40" t="n"/>
      <c r="D24" s="40" t="n"/>
      <c r="E24" s="40" t="n"/>
      <c r="F24" s="98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98" t="inlineStr">
        <is>
          <t>Enganação</t>
        </is>
      </c>
      <c r="AC24" s="98" t="inlineStr">
        <is>
          <t>Essência</t>
        </is>
      </c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98" t="inlineStr">
        <is>
          <t>integridade</t>
        </is>
      </c>
      <c r="BB24" s="98" t="inlineStr">
        <is>
          <t>D31</t>
        </is>
      </c>
    </row>
    <row r="25" ht="17.25" customHeight="1">
      <c r="A25" s="40" t="n"/>
      <c r="B25" s="98" t="inlineStr">
        <is>
          <t>Atuação</t>
        </is>
      </c>
      <c r="C25" s="40" t="n"/>
      <c r="D25" s="40" t="n"/>
      <c r="E25" s="40" t="n"/>
      <c r="F25" s="98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98" t="inlineStr">
        <is>
          <t>Intimidação</t>
        </is>
      </c>
      <c r="AC25" s="98" t="inlineStr">
        <is>
          <t>Essência</t>
        </is>
      </c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98" t="inlineStr">
        <is>
          <t>integridade_max</t>
        </is>
      </c>
      <c r="BB25" s="98" t="inlineStr">
        <is>
          <t>J31</t>
        </is>
      </c>
    </row>
    <row r="26" ht="17.25" customHeight="1">
      <c r="A26" s="40" t="n"/>
      <c r="B26" s="98" t="inlineStr">
        <is>
          <t>Provocar</t>
        </is>
      </c>
      <c r="C26" s="40" t="n"/>
      <c r="D26" s="40" t="n"/>
      <c r="E26" s="40" t="n"/>
      <c r="F26" s="98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98" t="inlineStr">
        <is>
          <t>Atuação</t>
        </is>
      </c>
      <c r="AC26" s="98" t="inlineStr">
        <is>
          <t>Essência</t>
        </is>
      </c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98" t="inlineStr">
        <is>
          <t>integridade_temp</t>
        </is>
      </c>
      <c r="BB26" s="98" t="inlineStr">
        <is>
          <t>AF31</t>
        </is>
      </c>
    </row>
    <row r="27" ht="17.25" customHeight="1">
      <c r="A27" s="40" t="n"/>
      <c r="B27" s="40" t="n"/>
      <c r="C27" s="40" t="n"/>
      <c r="D27" s="40" t="n"/>
      <c r="E27" s="40" t="n"/>
      <c r="F27" s="98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98" t="inlineStr">
        <is>
          <t>Provocar</t>
        </is>
      </c>
      <c r="AC27" s="98" t="inlineStr">
        <is>
          <t>Essência</t>
        </is>
      </c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98" t="inlineStr">
        <is>
          <t>integridade_delta</t>
        </is>
      </c>
      <c r="BB27" s="98" t="inlineStr">
        <is>
          <t>AM31</t>
        </is>
      </c>
    </row>
    <row r="28" ht="17.25" customHeight="1">
      <c r="A28" s="40" t="n"/>
      <c r="B28" s="40" t="n"/>
      <c r="C28" s="40" t="n"/>
      <c r="D28" s="40" t="n"/>
      <c r="E28" s="40" t="n"/>
      <c r="F28" s="98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98" t="inlineStr">
        <is>
          <t>estagio_alma</t>
        </is>
      </c>
      <c r="BB28" s="98" t="inlineStr">
        <is>
          <t>D34</t>
        </is>
      </c>
    </row>
    <row r="29" ht="17.25" customHeight="1">
      <c r="A29" s="40" t="n"/>
      <c r="B29" s="40" t="n"/>
      <c r="C29" s="40" t="n"/>
      <c r="D29" s="40" t="n"/>
      <c r="E29" s="40" t="n"/>
      <c r="F29" s="98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98" t="inlineStr">
        <is>
          <t>defesa</t>
        </is>
      </c>
      <c r="BB29" s="98" t="inlineStr">
        <is>
          <t>D40</t>
        </is>
      </c>
    </row>
    <row r="30" ht="17.25" customHeight="1">
      <c r="A30" s="40" t="n"/>
      <c r="B30" s="40" t="n"/>
      <c r="C30" s="40" t="n"/>
      <c r="D30" s="40" t="n"/>
      <c r="E30" s="40" t="n"/>
      <c r="F30" s="98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98" t="inlineStr">
        <is>
          <t>proteção</t>
        </is>
      </c>
      <c r="BB30" s="98" t="inlineStr">
        <is>
          <t>O40</t>
        </is>
      </c>
    </row>
    <row r="31" ht="17.25" customHeight="1">
      <c r="A31" s="40" t="n"/>
      <c r="B31" s="40" t="n"/>
      <c r="C31" s="40" t="n"/>
      <c r="D31" s="40" t="n"/>
      <c r="E31" s="40" t="n"/>
      <c r="F31" s="98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98" t="inlineStr">
        <is>
          <t>equipamento</t>
        </is>
      </c>
      <c r="BB31" s="98" t="inlineStr">
        <is>
          <t>Z40</t>
        </is>
      </c>
    </row>
    <row r="32" ht="17.25" customHeight="1">
      <c r="A32" s="40" t="n"/>
      <c r="B32" s="40" t="n"/>
      <c r="C32" s="40" t="n"/>
      <c r="D32" s="40" t="n"/>
      <c r="E32" s="40" t="n"/>
      <c r="F32" s="98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98" t="inlineStr">
        <is>
          <t>iniciativa</t>
        </is>
      </c>
      <c r="BB32" s="98" t="inlineStr">
        <is>
          <t>AK40</t>
        </is>
      </c>
    </row>
    <row r="33" ht="17.25" customHeight="1">
      <c r="A33" s="40" t="n"/>
      <c r="B33" s="40" t="n"/>
      <c r="C33" s="40" t="n"/>
      <c r="D33" s="40" t="n"/>
      <c r="E33" s="40" t="n"/>
      <c r="F33" s="98" t="inlineStr">
        <is>
          <t>Nível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98" t="inlineStr">
        <is>
          <t>cd de feitiço</t>
        </is>
      </c>
      <c r="BB33" s="98" t="inlineStr">
        <is>
          <t>D44</t>
        </is>
      </c>
    </row>
    <row r="34" ht="17.25" customHeight="1">
      <c r="A34" s="40" t="n"/>
      <c r="B34" s="40" t="n"/>
      <c r="C34" s="40" t="n"/>
      <c r="D34" s="40" t="n"/>
      <c r="E34" s="40" t="n"/>
      <c r="F34" s="98" t="inlineStr">
        <is>
          <t>Impulso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98" t="inlineStr">
        <is>
          <t>conjuração</t>
        </is>
      </c>
      <c r="BB34" s="98" t="inlineStr">
        <is>
          <t>O44</t>
        </is>
      </c>
    </row>
    <row r="35" ht="17.25" customHeight="1">
      <c r="A35" s="40" t="n"/>
      <c r="B35" s="40" t="n"/>
      <c r="C35" s="40" t="n"/>
      <c r="D35" s="40" t="n"/>
      <c r="E35" s="40" t="n"/>
      <c r="F35" s="98" t="inlineStr">
        <is>
          <t>Trava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98" t="inlineStr">
        <is>
          <t>corpo a corpo</t>
        </is>
      </c>
      <c r="BB35" s="98" t="inlineStr">
        <is>
          <t>Z44</t>
        </is>
      </c>
    </row>
    <row r="36" ht="17.25" customHeight="1">
      <c r="A36" s="40" t="n"/>
      <c r="B36" s="40" t="n"/>
      <c r="C36" s="40" t="n"/>
      <c r="D36" s="40" t="n"/>
      <c r="E36" s="40" t="n"/>
      <c r="F36" s="98" t="inlineStr">
        <is>
          <t>Abre Ferida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98" t="inlineStr">
        <is>
          <t>à distância</t>
        </is>
      </c>
      <c r="BB36" s="98" t="inlineStr">
        <is>
          <t>AK44</t>
        </is>
      </c>
    </row>
    <row r="37" ht="17.25" customHeight="1">
      <c r="A37" s="40" t="n"/>
      <c r="B37" s="40" t="n"/>
      <c r="C37" s="40" t="n"/>
      <c r="D37" s="40" t="n"/>
      <c r="E37" s="40" t="n"/>
      <c r="F37" s="98" t="inlineStr">
        <is>
          <t>Sobrecarga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98" t="inlineStr">
        <is>
          <t>maestria</t>
        </is>
      </c>
      <c r="BB37" s="98" t="inlineStr">
        <is>
          <t>D48</t>
        </is>
      </c>
    </row>
    <row r="38" ht="17.25" customHeight="1">
      <c r="A38" s="40" t="n"/>
      <c r="B38" s="40" t="n"/>
      <c r="C38" s="40" t="n"/>
      <c r="D38" s="40" t="n"/>
      <c r="E38" s="40" t="n"/>
      <c r="F38" s="98" t="inlineStr">
        <is>
          <t>Firmeza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98" t="inlineStr">
        <is>
          <t>deslocamento</t>
        </is>
      </c>
      <c r="BB38" s="98" t="inlineStr">
        <is>
          <t>O48</t>
        </is>
      </c>
    </row>
    <row r="39" ht="17.25" customHeight="1">
      <c r="A39" s="40" t="n"/>
      <c r="B39" s="40" t="n"/>
      <c r="C39" s="40" t="n"/>
      <c r="D39" s="40" t="n"/>
      <c r="E39" s="40" t="n"/>
      <c r="F39" s="98" t="inlineStr">
        <is>
          <t>Guarda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98" t="inlineStr">
        <is>
          <t>espaços de feitiço</t>
        </is>
      </c>
      <c r="BB39" s="98" t="inlineStr">
        <is>
          <t>D54</t>
        </is>
      </c>
    </row>
    <row r="40" ht="17.25" customHeight="1">
      <c r="A40" s="40" t="n"/>
      <c r="B40" s="40" t="n"/>
      <c r="C40" s="40" t="n"/>
      <c r="D40" s="40" t="n"/>
      <c r="E40" s="40" t="n"/>
      <c r="F40" s="98" t="inlineStr">
        <is>
          <t>Pressa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98" t="inlineStr">
        <is>
          <t>refino de graça</t>
        </is>
      </c>
      <c r="BB40" s="98" t="inlineStr">
        <is>
          <t>O54</t>
        </is>
      </c>
    </row>
    <row r="41" ht="17.25" customHeight="1">
      <c r="A41" s="40" t="n"/>
      <c r="B41" s="40" t="n"/>
      <c r="C41" s="40" t="n"/>
      <c r="D41" s="40" t="n"/>
      <c r="E41" s="40" t="n"/>
      <c r="F41" s="98" t="inlineStr">
        <is>
          <t>Enfraquece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98" t="inlineStr">
        <is>
          <t>classe máxima</t>
        </is>
      </c>
      <c r="BB41" s="98" t="inlineStr">
        <is>
          <t>Z54</t>
        </is>
      </c>
    </row>
    <row r="42" ht="17.25" customHeight="1">
      <c r="A42" s="40" t="n"/>
      <c r="B42" s="40" t="n"/>
      <c r="C42" s="40" t="n"/>
      <c r="D42" s="40" t="n"/>
      <c r="E42" s="40" t="n"/>
      <c r="F42" s="98" t="inlineStr">
        <is>
          <t>Ecoa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98" t="inlineStr">
        <is>
          <t>classe 0 grátis</t>
        </is>
      </c>
      <c r="BB42" s="98" t="inlineStr">
        <is>
          <t>AK54</t>
        </is>
      </c>
    </row>
    <row r="43" ht="17.25" customHeight="1">
      <c r="A43" s="40" t="n"/>
      <c r="B43" s="40" t="n"/>
      <c r="C43" s="40" t="n"/>
      <c r="D43" s="40" t="n"/>
      <c r="E43" s="40" t="n"/>
      <c r="F43" s="98" t="inlineStr">
        <is>
          <t>Queima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</row>
    <row r="44" ht="17.25" customHeight="1">
      <c r="A44" s="40" t="n"/>
      <c r="B44" s="40" t="n"/>
      <c r="C44" s="40" t="n"/>
      <c r="D44" s="40" t="n"/>
      <c r="E44" s="40" t="n"/>
      <c r="F44" s="98" t="inlineStr">
        <is>
          <t>Acúmulo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</row>
    <row r="45" ht="17.25" customHeight="1">
      <c r="A45" s="40" t="n"/>
      <c r="B45" s="40" t="n"/>
      <c r="C45" s="40" t="n"/>
      <c r="D45" s="40" t="n"/>
      <c r="E45" s="40" t="n"/>
      <c r="F45" s="98" t="inlineStr">
        <is>
          <t>Remate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</row>
    <row r="46" ht="17.25" customHeight="1">
      <c r="A46" s="40" t="n"/>
      <c r="B46" s="40" t="n"/>
      <c r="C46" s="40" t="n"/>
      <c r="D46" s="40" t="n"/>
      <c r="E46" s="40" t="n"/>
      <c r="F46" s="98" t="inlineStr">
        <is>
          <t>Estilhaço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</row>
    <row r="47" ht="17.25" customHeight="1">
      <c r="A47" s="40" t="n"/>
      <c r="B47" s="40" t="n"/>
      <c r="C47" s="40" t="n"/>
      <c r="D47" s="40" t="n"/>
      <c r="E47" s="40" t="n"/>
      <c r="F47" s="98" t="inlineStr">
        <is>
          <t>Quebra Coisa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</row>
    <row r="48" ht="17.25" customHeight="1">
      <c r="A48" s="40" t="n"/>
      <c r="B48" s="40" t="n"/>
      <c r="C48" s="40" t="n"/>
      <c r="D48" s="40" t="n"/>
      <c r="E48" s="40" t="n"/>
      <c r="F48" s="98" t="inlineStr">
        <is>
          <t>Rasga Escudo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</row>
    <row r="49" ht="17.25" customHeight="1">
      <c r="A49" s="40" t="n"/>
      <c r="B49" s="40" t="n"/>
      <c r="C49" s="40" t="n"/>
      <c r="D49" s="40" t="n"/>
      <c r="E49" s="40" t="n"/>
      <c r="F49" s="98" t="inlineStr">
        <is>
          <t>Sem Cura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</row>
    <row r="50" ht="17.25" customHeight="1">
      <c r="A50" s="40" t="n"/>
      <c r="B50" s="40" t="n"/>
      <c r="C50" s="40" t="n"/>
      <c r="D50" s="40" t="n"/>
      <c r="E50" s="40" t="n"/>
      <c r="F50" s="98" t="inlineStr">
        <is>
          <t>Rápido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</row>
    <row r="51" ht="17.25" customHeight="1">
      <c r="A51" s="40" t="n"/>
      <c r="B51" s="40" t="n"/>
      <c r="C51" s="40" t="n"/>
      <c r="D51" s="40" t="n"/>
      <c r="E51" s="40" t="n"/>
      <c r="F51" s="98" t="inlineStr">
        <is>
          <t>Reação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</row>
    <row r="52" ht="17.25" customHeight="1">
      <c r="A52" s="40" t="n"/>
      <c r="B52" s="40" t="n"/>
      <c r="C52" s="40" t="n"/>
      <c r="D52" s="40" t="n"/>
      <c r="E52" s="40" t="n"/>
      <c r="F52" s="98" t="inlineStr">
        <is>
          <t>Armado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</row>
    <row r="53" ht="17.25" customHeight="1">
      <c r="A53" s="40" t="n"/>
      <c r="B53" s="40" t="n"/>
      <c r="C53" s="40" t="n"/>
      <c r="D53" s="40" t="n"/>
      <c r="E53" s="40" t="n"/>
      <c r="F53" s="98" t="inlineStr">
        <is>
          <t>Silencioso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</row>
    <row r="54" ht="17.25" customHeight="1">
      <c r="A54" s="40" t="n"/>
      <c r="B54" s="40" t="n"/>
      <c r="C54" s="40" t="n"/>
      <c r="D54" s="40" t="n"/>
      <c r="E54" s="40" t="n"/>
      <c r="F54" s="98" t="inlineStr">
        <is>
          <t>Adianta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</row>
    <row r="55" ht="17.25" customHeight="1">
      <c r="A55" s="40" t="n"/>
      <c r="B55" s="40" t="n"/>
      <c r="C55" s="40" t="n"/>
      <c r="D55" s="40" t="n"/>
      <c r="E55" s="40" t="n"/>
      <c r="F55" s="98" t="inlineStr">
        <is>
          <t>Segura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</row>
    <row r="56" ht="17.25" customHeight="1">
      <c r="A56" s="40" t="n"/>
      <c r="B56" s="40" t="n"/>
      <c r="C56" s="40" t="n"/>
      <c r="D56" s="40" t="n"/>
      <c r="E56" s="40" t="n"/>
      <c r="F56" s="98" t="inlineStr">
        <is>
          <t>Marca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40" t="n"/>
      <c r="BB56" s="40" t="n"/>
    </row>
    <row r="57" ht="17.25" customHeight="1">
      <c r="A57" s="40" t="n"/>
      <c r="B57" s="40" t="n"/>
      <c r="C57" s="40" t="n"/>
      <c r="D57" s="40" t="n"/>
      <c r="E57" s="40" t="n"/>
      <c r="F57" s="98" t="inlineStr">
        <is>
          <t>Rastro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40" t="n"/>
      <c r="BB57" s="40" t="n"/>
    </row>
    <row r="58" ht="17.25" customHeight="1">
      <c r="A58" s="40" t="n"/>
      <c r="B58" s="40" t="n"/>
      <c r="C58" s="40" t="n"/>
      <c r="D58" s="40" t="n"/>
      <c r="E58" s="40" t="n"/>
      <c r="F58" s="98" t="inlineStr">
        <is>
          <t>Sugar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</row>
    <row r="59" ht="17.25" customHeight="1">
      <c r="A59" s="40" t="n"/>
      <c r="B59" s="40" t="n"/>
      <c r="C59" s="40" t="n"/>
      <c r="D59" s="40" t="n"/>
      <c r="E59" s="40" t="n"/>
      <c r="F59" s="98" t="inlineStr">
        <is>
          <t>Isca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40" t="n"/>
      <c r="BB59" s="40" t="n"/>
    </row>
    <row r="60" ht="17.25" customHeight="1">
      <c r="A60" s="40" t="n"/>
      <c r="B60" s="40" t="n"/>
      <c r="C60" s="40" t="n"/>
      <c r="D60" s="40" t="n"/>
      <c r="E60" s="40" t="n"/>
      <c r="F60" s="98" t="inlineStr">
        <is>
          <t>Cobrança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</row>
    <row r="61" ht="17.25" customHeight="1">
      <c r="A61" s="40" t="n"/>
      <c r="B61" s="40" t="n"/>
      <c r="C61" s="40" t="n"/>
      <c r="D61" s="40" t="n"/>
      <c r="E61" s="40" t="n"/>
      <c r="F61" s="98" t="inlineStr">
        <is>
          <t>Aviso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40" t="n"/>
      <c r="BB61" s="40" t="n"/>
    </row>
    <row r="62" ht="17.25" customHeight="1">
      <c r="A62" s="40" t="n"/>
      <c r="B62" s="40" t="n"/>
      <c r="C62" s="40" t="n"/>
      <c r="D62" s="40" t="n"/>
      <c r="E62" s="40" t="n"/>
      <c r="F62" s="98" t="inlineStr">
        <is>
          <t>Limpa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</row>
    <row r="63" ht="17.25" customHeight="1">
      <c r="A63" s="40" t="n"/>
      <c r="B63" s="40" t="n"/>
      <c r="C63" s="40" t="n"/>
      <c r="D63" s="40" t="n"/>
      <c r="E63" s="40" t="n"/>
      <c r="F63" s="98" t="inlineStr">
        <is>
          <t>Limpa Fundo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40" t="n"/>
      <c r="BB63" s="40" t="n"/>
    </row>
    <row r="64" ht="17.25" customHeight="1">
      <c r="A64" s="40" t="n"/>
      <c r="B64" s="40" t="n"/>
      <c r="C64" s="40" t="n"/>
      <c r="D64" s="40" t="n"/>
      <c r="E64" s="40" t="n"/>
      <c r="F64" s="98" t="inlineStr">
        <is>
          <t>Levanta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</row>
    <row r="65" ht="17.25" customHeight="1">
      <c r="A65" s="40" t="n"/>
      <c r="B65" s="40" t="n"/>
      <c r="C65" s="40" t="n"/>
      <c r="D65" s="40" t="n"/>
      <c r="E65" s="40" t="n"/>
      <c r="F65" s="98" t="inlineStr">
        <is>
          <t>Divide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40" t="n"/>
      <c r="BB65" s="40" t="n"/>
    </row>
    <row r="66" ht="17.25" customHeight="1">
      <c r="A66" s="40" t="n"/>
      <c r="B66" s="40" t="n"/>
      <c r="C66" s="40" t="n"/>
      <c r="D66" s="40" t="n"/>
      <c r="E66" s="40" t="n"/>
      <c r="F66" s="98" t="inlineStr">
        <is>
          <t>Junto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40" t="n"/>
      <c r="BB66" s="40" t="n"/>
    </row>
    <row r="67" ht="17.25" customHeight="1">
      <c r="A67" s="40" t="n"/>
      <c r="B67" s="40" t="n"/>
      <c r="C67" s="40" t="n"/>
      <c r="D67" s="40" t="n"/>
      <c r="E67" s="40" t="n"/>
      <c r="F67" s="98" t="inlineStr">
        <is>
          <t>Reserva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40" t="n"/>
      <c r="BB67" s="40" t="n"/>
    </row>
    <row r="68" ht="17.25" customHeight="1">
      <c r="A68" s="40" t="n"/>
      <c r="B68" s="40" t="n"/>
      <c r="C68" s="40" t="n"/>
      <c r="D68" s="40" t="n"/>
      <c r="E68" s="40" t="n"/>
      <c r="F68" s="98" t="inlineStr">
        <is>
          <t>Remenda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40" t="n"/>
      <c r="BB68" s="40" t="n"/>
    </row>
    <row r="69" ht="17.25" customHeight="1">
      <c r="A69" s="40" t="n"/>
      <c r="B69" s="40" t="n"/>
      <c r="C69" s="40" t="n"/>
      <c r="D69" s="40" t="n"/>
      <c r="E69" s="40" t="n"/>
      <c r="F69" s="98" t="inlineStr">
        <is>
          <t>Condicao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40" t="n"/>
      <c r="BB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40" t="n"/>
      <c r="BB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40" t="n"/>
      <c r="BB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40" t="n"/>
      <c r="BB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40" t="n"/>
      <c r="BB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40" t="n"/>
      <c r="BB75" s="4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1" t="n"/>
      <c r="B1" s="102" t="n"/>
      <c r="C1" s="103" t="n"/>
      <c r="D1" s="104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03" t="n"/>
      <c r="AF1" s="105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1" t="n"/>
      <c r="B2" s="102" t="n"/>
      <c r="C2" s="106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06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1" t="n"/>
      <c r="B3" s="101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1" t="n"/>
      <c r="B4" s="101" t="n"/>
      <c r="C4" s="107" t="n"/>
      <c r="D4" s="61" t="inlineStr">
        <is>
          <t>1</t>
        </is>
      </c>
      <c r="E4" s="13" t="n"/>
      <c r="F4" s="14" t="n"/>
      <c r="G4" s="81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07" t="n"/>
      <c r="AD4" s="107" t="n"/>
      <c r="AE4" s="107" t="n"/>
      <c r="AF4" s="107" t="n"/>
      <c r="AG4" s="107" t="n"/>
      <c r="AH4" s="107" t="n"/>
      <c r="AI4" s="107" t="n"/>
      <c r="AJ4" s="107" t="n"/>
      <c r="AK4" s="107" t="n"/>
      <c r="AL4" s="107" t="n"/>
      <c r="AM4" s="107" t="n"/>
      <c r="AN4" s="107" t="n"/>
      <c r="AO4" s="107" t="n"/>
      <c r="AP4" s="107" t="n"/>
      <c r="AQ4" s="107" t="n"/>
      <c r="AR4" s="107" t="n"/>
      <c r="AS4" s="107" t="n"/>
      <c r="AT4" s="107" t="n"/>
    </row>
    <row r="5" ht="15" customHeight="1">
      <c r="A5" s="101" t="n"/>
      <c r="B5" s="101" t="n"/>
      <c r="C5" s="107" t="n"/>
      <c r="D5" s="17" t="n"/>
      <c r="E5" s="18" t="n"/>
      <c r="F5" s="19" t="n"/>
      <c r="G5" s="107" t="n"/>
      <c r="H5" s="107" t="n"/>
      <c r="I5" s="107" t="n"/>
      <c r="J5" s="107" t="n"/>
      <c r="K5" s="107" t="n"/>
      <c r="L5" s="107" t="n"/>
      <c r="M5" s="107" t="n"/>
      <c r="N5" s="107" t="n"/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  <c r="AD5" s="107" t="n"/>
      <c r="AE5" s="107" t="n"/>
      <c r="AF5" s="107" t="n"/>
      <c r="AG5" s="107" t="n"/>
      <c r="AH5" s="107" t="n"/>
      <c r="AI5" s="107" t="n"/>
      <c r="AJ5" s="107" t="n"/>
      <c r="AK5" s="107" t="n"/>
      <c r="AL5" s="107" t="n"/>
      <c r="AM5" s="107" t="n"/>
      <c r="AN5" s="107" t="n"/>
      <c r="AO5" s="107" t="n"/>
      <c r="AP5" s="107" t="n"/>
      <c r="AQ5" s="107" t="n"/>
      <c r="AR5" s="107" t="n"/>
      <c r="AS5" s="107" t="n"/>
      <c r="AT5" s="107" t="n"/>
    </row>
    <row r="6" ht="15" customHeight="1">
      <c r="A6" s="101" t="n"/>
      <c r="B6" s="101" t="n"/>
      <c r="C6" s="107" t="n"/>
      <c r="D6" s="51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07" t="n"/>
      <c r="O6" s="108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07" t="n"/>
      <c r="Z6" s="51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07" t="n"/>
      <c r="AK6" s="51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1" t="n"/>
      <c r="B7" s="101" t="n"/>
      <c r="C7" s="107" t="n"/>
      <c r="D7" s="109">
        <f>FICHA!AH11</f>
        <v/>
      </c>
      <c r="M7" s="16" t="n"/>
      <c r="N7" s="107" t="n"/>
      <c r="O7" s="69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07" t="n"/>
      <c r="Z7" s="109">
        <f>FICHA!AB17</f>
        <v/>
      </c>
      <c r="AI7" s="16" t="n"/>
      <c r="AJ7" s="107" t="n"/>
      <c r="AK7" s="110">
        <f>(1+COUNTIF(DADOS_INV!$AH$3:$AH$5,"&lt;="&amp;$D$7))</f>
        <v/>
      </c>
      <c r="AT7" s="16" t="n"/>
    </row>
    <row r="8" ht="15" customHeight="1">
      <c r="A8" s="44" t="inlineStr">
        <is>
          <t>INVOCAÇÃO</t>
        </is>
      </c>
      <c r="C8" s="107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07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07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07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7" t="n"/>
      <c r="AP9" s="107" t="n"/>
      <c r="AQ9" s="107" t="n"/>
      <c r="AR9" s="107" t="n"/>
      <c r="AS9" s="107" t="n"/>
      <c r="AT9" s="107" t="n"/>
    </row>
    <row r="10" ht="15" customHeight="1">
      <c r="C10" s="107" t="n"/>
      <c r="D10" s="108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07" t="n"/>
      <c r="O10" s="51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</row>
    <row r="11" ht="26.25" customHeight="1">
      <c r="C11" s="107" t="n"/>
      <c r="D11" s="82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07" t="n"/>
      <c r="O11" s="110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</row>
    <row r="12" ht="15" customHeight="1"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7" t="n"/>
      <c r="AO12" s="107" t="n"/>
      <c r="AP12" s="107" t="n"/>
      <c r="AQ12" s="107" t="n"/>
      <c r="AR12" s="107" t="n"/>
      <c r="AS12" s="107" t="n"/>
      <c r="AT12" s="107" t="n"/>
    </row>
    <row r="13" ht="15" customHeight="1">
      <c r="C13" s="107" t="n"/>
      <c r="D13" s="96" t="n"/>
    </row>
    <row r="14" ht="15" customHeight="1">
      <c r="C14" s="107" t="n"/>
    </row>
    <row r="15" ht="15" customHeight="1">
      <c r="C15" s="107" t="n"/>
      <c r="D15" s="107" t="n"/>
      <c r="E15" s="107" t="n"/>
      <c r="F15" s="107" t="n"/>
      <c r="G15" s="107" t="n"/>
      <c r="H15" s="107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</row>
    <row r="16" ht="15" customHeight="1">
      <c r="C16" s="107" t="n"/>
      <c r="D16" s="61" t="inlineStr">
        <is>
          <t>2</t>
        </is>
      </c>
      <c r="E16" s="13" t="n"/>
      <c r="F16" s="14" t="n"/>
      <c r="G16" s="81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</row>
    <row r="17" ht="15" customHeight="1">
      <c r="C17" s="107" t="n"/>
      <c r="D17" s="17" t="n"/>
      <c r="E17" s="18" t="n"/>
      <c r="F17" s="19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7" t="n"/>
      <c r="AO17" s="107" t="n"/>
      <c r="AP17" s="107" t="n"/>
      <c r="AQ17" s="107" t="n"/>
      <c r="AR17" s="107" t="n"/>
      <c r="AS17" s="107" t="n"/>
      <c r="AT17" s="107" t="n"/>
    </row>
    <row r="18" ht="15" customHeight="1">
      <c r="C18" s="107" t="n"/>
      <c r="D18" s="51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07" t="n"/>
      <c r="Z18" s="51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07" t="n"/>
      <c r="AK18" s="51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07" t="n"/>
      <c r="D19" s="111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07" t="n"/>
      <c r="Z19" s="82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07" t="n"/>
      <c r="AK19" s="82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C21" s="107" t="n"/>
      <c r="D21" s="51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07" t="n"/>
      <c r="O21" s="112" t="n"/>
    </row>
    <row r="22" ht="27" customHeight="1">
      <c r="C22" s="107" t="n"/>
      <c r="D22" s="113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07" t="n"/>
      <c r="O22" s="114" t="n"/>
    </row>
    <row r="23" ht="15" customHeight="1"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</row>
    <row r="24" ht="15" customHeight="1">
      <c r="C24" s="107" t="n"/>
      <c r="D24" s="96" t="n"/>
    </row>
    <row r="25" ht="15" customHeight="1">
      <c r="C25" s="107" t="n"/>
    </row>
    <row r="26" ht="15" customHeight="1"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7" t="n"/>
      <c r="AO26" s="107" t="n"/>
      <c r="AP26" s="107" t="n"/>
      <c r="AQ26" s="107" t="n"/>
      <c r="AR26" s="107" t="n"/>
      <c r="AS26" s="107" t="n"/>
      <c r="AT26" s="107" t="n"/>
    </row>
    <row r="27" ht="15" customHeight="1">
      <c r="A27" s="101" t="n"/>
      <c r="B27" s="101" t="n"/>
      <c r="C27" s="107" t="n"/>
      <c r="D27" s="61" t="inlineStr">
        <is>
          <t>3</t>
        </is>
      </c>
      <c r="E27" s="13" t="n"/>
      <c r="F27" s="14" t="n"/>
      <c r="G27" s="81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07" t="n"/>
      <c r="AH27" s="107" t="n"/>
      <c r="AI27" s="107" t="n"/>
      <c r="AJ27" s="107" t="n"/>
      <c r="AK27" s="107" t="n"/>
      <c r="AL27" s="107" t="n"/>
      <c r="AM27" s="107" t="n"/>
      <c r="AN27" s="107" t="n"/>
      <c r="AO27" s="107" t="n"/>
      <c r="AP27" s="107" t="n"/>
      <c r="AQ27" s="107" t="n"/>
      <c r="AR27" s="107" t="n"/>
      <c r="AS27" s="107" t="n"/>
      <c r="AT27" s="107" t="n"/>
    </row>
    <row r="28" ht="15" customHeight="1">
      <c r="A28" s="101" t="n"/>
      <c r="B28" s="101" t="n"/>
      <c r="C28" s="107" t="n"/>
      <c r="D28" s="17" t="n"/>
      <c r="E28" s="18" t="n"/>
      <c r="F28" s="19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7" t="n"/>
      <c r="AO28" s="107" t="n"/>
      <c r="AP28" s="107" t="n"/>
      <c r="AQ28" s="107" t="n"/>
      <c r="AR28" s="107" t="n"/>
      <c r="AS28" s="107" t="n"/>
      <c r="AT28" s="107" t="n"/>
    </row>
    <row r="29" ht="15" customHeight="1">
      <c r="A29" s="101" t="n"/>
      <c r="B29" s="101" t="n"/>
      <c r="C29" s="107" t="n"/>
      <c r="D29" s="51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07" t="n"/>
      <c r="L29" s="51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07" t="n"/>
      <c r="T29" s="51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07" t="n"/>
      <c r="AB29" s="51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07" t="n"/>
      <c r="AJ29" s="51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07" t="n"/>
      <c r="AR29" s="107" t="n"/>
      <c r="AS29" s="107" t="n"/>
      <c r="AT29" s="107" t="n"/>
    </row>
    <row r="30" ht="15" customHeight="1">
      <c r="A30" s="44" t="inlineStr">
        <is>
          <t>PROJETO - M</t>
        </is>
      </c>
      <c r="C30" s="107" t="n"/>
      <c r="D30" s="64" t="n">
        <v>0</v>
      </c>
      <c r="E30" s="13" t="n"/>
      <c r="F30" s="13" t="n"/>
      <c r="G30" s="13" t="n"/>
      <c r="H30" s="13" t="n"/>
      <c r="I30" s="13" t="n"/>
      <c r="J30" s="14" t="n"/>
      <c r="K30" s="107" t="n"/>
      <c r="L30" s="64" t="n">
        <v>0</v>
      </c>
      <c r="M30" s="13" t="n"/>
      <c r="N30" s="13" t="n"/>
      <c r="O30" s="13" t="n"/>
      <c r="P30" s="13" t="n"/>
      <c r="Q30" s="13" t="n"/>
      <c r="R30" s="14" t="n"/>
      <c r="S30" s="107" t="n"/>
      <c r="T30" s="64" t="n">
        <v>0</v>
      </c>
      <c r="U30" s="13" t="n"/>
      <c r="V30" s="13" t="n"/>
      <c r="W30" s="13" t="n"/>
      <c r="X30" s="13" t="n"/>
      <c r="Y30" s="13" t="n"/>
      <c r="Z30" s="14" t="n"/>
      <c r="AA30" s="107" t="n"/>
      <c r="AB30" s="64" t="n">
        <v>0</v>
      </c>
      <c r="AC30" s="13" t="n"/>
      <c r="AD30" s="13" t="n"/>
      <c r="AE30" s="13" t="n"/>
      <c r="AF30" s="13" t="n"/>
      <c r="AG30" s="13" t="n"/>
      <c r="AH30" s="14" t="n"/>
      <c r="AI30" s="107" t="n"/>
      <c r="AJ30" s="64" t="n">
        <v>0</v>
      </c>
      <c r="AK30" s="13" t="n"/>
      <c r="AL30" s="13" t="n"/>
      <c r="AM30" s="13" t="n"/>
      <c r="AN30" s="13" t="n"/>
      <c r="AO30" s="13" t="n"/>
      <c r="AP30" s="14" t="n"/>
      <c r="AQ30" s="107" t="n"/>
      <c r="AR30" s="107" t="n"/>
      <c r="AS30" s="107" t="n"/>
      <c r="AT30" s="107" t="n"/>
    </row>
    <row r="31" ht="15" customHeight="1">
      <c r="C31" s="107" t="n"/>
      <c r="D31" s="17" t="n"/>
      <c r="E31" s="18" t="n"/>
      <c r="F31" s="18" t="n"/>
      <c r="G31" s="18" t="n"/>
      <c r="H31" s="18" t="n"/>
      <c r="I31" s="18" t="n"/>
      <c r="J31" s="19" t="n"/>
      <c r="K31" s="107" t="n"/>
      <c r="L31" s="17" t="n"/>
      <c r="M31" s="18" t="n"/>
      <c r="N31" s="18" t="n"/>
      <c r="O31" s="18" t="n"/>
      <c r="P31" s="18" t="n"/>
      <c r="Q31" s="18" t="n"/>
      <c r="R31" s="19" t="n"/>
      <c r="S31" s="107" t="n"/>
      <c r="T31" s="17" t="n"/>
      <c r="U31" s="18" t="n"/>
      <c r="V31" s="18" t="n"/>
      <c r="W31" s="18" t="n"/>
      <c r="X31" s="18" t="n"/>
      <c r="Y31" s="18" t="n"/>
      <c r="Z31" s="19" t="n"/>
      <c r="AA31" s="107" t="n"/>
      <c r="AB31" s="17" t="n"/>
      <c r="AC31" s="18" t="n"/>
      <c r="AD31" s="18" t="n"/>
      <c r="AE31" s="18" t="n"/>
      <c r="AF31" s="18" t="n"/>
      <c r="AG31" s="18" t="n"/>
      <c r="AH31" s="19" t="n"/>
      <c r="AI31" s="107" t="n"/>
      <c r="AJ31" s="17" t="n"/>
      <c r="AK31" s="18" t="n"/>
      <c r="AL31" s="18" t="n"/>
      <c r="AM31" s="18" t="n"/>
      <c r="AN31" s="18" t="n"/>
      <c r="AO31" s="18" t="n"/>
      <c r="AP31" s="19" t="n"/>
      <c r="AQ31" s="107" t="n"/>
      <c r="AR31" s="107" t="n"/>
      <c r="AS31" s="107" t="n"/>
      <c r="AT31" s="107" t="n"/>
    </row>
    <row r="32" ht="15" customHeight="1">
      <c r="C32" s="107" t="n"/>
      <c r="D32" s="66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07" t="n"/>
      <c r="L32" s="66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07" t="n"/>
      <c r="T32" s="66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07" t="n"/>
      <c r="AB32" s="66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07" t="n"/>
      <c r="AJ32" s="66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07" t="n"/>
      <c r="AR32" s="107" t="n"/>
      <c r="AS32" s="107" t="n"/>
      <c r="AT32" s="107" t="n"/>
    </row>
    <row r="33" ht="15" customHeight="1">
      <c r="C33" s="107" t="n"/>
      <c r="D33" s="107" t="n"/>
      <c r="E33" s="107" t="n"/>
      <c r="F33" s="107" t="n"/>
      <c r="G33" s="107" t="n"/>
      <c r="H33" s="107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7" t="n"/>
      <c r="AO33" s="107" t="n"/>
      <c r="AP33" s="107" t="n"/>
      <c r="AQ33" s="107" t="n"/>
      <c r="AR33" s="107" t="n"/>
      <c r="AS33" s="107" t="n"/>
      <c r="AT33" s="107" t="n"/>
    </row>
    <row r="34" ht="15" customHeight="1">
      <c r="C34" s="107" t="n"/>
      <c r="D34" s="51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07" t="n"/>
      <c r="O34" s="51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07" t="n"/>
      <c r="Z34" s="51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07" t="n"/>
      <c r="D35" s="115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07" t="n"/>
      <c r="O35" s="115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07" t="n"/>
      <c r="Z35" s="116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07" t="n"/>
      <c r="D36" s="107" t="n"/>
      <c r="E36" s="107" t="n"/>
      <c r="F36" s="107" t="n"/>
      <c r="G36" s="107" t="n"/>
      <c r="H36" s="107" t="n"/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7" t="n"/>
      <c r="AO36" s="107" t="n"/>
      <c r="AP36" s="107" t="n"/>
      <c r="AQ36" s="107" t="n"/>
      <c r="AR36" s="107" t="n"/>
      <c r="AS36" s="107" t="n"/>
      <c r="AT36" s="107" t="n"/>
    </row>
    <row r="37" ht="15" customHeight="1">
      <c r="C37" s="107" t="n"/>
      <c r="D37" s="96" t="inlineStr">
        <is>
          <t>Distribua 9 pontos, nenhum acima de 3. A cada marco ela ganha 1 ponto, até o teto de 6. É a mesma regra da sua ficha.</t>
        </is>
      </c>
    </row>
    <row r="38" ht="15" customHeight="1">
      <c r="C38" s="107" t="n"/>
    </row>
    <row r="39" ht="15" customHeight="1"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C40" s="107" t="n"/>
      <c r="D40" s="61" t="inlineStr">
        <is>
          <t>4</t>
        </is>
      </c>
      <c r="E40" s="13" t="n"/>
      <c r="F40" s="14" t="n"/>
      <c r="G40" s="81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07" t="n"/>
      <c r="AJ40" s="107" t="n"/>
      <c r="AK40" s="107" t="n"/>
      <c r="AL40" s="107" t="n"/>
      <c r="AM40" s="107" t="n"/>
      <c r="AN40" s="107" t="n"/>
      <c r="AO40" s="107" t="n"/>
      <c r="AP40" s="107" t="n"/>
      <c r="AQ40" s="107" t="n"/>
      <c r="AR40" s="107" t="n"/>
      <c r="AS40" s="107" t="n"/>
      <c r="AT40" s="107" t="n"/>
    </row>
    <row r="41" ht="15" customHeight="1">
      <c r="C41" s="107" t="n"/>
      <c r="D41" s="17" t="n"/>
      <c r="E41" s="18" t="n"/>
      <c r="F41" s="19" t="n"/>
      <c r="G41" s="107" t="n"/>
      <c r="H41" s="107" t="n"/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7" t="n"/>
      <c r="AO41" s="107" t="n"/>
      <c r="AP41" s="107" t="n"/>
      <c r="AQ41" s="107" t="n"/>
      <c r="AR41" s="107" t="n"/>
      <c r="AS41" s="107" t="n"/>
      <c r="AT41" s="107" t="n"/>
    </row>
    <row r="42" ht="15" customHeight="1">
      <c r="C42" s="107" t="n"/>
      <c r="D42" s="51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07" t="n"/>
      <c r="O42" s="51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07" t="n"/>
      <c r="Z42" s="51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07" t="n"/>
      <c r="AK42" s="51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07" t="n"/>
      <c r="D43" s="82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07" t="n"/>
      <c r="O43" s="82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07" t="n"/>
      <c r="Z43" s="82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07" t="n"/>
      <c r="AK43" s="82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C45" s="107" t="n"/>
      <c r="D45" s="51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07" t="n"/>
      <c r="O45" s="51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07" t="n"/>
      <c r="Z45" s="51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07" t="n"/>
      <c r="AK45" s="107" t="n"/>
      <c r="AL45" s="107" t="n"/>
      <c r="AM45" s="107" t="n"/>
      <c r="AN45" s="107" t="n"/>
      <c r="AO45" s="107" t="n"/>
      <c r="AP45" s="107" t="n"/>
      <c r="AQ45" s="107" t="n"/>
      <c r="AR45" s="107" t="n"/>
      <c r="AS45" s="107" t="n"/>
      <c r="AT45" s="107" t="n"/>
    </row>
    <row r="46" ht="25.5" customHeight="1">
      <c r="C46" s="107" t="n"/>
      <c r="D46" s="113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07" t="n"/>
      <c r="O46" s="82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07" t="n"/>
      <c r="Z46" s="82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07" t="n"/>
      <c r="AK46" s="107" t="n"/>
      <c r="AL46" s="107" t="n"/>
      <c r="AM46" s="107" t="n"/>
      <c r="AN46" s="107" t="n"/>
      <c r="AO46" s="107" t="n"/>
      <c r="AP46" s="107" t="n"/>
      <c r="AQ46" s="107" t="n"/>
      <c r="AR46" s="107" t="n"/>
      <c r="AS46" s="107" t="n"/>
      <c r="AT46" s="107" t="n"/>
    </row>
    <row r="47" ht="15" customHeight="1"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7" t="n"/>
      <c r="AO47" s="107" t="n"/>
      <c r="AP47" s="107" t="n"/>
      <c r="AQ47" s="107" t="n"/>
      <c r="AR47" s="107" t="n"/>
      <c r="AS47" s="107" t="n"/>
      <c r="AT47" s="107" t="n"/>
    </row>
    <row r="48" ht="15" customHeight="1">
      <c r="C48" s="107" t="n"/>
      <c r="D48" s="112" t="inlineStr">
        <is>
          <t>TESTES DE RESISTÊNCIA · ela treina um, e você escolhe qual no campo acima</t>
        </is>
      </c>
    </row>
    <row r="49" ht="15" customHeight="1">
      <c r="A49" s="101" t="n"/>
      <c r="B49" s="101" t="n"/>
      <c r="C49" s="107" t="n"/>
      <c r="D49" s="117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18" t="inlineStr">
        <is>
          <t>Extra</t>
        </is>
      </c>
      <c r="L49" s="51" t="inlineStr">
        <is>
          <t>USA</t>
        </is>
      </c>
      <c r="M49" s="10" t="n"/>
      <c r="N49" s="10" t="n"/>
      <c r="O49" s="10" t="n"/>
      <c r="P49" s="11" t="n"/>
      <c r="Q49" s="119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07" t="n"/>
      <c r="Z49" s="117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18" t="inlineStr">
        <is>
          <t>Extra</t>
        </is>
      </c>
      <c r="AH49" s="51" t="inlineStr">
        <is>
          <t>USA</t>
        </is>
      </c>
      <c r="AI49" s="10" t="n"/>
      <c r="AJ49" s="10" t="n"/>
      <c r="AK49" s="10" t="n"/>
      <c r="AL49" s="11" t="n"/>
      <c r="AM49" s="119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1" t="n"/>
      <c r="B50" s="101" t="n"/>
      <c r="C50" s="107" t="n"/>
      <c r="D50" s="85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87" t="n"/>
      <c r="L50" s="120" t="inlineStr">
        <is>
          <t>For ou Des</t>
        </is>
      </c>
      <c r="M50" s="10" t="n"/>
      <c r="N50" s="10" t="n"/>
      <c r="O50" s="10" t="n"/>
      <c r="P50" s="11" t="n"/>
      <c r="Q50" s="121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07" t="n"/>
      <c r="W50" s="107" t="n"/>
      <c r="X50" s="107" t="n"/>
      <c r="Y50" s="107" t="n"/>
      <c r="Z50" s="85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87" t="n"/>
      <c r="AH50" s="120" t="inlineStr">
        <is>
          <t>Con</t>
        </is>
      </c>
      <c r="AI50" s="10" t="n"/>
      <c r="AJ50" s="10" t="n"/>
      <c r="AK50" s="10" t="n"/>
      <c r="AL50" s="11" t="n"/>
      <c r="AM50" s="122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07" t="n"/>
      <c r="AS50" s="107" t="n"/>
      <c r="AT50" s="107" t="n"/>
    </row>
    <row r="51" ht="15" customHeight="1">
      <c r="A51" s="101" t="n"/>
      <c r="B51" s="101" t="n"/>
      <c r="C51" s="107" t="n"/>
      <c r="D51" s="123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24" t="n"/>
      <c r="L51" s="20" t="inlineStr">
        <is>
          <t>Int</t>
        </is>
      </c>
      <c r="M51" s="10" t="n"/>
      <c r="N51" s="10" t="n"/>
      <c r="O51" s="10" t="n"/>
      <c r="P51" s="11" t="n"/>
      <c r="Q51" s="125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07" t="n"/>
      <c r="W51" s="107" t="n"/>
      <c r="X51" s="107" t="n"/>
      <c r="Y51" s="107" t="n"/>
      <c r="Z51" s="123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24" t="n"/>
      <c r="AH51" s="20" t="inlineStr">
        <is>
          <t>Ess</t>
        </is>
      </c>
      <c r="AI51" s="10" t="n"/>
      <c r="AJ51" s="10" t="n"/>
      <c r="AK51" s="10" t="n"/>
      <c r="AL51" s="11" t="n"/>
      <c r="AM51" s="125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07" t="n"/>
      <c r="AS51" s="107" t="n"/>
      <c r="AT51" s="107" t="n"/>
    </row>
    <row r="52" ht="15" customHeight="1">
      <c r="A52" s="101" t="n"/>
      <c r="B52" s="101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1" t="n"/>
      <c r="B53" s="101" t="n"/>
      <c r="C53" s="107" t="n"/>
      <c r="D53" s="96" t="n"/>
    </row>
    <row r="54" ht="15" customHeight="1">
      <c r="A54" s="101" t="n"/>
      <c r="B54" s="101" t="n"/>
      <c r="C54" s="107" t="n"/>
    </row>
    <row r="55" ht="15" customHeight="1">
      <c r="A55" s="101" t="n"/>
      <c r="B55" s="101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1" t="n"/>
      <c r="B56" s="101" t="n"/>
      <c r="C56" s="107" t="n"/>
      <c r="D56" s="61" t="inlineStr">
        <is>
          <t>5</t>
        </is>
      </c>
      <c r="E56" s="13" t="n"/>
      <c r="F56" s="14" t="n"/>
      <c r="G56" s="81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1" t="n"/>
      <c r="B57" s="101" t="n"/>
      <c r="C57" s="107" t="n"/>
      <c r="D57" s="17" t="n"/>
      <c r="E57" s="18" t="n"/>
      <c r="F57" s="19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1" t="n"/>
      <c r="B58" s="101" t="n"/>
      <c r="C58" s="107" t="n"/>
      <c r="D58" s="51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07" t="n"/>
      <c r="O58" s="51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07" t="n"/>
      <c r="Z58" s="51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07" t="n"/>
      <c r="AK58" s="51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1" t="n"/>
      <c r="B59" s="101" t="n"/>
      <c r="C59" s="107" t="n"/>
      <c r="D59" s="69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07" t="n"/>
      <c r="O59" s="69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07" t="n"/>
      <c r="Z59" s="82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07" t="n"/>
      <c r="AK59" s="82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1" t="n"/>
      <c r="B60" s="101" t="n"/>
      <c r="C60" s="107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07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07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07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1" t="n"/>
      <c r="B61" s="101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1" t="n"/>
      <c r="B62" s="101" t="n"/>
      <c r="C62" s="107" t="n"/>
      <c r="D62" s="117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26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1" t="n"/>
      <c r="B63" s="101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1" t="n"/>
      <c r="B64" s="101" t="n"/>
      <c r="C64" s="107" t="n"/>
      <c r="D64" s="108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07" t="n"/>
      <c r="O64" s="51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07" t="n"/>
      <c r="Z64" s="108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  <row r="65" ht="26.25" customHeight="1">
      <c r="A65" s="101" t="n"/>
      <c r="B65" s="101" t="n"/>
      <c r="C65" s="107" t="n"/>
      <c r="D65" s="82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07" t="n"/>
      <c r="O65" s="110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07" t="n"/>
      <c r="Z65" s="82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07" t="n"/>
      <c r="AK65" s="107" t="n"/>
      <c r="AL65" s="107" t="n"/>
      <c r="AM65" s="107" t="n"/>
      <c r="AN65" s="107" t="n"/>
      <c r="AO65" s="107" t="n"/>
      <c r="AP65" s="107" t="n"/>
      <c r="AQ65" s="107" t="n"/>
      <c r="AR65" s="107" t="n"/>
      <c r="AS65" s="107" t="n"/>
      <c r="AT65" s="107" t="n"/>
    </row>
    <row r="66" ht="15" customHeight="1">
      <c r="A66" s="101" t="n"/>
      <c r="B66" s="101" t="n"/>
      <c r="C66" s="107" t="n"/>
      <c r="D66" s="107" t="n"/>
      <c r="E66" s="107" t="n"/>
      <c r="F66" s="107" t="n"/>
      <c r="G66" s="107" t="n"/>
      <c r="H66" s="107" t="n"/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7" t="n"/>
      <c r="AO66" s="107" t="n"/>
      <c r="AP66" s="107" t="n"/>
      <c r="AQ66" s="107" t="n"/>
      <c r="AR66" s="107" t="n"/>
      <c r="AS66" s="107" t="n"/>
      <c r="AT66" s="107" t="n"/>
    </row>
    <row r="67" ht="15" customHeight="1">
      <c r="A67" s="101" t="n"/>
      <c r="B67" s="101" t="n"/>
      <c r="C67" s="107" t="n"/>
      <c r="D67" s="127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1" t="n"/>
      <c r="B68" s="101" t="n"/>
      <c r="C68" s="107" t="n"/>
      <c r="D68" s="128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1" t="n"/>
      <c r="B69" s="101" t="n"/>
      <c r="C69" s="107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1" t="n"/>
      <c r="B70" s="101" t="n"/>
      <c r="C70" s="107" t="n"/>
      <c r="D70" s="96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1" t="n"/>
      <c r="B71" s="101" t="n"/>
      <c r="C71" s="107" t="n"/>
    </row>
    <row r="72" ht="15" customHeight="1">
      <c r="A72" s="101" t="n"/>
      <c r="B72" s="101" t="n"/>
      <c r="C72" s="107" t="n"/>
      <c r="D72" s="107" t="n"/>
      <c r="E72" s="107" t="n"/>
      <c r="F72" s="107" t="n"/>
      <c r="G72" s="107" t="n"/>
      <c r="H72" s="107" t="n"/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7" t="n"/>
      <c r="AO72" s="107" t="n"/>
      <c r="AP72" s="107" t="n"/>
      <c r="AQ72" s="107" t="n"/>
      <c r="AR72" s="107" t="n"/>
      <c r="AS72" s="107" t="n"/>
      <c r="AT72" s="107" t="n"/>
    </row>
    <row r="73" ht="15" customHeight="1">
      <c r="A73" s="101" t="n"/>
      <c r="B73" s="101" t="n"/>
      <c r="C73" s="107" t="n"/>
      <c r="D73" s="61" t="inlineStr">
        <is>
          <t>6</t>
        </is>
      </c>
      <c r="E73" s="13" t="n"/>
      <c r="F73" s="14" t="n"/>
      <c r="G73" s="81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07" t="n"/>
      <c r="AH73" s="107" t="n"/>
      <c r="AI73" s="107" t="n"/>
      <c r="AJ73" s="107" t="n"/>
      <c r="AK73" s="107" t="n"/>
      <c r="AL73" s="107" t="n"/>
      <c r="AM73" s="107" t="n"/>
      <c r="AN73" s="107" t="n"/>
      <c r="AO73" s="107" t="n"/>
      <c r="AP73" s="107" t="n"/>
      <c r="AQ73" s="107" t="n"/>
      <c r="AR73" s="107" t="n"/>
      <c r="AS73" s="107" t="n"/>
      <c r="AT73" s="107" t="n"/>
    </row>
    <row r="74" ht="15" customHeight="1">
      <c r="A74" s="101" t="n"/>
      <c r="B74" s="101" t="n"/>
      <c r="C74" s="107" t="n"/>
      <c r="D74" s="17" t="n"/>
      <c r="E74" s="18" t="n"/>
      <c r="F74" s="19" t="n"/>
      <c r="G74" s="107" t="n"/>
      <c r="H74" s="107" t="n"/>
      <c r="I74" s="107" t="n"/>
      <c r="J74" s="107" t="n"/>
      <c r="K74" s="107" t="n"/>
      <c r="L74" s="107" t="n"/>
      <c r="M74" s="107" t="n"/>
      <c r="N74" s="107" t="n"/>
      <c r="O74" s="107" t="n"/>
      <c r="P74" s="107" t="n"/>
      <c r="Q74" s="107" t="n"/>
      <c r="R74" s="107" t="n"/>
      <c r="S74" s="107" t="n"/>
      <c r="T74" s="107" t="n"/>
      <c r="U74" s="107" t="n"/>
      <c r="V74" s="107" t="n"/>
      <c r="W74" s="107" t="n"/>
      <c r="X74" s="107" t="n"/>
      <c r="Y74" s="107" t="n"/>
      <c r="Z74" s="107" t="n"/>
      <c r="AA74" s="107" t="n"/>
      <c r="AB74" s="107" t="n"/>
      <c r="AC74" s="107" t="n"/>
      <c r="AD74" s="107" t="n"/>
      <c r="AE74" s="107" t="n"/>
      <c r="AF74" s="107" t="n"/>
      <c r="AG74" s="107" t="n"/>
      <c r="AH74" s="107" t="n"/>
      <c r="AI74" s="107" t="n"/>
      <c r="AJ74" s="107" t="n"/>
      <c r="AK74" s="107" t="n"/>
      <c r="AL74" s="107" t="n"/>
      <c r="AM74" s="107" t="n"/>
      <c r="AN74" s="107" t="n"/>
      <c r="AO74" s="107" t="n"/>
      <c r="AP74" s="107" t="n"/>
      <c r="AQ74" s="107" t="n"/>
      <c r="AR74" s="107" t="n"/>
      <c r="AS74" s="107" t="n"/>
      <c r="AT74" s="107" t="n"/>
    </row>
    <row r="75" ht="15" customHeight="1">
      <c r="A75" s="101" t="n"/>
      <c r="B75" s="101" t="n"/>
      <c r="C75" s="107" t="n"/>
      <c r="D75" s="51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07" t="n"/>
      <c r="O75" s="107" t="n"/>
      <c r="P75" s="107" t="n"/>
      <c r="Q75" s="107" t="n"/>
      <c r="R75" s="107" t="n"/>
      <c r="S75" s="107" t="n"/>
      <c r="T75" s="107" t="n"/>
      <c r="U75" s="107" t="n"/>
      <c r="V75" s="107" t="n"/>
      <c r="W75" s="107" t="n"/>
      <c r="X75" s="107" t="n"/>
      <c r="Y75" s="107" t="n"/>
      <c r="Z75" s="107" t="n"/>
      <c r="AA75" s="107" t="n"/>
      <c r="AB75" s="107" t="n"/>
      <c r="AC75" s="107" t="n"/>
      <c r="AD75" s="107" t="n"/>
      <c r="AE75" s="107" t="n"/>
      <c r="AF75" s="107" t="n"/>
      <c r="AG75" s="107" t="n"/>
      <c r="AH75" s="107" t="n"/>
      <c r="AI75" s="107" t="n"/>
      <c r="AJ75" s="107" t="n"/>
      <c r="AK75" s="107" t="n"/>
      <c r="AL75" s="107" t="n"/>
      <c r="AM75" s="107" t="n"/>
      <c r="AN75" s="107" t="n"/>
      <c r="AO75" s="107" t="n"/>
      <c r="AP75" s="107" t="n"/>
      <c r="AQ75" s="107" t="n"/>
      <c r="AR75" s="107" t="n"/>
      <c r="AS75" s="107" t="n"/>
      <c r="AT75" s="107" t="n"/>
    </row>
    <row r="76" ht="15" customHeight="1">
      <c r="A76" s="101" t="n"/>
      <c r="B76" s="101" t="n"/>
      <c r="C76" s="107" t="n"/>
      <c r="D76" s="69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07" t="n"/>
      <c r="O76" s="107" t="n"/>
      <c r="P76" s="107" t="n"/>
      <c r="Q76" s="107" t="n"/>
      <c r="R76" s="107" t="n"/>
      <c r="S76" s="107" t="n"/>
      <c r="T76" s="107" t="n"/>
      <c r="U76" s="107" t="n"/>
      <c r="V76" s="107" t="n"/>
      <c r="W76" s="107" t="n"/>
      <c r="X76" s="107" t="n"/>
      <c r="Y76" s="107" t="n"/>
      <c r="Z76" s="107" t="n"/>
      <c r="AA76" s="107" t="n"/>
      <c r="AB76" s="107" t="n"/>
      <c r="AC76" s="107" t="n"/>
      <c r="AD76" s="107" t="n"/>
      <c r="AE76" s="107" t="n"/>
      <c r="AF76" s="107" t="n"/>
      <c r="AG76" s="107" t="n"/>
      <c r="AH76" s="107" t="n"/>
      <c r="AI76" s="107" t="n"/>
      <c r="AJ76" s="107" t="n"/>
      <c r="AK76" s="107" t="n"/>
      <c r="AL76" s="107" t="n"/>
      <c r="AM76" s="107" t="n"/>
      <c r="AN76" s="107" t="n"/>
      <c r="AO76" s="107" t="n"/>
      <c r="AP76" s="107" t="n"/>
      <c r="AQ76" s="107" t="n"/>
      <c r="AR76" s="107" t="n"/>
      <c r="AS76" s="107" t="n"/>
      <c r="AT76" s="107" t="n"/>
    </row>
    <row r="77" ht="15" customHeight="1">
      <c r="A77" s="101" t="n"/>
      <c r="B77" s="101" t="n"/>
      <c r="C77" s="107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07" t="n"/>
      <c r="O77" s="107" t="n"/>
      <c r="P77" s="107" t="n"/>
      <c r="Q77" s="107" t="n"/>
      <c r="R77" s="107" t="n"/>
      <c r="S77" s="107" t="n"/>
      <c r="T77" s="107" t="n"/>
      <c r="U77" s="107" t="n"/>
      <c r="V77" s="107" t="n"/>
      <c r="W77" s="107" t="n"/>
      <c r="X77" s="107" t="n"/>
      <c r="Y77" s="107" t="n"/>
      <c r="Z77" s="107" t="n"/>
      <c r="AA77" s="107" t="n"/>
      <c r="AB77" s="107" t="n"/>
      <c r="AC77" s="107" t="n"/>
      <c r="AD77" s="107" t="n"/>
      <c r="AE77" s="107" t="n"/>
      <c r="AF77" s="107" t="n"/>
      <c r="AG77" s="107" t="n"/>
      <c r="AH77" s="107" t="n"/>
      <c r="AI77" s="107" t="n"/>
      <c r="AJ77" s="107" t="n"/>
      <c r="AK77" s="107" t="n"/>
      <c r="AL77" s="107" t="n"/>
      <c r="AM77" s="107" t="n"/>
      <c r="AN77" s="107" t="n"/>
      <c r="AO77" s="107" t="n"/>
      <c r="AP77" s="107" t="n"/>
      <c r="AQ77" s="107" t="n"/>
      <c r="AR77" s="107" t="n"/>
      <c r="AS77" s="107" t="n"/>
      <c r="AT77" s="107" t="n"/>
    </row>
    <row r="78" ht="15" customHeight="1">
      <c r="A78" s="101" t="n"/>
      <c r="B78" s="101" t="n"/>
      <c r="C78" s="107" t="n"/>
      <c r="D78" s="107" t="n"/>
      <c r="E78" s="107" t="n"/>
      <c r="F78" s="107" t="n"/>
      <c r="G78" s="107" t="n"/>
      <c r="H78" s="107" t="n"/>
      <c r="I78" s="107" t="n"/>
      <c r="J78" s="107" t="n"/>
      <c r="K78" s="107" t="n"/>
      <c r="L78" s="107" t="n"/>
      <c r="M78" s="107" t="n"/>
      <c r="N78" s="107" t="n"/>
      <c r="O78" s="107" t="n"/>
      <c r="P78" s="107" t="n"/>
      <c r="Q78" s="107" t="n"/>
      <c r="R78" s="107" t="n"/>
      <c r="S78" s="107" t="n"/>
      <c r="T78" s="107" t="n"/>
      <c r="U78" s="107" t="n"/>
      <c r="V78" s="107" t="n"/>
      <c r="W78" s="107" t="n"/>
      <c r="X78" s="107" t="n"/>
      <c r="Y78" s="107" t="n"/>
      <c r="Z78" s="107" t="n"/>
      <c r="AA78" s="107" t="n"/>
      <c r="AB78" s="107" t="n"/>
      <c r="AC78" s="107" t="n"/>
      <c r="AD78" s="107" t="n"/>
      <c r="AE78" s="107" t="n"/>
      <c r="AF78" s="107" t="n"/>
      <c r="AG78" s="107" t="n"/>
      <c r="AH78" s="107" t="n"/>
      <c r="AI78" s="107" t="n"/>
      <c r="AJ78" s="107" t="n"/>
      <c r="AK78" s="107" t="n"/>
      <c r="AL78" s="107" t="n"/>
      <c r="AM78" s="107" t="n"/>
      <c r="AN78" s="107" t="n"/>
      <c r="AO78" s="107" t="n"/>
      <c r="AP78" s="107" t="n"/>
      <c r="AQ78" s="107" t="n"/>
      <c r="AR78" s="107" t="n"/>
      <c r="AS78" s="107" t="n"/>
      <c r="AT78" s="107" t="n"/>
    </row>
    <row r="79" ht="15" customHeight="1">
      <c r="A79" s="101" t="n"/>
      <c r="B79" s="101" t="n"/>
      <c r="C79" s="107" t="n"/>
      <c r="D79" s="129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0" t="inlineStr">
        <is>
          <t>DEGRAU</t>
        </is>
      </c>
      <c r="P79" s="10" t="n"/>
      <c r="Q79" s="10" t="n"/>
      <c r="R79" s="10" t="n"/>
      <c r="S79" s="131" t="inlineStr">
        <is>
          <t>PONTOS</t>
        </is>
      </c>
      <c r="T79" s="10" t="n"/>
      <c r="U79" s="10" t="n"/>
      <c r="V79" s="10" t="n"/>
      <c r="W79" s="11" t="n"/>
      <c r="X79" s="107" t="n"/>
      <c r="Y79" s="107" t="n"/>
      <c r="Z79" s="129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0" t="inlineStr">
        <is>
          <t>DEGRAU</t>
        </is>
      </c>
      <c r="AL79" s="10" t="n"/>
      <c r="AM79" s="10" t="n"/>
      <c r="AN79" s="10" t="n"/>
      <c r="AO79" s="131" t="inlineStr">
        <is>
          <t>PONTOS</t>
        </is>
      </c>
      <c r="AP79" s="10" t="n"/>
      <c r="AQ79" s="10" t="n"/>
      <c r="AR79" s="10" t="n"/>
      <c r="AS79" s="11" t="n"/>
      <c r="AT79" s="107" t="n"/>
    </row>
    <row r="80" ht="15" customHeight="1">
      <c r="A80" s="101" t="n"/>
      <c r="B80" s="101" t="n"/>
      <c r="C80" s="107" t="n"/>
      <c r="D80" s="85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2" t="inlineStr">
        <is>
          <t>—</t>
        </is>
      </c>
      <c r="P80" s="10" t="n"/>
      <c r="Q80" s="10" t="n"/>
      <c r="R80" s="11" t="n"/>
      <c r="S80" s="133">
        <f>IFERROR(VLOOKUP($D80,DADOS_INV!$T$3:$U$16,2,FALSE),N($O80))</f>
        <v/>
      </c>
      <c r="T80" s="10" t="n"/>
      <c r="U80" s="10" t="n"/>
      <c r="V80" s="10" t="n"/>
      <c r="W80" s="11" t="n"/>
      <c r="X80" s="107" t="n"/>
      <c r="Y80" s="107" t="n"/>
      <c r="Z80" s="85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2" t="inlineStr">
        <is>
          <t>—</t>
        </is>
      </c>
      <c r="AL80" s="10" t="n"/>
      <c r="AM80" s="10" t="n"/>
      <c r="AN80" s="11" t="n"/>
      <c r="AO80" s="133">
        <f>IFERROR(VLOOKUP($Z$80,DADOS_INV!$W$3:$X$10,2,FALSE),N($AK80))</f>
        <v/>
      </c>
      <c r="AP80" s="10" t="n"/>
      <c r="AQ80" s="10" t="n"/>
      <c r="AR80" s="10" t="n"/>
      <c r="AS80" s="11" t="n"/>
      <c r="AT80" s="107" t="n"/>
    </row>
    <row r="81" ht="15" customHeight="1">
      <c r="A81" s="101" t="n"/>
      <c r="B81" s="101" t="n"/>
      <c r="C81" s="107" t="n"/>
      <c r="D81" s="123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34" t="inlineStr">
        <is>
          <t>—</t>
        </is>
      </c>
      <c r="P81" s="10" t="n"/>
      <c r="Q81" s="10" t="n"/>
      <c r="R81" s="11" t="n"/>
      <c r="S81" s="135">
        <f>IFERROR(VLOOKUP($D81,DADOS_INV!$T$3:$U$16,2,FALSE),N($O81))</f>
        <v/>
      </c>
      <c r="T81" s="10" t="n"/>
      <c r="U81" s="10" t="n"/>
      <c r="V81" s="10" t="n"/>
      <c r="W81" s="11" t="n"/>
      <c r="X81" s="107" t="n"/>
      <c r="Y81" s="107" t="n"/>
      <c r="Z81" s="123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34" t="inlineStr">
        <is>
          <t>—</t>
        </is>
      </c>
      <c r="AL81" s="10" t="n"/>
      <c r="AM81" s="10" t="n"/>
      <c r="AN81" s="11" t="n"/>
      <c r="AO81" s="135">
        <f>IFERROR(VLOOKUP($Z$81,DADOS_INV!$W$3:$X$10,2,FALSE),N($AK81))</f>
        <v/>
      </c>
      <c r="AP81" s="10" t="n"/>
      <c r="AQ81" s="10" t="n"/>
      <c r="AR81" s="10" t="n"/>
      <c r="AS81" s="11" t="n"/>
      <c r="AT81" s="107" t="n"/>
    </row>
    <row r="82" ht="15" customHeight="1">
      <c r="A82" s="101" t="n"/>
      <c r="B82" s="101" t="n"/>
      <c r="C82" s="107" t="n"/>
      <c r="D82" s="85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2" t="inlineStr">
        <is>
          <t>—</t>
        </is>
      </c>
      <c r="P82" s="10" t="n"/>
      <c r="Q82" s="10" t="n"/>
      <c r="R82" s="11" t="n"/>
      <c r="S82" s="133">
        <f>IFERROR(VLOOKUP($D82,DADOS_INV!$T$3:$U$16,2,FALSE),N($O82))</f>
        <v/>
      </c>
      <c r="T82" s="10" t="n"/>
      <c r="U82" s="10" t="n"/>
      <c r="V82" s="10" t="n"/>
      <c r="W82" s="11" t="n"/>
      <c r="X82" s="107" t="n"/>
      <c r="Y82" s="107" t="n"/>
      <c r="Z82" s="85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2" t="inlineStr">
        <is>
          <t>—</t>
        </is>
      </c>
      <c r="AL82" s="10" t="n"/>
      <c r="AM82" s="10" t="n"/>
      <c r="AN82" s="11" t="n"/>
      <c r="AO82" s="133">
        <f>IFERROR(VLOOKUP($Z$82,DADOS_INV!$W$3:$X$10,2,FALSE),N($AK82))</f>
        <v/>
      </c>
      <c r="AP82" s="10" t="n"/>
      <c r="AQ82" s="10" t="n"/>
      <c r="AR82" s="10" t="n"/>
      <c r="AS82" s="11" t="n"/>
      <c r="AT82" s="107" t="n"/>
    </row>
    <row r="83" ht="15" customHeight="1">
      <c r="A83" s="101" t="n"/>
      <c r="B83" s="101" t="n"/>
      <c r="C83" s="107" t="n"/>
      <c r="D83" s="123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34" t="inlineStr">
        <is>
          <t>—</t>
        </is>
      </c>
      <c r="P83" s="10" t="n"/>
      <c r="Q83" s="10" t="n"/>
      <c r="R83" s="11" t="n"/>
      <c r="S83" s="135">
        <f>IFERROR(VLOOKUP($D83,DADOS_INV!$T$3:$U$16,2,FALSE),N($O83))</f>
        <v/>
      </c>
      <c r="T83" s="10" t="n"/>
      <c r="U83" s="10" t="n"/>
      <c r="V83" s="10" t="n"/>
      <c r="W83" s="11" t="n"/>
      <c r="X83" s="107" t="n"/>
      <c r="Y83" s="107" t="n"/>
      <c r="Z83" s="123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34" t="inlineStr">
        <is>
          <t>—</t>
        </is>
      </c>
      <c r="AL83" s="10" t="n"/>
      <c r="AM83" s="10" t="n"/>
      <c r="AN83" s="11" t="n"/>
      <c r="AO83" s="135">
        <f>IFERROR(VLOOKUP($Z$83,DADOS_INV!$W$3:$X$10,2,FALSE),N($AK83))</f>
        <v/>
      </c>
      <c r="AP83" s="10" t="n"/>
      <c r="AQ83" s="10" t="n"/>
      <c r="AR83" s="10" t="n"/>
      <c r="AS83" s="11" t="n"/>
      <c r="AT83" s="107" t="n"/>
    </row>
    <row r="84" ht="15" customHeight="1">
      <c r="A84" s="101" t="n"/>
      <c r="B84" s="101" t="n"/>
      <c r="C84" s="107" t="n"/>
      <c r="D84" s="85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2" t="inlineStr">
        <is>
          <t>—</t>
        </is>
      </c>
      <c r="P84" s="10" t="n"/>
      <c r="Q84" s="10" t="n"/>
      <c r="R84" s="11" t="n"/>
      <c r="S84" s="133">
        <f>IFERROR(VLOOKUP($D84,DADOS_INV!$T$3:$U$16,2,FALSE),N($O84))</f>
        <v/>
      </c>
      <c r="T84" s="10" t="n"/>
      <c r="U84" s="10" t="n"/>
      <c r="V84" s="10" t="n"/>
      <c r="W84" s="11" t="n"/>
      <c r="X84" s="107" t="n"/>
      <c r="Y84" s="107" t="n"/>
      <c r="Z84" s="85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2" t="inlineStr">
        <is>
          <t>—</t>
        </is>
      </c>
      <c r="AL84" s="10" t="n"/>
      <c r="AM84" s="10" t="n"/>
      <c r="AN84" s="11" t="n"/>
      <c r="AO84" s="133">
        <f>IFERROR(VLOOKUP($Z$84,DADOS_INV!$W$3:$X$10,2,FALSE),N($AK84))</f>
        <v/>
      </c>
      <c r="AP84" s="10" t="n"/>
      <c r="AQ84" s="10" t="n"/>
      <c r="AR84" s="10" t="n"/>
      <c r="AS84" s="11" t="n"/>
      <c r="AT84" s="107" t="n"/>
    </row>
    <row r="85" ht="15" customHeight="1">
      <c r="A85" s="101" t="n"/>
      <c r="B85" s="101" t="n"/>
      <c r="C85" s="107" t="n"/>
      <c r="D85" s="123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34" t="inlineStr">
        <is>
          <t>—</t>
        </is>
      </c>
      <c r="P85" s="10" t="n"/>
      <c r="Q85" s="10" t="n"/>
      <c r="R85" s="11" t="n"/>
      <c r="S85" s="135">
        <f>IFERROR(VLOOKUP($D85,DADOS_INV!$T$3:$U$16,2,FALSE),N($O85))</f>
        <v/>
      </c>
      <c r="T85" s="10" t="n"/>
      <c r="U85" s="10" t="n"/>
      <c r="V85" s="10" t="n"/>
      <c r="W85" s="11" t="n"/>
      <c r="X85" s="107" t="n"/>
      <c r="Y85" s="107" t="n"/>
      <c r="Z85" s="123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34" t="inlineStr">
        <is>
          <t>—</t>
        </is>
      </c>
      <c r="AL85" s="10" t="n"/>
      <c r="AM85" s="10" t="n"/>
      <c r="AN85" s="11" t="n"/>
      <c r="AO85" s="135">
        <f>IFERROR(VLOOKUP($Z$85,DADOS_INV!$W$3:$X$10,2,FALSE),N($AK85))</f>
        <v/>
      </c>
      <c r="AP85" s="10" t="n"/>
      <c r="AQ85" s="10" t="n"/>
      <c r="AR85" s="10" t="n"/>
      <c r="AS85" s="11" t="n"/>
      <c r="AT85" s="107" t="n"/>
    </row>
    <row r="86" ht="15" customHeight="1">
      <c r="A86" s="101" t="n"/>
      <c r="B86" s="101" t="n"/>
      <c r="C86" s="107" t="n"/>
      <c r="D86" s="85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2" t="inlineStr">
        <is>
          <t>—</t>
        </is>
      </c>
      <c r="P86" s="10" t="n"/>
      <c r="Q86" s="10" t="n"/>
      <c r="R86" s="11" t="n"/>
      <c r="S86" s="133">
        <f>IFERROR(VLOOKUP($D86,DADOS_INV!$T$3:$U$16,2,FALSE),N($O86))</f>
        <v/>
      </c>
      <c r="T86" s="10" t="n"/>
      <c r="U86" s="10" t="n"/>
      <c r="V86" s="10" t="n"/>
      <c r="W86" s="11" t="n"/>
      <c r="X86" s="107" t="n"/>
      <c r="Y86" s="107" t="n"/>
      <c r="Z86" s="107" t="n"/>
      <c r="AA86" s="107" t="n"/>
      <c r="AB86" s="107" t="n"/>
      <c r="AC86" s="107" t="n"/>
      <c r="AD86" s="107" t="n"/>
      <c r="AE86" s="107" t="n"/>
      <c r="AF86" s="107" t="n"/>
      <c r="AG86" s="107" t="n"/>
      <c r="AH86" s="107" t="n"/>
      <c r="AI86" s="107" t="n"/>
      <c r="AJ86" s="107" t="n"/>
      <c r="AK86" s="107" t="n"/>
      <c r="AL86" s="107" t="n"/>
      <c r="AM86" s="107" t="n"/>
      <c r="AN86" s="107" t="n"/>
      <c r="AO86" s="107" t="n"/>
      <c r="AP86" s="107" t="n"/>
      <c r="AQ86" s="107" t="n"/>
      <c r="AR86" s="107" t="n"/>
      <c r="AS86" s="107" t="n"/>
      <c r="AT86" s="107" t="n"/>
    </row>
    <row r="87" ht="15" customHeight="1">
      <c r="A87" s="101" t="n"/>
      <c r="B87" s="101" t="n"/>
      <c r="C87" s="107" t="n"/>
      <c r="D87" s="123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34" t="inlineStr">
        <is>
          <t>—</t>
        </is>
      </c>
      <c r="P87" s="10" t="n"/>
      <c r="Q87" s="10" t="n"/>
      <c r="R87" s="11" t="n"/>
      <c r="S87" s="135">
        <f>IFERROR(VLOOKUP($D87,DADOS_INV!$T$3:$U$16,2,FALSE),N($O87))</f>
        <v/>
      </c>
      <c r="T87" s="10" t="n"/>
      <c r="U87" s="10" t="n"/>
      <c r="V87" s="10" t="n"/>
      <c r="W87" s="11" t="n"/>
      <c r="X87" s="107" t="n"/>
      <c r="Y87" s="107" t="n"/>
      <c r="Z87" s="107" t="n"/>
      <c r="AA87" s="107" t="n"/>
      <c r="AB87" s="107" t="n"/>
      <c r="AC87" s="107" t="n"/>
      <c r="AD87" s="107" t="n"/>
      <c r="AE87" s="107" t="n"/>
      <c r="AF87" s="107" t="n"/>
      <c r="AG87" s="107" t="n"/>
      <c r="AH87" s="107" t="n"/>
      <c r="AI87" s="107" t="n"/>
      <c r="AJ87" s="107" t="n"/>
      <c r="AK87" s="107" t="n"/>
      <c r="AL87" s="107" t="n"/>
      <c r="AM87" s="107" t="n"/>
      <c r="AN87" s="107" t="n"/>
      <c r="AO87" s="107" t="n"/>
      <c r="AP87" s="107" t="n"/>
      <c r="AQ87" s="107" t="n"/>
      <c r="AR87" s="107" t="n"/>
      <c r="AS87" s="107" t="n"/>
      <c r="AT87" s="107" t="n"/>
    </row>
    <row r="88" ht="15" customHeight="1">
      <c r="A88" s="101" t="n"/>
      <c r="B88" s="101" t="n"/>
      <c r="C88" s="107" t="n"/>
      <c r="D88" s="85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2" t="inlineStr">
        <is>
          <t>—</t>
        </is>
      </c>
      <c r="P88" s="10" t="n"/>
      <c r="Q88" s="10" t="n"/>
      <c r="R88" s="11" t="n"/>
      <c r="S88" s="133">
        <f>IFERROR(VLOOKUP($D88,DADOS_INV!$T$3:$U$16,2,FALSE),N($O88))</f>
        <v/>
      </c>
      <c r="T88" s="10" t="n"/>
      <c r="U88" s="10" t="n"/>
      <c r="V88" s="10" t="n"/>
      <c r="W88" s="11" t="n"/>
      <c r="X88" s="107" t="n"/>
      <c r="Y88" s="107" t="n"/>
      <c r="Z88" s="107" t="n"/>
      <c r="AA88" s="107" t="n"/>
      <c r="AB88" s="107" t="n"/>
      <c r="AC88" s="107" t="n"/>
      <c r="AD88" s="107" t="n"/>
      <c r="AE88" s="107" t="n"/>
      <c r="AF88" s="107" t="n"/>
      <c r="AG88" s="107" t="n"/>
      <c r="AH88" s="107" t="n"/>
      <c r="AI88" s="107" t="n"/>
      <c r="AJ88" s="107" t="n"/>
      <c r="AK88" s="107" t="n"/>
      <c r="AL88" s="107" t="n"/>
      <c r="AM88" s="107" t="n"/>
      <c r="AN88" s="107" t="n"/>
      <c r="AO88" s="107" t="n"/>
      <c r="AP88" s="107" t="n"/>
      <c r="AQ88" s="107" t="n"/>
      <c r="AR88" s="107" t="n"/>
      <c r="AS88" s="107" t="n"/>
      <c r="AT88" s="107" t="n"/>
    </row>
    <row r="89" ht="15" customHeight="1">
      <c r="A89" s="101" t="n"/>
      <c r="B89" s="101" t="n"/>
      <c r="C89" s="107" t="n"/>
      <c r="D89" s="136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07" t="n"/>
    </row>
    <row r="90" ht="15" customHeight="1">
      <c r="A90" s="101" t="n"/>
      <c r="B90" s="101" t="n"/>
      <c r="C90" s="107" t="n"/>
      <c r="D90" s="53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07" t="n"/>
      <c r="O90" s="53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07" t="n"/>
      <c r="Z90" s="107" t="n"/>
      <c r="AA90" s="107" t="n"/>
      <c r="AB90" s="107" t="n"/>
      <c r="AC90" s="107" t="n"/>
      <c r="AD90" s="107" t="n"/>
      <c r="AE90" s="107" t="n"/>
      <c r="AF90" s="107" t="n"/>
      <c r="AG90" s="107" t="n"/>
      <c r="AH90" s="107" t="n"/>
      <c r="AI90" s="107" t="n"/>
      <c r="AJ90" s="107" t="n"/>
      <c r="AK90" s="107" t="n"/>
      <c r="AL90" s="107" t="n"/>
      <c r="AM90" s="107" t="n"/>
      <c r="AN90" s="107" t="n"/>
      <c r="AO90" s="107" t="n"/>
      <c r="AP90" s="107" t="n"/>
      <c r="AQ90" s="107" t="n"/>
      <c r="AR90" s="107" t="n"/>
      <c r="AS90" s="107" t="n"/>
      <c r="AT90" s="107" t="n"/>
    </row>
    <row r="91" ht="26.25" customHeight="1">
      <c r="A91" s="101" t="n"/>
      <c r="B91" s="101" t="n"/>
      <c r="C91" s="107" t="n"/>
      <c r="D91" s="82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07" t="n"/>
      <c r="O91" s="137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07" t="n"/>
      <c r="Z91" s="107" t="n"/>
      <c r="AA91" s="107" t="n"/>
      <c r="AB91" s="107" t="n"/>
      <c r="AC91" s="107" t="n"/>
      <c r="AD91" s="107" t="n"/>
      <c r="AE91" s="107" t="n"/>
      <c r="AF91" s="107" t="n"/>
      <c r="AG91" s="107" t="n"/>
      <c r="AH91" s="107" t="n"/>
      <c r="AI91" s="107" t="n"/>
      <c r="AJ91" s="107" t="n"/>
      <c r="AK91" s="107" t="n"/>
      <c r="AL91" s="107" t="n"/>
      <c r="AM91" s="107" t="n"/>
      <c r="AN91" s="107" t="n"/>
      <c r="AO91" s="107" t="n"/>
      <c r="AP91" s="107" t="n"/>
      <c r="AQ91" s="107" t="n"/>
      <c r="AR91" s="107" t="n"/>
      <c r="AS91" s="107" t="n"/>
      <c r="AT91" s="107" t="n"/>
    </row>
    <row r="92" ht="15" customHeight="1">
      <c r="A92" s="101" t="n"/>
      <c r="B92" s="101" t="n"/>
      <c r="C92" s="107" t="n"/>
      <c r="D92" s="107" t="n"/>
      <c r="E92" s="107" t="n"/>
      <c r="F92" s="107" t="n"/>
      <c r="G92" s="107" t="n"/>
      <c r="H92" s="107" t="n"/>
      <c r="I92" s="107" t="n"/>
      <c r="J92" s="107" t="n"/>
      <c r="K92" s="107" t="n"/>
      <c r="L92" s="107" t="n"/>
      <c r="M92" s="107" t="n"/>
      <c r="N92" s="107" t="n"/>
      <c r="O92" s="107" t="n"/>
      <c r="P92" s="107" t="n"/>
      <c r="Q92" s="107" t="n"/>
      <c r="R92" s="107" t="n"/>
      <c r="S92" s="107" t="n"/>
      <c r="T92" s="107" t="n"/>
      <c r="U92" s="107" t="n"/>
      <c r="V92" s="107" t="n"/>
      <c r="W92" s="107" t="n"/>
      <c r="X92" s="107" t="n"/>
      <c r="Y92" s="107" t="n"/>
      <c r="Z92" s="107" t="n"/>
      <c r="AA92" s="107" t="n"/>
      <c r="AB92" s="107" t="n"/>
      <c r="AC92" s="107" t="n"/>
      <c r="AD92" s="107" t="n"/>
      <c r="AE92" s="107" t="n"/>
      <c r="AF92" s="107" t="n"/>
      <c r="AG92" s="107" t="n"/>
      <c r="AH92" s="107" t="n"/>
      <c r="AI92" s="107" t="n"/>
      <c r="AJ92" s="107" t="n"/>
      <c r="AK92" s="107" t="n"/>
      <c r="AL92" s="107" t="n"/>
      <c r="AM92" s="107" t="n"/>
      <c r="AN92" s="107" t="n"/>
      <c r="AO92" s="107" t="n"/>
      <c r="AP92" s="107" t="n"/>
      <c r="AQ92" s="107" t="n"/>
      <c r="AR92" s="107" t="n"/>
      <c r="AS92" s="107" t="n"/>
      <c r="AT92" s="107" t="n"/>
    </row>
    <row r="93" ht="15" customHeight="1">
      <c r="A93" s="101" t="n"/>
      <c r="B93" s="101" t="n"/>
      <c r="C93" s="107" t="n"/>
      <c r="D93" s="96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1" t="n"/>
      <c r="B94" s="101" t="n"/>
      <c r="C94" s="107" t="n"/>
    </row>
    <row r="95" ht="15" customHeight="1">
      <c r="A95" s="101" t="n"/>
      <c r="B95" s="101" t="n"/>
      <c r="C95" s="107" t="n"/>
      <c r="D95" s="107" t="n"/>
      <c r="E95" s="107" t="n"/>
      <c r="F95" s="107" t="n"/>
      <c r="G95" s="107" t="n"/>
      <c r="H95" s="107" t="n"/>
      <c r="I95" s="107" t="n"/>
      <c r="J95" s="107" t="n"/>
      <c r="K95" s="107" t="n"/>
      <c r="L95" s="107" t="n"/>
      <c r="M95" s="107" t="n"/>
      <c r="N95" s="107" t="n"/>
      <c r="O95" s="107" t="n"/>
      <c r="P95" s="107" t="n"/>
      <c r="Q95" s="107" t="n"/>
      <c r="R95" s="107" t="n"/>
      <c r="S95" s="107" t="n"/>
      <c r="T95" s="107" t="n"/>
      <c r="U95" s="107" t="n"/>
      <c r="V95" s="107" t="n"/>
      <c r="W95" s="107" t="n"/>
      <c r="X95" s="107" t="n"/>
      <c r="Y95" s="107" t="n"/>
      <c r="Z95" s="107" t="n"/>
      <c r="AA95" s="107" t="n"/>
      <c r="AB95" s="107" t="n"/>
      <c r="AC95" s="107" t="n"/>
      <c r="AD95" s="107" t="n"/>
      <c r="AE95" s="107" t="n"/>
      <c r="AF95" s="107" t="n"/>
      <c r="AG95" s="107" t="n"/>
      <c r="AH95" s="107" t="n"/>
      <c r="AI95" s="107" t="n"/>
      <c r="AJ95" s="107" t="n"/>
      <c r="AK95" s="107" t="n"/>
      <c r="AL95" s="107" t="n"/>
      <c r="AM95" s="107" t="n"/>
      <c r="AN95" s="107" t="n"/>
      <c r="AO95" s="107" t="n"/>
      <c r="AP95" s="107" t="n"/>
      <c r="AQ95" s="107" t="n"/>
      <c r="AR95" s="107" t="n"/>
      <c r="AS95" s="107" t="n"/>
      <c r="AT95" s="107" t="n"/>
    </row>
    <row r="96" ht="15" customHeight="1">
      <c r="A96" s="101" t="n"/>
      <c r="B96" s="101" t="n"/>
      <c r="C96" s="107" t="n"/>
      <c r="D96" s="61" t="inlineStr">
        <is>
          <t>7</t>
        </is>
      </c>
      <c r="E96" s="13" t="n"/>
      <c r="F96" s="14" t="n"/>
      <c r="G96" s="81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07" t="n"/>
      <c r="AD96" s="107" t="n"/>
      <c r="AE96" s="107" t="n"/>
      <c r="AF96" s="107" t="n"/>
      <c r="AG96" s="107" t="n"/>
      <c r="AH96" s="107" t="n"/>
      <c r="AI96" s="107" t="n"/>
      <c r="AJ96" s="107" t="n"/>
      <c r="AK96" s="107" t="n"/>
      <c r="AL96" s="107" t="n"/>
      <c r="AM96" s="107" t="n"/>
      <c r="AN96" s="107" t="n"/>
      <c r="AO96" s="107" t="n"/>
      <c r="AP96" s="107" t="n"/>
      <c r="AQ96" s="107" t="n"/>
      <c r="AR96" s="107" t="n"/>
      <c r="AS96" s="107" t="n"/>
      <c r="AT96" s="107" t="n"/>
    </row>
    <row r="97" ht="15" customHeight="1">
      <c r="A97" s="101" t="n"/>
      <c r="B97" s="101" t="n"/>
      <c r="C97" s="107" t="n"/>
      <c r="D97" s="17" t="n"/>
      <c r="E97" s="18" t="n"/>
      <c r="F97" s="19" t="n"/>
      <c r="G97" s="107" t="n"/>
      <c r="H97" s="107" t="n"/>
      <c r="I97" s="107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R97" s="107" t="n"/>
      <c r="S97" s="107" t="n"/>
      <c r="T97" s="107" t="n"/>
      <c r="U97" s="107" t="n"/>
      <c r="V97" s="107" t="n"/>
      <c r="W97" s="107" t="n"/>
      <c r="X97" s="107" t="n"/>
      <c r="Y97" s="107" t="n"/>
      <c r="Z97" s="107" t="n"/>
      <c r="AA97" s="107" t="n"/>
      <c r="AB97" s="107" t="n"/>
      <c r="AC97" s="107" t="n"/>
      <c r="AD97" s="107" t="n"/>
      <c r="AE97" s="107" t="n"/>
      <c r="AF97" s="107" t="n"/>
      <c r="AG97" s="107" t="n"/>
      <c r="AH97" s="107" t="n"/>
      <c r="AI97" s="107" t="n"/>
      <c r="AJ97" s="107" t="n"/>
      <c r="AK97" s="107" t="n"/>
      <c r="AL97" s="107" t="n"/>
      <c r="AM97" s="107" t="n"/>
      <c r="AN97" s="107" t="n"/>
      <c r="AO97" s="107" t="n"/>
      <c r="AP97" s="107" t="n"/>
      <c r="AQ97" s="107" t="n"/>
      <c r="AR97" s="107" t="n"/>
      <c r="AS97" s="107" t="n"/>
      <c r="AT97" s="107" t="n"/>
    </row>
    <row r="98" ht="15" customHeight="1">
      <c r="A98" s="101" t="n"/>
      <c r="B98" s="101" t="n"/>
      <c r="C98" s="107" t="n"/>
      <c r="D98" s="108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07" t="n"/>
      <c r="O98" s="51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1" t="n"/>
      <c r="B99" s="101" t="n"/>
      <c r="C99" s="107" t="n"/>
      <c r="D99" s="69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07" t="n"/>
      <c r="O99" s="73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1" t="n"/>
      <c r="B100" s="101" t="n"/>
      <c r="C100" s="107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07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1" t="n"/>
      <c r="B101" s="101" t="n"/>
      <c r="C101" s="107" t="n"/>
      <c r="D101" s="107" t="n"/>
      <c r="E101" s="107" t="n"/>
      <c r="F101" s="107" t="n"/>
      <c r="G101" s="107" t="n"/>
      <c r="H101" s="107" t="n"/>
      <c r="I101" s="107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R101" s="107" t="n"/>
      <c r="S101" s="107" t="n"/>
      <c r="T101" s="107" t="n"/>
      <c r="U101" s="107" t="n"/>
      <c r="V101" s="107" t="n"/>
      <c r="W101" s="107" t="n"/>
      <c r="X101" s="107" t="n"/>
      <c r="Y101" s="107" t="n"/>
      <c r="Z101" s="107" t="n"/>
      <c r="AA101" s="107" t="n"/>
      <c r="AB101" s="107" t="n"/>
      <c r="AC101" s="107" t="n"/>
      <c r="AD101" s="107" t="n"/>
      <c r="AE101" s="107" t="n"/>
      <c r="AF101" s="107" t="n"/>
      <c r="AG101" s="107" t="n"/>
      <c r="AH101" s="107" t="n"/>
      <c r="AI101" s="107" t="n"/>
      <c r="AJ101" s="107" t="n"/>
      <c r="AK101" s="107" t="n"/>
      <c r="AL101" s="107" t="n"/>
      <c r="AM101" s="107" t="n"/>
      <c r="AN101" s="107" t="n"/>
      <c r="AO101" s="107" t="n"/>
      <c r="AP101" s="107" t="n"/>
      <c r="AQ101" s="107" t="n"/>
      <c r="AR101" s="107" t="n"/>
      <c r="AS101" s="107" t="n"/>
      <c r="AT101" s="107" t="n"/>
    </row>
    <row r="102" ht="15" customHeight="1">
      <c r="A102" s="101" t="n"/>
      <c r="B102" s="101" t="n"/>
      <c r="C102" s="107" t="n"/>
      <c r="D102" s="96" t="n"/>
    </row>
    <row r="103" ht="15" customHeight="1">
      <c r="A103" s="101" t="n"/>
      <c r="B103" s="101" t="n"/>
      <c r="C103" s="107" t="n"/>
    </row>
    <row r="104" ht="15" customHeight="1">
      <c r="A104" s="101" t="n"/>
      <c r="B104" s="101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107" t="n"/>
      <c r="R104" s="107" t="n"/>
      <c r="S104" s="107" t="n"/>
      <c r="T104" s="107" t="n"/>
      <c r="U104" s="107" t="n"/>
      <c r="V104" s="107" t="n"/>
      <c r="W104" s="107" t="n"/>
      <c r="X104" s="107" t="n"/>
      <c r="Y104" s="107" t="n"/>
      <c r="Z104" s="107" t="n"/>
      <c r="AA104" s="107" t="n"/>
      <c r="AB104" s="107" t="n"/>
      <c r="AC104" s="107" t="n"/>
      <c r="AD104" s="107" t="n"/>
      <c r="AE104" s="107" t="n"/>
      <c r="AF104" s="107" t="n"/>
      <c r="AG104" s="107" t="n"/>
      <c r="AH104" s="107" t="n"/>
      <c r="AI104" s="107" t="n"/>
      <c r="AJ104" s="107" t="n"/>
      <c r="AK104" s="107" t="n"/>
      <c r="AL104" s="107" t="n"/>
      <c r="AM104" s="107" t="n"/>
      <c r="AN104" s="107" t="n"/>
      <c r="AO104" s="107" t="n"/>
      <c r="AP104" s="107" t="n"/>
      <c r="AQ104" s="107" t="n"/>
      <c r="AR104" s="107" t="n"/>
      <c r="AS104" s="107" t="n"/>
      <c r="AT104" s="107" t="n"/>
    </row>
    <row r="105" ht="15" customHeight="1">
      <c r="A105" s="101" t="n"/>
      <c r="B105" s="101" t="n"/>
      <c r="C105" s="107" t="n"/>
      <c r="D105" s="61" t="inlineStr">
        <is>
          <t>8</t>
        </is>
      </c>
      <c r="E105" s="13" t="n"/>
      <c r="F105" s="14" t="n"/>
      <c r="G105" s="81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07" t="n"/>
      <c r="Z105" s="107" t="n"/>
      <c r="AA105" s="107" t="n"/>
      <c r="AB105" s="107" t="n"/>
      <c r="AC105" s="107" t="n"/>
      <c r="AD105" s="107" t="n"/>
      <c r="AE105" s="107" t="n"/>
      <c r="AF105" s="107" t="n"/>
      <c r="AG105" s="107" t="n"/>
      <c r="AH105" s="107" t="n"/>
      <c r="AI105" s="107" t="n"/>
      <c r="AJ105" s="107" t="n"/>
      <c r="AK105" s="107" t="n"/>
      <c r="AL105" s="107" t="n"/>
      <c r="AM105" s="107" t="n"/>
      <c r="AN105" s="107" t="n"/>
      <c r="AO105" s="107" t="n"/>
      <c r="AP105" s="107" t="n"/>
      <c r="AQ105" s="107" t="n"/>
      <c r="AR105" s="107" t="n"/>
      <c r="AS105" s="107" t="n"/>
      <c r="AT105" s="107" t="n"/>
    </row>
    <row r="106" ht="15" customHeight="1">
      <c r="A106" s="101" t="n"/>
      <c r="B106" s="101" t="n"/>
      <c r="C106" s="107" t="n"/>
      <c r="D106" s="17" t="n"/>
      <c r="E106" s="18" t="n"/>
      <c r="F106" s="19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7" t="n"/>
      <c r="R106" s="107" t="n"/>
      <c r="S106" s="107" t="n"/>
      <c r="T106" s="107" t="n"/>
      <c r="U106" s="107" t="n"/>
      <c r="V106" s="107" t="n"/>
      <c r="W106" s="107" t="n"/>
      <c r="X106" s="107" t="n"/>
      <c r="Y106" s="107" t="n"/>
      <c r="Z106" s="107" t="n"/>
      <c r="AA106" s="107" t="n"/>
      <c r="AB106" s="107" t="n"/>
      <c r="AC106" s="107" t="n"/>
      <c r="AD106" s="107" t="n"/>
      <c r="AE106" s="107" t="n"/>
      <c r="AF106" s="107" t="n"/>
      <c r="AG106" s="107" t="n"/>
      <c r="AH106" s="107" t="n"/>
      <c r="AI106" s="107" t="n"/>
      <c r="AJ106" s="107" t="n"/>
      <c r="AK106" s="107" t="n"/>
      <c r="AL106" s="107" t="n"/>
      <c r="AM106" s="107" t="n"/>
      <c r="AN106" s="107" t="n"/>
      <c r="AO106" s="107" t="n"/>
      <c r="AP106" s="107" t="n"/>
      <c r="AQ106" s="107" t="n"/>
      <c r="AR106" s="107" t="n"/>
      <c r="AS106" s="107" t="n"/>
      <c r="AT106" s="107" t="n"/>
    </row>
    <row r="107" ht="15" customHeight="1">
      <c r="A107" s="101" t="n"/>
      <c r="B107" s="101" t="n"/>
      <c r="C107" s="107" t="n"/>
      <c r="D107" s="138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39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1" t="n"/>
      <c r="B108" s="101" t="n"/>
      <c r="C108" s="107" t="n"/>
      <c r="D108" s="140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1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1" t="n"/>
      <c r="B109" s="101" t="n"/>
      <c r="C109" s="107" t="n"/>
      <c r="D109" s="138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39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1" t="n"/>
      <c r="B110" s="101" t="n"/>
      <c r="C110" s="107" t="n"/>
      <c r="D110" s="140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1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1" t="n"/>
      <c r="B111" s="101" t="n"/>
      <c r="C111" s="107" t="n"/>
      <c r="D111" s="138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39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1" t="n"/>
      <c r="B112" s="101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7" t="n"/>
      <c r="R112" s="107" t="n"/>
      <c r="S112" s="107" t="n"/>
      <c r="T112" s="107" t="n"/>
      <c r="U112" s="107" t="n"/>
      <c r="V112" s="107" t="n"/>
      <c r="W112" s="107" t="n"/>
      <c r="X112" s="107" t="n"/>
      <c r="Y112" s="107" t="n"/>
      <c r="Z112" s="107" t="n"/>
      <c r="AA112" s="107" t="n"/>
      <c r="AB112" s="107" t="n"/>
      <c r="AC112" s="107" t="n"/>
      <c r="AD112" s="107" t="n"/>
      <c r="AE112" s="107" t="n"/>
      <c r="AF112" s="107" t="n"/>
      <c r="AG112" s="107" t="n"/>
      <c r="AH112" s="107" t="n"/>
      <c r="AI112" s="107" t="n"/>
      <c r="AJ112" s="107" t="n"/>
      <c r="AK112" s="107" t="n"/>
      <c r="AL112" s="107" t="n"/>
      <c r="AM112" s="107" t="n"/>
      <c r="AN112" s="107" t="n"/>
      <c r="AO112" s="107" t="n"/>
      <c r="AP112" s="107" t="n"/>
      <c r="AQ112" s="107" t="n"/>
      <c r="AR112" s="107" t="n"/>
      <c r="AS112" s="107" t="n"/>
      <c r="AT112" s="107" t="n"/>
    </row>
    <row r="113" ht="15" customHeight="1">
      <c r="A113" s="101" t="n"/>
      <c r="B113" s="101" t="n"/>
      <c r="C113" s="107" t="n"/>
      <c r="D113" s="61" t="inlineStr">
        <is>
          <t>9</t>
        </is>
      </c>
      <c r="E113" s="13" t="n"/>
      <c r="F113" s="14" t="n"/>
      <c r="G113" s="142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07" t="n"/>
      <c r="AH113" s="107" t="n"/>
      <c r="AI113" s="107" t="n"/>
      <c r="AJ113" s="107" t="n"/>
      <c r="AK113" s="107" t="n"/>
      <c r="AL113" s="107" t="n"/>
      <c r="AM113" s="107" t="n"/>
      <c r="AN113" s="107" t="n"/>
      <c r="AO113" s="107" t="n"/>
      <c r="AP113" s="107" t="n"/>
      <c r="AQ113" s="107" t="n"/>
      <c r="AR113" s="107" t="n"/>
      <c r="AS113" s="107" t="n"/>
      <c r="AT113" s="107" t="n"/>
    </row>
    <row r="114" ht="15" customHeight="1">
      <c r="A114" s="101" t="n"/>
      <c r="B114" s="101" t="n"/>
      <c r="C114" s="107" t="n"/>
      <c r="D114" s="17" t="n"/>
      <c r="E114" s="18" t="n"/>
      <c r="F114" s="19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7" t="n"/>
      <c r="R114" s="107" t="n"/>
      <c r="S114" s="107" t="n"/>
      <c r="T114" s="107" t="n"/>
      <c r="U114" s="107" t="n"/>
      <c r="V114" s="107" t="n"/>
      <c r="W114" s="107" t="n"/>
      <c r="X114" s="107" t="n"/>
      <c r="Y114" s="107" t="n"/>
      <c r="Z114" s="107" t="n"/>
      <c r="AA114" s="107" t="n"/>
      <c r="AB114" s="107" t="n"/>
      <c r="AC114" s="107" t="n"/>
      <c r="AD114" s="107" t="n"/>
      <c r="AE114" s="107" t="n"/>
      <c r="AF114" s="107" t="n"/>
      <c r="AG114" s="107" t="n"/>
      <c r="AH114" s="107" t="n"/>
      <c r="AI114" s="107" t="n"/>
      <c r="AJ114" s="107" t="n"/>
      <c r="AK114" s="107" t="n"/>
      <c r="AL114" s="107" t="n"/>
      <c r="AM114" s="107" t="n"/>
      <c r="AN114" s="107" t="n"/>
      <c r="AO114" s="107" t="n"/>
      <c r="AP114" s="107" t="n"/>
      <c r="AQ114" s="107" t="n"/>
      <c r="AR114" s="107" t="n"/>
      <c r="AS114" s="107" t="n"/>
      <c r="AT114" s="107" t="n"/>
    </row>
    <row r="115" ht="15" customHeight="1">
      <c r="A115" s="101" t="n"/>
      <c r="B115" s="101" t="n"/>
      <c r="C115" s="107" t="n"/>
      <c r="D115" s="127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1" t="n"/>
      <c r="B116" s="101" t="n"/>
      <c r="C116" s="107" t="n"/>
      <c r="D116" s="143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1" t="n"/>
      <c r="B117" s="101" t="n"/>
      <c r="C117" s="107" t="n"/>
      <c r="D117" s="15" t="n"/>
      <c r="AT117" s="16" t="n"/>
    </row>
    <row r="118" ht="15" customHeight="1">
      <c r="A118" s="101" t="n"/>
      <c r="B118" s="101" t="n"/>
      <c r="C118" s="107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1" t="n"/>
      <c r="B119" s="101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7" t="n"/>
      <c r="R119" s="107" t="n"/>
      <c r="S119" s="107" t="n"/>
      <c r="T119" s="107" t="n"/>
      <c r="U119" s="107" t="n"/>
      <c r="V119" s="107" t="n"/>
      <c r="W119" s="107" t="n"/>
      <c r="X119" s="107" t="n"/>
      <c r="Y119" s="107" t="n"/>
      <c r="Z119" s="107" t="n"/>
      <c r="AA119" s="107" t="n"/>
      <c r="AB119" s="107" t="n"/>
      <c r="AC119" s="107" t="n"/>
      <c r="AD119" s="107" t="n"/>
      <c r="AE119" s="107" t="n"/>
      <c r="AF119" s="107" t="n"/>
      <c r="AG119" s="107" t="n"/>
      <c r="AH119" s="107" t="n"/>
      <c r="AI119" s="107" t="n"/>
      <c r="AJ119" s="107" t="n"/>
      <c r="AK119" s="107" t="n"/>
      <c r="AL119" s="107" t="n"/>
      <c r="AM119" s="107" t="n"/>
      <c r="AN119" s="107" t="n"/>
      <c r="AO119" s="107" t="n"/>
      <c r="AP119" s="107" t="n"/>
      <c r="AQ119" s="107" t="n"/>
      <c r="AR119" s="107" t="n"/>
      <c r="AS119" s="107" t="n"/>
      <c r="AT119" s="107" t="n"/>
    </row>
    <row r="120" ht="15" customHeight="1">
      <c r="A120" s="101" t="n"/>
      <c r="B120" s="101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7" t="n"/>
      <c r="R120" s="107" t="n"/>
      <c r="S120" s="107" t="n"/>
      <c r="T120" s="107" t="n"/>
      <c r="U120" s="107" t="n"/>
      <c r="V120" s="107" t="n"/>
      <c r="W120" s="107" t="n"/>
      <c r="X120" s="107" t="n"/>
      <c r="Y120" s="107" t="n"/>
      <c r="Z120" s="107" t="n"/>
      <c r="AA120" s="107" t="n"/>
      <c r="AB120" s="107" t="n"/>
      <c r="AC120" s="107" t="n"/>
      <c r="AD120" s="107" t="n"/>
      <c r="AE120" s="107" t="n"/>
      <c r="AF120" s="107" t="n"/>
      <c r="AG120" s="107" t="n"/>
      <c r="AH120" s="107" t="n"/>
      <c r="AI120" s="107" t="n"/>
      <c r="AJ120" s="107" t="n"/>
      <c r="AK120" s="107" t="n"/>
      <c r="AL120" s="107" t="n"/>
      <c r="AM120" s="107" t="n"/>
      <c r="AN120" s="107" t="n"/>
      <c r="AO120" s="107" t="n"/>
      <c r="AP120" s="107" t="n"/>
      <c r="AQ120" s="107" t="n"/>
      <c r="AR120" s="107" t="n"/>
      <c r="AS120" s="107" t="n"/>
      <c r="AT120" s="107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7" t="n"/>
      <c r="B1" s="107" t="n"/>
      <c r="C1" s="144" t="n"/>
      <c r="D1" s="145" t="inlineStr">
        <is>
          <t>O CATÁLOGO — o que dá para comprar</t>
        </is>
      </c>
      <c r="AE1" s="144" t="n"/>
      <c r="AF1" s="146" t="inlineStr">
        <is>
          <t>capítulo 16</t>
        </is>
      </c>
    </row>
    <row r="2" ht="15" customHeight="1">
      <c r="A2" s="107" t="n"/>
      <c r="B2" s="107" t="n"/>
      <c r="C2" s="144" t="n"/>
      <c r="AE2" s="144" t="n"/>
    </row>
    <row r="3" ht="15" customHeight="1">
      <c r="A3" s="107" t="n"/>
      <c r="B3" s="107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7" t="n"/>
      <c r="B4" s="107" t="n"/>
      <c r="C4" s="107" t="n"/>
      <c r="D4" s="147" t="inlineStr">
        <is>
          <t>TRAÇO</t>
        </is>
      </c>
      <c r="U4" s="148" t="inlineStr">
        <is>
          <t>o corpo dela. Vale sempre, sem gastar ação.</t>
        </is>
      </c>
    </row>
    <row r="5" ht="15" customHeight="1">
      <c r="A5" s="107" t="n"/>
      <c r="B5" s="107" t="n"/>
      <c r="C5" s="107" t="n"/>
      <c r="D5" s="149" t="inlineStr">
        <is>
          <t>PONTOS</t>
        </is>
      </c>
      <c r="H5" s="150" t="inlineStr">
        <is>
          <t>NOME</t>
        </is>
      </c>
      <c r="P5" s="150" t="inlineStr">
        <is>
          <t>O QUE FAZ</t>
        </is>
      </c>
    </row>
    <row r="6" ht="15" customHeight="1">
      <c r="A6" s="107" t="n"/>
      <c r="B6" s="107" t="n"/>
      <c r="C6" s="107" t="n"/>
      <c r="D6" s="151" t="n">
        <v>2</v>
      </c>
      <c r="H6" s="152" t="inlineStr">
        <is>
          <t>Escalada</t>
        </is>
      </c>
      <c r="P6" s="153" t="inlineStr">
        <is>
          <t>sobe parede e teto sem teste</t>
        </is>
      </c>
    </row>
    <row r="7" ht="15" customHeight="1">
      <c r="A7" s="107" t="n"/>
      <c r="B7" s="107" t="n"/>
      <c r="C7" s="107" t="n"/>
      <c r="D7" s="154" t="n">
        <v>2</v>
      </c>
      <c r="H7" s="155" t="inlineStr">
        <is>
          <t>Nado</t>
        </is>
      </c>
      <c r="P7" s="156" t="inlineStr">
        <is>
          <t>move na água sem penalidade. Rio, cisterna, tanque alagado de estação</t>
        </is>
      </c>
    </row>
    <row r="8" ht="15" customHeight="1">
      <c r="A8" s="107" t="n"/>
      <c r="B8" s="107" t="n"/>
      <c r="C8" s="107" t="n"/>
      <c r="D8" s="151" t="n">
        <v>3</v>
      </c>
      <c r="H8" s="152" t="inlineStr">
        <is>
          <t>Fala</t>
        </is>
      </c>
      <c r="P8" s="153" t="inlineStr">
        <is>
          <t>ela fala, e dá para conversar com ela</t>
        </is>
      </c>
    </row>
    <row r="9" ht="15" customHeight="1">
      <c r="A9" s="107" t="n"/>
      <c r="B9" s="107" t="n"/>
      <c r="C9" s="107" t="n"/>
      <c r="D9" s="154" t="n">
        <v>5</v>
      </c>
      <c r="H9" s="155" t="inlineStr">
        <is>
          <t>Faro</t>
        </is>
      </c>
      <c r="P9" s="156" t="inlineStr">
        <is>
          <t>rastreia por cheiro e por energia. Pega rastro velho de horas</t>
        </is>
      </c>
    </row>
    <row r="10" ht="15" customHeight="1">
      <c r="A10" s="107" t="n"/>
      <c r="B10" s="107" t="n"/>
      <c r="C10" s="107" t="n"/>
      <c r="D10" s="151" t="n">
        <v>5</v>
      </c>
      <c r="H10" s="152" t="inlineStr">
        <is>
          <t>Vigia</t>
        </is>
      </c>
      <c r="P10" s="153" t="inlineStr">
        <is>
          <t>o que ela vê e ouve, você vê e ouve também</t>
        </is>
      </c>
    </row>
    <row r="11" ht="15" customHeight="1">
      <c r="A11" s="107" t="n"/>
      <c r="B11" s="107" t="n"/>
      <c r="C11" s="107" t="n"/>
      <c r="D11" s="154" t="n">
        <v>7</v>
      </c>
      <c r="H11" s="155" t="inlineStr">
        <is>
          <t>Miúdo</t>
        </is>
      </c>
      <c r="P11" s="156" t="inlineStr">
        <is>
          <t>ocupa espaço menor e passa por vão. Duto, grade de bueiro, folga embaixo da porta</t>
        </is>
      </c>
    </row>
    <row r="12" ht="15" customHeight="1">
      <c r="A12" s="107" t="n"/>
      <c r="B12" s="107" t="n"/>
      <c r="C12" s="107" t="n"/>
      <c r="D12" s="151" t="n">
        <v>8</v>
      </c>
      <c r="H12" s="152" t="inlineStr">
        <is>
          <t>Voo</t>
        </is>
      </c>
      <c r="P12" s="153" t="inlineStr">
        <is>
          <t>o deslocamento dela passa a ser de voo também</t>
        </is>
      </c>
    </row>
    <row r="13" ht="15" customHeight="1">
      <c r="A13" s="107" t="n"/>
      <c r="B13" s="107" t="n"/>
      <c r="C13" s="107" t="n"/>
      <c r="D13" s="154" t="n">
        <v>8</v>
      </c>
      <c r="H13" s="155" t="inlineStr">
        <is>
          <t>Montaria</t>
        </is>
      </c>
      <c r="P13" s="156" t="inlineStr">
        <is>
          <t>carrega uma pessoa ou mais, dependendo do tamanho</t>
        </is>
      </c>
    </row>
    <row r="14" ht="15" customHeight="1">
      <c r="A14" s="107" t="n"/>
      <c r="B14" s="107" t="n"/>
      <c r="C14" s="107" t="n"/>
      <c r="D14" s="151" t="n">
        <v>8</v>
      </c>
      <c r="H14" s="152" t="inlineStr">
        <is>
          <t>Fisgada</t>
        </is>
      </c>
      <c r="P14" s="153" t="inlineStr">
        <is>
          <t>prende à distância. Ela alcança, engancha, e quem ia fugir para de conseguir</t>
        </is>
      </c>
    </row>
    <row r="15" ht="15" customHeight="1">
      <c r="A15" s="107" t="n"/>
      <c r="B15" s="107" t="n"/>
      <c r="C15" s="107" t="n"/>
      <c r="D15" s="154" t="n">
        <v>8</v>
      </c>
      <c r="H15" s="155" t="inlineStr">
        <is>
          <t>Emboscada</t>
        </is>
      </c>
      <c r="P15" s="156" t="inlineStr">
        <is>
          <t>surge do chão, fora do alcance de visão</t>
        </is>
      </c>
    </row>
    <row r="16" ht="15" customHeight="1">
      <c r="A16" s="107" t="n"/>
      <c r="B16" s="107" t="n"/>
      <c r="C16" s="107" t="n"/>
      <c r="D16" s="151" t="n">
        <v>8</v>
      </c>
      <c r="H16" s="152" t="inlineStr">
        <is>
          <t>Jorro</t>
        </is>
      </c>
      <c r="P16" s="153" t="inlineStr">
        <is>
          <t>ataca em linha ou em área</t>
        </is>
      </c>
    </row>
    <row r="17" ht="15" customHeight="1">
      <c r="A17" s="107" t="n"/>
      <c r="B17" s="107" t="n"/>
      <c r="C17" s="107" t="n"/>
      <c r="D17" s="154" t="n">
        <v>8</v>
      </c>
      <c r="H17" s="155" t="inlineStr">
        <is>
          <t>Graúdo</t>
        </is>
      </c>
      <c r="P17" s="156" t="inlineStr">
        <is>
          <t>ocupa espaço maior e barra passagem</t>
        </is>
      </c>
    </row>
    <row r="18" ht="15" customHeight="1">
      <c r="A18" s="107" t="n"/>
      <c r="B18" s="107" t="n"/>
      <c r="C18" s="107" t="n"/>
      <c r="D18" s="151" t="n">
        <v>8</v>
      </c>
      <c r="H18" s="152" t="inlineStr">
        <is>
          <t>Remoto</t>
        </is>
      </c>
      <c r="P18" s="153" t="inlineStr">
        <is>
          <t>funciona além dos 18 metros da amarra. Dentro da cena, para qualquer um; fora da cena, com requisito</t>
        </is>
      </c>
    </row>
    <row r="19" ht="15" customHeight="1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7" t="n"/>
      <c r="AO19" s="107" t="n"/>
      <c r="AP19" s="107" t="n"/>
      <c r="AQ19" s="107" t="n"/>
      <c r="AR19" s="107" t="n"/>
      <c r="AS19" s="107" t="n"/>
      <c r="AT19" s="107" t="n"/>
    </row>
    <row r="20" ht="15" customHeight="1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A21" s="107" t="n"/>
      <c r="B21" s="107" t="n"/>
      <c r="C21" s="107" t="n"/>
      <c r="D21" s="147" t="inlineStr">
        <is>
          <t>COMANDO</t>
        </is>
      </c>
      <c r="U21" s="148" t="inlineStr">
        <is>
          <t>o que ela faz quando você gasta a Ação Padrão comandando.</t>
        </is>
      </c>
    </row>
    <row r="22" ht="15" customHeight="1">
      <c r="A22" s="107" t="n"/>
      <c r="B22" s="107" t="n"/>
      <c r="C22" s="107" t="n"/>
      <c r="D22" s="149" t="inlineStr">
        <is>
          <t>PONTOS</t>
        </is>
      </c>
      <c r="H22" s="150" t="inlineStr">
        <is>
          <t>NOME</t>
        </is>
      </c>
      <c r="P22" s="150" t="inlineStr">
        <is>
          <t>O QUE FAZ</t>
        </is>
      </c>
    </row>
    <row r="23" ht="15" customHeight="1">
      <c r="A23" s="107" t="n"/>
      <c r="B23" s="107" t="n"/>
      <c r="C23" s="107" t="n"/>
      <c r="D23" s="151" t="n">
        <v>0</v>
      </c>
      <c r="H23" s="152" t="inlineStr">
        <is>
          <t>Investir</t>
        </is>
      </c>
      <c r="P23" s="153" t="inlineStr">
        <is>
          <t>o ataque. Toda invocação tem</t>
        </is>
      </c>
    </row>
    <row r="24" ht="15" customHeight="1">
      <c r="A24" s="107" t="n"/>
      <c r="B24" s="107" t="n"/>
      <c r="C24" s="107" t="n"/>
      <c r="D24" s="154" t="n">
        <v>4</v>
      </c>
      <c r="H24" s="155" t="inlineStr">
        <is>
          <t>Agarrar</t>
        </is>
      </c>
      <c r="P24" s="156" t="inlineStr">
        <is>
          <t>prende o alvo</t>
        </is>
      </c>
    </row>
    <row r="25" ht="15" customHeight="1">
      <c r="A25" s="107" t="n"/>
      <c r="B25" s="107" t="n"/>
      <c r="C25" s="107" t="n"/>
      <c r="D25" s="151" t="n">
        <v>4</v>
      </c>
      <c r="H25" s="152" t="inlineStr">
        <is>
          <t>Arrastar</t>
        </is>
      </c>
      <c r="P25" s="153" t="inlineStr">
        <is>
          <t>move o alvo, ou se move levando ele. Tira alguém de cima de uma beirada, ou põe</t>
        </is>
      </c>
    </row>
    <row r="26" ht="15" customHeight="1">
      <c r="A26" s="107" t="n"/>
      <c r="B26" s="107" t="n"/>
      <c r="C26" s="107" t="n"/>
      <c r="D26" s="154" t="n">
        <v>4</v>
      </c>
      <c r="H26" s="155" t="inlineStr">
        <is>
          <t>Buscar</t>
        </is>
      </c>
      <c r="P26" s="156" t="inlineStr">
        <is>
          <t>pega um objeto, ou rastreia de forma ativa</t>
        </is>
      </c>
    </row>
    <row r="27" ht="15" customHeight="1">
      <c r="A27" s="107" t="n"/>
      <c r="B27" s="107" t="n"/>
      <c r="C27" s="107" t="n"/>
      <c r="D27" s="151" t="n">
        <v>4</v>
      </c>
      <c r="H27" s="152" t="inlineStr">
        <is>
          <t>Cavar</t>
        </is>
      </c>
      <c r="P27" s="153" t="inlineStr">
        <is>
          <t>abre buraco, desenterra, revira o terreno. Faz rota onde não havia rota</t>
        </is>
      </c>
    </row>
    <row r="28" ht="15" customHeight="1">
      <c r="A28" s="107" t="n"/>
      <c r="B28" s="107" t="n"/>
      <c r="C28" s="107" t="n"/>
      <c r="D28" s="154" t="n">
        <v>8</v>
      </c>
      <c r="H28" s="155" t="inlineStr">
        <is>
          <t>Interpor</t>
        </is>
      </c>
      <c r="P28" s="156" t="inlineStr">
        <is>
          <t>se põe entre você e o golpe. O corpo dela recebe o que ia em você</t>
        </is>
      </c>
    </row>
    <row r="29" ht="15" customHeight="1">
      <c r="A29" s="107" t="n"/>
      <c r="B29" s="107" t="n"/>
      <c r="C29" s="107" t="n"/>
      <c r="D29" s="151" t="n">
        <v>8</v>
      </c>
      <c r="H29" s="152" t="inlineStr">
        <is>
          <t>Chamariz</t>
        </is>
      </c>
      <c r="P29" s="153" t="inlineStr">
        <is>
          <t>o alvo tem de vir para cima dela. Você escolhe em quem a coisa está prestando atenção</t>
        </is>
      </c>
    </row>
    <row r="30" ht="15" customHeight="1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7" t="n"/>
      <c r="AO30" s="107" t="n"/>
      <c r="AP30" s="107" t="n"/>
      <c r="AQ30" s="107" t="n"/>
      <c r="AR30" s="107" t="n"/>
      <c r="AS30" s="107" t="n"/>
      <c r="AT30" s="107" t="n"/>
    </row>
    <row r="31" ht="15" customHeight="1">
      <c r="A31" s="107" t="n"/>
      <c r="B31" s="107" t="n"/>
      <c r="C31" s="107" t="n"/>
      <c r="D31" s="107" t="n"/>
      <c r="E31" s="107" t="n"/>
      <c r="F31" s="107" t="n"/>
      <c r="G31" s="107" t="n"/>
      <c r="H31" s="107" t="n"/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7" t="n"/>
      <c r="AO31" s="107" t="n"/>
      <c r="AP31" s="107" t="n"/>
      <c r="AQ31" s="107" t="n"/>
      <c r="AR31" s="107" t="n"/>
      <c r="AS31" s="107" t="n"/>
      <c r="AT31" s="107" t="n"/>
    </row>
    <row r="32" ht="15" customHeight="1">
      <c r="A32" s="107" t="n"/>
      <c r="B32" s="107" t="n"/>
      <c r="C32" s="107" t="n"/>
      <c r="D32" s="147" t="inlineStr">
        <is>
          <t>INVENTAR O SEU</t>
        </is>
      </c>
      <c r="U32" s="148" t="inlineStr">
        <is>
          <t>escreva o efeito, ache na régua o preço, e leve para o mestre aprovar</t>
        </is>
      </c>
    </row>
    <row r="33" ht="15" customHeight="1">
      <c r="A33" s="107" t="n"/>
      <c r="B33" s="107" t="n"/>
      <c r="C33" s="107" t="n"/>
      <c r="D33" s="150" t="inlineStr">
        <is>
          <t>régua de TRAÇO</t>
        </is>
      </c>
    </row>
    <row r="34" ht="15" customHeight="1">
      <c r="A34" s="107" t="n"/>
      <c r="B34" s="107" t="n"/>
      <c r="C34" s="107" t="n"/>
      <c r="D34" s="151" t="n">
        <v>2</v>
      </c>
      <c r="H34" s="153" t="inlineStr">
        <is>
          <t>muda como ela anda, e só ela</t>
        </is>
      </c>
    </row>
    <row r="35" ht="15" customHeight="1">
      <c r="A35" s="107" t="n"/>
      <c r="B35" s="107" t="n"/>
      <c r="C35" s="107" t="n"/>
      <c r="D35" s="154" t="n">
        <v>3</v>
      </c>
      <c r="H35" s="156" t="inlineStr">
        <is>
          <t>muda o que ela comunica</t>
        </is>
      </c>
    </row>
    <row r="36" ht="15" customHeight="1">
      <c r="A36" s="107" t="n"/>
      <c r="B36" s="107" t="n"/>
      <c r="C36" s="107" t="n"/>
      <c r="D36" s="151" t="n">
        <v>5</v>
      </c>
      <c r="H36" s="153" t="inlineStr">
        <is>
          <t>muda o que ela percebe</t>
        </is>
      </c>
    </row>
    <row r="37" ht="15" customHeight="1">
      <c r="A37" s="107" t="n"/>
      <c r="B37" s="107" t="n"/>
      <c r="C37" s="107" t="n"/>
      <c r="D37" s="154" t="n">
        <v>7</v>
      </c>
      <c r="H37" s="156" t="inlineStr">
        <is>
          <t>muda que espaço ela ocupa, a um passo de mexer no tabuleiro</t>
        </is>
      </c>
    </row>
    <row r="38" ht="15" customHeight="1">
      <c r="A38" s="107" t="n"/>
      <c r="B38" s="107" t="n"/>
      <c r="C38" s="107" t="n"/>
      <c r="D38" s="151" t="n">
        <v>8</v>
      </c>
      <c r="H38" s="153" t="inlineStr">
        <is>
          <t>encosta em outra criatura ou no ambiente: carrega, prende, empurra, barra, alcança além do alcance, aparece onde não dava</t>
        </is>
      </c>
    </row>
    <row r="39" ht="15" customHeight="1">
      <c r="A39" s="107" t="n"/>
      <c r="B39" s="107" t="n"/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A40" s="107" t="n"/>
      <c r="B40" s="107" t="n"/>
      <c r="C40" s="107" t="n"/>
      <c r="D40" s="150" t="inlineStr">
        <is>
          <t>régua de COMANDO</t>
        </is>
      </c>
    </row>
    <row r="41" ht="15" customHeight="1">
      <c r="A41" s="107" t="n"/>
      <c r="B41" s="107" t="n"/>
      <c r="C41" s="107" t="n"/>
      <c r="D41" s="151" t="n">
        <v>0</v>
      </c>
      <c r="H41" s="153" t="inlineStr">
        <is>
          <t>é o ataque</t>
        </is>
      </c>
    </row>
    <row r="42" ht="15" customHeight="1">
      <c r="A42" s="107" t="n"/>
      <c r="B42" s="107" t="n"/>
      <c r="C42" s="107" t="n"/>
      <c r="D42" s="154" t="n">
        <v>4</v>
      </c>
      <c r="H42" s="156" t="inlineStr">
        <is>
          <t>faz uma coisa com um alvo ou um objeto</t>
        </is>
      </c>
    </row>
    <row r="43" ht="15" customHeight="1">
      <c r="A43" s="107" t="n"/>
      <c r="B43" s="107" t="n"/>
      <c r="C43" s="107" t="n"/>
      <c r="D43" s="151" t="n">
        <v>8</v>
      </c>
      <c r="H43" s="153" t="inlineStr">
        <is>
          <t>protege você, ou nega a ação de outro</t>
        </is>
      </c>
    </row>
    <row r="44" ht="15" customHeight="1">
      <c r="A44" s="107" t="n"/>
      <c r="B44" s="107" t="n"/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A45" s="107" t="n"/>
      <c r="B45" s="107" t="n"/>
      <c r="C45" s="107" t="n"/>
      <c r="D45" s="157" t="inlineStr">
        <is>
          <t>O QUE O ORÇAMENTO NÃO COMPRA</t>
        </is>
      </c>
    </row>
    <row r="46" ht="15" customHeight="1">
      <c r="A46" s="107" t="n"/>
      <c r="B46" s="107" t="n"/>
      <c r="C46" s="107" t="n"/>
      <c r="D46" s="152" t="inlineStr">
        <is>
          <t>dado de dano</t>
        </is>
      </c>
      <c r="R46" s="158" t="inlineStr">
        <is>
          <t>o teto de uma Rotina já governa a saída. Um Traço que dê +1d6 não existe</t>
        </is>
      </c>
    </row>
    <row r="47" ht="15" customHeight="1">
      <c r="A47" s="107" t="n"/>
      <c r="B47" s="107" t="n"/>
      <c r="C47" s="107" t="n"/>
      <c r="D47" s="155" t="inlineStr">
        <is>
          <t>qualquer coisa que cresça com refino</t>
        </is>
      </c>
      <c r="R47" s="159" t="inlineStr">
        <is>
          <t>refino cresce muito mais rápido que a ficha dela, e ela passaria de você</t>
        </is>
      </c>
    </row>
    <row r="48" ht="15" customHeight="1">
      <c r="A48" s="107" t="n"/>
      <c r="B48" s="107" t="n"/>
      <c r="C48" s="107" t="n"/>
      <c r="D48" s="152" t="inlineStr">
        <is>
          <t>atributo</t>
        </is>
      </c>
      <c r="R48" s="158" t="inlineStr">
        <is>
          <t>os cinco já saem do arranjo dela, e comprar de novo é pagar duas vezes</t>
        </is>
      </c>
    </row>
    <row r="49" ht="15" customHeight="1">
      <c r="A49" s="107" t="n"/>
      <c r="B49" s="107" t="n"/>
      <c r="C49" s="107" t="n"/>
      <c r="D49" s="155" t="inlineStr">
        <is>
          <t>Defesa, acerto ou vida direto</t>
        </is>
      </c>
      <c r="R49" s="159" t="inlineStr">
        <is>
          <t>os três saem dos atributos dela</t>
        </is>
      </c>
    </row>
    <row r="50" ht="15" customHeight="1">
      <c r="A50" s="107" t="n"/>
      <c r="B50" s="107" t="n"/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7" t="n"/>
      <c r="AO50" s="107" t="n"/>
      <c r="AP50" s="107" t="n"/>
      <c r="AQ50" s="107" t="n"/>
      <c r="AR50" s="107" t="n"/>
      <c r="AS50" s="107" t="n"/>
      <c r="AT50" s="107" t="n"/>
    </row>
    <row r="51" ht="15" customHeight="1">
      <c r="A51" s="107" t="n"/>
      <c r="B51" s="107" t="n"/>
      <c r="C51" s="107" t="n"/>
      <c r="D51" s="107" t="n"/>
      <c r="E51" s="107" t="n"/>
      <c r="F51" s="107" t="n"/>
      <c r="G51" s="107" t="n"/>
      <c r="H51" s="107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7" t="n"/>
      <c r="AO51" s="107" t="n"/>
      <c r="AP51" s="107" t="n"/>
      <c r="AQ51" s="107" t="n"/>
      <c r="AR51" s="107" t="n"/>
      <c r="AS51" s="107" t="n"/>
      <c r="AT51" s="107" t="n"/>
    </row>
    <row r="52" ht="15" customHeight="1">
      <c r="A52" s="107" t="n"/>
      <c r="B52" s="107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7" t="n"/>
      <c r="B53" s="107" t="n"/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7" t="n"/>
      <c r="AO53" s="107" t="n"/>
      <c r="AP53" s="107" t="n"/>
      <c r="AQ53" s="107" t="n"/>
      <c r="AR53" s="107" t="n"/>
      <c r="AS53" s="107" t="n"/>
      <c r="AT53" s="107" t="n"/>
    </row>
    <row r="54" ht="15" customHeight="1">
      <c r="A54" s="107" t="n"/>
      <c r="B54" s="107" t="n"/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7" t="n"/>
      <c r="AO54" s="107" t="n"/>
      <c r="AP54" s="107" t="n"/>
      <c r="AQ54" s="107" t="n"/>
      <c r="AR54" s="107" t="n"/>
      <c r="AS54" s="107" t="n"/>
      <c r="AT54" s="107" t="n"/>
    </row>
    <row r="55" ht="15" customHeight="1">
      <c r="A55" s="107" t="n"/>
      <c r="B55" s="107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7" t="n"/>
      <c r="B56" s="107" t="n"/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7" t="n"/>
      <c r="B57" s="107" t="n"/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7" t="n"/>
      <c r="B58" s="107" t="n"/>
      <c r="C58" s="107" t="n"/>
      <c r="D58" s="107" t="n"/>
      <c r="E58" s="107" t="n"/>
      <c r="F58" s="107" t="n"/>
      <c r="G58" s="107" t="n"/>
      <c r="H58" s="107" t="n"/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7" t="n"/>
      <c r="AO58" s="107" t="n"/>
      <c r="AP58" s="107" t="n"/>
      <c r="AQ58" s="107" t="n"/>
      <c r="AR58" s="107" t="n"/>
      <c r="AS58" s="107" t="n"/>
      <c r="AT58" s="107" t="n"/>
    </row>
    <row r="59" ht="15" customHeight="1">
      <c r="A59" s="107" t="n"/>
      <c r="B59" s="107" t="n"/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7" t="n"/>
      <c r="AO59" s="107" t="n"/>
      <c r="AP59" s="107" t="n"/>
      <c r="AQ59" s="107" t="n"/>
      <c r="AR59" s="107" t="n"/>
      <c r="AS59" s="107" t="n"/>
      <c r="AT59" s="107" t="n"/>
    </row>
    <row r="60" ht="15" customHeight="1">
      <c r="A60" s="107" t="n"/>
      <c r="B60" s="107" t="n"/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7" t="n"/>
      <c r="AO60" s="107" t="n"/>
      <c r="AP60" s="107" t="n"/>
      <c r="AQ60" s="107" t="n"/>
      <c r="AR60" s="107" t="n"/>
      <c r="AS60" s="107" t="n"/>
      <c r="AT60" s="107" t="n"/>
    </row>
    <row r="61" ht="15" customHeight="1">
      <c r="A61" s="107" t="n"/>
      <c r="B61" s="107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7" t="n"/>
      <c r="B62" s="107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7" t="n"/>
      <c r="AO62" s="107" t="n"/>
      <c r="AP62" s="107" t="n"/>
      <c r="AQ62" s="107" t="n"/>
      <c r="AR62" s="107" t="n"/>
      <c r="AS62" s="107" t="n"/>
      <c r="AT62" s="107" t="n"/>
    </row>
    <row r="63" ht="15" customHeight="1">
      <c r="A63" s="107" t="n"/>
      <c r="B63" s="107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7" t="n"/>
      <c r="B64" s="107" t="n"/>
      <c r="C64" s="107" t="n"/>
      <c r="D64" s="107" t="n"/>
      <c r="E64" s="107" t="n"/>
      <c r="F64" s="107" t="n"/>
      <c r="G64" s="107" t="n"/>
      <c r="H64" s="107" t="n"/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94" t="inlineStr">
        <is>
          <t>tipos</t>
        </is>
      </c>
      <c r="B1" s="94" t="inlineStr">
        <is>
          <t>trilhas</t>
        </is>
      </c>
      <c r="C1" s="94" t="inlineStr">
        <is>
          <t>atributos</t>
        </is>
      </c>
      <c r="D1" s="94" t="inlineStr">
        <is>
          <t>trs</t>
        </is>
      </c>
      <c r="E1" s="94" t="inlineStr">
        <is>
          <t>sintonia</t>
        </is>
      </c>
      <c r="F1" s="94" t="inlineStr">
        <is>
          <t>defesa_de</t>
        </is>
      </c>
      <c r="G1" s="94" t="inlineStr">
        <is>
          <t>fisico_de</t>
        </is>
      </c>
      <c r="H1" s="94" t="inlineStr">
        <is>
          <t>traco</t>
        </is>
      </c>
      <c r="I1" s="94" t="inlineStr">
        <is>
          <t>comando</t>
        </is>
      </c>
      <c r="J1" s="107" t="n"/>
      <c r="K1" s="94" t="inlineStr">
        <is>
          <t>tab_tipos</t>
        </is>
      </c>
      <c r="L1" s="107" t="n"/>
      <c r="M1" s="107" t="n"/>
      <c r="N1" s="94" t="inlineStr">
        <is>
          <t>tab_trilhas</t>
        </is>
      </c>
      <c r="O1" s="107" t="n"/>
      <c r="P1" s="107" t="n"/>
      <c r="Q1" s="107" t="n"/>
      <c r="R1" s="107" t="n"/>
      <c r="S1" s="107" t="n"/>
      <c r="T1" s="94" t="inlineStr">
        <is>
          <t>tab_traco</t>
        </is>
      </c>
      <c r="U1" s="107" t="n"/>
      <c r="V1" s="107" t="n"/>
      <c r="W1" s="94" t="inlineStr">
        <is>
          <t>tab_comando</t>
        </is>
      </c>
      <c r="X1" s="107" t="n"/>
      <c r="Y1" s="107" t="n"/>
      <c r="Z1" s="94" t="inlineStr">
        <is>
          <t>tab_investir</t>
        </is>
      </c>
      <c r="AA1" s="107" t="n"/>
      <c r="AB1" s="107" t="n"/>
      <c r="AC1" s="107" t="n"/>
      <c r="AD1" s="94" t="inlineStr">
        <is>
          <t>tab_trs</t>
        </is>
      </c>
      <c r="AE1" s="107" t="n"/>
      <c r="AF1" s="107" t="n"/>
      <c r="AG1" s="107" t="n"/>
      <c r="AH1" s="107" t="n"/>
      <c r="AI1" s="107" t="n"/>
      <c r="AJ1" s="107" t="n"/>
      <c r="AK1" s="107" t="n"/>
      <c r="AL1" s="107" t="n"/>
      <c r="AM1" s="107" t="n"/>
      <c r="AP1" s="160" t="inlineStr">
        <is>
          <t>degrau_traco</t>
        </is>
      </c>
      <c r="AQ1" s="160" t="n"/>
      <c r="AR1" s="160" t="n"/>
      <c r="AS1" s="160" t="inlineStr">
        <is>
          <t>degrau_comando</t>
        </is>
      </c>
      <c r="AT1" s="160" t="n"/>
      <c r="AU1" s="160" t="inlineStr">
        <is>
          <t>degrau_traco</t>
        </is>
      </c>
      <c r="AV1" s="160" t="n"/>
      <c r="AW1" s="160" t="n"/>
      <c r="AX1" s="160" t="inlineStr">
        <is>
          <t>degrau_comando</t>
        </is>
      </c>
    </row>
    <row r="2">
      <c r="A2" s="98" t="inlineStr">
        <is>
          <t>talismã</t>
        </is>
      </c>
      <c r="B2" s="98" t="inlineStr">
        <is>
          <t>Servo</t>
        </is>
      </c>
      <c r="C2" s="98" t="inlineStr">
        <is>
          <t>Força</t>
        </is>
      </c>
      <c r="D2" s="98" t="inlineStr">
        <is>
          <t>Físico</t>
        </is>
      </c>
      <c r="E2" s="98" t="inlineStr">
        <is>
          <t>—</t>
        </is>
      </c>
      <c r="F2" s="98" t="inlineStr">
        <is>
          <t>Essência</t>
        </is>
      </c>
      <c r="G2" s="98" t="inlineStr">
        <is>
          <t>Força</t>
        </is>
      </c>
      <c r="H2" s="98" t="inlineStr">
        <is>
          <t>—</t>
        </is>
      </c>
      <c r="I2" s="98" t="inlineStr">
        <is>
          <t>—</t>
        </is>
      </c>
      <c r="J2" s="107" t="n"/>
      <c r="K2" s="96" t="inlineStr">
        <is>
          <t>tipo</t>
        </is>
      </c>
      <c r="L2" s="96" t="inlineStr">
        <is>
          <t>base</t>
        </is>
      </c>
      <c r="M2" s="107" t="n"/>
      <c r="N2" s="96" t="inlineStr">
        <is>
          <t>trilha</t>
        </is>
      </c>
      <c r="O2" s="96" t="inlineStr">
        <is>
          <t>corpos</t>
        </is>
      </c>
      <c r="P2" s="96" t="inlineStr">
        <is>
          <t>mult</t>
        </is>
      </c>
      <c r="Q2" s="96" t="inlineStr">
        <is>
          <t>corpo</t>
        </is>
      </c>
      <c r="R2" s="96" t="inlineStr">
        <is>
          <t>area</t>
        </is>
      </c>
      <c r="S2" s="107" t="n"/>
      <c r="T2" s="96" t="inlineStr">
        <is>
          <t>traço</t>
        </is>
      </c>
      <c r="U2" s="96" t="inlineStr">
        <is>
          <t>pontos</t>
        </is>
      </c>
      <c r="V2" s="107" t="n"/>
      <c r="W2" s="96" t="inlineStr">
        <is>
          <t>comando</t>
        </is>
      </c>
      <c r="X2" s="96" t="inlineStr">
        <is>
          <t>pontos</t>
        </is>
      </c>
      <c r="Y2" s="107" t="n"/>
      <c r="Z2" s="96" t="inlineStr">
        <is>
          <t>de</t>
        </is>
      </c>
      <c r="AA2" s="96" t="inlineStr">
        <is>
          <t>uma</t>
        </is>
      </c>
      <c r="AB2" s="96" t="inlineStr">
        <is>
          <t>matilha</t>
        </is>
      </c>
      <c r="AC2" s="107" t="n"/>
      <c r="AD2" s="96" t="inlineStr">
        <is>
          <t>tr</t>
        </is>
      </c>
      <c r="AE2" s="96" t="inlineStr">
        <is>
          <t>atributo</t>
        </is>
      </c>
      <c r="AF2" s="107" t="n"/>
      <c r="AG2" s="96" t="inlineStr">
        <is>
          <t>e_marcos</t>
        </is>
      </c>
      <c r="AH2" s="96" t="inlineStr">
        <is>
          <t>e_maestria</t>
        </is>
      </c>
      <c r="AI2" s="96" t="inlineStr">
        <is>
          <t>e_classe</t>
        </is>
      </c>
      <c r="AJ2" s="107" t="n"/>
      <c r="AK2" s="96" t="inlineStr">
        <is>
          <t>espelho</t>
        </is>
      </c>
      <c r="AL2" s="107" t="n"/>
      <c r="AM2" s="96" t="inlineStr">
        <is>
          <t>campo</t>
        </is>
      </c>
      <c r="AN2" s="161" t="inlineStr">
        <is>
          <t>célula</t>
        </is>
      </c>
      <c r="AO2" s="161" t="n"/>
      <c r="AP2" s="161" t="inlineStr">
        <is>
          <t>—</t>
        </is>
      </c>
      <c r="AQ2" s="161" t="n"/>
      <c r="AR2" s="161" t="n"/>
      <c r="AS2" s="161" t="inlineStr">
        <is>
          <t>—</t>
        </is>
      </c>
      <c r="AT2" s="161" t="n"/>
      <c r="AU2" s="161" t="inlineStr">
        <is>
          <t>—</t>
        </is>
      </c>
      <c r="AV2" s="161" t="n"/>
      <c r="AW2" s="161" t="n"/>
      <c r="AX2" s="161" t="inlineStr">
        <is>
          <t>—</t>
        </is>
      </c>
    </row>
    <row r="3">
      <c r="A3" s="98" t="inlineStr">
        <is>
          <t>corpo amaldiçoado</t>
        </is>
      </c>
      <c r="B3" s="98" t="inlineStr">
        <is>
          <t>Matilha</t>
        </is>
      </c>
      <c r="C3" s="98" t="inlineStr">
        <is>
          <t>Destreza</t>
        </is>
      </c>
      <c r="D3" s="98" t="inlineStr">
        <is>
          <t>Vigor</t>
        </is>
      </c>
      <c r="E3" s="98" t="inlineStr">
        <is>
          <t>Presa</t>
        </is>
      </c>
      <c r="F3" s="98" t="inlineStr">
        <is>
          <t>Inteligência</t>
        </is>
      </c>
      <c r="G3" s="98" t="inlineStr">
        <is>
          <t>Destreza</t>
        </is>
      </c>
      <c r="H3" s="98" t="inlineStr">
        <is>
          <t>Escalada</t>
        </is>
      </c>
      <c r="I3" s="98" t="inlineStr">
        <is>
          <t>Investir</t>
        </is>
      </c>
      <c r="J3" s="107" t="n"/>
      <c r="K3" s="98" t="inlineStr">
        <is>
          <t>talismã</t>
        </is>
      </c>
      <c r="L3" s="98" t="n">
        <v>1</v>
      </c>
      <c r="M3" s="107" t="n"/>
      <c r="N3" s="98" t="inlineStr">
        <is>
          <t>Servo</t>
        </is>
      </c>
      <c r="O3" s="98" t="n">
        <v>1</v>
      </c>
      <c r="P3" s="98" t="n">
        <v>1.5</v>
      </c>
      <c r="Q3" s="98" t="inlineStr">
        <is>
          <t>forte</t>
        </is>
      </c>
      <c r="R3" s="98" t="n">
        <v>1</v>
      </c>
      <c r="S3" s="107" t="n"/>
      <c r="T3" s="98" t="inlineStr">
        <is>
          <t>—</t>
        </is>
      </c>
      <c r="U3" s="98" t="n">
        <v>0</v>
      </c>
      <c r="V3" s="107" t="n"/>
      <c r="W3" s="98" t="inlineStr">
        <is>
          <t>—</t>
        </is>
      </c>
      <c r="X3" s="98" t="n">
        <v>0</v>
      </c>
      <c r="Y3" s="107" t="n"/>
      <c r="Z3" s="98" t="n">
        <v>2</v>
      </c>
      <c r="AA3" s="98" t="inlineStr">
        <is>
          <t>1d6</t>
        </is>
      </c>
      <c r="AB3" s="98" t="inlineStr">
        <is>
          <t>2</t>
        </is>
      </c>
      <c r="AC3" s="107" t="n"/>
      <c r="AD3" s="98" t="inlineStr">
        <is>
          <t>Físico</t>
        </is>
      </c>
      <c r="AE3" s="98" t="inlineStr">
        <is>
          <t>Força</t>
        </is>
      </c>
      <c r="AF3" s="107" t="n"/>
      <c r="AG3" s="98" t="n">
        <v>6</v>
      </c>
      <c r="AH3" s="98" t="n">
        <v>10</v>
      </c>
      <c r="AI3" s="98" t="n">
        <v>1</v>
      </c>
      <c r="AJ3" s="107" t="n"/>
      <c r="AK3" s="98">
        <f>'INVOCAÇÃO'!$D$30</f>
        <v/>
      </c>
      <c r="AL3" s="107" t="n"/>
      <c r="AM3" s="98" t="inlineStr">
        <is>
          <t>nivel</t>
        </is>
      </c>
      <c r="AN3" s="162" t="inlineStr">
        <is>
          <t>D7</t>
        </is>
      </c>
      <c r="AO3" s="162" t="n"/>
      <c r="AP3" s="162" t="n">
        <v>2</v>
      </c>
      <c r="AQ3" s="162" t="n"/>
      <c r="AR3" s="162" t="n"/>
      <c r="AS3" s="162" t="n">
        <v>0</v>
      </c>
      <c r="AT3" s="162" t="n"/>
      <c r="AU3" s="162" t="n">
        <v>2</v>
      </c>
      <c r="AV3" s="162" t="n"/>
      <c r="AW3" s="162" t="n"/>
      <c r="AX3" s="162" t="n">
        <v>0</v>
      </c>
    </row>
    <row r="4">
      <c r="A4" s="98" t="inlineStr">
        <is>
          <t>técnica</t>
        </is>
      </c>
      <c r="B4" s="98" t="inlineStr">
        <is>
          <t>Coro</t>
        </is>
      </c>
      <c r="C4" s="98" t="inlineStr">
        <is>
          <t>Constituição</t>
        </is>
      </c>
      <c r="D4" s="98" t="inlineStr">
        <is>
          <t>Intelecto</t>
        </is>
      </c>
      <c r="E4" s="98" t="inlineStr">
        <is>
          <t>Parrudo</t>
        </is>
      </c>
      <c r="F4" s="107" t="n"/>
      <c r="G4" s="107" t="n"/>
      <c r="H4" s="98" t="inlineStr">
        <is>
          <t>Nado</t>
        </is>
      </c>
      <c r="I4" s="98" t="inlineStr">
        <is>
          <t>Agarrar</t>
        </is>
      </c>
      <c r="J4" s="107" t="n"/>
      <c r="K4" s="98" t="inlineStr">
        <is>
          <t>corpo amaldiçoado</t>
        </is>
      </c>
      <c r="L4" s="98" t="n">
        <v>1</v>
      </c>
      <c r="M4" s="107" t="n"/>
      <c r="N4" s="98" t="inlineStr">
        <is>
          <t>Matilha</t>
        </is>
      </c>
      <c r="O4" s="98" t="n">
        <v>5</v>
      </c>
      <c r="P4" s="98" t="n">
        <v>1</v>
      </c>
      <c r="Q4" s="98" t="inlineStr">
        <is>
          <t>forte</t>
        </is>
      </c>
      <c r="R4" s="98" t="n">
        <v>1.5</v>
      </c>
      <c r="S4" s="107" t="n"/>
      <c r="T4" s="98" t="inlineStr">
        <is>
          <t>Escalada</t>
        </is>
      </c>
      <c r="U4" s="98" t="n">
        <v>2</v>
      </c>
      <c r="V4" s="107" t="n"/>
      <c r="W4" s="98" t="inlineStr">
        <is>
          <t>Investir</t>
        </is>
      </c>
      <c r="X4" s="98" t="n">
        <v>0</v>
      </c>
      <c r="Y4" s="107" t="n"/>
      <c r="Z4" s="98" t="n">
        <v>5</v>
      </c>
      <c r="AA4" s="98" t="inlineStr">
        <is>
          <t>4d6</t>
        </is>
      </c>
      <c r="AB4" s="98" t="inlineStr">
        <is>
          <t>1d6</t>
        </is>
      </c>
      <c r="AC4" s="107" t="n"/>
      <c r="AD4" s="98" t="inlineStr">
        <is>
          <t>Vigor</t>
        </is>
      </c>
      <c r="AE4" s="98" t="inlineStr">
        <is>
          <t>Constituição</t>
        </is>
      </c>
      <c r="AF4" s="107" t="n"/>
      <c r="AG4" s="98" t="n">
        <v>10</v>
      </c>
      <c r="AH4" s="98" t="n">
        <v>18</v>
      </c>
      <c r="AI4" s="98" t="n">
        <v>5</v>
      </c>
      <c r="AJ4" s="107" t="n"/>
      <c r="AK4" s="98">
        <f>'INVOCAÇÃO'!$L$30</f>
        <v/>
      </c>
      <c r="AL4" s="107" t="n"/>
      <c r="AM4" s="98" t="inlineStr">
        <is>
          <t>ess_dono</t>
        </is>
      </c>
      <c r="AN4" s="162" t="inlineStr">
        <is>
          <t>O7</t>
        </is>
      </c>
      <c r="AO4" s="162" t="n"/>
      <c r="AP4" s="162" t="n">
        <v>3</v>
      </c>
      <c r="AQ4" s="162" t="n"/>
      <c r="AR4" s="162" t="n"/>
      <c r="AS4" s="162" t="n">
        <v>4</v>
      </c>
      <c r="AT4" s="162" t="n"/>
      <c r="AU4" s="162" t="n">
        <v>3</v>
      </c>
      <c r="AV4" s="162" t="n"/>
      <c r="AW4" s="162" t="n"/>
      <c r="AX4" s="162" t="n">
        <v>4</v>
      </c>
    </row>
    <row r="5">
      <c r="A5" s="98" t="inlineStr">
        <is>
          <t>maldição domada</t>
        </is>
      </c>
      <c r="B5" s="107" t="n"/>
      <c r="C5" s="98" t="inlineStr">
        <is>
          <t>Inteligência</t>
        </is>
      </c>
      <c r="D5" s="98" t="inlineStr">
        <is>
          <t>Espírito</t>
        </is>
      </c>
      <c r="E5" s="98" t="inlineStr">
        <is>
          <t>Voz</t>
        </is>
      </c>
      <c r="F5" s="107" t="n"/>
      <c r="G5" s="107" t="n"/>
      <c r="H5" s="98" t="inlineStr">
        <is>
          <t>Fala</t>
        </is>
      </c>
      <c r="I5" s="98" t="inlineStr">
        <is>
          <t>Arrastar</t>
        </is>
      </c>
      <c r="J5" s="107" t="n"/>
      <c r="K5" s="98" t="inlineStr">
        <is>
          <t>técnica</t>
        </is>
      </c>
      <c r="L5" s="98" t="n">
        <v>2</v>
      </c>
      <c r="M5" s="107" t="n"/>
      <c r="N5" s="98" t="inlineStr">
        <is>
          <t>Coro</t>
        </is>
      </c>
      <c r="O5" s="98" t="n">
        <v>1</v>
      </c>
      <c r="P5" s="98" t="n">
        <v>1</v>
      </c>
      <c r="Q5" s="98" t="inlineStr">
        <is>
          <t>cru</t>
        </is>
      </c>
      <c r="R5" s="98" t="n">
        <v>1</v>
      </c>
      <c r="S5" s="107" t="n"/>
      <c r="T5" s="98" t="inlineStr">
        <is>
          <t>Nado</t>
        </is>
      </c>
      <c r="U5" s="98" t="n">
        <v>2</v>
      </c>
      <c r="V5" s="107" t="n"/>
      <c r="W5" s="98" t="inlineStr">
        <is>
          <t>Agarrar</t>
        </is>
      </c>
      <c r="X5" s="98" t="n">
        <v>4</v>
      </c>
      <c r="Y5" s="107" t="n"/>
      <c r="Z5" s="98" t="n">
        <v>9</v>
      </c>
      <c r="AA5" s="98" t="inlineStr">
        <is>
          <t>6d6</t>
        </is>
      </c>
      <c r="AB5" s="98" t="inlineStr">
        <is>
          <t>2d6</t>
        </is>
      </c>
      <c r="AC5" s="107" t="n"/>
      <c r="AD5" s="98" t="inlineStr">
        <is>
          <t>Intelecto</t>
        </is>
      </c>
      <c r="AE5" s="98" t="inlineStr">
        <is>
          <t>Inteligência</t>
        </is>
      </c>
      <c r="AF5" s="107" t="n"/>
      <c r="AG5" s="98" t="n">
        <v>14</v>
      </c>
      <c r="AH5" s="98" t="n">
        <v>26</v>
      </c>
      <c r="AI5" s="98" t="n">
        <v>9</v>
      </c>
      <c r="AJ5" s="107" t="n"/>
      <c r="AK5" s="98">
        <f>'INVOCAÇÃO'!$T$30</f>
        <v/>
      </c>
      <c r="AL5" s="107" t="n"/>
      <c r="AM5" s="98" t="inlineStr">
        <is>
          <t>int_dono</t>
        </is>
      </c>
      <c r="AN5" s="162" t="inlineStr">
        <is>
          <t>Z7</t>
        </is>
      </c>
      <c r="AO5" s="162" t="n"/>
      <c r="AP5" s="162" t="n">
        <v>5</v>
      </c>
      <c r="AQ5" s="162" t="n"/>
      <c r="AR5" s="162" t="n"/>
      <c r="AS5" s="162" t="n">
        <v>8</v>
      </c>
      <c r="AT5" s="162" t="n"/>
      <c r="AU5" s="162" t="n">
        <v>5</v>
      </c>
      <c r="AV5" s="162" t="n"/>
      <c r="AW5" s="162" t="n"/>
      <c r="AX5" s="162" t="n">
        <v>8</v>
      </c>
    </row>
    <row r="6">
      <c r="A6" s="107" t="n"/>
      <c r="B6" s="107" t="n"/>
      <c r="C6" s="98" t="inlineStr">
        <is>
          <t>Essência</t>
        </is>
      </c>
      <c r="D6" s="107" t="n"/>
      <c r="E6" s="107" t="n"/>
      <c r="F6" s="107" t="n"/>
      <c r="G6" s="107" t="n"/>
      <c r="H6" s="98" t="inlineStr">
        <is>
          <t>Faro</t>
        </is>
      </c>
      <c r="I6" s="98" t="inlineStr">
        <is>
          <t>Buscar</t>
        </is>
      </c>
      <c r="J6" s="107" t="n"/>
      <c r="K6" s="98" t="inlineStr">
        <is>
          <t>maldição domada</t>
        </is>
      </c>
      <c r="L6" s="98" t="n">
        <v>3</v>
      </c>
      <c r="M6" s="107" t="n"/>
      <c r="N6" s="107" t="n"/>
      <c r="O6" s="107" t="n"/>
      <c r="P6" s="107" t="n"/>
      <c r="Q6" s="107" t="n"/>
      <c r="R6" s="107" t="n"/>
      <c r="S6" s="107" t="n"/>
      <c r="T6" s="98" t="inlineStr">
        <is>
          <t>Fala</t>
        </is>
      </c>
      <c r="U6" s="98" t="n">
        <v>3</v>
      </c>
      <c r="V6" s="107" t="n"/>
      <c r="W6" s="98" t="inlineStr">
        <is>
          <t>Arrastar</t>
        </is>
      </c>
      <c r="X6" s="98" t="n">
        <v>4</v>
      </c>
      <c r="Y6" s="107" t="n"/>
      <c r="Z6" s="98" t="n">
        <v>13</v>
      </c>
      <c r="AA6" s="98" t="inlineStr">
        <is>
          <t>8d6</t>
        </is>
      </c>
      <c r="AB6" s="98" t="inlineStr">
        <is>
          <t>3d6</t>
        </is>
      </c>
      <c r="AC6" s="107" t="n"/>
      <c r="AD6" s="98" t="inlineStr">
        <is>
          <t>Espírito</t>
        </is>
      </c>
      <c r="AE6" s="98" t="inlineStr">
        <is>
          <t>Essência</t>
        </is>
      </c>
      <c r="AF6" s="107" t="n"/>
      <c r="AG6" s="98" t="n">
        <v>18</v>
      </c>
      <c r="AH6" s="107" t="n"/>
      <c r="AI6" s="98" t="n">
        <v>13</v>
      </c>
      <c r="AJ6" s="107" t="n"/>
      <c r="AK6" s="98">
        <f>'INVOCAÇÃO'!$AB$30</f>
        <v/>
      </c>
      <c r="AL6" s="107" t="n"/>
      <c r="AM6" s="98" t="inlineStr">
        <is>
          <t>maestria</t>
        </is>
      </c>
      <c r="AN6" s="162" t="inlineStr">
        <is>
          <t>AK7</t>
        </is>
      </c>
      <c r="AO6" s="162" t="n"/>
      <c r="AP6" s="162" t="n">
        <v>7</v>
      </c>
      <c r="AQ6" s="162" t="n"/>
      <c r="AR6" s="162" t="n"/>
      <c r="AS6" s="162" t="n"/>
      <c r="AT6" s="162" t="n"/>
      <c r="AU6" s="162" t="n">
        <v>7</v>
      </c>
      <c r="AV6" s="162" t="n"/>
      <c r="AW6" s="162" t="n"/>
      <c r="AX6" s="162" t="n"/>
    </row>
    <row r="7">
      <c r="A7" s="107" t="n"/>
      <c r="B7" s="107" t="n"/>
      <c r="C7" s="107" t="n"/>
      <c r="D7" s="107" t="n"/>
      <c r="E7" s="107" t="n"/>
      <c r="F7" s="107" t="n"/>
      <c r="G7" s="107" t="n"/>
      <c r="H7" s="98" t="inlineStr">
        <is>
          <t>Vigia</t>
        </is>
      </c>
      <c r="I7" s="98" t="inlineStr">
        <is>
          <t>Cavar</t>
        </is>
      </c>
      <c r="J7" s="107" t="n"/>
      <c r="K7" s="107" t="n"/>
      <c r="L7" s="107" t="n"/>
      <c r="M7" s="107" t="n"/>
      <c r="N7" s="107" t="n"/>
      <c r="O7" s="107" t="n"/>
      <c r="P7" s="107" t="n"/>
      <c r="Q7" s="107" t="n"/>
      <c r="R7" s="107" t="n"/>
      <c r="S7" s="107" t="n"/>
      <c r="T7" s="98" t="inlineStr">
        <is>
          <t>Faro</t>
        </is>
      </c>
      <c r="U7" s="98" t="n">
        <v>5</v>
      </c>
      <c r="V7" s="107" t="n"/>
      <c r="W7" s="98" t="inlineStr">
        <is>
          <t>Buscar</t>
        </is>
      </c>
      <c r="X7" s="98" t="n">
        <v>4</v>
      </c>
      <c r="Y7" s="107" t="n"/>
      <c r="Z7" s="98" t="n">
        <v>17</v>
      </c>
      <c r="AA7" s="98" t="inlineStr">
        <is>
          <t>10d6</t>
        </is>
      </c>
      <c r="AB7" s="98" t="inlineStr">
        <is>
          <t>4d6</t>
        </is>
      </c>
      <c r="AC7" s="107" t="n"/>
      <c r="AD7" s="107" t="n"/>
      <c r="AE7" s="107" t="n"/>
      <c r="AF7" s="107" t="n"/>
      <c r="AG7" s="98" t="n">
        <v>22</v>
      </c>
      <c r="AH7" s="107" t="n"/>
      <c r="AI7" s="98" t="n">
        <v>17</v>
      </c>
      <c r="AJ7" s="107" t="n"/>
      <c r="AK7" s="98">
        <f>'INVOCAÇÃO'!$AJ$30</f>
        <v/>
      </c>
      <c r="AL7" s="107" t="n"/>
      <c r="AM7" s="98" t="inlineStr">
        <is>
          <t>marcos</t>
        </is>
      </c>
      <c r="AN7" s="162" t="inlineStr">
        <is>
          <t>D11</t>
        </is>
      </c>
      <c r="AO7" s="162" t="n"/>
      <c r="AP7" s="162" t="n">
        <v>8</v>
      </c>
      <c r="AQ7" s="162" t="n"/>
      <c r="AR7" s="162" t="n"/>
      <c r="AS7" s="162" t="n"/>
      <c r="AT7" s="162" t="n"/>
      <c r="AU7" s="162" t="n">
        <v>8</v>
      </c>
      <c r="AV7" s="162" t="n"/>
      <c r="AW7" s="162" t="n"/>
      <c r="AX7" s="162" t="n"/>
    </row>
    <row r="8">
      <c r="A8" s="107" t="n"/>
      <c r="B8" s="107" t="n"/>
      <c r="C8" s="107" t="n"/>
      <c r="D8" s="107" t="n"/>
      <c r="E8" s="107" t="n"/>
      <c r="F8" s="107" t="n"/>
      <c r="G8" s="107" t="n"/>
      <c r="H8" s="98" t="inlineStr">
        <is>
          <t>Miúdo</t>
        </is>
      </c>
      <c r="I8" s="98" t="inlineStr">
        <is>
          <t>Interpor</t>
        </is>
      </c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98" t="inlineStr">
        <is>
          <t>Vigia</t>
        </is>
      </c>
      <c r="U8" s="98" t="n">
        <v>5</v>
      </c>
      <c r="V8" s="107" t="n"/>
      <c r="W8" s="98" t="inlineStr">
        <is>
          <t>Cavar</t>
        </is>
      </c>
      <c r="X8" s="98" t="n">
        <v>4</v>
      </c>
      <c r="Y8" s="107" t="n"/>
      <c r="Z8" s="98" t="n">
        <v>21</v>
      </c>
      <c r="AA8" s="98" t="inlineStr">
        <is>
          <t>13d6</t>
        </is>
      </c>
      <c r="AB8" s="98" t="inlineStr">
        <is>
          <t>5d6</t>
        </is>
      </c>
      <c r="AC8" s="107" t="n"/>
      <c r="AD8" s="107" t="n"/>
      <c r="AE8" s="107" t="n"/>
      <c r="AF8" s="107" t="n"/>
      <c r="AG8" s="98" t="n">
        <v>26</v>
      </c>
      <c r="AH8" s="107" t="n"/>
      <c r="AI8" s="98" t="n">
        <v>21</v>
      </c>
      <c r="AJ8" s="107" t="n"/>
      <c r="AK8" s="107" t="n"/>
      <c r="AL8" s="107" t="n"/>
      <c r="AM8" s="98" t="inlineStr">
        <is>
          <t>classe</t>
        </is>
      </c>
      <c r="AN8" s="162" t="inlineStr">
        <is>
          <t>O11</t>
        </is>
      </c>
      <c r="AO8" s="162" t="n"/>
      <c r="AP8" s="162" t="n"/>
      <c r="AQ8" s="162" t="n"/>
      <c r="AR8" s="162" t="n"/>
      <c r="AS8" s="162" t="n"/>
      <c r="AT8" s="162" t="n"/>
      <c r="AU8" s="162" t="n"/>
      <c r="AV8" s="162" t="n"/>
      <c r="AW8" s="162" t="n"/>
      <c r="AX8" s="162" t="n"/>
    </row>
    <row r="9">
      <c r="A9" s="107" t="n"/>
      <c r="B9" s="107" t="n"/>
      <c r="C9" s="107" t="n"/>
      <c r="D9" s="107" t="n"/>
      <c r="E9" s="107" t="n"/>
      <c r="F9" s="107" t="n"/>
      <c r="G9" s="107" t="n"/>
      <c r="H9" s="98" t="inlineStr">
        <is>
          <t>Voo</t>
        </is>
      </c>
      <c r="I9" s="98" t="inlineStr">
        <is>
          <t>Chamariz</t>
        </is>
      </c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98" t="inlineStr">
        <is>
          <t>Miúdo</t>
        </is>
      </c>
      <c r="U9" s="98" t="n">
        <v>7</v>
      </c>
      <c r="V9" s="107" t="n"/>
      <c r="W9" s="98" t="inlineStr">
        <is>
          <t>Interpor</t>
        </is>
      </c>
      <c r="X9" s="98" t="n">
        <v>8</v>
      </c>
      <c r="Y9" s="107" t="n"/>
      <c r="Z9" s="98" t="n">
        <v>26</v>
      </c>
      <c r="AA9" s="98" t="inlineStr">
        <is>
          <t>15d6</t>
        </is>
      </c>
      <c r="AB9" s="98" t="inlineStr">
        <is>
          <t>6d6</t>
        </is>
      </c>
      <c r="AC9" s="107" t="n"/>
      <c r="AD9" s="107" t="n"/>
      <c r="AE9" s="107" t="n"/>
      <c r="AF9" s="107" t="n"/>
      <c r="AG9" s="98" t="n">
        <v>30</v>
      </c>
      <c r="AH9" s="107" t="n"/>
      <c r="AI9" s="98" t="n">
        <v>26</v>
      </c>
      <c r="AJ9" s="107" t="n"/>
      <c r="AK9" s="107" t="n"/>
      <c r="AL9" s="107" t="n"/>
      <c r="AM9" s="98" t="inlineStr">
        <is>
          <t>nome</t>
        </is>
      </c>
      <c r="AN9" s="162" t="inlineStr">
        <is>
          <t>D19</t>
        </is>
      </c>
      <c r="AO9" s="162" t="n"/>
      <c r="AP9" s="162" t="n"/>
      <c r="AQ9" s="162" t="n"/>
      <c r="AR9" s="162" t="n"/>
      <c r="AS9" s="162" t="n"/>
      <c r="AT9" s="162" t="n"/>
      <c r="AU9" s="162" t="n"/>
      <c r="AV9" s="162" t="n"/>
      <c r="AW9" s="162" t="n"/>
      <c r="AX9" s="162" t="n"/>
    </row>
    <row r="10">
      <c r="A10" s="107" t="n"/>
      <c r="B10" s="107" t="n"/>
      <c r="C10" s="107" t="n"/>
      <c r="D10" s="107" t="n"/>
      <c r="E10" s="107" t="n"/>
      <c r="F10" s="107" t="n"/>
      <c r="G10" s="107" t="n"/>
      <c r="H10" s="98" t="inlineStr">
        <is>
          <t>Montaria</t>
        </is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98" t="inlineStr">
        <is>
          <t>Voo</t>
        </is>
      </c>
      <c r="U10" s="98" t="n">
        <v>8</v>
      </c>
      <c r="V10" s="107" t="n"/>
      <c r="W10" s="98" t="inlineStr">
        <is>
          <t>Chamariz</t>
        </is>
      </c>
      <c r="X10" s="98" t="n">
        <v>8</v>
      </c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8" t="inlineStr">
        <is>
          <t>tipo</t>
        </is>
      </c>
      <c r="AN10" s="162" t="inlineStr">
        <is>
          <t>Z19</t>
        </is>
      </c>
      <c r="AO10" s="162" t="n"/>
      <c r="AP10" s="162" t="n"/>
      <c r="AQ10" s="162" t="n"/>
      <c r="AR10" s="162" t="n"/>
      <c r="AS10" s="162" t="n"/>
      <c r="AT10" s="162" t="n"/>
      <c r="AU10" s="162" t="n"/>
      <c r="AV10" s="162" t="n"/>
      <c r="AW10" s="162" t="n"/>
      <c r="AX10" s="162" t="n"/>
    </row>
    <row r="11">
      <c r="A11" s="107" t="n"/>
      <c r="B11" s="107" t="n"/>
      <c r="C11" s="107" t="n"/>
      <c r="D11" s="107" t="n"/>
      <c r="E11" s="107" t="n"/>
      <c r="F11" s="107" t="n"/>
      <c r="G11" s="107" t="n"/>
      <c r="H11" s="98" t="inlineStr">
        <is>
          <t>Fisgada</t>
        </is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98" t="inlineStr">
        <is>
          <t>Montaria</t>
        </is>
      </c>
      <c r="U11" s="98" t="n">
        <v>8</v>
      </c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8" t="inlineStr">
        <is>
          <t>trilha</t>
        </is>
      </c>
      <c r="AN11" s="162" t="inlineStr">
        <is>
          <t>AK19</t>
        </is>
      </c>
      <c r="AO11" s="162" t="n"/>
      <c r="AP11" s="162" t="n"/>
      <c r="AQ11" s="162" t="n"/>
      <c r="AR11" s="162" t="n"/>
      <c r="AS11" s="162" t="n"/>
      <c r="AT11" s="162" t="n"/>
      <c r="AU11" s="162" t="n"/>
      <c r="AV11" s="162" t="n"/>
      <c r="AW11" s="162" t="n"/>
      <c r="AX11" s="162" t="n"/>
    </row>
    <row r="12">
      <c r="A12" s="107" t="n"/>
      <c r="B12" s="107" t="n"/>
      <c r="C12" s="107" t="n"/>
      <c r="D12" s="107" t="n"/>
      <c r="E12" s="107" t="n"/>
      <c r="F12" s="107" t="n"/>
      <c r="G12" s="107" t="n"/>
      <c r="H12" s="98" t="inlineStr">
        <is>
          <t>Emboscada</t>
        </is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98" t="inlineStr">
        <is>
          <t>Fisgada</t>
        </is>
      </c>
      <c r="U12" s="98" t="n">
        <v>8</v>
      </c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8" t="inlineStr">
        <is>
          <t>sintonia</t>
        </is>
      </c>
      <c r="AN12" s="162" t="inlineStr">
        <is>
          <t>D22</t>
        </is>
      </c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</row>
    <row r="13">
      <c r="A13" s="107" t="n"/>
      <c r="B13" s="107" t="n"/>
      <c r="C13" s="107" t="n"/>
      <c r="D13" s="107" t="n"/>
      <c r="E13" s="107" t="n"/>
      <c r="F13" s="107" t="n"/>
      <c r="G13" s="107" t="n"/>
      <c r="H13" s="98" t="inlineStr">
        <is>
          <t>Jorro</t>
        </is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98" t="inlineStr">
        <is>
          <t>Emboscada</t>
        </is>
      </c>
      <c r="U13" s="98" t="n">
        <v>8</v>
      </c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8" t="inlineStr">
        <is>
          <t>pontos_atributo</t>
        </is>
      </c>
      <c r="AN13" s="162" t="inlineStr">
        <is>
          <t>D35</t>
        </is>
      </c>
      <c r="AO13" s="162" t="n"/>
      <c r="AP13" s="162" t="n"/>
      <c r="AQ13" s="162" t="n"/>
      <c r="AR13" s="162" t="n"/>
      <c r="AS13" s="162" t="n"/>
      <c r="AT13" s="162" t="n"/>
      <c r="AU13" s="162" t="n"/>
      <c r="AV13" s="162" t="n"/>
      <c r="AW13" s="162" t="n"/>
      <c r="AX13" s="162" t="n"/>
    </row>
    <row r="14">
      <c r="A14" s="107" t="n"/>
      <c r="B14" s="107" t="n"/>
      <c r="C14" s="107" t="n"/>
      <c r="D14" s="107" t="n"/>
      <c r="E14" s="107" t="n"/>
      <c r="F14" s="107" t="n"/>
      <c r="G14" s="107" t="n"/>
      <c r="H14" s="98" t="inlineStr">
        <is>
          <t>Graúdo</t>
        </is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98" t="inlineStr">
        <is>
          <t>Jorro</t>
        </is>
      </c>
      <c r="U14" s="98" t="n">
        <v>8</v>
      </c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8" t="inlineStr">
        <is>
          <t>pontos_disp</t>
        </is>
      </c>
      <c r="AN14" s="162" t="inlineStr">
        <is>
          <t>O35</t>
        </is>
      </c>
      <c r="AO14" s="162" t="n"/>
      <c r="AP14" s="162" t="n"/>
      <c r="AQ14" s="162" t="n"/>
      <c r="AR14" s="162" t="n"/>
      <c r="AS14" s="162" t="n"/>
      <c r="AT14" s="162" t="n"/>
      <c r="AU14" s="162" t="n"/>
      <c r="AV14" s="162" t="n"/>
      <c r="AW14" s="162" t="n"/>
      <c r="AX14" s="162" t="n"/>
    </row>
    <row r="15">
      <c r="A15" s="107" t="n"/>
      <c r="B15" s="107" t="n"/>
      <c r="C15" s="107" t="n"/>
      <c r="D15" s="107" t="n"/>
      <c r="E15" s="107" t="n"/>
      <c r="F15" s="107" t="n"/>
      <c r="G15" s="107" t="n"/>
      <c r="H15" s="98" t="inlineStr">
        <is>
          <t>Remoto</t>
        </is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98" t="inlineStr">
        <is>
          <t>Graúdo</t>
        </is>
      </c>
      <c r="U15" s="98" t="n">
        <v>8</v>
      </c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8" t="inlineStr">
        <is>
          <t>aviso_atributo</t>
        </is>
      </c>
      <c r="AN15" s="162" t="inlineStr">
        <is>
          <t>Z35</t>
        </is>
      </c>
      <c r="AO15" s="162" t="n"/>
      <c r="AP15" s="162" t="n"/>
      <c r="AQ15" s="162" t="n"/>
      <c r="AR15" s="162" t="n"/>
      <c r="AS15" s="162" t="n"/>
      <c r="AT15" s="162" t="n"/>
      <c r="AU15" s="162" t="n"/>
      <c r="AV15" s="162" t="n"/>
      <c r="AW15" s="162" t="n"/>
      <c r="AX15" s="162" t="n"/>
    </row>
    <row r="16">
      <c r="A16" s="107" t="n"/>
      <c r="B16" s="107" t="n"/>
      <c r="C16" s="107" t="n"/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98" t="inlineStr">
        <is>
          <t>Remoto</t>
        </is>
      </c>
      <c r="U16" s="98" t="n">
        <v>8</v>
      </c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8" t="inlineStr">
        <is>
          <t>atr_acerto</t>
        </is>
      </c>
      <c r="AN16" s="162" t="inlineStr">
        <is>
          <t>D43</t>
        </is>
      </c>
      <c r="AO16" s="162" t="n"/>
      <c r="AP16" s="162" t="n"/>
      <c r="AQ16" s="162" t="n"/>
      <c r="AR16" s="162" t="n"/>
      <c r="AS16" s="162" t="n"/>
      <c r="AT16" s="162" t="n"/>
      <c r="AU16" s="162" t="n"/>
      <c r="AV16" s="162" t="n"/>
      <c r="AW16" s="162" t="n"/>
      <c r="AX16" s="162" t="n"/>
    </row>
    <row r="17">
      <c r="A17" s="107" t="n"/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8" t="inlineStr">
        <is>
          <t>acerto</t>
        </is>
      </c>
      <c r="AN17" s="162" t="inlineStr">
        <is>
          <t>O43</t>
        </is>
      </c>
      <c r="AO17" s="162" t="n"/>
      <c r="AP17" s="162" t="n"/>
      <c r="AQ17" s="162" t="n"/>
      <c r="AR17" s="162" t="n"/>
      <c r="AS17" s="162" t="n"/>
      <c r="AT17" s="162" t="n"/>
      <c r="AU17" s="162" t="n"/>
      <c r="AV17" s="162" t="n"/>
      <c r="AW17" s="162" t="n"/>
      <c r="AX17" s="162" t="n"/>
    </row>
    <row r="18">
      <c r="A18" s="107" t="n"/>
      <c r="B18" s="107" t="n"/>
      <c r="C18" s="107" t="n"/>
      <c r="D18" s="107" t="n"/>
      <c r="E18" s="107" t="n"/>
      <c r="F18" s="107" t="n"/>
      <c r="G18" s="107" t="n"/>
      <c r="H18" s="107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8" t="inlineStr">
        <is>
          <t>defesa_de</t>
        </is>
      </c>
      <c r="AN18" s="162" t="inlineStr">
        <is>
          <t>Z43</t>
        </is>
      </c>
      <c r="AO18" s="162" t="n"/>
      <c r="AP18" s="162" t="n"/>
      <c r="AQ18" s="162" t="n"/>
      <c r="AR18" s="162" t="n"/>
      <c r="AS18" s="162" t="n"/>
      <c r="AT18" s="162" t="n"/>
      <c r="AU18" s="162" t="n"/>
      <c r="AV18" s="162" t="n"/>
      <c r="AW18" s="162" t="n"/>
      <c r="AX18" s="162" t="n"/>
    </row>
    <row r="19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8" t="inlineStr">
        <is>
          <t>defesa</t>
        </is>
      </c>
      <c r="AN19" s="162" t="inlineStr">
        <is>
          <t>AK43</t>
        </is>
      </c>
      <c r="AO19" s="162" t="n"/>
      <c r="AP19" s="162" t="n"/>
      <c r="AQ19" s="162" t="n"/>
      <c r="AR19" s="162" t="n"/>
      <c r="AS19" s="162" t="n"/>
      <c r="AT19" s="162" t="n"/>
      <c r="AU19" s="162" t="n"/>
      <c r="AV19" s="162" t="n"/>
      <c r="AW19" s="162" t="n"/>
      <c r="AX19" s="162" t="n"/>
    </row>
    <row r="20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8" t="inlineStr">
        <is>
          <t>critico</t>
        </is>
      </c>
      <c r="AN20" s="162" t="inlineStr">
        <is>
          <t>D46</t>
        </is>
      </c>
      <c r="AO20" s="162" t="n"/>
      <c r="AP20" s="162" t="n"/>
      <c r="AQ20" s="162" t="n"/>
      <c r="AR20" s="162" t="n"/>
      <c r="AS20" s="162" t="n"/>
      <c r="AT20" s="162" t="n"/>
      <c r="AU20" s="162" t="n"/>
      <c r="AV20" s="162" t="n"/>
      <c r="AW20" s="162" t="n"/>
      <c r="AX20" s="162" t="n"/>
    </row>
    <row r="21">
      <c r="A21" s="107" t="n"/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8" t="inlineStr">
        <is>
          <t>tr_treinado</t>
        </is>
      </c>
      <c r="AN21" s="162" t="inlineStr">
        <is>
          <t>O46</t>
        </is>
      </c>
      <c r="AO21" s="162" t="n"/>
      <c r="AP21" s="162" t="n"/>
      <c r="AQ21" s="162" t="n"/>
      <c r="AR21" s="162" t="n"/>
      <c r="AS21" s="162" t="n"/>
      <c r="AT21" s="162" t="n"/>
      <c r="AU21" s="162" t="n"/>
      <c r="AV21" s="162" t="n"/>
      <c r="AW21" s="162" t="n"/>
      <c r="AX21" s="162" t="n"/>
    </row>
    <row r="22">
      <c r="A22" s="107" t="n"/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8" t="inlineStr">
        <is>
          <t>fisico_de</t>
        </is>
      </c>
      <c r="AN22" s="162" t="inlineStr">
        <is>
          <t>Z46</t>
        </is>
      </c>
      <c r="AO22" s="162" t="n"/>
      <c r="AP22" s="162" t="n"/>
      <c r="AQ22" s="162" t="n"/>
      <c r="AR22" s="162" t="n"/>
      <c r="AS22" s="162" t="n"/>
      <c r="AT22" s="162" t="n"/>
      <c r="AU22" s="162" t="n"/>
      <c r="AV22" s="162" t="n"/>
      <c r="AW22" s="162" t="n"/>
      <c r="AX22" s="162" t="n"/>
    </row>
    <row r="23">
      <c r="A23" s="107" t="n"/>
      <c r="B23" s="107" t="n"/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8" t="inlineStr">
        <is>
          <t>tr_Físico</t>
        </is>
      </c>
      <c r="AN23" s="162" t="inlineStr">
        <is>
          <t>Q50</t>
        </is>
      </c>
      <c r="AO23" s="162" t="n"/>
      <c r="AP23" s="162" t="n"/>
      <c r="AQ23" s="162" t="n"/>
      <c r="AR23" s="162" t="n"/>
      <c r="AS23" s="162" t="n"/>
      <c r="AT23" s="162" t="n"/>
      <c r="AU23" s="162" t="n"/>
      <c r="AV23" s="162" t="n"/>
      <c r="AW23" s="162" t="n"/>
      <c r="AX23" s="162" t="n"/>
    </row>
    <row r="24">
      <c r="A24" s="107" t="n"/>
      <c r="B24" s="107" t="n"/>
      <c r="C24" s="107" t="n"/>
      <c r="D24" s="107" t="n"/>
      <c r="E24" s="107" t="n"/>
      <c r="F24" s="107" t="n"/>
      <c r="G24" s="107" t="n"/>
      <c r="H24" s="107" t="n"/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8" t="inlineStr">
        <is>
          <t>tr_extra_Físico</t>
        </is>
      </c>
      <c r="AN24" s="162" t="inlineStr">
        <is>
          <t>K50</t>
        </is>
      </c>
      <c r="AO24" s="162" t="n"/>
      <c r="AP24" s="162" t="n"/>
      <c r="AQ24" s="162" t="n"/>
      <c r="AR24" s="162" t="n"/>
      <c r="AS24" s="162" t="n"/>
      <c r="AT24" s="162" t="n"/>
      <c r="AU24" s="162" t="n"/>
      <c r="AV24" s="162" t="n"/>
      <c r="AW24" s="162" t="n"/>
      <c r="AX24" s="162" t="n"/>
    </row>
    <row r="25">
      <c r="A25" s="107" t="n"/>
      <c r="B25" s="107" t="n"/>
      <c r="C25" s="107" t="n"/>
      <c r="D25" s="107" t="n"/>
      <c r="E25" s="107" t="n"/>
      <c r="F25" s="107" t="n"/>
      <c r="G25" s="107" t="n"/>
      <c r="H25" s="107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8" t="inlineStr">
        <is>
          <t>tr_Vigor</t>
        </is>
      </c>
      <c r="AN25" s="162" t="inlineStr">
        <is>
          <t>AM50</t>
        </is>
      </c>
      <c r="AO25" s="162" t="n"/>
      <c r="AP25" s="162" t="n"/>
      <c r="AQ25" s="162" t="n"/>
      <c r="AR25" s="162" t="n"/>
      <c r="AS25" s="162" t="n"/>
      <c r="AT25" s="162" t="n"/>
      <c r="AU25" s="162" t="n"/>
      <c r="AV25" s="162" t="n"/>
      <c r="AW25" s="162" t="n"/>
      <c r="AX25" s="162" t="n"/>
    </row>
    <row r="26">
      <c r="A26" s="107" t="n"/>
      <c r="B26" s="107" t="n"/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8" t="inlineStr">
        <is>
          <t>tr_extra_Vigor</t>
        </is>
      </c>
      <c r="AN26" s="162" t="inlineStr">
        <is>
          <t>AG50</t>
        </is>
      </c>
      <c r="AO26" s="162" t="n"/>
      <c r="AP26" s="162" t="n"/>
      <c r="AQ26" s="162" t="n"/>
      <c r="AR26" s="162" t="n"/>
      <c r="AS26" s="162" t="n"/>
      <c r="AT26" s="162" t="n"/>
      <c r="AU26" s="162" t="n"/>
      <c r="AV26" s="162" t="n"/>
      <c r="AW26" s="162" t="n"/>
      <c r="AX26" s="162" t="n"/>
    </row>
    <row r="27">
      <c r="A27" s="107" t="n"/>
      <c r="B27" s="107" t="n"/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8" t="inlineStr">
        <is>
          <t>tr_Intelecto</t>
        </is>
      </c>
      <c r="AN27" s="162" t="inlineStr">
        <is>
          <t>Q51</t>
        </is>
      </c>
      <c r="AO27" s="162" t="n"/>
      <c r="AP27" s="162" t="n"/>
      <c r="AQ27" s="162" t="n"/>
      <c r="AR27" s="162" t="n"/>
      <c r="AS27" s="162" t="n"/>
      <c r="AT27" s="162" t="n"/>
      <c r="AU27" s="162" t="n"/>
      <c r="AV27" s="162" t="n"/>
      <c r="AW27" s="162" t="n"/>
      <c r="AX27" s="162" t="n"/>
    </row>
    <row r="28">
      <c r="A28" s="107" t="n"/>
      <c r="B28" s="107" t="n"/>
      <c r="C28" s="107" t="n"/>
      <c r="D28" s="107" t="n"/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8" t="inlineStr">
        <is>
          <t>tr_extra_Intelecto</t>
        </is>
      </c>
      <c r="AN28" s="162" t="inlineStr">
        <is>
          <t>K51</t>
        </is>
      </c>
      <c r="AO28" s="162" t="n"/>
      <c r="AP28" s="162" t="n"/>
      <c r="AQ28" s="162" t="n"/>
      <c r="AR28" s="162" t="n"/>
      <c r="AS28" s="162" t="n"/>
      <c r="AT28" s="162" t="n"/>
      <c r="AU28" s="162" t="n"/>
      <c r="AV28" s="162" t="n"/>
      <c r="AW28" s="162" t="n"/>
      <c r="AX28" s="162" t="n"/>
    </row>
    <row r="29">
      <c r="A29" s="107" t="n"/>
      <c r="B29" s="107" t="n"/>
      <c r="C29" s="107" t="n"/>
      <c r="D29" s="107" t="n"/>
      <c r="E29" s="107" t="n"/>
      <c r="F29" s="107" t="n"/>
      <c r="G29" s="107" t="n"/>
      <c r="H29" s="107" t="n"/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8" t="inlineStr">
        <is>
          <t>tr_Espírito</t>
        </is>
      </c>
      <c r="AN29" s="162" t="inlineStr">
        <is>
          <t>AM51</t>
        </is>
      </c>
      <c r="AO29" s="162" t="n"/>
      <c r="AP29" s="162" t="n"/>
      <c r="AQ29" s="162" t="n"/>
      <c r="AR29" s="162" t="n"/>
      <c r="AS29" s="162" t="n"/>
      <c r="AT29" s="162" t="n"/>
      <c r="AU29" s="162" t="n"/>
      <c r="AV29" s="162" t="n"/>
      <c r="AW29" s="162" t="n"/>
      <c r="AX29" s="162" t="n"/>
    </row>
    <row r="30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8" t="inlineStr">
        <is>
          <t>tr_extra_Espírito</t>
        </is>
      </c>
      <c r="AN30" s="162" t="inlineStr">
        <is>
          <t>AG51</t>
        </is>
      </c>
      <c r="AO30" s="162" t="n"/>
      <c r="AP30" s="162" t="n"/>
      <c r="AQ30" s="162" t="n"/>
      <c r="AR30" s="162" t="n"/>
      <c r="AS30" s="162" t="n"/>
      <c r="AT30" s="162" t="n"/>
      <c r="AU30" s="162" t="n"/>
      <c r="AV30" s="162" t="n"/>
      <c r="AW30" s="162" t="n"/>
      <c r="AX30" s="162" t="n"/>
    </row>
    <row r="31">
      <c r="AM31" s="162" t="inlineStr">
        <is>
          <t>vida_max</t>
        </is>
      </c>
      <c r="AN31" s="162" t="inlineStr">
        <is>
          <t>D59</t>
        </is>
      </c>
      <c r="AO31" s="162" t="n"/>
      <c r="AP31" s="162" t="n"/>
      <c r="AQ31" s="162" t="n"/>
      <c r="AR31" s="162" t="n"/>
      <c r="AS31" s="162" t="n"/>
      <c r="AT31" s="162" t="n"/>
      <c r="AU31" s="162" t="n"/>
      <c r="AV31" s="162" t="n"/>
      <c r="AW31" s="162" t="n"/>
      <c r="AX31" s="162" t="n"/>
    </row>
    <row r="32">
      <c r="AM32" s="162" t="inlineStr">
        <is>
          <t>vida</t>
        </is>
      </c>
      <c r="AN32" s="162" t="inlineStr">
        <is>
          <t>O59</t>
        </is>
      </c>
      <c r="AO32" s="162" t="n"/>
      <c r="AP32" s="162" t="n"/>
      <c r="AQ32" s="162" t="n"/>
      <c r="AR32" s="162" t="n"/>
      <c r="AS32" s="162" t="n"/>
      <c r="AT32" s="162" t="n"/>
      <c r="AU32" s="162" t="n"/>
      <c r="AV32" s="162" t="n"/>
      <c r="AW32" s="162" t="n"/>
      <c r="AX32" s="162" t="n"/>
    </row>
    <row r="33">
      <c r="AM33" s="162" t="inlineStr">
        <is>
          <t>corpos</t>
        </is>
      </c>
      <c r="AN33" s="162" t="inlineStr">
        <is>
          <t>Z59</t>
        </is>
      </c>
      <c r="AO33" s="162" t="n"/>
      <c r="AP33" s="162" t="n"/>
      <c r="AQ33" s="162" t="n"/>
      <c r="AR33" s="162" t="n"/>
      <c r="AS33" s="162" t="n"/>
      <c r="AT33" s="162" t="n"/>
      <c r="AU33" s="162" t="n"/>
      <c r="AV33" s="162" t="n"/>
      <c r="AW33" s="162" t="n"/>
      <c r="AX33" s="162" t="n"/>
    </row>
    <row r="34">
      <c r="AM34" s="162" t="inlineStr">
        <is>
          <t>area</t>
        </is>
      </c>
      <c r="AN34" s="162" t="inlineStr">
        <is>
          <t>AK59</t>
        </is>
      </c>
      <c r="AO34" s="162" t="n"/>
      <c r="AP34" s="162" t="n"/>
      <c r="AQ34" s="162" t="n"/>
      <c r="AR34" s="162" t="n"/>
      <c r="AS34" s="162" t="n"/>
      <c r="AT34" s="162" t="n"/>
      <c r="AU34" s="162" t="n"/>
      <c r="AV34" s="162" t="n"/>
      <c r="AW34" s="162" t="n"/>
      <c r="AX34" s="162" t="n"/>
    </row>
    <row r="35">
      <c r="AM35" s="162" t="inlineStr">
        <is>
          <t>regua</t>
        </is>
      </c>
      <c r="AN35" s="162" t="inlineStr">
        <is>
          <t>D65</t>
        </is>
      </c>
      <c r="AO35" s="162" t="n"/>
      <c r="AP35" s="162" t="n"/>
      <c r="AQ35" s="162" t="n"/>
      <c r="AR35" s="162" t="n"/>
      <c r="AS35" s="162" t="n"/>
      <c r="AT35" s="162" t="n"/>
      <c r="AU35" s="162" t="n"/>
      <c r="AV35" s="162" t="n"/>
      <c r="AW35" s="162" t="n"/>
      <c r="AX35" s="162" t="n"/>
    </row>
    <row r="36">
      <c r="AM36" s="162" t="inlineStr">
        <is>
          <t>meia_regua</t>
        </is>
      </c>
      <c r="AN36" s="162" t="inlineStr">
        <is>
          <t>O65</t>
        </is>
      </c>
      <c r="AO36" s="162" t="n"/>
      <c r="AP36" s="162" t="n"/>
      <c r="AQ36" s="162" t="n"/>
      <c r="AR36" s="162" t="n"/>
      <c r="AS36" s="162" t="n"/>
      <c r="AT36" s="162" t="n"/>
      <c r="AU36" s="162" t="n"/>
      <c r="AV36" s="162" t="n"/>
      <c r="AW36" s="162" t="n"/>
      <c r="AX36" s="162" t="n"/>
    </row>
    <row r="37">
      <c r="AM37" s="162" t="inlineStr">
        <is>
          <t>volta_com</t>
        </is>
      </c>
      <c r="AN37" s="162" t="inlineStr">
        <is>
          <t>Z65</t>
        </is>
      </c>
      <c r="AO37" s="162" t="n"/>
      <c r="AP37" s="162" t="n"/>
      <c r="AQ37" s="162" t="n"/>
      <c r="AR37" s="162" t="n"/>
      <c r="AS37" s="162" t="n"/>
      <c r="AT37" s="162" t="n"/>
      <c r="AU37" s="162" t="n"/>
      <c r="AV37" s="162" t="n"/>
      <c r="AW37" s="162" t="n"/>
      <c r="AX37" s="162" t="n"/>
    </row>
    <row r="38">
      <c r="AM38" s="162" t="inlineStr">
        <is>
          <t>orcamento</t>
        </is>
      </c>
      <c r="AN38" s="162" t="inlineStr">
        <is>
          <t>D76</t>
        </is>
      </c>
      <c r="AO38" s="162" t="n"/>
      <c r="AP38" s="162" t="n"/>
      <c r="AQ38" s="162" t="n"/>
      <c r="AR38" s="162" t="n"/>
      <c r="AS38" s="162" t="n"/>
      <c r="AT38" s="162" t="n"/>
      <c r="AU38" s="162" t="n"/>
      <c r="AV38" s="162" t="n"/>
      <c r="AW38" s="162" t="n"/>
      <c r="AX38" s="162" t="n"/>
    </row>
    <row r="39">
      <c r="AM39" s="162" t="inlineStr">
        <is>
          <t>gasto</t>
        </is>
      </c>
      <c r="AN39" s="162" t="inlineStr">
        <is>
          <t>D91</t>
        </is>
      </c>
      <c r="AO39" s="162" t="n"/>
      <c r="AP39" s="162" t="n"/>
      <c r="AQ39" s="162" t="n"/>
      <c r="AR39" s="162" t="n"/>
      <c r="AS39" s="162" t="n"/>
      <c r="AT39" s="162" t="n"/>
      <c r="AU39" s="162" t="n"/>
      <c r="AV39" s="162" t="n"/>
      <c r="AW39" s="162" t="n"/>
      <c r="AX39" s="162" t="n"/>
    </row>
    <row r="40">
      <c r="AM40" s="162" t="inlineStr">
        <is>
          <t>sobra</t>
        </is>
      </c>
      <c r="AN40" s="162" t="inlineStr">
        <is>
          <t>O91</t>
        </is>
      </c>
      <c r="AO40" s="162" t="n"/>
      <c r="AP40" s="162" t="n"/>
      <c r="AQ40" s="162" t="n"/>
      <c r="AR40" s="162" t="n"/>
      <c r="AS40" s="162" t="n"/>
      <c r="AT40" s="162" t="n"/>
      <c r="AU40" s="162" t="n"/>
      <c r="AV40" s="162" t="n"/>
      <c r="AW40" s="162" t="n"/>
      <c r="AX40" s="162" t="n"/>
    </row>
    <row r="41">
      <c r="AM41" s="162" t="inlineStr">
        <is>
          <t>investir</t>
        </is>
      </c>
      <c r="AN41" s="162" t="inlineStr">
        <is>
          <t>D99</t>
        </is>
      </c>
      <c r="AO41" s="162" t="n"/>
      <c r="AP41" s="162" t="n"/>
      <c r="AQ41" s="162" t="n"/>
      <c r="AR41" s="162" t="n"/>
      <c r="AS41" s="162" t="n"/>
      <c r="AT41" s="162" t="n"/>
      <c r="AU41" s="162" t="n"/>
      <c r="AV41" s="162" t="n"/>
      <c r="AW41" s="162" t="n"/>
      <c r="AX41" s="162" t="n"/>
    </row>
    <row r="42">
      <c r="AM42" s="162" t="inlineStr">
        <is>
          <t>cd_pendente</t>
        </is>
      </c>
      <c r="AN42" s="162" t="inlineStr">
        <is>
          <t>D116</t>
        </is>
      </c>
      <c r="AO42" s="162" t="n"/>
      <c r="AP42" s="162" t="n"/>
      <c r="AQ42" s="162" t="n"/>
      <c r="AR42" s="162" t="n"/>
      <c r="AS42" s="162" t="n"/>
      <c r="AT42" s="162" t="n"/>
      <c r="AU42" s="162" t="n"/>
      <c r="AV42" s="162" t="n"/>
      <c r="AW42" s="162" t="n"/>
      <c r="AX42" s="162" t="n"/>
    </row>
    <row r="43">
      <c r="AM43" s="162" t="inlineStr">
        <is>
          <t>atr_Força</t>
        </is>
      </c>
      <c r="AN43" s="162" t="inlineStr">
        <is>
          <t>D30</t>
        </is>
      </c>
      <c r="AO43" s="162" t="n"/>
      <c r="AP43" s="162" t="n"/>
      <c r="AQ43" s="162" t="n"/>
      <c r="AR43" s="162" t="n"/>
      <c r="AS43" s="162" t="n"/>
      <c r="AT43" s="162" t="n"/>
      <c r="AU43" s="162" t="n"/>
      <c r="AV43" s="162" t="n"/>
      <c r="AW43" s="162" t="n"/>
      <c r="AX43" s="162" t="n"/>
    </row>
    <row r="44">
      <c r="AM44" s="162" t="inlineStr">
        <is>
          <t>atr_Destreza</t>
        </is>
      </c>
      <c r="AN44" s="162" t="inlineStr">
        <is>
          <t>L30</t>
        </is>
      </c>
      <c r="AO44" s="162" t="n"/>
      <c r="AP44" s="162" t="n"/>
      <c r="AQ44" s="162" t="n"/>
      <c r="AR44" s="162" t="n"/>
      <c r="AS44" s="162" t="n"/>
      <c r="AT44" s="162" t="n"/>
      <c r="AU44" s="162" t="n"/>
      <c r="AV44" s="162" t="n"/>
      <c r="AW44" s="162" t="n"/>
      <c r="AX44" s="162" t="n"/>
    </row>
    <row r="45">
      <c r="AM45" s="162" t="inlineStr">
        <is>
          <t>atr_Constituição</t>
        </is>
      </c>
      <c r="AN45" s="162" t="inlineStr">
        <is>
          <t>T30</t>
        </is>
      </c>
      <c r="AO45" s="162" t="n"/>
      <c r="AP45" s="162" t="n"/>
      <c r="AQ45" s="162" t="n"/>
      <c r="AR45" s="162" t="n"/>
      <c r="AS45" s="162" t="n"/>
      <c r="AT45" s="162" t="n"/>
      <c r="AU45" s="162" t="n"/>
      <c r="AV45" s="162" t="n"/>
      <c r="AW45" s="162" t="n"/>
      <c r="AX45" s="162" t="n"/>
    </row>
    <row r="46">
      <c r="AM46" s="162" t="inlineStr">
        <is>
          <t>atr_Inteligência</t>
        </is>
      </c>
      <c r="AN46" s="162" t="inlineStr">
        <is>
          <t>AB30</t>
        </is>
      </c>
      <c r="AO46" s="162" t="n"/>
      <c r="AP46" s="162" t="n"/>
      <c r="AQ46" s="162" t="n"/>
      <c r="AR46" s="162" t="n"/>
      <c r="AS46" s="162" t="n"/>
      <c r="AT46" s="162" t="n"/>
      <c r="AU46" s="162" t="n"/>
      <c r="AV46" s="162" t="n"/>
      <c r="AW46" s="162" t="n"/>
      <c r="AX46" s="162" t="n"/>
    </row>
    <row r="47">
      <c r="AM47" s="162" t="inlineStr">
        <is>
          <t>atr_Essência</t>
        </is>
      </c>
      <c r="AN47" s="162" t="inlineStr">
        <is>
          <t>AJ30</t>
        </is>
      </c>
      <c r="AO47" s="162" t="n"/>
      <c r="AP47" s="162" t="n"/>
      <c r="AQ47" s="162" t="n"/>
      <c r="AR47" s="162" t="n"/>
      <c r="AS47" s="162" t="n"/>
      <c r="AT47" s="162" t="n"/>
      <c r="AU47" s="162" t="n"/>
      <c r="AV47" s="162" t="n"/>
      <c r="AW47" s="162" t="n"/>
      <c r="AX47" s="162" t="n"/>
    </row>
    <row r="48">
      <c r="AM48" s="162" t="inlineStr">
        <is>
          <t>slot_pontos_1</t>
        </is>
      </c>
      <c r="AN48" s="162" t="inlineStr">
        <is>
          <t>S80</t>
        </is>
      </c>
      <c r="AO48" s="162" t="n"/>
      <c r="AP48" s="162" t="n"/>
      <c r="AQ48" s="162" t="n"/>
      <c r="AR48" s="162" t="n"/>
      <c r="AS48" s="162" t="n"/>
      <c r="AT48" s="162" t="n"/>
      <c r="AU48" s="162" t="n"/>
      <c r="AV48" s="162" t="n"/>
      <c r="AW48" s="162" t="n"/>
      <c r="AX48" s="162" t="n"/>
    </row>
    <row r="49">
      <c r="AM49" s="162" t="inlineStr">
        <is>
          <t>slot_pontos_2</t>
        </is>
      </c>
      <c r="AN49" s="162" t="inlineStr">
        <is>
          <t>S81</t>
        </is>
      </c>
      <c r="AO49" s="162" t="n"/>
      <c r="AP49" s="162" t="n"/>
      <c r="AQ49" s="162" t="n"/>
      <c r="AR49" s="162" t="n"/>
      <c r="AS49" s="162" t="n"/>
      <c r="AT49" s="162" t="n"/>
      <c r="AU49" s="162" t="n"/>
      <c r="AV49" s="162" t="n"/>
      <c r="AW49" s="162" t="n"/>
      <c r="AX49" s="162" t="n"/>
    </row>
    <row r="50">
      <c r="AM50" s="162" t="inlineStr">
        <is>
          <t>slot_pontos_3</t>
        </is>
      </c>
      <c r="AN50" s="162" t="inlineStr">
        <is>
          <t>S82</t>
        </is>
      </c>
      <c r="AO50" s="162" t="n"/>
      <c r="AP50" s="162" t="n"/>
      <c r="AQ50" s="162" t="n"/>
      <c r="AR50" s="162" t="n"/>
      <c r="AS50" s="162" t="n"/>
      <c r="AT50" s="162" t="n"/>
      <c r="AU50" s="162" t="n"/>
      <c r="AV50" s="162" t="n"/>
      <c r="AW50" s="162" t="n"/>
      <c r="AX50" s="162" t="n"/>
    </row>
    <row r="51">
      <c r="AM51" s="162" t="inlineStr">
        <is>
          <t>slot_pontos_4</t>
        </is>
      </c>
      <c r="AN51" s="162" t="inlineStr">
        <is>
          <t>S83</t>
        </is>
      </c>
      <c r="AO51" s="162" t="n"/>
      <c r="AP51" s="162" t="n"/>
      <c r="AQ51" s="162" t="n"/>
      <c r="AR51" s="162" t="n"/>
      <c r="AS51" s="162" t="n"/>
      <c r="AT51" s="162" t="n"/>
      <c r="AU51" s="162" t="n"/>
      <c r="AV51" s="162" t="n"/>
      <c r="AW51" s="162" t="n"/>
      <c r="AX51" s="162" t="n"/>
    </row>
    <row r="52">
      <c r="AM52" s="162" t="inlineStr">
        <is>
          <t>slot_pontos_5</t>
        </is>
      </c>
      <c r="AN52" s="162" t="inlineStr">
        <is>
          <t>S84</t>
        </is>
      </c>
      <c r="AO52" s="162" t="n"/>
      <c r="AP52" s="162" t="n"/>
      <c r="AQ52" s="162" t="n"/>
      <c r="AR52" s="162" t="n"/>
      <c r="AS52" s="162" t="n"/>
      <c r="AT52" s="162" t="n"/>
      <c r="AU52" s="162" t="n"/>
      <c r="AV52" s="162" t="n"/>
      <c r="AW52" s="162" t="n"/>
      <c r="AX52" s="162" t="n"/>
    </row>
    <row r="53">
      <c r="AM53" s="162" t="inlineStr">
        <is>
          <t>slot_pontos_6</t>
        </is>
      </c>
      <c r="AN53" s="162" t="inlineStr">
        <is>
          <t>S85</t>
        </is>
      </c>
      <c r="AO53" s="162" t="n"/>
      <c r="AP53" s="162" t="n"/>
      <c r="AQ53" s="162" t="n"/>
      <c r="AR53" s="162" t="n"/>
      <c r="AS53" s="162" t="n"/>
      <c r="AT53" s="162" t="n"/>
      <c r="AU53" s="162" t="n"/>
      <c r="AV53" s="162" t="n"/>
      <c r="AW53" s="162" t="n"/>
      <c r="AX53" s="162" t="n"/>
    </row>
    <row r="54">
      <c r="AM54" s="162" t="inlineStr">
        <is>
          <t>slot_pontos_7</t>
        </is>
      </c>
      <c r="AN54" s="162" t="inlineStr">
        <is>
          <t>S86</t>
        </is>
      </c>
      <c r="AO54" s="162" t="n"/>
      <c r="AP54" s="162" t="n"/>
      <c r="AQ54" s="162" t="n"/>
      <c r="AR54" s="162" t="n"/>
      <c r="AS54" s="162" t="n"/>
      <c r="AT54" s="162" t="n"/>
      <c r="AU54" s="162" t="n"/>
      <c r="AV54" s="162" t="n"/>
      <c r="AW54" s="162" t="n"/>
      <c r="AX54" s="162" t="n"/>
    </row>
    <row r="55">
      <c r="AM55" s="162" t="inlineStr">
        <is>
          <t>slot_pontos_8</t>
        </is>
      </c>
      <c r="AN55" s="162" t="inlineStr">
        <is>
          <t>S87</t>
        </is>
      </c>
      <c r="AO55" s="162" t="n"/>
      <c r="AP55" s="162" t="n"/>
      <c r="AQ55" s="162" t="n"/>
      <c r="AR55" s="162" t="n"/>
      <c r="AS55" s="162" t="n"/>
      <c r="AT55" s="162" t="n"/>
      <c r="AU55" s="162" t="n"/>
      <c r="AV55" s="162" t="n"/>
      <c r="AW55" s="162" t="n"/>
      <c r="AX55" s="162" t="n"/>
    </row>
    <row r="56">
      <c r="AM56" s="162" t="inlineStr">
        <is>
          <t>slot_pontos_9</t>
        </is>
      </c>
      <c r="AN56" s="162" t="inlineStr">
        <is>
          <t>S88</t>
        </is>
      </c>
      <c r="AO56" s="162" t="n"/>
      <c r="AP56" s="162" t="n"/>
      <c r="AQ56" s="162" t="n"/>
      <c r="AR56" s="162" t="n"/>
      <c r="AS56" s="162" t="n"/>
      <c r="AT56" s="162" t="n"/>
      <c r="AU56" s="162" t="n"/>
      <c r="AV56" s="162" t="n"/>
      <c r="AW56" s="162" t="n"/>
      <c r="AX56" s="162" t="n"/>
    </row>
    <row r="57">
      <c r="AM57" s="162" t="inlineStr">
        <is>
          <t>slot_pontos_10</t>
        </is>
      </c>
      <c r="AN57" s="162" t="inlineStr">
        <is>
          <t>AO80</t>
        </is>
      </c>
      <c r="AO57" s="162" t="n"/>
      <c r="AP57" s="162" t="n"/>
      <c r="AQ57" s="162" t="n"/>
      <c r="AR57" s="162" t="n"/>
      <c r="AS57" s="162" t="n"/>
      <c r="AT57" s="162" t="n"/>
      <c r="AU57" s="162" t="n"/>
      <c r="AV57" s="162" t="n"/>
      <c r="AW57" s="162" t="n"/>
      <c r="AX57" s="162" t="n"/>
    </row>
    <row r="58">
      <c r="AM58" s="162" t="inlineStr">
        <is>
          <t>slot_pontos_11</t>
        </is>
      </c>
      <c r="AN58" s="162" t="inlineStr">
        <is>
          <t>AO81</t>
        </is>
      </c>
      <c r="AO58" s="162" t="n"/>
      <c r="AP58" s="162" t="n"/>
      <c r="AQ58" s="162" t="n"/>
      <c r="AR58" s="162" t="n"/>
      <c r="AS58" s="162" t="n"/>
      <c r="AT58" s="162" t="n"/>
      <c r="AU58" s="162" t="n"/>
      <c r="AV58" s="162" t="n"/>
      <c r="AW58" s="162" t="n"/>
      <c r="AX58" s="162" t="n"/>
    </row>
    <row r="59">
      <c r="AM59" s="162" t="inlineStr">
        <is>
          <t>slot_pontos_12</t>
        </is>
      </c>
      <c r="AN59" s="162" t="inlineStr">
        <is>
          <t>AO82</t>
        </is>
      </c>
      <c r="AO59" s="162" t="n"/>
      <c r="AP59" s="162" t="n"/>
      <c r="AQ59" s="162" t="n"/>
      <c r="AR59" s="162" t="n"/>
      <c r="AS59" s="162" t="n"/>
      <c r="AT59" s="162" t="n"/>
      <c r="AU59" s="162" t="n"/>
      <c r="AV59" s="162" t="n"/>
      <c r="AW59" s="162" t="n"/>
      <c r="AX59" s="162" t="n"/>
    </row>
    <row r="60">
      <c r="AM60" s="162" t="inlineStr">
        <is>
          <t>slot_pontos_13</t>
        </is>
      </c>
      <c r="AN60" s="162" t="inlineStr">
        <is>
          <t>AO83</t>
        </is>
      </c>
      <c r="AO60" s="162" t="n"/>
      <c r="AP60" s="162" t="n"/>
      <c r="AQ60" s="162" t="n"/>
      <c r="AR60" s="162" t="n"/>
      <c r="AS60" s="162" t="n"/>
      <c r="AT60" s="162" t="n"/>
      <c r="AU60" s="162" t="n"/>
      <c r="AV60" s="162" t="n"/>
      <c r="AW60" s="162" t="n"/>
      <c r="AX60" s="162" t="n"/>
    </row>
    <row r="61">
      <c r="AM61" s="162" t="inlineStr">
        <is>
          <t>slot_pontos_14</t>
        </is>
      </c>
      <c r="AN61" s="162" t="inlineStr">
        <is>
          <t>AO84</t>
        </is>
      </c>
      <c r="AO61" s="162" t="n"/>
      <c r="AP61" s="162" t="n"/>
      <c r="AQ61" s="162" t="n"/>
      <c r="AR61" s="162" t="n"/>
      <c r="AS61" s="162" t="n"/>
      <c r="AT61" s="162" t="n"/>
      <c r="AU61" s="162" t="n"/>
      <c r="AV61" s="162" t="n"/>
      <c r="AW61" s="162" t="n"/>
      <c r="AX61" s="162" t="n"/>
    </row>
    <row r="62">
      <c r="AM62" s="162" t="inlineStr">
        <is>
          <t>slot_pontos_15</t>
        </is>
      </c>
      <c r="AN62" s="162" t="inlineStr">
        <is>
          <t>AO85</t>
        </is>
      </c>
      <c r="AO62" s="162" t="n"/>
      <c r="AP62" s="162" t="n"/>
      <c r="AQ62" s="162" t="n"/>
      <c r="AR62" s="162" t="n"/>
      <c r="AS62" s="162" t="n"/>
      <c r="AT62" s="162" t="n"/>
      <c r="AU62" s="162" t="n"/>
      <c r="AV62" s="162" t="n"/>
      <c r="AW62" s="162" t="n"/>
      <c r="AX62" s="162" t="n"/>
    </row>
    <row r="63">
      <c r="AM63" s="162" t="inlineStr">
        <is>
          <t>traco_1</t>
        </is>
      </c>
      <c r="AN63" s="162" t="inlineStr">
        <is>
          <t>D80</t>
        </is>
      </c>
      <c r="AO63" s="162" t="n"/>
      <c r="AP63" s="162" t="n"/>
      <c r="AQ63" s="162" t="n"/>
      <c r="AR63" s="162" t="n"/>
      <c r="AS63" s="162" t="n"/>
      <c r="AT63" s="162" t="n"/>
      <c r="AU63" s="162" t="n"/>
      <c r="AV63" s="162" t="n"/>
      <c r="AW63" s="162" t="n"/>
      <c r="AX63" s="162" t="n"/>
    </row>
    <row r="64">
      <c r="AM64" s="162" t="inlineStr">
        <is>
          <t>traco_2</t>
        </is>
      </c>
      <c r="AN64" s="162" t="inlineStr">
        <is>
          <t>D81</t>
        </is>
      </c>
      <c r="AO64" s="162" t="n"/>
      <c r="AP64" s="162" t="n"/>
      <c r="AQ64" s="162" t="n"/>
      <c r="AR64" s="162" t="n"/>
      <c r="AS64" s="162" t="n"/>
      <c r="AT64" s="162" t="n"/>
      <c r="AU64" s="162" t="n"/>
      <c r="AV64" s="162" t="n"/>
      <c r="AW64" s="162" t="n"/>
      <c r="AX64" s="162" t="n"/>
    </row>
    <row r="65">
      <c r="AM65" s="162" t="inlineStr">
        <is>
          <t>traco_3</t>
        </is>
      </c>
      <c r="AN65" s="162" t="inlineStr">
        <is>
          <t>D82</t>
        </is>
      </c>
      <c r="AO65" s="162" t="n"/>
      <c r="AP65" s="162" t="n"/>
      <c r="AQ65" s="162" t="n"/>
      <c r="AR65" s="162" t="n"/>
      <c r="AS65" s="162" t="n"/>
      <c r="AT65" s="162" t="n"/>
      <c r="AU65" s="162" t="n"/>
      <c r="AV65" s="162" t="n"/>
      <c r="AW65" s="162" t="n"/>
      <c r="AX65" s="162" t="n"/>
    </row>
    <row r="66">
      <c r="AM66" s="162" t="inlineStr">
        <is>
          <t>traco_4</t>
        </is>
      </c>
      <c r="AN66" s="162" t="inlineStr">
        <is>
          <t>D83</t>
        </is>
      </c>
      <c r="AO66" s="162" t="n"/>
      <c r="AP66" s="162" t="n"/>
      <c r="AQ66" s="162" t="n"/>
      <c r="AR66" s="162" t="n"/>
      <c r="AS66" s="162" t="n"/>
      <c r="AT66" s="162" t="n"/>
      <c r="AU66" s="162" t="n"/>
      <c r="AV66" s="162" t="n"/>
      <c r="AW66" s="162" t="n"/>
      <c r="AX66" s="162" t="n"/>
    </row>
    <row r="67">
      <c r="AM67" s="162" t="inlineStr">
        <is>
          <t>traco_5</t>
        </is>
      </c>
      <c r="AN67" s="162" t="inlineStr">
        <is>
          <t>D84</t>
        </is>
      </c>
      <c r="AO67" s="162" t="n"/>
      <c r="AP67" s="162" t="n"/>
      <c r="AQ67" s="162" t="n"/>
      <c r="AR67" s="162" t="n"/>
      <c r="AS67" s="162" t="n"/>
      <c r="AT67" s="162" t="n"/>
      <c r="AU67" s="162" t="n"/>
      <c r="AV67" s="162" t="n"/>
      <c r="AW67" s="162" t="n"/>
      <c r="AX67" s="162" t="n"/>
    </row>
    <row r="68">
      <c r="AM68" s="162" t="inlineStr">
        <is>
          <t>traco_6</t>
        </is>
      </c>
      <c r="AN68" s="162" t="inlineStr">
        <is>
          <t>D85</t>
        </is>
      </c>
      <c r="AO68" s="162" t="n"/>
      <c r="AP68" s="162" t="n"/>
      <c r="AQ68" s="162" t="n"/>
      <c r="AR68" s="162" t="n"/>
      <c r="AS68" s="162" t="n"/>
      <c r="AT68" s="162" t="n"/>
      <c r="AU68" s="162" t="n"/>
      <c r="AV68" s="162" t="n"/>
      <c r="AW68" s="162" t="n"/>
      <c r="AX68" s="162" t="n"/>
    </row>
    <row r="69">
      <c r="AM69" s="162" t="inlineStr">
        <is>
          <t>traco_7</t>
        </is>
      </c>
      <c r="AN69" s="162" t="inlineStr">
        <is>
          <t>D86</t>
        </is>
      </c>
      <c r="AO69" s="162" t="n"/>
      <c r="AP69" s="162" t="n"/>
      <c r="AQ69" s="162" t="n"/>
      <c r="AR69" s="162" t="n"/>
      <c r="AS69" s="162" t="n"/>
      <c r="AT69" s="162" t="n"/>
      <c r="AU69" s="162" t="n"/>
      <c r="AV69" s="162" t="n"/>
      <c r="AW69" s="162" t="n"/>
      <c r="AX69" s="162" t="n"/>
    </row>
    <row r="70">
      <c r="AM70" s="162" t="inlineStr">
        <is>
          <t>traco_8</t>
        </is>
      </c>
      <c r="AN70" s="162" t="inlineStr">
        <is>
          <t>D87</t>
        </is>
      </c>
      <c r="AO70" s="162" t="n"/>
      <c r="AP70" s="162" t="n"/>
      <c r="AQ70" s="162" t="n"/>
      <c r="AR70" s="162" t="n"/>
      <c r="AS70" s="162" t="n"/>
      <c r="AT70" s="162" t="n"/>
      <c r="AU70" s="162" t="n"/>
      <c r="AV70" s="162" t="n"/>
      <c r="AW70" s="162" t="n"/>
      <c r="AX70" s="162" t="n"/>
    </row>
    <row r="71">
      <c r="AM71" s="162" t="inlineStr">
        <is>
          <t>traco_9</t>
        </is>
      </c>
      <c r="AN71" s="162" t="inlineStr">
        <is>
          <t>D88</t>
        </is>
      </c>
      <c r="AO71" s="162" t="n"/>
      <c r="AP71" s="162" t="n"/>
      <c r="AQ71" s="162" t="n"/>
      <c r="AR71" s="162" t="n"/>
      <c r="AS71" s="162" t="n"/>
      <c r="AT71" s="162" t="n"/>
      <c r="AU71" s="162" t="n"/>
      <c r="AV71" s="162" t="n"/>
      <c r="AW71" s="162" t="n"/>
      <c r="AX71" s="162" t="n"/>
    </row>
    <row r="72">
      <c r="AM72" s="162" t="inlineStr">
        <is>
          <t>comando_1</t>
        </is>
      </c>
      <c r="AN72" s="162" t="inlineStr">
        <is>
          <t>Z80</t>
        </is>
      </c>
      <c r="AO72" s="162" t="n"/>
      <c r="AP72" s="162" t="n"/>
      <c r="AQ72" s="162" t="n"/>
      <c r="AR72" s="162" t="n"/>
      <c r="AS72" s="162" t="n"/>
      <c r="AT72" s="162" t="n"/>
      <c r="AU72" s="162" t="n"/>
      <c r="AV72" s="162" t="n"/>
      <c r="AW72" s="162" t="n"/>
      <c r="AX72" s="162" t="n"/>
    </row>
    <row r="73">
      <c r="AM73" s="162" t="inlineStr">
        <is>
          <t>comando_2</t>
        </is>
      </c>
      <c r="AN73" s="162" t="inlineStr">
        <is>
          <t>Z81</t>
        </is>
      </c>
      <c r="AO73" s="162" t="n"/>
      <c r="AP73" s="162" t="n"/>
      <c r="AQ73" s="162" t="n"/>
      <c r="AR73" s="162" t="n"/>
      <c r="AS73" s="162" t="n"/>
      <c r="AT73" s="162" t="n"/>
      <c r="AU73" s="162" t="n"/>
      <c r="AV73" s="162" t="n"/>
      <c r="AW73" s="162" t="n"/>
      <c r="AX73" s="162" t="n"/>
    </row>
    <row r="74">
      <c r="AM74" s="162" t="inlineStr">
        <is>
          <t>comando_3</t>
        </is>
      </c>
      <c r="AN74" s="162" t="inlineStr">
        <is>
          <t>Z82</t>
        </is>
      </c>
      <c r="AO74" s="162" t="n"/>
      <c r="AP74" s="162" t="n"/>
      <c r="AQ74" s="162" t="n"/>
      <c r="AR74" s="162" t="n"/>
      <c r="AS74" s="162" t="n"/>
      <c r="AT74" s="162" t="n"/>
      <c r="AU74" s="162" t="n"/>
      <c r="AV74" s="162" t="n"/>
      <c r="AW74" s="162" t="n"/>
      <c r="AX74" s="162" t="n"/>
    </row>
    <row r="75">
      <c r="AM75" s="162" t="inlineStr">
        <is>
          <t>comando_4</t>
        </is>
      </c>
      <c r="AN75" s="162" t="inlineStr">
        <is>
          <t>Z83</t>
        </is>
      </c>
      <c r="AO75" s="162" t="n"/>
      <c r="AP75" s="162" t="n"/>
      <c r="AQ75" s="162" t="n"/>
      <c r="AR75" s="162" t="n"/>
      <c r="AS75" s="162" t="n"/>
      <c r="AT75" s="162" t="n"/>
      <c r="AU75" s="162" t="n"/>
      <c r="AV75" s="162" t="n"/>
      <c r="AW75" s="162" t="n"/>
      <c r="AX75" s="162" t="n"/>
    </row>
    <row r="76">
      <c r="AM76" s="162" t="inlineStr">
        <is>
          <t>comando_5</t>
        </is>
      </c>
      <c r="AN76" s="162" t="inlineStr">
        <is>
          <t>Z84</t>
        </is>
      </c>
      <c r="AO76" s="162" t="n"/>
      <c r="AP76" s="162" t="n"/>
      <c r="AQ76" s="162" t="n"/>
      <c r="AR76" s="162" t="n"/>
      <c r="AS76" s="162" t="n"/>
      <c r="AT76" s="162" t="n"/>
      <c r="AU76" s="162" t="n"/>
      <c r="AV76" s="162" t="n"/>
      <c r="AW76" s="162" t="n"/>
      <c r="AX76" s="162" t="n"/>
    </row>
    <row r="77">
      <c r="AM77" s="162" t="inlineStr">
        <is>
          <t>comando_6</t>
        </is>
      </c>
      <c r="AN77" s="162" t="inlineStr">
        <is>
          <t>Z85</t>
        </is>
      </c>
      <c r="AO77" s="162" t="n"/>
      <c r="AP77" s="162" t="n"/>
      <c r="AQ77" s="162" t="n"/>
      <c r="AR77" s="162" t="n"/>
      <c r="AS77" s="162" t="n"/>
      <c r="AT77" s="162" t="n"/>
      <c r="AU77" s="162" t="n"/>
      <c r="AV77" s="162" t="n"/>
      <c r="AW77" s="162" t="n"/>
      <c r="AX77" s="16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2026-09-07T02:57:34Z</dcterms:created>
  <dcterms:modified xmlns:dcterms="http://purl.org/dc/terms/" xmlns:xsi="http://www.w3.org/2001/XMLSchema-instance" xsi:type="dcterms:W3CDTF">2026-09-07T02:57:35Z</dcterms:modified>
</cp:coreProperties>
</file>
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comments/comment1.xml" ContentType="application/vnd.openxmlformats-officedocument.spreadsheetml.comments+xml"/>
  <Override PartName="/xl/worksheets/sheet4.xml" ContentType="application/vnd.openxmlformats-officedocument.spreadsheetml.worksheet+xml"/>
  <Override PartName="/xl/drawings/drawing4.xml" ContentType="application/vnd.openxmlformats-officedocument.drawing+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ARTEIRA" sheetId="1" state="visible" r:id="rId1"/>
    <sheet xmlns:r="http://schemas.openxmlformats.org/officeDocument/2006/relationships" name="FICHA" sheetId="2" state="visible" r:id="rId2"/>
    <sheet xmlns:r="http://schemas.openxmlformats.org/officeDocument/2006/relationships" name="FICHA AMALDIÇOADA" sheetId="3" state="visible" r:id="rId3"/>
    <sheet xmlns:r="http://schemas.openxmlformats.org/officeDocument/2006/relationships" name="FICHA PESSOAL" sheetId="4" state="visible" r:id="rId4"/>
    <sheet xmlns:r="http://schemas.openxmlformats.org/officeDocument/2006/relationships" name="DADOS" sheetId="5" state="hidden" r:id="rId5"/>
    <sheet xmlns:r="http://schemas.openxmlformats.org/officeDocument/2006/relationships" name="DADOS_AM" sheetId="6" state="hidden" r:id="rId6"/>
    <sheet xmlns:r="http://schemas.openxmlformats.org/officeDocument/2006/relationships" name="GLOSSÁRIO" sheetId="7" state="visible" r:id="rId7"/>
  </sheets>
  <definedNames/>
  <calcPr calcId="124519" fullCalcOnLoad="1"/>
</workbook>
</file>

<file path=xl/styles.xml><?xml version="1.0" encoding="utf-8"?>
<styleSheet xmlns="http://schemas.openxmlformats.org/spreadsheetml/2006/main">
  <numFmts count="2">
    <numFmt numFmtId="164" formatCode="&quot;Classe &quot;0"/>
    <numFmt numFmtId="165" formatCode="&quot;¥ &quot;#,##0"/>
  </numFmts>
  <fonts count="48">
    <font>
      <name val="Roboto"/>
      <color rgb="00F4F1F7"/>
      <sz val="12"/>
    </font>
    <font>
      <name val="Roboto"/>
      <color rgb="FFF4F1F7"/>
      <sz val="11"/>
    </font>
    <font>
      <name val="Yuji Syuku"/>
      <color rgb="FF756588"/>
      <sz val="22"/>
    </font>
    <font>
      <name val="Oswald"/>
      <color rgb="FFE8DCD4"/>
      <sz val="13"/>
    </font>
    <font>
      <name val="Courier New"/>
      <color rgb="FF756588"/>
      <sz val="11"/>
    </font>
    <font>
      <name val="Roboto"/>
      <color rgb="FF998BA9"/>
      <sz val="9"/>
    </font>
    <font>
      <name val="Courier New"/>
      <color rgb="FF998BA9"/>
      <sz val="9"/>
    </font>
    <font>
      <name val="Oswald"/>
      <color rgb="FF998BA9"/>
      <sz val="9"/>
    </font>
    <font>
      <name val="Castoro"/>
      <color rgb="FFF4F1F7"/>
      <sz val="15"/>
    </font>
    <font>
      <name val="Oswald"/>
      <color rgb="FF998BA9"/>
      <sz val="8"/>
    </font>
    <font>
      <name val="Castoro"/>
      <color rgb="FFF4F1F7"/>
      <sz val="10"/>
    </font>
    <font>
      <name val="Roboto"/>
      <color rgb="FF493F54"/>
      <sz val="8"/>
    </font>
    <font>
      <name val="Courier New"/>
      <color rgb="FF493F54"/>
      <sz val="9"/>
    </font>
    <font>
      <name val="Roboto"/>
      <color rgb="FFF4F1F7"/>
      <sz val="12"/>
    </font>
    <font>
      <name val="Castoro"/>
      <color rgb="FFE8DCD4"/>
      <sz val="15"/>
    </font>
    <font>
      <name val="Oswald"/>
      <color rgb="FF493F54"/>
      <sz val="11"/>
    </font>
    <font>
      <name val="Oswald"/>
      <color rgb="FFE8DCD4"/>
      <sz val="22"/>
    </font>
    <font>
      <name val="Oswald"/>
      <color rgb="FFE8DCD4"/>
      <sz val="12"/>
    </font>
    <font>
      <name val="Roboto"/>
      <color rgb="FFE8DCD4"/>
      <sz val="11"/>
    </font>
    <font>
      <name val="Oswald"/>
      <color rgb="FFE8DCD4"/>
      <sz val="8"/>
    </font>
    <font>
      <name val="Oswald"/>
      <color rgb="FFE8DCD4"/>
      <sz val="20"/>
    </font>
    <font>
      <name val="Courier New"/>
      <color rgb="FFE8DCD4"/>
      <sz val="12"/>
    </font>
    <font>
      <name val="Oswald"/>
      <color rgb="FFE8DCD4"/>
      <sz val="10"/>
    </font>
    <font>
      <name val="Oswald"/>
      <color rgb="FFE8DCD4"/>
      <sz val="11"/>
    </font>
    <font>
      <name val="Oswald"/>
      <color rgb="FFE8DCD4"/>
      <sz val="24"/>
    </font>
    <font>
      <name val="Roboto"/>
      <color rgb="FFE8DCD4"/>
      <sz val="8"/>
    </font>
    <font>
      <name val="Roboto"/>
      <color rgb="FFE8DCD4"/>
      <sz val="13"/>
    </font>
    <font>
      <name val="Roboto"/>
      <color rgb="FF000000"/>
      <sz val="12"/>
    </font>
    <font>
      <name val="Courier New"/>
      <color rgb="FFE8DCD4"/>
      <sz val="11"/>
    </font>
    <font>
      <name val="Roboto"/>
      <color rgb="FFE8DCD4"/>
      <sz val="12"/>
    </font>
    <font>
      <name val="Roboto"/>
      <b val="1"/>
      <color rgb="FFE8DCD4"/>
      <sz val="9"/>
    </font>
    <font>
      <name val="Oswald"/>
      <color rgb="FFE8DCD4"/>
      <sz val="16"/>
    </font>
    <font>
      <name val="Roboto"/>
      <color rgb="FFF4F1F7"/>
    </font>
    <font>
      <name val="Castoro"/>
      <color rgb="FFE8DCD4"/>
      <sz val="6"/>
    </font>
    <font>
      <name val="Castoro"/>
      <color rgb="FFE8DCD4"/>
    </font>
    <font>
      <name val="Oswald"/>
      <color rgb="FFE8DCD4"/>
    </font>
    <font>
      <name val="Castoro"/>
      <color rgb="FFE8DCD4"/>
      <sz val="10"/>
    </font>
    <font>
      <name val="Oswald"/>
      <color rgb="FFE8DCD4"/>
      <sz val="9"/>
    </font>
    <font>
      <name val="Castoro"/>
      <color rgb="FFE8DCD4"/>
      <sz val="8"/>
    </font>
    <font>
      <name val="Roboto"/>
      <b val="1"/>
      <color rgb="FFF4F1F7"/>
      <sz val="9"/>
    </font>
    <font>
      <name val="Oswald"/>
      <color rgb="FFE8DCD4"/>
      <sz val="14"/>
    </font>
    <font>
      <name val="Roboto"/>
      <color rgb="FFE8DCD4"/>
      <sz val="9"/>
    </font>
    <font>
      <name val="Roboto"/>
      <color rgb="FFF4F1F7"/>
      <sz val="10"/>
    </font>
    <font>
      <name val="Roboto"/>
      <color rgb="FFE8DCD4"/>
      <sz val="10"/>
    </font>
    <font>
      <name val="Castoro"/>
      <color rgb="FFE8DCD4"/>
      <sz val="11"/>
    </font>
    <font>
      <name val="Roboto"/>
      <color rgb="FFF4F1F7"/>
      <sz val="9"/>
    </font>
    <font>
      <name val="Roboto"/>
      <b val="1"/>
      <color rgb="FFF4F1F7"/>
      <sz val="12"/>
    </font>
    <font>
      <name val="Courier New"/>
      <color rgb="FF998BA9"/>
      <sz val="8"/>
    </font>
  </fonts>
  <fills count="9">
    <fill>
      <patternFill/>
    </fill>
    <fill>
      <patternFill patternType="gray125"/>
    </fill>
    <fill>
      <patternFill patternType="solid">
        <fgColor rgb="FF17131F"/>
        <bgColor rgb="FF17131F"/>
      </patternFill>
    </fill>
    <fill>
      <patternFill patternType="solid">
        <fgColor rgb="FF0A0810"/>
        <bgColor rgb="FF0A0810"/>
      </patternFill>
    </fill>
    <fill>
      <patternFill patternType="solid">
        <fgColor rgb="FF3D2E78"/>
        <bgColor rgb="FF3D2E78"/>
      </patternFill>
    </fill>
    <fill>
      <patternFill patternType="solid">
        <fgColor rgb="FF1E1733"/>
        <bgColor rgb="FF1E1733"/>
      </patternFill>
    </fill>
    <fill>
      <patternFill patternType="solid">
        <fgColor rgb="FF120F1D"/>
        <bgColor rgb="FF120F1D"/>
      </patternFill>
    </fill>
    <fill>
      <patternFill patternType="solid">
        <fgColor rgb="FF211940"/>
        <bgColor rgb="FF211940"/>
      </patternFill>
    </fill>
    <fill>
      <patternFill patternType="solid">
        <fgColor rgb="FF3B3360"/>
        <bgColor rgb="FF3B3360"/>
      </patternFill>
    </fill>
  </fills>
  <borders count="26">
    <border>
      <left/>
      <right/>
      <top/>
      <bottom/>
      <diagonal/>
    </border>
    <border>
      <bottom style="medium">
        <color rgb="FF8A7EC4"/>
      </bottom>
    </border>
    <border>
      <left style="medium">
        <color rgb="FF8A7EC4"/>
      </left>
      <right style="medium">
        <color rgb="FF8A7EC4"/>
      </right>
      <top style="medium">
        <color rgb="FF8A7EC4"/>
      </top>
      <bottom style="medium">
        <color rgb="FF8A7EC4"/>
      </bottom>
    </border>
    <border>
      <top style="medium">
        <color rgb="FF8A7EC4"/>
      </top>
      <bottom style="medium">
        <color rgb="FF8A7EC4"/>
      </bottom>
    </border>
    <border>
      <right style="medium">
        <color rgb="FF8A7EC4"/>
      </right>
      <top style="medium">
        <color rgb="FF8A7EC4"/>
      </top>
      <bottom style="medium">
        <color rgb="FF8A7EC4"/>
      </bottom>
    </border>
    <border>
      <top style="medium">
        <color rgb="FF8A7EC4"/>
      </top>
    </border>
    <border>
      <right style="medium">
        <color rgb="FF8A7EC4"/>
      </right>
      <top style="medium">
        <color rgb="FF8A7EC4"/>
      </top>
    </border>
    <border>
      <left style="medium">
        <color rgb="FF8A7EC4"/>
      </left>
    </border>
    <border>
      <right style="medium">
        <color rgb="FF8A7EC4"/>
      </right>
    </border>
    <border>
      <left style="medium">
        <color rgb="FF8A7EC4"/>
      </left>
      <bottom style="medium">
        <color rgb="FF8A7EC4"/>
      </bottom>
    </border>
    <border>
      <right style="medium">
        <color rgb="FF8A7EC4"/>
      </right>
      <bottom style="medium">
        <color rgb="FF8A7EC4"/>
      </bottom>
    </border>
    <border>
      <left style="medium">
        <color rgb="FF8A7EC4"/>
      </left>
      <right style="medium">
        <color rgb="FF8A7EC4"/>
      </right>
      <top style="medium">
        <color rgb="FF8A7EC4"/>
      </top>
    </border>
    <border>
      <left style="medium">
        <color rgb="FF8A7EC4"/>
      </left>
      <right style="medium">
        <color rgb="FF8A7EC4"/>
      </right>
      <bottom style="medium">
        <color rgb="FF8A7EC4"/>
      </bottom>
    </border>
    <border>
      <left/>
      <right/>
      <top style="medium">
        <color rgb="FF8A7EC4"/>
      </top>
      <bottom/>
      <diagonal/>
    </border>
    <border>
      <left/>
      <right style="medium">
        <color rgb="FF8A7EC4"/>
      </right>
      <top style="medium">
        <color rgb="FF8A7EC4"/>
      </top>
      <bottom/>
      <diagonal/>
    </border>
    <border>
      <left/>
      <right/>
      <top style="medium">
        <color rgb="FF8A7EC4"/>
      </top>
      <bottom style="medium">
        <color rgb="FF8A7EC4"/>
      </bottom>
      <diagonal/>
    </border>
    <border>
      <left/>
      <right style="medium">
        <color rgb="FF8A7EC4"/>
      </right>
      <top style="medium">
        <color rgb="FF8A7EC4"/>
      </top>
      <bottom style="medium">
        <color rgb="FF8A7EC4"/>
      </bottom>
      <diagonal/>
    </border>
    <border>
      <left style="medium">
        <color rgb="FF8A7EC4"/>
      </left>
      <right/>
      <top/>
      <bottom/>
      <diagonal/>
    </border>
    <border>
      <left/>
      <right style="medium">
        <color rgb="FF8A7EC4"/>
      </right>
      <top/>
      <bottom/>
      <diagonal/>
    </border>
    <border>
      <left style="medium">
        <color rgb="FF8A7EC4"/>
      </left>
      <right/>
      <top/>
      <bottom style="medium">
        <color rgb="FF8A7EC4"/>
      </bottom>
      <diagonal/>
    </border>
    <border>
      <left/>
      <right/>
      <top/>
      <bottom style="medium">
        <color rgb="FF8A7EC4"/>
      </bottom>
      <diagonal/>
    </border>
    <border>
      <left/>
      <right style="medium">
        <color rgb="FF8A7EC4"/>
      </right>
      <top/>
      <bottom style="medium">
        <color rgb="FF8A7EC4"/>
      </bottom>
      <diagonal/>
    </border>
    <border>
      <left style="medium">
        <color rgb="FF8A7EC4"/>
      </left>
      <right style="medium">
        <color rgb="FF8A7EC4"/>
      </right>
    </border>
    <border>
      <left style="medium">
        <color rgb="FF8A7EC4"/>
      </left>
      <top style="medium">
        <color rgb="FF8A7EC4"/>
      </top>
      <bottom style="medium">
        <color rgb="FF8A7EC4"/>
      </bottom>
    </border>
    <border>
      <left style="medium">
        <color rgb="FF8A7EC4"/>
      </left>
      <right style="medium">
        <color rgb="FF8A7EC4"/>
      </right>
      <top/>
      <bottom/>
      <diagonal/>
    </border>
    <border>
      <left style="medium">
        <color rgb="FF8A7EC4"/>
      </left>
      <right style="medium">
        <color rgb="FF8A7EC4"/>
      </right>
      <top/>
      <bottom style="medium">
        <color rgb="FF8A7EC4"/>
      </bottom>
      <diagonal/>
    </border>
  </borders>
  <cellStyleXfs count="1">
    <xf numFmtId="0" fontId="0" fillId="0" borderId="0"/>
  </cellStyleXfs>
  <cellXfs count="151">
    <xf numFmtId="0" fontId="0" fillId="0" borderId="0" pivotButton="0" quotePrefix="0" xfId="0"/>
    <xf numFmtId="0" fontId="1" fillId="2" borderId="0" applyAlignment="1" pivotButton="0" quotePrefix="0" xfId="0">
      <alignment horizontal="left" vertical="center"/>
    </xf>
    <xf numFmtId="0" fontId="2" fillId="2" borderId="0" applyAlignment="1" pivotButton="0" quotePrefix="0" xfId="0">
      <alignment horizontal="left" vertical="center"/>
    </xf>
    <xf numFmtId="0" fontId="3" fillId="2" borderId="0" applyAlignment="1" pivotButton="0" quotePrefix="0" xfId="0">
      <alignment horizontal="left" vertical="center"/>
    </xf>
    <xf numFmtId="0" fontId="4" fillId="2" borderId="0" applyAlignment="1" pivotButton="0" quotePrefix="0" xfId="0">
      <alignment horizontal="right" vertical="center"/>
    </xf>
    <xf numFmtId="0" fontId="5" fillId="2" borderId="0" applyAlignment="1" pivotButton="0" quotePrefix="0" xfId="0">
      <alignment horizontal="left" vertical="center"/>
    </xf>
    <xf numFmtId="0" fontId="6" fillId="2" borderId="0" applyAlignment="1" pivotButton="0" quotePrefix="0" xfId="0">
      <alignment horizontal="right" vertical="center"/>
    </xf>
    <xf numFmtId="0" fontId="1" fillId="2" borderId="1" applyAlignment="1" pivotButton="0" quotePrefix="0" xfId="0">
      <alignment horizontal="left" vertical="center"/>
    </xf>
    <xf numFmtId="0" fontId="1" fillId="3" borderId="0" applyAlignment="1" pivotButton="0" quotePrefix="0" xfId="0">
      <alignment horizontal="left" vertical="center"/>
    </xf>
    <xf numFmtId="0" fontId="1" fillId="3" borderId="0" applyAlignment="1" pivotButton="0" quotePrefix="0" xfId="0">
      <alignment horizontal="center" vertical="center"/>
    </xf>
    <xf numFmtId="0" fontId="7" fillId="4" borderId="2" applyAlignment="1" pivotButton="0" quotePrefix="0" xfId="0">
      <alignment horizontal="center" vertical="center"/>
    </xf>
    <xf numFmtId="0" fontId="0" fillId="0" borderId="15" pivotButton="0" quotePrefix="0" xfId="0"/>
    <xf numFmtId="0" fontId="0" fillId="0" borderId="16" pivotButton="0" quotePrefix="0" xfId="0"/>
    <xf numFmtId="0" fontId="8" fillId="5" borderId="2" applyAlignment="1" pivotButton="0" quotePrefix="0" xfId="0">
      <alignment horizontal="center" vertical="center"/>
    </xf>
    <xf numFmtId="0" fontId="0" fillId="0" borderId="13" pivotButton="0" quotePrefix="0" xfId="0"/>
    <xf numFmtId="0" fontId="0" fillId="0" borderId="14" pivotButton="0" quotePrefix="0" xfId="0"/>
    <xf numFmtId="0" fontId="0" fillId="0" borderId="17" pivotButton="0" quotePrefix="0" xfId="0"/>
    <xf numFmtId="0" fontId="0" fillId="0" borderId="18" pivotButton="0" quotePrefix="0" xfId="0"/>
    <xf numFmtId="0" fontId="0" fillId="0" borderId="19" pivotButton="0" quotePrefix="0" xfId="0"/>
    <xf numFmtId="0" fontId="0" fillId="0" borderId="20" pivotButton="0" quotePrefix="0" xfId="0"/>
    <xf numFmtId="0" fontId="0" fillId="0" borderId="21" pivotButton="0" quotePrefix="0" xfId="0"/>
    <xf numFmtId="0" fontId="9" fillId="4" borderId="2" applyAlignment="1" pivotButton="0" quotePrefix="0" xfId="0">
      <alignment horizontal="center" vertical="center"/>
    </xf>
    <xf numFmtId="0" fontId="1" fillId="3" borderId="8" applyAlignment="1" pivotButton="0" quotePrefix="0" xfId="0">
      <alignment horizontal="left" vertical="center"/>
    </xf>
    <xf numFmtId="0" fontId="9" fillId="4" borderId="4" applyAlignment="1" pivotButton="0" quotePrefix="0" xfId="0">
      <alignment horizontal="center" vertical="center"/>
    </xf>
    <xf numFmtId="0" fontId="8" fillId="5" borderId="11" applyAlignment="1" pivotButton="0" quotePrefix="0" xfId="0">
      <alignment horizontal="center" vertical="center"/>
    </xf>
    <xf numFmtId="0" fontId="8" fillId="5" borderId="6" applyAlignment="1" pivotButton="0" quotePrefix="0" xfId="0">
      <alignment horizontal="center" vertical="center"/>
    </xf>
    <xf numFmtId="0" fontId="10" fillId="5" borderId="11" applyAlignment="1" pivotButton="0" quotePrefix="0" xfId="0">
      <alignment horizontal="center" vertical="center"/>
    </xf>
    <xf numFmtId="0" fontId="1" fillId="3" borderId="5" applyAlignment="1" pivotButton="0" quotePrefix="0" xfId="0">
      <alignment horizontal="left" vertical="center"/>
    </xf>
    <xf numFmtId="0" fontId="1" fillId="3" borderId="1" applyAlignment="1" pivotButton="0" quotePrefix="0" xfId="0">
      <alignment horizontal="left" vertical="center"/>
    </xf>
    <xf numFmtId="0" fontId="9" fillId="4" borderId="12" applyAlignment="1" pivotButton="0" quotePrefix="0" xfId="0">
      <alignment horizontal="center" vertical="center"/>
    </xf>
    <xf numFmtId="0" fontId="9" fillId="4" borderId="10" applyAlignment="1" pivotButton="0" quotePrefix="0" xfId="0">
      <alignment horizontal="center" vertical="center"/>
    </xf>
    <xf numFmtId="0" fontId="1" fillId="5" borderId="4" applyAlignment="1" pivotButton="0" quotePrefix="0" xfId="0">
      <alignment horizontal="center" vertical="center"/>
    </xf>
    <xf numFmtId="0" fontId="1" fillId="5" borderId="2" applyAlignment="1" pivotButton="0" quotePrefix="0" xfId="0">
      <alignment horizontal="center" vertical="center"/>
    </xf>
    <xf numFmtId="0" fontId="1" fillId="3" borderId="7" applyAlignment="1" pivotButton="0" quotePrefix="0" xfId="0">
      <alignment horizontal="left" vertical="center"/>
    </xf>
    <xf numFmtId="0" fontId="11" fillId="3" borderId="0" applyAlignment="1" pivotButton="0" quotePrefix="0" xfId="0">
      <alignment horizontal="left" vertical="center"/>
    </xf>
    <xf numFmtId="0" fontId="9" fillId="3" borderId="0" applyAlignment="1" pivotButton="0" quotePrefix="0" xfId="0">
      <alignment horizontal="right" vertical="center"/>
    </xf>
    <xf numFmtId="0" fontId="5" fillId="3" borderId="0" applyAlignment="1" pivotButton="0" quotePrefix="0" xfId="0">
      <alignment horizontal="left" vertical="center"/>
    </xf>
    <xf numFmtId="0" fontId="12" fillId="3" borderId="0" applyAlignment="1" pivotButton="0" quotePrefix="0" xfId="0">
      <alignment horizontal="right" vertical="center"/>
    </xf>
    <xf numFmtId="0" fontId="1" fillId="6" borderId="0" applyAlignment="1" pivotButton="0" quotePrefix="0" xfId="0">
      <alignment horizontal="left" vertical="center"/>
    </xf>
    <xf numFmtId="0" fontId="13" fillId="3" borderId="0" applyAlignment="1" pivotButton="0" quotePrefix="0" xfId="0">
      <alignment horizontal="left" vertical="center"/>
    </xf>
    <xf numFmtId="0" fontId="2" fillId="3" borderId="0" applyAlignment="1" pivotButton="0" quotePrefix="0" xfId="0">
      <alignment horizontal="center" vertical="center"/>
    </xf>
    <xf numFmtId="0" fontId="3" fillId="3" borderId="0" applyAlignment="1" pivotButton="0" quotePrefix="0" xfId="0">
      <alignment horizontal="left" vertical="bottom"/>
    </xf>
    <xf numFmtId="0" fontId="14" fillId="3" borderId="0" applyAlignment="1" pivotButton="0" quotePrefix="0" xfId="0">
      <alignment horizontal="right" vertical="bottom"/>
    </xf>
    <xf numFmtId="0" fontId="5" fillId="3" borderId="0" applyAlignment="1" pivotButton="0" quotePrefix="0" xfId="0">
      <alignment horizontal="left" vertical="top"/>
    </xf>
    <xf numFmtId="0" fontId="5" fillId="3" borderId="0" applyAlignment="1" pivotButton="0" quotePrefix="0" xfId="0">
      <alignment horizontal="right" vertical="top"/>
    </xf>
    <xf numFmtId="0" fontId="15" fillId="3" borderId="8" applyAlignment="1" pivotButton="0" quotePrefix="0" xfId="0">
      <alignment horizontal="center" vertical="center" textRotation="90"/>
    </xf>
    <xf numFmtId="0" fontId="16" fillId="7" borderId="2" applyAlignment="1" pivotButton="0" quotePrefix="0" xfId="0">
      <alignment horizontal="center" vertical="center" wrapText="1"/>
    </xf>
    <xf numFmtId="0" fontId="17" fillId="4" borderId="11" applyAlignment="1" pivotButton="0" quotePrefix="0" xfId="0">
      <alignment horizontal="left" vertical="center"/>
    </xf>
    <xf numFmtId="0" fontId="18" fillId="6" borderId="0" applyAlignment="1" pivotButton="0" quotePrefix="0" xfId="0">
      <alignment horizontal="left" vertical="center"/>
    </xf>
    <xf numFmtId="0" fontId="18" fillId="6" borderId="5" applyAlignment="1" pivotButton="0" quotePrefix="0" xfId="0">
      <alignment horizontal="left" vertical="center"/>
    </xf>
    <xf numFmtId="0" fontId="18" fillId="6" borderId="3" applyAlignment="1" pivotButton="0" quotePrefix="0" xfId="0">
      <alignment horizontal="left" vertical="center"/>
    </xf>
    <xf numFmtId="0" fontId="18" fillId="6" borderId="1" applyAlignment="1" pivotButton="0" quotePrefix="0" xfId="0">
      <alignment horizontal="left" vertical="center"/>
    </xf>
    <xf numFmtId="0" fontId="19" fillId="4" borderId="2" applyAlignment="1" pivotButton="0" quotePrefix="0" xfId="0">
      <alignment horizontal="center" vertical="center"/>
    </xf>
    <xf numFmtId="0" fontId="18" fillId="6" borderId="22" applyAlignment="1" pivotButton="0" quotePrefix="0" xfId="0">
      <alignment horizontal="left" vertical="center"/>
    </xf>
    <xf numFmtId="0" fontId="19" fillId="4" borderId="12" applyAlignment="1" pivotButton="0" quotePrefix="0" xfId="0">
      <alignment horizontal="center" vertical="center"/>
    </xf>
    <xf numFmtId="0" fontId="18" fillId="6" borderId="8" applyAlignment="1" pivotButton="0" quotePrefix="0" xfId="0">
      <alignment horizontal="left" vertical="center"/>
    </xf>
    <xf numFmtId="0" fontId="19" fillId="4" borderId="10" applyAlignment="1" pivotButton="0" quotePrefix="0" xfId="0">
      <alignment horizontal="center" vertical="center"/>
    </xf>
    <xf numFmtId="0" fontId="18" fillId="5" borderId="11" applyAlignment="1" pivotButton="0" quotePrefix="0" xfId="0">
      <alignment horizontal="center" vertical="center"/>
    </xf>
    <xf numFmtId="0" fontId="18" fillId="5" borderId="6" applyAlignment="1" pivotButton="0" quotePrefix="0" xfId="0">
      <alignment horizontal="center" vertical="center"/>
    </xf>
    <xf numFmtId="0" fontId="20" fillId="5" borderId="6" applyAlignment="1" pivotButton="0" quotePrefix="0" xfId="0">
      <alignment horizontal="center" vertical="center"/>
    </xf>
    <xf numFmtId="0" fontId="21" fillId="5" borderId="6" applyAlignment="1" pivotButton="0" quotePrefix="0" xfId="0">
      <alignment horizontal="center" vertical="center"/>
    </xf>
    <xf numFmtId="0" fontId="18" fillId="6" borderId="5" applyAlignment="1" pivotButton="0" quotePrefix="0" xfId="0">
      <alignment horizontal="center" vertical="center"/>
    </xf>
    <xf numFmtId="0" fontId="22" fillId="4" borderId="2" applyAlignment="1" pivotButton="0" quotePrefix="0" xfId="0">
      <alignment horizontal="center" vertical="center"/>
    </xf>
    <xf numFmtId="0" fontId="16" fillId="7" borderId="2" applyAlignment="1" pivotButton="0" quotePrefix="0" xfId="0">
      <alignment horizontal="center" vertical="center"/>
    </xf>
    <xf numFmtId="0" fontId="18" fillId="6" borderId="7" applyAlignment="1" pivotButton="0" quotePrefix="0" xfId="0">
      <alignment horizontal="left" vertical="center"/>
    </xf>
    <xf numFmtId="0" fontId="23" fillId="5" borderId="2" applyAlignment="1" pivotButton="0" quotePrefix="0" xfId="0">
      <alignment horizontal="center" vertical="center"/>
    </xf>
    <xf numFmtId="0" fontId="22" fillId="4" borderId="23" applyAlignment="1" pivotButton="0" quotePrefix="0" xfId="0">
      <alignment horizontal="center" vertical="center"/>
    </xf>
    <xf numFmtId="0" fontId="18" fillId="6" borderId="0" applyAlignment="1" pivotButton="0" quotePrefix="0" xfId="0">
      <alignment horizontal="center" vertical="center"/>
    </xf>
    <xf numFmtId="0" fontId="24" fillId="5" borderId="2" applyAlignment="1" pivotButton="0" quotePrefix="0" xfId="0">
      <alignment horizontal="center" vertical="center"/>
    </xf>
    <xf numFmtId="0" fontId="24" fillId="5" borderId="4" applyAlignment="1" pivotButton="0" quotePrefix="0" xfId="0">
      <alignment horizontal="center" vertical="center"/>
    </xf>
    <xf numFmtId="0" fontId="19" fillId="5" borderId="2" applyAlignment="1" pivotButton="0" quotePrefix="0" xfId="0">
      <alignment horizontal="center" vertical="center"/>
    </xf>
    <xf numFmtId="0" fontId="19" fillId="5" borderId="12" applyAlignment="1" pivotButton="0" quotePrefix="0" xfId="0">
      <alignment horizontal="center" vertical="center"/>
    </xf>
    <xf numFmtId="0" fontId="19" fillId="5" borderId="10" applyAlignment="1" pivotButton="0" quotePrefix="0" xfId="0">
      <alignment horizontal="center" vertical="center"/>
    </xf>
    <xf numFmtId="0" fontId="25" fillId="4" borderId="2" applyAlignment="1" pivotButton="0" quotePrefix="0" xfId="0">
      <alignment horizontal="center" vertical="center"/>
    </xf>
    <xf numFmtId="0" fontId="25" fillId="4" borderId="4" applyAlignment="1" pivotButton="0" quotePrefix="0" xfId="0">
      <alignment horizontal="center" vertical="center"/>
    </xf>
    <xf numFmtId="0" fontId="19" fillId="4" borderId="4" applyAlignment="1" pivotButton="0" quotePrefix="0" xfId="0">
      <alignment horizontal="center" vertical="center" wrapText="1"/>
    </xf>
    <xf numFmtId="0" fontId="16" fillId="5" borderId="2" applyAlignment="1" pivotButton="0" quotePrefix="0" xfId="0">
      <alignment horizontal="center" vertical="center"/>
    </xf>
    <xf numFmtId="0" fontId="26" fillId="5" borderId="2" applyAlignment="1" pivotButton="0" quotePrefix="0" xfId="0">
      <alignment horizontal="center" vertical="center"/>
    </xf>
    <xf numFmtId="0" fontId="27" fillId="5" borderId="2" applyAlignment="1" pivotButton="0" quotePrefix="0" xfId="0">
      <alignment horizontal="left" vertical="center"/>
    </xf>
    <xf numFmtId="0" fontId="28" fillId="5" borderId="12" applyAlignment="1" pivotButton="0" quotePrefix="0" xfId="0">
      <alignment horizontal="center" vertical="center"/>
    </xf>
    <xf numFmtId="0" fontId="18" fillId="5" borderId="2" applyAlignment="1" pivotButton="0" quotePrefix="0" xfId="0">
      <alignment horizontal="center" vertical="center"/>
    </xf>
    <xf numFmtId="0" fontId="29" fillId="5" borderId="2" applyAlignment="1" pivotButton="0" quotePrefix="0" xfId="0">
      <alignment horizontal="left" vertical="center"/>
    </xf>
    <xf numFmtId="0" fontId="26" fillId="5" borderId="4" applyAlignment="1" pivotButton="0" quotePrefix="0" xfId="0">
      <alignment horizontal="center" vertical="center"/>
    </xf>
    <xf numFmtId="0" fontId="18" fillId="5" borderId="8" applyAlignment="1" pivotButton="0" quotePrefix="0" xfId="0">
      <alignment horizontal="center" vertical="center"/>
    </xf>
    <xf numFmtId="0" fontId="30" fillId="4" borderId="2" applyAlignment="1" pivotButton="0" quotePrefix="0" xfId="0">
      <alignment horizontal="center" vertical="center" wrapText="1"/>
    </xf>
    <xf numFmtId="0" fontId="17" fillId="4" borderId="2" applyAlignment="1" pivotButton="0" quotePrefix="0" xfId="0">
      <alignment horizontal="left" vertical="center"/>
    </xf>
    <xf numFmtId="0" fontId="22" fillId="5" borderId="2" applyAlignment="1" pivotButton="0" quotePrefix="0" xfId="0">
      <alignment horizontal="center" vertical="center" wrapText="1"/>
    </xf>
    <xf numFmtId="0" fontId="23" fillId="5" borderId="23" applyAlignment="1" pivotButton="0" quotePrefix="0" xfId="0">
      <alignment horizontal="center" vertical="center"/>
    </xf>
    <xf numFmtId="0" fontId="19" fillId="4" borderId="4" applyAlignment="1" pivotButton="0" quotePrefix="0" xfId="0">
      <alignment horizontal="center" vertical="center"/>
    </xf>
    <xf numFmtId="0" fontId="31" fillId="5" borderId="2" applyAlignment="1" pivotButton="0" quotePrefix="0" xfId="0">
      <alignment horizontal="center" vertical="center"/>
    </xf>
    <xf numFmtId="0" fontId="23" fillId="5" borderId="2" applyAlignment="1" pivotButton="0" quotePrefix="0" xfId="0">
      <alignment horizontal="center" vertical="center" wrapText="1"/>
    </xf>
    <xf numFmtId="0" fontId="32" fillId="6" borderId="0" applyAlignment="1" pivotButton="0" quotePrefix="0" xfId="0">
      <alignment horizontal="left" vertical="center"/>
    </xf>
    <xf numFmtId="0" fontId="33" fillId="4" borderId="2" applyAlignment="1" pivotButton="0" quotePrefix="0" xfId="0">
      <alignment horizontal="center" vertical="center" wrapText="1"/>
    </xf>
    <xf numFmtId="0" fontId="18" fillId="8" borderId="2" applyAlignment="1" pivotButton="0" quotePrefix="0" xfId="0">
      <alignment horizontal="center" vertical="center"/>
    </xf>
    <xf numFmtId="0" fontId="34" fillId="5" borderId="2" applyAlignment="1" pivotButton="0" quotePrefix="0" xfId="0">
      <alignment horizontal="left" vertical="center"/>
    </xf>
    <xf numFmtId="0" fontId="35" fillId="5" borderId="2" applyAlignment="1" pivotButton="0" quotePrefix="0" xfId="0">
      <alignment horizontal="center" vertical="center"/>
    </xf>
    <xf numFmtId="0" fontId="36" fillId="5" borderId="4" applyAlignment="1" pivotButton="0" quotePrefix="0" xfId="0">
      <alignment horizontal="center" vertical="center" wrapText="1"/>
    </xf>
    <xf numFmtId="0" fontId="31" fillId="4" borderId="2" applyAlignment="1" pivotButton="0" quotePrefix="0" xfId="0">
      <alignment horizontal="center" vertical="center"/>
    </xf>
    <xf numFmtId="0" fontId="22" fillId="5" borderId="2" applyAlignment="1" pivotButton="0" quotePrefix="0" xfId="0">
      <alignment horizontal="center" vertical="center"/>
    </xf>
    <xf numFmtId="0" fontId="36" fillId="5" borderId="2" applyAlignment="1" pivotButton="0" quotePrefix="0" xfId="0">
      <alignment horizontal="center" vertical="center" wrapText="1"/>
    </xf>
    <xf numFmtId="0" fontId="36" fillId="5" borderId="2" applyAlignment="1" pivotButton="0" quotePrefix="0" xfId="0">
      <alignment horizontal="left" vertical="center"/>
    </xf>
    <xf numFmtId="0" fontId="19" fillId="8" borderId="2" applyAlignment="1" pivotButton="0" quotePrefix="0" xfId="0">
      <alignment horizontal="left" vertical="center"/>
    </xf>
    <xf numFmtId="0" fontId="34" fillId="5" borderId="23" applyAlignment="1" pivotButton="0" quotePrefix="0" xfId="0">
      <alignment horizontal="center" vertical="center"/>
    </xf>
    <xf numFmtId="0" fontId="34" fillId="5" borderId="2" applyAlignment="1" pivotButton="0" quotePrefix="0" xfId="0">
      <alignment horizontal="center" vertical="center"/>
    </xf>
    <xf numFmtId="0" fontId="36" fillId="5" borderId="23" applyAlignment="1" pivotButton="0" quotePrefix="0" xfId="0">
      <alignment horizontal="left" vertical="center"/>
    </xf>
    <xf numFmtId="0" fontId="37" fillId="8" borderId="2" applyAlignment="1" pivotButton="0" quotePrefix="0" xfId="0">
      <alignment horizontal="left" vertical="center"/>
    </xf>
    <xf numFmtId="0" fontId="38" fillId="4" borderId="2" applyAlignment="1" pivotButton="0" quotePrefix="0" xfId="0">
      <alignment horizontal="center" vertical="center" wrapText="1"/>
    </xf>
    <xf numFmtId="0" fontId="38" fillId="4" borderId="4" applyAlignment="1" pivotButton="0" quotePrefix="0" xfId="0">
      <alignment horizontal="center" vertical="center" wrapText="1"/>
    </xf>
    <xf numFmtId="0" fontId="38" fillId="5" borderId="2" applyAlignment="1" pivotButton="0" quotePrefix="0" xfId="0">
      <alignment horizontal="center" vertical="center" wrapText="1"/>
    </xf>
    <xf numFmtId="0" fontId="38" fillId="5" borderId="4" applyAlignment="1" pivotButton="0" quotePrefix="0" xfId="0">
      <alignment horizontal="center" vertical="center" wrapText="1"/>
    </xf>
    <xf numFmtId="0" fontId="39" fillId="4" borderId="2" applyAlignment="1" pivotButton="0" quotePrefix="0" xfId="0">
      <alignment horizontal="center" vertical="center"/>
    </xf>
    <xf numFmtId="0" fontId="1" fillId="5" borderId="2" applyAlignment="1" pivotButton="0" quotePrefix="0" xfId="0">
      <alignment horizontal="left" vertical="center"/>
    </xf>
    <xf numFmtId="0" fontId="1" fillId="6" borderId="0" applyAlignment="1" pivotButton="0" quotePrefix="0" xfId="0">
      <alignment horizontal="center" vertical="center"/>
    </xf>
    <xf numFmtId="0" fontId="19" fillId="8" borderId="2" applyAlignment="1" pivotButton="0" quotePrefix="0" xfId="0">
      <alignment horizontal="center" vertical="center"/>
    </xf>
    <xf numFmtId="0" fontId="13" fillId="6" borderId="0" applyAlignment="1" pivotButton="0" quotePrefix="0" xfId="0">
      <alignment horizontal="left" vertical="center"/>
    </xf>
    <xf numFmtId="0" fontId="0" fillId="6" borderId="0" pivotButton="0" quotePrefix="0" xfId="0"/>
    <xf numFmtId="0" fontId="19" fillId="2" borderId="2" applyAlignment="1" pivotButton="0" quotePrefix="0" xfId="0">
      <alignment horizontal="center" vertical="center"/>
    </xf>
    <xf numFmtId="0" fontId="5" fillId="6" borderId="0" applyAlignment="1" pivotButton="0" quotePrefix="0" xfId="0">
      <alignment horizontal="left" vertical="center"/>
    </xf>
    <xf numFmtId="0" fontId="40" fillId="7" borderId="2" applyAlignment="1" pivotButton="0" quotePrefix="0" xfId="0">
      <alignment horizontal="left" vertical="center"/>
    </xf>
    <xf numFmtId="0" fontId="41" fillId="7" borderId="2" applyAlignment="1" pivotButton="0" quotePrefix="0" xfId="0">
      <alignment horizontal="left" vertical="center"/>
    </xf>
    <xf numFmtId="0" fontId="42" fillId="2" borderId="2" applyAlignment="1" pivotButton="0" quotePrefix="0" xfId="0">
      <alignment horizontal="left" vertical="top" wrapText="1"/>
    </xf>
    <xf numFmtId="0" fontId="43" fillId="5" borderId="2" applyAlignment="1" pivotButton="0" quotePrefix="0" xfId="0">
      <alignment horizontal="center" vertical="center"/>
    </xf>
    <xf numFmtId="0" fontId="0" fillId="0" borderId="25" pivotButton="0" quotePrefix="0" xfId="0"/>
    <xf numFmtId="164" fontId="22" fillId="5" borderId="2" applyAlignment="1" pivotButton="0" quotePrefix="0" xfId="0">
      <alignment horizontal="center" vertical="center"/>
    </xf>
    <xf numFmtId="0" fontId="44" fillId="4" borderId="2" applyAlignment="1" pivotButton="0" quotePrefix="0" xfId="0">
      <alignment horizontal="left" vertical="center"/>
    </xf>
    <xf numFmtId="0" fontId="41" fillId="4" borderId="2" applyAlignment="1" pivotButton="0" quotePrefix="0" xfId="0">
      <alignment horizontal="center" vertical="center"/>
    </xf>
    <xf numFmtId="0" fontId="5" fillId="5" borderId="2" applyAlignment="1" pivotButton="0" quotePrefix="0" xfId="0">
      <alignment horizontal="center" vertical="center"/>
    </xf>
    <xf numFmtId="0" fontId="43" fillId="5" borderId="2" applyAlignment="1" pivotButton="0" quotePrefix="0" xfId="0">
      <alignment horizontal="left" vertical="center"/>
    </xf>
    <xf numFmtId="0" fontId="0" fillId="0" borderId="24" pivotButton="0" quotePrefix="0" xfId="0"/>
    <xf numFmtId="0" fontId="45" fillId="2" borderId="2" applyAlignment="1" pivotButton="0" quotePrefix="0" xfId="0">
      <alignment horizontal="left" vertical="center" wrapText="1"/>
    </xf>
    <xf numFmtId="0" fontId="37" fillId="2" borderId="2" applyAlignment="1" pivotButton="0" quotePrefix="0" xfId="0">
      <alignment horizontal="left" vertical="center"/>
    </xf>
    <xf numFmtId="0" fontId="5" fillId="5" borderId="2" applyAlignment="1" pivotButton="0" quotePrefix="0" xfId="0">
      <alignment horizontal="left" vertical="center" wrapText="1"/>
    </xf>
    <xf numFmtId="0" fontId="45" fillId="2" borderId="2" applyAlignment="1" pivotButton="0" quotePrefix="0" xfId="0">
      <alignment horizontal="left" vertical="top" wrapText="1"/>
    </xf>
    <xf numFmtId="0" fontId="5" fillId="5" borderId="2" applyAlignment="1" pivotButton="0" quotePrefix="0" xfId="0">
      <alignment horizontal="left" vertical="center"/>
    </xf>
    <xf numFmtId="0" fontId="9" fillId="2" borderId="2" applyAlignment="1" pivotButton="0" quotePrefix="0" xfId="0">
      <alignment horizontal="center" vertical="center" wrapText="1"/>
    </xf>
    <xf numFmtId="165" fontId="31" fillId="5" borderId="2" applyAlignment="1" pivotButton="0" quotePrefix="0" xfId="0">
      <alignment horizontal="center" vertical="center"/>
    </xf>
    <xf numFmtId="0" fontId="7" fillId="6" borderId="0" applyAlignment="1" pivotButton="0" quotePrefix="0" xfId="0">
      <alignment horizontal="left" vertical="center"/>
    </xf>
    <xf numFmtId="0" fontId="46" fillId="6" borderId="0" applyAlignment="1" pivotButton="0" quotePrefix="0" xfId="0">
      <alignment horizontal="left" vertical="center"/>
    </xf>
    <xf numFmtId="0" fontId="7" fillId="6" borderId="0" applyAlignment="1" pivotButton="0" quotePrefix="0" xfId="0">
      <alignment horizontal="center" vertical="center"/>
    </xf>
    <xf numFmtId="0" fontId="5" fillId="6" borderId="0" applyAlignment="1" pivotButton="0" quotePrefix="0" xfId="0">
      <alignment horizontal="center" vertical="center"/>
    </xf>
    <xf numFmtId="0" fontId="13" fillId="6" borderId="0" applyAlignment="1" pivotButton="0" quotePrefix="0" xfId="0">
      <alignment horizontal="center" vertical="center"/>
    </xf>
    <xf numFmtId="0" fontId="31" fillId="4" borderId="23" applyAlignment="1" pivotButton="0" quotePrefix="0" xfId="0">
      <alignment horizontal="left" vertical="center"/>
    </xf>
    <xf numFmtId="0" fontId="47" fillId="4" borderId="4" applyAlignment="1" pivotButton="0" quotePrefix="0" xfId="0">
      <alignment horizontal="right" vertical="center"/>
    </xf>
    <xf numFmtId="0" fontId="17" fillId="7" borderId="2" applyAlignment="1" pivotButton="0" quotePrefix="0" xfId="0">
      <alignment horizontal="left" vertical="center"/>
    </xf>
    <xf numFmtId="0" fontId="5" fillId="7" borderId="2" applyAlignment="1" pivotButton="0" quotePrefix="0" xfId="0">
      <alignment horizontal="left" vertical="center"/>
    </xf>
    <xf numFmtId="0" fontId="19" fillId="4" borderId="2" applyAlignment="1" pivotButton="0" quotePrefix="0" xfId="0">
      <alignment horizontal="left" vertical="center"/>
    </xf>
    <xf numFmtId="0" fontId="36" fillId="5" borderId="2" applyAlignment="1" pivotButton="0" quotePrefix="0" xfId="0">
      <alignment horizontal="left" vertical="center" wrapText="1"/>
    </xf>
    <xf numFmtId="0" fontId="45" fillId="5" borderId="2" applyAlignment="1" pivotButton="0" quotePrefix="0" xfId="0">
      <alignment horizontal="left" vertical="center" wrapText="1"/>
    </xf>
    <xf numFmtId="0" fontId="23" fillId="4" borderId="2" applyAlignment="1" pivotButton="0" quotePrefix="0" xfId="0">
      <alignment horizontal="center" vertical="center" wrapText="1"/>
    </xf>
    <xf numFmtId="0" fontId="36" fillId="4" borderId="2" applyAlignment="1" pivotButton="0" quotePrefix="0" xfId="0">
      <alignment horizontal="left" vertical="center" wrapText="1"/>
    </xf>
    <xf numFmtId="0" fontId="45" fillId="4" borderId="2" applyAlignment="1" pivotButton="0" quotePrefix="0" xfId="0">
      <alignment horizontal="left" vertical="center" wrapText="1"/>
    </xf>
  </cellXfs>
  <cellStyles count="1">
    <cellStyle name="Normal" xfId="0" builtinId="0" hidden="0"/>
  </cellStyles>
  <dxfs count="2">
    <dxf>
      <font>
        <color rgb="FFC2334D"/>
      </font>
    </dxf>
    <dxf>
      <font>
        <color rgb="FFD89B3A"/>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omments/comment1.xml><?xml version="1.0" encoding="utf-8"?>
<comments xmlns="http://schemas.openxmlformats.org/spreadsheetml/2006/main">
  <authors>
    <author>Projeto M</author>
  </authors>
  <commentList>
    <comment ref="L11" authorId="0" shapeId="0">
      <text>
        <t>Escolhido na criação, e não muda. É o menu ATRIBUTO DE CONJURAÇÃO da FICHA: aqui ele aparece espelhado.</t>
      </text>
    </comment>
    <comment ref="P11" authorId="0" shapeId="0">
      <text>
        <t>d20 + o atributo da técnica + maestria. Vem da FICHA.</t>
      </text>
    </comment>
    <comment ref="R11" authorId="0" shapeId="0">
      <text>
        <t>8 + o atributo da técnica + maestria. Vem da FICHA.</t>
      </text>
    </comment>
    <comment ref="D15" authorId="0" shapeId="0">
      <text>
        <t>Uma frase, verificável pela mesa, sem número. Todo feitiço tem de caber nela.</t>
      </text>
    </comment>
    <comment ref="L19" authorId="0" shapeId="0">
      <text>
        <t>O que você sempre faz para conjurar. Não custa nem devolve ponto. Restrição que cobra a mesma coisa não devolve.</t>
      </text>
    </comment>
    <comment ref="L22" authorId="0" shapeId="0">
      <text>
        <t>De graça. Não rola dado, não muda número, não faz ninguém rolar.</t>
      </text>
    </comment>
    <comment ref="D26" authorId="0" shapeId="0">
      <text>
        <t>Só se a técnica impõe uma regra ao mundo. Uma frase, verificável, simétrica, sem dano direto e com limite por cena. Não conta nas cinco Passivas pagas.</t>
      </text>
    </comment>
    <comment ref="P26" authorId="0" shapeId="0">
      <text>
        <t>Na criação ela vem na Classe Passiva 1, de graça. A 2 libera no nível 7 e custa 1 espaço; a 3 libera no nível 13 e custa 2. Deixe em branco se a técnica não tem Regra Própria.</t>
      </text>
    </comment>
    <comment ref="D30" authorId="0" shapeId="0">
      <text>
        <t>Chegar longe, se mexer, mexer o inimigo de lugar.</t>
      </text>
    </comment>
    <comment ref="E30" authorId="0" shapeId="0">
      <text>
        <t>Pegar mais de um alvo, aumentar tamanho, dividir o ataque.</t>
      </text>
    </comment>
    <comment ref="F30" authorId="0" shapeId="0">
      <text>
        <t>Acertar, não errar, atravessar defesa.</t>
      </text>
    </comment>
    <comment ref="G30" authorId="0" shapeId="0">
      <text>
        <t>Derrubar, prender, calar, barreira, terreno.</t>
      </text>
    </comment>
    <comment ref="J30" authorId="0" shapeId="0">
      <text>
        <t>Somar e tirar número: vantagem, defesa, CD, deslocamento.</t>
      </text>
    </comment>
    <comment ref="K30" authorId="0" shapeId="0">
      <text>
        <t>Fazer o dano render mais.</t>
      </text>
    </comment>
    <comment ref="L30" authorId="0" shapeId="0">
      <text>
        <t>Ação bônus, reação, deixar armado, conjurar escondido.</t>
      </text>
    </comment>
    <comment ref="M30" authorId="0" shapeId="0">
      <text>
        <t>Preparar o próximo golpe, roubar vida, rastrear.</t>
      </text>
    </comment>
    <comment ref="P30" authorId="0" shapeId="0">
      <text>
        <t>Curar, limpar condição, levantar aliado.</t>
      </text>
    </comment>
    <comment ref="Q30" authorId="0" shapeId="0">
      <text>
        <t>O Fundamento tem 2 Famílias Livres e 3 Fechadas. As outras ficam Neutras.</t>
      </text>
    </comment>
    <comment ref="D35" authorId="0" shapeId="0">
      <text>
        <t>Sobe nos níveis 1, 5, 9, 13, 17, 21 e 26. Vem da FICHA.</t>
      </text>
    </comment>
    <comment ref="F35" authorId="0" shapeId="0">
      <text>
        <t>2 + metade do nível + um por marco alcançado. Pacto permanente que concede um espaço de feitiço soma aqui.</t>
      </text>
    </comment>
    <comment ref="J35" authorId="0" shapeId="0">
      <text>
        <t>Cada escolha de Leque no marco dá um feitiço a mais, que só pode ser feitiço, e uma Passiva. A escolha é marcada na FICHA, em Marco Escolhido.</t>
      </text>
    </comment>
    <comment ref="L35" authorId="0" shapeId="0">
      <text>
        <t>Os feitiços com nome. Classe 0 e Liberação Máxima não ocupam espaço.</t>
      </text>
    </comment>
    <comment ref="P35" authorId="0" shapeId="0">
      <text>
        <t>Cada Passiva paga custa a Classe Passiva dela em espaços. A Regra Própria acima da Classe Passiva 1 entra aqui. Passiva e Domínio só gastam espaço: o feitiço do Leque não paga nenhum dos dois.</t>
      </text>
    </comment>
    <comment ref="Q35" authorId="0" shapeId="0">
      <text>
        <t>A Expansão de Domínio custa 2, 3 ou 5 espaços, conforme o degrau.</t>
      </text>
    </comment>
    <comment ref="R35" authorId="0" shapeId="0">
      <text>
        <t>Os espaços, mais os feitiços do Leque, menos o que já foi gasto.</t>
      </text>
    </comment>
    <comment ref="D39" authorId="0" shapeId="0">
      <text>
        <t>Escolha a Classe e a fileira mostra os números dela. Em branco, mostra os da sua maior Classe.</t>
      </text>
    </comment>
    <comment ref="P39" authorId="0" shapeId="0">
      <text>
        <t>Não muda com o menu: quantos feitiços de Classe 0 o nível dá, e os dados deles.</t>
      </text>
    </comment>
    <comment ref="D45" authorId="0" shapeId="0">
      <text>
        <t>A Classe do feitiço. Ela define os pontos (3 × Classe), o PE e quantas Melhorias cabem.</t>
      </text>
    </comment>
    <comment ref="E45" authorId="0" shapeId="0">
      <text>
        <t>Dê um nome ao feitiço: a ficha só calcula a carta e só conta o espaço de feitiço de quem tem nome.</t>
      </text>
    </comment>
    <comment ref="J45" authorId="0" shapeId="0">
      <text>
        <t>A Classe do feitiço. Ela define os pontos (3 × Classe), o PE e quantas Melhorias cabem.</t>
      </text>
    </comment>
    <comment ref="K45" authorId="0" shapeId="0">
      <text>
        <t>Dê um nome ao feitiço: a ficha só calcula a carta e só conta o espaço de feitiço de quem tem nome.</t>
      </text>
    </comment>
    <comment ref="P45" authorId="0" shapeId="0">
      <text>
        <t>A Classe do feitiço. Ela define os pontos (3 × Classe), o PE e quantas Melhorias cabem.</t>
      </text>
    </comment>
    <comment ref="Q45" authorId="0" shapeId="0">
      <text>
        <t>Dê um nome ao feitiço: a ficha só calcula a carta e só conta o espaço de feitiço de quem tem nome.</t>
      </text>
    </comment>
    <comment ref="D54" authorId="0" shapeId="0">
      <text>
        <t>As Classes 1 e 2 aceitam 2 Melhorias, a 3 e a 4 aceitam 3, e da 5 em diante 4. A Forma não conta no limite. Família Livre sai metade da Classe mais barata, e Família Fechada some do menu.</t>
      </text>
    </comment>
    <comment ref="J54" authorId="0" shapeId="0">
      <text>
        <t>As Classes 1 e 2 aceitam 2 Melhorias, a 3 e a 4 aceitam 3, e da 5 em diante 4. A Forma não conta no limite. Família Livre sai metade da Classe mais barata, e Família Fechada some do menu.</t>
      </text>
    </comment>
    <comment ref="P54" authorId="0" shapeId="0">
      <text>
        <t>As Classes 1 e 2 aceitam 2 Melhorias, a 3 e a 4 aceitam 3, e da 5 em diante 4. A Forma não conta no limite. Família Livre sai metade da Classe mais barata, e Família Fechada some do menu.</t>
      </text>
    </comment>
    <comment ref="D58" authorId="0" shapeId="0">
      <text>
        <t>Até duas. Restrição só paga peça: o que passar do que foi gasto some. A caixinha marca a Restrição que o Selo já obriga: ela não devolve ponto.</t>
      </text>
    </comment>
    <comment ref="J58" authorId="0" shapeId="0">
      <text>
        <t>Até duas. Restrição só paga peça: o que passar do que foi gasto some. A caixinha marca a Restrição que o Selo já obriga: ela não devolve ponto.</t>
      </text>
    </comment>
    <comment ref="P58" authorId="0" shapeId="0">
      <text>
        <t>Até duas. Restrição só paga peça: o que passar do que foi gasto some. A caixinha marca a Restrição que o Selo já obriga: ela não devolve ponto.</t>
      </text>
    </comment>
    <comment ref="D61" authorId="0" shapeId="0">
      <text>
        <t>O mesmo feitiço lançado numa Classe maior, até a maior que o nível liberou. A conta inteira é refeita com os números da Classe nova.</t>
      </text>
    </comment>
    <comment ref="J61" authorId="0" shapeId="0">
      <text>
        <t>O mesmo feitiço lançado numa Classe maior, até a maior que o nível liberou. A conta inteira é refeita com os números da Classe nova.</t>
      </text>
    </comment>
    <comment ref="P61" authorId="0" shapeId="0">
      <text>
        <t>O mesmo feitiço lançado numa Classe maior, até a maior que o nível liberou. A conta inteira é refeita com os números da Classe nova.</t>
      </text>
    </comment>
    <comment ref="J303" authorId="0" shapeId="0">
      <text>
        <t>Cabe uma Melhoria Leve, e ela tira um dado.</t>
      </text>
    </comment>
    <comment ref="L303" authorId="0" shapeId="0">
      <text>
        <t>Cabe uma Restrição Leve. Ela devolve o dado que a Melhoria tirou, e só isso: Restrição só paga peça.</t>
      </text>
    </comment>
    <comment ref="D313" authorId="0" shapeId="0">
      <text>
        <t>A Classe do feitiço. Ela define os pontos (3 × Classe), o PE e quantas Melhorias cabem.</t>
      </text>
    </comment>
    <comment ref="E313" authorId="0" shapeId="0">
      <text>
        <t>Dê um nome ao feitiço: a ficha só calcula a carta e só conta o espaço de feitiço de quem tem nome.</t>
      </text>
    </comment>
    <comment ref="J313" authorId="0" shapeId="0">
      <text>
        <t>A Classe do feitiço. Ela define os pontos (3 × Classe), o PE e quantas Melhorias cabem.</t>
      </text>
    </comment>
    <comment ref="K313" authorId="0" shapeId="0">
      <text>
        <t>Dê um nome ao feitiço: a ficha só calcula a carta e só conta o espaço de feitiço de quem tem nome.</t>
      </text>
    </comment>
    <comment ref="P313" authorId="0" shapeId="0">
      <text>
        <t>A Classe do feitiço. Ela define os pontos (3 × Classe), o PE e quantas Melhorias cabem.</t>
      </text>
    </comment>
    <comment ref="Q313" authorId="0" shapeId="0">
      <text>
        <t>Dê um nome ao feitiço: a ficha só calcula a carta e só conta o espaço de feitiço de quem tem nome.</t>
      </text>
    </comment>
    <comment ref="D322" authorId="0" shapeId="0">
      <text>
        <t>As Classes 1 e 2 aceitam 2 Melhorias, a 3 e a 4 aceitam 3, e da 5 em diante 4. A Forma não conta no limite. Família Livre sai metade da Classe mais barata, e Família Fechada some do menu.</t>
      </text>
    </comment>
    <comment ref="J322" authorId="0" shapeId="0">
      <text>
        <t>As Classes 1 e 2 aceitam 2 Melhorias, a 3 e a 4 aceitam 3, e da 5 em diante 4. A Forma não conta no limite. Família Livre sai metade da Classe mais barata, e Família Fechada some do menu.</t>
      </text>
    </comment>
    <comment ref="P322" authorId="0" shapeId="0">
      <text>
        <t>As Classes 1 e 2 aceitam 2 Melhorias, a 3 e a 4 aceitam 3, e da 5 em diante 4. A Forma não conta no limite. Família Livre sai metade da Classe mais barata, e Família Fechada some do menu.</t>
      </text>
    </comment>
    <comment ref="D326" authorId="0" shapeId="0">
      <text>
        <t>Até duas. Restrição só paga peça: o que passar do que foi gasto some. A caixinha marca a Restrição que o Selo já obriga: ela não devolve ponto.</t>
      </text>
    </comment>
    <comment ref="J326" authorId="0" shapeId="0">
      <text>
        <t>Até duas. Restrição só paga peça: o que passar do que foi gasto some. A caixinha marca a Restrição que o Selo já obriga: ela não devolve ponto.</t>
      </text>
    </comment>
    <comment ref="P326" authorId="0" shapeId="0">
      <text>
        <t>Até duas. Restrição só paga peça: o que passar do que foi gasto some. A caixinha marca a Restrição que o Selo já obriga: ela não devolve ponto.</t>
      </text>
    </comment>
    <comment ref="D329" authorId="0" shapeId="0">
      <text>
        <t>O mesmo feitiço lançado numa Classe maior, até a maior que o nível liberou. A conta inteira é refeita com os números da Classe nova.</t>
      </text>
    </comment>
    <comment ref="J329" authorId="0" shapeId="0">
      <text>
        <t>O mesmo feitiço lançado numa Classe maior, até a maior que o nível liberou. A conta inteira é refeita com os números da Classe nova.</t>
      </text>
    </comment>
    <comment ref="P329" authorId="0" shapeId="0">
      <text>
        <t>O mesmo feitiço lançado numa Classe maior, até a maior que o nível liberou. A conta inteira é refeita com os números da Classe nova.</t>
      </text>
    </comment>
    <comment ref="L336" authorId="0" shapeId="0">
      <text>
        <t>Fixo pela faixa de nível. Nenhum ponto compra mais dados.</t>
      </text>
    </comment>
    <comment ref="P336" authorId="0" shapeId="0">
      <text>
        <t>5 × a sua maior Classe.</t>
      </text>
    </comment>
    <comment ref="R336" authorId="0" shapeId="0">
      <text>
        <t>Os pontos de montagem compram só a Forma e as Melhorias, nos preços da sua maior Classe. O que sobrar se perde.</t>
      </text>
    </comment>
    <comment ref="P350" authorId="0" shapeId="0">
      <text>
        <t>Vem da FICHA. Sobe nos marcos.</t>
      </text>
    </comment>
    <comment ref="R350" authorId="0" shapeId="0">
      <text>
        <t>Dois domínios sobrepostos: quem segura o domínio e toma dano testa Vigor. As falhas contam até metade da Essência.</t>
      </text>
    </comment>
    <comment ref="F354" authorId="0" shapeId="0">
      <text>
        <t>6 × a sua maior Classe. Sem barreira, 7 ×.</t>
      </text>
    </comment>
    <comment ref="G354" authorId="0" shapeId="0">
      <text>
        <t>Metade do refino, em rodadas. No mínimo uma.</t>
      </text>
    </comment>
    <comment ref="J354" authorId="0" shapeId="0">
      <text>
        <t>1,5 m × refino. A incompleta para em 7,5 m, e sem barreira são 200 m.</t>
      </text>
    </comment>
    <comment ref="K354" authorId="0" shapeId="0">
      <text>
        <t>O desconto de PE de cada feitiço seu dentro do domínio: um terço do refino na incompleta, metade na completa, e 2 × maestria sem barreira. Nenhum feitiço custa menos de 1 PE.</t>
      </text>
    </comment>
    <comment ref="L354" authorId="0" shapeId="0">
      <text>
        <t>A vida da barreira por fora: 50 × metade do refino. Por dentro ela não quebra.</t>
      </text>
    </comment>
    <comment ref="D359" authorId="0" shapeId="0">
      <text>
        <t>O que o domínio garante que acontece com quem está lá dentro. Uma frase, escrita com o mestre, cabendo na Regra.</t>
      </text>
    </comment>
    <comment ref="L359" authorId="0" shapeId="0">
      <text>
        <t>O que o domínio permite você fazer lá dentro que você não faria fora. Quase nunca é dano.</t>
      </text>
    </comment>
    <comment ref="G373" authorId="0" shapeId="0">
      <text>
        <t>A Passiva paga custa a Classe Passiva dela em espaços de feitiço. A do Leque não custa nada, mas só existe com a escolha de Leque no marco.</t>
      </text>
    </comment>
    <comment ref="D378" authorId="0" shapeId="0">
      <text>
        <t>Para a entrada Própria do menu, escreva aqui o texto dela, fechado com o mestre. Nas outras, é espaço para anotação.</t>
      </text>
    </comment>
    <comment ref="G391" authorId="0" shapeId="0">
      <text>
        <t>A Passiva paga custa a Classe Passiva dela em espaços de feitiço. A do Leque não custa nada, mas só existe com a escolha de Leque no marco.</t>
      </text>
    </comment>
    <comment ref="D417" authorId="0" shapeId="0">
      <text>
        <t>Começa em 1, e cada marco dá +1. Escolher Refino no marco dá mais +1. O teto é 10.</t>
      </text>
    </comment>
    <comment ref="F417" authorId="0" shapeId="0">
      <text>
        <t>Cada escolha de Refino, marcada na FICHA, compra uma aptidão; com o refino já em 10, duas. A semente do Sem Técnica dá uma a mais.</t>
      </text>
    </comment>
    <comment ref="J417" authorId="0" shapeId="0">
      <text>
        <t>De graça no refino 1. Sem Traje e sem Revestimento, a proteção é 1/3 do refino + 1.</t>
      </text>
    </comment>
    <comment ref="L417" authorId="0" shapeId="0">
      <text>
        <t>De graça no refino 1. 1d4 a mais na arma a cada 3 pontos de refino. No refino 10 os dados viram d6.</t>
      </text>
    </comment>
    <comment ref="P417" authorId="0" shapeId="0">
      <text>
        <t>Como Reação, Redução de Dano de 1,5 × refino num golpe. Você fica sem proteção até o fim do seu próximo turno.</t>
      </text>
    </comment>
    <comment ref="D438" authorId="0" shapeId="0">
      <text>
        <t>Para a entrada Própria do menu, escreva aqui o texto dela, fechado com o mestre. Nas outras, é espaço para anotação.</t>
      </text>
    </comment>
    <comment ref="D505" authorId="0" shapeId="0">
      <text>
        <t>Metade da Essência, para baixo, na campanha inteira. Temporário, Promessa e de restrição não têm teto.</t>
      </text>
    </comment>
    <comment ref="P509" authorId="0" shapeId="0">
      <text>
        <t>Só o pacto permanente concede. Um espaço de feitiço soma no Orçamento.</t>
      </text>
    </comment>
  </commentList>
</comments>
</file>

<file path=xl/comments/comment2.xml><?xml version="1.0" encoding="utf-8"?>
<comments xmlns="http://schemas.openxmlformats.org/spreadsheetml/2006/main">
  <authors>
    <author>Projeto M</author>
  </authors>
  <commentList>
    <comment ref="BI8" authorId="0" shapeId="0">
      <text>
        <t>Mais duas tabelas de missão, para quando as duas primeiras encherem. O XP total soma as quatro. Elas ficam num grupo de colunas fechado, dentro do painel.</t>
      </text>
    </comment>
    <comment ref="D10" authorId="0" shapeId="0">
      <text>
        <t>Clique na caixa e use Inserir › Imagem › Inserir imagem na célula.</t>
      </text>
    </comment>
    <comment ref="Q10" authorId="0" shapeId="0">
      <text>
        <t>Vem da CARTEIRA: o nome do portador é digitado lá.</t>
      </text>
    </comment>
    <comment ref="AB10" authorId="0" shapeId="0">
      <text>
        <t>A sua patente na instituição. Ela define o salário e libera o Revestimento 2 e 3. Não é o grau da ferramenta que você carrega.</t>
      </text>
    </comment>
    <comment ref="AW10" authorId="0" shapeId="0">
      <text>
        <t>A soma da coluna Total de todas as missões. A caixa XP da FICHA mostra este mesmo número, e o nível sobe por ele.</t>
      </text>
    </comment>
    <comment ref="BC10" authorId="0" shapeId="0">
      <text>
        <t>O XP acumulado que o próximo nível pede, menos o seu XP total. O nível é o da FICHA. Do 20 para o 21 o livro pede também um feito, e o 30 é o topo.</t>
      </text>
    </comment>
    <comment ref="AX14" authorId="0" shapeId="0">
      <text>
        <t>Escolha o tipo da missão. Curta 50, Padrão 100, Longa 200, Final de arco 300, Solo simples 75, Solo complexa 150.</t>
      </text>
    </comment>
    <comment ref="AY14" authorId="0" shapeId="0">
      <text>
        <t>O multiplicador da missão, quando a mesa dá: 1,25x, 1,50x, 2x. Em branco, a missão vale o XP do tipo.</t>
      </text>
    </comment>
    <comment ref="AZ14" authorId="0" shapeId="0">
      <text>
        <t>Para a missão que pagou menos. Na sua semana, a terceira missão paga 50%, a quarta 25%, a quinta 12,5% e a sexta 6,25%. Missão que falhou e pagou metade também é 50%. Em branco, paga cheio.</t>
      </text>
    </comment>
    <comment ref="BA14" authorId="0" shapeId="0">
      <text>
        <t>O XP do tipo, vezes o Adicional, vezes o Desconto, sempre em múltiplo de 12,5, para baixo. Quando a conta dá menos de 12,5, a missão não paga.</t>
      </text>
    </comment>
    <comment ref="BD14" authorId="0" shapeId="0">
      <text>
        <t>Escolha o tipo da missão. Curta 50, Padrão 100, Longa 200, Final de arco 300, Solo simples 75, Solo complexa 150.</t>
      </text>
    </comment>
    <comment ref="BE14" authorId="0" shapeId="0">
      <text>
        <t>O multiplicador da missão, quando a mesa dá: 1,25x, 1,50x, 2x. Em branco, a missão vale o XP do tipo.</t>
      </text>
    </comment>
    <comment ref="BF14" authorId="0" shapeId="0">
      <text>
        <t>Para a missão que pagou menos. Na sua semana, a terceira missão paga 50%, a quarta 25%, a quinta 12,5% e a sexta 6,25%. Missão que falhou e pagou metade também é 50%. Em branco, paga cheio.</t>
      </text>
    </comment>
    <comment ref="BG14" authorId="0" shapeId="0">
      <text>
        <t>O XP do tipo, vezes o Adicional, vezes o Desconto, sempre em múltiplo de 12,5, para baixo. Quando a conta dá menos de 12,5, a missão não paga.</t>
      </text>
    </comment>
    <comment ref="BJ14" authorId="0" shapeId="0">
      <text>
        <t>Escolha o tipo da missão. Curta 50, Padrão 100, Longa 200, Final de arco 300, Solo simples 75, Solo complexa 150.</t>
      </text>
    </comment>
    <comment ref="BK14" authorId="0" shapeId="0">
      <text>
        <t>O multiplicador da missão, quando a mesa dá: 1,25x, 1,50x, 2x. Em branco, a missão vale o XP do tipo.</t>
      </text>
    </comment>
    <comment ref="BL14" authorId="0" shapeId="0">
      <text>
        <t>Para a missão que pagou menos. Na sua semana, a terceira missão paga 50%, a quarta 25%, a quinta 12,5% e a sexta 6,25%. Missão que falhou e pagou metade também é 50%. Em branco, paga cheio.</t>
      </text>
    </comment>
    <comment ref="BM14" authorId="0" shapeId="0">
      <text>
        <t>O XP do tipo, vezes o Adicional, vezes o Desconto, sempre em múltiplo de 12,5, para baixo. Quando a conta dá menos de 12,5, a missão não paga.</t>
      </text>
    </comment>
    <comment ref="BP14" authorId="0" shapeId="0">
      <text>
        <t>Escolha o tipo da missão. Curta 50, Padrão 100, Longa 200, Final de arco 300, Solo simples 75, Solo complexa 150.</t>
      </text>
    </comment>
    <comment ref="BQ14" authorId="0" shapeId="0">
      <text>
        <t>O multiplicador da missão, quando a mesa dá: 1,25x, 1,50x, 2x. Em branco, a missão vale o XP do tipo.</t>
      </text>
    </comment>
    <comment ref="BR14" authorId="0" shapeId="0">
      <text>
        <t>Para a missão que pagou menos. Na sua semana, a terceira missão paga 50%, a quarta 25%, a quinta 12,5% e a sexta 6,25%. Missão que falhou e pagou metade também é 50%. Em branco, paga cheio.</t>
      </text>
    </comment>
    <comment ref="BS14" authorId="0" shapeId="0">
      <text>
        <t>O XP do tipo, vezes o Adicional, vezes o Desconto, sempre em múltiplo de 12,5, para baixo. Quando a conta dá menos de 12,5, a missão não paga.</t>
      </text>
    </comment>
    <comment ref="AH40" authorId="0" shapeId="0">
      <text>
        <t>O menu só lista o que o seu Grau libera. O que você veste aqui e o escudo da mão secundária vão sozinhos para o EQUIPAMENTO da FICHA.</t>
      </text>
    </comment>
    <comment ref="D41" authorId="0" shapeId="0">
      <text>
        <t>Para uma arma aparecer neste menu, escolha ela antes nos EQUIPÁVEIS GUARDADOS, mais abaixo nesta aba. O menu lista o Soco e o que estiver guardado lá. Com arma de duas mãos aqui, a mão secundária fica ocupada. A linha de baixo mostra o dado e as propriedades, e a nota dela diz o que cada uma faz.</t>
      </text>
    </comment>
    <comment ref="S41" authorId="0" shapeId="0">
      <text>
        <t>Para uma arma ou um escudo aparecer neste menu, escolha antes nos EQUIPÁVEIS GUARDADOS, mais abaixo nesta aba. O menu lista as armas de uma mão e os escudos guardados lá. Com arma Versátil na mão principal, aparece a opção de segurar a mesma arma nas duas mãos, e o dado sobe um passo.</t>
      </text>
    </comment>
    <comment ref="Z44" authorId="0" shapeId="0">
      <text>
        <t>O escudo ocupa a mão. Se o seu Selo é um gesto, com ele na mão a sua técnica não sai.</t>
      </text>
    </comment>
    <comment ref="D46" authorId="0" shapeId="0">
      <text>
        <t>Marque as armas em que você é treinado. A caixa no nome do grupo marca ou desmarca o grupo inteiro de uma vez. Bastião e Vanguarda já vêm com todas marcadas; os outros Caminhos, com Arma de Fogo e Balestra. Sem treino, o ataque com a arma sai com desvantagem.</t>
      </text>
    </comment>
    <comment ref="D62" authorId="0" shapeId="0">
      <text>
        <t>O limite é 5 + Força, em Volume. Cada item leve vale 0,1. Arrastar, empurrar ou levantar é o dobro.</t>
      </text>
    </comment>
    <comment ref="O62" authorId="0" shapeId="0">
      <text>
        <t>Digite quanto você tem. A ficha nova começa com a mensalidade do Grau 4, que é o fundo da criação.</t>
      </text>
    </comment>
    <comment ref="W62" authorId="0" shapeId="0">
      <text>
        <t>Sai do Grau, pela tabela Salário por patente do livro.</t>
      </text>
    </comment>
    <comment ref="AF62" authorId="0" shapeId="0">
      <text>
        <t>Olha a arma de cada mão, o escudo e o uniforme. Quando algo pede mais Força do que você tem, a nota da caixa de baixo diz o que falta e o que isso custa.</t>
      </text>
    </comment>
    <comment ref="AN62" authorId="0" shapeId="0">
      <text>
        <t>Todo Traje carrega uma situação, escolhida na criação. Quando a cena estiver nessa condição, você rola com vantagem os testes de perícia e os Testes de Resistência. Vantagem não empilha: duas fontes valem uma.</t>
      </text>
    </comment>
    <comment ref="D66" authorId="0" shapeId="0">
      <text>
        <t>As duas últimas linhas são livres: digite a linha inteira, para o que não está na lista.</t>
      </text>
    </comment>
    <comment ref="AW66" authorId="0" shapeId="0">
      <text>
        <t>A curva do livro, fixa. Para subir é o que custa sair daquele nível. Acumulado é o XP total em que você chega nele. A seta marca o seu nível.</t>
      </text>
    </comment>
    <comment ref="K68" authorId="0" shapeId="0">
      <text>
        <t>Em branco vale 1.</t>
      </text>
    </comment>
    <comment ref="AG68" authorId="0" shapeId="0">
      <text>
        <t>Quantidade vezes o Volume de um. O item leve vale 0,1. A carga soma esta coluna.</t>
      </text>
    </comment>
    <comment ref="AI68" authorId="0" shapeId="0">
      <text>
        <t>O grau da ferramenta amaldiçoada: a energia que a peça carrega. Arma comum fica em —. Não é a sua patente.</t>
      </text>
    </comment>
    <comment ref="AK68" authorId="0" shapeId="0">
      <text>
        <t>O Estigma da ferramenta amaldiçoada, se ela tiver um. É digitado, porque pode ser criado.</t>
      </text>
    </comment>
    <comment ref="AQ68" authorId="0" shapeId="0">
      <text>
        <t>Só para ferramenta com Desgaste. Anote quantas missões restam: cada missão em que você usar o Estigma gasta uma.</t>
      </text>
    </comment>
    <comment ref="D75" authorId="0" shapeId="0">
      <text>
        <t>Linha livre: digite o nome e as outras colunas à mão. Serve para o que não está no menu das linhas de cima. Na coluna Vol., digite o Volume da linha inteira.</t>
      </text>
    </comment>
    <comment ref="D76" authorId="0" shapeId="0">
      <text>
        <t>Linha livre: digite o nome e as outras colunas à mão. Serve para o que não está no menu das linhas de cima. Na coluna Vol., digite o Volume da linha inteira.</t>
      </text>
    </comment>
    <comment ref="T80" authorId="0" shapeId="0">
      <text>
        <t>Em branco vale 1.</t>
      </text>
    </comment>
    <comment ref="V80" authorId="0" shapeId="0">
      <text>
        <t>Quantidade vezes 0,1, que é o item leve. Se o mestre pesar o item de outro jeito, digite o Volume da linha por cima; apagar a caixa traz a conta de volta.</t>
      </text>
    </comment>
    <comment ref="AP80" authorId="0" shapeId="0">
      <text>
        <t>Em branco vale 1.</t>
      </text>
    </comment>
    <comment ref="AR80" authorId="0" shapeId="0">
      <text>
        <t>Quantidade vezes 0,1, que é o item leve. Se o mestre pesar o item de outro jeito, digite o Volume da linha por cima; apagar a caixa traz a conta de volta.</t>
      </text>
    </comment>
  </commentList>
</comment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 Type="http://schemas.openxmlformats.org/officeDocument/2006/relationships/image" Target="/xl/media/image3.png" Id="rId3"/><Relationship Type="http://schemas.openxmlformats.org/officeDocument/2006/relationships/image" Target="/xl/media/image4.png" Id="rId4"/></Relationships>
</file>

<file path=xl/drawings/_rels/drawing2.xml.rels><Relationships xmlns="http://schemas.openxmlformats.org/package/2006/relationships"><Relationship Type="http://schemas.openxmlformats.org/officeDocument/2006/relationships/image" Target="/xl/media/image5.png" Id="rId1"/><Relationship Type="http://schemas.openxmlformats.org/officeDocument/2006/relationships/image" Target="/xl/media/image6.png" Id="rId2"/></Relationships>
</file>

<file path=xl/drawings/_rels/drawing3.xml.rels><Relationships xmlns="http://schemas.openxmlformats.org/package/2006/relationships"><Relationship Type="http://schemas.openxmlformats.org/officeDocument/2006/relationships/image" Target="/xl/media/image7.png" Id="rId1"/></Relationships>
</file>

<file path=xl/drawings/_rels/drawing4.xml.rels><Relationships xmlns="http://schemas.openxmlformats.org/package/2006/relationships"><Relationship Type="http://schemas.openxmlformats.org/officeDocument/2006/relationships/image" Target="/xl/media/image8.png" Id="rId1"/></Relationships>
</file>

<file path=xl/drawings/drawing1.xml><?xml version="1.0" encoding="utf-8"?>
<wsDr xmlns="http://schemas.openxmlformats.org/drawingml/2006/spreadsheetDrawing">
  <oneCellAnchor>
    <from>
      <col>0</col>
      <colOff>0</colOff>
      <row>4</row>
      <rowOff>0</rowOff>
    </from>
    <ext cx="11811000" cy="133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2</col>
      <colOff>0</colOff>
      <row>7</row>
      <rowOff>0</rowOff>
    </from>
    <ext cx="2400300" cy="28575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14</col>
      <colOff>0</colOff>
      <row>14</row>
      <rowOff>0</rowOff>
    </from>
    <ext cx="5334000" cy="104775"/>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37</col>
      <colOff>0</colOff>
      <row>25</row>
      <rowOff>0</rowOff>
    </from>
    <ext cx="1000125" cy="1000125"/>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2</col>
      <colOff>0</colOff>
      <row>5</row>
      <rowOff>0</rowOff>
    </from>
    <ext cx="11239500" cy="1143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40</col>
      <colOff>0</colOff>
      <row>90</row>
      <rowOff>0</rowOff>
    </from>
    <ext cx="857250" cy="8572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2</col>
      <colOff>0</colOff>
      <row>5</row>
      <rowOff>0</rowOff>
    </from>
    <ext cx="13868400" cy="1143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oneCellAnchor>
    <from>
      <col>2</col>
      <colOff>0</colOff>
      <row>5</row>
      <rowOff>0</rowOff>
    </from>
    <ext cx="11239500" cy="1143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3.xml.rels><Relationships xmlns="http://schemas.openxmlformats.org/package/2006/relationships"><Relationship Type="http://schemas.openxmlformats.org/officeDocument/2006/relationships/drawing" Target="/xl/drawings/drawing3.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drawing" Target="/xl/drawings/drawing4.xml" Id="rId1"/><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sheet1.xml><?xml version="1.0" encoding="utf-8"?>
<worksheet xmlns="http://schemas.openxmlformats.org/spreadsheetml/2006/main">
  <sheetPr>
    <outlinePr summaryBelow="1" summaryRight="1"/>
    <pageSetUpPr/>
  </sheetPr>
  <dimension ref="A1:AU50"/>
  <sheetViews>
    <sheetView showGridLines="0" workbookViewId="0">
      <selection activeCell="A1" sqref="A1"/>
    </sheetView>
  </sheetViews>
  <sheetFormatPr baseColWidth="8" defaultRowHeight="15.75" customHeight="1"/>
  <cols>
    <col width="4" customWidth="1" min="1" max="1"/>
    <col width="4" customWidth="1" min="2" max="2"/>
    <col width="4" customWidth="1" min="3" max="3"/>
    <col width="4" customWidth="1" min="4" max="4"/>
    <col width="4" customWidth="1" min="5" max="5"/>
    <col width="4" customWidth="1" min="6" max="6"/>
    <col width="4" customWidth="1" min="7" max="7"/>
    <col width="4" customWidth="1" min="8" max="8"/>
    <col width="4" customWidth="1" min="9" max="9"/>
    <col width="4" customWidth="1" min="10" max="10"/>
    <col width="4" customWidth="1" min="11" max="11"/>
    <col width="4" customWidth="1" min="12" max="12"/>
    <col width="4" customWidth="1" min="13" max="13"/>
    <col width="4" customWidth="1" min="14" max="14"/>
    <col width="4" customWidth="1" min="15" max="15"/>
    <col width="4" customWidth="1" min="16" max="16"/>
    <col width="4" customWidth="1" min="17" max="17"/>
    <col width="4" customWidth="1" min="18" max="18"/>
    <col width="4" customWidth="1" min="19" max="19"/>
    <col width="4" customWidth="1" min="20" max="20"/>
    <col width="4" customWidth="1" min="21" max="21"/>
    <col width="4" customWidth="1" min="22" max="22"/>
    <col width="4" customWidth="1" min="23" max="23"/>
    <col width="4" customWidth="1" min="24" max="24"/>
    <col width="4" customWidth="1" min="25" max="25"/>
    <col width="4" customWidth="1" min="26" max="26"/>
    <col width="4" customWidth="1" min="27" max="27"/>
    <col width="4" customWidth="1" min="28" max="28"/>
    <col width="4" customWidth="1" min="29" max="29"/>
    <col width="4" customWidth="1" min="30" max="30"/>
    <col width="4" customWidth="1" min="31" max="31"/>
    <col width="4" customWidth="1" min="32" max="32"/>
    <col width="4" customWidth="1" min="33" max="33"/>
    <col width="4" customWidth="1" min="34" max="34"/>
    <col width="4" customWidth="1" min="35" max="35"/>
    <col width="4" customWidth="1" min="36" max="36"/>
    <col width="4" customWidth="1" min="37" max="37"/>
    <col width="4" customWidth="1" min="38" max="38"/>
    <col width="4" customWidth="1" min="39" max="39"/>
    <col width="4" customWidth="1" min="40" max="40"/>
    <col width="4" customWidth="1" min="41" max="41"/>
    <col width="4" customWidth="1" min="42" max="42"/>
    <col width="4" customWidth="1" min="43" max="43"/>
    <col width="4" customWidth="1" min="44" max="44"/>
    <col width="4" customWidth="1" min="45" max="45"/>
    <col width="4" customWidth="1" min="46" max="46"/>
    <col width="4" customWidth="1" min="47" max="47"/>
  </cols>
  <sheetData>
    <row r="1">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c r="AC1" s="1" t="n"/>
      <c r="AD1" s="1" t="n"/>
      <c r="AE1" s="1" t="n"/>
      <c r="AF1" s="1" t="n"/>
      <c r="AG1" s="1" t="n"/>
      <c r="AH1" s="1" t="n"/>
      <c r="AI1" s="1" t="n"/>
      <c r="AJ1" s="1" t="n"/>
      <c r="AK1" s="1" t="n"/>
      <c r="AL1" s="1" t="n"/>
      <c r="AM1" s="1" t="n"/>
      <c r="AN1" s="1" t="n"/>
      <c r="AO1" s="1" t="n"/>
      <c r="AP1" s="1" t="n"/>
      <c r="AQ1" s="1" t="n"/>
      <c r="AR1" s="1" t="n"/>
      <c r="AS1" s="1" t="n"/>
      <c r="AT1" s="1" t="n"/>
      <c r="AU1" s="1" t="n"/>
    </row>
    <row r="2" ht="27" customHeight="1">
      <c r="A2" s="1" t="n"/>
      <c r="B2" s="1" t="n"/>
      <c r="C2" s="2" t="inlineStr">
        <is>
          <t>呪術廻戦</t>
        </is>
      </c>
      <c r="K2" s="1" t="n"/>
      <c r="L2" s="3">
        <f>UPPER(DADOS!$F$1)</f>
        <v/>
      </c>
      <c r="AE2" s="1" t="n"/>
      <c r="AF2" s="1" t="n"/>
      <c r="AG2" s="1" t="n"/>
      <c r="AH2" s="4">
        <f>"Nº M-"&amp;SUBSTITUTE(DADOS!$B$1,".","")&amp;"-"&amp;IF(FICHA!$AB$2="","····",UPPER(LEFT(FICHA!$AB$2,4)))</f>
        <v/>
      </c>
      <c r="AU2" s="1" t="n"/>
    </row>
    <row r="3">
      <c r="A3" s="1" t="n"/>
      <c r="B3" s="1" t="n"/>
      <c r="K3" s="1" t="n"/>
      <c r="L3" s="5" t="inlineStr">
        <is>
          <t>Carteira de registro · Documento oficial</t>
        </is>
      </c>
      <c r="AE3" s="1" t="n"/>
      <c r="AF3" s="1" t="n"/>
      <c r="AG3" s="1" t="n"/>
      <c r="AH3" s="6">
        <f>"Emitida "&amp;TEXT(TODAY(),"dd.mm.yyyy")</f>
        <v/>
      </c>
      <c r="AU3" s="1" t="n"/>
    </row>
    <row r="4">
      <c r="A4" s="7" t="n"/>
      <c r="B4" s="7" t="n"/>
      <c r="C4" s="7" t="n"/>
      <c r="D4" s="7" t="n"/>
      <c r="E4" s="7" t="n"/>
      <c r="F4" s="7" t="n"/>
      <c r="G4" s="7" t="n"/>
      <c r="H4" s="7" t="n"/>
      <c r="I4" s="7" t="n"/>
      <c r="J4" s="7" t="n"/>
      <c r="K4" s="7" t="n"/>
      <c r="L4" s="7" t="n"/>
      <c r="M4" s="7" t="n"/>
      <c r="N4" s="7" t="n"/>
      <c r="O4" s="7" t="n"/>
      <c r="P4" s="7" t="n"/>
      <c r="Q4" s="7" t="n"/>
      <c r="R4" s="7" t="n"/>
      <c r="S4" s="7" t="n"/>
      <c r="T4" s="7" t="n"/>
      <c r="U4" s="7" t="n"/>
      <c r="V4" s="7" t="n"/>
      <c r="W4" s="7" t="n"/>
      <c r="X4" s="7" t="n"/>
      <c r="Y4" s="7" t="n"/>
      <c r="Z4" s="7" t="n"/>
      <c r="AA4" s="7" t="n"/>
      <c r="AB4" s="7" t="n"/>
      <c r="AC4" s="7" t="n"/>
      <c r="AD4" s="7" t="n"/>
      <c r="AE4" s="7" t="n"/>
      <c r="AF4" s="7" t="n"/>
      <c r="AG4" s="7" t="n"/>
      <c r="AH4" s="7" t="n"/>
      <c r="AI4" s="7" t="n"/>
      <c r="AJ4" s="7" t="n"/>
      <c r="AK4" s="7" t="n"/>
      <c r="AL4" s="7" t="n"/>
      <c r="AM4" s="7" t="n"/>
      <c r="AN4" s="7" t="n"/>
      <c r="AO4" s="7" t="n"/>
      <c r="AP4" s="7" t="n"/>
      <c r="AQ4" s="7" t="n"/>
      <c r="AR4" s="7" t="n"/>
      <c r="AS4" s="7" t="n"/>
      <c r="AT4" s="7" t="n"/>
      <c r="AU4" s="7" t="n"/>
    </row>
    <row r="5">
      <c r="A5" s="8" t="n"/>
      <c r="AS5" s="8" t="n"/>
      <c r="AT5" s="8" t="n"/>
      <c r="AU5" s="8" t="n"/>
    </row>
    <row r="6">
      <c r="A6" s="8" t="n"/>
      <c r="B6" s="8" t="n"/>
      <c r="C6" s="8" t="n"/>
      <c r="D6" s="8" t="n"/>
      <c r="E6" s="8" t="n"/>
      <c r="F6" s="8" t="n"/>
      <c r="G6" s="8" t="n"/>
      <c r="H6" s="8" t="n"/>
      <c r="I6" s="8" t="n"/>
      <c r="J6" s="8" t="n"/>
      <c r="K6" s="8" t="n"/>
      <c r="L6" s="8" t="n"/>
      <c r="M6" s="8" t="n"/>
      <c r="N6" s="8" t="n"/>
      <c r="O6" s="8" t="n"/>
      <c r="P6" s="8" t="n"/>
      <c r="Q6" s="8" t="n"/>
      <c r="R6" s="8" t="n"/>
      <c r="S6" s="8" t="n"/>
      <c r="T6" s="8" t="n"/>
      <c r="U6" s="8" t="n"/>
      <c r="V6" s="8" t="n"/>
      <c r="W6" s="8" t="n"/>
      <c r="X6" s="8" t="n"/>
      <c r="Y6" s="8" t="n"/>
      <c r="Z6" s="8" t="n"/>
      <c r="AA6" s="9" t="n"/>
      <c r="AB6" s="8" t="n"/>
      <c r="AC6" s="8" t="n"/>
      <c r="AD6" s="8" t="n"/>
      <c r="AE6" s="8" t="n"/>
      <c r="AF6" s="8" t="n"/>
      <c r="AG6" s="8" t="n"/>
      <c r="AH6" s="8" t="n"/>
      <c r="AI6" s="8" t="n"/>
      <c r="AJ6" s="8" t="n"/>
      <c r="AK6" s="8" t="n"/>
      <c r="AL6" s="8" t="n"/>
      <c r="AM6" s="8" t="n"/>
      <c r="AN6" s="8" t="n"/>
      <c r="AO6" s="8" t="n"/>
      <c r="AP6" s="8" t="n"/>
      <c r="AQ6" s="8" t="n"/>
      <c r="AR6" s="8" t="n"/>
      <c r="AS6" s="8" t="n"/>
      <c r="AT6" s="8" t="n"/>
      <c r="AU6" s="8" t="n"/>
    </row>
    <row r="7">
      <c r="A7" s="8" t="n"/>
      <c r="B7" s="8" t="n"/>
      <c r="C7" s="8" t="n"/>
      <c r="D7" s="8" t="n"/>
      <c r="E7" s="8" t="n"/>
      <c r="F7" s="8" t="n"/>
      <c r="G7" s="8" t="n"/>
      <c r="H7" s="8" t="n"/>
      <c r="I7" s="8" t="n"/>
      <c r="J7" s="8" t="n"/>
      <c r="K7" s="8" t="n"/>
      <c r="L7" s="8" t="n"/>
      <c r="M7" s="8" t="n"/>
      <c r="N7" s="8" t="n"/>
      <c r="O7" s="8" t="n"/>
      <c r="P7" s="8" t="n"/>
      <c r="Q7" s="8" t="n"/>
      <c r="R7" s="8" t="n"/>
      <c r="S7" s="8" t="n"/>
      <c r="T7" s="8" t="n"/>
      <c r="U7" s="8" t="n"/>
      <c r="V7" s="8" t="n"/>
      <c r="W7" s="8" t="n"/>
      <c r="X7" s="8" t="n"/>
      <c r="Y7" s="8" t="n"/>
      <c r="Z7" s="8" t="n"/>
      <c r="AA7" s="8" t="n"/>
      <c r="AB7" s="8" t="n"/>
      <c r="AC7" s="8" t="n"/>
      <c r="AD7" s="8" t="n"/>
      <c r="AE7" s="8" t="n"/>
      <c r="AF7" s="8" t="n"/>
      <c r="AG7" s="8" t="n"/>
      <c r="AH7" s="8" t="n"/>
      <c r="AI7" s="8" t="n"/>
      <c r="AJ7" s="8" t="n"/>
      <c r="AK7" s="8" t="n"/>
      <c r="AL7" s="8" t="n"/>
      <c r="AM7" s="8" t="n"/>
      <c r="AN7" s="8" t="n"/>
      <c r="AO7" s="8" t="n"/>
      <c r="AP7" s="8" t="n"/>
      <c r="AQ7" s="8" t="n"/>
      <c r="AR7" s="8" t="n"/>
      <c r="AS7" s="8" t="n"/>
      <c r="AT7" s="8" t="n"/>
      <c r="AU7" s="8" t="n"/>
    </row>
    <row r="8">
      <c r="A8" s="8" t="n"/>
      <c r="B8" s="8" t="n"/>
      <c r="C8" s="8" t="n"/>
      <c r="L8" s="8" t="n"/>
      <c r="M8" s="8" t="n"/>
      <c r="N8" s="8" t="n"/>
      <c r="O8" s="10" t="inlineStr">
        <is>
          <t>PORTADOR</t>
        </is>
      </c>
      <c r="P8" s="11" t="n"/>
      <c r="Q8" s="11" t="n"/>
      <c r="R8" s="11" t="n"/>
      <c r="S8" s="11" t="n"/>
      <c r="T8" s="11" t="n"/>
      <c r="U8" s="11" t="n"/>
      <c r="V8" s="11" t="n"/>
      <c r="W8" s="11" t="n"/>
      <c r="X8" s="11" t="n"/>
      <c r="Y8" s="12" t="n"/>
      <c r="Z8" s="8" t="n"/>
      <c r="AA8" s="8" t="n"/>
      <c r="AB8" s="8" t="n"/>
      <c r="AC8" s="8" t="n"/>
      <c r="AD8" s="8" t="n"/>
      <c r="AE8" s="8" t="n"/>
      <c r="AF8" s="8" t="n"/>
      <c r="AG8" s="8" t="n"/>
      <c r="AH8" s="8" t="n"/>
      <c r="AI8" s="8" t="n"/>
      <c r="AJ8" s="8" t="n"/>
      <c r="AK8" s="8" t="n"/>
      <c r="AL8" s="8" t="n"/>
      <c r="AM8" s="8" t="n"/>
      <c r="AN8" s="8" t="n"/>
      <c r="AO8" s="8" t="n"/>
      <c r="AP8" s="8" t="n"/>
      <c r="AQ8" s="8" t="n"/>
      <c r="AR8" s="8" t="n"/>
      <c r="AS8" s="8" t="n"/>
      <c r="AT8" s="8" t="n"/>
      <c r="AU8" s="8" t="n"/>
    </row>
    <row r="9">
      <c r="A9" s="8" t="n"/>
      <c r="B9" s="8" t="n"/>
      <c r="L9" s="8" t="n"/>
      <c r="M9" s="8" t="n"/>
      <c r="N9" s="8" t="n"/>
      <c r="O9" s="13" t="inlineStr">
        <is>
          <t>Coloque o nome do personagem aqui</t>
        </is>
      </c>
      <c r="P9" s="14" t="n"/>
      <c r="Q9" s="14" t="n"/>
      <c r="R9" s="14" t="n"/>
      <c r="S9" s="14" t="n"/>
      <c r="T9" s="14" t="n"/>
      <c r="U9" s="14" t="n"/>
      <c r="V9" s="14" t="n"/>
      <c r="W9" s="14" t="n"/>
      <c r="X9" s="14" t="n"/>
      <c r="Y9" s="14" t="n"/>
      <c r="Z9" s="14" t="n"/>
      <c r="AA9" s="14" t="n"/>
      <c r="AB9" s="14" t="n"/>
      <c r="AC9" s="14" t="n"/>
      <c r="AD9" s="14" t="n"/>
      <c r="AE9" s="14" t="n"/>
      <c r="AF9" s="14" t="n"/>
      <c r="AG9" s="14" t="n"/>
      <c r="AH9" s="15" t="n"/>
      <c r="AI9" s="8" t="n"/>
      <c r="AJ9" s="8" t="n"/>
      <c r="AK9" s="8" t="n"/>
      <c r="AL9" s="8" t="n"/>
      <c r="AM9" s="8" t="n"/>
      <c r="AN9" s="8" t="n"/>
      <c r="AO9" s="8" t="n"/>
      <c r="AP9" s="8" t="n"/>
      <c r="AQ9" s="8" t="n"/>
      <c r="AR9" s="8" t="n"/>
      <c r="AS9" s="8" t="n"/>
      <c r="AT9" s="8" t="n"/>
      <c r="AU9" s="8" t="n"/>
    </row>
    <row r="10">
      <c r="A10" s="8" t="n"/>
      <c r="B10" s="8" t="n"/>
      <c r="L10" s="8" t="n"/>
      <c r="M10" s="8" t="n"/>
      <c r="N10" s="8" t="n"/>
      <c r="O10" s="16" t="n"/>
      <c r="AH10" s="17" t="n"/>
      <c r="AI10" s="8" t="n"/>
      <c r="AJ10" s="8" t="n"/>
      <c r="AK10" s="8" t="n"/>
      <c r="AL10" s="8" t="n"/>
      <c r="AM10" s="8" t="n"/>
      <c r="AN10" s="8" t="n"/>
      <c r="AO10" s="8" t="n"/>
      <c r="AP10" s="8" t="n"/>
      <c r="AQ10" s="8" t="n"/>
      <c r="AR10" s="8" t="n"/>
      <c r="AS10" s="8" t="n"/>
      <c r="AT10" s="8" t="n"/>
      <c r="AU10" s="8" t="n"/>
    </row>
    <row r="11">
      <c r="A11" s="8" t="n"/>
      <c r="B11" s="8" t="n"/>
      <c r="L11" s="8" t="n"/>
      <c r="M11" s="8" t="n"/>
      <c r="N11" s="8" t="n"/>
      <c r="O11" s="16" t="n"/>
      <c r="AH11" s="17" t="n"/>
      <c r="AI11" s="8" t="n"/>
      <c r="AJ11" s="8" t="n"/>
      <c r="AK11" s="8" t="n"/>
      <c r="AL11" s="8" t="n"/>
      <c r="AM11" s="8" t="n"/>
      <c r="AN11" s="8" t="n"/>
      <c r="AO11" s="8" t="n"/>
      <c r="AP11" s="8" t="n"/>
      <c r="AQ11" s="8" t="n"/>
      <c r="AR11" s="8" t="n"/>
      <c r="AS11" s="8" t="n"/>
      <c r="AT11" s="8" t="n"/>
      <c r="AU11" s="8" t="n"/>
    </row>
    <row r="12">
      <c r="A12" s="8" t="n"/>
      <c r="B12" s="8" t="n"/>
      <c r="L12" s="8" t="n"/>
      <c r="M12" s="8" t="n"/>
      <c r="N12" s="8" t="n"/>
      <c r="O12" s="18" t="n"/>
      <c r="P12" s="19" t="n"/>
      <c r="Q12" s="19" t="n"/>
      <c r="R12" s="19" t="n"/>
      <c r="S12" s="19" t="n"/>
      <c r="T12" s="19" t="n"/>
      <c r="U12" s="19" t="n"/>
      <c r="V12" s="19" t="n"/>
      <c r="W12" s="19" t="n"/>
      <c r="X12" s="19" t="n"/>
      <c r="Y12" s="19" t="n"/>
      <c r="Z12" s="19" t="n"/>
      <c r="AA12" s="19" t="n"/>
      <c r="AB12" s="19" t="n"/>
      <c r="AC12" s="19" t="n"/>
      <c r="AD12" s="19" t="n"/>
      <c r="AE12" s="19" t="n"/>
      <c r="AF12" s="19" t="n"/>
      <c r="AG12" s="19" t="n"/>
      <c r="AH12" s="20" t="n"/>
      <c r="AI12" s="8" t="n"/>
      <c r="AJ12" s="8" t="n"/>
      <c r="AK12" s="8" t="n"/>
      <c r="AL12" s="8" t="n"/>
      <c r="AM12" s="8" t="n"/>
      <c r="AN12" s="8" t="n"/>
      <c r="AO12" s="8" t="n"/>
      <c r="AP12" s="8" t="n"/>
      <c r="AQ12" s="8" t="n"/>
      <c r="AR12" s="8" t="n"/>
      <c r="AS12" s="8" t="n"/>
      <c r="AT12" s="8" t="n"/>
      <c r="AU12" s="8" t="n"/>
    </row>
    <row r="13">
      <c r="A13" s="8" t="n"/>
      <c r="B13" s="8" t="n"/>
      <c r="L13" s="8" t="n"/>
      <c r="M13" s="8" t="n"/>
      <c r="N13" s="8" t="n"/>
      <c r="O13" s="8" t="n"/>
      <c r="Z13" s="8" t="n"/>
      <c r="AA13" s="8" t="n"/>
      <c r="AB13" s="8" t="n"/>
      <c r="AC13" s="8" t="n"/>
      <c r="AD13" s="8" t="n"/>
      <c r="AE13" s="8" t="n"/>
      <c r="AF13" s="8" t="n"/>
      <c r="AG13" s="8" t="n"/>
      <c r="AH13" s="8" t="n"/>
      <c r="AI13" s="8" t="n"/>
      <c r="AJ13" s="8" t="n"/>
      <c r="AK13" s="8" t="n"/>
      <c r="AL13" s="8" t="n"/>
      <c r="AM13" s="8" t="n"/>
      <c r="AN13" s="8" t="n"/>
      <c r="AO13" s="8" t="n"/>
      <c r="AP13" s="8" t="n"/>
      <c r="AQ13" s="8" t="n"/>
      <c r="AR13" s="8" t="n"/>
      <c r="AS13" s="8" t="n"/>
      <c r="AT13" s="8" t="n"/>
      <c r="AU13" s="8" t="n"/>
    </row>
    <row r="14">
      <c r="A14" s="8" t="n"/>
      <c r="B14" s="8" t="n"/>
      <c r="L14" s="8" t="n"/>
      <c r="M14" s="8" t="n"/>
      <c r="N14" s="8" t="n"/>
      <c r="O14" s="8" t="n"/>
      <c r="P14" s="8" t="n"/>
      <c r="Q14" s="8" t="n"/>
      <c r="R14" s="8" t="n"/>
      <c r="S14" s="8" t="n"/>
      <c r="T14" s="8" t="n"/>
      <c r="U14" s="8" t="n"/>
      <c r="V14" s="8" t="n"/>
      <c r="W14" s="8" t="n"/>
      <c r="X14" s="8" t="n"/>
      <c r="Y14" s="8" t="n"/>
      <c r="Z14" s="8" t="n"/>
      <c r="AA14" s="8" t="n"/>
      <c r="AB14" s="8" t="n"/>
      <c r="AC14" s="8" t="n"/>
      <c r="AD14" s="8" t="n"/>
      <c r="AE14" s="8" t="n"/>
      <c r="AF14" s="8" t="n"/>
      <c r="AG14" s="8" t="n"/>
      <c r="AH14" s="8" t="n"/>
      <c r="AI14" s="8" t="n"/>
      <c r="AJ14" s="8" t="n"/>
      <c r="AK14" s="8" t="n"/>
      <c r="AL14" s="8" t="n"/>
      <c r="AM14" s="8" t="n"/>
      <c r="AN14" s="8" t="n"/>
      <c r="AO14" s="8" t="n"/>
      <c r="AP14" s="8" t="n"/>
      <c r="AQ14" s="8" t="n"/>
      <c r="AR14" s="8" t="n"/>
      <c r="AS14" s="8" t="n"/>
      <c r="AT14" s="8" t="n"/>
      <c r="AU14" s="8" t="n"/>
    </row>
    <row r="15">
      <c r="A15" s="8" t="n"/>
      <c r="B15" s="8" t="n"/>
      <c r="L15" s="8" t="n"/>
      <c r="M15" s="8" t="n"/>
      <c r="N15" s="8" t="n"/>
      <c r="O15" s="8" t="n"/>
      <c r="AI15" s="8" t="n"/>
      <c r="AJ15" s="8" t="n"/>
      <c r="AK15" s="8" t="n"/>
      <c r="AL15" s="8" t="n"/>
      <c r="AM15" s="8" t="n"/>
      <c r="AN15" s="8" t="n"/>
      <c r="AO15" s="8" t="n"/>
      <c r="AP15" s="8" t="n"/>
      <c r="AQ15" s="8" t="n"/>
      <c r="AR15" s="8" t="n"/>
      <c r="AS15" s="8" t="n"/>
      <c r="AT15" s="8" t="n"/>
      <c r="AU15" s="8" t="n"/>
    </row>
    <row r="16">
      <c r="A16" s="8" t="n"/>
      <c r="B16" s="8" t="n"/>
      <c r="L16" s="8" t="n"/>
      <c r="M16" s="8" t="n"/>
      <c r="N16" s="8" t="n"/>
      <c r="O16" s="8" t="n"/>
      <c r="P16" s="8" t="n"/>
      <c r="Q16" s="8" t="n"/>
      <c r="R16" s="8" t="n"/>
      <c r="S16" s="8" t="n"/>
      <c r="T16" s="8" t="n"/>
      <c r="U16" s="8" t="n"/>
      <c r="V16" s="8" t="n"/>
      <c r="W16" s="8" t="n"/>
      <c r="X16" s="8" t="n"/>
      <c r="Y16" s="8" t="n"/>
      <c r="Z16" s="8" t="n"/>
      <c r="AA16" s="8" t="n"/>
      <c r="AB16" s="8" t="n"/>
      <c r="AC16" s="8" t="n"/>
      <c r="AD16" s="8" t="n"/>
      <c r="AE16" s="8" t="n"/>
      <c r="AF16" s="8" t="n"/>
      <c r="AG16" s="8" t="n"/>
      <c r="AH16" s="8" t="n"/>
      <c r="AI16" s="8" t="n"/>
      <c r="AJ16" s="8" t="n"/>
      <c r="AK16" s="8" t="n"/>
      <c r="AL16" s="8" t="n"/>
      <c r="AM16" s="8" t="n"/>
      <c r="AN16" s="8" t="n"/>
      <c r="AO16" s="8" t="n"/>
      <c r="AP16" s="8" t="n"/>
      <c r="AQ16" s="8" t="n"/>
      <c r="AR16" s="8" t="n"/>
      <c r="AS16" s="8" t="n"/>
      <c r="AT16" s="8" t="n"/>
      <c r="AU16" s="8" t="n"/>
    </row>
    <row r="17">
      <c r="A17" s="8" t="n"/>
      <c r="B17" s="8" t="n"/>
      <c r="L17" s="8" t="n"/>
      <c r="M17" s="8" t="n"/>
      <c r="N17" s="8" t="n"/>
      <c r="O17" s="21" t="inlineStr">
        <is>
          <t>CAMINHO</t>
        </is>
      </c>
      <c r="P17" s="11" t="n"/>
      <c r="Q17" s="11" t="n"/>
      <c r="R17" s="11" t="n"/>
      <c r="S17" s="11" t="n"/>
      <c r="T17" s="11" t="n"/>
      <c r="U17" s="11" t="n"/>
      <c r="V17" s="11" t="n"/>
      <c r="W17" s="11" t="n"/>
      <c r="X17" s="12" t="n"/>
      <c r="Y17" s="22" t="n"/>
      <c r="Z17" s="23" t="inlineStr">
        <is>
          <t>TRILHA</t>
        </is>
      </c>
      <c r="AA17" s="11" t="n"/>
      <c r="AB17" s="11" t="n"/>
      <c r="AC17" s="11" t="n"/>
      <c r="AD17" s="11" t="n"/>
      <c r="AE17" s="11" t="n"/>
      <c r="AF17" s="11" t="n"/>
      <c r="AG17" s="11" t="n"/>
      <c r="AH17" s="11" t="n"/>
      <c r="AI17" s="12" t="n"/>
      <c r="AJ17" s="8" t="n"/>
      <c r="AK17" s="21" t="inlineStr">
        <is>
          <t>ORIGEM</t>
        </is>
      </c>
      <c r="AL17" s="11" t="n"/>
      <c r="AM17" s="11" t="n"/>
      <c r="AN17" s="11" t="n"/>
      <c r="AO17" s="11" t="n"/>
      <c r="AP17" s="11" t="n"/>
      <c r="AQ17" s="11" t="n"/>
      <c r="AR17" s="11" t="n"/>
      <c r="AS17" s="11" t="n"/>
      <c r="AT17" s="12" t="n"/>
      <c r="AU17" s="8" t="n"/>
    </row>
    <row r="18" ht="20.25" customHeight="1">
      <c r="A18" s="8" t="n"/>
      <c r="B18" s="8" t="n"/>
      <c r="L18" s="8" t="n"/>
      <c r="M18" s="8" t="n"/>
      <c r="N18" s="8" t="n"/>
      <c r="O18" s="24">
        <f>IF(OR(FICHA!D11="",FICHA!D11="Escolha seu Caminho"),"—",FICHA!D11)</f>
        <v/>
      </c>
      <c r="P18" s="14" t="n"/>
      <c r="Q18" s="14" t="n"/>
      <c r="R18" s="14" t="n"/>
      <c r="S18" s="14" t="n"/>
      <c r="T18" s="14" t="n"/>
      <c r="U18" s="14" t="n"/>
      <c r="V18" s="14" t="n"/>
      <c r="W18" s="14" t="n"/>
      <c r="X18" s="15" t="n"/>
      <c r="Y18" s="22" t="n"/>
      <c r="Z18" s="25">
        <f>IF(OR(FICHA!N11="",FICHA!N11="Escolha sua Trilha"),"—",FICHA!N11)</f>
        <v/>
      </c>
      <c r="AA18" s="14" t="n"/>
      <c r="AB18" s="14" t="n"/>
      <c r="AC18" s="14" t="n"/>
      <c r="AD18" s="14" t="n"/>
      <c r="AE18" s="14" t="n"/>
      <c r="AF18" s="14" t="n"/>
      <c r="AG18" s="14" t="n"/>
      <c r="AH18" s="14" t="n"/>
      <c r="AI18" s="15" t="n"/>
      <c r="AJ18" s="8" t="n"/>
      <c r="AK18" s="26">
        <f>IF(FICHA!X11="","—",FICHA!X11)</f>
        <v/>
      </c>
      <c r="AL18" s="14" t="n"/>
      <c r="AM18" s="14" t="n"/>
      <c r="AN18" s="14" t="n"/>
      <c r="AO18" s="14" t="n"/>
      <c r="AP18" s="14" t="n"/>
      <c r="AQ18" s="14" t="n"/>
      <c r="AR18" s="14" t="n"/>
      <c r="AS18" s="14" t="n"/>
      <c r="AT18" s="15" t="n"/>
      <c r="AU18" s="8" t="n"/>
    </row>
    <row r="19">
      <c r="A19" s="8" t="n"/>
      <c r="B19" s="8" t="n"/>
      <c r="L19" s="8" t="n"/>
      <c r="M19" s="8" t="n"/>
      <c r="N19" s="8" t="n"/>
      <c r="O19" s="27" t="n"/>
      <c r="P19" s="27" t="n"/>
      <c r="Q19" s="27" t="n"/>
      <c r="R19" s="27" t="n"/>
      <c r="S19" s="27" t="n"/>
      <c r="T19" s="27" t="n"/>
      <c r="U19" s="27" t="n"/>
      <c r="V19" s="27" t="n"/>
      <c r="W19" s="27" t="n"/>
      <c r="X19" s="27" t="n"/>
      <c r="Y19" s="8" t="n"/>
      <c r="Z19" s="27" t="n"/>
      <c r="AA19" s="27" t="n"/>
      <c r="AB19" s="27" t="n"/>
      <c r="AC19" s="27" t="n"/>
      <c r="AD19" s="27" t="n"/>
      <c r="AE19" s="27" t="n"/>
      <c r="AF19" s="27" t="n"/>
      <c r="AG19" s="27" t="n"/>
      <c r="AH19" s="27" t="n"/>
      <c r="AI19" s="27" t="n"/>
      <c r="AJ19" s="8" t="n"/>
      <c r="AK19" s="27" t="n"/>
      <c r="AL19" s="27" t="n"/>
      <c r="AM19" s="27" t="n"/>
      <c r="AN19" s="27" t="n"/>
      <c r="AO19" s="27" t="n"/>
      <c r="AP19" s="27" t="n"/>
      <c r="AQ19" s="27" t="n"/>
      <c r="AR19" s="27" t="n"/>
      <c r="AS19" s="27" t="n"/>
      <c r="AT19" s="27" t="n"/>
      <c r="AU19" s="8" t="n"/>
    </row>
    <row r="20">
      <c r="A20" s="8" t="n"/>
      <c r="B20" s="8" t="n"/>
      <c r="L20" s="8" t="n"/>
      <c r="M20" s="8" t="n"/>
      <c r="N20" s="8" t="n"/>
      <c r="O20" s="28" t="n"/>
      <c r="P20" s="28" t="n"/>
      <c r="Q20" s="28" t="n"/>
      <c r="R20" s="28" t="n"/>
      <c r="S20" s="28" t="n"/>
      <c r="T20" s="28" t="n"/>
      <c r="U20" s="28" t="n"/>
      <c r="V20" s="28" t="n"/>
      <c r="W20" s="28" t="n"/>
      <c r="X20" s="28" t="n"/>
      <c r="Y20" s="8" t="n"/>
      <c r="Z20" s="28" t="n"/>
      <c r="AA20" s="28" t="n"/>
      <c r="AB20" s="28" t="n"/>
      <c r="AC20" s="28" t="n"/>
      <c r="AD20" s="28" t="n"/>
      <c r="AE20" s="28" t="n"/>
      <c r="AF20" s="28" t="n"/>
      <c r="AG20" s="28" t="n"/>
      <c r="AH20" s="28" t="n"/>
      <c r="AI20" s="28" t="n"/>
      <c r="AJ20" s="8" t="n"/>
      <c r="AK20" s="28" t="n"/>
      <c r="AL20" s="28" t="n"/>
      <c r="AM20" s="28" t="n"/>
      <c r="AN20" s="28" t="n"/>
      <c r="AO20" s="28" t="n"/>
      <c r="AP20" s="28" t="n"/>
      <c r="AQ20" s="28" t="n"/>
      <c r="AR20" s="28" t="n"/>
      <c r="AS20" s="28" t="n"/>
      <c r="AT20" s="28" t="n"/>
      <c r="AU20" s="8" t="n"/>
    </row>
    <row r="21">
      <c r="A21" s="8" t="n"/>
      <c r="B21" s="8" t="n"/>
      <c r="L21" s="8" t="n"/>
      <c r="M21" s="8" t="n"/>
      <c r="N21" s="8" t="n"/>
      <c r="O21" s="29" t="inlineStr">
        <is>
          <t>NÍVEL</t>
        </is>
      </c>
      <c r="P21" s="19" t="n"/>
      <c r="Q21" s="19" t="n"/>
      <c r="R21" s="19" t="n"/>
      <c r="S21" s="19" t="n"/>
      <c r="T21" s="19" t="n"/>
      <c r="U21" s="19" t="n"/>
      <c r="V21" s="19" t="n"/>
      <c r="W21" s="19" t="n"/>
      <c r="X21" s="20" t="n"/>
      <c r="Y21" s="22" t="n"/>
      <c r="Z21" s="30" t="inlineStr">
        <is>
          <t>SERVIDOR USADO</t>
        </is>
      </c>
      <c r="AA21" s="19" t="n"/>
      <c r="AB21" s="19" t="n"/>
      <c r="AC21" s="19" t="n"/>
      <c r="AD21" s="19" t="n"/>
      <c r="AE21" s="19" t="n"/>
      <c r="AF21" s="19" t="n"/>
      <c r="AG21" s="19" t="n"/>
      <c r="AH21" s="19" t="n"/>
      <c r="AI21" s="20" t="n"/>
      <c r="AJ21" s="8" t="n"/>
      <c r="AK21" s="29" t="inlineStr">
        <is>
          <t>REGISTRADO POR</t>
        </is>
      </c>
      <c r="AL21" s="19" t="n"/>
      <c r="AM21" s="19" t="n"/>
      <c r="AN21" s="19" t="n"/>
      <c r="AO21" s="19" t="n"/>
      <c r="AP21" s="19" t="n"/>
      <c r="AQ21" s="19" t="n"/>
      <c r="AR21" s="19" t="n"/>
      <c r="AS21" s="19" t="n"/>
      <c r="AT21" s="20" t="n"/>
      <c r="AU21" s="8" t="n"/>
    </row>
    <row r="22" ht="20.25" customHeight="1">
      <c r="A22" s="8" t="n"/>
      <c r="B22" s="8" t="n"/>
      <c r="C22" s="8" t="n"/>
      <c r="D22" s="8" t="n"/>
      <c r="E22" s="8" t="n"/>
      <c r="F22" s="8" t="n"/>
      <c r="G22" s="8" t="n"/>
      <c r="H22" s="8" t="n"/>
      <c r="I22" s="8" t="n"/>
      <c r="J22" s="8" t="n"/>
      <c r="K22" s="8" t="n"/>
      <c r="L22" s="8" t="n"/>
      <c r="M22" s="8" t="n"/>
      <c r="N22" s="8" t="n"/>
      <c r="O22" s="13">
        <f>IF(FICHA!AH11="","—",FICHA!AH11)</f>
        <v/>
      </c>
      <c r="P22" s="11" t="n"/>
      <c r="Q22" s="11" t="n"/>
      <c r="R22" s="11" t="n"/>
      <c r="S22" s="11" t="n"/>
      <c r="T22" s="11" t="n"/>
      <c r="U22" s="11" t="n"/>
      <c r="V22" s="11" t="n"/>
      <c r="W22" s="11" t="n"/>
      <c r="X22" s="12" t="n"/>
      <c r="Y22" s="22" t="n"/>
      <c r="Z22" s="31" t="n"/>
      <c r="AA22" s="11" t="n"/>
      <c r="AB22" s="11" t="n"/>
      <c r="AC22" s="11" t="n"/>
      <c r="AD22" s="11" t="n"/>
      <c r="AE22" s="11" t="n"/>
      <c r="AF22" s="11" t="n"/>
      <c r="AG22" s="11" t="n"/>
      <c r="AH22" s="11" t="n"/>
      <c r="AI22" s="12" t="n"/>
      <c r="AJ22" s="8" t="n"/>
      <c r="AK22" s="32" t="inlineStr">
        <is>
          <t>Nick do jogador</t>
        </is>
      </c>
      <c r="AL22" s="11" t="n"/>
      <c r="AM22" s="11" t="n"/>
      <c r="AN22" s="11" t="n"/>
      <c r="AO22" s="11" t="n"/>
      <c r="AP22" s="11" t="n"/>
      <c r="AQ22" s="11" t="n"/>
      <c r="AR22" s="11" t="n"/>
      <c r="AS22" s="11" t="n"/>
      <c r="AT22" s="12" t="n"/>
      <c r="AU22" s="8" t="n"/>
    </row>
    <row r="23">
      <c r="A23" s="8" t="n"/>
      <c r="B23" s="8" t="n"/>
      <c r="C23" s="8" t="n"/>
      <c r="D23" s="8" t="n"/>
      <c r="E23" s="8" t="n"/>
      <c r="F23" s="8" t="n"/>
      <c r="G23" s="8" t="n"/>
      <c r="H23" s="8" t="n"/>
      <c r="I23" s="8" t="n"/>
      <c r="J23" s="8" t="n"/>
      <c r="K23" s="8" t="n"/>
      <c r="L23" s="8" t="n"/>
      <c r="M23" s="8" t="n"/>
      <c r="N23" s="8" t="n"/>
      <c r="O23" s="8" t="n"/>
      <c r="P23" s="8" t="n"/>
      <c r="Q23" s="8" t="n"/>
      <c r="R23" s="8" t="n"/>
      <c r="S23" s="8" t="n"/>
      <c r="T23" s="8" t="n"/>
      <c r="U23" s="8" t="n"/>
      <c r="V23" s="8" t="n"/>
      <c r="W23" s="8" t="n"/>
      <c r="X23" s="8" t="n"/>
      <c r="Y23" s="8" t="n"/>
      <c r="Z23" s="8" t="n"/>
      <c r="AA23" s="8" t="n"/>
      <c r="AB23" s="8" t="n"/>
      <c r="AC23" s="8" t="n"/>
      <c r="AD23" s="8" t="n"/>
      <c r="AE23" s="8" t="n"/>
      <c r="AF23" s="8" t="n"/>
      <c r="AG23" s="8" t="n"/>
      <c r="AH23" s="8" t="n"/>
      <c r="AI23" s="8" t="n"/>
      <c r="AJ23" s="8" t="n"/>
      <c r="AK23" s="8" t="n"/>
      <c r="AL23" s="8" t="n"/>
      <c r="AM23" s="8" t="n"/>
      <c r="AN23" s="8" t="n"/>
      <c r="AO23" s="8" t="n"/>
      <c r="AP23" s="8" t="n"/>
      <c r="AQ23" s="8" t="n"/>
      <c r="AR23" s="8" t="n"/>
      <c r="AS23" s="8" t="n"/>
      <c r="AT23" s="8" t="n"/>
      <c r="AU23" s="8" t="n"/>
    </row>
    <row r="24">
      <c r="A24" s="8" t="n"/>
      <c r="B24" s="8" t="n"/>
      <c r="C24" s="8" t="n"/>
      <c r="D24" s="8" t="n"/>
      <c r="E24" s="8" t="n"/>
      <c r="F24" s="8" t="n"/>
      <c r="G24" s="8" t="n"/>
      <c r="H24" s="8" t="n"/>
      <c r="I24" s="8" t="n"/>
      <c r="J24" s="8" t="n"/>
      <c r="K24" s="8" t="n"/>
      <c r="L24" s="8" t="n"/>
      <c r="M24" s="8" t="n"/>
      <c r="N24" s="8" t="n"/>
      <c r="O24" s="8" t="n"/>
      <c r="P24" s="8" t="n"/>
      <c r="Q24" s="8" t="n"/>
      <c r="R24" s="8" t="n"/>
      <c r="S24" s="8" t="n"/>
      <c r="T24" s="8" t="n"/>
      <c r="U24" s="8" t="n"/>
      <c r="V24" s="8" t="n"/>
      <c r="W24" s="8" t="n"/>
      <c r="X24" s="8" t="n"/>
      <c r="Y24" s="8" t="n"/>
      <c r="Z24" s="8" t="n"/>
      <c r="AA24" s="8" t="n"/>
      <c r="AB24" s="8" t="n"/>
      <c r="AC24" s="8" t="n"/>
      <c r="AD24" s="8" t="n"/>
      <c r="AE24" s="8" t="n"/>
      <c r="AF24" s="8" t="n"/>
      <c r="AG24" s="8" t="n"/>
      <c r="AH24" s="8" t="n"/>
      <c r="AI24" s="8" t="n"/>
      <c r="AJ24" s="8" t="n"/>
      <c r="AK24" s="8" t="n"/>
      <c r="AL24" s="8" t="n"/>
      <c r="AM24" s="8" t="n"/>
      <c r="AN24" s="8" t="n"/>
      <c r="AO24" s="8" t="n"/>
      <c r="AP24" s="8" t="n"/>
      <c r="AQ24" s="8" t="n"/>
      <c r="AR24" s="8" t="n"/>
      <c r="AS24" s="8" t="n"/>
      <c r="AT24" s="8" t="n"/>
      <c r="AU24" s="8" t="n"/>
    </row>
    <row r="25">
      <c r="A25" s="8" t="n"/>
      <c r="B25" s="8" t="n"/>
      <c r="C25" s="8" t="n"/>
      <c r="D25" s="8" t="n"/>
      <c r="E25" s="8" t="n"/>
      <c r="F25" s="8" t="n"/>
      <c r="G25" s="8" t="n"/>
      <c r="H25" s="8" t="n"/>
      <c r="I25" s="8" t="n"/>
      <c r="J25" s="8" t="n"/>
      <c r="K25" s="8" t="n"/>
      <c r="L25" s="8" t="n"/>
      <c r="M25" s="8" t="n"/>
      <c r="N25" s="8" t="n"/>
      <c r="O25" s="8" t="n"/>
      <c r="P25" s="8" t="n"/>
      <c r="Q25" s="8" t="n"/>
      <c r="R25" s="8" t="n"/>
      <c r="S25" s="8" t="n"/>
      <c r="T25" s="8" t="n"/>
      <c r="U25" s="8" t="n"/>
      <c r="V25" s="8" t="n"/>
      <c r="W25" s="8" t="n"/>
      <c r="X25" s="8" t="n"/>
      <c r="Y25" s="8" t="n"/>
      <c r="Z25" s="8" t="n"/>
      <c r="AA25" s="8" t="n"/>
      <c r="AB25" s="8" t="n"/>
      <c r="AC25" s="8" t="n"/>
      <c r="AD25" s="8" t="n"/>
      <c r="AE25" s="8" t="n"/>
      <c r="AF25" s="8" t="n"/>
      <c r="AG25" s="8" t="n"/>
      <c r="AH25" s="8" t="n"/>
      <c r="AI25" s="8" t="n"/>
      <c r="AJ25" s="8" t="n"/>
      <c r="AK25" s="8" t="n"/>
      <c r="AL25" s="8" t="n"/>
      <c r="AM25" s="8" t="n"/>
      <c r="AN25" s="8" t="n"/>
      <c r="AO25" s="8" t="n"/>
      <c r="AP25" s="8" t="n"/>
      <c r="AQ25" s="8" t="n"/>
      <c r="AR25" s="8" t="n"/>
      <c r="AS25" s="8" t="n"/>
      <c r="AT25" s="8" t="n"/>
      <c r="AU25" s="8" t="n"/>
    </row>
    <row r="26">
      <c r="A26" s="8" t="n"/>
      <c r="B26" s="8" t="n"/>
      <c r="C26" s="8" t="n"/>
      <c r="D26" s="8" t="n"/>
      <c r="E26" s="8" t="n"/>
      <c r="F26" s="8" t="n"/>
      <c r="G26" s="8" t="n"/>
      <c r="H26" s="8" t="n"/>
      <c r="I26" s="8" t="n"/>
      <c r="J26" s="8" t="n"/>
      <c r="K26" s="8" t="n"/>
      <c r="L26" s="8" t="n"/>
      <c r="M26" s="8" t="n"/>
      <c r="N26" s="8" t="n"/>
      <c r="O26" s="10">
        <f>IF(DADOS!$AK$32=1,"TÉCNICA MARCIAL DECLARADA",IF(DADOS!$AK$31=1,"ESTILO DECLARADO","TÉCNICA AMALDIÇOADA DECLARADA"))</f>
        <v/>
      </c>
      <c r="P26" s="11" t="n"/>
      <c r="Q26" s="11" t="n"/>
      <c r="R26" s="11" t="n"/>
      <c r="S26" s="11" t="n"/>
      <c r="T26" s="11" t="n"/>
      <c r="U26" s="11" t="n"/>
      <c r="V26" s="11" t="n"/>
      <c r="W26" s="11" t="n"/>
      <c r="X26" s="11" t="n"/>
      <c r="Y26" s="11" t="n"/>
      <c r="Z26" s="11" t="n"/>
      <c r="AA26" s="11" t="n"/>
      <c r="AB26" s="11" t="n"/>
      <c r="AC26" s="11" t="n"/>
      <c r="AD26" s="11" t="n"/>
      <c r="AE26" s="11" t="n"/>
      <c r="AF26" s="12" t="n"/>
      <c r="AG26" s="33" t="n"/>
      <c r="AH26" s="28" t="n"/>
      <c r="AI26" s="8" t="n"/>
      <c r="AJ26" s="8" t="n"/>
      <c r="AK26" s="8" t="n"/>
      <c r="AL26" s="8" t="n"/>
      <c r="AP26" s="8" t="n"/>
      <c r="AQ26" s="8" t="n"/>
      <c r="AR26" s="8" t="n"/>
      <c r="AS26" s="8" t="n"/>
      <c r="AT26" s="8" t="n"/>
      <c r="AU26" s="8" t="n"/>
    </row>
    <row r="27">
      <c r="A27" s="8" t="n"/>
      <c r="B27" s="8" t="n"/>
      <c r="C27" s="8" t="n"/>
      <c r="D27" s="8" t="n"/>
      <c r="E27" s="8" t="n"/>
      <c r="F27" s="8" t="n"/>
      <c r="G27" s="8" t="n"/>
      <c r="H27" s="8" t="n"/>
      <c r="I27" s="8" t="n"/>
      <c r="J27" s="8" t="n"/>
      <c r="K27" s="8" t="n"/>
      <c r="L27" s="8" t="n"/>
      <c r="M27" s="8" t="n"/>
      <c r="N27" s="8" t="n"/>
      <c r="O27" s="32" t="n"/>
      <c r="P27" s="14" t="n"/>
      <c r="Q27" s="14" t="n"/>
      <c r="R27" s="14" t="n"/>
      <c r="S27" s="14" t="n"/>
      <c r="T27" s="14" t="n"/>
      <c r="U27" s="14" t="n"/>
      <c r="V27" s="14" t="n"/>
      <c r="W27" s="14" t="n"/>
      <c r="X27" s="14" t="n"/>
      <c r="Y27" s="14" t="n"/>
      <c r="Z27" s="14" t="n"/>
      <c r="AA27" s="14" t="n"/>
      <c r="AB27" s="14" t="n"/>
      <c r="AC27" s="14" t="n"/>
      <c r="AD27" s="14" t="n"/>
      <c r="AE27" s="14" t="n"/>
      <c r="AF27" s="14" t="n"/>
      <c r="AG27" s="14" t="n"/>
      <c r="AH27" s="15" t="n"/>
      <c r="AI27" s="8" t="n"/>
      <c r="AJ27" s="8" t="n"/>
      <c r="AK27" s="8" t="n"/>
      <c r="AP27" s="8" t="n"/>
      <c r="AQ27" s="8" t="n"/>
      <c r="AR27" s="8" t="n"/>
      <c r="AS27" s="8" t="n"/>
      <c r="AT27" s="8" t="n"/>
      <c r="AU27" s="8" t="n"/>
    </row>
    <row r="28">
      <c r="A28" s="8" t="n"/>
      <c r="B28" s="8" t="n"/>
      <c r="C28" s="8" t="n"/>
      <c r="D28" s="8" t="n"/>
      <c r="E28" s="8" t="n"/>
      <c r="F28" s="8" t="n"/>
      <c r="G28" s="8" t="n"/>
      <c r="H28" s="8" t="n"/>
      <c r="I28" s="8" t="n"/>
      <c r="J28" s="8" t="n"/>
      <c r="K28" s="8" t="n"/>
      <c r="L28" s="8" t="n"/>
      <c r="M28" s="8" t="n"/>
      <c r="N28" s="8" t="n"/>
      <c r="O28" s="18" t="n"/>
      <c r="P28" s="19" t="n"/>
      <c r="Q28" s="19" t="n"/>
      <c r="R28" s="19" t="n"/>
      <c r="S28" s="19" t="n"/>
      <c r="T28" s="19" t="n"/>
      <c r="U28" s="19" t="n"/>
      <c r="V28" s="19" t="n"/>
      <c r="W28" s="19" t="n"/>
      <c r="X28" s="19" t="n"/>
      <c r="Y28" s="19" t="n"/>
      <c r="Z28" s="19" t="n"/>
      <c r="AA28" s="19" t="n"/>
      <c r="AB28" s="19" t="n"/>
      <c r="AC28" s="19" t="n"/>
      <c r="AD28" s="19" t="n"/>
      <c r="AE28" s="19" t="n"/>
      <c r="AF28" s="19" t="n"/>
      <c r="AG28" s="19" t="n"/>
      <c r="AH28" s="20" t="n"/>
      <c r="AI28" s="8" t="n"/>
      <c r="AJ28" s="8" t="n"/>
      <c r="AK28" s="8" t="n"/>
      <c r="AP28" s="8" t="n"/>
      <c r="AQ28" s="8" t="n"/>
      <c r="AR28" s="8" t="n"/>
      <c r="AS28" s="8" t="n"/>
      <c r="AT28" s="8" t="n"/>
      <c r="AU28" s="8" t="n"/>
    </row>
    <row r="29">
      <c r="A29" s="8" t="n"/>
      <c r="B29" s="8" t="n"/>
      <c r="C29" s="8" t="n"/>
      <c r="D29" s="8" t="n"/>
      <c r="E29" s="8" t="n"/>
      <c r="F29" s="8" t="n"/>
      <c r="G29" s="8" t="n"/>
      <c r="H29" s="8" t="n"/>
      <c r="I29" s="8" t="n"/>
      <c r="J29" s="8" t="n"/>
      <c r="K29" s="8" t="n"/>
      <c r="L29" s="8" t="n"/>
      <c r="M29" s="8" t="n"/>
      <c r="N29" s="8" t="n"/>
      <c r="O29" s="8" t="n"/>
      <c r="P29" s="8" t="n"/>
      <c r="Q29" s="8" t="n"/>
      <c r="R29" s="8" t="n"/>
      <c r="S29" s="8" t="n"/>
      <c r="T29" s="8" t="n"/>
      <c r="U29" s="8" t="n"/>
      <c r="V29" s="8" t="n"/>
      <c r="W29" s="8" t="n"/>
      <c r="X29" s="8" t="n"/>
      <c r="Y29" s="8" t="n"/>
      <c r="Z29" s="8" t="n"/>
      <c r="AA29" s="8" t="n"/>
      <c r="AB29" s="8" t="n"/>
      <c r="AC29" s="8" t="n"/>
      <c r="AD29" s="8" t="n"/>
      <c r="AE29" s="8" t="n"/>
      <c r="AF29" s="8" t="n"/>
      <c r="AG29" s="8" t="n"/>
      <c r="AH29" s="8" t="n"/>
      <c r="AI29" s="8" t="n"/>
      <c r="AJ29" s="8" t="n"/>
      <c r="AK29" s="8" t="n"/>
      <c r="AP29" s="8" t="n"/>
      <c r="AQ29" s="8" t="n"/>
      <c r="AR29" s="8" t="n"/>
      <c r="AS29" s="8" t="n"/>
      <c r="AT29" s="8" t="n"/>
      <c r="AU29" s="8" t="n"/>
    </row>
    <row r="30">
      <c r="A30" s="8" t="n"/>
      <c r="B30" s="8" t="n"/>
      <c r="C30" s="8" t="n"/>
      <c r="D30" s="8" t="n"/>
      <c r="E30" s="8" t="n"/>
      <c r="F30" s="8" t="n"/>
      <c r="G30" s="8" t="n"/>
      <c r="H30" s="8" t="n"/>
      <c r="I30" s="8" t="n"/>
      <c r="J30" s="8" t="n"/>
      <c r="K30" s="8" t="n"/>
      <c r="L30" s="8" t="n"/>
      <c r="M30" s="8" t="n"/>
      <c r="N30" s="8" t="n"/>
      <c r="O30" s="8" t="n"/>
      <c r="AI30" s="8" t="n"/>
      <c r="AJ30" s="8" t="n"/>
      <c r="AK30" s="8" t="n"/>
      <c r="AP30" s="8" t="n"/>
      <c r="AQ30" s="8" t="n"/>
      <c r="AR30" s="8" t="n"/>
      <c r="AS30" s="8" t="n"/>
      <c r="AT30" s="8" t="n"/>
      <c r="AU30" s="8" t="n"/>
    </row>
    <row r="31">
      <c r="A31" s="8" t="n"/>
      <c r="B31" s="8" t="n"/>
      <c r="C31" s="8" t="n"/>
      <c r="D31" s="8" t="n"/>
      <c r="E31" s="8" t="n"/>
      <c r="F31" s="8" t="n"/>
      <c r="G31" s="8" t="n"/>
      <c r="H31" s="8" t="n"/>
      <c r="I31" s="8" t="n"/>
      <c r="J31" s="8" t="n"/>
      <c r="K31" s="8" t="n"/>
      <c r="L31" s="8" t="n"/>
      <c r="M31" s="8" t="n"/>
      <c r="N31" s="8" t="n"/>
      <c r="AI31" s="8" t="n"/>
      <c r="AJ31" s="8" t="n"/>
      <c r="AK31" s="8" t="n"/>
      <c r="AL31" s="8" t="n"/>
      <c r="AM31" s="8" t="n"/>
      <c r="AN31" s="8" t="n"/>
      <c r="AO31" s="8" t="n"/>
      <c r="AP31" s="8" t="n"/>
      <c r="AQ31" s="8" t="n"/>
      <c r="AR31" s="8" t="n"/>
      <c r="AS31" s="8" t="n"/>
      <c r="AT31" s="8" t="n"/>
      <c r="AU31" s="8" t="n"/>
    </row>
    <row r="32">
      <c r="A32" s="8" t="n"/>
      <c r="B32" s="8" t="n"/>
      <c r="C32" s="8" t="n"/>
      <c r="D32" s="8" t="n"/>
      <c r="E32" s="8" t="n"/>
      <c r="F32" s="8" t="n"/>
      <c r="G32" s="8" t="n"/>
      <c r="H32" s="8" t="n"/>
      <c r="I32" s="8" t="n"/>
      <c r="J32" s="8" t="n"/>
      <c r="K32" s="8" t="n"/>
      <c r="L32" s="8" t="n"/>
      <c r="M32" s="8" t="n"/>
      <c r="N32" s="8" t="n"/>
      <c r="O32" s="34" t="n"/>
      <c r="AI32" s="8" t="n"/>
      <c r="AJ32" s="8" t="n"/>
      <c r="AK32" s="8" t="n"/>
      <c r="AL32" s="8" t="n"/>
      <c r="AM32" s="8" t="n"/>
      <c r="AN32" s="8" t="n"/>
      <c r="AO32" s="8" t="n"/>
      <c r="AP32" s="8" t="n"/>
      <c r="AQ32" s="8" t="n"/>
      <c r="AR32" s="8" t="n"/>
      <c r="AS32" s="8" t="n"/>
      <c r="AT32" s="8" t="n"/>
      <c r="AU32" s="8" t="n"/>
    </row>
    <row r="33">
      <c r="A33" s="8" t="n"/>
      <c r="B33" s="8" t="n"/>
      <c r="C33" s="8" t="n"/>
      <c r="D33" s="34" t="n"/>
      <c r="N33" s="8" t="n"/>
      <c r="O33" s="8" t="n"/>
      <c r="P33" s="8" t="n"/>
      <c r="Q33" s="8" t="n"/>
      <c r="R33" s="8" t="n"/>
      <c r="S33" s="8" t="n"/>
      <c r="T33" s="8" t="n"/>
      <c r="U33" s="8" t="n"/>
      <c r="V33" s="8" t="n"/>
      <c r="W33" s="8" t="n"/>
      <c r="X33" s="8" t="n"/>
      <c r="Y33" s="8" t="n"/>
      <c r="Z33" s="8" t="n"/>
      <c r="AA33" s="8" t="n"/>
      <c r="AB33" s="8" t="n"/>
      <c r="AC33" s="8" t="n"/>
      <c r="AD33" s="8" t="n"/>
      <c r="AE33" s="8" t="n"/>
      <c r="AF33" s="8" t="n"/>
      <c r="AG33" s="8" t="n"/>
      <c r="AH33" s="8" t="n"/>
      <c r="AI33" s="8" t="n"/>
      <c r="AJ33" s="8" t="n"/>
      <c r="AK33" s="8" t="n"/>
      <c r="AL33" s="8" t="n"/>
      <c r="AM33" s="8" t="n"/>
      <c r="AN33" s="8" t="n"/>
      <c r="AO33" s="8" t="n"/>
      <c r="AP33" s="8" t="n"/>
      <c r="AQ33" s="8" t="n"/>
      <c r="AR33" s="8" t="n"/>
      <c r="AS33" s="8" t="n"/>
      <c r="AT33" s="8" t="n"/>
      <c r="AU33" s="8" t="n"/>
    </row>
    <row r="34">
      <c r="A34" s="8" t="n"/>
      <c r="B34" s="8" t="n"/>
      <c r="C34" s="8" t="n"/>
      <c r="D34" s="8" t="n"/>
      <c r="E34" s="8" t="n"/>
      <c r="F34" s="8" t="n"/>
      <c r="G34" s="8" t="n"/>
      <c r="H34" s="8" t="n"/>
      <c r="I34" s="8" t="n"/>
      <c r="J34" s="8" t="n"/>
      <c r="K34" s="8" t="n"/>
      <c r="L34" s="8" t="n"/>
      <c r="M34" s="8" t="n"/>
      <c r="N34" s="8" t="n"/>
      <c r="O34" s="8" t="n"/>
      <c r="P34" s="8" t="n"/>
      <c r="Q34" s="8" t="n"/>
      <c r="R34" s="8" t="n"/>
      <c r="S34" s="8" t="n"/>
      <c r="T34" s="8" t="n"/>
      <c r="U34" s="8" t="n"/>
      <c r="V34" s="8" t="n"/>
      <c r="W34" s="8" t="n"/>
      <c r="X34" s="8" t="n"/>
      <c r="Y34" s="8" t="n"/>
      <c r="Z34" s="8" t="n"/>
      <c r="AA34" s="8" t="n"/>
      <c r="AB34" s="8" t="n"/>
      <c r="AC34" s="8" t="n"/>
      <c r="AD34" s="8" t="n"/>
      <c r="AE34" s="8" t="n"/>
      <c r="AF34" s="8" t="n"/>
      <c r="AG34" s="8" t="n"/>
      <c r="AH34" s="8" t="n"/>
      <c r="AI34" s="8" t="n"/>
      <c r="AJ34" s="8" t="n"/>
      <c r="AK34" s="35" t="inlineStr">
        <is>
          <t>SELO REGISTRADO</t>
        </is>
      </c>
      <c r="AU34" s="8" t="n"/>
    </row>
    <row r="35">
      <c r="A35" s="8" t="n"/>
      <c r="B35" s="8" t="n"/>
      <c r="C35" s="8" t="n"/>
      <c r="D35" s="8" t="n"/>
      <c r="E35" s="8" t="n"/>
      <c r="F35" s="8" t="n"/>
      <c r="G35" s="8" t="n"/>
      <c r="H35" s="8" t="n"/>
      <c r="I35" s="8" t="n"/>
      <c r="J35" s="8" t="n"/>
      <c r="K35" s="8" t="n"/>
      <c r="L35" s="8" t="n"/>
      <c r="M35" s="8" t="n"/>
      <c r="N35" s="8" t="n"/>
      <c r="O35" s="8" t="n"/>
      <c r="P35" s="8" t="n"/>
      <c r="Q35" s="8" t="n"/>
      <c r="R35" s="8" t="n"/>
      <c r="S35" s="8" t="n"/>
      <c r="T35" s="8" t="n"/>
      <c r="U35" s="8" t="n"/>
      <c r="V35" s="8" t="n"/>
      <c r="W35" s="8" t="n"/>
      <c r="X35" s="8" t="n"/>
      <c r="Y35" s="8" t="n"/>
      <c r="Z35" s="8" t="n"/>
      <c r="AA35" s="8" t="n"/>
      <c r="AB35" s="8" t="n"/>
      <c r="AC35" s="8" t="n"/>
      <c r="AD35" s="8" t="n"/>
      <c r="AE35" s="8" t="n"/>
      <c r="AF35" s="8" t="n"/>
      <c r="AG35" s="8" t="n"/>
      <c r="AH35" s="8" t="n"/>
      <c r="AI35" s="8" t="n"/>
      <c r="AJ35" s="8" t="n"/>
      <c r="AK35" s="8" t="n"/>
      <c r="AL35" s="8" t="n"/>
      <c r="AM35" s="8" t="n"/>
      <c r="AN35" s="8" t="n"/>
      <c r="AO35" s="8" t="n"/>
      <c r="AP35" s="8" t="n"/>
      <c r="AQ35" s="8" t="n"/>
      <c r="AR35" s="8" t="n"/>
      <c r="AS35" s="8" t="n"/>
      <c r="AT35" s="8" t="n"/>
      <c r="AU35" s="8" t="n"/>
    </row>
    <row r="36">
      <c r="A36" s="8" t="n"/>
      <c r="B36" s="8" t="n"/>
      <c r="C36" s="8" t="n"/>
      <c r="D36" s="8" t="n"/>
      <c r="E36" s="8" t="n"/>
      <c r="F36" s="8" t="n"/>
      <c r="G36" s="8" t="n"/>
      <c r="H36" s="8" t="n"/>
      <c r="I36" s="8" t="n"/>
      <c r="J36" s="8" t="n"/>
      <c r="K36" s="8" t="n"/>
      <c r="L36" s="8" t="n"/>
      <c r="M36" s="8" t="n"/>
      <c r="N36" s="8" t="n"/>
      <c r="O36" s="8" t="n"/>
      <c r="P36" s="8" t="n"/>
      <c r="Q36" s="8" t="n"/>
      <c r="R36" s="8" t="n"/>
      <c r="S36" s="8" t="n"/>
      <c r="T36" s="8" t="n"/>
      <c r="U36" s="8" t="n"/>
      <c r="V36" s="8" t="n"/>
      <c r="W36" s="8" t="n"/>
      <c r="X36" s="8" t="n"/>
      <c r="Y36" s="8" t="n"/>
      <c r="Z36" s="8" t="n"/>
      <c r="AA36" s="8" t="n"/>
      <c r="AB36" s="8" t="n"/>
      <c r="AC36" s="8" t="n"/>
      <c r="AD36" s="8" t="n"/>
      <c r="AE36" s="8" t="n"/>
      <c r="AF36" s="8" t="n"/>
      <c r="AG36" s="8" t="n"/>
      <c r="AH36" s="8" t="n"/>
      <c r="AI36" s="8" t="n"/>
      <c r="AJ36" s="8" t="n"/>
      <c r="AK36" s="8" t="n"/>
      <c r="AL36" s="8" t="n"/>
      <c r="AM36" s="8" t="n"/>
      <c r="AN36" s="8" t="n"/>
      <c r="AO36" s="8" t="n"/>
      <c r="AP36" s="8" t="n"/>
      <c r="AQ36" s="8" t="n"/>
      <c r="AR36" s="8" t="n"/>
      <c r="AS36" s="8" t="n"/>
      <c r="AT36" s="8" t="n"/>
      <c r="AU36" s="8" t="n"/>
    </row>
    <row r="37">
      <c r="A37" s="8" t="n"/>
      <c r="B37" s="8" t="n"/>
      <c r="C37" s="8" t="n"/>
      <c r="D37" s="8" t="n"/>
      <c r="E37" s="8" t="n"/>
      <c r="F37" s="8" t="n"/>
      <c r="G37" s="8" t="n"/>
      <c r="H37" s="8" t="n"/>
      <c r="I37" s="8" t="n"/>
      <c r="J37" s="8" t="n"/>
      <c r="K37" s="8" t="n"/>
      <c r="L37" s="8" t="n"/>
      <c r="M37" s="8" t="n"/>
      <c r="N37" s="8" t="n"/>
      <c r="O37" s="8" t="n"/>
      <c r="P37" s="8" t="n"/>
      <c r="Q37" s="8" t="n"/>
      <c r="R37" s="8" t="n"/>
      <c r="S37" s="8" t="n"/>
      <c r="T37" s="8" t="n"/>
      <c r="U37" s="8" t="n"/>
      <c r="V37" s="8" t="n"/>
      <c r="W37" s="8" t="n"/>
      <c r="X37" s="8" t="n"/>
      <c r="Y37" s="8" t="n"/>
      <c r="Z37" s="8" t="n"/>
      <c r="AA37" s="8" t="n"/>
      <c r="AB37" s="8" t="n"/>
      <c r="AC37" s="8" t="n"/>
      <c r="AD37" s="8" t="n"/>
      <c r="AE37" s="8" t="n"/>
      <c r="AF37" s="8" t="n"/>
      <c r="AG37" s="8" t="n"/>
      <c r="AH37" s="8" t="n"/>
      <c r="AI37" s="8" t="n"/>
      <c r="AJ37" s="8" t="n"/>
      <c r="AK37" s="8" t="n"/>
      <c r="AL37" s="8" t="n"/>
      <c r="AM37" s="8" t="n"/>
      <c r="AN37" s="8" t="n"/>
      <c r="AO37" s="8" t="n"/>
      <c r="AP37" s="8" t="n"/>
      <c r="AQ37" s="8" t="n"/>
      <c r="AR37" s="8" t="n"/>
      <c r="AS37" s="8" t="n"/>
      <c r="AT37" s="8" t="n"/>
      <c r="AU37" s="8" t="n"/>
    </row>
    <row r="38">
      <c r="A38" s="8" t="n"/>
      <c r="B38" s="8" t="n"/>
      <c r="C38" s="36" t="n"/>
      <c r="AE38" s="8" t="n"/>
      <c r="AF38" s="8" t="n"/>
      <c r="AG38" s="8" t="n"/>
      <c r="AH38" s="37">
        <f>IF(OR(FICHA!D11="",FICHA!D11="Escolha seu Caminho"),"—",UPPER(LEFT(FICHA!D11,3))&amp;"-"&amp;TEXT(FICHA!AH11,"00"))</f>
        <v/>
      </c>
      <c r="AU38" s="8" t="n"/>
    </row>
    <row r="39">
      <c r="A39" s="8" t="n"/>
      <c r="B39" s="8" t="n"/>
      <c r="C39" s="8" t="n"/>
      <c r="D39" s="8" t="n"/>
      <c r="E39" s="8" t="n"/>
      <c r="F39" s="8" t="n"/>
      <c r="G39" s="8" t="n"/>
      <c r="H39" s="8" t="n"/>
      <c r="I39" s="8" t="n"/>
      <c r="J39" s="8" t="n"/>
      <c r="K39" s="8" t="n"/>
      <c r="L39" s="8" t="n"/>
      <c r="M39" s="8" t="n"/>
      <c r="N39" s="8" t="n"/>
      <c r="O39" s="8" t="n"/>
      <c r="P39" s="8" t="n"/>
      <c r="Q39" s="8" t="n"/>
      <c r="R39" s="8" t="n"/>
      <c r="S39" s="8" t="n"/>
      <c r="T39" s="8" t="n"/>
      <c r="U39" s="8" t="n"/>
      <c r="V39" s="8" t="n"/>
      <c r="W39" s="8" t="n"/>
      <c r="X39" s="8" t="n"/>
      <c r="Y39" s="8" t="n"/>
      <c r="Z39" s="8" t="n"/>
      <c r="AA39" s="8" t="n"/>
      <c r="AB39" s="8" t="n"/>
      <c r="AC39" s="8" t="n"/>
      <c r="AD39" s="8" t="n"/>
      <c r="AE39" s="8" t="n"/>
      <c r="AF39" s="8" t="n"/>
      <c r="AG39" s="8" t="n"/>
      <c r="AH39" s="8" t="n"/>
      <c r="AI39" s="8" t="n"/>
      <c r="AJ39" s="8" t="n"/>
      <c r="AK39" s="8" t="n"/>
      <c r="AL39" s="8" t="n"/>
      <c r="AM39" s="8" t="n"/>
      <c r="AN39" s="8" t="n"/>
      <c r="AO39" s="8" t="n"/>
      <c r="AP39" s="8" t="n"/>
      <c r="AQ39" s="8" t="n"/>
      <c r="AR39" s="8" t="n"/>
      <c r="AS39" s="8" t="n"/>
      <c r="AT39" s="8" t="n"/>
      <c r="AU39" s="8" t="n"/>
    </row>
    <row r="40">
      <c r="A40" s="8" t="n"/>
      <c r="B40" s="8" t="n"/>
      <c r="C40" s="8" t="n"/>
      <c r="D40" s="8" t="n"/>
      <c r="E40" s="8" t="n"/>
      <c r="F40" s="8" t="n"/>
      <c r="G40" s="8" t="n"/>
      <c r="H40" s="8" t="n"/>
      <c r="I40" s="8" t="n"/>
      <c r="J40" s="8" t="n"/>
      <c r="K40" s="8" t="n"/>
      <c r="L40" s="8" t="n"/>
      <c r="M40" s="8" t="n"/>
      <c r="N40" s="8" t="n"/>
      <c r="O40" s="8" t="n"/>
      <c r="P40" s="8" t="n"/>
      <c r="Q40" s="8" t="n"/>
      <c r="R40" s="8" t="n"/>
      <c r="S40" s="8" t="n"/>
      <c r="T40" s="8" t="n"/>
      <c r="U40" s="8" t="n"/>
      <c r="V40" s="8" t="n"/>
      <c r="W40" s="8" t="n"/>
      <c r="X40" s="8" t="n"/>
      <c r="Y40" s="8" t="n"/>
      <c r="Z40" s="8" t="n"/>
      <c r="AA40" s="8" t="n"/>
      <c r="AB40" s="8" t="n"/>
      <c r="AC40" s="8" t="n"/>
      <c r="AD40" s="8" t="n"/>
      <c r="AE40" s="8" t="n"/>
      <c r="AF40" s="8" t="n"/>
      <c r="AG40" s="8" t="n"/>
      <c r="AH40" s="8" t="n"/>
      <c r="AI40" s="8" t="n"/>
      <c r="AJ40" s="8" t="n"/>
      <c r="AK40" s="8" t="n"/>
      <c r="AL40" s="8" t="n"/>
      <c r="AM40" s="8" t="n"/>
      <c r="AN40" s="8" t="n"/>
      <c r="AO40" s="8" t="n"/>
      <c r="AP40" s="8" t="n"/>
      <c r="AQ40" s="8" t="n"/>
      <c r="AR40" s="8" t="n"/>
      <c r="AS40" s="8" t="n"/>
      <c r="AT40" s="8" t="n"/>
      <c r="AU40" s="8" t="n"/>
    </row>
    <row r="41">
      <c r="A41" s="8" t="n"/>
      <c r="B41" s="8" t="n"/>
      <c r="C41" s="8" t="n"/>
      <c r="D41" s="8" t="n"/>
      <c r="E41" s="8" t="n"/>
      <c r="F41" s="8" t="n"/>
      <c r="G41" s="8" t="n"/>
      <c r="H41" s="8" t="n"/>
      <c r="I41" s="8" t="n"/>
      <c r="J41" s="8" t="n"/>
      <c r="K41" s="8" t="n"/>
      <c r="L41" s="8" t="n"/>
      <c r="M41" s="8" t="n"/>
      <c r="N41" s="8" t="n"/>
      <c r="O41" s="8" t="n"/>
      <c r="P41" s="8" t="n"/>
      <c r="Q41" s="8" t="n"/>
      <c r="R41" s="8" t="n"/>
      <c r="S41" s="8" t="n"/>
      <c r="T41" s="8" t="n"/>
      <c r="U41" s="8" t="n"/>
      <c r="V41" s="8" t="n"/>
      <c r="W41" s="8" t="n"/>
      <c r="X41" s="8" t="n"/>
      <c r="Y41" s="8" t="n"/>
      <c r="Z41" s="8" t="n"/>
      <c r="AA41" s="8" t="n"/>
      <c r="AB41" s="8" t="n"/>
      <c r="AC41" s="8" t="n"/>
      <c r="AD41" s="8" t="n"/>
      <c r="AE41" s="8" t="n"/>
      <c r="AF41" s="8" t="n"/>
      <c r="AG41" s="8" t="n"/>
      <c r="AH41" s="8" t="n"/>
      <c r="AI41" s="8" t="n"/>
      <c r="AJ41" s="8" t="n"/>
      <c r="AK41" s="8" t="n"/>
      <c r="AL41" s="8" t="n"/>
      <c r="AM41" s="8" t="n"/>
      <c r="AN41" s="8" t="n"/>
      <c r="AO41" s="8" t="n"/>
      <c r="AP41" s="8" t="n"/>
      <c r="AQ41" s="8" t="n"/>
      <c r="AR41" s="8" t="n"/>
      <c r="AS41" s="8" t="n"/>
      <c r="AT41" s="8" t="n"/>
      <c r="AU41" s="8" t="n"/>
    </row>
    <row r="42">
      <c r="A42" s="8" t="n"/>
      <c r="B42" s="8" t="n"/>
      <c r="C42" s="8" t="n"/>
      <c r="D42" s="8" t="n"/>
      <c r="E42" s="8" t="n"/>
      <c r="F42" s="8" t="n"/>
      <c r="G42" s="8" t="n"/>
      <c r="H42" s="8" t="n"/>
      <c r="I42" s="8" t="n"/>
      <c r="J42" s="8" t="n"/>
      <c r="K42" s="8" t="n"/>
      <c r="L42" s="8" t="n"/>
      <c r="M42" s="8" t="n"/>
      <c r="N42" s="8" t="n"/>
      <c r="O42" s="8" t="n"/>
      <c r="P42" s="8" t="n"/>
      <c r="Q42" s="8" t="n"/>
      <c r="R42" s="8" t="n"/>
      <c r="S42" s="8" t="n"/>
      <c r="T42" s="8" t="n"/>
      <c r="U42" s="8" t="n"/>
      <c r="V42" s="8" t="n"/>
      <c r="W42" s="8" t="n"/>
      <c r="X42" s="8" t="n"/>
      <c r="Y42" s="8" t="n"/>
      <c r="Z42" s="8" t="n"/>
      <c r="AA42" s="8" t="n"/>
      <c r="AB42" s="8" t="n"/>
      <c r="AC42" s="8" t="n"/>
      <c r="AD42" s="8" t="n"/>
      <c r="AE42" s="8" t="n"/>
      <c r="AF42" s="8" t="n"/>
      <c r="AG42" s="8" t="n"/>
      <c r="AH42" s="8" t="n"/>
      <c r="AI42" s="8" t="n"/>
      <c r="AJ42" s="8" t="n"/>
      <c r="AK42" s="8" t="n"/>
      <c r="AL42" s="8" t="n"/>
      <c r="AM42" s="8" t="n"/>
      <c r="AN42" s="8" t="n"/>
      <c r="AO42" s="8" t="n"/>
      <c r="AP42" s="8" t="n"/>
      <c r="AQ42" s="8" t="n"/>
      <c r="AR42" s="8" t="n"/>
      <c r="AS42" s="8" t="n"/>
      <c r="AT42" s="8" t="n"/>
      <c r="AU42" s="8" t="n"/>
    </row>
    <row r="43">
      <c r="A43" s="8" t="n"/>
      <c r="B43" s="8" t="n"/>
      <c r="C43" s="8" t="n"/>
      <c r="D43" s="8" t="n"/>
      <c r="E43" s="8" t="n"/>
      <c r="F43" s="8" t="n"/>
      <c r="G43" s="8" t="n"/>
      <c r="H43" s="8" t="n"/>
      <c r="I43" s="8" t="n"/>
      <c r="J43" s="8" t="n"/>
      <c r="K43" s="8" t="n"/>
      <c r="L43" s="8" t="n"/>
      <c r="M43" s="8" t="n"/>
      <c r="N43" s="8" t="n"/>
      <c r="O43" s="8" t="n"/>
      <c r="P43" s="8" t="n"/>
      <c r="Q43" s="8" t="n"/>
      <c r="R43" s="8" t="n"/>
      <c r="S43" s="8" t="n"/>
      <c r="T43" s="8" t="n"/>
      <c r="U43" s="8" t="n"/>
      <c r="V43" s="8" t="n"/>
      <c r="W43" s="8" t="n"/>
      <c r="X43" s="8" t="n"/>
      <c r="Y43" s="8" t="n"/>
      <c r="Z43" s="8" t="n"/>
      <c r="AA43" s="8" t="n"/>
      <c r="AB43" s="8" t="n"/>
      <c r="AC43" s="8" t="n"/>
      <c r="AD43" s="8" t="n"/>
      <c r="AE43" s="8" t="n"/>
      <c r="AF43" s="8" t="n"/>
      <c r="AG43" s="8" t="n"/>
      <c r="AH43" s="8" t="n"/>
      <c r="AI43" s="8" t="n"/>
      <c r="AJ43" s="8" t="n"/>
      <c r="AK43" s="8" t="n"/>
      <c r="AL43" s="8" t="n"/>
      <c r="AM43" s="8" t="n"/>
      <c r="AN43" s="8" t="n"/>
      <c r="AO43" s="8" t="n"/>
      <c r="AP43" s="8" t="n"/>
      <c r="AQ43" s="8" t="n"/>
      <c r="AR43" s="8" t="n"/>
      <c r="AS43" s="8" t="n"/>
      <c r="AT43" s="8" t="n"/>
      <c r="AU43" s="8" t="n"/>
    </row>
    <row r="44">
      <c r="A44" s="8" t="n"/>
      <c r="B44" s="8" t="n"/>
      <c r="C44" s="8" t="n"/>
      <c r="D44" s="8" t="n"/>
      <c r="E44" s="8" t="n"/>
      <c r="F44" s="8" t="n"/>
      <c r="G44" s="8" t="n"/>
      <c r="H44" s="8" t="n"/>
      <c r="I44" s="8" t="n"/>
      <c r="J44" s="8" t="n"/>
      <c r="K44" s="8" t="n"/>
      <c r="L44" s="8" t="n"/>
      <c r="M44" s="8" t="n"/>
      <c r="N44" s="8" t="n"/>
      <c r="O44" s="8" t="n"/>
      <c r="P44" s="8" t="n"/>
      <c r="Q44" s="8" t="n"/>
      <c r="R44" s="8" t="n"/>
      <c r="S44" s="8" t="n"/>
      <c r="T44" s="8" t="n"/>
      <c r="U44" s="8" t="n"/>
      <c r="V44" s="8" t="n"/>
      <c r="W44" s="8" t="n"/>
      <c r="X44" s="8" t="n"/>
      <c r="Y44" s="8" t="n"/>
      <c r="Z44" s="8" t="n"/>
      <c r="AA44" s="8" t="n"/>
      <c r="AB44" s="8" t="n"/>
      <c r="AC44" s="8" t="n"/>
      <c r="AD44" s="8" t="n"/>
      <c r="AE44" s="8" t="n"/>
      <c r="AF44" s="8" t="n"/>
      <c r="AG44" s="8" t="n"/>
      <c r="AH44" s="8" t="n"/>
      <c r="AI44" s="8" t="n"/>
      <c r="AJ44" s="8" t="n"/>
      <c r="AK44" s="8" t="n"/>
      <c r="AL44" s="8" t="n"/>
      <c r="AM44" s="8" t="n"/>
      <c r="AN44" s="8" t="n"/>
      <c r="AO44" s="8" t="n"/>
      <c r="AP44" s="8" t="n"/>
      <c r="AQ44" s="8" t="n"/>
      <c r="AR44" s="8" t="n"/>
      <c r="AS44" s="8" t="n"/>
      <c r="AT44" s="8" t="n"/>
      <c r="AU44" s="8" t="n"/>
    </row>
    <row r="45">
      <c r="A45" s="38" t="n"/>
      <c r="B45" s="38" t="n"/>
      <c r="C45" s="38" t="n"/>
      <c r="D45" s="38" t="n"/>
      <c r="E45" s="38" t="n"/>
      <c r="F45" s="38" t="n"/>
      <c r="G45" s="38" t="n"/>
      <c r="H45" s="38" t="n"/>
      <c r="I45" s="38" t="n"/>
      <c r="J45" s="38" t="n"/>
      <c r="K45" s="38" t="n"/>
      <c r="L45" s="38" t="n"/>
      <c r="M45" s="38" t="n"/>
      <c r="N45" s="38" t="n"/>
      <c r="O45" s="38" t="n"/>
      <c r="P45" s="38" t="n"/>
      <c r="Q45" s="38" t="n"/>
      <c r="R45" s="38" t="n"/>
      <c r="S45" s="38" t="n"/>
      <c r="T45" s="38" t="n"/>
      <c r="U45" s="38" t="n"/>
      <c r="V45" s="38" t="n"/>
      <c r="W45" s="38" t="n"/>
      <c r="X45" s="38" t="n"/>
      <c r="Y45" s="38" t="n"/>
      <c r="Z45" s="38" t="n"/>
      <c r="AA45" s="38" t="n"/>
      <c r="AB45" s="38" t="n"/>
      <c r="AC45" s="38" t="n"/>
      <c r="AD45" s="38" t="n"/>
      <c r="AE45" s="38" t="n"/>
      <c r="AF45" s="38" t="n"/>
      <c r="AG45" s="38" t="n"/>
      <c r="AH45" s="38" t="n"/>
      <c r="AI45" s="38" t="n"/>
      <c r="AJ45" s="38" t="n"/>
      <c r="AK45" s="38" t="n"/>
      <c r="AL45" s="38" t="n"/>
      <c r="AM45" s="38" t="n"/>
      <c r="AN45" s="38" t="n"/>
      <c r="AO45" s="38" t="n"/>
      <c r="AP45" s="38" t="n"/>
      <c r="AQ45" s="38" t="n"/>
      <c r="AR45" s="38" t="n"/>
      <c r="AS45" s="38" t="n"/>
      <c r="AT45" s="38" t="n"/>
      <c r="AU45" s="38" t="n"/>
    </row>
    <row r="46">
      <c r="A46" s="38" t="n"/>
      <c r="B46" s="38" t="n"/>
      <c r="C46" s="38" t="n"/>
      <c r="D46" s="38" t="n"/>
      <c r="E46" s="38" t="n"/>
      <c r="F46" s="38" t="n"/>
      <c r="G46" s="38" t="n"/>
      <c r="H46" s="38" t="n"/>
      <c r="I46" s="38" t="n"/>
      <c r="J46" s="38" t="n"/>
      <c r="K46" s="38" t="n"/>
      <c r="L46" s="38" t="n"/>
      <c r="M46" s="38" t="n"/>
      <c r="N46" s="38" t="n"/>
      <c r="O46" s="38" t="n"/>
      <c r="P46" s="38" t="n"/>
      <c r="Q46" s="38" t="n"/>
      <c r="R46" s="38" t="n"/>
      <c r="S46" s="38" t="n"/>
      <c r="T46" s="38" t="n"/>
      <c r="U46" s="38" t="n"/>
      <c r="V46" s="38" t="n"/>
      <c r="W46" s="38" t="n"/>
      <c r="X46" s="38" t="n"/>
      <c r="Y46" s="38" t="n"/>
      <c r="Z46" s="38" t="n"/>
      <c r="AA46" s="38" t="n"/>
      <c r="AB46" s="38" t="n"/>
      <c r="AC46" s="38" t="n"/>
      <c r="AD46" s="38" t="n"/>
      <c r="AE46" s="38" t="n"/>
      <c r="AF46" s="38" t="n"/>
      <c r="AG46" s="38" t="n"/>
      <c r="AH46" s="38" t="n"/>
      <c r="AI46" s="38" t="n"/>
      <c r="AJ46" s="38" t="n"/>
      <c r="AK46" s="38" t="n"/>
      <c r="AL46" s="38" t="n"/>
      <c r="AM46" s="38" t="n"/>
      <c r="AN46" s="38" t="n"/>
      <c r="AO46" s="38" t="n"/>
      <c r="AP46" s="38" t="n"/>
      <c r="AQ46" s="38" t="n"/>
      <c r="AR46" s="38" t="n"/>
      <c r="AS46" s="38" t="n"/>
      <c r="AT46" s="38" t="n"/>
      <c r="AU46" s="38" t="n"/>
    </row>
    <row r="47">
      <c r="A47" s="39" t="n"/>
      <c r="B47" s="39" t="n"/>
      <c r="C47" s="39" t="n"/>
      <c r="D47" s="39" t="n"/>
      <c r="E47" s="39" t="n"/>
      <c r="F47" s="39" t="n"/>
      <c r="G47" s="39" t="n"/>
      <c r="H47" s="39" t="n"/>
      <c r="I47" s="39" t="n"/>
      <c r="J47" s="39" t="n"/>
      <c r="K47" s="39" t="n"/>
      <c r="L47" s="39" t="n"/>
      <c r="M47" s="39" t="n"/>
      <c r="N47" s="39" t="n"/>
      <c r="O47" s="39" t="n"/>
      <c r="P47" s="39" t="n"/>
      <c r="Q47" s="39" t="n"/>
      <c r="R47" s="39" t="n"/>
      <c r="S47" s="39" t="n"/>
      <c r="T47" s="39" t="n"/>
      <c r="U47" s="39" t="n"/>
      <c r="V47" s="39" t="n"/>
      <c r="W47" s="39" t="n"/>
      <c r="X47" s="39" t="n"/>
      <c r="Y47" s="39" t="n"/>
      <c r="Z47" s="39" t="n"/>
      <c r="AA47" s="39" t="n"/>
      <c r="AB47" s="39" t="n"/>
      <c r="AC47" s="39" t="n"/>
      <c r="AD47" s="39" t="n"/>
      <c r="AE47" s="39" t="n"/>
      <c r="AF47" s="39" t="n"/>
      <c r="AG47" s="39" t="n"/>
      <c r="AH47" s="39" t="n"/>
      <c r="AI47" s="39" t="n"/>
      <c r="AJ47" s="39" t="n"/>
      <c r="AK47" s="39" t="n"/>
      <c r="AL47" s="39" t="n"/>
      <c r="AM47" s="39" t="n"/>
      <c r="AN47" s="39" t="n"/>
      <c r="AO47" s="39" t="n"/>
      <c r="AP47" s="39" t="n"/>
      <c r="AQ47" s="39" t="n"/>
      <c r="AR47" s="39" t="n"/>
      <c r="AS47" s="39" t="n"/>
      <c r="AT47" s="39" t="n"/>
      <c r="AU47" s="39" t="n"/>
    </row>
    <row r="48">
      <c r="A48" s="39" t="n"/>
      <c r="B48" s="39" t="n"/>
      <c r="C48" s="39" t="n"/>
      <c r="D48" s="39" t="n"/>
      <c r="E48" s="39" t="n"/>
      <c r="F48" s="39" t="n"/>
      <c r="G48" s="39" t="n"/>
      <c r="H48" s="39" t="n"/>
      <c r="I48" s="39" t="n"/>
      <c r="J48" s="39" t="n"/>
      <c r="K48" s="39" t="n"/>
      <c r="L48" s="39" t="n"/>
      <c r="M48" s="39" t="n"/>
      <c r="N48" s="39" t="n"/>
      <c r="O48" s="39" t="n"/>
      <c r="P48" s="39" t="n"/>
      <c r="Q48" s="39" t="n"/>
      <c r="R48" s="39" t="n"/>
      <c r="S48" s="39" t="n"/>
      <c r="T48" s="39" t="n"/>
      <c r="U48" s="39" t="n"/>
      <c r="V48" s="39" t="n"/>
      <c r="W48" s="39" t="n"/>
      <c r="X48" s="39" t="n"/>
      <c r="Y48" s="39" t="n"/>
      <c r="Z48" s="39" t="n"/>
      <c r="AA48" s="39" t="n"/>
      <c r="AB48" s="39" t="n"/>
      <c r="AC48" s="39" t="n"/>
      <c r="AD48" s="39" t="n"/>
      <c r="AE48" s="39" t="n"/>
      <c r="AF48" s="39" t="n"/>
      <c r="AG48" s="39" t="n"/>
      <c r="AH48" s="39" t="n"/>
      <c r="AI48" s="39" t="n"/>
      <c r="AJ48" s="39" t="n"/>
      <c r="AK48" s="39" t="n"/>
      <c r="AL48" s="39" t="n"/>
      <c r="AM48" s="39" t="n"/>
      <c r="AN48" s="39" t="n"/>
      <c r="AO48" s="39" t="n"/>
      <c r="AP48" s="39" t="n"/>
      <c r="AQ48" s="39" t="n"/>
      <c r="AR48" s="39" t="n"/>
      <c r="AS48" s="39" t="n"/>
      <c r="AT48" s="39" t="n"/>
      <c r="AU48" s="39" t="n"/>
    </row>
    <row r="49">
      <c r="A49" s="39" t="n"/>
      <c r="B49" s="39" t="n"/>
      <c r="C49" s="39" t="n"/>
      <c r="D49" s="39" t="n"/>
      <c r="E49" s="39" t="n"/>
      <c r="F49" s="39" t="n"/>
      <c r="G49" s="39" t="n"/>
      <c r="H49" s="39" t="n"/>
      <c r="I49" s="39" t="n"/>
      <c r="J49" s="39" t="n"/>
      <c r="K49" s="39" t="n"/>
      <c r="L49" s="39" t="n"/>
      <c r="M49" s="39" t="n"/>
      <c r="N49" s="39" t="n"/>
      <c r="O49" s="39" t="n"/>
      <c r="P49" s="39" t="n"/>
      <c r="Q49" s="39" t="n"/>
      <c r="R49" s="39" t="n"/>
      <c r="S49" s="39" t="n"/>
      <c r="T49" s="39" t="n"/>
      <c r="U49" s="39" t="n"/>
      <c r="V49" s="39" t="n"/>
      <c r="W49" s="39" t="n"/>
      <c r="X49" s="39" t="n"/>
      <c r="Y49" s="39" t="n"/>
      <c r="Z49" s="39" t="n"/>
      <c r="AA49" s="39" t="n"/>
      <c r="AB49" s="39" t="n"/>
      <c r="AC49" s="39" t="n"/>
      <c r="AD49" s="39" t="n"/>
      <c r="AE49" s="39" t="n"/>
      <c r="AF49" s="39" t="n"/>
      <c r="AG49" s="39" t="n"/>
      <c r="AH49" s="39" t="n"/>
      <c r="AI49" s="39" t="n"/>
      <c r="AJ49" s="39" t="n"/>
      <c r="AK49" s="39" t="n"/>
      <c r="AL49" s="39" t="n"/>
      <c r="AM49" s="39" t="n"/>
      <c r="AN49" s="39" t="n"/>
      <c r="AO49" s="39" t="n"/>
      <c r="AP49" s="39" t="n"/>
      <c r="AQ49" s="39" t="n"/>
      <c r="AR49" s="39" t="n"/>
      <c r="AS49" s="39" t="n"/>
      <c r="AT49" s="39" t="n"/>
      <c r="AU49" s="39" t="n"/>
    </row>
    <row r="50">
      <c r="A50" s="39" t="n"/>
      <c r="B50" s="39" t="n"/>
      <c r="C50" s="39" t="n"/>
      <c r="D50" s="39" t="n"/>
      <c r="E50" s="39" t="n"/>
      <c r="F50" s="39" t="n"/>
      <c r="G50" s="39" t="n"/>
      <c r="H50" s="39" t="n"/>
      <c r="I50" s="39" t="n"/>
      <c r="J50" s="39" t="n"/>
      <c r="K50" s="39" t="n"/>
      <c r="L50" s="39" t="n"/>
      <c r="M50" s="39" t="n"/>
      <c r="N50" s="39" t="n"/>
      <c r="O50" s="39" t="n"/>
      <c r="P50" s="39" t="n"/>
      <c r="Q50" s="39" t="n"/>
      <c r="R50" s="39" t="n"/>
      <c r="S50" s="39" t="n"/>
      <c r="T50" s="39" t="n"/>
      <c r="U50" s="39" t="n"/>
      <c r="V50" s="39" t="n"/>
      <c r="W50" s="39" t="n"/>
      <c r="X50" s="39" t="n"/>
      <c r="Y50" s="39" t="n"/>
      <c r="Z50" s="39" t="n"/>
      <c r="AA50" s="39" t="n"/>
      <c r="AB50" s="39" t="n"/>
      <c r="AC50" s="39" t="n"/>
      <c r="AD50" s="39" t="n"/>
      <c r="AE50" s="39" t="n"/>
      <c r="AF50" s="39" t="n"/>
      <c r="AG50" s="39" t="n"/>
      <c r="AH50" s="39" t="n"/>
      <c r="AI50" s="39" t="n"/>
      <c r="AJ50" s="39" t="n"/>
      <c r="AK50" s="39" t="n"/>
      <c r="AL50" s="39" t="n"/>
      <c r="AM50" s="39" t="n"/>
      <c r="AN50" s="39" t="n"/>
      <c r="AO50" s="39" t="n"/>
      <c r="AP50" s="39" t="n"/>
      <c r="AQ50" s="39" t="n"/>
      <c r="AR50" s="39" t="n"/>
      <c r="AS50" s="39" t="n"/>
      <c r="AT50" s="39" t="n"/>
      <c r="AU50" s="39" t="n"/>
    </row>
  </sheetData>
  <mergeCells count="32">
    <mergeCell ref="AK34:AT34"/>
    <mergeCell ref="O13:Y13"/>
    <mergeCell ref="AK22:AT22"/>
    <mergeCell ref="C2:J3"/>
    <mergeCell ref="O17:X17"/>
    <mergeCell ref="O26:AF26"/>
    <mergeCell ref="AH2:AT2"/>
    <mergeCell ref="O15:AH15"/>
    <mergeCell ref="D33:M33"/>
    <mergeCell ref="C38:AD38"/>
    <mergeCell ref="AK17:AT17"/>
    <mergeCell ref="O27:AH28"/>
    <mergeCell ref="AH3:AT3"/>
    <mergeCell ref="L2:AD2"/>
    <mergeCell ref="C8:K21"/>
    <mergeCell ref="O32:AH32"/>
    <mergeCell ref="O18:X18"/>
    <mergeCell ref="AK18:AT18"/>
    <mergeCell ref="L3:AD3"/>
    <mergeCell ref="AH38:AT38"/>
    <mergeCell ref="Z22:AI22"/>
    <mergeCell ref="O9:AH12"/>
    <mergeCell ref="O22:X22"/>
    <mergeCell ref="AL26:AO30"/>
    <mergeCell ref="O8:Y8"/>
    <mergeCell ref="Z18:AI18"/>
    <mergeCell ref="A5:AR5"/>
    <mergeCell ref="Z21:AI21"/>
    <mergeCell ref="AK21:AT21"/>
    <mergeCell ref="Z17:AI17"/>
    <mergeCell ref="O21:X21"/>
    <mergeCell ref="O30:AH31"/>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U150"/>
  <sheetViews>
    <sheetView showGridLines="0" workbookViewId="0">
      <selection activeCell="A1" sqref="A1"/>
    </sheetView>
  </sheetViews>
  <sheetFormatPr baseColWidth="8" defaultRowHeight="15.75" customHeight="1"/>
  <cols>
    <col width="4" customWidth="1" min="1" max="1"/>
    <col width="4" customWidth="1" min="2" max="2"/>
    <col width="4" customWidth="1" min="3" max="3"/>
    <col width="4" customWidth="1" min="4" max="4"/>
    <col width="4" customWidth="1" min="5" max="5"/>
    <col width="4" customWidth="1" min="6" max="6"/>
    <col width="4" customWidth="1" min="7" max="7"/>
    <col width="4" customWidth="1" min="8" max="8"/>
    <col width="4" customWidth="1" min="9" max="9"/>
    <col width="4" customWidth="1" min="10" max="10"/>
    <col width="4" customWidth="1" min="11" max="11"/>
    <col width="4" customWidth="1" min="12" max="12"/>
    <col width="4" customWidth="1" min="13" max="13"/>
    <col width="4" customWidth="1" min="14" max="14"/>
    <col width="4" customWidth="1" min="15" max="15"/>
    <col width="4" customWidth="1" min="16" max="16"/>
    <col width="4" customWidth="1" min="17" max="17"/>
    <col width="4" customWidth="1" min="18" max="18"/>
    <col width="4" customWidth="1" min="19" max="19"/>
    <col width="4" customWidth="1" min="20" max="20"/>
    <col width="4" customWidth="1" min="21" max="21"/>
    <col width="4" customWidth="1" min="22" max="22"/>
    <col width="4" customWidth="1" min="23" max="23"/>
    <col width="4" customWidth="1" min="24" max="24"/>
    <col width="4" customWidth="1" min="25" max="25"/>
    <col width="4" customWidth="1" min="26" max="26"/>
    <col width="4" customWidth="1" min="27" max="27"/>
    <col width="4" customWidth="1" min="28" max="28"/>
    <col width="4" customWidth="1" min="29" max="29"/>
    <col width="4" customWidth="1" min="30" max="30"/>
    <col width="4" customWidth="1" min="31" max="31"/>
    <col width="4" customWidth="1" min="32" max="32"/>
    <col width="4" customWidth="1" min="33" max="33"/>
    <col width="4" customWidth="1" min="34" max="34"/>
    <col width="4" customWidth="1" min="35" max="35"/>
    <col width="4" customWidth="1" min="36" max="36"/>
    <col width="4" customWidth="1" min="37" max="37"/>
    <col width="4" customWidth="1" min="38" max="38"/>
    <col width="4" customWidth="1" min="39" max="39"/>
    <col width="4" customWidth="1" min="40" max="40"/>
    <col width="4" customWidth="1" min="41" max="41"/>
    <col width="4" customWidth="1" min="42" max="42"/>
    <col width="4" customWidth="1" min="43" max="43"/>
    <col width="4" customWidth="1" min="44" max="44"/>
    <col width="4" customWidth="1" min="45" max="45"/>
    <col width="4" customWidth="1" min="46" max="46"/>
    <col width="4" customWidth="1" min="47" max="47"/>
  </cols>
  <sheetData>
    <row r="1">
      <c r="A1" s="8" t="n"/>
      <c r="B1" s="8" t="n"/>
      <c r="C1" s="8" t="n"/>
      <c r="D1" s="8" t="n"/>
      <c r="E1" s="8" t="n"/>
      <c r="F1" s="8" t="n"/>
      <c r="G1" s="8" t="n"/>
      <c r="H1" s="8" t="n"/>
      <c r="I1" s="8" t="n"/>
      <c r="J1" s="8" t="n"/>
      <c r="K1" s="8" t="n"/>
      <c r="L1" s="8" t="n"/>
      <c r="M1" s="8" t="n"/>
      <c r="N1" s="8" t="n"/>
      <c r="O1" s="8" t="n"/>
      <c r="P1" s="8" t="n"/>
      <c r="Q1" s="8" t="n"/>
      <c r="R1" s="8" t="n"/>
      <c r="S1" s="8" t="n"/>
      <c r="T1" s="8" t="n"/>
      <c r="U1" s="8" t="n"/>
      <c r="V1" s="8" t="n"/>
      <c r="W1" s="8" t="n"/>
      <c r="X1" s="8" t="n"/>
      <c r="Y1" s="8" t="n"/>
      <c r="Z1" s="8" t="n"/>
      <c r="AA1" s="8" t="n"/>
      <c r="AB1" s="8" t="n"/>
      <c r="AC1" s="8" t="n"/>
      <c r="AD1" s="8" t="n"/>
      <c r="AE1" s="8" t="n"/>
      <c r="AF1" s="8" t="n"/>
      <c r="AG1" s="8" t="n"/>
      <c r="AH1" s="8" t="n"/>
      <c r="AI1" s="8" t="n"/>
      <c r="AJ1" s="8" t="n"/>
      <c r="AK1" s="8" t="n"/>
      <c r="AL1" s="8" t="n"/>
      <c r="AM1" s="8" t="n"/>
      <c r="AN1" s="8" t="n"/>
      <c r="AO1" s="8" t="n"/>
      <c r="AP1" s="8" t="n"/>
      <c r="AQ1" s="8" t="n"/>
      <c r="AR1" s="8" t="n"/>
      <c r="AS1" s="8" t="n"/>
      <c r="AT1" s="8" t="n"/>
      <c r="AU1" s="8" t="n"/>
    </row>
    <row r="2">
      <c r="A2" s="8" t="n"/>
      <c r="B2" s="8" t="n"/>
      <c r="C2" s="8" t="n"/>
      <c r="D2" s="40" t="inlineStr">
        <is>
          <t>呪術</t>
        </is>
      </c>
      <c r="H2" s="41" t="inlineStr">
        <is>
          <t>FICHA DE REGISTRO</t>
        </is>
      </c>
      <c r="AA2" s="8" t="n"/>
      <c r="AB2" s="42">
        <f>IF(OR(CARTEIRA!$O$9="",CARTEIRA!$O$9="Coloque o nome do personagem aqui"),"",CARTEIRA!$O$9)</f>
        <v/>
      </c>
      <c r="AU2" s="8" t="n"/>
    </row>
    <row r="3">
      <c r="A3" s="8" t="n"/>
      <c r="B3" s="8" t="n"/>
      <c r="C3" s="8" t="n"/>
      <c r="AA3" s="8" t="n"/>
      <c r="AU3" s="8" t="n"/>
    </row>
    <row r="4">
      <c r="A4" s="8" t="n"/>
      <c r="B4" s="8" t="n"/>
      <c r="C4" s="8" t="n"/>
      <c r="H4" s="43">
        <f>DADOS!$F$1&amp;" · "&amp;IF(DADOS!$B$1=DADOS!$D$1,"v"&amp;DADOS!$B$1&amp;" · em dia","⚠ v"&amp;DADOS!$B$1&amp;" · a atual é a v"&amp;DADOS!$D$1)</f>
        <v/>
      </c>
      <c r="AA4" s="8" t="n"/>
      <c r="AB4" s="44">
        <f>IF(OR($D$11="",$D$11="Escolha seu Caminho"),"",$D$11&amp;IF(OR($N$11="",$N$11="Escolha sua Trilha"),""," · "&amp;$N$11)&amp;" · nível "&amp;$AH$11)</f>
        <v/>
      </c>
      <c r="AU4" s="8" t="n"/>
    </row>
    <row r="5">
      <c r="A5" s="8" t="n"/>
      <c r="B5" s="8" t="n"/>
      <c r="C5" s="28" t="n"/>
      <c r="D5" s="28" t="n"/>
      <c r="E5" s="28" t="n"/>
      <c r="F5" s="28" t="n"/>
      <c r="G5" s="28" t="n"/>
      <c r="H5" s="28" t="n"/>
      <c r="I5" s="28" t="n"/>
      <c r="J5" s="28" t="n"/>
      <c r="K5" s="28" t="n"/>
      <c r="L5" s="28" t="n"/>
      <c r="M5" s="28" t="n"/>
      <c r="N5" s="28" t="n"/>
      <c r="O5" s="28" t="n"/>
      <c r="P5" s="28" t="n"/>
      <c r="Q5" s="28" t="n"/>
      <c r="R5" s="28" t="n"/>
      <c r="S5" s="28" t="n"/>
      <c r="T5" s="28" t="n"/>
      <c r="U5" s="28" t="n"/>
      <c r="V5" s="28" t="n"/>
      <c r="W5" s="28" t="n"/>
      <c r="X5" s="28" t="n"/>
      <c r="Y5" s="28" t="n"/>
      <c r="Z5" s="28" t="n"/>
      <c r="AA5" s="28" t="n"/>
      <c r="AB5" s="28" t="n"/>
      <c r="AC5" s="28" t="n"/>
      <c r="AD5" s="28" t="n"/>
      <c r="AE5" s="28" t="n"/>
      <c r="AF5" s="28" t="n"/>
      <c r="AG5" s="28" t="n"/>
      <c r="AH5" s="28" t="n"/>
      <c r="AI5" s="28" t="n"/>
      <c r="AJ5" s="28" t="n"/>
      <c r="AK5" s="28" t="n"/>
      <c r="AL5" s="28" t="n"/>
      <c r="AM5" s="28" t="n"/>
      <c r="AN5" s="28" t="n"/>
      <c r="AO5" s="28" t="n"/>
      <c r="AP5" s="28" t="n"/>
      <c r="AQ5" s="28" t="n"/>
      <c r="AR5" s="28" t="n"/>
      <c r="AS5" s="28" t="n"/>
      <c r="AT5" s="28" t="n"/>
      <c r="AU5" s="28" t="n"/>
    </row>
    <row r="6">
      <c r="A6" s="8" t="n"/>
      <c r="B6" s="22" t="n"/>
      <c r="C6" s="38" t="n"/>
      <c r="AS6" s="38" t="n"/>
      <c r="AT6" s="38" t="n"/>
      <c r="AU6" s="38" t="n"/>
    </row>
    <row r="7">
      <c r="A7" s="8" t="n"/>
      <c r="B7" s="22" t="n"/>
      <c r="C7" s="38" t="n"/>
      <c r="D7" s="38" t="n"/>
      <c r="E7" s="38" t="n"/>
      <c r="F7" s="38" t="n"/>
      <c r="G7" s="38" t="n"/>
      <c r="H7" s="38" t="n"/>
      <c r="I7" s="38" t="n"/>
      <c r="J7" s="38" t="n"/>
      <c r="K7" s="38" t="n"/>
      <c r="L7" s="38" t="n"/>
      <c r="M7" s="38" t="n"/>
      <c r="N7" s="38" t="n"/>
      <c r="O7" s="38" t="n"/>
      <c r="P7" s="38" t="n"/>
      <c r="Q7" s="38" t="n"/>
      <c r="R7" s="38" t="n"/>
      <c r="S7" s="38" t="n"/>
      <c r="T7" s="38" t="n"/>
      <c r="U7" s="38" t="n"/>
      <c r="V7" s="38" t="n"/>
      <c r="W7" s="38" t="n"/>
      <c r="X7" s="38" t="n"/>
      <c r="Y7" s="38" t="n"/>
      <c r="Z7" s="38" t="n"/>
      <c r="AA7" s="38" t="n"/>
      <c r="AB7" s="38" t="n"/>
      <c r="AC7" s="38" t="n"/>
      <c r="AD7" s="38" t="n"/>
      <c r="AE7" s="38" t="n"/>
      <c r="AF7" s="38" t="n"/>
      <c r="AG7" s="38" t="n"/>
      <c r="AH7" s="38" t="n"/>
      <c r="AI7" s="38" t="n"/>
      <c r="AJ7" s="38" t="n"/>
      <c r="AK7" s="38" t="n"/>
      <c r="AL7" s="38" t="n"/>
      <c r="AM7" s="38" t="n"/>
      <c r="AN7" s="38" t="n"/>
      <c r="AO7" s="38" t="n"/>
      <c r="AP7" s="38" t="n"/>
      <c r="AQ7" s="38" t="n"/>
      <c r="AR7" s="38" t="n"/>
      <c r="AS7" s="38" t="n"/>
      <c r="AT7" s="38" t="n"/>
    </row>
    <row r="8" ht="27" customHeight="1">
      <c r="A8" s="45" t="inlineStr">
        <is>
          <t>PROJETO M</t>
        </is>
      </c>
      <c r="B8" s="17" t="n"/>
      <c r="C8" s="38" t="n"/>
      <c r="D8" s="46" t="n">
        <v>1</v>
      </c>
      <c r="E8" s="14" t="n"/>
      <c r="F8" s="15" t="n"/>
      <c r="G8" s="47" t="inlineStr">
        <is>
          <t>PERFIL AMALDIÇOADO</t>
        </is>
      </c>
      <c r="H8" s="14" t="n"/>
      <c r="I8" s="14" t="n"/>
      <c r="J8" s="14" t="n"/>
      <c r="K8" s="14" t="n"/>
      <c r="L8" s="14" t="n"/>
      <c r="M8" s="14" t="n"/>
      <c r="N8" s="14" t="n"/>
      <c r="O8" s="14" t="n"/>
      <c r="P8" s="14" t="n"/>
      <c r="Q8" s="14" t="n"/>
      <c r="R8" s="14" t="n"/>
      <c r="S8" s="14" t="n"/>
      <c r="T8" s="14" t="n"/>
      <c r="U8" s="14" t="n"/>
      <c r="V8" s="14" t="n"/>
      <c r="W8" s="14" t="n"/>
      <c r="X8" s="15" t="n"/>
      <c r="Y8" s="48" t="n"/>
      <c r="Z8" s="48" t="n"/>
      <c r="AA8" s="48" t="n"/>
      <c r="AB8" s="48" t="n"/>
      <c r="AC8" s="48" t="n"/>
      <c r="AD8" s="48" t="n"/>
      <c r="AE8" s="48" t="n"/>
      <c r="AF8" s="48" t="n"/>
      <c r="AG8" s="48" t="n"/>
      <c r="AH8" s="48" t="n"/>
      <c r="AI8" s="48" t="n"/>
      <c r="AJ8" s="48" t="n"/>
      <c r="AK8" s="48" t="n"/>
      <c r="AL8" s="48" t="n"/>
      <c r="AM8" s="48" t="n"/>
      <c r="AN8" s="48" t="n"/>
      <c r="AO8" s="48" t="n"/>
      <c r="AP8" s="48" t="n"/>
      <c r="AQ8" s="48" t="n"/>
      <c r="AR8" s="48" t="n"/>
      <c r="AS8" s="48" t="n"/>
      <c r="AT8" s="48" t="n"/>
    </row>
    <row r="9">
      <c r="B9" s="17" t="n"/>
      <c r="C9" s="38" t="n"/>
      <c r="D9" s="18" t="n"/>
      <c r="E9" s="19" t="n"/>
      <c r="F9" s="20" t="n"/>
      <c r="G9" s="49" t="n"/>
      <c r="H9" s="49" t="n"/>
      <c r="I9" s="49" t="n"/>
      <c r="J9" s="49" t="n"/>
      <c r="K9" s="49" t="n"/>
      <c r="L9" s="49" t="n"/>
      <c r="M9" s="49" t="n"/>
      <c r="N9" s="50" t="n"/>
      <c r="O9" s="50" t="n"/>
      <c r="P9" s="50" t="n"/>
      <c r="Q9" s="50" t="n"/>
      <c r="R9" s="50" t="n"/>
      <c r="S9" s="50" t="n"/>
      <c r="T9" s="50" t="n"/>
      <c r="U9" s="50" t="n"/>
      <c r="V9" s="50" t="n"/>
      <c r="W9" s="49" t="n"/>
      <c r="X9" s="50" t="n"/>
      <c r="Y9" s="48" t="n"/>
      <c r="Z9" s="48" t="n"/>
      <c r="AA9" s="48" t="n"/>
      <c r="AB9" s="48" t="n"/>
      <c r="AC9" s="48" t="n"/>
      <c r="AD9" s="48" t="n"/>
      <c r="AE9" s="48" t="n"/>
      <c r="AF9" s="48" t="n"/>
      <c r="AG9" s="48" t="n"/>
      <c r="AH9" s="51" t="n"/>
      <c r="AI9" s="51" t="n"/>
      <c r="AJ9" s="51" t="n"/>
      <c r="AK9" s="51" t="n"/>
      <c r="AL9" s="51" t="n"/>
      <c r="AM9" s="48" t="n"/>
      <c r="AN9" s="51" t="n"/>
      <c r="AO9" s="51" t="n"/>
      <c r="AP9" s="51" t="n"/>
      <c r="AQ9" s="51" t="n"/>
      <c r="AR9" s="51" t="n"/>
      <c r="AS9" s="51" t="n"/>
      <c r="AT9" s="51" t="n"/>
    </row>
    <row r="10">
      <c r="B10" s="17" t="n"/>
      <c r="C10" s="38" t="n"/>
      <c r="D10" s="52" t="inlineStr">
        <is>
          <t>CAMINHO</t>
        </is>
      </c>
      <c r="E10" s="11" t="n"/>
      <c r="F10" s="11" t="n"/>
      <c r="G10" s="11" t="n"/>
      <c r="H10" s="11" t="n"/>
      <c r="I10" s="11" t="n"/>
      <c r="J10" s="11" t="n"/>
      <c r="K10" s="11" t="n"/>
      <c r="L10" s="12" t="n"/>
      <c r="M10" s="53" t="n"/>
      <c r="N10" s="54" t="inlineStr">
        <is>
          <t>TRILHA</t>
        </is>
      </c>
      <c r="O10" s="19" t="n"/>
      <c r="P10" s="19" t="n"/>
      <c r="Q10" s="19" t="n"/>
      <c r="R10" s="19" t="n"/>
      <c r="S10" s="19" t="n"/>
      <c r="T10" s="19" t="n"/>
      <c r="U10" s="19" t="n"/>
      <c r="V10" s="20" t="n"/>
      <c r="W10" s="53" t="n"/>
      <c r="X10" s="52" t="inlineStr">
        <is>
          <t>ORIGEM</t>
        </is>
      </c>
      <c r="Y10" s="11" t="n"/>
      <c r="Z10" s="11" t="n"/>
      <c r="AA10" s="11" t="n"/>
      <c r="AB10" s="11" t="n"/>
      <c r="AC10" s="11" t="n"/>
      <c r="AD10" s="11" t="n"/>
      <c r="AE10" s="11" t="n"/>
      <c r="AF10" s="12" t="n"/>
      <c r="AG10" s="53" t="n"/>
      <c r="AH10" s="54" t="inlineStr">
        <is>
          <t>NÍVEL</t>
        </is>
      </c>
      <c r="AI10" s="19" t="n"/>
      <c r="AJ10" s="19" t="n"/>
      <c r="AK10" s="19" t="n"/>
      <c r="AL10" s="20" t="n"/>
      <c r="AM10" s="55" t="n"/>
      <c r="AN10" s="56" t="inlineStr">
        <is>
          <t>XP</t>
        </is>
      </c>
      <c r="AO10" s="19" t="n"/>
      <c r="AP10" s="19" t="n"/>
      <c r="AQ10" s="19" t="n"/>
      <c r="AR10" s="19" t="n"/>
      <c r="AS10" s="19" t="n"/>
      <c r="AT10" s="20" t="n"/>
    </row>
    <row r="11" ht="24.75" customHeight="1">
      <c r="B11" s="17" t="n"/>
      <c r="C11" s="38" t="n"/>
      <c r="D11" s="57" t="inlineStr">
        <is>
          <t>Escolha seu Caminho</t>
        </is>
      </c>
      <c r="E11" s="14" t="n"/>
      <c r="F11" s="14" t="n"/>
      <c r="G11" s="14" t="n"/>
      <c r="H11" s="14" t="n"/>
      <c r="I11" s="14" t="n"/>
      <c r="J11" s="14" t="n"/>
      <c r="K11" s="14" t="n"/>
      <c r="L11" s="15" t="n"/>
      <c r="M11" s="55" t="n"/>
      <c r="N11" s="58" t="inlineStr">
        <is>
          <t>Escolha sua Trilha</t>
        </is>
      </c>
      <c r="O11" s="14" t="n"/>
      <c r="P11" s="14" t="n"/>
      <c r="Q11" s="14" t="n"/>
      <c r="R11" s="14" t="n"/>
      <c r="S11" s="14" t="n"/>
      <c r="T11" s="14" t="n"/>
      <c r="U11" s="14" t="n"/>
      <c r="V11" s="15" t="n"/>
      <c r="W11" s="55" t="n"/>
      <c r="X11" s="58" t="inlineStr">
        <is>
          <t>Latente</t>
        </is>
      </c>
      <c r="Y11" s="14" t="n"/>
      <c r="Z11" s="14" t="n"/>
      <c r="AA11" s="14" t="n"/>
      <c r="AB11" s="14" t="n"/>
      <c r="AC11" s="14" t="n"/>
      <c r="AD11" s="14" t="n"/>
      <c r="AE11" s="14" t="n"/>
      <c r="AF11" s="15" t="n"/>
      <c r="AG11" s="55" t="n"/>
      <c r="AH11" s="59" t="n">
        <v>2</v>
      </c>
      <c r="AI11" s="14" t="n"/>
      <c r="AJ11" s="14" t="n"/>
      <c r="AK11" s="14" t="n"/>
      <c r="AL11" s="15" t="n"/>
      <c r="AM11" s="55" t="n"/>
      <c r="AN11" s="60">
        <f>DADOS!$CZ$44</f>
        <v/>
      </c>
      <c r="AO11" s="14" t="n"/>
      <c r="AP11" s="14" t="n"/>
      <c r="AQ11" s="14" t="n"/>
      <c r="AR11" s="14" t="n"/>
      <c r="AS11" s="14" t="n"/>
      <c r="AT11" s="15" t="n"/>
    </row>
    <row r="12">
      <c r="B12" s="17" t="n"/>
      <c r="C12" s="38" t="n"/>
      <c r="D12" s="49" t="n"/>
      <c r="E12" s="49" t="n"/>
      <c r="F12" s="49" t="n"/>
      <c r="G12" s="49" t="n"/>
      <c r="H12" s="49" t="n"/>
      <c r="I12" s="49" t="n"/>
      <c r="J12" s="49" t="n"/>
      <c r="K12" s="49" t="n"/>
      <c r="L12" s="49" t="n"/>
      <c r="M12" s="48" t="n"/>
      <c r="N12" s="49" t="n"/>
      <c r="O12" s="49" t="n"/>
      <c r="P12" s="49" t="n"/>
      <c r="Q12" s="49" t="n"/>
      <c r="R12" s="61" t="n"/>
      <c r="S12" s="49" t="n"/>
      <c r="T12" s="49" t="n"/>
      <c r="U12" s="49" t="n"/>
      <c r="V12" s="49" t="n"/>
      <c r="W12" s="48" t="n"/>
      <c r="X12" s="49" t="n"/>
      <c r="Y12" s="49" t="n"/>
      <c r="Z12" s="49" t="n"/>
      <c r="AA12" s="49" t="n"/>
      <c r="AB12" s="49" t="n"/>
      <c r="AC12" s="49" t="n"/>
      <c r="AD12" s="49" t="n"/>
      <c r="AE12" s="49" t="n"/>
      <c r="AF12" s="49" t="n"/>
      <c r="AG12" s="48" t="n"/>
      <c r="AH12" s="49" t="n"/>
      <c r="AI12" s="49" t="n"/>
      <c r="AJ12" s="49" t="n"/>
      <c r="AK12" s="49" t="n"/>
      <c r="AL12" s="49" t="n"/>
      <c r="AM12" s="48" t="n"/>
      <c r="AN12" s="49" t="n"/>
      <c r="AO12" s="49" t="n"/>
      <c r="AP12" s="49" t="n"/>
      <c r="AQ12" s="49" t="n"/>
      <c r="AR12" s="49" t="n"/>
      <c r="AS12" s="49" t="n"/>
      <c r="AT12" s="49" t="n"/>
    </row>
    <row r="13">
      <c r="B13" s="17" t="n"/>
      <c r="C13" s="38" t="n"/>
      <c r="D13" s="48" t="n"/>
      <c r="E13" s="48" t="n"/>
      <c r="F13" s="48" t="n"/>
      <c r="G13" s="48" t="n"/>
      <c r="H13" s="48" t="n"/>
      <c r="I13" s="48" t="n"/>
      <c r="J13" s="48" t="n"/>
      <c r="K13" s="48" t="n"/>
      <c r="L13" s="48" t="n"/>
      <c r="M13" s="48" t="n"/>
      <c r="N13" s="48" t="n"/>
      <c r="O13" s="48" t="n"/>
      <c r="P13" s="48" t="n"/>
      <c r="Q13" s="48" t="n"/>
      <c r="R13" s="48" t="n"/>
      <c r="S13" s="48" t="n"/>
      <c r="T13" s="48" t="n"/>
      <c r="U13" s="48" t="n"/>
      <c r="V13" s="48" t="n"/>
      <c r="W13" s="48" t="n"/>
      <c r="X13" s="48" t="n"/>
      <c r="Y13" s="48" t="n"/>
      <c r="Z13" s="48" t="n"/>
      <c r="AA13" s="48" t="n"/>
      <c r="AB13" s="48" t="n"/>
      <c r="AC13" s="48" t="n"/>
      <c r="AD13" s="48" t="n"/>
      <c r="AE13" s="48" t="n"/>
      <c r="AF13" s="48" t="n"/>
      <c r="AG13" s="48" t="n"/>
      <c r="AH13" s="48" t="n"/>
      <c r="AI13" s="48" t="n"/>
      <c r="AJ13" s="48" t="n"/>
      <c r="AK13" s="48" t="n"/>
      <c r="AL13" s="48" t="n"/>
      <c r="AM13" s="48" t="n"/>
      <c r="AN13" s="48" t="n"/>
      <c r="AO13" s="48" t="n"/>
      <c r="AP13" s="48" t="n"/>
      <c r="AQ13" s="48" t="n"/>
      <c r="AR13" s="48" t="n"/>
      <c r="AS13" s="48" t="n"/>
      <c r="AT13" s="48" t="n"/>
    </row>
    <row r="14">
      <c r="B14" s="17" t="n"/>
      <c r="C14" s="38" t="n"/>
      <c r="D14" s="48" t="n"/>
      <c r="E14" s="48" t="n"/>
      <c r="F14" s="48" t="n"/>
      <c r="G14" s="48" t="n"/>
      <c r="H14" s="48" t="n"/>
      <c r="I14" s="48" t="n"/>
      <c r="J14" s="48" t="n"/>
      <c r="K14" s="48" t="n"/>
      <c r="L14" s="48" t="n"/>
      <c r="M14" s="48" t="n"/>
      <c r="N14" s="48" t="n"/>
      <c r="O14" s="48" t="n"/>
      <c r="P14" s="48" t="n"/>
      <c r="Q14" s="48" t="n"/>
      <c r="R14" s="48" t="n"/>
      <c r="S14" s="48" t="n"/>
      <c r="T14" s="48" t="n"/>
      <c r="U14" s="48" t="n"/>
      <c r="V14" s="48" t="n"/>
      <c r="W14" s="48" t="n"/>
      <c r="X14" s="48" t="n"/>
      <c r="Y14" s="48" t="n"/>
      <c r="Z14" s="62" t="inlineStr">
        <is>
          <t>Pontos Disponíveis</t>
        </is>
      </c>
      <c r="AA14" s="11" t="n"/>
      <c r="AB14" s="11" t="n"/>
      <c r="AC14" s="11" t="n"/>
      <c r="AD14" s="11" t="n"/>
      <c r="AE14" s="11" t="n"/>
      <c r="AF14" s="11" t="n"/>
      <c r="AG14" s="11" t="n"/>
      <c r="AH14" s="11" t="n"/>
      <c r="AI14" s="12" t="n"/>
      <c r="AJ14" s="48" t="n"/>
      <c r="AK14" s="62">
        <f>"Pontos de Marco de Corpo Disponíveis - "&amp;IF(DADOS!$AK$11&gt;DADOS!$AK$10,DADOS!$AK$11-DADOS!$AK$10&amp;" a mais",DADOS!$AK$10-DADOS!$AK$11&amp;" de "&amp;DADOS!$AK$10)</f>
        <v/>
      </c>
      <c r="AL14" s="11" t="n"/>
      <c r="AM14" s="11" t="n"/>
      <c r="AN14" s="11" t="n"/>
      <c r="AO14" s="11" t="n"/>
      <c r="AP14" s="11" t="n"/>
      <c r="AQ14" s="11" t="n"/>
      <c r="AR14" s="11" t="n"/>
      <c r="AS14" s="11" t="n"/>
      <c r="AT14" s="12" t="n"/>
    </row>
    <row r="15" ht="27" customHeight="1">
      <c r="B15" s="17" t="n"/>
      <c r="C15" s="38" t="n"/>
      <c r="D15" s="63" t="n">
        <v>2</v>
      </c>
      <c r="E15" s="14" t="n"/>
      <c r="F15" s="15" t="n"/>
      <c r="G15" s="47" t="inlineStr">
        <is>
          <t>VALORES</t>
        </is>
      </c>
      <c r="H15" s="14" t="n"/>
      <c r="I15" s="14" t="n"/>
      <c r="J15" s="14" t="n"/>
      <c r="K15" s="14" t="n"/>
      <c r="L15" s="14" t="n"/>
      <c r="M15" s="14" t="n"/>
      <c r="N15" s="14" t="n"/>
      <c r="O15" s="14" t="n"/>
      <c r="P15" s="14" t="n"/>
      <c r="Q15" s="14" t="n"/>
      <c r="R15" s="14" t="n"/>
      <c r="S15" s="14" t="n"/>
      <c r="T15" s="14" t="n"/>
      <c r="U15" s="14" t="n"/>
      <c r="V15" s="14" t="n"/>
      <c r="W15" s="14" t="n"/>
      <c r="X15" s="15" t="n"/>
      <c r="Y15" s="64" t="n"/>
      <c r="Z15" s="65">
        <f>IF(DADOS!$AK$7&gt;DADOS!$AK$6,DADOS!$AK$7-DADOS!$AK$6&amp;" a mais",IF(DADOS!$AK$8&gt;6,"Um atributo passou de 6",IF(AND(DADOS!$AK$5=0,DADOS!$AK$9&gt;3),"Na criação, nenhum acima de 3",DADOS!$AK$6-DADOS!$AK$7&amp;" de "&amp;DADOS!$AK$6)))</f>
        <v/>
      </c>
      <c r="AA15" s="11" t="n"/>
      <c r="AB15" s="11" t="n"/>
      <c r="AC15" s="11" t="n"/>
      <c r="AD15" s="11" t="n"/>
      <c r="AE15" s="11" t="n"/>
      <c r="AF15" s="11" t="n"/>
      <c r="AG15" s="11" t="n"/>
      <c r="AH15" s="11" t="n"/>
      <c r="AI15" s="12" t="n"/>
      <c r="AJ15" s="48" t="n"/>
      <c r="AK15" s="65" t="n">
        <v>0</v>
      </c>
      <c r="AL15" s="12" t="n"/>
      <c r="AM15" s="65" t="n">
        <v>0</v>
      </c>
      <c r="AN15" s="12" t="n"/>
      <c r="AO15" s="65" t="n">
        <v>0</v>
      </c>
      <c r="AP15" s="12" t="n"/>
      <c r="AQ15" s="65" t="n">
        <v>0</v>
      </c>
      <c r="AR15" s="12" t="n"/>
      <c r="AS15" s="65" t="n">
        <v>0</v>
      </c>
      <c r="AT15" s="12" t="n"/>
    </row>
    <row r="16">
      <c r="B16" s="17" t="n"/>
      <c r="C16" s="38" t="n"/>
      <c r="D16" s="16" t="n"/>
      <c r="F16" s="17" t="n"/>
      <c r="G16" s="49" t="n"/>
      <c r="H16" s="49" t="n"/>
      <c r="I16" s="49" t="n"/>
      <c r="J16" s="49" t="n"/>
      <c r="K16" s="49" t="n"/>
      <c r="L16" s="49" t="n"/>
      <c r="M16" s="49" t="n"/>
      <c r="N16" s="49" t="n"/>
      <c r="O16" s="49" t="n"/>
      <c r="P16" s="49" t="n"/>
      <c r="Q16" s="49" t="n"/>
      <c r="R16" s="49" t="n"/>
      <c r="S16" s="49" t="n"/>
      <c r="T16" s="49" t="n"/>
      <c r="U16" s="49" t="n"/>
      <c r="V16" s="49" t="n"/>
      <c r="W16" s="49" t="n"/>
      <c r="X16" s="49" t="n"/>
      <c r="Y16" s="48" t="n"/>
      <c r="Z16" s="48" t="n"/>
      <c r="AA16" s="48" t="n"/>
      <c r="AB16" s="48" t="n"/>
      <c r="AC16" s="48" t="n"/>
      <c r="AD16" s="48" t="n"/>
      <c r="AE16" s="48" t="n"/>
      <c r="AF16" s="48" t="n"/>
      <c r="AG16" s="48" t="n"/>
      <c r="AH16" s="48" t="n"/>
      <c r="AI16" s="48" t="n"/>
      <c r="AJ16" s="48" t="n"/>
      <c r="AK16" s="66" t="inlineStr">
        <is>
          <t>FOR</t>
        </is>
      </c>
      <c r="AL16" s="11" t="n"/>
      <c r="AM16" s="66" t="inlineStr">
        <is>
          <t>DEX</t>
        </is>
      </c>
      <c r="AN16" s="11" t="n"/>
      <c r="AO16" s="66" t="inlineStr">
        <is>
          <t>CON</t>
        </is>
      </c>
      <c r="AP16" s="11" t="n"/>
      <c r="AQ16" s="66" t="inlineStr">
        <is>
          <t>INT</t>
        </is>
      </c>
      <c r="AR16" s="11" t="n"/>
      <c r="AS16" s="62" t="inlineStr">
        <is>
          <t>ESS</t>
        </is>
      </c>
      <c r="AT16" s="12" t="n"/>
    </row>
    <row r="17">
      <c r="B17" s="17" t="n"/>
      <c r="C17" s="38" t="n"/>
      <c r="D17" s="18" t="n"/>
      <c r="E17" s="19" t="n"/>
      <c r="F17" s="20" t="n"/>
      <c r="G17" s="48" t="n"/>
      <c r="H17" s="48" t="n"/>
      <c r="I17" s="48" t="n"/>
      <c r="J17" s="48" t="n"/>
      <c r="K17" s="48" t="n"/>
      <c r="L17" s="51" t="n"/>
      <c r="M17" s="51" t="n"/>
      <c r="N17" s="51" t="n"/>
      <c r="O17" s="51" t="n"/>
      <c r="P17" s="51" t="n"/>
      <c r="Q17" s="51" t="n"/>
      <c r="R17" s="51" t="n"/>
      <c r="S17" s="48" t="n"/>
      <c r="T17" s="51" t="n"/>
      <c r="U17" s="51" t="n"/>
      <c r="V17" s="51" t="n"/>
      <c r="W17" s="51" t="n"/>
      <c r="X17" s="51" t="n"/>
      <c r="Y17" s="51" t="n"/>
      <c r="Z17" s="51" t="n"/>
      <c r="AA17" s="48" t="n"/>
      <c r="AB17" s="51" t="n"/>
      <c r="AC17" s="51" t="n"/>
      <c r="AD17" s="51" t="n"/>
      <c r="AE17" s="51" t="n"/>
      <c r="AF17" s="51" t="n"/>
      <c r="AG17" s="51" t="n"/>
      <c r="AH17" s="51" t="n"/>
      <c r="AI17" s="48" t="n"/>
      <c r="AJ17" s="51" t="n"/>
      <c r="AK17" s="51" t="n"/>
      <c r="AL17" s="51" t="n"/>
      <c r="AM17" s="51" t="n"/>
      <c r="AN17" s="51" t="n"/>
      <c r="AO17" s="51" t="n"/>
      <c r="AP17" s="51" t="n"/>
      <c r="AQ17" s="48" t="n"/>
      <c r="AR17" s="48" t="n"/>
      <c r="AS17" s="48" t="n"/>
      <c r="AT17" s="48" t="n"/>
    </row>
    <row r="18">
      <c r="B18" s="17" t="n"/>
      <c r="C18" s="38" t="n"/>
      <c r="D18" s="52" t="inlineStr">
        <is>
          <t>FOR</t>
        </is>
      </c>
      <c r="E18" s="11" t="n"/>
      <c r="F18" s="11" t="n"/>
      <c r="G18" s="11" t="n"/>
      <c r="H18" s="11" t="n"/>
      <c r="I18" s="11" t="n"/>
      <c r="J18" s="12" t="n"/>
      <c r="K18" s="53" t="n"/>
      <c r="L18" s="54" t="inlineStr">
        <is>
          <t>DES</t>
        </is>
      </c>
      <c r="M18" s="19" t="n"/>
      <c r="N18" s="19" t="n"/>
      <c r="O18" s="19" t="n"/>
      <c r="P18" s="19" t="n"/>
      <c r="Q18" s="19" t="n"/>
      <c r="R18" s="20" t="n"/>
      <c r="S18" s="55" t="n"/>
      <c r="T18" s="56" t="inlineStr">
        <is>
          <t>CON</t>
        </is>
      </c>
      <c r="U18" s="19" t="n"/>
      <c r="V18" s="19" t="n"/>
      <c r="W18" s="19" t="n"/>
      <c r="X18" s="19" t="n"/>
      <c r="Y18" s="19" t="n"/>
      <c r="Z18" s="20" t="n"/>
      <c r="AA18" s="55" t="n"/>
      <c r="AB18" s="56" t="inlineStr">
        <is>
          <t>INT</t>
        </is>
      </c>
      <c r="AC18" s="19" t="n"/>
      <c r="AD18" s="19" t="n"/>
      <c r="AE18" s="19" t="n"/>
      <c r="AF18" s="19" t="n"/>
      <c r="AG18" s="19" t="n"/>
      <c r="AH18" s="20" t="n"/>
      <c r="AI18" s="55" t="n"/>
      <c r="AJ18" s="56" t="inlineStr">
        <is>
          <t>ESS</t>
        </is>
      </c>
      <c r="AK18" s="19" t="n"/>
      <c r="AL18" s="19" t="n"/>
      <c r="AM18" s="19" t="n"/>
      <c r="AN18" s="19" t="n"/>
      <c r="AO18" s="19" t="n"/>
      <c r="AP18" s="20" t="n"/>
      <c r="AQ18" s="48" t="n"/>
      <c r="AR18" s="67" t="n"/>
      <c r="AS18" s="48" t="n"/>
      <c r="AT18" s="48" t="n"/>
    </row>
    <row r="19">
      <c r="B19" s="17" t="n"/>
      <c r="C19" s="38" t="n"/>
      <c r="D19" s="68">
        <f>IFERROR(VALUE($D$21&amp;""),0)+IFERROR(VALUE($AK$15&amp;""),0)</f>
        <v/>
      </c>
      <c r="E19" s="14" t="n"/>
      <c r="F19" s="14" t="n"/>
      <c r="G19" s="14" t="n"/>
      <c r="H19" s="14" t="n"/>
      <c r="I19" s="14" t="n"/>
      <c r="J19" s="15" t="n"/>
      <c r="K19" s="55" t="n"/>
      <c r="L19" s="69">
        <f>IFERROR(VALUE($L$21&amp;""),0)+IFERROR(VALUE($AM$15&amp;""),0)</f>
        <v/>
      </c>
      <c r="M19" s="14" t="n"/>
      <c r="N19" s="14" t="n"/>
      <c r="O19" s="14" t="n"/>
      <c r="P19" s="14" t="n"/>
      <c r="Q19" s="14" t="n"/>
      <c r="R19" s="15" t="n"/>
      <c r="S19" s="55" t="n"/>
      <c r="T19" s="69">
        <f>IFERROR(VALUE($T$21&amp;""),0)+IFERROR(VALUE($AO$15&amp;""),0)</f>
        <v/>
      </c>
      <c r="U19" s="14" t="n"/>
      <c r="V19" s="14" t="n"/>
      <c r="W19" s="14" t="n"/>
      <c r="X19" s="14" t="n"/>
      <c r="Y19" s="14" t="n"/>
      <c r="Z19" s="15" t="n"/>
      <c r="AA19" s="55" t="n"/>
      <c r="AB19" s="69">
        <f>IFERROR(VALUE($AB$21&amp;""),0)+IFERROR(VALUE($AQ$15&amp;""),0)</f>
        <v/>
      </c>
      <c r="AC19" s="14" t="n"/>
      <c r="AD19" s="14" t="n"/>
      <c r="AE19" s="14" t="n"/>
      <c r="AF19" s="14" t="n"/>
      <c r="AG19" s="14" t="n"/>
      <c r="AH19" s="15" t="n"/>
      <c r="AI19" s="55" t="n"/>
      <c r="AJ19" s="69">
        <f>IFERROR(VALUE($AJ$21&amp;""),0)+IFERROR(VALUE($AS$15&amp;""),0)</f>
        <v/>
      </c>
      <c r="AK19" s="14" t="n"/>
      <c r="AL19" s="14" t="n"/>
      <c r="AM19" s="14" t="n"/>
      <c r="AN19" s="14" t="n"/>
      <c r="AO19" s="14" t="n"/>
      <c r="AP19" s="15" t="n"/>
      <c r="AQ19" s="48" t="n"/>
      <c r="AR19" s="67" t="n"/>
      <c r="AS19" s="48" t="n"/>
      <c r="AT19" s="48" t="n"/>
    </row>
    <row r="20" ht="29.25" customHeight="1">
      <c r="B20" s="17" t="n"/>
      <c r="C20" s="38" t="n"/>
      <c r="D20" s="18" t="n"/>
      <c r="E20" s="19" t="n"/>
      <c r="F20" s="19" t="n"/>
      <c r="G20" s="19" t="n"/>
      <c r="H20" s="19" t="n"/>
      <c r="I20" s="19" t="n"/>
      <c r="J20" s="20" t="n"/>
      <c r="K20" s="55" t="n"/>
      <c r="L20" s="19" t="n"/>
      <c r="M20" s="19" t="n"/>
      <c r="N20" s="19" t="n"/>
      <c r="O20" s="19" t="n"/>
      <c r="P20" s="19" t="n"/>
      <c r="Q20" s="19" t="n"/>
      <c r="R20" s="20" t="n"/>
      <c r="S20" s="55" t="n"/>
      <c r="T20" s="19" t="n"/>
      <c r="U20" s="19" t="n"/>
      <c r="V20" s="19" t="n"/>
      <c r="W20" s="19" t="n"/>
      <c r="X20" s="19" t="n"/>
      <c r="Y20" s="19" t="n"/>
      <c r="Z20" s="20" t="n"/>
      <c r="AA20" s="55" t="n"/>
      <c r="AB20" s="19" t="n"/>
      <c r="AC20" s="19" t="n"/>
      <c r="AD20" s="19" t="n"/>
      <c r="AE20" s="19" t="n"/>
      <c r="AF20" s="19" t="n"/>
      <c r="AG20" s="19" t="n"/>
      <c r="AH20" s="20" t="n"/>
      <c r="AI20" s="55" t="n"/>
      <c r="AJ20" s="19" t="n"/>
      <c r="AK20" s="19" t="n"/>
      <c r="AL20" s="19" t="n"/>
      <c r="AM20" s="19" t="n"/>
      <c r="AN20" s="19" t="n"/>
      <c r="AO20" s="19" t="n"/>
      <c r="AP20" s="20" t="n"/>
      <c r="AQ20" s="48" t="n"/>
      <c r="AR20" s="48" t="n"/>
      <c r="AS20" s="48" t="n"/>
      <c r="AT20" s="48" t="n"/>
    </row>
    <row r="21" ht="21.75" customHeight="1">
      <c r="B21" s="17" t="n"/>
      <c r="C21" s="38" t="n"/>
      <c r="D21" s="70" t="n">
        <v>0</v>
      </c>
      <c r="E21" s="11" t="n"/>
      <c r="F21" s="11" t="n"/>
      <c r="G21" s="11" t="n"/>
      <c r="H21" s="11" t="n"/>
      <c r="I21" s="11" t="n"/>
      <c r="J21" s="12" t="n"/>
      <c r="K21" s="53" t="n"/>
      <c r="L21" s="71" t="n">
        <v>0</v>
      </c>
      <c r="M21" s="19" t="n"/>
      <c r="N21" s="19" t="n"/>
      <c r="O21" s="19" t="n"/>
      <c r="P21" s="19" t="n"/>
      <c r="Q21" s="19" t="n"/>
      <c r="R21" s="20" t="n"/>
      <c r="S21" s="55" t="n"/>
      <c r="T21" s="72" t="n">
        <v>0</v>
      </c>
      <c r="U21" s="19" t="n"/>
      <c r="V21" s="19" t="n"/>
      <c r="W21" s="19" t="n"/>
      <c r="X21" s="19" t="n"/>
      <c r="Y21" s="19" t="n"/>
      <c r="Z21" s="20" t="n"/>
      <c r="AA21" s="55" t="n"/>
      <c r="AB21" s="72" t="n">
        <v>0</v>
      </c>
      <c r="AC21" s="19" t="n"/>
      <c r="AD21" s="19" t="n"/>
      <c r="AE21" s="19" t="n"/>
      <c r="AF21" s="19" t="n"/>
      <c r="AG21" s="19" t="n"/>
      <c r="AH21" s="20" t="n"/>
      <c r="AI21" s="55" t="n"/>
      <c r="AJ21" s="72" t="n">
        <v>0</v>
      </c>
      <c r="AK21" s="19" t="n"/>
      <c r="AL21" s="19" t="n"/>
      <c r="AM21" s="19" t="n"/>
      <c r="AN21" s="19" t="n"/>
      <c r="AO21" s="19" t="n"/>
      <c r="AP21" s="20" t="n"/>
      <c r="AQ21" s="48" t="n"/>
      <c r="AR21" s="48" t="n"/>
      <c r="AS21" s="48" t="n"/>
      <c r="AT21" s="48" t="n"/>
    </row>
    <row r="22">
      <c r="B22" s="17" t="n"/>
      <c r="C22" s="38" t="n"/>
      <c r="D22" s="73" t="inlineStr">
        <is>
          <t>Força</t>
        </is>
      </c>
      <c r="E22" s="11" t="n"/>
      <c r="F22" s="11" t="n"/>
      <c r="G22" s="11" t="n"/>
      <c r="H22" s="11" t="n"/>
      <c r="I22" s="11" t="n"/>
      <c r="J22" s="12" t="n"/>
      <c r="K22" s="55" t="n"/>
      <c r="L22" s="74" t="inlineStr">
        <is>
          <t>Destreza</t>
        </is>
      </c>
      <c r="M22" s="11" t="n"/>
      <c r="N22" s="11" t="n"/>
      <c r="O22" s="11" t="n"/>
      <c r="P22" s="11" t="n"/>
      <c r="Q22" s="11" t="n"/>
      <c r="R22" s="12" t="n"/>
      <c r="S22" s="55" t="n"/>
      <c r="T22" s="74" t="inlineStr">
        <is>
          <t>Constituição</t>
        </is>
      </c>
      <c r="U22" s="11" t="n"/>
      <c r="V22" s="11" t="n"/>
      <c r="W22" s="11" t="n"/>
      <c r="X22" s="11" t="n"/>
      <c r="Y22" s="11" t="n"/>
      <c r="Z22" s="12" t="n"/>
      <c r="AA22" s="55" t="n"/>
      <c r="AB22" s="74" t="inlineStr">
        <is>
          <t>Inteligência</t>
        </is>
      </c>
      <c r="AC22" s="11" t="n"/>
      <c r="AD22" s="11" t="n"/>
      <c r="AE22" s="11" t="n"/>
      <c r="AF22" s="11" t="n"/>
      <c r="AG22" s="11" t="n"/>
      <c r="AH22" s="12" t="n"/>
      <c r="AI22" s="55" t="n"/>
      <c r="AJ22" s="74" t="inlineStr">
        <is>
          <t>Essência</t>
        </is>
      </c>
      <c r="AK22" s="11" t="n"/>
      <c r="AL22" s="11" t="n"/>
      <c r="AM22" s="11" t="n"/>
      <c r="AN22" s="11" t="n"/>
      <c r="AO22" s="11" t="n"/>
      <c r="AP22" s="12" t="n"/>
      <c r="AQ22" s="48" t="n"/>
      <c r="AR22" s="48" t="n"/>
      <c r="AS22" s="48" t="n"/>
      <c r="AT22" s="48" t="n"/>
    </row>
    <row r="23">
      <c r="B23" s="17" t="n"/>
      <c r="C23" s="38" t="n"/>
      <c r="D23" s="48" t="n"/>
      <c r="E23" s="48" t="n"/>
      <c r="F23" s="49" t="n"/>
      <c r="G23" s="48" t="n"/>
      <c r="H23" s="48" t="n"/>
      <c r="I23" s="48" t="n"/>
      <c r="J23" s="48" t="n"/>
      <c r="K23" s="48" t="n"/>
      <c r="L23" s="48" t="n"/>
      <c r="M23" s="48" t="n"/>
      <c r="N23" s="48" t="n"/>
      <c r="O23" s="48" t="n"/>
      <c r="P23" s="48" t="n"/>
      <c r="Q23" s="48" t="n"/>
      <c r="R23" s="48" t="n"/>
      <c r="S23" s="48" t="n"/>
      <c r="T23" s="48" t="n"/>
      <c r="U23" s="48" t="n"/>
      <c r="V23" s="48" t="n"/>
      <c r="W23" s="48" t="n"/>
      <c r="X23" s="48" t="n"/>
      <c r="Y23" s="48" t="n"/>
      <c r="Z23" s="48" t="n"/>
      <c r="AA23" s="48" t="n"/>
      <c r="AB23" s="48" t="n"/>
      <c r="AC23" s="48" t="n"/>
      <c r="AD23" s="48" t="n"/>
      <c r="AE23" s="48" t="n"/>
      <c r="AF23" s="48" t="n"/>
      <c r="AG23" s="48" t="n"/>
      <c r="AH23" s="48" t="n"/>
      <c r="AI23" s="48" t="n"/>
      <c r="AJ23" s="48" t="n"/>
      <c r="AK23" s="48" t="n"/>
      <c r="AL23" s="48" t="n"/>
      <c r="AM23" s="48" t="n"/>
      <c r="AN23" s="48" t="n"/>
      <c r="AO23" s="48" t="n"/>
      <c r="AP23" s="48" t="n"/>
      <c r="AQ23" s="48" t="n"/>
      <c r="AR23" s="48" t="n"/>
      <c r="AS23" s="48" t="n"/>
      <c r="AT23" s="48" t="n"/>
    </row>
    <row r="24">
      <c r="B24" s="17" t="n"/>
      <c r="C24" s="38" t="n"/>
      <c r="D24" s="48" t="n"/>
      <c r="E24" s="48" t="n"/>
      <c r="F24" s="48" t="n"/>
      <c r="G24" s="48" t="n"/>
      <c r="H24" s="48" t="n"/>
      <c r="I24" s="48" t="n"/>
      <c r="J24" s="48" t="n"/>
      <c r="K24" s="48" t="n"/>
      <c r="L24" s="48" t="n"/>
      <c r="M24" s="48" t="n"/>
      <c r="N24" s="48" t="n"/>
      <c r="O24" s="48" t="n"/>
      <c r="P24" s="48" t="n"/>
      <c r="Q24" s="48" t="n"/>
      <c r="R24" s="48" t="n"/>
      <c r="S24" s="48" t="n"/>
      <c r="T24" s="48" t="n"/>
      <c r="U24" s="48" t="n"/>
      <c r="V24" s="48" t="n"/>
      <c r="W24" s="48" t="n"/>
      <c r="X24" s="48" t="n"/>
      <c r="Y24" s="48" t="n"/>
      <c r="Z24" s="48" t="n"/>
      <c r="AA24" s="48" t="n"/>
      <c r="AB24" s="48" t="n"/>
      <c r="AC24" s="48" t="n"/>
      <c r="AD24" s="48" t="n"/>
      <c r="AE24" s="48" t="n"/>
      <c r="AF24" s="48" t="n"/>
      <c r="AG24" s="48" t="n"/>
      <c r="AH24" s="48" t="n"/>
      <c r="AI24" s="48" t="n"/>
      <c r="AJ24" s="48" t="n"/>
      <c r="AK24" s="48" t="n"/>
      <c r="AL24" s="48" t="n"/>
      <c r="AM24" s="48" t="n"/>
      <c r="AN24" s="48" t="n"/>
      <c r="AO24" s="48" t="n"/>
      <c r="AP24" s="48" t="n"/>
      <c r="AQ24" s="48" t="n"/>
      <c r="AR24" s="48" t="n"/>
      <c r="AS24" s="48" t="n"/>
      <c r="AT24" s="48" t="n"/>
    </row>
    <row r="25">
      <c r="B25" s="17" t="n"/>
      <c r="C25" s="38" t="n"/>
      <c r="D25" s="52" t="inlineStr">
        <is>
          <t>VIDA - Atual/Máxima</t>
        </is>
      </c>
      <c r="E25" s="11" t="n"/>
      <c r="F25" s="11" t="n"/>
      <c r="G25" s="11" t="n"/>
      <c r="H25" s="11" t="n"/>
      <c r="I25" s="11" t="n"/>
      <c r="J25" s="11" t="n"/>
      <c r="K25" s="11" t="n"/>
      <c r="L25" s="11" t="n"/>
      <c r="M25" s="11" t="n"/>
      <c r="N25" s="12" t="n"/>
      <c r="O25" s="48" t="n"/>
      <c r="P25" s="48" t="n"/>
      <c r="Q25" s="48" t="n"/>
      <c r="R25" s="48" t="n"/>
      <c r="S25" s="48" t="n"/>
      <c r="T25" s="48" t="n"/>
      <c r="U25" s="48" t="n"/>
      <c r="V25" s="48" t="n"/>
      <c r="W25" s="48" t="n"/>
      <c r="X25" s="48" t="n"/>
      <c r="Y25" s="48" t="n"/>
      <c r="Z25" s="48" t="n"/>
      <c r="AA25" s="48" t="n"/>
      <c r="AB25" s="48" t="n"/>
      <c r="AC25" s="48" t="n"/>
      <c r="AD25" s="48" t="n"/>
      <c r="AE25" s="48" t="n"/>
      <c r="AF25" s="52" t="inlineStr">
        <is>
          <t>TEMPORÁRIO</t>
        </is>
      </c>
      <c r="AG25" s="11" t="n"/>
      <c r="AH25" s="11" t="n"/>
      <c r="AI25" s="11" t="n"/>
      <c r="AJ25" s="11" t="n"/>
      <c r="AK25" s="12" t="n"/>
      <c r="AL25" s="55" t="n"/>
      <c r="AM25" s="75" t="inlineStr">
        <is>
          <t>± PERDA &amp;/ou GANHO</t>
        </is>
      </c>
      <c r="AN25" s="11" t="n"/>
      <c r="AO25" s="11" t="n"/>
      <c r="AP25" s="11" t="n"/>
      <c r="AQ25" s="11" t="n"/>
      <c r="AR25" s="12" t="n"/>
      <c r="AS25" s="48" t="n"/>
      <c r="AT25" s="48" t="n"/>
    </row>
    <row r="26" ht="27" customHeight="1">
      <c r="B26" s="17" t="n"/>
      <c r="C26" s="38" t="n"/>
      <c r="D26" s="76">
        <f>J26</f>
        <v/>
      </c>
      <c r="E26" s="14" t="n"/>
      <c r="F26" s="14" t="n"/>
      <c r="G26" s="14" t="n"/>
      <c r="H26" s="15" t="n"/>
      <c r="I26" s="48" t="n"/>
      <c r="J26" s="77">
        <f>IFERROR(IF($D$11="","",(VLOOKUP($D$11,DADOS!$N$5:$U$9,3,FALSE)+$T$19)+(VLOOKUP($D$11,DADOS!$N$5:$U$9,4,FALSE)+$T$19)*($AH$11-1)),"")</f>
        <v/>
      </c>
      <c r="K26" s="14" t="n"/>
      <c r="L26" s="14" t="n"/>
      <c r="M26" s="14" t="n"/>
      <c r="N26" s="15" t="n"/>
      <c r="O26" s="48" t="n"/>
      <c r="P26" s="78">
        <f>IFERROR(__xludf.DUMMYFUNCTION("IFERROR(SPARKLINE($D$26,{""charttype"",""bar"";""max"",$J$26;""color1"",IF(N($J$26)=0,DADOS!$CZ$48,IF($D$26/$J$26&lt;=0.25,""#C2334D"",IF($D$26/$J$26&lt;=0.5,""#D89B3A"",DADOS!$CZ$48)))}),"""")"),"")</f>
        <v/>
      </c>
      <c r="Q26" s="14" t="n"/>
      <c r="R26" s="14" t="n"/>
      <c r="S26" s="14" t="n"/>
      <c r="T26" s="14" t="n"/>
      <c r="U26" s="14" t="n"/>
      <c r="V26" s="14" t="n"/>
      <c r="W26" s="14" t="n"/>
      <c r="X26" s="14" t="n"/>
      <c r="Y26" s="14" t="n"/>
      <c r="Z26" s="14" t="n"/>
      <c r="AA26" s="14" t="n"/>
      <c r="AB26" s="14" t="n"/>
      <c r="AC26" s="14" t="n"/>
      <c r="AD26" s="15" t="n"/>
      <c r="AE26" s="48" t="n"/>
      <c r="AF26" s="79" t="n">
        <v>0</v>
      </c>
      <c r="AG26" s="19" t="n"/>
      <c r="AH26" s="19" t="n"/>
      <c r="AI26" s="19" t="n"/>
      <c r="AJ26" s="19" t="n"/>
      <c r="AK26" s="20" t="n"/>
      <c r="AL26" s="48" t="n"/>
      <c r="AM26" s="80" t="n"/>
      <c r="AN26" s="11" t="n"/>
      <c r="AO26" s="11" t="n"/>
      <c r="AP26" s="11" t="n"/>
      <c r="AQ26" s="11" t="n"/>
      <c r="AR26" s="12" t="n"/>
      <c r="AS26" s="48" t="n"/>
      <c r="AT26" s="48" t="n"/>
    </row>
    <row r="27">
      <c r="B27" s="17" t="n"/>
      <c r="C27" s="38" t="n"/>
      <c r="D27" s="18" t="n"/>
      <c r="E27" s="19" t="n"/>
      <c r="F27" s="19" t="n"/>
      <c r="G27" s="19" t="n"/>
      <c r="H27" s="20" t="n"/>
      <c r="I27" s="48" t="n"/>
      <c r="J27" s="18" t="n"/>
      <c r="K27" s="19" t="n"/>
      <c r="L27" s="19" t="n"/>
      <c r="M27" s="19" t="n"/>
      <c r="N27" s="20" t="n"/>
      <c r="O27" s="48" t="n"/>
      <c r="P27" s="18" t="n"/>
      <c r="Q27" s="19" t="n"/>
      <c r="R27" s="19" t="n"/>
      <c r="S27" s="19" t="n"/>
      <c r="T27" s="19" t="n"/>
      <c r="U27" s="19" t="n"/>
      <c r="V27" s="19" t="n"/>
      <c r="W27" s="19" t="n"/>
      <c r="X27" s="19" t="n"/>
      <c r="Y27" s="19" t="n"/>
      <c r="Z27" s="19" t="n"/>
      <c r="AA27" s="19" t="n"/>
      <c r="AB27" s="19" t="n"/>
      <c r="AC27" s="19" t="n"/>
      <c r="AD27" s="20" t="n"/>
      <c r="AE27" s="48" t="n"/>
      <c r="AF27" s="48" t="n"/>
      <c r="AG27" s="48" t="n"/>
      <c r="AH27" s="48" t="n"/>
      <c r="AI27" s="48" t="n"/>
      <c r="AJ27" s="48" t="n"/>
      <c r="AK27" s="48" t="n"/>
      <c r="AL27" s="48" t="n"/>
      <c r="AM27" s="48" t="n"/>
      <c r="AN27" s="48" t="n"/>
      <c r="AO27" s="48" t="n"/>
      <c r="AP27" s="48" t="n"/>
      <c r="AQ27" s="48" t="n"/>
      <c r="AR27" s="49" t="n"/>
      <c r="AS27" s="48" t="n"/>
      <c r="AT27" s="48" t="n"/>
    </row>
    <row r="28">
      <c r="B28" s="17" t="n"/>
      <c r="C28" s="38" t="n"/>
      <c r="D28" s="51" t="n"/>
      <c r="E28" s="51" t="n"/>
      <c r="F28" s="51" t="n"/>
      <c r="G28" s="51" t="n"/>
      <c r="H28" s="51" t="n"/>
      <c r="I28" s="51" t="n"/>
      <c r="J28" s="51" t="n"/>
      <c r="K28" s="51" t="n"/>
      <c r="L28" s="51" t="n"/>
      <c r="M28" s="51" t="n"/>
      <c r="N28" s="51" t="n"/>
      <c r="O28" s="48" t="n"/>
      <c r="P28" s="48" t="n"/>
      <c r="Q28" s="48" t="n"/>
      <c r="R28" s="48" t="n"/>
      <c r="S28" s="48" t="n"/>
      <c r="T28" s="48" t="n"/>
      <c r="U28" s="48" t="n"/>
      <c r="V28" s="48" t="n"/>
      <c r="W28" s="48" t="n"/>
      <c r="X28" s="48" t="n"/>
      <c r="Y28" s="48" t="n"/>
      <c r="Z28" s="48" t="n"/>
      <c r="AA28" s="48" t="n"/>
      <c r="AB28" s="48" t="n"/>
      <c r="AC28" s="48" t="n"/>
      <c r="AD28" s="48" t="n"/>
      <c r="AE28" s="48" t="n"/>
      <c r="AF28" s="48" t="n"/>
      <c r="AG28" s="48" t="n"/>
      <c r="AH28" s="48" t="n"/>
      <c r="AI28" s="48" t="n"/>
      <c r="AJ28" s="48" t="n"/>
      <c r="AK28" s="48" t="n"/>
      <c r="AL28" s="48" t="n"/>
      <c r="AM28" s="48" t="n"/>
      <c r="AN28" s="48" t="n"/>
      <c r="AO28" s="48" t="n"/>
      <c r="AP28" s="48" t="n"/>
      <c r="AQ28" s="48" t="n"/>
      <c r="AR28" s="51" t="n"/>
      <c r="AS28" s="48" t="n"/>
      <c r="AT28" s="48" t="n"/>
    </row>
    <row r="29">
      <c r="B29" s="17" t="n"/>
      <c r="C29" s="38" t="n"/>
      <c r="D29" s="54" t="inlineStr">
        <is>
          <t>ENERGIA - Atual/Máxima</t>
        </is>
      </c>
      <c r="E29" s="19" t="n"/>
      <c r="F29" s="19" t="n"/>
      <c r="G29" s="19" t="n"/>
      <c r="H29" s="19" t="n"/>
      <c r="I29" s="19" t="n"/>
      <c r="J29" s="19" t="n"/>
      <c r="K29" s="19" t="n"/>
      <c r="L29" s="19" t="n"/>
      <c r="M29" s="19" t="n"/>
      <c r="N29" s="20" t="n"/>
      <c r="O29" s="48" t="n"/>
      <c r="P29" s="48" t="n"/>
      <c r="Q29" s="48" t="n"/>
      <c r="R29" s="48" t="n"/>
      <c r="S29" s="48" t="n"/>
      <c r="T29" s="48" t="n"/>
      <c r="U29" s="48" t="n"/>
      <c r="V29" s="48" t="n"/>
      <c r="W29" s="48" t="n"/>
      <c r="X29" s="48" t="n"/>
      <c r="Y29" s="48" t="n"/>
      <c r="Z29" s="48" t="n"/>
      <c r="AA29" s="48" t="n"/>
      <c r="AB29" s="48" t="n"/>
      <c r="AC29" s="48" t="n"/>
      <c r="AD29" s="48" t="n"/>
      <c r="AE29" s="48" t="n"/>
      <c r="AF29" s="52" t="inlineStr">
        <is>
          <t>TEMPORÁRIO</t>
        </is>
      </c>
      <c r="AG29" s="11" t="n"/>
      <c r="AH29" s="11" t="n"/>
      <c r="AI29" s="11" t="n"/>
      <c r="AJ29" s="11" t="n"/>
      <c r="AK29" s="12" t="n"/>
      <c r="AL29" s="55" t="n"/>
      <c r="AM29" s="75" t="inlineStr">
        <is>
          <t>± PERDA &amp;/ou GANHO</t>
        </is>
      </c>
      <c r="AN29" s="11" t="n"/>
      <c r="AO29" s="11" t="n"/>
      <c r="AP29" s="11" t="n"/>
      <c r="AQ29" s="11" t="n"/>
      <c r="AR29" s="12" t="n"/>
      <c r="AS29" s="48" t="n"/>
      <c r="AT29" s="48" t="n"/>
    </row>
    <row r="30" ht="27" customHeight="1">
      <c r="A30" s="8" t="n"/>
      <c r="B30" s="22" t="n"/>
      <c r="C30" s="38" t="n"/>
      <c r="D30" s="76">
        <f>J30</f>
        <v/>
      </c>
      <c r="E30" s="14" t="n"/>
      <c r="F30" s="14" t="n"/>
      <c r="G30" s="14" t="n"/>
      <c r="H30" s="15" t="n"/>
      <c r="I30" s="48" t="n"/>
      <c r="J30" s="77">
        <f>IFERROR(IF($D$11="","",VLOOKUP($D$11,DADOS!$N$5:$U$9,5,FALSE)*$AH$11),"")</f>
        <v/>
      </c>
      <c r="K30" s="14" t="n"/>
      <c r="L30" s="14" t="n"/>
      <c r="M30" s="14" t="n"/>
      <c r="N30" s="15" t="n"/>
      <c r="O30" s="48" t="n"/>
      <c r="P30" s="81">
        <f>IFERROR(__xludf.DUMMYFUNCTION("IFERROR(SPARKLINE($D$30,{""charttype"",""bar"";""max"",$J$30;""color1"",IF(N($J$30)=0,DADOS!$CZ$48,IF($D$30/$J$30&lt;=0.25,""#C2334D"",IF($D$30/$J$30&lt;=0.5,""#D89B3A"",DADOS!$CZ$48)))}),"""")"),"")</f>
        <v/>
      </c>
      <c r="Q30" s="14" t="n"/>
      <c r="R30" s="14" t="n"/>
      <c r="S30" s="14" t="n"/>
      <c r="T30" s="14" t="n"/>
      <c r="U30" s="14" t="n"/>
      <c r="V30" s="14" t="n"/>
      <c r="W30" s="14" t="n"/>
      <c r="X30" s="14" t="n"/>
      <c r="Y30" s="14" t="n"/>
      <c r="Z30" s="14" t="n"/>
      <c r="AA30" s="14" t="n"/>
      <c r="AB30" s="14" t="n"/>
      <c r="AC30" s="14" t="n"/>
      <c r="AD30" s="15" t="n"/>
      <c r="AE30" s="48" t="n"/>
      <c r="AF30" s="79" t="n">
        <v>0</v>
      </c>
      <c r="AG30" s="19" t="n"/>
      <c r="AH30" s="19" t="n"/>
      <c r="AI30" s="19" t="n"/>
      <c r="AJ30" s="19" t="n"/>
      <c r="AK30" s="20" t="n"/>
      <c r="AL30" s="48" t="n"/>
      <c r="AM30" s="80" t="n"/>
      <c r="AN30" s="11" t="n"/>
      <c r="AO30" s="11" t="n"/>
      <c r="AP30" s="11" t="n"/>
      <c r="AQ30" s="11" t="n"/>
      <c r="AR30" s="12" t="n"/>
      <c r="AS30" s="48" t="n"/>
      <c r="AT30" s="48" t="n"/>
    </row>
    <row r="31">
      <c r="A31" s="8" t="n"/>
      <c r="B31" s="22" t="n"/>
      <c r="C31" s="38" t="n"/>
      <c r="D31" s="18" t="n"/>
      <c r="E31" s="19" t="n"/>
      <c r="F31" s="19" t="n"/>
      <c r="G31" s="19" t="n"/>
      <c r="H31" s="20" t="n"/>
      <c r="I31" s="48" t="n"/>
      <c r="J31" s="18" t="n"/>
      <c r="K31" s="19" t="n"/>
      <c r="L31" s="19" t="n"/>
      <c r="M31" s="19" t="n"/>
      <c r="N31" s="20" t="n"/>
      <c r="O31" s="48" t="n"/>
      <c r="P31" s="18" t="n"/>
      <c r="Q31" s="19" t="n"/>
      <c r="R31" s="19" t="n"/>
      <c r="S31" s="19" t="n"/>
      <c r="T31" s="19" t="n"/>
      <c r="U31" s="19" t="n"/>
      <c r="V31" s="19" t="n"/>
      <c r="W31" s="19" t="n"/>
      <c r="X31" s="19" t="n"/>
      <c r="Y31" s="19" t="n"/>
      <c r="Z31" s="19" t="n"/>
      <c r="AA31" s="19" t="n"/>
      <c r="AB31" s="19" t="n"/>
      <c r="AC31" s="19" t="n"/>
      <c r="AD31" s="20" t="n"/>
      <c r="AE31" s="48" t="n"/>
      <c r="AF31" s="48" t="n"/>
      <c r="AG31" s="48" t="n"/>
      <c r="AH31" s="48" t="n"/>
      <c r="AI31" s="48" t="n"/>
      <c r="AJ31" s="48" t="n"/>
      <c r="AK31" s="48" t="n"/>
      <c r="AL31" s="48" t="n"/>
      <c r="AM31" s="48" t="n"/>
      <c r="AN31" s="48" t="n"/>
      <c r="AO31" s="48" t="n"/>
      <c r="AP31" s="48" t="n"/>
      <c r="AQ31" s="48" t="n"/>
      <c r="AR31" s="49" t="n"/>
      <c r="AS31" s="48" t="n"/>
      <c r="AT31" s="48" t="n"/>
    </row>
    <row r="32">
      <c r="A32" s="8" t="n"/>
      <c r="B32" s="22" t="n"/>
      <c r="C32" s="38" t="n"/>
      <c r="D32" s="51" t="n"/>
      <c r="E32" s="51" t="n"/>
      <c r="F32" s="51" t="n"/>
      <c r="G32" s="51" t="n"/>
      <c r="H32" s="51" t="n"/>
      <c r="I32" s="51" t="n"/>
      <c r="J32" s="51" t="n"/>
      <c r="K32" s="51" t="n"/>
      <c r="L32" s="51" t="n"/>
      <c r="M32" s="51" t="n"/>
      <c r="N32" s="51" t="n"/>
      <c r="O32" s="48" t="n"/>
      <c r="P32" s="48" t="n"/>
      <c r="Q32" s="48" t="n"/>
      <c r="R32" s="48" t="n"/>
      <c r="S32" s="48" t="n"/>
      <c r="T32" s="48" t="n"/>
      <c r="U32" s="48" t="n"/>
      <c r="V32" s="48" t="n"/>
      <c r="W32" s="48" t="n"/>
      <c r="X32" s="48" t="n"/>
      <c r="Y32" s="48" t="n"/>
      <c r="Z32" s="48" t="n"/>
      <c r="AA32" s="48" t="n"/>
      <c r="AB32" s="48" t="n"/>
      <c r="AC32" s="48" t="n"/>
      <c r="AD32" s="48" t="n"/>
      <c r="AE32" s="48" t="n"/>
      <c r="AF32" s="48" t="n"/>
      <c r="AG32" s="48" t="n"/>
      <c r="AH32" s="48" t="n"/>
      <c r="AI32" s="48" t="n"/>
      <c r="AJ32" s="48" t="n"/>
      <c r="AK32" s="48" t="n"/>
      <c r="AL32" s="48" t="n"/>
      <c r="AM32" s="48" t="n"/>
      <c r="AN32" s="48" t="n"/>
      <c r="AO32" s="48" t="n"/>
      <c r="AP32" s="48" t="n"/>
      <c r="AQ32" s="48" t="n"/>
      <c r="AR32" s="51" t="n"/>
      <c r="AS32" s="48" t="n"/>
      <c r="AT32" s="48" t="n"/>
    </row>
    <row r="33">
      <c r="A33" s="45" t="inlineStr">
        <is>
          <t>FICHA DE REGISTRO</t>
        </is>
      </c>
      <c r="B33" s="17" t="n"/>
      <c r="C33" s="38" t="n"/>
      <c r="D33" s="54" t="inlineStr">
        <is>
          <t>INTEGRIDADE - Atual/Máxima</t>
        </is>
      </c>
      <c r="E33" s="19" t="n"/>
      <c r="F33" s="19" t="n"/>
      <c r="G33" s="19" t="n"/>
      <c r="H33" s="19" t="n"/>
      <c r="I33" s="19" t="n"/>
      <c r="J33" s="19" t="n"/>
      <c r="K33" s="19" t="n"/>
      <c r="L33" s="19" t="n"/>
      <c r="M33" s="19" t="n"/>
      <c r="N33" s="20" t="n"/>
      <c r="O33" s="48" t="n"/>
      <c r="P33" s="48" t="n"/>
      <c r="Q33" s="48" t="n"/>
      <c r="R33" s="48" t="n"/>
      <c r="S33" s="48" t="n"/>
      <c r="T33" s="48" t="n"/>
      <c r="U33" s="48" t="n"/>
      <c r="V33" s="48" t="n"/>
      <c r="W33" s="48" t="n"/>
      <c r="X33" s="48" t="n"/>
      <c r="Y33" s="48" t="n"/>
      <c r="Z33" s="48" t="n"/>
      <c r="AA33" s="48" t="n"/>
      <c r="AB33" s="48" t="n"/>
      <c r="AC33" s="48" t="n"/>
      <c r="AD33" s="48" t="n"/>
      <c r="AE33" s="48" t="n"/>
      <c r="AF33" s="52" t="inlineStr">
        <is>
          <t>TEMPORÁRIO</t>
        </is>
      </c>
      <c r="AG33" s="11" t="n"/>
      <c r="AH33" s="11" t="n"/>
      <c r="AI33" s="11" t="n"/>
      <c r="AJ33" s="11" t="n"/>
      <c r="AK33" s="12" t="n"/>
      <c r="AL33" s="55" t="n"/>
      <c r="AM33" s="75" t="inlineStr">
        <is>
          <t>± PERDA &amp;/ou GANHO</t>
        </is>
      </c>
      <c r="AN33" s="11" t="n"/>
      <c r="AO33" s="11" t="n"/>
      <c r="AP33" s="11" t="n"/>
      <c r="AQ33" s="11" t="n"/>
      <c r="AR33" s="12" t="n"/>
      <c r="AS33" s="48" t="n"/>
      <c r="AT33" s="48" t="n"/>
    </row>
    <row r="34" ht="27" customHeight="1">
      <c r="B34" s="17" t="n"/>
      <c r="C34" s="38" t="n"/>
      <c r="D34" s="76">
        <f>J34</f>
        <v/>
      </c>
      <c r="E34" s="14" t="n"/>
      <c r="F34" s="14" t="n"/>
      <c r="G34" s="14" t="n"/>
      <c r="H34" s="15" t="n"/>
      <c r="I34" s="53" t="n"/>
      <c r="J34" s="82">
        <f>20+(AJ19+5)*($AH$11-1)</f>
        <v/>
      </c>
      <c r="K34" s="14" t="n"/>
      <c r="L34" s="14" t="n"/>
      <c r="M34" s="14" t="n"/>
      <c r="N34" s="15" t="n"/>
      <c r="O34" s="48" t="n"/>
      <c r="P34" s="81">
        <f>IFERROR(__xludf.DUMMYFUNCTION("IFERROR(SPARKLINE($D$34,{""charttype"",""bar"";""max"",$J$34;""color1"",IF(N($J$34)=0,DADOS!$CZ$48,IF($D$34/$J$34&lt;=0.25,""#C2334D"",IF($D$34/$J$34&lt;=0.5,""#D89B3A"",DADOS!$CZ$48)))}),"""")"),"")</f>
        <v/>
      </c>
      <c r="Q34" s="14" t="n"/>
      <c r="R34" s="14" t="n"/>
      <c r="S34" s="14" t="n"/>
      <c r="T34" s="14" t="n"/>
      <c r="U34" s="14" t="n"/>
      <c r="V34" s="14" t="n"/>
      <c r="W34" s="14" t="n"/>
      <c r="X34" s="14" t="n"/>
      <c r="Y34" s="14" t="n"/>
      <c r="Z34" s="14" t="n"/>
      <c r="AA34" s="14" t="n"/>
      <c r="AB34" s="14" t="n"/>
      <c r="AC34" s="14" t="n"/>
      <c r="AD34" s="15" t="n"/>
      <c r="AE34" s="55" t="n"/>
      <c r="AF34" s="79" t="n">
        <v>0</v>
      </c>
      <c r="AG34" s="19" t="n"/>
      <c r="AH34" s="19" t="n"/>
      <c r="AI34" s="19" t="n"/>
      <c r="AJ34" s="19" t="n"/>
      <c r="AK34" s="20" t="n"/>
      <c r="AL34" s="53" t="n"/>
      <c r="AM34" s="83" t="n"/>
      <c r="AR34" s="17" t="n"/>
      <c r="AS34" s="48" t="n"/>
      <c r="AT34" s="48" t="n"/>
    </row>
    <row r="35">
      <c r="B35" s="17" t="n"/>
      <c r="C35" s="38" t="n"/>
      <c r="D35" s="18" t="n"/>
      <c r="E35" s="19" t="n"/>
      <c r="F35" s="19" t="n"/>
      <c r="G35" s="19" t="n"/>
      <c r="H35" s="20" t="n"/>
      <c r="I35" s="53" t="n"/>
      <c r="J35" s="19" t="n"/>
      <c r="K35" s="19" t="n"/>
      <c r="L35" s="19" t="n"/>
      <c r="M35" s="19" t="n"/>
      <c r="N35" s="20" t="n"/>
      <c r="O35" s="48" t="n"/>
      <c r="P35" s="18" t="n"/>
      <c r="Q35" s="19" t="n"/>
      <c r="R35" s="19" t="n"/>
      <c r="S35" s="19" t="n"/>
      <c r="T35" s="19" t="n"/>
      <c r="U35" s="19" t="n"/>
      <c r="V35" s="19" t="n"/>
      <c r="W35" s="19" t="n"/>
      <c r="X35" s="19" t="n"/>
      <c r="Y35" s="19" t="n"/>
      <c r="Z35" s="19" t="n"/>
      <c r="AA35" s="19" t="n"/>
      <c r="AB35" s="19" t="n"/>
      <c r="AC35" s="19" t="n"/>
      <c r="AD35" s="20" t="n"/>
      <c r="AE35" s="48" t="n"/>
      <c r="AF35" s="49" t="n"/>
      <c r="AG35" s="49" t="n"/>
      <c r="AH35" s="49" t="n"/>
      <c r="AI35" s="49" t="n"/>
      <c r="AJ35" s="49" t="n"/>
      <c r="AK35" s="49" t="n"/>
      <c r="AL35" s="48" t="n"/>
      <c r="AM35" s="49" t="n"/>
      <c r="AN35" s="49" t="n"/>
      <c r="AO35" s="49" t="n"/>
      <c r="AP35" s="49" t="n"/>
      <c r="AQ35" s="49" t="n"/>
      <c r="AR35" s="49" t="n"/>
      <c r="AS35" s="48" t="n"/>
      <c r="AT35" s="48" t="n"/>
    </row>
    <row r="36">
      <c r="B36" s="17" t="n"/>
      <c r="C36" s="38" t="n"/>
      <c r="D36" s="48" t="n"/>
      <c r="E36" s="48" t="n"/>
      <c r="F36" s="48" t="n"/>
      <c r="G36" s="48" t="n"/>
      <c r="H36" s="48" t="n"/>
      <c r="I36" s="48" t="n"/>
      <c r="J36" s="48" t="n"/>
      <c r="K36" s="48" t="n"/>
      <c r="L36" s="48" t="n"/>
      <c r="M36" s="48" t="n"/>
      <c r="N36" s="48" t="n"/>
      <c r="O36" s="48" t="n"/>
      <c r="P36" s="48" t="n"/>
      <c r="Q36" s="48" t="n"/>
      <c r="R36" s="48" t="n"/>
      <c r="S36" s="48" t="n"/>
      <c r="T36" s="48" t="n"/>
      <c r="U36" s="48" t="n"/>
      <c r="V36" s="48" t="n"/>
      <c r="W36" s="48" t="n"/>
      <c r="X36" s="48" t="n"/>
      <c r="Y36" s="48" t="n"/>
      <c r="Z36" s="48" t="n"/>
      <c r="AA36" s="48" t="n"/>
      <c r="AB36" s="48" t="n"/>
      <c r="AC36" s="48" t="n"/>
      <c r="AD36" s="48" t="n"/>
      <c r="AE36" s="48" t="n"/>
      <c r="AF36" s="48" t="n"/>
      <c r="AG36" s="48" t="n"/>
      <c r="AH36" s="48" t="n"/>
      <c r="AI36" s="48" t="n"/>
      <c r="AJ36" s="48" t="n"/>
      <c r="AK36" s="48" t="n"/>
      <c r="AL36" s="48" t="n"/>
      <c r="AM36" s="48" t="n"/>
      <c r="AN36" s="48" t="n"/>
      <c r="AO36" s="48" t="n"/>
      <c r="AP36" s="48" t="n"/>
      <c r="AQ36" s="48" t="n"/>
      <c r="AR36" s="48" t="n"/>
      <c r="AS36" s="48" t="n"/>
      <c r="AT36" s="48" t="n"/>
    </row>
    <row r="37">
      <c r="B37" s="17" t="n"/>
      <c r="C37" s="38" t="n"/>
      <c r="D37" s="84">
        <f>IF($D$34=""," ",IF($D$34&lt;=0,"Estágio 4 · Você não é mais você mesmo",IF($D$34&lt;=$J$34/4,"Estágio 3 · Desvantagem em ataques e TRs",IF($D$34&lt;=$J$34/2,"Estágio 2 · Metade do deslocamento, +1 PE por Classe",IF($D$34&lt;=$J$34*3/4,"Estágio 1 · Desvantagem em perícias","Alma Inteira")))))</f>
        <v/>
      </c>
      <c r="E37" s="11" t="n"/>
      <c r="F37" s="11" t="n"/>
      <c r="G37" s="11" t="n"/>
      <c r="H37" s="11" t="n"/>
      <c r="I37" s="11" t="n"/>
      <c r="J37" s="11" t="n"/>
      <c r="K37" s="11" t="n"/>
      <c r="L37" s="11" t="n"/>
      <c r="M37" s="11" t="n"/>
      <c r="N37" s="11" t="n"/>
      <c r="O37" s="11" t="n"/>
      <c r="P37" s="11" t="n"/>
      <c r="Q37" s="11" t="n"/>
      <c r="R37" s="11" t="n"/>
      <c r="S37" s="11" t="n"/>
      <c r="T37" s="11" t="n"/>
      <c r="U37" s="11" t="n"/>
      <c r="V37" s="11" t="n"/>
      <c r="W37" s="11" t="n"/>
      <c r="X37" s="11" t="n"/>
      <c r="Y37" s="11" t="n"/>
      <c r="Z37" s="11" t="n"/>
      <c r="AA37" s="11" t="n"/>
      <c r="AB37" s="11" t="n"/>
      <c r="AC37" s="11" t="n"/>
      <c r="AD37" s="11" t="n"/>
      <c r="AE37" s="11" t="n"/>
      <c r="AF37" s="11" t="n"/>
      <c r="AG37" s="11" t="n"/>
      <c r="AH37" s="11" t="n"/>
      <c r="AI37" s="11" t="n"/>
      <c r="AJ37" s="11" t="n"/>
      <c r="AK37" s="11" t="n"/>
      <c r="AL37" s="11" t="n"/>
      <c r="AM37" s="11" t="n"/>
      <c r="AN37" s="11" t="n"/>
      <c r="AO37" s="11" t="n"/>
      <c r="AP37" s="11" t="n"/>
      <c r="AQ37" s="11" t="n"/>
      <c r="AR37" s="11" t="n"/>
      <c r="AS37" s="11" t="n"/>
      <c r="AT37" s="12" t="n"/>
    </row>
    <row r="38">
      <c r="B38" s="17" t="n"/>
      <c r="C38" s="38" t="n"/>
      <c r="D38" s="48" t="n"/>
      <c r="E38" s="48" t="n"/>
      <c r="F38" s="48" t="n"/>
      <c r="G38" s="48" t="n"/>
      <c r="H38" s="48" t="n"/>
      <c r="I38" s="48" t="n"/>
      <c r="J38" s="48" t="n"/>
      <c r="K38" s="48" t="n"/>
      <c r="L38" s="48" t="n"/>
      <c r="M38" s="48" t="n"/>
      <c r="N38" s="48" t="n"/>
      <c r="O38" s="48" t="n"/>
      <c r="P38" s="48" t="n"/>
      <c r="Q38" s="48" t="n"/>
      <c r="R38" s="48" t="n"/>
      <c r="S38" s="48" t="n"/>
      <c r="T38" s="48" t="n"/>
      <c r="U38" s="48" t="n"/>
      <c r="V38" s="48" t="n"/>
      <c r="W38" s="48" t="n"/>
      <c r="X38" s="48" t="n"/>
      <c r="Y38" s="48" t="n"/>
      <c r="Z38" s="48" t="n"/>
      <c r="AA38" s="48" t="n"/>
      <c r="AB38" s="48" t="n"/>
      <c r="AC38" s="48" t="n"/>
      <c r="AD38" s="48" t="n"/>
      <c r="AE38" s="48" t="n"/>
      <c r="AF38" s="48" t="n"/>
      <c r="AG38" s="48" t="n"/>
      <c r="AH38" s="48" t="n"/>
      <c r="AI38" s="48" t="n"/>
      <c r="AJ38" s="48" t="n"/>
      <c r="AK38" s="48" t="n"/>
      <c r="AL38" s="48" t="n"/>
      <c r="AM38" s="48" t="n"/>
      <c r="AN38" s="48" t="n"/>
      <c r="AO38" s="48" t="n"/>
      <c r="AP38" s="48" t="n"/>
      <c r="AQ38" s="48" t="n"/>
      <c r="AR38" s="48" t="n"/>
      <c r="AS38" s="48" t="n"/>
      <c r="AT38" s="48" t="n"/>
    </row>
    <row r="39">
      <c r="B39" s="17" t="n"/>
      <c r="C39" s="38" t="n"/>
      <c r="D39" s="48" t="n"/>
      <c r="E39" s="48" t="n"/>
      <c r="F39" s="48" t="n"/>
      <c r="G39" s="48" t="n"/>
      <c r="H39" s="48" t="n"/>
      <c r="I39" s="48" t="n"/>
      <c r="J39" s="48" t="n"/>
      <c r="K39" s="48" t="n"/>
      <c r="L39" s="48" t="n"/>
      <c r="M39" s="48" t="n"/>
      <c r="N39" s="48" t="n"/>
      <c r="O39" s="48" t="n"/>
      <c r="P39" s="48" t="n"/>
      <c r="Q39" s="48" t="n"/>
      <c r="R39" s="48" t="n"/>
      <c r="S39" s="48" t="n"/>
      <c r="T39" s="48" t="n"/>
      <c r="U39" s="48" t="n"/>
      <c r="V39" s="48" t="n"/>
      <c r="W39" s="48" t="n"/>
      <c r="X39" s="48" t="n"/>
      <c r="Y39" s="48" t="n"/>
      <c r="Z39" s="52" t="inlineStr">
        <is>
          <t>BLOQUEAR</t>
        </is>
      </c>
      <c r="AA39" s="11" t="n"/>
      <c r="AB39" s="11" t="n"/>
      <c r="AC39" s="11" t="n"/>
      <c r="AD39" s="11" t="n"/>
      <c r="AE39" s="11" t="n"/>
      <c r="AF39" s="11" t="n"/>
      <c r="AG39" s="11" t="n"/>
      <c r="AH39" s="11" t="n"/>
      <c r="AI39" s="12" t="n"/>
      <c r="AJ39" s="48" t="n"/>
      <c r="AK39" s="66" t="inlineStr">
        <is>
          <t>Marco Escolhido</t>
        </is>
      </c>
      <c r="AL39" s="11" t="n"/>
      <c r="AM39" s="11" t="n"/>
      <c r="AN39" s="11" t="n"/>
      <c r="AO39" s="66" t="inlineStr">
        <is>
          <t>Refino</t>
        </is>
      </c>
      <c r="AP39" s="11" t="n"/>
      <c r="AQ39" s="66" t="inlineStr">
        <is>
          <t>Corpo</t>
        </is>
      </c>
      <c r="AR39" s="11" t="n"/>
      <c r="AS39" s="62" t="inlineStr">
        <is>
          <t>Leque</t>
        </is>
      </c>
      <c r="AT39" s="12" t="n"/>
    </row>
    <row r="40" ht="27" customHeight="1">
      <c r="B40" s="17" t="n"/>
      <c r="C40" s="38" t="n"/>
      <c r="D40" s="63" t="n">
        <v>3</v>
      </c>
      <c r="E40" s="14" t="n"/>
      <c r="F40" s="15" t="n"/>
      <c r="G40" s="85" t="inlineStr">
        <is>
          <t>REGISTRO</t>
        </is>
      </c>
      <c r="H40" s="11" t="n"/>
      <c r="I40" s="11" t="n"/>
      <c r="J40" s="11" t="n"/>
      <c r="K40" s="11" t="n"/>
      <c r="L40" s="11" t="n"/>
      <c r="M40" s="11" t="n"/>
      <c r="N40" s="11" t="n"/>
      <c r="O40" s="11" t="n"/>
      <c r="P40" s="11" t="n"/>
      <c r="Q40" s="11" t="n"/>
      <c r="R40" s="11" t="n"/>
      <c r="S40" s="11" t="n"/>
      <c r="T40" s="11" t="n"/>
      <c r="U40" s="11" t="n"/>
      <c r="V40" s="11" t="n"/>
      <c r="W40" s="11" t="n"/>
      <c r="X40" s="12" t="n"/>
      <c r="Y40" s="48" t="n"/>
      <c r="Z40" s="80">
        <f>"2d10 + " &amp; D43-11</f>
        <v/>
      </c>
      <c r="AA40" s="11" t="n"/>
      <c r="AB40" s="11" t="n"/>
      <c r="AC40" s="11" t="n"/>
      <c r="AD40" s="11" t="n"/>
      <c r="AE40" s="11" t="n"/>
      <c r="AF40" s="11" t="n"/>
      <c r="AG40" s="11" t="n"/>
      <c r="AH40" s="11" t="n"/>
      <c r="AI40" s="12" t="n"/>
      <c r="AJ40" s="67" t="n"/>
      <c r="AK40" s="86">
        <f>IF(DADOS!$AK$12&gt;DADOS!$AK$5,DADOS!$AK$12-DADOS!$AK$5&amp;" a mais",IF(DADOS!$AK$5=0,"Escolha 1 a cada 4 Nv",DADOS!$AK$5-DADOS!$AK$12&amp;" de "&amp;DADOS!$AK$5&amp;" para escolher"))</f>
        <v/>
      </c>
      <c r="AL40" s="11" t="n"/>
      <c r="AM40" s="11" t="n"/>
      <c r="AN40" s="12" t="n"/>
      <c r="AO40" s="87" t="n">
        <v>0</v>
      </c>
      <c r="AP40" s="11" t="n"/>
      <c r="AQ40" s="87" t="n">
        <v>0</v>
      </c>
      <c r="AR40" s="11" t="n"/>
      <c r="AS40" s="65" t="n">
        <v>0</v>
      </c>
      <c r="AT40" s="12" t="n"/>
    </row>
    <row r="41">
      <c r="B41" s="17" t="n"/>
      <c r="C41" s="38" t="n"/>
      <c r="D41" s="18" t="n"/>
      <c r="E41" s="19" t="n"/>
      <c r="F41" s="20" t="n"/>
      <c r="G41" s="48" t="n"/>
      <c r="H41" s="48" t="n"/>
      <c r="I41" s="48" t="n"/>
      <c r="J41" s="48" t="n"/>
      <c r="K41" s="48" t="n"/>
      <c r="L41" s="48" t="n"/>
      <c r="M41" s="48" t="n"/>
      <c r="N41" s="48" t="n"/>
      <c r="O41" s="48" t="n"/>
      <c r="P41" s="48" t="n"/>
      <c r="Q41" s="48" t="n"/>
      <c r="R41" s="48" t="n"/>
      <c r="S41" s="48" t="n"/>
      <c r="T41" s="48" t="n"/>
      <c r="U41" s="48" t="n"/>
      <c r="V41" s="48" t="n"/>
      <c r="W41" s="48" t="n"/>
      <c r="X41" s="48" t="n"/>
      <c r="Y41" s="48" t="n"/>
      <c r="Z41" s="48" t="n"/>
      <c r="AA41" s="48" t="n"/>
      <c r="AB41" s="48" t="n"/>
      <c r="AC41" s="48" t="n"/>
      <c r="AD41" s="48" t="n"/>
      <c r="AE41" s="48" t="n"/>
      <c r="AF41" s="48" t="n"/>
      <c r="AG41" s="48" t="n"/>
      <c r="AH41" s="48" t="n"/>
      <c r="AI41" s="48" t="n"/>
      <c r="AJ41" s="48" t="n"/>
      <c r="AK41" s="48" t="n"/>
      <c r="AL41" s="48" t="n"/>
      <c r="AM41" s="48" t="n"/>
      <c r="AN41" s="48" t="n"/>
      <c r="AO41" s="48" t="n"/>
      <c r="AP41" s="48" t="n"/>
      <c r="AQ41" s="48" t="n"/>
      <c r="AR41" s="48" t="n"/>
      <c r="AS41" s="48" t="n"/>
      <c r="AT41" s="48" t="n"/>
    </row>
    <row r="42">
      <c r="B42" s="17" t="n"/>
      <c r="C42" s="38" t="n"/>
      <c r="D42" s="52" t="inlineStr">
        <is>
          <t>DEFESA</t>
        </is>
      </c>
      <c r="E42" s="11" t="n"/>
      <c r="F42" s="11" t="n"/>
      <c r="G42" s="11" t="n"/>
      <c r="H42" s="11" t="n"/>
      <c r="I42" s="11" t="n"/>
      <c r="J42" s="11" t="n"/>
      <c r="K42" s="12" t="n"/>
      <c r="L42" s="88" t="inlineStr">
        <is>
          <t>Buff/Debuff</t>
        </is>
      </c>
      <c r="M42" s="12" t="n"/>
      <c r="N42" s="48" t="n"/>
      <c r="O42" s="52" t="inlineStr">
        <is>
          <t>PROTEÇÃO</t>
        </is>
      </c>
      <c r="P42" s="11" t="n"/>
      <c r="Q42" s="11" t="n"/>
      <c r="R42" s="11" t="n"/>
      <c r="S42" s="11" t="n"/>
      <c r="T42" s="11" t="n"/>
      <c r="U42" s="11" t="n"/>
      <c r="V42" s="11" t="n"/>
      <c r="W42" s="11" t="n"/>
      <c r="X42" s="12" t="n"/>
      <c r="Y42" s="48" t="n"/>
      <c r="Z42" s="52" t="inlineStr">
        <is>
          <t>EQUIPAMENTO</t>
        </is>
      </c>
      <c r="AA42" s="11" t="n"/>
      <c r="AB42" s="11" t="n"/>
      <c r="AC42" s="11" t="n"/>
      <c r="AD42" s="11" t="n"/>
      <c r="AE42" s="11" t="n"/>
      <c r="AF42" s="11" t="n"/>
      <c r="AG42" s="11" t="n"/>
      <c r="AH42" s="11" t="n"/>
      <c r="AI42" s="12" t="n"/>
      <c r="AJ42" s="48" t="n"/>
      <c r="AK42" s="52" t="inlineStr">
        <is>
          <t>INICIATIVA</t>
        </is>
      </c>
      <c r="AL42" s="11" t="n"/>
      <c r="AM42" s="11" t="n"/>
      <c r="AN42" s="11" t="n"/>
      <c r="AO42" s="11" t="n"/>
      <c r="AP42" s="11" t="n"/>
      <c r="AQ42" s="11" t="n"/>
      <c r="AR42" s="12" t="n"/>
      <c r="AS42" s="88" t="inlineStr">
        <is>
          <t>Buff/Debuff</t>
        </is>
      </c>
      <c r="AT42" s="12" t="n"/>
    </row>
    <row r="43" ht="21" customHeight="1">
      <c r="B43" s="17" t="n"/>
      <c r="C43" s="38" t="n"/>
      <c r="D43" s="89">
        <f>10+IF($Z$43="",$L$19,MIN($L$19,IFERROR(VALUE(VLOOKUP($Z$43,DADOS!$AE$5:$AH$31,3,FALSE)&amp;""),$L$19)))+$O$43+IFERROR(VALUE($L$43&amp;""),0)</f>
        <v/>
      </c>
      <c r="E43" s="11" t="n"/>
      <c r="F43" s="11" t="n"/>
      <c r="G43" s="11" t="n"/>
      <c r="H43" s="11" t="n"/>
      <c r="I43" s="11" t="n"/>
      <c r="J43" s="11" t="n"/>
      <c r="K43" s="12" t="n"/>
      <c r="L43" s="90" t="n">
        <v>0</v>
      </c>
      <c r="M43" s="12" t="n"/>
      <c r="N43" s="48" t="n"/>
      <c r="O43" s="89">
        <f>IF($Z$43="",FLOOR(MIN(10,$O$57+MIN($O$57-1,IFERROR(VALUE($AO$40&amp;""),0)))/3,1)+1,IF(VLOOKUP($Z$43,DADOS!$AE$5:$AH$31,4,FALSE)="sim",0,FLOOR(MIN(10,$O$57+MIN($O$57-1,IFERROR(VALUE($AO$40&amp;""),0)))/3,1)+1)+VLOOKUP($Z$43,DADOS!$AE$5:$AH$31,2,FALSE))</f>
        <v/>
      </c>
      <c r="P43" s="11" t="n"/>
      <c r="Q43" s="11" t="n"/>
      <c r="R43" s="11" t="n"/>
      <c r="S43" s="11" t="n"/>
      <c r="T43" s="11" t="n"/>
      <c r="U43" s="11" t="n"/>
      <c r="V43" s="11" t="n"/>
      <c r="W43" s="11" t="n"/>
      <c r="X43" s="12" t="n"/>
      <c r="Y43" s="48" t="n"/>
      <c r="Z43" s="80">
        <f>IF(DADOS!$CZ$27=1,'FICHA PESSOAL'!$AH$41&amp;IF(DADOS!$CZ$19=1," + "&amp;'FICHA PESSOAL'!$S$41,""),IF(DADOS!$CZ$19=1,'FICHA PESSOAL'!$S$41,""))</f>
        <v/>
      </c>
      <c r="AA43" s="11" t="n"/>
      <c r="AB43" s="11" t="n"/>
      <c r="AC43" s="11" t="n"/>
      <c r="AD43" s="11" t="n"/>
      <c r="AE43" s="11" t="n"/>
      <c r="AF43" s="11" t="n"/>
      <c r="AG43" s="11" t="n"/>
      <c r="AH43" s="11" t="n"/>
      <c r="AI43" s="12" t="n"/>
      <c r="AJ43" s="48" t="n"/>
      <c r="AK43" s="89">
        <f>"d20 + "&amp;($L$19+IFERROR(VALUE($AS$43&amp;""),0))</f>
        <v/>
      </c>
      <c r="AL43" s="11" t="n"/>
      <c r="AM43" s="11" t="n"/>
      <c r="AN43" s="11" t="n"/>
      <c r="AO43" s="11" t="n"/>
      <c r="AP43" s="11" t="n"/>
      <c r="AQ43" s="11" t="n"/>
      <c r="AR43" s="12" t="n"/>
      <c r="AS43" s="90" t="n">
        <v>0</v>
      </c>
      <c r="AT43" s="12" t="n"/>
    </row>
    <row r="44">
      <c r="B44" s="17" t="n"/>
      <c r="C44" s="38" t="n"/>
      <c r="D44" s="48" t="n"/>
      <c r="E44" s="48" t="n"/>
      <c r="F44" s="48" t="n"/>
      <c r="G44" s="48" t="n"/>
      <c r="H44" s="48" t="n"/>
      <c r="I44" s="48" t="n"/>
      <c r="J44" s="48" t="n"/>
      <c r="K44" s="48" t="n"/>
      <c r="L44" s="48" t="n"/>
      <c r="M44" s="48" t="n"/>
      <c r="N44" s="48" t="n"/>
      <c r="O44" s="48" t="n"/>
      <c r="P44" s="48" t="n"/>
      <c r="Q44" s="48" t="n"/>
      <c r="R44" s="48" t="n"/>
      <c r="S44" s="48" t="n"/>
      <c r="T44" s="48" t="n"/>
      <c r="U44" s="48" t="n"/>
      <c r="V44" s="48" t="n"/>
      <c r="W44" s="48" t="n"/>
      <c r="X44" s="48" t="n"/>
      <c r="Y44" s="48" t="n"/>
      <c r="Z44" s="48" t="n"/>
      <c r="AA44" s="48" t="n"/>
      <c r="AB44" s="48" t="n"/>
      <c r="AC44" s="48" t="n"/>
      <c r="AD44" s="48" t="n"/>
      <c r="AE44" s="48" t="n"/>
      <c r="AF44" s="48" t="n"/>
      <c r="AG44" s="48" t="n"/>
      <c r="AH44" s="48" t="n"/>
      <c r="AI44" s="48" t="n"/>
      <c r="AJ44" s="48" t="n"/>
      <c r="AK44" s="48" t="n"/>
      <c r="AL44" s="48" t="n"/>
      <c r="AM44" s="48" t="n"/>
      <c r="AN44" s="48" t="n"/>
      <c r="AO44" s="48" t="n"/>
      <c r="AP44" s="48" t="n"/>
      <c r="AQ44" s="48" t="n"/>
      <c r="AR44" s="48" t="n"/>
      <c r="AS44" s="48" t="n"/>
      <c r="AT44" s="48" t="n"/>
    </row>
    <row r="45">
      <c r="B45" s="17" t="n"/>
      <c r="C45" s="38" t="n"/>
      <c r="D45" s="48" t="n"/>
      <c r="E45" s="48" t="n"/>
      <c r="F45" s="48" t="n"/>
      <c r="G45" s="48" t="n"/>
      <c r="H45" s="48" t="n"/>
      <c r="I45" s="48" t="n"/>
      <c r="J45" s="48" t="n"/>
      <c r="K45" s="48" t="n"/>
      <c r="L45" s="48" t="n"/>
      <c r="M45" s="48" t="n"/>
      <c r="N45" s="48" t="n"/>
      <c r="O45" s="48" t="n"/>
      <c r="P45" s="48" t="n"/>
      <c r="Q45" s="48" t="n"/>
      <c r="R45" s="48" t="n"/>
      <c r="S45" s="48" t="n"/>
      <c r="T45" s="48" t="n"/>
      <c r="U45" s="48" t="n"/>
      <c r="V45" s="48" t="n"/>
      <c r="W45" s="48" t="n"/>
      <c r="X45" s="48" t="n"/>
      <c r="Y45" s="48" t="n"/>
      <c r="Z45" s="48" t="n"/>
      <c r="AA45" s="48" t="n"/>
      <c r="AB45" s="48" t="n"/>
      <c r="AC45" s="48" t="n"/>
      <c r="AD45" s="48" t="n"/>
      <c r="AE45" s="48" t="n"/>
      <c r="AF45" s="48" t="n"/>
      <c r="AG45" s="48" t="n"/>
      <c r="AH45" s="48" t="n"/>
      <c r="AI45" s="48" t="n"/>
      <c r="AJ45" s="48" t="n"/>
      <c r="AK45" s="48" t="n"/>
      <c r="AL45" s="48" t="n"/>
      <c r="AM45" s="48" t="n"/>
      <c r="AN45" s="48" t="n"/>
      <c r="AO45" s="48" t="n"/>
      <c r="AP45" s="48" t="n"/>
      <c r="AQ45" s="48" t="n"/>
      <c r="AR45" s="48" t="n"/>
      <c r="AS45" s="48" t="n"/>
      <c r="AT45" s="48" t="n"/>
    </row>
    <row r="46">
      <c r="B46" s="17" t="n"/>
      <c r="C46" s="38" t="n"/>
      <c r="D46" s="52" t="inlineStr">
        <is>
          <t>CD DE FEITIÇO</t>
        </is>
      </c>
      <c r="E46" s="11" t="n"/>
      <c r="F46" s="11" t="n"/>
      <c r="G46" s="11" t="n"/>
      <c r="H46" s="11" t="n"/>
      <c r="I46" s="11" t="n"/>
      <c r="J46" s="11" t="n"/>
      <c r="K46" s="12" t="n"/>
      <c r="L46" s="88" t="inlineStr">
        <is>
          <t>Buff/Debuff</t>
        </is>
      </c>
      <c r="M46" s="12" t="n"/>
      <c r="N46" s="48" t="n"/>
      <c r="O46" s="52" t="inlineStr">
        <is>
          <t>CONJURAÇÃO</t>
        </is>
      </c>
      <c r="P46" s="11" t="n"/>
      <c r="Q46" s="11" t="n"/>
      <c r="R46" s="11" t="n"/>
      <c r="S46" s="11" t="n"/>
      <c r="T46" s="11" t="n"/>
      <c r="U46" s="11" t="n"/>
      <c r="V46" s="12" t="n"/>
      <c r="W46" s="88" t="inlineStr">
        <is>
          <t>Buff/Debuff</t>
        </is>
      </c>
      <c r="X46" s="12" t="n"/>
      <c r="Y46" s="48" t="n"/>
      <c r="Z46" s="52" t="inlineStr">
        <is>
          <t>CORPO A CORPO</t>
        </is>
      </c>
      <c r="AA46" s="11" t="n"/>
      <c r="AB46" s="11" t="n"/>
      <c r="AC46" s="11" t="n"/>
      <c r="AD46" s="11" t="n"/>
      <c r="AE46" s="11" t="n"/>
      <c r="AF46" s="11" t="n"/>
      <c r="AG46" s="12" t="n"/>
      <c r="AH46" s="88" t="inlineStr">
        <is>
          <t>Buff/Debuff</t>
        </is>
      </c>
      <c r="AI46" s="12" t="n"/>
      <c r="AJ46" s="48" t="n"/>
      <c r="AK46" s="52" t="inlineStr">
        <is>
          <t>À DISTÂNCIA</t>
        </is>
      </c>
      <c r="AL46" s="11" t="n"/>
      <c r="AM46" s="11" t="n"/>
      <c r="AN46" s="11" t="n"/>
      <c r="AO46" s="11" t="n"/>
      <c r="AP46" s="11" t="n"/>
      <c r="AQ46" s="11" t="n"/>
      <c r="AR46" s="12" t="n"/>
      <c r="AS46" s="88" t="inlineStr">
        <is>
          <t>Buff/Debuff</t>
        </is>
      </c>
      <c r="AT46" s="12" t="n"/>
    </row>
    <row r="47" ht="21" customHeight="1">
      <c r="B47" s="17" t="n"/>
      <c r="C47" s="38" t="n"/>
      <c r="D47" s="89">
        <f>8+D51+IFS(Z51="FORÇA",$D$19, Z51="DESTREZA",$L$19, Z51="CONSTITUIÇÃO",$T$19, Z51="INTELIGÊNCIA",$AB$19, Z51="ESSÊNCIA",$AJ$19)+IFERROR(VALUE($L$47&amp;""),0)</f>
        <v/>
      </c>
      <c r="E47" s="11" t="n"/>
      <c r="F47" s="11" t="n"/>
      <c r="G47" s="11" t="n"/>
      <c r="H47" s="11" t="n"/>
      <c r="I47" s="11" t="n"/>
      <c r="J47" s="11" t="n"/>
      <c r="K47" s="12" t="n"/>
      <c r="L47" s="90" t="n">
        <v>0</v>
      </c>
      <c r="M47" s="12" t="n"/>
      <c r="N47" s="48" t="n"/>
      <c r="O47" s="89">
        <f>"d20 + "&amp;(D51+IFS(Z51="FORÇA",$D$19, Z51="DESTREZA",$L$19, Z51="CONSTITUIÇÃO",$T$19, Z51="INTELIGÊNCIA",$AB$19, Z51="ESSÊNCIA",$AJ$19)+IFERROR(VALUE($W$47&amp;""),0))</f>
        <v/>
      </c>
      <c r="P47" s="11" t="n"/>
      <c r="Q47" s="11" t="n"/>
      <c r="R47" s="11" t="n"/>
      <c r="S47" s="11" t="n"/>
      <c r="T47" s="11" t="n"/>
      <c r="U47" s="11" t="n"/>
      <c r="V47" s="12" t="n"/>
      <c r="W47" s="90" t="n">
        <v>0</v>
      </c>
      <c r="X47" s="12" t="n"/>
      <c r="Y47" s="48" t="n"/>
      <c r="Z47" s="89">
        <f>"d20 + "&amp;(D51+IFS(AK51="FORÇA",$D$19, AK51="DESTREZA",$L$19, AK51="CONSTITUIÇÃO",$T$19, AK51="INTELIGÊNCIA",$AB$19, AK51="ESSÊNCIA",$AJ$19)+IFERROR(VALUE($AH$47&amp;""),0))</f>
        <v/>
      </c>
      <c r="AA47" s="11" t="n"/>
      <c r="AB47" s="11" t="n"/>
      <c r="AC47" s="11" t="n"/>
      <c r="AD47" s="11" t="n"/>
      <c r="AE47" s="11" t="n"/>
      <c r="AF47" s="11" t="n"/>
      <c r="AG47" s="12" t="n"/>
      <c r="AH47" s="90" t="n">
        <v>0</v>
      </c>
      <c r="AI47" s="12" t="n"/>
      <c r="AJ47" s="48" t="n"/>
      <c r="AK47" s="89">
        <f>"d20 + "&amp;(D51+IFS(AE54="FORÇA",$D$19, AE54="DESTREZA",$L$19, AE54="CONSTITUIÇÃO",$T$19, AE54="INTELIGÊNCIA",$AB$19, AE54="ESSÊNCIA",$AJ$19)+IFERROR(VALUE($AS$47&amp;""),0))</f>
        <v/>
      </c>
      <c r="AL47" s="11" t="n"/>
      <c r="AM47" s="11" t="n"/>
      <c r="AN47" s="11" t="n"/>
      <c r="AO47" s="11" t="n"/>
      <c r="AP47" s="11" t="n"/>
      <c r="AQ47" s="11" t="n"/>
      <c r="AR47" s="12" t="n"/>
      <c r="AS47" s="90" t="n">
        <v>0</v>
      </c>
      <c r="AT47" s="12" t="n"/>
    </row>
    <row r="48">
      <c r="B48" s="17" t="n"/>
      <c r="C48" s="3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c r="AA48" s="48" t="n"/>
      <c r="AB48" s="48" t="n"/>
      <c r="AC48" s="48" t="n"/>
      <c r="AD48" s="48" t="n"/>
      <c r="AE48" s="48" t="n"/>
      <c r="AF48" s="48" t="n"/>
      <c r="AG48" s="48" t="n"/>
      <c r="AH48" s="48" t="n"/>
      <c r="AI48" s="48" t="n"/>
      <c r="AJ48" s="48" t="n"/>
      <c r="AK48" s="48" t="n"/>
      <c r="AL48" s="48" t="n"/>
      <c r="AM48" s="48" t="n"/>
      <c r="AN48" s="48" t="n"/>
      <c r="AO48" s="48" t="n"/>
      <c r="AP48" s="48" t="n"/>
      <c r="AQ48" s="48" t="n"/>
      <c r="AR48" s="48" t="n"/>
      <c r="AS48" s="48" t="n"/>
      <c r="AT48" s="48" t="n"/>
    </row>
    <row r="49">
      <c r="B49" s="17" t="n"/>
      <c r="C49" s="3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c r="AA49" s="48" t="n"/>
      <c r="AB49" s="48" t="n"/>
      <c r="AC49" s="48" t="n"/>
      <c r="AD49" s="48" t="n"/>
      <c r="AE49" s="48" t="n"/>
      <c r="AF49" s="48" t="n"/>
      <c r="AG49" s="48" t="n"/>
      <c r="AH49" s="48" t="n"/>
      <c r="AI49" s="48" t="n"/>
      <c r="AJ49" s="48" t="n"/>
      <c r="AK49" s="48" t="n"/>
      <c r="AL49" s="48" t="n"/>
      <c r="AM49" s="48" t="n"/>
      <c r="AN49" s="48" t="n"/>
      <c r="AO49" s="48" t="n"/>
      <c r="AP49" s="48" t="n"/>
      <c r="AQ49" s="48" t="n"/>
      <c r="AR49" s="48" t="n"/>
      <c r="AS49" s="48" t="n"/>
      <c r="AT49" s="48" t="n"/>
    </row>
    <row r="50">
      <c r="B50" s="17" t="n"/>
      <c r="C50" s="38" t="n"/>
      <c r="D50" s="52" t="inlineStr">
        <is>
          <t>MAESTRIA</t>
        </is>
      </c>
      <c r="E50" s="11" t="n"/>
      <c r="F50" s="11" t="n"/>
      <c r="G50" s="11" t="n"/>
      <c r="H50" s="11" t="n"/>
      <c r="I50" s="11" t="n"/>
      <c r="J50" s="11" t="n"/>
      <c r="K50" s="11" t="n"/>
      <c r="L50" s="11" t="n"/>
      <c r="M50" s="12" t="n"/>
      <c r="N50" s="48" t="n"/>
      <c r="O50" s="52" t="inlineStr">
        <is>
          <t>DESLOCAMENTO</t>
        </is>
      </c>
      <c r="P50" s="11" t="n"/>
      <c r="Q50" s="11" t="n"/>
      <c r="R50" s="11" t="n"/>
      <c r="S50" s="11" t="n"/>
      <c r="T50" s="11" t="n"/>
      <c r="U50" s="11" t="n"/>
      <c r="V50" s="12" t="n"/>
      <c r="W50" s="88" t="inlineStr">
        <is>
          <t>Buff/Debuff</t>
        </is>
      </c>
      <c r="X50" s="12" t="n"/>
      <c r="Y50" s="48" t="n"/>
      <c r="Z50" s="52" t="inlineStr">
        <is>
          <t xml:space="preserve">ATRIBUTO DE CONJURAÇÃO </t>
        </is>
      </c>
      <c r="AA50" s="11" t="n"/>
      <c r="AB50" s="11" t="n"/>
      <c r="AC50" s="11" t="n"/>
      <c r="AD50" s="11" t="n"/>
      <c r="AE50" s="11" t="n"/>
      <c r="AF50" s="11" t="n"/>
      <c r="AG50" s="11" t="n"/>
      <c r="AH50" s="11" t="n"/>
      <c r="AI50" s="12" t="n"/>
      <c r="AJ50" s="48" t="n"/>
      <c r="AK50" s="52" t="inlineStr">
        <is>
          <t>ATRIBUTO DE ATAQUE - CORPO A CORPO</t>
        </is>
      </c>
      <c r="AL50" s="11" t="n"/>
      <c r="AM50" s="11" t="n"/>
      <c r="AN50" s="11" t="n"/>
      <c r="AO50" s="11" t="n"/>
      <c r="AP50" s="11" t="n"/>
      <c r="AQ50" s="11" t="n"/>
      <c r="AR50" s="11" t="n"/>
      <c r="AS50" s="11" t="n"/>
      <c r="AT50" s="12" t="n"/>
    </row>
    <row r="51" ht="21" customHeight="1">
      <c r="B51" s="17" t="n"/>
      <c r="C51" s="38" t="n"/>
      <c r="D51" s="89">
        <f>(1+COUNTIF(DADOS!$X$5:$X$7,"&lt;="&amp;$AH$11))</f>
        <v/>
      </c>
      <c r="E51" s="11" t="n"/>
      <c r="F51" s="11" t="n"/>
      <c r="G51" s="11" t="n"/>
      <c r="H51" s="11" t="n"/>
      <c r="I51" s="11" t="n"/>
      <c r="J51" s="11" t="n"/>
      <c r="K51" s="11" t="n"/>
      <c r="L51" s="11" t="n"/>
      <c r="M51" s="12" t="n"/>
      <c r="N51" s="48" t="n"/>
      <c r="O51" s="89">
        <f>((9+IFERROR(VALUE($W$51&amp;""),0))/IF(DADOS!$CZ$43=1,2,1))&amp;" m"</f>
        <v/>
      </c>
      <c r="P51" s="11" t="n"/>
      <c r="Q51" s="11" t="n"/>
      <c r="R51" s="11" t="n"/>
      <c r="S51" s="11" t="n"/>
      <c r="T51" s="11" t="n"/>
      <c r="U51" s="11" t="n"/>
      <c r="V51" s="12" t="n"/>
      <c r="W51" s="90" t="n">
        <v>0</v>
      </c>
      <c r="X51" s="12" t="n"/>
      <c r="Y51" s="38" t="n"/>
      <c r="Z51" s="89" t="inlineStr">
        <is>
          <t>ESSÊNCIA</t>
        </is>
      </c>
      <c r="AA51" s="11" t="n"/>
      <c r="AB51" s="11" t="n"/>
      <c r="AC51" s="11" t="n"/>
      <c r="AD51" s="11" t="n"/>
      <c r="AE51" s="11" t="n"/>
      <c r="AF51" s="11" t="n"/>
      <c r="AG51" s="11" t="n"/>
      <c r="AH51" s="11" t="n"/>
      <c r="AI51" s="12" t="n"/>
      <c r="AJ51" s="48" t="n"/>
      <c r="AK51" s="89" t="inlineStr">
        <is>
          <t>FORÇA</t>
        </is>
      </c>
      <c r="AL51" s="11" t="n"/>
      <c r="AM51" s="11" t="n"/>
      <c r="AN51" s="11" t="n"/>
      <c r="AO51" s="11" t="n"/>
      <c r="AP51" s="11" t="n"/>
      <c r="AQ51" s="11" t="n"/>
      <c r="AR51" s="11" t="n"/>
      <c r="AS51" s="11" t="n"/>
      <c r="AT51" s="12" t="n"/>
    </row>
    <row r="52">
      <c r="A52" s="8" t="n"/>
      <c r="B52" s="22" t="n"/>
      <c r="C52" s="3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38" t="n"/>
      <c r="Z52" s="48" t="n"/>
      <c r="AA52" s="48" t="n"/>
      <c r="AB52" s="48" t="n"/>
      <c r="AC52" s="48" t="n"/>
      <c r="AD52" s="48" t="n"/>
      <c r="AE52" s="48" t="n"/>
      <c r="AF52" s="48" t="n"/>
      <c r="AG52" s="48" t="n"/>
      <c r="AH52" s="48" t="n"/>
      <c r="AI52" s="48" t="n"/>
      <c r="AJ52" s="48" t="n"/>
      <c r="AK52" s="48" t="n"/>
      <c r="AL52" s="48" t="n"/>
      <c r="AM52" s="48" t="n"/>
      <c r="AN52" s="48" t="n"/>
      <c r="AO52" s="48" t="n"/>
      <c r="AP52" s="48" t="n"/>
      <c r="AQ52" s="48" t="n"/>
      <c r="AR52" s="48" t="n"/>
      <c r="AS52" s="48" t="n"/>
      <c r="AT52" s="48" t="n"/>
    </row>
    <row r="53">
      <c r="A53" s="8" t="n"/>
      <c r="B53" s="22" t="n"/>
      <c r="C53" s="3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38" t="n"/>
      <c r="Z53" s="48" t="n"/>
      <c r="AA53" s="48" t="n"/>
      <c r="AB53" s="48" t="n"/>
      <c r="AC53" s="48" t="n"/>
      <c r="AD53" s="48" t="n"/>
      <c r="AE53" s="52" t="inlineStr">
        <is>
          <t xml:space="preserve">ATRIBUTO DE ATAQUE - À DISTÂNCIA </t>
        </is>
      </c>
      <c r="AF53" s="11" t="n"/>
      <c r="AG53" s="11" t="n"/>
      <c r="AH53" s="11" t="n"/>
      <c r="AI53" s="11" t="n"/>
      <c r="AJ53" s="11" t="n"/>
      <c r="AK53" s="11" t="n"/>
      <c r="AL53" s="11" t="n"/>
      <c r="AM53" s="11" t="n"/>
      <c r="AN53" s="11" t="n"/>
      <c r="AO53" s="12" t="n"/>
      <c r="AP53" s="48" t="n"/>
      <c r="AQ53" s="48" t="n"/>
      <c r="AR53" s="48" t="n"/>
      <c r="AS53" s="48" t="n"/>
      <c r="AT53" s="48" t="n"/>
    </row>
    <row r="54" ht="27" customHeight="1">
      <c r="A54" s="8" t="n"/>
      <c r="B54" s="22" t="n"/>
      <c r="C54" s="38" t="n"/>
      <c r="D54" s="63" t="n">
        <v>4</v>
      </c>
      <c r="E54" s="14" t="n"/>
      <c r="F54" s="15" t="n"/>
      <c r="G54" s="85" t="inlineStr">
        <is>
          <t>PROGRESSÃO</t>
        </is>
      </c>
      <c r="H54" s="11" t="n"/>
      <c r="I54" s="11" t="n"/>
      <c r="J54" s="11" t="n"/>
      <c r="K54" s="11" t="n"/>
      <c r="L54" s="11" t="n"/>
      <c r="M54" s="11" t="n"/>
      <c r="N54" s="11" t="n"/>
      <c r="O54" s="11" t="n"/>
      <c r="P54" s="11" t="n"/>
      <c r="Q54" s="11" t="n"/>
      <c r="R54" s="11" t="n"/>
      <c r="S54" s="11" t="n"/>
      <c r="T54" s="11" t="n"/>
      <c r="U54" s="11" t="n"/>
      <c r="V54" s="11" t="n"/>
      <c r="W54" s="11" t="n"/>
      <c r="X54" s="12" t="n"/>
      <c r="Y54" s="38" t="n"/>
      <c r="Z54" s="48" t="n"/>
      <c r="AA54" s="48" t="n"/>
      <c r="AB54" s="48" t="n"/>
      <c r="AC54" s="48" t="n"/>
      <c r="AD54" s="48" t="n"/>
      <c r="AE54" s="89" t="inlineStr">
        <is>
          <t>DESTREZA</t>
        </is>
      </c>
      <c r="AF54" s="11" t="n"/>
      <c r="AG54" s="11" t="n"/>
      <c r="AH54" s="11" t="n"/>
      <c r="AI54" s="11" t="n"/>
      <c r="AJ54" s="11" t="n"/>
      <c r="AK54" s="11" t="n"/>
      <c r="AL54" s="11" t="n"/>
      <c r="AM54" s="11" t="n"/>
      <c r="AN54" s="11" t="n"/>
      <c r="AO54" s="12" t="n"/>
      <c r="AP54" s="48" t="n"/>
      <c r="AQ54" s="48" t="n"/>
      <c r="AR54" s="48" t="n"/>
      <c r="AS54" s="48" t="n"/>
      <c r="AT54" s="48" t="n"/>
    </row>
    <row r="55">
      <c r="A55" s="8" t="n"/>
      <c r="B55" s="22" t="n"/>
      <c r="C55" s="38" t="n"/>
      <c r="D55" s="18" t="n"/>
      <c r="E55" s="19" t="n"/>
      <c r="F55" s="20" t="n"/>
      <c r="G55" s="48" t="n"/>
      <c r="H55" s="48" t="n"/>
      <c r="I55" s="48" t="n"/>
      <c r="J55" s="48" t="n"/>
      <c r="K55" s="48" t="n"/>
      <c r="L55" s="48" t="n"/>
      <c r="M55" s="48" t="n"/>
      <c r="N55" s="48" t="n"/>
      <c r="O55" s="48" t="n"/>
      <c r="P55" s="48" t="n"/>
      <c r="Q55" s="48" t="n"/>
      <c r="R55" s="48" t="n"/>
      <c r="S55" s="48" t="n"/>
      <c r="T55" s="48" t="n"/>
      <c r="U55" s="48" t="n"/>
      <c r="V55" s="48" t="n"/>
      <c r="W55" s="48" t="n"/>
      <c r="X55" s="48" t="n"/>
      <c r="Y55" s="38" t="n"/>
      <c r="Z55" s="48" t="n"/>
      <c r="AA55" s="48" t="n"/>
      <c r="AB55" s="48" t="n"/>
      <c r="AC55" s="48" t="n"/>
      <c r="AD55" s="48" t="n"/>
      <c r="AE55" s="48" t="n"/>
      <c r="AF55" s="48" t="n"/>
      <c r="AG55" s="48" t="n"/>
      <c r="AH55" s="48" t="n"/>
      <c r="AI55" s="48" t="n"/>
      <c r="AJ55" s="48" t="n"/>
      <c r="AK55" s="48" t="n"/>
      <c r="AL55" s="48" t="n"/>
      <c r="AM55" s="48" t="n"/>
      <c r="AN55" s="48" t="n"/>
      <c r="AO55" s="48" t="n"/>
      <c r="AP55" s="48" t="n"/>
      <c r="AQ55" s="48" t="n"/>
      <c r="AR55" s="48" t="n"/>
      <c r="AS55" s="48" t="n"/>
      <c r="AT55" s="48" t="n"/>
    </row>
    <row r="56">
      <c r="A56" s="8" t="n"/>
      <c r="B56" s="22" t="n"/>
      <c r="C56" s="38" t="n"/>
      <c r="D56" s="52" t="inlineStr">
        <is>
          <t>ESPAÇOS DE FEITIÇO</t>
        </is>
      </c>
      <c r="E56" s="11" t="n"/>
      <c r="F56" s="11" t="n"/>
      <c r="G56" s="11" t="n"/>
      <c r="H56" s="11" t="n"/>
      <c r="I56" s="11" t="n"/>
      <c r="J56" s="11" t="n"/>
      <c r="K56" s="11" t="n"/>
      <c r="L56" s="11" t="n"/>
      <c r="M56" s="12" t="n"/>
      <c r="N56" s="48" t="n"/>
      <c r="O56" s="52" t="inlineStr">
        <is>
          <t>REFINO DE GRAÇA</t>
        </is>
      </c>
      <c r="P56" s="11" t="n"/>
      <c r="Q56" s="11" t="n"/>
      <c r="R56" s="11" t="n"/>
      <c r="S56" s="11" t="n"/>
      <c r="T56" s="11" t="n"/>
      <c r="U56" s="11" t="n"/>
      <c r="V56" s="11" t="n"/>
      <c r="W56" s="11" t="n"/>
      <c r="X56" s="12" t="n"/>
      <c r="Y56" s="38" t="n"/>
      <c r="Z56" s="52" t="inlineStr">
        <is>
          <t>CLASSE MÁXIMA</t>
        </is>
      </c>
      <c r="AA56" s="11" t="n"/>
      <c r="AB56" s="11" t="n"/>
      <c r="AC56" s="11" t="n"/>
      <c r="AD56" s="11" t="n"/>
      <c r="AE56" s="11" t="n"/>
      <c r="AF56" s="11" t="n"/>
      <c r="AG56" s="11" t="n"/>
      <c r="AH56" s="11" t="n"/>
      <c r="AI56" s="12" t="n"/>
      <c r="AJ56" s="48" t="n"/>
      <c r="AK56" s="52" t="inlineStr">
        <is>
          <t xml:space="preserve">CLASSE 0 </t>
        </is>
      </c>
      <c r="AL56" s="11" t="n"/>
      <c r="AM56" s="11" t="n"/>
      <c r="AN56" s="11" t="n"/>
      <c r="AO56" s="11" t="n"/>
      <c r="AP56" s="11" t="n"/>
      <c r="AQ56" s="11" t="n"/>
      <c r="AR56" s="11" t="n"/>
      <c r="AS56" s="11" t="n"/>
      <c r="AT56" s="12" t="n"/>
    </row>
    <row r="57" ht="21" customHeight="1">
      <c r="A57" s="8" t="n"/>
      <c r="B57" s="22" t="n"/>
      <c r="C57" s="38" t="n"/>
      <c r="D57" s="89">
        <f>2+INT($AH$11/2)+COUNTIF(DADOS!$W$5:$W$11,"&lt;="&amp;$AH$11)+IFERROR(VALUE($AS$40&amp;""),0)</f>
        <v/>
      </c>
      <c r="E57" s="11" t="n"/>
      <c r="F57" s="11" t="n"/>
      <c r="G57" s="11" t="n"/>
      <c r="H57" s="11" t="n"/>
      <c r="I57" s="11" t="n"/>
      <c r="J57" s="11" t="n"/>
      <c r="K57" s="11" t="n"/>
      <c r="L57" s="11" t="n"/>
      <c r="M57" s="12" t="n"/>
      <c r="N57" s="38" t="n"/>
      <c r="O57" s="89">
        <f>(1+COUNTIF(DADOS!$W$5:$W$11,"&lt;="&amp;$AH$11))</f>
        <v/>
      </c>
      <c r="P57" s="11" t="n"/>
      <c r="Q57" s="11" t="n"/>
      <c r="R57" s="11" t="n"/>
      <c r="S57" s="11" t="n"/>
      <c r="T57" s="11" t="n"/>
      <c r="U57" s="11" t="n"/>
      <c r="V57" s="11" t="n"/>
      <c r="W57" s="11" t="n"/>
      <c r="X57" s="12" t="n"/>
      <c r="Y57" s="38" t="n"/>
      <c r="Z57" s="89">
        <f>COUNTIF(DADOS!$Y$5:$Y$11,"&lt;="&amp;$AH$11)</f>
        <v/>
      </c>
      <c r="AA57" s="11" t="n"/>
      <c r="AB57" s="11" t="n"/>
      <c r="AC57" s="11" t="n"/>
      <c r="AD57" s="11" t="n"/>
      <c r="AE57" s="11" t="n"/>
      <c r="AF57" s="11" t="n"/>
      <c r="AG57" s="11" t="n"/>
      <c r="AH57" s="11" t="n"/>
      <c r="AI57" s="12" t="n"/>
      <c r="AJ57" s="48" t="n"/>
      <c r="AK57" s="89">
        <f>2+COUNTIF(DADOS!$Z$5:$Z$7,"&lt;="&amp;$AH$11)</f>
        <v/>
      </c>
      <c r="AL57" s="11" t="n"/>
      <c r="AM57" s="11" t="n"/>
      <c r="AN57" s="11" t="n"/>
      <c r="AO57" s="11" t="n"/>
      <c r="AP57" s="11" t="n"/>
      <c r="AQ57" s="11" t="n"/>
      <c r="AR57" s="11" t="n"/>
      <c r="AS57" s="11" t="n"/>
      <c r="AT57" s="12" t="n"/>
    </row>
    <row r="58">
      <c r="A58" s="8" t="n"/>
      <c r="B58" s="22" t="n"/>
      <c r="C58" s="38" t="n"/>
      <c r="D58" s="38" t="n"/>
      <c r="E58" s="38" t="n"/>
      <c r="F58" s="38" t="n"/>
      <c r="G58" s="38" t="n"/>
      <c r="H58" s="38" t="n"/>
      <c r="I58" s="38" t="n"/>
      <c r="J58" s="38" t="n"/>
      <c r="K58" s="38" t="n"/>
      <c r="L58" s="38" t="n"/>
      <c r="M58" s="38" t="n"/>
      <c r="N58" s="38" t="n"/>
      <c r="O58" s="38" t="n"/>
      <c r="P58" s="38" t="n"/>
      <c r="Q58" s="38" t="n"/>
      <c r="R58" s="38" t="n"/>
      <c r="S58" s="38" t="n"/>
      <c r="T58" s="38" t="n"/>
      <c r="U58" s="38" t="n"/>
      <c r="V58" s="38" t="n"/>
      <c r="W58" s="38" t="n"/>
      <c r="X58" s="38" t="n"/>
      <c r="Y58" s="38" t="n"/>
      <c r="Z58" s="48" t="n"/>
      <c r="AA58" s="48" t="n"/>
      <c r="AB58" s="48" t="n"/>
      <c r="AC58" s="48" t="n"/>
      <c r="AD58" s="48" t="n"/>
      <c r="AE58" s="48" t="n"/>
      <c r="AF58" s="48" t="n"/>
      <c r="AG58" s="48" t="n"/>
      <c r="AH58" s="48" t="n"/>
      <c r="AI58" s="48" t="n"/>
      <c r="AJ58" s="48" t="n"/>
      <c r="AK58" s="48" t="n"/>
      <c r="AL58" s="48" t="n"/>
      <c r="AM58" s="48" t="n"/>
      <c r="AN58" s="48" t="n"/>
      <c r="AO58" s="48" t="n"/>
      <c r="AP58" s="48" t="n"/>
      <c r="AQ58" s="48" t="n"/>
      <c r="AR58" s="48" t="n"/>
      <c r="AS58" s="48" t="n"/>
      <c r="AT58" s="48" t="n"/>
    </row>
    <row r="59">
      <c r="A59" s="8" t="n"/>
      <c r="B59" s="22" t="n"/>
      <c r="C59" s="38" t="n"/>
      <c r="D59" s="38" t="n"/>
      <c r="E59" s="38" t="n"/>
      <c r="F59" s="38" t="n"/>
      <c r="G59" s="38" t="n"/>
      <c r="H59" s="38" t="n"/>
      <c r="I59" s="38" t="n"/>
      <c r="J59" s="38" t="n"/>
      <c r="K59" s="38" t="n"/>
      <c r="L59" s="38" t="n"/>
      <c r="M59" s="38" t="n"/>
      <c r="N59" s="38" t="n"/>
      <c r="O59" s="38" t="n"/>
      <c r="P59" s="38" t="n"/>
      <c r="Q59" s="38" t="n"/>
      <c r="R59" s="38" t="n"/>
      <c r="S59" s="38" t="n"/>
      <c r="T59" s="38" t="n"/>
      <c r="U59" s="38" t="n"/>
      <c r="V59" s="38" t="n"/>
      <c r="W59" s="38" t="n"/>
      <c r="X59" s="38" t="n"/>
      <c r="Y59" s="38" t="n"/>
      <c r="Z59" s="38" t="n"/>
      <c r="AA59" s="38" t="n"/>
      <c r="AB59" s="38" t="n"/>
      <c r="AC59" s="38" t="n"/>
      <c r="AD59" s="38" t="n"/>
      <c r="AE59" s="38" t="n"/>
      <c r="AF59" s="38" t="n"/>
      <c r="AG59" s="38" t="n"/>
      <c r="AH59" s="38" t="n"/>
      <c r="AI59" s="38" t="n"/>
      <c r="AJ59" s="38" t="n"/>
      <c r="AK59" s="38" t="n"/>
      <c r="AL59" s="38" t="n"/>
      <c r="AM59" s="38" t="n"/>
      <c r="AN59" s="38" t="n"/>
      <c r="AO59" s="38" t="n"/>
      <c r="AP59" s="38" t="n"/>
      <c r="AQ59" s="38" t="n"/>
      <c r="AR59" s="38" t="n"/>
      <c r="AS59" s="38" t="n"/>
      <c r="AT59" s="38" t="n"/>
    </row>
    <row r="60" ht="27" customHeight="1">
      <c r="A60" s="8" t="n"/>
      <c r="B60" s="22" t="n"/>
      <c r="C60" s="38" t="n"/>
      <c r="D60" s="63" t="n">
        <v>5</v>
      </c>
      <c r="E60" s="14" t="n"/>
      <c r="F60" s="15" t="n"/>
      <c r="G60" s="85" t="inlineStr">
        <is>
          <t>PERÍCIAS</t>
        </is>
      </c>
      <c r="H60" s="11" t="n"/>
      <c r="I60" s="11" t="n"/>
      <c r="J60" s="11" t="n"/>
      <c r="K60" s="11" t="n"/>
      <c r="L60" s="11" t="n"/>
      <c r="M60" s="11" t="n"/>
      <c r="N60" s="11" t="n"/>
      <c r="O60" s="11" t="n"/>
      <c r="P60" s="11" t="n"/>
      <c r="Q60" s="11" t="n"/>
      <c r="R60" s="11" t="n"/>
      <c r="S60" s="11" t="n"/>
      <c r="T60" s="11" t="n"/>
      <c r="U60" s="11" t="n"/>
      <c r="V60" s="11" t="n"/>
      <c r="W60" s="11" t="n"/>
      <c r="X60" s="11" t="n"/>
      <c r="Y60" s="11" t="n"/>
      <c r="Z60" s="11" t="n"/>
      <c r="AA60" s="11" t="n"/>
      <c r="AB60" s="11" t="n"/>
      <c r="AC60" s="11" t="n"/>
      <c r="AD60" s="12" t="n"/>
      <c r="AE60" s="48" t="n"/>
      <c r="AF60" s="48" t="n"/>
      <c r="AG60" s="48" t="n"/>
      <c r="AH60" s="48" t="n"/>
      <c r="AI60" s="48" t="n"/>
      <c r="AJ60" s="48" t="n"/>
      <c r="AK60" s="48" t="n"/>
      <c r="AL60" s="48" t="n"/>
      <c r="AM60" s="48" t="n"/>
      <c r="AN60" s="48" t="n"/>
      <c r="AO60" s="48" t="n"/>
      <c r="AP60" s="48" t="n"/>
      <c r="AQ60" s="48" t="n"/>
      <c r="AR60" s="48" t="n"/>
      <c r="AS60" s="48" t="n"/>
      <c r="AT60" s="48" t="n"/>
    </row>
    <row r="61">
      <c r="A61" s="8" t="n"/>
      <c r="B61" s="22" t="n"/>
      <c r="C61" s="38" t="n"/>
      <c r="D61" s="16" t="n"/>
      <c r="F61" s="17"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c r="AA61" s="48" t="n"/>
      <c r="AB61" s="48" t="n"/>
      <c r="AC61" s="48" t="n"/>
      <c r="AD61" s="48" t="n"/>
      <c r="AE61" s="48" t="n"/>
      <c r="AF61" s="91" t="n"/>
      <c r="AG61" s="48" t="n"/>
      <c r="AH61" s="48" t="n"/>
      <c r="AI61" s="48" t="n"/>
      <c r="AJ61" s="48" t="n"/>
      <c r="AK61" s="48" t="n"/>
      <c r="AL61" s="48" t="n"/>
      <c r="AM61" s="48" t="n"/>
      <c r="AN61" s="48" t="n"/>
      <c r="AO61" s="48" t="n"/>
      <c r="AP61" s="48" t="n"/>
      <c r="AQ61" s="48" t="n"/>
      <c r="AR61" s="48" t="n"/>
      <c r="AS61" s="48" t="n"/>
      <c r="AT61" s="48" t="n"/>
    </row>
    <row r="62">
      <c r="A62" s="8" t="n"/>
      <c r="B62" s="22" t="n"/>
      <c r="C62" s="38" t="n"/>
      <c r="D62" s="18" t="n"/>
      <c r="E62" s="19" t="n"/>
      <c r="F62" s="20" t="n"/>
      <c r="G62" s="48" t="n"/>
      <c r="H62" s="48" t="n"/>
      <c r="I62" s="48" t="n"/>
      <c r="J62" s="48" t="n"/>
      <c r="K62" s="48" t="n"/>
      <c r="L62" s="48" t="n"/>
      <c r="M62" s="48" t="n"/>
      <c r="N62" s="48" t="n"/>
      <c r="O62" s="48" t="n"/>
      <c r="P62" s="48" t="n"/>
      <c r="Q62" s="48" t="n"/>
      <c r="R62" s="48" t="n"/>
      <c r="S62" s="48" t="n"/>
      <c r="T62" s="92" t="inlineStr">
        <is>
          <t>Trein</t>
        </is>
      </c>
      <c r="U62" s="92" t="inlineStr">
        <is>
          <t>Espec</t>
        </is>
      </c>
      <c r="V62" s="48" t="n"/>
      <c r="W62" s="48" t="n"/>
      <c r="X62" s="48" t="n"/>
      <c r="Y62" s="48" t="n"/>
      <c r="Z62" s="48" t="n"/>
      <c r="AA62" s="48" t="n"/>
      <c r="AB62" s="48" t="n"/>
      <c r="AC62" s="48" t="n"/>
      <c r="AD62" s="48" t="n"/>
      <c r="AE62" s="48" t="n"/>
      <c r="AF62" s="91" t="n"/>
      <c r="AG62" s="48" t="n"/>
      <c r="AH62" s="92" t="inlineStr">
        <is>
          <t>Extra</t>
        </is>
      </c>
      <c r="AI62" s="48" t="n"/>
      <c r="AJ62" s="48" t="n"/>
      <c r="AK62" s="52" t="inlineStr">
        <is>
          <t>TREINAMENTO EM ARMAS</t>
        </is>
      </c>
      <c r="AL62" s="11" t="n"/>
      <c r="AM62" s="11" t="n"/>
      <c r="AN62" s="11" t="n"/>
      <c r="AO62" s="11" t="n"/>
      <c r="AP62" s="11" t="n"/>
      <c r="AQ62" s="11" t="n"/>
      <c r="AR62" s="11" t="n"/>
      <c r="AS62" s="11" t="n"/>
      <c r="AT62" s="12" t="n"/>
    </row>
    <row r="63">
      <c r="A63" s="8" t="n"/>
      <c r="B63" s="22" t="n"/>
      <c r="C63" s="38" t="n"/>
      <c r="D63" s="92" t="inlineStr">
        <is>
          <t>Trein</t>
        </is>
      </c>
      <c r="E63" s="92" t="inlineStr">
        <is>
          <t>Espec</t>
        </is>
      </c>
      <c r="F63" s="48" t="n"/>
      <c r="G63" s="48" t="n"/>
      <c r="H63" s="48" t="n"/>
      <c r="I63" s="48" t="n"/>
      <c r="J63" s="48" t="n"/>
      <c r="K63" s="48" t="n"/>
      <c r="L63" s="48" t="n"/>
      <c r="M63" s="48" t="n"/>
      <c r="N63" s="48" t="n"/>
      <c r="O63" s="48" t="n"/>
      <c r="P63" s="48" t="n"/>
      <c r="Q63" s="48" t="n"/>
      <c r="R63" s="92" t="inlineStr">
        <is>
          <t>Extra</t>
        </is>
      </c>
      <c r="S63" s="48" t="n"/>
      <c r="T63" s="93" t="b">
        <v>0</v>
      </c>
      <c r="U63" s="93" t="b">
        <v>0</v>
      </c>
      <c r="V63" s="94" t="inlineStr">
        <is>
          <t>Sobrevivência</t>
        </is>
      </c>
      <c r="W63" s="11" t="n"/>
      <c r="X63" s="11" t="n"/>
      <c r="Y63" s="11" t="n"/>
      <c r="Z63" s="11" t="n"/>
      <c r="AA63" s="11" t="n"/>
      <c r="AB63" s="11" t="n"/>
      <c r="AC63" s="12" t="n"/>
      <c r="AD63" s="70" t="inlineStr">
        <is>
          <t>Int</t>
        </is>
      </c>
      <c r="AE63" s="12" t="n"/>
      <c r="AF63" s="95">
        <f>$AB$19 + IF(U63, $D$51 + INT($D$51 / 2), IF(T63, $D$51, 0)) + AH63</f>
        <v/>
      </c>
      <c r="AG63" s="12" t="n"/>
      <c r="AH63" s="96" t="n"/>
      <c r="AI63" s="48" t="n"/>
      <c r="AJ63" s="48" t="n"/>
      <c r="AK63" s="89">
        <f>IF(FICHA!$D$11="Escolha seu Caminho","—",IF(OR(FICHA!$D$11="Bastião",FICHA!$D$11="Vanguarda"),"Treinado em Todas as Armas","Treinado em Arma de Fogo e Balestra"))</f>
        <v/>
      </c>
      <c r="AL63" s="14" t="n"/>
      <c r="AM63" s="14" t="n"/>
      <c r="AN63" s="14" t="n"/>
      <c r="AO63" s="14" t="n"/>
      <c r="AP63" s="14" t="n"/>
      <c r="AQ63" s="14" t="n"/>
      <c r="AR63" s="14" t="n"/>
      <c r="AS63" s="14" t="n"/>
      <c r="AT63" s="15" t="n"/>
    </row>
    <row r="64">
      <c r="A64" s="8" t="n"/>
      <c r="B64" s="22" t="n"/>
      <c r="C64" s="38" t="n"/>
      <c r="D64" s="93" t="b">
        <v>0</v>
      </c>
      <c r="E64" s="93" t="b">
        <v>0</v>
      </c>
      <c r="F64" s="94" t="inlineStr">
        <is>
          <t>Atletismo</t>
        </is>
      </c>
      <c r="G64" s="11" t="n"/>
      <c r="H64" s="11" t="n"/>
      <c r="I64" s="11" t="n"/>
      <c r="J64" s="11" t="n"/>
      <c r="K64" s="11" t="n"/>
      <c r="L64" s="11" t="n"/>
      <c r="M64" s="12" t="n"/>
      <c r="N64" s="70" t="inlineStr">
        <is>
          <t>For</t>
        </is>
      </c>
      <c r="O64" s="12" t="n"/>
      <c r="P64" s="95">
        <f>$D$19 + IF(E64, $D$51 + INT($D$51 / 2), IF(D64, $D$51, 0)) + R64</f>
        <v/>
      </c>
      <c r="Q64" s="12" t="n"/>
      <c r="R64" s="96" t="n"/>
      <c r="S64" s="48" t="n"/>
      <c r="T64" s="93" t="b">
        <v>0</v>
      </c>
      <c r="U64" s="93" t="b">
        <v>0</v>
      </c>
      <c r="V64" s="94" t="inlineStr">
        <is>
          <t>Natureza</t>
        </is>
      </c>
      <c r="W64" s="11" t="n"/>
      <c r="X64" s="11" t="n"/>
      <c r="Y64" s="11" t="n"/>
      <c r="Z64" s="11" t="n"/>
      <c r="AA64" s="11" t="n"/>
      <c r="AB64" s="11" t="n"/>
      <c r="AC64" s="12" t="n"/>
      <c r="AD64" s="70" t="inlineStr">
        <is>
          <t>Int</t>
        </is>
      </c>
      <c r="AE64" s="12" t="n"/>
      <c r="AF64" s="95">
        <f>$AB$19 + IF(U64, $D$51 + INT($D$51 / 2), IF(T64, $D$51, 0)) + AH64</f>
        <v/>
      </c>
      <c r="AG64" s="12" t="n"/>
      <c r="AH64" s="96" t="n"/>
      <c r="AI64" s="48" t="n"/>
      <c r="AJ64" s="48" t="n"/>
      <c r="AK64" s="18" t="n"/>
      <c r="AL64" s="19" t="n"/>
      <c r="AM64" s="19" t="n"/>
      <c r="AN64" s="19" t="n"/>
      <c r="AO64" s="19" t="n"/>
      <c r="AP64" s="19" t="n"/>
      <c r="AQ64" s="19" t="n"/>
      <c r="AR64" s="19" t="n"/>
      <c r="AS64" s="19" t="n"/>
      <c r="AT64" s="20" t="n"/>
    </row>
    <row r="65">
      <c r="A65" s="8" t="n"/>
      <c r="B65" s="22" t="n"/>
      <c r="C65" s="38" t="n"/>
      <c r="D65" s="93" t="b">
        <v>0</v>
      </c>
      <c r="E65" s="93" t="b">
        <v>0</v>
      </c>
      <c r="F65" s="94" t="inlineStr">
        <is>
          <t>Acrobacia</t>
        </is>
      </c>
      <c r="G65" s="11" t="n"/>
      <c r="H65" s="11" t="n"/>
      <c r="I65" s="11" t="n"/>
      <c r="J65" s="11" t="n"/>
      <c r="K65" s="11" t="n"/>
      <c r="L65" s="11" t="n"/>
      <c r="M65" s="12" t="n"/>
      <c r="N65" s="70" t="inlineStr">
        <is>
          <t>Des</t>
        </is>
      </c>
      <c r="O65" s="12" t="n"/>
      <c r="P65" s="95">
        <f>$L$19 + IF(E65, $D$51 + INT($D$51 / 2), IF(D65, $D$51, 0)) + R65</f>
        <v/>
      </c>
      <c r="Q65" s="12" t="n"/>
      <c r="R65" s="96" t="n"/>
      <c r="S65" s="48" t="n"/>
      <c r="T65" s="93" t="b">
        <v>0</v>
      </c>
      <c r="U65" s="93" t="b">
        <v>0</v>
      </c>
      <c r="V65" s="94" t="inlineStr">
        <is>
          <t>Lidar com Animais</t>
        </is>
      </c>
      <c r="W65" s="11" t="n"/>
      <c r="X65" s="11" t="n"/>
      <c r="Y65" s="11" t="n"/>
      <c r="Z65" s="11" t="n"/>
      <c r="AA65" s="11" t="n"/>
      <c r="AB65" s="11" t="n"/>
      <c r="AC65" s="12" t="n"/>
      <c r="AD65" s="70" t="inlineStr">
        <is>
          <t>Int</t>
        </is>
      </c>
      <c r="AE65" s="12" t="n"/>
      <c r="AF65" s="95">
        <f>$AB$19 + IF(U65, $D$51 + INT($D$51 / 2), IF(T65, $D$51, 0)) + AH65</f>
        <v/>
      </c>
      <c r="AG65" s="12" t="n"/>
      <c r="AH65" s="96" t="n"/>
      <c r="AI65" s="48" t="n"/>
      <c r="AJ65" s="48" t="n"/>
      <c r="AK65" s="97" t="inlineStr">
        <is>
          <t>Não trocou</t>
        </is>
      </c>
      <c r="AL65" s="14" t="n"/>
      <c r="AM65" s="14" t="n"/>
      <c r="AN65" s="14" t="n"/>
      <c r="AO65" s="14" t="n"/>
      <c r="AP65" s="14" t="n"/>
      <c r="AQ65" s="14" t="n"/>
      <c r="AR65" s="14" t="n"/>
      <c r="AS65" s="14" t="n"/>
      <c r="AT65" s="15" t="n"/>
    </row>
    <row r="66">
      <c r="A66" s="8" t="n"/>
      <c r="B66" s="22" t="n"/>
      <c r="C66" s="38" t="n"/>
      <c r="D66" s="93" t="b">
        <v>0</v>
      </c>
      <c r="E66" s="93" t="b">
        <v>0</v>
      </c>
      <c r="F66" s="94" t="inlineStr">
        <is>
          <t>Furtividade</t>
        </is>
      </c>
      <c r="G66" s="11" t="n"/>
      <c r="H66" s="11" t="n"/>
      <c r="I66" s="11" t="n"/>
      <c r="J66" s="11" t="n"/>
      <c r="K66" s="11" t="n"/>
      <c r="L66" s="11" t="n"/>
      <c r="M66" s="12" t="n"/>
      <c r="N66" s="70" t="inlineStr">
        <is>
          <t>Des</t>
        </is>
      </c>
      <c r="O66" s="12" t="n"/>
      <c r="P66" s="95">
        <f>$L$19 + IF(E66, $D$51 + INT($D$51 / 2), IF(D66, $D$51, 0)) + R66</f>
        <v/>
      </c>
      <c r="Q66" s="12" t="n"/>
      <c r="R66" s="96" t="n"/>
      <c r="S66" s="48" t="n"/>
      <c r="T66" s="93" t="b">
        <v>0</v>
      </c>
      <c r="U66" s="93" t="b">
        <v>0</v>
      </c>
      <c r="V66" s="94" t="inlineStr">
        <is>
          <t>Tecnologia</t>
        </is>
      </c>
      <c r="W66" s="11" t="n"/>
      <c r="X66" s="11" t="n"/>
      <c r="Y66" s="11" t="n"/>
      <c r="Z66" s="11" t="n"/>
      <c r="AA66" s="11" t="n"/>
      <c r="AB66" s="11" t="n"/>
      <c r="AC66" s="12" t="n"/>
      <c r="AD66" s="70" t="inlineStr">
        <is>
          <t>Int</t>
        </is>
      </c>
      <c r="AE66" s="12" t="n"/>
      <c r="AF66" s="95">
        <f>$AB$19 + IF(U66, $D$51 + INT($D$51 / 2), IF(T66, $D$51, 0)) + AH66</f>
        <v/>
      </c>
      <c r="AG66" s="12" t="n"/>
      <c r="AH66" s="96" t="n"/>
      <c r="AI66" s="48" t="n"/>
      <c r="AJ66" s="48" t="n"/>
      <c r="AK66" s="18" t="n"/>
      <c r="AL66" s="19" t="n"/>
      <c r="AM66" s="19" t="n"/>
      <c r="AN66" s="19" t="n"/>
      <c r="AO66" s="19" t="n"/>
      <c r="AP66" s="19" t="n"/>
      <c r="AQ66" s="19" t="n"/>
      <c r="AR66" s="19" t="n"/>
      <c r="AS66" s="19" t="n"/>
      <c r="AT66" s="20" t="n"/>
    </row>
    <row r="67">
      <c r="A67" s="8" t="n"/>
      <c r="B67" s="22" t="n"/>
      <c r="C67" s="38" t="n"/>
      <c r="D67" s="93" t="b">
        <v>0</v>
      </c>
      <c r="E67" s="93" t="b">
        <v>0</v>
      </c>
      <c r="F67" s="94" t="inlineStr">
        <is>
          <t>Pontaria</t>
        </is>
      </c>
      <c r="G67" s="11" t="n"/>
      <c r="H67" s="11" t="n"/>
      <c r="I67" s="11" t="n"/>
      <c r="J67" s="11" t="n"/>
      <c r="K67" s="11" t="n"/>
      <c r="L67" s="11" t="n"/>
      <c r="M67" s="12" t="n"/>
      <c r="N67" s="70" t="inlineStr">
        <is>
          <t>Des</t>
        </is>
      </c>
      <c r="O67" s="12" t="n"/>
      <c r="P67" s="95">
        <f>$L$19 + IF(E67, $D$51 + INT($D$51 / 2), IF(D67, $D$51, 0)) + R67</f>
        <v/>
      </c>
      <c r="Q67" s="12" t="n"/>
      <c r="R67" s="96" t="n"/>
      <c r="S67" s="48" t="n"/>
      <c r="T67" s="93" t="b">
        <v>0</v>
      </c>
      <c r="U67" s="93" t="b">
        <v>0</v>
      </c>
      <c r="V67" s="94" t="inlineStr">
        <is>
          <t>Medicina</t>
        </is>
      </c>
      <c r="W67" s="11" t="n"/>
      <c r="X67" s="11" t="n"/>
      <c r="Y67" s="11" t="n"/>
      <c r="Z67" s="11" t="n"/>
      <c r="AA67" s="11" t="n"/>
      <c r="AB67" s="11" t="n"/>
      <c r="AC67" s="12" t="n"/>
      <c r="AD67" s="70" t="inlineStr">
        <is>
          <t>Int</t>
        </is>
      </c>
      <c r="AE67" s="12" t="n"/>
      <c r="AF67" s="95">
        <f>$AB$19 + IF(U67, $D$51 + INT($D$51 / 2), IF(T67, $D$51, 0)) + AH67</f>
        <v/>
      </c>
      <c r="AG67" s="12" t="n"/>
      <c r="AH67" s="96" t="n"/>
      <c r="AI67" s="48" t="n"/>
      <c r="AJ67" s="48" t="n"/>
      <c r="AK67" s="97">
        <f>IF(AK65="Não trocou","Anotações e Equipamentos","Treinamentos Extras")</f>
        <v/>
      </c>
      <c r="AL67" s="14" t="n"/>
      <c r="AM67" s="14" t="n"/>
      <c r="AN67" s="14" t="n"/>
      <c r="AO67" s="14" t="n"/>
      <c r="AP67" s="14" t="n"/>
      <c r="AQ67" s="14" t="n"/>
      <c r="AR67" s="14" t="n"/>
      <c r="AS67" s="14" t="n"/>
      <c r="AT67" s="15" t="n"/>
    </row>
    <row r="68">
      <c r="A68" s="8" t="n"/>
      <c r="B68" s="22" t="n"/>
      <c r="C68" s="38" t="n"/>
      <c r="D68" s="93" t="b">
        <v>0</v>
      </c>
      <c r="E68" s="93" t="b">
        <v>0</v>
      </c>
      <c r="F68" s="94" t="inlineStr">
        <is>
          <t>Prestidigitação</t>
        </is>
      </c>
      <c r="G68" s="11" t="n"/>
      <c r="H68" s="11" t="n"/>
      <c r="I68" s="11" t="n"/>
      <c r="J68" s="11" t="n"/>
      <c r="K68" s="11" t="n"/>
      <c r="L68" s="11" t="n"/>
      <c r="M68" s="12" t="n"/>
      <c r="N68" s="70" t="inlineStr">
        <is>
          <t>Des</t>
        </is>
      </c>
      <c r="O68" s="12" t="n"/>
      <c r="P68" s="95">
        <f>$L$19 + IF(E68, $D$51 + INT($D$51 / 2), IF(D68, $D$51, 0)) + R68</f>
        <v/>
      </c>
      <c r="Q68" s="12" t="n"/>
      <c r="R68" s="96" t="n"/>
      <c r="S68" s="48" t="n"/>
      <c r="T68" s="93" t="b">
        <v>0</v>
      </c>
      <c r="U68" s="93" t="b">
        <v>0</v>
      </c>
      <c r="V68" s="94" t="inlineStr">
        <is>
          <t>Sentir Energia</t>
        </is>
      </c>
      <c r="W68" s="11" t="n"/>
      <c r="X68" s="11" t="n"/>
      <c r="Y68" s="11" t="n"/>
      <c r="Z68" s="11" t="n"/>
      <c r="AA68" s="11" t="n"/>
      <c r="AB68" s="11" t="n"/>
      <c r="AC68" s="12" t="n"/>
      <c r="AD68" s="70" t="inlineStr">
        <is>
          <t>Ess</t>
        </is>
      </c>
      <c r="AE68" s="12" t="n"/>
      <c r="AF68" s="95">
        <f>$AJ$19 + IF(U68, $D$51 + INT($D$51 / 2), IF(T68, $D$51, 0)) + AH68</f>
        <v/>
      </c>
      <c r="AG68" s="12" t="n"/>
      <c r="AH68" s="96" t="n"/>
      <c r="AI68" s="48" t="n"/>
      <c r="AJ68" s="48" t="n"/>
      <c r="AK68" s="18" t="n"/>
      <c r="AL68" s="19" t="n"/>
      <c r="AM68" s="19" t="n"/>
      <c r="AN68" s="19" t="n"/>
      <c r="AO68" s="19" t="n"/>
      <c r="AP68" s="19" t="n"/>
      <c r="AQ68" s="19" t="n"/>
      <c r="AR68" s="19" t="n"/>
      <c r="AS68" s="19" t="n"/>
      <c r="AT68" s="20" t="n"/>
    </row>
    <row r="69">
      <c r="A69" s="8" t="n"/>
      <c r="B69" s="22" t="n"/>
      <c r="C69" s="38" t="n"/>
      <c r="D69" s="93" t="b">
        <v>0</v>
      </c>
      <c r="E69" s="93" t="b">
        <v>0</v>
      </c>
      <c r="F69" s="94" t="inlineStr">
        <is>
          <t>Investigação</t>
        </is>
      </c>
      <c r="G69" s="11" t="n"/>
      <c r="H69" s="11" t="n"/>
      <c r="I69" s="11" t="n"/>
      <c r="J69" s="11" t="n"/>
      <c r="K69" s="11" t="n"/>
      <c r="L69" s="11" t="n"/>
      <c r="M69" s="12" t="n"/>
      <c r="N69" s="70" t="inlineStr">
        <is>
          <t>Int</t>
        </is>
      </c>
      <c r="O69" s="12" t="n"/>
      <c r="P69" s="95">
        <f>$AB$19 + IF(E69, $D$51 + INT($D$51 / 2), IF(D69, $D$51, 0)) + R69</f>
        <v/>
      </c>
      <c r="Q69" s="12" t="n"/>
      <c r="R69" s="96" t="n"/>
      <c r="S69" s="48" t="n"/>
      <c r="T69" s="93" t="b">
        <v>0</v>
      </c>
      <c r="U69" s="93" t="b">
        <v>0</v>
      </c>
      <c r="V69" s="94" t="inlineStr">
        <is>
          <t>Percepção</t>
        </is>
      </c>
      <c r="W69" s="11" t="n"/>
      <c r="X69" s="11" t="n"/>
      <c r="Y69" s="11" t="n"/>
      <c r="Z69" s="11" t="n"/>
      <c r="AA69" s="11" t="n"/>
      <c r="AB69" s="11" t="n"/>
      <c r="AC69" s="12" t="n"/>
      <c r="AD69" s="70" t="inlineStr">
        <is>
          <t>Ess</t>
        </is>
      </c>
      <c r="AE69" s="12" t="n"/>
      <c r="AF69" s="95">
        <f>$AJ$19 + IF(U69, $D$51 + INT($D$51 / 2), IF(T69, $D$51, 0)) + AH69</f>
        <v/>
      </c>
      <c r="AG69" s="12" t="n"/>
      <c r="AH69" s="96" t="n"/>
      <c r="AI69" s="48" t="n"/>
      <c r="AJ69" s="48" t="n"/>
      <c r="AK69" s="98" t="n"/>
      <c r="AL69" s="14" t="n"/>
      <c r="AM69" s="14" t="n"/>
      <c r="AN69" s="14" t="n"/>
      <c r="AO69" s="14" t="n"/>
      <c r="AP69" s="14" t="n"/>
      <c r="AQ69" s="14" t="n"/>
      <c r="AR69" s="14" t="n"/>
      <c r="AS69" s="14" t="n"/>
      <c r="AT69" s="15" t="n"/>
    </row>
    <row r="70">
      <c r="A70" s="8" t="n"/>
      <c r="B70" s="22" t="n"/>
      <c r="C70" s="38" t="n"/>
      <c r="D70" s="93" t="b">
        <v>0</v>
      </c>
      <c r="E70" s="93" t="b">
        <v>0</v>
      </c>
      <c r="F70" s="94" t="inlineStr">
        <is>
          <t>Intuição</t>
        </is>
      </c>
      <c r="G70" s="11" t="n"/>
      <c r="H70" s="11" t="n"/>
      <c r="I70" s="11" t="n"/>
      <c r="J70" s="11" t="n"/>
      <c r="K70" s="11" t="n"/>
      <c r="L70" s="11" t="n"/>
      <c r="M70" s="12" t="n"/>
      <c r="N70" s="70" t="inlineStr">
        <is>
          <t>Int</t>
        </is>
      </c>
      <c r="O70" s="12" t="n"/>
      <c r="P70" s="95">
        <f>$AB$19 + IF(E70, $D$51 + INT($D$51 / 2), IF(D70, $D$51, 0)) + R70</f>
        <v/>
      </c>
      <c r="Q70" s="12" t="n"/>
      <c r="R70" s="96" t="n"/>
      <c r="S70" s="48" t="n"/>
      <c r="T70" s="93" t="b">
        <v>0</v>
      </c>
      <c r="U70" s="93" t="b">
        <v>0</v>
      </c>
      <c r="V70" s="94" t="inlineStr">
        <is>
          <t>Persuasão</t>
        </is>
      </c>
      <c r="W70" s="11" t="n"/>
      <c r="X70" s="11" t="n"/>
      <c r="Y70" s="11" t="n"/>
      <c r="Z70" s="11" t="n"/>
      <c r="AA70" s="11" t="n"/>
      <c r="AB70" s="11" t="n"/>
      <c r="AC70" s="12" t="n"/>
      <c r="AD70" s="70" t="inlineStr">
        <is>
          <t>Ess</t>
        </is>
      </c>
      <c r="AE70" s="12" t="n"/>
      <c r="AF70" s="95">
        <f>$AJ$19 + IF(U70, $D$51 + INT($D$51 / 2), IF(T70, $D$51, 0)) + AH70</f>
        <v/>
      </c>
      <c r="AG70" s="12" t="n"/>
      <c r="AH70" s="96" t="n"/>
      <c r="AI70" s="48" t="n"/>
      <c r="AJ70" s="48" t="n"/>
      <c r="AK70" s="18" t="n"/>
      <c r="AL70" s="19" t="n"/>
      <c r="AM70" s="19" t="n"/>
      <c r="AN70" s="19" t="n"/>
      <c r="AO70" s="19" t="n"/>
      <c r="AP70" s="19" t="n"/>
      <c r="AQ70" s="19" t="n"/>
      <c r="AR70" s="19" t="n"/>
      <c r="AS70" s="19" t="n"/>
      <c r="AT70" s="20" t="n"/>
    </row>
    <row r="71">
      <c r="A71" s="8" t="n"/>
      <c r="B71" s="22" t="n"/>
      <c r="C71" s="38" t="n"/>
      <c r="D71" s="93" t="b">
        <v>0</v>
      </c>
      <c r="E71" s="93" t="b">
        <v>0</v>
      </c>
      <c r="F71" s="94" t="inlineStr">
        <is>
          <t>Ocultismo</t>
        </is>
      </c>
      <c r="G71" s="11" t="n"/>
      <c r="H71" s="11" t="n"/>
      <c r="I71" s="11" t="n"/>
      <c r="J71" s="11" t="n"/>
      <c r="K71" s="11" t="n"/>
      <c r="L71" s="11" t="n"/>
      <c r="M71" s="12" t="n"/>
      <c r="N71" s="70" t="inlineStr">
        <is>
          <t>Int</t>
        </is>
      </c>
      <c r="O71" s="12" t="n"/>
      <c r="P71" s="95">
        <f>$AB$19 + IF(E71, $D$51 + INT($D$51 / 2), IF(D71, $D$51, 0)) + R71</f>
        <v/>
      </c>
      <c r="Q71" s="12" t="n"/>
      <c r="R71" s="96" t="n"/>
      <c r="S71" s="48" t="n"/>
      <c r="T71" s="93" t="b">
        <v>0</v>
      </c>
      <c r="U71" s="93" t="b">
        <v>0</v>
      </c>
      <c r="V71" s="94" t="inlineStr">
        <is>
          <t>Enganação</t>
        </is>
      </c>
      <c r="W71" s="11" t="n"/>
      <c r="X71" s="11" t="n"/>
      <c r="Y71" s="11" t="n"/>
      <c r="Z71" s="11" t="n"/>
      <c r="AA71" s="11" t="n"/>
      <c r="AB71" s="11" t="n"/>
      <c r="AC71" s="12" t="n"/>
      <c r="AD71" s="70" t="inlineStr">
        <is>
          <t>Ess</t>
        </is>
      </c>
      <c r="AE71" s="12" t="n"/>
      <c r="AF71" s="95">
        <f>$AJ$19 + IF(U71, $D$51 + INT($D$51 / 2), IF(T71, $D$51, 0)) + AH71</f>
        <v/>
      </c>
      <c r="AG71" s="12" t="n"/>
      <c r="AH71" s="96" t="n"/>
      <c r="AI71" s="48" t="n"/>
      <c r="AJ71" s="48" t="n"/>
      <c r="AK71" s="48" t="n"/>
      <c r="AL71" s="48" t="n"/>
      <c r="AM71" s="48" t="n"/>
    </row>
    <row r="72">
      <c r="A72" s="8" t="n"/>
      <c r="B72" s="22" t="n"/>
      <c r="C72" s="38" t="n"/>
      <c r="D72" s="93" t="b">
        <v>0</v>
      </c>
      <c r="E72" s="93" t="b">
        <v>0</v>
      </c>
      <c r="F72" s="94" t="inlineStr">
        <is>
          <t>Religião</t>
        </is>
      </c>
      <c r="G72" s="11" t="n"/>
      <c r="H72" s="11" t="n"/>
      <c r="I72" s="11" t="n"/>
      <c r="J72" s="11" t="n"/>
      <c r="K72" s="11" t="n"/>
      <c r="L72" s="11" t="n"/>
      <c r="M72" s="12" t="n"/>
      <c r="N72" s="70" t="inlineStr">
        <is>
          <t>Int</t>
        </is>
      </c>
      <c r="O72" s="12" t="n"/>
      <c r="P72" s="95">
        <f>$AB$19 + IF(E72, $D$51 + INT($D$51 / 2), IF(D72, $D$51, 0)) + R72</f>
        <v/>
      </c>
      <c r="Q72" s="12" t="n"/>
      <c r="R72" s="96" t="n"/>
      <c r="S72" s="48" t="n"/>
      <c r="T72" s="93" t="b">
        <v>0</v>
      </c>
      <c r="U72" s="93" t="b">
        <v>0</v>
      </c>
      <c r="V72" s="94" t="inlineStr">
        <is>
          <t>Intimidação</t>
        </is>
      </c>
      <c r="W72" s="11" t="n"/>
      <c r="X72" s="11" t="n"/>
      <c r="Y72" s="11" t="n"/>
      <c r="Z72" s="11" t="n"/>
      <c r="AA72" s="11" t="n"/>
      <c r="AB72" s="11" t="n"/>
      <c r="AC72" s="12" t="n"/>
      <c r="AD72" s="70" t="inlineStr">
        <is>
          <t>Ess</t>
        </is>
      </c>
      <c r="AE72" s="12" t="n"/>
      <c r="AF72" s="95">
        <f>$AJ$19 + IF(U72, $D$51 + INT($D$51 / 2), IF(T72, $D$51, 0)) + AH72</f>
        <v/>
      </c>
      <c r="AG72" s="12" t="n"/>
      <c r="AH72" s="96" t="n"/>
      <c r="AI72" s="48" t="n"/>
      <c r="AJ72" s="48" t="n"/>
      <c r="AK72" s="52" t="inlineStr">
        <is>
          <t>Perícias Disponíveis</t>
        </is>
      </c>
      <c r="AL72" s="11" t="n"/>
      <c r="AM72" s="11" t="n"/>
      <c r="AN72" s="11" t="n"/>
      <c r="AO72" s="11" t="n"/>
      <c r="AP72" s="11" t="n"/>
      <c r="AQ72" s="11" t="n"/>
      <c r="AR72" s="11" t="n"/>
      <c r="AS72" s="11" t="n"/>
      <c r="AT72" s="12" t="n"/>
    </row>
    <row r="73">
      <c r="A73" s="8" t="n"/>
      <c r="B73" s="22" t="n"/>
      <c r="C73" s="38" t="n"/>
      <c r="D73" s="93" t="b">
        <v>0</v>
      </c>
      <c r="E73" s="93" t="b">
        <v>0</v>
      </c>
      <c r="F73" s="94" t="inlineStr">
        <is>
          <t>História</t>
        </is>
      </c>
      <c r="G73" s="11" t="n"/>
      <c r="H73" s="11" t="n"/>
      <c r="I73" s="11" t="n"/>
      <c r="J73" s="11" t="n"/>
      <c r="K73" s="11" t="n"/>
      <c r="L73" s="11" t="n"/>
      <c r="M73" s="12" t="n"/>
      <c r="N73" s="70" t="inlineStr">
        <is>
          <t>Int</t>
        </is>
      </c>
      <c r="O73" s="12" t="n"/>
      <c r="P73" s="95">
        <f>$AB$19 + IF(E73, $D$51 + INT($D$51 / 2), IF(D73, $D$51, 0)) + R73</f>
        <v/>
      </c>
      <c r="Q73" s="12" t="n"/>
      <c r="R73" s="96" t="n"/>
      <c r="S73" s="48" t="n"/>
      <c r="T73" s="93" t="b">
        <v>0</v>
      </c>
      <c r="U73" s="93" t="b">
        <v>0</v>
      </c>
      <c r="V73" s="94" t="inlineStr">
        <is>
          <t>Atuação</t>
        </is>
      </c>
      <c r="W73" s="11" t="n"/>
      <c r="X73" s="11" t="n"/>
      <c r="Y73" s="11" t="n"/>
      <c r="Z73" s="11" t="n"/>
      <c r="AA73" s="11" t="n"/>
      <c r="AB73" s="11" t="n"/>
      <c r="AC73" s="12" t="n"/>
      <c r="AD73" s="70" t="inlineStr">
        <is>
          <t>Ess</t>
        </is>
      </c>
      <c r="AE73" s="12" t="n"/>
      <c r="AF73" s="95">
        <f>$AJ$19 + IF(U73, $D$51 + INT($D$51 / 2), IF(T73, $D$51, 0)) + AH73</f>
        <v/>
      </c>
      <c r="AG73" s="12" t="n"/>
      <c r="AH73" s="96" t="n"/>
      <c r="AI73" s="48" t="n"/>
      <c r="AJ73" s="48" t="n"/>
      <c r="AK73" s="89">
        <f>IF(AND(DADOS!$AK$15&gt;0,$AH$11&lt;10),"Especialização só no nível 10",IF(DADOS!$AK$24&gt;0,DADOS!$AK$24&amp;" a mais",DADOS!$AK$19+DADOS!$AK$21-DADOS!$AK$13&amp;" de "&amp;(DADOS!$AK$19+DADOS!$AK$21)))</f>
        <v/>
      </c>
      <c r="AL73" s="14" t="n"/>
      <c r="AM73" s="14" t="n"/>
      <c r="AN73" s="14" t="n"/>
      <c r="AO73" s="14" t="n"/>
      <c r="AP73" s="14" t="n"/>
      <c r="AQ73" s="14" t="n"/>
      <c r="AR73" s="14" t="n"/>
      <c r="AS73" s="14" t="n"/>
      <c r="AT73" s="15" t="n"/>
    </row>
    <row r="74">
      <c r="A74" s="8" t="n"/>
      <c r="B74" s="22" t="n"/>
      <c r="C74" s="38" t="n"/>
      <c r="D74" s="93" t="b">
        <v>0</v>
      </c>
      <c r="E74" s="93" t="b">
        <v>0</v>
      </c>
      <c r="F74" s="94" t="inlineStr">
        <is>
          <t>Hierarquia</t>
        </is>
      </c>
      <c r="G74" s="11" t="n"/>
      <c r="H74" s="11" t="n"/>
      <c r="I74" s="11" t="n"/>
      <c r="J74" s="11" t="n"/>
      <c r="K74" s="11" t="n"/>
      <c r="L74" s="11" t="n"/>
      <c r="M74" s="12" t="n"/>
      <c r="N74" s="70" t="inlineStr">
        <is>
          <t>Int</t>
        </is>
      </c>
      <c r="O74" s="12" t="n"/>
      <c r="P74" s="95">
        <f>$AB$19 + IF(E74, $D$51 + INT($D$51 / 2), IF(D74, $D$51, 0)) + R74</f>
        <v/>
      </c>
      <c r="Q74" s="12" t="n"/>
      <c r="R74" s="96" t="n"/>
      <c r="S74" s="91" t="n"/>
      <c r="T74" s="93" t="b">
        <v>0</v>
      </c>
      <c r="U74" s="93" t="b">
        <v>0</v>
      </c>
      <c r="V74" s="94" t="inlineStr">
        <is>
          <t>Provocar</t>
        </is>
      </c>
      <c r="W74" s="11" t="n"/>
      <c r="X74" s="11" t="n"/>
      <c r="Y74" s="11" t="n"/>
      <c r="Z74" s="11" t="n"/>
      <c r="AA74" s="11" t="n"/>
      <c r="AB74" s="11" t="n"/>
      <c r="AC74" s="12" t="n"/>
      <c r="AD74" s="70" t="inlineStr">
        <is>
          <t>Ess</t>
        </is>
      </c>
      <c r="AE74" s="12" t="n"/>
      <c r="AF74" s="95">
        <f>$AJ$19 + IF(U74, $D$51 + INT($D$51 / 2), IF(T74, $D$51, 0)) + AH74</f>
        <v/>
      </c>
      <c r="AG74" s="12" t="n"/>
      <c r="AH74" s="96" t="n"/>
      <c r="AI74" s="48" t="n"/>
      <c r="AJ74" s="48" t="n"/>
      <c r="AK74" s="18" t="n"/>
      <c r="AL74" s="19" t="n"/>
      <c r="AM74" s="19" t="n"/>
      <c r="AN74" s="19" t="n"/>
      <c r="AO74" s="19" t="n"/>
      <c r="AP74" s="19" t="n"/>
      <c r="AQ74" s="19" t="n"/>
      <c r="AR74" s="19" t="n"/>
      <c r="AS74" s="19" t="n"/>
      <c r="AT74" s="20" t="n"/>
    </row>
    <row r="75">
      <c r="A75" s="8" t="n"/>
      <c r="B75" s="22" t="n"/>
      <c r="C75" s="3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c r="AA75" s="48" t="n"/>
      <c r="AB75" s="48" t="n"/>
      <c r="AC75" s="48" t="n"/>
      <c r="AD75" s="48" t="n"/>
      <c r="AE75" s="48" t="n"/>
      <c r="AF75" s="48" t="n"/>
      <c r="AG75" s="48" t="n"/>
      <c r="AH75" s="48" t="n"/>
      <c r="AI75" s="48" t="n"/>
      <c r="AJ75" s="48" t="n"/>
      <c r="AK75" s="48" t="n"/>
      <c r="AL75" s="48" t="n"/>
      <c r="AM75" s="48" t="n"/>
      <c r="AN75" s="48" t="n"/>
      <c r="AO75" s="48" t="n"/>
      <c r="AP75" s="48" t="n"/>
      <c r="AQ75" s="48" t="n"/>
      <c r="AR75" s="48" t="n"/>
      <c r="AS75" s="48" t="n"/>
      <c r="AT75" s="48" t="n"/>
    </row>
    <row r="76" ht="27" customHeight="1">
      <c r="A76" s="8" t="n"/>
      <c r="B76" s="22" t="n"/>
      <c r="C76" s="38" t="n"/>
      <c r="D76" s="63" t="n">
        <v>6</v>
      </c>
      <c r="E76" s="14" t="n"/>
      <c r="F76" s="15" t="n"/>
      <c r="G76" s="85" t="inlineStr">
        <is>
          <t>OFÍCIOS E TESTES DE RESISTÊNCIA</t>
        </is>
      </c>
      <c r="H76" s="11" t="n"/>
      <c r="I76" s="11" t="n"/>
      <c r="J76" s="11" t="n"/>
      <c r="K76" s="11" t="n"/>
      <c r="L76" s="11" t="n"/>
      <c r="M76" s="11" t="n"/>
      <c r="N76" s="11" t="n"/>
      <c r="O76" s="11" t="n"/>
      <c r="P76" s="11" t="n"/>
      <c r="Q76" s="11" t="n"/>
      <c r="R76" s="11" t="n"/>
      <c r="S76" s="11" t="n"/>
      <c r="T76" s="11" t="n"/>
      <c r="U76" s="11" t="n"/>
      <c r="V76" s="11" t="n"/>
      <c r="W76" s="11" t="n"/>
      <c r="X76" s="11" t="n"/>
      <c r="Y76" s="11" t="n"/>
      <c r="Z76" s="11" t="n"/>
      <c r="AA76" s="11" t="n"/>
      <c r="AB76" s="11" t="n"/>
      <c r="AC76" s="11" t="n"/>
      <c r="AD76" s="11" t="n"/>
      <c r="AE76" s="11" t="n"/>
      <c r="AF76" s="11" t="n"/>
      <c r="AG76" s="11" t="n"/>
      <c r="AH76" s="12" t="n"/>
      <c r="AI76" s="48" t="n"/>
      <c r="AJ76" s="48" t="n"/>
      <c r="AK76" s="99">
        <f>IF(AND(DADOS!$AK$15&gt;0,$AH$11&lt;10),"Especialização só no nível 10: tire a marcação",IF(DADOS!$AK$24&gt;0,"Marcou "&amp;DADOS!$AK$24&amp;" a mais: tire uma perícia, um ofício ou uma especialização",IF(DADOS!$AK$25+DADOS!$AK$26+DADOS!$AK$23=0,"Tudo escolhido","Falta: "&amp;IF(DADOS!$AK$25&gt;0,DADOS!$AK$25&amp;IF(DADOS!$AK$25=1," perícia"," perícias"),"")&amp;IF(AND(DADOS!$AK$26&gt;0,OR(DADOS!$AK$25&gt;0)),IF(OR(DADOS!$AK$23&gt;0),", "," e "),"")&amp;IF(DADOS!$AK$26&gt;0,DADOS!$AK$26&amp;IF(DADOS!$AK$26=1," ofício"," ofícios"),"")&amp;IF(AND(DADOS!$AK$23&gt;0,OR(DADOS!$AK$25&gt;0,DADOS!$AK$26&gt;0))," e ","")&amp;IF(DADOS!$AK$23&gt;0,DADOS!$AK$23&amp;IF(DADOS!$AK$23=1," escolha de Corpo"," escolhas de Corpo"),"")&amp;IF(AND(DADOS!$AK$23&gt;0,DADOS!$AK$25+DADOS!$AK$26=0)," (+1 perícia, +1 ofício"&amp;IF($AH$11&gt;=10," ou uma especialização","")&amp;")","")&amp;IF(AND(DADOS!$AK$17=1,DADOS!$AK$14&lt;=0),", ou "&amp;IF(DADOS!$AK$27&gt;0,DADOS!$AK$27&amp;IF(DADOS!$AK$27=1," perícia"," perícias"),"")&amp;IF(AND(DADOS!$AK$28&gt;0,OR(DADOS!$AK$27&gt;0))," e ","")&amp;IF(DADOS!$AK$28&gt;0,DADOS!$AK$28&amp;IF(DADOS!$AK$28=1," escolha de Corpo"," escolhas de Corpo"),"")&amp;" sem ofício",""))))</f>
        <v/>
      </c>
      <c r="AL76" s="11" t="n"/>
      <c r="AM76" s="11" t="n"/>
      <c r="AN76" s="11" t="n"/>
      <c r="AO76" s="11" t="n"/>
      <c r="AP76" s="11" t="n"/>
      <c r="AQ76" s="11" t="n"/>
      <c r="AR76" s="11" t="n"/>
      <c r="AS76" s="11" t="n"/>
      <c r="AT76" s="12" t="n"/>
    </row>
    <row r="77">
      <c r="A77" s="8" t="n"/>
      <c r="B77" s="22" t="n"/>
      <c r="C77" s="38" t="n"/>
      <c r="D77" s="18" t="n"/>
      <c r="E77" s="19" t="n"/>
      <c r="F77" s="20"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c r="AA77" s="48" t="n"/>
      <c r="AB77" s="48" t="n"/>
      <c r="AC77" s="48" t="n"/>
      <c r="AD77" s="48" t="n"/>
      <c r="AE77" s="48" t="n"/>
      <c r="AF77" s="48" t="n"/>
      <c r="AG77" s="48" t="n"/>
      <c r="AH77" s="48" t="n"/>
      <c r="AI77" s="48" t="n"/>
      <c r="AJ77" s="48" t="n"/>
      <c r="AK77" s="48" t="n"/>
      <c r="AL77" s="48" t="n"/>
      <c r="AM77" s="48" t="n"/>
      <c r="AN77" s="48" t="n"/>
      <c r="AO77" s="48" t="n"/>
      <c r="AP77" s="48" t="n"/>
      <c r="AQ77" s="48" t="n"/>
      <c r="AR77" s="48" t="n"/>
      <c r="AS77" s="48" t="n"/>
      <c r="AT77" s="48" t="n"/>
    </row>
    <row r="78">
      <c r="A78" s="8" t="n"/>
      <c r="B78" s="22" t="n"/>
      <c r="C78" s="38" t="n"/>
      <c r="D78" s="92" t="inlineStr">
        <is>
          <t>Trein</t>
        </is>
      </c>
      <c r="E78" s="92" t="inlineStr">
        <is>
          <t>Espec</t>
        </is>
      </c>
      <c r="F78" s="48" t="n"/>
      <c r="G78" s="48" t="n"/>
      <c r="H78" s="48" t="n"/>
      <c r="I78" s="48" t="n"/>
      <c r="J78" s="48" t="n"/>
      <c r="K78" s="48" t="n"/>
      <c r="L78" s="48" t="n"/>
      <c r="M78" s="48" t="n"/>
      <c r="N78" s="48" t="n"/>
      <c r="O78" s="92" t="inlineStr">
        <is>
          <t>Extra</t>
        </is>
      </c>
      <c r="P78" s="48" t="n"/>
      <c r="Q78" s="92" t="inlineStr">
        <is>
          <t>Trein</t>
        </is>
      </c>
      <c r="R78" s="92" t="inlineStr">
        <is>
          <t>Espec</t>
        </is>
      </c>
      <c r="S78" s="48" t="n"/>
      <c r="T78" s="48" t="n"/>
      <c r="U78" s="48" t="n"/>
      <c r="V78" s="48" t="n"/>
      <c r="W78" s="48" t="n"/>
      <c r="X78" s="48" t="n"/>
      <c r="Y78" s="48" t="n"/>
      <c r="Z78" s="48" t="n"/>
      <c r="AA78" s="48" t="n"/>
      <c r="AB78" s="92" t="inlineStr">
        <is>
          <t>Extra</t>
        </is>
      </c>
      <c r="AC78" s="48" t="n"/>
      <c r="AD78" s="48" t="n"/>
      <c r="AE78" s="91" t="n"/>
      <c r="AF78" s="92" t="inlineStr">
        <is>
          <t>Trein</t>
        </is>
      </c>
      <c r="AG78" s="48" t="n"/>
      <c r="AH78" s="48" t="n"/>
      <c r="AI78" s="48" t="n"/>
      <c r="AJ78" s="92" t="inlineStr">
        <is>
          <t>Extra</t>
        </is>
      </c>
      <c r="AK78" s="48" t="n"/>
      <c r="AL78" s="48" t="n"/>
      <c r="AM78" s="48" t="n"/>
      <c r="AN78" s="48" t="n"/>
      <c r="AO78" s="48" t="n"/>
      <c r="AP78" s="48" t="n"/>
      <c r="AQ78" s="48" t="n"/>
      <c r="AR78" s="48" t="n"/>
      <c r="AS78" s="48" t="n"/>
      <c r="AT78" s="48" t="n"/>
    </row>
    <row r="79">
      <c r="A79" s="8" t="n"/>
      <c r="B79" s="22" t="n"/>
      <c r="C79" s="38" t="n"/>
      <c r="D79" s="93" t="b">
        <v>0</v>
      </c>
      <c r="E79" s="93" t="b">
        <v>0</v>
      </c>
      <c r="F79" s="100" t="inlineStr">
        <is>
          <t>Condução</t>
        </is>
      </c>
      <c r="G79" s="11" t="n"/>
      <c r="H79" s="11" t="n"/>
      <c r="I79" s="11" t="n"/>
      <c r="J79" s="12" t="n"/>
      <c r="K79" s="101" t="inlineStr">
        <is>
          <t>INTELIGÊNCIA</t>
        </is>
      </c>
      <c r="L79" s="11" t="n"/>
      <c r="M79" s="12" t="n"/>
      <c r="N79" s="102">
        <f>+IFS(K79="FORÇA",$D$19, K79="DESTREZA",$L$19, K79="CONSTITUIÇÃO",$T$19, K79="INTELIGÊNCIA",$AB$19, K79="ESSÊNCIA",$AJ$19) + IF(E79, $D$51 + INT($D$51 / 2), IF(D79, $D$51, 0)) + O79</f>
        <v/>
      </c>
      <c r="O79" s="99" t="n"/>
      <c r="P79" s="48" t="n"/>
      <c r="Q79" s="93" t="b">
        <v>0</v>
      </c>
      <c r="R79" s="93" t="b">
        <v>0</v>
      </c>
      <c r="S79" s="100" t="inlineStr">
        <is>
          <t>Entalhador</t>
        </is>
      </c>
      <c r="T79" s="11" t="n"/>
      <c r="U79" s="11" t="n"/>
      <c r="V79" s="11" t="n"/>
      <c r="W79" s="12" t="n"/>
      <c r="X79" s="101" t="inlineStr">
        <is>
          <t>INTELIGÊNCIA</t>
        </is>
      </c>
      <c r="Y79" s="11" t="n"/>
      <c r="Z79" s="12" t="n"/>
      <c r="AA79" s="103">
        <f>+IFS(X79="FORÇA",$D$19, X79="DESTREZA",$L$19, X79="CONSTITUIÇÃO",$T$19, X79="INTELIGÊNCIA",$AB$19, X79="ESSÊNCIA",$AJ$19) + IF(R79, $D$51 + INT($D$51 / 2), IF(Q79, $D$51, 0)) + AB79</f>
        <v/>
      </c>
      <c r="AB79" s="96" t="n"/>
      <c r="AC79" s="48" t="n"/>
      <c r="AD79" s="48" t="n"/>
      <c r="AE79" s="91" t="n"/>
      <c r="AF79" s="93" t="b">
        <v>0</v>
      </c>
      <c r="AG79" s="104" t="inlineStr">
        <is>
          <t>Físico</t>
        </is>
      </c>
      <c r="AH79" s="11" t="n"/>
      <c r="AI79" s="11" t="n"/>
      <c r="AJ79" s="99" t="n"/>
      <c r="AK79" s="105" t="inlineStr">
        <is>
          <t>FORÇA</t>
        </is>
      </c>
      <c r="AL79" s="11" t="n"/>
      <c r="AM79" s="11" t="n"/>
      <c r="AN79" s="11" t="n"/>
      <c r="AO79" s="12" t="n"/>
      <c r="AP79" s="98">
        <f>+IFS(AK79="FORÇA",$D$19, AK79="DESTREZA",$L$19)+IF($AF$79=TRUE,$D$51,0)+AJ79</f>
        <v/>
      </c>
      <c r="AQ79" s="11" t="n"/>
      <c r="AR79" s="11" t="n"/>
      <c r="AS79" s="11" t="n"/>
      <c r="AT79" s="12" t="n"/>
    </row>
    <row r="80">
      <c r="A80" s="8" t="n"/>
      <c r="B80" s="22" t="n"/>
      <c r="C80" s="38" t="n"/>
      <c r="D80" s="93" t="b">
        <v>0</v>
      </c>
      <c r="E80" s="93" t="b">
        <v>0</v>
      </c>
      <c r="F80" s="100" t="inlineStr">
        <is>
          <t>Arrombamento</t>
        </is>
      </c>
      <c r="G80" s="11" t="n"/>
      <c r="H80" s="11" t="n"/>
      <c r="I80" s="11" t="n"/>
      <c r="J80" s="12" t="n"/>
      <c r="K80" s="101" t="inlineStr">
        <is>
          <t>INTELIGÊNCIA</t>
        </is>
      </c>
      <c r="L80" s="11" t="n"/>
      <c r="M80" s="12" t="n"/>
      <c r="N80" s="103">
        <f>+IFS(K80="FORÇA",$D$19, K80="DESTREZA",$L$19, K80="CONSTITUIÇÃO",$T$19, K80="INTELIGÊNCIA",$AB$19, K80="ESSÊNCIA",$AJ$19) + IF(E80, $D$51 + INT($D$51 / 2), IF(D80, $D$51, 0)) + O80</f>
        <v/>
      </c>
      <c r="O80" s="96" t="n"/>
      <c r="P80" s="48" t="n"/>
      <c r="Q80" s="93" t="b">
        <v>0</v>
      </c>
      <c r="R80" s="93" t="b">
        <v>0</v>
      </c>
      <c r="S80" s="100" t="inlineStr">
        <is>
          <t xml:space="preserve">Alfaiate </t>
        </is>
      </c>
      <c r="T80" s="11" t="n"/>
      <c r="U80" s="11" t="n"/>
      <c r="V80" s="11" t="n"/>
      <c r="W80" s="12" t="n"/>
      <c r="X80" s="101" t="inlineStr">
        <is>
          <t>INTELIGÊNCIA</t>
        </is>
      </c>
      <c r="Y80" s="11" t="n"/>
      <c r="Z80" s="12" t="n"/>
      <c r="AA80" s="103">
        <f>+IFS(X80="FORÇA",$D$19, X80="DESTREZA",$L$19, X80="CONSTITUIÇÃO",$T$19, X80="INTELIGÊNCIA",$AB$19, X80="ESSÊNCIA",$AJ$19) + IF(R80, $D$51 + INT($D$51 / 2), IF(Q80, $D$51, 0)) + AB80</f>
        <v/>
      </c>
      <c r="AB80" s="96" t="n"/>
      <c r="AC80" s="48" t="n"/>
      <c r="AD80" s="48" t="n"/>
      <c r="AE80" s="91" t="n"/>
      <c r="AF80" s="93" t="b">
        <v>0</v>
      </c>
      <c r="AG80" s="104" t="inlineStr">
        <is>
          <t>Vigor</t>
        </is>
      </c>
      <c r="AH80" s="11" t="n"/>
      <c r="AI80" s="11" t="n"/>
      <c r="AJ80" s="99" t="n"/>
      <c r="AK80" s="101" t="inlineStr">
        <is>
          <t xml:space="preserve">CONSTITUIÇÃO </t>
        </is>
      </c>
      <c r="AL80" s="11" t="n"/>
      <c r="AM80" s="11" t="n"/>
      <c r="AN80" s="11" t="n"/>
      <c r="AO80" s="12" t="n"/>
      <c r="AP80" s="98">
        <f>$T$19+IF($AF$80=TRUE,$D$51,0)+AJ80</f>
        <v/>
      </c>
      <c r="AQ80" s="11" t="n"/>
      <c r="AR80" s="11" t="n"/>
      <c r="AS80" s="11" t="n"/>
      <c r="AT80" s="12" t="n"/>
    </row>
    <row r="81">
      <c r="A81" s="8" t="n"/>
      <c r="B81" s="22" t="n"/>
      <c r="C81" s="38" t="n"/>
      <c r="D81" s="93" t="b">
        <v>0</v>
      </c>
      <c r="E81" s="93" t="b">
        <v>0</v>
      </c>
      <c r="F81" s="100" t="inlineStr">
        <is>
          <t>Herbalismo</t>
        </is>
      </c>
      <c r="G81" s="11" t="n"/>
      <c r="H81" s="11" t="n"/>
      <c r="I81" s="11" t="n"/>
      <c r="J81" s="12" t="n"/>
      <c r="K81" s="101" t="inlineStr">
        <is>
          <t>INTELIGÊNCIA</t>
        </is>
      </c>
      <c r="L81" s="11" t="n"/>
      <c r="M81" s="12" t="n"/>
      <c r="N81" s="103">
        <f>+IFS(K81="FORÇA",$D$19, K81="DESTREZA",$L$19, K81="CONSTITUIÇÃO",$T$19, K81="INTELIGÊNCIA",$AB$19, K81="ESSÊNCIA",$AJ$19) + IF(E81, $D$51 + INT($D$51 / 2), IF(D81, $D$51, 0)) + O81</f>
        <v/>
      </c>
      <c r="O81" s="96" t="n"/>
      <c r="P81" s="48" t="n"/>
      <c r="Q81" s="93" t="b">
        <v>0</v>
      </c>
      <c r="R81" s="93" t="b">
        <v>0</v>
      </c>
      <c r="S81" s="94" t="inlineStr">
        <is>
          <t>Culinária</t>
        </is>
      </c>
      <c r="T81" s="11" t="n"/>
      <c r="U81" s="11" t="n"/>
      <c r="V81" s="11" t="n"/>
      <c r="W81" s="12" t="n"/>
      <c r="X81" s="101" t="inlineStr">
        <is>
          <t>INTELIGÊNCIA</t>
        </is>
      </c>
      <c r="Y81" s="11" t="n"/>
      <c r="Z81" s="12" t="n"/>
      <c r="AA81" s="103">
        <f>+IFS(X81="FORÇA",$D$19, X81="DESTREZA",$L$19, X81="CONSTITUIÇÃO",$T$19, X81="INTELIGÊNCIA",$AB$19, X81="ESSÊNCIA",$AJ$19) + IF(R81, $D$51 + INT($D$51 / 2), IF(Q81, $D$51, 0)) + AB81</f>
        <v/>
      </c>
      <c r="AB81" s="96" t="n"/>
      <c r="AC81" s="48" t="n"/>
      <c r="AD81" s="48" t="n"/>
      <c r="AE81" s="91" t="n"/>
      <c r="AF81" s="93" t="b">
        <v>0</v>
      </c>
      <c r="AG81" s="104" t="inlineStr">
        <is>
          <t>Intelecto</t>
        </is>
      </c>
      <c r="AH81" s="11" t="n"/>
      <c r="AI81" s="11" t="n"/>
      <c r="AJ81" s="99" t="n"/>
      <c r="AK81" s="101" t="inlineStr">
        <is>
          <t>INTELIGÊNCIA</t>
        </is>
      </c>
      <c r="AL81" s="11" t="n"/>
      <c r="AM81" s="11" t="n"/>
      <c r="AN81" s="11" t="n"/>
      <c r="AO81" s="12" t="n"/>
      <c r="AP81" s="98">
        <f>$AB$19+IF($AF$81=TRUE,$D$51,0)+AJ81</f>
        <v/>
      </c>
      <c r="AQ81" s="11" t="n"/>
      <c r="AR81" s="11" t="n"/>
      <c r="AS81" s="11" t="n"/>
      <c r="AT81" s="12" t="n"/>
    </row>
    <row r="82">
      <c r="A82" s="8" t="n"/>
      <c r="B82" s="22" t="n"/>
      <c r="C82" s="38" t="n"/>
      <c r="D82" s="93" t="b">
        <v>0</v>
      </c>
      <c r="E82" s="93" t="b">
        <v>0</v>
      </c>
      <c r="F82" s="100" t="inlineStr">
        <is>
          <t>Forja</t>
        </is>
      </c>
      <c r="G82" s="11" t="n"/>
      <c r="H82" s="11" t="n"/>
      <c r="I82" s="11" t="n"/>
      <c r="J82" s="12" t="n"/>
      <c r="K82" s="101" t="inlineStr">
        <is>
          <t>INTELIGÊNCIA</t>
        </is>
      </c>
      <c r="L82" s="11" t="n"/>
      <c r="M82" s="12" t="n"/>
      <c r="N82" s="103">
        <f>+IFS(K82="FORÇA",$D$19, K82="DESTREZA",$L$19, K82="CONSTITUIÇÃO",$T$19, K82="INTELIGÊNCIA",$AB$19, K82="ESSÊNCIA",$AJ$19) + IF(E82, $D$51 + INT($D$51 / 2), IF(D82, $D$51, 0)) + O82</f>
        <v/>
      </c>
      <c r="O82" s="96" t="n"/>
      <c r="P82" s="48" t="n"/>
      <c r="Q82" s="93" t="b">
        <v>0</v>
      </c>
      <c r="R82" s="93" t="b">
        <v>0</v>
      </c>
      <c r="S82" s="100" t="inlineStr">
        <is>
          <t>Jogatina</t>
        </is>
      </c>
      <c r="T82" s="11" t="n"/>
      <c r="U82" s="11" t="n"/>
      <c r="V82" s="11" t="n"/>
      <c r="W82" s="12" t="n"/>
      <c r="X82" s="101" t="inlineStr">
        <is>
          <t>INTELIGÊNCIA</t>
        </is>
      </c>
      <c r="Y82" s="11" t="n"/>
      <c r="Z82" s="12" t="n"/>
      <c r="AA82" s="103">
        <f>+IFS(X82="FORÇA",$D$19, X82="DESTREZA",$L$19, X82="CONSTITUIÇÃO",$T$19, X82="INTELIGÊNCIA",$AB$19, X82="ESSÊNCIA",$AJ$19) + IF(R82, $D$51 + INT($D$51 / 2), IF(Q82, $D$51, 0)) + AB82</f>
        <v/>
      </c>
      <c r="AB82" s="96" t="n"/>
      <c r="AC82" s="48" t="n"/>
      <c r="AD82" s="48" t="n"/>
      <c r="AE82" s="48" t="n"/>
      <c r="AF82" s="93" t="b">
        <v>0</v>
      </c>
      <c r="AG82" s="104" t="inlineStr">
        <is>
          <t>Espírito</t>
        </is>
      </c>
      <c r="AH82" s="11" t="n"/>
      <c r="AI82" s="11" t="n"/>
      <c r="AJ82" s="99" t="n"/>
      <c r="AK82" s="101" t="inlineStr">
        <is>
          <t>ESSÊNCIA</t>
        </is>
      </c>
      <c r="AL82" s="11" t="n"/>
      <c r="AM82" s="11" t="n"/>
      <c r="AN82" s="11" t="n"/>
      <c r="AO82" s="12" t="n"/>
      <c r="AP82" s="98">
        <f>$AJ$19+IF($AF$82=TRUE,$D$51,0)+AJ82</f>
        <v/>
      </c>
      <c r="AQ82" s="11" t="n"/>
      <c r="AR82" s="11" t="n"/>
      <c r="AS82" s="11" t="n"/>
      <c r="AT82" s="12" t="n"/>
    </row>
    <row r="83">
      <c r="A83" s="8" t="n"/>
      <c r="B83" s="22" t="n"/>
      <c r="C83" s="38" t="n"/>
      <c r="D83" s="93" t="b">
        <v>0</v>
      </c>
      <c r="E83" s="93" t="b">
        <v>0</v>
      </c>
      <c r="F83" s="100" t="inlineStr">
        <is>
          <t>Caligrafia</t>
        </is>
      </c>
      <c r="G83" s="11" t="n"/>
      <c r="H83" s="11" t="n"/>
      <c r="I83" s="11" t="n"/>
      <c r="J83" s="12" t="n"/>
      <c r="K83" s="101" t="inlineStr">
        <is>
          <t>INTELIGÊNCIA</t>
        </is>
      </c>
      <c r="L83" s="11" t="n"/>
      <c r="M83" s="12" t="n"/>
      <c r="N83" s="103">
        <f>+IFS(K83="FORÇA",$D$19, K83="DESTREZA",$L$19, K83="CONSTITUIÇÃO",$T$19, K83="INTELIGÊNCIA",$AB$19, K83="ESSÊNCIA",$AJ$19) + IF(E83, $D$51 + INT($D$51 / 2), IF(D83, $D$51, 0)) + O83</f>
        <v/>
      </c>
      <c r="O83" s="96" t="n"/>
      <c r="P83" s="48" t="n"/>
      <c r="Q83" s="93" t="b">
        <v>0</v>
      </c>
      <c r="R83" s="93" t="b">
        <v>0</v>
      </c>
      <c r="S83" s="100" t="inlineStr">
        <is>
          <t>Instrumento</t>
        </is>
      </c>
      <c r="T83" s="11" t="n"/>
      <c r="U83" s="11" t="n"/>
      <c r="V83" s="11" t="n"/>
      <c r="W83" s="12" t="n"/>
      <c r="X83" s="101" t="inlineStr">
        <is>
          <t>INTELIGÊNCIA</t>
        </is>
      </c>
      <c r="Y83" s="11" t="n"/>
      <c r="Z83" s="12" t="n"/>
      <c r="AA83" s="103">
        <f>+IFS(X83="FORÇA",$D$19, X83="DESTREZA",$L$19, X83="CONSTITUIÇÃO",$T$19, X83="INTELIGÊNCIA",$AB$19, X83="ESSÊNCIA",$AJ$19) + IF(R83, $D$51 + INT($D$51 / 2), IF(Q83, $D$51, 0)) + AB83</f>
        <v/>
      </c>
      <c r="AB83" s="96" t="n"/>
      <c r="AC83" s="48" t="n"/>
      <c r="AD83" s="48" t="n"/>
      <c r="AE83" s="48" t="n"/>
      <c r="AF83" s="48" t="n"/>
      <c r="AG83" s="48" t="n"/>
      <c r="AH83" s="48" t="n"/>
      <c r="AI83" s="48" t="n"/>
      <c r="AJ83" s="48" t="n"/>
      <c r="AK83" s="48" t="n"/>
      <c r="AL83" s="48" t="n"/>
      <c r="AM83" s="48" t="n"/>
      <c r="AN83" s="48" t="n"/>
      <c r="AO83" s="48" t="n"/>
      <c r="AP83" s="48" t="n"/>
      <c r="AQ83" s="48" t="n"/>
      <c r="AR83" s="48" t="n"/>
      <c r="AS83" s="48" t="n"/>
      <c r="AT83" s="48" t="n"/>
    </row>
    <row r="84">
      <c r="A84" s="8" t="n"/>
      <c r="B84" s="22" t="n"/>
      <c r="C84" s="38" t="n"/>
      <c r="D84" s="93" t="b">
        <v>0</v>
      </c>
      <c r="E84" s="93" t="b">
        <v>0</v>
      </c>
      <c r="F84" s="100" t="inlineStr">
        <is>
          <t>Burocracia</t>
        </is>
      </c>
      <c r="G84" s="11" t="n"/>
      <c r="H84" s="11" t="n"/>
      <c r="I84" s="11" t="n"/>
      <c r="J84" s="12" t="n"/>
      <c r="K84" s="101" t="inlineStr">
        <is>
          <t>INTELIGÊNCIA</t>
        </is>
      </c>
      <c r="L84" s="11" t="n"/>
      <c r="M84" s="12" t="n"/>
      <c r="N84" s="103">
        <f>+IFS(K84="FORÇA",$D$19, K84="DESTREZA",$L$19, K84="CONSTITUIÇÃO",$T$19, K84="INTELIGÊNCIA",$AB$19, K84="ESSÊNCIA",$AJ$19) + IF(E84, $D$51 + INT($D$51 / 2), IF(D84, $D$51, 0)) + O84</f>
        <v/>
      </c>
      <c r="O84" s="96" t="n"/>
      <c r="P84" s="48" t="n"/>
      <c r="Q84" s="48" t="n"/>
      <c r="R84" s="48" t="n"/>
      <c r="S84" s="48" t="n"/>
      <c r="T84" s="48" t="n"/>
      <c r="U84" s="48" t="n"/>
      <c r="V84" s="48" t="n"/>
      <c r="W84" s="48" t="n"/>
      <c r="X84" s="48" t="n"/>
      <c r="Y84" s="48" t="n"/>
      <c r="Z84" s="48" t="n"/>
      <c r="AA84" s="48" t="n"/>
      <c r="AB84" s="48" t="n"/>
      <c r="AC84" s="48" t="n"/>
      <c r="AD84" s="48" t="n"/>
      <c r="AE84" s="48" t="n"/>
      <c r="AF84" s="106" t="inlineStr">
        <is>
          <t>Ofícios Disponíveis</t>
        </is>
      </c>
      <c r="AG84" s="11" t="n"/>
      <c r="AH84" s="11" t="n"/>
      <c r="AI84" s="11" t="n"/>
      <c r="AJ84" s="11" t="n"/>
      <c r="AK84" s="11" t="n"/>
      <c r="AL84" s="11" t="n"/>
      <c r="AM84" s="12" t="n"/>
      <c r="AN84" s="107" t="inlineStr">
        <is>
          <t>Testes de Resistência Disponíveis</t>
        </is>
      </c>
      <c r="AO84" s="11" t="n"/>
      <c r="AP84" s="11" t="n"/>
      <c r="AQ84" s="11" t="n"/>
      <c r="AR84" s="11" t="n"/>
      <c r="AS84" s="11" t="n"/>
      <c r="AT84" s="12" t="n"/>
    </row>
    <row r="85">
      <c r="A85" s="8" t="n"/>
      <c r="B85" s="22" t="n"/>
      <c r="C85" s="3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c r="AA85" s="48" t="n"/>
      <c r="AB85" s="48" t="n"/>
      <c r="AC85" s="48" t="n"/>
      <c r="AD85" s="48" t="n"/>
      <c r="AE85" s="48" t="n"/>
      <c r="AF85" s="108">
        <f>IF(AND(DADOS!$AK$15&gt;0,$AH$11&lt;10),"Especialização só no nível 10",IF(DADOS!$AK$24&gt;0,DADOS!$AK$24&amp;" a mais",DADOS!$AK$20+DADOS!$AK$22-DADOS!$AK$14&amp;" de "&amp;(DADOS!$AK$20+DADOS!$AK$22)))</f>
        <v/>
      </c>
      <c r="AG85" s="11" t="n"/>
      <c r="AH85" s="11" t="n"/>
      <c r="AI85" s="11" t="n"/>
      <c r="AJ85" s="11" t="n"/>
      <c r="AK85" s="11" t="n"/>
      <c r="AL85" s="11" t="n"/>
      <c r="AM85" s="12" t="n"/>
      <c r="AN85" s="109">
        <f>IF(DADOS!$AK$29&gt;2,DADOS!$AK$29-2&amp;" a mais",2-DADOS!$AK$29&amp;" de "&amp;2)</f>
        <v/>
      </c>
      <c r="AO85" s="11" t="n"/>
      <c r="AP85" s="11" t="n"/>
      <c r="AQ85" s="11" t="n"/>
      <c r="AR85" s="11" t="n"/>
      <c r="AS85" s="11" t="n"/>
      <c r="AT85" s="12" t="n"/>
    </row>
    <row r="86">
      <c r="A86" s="8" t="n"/>
      <c r="B86" s="22" t="n"/>
      <c r="C86" s="3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c r="AA86" s="48" t="n"/>
      <c r="AB86" s="48" t="n"/>
      <c r="AC86" s="48" t="n"/>
      <c r="AD86" s="48" t="n"/>
      <c r="AE86" s="48" t="n"/>
      <c r="AF86" s="48" t="n"/>
      <c r="AG86" s="48" t="n"/>
      <c r="AH86" s="48" t="n"/>
      <c r="AI86" s="48" t="n"/>
      <c r="AJ86" s="48" t="n"/>
      <c r="AK86" s="48" t="n"/>
      <c r="AL86" s="48" t="n"/>
      <c r="AM86" s="48" t="n"/>
      <c r="AN86" s="48" t="n"/>
      <c r="AO86" s="48" t="n"/>
      <c r="AP86" s="48" t="n"/>
      <c r="AQ86" s="48" t="n"/>
      <c r="AR86" s="48" t="n"/>
      <c r="AS86" s="48" t="n"/>
      <c r="AT86" s="48" t="n"/>
    </row>
    <row r="87">
      <c r="A87" s="8" t="n"/>
      <c r="B87" s="22" t="n"/>
      <c r="C87" s="3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c r="AA87" s="48" t="n"/>
      <c r="AB87" s="48" t="n"/>
      <c r="AC87" s="48" t="n"/>
      <c r="AD87" s="48" t="n"/>
      <c r="AE87" s="48" t="n"/>
      <c r="AF87" s="48" t="n"/>
      <c r="AG87" s="48" t="n"/>
      <c r="AH87" s="48" t="n"/>
      <c r="AI87" s="48" t="n"/>
      <c r="AJ87" s="48" t="n"/>
      <c r="AK87" s="48" t="n"/>
      <c r="AL87" s="48" t="n"/>
      <c r="AM87" s="48" t="n"/>
      <c r="AN87" s="48" t="n"/>
      <c r="AO87" s="48" t="n"/>
      <c r="AP87" s="48" t="n"/>
      <c r="AQ87" s="48" t="n"/>
      <c r="AR87" s="48" t="n"/>
      <c r="AS87" s="48" t="n"/>
      <c r="AT87" s="48" t="n"/>
    </row>
    <row r="88" ht="27" customHeight="1">
      <c r="A88" s="8" t="n"/>
      <c r="B88" s="22" t="n"/>
      <c r="C88" s="38" t="n"/>
      <c r="D88" s="63" t="n">
        <v>7</v>
      </c>
      <c r="E88" s="14" t="n"/>
      <c r="F88" s="15" t="n"/>
      <c r="G88" s="85" t="inlineStr">
        <is>
          <t>ANOTAÇÕES</t>
        </is>
      </c>
      <c r="H88" s="11" t="n"/>
      <c r="I88" s="11" t="n"/>
      <c r="J88" s="11" t="n"/>
      <c r="K88" s="11" t="n"/>
      <c r="L88" s="11" t="n"/>
      <c r="M88" s="11" t="n"/>
      <c r="N88" s="11" t="n"/>
      <c r="O88" s="11" t="n"/>
      <c r="P88" s="11" t="n"/>
      <c r="Q88" s="11" t="n"/>
      <c r="R88" s="11" t="n"/>
      <c r="S88" s="11" t="n"/>
      <c r="T88" s="11" t="n"/>
      <c r="U88" s="11" t="n"/>
      <c r="V88" s="11" t="n"/>
      <c r="W88" s="11" t="n"/>
      <c r="X88" s="11" t="n"/>
      <c r="Y88" s="11" t="n"/>
      <c r="Z88" s="11" t="n"/>
      <c r="AA88" s="11" t="n"/>
      <c r="AB88" s="11" t="n"/>
      <c r="AC88" s="11" t="n"/>
      <c r="AD88" s="11" t="n"/>
      <c r="AE88" s="11" t="n"/>
      <c r="AF88" s="11" t="n"/>
      <c r="AG88" s="11" t="n"/>
      <c r="AH88" s="12" t="n"/>
      <c r="AI88" s="48" t="n"/>
      <c r="AJ88" s="48" t="n"/>
      <c r="AK88" s="48" t="n"/>
      <c r="AL88" s="48" t="n"/>
      <c r="AM88" s="48" t="n"/>
      <c r="AN88" s="48" t="n"/>
      <c r="AO88" s="48" t="n"/>
      <c r="AP88" s="48" t="n"/>
      <c r="AQ88" s="48" t="n"/>
      <c r="AR88" s="48" t="n"/>
      <c r="AS88" s="48" t="n"/>
      <c r="AT88" s="48" t="n"/>
    </row>
    <row r="89">
      <c r="A89" s="8" t="n"/>
      <c r="B89" s="22" t="n"/>
      <c r="C89" s="38" t="n"/>
      <c r="D89" s="18" t="n"/>
      <c r="E89" s="19" t="n"/>
      <c r="F89" s="20" t="n"/>
      <c r="G89" s="38" t="n"/>
      <c r="H89" s="38" t="n"/>
      <c r="I89" s="38" t="n"/>
      <c r="J89" s="38" t="n"/>
      <c r="K89" s="38" t="n"/>
      <c r="L89" s="38" t="n"/>
      <c r="M89" s="38" t="n"/>
      <c r="N89" s="38" t="n"/>
      <c r="O89" s="38" t="n"/>
      <c r="P89" s="38" t="n"/>
      <c r="Q89" s="38" t="n"/>
      <c r="R89" s="38" t="n"/>
      <c r="S89" s="38" t="n"/>
      <c r="T89" s="38" t="n"/>
      <c r="U89" s="38" t="n"/>
      <c r="V89" s="38" t="n"/>
      <c r="W89" s="38" t="n"/>
      <c r="X89" s="38" t="n"/>
      <c r="Y89" s="38" t="n"/>
      <c r="Z89" s="38" t="n"/>
      <c r="AA89" s="38" t="n"/>
      <c r="AB89" s="38" t="n"/>
      <c r="AC89" s="38" t="n"/>
      <c r="AD89" s="38" t="n"/>
      <c r="AE89" s="38" t="n"/>
      <c r="AF89" s="38" t="n"/>
      <c r="AG89" s="38" t="n"/>
      <c r="AH89" s="38" t="n"/>
      <c r="AI89" s="38" t="n"/>
      <c r="AJ89" s="38" t="n"/>
      <c r="AK89" s="38" t="n"/>
      <c r="AL89" s="38" t="n"/>
      <c r="AM89" s="38" t="n"/>
      <c r="AN89" s="38" t="n"/>
      <c r="AO89" s="38" t="n"/>
      <c r="AP89" s="38" t="n"/>
      <c r="AQ89" s="38" t="n"/>
      <c r="AR89" s="38" t="n"/>
      <c r="AS89" s="38" t="n"/>
      <c r="AT89" s="38" t="n"/>
    </row>
    <row r="90" ht="5.25" customHeight="1">
      <c r="A90" s="8" t="n"/>
      <c r="B90" s="22" t="n"/>
      <c r="C90" s="38" t="n"/>
      <c r="D90" s="38" t="n"/>
      <c r="N90" s="38" t="n"/>
      <c r="O90" s="38" t="n"/>
      <c r="P90" s="38" t="n"/>
      <c r="Q90" s="38" t="n"/>
      <c r="R90" s="38" t="n"/>
      <c r="S90" s="38" t="n"/>
      <c r="T90" s="38" t="n"/>
      <c r="U90" s="38" t="n"/>
      <c r="V90" s="38" t="n"/>
      <c r="W90" s="38" t="n"/>
      <c r="X90" s="38" t="n"/>
      <c r="Y90" s="38" t="n"/>
      <c r="Z90" s="38" t="n"/>
      <c r="AA90" s="38" t="n"/>
      <c r="AB90" s="38" t="n"/>
      <c r="AC90" s="38" t="n"/>
      <c r="AD90" s="38" t="n"/>
      <c r="AE90" s="38" t="n"/>
      <c r="AF90" s="38" t="n"/>
      <c r="AG90" s="38" t="n"/>
      <c r="AH90" s="38" t="n"/>
      <c r="AI90" s="38" t="n"/>
      <c r="AJ90" s="38" t="n"/>
      <c r="AK90" s="38" t="n"/>
      <c r="AL90" s="38" t="n"/>
      <c r="AM90" s="38" t="n"/>
      <c r="AN90" s="38" t="n"/>
      <c r="AO90" s="38" t="n"/>
      <c r="AP90" s="38" t="n"/>
      <c r="AQ90" s="38" t="n"/>
      <c r="AR90" s="38" t="n"/>
      <c r="AS90" s="38" t="n"/>
      <c r="AT90" s="38" t="n"/>
    </row>
    <row r="91">
      <c r="A91" s="8" t="n"/>
      <c r="B91" s="22" t="n"/>
      <c r="C91" s="38" t="n"/>
      <c r="D91" s="110" t="inlineStr">
        <is>
          <t>Skill Base de Caminho 1</t>
        </is>
      </c>
      <c r="E91" s="11" t="n"/>
      <c r="F91" s="11" t="n"/>
      <c r="G91" s="11" t="n"/>
      <c r="H91" s="11" t="n"/>
      <c r="I91" s="11" t="n"/>
      <c r="J91" s="11" t="n"/>
      <c r="K91" s="11" t="n"/>
      <c r="L91" s="11" t="n"/>
      <c r="M91" s="11" t="n"/>
      <c r="N91" s="12" t="n"/>
      <c r="O91" s="38" t="n"/>
      <c r="P91" s="110" t="inlineStr">
        <is>
          <t>Skill Base de Trilha 1</t>
        </is>
      </c>
      <c r="Q91" s="11" t="n"/>
      <c r="R91" s="11" t="n"/>
      <c r="S91" s="11" t="n"/>
      <c r="T91" s="11" t="n"/>
      <c r="U91" s="11" t="n"/>
      <c r="V91" s="11" t="n"/>
      <c r="W91" s="11" t="n"/>
      <c r="X91" s="11" t="n"/>
      <c r="Y91" s="11" t="n"/>
      <c r="Z91" s="12" t="n"/>
      <c r="AA91" s="38" t="n"/>
      <c r="AB91" s="110" t="inlineStr">
        <is>
          <t>Outras Anotações</t>
        </is>
      </c>
      <c r="AC91" s="11" t="n"/>
      <c r="AD91" s="11" t="n"/>
      <c r="AE91" s="11" t="n"/>
      <c r="AF91" s="11" t="n"/>
      <c r="AG91" s="11" t="n"/>
      <c r="AH91" s="11" t="n"/>
      <c r="AI91" s="11" t="n"/>
      <c r="AJ91" s="11" t="n"/>
      <c r="AK91" s="11" t="n"/>
      <c r="AL91" s="12" t="n"/>
      <c r="AM91" s="38" t="n"/>
      <c r="AN91" s="38" t="n"/>
      <c r="AO91" s="38" t="n"/>
      <c r="AP91" s="38" t="n"/>
      <c r="AQ91" s="38" t="n"/>
      <c r="AR91" s="38" t="n"/>
      <c r="AS91" s="38" t="n"/>
      <c r="AT91" s="38" t="n"/>
    </row>
    <row r="92" ht="5.25" customHeight="1">
      <c r="A92" s="8" t="n"/>
      <c r="B92" s="22" t="n"/>
      <c r="C92" s="38" t="n"/>
      <c r="D92" s="38" t="n"/>
      <c r="E92" s="38" t="n"/>
      <c r="F92" s="38" t="n"/>
      <c r="G92" s="38" t="n"/>
      <c r="H92" s="38" t="n"/>
      <c r="I92" s="38" t="n"/>
      <c r="J92" s="38" t="n"/>
      <c r="K92" s="38" t="n"/>
      <c r="L92" s="38" t="n"/>
      <c r="M92" s="38" t="n"/>
      <c r="N92" s="38" t="n"/>
      <c r="O92" s="38" t="n"/>
      <c r="P92" s="38" t="n"/>
      <c r="Q92" s="38" t="n"/>
      <c r="R92" s="38" t="n"/>
      <c r="S92" s="38" t="n"/>
      <c r="T92" s="38" t="n"/>
      <c r="U92" s="38" t="n"/>
      <c r="V92" s="38" t="n"/>
      <c r="W92" s="38" t="n"/>
      <c r="X92" s="38" t="n"/>
      <c r="Y92" s="38" t="n"/>
      <c r="Z92" s="38" t="n"/>
      <c r="AA92" s="38" t="n"/>
      <c r="AB92" s="38" t="n"/>
      <c r="AC92" s="38" t="n"/>
      <c r="AD92" s="38" t="n"/>
      <c r="AE92" s="38" t="n"/>
      <c r="AF92" s="38" t="n"/>
      <c r="AG92" s="38" t="n"/>
      <c r="AH92" s="38" t="n"/>
      <c r="AI92" s="38" t="n"/>
      <c r="AJ92" s="38" t="n"/>
      <c r="AK92" s="38" t="n"/>
      <c r="AL92" s="38" t="n"/>
      <c r="AM92" s="38" t="n"/>
      <c r="AN92" s="38" t="n"/>
      <c r="AO92" s="38" t="n"/>
      <c r="AP92" s="38" t="n"/>
      <c r="AS92" s="38" t="n"/>
      <c r="AT92" s="38" t="n"/>
    </row>
    <row r="93">
      <c r="A93" s="8" t="n"/>
      <c r="B93" s="22" t="n"/>
      <c r="C93" s="38" t="n"/>
      <c r="D93" s="111" t="n"/>
      <c r="E93" s="14" t="n"/>
      <c r="F93" s="14" t="n"/>
      <c r="G93" s="14" t="n"/>
      <c r="H93" s="14" t="n"/>
      <c r="I93" s="14" t="n"/>
      <c r="J93" s="14" t="n"/>
      <c r="K93" s="14" t="n"/>
      <c r="L93" s="14" t="n"/>
      <c r="M93" s="14" t="n"/>
      <c r="N93" s="15" t="n"/>
      <c r="O93" s="38" t="n"/>
      <c r="P93" s="111" t="n"/>
      <c r="Q93" s="14" t="n"/>
      <c r="R93" s="14" t="n"/>
      <c r="S93" s="14" t="n"/>
      <c r="T93" s="14" t="n"/>
      <c r="U93" s="14" t="n"/>
      <c r="V93" s="14" t="n"/>
      <c r="W93" s="14" t="n"/>
      <c r="X93" s="14" t="n"/>
      <c r="Y93" s="14" t="n"/>
      <c r="Z93" s="15" t="n"/>
      <c r="AA93" s="38" t="n"/>
      <c r="AB93" s="111" t="n"/>
      <c r="AC93" s="14" t="n"/>
      <c r="AD93" s="14" t="n"/>
      <c r="AE93" s="14" t="n"/>
      <c r="AF93" s="14" t="n"/>
      <c r="AG93" s="14" t="n"/>
      <c r="AH93" s="14" t="n"/>
      <c r="AI93" s="14" t="n"/>
      <c r="AJ93" s="14" t="n"/>
      <c r="AK93" s="14" t="n"/>
      <c r="AL93" s="15" t="n"/>
      <c r="AM93" s="38" t="n"/>
      <c r="AN93" s="38" t="n"/>
      <c r="AO93" s="38" t="n"/>
      <c r="AS93" s="38" t="n"/>
      <c r="AT93" s="38" t="n"/>
    </row>
    <row r="94">
      <c r="A94" s="8" t="n"/>
      <c r="B94" s="22" t="n"/>
      <c r="C94" s="38" t="n"/>
      <c r="D94" s="16" t="n"/>
      <c r="N94" s="17" t="n"/>
      <c r="O94" s="38" t="n"/>
      <c r="P94" s="16" t="n"/>
      <c r="Z94" s="17" t="n"/>
      <c r="AA94" s="38" t="n"/>
      <c r="AB94" s="16" t="n"/>
      <c r="AL94" s="17" t="n"/>
      <c r="AM94" s="38" t="n"/>
      <c r="AN94" s="38" t="n"/>
      <c r="AO94" s="38" t="n"/>
      <c r="AS94" s="38" t="n"/>
      <c r="AT94" s="38" t="n"/>
    </row>
    <row r="95">
      <c r="A95" s="8" t="n"/>
      <c r="B95" s="22" t="n"/>
      <c r="C95" s="38" t="n"/>
      <c r="D95" s="16" t="n"/>
      <c r="N95" s="17" t="n"/>
      <c r="O95" s="38" t="n"/>
      <c r="P95" s="16" t="n"/>
      <c r="Z95" s="17" t="n"/>
      <c r="AA95" s="38" t="n"/>
      <c r="AB95" s="16" t="n"/>
      <c r="AL95" s="17" t="n"/>
      <c r="AM95" s="38" t="n"/>
      <c r="AN95" s="38" t="n"/>
      <c r="AO95" s="38" t="n"/>
      <c r="AS95" s="38" t="n"/>
      <c r="AT95" s="38" t="n"/>
    </row>
    <row r="96">
      <c r="A96" s="8" t="n"/>
      <c r="B96" s="22" t="n"/>
      <c r="C96" s="38" t="n"/>
      <c r="D96" s="18" t="n"/>
      <c r="E96" s="19" t="n"/>
      <c r="F96" s="19" t="n"/>
      <c r="G96" s="19" t="n"/>
      <c r="H96" s="19" t="n"/>
      <c r="I96" s="19" t="n"/>
      <c r="J96" s="19" t="n"/>
      <c r="K96" s="19" t="n"/>
      <c r="L96" s="19" t="n"/>
      <c r="M96" s="19" t="n"/>
      <c r="N96" s="20" t="n"/>
      <c r="O96" s="38" t="n"/>
      <c r="P96" s="18" t="n"/>
      <c r="Q96" s="19" t="n"/>
      <c r="R96" s="19" t="n"/>
      <c r="S96" s="19" t="n"/>
      <c r="T96" s="19" t="n"/>
      <c r="U96" s="19" t="n"/>
      <c r="V96" s="19" t="n"/>
      <c r="W96" s="19" t="n"/>
      <c r="X96" s="19" t="n"/>
      <c r="Y96" s="19" t="n"/>
      <c r="Z96" s="20" t="n"/>
      <c r="AA96" s="38" t="n"/>
      <c r="AB96" s="18" t="n"/>
      <c r="AC96" s="19" t="n"/>
      <c r="AD96" s="19" t="n"/>
      <c r="AE96" s="19" t="n"/>
      <c r="AF96" s="19" t="n"/>
      <c r="AG96" s="19" t="n"/>
      <c r="AH96" s="19" t="n"/>
      <c r="AI96" s="19" t="n"/>
      <c r="AJ96" s="19" t="n"/>
      <c r="AK96" s="19" t="n"/>
      <c r="AL96" s="20" t="n"/>
      <c r="AM96" s="38" t="n"/>
      <c r="AN96" s="38" t="n"/>
      <c r="AO96" s="38" t="n"/>
      <c r="AS96" s="38" t="n"/>
      <c r="AT96" s="38" t="n"/>
    </row>
    <row r="97" ht="5.25" customHeight="1">
      <c r="A97" s="8" t="n"/>
      <c r="B97" s="22" t="n"/>
      <c r="C97" s="38" t="n"/>
      <c r="D97" s="38" t="n"/>
      <c r="E97" s="38" t="n"/>
      <c r="F97" s="38" t="n"/>
      <c r="G97" s="38" t="n"/>
      <c r="H97" s="38" t="n"/>
      <c r="I97" s="38" t="n"/>
      <c r="J97" s="38" t="n"/>
      <c r="K97" s="38" t="n"/>
      <c r="L97" s="38" t="n"/>
      <c r="M97" s="38" t="n"/>
      <c r="N97" s="38" t="n"/>
      <c r="O97" s="38" t="n"/>
      <c r="P97" s="38" t="n"/>
      <c r="Q97" s="38" t="n"/>
      <c r="R97" s="38" t="n"/>
      <c r="S97" s="38" t="n"/>
      <c r="T97" s="38" t="n"/>
      <c r="U97" s="38" t="n"/>
      <c r="V97" s="38" t="n"/>
      <c r="W97" s="38" t="n"/>
      <c r="X97" s="38" t="n"/>
      <c r="Y97" s="38" t="n"/>
      <c r="Z97" s="38" t="n"/>
      <c r="AA97" s="38" t="n"/>
      <c r="AB97" s="38" t="n"/>
      <c r="AC97" s="38" t="n"/>
      <c r="AD97" s="38" t="n"/>
      <c r="AE97" s="38" t="n"/>
      <c r="AF97" s="38" t="n"/>
      <c r="AG97" s="38" t="n"/>
      <c r="AH97" s="38" t="n"/>
      <c r="AI97" s="38" t="n"/>
      <c r="AJ97" s="38" t="n"/>
      <c r="AK97" s="38" t="n"/>
      <c r="AL97" s="38" t="n"/>
      <c r="AM97" s="38" t="n"/>
      <c r="AN97" s="38" t="n"/>
      <c r="AO97" s="38" t="n"/>
      <c r="AP97" s="38" t="n"/>
      <c r="AQ97" s="38" t="n"/>
      <c r="AR97" s="38" t="n"/>
      <c r="AS97" s="38" t="n"/>
      <c r="AT97" s="38" t="n"/>
    </row>
    <row r="98">
      <c r="A98" s="8" t="n"/>
      <c r="B98" s="22" t="n"/>
      <c r="C98" s="38" t="n"/>
      <c r="D98" s="110" t="inlineStr">
        <is>
          <t>Skill Base de Caminho 2</t>
        </is>
      </c>
      <c r="E98" s="11" t="n"/>
      <c r="F98" s="11" t="n"/>
      <c r="G98" s="11" t="n"/>
      <c r="H98" s="11" t="n"/>
      <c r="I98" s="11" t="n"/>
      <c r="J98" s="11" t="n"/>
      <c r="K98" s="11" t="n"/>
      <c r="L98" s="11" t="n"/>
      <c r="M98" s="11" t="n"/>
      <c r="N98" s="12" t="n"/>
      <c r="O98" s="38" t="n"/>
      <c r="P98" s="110" t="inlineStr">
        <is>
          <t>Skill Base de Trilha 2</t>
        </is>
      </c>
      <c r="Q98" s="11" t="n"/>
      <c r="R98" s="11" t="n"/>
      <c r="S98" s="11" t="n"/>
      <c r="T98" s="11" t="n"/>
      <c r="U98" s="11" t="n"/>
      <c r="V98" s="11" t="n"/>
      <c r="W98" s="11" t="n"/>
      <c r="X98" s="11" t="n"/>
      <c r="Y98" s="11" t="n"/>
      <c r="Z98" s="12" t="n"/>
      <c r="AA98" s="38" t="n"/>
      <c r="AB98" s="110" t="inlineStr">
        <is>
          <t>Outras Anotações</t>
        </is>
      </c>
      <c r="AC98" s="11" t="n"/>
      <c r="AD98" s="11" t="n"/>
      <c r="AE98" s="11" t="n"/>
      <c r="AF98" s="11" t="n"/>
      <c r="AG98" s="11" t="n"/>
      <c r="AH98" s="11" t="n"/>
      <c r="AI98" s="11" t="n"/>
      <c r="AJ98" s="11" t="n"/>
      <c r="AK98" s="11" t="n"/>
      <c r="AL98" s="12" t="n"/>
      <c r="AM98" s="38" t="n"/>
      <c r="AN98" s="38" t="n"/>
      <c r="AO98" s="38" t="n"/>
      <c r="AP98" s="38" t="n"/>
      <c r="AQ98" s="38" t="n"/>
      <c r="AR98" s="38" t="n"/>
      <c r="AS98" s="38" t="n"/>
      <c r="AT98" s="38" t="n"/>
    </row>
    <row r="99" ht="5.25" customHeight="1">
      <c r="A99" s="8" t="n"/>
      <c r="B99" s="22" t="n"/>
      <c r="C99" s="38" t="n"/>
      <c r="D99" s="38" t="n"/>
      <c r="E99" s="38" t="n"/>
      <c r="F99" s="38" t="n"/>
      <c r="G99" s="38" t="n"/>
      <c r="H99" s="38" t="n"/>
      <c r="I99" s="38" t="n"/>
      <c r="J99" s="38" t="n"/>
      <c r="K99" s="38" t="n"/>
      <c r="L99" s="38" t="n"/>
      <c r="M99" s="38" t="n"/>
      <c r="N99" s="38" t="n"/>
      <c r="O99" s="38" t="n"/>
      <c r="P99" s="38" t="n"/>
      <c r="Q99" s="38" t="n"/>
      <c r="R99" s="38" t="n"/>
      <c r="S99" s="38" t="n"/>
      <c r="T99" s="38" t="n"/>
      <c r="U99" s="38" t="n"/>
      <c r="V99" s="38" t="n"/>
      <c r="W99" s="38" t="n"/>
      <c r="X99" s="38" t="n"/>
      <c r="Y99" s="38" t="n"/>
      <c r="Z99" s="38" t="n"/>
      <c r="AA99" s="38" t="n"/>
      <c r="AB99" s="38" t="n"/>
      <c r="AC99" s="38" t="n"/>
      <c r="AD99" s="38" t="n"/>
      <c r="AE99" s="38" t="n"/>
      <c r="AF99" s="38" t="n"/>
      <c r="AG99" s="38" t="n"/>
      <c r="AH99" s="38" t="n"/>
      <c r="AI99" s="38" t="n"/>
      <c r="AJ99" s="38" t="n"/>
      <c r="AK99" s="38" t="n"/>
      <c r="AL99" s="38" t="n"/>
      <c r="AM99" s="38" t="n"/>
      <c r="AN99" s="38" t="n"/>
      <c r="AO99" s="38" t="n"/>
      <c r="AP99" s="38" t="n"/>
      <c r="AQ99" s="38" t="n"/>
      <c r="AR99" s="38" t="n"/>
      <c r="AS99" s="38" t="n"/>
      <c r="AT99" s="38" t="n"/>
    </row>
    <row r="100">
      <c r="A100" s="8" t="n"/>
      <c r="B100" s="22" t="n"/>
      <c r="C100" s="38" t="n"/>
      <c r="D100" s="111" t="n"/>
      <c r="E100" s="14" t="n"/>
      <c r="F100" s="14" t="n"/>
      <c r="G100" s="14" t="n"/>
      <c r="H100" s="14" t="n"/>
      <c r="I100" s="14" t="n"/>
      <c r="J100" s="14" t="n"/>
      <c r="K100" s="14" t="n"/>
      <c r="L100" s="14" t="n"/>
      <c r="M100" s="14" t="n"/>
      <c r="N100" s="15" t="n"/>
      <c r="O100" s="38" t="n"/>
      <c r="P100" s="111" t="n"/>
      <c r="Q100" s="14" t="n"/>
      <c r="R100" s="14" t="n"/>
      <c r="S100" s="14" t="n"/>
      <c r="T100" s="14" t="n"/>
      <c r="U100" s="14" t="n"/>
      <c r="V100" s="14" t="n"/>
      <c r="W100" s="14" t="n"/>
      <c r="X100" s="14" t="n"/>
      <c r="Y100" s="14" t="n"/>
      <c r="Z100" s="15" t="n"/>
      <c r="AA100" s="38" t="n"/>
      <c r="AB100" s="111" t="n"/>
      <c r="AC100" s="14" t="n"/>
      <c r="AD100" s="14" t="n"/>
      <c r="AE100" s="14" t="n"/>
      <c r="AF100" s="14" t="n"/>
      <c r="AG100" s="14" t="n"/>
      <c r="AH100" s="14" t="n"/>
      <c r="AI100" s="14" t="n"/>
      <c r="AJ100" s="14" t="n"/>
      <c r="AK100" s="14" t="n"/>
      <c r="AL100" s="15" t="n"/>
      <c r="AM100" s="38" t="n"/>
      <c r="AN100" s="38" t="n"/>
      <c r="AO100" s="38" t="n"/>
      <c r="AP100" s="38" t="n"/>
      <c r="AQ100" s="38" t="n"/>
      <c r="AR100" s="38" t="n"/>
      <c r="AS100" s="38" t="n"/>
      <c r="AT100" s="38" t="n"/>
    </row>
    <row r="101">
      <c r="A101" s="8" t="n"/>
      <c r="B101" s="22" t="n"/>
      <c r="C101" s="38" t="n"/>
      <c r="D101" s="16" t="n"/>
      <c r="N101" s="17" t="n"/>
      <c r="O101" s="38" t="n"/>
      <c r="P101" s="16" t="n"/>
      <c r="Z101" s="17" t="n"/>
      <c r="AA101" s="38" t="n"/>
      <c r="AB101" s="16" t="n"/>
      <c r="AL101" s="17" t="n"/>
      <c r="AM101" s="38" t="n"/>
      <c r="AN101" s="38" t="n"/>
      <c r="AO101" s="38" t="n"/>
      <c r="AP101" s="38" t="n"/>
      <c r="AQ101" s="38" t="n"/>
      <c r="AR101" s="38" t="n"/>
      <c r="AS101" s="38" t="n"/>
      <c r="AT101" s="38" t="n"/>
    </row>
    <row r="102">
      <c r="A102" s="8" t="n"/>
      <c r="B102" s="22" t="n"/>
      <c r="C102" s="38" t="n"/>
      <c r="D102" s="16" t="n"/>
      <c r="N102" s="17" t="n"/>
      <c r="O102" s="38" t="n"/>
      <c r="P102" s="16" t="n"/>
      <c r="Z102" s="17" t="n"/>
      <c r="AA102" s="38" t="n"/>
      <c r="AB102" s="16" t="n"/>
      <c r="AL102" s="17" t="n"/>
      <c r="AM102" s="38" t="n"/>
      <c r="AN102" s="38" t="n"/>
      <c r="AO102" s="38" t="n"/>
      <c r="AP102" s="38" t="n"/>
      <c r="AQ102" s="38" t="n"/>
      <c r="AR102" s="38" t="n"/>
      <c r="AS102" s="38" t="n"/>
      <c r="AT102" s="38" t="n"/>
    </row>
    <row r="103">
      <c r="A103" s="8" t="n"/>
      <c r="B103" s="22" t="n"/>
      <c r="C103" s="38" t="n"/>
      <c r="D103" s="18" t="n"/>
      <c r="E103" s="19" t="n"/>
      <c r="F103" s="19" t="n"/>
      <c r="G103" s="19" t="n"/>
      <c r="H103" s="19" t="n"/>
      <c r="I103" s="19" t="n"/>
      <c r="J103" s="19" t="n"/>
      <c r="K103" s="19" t="n"/>
      <c r="L103" s="19" t="n"/>
      <c r="M103" s="19" t="n"/>
      <c r="N103" s="20" t="n"/>
      <c r="O103" s="38" t="n"/>
      <c r="P103" s="18" t="n"/>
      <c r="Q103" s="19" t="n"/>
      <c r="R103" s="19" t="n"/>
      <c r="S103" s="19" t="n"/>
      <c r="T103" s="19" t="n"/>
      <c r="U103" s="19" t="n"/>
      <c r="V103" s="19" t="n"/>
      <c r="W103" s="19" t="n"/>
      <c r="X103" s="19" t="n"/>
      <c r="Y103" s="19" t="n"/>
      <c r="Z103" s="20" t="n"/>
      <c r="AA103" s="38" t="n"/>
      <c r="AB103" s="18" t="n"/>
      <c r="AC103" s="19" t="n"/>
      <c r="AD103" s="19" t="n"/>
      <c r="AE103" s="19" t="n"/>
      <c r="AF103" s="19" t="n"/>
      <c r="AG103" s="19" t="n"/>
      <c r="AH103" s="19" t="n"/>
      <c r="AI103" s="19" t="n"/>
      <c r="AJ103" s="19" t="n"/>
      <c r="AK103" s="19" t="n"/>
      <c r="AL103" s="20" t="n"/>
      <c r="AM103" s="38" t="n"/>
      <c r="AN103" s="38" t="n"/>
      <c r="AO103" s="38" t="n"/>
      <c r="AP103" s="38" t="n"/>
      <c r="AQ103" s="38" t="n"/>
      <c r="AR103" s="38" t="n"/>
      <c r="AS103" s="38" t="n"/>
      <c r="AT103" s="38" t="n"/>
    </row>
    <row r="104" ht="5.25" customHeight="1">
      <c r="A104" s="8" t="n"/>
      <c r="B104" s="22" t="n"/>
      <c r="C104" s="38" t="n"/>
      <c r="D104" s="38" t="n"/>
      <c r="E104" s="38" t="n"/>
      <c r="F104" s="38" t="n"/>
      <c r="G104" s="38" t="n"/>
      <c r="H104" s="38" t="n"/>
      <c r="I104" s="38" t="n"/>
      <c r="J104" s="38" t="n"/>
      <c r="K104" s="38" t="n"/>
      <c r="L104" s="38" t="n"/>
      <c r="M104" s="38" t="n"/>
      <c r="N104" s="38" t="n"/>
      <c r="O104" s="38" t="n"/>
      <c r="P104" s="38" t="n"/>
      <c r="Q104" s="38" t="n"/>
      <c r="R104" s="38" t="n"/>
      <c r="S104" s="38" t="n"/>
      <c r="T104" s="38" t="n"/>
      <c r="U104" s="38" t="n"/>
      <c r="V104" s="38" t="n"/>
      <c r="W104" s="38" t="n"/>
      <c r="X104" s="38" t="n"/>
      <c r="Y104" s="38" t="n"/>
      <c r="Z104" s="38" t="n"/>
      <c r="AA104" s="38" t="n"/>
      <c r="AB104" s="38" t="n"/>
      <c r="AC104" s="38" t="n"/>
      <c r="AD104" s="38" t="n"/>
      <c r="AE104" s="38" t="n"/>
      <c r="AF104" s="38" t="n"/>
      <c r="AG104" s="38" t="n"/>
      <c r="AH104" s="38" t="n"/>
      <c r="AI104" s="38" t="n"/>
      <c r="AJ104" s="38" t="n"/>
      <c r="AK104" s="38" t="n"/>
      <c r="AL104" s="38" t="n"/>
      <c r="AM104" s="38" t="n"/>
      <c r="AN104" s="38" t="n"/>
      <c r="AO104" s="38" t="n"/>
      <c r="AP104" s="38" t="n"/>
      <c r="AQ104" s="38" t="n"/>
      <c r="AR104" s="38" t="n"/>
      <c r="AS104" s="38" t="n"/>
      <c r="AT104" s="38" t="n"/>
    </row>
    <row r="105">
      <c r="A105" s="8" t="n"/>
      <c r="B105" s="22" t="n"/>
      <c r="C105" s="38" t="n"/>
      <c r="D105" s="110" t="inlineStr">
        <is>
          <t>Skill Base de Caminho 3</t>
        </is>
      </c>
      <c r="E105" s="11" t="n"/>
      <c r="F105" s="11" t="n"/>
      <c r="G105" s="11" t="n"/>
      <c r="H105" s="11" t="n"/>
      <c r="I105" s="11" t="n"/>
      <c r="J105" s="11" t="n"/>
      <c r="K105" s="11" t="n"/>
      <c r="L105" s="11" t="n"/>
      <c r="M105" s="11" t="n"/>
      <c r="N105" s="12" t="n"/>
      <c r="O105" s="38" t="n"/>
      <c r="P105" s="110" t="inlineStr">
        <is>
          <t>Skill Base de Trilha 3</t>
        </is>
      </c>
      <c r="Q105" s="11" t="n"/>
      <c r="R105" s="11" t="n"/>
      <c r="S105" s="11" t="n"/>
      <c r="T105" s="11" t="n"/>
      <c r="U105" s="11" t="n"/>
      <c r="V105" s="11" t="n"/>
      <c r="W105" s="11" t="n"/>
      <c r="X105" s="11" t="n"/>
      <c r="Y105" s="11" t="n"/>
      <c r="Z105" s="12" t="n"/>
      <c r="AA105" s="38" t="n"/>
      <c r="AB105" s="110" t="inlineStr">
        <is>
          <t>Outras Anotações</t>
        </is>
      </c>
      <c r="AC105" s="11" t="n"/>
      <c r="AD105" s="11" t="n"/>
      <c r="AE105" s="11" t="n"/>
      <c r="AF105" s="11" t="n"/>
      <c r="AG105" s="11" t="n"/>
      <c r="AH105" s="11" t="n"/>
      <c r="AI105" s="11" t="n"/>
      <c r="AJ105" s="11" t="n"/>
      <c r="AK105" s="11" t="n"/>
      <c r="AL105" s="12" t="n"/>
      <c r="AM105" s="38" t="n"/>
      <c r="AN105" s="38" t="n"/>
      <c r="AO105" s="38" t="n"/>
      <c r="AP105" s="38" t="n"/>
      <c r="AQ105" s="38" t="n"/>
      <c r="AR105" s="38" t="n"/>
      <c r="AS105" s="38" t="n"/>
      <c r="AT105" s="38" t="n"/>
    </row>
    <row r="106" ht="5.25" customHeight="1">
      <c r="A106" s="8" t="n"/>
      <c r="B106" s="22" t="n"/>
      <c r="C106" s="38" t="n"/>
      <c r="D106" s="38" t="n"/>
      <c r="E106" s="38" t="n"/>
      <c r="F106" s="38" t="n"/>
      <c r="G106" s="38" t="n"/>
      <c r="H106" s="38" t="n"/>
      <c r="I106" s="38" t="n"/>
      <c r="J106" s="38" t="n"/>
      <c r="K106" s="38" t="n"/>
      <c r="L106" s="38" t="n"/>
      <c r="M106" s="38" t="n"/>
      <c r="N106" s="38" t="n"/>
      <c r="O106" s="38" t="n"/>
      <c r="P106" s="38" t="n"/>
      <c r="Q106" s="38" t="n"/>
      <c r="R106" s="38" t="n"/>
      <c r="S106" s="38" t="n"/>
      <c r="T106" s="38" t="n"/>
      <c r="U106" s="38" t="n"/>
      <c r="V106" s="38" t="n"/>
      <c r="W106" s="38" t="n"/>
      <c r="X106" s="38" t="n"/>
      <c r="Y106" s="38" t="n"/>
      <c r="Z106" s="38" t="n"/>
      <c r="AA106" s="38" t="n"/>
      <c r="AB106" s="38" t="n"/>
      <c r="AC106" s="38" t="n"/>
      <c r="AD106" s="38" t="n"/>
      <c r="AE106" s="38" t="n"/>
      <c r="AF106" s="38" t="n"/>
      <c r="AG106" s="38" t="n"/>
      <c r="AH106" s="38" t="n"/>
      <c r="AI106" s="38" t="n"/>
      <c r="AJ106" s="38" t="n"/>
      <c r="AK106" s="38" t="n"/>
      <c r="AL106" s="38" t="n"/>
      <c r="AM106" s="38" t="n"/>
      <c r="AN106" s="38" t="n"/>
      <c r="AO106" s="38" t="n"/>
      <c r="AP106" s="38" t="n"/>
      <c r="AQ106" s="38" t="n"/>
      <c r="AR106" s="38" t="n"/>
      <c r="AS106" s="38" t="n"/>
      <c r="AT106" s="38" t="n"/>
    </row>
    <row r="107">
      <c r="A107" s="8" t="n"/>
      <c r="B107" s="22" t="n"/>
      <c r="C107" s="38" t="n"/>
      <c r="D107" s="111" t="n"/>
      <c r="E107" s="14" t="n"/>
      <c r="F107" s="14" t="n"/>
      <c r="G107" s="14" t="n"/>
      <c r="H107" s="14" t="n"/>
      <c r="I107" s="14" t="n"/>
      <c r="J107" s="14" t="n"/>
      <c r="K107" s="14" t="n"/>
      <c r="L107" s="14" t="n"/>
      <c r="M107" s="14" t="n"/>
      <c r="N107" s="15" t="n"/>
      <c r="O107" s="38" t="n"/>
      <c r="P107" s="111" t="n"/>
      <c r="Q107" s="14" t="n"/>
      <c r="R107" s="14" t="n"/>
      <c r="S107" s="14" t="n"/>
      <c r="T107" s="14" t="n"/>
      <c r="U107" s="14" t="n"/>
      <c r="V107" s="14" t="n"/>
      <c r="W107" s="14" t="n"/>
      <c r="X107" s="14" t="n"/>
      <c r="Y107" s="14" t="n"/>
      <c r="Z107" s="15" t="n"/>
      <c r="AA107" s="38" t="n"/>
      <c r="AB107" s="111" t="n"/>
      <c r="AC107" s="14" t="n"/>
      <c r="AD107" s="14" t="n"/>
      <c r="AE107" s="14" t="n"/>
      <c r="AF107" s="14" t="n"/>
      <c r="AG107" s="14" t="n"/>
      <c r="AH107" s="14" t="n"/>
      <c r="AI107" s="14" t="n"/>
      <c r="AJ107" s="14" t="n"/>
      <c r="AK107" s="14" t="n"/>
      <c r="AL107" s="15" t="n"/>
      <c r="AM107" s="38" t="n"/>
      <c r="AN107" s="38" t="n"/>
      <c r="AO107" s="38" t="n"/>
      <c r="AP107" s="38" t="n"/>
      <c r="AQ107" s="38" t="n"/>
      <c r="AR107" s="38" t="n"/>
      <c r="AS107" s="38" t="n"/>
      <c r="AT107" s="38" t="n"/>
    </row>
    <row r="108">
      <c r="A108" s="8" t="n"/>
      <c r="B108" s="22" t="n"/>
      <c r="C108" s="38" t="n"/>
      <c r="D108" s="16" t="n"/>
      <c r="N108" s="17" t="n"/>
      <c r="O108" s="38" t="n"/>
      <c r="P108" s="16" t="n"/>
      <c r="Z108" s="17" t="n"/>
      <c r="AA108" s="38" t="n"/>
      <c r="AB108" s="16" t="n"/>
      <c r="AL108" s="17" t="n"/>
      <c r="AM108" s="38" t="n"/>
      <c r="AN108" s="38" t="n"/>
      <c r="AO108" s="38" t="n"/>
      <c r="AP108" s="38" t="n"/>
      <c r="AQ108" s="38" t="n"/>
      <c r="AR108" s="38" t="n"/>
      <c r="AS108" s="38" t="n"/>
      <c r="AT108" s="38" t="n"/>
    </row>
    <row r="109">
      <c r="A109" s="8" t="n"/>
      <c r="B109" s="22" t="n"/>
      <c r="C109" s="38" t="n"/>
      <c r="D109" s="16" t="n"/>
      <c r="N109" s="17" t="n"/>
      <c r="O109" s="38" t="n"/>
      <c r="P109" s="16" t="n"/>
      <c r="Z109" s="17" t="n"/>
      <c r="AA109" s="38" t="n"/>
      <c r="AB109" s="16" t="n"/>
      <c r="AL109" s="17" t="n"/>
      <c r="AM109" s="38" t="n"/>
      <c r="AN109" s="38" t="n"/>
      <c r="AO109" s="38" t="n"/>
      <c r="AP109" s="38" t="n"/>
      <c r="AQ109" s="38" t="n"/>
      <c r="AR109" s="38" t="n"/>
      <c r="AS109" s="38" t="n"/>
      <c r="AT109" s="38" t="n"/>
    </row>
    <row r="110">
      <c r="A110" s="8" t="n"/>
      <c r="B110" s="22" t="n"/>
      <c r="C110" s="38" t="n"/>
      <c r="D110" s="18" t="n"/>
      <c r="E110" s="19" t="n"/>
      <c r="F110" s="19" t="n"/>
      <c r="G110" s="19" t="n"/>
      <c r="H110" s="19" t="n"/>
      <c r="I110" s="19" t="n"/>
      <c r="J110" s="19" t="n"/>
      <c r="K110" s="19" t="n"/>
      <c r="L110" s="19" t="n"/>
      <c r="M110" s="19" t="n"/>
      <c r="N110" s="20" t="n"/>
      <c r="O110" s="38" t="n"/>
      <c r="P110" s="18" t="n"/>
      <c r="Q110" s="19" t="n"/>
      <c r="R110" s="19" t="n"/>
      <c r="S110" s="19" t="n"/>
      <c r="T110" s="19" t="n"/>
      <c r="U110" s="19" t="n"/>
      <c r="V110" s="19" t="n"/>
      <c r="W110" s="19" t="n"/>
      <c r="X110" s="19" t="n"/>
      <c r="Y110" s="19" t="n"/>
      <c r="Z110" s="20" t="n"/>
      <c r="AA110" s="38" t="n"/>
      <c r="AB110" s="18" t="n"/>
      <c r="AC110" s="19" t="n"/>
      <c r="AD110" s="19" t="n"/>
      <c r="AE110" s="19" t="n"/>
      <c r="AF110" s="19" t="n"/>
      <c r="AG110" s="19" t="n"/>
      <c r="AH110" s="19" t="n"/>
      <c r="AI110" s="19" t="n"/>
      <c r="AJ110" s="19" t="n"/>
      <c r="AK110" s="19" t="n"/>
      <c r="AL110" s="20" t="n"/>
      <c r="AM110" s="38" t="n"/>
      <c r="AN110" s="38" t="n"/>
      <c r="AO110" s="38" t="n"/>
      <c r="AP110" s="38" t="n"/>
      <c r="AQ110" s="38" t="n"/>
      <c r="AR110" s="38" t="n"/>
      <c r="AS110" s="38" t="n"/>
      <c r="AT110" s="38" t="n"/>
    </row>
    <row r="111" ht="5.25" customHeight="1">
      <c r="A111" s="8" t="n"/>
      <c r="B111" s="22" t="n"/>
      <c r="C111" s="38" t="n"/>
      <c r="D111" s="38" t="n"/>
      <c r="E111" s="38" t="n"/>
      <c r="F111" s="38" t="n"/>
      <c r="G111" s="38" t="n"/>
      <c r="H111" s="38" t="n"/>
      <c r="I111" s="38" t="n"/>
      <c r="J111" s="38" t="n"/>
      <c r="K111" s="38" t="n"/>
      <c r="L111" s="38" t="n"/>
      <c r="M111" s="38" t="n"/>
      <c r="N111" s="38" t="n"/>
      <c r="O111" s="38" t="n"/>
      <c r="P111" s="38" t="n"/>
      <c r="Q111" s="38" t="n"/>
      <c r="R111" s="38" t="n"/>
      <c r="S111" s="38" t="n"/>
      <c r="T111" s="38" t="n"/>
      <c r="U111" s="38" t="n"/>
      <c r="V111" s="38" t="n"/>
      <c r="W111" s="38" t="n"/>
      <c r="X111" s="38" t="n"/>
      <c r="Y111" s="38" t="n"/>
      <c r="Z111" s="38" t="n"/>
      <c r="AA111" s="38" t="n"/>
      <c r="AB111" s="38" t="n"/>
      <c r="AC111" s="38" t="n"/>
      <c r="AD111" s="38" t="n"/>
      <c r="AE111" s="38" t="n"/>
      <c r="AF111" s="38" t="n"/>
      <c r="AG111" s="38" t="n"/>
      <c r="AH111" s="38" t="n"/>
      <c r="AI111" s="38" t="n"/>
      <c r="AJ111" s="38" t="n"/>
      <c r="AK111" s="38" t="n"/>
      <c r="AL111" s="38" t="n"/>
      <c r="AM111" s="38" t="n"/>
      <c r="AN111" s="38" t="n"/>
      <c r="AO111" s="38" t="n"/>
      <c r="AP111" s="38" t="n"/>
      <c r="AQ111" s="38" t="n"/>
      <c r="AR111" s="38" t="n"/>
      <c r="AS111" s="38" t="n"/>
      <c r="AT111" s="38" t="n"/>
    </row>
    <row r="112">
      <c r="A112" s="8" t="n"/>
      <c r="B112" s="22" t="n"/>
      <c r="C112" s="38" t="n"/>
      <c r="D112" s="110" t="inlineStr">
        <is>
          <t>Skill Base de Caminho 4</t>
        </is>
      </c>
      <c r="E112" s="11" t="n"/>
      <c r="F112" s="11" t="n"/>
      <c r="G112" s="11" t="n"/>
      <c r="H112" s="11" t="n"/>
      <c r="I112" s="11" t="n"/>
      <c r="J112" s="11" t="n"/>
      <c r="K112" s="11" t="n"/>
      <c r="L112" s="11" t="n"/>
      <c r="M112" s="11" t="n"/>
      <c r="N112" s="12" t="n"/>
      <c r="O112" s="38" t="n"/>
      <c r="P112" s="110" t="inlineStr">
        <is>
          <t>Skill Base de Trilha 4</t>
        </is>
      </c>
      <c r="Q112" s="11" t="n"/>
      <c r="R112" s="11" t="n"/>
      <c r="S112" s="11" t="n"/>
      <c r="T112" s="11" t="n"/>
      <c r="U112" s="11" t="n"/>
      <c r="V112" s="11" t="n"/>
      <c r="W112" s="11" t="n"/>
      <c r="X112" s="11" t="n"/>
      <c r="Y112" s="11" t="n"/>
      <c r="Z112" s="12" t="n"/>
      <c r="AA112" s="38" t="n"/>
      <c r="AB112" s="110" t="inlineStr">
        <is>
          <t>Outras Anotações</t>
        </is>
      </c>
      <c r="AC112" s="11" t="n"/>
      <c r="AD112" s="11" t="n"/>
      <c r="AE112" s="11" t="n"/>
      <c r="AF112" s="11" t="n"/>
      <c r="AG112" s="11" t="n"/>
      <c r="AH112" s="11" t="n"/>
      <c r="AI112" s="11" t="n"/>
      <c r="AJ112" s="11" t="n"/>
      <c r="AK112" s="11" t="n"/>
      <c r="AL112" s="12" t="n"/>
      <c r="AM112" s="38" t="n"/>
      <c r="AN112" s="38" t="n"/>
      <c r="AO112" s="38" t="n"/>
      <c r="AP112" s="38" t="n"/>
      <c r="AQ112" s="38" t="n"/>
      <c r="AR112" s="38" t="n"/>
      <c r="AS112" s="38" t="n"/>
      <c r="AT112" s="38" t="n"/>
    </row>
    <row r="113" ht="5.25" customHeight="1">
      <c r="A113" s="8" t="n"/>
      <c r="B113" s="22" t="n"/>
      <c r="C113" s="38" t="n"/>
      <c r="D113" s="38" t="n"/>
      <c r="E113" s="38" t="n"/>
      <c r="F113" s="38" t="n"/>
      <c r="G113" s="38" t="n"/>
      <c r="H113" s="38" t="n"/>
      <c r="I113" s="38" t="n"/>
      <c r="J113" s="38" t="n"/>
      <c r="K113" s="38" t="n"/>
      <c r="L113" s="38" t="n"/>
      <c r="M113" s="38" t="n"/>
      <c r="N113" s="38" t="n"/>
      <c r="O113" s="38" t="n"/>
      <c r="P113" s="38" t="n"/>
      <c r="Q113" s="38" t="n"/>
      <c r="R113" s="38" t="n"/>
      <c r="S113" s="38" t="n"/>
      <c r="T113" s="38" t="n"/>
      <c r="U113" s="38" t="n"/>
      <c r="V113" s="38" t="n"/>
      <c r="W113" s="38" t="n"/>
      <c r="X113" s="38" t="n"/>
      <c r="Y113" s="38" t="n"/>
      <c r="Z113" s="38" t="n"/>
      <c r="AA113" s="38" t="n"/>
      <c r="AB113" s="38" t="n"/>
      <c r="AC113" s="38" t="n"/>
      <c r="AD113" s="38" t="n"/>
      <c r="AE113" s="38" t="n"/>
      <c r="AF113" s="38" t="n"/>
      <c r="AG113" s="38" t="n"/>
      <c r="AH113" s="38" t="n"/>
      <c r="AI113" s="38" t="n"/>
      <c r="AJ113" s="38" t="n"/>
      <c r="AK113" s="38" t="n"/>
      <c r="AL113" s="38" t="n"/>
      <c r="AM113" s="38" t="n"/>
      <c r="AN113" s="38" t="n"/>
      <c r="AO113" s="38" t="n"/>
      <c r="AP113" s="38" t="n"/>
      <c r="AQ113" s="38" t="n"/>
      <c r="AR113" s="38" t="n"/>
      <c r="AS113" s="38" t="n"/>
      <c r="AT113" s="38" t="n"/>
    </row>
    <row r="114">
      <c r="A114" s="8" t="n"/>
      <c r="B114" s="22" t="n"/>
      <c r="C114" s="38" t="n"/>
      <c r="D114" s="111" t="n"/>
      <c r="E114" s="14" t="n"/>
      <c r="F114" s="14" t="n"/>
      <c r="G114" s="14" t="n"/>
      <c r="H114" s="14" t="n"/>
      <c r="I114" s="14" t="n"/>
      <c r="J114" s="14" t="n"/>
      <c r="K114" s="14" t="n"/>
      <c r="L114" s="14" t="n"/>
      <c r="M114" s="14" t="n"/>
      <c r="N114" s="15" t="n"/>
      <c r="O114" s="38" t="n"/>
      <c r="P114" s="111" t="n"/>
      <c r="Q114" s="14" t="n"/>
      <c r="R114" s="14" t="n"/>
      <c r="S114" s="14" t="n"/>
      <c r="T114" s="14" t="n"/>
      <c r="U114" s="14" t="n"/>
      <c r="V114" s="14" t="n"/>
      <c r="W114" s="14" t="n"/>
      <c r="X114" s="14" t="n"/>
      <c r="Y114" s="14" t="n"/>
      <c r="Z114" s="15" t="n"/>
      <c r="AA114" s="38" t="n"/>
      <c r="AB114" s="111" t="n"/>
      <c r="AC114" s="14" t="n"/>
      <c r="AD114" s="14" t="n"/>
      <c r="AE114" s="14" t="n"/>
      <c r="AF114" s="14" t="n"/>
      <c r="AG114" s="14" t="n"/>
      <c r="AH114" s="14" t="n"/>
      <c r="AI114" s="14" t="n"/>
      <c r="AJ114" s="14" t="n"/>
      <c r="AK114" s="14" t="n"/>
      <c r="AL114" s="15" t="n"/>
      <c r="AM114" s="38" t="n"/>
      <c r="AN114" s="38" t="n"/>
      <c r="AO114" s="38" t="n"/>
      <c r="AP114" s="38" t="n"/>
      <c r="AQ114" s="38" t="n"/>
      <c r="AR114" s="38" t="n"/>
      <c r="AS114" s="38" t="n"/>
      <c r="AT114" s="38" t="n"/>
    </row>
    <row r="115">
      <c r="A115" s="8" t="n"/>
      <c r="B115" s="22" t="n"/>
      <c r="C115" s="38" t="n"/>
      <c r="D115" s="16" t="n"/>
      <c r="N115" s="17" t="n"/>
      <c r="O115" s="38" t="n"/>
      <c r="P115" s="16" t="n"/>
      <c r="Z115" s="17" t="n"/>
      <c r="AA115" s="38" t="n"/>
      <c r="AB115" s="16" t="n"/>
      <c r="AL115" s="17" t="n"/>
      <c r="AM115" s="38" t="n"/>
      <c r="AN115" s="38" t="n"/>
      <c r="AO115" s="38" t="n"/>
      <c r="AP115" s="38" t="n"/>
      <c r="AQ115" s="38" t="n"/>
      <c r="AR115" s="38" t="n"/>
      <c r="AS115" s="38" t="n"/>
      <c r="AT115" s="38" t="n"/>
    </row>
    <row r="116">
      <c r="A116" s="8" t="n"/>
      <c r="B116" s="22" t="n"/>
      <c r="C116" s="38" t="n"/>
      <c r="D116" s="16" t="n"/>
      <c r="N116" s="17" t="n"/>
      <c r="O116" s="38" t="n"/>
      <c r="P116" s="16" t="n"/>
      <c r="Z116" s="17" t="n"/>
      <c r="AA116" s="38" t="n"/>
      <c r="AB116" s="16" t="n"/>
      <c r="AL116" s="17" t="n"/>
      <c r="AM116" s="38" t="n"/>
      <c r="AN116" s="38" t="n"/>
      <c r="AO116" s="38" t="n"/>
      <c r="AP116" s="38" t="n"/>
      <c r="AQ116" s="38" t="n"/>
      <c r="AR116" s="38" t="n"/>
      <c r="AS116" s="38" t="n"/>
      <c r="AT116" s="38" t="n"/>
    </row>
    <row r="117">
      <c r="A117" s="8" t="n"/>
      <c r="B117" s="22" t="n"/>
      <c r="C117" s="38" t="n"/>
      <c r="D117" s="18" t="n"/>
      <c r="E117" s="19" t="n"/>
      <c r="F117" s="19" t="n"/>
      <c r="G117" s="19" t="n"/>
      <c r="H117" s="19" t="n"/>
      <c r="I117" s="19" t="n"/>
      <c r="J117" s="19" t="n"/>
      <c r="K117" s="19" t="n"/>
      <c r="L117" s="19" t="n"/>
      <c r="M117" s="19" t="n"/>
      <c r="N117" s="20" t="n"/>
      <c r="O117" s="38" t="n"/>
      <c r="P117" s="18" t="n"/>
      <c r="Q117" s="19" t="n"/>
      <c r="R117" s="19" t="n"/>
      <c r="S117" s="19" t="n"/>
      <c r="T117" s="19" t="n"/>
      <c r="U117" s="19" t="n"/>
      <c r="V117" s="19" t="n"/>
      <c r="W117" s="19" t="n"/>
      <c r="X117" s="19" t="n"/>
      <c r="Y117" s="19" t="n"/>
      <c r="Z117" s="20" t="n"/>
      <c r="AA117" s="38" t="n"/>
      <c r="AB117" s="18" t="n"/>
      <c r="AC117" s="19" t="n"/>
      <c r="AD117" s="19" t="n"/>
      <c r="AE117" s="19" t="n"/>
      <c r="AF117" s="19" t="n"/>
      <c r="AG117" s="19" t="n"/>
      <c r="AH117" s="19" t="n"/>
      <c r="AI117" s="19" t="n"/>
      <c r="AJ117" s="19" t="n"/>
      <c r="AK117" s="19" t="n"/>
      <c r="AL117" s="20" t="n"/>
      <c r="AM117" s="38" t="n"/>
      <c r="AN117" s="38" t="n"/>
      <c r="AO117" s="38" t="n"/>
      <c r="AP117" s="38" t="n"/>
      <c r="AQ117" s="38" t="n"/>
      <c r="AR117" s="38" t="n"/>
      <c r="AS117" s="38" t="n"/>
      <c r="AT117" s="38" t="n"/>
    </row>
    <row r="118">
      <c r="A118" s="8" t="n"/>
      <c r="B118" s="22" t="n"/>
      <c r="C118" s="38" t="n"/>
      <c r="D118" s="38" t="n"/>
      <c r="E118" s="38" t="n"/>
      <c r="F118" s="38" t="n"/>
      <c r="G118" s="38" t="n"/>
      <c r="H118" s="38" t="n"/>
      <c r="I118" s="38" t="n"/>
      <c r="J118" s="38" t="n"/>
      <c r="K118" s="38" t="n"/>
      <c r="L118" s="38" t="n"/>
      <c r="M118" s="38" t="n"/>
      <c r="N118" s="38" t="n"/>
      <c r="O118" s="38" t="n"/>
      <c r="P118" s="38" t="n"/>
      <c r="Q118" s="38" t="n"/>
      <c r="R118" s="38" t="n"/>
      <c r="S118" s="38" t="n"/>
      <c r="T118" s="38" t="n"/>
      <c r="U118" s="38" t="n"/>
      <c r="V118" s="38" t="n"/>
      <c r="W118" s="38" t="n"/>
      <c r="X118" s="38" t="n"/>
      <c r="Y118" s="38" t="n"/>
      <c r="Z118" s="38" t="n"/>
      <c r="AA118" s="38" t="n"/>
      <c r="AB118" s="38" t="n"/>
      <c r="AC118" s="38" t="n"/>
      <c r="AD118" s="38" t="n"/>
      <c r="AE118" s="38" t="n"/>
      <c r="AF118" s="38" t="n"/>
      <c r="AG118" s="38" t="n"/>
      <c r="AH118" s="38" t="n"/>
      <c r="AI118" s="38" t="n"/>
      <c r="AJ118" s="38" t="n"/>
      <c r="AK118" s="38" t="n"/>
      <c r="AL118" s="38" t="n"/>
      <c r="AM118" s="38" t="n"/>
      <c r="AN118" s="38" t="n"/>
      <c r="AO118" s="38" t="n"/>
      <c r="AP118" s="38" t="n"/>
      <c r="AQ118" s="38" t="n"/>
      <c r="AR118" s="38" t="n"/>
      <c r="AS118" s="38" t="n"/>
      <c r="AT118" s="38" t="n"/>
    </row>
    <row r="119" ht="27" customHeight="1">
      <c r="A119" s="8" t="n"/>
      <c r="B119" s="22" t="n"/>
      <c r="C119" s="38" t="n"/>
      <c r="D119" s="63" t="n">
        <v>8</v>
      </c>
      <c r="E119" s="14" t="n"/>
      <c r="F119" s="15" t="n"/>
      <c r="G119" s="85">
        <f>IF(DADOS!$AK$30=1,"BÊNÇÃOS E KATAS",IF(DADOS!$AK$32=1,"APTIDÕES E KATAS",IF(DADOS!$AK$31=1,"APTIDÕES E MANEJOS","APTIDÕES E FEITIÇOS")))</f>
        <v/>
      </c>
      <c r="H119" s="11" t="n"/>
      <c r="I119" s="11" t="n"/>
      <c r="J119" s="11" t="n"/>
      <c r="K119" s="11" t="n"/>
      <c r="L119" s="11" t="n"/>
      <c r="M119" s="11" t="n"/>
      <c r="N119" s="11" t="n"/>
      <c r="O119" s="11" t="n"/>
      <c r="P119" s="11" t="n"/>
      <c r="Q119" s="11" t="n"/>
      <c r="R119" s="11" t="n"/>
      <c r="S119" s="11" t="n"/>
      <c r="T119" s="11" t="n"/>
      <c r="U119" s="11" t="n"/>
      <c r="V119" s="11" t="n"/>
      <c r="W119" s="11" t="n"/>
      <c r="X119" s="11" t="n"/>
      <c r="Y119" s="11" t="n"/>
      <c r="Z119" s="11" t="n"/>
      <c r="AA119" s="11" t="n"/>
      <c r="AB119" s="11" t="n"/>
      <c r="AC119" s="11" t="n"/>
      <c r="AD119" s="11" t="n"/>
      <c r="AE119" s="11" t="n"/>
      <c r="AF119" s="11" t="n"/>
      <c r="AG119" s="11" t="n"/>
      <c r="AH119" s="12" t="n"/>
      <c r="AI119" s="38" t="n"/>
      <c r="AJ119" s="38" t="n"/>
      <c r="AK119" s="38" t="n"/>
      <c r="AL119" s="38" t="n"/>
      <c r="AM119" s="38" t="n"/>
      <c r="AN119" s="38" t="n"/>
      <c r="AO119" s="38" t="n"/>
      <c r="AP119" s="38" t="n"/>
      <c r="AQ119" s="38" t="n"/>
      <c r="AR119" s="38" t="n"/>
      <c r="AS119" s="38" t="n"/>
      <c r="AT119" s="38" t="n"/>
    </row>
    <row r="120">
      <c r="A120" s="8" t="n"/>
      <c r="B120" s="22" t="n"/>
      <c r="C120" s="38" t="n"/>
      <c r="D120" s="18" t="n"/>
      <c r="E120" s="19" t="n"/>
      <c r="F120" s="20" t="n"/>
      <c r="G120" s="38" t="n"/>
      <c r="H120" s="38" t="n"/>
      <c r="I120" s="38" t="n"/>
      <c r="J120" s="38" t="n"/>
      <c r="K120" s="38" t="n"/>
      <c r="L120" s="38" t="n"/>
      <c r="M120" s="38" t="n"/>
      <c r="N120" s="38" t="n"/>
      <c r="O120" s="38" t="n"/>
      <c r="P120" s="38" t="n"/>
      <c r="Q120" s="38" t="n"/>
      <c r="R120" s="38" t="n"/>
      <c r="S120" s="38" t="n"/>
      <c r="T120" s="38" t="n"/>
      <c r="U120" s="38" t="n"/>
      <c r="V120" s="38" t="n"/>
      <c r="W120" s="38" t="n"/>
      <c r="X120" s="38" t="n"/>
      <c r="Y120" s="38" t="n"/>
      <c r="Z120" s="38" t="n"/>
      <c r="AA120" s="38" t="n"/>
      <c r="AB120" s="38" t="n"/>
      <c r="AC120" s="38" t="n"/>
      <c r="AD120" s="38" t="n"/>
      <c r="AE120" s="38" t="n"/>
      <c r="AF120" s="38" t="n"/>
      <c r="AG120" s="38" t="n"/>
      <c r="AH120" s="38" t="n"/>
      <c r="AI120" s="38" t="n"/>
      <c r="AJ120" s="38" t="n"/>
      <c r="AK120" s="38" t="n"/>
      <c r="AL120" s="38" t="n"/>
      <c r="AM120" s="38" t="n"/>
      <c r="AN120" s="38" t="n"/>
      <c r="AO120" s="38" t="n"/>
      <c r="AP120" s="38" t="n"/>
      <c r="AQ120" s="38" t="n"/>
      <c r="AR120" s="38" t="n"/>
      <c r="AS120" s="38" t="n"/>
      <c r="AT120" s="38" t="n"/>
    </row>
    <row r="121" ht="4.5" customHeight="1">
      <c r="A121" s="8" t="n"/>
      <c r="B121" s="22" t="n"/>
      <c r="C121" s="38" t="n"/>
      <c r="D121" s="38" t="n"/>
      <c r="E121" s="38" t="n"/>
      <c r="F121" s="38" t="n"/>
      <c r="G121" s="38" t="n"/>
      <c r="H121" s="38" t="n"/>
      <c r="I121" s="38" t="n"/>
      <c r="J121" s="38" t="n"/>
      <c r="K121" s="38" t="n"/>
      <c r="L121" s="38" t="n"/>
      <c r="M121" s="38" t="n"/>
      <c r="N121" s="38" t="n"/>
      <c r="O121" s="38" t="n"/>
      <c r="P121" s="38" t="n"/>
      <c r="Q121" s="38" t="n"/>
      <c r="R121" s="38" t="n"/>
      <c r="S121" s="38" t="n"/>
      <c r="T121" s="38" t="n"/>
      <c r="U121" s="38" t="n"/>
      <c r="V121" s="38" t="n"/>
      <c r="W121" s="38" t="n"/>
      <c r="X121" s="38" t="n"/>
      <c r="Y121" s="38" t="n"/>
      <c r="Z121" s="38" t="n"/>
      <c r="AA121" s="38" t="n"/>
      <c r="AB121" s="38" t="n"/>
      <c r="AC121" s="38" t="n"/>
      <c r="AD121" s="38" t="n"/>
      <c r="AE121" s="38" t="n"/>
      <c r="AF121" s="38" t="n"/>
      <c r="AG121" s="38" t="n"/>
      <c r="AH121" s="38" t="n"/>
      <c r="AI121" s="38" t="n"/>
      <c r="AJ121" s="38" t="n"/>
      <c r="AK121" s="38" t="n"/>
      <c r="AL121" s="38" t="n"/>
      <c r="AM121" s="38" t="n"/>
      <c r="AN121" s="38" t="n"/>
      <c r="AO121" s="38" t="n"/>
      <c r="AP121" s="38" t="n"/>
      <c r="AQ121" s="38" t="n"/>
      <c r="AR121" s="38" t="n"/>
      <c r="AS121" s="38" t="n"/>
      <c r="AT121" s="38" t="n"/>
    </row>
    <row r="122">
      <c r="A122" s="8" t="n"/>
      <c r="B122" s="22" t="n"/>
      <c r="C122" s="38" t="n"/>
      <c r="D122" s="110" t="inlineStr">
        <is>
          <t>Classe</t>
        </is>
      </c>
      <c r="E122" s="12" t="n"/>
      <c r="F122" s="110">
        <f>(IF(DADOS!$AK$32=1,"Katas",IF(DADOS!$AK$31=1,"Manejos","Feitiços")))&amp;" - Disponível: " &amp; (D57 - COUNTIF(D124:D144,"&gt;0") - SUM(V139:W144)) &amp; " - Conhecidos (Total): " &amp; D57 &amp; " - Classe 0: " &amp; (AK57 - COUNTIFS(D124:D144,0,F124:F144,"&lt;&gt;")) &amp; "/" &amp; AK57</f>
        <v/>
      </c>
      <c r="G122" s="11" t="n"/>
      <c r="H122" s="11" t="n"/>
      <c r="I122" s="11" t="n"/>
      <c r="J122" s="11" t="n"/>
      <c r="K122" s="11" t="n"/>
      <c r="L122" s="11" t="n"/>
      <c r="M122" s="11" t="n"/>
      <c r="N122" s="11" t="n"/>
      <c r="O122" s="11" t="n"/>
      <c r="P122" s="11" t="n"/>
      <c r="Q122" s="11" t="n"/>
      <c r="R122" s="11" t="n"/>
      <c r="S122" s="11" t="n"/>
      <c r="T122" s="12" t="n"/>
      <c r="U122" s="112" t="n"/>
      <c r="V122" s="110">
        <f>IF(DADOS!$AK$30=1,"Lapidação Atual: ","Refino Atual: ")&amp;DADOS!$AK$34&amp;"/10 - "&amp;IF(DADOS!$AK$30=1,"Bênçãos","Aptidões")&amp;" Disponíveis: "&amp;IF(DADOS!$AK$37&gt;DADOS!$AK$36,DADOS!$AK$37-DADOS!$AK$36&amp;" a mais",DADOS!$AK$36-DADOS!$AK$37&amp;" de "&amp;DADOS!$AK$36)</f>
        <v/>
      </c>
      <c r="W122" s="11" t="n"/>
      <c r="X122" s="11" t="n"/>
      <c r="Y122" s="11" t="n"/>
      <c r="Z122" s="11" t="n"/>
      <c r="AA122" s="11" t="n"/>
      <c r="AB122" s="11" t="n"/>
      <c r="AC122" s="11" t="n"/>
      <c r="AD122" s="11" t="n"/>
      <c r="AE122" s="11" t="n"/>
      <c r="AF122" s="11" t="n"/>
      <c r="AG122" s="11" t="n"/>
      <c r="AH122" s="11" t="n"/>
      <c r="AI122" s="11" t="n"/>
      <c r="AJ122" s="11" t="n"/>
      <c r="AK122" s="11" t="n"/>
      <c r="AL122" s="12" t="n"/>
      <c r="AM122" s="38" t="n"/>
      <c r="AN122" s="38" t="n"/>
      <c r="AO122" s="38" t="n"/>
      <c r="AP122" s="38" t="n"/>
      <c r="AQ122" s="38" t="n"/>
      <c r="AR122" s="38" t="n"/>
      <c r="AS122" s="38" t="n"/>
      <c r="AT122" s="38" t="n"/>
    </row>
    <row r="123" ht="5.25" customHeight="1">
      <c r="A123" s="8" t="n"/>
      <c r="B123" s="22" t="n"/>
      <c r="C123" s="38" t="n"/>
      <c r="D123" s="112" t="n"/>
      <c r="E123" s="112" t="n"/>
      <c r="F123" s="112" t="n"/>
      <c r="G123" s="112" t="n"/>
      <c r="H123" s="112" t="n"/>
      <c r="I123" s="112" t="n"/>
      <c r="J123" s="112" t="n"/>
      <c r="K123" s="112" t="n"/>
      <c r="L123" s="112" t="n"/>
      <c r="M123" s="112" t="n"/>
      <c r="N123" s="112" t="n"/>
      <c r="O123" s="112" t="n"/>
      <c r="P123" s="112" t="n"/>
      <c r="Q123" s="112" t="n"/>
      <c r="R123" s="112" t="n"/>
      <c r="S123" s="112" t="n"/>
      <c r="T123" s="112" t="n"/>
      <c r="U123" s="112" t="n"/>
      <c r="V123" s="112" t="n"/>
      <c r="W123" s="112" t="n"/>
      <c r="X123" s="112" t="n"/>
      <c r="Y123" s="112" t="n"/>
      <c r="Z123" s="112" t="n"/>
      <c r="AA123" s="112" t="n"/>
      <c r="AB123" s="112" t="n"/>
      <c r="AC123" s="112" t="n"/>
      <c r="AD123" s="112" t="n"/>
      <c r="AE123" s="112" t="n"/>
      <c r="AF123" s="112" t="n"/>
      <c r="AG123" s="112" t="n"/>
      <c r="AH123" s="112" t="n"/>
      <c r="AI123" s="112" t="n"/>
      <c r="AJ123" s="112" t="n"/>
      <c r="AK123" s="112" t="n"/>
      <c r="AL123" s="112" t="n"/>
      <c r="AM123" s="38" t="n"/>
      <c r="AN123" s="38" t="n"/>
      <c r="AO123" s="38" t="n"/>
      <c r="AP123" s="38" t="n"/>
      <c r="AQ123" s="38" t="n"/>
      <c r="AR123" s="38" t="n"/>
      <c r="AS123" s="38" t="n"/>
      <c r="AT123" s="38" t="n"/>
    </row>
    <row r="124">
      <c r="A124" s="8" t="n"/>
      <c r="B124" s="22" t="n"/>
      <c r="C124" s="38" t="n"/>
      <c r="D124" s="113" t="n">
        <v>0</v>
      </c>
      <c r="E124" s="12" t="n"/>
      <c r="F124" s="32" t="n"/>
      <c r="G124" s="11" t="n"/>
      <c r="H124" s="11" t="n"/>
      <c r="I124" s="11" t="n"/>
      <c r="J124" s="11" t="n"/>
      <c r="K124" s="11" t="n"/>
      <c r="L124" s="11" t="n"/>
      <c r="M124" s="11" t="n"/>
      <c r="N124" s="11" t="n"/>
      <c r="O124" s="11" t="n"/>
      <c r="P124" s="11" t="n"/>
      <c r="Q124" s="11" t="n"/>
      <c r="R124" s="11" t="n"/>
      <c r="S124" s="11" t="n"/>
      <c r="T124" s="12" t="n"/>
      <c r="U124" s="112" t="n"/>
      <c r="V124" s="32">
        <f>IF(DADOS!$AK$30=1,"Defesa sem Armadura","Cobrir-se de energia")</f>
        <v/>
      </c>
      <c r="W124" s="11" t="n"/>
      <c r="X124" s="11" t="n"/>
      <c r="Y124" s="11" t="n"/>
      <c r="Z124" s="11" t="n"/>
      <c r="AA124" s="11" t="n"/>
      <c r="AB124" s="11" t="n"/>
      <c r="AC124" s="11" t="n"/>
      <c r="AD124" s="11" t="n"/>
      <c r="AE124" s="11" t="n"/>
      <c r="AF124" s="11" t="n"/>
      <c r="AG124" s="11" t="n"/>
      <c r="AH124" s="11" t="n"/>
      <c r="AI124" s="11" t="n"/>
      <c r="AJ124" s="11" t="n"/>
      <c r="AK124" s="11" t="n"/>
      <c r="AL124" s="12" t="n"/>
      <c r="AM124" s="38" t="n"/>
      <c r="AN124" s="38" t="n"/>
      <c r="AO124" s="38" t="n"/>
      <c r="AP124" s="38" t="n"/>
      <c r="AQ124" s="38" t="n"/>
      <c r="AR124" s="38" t="n"/>
      <c r="AS124" s="38" t="n"/>
      <c r="AT124" s="38" t="n"/>
    </row>
    <row r="125">
      <c r="A125" s="8" t="n"/>
      <c r="B125" s="22" t="n"/>
      <c r="C125" s="38" t="n"/>
      <c r="D125" s="113" t="n">
        <v>0</v>
      </c>
      <c r="E125" s="12" t="n"/>
      <c r="F125" s="32" t="n"/>
      <c r="G125" s="11" t="n"/>
      <c r="H125" s="11" t="n"/>
      <c r="I125" s="11" t="n"/>
      <c r="J125" s="11" t="n"/>
      <c r="K125" s="11" t="n"/>
      <c r="L125" s="11" t="n"/>
      <c r="M125" s="11" t="n"/>
      <c r="N125" s="11" t="n"/>
      <c r="O125" s="11" t="n"/>
      <c r="P125" s="11" t="n"/>
      <c r="Q125" s="11" t="n"/>
      <c r="R125" s="11" t="n"/>
      <c r="S125" s="11" t="n"/>
      <c r="T125" s="12" t="n"/>
      <c r="U125" s="112" t="n"/>
      <c r="V125" s="32">
        <f>IF(DADOS!$AK$30=1,"Estímulo Muscular","Canalizar energia")</f>
        <v/>
      </c>
      <c r="W125" s="11" t="n"/>
      <c r="X125" s="11" t="n"/>
      <c r="Y125" s="11" t="n"/>
      <c r="Z125" s="11" t="n"/>
      <c r="AA125" s="11" t="n"/>
      <c r="AB125" s="11" t="n"/>
      <c r="AC125" s="11" t="n"/>
      <c r="AD125" s="11" t="n"/>
      <c r="AE125" s="11" t="n"/>
      <c r="AF125" s="11" t="n"/>
      <c r="AG125" s="11" t="n"/>
      <c r="AH125" s="11" t="n"/>
      <c r="AI125" s="11" t="n"/>
      <c r="AJ125" s="11" t="n"/>
      <c r="AK125" s="11" t="n"/>
      <c r="AL125" s="12" t="n"/>
      <c r="AM125" s="38" t="n"/>
      <c r="AN125" s="38" t="n"/>
      <c r="AO125" s="38" t="n"/>
      <c r="AP125" s="38" t="n"/>
      <c r="AQ125" s="38" t="n"/>
      <c r="AR125" s="38" t="n"/>
      <c r="AS125" s="38" t="n"/>
      <c r="AT125" s="38" t="n"/>
    </row>
    <row r="126">
      <c r="A126" s="8" t="n"/>
      <c r="B126" s="22" t="n"/>
      <c r="C126" s="38" t="n"/>
      <c r="D126" s="113" t="n">
        <v>0</v>
      </c>
      <c r="E126" s="12" t="n"/>
      <c r="F126" s="32" t="n"/>
      <c r="G126" s="11" t="n"/>
      <c r="H126" s="11" t="n"/>
      <c r="I126" s="11" t="n"/>
      <c r="J126" s="11" t="n"/>
      <c r="K126" s="11" t="n"/>
      <c r="L126" s="11" t="n"/>
      <c r="M126" s="11" t="n"/>
      <c r="N126" s="11" t="n"/>
      <c r="O126" s="11" t="n"/>
      <c r="P126" s="11" t="n"/>
      <c r="Q126" s="11" t="n"/>
      <c r="R126" s="11" t="n"/>
      <c r="S126" s="11" t="n"/>
      <c r="T126" s="12" t="n"/>
      <c r="U126" s="112" t="n"/>
      <c r="V126" s="32" t="n"/>
      <c r="W126" s="11" t="n"/>
      <c r="X126" s="11" t="n"/>
      <c r="Y126" s="11" t="n"/>
      <c r="Z126" s="11" t="n"/>
      <c r="AA126" s="11" t="n"/>
      <c r="AB126" s="11" t="n"/>
      <c r="AC126" s="11" t="n"/>
      <c r="AD126" s="11" t="n"/>
      <c r="AE126" s="11" t="n"/>
      <c r="AF126" s="11" t="n"/>
      <c r="AG126" s="11" t="n"/>
      <c r="AH126" s="11" t="n"/>
      <c r="AI126" s="11" t="n"/>
      <c r="AJ126" s="11" t="n"/>
      <c r="AK126" s="11" t="n"/>
      <c r="AL126" s="12" t="n"/>
      <c r="AM126" s="38" t="n"/>
      <c r="AN126" s="38" t="n"/>
      <c r="AO126" s="38" t="n"/>
      <c r="AP126" s="38" t="n"/>
      <c r="AQ126" s="38" t="n"/>
      <c r="AR126" s="38" t="n"/>
      <c r="AS126" s="38" t="n"/>
      <c r="AT126" s="38" t="n"/>
    </row>
    <row r="127">
      <c r="A127" s="8" t="n"/>
      <c r="B127" s="22" t="n"/>
      <c r="C127" s="38" t="n"/>
      <c r="D127" s="113" t="n">
        <v>0</v>
      </c>
      <c r="E127" s="12" t="n"/>
      <c r="F127" s="32" t="n"/>
      <c r="G127" s="11" t="n"/>
      <c r="H127" s="11" t="n"/>
      <c r="I127" s="11" t="n"/>
      <c r="J127" s="11" t="n"/>
      <c r="K127" s="11" t="n"/>
      <c r="L127" s="11" t="n"/>
      <c r="M127" s="11" t="n"/>
      <c r="N127" s="11" t="n"/>
      <c r="O127" s="11" t="n"/>
      <c r="P127" s="11" t="n"/>
      <c r="Q127" s="11" t="n"/>
      <c r="R127" s="11" t="n"/>
      <c r="S127" s="11" t="n"/>
      <c r="T127" s="12" t="n"/>
      <c r="U127" s="112" t="n"/>
      <c r="V127" s="32" t="n"/>
      <c r="W127" s="11" t="n"/>
      <c r="X127" s="11" t="n"/>
      <c r="Y127" s="11" t="n"/>
      <c r="Z127" s="11" t="n"/>
      <c r="AA127" s="11" t="n"/>
      <c r="AB127" s="11" t="n"/>
      <c r="AC127" s="11" t="n"/>
      <c r="AD127" s="11" t="n"/>
      <c r="AE127" s="11" t="n"/>
      <c r="AF127" s="11" t="n"/>
      <c r="AG127" s="11" t="n"/>
      <c r="AH127" s="11" t="n"/>
      <c r="AI127" s="11" t="n"/>
      <c r="AJ127" s="11" t="n"/>
      <c r="AK127" s="11" t="n"/>
      <c r="AL127" s="12" t="n"/>
      <c r="AM127" s="38" t="n"/>
      <c r="AN127" s="38" t="n"/>
      <c r="AO127" s="38" t="n"/>
      <c r="AP127" s="38" t="n"/>
      <c r="AQ127" s="38" t="n"/>
      <c r="AR127" s="38" t="n"/>
      <c r="AS127" s="38" t="n"/>
      <c r="AT127" s="38" t="n"/>
    </row>
    <row r="128">
      <c r="A128" s="8" t="n"/>
      <c r="B128" s="22" t="n"/>
      <c r="C128" s="38" t="n"/>
      <c r="D128" s="113" t="n">
        <v>0</v>
      </c>
      <c r="E128" s="12" t="n"/>
      <c r="F128" s="32" t="n"/>
      <c r="G128" s="11" t="n"/>
      <c r="H128" s="11" t="n"/>
      <c r="I128" s="11" t="n"/>
      <c r="J128" s="11" t="n"/>
      <c r="K128" s="11" t="n"/>
      <c r="L128" s="11" t="n"/>
      <c r="M128" s="11" t="n"/>
      <c r="N128" s="11" t="n"/>
      <c r="O128" s="11" t="n"/>
      <c r="P128" s="11" t="n"/>
      <c r="Q128" s="11" t="n"/>
      <c r="R128" s="11" t="n"/>
      <c r="S128" s="11" t="n"/>
      <c r="T128" s="12" t="n"/>
      <c r="U128" s="112" t="n"/>
      <c r="V128" s="32" t="n"/>
      <c r="W128" s="11" t="n"/>
      <c r="X128" s="11" t="n"/>
      <c r="Y128" s="11" t="n"/>
      <c r="Z128" s="11" t="n"/>
      <c r="AA128" s="11" t="n"/>
      <c r="AB128" s="11" t="n"/>
      <c r="AC128" s="11" t="n"/>
      <c r="AD128" s="11" t="n"/>
      <c r="AE128" s="11" t="n"/>
      <c r="AF128" s="11" t="n"/>
      <c r="AG128" s="11" t="n"/>
      <c r="AH128" s="11" t="n"/>
      <c r="AI128" s="11" t="n"/>
      <c r="AJ128" s="11" t="n"/>
      <c r="AK128" s="11" t="n"/>
      <c r="AL128" s="12" t="n"/>
      <c r="AM128" s="38" t="n"/>
      <c r="AN128" s="38" t="n"/>
      <c r="AO128" s="38" t="n"/>
      <c r="AP128" s="38" t="n"/>
      <c r="AQ128" s="38" t="n"/>
      <c r="AR128" s="38" t="n"/>
      <c r="AS128" s="38" t="n"/>
      <c r="AT128" s="38" t="n"/>
    </row>
    <row r="129">
      <c r="A129" s="8" t="n"/>
      <c r="B129" s="22" t="n"/>
      <c r="C129" s="38" t="n"/>
      <c r="D129" s="113" t="n">
        <v>0</v>
      </c>
      <c r="E129" s="12" t="n"/>
      <c r="F129" s="32" t="n"/>
      <c r="G129" s="11" t="n"/>
      <c r="H129" s="11" t="n"/>
      <c r="I129" s="11" t="n"/>
      <c r="J129" s="11" t="n"/>
      <c r="K129" s="11" t="n"/>
      <c r="L129" s="11" t="n"/>
      <c r="M129" s="11" t="n"/>
      <c r="N129" s="11" t="n"/>
      <c r="O129" s="11" t="n"/>
      <c r="P129" s="11" t="n"/>
      <c r="Q129" s="11" t="n"/>
      <c r="R129" s="11" t="n"/>
      <c r="S129" s="11" t="n"/>
      <c r="T129" s="12" t="n"/>
      <c r="U129" s="112" t="n"/>
      <c r="V129" s="32" t="n"/>
      <c r="W129" s="11" t="n"/>
      <c r="X129" s="11" t="n"/>
      <c r="Y129" s="11" t="n"/>
      <c r="Z129" s="11" t="n"/>
      <c r="AA129" s="11" t="n"/>
      <c r="AB129" s="11" t="n"/>
      <c r="AC129" s="11" t="n"/>
      <c r="AD129" s="11" t="n"/>
      <c r="AE129" s="11" t="n"/>
      <c r="AF129" s="11" t="n"/>
      <c r="AG129" s="11" t="n"/>
      <c r="AH129" s="11" t="n"/>
      <c r="AI129" s="11" t="n"/>
      <c r="AJ129" s="11" t="n"/>
      <c r="AK129" s="11" t="n"/>
      <c r="AL129" s="12" t="n"/>
      <c r="AM129" s="38" t="n"/>
      <c r="AN129" s="38" t="n"/>
      <c r="AO129" s="38" t="n"/>
      <c r="AP129" s="38" t="n"/>
      <c r="AQ129" s="38" t="n"/>
      <c r="AR129" s="38" t="n"/>
      <c r="AS129" s="38" t="n"/>
      <c r="AT129" s="38" t="n"/>
    </row>
    <row r="130">
      <c r="A130" s="8" t="n"/>
      <c r="B130" s="22" t="n"/>
      <c r="C130" s="38" t="n"/>
      <c r="D130" s="113" t="n">
        <v>0</v>
      </c>
      <c r="E130" s="12" t="n"/>
      <c r="F130" s="32" t="n"/>
      <c r="G130" s="11" t="n"/>
      <c r="H130" s="11" t="n"/>
      <c r="I130" s="11" t="n"/>
      <c r="J130" s="11" t="n"/>
      <c r="K130" s="11" t="n"/>
      <c r="L130" s="11" t="n"/>
      <c r="M130" s="11" t="n"/>
      <c r="N130" s="11" t="n"/>
      <c r="O130" s="11" t="n"/>
      <c r="P130" s="11" t="n"/>
      <c r="Q130" s="11" t="n"/>
      <c r="R130" s="11" t="n"/>
      <c r="S130" s="11" t="n"/>
      <c r="T130" s="12" t="n"/>
      <c r="U130" s="112" t="n"/>
      <c r="V130" s="32" t="n"/>
      <c r="W130" s="11" t="n"/>
      <c r="X130" s="11" t="n"/>
      <c r="Y130" s="11" t="n"/>
      <c r="Z130" s="11" t="n"/>
      <c r="AA130" s="11" t="n"/>
      <c r="AB130" s="11" t="n"/>
      <c r="AC130" s="11" t="n"/>
      <c r="AD130" s="11" t="n"/>
      <c r="AE130" s="11" t="n"/>
      <c r="AF130" s="11" t="n"/>
      <c r="AG130" s="11" t="n"/>
      <c r="AH130" s="11" t="n"/>
      <c r="AI130" s="11" t="n"/>
      <c r="AJ130" s="11" t="n"/>
      <c r="AK130" s="11" t="n"/>
      <c r="AL130" s="12" t="n"/>
      <c r="AM130" s="38" t="n"/>
      <c r="AN130" s="38" t="n"/>
      <c r="AO130" s="38" t="n"/>
      <c r="AP130" s="38" t="n"/>
      <c r="AQ130" s="38" t="n"/>
      <c r="AR130" s="38" t="n"/>
      <c r="AS130" s="38" t="n"/>
      <c r="AT130" s="38" t="n"/>
    </row>
    <row r="131">
      <c r="A131" s="8" t="n"/>
      <c r="B131" s="22" t="n"/>
      <c r="C131" s="38" t="n"/>
      <c r="D131" s="113" t="n">
        <v>0</v>
      </c>
      <c r="E131" s="12" t="n"/>
      <c r="F131" s="32" t="n"/>
      <c r="G131" s="11" t="n"/>
      <c r="H131" s="11" t="n"/>
      <c r="I131" s="11" t="n"/>
      <c r="J131" s="11" t="n"/>
      <c r="K131" s="11" t="n"/>
      <c r="L131" s="11" t="n"/>
      <c r="M131" s="11" t="n"/>
      <c r="N131" s="11" t="n"/>
      <c r="O131" s="11" t="n"/>
      <c r="P131" s="11" t="n"/>
      <c r="Q131" s="11" t="n"/>
      <c r="R131" s="11" t="n"/>
      <c r="S131" s="11" t="n"/>
      <c r="T131" s="12" t="n"/>
      <c r="U131" s="112" t="n"/>
      <c r="V131" s="32" t="n"/>
      <c r="W131" s="11" t="n"/>
      <c r="X131" s="11" t="n"/>
      <c r="Y131" s="11" t="n"/>
      <c r="Z131" s="11" t="n"/>
      <c r="AA131" s="11" t="n"/>
      <c r="AB131" s="11" t="n"/>
      <c r="AC131" s="11" t="n"/>
      <c r="AD131" s="11" t="n"/>
      <c r="AE131" s="11" t="n"/>
      <c r="AF131" s="11" t="n"/>
      <c r="AG131" s="11" t="n"/>
      <c r="AH131" s="11" t="n"/>
      <c r="AI131" s="11" t="n"/>
      <c r="AJ131" s="11" t="n"/>
      <c r="AK131" s="11" t="n"/>
      <c r="AL131" s="12" t="n"/>
      <c r="AM131" s="38" t="n"/>
      <c r="AN131" s="38" t="n"/>
      <c r="AO131" s="38" t="n"/>
      <c r="AP131" s="38" t="n"/>
      <c r="AQ131" s="38" t="n"/>
      <c r="AR131" s="38" t="n"/>
      <c r="AS131" s="38" t="n"/>
      <c r="AT131" s="38" t="n"/>
    </row>
    <row r="132">
      <c r="A132" s="8" t="n"/>
      <c r="B132" s="22" t="n"/>
      <c r="C132" s="38" t="n"/>
      <c r="D132" s="113" t="n">
        <v>0</v>
      </c>
      <c r="E132" s="12" t="n"/>
      <c r="F132" s="32" t="n"/>
      <c r="G132" s="11" t="n"/>
      <c r="H132" s="11" t="n"/>
      <c r="I132" s="11" t="n"/>
      <c r="J132" s="11" t="n"/>
      <c r="K132" s="11" t="n"/>
      <c r="L132" s="11" t="n"/>
      <c r="M132" s="11" t="n"/>
      <c r="N132" s="11" t="n"/>
      <c r="O132" s="11" t="n"/>
      <c r="P132" s="11" t="n"/>
      <c r="Q132" s="11" t="n"/>
      <c r="R132" s="11" t="n"/>
      <c r="S132" s="11" t="n"/>
      <c r="T132" s="12" t="n"/>
      <c r="U132" s="112" t="n"/>
      <c r="V132" s="32" t="n"/>
      <c r="W132" s="11" t="n"/>
      <c r="X132" s="11" t="n"/>
      <c r="Y132" s="11" t="n"/>
      <c r="Z132" s="11" t="n"/>
      <c r="AA132" s="11" t="n"/>
      <c r="AB132" s="11" t="n"/>
      <c r="AC132" s="11" t="n"/>
      <c r="AD132" s="11" t="n"/>
      <c r="AE132" s="11" t="n"/>
      <c r="AF132" s="11" t="n"/>
      <c r="AG132" s="11" t="n"/>
      <c r="AH132" s="11" t="n"/>
      <c r="AI132" s="11" t="n"/>
      <c r="AJ132" s="11" t="n"/>
      <c r="AK132" s="11" t="n"/>
      <c r="AL132" s="12" t="n"/>
      <c r="AM132" s="38" t="n"/>
      <c r="AN132" s="38" t="n"/>
      <c r="AO132" s="38" t="n"/>
      <c r="AP132" s="38" t="n"/>
      <c r="AQ132" s="38" t="n"/>
      <c r="AR132" s="38" t="n"/>
      <c r="AS132" s="38" t="n"/>
      <c r="AT132" s="38" t="n"/>
    </row>
    <row r="133">
      <c r="A133" s="8" t="n"/>
      <c r="B133" s="22" t="n"/>
      <c r="C133" s="38" t="n"/>
      <c r="D133" s="113" t="n">
        <v>0</v>
      </c>
      <c r="E133" s="12" t="n"/>
      <c r="F133" s="32" t="n"/>
      <c r="G133" s="11" t="n"/>
      <c r="H133" s="11" t="n"/>
      <c r="I133" s="11" t="n"/>
      <c r="J133" s="11" t="n"/>
      <c r="K133" s="11" t="n"/>
      <c r="L133" s="11" t="n"/>
      <c r="M133" s="11" t="n"/>
      <c r="N133" s="11" t="n"/>
      <c r="O133" s="11" t="n"/>
      <c r="P133" s="11" t="n"/>
      <c r="Q133" s="11" t="n"/>
      <c r="R133" s="11" t="n"/>
      <c r="S133" s="11" t="n"/>
      <c r="T133" s="12" t="n"/>
      <c r="U133" s="112" t="n"/>
      <c r="V133" s="32" t="n"/>
      <c r="W133" s="11" t="n"/>
      <c r="X133" s="11" t="n"/>
      <c r="Y133" s="11" t="n"/>
      <c r="Z133" s="11" t="n"/>
      <c r="AA133" s="11" t="n"/>
      <c r="AB133" s="11" t="n"/>
      <c r="AC133" s="11" t="n"/>
      <c r="AD133" s="11" t="n"/>
      <c r="AE133" s="11" t="n"/>
      <c r="AF133" s="11" t="n"/>
      <c r="AG133" s="11" t="n"/>
      <c r="AH133" s="11" t="n"/>
      <c r="AI133" s="11" t="n"/>
      <c r="AJ133" s="11" t="n"/>
      <c r="AK133" s="11" t="n"/>
      <c r="AL133" s="12" t="n"/>
      <c r="AM133" s="38" t="n"/>
      <c r="AN133" s="38" t="n"/>
      <c r="AO133" s="38" t="n"/>
      <c r="AP133" s="38" t="n"/>
      <c r="AQ133" s="38" t="n"/>
      <c r="AR133" s="38" t="n"/>
      <c r="AS133" s="38" t="n"/>
      <c r="AT133" s="38" t="n"/>
    </row>
    <row r="134">
      <c r="A134" s="8" t="n"/>
      <c r="B134" s="22" t="n"/>
      <c r="C134" s="38" t="n"/>
      <c r="D134" s="113" t="n">
        <v>0</v>
      </c>
      <c r="E134" s="12" t="n"/>
      <c r="F134" s="32" t="n"/>
      <c r="G134" s="11" t="n"/>
      <c r="H134" s="11" t="n"/>
      <c r="I134" s="11" t="n"/>
      <c r="J134" s="11" t="n"/>
      <c r="K134" s="11" t="n"/>
      <c r="L134" s="11" t="n"/>
      <c r="M134" s="11" t="n"/>
      <c r="N134" s="11" t="n"/>
      <c r="O134" s="11" t="n"/>
      <c r="P134" s="11" t="n"/>
      <c r="Q134" s="11" t="n"/>
      <c r="R134" s="11" t="n"/>
      <c r="S134" s="11" t="n"/>
      <c r="T134" s="12" t="n"/>
      <c r="U134" s="112" t="n"/>
      <c r="V134" s="32" t="n"/>
      <c r="W134" s="11" t="n"/>
      <c r="X134" s="11" t="n"/>
      <c r="Y134" s="11" t="n"/>
      <c r="Z134" s="11" t="n"/>
      <c r="AA134" s="11" t="n"/>
      <c r="AB134" s="11" t="n"/>
      <c r="AC134" s="11" t="n"/>
      <c r="AD134" s="11" t="n"/>
      <c r="AE134" s="11" t="n"/>
      <c r="AF134" s="11" t="n"/>
      <c r="AG134" s="11" t="n"/>
      <c r="AH134" s="11" t="n"/>
      <c r="AI134" s="11" t="n"/>
      <c r="AJ134" s="11" t="n"/>
      <c r="AK134" s="11" t="n"/>
      <c r="AL134" s="12" t="n"/>
      <c r="AM134" s="38" t="n"/>
      <c r="AN134" s="38" t="n"/>
      <c r="AO134" s="38" t="n"/>
      <c r="AP134" s="38" t="n"/>
      <c r="AQ134" s="38" t="n"/>
      <c r="AR134" s="38" t="n"/>
      <c r="AS134" s="38" t="n"/>
      <c r="AT134" s="38" t="n"/>
    </row>
    <row r="135">
      <c r="A135" s="8" t="n"/>
      <c r="B135" s="22" t="n"/>
      <c r="C135" s="38" t="n"/>
      <c r="D135" s="113" t="n">
        <v>0</v>
      </c>
      <c r="E135" s="12" t="n"/>
      <c r="F135" s="32" t="n"/>
      <c r="G135" s="11" t="n"/>
      <c r="H135" s="11" t="n"/>
      <c r="I135" s="11" t="n"/>
      <c r="J135" s="11" t="n"/>
      <c r="K135" s="11" t="n"/>
      <c r="L135" s="11" t="n"/>
      <c r="M135" s="11" t="n"/>
      <c r="N135" s="11" t="n"/>
      <c r="O135" s="11" t="n"/>
      <c r="P135" s="11" t="n"/>
      <c r="Q135" s="11" t="n"/>
      <c r="R135" s="11" t="n"/>
      <c r="S135" s="11" t="n"/>
      <c r="T135" s="12" t="n"/>
      <c r="U135" s="112" t="n"/>
      <c r="V135" s="32" t="n"/>
      <c r="W135" s="11" t="n"/>
      <c r="X135" s="11" t="n"/>
      <c r="Y135" s="11" t="n"/>
      <c r="Z135" s="11" t="n"/>
      <c r="AA135" s="11" t="n"/>
      <c r="AB135" s="11" t="n"/>
      <c r="AC135" s="11" t="n"/>
      <c r="AD135" s="11" t="n"/>
      <c r="AE135" s="11" t="n"/>
      <c r="AF135" s="11" t="n"/>
      <c r="AG135" s="11" t="n"/>
      <c r="AH135" s="11" t="n"/>
      <c r="AI135" s="11" t="n"/>
      <c r="AJ135" s="11" t="n"/>
      <c r="AK135" s="11" t="n"/>
      <c r="AL135" s="12" t="n"/>
      <c r="AM135" s="38" t="n"/>
      <c r="AN135" s="38" t="n"/>
      <c r="AO135" s="38" t="n"/>
      <c r="AP135" s="38" t="n"/>
      <c r="AQ135" s="38" t="n"/>
      <c r="AR135" s="38" t="n"/>
      <c r="AS135" s="38" t="n"/>
      <c r="AT135" s="38" t="n"/>
    </row>
    <row r="136">
      <c r="A136" s="8" t="n"/>
      <c r="B136" s="22" t="n"/>
      <c r="C136" s="38" t="n"/>
      <c r="D136" s="113" t="n">
        <v>0</v>
      </c>
      <c r="E136" s="12" t="n"/>
      <c r="F136" s="32" t="n"/>
      <c r="G136" s="11" t="n"/>
      <c r="H136" s="11" t="n"/>
      <c r="I136" s="11" t="n"/>
      <c r="J136" s="11" t="n"/>
      <c r="K136" s="11" t="n"/>
      <c r="L136" s="11" t="n"/>
      <c r="M136" s="11" t="n"/>
      <c r="N136" s="11" t="n"/>
      <c r="O136" s="11" t="n"/>
      <c r="P136" s="11" t="n"/>
      <c r="Q136" s="11" t="n"/>
      <c r="R136" s="11" t="n"/>
      <c r="S136" s="11" t="n"/>
      <c r="T136" s="12" t="n"/>
      <c r="U136" s="38" t="n"/>
      <c r="V136" s="38" t="n"/>
      <c r="W136" s="38" t="n"/>
      <c r="X136" s="38" t="n"/>
      <c r="Y136" s="38" t="n"/>
      <c r="Z136" s="38" t="n"/>
      <c r="AA136" s="38" t="n"/>
      <c r="AB136" s="38" t="n"/>
      <c r="AC136" s="38" t="n"/>
      <c r="AD136" s="38" t="n"/>
      <c r="AE136" s="38" t="n"/>
      <c r="AF136" s="38" t="n"/>
      <c r="AG136" s="38" t="n"/>
      <c r="AH136" s="38" t="n"/>
      <c r="AI136" s="38" t="n"/>
      <c r="AJ136" s="38" t="n"/>
      <c r="AK136" s="38" t="n"/>
      <c r="AL136" s="38" t="n"/>
      <c r="AM136" s="38" t="n"/>
      <c r="AN136" s="38" t="n"/>
      <c r="AO136" s="38" t="n"/>
      <c r="AP136" s="38" t="n"/>
      <c r="AQ136" s="38" t="n"/>
      <c r="AR136" s="38" t="n"/>
      <c r="AS136" s="38" t="n"/>
      <c r="AT136" s="38" t="n"/>
    </row>
    <row r="137">
      <c r="A137" s="8" t="n"/>
      <c r="B137" s="22" t="n"/>
      <c r="C137" s="38" t="n"/>
      <c r="D137" s="113" t="n">
        <v>0</v>
      </c>
      <c r="E137" s="12" t="n"/>
      <c r="F137" s="32" t="n"/>
      <c r="G137" s="11" t="n"/>
      <c r="H137" s="11" t="n"/>
      <c r="I137" s="11" t="n"/>
      <c r="J137" s="11" t="n"/>
      <c r="K137" s="11" t="n"/>
      <c r="L137" s="11" t="n"/>
      <c r="M137" s="11" t="n"/>
      <c r="N137" s="11" t="n"/>
      <c r="O137" s="11" t="n"/>
      <c r="P137" s="11" t="n"/>
      <c r="Q137" s="11" t="n"/>
      <c r="R137" s="11" t="n"/>
      <c r="S137" s="11" t="n"/>
      <c r="T137" s="12" t="n"/>
      <c r="U137" s="38" t="n"/>
      <c r="V137" s="110" t="inlineStr">
        <is>
          <t>Classe</t>
        </is>
      </c>
      <c r="W137" s="12" t="n"/>
      <c r="X137" s="110">
        <f>"Passivas - Regras"</f>
        <v/>
      </c>
      <c r="Y137" s="11" t="n"/>
      <c r="Z137" s="11" t="n"/>
      <c r="AA137" s="11" t="n"/>
      <c r="AB137" s="11" t="n"/>
      <c r="AC137" s="12" t="n"/>
      <c r="AD137" s="110" t="inlineStr">
        <is>
          <t>Classe</t>
        </is>
      </c>
      <c r="AE137" s="12" t="n"/>
      <c r="AF137" s="110">
        <f>"Passivas do Leque - "&amp;IF(DADOS!$AK$39&gt;DADOS!$AK$38,DADOS!$AK$39-DADOS!$AK$38&amp;" a mais",DADOS!$AK$38-DADOS!$AK$39&amp;" de "&amp;DADOS!$AK$38)</f>
        <v/>
      </c>
      <c r="AG137" s="11" t="n"/>
      <c r="AH137" s="11" t="n"/>
      <c r="AI137" s="11" t="n"/>
      <c r="AJ137" s="11" t="n"/>
      <c r="AK137" s="11" t="n"/>
      <c r="AL137" s="12" t="n"/>
      <c r="AM137" s="38" t="n"/>
      <c r="AN137" s="38" t="n"/>
      <c r="AO137" s="38" t="n"/>
      <c r="AP137" s="38" t="n"/>
      <c r="AQ137" s="38" t="n"/>
      <c r="AR137" s="38" t="n"/>
      <c r="AS137" s="38" t="n"/>
      <c r="AT137" s="38" t="n"/>
    </row>
    <row r="138">
      <c r="A138" s="8" t="n"/>
      <c r="B138" s="22" t="n"/>
      <c r="C138" s="38" t="n"/>
      <c r="D138" s="113" t="n">
        <v>0</v>
      </c>
      <c r="E138" s="12" t="n"/>
      <c r="F138" s="32" t="n"/>
      <c r="G138" s="11" t="n"/>
      <c r="H138" s="11" t="n"/>
      <c r="I138" s="11" t="n"/>
      <c r="J138" s="11" t="n"/>
      <c r="K138" s="11" t="n"/>
      <c r="L138" s="11" t="n"/>
      <c r="M138" s="11" t="n"/>
      <c r="N138" s="11" t="n"/>
      <c r="O138" s="11" t="n"/>
      <c r="P138" s="11" t="n"/>
      <c r="Q138" s="11" t="n"/>
      <c r="R138" s="11" t="n"/>
      <c r="S138" s="11" t="n"/>
      <c r="T138" s="12" t="n"/>
      <c r="U138" s="38" t="n"/>
      <c r="V138" s="112" t="n"/>
      <c r="W138" s="112" t="n"/>
      <c r="X138" s="112" t="n"/>
      <c r="Y138" s="112" t="n"/>
      <c r="Z138" s="112" t="n"/>
      <c r="AA138" s="112" t="n"/>
      <c r="AB138" s="112" t="n"/>
      <c r="AC138" s="112" t="n"/>
      <c r="AD138" s="112" t="n"/>
      <c r="AE138" s="112" t="n"/>
      <c r="AF138" s="112" t="n"/>
      <c r="AG138" s="112" t="n"/>
      <c r="AH138" s="112" t="n"/>
      <c r="AI138" s="112" t="n"/>
      <c r="AJ138" s="112" t="n"/>
      <c r="AK138" s="112" t="n"/>
      <c r="AL138" s="112" t="n"/>
      <c r="AM138" s="38" t="n"/>
      <c r="AN138" s="38" t="n"/>
      <c r="AO138" s="38" t="n"/>
      <c r="AP138" s="38" t="n"/>
      <c r="AQ138" s="38" t="n"/>
      <c r="AR138" s="38" t="n"/>
      <c r="AS138" s="38" t="n"/>
      <c r="AT138" s="38" t="n"/>
    </row>
    <row r="139">
      <c r="A139" s="8" t="n"/>
      <c r="B139" s="22" t="n"/>
      <c r="C139" s="38" t="n"/>
      <c r="D139" s="113" t="n">
        <v>0</v>
      </c>
      <c r="E139" s="12" t="n"/>
      <c r="F139" s="32" t="n"/>
      <c r="G139" s="11" t="n"/>
      <c r="H139" s="11" t="n"/>
      <c r="I139" s="11" t="n"/>
      <c r="J139" s="11" t="n"/>
      <c r="K139" s="11" t="n"/>
      <c r="L139" s="11" t="n"/>
      <c r="M139" s="11" t="n"/>
      <c r="N139" s="11" t="n"/>
      <c r="O139" s="11" t="n"/>
      <c r="P139" s="11" t="n"/>
      <c r="Q139" s="11" t="n"/>
      <c r="R139" s="11" t="n"/>
      <c r="S139" s="11" t="n"/>
      <c r="T139" s="12" t="n"/>
      <c r="U139" s="38" t="n"/>
      <c r="V139" s="113" t="n">
        <v>0</v>
      </c>
      <c r="W139" s="12" t="n"/>
      <c r="X139" s="32" t="n"/>
      <c r="Y139" s="11" t="n"/>
      <c r="Z139" s="11" t="n"/>
      <c r="AA139" s="11" t="n"/>
      <c r="AB139" s="11" t="n"/>
      <c r="AC139" s="12" t="n"/>
      <c r="AD139" s="113" t="n">
        <v>0</v>
      </c>
      <c r="AE139" s="12" t="n"/>
      <c r="AF139" s="32" t="n"/>
      <c r="AG139" s="11" t="n"/>
      <c r="AH139" s="11" t="n"/>
      <c r="AI139" s="11" t="n"/>
      <c r="AJ139" s="11" t="n"/>
      <c r="AK139" s="11" t="n"/>
      <c r="AL139" s="12" t="n"/>
      <c r="AM139" s="38" t="n"/>
      <c r="AN139" s="38" t="n"/>
      <c r="AO139" s="38" t="n"/>
      <c r="AP139" s="38" t="n"/>
      <c r="AQ139" s="38" t="n"/>
      <c r="AR139" s="38" t="n"/>
      <c r="AS139" s="38" t="n"/>
      <c r="AT139" s="38" t="n"/>
    </row>
    <row r="140">
      <c r="A140" s="8" t="n"/>
      <c r="B140" s="22" t="n"/>
      <c r="C140" s="38" t="n"/>
      <c r="D140" s="113" t="n">
        <v>0</v>
      </c>
      <c r="E140" s="12" t="n"/>
      <c r="F140" s="32" t="n"/>
      <c r="G140" s="11" t="n"/>
      <c r="H140" s="11" t="n"/>
      <c r="I140" s="11" t="n"/>
      <c r="J140" s="11" t="n"/>
      <c r="K140" s="11" t="n"/>
      <c r="L140" s="11" t="n"/>
      <c r="M140" s="11" t="n"/>
      <c r="N140" s="11" t="n"/>
      <c r="O140" s="11" t="n"/>
      <c r="P140" s="11" t="n"/>
      <c r="Q140" s="11" t="n"/>
      <c r="R140" s="11" t="n"/>
      <c r="S140" s="11" t="n"/>
      <c r="T140" s="12" t="n"/>
      <c r="U140" s="38" t="n"/>
      <c r="V140" s="113" t="n">
        <v>0</v>
      </c>
      <c r="W140" s="12" t="n"/>
      <c r="X140" s="32" t="n"/>
      <c r="Y140" s="11" t="n"/>
      <c r="Z140" s="11" t="n"/>
      <c r="AA140" s="11" t="n"/>
      <c r="AB140" s="11" t="n"/>
      <c r="AC140" s="12" t="n"/>
      <c r="AD140" s="113" t="n">
        <v>0</v>
      </c>
      <c r="AE140" s="12" t="n"/>
      <c r="AF140" s="32" t="n"/>
      <c r="AG140" s="11" t="n"/>
      <c r="AH140" s="11" t="n"/>
      <c r="AI140" s="11" t="n"/>
      <c r="AJ140" s="11" t="n"/>
      <c r="AK140" s="11" t="n"/>
      <c r="AL140" s="12" t="n"/>
      <c r="AM140" s="38" t="n"/>
      <c r="AN140" s="38" t="n"/>
      <c r="AO140" s="38" t="n"/>
      <c r="AP140" s="38" t="n"/>
      <c r="AQ140" s="38" t="n"/>
      <c r="AR140" s="38" t="n"/>
      <c r="AS140" s="38" t="n"/>
      <c r="AT140" s="38" t="n"/>
    </row>
    <row r="141">
      <c r="A141" s="8" t="n"/>
      <c r="B141" s="22" t="n"/>
      <c r="C141" s="38" t="n"/>
      <c r="D141" s="113" t="n">
        <v>0</v>
      </c>
      <c r="E141" s="12" t="n"/>
      <c r="F141" s="32" t="n"/>
      <c r="G141" s="11" t="n"/>
      <c r="H141" s="11" t="n"/>
      <c r="I141" s="11" t="n"/>
      <c r="J141" s="11" t="n"/>
      <c r="K141" s="11" t="n"/>
      <c r="L141" s="11" t="n"/>
      <c r="M141" s="11" t="n"/>
      <c r="N141" s="11" t="n"/>
      <c r="O141" s="11" t="n"/>
      <c r="P141" s="11" t="n"/>
      <c r="Q141" s="11" t="n"/>
      <c r="R141" s="11" t="n"/>
      <c r="S141" s="11" t="n"/>
      <c r="T141" s="12" t="n"/>
      <c r="U141" s="38" t="n"/>
      <c r="V141" s="113" t="n">
        <v>0</v>
      </c>
      <c r="W141" s="12" t="n"/>
      <c r="X141" s="32" t="n"/>
      <c r="Y141" s="11" t="n"/>
      <c r="Z141" s="11" t="n"/>
      <c r="AA141" s="11" t="n"/>
      <c r="AB141" s="11" t="n"/>
      <c r="AC141" s="12" t="n"/>
      <c r="AD141" s="113" t="n">
        <v>0</v>
      </c>
      <c r="AE141" s="12" t="n"/>
      <c r="AF141" s="32" t="n"/>
      <c r="AG141" s="11" t="n"/>
      <c r="AH141" s="11" t="n"/>
      <c r="AI141" s="11" t="n"/>
      <c r="AJ141" s="11" t="n"/>
      <c r="AK141" s="11" t="n"/>
      <c r="AL141" s="12" t="n"/>
      <c r="AM141" s="38" t="n"/>
      <c r="AN141" s="38" t="n"/>
      <c r="AO141" s="38" t="n"/>
      <c r="AP141" s="38" t="n"/>
      <c r="AQ141" s="38" t="n"/>
      <c r="AR141" s="38" t="n"/>
      <c r="AS141" s="38" t="n"/>
      <c r="AT141" s="38" t="n"/>
    </row>
    <row r="142">
      <c r="A142" s="8" t="n"/>
      <c r="B142" s="22" t="n"/>
      <c r="C142" s="38" t="n"/>
      <c r="D142" s="113" t="n">
        <v>0</v>
      </c>
      <c r="E142" s="12" t="n"/>
      <c r="F142" s="32" t="n"/>
      <c r="G142" s="11" t="n"/>
      <c r="H142" s="11" t="n"/>
      <c r="I142" s="11" t="n"/>
      <c r="J142" s="11" t="n"/>
      <c r="K142" s="11" t="n"/>
      <c r="L142" s="11" t="n"/>
      <c r="M142" s="11" t="n"/>
      <c r="N142" s="11" t="n"/>
      <c r="O142" s="11" t="n"/>
      <c r="P142" s="11" t="n"/>
      <c r="Q142" s="11" t="n"/>
      <c r="R142" s="11" t="n"/>
      <c r="S142" s="11" t="n"/>
      <c r="T142" s="12" t="n"/>
      <c r="U142" s="38" t="n"/>
      <c r="V142" s="113" t="n">
        <v>0</v>
      </c>
      <c r="W142" s="12" t="n"/>
      <c r="X142" s="32" t="n"/>
      <c r="Y142" s="11" t="n"/>
      <c r="Z142" s="11" t="n"/>
      <c r="AA142" s="11" t="n"/>
      <c r="AB142" s="11" t="n"/>
      <c r="AC142" s="12" t="n"/>
      <c r="AD142" s="113" t="n">
        <v>0</v>
      </c>
      <c r="AE142" s="12" t="n"/>
      <c r="AF142" s="32" t="n"/>
      <c r="AG142" s="11" t="n"/>
      <c r="AH142" s="11" t="n"/>
      <c r="AI142" s="11" t="n"/>
      <c r="AJ142" s="11" t="n"/>
      <c r="AK142" s="11" t="n"/>
      <c r="AL142" s="12" t="n"/>
      <c r="AM142" s="38" t="n"/>
      <c r="AN142" s="38" t="n"/>
      <c r="AO142" s="38" t="n"/>
      <c r="AP142" s="38" t="n"/>
      <c r="AQ142" s="38" t="n"/>
      <c r="AR142" s="38" t="n"/>
      <c r="AS142" s="38" t="n"/>
      <c r="AT142" s="38" t="n"/>
    </row>
    <row r="143">
      <c r="A143" s="8" t="n"/>
      <c r="B143" s="22" t="n"/>
      <c r="C143" s="38" t="n"/>
      <c r="D143" s="113" t="n">
        <v>0</v>
      </c>
      <c r="E143" s="12" t="n"/>
      <c r="F143" s="32" t="n"/>
      <c r="G143" s="11" t="n"/>
      <c r="H143" s="11" t="n"/>
      <c r="I143" s="11" t="n"/>
      <c r="J143" s="11" t="n"/>
      <c r="K143" s="11" t="n"/>
      <c r="L143" s="11" t="n"/>
      <c r="M143" s="11" t="n"/>
      <c r="N143" s="11" t="n"/>
      <c r="O143" s="11" t="n"/>
      <c r="P143" s="11" t="n"/>
      <c r="Q143" s="11" t="n"/>
      <c r="R143" s="11" t="n"/>
      <c r="S143" s="11" t="n"/>
      <c r="T143" s="12" t="n"/>
      <c r="U143" s="38" t="n"/>
      <c r="V143" s="113" t="n">
        <v>0</v>
      </c>
      <c r="W143" s="12" t="n"/>
      <c r="X143" s="32" t="n"/>
      <c r="Y143" s="11" t="n"/>
      <c r="Z143" s="11" t="n"/>
      <c r="AA143" s="11" t="n"/>
      <c r="AB143" s="11" t="n"/>
      <c r="AC143" s="12" t="n"/>
      <c r="AD143" s="113" t="n">
        <v>0</v>
      </c>
      <c r="AE143" s="12" t="n"/>
      <c r="AF143" s="32" t="n"/>
      <c r="AG143" s="11" t="n"/>
      <c r="AH143" s="11" t="n"/>
      <c r="AI143" s="11" t="n"/>
      <c r="AJ143" s="11" t="n"/>
      <c r="AK143" s="11" t="n"/>
      <c r="AL143" s="12" t="n"/>
      <c r="AM143" s="38" t="n"/>
      <c r="AN143" s="38" t="n"/>
      <c r="AO143" s="38" t="n"/>
      <c r="AP143" s="38" t="n"/>
      <c r="AQ143" s="38" t="n"/>
      <c r="AR143" s="38" t="n"/>
      <c r="AS143" s="38" t="n"/>
      <c r="AT143" s="38" t="n"/>
      <c r="AU143" s="38" t="n"/>
    </row>
    <row r="144">
      <c r="A144" s="8" t="n"/>
      <c r="B144" s="22" t="n"/>
      <c r="C144" s="38" t="n"/>
      <c r="D144" s="113" t="n">
        <v>0</v>
      </c>
      <c r="E144" s="12" t="n"/>
      <c r="F144" s="32" t="n"/>
      <c r="G144" s="11" t="n"/>
      <c r="H144" s="11" t="n"/>
      <c r="I144" s="11" t="n"/>
      <c r="J144" s="11" t="n"/>
      <c r="K144" s="11" t="n"/>
      <c r="L144" s="11" t="n"/>
      <c r="M144" s="11" t="n"/>
      <c r="N144" s="11" t="n"/>
      <c r="O144" s="11" t="n"/>
      <c r="P144" s="11" t="n"/>
      <c r="Q144" s="11" t="n"/>
      <c r="R144" s="11" t="n"/>
      <c r="S144" s="11" t="n"/>
      <c r="T144" s="12" t="n"/>
      <c r="U144" s="38" t="n"/>
      <c r="V144" s="113" t="n">
        <v>0</v>
      </c>
      <c r="W144" s="12" t="n"/>
      <c r="X144" s="32" t="n"/>
      <c r="Y144" s="11" t="n"/>
      <c r="Z144" s="11" t="n"/>
      <c r="AA144" s="11" t="n"/>
      <c r="AB144" s="11" t="n"/>
      <c r="AC144" s="12" t="n"/>
      <c r="AD144" s="113" t="n">
        <v>0</v>
      </c>
      <c r="AE144" s="12" t="n"/>
      <c r="AF144" s="32" t="n"/>
      <c r="AG144" s="11" t="n"/>
      <c r="AH144" s="11" t="n"/>
      <c r="AI144" s="11" t="n"/>
      <c r="AJ144" s="11" t="n"/>
      <c r="AK144" s="11" t="n"/>
      <c r="AL144" s="12" t="n"/>
      <c r="AM144" s="38" t="n"/>
      <c r="AN144" s="38" t="n"/>
      <c r="AO144" s="38" t="n"/>
      <c r="AP144" s="38" t="n"/>
      <c r="AQ144" s="38" t="n"/>
      <c r="AR144" s="38" t="n"/>
      <c r="AS144" s="38" t="n"/>
      <c r="AT144" s="38" t="n"/>
      <c r="AU144" s="38" t="n"/>
    </row>
    <row r="145">
      <c r="A145" s="8" t="n"/>
      <c r="B145" s="22" t="n"/>
      <c r="C145" s="114" t="n"/>
      <c r="D145" s="114" t="n"/>
      <c r="E145" s="114" t="n"/>
      <c r="F145" s="114" t="n"/>
      <c r="G145" s="114" t="n"/>
      <c r="H145" s="114" t="n"/>
      <c r="I145" s="114" t="n"/>
      <c r="J145" s="114" t="n"/>
      <c r="K145" s="114" t="n"/>
      <c r="L145" s="114" t="n"/>
      <c r="M145" s="114" t="n"/>
      <c r="N145" s="114" t="n"/>
      <c r="O145" s="114" t="n"/>
      <c r="P145" s="114" t="n"/>
      <c r="Q145" s="114" t="n"/>
      <c r="R145" s="114" t="n"/>
      <c r="S145" s="114" t="n"/>
      <c r="T145" s="114" t="n"/>
      <c r="U145" s="114" t="n"/>
      <c r="V145" s="114" t="n"/>
      <c r="W145" s="114" t="n"/>
      <c r="X145" s="114" t="n"/>
      <c r="Y145" s="114" t="n"/>
      <c r="Z145" s="114" t="n"/>
      <c r="AA145" s="114" t="n"/>
      <c r="AB145" s="114" t="n"/>
      <c r="AC145" s="114" t="n"/>
      <c r="AD145" s="114" t="n"/>
      <c r="AE145" s="114" t="n"/>
      <c r="AF145" s="114" t="n"/>
      <c r="AG145" s="114" t="n"/>
      <c r="AH145" s="114" t="n"/>
      <c r="AI145" s="114" t="n"/>
      <c r="AJ145" s="114" t="n"/>
      <c r="AK145" s="114" t="n"/>
      <c r="AL145" s="114" t="n"/>
      <c r="AM145" s="114" t="n"/>
      <c r="AN145" s="114" t="n"/>
      <c r="AO145" s="114" t="n"/>
      <c r="AP145" s="114" t="n"/>
      <c r="AQ145" s="114" t="n"/>
      <c r="AR145" s="114" t="n"/>
      <c r="AS145" s="114" t="n"/>
      <c r="AT145" s="114" t="n"/>
      <c r="AU145" s="114" t="n"/>
    </row>
    <row r="146">
      <c r="A146" s="8" t="n"/>
      <c r="B146" s="22" t="n"/>
      <c r="C146" s="114" t="n"/>
      <c r="D146" s="114" t="n"/>
      <c r="E146" s="114" t="n"/>
      <c r="F146" s="114" t="n"/>
      <c r="G146" s="114" t="n"/>
      <c r="H146" s="114" t="n"/>
      <c r="I146" s="114" t="n"/>
      <c r="J146" s="114" t="n"/>
      <c r="K146" s="114" t="n"/>
      <c r="L146" s="114" t="n"/>
      <c r="M146" s="114" t="n"/>
      <c r="N146" s="114" t="n"/>
      <c r="O146" s="114" t="n"/>
      <c r="P146" s="114" t="n"/>
      <c r="Q146" s="114" t="n"/>
      <c r="R146" s="114" t="n"/>
      <c r="S146" s="114" t="n"/>
      <c r="T146" s="114" t="n"/>
      <c r="U146" s="114" t="n"/>
      <c r="V146" s="114" t="n"/>
      <c r="W146" s="114" t="n"/>
      <c r="X146" s="114" t="n"/>
      <c r="Y146" s="114" t="n"/>
      <c r="Z146" s="114" t="n"/>
      <c r="AA146" s="114" t="n"/>
      <c r="AB146" s="114" t="n"/>
      <c r="AC146" s="114" t="n"/>
      <c r="AD146" s="114" t="n"/>
      <c r="AE146" s="114" t="n"/>
      <c r="AF146" s="114" t="n"/>
      <c r="AG146" s="114" t="n"/>
      <c r="AH146" s="114" t="n"/>
      <c r="AI146" s="114" t="n"/>
      <c r="AJ146" s="114" t="n"/>
      <c r="AK146" s="114" t="n"/>
      <c r="AL146" s="114" t="n"/>
      <c r="AM146" s="114" t="n"/>
      <c r="AN146" s="114" t="n"/>
      <c r="AO146" s="114" t="n"/>
      <c r="AP146" s="114" t="n"/>
      <c r="AQ146" s="114" t="n"/>
      <c r="AR146" s="114" t="n"/>
      <c r="AS146" s="114" t="n"/>
      <c r="AT146" s="114" t="n"/>
      <c r="AU146" s="114" t="n"/>
    </row>
    <row r="147">
      <c r="A147" s="8" t="n"/>
      <c r="B147" s="22" t="n"/>
      <c r="C147" s="114" t="n"/>
      <c r="D147" s="114" t="n"/>
      <c r="E147" s="114" t="n"/>
      <c r="F147" s="114" t="n"/>
      <c r="G147" s="114" t="n"/>
      <c r="H147" s="114" t="n"/>
      <c r="I147" s="114" t="n"/>
      <c r="J147" s="114" t="n"/>
      <c r="K147" s="114" t="n"/>
      <c r="L147" s="114" t="n"/>
      <c r="M147" s="114" t="n"/>
      <c r="N147" s="114" t="n"/>
      <c r="O147" s="114" t="n"/>
      <c r="P147" s="114" t="n"/>
      <c r="Q147" s="114" t="n"/>
      <c r="R147" s="114" t="n"/>
      <c r="S147" s="114" t="n"/>
      <c r="T147" s="114" t="n"/>
      <c r="U147" s="114" t="n"/>
      <c r="V147" s="114" t="n"/>
      <c r="W147" s="114" t="n"/>
      <c r="X147" s="114" t="n"/>
      <c r="Y147" s="114" t="n"/>
      <c r="Z147" s="114" t="n"/>
      <c r="AA147" s="114" t="n"/>
      <c r="AB147" s="114" t="n"/>
      <c r="AC147" s="114" t="n"/>
      <c r="AD147" s="114" t="n"/>
      <c r="AE147" s="114" t="n"/>
      <c r="AF147" s="114" t="n"/>
      <c r="AG147" s="114" t="n"/>
      <c r="AH147" s="114" t="n"/>
      <c r="AI147" s="114" t="n"/>
      <c r="AJ147" s="114" t="n"/>
      <c r="AK147" s="114" t="n"/>
      <c r="AL147" s="114" t="n"/>
      <c r="AM147" s="114" t="n"/>
      <c r="AN147" s="114" t="n"/>
      <c r="AO147" s="114" t="n"/>
      <c r="AP147" s="114" t="n"/>
      <c r="AQ147" s="114" t="n"/>
      <c r="AR147" s="114" t="n"/>
      <c r="AS147" s="114" t="n"/>
      <c r="AT147" s="114" t="n"/>
      <c r="AU147" s="114" t="n"/>
    </row>
    <row r="148">
      <c r="A148" s="8" t="n"/>
      <c r="B148" s="22" t="n"/>
      <c r="C148" s="114" t="n"/>
      <c r="D148" s="114" t="n"/>
      <c r="E148" s="114" t="n"/>
      <c r="F148" s="114" t="n"/>
      <c r="G148" s="114" t="n"/>
      <c r="H148" s="114" t="n"/>
      <c r="I148" s="114" t="n"/>
      <c r="J148" s="114" t="n"/>
      <c r="K148" s="114" t="n"/>
      <c r="L148" s="114" t="n"/>
      <c r="M148" s="114" t="n"/>
      <c r="N148" s="114" t="n"/>
      <c r="O148" s="114" t="n"/>
      <c r="P148" s="114" t="n"/>
      <c r="Q148" s="114" t="n"/>
      <c r="R148" s="114" t="n"/>
      <c r="S148" s="114" t="n"/>
      <c r="T148" s="114" t="n"/>
      <c r="U148" s="114" t="n"/>
      <c r="V148" s="114" t="n"/>
      <c r="W148" s="114" t="n"/>
      <c r="X148" s="114" t="n"/>
      <c r="Y148" s="114" t="n"/>
      <c r="Z148" s="114" t="n"/>
      <c r="AA148" s="114" t="n"/>
      <c r="AB148" s="114" t="n"/>
      <c r="AC148" s="114" t="n"/>
      <c r="AD148" s="114" t="n"/>
      <c r="AE148" s="114" t="n"/>
      <c r="AF148" s="114" t="n"/>
      <c r="AG148" s="114" t="n"/>
      <c r="AH148" s="114" t="n"/>
      <c r="AI148" s="114" t="n"/>
      <c r="AJ148" s="114" t="n"/>
      <c r="AK148" s="114" t="n"/>
      <c r="AL148" s="114" t="n"/>
      <c r="AM148" s="114" t="n"/>
      <c r="AN148" s="114" t="n"/>
      <c r="AO148" s="114" t="n"/>
      <c r="AP148" s="114" t="n"/>
      <c r="AQ148" s="114" t="n"/>
      <c r="AR148" s="114" t="n"/>
      <c r="AS148" s="114" t="n"/>
      <c r="AT148" s="114" t="n"/>
      <c r="AU148" s="114" t="n"/>
    </row>
    <row r="149">
      <c r="A149" s="8" t="n"/>
      <c r="B149" s="22" t="n"/>
    </row>
    <row r="150">
      <c r="A150" s="8" t="n"/>
      <c r="B150" s="22" t="n"/>
    </row>
  </sheetData>
  <mergeCells count="378">
    <mergeCell ref="D107:N110"/>
    <mergeCell ref="O56:X56"/>
    <mergeCell ref="AF144:AL144"/>
    <mergeCell ref="AE54:AO54"/>
    <mergeCell ref="D46:K46"/>
    <mergeCell ref="P69:Q69"/>
    <mergeCell ref="AO15:AP15"/>
    <mergeCell ref="W50:X50"/>
    <mergeCell ref="AK79:AO79"/>
    <mergeCell ref="D134:E134"/>
    <mergeCell ref="D43:K43"/>
    <mergeCell ref="AB93:AL96"/>
    <mergeCell ref="AG82:AI82"/>
    <mergeCell ref="AK81:AO81"/>
    <mergeCell ref="D57:M57"/>
    <mergeCell ref="V124:AL124"/>
    <mergeCell ref="D8:F9"/>
    <mergeCell ref="AH47:AI47"/>
    <mergeCell ref="D11:L11"/>
    <mergeCell ref="F69:M69"/>
    <mergeCell ref="V126:AL126"/>
    <mergeCell ref="D131:E131"/>
    <mergeCell ref="A8:B29"/>
    <mergeCell ref="AM71:AT71"/>
    <mergeCell ref="F129:T129"/>
    <mergeCell ref="X142:AC142"/>
    <mergeCell ref="D124:E124"/>
    <mergeCell ref="F134:T134"/>
    <mergeCell ref="AJ22:AP22"/>
    <mergeCell ref="AN84:AT84"/>
    <mergeCell ref="AF63:AG63"/>
    <mergeCell ref="L42:M42"/>
    <mergeCell ref="AS46:AT46"/>
    <mergeCell ref="F131:T131"/>
    <mergeCell ref="D126:E126"/>
    <mergeCell ref="D142:E142"/>
    <mergeCell ref="D129:E129"/>
    <mergeCell ref="AB112:AL112"/>
    <mergeCell ref="D144:E144"/>
    <mergeCell ref="N70:O70"/>
    <mergeCell ref="L19:R20"/>
    <mergeCell ref="AF25:AK25"/>
    <mergeCell ref="AD64:AE64"/>
    <mergeCell ref="F126:T126"/>
    <mergeCell ref="L47:M47"/>
    <mergeCell ref="AF30:AK30"/>
    <mergeCell ref="D139:E139"/>
    <mergeCell ref="G15:X15"/>
    <mergeCell ref="D26:H27"/>
    <mergeCell ref="D76:F77"/>
    <mergeCell ref="P91:Z91"/>
    <mergeCell ref="D21:J21"/>
    <mergeCell ref="AU6:AU142"/>
    <mergeCell ref="AE53:AO53"/>
    <mergeCell ref="AB114:AL117"/>
    <mergeCell ref="F137:T137"/>
    <mergeCell ref="P100:Z103"/>
    <mergeCell ref="F124:T124"/>
    <mergeCell ref="D29:N29"/>
    <mergeCell ref="F139:T139"/>
    <mergeCell ref="D18:J18"/>
    <mergeCell ref="F138:T138"/>
    <mergeCell ref="X83:Z83"/>
    <mergeCell ref="J26:N27"/>
    <mergeCell ref="F84:J84"/>
    <mergeCell ref="V63:AC63"/>
    <mergeCell ref="F80:J80"/>
    <mergeCell ref="N71:O71"/>
    <mergeCell ref="X10:AF10"/>
    <mergeCell ref="AD70:AE70"/>
    <mergeCell ref="N73:O73"/>
    <mergeCell ref="AB19:AH20"/>
    <mergeCell ref="D122:E122"/>
    <mergeCell ref="AP80:AT80"/>
    <mergeCell ref="V137:W137"/>
    <mergeCell ref="N11:V11"/>
    <mergeCell ref="X144:AC144"/>
    <mergeCell ref="V66:AC66"/>
    <mergeCell ref="V139:W139"/>
    <mergeCell ref="AM15:AN15"/>
    <mergeCell ref="AK50:AT50"/>
    <mergeCell ref="F65:M65"/>
    <mergeCell ref="V122:AL122"/>
    <mergeCell ref="L21:R21"/>
    <mergeCell ref="N66:O66"/>
    <mergeCell ref="G88:AH88"/>
    <mergeCell ref="N68:O68"/>
    <mergeCell ref="F140:T140"/>
    <mergeCell ref="D141:E141"/>
    <mergeCell ref="AH10:AL10"/>
    <mergeCell ref="D135:E135"/>
    <mergeCell ref="AS40:AT40"/>
    <mergeCell ref="P112:Z112"/>
    <mergeCell ref="D10:L10"/>
    <mergeCell ref="T19:Z20"/>
    <mergeCell ref="AF34:AK34"/>
    <mergeCell ref="AD71:AE71"/>
    <mergeCell ref="AF71:AG71"/>
    <mergeCell ref="Z42:AI42"/>
    <mergeCell ref="V68:AC68"/>
    <mergeCell ref="AD73:AE73"/>
    <mergeCell ref="V130:AL130"/>
    <mergeCell ref="AF73:AG73"/>
    <mergeCell ref="V67:AC67"/>
    <mergeCell ref="P30:AD31"/>
    <mergeCell ref="AF66:AG66"/>
    <mergeCell ref="V140:W140"/>
    <mergeCell ref="AK73:AT74"/>
    <mergeCell ref="H2:Z3"/>
    <mergeCell ref="V72:AC72"/>
    <mergeCell ref="V69:AC69"/>
    <mergeCell ref="AB91:AL91"/>
    <mergeCell ref="AF68:AG68"/>
    <mergeCell ref="P93:Z96"/>
    <mergeCell ref="N67:O67"/>
    <mergeCell ref="D34:H35"/>
    <mergeCell ref="D100:N103"/>
    <mergeCell ref="N69:O69"/>
    <mergeCell ref="L18:R18"/>
    <mergeCell ref="AQ40:AR40"/>
    <mergeCell ref="AF137:AL137"/>
    <mergeCell ref="AD144:AE144"/>
    <mergeCell ref="AF139:AL139"/>
    <mergeCell ref="X140:AC140"/>
    <mergeCell ref="D98:N98"/>
    <mergeCell ref="F143:T143"/>
    <mergeCell ref="P64:Q64"/>
    <mergeCell ref="O42:X42"/>
    <mergeCell ref="AK42:AR42"/>
    <mergeCell ref="AK47:AR47"/>
    <mergeCell ref="AJ19:AP20"/>
    <mergeCell ref="N10:V10"/>
    <mergeCell ref="D50:M50"/>
    <mergeCell ref="S82:W82"/>
    <mergeCell ref="G119:AH119"/>
    <mergeCell ref="AD137:AE137"/>
    <mergeCell ref="W47:X47"/>
    <mergeCell ref="P67:Q67"/>
    <mergeCell ref="AD74:AE74"/>
    <mergeCell ref="AM25:AR25"/>
    <mergeCell ref="AF74:AG74"/>
    <mergeCell ref="AD139:AE139"/>
    <mergeCell ref="D91:N91"/>
    <mergeCell ref="AK62:AT62"/>
    <mergeCell ref="AM33:AR33"/>
    <mergeCell ref="P114:Z117"/>
    <mergeCell ref="D2:G4"/>
    <mergeCell ref="D60:F62"/>
    <mergeCell ref="AK51:AT51"/>
    <mergeCell ref="T21:Z21"/>
    <mergeCell ref="AK76:AT76"/>
    <mergeCell ref="X137:AC137"/>
    <mergeCell ref="AO16:AP16"/>
    <mergeCell ref="N72:O72"/>
    <mergeCell ref="D119:F120"/>
    <mergeCell ref="T18:Z18"/>
    <mergeCell ref="P72:Q72"/>
    <mergeCell ref="AN10:AT10"/>
    <mergeCell ref="AF140:AL140"/>
    <mergeCell ref="X141:AC141"/>
    <mergeCell ref="Z40:AI40"/>
    <mergeCell ref="AM30:AR30"/>
    <mergeCell ref="AS43:AT43"/>
    <mergeCell ref="D15:F17"/>
    <mergeCell ref="P65:Q65"/>
    <mergeCell ref="AK69:AT70"/>
    <mergeCell ref="X143:AC143"/>
    <mergeCell ref="AO39:AP39"/>
    <mergeCell ref="AB2:AT3"/>
    <mergeCell ref="AF64:AG64"/>
    <mergeCell ref="AB105:AL105"/>
    <mergeCell ref="AF141:AL141"/>
    <mergeCell ref="V132:AL132"/>
    <mergeCell ref="W46:X46"/>
    <mergeCell ref="D137:E137"/>
    <mergeCell ref="K83:M83"/>
    <mergeCell ref="G40:X40"/>
    <mergeCell ref="AF85:AM85"/>
    <mergeCell ref="Z43:AI43"/>
    <mergeCell ref="S83:W83"/>
    <mergeCell ref="D130:E130"/>
    <mergeCell ref="D132:E132"/>
    <mergeCell ref="X82:Z82"/>
    <mergeCell ref="G8:X8"/>
    <mergeCell ref="AK72:AT72"/>
    <mergeCell ref="AM34:AR34"/>
    <mergeCell ref="AG80:AI80"/>
    <mergeCell ref="F64:M64"/>
    <mergeCell ref="D93:N96"/>
    <mergeCell ref="P26:AD27"/>
    <mergeCell ref="G76:AH76"/>
    <mergeCell ref="AQ16:AR16"/>
    <mergeCell ref="AB107:AL110"/>
    <mergeCell ref="V142:W142"/>
    <mergeCell ref="F130:T130"/>
    <mergeCell ref="D125:E125"/>
    <mergeCell ref="O50:V50"/>
    <mergeCell ref="D112:N112"/>
    <mergeCell ref="AH46:AI46"/>
    <mergeCell ref="P98:Z98"/>
    <mergeCell ref="S80:W80"/>
    <mergeCell ref="F132:T132"/>
    <mergeCell ref="D127:E127"/>
    <mergeCell ref="AM29:AR29"/>
    <mergeCell ref="Z56:AI56"/>
    <mergeCell ref="AK14:AT14"/>
    <mergeCell ref="AJ18:AP18"/>
    <mergeCell ref="AF143:AL143"/>
    <mergeCell ref="AF84:AM84"/>
    <mergeCell ref="F127:T127"/>
    <mergeCell ref="V133:AL133"/>
    <mergeCell ref="P73:Q73"/>
    <mergeCell ref="AN11:AT11"/>
    <mergeCell ref="Z51:AI51"/>
    <mergeCell ref="D138:E138"/>
    <mergeCell ref="K84:M84"/>
    <mergeCell ref="V135:AL135"/>
    <mergeCell ref="AD63:AE63"/>
    <mergeCell ref="D140:E140"/>
    <mergeCell ref="AP79:AT79"/>
    <mergeCell ref="AK15:AL15"/>
    <mergeCell ref="W51:X51"/>
    <mergeCell ref="AK63:AT64"/>
    <mergeCell ref="AF26:AK26"/>
    <mergeCell ref="F70:M70"/>
    <mergeCell ref="D114:N117"/>
    <mergeCell ref="AB4:AT4"/>
    <mergeCell ref="F71:M71"/>
    <mergeCell ref="V128:AL128"/>
    <mergeCell ref="D19:J20"/>
    <mergeCell ref="L46:M46"/>
    <mergeCell ref="AB100:AL103"/>
    <mergeCell ref="S79:W79"/>
    <mergeCell ref="O43:X43"/>
    <mergeCell ref="AO40:AP40"/>
    <mergeCell ref="S81:W81"/>
    <mergeCell ref="F133:T133"/>
    <mergeCell ref="D128:E128"/>
    <mergeCell ref="D88:F89"/>
    <mergeCell ref="AP92:AR96"/>
    <mergeCell ref="F68:M68"/>
    <mergeCell ref="D37:AT37"/>
    <mergeCell ref="D51:M51"/>
    <mergeCell ref="F135:T135"/>
    <mergeCell ref="X80:Z80"/>
    <mergeCell ref="F122:T122"/>
    <mergeCell ref="L43:M43"/>
    <mergeCell ref="P105:Z105"/>
    <mergeCell ref="X79:Z79"/>
    <mergeCell ref="D40:F41"/>
    <mergeCell ref="A33:B51"/>
    <mergeCell ref="X81:Z81"/>
    <mergeCell ref="AP81:AT81"/>
    <mergeCell ref="X139:AC139"/>
    <mergeCell ref="AD66:AE66"/>
    <mergeCell ref="D143:E143"/>
    <mergeCell ref="F82:J82"/>
    <mergeCell ref="AQ15:AR15"/>
    <mergeCell ref="AK80:AO80"/>
    <mergeCell ref="AS15:AT15"/>
    <mergeCell ref="V125:AL125"/>
    <mergeCell ref="V65:AC65"/>
    <mergeCell ref="F73:M73"/>
    <mergeCell ref="Z14:AI14"/>
    <mergeCell ref="AD142:AE142"/>
    <mergeCell ref="V129:AL129"/>
    <mergeCell ref="F74:M74"/>
    <mergeCell ref="O57:X57"/>
    <mergeCell ref="Z15:AI15"/>
    <mergeCell ref="V131:AL131"/>
    <mergeCell ref="F141:T141"/>
    <mergeCell ref="D136:E136"/>
    <mergeCell ref="D90:M90"/>
    <mergeCell ref="N64:O64"/>
    <mergeCell ref="D22:J22"/>
    <mergeCell ref="O46:V46"/>
    <mergeCell ref="F136:T136"/>
    <mergeCell ref="AH11:AL11"/>
    <mergeCell ref="AN85:AT85"/>
    <mergeCell ref="AB21:AH21"/>
    <mergeCell ref="J30:N31"/>
    <mergeCell ref="AD68:AE68"/>
    <mergeCell ref="AK40:AN40"/>
    <mergeCell ref="AK56:AT56"/>
    <mergeCell ref="AD67:AE67"/>
    <mergeCell ref="V141:W141"/>
    <mergeCell ref="AF67:AG67"/>
    <mergeCell ref="F83:J83"/>
    <mergeCell ref="V64:AC64"/>
    <mergeCell ref="AD69:AE69"/>
    <mergeCell ref="AP82:AT82"/>
    <mergeCell ref="V143:W143"/>
    <mergeCell ref="AF69:AG69"/>
    <mergeCell ref="AB18:AH18"/>
    <mergeCell ref="P107:Z110"/>
    <mergeCell ref="K82:M82"/>
    <mergeCell ref="P70:Q70"/>
    <mergeCell ref="AS16:AT16"/>
    <mergeCell ref="AK16:AL16"/>
    <mergeCell ref="AM26:AR26"/>
    <mergeCell ref="F67:M67"/>
    <mergeCell ref="AK46:AR46"/>
    <mergeCell ref="AK67:AT68"/>
    <mergeCell ref="D33:N33"/>
    <mergeCell ref="N65:O65"/>
    <mergeCell ref="F142:T142"/>
    <mergeCell ref="T22:Z22"/>
    <mergeCell ref="D54:F55"/>
    <mergeCell ref="L22:R22"/>
    <mergeCell ref="AS42:AT42"/>
    <mergeCell ref="F144:T144"/>
    <mergeCell ref="AJ21:AP21"/>
    <mergeCell ref="AD140:AE140"/>
    <mergeCell ref="Z47:AG47"/>
    <mergeCell ref="AK57:AT57"/>
    <mergeCell ref="F72:M72"/>
    <mergeCell ref="H4:Z4"/>
    <mergeCell ref="AG79:AI79"/>
    <mergeCell ref="V70:AC70"/>
    <mergeCell ref="AD141:AE141"/>
    <mergeCell ref="J34:N35"/>
    <mergeCell ref="AM16:AN16"/>
    <mergeCell ref="AF33:AK33"/>
    <mergeCell ref="AG81:AI81"/>
    <mergeCell ref="AD72:AE72"/>
    <mergeCell ref="D42:K42"/>
    <mergeCell ref="AF72:AG72"/>
    <mergeCell ref="V134:AL134"/>
    <mergeCell ref="P71:Q71"/>
    <mergeCell ref="C6:AR6"/>
    <mergeCell ref="V71:AC71"/>
    <mergeCell ref="V144:W144"/>
    <mergeCell ref="AF70:AG70"/>
    <mergeCell ref="AK82:AO82"/>
    <mergeCell ref="V73:AC73"/>
    <mergeCell ref="D105:N105"/>
    <mergeCell ref="AK43:AR43"/>
    <mergeCell ref="F125:T125"/>
    <mergeCell ref="F79:J79"/>
    <mergeCell ref="AD65:AE65"/>
    <mergeCell ref="AQ39:AR39"/>
    <mergeCell ref="V127:AL127"/>
    <mergeCell ref="AS39:AT39"/>
    <mergeCell ref="G54:X54"/>
    <mergeCell ref="F81:J81"/>
    <mergeCell ref="Z57:AI57"/>
    <mergeCell ref="P66:Q66"/>
    <mergeCell ref="AK39:AN39"/>
    <mergeCell ref="AK65:AT66"/>
    <mergeCell ref="Z50:AI50"/>
    <mergeCell ref="K80:M80"/>
    <mergeCell ref="D25:N25"/>
    <mergeCell ref="AS47:AT47"/>
    <mergeCell ref="P68:Q68"/>
    <mergeCell ref="D133:E133"/>
    <mergeCell ref="K79:M79"/>
    <mergeCell ref="Z39:AI39"/>
    <mergeCell ref="Z46:AG46"/>
    <mergeCell ref="AD143:AE143"/>
    <mergeCell ref="K81:M81"/>
    <mergeCell ref="D56:M56"/>
    <mergeCell ref="AF65:AG65"/>
    <mergeCell ref="D30:H31"/>
    <mergeCell ref="P34:AD35"/>
    <mergeCell ref="F66:M66"/>
    <mergeCell ref="V74:AC74"/>
    <mergeCell ref="D47:K47"/>
    <mergeCell ref="O51:V51"/>
    <mergeCell ref="AB98:AL98"/>
    <mergeCell ref="O47:V47"/>
    <mergeCell ref="G60:AD60"/>
    <mergeCell ref="AB22:AH22"/>
    <mergeCell ref="X11:AF11"/>
    <mergeCell ref="F128:T128"/>
    <mergeCell ref="N74:O74"/>
    <mergeCell ref="P74:Q74"/>
    <mergeCell ref="AF142:AL142"/>
    <mergeCell ref="AF29:AK29"/>
  </mergeCells>
  <conditionalFormatting sqref="D26">
    <cfRule type="expression" priority="1" dxfId="0">
      <formula>AND(N(J26)&gt;0,D26/J26&lt;=0.25)</formula>
    </cfRule>
    <cfRule type="expression" priority="2" dxfId="1">
      <formula>AND(N(J26)&gt;0,D26/J26&lt;=0.5)</formula>
    </cfRule>
  </conditionalFormatting>
  <conditionalFormatting sqref="D30">
    <cfRule type="expression" priority="3" dxfId="0">
      <formula>AND(N(J30)&gt;0,D30/J30&lt;=0.25)</formula>
    </cfRule>
    <cfRule type="expression" priority="4" dxfId="1">
      <formula>AND(N(J30)&gt;0,D30/J30&lt;=0.5)</formula>
    </cfRule>
  </conditionalFormatting>
  <conditionalFormatting sqref="D34">
    <cfRule type="expression" priority="5" dxfId="0">
      <formula>AND(N(J34)&gt;0,D34/J34&lt;=0.25)</formula>
    </cfRule>
    <cfRule type="expression" priority="6" dxfId="1">
      <formula>AND(N(J34)&gt;0,D34/J34&lt;=0.5)</formula>
    </cfRule>
  </conditionalFormatting>
  <conditionalFormatting sqref="V122 Z15 AF85 AF137 AK14 AK40 AK73 AK76 AN85">
    <cfRule type="containsText" priority="7" dxfId="0">
      <formula>NOT(ISERROR(SEARCH((" a mais"),(AK14))))</formula>
    </cfRule>
    <cfRule type="containsText" priority="8" dxfId="0">
      <formula>NOT(ISERROR(SEARCH(("passou de"),(AK14))))</formula>
    </cfRule>
    <cfRule type="containsText" priority="9" dxfId="0">
      <formula>NOT(ISERROR(SEARCH(("só no nível"),(AK14))))</formula>
    </cfRule>
    <cfRule type="containsText" priority="10" dxfId="0">
      <formula>NOT(ISERROR(SEARCH(("nenhum acima"),(AK14))))</formula>
    </cfRule>
  </conditionalFormatting>
  <dataValidations count="9">
    <dataValidation sqref="AK79" showDropDown="0" showInputMessage="0" showErrorMessage="0" allowBlank="1" type="list">
      <formula1>"FORÇA,DESTREZA"</formula1>
    </dataValidation>
    <dataValidation sqref="K79:K84 X79:X83 Z51 AE54 AK51" showDropDown="0" showInputMessage="0" showErrorMessage="0" allowBlank="1" type="list">
      <formula1>"FORÇA,DESTREZA,CONSTITUIÇÃO,INTELIGÊNCIA,ESSÊNCIA"</formula1>
    </dataValidation>
    <dataValidation sqref="N11" showDropDown="0" showInputMessage="0" showErrorMessage="0" allowBlank="1" type="list">
      <formula1>DADOS!$AP$5:$AP$20</formula1>
    </dataValidation>
    <dataValidation sqref="AK15 AM15 AO15 AO40 AQ15 AQ40 AS15 AS40" showDropDown="0" showInputMessage="0" showErrorMessage="0" allowBlank="1" type="list">
      <formula1>"0,1,2,3,4,5,6,7"</formula1>
    </dataValidation>
    <dataValidation sqref="D11" showDropDown="0" showInputMessage="0" showErrorMessage="0" allowBlank="1" type="list">
      <formula1>DADOS!$AM$5:$AM$10</formula1>
    </dataValidation>
    <dataValidation sqref="D124:D144" showDropDown="0" showInputMessage="0" showErrorMessage="0" allowBlank="1" type="list">
      <formula1>"0,1,2,3,4,5,6,7,Lib. Max.,Téc. Max."</formula1>
    </dataValidation>
    <dataValidation sqref="V139:V144 AD139:AD144" showDropDown="0" showInputMessage="0" showErrorMessage="0" allowBlank="1" type="list">
      <formula1>"0,1,2,3"</formula1>
    </dataValidation>
    <dataValidation sqref="X11" showDropDown="0" showInputMessage="0" showErrorMessage="0" allowBlank="1" type="list">
      <formula1>DADOS!$I$4:$I$16</formula1>
    </dataValidation>
    <dataValidation sqref="AK65" showDropDown="0" showInputMessage="0" showErrorMessage="0" allowBlank="1" type="list">
      <formula1>"Não trocou,1 arma (-2 pericias),2 armas (-4 pericias)"</formula1>
    </dataValidation>
  </dataValidation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0" summaryRight="0"/>
    <pageSetUpPr/>
  </sheetPr>
  <dimension ref="A1:U537"/>
  <sheetViews>
    <sheetView showGridLines="0" workbookViewId="0">
      <selection activeCell="A1" sqref="A1"/>
    </sheetView>
  </sheetViews>
  <sheetFormatPr baseColWidth="8" defaultRowHeight="15.75" customHeight="1"/>
  <cols>
    <col width="4" customWidth="1" min="1" max="1"/>
    <col width="4" customWidth="1" min="2" max="2"/>
    <col width="4" customWidth="1" min="3" max="3"/>
    <col width="14.125" customWidth="1" min="4" max="4"/>
    <col width="17.625" customWidth="1" min="5" max="5"/>
    <col width="14.125" customWidth="1" min="6" max="6"/>
    <col width="7.125" customWidth="1" min="7" max="7"/>
    <col width="7.125" customWidth="1" min="8" max="8"/>
    <col width="4" customWidth="1" min="9" max="9"/>
    <col width="14.125" customWidth="1" min="10" max="10"/>
    <col width="17.625" customWidth="1" min="11" max="11"/>
    <col width="14.125" customWidth="1" min="12" max="12"/>
    <col width="7.125" customWidth="1" min="13" max="13"/>
    <col width="7.125" customWidth="1" min="14" max="14"/>
    <col width="4" customWidth="1" min="15" max="15"/>
    <col width="14.125" customWidth="1" min="16" max="16"/>
    <col width="17.625" customWidth="1" min="17" max="17"/>
    <col width="14.125" customWidth="1" min="18" max="18"/>
    <col width="7.125" customWidth="1" min="19" max="19"/>
    <col width="7.125" customWidth="1" min="20" max="20"/>
    <col width="4" customWidth="1" min="21" max="21"/>
  </cols>
  <sheetData>
    <row r="1">
      <c r="A1" s="8" t="n"/>
      <c r="B1" s="8" t="n"/>
      <c r="C1" s="8" t="n"/>
      <c r="D1" s="8" t="n"/>
      <c r="E1" s="8" t="n"/>
      <c r="F1" s="8" t="n"/>
      <c r="G1" s="8" t="n"/>
      <c r="H1" s="8" t="n"/>
      <c r="I1" s="8" t="n"/>
      <c r="J1" s="8" t="n"/>
      <c r="K1" s="8" t="n"/>
      <c r="L1" s="8" t="n"/>
      <c r="M1" s="8" t="n"/>
      <c r="N1" s="8" t="n"/>
      <c r="O1" s="8" t="n"/>
      <c r="P1" s="8" t="n"/>
      <c r="Q1" s="8" t="n"/>
      <c r="R1" s="8" t="n"/>
      <c r="S1" s="8" t="n"/>
      <c r="T1" s="8" t="n"/>
      <c r="U1" s="8" t="n"/>
    </row>
    <row r="2">
      <c r="A2" s="8" t="n"/>
      <c r="B2" s="8" t="n"/>
      <c r="C2" s="8" t="n"/>
      <c r="D2" s="40" t="inlineStr">
        <is>
          <t>呪術</t>
        </is>
      </c>
      <c r="E2" s="41" t="inlineStr">
        <is>
          <t>FICHA AMALDIÇOADA</t>
        </is>
      </c>
      <c r="I2" s="8" t="n"/>
      <c r="J2" s="42">
        <f>FICHA!AB2</f>
        <v/>
      </c>
      <c r="U2" s="8" t="n"/>
    </row>
    <row r="3">
      <c r="A3" s="8" t="n"/>
      <c r="B3" s="8" t="n"/>
      <c r="C3" s="8" t="n"/>
      <c r="I3" s="8" t="n"/>
      <c r="U3" s="8" t="n"/>
    </row>
    <row r="4">
      <c r="A4" s="8" t="n"/>
      <c r="B4" s="8" t="n"/>
      <c r="C4" s="8" t="n"/>
      <c r="E4" s="43">
        <f>DADOS!$F$1&amp;" · técnica, feitiços e aptidões"</f>
        <v/>
      </c>
      <c r="I4" s="8" t="n"/>
      <c r="J4" s="44">
        <f>FICHA!AB4</f>
        <v/>
      </c>
      <c r="U4" s="8" t="n"/>
    </row>
    <row r="5">
      <c r="A5" s="8" t="n"/>
      <c r="B5" s="8" t="n"/>
      <c r="C5" s="28" t="n"/>
      <c r="D5" s="28" t="n"/>
      <c r="E5" s="28" t="n"/>
      <c r="F5" s="28" t="n"/>
      <c r="G5" s="28" t="n"/>
      <c r="H5" s="28" t="n"/>
      <c r="I5" s="28" t="n"/>
      <c r="J5" s="28" t="n"/>
      <c r="K5" s="28" t="n"/>
      <c r="L5" s="28" t="n"/>
      <c r="M5" s="28" t="n"/>
      <c r="N5" s="28" t="n"/>
      <c r="O5" s="28" t="n"/>
      <c r="P5" s="28" t="n"/>
      <c r="Q5" s="28" t="n"/>
      <c r="R5" s="28" t="n"/>
      <c r="S5" s="28" t="n"/>
      <c r="T5" s="28" t="n"/>
      <c r="U5" s="28" t="n"/>
    </row>
    <row r="6">
      <c r="A6" s="8" t="n"/>
      <c r="B6" s="22" t="n"/>
      <c r="C6" s="115" t="n"/>
      <c r="T6" s="115" t="n"/>
      <c r="U6" s="115" t="n"/>
    </row>
    <row r="7">
      <c r="A7" s="8" t="n"/>
      <c r="B7" s="22" t="n"/>
      <c r="C7" s="115" t="n"/>
      <c r="D7" s="116" t="inlineStr">
        <is>
          <t>Técnica</t>
        </is>
      </c>
      <c r="E7" s="116" t="inlineStr">
        <is>
          <t>Orçamento</t>
        </is>
      </c>
      <c r="F7" s="116" t="inlineStr">
        <is>
          <t>Feitiços</t>
        </is>
      </c>
      <c r="G7" s="116" t="inlineStr">
        <is>
          <t>Classe 0</t>
        </is>
      </c>
      <c r="H7" s="12" t="n"/>
      <c r="I7" s="115" t="n"/>
      <c r="J7" s="116" t="inlineStr">
        <is>
          <t>Liberação</t>
        </is>
      </c>
      <c r="K7" s="116" t="inlineStr">
        <is>
          <t>T. Máxima</t>
        </is>
      </c>
      <c r="L7" s="116" t="inlineStr">
        <is>
          <t>Domínio</t>
        </is>
      </c>
      <c r="M7" s="116" t="inlineStr">
        <is>
          <t>Passivas</t>
        </is>
      </c>
      <c r="N7" s="12" t="n"/>
      <c r="O7" s="115" t="n"/>
      <c r="P7" s="116" t="inlineStr">
        <is>
          <t>Aptidões</t>
        </is>
      </c>
      <c r="Q7" s="116" t="inlineStr">
        <is>
          <t>Pactos</t>
        </is>
      </c>
      <c r="R7" s="117" t="inlineStr">
        <is>
          <t>← clique num nome para ir à seção</t>
        </is>
      </c>
      <c r="U7" s="115" t="n"/>
    </row>
    <row r="8">
      <c r="A8" s="45" t="inlineStr">
        <is>
          <t>PROJETO M</t>
        </is>
      </c>
      <c r="B8" s="17" t="n"/>
      <c r="C8" s="115" t="n"/>
      <c r="D8" s="115" t="n"/>
      <c r="E8" s="115" t="n"/>
      <c r="F8" s="115" t="n"/>
      <c r="G8" s="115" t="n"/>
      <c r="H8" s="115" t="n"/>
      <c r="I8" s="115" t="n"/>
      <c r="J8" s="115" t="n"/>
      <c r="K8" s="115" t="n"/>
      <c r="L8" s="115" t="n"/>
      <c r="M8" s="115" t="n"/>
      <c r="N8" s="115" t="n"/>
      <c r="O8" s="115" t="n"/>
      <c r="P8" s="115" t="n"/>
      <c r="Q8" s="115" t="n"/>
      <c r="R8" s="115" t="n"/>
      <c r="S8" s="115" t="n"/>
      <c r="T8" s="115" t="n"/>
      <c r="U8" s="115" t="n"/>
    </row>
    <row r="9">
      <c r="B9" s="17" t="n"/>
      <c r="C9" s="115" t="n"/>
      <c r="D9" s="118" t="inlineStr">
        <is>
          <t>TÉCNICA</t>
        </is>
      </c>
      <c r="E9" s="14" t="n"/>
      <c r="F9" s="14" t="n"/>
      <c r="G9" s="14" t="n"/>
      <c r="H9" s="15" t="n"/>
      <c r="I9" s="119" t="inlineStr">
        <is>
          <t>o Fundamento, escrito na criação</t>
        </is>
      </c>
      <c r="J9" s="14" t="n"/>
      <c r="K9" s="14" t="n"/>
      <c r="L9" s="14" t="n"/>
      <c r="M9" s="14" t="n"/>
      <c r="N9" s="14" t="n"/>
      <c r="O9" s="14" t="n"/>
      <c r="P9" s="14" t="n"/>
      <c r="Q9" s="14" t="n"/>
      <c r="R9" s="14" t="n"/>
      <c r="S9" s="14" t="n"/>
      <c r="T9" s="15" t="n"/>
      <c r="U9" s="115" t="n"/>
    </row>
    <row r="10">
      <c r="B10" s="17" t="n"/>
      <c r="C10" s="115" t="n"/>
      <c r="D10" s="18" t="n"/>
      <c r="E10" s="19" t="n"/>
      <c r="F10" s="19" t="n"/>
      <c r="G10" s="19" t="n"/>
      <c r="H10" s="20" t="n"/>
      <c r="I10" s="18" t="n"/>
      <c r="J10" s="19" t="n"/>
      <c r="K10" s="19" t="n"/>
      <c r="L10" s="19" t="n"/>
      <c r="M10" s="19" t="n"/>
      <c r="N10" s="19" t="n"/>
      <c r="O10" s="19" t="n"/>
      <c r="P10" s="19" t="n"/>
      <c r="Q10" s="19" t="n"/>
      <c r="R10" s="19" t="n"/>
      <c r="S10" s="19" t="n"/>
      <c r="T10" s="20" t="n"/>
      <c r="U10" s="115" t="n"/>
    </row>
    <row r="11" outlineLevel="1">
      <c r="B11" s="17" t="n"/>
      <c r="C11" s="115" t="n"/>
      <c r="D11" s="52" t="inlineStr">
        <is>
          <t>NOME DA TÉCNICA</t>
        </is>
      </c>
      <c r="E11" s="11" t="n"/>
      <c r="F11" s="11" t="n"/>
      <c r="G11" s="11" t="n"/>
      <c r="H11" s="12" t="n"/>
      <c r="I11" s="115" t="n"/>
      <c r="J11" s="52" t="inlineStr">
        <is>
          <t>TIPO DE DANO</t>
        </is>
      </c>
      <c r="K11" s="12" t="n"/>
      <c r="L11" s="52" t="inlineStr">
        <is>
          <t>ATRIBUTO DA TÉCNICA</t>
        </is>
      </c>
      <c r="M11" s="11" t="n"/>
      <c r="N11" s="12" t="n"/>
      <c r="O11" s="115" t="n"/>
      <c r="P11" s="52" t="inlineStr">
        <is>
          <t>CONJURAÇÃO</t>
        </is>
      </c>
      <c r="Q11" s="12" t="n"/>
      <c r="R11" s="52" t="inlineStr">
        <is>
          <t>CD</t>
        </is>
      </c>
      <c r="S11" s="11" t="n"/>
      <c r="T11" s="12" t="n"/>
      <c r="U11" s="115" t="n"/>
    </row>
    <row r="12" outlineLevel="1">
      <c r="B12" s="17" t="n"/>
      <c r="C12" s="115" t="n"/>
      <c r="D12" s="80" t="n"/>
      <c r="E12" s="14" t="n"/>
      <c r="F12" s="14" t="n"/>
      <c r="G12" s="14" t="n"/>
      <c r="H12" s="15" t="n"/>
      <c r="I12" s="115" t="n"/>
      <c r="J12" s="80" t="n"/>
      <c r="K12" s="15" t="n"/>
      <c r="L12" s="80">
        <f>FICHA!$Z$51</f>
        <v/>
      </c>
      <c r="M12" s="14" t="n"/>
      <c r="N12" s="15" t="n"/>
      <c r="O12" s="115" t="n"/>
      <c r="P12" s="89">
        <f>FICHA!$O$47</f>
        <v/>
      </c>
      <c r="Q12" s="15" t="n"/>
      <c r="R12" s="89">
        <f>FICHA!$D$47</f>
        <v/>
      </c>
      <c r="S12" s="14" t="n"/>
      <c r="T12" s="15" t="n"/>
      <c r="U12" s="115" t="n"/>
    </row>
    <row r="13" outlineLevel="1">
      <c r="B13" s="17" t="n"/>
      <c r="C13" s="115" t="n"/>
      <c r="D13" s="18" t="n"/>
      <c r="E13" s="19" t="n"/>
      <c r="F13" s="19" t="n"/>
      <c r="G13" s="19" t="n"/>
      <c r="H13" s="20" t="n"/>
      <c r="I13" s="115" t="n"/>
      <c r="J13" s="18" t="n"/>
      <c r="K13" s="20" t="n"/>
      <c r="L13" s="18" t="n"/>
      <c r="M13" s="19" t="n"/>
      <c r="N13" s="20" t="n"/>
      <c r="O13" s="115" t="n"/>
      <c r="P13" s="18" t="n"/>
      <c r="Q13" s="20" t="n"/>
      <c r="R13" s="18" t="n"/>
      <c r="S13" s="19" t="n"/>
      <c r="T13" s="20" t="n"/>
      <c r="U13" s="115" t="n"/>
    </row>
    <row r="14" outlineLevel="1">
      <c r="B14" s="17" t="n"/>
      <c r="C14" s="115" t="n"/>
      <c r="D14" s="115" t="n"/>
      <c r="E14" s="115" t="n"/>
      <c r="F14" s="115" t="n"/>
      <c r="G14" s="115" t="n"/>
      <c r="H14" s="115" t="n"/>
      <c r="I14" s="115" t="n"/>
      <c r="J14" s="115" t="n"/>
      <c r="K14" s="115" t="n"/>
      <c r="L14" s="115" t="n"/>
      <c r="M14" s="115" t="n"/>
      <c r="N14" s="115" t="n"/>
      <c r="O14" s="115" t="n"/>
      <c r="P14" s="115" t="n"/>
      <c r="Q14" s="115" t="n"/>
      <c r="R14" s="115" t="n"/>
      <c r="S14" s="115" t="n"/>
      <c r="T14" s="115" t="n"/>
      <c r="U14" s="115" t="n"/>
    </row>
    <row r="15" outlineLevel="1">
      <c r="B15" s="17" t="n"/>
      <c r="C15" s="115" t="n"/>
      <c r="D15" s="52" t="inlineStr">
        <is>
          <t>REGRA</t>
        </is>
      </c>
      <c r="E15" s="11" t="n"/>
      <c r="F15" s="11" t="n"/>
      <c r="G15" s="11" t="n"/>
      <c r="H15" s="11" t="n"/>
      <c r="I15" s="11" t="n"/>
      <c r="J15" s="11" t="n"/>
      <c r="K15" s="11" t="n"/>
      <c r="L15" s="11" t="n"/>
      <c r="M15" s="11" t="n"/>
      <c r="N15" s="11" t="n"/>
      <c r="O15" s="11" t="n"/>
      <c r="P15" s="11" t="n"/>
      <c r="Q15" s="11" t="n"/>
      <c r="R15" s="11" t="n"/>
      <c r="S15" s="11" t="n"/>
      <c r="T15" s="12" t="n"/>
      <c r="U15" s="115" t="n"/>
    </row>
    <row r="16" outlineLevel="1">
      <c r="B16" s="17" t="n"/>
      <c r="C16" s="115" t="n"/>
      <c r="D16" s="120" t="n"/>
      <c r="E16" s="14" t="n"/>
      <c r="F16" s="14" t="n"/>
      <c r="G16" s="14" t="n"/>
      <c r="H16" s="14" t="n"/>
      <c r="I16" s="14" t="n"/>
      <c r="J16" s="14" t="n"/>
      <c r="K16" s="14" t="n"/>
      <c r="L16" s="14" t="n"/>
      <c r="M16" s="14" t="n"/>
      <c r="N16" s="14" t="n"/>
      <c r="O16" s="14" t="n"/>
      <c r="P16" s="14" t="n"/>
      <c r="Q16" s="14" t="n"/>
      <c r="R16" s="14" t="n"/>
      <c r="S16" s="14" t="n"/>
      <c r="T16" s="15" t="n"/>
      <c r="U16" s="115" t="n"/>
    </row>
    <row r="17" outlineLevel="1">
      <c r="B17" s="17" t="n"/>
      <c r="C17" s="115" t="n"/>
      <c r="D17" s="18" t="n"/>
      <c r="E17" s="19" t="n"/>
      <c r="F17" s="19" t="n"/>
      <c r="G17" s="19" t="n"/>
      <c r="H17" s="19" t="n"/>
      <c r="I17" s="19" t="n"/>
      <c r="J17" s="19" t="n"/>
      <c r="K17" s="19" t="n"/>
      <c r="L17" s="19" t="n"/>
      <c r="M17" s="19" t="n"/>
      <c r="N17" s="19" t="n"/>
      <c r="O17" s="19" t="n"/>
      <c r="P17" s="19" t="n"/>
      <c r="Q17" s="19" t="n"/>
      <c r="R17" s="19" t="n"/>
      <c r="S17" s="19" t="n"/>
      <c r="T17" s="20" t="n"/>
      <c r="U17" s="115" t="n"/>
    </row>
    <row r="18" outlineLevel="1">
      <c r="B18" s="17" t="n"/>
      <c r="C18" s="115" t="n"/>
      <c r="D18" s="115" t="n"/>
      <c r="E18" s="115" t="n"/>
      <c r="F18" s="115" t="n"/>
      <c r="G18" s="115" t="n"/>
      <c r="H18" s="115" t="n"/>
      <c r="I18" s="115" t="n"/>
      <c r="J18" s="115" t="n"/>
      <c r="K18" s="115" t="n"/>
      <c r="L18" s="115" t="n"/>
      <c r="M18" s="115" t="n"/>
      <c r="N18" s="115" t="n"/>
      <c r="O18" s="115" t="n"/>
      <c r="P18" s="115" t="n"/>
      <c r="Q18" s="115" t="n"/>
      <c r="R18" s="115" t="n"/>
      <c r="S18" s="115" t="n"/>
      <c r="T18" s="115" t="n"/>
      <c r="U18" s="115" t="n"/>
    </row>
    <row r="19" outlineLevel="1">
      <c r="B19" s="17" t="n"/>
      <c r="C19" s="115" t="n"/>
      <c r="D19" s="52" t="inlineStr">
        <is>
          <t>DESCRIÇÃO</t>
        </is>
      </c>
      <c r="E19" s="11" t="n"/>
      <c r="F19" s="11" t="n"/>
      <c r="G19" s="11" t="n"/>
      <c r="H19" s="11" t="n"/>
      <c r="I19" s="11" t="n"/>
      <c r="J19" s="11" t="n"/>
      <c r="K19" s="12" t="n"/>
      <c r="L19" s="52" t="inlineStr">
        <is>
          <t>SELO</t>
        </is>
      </c>
      <c r="M19" s="11" t="n"/>
      <c r="N19" s="11" t="n"/>
      <c r="O19" s="11" t="n"/>
      <c r="P19" s="11" t="n"/>
      <c r="Q19" s="11" t="n"/>
      <c r="R19" s="11" t="n"/>
      <c r="S19" s="11" t="n"/>
      <c r="T19" s="12" t="n"/>
      <c r="U19" s="115" t="n"/>
    </row>
    <row r="20" outlineLevel="1">
      <c r="B20" s="17" t="n"/>
      <c r="C20" s="115" t="n"/>
      <c r="D20" s="120" t="n"/>
      <c r="E20" s="14" t="n"/>
      <c r="F20" s="14" t="n"/>
      <c r="G20" s="14" t="n"/>
      <c r="H20" s="14" t="n"/>
      <c r="I20" s="14" t="n"/>
      <c r="J20" s="14" t="n"/>
      <c r="K20" s="15" t="n"/>
      <c r="L20" s="120" t="n"/>
      <c r="M20" s="14" t="n"/>
      <c r="N20" s="14" t="n"/>
      <c r="O20" s="14" t="n"/>
      <c r="P20" s="14" t="n"/>
      <c r="Q20" s="14" t="n"/>
      <c r="R20" s="14" t="n"/>
      <c r="S20" s="14" t="n"/>
      <c r="T20" s="15" t="n"/>
      <c r="U20" s="115" t="n"/>
    </row>
    <row r="21" outlineLevel="1">
      <c r="B21" s="17" t="n"/>
      <c r="C21" s="115" t="n"/>
      <c r="D21" s="16" t="n"/>
      <c r="K21" s="17" t="n"/>
      <c r="L21" s="18" t="n"/>
      <c r="M21" s="19" t="n"/>
      <c r="N21" s="19" t="n"/>
      <c r="O21" s="19" t="n"/>
      <c r="P21" s="19" t="n"/>
      <c r="Q21" s="19" t="n"/>
      <c r="R21" s="19" t="n"/>
      <c r="S21" s="19" t="n"/>
      <c r="T21" s="20" t="n"/>
      <c r="U21" s="115" t="n"/>
    </row>
    <row r="22" outlineLevel="1">
      <c r="B22" s="17" t="n"/>
      <c r="C22" s="115" t="n"/>
      <c r="D22" s="16" t="n"/>
      <c r="K22" s="17" t="n"/>
      <c r="L22" s="52" t="inlineStr">
        <is>
          <t>PASSIVA LIVRE</t>
        </is>
      </c>
      <c r="M22" s="11" t="n"/>
      <c r="N22" s="11" t="n"/>
      <c r="O22" s="11" t="n"/>
      <c r="P22" s="11" t="n"/>
      <c r="Q22" s="11" t="n"/>
      <c r="R22" s="11" t="n"/>
      <c r="S22" s="11" t="n"/>
      <c r="T22" s="12" t="n"/>
      <c r="U22" s="115" t="n"/>
    </row>
    <row r="23" outlineLevel="1">
      <c r="B23" s="17" t="n"/>
      <c r="C23" s="115" t="n"/>
      <c r="D23" s="16" t="n"/>
      <c r="K23" s="17" t="n"/>
      <c r="L23" s="120" t="n"/>
      <c r="M23" s="14" t="n"/>
      <c r="N23" s="14" t="n"/>
      <c r="O23" s="14" t="n"/>
      <c r="P23" s="14" t="n"/>
      <c r="Q23" s="14" t="n"/>
      <c r="R23" s="14" t="n"/>
      <c r="S23" s="14" t="n"/>
      <c r="T23" s="15" t="n"/>
      <c r="U23" s="115" t="n"/>
    </row>
    <row r="24" outlineLevel="1">
      <c r="B24" s="17" t="n"/>
      <c r="C24" s="115" t="n"/>
      <c r="D24" s="18" t="n"/>
      <c r="E24" s="19" t="n"/>
      <c r="F24" s="19" t="n"/>
      <c r="G24" s="19" t="n"/>
      <c r="H24" s="19" t="n"/>
      <c r="I24" s="19" t="n"/>
      <c r="J24" s="19" t="n"/>
      <c r="K24" s="20" t="n"/>
      <c r="L24" s="18" t="n"/>
      <c r="M24" s="19" t="n"/>
      <c r="N24" s="19" t="n"/>
      <c r="O24" s="19" t="n"/>
      <c r="P24" s="19" t="n"/>
      <c r="Q24" s="19" t="n"/>
      <c r="R24" s="19" t="n"/>
      <c r="S24" s="19" t="n"/>
      <c r="T24" s="20" t="n"/>
      <c r="U24" s="115" t="n"/>
    </row>
    <row r="25" outlineLevel="1">
      <c r="B25" s="17" t="n"/>
      <c r="C25" s="115" t="n"/>
      <c r="D25" s="115" t="n"/>
      <c r="E25" s="115" t="n"/>
      <c r="F25" s="115" t="n"/>
      <c r="G25" s="115" t="n"/>
      <c r="H25" s="115" t="n"/>
      <c r="I25" s="115" t="n"/>
      <c r="J25" s="115" t="n"/>
      <c r="K25" s="115" t="n"/>
      <c r="L25" s="115" t="n"/>
      <c r="M25" s="115" t="n"/>
      <c r="N25" s="115" t="n"/>
      <c r="O25" s="115" t="n"/>
      <c r="P25" s="115" t="n"/>
      <c r="Q25" s="115" t="n"/>
      <c r="R25" s="115" t="n"/>
      <c r="S25" s="115" t="n"/>
      <c r="T25" s="115" t="n"/>
      <c r="U25" s="115" t="n"/>
    </row>
    <row r="26" outlineLevel="1">
      <c r="B26" s="17" t="n"/>
      <c r="C26" s="115" t="n"/>
      <c r="D26" s="52" t="inlineStr">
        <is>
          <t>REGRA PRÓPRIA</t>
        </is>
      </c>
      <c r="E26" s="11" t="n"/>
      <c r="F26" s="11" t="n"/>
      <c r="G26" s="11" t="n"/>
      <c r="H26" s="11" t="n"/>
      <c r="I26" s="11" t="n"/>
      <c r="J26" s="11" t="n"/>
      <c r="K26" s="11" t="n"/>
      <c r="L26" s="11" t="n"/>
      <c r="M26" s="11" t="n"/>
      <c r="N26" s="12" t="n"/>
      <c r="O26" s="115" t="n"/>
      <c r="P26" s="52" t="inlineStr">
        <is>
          <t>CLASSE PASSIVA</t>
        </is>
      </c>
      <c r="Q26" s="12" t="n"/>
      <c r="R26" s="52" t="inlineStr">
        <is>
          <t>ESPAÇOS</t>
        </is>
      </c>
      <c r="S26" s="11" t="n"/>
      <c r="T26" s="12" t="n"/>
      <c r="U26" s="115" t="n"/>
    </row>
    <row r="27" outlineLevel="1">
      <c r="B27" s="17" t="n"/>
      <c r="C27" s="115" t="n"/>
      <c r="D27" s="120" t="n"/>
      <c r="E27" s="14" t="n"/>
      <c r="F27" s="14" t="n"/>
      <c r="G27" s="14" t="n"/>
      <c r="H27" s="14" t="n"/>
      <c r="I27" s="14" t="n"/>
      <c r="J27" s="14" t="n"/>
      <c r="K27" s="14" t="n"/>
      <c r="L27" s="14" t="n"/>
      <c r="M27" s="14" t="n"/>
      <c r="N27" s="15" t="n"/>
      <c r="O27" s="115" t="n"/>
      <c r="P27" s="121" t="n"/>
      <c r="Q27" s="15" t="n"/>
      <c r="R27" s="121">
        <f>IF(DADOS_AM!$GH$16=0,"—",IF(IFERROR(VLOOKUP(DADOS_AM!$GH$16,DADOS_AM!$BN$2:$BO$4,2,FALSE),0)&gt;DADOS_AM!$GH$2,"⚠ nível "&amp;VLOOKUP(DADOS_AM!$GH$16,DADOS_AM!$BN$2:$BO$4,2,FALSE),IF(DADOS_AM!$GH$16&gt;1,DADOS_AM!$GH$16-1,"de graça")))</f>
        <v/>
      </c>
      <c r="S27" s="14" t="n"/>
      <c r="T27" s="15" t="n"/>
      <c r="U27" s="115" t="n"/>
    </row>
    <row r="28" outlineLevel="1">
      <c r="B28" s="17" t="n"/>
      <c r="C28" s="115" t="n"/>
      <c r="D28" s="18" t="n"/>
      <c r="E28" s="19" t="n"/>
      <c r="F28" s="19" t="n"/>
      <c r="G28" s="19" t="n"/>
      <c r="H28" s="19" t="n"/>
      <c r="I28" s="19" t="n"/>
      <c r="J28" s="19" t="n"/>
      <c r="K28" s="19" t="n"/>
      <c r="L28" s="19" t="n"/>
      <c r="M28" s="19" t="n"/>
      <c r="N28" s="20" t="n"/>
      <c r="O28" s="115" t="n"/>
      <c r="P28" s="18" t="n"/>
      <c r="Q28" s="20" t="n"/>
      <c r="R28" s="18" t="n"/>
      <c r="S28" s="19" t="n"/>
      <c r="T28" s="20" t="n"/>
      <c r="U28" s="115" t="n"/>
    </row>
    <row r="29" outlineLevel="1">
      <c r="B29" s="17" t="n"/>
      <c r="C29" s="115" t="n"/>
      <c r="D29" s="115" t="n"/>
      <c r="E29" s="115" t="n"/>
      <c r="F29" s="115" t="n"/>
      <c r="G29" s="115" t="n"/>
      <c r="H29" s="115" t="n"/>
      <c r="I29" s="115" t="n"/>
      <c r="J29" s="115" t="n"/>
      <c r="K29" s="115" t="n"/>
      <c r="L29" s="115" t="n"/>
      <c r="M29" s="115" t="n"/>
      <c r="N29" s="115" t="n"/>
      <c r="O29" s="115" t="n"/>
      <c r="P29" s="115" t="n"/>
      <c r="Q29" s="115" t="n"/>
      <c r="R29" s="115" t="n"/>
      <c r="S29" s="115" t="n"/>
      <c r="T29" s="115" t="n"/>
      <c r="U29" s="115" t="n"/>
    </row>
    <row r="30" outlineLevel="1">
      <c r="A30" s="8" t="n"/>
      <c r="B30" s="22" t="n"/>
      <c r="C30" s="115" t="n"/>
      <c r="D30" s="52" t="inlineStr">
        <is>
          <t>ALCANCE</t>
        </is>
      </c>
      <c r="E30" s="52" t="inlineStr">
        <is>
          <t>ÁREA</t>
        </is>
      </c>
      <c r="F30" s="52" t="inlineStr">
        <is>
          <t>MIRA</t>
        </is>
      </c>
      <c r="G30" s="52" t="inlineStr">
        <is>
          <t>CONTROLE</t>
        </is>
      </c>
      <c r="H30" s="12" t="n"/>
      <c r="I30" s="115" t="n"/>
      <c r="J30" s="52" t="inlineStr">
        <is>
          <t>AUXILIARES</t>
        </is>
      </c>
      <c r="K30" s="52" t="inlineStr">
        <is>
          <t>CASTIGO</t>
        </is>
      </c>
      <c r="L30" s="52" t="inlineStr">
        <is>
          <t>TEMPO</t>
        </is>
      </c>
      <c r="M30" s="52" t="inlineStr">
        <is>
          <t>MARCA</t>
        </is>
      </c>
      <c r="N30" s="12" t="n"/>
      <c r="O30" s="115" t="n"/>
      <c r="P30" s="52" t="inlineStr">
        <is>
          <t>AMPARO</t>
        </is>
      </c>
      <c r="Q30" s="52" t="inlineStr">
        <is>
          <t>LIVRES · FECHADAS</t>
        </is>
      </c>
      <c r="R30" s="11" t="n"/>
      <c r="S30" s="11" t="n"/>
      <c r="T30" s="12" t="n"/>
      <c r="U30" s="115" t="n"/>
    </row>
    <row r="31" outlineLevel="1">
      <c r="A31" s="8" t="n"/>
      <c r="B31" s="22" t="n"/>
      <c r="C31" s="115" t="n"/>
      <c r="D31" s="121" t="inlineStr">
        <is>
          <t>Neutra</t>
        </is>
      </c>
      <c r="E31" s="121" t="inlineStr">
        <is>
          <t>Neutra</t>
        </is>
      </c>
      <c r="F31" s="121" t="inlineStr">
        <is>
          <t>Neutra</t>
        </is>
      </c>
      <c r="G31" s="121" t="inlineStr">
        <is>
          <t>Neutra</t>
        </is>
      </c>
      <c r="H31" s="12" t="n"/>
      <c r="I31" s="115" t="n"/>
      <c r="J31" s="121" t="inlineStr">
        <is>
          <t>Neutra</t>
        </is>
      </c>
      <c r="K31" s="121" t="inlineStr">
        <is>
          <t>Neutra</t>
        </is>
      </c>
      <c r="L31" s="121" t="inlineStr">
        <is>
          <t>Neutra</t>
        </is>
      </c>
      <c r="M31" s="121" t="inlineStr">
        <is>
          <t>Neutra</t>
        </is>
      </c>
      <c r="N31" s="12" t="n"/>
      <c r="O31" s="115" t="n"/>
      <c r="P31" s="121" t="inlineStr">
        <is>
          <t>Neutra</t>
        </is>
      </c>
      <c r="Q31" s="121">
        <f>IF(OR(DADOS_AM!$GH$30&lt;&gt;2,DADOS_AM!$GH$31&lt;&gt;3),"⚠ ","")&amp;DADOS_AM!$GH$30&amp;" de 2 · "&amp;DADOS_AM!$GH$31&amp;" de 3"</f>
        <v/>
      </c>
      <c r="R31" s="11" t="n"/>
      <c r="S31" s="11" t="n"/>
      <c r="T31" s="12" t="n"/>
      <c r="U31" s="115" t="n"/>
    </row>
    <row r="32">
      <c r="A32" s="8" t="n"/>
      <c r="B32" s="22" t="n"/>
      <c r="C32" s="115" t="n"/>
      <c r="D32" s="115" t="n"/>
      <c r="E32" s="115" t="n"/>
      <c r="F32" s="115" t="n"/>
      <c r="G32" s="115" t="n"/>
      <c r="H32" s="115" t="n"/>
      <c r="I32" s="115" t="n"/>
      <c r="J32" s="115" t="n"/>
      <c r="K32" s="115" t="n"/>
      <c r="L32" s="115" t="n"/>
      <c r="M32" s="115" t="n"/>
      <c r="N32" s="115" t="n"/>
      <c r="O32" s="115" t="n"/>
      <c r="P32" s="115" t="n"/>
      <c r="Q32" s="115" t="n"/>
      <c r="R32" s="115" t="n"/>
      <c r="S32" s="115" t="n"/>
      <c r="T32" s="115" t="n"/>
      <c r="U32" s="115" t="n"/>
    </row>
    <row r="33">
      <c r="A33" s="45" t="inlineStr">
        <is>
          <t>FICHA AMALDIÇOADA</t>
        </is>
      </c>
      <c r="B33" s="17" t="n"/>
      <c r="C33" s="115" t="n"/>
      <c r="D33" s="118" t="inlineStr">
        <is>
          <t>ORÇAMENTO</t>
        </is>
      </c>
      <c r="E33" s="14" t="n"/>
      <c r="F33" s="14" t="n"/>
      <c r="G33" s="14" t="n"/>
      <c r="H33" s="15" t="n"/>
      <c r="I33" s="119">
        <f>"o que o nível "&amp;DADOS_AM!$GH$2&amp;" dá, e onde foi gasto"</f>
        <v/>
      </c>
      <c r="J33" s="14" t="n"/>
      <c r="K33" s="14" t="n"/>
      <c r="L33" s="14" t="n"/>
      <c r="M33" s="14" t="n"/>
      <c r="N33" s="14" t="n"/>
      <c r="O33" s="14" t="n"/>
      <c r="P33" s="14" t="n"/>
      <c r="Q33" s="14" t="n"/>
      <c r="R33" s="14" t="n"/>
      <c r="S33" s="14" t="n"/>
      <c r="T33" s="15" t="n"/>
      <c r="U33" s="115" t="n"/>
    </row>
    <row r="34">
      <c r="B34" s="17" t="n"/>
      <c r="C34" s="115" t="n"/>
      <c r="D34" s="18" t="n"/>
      <c r="E34" s="19" t="n"/>
      <c r="F34" s="19" t="n"/>
      <c r="G34" s="19" t="n"/>
      <c r="H34" s="20" t="n"/>
      <c r="I34" s="18" t="n"/>
      <c r="J34" s="19" t="n"/>
      <c r="K34" s="19" t="n"/>
      <c r="L34" s="19" t="n"/>
      <c r="M34" s="19" t="n"/>
      <c r="N34" s="19" t="n"/>
      <c r="O34" s="19" t="n"/>
      <c r="P34" s="19" t="n"/>
      <c r="Q34" s="19" t="n"/>
      <c r="R34" s="19" t="n"/>
      <c r="S34" s="19" t="n"/>
      <c r="T34" s="20" t="n"/>
      <c r="U34" s="115" t="n"/>
    </row>
    <row r="35" outlineLevel="1">
      <c r="B35" s="17" t="n"/>
      <c r="C35" s="115" t="n"/>
      <c r="D35" s="52" t="inlineStr">
        <is>
          <t>MAIOR CLASSE</t>
        </is>
      </c>
      <c r="E35" s="12" t="n"/>
      <c r="F35" s="52" t="inlineStr">
        <is>
          <t>ESPAÇOS</t>
        </is>
      </c>
      <c r="G35" s="11" t="n"/>
      <c r="H35" s="12" t="n"/>
      <c r="I35" s="115" t="n"/>
      <c r="J35" s="52" t="inlineStr">
        <is>
          <t>DO LEQUE</t>
        </is>
      </c>
      <c r="K35" s="12" t="n"/>
      <c r="L35" s="52" t="inlineStr">
        <is>
          <t>EM FEITIÇOS</t>
        </is>
      </c>
      <c r="M35" s="11" t="n"/>
      <c r="N35" s="12" t="n"/>
      <c r="O35" s="115" t="n"/>
      <c r="P35" s="52" t="inlineStr">
        <is>
          <t>EM PASSIVAS</t>
        </is>
      </c>
      <c r="Q35" s="52" t="inlineStr">
        <is>
          <t>NO DOMÍNIO</t>
        </is>
      </c>
      <c r="R35" s="52" t="inlineStr">
        <is>
          <t>LIVRES</t>
        </is>
      </c>
      <c r="S35" s="11" t="n"/>
      <c r="T35" s="12" t="n"/>
      <c r="U35" s="115" t="n"/>
    </row>
    <row r="36" outlineLevel="1">
      <c r="B36" s="17" t="n"/>
      <c r="C36" s="115" t="n"/>
      <c r="D36" s="89">
        <f>DADOS_AM!$GH$4</f>
        <v/>
      </c>
      <c r="E36" s="15" t="n"/>
      <c r="F36" s="89">
        <f>DADOS_AM!$GH$14</f>
        <v/>
      </c>
      <c r="G36" s="14" t="n"/>
      <c r="H36" s="15" t="n"/>
      <c r="I36" s="115" t="n"/>
      <c r="J36" s="89">
        <f>"+"&amp;DADOS_AM!$GH$8</f>
        <v/>
      </c>
      <c r="K36" s="15" t="n"/>
      <c r="L36" s="89">
        <f>DADOS_AM!$GH$15</f>
        <v/>
      </c>
      <c r="M36" s="14" t="n"/>
      <c r="N36" s="15" t="n"/>
      <c r="O36" s="115" t="n"/>
      <c r="P36" s="89">
        <f>IF(DADOS_AM!$GH$20=1,"⚠ ","")&amp;DADOS_AM!$GH$18</f>
        <v/>
      </c>
      <c r="Q36" s="89">
        <f>IF(DADOS_AM!$GH$20=1,"⚠ ","")&amp;DADOS_AM!$GH$19</f>
        <v/>
      </c>
      <c r="R36" s="89">
        <f>IF(DADOS_AM!$GH$22&lt;0,"⚠ ","")&amp;DADOS_AM!$GH$22</f>
        <v/>
      </c>
      <c r="S36" s="14" t="n"/>
      <c r="T36" s="15" t="n"/>
      <c r="U36" s="115" t="n"/>
    </row>
    <row r="37" outlineLevel="1">
      <c r="B37" s="17" t="n"/>
      <c r="C37" s="115" t="n"/>
      <c r="D37" s="18" t="n"/>
      <c r="E37" s="20" t="n"/>
      <c r="F37" s="18" t="n"/>
      <c r="G37" s="19" t="n"/>
      <c r="H37" s="20" t="n"/>
      <c r="I37" s="115" t="n"/>
      <c r="J37" s="18" t="n"/>
      <c r="K37" s="20" t="n"/>
      <c r="L37" s="18" t="n"/>
      <c r="M37" s="19" t="n"/>
      <c r="N37" s="20" t="n"/>
      <c r="O37" s="115" t="n"/>
      <c r="P37" s="122" t="n"/>
      <c r="Q37" s="122" t="n"/>
      <c r="R37" s="18" t="n"/>
      <c r="S37" s="19" t="n"/>
      <c r="T37" s="20" t="n"/>
      <c r="U37" s="115" t="n"/>
    </row>
    <row r="38" outlineLevel="1">
      <c r="B38" s="17" t="n"/>
      <c r="C38" s="115" t="n"/>
      <c r="D38" s="115" t="n"/>
      <c r="E38" s="115" t="n"/>
      <c r="F38" s="115" t="n"/>
      <c r="G38" s="115" t="n"/>
      <c r="H38" s="115" t="n"/>
      <c r="I38" s="115" t="n"/>
      <c r="J38" s="115" t="n"/>
      <c r="K38" s="115" t="n"/>
      <c r="L38" s="115" t="n"/>
      <c r="M38" s="115" t="n"/>
      <c r="N38" s="115" t="n"/>
      <c r="O38" s="115" t="n"/>
      <c r="P38" s="115" t="n"/>
      <c r="Q38" s="115" t="n"/>
      <c r="R38" s="115" t="n"/>
      <c r="S38" s="115" t="n"/>
      <c r="T38" s="115" t="n"/>
      <c r="U38" s="115" t="n"/>
    </row>
    <row r="39" outlineLevel="1">
      <c r="B39" s="17" t="n"/>
      <c r="C39" s="115" t="n"/>
      <c r="D39" s="52" t="inlineStr">
        <is>
          <t>PREÇOS DA</t>
        </is>
      </c>
      <c r="E39" s="52" t="inlineStr">
        <is>
          <t>PONTOS E PE</t>
        </is>
      </c>
      <c r="F39" s="52" t="inlineStr">
        <is>
          <t>LEVE</t>
        </is>
      </c>
      <c r="G39" s="52" t="inlineStr">
        <is>
          <t>MÉDIA</t>
        </is>
      </c>
      <c r="H39" s="12" t="n"/>
      <c r="I39" s="115" t="n"/>
      <c r="J39" s="52" t="inlineStr">
        <is>
          <t>PESADA</t>
        </is>
      </c>
      <c r="K39" s="52" t="inlineStr">
        <is>
          <t>DEVOLUÇÃO MÁX.</t>
        </is>
      </c>
      <c r="L39" s="52" t="inlineStr">
        <is>
          <t>TETO DE DADOS</t>
        </is>
      </c>
      <c r="M39" s="52" t="inlineStr">
        <is>
          <t>MELHORIAS</t>
        </is>
      </c>
      <c r="N39" s="12" t="n"/>
      <c r="O39" s="115" t="n"/>
      <c r="P39" s="52" t="inlineStr">
        <is>
          <t>CLASSE 0</t>
        </is>
      </c>
      <c r="Q39" s="11" t="n"/>
      <c r="R39" s="11" t="n"/>
      <c r="S39" s="11" t="n"/>
      <c r="T39" s="12" t="n"/>
      <c r="U39" s="115" t="n"/>
    </row>
    <row r="40" outlineLevel="1">
      <c r="B40" s="17" t="n"/>
      <c r="C40" s="115" t="n"/>
      <c r="D40" s="123" t="n">
        <v>1</v>
      </c>
      <c r="E40" s="121">
        <f>3*DADOS_AM!$GH$29</f>
        <v/>
      </c>
      <c r="F40" s="121">
        <f>INDEX(DADOS_AM!$H$2:$O$8,DADOS_AM!$GH$29,2)</f>
        <v/>
      </c>
      <c r="G40" s="121">
        <f>INDEX(DADOS_AM!$H$2:$O$8,DADOS_AM!$GH$29,3)</f>
        <v/>
      </c>
      <c r="H40" s="12" t="n"/>
      <c r="I40" s="115" t="n"/>
      <c r="J40" s="121">
        <f>INDEX(DADOS_AM!$H$2:$O$8,DADOS_AM!$GH$29,4)</f>
        <v/>
      </c>
      <c r="K40" s="121">
        <f>2*DADOS_AM!$GH$29</f>
        <v/>
      </c>
      <c r="L40" s="121">
        <f>4*DADOS_AM!$GH$29</f>
        <v/>
      </c>
      <c r="M40" s="121">
        <f>INDEX(DADOS_AM!$H$2:$O$8,DADOS_AM!$GH$29,8)</f>
        <v/>
      </c>
      <c r="N40" s="12" t="n"/>
      <c r="O40" s="115" t="n"/>
      <c r="P40" s="121">
        <f>DADOS_AM!$GH$10&amp;" feitiços grátis · "&amp;DADOS_AM!$GH$11&amp;"d8 cada"</f>
        <v/>
      </c>
      <c r="Q40" s="11" t="n"/>
      <c r="R40" s="11" t="n"/>
      <c r="S40" s="11" t="n"/>
      <c r="T40" s="12" t="n"/>
      <c r="U40" s="115" t="n"/>
    </row>
    <row r="41">
      <c r="B41" s="17" t="n"/>
      <c r="C41" s="115" t="n"/>
      <c r="D41" s="115" t="n"/>
      <c r="E41" s="115" t="n"/>
      <c r="F41" s="115" t="n"/>
      <c r="G41" s="115" t="n"/>
      <c r="H41" s="115" t="n"/>
      <c r="I41" s="115" t="n"/>
      <c r="J41" s="115" t="n"/>
      <c r="K41" s="115" t="n"/>
      <c r="L41" s="115" t="n"/>
      <c r="M41" s="115" t="n"/>
      <c r="N41" s="115" t="n"/>
      <c r="O41" s="115" t="n"/>
      <c r="P41" s="115" t="n"/>
      <c r="Q41" s="115" t="n"/>
      <c r="R41" s="115" t="n"/>
      <c r="S41" s="115" t="n"/>
      <c r="T41" s="115" t="n"/>
      <c r="U41" s="115" t="n"/>
    </row>
    <row r="42">
      <c r="B42" s="17" t="n"/>
      <c r="C42" s="115" t="n"/>
      <c r="D42" s="118" t="inlineStr">
        <is>
          <t>FEITIÇOS</t>
        </is>
      </c>
      <c r="E42" s="14" t="n"/>
      <c r="F42" s="14" t="n"/>
      <c r="G42" s="14" t="n"/>
      <c r="H42" s="15" t="n"/>
      <c r="I42" s="119">
        <f>DADOS_AM!$GH$15&amp;" montados · cabem "&amp;MAX(0,DADOS_AM!$GH$21)&amp;" no nível "&amp;DADOS_AM!$GH$2&amp;" · 36 lugares na aba"</f>
        <v/>
      </c>
      <c r="J42" s="14" t="n"/>
      <c r="K42" s="14" t="n"/>
      <c r="L42" s="14" t="n"/>
      <c r="M42" s="14" t="n"/>
      <c r="N42" s="14" t="n"/>
      <c r="O42" s="14" t="n"/>
      <c r="P42" s="14" t="n"/>
      <c r="Q42" s="14" t="n"/>
      <c r="R42" s="14" t="n"/>
      <c r="S42" s="14" t="n"/>
      <c r="T42" s="15" t="n"/>
      <c r="U42" s="115" t="n"/>
    </row>
    <row r="43">
      <c r="B43" s="17" t="n"/>
      <c r="C43" s="115" t="n"/>
      <c r="D43" s="18" t="n"/>
      <c r="E43" s="19" t="n"/>
      <c r="F43" s="19" t="n"/>
      <c r="G43" s="19" t="n"/>
      <c r="H43" s="20" t="n"/>
      <c r="I43" s="18" t="n"/>
      <c r="J43" s="19" t="n"/>
      <c r="K43" s="19" t="n"/>
      <c r="L43" s="19" t="n"/>
      <c r="M43" s="19" t="n"/>
      <c r="N43" s="19" t="n"/>
      <c r="O43" s="19" t="n"/>
      <c r="P43" s="19" t="n"/>
      <c r="Q43" s="19" t="n"/>
      <c r="R43" s="19" t="n"/>
      <c r="S43" s="19" t="n"/>
      <c r="T43" s="20" t="n"/>
      <c r="U43" s="115" t="n"/>
    </row>
    <row r="44" outlineLevel="1">
      <c r="B44" s="17" t="n"/>
      <c r="C44" s="115" t="n"/>
      <c r="D44" s="115" t="n"/>
      <c r="E44" s="115" t="n"/>
      <c r="F44" s="115" t="n"/>
      <c r="G44" s="115" t="n"/>
      <c r="H44" s="115" t="n"/>
      <c r="I44" s="115" t="n"/>
      <c r="J44" s="115" t="n"/>
      <c r="K44" s="115" t="n"/>
      <c r="L44" s="115" t="n"/>
      <c r="M44" s="115" t="n"/>
      <c r="N44" s="115" t="n"/>
      <c r="O44" s="115" t="n"/>
      <c r="P44" s="115" t="n"/>
      <c r="Q44" s="115" t="n"/>
      <c r="R44" s="115" t="n"/>
      <c r="S44" s="115" t="n"/>
      <c r="T44" s="115" t="n"/>
      <c r="U44" s="115" t="n"/>
    </row>
    <row r="45" outlineLevel="1">
      <c r="B45" s="17" t="n"/>
      <c r="C45" s="115" t="n"/>
      <c r="D45" s="123" t="n">
        <v>1</v>
      </c>
      <c r="E45" s="124" t="n"/>
      <c r="F45" s="12" t="n"/>
      <c r="G45" s="125">
        <f>DADOS_AM!$FM$2</f>
        <v/>
      </c>
      <c r="H45" s="12" t="n"/>
      <c r="I45" s="115" t="n"/>
      <c r="J45" s="123" t="n">
        <v>1</v>
      </c>
      <c r="K45" s="124" t="n"/>
      <c r="L45" s="12" t="n"/>
      <c r="M45" s="125">
        <f>DADOS_AM!$FM$3</f>
        <v/>
      </c>
      <c r="N45" s="12" t="n"/>
      <c r="O45" s="115" t="n"/>
      <c r="P45" s="123" t="n">
        <v>1</v>
      </c>
      <c r="Q45" s="124" t="n"/>
      <c r="R45" s="12" t="n"/>
      <c r="S45" s="125">
        <f>DADOS_AM!$FM$4</f>
        <v/>
      </c>
      <c r="T45" s="12" t="n"/>
      <c r="U45" s="115" t="n"/>
    </row>
    <row r="46" outlineLevel="2">
      <c r="B46" s="17" t="n"/>
      <c r="C46" s="115" t="n"/>
      <c r="D46" s="52" t="inlineStr">
        <is>
          <t>COMO É</t>
        </is>
      </c>
      <c r="E46" s="11" t="n"/>
      <c r="F46" s="11" t="n"/>
      <c r="G46" s="11" t="n"/>
      <c r="H46" s="12" t="n"/>
      <c r="I46" s="115" t="n"/>
      <c r="J46" s="52" t="inlineStr">
        <is>
          <t>COMO É</t>
        </is>
      </c>
      <c r="K46" s="11" t="n"/>
      <c r="L46" s="11" t="n"/>
      <c r="M46" s="11" t="n"/>
      <c r="N46" s="12" t="n"/>
      <c r="O46" s="115" t="n"/>
      <c r="P46" s="52" t="inlineStr">
        <is>
          <t>COMO É</t>
        </is>
      </c>
      <c r="Q46" s="11" t="n"/>
      <c r="R46" s="11" t="n"/>
      <c r="S46" s="11" t="n"/>
      <c r="T46" s="12" t="n"/>
      <c r="U46" s="115" t="n"/>
    </row>
    <row r="47" outlineLevel="2">
      <c r="B47" s="17" t="n"/>
      <c r="C47" s="115" t="n"/>
      <c r="D47" s="120" t="n"/>
      <c r="E47" s="14" t="n"/>
      <c r="F47" s="14" t="n"/>
      <c r="G47" s="14" t="n"/>
      <c r="H47" s="15" t="n"/>
      <c r="I47" s="115" t="n"/>
      <c r="J47" s="120" t="n"/>
      <c r="K47" s="14" t="n"/>
      <c r="L47" s="14" t="n"/>
      <c r="M47" s="14" t="n"/>
      <c r="N47" s="15" t="n"/>
      <c r="O47" s="115" t="n"/>
      <c r="P47" s="120" t="n"/>
      <c r="Q47" s="14" t="n"/>
      <c r="R47" s="14" t="n"/>
      <c r="S47" s="14" t="n"/>
      <c r="T47" s="15" t="n"/>
      <c r="U47" s="115" t="n"/>
    </row>
    <row r="48" outlineLevel="2">
      <c r="B48" s="17" t="n"/>
      <c r="C48" s="115" t="n"/>
      <c r="D48" s="16" t="n"/>
      <c r="H48" s="17" t="n"/>
      <c r="I48" s="115" t="n"/>
      <c r="J48" s="16" t="n"/>
      <c r="N48" s="17" t="n"/>
      <c r="O48" s="115" t="n"/>
      <c r="P48" s="16" t="n"/>
      <c r="T48" s="17" t="n"/>
      <c r="U48" s="115" t="n"/>
    </row>
    <row r="49" outlineLevel="2">
      <c r="B49" s="17" t="n"/>
      <c r="C49" s="115" t="n"/>
      <c r="D49" s="16" t="n"/>
      <c r="H49" s="17" t="n"/>
      <c r="I49" s="115" t="n"/>
      <c r="J49" s="16" t="n"/>
      <c r="N49" s="17" t="n"/>
      <c r="O49" s="115" t="n"/>
      <c r="P49" s="16" t="n"/>
      <c r="T49" s="17" t="n"/>
      <c r="U49" s="115" t="n"/>
    </row>
    <row r="50" outlineLevel="2">
      <c r="B50" s="17" t="n"/>
      <c r="C50" s="115" t="n"/>
      <c r="D50" s="16" t="n"/>
      <c r="H50" s="17" t="n"/>
      <c r="I50" s="115" t="n"/>
      <c r="J50" s="16" t="n"/>
      <c r="N50" s="17" t="n"/>
      <c r="O50" s="115" t="n"/>
      <c r="P50" s="16" t="n"/>
      <c r="T50" s="17" t="n"/>
      <c r="U50" s="115" t="n"/>
    </row>
    <row r="51" outlineLevel="2">
      <c r="B51" s="17" t="n"/>
      <c r="C51" s="115" t="n"/>
      <c r="D51" s="18" t="n"/>
      <c r="E51" s="19" t="n"/>
      <c r="F51" s="19" t="n"/>
      <c r="G51" s="19" t="n"/>
      <c r="H51" s="20" t="n"/>
      <c r="I51" s="115" t="n"/>
      <c r="J51" s="18" t="n"/>
      <c r="K51" s="19" t="n"/>
      <c r="L51" s="19" t="n"/>
      <c r="M51" s="19" t="n"/>
      <c r="N51" s="20" t="n"/>
      <c r="O51" s="115" t="n"/>
      <c r="P51" s="18" t="n"/>
      <c r="Q51" s="19" t="n"/>
      <c r="R51" s="19" t="n"/>
      <c r="S51" s="19" t="n"/>
      <c r="T51" s="20" t="n"/>
      <c r="U51" s="115" t="n"/>
    </row>
    <row r="52" outlineLevel="1">
      <c r="A52" s="8" t="n"/>
      <c r="B52" s="22" t="n"/>
      <c r="C52" s="115" t="n"/>
      <c r="D52" s="121" t="inlineStr">
        <is>
          <t>Projétil</t>
        </is>
      </c>
      <c r="E52" s="65">
        <f>DADOS_AM!$FR$2</f>
        <v/>
      </c>
      <c r="F52" s="65">
        <f>DADOS_AM!$FO$2</f>
        <v/>
      </c>
      <c r="G52" s="121">
        <f>DADOS_AM!$FQ$2</f>
        <v/>
      </c>
      <c r="H52" s="12" t="n"/>
      <c r="I52" s="115" t="n"/>
      <c r="J52" s="121" t="inlineStr">
        <is>
          <t>Projétil</t>
        </is>
      </c>
      <c r="K52" s="65">
        <f>DADOS_AM!$FR$3</f>
        <v/>
      </c>
      <c r="L52" s="65">
        <f>DADOS_AM!$FO$3</f>
        <v/>
      </c>
      <c r="M52" s="121">
        <f>DADOS_AM!$FQ$3</f>
        <v/>
      </c>
      <c r="N52" s="12" t="n"/>
      <c r="O52" s="115" t="n"/>
      <c r="P52" s="121" t="inlineStr">
        <is>
          <t>Projétil</t>
        </is>
      </c>
      <c r="Q52" s="65">
        <f>DADOS_AM!$FR$4</f>
        <v/>
      </c>
      <c r="R52" s="65">
        <f>DADOS_AM!$FO$4</f>
        <v/>
      </c>
      <c r="S52" s="121">
        <f>DADOS_AM!$FQ$4</f>
        <v/>
      </c>
      <c r="T52" s="12" t="n"/>
      <c r="U52" s="115" t="n"/>
    </row>
    <row r="53" outlineLevel="1">
      <c r="A53" s="8" t="n"/>
      <c r="B53" s="22" t="n"/>
      <c r="C53" s="115" t="n"/>
      <c r="D53" s="121">
        <f>DADOS_AM!$FP$2</f>
        <v/>
      </c>
      <c r="E53" s="126">
        <f>DADOS_AM!$FW$2</f>
        <v/>
      </c>
      <c r="F53" s="11" t="n"/>
      <c r="G53" s="11" t="n"/>
      <c r="H53" s="12" t="n"/>
      <c r="I53" s="115" t="n"/>
      <c r="J53" s="121">
        <f>DADOS_AM!$FP$3</f>
        <v/>
      </c>
      <c r="K53" s="126">
        <f>DADOS_AM!$FW$3</f>
        <v/>
      </c>
      <c r="L53" s="11" t="n"/>
      <c r="M53" s="11" t="n"/>
      <c r="N53" s="12" t="n"/>
      <c r="O53" s="115" t="n"/>
      <c r="P53" s="121">
        <f>DADOS_AM!$FP$4</f>
        <v/>
      </c>
      <c r="Q53" s="126">
        <f>DADOS_AM!$FW$4</f>
        <v/>
      </c>
      <c r="R53" s="11" t="n"/>
      <c r="S53" s="11" t="n"/>
      <c r="T53" s="12" t="n"/>
      <c r="U53" s="115" t="n"/>
    </row>
    <row r="54" outlineLevel="2">
      <c r="A54" s="8" t="n"/>
      <c r="B54" s="22" t="n"/>
      <c r="C54" s="115" t="n"/>
      <c r="D54" s="52" t="inlineStr">
        <is>
          <t>MELHORIAS</t>
        </is>
      </c>
      <c r="E54" s="127" t="n"/>
      <c r="F54" s="12" t="n"/>
      <c r="G54" s="126">
        <f>DADOS_AM!$FZ$2</f>
        <v/>
      </c>
      <c r="H54" s="12" t="n"/>
      <c r="I54" s="115" t="n"/>
      <c r="J54" s="52" t="inlineStr">
        <is>
          <t>MELHORIAS</t>
        </is>
      </c>
      <c r="K54" s="127" t="n"/>
      <c r="L54" s="12" t="n"/>
      <c r="M54" s="126">
        <f>DADOS_AM!$FZ$3</f>
        <v/>
      </c>
      <c r="N54" s="12" t="n"/>
      <c r="O54" s="115" t="n"/>
      <c r="P54" s="52" t="inlineStr">
        <is>
          <t>MELHORIAS</t>
        </is>
      </c>
      <c r="Q54" s="127" t="n"/>
      <c r="R54" s="12" t="n"/>
      <c r="S54" s="126">
        <f>DADOS_AM!$FZ$4</f>
        <v/>
      </c>
      <c r="T54" s="12" t="n"/>
      <c r="U54" s="115" t="n"/>
    </row>
    <row r="55" outlineLevel="2">
      <c r="A55" s="8" t="n"/>
      <c r="B55" s="22" t="n"/>
      <c r="C55" s="115" t="n"/>
      <c r="D55" s="128" t="n"/>
      <c r="E55" s="127" t="n"/>
      <c r="F55" s="12" t="n"/>
      <c r="G55" s="126">
        <f>DADOS_AM!$GA$2</f>
        <v/>
      </c>
      <c r="H55" s="12" t="n"/>
      <c r="I55" s="115" t="n"/>
      <c r="J55" s="128" t="n"/>
      <c r="K55" s="127" t="n"/>
      <c r="L55" s="12" t="n"/>
      <c r="M55" s="126">
        <f>DADOS_AM!$GA$3</f>
        <v/>
      </c>
      <c r="N55" s="12" t="n"/>
      <c r="O55" s="115" t="n"/>
      <c r="P55" s="128" t="n"/>
      <c r="Q55" s="127" t="n"/>
      <c r="R55" s="12" t="n"/>
      <c r="S55" s="126">
        <f>DADOS_AM!$GA$4</f>
        <v/>
      </c>
      <c r="T55" s="12" t="n"/>
      <c r="U55" s="115" t="n"/>
    </row>
    <row r="56" outlineLevel="2">
      <c r="A56" s="8" t="n"/>
      <c r="B56" s="22" t="n"/>
      <c r="C56" s="115" t="n"/>
      <c r="D56" s="128" t="n"/>
      <c r="E56" s="127" t="n"/>
      <c r="F56" s="12" t="n"/>
      <c r="G56" s="126">
        <f>DADOS_AM!$GB$2</f>
        <v/>
      </c>
      <c r="H56" s="12" t="n"/>
      <c r="I56" s="115" t="n"/>
      <c r="J56" s="128" t="n"/>
      <c r="K56" s="127" t="n"/>
      <c r="L56" s="12" t="n"/>
      <c r="M56" s="126">
        <f>DADOS_AM!$GB$3</f>
        <v/>
      </c>
      <c r="N56" s="12" t="n"/>
      <c r="O56" s="115" t="n"/>
      <c r="P56" s="128" t="n"/>
      <c r="Q56" s="127" t="n"/>
      <c r="R56" s="12" t="n"/>
      <c r="S56" s="126">
        <f>DADOS_AM!$GB$4</f>
        <v/>
      </c>
      <c r="T56" s="12" t="n"/>
      <c r="U56" s="115" t="n"/>
    </row>
    <row r="57" outlineLevel="2">
      <c r="A57" s="8" t="n"/>
      <c r="B57" s="22" t="n"/>
      <c r="C57" s="115" t="n"/>
      <c r="D57" s="122" t="n"/>
      <c r="E57" s="127" t="n"/>
      <c r="F57" s="12" t="n"/>
      <c r="G57" s="126">
        <f>DADOS_AM!$GC$2</f>
        <v/>
      </c>
      <c r="H57" s="12" t="n"/>
      <c r="I57" s="115" t="n"/>
      <c r="J57" s="122" t="n"/>
      <c r="K57" s="127" t="n"/>
      <c r="L57" s="12" t="n"/>
      <c r="M57" s="126">
        <f>DADOS_AM!$GC$3</f>
        <v/>
      </c>
      <c r="N57" s="12" t="n"/>
      <c r="O57" s="115" t="n"/>
      <c r="P57" s="122" t="n"/>
      <c r="Q57" s="127" t="n"/>
      <c r="R57" s="12" t="n"/>
      <c r="S57" s="126">
        <f>DADOS_AM!$GC$4</f>
        <v/>
      </c>
      <c r="T57" s="12" t="n"/>
      <c r="U57" s="115" t="n"/>
    </row>
    <row r="58" outlineLevel="2">
      <c r="A58" s="8" t="n"/>
      <c r="B58" s="22" t="n"/>
      <c r="C58" s="115" t="n"/>
      <c r="D58" s="52" t="inlineStr">
        <is>
          <t>RESTRIÇÕES</t>
        </is>
      </c>
      <c r="E58" s="127" t="n"/>
      <c r="F58" s="12" t="n"/>
      <c r="G58" s="126">
        <f>DADOS_AM!$GD$2</f>
        <v/>
      </c>
      <c r="H58" s="121" t="b">
        <v>0</v>
      </c>
      <c r="I58" s="115" t="n"/>
      <c r="J58" s="52" t="inlineStr">
        <is>
          <t>RESTRIÇÕES</t>
        </is>
      </c>
      <c r="K58" s="127" t="n"/>
      <c r="L58" s="12" t="n"/>
      <c r="M58" s="126">
        <f>DADOS_AM!$GD$3</f>
        <v/>
      </c>
      <c r="N58" s="121" t="b">
        <v>0</v>
      </c>
      <c r="O58" s="115" t="n"/>
      <c r="P58" s="52" t="inlineStr">
        <is>
          <t>RESTRIÇÕES</t>
        </is>
      </c>
      <c r="Q58" s="127" t="n"/>
      <c r="R58" s="12" t="n"/>
      <c r="S58" s="126">
        <f>DADOS_AM!$GD$4</f>
        <v/>
      </c>
      <c r="T58" s="121" t="b">
        <v>0</v>
      </c>
      <c r="U58" s="115" t="n"/>
    </row>
    <row r="59" outlineLevel="2">
      <c r="A59" s="8" t="n"/>
      <c r="B59" s="22" t="n"/>
      <c r="C59" s="115" t="n"/>
      <c r="D59" s="122" t="n"/>
      <c r="E59" s="127" t="n"/>
      <c r="F59" s="12" t="n"/>
      <c r="G59" s="126">
        <f>DADOS_AM!$GE$2</f>
        <v/>
      </c>
      <c r="H59" s="121" t="b">
        <v>0</v>
      </c>
      <c r="I59" s="115" t="n"/>
      <c r="J59" s="122" t="n"/>
      <c r="K59" s="127" t="n"/>
      <c r="L59" s="12" t="n"/>
      <c r="M59" s="126">
        <f>DADOS_AM!$GE$3</f>
        <v/>
      </c>
      <c r="N59" s="121" t="b">
        <v>0</v>
      </c>
      <c r="O59" s="115" t="n"/>
      <c r="P59" s="122" t="n"/>
      <c r="Q59" s="127" t="n"/>
      <c r="R59" s="12" t="n"/>
      <c r="S59" s="126">
        <f>DADOS_AM!$GE$4</f>
        <v/>
      </c>
      <c r="T59" s="121" t="b">
        <v>0</v>
      </c>
      <c r="U59" s="115" t="n"/>
    </row>
    <row r="60" outlineLevel="2">
      <c r="A60" s="8" t="n"/>
      <c r="B60" s="22" t="n"/>
      <c r="C60" s="115" t="n"/>
      <c r="D60" s="52" t="inlineStr">
        <is>
          <t>CONTA</t>
        </is>
      </c>
      <c r="E60" s="129">
        <f>DADOS_AM!$FX$2</f>
        <v/>
      </c>
      <c r="F60" s="11" t="n"/>
      <c r="G60" s="11" t="n"/>
      <c r="H60" s="12" t="n"/>
      <c r="I60" s="115" t="n"/>
      <c r="J60" s="52" t="inlineStr">
        <is>
          <t>CONTA</t>
        </is>
      </c>
      <c r="K60" s="129">
        <f>DADOS_AM!$FX$3</f>
        <v/>
      </c>
      <c r="L60" s="11" t="n"/>
      <c r="M60" s="11" t="n"/>
      <c r="N60" s="12" t="n"/>
      <c r="O60" s="115" t="n"/>
      <c r="P60" s="52" t="inlineStr">
        <is>
          <t>CONTA</t>
        </is>
      </c>
      <c r="Q60" s="129">
        <f>DADOS_AM!$FX$4</f>
        <v/>
      </c>
      <c r="R60" s="11" t="n"/>
      <c r="S60" s="11" t="n"/>
      <c r="T60" s="12" t="n"/>
      <c r="U60" s="115" t="n"/>
    </row>
    <row r="61" outlineLevel="2">
      <c r="A61" s="8" t="n"/>
      <c r="B61" s="22" t="n"/>
      <c r="C61" s="115" t="n"/>
      <c r="D61" s="52" t="inlineStr">
        <is>
          <t>AMPLIAR</t>
        </is>
      </c>
      <c r="E61" s="129">
        <f>DADOS_AM!$FY$2</f>
        <v/>
      </c>
      <c r="F61" s="14" t="n"/>
      <c r="G61" s="14" t="n"/>
      <c r="H61" s="15" t="n"/>
      <c r="I61" s="115" t="n"/>
      <c r="J61" s="52" t="inlineStr">
        <is>
          <t>AMPLIAR</t>
        </is>
      </c>
      <c r="K61" s="129">
        <f>DADOS_AM!$FY$3</f>
        <v/>
      </c>
      <c r="L61" s="14" t="n"/>
      <c r="M61" s="14" t="n"/>
      <c r="N61" s="15" t="n"/>
      <c r="O61" s="115" t="n"/>
      <c r="P61" s="52" t="inlineStr">
        <is>
          <t>AMPLIAR</t>
        </is>
      </c>
      <c r="Q61" s="129">
        <f>DADOS_AM!$FY$4</f>
        <v/>
      </c>
      <c r="R61" s="14" t="n"/>
      <c r="S61" s="14" t="n"/>
      <c r="T61" s="15" t="n"/>
      <c r="U61" s="115" t="n"/>
    </row>
    <row r="62" outlineLevel="2">
      <c r="A62" s="8" t="n"/>
      <c r="B62" s="22" t="n"/>
      <c r="C62" s="115" t="n"/>
      <c r="D62" s="122" t="n"/>
      <c r="E62" s="18" t="n"/>
      <c r="F62" s="19" t="n"/>
      <c r="G62" s="19" t="n"/>
      <c r="H62" s="20" t="n"/>
      <c r="I62" s="115" t="n"/>
      <c r="J62" s="122" t="n"/>
      <c r="K62" s="18" t="n"/>
      <c r="L62" s="19" t="n"/>
      <c r="M62" s="19" t="n"/>
      <c r="N62" s="20" t="n"/>
      <c r="O62" s="115" t="n"/>
      <c r="P62" s="122" t="n"/>
      <c r="Q62" s="18" t="n"/>
      <c r="R62" s="19" t="n"/>
      <c r="S62" s="19" t="n"/>
      <c r="T62" s="20" t="n"/>
      <c r="U62" s="115" t="n"/>
    </row>
    <row r="63" outlineLevel="2">
      <c r="A63" s="8" t="n"/>
      <c r="B63" s="22" t="n"/>
      <c r="C63" s="115" t="n"/>
      <c r="D63" s="52" t="inlineStr">
        <is>
          <t>AVISOS</t>
        </is>
      </c>
      <c r="E63" s="129">
        <f>DADOS_AM!$FN$2</f>
        <v/>
      </c>
      <c r="F63" s="14" t="n"/>
      <c r="G63" s="14" t="n"/>
      <c r="H63" s="15" t="n"/>
      <c r="I63" s="115" t="n"/>
      <c r="J63" s="52" t="inlineStr">
        <is>
          <t>AVISOS</t>
        </is>
      </c>
      <c r="K63" s="129">
        <f>DADOS_AM!$FN$3</f>
        <v/>
      </c>
      <c r="L63" s="14" t="n"/>
      <c r="M63" s="14" t="n"/>
      <c r="N63" s="15" t="n"/>
      <c r="O63" s="115" t="n"/>
      <c r="P63" s="52" t="inlineStr">
        <is>
          <t>AVISOS</t>
        </is>
      </c>
      <c r="Q63" s="129">
        <f>DADOS_AM!$FN$4</f>
        <v/>
      </c>
      <c r="R63" s="14" t="n"/>
      <c r="S63" s="14" t="n"/>
      <c r="T63" s="15" t="n"/>
      <c r="U63" s="115" t="n"/>
    </row>
    <row r="64" outlineLevel="2">
      <c r="A64" s="8" t="n"/>
      <c r="B64" s="22" t="n"/>
      <c r="C64" s="115" t="n"/>
      <c r="D64" s="122" t="n"/>
      <c r="E64" s="18" t="n"/>
      <c r="F64" s="19" t="n"/>
      <c r="G64" s="19" t="n"/>
      <c r="H64" s="20" t="n"/>
      <c r="I64" s="115" t="n"/>
      <c r="J64" s="122" t="n"/>
      <c r="K64" s="18" t="n"/>
      <c r="L64" s="19" t="n"/>
      <c r="M64" s="19" t="n"/>
      <c r="N64" s="20" t="n"/>
      <c r="O64" s="115" t="n"/>
      <c r="P64" s="122" t="n"/>
      <c r="Q64" s="18" t="n"/>
      <c r="R64" s="19" t="n"/>
      <c r="S64" s="19" t="n"/>
      <c r="T64" s="20" t="n"/>
      <c r="U64" s="115" t="n"/>
    </row>
    <row r="65" outlineLevel="1">
      <c r="A65" s="8" t="n"/>
      <c r="B65" s="22" t="n"/>
      <c r="C65" s="115" t="n"/>
      <c r="D65" s="115" t="n"/>
      <c r="E65" s="115" t="n"/>
      <c r="F65" s="115" t="n"/>
      <c r="G65" s="115" t="n"/>
      <c r="H65" s="115" t="n"/>
      <c r="I65" s="115" t="n"/>
      <c r="J65" s="115" t="n"/>
      <c r="K65" s="115" t="n"/>
      <c r="L65" s="115" t="n"/>
      <c r="M65" s="115" t="n"/>
      <c r="N65" s="115" t="n"/>
      <c r="O65" s="115" t="n"/>
      <c r="P65" s="115" t="n"/>
      <c r="Q65" s="115" t="n"/>
      <c r="R65" s="115" t="n"/>
      <c r="S65" s="115" t="n"/>
      <c r="T65" s="115" t="n"/>
      <c r="U65" s="115" t="n"/>
    </row>
    <row r="66" outlineLevel="1">
      <c r="A66" s="8" t="n"/>
      <c r="B66" s="22" t="n"/>
      <c r="C66" s="115" t="n"/>
      <c r="D66" s="123" t="n">
        <v>1</v>
      </c>
      <c r="E66" s="124" t="n"/>
      <c r="F66" s="12" t="n"/>
      <c r="G66" s="125">
        <f>DADOS_AM!$FM$5</f>
        <v/>
      </c>
      <c r="H66" s="12" t="n"/>
      <c r="I66" s="115" t="n"/>
      <c r="J66" s="123" t="n">
        <v>1</v>
      </c>
      <c r="K66" s="124" t="n"/>
      <c r="L66" s="12" t="n"/>
      <c r="M66" s="125">
        <f>DADOS_AM!$FM$6</f>
        <v/>
      </c>
      <c r="N66" s="12" t="n"/>
      <c r="O66" s="115" t="n"/>
      <c r="P66" s="123" t="n">
        <v>1</v>
      </c>
      <c r="Q66" s="124" t="n"/>
      <c r="R66" s="12" t="n"/>
      <c r="S66" s="125">
        <f>DADOS_AM!$FM$7</f>
        <v/>
      </c>
      <c r="T66" s="12" t="n"/>
      <c r="U66" s="115" t="n"/>
    </row>
    <row r="67" hidden="1" outlineLevel="2">
      <c r="A67" s="8" t="n"/>
      <c r="B67" s="22" t="n"/>
      <c r="C67" s="115" t="n"/>
      <c r="D67" s="52" t="inlineStr">
        <is>
          <t>COMO É</t>
        </is>
      </c>
      <c r="E67" s="11" t="n"/>
      <c r="F67" s="11" t="n"/>
      <c r="G67" s="11" t="n"/>
      <c r="H67" s="12" t="n"/>
      <c r="I67" s="115" t="n"/>
      <c r="J67" s="52" t="inlineStr">
        <is>
          <t>COMO É</t>
        </is>
      </c>
      <c r="K67" s="11" t="n"/>
      <c r="L67" s="11" t="n"/>
      <c r="M67" s="11" t="n"/>
      <c r="N67" s="12" t="n"/>
      <c r="O67" s="115" t="n"/>
      <c r="P67" s="52" t="inlineStr">
        <is>
          <t>COMO É</t>
        </is>
      </c>
      <c r="Q67" s="11" t="n"/>
      <c r="R67" s="11" t="n"/>
      <c r="S67" s="11" t="n"/>
      <c r="T67" s="12" t="n"/>
      <c r="U67" s="115" t="n"/>
    </row>
    <row r="68" hidden="1" outlineLevel="2">
      <c r="A68" s="8" t="n"/>
      <c r="B68" s="22" t="n"/>
      <c r="C68" s="115" t="n"/>
      <c r="D68" s="120" t="n"/>
      <c r="E68" s="14" t="n"/>
      <c r="F68" s="14" t="n"/>
      <c r="G68" s="14" t="n"/>
      <c r="H68" s="15" t="n"/>
      <c r="I68" s="115" t="n"/>
      <c r="J68" s="120" t="n"/>
      <c r="K68" s="14" t="n"/>
      <c r="L68" s="14" t="n"/>
      <c r="M68" s="14" t="n"/>
      <c r="N68" s="15" t="n"/>
      <c r="O68" s="115" t="n"/>
      <c r="P68" s="120" t="n"/>
      <c r="Q68" s="14" t="n"/>
      <c r="R68" s="14" t="n"/>
      <c r="S68" s="14" t="n"/>
      <c r="T68" s="15" t="n"/>
      <c r="U68" s="115" t="n"/>
    </row>
    <row r="69" hidden="1" outlineLevel="2">
      <c r="A69" s="8" t="n"/>
      <c r="B69" s="22" t="n"/>
      <c r="C69" s="115" t="n"/>
      <c r="D69" s="16" t="n"/>
      <c r="H69" s="17" t="n"/>
      <c r="I69" s="115" t="n"/>
      <c r="J69" s="16" t="n"/>
      <c r="N69" s="17" t="n"/>
      <c r="O69" s="115" t="n"/>
      <c r="P69" s="16" t="n"/>
      <c r="T69" s="17" t="n"/>
      <c r="U69" s="115" t="n"/>
    </row>
    <row r="70" hidden="1" outlineLevel="2">
      <c r="A70" s="8" t="n"/>
      <c r="B70" s="22" t="n"/>
      <c r="C70" s="115" t="n"/>
      <c r="D70" s="16" t="n"/>
      <c r="H70" s="17" t="n"/>
      <c r="I70" s="115" t="n"/>
      <c r="J70" s="16" t="n"/>
      <c r="N70" s="17" t="n"/>
      <c r="O70" s="115" t="n"/>
      <c r="P70" s="16" t="n"/>
      <c r="T70" s="17" t="n"/>
      <c r="U70" s="115" t="n"/>
    </row>
    <row r="71" hidden="1" outlineLevel="2">
      <c r="A71" s="8" t="n"/>
      <c r="B71" s="22" t="n"/>
      <c r="C71" s="115" t="n"/>
      <c r="D71" s="16" t="n"/>
      <c r="H71" s="17" t="n"/>
      <c r="I71" s="115" t="n"/>
      <c r="J71" s="16" t="n"/>
      <c r="N71" s="17" t="n"/>
      <c r="O71" s="115" t="n"/>
      <c r="P71" s="16" t="n"/>
      <c r="T71" s="17" t="n"/>
      <c r="U71" s="115" t="n"/>
    </row>
    <row r="72" hidden="1" outlineLevel="2">
      <c r="A72" s="8" t="n"/>
      <c r="B72" s="22" t="n"/>
      <c r="C72" s="115" t="n"/>
      <c r="D72" s="18" t="n"/>
      <c r="E72" s="19" t="n"/>
      <c r="F72" s="19" t="n"/>
      <c r="G72" s="19" t="n"/>
      <c r="H72" s="20" t="n"/>
      <c r="I72" s="115" t="n"/>
      <c r="J72" s="18" t="n"/>
      <c r="K72" s="19" t="n"/>
      <c r="L72" s="19" t="n"/>
      <c r="M72" s="19" t="n"/>
      <c r="N72" s="20" t="n"/>
      <c r="O72" s="115" t="n"/>
      <c r="P72" s="18" t="n"/>
      <c r="Q72" s="19" t="n"/>
      <c r="R72" s="19" t="n"/>
      <c r="S72" s="19" t="n"/>
      <c r="T72" s="20" t="n"/>
      <c r="U72" s="115" t="n"/>
    </row>
    <row r="73" outlineLevel="1">
      <c r="A73" s="8" t="n"/>
      <c r="B73" s="22" t="n"/>
      <c r="C73" s="115" t="n"/>
      <c r="D73" s="121" t="inlineStr">
        <is>
          <t>Projétil</t>
        </is>
      </c>
      <c r="E73" s="65">
        <f>DADOS_AM!$FR$5</f>
        <v/>
      </c>
      <c r="F73" s="65">
        <f>DADOS_AM!$FO$5</f>
        <v/>
      </c>
      <c r="G73" s="121">
        <f>DADOS_AM!$FQ$5</f>
        <v/>
      </c>
      <c r="H73" s="12" t="n"/>
      <c r="I73" s="115" t="n"/>
      <c r="J73" s="121" t="inlineStr">
        <is>
          <t>Projétil</t>
        </is>
      </c>
      <c r="K73" s="65">
        <f>DADOS_AM!$FR$6</f>
        <v/>
      </c>
      <c r="L73" s="65">
        <f>DADOS_AM!$FO$6</f>
        <v/>
      </c>
      <c r="M73" s="121">
        <f>DADOS_AM!$FQ$6</f>
        <v/>
      </c>
      <c r="N73" s="12" t="n"/>
      <c r="O73" s="115" t="n"/>
      <c r="P73" s="121" t="inlineStr">
        <is>
          <t>Projétil</t>
        </is>
      </c>
      <c r="Q73" s="65">
        <f>DADOS_AM!$FR$7</f>
        <v/>
      </c>
      <c r="R73" s="65">
        <f>DADOS_AM!$FO$7</f>
        <v/>
      </c>
      <c r="S73" s="121">
        <f>DADOS_AM!$FQ$7</f>
        <v/>
      </c>
      <c r="T73" s="12" t="n"/>
      <c r="U73" s="115" t="n"/>
    </row>
    <row r="74" outlineLevel="1">
      <c r="A74" s="8" t="n"/>
      <c r="B74" s="22" t="n"/>
      <c r="C74" s="115" t="n"/>
      <c r="D74" s="121">
        <f>DADOS_AM!$FP$5</f>
        <v/>
      </c>
      <c r="E74" s="126">
        <f>DADOS_AM!$FW$5</f>
        <v/>
      </c>
      <c r="F74" s="11" t="n"/>
      <c r="G74" s="11" t="n"/>
      <c r="H74" s="12" t="n"/>
      <c r="I74" s="115" t="n"/>
      <c r="J74" s="121">
        <f>DADOS_AM!$FP$6</f>
        <v/>
      </c>
      <c r="K74" s="126">
        <f>DADOS_AM!$FW$6</f>
        <v/>
      </c>
      <c r="L74" s="11" t="n"/>
      <c r="M74" s="11" t="n"/>
      <c r="N74" s="12" t="n"/>
      <c r="O74" s="115" t="n"/>
      <c r="P74" s="121">
        <f>DADOS_AM!$FP$7</f>
        <v/>
      </c>
      <c r="Q74" s="126">
        <f>DADOS_AM!$FW$7</f>
        <v/>
      </c>
      <c r="R74" s="11" t="n"/>
      <c r="S74" s="11" t="n"/>
      <c r="T74" s="12" t="n"/>
      <c r="U74" s="115" t="n"/>
    </row>
    <row r="75" hidden="1" outlineLevel="2">
      <c r="A75" s="8" t="n"/>
      <c r="B75" s="22" t="n"/>
      <c r="C75" s="115" t="n"/>
      <c r="D75" s="52" t="inlineStr">
        <is>
          <t>MELHORIAS</t>
        </is>
      </c>
      <c r="E75" s="127" t="n"/>
      <c r="F75" s="12" t="n"/>
      <c r="G75" s="126">
        <f>DADOS_AM!$FZ$5</f>
        <v/>
      </c>
      <c r="H75" s="12" t="n"/>
      <c r="I75" s="115" t="n"/>
      <c r="J75" s="52" t="inlineStr">
        <is>
          <t>MELHORIAS</t>
        </is>
      </c>
      <c r="K75" s="127" t="n"/>
      <c r="L75" s="12" t="n"/>
      <c r="M75" s="126">
        <f>DADOS_AM!$FZ$6</f>
        <v/>
      </c>
      <c r="N75" s="12" t="n"/>
      <c r="O75" s="115" t="n"/>
      <c r="P75" s="52" t="inlineStr">
        <is>
          <t>MELHORIAS</t>
        </is>
      </c>
      <c r="Q75" s="127" t="n"/>
      <c r="R75" s="12" t="n"/>
      <c r="S75" s="126">
        <f>DADOS_AM!$FZ$7</f>
        <v/>
      </c>
      <c r="T75" s="12" t="n"/>
      <c r="U75" s="115" t="n"/>
    </row>
    <row r="76" hidden="1" outlineLevel="2">
      <c r="A76" s="8" t="n"/>
      <c r="B76" s="22" t="n"/>
      <c r="C76" s="115" t="n"/>
      <c r="D76" s="128" t="n"/>
      <c r="E76" s="127" t="n"/>
      <c r="F76" s="12" t="n"/>
      <c r="G76" s="126">
        <f>DADOS_AM!$GA$5</f>
        <v/>
      </c>
      <c r="H76" s="12" t="n"/>
      <c r="I76" s="115" t="n"/>
      <c r="J76" s="128" t="n"/>
      <c r="K76" s="127" t="n"/>
      <c r="L76" s="12" t="n"/>
      <c r="M76" s="126">
        <f>DADOS_AM!$GA$6</f>
        <v/>
      </c>
      <c r="N76" s="12" t="n"/>
      <c r="O76" s="115" t="n"/>
      <c r="P76" s="128" t="n"/>
      <c r="Q76" s="127" t="n"/>
      <c r="R76" s="12" t="n"/>
      <c r="S76" s="126">
        <f>DADOS_AM!$GA$7</f>
        <v/>
      </c>
      <c r="T76" s="12" t="n"/>
      <c r="U76" s="115" t="n"/>
    </row>
    <row r="77" hidden="1" outlineLevel="2">
      <c r="A77" s="8" t="n"/>
      <c r="B77" s="22" t="n"/>
      <c r="C77" s="115" t="n"/>
      <c r="D77" s="128" t="n"/>
      <c r="E77" s="127" t="n"/>
      <c r="F77" s="12" t="n"/>
      <c r="G77" s="126">
        <f>DADOS_AM!$GB$5</f>
        <v/>
      </c>
      <c r="H77" s="12" t="n"/>
      <c r="I77" s="115" t="n"/>
      <c r="J77" s="128" t="n"/>
      <c r="K77" s="127" t="n"/>
      <c r="L77" s="12" t="n"/>
      <c r="M77" s="126">
        <f>DADOS_AM!$GB$6</f>
        <v/>
      </c>
      <c r="N77" s="12" t="n"/>
      <c r="O77" s="115" t="n"/>
      <c r="P77" s="128" t="n"/>
      <c r="Q77" s="127" t="n"/>
      <c r="R77" s="12" t="n"/>
      <c r="S77" s="126">
        <f>DADOS_AM!$GB$7</f>
        <v/>
      </c>
      <c r="T77" s="12" t="n"/>
      <c r="U77" s="115" t="n"/>
    </row>
    <row r="78" hidden="1" outlineLevel="2">
      <c r="A78" s="8" t="n"/>
      <c r="B78" s="22" t="n"/>
      <c r="C78" s="115" t="n"/>
      <c r="D78" s="122" t="n"/>
      <c r="E78" s="127" t="n"/>
      <c r="F78" s="12" t="n"/>
      <c r="G78" s="126">
        <f>DADOS_AM!$GC$5</f>
        <v/>
      </c>
      <c r="H78" s="12" t="n"/>
      <c r="I78" s="115" t="n"/>
      <c r="J78" s="122" t="n"/>
      <c r="K78" s="127" t="n"/>
      <c r="L78" s="12" t="n"/>
      <c r="M78" s="126">
        <f>DADOS_AM!$GC$6</f>
        <v/>
      </c>
      <c r="N78" s="12" t="n"/>
      <c r="O78" s="115" t="n"/>
      <c r="P78" s="122" t="n"/>
      <c r="Q78" s="127" t="n"/>
      <c r="R78" s="12" t="n"/>
      <c r="S78" s="126">
        <f>DADOS_AM!$GC$7</f>
        <v/>
      </c>
      <c r="T78" s="12" t="n"/>
      <c r="U78" s="115" t="n"/>
    </row>
    <row r="79" hidden="1" outlineLevel="2">
      <c r="A79" s="8" t="n"/>
      <c r="B79" s="22" t="n"/>
      <c r="C79" s="115" t="n"/>
      <c r="D79" s="52" t="inlineStr">
        <is>
          <t>RESTRIÇÕES</t>
        </is>
      </c>
      <c r="E79" s="127" t="n"/>
      <c r="F79" s="12" t="n"/>
      <c r="G79" s="126">
        <f>DADOS_AM!$GD$5</f>
        <v/>
      </c>
      <c r="H79" s="121" t="b">
        <v>0</v>
      </c>
      <c r="I79" s="115" t="n"/>
      <c r="J79" s="52" t="inlineStr">
        <is>
          <t>RESTRIÇÕES</t>
        </is>
      </c>
      <c r="K79" s="127" t="n"/>
      <c r="L79" s="12" t="n"/>
      <c r="M79" s="126">
        <f>DADOS_AM!$GD$6</f>
        <v/>
      </c>
      <c r="N79" s="121" t="b">
        <v>0</v>
      </c>
      <c r="O79" s="115" t="n"/>
      <c r="P79" s="52" t="inlineStr">
        <is>
          <t>RESTRIÇÕES</t>
        </is>
      </c>
      <c r="Q79" s="127" t="n"/>
      <c r="R79" s="12" t="n"/>
      <c r="S79" s="126">
        <f>DADOS_AM!$GD$7</f>
        <v/>
      </c>
      <c r="T79" s="121" t="b">
        <v>0</v>
      </c>
      <c r="U79" s="115" t="n"/>
    </row>
    <row r="80" hidden="1" outlineLevel="2">
      <c r="A80" s="8" t="n"/>
      <c r="B80" s="22" t="n"/>
      <c r="C80" s="115" t="n"/>
      <c r="D80" s="122" t="n"/>
      <c r="E80" s="127" t="n"/>
      <c r="F80" s="12" t="n"/>
      <c r="G80" s="126">
        <f>DADOS_AM!$GE$5</f>
        <v/>
      </c>
      <c r="H80" s="121" t="b">
        <v>0</v>
      </c>
      <c r="I80" s="115" t="n"/>
      <c r="J80" s="122" t="n"/>
      <c r="K80" s="127" t="n"/>
      <c r="L80" s="12" t="n"/>
      <c r="M80" s="126">
        <f>DADOS_AM!$GE$6</f>
        <v/>
      </c>
      <c r="N80" s="121" t="b">
        <v>0</v>
      </c>
      <c r="O80" s="115" t="n"/>
      <c r="P80" s="122" t="n"/>
      <c r="Q80" s="127" t="n"/>
      <c r="R80" s="12" t="n"/>
      <c r="S80" s="126">
        <f>DADOS_AM!$GE$7</f>
        <v/>
      </c>
      <c r="T80" s="121" t="b">
        <v>0</v>
      </c>
      <c r="U80" s="115" t="n"/>
    </row>
    <row r="81" hidden="1" outlineLevel="2">
      <c r="A81" s="8" t="n"/>
      <c r="B81" s="22" t="n"/>
      <c r="C81" s="115" t="n"/>
      <c r="D81" s="52" t="inlineStr">
        <is>
          <t>CONTA</t>
        </is>
      </c>
      <c r="E81" s="129">
        <f>DADOS_AM!$FX$5</f>
        <v/>
      </c>
      <c r="F81" s="11" t="n"/>
      <c r="G81" s="11" t="n"/>
      <c r="H81" s="12" t="n"/>
      <c r="I81" s="115" t="n"/>
      <c r="J81" s="52" t="inlineStr">
        <is>
          <t>CONTA</t>
        </is>
      </c>
      <c r="K81" s="129">
        <f>DADOS_AM!$FX$6</f>
        <v/>
      </c>
      <c r="L81" s="11" t="n"/>
      <c r="M81" s="11" t="n"/>
      <c r="N81" s="12" t="n"/>
      <c r="O81" s="115" t="n"/>
      <c r="P81" s="52" t="inlineStr">
        <is>
          <t>CONTA</t>
        </is>
      </c>
      <c r="Q81" s="129">
        <f>DADOS_AM!$FX$7</f>
        <v/>
      </c>
      <c r="R81" s="11" t="n"/>
      <c r="S81" s="11" t="n"/>
      <c r="T81" s="12" t="n"/>
      <c r="U81" s="115" t="n"/>
    </row>
    <row r="82" hidden="1" outlineLevel="2">
      <c r="A82" s="8" t="n"/>
      <c r="B82" s="22" t="n"/>
      <c r="C82" s="115" t="n"/>
      <c r="D82" s="52" t="inlineStr">
        <is>
          <t>AMPLIAR</t>
        </is>
      </c>
      <c r="E82" s="129">
        <f>DADOS_AM!$FY$5</f>
        <v/>
      </c>
      <c r="F82" s="14" t="n"/>
      <c r="G82" s="14" t="n"/>
      <c r="H82" s="15" t="n"/>
      <c r="I82" s="115" t="n"/>
      <c r="J82" s="52" t="inlineStr">
        <is>
          <t>AMPLIAR</t>
        </is>
      </c>
      <c r="K82" s="129">
        <f>DADOS_AM!$FY$6</f>
        <v/>
      </c>
      <c r="L82" s="14" t="n"/>
      <c r="M82" s="14" t="n"/>
      <c r="N82" s="15" t="n"/>
      <c r="O82" s="115" t="n"/>
      <c r="P82" s="52" t="inlineStr">
        <is>
          <t>AMPLIAR</t>
        </is>
      </c>
      <c r="Q82" s="129">
        <f>DADOS_AM!$FY$7</f>
        <v/>
      </c>
      <c r="R82" s="14" t="n"/>
      <c r="S82" s="14" t="n"/>
      <c r="T82" s="15" t="n"/>
      <c r="U82" s="115" t="n"/>
    </row>
    <row r="83" hidden="1" outlineLevel="2">
      <c r="A83" s="8" t="n"/>
      <c r="B83" s="22" t="n"/>
      <c r="C83" s="115" t="n"/>
      <c r="D83" s="122" t="n"/>
      <c r="E83" s="18" t="n"/>
      <c r="F83" s="19" t="n"/>
      <c r="G83" s="19" t="n"/>
      <c r="H83" s="20" t="n"/>
      <c r="I83" s="115" t="n"/>
      <c r="J83" s="122" t="n"/>
      <c r="K83" s="18" t="n"/>
      <c r="L83" s="19" t="n"/>
      <c r="M83" s="19" t="n"/>
      <c r="N83" s="20" t="n"/>
      <c r="O83" s="115" t="n"/>
      <c r="P83" s="122" t="n"/>
      <c r="Q83" s="18" t="n"/>
      <c r="R83" s="19" t="n"/>
      <c r="S83" s="19" t="n"/>
      <c r="T83" s="20" t="n"/>
      <c r="U83" s="115" t="n"/>
    </row>
    <row r="84" hidden="1" outlineLevel="2">
      <c r="A84" s="8" t="n"/>
      <c r="B84" s="22" t="n"/>
      <c r="C84" s="115" t="n"/>
      <c r="D84" s="52" t="inlineStr">
        <is>
          <t>AVISOS</t>
        </is>
      </c>
      <c r="E84" s="129">
        <f>DADOS_AM!$FN$5</f>
        <v/>
      </c>
      <c r="F84" s="14" t="n"/>
      <c r="G84" s="14" t="n"/>
      <c r="H84" s="15" t="n"/>
      <c r="I84" s="115" t="n"/>
      <c r="J84" s="52" t="inlineStr">
        <is>
          <t>AVISOS</t>
        </is>
      </c>
      <c r="K84" s="129">
        <f>DADOS_AM!$FN$6</f>
        <v/>
      </c>
      <c r="L84" s="14" t="n"/>
      <c r="M84" s="14" t="n"/>
      <c r="N84" s="15" t="n"/>
      <c r="O84" s="115" t="n"/>
      <c r="P84" s="52" t="inlineStr">
        <is>
          <t>AVISOS</t>
        </is>
      </c>
      <c r="Q84" s="129">
        <f>DADOS_AM!$FN$7</f>
        <v/>
      </c>
      <c r="R84" s="14" t="n"/>
      <c r="S84" s="14" t="n"/>
      <c r="T84" s="15" t="n"/>
      <c r="U84" s="115" t="n"/>
    </row>
    <row r="85" hidden="1" outlineLevel="2">
      <c r="A85" s="8" t="n"/>
      <c r="B85" s="22" t="n"/>
      <c r="C85" s="115" t="n"/>
      <c r="D85" s="122" t="n"/>
      <c r="E85" s="18" t="n"/>
      <c r="F85" s="19" t="n"/>
      <c r="G85" s="19" t="n"/>
      <c r="H85" s="20" t="n"/>
      <c r="I85" s="115" t="n"/>
      <c r="J85" s="122" t="n"/>
      <c r="K85" s="18" t="n"/>
      <c r="L85" s="19" t="n"/>
      <c r="M85" s="19" t="n"/>
      <c r="N85" s="20" t="n"/>
      <c r="O85" s="115" t="n"/>
      <c r="P85" s="122" t="n"/>
      <c r="Q85" s="18" t="n"/>
      <c r="R85" s="19" t="n"/>
      <c r="S85" s="19" t="n"/>
      <c r="T85" s="20" t="n"/>
      <c r="U85" s="115" t="n"/>
    </row>
    <row r="86" outlineLevel="1">
      <c r="A86" s="8" t="n"/>
      <c r="B86" s="22" t="n"/>
      <c r="C86" s="115" t="n"/>
      <c r="D86" s="115" t="n"/>
      <c r="E86" s="115" t="n"/>
      <c r="F86" s="115" t="n"/>
      <c r="G86" s="115" t="n"/>
      <c r="H86" s="115" t="n"/>
      <c r="I86" s="115" t="n"/>
      <c r="J86" s="115" t="n"/>
      <c r="K86" s="115" t="n"/>
      <c r="L86" s="115" t="n"/>
      <c r="M86" s="115" t="n"/>
      <c r="N86" s="115" t="n"/>
      <c r="O86" s="115" t="n"/>
      <c r="P86" s="115" t="n"/>
      <c r="Q86" s="115" t="n"/>
      <c r="R86" s="115" t="n"/>
      <c r="S86" s="115" t="n"/>
      <c r="T86" s="115" t="n"/>
      <c r="U86" s="115" t="n"/>
    </row>
    <row r="87" outlineLevel="1">
      <c r="A87" s="8" t="n"/>
      <c r="B87" s="22" t="n"/>
      <c r="C87" s="115" t="n"/>
      <c r="D87" s="123" t="n">
        <v>1</v>
      </c>
      <c r="E87" s="124" t="n"/>
      <c r="F87" s="12" t="n"/>
      <c r="G87" s="125">
        <f>DADOS_AM!$FM$8</f>
        <v/>
      </c>
      <c r="H87" s="12" t="n"/>
      <c r="I87" s="115" t="n"/>
      <c r="J87" s="123" t="n">
        <v>1</v>
      </c>
      <c r="K87" s="124" t="n"/>
      <c r="L87" s="12" t="n"/>
      <c r="M87" s="125">
        <f>DADOS_AM!$FM$9</f>
        <v/>
      </c>
      <c r="N87" s="12" t="n"/>
      <c r="O87" s="115" t="n"/>
      <c r="P87" s="123" t="n">
        <v>1</v>
      </c>
      <c r="Q87" s="124" t="n"/>
      <c r="R87" s="12" t="n"/>
      <c r="S87" s="125">
        <f>DADOS_AM!$FM$10</f>
        <v/>
      </c>
      <c r="T87" s="12" t="n"/>
      <c r="U87" s="115" t="n"/>
    </row>
    <row r="88" hidden="1" outlineLevel="2">
      <c r="A88" s="8" t="n"/>
      <c r="B88" s="22" t="n"/>
      <c r="C88" s="115" t="n"/>
      <c r="D88" s="52" t="inlineStr">
        <is>
          <t>COMO É</t>
        </is>
      </c>
      <c r="E88" s="11" t="n"/>
      <c r="F88" s="11" t="n"/>
      <c r="G88" s="11" t="n"/>
      <c r="H88" s="12" t="n"/>
      <c r="I88" s="115" t="n"/>
      <c r="J88" s="52" t="inlineStr">
        <is>
          <t>COMO É</t>
        </is>
      </c>
      <c r="K88" s="11" t="n"/>
      <c r="L88" s="11" t="n"/>
      <c r="M88" s="11" t="n"/>
      <c r="N88" s="12" t="n"/>
      <c r="O88" s="115" t="n"/>
      <c r="P88" s="52" t="inlineStr">
        <is>
          <t>COMO É</t>
        </is>
      </c>
      <c r="Q88" s="11" t="n"/>
      <c r="R88" s="11" t="n"/>
      <c r="S88" s="11" t="n"/>
      <c r="T88" s="12" t="n"/>
      <c r="U88" s="115" t="n"/>
    </row>
    <row r="89" hidden="1" outlineLevel="2">
      <c r="A89" s="8" t="n"/>
      <c r="B89" s="22" t="n"/>
      <c r="C89" s="115" t="n"/>
      <c r="D89" s="120" t="n"/>
      <c r="E89" s="14" t="n"/>
      <c r="F89" s="14" t="n"/>
      <c r="G89" s="14" t="n"/>
      <c r="H89" s="15" t="n"/>
      <c r="I89" s="115" t="n"/>
      <c r="J89" s="120" t="n"/>
      <c r="K89" s="14" t="n"/>
      <c r="L89" s="14" t="n"/>
      <c r="M89" s="14" t="n"/>
      <c r="N89" s="15" t="n"/>
      <c r="O89" s="115" t="n"/>
      <c r="P89" s="120" t="n"/>
      <c r="Q89" s="14" t="n"/>
      <c r="R89" s="14" t="n"/>
      <c r="S89" s="14" t="n"/>
      <c r="T89" s="15" t="n"/>
      <c r="U89" s="115" t="n"/>
    </row>
    <row r="90" hidden="1" outlineLevel="2">
      <c r="A90" s="8" t="n"/>
      <c r="B90" s="22" t="n"/>
      <c r="C90" s="115" t="n"/>
      <c r="D90" s="16" t="n"/>
      <c r="H90" s="17" t="n"/>
      <c r="I90" s="115" t="n"/>
      <c r="J90" s="16" t="n"/>
      <c r="N90" s="17" t="n"/>
      <c r="O90" s="115" t="n"/>
      <c r="P90" s="16" t="n"/>
      <c r="T90" s="17" t="n"/>
      <c r="U90" s="115" t="n"/>
    </row>
    <row r="91" hidden="1" outlineLevel="2">
      <c r="A91" s="8" t="n"/>
      <c r="B91" s="22" t="n"/>
      <c r="C91" s="115" t="n"/>
      <c r="D91" s="16" t="n"/>
      <c r="H91" s="17" t="n"/>
      <c r="I91" s="115" t="n"/>
      <c r="J91" s="16" t="n"/>
      <c r="N91" s="17" t="n"/>
      <c r="O91" s="115" t="n"/>
      <c r="P91" s="16" t="n"/>
      <c r="T91" s="17" t="n"/>
      <c r="U91" s="115" t="n"/>
    </row>
    <row r="92" hidden="1" outlineLevel="2">
      <c r="A92" s="8" t="n"/>
      <c r="B92" s="22" t="n"/>
      <c r="C92" s="115" t="n"/>
      <c r="D92" s="16" t="n"/>
      <c r="H92" s="17" t="n"/>
      <c r="I92" s="115" t="n"/>
      <c r="J92" s="16" t="n"/>
      <c r="N92" s="17" t="n"/>
      <c r="O92" s="115" t="n"/>
      <c r="P92" s="16" t="n"/>
      <c r="T92" s="17" t="n"/>
      <c r="U92" s="115" t="n"/>
    </row>
    <row r="93" hidden="1" outlineLevel="2">
      <c r="A93" s="8" t="n"/>
      <c r="B93" s="22" t="n"/>
      <c r="C93" s="115" t="n"/>
      <c r="D93" s="18" t="n"/>
      <c r="E93" s="19" t="n"/>
      <c r="F93" s="19" t="n"/>
      <c r="G93" s="19" t="n"/>
      <c r="H93" s="20" t="n"/>
      <c r="I93" s="115" t="n"/>
      <c r="J93" s="18" t="n"/>
      <c r="K93" s="19" t="n"/>
      <c r="L93" s="19" t="n"/>
      <c r="M93" s="19" t="n"/>
      <c r="N93" s="20" t="n"/>
      <c r="O93" s="115" t="n"/>
      <c r="P93" s="18" t="n"/>
      <c r="Q93" s="19" t="n"/>
      <c r="R93" s="19" t="n"/>
      <c r="S93" s="19" t="n"/>
      <c r="T93" s="20" t="n"/>
      <c r="U93" s="115" t="n"/>
    </row>
    <row r="94" outlineLevel="1">
      <c r="A94" s="8" t="n"/>
      <c r="B94" s="22" t="n"/>
      <c r="C94" s="115" t="n"/>
      <c r="D94" s="121" t="inlineStr">
        <is>
          <t>Projétil</t>
        </is>
      </c>
      <c r="E94" s="65">
        <f>DADOS_AM!$FR$8</f>
        <v/>
      </c>
      <c r="F94" s="65">
        <f>DADOS_AM!$FO$8</f>
        <v/>
      </c>
      <c r="G94" s="121">
        <f>DADOS_AM!$FQ$8</f>
        <v/>
      </c>
      <c r="H94" s="12" t="n"/>
      <c r="I94" s="115" t="n"/>
      <c r="J94" s="121" t="inlineStr">
        <is>
          <t>Projétil</t>
        </is>
      </c>
      <c r="K94" s="65">
        <f>DADOS_AM!$FR$9</f>
        <v/>
      </c>
      <c r="L94" s="65">
        <f>DADOS_AM!$FO$9</f>
        <v/>
      </c>
      <c r="M94" s="121">
        <f>DADOS_AM!$FQ$9</f>
        <v/>
      </c>
      <c r="N94" s="12" t="n"/>
      <c r="O94" s="115" t="n"/>
      <c r="P94" s="121" t="inlineStr">
        <is>
          <t>Projétil</t>
        </is>
      </c>
      <c r="Q94" s="65">
        <f>DADOS_AM!$FR$10</f>
        <v/>
      </c>
      <c r="R94" s="65">
        <f>DADOS_AM!$FO$10</f>
        <v/>
      </c>
      <c r="S94" s="121">
        <f>DADOS_AM!$FQ$10</f>
        <v/>
      </c>
      <c r="T94" s="12" t="n"/>
      <c r="U94" s="115" t="n"/>
    </row>
    <row r="95" outlineLevel="1">
      <c r="A95" s="8" t="n"/>
      <c r="B95" s="22" t="n"/>
      <c r="C95" s="115" t="n"/>
      <c r="D95" s="121">
        <f>DADOS_AM!$FP$8</f>
        <v/>
      </c>
      <c r="E95" s="126">
        <f>DADOS_AM!$FW$8</f>
        <v/>
      </c>
      <c r="F95" s="11" t="n"/>
      <c r="G95" s="11" t="n"/>
      <c r="H95" s="12" t="n"/>
      <c r="I95" s="115" t="n"/>
      <c r="J95" s="121">
        <f>DADOS_AM!$FP$9</f>
        <v/>
      </c>
      <c r="K95" s="126">
        <f>DADOS_AM!$FW$9</f>
        <v/>
      </c>
      <c r="L95" s="11" t="n"/>
      <c r="M95" s="11" t="n"/>
      <c r="N95" s="12" t="n"/>
      <c r="O95" s="115" t="n"/>
      <c r="P95" s="121">
        <f>DADOS_AM!$FP$10</f>
        <v/>
      </c>
      <c r="Q95" s="126">
        <f>DADOS_AM!$FW$10</f>
        <v/>
      </c>
      <c r="R95" s="11" t="n"/>
      <c r="S95" s="11" t="n"/>
      <c r="T95" s="12" t="n"/>
      <c r="U95" s="115" t="n"/>
    </row>
    <row r="96" hidden="1" outlineLevel="2">
      <c r="A96" s="8" t="n"/>
      <c r="B96" s="22" t="n"/>
      <c r="C96" s="115" t="n"/>
      <c r="D96" s="52" t="inlineStr">
        <is>
          <t>MELHORIAS</t>
        </is>
      </c>
      <c r="E96" s="127" t="n"/>
      <c r="F96" s="12" t="n"/>
      <c r="G96" s="126">
        <f>DADOS_AM!$FZ$8</f>
        <v/>
      </c>
      <c r="H96" s="12" t="n"/>
      <c r="I96" s="115" t="n"/>
      <c r="J96" s="52" t="inlineStr">
        <is>
          <t>MELHORIAS</t>
        </is>
      </c>
      <c r="K96" s="127" t="n"/>
      <c r="L96" s="12" t="n"/>
      <c r="M96" s="126">
        <f>DADOS_AM!$FZ$9</f>
        <v/>
      </c>
      <c r="N96" s="12" t="n"/>
      <c r="O96" s="115" t="n"/>
      <c r="P96" s="52" t="inlineStr">
        <is>
          <t>MELHORIAS</t>
        </is>
      </c>
      <c r="Q96" s="127" t="n"/>
      <c r="R96" s="12" t="n"/>
      <c r="S96" s="126">
        <f>DADOS_AM!$FZ$10</f>
        <v/>
      </c>
      <c r="T96" s="12" t="n"/>
      <c r="U96" s="115" t="n"/>
    </row>
    <row r="97" hidden="1" outlineLevel="2">
      <c r="A97" s="8" t="n"/>
      <c r="B97" s="22" t="n"/>
      <c r="C97" s="115" t="n"/>
      <c r="D97" s="128" t="n"/>
      <c r="E97" s="127" t="n"/>
      <c r="F97" s="12" t="n"/>
      <c r="G97" s="126">
        <f>DADOS_AM!$GA$8</f>
        <v/>
      </c>
      <c r="H97" s="12" t="n"/>
      <c r="I97" s="115" t="n"/>
      <c r="J97" s="128" t="n"/>
      <c r="K97" s="127" t="n"/>
      <c r="L97" s="12" t="n"/>
      <c r="M97" s="126">
        <f>DADOS_AM!$GA$9</f>
        <v/>
      </c>
      <c r="N97" s="12" t="n"/>
      <c r="O97" s="115" t="n"/>
      <c r="P97" s="128" t="n"/>
      <c r="Q97" s="127" t="n"/>
      <c r="R97" s="12" t="n"/>
      <c r="S97" s="126">
        <f>DADOS_AM!$GA$10</f>
        <v/>
      </c>
      <c r="T97" s="12" t="n"/>
      <c r="U97" s="115" t="n"/>
    </row>
    <row r="98" hidden="1" outlineLevel="2">
      <c r="A98" s="8" t="n"/>
      <c r="B98" s="22" t="n"/>
      <c r="C98" s="115" t="n"/>
      <c r="D98" s="128" t="n"/>
      <c r="E98" s="127" t="n"/>
      <c r="F98" s="12" t="n"/>
      <c r="G98" s="126">
        <f>DADOS_AM!$GB$8</f>
        <v/>
      </c>
      <c r="H98" s="12" t="n"/>
      <c r="I98" s="115" t="n"/>
      <c r="J98" s="128" t="n"/>
      <c r="K98" s="127" t="n"/>
      <c r="L98" s="12" t="n"/>
      <c r="M98" s="126">
        <f>DADOS_AM!$GB$9</f>
        <v/>
      </c>
      <c r="N98" s="12" t="n"/>
      <c r="O98" s="115" t="n"/>
      <c r="P98" s="128" t="n"/>
      <c r="Q98" s="127" t="n"/>
      <c r="R98" s="12" t="n"/>
      <c r="S98" s="126">
        <f>DADOS_AM!$GB$10</f>
        <v/>
      </c>
      <c r="T98" s="12" t="n"/>
      <c r="U98" s="115" t="n"/>
    </row>
    <row r="99" hidden="1" outlineLevel="2">
      <c r="A99" s="8" t="n"/>
      <c r="B99" s="22" t="n"/>
      <c r="C99" s="115" t="n"/>
      <c r="D99" s="122" t="n"/>
      <c r="E99" s="127" t="n"/>
      <c r="F99" s="12" t="n"/>
      <c r="G99" s="126">
        <f>DADOS_AM!$GC$8</f>
        <v/>
      </c>
      <c r="H99" s="12" t="n"/>
      <c r="I99" s="115" t="n"/>
      <c r="J99" s="122" t="n"/>
      <c r="K99" s="127" t="n"/>
      <c r="L99" s="12" t="n"/>
      <c r="M99" s="126">
        <f>DADOS_AM!$GC$9</f>
        <v/>
      </c>
      <c r="N99" s="12" t="n"/>
      <c r="O99" s="115" t="n"/>
      <c r="P99" s="122" t="n"/>
      <c r="Q99" s="127" t="n"/>
      <c r="R99" s="12" t="n"/>
      <c r="S99" s="126">
        <f>DADOS_AM!$GC$10</f>
        <v/>
      </c>
      <c r="T99" s="12" t="n"/>
      <c r="U99" s="115" t="n"/>
    </row>
    <row r="100" hidden="1" outlineLevel="2">
      <c r="A100" s="8" t="n"/>
      <c r="B100" s="22" t="n"/>
      <c r="C100" s="115" t="n"/>
      <c r="D100" s="52" t="inlineStr">
        <is>
          <t>RESTRIÇÕES</t>
        </is>
      </c>
      <c r="E100" s="127" t="n"/>
      <c r="F100" s="12" t="n"/>
      <c r="G100" s="126">
        <f>DADOS_AM!$GD$8</f>
        <v/>
      </c>
      <c r="H100" s="121" t="b">
        <v>0</v>
      </c>
      <c r="I100" s="115" t="n"/>
      <c r="J100" s="52" t="inlineStr">
        <is>
          <t>RESTRIÇÕES</t>
        </is>
      </c>
      <c r="K100" s="127" t="n"/>
      <c r="L100" s="12" t="n"/>
      <c r="M100" s="126">
        <f>DADOS_AM!$GD$9</f>
        <v/>
      </c>
      <c r="N100" s="121" t="b">
        <v>0</v>
      </c>
      <c r="O100" s="115" t="n"/>
      <c r="P100" s="52" t="inlineStr">
        <is>
          <t>RESTRIÇÕES</t>
        </is>
      </c>
      <c r="Q100" s="127" t="n"/>
      <c r="R100" s="12" t="n"/>
      <c r="S100" s="126">
        <f>DADOS_AM!$GD$10</f>
        <v/>
      </c>
      <c r="T100" s="121" t="b">
        <v>0</v>
      </c>
      <c r="U100" s="115" t="n"/>
    </row>
    <row r="101" hidden="1" outlineLevel="2">
      <c r="A101" s="8" t="n"/>
      <c r="B101" s="22" t="n"/>
      <c r="C101" s="115" t="n"/>
      <c r="D101" s="122" t="n"/>
      <c r="E101" s="127" t="n"/>
      <c r="F101" s="12" t="n"/>
      <c r="G101" s="126">
        <f>DADOS_AM!$GE$8</f>
        <v/>
      </c>
      <c r="H101" s="121" t="b">
        <v>0</v>
      </c>
      <c r="I101" s="115" t="n"/>
      <c r="J101" s="122" t="n"/>
      <c r="K101" s="127" t="n"/>
      <c r="L101" s="12" t="n"/>
      <c r="M101" s="126">
        <f>DADOS_AM!$GE$9</f>
        <v/>
      </c>
      <c r="N101" s="121" t="b">
        <v>0</v>
      </c>
      <c r="O101" s="115" t="n"/>
      <c r="P101" s="122" t="n"/>
      <c r="Q101" s="127" t="n"/>
      <c r="R101" s="12" t="n"/>
      <c r="S101" s="126">
        <f>DADOS_AM!$GE$10</f>
        <v/>
      </c>
      <c r="T101" s="121" t="b">
        <v>0</v>
      </c>
      <c r="U101" s="115" t="n"/>
    </row>
    <row r="102" hidden="1" outlineLevel="2">
      <c r="A102" s="8" t="n"/>
      <c r="B102" s="22" t="n"/>
      <c r="C102" s="115" t="n"/>
      <c r="D102" s="52" t="inlineStr">
        <is>
          <t>CONTA</t>
        </is>
      </c>
      <c r="E102" s="129">
        <f>DADOS_AM!$FX$8</f>
        <v/>
      </c>
      <c r="F102" s="11" t="n"/>
      <c r="G102" s="11" t="n"/>
      <c r="H102" s="12" t="n"/>
      <c r="I102" s="115" t="n"/>
      <c r="J102" s="52" t="inlineStr">
        <is>
          <t>CONTA</t>
        </is>
      </c>
      <c r="K102" s="129">
        <f>DADOS_AM!$FX$9</f>
        <v/>
      </c>
      <c r="L102" s="11" t="n"/>
      <c r="M102" s="11" t="n"/>
      <c r="N102" s="12" t="n"/>
      <c r="O102" s="115" t="n"/>
      <c r="P102" s="52" t="inlineStr">
        <is>
          <t>CONTA</t>
        </is>
      </c>
      <c r="Q102" s="129">
        <f>DADOS_AM!$FX$10</f>
        <v/>
      </c>
      <c r="R102" s="11" t="n"/>
      <c r="S102" s="11" t="n"/>
      <c r="T102" s="12" t="n"/>
      <c r="U102" s="115" t="n"/>
    </row>
    <row r="103" hidden="1" outlineLevel="2">
      <c r="A103" s="8" t="n"/>
      <c r="B103" s="22" t="n"/>
      <c r="C103" s="115" t="n"/>
      <c r="D103" s="52" t="inlineStr">
        <is>
          <t>AMPLIAR</t>
        </is>
      </c>
      <c r="E103" s="129">
        <f>DADOS_AM!$FY$8</f>
        <v/>
      </c>
      <c r="F103" s="14" t="n"/>
      <c r="G103" s="14" t="n"/>
      <c r="H103" s="15" t="n"/>
      <c r="I103" s="115" t="n"/>
      <c r="J103" s="52" t="inlineStr">
        <is>
          <t>AMPLIAR</t>
        </is>
      </c>
      <c r="K103" s="129">
        <f>DADOS_AM!$FY$9</f>
        <v/>
      </c>
      <c r="L103" s="14" t="n"/>
      <c r="M103" s="14" t="n"/>
      <c r="N103" s="15" t="n"/>
      <c r="O103" s="115" t="n"/>
      <c r="P103" s="52" t="inlineStr">
        <is>
          <t>AMPLIAR</t>
        </is>
      </c>
      <c r="Q103" s="129">
        <f>DADOS_AM!$FY$10</f>
        <v/>
      </c>
      <c r="R103" s="14" t="n"/>
      <c r="S103" s="14" t="n"/>
      <c r="T103" s="15" t="n"/>
      <c r="U103" s="115" t="n"/>
    </row>
    <row r="104" hidden="1" outlineLevel="2">
      <c r="A104" s="8" t="n"/>
      <c r="B104" s="22" t="n"/>
      <c r="C104" s="115" t="n"/>
      <c r="D104" s="122" t="n"/>
      <c r="E104" s="18" t="n"/>
      <c r="F104" s="19" t="n"/>
      <c r="G104" s="19" t="n"/>
      <c r="H104" s="20" t="n"/>
      <c r="I104" s="115" t="n"/>
      <c r="J104" s="122" t="n"/>
      <c r="K104" s="18" t="n"/>
      <c r="L104" s="19" t="n"/>
      <c r="M104" s="19" t="n"/>
      <c r="N104" s="20" t="n"/>
      <c r="O104" s="115" t="n"/>
      <c r="P104" s="122" t="n"/>
      <c r="Q104" s="18" t="n"/>
      <c r="R104" s="19" t="n"/>
      <c r="S104" s="19" t="n"/>
      <c r="T104" s="20" t="n"/>
      <c r="U104" s="115" t="n"/>
    </row>
    <row r="105" hidden="1" outlineLevel="2">
      <c r="A105" s="8" t="n"/>
      <c r="B105" s="22" t="n"/>
      <c r="C105" s="115" t="n"/>
      <c r="D105" s="52" t="inlineStr">
        <is>
          <t>AVISOS</t>
        </is>
      </c>
      <c r="E105" s="129">
        <f>DADOS_AM!$FN$8</f>
        <v/>
      </c>
      <c r="F105" s="14" t="n"/>
      <c r="G105" s="14" t="n"/>
      <c r="H105" s="15" t="n"/>
      <c r="I105" s="115" t="n"/>
      <c r="J105" s="52" t="inlineStr">
        <is>
          <t>AVISOS</t>
        </is>
      </c>
      <c r="K105" s="129">
        <f>DADOS_AM!$FN$9</f>
        <v/>
      </c>
      <c r="L105" s="14" t="n"/>
      <c r="M105" s="14" t="n"/>
      <c r="N105" s="15" t="n"/>
      <c r="O105" s="115" t="n"/>
      <c r="P105" s="52" t="inlineStr">
        <is>
          <t>AVISOS</t>
        </is>
      </c>
      <c r="Q105" s="129">
        <f>DADOS_AM!$FN$10</f>
        <v/>
      </c>
      <c r="R105" s="14" t="n"/>
      <c r="S105" s="14" t="n"/>
      <c r="T105" s="15" t="n"/>
      <c r="U105" s="115" t="n"/>
    </row>
    <row r="106" hidden="1" outlineLevel="2">
      <c r="A106" s="8" t="n"/>
      <c r="B106" s="22" t="n"/>
      <c r="C106" s="115" t="n"/>
      <c r="D106" s="122" t="n"/>
      <c r="E106" s="18" t="n"/>
      <c r="F106" s="19" t="n"/>
      <c r="G106" s="19" t="n"/>
      <c r="H106" s="20" t="n"/>
      <c r="I106" s="115" t="n"/>
      <c r="J106" s="122" t="n"/>
      <c r="K106" s="18" t="n"/>
      <c r="L106" s="19" t="n"/>
      <c r="M106" s="19" t="n"/>
      <c r="N106" s="20" t="n"/>
      <c r="O106" s="115" t="n"/>
      <c r="P106" s="122" t="n"/>
      <c r="Q106" s="18" t="n"/>
      <c r="R106" s="19" t="n"/>
      <c r="S106" s="19" t="n"/>
      <c r="T106" s="20" t="n"/>
      <c r="U106" s="115" t="n"/>
    </row>
    <row r="107" outlineLevel="1">
      <c r="A107" s="8" t="n"/>
      <c r="B107" s="22" t="n"/>
      <c r="C107" s="115" t="n"/>
      <c r="D107" s="115" t="n"/>
      <c r="E107" s="115" t="n"/>
      <c r="F107" s="115" t="n"/>
      <c r="G107" s="115" t="n"/>
      <c r="H107" s="115" t="n"/>
      <c r="I107" s="115" t="n"/>
      <c r="J107" s="115" t="n"/>
      <c r="K107" s="115" t="n"/>
      <c r="L107" s="115" t="n"/>
      <c r="M107" s="115" t="n"/>
      <c r="N107" s="115" t="n"/>
      <c r="O107" s="115" t="n"/>
      <c r="P107" s="115" t="n"/>
      <c r="Q107" s="115" t="n"/>
      <c r="R107" s="115" t="n"/>
      <c r="S107" s="115" t="n"/>
      <c r="T107" s="115" t="n"/>
      <c r="U107" s="115" t="n"/>
    </row>
    <row r="108" outlineLevel="1">
      <c r="A108" s="8" t="n"/>
      <c r="B108" s="22" t="n"/>
      <c r="C108" s="115" t="n"/>
      <c r="D108" s="123" t="n">
        <v>1</v>
      </c>
      <c r="E108" s="124" t="n"/>
      <c r="F108" s="12" t="n"/>
      <c r="G108" s="125">
        <f>DADOS_AM!$FM$11</f>
        <v/>
      </c>
      <c r="H108" s="12" t="n"/>
      <c r="I108" s="115" t="n"/>
      <c r="J108" s="123" t="n">
        <v>1</v>
      </c>
      <c r="K108" s="124" t="n"/>
      <c r="L108" s="12" t="n"/>
      <c r="M108" s="125">
        <f>DADOS_AM!$FM$12</f>
        <v/>
      </c>
      <c r="N108" s="12" t="n"/>
      <c r="O108" s="115" t="n"/>
      <c r="P108" s="123" t="n">
        <v>1</v>
      </c>
      <c r="Q108" s="124" t="n"/>
      <c r="R108" s="12" t="n"/>
      <c r="S108" s="125">
        <f>DADOS_AM!$FM$13</f>
        <v/>
      </c>
      <c r="T108" s="12" t="n"/>
      <c r="U108" s="115" t="n"/>
    </row>
    <row r="109" hidden="1" outlineLevel="2">
      <c r="A109" s="8" t="n"/>
      <c r="B109" s="22" t="n"/>
      <c r="C109" s="115" t="n"/>
      <c r="D109" s="52" t="inlineStr">
        <is>
          <t>COMO É</t>
        </is>
      </c>
      <c r="E109" s="11" t="n"/>
      <c r="F109" s="11" t="n"/>
      <c r="G109" s="11" t="n"/>
      <c r="H109" s="12" t="n"/>
      <c r="I109" s="115" t="n"/>
      <c r="J109" s="52" t="inlineStr">
        <is>
          <t>COMO É</t>
        </is>
      </c>
      <c r="K109" s="11" t="n"/>
      <c r="L109" s="11" t="n"/>
      <c r="M109" s="11" t="n"/>
      <c r="N109" s="12" t="n"/>
      <c r="O109" s="115" t="n"/>
      <c r="P109" s="52" t="inlineStr">
        <is>
          <t>COMO É</t>
        </is>
      </c>
      <c r="Q109" s="11" t="n"/>
      <c r="R109" s="11" t="n"/>
      <c r="S109" s="11" t="n"/>
      <c r="T109" s="12" t="n"/>
      <c r="U109" s="115" t="n"/>
    </row>
    <row r="110" hidden="1" outlineLevel="2">
      <c r="A110" s="8" t="n"/>
      <c r="B110" s="22" t="n"/>
      <c r="C110" s="115" t="n"/>
      <c r="D110" s="120" t="n"/>
      <c r="E110" s="14" t="n"/>
      <c r="F110" s="14" t="n"/>
      <c r="G110" s="14" t="n"/>
      <c r="H110" s="15" t="n"/>
      <c r="I110" s="115" t="n"/>
      <c r="J110" s="120" t="n"/>
      <c r="K110" s="14" t="n"/>
      <c r="L110" s="14" t="n"/>
      <c r="M110" s="14" t="n"/>
      <c r="N110" s="15" t="n"/>
      <c r="O110" s="115" t="n"/>
      <c r="P110" s="120" t="n"/>
      <c r="Q110" s="14" t="n"/>
      <c r="R110" s="14" t="n"/>
      <c r="S110" s="14" t="n"/>
      <c r="T110" s="15" t="n"/>
      <c r="U110" s="115" t="n"/>
    </row>
    <row r="111" hidden="1" outlineLevel="2">
      <c r="A111" s="8" t="n"/>
      <c r="B111" s="22" t="n"/>
      <c r="C111" s="115" t="n"/>
      <c r="D111" s="16" t="n"/>
      <c r="H111" s="17" t="n"/>
      <c r="I111" s="115" t="n"/>
      <c r="J111" s="16" t="n"/>
      <c r="N111" s="17" t="n"/>
      <c r="O111" s="115" t="n"/>
      <c r="P111" s="16" t="n"/>
      <c r="T111" s="17" t="n"/>
      <c r="U111" s="115" t="n"/>
    </row>
    <row r="112" hidden="1" outlineLevel="2">
      <c r="A112" s="8" t="n"/>
      <c r="B112" s="22" t="n"/>
      <c r="C112" s="115" t="n"/>
      <c r="D112" s="16" t="n"/>
      <c r="H112" s="17" t="n"/>
      <c r="I112" s="115" t="n"/>
      <c r="J112" s="16" t="n"/>
      <c r="N112" s="17" t="n"/>
      <c r="O112" s="115" t="n"/>
      <c r="P112" s="16" t="n"/>
      <c r="T112" s="17" t="n"/>
      <c r="U112" s="115" t="n"/>
    </row>
    <row r="113" hidden="1" outlineLevel="2">
      <c r="A113" s="8" t="n"/>
      <c r="B113" s="22" t="n"/>
      <c r="C113" s="115" t="n"/>
      <c r="D113" s="16" t="n"/>
      <c r="H113" s="17" t="n"/>
      <c r="I113" s="115" t="n"/>
      <c r="J113" s="16" t="n"/>
      <c r="N113" s="17" t="n"/>
      <c r="O113" s="115" t="n"/>
      <c r="P113" s="16" t="n"/>
      <c r="T113" s="17" t="n"/>
      <c r="U113" s="115" t="n"/>
    </row>
    <row r="114" hidden="1" outlineLevel="2">
      <c r="A114" s="8" t="n"/>
      <c r="B114" s="22" t="n"/>
      <c r="C114" s="115" t="n"/>
      <c r="D114" s="18" t="n"/>
      <c r="E114" s="19" t="n"/>
      <c r="F114" s="19" t="n"/>
      <c r="G114" s="19" t="n"/>
      <c r="H114" s="20" t="n"/>
      <c r="I114" s="115" t="n"/>
      <c r="J114" s="18" t="n"/>
      <c r="K114" s="19" t="n"/>
      <c r="L114" s="19" t="n"/>
      <c r="M114" s="19" t="n"/>
      <c r="N114" s="20" t="n"/>
      <c r="O114" s="115" t="n"/>
      <c r="P114" s="18" t="n"/>
      <c r="Q114" s="19" t="n"/>
      <c r="R114" s="19" t="n"/>
      <c r="S114" s="19" t="n"/>
      <c r="T114" s="20" t="n"/>
      <c r="U114" s="115" t="n"/>
    </row>
    <row r="115" outlineLevel="1">
      <c r="A115" s="8" t="n"/>
      <c r="B115" s="22" t="n"/>
      <c r="C115" s="115" t="n"/>
      <c r="D115" s="121" t="inlineStr">
        <is>
          <t>Projétil</t>
        </is>
      </c>
      <c r="E115" s="65">
        <f>DADOS_AM!$FR$11</f>
        <v/>
      </c>
      <c r="F115" s="65">
        <f>DADOS_AM!$FO$11</f>
        <v/>
      </c>
      <c r="G115" s="121">
        <f>DADOS_AM!$FQ$11</f>
        <v/>
      </c>
      <c r="H115" s="12" t="n"/>
      <c r="I115" s="115" t="n"/>
      <c r="J115" s="121" t="inlineStr">
        <is>
          <t>Projétil</t>
        </is>
      </c>
      <c r="K115" s="65">
        <f>DADOS_AM!$FR$12</f>
        <v/>
      </c>
      <c r="L115" s="65">
        <f>DADOS_AM!$FO$12</f>
        <v/>
      </c>
      <c r="M115" s="121">
        <f>DADOS_AM!$FQ$12</f>
        <v/>
      </c>
      <c r="N115" s="12" t="n"/>
      <c r="O115" s="115" t="n"/>
      <c r="P115" s="121" t="inlineStr">
        <is>
          <t>Projétil</t>
        </is>
      </c>
      <c r="Q115" s="65">
        <f>DADOS_AM!$FR$13</f>
        <v/>
      </c>
      <c r="R115" s="65">
        <f>DADOS_AM!$FO$13</f>
        <v/>
      </c>
      <c r="S115" s="121">
        <f>DADOS_AM!$FQ$13</f>
        <v/>
      </c>
      <c r="T115" s="12" t="n"/>
      <c r="U115" s="115" t="n"/>
    </row>
    <row r="116" outlineLevel="1">
      <c r="A116" s="8" t="n"/>
      <c r="B116" s="22" t="n"/>
      <c r="C116" s="115" t="n"/>
      <c r="D116" s="121">
        <f>DADOS_AM!$FP$11</f>
        <v/>
      </c>
      <c r="E116" s="126">
        <f>DADOS_AM!$FW$11</f>
        <v/>
      </c>
      <c r="F116" s="11" t="n"/>
      <c r="G116" s="11" t="n"/>
      <c r="H116" s="12" t="n"/>
      <c r="I116" s="115" t="n"/>
      <c r="J116" s="121">
        <f>DADOS_AM!$FP$12</f>
        <v/>
      </c>
      <c r="K116" s="126">
        <f>DADOS_AM!$FW$12</f>
        <v/>
      </c>
      <c r="L116" s="11" t="n"/>
      <c r="M116" s="11" t="n"/>
      <c r="N116" s="12" t="n"/>
      <c r="O116" s="115" t="n"/>
      <c r="P116" s="121">
        <f>DADOS_AM!$FP$13</f>
        <v/>
      </c>
      <c r="Q116" s="126">
        <f>DADOS_AM!$FW$13</f>
        <v/>
      </c>
      <c r="R116" s="11" t="n"/>
      <c r="S116" s="11" t="n"/>
      <c r="T116" s="12" t="n"/>
      <c r="U116" s="115" t="n"/>
    </row>
    <row r="117" hidden="1" outlineLevel="2">
      <c r="A117" s="8" t="n"/>
      <c r="B117" s="22" t="n"/>
      <c r="C117" s="115" t="n"/>
      <c r="D117" s="52" t="inlineStr">
        <is>
          <t>MELHORIAS</t>
        </is>
      </c>
      <c r="E117" s="127" t="n"/>
      <c r="F117" s="12" t="n"/>
      <c r="G117" s="126">
        <f>DADOS_AM!$FZ$11</f>
        <v/>
      </c>
      <c r="H117" s="12" t="n"/>
      <c r="I117" s="115" t="n"/>
      <c r="J117" s="52" t="inlineStr">
        <is>
          <t>MELHORIAS</t>
        </is>
      </c>
      <c r="K117" s="127" t="n"/>
      <c r="L117" s="12" t="n"/>
      <c r="M117" s="126">
        <f>DADOS_AM!$FZ$12</f>
        <v/>
      </c>
      <c r="N117" s="12" t="n"/>
      <c r="O117" s="115" t="n"/>
      <c r="P117" s="52" t="inlineStr">
        <is>
          <t>MELHORIAS</t>
        </is>
      </c>
      <c r="Q117" s="127" t="n"/>
      <c r="R117" s="12" t="n"/>
      <c r="S117" s="126">
        <f>DADOS_AM!$FZ$13</f>
        <v/>
      </c>
      <c r="T117" s="12" t="n"/>
      <c r="U117" s="115" t="n"/>
    </row>
    <row r="118" hidden="1" outlineLevel="2">
      <c r="A118" s="8" t="n"/>
      <c r="B118" s="22" t="n"/>
      <c r="C118" s="115" t="n"/>
      <c r="D118" s="128" t="n"/>
      <c r="E118" s="127" t="n"/>
      <c r="F118" s="12" t="n"/>
      <c r="G118" s="126">
        <f>DADOS_AM!$GA$11</f>
        <v/>
      </c>
      <c r="H118" s="12" t="n"/>
      <c r="I118" s="115" t="n"/>
      <c r="J118" s="128" t="n"/>
      <c r="K118" s="127" t="n"/>
      <c r="L118" s="12" t="n"/>
      <c r="M118" s="126">
        <f>DADOS_AM!$GA$12</f>
        <v/>
      </c>
      <c r="N118" s="12" t="n"/>
      <c r="O118" s="115" t="n"/>
      <c r="P118" s="128" t="n"/>
      <c r="Q118" s="127" t="n"/>
      <c r="R118" s="12" t="n"/>
      <c r="S118" s="126">
        <f>DADOS_AM!$GA$13</f>
        <v/>
      </c>
      <c r="T118" s="12" t="n"/>
      <c r="U118" s="115" t="n"/>
    </row>
    <row r="119" hidden="1" outlineLevel="2">
      <c r="A119" s="8" t="n"/>
      <c r="B119" s="22" t="n"/>
      <c r="C119" s="115" t="n"/>
      <c r="D119" s="128" t="n"/>
      <c r="E119" s="127" t="n"/>
      <c r="F119" s="12" t="n"/>
      <c r="G119" s="126">
        <f>DADOS_AM!$GB$11</f>
        <v/>
      </c>
      <c r="H119" s="12" t="n"/>
      <c r="I119" s="115" t="n"/>
      <c r="J119" s="128" t="n"/>
      <c r="K119" s="127" t="n"/>
      <c r="L119" s="12" t="n"/>
      <c r="M119" s="126">
        <f>DADOS_AM!$GB$12</f>
        <v/>
      </c>
      <c r="N119" s="12" t="n"/>
      <c r="O119" s="115" t="n"/>
      <c r="P119" s="128" t="n"/>
      <c r="Q119" s="127" t="n"/>
      <c r="R119" s="12" t="n"/>
      <c r="S119" s="126">
        <f>DADOS_AM!$GB$13</f>
        <v/>
      </c>
      <c r="T119" s="12" t="n"/>
      <c r="U119" s="115" t="n"/>
    </row>
    <row r="120" hidden="1" outlineLevel="2">
      <c r="A120" s="8" t="n"/>
      <c r="B120" s="22" t="n"/>
      <c r="C120" s="115" t="n"/>
      <c r="D120" s="122" t="n"/>
      <c r="E120" s="127" t="n"/>
      <c r="F120" s="12" t="n"/>
      <c r="G120" s="126">
        <f>DADOS_AM!$GC$11</f>
        <v/>
      </c>
      <c r="H120" s="12" t="n"/>
      <c r="I120" s="115" t="n"/>
      <c r="J120" s="122" t="n"/>
      <c r="K120" s="127" t="n"/>
      <c r="L120" s="12" t="n"/>
      <c r="M120" s="126">
        <f>DADOS_AM!$GC$12</f>
        <v/>
      </c>
      <c r="N120" s="12" t="n"/>
      <c r="O120" s="115" t="n"/>
      <c r="P120" s="122" t="n"/>
      <c r="Q120" s="127" t="n"/>
      <c r="R120" s="12" t="n"/>
      <c r="S120" s="126">
        <f>DADOS_AM!$GC$13</f>
        <v/>
      </c>
      <c r="T120" s="12" t="n"/>
      <c r="U120" s="115" t="n"/>
    </row>
    <row r="121" hidden="1" outlineLevel="2">
      <c r="A121" s="8" t="n"/>
      <c r="B121" s="22" t="n"/>
      <c r="C121" s="115" t="n"/>
      <c r="D121" s="52" t="inlineStr">
        <is>
          <t>RESTRIÇÕES</t>
        </is>
      </c>
      <c r="E121" s="127" t="n"/>
      <c r="F121" s="12" t="n"/>
      <c r="G121" s="126">
        <f>DADOS_AM!$GD$11</f>
        <v/>
      </c>
      <c r="H121" s="121" t="b">
        <v>0</v>
      </c>
      <c r="I121" s="115" t="n"/>
      <c r="J121" s="52" t="inlineStr">
        <is>
          <t>RESTRIÇÕES</t>
        </is>
      </c>
      <c r="K121" s="127" t="n"/>
      <c r="L121" s="12" t="n"/>
      <c r="M121" s="126">
        <f>DADOS_AM!$GD$12</f>
        <v/>
      </c>
      <c r="N121" s="121" t="b">
        <v>0</v>
      </c>
      <c r="O121" s="115" t="n"/>
      <c r="P121" s="52" t="inlineStr">
        <is>
          <t>RESTRIÇÕES</t>
        </is>
      </c>
      <c r="Q121" s="127" t="n"/>
      <c r="R121" s="12" t="n"/>
      <c r="S121" s="126">
        <f>DADOS_AM!$GD$13</f>
        <v/>
      </c>
      <c r="T121" s="121" t="b">
        <v>0</v>
      </c>
      <c r="U121" s="115" t="n"/>
    </row>
    <row r="122" hidden="1" outlineLevel="2">
      <c r="A122" s="8" t="n"/>
      <c r="B122" s="22" t="n"/>
      <c r="C122" s="115" t="n"/>
      <c r="D122" s="122" t="n"/>
      <c r="E122" s="127" t="n"/>
      <c r="F122" s="12" t="n"/>
      <c r="G122" s="126">
        <f>DADOS_AM!$GE$11</f>
        <v/>
      </c>
      <c r="H122" s="121" t="b">
        <v>0</v>
      </c>
      <c r="I122" s="115" t="n"/>
      <c r="J122" s="122" t="n"/>
      <c r="K122" s="127" t="n"/>
      <c r="L122" s="12" t="n"/>
      <c r="M122" s="126">
        <f>DADOS_AM!$GE$12</f>
        <v/>
      </c>
      <c r="N122" s="121" t="b">
        <v>0</v>
      </c>
      <c r="O122" s="115" t="n"/>
      <c r="P122" s="122" t="n"/>
      <c r="Q122" s="127" t="n"/>
      <c r="R122" s="12" t="n"/>
      <c r="S122" s="126">
        <f>DADOS_AM!$GE$13</f>
        <v/>
      </c>
      <c r="T122" s="121" t="b">
        <v>0</v>
      </c>
      <c r="U122" s="115" t="n"/>
    </row>
    <row r="123" hidden="1" outlineLevel="2">
      <c r="A123" s="8" t="n"/>
      <c r="B123" s="22" t="n"/>
      <c r="C123" s="115" t="n"/>
      <c r="D123" s="52" t="inlineStr">
        <is>
          <t>CONTA</t>
        </is>
      </c>
      <c r="E123" s="129">
        <f>DADOS_AM!$FX$11</f>
        <v/>
      </c>
      <c r="F123" s="11" t="n"/>
      <c r="G123" s="11" t="n"/>
      <c r="H123" s="12" t="n"/>
      <c r="I123" s="115" t="n"/>
      <c r="J123" s="52" t="inlineStr">
        <is>
          <t>CONTA</t>
        </is>
      </c>
      <c r="K123" s="129">
        <f>DADOS_AM!$FX$12</f>
        <v/>
      </c>
      <c r="L123" s="11" t="n"/>
      <c r="M123" s="11" t="n"/>
      <c r="N123" s="12" t="n"/>
      <c r="O123" s="115" t="n"/>
      <c r="P123" s="52" t="inlineStr">
        <is>
          <t>CONTA</t>
        </is>
      </c>
      <c r="Q123" s="129">
        <f>DADOS_AM!$FX$13</f>
        <v/>
      </c>
      <c r="R123" s="11" t="n"/>
      <c r="S123" s="11" t="n"/>
      <c r="T123" s="12" t="n"/>
      <c r="U123" s="115" t="n"/>
    </row>
    <row r="124" hidden="1" outlineLevel="2">
      <c r="A124" s="8" t="n"/>
      <c r="B124" s="22" t="n"/>
      <c r="C124" s="115" t="n"/>
      <c r="D124" s="52" t="inlineStr">
        <is>
          <t>AMPLIAR</t>
        </is>
      </c>
      <c r="E124" s="129">
        <f>DADOS_AM!$FY$11</f>
        <v/>
      </c>
      <c r="F124" s="14" t="n"/>
      <c r="G124" s="14" t="n"/>
      <c r="H124" s="15" t="n"/>
      <c r="I124" s="115" t="n"/>
      <c r="J124" s="52" t="inlineStr">
        <is>
          <t>AMPLIAR</t>
        </is>
      </c>
      <c r="K124" s="129">
        <f>DADOS_AM!$FY$12</f>
        <v/>
      </c>
      <c r="L124" s="14" t="n"/>
      <c r="M124" s="14" t="n"/>
      <c r="N124" s="15" t="n"/>
      <c r="O124" s="115" t="n"/>
      <c r="P124" s="52" t="inlineStr">
        <is>
          <t>AMPLIAR</t>
        </is>
      </c>
      <c r="Q124" s="129">
        <f>DADOS_AM!$FY$13</f>
        <v/>
      </c>
      <c r="R124" s="14" t="n"/>
      <c r="S124" s="14" t="n"/>
      <c r="T124" s="15" t="n"/>
      <c r="U124" s="115" t="n"/>
    </row>
    <row r="125" hidden="1" outlineLevel="2">
      <c r="A125" s="8" t="n"/>
      <c r="B125" s="22" t="n"/>
      <c r="C125" s="115" t="n"/>
      <c r="D125" s="122" t="n"/>
      <c r="E125" s="18" t="n"/>
      <c r="F125" s="19" t="n"/>
      <c r="G125" s="19" t="n"/>
      <c r="H125" s="20" t="n"/>
      <c r="I125" s="115" t="n"/>
      <c r="J125" s="122" t="n"/>
      <c r="K125" s="18" t="n"/>
      <c r="L125" s="19" t="n"/>
      <c r="M125" s="19" t="n"/>
      <c r="N125" s="20" t="n"/>
      <c r="O125" s="115" t="n"/>
      <c r="P125" s="122" t="n"/>
      <c r="Q125" s="18" t="n"/>
      <c r="R125" s="19" t="n"/>
      <c r="S125" s="19" t="n"/>
      <c r="T125" s="20" t="n"/>
      <c r="U125" s="115" t="n"/>
    </row>
    <row r="126" hidden="1" outlineLevel="2">
      <c r="A126" s="8" t="n"/>
      <c r="B126" s="22" t="n"/>
      <c r="C126" s="115" t="n"/>
      <c r="D126" s="52" t="inlineStr">
        <is>
          <t>AVISOS</t>
        </is>
      </c>
      <c r="E126" s="129">
        <f>DADOS_AM!$FN$11</f>
        <v/>
      </c>
      <c r="F126" s="14" t="n"/>
      <c r="G126" s="14" t="n"/>
      <c r="H126" s="15" t="n"/>
      <c r="I126" s="115" t="n"/>
      <c r="J126" s="52" t="inlineStr">
        <is>
          <t>AVISOS</t>
        </is>
      </c>
      <c r="K126" s="129">
        <f>DADOS_AM!$FN$12</f>
        <v/>
      </c>
      <c r="L126" s="14" t="n"/>
      <c r="M126" s="14" t="n"/>
      <c r="N126" s="15" t="n"/>
      <c r="O126" s="115" t="n"/>
      <c r="P126" s="52" t="inlineStr">
        <is>
          <t>AVISOS</t>
        </is>
      </c>
      <c r="Q126" s="129">
        <f>DADOS_AM!$FN$13</f>
        <v/>
      </c>
      <c r="R126" s="14" t="n"/>
      <c r="S126" s="14" t="n"/>
      <c r="T126" s="15" t="n"/>
      <c r="U126" s="115" t="n"/>
    </row>
    <row r="127" hidden="1" outlineLevel="2">
      <c r="A127" s="8" t="n"/>
      <c r="B127" s="22" t="n"/>
      <c r="C127" s="115" t="n"/>
      <c r="D127" s="122" t="n"/>
      <c r="E127" s="18" t="n"/>
      <c r="F127" s="19" t="n"/>
      <c r="G127" s="19" t="n"/>
      <c r="H127" s="20" t="n"/>
      <c r="I127" s="115" t="n"/>
      <c r="J127" s="122" t="n"/>
      <c r="K127" s="18" t="n"/>
      <c r="L127" s="19" t="n"/>
      <c r="M127" s="19" t="n"/>
      <c r="N127" s="20" t="n"/>
      <c r="O127" s="115" t="n"/>
      <c r="P127" s="122" t="n"/>
      <c r="Q127" s="18" t="n"/>
      <c r="R127" s="19" t="n"/>
      <c r="S127" s="19" t="n"/>
      <c r="T127" s="20" t="n"/>
      <c r="U127" s="115" t="n"/>
    </row>
    <row r="128" outlineLevel="1">
      <c r="A128" s="8" t="n"/>
      <c r="B128" s="22" t="n"/>
      <c r="C128" s="115" t="n"/>
      <c r="D128" s="115" t="n"/>
      <c r="E128" s="115" t="n"/>
      <c r="F128" s="115" t="n"/>
      <c r="G128" s="115" t="n"/>
      <c r="H128" s="115" t="n"/>
      <c r="I128" s="115" t="n"/>
      <c r="J128" s="115" t="n"/>
      <c r="K128" s="115" t="n"/>
      <c r="L128" s="115" t="n"/>
      <c r="M128" s="115" t="n"/>
      <c r="N128" s="115" t="n"/>
      <c r="O128" s="115" t="n"/>
      <c r="P128" s="115" t="n"/>
      <c r="Q128" s="115" t="n"/>
      <c r="R128" s="115" t="n"/>
      <c r="S128" s="115" t="n"/>
      <c r="T128" s="115" t="n"/>
      <c r="U128" s="115" t="n"/>
    </row>
    <row r="129" outlineLevel="1">
      <c r="A129" s="8" t="n"/>
      <c r="B129" s="22" t="n"/>
      <c r="C129" s="115" t="n"/>
      <c r="D129" s="130" t="inlineStr">
        <is>
          <t>FEITIÇOS 13 A 24 · abra quando faltar lugar</t>
        </is>
      </c>
      <c r="E129" s="11" t="n"/>
      <c r="F129" s="11" t="n"/>
      <c r="G129" s="11" t="n"/>
      <c r="H129" s="11" t="n"/>
      <c r="I129" s="11" t="n"/>
      <c r="J129" s="11" t="n"/>
      <c r="K129" s="11" t="n"/>
      <c r="L129" s="11" t="n"/>
      <c r="M129" s="11" t="n"/>
      <c r="N129" s="11" t="n"/>
      <c r="O129" s="11" t="n"/>
      <c r="P129" s="11" t="n"/>
      <c r="Q129" s="11" t="n"/>
      <c r="R129" s="11" t="n"/>
      <c r="S129" s="11" t="n"/>
      <c r="T129" s="12" t="n"/>
      <c r="U129" s="115" t="n"/>
    </row>
    <row r="130" hidden="1" outlineLevel="2">
      <c r="A130" s="8" t="n"/>
      <c r="B130" s="22" t="n"/>
      <c r="C130" s="115" t="n"/>
      <c r="D130" s="115" t="n"/>
      <c r="E130" s="115" t="n"/>
      <c r="F130" s="115" t="n"/>
      <c r="G130" s="115" t="n"/>
      <c r="H130" s="115" t="n"/>
      <c r="I130" s="115" t="n"/>
      <c r="J130" s="115" t="n"/>
      <c r="K130" s="115" t="n"/>
      <c r="L130" s="115" t="n"/>
      <c r="M130" s="115" t="n"/>
      <c r="N130" s="115" t="n"/>
      <c r="O130" s="115" t="n"/>
      <c r="P130" s="115" t="n"/>
      <c r="Q130" s="115" t="n"/>
      <c r="R130" s="115" t="n"/>
      <c r="S130" s="115" t="n"/>
      <c r="T130" s="115" t="n"/>
      <c r="U130" s="115" t="n"/>
    </row>
    <row r="131" hidden="1" outlineLevel="2">
      <c r="A131" s="8" t="n"/>
      <c r="B131" s="22" t="n"/>
      <c r="C131" s="115" t="n"/>
      <c r="D131" s="123" t="n">
        <v>1</v>
      </c>
      <c r="E131" s="124" t="n"/>
      <c r="F131" s="12" t="n"/>
      <c r="G131" s="125">
        <f>DADOS_AM!$FM$14</f>
        <v/>
      </c>
      <c r="H131" s="12" t="n"/>
      <c r="I131" s="115" t="n"/>
      <c r="J131" s="123" t="n">
        <v>1</v>
      </c>
      <c r="K131" s="124" t="n"/>
      <c r="L131" s="12" t="n"/>
      <c r="M131" s="125">
        <f>DADOS_AM!$FM$15</f>
        <v/>
      </c>
      <c r="N131" s="12" t="n"/>
      <c r="O131" s="115" t="n"/>
      <c r="P131" s="123" t="n">
        <v>1</v>
      </c>
      <c r="Q131" s="124" t="n"/>
      <c r="R131" s="12" t="n"/>
      <c r="S131" s="125">
        <f>DADOS_AM!$FM$16</f>
        <v/>
      </c>
      <c r="T131" s="12" t="n"/>
      <c r="U131" s="115" t="n"/>
    </row>
    <row r="132" hidden="1" outlineLevel="3">
      <c r="A132" s="8" t="n"/>
      <c r="B132" s="22" t="n"/>
      <c r="C132" s="115" t="n"/>
      <c r="D132" s="52" t="inlineStr">
        <is>
          <t>COMO É</t>
        </is>
      </c>
      <c r="E132" s="11" t="n"/>
      <c r="F132" s="11" t="n"/>
      <c r="G132" s="11" t="n"/>
      <c r="H132" s="12" t="n"/>
      <c r="I132" s="115" t="n"/>
      <c r="J132" s="52" t="inlineStr">
        <is>
          <t>COMO É</t>
        </is>
      </c>
      <c r="K132" s="11" t="n"/>
      <c r="L132" s="11" t="n"/>
      <c r="M132" s="11" t="n"/>
      <c r="N132" s="12" t="n"/>
      <c r="O132" s="115" t="n"/>
      <c r="P132" s="52" t="inlineStr">
        <is>
          <t>COMO É</t>
        </is>
      </c>
      <c r="Q132" s="11" t="n"/>
      <c r="R132" s="11" t="n"/>
      <c r="S132" s="11" t="n"/>
      <c r="T132" s="12" t="n"/>
      <c r="U132" s="115" t="n"/>
    </row>
    <row r="133" hidden="1" outlineLevel="3">
      <c r="A133" s="8" t="n"/>
      <c r="B133" s="22" t="n"/>
      <c r="C133" s="115" t="n"/>
      <c r="D133" s="120" t="n"/>
      <c r="E133" s="14" t="n"/>
      <c r="F133" s="14" t="n"/>
      <c r="G133" s="14" t="n"/>
      <c r="H133" s="15" t="n"/>
      <c r="I133" s="115" t="n"/>
      <c r="J133" s="120" t="n"/>
      <c r="K133" s="14" t="n"/>
      <c r="L133" s="14" t="n"/>
      <c r="M133" s="14" t="n"/>
      <c r="N133" s="15" t="n"/>
      <c r="O133" s="115" t="n"/>
      <c r="P133" s="120" t="n"/>
      <c r="Q133" s="14" t="n"/>
      <c r="R133" s="14" t="n"/>
      <c r="S133" s="14" t="n"/>
      <c r="T133" s="15" t="n"/>
      <c r="U133" s="115" t="n"/>
    </row>
    <row r="134" hidden="1" outlineLevel="3">
      <c r="A134" s="8" t="n"/>
      <c r="B134" s="22" t="n"/>
      <c r="C134" s="115" t="n"/>
      <c r="D134" s="16" t="n"/>
      <c r="H134" s="17" t="n"/>
      <c r="I134" s="115" t="n"/>
      <c r="J134" s="16" t="n"/>
      <c r="N134" s="17" t="n"/>
      <c r="O134" s="115" t="n"/>
      <c r="P134" s="16" t="n"/>
      <c r="T134" s="17" t="n"/>
      <c r="U134" s="115" t="n"/>
    </row>
    <row r="135" hidden="1" outlineLevel="3">
      <c r="A135" s="8" t="n"/>
      <c r="B135" s="22" t="n"/>
      <c r="C135" s="115" t="n"/>
      <c r="D135" s="16" t="n"/>
      <c r="H135" s="17" t="n"/>
      <c r="I135" s="115" t="n"/>
      <c r="J135" s="16" t="n"/>
      <c r="N135" s="17" t="n"/>
      <c r="O135" s="115" t="n"/>
      <c r="P135" s="16" t="n"/>
      <c r="T135" s="17" t="n"/>
      <c r="U135" s="115" t="n"/>
    </row>
    <row r="136" hidden="1" outlineLevel="3">
      <c r="A136" s="8" t="n"/>
      <c r="B136" s="22" t="n"/>
      <c r="C136" s="115" t="n"/>
      <c r="D136" s="16" t="n"/>
      <c r="H136" s="17" t="n"/>
      <c r="I136" s="115" t="n"/>
      <c r="J136" s="16" t="n"/>
      <c r="N136" s="17" t="n"/>
      <c r="O136" s="115" t="n"/>
      <c r="P136" s="16" t="n"/>
      <c r="T136" s="17" t="n"/>
      <c r="U136" s="115" t="n"/>
    </row>
    <row r="137" hidden="1" outlineLevel="3">
      <c r="A137" s="8" t="n"/>
      <c r="B137" s="22" t="n"/>
      <c r="C137" s="115" t="n"/>
      <c r="D137" s="18" t="n"/>
      <c r="E137" s="19" t="n"/>
      <c r="F137" s="19" t="n"/>
      <c r="G137" s="19" t="n"/>
      <c r="H137" s="20" t="n"/>
      <c r="I137" s="115" t="n"/>
      <c r="J137" s="18" t="n"/>
      <c r="K137" s="19" t="n"/>
      <c r="L137" s="19" t="n"/>
      <c r="M137" s="19" t="n"/>
      <c r="N137" s="20" t="n"/>
      <c r="O137" s="115" t="n"/>
      <c r="P137" s="18" t="n"/>
      <c r="Q137" s="19" t="n"/>
      <c r="R137" s="19" t="n"/>
      <c r="S137" s="19" t="n"/>
      <c r="T137" s="20" t="n"/>
      <c r="U137" s="115" t="n"/>
    </row>
    <row r="138" hidden="1" outlineLevel="2">
      <c r="A138" s="8" t="n"/>
      <c r="B138" s="22" t="n"/>
      <c r="C138" s="115" t="n"/>
      <c r="D138" s="121" t="inlineStr">
        <is>
          <t>Projétil</t>
        </is>
      </c>
      <c r="E138" s="65">
        <f>DADOS_AM!$FR$14</f>
        <v/>
      </c>
      <c r="F138" s="65">
        <f>DADOS_AM!$FO$14</f>
        <v/>
      </c>
      <c r="G138" s="121">
        <f>DADOS_AM!$FQ$14</f>
        <v/>
      </c>
      <c r="H138" s="12" t="n"/>
      <c r="I138" s="115" t="n"/>
      <c r="J138" s="121" t="inlineStr">
        <is>
          <t>Projétil</t>
        </is>
      </c>
      <c r="K138" s="65">
        <f>DADOS_AM!$FR$15</f>
        <v/>
      </c>
      <c r="L138" s="65">
        <f>DADOS_AM!$FO$15</f>
        <v/>
      </c>
      <c r="M138" s="121">
        <f>DADOS_AM!$FQ$15</f>
        <v/>
      </c>
      <c r="N138" s="12" t="n"/>
      <c r="O138" s="115" t="n"/>
      <c r="P138" s="121" t="inlineStr">
        <is>
          <t>Projétil</t>
        </is>
      </c>
      <c r="Q138" s="65">
        <f>DADOS_AM!$FR$16</f>
        <v/>
      </c>
      <c r="R138" s="65">
        <f>DADOS_AM!$FO$16</f>
        <v/>
      </c>
      <c r="S138" s="121">
        <f>DADOS_AM!$FQ$16</f>
        <v/>
      </c>
      <c r="T138" s="12" t="n"/>
      <c r="U138" s="115" t="n"/>
    </row>
    <row r="139" hidden="1" outlineLevel="2">
      <c r="A139" s="8" t="n"/>
      <c r="B139" s="22" t="n"/>
      <c r="C139" s="115" t="n"/>
      <c r="D139" s="121">
        <f>DADOS_AM!$FP$14</f>
        <v/>
      </c>
      <c r="E139" s="126">
        <f>DADOS_AM!$FW$14</f>
        <v/>
      </c>
      <c r="F139" s="11" t="n"/>
      <c r="G139" s="11" t="n"/>
      <c r="H139" s="12" t="n"/>
      <c r="I139" s="115" t="n"/>
      <c r="J139" s="121">
        <f>DADOS_AM!$FP$15</f>
        <v/>
      </c>
      <c r="K139" s="126">
        <f>DADOS_AM!$FW$15</f>
        <v/>
      </c>
      <c r="L139" s="11" t="n"/>
      <c r="M139" s="11" t="n"/>
      <c r="N139" s="12" t="n"/>
      <c r="O139" s="115" t="n"/>
      <c r="P139" s="121">
        <f>DADOS_AM!$FP$16</f>
        <v/>
      </c>
      <c r="Q139" s="126">
        <f>DADOS_AM!$FW$16</f>
        <v/>
      </c>
      <c r="R139" s="11" t="n"/>
      <c r="S139" s="11" t="n"/>
      <c r="T139" s="12" t="n"/>
      <c r="U139" s="115" t="n"/>
    </row>
    <row r="140" hidden="1" outlineLevel="3">
      <c r="A140" s="8" t="n"/>
      <c r="B140" s="22" t="n"/>
      <c r="C140" s="115" t="n"/>
      <c r="D140" s="52" t="inlineStr">
        <is>
          <t>MELHORIAS</t>
        </is>
      </c>
      <c r="E140" s="127" t="n"/>
      <c r="F140" s="12" t="n"/>
      <c r="G140" s="126">
        <f>DADOS_AM!$FZ$14</f>
        <v/>
      </c>
      <c r="H140" s="12" t="n"/>
      <c r="I140" s="115" t="n"/>
      <c r="J140" s="52" t="inlineStr">
        <is>
          <t>MELHORIAS</t>
        </is>
      </c>
      <c r="K140" s="127" t="n"/>
      <c r="L140" s="12" t="n"/>
      <c r="M140" s="126">
        <f>DADOS_AM!$FZ$15</f>
        <v/>
      </c>
      <c r="N140" s="12" t="n"/>
      <c r="O140" s="115" t="n"/>
      <c r="P140" s="52" t="inlineStr">
        <is>
          <t>MELHORIAS</t>
        </is>
      </c>
      <c r="Q140" s="127" t="n"/>
      <c r="R140" s="12" t="n"/>
      <c r="S140" s="126">
        <f>DADOS_AM!$FZ$16</f>
        <v/>
      </c>
      <c r="T140" s="12" t="n"/>
      <c r="U140" s="115" t="n"/>
    </row>
    <row r="141" hidden="1" outlineLevel="3">
      <c r="A141" s="8" t="n"/>
      <c r="B141" s="22" t="n"/>
      <c r="C141" s="115" t="n"/>
      <c r="D141" s="128" t="n"/>
      <c r="E141" s="127" t="n"/>
      <c r="F141" s="12" t="n"/>
      <c r="G141" s="126">
        <f>DADOS_AM!$GA$14</f>
        <v/>
      </c>
      <c r="H141" s="12" t="n"/>
      <c r="I141" s="115" t="n"/>
      <c r="J141" s="128" t="n"/>
      <c r="K141" s="127" t="n"/>
      <c r="L141" s="12" t="n"/>
      <c r="M141" s="126">
        <f>DADOS_AM!$GA$15</f>
        <v/>
      </c>
      <c r="N141" s="12" t="n"/>
      <c r="O141" s="115" t="n"/>
      <c r="P141" s="128" t="n"/>
      <c r="Q141" s="127" t="n"/>
      <c r="R141" s="12" t="n"/>
      <c r="S141" s="126">
        <f>DADOS_AM!$GA$16</f>
        <v/>
      </c>
      <c r="T141" s="12" t="n"/>
      <c r="U141" s="115" t="n"/>
    </row>
    <row r="142" hidden="1" outlineLevel="3">
      <c r="A142" s="8" t="n"/>
      <c r="B142" s="22" t="n"/>
      <c r="C142" s="115" t="n"/>
      <c r="D142" s="128" t="n"/>
      <c r="E142" s="127" t="n"/>
      <c r="F142" s="12" t="n"/>
      <c r="G142" s="126">
        <f>DADOS_AM!$GB$14</f>
        <v/>
      </c>
      <c r="H142" s="12" t="n"/>
      <c r="I142" s="115" t="n"/>
      <c r="J142" s="128" t="n"/>
      <c r="K142" s="127" t="n"/>
      <c r="L142" s="12" t="n"/>
      <c r="M142" s="126">
        <f>DADOS_AM!$GB$15</f>
        <v/>
      </c>
      <c r="N142" s="12" t="n"/>
      <c r="O142" s="115" t="n"/>
      <c r="P142" s="128" t="n"/>
      <c r="Q142" s="127" t="n"/>
      <c r="R142" s="12" t="n"/>
      <c r="S142" s="126">
        <f>DADOS_AM!$GB$16</f>
        <v/>
      </c>
      <c r="T142" s="12" t="n"/>
      <c r="U142" s="115" t="n"/>
    </row>
    <row r="143" hidden="1" outlineLevel="3">
      <c r="A143" s="8" t="n"/>
      <c r="B143" s="22" t="n"/>
      <c r="C143" s="115" t="n"/>
      <c r="D143" s="122" t="n"/>
      <c r="E143" s="127" t="n"/>
      <c r="F143" s="12" t="n"/>
      <c r="G143" s="126">
        <f>DADOS_AM!$GC$14</f>
        <v/>
      </c>
      <c r="H143" s="12" t="n"/>
      <c r="I143" s="115" t="n"/>
      <c r="J143" s="122" t="n"/>
      <c r="K143" s="127" t="n"/>
      <c r="L143" s="12" t="n"/>
      <c r="M143" s="126">
        <f>DADOS_AM!$GC$15</f>
        <v/>
      </c>
      <c r="N143" s="12" t="n"/>
      <c r="O143" s="115" t="n"/>
      <c r="P143" s="122" t="n"/>
      <c r="Q143" s="127" t="n"/>
      <c r="R143" s="12" t="n"/>
      <c r="S143" s="126">
        <f>DADOS_AM!$GC$16</f>
        <v/>
      </c>
      <c r="T143" s="12" t="n"/>
      <c r="U143" s="115" t="n"/>
    </row>
    <row r="144" hidden="1" outlineLevel="3">
      <c r="A144" s="8" t="n"/>
      <c r="B144" s="22" t="n"/>
      <c r="C144" s="115" t="n"/>
      <c r="D144" s="52" t="inlineStr">
        <is>
          <t>RESTRIÇÕES</t>
        </is>
      </c>
      <c r="E144" s="127" t="n"/>
      <c r="F144" s="12" t="n"/>
      <c r="G144" s="126">
        <f>DADOS_AM!$GD$14</f>
        <v/>
      </c>
      <c r="H144" s="121" t="b">
        <v>0</v>
      </c>
      <c r="I144" s="115" t="n"/>
      <c r="J144" s="52" t="inlineStr">
        <is>
          <t>RESTRIÇÕES</t>
        </is>
      </c>
      <c r="K144" s="127" t="n"/>
      <c r="L144" s="12" t="n"/>
      <c r="M144" s="126">
        <f>DADOS_AM!$GD$15</f>
        <v/>
      </c>
      <c r="N144" s="121" t="b">
        <v>0</v>
      </c>
      <c r="O144" s="115" t="n"/>
      <c r="P144" s="52" t="inlineStr">
        <is>
          <t>RESTRIÇÕES</t>
        </is>
      </c>
      <c r="Q144" s="127" t="n"/>
      <c r="R144" s="12" t="n"/>
      <c r="S144" s="126">
        <f>DADOS_AM!$GD$16</f>
        <v/>
      </c>
      <c r="T144" s="121" t="b">
        <v>0</v>
      </c>
      <c r="U144" s="115" t="n"/>
    </row>
    <row r="145" hidden="1" outlineLevel="3">
      <c r="A145" s="8" t="n"/>
      <c r="B145" s="22" t="n"/>
      <c r="C145" s="115" t="n"/>
      <c r="D145" s="122" t="n"/>
      <c r="E145" s="127" t="n"/>
      <c r="F145" s="12" t="n"/>
      <c r="G145" s="126">
        <f>DADOS_AM!$GE$14</f>
        <v/>
      </c>
      <c r="H145" s="121" t="b">
        <v>0</v>
      </c>
      <c r="I145" s="115" t="n"/>
      <c r="J145" s="122" t="n"/>
      <c r="K145" s="127" t="n"/>
      <c r="L145" s="12" t="n"/>
      <c r="M145" s="126">
        <f>DADOS_AM!$GE$15</f>
        <v/>
      </c>
      <c r="N145" s="121" t="b">
        <v>0</v>
      </c>
      <c r="O145" s="115" t="n"/>
      <c r="P145" s="122" t="n"/>
      <c r="Q145" s="127" t="n"/>
      <c r="R145" s="12" t="n"/>
      <c r="S145" s="126">
        <f>DADOS_AM!$GE$16</f>
        <v/>
      </c>
      <c r="T145" s="121" t="b">
        <v>0</v>
      </c>
      <c r="U145" s="115" t="n"/>
    </row>
    <row r="146" hidden="1" outlineLevel="3">
      <c r="A146" s="8" t="n"/>
      <c r="B146" s="22" t="n"/>
      <c r="C146" s="115" t="n"/>
      <c r="D146" s="52" t="inlineStr">
        <is>
          <t>CONTA</t>
        </is>
      </c>
      <c r="E146" s="129">
        <f>DADOS_AM!$FX$14</f>
        <v/>
      </c>
      <c r="F146" s="11" t="n"/>
      <c r="G146" s="11" t="n"/>
      <c r="H146" s="12" t="n"/>
      <c r="I146" s="115" t="n"/>
      <c r="J146" s="52" t="inlineStr">
        <is>
          <t>CONTA</t>
        </is>
      </c>
      <c r="K146" s="129">
        <f>DADOS_AM!$FX$15</f>
        <v/>
      </c>
      <c r="L146" s="11" t="n"/>
      <c r="M146" s="11" t="n"/>
      <c r="N146" s="12" t="n"/>
      <c r="O146" s="115" t="n"/>
      <c r="P146" s="52" t="inlineStr">
        <is>
          <t>CONTA</t>
        </is>
      </c>
      <c r="Q146" s="129">
        <f>DADOS_AM!$FX$16</f>
        <v/>
      </c>
      <c r="R146" s="11" t="n"/>
      <c r="S146" s="11" t="n"/>
      <c r="T146" s="12" t="n"/>
      <c r="U146" s="115" t="n"/>
    </row>
    <row r="147" hidden="1" outlineLevel="3">
      <c r="A147" s="8" t="n"/>
      <c r="B147" s="22" t="n"/>
      <c r="C147" s="115" t="n"/>
      <c r="D147" s="52" t="inlineStr">
        <is>
          <t>AMPLIAR</t>
        </is>
      </c>
      <c r="E147" s="129">
        <f>DADOS_AM!$FY$14</f>
        <v/>
      </c>
      <c r="F147" s="14" t="n"/>
      <c r="G147" s="14" t="n"/>
      <c r="H147" s="15" t="n"/>
      <c r="I147" s="115" t="n"/>
      <c r="J147" s="52" t="inlineStr">
        <is>
          <t>AMPLIAR</t>
        </is>
      </c>
      <c r="K147" s="129">
        <f>DADOS_AM!$FY$15</f>
        <v/>
      </c>
      <c r="L147" s="14" t="n"/>
      <c r="M147" s="14" t="n"/>
      <c r="N147" s="15" t="n"/>
      <c r="O147" s="115" t="n"/>
      <c r="P147" s="52" t="inlineStr">
        <is>
          <t>AMPLIAR</t>
        </is>
      </c>
      <c r="Q147" s="129">
        <f>DADOS_AM!$FY$16</f>
        <v/>
      </c>
      <c r="R147" s="14" t="n"/>
      <c r="S147" s="14" t="n"/>
      <c r="T147" s="15" t="n"/>
      <c r="U147" s="115" t="n"/>
    </row>
    <row r="148" hidden="1" outlineLevel="3">
      <c r="A148" s="8" t="n"/>
      <c r="B148" s="22" t="n"/>
      <c r="C148" s="115" t="n"/>
      <c r="D148" s="122" t="n"/>
      <c r="E148" s="18" t="n"/>
      <c r="F148" s="19" t="n"/>
      <c r="G148" s="19" t="n"/>
      <c r="H148" s="20" t="n"/>
      <c r="I148" s="115" t="n"/>
      <c r="J148" s="122" t="n"/>
      <c r="K148" s="18" t="n"/>
      <c r="L148" s="19" t="n"/>
      <c r="M148" s="19" t="n"/>
      <c r="N148" s="20" t="n"/>
      <c r="O148" s="115" t="n"/>
      <c r="P148" s="122" t="n"/>
      <c r="Q148" s="18" t="n"/>
      <c r="R148" s="19" t="n"/>
      <c r="S148" s="19" t="n"/>
      <c r="T148" s="20" t="n"/>
      <c r="U148" s="115" t="n"/>
    </row>
    <row r="149" hidden="1" outlineLevel="3">
      <c r="A149" s="8" t="n"/>
      <c r="B149" s="22" t="n"/>
      <c r="C149" s="115" t="n"/>
      <c r="D149" s="52" t="inlineStr">
        <is>
          <t>AVISOS</t>
        </is>
      </c>
      <c r="E149" s="129">
        <f>DADOS_AM!$FN$14</f>
        <v/>
      </c>
      <c r="F149" s="14" t="n"/>
      <c r="G149" s="14" t="n"/>
      <c r="H149" s="15" t="n"/>
      <c r="I149" s="115" t="n"/>
      <c r="J149" s="52" t="inlineStr">
        <is>
          <t>AVISOS</t>
        </is>
      </c>
      <c r="K149" s="129">
        <f>DADOS_AM!$FN$15</f>
        <v/>
      </c>
      <c r="L149" s="14" t="n"/>
      <c r="M149" s="14" t="n"/>
      <c r="N149" s="15" t="n"/>
      <c r="O149" s="115" t="n"/>
      <c r="P149" s="52" t="inlineStr">
        <is>
          <t>AVISOS</t>
        </is>
      </c>
      <c r="Q149" s="129">
        <f>DADOS_AM!$FN$16</f>
        <v/>
      </c>
      <c r="R149" s="14" t="n"/>
      <c r="S149" s="14" t="n"/>
      <c r="T149" s="15" t="n"/>
      <c r="U149" s="115" t="n"/>
    </row>
    <row r="150" hidden="1" outlineLevel="3">
      <c r="A150" s="8" t="n"/>
      <c r="B150" s="22" t="n"/>
      <c r="C150" s="115" t="n"/>
      <c r="D150" s="122" t="n"/>
      <c r="E150" s="18" t="n"/>
      <c r="F150" s="19" t="n"/>
      <c r="G150" s="19" t="n"/>
      <c r="H150" s="20" t="n"/>
      <c r="I150" s="115" t="n"/>
      <c r="J150" s="122" t="n"/>
      <c r="K150" s="18" t="n"/>
      <c r="L150" s="19" t="n"/>
      <c r="M150" s="19" t="n"/>
      <c r="N150" s="20" t="n"/>
      <c r="O150" s="115" t="n"/>
      <c r="P150" s="122" t="n"/>
      <c r="Q150" s="18" t="n"/>
      <c r="R150" s="19" t="n"/>
      <c r="S150" s="19" t="n"/>
      <c r="T150" s="20" t="n"/>
      <c r="U150" s="115" t="n"/>
    </row>
    <row r="151" hidden="1" outlineLevel="2">
      <c r="A151" s="8" t="n"/>
      <c r="B151" s="22" t="n"/>
      <c r="C151" s="115" t="n"/>
      <c r="D151" s="115" t="n"/>
      <c r="E151" s="115" t="n"/>
      <c r="F151" s="115" t="n"/>
      <c r="G151" s="115" t="n"/>
      <c r="H151" s="115" t="n"/>
      <c r="I151" s="115" t="n"/>
      <c r="J151" s="115" t="n"/>
      <c r="K151" s="115" t="n"/>
      <c r="L151" s="115" t="n"/>
      <c r="M151" s="115" t="n"/>
      <c r="N151" s="115" t="n"/>
      <c r="O151" s="115" t="n"/>
      <c r="P151" s="115" t="n"/>
      <c r="Q151" s="115" t="n"/>
      <c r="R151" s="115" t="n"/>
      <c r="S151" s="115" t="n"/>
      <c r="T151" s="115" t="n"/>
      <c r="U151" s="115" t="n"/>
    </row>
    <row r="152" hidden="1" outlineLevel="2">
      <c r="A152" s="8" t="n"/>
      <c r="B152" s="22" t="n"/>
      <c r="C152" s="115" t="n"/>
      <c r="D152" s="123" t="n">
        <v>1</v>
      </c>
      <c r="E152" s="124" t="n"/>
      <c r="F152" s="12" t="n"/>
      <c r="G152" s="125">
        <f>DADOS_AM!$FM$17</f>
        <v/>
      </c>
      <c r="H152" s="12" t="n"/>
      <c r="I152" s="115" t="n"/>
      <c r="J152" s="123" t="n">
        <v>1</v>
      </c>
      <c r="K152" s="124" t="n"/>
      <c r="L152" s="12" t="n"/>
      <c r="M152" s="125">
        <f>DADOS_AM!$FM$18</f>
        <v/>
      </c>
      <c r="N152" s="12" t="n"/>
      <c r="O152" s="115" t="n"/>
      <c r="P152" s="123" t="n">
        <v>1</v>
      </c>
      <c r="Q152" s="124" t="n"/>
      <c r="R152" s="12" t="n"/>
      <c r="S152" s="125">
        <f>DADOS_AM!$FM$19</f>
        <v/>
      </c>
      <c r="T152" s="12" t="n"/>
      <c r="U152" s="115" t="n"/>
    </row>
    <row r="153" hidden="1" outlineLevel="3">
      <c r="A153" s="8" t="n"/>
      <c r="B153" s="22" t="n"/>
      <c r="C153" s="115" t="n"/>
      <c r="D153" s="52" t="inlineStr">
        <is>
          <t>COMO É</t>
        </is>
      </c>
      <c r="E153" s="11" t="n"/>
      <c r="F153" s="11" t="n"/>
      <c r="G153" s="11" t="n"/>
      <c r="H153" s="12" t="n"/>
      <c r="I153" s="115" t="n"/>
      <c r="J153" s="52" t="inlineStr">
        <is>
          <t>COMO É</t>
        </is>
      </c>
      <c r="K153" s="11" t="n"/>
      <c r="L153" s="11" t="n"/>
      <c r="M153" s="11" t="n"/>
      <c r="N153" s="12" t="n"/>
      <c r="O153" s="115" t="n"/>
      <c r="P153" s="52" t="inlineStr">
        <is>
          <t>COMO É</t>
        </is>
      </c>
      <c r="Q153" s="11" t="n"/>
      <c r="R153" s="11" t="n"/>
      <c r="S153" s="11" t="n"/>
      <c r="T153" s="12" t="n"/>
      <c r="U153" s="115" t="n"/>
    </row>
    <row r="154" hidden="1" outlineLevel="3">
      <c r="A154" s="8" t="n"/>
      <c r="B154" s="22" t="n"/>
      <c r="C154" s="115" t="n"/>
      <c r="D154" s="120" t="n"/>
      <c r="E154" s="14" t="n"/>
      <c r="F154" s="14" t="n"/>
      <c r="G154" s="14" t="n"/>
      <c r="H154" s="15" t="n"/>
      <c r="I154" s="115" t="n"/>
      <c r="J154" s="120" t="n"/>
      <c r="K154" s="14" t="n"/>
      <c r="L154" s="14" t="n"/>
      <c r="M154" s="14" t="n"/>
      <c r="N154" s="15" t="n"/>
      <c r="O154" s="115" t="n"/>
      <c r="P154" s="120" t="n"/>
      <c r="Q154" s="14" t="n"/>
      <c r="R154" s="14" t="n"/>
      <c r="S154" s="14" t="n"/>
      <c r="T154" s="15" t="n"/>
      <c r="U154" s="115" t="n"/>
    </row>
    <row r="155" hidden="1" outlineLevel="3">
      <c r="A155" s="8" t="n"/>
      <c r="B155" s="22" t="n"/>
      <c r="C155" s="115" t="n"/>
      <c r="D155" s="16" t="n"/>
      <c r="H155" s="17" t="n"/>
      <c r="I155" s="115" t="n"/>
      <c r="J155" s="16" t="n"/>
      <c r="N155" s="17" t="n"/>
      <c r="O155" s="115" t="n"/>
      <c r="P155" s="16" t="n"/>
      <c r="T155" s="17" t="n"/>
      <c r="U155" s="115" t="n"/>
    </row>
    <row r="156" hidden="1" outlineLevel="3">
      <c r="A156" s="8" t="n"/>
      <c r="B156" s="22" t="n"/>
      <c r="C156" s="115" t="n"/>
      <c r="D156" s="16" t="n"/>
      <c r="H156" s="17" t="n"/>
      <c r="I156" s="115" t="n"/>
      <c r="J156" s="16" t="n"/>
      <c r="N156" s="17" t="n"/>
      <c r="O156" s="115" t="n"/>
      <c r="P156" s="16" t="n"/>
      <c r="T156" s="17" t="n"/>
      <c r="U156" s="115" t="n"/>
    </row>
    <row r="157" hidden="1" outlineLevel="3">
      <c r="A157" s="8" t="n"/>
      <c r="B157" s="22" t="n"/>
      <c r="C157" s="115" t="n"/>
      <c r="D157" s="16" t="n"/>
      <c r="H157" s="17" t="n"/>
      <c r="I157" s="115" t="n"/>
      <c r="J157" s="16" t="n"/>
      <c r="N157" s="17" t="n"/>
      <c r="O157" s="115" t="n"/>
      <c r="P157" s="16" t="n"/>
      <c r="T157" s="17" t="n"/>
      <c r="U157" s="115" t="n"/>
    </row>
    <row r="158" hidden="1" outlineLevel="3">
      <c r="A158" s="8" t="n"/>
      <c r="B158" s="22" t="n"/>
      <c r="C158" s="115" t="n"/>
      <c r="D158" s="18" t="n"/>
      <c r="E158" s="19" t="n"/>
      <c r="F158" s="19" t="n"/>
      <c r="G158" s="19" t="n"/>
      <c r="H158" s="20" t="n"/>
      <c r="I158" s="115" t="n"/>
      <c r="J158" s="18" t="n"/>
      <c r="K158" s="19" t="n"/>
      <c r="L158" s="19" t="n"/>
      <c r="M158" s="19" t="n"/>
      <c r="N158" s="20" t="n"/>
      <c r="O158" s="115" t="n"/>
      <c r="P158" s="18" t="n"/>
      <c r="Q158" s="19" t="n"/>
      <c r="R158" s="19" t="n"/>
      <c r="S158" s="19" t="n"/>
      <c r="T158" s="20" t="n"/>
      <c r="U158" s="115" t="n"/>
    </row>
    <row r="159" hidden="1" outlineLevel="2">
      <c r="A159" s="8" t="n"/>
      <c r="B159" s="22" t="n"/>
      <c r="C159" s="115" t="n"/>
      <c r="D159" s="121" t="inlineStr">
        <is>
          <t>Projétil</t>
        </is>
      </c>
      <c r="E159" s="65">
        <f>DADOS_AM!$FR$17</f>
        <v/>
      </c>
      <c r="F159" s="65">
        <f>DADOS_AM!$FO$17</f>
        <v/>
      </c>
      <c r="G159" s="121">
        <f>DADOS_AM!$FQ$17</f>
        <v/>
      </c>
      <c r="H159" s="12" t="n"/>
      <c r="I159" s="115" t="n"/>
      <c r="J159" s="121" t="inlineStr">
        <is>
          <t>Projétil</t>
        </is>
      </c>
      <c r="K159" s="65">
        <f>DADOS_AM!$FR$18</f>
        <v/>
      </c>
      <c r="L159" s="65">
        <f>DADOS_AM!$FO$18</f>
        <v/>
      </c>
      <c r="M159" s="121">
        <f>DADOS_AM!$FQ$18</f>
        <v/>
      </c>
      <c r="N159" s="12" t="n"/>
      <c r="O159" s="115" t="n"/>
      <c r="P159" s="121" t="inlineStr">
        <is>
          <t>Projétil</t>
        </is>
      </c>
      <c r="Q159" s="65">
        <f>DADOS_AM!$FR$19</f>
        <v/>
      </c>
      <c r="R159" s="65">
        <f>DADOS_AM!$FO$19</f>
        <v/>
      </c>
      <c r="S159" s="121">
        <f>DADOS_AM!$FQ$19</f>
        <v/>
      </c>
      <c r="T159" s="12" t="n"/>
      <c r="U159" s="115" t="n"/>
    </row>
    <row r="160" hidden="1" outlineLevel="2">
      <c r="A160" s="8" t="n"/>
      <c r="B160" s="22" t="n"/>
      <c r="C160" s="115" t="n"/>
      <c r="D160" s="121">
        <f>DADOS_AM!$FP$17</f>
        <v/>
      </c>
      <c r="E160" s="126">
        <f>DADOS_AM!$FW$17</f>
        <v/>
      </c>
      <c r="F160" s="11" t="n"/>
      <c r="G160" s="11" t="n"/>
      <c r="H160" s="12" t="n"/>
      <c r="I160" s="115" t="n"/>
      <c r="J160" s="121">
        <f>DADOS_AM!$FP$18</f>
        <v/>
      </c>
      <c r="K160" s="126">
        <f>DADOS_AM!$FW$18</f>
        <v/>
      </c>
      <c r="L160" s="11" t="n"/>
      <c r="M160" s="11" t="n"/>
      <c r="N160" s="12" t="n"/>
      <c r="O160" s="115" t="n"/>
      <c r="P160" s="121">
        <f>DADOS_AM!$FP$19</f>
        <v/>
      </c>
      <c r="Q160" s="126">
        <f>DADOS_AM!$FW$19</f>
        <v/>
      </c>
      <c r="R160" s="11" t="n"/>
      <c r="S160" s="11" t="n"/>
      <c r="T160" s="12" t="n"/>
      <c r="U160" s="115" t="n"/>
    </row>
    <row r="161" hidden="1" outlineLevel="3">
      <c r="A161" s="8" t="n"/>
      <c r="B161" s="22" t="n"/>
      <c r="C161" s="115" t="n"/>
      <c r="D161" s="52" t="inlineStr">
        <is>
          <t>MELHORIAS</t>
        </is>
      </c>
      <c r="E161" s="127" t="n"/>
      <c r="F161" s="12" t="n"/>
      <c r="G161" s="126">
        <f>DADOS_AM!$FZ$17</f>
        <v/>
      </c>
      <c r="H161" s="12" t="n"/>
      <c r="I161" s="115" t="n"/>
      <c r="J161" s="52" t="inlineStr">
        <is>
          <t>MELHORIAS</t>
        </is>
      </c>
      <c r="K161" s="127" t="n"/>
      <c r="L161" s="12" t="n"/>
      <c r="M161" s="126">
        <f>DADOS_AM!$FZ$18</f>
        <v/>
      </c>
      <c r="N161" s="12" t="n"/>
      <c r="O161" s="115" t="n"/>
      <c r="P161" s="52" t="inlineStr">
        <is>
          <t>MELHORIAS</t>
        </is>
      </c>
      <c r="Q161" s="127" t="n"/>
      <c r="R161" s="12" t="n"/>
      <c r="S161" s="126">
        <f>DADOS_AM!$FZ$19</f>
        <v/>
      </c>
      <c r="T161" s="12" t="n"/>
      <c r="U161" s="115" t="n"/>
    </row>
    <row r="162" hidden="1" outlineLevel="3">
      <c r="A162" s="8" t="n"/>
      <c r="B162" s="22" t="n"/>
      <c r="C162" s="115" t="n"/>
      <c r="D162" s="128" t="n"/>
      <c r="E162" s="127" t="n"/>
      <c r="F162" s="12" t="n"/>
      <c r="G162" s="126">
        <f>DADOS_AM!$GA$17</f>
        <v/>
      </c>
      <c r="H162" s="12" t="n"/>
      <c r="I162" s="115" t="n"/>
      <c r="J162" s="128" t="n"/>
      <c r="K162" s="127" t="n"/>
      <c r="L162" s="12" t="n"/>
      <c r="M162" s="126">
        <f>DADOS_AM!$GA$18</f>
        <v/>
      </c>
      <c r="N162" s="12" t="n"/>
      <c r="O162" s="115" t="n"/>
      <c r="P162" s="128" t="n"/>
      <c r="Q162" s="127" t="n"/>
      <c r="R162" s="12" t="n"/>
      <c r="S162" s="126">
        <f>DADOS_AM!$GA$19</f>
        <v/>
      </c>
      <c r="T162" s="12" t="n"/>
      <c r="U162" s="115" t="n"/>
    </row>
    <row r="163" hidden="1" outlineLevel="3">
      <c r="A163" s="8" t="n"/>
      <c r="B163" s="22" t="n"/>
      <c r="C163" s="115" t="n"/>
      <c r="D163" s="128" t="n"/>
      <c r="E163" s="127" t="n"/>
      <c r="F163" s="12" t="n"/>
      <c r="G163" s="126">
        <f>DADOS_AM!$GB$17</f>
        <v/>
      </c>
      <c r="H163" s="12" t="n"/>
      <c r="I163" s="115" t="n"/>
      <c r="J163" s="128" t="n"/>
      <c r="K163" s="127" t="n"/>
      <c r="L163" s="12" t="n"/>
      <c r="M163" s="126">
        <f>DADOS_AM!$GB$18</f>
        <v/>
      </c>
      <c r="N163" s="12" t="n"/>
      <c r="O163" s="115" t="n"/>
      <c r="P163" s="128" t="n"/>
      <c r="Q163" s="127" t="n"/>
      <c r="R163" s="12" t="n"/>
      <c r="S163" s="126">
        <f>DADOS_AM!$GB$19</f>
        <v/>
      </c>
      <c r="T163" s="12" t="n"/>
      <c r="U163" s="115" t="n"/>
    </row>
    <row r="164" hidden="1" outlineLevel="3">
      <c r="A164" s="8" t="n"/>
      <c r="B164" s="22" t="n"/>
      <c r="C164" s="115" t="n"/>
      <c r="D164" s="122" t="n"/>
      <c r="E164" s="127" t="n"/>
      <c r="F164" s="12" t="n"/>
      <c r="G164" s="126">
        <f>DADOS_AM!$GC$17</f>
        <v/>
      </c>
      <c r="H164" s="12" t="n"/>
      <c r="I164" s="115" t="n"/>
      <c r="J164" s="122" t="n"/>
      <c r="K164" s="127" t="n"/>
      <c r="L164" s="12" t="n"/>
      <c r="M164" s="126">
        <f>DADOS_AM!$GC$18</f>
        <v/>
      </c>
      <c r="N164" s="12" t="n"/>
      <c r="O164" s="115" t="n"/>
      <c r="P164" s="122" t="n"/>
      <c r="Q164" s="127" t="n"/>
      <c r="R164" s="12" t="n"/>
      <c r="S164" s="126">
        <f>DADOS_AM!$GC$19</f>
        <v/>
      </c>
      <c r="T164" s="12" t="n"/>
      <c r="U164" s="115" t="n"/>
    </row>
    <row r="165" hidden="1" outlineLevel="3">
      <c r="A165" s="8" t="n"/>
      <c r="B165" s="22" t="n"/>
      <c r="C165" s="115" t="n"/>
      <c r="D165" s="52" t="inlineStr">
        <is>
          <t>RESTRIÇÕES</t>
        </is>
      </c>
      <c r="E165" s="127" t="n"/>
      <c r="F165" s="12" t="n"/>
      <c r="G165" s="126">
        <f>DADOS_AM!$GD$17</f>
        <v/>
      </c>
      <c r="H165" s="121" t="b">
        <v>0</v>
      </c>
      <c r="I165" s="115" t="n"/>
      <c r="J165" s="52" t="inlineStr">
        <is>
          <t>RESTRIÇÕES</t>
        </is>
      </c>
      <c r="K165" s="127" t="n"/>
      <c r="L165" s="12" t="n"/>
      <c r="M165" s="126">
        <f>DADOS_AM!$GD$18</f>
        <v/>
      </c>
      <c r="N165" s="121" t="b">
        <v>0</v>
      </c>
      <c r="O165" s="115" t="n"/>
      <c r="P165" s="52" t="inlineStr">
        <is>
          <t>RESTRIÇÕES</t>
        </is>
      </c>
      <c r="Q165" s="127" t="n"/>
      <c r="R165" s="12" t="n"/>
      <c r="S165" s="126">
        <f>DADOS_AM!$GD$19</f>
        <v/>
      </c>
      <c r="T165" s="121" t="b">
        <v>0</v>
      </c>
      <c r="U165" s="115" t="n"/>
    </row>
    <row r="166" hidden="1" outlineLevel="3">
      <c r="A166" s="8" t="n"/>
      <c r="B166" s="22" t="n"/>
      <c r="C166" s="115" t="n"/>
      <c r="D166" s="122" t="n"/>
      <c r="E166" s="127" t="n"/>
      <c r="F166" s="12" t="n"/>
      <c r="G166" s="126">
        <f>DADOS_AM!$GE$17</f>
        <v/>
      </c>
      <c r="H166" s="121" t="b">
        <v>0</v>
      </c>
      <c r="I166" s="115" t="n"/>
      <c r="J166" s="122" t="n"/>
      <c r="K166" s="127" t="n"/>
      <c r="L166" s="12" t="n"/>
      <c r="M166" s="126">
        <f>DADOS_AM!$GE$18</f>
        <v/>
      </c>
      <c r="N166" s="121" t="b">
        <v>0</v>
      </c>
      <c r="O166" s="115" t="n"/>
      <c r="P166" s="122" t="n"/>
      <c r="Q166" s="127" t="n"/>
      <c r="R166" s="12" t="n"/>
      <c r="S166" s="126">
        <f>DADOS_AM!$GE$19</f>
        <v/>
      </c>
      <c r="T166" s="121" t="b">
        <v>0</v>
      </c>
      <c r="U166" s="115" t="n"/>
    </row>
    <row r="167" hidden="1" outlineLevel="3">
      <c r="A167" s="8" t="n"/>
      <c r="B167" s="22" t="n"/>
      <c r="C167" s="115" t="n"/>
      <c r="D167" s="52" t="inlineStr">
        <is>
          <t>CONTA</t>
        </is>
      </c>
      <c r="E167" s="129">
        <f>DADOS_AM!$FX$17</f>
        <v/>
      </c>
      <c r="F167" s="11" t="n"/>
      <c r="G167" s="11" t="n"/>
      <c r="H167" s="12" t="n"/>
      <c r="I167" s="115" t="n"/>
      <c r="J167" s="52" t="inlineStr">
        <is>
          <t>CONTA</t>
        </is>
      </c>
      <c r="K167" s="129">
        <f>DADOS_AM!$FX$18</f>
        <v/>
      </c>
      <c r="L167" s="11" t="n"/>
      <c r="M167" s="11" t="n"/>
      <c r="N167" s="12" t="n"/>
      <c r="O167" s="115" t="n"/>
      <c r="P167" s="52" t="inlineStr">
        <is>
          <t>CONTA</t>
        </is>
      </c>
      <c r="Q167" s="129">
        <f>DADOS_AM!$FX$19</f>
        <v/>
      </c>
      <c r="R167" s="11" t="n"/>
      <c r="S167" s="11" t="n"/>
      <c r="T167" s="12" t="n"/>
      <c r="U167" s="115" t="n"/>
    </row>
    <row r="168" hidden="1" outlineLevel="3">
      <c r="A168" s="8" t="n"/>
      <c r="B168" s="22" t="n"/>
      <c r="C168" s="115" t="n"/>
      <c r="D168" s="52" t="inlineStr">
        <is>
          <t>AMPLIAR</t>
        </is>
      </c>
      <c r="E168" s="129">
        <f>DADOS_AM!$FY$17</f>
        <v/>
      </c>
      <c r="F168" s="14" t="n"/>
      <c r="G168" s="14" t="n"/>
      <c r="H168" s="15" t="n"/>
      <c r="I168" s="115" t="n"/>
      <c r="J168" s="52" t="inlineStr">
        <is>
          <t>AMPLIAR</t>
        </is>
      </c>
      <c r="K168" s="129">
        <f>DADOS_AM!$FY$18</f>
        <v/>
      </c>
      <c r="L168" s="14" t="n"/>
      <c r="M168" s="14" t="n"/>
      <c r="N168" s="15" t="n"/>
      <c r="O168" s="115" t="n"/>
      <c r="P168" s="52" t="inlineStr">
        <is>
          <t>AMPLIAR</t>
        </is>
      </c>
      <c r="Q168" s="129">
        <f>DADOS_AM!$FY$19</f>
        <v/>
      </c>
      <c r="R168" s="14" t="n"/>
      <c r="S168" s="14" t="n"/>
      <c r="T168" s="15" t="n"/>
      <c r="U168" s="115" t="n"/>
    </row>
    <row r="169" hidden="1" outlineLevel="3">
      <c r="A169" s="8" t="n"/>
      <c r="B169" s="22" t="n"/>
      <c r="C169" s="115" t="n"/>
      <c r="D169" s="122" t="n"/>
      <c r="E169" s="18" t="n"/>
      <c r="F169" s="19" t="n"/>
      <c r="G169" s="19" t="n"/>
      <c r="H169" s="20" t="n"/>
      <c r="I169" s="115" t="n"/>
      <c r="J169" s="122" t="n"/>
      <c r="K169" s="18" t="n"/>
      <c r="L169" s="19" t="n"/>
      <c r="M169" s="19" t="n"/>
      <c r="N169" s="20" t="n"/>
      <c r="O169" s="115" t="n"/>
      <c r="P169" s="122" t="n"/>
      <c r="Q169" s="18" t="n"/>
      <c r="R169" s="19" t="n"/>
      <c r="S169" s="19" t="n"/>
      <c r="T169" s="20" t="n"/>
      <c r="U169" s="115" t="n"/>
    </row>
    <row r="170" hidden="1" outlineLevel="3">
      <c r="A170" s="8" t="n"/>
      <c r="B170" s="22" t="n"/>
      <c r="C170" s="115" t="n"/>
      <c r="D170" s="52" t="inlineStr">
        <is>
          <t>AVISOS</t>
        </is>
      </c>
      <c r="E170" s="129">
        <f>DADOS_AM!$FN$17</f>
        <v/>
      </c>
      <c r="F170" s="14" t="n"/>
      <c r="G170" s="14" t="n"/>
      <c r="H170" s="15" t="n"/>
      <c r="I170" s="115" t="n"/>
      <c r="J170" s="52" t="inlineStr">
        <is>
          <t>AVISOS</t>
        </is>
      </c>
      <c r="K170" s="129">
        <f>DADOS_AM!$FN$18</f>
        <v/>
      </c>
      <c r="L170" s="14" t="n"/>
      <c r="M170" s="14" t="n"/>
      <c r="N170" s="15" t="n"/>
      <c r="O170" s="115" t="n"/>
      <c r="P170" s="52" t="inlineStr">
        <is>
          <t>AVISOS</t>
        </is>
      </c>
      <c r="Q170" s="129">
        <f>DADOS_AM!$FN$19</f>
        <v/>
      </c>
      <c r="R170" s="14" t="n"/>
      <c r="S170" s="14" t="n"/>
      <c r="T170" s="15" t="n"/>
      <c r="U170" s="115" t="n"/>
    </row>
    <row r="171" hidden="1" outlineLevel="3">
      <c r="A171" s="8" t="n"/>
      <c r="B171" s="22" t="n"/>
      <c r="C171" s="115" t="n"/>
      <c r="D171" s="122" t="n"/>
      <c r="E171" s="18" t="n"/>
      <c r="F171" s="19" t="n"/>
      <c r="G171" s="19" t="n"/>
      <c r="H171" s="20" t="n"/>
      <c r="I171" s="115" t="n"/>
      <c r="J171" s="122" t="n"/>
      <c r="K171" s="18" t="n"/>
      <c r="L171" s="19" t="n"/>
      <c r="M171" s="19" t="n"/>
      <c r="N171" s="20" t="n"/>
      <c r="O171" s="115" t="n"/>
      <c r="P171" s="122" t="n"/>
      <c r="Q171" s="18" t="n"/>
      <c r="R171" s="19" t="n"/>
      <c r="S171" s="19" t="n"/>
      <c r="T171" s="20" t="n"/>
      <c r="U171" s="115" t="n"/>
    </row>
    <row r="172" hidden="1" outlineLevel="2">
      <c r="A172" s="8" t="n"/>
      <c r="B172" s="22" t="n"/>
      <c r="C172" s="115" t="n"/>
      <c r="D172" s="115" t="n"/>
      <c r="E172" s="115" t="n"/>
      <c r="F172" s="115" t="n"/>
      <c r="G172" s="115" t="n"/>
      <c r="H172" s="115" t="n"/>
      <c r="I172" s="115" t="n"/>
      <c r="J172" s="115" t="n"/>
      <c r="K172" s="115" t="n"/>
      <c r="L172" s="115" t="n"/>
      <c r="M172" s="115" t="n"/>
      <c r="N172" s="115" t="n"/>
      <c r="O172" s="115" t="n"/>
      <c r="P172" s="115" t="n"/>
      <c r="Q172" s="115" t="n"/>
      <c r="R172" s="115" t="n"/>
      <c r="S172" s="115" t="n"/>
      <c r="T172" s="115" t="n"/>
      <c r="U172" s="115" t="n"/>
    </row>
    <row r="173" hidden="1" outlineLevel="2">
      <c r="A173" s="8" t="n"/>
      <c r="B173" s="22" t="n"/>
      <c r="C173" s="115" t="n"/>
      <c r="D173" s="123" t="n">
        <v>1</v>
      </c>
      <c r="E173" s="124" t="n"/>
      <c r="F173" s="12" t="n"/>
      <c r="G173" s="125">
        <f>DADOS_AM!$FM$20</f>
        <v/>
      </c>
      <c r="H173" s="12" t="n"/>
      <c r="I173" s="115" t="n"/>
      <c r="J173" s="123" t="n">
        <v>1</v>
      </c>
      <c r="K173" s="124" t="n"/>
      <c r="L173" s="12" t="n"/>
      <c r="M173" s="125">
        <f>DADOS_AM!$FM$21</f>
        <v/>
      </c>
      <c r="N173" s="12" t="n"/>
      <c r="O173" s="115" t="n"/>
      <c r="P173" s="123" t="n">
        <v>1</v>
      </c>
      <c r="Q173" s="124" t="n"/>
      <c r="R173" s="12" t="n"/>
      <c r="S173" s="125">
        <f>DADOS_AM!$FM$22</f>
        <v/>
      </c>
      <c r="T173" s="12" t="n"/>
      <c r="U173" s="115" t="n"/>
    </row>
    <row r="174" hidden="1" outlineLevel="3">
      <c r="A174" s="8" t="n"/>
      <c r="B174" s="22" t="n"/>
      <c r="C174" s="115" t="n"/>
      <c r="D174" s="52" t="inlineStr">
        <is>
          <t>COMO É</t>
        </is>
      </c>
      <c r="E174" s="11" t="n"/>
      <c r="F174" s="11" t="n"/>
      <c r="G174" s="11" t="n"/>
      <c r="H174" s="12" t="n"/>
      <c r="I174" s="115" t="n"/>
      <c r="J174" s="52" t="inlineStr">
        <is>
          <t>COMO É</t>
        </is>
      </c>
      <c r="K174" s="11" t="n"/>
      <c r="L174" s="11" t="n"/>
      <c r="M174" s="11" t="n"/>
      <c r="N174" s="12" t="n"/>
      <c r="O174" s="115" t="n"/>
      <c r="P174" s="52" t="inlineStr">
        <is>
          <t>COMO É</t>
        </is>
      </c>
      <c r="Q174" s="11" t="n"/>
      <c r="R174" s="11" t="n"/>
      <c r="S174" s="11" t="n"/>
      <c r="T174" s="12" t="n"/>
      <c r="U174" s="115" t="n"/>
    </row>
    <row r="175" hidden="1" outlineLevel="3">
      <c r="A175" s="8" t="n"/>
      <c r="B175" s="22" t="n"/>
      <c r="C175" s="115" t="n"/>
      <c r="D175" s="120" t="n"/>
      <c r="E175" s="14" t="n"/>
      <c r="F175" s="14" t="n"/>
      <c r="G175" s="14" t="n"/>
      <c r="H175" s="15" t="n"/>
      <c r="I175" s="115" t="n"/>
      <c r="J175" s="120" t="n"/>
      <c r="K175" s="14" t="n"/>
      <c r="L175" s="14" t="n"/>
      <c r="M175" s="14" t="n"/>
      <c r="N175" s="15" t="n"/>
      <c r="O175" s="115" t="n"/>
      <c r="P175" s="120" t="n"/>
      <c r="Q175" s="14" t="n"/>
      <c r="R175" s="14" t="n"/>
      <c r="S175" s="14" t="n"/>
      <c r="T175" s="15" t="n"/>
      <c r="U175" s="115" t="n"/>
    </row>
    <row r="176" hidden="1" outlineLevel="3">
      <c r="A176" s="8" t="n"/>
      <c r="B176" s="22" t="n"/>
      <c r="C176" s="115" t="n"/>
      <c r="D176" s="16" t="n"/>
      <c r="H176" s="17" t="n"/>
      <c r="I176" s="115" t="n"/>
      <c r="J176" s="16" t="n"/>
      <c r="N176" s="17" t="n"/>
      <c r="O176" s="115" t="n"/>
      <c r="P176" s="16" t="n"/>
      <c r="T176" s="17" t="n"/>
      <c r="U176" s="115" t="n"/>
    </row>
    <row r="177" hidden="1" outlineLevel="3">
      <c r="A177" s="8" t="n"/>
      <c r="B177" s="22" t="n"/>
      <c r="C177" s="115" t="n"/>
      <c r="D177" s="16" t="n"/>
      <c r="H177" s="17" t="n"/>
      <c r="I177" s="115" t="n"/>
      <c r="J177" s="16" t="n"/>
      <c r="N177" s="17" t="n"/>
      <c r="O177" s="115" t="n"/>
      <c r="P177" s="16" t="n"/>
      <c r="T177" s="17" t="n"/>
      <c r="U177" s="115" t="n"/>
    </row>
    <row r="178" hidden="1" outlineLevel="3">
      <c r="A178" s="8" t="n"/>
      <c r="B178" s="22" t="n"/>
      <c r="C178" s="115" t="n"/>
      <c r="D178" s="16" t="n"/>
      <c r="H178" s="17" t="n"/>
      <c r="I178" s="115" t="n"/>
      <c r="J178" s="16" t="n"/>
      <c r="N178" s="17" t="n"/>
      <c r="O178" s="115" t="n"/>
      <c r="P178" s="16" t="n"/>
      <c r="T178" s="17" t="n"/>
      <c r="U178" s="115" t="n"/>
    </row>
    <row r="179" hidden="1" outlineLevel="3">
      <c r="A179" s="8" t="n"/>
      <c r="B179" s="22" t="n"/>
      <c r="C179" s="115" t="n"/>
      <c r="D179" s="18" t="n"/>
      <c r="E179" s="19" t="n"/>
      <c r="F179" s="19" t="n"/>
      <c r="G179" s="19" t="n"/>
      <c r="H179" s="20" t="n"/>
      <c r="I179" s="115" t="n"/>
      <c r="J179" s="18" t="n"/>
      <c r="K179" s="19" t="n"/>
      <c r="L179" s="19" t="n"/>
      <c r="M179" s="19" t="n"/>
      <c r="N179" s="20" t="n"/>
      <c r="O179" s="115" t="n"/>
      <c r="P179" s="18" t="n"/>
      <c r="Q179" s="19" t="n"/>
      <c r="R179" s="19" t="n"/>
      <c r="S179" s="19" t="n"/>
      <c r="T179" s="20" t="n"/>
      <c r="U179" s="115" t="n"/>
    </row>
    <row r="180" hidden="1" outlineLevel="2">
      <c r="A180" s="8" t="n"/>
      <c r="B180" s="22" t="n"/>
      <c r="C180" s="115" t="n"/>
      <c r="D180" s="121" t="inlineStr">
        <is>
          <t>Projétil</t>
        </is>
      </c>
      <c r="E180" s="65">
        <f>DADOS_AM!$FR$20</f>
        <v/>
      </c>
      <c r="F180" s="65">
        <f>DADOS_AM!$FO$20</f>
        <v/>
      </c>
      <c r="G180" s="121">
        <f>DADOS_AM!$FQ$20</f>
        <v/>
      </c>
      <c r="H180" s="12" t="n"/>
      <c r="I180" s="115" t="n"/>
      <c r="J180" s="121" t="inlineStr">
        <is>
          <t>Projétil</t>
        </is>
      </c>
      <c r="K180" s="65">
        <f>DADOS_AM!$FR$21</f>
        <v/>
      </c>
      <c r="L180" s="65">
        <f>DADOS_AM!$FO$21</f>
        <v/>
      </c>
      <c r="M180" s="121">
        <f>DADOS_AM!$FQ$21</f>
        <v/>
      </c>
      <c r="N180" s="12" t="n"/>
      <c r="O180" s="115" t="n"/>
      <c r="P180" s="121" t="inlineStr">
        <is>
          <t>Projétil</t>
        </is>
      </c>
      <c r="Q180" s="65">
        <f>DADOS_AM!$FR$22</f>
        <v/>
      </c>
      <c r="R180" s="65">
        <f>DADOS_AM!$FO$22</f>
        <v/>
      </c>
      <c r="S180" s="121">
        <f>DADOS_AM!$FQ$22</f>
        <v/>
      </c>
      <c r="T180" s="12" t="n"/>
      <c r="U180" s="115" t="n"/>
    </row>
    <row r="181" hidden="1" outlineLevel="2">
      <c r="A181" s="8" t="n"/>
      <c r="B181" s="22" t="n"/>
      <c r="C181" s="115" t="n"/>
      <c r="D181" s="121">
        <f>DADOS_AM!$FP$20</f>
        <v/>
      </c>
      <c r="E181" s="126">
        <f>DADOS_AM!$FW$20</f>
        <v/>
      </c>
      <c r="F181" s="11" t="n"/>
      <c r="G181" s="11" t="n"/>
      <c r="H181" s="12" t="n"/>
      <c r="I181" s="115" t="n"/>
      <c r="J181" s="121">
        <f>DADOS_AM!$FP$21</f>
        <v/>
      </c>
      <c r="K181" s="126">
        <f>DADOS_AM!$FW$21</f>
        <v/>
      </c>
      <c r="L181" s="11" t="n"/>
      <c r="M181" s="11" t="n"/>
      <c r="N181" s="12" t="n"/>
      <c r="O181" s="115" t="n"/>
      <c r="P181" s="121">
        <f>DADOS_AM!$FP$22</f>
        <v/>
      </c>
      <c r="Q181" s="126">
        <f>DADOS_AM!$FW$22</f>
        <v/>
      </c>
      <c r="R181" s="11" t="n"/>
      <c r="S181" s="11" t="n"/>
      <c r="T181" s="12" t="n"/>
      <c r="U181" s="115" t="n"/>
    </row>
    <row r="182" hidden="1" outlineLevel="3">
      <c r="A182" s="8" t="n"/>
      <c r="B182" s="22" t="n"/>
      <c r="C182" s="115" t="n"/>
      <c r="D182" s="52" t="inlineStr">
        <is>
          <t>MELHORIAS</t>
        </is>
      </c>
      <c r="E182" s="127" t="n"/>
      <c r="F182" s="12" t="n"/>
      <c r="G182" s="126">
        <f>DADOS_AM!$FZ$20</f>
        <v/>
      </c>
      <c r="H182" s="12" t="n"/>
      <c r="I182" s="115" t="n"/>
      <c r="J182" s="52" t="inlineStr">
        <is>
          <t>MELHORIAS</t>
        </is>
      </c>
      <c r="K182" s="127" t="n"/>
      <c r="L182" s="12" t="n"/>
      <c r="M182" s="126">
        <f>DADOS_AM!$FZ$21</f>
        <v/>
      </c>
      <c r="N182" s="12" t="n"/>
      <c r="O182" s="115" t="n"/>
      <c r="P182" s="52" t="inlineStr">
        <is>
          <t>MELHORIAS</t>
        </is>
      </c>
      <c r="Q182" s="127" t="n"/>
      <c r="R182" s="12" t="n"/>
      <c r="S182" s="126">
        <f>DADOS_AM!$FZ$22</f>
        <v/>
      </c>
      <c r="T182" s="12" t="n"/>
      <c r="U182" s="115" t="n"/>
    </row>
    <row r="183" hidden="1" outlineLevel="3">
      <c r="A183" s="8" t="n"/>
      <c r="B183" s="22" t="n"/>
      <c r="C183" s="115" t="n"/>
      <c r="D183" s="128" t="n"/>
      <c r="E183" s="127" t="n"/>
      <c r="F183" s="12" t="n"/>
      <c r="G183" s="126">
        <f>DADOS_AM!$GA$20</f>
        <v/>
      </c>
      <c r="H183" s="12" t="n"/>
      <c r="I183" s="115" t="n"/>
      <c r="J183" s="128" t="n"/>
      <c r="K183" s="127" t="n"/>
      <c r="L183" s="12" t="n"/>
      <c r="M183" s="126">
        <f>DADOS_AM!$GA$21</f>
        <v/>
      </c>
      <c r="N183" s="12" t="n"/>
      <c r="O183" s="115" t="n"/>
      <c r="P183" s="128" t="n"/>
      <c r="Q183" s="127" t="n"/>
      <c r="R183" s="12" t="n"/>
      <c r="S183" s="126">
        <f>DADOS_AM!$GA$22</f>
        <v/>
      </c>
      <c r="T183" s="12" t="n"/>
      <c r="U183" s="115" t="n"/>
    </row>
    <row r="184" hidden="1" outlineLevel="3">
      <c r="A184" s="8" t="n"/>
      <c r="B184" s="22" t="n"/>
      <c r="C184" s="115" t="n"/>
      <c r="D184" s="128" t="n"/>
      <c r="E184" s="127" t="n"/>
      <c r="F184" s="12" t="n"/>
      <c r="G184" s="126">
        <f>DADOS_AM!$GB$20</f>
        <v/>
      </c>
      <c r="H184" s="12" t="n"/>
      <c r="I184" s="115" t="n"/>
      <c r="J184" s="128" t="n"/>
      <c r="K184" s="127" t="n"/>
      <c r="L184" s="12" t="n"/>
      <c r="M184" s="126">
        <f>DADOS_AM!$GB$21</f>
        <v/>
      </c>
      <c r="N184" s="12" t="n"/>
      <c r="O184" s="115" t="n"/>
      <c r="P184" s="128" t="n"/>
      <c r="Q184" s="127" t="n"/>
      <c r="R184" s="12" t="n"/>
      <c r="S184" s="126">
        <f>DADOS_AM!$GB$22</f>
        <v/>
      </c>
      <c r="T184" s="12" t="n"/>
      <c r="U184" s="115" t="n"/>
    </row>
    <row r="185" hidden="1" outlineLevel="3">
      <c r="A185" s="8" t="n"/>
      <c r="B185" s="22" t="n"/>
      <c r="C185" s="115" t="n"/>
      <c r="D185" s="122" t="n"/>
      <c r="E185" s="127" t="n"/>
      <c r="F185" s="12" t="n"/>
      <c r="G185" s="126">
        <f>DADOS_AM!$GC$20</f>
        <v/>
      </c>
      <c r="H185" s="12" t="n"/>
      <c r="I185" s="115" t="n"/>
      <c r="J185" s="122" t="n"/>
      <c r="K185" s="127" t="n"/>
      <c r="L185" s="12" t="n"/>
      <c r="M185" s="126">
        <f>DADOS_AM!$GC$21</f>
        <v/>
      </c>
      <c r="N185" s="12" t="n"/>
      <c r="O185" s="115" t="n"/>
      <c r="P185" s="122" t="n"/>
      <c r="Q185" s="127" t="n"/>
      <c r="R185" s="12" t="n"/>
      <c r="S185" s="126">
        <f>DADOS_AM!$GC$22</f>
        <v/>
      </c>
      <c r="T185" s="12" t="n"/>
      <c r="U185" s="115" t="n"/>
    </row>
    <row r="186" hidden="1" outlineLevel="3">
      <c r="A186" s="8" t="n"/>
      <c r="B186" s="22" t="n"/>
      <c r="C186" s="115" t="n"/>
      <c r="D186" s="52" t="inlineStr">
        <is>
          <t>RESTRIÇÕES</t>
        </is>
      </c>
      <c r="E186" s="127" t="n"/>
      <c r="F186" s="12" t="n"/>
      <c r="G186" s="126">
        <f>DADOS_AM!$GD$20</f>
        <v/>
      </c>
      <c r="H186" s="121" t="b">
        <v>0</v>
      </c>
      <c r="I186" s="115" t="n"/>
      <c r="J186" s="52" t="inlineStr">
        <is>
          <t>RESTRIÇÕES</t>
        </is>
      </c>
      <c r="K186" s="127" t="n"/>
      <c r="L186" s="12" t="n"/>
      <c r="M186" s="126">
        <f>DADOS_AM!$GD$21</f>
        <v/>
      </c>
      <c r="N186" s="121" t="b">
        <v>0</v>
      </c>
      <c r="O186" s="115" t="n"/>
      <c r="P186" s="52" t="inlineStr">
        <is>
          <t>RESTRIÇÕES</t>
        </is>
      </c>
      <c r="Q186" s="127" t="n"/>
      <c r="R186" s="12" t="n"/>
      <c r="S186" s="126">
        <f>DADOS_AM!$GD$22</f>
        <v/>
      </c>
      <c r="T186" s="121" t="b">
        <v>0</v>
      </c>
      <c r="U186" s="115" t="n"/>
    </row>
    <row r="187" hidden="1" outlineLevel="3">
      <c r="A187" s="8" t="n"/>
      <c r="B187" s="22" t="n"/>
      <c r="C187" s="115" t="n"/>
      <c r="D187" s="122" t="n"/>
      <c r="E187" s="127" t="n"/>
      <c r="F187" s="12" t="n"/>
      <c r="G187" s="126">
        <f>DADOS_AM!$GE$20</f>
        <v/>
      </c>
      <c r="H187" s="121" t="b">
        <v>0</v>
      </c>
      <c r="I187" s="115" t="n"/>
      <c r="J187" s="122" t="n"/>
      <c r="K187" s="127" t="n"/>
      <c r="L187" s="12" t="n"/>
      <c r="M187" s="126">
        <f>DADOS_AM!$GE$21</f>
        <v/>
      </c>
      <c r="N187" s="121" t="b">
        <v>0</v>
      </c>
      <c r="O187" s="115" t="n"/>
      <c r="P187" s="122" t="n"/>
      <c r="Q187" s="127" t="n"/>
      <c r="R187" s="12" t="n"/>
      <c r="S187" s="126">
        <f>DADOS_AM!$GE$22</f>
        <v/>
      </c>
      <c r="T187" s="121" t="b">
        <v>0</v>
      </c>
      <c r="U187" s="115" t="n"/>
    </row>
    <row r="188" hidden="1" outlineLevel="3">
      <c r="A188" s="8" t="n"/>
      <c r="B188" s="22" t="n"/>
      <c r="C188" s="115" t="n"/>
      <c r="D188" s="52" t="inlineStr">
        <is>
          <t>CONTA</t>
        </is>
      </c>
      <c r="E188" s="129">
        <f>DADOS_AM!$FX$20</f>
        <v/>
      </c>
      <c r="F188" s="11" t="n"/>
      <c r="G188" s="11" t="n"/>
      <c r="H188" s="12" t="n"/>
      <c r="I188" s="115" t="n"/>
      <c r="J188" s="52" t="inlineStr">
        <is>
          <t>CONTA</t>
        </is>
      </c>
      <c r="K188" s="129">
        <f>DADOS_AM!$FX$21</f>
        <v/>
      </c>
      <c r="L188" s="11" t="n"/>
      <c r="M188" s="11" t="n"/>
      <c r="N188" s="12" t="n"/>
      <c r="O188" s="115" t="n"/>
      <c r="P188" s="52" t="inlineStr">
        <is>
          <t>CONTA</t>
        </is>
      </c>
      <c r="Q188" s="129">
        <f>DADOS_AM!$FX$22</f>
        <v/>
      </c>
      <c r="R188" s="11" t="n"/>
      <c r="S188" s="11" t="n"/>
      <c r="T188" s="12" t="n"/>
      <c r="U188" s="115" t="n"/>
    </row>
    <row r="189" hidden="1" outlineLevel="3">
      <c r="A189" s="8" t="n"/>
      <c r="B189" s="22" t="n"/>
      <c r="C189" s="115" t="n"/>
      <c r="D189" s="52" t="inlineStr">
        <is>
          <t>AMPLIAR</t>
        </is>
      </c>
      <c r="E189" s="129">
        <f>DADOS_AM!$FY$20</f>
        <v/>
      </c>
      <c r="F189" s="14" t="n"/>
      <c r="G189" s="14" t="n"/>
      <c r="H189" s="15" t="n"/>
      <c r="I189" s="115" t="n"/>
      <c r="J189" s="52" t="inlineStr">
        <is>
          <t>AMPLIAR</t>
        </is>
      </c>
      <c r="K189" s="129">
        <f>DADOS_AM!$FY$21</f>
        <v/>
      </c>
      <c r="L189" s="14" t="n"/>
      <c r="M189" s="14" t="n"/>
      <c r="N189" s="15" t="n"/>
      <c r="O189" s="115" t="n"/>
      <c r="P189" s="52" t="inlineStr">
        <is>
          <t>AMPLIAR</t>
        </is>
      </c>
      <c r="Q189" s="129">
        <f>DADOS_AM!$FY$22</f>
        <v/>
      </c>
      <c r="R189" s="14" t="n"/>
      <c r="S189" s="14" t="n"/>
      <c r="T189" s="15" t="n"/>
      <c r="U189" s="115" t="n"/>
    </row>
    <row r="190" hidden="1" outlineLevel="3">
      <c r="A190" s="8" t="n"/>
      <c r="B190" s="22" t="n"/>
      <c r="C190" s="115" t="n"/>
      <c r="D190" s="122" t="n"/>
      <c r="E190" s="18" t="n"/>
      <c r="F190" s="19" t="n"/>
      <c r="G190" s="19" t="n"/>
      <c r="H190" s="20" t="n"/>
      <c r="I190" s="115" t="n"/>
      <c r="J190" s="122" t="n"/>
      <c r="K190" s="18" t="n"/>
      <c r="L190" s="19" t="n"/>
      <c r="M190" s="19" t="n"/>
      <c r="N190" s="20" t="n"/>
      <c r="O190" s="115" t="n"/>
      <c r="P190" s="122" t="n"/>
      <c r="Q190" s="18" t="n"/>
      <c r="R190" s="19" t="n"/>
      <c r="S190" s="19" t="n"/>
      <c r="T190" s="20" t="n"/>
      <c r="U190" s="115" t="n"/>
    </row>
    <row r="191" hidden="1" outlineLevel="3">
      <c r="A191" s="8" t="n"/>
      <c r="B191" s="22" t="n"/>
      <c r="C191" s="115" t="n"/>
      <c r="D191" s="52" t="inlineStr">
        <is>
          <t>AVISOS</t>
        </is>
      </c>
      <c r="E191" s="129">
        <f>DADOS_AM!$FN$20</f>
        <v/>
      </c>
      <c r="F191" s="14" t="n"/>
      <c r="G191" s="14" t="n"/>
      <c r="H191" s="15" t="n"/>
      <c r="I191" s="115" t="n"/>
      <c r="J191" s="52" t="inlineStr">
        <is>
          <t>AVISOS</t>
        </is>
      </c>
      <c r="K191" s="129">
        <f>DADOS_AM!$FN$21</f>
        <v/>
      </c>
      <c r="L191" s="14" t="n"/>
      <c r="M191" s="14" t="n"/>
      <c r="N191" s="15" t="n"/>
      <c r="O191" s="115" t="n"/>
      <c r="P191" s="52" t="inlineStr">
        <is>
          <t>AVISOS</t>
        </is>
      </c>
      <c r="Q191" s="129">
        <f>DADOS_AM!$FN$22</f>
        <v/>
      </c>
      <c r="R191" s="14" t="n"/>
      <c r="S191" s="14" t="n"/>
      <c r="T191" s="15" t="n"/>
      <c r="U191" s="115" t="n"/>
    </row>
    <row r="192" hidden="1" outlineLevel="3">
      <c r="A192" s="8" t="n"/>
      <c r="B192" s="22" t="n"/>
      <c r="C192" s="115" t="n"/>
      <c r="D192" s="122" t="n"/>
      <c r="E192" s="18" t="n"/>
      <c r="F192" s="19" t="n"/>
      <c r="G192" s="19" t="n"/>
      <c r="H192" s="20" t="n"/>
      <c r="I192" s="115" t="n"/>
      <c r="J192" s="122" t="n"/>
      <c r="K192" s="18" t="n"/>
      <c r="L192" s="19" t="n"/>
      <c r="M192" s="19" t="n"/>
      <c r="N192" s="20" t="n"/>
      <c r="O192" s="115" t="n"/>
      <c r="P192" s="122" t="n"/>
      <c r="Q192" s="18" t="n"/>
      <c r="R192" s="19" t="n"/>
      <c r="S192" s="19" t="n"/>
      <c r="T192" s="20" t="n"/>
      <c r="U192" s="115" t="n"/>
    </row>
    <row r="193" hidden="1" outlineLevel="2">
      <c r="A193" s="8" t="n"/>
      <c r="B193" s="22" t="n"/>
      <c r="C193" s="115" t="n"/>
      <c r="D193" s="115" t="n"/>
      <c r="E193" s="115" t="n"/>
      <c r="F193" s="115" t="n"/>
      <c r="G193" s="115" t="n"/>
      <c r="H193" s="115" t="n"/>
      <c r="I193" s="115" t="n"/>
      <c r="J193" s="115" t="n"/>
      <c r="K193" s="115" t="n"/>
      <c r="L193" s="115" t="n"/>
      <c r="M193" s="115" t="n"/>
      <c r="N193" s="115" t="n"/>
      <c r="O193" s="115" t="n"/>
      <c r="P193" s="115" t="n"/>
      <c r="Q193" s="115" t="n"/>
      <c r="R193" s="115" t="n"/>
      <c r="S193" s="115" t="n"/>
      <c r="T193" s="115" t="n"/>
      <c r="U193" s="115" t="n"/>
    </row>
    <row r="194" hidden="1" outlineLevel="2">
      <c r="A194" s="8" t="n"/>
      <c r="B194" s="22" t="n"/>
      <c r="C194" s="115" t="n"/>
      <c r="D194" s="123" t="n">
        <v>1</v>
      </c>
      <c r="E194" s="124" t="n"/>
      <c r="F194" s="12" t="n"/>
      <c r="G194" s="125">
        <f>DADOS_AM!$FM$23</f>
        <v/>
      </c>
      <c r="H194" s="12" t="n"/>
      <c r="I194" s="115" t="n"/>
      <c r="J194" s="123" t="n">
        <v>1</v>
      </c>
      <c r="K194" s="124" t="n"/>
      <c r="L194" s="12" t="n"/>
      <c r="M194" s="125">
        <f>DADOS_AM!$FM$24</f>
        <v/>
      </c>
      <c r="N194" s="12" t="n"/>
      <c r="O194" s="115" t="n"/>
      <c r="P194" s="123" t="n">
        <v>1</v>
      </c>
      <c r="Q194" s="124" t="n"/>
      <c r="R194" s="12" t="n"/>
      <c r="S194" s="125">
        <f>DADOS_AM!$FM$25</f>
        <v/>
      </c>
      <c r="T194" s="12" t="n"/>
      <c r="U194" s="115" t="n"/>
    </row>
    <row r="195" hidden="1" outlineLevel="3">
      <c r="A195" s="8" t="n"/>
      <c r="B195" s="22" t="n"/>
      <c r="C195" s="115" t="n"/>
      <c r="D195" s="52" t="inlineStr">
        <is>
          <t>COMO É</t>
        </is>
      </c>
      <c r="E195" s="11" t="n"/>
      <c r="F195" s="11" t="n"/>
      <c r="G195" s="11" t="n"/>
      <c r="H195" s="12" t="n"/>
      <c r="I195" s="115" t="n"/>
      <c r="J195" s="52" t="inlineStr">
        <is>
          <t>COMO É</t>
        </is>
      </c>
      <c r="K195" s="11" t="n"/>
      <c r="L195" s="11" t="n"/>
      <c r="M195" s="11" t="n"/>
      <c r="N195" s="12" t="n"/>
      <c r="O195" s="115" t="n"/>
      <c r="P195" s="52" t="inlineStr">
        <is>
          <t>COMO É</t>
        </is>
      </c>
      <c r="Q195" s="11" t="n"/>
      <c r="R195" s="11" t="n"/>
      <c r="S195" s="11" t="n"/>
      <c r="T195" s="12" t="n"/>
      <c r="U195" s="115" t="n"/>
    </row>
    <row r="196" hidden="1" outlineLevel="3">
      <c r="A196" s="8" t="n"/>
      <c r="B196" s="22" t="n"/>
      <c r="C196" s="115" t="n"/>
      <c r="D196" s="120" t="n"/>
      <c r="E196" s="14" t="n"/>
      <c r="F196" s="14" t="n"/>
      <c r="G196" s="14" t="n"/>
      <c r="H196" s="15" t="n"/>
      <c r="I196" s="115" t="n"/>
      <c r="J196" s="120" t="n"/>
      <c r="K196" s="14" t="n"/>
      <c r="L196" s="14" t="n"/>
      <c r="M196" s="14" t="n"/>
      <c r="N196" s="15" t="n"/>
      <c r="O196" s="115" t="n"/>
      <c r="P196" s="120" t="n"/>
      <c r="Q196" s="14" t="n"/>
      <c r="R196" s="14" t="n"/>
      <c r="S196" s="14" t="n"/>
      <c r="T196" s="15" t="n"/>
      <c r="U196" s="115" t="n"/>
    </row>
    <row r="197" hidden="1" outlineLevel="3">
      <c r="A197" s="8" t="n"/>
      <c r="B197" s="22" t="n"/>
      <c r="C197" s="115" t="n"/>
      <c r="D197" s="16" t="n"/>
      <c r="H197" s="17" t="n"/>
      <c r="I197" s="115" t="n"/>
      <c r="J197" s="16" t="n"/>
      <c r="N197" s="17" t="n"/>
      <c r="O197" s="115" t="n"/>
      <c r="P197" s="16" t="n"/>
      <c r="T197" s="17" t="n"/>
      <c r="U197" s="115" t="n"/>
    </row>
    <row r="198" hidden="1" outlineLevel="3">
      <c r="A198" s="8" t="n"/>
      <c r="B198" s="22" t="n"/>
      <c r="C198" s="115" t="n"/>
      <c r="D198" s="16" t="n"/>
      <c r="H198" s="17" t="n"/>
      <c r="I198" s="115" t="n"/>
      <c r="J198" s="16" t="n"/>
      <c r="N198" s="17" t="n"/>
      <c r="O198" s="115" t="n"/>
      <c r="P198" s="16" t="n"/>
      <c r="T198" s="17" t="n"/>
      <c r="U198" s="115" t="n"/>
    </row>
    <row r="199" hidden="1" outlineLevel="3">
      <c r="A199" s="8" t="n"/>
      <c r="B199" s="22" t="n"/>
      <c r="C199" s="115" t="n"/>
      <c r="D199" s="16" t="n"/>
      <c r="H199" s="17" t="n"/>
      <c r="I199" s="115" t="n"/>
      <c r="J199" s="16" t="n"/>
      <c r="N199" s="17" t="n"/>
      <c r="O199" s="115" t="n"/>
      <c r="P199" s="16" t="n"/>
      <c r="T199" s="17" t="n"/>
      <c r="U199" s="115" t="n"/>
    </row>
    <row r="200" hidden="1" outlineLevel="3">
      <c r="A200" s="8" t="n"/>
      <c r="B200" s="22" t="n"/>
      <c r="C200" s="115" t="n"/>
      <c r="D200" s="18" t="n"/>
      <c r="E200" s="19" t="n"/>
      <c r="F200" s="19" t="n"/>
      <c r="G200" s="19" t="n"/>
      <c r="H200" s="20" t="n"/>
      <c r="I200" s="115" t="n"/>
      <c r="J200" s="18" t="n"/>
      <c r="K200" s="19" t="n"/>
      <c r="L200" s="19" t="n"/>
      <c r="M200" s="19" t="n"/>
      <c r="N200" s="20" t="n"/>
      <c r="O200" s="115" t="n"/>
      <c r="P200" s="18" t="n"/>
      <c r="Q200" s="19" t="n"/>
      <c r="R200" s="19" t="n"/>
      <c r="S200" s="19" t="n"/>
      <c r="T200" s="20" t="n"/>
      <c r="U200" s="115" t="n"/>
    </row>
    <row r="201" hidden="1" outlineLevel="2">
      <c r="A201" s="8" t="n"/>
      <c r="B201" s="22" t="n"/>
      <c r="C201" s="115" t="n"/>
      <c r="D201" s="121" t="inlineStr">
        <is>
          <t>Projétil</t>
        </is>
      </c>
      <c r="E201" s="65">
        <f>DADOS_AM!$FR$23</f>
        <v/>
      </c>
      <c r="F201" s="65">
        <f>DADOS_AM!$FO$23</f>
        <v/>
      </c>
      <c r="G201" s="121">
        <f>DADOS_AM!$FQ$23</f>
        <v/>
      </c>
      <c r="H201" s="12" t="n"/>
      <c r="I201" s="115" t="n"/>
      <c r="J201" s="121" t="inlineStr">
        <is>
          <t>Projétil</t>
        </is>
      </c>
      <c r="K201" s="65">
        <f>DADOS_AM!$FR$24</f>
        <v/>
      </c>
      <c r="L201" s="65">
        <f>DADOS_AM!$FO$24</f>
        <v/>
      </c>
      <c r="M201" s="121">
        <f>DADOS_AM!$FQ$24</f>
        <v/>
      </c>
      <c r="N201" s="12" t="n"/>
      <c r="O201" s="115" t="n"/>
      <c r="P201" s="121" t="inlineStr">
        <is>
          <t>Projétil</t>
        </is>
      </c>
      <c r="Q201" s="65">
        <f>DADOS_AM!$FR$25</f>
        <v/>
      </c>
      <c r="R201" s="65">
        <f>DADOS_AM!$FO$25</f>
        <v/>
      </c>
      <c r="S201" s="121">
        <f>DADOS_AM!$FQ$25</f>
        <v/>
      </c>
      <c r="T201" s="12" t="n"/>
      <c r="U201" s="115" t="n"/>
    </row>
    <row r="202" hidden="1" outlineLevel="2">
      <c r="A202" s="8" t="n"/>
      <c r="B202" s="22" t="n"/>
      <c r="C202" s="115" t="n"/>
      <c r="D202" s="121">
        <f>DADOS_AM!$FP$23</f>
        <v/>
      </c>
      <c r="E202" s="126">
        <f>DADOS_AM!$FW$23</f>
        <v/>
      </c>
      <c r="F202" s="11" t="n"/>
      <c r="G202" s="11" t="n"/>
      <c r="H202" s="12" t="n"/>
      <c r="I202" s="115" t="n"/>
      <c r="J202" s="121">
        <f>DADOS_AM!$FP$24</f>
        <v/>
      </c>
      <c r="K202" s="126">
        <f>DADOS_AM!$FW$24</f>
        <v/>
      </c>
      <c r="L202" s="11" t="n"/>
      <c r="M202" s="11" t="n"/>
      <c r="N202" s="12" t="n"/>
      <c r="O202" s="115" t="n"/>
      <c r="P202" s="121">
        <f>DADOS_AM!$FP$25</f>
        <v/>
      </c>
      <c r="Q202" s="126">
        <f>DADOS_AM!$FW$25</f>
        <v/>
      </c>
      <c r="R202" s="11" t="n"/>
      <c r="S202" s="11" t="n"/>
      <c r="T202" s="12" t="n"/>
      <c r="U202" s="115" t="n"/>
    </row>
    <row r="203" hidden="1" outlineLevel="3">
      <c r="A203" s="8" t="n"/>
      <c r="B203" s="22" t="n"/>
      <c r="C203" s="115" t="n"/>
      <c r="D203" s="52" t="inlineStr">
        <is>
          <t>MELHORIAS</t>
        </is>
      </c>
      <c r="E203" s="127" t="n"/>
      <c r="F203" s="12" t="n"/>
      <c r="G203" s="126">
        <f>DADOS_AM!$FZ$23</f>
        <v/>
      </c>
      <c r="H203" s="12" t="n"/>
      <c r="I203" s="115" t="n"/>
      <c r="J203" s="52" t="inlineStr">
        <is>
          <t>MELHORIAS</t>
        </is>
      </c>
      <c r="K203" s="127" t="n"/>
      <c r="L203" s="12" t="n"/>
      <c r="M203" s="126">
        <f>DADOS_AM!$FZ$24</f>
        <v/>
      </c>
      <c r="N203" s="12" t="n"/>
      <c r="O203" s="115" t="n"/>
      <c r="P203" s="52" t="inlineStr">
        <is>
          <t>MELHORIAS</t>
        </is>
      </c>
      <c r="Q203" s="127" t="n"/>
      <c r="R203" s="12" t="n"/>
      <c r="S203" s="126">
        <f>DADOS_AM!$FZ$25</f>
        <v/>
      </c>
      <c r="T203" s="12" t="n"/>
      <c r="U203" s="115" t="n"/>
    </row>
    <row r="204" hidden="1" outlineLevel="3">
      <c r="A204" s="8" t="n"/>
      <c r="B204" s="22" t="n"/>
      <c r="C204" s="115" t="n"/>
      <c r="D204" s="128" t="n"/>
      <c r="E204" s="127" t="n"/>
      <c r="F204" s="12" t="n"/>
      <c r="G204" s="126">
        <f>DADOS_AM!$GA$23</f>
        <v/>
      </c>
      <c r="H204" s="12" t="n"/>
      <c r="I204" s="115" t="n"/>
      <c r="J204" s="128" t="n"/>
      <c r="K204" s="127" t="n"/>
      <c r="L204" s="12" t="n"/>
      <c r="M204" s="126">
        <f>DADOS_AM!$GA$24</f>
        <v/>
      </c>
      <c r="N204" s="12" t="n"/>
      <c r="O204" s="115" t="n"/>
      <c r="P204" s="128" t="n"/>
      <c r="Q204" s="127" t="n"/>
      <c r="R204" s="12" t="n"/>
      <c r="S204" s="126">
        <f>DADOS_AM!$GA$25</f>
        <v/>
      </c>
      <c r="T204" s="12" t="n"/>
      <c r="U204" s="115" t="n"/>
    </row>
    <row r="205" hidden="1" outlineLevel="3">
      <c r="A205" s="8" t="n"/>
      <c r="B205" s="22" t="n"/>
      <c r="C205" s="115" t="n"/>
      <c r="D205" s="128" t="n"/>
      <c r="E205" s="127" t="n"/>
      <c r="F205" s="12" t="n"/>
      <c r="G205" s="126">
        <f>DADOS_AM!$GB$23</f>
        <v/>
      </c>
      <c r="H205" s="12" t="n"/>
      <c r="I205" s="115" t="n"/>
      <c r="J205" s="128" t="n"/>
      <c r="K205" s="127" t="n"/>
      <c r="L205" s="12" t="n"/>
      <c r="M205" s="126">
        <f>DADOS_AM!$GB$24</f>
        <v/>
      </c>
      <c r="N205" s="12" t="n"/>
      <c r="O205" s="115" t="n"/>
      <c r="P205" s="128" t="n"/>
      <c r="Q205" s="127" t="n"/>
      <c r="R205" s="12" t="n"/>
      <c r="S205" s="126">
        <f>DADOS_AM!$GB$25</f>
        <v/>
      </c>
      <c r="T205" s="12" t="n"/>
      <c r="U205" s="115" t="n"/>
    </row>
    <row r="206" hidden="1" outlineLevel="3">
      <c r="A206" s="8" t="n"/>
      <c r="B206" s="22" t="n"/>
      <c r="C206" s="115" t="n"/>
      <c r="D206" s="122" t="n"/>
      <c r="E206" s="127" t="n"/>
      <c r="F206" s="12" t="n"/>
      <c r="G206" s="126">
        <f>DADOS_AM!$GC$23</f>
        <v/>
      </c>
      <c r="H206" s="12" t="n"/>
      <c r="I206" s="115" t="n"/>
      <c r="J206" s="122" t="n"/>
      <c r="K206" s="127" t="n"/>
      <c r="L206" s="12" t="n"/>
      <c r="M206" s="126">
        <f>DADOS_AM!$GC$24</f>
        <v/>
      </c>
      <c r="N206" s="12" t="n"/>
      <c r="O206" s="115" t="n"/>
      <c r="P206" s="122" t="n"/>
      <c r="Q206" s="127" t="n"/>
      <c r="R206" s="12" t="n"/>
      <c r="S206" s="126">
        <f>DADOS_AM!$GC$25</f>
        <v/>
      </c>
      <c r="T206" s="12" t="n"/>
      <c r="U206" s="115" t="n"/>
    </row>
    <row r="207" hidden="1" outlineLevel="3">
      <c r="A207" s="8" t="n"/>
      <c r="B207" s="22" t="n"/>
      <c r="C207" s="115" t="n"/>
      <c r="D207" s="52" t="inlineStr">
        <is>
          <t>RESTRIÇÕES</t>
        </is>
      </c>
      <c r="E207" s="127" t="n"/>
      <c r="F207" s="12" t="n"/>
      <c r="G207" s="126">
        <f>DADOS_AM!$GD$23</f>
        <v/>
      </c>
      <c r="H207" s="121" t="b">
        <v>0</v>
      </c>
      <c r="I207" s="115" t="n"/>
      <c r="J207" s="52" t="inlineStr">
        <is>
          <t>RESTRIÇÕES</t>
        </is>
      </c>
      <c r="K207" s="127" t="n"/>
      <c r="L207" s="12" t="n"/>
      <c r="M207" s="126">
        <f>DADOS_AM!$GD$24</f>
        <v/>
      </c>
      <c r="N207" s="121" t="b">
        <v>0</v>
      </c>
      <c r="O207" s="115" t="n"/>
      <c r="P207" s="52" t="inlineStr">
        <is>
          <t>RESTRIÇÕES</t>
        </is>
      </c>
      <c r="Q207" s="127" t="n"/>
      <c r="R207" s="12" t="n"/>
      <c r="S207" s="126">
        <f>DADOS_AM!$GD$25</f>
        <v/>
      </c>
      <c r="T207" s="121" t="b">
        <v>0</v>
      </c>
      <c r="U207" s="115" t="n"/>
    </row>
    <row r="208" hidden="1" outlineLevel="3">
      <c r="A208" s="8" t="n"/>
      <c r="B208" s="22" t="n"/>
      <c r="C208" s="115" t="n"/>
      <c r="D208" s="122" t="n"/>
      <c r="E208" s="127" t="n"/>
      <c r="F208" s="12" t="n"/>
      <c r="G208" s="126">
        <f>DADOS_AM!$GE$23</f>
        <v/>
      </c>
      <c r="H208" s="121" t="b">
        <v>0</v>
      </c>
      <c r="I208" s="115" t="n"/>
      <c r="J208" s="122" t="n"/>
      <c r="K208" s="127" t="n"/>
      <c r="L208" s="12" t="n"/>
      <c r="M208" s="126">
        <f>DADOS_AM!$GE$24</f>
        <v/>
      </c>
      <c r="N208" s="121" t="b">
        <v>0</v>
      </c>
      <c r="O208" s="115" t="n"/>
      <c r="P208" s="122" t="n"/>
      <c r="Q208" s="127" t="n"/>
      <c r="R208" s="12" t="n"/>
      <c r="S208" s="126">
        <f>DADOS_AM!$GE$25</f>
        <v/>
      </c>
      <c r="T208" s="121" t="b">
        <v>0</v>
      </c>
      <c r="U208" s="115" t="n"/>
    </row>
    <row r="209" hidden="1" outlineLevel="3">
      <c r="A209" s="8" t="n"/>
      <c r="B209" s="22" t="n"/>
      <c r="C209" s="115" t="n"/>
      <c r="D209" s="52" t="inlineStr">
        <is>
          <t>CONTA</t>
        </is>
      </c>
      <c r="E209" s="129">
        <f>DADOS_AM!$FX$23</f>
        <v/>
      </c>
      <c r="F209" s="11" t="n"/>
      <c r="G209" s="11" t="n"/>
      <c r="H209" s="12" t="n"/>
      <c r="I209" s="115" t="n"/>
      <c r="J209" s="52" t="inlineStr">
        <is>
          <t>CONTA</t>
        </is>
      </c>
      <c r="K209" s="129">
        <f>DADOS_AM!$FX$24</f>
        <v/>
      </c>
      <c r="L209" s="11" t="n"/>
      <c r="M209" s="11" t="n"/>
      <c r="N209" s="12" t="n"/>
      <c r="O209" s="115" t="n"/>
      <c r="P209" s="52" t="inlineStr">
        <is>
          <t>CONTA</t>
        </is>
      </c>
      <c r="Q209" s="129">
        <f>DADOS_AM!$FX$25</f>
        <v/>
      </c>
      <c r="R209" s="11" t="n"/>
      <c r="S209" s="11" t="n"/>
      <c r="T209" s="12" t="n"/>
      <c r="U209" s="115" t="n"/>
    </row>
    <row r="210" hidden="1" outlineLevel="3">
      <c r="A210" s="8" t="n"/>
      <c r="B210" s="22" t="n"/>
      <c r="C210" s="115" t="n"/>
      <c r="D210" s="52" t="inlineStr">
        <is>
          <t>AMPLIAR</t>
        </is>
      </c>
      <c r="E210" s="129">
        <f>DADOS_AM!$FY$23</f>
        <v/>
      </c>
      <c r="F210" s="14" t="n"/>
      <c r="G210" s="14" t="n"/>
      <c r="H210" s="15" t="n"/>
      <c r="I210" s="115" t="n"/>
      <c r="J210" s="52" t="inlineStr">
        <is>
          <t>AMPLIAR</t>
        </is>
      </c>
      <c r="K210" s="129">
        <f>DADOS_AM!$FY$24</f>
        <v/>
      </c>
      <c r="L210" s="14" t="n"/>
      <c r="M210" s="14" t="n"/>
      <c r="N210" s="15" t="n"/>
      <c r="O210" s="115" t="n"/>
      <c r="P210" s="52" t="inlineStr">
        <is>
          <t>AMPLIAR</t>
        </is>
      </c>
      <c r="Q210" s="129">
        <f>DADOS_AM!$FY$25</f>
        <v/>
      </c>
      <c r="R210" s="14" t="n"/>
      <c r="S210" s="14" t="n"/>
      <c r="T210" s="15" t="n"/>
      <c r="U210" s="115" t="n"/>
    </row>
    <row r="211" hidden="1" outlineLevel="3">
      <c r="A211" s="8" t="n"/>
      <c r="B211" s="22" t="n"/>
      <c r="C211" s="115" t="n"/>
      <c r="D211" s="122" t="n"/>
      <c r="E211" s="18" t="n"/>
      <c r="F211" s="19" t="n"/>
      <c r="G211" s="19" t="n"/>
      <c r="H211" s="20" t="n"/>
      <c r="I211" s="115" t="n"/>
      <c r="J211" s="122" t="n"/>
      <c r="K211" s="18" t="n"/>
      <c r="L211" s="19" t="n"/>
      <c r="M211" s="19" t="n"/>
      <c r="N211" s="20" t="n"/>
      <c r="O211" s="115" t="n"/>
      <c r="P211" s="122" t="n"/>
      <c r="Q211" s="18" t="n"/>
      <c r="R211" s="19" t="n"/>
      <c r="S211" s="19" t="n"/>
      <c r="T211" s="20" t="n"/>
      <c r="U211" s="115" t="n"/>
    </row>
    <row r="212" hidden="1" outlineLevel="3">
      <c r="A212" s="8" t="n"/>
      <c r="B212" s="22" t="n"/>
      <c r="C212" s="115" t="n"/>
      <c r="D212" s="52" t="inlineStr">
        <is>
          <t>AVISOS</t>
        </is>
      </c>
      <c r="E212" s="129">
        <f>DADOS_AM!$FN$23</f>
        <v/>
      </c>
      <c r="F212" s="14" t="n"/>
      <c r="G212" s="14" t="n"/>
      <c r="H212" s="15" t="n"/>
      <c r="I212" s="115" t="n"/>
      <c r="J212" s="52" t="inlineStr">
        <is>
          <t>AVISOS</t>
        </is>
      </c>
      <c r="K212" s="129">
        <f>DADOS_AM!$FN$24</f>
        <v/>
      </c>
      <c r="L212" s="14" t="n"/>
      <c r="M212" s="14" t="n"/>
      <c r="N212" s="15" t="n"/>
      <c r="O212" s="115" t="n"/>
      <c r="P212" s="52" t="inlineStr">
        <is>
          <t>AVISOS</t>
        </is>
      </c>
      <c r="Q212" s="129">
        <f>DADOS_AM!$FN$25</f>
        <v/>
      </c>
      <c r="R212" s="14" t="n"/>
      <c r="S212" s="14" t="n"/>
      <c r="T212" s="15" t="n"/>
      <c r="U212" s="115" t="n"/>
    </row>
    <row r="213" hidden="1" outlineLevel="3">
      <c r="A213" s="8" t="n"/>
      <c r="B213" s="22" t="n"/>
      <c r="C213" s="115" t="n"/>
      <c r="D213" s="122" t="n"/>
      <c r="E213" s="18" t="n"/>
      <c r="F213" s="19" t="n"/>
      <c r="G213" s="19" t="n"/>
      <c r="H213" s="20" t="n"/>
      <c r="I213" s="115" t="n"/>
      <c r="J213" s="122" t="n"/>
      <c r="K213" s="18" t="n"/>
      <c r="L213" s="19" t="n"/>
      <c r="M213" s="19" t="n"/>
      <c r="N213" s="20" t="n"/>
      <c r="O213" s="115" t="n"/>
      <c r="P213" s="122" t="n"/>
      <c r="Q213" s="18" t="n"/>
      <c r="R213" s="19" t="n"/>
      <c r="S213" s="19" t="n"/>
      <c r="T213" s="20" t="n"/>
      <c r="U213" s="115" t="n"/>
    </row>
    <row r="214" outlineLevel="1">
      <c r="A214" s="8" t="n"/>
      <c r="B214" s="22" t="n"/>
      <c r="C214" s="115" t="n"/>
      <c r="D214" s="115" t="n"/>
      <c r="E214" s="115" t="n"/>
      <c r="F214" s="115" t="n"/>
      <c r="G214" s="115" t="n"/>
      <c r="H214" s="115" t="n"/>
      <c r="I214" s="115" t="n"/>
      <c r="J214" s="115" t="n"/>
      <c r="K214" s="115" t="n"/>
      <c r="L214" s="115" t="n"/>
      <c r="M214" s="115" t="n"/>
      <c r="N214" s="115" t="n"/>
      <c r="O214" s="115" t="n"/>
      <c r="P214" s="115" t="n"/>
      <c r="Q214" s="115" t="n"/>
      <c r="R214" s="115" t="n"/>
      <c r="S214" s="115" t="n"/>
      <c r="T214" s="115" t="n"/>
      <c r="U214" s="115" t="n"/>
    </row>
    <row r="215" outlineLevel="1">
      <c r="A215" s="8" t="n"/>
      <c r="B215" s="22" t="n"/>
      <c r="C215" s="115" t="n"/>
      <c r="D215" s="130" t="inlineStr">
        <is>
          <t>FEITIÇOS 25 A 36 · abra quando faltar lugar</t>
        </is>
      </c>
      <c r="E215" s="11" t="n"/>
      <c r="F215" s="11" t="n"/>
      <c r="G215" s="11" t="n"/>
      <c r="H215" s="11" t="n"/>
      <c r="I215" s="11" t="n"/>
      <c r="J215" s="11" t="n"/>
      <c r="K215" s="11" t="n"/>
      <c r="L215" s="11" t="n"/>
      <c r="M215" s="11" t="n"/>
      <c r="N215" s="11" t="n"/>
      <c r="O215" s="11" t="n"/>
      <c r="P215" s="11" t="n"/>
      <c r="Q215" s="11" t="n"/>
      <c r="R215" s="11" t="n"/>
      <c r="S215" s="11" t="n"/>
      <c r="T215" s="12" t="n"/>
      <c r="U215" s="115" t="n"/>
    </row>
    <row r="216" hidden="1" outlineLevel="2">
      <c r="A216" s="8" t="n"/>
      <c r="B216" s="22" t="n"/>
      <c r="C216" s="115" t="n"/>
      <c r="D216" s="115" t="n"/>
      <c r="E216" s="115" t="n"/>
      <c r="F216" s="115" t="n"/>
      <c r="G216" s="115" t="n"/>
      <c r="H216" s="115" t="n"/>
      <c r="I216" s="115" t="n"/>
      <c r="J216" s="115" t="n"/>
      <c r="K216" s="115" t="n"/>
      <c r="L216" s="115" t="n"/>
      <c r="M216" s="115" t="n"/>
      <c r="N216" s="115" t="n"/>
      <c r="O216" s="115" t="n"/>
      <c r="P216" s="115" t="n"/>
      <c r="Q216" s="115" t="n"/>
      <c r="R216" s="115" t="n"/>
      <c r="S216" s="115" t="n"/>
      <c r="T216" s="115" t="n"/>
      <c r="U216" s="115" t="n"/>
    </row>
    <row r="217" hidden="1" outlineLevel="2">
      <c r="A217" s="8" t="n"/>
      <c r="B217" s="22" t="n"/>
      <c r="C217" s="115" t="n"/>
      <c r="D217" s="123" t="n">
        <v>1</v>
      </c>
      <c r="E217" s="124" t="n"/>
      <c r="F217" s="12" t="n"/>
      <c r="G217" s="125">
        <f>DADOS_AM!$FM$26</f>
        <v/>
      </c>
      <c r="H217" s="12" t="n"/>
      <c r="I217" s="115" t="n"/>
      <c r="J217" s="123" t="n">
        <v>1</v>
      </c>
      <c r="K217" s="124" t="n"/>
      <c r="L217" s="12" t="n"/>
      <c r="M217" s="125">
        <f>DADOS_AM!$FM$27</f>
        <v/>
      </c>
      <c r="N217" s="12" t="n"/>
      <c r="O217" s="115" t="n"/>
      <c r="P217" s="123" t="n">
        <v>1</v>
      </c>
      <c r="Q217" s="124" t="n"/>
      <c r="R217" s="12" t="n"/>
      <c r="S217" s="125">
        <f>DADOS_AM!$FM$28</f>
        <v/>
      </c>
      <c r="T217" s="12" t="n"/>
      <c r="U217" s="115" t="n"/>
    </row>
    <row r="218" hidden="1" outlineLevel="3">
      <c r="A218" s="8" t="n"/>
      <c r="B218" s="22" t="n"/>
      <c r="C218" s="115" t="n"/>
      <c r="D218" s="52" t="inlineStr">
        <is>
          <t>COMO É</t>
        </is>
      </c>
      <c r="E218" s="11" t="n"/>
      <c r="F218" s="11" t="n"/>
      <c r="G218" s="11" t="n"/>
      <c r="H218" s="12" t="n"/>
      <c r="I218" s="115" t="n"/>
      <c r="J218" s="52" t="inlineStr">
        <is>
          <t>COMO É</t>
        </is>
      </c>
      <c r="K218" s="11" t="n"/>
      <c r="L218" s="11" t="n"/>
      <c r="M218" s="11" t="n"/>
      <c r="N218" s="12" t="n"/>
      <c r="O218" s="115" t="n"/>
      <c r="P218" s="52" t="inlineStr">
        <is>
          <t>COMO É</t>
        </is>
      </c>
      <c r="Q218" s="11" t="n"/>
      <c r="R218" s="11" t="n"/>
      <c r="S218" s="11" t="n"/>
      <c r="T218" s="12" t="n"/>
      <c r="U218" s="115" t="n"/>
    </row>
    <row r="219" hidden="1" outlineLevel="3">
      <c r="A219" s="8" t="n"/>
      <c r="B219" s="22" t="n"/>
      <c r="C219" s="115" t="n"/>
      <c r="D219" s="120" t="n"/>
      <c r="E219" s="14" t="n"/>
      <c r="F219" s="14" t="n"/>
      <c r="G219" s="14" t="n"/>
      <c r="H219" s="15" t="n"/>
      <c r="I219" s="115" t="n"/>
      <c r="J219" s="120" t="n"/>
      <c r="K219" s="14" t="n"/>
      <c r="L219" s="14" t="n"/>
      <c r="M219" s="14" t="n"/>
      <c r="N219" s="15" t="n"/>
      <c r="O219" s="115" t="n"/>
      <c r="P219" s="120" t="n"/>
      <c r="Q219" s="14" t="n"/>
      <c r="R219" s="14" t="n"/>
      <c r="S219" s="14" t="n"/>
      <c r="T219" s="15" t="n"/>
      <c r="U219" s="115" t="n"/>
    </row>
    <row r="220" hidden="1" outlineLevel="3">
      <c r="A220" s="8" t="n"/>
      <c r="B220" s="22" t="n"/>
      <c r="C220" s="115" t="n"/>
      <c r="D220" s="16" t="n"/>
      <c r="H220" s="17" t="n"/>
      <c r="I220" s="115" t="n"/>
      <c r="J220" s="16" t="n"/>
      <c r="N220" s="17" t="n"/>
      <c r="O220" s="115" t="n"/>
      <c r="P220" s="16" t="n"/>
      <c r="T220" s="17" t="n"/>
      <c r="U220" s="115" t="n"/>
    </row>
    <row r="221" hidden="1" outlineLevel="3">
      <c r="A221" s="8" t="n"/>
      <c r="B221" s="22" t="n"/>
      <c r="C221" s="115" t="n"/>
      <c r="D221" s="16" t="n"/>
      <c r="H221" s="17" t="n"/>
      <c r="I221" s="115" t="n"/>
      <c r="J221" s="16" t="n"/>
      <c r="N221" s="17" t="n"/>
      <c r="O221" s="115" t="n"/>
      <c r="P221" s="16" t="n"/>
      <c r="T221" s="17" t="n"/>
      <c r="U221" s="115" t="n"/>
    </row>
    <row r="222" hidden="1" outlineLevel="3">
      <c r="A222" s="8" t="n"/>
      <c r="B222" s="22" t="n"/>
      <c r="C222" s="115" t="n"/>
      <c r="D222" s="16" t="n"/>
      <c r="H222" s="17" t="n"/>
      <c r="I222" s="115" t="n"/>
      <c r="J222" s="16" t="n"/>
      <c r="N222" s="17" t="n"/>
      <c r="O222" s="115" t="n"/>
      <c r="P222" s="16" t="n"/>
      <c r="T222" s="17" t="n"/>
      <c r="U222" s="115" t="n"/>
    </row>
    <row r="223" hidden="1" outlineLevel="3">
      <c r="A223" s="8" t="n"/>
      <c r="B223" s="22" t="n"/>
      <c r="C223" s="115" t="n"/>
      <c r="D223" s="18" t="n"/>
      <c r="E223" s="19" t="n"/>
      <c r="F223" s="19" t="n"/>
      <c r="G223" s="19" t="n"/>
      <c r="H223" s="20" t="n"/>
      <c r="I223" s="115" t="n"/>
      <c r="J223" s="18" t="n"/>
      <c r="K223" s="19" t="n"/>
      <c r="L223" s="19" t="n"/>
      <c r="M223" s="19" t="n"/>
      <c r="N223" s="20" t="n"/>
      <c r="O223" s="115" t="n"/>
      <c r="P223" s="18" t="n"/>
      <c r="Q223" s="19" t="n"/>
      <c r="R223" s="19" t="n"/>
      <c r="S223" s="19" t="n"/>
      <c r="T223" s="20" t="n"/>
      <c r="U223" s="115" t="n"/>
    </row>
    <row r="224" hidden="1" outlineLevel="2">
      <c r="A224" s="8" t="n"/>
      <c r="B224" s="22" t="n"/>
      <c r="C224" s="115" t="n"/>
      <c r="D224" s="121" t="inlineStr">
        <is>
          <t>Projétil</t>
        </is>
      </c>
      <c r="E224" s="65">
        <f>DADOS_AM!$FR$26</f>
        <v/>
      </c>
      <c r="F224" s="65">
        <f>DADOS_AM!$FO$26</f>
        <v/>
      </c>
      <c r="G224" s="121">
        <f>DADOS_AM!$FQ$26</f>
        <v/>
      </c>
      <c r="H224" s="12" t="n"/>
      <c r="I224" s="115" t="n"/>
      <c r="J224" s="121" t="inlineStr">
        <is>
          <t>Projétil</t>
        </is>
      </c>
      <c r="K224" s="65">
        <f>DADOS_AM!$FR$27</f>
        <v/>
      </c>
      <c r="L224" s="65">
        <f>DADOS_AM!$FO$27</f>
        <v/>
      </c>
      <c r="M224" s="121">
        <f>DADOS_AM!$FQ$27</f>
        <v/>
      </c>
      <c r="N224" s="12" t="n"/>
      <c r="O224" s="115" t="n"/>
      <c r="P224" s="121" t="inlineStr">
        <is>
          <t>Projétil</t>
        </is>
      </c>
      <c r="Q224" s="65">
        <f>DADOS_AM!$FR$28</f>
        <v/>
      </c>
      <c r="R224" s="65">
        <f>DADOS_AM!$FO$28</f>
        <v/>
      </c>
      <c r="S224" s="121">
        <f>DADOS_AM!$FQ$28</f>
        <v/>
      </c>
      <c r="T224" s="12" t="n"/>
      <c r="U224" s="115" t="n"/>
    </row>
    <row r="225" hidden="1" outlineLevel="2">
      <c r="A225" s="8" t="n"/>
      <c r="B225" s="22" t="n"/>
      <c r="C225" s="115" t="n"/>
      <c r="D225" s="121">
        <f>DADOS_AM!$FP$26</f>
        <v/>
      </c>
      <c r="E225" s="126">
        <f>DADOS_AM!$FW$26</f>
        <v/>
      </c>
      <c r="F225" s="11" t="n"/>
      <c r="G225" s="11" t="n"/>
      <c r="H225" s="12" t="n"/>
      <c r="I225" s="115" t="n"/>
      <c r="J225" s="121">
        <f>DADOS_AM!$FP$27</f>
        <v/>
      </c>
      <c r="K225" s="126">
        <f>DADOS_AM!$FW$27</f>
        <v/>
      </c>
      <c r="L225" s="11" t="n"/>
      <c r="M225" s="11" t="n"/>
      <c r="N225" s="12" t="n"/>
      <c r="O225" s="115" t="n"/>
      <c r="P225" s="121">
        <f>DADOS_AM!$FP$28</f>
        <v/>
      </c>
      <c r="Q225" s="126">
        <f>DADOS_AM!$FW$28</f>
        <v/>
      </c>
      <c r="R225" s="11" t="n"/>
      <c r="S225" s="11" t="n"/>
      <c r="T225" s="12" t="n"/>
      <c r="U225" s="115" t="n"/>
    </row>
    <row r="226" hidden="1" outlineLevel="3">
      <c r="A226" s="8" t="n"/>
      <c r="B226" s="22" t="n"/>
      <c r="C226" s="115" t="n"/>
      <c r="D226" s="52" t="inlineStr">
        <is>
          <t>MELHORIAS</t>
        </is>
      </c>
      <c r="E226" s="127" t="n"/>
      <c r="F226" s="12" t="n"/>
      <c r="G226" s="126">
        <f>DADOS_AM!$FZ$26</f>
        <v/>
      </c>
      <c r="H226" s="12" t="n"/>
      <c r="I226" s="115" t="n"/>
      <c r="J226" s="52" t="inlineStr">
        <is>
          <t>MELHORIAS</t>
        </is>
      </c>
      <c r="K226" s="127" t="n"/>
      <c r="L226" s="12" t="n"/>
      <c r="M226" s="126">
        <f>DADOS_AM!$FZ$27</f>
        <v/>
      </c>
      <c r="N226" s="12" t="n"/>
      <c r="O226" s="115" t="n"/>
      <c r="P226" s="52" t="inlineStr">
        <is>
          <t>MELHORIAS</t>
        </is>
      </c>
      <c r="Q226" s="127" t="n"/>
      <c r="R226" s="12" t="n"/>
      <c r="S226" s="126">
        <f>DADOS_AM!$FZ$28</f>
        <v/>
      </c>
      <c r="T226" s="12" t="n"/>
      <c r="U226" s="115" t="n"/>
    </row>
    <row r="227" hidden="1" outlineLevel="3">
      <c r="A227" s="8" t="n"/>
      <c r="B227" s="22" t="n"/>
      <c r="C227" s="115" t="n"/>
      <c r="D227" s="128" t="n"/>
      <c r="E227" s="127" t="n"/>
      <c r="F227" s="12" t="n"/>
      <c r="G227" s="126">
        <f>DADOS_AM!$GA$26</f>
        <v/>
      </c>
      <c r="H227" s="12" t="n"/>
      <c r="I227" s="115" t="n"/>
      <c r="J227" s="128" t="n"/>
      <c r="K227" s="127" t="n"/>
      <c r="L227" s="12" t="n"/>
      <c r="M227" s="126">
        <f>DADOS_AM!$GA$27</f>
        <v/>
      </c>
      <c r="N227" s="12" t="n"/>
      <c r="O227" s="115" t="n"/>
      <c r="P227" s="128" t="n"/>
      <c r="Q227" s="127" t="n"/>
      <c r="R227" s="12" t="n"/>
      <c r="S227" s="126">
        <f>DADOS_AM!$GA$28</f>
        <v/>
      </c>
      <c r="T227" s="12" t="n"/>
      <c r="U227" s="115" t="n"/>
    </row>
    <row r="228" hidden="1" outlineLevel="3">
      <c r="A228" s="8" t="n"/>
      <c r="B228" s="22" t="n"/>
      <c r="C228" s="115" t="n"/>
      <c r="D228" s="128" t="n"/>
      <c r="E228" s="127" t="n"/>
      <c r="F228" s="12" t="n"/>
      <c r="G228" s="126">
        <f>DADOS_AM!$GB$26</f>
        <v/>
      </c>
      <c r="H228" s="12" t="n"/>
      <c r="I228" s="115" t="n"/>
      <c r="J228" s="128" t="n"/>
      <c r="K228" s="127" t="n"/>
      <c r="L228" s="12" t="n"/>
      <c r="M228" s="126">
        <f>DADOS_AM!$GB$27</f>
        <v/>
      </c>
      <c r="N228" s="12" t="n"/>
      <c r="O228" s="115" t="n"/>
      <c r="P228" s="128" t="n"/>
      <c r="Q228" s="127" t="n"/>
      <c r="R228" s="12" t="n"/>
      <c r="S228" s="126">
        <f>DADOS_AM!$GB$28</f>
        <v/>
      </c>
      <c r="T228" s="12" t="n"/>
      <c r="U228" s="115" t="n"/>
    </row>
    <row r="229" hidden="1" outlineLevel="3">
      <c r="A229" s="8" t="n"/>
      <c r="B229" s="22" t="n"/>
      <c r="C229" s="115" t="n"/>
      <c r="D229" s="122" t="n"/>
      <c r="E229" s="127" t="n"/>
      <c r="F229" s="12" t="n"/>
      <c r="G229" s="126">
        <f>DADOS_AM!$GC$26</f>
        <v/>
      </c>
      <c r="H229" s="12" t="n"/>
      <c r="I229" s="115" t="n"/>
      <c r="J229" s="122" t="n"/>
      <c r="K229" s="127" t="n"/>
      <c r="L229" s="12" t="n"/>
      <c r="M229" s="126">
        <f>DADOS_AM!$GC$27</f>
        <v/>
      </c>
      <c r="N229" s="12" t="n"/>
      <c r="O229" s="115" t="n"/>
      <c r="P229" s="122" t="n"/>
      <c r="Q229" s="127" t="n"/>
      <c r="R229" s="12" t="n"/>
      <c r="S229" s="126">
        <f>DADOS_AM!$GC$28</f>
        <v/>
      </c>
      <c r="T229" s="12" t="n"/>
      <c r="U229" s="115" t="n"/>
    </row>
    <row r="230" hidden="1" outlineLevel="3">
      <c r="A230" s="8" t="n"/>
      <c r="B230" s="22" t="n"/>
      <c r="C230" s="115" t="n"/>
      <c r="D230" s="52" t="inlineStr">
        <is>
          <t>RESTRIÇÕES</t>
        </is>
      </c>
      <c r="E230" s="127" t="n"/>
      <c r="F230" s="12" t="n"/>
      <c r="G230" s="126">
        <f>DADOS_AM!$GD$26</f>
        <v/>
      </c>
      <c r="H230" s="121" t="b">
        <v>0</v>
      </c>
      <c r="I230" s="115" t="n"/>
      <c r="J230" s="52" t="inlineStr">
        <is>
          <t>RESTRIÇÕES</t>
        </is>
      </c>
      <c r="K230" s="127" t="n"/>
      <c r="L230" s="12" t="n"/>
      <c r="M230" s="126">
        <f>DADOS_AM!$GD$27</f>
        <v/>
      </c>
      <c r="N230" s="121" t="b">
        <v>0</v>
      </c>
      <c r="O230" s="115" t="n"/>
      <c r="P230" s="52" t="inlineStr">
        <is>
          <t>RESTRIÇÕES</t>
        </is>
      </c>
      <c r="Q230" s="127" t="n"/>
      <c r="R230" s="12" t="n"/>
      <c r="S230" s="126">
        <f>DADOS_AM!$GD$28</f>
        <v/>
      </c>
      <c r="T230" s="121" t="b">
        <v>0</v>
      </c>
      <c r="U230" s="115" t="n"/>
    </row>
    <row r="231" hidden="1" outlineLevel="3">
      <c r="A231" s="8" t="n"/>
      <c r="B231" s="22" t="n"/>
      <c r="C231" s="115" t="n"/>
      <c r="D231" s="122" t="n"/>
      <c r="E231" s="127" t="n"/>
      <c r="F231" s="12" t="n"/>
      <c r="G231" s="126">
        <f>DADOS_AM!$GE$26</f>
        <v/>
      </c>
      <c r="H231" s="121" t="b">
        <v>0</v>
      </c>
      <c r="I231" s="115" t="n"/>
      <c r="J231" s="122" t="n"/>
      <c r="K231" s="127" t="n"/>
      <c r="L231" s="12" t="n"/>
      <c r="M231" s="126">
        <f>DADOS_AM!$GE$27</f>
        <v/>
      </c>
      <c r="N231" s="121" t="b">
        <v>0</v>
      </c>
      <c r="O231" s="115" t="n"/>
      <c r="P231" s="122" t="n"/>
      <c r="Q231" s="127" t="n"/>
      <c r="R231" s="12" t="n"/>
      <c r="S231" s="126">
        <f>DADOS_AM!$GE$28</f>
        <v/>
      </c>
      <c r="T231" s="121" t="b">
        <v>0</v>
      </c>
      <c r="U231" s="115" t="n"/>
    </row>
    <row r="232" hidden="1" outlineLevel="3">
      <c r="A232" s="8" t="n"/>
      <c r="B232" s="22" t="n"/>
      <c r="C232" s="115" t="n"/>
      <c r="D232" s="52" t="inlineStr">
        <is>
          <t>CONTA</t>
        </is>
      </c>
      <c r="E232" s="129">
        <f>DADOS_AM!$FX$26</f>
        <v/>
      </c>
      <c r="F232" s="11" t="n"/>
      <c r="G232" s="11" t="n"/>
      <c r="H232" s="12" t="n"/>
      <c r="I232" s="115" t="n"/>
      <c r="J232" s="52" t="inlineStr">
        <is>
          <t>CONTA</t>
        </is>
      </c>
      <c r="K232" s="129">
        <f>DADOS_AM!$FX$27</f>
        <v/>
      </c>
      <c r="L232" s="11" t="n"/>
      <c r="M232" s="11" t="n"/>
      <c r="N232" s="12" t="n"/>
      <c r="O232" s="115" t="n"/>
      <c r="P232" s="52" t="inlineStr">
        <is>
          <t>CONTA</t>
        </is>
      </c>
      <c r="Q232" s="129">
        <f>DADOS_AM!$FX$28</f>
        <v/>
      </c>
      <c r="R232" s="11" t="n"/>
      <c r="S232" s="11" t="n"/>
      <c r="T232" s="12" t="n"/>
      <c r="U232" s="115" t="n"/>
    </row>
    <row r="233" hidden="1" outlineLevel="3">
      <c r="A233" s="8" t="n"/>
      <c r="B233" s="22" t="n"/>
      <c r="C233" s="115" t="n"/>
      <c r="D233" s="52" t="inlineStr">
        <is>
          <t>AMPLIAR</t>
        </is>
      </c>
      <c r="E233" s="129">
        <f>DADOS_AM!$FY$26</f>
        <v/>
      </c>
      <c r="F233" s="14" t="n"/>
      <c r="G233" s="14" t="n"/>
      <c r="H233" s="15" t="n"/>
      <c r="I233" s="115" t="n"/>
      <c r="J233" s="52" t="inlineStr">
        <is>
          <t>AMPLIAR</t>
        </is>
      </c>
      <c r="K233" s="129">
        <f>DADOS_AM!$FY$27</f>
        <v/>
      </c>
      <c r="L233" s="14" t="n"/>
      <c r="M233" s="14" t="n"/>
      <c r="N233" s="15" t="n"/>
      <c r="O233" s="115" t="n"/>
      <c r="P233" s="52" t="inlineStr">
        <is>
          <t>AMPLIAR</t>
        </is>
      </c>
      <c r="Q233" s="129">
        <f>DADOS_AM!$FY$28</f>
        <v/>
      </c>
      <c r="R233" s="14" t="n"/>
      <c r="S233" s="14" t="n"/>
      <c r="T233" s="15" t="n"/>
      <c r="U233" s="115" t="n"/>
    </row>
    <row r="234" hidden="1" outlineLevel="3">
      <c r="A234" s="8" t="n"/>
      <c r="B234" s="22" t="n"/>
      <c r="C234" s="115" t="n"/>
      <c r="D234" s="122" t="n"/>
      <c r="E234" s="18" t="n"/>
      <c r="F234" s="19" t="n"/>
      <c r="G234" s="19" t="n"/>
      <c r="H234" s="20" t="n"/>
      <c r="I234" s="115" t="n"/>
      <c r="J234" s="122" t="n"/>
      <c r="K234" s="18" t="n"/>
      <c r="L234" s="19" t="n"/>
      <c r="M234" s="19" t="n"/>
      <c r="N234" s="20" t="n"/>
      <c r="O234" s="115" t="n"/>
      <c r="P234" s="122" t="n"/>
      <c r="Q234" s="18" t="n"/>
      <c r="R234" s="19" t="n"/>
      <c r="S234" s="19" t="n"/>
      <c r="T234" s="20" t="n"/>
      <c r="U234" s="115" t="n"/>
    </row>
    <row r="235" hidden="1" outlineLevel="3">
      <c r="A235" s="8" t="n"/>
      <c r="B235" s="22" t="n"/>
      <c r="C235" s="115" t="n"/>
      <c r="D235" s="52" t="inlineStr">
        <is>
          <t>AVISOS</t>
        </is>
      </c>
      <c r="E235" s="129">
        <f>DADOS_AM!$FN$26</f>
        <v/>
      </c>
      <c r="F235" s="14" t="n"/>
      <c r="G235" s="14" t="n"/>
      <c r="H235" s="15" t="n"/>
      <c r="I235" s="115" t="n"/>
      <c r="J235" s="52" t="inlineStr">
        <is>
          <t>AVISOS</t>
        </is>
      </c>
      <c r="K235" s="129">
        <f>DADOS_AM!$FN$27</f>
        <v/>
      </c>
      <c r="L235" s="14" t="n"/>
      <c r="M235" s="14" t="n"/>
      <c r="N235" s="15" t="n"/>
      <c r="O235" s="115" t="n"/>
      <c r="P235" s="52" t="inlineStr">
        <is>
          <t>AVISOS</t>
        </is>
      </c>
      <c r="Q235" s="129">
        <f>DADOS_AM!$FN$28</f>
        <v/>
      </c>
      <c r="R235" s="14" t="n"/>
      <c r="S235" s="14" t="n"/>
      <c r="T235" s="15" t="n"/>
      <c r="U235" s="115" t="n"/>
    </row>
    <row r="236" hidden="1" outlineLevel="3">
      <c r="A236" s="8" t="n"/>
      <c r="B236" s="22" t="n"/>
      <c r="C236" s="115" t="n"/>
      <c r="D236" s="122" t="n"/>
      <c r="E236" s="18" t="n"/>
      <c r="F236" s="19" t="n"/>
      <c r="G236" s="19" t="n"/>
      <c r="H236" s="20" t="n"/>
      <c r="I236" s="115" t="n"/>
      <c r="J236" s="122" t="n"/>
      <c r="K236" s="18" t="n"/>
      <c r="L236" s="19" t="n"/>
      <c r="M236" s="19" t="n"/>
      <c r="N236" s="20" t="n"/>
      <c r="O236" s="115" t="n"/>
      <c r="P236" s="122" t="n"/>
      <c r="Q236" s="18" t="n"/>
      <c r="R236" s="19" t="n"/>
      <c r="S236" s="19" t="n"/>
      <c r="T236" s="20" t="n"/>
      <c r="U236" s="115" t="n"/>
    </row>
    <row r="237" hidden="1" outlineLevel="2">
      <c r="A237" s="8" t="n"/>
      <c r="B237" s="22" t="n"/>
      <c r="C237" s="115" t="n"/>
      <c r="D237" s="115" t="n"/>
      <c r="E237" s="115" t="n"/>
      <c r="F237" s="115" t="n"/>
      <c r="G237" s="115" t="n"/>
      <c r="H237" s="115" t="n"/>
      <c r="I237" s="115" t="n"/>
      <c r="J237" s="115" t="n"/>
      <c r="K237" s="115" t="n"/>
      <c r="L237" s="115" t="n"/>
      <c r="M237" s="115" t="n"/>
      <c r="N237" s="115" t="n"/>
      <c r="O237" s="115" t="n"/>
      <c r="P237" s="115" t="n"/>
      <c r="Q237" s="115" t="n"/>
      <c r="R237" s="115" t="n"/>
      <c r="S237" s="115" t="n"/>
      <c r="T237" s="115" t="n"/>
      <c r="U237" s="115" t="n"/>
    </row>
    <row r="238" hidden="1" outlineLevel="2">
      <c r="A238" s="8" t="n"/>
      <c r="B238" s="22" t="n"/>
      <c r="C238" s="115" t="n"/>
      <c r="D238" s="123" t="n">
        <v>1</v>
      </c>
      <c r="E238" s="124" t="n"/>
      <c r="F238" s="12" t="n"/>
      <c r="G238" s="125">
        <f>DADOS_AM!$FM$29</f>
        <v/>
      </c>
      <c r="H238" s="12" t="n"/>
      <c r="I238" s="115" t="n"/>
      <c r="J238" s="123" t="n">
        <v>1</v>
      </c>
      <c r="K238" s="124" t="n"/>
      <c r="L238" s="12" t="n"/>
      <c r="M238" s="125">
        <f>DADOS_AM!$FM$30</f>
        <v/>
      </c>
      <c r="N238" s="12" t="n"/>
      <c r="O238" s="115" t="n"/>
      <c r="P238" s="123" t="n">
        <v>1</v>
      </c>
      <c r="Q238" s="124" t="n"/>
      <c r="R238" s="12" t="n"/>
      <c r="S238" s="125">
        <f>DADOS_AM!$FM$31</f>
        <v/>
      </c>
      <c r="T238" s="12" t="n"/>
      <c r="U238" s="115" t="n"/>
    </row>
    <row r="239" hidden="1" outlineLevel="3">
      <c r="A239" s="8" t="n"/>
      <c r="B239" s="22" t="n"/>
      <c r="C239" s="115" t="n"/>
      <c r="D239" s="52" t="inlineStr">
        <is>
          <t>COMO É</t>
        </is>
      </c>
      <c r="E239" s="11" t="n"/>
      <c r="F239" s="11" t="n"/>
      <c r="G239" s="11" t="n"/>
      <c r="H239" s="12" t="n"/>
      <c r="I239" s="115" t="n"/>
      <c r="J239" s="52" t="inlineStr">
        <is>
          <t>COMO É</t>
        </is>
      </c>
      <c r="K239" s="11" t="n"/>
      <c r="L239" s="11" t="n"/>
      <c r="M239" s="11" t="n"/>
      <c r="N239" s="12" t="n"/>
      <c r="O239" s="115" t="n"/>
      <c r="P239" s="52" t="inlineStr">
        <is>
          <t>COMO É</t>
        </is>
      </c>
      <c r="Q239" s="11" t="n"/>
      <c r="R239" s="11" t="n"/>
      <c r="S239" s="11" t="n"/>
      <c r="T239" s="12" t="n"/>
      <c r="U239" s="115" t="n"/>
    </row>
    <row r="240" hidden="1" outlineLevel="3">
      <c r="A240" s="8" t="n"/>
      <c r="B240" s="22" t="n"/>
      <c r="C240" s="115" t="n"/>
      <c r="D240" s="120" t="n"/>
      <c r="E240" s="14" t="n"/>
      <c r="F240" s="14" t="n"/>
      <c r="G240" s="14" t="n"/>
      <c r="H240" s="15" t="n"/>
      <c r="I240" s="115" t="n"/>
      <c r="J240" s="120" t="n"/>
      <c r="K240" s="14" t="n"/>
      <c r="L240" s="14" t="n"/>
      <c r="M240" s="14" t="n"/>
      <c r="N240" s="15" t="n"/>
      <c r="O240" s="115" t="n"/>
      <c r="P240" s="120" t="n"/>
      <c r="Q240" s="14" t="n"/>
      <c r="R240" s="14" t="n"/>
      <c r="S240" s="14" t="n"/>
      <c r="T240" s="15" t="n"/>
      <c r="U240" s="115" t="n"/>
    </row>
    <row r="241" hidden="1" outlineLevel="3">
      <c r="A241" s="8" t="n"/>
      <c r="B241" s="22" t="n"/>
      <c r="C241" s="115" t="n"/>
      <c r="D241" s="16" t="n"/>
      <c r="H241" s="17" t="n"/>
      <c r="I241" s="115" t="n"/>
      <c r="J241" s="16" t="n"/>
      <c r="N241" s="17" t="n"/>
      <c r="O241" s="115" t="n"/>
      <c r="P241" s="16" t="n"/>
      <c r="T241" s="17" t="n"/>
      <c r="U241" s="115" t="n"/>
    </row>
    <row r="242" hidden="1" outlineLevel="3">
      <c r="A242" s="8" t="n"/>
      <c r="B242" s="22" t="n"/>
      <c r="C242" s="115" t="n"/>
      <c r="D242" s="16" t="n"/>
      <c r="H242" s="17" t="n"/>
      <c r="I242" s="115" t="n"/>
      <c r="J242" s="16" t="n"/>
      <c r="N242" s="17" t="n"/>
      <c r="O242" s="115" t="n"/>
      <c r="P242" s="16" t="n"/>
      <c r="T242" s="17" t="n"/>
      <c r="U242" s="115" t="n"/>
    </row>
    <row r="243" hidden="1" outlineLevel="3">
      <c r="A243" s="8" t="n"/>
      <c r="B243" s="22" t="n"/>
      <c r="C243" s="115" t="n"/>
      <c r="D243" s="16" t="n"/>
      <c r="H243" s="17" t="n"/>
      <c r="I243" s="115" t="n"/>
      <c r="J243" s="16" t="n"/>
      <c r="N243" s="17" t="n"/>
      <c r="O243" s="115" t="n"/>
      <c r="P243" s="16" t="n"/>
      <c r="T243" s="17" t="n"/>
      <c r="U243" s="115" t="n"/>
    </row>
    <row r="244" hidden="1" outlineLevel="3">
      <c r="A244" s="8" t="n"/>
      <c r="B244" s="22" t="n"/>
      <c r="C244" s="115" t="n"/>
      <c r="D244" s="18" t="n"/>
      <c r="E244" s="19" t="n"/>
      <c r="F244" s="19" t="n"/>
      <c r="G244" s="19" t="n"/>
      <c r="H244" s="20" t="n"/>
      <c r="I244" s="115" t="n"/>
      <c r="J244" s="18" t="n"/>
      <c r="K244" s="19" t="n"/>
      <c r="L244" s="19" t="n"/>
      <c r="M244" s="19" t="n"/>
      <c r="N244" s="20" t="n"/>
      <c r="O244" s="115" t="n"/>
      <c r="P244" s="18" t="n"/>
      <c r="Q244" s="19" t="n"/>
      <c r="R244" s="19" t="n"/>
      <c r="S244" s="19" t="n"/>
      <c r="T244" s="20" t="n"/>
      <c r="U244" s="115" t="n"/>
    </row>
    <row r="245" hidden="1" outlineLevel="2">
      <c r="A245" s="8" t="n"/>
      <c r="B245" s="22" t="n"/>
      <c r="C245" s="115" t="n"/>
      <c r="D245" s="121" t="inlineStr">
        <is>
          <t>Projétil</t>
        </is>
      </c>
      <c r="E245" s="65">
        <f>DADOS_AM!$FR$29</f>
        <v/>
      </c>
      <c r="F245" s="65">
        <f>DADOS_AM!$FO$29</f>
        <v/>
      </c>
      <c r="G245" s="121">
        <f>DADOS_AM!$FQ$29</f>
        <v/>
      </c>
      <c r="H245" s="12" t="n"/>
      <c r="I245" s="115" t="n"/>
      <c r="J245" s="121" t="inlineStr">
        <is>
          <t>Projétil</t>
        </is>
      </c>
      <c r="K245" s="65">
        <f>DADOS_AM!$FR$30</f>
        <v/>
      </c>
      <c r="L245" s="65">
        <f>DADOS_AM!$FO$30</f>
        <v/>
      </c>
      <c r="M245" s="121">
        <f>DADOS_AM!$FQ$30</f>
        <v/>
      </c>
      <c r="N245" s="12" t="n"/>
      <c r="O245" s="115" t="n"/>
      <c r="P245" s="121" t="inlineStr">
        <is>
          <t>Projétil</t>
        </is>
      </c>
      <c r="Q245" s="65">
        <f>DADOS_AM!$FR$31</f>
        <v/>
      </c>
      <c r="R245" s="65">
        <f>DADOS_AM!$FO$31</f>
        <v/>
      </c>
      <c r="S245" s="121">
        <f>DADOS_AM!$FQ$31</f>
        <v/>
      </c>
      <c r="T245" s="12" t="n"/>
      <c r="U245" s="115" t="n"/>
    </row>
    <row r="246" hidden="1" outlineLevel="2">
      <c r="A246" s="8" t="n"/>
      <c r="B246" s="22" t="n"/>
      <c r="C246" s="115" t="n"/>
      <c r="D246" s="121">
        <f>DADOS_AM!$FP$29</f>
        <v/>
      </c>
      <c r="E246" s="126">
        <f>DADOS_AM!$FW$29</f>
        <v/>
      </c>
      <c r="F246" s="11" t="n"/>
      <c r="G246" s="11" t="n"/>
      <c r="H246" s="12" t="n"/>
      <c r="I246" s="115" t="n"/>
      <c r="J246" s="121">
        <f>DADOS_AM!$FP$30</f>
        <v/>
      </c>
      <c r="K246" s="126">
        <f>DADOS_AM!$FW$30</f>
        <v/>
      </c>
      <c r="L246" s="11" t="n"/>
      <c r="M246" s="11" t="n"/>
      <c r="N246" s="12" t="n"/>
      <c r="O246" s="115" t="n"/>
      <c r="P246" s="121">
        <f>DADOS_AM!$FP$31</f>
        <v/>
      </c>
      <c r="Q246" s="126">
        <f>DADOS_AM!$FW$31</f>
        <v/>
      </c>
      <c r="R246" s="11" t="n"/>
      <c r="S246" s="11" t="n"/>
      <c r="T246" s="12" t="n"/>
      <c r="U246" s="115" t="n"/>
    </row>
    <row r="247" hidden="1" outlineLevel="3">
      <c r="A247" s="8" t="n"/>
      <c r="B247" s="22" t="n"/>
      <c r="C247" s="115" t="n"/>
      <c r="D247" s="52" t="inlineStr">
        <is>
          <t>MELHORIAS</t>
        </is>
      </c>
      <c r="E247" s="127" t="n"/>
      <c r="F247" s="12" t="n"/>
      <c r="G247" s="126">
        <f>DADOS_AM!$FZ$29</f>
        <v/>
      </c>
      <c r="H247" s="12" t="n"/>
      <c r="I247" s="115" t="n"/>
      <c r="J247" s="52" t="inlineStr">
        <is>
          <t>MELHORIAS</t>
        </is>
      </c>
      <c r="K247" s="127" t="n"/>
      <c r="L247" s="12" t="n"/>
      <c r="M247" s="126">
        <f>DADOS_AM!$FZ$30</f>
        <v/>
      </c>
      <c r="N247" s="12" t="n"/>
      <c r="O247" s="115" t="n"/>
      <c r="P247" s="52" t="inlineStr">
        <is>
          <t>MELHORIAS</t>
        </is>
      </c>
      <c r="Q247" s="127" t="n"/>
      <c r="R247" s="12" t="n"/>
      <c r="S247" s="126">
        <f>DADOS_AM!$FZ$31</f>
        <v/>
      </c>
      <c r="T247" s="12" t="n"/>
      <c r="U247" s="115" t="n"/>
    </row>
    <row r="248" hidden="1" outlineLevel="3">
      <c r="A248" s="8" t="n"/>
      <c r="B248" s="22" t="n"/>
      <c r="C248" s="115" t="n"/>
      <c r="D248" s="128" t="n"/>
      <c r="E248" s="127" t="n"/>
      <c r="F248" s="12" t="n"/>
      <c r="G248" s="126">
        <f>DADOS_AM!$GA$29</f>
        <v/>
      </c>
      <c r="H248" s="12" t="n"/>
      <c r="I248" s="115" t="n"/>
      <c r="J248" s="128" t="n"/>
      <c r="K248" s="127" t="n"/>
      <c r="L248" s="12" t="n"/>
      <c r="M248" s="126">
        <f>DADOS_AM!$GA$30</f>
        <v/>
      </c>
      <c r="N248" s="12" t="n"/>
      <c r="O248" s="115" t="n"/>
      <c r="P248" s="128" t="n"/>
      <c r="Q248" s="127" t="n"/>
      <c r="R248" s="12" t="n"/>
      <c r="S248" s="126">
        <f>DADOS_AM!$GA$31</f>
        <v/>
      </c>
      <c r="T248" s="12" t="n"/>
      <c r="U248" s="115" t="n"/>
    </row>
    <row r="249" hidden="1" outlineLevel="3">
      <c r="A249" s="8" t="n"/>
      <c r="B249" s="22" t="n"/>
      <c r="C249" s="115" t="n"/>
      <c r="D249" s="128" t="n"/>
      <c r="E249" s="127" t="n"/>
      <c r="F249" s="12" t="n"/>
      <c r="G249" s="126">
        <f>DADOS_AM!$GB$29</f>
        <v/>
      </c>
      <c r="H249" s="12" t="n"/>
      <c r="I249" s="115" t="n"/>
      <c r="J249" s="128" t="n"/>
      <c r="K249" s="127" t="n"/>
      <c r="L249" s="12" t="n"/>
      <c r="M249" s="126">
        <f>DADOS_AM!$GB$30</f>
        <v/>
      </c>
      <c r="N249" s="12" t="n"/>
      <c r="O249" s="115" t="n"/>
      <c r="P249" s="128" t="n"/>
      <c r="Q249" s="127" t="n"/>
      <c r="R249" s="12" t="n"/>
      <c r="S249" s="126">
        <f>DADOS_AM!$GB$31</f>
        <v/>
      </c>
      <c r="T249" s="12" t="n"/>
      <c r="U249" s="115" t="n"/>
    </row>
    <row r="250" hidden="1" outlineLevel="3">
      <c r="A250" s="8" t="n"/>
      <c r="B250" s="22" t="n"/>
      <c r="C250" s="115" t="n"/>
      <c r="D250" s="122" t="n"/>
      <c r="E250" s="127" t="n"/>
      <c r="F250" s="12" t="n"/>
      <c r="G250" s="126">
        <f>DADOS_AM!$GC$29</f>
        <v/>
      </c>
      <c r="H250" s="12" t="n"/>
      <c r="I250" s="115" t="n"/>
      <c r="J250" s="122" t="n"/>
      <c r="K250" s="127" t="n"/>
      <c r="L250" s="12" t="n"/>
      <c r="M250" s="126">
        <f>DADOS_AM!$GC$30</f>
        <v/>
      </c>
      <c r="N250" s="12" t="n"/>
      <c r="O250" s="115" t="n"/>
      <c r="P250" s="122" t="n"/>
      <c r="Q250" s="127" t="n"/>
      <c r="R250" s="12" t="n"/>
      <c r="S250" s="126">
        <f>DADOS_AM!$GC$31</f>
        <v/>
      </c>
      <c r="T250" s="12" t="n"/>
      <c r="U250" s="115" t="n"/>
    </row>
    <row r="251" hidden="1" outlineLevel="3">
      <c r="A251" s="8" t="n"/>
      <c r="B251" s="22" t="n"/>
      <c r="C251" s="115" t="n"/>
      <c r="D251" s="52" t="inlineStr">
        <is>
          <t>RESTRIÇÕES</t>
        </is>
      </c>
      <c r="E251" s="127" t="n"/>
      <c r="F251" s="12" t="n"/>
      <c r="G251" s="126">
        <f>DADOS_AM!$GD$29</f>
        <v/>
      </c>
      <c r="H251" s="121" t="b">
        <v>0</v>
      </c>
      <c r="I251" s="115" t="n"/>
      <c r="J251" s="52" t="inlineStr">
        <is>
          <t>RESTRIÇÕES</t>
        </is>
      </c>
      <c r="K251" s="127" t="n"/>
      <c r="L251" s="12" t="n"/>
      <c r="M251" s="126">
        <f>DADOS_AM!$GD$30</f>
        <v/>
      </c>
      <c r="N251" s="121" t="b">
        <v>0</v>
      </c>
      <c r="O251" s="115" t="n"/>
      <c r="P251" s="52" t="inlineStr">
        <is>
          <t>RESTRIÇÕES</t>
        </is>
      </c>
      <c r="Q251" s="127" t="n"/>
      <c r="R251" s="12" t="n"/>
      <c r="S251" s="126">
        <f>DADOS_AM!$GD$31</f>
        <v/>
      </c>
      <c r="T251" s="121" t="b">
        <v>0</v>
      </c>
      <c r="U251" s="115" t="n"/>
    </row>
    <row r="252" hidden="1" outlineLevel="3">
      <c r="A252" s="8" t="n"/>
      <c r="B252" s="22" t="n"/>
      <c r="C252" s="115" t="n"/>
      <c r="D252" s="122" t="n"/>
      <c r="E252" s="127" t="n"/>
      <c r="F252" s="12" t="n"/>
      <c r="G252" s="126">
        <f>DADOS_AM!$GE$29</f>
        <v/>
      </c>
      <c r="H252" s="121" t="b">
        <v>0</v>
      </c>
      <c r="I252" s="115" t="n"/>
      <c r="J252" s="122" t="n"/>
      <c r="K252" s="127" t="n"/>
      <c r="L252" s="12" t="n"/>
      <c r="M252" s="126">
        <f>DADOS_AM!$GE$30</f>
        <v/>
      </c>
      <c r="N252" s="121" t="b">
        <v>0</v>
      </c>
      <c r="O252" s="115" t="n"/>
      <c r="P252" s="122" t="n"/>
      <c r="Q252" s="127" t="n"/>
      <c r="R252" s="12" t="n"/>
      <c r="S252" s="126">
        <f>DADOS_AM!$GE$31</f>
        <v/>
      </c>
      <c r="T252" s="121" t="b">
        <v>0</v>
      </c>
      <c r="U252" s="115" t="n"/>
    </row>
    <row r="253" hidden="1" outlineLevel="3">
      <c r="A253" s="8" t="n"/>
      <c r="B253" s="22" t="n"/>
      <c r="C253" s="115" t="n"/>
      <c r="D253" s="52" t="inlineStr">
        <is>
          <t>CONTA</t>
        </is>
      </c>
      <c r="E253" s="129">
        <f>DADOS_AM!$FX$29</f>
        <v/>
      </c>
      <c r="F253" s="11" t="n"/>
      <c r="G253" s="11" t="n"/>
      <c r="H253" s="12" t="n"/>
      <c r="I253" s="115" t="n"/>
      <c r="J253" s="52" t="inlineStr">
        <is>
          <t>CONTA</t>
        </is>
      </c>
      <c r="K253" s="129">
        <f>DADOS_AM!$FX$30</f>
        <v/>
      </c>
      <c r="L253" s="11" t="n"/>
      <c r="M253" s="11" t="n"/>
      <c r="N253" s="12" t="n"/>
      <c r="O253" s="115" t="n"/>
      <c r="P253" s="52" t="inlineStr">
        <is>
          <t>CONTA</t>
        </is>
      </c>
      <c r="Q253" s="129">
        <f>DADOS_AM!$FX$31</f>
        <v/>
      </c>
      <c r="R253" s="11" t="n"/>
      <c r="S253" s="11" t="n"/>
      <c r="T253" s="12" t="n"/>
      <c r="U253" s="115" t="n"/>
    </row>
    <row r="254" hidden="1" outlineLevel="3">
      <c r="A254" s="8" t="n"/>
      <c r="B254" s="22" t="n"/>
      <c r="C254" s="115" t="n"/>
      <c r="D254" s="52" t="inlineStr">
        <is>
          <t>AMPLIAR</t>
        </is>
      </c>
      <c r="E254" s="129">
        <f>DADOS_AM!$FY$29</f>
        <v/>
      </c>
      <c r="F254" s="14" t="n"/>
      <c r="G254" s="14" t="n"/>
      <c r="H254" s="15" t="n"/>
      <c r="I254" s="115" t="n"/>
      <c r="J254" s="52" t="inlineStr">
        <is>
          <t>AMPLIAR</t>
        </is>
      </c>
      <c r="K254" s="129">
        <f>DADOS_AM!$FY$30</f>
        <v/>
      </c>
      <c r="L254" s="14" t="n"/>
      <c r="M254" s="14" t="n"/>
      <c r="N254" s="15" t="n"/>
      <c r="O254" s="115" t="n"/>
      <c r="P254" s="52" t="inlineStr">
        <is>
          <t>AMPLIAR</t>
        </is>
      </c>
      <c r="Q254" s="129">
        <f>DADOS_AM!$FY$31</f>
        <v/>
      </c>
      <c r="R254" s="14" t="n"/>
      <c r="S254" s="14" t="n"/>
      <c r="T254" s="15" t="n"/>
      <c r="U254" s="115" t="n"/>
    </row>
    <row r="255" hidden="1" outlineLevel="3">
      <c r="A255" s="8" t="n"/>
      <c r="B255" s="22" t="n"/>
      <c r="C255" s="115" t="n"/>
      <c r="D255" s="122" t="n"/>
      <c r="E255" s="18" t="n"/>
      <c r="F255" s="19" t="n"/>
      <c r="G255" s="19" t="n"/>
      <c r="H255" s="20" t="n"/>
      <c r="I255" s="115" t="n"/>
      <c r="J255" s="122" t="n"/>
      <c r="K255" s="18" t="n"/>
      <c r="L255" s="19" t="n"/>
      <c r="M255" s="19" t="n"/>
      <c r="N255" s="20" t="n"/>
      <c r="O255" s="115" t="n"/>
      <c r="P255" s="122" t="n"/>
      <c r="Q255" s="18" t="n"/>
      <c r="R255" s="19" t="n"/>
      <c r="S255" s="19" t="n"/>
      <c r="T255" s="20" t="n"/>
      <c r="U255" s="115" t="n"/>
    </row>
    <row r="256" hidden="1" outlineLevel="3">
      <c r="A256" s="8" t="n"/>
      <c r="B256" s="22" t="n"/>
      <c r="C256" s="115" t="n"/>
      <c r="D256" s="52" t="inlineStr">
        <is>
          <t>AVISOS</t>
        </is>
      </c>
      <c r="E256" s="129">
        <f>DADOS_AM!$FN$29</f>
        <v/>
      </c>
      <c r="F256" s="14" t="n"/>
      <c r="G256" s="14" t="n"/>
      <c r="H256" s="15" t="n"/>
      <c r="I256" s="115" t="n"/>
      <c r="J256" s="52" t="inlineStr">
        <is>
          <t>AVISOS</t>
        </is>
      </c>
      <c r="K256" s="129">
        <f>DADOS_AM!$FN$30</f>
        <v/>
      </c>
      <c r="L256" s="14" t="n"/>
      <c r="M256" s="14" t="n"/>
      <c r="N256" s="15" t="n"/>
      <c r="O256" s="115" t="n"/>
      <c r="P256" s="52" t="inlineStr">
        <is>
          <t>AVISOS</t>
        </is>
      </c>
      <c r="Q256" s="129">
        <f>DADOS_AM!$FN$31</f>
        <v/>
      </c>
      <c r="R256" s="14" t="n"/>
      <c r="S256" s="14" t="n"/>
      <c r="T256" s="15" t="n"/>
      <c r="U256" s="115" t="n"/>
    </row>
    <row r="257" hidden="1" outlineLevel="3">
      <c r="A257" s="8" t="n"/>
      <c r="B257" s="22" t="n"/>
      <c r="C257" s="115" t="n"/>
      <c r="D257" s="122" t="n"/>
      <c r="E257" s="18" t="n"/>
      <c r="F257" s="19" t="n"/>
      <c r="G257" s="19" t="n"/>
      <c r="H257" s="20" t="n"/>
      <c r="I257" s="115" t="n"/>
      <c r="J257" s="122" t="n"/>
      <c r="K257" s="18" t="n"/>
      <c r="L257" s="19" t="n"/>
      <c r="M257" s="19" t="n"/>
      <c r="N257" s="20" t="n"/>
      <c r="O257" s="115" t="n"/>
      <c r="P257" s="122" t="n"/>
      <c r="Q257" s="18" t="n"/>
      <c r="R257" s="19" t="n"/>
      <c r="S257" s="19" t="n"/>
      <c r="T257" s="20" t="n"/>
      <c r="U257" s="115" t="n"/>
    </row>
    <row r="258" hidden="1" outlineLevel="2">
      <c r="A258" s="8" t="n"/>
      <c r="B258" s="22" t="n"/>
      <c r="C258" s="115" t="n"/>
      <c r="D258" s="115" t="n"/>
      <c r="E258" s="115" t="n"/>
      <c r="F258" s="115" t="n"/>
      <c r="G258" s="115" t="n"/>
      <c r="H258" s="115" t="n"/>
      <c r="I258" s="115" t="n"/>
      <c r="J258" s="115" t="n"/>
      <c r="K258" s="115" t="n"/>
      <c r="L258" s="115" t="n"/>
      <c r="M258" s="115" t="n"/>
      <c r="N258" s="115" t="n"/>
      <c r="O258" s="115" t="n"/>
      <c r="P258" s="115" t="n"/>
      <c r="Q258" s="115" t="n"/>
      <c r="R258" s="115" t="n"/>
      <c r="S258" s="115" t="n"/>
      <c r="T258" s="115" t="n"/>
      <c r="U258" s="115" t="n"/>
    </row>
    <row r="259" hidden="1" outlineLevel="2">
      <c r="A259" s="8" t="n"/>
      <c r="B259" s="22" t="n"/>
      <c r="C259" s="115" t="n"/>
      <c r="D259" s="123" t="n">
        <v>1</v>
      </c>
      <c r="E259" s="124" t="n"/>
      <c r="F259" s="12" t="n"/>
      <c r="G259" s="125">
        <f>DADOS_AM!$FM$32</f>
        <v/>
      </c>
      <c r="H259" s="12" t="n"/>
      <c r="I259" s="115" t="n"/>
      <c r="J259" s="123" t="n">
        <v>1</v>
      </c>
      <c r="K259" s="124" t="n"/>
      <c r="L259" s="12" t="n"/>
      <c r="M259" s="125">
        <f>DADOS_AM!$FM$33</f>
        <v/>
      </c>
      <c r="N259" s="12" t="n"/>
      <c r="O259" s="115" t="n"/>
      <c r="P259" s="123" t="n">
        <v>1</v>
      </c>
      <c r="Q259" s="124" t="n"/>
      <c r="R259" s="12" t="n"/>
      <c r="S259" s="125">
        <f>DADOS_AM!$FM$34</f>
        <v/>
      </c>
      <c r="T259" s="12" t="n"/>
      <c r="U259" s="115" t="n"/>
    </row>
    <row r="260" hidden="1" outlineLevel="3">
      <c r="A260" s="8" t="n"/>
      <c r="B260" s="22" t="n"/>
      <c r="C260" s="115" t="n"/>
      <c r="D260" s="52" t="inlineStr">
        <is>
          <t>COMO É</t>
        </is>
      </c>
      <c r="E260" s="11" t="n"/>
      <c r="F260" s="11" t="n"/>
      <c r="G260" s="11" t="n"/>
      <c r="H260" s="12" t="n"/>
      <c r="I260" s="115" t="n"/>
      <c r="J260" s="52" t="inlineStr">
        <is>
          <t>COMO É</t>
        </is>
      </c>
      <c r="K260" s="11" t="n"/>
      <c r="L260" s="11" t="n"/>
      <c r="M260" s="11" t="n"/>
      <c r="N260" s="12" t="n"/>
      <c r="O260" s="115" t="n"/>
      <c r="P260" s="52" t="inlineStr">
        <is>
          <t>COMO É</t>
        </is>
      </c>
      <c r="Q260" s="11" t="n"/>
      <c r="R260" s="11" t="n"/>
      <c r="S260" s="11" t="n"/>
      <c r="T260" s="12" t="n"/>
      <c r="U260" s="115" t="n"/>
    </row>
    <row r="261" hidden="1" outlineLevel="3">
      <c r="A261" s="8" t="n"/>
      <c r="B261" s="22" t="n"/>
      <c r="C261" s="115" t="n"/>
      <c r="D261" s="120" t="n"/>
      <c r="E261" s="14" t="n"/>
      <c r="F261" s="14" t="n"/>
      <c r="G261" s="14" t="n"/>
      <c r="H261" s="15" t="n"/>
      <c r="I261" s="115" t="n"/>
      <c r="J261" s="120" t="n"/>
      <c r="K261" s="14" t="n"/>
      <c r="L261" s="14" t="n"/>
      <c r="M261" s="14" t="n"/>
      <c r="N261" s="15" t="n"/>
      <c r="O261" s="115" t="n"/>
      <c r="P261" s="120" t="n"/>
      <c r="Q261" s="14" t="n"/>
      <c r="R261" s="14" t="n"/>
      <c r="S261" s="14" t="n"/>
      <c r="T261" s="15" t="n"/>
      <c r="U261" s="115" t="n"/>
    </row>
    <row r="262" hidden="1" outlineLevel="3">
      <c r="A262" s="8" t="n"/>
      <c r="B262" s="22" t="n"/>
      <c r="C262" s="115" t="n"/>
      <c r="D262" s="16" t="n"/>
      <c r="H262" s="17" t="n"/>
      <c r="I262" s="115" t="n"/>
      <c r="J262" s="16" t="n"/>
      <c r="N262" s="17" t="n"/>
      <c r="O262" s="115" t="n"/>
      <c r="P262" s="16" t="n"/>
      <c r="T262" s="17" t="n"/>
      <c r="U262" s="115" t="n"/>
    </row>
    <row r="263" hidden="1" outlineLevel="3">
      <c r="A263" s="8" t="n"/>
      <c r="B263" s="22" t="n"/>
      <c r="C263" s="115" t="n"/>
      <c r="D263" s="16" t="n"/>
      <c r="H263" s="17" t="n"/>
      <c r="I263" s="115" t="n"/>
      <c r="J263" s="16" t="n"/>
      <c r="N263" s="17" t="n"/>
      <c r="O263" s="115" t="n"/>
      <c r="P263" s="16" t="n"/>
      <c r="T263" s="17" t="n"/>
      <c r="U263" s="115" t="n"/>
    </row>
    <row r="264" hidden="1" outlineLevel="3">
      <c r="A264" s="8" t="n"/>
      <c r="B264" s="22" t="n"/>
      <c r="C264" s="115" t="n"/>
      <c r="D264" s="16" t="n"/>
      <c r="H264" s="17" t="n"/>
      <c r="I264" s="115" t="n"/>
      <c r="J264" s="16" t="n"/>
      <c r="N264" s="17" t="n"/>
      <c r="O264" s="115" t="n"/>
      <c r="P264" s="16" t="n"/>
      <c r="T264" s="17" t="n"/>
      <c r="U264" s="115" t="n"/>
    </row>
    <row r="265" hidden="1" outlineLevel="3">
      <c r="A265" s="8" t="n"/>
      <c r="B265" s="22" t="n"/>
      <c r="C265" s="115" t="n"/>
      <c r="D265" s="18" t="n"/>
      <c r="E265" s="19" t="n"/>
      <c r="F265" s="19" t="n"/>
      <c r="G265" s="19" t="n"/>
      <c r="H265" s="20" t="n"/>
      <c r="I265" s="115" t="n"/>
      <c r="J265" s="18" t="n"/>
      <c r="K265" s="19" t="n"/>
      <c r="L265" s="19" t="n"/>
      <c r="M265" s="19" t="n"/>
      <c r="N265" s="20" t="n"/>
      <c r="O265" s="115" t="n"/>
      <c r="P265" s="18" t="n"/>
      <c r="Q265" s="19" t="n"/>
      <c r="R265" s="19" t="n"/>
      <c r="S265" s="19" t="n"/>
      <c r="T265" s="20" t="n"/>
      <c r="U265" s="115" t="n"/>
    </row>
    <row r="266" hidden="1" outlineLevel="2">
      <c r="A266" s="8" t="n"/>
      <c r="B266" s="22" t="n"/>
      <c r="C266" s="115" t="n"/>
      <c r="D266" s="121" t="inlineStr">
        <is>
          <t>Projétil</t>
        </is>
      </c>
      <c r="E266" s="65">
        <f>DADOS_AM!$FR$32</f>
        <v/>
      </c>
      <c r="F266" s="65">
        <f>DADOS_AM!$FO$32</f>
        <v/>
      </c>
      <c r="G266" s="121">
        <f>DADOS_AM!$FQ$32</f>
        <v/>
      </c>
      <c r="H266" s="12" t="n"/>
      <c r="I266" s="115" t="n"/>
      <c r="J266" s="121" t="inlineStr">
        <is>
          <t>Projétil</t>
        </is>
      </c>
      <c r="K266" s="65">
        <f>DADOS_AM!$FR$33</f>
        <v/>
      </c>
      <c r="L266" s="65">
        <f>DADOS_AM!$FO$33</f>
        <v/>
      </c>
      <c r="M266" s="121">
        <f>DADOS_AM!$FQ$33</f>
        <v/>
      </c>
      <c r="N266" s="12" t="n"/>
      <c r="O266" s="115" t="n"/>
      <c r="P266" s="121" t="inlineStr">
        <is>
          <t>Projétil</t>
        </is>
      </c>
      <c r="Q266" s="65">
        <f>DADOS_AM!$FR$34</f>
        <v/>
      </c>
      <c r="R266" s="65">
        <f>DADOS_AM!$FO$34</f>
        <v/>
      </c>
      <c r="S266" s="121">
        <f>DADOS_AM!$FQ$34</f>
        <v/>
      </c>
      <c r="T266" s="12" t="n"/>
      <c r="U266" s="115" t="n"/>
    </row>
    <row r="267" hidden="1" outlineLevel="2">
      <c r="A267" s="8" t="n"/>
      <c r="B267" s="22" t="n"/>
      <c r="C267" s="115" t="n"/>
      <c r="D267" s="121">
        <f>DADOS_AM!$FP$32</f>
        <v/>
      </c>
      <c r="E267" s="126">
        <f>DADOS_AM!$FW$32</f>
        <v/>
      </c>
      <c r="F267" s="11" t="n"/>
      <c r="G267" s="11" t="n"/>
      <c r="H267" s="12" t="n"/>
      <c r="I267" s="115" t="n"/>
      <c r="J267" s="121">
        <f>DADOS_AM!$FP$33</f>
        <v/>
      </c>
      <c r="K267" s="126">
        <f>DADOS_AM!$FW$33</f>
        <v/>
      </c>
      <c r="L267" s="11" t="n"/>
      <c r="M267" s="11" t="n"/>
      <c r="N267" s="12" t="n"/>
      <c r="O267" s="115" t="n"/>
      <c r="P267" s="121">
        <f>DADOS_AM!$FP$34</f>
        <v/>
      </c>
      <c r="Q267" s="126">
        <f>DADOS_AM!$FW$34</f>
        <v/>
      </c>
      <c r="R267" s="11" t="n"/>
      <c r="S267" s="11" t="n"/>
      <c r="T267" s="12" t="n"/>
      <c r="U267" s="115" t="n"/>
    </row>
    <row r="268" hidden="1" outlineLevel="3">
      <c r="A268" s="8" t="n"/>
      <c r="B268" s="22" t="n"/>
      <c r="C268" s="115" t="n"/>
      <c r="D268" s="52" t="inlineStr">
        <is>
          <t>MELHORIAS</t>
        </is>
      </c>
      <c r="E268" s="127" t="n"/>
      <c r="F268" s="12" t="n"/>
      <c r="G268" s="126">
        <f>DADOS_AM!$FZ$32</f>
        <v/>
      </c>
      <c r="H268" s="12" t="n"/>
      <c r="I268" s="115" t="n"/>
      <c r="J268" s="52" t="inlineStr">
        <is>
          <t>MELHORIAS</t>
        </is>
      </c>
      <c r="K268" s="127" t="n"/>
      <c r="L268" s="12" t="n"/>
      <c r="M268" s="126">
        <f>DADOS_AM!$FZ$33</f>
        <v/>
      </c>
      <c r="N268" s="12" t="n"/>
      <c r="O268" s="115" t="n"/>
      <c r="P268" s="52" t="inlineStr">
        <is>
          <t>MELHORIAS</t>
        </is>
      </c>
      <c r="Q268" s="127" t="n"/>
      <c r="R268" s="12" t="n"/>
      <c r="S268" s="126">
        <f>DADOS_AM!$FZ$34</f>
        <v/>
      </c>
      <c r="T268" s="12" t="n"/>
      <c r="U268" s="115" t="n"/>
    </row>
    <row r="269" hidden="1" outlineLevel="3">
      <c r="A269" s="8" t="n"/>
      <c r="B269" s="22" t="n"/>
      <c r="C269" s="115" t="n"/>
      <c r="D269" s="128" t="n"/>
      <c r="E269" s="127" t="n"/>
      <c r="F269" s="12" t="n"/>
      <c r="G269" s="126">
        <f>DADOS_AM!$GA$32</f>
        <v/>
      </c>
      <c r="H269" s="12" t="n"/>
      <c r="I269" s="115" t="n"/>
      <c r="J269" s="128" t="n"/>
      <c r="K269" s="127" t="n"/>
      <c r="L269" s="12" t="n"/>
      <c r="M269" s="126">
        <f>DADOS_AM!$GA$33</f>
        <v/>
      </c>
      <c r="N269" s="12" t="n"/>
      <c r="O269" s="115" t="n"/>
      <c r="P269" s="128" t="n"/>
      <c r="Q269" s="127" t="n"/>
      <c r="R269" s="12" t="n"/>
      <c r="S269" s="126">
        <f>DADOS_AM!$GA$34</f>
        <v/>
      </c>
      <c r="T269" s="12" t="n"/>
      <c r="U269" s="115" t="n"/>
    </row>
    <row r="270" hidden="1" outlineLevel="3">
      <c r="A270" s="8" t="n"/>
      <c r="B270" s="22" t="n"/>
      <c r="C270" s="115" t="n"/>
      <c r="D270" s="128" t="n"/>
      <c r="E270" s="127" t="n"/>
      <c r="F270" s="12" t="n"/>
      <c r="G270" s="126">
        <f>DADOS_AM!$GB$32</f>
        <v/>
      </c>
      <c r="H270" s="12" t="n"/>
      <c r="I270" s="115" t="n"/>
      <c r="J270" s="128" t="n"/>
      <c r="K270" s="127" t="n"/>
      <c r="L270" s="12" t="n"/>
      <c r="M270" s="126">
        <f>DADOS_AM!$GB$33</f>
        <v/>
      </c>
      <c r="N270" s="12" t="n"/>
      <c r="O270" s="115" t="n"/>
      <c r="P270" s="128" t="n"/>
      <c r="Q270" s="127" t="n"/>
      <c r="R270" s="12" t="n"/>
      <c r="S270" s="126">
        <f>DADOS_AM!$GB$34</f>
        <v/>
      </c>
      <c r="T270" s="12" t="n"/>
      <c r="U270" s="115" t="n"/>
    </row>
    <row r="271" hidden="1" outlineLevel="3">
      <c r="A271" s="8" t="n"/>
      <c r="B271" s="22" t="n"/>
      <c r="C271" s="115" t="n"/>
      <c r="D271" s="122" t="n"/>
      <c r="E271" s="127" t="n"/>
      <c r="F271" s="12" t="n"/>
      <c r="G271" s="126">
        <f>DADOS_AM!$GC$32</f>
        <v/>
      </c>
      <c r="H271" s="12" t="n"/>
      <c r="I271" s="115" t="n"/>
      <c r="J271" s="122" t="n"/>
      <c r="K271" s="127" t="n"/>
      <c r="L271" s="12" t="n"/>
      <c r="M271" s="126">
        <f>DADOS_AM!$GC$33</f>
        <v/>
      </c>
      <c r="N271" s="12" t="n"/>
      <c r="O271" s="115" t="n"/>
      <c r="P271" s="122" t="n"/>
      <c r="Q271" s="127" t="n"/>
      <c r="R271" s="12" t="n"/>
      <c r="S271" s="126">
        <f>DADOS_AM!$GC$34</f>
        <v/>
      </c>
      <c r="T271" s="12" t="n"/>
      <c r="U271" s="115" t="n"/>
    </row>
    <row r="272" hidden="1" outlineLevel="3">
      <c r="A272" s="8" t="n"/>
      <c r="B272" s="22" t="n"/>
      <c r="C272" s="115" t="n"/>
      <c r="D272" s="52" t="inlineStr">
        <is>
          <t>RESTRIÇÕES</t>
        </is>
      </c>
      <c r="E272" s="127" t="n"/>
      <c r="F272" s="12" t="n"/>
      <c r="G272" s="126">
        <f>DADOS_AM!$GD$32</f>
        <v/>
      </c>
      <c r="H272" s="121" t="b">
        <v>0</v>
      </c>
      <c r="I272" s="115" t="n"/>
      <c r="J272" s="52" t="inlineStr">
        <is>
          <t>RESTRIÇÕES</t>
        </is>
      </c>
      <c r="K272" s="127" t="n"/>
      <c r="L272" s="12" t="n"/>
      <c r="M272" s="126">
        <f>DADOS_AM!$GD$33</f>
        <v/>
      </c>
      <c r="N272" s="121" t="b">
        <v>0</v>
      </c>
      <c r="O272" s="115" t="n"/>
      <c r="P272" s="52" t="inlineStr">
        <is>
          <t>RESTRIÇÕES</t>
        </is>
      </c>
      <c r="Q272" s="127" t="n"/>
      <c r="R272" s="12" t="n"/>
      <c r="S272" s="126">
        <f>DADOS_AM!$GD$34</f>
        <v/>
      </c>
      <c r="T272" s="121" t="b">
        <v>0</v>
      </c>
      <c r="U272" s="115" t="n"/>
    </row>
    <row r="273" hidden="1" outlineLevel="3">
      <c r="A273" s="8" t="n"/>
      <c r="B273" s="22" t="n"/>
      <c r="C273" s="115" t="n"/>
      <c r="D273" s="122" t="n"/>
      <c r="E273" s="127" t="n"/>
      <c r="F273" s="12" t="n"/>
      <c r="G273" s="126">
        <f>DADOS_AM!$GE$32</f>
        <v/>
      </c>
      <c r="H273" s="121" t="b">
        <v>0</v>
      </c>
      <c r="I273" s="115" t="n"/>
      <c r="J273" s="122" t="n"/>
      <c r="K273" s="127" t="n"/>
      <c r="L273" s="12" t="n"/>
      <c r="M273" s="126">
        <f>DADOS_AM!$GE$33</f>
        <v/>
      </c>
      <c r="N273" s="121" t="b">
        <v>0</v>
      </c>
      <c r="O273" s="115" t="n"/>
      <c r="P273" s="122" t="n"/>
      <c r="Q273" s="127" t="n"/>
      <c r="R273" s="12" t="n"/>
      <c r="S273" s="126">
        <f>DADOS_AM!$GE$34</f>
        <v/>
      </c>
      <c r="T273" s="121" t="b">
        <v>0</v>
      </c>
      <c r="U273" s="115" t="n"/>
    </row>
    <row r="274" hidden="1" outlineLevel="3">
      <c r="A274" s="8" t="n"/>
      <c r="B274" s="22" t="n"/>
      <c r="C274" s="115" t="n"/>
      <c r="D274" s="52" t="inlineStr">
        <is>
          <t>CONTA</t>
        </is>
      </c>
      <c r="E274" s="129">
        <f>DADOS_AM!$FX$32</f>
        <v/>
      </c>
      <c r="F274" s="11" t="n"/>
      <c r="G274" s="11" t="n"/>
      <c r="H274" s="12" t="n"/>
      <c r="I274" s="115" t="n"/>
      <c r="J274" s="52" t="inlineStr">
        <is>
          <t>CONTA</t>
        </is>
      </c>
      <c r="K274" s="129">
        <f>DADOS_AM!$FX$33</f>
        <v/>
      </c>
      <c r="L274" s="11" t="n"/>
      <c r="M274" s="11" t="n"/>
      <c r="N274" s="12" t="n"/>
      <c r="O274" s="115" t="n"/>
      <c r="P274" s="52" t="inlineStr">
        <is>
          <t>CONTA</t>
        </is>
      </c>
      <c r="Q274" s="129">
        <f>DADOS_AM!$FX$34</f>
        <v/>
      </c>
      <c r="R274" s="11" t="n"/>
      <c r="S274" s="11" t="n"/>
      <c r="T274" s="12" t="n"/>
      <c r="U274" s="115" t="n"/>
    </row>
    <row r="275" hidden="1" outlineLevel="3">
      <c r="A275" s="8" t="n"/>
      <c r="B275" s="22" t="n"/>
      <c r="C275" s="115" t="n"/>
      <c r="D275" s="52" t="inlineStr">
        <is>
          <t>AMPLIAR</t>
        </is>
      </c>
      <c r="E275" s="129">
        <f>DADOS_AM!$FY$32</f>
        <v/>
      </c>
      <c r="F275" s="14" t="n"/>
      <c r="G275" s="14" t="n"/>
      <c r="H275" s="15" t="n"/>
      <c r="I275" s="115" t="n"/>
      <c r="J275" s="52" t="inlineStr">
        <is>
          <t>AMPLIAR</t>
        </is>
      </c>
      <c r="K275" s="129">
        <f>DADOS_AM!$FY$33</f>
        <v/>
      </c>
      <c r="L275" s="14" t="n"/>
      <c r="M275" s="14" t="n"/>
      <c r="N275" s="15" t="n"/>
      <c r="O275" s="115" t="n"/>
      <c r="P275" s="52" t="inlineStr">
        <is>
          <t>AMPLIAR</t>
        </is>
      </c>
      <c r="Q275" s="129">
        <f>DADOS_AM!$FY$34</f>
        <v/>
      </c>
      <c r="R275" s="14" t="n"/>
      <c r="S275" s="14" t="n"/>
      <c r="T275" s="15" t="n"/>
      <c r="U275" s="115" t="n"/>
    </row>
    <row r="276" hidden="1" outlineLevel="3">
      <c r="A276" s="8" t="n"/>
      <c r="B276" s="22" t="n"/>
      <c r="C276" s="115" t="n"/>
      <c r="D276" s="122" t="n"/>
      <c r="E276" s="18" t="n"/>
      <c r="F276" s="19" t="n"/>
      <c r="G276" s="19" t="n"/>
      <c r="H276" s="20" t="n"/>
      <c r="I276" s="115" t="n"/>
      <c r="J276" s="122" t="n"/>
      <c r="K276" s="18" t="n"/>
      <c r="L276" s="19" t="n"/>
      <c r="M276" s="19" t="n"/>
      <c r="N276" s="20" t="n"/>
      <c r="O276" s="115" t="n"/>
      <c r="P276" s="122" t="n"/>
      <c r="Q276" s="18" t="n"/>
      <c r="R276" s="19" t="n"/>
      <c r="S276" s="19" t="n"/>
      <c r="T276" s="20" t="n"/>
      <c r="U276" s="115" t="n"/>
    </row>
    <row r="277" hidden="1" outlineLevel="3">
      <c r="A277" s="8" t="n"/>
      <c r="B277" s="22" t="n"/>
      <c r="C277" s="115" t="n"/>
      <c r="D277" s="52" t="inlineStr">
        <is>
          <t>AVISOS</t>
        </is>
      </c>
      <c r="E277" s="129">
        <f>DADOS_AM!$FN$32</f>
        <v/>
      </c>
      <c r="F277" s="14" t="n"/>
      <c r="G277" s="14" t="n"/>
      <c r="H277" s="15" t="n"/>
      <c r="I277" s="115" t="n"/>
      <c r="J277" s="52" t="inlineStr">
        <is>
          <t>AVISOS</t>
        </is>
      </c>
      <c r="K277" s="129">
        <f>DADOS_AM!$FN$33</f>
        <v/>
      </c>
      <c r="L277" s="14" t="n"/>
      <c r="M277" s="14" t="n"/>
      <c r="N277" s="15" t="n"/>
      <c r="O277" s="115" t="n"/>
      <c r="P277" s="52" t="inlineStr">
        <is>
          <t>AVISOS</t>
        </is>
      </c>
      <c r="Q277" s="129">
        <f>DADOS_AM!$FN$34</f>
        <v/>
      </c>
      <c r="R277" s="14" t="n"/>
      <c r="S277" s="14" t="n"/>
      <c r="T277" s="15" t="n"/>
      <c r="U277" s="115" t="n"/>
    </row>
    <row r="278" hidden="1" outlineLevel="3">
      <c r="A278" s="8" t="n"/>
      <c r="B278" s="22" t="n"/>
      <c r="C278" s="115" t="n"/>
      <c r="D278" s="122" t="n"/>
      <c r="E278" s="18" t="n"/>
      <c r="F278" s="19" t="n"/>
      <c r="G278" s="19" t="n"/>
      <c r="H278" s="20" t="n"/>
      <c r="I278" s="115" t="n"/>
      <c r="J278" s="122" t="n"/>
      <c r="K278" s="18" t="n"/>
      <c r="L278" s="19" t="n"/>
      <c r="M278" s="19" t="n"/>
      <c r="N278" s="20" t="n"/>
      <c r="O278" s="115" t="n"/>
      <c r="P278" s="122" t="n"/>
      <c r="Q278" s="18" t="n"/>
      <c r="R278" s="19" t="n"/>
      <c r="S278" s="19" t="n"/>
      <c r="T278" s="20" t="n"/>
      <c r="U278" s="115" t="n"/>
    </row>
    <row r="279" hidden="1" outlineLevel="2">
      <c r="A279" s="8" t="n"/>
      <c r="B279" s="22" t="n"/>
      <c r="C279" s="115" t="n"/>
      <c r="D279" s="115" t="n"/>
      <c r="E279" s="115" t="n"/>
      <c r="F279" s="115" t="n"/>
      <c r="G279" s="115" t="n"/>
      <c r="H279" s="115" t="n"/>
      <c r="I279" s="115" t="n"/>
      <c r="J279" s="115" t="n"/>
      <c r="K279" s="115" t="n"/>
      <c r="L279" s="115" t="n"/>
      <c r="M279" s="115" t="n"/>
      <c r="N279" s="115" t="n"/>
      <c r="O279" s="115" t="n"/>
      <c r="P279" s="115" t="n"/>
      <c r="Q279" s="115" t="n"/>
      <c r="R279" s="115" t="n"/>
      <c r="S279" s="115" t="n"/>
      <c r="T279" s="115" t="n"/>
      <c r="U279" s="115" t="n"/>
    </row>
    <row r="280" hidden="1" outlineLevel="2">
      <c r="A280" s="8" t="n"/>
      <c r="B280" s="22" t="n"/>
      <c r="C280" s="115" t="n"/>
      <c r="D280" s="123" t="n">
        <v>1</v>
      </c>
      <c r="E280" s="124" t="n"/>
      <c r="F280" s="12" t="n"/>
      <c r="G280" s="125">
        <f>DADOS_AM!$FM$35</f>
        <v/>
      </c>
      <c r="H280" s="12" t="n"/>
      <c r="I280" s="115" t="n"/>
      <c r="J280" s="123" t="n">
        <v>1</v>
      </c>
      <c r="K280" s="124" t="n"/>
      <c r="L280" s="12" t="n"/>
      <c r="M280" s="125">
        <f>DADOS_AM!$FM$36</f>
        <v/>
      </c>
      <c r="N280" s="12" t="n"/>
      <c r="O280" s="115" t="n"/>
      <c r="P280" s="123" t="n">
        <v>1</v>
      </c>
      <c r="Q280" s="124" t="n"/>
      <c r="R280" s="12" t="n"/>
      <c r="S280" s="125">
        <f>DADOS_AM!$FM$37</f>
        <v/>
      </c>
      <c r="T280" s="12" t="n"/>
      <c r="U280" s="115" t="n"/>
    </row>
    <row r="281" hidden="1" outlineLevel="3">
      <c r="A281" s="8" t="n"/>
      <c r="B281" s="22" t="n"/>
      <c r="C281" s="115" t="n"/>
      <c r="D281" s="52" t="inlineStr">
        <is>
          <t>COMO É</t>
        </is>
      </c>
      <c r="E281" s="11" t="n"/>
      <c r="F281" s="11" t="n"/>
      <c r="G281" s="11" t="n"/>
      <c r="H281" s="12" t="n"/>
      <c r="I281" s="115" t="n"/>
      <c r="J281" s="52" t="inlineStr">
        <is>
          <t>COMO É</t>
        </is>
      </c>
      <c r="K281" s="11" t="n"/>
      <c r="L281" s="11" t="n"/>
      <c r="M281" s="11" t="n"/>
      <c r="N281" s="12" t="n"/>
      <c r="O281" s="115" t="n"/>
      <c r="P281" s="52" t="inlineStr">
        <is>
          <t>COMO É</t>
        </is>
      </c>
      <c r="Q281" s="11" t="n"/>
      <c r="R281" s="11" t="n"/>
      <c r="S281" s="11" t="n"/>
      <c r="T281" s="12" t="n"/>
      <c r="U281" s="115" t="n"/>
    </row>
    <row r="282" hidden="1" outlineLevel="3">
      <c r="A282" s="8" t="n"/>
      <c r="B282" s="22" t="n"/>
      <c r="C282" s="115" t="n"/>
      <c r="D282" s="120" t="n"/>
      <c r="E282" s="14" t="n"/>
      <c r="F282" s="14" t="n"/>
      <c r="G282" s="14" t="n"/>
      <c r="H282" s="15" t="n"/>
      <c r="I282" s="115" t="n"/>
      <c r="J282" s="120" t="n"/>
      <c r="K282" s="14" t="n"/>
      <c r="L282" s="14" t="n"/>
      <c r="M282" s="14" t="n"/>
      <c r="N282" s="15" t="n"/>
      <c r="O282" s="115" t="n"/>
      <c r="P282" s="120" t="n"/>
      <c r="Q282" s="14" t="n"/>
      <c r="R282" s="14" t="n"/>
      <c r="S282" s="14" t="n"/>
      <c r="T282" s="15" t="n"/>
      <c r="U282" s="115" t="n"/>
    </row>
    <row r="283" hidden="1" outlineLevel="3">
      <c r="A283" s="8" t="n"/>
      <c r="B283" s="22" t="n"/>
      <c r="C283" s="115" t="n"/>
      <c r="D283" s="16" t="n"/>
      <c r="H283" s="17" t="n"/>
      <c r="I283" s="115" t="n"/>
      <c r="J283" s="16" t="n"/>
      <c r="N283" s="17" t="n"/>
      <c r="O283" s="115" t="n"/>
      <c r="P283" s="16" t="n"/>
      <c r="T283" s="17" t="n"/>
      <c r="U283" s="115" t="n"/>
    </row>
    <row r="284" hidden="1" outlineLevel="3">
      <c r="A284" s="8" t="n"/>
      <c r="B284" s="22" t="n"/>
      <c r="C284" s="115" t="n"/>
      <c r="D284" s="16" t="n"/>
      <c r="H284" s="17" t="n"/>
      <c r="I284" s="115" t="n"/>
      <c r="J284" s="16" t="n"/>
      <c r="N284" s="17" t="n"/>
      <c r="O284" s="115" t="n"/>
      <c r="P284" s="16" t="n"/>
      <c r="T284" s="17" t="n"/>
      <c r="U284" s="115" t="n"/>
    </row>
    <row r="285" hidden="1" outlineLevel="3">
      <c r="A285" s="8" t="n"/>
      <c r="B285" s="22" t="n"/>
      <c r="C285" s="115" t="n"/>
      <c r="D285" s="16" t="n"/>
      <c r="H285" s="17" t="n"/>
      <c r="I285" s="115" t="n"/>
      <c r="J285" s="16" t="n"/>
      <c r="N285" s="17" t="n"/>
      <c r="O285" s="115" t="n"/>
      <c r="P285" s="16" t="n"/>
      <c r="T285" s="17" t="n"/>
      <c r="U285" s="115" t="n"/>
    </row>
    <row r="286" hidden="1" outlineLevel="3">
      <c r="A286" s="8" t="n"/>
      <c r="B286" s="22" t="n"/>
      <c r="C286" s="115" t="n"/>
      <c r="D286" s="18" t="n"/>
      <c r="E286" s="19" t="n"/>
      <c r="F286" s="19" t="n"/>
      <c r="G286" s="19" t="n"/>
      <c r="H286" s="20" t="n"/>
      <c r="I286" s="115" t="n"/>
      <c r="J286" s="18" t="n"/>
      <c r="K286" s="19" t="n"/>
      <c r="L286" s="19" t="n"/>
      <c r="M286" s="19" t="n"/>
      <c r="N286" s="20" t="n"/>
      <c r="O286" s="115" t="n"/>
      <c r="P286" s="18" t="n"/>
      <c r="Q286" s="19" t="n"/>
      <c r="R286" s="19" t="n"/>
      <c r="S286" s="19" t="n"/>
      <c r="T286" s="20" t="n"/>
      <c r="U286" s="115" t="n"/>
    </row>
    <row r="287" hidden="1" outlineLevel="2">
      <c r="A287" s="8" t="n"/>
      <c r="B287" s="22" t="n"/>
      <c r="C287" s="115" t="n"/>
      <c r="D287" s="121" t="inlineStr">
        <is>
          <t>Projétil</t>
        </is>
      </c>
      <c r="E287" s="65">
        <f>DADOS_AM!$FR$35</f>
        <v/>
      </c>
      <c r="F287" s="65">
        <f>DADOS_AM!$FO$35</f>
        <v/>
      </c>
      <c r="G287" s="121">
        <f>DADOS_AM!$FQ$35</f>
        <v/>
      </c>
      <c r="H287" s="12" t="n"/>
      <c r="I287" s="115" t="n"/>
      <c r="J287" s="121" t="inlineStr">
        <is>
          <t>Projétil</t>
        </is>
      </c>
      <c r="K287" s="65">
        <f>DADOS_AM!$FR$36</f>
        <v/>
      </c>
      <c r="L287" s="65">
        <f>DADOS_AM!$FO$36</f>
        <v/>
      </c>
      <c r="M287" s="121">
        <f>DADOS_AM!$FQ$36</f>
        <v/>
      </c>
      <c r="N287" s="12" t="n"/>
      <c r="O287" s="115" t="n"/>
      <c r="P287" s="121" t="inlineStr">
        <is>
          <t>Projétil</t>
        </is>
      </c>
      <c r="Q287" s="65">
        <f>DADOS_AM!$FR$37</f>
        <v/>
      </c>
      <c r="R287" s="65">
        <f>DADOS_AM!$FO$37</f>
        <v/>
      </c>
      <c r="S287" s="121">
        <f>DADOS_AM!$FQ$37</f>
        <v/>
      </c>
      <c r="T287" s="12" t="n"/>
      <c r="U287" s="115" t="n"/>
    </row>
    <row r="288" hidden="1" outlineLevel="2">
      <c r="A288" s="8" t="n"/>
      <c r="B288" s="22" t="n"/>
      <c r="C288" s="115" t="n"/>
      <c r="D288" s="121">
        <f>DADOS_AM!$FP$35</f>
        <v/>
      </c>
      <c r="E288" s="126">
        <f>DADOS_AM!$FW$35</f>
        <v/>
      </c>
      <c r="F288" s="11" t="n"/>
      <c r="G288" s="11" t="n"/>
      <c r="H288" s="12" t="n"/>
      <c r="I288" s="115" t="n"/>
      <c r="J288" s="121">
        <f>DADOS_AM!$FP$36</f>
        <v/>
      </c>
      <c r="K288" s="126">
        <f>DADOS_AM!$FW$36</f>
        <v/>
      </c>
      <c r="L288" s="11" t="n"/>
      <c r="M288" s="11" t="n"/>
      <c r="N288" s="12" t="n"/>
      <c r="O288" s="115" t="n"/>
      <c r="P288" s="121">
        <f>DADOS_AM!$FP$37</f>
        <v/>
      </c>
      <c r="Q288" s="126">
        <f>DADOS_AM!$FW$37</f>
        <v/>
      </c>
      <c r="R288" s="11" t="n"/>
      <c r="S288" s="11" t="n"/>
      <c r="T288" s="12" t="n"/>
      <c r="U288" s="115" t="n"/>
    </row>
    <row r="289" hidden="1" outlineLevel="3">
      <c r="A289" s="8" t="n"/>
      <c r="B289" s="22" t="n"/>
      <c r="C289" s="115" t="n"/>
      <c r="D289" s="52" t="inlineStr">
        <is>
          <t>MELHORIAS</t>
        </is>
      </c>
      <c r="E289" s="127" t="n"/>
      <c r="F289" s="12" t="n"/>
      <c r="G289" s="126">
        <f>DADOS_AM!$FZ$35</f>
        <v/>
      </c>
      <c r="H289" s="12" t="n"/>
      <c r="I289" s="115" t="n"/>
      <c r="J289" s="52" t="inlineStr">
        <is>
          <t>MELHORIAS</t>
        </is>
      </c>
      <c r="K289" s="127" t="n"/>
      <c r="L289" s="12" t="n"/>
      <c r="M289" s="126">
        <f>DADOS_AM!$FZ$36</f>
        <v/>
      </c>
      <c r="N289" s="12" t="n"/>
      <c r="O289" s="115" t="n"/>
      <c r="P289" s="52" t="inlineStr">
        <is>
          <t>MELHORIAS</t>
        </is>
      </c>
      <c r="Q289" s="127" t="n"/>
      <c r="R289" s="12" t="n"/>
      <c r="S289" s="126">
        <f>DADOS_AM!$FZ$37</f>
        <v/>
      </c>
      <c r="T289" s="12" t="n"/>
      <c r="U289" s="115" t="n"/>
    </row>
    <row r="290" hidden="1" outlineLevel="3">
      <c r="A290" s="8" t="n"/>
      <c r="B290" s="22" t="n"/>
      <c r="C290" s="115" t="n"/>
      <c r="D290" s="128" t="n"/>
      <c r="E290" s="127" t="n"/>
      <c r="F290" s="12" t="n"/>
      <c r="G290" s="126">
        <f>DADOS_AM!$GA$35</f>
        <v/>
      </c>
      <c r="H290" s="12" t="n"/>
      <c r="I290" s="115" t="n"/>
      <c r="J290" s="128" t="n"/>
      <c r="K290" s="127" t="n"/>
      <c r="L290" s="12" t="n"/>
      <c r="M290" s="126">
        <f>DADOS_AM!$GA$36</f>
        <v/>
      </c>
      <c r="N290" s="12" t="n"/>
      <c r="O290" s="115" t="n"/>
      <c r="P290" s="128" t="n"/>
      <c r="Q290" s="127" t="n"/>
      <c r="R290" s="12" t="n"/>
      <c r="S290" s="126">
        <f>DADOS_AM!$GA$37</f>
        <v/>
      </c>
      <c r="T290" s="12" t="n"/>
      <c r="U290" s="115" t="n"/>
    </row>
    <row r="291" hidden="1" outlineLevel="3">
      <c r="A291" s="8" t="n"/>
      <c r="B291" s="22" t="n"/>
      <c r="C291" s="115" t="n"/>
      <c r="D291" s="128" t="n"/>
      <c r="E291" s="127" t="n"/>
      <c r="F291" s="12" t="n"/>
      <c r="G291" s="126">
        <f>DADOS_AM!$GB$35</f>
        <v/>
      </c>
      <c r="H291" s="12" t="n"/>
      <c r="I291" s="115" t="n"/>
      <c r="J291" s="128" t="n"/>
      <c r="K291" s="127" t="n"/>
      <c r="L291" s="12" t="n"/>
      <c r="M291" s="126">
        <f>DADOS_AM!$GB$36</f>
        <v/>
      </c>
      <c r="N291" s="12" t="n"/>
      <c r="O291" s="115" t="n"/>
      <c r="P291" s="128" t="n"/>
      <c r="Q291" s="127" t="n"/>
      <c r="R291" s="12" t="n"/>
      <c r="S291" s="126">
        <f>DADOS_AM!$GB$37</f>
        <v/>
      </c>
      <c r="T291" s="12" t="n"/>
      <c r="U291" s="115" t="n"/>
    </row>
    <row r="292" hidden="1" outlineLevel="3">
      <c r="A292" s="8" t="n"/>
      <c r="B292" s="22" t="n"/>
      <c r="C292" s="115" t="n"/>
      <c r="D292" s="122" t="n"/>
      <c r="E292" s="127" t="n"/>
      <c r="F292" s="12" t="n"/>
      <c r="G292" s="126">
        <f>DADOS_AM!$GC$35</f>
        <v/>
      </c>
      <c r="H292" s="12" t="n"/>
      <c r="I292" s="115" t="n"/>
      <c r="J292" s="122" t="n"/>
      <c r="K292" s="127" t="n"/>
      <c r="L292" s="12" t="n"/>
      <c r="M292" s="126">
        <f>DADOS_AM!$GC$36</f>
        <v/>
      </c>
      <c r="N292" s="12" t="n"/>
      <c r="O292" s="115" t="n"/>
      <c r="P292" s="122" t="n"/>
      <c r="Q292" s="127" t="n"/>
      <c r="R292" s="12" t="n"/>
      <c r="S292" s="126">
        <f>DADOS_AM!$GC$37</f>
        <v/>
      </c>
      <c r="T292" s="12" t="n"/>
      <c r="U292" s="115" t="n"/>
    </row>
    <row r="293" hidden="1" outlineLevel="3">
      <c r="A293" s="8" t="n"/>
      <c r="B293" s="22" t="n"/>
      <c r="C293" s="115" t="n"/>
      <c r="D293" s="52" t="inlineStr">
        <is>
          <t>RESTRIÇÕES</t>
        </is>
      </c>
      <c r="E293" s="127" t="n"/>
      <c r="F293" s="12" t="n"/>
      <c r="G293" s="126">
        <f>DADOS_AM!$GD$35</f>
        <v/>
      </c>
      <c r="H293" s="121" t="b">
        <v>0</v>
      </c>
      <c r="I293" s="115" t="n"/>
      <c r="J293" s="52" t="inlineStr">
        <is>
          <t>RESTRIÇÕES</t>
        </is>
      </c>
      <c r="K293" s="127" t="n"/>
      <c r="L293" s="12" t="n"/>
      <c r="M293" s="126">
        <f>DADOS_AM!$GD$36</f>
        <v/>
      </c>
      <c r="N293" s="121" t="b">
        <v>0</v>
      </c>
      <c r="O293" s="115" t="n"/>
      <c r="P293" s="52" t="inlineStr">
        <is>
          <t>RESTRIÇÕES</t>
        </is>
      </c>
      <c r="Q293" s="127" t="n"/>
      <c r="R293" s="12" t="n"/>
      <c r="S293" s="126">
        <f>DADOS_AM!$GD$37</f>
        <v/>
      </c>
      <c r="T293" s="121" t="b">
        <v>0</v>
      </c>
      <c r="U293" s="115" t="n"/>
    </row>
    <row r="294" hidden="1" outlineLevel="3">
      <c r="A294" s="8" t="n"/>
      <c r="B294" s="22" t="n"/>
      <c r="C294" s="115" t="n"/>
      <c r="D294" s="122" t="n"/>
      <c r="E294" s="127" t="n"/>
      <c r="F294" s="12" t="n"/>
      <c r="G294" s="126">
        <f>DADOS_AM!$GE$35</f>
        <v/>
      </c>
      <c r="H294" s="121" t="b">
        <v>0</v>
      </c>
      <c r="I294" s="115" t="n"/>
      <c r="J294" s="122" t="n"/>
      <c r="K294" s="127" t="n"/>
      <c r="L294" s="12" t="n"/>
      <c r="M294" s="126">
        <f>DADOS_AM!$GE$36</f>
        <v/>
      </c>
      <c r="N294" s="121" t="b">
        <v>0</v>
      </c>
      <c r="O294" s="115" t="n"/>
      <c r="P294" s="122" t="n"/>
      <c r="Q294" s="127" t="n"/>
      <c r="R294" s="12" t="n"/>
      <c r="S294" s="126">
        <f>DADOS_AM!$GE$37</f>
        <v/>
      </c>
      <c r="T294" s="121" t="b">
        <v>0</v>
      </c>
      <c r="U294" s="115" t="n"/>
    </row>
    <row r="295" hidden="1" outlineLevel="3">
      <c r="A295" s="8" t="n"/>
      <c r="B295" s="22" t="n"/>
      <c r="C295" s="115" t="n"/>
      <c r="D295" s="52" t="inlineStr">
        <is>
          <t>CONTA</t>
        </is>
      </c>
      <c r="E295" s="129">
        <f>DADOS_AM!$FX$35</f>
        <v/>
      </c>
      <c r="F295" s="11" t="n"/>
      <c r="G295" s="11" t="n"/>
      <c r="H295" s="12" t="n"/>
      <c r="I295" s="115" t="n"/>
      <c r="J295" s="52" t="inlineStr">
        <is>
          <t>CONTA</t>
        </is>
      </c>
      <c r="K295" s="129">
        <f>DADOS_AM!$FX$36</f>
        <v/>
      </c>
      <c r="L295" s="11" t="n"/>
      <c r="M295" s="11" t="n"/>
      <c r="N295" s="12" t="n"/>
      <c r="O295" s="115" t="n"/>
      <c r="P295" s="52" t="inlineStr">
        <is>
          <t>CONTA</t>
        </is>
      </c>
      <c r="Q295" s="129">
        <f>DADOS_AM!$FX$37</f>
        <v/>
      </c>
      <c r="R295" s="11" t="n"/>
      <c r="S295" s="11" t="n"/>
      <c r="T295" s="12" t="n"/>
      <c r="U295" s="115" t="n"/>
    </row>
    <row r="296" hidden="1" outlineLevel="3">
      <c r="A296" s="8" t="n"/>
      <c r="B296" s="22" t="n"/>
      <c r="C296" s="115" t="n"/>
      <c r="D296" s="52" t="inlineStr">
        <is>
          <t>AMPLIAR</t>
        </is>
      </c>
      <c r="E296" s="129">
        <f>DADOS_AM!$FY$35</f>
        <v/>
      </c>
      <c r="F296" s="14" t="n"/>
      <c r="G296" s="14" t="n"/>
      <c r="H296" s="15" t="n"/>
      <c r="I296" s="115" t="n"/>
      <c r="J296" s="52" t="inlineStr">
        <is>
          <t>AMPLIAR</t>
        </is>
      </c>
      <c r="K296" s="129">
        <f>DADOS_AM!$FY$36</f>
        <v/>
      </c>
      <c r="L296" s="14" t="n"/>
      <c r="M296" s="14" t="n"/>
      <c r="N296" s="15" t="n"/>
      <c r="O296" s="115" t="n"/>
      <c r="P296" s="52" t="inlineStr">
        <is>
          <t>AMPLIAR</t>
        </is>
      </c>
      <c r="Q296" s="129">
        <f>DADOS_AM!$FY$37</f>
        <v/>
      </c>
      <c r="R296" s="14" t="n"/>
      <c r="S296" s="14" t="n"/>
      <c r="T296" s="15" t="n"/>
      <c r="U296" s="115" t="n"/>
    </row>
    <row r="297" hidden="1" outlineLevel="3">
      <c r="A297" s="8" t="n"/>
      <c r="B297" s="22" t="n"/>
      <c r="C297" s="115" t="n"/>
      <c r="D297" s="122" t="n"/>
      <c r="E297" s="18" t="n"/>
      <c r="F297" s="19" t="n"/>
      <c r="G297" s="19" t="n"/>
      <c r="H297" s="20" t="n"/>
      <c r="I297" s="115" t="n"/>
      <c r="J297" s="122" t="n"/>
      <c r="K297" s="18" t="n"/>
      <c r="L297" s="19" t="n"/>
      <c r="M297" s="19" t="n"/>
      <c r="N297" s="20" t="n"/>
      <c r="O297" s="115" t="n"/>
      <c r="P297" s="122" t="n"/>
      <c r="Q297" s="18" t="n"/>
      <c r="R297" s="19" t="n"/>
      <c r="S297" s="19" t="n"/>
      <c r="T297" s="20" t="n"/>
      <c r="U297" s="115" t="n"/>
    </row>
    <row r="298" hidden="1" outlineLevel="3">
      <c r="A298" s="8" t="n"/>
      <c r="B298" s="22" t="n"/>
      <c r="C298" s="115" t="n"/>
      <c r="D298" s="52" t="inlineStr">
        <is>
          <t>AVISOS</t>
        </is>
      </c>
      <c r="E298" s="129">
        <f>DADOS_AM!$FN$35</f>
        <v/>
      </c>
      <c r="F298" s="14" t="n"/>
      <c r="G298" s="14" t="n"/>
      <c r="H298" s="15" t="n"/>
      <c r="I298" s="115" t="n"/>
      <c r="J298" s="52" t="inlineStr">
        <is>
          <t>AVISOS</t>
        </is>
      </c>
      <c r="K298" s="129">
        <f>DADOS_AM!$FN$36</f>
        <v/>
      </c>
      <c r="L298" s="14" t="n"/>
      <c r="M298" s="14" t="n"/>
      <c r="N298" s="15" t="n"/>
      <c r="O298" s="115" t="n"/>
      <c r="P298" s="52" t="inlineStr">
        <is>
          <t>AVISOS</t>
        </is>
      </c>
      <c r="Q298" s="129">
        <f>DADOS_AM!$FN$37</f>
        <v/>
      </c>
      <c r="R298" s="14" t="n"/>
      <c r="S298" s="14" t="n"/>
      <c r="T298" s="15" t="n"/>
      <c r="U298" s="115" t="n"/>
    </row>
    <row r="299" hidden="1" outlineLevel="3">
      <c r="A299" s="8" t="n"/>
      <c r="B299" s="22" t="n"/>
      <c r="C299" s="115" t="n"/>
      <c r="D299" s="122" t="n"/>
      <c r="E299" s="18" t="n"/>
      <c r="F299" s="19" t="n"/>
      <c r="G299" s="19" t="n"/>
      <c r="H299" s="20" t="n"/>
      <c r="I299" s="115" t="n"/>
      <c r="J299" s="122" t="n"/>
      <c r="K299" s="18" t="n"/>
      <c r="L299" s="19" t="n"/>
      <c r="M299" s="19" t="n"/>
      <c r="N299" s="20" t="n"/>
      <c r="O299" s="115" t="n"/>
      <c r="P299" s="122" t="n"/>
      <c r="Q299" s="18" t="n"/>
      <c r="R299" s="19" t="n"/>
      <c r="S299" s="19" t="n"/>
      <c r="T299" s="20" t="n"/>
      <c r="U299" s="115" t="n"/>
    </row>
    <row r="300">
      <c r="A300" s="8" t="n"/>
      <c r="B300" s="22" t="n"/>
      <c r="C300" s="115" t="n"/>
      <c r="D300" s="115" t="n"/>
      <c r="E300" s="115" t="n"/>
      <c r="F300" s="115" t="n"/>
      <c r="G300" s="115" t="n"/>
      <c r="H300" s="115" t="n"/>
      <c r="I300" s="115" t="n"/>
      <c r="J300" s="115" t="n"/>
      <c r="K300" s="115" t="n"/>
      <c r="L300" s="115" t="n"/>
      <c r="M300" s="115" t="n"/>
      <c r="N300" s="115" t="n"/>
      <c r="O300" s="115" t="n"/>
      <c r="P300" s="115" t="n"/>
      <c r="Q300" s="115" t="n"/>
      <c r="R300" s="115" t="n"/>
      <c r="S300" s="115" t="n"/>
      <c r="T300" s="115" t="n"/>
      <c r="U300" s="115" t="n"/>
    </row>
    <row r="301">
      <c r="A301" s="8" t="n"/>
      <c r="B301" s="22" t="n"/>
      <c r="C301" s="115" t="n"/>
      <c r="D301" s="118" t="inlineStr">
        <is>
          <t>CLASSE 0</t>
        </is>
      </c>
      <c r="E301" s="14" t="n"/>
      <c r="F301" s="14" t="n"/>
      <c r="G301" s="14" t="n"/>
      <c r="H301" s="15" t="n"/>
      <c r="I301" s="119">
        <f>DADOS_AM!$GH$10&amp;" feitiços grátis · "&amp;DADOS_AM!$GH$11&amp;"d8 · sem PE e sem ocupar espaço"</f>
        <v/>
      </c>
      <c r="J301" s="14" t="n"/>
      <c r="K301" s="14" t="n"/>
      <c r="L301" s="14" t="n"/>
      <c r="M301" s="14" t="n"/>
      <c r="N301" s="14" t="n"/>
      <c r="O301" s="14" t="n"/>
      <c r="P301" s="14" t="n"/>
      <c r="Q301" s="14" t="n"/>
      <c r="R301" s="14" t="n"/>
      <c r="S301" s="14" t="n"/>
      <c r="T301" s="15" t="n"/>
      <c r="U301" s="115" t="n"/>
    </row>
    <row r="302">
      <c r="A302" s="8" t="n"/>
      <c r="B302" s="22" t="n"/>
      <c r="C302" s="115" t="n"/>
      <c r="D302" s="18" t="n"/>
      <c r="E302" s="19" t="n"/>
      <c r="F302" s="19" t="n"/>
      <c r="G302" s="19" t="n"/>
      <c r="H302" s="20" t="n"/>
      <c r="I302" s="18" t="n"/>
      <c r="J302" s="19" t="n"/>
      <c r="K302" s="19" t="n"/>
      <c r="L302" s="19" t="n"/>
      <c r="M302" s="19" t="n"/>
      <c r="N302" s="19" t="n"/>
      <c r="O302" s="19" t="n"/>
      <c r="P302" s="19" t="n"/>
      <c r="Q302" s="19" t="n"/>
      <c r="R302" s="19" t="n"/>
      <c r="S302" s="19" t="n"/>
      <c r="T302" s="20" t="n"/>
      <c r="U302" s="115" t="n"/>
    </row>
    <row r="303" outlineLevel="1">
      <c r="A303" s="8" t="n"/>
      <c r="B303" s="22" t="n"/>
      <c r="C303" s="115" t="n"/>
      <c r="D303" s="52" t="inlineStr">
        <is>
          <t>NOME</t>
        </is>
      </c>
      <c r="E303" s="12" t="n"/>
      <c r="F303" s="52" t="inlineStr">
        <is>
          <t>FORMA</t>
        </is>
      </c>
      <c r="G303" s="11" t="n"/>
      <c r="H303" s="12" t="n"/>
      <c r="I303" s="115" t="n"/>
      <c r="J303" s="52" t="inlineStr">
        <is>
          <t>MELHORIA LEVE</t>
        </is>
      </c>
      <c r="K303" s="12" t="n"/>
      <c r="L303" s="52" t="inlineStr">
        <is>
          <t>RESTRIÇÃO LEVE</t>
        </is>
      </c>
      <c r="M303" s="11" t="n"/>
      <c r="N303" s="12" t="n"/>
      <c r="O303" s="115" t="n"/>
      <c r="P303" s="52" t="inlineStr">
        <is>
          <t>DANO</t>
        </is>
      </c>
      <c r="Q303" s="12" t="n"/>
      <c r="R303" s="52" t="inlineStr">
        <is>
          <t>ALCANCE</t>
        </is>
      </c>
      <c r="S303" s="11" t="n"/>
      <c r="T303" s="12" t="n"/>
      <c r="U303" s="115" t="n"/>
    </row>
    <row r="304" outlineLevel="1">
      <c r="A304" s="8" t="n"/>
      <c r="B304" s="22" t="n"/>
      <c r="C304" s="115" t="n"/>
      <c r="D304" s="127" t="n"/>
      <c r="E304" s="12" t="n"/>
      <c r="F304" s="121" t="inlineStr">
        <is>
          <t>Projétil</t>
        </is>
      </c>
      <c r="G304" s="11" t="n"/>
      <c r="H304" s="12" t="n"/>
      <c r="I304" s="115" t="n"/>
      <c r="J304" s="127" t="n"/>
      <c r="K304" s="12" t="n"/>
      <c r="L304" s="127" t="n"/>
      <c r="M304" s="11" t="n"/>
      <c r="N304" s="12" t="n"/>
      <c r="O304" s="115" t="n"/>
      <c r="P304" s="65">
        <f>DADOS_AM!$HE$2</f>
        <v/>
      </c>
      <c r="Q304" s="12" t="n"/>
      <c r="R304" s="126">
        <f>DADOS_AM!$HF$2</f>
        <v/>
      </c>
      <c r="S304" s="11" t="n"/>
      <c r="T304" s="12" t="n"/>
      <c r="U304" s="115" t="n"/>
    </row>
    <row r="305" outlineLevel="1">
      <c r="A305" s="8" t="n"/>
      <c r="B305" s="22" t="n"/>
      <c r="C305" s="115" t="n"/>
      <c r="D305" s="127" t="n"/>
      <c r="E305" s="12" t="n"/>
      <c r="F305" s="121" t="inlineStr">
        <is>
          <t>Projétil</t>
        </is>
      </c>
      <c r="G305" s="11" t="n"/>
      <c r="H305" s="12" t="n"/>
      <c r="I305" s="115" t="n"/>
      <c r="J305" s="127" t="n"/>
      <c r="K305" s="12" t="n"/>
      <c r="L305" s="127" t="n"/>
      <c r="M305" s="11" t="n"/>
      <c r="N305" s="12" t="n"/>
      <c r="O305" s="115" t="n"/>
      <c r="P305" s="65">
        <f>DADOS_AM!$HE$3</f>
        <v/>
      </c>
      <c r="Q305" s="12" t="n"/>
      <c r="R305" s="126">
        <f>DADOS_AM!$HF$3</f>
        <v/>
      </c>
      <c r="S305" s="11" t="n"/>
      <c r="T305" s="12" t="n"/>
      <c r="U305" s="115" t="n"/>
    </row>
    <row r="306" outlineLevel="1">
      <c r="A306" s="8" t="n"/>
      <c r="B306" s="22" t="n"/>
      <c r="C306" s="115" t="n"/>
      <c r="D306" s="127" t="n"/>
      <c r="E306" s="12" t="n"/>
      <c r="F306" s="121" t="inlineStr">
        <is>
          <t>Projétil</t>
        </is>
      </c>
      <c r="G306" s="11" t="n"/>
      <c r="H306" s="12" t="n"/>
      <c r="I306" s="115" t="n"/>
      <c r="J306" s="127" t="n"/>
      <c r="K306" s="12" t="n"/>
      <c r="L306" s="127" t="n"/>
      <c r="M306" s="11" t="n"/>
      <c r="N306" s="12" t="n"/>
      <c r="O306" s="115" t="n"/>
      <c r="P306" s="65">
        <f>DADOS_AM!$HE$4</f>
        <v/>
      </c>
      <c r="Q306" s="12" t="n"/>
      <c r="R306" s="126">
        <f>DADOS_AM!$HF$4</f>
        <v/>
      </c>
      <c r="S306" s="11" t="n"/>
      <c r="T306" s="12" t="n"/>
      <c r="U306" s="115" t="n"/>
    </row>
    <row r="307" outlineLevel="1">
      <c r="A307" s="8" t="n"/>
      <c r="B307" s="22" t="n"/>
      <c r="C307" s="115" t="n"/>
      <c r="D307" s="127" t="n"/>
      <c r="E307" s="12" t="n"/>
      <c r="F307" s="121" t="inlineStr">
        <is>
          <t>Projétil</t>
        </is>
      </c>
      <c r="G307" s="11" t="n"/>
      <c r="H307" s="12" t="n"/>
      <c r="I307" s="115" t="n"/>
      <c r="J307" s="127" t="n"/>
      <c r="K307" s="12" t="n"/>
      <c r="L307" s="127" t="n"/>
      <c r="M307" s="11" t="n"/>
      <c r="N307" s="12" t="n"/>
      <c r="O307" s="115" t="n"/>
      <c r="P307" s="65">
        <f>DADOS_AM!$HE$5</f>
        <v/>
      </c>
      <c r="Q307" s="12" t="n"/>
      <c r="R307" s="126">
        <f>DADOS_AM!$HF$5</f>
        <v/>
      </c>
      <c r="S307" s="11" t="n"/>
      <c r="T307" s="12" t="n"/>
      <c r="U307" s="115" t="n"/>
    </row>
    <row r="308" outlineLevel="1">
      <c r="A308" s="8" t="n"/>
      <c r="B308" s="22" t="n"/>
      <c r="C308" s="115" t="n"/>
      <c r="D308" s="127" t="n"/>
      <c r="E308" s="12" t="n"/>
      <c r="F308" s="121" t="inlineStr">
        <is>
          <t>Projétil</t>
        </is>
      </c>
      <c r="G308" s="11" t="n"/>
      <c r="H308" s="12" t="n"/>
      <c r="I308" s="115" t="n"/>
      <c r="J308" s="127" t="n"/>
      <c r="K308" s="12" t="n"/>
      <c r="L308" s="127" t="n"/>
      <c r="M308" s="11" t="n"/>
      <c r="N308" s="12" t="n"/>
      <c r="O308" s="115" t="n"/>
      <c r="P308" s="65">
        <f>DADOS_AM!$HE$6</f>
        <v/>
      </c>
      <c r="Q308" s="12" t="n"/>
      <c r="R308" s="126">
        <f>DADOS_AM!$HF$6</f>
        <v/>
      </c>
      <c r="S308" s="11" t="n"/>
      <c r="T308" s="12" t="n"/>
      <c r="U308" s="115" t="n"/>
    </row>
    <row r="309">
      <c r="A309" s="8" t="n"/>
      <c r="B309" s="22" t="n"/>
      <c r="C309" s="115" t="n"/>
      <c r="D309" s="115" t="n"/>
      <c r="E309" s="115" t="n"/>
      <c r="F309" s="115" t="n"/>
      <c r="G309" s="115" t="n"/>
      <c r="H309" s="115" t="n"/>
      <c r="I309" s="115" t="n"/>
      <c r="J309" s="115" t="n"/>
      <c r="K309" s="115" t="n"/>
      <c r="L309" s="115" t="n"/>
      <c r="M309" s="115" t="n"/>
      <c r="N309" s="115" t="n"/>
      <c r="O309" s="115" t="n"/>
      <c r="P309" s="115" t="n"/>
      <c r="Q309" s="115" t="n"/>
      <c r="R309" s="115" t="n"/>
      <c r="S309" s="115" t="n"/>
      <c r="T309" s="115" t="n"/>
      <c r="U309" s="115" t="n"/>
    </row>
    <row r="310">
      <c r="A310" s="8" t="n"/>
      <c r="B310" s="22" t="n"/>
      <c r="C310" s="115" t="n"/>
      <c r="D310" s="118" t="inlineStr">
        <is>
          <t>LIBERAÇÃO MÁXIMA</t>
        </is>
      </c>
      <c r="E310" s="14" t="n"/>
      <c r="F310" s="14" t="n"/>
      <c r="G310" s="14" t="n"/>
      <c r="H310" s="15" t="n"/>
      <c r="I310" s="119">
        <f>IF(DADOS_AM!$GH$9=0,"a primeira chega no nível 10",DADOS_AM!$GH$9&amp;" no nível "&amp;DADOS_AM!$GH$2)&amp;" · + Classe em dados · rodada inteira · PE com 50% a mais · fora dos espaços"</f>
        <v/>
      </c>
      <c r="J310" s="14" t="n"/>
      <c r="K310" s="14" t="n"/>
      <c r="L310" s="14" t="n"/>
      <c r="M310" s="14" t="n"/>
      <c r="N310" s="14" t="n"/>
      <c r="O310" s="14" t="n"/>
      <c r="P310" s="14" t="n"/>
      <c r="Q310" s="14" t="n"/>
      <c r="R310" s="14" t="n"/>
      <c r="S310" s="14" t="n"/>
      <c r="T310" s="15" t="n"/>
      <c r="U310" s="115" t="n"/>
    </row>
    <row r="311">
      <c r="A311" s="8" t="n"/>
      <c r="B311" s="22" t="n"/>
      <c r="C311" s="115" t="n"/>
      <c r="D311" s="18" t="n"/>
      <c r="E311" s="19" t="n"/>
      <c r="F311" s="19" t="n"/>
      <c r="G311" s="19" t="n"/>
      <c r="H311" s="20" t="n"/>
      <c r="I311" s="18" t="n"/>
      <c r="J311" s="19" t="n"/>
      <c r="K311" s="19" t="n"/>
      <c r="L311" s="19" t="n"/>
      <c r="M311" s="19" t="n"/>
      <c r="N311" s="19" t="n"/>
      <c r="O311" s="19" t="n"/>
      <c r="P311" s="19" t="n"/>
      <c r="Q311" s="19" t="n"/>
      <c r="R311" s="19" t="n"/>
      <c r="S311" s="19" t="n"/>
      <c r="T311" s="20" t="n"/>
      <c r="U311" s="115" t="n"/>
    </row>
    <row r="312" hidden="1" outlineLevel="1">
      <c r="A312" s="8" t="n"/>
      <c r="B312" s="22" t="n"/>
      <c r="C312" s="115" t="n"/>
      <c r="D312" s="115" t="n"/>
      <c r="E312" s="115" t="n"/>
      <c r="F312" s="115" t="n"/>
      <c r="G312" s="115" t="n"/>
      <c r="H312" s="115" t="n"/>
      <c r="I312" s="115" t="n"/>
      <c r="J312" s="115" t="n"/>
      <c r="K312" s="115" t="n"/>
      <c r="L312" s="115" t="n"/>
      <c r="M312" s="115" t="n"/>
      <c r="N312" s="115" t="n"/>
      <c r="O312" s="115" t="n"/>
      <c r="P312" s="115" t="n"/>
      <c r="Q312" s="115" t="n"/>
      <c r="R312" s="115" t="n"/>
      <c r="S312" s="115" t="n"/>
      <c r="T312" s="115" t="n"/>
      <c r="U312" s="115" t="n"/>
    </row>
    <row r="313" hidden="1" outlineLevel="1">
      <c r="A313" s="8" t="n"/>
      <c r="B313" s="22" t="n"/>
      <c r="C313" s="115" t="n"/>
      <c r="D313" s="123" t="n">
        <v>3</v>
      </c>
      <c r="E313" s="124" t="n"/>
      <c r="F313" s="12" t="n"/>
      <c r="G313" s="125">
        <f>DADOS_AM!$FM$38</f>
        <v/>
      </c>
      <c r="H313" s="12" t="n"/>
      <c r="I313" s="115" t="n"/>
      <c r="J313" s="123" t="n">
        <v>3</v>
      </c>
      <c r="K313" s="124" t="n"/>
      <c r="L313" s="12" t="n"/>
      <c r="M313" s="125">
        <f>DADOS_AM!$FM$39</f>
        <v/>
      </c>
      <c r="N313" s="12" t="n"/>
      <c r="O313" s="115" t="n"/>
      <c r="P313" s="123" t="n">
        <v>3</v>
      </c>
      <c r="Q313" s="124" t="n"/>
      <c r="R313" s="12" t="n"/>
      <c r="S313" s="125">
        <f>DADOS_AM!$FM$40</f>
        <v/>
      </c>
      <c r="T313" s="12" t="n"/>
      <c r="U313" s="115" t="n"/>
    </row>
    <row r="314" hidden="1" outlineLevel="2">
      <c r="A314" s="8" t="n"/>
      <c r="B314" s="22" t="n"/>
      <c r="C314" s="115" t="n"/>
      <c r="D314" s="52" t="inlineStr">
        <is>
          <t>COMO É</t>
        </is>
      </c>
      <c r="E314" s="11" t="n"/>
      <c r="F314" s="11" t="n"/>
      <c r="G314" s="11" t="n"/>
      <c r="H314" s="12" t="n"/>
      <c r="I314" s="115" t="n"/>
      <c r="J314" s="52" t="inlineStr">
        <is>
          <t>COMO É</t>
        </is>
      </c>
      <c r="K314" s="11" t="n"/>
      <c r="L314" s="11" t="n"/>
      <c r="M314" s="11" t="n"/>
      <c r="N314" s="12" t="n"/>
      <c r="O314" s="115" t="n"/>
      <c r="P314" s="52" t="inlineStr">
        <is>
          <t>COMO É</t>
        </is>
      </c>
      <c r="Q314" s="11" t="n"/>
      <c r="R314" s="11" t="n"/>
      <c r="S314" s="11" t="n"/>
      <c r="T314" s="12" t="n"/>
      <c r="U314" s="115" t="n"/>
    </row>
    <row r="315" hidden="1" outlineLevel="2">
      <c r="A315" s="8" t="n"/>
      <c r="B315" s="22" t="n"/>
      <c r="C315" s="115" t="n"/>
      <c r="D315" s="120" t="n"/>
      <c r="E315" s="14" t="n"/>
      <c r="F315" s="14" t="n"/>
      <c r="G315" s="14" t="n"/>
      <c r="H315" s="15" t="n"/>
      <c r="I315" s="115" t="n"/>
      <c r="J315" s="120" t="n"/>
      <c r="K315" s="14" t="n"/>
      <c r="L315" s="14" t="n"/>
      <c r="M315" s="14" t="n"/>
      <c r="N315" s="15" t="n"/>
      <c r="O315" s="115" t="n"/>
      <c r="P315" s="120" t="n"/>
      <c r="Q315" s="14" t="n"/>
      <c r="R315" s="14" t="n"/>
      <c r="S315" s="14" t="n"/>
      <c r="T315" s="15" t="n"/>
      <c r="U315" s="115" t="n"/>
    </row>
    <row r="316" hidden="1" outlineLevel="2">
      <c r="A316" s="8" t="n"/>
      <c r="B316" s="22" t="n"/>
      <c r="C316" s="115" t="n"/>
      <c r="D316" s="16" t="n"/>
      <c r="H316" s="17" t="n"/>
      <c r="I316" s="115" t="n"/>
      <c r="J316" s="16" t="n"/>
      <c r="N316" s="17" t="n"/>
      <c r="O316" s="115" t="n"/>
      <c r="P316" s="16" t="n"/>
      <c r="T316" s="17" t="n"/>
      <c r="U316" s="115" t="n"/>
    </row>
    <row r="317" hidden="1" outlineLevel="2">
      <c r="A317" s="8" t="n"/>
      <c r="B317" s="22" t="n"/>
      <c r="C317" s="115" t="n"/>
      <c r="D317" s="16" t="n"/>
      <c r="H317" s="17" t="n"/>
      <c r="I317" s="115" t="n"/>
      <c r="J317" s="16" t="n"/>
      <c r="N317" s="17" t="n"/>
      <c r="O317" s="115" t="n"/>
      <c r="P317" s="16" t="n"/>
      <c r="T317" s="17" t="n"/>
      <c r="U317" s="115" t="n"/>
    </row>
    <row r="318" hidden="1" outlineLevel="2">
      <c r="A318" s="8" t="n"/>
      <c r="B318" s="22" t="n"/>
      <c r="C318" s="115" t="n"/>
      <c r="D318" s="16" t="n"/>
      <c r="H318" s="17" t="n"/>
      <c r="I318" s="115" t="n"/>
      <c r="J318" s="16" t="n"/>
      <c r="N318" s="17" t="n"/>
      <c r="O318" s="115" t="n"/>
      <c r="P318" s="16" t="n"/>
      <c r="T318" s="17" t="n"/>
      <c r="U318" s="115" t="n"/>
    </row>
    <row r="319" hidden="1" outlineLevel="2">
      <c r="A319" s="8" t="n"/>
      <c r="B319" s="22" t="n"/>
      <c r="C319" s="115" t="n"/>
      <c r="D319" s="18" t="n"/>
      <c r="E319" s="19" t="n"/>
      <c r="F319" s="19" t="n"/>
      <c r="G319" s="19" t="n"/>
      <c r="H319" s="20" t="n"/>
      <c r="I319" s="115" t="n"/>
      <c r="J319" s="18" t="n"/>
      <c r="K319" s="19" t="n"/>
      <c r="L319" s="19" t="n"/>
      <c r="M319" s="19" t="n"/>
      <c r="N319" s="20" t="n"/>
      <c r="O319" s="115" t="n"/>
      <c r="P319" s="18" t="n"/>
      <c r="Q319" s="19" t="n"/>
      <c r="R319" s="19" t="n"/>
      <c r="S319" s="19" t="n"/>
      <c r="T319" s="20" t="n"/>
      <c r="U319" s="115" t="n"/>
    </row>
    <row r="320" hidden="1" outlineLevel="1">
      <c r="A320" s="8" t="n"/>
      <c r="B320" s="22" t="n"/>
      <c r="C320" s="115" t="n"/>
      <c r="D320" s="121" t="inlineStr">
        <is>
          <t>Projétil</t>
        </is>
      </c>
      <c r="E320" s="65">
        <f>DADOS_AM!$FR$38</f>
        <v/>
      </c>
      <c r="F320" s="65">
        <f>DADOS_AM!$FO$38</f>
        <v/>
      </c>
      <c r="G320" s="121">
        <f>DADOS_AM!$FQ$38</f>
        <v/>
      </c>
      <c r="H320" s="12" t="n"/>
      <c r="I320" s="115" t="n"/>
      <c r="J320" s="121" t="inlineStr">
        <is>
          <t>Projétil</t>
        </is>
      </c>
      <c r="K320" s="65">
        <f>DADOS_AM!$FR$39</f>
        <v/>
      </c>
      <c r="L320" s="65">
        <f>DADOS_AM!$FO$39</f>
        <v/>
      </c>
      <c r="M320" s="121">
        <f>DADOS_AM!$FQ$39</f>
        <v/>
      </c>
      <c r="N320" s="12" t="n"/>
      <c r="O320" s="115" t="n"/>
      <c r="P320" s="121" t="inlineStr">
        <is>
          <t>Projétil</t>
        </is>
      </c>
      <c r="Q320" s="65">
        <f>DADOS_AM!$FR$40</f>
        <v/>
      </c>
      <c r="R320" s="65">
        <f>DADOS_AM!$FO$40</f>
        <v/>
      </c>
      <c r="S320" s="121">
        <f>DADOS_AM!$FQ$40</f>
        <v/>
      </c>
      <c r="T320" s="12" t="n"/>
      <c r="U320" s="115" t="n"/>
    </row>
    <row r="321" hidden="1" outlineLevel="1">
      <c r="A321" s="8" t="n"/>
      <c r="B321" s="22" t="n"/>
      <c r="C321" s="115" t="n"/>
      <c r="D321" s="121">
        <f>DADOS_AM!$FP$38</f>
        <v/>
      </c>
      <c r="E321" s="126">
        <f>DADOS_AM!$FW$38</f>
        <v/>
      </c>
      <c r="F321" s="11" t="n"/>
      <c r="G321" s="11" t="n"/>
      <c r="H321" s="12" t="n"/>
      <c r="I321" s="115" t="n"/>
      <c r="J321" s="121">
        <f>DADOS_AM!$FP$39</f>
        <v/>
      </c>
      <c r="K321" s="126">
        <f>DADOS_AM!$FW$39</f>
        <v/>
      </c>
      <c r="L321" s="11" t="n"/>
      <c r="M321" s="11" t="n"/>
      <c r="N321" s="12" t="n"/>
      <c r="O321" s="115" t="n"/>
      <c r="P321" s="121">
        <f>DADOS_AM!$FP$40</f>
        <v/>
      </c>
      <c r="Q321" s="126">
        <f>DADOS_AM!$FW$40</f>
        <v/>
      </c>
      <c r="R321" s="11" t="n"/>
      <c r="S321" s="11" t="n"/>
      <c r="T321" s="12" t="n"/>
      <c r="U321" s="115" t="n"/>
    </row>
    <row r="322" hidden="1" outlineLevel="2">
      <c r="A322" s="8" t="n"/>
      <c r="B322" s="22" t="n"/>
      <c r="C322" s="115" t="n"/>
      <c r="D322" s="52" t="inlineStr">
        <is>
          <t>MELHORIAS</t>
        </is>
      </c>
      <c r="E322" s="127" t="n"/>
      <c r="F322" s="12" t="n"/>
      <c r="G322" s="126">
        <f>DADOS_AM!$FZ$38</f>
        <v/>
      </c>
      <c r="H322" s="12" t="n"/>
      <c r="I322" s="115" t="n"/>
      <c r="J322" s="52" t="inlineStr">
        <is>
          <t>MELHORIAS</t>
        </is>
      </c>
      <c r="K322" s="127" t="n"/>
      <c r="L322" s="12" t="n"/>
      <c r="M322" s="126">
        <f>DADOS_AM!$FZ$39</f>
        <v/>
      </c>
      <c r="N322" s="12" t="n"/>
      <c r="O322" s="115" t="n"/>
      <c r="P322" s="52" t="inlineStr">
        <is>
          <t>MELHORIAS</t>
        </is>
      </c>
      <c r="Q322" s="127" t="n"/>
      <c r="R322" s="12" t="n"/>
      <c r="S322" s="126">
        <f>DADOS_AM!$FZ$40</f>
        <v/>
      </c>
      <c r="T322" s="12" t="n"/>
      <c r="U322" s="115" t="n"/>
    </row>
    <row r="323" hidden="1" outlineLevel="2">
      <c r="A323" s="8" t="n"/>
      <c r="B323" s="22" t="n"/>
      <c r="C323" s="115" t="n"/>
      <c r="D323" s="128" t="n"/>
      <c r="E323" s="127" t="n"/>
      <c r="F323" s="12" t="n"/>
      <c r="G323" s="126">
        <f>DADOS_AM!$GA$38</f>
        <v/>
      </c>
      <c r="H323" s="12" t="n"/>
      <c r="I323" s="115" t="n"/>
      <c r="J323" s="128" t="n"/>
      <c r="K323" s="127" t="n"/>
      <c r="L323" s="12" t="n"/>
      <c r="M323" s="126">
        <f>DADOS_AM!$GA$39</f>
        <v/>
      </c>
      <c r="N323" s="12" t="n"/>
      <c r="O323" s="115" t="n"/>
      <c r="P323" s="128" t="n"/>
      <c r="Q323" s="127" t="n"/>
      <c r="R323" s="12" t="n"/>
      <c r="S323" s="126">
        <f>DADOS_AM!$GA$40</f>
        <v/>
      </c>
      <c r="T323" s="12" t="n"/>
      <c r="U323" s="115" t="n"/>
    </row>
    <row r="324" hidden="1" outlineLevel="2">
      <c r="A324" s="8" t="n"/>
      <c r="B324" s="22" t="n"/>
      <c r="C324" s="115" t="n"/>
      <c r="D324" s="128" t="n"/>
      <c r="E324" s="127" t="n"/>
      <c r="F324" s="12" t="n"/>
      <c r="G324" s="126">
        <f>DADOS_AM!$GB$38</f>
        <v/>
      </c>
      <c r="H324" s="12" t="n"/>
      <c r="I324" s="115" t="n"/>
      <c r="J324" s="128" t="n"/>
      <c r="K324" s="127" t="n"/>
      <c r="L324" s="12" t="n"/>
      <c r="M324" s="126">
        <f>DADOS_AM!$GB$39</f>
        <v/>
      </c>
      <c r="N324" s="12" t="n"/>
      <c r="O324" s="115" t="n"/>
      <c r="P324" s="128" t="n"/>
      <c r="Q324" s="127" t="n"/>
      <c r="R324" s="12" t="n"/>
      <c r="S324" s="126">
        <f>DADOS_AM!$GB$40</f>
        <v/>
      </c>
      <c r="T324" s="12" t="n"/>
      <c r="U324" s="115" t="n"/>
    </row>
    <row r="325" hidden="1" outlineLevel="2">
      <c r="A325" s="8" t="n"/>
      <c r="B325" s="22" t="n"/>
      <c r="C325" s="115" t="n"/>
      <c r="D325" s="122" t="n"/>
      <c r="E325" s="127" t="n"/>
      <c r="F325" s="12" t="n"/>
      <c r="G325" s="126">
        <f>DADOS_AM!$GC$38</f>
        <v/>
      </c>
      <c r="H325" s="12" t="n"/>
      <c r="I325" s="115" t="n"/>
      <c r="J325" s="122" t="n"/>
      <c r="K325" s="127" t="n"/>
      <c r="L325" s="12" t="n"/>
      <c r="M325" s="126">
        <f>DADOS_AM!$GC$39</f>
        <v/>
      </c>
      <c r="N325" s="12" t="n"/>
      <c r="O325" s="115" t="n"/>
      <c r="P325" s="122" t="n"/>
      <c r="Q325" s="127" t="n"/>
      <c r="R325" s="12" t="n"/>
      <c r="S325" s="126">
        <f>DADOS_AM!$GC$40</f>
        <v/>
      </c>
      <c r="T325" s="12" t="n"/>
      <c r="U325" s="115" t="n"/>
    </row>
    <row r="326" hidden="1" outlineLevel="2">
      <c r="A326" s="8" t="n"/>
      <c r="B326" s="22" t="n"/>
      <c r="C326" s="115" t="n"/>
      <c r="D326" s="52" t="inlineStr">
        <is>
          <t>RESTRIÇÕES</t>
        </is>
      </c>
      <c r="E326" s="127" t="n"/>
      <c r="F326" s="12" t="n"/>
      <c r="G326" s="126">
        <f>DADOS_AM!$GD$38</f>
        <v/>
      </c>
      <c r="H326" s="121" t="b">
        <v>0</v>
      </c>
      <c r="I326" s="115" t="n"/>
      <c r="J326" s="52" t="inlineStr">
        <is>
          <t>RESTRIÇÕES</t>
        </is>
      </c>
      <c r="K326" s="127" t="n"/>
      <c r="L326" s="12" t="n"/>
      <c r="M326" s="126">
        <f>DADOS_AM!$GD$39</f>
        <v/>
      </c>
      <c r="N326" s="121" t="b">
        <v>0</v>
      </c>
      <c r="O326" s="115" t="n"/>
      <c r="P326" s="52" t="inlineStr">
        <is>
          <t>RESTRIÇÕES</t>
        </is>
      </c>
      <c r="Q326" s="127" t="n"/>
      <c r="R326" s="12" t="n"/>
      <c r="S326" s="126">
        <f>DADOS_AM!$GD$40</f>
        <v/>
      </c>
      <c r="T326" s="121" t="b">
        <v>0</v>
      </c>
      <c r="U326" s="115" t="n"/>
    </row>
    <row r="327" hidden="1" outlineLevel="2">
      <c r="A327" s="8" t="n"/>
      <c r="B327" s="22" t="n"/>
      <c r="C327" s="115" t="n"/>
      <c r="D327" s="122" t="n"/>
      <c r="E327" s="127" t="n"/>
      <c r="F327" s="12" t="n"/>
      <c r="G327" s="126">
        <f>DADOS_AM!$GE$38</f>
        <v/>
      </c>
      <c r="H327" s="121" t="b">
        <v>0</v>
      </c>
      <c r="I327" s="115" t="n"/>
      <c r="J327" s="122" t="n"/>
      <c r="K327" s="127" t="n"/>
      <c r="L327" s="12" t="n"/>
      <c r="M327" s="126">
        <f>DADOS_AM!$GE$39</f>
        <v/>
      </c>
      <c r="N327" s="121" t="b">
        <v>0</v>
      </c>
      <c r="O327" s="115" t="n"/>
      <c r="P327" s="122" t="n"/>
      <c r="Q327" s="127" t="n"/>
      <c r="R327" s="12" t="n"/>
      <c r="S327" s="126">
        <f>DADOS_AM!$GE$40</f>
        <v/>
      </c>
      <c r="T327" s="121" t="b">
        <v>0</v>
      </c>
      <c r="U327" s="115" t="n"/>
    </row>
    <row r="328" hidden="1" outlineLevel="2">
      <c r="A328" s="8" t="n"/>
      <c r="B328" s="22" t="n"/>
      <c r="C328" s="115" t="n"/>
      <c r="D328" s="52" t="inlineStr">
        <is>
          <t>CONTA</t>
        </is>
      </c>
      <c r="E328" s="129">
        <f>DADOS_AM!$FX$38</f>
        <v/>
      </c>
      <c r="F328" s="11" t="n"/>
      <c r="G328" s="11" t="n"/>
      <c r="H328" s="12" t="n"/>
      <c r="I328" s="115" t="n"/>
      <c r="J328" s="52" t="inlineStr">
        <is>
          <t>CONTA</t>
        </is>
      </c>
      <c r="K328" s="129">
        <f>DADOS_AM!$FX$39</f>
        <v/>
      </c>
      <c r="L328" s="11" t="n"/>
      <c r="M328" s="11" t="n"/>
      <c r="N328" s="12" t="n"/>
      <c r="O328" s="115" t="n"/>
      <c r="P328" s="52" t="inlineStr">
        <is>
          <t>CONTA</t>
        </is>
      </c>
      <c r="Q328" s="129">
        <f>DADOS_AM!$FX$40</f>
        <v/>
      </c>
      <c r="R328" s="11" t="n"/>
      <c r="S328" s="11" t="n"/>
      <c r="T328" s="12" t="n"/>
      <c r="U328" s="115" t="n"/>
    </row>
    <row r="329" hidden="1" outlineLevel="2">
      <c r="A329" s="8" t="n"/>
      <c r="B329" s="22" t="n"/>
      <c r="C329" s="115" t="n"/>
      <c r="D329" s="52" t="inlineStr">
        <is>
          <t>AMPLIAR</t>
        </is>
      </c>
      <c r="E329" s="129">
        <f>DADOS_AM!$FY$38</f>
        <v/>
      </c>
      <c r="F329" s="14" t="n"/>
      <c r="G329" s="14" t="n"/>
      <c r="H329" s="15" t="n"/>
      <c r="I329" s="115" t="n"/>
      <c r="J329" s="52" t="inlineStr">
        <is>
          <t>AMPLIAR</t>
        </is>
      </c>
      <c r="K329" s="129">
        <f>DADOS_AM!$FY$39</f>
        <v/>
      </c>
      <c r="L329" s="14" t="n"/>
      <c r="M329" s="14" t="n"/>
      <c r="N329" s="15" t="n"/>
      <c r="O329" s="115" t="n"/>
      <c r="P329" s="52" t="inlineStr">
        <is>
          <t>AMPLIAR</t>
        </is>
      </c>
      <c r="Q329" s="129">
        <f>DADOS_AM!$FY$40</f>
        <v/>
      </c>
      <c r="R329" s="14" t="n"/>
      <c r="S329" s="14" t="n"/>
      <c r="T329" s="15" t="n"/>
      <c r="U329" s="115" t="n"/>
    </row>
    <row r="330" hidden="1" outlineLevel="2">
      <c r="A330" s="8" t="n"/>
      <c r="B330" s="22" t="n"/>
      <c r="C330" s="115" t="n"/>
      <c r="D330" s="122" t="n"/>
      <c r="E330" s="18" t="n"/>
      <c r="F330" s="19" t="n"/>
      <c r="G330" s="19" t="n"/>
      <c r="H330" s="20" t="n"/>
      <c r="I330" s="115" t="n"/>
      <c r="J330" s="122" t="n"/>
      <c r="K330" s="18" t="n"/>
      <c r="L330" s="19" t="n"/>
      <c r="M330" s="19" t="n"/>
      <c r="N330" s="20" t="n"/>
      <c r="O330" s="115" t="n"/>
      <c r="P330" s="122" t="n"/>
      <c r="Q330" s="18" t="n"/>
      <c r="R330" s="19" t="n"/>
      <c r="S330" s="19" t="n"/>
      <c r="T330" s="20" t="n"/>
      <c r="U330" s="115" t="n"/>
    </row>
    <row r="331" hidden="1" outlineLevel="2">
      <c r="A331" s="8" t="n"/>
      <c r="B331" s="22" t="n"/>
      <c r="C331" s="115" t="n"/>
      <c r="D331" s="52" t="inlineStr">
        <is>
          <t>AVISOS</t>
        </is>
      </c>
      <c r="E331" s="129">
        <f>DADOS_AM!$FN$38</f>
        <v/>
      </c>
      <c r="F331" s="14" t="n"/>
      <c r="G331" s="14" t="n"/>
      <c r="H331" s="15" t="n"/>
      <c r="I331" s="115" t="n"/>
      <c r="J331" s="52" t="inlineStr">
        <is>
          <t>AVISOS</t>
        </is>
      </c>
      <c r="K331" s="129">
        <f>DADOS_AM!$FN$39</f>
        <v/>
      </c>
      <c r="L331" s="14" t="n"/>
      <c r="M331" s="14" t="n"/>
      <c r="N331" s="15" t="n"/>
      <c r="O331" s="115" t="n"/>
      <c r="P331" s="52" t="inlineStr">
        <is>
          <t>AVISOS</t>
        </is>
      </c>
      <c r="Q331" s="129">
        <f>DADOS_AM!$FN$40</f>
        <v/>
      </c>
      <c r="R331" s="14" t="n"/>
      <c r="S331" s="14" t="n"/>
      <c r="T331" s="15" t="n"/>
      <c r="U331" s="115" t="n"/>
    </row>
    <row r="332" hidden="1" outlineLevel="2">
      <c r="A332" s="8" t="n"/>
      <c r="B332" s="22" t="n"/>
      <c r="C332" s="115" t="n"/>
      <c r="D332" s="122" t="n"/>
      <c r="E332" s="18" t="n"/>
      <c r="F332" s="19" t="n"/>
      <c r="G332" s="19" t="n"/>
      <c r="H332" s="20" t="n"/>
      <c r="I332" s="115" t="n"/>
      <c r="J332" s="122" t="n"/>
      <c r="K332" s="18" t="n"/>
      <c r="L332" s="19" t="n"/>
      <c r="M332" s="19" t="n"/>
      <c r="N332" s="20" t="n"/>
      <c r="O332" s="115" t="n"/>
      <c r="P332" s="122" t="n"/>
      <c r="Q332" s="18" t="n"/>
      <c r="R332" s="19" t="n"/>
      <c r="S332" s="19" t="n"/>
      <c r="T332" s="20" t="n"/>
      <c r="U332" s="115" t="n"/>
    </row>
    <row r="333">
      <c r="A333" s="8" t="n"/>
      <c r="B333" s="22" t="n"/>
      <c r="C333" s="115" t="n"/>
      <c r="D333" s="115" t="n"/>
      <c r="E333" s="115" t="n"/>
      <c r="F333" s="115" t="n"/>
      <c r="G333" s="115" t="n"/>
      <c r="H333" s="115" t="n"/>
      <c r="I333" s="115" t="n"/>
      <c r="J333" s="115" t="n"/>
      <c r="K333" s="115" t="n"/>
      <c r="L333" s="115" t="n"/>
      <c r="M333" s="115" t="n"/>
      <c r="N333" s="115" t="n"/>
      <c r="O333" s="115" t="n"/>
      <c r="P333" s="115" t="n"/>
      <c r="Q333" s="115" t="n"/>
      <c r="R333" s="115" t="n"/>
      <c r="S333" s="115" t="n"/>
      <c r="T333" s="115" t="n"/>
      <c r="U333" s="115" t="n"/>
    </row>
    <row r="334">
      <c r="A334" s="8" t="n"/>
      <c r="B334" s="22" t="n"/>
      <c r="C334" s="115" t="n"/>
      <c r="D334" s="118" t="inlineStr">
        <is>
          <t>TÉCNICA MÁXIMA</t>
        </is>
      </c>
      <c r="E334" s="14" t="n"/>
      <c r="F334" s="14" t="n"/>
      <c r="G334" s="14" t="n"/>
      <c r="H334" s="15" t="n"/>
      <c r="I334" s="119">
        <f>IF(DADOS_AM!$GH$35=0,"chega no nível 17","dano fixo · preços da Classe "&amp;DADOS_AM!$GH$4&amp;" · não aceita Restrição")</f>
        <v/>
      </c>
      <c r="J334" s="14" t="n"/>
      <c r="K334" s="14" t="n"/>
      <c r="L334" s="14" t="n"/>
      <c r="M334" s="14" t="n"/>
      <c r="N334" s="14" t="n"/>
      <c r="O334" s="14" t="n"/>
      <c r="P334" s="14" t="n"/>
      <c r="Q334" s="14" t="n"/>
      <c r="R334" s="14" t="n"/>
      <c r="S334" s="14" t="n"/>
      <c r="T334" s="15" t="n"/>
      <c r="U334" s="115" t="n"/>
    </row>
    <row r="335">
      <c r="A335" s="8" t="n"/>
      <c r="B335" s="22" t="n"/>
      <c r="C335" s="115" t="n"/>
      <c r="D335" s="18" t="n"/>
      <c r="E335" s="19" t="n"/>
      <c r="F335" s="19" t="n"/>
      <c r="G335" s="19" t="n"/>
      <c r="H335" s="20" t="n"/>
      <c r="I335" s="18" t="n"/>
      <c r="J335" s="19" t="n"/>
      <c r="K335" s="19" t="n"/>
      <c r="L335" s="19" t="n"/>
      <c r="M335" s="19" t="n"/>
      <c r="N335" s="19" t="n"/>
      <c r="O335" s="19" t="n"/>
      <c r="P335" s="19" t="n"/>
      <c r="Q335" s="19" t="n"/>
      <c r="R335" s="19" t="n"/>
      <c r="S335" s="19" t="n"/>
      <c r="T335" s="20" t="n"/>
      <c r="U335" s="115" t="n"/>
    </row>
    <row r="336" hidden="1" outlineLevel="1">
      <c r="A336" s="8" t="n"/>
      <c r="B336" s="22" t="n"/>
      <c r="C336" s="115" t="n"/>
      <c r="D336" s="52" t="inlineStr">
        <is>
          <t>NOME</t>
        </is>
      </c>
      <c r="E336" s="11" t="n"/>
      <c r="F336" s="11" t="n"/>
      <c r="G336" s="11" t="n"/>
      <c r="H336" s="12" t="n"/>
      <c r="I336" s="115" t="n"/>
      <c r="J336" s="52" t="inlineStr">
        <is>
          <t>FORMA</t>
        </is>
      </c>
      <c r="K336" s="12" t="n"/>
      <c r="L336" s="52" t="inlineStr">
        <is>
          <t>DANO</t>
        </is>
      </c>
      <c r="M336" s="11" t="n"/>
      <c r="N336" s="12" t="n"/>
      <c r="O336" s="115" t="n"/>
      <c r="P336" s="52" t="inlineStr">
        <is>
          <t>PE</t>
        </is>
      </c>
      <c r="Q336" s="12" t="n"/>
      <c r="R336" s="52" t="inlineStr">
        <is>
          <t>MONTAGEM</t>
        </is>
      </c>
      <c r="S336" s="11" t="n"/>
      <c r="T336" s="12" t="n"/>
      <c r="U336" s="115" t="n"/>
    </row>
    <row r="337" hidden="1" outlineLevel="1">
      <c r="A337" s="8" t="n"/>
      <c r="B337" s="22" t="n"/>
      <c r="C337" s="115" t="n"/>
      <c r="D337" s="80" t="n"/>
      <c r="E337" s="14" t="n"/>
      <c r="F337" s="14" t="n"/>
      <c r="G337" s="14" t="n"/>
      <c r="H337" s="15" t="n"/>
      <c r="I337" s="115" t="n"/>
      <c r="J337" s="121" t="inlineStr">
        <is>
          <t>Projétil</t>
        </is>
      </c>
      <c r="K337" s="15" t="n"/>
      <c r="L337" s="89">
        <f>IF(DADOS_AM!$GH$35=0,"nível 17",DADOS_AM!$GH$35&amp;"d8 = "&amp;FLOOR(DADOS_AM!$GH$35*4.5,1))</f>
        <v/>
      </c>
      <c r="M337" s="14" t="n"/>
      <c r="N337" s="15" t="n"/>
      <c r="O337" s="115" t="n"/>
      <c r="P337" s="89">
        <f>IF(DADOS_AM!$GH$35=0,"—",5*DADOS_AM!$GH$4)</f>
        <v/>
      </c>
      <c r="Q337" s="15" t="n"/>
      <c r="R337" s="89">
        <f>IF(DADOS_AM!$GH$35=0,"—",IF(OR(DADOS_AM!$GH$37&gt;DADOS_AM!$GH$36,DADOS_AM!$GH$38&gt;0),"⚠ ","")&amp;DADOS_AM!$GH$37&amp;" de "&amp;DADOS_AM!$GH$36&amp;IF(DADOS_AM!$GH$38&gt;0," · Família Fechada",""))</f>
        <v/>
      </c>
      <c r="S337" s="14" t="n"/>
      <c r="T337" s="15" t="n"/>
      <c r="U337" s="115" t="n"/>
    </row>
    <row r="338" hidden="1" outlineLevel="1">
      <c r="A338" s="8" t="n"/>
      <c r="B338" s="22" t="n"/>
      <c r="C338" s="115" t="n"/>
      <c r="D338" s="18" t="n"/>
      <c r="E338" s="19" t="n"/>
      <c r="F338" s="19" t="n"/>
      <c r="G338" s="19" t="n"/>
      <c r="H338" s="20" t="n"/>
      <c r="I338" s="115" t="n"/>
      <c r="J338" s="18" t="n"/>
      <c r="K338" s="20" t="n"/>
      <c r="L338" s="18" t="n"/>
      <c r="M338" s="19" t="n"/>
      <c r="N338" s="20" t="n"/>
      <c r="O338" s="115" t="n"/>
      <c r="P338" s="18" t="n"/>
      <c r="Q338" s="20" t="n"/>
      <c r="R338" s="18" t="n"/>
      <c r="S338" s="19" t="n"/>
      <c r="T338" s="20" t="n"/>
      <c r="U338" s="115" t="n"/>
    </row>
    <row r="339" hidden="1" outlineLevel="1">
      <c r="A339" s="8" t="n"/>
      <c r="B339" s="22" t="n"/>
      <c r="C339" s="115" t="n"/>
      <c r="D339" s="115" t="n"/>
      <c r="E339" s="115" t="n"/>
      <c r="F339" s="115" t="n"/>
      <c r="G339" s="115" t="n"/>
      <c r="H339" s="115" t="n"/>
      <c r="I339" s="115" t="n"/>
      <c r="J339" s="115" t="n"/>
      <c r="K339" s="115" t="n"/>
      <c r="L339" s="115" t="n"/>
      <c r="M339" s="115" t="n"/>
      <c r="N339" s="115" t="n"/>
      <c r="O339" s="115" t="n"/>
      <c r="P339" s="115" t="n"/>
      <c r="Q339" s="115" t="n"/>
      <c r="R339" s="115" t="n"/>
      <c r="S339" s="115" t="n"/>
      <c r="T339" s="115" t="n"/>
      <c r="U339" s="115" t="n"/>
    </row>
    <row r="340" hidden="1" outlineLevel="1">
      <c r="A340" s="8" t="n"/>
      <c r="B340" s="22" t="n"/>
      <c r="C340" s="115" t="n"/>
      <c r="D340" s="52" t="inlineStr">
        <is>
          <t>MELHORIAS · NOS PREÇOS DA MAIOR CLASSE</t>
        </is>
      </c>
      <c r="E340" s="11" t="n"/>
      <c r="F340" s="11" t="n"/>
      <c r="G340" s="11" t="n"/>
      <c r="H340" s="12" t="n"/>
      <c r="I340" s="115" t="n"/>
      <c r="J340" s="127" t="n"/>
      <c r="K340" s="12" t="n"/>
      <c r="L340" s="127" t="n"/>
      <c r="M340" s="11" t="n"/>
      <c r="N340" s="12" t="n"/>
      <c r="O340" s="115" t="n"/>
      <c r="P340" s="127" t="n"/>
      <c r="Q340" s="12" t="n"/>
      <c r="R340" s="127" t="n"/>
      <c r="S340" s="11" t="n"/>
      <c r="T340" s="12" t="n"/>
      <c r="U340" s="115" t="n"/>
    </row>
    <row r="341" hidden="1" outlineLevel="1">
      <c r="A341" s="8" t="n"/>
      <c r="B341" s="22" t="n"/>
      <c r="C341" s="115" t="n"/>
      <c r="D341" s="115" t="n"/>
      <c r="E341" s="115" t="n"/>
      <c r="F341" s="115" t="n"/>
      <c r="G341" s="115" t="n"/>
      <c r="H341" s="115" t="n"/>
      <c r="I341" s="115" t="n"/>
      <c r="J341" s="115" t="n"/>
      <c r="K341" s="115" t="n"/>
      <c r="L341" s="115" t="n"/>
      <c r="M341" s="115" t="n"/>
      <c r="N341" s="115" t="n"/>
      <c r="O341" s="115" t="n"/>
      <c r="P341" s="115" t="n"/>
      <c r="Q341" s="115" t="n"/>
      <c r="R341" s="115" t="n"/>
      <c r="S341" s="115" t="n"/>
      <c r="T341" s="115" t="n"/>
      <c r="U341" s="115" t="n"/>
    </row>
    <row r="342" hidden="1" outlineLevel="1">
      <c r="A342" s="8" t="n"/>
      <c r="B342" s="22" t="n"/>
      <c r="C342" s="115" t="n"/>
      <c r="D342" s="52" t="inlineStr">
        <is>
          <t>COMO É</t>
        </is>
      </c>
      <c r="E342" s="11" t="n"/>
      <c r="F342" s="11" t="n"/>
      <c r="G342" s="11" t="n"/>
      <c r="H342" s="11" t="n"/>
      <c r="I342" s="11" t="n"/>
      <c r="J342" s="11" t="n"/>
      <c r="K342" s="11" t="n"/>
      <c r="L342" s="11" t="n"/>
      <c r="M342" s="11" t="n"/>
      <c r="N342" s="11" t="n"/>
      <c r="O342" s="11" t="n"/>
      <c r="P342" s="11" t="n"/>
      <c r="Q342" s="11" t="n"/>
      <c r="R342" s="11" t="n"/>
      <c r="S342" s="11" t="n"/>
      <c r="T342" s="12" t="n"/>
      <c r="U342" s="115" t="n"/>
    </row>
    <row r="343" hidden="1" outlineLevel="1">
      <c r="A343" s="8" t="n"/>
      <c r="B343" s="22" t="n"/>
      <c r="C343" s="115" t="n"/>
      <c r="D343" s="120" t="n"/>
      <c r="E343" s="14" t="n"/>
      <c r="F343" s="14" t="n"/>
      <c r="G343" s="14" t="n"/>
      <c r="H343" s="14" t="n"/>
      <c r="I343" s="14" t="n"/>
      <c r="J343" s="14" t="n"/>
      <c r="K343" s="14" t="n"/>
      <c r="L343" s="14" t="n"/>
      <c r="M343" s="14" t="n"/>
      <c r="N343" s="14" t="n"/>
      <c r="O343" s="14" t="n"/>
      <c r="P343" s="14" t="n"/>
      <c r="Q343" s="14" t="n"/>
      <c r="R343" s="14" t="n"/>
      <c r="S343" s="14" t="n"/>
      <c r="T343" s="15" t="n"/>
      <c r="U343" s="115" t="n"/>
    </row>
    <row r="344" hidden="1" outlineLevel="1">
      <c r="A344" s="8" t="n"/>
      <c r="B344" s="22" t="n"/>
      <c r="C344" s="115" t="n"/>
      <c r="D344" s="16" t="n"/>
      <c r="T344" s="17" t="n"/>
      <c r="U344" s="115" t="n"/>
    </row>
    <row r="345" hidden="1" outlineLevel="1">
      <c r="A345" s="8" t="n"/>
      <c r="B345" s="22" t="n"/>
      <c r="C345" s="115" t="n"/>
      <c r="D345" s="16" t="n"/>
      <c r="T345" s="17" t="n"/>
      <c r="U345" s="115" t="n"/>
    </row>
    <row r="346" hidden="1" outlineLevel="1">
      <c r="A346" s="8" t="n"/>
      <c r="B346" s="22" t="n"/>
      <c r="C346" s="115" t="n"/>
      <c r="D346" s="18" t="n"/>
      <c r="E346" s="19" t="n"/>
      <c r="F346" s="19" t="n"/>
      <c r="G346" s="19" t="n"/>
      <c r="H346" s="19" t="n"/>
      <c r="I346" s="19" t="n"/>
      <c r="J346" s="19" t="n"/>
      <c r="K346" s="19" t="n"/>
      <c r="L346" s="19" t="n"/>
      <c r="M346" s="19" t="n"/>
      <c r="N346" s="19" t="n"/>
      <c r="O346" s="19" t="n"/>
      <c r="P346" s="19" t="n"/>
      <c r="Q346" s="19" t="n"/>
      <c r="R346" s="19" t="n"/>
      <c r="S346" s="19" t="n"/>
      <c r="T346" s="20" t="n"/>
      <c r="U346" s="115" t="n"/>
    </row>
    <row r="347">
      <c r="A347" s="8" t="n"/>
      <c r="B347" s="22" t="n"/>
      <c r="C347" s="115" t="n"/>
      <c r="D347" s="115" t="n"/>
      <c r="E347" s="115" t="n"/>
      <c r="F347" s="115" t="n"/>
      <c r="G347" s="115" t="n"/>
      <c r="H347" s="115" t="n"/>
      <c r="I347" s="115" t="n"/>
      <c r="J347" s="115" t="n"/>
      <c r="K347" s="115" t="n"/>
      <c r="L347" s="115" t="n"/>
      <c r="M347" s="115" t="n"/>
      <c r="N347" s="115" t="n"/>
      <c r="O347" s="115" t="n"/>
      <c r="P347" s="115" t="n"/>
      <c r="Q347" s="115" t="n"/>
      <c r="R347" s="115" t="n"/>
      <c r="S347" s="115" t="n"/>
      <c r="T347" s="115" t="n"/>
      <c r="U347" s="115" t="n"/>
    </row>
    <row r="348">
      <c r="A348" s="8" t="n"/>
      <c r="B348" s="22" t="n"/>
      <c r="C348" s="115" t="n"/>
      <c r="D348" s="118" t="inlineStr">
        <is>
          <t>EXPANSÃO DE DOMÍNIO</t>
        </is>
      </c>
      <c r="E348" s="14" t="n"/>
      <c r="F348" s="14" t="n"/>
      <c r="G348" s="14" t="n"/>
      <c r="H348" s="15" t="n"/>
      <c r="I348" s="119" t="inlineStr">
        <is>
          <t>comprada com espaços de feitiço · os números de abrir saem sozinhos</t>
        </is>
      </c>
      <c r="J348" s="14" t="n"/>
      <c r="K348" s="14" t="n"/>
      <c r="L348" s="14" t="n"/>
      <c r="M348" s="14" t="n"/>
      <c r="N348" s="14" t="n"/>
      <c r="O348" s="14" t="n"/>
      <c r="P348" s="14" t="n"/>
      <c r="Q348" s="14" t="n"/>
      <c r="R348" s="14" t="n"/>
      <c r="S348" s="14" t="n"/>
      <c r="T348" s="15" t="n"/>
      <c r="U348" s="115" t="n"/>
    </row>
    <row r="349">
      <c r="A349" s="8" t="n"/>
      <c r="B349" s="22" t="n"/>
      <c r="C349" s="115" t="n"/>
      <c r="D349" s="18" t="n"/>
      <c r="E349" s="19" t="n"/>
      <c r="F349" s="19" t="n"/>
      <c r="G349" s="19" t="n"/>
      <c r="H349" s="20" t="n"/>
      <c r="I349" s="18" t="n"/>
      <c r="J349" s="19" t="n"/>
      <c r="K349" s="19" t="n"/>
      <c r="L349" s="19" t="n"/>
      <c r="M349" s="19" t="n"/>
      <c r="N349" s="19" t="n"/>
      <c r="O349" s="19" t="n"/>
      <c r="P349" s="19" t="n"/>
      <c r="Q349" s="19" t="n"/>
      <c r="R349" s="19" t="n"/>
      <c r="S349" s="19" t="n"/>
      <c r="T349" s="20" t="n"/>
      <c r="U349" s="115" t="n"/>
    </row>
    <row r="350" hidden="1" outlineLevel="1">
      <c r="A350" s="8" t="n"/>
      <c r="B350" s="22" t="n"/>
      <c r="C350" s="115" t="n"/>
      <c r="D350" s="52" t="inlineStr">
        <is>
          <t>DEGRAU</t>
        </is>
      </c>
      <c r="E350" s="12" t="n"/>
      <c r="F350" s="52" t="inlineStr">
        <is>
          <t>CUSTA</t>
        </is>
      </c>
      <c r="G350" s="11" t="n"/>
      <c r="H350" s="12" t="n"/>
      <c r="I350" s="115" t="n"/>
      <c r="J350" s="52" t="inlineStr">
        <is>
          <t>REQUISITO</t>
        </is>
      </c>
      <c r="K350" s="11" t="n"/>
      <c r="L350" s="11" t="n"/>
      <c r="M350" s="11" t="n"/>
      <c r="N350" s="12" t="n"/>
      <c r="O350" s="115" t="n"/>
      <c r="P350" s="52" t="inlineStr">
        <is>
          <t>REFINO</t>
        </is>
      </c>
      <c r="Q350" s="12" t="n"/>
      <c r="R350" s="52" t="inlineStr">
        <is>
          <t>NA CORRIDA</t>
        </is>
      </c>
      <c r="S350" s="11" t="n"/>
      <c r="T350" s="12" t="n"/>
      <c r="U350" s="115" t="n"/>
    </row>
    <row r="351" hidden="1" outlineLevel="1">
      <c r="A351" s="8" t="n"/>
      <c r="B351" s="22" t="n"/>
      <c r="C351" s="115" t="n"/>
      <c r="D351" s="121" t="n"/>
      <c r="E351" s="15" t="n"/>
      <c r="F351" s="121">
        <f>IF(DADOS_AM!$GH$34="","—",DADOS_AM!$GH$19&amp;" espaços")</f>
        <v/>
      </c>
      <c r="G351" s="14" t="n"/>
      <c r="H351" s="15" t="n"/>
      <c r="I351" s="115" t="n"/>
      <c r="J351" s="121">
        <f>IF(DADOS_AM!$GH$34="","—",IF(AND(DADOS_AM!$GH$2&gt;=IFERROR(VLOOKUP(DADOS_AM!$GH$34,DADOS_AM!$CJ$2:$CN$4,3,FALSE),0),DADOS_AM!$GH$6&gt;=IFERROR(VLOOKUP(DADOS_AM!$GH$34,DADOS_AM!$CJ$2:$CN$4,4,FALSE),0)),"","⚠ ")&amp;IFERROR(VLOOKUP(DADOS_AM!$GH$34,DADOS_AM!$CJ$2:$CN$4,5,FALSE),""))</f>
        <v/>
      </c>
      <c r="K351" s="14" t="n"/>
      <c r="L351" s="14" t="n"/>
      <c r="M351" s="14" t="n"/>
      <c r="N351" s="15" t="n"/>
      <c r="O351" s="115" t="n"/>
      <c r="P351" s="89">
        <f>DADOS_AM!$GH$6</f>
        <v/>
      </c>
      <c r="Q351" s="15" t="n"/>
      <c r="R351" s="121">
        <f>"cai na "&amp;MAX(1,FLOOR(DADOS_AM!$GH$7/2,1))&amp;"ª falha"</f>
        <v/>
      </c>
      <c r="S351" s="14" t="n"/>
      <c r="T351" s="15" t="n"/>
      <c r="U351" s="115" t="n"/>
    </row>
    <row r="352" hidden="1" outlineLevel="1">
      <c r="A352" s="8" t="n"/>
      <c r="B352" s="22" t="n"/>
      <c r="C352" s="115" t="n"/>
      <c r="D352" s="18" t="n"/>
      <c r="E352" s="20" t="n"/>
      <c r="F352" s="18" t="n"/>
      <c r="G352" s="19" t="n"/>
      <c r="H352" s="20" t="n"/>
      <c r="I352" s="115" t="n"/>
      <c r="J352" s="18" t="n"/>
      <c r="K352" s="19" t="n"/>
      <c r="L352" s="19" t="n"/>
      <c r="M352" s="19" t="n"/>
      <c r="N352" s="20" t="n"/>
      <c r="O352" s="115" t="n"/>
      <c r="P352" s="18" t="n"/>
      <c r="Q352" s="20" t="n"/>
      <c r="R352" s="18" t="n"/>
      <c r="S352" s="19" t="n"/>
      <c r="T352" s="20" t="n"/>
      <c r="U352" s="115" t="n"/>
    </row>
    <row r="353" hidden="1" outlineLevel="1">
      <c r="A353" s="8" t="n"/>
      <c r="B353" s="22" t="n"/>
      <c r="C353" s="115" t="n"/>
      <c r="D353" s="115" t="n"/>
      <c r="E353" s="115" t="n"/>
      <c r="F353" s="115" t="n"/>
      <c r="G353" s="115" t="n"/>
      <c r="H353" s="115" t="n"/>
      <c r="I353" s="115" t="n"/>
      <c r="J353" s="115" t="n"/>
      <c r="K353" s="115" t="n"/>
      <c r="L353" s="115" t="n"/>
      <c r="M353" s="115" t="n"/>
      <c r="N353" s="115" t="n"/>
      <c r="O353" s="115" t="n"/>
      <c r="P353" s="115" t="n"/>
      <c r="Q353" s="115" t="n"/>
      <c r="R353" s="115" t="n"/>
      <c r="S353" s="115" t="n"/>
      <c r="T353" s="115" t="n"/>
      <c r="U353" s="115" t="n"/>
    </row>
    <row r="354" hidden="1" outlineLevel="1">
      <c r="A354" s="8" t="n"/>
      <c r="B354" s="22" t="n"/>
      <c r="C354" s="115" t="n"/>
      <c r="D354" s="52" t="inlineStr">
        <is>
          <t>AO ABRIR</t>
        </is>
      </c>
      <c r="E354" s="12" t="n"/>
      <c r="F354" s="52" t="inlineStr">
        <is>
          <t>PE</t>
        </is>
      </c>
      <c r="G354" s="52" t="inlineStr">
        <is>
          <t>DURA</t>
        </is>
      </c>
      <c r="H354" s="12" t="n"/>
      <c r="I354" s="115" t="n"/>
      <c r="J354" s="52" t="inlineStr">
        <is>
          <t>RAIO</t>
        </is>
      </c>
      <c r="K354" s="52" t="inlineStr">
        <is>
          <t>FEITIÇO LÁ DENTRO</t>
        </is>
      </c>
      <c r="L354" s="52" t="inlineStr">
        <is>
          <t>BARREIRA</t>
        </is>
      </c>
      <c r="M354" s="52" t="inlineStr">
        <is>
          <t>O ACERTO</t>
        </is>
      </c>
      <c r="N354" s="12" t="n"/>
      <c r="O354" s="115" t="n"/>
      <c r="P354" s="52" t="inlineStr">
        <is>
          <t>NOME DO DOMÍNIO</t>
        </is>
      </c>
      <c r="Q354" s="11" t="n"/>
      <c r="R354" s="11" t="n"/>
      <c r="S354" s="11" t="n"/>
      <c r="T354" s="12" t="n"/>
      <c r="U354" s="115" t="n"/>
    </row>
    <row r="355" hidden="1" outlineLevel="1">
      <c r="A355" s="8" t="n"/>
      <c r="B355" s="22" t="n"/>
      <c r="C355" s="115" t="n"/>
      <c r="D355" s="127">
        <f>"Incompleta"&amp;IF(DADOS_AM!$GH$34="Incompleta"," · a sua","")</f>
        <v/>
      </c>
      <c r="E355" s="12" t="n"/>
      <c r="F355" s="121">
        <f>6*DADOS_AM!$GH$4</f>
        <v/>
      </c>
      <c r="G355" s="121">
        <f>DADOS_AM!$GH$32&amp;IF(DADOS_AM!$GH$32&gt;1," rodadas"," rodada")</f>
        <v/>
      </c>
      <c r="H355" s="12" t="n"/>
      <c r="I355" s="115" t="n"/>
      <c r="J355" s="121">
        <f>SUBSTITUTE(MIN(7.5,1.5*DADOS_AM!$GH$6)&amp;" m",".",",")</f>
        <v/>
      </c>
      <c r="K355" s="121">
        <f>"−"&amp;DADOS_AM!$GH$33&amp;" PE"</f>
        <v/>
      </c>
      <c r="L355" s="121" t="inlineStr">
        <is>
          <t>não fecha</t>
        </is>
      </c>
      <c r="M355" s="121" t="inlineStr">
        <is>
          <t>rola</t>
        </is>
      </c>
      <c r="N355" s="12" t="n"/>
      <c r="O355" s="115" t="n"/>
      <c r="P355" s="80" t="n"/>
      <c r="Q355" s="14" t="n"/>
      <c r="R355" s="14" t="n"/>
      <c r="S355" s="14" t="n"/>
      <c r="T355" s="15" t="n"/>
      <c r="U355" s="115" t="n"/>
    </row>
    <row r="356" hidden="1" outlineLevel="1">
      <c r="A356" s="8" t="n"/>
      <c r="B356" s="22" t="n"/>
      <c r="C356" s="115" t="n"/>
      <c r="D356" s="127">
        <f>"Completa"&amp;IF(OR(DADOS_AM!$GH$34="Completa",DADOS_AM!$GH$34="Sem Barreiras")," · a sua","")</f>
        <v/>
      </c>
      <c r="E356" s="12" t="n"/>
      <c r="F356" s="121">
        <f>6*DADOS_AM!$GH$4</f>
        <v/>
      </c>
      <c r="G356" s="121">
        <f>DADOS_AM!$GH$32&amp;IF(DADOS_AM!$GH$32&gt;1," rodadas"," rodada")</f>
        <v/>
      </c>
      <c r="H356" s="12" t="n"/>
      <c r="I356" s="115" t="n"/>
      <c r="J356" s="121">
        <f>SUBSTITUTE(1.5*DADOS_AM!$GH$6&amp;" m",".",",")</f>
        <v/>
      </c>
      <c r="K356" s="121">
        <f>"−"&amp;DADOS_AM!$GH$32&amp;" PE"</f>
        <v/>
      </c>
      <c r="L356" s="121">
        <f>50*DADOS_AM!$GH$32&amp;" de vida"</f>
        <v/>
      </c>
      <c r="M356" s="121" t="inlineStr">
        <is>
          <t>acontece</t>
        </is>
      </c>
      <c r="N356" s="12" t="n"/>
      <c r="O356" s="115" t="n"/>
      <c r="P356" s="16" t="n"/>
      <c r="T356" s="17" t="n"/>
      <c r="U356" s="115" t="n"/>
    </row>
    <row r="357" hidden="1" outlineLevel="1">
      <c r="A357" s="8" t="n"/>
      <c r="B357" s="22" t="n"/>
      <c r="C357" s="115" t="n"/>
      <c r="D357" s="127">
        <f>"Sem barreira"&amp;IF(DADOS_AM!$GH$34="Sem Barreiras"," · a sua","")</f>
        <v/>
      </c>
      <c r="E357" s="12" t="n"/>
      <c r="F357" s="121">
        <f>7*DADOS_AM!$GH$4</f>
        <v/>
      </c>
      <c r="G357" s="121">
        <f>DADOS_AM!$GH$32&amp;IF(DADOS_AM!$GH$32&gt;1," rodadas"," rodada")</f>
        <v/>
      </c>
      <c r="H357" s="12" t="n"/>
      <c r="I357" s="115" t="n"/>
      <c r="J357" s="121" t="inlineStr">
        <is>
          <t>200 m</t>
        </is>
      </c>
      <c r="K357" s="121">
        <f>"−"&amp;2*DADOS_AM!$GH$3&amp;" PE"</f>
        <v/>
      </c>
      <c r="L357" s="121" t="inlineStr">
        <is>
          <t>não tem</t>
        </is>
      </c>
      <c r="M357" s="121" t="inlineStr">
        <is>
          <t>acontece</t>
        </is>
      </c>
      <c r="N357" s="12" t="n"/>
      <c r="O357" s="115" t="n"/>
      <c r="P357" s="18" t="n"/>
      <c r="Q357" s="19" t="n"/>
      <c r="R357" s="19" t="n"/>
      <c r="S357" s="19" t="n"/>
      <c r="T357" s="20" t="n"/>
      <c r="U357" s="115" t="n"/>
    </row>
    <row r="358" hidden="1" outlineLevel="1">
      <c r="A358" s="8" t="n"/>
      <c r="B358" s="22" t="n"/>
      <c r="C358" s="115" t="n"/>
      <c r="D358" s="115" t="n"/>
      <c r="E358" s="115" t="n"/>
      <c r="F358" s="115" t="n"/>
      <c r="G358" s="115" t="n"/>
      <c r="H358" s="115" t="n"/>
      <c r="I358" s="115" t="n"/>
      <c r="J358" s="115" t="n"/>
      <c r="K358" s="115" t="n"/>
      <c r="L358" s="115" t="n"/>
      <c r="M358" s="115" t="n"/>
      <c r="N358" s="115" t="n"/>
      <c r="O358" s="115" t="n"/>
      <c r="P358" s="115" t="n"/>
      <c r="Q358" s="115" t="n"/>
      <c r="R358" s="115" t="n"/>
      <c r="S358" s="115" t="n"/>
      <c r="T358" s="115" t="n"/>
      <c r="U358" s="115" t="n"/>
    </row>
    <row r="359" hidden="1" outlineLevel="1">
      <c r="A359" s="8" t="n"/>
      <c r="B359" s="22" t="n"/>
      <c r="C359" s="115" t="n"/>
      <c r="D359" s="52" t="inlineStr">
        <is>
          <t>ACERTO</t>
        </is>
      </c>
      <c r="E359" s="11" t="n"/>
      <c r="F359" s="11" t="n"/>
      <c r="G359" s="11" t="n"/>
      <c r="H359" s="11" t="n"/>
      <c r="I359" s="11" t="n"/>
      <c r="J359" s="11" t="n"/>
      <c r="K359" s="12" t="n"/>
      <c r="L359" s="52" t="inlineStr">
        <is>
          <t>EFEITO</t>
        </is>
      </c>
      <c r="M359" s="11" t="n"/>
      <c r="N359" s="11" t="n"/>
      <c r="O359" s="11" t="n"/>
      <c r="P359" s="11" t="n"/>
      <c r="Q359" s="11" t="n"/>
      <c r="R359" s="11" t="n"/>
      <c r="S359" s="11" t="n"/>
      <c r="T359" s="12" t="n"/>
      <c r="U359" s="115" t="n"/>
    </row>
    <row r="360" hidden="1" outlineLevel="1">
      <c r="A360" s="8" t="n"/>
      <c r="B360" s="22" t="n"/>
      <c r="C360" s="115" t="n"/>
      <c r="D360" s="120" t="n"/>
      <c r="E360" s="14" t="n"/>
      <c r="F360" s="14" t="n"/>
      <c r="G360" s="14" t="n"/>
      <c r="H360" s="14" t="n"/>
      <c r="I360" s="14" t="n"/>
      <c r="J360" s="14" t="n"/>
      <c r="K360" s="15" t="n"/>
      <c r="L360" s="120" t="n"/>
      <c r="M360" s="14" t="n"/>
      <c r="N360" s="14" t="n"/>
      <c r="O360" s="14" t="n"/>
      <c r="P360" s="14" t="n"/>
      <c r="Q360" s="14" t="n"/>
      <c r="R360" s="14" t="n"/>
      <c r="S360" s="14" t="n"/>
      <c r="T360" s="15" t="n"/>
      <c r="U360" s="115" t="n"/>
    </row>
    <row r="361" hidden="1" outlineLevel="1">
      <c r="A361" s="8" t="n"/>
      <c r="B361" s="22" t="n"/>
      <c r="C361" s="115" t="n"/>
      <c r="D361" s="16" t="n"/>
      <c r="K361" s="17" t="n"/>
      <c r="L361" s="16" t="n"/>
      <c r="T361" s="17" t="n"/>
      <c r="U361" s="115" t="n"/>
    </row>
    <row r="362" hidden="1" outlineLevel="1">
      <c r="A362" s="8" t="n"/>
      <c r="B362" s="22" t="n"/>
      <c r="C362" s="115" t="n"/>
      <c r="D362" s="18" t="n"/>
      <c r="E362" s="19" t="n"/>
      <c r="F362" s="19" t="n"/>
      <c r="G362" s="19" t="n"/>
      <c r="H362" s="19" t="n"/>
      <c r="I362" s="19" t="n"/>
      <c r="J362" s="19" t="n"/>
      <c r="K362" s="20" t="n"/>
      <c r="L362" s="18" t="n"/>
      <c r="M362" s="19" t="n"/>
      <c r="N362" s="19" t="n"/>
      <c r="O362" s="19" t="n"/>
      <c r="P362" s="19" t="n"/>
      <c r="Q362" s="19" t="n"/>
      <c r="R362" s="19" t="n"/>
      <c r="S362" s="19" t="n"/>
      <c r="T362" s="20" t="n"/>
      <c r="U362" s="115" t="n"/>
    </row>
    <row r="363" hidden="1" outlineLevel="1">
      <c r="A363" s="8" t="n"/>
      <c r="B363" s="22" t="n"/>
      <c r="C363" s="115" t="n"/>
      <c r="D363" s="115" t="n"/>
      <c r="E363" s="115" t="n"/>
      <c r="F363" s="115" t="n"/>
      <c r="G363" s="115" t="n"/>
      <c r="H363" s="115" t="n"/>
      <c r="I363" s="115" t="n"/>
      <c r="J363" s="115" t="n"/>
      <c r="K363" s="115" t="n"/>
      <c r="L363" s="115" t="n"/>
      <c r="M363" s="115" t="n"/>
      <c r="N363" s="115" t="n"/>
      <c r="O363" s="115" t="n"/>
      <c r="P363" s="115" t="n"/>
      <c r="Q363" s="115" t="n"/>
      <c r="R363" s="115" t="n"/>
      <c r="S363" s="115" t="n"/>
      <c r="T363" s="115" t="n"/>
      <c r="U363" s="115" t="n"/>
    </row>
    <row r="364" hidden="1" outlineLevel="1">
      <c r="A364" s="8" t="n"/>
      <c r="B364" s="22" t="n"/>
      <c r="C364" s="115" t="n"/>
      <c r="D364" s="52" t="inlineStr">
        <is>
          <t>COMO É POR DENTRO</t>
        </is>
      </c>
      <c r="E364" s="11" t="n"/>
      <c r="F364" s="11" t="n"/>
      <c r="G364" s="11" t="n"/>
      <c r="H364" s="11" t="n"/>
      <c r="I364" s="11" t="n"/>
      <c r="J364" s="11" t="n"/>
      <c r="K364" s="11" t="n"/>
      <c r="L364" s="11" t="n"/>
      <c r="M364" s="11" t="n"/>
      <c r="N364" s="11" t="n"/>
      <c r="O364" s="11" t="n"/>
      <c r="P364" s="11" t="n"/>
      <c r="Q364" s="11" t="n"/>
      <c r="R364" s="11" t="n"/>
      <c r="S364" s="11" t="n"/>
      <c r="T364" s="12" t="n"/>
      <c r="U364" s="115" t="n"/>
    </row>
    <row r="365" hidden="1" outlineLevel="1">
      <c r="A365" s="8" t="n"/>
      <c r="B365" s="22" t="n"/>
      <c r="C365" s="115" t="n"/>
      <c r="D365" s="120" t="n"/>
      <c r="E365" s="14" t="n"/>
      <c r="F365" s="14" t="n"/>
      <c r="G365" s="14" t="n"/>
      <c r="H365" s="14" t="n"/>
      <c r="I365" s="14" t="n"/>
      <c r="J365" s="14" t="n"/>
      <c r="K365" s="14" t="n"/>
      <c r="L365" s="14" t="n"/>
      <c r="M365" s="14" t="n"/>
      <c r="N365" s="14" t="n"/>
      <c r="O365" s="14" t="n"/>
      <c r="P365" s="14" t="n"/>
      <c r="Q365" s="14" t="n"/>
      <c r="R365" s="14" t="n"/>
      <c r="S365" s="14" t="n"/>
      <c r="T365" s="15" t="n"/>
      <c r="U365" s="115" t="n"/>
    </row>
    <row r="366" hidden="1" outlineLevel="1">
      <c r="A366" s="8" t="n"/>
      <c r="B366" s="22" t="n"/>
      <c r="C366" s="115" t="n"/>
      <c r="D366" s="16" t="n"/>
      <c r="T366" s="17" t="n"/>
      <c r="U366" s="115" t="n"/>
    </row>
    <row r="367" hidden="1" outlineLevel="1">
      <c r="A367" s="8" t="n"/>
      <c r="B367" s="22" t="n"/>
      <c r="C367" s="115" t="n"/>
      <c r="D367" s="16" t="n"/>
      <c r="T367" s="17" t="n"/>
      <c r="U367" s="115" t="n"/>
    </row>
    <row r="368" hidden="1" outlineLevel="1">
      <c r="A368" s="8" t="n"/>
      <c r="B368" s="22" t="n"/>
      <c r="C368" s="115" t="n"/>
      <c r="D368" s="18" t="n"/>
      <c r="E368" s="19" t="n"/>
      <c r="F368" s="19" t="n"/>
      <c r="G368" s="19" t="n"/>
      <c r="H368" s="19" t="n"/>
      <c r="I368" s="19" t="n"/>
      <c r="J368" s="19" t="n"/>
      <c r="K368" s="19" t="n"/>
      <c r="L368" s="19" t="n"/>
      <c r="M368" s="19" t="n"/>
      <c r="N368" s="19" t="n"/>
      <c r="O368" s="19" t="n"/>
      <c r="P368" s="19" t="n"/>
      <c r="Q368" s="19" t="n"/>
      <c r="R368" s="19" t="n"/>
      <c r="S368" s="19" t="n"/>
      <c r="T368" s="20" t="n"/>
      <c r="U368" s="115" t="n"/>
    </row>
    <row r="369">
      <c r="A369" s="8" t="n"/>
      <c r="B369" s="22" t="n"/>
      <c r="C369" s="115" t="n"/>
      <c r="D369" s="115" t="n"/>
      <c r="E369" s="115" t="n"/>
      <c r="F369" s="115" t="n"/>
      <c r="G369" s="115" t="n"/>
      <c r="H369" s="115" t="n"/>
      <c r="I369" s="115" t="n"/>
      <c r="J369" s="115" t="n"/>
      <c r="K369" s="115" t="n"/>
      <c r="L369" s="115" t="n"/>
      <c r="M369" s="115" t="n"/>
      <c r="N369" s="115" t="n"/>
      <c r="O369" s="115" t="n"/>
      <c r="P369" s="115" t="n"/>
      <c r="Q369" s="115" t="n"/>
      <c r="R369" s="115" t="n"/>
      <c r="S369" s="115" t="n"/>
      <c r="T369" s="115" t="n"/>
      <c r="U369" s="115" t="n"/>
    </row>
    <row r="370">
      <c r="A370" s="8" t="n"/>
      <c r="B370" s="22" t="n"/>
      <c r="C370" s="115" t="n"/>
      <c r="D370" s="118" t="inlineStr">
        <is>
          <t>PASSIVAS</t>
        </is>
      </c>
      <c r="E370" s="14" t="n"/>
      <c r="F370" s="14" t="n"/>
      <c r="G370" s="14" t="n"/>
      <c r="H370" s="15" t="n"/>
      <c r="I370" s="119">
        <f>DADOS_AM!$GH$23&amp;" de 5 pagas · "&amp;DADOS_AM!$GH$24&amp;" de "&amp;DADOS_AM!$GH$8&amp;" do Leque · o + abre o que ela faz"</f>
        <v/>
      </c>
      <c r="J370" s="14" t="n"/>
      <c r="K370" s="14" t="n"/>
      <c r="L370" s="14" t="n"/>
      <c r="M370" s="14" t="n"/>
      <c r="N370" s="14" t="n"/>
      <c r="O370" s="14" t="n"/>
      <c r="P370" s="14" t="n"/>
      <c r="Q370" s="14" t="n"/>
      <c r="R370" s="14" t="n"/>
      <c r="S370" s="14" t="n"/>
      <c r="T370" s="15" t="n"/>
      <c r="U370" s="115" t="n"/>
    </row>
    <row r="371">
      <c r="A371" s="8" t="n"/>
      <c r="B371" s="22" t="n"/>
      <c r="C371" s="115" t="n"/>
      <c r="D371" s="18" t="n"/>
      <c r="E371" s="19" t="n"/>
      <c r="F371" s="19" t="n"/>
      <c r="G371" s="19" t="n"/>
      <c r="H371" s="20" t="n"/>
      <c r="I371" s="18" t="n"/>
      <c r="J371" s="19" t="n"/>
      <c r="K371" s="19" t="n"/>
      <c r="L371" s="19" t="n"/>
      <c r="M371" s="19" t="n"/>
      <c r="N371" s="19" t="n"/>
      <c r="O371" s="19" t="n"/>
      <c r="P371" s="19" t="n"/>
      <c r="Q371" s="19" t="n"/>
      <c r="R371" s="19" t="n"/>
      <c r="S371" s="19" t="n"/>
      <c r="T371" s="20" t="n"/>
      <c r="U371" s="115" t="n"/>
    </row>
    <row r="372" outlineLevel="1">
      <c r="A372" s="8" t="n"/>
      <c r="B372" s="22" t="n"/>
      <c r="C372" s="115" t="n"/>
      <c r="D372" s="115" t="n"/>
      <c r="E372" s="115" t="n"/>
      <c r="F372" s="115" t="n"/>
      <c r="G372" s="115" t="n"/>
      <c r="H372" s="115" t="n"/>
      <c r="I372" s="115" t="n"/>
      <c r="J372" s="115" t="n"/>
      <c r="K372" s="115" t="n"/>
      <c r="L372" s="115" t="n"/>
      <c r="M372" s="115" t="n"/>
      <c r="N372" s="115" t="n"/>
      <c r="O372" s="115" t="n"/>
      <c r="P372" s="115" t="n"/>
      <c r="Q372" s="115" t="n"/>
      <c r="R372" s="115" t="n"/>
      <c r="S372" s="115" t="n"/>
      <c r="T372" s="115" t="n"/>
      <c r="U372" s="115" t="n"/>
    </row>
    <row r="373" outlineLevel="1">
      <c r="A373" s="8" t="n"/>
      <c r="B373" s="22" t="n"/>
      <c r="C373" s="115" t="n"/>
      <c r="D373" s="127" t="n"/>
      <c r="E373" s="12" t="n"/>
      <c r="F373" s="126">
        <f>DADOS_AM!$GO$2</f>
        <v/>
      </c>
      <c r="G373" s="126">
        <f>DADOS_AM!$GP$2</f>
        <v/>
      </c>
      <c r="H373" s="12" t="n"/>
      <c r="I373" s="115" t="n"/>
      <c r="J373" s="127" t="n"/>
      <c r="K373" s="12" t="n"/>
      <c r="L373" s="126">
        <f>DADOS_AM!$GO$3</f>
        <v/>
      </c>
      <c r="M373" s="126">
        <f>DADOS_AM!$GP$3</f>
        <v/>
      </c>
      <c r="N373" s="12" t="n"/>
      <c r="O373" s="115" t="n"/>
      <c r="P373" s="127" t="n"/>
      <c r="Q373" s="12" t="n"/>
      <c r="R373" s="126">
        <f>DADOS_AM!$GO$4</f>
        <v/>
      </c>
      <c r="S373" s="126">
        <f>DADOS_AM!$GP$4</f>
        <v/>
      </c>
      <c r="T373" s="12" t="n"/>
      <c r="U373" s="115" t="n"/>
    </row>
    <row r="374" outlineLevel="2">
      <c r="A374" s="8" t="n"/>
      <c r="B374" s="22" t="n"/>
      <c r="C374" s="115" t="n"/>
      <c r="D374" s="52" t="inlineStr">
        <is>
          <t>O QUE FAZ</t>
        </is>
      </c>
      <c r="E374" s="11" t="n"/>
      <c r="F374" s="11" t="n"/>
      <c r="G374" s="11" t="n"/>
      <c r="H374" s="12" t="n"/>
      <c r="I374" s="115" t="n"/>
      <c r="J374" s="52" t="inlineStr">
        <is>
          <t>O QUE FAZ</t>
        </is>
      </c>
      <c r="K374" s="11" t="n"/>
      <c r="L374" s="11" t="n"/>
      <c r="M374" s="11" t="n"/>
      <c r="N374" s="12" t="n"/>
      <c r="O374" s="115" t="n"/>
      <c r="P374" s="52" t="inlineStr">
        <is>
          <t>O QUE FAZ</t>
        </is>
      </c>
      <c r="Q374" s="11" t="n"/>
      <c r="R374" s="11" t="n"/>
      <c r="S374" s="11" t="n"/>
      <c r="T374" s="12" t="n"/>
      <c r="U374" s="115" t="n"/>
    </row>
    <row r="375" outlineLevel="2">
      <c r="A375" s="8" t="n"/>
      <c r="B375" s="22" t="n"/>
      <c r="C375" s="115" t="n"/>
      <c r="D375" s="120">
        <f>DADOS_AM!$GN$2</f>
        <v/>
      </c>
      <c r="E375" s="14" t="n"/>
      <c r="F375" s="14" t="n"/>
      <c r="G375" s="14" t="n"/>
      <c r="H375" s="15" t="n"/>
      <c r="I375" s="115" t="n"/>
      <c r="J375" s="120">
        <f>DADOS_AM!$GN$3</f>
        <v/>
      </c>
      <c r="K375" s="14" t="n"/>
      <c r="L375" s="14" t="n"/>
      <c r="M375" s="14" t="n"/>
      <c r="N375" s="15" t="n"/>
      <c r="O375" s="115" t="n"/>
      <c r="P375" s="120">
        <f>DADOS_AM!$GN$4</f>
        <v/>
      </c>
      <c r="Q375" s="14" t="n"/>
      <c r="R375" s="14" t="n"/>
      <c r="S375" s="14" t="n"/>
      <c r="T375" s="15" t="n"/>
      <c r="U375" s="115" t="n"/>
    </row>
    <row r="376" outlineLevel="2">
      <c r="A376" s="8" t="n"/>
      <c r="B376" s="22" t="n"/>
      <c r="C376" s="115" t="n"/>
      <c r="D376" s="16" t="n"/>
      <c r="H376" s="17" t="n"/>
      <c r="I376" s="115" t="n"/>
      <c r="J376" s="16" t="n"/>
      <c r="N376" s="17" t="n"/>
      <c r="O376" s="115" t="n"/>
      <c r="P376" s="16" t="n"/>
      <c r="T376" s="17" t="n"/>
      <c r="U376" s="115" t="n"/>
    </row>
    <row r="377" outlineLevel="2">
      <c r="A377" s="8" t="n"/>
      <c r="B377" s="22" t="n"/>
      <c r="C377" s="115" t="n"/>
      <c r="D377" s="18" t="n"/>
      <c r="E377" s="19" t="n"/>
      <c r="F377" s="19" t="n"/>
      <c r="G377" s="19" t="n"/>
      <c r="H377" s="20" t="n"/>
      <c r="I377" s="115" t="n"/>
      <c r="J377" s="18" t="n"/>
      <c r="K377" s="19" t="n"/>
      <c r="L377" s="19" t="n"/>
      <c r="M377" s="19" t="n"/>
      <c r="N377" s="20" t="n"/>
      <c r="O377" s="115" t="n"/>
      <c r="P377" s="18" t="n"/>
      <c r="Q377" s="19" t="n"/>
      <c r="R377" s="19" t="n"/>
      <c r="S377" s="19" t="n"/>
      <c r="T377" s="20" t="n"/>
      <c r="U377" s="115" t="n"/>
    </row>
    <row r="378" outlineLevel="2">
      <c r="A378" s="8" t="n"/>
      <c r="B378" s="22" t="n"/>
      <c r="C378" s="115" t="n"/>
      <c r="D378" s="52" t="inlineStr">
        <is>
          <t>SEU TEXTO</t>
        </is>
      </c>
      <c r="E378" s="120" t="n"/>
      <c r="F378" s="14" t="n"/>
      <c r="G378" s="14" t="n"/>
      <c r="H378" s="15" t="n"/>
      <c r="I378" s="115" t="n"/>
      <c r="J378" s="52" t="inlineStr">
        <is>
          <t>SEU TEXTO</t>
        </is>
      </c>
      <c r="K378" s="120" t="n"/>
      <c r="L378" s="14" t="n"/>
      <c r="M378" s="14" t="n"/>
      <c r="N378" s="15" t="n"/>
      <c r="O378" s="115" t="n"/>
      <c r="P378" s="52" t="inlineStr">
        <is>
          <t>SEU TEXTO</t>
        </is>
      </c>
      <c r="Q378" s="120" t="n"/>
      <c r="R378" s="14" t="n"/>
      <c r="S378" s="14" t="n"/>
      <c r="T378" s="15" t="n"/>
      <c r="U378" s="115" t="n"/>
    </row>
    <row r="379" outlineLevel="2">
      <c r="A379" s="8" t="n"/>
      <c r="B379" s="22" t="n"/>
      <c r="C379" s="115" t="n"/>
      <c r="D379" s="122" t="n"/>
      <c r="E379" s="18" t="n"/>
      <c r="F379" s="19" t="n"/>
      <c r="G379" s="19" t="n"/>
      <c r="H379" s="20" t="n"/>
      <c r="I379" s="115" t="n"/>
      <c r="J379" s="122" t="n"/>
      <c r="K379" s="18" t="n"/>
      <c r="L379" s="19" t="n"/>
      <c r="M379" s="19" t="n"/>
      <c r="N379" s="20" t="n"/>
      <c r="O379" s="115" t="n"/>
      <c r="P379" s="122" t="n"/>
      <c r="Q379" s="18" t="n"/>
      <c r="R379" s="19" t="n"/>
      <c r="S379" s="19" t="n"/>
      <c r="T379" s="20" t="n"/>
      <c r="U379" s="115" t="n"/>
    </row>
    <row r="380" outlineLevel="1">
      <c r="A380" s="8" t="n"/>
      <c r="B380" s="22" t="n"/>
      <c r="C380" s="115" t="n"/>
      <c r="D380" s="115" t="n"/>
      <c r="E380" s="115" t="n"/>
      <c r="F380" s="115" t="n"/>
      <c r="G380" s="115" t="n"/>
      <c r="H380" s="115" t="n"/>
      <c r="I380" s="115" t="n"/>
      <c r="J380" s="115" t="n"/>
      <c r="K380" s="115" t="n"/>
      <c r="L380" s="115" t="n"/>
      <c r="M380" s="115" t="n"/>
      <c r="N380" s="115" t="n"/>
      <c r="O380" s="115" t="n"/>
      <c r="P380" s="115" t="n"/>
      <c r="Q380" s="115" t="n"/>
      <c r="R380" s="115" t="n"/>
      <c r="S380" s="115" t="n"/>
      <c r="T380" s="115" t="n"/>
      <c r="U380" s="115" t="n"/>
    </row>
    <row r="381" outlineLevel="1">
      <c r="A381" s="8" t="n"/>
      <c r="B381" s="22" t="n"/>
      <c r="C381" s="115" t="n"/>
      <c r="D381" s="127" t="n"/>
      <c r="E381" s="12" t="n"/>
      <c r="F381" s="126">
        <f>DADOS_AM!$GO$5</f>
        <v/>
      </c>
      <c r="G381" s="126">
        <f>DADOS_AM!$GP$5</f>
        <v/>
      </c>
      <c r="H381" s="12" t="n"/>
      <c r="I381" s="115" t="n"/>
      <c r="J381" s="127" t="n"/>
      <c r="K381" s="12" t="n"/>
      <c r="L381" s="126">
        <f>DADOS_AM!$GO$6</f>
        <v/>
      </c>
      <c r="M381" s="126">
        <f>DADOS_AM!$GP$6</f>
        <v/>
      </c>
      <c r="N381" s="12" t="n"/>
      <c r="O381" s="115" t="n"/>
      <c r="P381" s="115" t="n"/>
      <c r="Q381" s="115" t="n"/>
      <c r="R381" s="115" t="n"/>
      <c r="S381" s="115" t="n"/>
      <c r="T381" s="115" t="n"/>
      <c r="U381" s="115" t="n"/>
    </row>
    <row r="382" hidden="1" outlineLevel="2">
      <c r="A382" s="8" t="n"/>
      <c r="B382" s="22" t="n"/>
      <c r="C382" s="115" t="n"/>
      <c r="D382" s="52" t="inlineStr">
        <is>
          <t>O QUE FAZ</t>
        </is>
      </c>
      <c r="E382" s="11" t="n"/>
      <c r="F382" s="11" t="n"/>
      <c r="G382" s="11" t="n"/>
      <c r="H382" s="12" t="n"/>
      <c r="I382" s="115" t="n"/>
      <c r="J382" s="52" t="inlineStr">
        <is>
          <t>O QUE FAZ</t>
        </is>
      </c>
      <c r="K382" s="11" t="n"/>
      <c r="L382" s="11" t="n"/>
      <c r="M382" s="11" t="n"/>
      <c r="N382" s="12" t="n"/>
      <c r="O382" s="115" t="n"/>
      <c r="P382" s="115" t="n"/>
      <c r="Q382" s="115" t="n"/>
      <c r="R382" s="115" t="n"/>
      <c r="S382" s="115" t="n"/>
      <c r="T382" s="115" t="n"/>
      <c r="U382" s="115" t="n"/>
    </row>
    <row r="383" hidden="1" outlineLevel="2">
      <c r="A383" s="8" t="n"/>
      <c r="B383" s="22" t="n"/>
      <c r="C383" s="115" t="n"/>
      <c r="D383" s="120">
        <f>DADOS_AM!$GN$5</f>
        <v/>
      </c>
      <c r="E383" s="14" t="n"/>
      <c r="F383" s="14" t="n"/>
      <c r="G383" s="14" t="n"/>
      <c r="H383" s="15" t="n"/>
      <c r="I383" s="115" t="n"/>
      <c r="J383" s="120">
        <f>DADOS_AM!$GN$6</f>
        <v/>
      </c>
      <c r="K383" s="14" t="n"/>
      <c r="L383" s="14" t="n"/>
      <c r="M383" s="14" t="n"/>
      <c r="N383" s="15" t="n"/>
      <c r="O383" s="115" t="n"/>
      <c r="P383" s="115" t="n"/>
      <c r="Q383" s="115" t="n"/>
      <c r="R383" s="115" t="n"/>
      <c r="S383" s="115" t="n"/>
      <c r="T383" s="115" t="n"/>
      <c r="U383" s="115" t="n"/>
    </row>
    <row r="384" hidden="1" outlineLevel="2">
      <c r="A384" s="8" t="n"/>
      <c r="B384" s="22" t="n"/>
      <c r="C384" s="115" t="n"/>
      <c r="D384" s="16" t="n"/>
      <c r="H384" s="17" t="n"/>
      <c r="I384" s="115" t="n"/>
      <c r="J384" s="16" t="n"/>
      <c r="N384" s="17" t="n"/>
      <c r="O384" s="115" t="n"/>
      <c r="P384" s="115" t="n"/>
      <c r="Q384" s="115" t="n"/>
      <c r="R384" s="115" t="n"/>
      <c r="S384" s="115" t="n"/>
      <c r="T384" s="115" t="n"/>
      <c r="U384" s="115" t="n"/>
    </row>
    <row r="385" hidden="1" outlineLevel="2">
      <c r="A385" s="8" t="n"/>
      <c r="B385" s="22" t="n"/>
      <c r="C385" s="115" t="n"/>
      <c r="D385" s="18" t="n"/>
      <c r="E385" s="19" t="n"/>
      <c r="F385" s="19" t="n"/>
      <c r="G385" s="19" t="n"/>
      <c r="H385" s="20" t="n"/>
      <c r="I385" s="115" t="n"/>
      <c r="J385" s="18" t="n"/>
      <c r="K385" s="19" t="n"/>
      <c r="L385" s="19" t="n"/>
      <c r="M385" s="19" t="n"/>
      <c r="N385" s="20" t="n"/>
      <c r="O385" s="115" t="n"/>
      <c r="P385" s="115" t="n"/>
      <c r="Q385" s="115" t="n"/>
      <c r="R385" s="115" t="n"/>
      <c r="S385" s="115" t="n"/>
      <c r="T385" s="115" t="n"/>
      <c r="U385" s="115" t="n"/>
    </row>
    <row r="386" hidden="1" outlineLevel="2">
      <c r="A386" s="8" t="n"/>
      <c r="B386" s="22" t="n"/>
      <c r="C386" s="115" t="n"/>
      <c r="D386" s="52" t="inlineStr">
        <is>
          <t>SEU TEXTO</t>
        </is>
      </c>
      <c r="E386" s="120" t="n"/>
      <c r="F386" s="14" t="n"/>
      <c r="G386" s="14" t="n"/>
      <c r="H386" s="15" t="n"/>
      <c r="I386" s="115" t="n"/>
      <c r="J386" s="52" t="inlineStr">
        <is>
          <t>SEU TEXTO</t>
        </is>
      </c>
      <c r="K386" s="120" t="n"/>
      <c r="L386" s="14" t="n"/>
      <c r="M386" s="14" t="n"/>
      <c r="N386" s="15" t="n"/>
      <c r="O386" s="115" t="n"/>
      <c r="P386" s="115" t="n"/>
      <c r="Q386" s="115" t="n"/>
      <c r="R386" s="115" t="n"/>
      <c r="S386" s="115" t="n"/>
      <c r="T386" s="115" t="n"/>
      <c r="U386" s="115" t="n"/>
    </row>
    <row r="387" hidden="1" outlineLevel="2">
      <c r="A387" s="8" t="n"/>
      <c r="B387" s="22" t="n"/>
      <c r="C387" s="115" t="n"/>
      <c r="D387" s="122" t="n"/>
      <c r="E387" s="18" t="n"/>
      <c r="F387" s="19" t="n"/>
      <c r="G387" s="19" t="n"/>
      <c r="H387" s="20" t="n"/>
      <c r="I387" s="115" t="n"/>
      <c r="J387" s="122" t="n"/>
      <c r="K387" s="18" t="n"/>
      <c r="L387" s="19" t="n"/>
      <c r="M387" s="19" t="n"/>
      <c r="N387" s="20" t="n"/>
      <c r="O387" s="115" t="n"/>
      <c r="P387" s="115" t="n"/>
      <c r="Q387" s="115" t="n"/>
      <c r="R387" s="115" t="n"/>
      <c r="S387" s="115" t="n"/>
      <c r="T387" s="115" t="n"/>
      <c r="U387" s="115" t="n"/>
    </row>
    <row r="388" outlineLevel="1">
      <c r="A388" s="8" t="n"/>
      <c r="B388" s="22" t="n"/>
      <c r="C388" s="115" t="n"/>
      <c r="D388" s="115" t="n"/>
      <c r="E388" s="115" t="n"/>
      <c r="F388" s="115" t="n"/>
      <c r="G388" s="115" t="n"/>
      <c r="H388" s="115" t="n"/>
      <c r="I388" s="115" t="n"/>
      <c r="J388" s="115" t="n"/>
      <c r="K388" s="115" t="n"/>
      <c r="L388" s="115" t="n"/>
      <c r="M388" s="115" t="n"/>
      <c r="N388" s="115" t="n"/>
      <c r="O388" s="115" t="n"/>
      <c r="P388" s="115" t="n"/>
      <c r="Q388" s="115" t="n"/>
      <c r="R388" s="115" t="n"/>
      <c r="S388" s="115" t="n"/>
      <c r="T388" s="115" t="n"/>
      <c r="U388" s="115" t="n"/>
    </row>
    <row r="389" outlineLevel="1">
      <c r="A389" s="8" t="n"/>
      <c r="B389" s="22" t="n"/>
      <c r="C389" s="115" t="n"/>
      <c r="D389" s="130" t="inlineStr">
        <is>
          <t>PASSIVAS DO LEQUE · uma por escolha de Leque, sem custar espaço</t>
        </is>
      </c>
      <c r="E389" s="11" t="n"/>
      <c r="F389" s="11" t="n"/>
      <c r="G389" s="11" t="n"/>
      <c r="H389" s="11" t="n"/>
      <c r="I389" s="11" t="n"/>
      <c r="J389" s="11" t="n"/>
      <c r="K389" s="11" t="n"/>
      <c r="L389" s="11" t="n"/>
      <c r="M389" s="11" t="n"/>
      <c r="N389" s="11" t="n"/>
      <c r="O389" s="11" t="n"/>
      <c r="P389" s="11" t="n"/>
      <c r="Q389" s="11" t="n"/>
      <c r="R389" s="11" t="n"/>
      <c r="S389" s="11" t="n"/>
      <c r="T389" s="12" t="n"/>
      <c r="U389" s="115" t="n"/>
    </row>
    <row r="390" hidden="1" outlineLevel="2">
      <c r="A390" s="8" t="n"/>
      <c r="B390" s="22" t="n"/>
      <c r="C390" s="115" t="n"/>
      <c r="D390" s="115" t="n"/>
      <c r="E390" s="115" t="n"/>
      <c r="F390" s="115" t="n"/>
      <c r="G390" s="115" t="n"/>
      <c r="H390" s="115" t="n"/>
      <c r="I390" s="115" t="n"/>
      <c r="J390" s="115" t="n"/>
      <c r="K390" s="115" t="n"/>
      <c r="L390" s="115" t="n"/>
      <c r="M390" s="115" t="n"/>
      <c r="N390" s="115" t="n"/>
      <c r="O390" s="115" t="n"/>
      <c r="P390" s="115" t="n"/>
      <c r="Q390" s="115" t="n"/>
      <c r="R390" s="115" t="n"/>
      <c r="S390" s="115" t="n"/>
      <c r="T390" s="115" t="n"/>
      <c r="U390" s="115" t="n"/>
    </row>
    <row r="391" hidden="1" outlineLevel="2">
      <c r="A391" s="8" t="n"/>
      <c r="B391" s="22" t="n"/>
      <c r="C391" s="115" t="n"/>
      <c r="D391" s="127" t="n"/>
      <c r="E391" s="12" t="n"/>
      <c r="F391" s="126">
        <f>DADOS_AM!$GO$7</f>
        <v/>
      </c>
      <c r="G391" s="126">
        <f>DADOS_AM!$GP$7</f>
        <v/>
      </c>
      <c r="H391" s="12" t="n"/>
      <c r="I391" s="115" t="n"/>
      <c r="J391" s="127" t="n"/>
      <c r="K391" s="12" t="n"/>
      <c r="L391" s="126">
        <f>DADOS_AM!$GO$8</f>
        <v/>
      </c>
      <c r="M391" s="126">
        <f>DADOS_AM!$GP$8</f>
        <v/>
      </c>
      <c r="N391" s="12" t="n"/>
      <c r="O391" s="115" t="n"/>
      <c r="P391" s="127" t="n"/>
      <c r="Q391" s="12" t="n"/>
      <c r="R391" s="126">
        <f>DADOS_AM!$GO$9</f>
        <v/>
      </c>
      <c r="S391" s="126">
        <f>DADOS_AM!$GP$9</f>
        <v/>
      </c>
      <c r="T391" s="12" t="n"/>
      <c r="U391" s="115" t="n"/>
    </row>
    <row r="392" hidden="1" outlineLevel="3">
      <c r="A392" s="8" t="n"/>
      <c r="B392" s="22" t="n"/>
      <c r="C392" s="115" t="n"/>
      <c r="D392" s="52" t="inlineStr">
        <is>
          <t>O QUE FAZ</t>
        </is>
      </c>
      <c r="E392" s="11" t="n"/>
      <c r="F392" s="11" t="n"/>
      <c r="G392" s="11" t="n"/>
      <c r="H392" s="12" t="n"/>
      <c r="I392" s="115" t="n"/>
      <c r="J392" s="52" t="inlineStr">
        <is>
          <t>O QUE FAZ</t>
        </is>
      </c>
      <c r="K392" s="11" t="n"/>
      <c r="L392" s="11" t="n"/>
      <c r="M392" s="11" t="n"/>
      <c r="N392" s="12" t="n"/>
      <c r="O392" s="115" t="n"/>
      <c r="P392" s="52" t="inlineStr">
        <is>
          <t>O QUE FAZ</t>
        </is>
      </c>
      <c r="Q392" s="11" t="n"/>
      <c r="R392" s="11" t="n"/>
      <c r="S392" s="11" t="n"/>
      <c r="T392" s="12" t="n"/>
      <c r="U392" s="115" t="n"/>
    </row>
    <row r="393" hidden="1" outlineLevel="3">
      <c r="A393" s="8" t="n"/>
      <c r="B393" s="22" t="n"/>
      <c r="C393" s="115" t="n"/>
      <c r="D393" s="120">
        <f>DADOS_AM!$GN$7</f>
        <v/>
      </c>
      <c r="E393" s="14" t="n"/>
      <c r="F393" s="14" t="n"/>
      <c r="G393" s="14" t="n"/>
      <c r="H393" s="15" t="n"/>
      <c r="I393" s="115" t="n"/>
      <c r="J393" s="120">
        <f>DADOS_AM!$GN$8</f>
        <v/>
      </c>
      <c r="K393" s="14" t="n"/>
      <c r="L393" s="14" t="n"/>
      <c r="M393" s="14" t="n"/>
      <c r="N393" s="15" t="n"/>
      <c r="O393" s="115" t="n"/>
      <c r="P393" s="120">
        <f>DADOS_AM!$GN$9</f>
        <v/>
      </c>
      <c r="Q393" s="14" t="n"/>
      <c r="R393" s="14" t="n"/>
      <c r="S393" s="14" t="n"/>
      <c r="T393" s="15" t="n"/>
      <c r="U393" s="115" t="n"/>
    </row>
    <row r="394" hidden="1" outlineLevel="3">
      <c r="A394" s="8" t="n"/>
      <c r="B394" s="22" t="n"/>
      <c r="C394" s="115" t="n"/>
      <c r="D394" s="16" t="n"/>
      <c r="H394" s="17" t="n"/>
      <c r="I394" s="115" t="n"/>
      <c r="J394" s="16" t="n"/>
      <c r="N394" s="17" t="n"/>
      <c r="O394" s="115" t="n"/>
      <c r="P394" s="16" t="n"/>
      <c r="T394" s="17" t="n"/>
      <c r="U394" s="115" t="n"/>
    </row>
    <row r="395" hidden="1" outlineLevel="3">
      <c r="A395" s="8" t="n"/>
      <c r="B395" s="22" t="n"/>
      <c r="C395" s="115" t="n"/>
      <c r="D395" s="18" t="n"/>
      <c r="E395" s="19" t="n"/>
      <c r="F395" s="19" t="n"/>
      <c r="G395" s="19" t="n"/>
      <c r="H395" s="20" t="n"/>
      <c r="I395" s="115" t="n"/>
      <c r="J395" s="18" t="n"/>
      <c r="K395" s="19" t="n"/>
      <c r="L395" s="19" t="n"/>
      <c r="M395" s="19" t="n"/>
      <c r="N395" s="20" t="n"/>
      <c r="O395" s="115" t="n"/>
      <c r="P395" s="18" t="n"/>
      <c r="Q395" s="19" t="n"/>
      <c r="R395" s="19" t="n"/>
      <c r="S395" s="19" t="n"/>
      <c r="T395" s="20" t="n"/>
      <c r="U395" s="115" t="n"/>
    </row>
    <row r="396" hidden="1" outlineLevel="3">
      <c r="A396" s="8" t="n"/>
      <c r="B396" s="22" t="n"/>
      <c r="C396" s="115" t="n"/>
      <c r="D396" s="52" t="inlineStr">
        <is>
          <t>SEU TEXTO</t>
        </is>
      </c>
      <c r="E396" s="120" t="n"/>
      <c r="F396" s="14" t="n"/>
      <c r="G396" s="14" t="n"/>
      <c r="H396" s="15" t="n"/>
      <c r="I396" s="115" t="n"/>
      <c r="J396" s="52" t="inlineStr">
        <is>
          <t>SEU TEXTO</t>
        </is>
      </c>
      <c r="K396" s="120" t="n"/>
      <c r="L396" s="14" t="n"/>
      <c r="M396" s="14" t="n"/>
      <c r="N396" s="15" t="n"/>
      <c r="O396" s="115" t="n"/>
      <c r="P396" s="52" t="inlineStr">
        <is>
          <t>SEU TEXTO</t>
        </is>
      </c>
      <c r="Q396" s="120" t="n"/>
      <c r="R396" s="14" t="n"/>
      <c r="S396" s="14" t="n"/>
      <c r="T396" s="15" t="n"/>
      <c r="U396" s="115" t="n"/>
    </row>
    <row r="397" hidden="1" outlineLevel="3">
      <c r="A397" s="8" t="n"/>
      <c r="B397" s="22" t="n"/>
      <c r="C397" s="115" t="n"/>
      <c r="D397" s="122" t="n"/>
      <c r="E397" s="18" t="n"/>
      <c r="F397" s="19" t="n"/>
      <c r="G397" s="19" t="n"/>
      <c r="H397" s="20" t="n"/>
      <c r="I397" s="115" t="n"/>
      <c r="J397" s="122" t="n"/>
      <c r="K397" s="18" t="n"/>
      <c r="L397" s="19" t="n"/>
      <c r="M397" s="19" t="n"/>
      <c r="N397" s="20" t="n"/>
      <c r="O397" s="115" t="n"/>
      <c r="P397" s="122" t="n"/>
      <c r="Q397" s="18" t="n"/>
      <c r="R397" s="19" t="n"/>
      <c r="S397" s="19" t="n"/>
      <c r="T397" s="20" t="n"/>
      <c r="U397" s="115" t="n"/>
    </row>
    <row r="398" hidden="1" outlineLevel="2">
      <c r="A398" s="8" t="n"/>
      <c r="B398" s="22" t="n"/>
      <c r="C398" s="115" t="n"/>
      <c r="D398" s="115" t="n"/>
      <c r="E398" s="115" t="n"/>
      <c r="F398" s="115" t="n"/>
      <c r="G398" s="115" t="n"/>
      <c r="H398" s="115" t="n"/>
      <c r="I398" s="115" t="n"/>
      <c r="J398" s="115" t="n"/>
      <c r="K398" s="115" t="n"/>
      <c r="L398" s="115" t="n"/>
      <c r="M398" s="115" t="n"/>
      <c r="N398" s="115" t="n"/>
      <c r="O398" s="115" t="n"/>
      <c r="P398" s="115" t="n"/>
      <c r="Q398" s="115" t="n"/>
      <c r="R398" s="115" t="n"/>
      <c r="S398" s="115" t="n"/>
      <c r="T398" s="115" t="n"/>
      <c r="U398" s="115" t="n"/>
    </row>
    <row r="399" hidden="1" outlineLevel="2">
      <c r="A399" s="8" t="n"/>
      <c r="B399" s="22" t="n"/>
      <c r="C399" s="115" t="n"/>
      <c r="D399" s="127" t="n"/>
      <c r="E399" s="12" t="n"/>
      <c r="F399" s="126">
        <f>DADOS_AM!$GO$10</f>
        <v/>
      </c>
      <c r="G399" s="126">
        <f>DADOS_AM!$GP$10</f>
        <v/>
      </c>
      <c r="H399" s="12" t="n"/>
      <c r="I399" s="115" t="n"/>
      <c r="J399" s="127" t="n"/>
      <c r="K399" s="12" t="n"/>
      <c r="L399" s="126">
        <f>DADOS_AM!$GO$11</f>
        <v/>
      </c>
      <c r="M399" s="126">
        <f>DADOS_AM!$GP$11</f>
        <v/>
      </c>
      <c r="N399" s="12" t="n"/>
      <c r="O399" s="115" t="n"/>
      <c r="P399" s="127" t="n"/>
      <c r="Q399" s="12" t="n"/>
      <c r="R399" s="126">
        <f>DADOS_AM!$GO$12</f>
        <v/>
      </c>
      <c r="S399" s="126">
        <f>DADOS_AM!$GP$12</f>
        <v/>
      </c>
      <c r="T399" s="12" t="n"/>
      <c r="U399" s="115" t="n"/>
    </row>
    <row r="400" hidden="1" outlineLevel="3">
      <c r="A400" s="8" t="n"/>
      <c r="B400" s="22" t="n"/>
      <c r="C400" s="115" t="n"/>
      <c r="D400" s="52" t="inlineStr">
        <is>
          <t>O QUE FAZ</t>
        </is>
      </c>
      <c r="E400" s="11" t="n"/>
      <c r="F400" s="11" t="n"/>
      <c r="G400" s="11" t="n"/>
      <c r="H400" s="12" t="n"/>
      <c r="I400" s="115" t="n"/>
      <c r="J400" s="52" t="inlineStr">
        <is>
          <t>O QUE FAZ</t>
        </is>
      </c>
      <c r="K400" s="11" t="n"/>
      <c r="L400" s="11" t="n"/>
      <c r="M400" s="11" t="n"/>
      <c r="N400" s="12" t="n"/>
      <c r="O400" s="115" t="n"/>
      <c r="P400" s="52" t="inlineStr">
        <is>
          <t>O QUE FAZ</t>
        </is>
      </c>
      <c r="Q400" s="11" t="n"/>
      <c r="R400" s="11" t="n"/>
      <c r="S400" s="11" t="n"/>
      <c r="T400" s="12" t="n"/>
      <c r="U400" s="115" t="n"/>
    </row>
    <row r="401" hidden="1" outlineLevel="3">
      <c r="A401" s="8" t="n"/>
      <c r="B401" s="22" t="n"/>
      <c r="C401" s="115" t="n"/>
      <c r="D401" s="120">
        <f>DADOS_AM!$GN$10</f>
        <v/>
      </c>
      <c r="E401" s="14" t="n"/>
      <c r="F401" s="14" t="n"/>
      <c r="G401" s="14" t="n"/>
      <c r="H401" s="15" t="n"/>
      <c r="I401" s="115" t="n"/>
      <c r="J401" s="120">
        <f>DADOS_AM!$GN$11</f>
        <v/>
      </c>
      <c r="K401" s="14" t="n"/>
      <c r="L401" s="14" t="n"/>
      <c r="M401" s="14" t="n"/>
      <c r="N401" s="15" t="n"/>
      <c r="O401" s="115" t="n"/>
      <c r="P401" s="120">
        <f>DADOS_AM!$GN$12</f>
        <v/>
      </c>
      <c r="Q401" s="14" t="n"/>
      <c r="R401" s="14" t="n"/>
      <c r="S401" s="14" t="n"/>
      <c r="T401" s="15" t="n"/>
      <c r="U401" s="115" t="n"/>
    </row>
    <row r="402" hidden="1" outlineLevel="3">
      <c r="A402" s="8" t="n"/>
      <c r="B402" s="22" t="n"/>
      <c r="C402" s="115" t="n"/>
      <c r="D402" s="16" t="n"/>
      <c r="H402" s="17" t="n"/>
      <c r="I402" s="115" t="n"/>
      <c r="J402" s="16" t="n"/>
      <c r="N402" s="17" t="n"/>
      <c r="O402" s="115" t="n"/>
      <c r="P402" s="16" t="n"/>
      <c r="T402" s="17" t="n"/>
      <c r="U402" s="115" t="n"/>
    </row>
    <row r="403" hidden="1" outlineLevel="3">
      <c r="A403" s="8" t="n"/>
      <c r="B403" s="22" t="n"/>
      <c r="C403" s="115" t="n"/>
      <c r="D403" s="18" t="n"/>
      <c r="E403" s="19" t="n"/>
      <c r="F403" s="19" t="n"/>
      <c r="G403" s="19" t="n"/>
      <c r="H403" s="20" t="n"/>
      <c r="I403" s="115" t="n"/>
      <c r="J403" s="18" t="n"/>
      <c r="K403" s="19" t="n"/>
      <c r="L403" s="19" t="n"/>
      <c r="M403" s="19" t="n"/>
      <c r="N403" s="20" t="n"/>
      <c r="O403" s="115" t="n"/>
      <c r="P403" s="18" t="n"/>
      <c r="Q403" s="19" t="n"/>
      <c r="R403" s="19" t="n"/>
      <c r="S403" s="19" t="n"/>
      <c r="T403" s="20" t="n"/>
      <c r="U403" s="115" t="n"/>
    </row>
    <row r="404" hidden="1" outlineLevel="3">
      <c r="A404" s="8" t="n"/>
      <c r="B404" s="22" t="n"/>
      <c r="C404" s="115" t="n"/>
      <c r="D404" s="52" t="inlineStr">
        <is>
          <t>SEU TEXTO</t>
        </is>
      </c>
      <c r="E404" s="120" t="n"/>
      <c r="F404" s="14" t="n"/>
      <c r="G404" s="14" t="n"/>
      <c r="H404" s="15" t="n"/>
      <c r="I404" s="115" t="n"/>
      <c r="J404" s="52" t="inlineStr">
        <is>
          <t>SEU TEXTO</t>
        </is>
      </c>
      <c r="K404" s="120" t="n"/>
      <c r="L404" s="14" t="n"/>
      <c r="M404" s="14" t="n"/>
      <c r="N404" s="15" t="n"/>
      <c r="O404" s="115" t="n"/>
      <c r="P404" s="52" t="inlineStr">
        <is>
          <t>SEU TEXTO</t>
        </is>
      </c>
      <c r="Q404" s="120" t="n"/>
      <c r="R404" s="14" t="n"/>
      <c r="S404" s="14" t="n"/>
      <c r="T404" s="15" t="n"/>
      <c r="U404" s="115" t="n"/>
    </row>
    <row r="405" hidden="1" outlineLevel="3">
      <c r="A405" s="8" t="n"/>
      <c r="B405" s="22" t="n"/>
      <c r="C405" s="115" t="n"/>
      <c r="D405" s="122" t="n"/>
      <c r="E405" s="18" t="n"/>
      <c r="F405" s="19" t="n"/>
      <c r="G405" s="19" t="n"/>
      <c r="H405" s="20" t="n"/>
      <c r="I405" s="115" t="n"/>
      <c r="J405" s="122" t="n"/>
      <c r="K405" s="18" t="n"/>
      <c r="L405" s="19" t="n"/>
      <c r="M405" s="19" t="n"/>
      <c r="N405" s="20" t="n"/>
      <c r="O405" s="115" t="n"/>
      <c r="P405" s="122" t="n"/>
      <c r="Q405" s="18" t="n"/>
      <c r="R405" s="19" t="n"/>
      <c r="S405" s="19" t="n"/>
      <c r="T405" s="20" t="n"/>
      <c r="U405" s="115" t="n"/>
    </row>
    <row r="406" hidden="1" outlineLevel="2">
      <c r="A406" s="8" t="n"/>
      <c r="B406" s="22" t="n"/>
      <c r="C406" s="115" t="n"/>
      <c r="D406" s="115" t="n"/>
      <c r="E406" s="115" t="n"/>
      <c r="F406" s="115" t="n"/>
      <c r="G406" s="115" t="n"/>
      <c r="H406" s="115" t="n"/>
      <c r="I406" s="115" t="n"/>
      <c r="J406" s="115" t="n"/>
      <c r="K406" s="115" t="n"/>
      <c r="L406" s="115" t="n"/>
      <c r="M406" s="115" t="n"/>
      <c r="N406" s="115" t="n"/>
      <c r="O406" s="115" t="n"/>
      <c r="P406" s="115" t="n"/>
      <c r="Q406" s="115" t="n"/>
      <c r="R406" s="115" t="n"/>
      <c r="S406" s="115" t="n"/>
      <c r="T406" s="115" t="n"/>
      <c r="U406" s="115" t="n"/>
    </row>
    <row r="407" hidden="1" outlineLevel="2">
      <c r="A407" s="8" t="n"/>
      <c r="B407" s="22" t="n"/>
      <c r="C407" s="115" t="n"/>
      <c r="D407" s="127" t="n"/>
      <c r="E407" s="12" t="n"/>
      <c r="F407" s="126">
        <f>DADOS_AM!$GO$13</f>
        <v/>
      </c>
      <c r="G407" s="126">
        <f>DADOS_AM!$GP$13</f>
        <v/>
      </c>
      <c r="H407" s="12" t="n"/>
      <c r="I407" s="115" t="n"/>
      <c r="J407" s="115" t="n"/>
      <c r="K407" s="115" t="n"/>
      <c r="L407" s="115" t="n"/>
      <c r="M407" s="115" t="n"/>
      <c r="N407" s="115" t="n"/>
      <c r="O407" s="115" t="n"/>
      <c r="P407" s="115" t="n"/>
      <c r="Q407" s="115" t="n"/>
      <c r="R407" s="115" t="n"/>
      <c r="S407" s="115" t="n"/>
      <c r="T407" s="115" t="n"/>
      <c r="U407" s="115" t="n"/>
    </row>
    <row r="408" hidden="1" outlineLevel="3">
      <c r="A408" s="8" t="n"/>
      <c r="B408" s="22" t="n"/>
      <c r="C408" s="115" t="n"/>
      <c r="D408" s="52" t="inlineStr">
        <is>
          <t>O QUE FAZ</t>
        </is>
      </c>
      <c r="E408" s="11" t="n"/>
      <c r="F408" s="11" t="n"/>
      <c r="G408" s="11" t="n"/>
      <c r="H408" s="12" t="n"/>
      <c r="I408" s="115" t="n"/>
      <c r="J408" s="115" t="n"/>
      <c r="K408" s="115" t="n"/>
      <c r="L408" s="115" t="n"/>
      <c r="M408" s="115" t="n"/>
      <c r="N408" s="115" t="n"/>
      <c r="O408" s="115" t="n"/>
      <c r="P408" s="115" t="n"/>
      <c r="Q408" s="115" t="n"/>
      <c r="R408" s="115" t="n"/>
      <c r="S408" s="115" t="n"/>
      <c r="T408" s="115" t="n"/>
      <c r="U408" s="115" t="n"/>
    </row>
    <row r="409" hidden="1" outlineLevel="3">
      <c r="A409" s="8" t="n"/>
      <c r="B409" s="22" t="n"/>
      <c r="C409" s="115" t="n"/>
      <c r="D409" s="120">
        <f>DADOS_AM!$GN$13</f>
        <v/>
      </c>
      <c r="E409" s="14" t="n"/>
      <c r="F409" s="14" t="n"/>
      <c r="G409" s="14" t="n"/>
      <c r="H409" s="15" t="n"/>
      <c r="I409" s="115" t="n"/>
      <c r="J409" s="115" t="n"/>
      <c r="K409" s="115" t="n"/>
      <c r="L409" s="115" t="n"/>
      <c r="M409" s="115" t="n"/>
      <c r="N409" s="115" t="n"/>
      <c r="O409" s="115" t="n"/>
      <c r="P409" s="115" t="n"/>
      <c r="Q409" s="115" t="n"/>
      <c r="R409" s="115" t="n"/>
      <c r="S409" s="115" t="n"/>
      <c r="T409" s="115" t="n"/>
      <c r="U409" s="115" t="n"/>
    </row>
    <row r="410" hidden="1" outlineLevel="3">
      <c r="A410" s="8" t="n"/>
      <c r="B410" s="22" t="n"/>
      <c r="C410" s="115" t="n"/>
      <c r="D410" s="16" t="n"/>
      <c r="H410" s="17" t="n"/>
      <c r="I410" s="115" t="n"/>
      <c r="J410" s="115" t="n"/>
      <c r="K410" s="115" t="n"/>
      <c r="L410" s="115" t="n"/>
      <c r="M410" s="115" t="n"/>
      <c r="N410" s="115" t="n"/>
      <c r="O410" s="115" t="n"/>
      <c r="P410" s="115" t="n"/>
      <c r="Q410" s="115" t="n"/>
      <c r="R410" s="115" t="n"/>
      <c r="S410" s="115" t="n"/>
      <c r="T410" s="115" t="n"/>
      <c r="U410" s="115" t="n"/>
    </row>
    <row r="411" hidden="1" outlineLevel="3">
      <c r="A411" s="8" t="n"/>
      <c r="B411" s="22" t="n"/>
      <c r="C411" s="115" t="n"/>
      <c r="D411" s="18" t="n"/>
      <c r="E411" s="19" t="n"/>
      <c r="F411" s="19" t="n"/>
      <c r="G411" s="19" t="n"/>
      <c r="H411" s="20" t="n"/>
      <c r="I411" s="115" t="n"/>
      <c r="J411" s="115" t="n"/>
      <c r="K411" s="115" t="n"/>
      <c r="L411" s="115" t="n"/>
      <c r="M411" s="115" t="n"/>
      <c r="N411" s="115" t="n"/>
      <c r="O411" s="115" t="n"/>
      <c r="P411" s="115" t="n"/>
      <c r="Q411" s="115" t="n"/>
      <c r="R411" s="115" t="n"/>
      <c r="S411" s="115" t="n"/>
      <c r="T411" s="115" t="n"/>
      <c r="U411" s="115" t="n"/>
    </row>
    <row r="412" hidden="1" outlineLevel="3">
      <c r="A412" s="8" t="n"/>
      <c r="B412" s="22" t="n"/>
      <c r="C412" s="115" t="n"/>
      <c r="D412" s="52" t="inlineStr">
        <is>
          <t>SEU TEXTO</t>
        </is>
      </c>
      <c r="E412" s="120" t="n"/>
      <c r="F412" s="14" t="n"/>
      <c r="G412" s="14" t="n"/>
      <c r="H412" s="15" t="n"/>
      <c r="I412" s="115" t="n"/>
      <c r="J412" s="115" t="n"/>
      <c r="K412" s="115" t="n"/>
      <c r="L412" s="115" t="n"/>
      <c r="M412" s="115" t="n"/>
      <c r="N412" s="115" t="n"/>
      <c r="O412" s="115" t="n"/>
      <c r="P412" s="115" t="n"/>
      <c r="Q412" s="115" t="n"/>
      <c r="R412" s="115" t="n"/>
      <c r="S412" s="115" t="n"/>
      <c r="T412" s="115" t="n"/>
      <c r="U412" s="115" t="n"/>
    </row>
    <row r="413" hidden="1" outlineLevel="3">
      <c r="A413" s="8" t="n"/>
      <c r="B413" s="22" t="n"/>
      <c r="C413" s="115" t="n"/>
      <c r="D413" s="122" t="n"/>
      <c r="E413" s="18" t="n"/>
      <c r="F413" s="19" t="n"/>
      <c r="G413" s="19" t="n"/>
      <c r="H413" s="20" t="n"/>
      <c r="I413" s="115" t="n"/>
      <c r="J413" s="115" t="n"/>
      <c r="K413" s="115" t="n"/>
      <c r="L413" s="115" t="n"/>
      <c r="M413" s="115" t="n"/>
      <c r="N413" s="115" t="n"/>
      <c r="O413" s="115" t="n"/>
      <c r="P413" s="115" t="n"/>
      <c r="Q413" s="115" t="n"/>
      <c r="R413" s="115" t="n"/>
      <c r="S413" s="115" t="n"/>
      <c r="T413" s="115" t="n"/>
      <c r="U413" s="115" t="n"/>
    </row>
    <row r="414">
      <c r="A414" s="8" t="n"/>
      <c r="B414" s="22" t="n"/>
      <c r="C414" s="115" t="n"/>
      <c r="D414" s="115" t="n"/>
      <c r="E414" s="115" t="n"/>
      <c r="F414" s="115" t="n"/>
      <c r="G414" s="115" t="n"/>
      <c r="H414" s="115" t="n"/>
      <c r="I414" s="115" t="n"/>
      <c r="J414" s="115" t="n"/>
      <c r="K414" s="115" t="n"/>
      <c r="L414" s="115" t="n"/>
      <c r="M414" s="115" t="n"/>
      <c r="N414" s="115" t="n"/>
      <c r="O414" s="115" t="n"/>
      <c r="P414" s="115" t="n"/>
      <c r="Q414" s="115" t="n"/>
      <c r="R414" s="115" t="n"/>
      <c r="S414" s="115" t="n"/>
      <c r="T414" s="115" t="n"/>
      <c r="U414" s="115" t="n"/>
    </row>
    <row r="415">
      <c r="A415" s="8" t="n"/>
      <c r="B415" s="22" t="n"/>
      <c r="C415" s="115" t="n"/>
      <c r="D415" s="118" t="inlineStr">
        <is>
          <t>APTIDÕES E REFINO</t>
        </is>
      </c>
      <c r="E415" s="14" t="n"/>
      <c r="F415" s="14" t="n"/>
      <c r="G415" s="14" t="n"/>
      <c r="H415" s="15" t="n"/>
      <c r="I415" s="119" t="inlineStr">
        <is>
          <t>cada escolha de Refino no marco compra uma aptidão · o + abre o que ela faz</t>
        </is>
      </c>
      <c r="J415" s="14" t="n"/>
      <c r="K415" s="14" t="n"/>
      <c r="L415" s="14" t="n"/>
      <c r="M415" s="14" t="n"/>
      <c r="N415" s="14" t="n"/>
      <c r="O415" s="14" t="n"/>
      <c r="P415" s="14" t="n"/>
      <c r="Q415" s="14" t="n"/>
      <c r="R415" s="14" t="n"/>
      <c r="S415" s="14" t="n"/>
      <c r="T415" s="15" t="n"/>
      <c r="U415" s="115" t="n"/>
    </row>
    <row r="416">
      <c r="A416" s="8" t="n"/>
      <c r="B416" s="22" t="n"/>
      <c r="C416" s="115" t="n"/>
      <c r="D416" s="18" t="n"/>
      <c r="E416" s="19" t="n"/>
      <c r="F416" s="19" t="n"/>
      <c r="G416" s="19" t="n"/>
      <c r="H416" s="20" t="n"/>
      <c r="I416" s="18" t="n"/>
      <c r="J416" s="19" t="n"/>
      <c r="K416" s="19" t="n"/>
      <c r="L416" s="19" t="n"/>
      <c r="M416" s="19" t="n"/>
      <c r="N416" s="19" t="n"/>
      <c r="O416" s="19" t="n"/>
      <c r="P416" s="19" t="n"/>
      <c r="Q416" s="19" t="n"/>
      <c r="R416" s="19" t="n"/>
      <c r="S416" s="19" t="n"/>
      <c r="T416" s="20" t="n"/>
      <c r="U416" s="115" t="n"/>
    </row>
    <row r="417" outlineLevel="1">
      <c r="A417" s="8" t="n"/>
      <c r="B417" s="22" t="n"/>
      <c r="C417" s="115" t="n"/>
      <c r="D417" s="52" t="inlineStr">
        <is>
          <t>REFINO</t>
        </is>
      </c>
      <c r="E417" s="12" t="n"/>
      <c r="F417" s="52" t="inlineStr">
        <is>
          <t>COMPRADAS</t>
        </is>
      </c>
      <c r="G417" s="11" t="n"/>
      <c r="H417" s="12" t="n"/>
      <c r="I417" s="115" t="n"/>
      <c r="J417" s="52" t="inlineStr">
        <is>
          <t>COBRIR-SE DE ENERGIA</t>
        </is>
      </c>
      <c r="K417" s="12" t="n"/>
      <c r="L417" s="52" t="inlineStr">
        <is>
          <t>CANALIZAR ENERGIA</t>
        </is>
      </c>
      <c r="M417" s="11" t="n"/>
      <c r="N417" s="12" t="n"/>
      <c r="O417" s="115" t="n"/>
      <c r="P417" s="52" t="inlineStr">
        <is>
          <t>REAÇÃO DE COBRIR-SE</t>
        </is>
      </c>
      <c r="Q417" s="11" t="n"/>
      <c r="R417" s="11" t="n"/>
      <c r="S417" s="11" t="n"/>
      <c r="T417" s="12" t="n"/>
      <c r="U417" s="115" t="n"/>
    </row>
    <row r="418" outlineLevel="1">
      <c r="A418" s="8" t="n"/>
      <c r="B418" s="22" t="n"/>
      <c r="C418" s="115" t="n"/>
      <c r="D418" s="89">
        <f>DADOS_AM!$GH$6</f>
        <v/>
      </c>
      <c r="E418" s="15" t="n"/>
      <c r="F418" s="89">
        <f>IF(DADOS_AM!$GH$25&gt;DADOS_AM!$GH$26,"⚠ ","")&amp;DADOS_AM!$GH$25&amp;" de "&amp;DADOS_AM!$GH$26</f>
        <v/>
      </c>
      <c r="G418" s="14" t="n"/>
      <c r="H418" s="15" t="n"/>
      <c r="I418" s="115" t="n"/>
      <c r="J418" s="80">
        <f>"proteção "&amp;(FLOOR(DADOS_AM!$GH$6/3,1)+1)</f>
        <v/>
      </c>
      <c r="K418" s="15" t="n"/>
      <c r="L418" s="80">
        <f>"+"&amp;IF(DADOS_AM!$GH$6&gt;=9,4,IF(DADOS_AM!$GH$6&gt;=6,3,IF(DADOS_AM!$GH$6&gt;=3,2,1)))&amp;IF(DADOS_AM!$GH$6&gt;=10,"d6","d4")&amp;" na arma"</f>
        <v/>
      </c>
      <c r="M418" s="14" t="n"/>
      <c r="N418" s="15" t="n"/>
      <c r="O418" s="115" t="n"/>
      <c r="P418" s="80">
        <f>"RD "&amp;FLOOR(1.5*DADOS_AM!$GH$6,1)&amp;" por 2 PE"</f>
        <v/>
      </c>
      <c r="Q418" s="14" t="n"/>
      <c r="R418" s="14" t="n"/>
      <c r="S418" s="14" t="n"/>
      <c r="T418" s="15" t="n"/>
      <c r="U418" s="115" t="n"/>
    </row>
    <row r="419" outlineLevel="1">
      <c r="A419" s="8" t="n"/>
      <c r="B419" s="22" t="n"/>
      <c r="C419" s="115" t="n"/>
      <c r="D419" s="18" t="n"/>
      <c r="E419" s="20" t="n"/>
      <c r="F419" s="18" t="n"/>
      <c r="G419" s="19" t="n"/>
      <c r="H419" s="20" t="n"/>
      <c r="I419" s="115" t="n"/>
      <c r="J419" s="18" t="n"/>
      <c r="K419" s="20" t="n"/>
      <c r="L419" s="18" t="n"/>
      <c r="M419" s="19" t="n"/>
      <c r="N419" s="20" t="n"/>
      <c r="O419" s="115" t="n"/>
      <c r="P419" s="18" t="n"/>
      <c r="Q419" s="19" t="n"/>
      <c r="R419" s="19" t="n"/>
      <c r="S419" s="19" t="n"/>
      <c r="T419" s="20" t="n"/>
      <c r="U419" s="115" t="n"/>
    </row>
    <row r="420" outlineLevel="1">
      <c r="A420" s="8" t="n"/>
      <c r="B420" s="22" t="n"/>
      <c r="C420" s="115" t="n"/>
      <c r="D420" s="115" t="n"/>
      <c r="E420" s="115" t="n"/>
      <c r="F420" s="115" t="n"/>
      <c r="G420" s="115" t="n"/>
      <c r="H420" s="115" t="n"/>
      <c r="I420" s="115" t="n"/>
      <c r="J420" s="115" t="n"/>
      <c r="K420" s="115" t="n"/>
      <c r="L420" s="115" t="n"/>
      <c r="M420" s="115" t="n"/>
      <c r="N420" s="115" t="n"/>
      <c r="O420" s="115" t="n"/>
      <c r="P420" s="115" t="n"/>
      <c r="Q420" s="115" t="n"/>
      <c r="R420" s="115" t="n"/>
      <c r="S420" s="115" t="n"/>
      <c r="T420" s="115" t="n"/>
      <c r="U420" s="115" t="n"/>
    </row>
    <row r="421" outlineLevel="1">
      <c r="A421" s="8" t="n"/>
      <c r="B421" s="22" t="n"/>
      <c r="C421" s="115" t="n"/>
      <c r="D421" s="127" t="n"/>
      <c r="E421" s="11" t="n"/>
      <c r="F421" s="12" t="n"/>
      <c r="G421" s="126">
        <f>DADOS_AM!$GU$2</f>
        <v/>
      </c>
      <c r="H421" s="12" t="n"/>
      <c r="I421" s="115" t="n"/>
      <c r="J421" s="127" t="n"/>
      <c r="K421" s="11" t="n"/>
      <c r="L421" s="12" t="n"/>
      <c r="M421" s="126">
        <f>DADOS_AM!$GU$3</f>
        <v/>
      </c>
      <c r="N421" s="12" t="n"/>
      <c r="O421" s="115" t="n"/>
      <c r="P421" s="127" t="n"/>
      <c r="Q421" s="11" t="n"/>
      <c r="R421" s="12" t="n"/>
      <c r="S421" s="126">
        <f>DADOS_AM!$GU$4</f>
        <v/>
      </c>
      <c r="T421" s="12" t="n"/>
      <c r="U421" s="115" t="n"/>
    </row>
    <row r="422" outlineLevel="1">
      <c r="A422" s="8" t="n"/>
      <c r="B422" s="22" t="n"/>
      <c r="C422" s="115" t="n"/>
      <c r="D422" s="131">
        <f>DADOS_AM!$GT$2</f>
        <v/>
      </c>
      <c r="E422" s="14" t="n"/>
      <c r="F422" s="14" t="n"/>
      <c r="G422" s="14" t="n"/>
      <c r="H422" s="15" t="n"/>
      <c r="I422" s="115" t="n"/>
      <c r="J422" s="131">
        <f>DADOS_AM!$GT$3</f>
        <v/>
      </c>
      <c r="K422" s="14" t="n"/>
      <c r="L422" s="14" t="n"/>
      <c r="M422" s="14" t="n"/>
      <c r="N422" s="15" t="n"/>
      <c r="O422" s="115" t="n"/>
      <c r="P422" s="131">
        <f>DADOS_AM!$GT$4</f>
        <v/>
      </c>
      <c r="Q422" s="14" t="n"/>
      <c r="R422" s="14" t="n"/>
      <c r="S422" s="14" t="n"/>
      <c r="T422" s="15" t="n"/>
      <c r="U422" s="115" t="n"/>
    </row>
    <row r="423" outlineLevel="1">
      <c r="A423" s="8" t="n"/>
      <c r="B423" s="22" t="n"/>
      <c r="C423" s="115" t="n"/>
      <c r="D423" s="18" t="n"/>
      <c r="E423" s="19" t="n"/>
      <c r="F423" s="19" t="n"/>
      <c r="G423" s="19" t="n"/>
      <c r="H423" s="20" t="n"/>
      <c r="I423" s="115" t="n"/>
      <c r="J423" s="18" t="n"/>
      <c r="K423" s="19" t="n"/>
      <c r="L423" s="19" t="n"/>
      <c r="M423" s="19" t="n"/>
      <c r="N423" s="20" t="n"/>
      <c r="O423" s="115" t="n"/>
      <c r="P423" s="18" t="n"/>
      <c r="Q423" s="19" t="n"/>
      <c r="R423" s="19" t="n"/>
      <c r="S423" s="19" t="n"/>
      <c r="T423" s="20" t="n"/>
      <c r="U423" s="115" t="n"/>
    </row>
    <row r="424" outlineLevel="2">
      <c r="A424" s="8" t="n"/>
      <c r="B424" s="22" t="n"/>
      <c r="C424" s="115" t="n"/>
      <c r="D424" s="52" t="inlineStr">
        <is>
          <t>O QUE FAZ</t>
        </is>
      </c>
      <c r="E424" s="11" t="n"/>
      <c r="F424" s="11" t="n"/>
      <c r="G424" s="11" t="n"/>
      <c r="H424" s="12" t="n"/>
      <c r="I424" s="115" t="n"/>
      <c r="J424" s="52" t="inlineStr">
        <is>
          <t>O QUE FAZ</t>
        </is>
      </c>
      <c r="K424" s="11" t="n"/>
      <c r="L424" s="11" t="n"/>
      <c r="M424" s="11" t="n"/>
      <c r="N424" s="12" t="n"/>
      <c r="O424" s="115" t="n"/>
      <c r="P424" s="52" t="inlineStr">
        <is>
          <t>O QUE FAZ</t>
        </is>
      </c>
      <c r="Q424" s="11" t="n"/>
      <c r="R424" s="11" t="n"/>
      <c r="S424" s="11" t="n"/>
      <c r="T424" s="12" t="n"/>
      <c r="U424" s="115" t="n"/>
    </row>
    <row r="425" outlineLevel="2">
      <c r="A425" s="8" t="n"/>
      <c r="B425" s="22" t="n"/>
      <c r="C425" s="115" t="n"/>
      <c r="D425" s="132">
        <f>DADOS_AM!$GW$2</f>
        <v/>
      </c>
      <c r="E425" s="14" t="n"/>
      <c r="F425" s="14" t="n"/>
      <c r="G425" s="14" t="n"/>
      <c r="H425" s="15" t="n"/>
      <c r="I425" s="115" t="n"/>
      <c r="J425" s="132">
        <f>DADOS_AM!$GW$3</f>
        <v/>
      </c>
      <c r="K425" s="14" t="n"/>
      <c r="L425" s="14" t="n"/>
      <c r="M425" s="14" t="n"/>
      <c r="N425" s="15" t="n"/>
      <c r="O425" s="115" t="n"/>
      <c r="P425" s="132">
        <f>DADOS_AM!$GW$4</f>
        <v/>
      </c>
      <c r="Q425" s="14" t="n"/>
      <c r="R425" s="14" t="n"/>
      <c r="S425" s="14" t="n"/>
      <c r="T425" s="15" t="n"/>
      <c r="U425" s="115" t="n"/>
    </row>
    <row r="426" outlineLevel="2">
      <c r="A426" s="8" t="n"/>
      <c r="B426" s="22" t="n"/>
      <c r="C426" s="115" t="n"/>
      <c r="D426" s="16" t="n"/>
      <c r="H426" s="17" t="n"/>
      <c r="I426" s="115" t="n"/>
      <c r="J426" s="16" t="n"/>
      <c r="N426" s="17" t="n"/>
      <c r="O426" s="115" t="n"/>
      <c r="P426" s="16" t="n"/>
      <c r="T426" s="17" t="n"/>
      <c r="U426" s="115" t="n"/>
    </row>
    <row r="427" outlineLevel="2">
      <c r="A427" s="8" t="n"/>
      <c r="B427" s="22" t="n"/>
      <c r="C427" s="115" t="n"/>
      <c r="D427" s="16" t="n"/>
      <c r="H427" s="17" t="n"/>
      <c r="I427" s="115" t="n"/>
      <c r="J427" s="16" t="n"/>
      <c r="N427" s="17" t="n"/>
      <c r="O427" s="115" t="n"/>
      <c r="P427" s="16" t="n"/>
      <c r="T427" s="17" t="n"/>
      <c r="U427" s="115" t="n"/>
    </row>
    <row r="428" outlineLevel="2">
      <c r="A428" s="8" t="n"/>
      <c r="B428" s="22" t="n"/>
      <c r="C428" s="115" t="n"/>
      <c r="D428" s="16" t="n"/>
      <c r="H428" s="17" t="n"/>
      <c r="I428" s="115" t="n"/>
      <c r="J428" s="16" t="n"/>
      <c r="N428" s="17" t="n"/>
      <c r="O428" s="115" t="n"/>
      <c r="P428" s="16" t="n"/>
      <c r="T428" s="17" t="n"/>
      <c r="U428" s="115" t="n"/>
    </row>
    <row r="429" outlineLevel="2">
      <c r="A429" s="8" t="n"/>
      <c r="B429" s="22" t="n"/>
      <c r="C429" s="115" t="n"/>
      <c r="D429" s="16" t="n"/>
      <c r="H429" s="17" t="n"/>
      <c r="I429" s="115" t="n"/>
      <c r="J429" s="16" t="n"/>
      <c r="N429" s="17" t="n"/>
      <c r="O429" s="115" t="n"/>
      <c r="P429" s="16" t="n"/>
      <c r="T429" s="17" t="n"/>
      <c r="U429" s="115" t="n"/>
    </row>
    <row r="430" outlineLevel="2">
      <c r="A430" s="8" t="n"/>
      <c r="B430" s="22" t="n"/>
      <c r="C430" s="115" t="n"/>
      <c r="D430" s="16" t="n"/>
      <c r="H430" s="17" t="n"/>
      <c r="I430" s="115" t="n"/>
      <c r="J430" s="16" t="n"/>
      <c r="N430" s="17" t="n"/>
      <c r="O430" s="115" t="n"/>
      <c r="P430" s="16" t="n"/>
      <c r="T430" s="17" t="n"/>
      <c r="U430" s="115" t="n"/>
    </row>
    <row r="431" outlineLevel="2">
      <c r="A431" s="8" t="n"/>
      <c r="B431" s="22" t="n"/>
      <c r="C431" s="115" t="n"/>
      <c r="D431" s="16" t="n"/>
      <c r="H431" s="17" t="n"/>
      <c r="I431" s="115" t="n"/>
      <c r="J431" s="16" t="n"/>
      <c r="N431" s="17" t="n"/>
      <c r="O431" s="115" t="n"/>
      <c r="P431" s="16" t="n"/>
      <c r="T431" s="17" t="n"/>
      <c r="U431" s="115" t="n"/>
    </row>
    <row r="432" outlineLevel="2">
      <c r="A432" s="8" t="n"/>
      <c r="B432" s="22" t="n"/>
      <c r="C432" s="115" t="n"/>
      <c r="D432" s="16" t="n"/>
      <c r="H432" s="17" t="n"/>
      <c r="I432" s="115" t="n"/>
      <c r="J432" s="16" t="n"/>
      <c r="N432" s="17" t="n"/>
      <c r="O432" s="115" t="n"/>
      <c r="P432" s="16" t="n"/>
      <c r="T432" s="17" t="n"/>
      <c r="U432" s="115" t="n"/>
    </row>
    <row r="433" outlineLevel="2">
      <c r="A433" s="8" t="n"/>
      <c r="B433" s="22" t="n"/>
      <c r="C433" s="115" t="n"/>
      <c r="D433" s="16" t="n"/>
      <c r="H433" s="17" t="n"/>
      <c r="I433" s="115" t="n"/>
      <c r="J433" s="16" t="n"/>
      <c r="N433" s="17" t="n"/>
      <c r="O433" s="115" t="n"/>
      <c r="P433" s="16" t="n"/>
      <c r="T433" s="17" t="n"/>
      <c r="U433" s="115" t="n"/>
    </row>
    <row r="434" outlineLevel="2">
      <c r="A434" s="8" t="n"/>
      <c r="B434" s="22" t="n"/>
      <c r="C434" s="115" t="n"/>
      <c r="D434" s="16" t="n"/>
      <c r="H434" s="17" t="n"/>
      <c r="I434" s="115" t="n"/>
      <c r="J434" s="16" t="n"/>
      <c r="N434" s="17" t="n"/>
      <c r="O434" s="115" t="n"/>
      <c r="P434" s="16" t="n"/>
      <c r="T434" s="17" t="n"/>
      <c r="U434" s="115" t="n"/>
    </row>
    <row r="435" outlineLevel="2">
      <c r="A435" s="8" t="n"/>
      <c r="B435" s="22" t="n"/>
      <c r="C435" s="115" t="n"/>
      <c r="D435" s="16" t="n"/>
      <c r="H435" s="17" t="n"/>
      <c r="I435" s="115" t="n"/>
      <c r="J435" s="16" t="n"/>
      <c r="N435" s="17" t="n"/>
      <c r="O435" s="115" t="n"/>
      <c r="P435" s="16" t="n"/>
      <c r="T435" s="17" t="n"/>
      <c r="U435" s="115" t="n"/>
    </row>
    <row r="436" outlineLevel="2">
      <c r="A436" s="8" t="n"/>
      <c r="B436" s="22" t="n"/>
      <c r="C436" s="115" t="n"/>
      <c r="D436" s="18" t="n"/>
      <c r="E436" s="19" t="n"/>
      <c r="F436" s="19" t="n"/>
      <c r="G436" s="19" t="n"/>
      <c r="H436" s="20" t="n"/>
      <c r="I436" s="115" t="n"/>
      <c r="J436" s="18" t="n"/>
      <c r="K436" s="19" t="n"/>
      <c r="L436" s="19" t="n"/>
      <c r="M436" s="19" t="n"/>
      <c r="N436" s="20" t="n"/>
      <c r="O436" s="115" t="n"/>
      <c r="P436" s="18" t="n"/>
      <c r="Q436" s="19" t="n"/>
      <c r="R436" s="19" t="n"/>
      <c r="S436" s="19" t="n"/>
      <c r="T436" s="20" t="n"/>
      <c r="U436" s="115" t="n"/>
    </row>
    <row r="437" outlineLevel="2">
      <c r="A437" s="8" t="n"/>
      <c r="B437" s="22" t="n"/>
      <c r="C437" s="115" t="n"/>
      <c r="D437" s="52" t="inlineStr">
        <is>
          <t>O REFINO ESCALA</t>
        </is>
      </c>
      <c r="E437" s="133">
        <f>DADOS_AM!$GV$2</f>
        <v/>
      </c>
      <c r="F437" s="11" t="n"/>
      <c r="G437" s="11" t="n"/>
      <c r="H437" s="12" t="n"/>
      <c r="I437" s="115" t="n"/>
      <c r="J437" s="52" t="inlineStr">
        <is>
          <t>O REFINO ESCALA</t>
        </is>
      </c>
      <c r="K437" s="133">
        <f>DADOS_AM!$GV$3</f>
        <v/>
      </c>
      <c r="L437" s="11" t="n"/>
      <c r="M437" s="11" t="n"/>
      <c r="N437" s="12" t="n"/>
      <c r="O437" s="115" t="n"/>
      <c r="P437" s="52" t="inlineStr">
        <is>
          <t>O REFINO ESCALA</t>
        </is>
      </c>
      <c r="Q437" s="133">
        <f>DADOS_AM!$GV$4</f>
        <v/>
      </c>
      <c r="R437" s="11" t="n"/>
      <c r="S437" s="11" t="n"/>
      <c r="T437" s="12" t="n"/>
      <c r="U437" s="115" t="n"/>
    </row>
    <row r="438" outlineLevel="2">
      <c r="A438" s="8" t="n"/>
      <c r="B438" s="22" t="n"/>
      <c r="C438" s="115" t="n"/>
      <c r="D438" s="52" t="inlineStr">
        <is>
          <t>SEU TEXTO</t>
        </is>
      </c>
      <c r="E438" s="120" t="n"/>
      <c r="F438" s="14" t="n"/>
      <c r="G438" s="14" t="n"/>
      <c r="H438" s="15" t="n"/>
      <c r="I438" s="115" t="n"/>
      <c r="J438" s="52" t="inlineStr">
        <is>
          <t>SEU TEXTO</t>
        </is>
      </c>
      <c r="K438" s="120" t="n"/>
      <c r="L438" s="14" t="n"/>
      <c r="M438" s="14" t="n"/>
      <c r="N438" s="15" t="n"/>
      <c r="O438" s="115" t="n"/>
      <c r="P438" s="52" t="inlineStr">
        <is>
          <t>SEU TEXTO</t>
        </is>
      </c>
      <c r="Q438" s="120" t="n"/>
      <c r="R438" s="14" t="n"/>
      <c r="S438" s="14" t="n"/>
      <c r="T438" s="15" t="n"/>
      <c r="U438" s="115" t="n"/>
    </row>
    <row r="439" outlineLevel="2">
      <c r="A439" s="8" t="n"/>
      <c r="B439" s="22" t="n"/>
      <c r="C439" s="115" t="n"/>
      <c r="D439" s="122" t="n"/>
      <c r="E439" s="18" t="n"/>
      <c r="F439" s="19" t="n"/>
      <c r="G439" s="19" t="n"/>
      <c r="H439" s="20" t="n"/>
      <c r="I439" s="115" t="n"/>
      <c r="J439" s="122" t="n"/>
      <c r="K439" s="18" t="n"/>
      <c r="L439" s="19" t="n"/>
      <c r="M439" s="19" t="n"/>
      <c r="N439" s="20" t="n"/>
      <c r="O439" s="115" t="n"/>
      <c r="P439" s="122" t="n"/>
      <c r="Q439" s="18" t="n"/>
      <c r="R439" s="19" t="n"/>
      <c r="S439" s="19" t="n"/>
      <c r="T439" s="20" t="n"/>
      <c r="U439" s="115" t="n"/>
    </row>
    <row r="440" outlineLevel="1">
      <c r="A440" s="8" t="n"/>
      <c r="B440" s="22" t="n"/>
      <c r="C440" s="115" t="n"/>
      <c r="D440" s="115" t="n"/>
      <c r="E440" s="115" t="n"/>
      <c r="F440" s="115" t="n"/>
      <c r="G440" s="115" t="n"/>
      <c r="H440" s="115" t="n"/>
      <c r="I440" s="115" t="n"/>
      <c r="J440" s="115" t="n"/>
      <c r="K440" s="115" t="n"/>
      <c r="L440" s="115" t="n"/>
      <c r="M440" s="115" t="n"/>
      <c r="N440" s="115" t="n"/>
      <c r="O440" s="115" t="n"/>
      <c r="P440" s="115" t="n"/>
      <c r="Q440" s="115" t="n"/>
      <c r="R440" s="115" t="n"/>
      <c r="S440" s="115" t="n"/>
      <c r="T440" s="115" t="n"/>
      <c r="U440" s="115" t="n"/>
    </row>
    <row r="441" outlineLevel="1">
      <c r="A441" s="8" t="n"/>
      <c r="B441" s="22" t="n"/>
      <c r="C441" s="115" t="n"/>
      <c r="D441" s="127" t="n"/>
      <c r="E441" s="11" t="n"/>
      <c r="F441" s="12" t="n"/>
      <c r="G441" s="126">
        <f>DADOS_AM!$GU$5</f>
        <v/>
      </c>
      <c r="H441" s="12" t="n"/>
      <c r="I441" s="115" t="n"/>
      <c r="J441" s="127" t="n"/>
      <c r="K441" s="11" t="n"/>
      <c r="L441" s="12" t="n"/>
      <c r="M441" s="126">
        <f>DADOS_AM!$GU$6</f>
        <v/>
      </c>
      <c r="N441" s="12" t="n"/>
      <c r="O441" s="115" t="n"/>
      <c r="P441" s="127" t="n"/>
      <c r="Q441" s="11" t="n"/>
      <c r="R441" s="12" t="n"/>
      <c r="S441" s="126">
        <f>DADOS_AM!$GU$7</f>
        <v/>
      </c>
      <c r="T441" s="12" t="n"/>
      <c r="U441" s="115" t="n"/>
    </row>
    <row r="442" outlineLevel="1">
      <c r="A442" s="8" t="n"/>
      <c r="B442" s="22" t="n"/>
      <c r="C442" s="115" t="n"/>
      <c r="D442" s="131">
        <f>DADOS_AM!$GT$5</f>
        <v/>
      </c>
      <c r="E442" s="14" t="n"/>
      <c r="F442" s="14" t="n"/>
      <c r="G442" s="14" t="n"/>
      <c r="H442" s="15" t="n"/>
      <c r="I442" s="115" t="n"/>
      <c r="J442" s="131">
        <f>DADOS_AM!$GT$6</f>
        <v/>
      </c>
      <c r="K442" s="14" t="n"/>
      <c r="L442" s="14" t="n"/>
      <c r="M442" s="14" t="n"/>
      <c r="N442" s="15" t="n"/>
      <c r="O442" s="115" t="n"/>
      <c r="P442" s="131">
        <f>DADOS_AM!$GT$7</f>
        <v/>
      </c>
      <c r="Q442" s="14" t="n"/>
      <c r="R442" s="14" t="n"/>
      <c r="S442" s="14" t="n"/>
      <c r="T442" s="15" t="n"/>
      <c r="U442" s="115" t="n"/>
    </row>
    <row r="443" outlineLevel="1">
      <c r="A443" s="8" t="n"/>
      <c r="B443" s="22" t="n"/>
      <c r="C443" s="115" t="n"/>
      <c r="D443" s="18" t="n"/>
      <c r="E443" s="19" t="n"/>
      <c r="F443" s="19" t="n"/>
      <c r="G443" s="19" t="n"/>
      <c r="H443" s="20" t="n"/>
      <c r="I443" s="115" t="n"/>
      <c r="J443" s="18" t="n"/>
      <c r="K443" s="19" t="n"/>
      <c r="L443" s="19" t="n"/>
      <c r="M443" s="19" t="n"/>
      <c r="N443" s="20" t="n"/>
      <c r="O443" s="115" t="n"/>
      <c r="P443" s="18" t="n"/>
      <c r="Q443" s="19" t="n"/>
      <c r="R443" s="19" t="n"/>
      <c r="S443" s="19" t="n"/>
      <c r="T443" s="20" t="n"/>
      <c r="U443" s="115" t="n"/>
    </row>
    <row r="444" hidden="1" outlineLevel="2">
      <c r="A444" s="8" t="n"/>
      <c r="B444" s="22" t="n"/>
      <c r="C444" s="115" t="n"/>
      <c r="D444" s="52" t="inlineStr">
        <is>
          <t>O QUE FAZ</t>
        </is>
      </c>
      <c r="E444" s="11" t="n"/>
      <c r="F444" s="11" t="n"/>
      <c r="G444" s="11" t="n"/>
      <c r="H444" s="12" t="n"/>
      <c r="I444" s="115" t="n"/>
      <c r="J444" s="52" t="inlineStr">
        <is>
          <t>O QUE FAZ</t>
        </is>
      </c>
      <c r="K444" s="11" t="n"/>
      <c r="L444" s="11" t="n"/>
      <c r="M444" s="11" t="n"/>
      <c r="N444" s="12" t="n"/>
      <c r="O444" s="115" t="n"/>
      <c r="P444" s="52" t="inlineStr">
        <is>
          <t>O QUE FAZ</t>
        </is>
      </c>
      <c r="Q444" s="11" t="n"/>
      <c r="R444" s="11" t="n"/>
      <c r="S444" s="11" t="n"/>
      <c r="T444" s="12" t="n"/>
      <c r="U444" s="115" t="n"/>
    </row>
    <row r="445" hidden="1" outlineLevel="2">
      <c r="A445" s="8" t="n"/>
      <c r="B445" s="22" t="n"/>
      <c r="C445" s="115" t="n"/>
      <c r="D445" s="132">
        <f>DADOS_AM!$GW$5</f>
        <v/>
      </c>
      <c r="E445" s="14" t="n"/>
      <c r="F445" s="14" t="n"/>
      <c r="G445" s="14" t="n"/>
      <c r="H445" s="15" t="n"/>
      <c r="I445" s="115" t="n"/>
      <c r="J445" s="132">
        <f>DADOS_AM!$GW$6</f>
        <v/>
      </c>
      <c r="K445" s="14" t="n"/>
      <c r="L445" s="14" t="n"/>
      <c r="M445" s="14" t="n"/>
      <c r="N445" s="15" t="n"/>
      <c r="O445" s="115" t="n"/>
      <c r="P445" s="132">
        <f>DADOS_AM!$GW$7</f>
        <v/>
      </c>
      <c r="Q445" s="14" t="n"/>
      <c r="R445" s="14" t="n"/>
      <c r="S445" s="14" t="n"/>
      <c r="T445" s="15" t="n"/>
      <c r="U445" s="115" t="n"/>
    </row>
    <row r="446" hidden="1" outlineLevel="2">
      <c r="A446" s="8" t="n"/>
      <c r="B446" s="22" t="n"/>
      <c r="C446" s="115" t="n"/>
      <c r="D446" s="16" t="n"/>
      <c r="H446" s="17" t="n"/>
      <c r="I446" s="115" t="n"/>
      <c r="J446" s="16" t="n"/>
      <c r="N446" s="17" t="n"/>
      <c r="O446" s="115" t="n"/>
      <c r="P446" s="16" t="n"/>
      <c r="T446" s="17" t="n"/>
      <c r="U446" s="115" t="n"/>
    </row>
    <row r="447" hidden="1" outlineLevel="2">
      <c r="A447" s="8" t="n"/>
      <c r="B447" s="22" t="n"/>
      <c r="C447" s="115" t="n"/>
      <c r="D447" s="16" t="n"/>
      <c r="H447" s="17" t="n"/>
      <c r="I447" s="115" t="n"/>
      <c r="J447" s="16" t="n"/>
      <c r="N447" s="17" t="n"/>
      <c r="O447" s="115" t="n"/>
      <c r="P447" s="16" t="n"/>
      <c r="T447" s="17" t="n"/>
      <c r="U447" s="115" t="n"/>
    </row>
    <row r="448" hidden="1" outlineLevel="2">
      <c r="A448" s="8" t="n"/>
      <c r="B448" s="22" t="n"/>
      <c r="C448" s="115" t="n"/>
      <c r="D448" s="16" t="n"/>
      <c r="H448" s="17" t="n"/>
      <c r="I448" s="115" t="n"/>
      <c r="J448" s="16" t="n"/>
      <c r="N448" s="17" t="n"/>
      <c r="O448" s="115" t="n"/>
      <c r="P448" s="16" t="n"/>
      <c r="T448" s="17" t="n"/>
      <c r="U448" s="115" t="n"/>
    </row>
    <row r="449" hidden="1" outlineLevel="2">
      <c r="A449" s="8" t="n"/>
      <c r="B449" s="22" t="n"/>
      <c r="C449" s="115" t="n"/>
      <c r="D449" s="16" t="n"/>
      <c r="H449" s="17" t="n"/>
      <c r="I449" s="115" t="n"/>
      <c r="J449" s="16" t="n"/>
      <c r="N449" s="17" t="n"/>
      <c r="O449" s="115" t="n"/>
      <c r="P449" s="16" t="n"/>
      <c r="T449" s="17" t="n"/>
      <c r="U449" s="115" t="n"/>
    </row>
    <row r="450" hidden="1" outlineLevel="2">
      <c r="A450" s="8" t="n"/>
      <c r="B450" s="22" t="n"/>
      <c r="C450" s="115" t="n"/>
      <c r="D450" s="16" t="n"/>
      <c r="H450" s="17" t="n"/>
      <c r="I450" s="115" t="n"/>
      <c r="J450" s="16" t="n"/>
      <c r="N450" s="17" t="n"/>
      <c r="O450" s="115" t="n"/>
      <c r="P450" s="16" t="n"/>
      <c r="T450" s="17" t="n"/>
      <c r="U450" s="115" t="n"/>
    </row>
    <row r="451" hidden="1" outlineLevel="2">
      <c r="A451" s="8" t="n"/>
      <c r="B451" s="22" t="n"/>
      <c r="C451" s="115" t="n"/>
      <c r="D451" s="16" t="n"/>
      <c r="H451" s="17" t="n"/>
      <c r="I451" s="115" t="n"/>
      <c r="J451" s="16" t="n"/>
      <c r="N451" s="17" t="n"/>
      <c r="O451" s="115" t="n"/>
      <c r="P451" s="16" t="n"/>
      <c r="T451" s="17" t="n"/>
      <c r="U451" s="115" t="n"/>
    </row>
    <row r="452" hidden="1" outlineLevel="2">
      <c r="A452" s="8" t="n"/>
      <c r="B452" s="22" t="n"/>
      <c r="C452" s="115" t="n"/>
      <c r="D452" s="16" t="n"/>
      <c r="H452" s="17" t="n"/>
      <c r="I452" s="115" t="n"/>
      <c r="J452" s="16" t="n"/>
      <c r="N452" s="17" t="n"/>
      <c r="O452" s="115" t="n"/>
      <c r="P452" s="16" t="n"/>
      <c r="T452" s="17" t="n"/>
      <c r="U452" s="115" t="n"/>
    </row>
    <row r="453" hidden="1" outlineLevel="2">
      <c r="A453" s="8" t="n"/>
      <c r="B453" s="22" t="n"/>
      <c r="C453" s="115" t="n"/>
      <c r="D453" s="16" t="n"/>
      <c r="H453" s="17" t="n"/>
      <c r="I453" s="115" t="n"/>
      <c r="J453" s="16" t="n"/>
      <c r="N453" s="17" t="n"/>
      <c r="O453" s="115" t="n"/>
      <c r="P453" s="16" t="n"/>
      <c r="T453" s="17" t="n"/>
      <c r="U453" s="115" t="n"/>
    </row>
    <row r="454" hidden="1" outlineLevel="2">
      <c r="A454" s="8" t="n"/>
      <c r="B454" s="22" t="n"/>
      <c r="C454" s="115" t="n"/>
      <c r="D454" s="16" t="n"/>
      <c r="H454" s="17" t="n"/>
      <c r="I454" s="115" t="n"/>
      <c r="J454" s="16" t="n"/>
      <c r="N454" s="17" t="n"/>
      <c r="O454" s="115" t="n"/>
      <c r="P454" s="16" t="n"/>
      <c r="T454" s="17" t="n"/>
      <c r="U454" s="115" t="n"/>
    </row>
    <row r="455" hidden="1" outlineLevel="2">
      <c r="A455" s="8" t="n"/>
      <c r="B455" s="22" t="n"/>
      <c r="C455" s="115" t="n"/>
      <c r="D455" s="16" t="n"/>
      <c r="H455" s="17" t="n"/>
      <c r="I455" s="115" t="n"/>
      <c r="J455" s="16" t="n"/>
      <c r="N455" s="17" t="n"/>
      <c r="O455" s="115" t="n"/>
      <c r="P455" s="16" t="n"/>
      <c r="T455" s="17" t="n"/>
      <c r="U455" s="115" t="n"/>
    </row>
    <row r="456" hidden="1" outlineLevel="2">
      <c r="A456" s="8" t="n"/>
      <c r="B456" s="22" t="n"/>
      <c r="C456" s="115" t="n"/>
      <c r="D456" s="18" t="n"/>
      <c r="E456" s="19" t="n"/>
      <c r="F456" s="19" t="n"/>
      <c r="G456" s="19" t="n"/>
      <c r="H456" s="20" t="n"/>
      <c r="I456" s="115" t="n"/>
      <c r="J456" s="18" t="n"/>
      <c r="K456" s="19" t="n"/>
      <c r="L456" s="19" t="n"/>
      <c r="M456" s="19" t="n"/>
      <c r="N456" s="20" t="n"/>
      <c r="O456" s="115" t="n"/>
      <c r="P456" s="18" t="n"/>
      <c r="Q456" s="19" t="n"/>
      <c r="R456" s="19" t="n"/>
      <c r="S456" s="19" t="n"/>
      <c r="T456" s="20" t="n"/>
      <c r="U456" s="115" t="n"/>
    </row>
    <row r="457" hidden="1" outlineLevel="2">
      <c r="A457" s="8" t="n"/>
      <c r="B457" s="22" t="n"/>
      <c r="C457" s="115" t="n"/>
      <c r="D457" s="52" t="inlineStr">
        <is>
          <t>O REFINO ESCALA</t>
        </is>
      </c>
      <c r="E457" s="133">
        <f>DADOS_AM!$GV$5</f>
        <v/>
      </c>
      <c r="F457" s="11" t="n"/>
      <c r="G457" s="11" t="n"/>
      <c r="H457" s="12" t="n"/>
      <c r="I457" s="115" t="n"/>
      <c r="J457" s="52" t="inlineStr">
        <is>
          <t>O REFINO ESCALA</t>
        </is>
      </c>
      <c r="K457" s="133">
        <f>DADOS_AM!$GV$6</f>
        <v/>
      </c>
      <c r="L457" s="11" t="n"/>
      <c r="M457" s="11" t="n"/>
      <c r="N457" s="12" t="n"/>
      <c r="O457" s="115" t="n"/>
      <c r="P457" s="52" t="inlineStr">
        <is>
          <t>O REFINO ESCALA</t>
        </is>
      </c>
      <c r="Q457" s="133">
        <f>DADOS_AM!$GV$7</f>
        <v/>
      </c>
      <c r="R457" s="11" t="n"/>
      <c r="S457" s="11" t="n"/>
      <c r="T457" s="12" t="n"/>
      <c r="U457" s="115" t="n"/>
    </row>
    <row r="458" hidden="1" outlineLevel="2">
      <c r="A458" s="8" t="n"/>
      <c r="B458" s="22" t="n"/>
      <c r="C458" s="115" t="n"/>
      <c r="D458" s="52" t="inlineStr">
        <is>
          <t>SEU TEXTO</t>
        </is>
      </c>
      <c r="E458" s="120" t="n"/>
      <c r="F458" s="14" t="n"/>
      <c r="G458" s="14" t="n"/>
      <c r="H458" s="15" t="n"/>
      <c r="I458" s="115" t="n"/>
      <c r="J458" s="52" t="inlineStr">
        <is>
          <t>SEU TEXTO</t>
        </is>
      </c>
      <c r="K458" s="120" t="n"/>
      <c r="L458" s="14" t="n"/>
      <c r="M458" s="14" t="n"/>
      <c r="N458" s="15" t="n"/>
      <c r="O458" s="115" t="n"/>
      <c r="P458" s="52" t="inlineStr">
        <is>
          <t>SEU TEXTO</t>
        </is>
      </c>
      <c r="Q458" s="120" t="n"/>
      <c r="R458" s="14" t="n"/>
      <c r="S458" s="14" t="n"/>
      <c r="T458" s="15" t="n"/>
      <c r="U458" s="115" t="n"/>
    </row>
    <row r="459" hidden="1" outlineLevel="2">
      <c r="A459" s="8" t="n"/>
      <c r="B459" s="22" t="n"/>
      <c r="C459" s="115" t="n"/>
      <c r="D459" s="122" t="n"/>
      <c r="E459" s="18" t="n"/>
      <c r="F459" s="19" t="n"/>
      <c r="G459" s="19" t="n"/>
      <c r="H459" s="20" t="n"/>
      <c r="I459" s="115" t="n"/>
      <c r="J459" s="122" t="n"/>
      <c r="K459" s="18" t="n"/>
      <c r="L459" s="19" t="n"/>
      <c r="M459" s="19" t="n"/>
      <c r="N459" s="20" t="n"/>
      <c r="O459" s="115" t="n"/>
      <c r="P459" s="122" t="n"/>
      <c r="Q459" s="18" t="n"/>
      <c r="R459" s="19" t="n"/>
      <c r="S459" s="19" t="n"/>
      <c r="T459" s="20" t="n"/>
      <c r="U459" s="115" t="n"/>
    </row>
    <row r="460" outlineLevel="1">
      <c r="A460" s="8" t="n"/>
      <c r="B460" s="22" t="n"/>
      <c r="C460" s="115" t="n"/>
      <c r="D460" s="115" t="n"/>
      <c r="E460" s="115" t="n"/>
      <c r="F460" s="115" t="n"/>
      <c r="G460" s="115" t="n"/>
      <c r="H460" s="115" t="n"/>
      <c r="I460" s="115" t="n"/>
      <c r="J460" s="115" t="n"/>
      <c r="K460" s="115" t="n"/>
      <c r="L460" s="115" t="n"/>
      <c r="M460" s="115" t="n"/>
      <c r="N460" s="115" t="n"/>
      <c r="O460" s="115" t="n"/>
      <c r="P460" s="115" t="n"/>
      <c r="Q460" s="115" t="n"/>
      <c r="R460" s="115" t="n"/>
      <c r="S460" s="115" t="n"/>
      <c r="T460" s="115" t="n"/>
      <c r="U460" s="115" t="n"/>
    </row>
    <row r="461" outlineLevel="1">
      <c r="A461" s="8" t="n"/>
      <c r="B461" s="22" t="n"/>
      <c r="C461" s="115" t="n"/>
      <c r="D461" s="130" t="inlineStr">
        <is>
          <t>APTIDÕES 7 A 12 · abra quando faltar lugar</t>
        </is>
      </c>
      <c r="E461" s="11" t="n"/>
      <c r="F461" s="11" t="n"/>
      <c r="G461" s="11" t="n"/>
      <c r="H461" s="11" t="n"/>
      <c r="I461" s="11" t="n"/>
      <c r="J461" s="11" t="n"/>
      <c r="K461" s="11" t="n"/>
      <c r="L461" s="11" t="n"/>
      <c r="M461" s="11" t="n"/>
      <c r="N461" s="11" t="n"/>
      <c r="O461" s="11" t="n"/>
      <c r="P461" s="11" t="n"/>
      <c r="Q461" s="11" t="n"/>
      <c r="R461" s="11" t="n"/>
      <c r="S461" s="11" t="n"/>
      <c r="T461" s="12" t="n"/>
      <c r="U461" s="115" t="n"/>
    </row>
    <row r="462" hidden="1" outlineLevel="2">
      <c r="A462" s="8" t="n"/>
      <c r="B462" s="22" t="n"/>
      <c r="C462" s="115" t="n"/>
      <c r="D462" s="115" t="n"/>
      <c r="E462" s="115" t="n"/>
      <c r="F462" s="115" t="n"/>
      <c r="G462" s="115" t="n"/>
      <c r="H462" s="115" t="n"/>
      <c r="I462" s="115" t="n"/>
      <c r="J462" s="115" t="n"/>
      <c r="K462" s="115" t="n"/>
      <c r="L462" s="115" t="n"/>
      <c r="M462" s="115" t="n"/>
      <c r="N462" s="115" t="n"/>
      <c r="O462" s="115" t="n"/>
      <c r="P462" s="115" t="n"/>
      <c r="Q462" s="115" t="n"/>
      <c r="R462" s="115" t="n"/>
      <c r="S462" s="115" t="n"/>
      <c r="T462" s="115" t="n"/>
      <c r="U462" s="115" t="n"/>
    </row>
    <row r="463" hidden="1" outlineLevel="2">
      <c r="A463" s="8" t="n"/>
      <c r="B463" s="22" t="n"/>
      <c r="C463" s="115" t="n"/>
      <c r="D463" s="127" t="n"/>
      <c r="E463" s="11" t="n"/>
      <c r="F463" s="12" t="n"/>
      <c r="G463" s="126">
        <f>DADOS_AM!$GU$8</f>
        <v/>
      </c>
      <c r="H463" s="12" t="n"/>
      <c r="I463" s="115" t="n"/>
      <c r="J463" s="127" t="n"/>
      <c r="K463" s="11" t="n"/>
      <c r="L463" s="12" t="n"/>
      <c r="M463" s="126">
        <f>DADOS_AM!$GU$9</f>
        <v/>
      </c>
      <c r="N463" s="12" t="n"/>
      <c r="O463" s="115" t="n"/>
      <c r="P463" s="127" t="n"/>
      <c r="Q463" s="11" t="n"/>
      <c r="R463" s="12" t="n"/>
      <c r="S463" s="126">
        <f>DADOS_AM!$GU$10</f>
        <v/>
      </c>
      <c r="T463" s="12" t="n"/>
      <c r="U463" s="115" t="n"/>
    </row>
    <row r="464" hidden="1" outlineLevel="2">
      <c r="A464" s="8" t="n"/>
      <c r="B464" s="22" t="n"/>
      <c r="C464" s="115" t="n"/>
      <c r="D464" s="131">
        <f>DADOS_AM!$GT$8</f>
        <v/>
      </c>
      <c r="E464" s="14" t="n"/>
      <c r="F464" s="14" t="n"/>
      <c r="G464" s="14" t="n"/>
      <c r="H464" s="15" t="n"/>
      <c r="I464" s="115" t="n"/>
      <c r="J464" s="131">
        <f>DADOS_AM!$GT$9</f>
        <v/>
      </c>
      <c r="K464" s="14" t="n"/>
      <c r="L464" s="14" t="n"/>
      <c r="M464" s="14" t="n"/>
      <c r="N464" s="15" t="n"/>
      <c r="O464" s="115" t="n"/>
      <c r="P464" s="131">
        <f>DADOS_AM!$GT$10</f>
        <v/>
      </c>
      <c r="Q464" s="14" t="n"/>
      <c r="R464" s="14" t="n"/>
      <c r="S464" s="14" t="n"/>
      <c r="T464" s="15" t="n"/>
      <c r="U464" s="115" t="n"/>
    </row>
    <row r="465" hidden="1" outlineLevel="2">
      <c r="A465" s="8" t="n"/>
      <c r="B465" s="22" t="n"/>
      <c r="C465" s="115" t="n"/>
      <c r="D465" s="18" t="n"/>
      <c r="E465" s="19" t="n"/>
      <c r="F465" s="19" t="n"/>
      <c r="G465" s="19" t="n"/>
      <c r="H465" s="20" t="n"/>
      <c r="I465" s="115" t="n"/>
      <c r="J465" s="18" t="n"/>
      <c r="K465" s="19" t="n"/>
      <c r="L465" s="19" t="n"/>
      <c r="M465" s="19" t="n"/>
      <c r="N465" s="20" t="n"/>
      <c r="O465" s="115" t="n"/>
      <c r="P465" s="18" t="n"/>
      <c r="Q465" s="19" t="n"/>
      <c r="R465" s="19" t="n"/>
      <c r="S465" s="19" t="n"/>
      <c r="T465" s="20" t="n"/>
      <c r="U465" s="115" t="n"/>
    </row>
    <row r="466" hidden="1" outlineLevel="3">
      <c r="A466" s="8" t="n"/>
      <c r="B466" s="22" t="n"/>
      <c r="C466" s="115" t="n"/>
      <c r="D466" s="52" t="inlineStr">
        <is>
          <t>O QUE FAZ</t>
        </is>
      </c>
      <c r="E466" s="11" t="n"/>
      <c r="F466" s="11" t="n"/>
      <c r="G466" s="11" t="n"/>
      <c r="H466" s="12" t="n"/>
      <c r="I466" s="115" t="n"/>
      <c r="J466" s="52" t="inlineStr">
        <is>
          <t>O QUE FAZ</t>
        </is>
      </c>
      <c r="K466" s="11" t="n"/>
      <c r="L466" s="11" t="n"/>
      <c r="M466" s="11" t="n"/>
      <c r="N466" s="12" t="n"/>
      <c r="O466" s="115" t="n"/>
      <c r="P466" s="52" t="inlineStr">
        <is>
          <t>O QUE FAZ</t>
        </is>
      </c>
      <c r="Q466" s="11" t="n"/>
      <c r="R466" s="11" t="n"/>
      <c r="S466" s="11" t="n"/>
      <c r="T466" s="12" t="n"/>
      <c r="U466" s="115" t="n"/>
    </row>
    <row r="467" hidden="1" outlineLevel="3">
      <c r="A467" s="8" t="n"/>
      <c r="B467" s="22" t="n"/>
      <c r="C467" s="115" t="n"/>
      <c r="D467" s="132">
        <f>DADOS_AM!$GW$8</f>
        <v/>
      </c>
      <c r="E467" s="14" t="n"/>
      <c r="F467" s="14" t="n"/>
      <c r="G467" s="14" t="n"/>
      <c r="H467" s="15" t="n"/>
      <c r="I467" s="115" t="n"/>
      <c r="J467" s="132">
        <f>DADOS_AM!$GW$9</f>
        <v/>
      </c>
      <c r="K467" s="14" t="n"/>
      <c r="L467" s="14" t="n"/>
      <c r="M467" s="14" t="n"/>
      <c r="N467" s="15" t="n"/>
      <c r="O467" s="115" t="n"/>
      <c r="P467" s="132">
        <f>DADOS_AM!$GW$10</f>
        <v/>
      </c>
      <c r="Q467" s="14" t="n"/>
      <c r="R467" s="14" t="n"/>
      <c r="S467" s="14" t="n"/>
      <c r="T467" s="15" t="n"/>
      <c r="U467" s="115" t="n"/>
    </row>
    <row r="468" hidden="1" outlineLevel="3">
      <c r="A468" s="8" t="n"/>
      <c r="B468" s="22" t="n"/>
      <c r="C468" s="115" t="n"/>
      <c r="D468" s="16" t="n"/>
      <c r="H468" s="17" t="n"/>
      <c r="I468" s="115" t="n"/>
      <c r="J468" s="16" t="n"/>
      <c r="N468" s="17" t="n"/>
      <c r="O468" s="115" t="n"/>
      <c r="P468" s="16" t="n"/>
      <c r="T468" s="17" t="n"/>
      <c r="U468" s="115" t="n"/>
    </row>
    <row r="469" hidden="1" outlineLevel="3">
      <c r="A469" s="8" t="n"/>
      <c r="B469" s="22" t="n"/>
      <c r="C469" s="115" t="n"/>
      <c r="D469" s="16" t="n"/>
      <c r="H469" s="17" t="n"/>
      <c r="I469" s="115" t="n"/>
      <c r="J469" s="16" t="n"/>
      <c r="N469" s="17" t="n"/>
      <c r="O469" s="115" t="n"/>
      <c r="P469" s="16" t="n"/>
      <c r="T469" s="17" t="n"/>
      <c r="U469" s="115" t="n"/>
    </row>
    <row r="470" hidden="1" outlineLevel="3">
      <c r="A470" s="8" t="n"/>
      <c r="B470" s="22" t="n"/>
      <c r="C470" s="115" t="n"/>
      <c r="D470" s="16" t="n"/>
      <c r="H470" s="17" t="n"/>
      <c r="I470" s="115" t="n"/>
      <c r="J470" s="16" t="n"/>
      <c r="N470" s="17" t="n"/>
      <c r="O470" s="115" t="n"/>
      <c r="P470" s="16" t="n"/>
      <c r="T470" s="17" t="n"/>
      <c r="U470" s="115" t="n"/>
    </row>
    <row r="471" hidden="1" outlineLevel="3">
      <c r="A471" s="8" t="n"/>
      <c r="B471" s="22" t="n"/>
      <c r="C471" s="115" t="n"/>
      <c r="D471" s="16" t="n"/>
      <c r="H471" s="17" t="n"/>
      <c r="I471" s="115" t="n"/>
      <c r="J471" s="16" t="n"/>
      <c r="N471" s="17" t="n"/>
      <c r="O471" s="115" t="n"/>
      <c r="P471" s="16" t="n"/>
      <c r="T471" s="17" t="n"/>
      <c r="U471" s="115" t="n"/>
    </row>
    <row r="472" hidden="1" outlineLevel="3">
      <c r="A472" s="8" t="n"/>
      <c r="B472" s="22" t="n"/>
      <c r="C472" s="115" t="n"/>
      <c r="D472" s="16" t="n"/>
      <c r="H472" s="17" t="n"/>
      <c r="I472" s="115" t="n"/>
      <c r="J472" s="16" t="n"/>
      <c r="N472" s="17" t="n"/>
      <c r="O472" s="115" t="n"/>
      <c r="P472" s="16" t="n"/>
      <c r="T472" s="17" t="n"/>
      <c r="U472" s="115" t="n"/>
    </row>
    <row r="473" hidden="1" outlineLevel="3">
      <c r="A473" s="8" t="n"/>
      <c r="B473" s="22" t="n"/>
      <c r="C473" s="115" t="n"/>
      <c r="D473" s="16" t="n"/>
      <c r="H473" s="17" t="n"/>
      <c r="I473" s="115" t="n"/>
      <c r="J473" s="16" t="n"/>
      <c r="N473" s="17" t="n"/>
      <c r="O473" s="115" t="n"/>
      <c r="P473" s="16" t="n"/>
      <c r="T473" s="17" t="n"/>
      <c r="U473" s="115" t="n"/>
    </row>
    <row r="474" hidden="1" outlineLevel="3">
      <c r="A474" s="8" t="n"/>
      <c r="B474" s="22" t="n"/>
      <c r="C474" s="115" t="n"/>
      <c r="D474" s="16" t="n"/>
      <c r="H474" s="17" t="n"/>
      <c r="I474" s="115" t="n"/>
      <c r="J474" s="16" t="n"/>
      <c r="N474" s="17" t="n"/>
      <c r="O474" s="115" t="n"/>
      <c r="P474" s="16" t="n"/>
      <c r="T474" s="17" t="n"/>
      <c r="U474" s="115" t="n"/>
    </row>
    <row r="475" hidden="1" outlineLevel="3">
      <c r="A475" s="8" t="n"/>
      <c r="B475" s="22" t="n"/>
      <c r="C475" s="115" t="n"/>
      <c r="D475" s="16" t="n"/>
      <c r="H475" s="17" t="n"/>
      <c r="I475" s="115" t="n"/>
      <c r="J475" s="16" t="n"/>
      <c r="N475" s="17" t="n"/>
      <c r="O475" s="115" t="n"/>
      <c r="P475" s="16" t="n"/>
      <c r="T475" s="17" t="n"/>
      <c r="U475" s="115" t="n"/>
    </row>
    <row r="476" hidden="1" outlineLevel="3">
      <c r="A476" s="8" t="n"/>
      <c r="B476" s="22" t="n"/>
      <c r="C476" s="115" t="n"/>
      <c r="D476" s="16" t="n"/>
      <c r="H476" s="17" t="n"/>
      <c r="I476" s="115" t="n"/>
      <c r="J476" s="16" t="n"/>
      <c r="N476" s="17" t="n"/>
      <c r="O476" s="115" t="n"/>
      <c r="P476" s="16" t="n"/>
      <c r="T476" s="17" t="n"/>
      <c r="U476" s="115" t="n"/>
    </row>
    <row r="477" hidden="1" outlineLevel="3">
      <c r="A477" s="8" t="n"/>
      <c r="B477" s="22" t="n"/>
      <c r="C477" s="115" t="n"/>
      <c r="D477" s="16" t="n"/>
      <c r="H477" s="17" t="n"/>
      <c r="I477" s="115" t="n"/>
      <c r="J477" s="16" t="n"/>
      <c r="N477" s="17" t="n"/>
      <c r="O477" s="115" t="n"/>
      <c r="P477" s="16" t="n"/>
      <c r="T477" s="17" t="n"/>
      <c r="U477" s="115" t="n"/>
    </row>
    <row r="478" hidden="1" outlineLevel="3">
      <c r="A478" s="8" t="n"/>
      <c r="B478" s="22" t="n"/>
      <c r="C478" s="115" t="n"/>
      <c r="D478" s="18" t="n"/>
      <c r="E478" s="19" t="n"/>
      <c r="F478" s="19" t="n"/>
      <c r="G478" s="19" t="n"/>
      <c r="H478" s="20" t="n"/>
      <c r="I478" s="115" t="n"/>
      <c r="J478" s="18" t="n"/>
      <c r="K478" s="19" t="n"/>
      <c r="L478" s="19" t="n"/>
      <c r="M478" s="19" t="n"/>
      <c r="N478" s="20" t="n"/>
      <c r="O478" s="115" t="n"/>
      <c r="P478" s="18" t="n"/>
      <c r="Q478" s="19" t="n"/>
      <c r="R478" s="19" t="n"/>
      <c r="S478" s="19" t="n"/>
      <c r="T478" s="20" t="n"/>
      <c r="U478" s="115" t="n"/>
    </row>
    <row r="479" hidden="1" outlineLevel="3">
      <c r="A479" s="8" t="n"/>
      <c r="B479" s="22" t="n"/>
      <c r="C479" s="115" t="n"/>
      <c r="D479" s="52" t="inlineStr">
        <is>
          <t>O REFINO ESCALA</t>
        </is>
      </c>
      <c r="E479" s="133">
        <f>DADOS_AM!$GV$8</f>
        <v/>
      </c>
      <c r="F479" s="11" t="n"/>
      <c r="G479" s="11" t="n"/>
      <c r="H479" s="12" t="n"/>
      <c r="I479" s="115" t="n"/>
      <c r="J479" s="52" t="inlineStr">
        <is>
          <t>O REFINO ESCALA</t>
        </is>
      </c>
      <c r="K479" s="133">
        <f>DADOS_AM!$GV$9</f>
        <v/>
      </c>
      <c r="L479" s="11" t="n"/>
      <c r="M479" s="11" t="n"/>
      <c r="N479" s="12" t="n"/>
      <c r="O479" s="115" t="n"/>
      <c r="P479" s="52" t="inlineStr">
        <is>
          <t>O REFINO ESCALA</t>
        </is>
      </c>
      <c r="Q479" s="133">
        <f>DADOS_AM!$GV$10</f>
        <v/>
      </c>
      <c r="R479" s="11" t="n"/>
      <c r="S479" s="11" t="n"/>
      <c r="T479" s="12" t="n"/>
      <c r="U479" s="115" t="n"/>
    </row>
    <row r="480" hidden="1" outlineLevel="3">
      <c r="A480" s="8" t="n"/>
      <c r="B480" s="22" t="n"/>
      <c r="C480" s="115" t="n"/>
      <c r="D480" s="52" t="inlineStr">
        <is>
          <t>SEU TEXTO</t>
        </is>
      </c>
      <c r="E480" s="120" t="n"/>
      <c r="F480" s="14" t="n"/>
      <c r="G480" s="14" t="n"/>
      <c r="H480" s="15" t="n"/>
      <c r="I480" s="115" t="n"/>
      <c r="J480" s="52" t="inlineStr">
        <is>
          <t>SEU TEXTO</t>
        </is>
      </c>
      <c r="K480" s="120" t="n"/>
      <c r="L480" s="14" t="n"/>
      <c r="M480" s="14" t="n"/>
      <c r="N480" s="15" t="n"/>
      <c r="O480" s="115" t="n"/>
      <c r="P480" s="52" t="inlineStr">
        <is>
          <t>SEU TEXTO</t>
        </is>
      </c>
      <c r="Q480" s="120" t="n"/>
      <c r="R480" s="14" t="n"/>
      <c r="S480" s="14" t="n"/>
      <c r="T480" s="15" t="n"/>
      <c r="U480" s="115" t="n"/>
    </row>
    <row r="481" hidden="1" outlineLevel="3">
      <c r="A481" s="8" t="n"/>
      <c r="B481" s="22" t="n"/>
      <c r="C481" s="115" t="n"/>
      <c r="D481" s="122" t="n"/>
      <c r="E481" s="18" t="n"/>
      <c r="F481" s="19" t="n"/>
      <c r="G481" s="19" t="n"/>
      <c r="H481" s="20" t="n"/>
      <c r="I481" s="115" t="n"/>
      <c r="J481" s="122" t="n"/>
      <c r="K481" s="18" t="n"/>
      <c r="L481" s="19" t="n"/>
      <c r="M481" s="19" t="n"/>
      <c r="N481" s="20" t="n"/>
      <c r="O481" s="115" t="n"/>
      <c r="P481" s="122" t="n"/>
      <c r="Q481" s="18" t="n"/>
      <c r="R481" s="19" t="n"/>
      <c r="S481" s="19" t="n"/>
      <c r="T481" s="20" t="n"/>
      <c r="U481" s="115" t="n"/>
    </row>
    <row r="482" hidden="1" outlineLevel="2">
      <c r="A482" s="8" t="n"/>
      <c r="B482" s="22" t="n"/>
      <c r="C482" s="115" t="n"/>
      <c r="D482" s="115" t="n"/>
      <c r="E482" s="115" t="n"/>
      <c r="F482" s="115" t="n"/>
      <c r="G482" s="115" t="n"/>
      <c r="H482" s="115" t="n"/>
      <c r="I482" s="115" t="n"/>
      <c r="J482" s="115" t="n"/>
      <c r="K482" s="115" t="n"/>
      <c r="L482" s="115" t="n"/>
      <c r="M482" s="115" t="n"/>
      <c r="N482" s="115" t="n"/>
      <c r="O482" s="115" t="n"/>
      <c r="P482" s="115" t="n"/>
      <c r="Q482" s="115" t="n"/>
      <c r="R482" s="115" t="n"/>
      <c r="S482" s="115" t="n"/>
      <c r="T482" s="115" t="n"/>
      <c r="U482" s="115" t="n"/>
    </row>
    <row r="483" hidden="1" outlineLevel="2">
      <c r="A483" s="8" t="n"/>
      <c r="B483" s="22" t="n"/>
      <c r="C483" s="115" t="n"/>
      <c r="D483" s="127" t="n"/>
      <c r="E483" s="11" t="n"/>
      <c r="F483" s="12" t="n"/>
      <c r="G483" s="126">
        <f>DADOS_AM!$GU$11</f>
        <v/>
      </c>
      <c r="H483" s="12" t="n"/>
      <c r="I483" s="115" t="n"/>
      <c r="J483" s="127" t="n"/>
      <c r="K483" s="11" t="n"/>
      <c r="L483" s="12" t="n"/>
      <c r="M483" s="126">
        <f>DADOS_AM!$GU$12</f>
        <v/>
      </c>
      <c r="N483" s="12" t="n"/>
      <c r="O483" s="115" t="n"/>
      <c r="P483" s="127" t="n"/>
      <c r="Q483" s="11" t="n"/>
      <c r="R483" s="12" t="n"/>
      <c r="S483" s="126">
        <f>DADOS_AM!$GU$13</f>
        <v/>
      </c>
      <c r="T483" s="12" t="n"/>
      <c r="U483" s="115" t="n"/>
    </row>
    <row r="484" hidden="1" outlineLevel="2">
      <c r="A484" s="8" t="n"/>
      <c r="B484" s="22" t="n"/>
      <c r="C484" s="115" t="n"/>
      <c r="D484" s="131">
        <f>DADOS_AM!$GT$11</f>
        <v/>
      </c>
      <c r="E484" s="14" t="n"/>
      <c r="F484" s="14" t="n"/>
      <c r="G484" s="14" t="n"/>
      <c r="H484" s="15" t="n"/>
      <c r="I484" s="115" t="n"/>
      <c r="J484" s="131">
        <f>DADOS_AM!$GT$12</f>
        <v/>
      </c>
      <c r="K484" s="14" t="n"/>
      <c r="L484" s="14" t="n"/>
      <c r="M484" s="14" t="n"/>
      <c r="N484" s="15" t="n"/>
      <c r="O484" s="115" t="n"/>
      <c r="P484" s="131">
        <f>DADOS_AM!$GT$13</f>
        <v/>
      </c>
      <c r="Q484" s="14" t="n"/>
      <c r="R484" s="14" t="n"/>
      <c r="S484" s="14" t="n"/>
      <c r="T484" s="15" t="n"/>
      <c r="U484" s="115" t="n"/>
    </row>
    <row r="485" hidden="1" outlineLevel="2">
      <c r="A485" s="8" t="n"/>
      <c r="B485" s="22" t="n"/>
      <c r="C485" s="115" t="n"/>
      <c r="D485" s="18" t="n"/>
      <c r="E485" s="19" t="n"/>
      <c r="F485" s="19" t="n"/>
      <c r="G485" s="19" t="n"/>
      <c r="H485" s="20" t="n"/>
      <c r="I485" s="115" t="n"/>
      <c r="J485" s="18" t="n"/>
      <c r="K485" s="19" t="n"/>
      <c r="L485" s="19" t="n"/>
      <c r="M485" s="19" t="n"/>
      <c r="N485" s="20" t="n"/>
      <c r="O485" s="115" t="n"/>
      <c r="P485" s="18" t="n"/>
      <c r="Q485" s="19" t="n"/>
      <c r="R485" s="19" t="n"/>
      <c r="S485" s="19" t="n"/>
      <c r="T485" s="20" t="n"/>
      <c r="U485" s="115" t="n"/>
    </row>
    <row r="486" hidden="1" outlineLevel="3">
      <c r="A486" s="8" t="n"/>
      <c r="B486" s="22" t="n"/>
      <c r="C486" s="115" t="n"/>
      <c r="D486" s="52" t="inlineStr">
        <is>
          <t>O QUE FAZ</t>
        </is>
      </c>
      <c r="E486" s="11" t="n"/>
      <c r="F486" s="11" t="n"/>
      <c r="G486" s="11" t="n"/>
      <c r="H486" s="12" t="n"/>
      <c r="I486" s="115" t="n"/>
      <c r="J486" s="52" t="inlineStr">
        <is>
          <t>O QUE FAZ</t>
        </is>
      </c>
      <c r="K486" s="11" t="n"/>
      <c r="L486" s="11" t="n"/>
      <c r="M486" s="11" t="n"/>
      <c r="N486" s="12" t="n"/>
      <c r="O486" s="115" t="n"/>
      <c r="P486" s="52" t="inlineStr">
        <is>
          <t>O QUE FAZ</t>
        </is>
      </c>
      <c r="Q486" s="11" t="n"/>
      <c r="R486" s="11" t="n"/>
      <c r="S486" s="11" t="n"/>
      <c r="T486" s="12" t="n"/>
      <c r="U486" s="115" t="n"/>
    </row>
    <row r="487" hidden="1" outlineLevel="3">
      <c r="A487" s="8" t="n"/>
      <c r="B487" s="22" t="n"/>
      <c r="C487" s="115" t="n"/>
      <c r="D487" s="132">
        <f>DADOS_AM!$GW$11</f>
        <v/>
      </c>
      <c r="E487" s="14" t="n"/>
      <c r="F487" s="14" t="n"/>
      <c r="G487" s="14" t="n"/>
      <c r="H487" s="15" t="n"/>
      <c r="I487" s="115" t="n"/>
      <c r="J487" s="132">
        <f>DADOS_AM!$GW$12</f>
        <v/>
      </c>
      <c r="K487" s="14" t="n"/>
      <c r="L487" s="14" t="n"/>
      <c r="M487" s="14" t="n"/>
      <c r="N487" s="15" t="n"/>
      <c r="O487" s="115" t="n"/>
      <c r="P487" s="132">
        <f>DADOS_AM!$GW$13</f>
        <v/>
      </c>
      <c r="Q487" s="14" t="n"/>
      <c r="R487" s="14" t="n"/>
      <c r="S487" s="14" t="n"/>
      <c r="T487" s="15" t="n"/>
      <c r="U487" s="115" t="n"/>
    </row>
    <row r="488" hidden="1" outlineLevel="3">
      <c r="A488" s="8" t="n"/>
      <c r="B488" s="22" t="n"/>
      <c r="C488" s="115" t="n"/>
      <c r="D488" s="16" t="n"/>
      <c r="H488" s="17" t="n"/>
      <c r="I488" s="115" t="n"/>
      <c r="J488" s="16" t="n"/>
      <c r="N488" s="17" t="n"/>
      <c r="O488" s="115" t="n"/>
      <c r="P488" s="16" t="n"/>
      <c r="T488" s="17" t="n"/>
      <c r="U488" s="115" t="n"/>
    </row>
    <row r="489" hidden="1" outlineLevel="3">
      <c r="A489" s="8" t="n"/>
      <c r="B489" s="22" t="n"/>
      <c r="C489" s="115" t="n"/>
      <c r="D489" s="16" t="n"/>
      <c r="H489" s="17" t="n"/>
      <c r="I489" s="115" t="n"/>
      <c r="J489" s="16" t="n"/>
      <c r="N489" s="17" t="n"/>
      <c r="O489" s="115" t="n"/>
      <c r="P489" s="16" t="n"/>
      <c r="T489" s="17" t="n"/>
      <c r="U489" s="115" t="n"/>
    </row>
    <row r="490" hidden="1" outlineLevel="3">
      <c r="A490" s="8" t="n"/>
      <c r="B490" s="22" t="n"/>
      <c r="C490" s="115" t="n"/>
      <c r="D490" s="16" t="n"/>
      <c r="H490" s="17" t="n"/>
      <c r="I490" s="115" t="n"/>
      <c r="J490" s="16" t="n"/>
      <c r="N490" s="17" t="n"/>
      <c r="O490" s="115" t="n"/>
      <c r="P490" s="16" t="n"/>
      <c r="T490" s="17" t="n"/>
      <c r="U490" s="115" t="n"/>
    </row>
    <row r="491" hidden="1" outlineLevel="3">
      <c r="A491" s="8" t="n"/>
      <c r="B491" s="22" t="n"/>
      <c r="C491" s="115" t="n"/>
      <c r="D491" s="16" t="n"/>
      <c r="H491" s="17" t="n"/>
      <c r="I491" s="115" t="n"/>
      <c r="J491" s="16" t="n"/>
      <c r="N491" s="17" t="n"/>
      <c r="O491" s="115" t="n"/>
      <c r="P491" s="16" t="n"/>
      <c r="T491" s="17" t="n"/>
      <c r="U491" s="115" t="n"/>
    </row>
    <row r="492" hidden="1" outlineLevel="3">
      <c r="A492" s="8" t="n"/>
      <c r="B492" s="22" t="n"/>
      <c r="C492" s="115" t="n"/>
      <c r="D492" s="16" t="n"/>
      <c r="H492" s="17" t="n"/>
      <c r="I492" s="115" t="n"/>
      <c r="J492" s="16" t="n"/>
      <c r="N492" s="17" t="n"/>
      <c r="O492" s="115" t="n"/>
      <c r="P492" s="16" t="n"/>
      <c r="T492" s="17" t="n"/>
      <c r="U492" s="115" t="n"/>
    </row>
    <row r="493" hidden="1" outlineLevel="3">
      <c r="A493" s="8" t="n"/>
      <c r="B493" s="22" t="n"/>
      <c r="C493" s="115" t="n"/>
      <c r="D493" s="16" t="n"/>
      <c r="H493" s="17" t="n"/>
      <c r="I493" s="115" t="n"/>
      <c r="J493" s="16" t="n"/>
      <c r="N493" s="17" t="n"/>
      <c r="O493" s="115" t="n"/>
      <c r="P493" s="16" t="n"/>
      <c r="T493" s="17" t="n"/>
      <c r="U493" s="115" t="n"/>
    </row>
    <row r="494" hidden="1" outlineLevel="3">
      <c r="A494" s="8" t="n"/>
      <c r="B494" s="22" t="n"/>
      <c r="C494" s="115" t="n"/>
      <c r="D494" s="16" t="n"/>
      <c r="H494" s="17" t="n"/>
      <c r="I494" s="115" t="n"/>
      <c r="J494" s="16" t="n"/>
      <c r="N494" s="17" t="n"/>
      <c r="O494" s="115" t="n"/>
      <c r="P494" s="16" t="n"/>
      <c r="T494" s="17" t="n"/>
      <c r="U494" s="115" t="n"/>
    </row>
    <row r="495" hidden="1" outlineLevel="3">
      <c r="A495" s="8" t="n"/>
      <c r="B495" s="22" t="n"/>
      <c r="C495" s="115" t="n"/>
      <c r="D495" s="16" t="n"/>
      <c r="H495" s="17" t="n"/>
      <c r="I495" s="115" t="n"/>
      <c r="J495" s="16" t="n"/>
      <c r="N495" s="17" t="n"/>
      <c r="O495" s="115" t="n"/>
      <c r="P495" s="16" t="n"/>
      <c r="T495" s="17" t="n"/>
      <c r="U495" s="115" t="n"/>
    </row>
    <row r="496" hidden="1" outlineLevel="3">
      <c r="A496" s="8" t="n"/>
      <c r="B496" s="22" t="n"/>
      <c r="C496" s="115" t="n"/>
      <c r="D496" s="16" t="n"/>
      <c r="H496" s="17" t="n"/>
      <c r="I496" s="115" t="n"/>
      <c r="J496" s="16" t="n"/>
      <c r="N496" s="17" t="n"/>
      <c r="O496" s="115" t="n"/>
      <c r="P496" s="16" t="n"/>
      <c r="T496" s="17" t="n"/>
      <c r="U496" s="115" t="n"/>
    </row>
    <row r="497" hidden="1" outlineLevel="3">
      <c r="A497" s="8" t="n"/>
      <c r="B497" s="22" t="n"/>
      <c r="C497" s="115" t="n"/>
      <c r="D497" s="16" t="n"/>
      <c r="H497" s="17" t="n"/>
      <c r="I497" s="115" t="n"/>
      <c r="J497" s="16" t="n"/>
      <c r="N497" s="17" t="n"/>
      <c r="O497" s="115" t="n"/>
      <c r="P497" s="16" t="n"/>
      <c r="T497" s="17" t="n"/>
      <c r="U497" s="115" t="n"/>
    </row>
    <row r="498" hidden="1" outlineLevel="3">
      <c r="A498" s="8" t="n"/>
      <c r="B498" s="22" t="n"/>
      <c r="C498" s="115" t="n"/>
      <c r="D498" s="18" t="n"/>
      <c r="E498" s="19" t="n"/>
      <c r="F498" s="19" t="n"/>
      <c r="G498" s="19" t="n"/>
      <c r="H498" s="20" t="n"/>
      <c r="I498" s="115" t="n"/>
      <c r="J498" s="18" t="n"/>
      <c r="K498" s="19" t="n"/>
      <c r="L498" s="19" t="n"/>
      <c r="M498" s="19" t="n"/>
      <c r="N498" s="20" t="n"/>
      <c r="O498" s="115" t="n"/>
      <c r="P498" s="18" t="n"/>
      <c r="Q498" s="19" t="n"/>
      <c r="R498" s="19" t="n"/>
      <c r="S498" s="19" t="n"/>
      <c r="T498" s="20" t="n"/>
      <c r="U498" s="115" t="n"/>
    </row>
    <row r="499" hidden="1" outlineLevel="3">
      <c r="A499" s="8" t="n"/>
      <c r="B499" s="22" t="n"/>
      <c r="C499" s="115" t="n"/>
      <c r="D499" s="52" t="inlineStr">
        <is>
          <t>O REFINO ESCALA</t>
        </is>
      </c>
      <c r="E499" s="133">
        <f>DADOS_AM!$GV$11</f>
        <v/>
      </c>
      <c r="F499" s="11" t="n"/>
      <c r="G499" s="11" t="n"/>
      <c r="H499" s="12" t="n"/>
      <c r="I499" s="115" t="n"/>
      <c r="J499" s="52" t="inlineStr">
        <is>
          <t>O REFINO ESCALA</t>
        </is>
      </c>
      <c r="K499" s="133">
        <f>DADOS_AM!$GV$12</f>
        <v/>
      </c>
      <c r="L499" s="11" t="n"/>
      <c r="M499" s="11" t="n"/>
      <c r="N499" s="12" t="n"/>
      <c r="O499" s="115" t="n"/>
      <c r="P499" s="52" t="inlineStr">
        <is>
          <t>O REFINO ESCALA</t>
        </is>
      </c>
      <c r="Q499" s="133">
        <f>DADOS_AM!$GV$13</f>
        <v/>
      </c>
      <c r="R499" s="11" t="n"/>
      <c r="S499" s="11" t="n"/>
      <c r="T499" s="12" t="n"/>
      <c r="U499" s="115" t="n"/>
    </row>
    <row r="500" hidden="1" outlineLevel="3">
      <c r="A500" s="8" t="n"/>
      <c r="B500" s="22" t="n"/>
      <c r="C500" s="115" t="n"/>
      <c r="D500" s="52" t="inlineStr">
        <is>
          <t>SEU TEXTO</t>
        </is>
      </c>
      <c r="E500" s="120" t="n"/>
      <c r="F500" s="14" t="n"/>
      <c r="G500" s="14" t="n"/>
      <c r="H500" s="15" t="n"/>
      <c r="I500" s="115" t="n"/>
      <c r="J500" s="52" t="inlineStr">
        <is>
          <t>SEU TEXTO</t>
        </is>
      </c>
      <c r="K500" s="120" t="n"/>
      <c r="L500" s="14" t="n"/>
      <c r="M500" s="14" t="n"/>
      <c r="N500" s="15" t="n"/>
      <c r="O500" s="115" t="n"/>
      <c r="P500" s="52" t="inlineStr">
        <is>
          <t>SEU TEXTO</t>
        </is>
      </c>
      <c r="Q500" s="120" t="n"/>
      <c r="R500" s="14" t="n"/>
      <c r="S500" s="14" t="n"/>
      <c r="T500" s="15" t="n"/>
      <c r="U500" s="115" t="n"/>
    </row>
    <row r="501" hidden="1" outlineLevel="3">
      <c r="A501" s="8" t="n"/>
      <c r="B501" s="22" t="n"/>
      <c r="C501" s="115" t="n"/>
      <c r="D501" s="122" t="n"/>
      <c r="E501" s="18" t="n"/>
      <c r="F501" s="19" t="n"/>
      <c r="G501" s="19" t="n"/>
      <c r="H501" s="20" t="n"/>
      <c r="I501" s="115" t="n"/>
      <c r="J501" s="122" t="n"/>
      <c r="K501" s="18" t="n"/>
      <c r="L501" s="19" t="n"/>
      <c r="M501" s="19" t="n"/>
      <c r="N501" s="20" t="n"/>
      <c r="O501" s="115" t="n"/>
      <c r="P501" s="122" t="n"/>
      <c r="Q501" s="18" t="n"/>
      <c r="R501" s="19" t="n"/>
      <c r="S501" s="19" t="n"/>
      <c r="T501" s="20" t="n"/>
      <c r="U501" s="115" t="n"/>
    </row>
    <row r="502">
      <c r="A502" s="8" t="n"/>
      <c r="B502" s="22" t="n"/>
      <c r="C502" s="115" t="n"/>
      <c r="D502" s="115" t="n"/>
      <c r="E502" s="115" t="n"/>
      <c r="F502" s="115" t="n"/>
      <c r="G502" s="115" t="n"/>
      <c r="H502" s="115" t="n"/>
      <c r="I502" s="115" t="n"/>
      <c r="J502" s="115" t="n"/>
      <c r="K502" s="115" t="n"/>
      <c r="L502" s="115" t="n"/>
      <c r="M502" s="115" t="n"/>
      <c r="N502" s="115" t="n"/>
      <c r="O502" s="115" t="n"/>
      <c r="P502" s="115" t="n"/>
      <c r="Q502" s="115" t="n"/>
      <c r="R502" s="115" t="n"/>
      <c r="S502" s="115" t="n"/>
      <c r="T502" s="115" t="n"/>
      <c r="U502" s="115" t="n"/>
    </row>
    <row r="503">
      <c r="A503" s="8" t="n"/>
      <c r="B503" s="22" t="n"/>
      <c r="C503" s="115" t="n"/>
      <c r="D503" s="118" t="inlineStr">
        <is>
          <t>PACTOS</t>
        </is>
      </c>
      <c r="E503" s="14" t="n"/>
      <c r="F503" s="14" t="n"/>
      <c r="G503" s="14" t="n"/>
      <c r="H503" s="15" t="n"/>
      <c r="I503" s="119" t="inlineStr">
        <is>
          <t>três lugares · o + abre o que foi trocado</t>
        </is>
      </c>
      <c r="J503" s="14" t="n"/>
      <c r="K503" s="14" t="n"/>
      <c r="L503" s="14" t="n"/>
      <c r="M503" s="14" t="n"/>
      <c r="N503" s="14" t="n"/>
      <c r="O503" s="14" t="n"/>
      <c r="P503" s="14" t="n"/>
      <c r="Q503" s="14" t="n"/>
      <c r="R503" s="14" t="n"/>
      <c r="S503" s="14" t="n"/>
      <c r="T503" s="15" t="n"/>
      <c r="U503" s="115" t="n"/>
    </row>
    <row r="504">
      <c r="A504" s="8" t="n"/>
      <c r="B504" s="22" t="n"/>
      <c r="C504" s="115" t="n"/>
      <c r="D504" s="18" t="n"/>
      <c r="E504" s="19" t="n"/>
      <c r="F504" s="19" t="n"/>
      <c r="G504" s="19" t="n"/>
      <c r="H504" s="20" t="n"/>
      <c r="I504" s="18" t="n"/>
      <c r="J504" s="19" t="n"/>
      <c r="K504" s="19" t="n"/>
      <c r="L504" s="19" t="n"/>
      <c r="M504" s="19" t="n"/>
      <c r="N504" s="19" t="n"/>
      <c r="O504" s="19" t="n"/>
      <c r="P504" s="19" t="n"/>
      <c r="Q504" s="19" t="n"/>
      <c r="R504" s="19" t="n"/>
      <c r="S504" s="19" t="n"/>
      <c r="T504" s="20" t="n"/>
      <c r="U504" s="115" t="n"/>
    </row>
    <row r="505" outlineLevel="1">
      <c r="A505" s="8" t="n"/>
      <c r="B505" s="22" t="n"/>
      <c r="C505" s="115" t="n"/>
      <c r="D505" s="52" t="inlineStr">
        <is>
          <t>PERMANENTES</t>
        </is>
      </c>
      <c r="E505" s="12" t="n"/>
      <c r="F505" s="52" t="inlineStr">
        <is>
          <t>COMO O PACTO SE FECHA</t>
        </is>
      </c>
      <c r="G505" s="11" t="n"/>
      <c r="H505" s="11" t="n"/>
      <c r="I505" s="11" t="n"/>
      <c r="J505" s="11" t="n"/>
      <c r="K505" s="11" t="n"/>
      <c r="L505" s="11" t="n"/>
      <c r="M505" s="11" t="n"/>
      <c r="N505" s="11" t="n"/>
      <c r="O505" s="11" t="n"/>
      <c r="P505" s="11" t="n"/>
      <c r="Q505" s="11" t="n"/>
      <c r="R505" s="11" t="n"/>
      <c r="S505" s="11" t="n"/>
      <c r="T505" s="12" t="n"/>
      <c r="U505" s="115" t="n"/>
    </row>
    <row r="506" outlineLevel="1">
      <c r="A506" s="8" t="n"/>
      <c r="B506" s="22" t="n"/>
      <c r="C506" s="115" t="n"/>
      <c r="D506" s="89">
        <f>IF(DADOS_AM!$GH$27&gt;DADOS_AM!$GH$28,"⚠ ","")&amp;DADOS_AM!$GH$27&amp;" de "&amp;DADOS_AM!$GH$28</f>
        <v/>
      </c>
      <c r="E506" s="15" t="n"/>
      <c r="F506" s="129" t="inlineStr">
        <is>
          <t>Permanente: fora de cena, com o mestre lendo. Temporário: Ação Bônus, no seu turno. Promessa: entre duas partes, as duas aceitando. De restrição: na criação, junto da Origem ou da técnica.</t>
        </is>
      </c>
      <c r="G506" s="14" t="n"/>
      <c r="H506" s="14" t="n"/>
      <c r="I506" s="14" t="n"/>
      <c r="J506" s="14" t="n"/>
      <c r="K506" s="14" t="n"/>
      <c r="L506" s="14" t="n"/>
      <c r="M506" s="14" t="n"/>
      <c r="N506" s="14" t="n"/>
      <c r="O506" s="14" t="n"/>
      <c r="P506" s="14" t="n"/>
      <c r="Q506" s="14" t="n"/>
      <c r="R506" s="14" t="n"/>
      <c r="S506" s="14" t="n"/>
      <c r="T506" s="15" t="n"/>
      <c r="U506" s="115" t="n"/>
    </row>
    <row r="507" outlineLevel="1">
      <c r="A507" s="8" t="n"/>
      <c r="B507" s="22" t="n"/>
      <c r="C507" s="115" t="n"/>
      <c r="D507" s="18" t="n"/>
      <c r="E507" s="20" t="n"/>
      <c r="F507" s="18" t="n"/>
      <c r="G507" s="19" t="n"/>
      <c r="H507" s="19" t="n"/>
      <c r="I507" s="19" t="n"/>
      <c r="J507" s="19" t="n"/>
      <c r="K507" s="19" t="n"/>
      <c r="L507" s="19" t="n"/>
      <c r="M507" s="19" t="n"/>
      <c r="N507" s="19" t="n"/>
      <c r="O507" s="19" t="n"/>
      <c r="P507" s="19" t="n"/>
      <c r="Q507" s="19" t="n"/>
      <c r="R507" s="19" t="n"/>
      <c r="S507" s="19" t="n"/>
      <c r="T507" s="20" t="n"/>
      <c r="U507" s="115" t="n"/>
    </row>
    <row r="508" outlineLevel="1">
      <c r="A508" s="8" t="n"/>
      <c r="B508" s="22" t="n"/>
      <c r="C508" s="115" t="n"/>
      <c r="D508" s="115" t="n"/>
      <c r="E508" s="115" t="n"/>
      <c r="F508" s="115" t="n"/>
      <c r="G508" s="115" t="n"/>
      <c r="H508" s="115" t="n"/>
      <c r="I508" s="115" t="n"/>
      <c r="J508" s="115" t="n"/>
      <c r="K508" s="115" t="n"/>
      <c r="L508" s="115" t="n"/>
      <c r="M508" s="115" t="n"/>
      <c r="N508" s="115" t="n"/>
      <c r="O508" s="115" t="n"/>
      <c r="P508" s="115" t="n"/>
      <c r="Q508" s="115" t="n"/>
      <c r="R508" s="115" t="n"/>
      <c r="S508" s="115" t="n"/>
      <c r="T508" s="115" t="n"/>
      <c r="U508" s="115" t="n"/>
    </row>
    <row r="509" outlineLevel="1">
      <c r="A509" s="8" t="n"/>
      <c r="B509" s="22" t="n"/>
      <c r="C509" s="115" t="n"/>
      <c r="D509" s="52" t="inlineStr">
        <is>
          <t>PACTO 1</t>
        </is>
      </c>
      <c r="E509" s="124" t="n"/>
      <c r="F509" s="11" t="n"/>
      <c r="G509" s="11" t="n"/>
      <c r="H509" s="11" t="n"/>
      <c r="I509" s="11" t="n"/>
      <c r="J509" s="11" t="n"/>
      <c r="K509" s="12" t="n"/>
      <c r="L509" s="121" t="n"/>
      <c r="M509" s="11" t="n"/>
      <c r="N509" s="12" t="n"/>
      <c r="O509" s="115" t="n"/>
      <c r="P509" s="121" t="n"/>
      <c r="Q509" s="11" t="n"/>
      <c r="R509" s="11" t="n"/>
      <c r="S509" s="11" t="n"/>
      <c r="T509" s="12" t="n"/>
      <c r="U509" s="115" t="n"/>
    </row>
    <row r="510" outlineLevel="2">
      <c r="A510" s="8" t="n"/>
      <c r="B510" s="22" t="n"/>
      <c r="C510" s="115" t="n"/>
      <c r="D510" s="52" t="inlineStr">
        <is>
          <t>O QUE EU DOU</t>
        </is>
      </c>
      <c r="E510" s="11" t="n"/>
      <c r="F510" s="11" t="n"/>
      <c r="G510" s="11" t="n"/>
      <c r="H510" s="11" t="n"/>
      <c r="I510" s="11" t="n"/>
      <c r="J510" s="11" t="n"/>
      <c r="K510" s="12" t="n"/>
      <c r="L510" s="52" t="inlineStr">
        <is>
          <t>O QUE EU RECEBO</t>
        </is>
      </c>
      <c r="M510" s="11" t="n"/>
      <c r="N510" s="11" t="n"/>
      <c r="O510" s="11" t="n"/>
      <c r="P510" s="11" t="n"/>
      <c r="Q510" s="11" t="n"/>
      <c r="R510" s="11" t="n"/>
      <c r="S510" s="11" t="n"/>
      <c r="T510" s="12" t="n"/>
      <c r="U510" s="115" t="n"/>
    </row>
    <row r="511" outlineLevel="2">
      <c r="A511" s="8" t="n"/>
      <c r="B511" s="22" t="n"/>
      <c r="C511" s="115" t="n"/>
      <c r="D511" s="120" t="n"/>
      <c r="E511" s="14" t="n"/>
      <c r="F511" s="14" t="n"/>
      <c r="G511" s="14" t="n"/>
      <c r="H511" s="14" t="n"/>
      <c r="I511" s="14" t="n"/>
      <c r="J511" s="14" t="n"/>
      <c r="K511" s="15" t="n"/>
      <c r="L511" s="120" t="n"/>
      <c r="M511" s="14" t="n"/>
      <c r="N511" s="14" t="n"/>
      <c r="O511" s="14" t="n"/>
      <c r="P511" s="14" t="n"/>
      <c r="Q511" s="14" t="n"/>
      <c r="R511" s="14" t="n"/>
      <c r="S511" s="14" t="n"/>
      <c r="T511" s="15" t="n"/>
      <c r="U511" s="115" t="n"/>
    </row>
    <row r="512" outlineLevel="2">
      <c r="A512" s="8" t="n"/>
      <c r="B512" s="22" t="n"/>
      <c r="C512" s="115" t="n"/>
      <c r="D512" s="16" t="n"/>
      <c r="K512" s="17" t="n"/>
      <c r="L512" s="16" t="n"/>
      <c r="T512" s="17" t="n"/>
      <c r="U512" s="115" t="n"/>
    </row>
    <row r="513" outlineLevel="2">
      <c r="A513" s="8" t="n"/>
      <c r="B513" s="22" t="n"/>
      <c r="C513" s="115" t="n"/>
      <c r="D513" s="16" t="n"/>
      <c r="K513" s="17" t="n"/>
      <c r="L513" s="16" t="n"/>
      <c r="T513" s="17" t="n"/>
      <c r="U513" s="115" t="n"/>
    </row>
    <row r="514" outlineLevel="2">
      <c r="A514" s="8" t="n"/>
      <c r="B514" s="22" t="n"/>
      <c r="C514" s="115" t="n"/>
      <c r="D514" s="18" t="n"/>
      <c r="E514" s="19" t="n"/>
      <c r="F514" s="19" t="n"/>
      <c r="G514" s="19" t="n"/>
      <c r="H514" s="19" t="n"/>
      <c r="I514" s="19" t="n"/>
      <c r="J514" s="19" t="n"/>
      <c r="K514" s="20" t="n"/>
      <c r="L514" s="18" t="n"/>
      <c r="M514" s="19" t="n"/>
      <c r="N514" s="19" t="n"/>
      <c r="O514" s="19" t="n"/>
      <c r="P514" s="19" t="n"/>
      <c r="Q514" s="19" t="n"/>
      <c r="R514" s="19" t="n"/>
      <c r="S514" s="19" t="n"/>
      <c r="T514" s="20" t="n"/>
      <c r="U514" s="115" t="n"/>
    </row>
    <row r="515" outlineLevel="2">
      <c r="A515" s="8" t="n"/>
      <c r="B515" s="22" t="n"/>
      <c r="C515" s="115" t="n"/>
      <c r="D515" s="52" t="inlineStr">
        <is>
          <t>CLÁUSULA, COM QUEM FOI FECHADO E O QUE ACONTECE SE QUEBRAR</t>
        </is>
      </c>
      <c r="E515" s="11" t="n"/>
      <c r="F515" s="11" t="n"/>
      <c r="G515" s="11" t="n"/>
      <c r="H515" s="11" t="n"/>
      <c r="I515" s="11" t="n"/>
      <c r="J515" s="11" t="n"/>
      <c r="K515" s="11" t="n"/>
      <c r="L515" s="11" t="n"/>
      <c r="M515" s="11" t="n"/>
      <c r="N515" s="11" t="n"/>
      <c r="O515" s="11" t="n"/>
      <c r="P515" s="11" t="n"/>
      <c r="Q515" s="11" t="n"/>
      <c r="R515" s="11" t="n"/>
      <c r="S515" s="11" t="n"/>
      <c r="T515" s="12" t="n"/>
      <c r="U515" s="115" t="n"/>
    </row>
    <row r="516" outlineLevel="2">
      <c r="A516" s="8" t="n"/>
      <c r="B516" s="22" t="n"/>
      <c r="C516" s="115" t="n"/>
      <c r="D516" s="120" t="n"/>
      <c r="E516" s="14" t="n"/>
      <c r="F516" s="14" t="n"/>
      <c r="G516" s="14" t="n"/>
      <c r="H516" s="14" t="n"/>
      <c r="I516" s="14" t="n"/>
      <c r="J516" s="14" t="n"/>
      <c r="K516" s="14" t="n"/>
      <c r="L516" s="14" t="n"/>
      <c r="M516" s="14" t="n"/>
      <c r="N516" s="14" t="n"/>
      <c r="O516" s="14" t="n"/>
      <c r="P516" s="14" t="n"/>
      <c r="Q516" s="14" t="n"/>
      <c r="R516" s="14" t="n"/>
      <c r="S516" s="14" t="n"/>
      <c r="T516" s="15" t="n"/>
      <c r="U516" s="115" t="n"/>
    </row>
    <row r="517" outlineLevel="2">
      <c r="A517" s="8" t="n"/>
      <c r="B517" s="22" t="n"/>
      <c r="C517" s="115" t="n"/>
      <c r="D517" s="18" t="n"/>
      <c r="E517" s="19" t="n"/>
      <c r="F517" s="19" t="n"/>
      <c r="G517" s="19" t="n"/>
      <c r="H517" s="19" t="n"/>
      <c r="I517" s="19" t="n"/>
      <c r="J517" s="19" t="n"/>
      <c r="K517" s="19" t="n"/>
      <c r="L517" s="19" t="n"/>
      <c r="M517" s="19" t="n"/>
      <c r="N517" s="19" t="n"/>
      <c r="O517" s="19" t="n"/>
      <c r="P517" s="19" t="n"/>
      <c r="Q517" s="19" t="n"/>
      <c r="R517" s="19" t="n"/>
      <c r="S517" s="19" t="n"/>
      <c r="T517" s="20" t="n"/>
      <c r="U517" s="115" t="n"/>
    </row>
    <row r="518" outlineLevel="1">
      <c r="A518" s="8" t="n"/>
      <c r="B518" s="22" t="n"/>
      <c r="C518" s="115" t="n"/>
      <c r="D518" s="115" t="n"/>
      <c r="E518" s="115" t="n"/>
      <c r="F518" s="115" t="n"/>
      <c r="G518" s="115" t="n"/>
      <c r="H518" s="115" t="n"/>
      <c r="I518" s="115" t="n"/>
      <c r="J518" s="115" t="n"/>
      <c r="K518" s="115" t="n"/>
      <c r="L518" s="115" t="n"/>
      <c r="M518" s="115" t="n"/>
      <c r="N518" s="115" t="n"/>
      <c r="O518" s="115" t="n"/>
      <c r="P518" s="115" t="n"/>
      <c r="Q518" s="115" t="n"/>
      <c r="R518" s="115" t="n"/>
      <c r="S518" s="115" t="n"/>
      <c r="T518" s="115" t="n"/>
      <c r="U518" s="115" t="n"/>
    </row>
    <row r="519" outlineLevel="1">
      <c r="A519" s="8" t="n"/>
      <c r="B519" s="22" t="n"/>
      <c r="C519" s="115" t="n"/>
      <c r="D519" s="52" t="inlineStr">
        <is>
          <t>PACTO 2</t>
        </is>
      </c>
      <c r="E519" s="124" t="n"/>
      <c r="F519" s="11" t="n"/>
      <c r="G519" s="11" t="n"/>
      <c r="H519" s="11" t="n"/>
      <c r="I519" s="11" t="n"/>
      <c r="J519" s="11" t="n"/>
      <c r="K519" s="12" t="n"/>
      <c r="L519" s="121" t="n"/>
      <c r="M519" s="11" t="n"/>
      <c r="N519" s="12" t="n"/>
      <c r="O519" s="115" t="n"/>
      <c r="P519" s="121" t="n"/>
      <c r="Q519" s="11" t="n"/>
      <c r="R519" s="11" t="n"/>
      <c r="S519" s="11" t="n"/>
      <c r="T519" s="12" t="n"/>
      <c r="U519" s="115" t="n"/>
    </row>
    <row r="520" hidden="1" outlineLevel="2">
      <c r="A520" s="8" t="n"/>
      <c r="B520" s="22" t="n"/>
      <c r="C520" s="115" t="n"/>
      <c r="D520" s="52" t="inlineStr">
        <is>
          <t>O QUE EU DOU</t>
        </is>
      </c>
      <c r="E520" s="11" t="n"/>
      <c r="F520" s="11" t="n"/>
      <c r="G520" s="11" t="n"/>
      <c r="H520" s="11" t="n"/>
      <c r="I520" s="11" t="n"/>
      <c r="J520" s="11" t="n"/>
      <c r="K520" s="12" t="n"/>
      <c r="L520" s="52" t="inlineStr">
        <is>
          <t>O QUE EU RECEBO</t>
        </is>
      </c>
      <c r="M520" s="11" t="n"/>
      <c r="N520" s="11" t="n"/>
      <c r="O520" s="11" t="n"/>
      <c r="P520" s="11" t="n"/>
      <c r="Q520" s="11" t="n"/>
      <c r="R520" s="11" t="n"/>
      <c r="S520" s="11" t="n"/>
      <c r="T520" s="12" t="n"/>
      <c r="U520" s="115" t="n"/>
    </row>
    <row r="521" hidden="1" outlineLevel="2">
      <c r="A521" s="8" t="n"/>
      <c r="B521" s="22" t="n"/>
      <c r="C521" s="115" t="n"/>
      <c r="D521" s="120" t="n"/>
      <c r="E521" s="14" t="n"/>
      <c r="F521" s="14" t="n"/>
      <c r="G521" s="14" t="n"/>
      <c r="H521" s="14" t="n"/>
      <c r="I521" s="14" t="n"/>
      <c r="J521" s="14" t="n"/>
      <c r="K521" s="15" t="n"/>
      <c r="L521" s="120" t="n"/>
      <c r="M521" s="14" t="n"/>
      <c r="N521" s="14" t="n"/>
      <c r="O521" s="14" t="n"/>
      <c r="P521" s="14" t="n"/>
      <c r="Q521" s="14" t="n"/>
      <c r="R521" s="14" t="n"/>
      <c r="S521" s="14" t="n"/>
      <c r="T521" s="15" t="n"/>
      <c r="U521" s="115" t="n"/>
    </row>
    <row r="522" hidden="1" outlineLevel="2">
      <c r="A522" s="8" t="n"/>
      <c r="B522" s="22" t="n"/>
      <c r="C522" s="115" t="n"/>
      <c r="D522" s="16" t="n"/>
      <c r="K522" s="17" t="n"/>
      <c r="L522" s="16" t="n"/>
      <c r="T522" s="17" t="n"/>
      <c r="U522" s="115" t="n"/>
    </row>
    <row r="523" hidden="1" outlineLevel="2">
      <c r="A523" s="8" t="n"/>
      <c r="B523" s="22" t="n"/>
      <c r="C523" s="115" t="n"/>
      <c r="D523" s="16" t="n"/>
      <c r="K523" s="17" t="n"/>
      <c r="L523" s="16" t="n"/>
      <c r="T523" s="17" t="n"/>
      <c r="U523" s="115" t="n"/>
    </row>
    <row r="524" hidden="1" outlineLevel="2">
      <c r="A524" s="8" t="n"/>
      <c r="B524" s="22" t="n"/>
      <c r="C524" s="115" t="n"/>
      <c r="D524" s="18" t="n"/>
      <c r="E524" s="19" t="n"/>
      <c r="F524" s="19" t="n"/>
      <c r="G524" s="19" t="n"/>
      <c r="H524" s="19" t="n"/>
      <c r="I524" s="19" t="n"/>
      <c r="J524" s="19" t="n"/>
      <c r="K524" s="20" t="n"/>
      <c r="L524" s="18" t="n"/>
      <c r="M524" s="19" t="n"/>
      <c r="N524" s="19" t="n"/>
      <c r="O524" s="19" t="n"/>
      <c r="P524" s="19" t="n"/>
      <c r="Q524" s="19" t="n"/>
      <c r="R524" s="19" t="n"/>
      <c r="S524" s="19" t="n"/>
      <c r="T524" s="20" t="n"/>
      <c r="U524" s="115" t="n"/>
    </row>
    <row r="525" hidden="1" outlineLevel="2">
      <c r="A525" s="8" t="n"/>
      <c r="B525" s="22" t="n"/>
      <c r="C525" s="115" t="n"/>
      <c r="D525" s="52" t="inlineStr">
        <is>
          <t>CLÁUSULA, COM QUEM FOI FECHADO E O QUE ACONTECE SE QUEBRAR</t>
        </is>
      </c>
      <c r="E525" s="11" t="n"/>
      <c r="F525" s="11" t="n"/>
      <c r="G525" s="11" t="n"/>
      <c r="H525" s="11" t="n"/>
      <c r="I525" s="11" t="n"/>
      <c r="J525" s="11" t="n"/>
      <c r="K525" s="11" t="n"/>
      <c r="L525" s="11" t="n"/>
      <c r="M525" s="11" t="n"/>
      <c r="N525" s="11" t="n"/>
      <c r="O525" s="11" t="n"/>
      <c r="P525" s="11" t="n"/>
      <c r="Q525" s="11" t="n"/>
      <c r="R525" s="11" t="n"/>
      <c r="S525" s="11" t="n"/>
      <c r="T525" s="12" t="n"/>
      <c r="U525" s="115" t="n"/>
    </row>
    <row r="526" hidden="1" outlineLevel="2">
      <c r="A526" s="8" t="n"/>
      <c r="B526" s="22" t="n"/>
      <c r="C526" s="115" t="n"/>
      <c r="D526" s="120" t="n"/>
      <c r="E526" s="14" t="n"/>
      <c r="F526" s="14" t="n"/>
      <c r="G526" s="14" t="n"/>
      <c r="H526" s="14" t="n"/>
      <c r="I526" s="14" t="n"/>
      <c r="J526" s="14" t="n"/>
      <c r="K526" s="14" t="n"/>
      <c r="L526" s="14" t="n"/>
      <c r="M526" s="14" t="n"/>
      <c r="N526" s="14" t="n"/>
      <c r="O526" s="14" t="n"/>
      <c r="P526" s="14" t="n"/>
      <c r="Q526" s="14" t="n"/>
      <c r="R526" s="14" t="n"/>
      <c r="S526" s="14" t="n"/>
      <c r="T526" s="15" t="n"/>
      <c r="U526" s="115" t="n"/>
    </row>
    <row r="527" hidden="1" outlineLevel="2">
      <c r="A527" s="8" t="n"/>
      <c r="B527" s="22" t="n"/>
      <c r="C527" s="115" t="n"/>
      <c r="D527" s="18" t="n"/>
      <c r="E527" s="19" t="n"/>
      <c r="F527" s="19" t="n"/>
      <c r="G527" s="19" t="n"/>
      <c r="H527" s="19" t="n"/>
      <c r="I527" s="19" t="n"/>
      <c r="J527" s="19" t="n"/>
      <c r="K527" s="19" t="n"/>
      <c r="L527" s="19" t="n"/>
      <c r="M527" s="19" t="n"/>
      <c r="N527" s="19" t="n"/>
      <c r="O527" s="19" t="n"/>
      <c r="P527" s="19" t="n"/>
      <c r="Q527" s="19" t="n"/>
      <c r="R527" s="19" t="n"/>
      <c r="S527" s="19" t="n"/>
      <c r="T527" s="20" t="n"/>
      <c r="U527" s="115" t="n"/>
    </row>
    <row r="528" outlineLevel="1">
      <c r="A528" s="8" t="n"/>
      <c r="B528" s="22" t="n"/>
      <c r="C528" s="115" t="n"/>
      <c r="D528" s="115" t="n"/>
      <c r="E528" s="115" t="n"/>
      <c r="F528" s="115" t="n"/>
      <c r="G528" s="115" t="n"/>
      <c r="H528" s="115" t="n"/>
      <c r="I528" s="115" t="n"/>
      <c r="J528" s="115" t="n"/>
      <c r="K528" s="115" t="n"/>
      <c r="L528" s="115" t="n"/>
      <c r="M528" s="115" t="n"/>
      <c r="N528" s="115" t="n"/>
      <c r="O528" s="115" t="n"/>
      <c r="P528" s="115" t="n"/>
      <c r="Q528" s="115" t="n"/>
      <c r="R528" s="115" t="n"/>
      <c r="S528" s="115" t="n"/>
      <c r="T528" s="115" t="n"/>
      <c r="U528" s="115" t="n"/>
    </row>
    <row r="529" outlineLevel="1">
      <c r="A529" s="8" t="n"/>
      <c r="B529" s="22" t="n"/>
      <c r="C529" s="115" t="n"/>
      <c r="D529" s="52" t="inlineStr">
        <is>
          <t>PACTO 3</t>
        </is>
      </c>
      <c r="E529" s="124" t="n"/>
      <c r="F529" s="11" t="n"/>
      <c r="G529" s="11" t="n"/>
      <c r="H529" s="11" t="n"/>
      <c r="I529" s="11" t="n"/>
      <c r="J529" s="11" t="n"/>
      <c r="K529" s="12" t="n"/>
      <c r="L529" s="121" t="n"/>
      <c r="M529" s="11" t="n"/>
      <c r="N529" s="12" t="n"/>
      <c r="O529" s="115" t="n"/>
      <c r="P529" s="121" t="n"/>
      <c r="Q529" s="11" t="n"/>
      <c r="R529" s="11" t="n"/>
      <c r="S529" s="11" t="n"/>
      <c r="T529" s="12" t="n"/>
      <c r="U529" s="115" t="n"/>
    </row>
    <row r="530" hidden="1" outlineLevel="2">
      <c r="A530" s="8" t="n"/>
      <c r="B530" s="22" t="n"/>
      <c r="C530" s="115" t="n"/>
      <c r="D530" s="52" t="inlineStr">
        <is>
          <t>O QUE EU DOU</t>
        </is>
      </c>
      <c r="E530" s="11" t="n"/>
      <c r="F530" s="11" t="n"/>
      <c r="G530" s="11" t="n"/>
      <c r="H530" s="11" t="n"/>
      <c r="I530" s="11" t="n"/>
      <c r="J530" s="11" t="n"/>
      <c r="K530" s="12" t="n"/>
      <c r="L530" s="52" t="inlineStr">
        <is>
          <t>O QUE EU RECEBO</t>
        </is>
      </c>
      <c r="M530" s="11" t="n"/>
      <c r="N530" s="11" t="n"/>
      <c r="O530" s="11" t="n"/>
      <c r="P530" s="11" t="n"/>
      <c r="Q530" s="11" t="n"/>
      <c r="R530" s="11" t="n"/>
      <c r="S530" s="11" t="n"/>
      <c r="T530" s="12" t="n"/>
      <c r="U530" s="115" t="n"/>
    </row>
    <row r="531" hidden="1" outlineLevel="2">
      <c r="A531" s="8" t="n"/>
      <c r="B531" s="22" t="n"/>
      <c r="C531" s="115" t="n"/>
      <c r="D531" s="120" t="n"/>
      <c r="E531" s="14" t="n"/>
      <c r="F531" s="14" t="n"/>
      <c r="G531" s="14" t="n"/>
      <c r="H531" s="14" t="n"/>
      <c r="I531" s="14" t="n"/>
      <c r="J531" s="14" t="n"/>
      <c r="K531" s="15" t="n"/>
      <c r="L531" s="120" t="n"/>
      <c r="M531" s="14" t="n"/>
      <c r="N531" s="14" t="n"/>
      <c r="O531" s="14" t="n"/>
      <c r="P531" s="14" t="n"/>
      <c r="Q531" s="14" t="n"/>
      <c r="R531" s="14" t="n"/>
      <c r="S531" s="14" t="n"/>
      <c r="T531" s="15" t="n"/>
      <c r="U531" s="115" t="n"/>
    </row>
    <row r="532" hidden="1" outlineLevel="2">
      <c r="A532" s="8" t="n"/>
      <c r="B532" s="22" t="n"/>
      <c r="C532" s="115" t="n"/>
      <c r="D532" s="16" t="n"/>
      <c r="K532" s="17" t="n"/>
      <c r="L532" s="16" t="n"/>
      <c r="T532" s="17" t="n"/>
      <c r="U532" s="115" t="n"/>
    </row>
    <row r="533" hidden="1" outlineLevel="2">
      <c r="A533" s="8" t="n"/>
      <c r="B533" s="22" t="n"/>
      <c r="C533" s="115" t="n"/>
      <c r="D533" s="16" t="n"/>
      <c r="K533" s="17" t="n"/>
      <c r="L533" s="16" t="n"/>
      <c r="T533" s="17" t="n"/>
      <c r="U533" s="115" t="n"/>
    </row>
    <row r="534" hidden="1" outlineLevel="2">
      <c r="A534" s="8" t="n"/>
      <c r="B534" s="22" t="n"/>
      <c r="C534" s="115" t="n"/>
      <c r="D534" s="18" t="n"/>
      <c r="E534" s="19" t="n"/>
      <c r="F534" s="19" t="n"/>
      <c r="G534" s="19" t="n"/>
      <c r="H534" s="19" t="n"/>
      <c r="I534" s="19" t="n"/>
      <c r="J534" s="19" t="n"/>
      <c r="K534" s="20" t="n"/>
      <c r="L534" s="18" t="n"/>
      <c r="M534" s="19" t="n"/>
      <c r="N534" s="19" t="n"/>
      <c r="O534" s="19" t="n"/>
      <c r="P534" s="19" t="n"/>
      <c r="Q534" s="19" t="n"/>
      <c r="R534" s="19" t="n"/>
      <c r="S534" s="19" t="n"/>
      <c r="T534" s="20" t="n"/>
      <c r="U534" s="115" t="n"/>
    </row>
    <row r="535" hidden="1" outlineLevel="2">
      <c r="A535" s="8" t="n"/>
      <c r="B535" s="22" t="n"/>
      <c r="C535" s="115" t="n"/>
      <c r="D535" s="52" t="inlineStr">
        <is>
          <t>CLÁUSULA, COM QUEM FOI FECHADO E O QUE ACONTECE SE QUEBRAR</t>
        </is>
      </c>
      <c r="E535" s="11" t="n"/>
      <c r="F535" s="11" t="n"/>
      <c r="G535" s="11" t="n"/>
      <c r="H535" s="11" t="n"/>
      <c r="I535" s="11" t="n"/>
      <c r="J535" s="11" t="n"/>
      <c r="K535" s="11" t="n"/>
      <c r="L535" s="11" t="n"/>
      <c r="M535" s="11" t="n"/>
      <c r="N535" s="11" t="n"/>
      <c r="O535" s="11" t="n"/>
      <c r="P535" s="11" t="n"/>
      <c r="Q535" s="11" t="n"/>
      <c r="R535" s="11" t="n"/>
      <c r="S535" s="11" t="n"/>
      <c r="T535" s="12" t="n"/>
      <c r="U535" s="115" t="n"/>
    </row>
    <row r="536" hidden="1" outlineLevel="2">
      <c r="A536" s="8" t="n"/>
      <c r="B536" s="22" t="n"/>
      <c r="C536" s="115" t="n"/>
      <c r="D536" s="120" t="n"/>
      <c r="E536" s="14" t="n"/>
      <c r="F536" s="14" t="n"/>
      <c r="G536" s="14" t="n"/>
      <c r="H536" s="14" t="n"/>
      <c r="I536" s="14" t="n"/>
      <c r="J536" s="14" t="n"/>
      <c r="K536" s="14" t="n"/>
      <c r="L536" s="14" t="n"/>
      <c r="M536" s="14" t="n"/>
      <c r="N536" s="14" t="n"/>
      <c r="O536" s="14" t="n"/>
      <c r="P536" s="14" t="n"/>
      <c r="Q536" s="14" t="n"/>
      <c r="R536" s="14" t="n"/>
      <c r="S536" s="14" t="n"/>
      <c r="T536" s="15" t="n"/>
      <c r="U536" s="115" t="n"/>
    </row>
    <row r="537" hidden="1" outlineLevel="2">
      <c r="A537" s="8" t="n"/>
      <c r="B537" s="22" t="n"/>
      <c r="C537" s="115" t="n"/>
      <c r="D537" s="18" t="n"/>
      <c r="E537" s="19" t="n"/>
      <c r="F537" s="19" t="n"/>
      <c r="G537" s="19" t="n"/>
      <c r="H537" s="19" t="n"/>
      <c r="I537" s="19" t="n"/>
      <c r="J537" s="19" t="n"/>
      <c r="K537" s="19" t="n"/>
      <c r="L537" s="19" t="n"/>
      <c r="M537" s="19" t="n"/>
      <c r="N537" s="19" t="n"/>
      <c r="O537" s="19" t="n"/>
      <c r="P537" s="19" t="n"/>
      <c r="Q537" s="19" t="n"/>
      <c r="R537" s="19" t="n"/>
      <c r="S537" s="19" t="n"/>
      <c r="T537" s="20" t="n"/>
      <c r="U537" s="115" t="n"/>
    </row>
  </sheetData>
  <mergeCells count="1272">
    <mergeCell ref="E225:H225"/>
    <mergeCell ref="Q164:R164"/>
    <mergeCell ref="S226:T226"/>
    <mergeCell ref="D506:E507"/>
    <mergeCell ref="E79:F79"/>
    <mergeCell ref="Q147:T148"/>
    <mergeCell ref="D254:D255"/>
    <mergeCell ref="S228:T228"/>
    <mergeCell ref="Q321:T321"/>
    <mergeCell ref="J458:J459"/>
    <mergeCell ref="D11:H11"/>
    <mergeCell ref="K295:N295"/>
    <mergeCell ref="S259:T259"/>
    <mergeCell ref="D336:H336"/>
    <mergeCell ref="P154:T158"/>
    <mergeCell ref="D307:E307"/>
    <mergeCell ref="I301:T302"/>
    <mergeCell ref="J96:J99"/>
    <mergeCell ref="J46:N46"/>
    <mergeCell ref="E117:F117"/>
    <mergeCell ref="E457:H457"/>
    <mergeCell ref="D464:H465"/>
    <mergeCell ref="Q30:T30"/>
    <mergeCell ref="Q208:R208"/>
    <mergeCell ref="M229:N229"/>
    <mergeCell ref="S185:T185"/>
    <mergeCell ref="K167:N167"/>
    <mergeCell ref="Q122:R122"/>
    <mergeCell ref="Q61:T62"/>
    <mergeCell ref="F417:H417"/>
    <mergeCell ref="G201:H201"/>
    <mergeCell ref="S269:T269"/>
    <mergeCell ref="G203:H203"/>
    <mergeCell ref="Q140:R140"/>
    <mergeCell ref="G238:H238"/>
    <mergeCell ref="K63:N64"/>
    <mergeCell ref="Q229:R229"/>
    <mergeCell ref="K183:L183"/>
    <mergeCell ref="K54:L54"/>
    <mergeCell ref="K271:L271"/>
    <mergeCell ref="K273:L273"/>
    <mergeCell ref="M31:N31"/>
    <mergeCell ref="Q280:R280"/>
    <mergeCell ref="J124:J125"/>
    <mergeCell ref="E77:F77"/>
    <mergeCell ref="P282:T286"/>
    <mergeCell ref="K268:L268"/>
    <mergeCell ref="D256:D257"/>
    <mergeCell ref="D303:E303"/>
    <mergeCell ref="G164:H164"/>
    <mergeCell ref="G217:H217"/>
    <mergeCell ref="P458:P459"/>
    <mergeCell ref="D417:E417"/>
    <mergeCell ref="P337:Q338"/>
    <mergeCell ref="D89:H93"/>
    <mergeCell ref="M173:N173"/>
    <mergeCell ref="E63:H64"/>
    <mergeCell ref="D396:D397"/>
    <mergeCell ref="E267:H267"/>
    <mergeCell ref="P186:P187"/>
    <mergeCell ref="K139:N139"/>
    <mergeCell ref="Q146:T146"/>
    <mergeCell ref="S270:T270"/>
    <mergeCell ref="P375:T377"/>
    <mergeCell ref="D510:K510"/>
    <mergeCell ref="Q207:R207"/>
    <mergeCell ref="Q480:T481"/>
    <mergeCell ref="E277:H278"/>
    <mergeCell ref="P58:P59"/>
    <mergeCell ref="Q60:T60"/>
    <mergeCell ref="L19:T19"/>
    <mergeCell ref="M96:N96"/>
    <mergeCell ref="E145:F145"/>
    <mergeCell ref="P196:T200"/>
    <mergeCell ref="P393:T395"/>
    <mergeCell ref="M98:N98"/>
    <mergeCell ref="J88:N88"/>
    <mergeCell ref="G228:H228"/>
    <mergeCell ref="E321:H321"/>
    <mergeCell ref="K58:L58"/>
    <mergeCell ref="P281:T281"/>
    <mergeCell ref="D154:H158"/>
    <mergeCell ref="R12:T13"/>
    <mergeCell ref="M238:N238"/>
    <mergeCell ref="K209:N209"/>
    <mergeCell ref="Q251:R251"/>
    <mergeCell ref="E183:F183"/>
    <mergeCell ref="Q271:R271"/>
    <mergeCell ref="K78:L78"/>
    <mergeCell ref="G247:H247"/>
    <mergeCell ref="D218:H218"/>
    <mergeCell ref="Q254:T255"/>
    <mergeCell ref="Q273:R273"/>
    <mergeCell ref="Q248:R248"/>
    <mergeCell ref="K80:L80"/>
    <mergeCell ref="M142:N142"/>
    <mergeCell ref="P124:P125"/>
    <mergeCell ref="K79:L79"/>
    <mergeCell ref="Q256:T257"/>
    <mergeCell ref="P126:P127"/>
    <mergeCell ref="J256:J257"/>
    <mergeCell ref="M164:N164"/>
    <mergeCell ref="G269:H269"/>
    <mergeCell ref="Q396:T397"/>
    <mergeCell ref="P289:P292"/>
    <mergeCell ref="P239:T239"/>
    <mergeCell ref="M66:N66"/>
    <mergeCell ref="P144:P145"/>
    <mergeCell ref="C6:S6"/>
    <mergeCell ref="E141:F141"/>
    <mergeCell ref="J275:J276"/>
    <mergeCell ref="K146:N146"/>
    <mergeCell ref="E143:F143"/>
    <mergeCell ref="D293:D294"/>
    <mergeCell ref="P170:P171"/>
    <mergeCell ref="G323:H323"/>
    <mergeCell ref="S78:T78"/>
    <mergeCell ref="D343:T346"/>
    <mergeCell ref="K145:L145"/>
    <mergeCell ref="F351:H352"/>
    <mergeCell ref="E437:H437"/>
    <mergeCell ref="D463:F463"/>
    <mergeCell ref="K288:N288"/>
    <mergeCell ref="P424:T424"/>
    <mergeCell ref="S463:T463"/>
    <mergeCell ref="P100:P101"/>
    <mergeCell ref="J230:J231"/>
    <mergeCell ref="K163:L163"/>
    <mergeCell ref="K202:N202"/>
    <mergeCell ref="D359:K359"/>
    <mergeCell ref="K165:L165"/>
    <mergeCell ref="L510:T510"/>
    <mergeCell ref="M140:N140"/>
    <mergeCell ref="K77:L77"/>
    <mergeCell ref="D342:T342"/>
    <mergeCell ref="E207:F207"/>
    <mergeCell ref="D370:H371"/>
    <mergeCell ref="D58:D59"/>
    <mergeCell ref="G271:H271"/>
    <mergeCell ref="E60:H60"/>
    <mergeCell ref="D161:D164"/>
    <mergeCell ref="K87:L87"/>
    <mergeCell ref="M280:N280"/>
    <mergeCell ref="D393:H395"/>
    <mergeCell ref="S173:T173"/>
    <mergeCell ref="L35:N35"/>
    <mergeCell ref="G268:H268"/>
    <mergeCell ref="J219:N223"/>
    <mergeCell ref="D364:T364"/>
    <mergeCell ref="P12:Q13"/>
    <mergeCell ref="J396:J397"/>
    <mergeCell ref="K246:N246"/>
    <mergeCell ref="Q139:T139"/>
    <mergeCell ref="P425:T436"/>
    <mergeCell ref="G407:H407"/>
    <mergeCell ref="K396:N397"/>
    <mergeCell ref="D378:D379"/>
    <mergeCell ref="D500:D501"/>
    <mergeCell ref="Q99:R99"/>
    <mergeCell ref="P168:P169"/>
    <mergeCell ref="S163:T163"/>
    <mergeCell ref="K141:L141"/>
    <mergeCell ref="E74:H74"/>
    <mergeCell ref="S76:T76"/>
    <mergeCell ref="P373:Q373"/>
    <mergeCell ref="K230:L230"/>
    <mergeCell ref="Q188:T188"/>
    <mergeCell ref="J350:N350"/>
    <mergeCell ref="K124:N125"/>
    <mergeCell ref="K143:L143"/>
    <mergeCell ref="K118:L118"/>
    <mergeCell ref="J293:J294"/>
    <mergeCell ref="D404:D405"/>
    <mergeCell ref="E248:F248"/>
    <mergeCell ref="K328:N328"/>
    <mergeCell ref="G441:H441"/>
    <mergeCell ref="J170:J171"/>
    <mergeCell ref="K126:N127"/>
    <mergeCell ref="E247:F247"/>
    <mergeCell ref="D126:D127"/>
    <mergeCell ref="P140:P143"/>
    <mergeCell ref="G7:H7"/>
    <mergeCell ref="P391:Q391"/>
    <mergeCell ref="R303:T303"/>
    <mergeCell ref="S131:T131"/>
    <mergeCell ref="S87:T87"/>
    <mergeCell ref="S245:T245"/>
    <mergeCell ref="S97:T97"/>
    <mergeCell ref="Q209:T209"/>
    <mergeCell ref="R36:T37"/>
    <mergeCell ref="D144:D145"/>
    <mergeCell ref="Q57:R57"/>
    <mergeCell ref="E294:F294"/>
    <mergeCell ref="K187:L187"/>
    <mergeCell ref="P109:T109"/>
    <mergeCell ref="S115:T115"/>
    <mergeCell ref="P314:T314"/>
    <mergeCell ref="K182:L182"/>
    <mergeCell ref="D170:D171"/>
    <mergeCell ref="G78:H78"/>
    <mergeCell ref="K61:N62"/>
    <mergeCell ref="D165:D166"/>
    <mergeCell ref="J175:N179"/>
    <mergeCell ref="M248:N248"/>
    <mergeCell ref="E529:K529"/>
    <mergeCell ref="G73:H73"/>
    <mergeCell ref="P251:P252"/>
    <mergeCell ref="D503:H504"/>
    <mergeCell ref="J401:N403"/>
    <mergeCell ref="I33:T34"/>
    <mergeCell ref="S159:T159"/>
    <mergeCell ref="Q96:R96"/>
    <mergeCell ref="J84:J85"/>
    <mergeCell ref="K226:L226"/>
    <mergeCell ref="S161:T161"/>
    <mergeCell ref="Q378:T379"/>
    <mergeCell ref="K228:L228"/>
    <mergeCell ref="Q121:R121"/>
    <mergeCell ref="J378:J379"/>
    <mergeCell ref="D400:H400"/>
    <mergeCell ref="J79:J80"/>
    <mergeCell ref="K82:N83"/>
    <mergeCell ref="P272:P273"/>
    <mergeCell ref="Q152:R152"/>
    <mergeCell ref="J438:J439"/>
    <mergeCell ref="J404:J405"/>
    <mergeCell ref="D526:T527"/>
    <mergeCell ref="L521:T524"/>
    <mergeCell ref="K272:L272"/>
    <mergeCell ref="Q55:R55"/>
    <mergeCell ref="E139:H139"/>
    <mergeCell ref="Q165:R165"/>
    <mergeCell ref="J483:L483"/>
    <mergeCell ref="E99:F99"/>
    <mergeCell ref="S229:T229"/>
    <mergeCell ref="P233:P234"/>
    <mergeCell ref="Q329:T330"/>
    <mergeCell ref="K186:L186"/>
    <mergeCell ref="K269:L269"/>
    <mergeCell ref="J337:K338"/>
    <mergeCell ref="E101:F101"/>
    <mergeCell ref="D466:H466"/>
    <mergeCell ref="G163:H163"/>
    <mergeCell ref="Q331:T332"/>
    <mergeCell ref="S141:T141"/>
    <mergeCell ref="K181:N181"/>
    <mergeCell ref="K479:N479"/>
    <mergeCell ref="E100:F100"/>
    <mergeCell ref="Q66:R66"/>
    <mergeCell ref="D35:E35"/>
    <mergeCell ref="P54:P57"/>
    <mergeCell ref="S280:T280"/>
    <mergeCell ref="G77:H77"/>
    <mergeCell ref="P68:T72"/>
    <mergeCell ref="R340:T340"/>
    <mergeCell ref="D305:E305"/>
    <mergeCell ref="K53:N53"/>
    <mergeCell ref="R35:T35"/>
    <mergeCell ref="Q103:T104"/>
    <mergeCell ref="Q97:R97"/>
    <mergeCell ref="J207:J208"/>
    <mergeCell ref="Q246:T246"/>
    <mergeCell ref="J260:N260"/>
    <mergeCell ref="E209:H209"/>
    <mergeCell ref="D480:D481"/>
    <mergeCell ref="P486:T486"/>
    <mergeCell ref="K81:N81"/>
    <mergeCell ref="J400:N400"/>
    <mergeCell ref="Q124:T125"/>
    <mergeCell ref="K233:N234"/>
    <mergeCell ref="D109:H109"/>
    <mergeCell ref="G115:H115"/>
    <mergeCell ref="D19:K19"/>
    <mergeCell ref="K437:N437"/>
    <mergeCell ref="D467:H478"/>
    <mergeCell ref="Q126:T127"/>
    <mergeCell ref="D233:D234"/>
    <mergeCell ref="P247:P250"/>
    <mergeCell ref="M39:N39"/>
    <mergeCell ref="E53:H53"/>
    <mergeCell ref="K404:N405"/>
    <mergeCell ref="D210:D211"/>
    <mergeCell ref="G141:H141"/>
    <mergeCell ref="D444:H444"/>
    <mergeCell ref="Q290:R290"/>
    <mergeCell ref="G118:H118"/>
    <mergeCell ref="Q161:R161"/>
    <mergeCell ref="D521:K524"/>
    <mergeCell ref="J149:J150"/>
    <mergeCell ref="D407:E407"/>
    <mergeCell ref="E226:F226"/>
    <mergeCell ref="J121:J122"/>
    <mergeCell ref="E228:F228"/>
    <mergeCell ref="D487:H498"/>
    <mergeCell ref="J144:J145"/>
    <mergeCell ref="S227:T227"/>
    <mergeCell ref="E96:F96"/>
    <mergeCell ref="M373:N373"/>
    <mergeCell ref="K294:L294"/>
    <mergeCell ref="Q187:R187"/>
    <mergeCell ref="E98:F98"/>
    <mergeCell ref="K108:L108"/>
    <mergeCell ref="D275:D276"/>
    <mergeCell ref="K277:N278"/>
    <mergeCell ref="K325:L325"/>
    <mergeCell ref="Q205:R205"/>
    <mergeCell ref="K170:N171"/>
    <mergeCell ref="J340:K340"/>
    <mergeCell ref="G180:H180"/>
    <mergeCell ref="Q36:Q37"/>
    <mergeCell ref="D226:D229"/>
    <mergeCell ref="E295:H295"/>
    <mergeCell ref="G182:H182"/>
    <mergeCell ref="L418:N419"/>
    <mergeCell ref="P401:T403"/>
    <mergeCell ref="D129:T129"/>
    <mergeCell ref="P84:P85"/>
    <mergeCell ref="E142:F142"/>
    <mergeCell ref="S291:T291"/>
    <mergeCell ref="J191:J192"/>
    <mergeCell ref="S322:T322"/>
    <mergeCell ref="K252:L252"/>
    <mergeCell ref="Q259:R259"/>
    <mergeCell ref="M99:N99"/>
    <mergeCell ref="J103:J104"/>
    <mergeCell ref="E173:F173"/>
    <mergeCell ref="D505:E505"/>
    <mergeCell ref="G229:H229"/>
    <mergeCell ref="P441:R441"/>
    <mergeCell ref="J4:T4"/>
    <mergeCell ref="E166:F166"/>
    <mergeCell ref="D235:D236"/>
    <mergeCell ref="E331:H332"/>
    <mergeCell ref="S325:T325"/>
    <mergeCell ref="G143:H143"/>
    <mergeCell ref="Q438:T439"/>
    <mergeCell ref="D54:D57"/>
    <mergeCell ref="S320:T320"/>
    <mergeCell ref="M152:N152"/>
    <mergeCell ref="F35:H35"/>
    <mergeCell ref="K116:N116"/>
    <mergeCell ref="E246:H246"/>
    <mergeCell ref="Q272:R272"/>
    <mergeCell ref="Q185:R185"/>
    <mergeCell ref="P36:P37"/>
    <mergeCell ref="S249:T249"/>
    <mergeCell ref="E252:F252"/>
    <mergeCell ref="J11:K11"/>
    <mergeCell ref="Q186:R186"/>
    <mergeCell ref="M292:N292"/>
    <mergeCell ref="S373:T373"/>
    <mergeCell ref="M163:N163"/>
    <mergeCell ref="M76:N76"/>
    <mergeCell ref="Q31:T31"/>
    <mergeCell ref="E238:F238"/>
    <mergeCell ref="Q327:R327"/>
    <mergeCell ref="J67:N67"/>
    <mergeCell ref="Q204:R204"/>
    <mergeCell ref="S391:T391"/>
    <mergeCell ref="J399:K399"/>
    <mergeCell ref="G354:H354"/>
    <mergeCell ref="E108:F108"/>
    <mergeCell ref="J189:J190"/>
    <mergeCell ref="K188:N188"/>
    <mergeCell ref="R27:T28"/>
    <mergeCell ref="P418:T419"/>
    <mergeCell ref="G356:H356"/>
    <mergeCell ref="E162:F162"/>
    <mergeCell ref="M97:N97"/>
    <mergeCell ref="L308:N308"/>
    <mergeCell ref="E164:F164"/>
    <mergeCell ref="K57:L57"/>
    <mergeCell ref="G226:H226"/>
    <mergeCell ref="P191:P192"/>
    <mergeCell ref="Q217:R217"/>
    <mergeCell ref="Q233:T234"/>
    <mergeCell ref="E147:H148"/>
    <mergeCell ref="S323:T323"/>
    <mergeCell ref="R351:T352"/>
    <mergeCell ref="J329:J330"/>
    <mergeCell ref="Q437:T437"/>
    <mergeCell ref="L303:N303"/>
    <mergeCell ref="Q235:T236"/>
    <mergeCell ref="J161:J164"/>
    <mergeCell ref="J422:N423"/>
    <mergeCell ref="M421:N421"/>
    <mergeCell ref="D9:H10"/>
    <mergeCell ref="M108:N108"/>
    <mergeCell ref="J418:K419"/>
    <mergeCell ref="E182:F182"/>
    <mergeCell ref="K75:L75"/>
    <mergeCell ref="P39:T39"/>
    <mergeCell ref="G248:H248"/>
    <mergeCell ref="K210:N211"/>
    <mergeCell ref="P121:P122"/>
    <mergeCell ref="Q457:T457"/>
    <mergeCell ref="P483:R483"/>
    <mergeCell ref="M159:N159"/>
    <mergeCell ref="E208:F208"/>
    <mergeCell ref="D84:D85"/>
    <mergeCell ref="M161:N161"/>
    <mergeCell ref="K378:N379"/>
    <mergeCell ref="P484:T485"/>
    <mergeCell ref="J254:J255"/>
    <mergeCell ref="K217:L217"/>
    <mergeCell ref="J308:K308"/>
    <mergeCell ref="D61:D62"/>
    <mergeCell ref="E203:F203"/>
    <mergeCell ref="P149:P150"/>
    <mergeCell ref="D386:D387"/>
    <mergeCell ref="G292:H292"/>
    <mergeCell ref="P351:Q352"/>
    <mergeCell ref="D422:H423"/>
    <mergeCell ref="D441:F441"/>
    <mergeCell ref="S57:T57"/>
    <mergeCell ref="K131:L131"/>
    <mergeCell ref="J75:J78"/>
    <mergeCell ref="E212:H213"/>
    <mergeCell ref="G108:H108"/>
    <mergeCell ref="D418:E419"/>
    <mergeCell ref="J89:N93"/>
    <mergeCell ref="J272:J273"/>
    <mergeCell ref="G325:H325"/>
    <mergeCell ref="D412:D413"/>
    <mergeCell ref="K267:N267"/>
    <mergeCell ref="G320:H320"/>
    <mergeCell ref="S75:T75"/>
    <mergeCell ref="P133:T137"/>
    <mergeCell ref="M205:N205"/>
    <mergeCell ref="K142:L142"/>
    <mergeCell ref="E82:H83"/>
    <mergeCell ref="K55:L55"/>
    <mergeCell ref="P189:P190"/>
    <mergeCell ref="K144:L144"/>
    <mergeCell ref="E102:H102"/>
    <mergeCell ref="E280:F280"/>
    <mergeCell ref="D348:H349"/>
    <mergeCell ref="D282:H286"/>
    <mergeCell ref="G162:H162"/>
    <mergeCell ref="E186:F186"/>
    <mergeCell ref="Q191:T192"/>
    <mergeCell ref="E4:H4"/>
    <mergeCell ref="P421:R421"/>
    <mergeCell ref="K331:N332"/>
    <mergeCell ref="D458:D459"/>
    <mergeCell ref="K66:L66"/>
    <mergeCell ref="M259:N259"/>
    <mergeCell ref="Q123:T123"/>
    <mergeCell ref="G391:H391"/>
    <mergeCell ref="D186:D187"/>
    <mergeCell ref="M290:N290"/>
    <mergeCell ref="E519:K519"/>
    <mergeCell ref="E146:H146"/>
    <mergeCell ref="D239:H239"/>
    <mergeCell ref="D350:E350"/>
    <mergeCell ref="J383:N385"/>
    <mergeCell ref="E480:H481"/>
    <mergeCell ref="Q78:R78"/>
    <mergeCell ref="P147:P148"/>
    <mergeCell ref="P442:T443"/>
    <mergeCell ref="Q80:R80"/>
    <mergeCell ref="S142:T142"/>
    <mergeCell ref="K191:N192"/>
    <mergeCell ref="S55:T55"/>
    <mergeCell ref="L360:T362"/>
    <mergeCell ref="J61:J62"/>
    <mergeCell ref="J421:L421"/>
    <mergeCell ref="Q167:T167"/>
    <mergeCell ref="K103:N104"/>
    <mergeCell ref="D408:H408"/>
    <mergeCell ref="D415:H416"/>
    <mergeCell ref="E235:H236"/>
    <mergeCell ref="P374:T374"/>
    <mergeCell ref="L337:N338"/>
    <mergeCell ref="D281:H281"/>
    <mergeCell ref="S66:T66"/>
    <mergeCell ref="J296:J297"/>
    <mergeCell ref="K140:L140"/>
    <mergeCell ref="K229:L229"/>
    <mergeCell ref="D121:D122"/>
    <mergeCell ref="M204:N204"/>
    <mergeCell ref="R307:T307"/>
    <mergeCell ref="M356:N356"/>
    <mergeCell ref="E271:F271"/>
    <mergeCell ref="P445:T456"/>
    <mergeCell ref="R308:T308"/>
    <mergeCell ref="E254:H255"/>
    <mergeCell ref="E273:F273"/>
    <mergeCell ref="G31:H31"/>
    <mergeCell ref="K280:L280"/>
    <mergeCell ref="D124:D125"/>
    <mergeCell ref="P88:T88"/>
    <mergeCell ref="S119:T119"/>
    <mergeCell ref="J282:N286"/>
    <mergeCell ref="P329:P330"/>
    <mergeCell ref="J12:K13"/>
    <mergeCell ref="G57:H57"/>
    <mergeCell ref="Q206:R206"/>
    <mergeCell ref="M227:N227"/>
    <mergeCell ref="G357:H357"/>
    <mergeCell ref="E396:H397"/>
    <mergeCell ref="P230:P231"/>
    <mergeCell ref="Q76:R76"/>
    <mergeCell ref="S138:T138"/>
    <mergeCell ref="D515:T515"/>
    <mergeCell ref="G75:H75"/>
    <mergeCell ref="D133:H137"/>
    <mergeCell ref="S140:T140"/>
    <mergeCell ref="K189:N190"/>
    <mergeCell ref="S194:T194"/>
    <mergeCell ref="J2:T3"/>
    <mergeCell ref="E499:H499"/>
    <mergeCell ref="E191:H192"/>
    <mergeCell ref="Q131:R131"/>
    <mergeCell ref="P75:P78"/>
    <mergeCell ref="J393:N395"/>
    <mergeCell ref="M325:N325"/>
    <mergeCell ref="Q274:T274"/>
    <mergeCell ref="Q120:R120"/>
    <mergeCell ref="D424:H424"/>
    <mergeCell ref="G463:H463"/>
    <mergeCell ref="G131:H131"/>
    <mergeCell ref="E58:F58"/>
    <mergeCell ref="S184:T184"/>
    <mergeCell ref="J442:N443"/>
    <mergeCell ref="K251:L251"/>
    <mergeCell ref="R306:T306"/>
    <mergeCell ref="J314:N314"/>
    <mergeCell ref="E78:F78"/>
    <mergeCell ref="F350:H350"/>
    <mergeCell ref="M40:N40"/>
    <mergeCell ref="K254:N255"/>
    <mergeCell ref="Q458:T459"/>
    <mergeCell ref="E61:H62"/>
    <mergeCell ref="D215:T215"/>
    <mergeCell ref="E80:F80"/>
    <mergeCell ref="G142:H142"/>
    <mergeCell ref="Q328:T328"/>
    <mergeCell ref="Q291:R291"/>
    <mergeCell ref="S266:T266"/>
    <mergeCell ref="Q45:R45"/>
    <mergeCell ref="Q293:R293"/>
    <mergeCell ref="G173:H173"/>
    <mergeCell ref="S268:T268"/>
    <mergeCell ref="D374:H374"/>
    <mergeCell ref="J36:K37"/>
    <mergeCell ref="J186:J187"/>
    <mergeCell ref="M399:N399"/>
    <mergeCell ref="J289:J292"/>
    <mergeCell ref="D425:H436"/>
    <mergeCell ref="I310:T311"/>
    <mergeCell ref="D42:H43"/>
    <mergeCell ref="L306:N306"/>
    <mergeCell ref="E188:H188"/>
    <mergeCell ref="D520:K520"/>
    <mergeCell ref="K60:N60"/>
    <mergeCell ref="D373:E373"/>
    <mergeCell ref="F505:T505"/>
    <mergeCell ref="J196:N200"/>
    <mergeCell ref="K329:N330"/>
    <mergeCell ref="D88:H88"/>
    <mergeCell ref="P226:P229"/>
    <mergeCell ref="D140:D143"/>
    <mergeCell ref="K499:N499"/>
    <mergeCell ref="D331:D332"/>
    <mergeCell ref="R337:T338"/>
    <mergeCell ref="Q117:R117"/>
    <mergeCell ref="K76:L76"/>
    <mergeCell ref="M138:N138"/>
    <mergeCell ref="G245:H245"/>
    <mergeCell ref="P261:T265"/>
    <mergeCell ref="P296:P297"/>
    <mergeCell ref="L12:N13"/>
    <mergeCell ref="M463:N463"/>
    <mergeCell ref="J100:J101"/>
    <mergeCell ref="P298:P299"/>
    <mergeCell ref="S204:T204"/>
    <mergeCell ref="E163:F163"/>
    <mergeCell ref="S206:T206"/>
    <mergeCell ref="P354:T354"/>
    <mergeCell ref="Q289:R289"/>
    <mergeCell ref="K256:N257"/>
    <mergeCell ref="P438:P439"/>
    <mergeCell ref="K122:L122"/>
    <mergeCell ref="Q313:R313"/>
    <mergeCell ref="K291:L291"/>
    <mergeCell ref="Q184:R184"/>
    <mergeCell ref="K149:N150"/>
    <mergeCell ref="D75:D78"/>
    <mergeCell ref="P67:T67"/>
    <mergeCell ref="E274:H274"/>
    <mergeCell ref="P219:T223"/>
    <mergeCell ref="E120:F120"/>
    <mergeCell ref="S250:T250"/>
    <mergeCell ref="J298:J299"/>
    <mergeCell ref="S399:T399"/>
    <mergeCell ref="J133:N137"/>
    <mergeCell ref="M206:N206"/>
    <mergeCell ref="E121:F121"/>
    <mergeCell ref="Q189:T190"/>
    <mergeCell ref="Q326:R326"/>
    <mergeCell ref="G39:H39"/>
    <mergeCell ref="S117:T117"/>
    <mergeCell ref="D272:D273"/>
    <mergeCell ref="K74:N74"/>
    <mergeCell ref="M78:N78"/>
    <mergeCell ref="E152:F152"/>
    <mergeCell ref="E118:F118"/>
    <mergeCell ref="E458:H459"/>
    <mergeCell ref="J35:K35"/>
    <mergeCell ref="P212:P213"/>
    <mergeCell ref="E328:H328"/>
    <mergeCell ref="K161:L161"/>
    <mergeCell ref="M217:N217"/>
    <mergeCell ref="E288:H288"/>
    <mergeCell ref="I503:T504"/>
    <mergeCell ref="D530:K530"/>
    <mergeCell ref="J424:N424"/>
    <mergeCell ref="E292:F292"/>
    <mergeCell ref="M131:N131"/>
    <mergeCell ref="G52:H52"/>
    <mergeCell ref="P305:Q305"/>
    <mergeCell ref="E165:F165"/>
    <mergeCell ref="L36:N37"/>
    <mergeCell ref="L520:T520"/>
    <mergeCell ref="J375:N377"/>
    <mergeCell ref="M271:N271"/>
    <mergeCell ref="P268:P271"/>
    <mergeCell ref="P308:Q308"/>
    <mergeCell ref="P218:T218"/>
    <mergeCell ref="D511:K514"/>
    <mergeCell ref="G280:H280"/>
    <mergeCell ref="Q183:R183"/>
    <mergeCell ref="K227:L227"/>
    <mergeCell ref="J165:J166"/>
    <mergeCell ref="M291:N291"/>
    <mergeCell ref="J382:N382"/>
    <mergeCell ref="J425:N436"/>
    <mergeCell ref="D536:T537"/>
    <mergeCell ref="D296:D297"/>
    <mergeCell ref="K99:L99"/>
    <mergeCell ref="E229:F229"/>
    <mergeCell ref="Q324:R324"/>
    <mergeCell ref="J168:J169"/>
    <mergeCell ref="D298:D299"/>
    <mergeCell ref="G206:H206"/>
    <mergeCell ref="P392:T392"/>
    <mergeCell ref="Q325:R325"/>
    <mergeCell ref="D365:T368"/>
    <mergeCell ref="E124:H125"/>
    <mergeCell ref="E126:H127"/>
    <mergeCell ref="D247:D250"/>
    <mergeCell ref="E289:F289"/>
    <mergeCell ref="J445:N456"/>
    <mergeCell ref="K152:L152"/>
    <mergeCell ref="D438:D439"/>
    <mergeCell ref="J140:J143"/>
    <mergeCell ref="A8:B29"/>
    <mergeCell ref="E290:F290"/>
    <mergeCell ref="J391:K391"/>
    <mergeCell ref="P105:P106"/>
    <mergeCell ref="E161:F161"/>
    <mergeCell ref="K185:L185"/>
    <mergeCell ref="Q249:R249"/>
    <mergeCell ref="K56:L56"/>
    <mergeCell ref="J326:J327"/>
    <mergeCell ref="Q225:T225"/>
    <mergeCell ref="S313:T313"/>
    <mergeCell ref="Q102:T102"/>
    <mergeCell ref="M120:N120"/>
    <mergeCell ref="D168:D169"/>
    <mergeCell ref="L359:T359"/>
    <mergeCell ref="G250:H250"/>
    <mergeCell ref="J239:N239"/>
    <mergeCell ref="R11:T11"/>
    <mergeCell ref="E187:F187"/>
    <mergeCell ref="G76:H76"/>
    <mergeCell ref="M115:N115"/>
    <mergeCell ref="F506:T507"/>
    <mergeCell ref="S483:T483"/>
    <mergeCell ref="E205:F205"/>
    <mergeCell ref="M287:N287"/>
    <mergeCell ref="J54:J57"/>
    <mergeCell ref="D212:D213"/>
    <mergeCell ref="G87:H87"/>
    <mergeCell ref="J68:N72"/>
    <mergeCell ref="L340:N340"/>
    <mergeCell ref="J251:J252"/>
    <mergeCell ref="L530:T530"/>
    <mergeCell ref="K253:N253"/>
    <mergeCell ref="D401:H403"/>
    <mergeCell ref="K97:L97"/>
    <mergeCell ref="D207:D208"/>
    <mergeCell ref="L529:N529"/>
    <mergeCell ref="M313:N313"/>
    <mergeCell ref="S54:T54"/>
    <mergeCell ref="E210:H211"/>
    <mergeCell ref="M184:N184"/>
    <mergeCell ref="K121:L121"/>
    <mergeCell ref="Q298:T299"/>
    <mergeCell ref="S56:T56"/>
    <mergeCell ref="E81:H81"/>
    <mergeCell ref="E259:F259"/>
    <mergeCell ref="Q166:R166"/>
    <mergeCell ref="L511:T514"/>
    <mergeCell ref="Q170:T171"/>
    <mergeCell ref="P340:Q340"/>
    <mergeCell ref="P400:T400"/>
    <mergeCell ref="D308:E308"/>
    <mergeCell ref="S224:T224"/>
    <mergeCell ref="S441:T441"/>
    <mergeCell ref="J467:N478"/>
    <mergeCell ref="K270:L270"/>
    <mergeCell ref="D251:D252"/>
    <mergeCell ref="P322:P325"/>
    <mergeCell ref="E404:H405"/>
    <mergeCell ref="M57:N57"/>
    <mergeCell ref="K293:L293"/>
    <mergeCell ref="M355:N355"/>
    <mergeCell ref="S94:T94"/>
    <mergeCell ref="E97:F97"/>
    <mergeCell ref="G159:H159"/>
    <mergeCell ref="R7:T7"/>
    <mergeCell ref="M357:N357"/>
    <mergeCell ref="R305:T305"/>
    <mergeCell ref="P399:Q399"/>
    <mergeCell ref="E272:F272"/>
    <mergeCell ref="G161:H161"/>
    <mergeCell ref="D33:H34"/>
    <mergeCell ref="R336:T336"/>
    <mergeCell ref="S120:T120"/>
    <mergeCell ref="K194:L194"/>
    <mergeCell ref="D289:D292"/>
    <mergeCell ref="J182:J185"/>
    <mergeCell ref="G373:H373"/>
    <mergeCell ref="E275:H276"/>
    <mergeCell ref="J132:N132"/>
    <mergeCell ref="E181:H181"/>
    <mergeCell ref="L11:N11"/>
    <mergeCell ref="D461:T461"/>
    <mergeCell ref="E479:H479"/>
    <mergeCell ref="D392:H392"/>
    <mergeCell ref="E325:F325"/>
    <mergeCell ref="D2:D4"/>
    <mergeCell ref="E327:F327"/>
    <mergeCell ref="M289:N289"/>
    <mergeCell ref="E509:K509"/>
    <mergeCell ref="J322:J325"/>
    <mergeCell ref="Q75:R75"/>
    <mergeCell ref="D26:N26"/>
    <mergeCell ref="K205:L205"/>
    <mergeCell ref="S52:T52"/>
    <mergeCell ref="P110:T114"/>
    <mergeCell ref="K119:L119"/>
    <mergeCell ref="Q84:T85"/>
    <mergeCell ref="P11:Q11"/>
    <mergeCell ref="K208:L208"/>
    <mergeCell ref="Q162:R162"/>
    <mergeCell ref="K95:N95"/>
    <mergeCell ref="M183:N183"/>
    <mergeCell ref="J486:N486"/>
    <mergeCell ref="P195:T195"/>
    <mergeCell ref="P336:Q336"/>
    <mergeCell ref="P529:T529"/>
    <mergeCell ref="D191:D192"/>
    <mergeCell ref="E233:H234"/>
    <mergeCell ref="M322:N322"/>
    <mergeCell ref="K259:L259"/>
    <mergeCell ref="G99:H99"/>
    <mergeCell ref="P117:P120"/>
    <mergeCell ref="E66:F66"/>
    <mergeCell ref="J247:J250"/>
    <mergeCell ref="M324:N324"/>
    <mergeCell ref="M55:N55"/>
    <mergeCell ref="K290:L290"/>
    <mergeCell ref="M354:N354"/>
    <mergeCell ref="J351:N352"/>
    <mergeCell ref="G152:H152"/>
    <mergeCell ref="E123:H123"/>
    <mergeCell ref="K323:L323"/>
    <mergeCell ref="S205:T205"/>
    <mergeCell ref="P326:P327"/>
    <mergeCell ref="M381:N381"/>
    <mergeCell ref="G54:H54"/>
    <mergeCell ref="D484:H485"/>
    <mergeCell ref="Q203:R203"/>
    <mergeCell ref="K168:N169"/>
    <mergeCell ref="G56:H56"/>
    <mergeCell ref="S292:T292"/>
    <mergeCell ref="J373:K373"/>
    <mergeCell ref="D174:H174"/>
    <mergeCell ref="D351:E352"/>
    <mergeCell ref="I9:T10"/>
    <mergeCell ref="E293:F293"/>
    <mergeCell ref="Q231:R231"/>
    <mergeCell ref="E170:H171"/>
    <mergeCell ref="S287:T287"/>
    <mergeCell ref="M94:N94"/>
    <mergeCell ref="I334:T335"/>
    <mergeCell ref="J212:J213"/>
    <mergeCell ref="S289:T289"/>
    <mergeCell ref="K204:L204"/>
    <mergeCell ref="F418:H419"/>
    <mergeCell ref="Q253:T253"/>
    <mergeCell ref="Q247:R247"/>
    <mergeCell ref="G227:H227"/>
    <mergeCell ref="Q101:R101"/>
    <mergeCell ref="L509:N509"/>
    <mergeCell ref="D399:E399"/>
    <mergeCell ref="D189:D190"/>
    <mergeCell ref="J82:J83"/>
    <mergeCell ref="P203:P206"/>
    <mergeCell ref="F307:H307"/>
    <mergeCell ref="P153:T153"/>
    <mergeCell ref="D16:T17"/>
    <mergeCell ref="Q95:T95"/>
    <mergeCell ref="I370:T371"/>
    <mergeCell ref="G97:H97"/>
    <mergeCell ref="F308:H308"/>
    <mergeCell ref="D375:H377"/>
    <mergeCell ref="Q270:R270"/>
    <mergeCell ref="K250:L250"/>
    <mergeCell ref="J305:K305"/>
    <mergeCell ref="D196:H200"/>
    <mergeCell ref="Q149:T150"/>
    <mergeCell ref="E75:F75"/>
    <mergeCell ref="J307:K307"/>
    <mergeCell ref="P27:Q28"/>
    <mergeCell ref="K457:N457"/>
    <mergeCell ref="E84:H85"/>
    <mergeCell ref="Q194:R194"/>
    <mergeCell ref="E378:H379"/>
    <mergeCell ref="P355:T357"/>
    <mergeCell ref="E386:H387"/>
    <mergeCell ref="J392:N392"/>
    <mergeCell ref="K327:L327"/>
    <mergeCell ref="D117:D120"/>
    <mergeCell ref="D67:H67"/>
    <mergeCell ref="M391:N391"/>
    <mergeCell ref="P63:P64"/>
    <mergeCell ref="E412:H413"/>
    <mergeCell ref="K45:L45"/>
    <mergeCell ref="P240:T244"/>
    <mergeCell ref="M75:N75"/>
    <mergeCell ref="G249:H249"/>
    <mergeCell ref="G205:H205"/>
    <mergeCell ref="P277:P278"/>
    <mergeCell ref="D326:D327"/>
    <mergeCell ref="D445:H456"/>
    <mergeCell ref="E144:F144"/>
    <mergeCell ref="D329:D330"/>
    <mergeCell ref="Q268:R268"/>
    <mergeCell ref="M162:N162"/>
    <mergeCell ref="K235:N236"/>
    <mergeCell ref="Q295:T295"/>
    <mergeCell ref="S324:T324"/>
    <mergeCell ref="J303:K303"/>
    <mergeCell ref="E204:F204"/>
    <mergeCell ref="E231:F231"/>
    <mergeCell ref="E206:F206"/>
    <mergeCell ref="P96:P99"/>
    <mergeCell ref="J304:K304"/>
    <mergeCell ref="P46:T46"/>
    <mergeCell ref="J306:K306"/>
    <mergeCell ref="M30:N30"/>
    <mergeCell ref="K123:N123"/>
    <mergeCell ref="E253:H253"/>
    <mergeCell ref="K117:L117"/>
    <mergeCell ref="J277:J278"/>
    <mergeCell ref="G290:H290"/>
    <mergeCell ref="S45:T45"/>
    <mergeCell ref="D27:N28"/>
    <mergeCell ref="K275:N276"/>
    <mergeCell ref="M185:N185"/>
    <mergeCell ref="J484:N485"/>
    <mergeCell ref="D100:D101"/>
    <mergeCell ref="M483:N483"/>
    <mergeCell ref="E217:F217"/>
    <mergeCell ref="Q168:T169"/>
    <mergeCell ref="D203:D206"/>
    <mergeCell ref="M56:N56"/>
    <mergeCell ref="D153:H153"/>
    <mergeCell ref="G194:H194"/>
    <mergeCell ref="S96:T96"/>
    <mergeCell ref="M201:N201"/>
    <mergeCell ref="E131:F131"/>
    <mergeCell ref="E87:F87"/>
    <mergeCell ref="P61:P62"/>
    <mergeCell ref="E103:H104"/>
    <mergeCell ref="S73:T73"/>
    <mergeCell ref="S98:T98"/>
    <mergeCell ref="M203:N203"/>
    <mergeCell ref="J261:N265"/>
    <mergeCell ref="E270:F270"/>
    <mergeCell ref="J374:N374"/>
    <mergeCell ref="Q212:T213"/>
    <mergeCell ref="P417:T417"/>
    <mergeCell ref="J315:N319"/>
    <mergeCell ref="L23:T24"/>
    <mergeCell ref="D337:H338"/>
    <mergeCell ref="I42:T43"/>
    <mergeCell ref="E116:H116"/>
    <mergeCell ref="L307:N307"/>
    <mergeCell ref="D20:K24"/>
    <mergeCell ref="M247:N247"/>
    <mergeCell ref="Q82:T83"/>
    <mergeCell ref="Q79:R79"/>
    <mergeCell ref="E291:F291"/>
    <mergeCell ref="J417:K417"/>
    <mergeCell ref="E149:H150"/>
    <mergeCell ref="G266:H266"/>
    <mergeCell ref="G259:H259"/>
    <mergeCell ref="Q250:R250"/>
    <mergeCell ref="E184:F184"/>
    <mergeCell ref="K206:L206"/>
    <mergeCell ref="P307:Q307"/>
    <mergeCell ref="M270:N270"/>
    <mergeCell ref="D383:H385"/>
    <mergeCell ref="M52:N52"/>
    <mergeCell ref="J110:N114"/>
    <mergeCell ref="P464:T465"/>
    <mergeCell ref="K84:N85"/>
    <mergeCell ref="J147:J148"/>
    <mergeCell ref="D277:D278"/>
    <mergeCell ref="K386:N387"/>
    <mergeCell ref="D421:F421"/>
    <mergeCell ref="K321:N321"/>
    <mergeCell ref="E57:F57"/>
    <mergeCell ref="M194:N194"/>
    <mergeCell ref="E268:F268"/>
    <mergeCell ref="G421:H421"/>
    <mergeCell ref="K160:N160"/>
    <mergeCell ref="D301:H302"/>
    <mergeCell ref="D261:H265"/>
    <mergeCell ref="J154:N158"/>
    <mergeCell ref="Q322:R322"/>
    <mergeCell ref="K274:N274"/>
    <mergeCell ref="S238:T238"/>
    <mergeCell ref="E140:F140"/>
    <mergeCell ref="Q210:T211"/>
    <mergeCell ref="J268:J271"/>
    <mergeCell ref="D442:H443"/>
    <mergeCell ref="P500:P501"/>
    <mergeCell ref="J218:N218"/>
    <mergeCell ref="G45:H45"/>
    <mergeCell ref="G55:H55"/>
    <mergeCell ref="S108:T108"/>
    <mergeCell ref="E167:H167"/>
    <mergeCell ref="P444:T444"/>
    <mergeCell ref="G40:H40"/>
    <mergeCell ref="P256:P257"/>
    <mergeCell ref="K458:N459"/>
    <mergeCell ref="S164:T164"/>
    <mergeCell ref="E313:F313"/>
    <mergeCell ref="M266:N266"/>
    <mergeCell ref="G66:H66"/>
    <mergeCell ref="M268:N268"/>
    <mergeCell ref="K232:N232"/>
    <mergeCell ref="D357:E357"/>
    <mergeCell ref="G399:H399"/>
    <mergeCell ref="P275:P276"/>
    <mergeCell ref="Q119:R119"/>
    <mergeCell ref="E189:H190"/>
    <mergeCell ref="K101:L101"/>
    <mergeCell ref="G270:H270"/>
    <mergeCell ref="S183:T183"/>
    <mergeCell ref="E326:F326"/>
    <mergeCell ref="Q277:T278"/>
    <mergeCell ref="J203:J206"/>
    <mergeCell ref="J153:N153"/>
    <mergeCell ref="P26:Q26"/>
    <mergeCell ref="M323:N323"/>
    <mergeCell ref="E55:F55"/>
    <mergeCell ref="G117:H117"/>
    <mergeCell ref="S180:T180"/>
    <mergeCell ref="Q145:R145"/>
    <mergeCell ref="K248:L248"/>
    <mergeCell ref="J463:L463"/>
    <mergeCell ref="K247:L247"/>
    <mergeCell ref="E329:H330"/>
    <mergeCell ref="S203:T203"/>
    <mergeCell ref="Q288:T288"/>
    <mergeCell ref="K249:L249"/>
    <mergeCell ref="M7:N7"/>
    <mergeCell ref="Q499:T499"/>
    <mergeCell ref="P165:P166"/>
    <mergeCell ref="K120:L120"/>
    <mergeCell ref="D230:D231"/>
    <mergeCell ref="E250:F250"/>
    <mergeCell ref="Q296:T297"/>
    <mergeCell ref="E76:F76"/>
    <mergeCell ref="G138:H138"/>
    <mergeCell ref="Q202:T202"/>
    <mergeCell ref="D68:H72"/>
    <mergeCell ref="E251:F251"/>
    <mergeCell ref="G140:H140"/>
    <mergeCell ref="D12:H13"/>
    <mergeCell ref="Q77:R77"/>
    <mergeCell ref="D314:H314"/>
    <mergeCell ref="S247:T247"/>
    <mergeCell ref="K173:L173"/>
    <mergeCell ref="J381:K381"/>
    <mergeCell ref="L417:N417"/>
    <mergeCell ref="J331:J332"/>
    <mergeCell ref="E256:H257"/>
    <mergeCell ref="D486:H486"/>
    <mergeCell ref="Q59:R59"/>
    <mergeCell ref="P175:T179"/>
    <mergeCell ref="D36:E37"/>
    <mergeCell ref="K184:L184"/>
    <mergeCell ref="Q56:R56"/>
    <mergeCell ref="D354:E354"/>
    <mergeCell ref="E322:F322"/>
    <mergeCell ref="J500:J501"/>
    <mergeCell ref="D356:E356"/>
    <mergeCell ref="M250:N250"/>
    <mergeCell ref="E324:F324"/>
    <mergeCell ref="K500:N501"/>
    <mergeCell ref="Q141:R141"/>
    <mergeCell ref="D381:E381"/>
    <mergeCell ref="P82:P83"/>
    <mergeCell ref="Q230:R230"/>
    <mergeCell ref="E2:H3"/>
    <mergeCell ref="Q143:R143"/>
    <mergeCell ref="P293:P294"/>
    <mergeCell ref="K326:L326"/>
    <mergeCell ref="P466:T466"/>
    <mergeCell ref="L519:N519"/>
    <mergeCell ref="J126:J127"/>
    <mergeCell ref="P463:R463"/>
    <mergeCell ref="S217:T217"/>
    <mergeCell ref="K292:L292"/>
    <mergeCell ref="D306:E306"/>
    <mergeCell ref="M45:N45"/>
    <mergeCell ref="D525:T525"/>
    <mergeCell ref="E119:F119"/>
    <mergeCell ref="K289:L289"/>
    <mergeCell ref="Q182:R182"/>
    <mergeCell ref="K147:N148"/>
    <mergeCell ref="G183:H183"/>
    <mergeCell ref="S271:T271"/>
    <mergeCell ref="G185:H185"/>
    <mergeCell ref="G483:H483"/>
    <mergeCell ref="E122:F122"/>
    <mergeCell ref="P467:T478"/>
    <mergeCell ref="K313:L313"/>
    <mergeCell ref="S248:T248"/>
    <mergeCell ref="R26:T26"/>
    <mergeCell ref="J117:J120"/>
    <mergeCell ref="M73:N73"/>
    <mergeCell ref="Q53:T53"/>
    <mergeCell ref="L22:T22"/>
    <mergeCell ref="G204:H204"/>
    <mergeCell ref="Q226:R226"/>
    <mergeCell ref="J336:K336"/>
    <mergeCell ref="E296:H297"/>
    <mergeCell ref="D382:H382"/>
    <mergeCell ref="E202:H202"/>
    <mergeCell ref="Q228:R228"/>
    <mergeCell ref="P378:P379"/>
    <mergeCell ref="I348:T349"/>
    <mergeCell ref="E298:H299"/>
    <mergeCell ref="P79:P80"/>
    <mergeCell ref="L304:N304"/>
    <mergeCell ref="Q81:T81"/>
    <mergeCell ref="P182:P185"/>
    <mergeCell ref="P132:T132"/>
    <mergeCell ref="Q74:T74"/>
    <mergeCell ref="M117:N117"/>
    <mergeCell ref="M119:N119"/>
    <mergeCell ref="P404:P405"/>
    <mergeCell ref="D360:K362"/>
    <mergeCell ref="G224:H224"/>
    <mergeCell ref="E438:H439"/>
    <mergeCell ref="Q404:T405"/>
    <mergeCell ref="E59:F59"/>
    <mergeCell ref="Q105:T106"/>
    <mergeCell ref="D391:E391"/>
    <mergeCell ref="P519:T519"/>
    <mergeCell ref="D219:H223"/>
    <mergeCell ref="D175:H179"/>
    <mergeCell ref="J105:J106"/>
    <mergeCell ref="P304:Q304"/>
    <mergeCell ref="E54:F54"/>
    <mergeCell ref="J47:N51"/>
    <mergeCell ref="P306:Q306"/>
    <mergeCell ref="E56:F56"/>
    <mergeCell ref="Q292:R292"/>
    <mergeCell ref="K225:N225"/>
    <mergeCell ref="G120:H120"/>
    <mergeCell ref="Q294:R294"/>
    <mergeCell ref="Q269:R269"/>
    <mergeCell ref="Q479:T479"/>
    <mergeCell ref="D531:K534"/>
    <mergeCell ref="K100:L100"/>
    <mergeCell ref="E230:F230"/>
    <mergeCell ref="P331:P332"/>
    <mergeCell ref="J464:N465"/>
    <mergeCell ref="I415:T416"/>
    <mergeCell ref="M77:N77"/>
    <mergeCell ref="E227:F227"/>
    <mergeCell ref="Q163:R163"/>
    <mergeCell ref="P260:T260"/>
    <mergeCell ref="M87:N87"/>
    <mergeCell ref="G291:H291"/>
    <mergeCell ref="Q323:R323"/>
    <mergeCell ref="K322:L322"/>
    <mergeCell ref="P315:T319"/>
    <mergeCell ref="D516:T517"/>
    <mergeCell ref="J480:J481"/>
    <mergeCell ref="K324:L324"/>
    <mergeCell ref="M54:N54"/>
    <mergeCell ref="D195:H195"/>
    <mergeCell ref="Q500:T501"/>
    <mergeCell ref="G184:H184"/>
    <mergeCell ref="D268:D271"/>
    <mergeCell ref="Q252:R252"/>
    <mergeCell ref="D483:F483"/>
    <mergeCell ref="S99:T99"/>
    <mergeCell ref="P103:P104"/>
    <mergeCell ref="J233:J234"/>
    <mergeCell ref="K166:L166"/>
    <mergeCell ref="J235:J236"/>
    <mergeCell ref="M141:N141"/>
    <mergeCell ref="J444:N444"/>
    <mergeCell ref="M224:N224"/>
    <mergeCell ref="M143:N143"/>
    <mergeCell ref="M118:N118"/>
    <mergeCell ref="M441:N441"/>
    <mergeCell ref="D149:D150"/>
    <mergeCell ref="E185:F185"/>
    <mergeCell ref="Q54:R54"/>
    <mergeCell ref="G355:H355"/>
    <mergeCell ref="Q116:T116"/>
    <mergeCell ref="K96:L96"/>
    <mergeCell ref="K98:L98"/>
    <mergeCell ref="L336:N336"/>
    <mergeCell ref="D79:D80"/>
    <mergeCell ref="D182:D185"/>
    <mergeCell ref="D132:H132"/>
    <mergeCell ref="Q100:R100"/>
    <mergeCell ref="G287:H287"/>
    <mergeCell ref="M180:N180"/>
    <mergeCell ref="D389:T389"/>
    <mergeCell ref="K238:L238"/>
    <mergeCell ref="S77:T77"/>
    <mergeCell ref="D105:D106"/>
    <mergeCell ref="J226:J229"/>
    <mergeCell ref="P40:T40"/>
    <mergeCell ref="G289:H289"/>
    <mergeCell ref="M182:N182"/>
    <mergeCell ref="J240:N244"/>
    <mergeCell ref="D409:H411"/>
    <mergeCell ref="E249:F249"/>
    <mergeCell ref="A33:B51"/>
    <mergeCell ref="E105:H106"/>
    <mergeCell ref="Q160:T160"/>
    <mergeCell ref="G313:H313"/>
    <mergeCell ref="K296:N297"/>
    <mergeCell ref="D304:E304"/>
    <mergeCell ref="D310:H311"/>
    <mergeCell ref="K298:N299"/>
    <mergeCell ref="D15:T15"/>
    <mergeCell ref="R304:T304"/>
    <mergeCell ref="P480:P481"/>
    <mergeCell ref="K162:L162"/>
    <mergeCell ref="E95:H95"/>
    <mergeCell ref="L531:T534"/>
    <mergeCell ref="K164:L164"/>
    <mergeCell ref="M226:N226"/>
    <mergeCell ref="E269:F269"/>
    <mergeCell ref="M228:N228"/>
    <mergeCell ref="D334:H335"/>
    <mergeCell ref="Q58:R58"/>
    <mergeCell ref="K438:N439"/>
    <mergeCell ref="D147:D148"/>
    <mergeCell ref="P161:P164"/>
    <mergeCell ref="P422:T423"/>
    <mergeCell ref="S421:T421"/>
    <mergeCell ref="K59:L59"/>
    <mergeCell ref="P210:P211"/>
    <mergeCell ref="G30:H30"/>
    <mergeCell ref="S152:T152"/>
    <mergeCell ref="S118:T118"/>
    <mergeCell ref="L305:N305"/>
    <mergeCell ref="L20:T21"/>
    <mergeCell ref="P47:T51"/>
    <mergeCell ref="D260:H260"/>
    <mergeCell ref="Q232:T232"/>
    <mergeCell ref="M249:N249"/>
    <mergeCell ref="P487:T498"/>
    <mergeCell ref="E323:F323"/>
    <mergeCell ref="R350:T350"/>
    <mergeCell ref="D315:H319"/>
    <mergeCell ref="E194:F194"/>
    <mergeCell ref="G381:H381"/>
    <mergeCell ref="E500:H501"/>
    <mergeCell ref="K203:L203"/>
    <mergeCell ref="D103:D104"/>
    <mergeCell ref="J174:N174"/>
    <mergeCell ref="J466:N466"/>
    <mergeCell ref="M269:N269"/>
    <mergeCell ref="D322:D325"/>
    <mergeCell ref="K212:N213"/>
    <mergeCell ref="D63:D64"/>
    <mergeCell ref="G94:H94"/>
    <mergeCell ref="F305:H305"/>
    <mergeCell ref="D240:H244"/>
    <mergeCell ref="Q142:R142"/>
    <mergeCell ref="P350:Q350"/>
    <mergeCell ref="J195:N195"/>
    <mergeCell ref="F36:H37"/>
    <mergeCell ref="P509:T509"/>
    <mergeCell ref="G322:H322"/>
    <mergeCell ref="Q173:R173"/>
    <mergeCell ref="G324:H324"/>
    <mergeCell ref="S201:T201"/>
    <mergeCell ref="P235:P236"/>
    <mergeCell ref="P207:P208"/>
    <mergeCell ref="Q227:R227"/>
    <mergeCell ref="S143:T143"/>
    <mergeCell ref="D535:T535"/>
    <mergeCell ref="D96:D99"/>
    <mergeCell ref="M245:N245"/>
    <mergeCell ref="D46:H46"/>
    <mergeCell ref="D110:H114"/>
    <mergeCell ref="J210:J211"/>
    <mergeCell ref="D340:H340"/>
    <mergeCell ref="S290:T290"/>
    <mergeCell ref="E160:H160"/>
    <mergeCell ref="P254:P255"/>
    <mergeCell ref="Q98:R98"/>
    <mergeCell ref="K207:L207"/>
    <mergeCell ref="K480:N481"/>
    <mergeCell ref="E168:H169"/>
    <mergeCell ref="J109:N109"/>
    <mergeCell ref="J487:N498"/>
    <mergeCell ref="J58:J59"/>
    <mergeCell ref="F304:H304"/>
    <mergeCell ref="S162:T162"/>
    <mergeCell ref="J386:J387"/>
    <mergeCell ref="P303:Q303"/>
    <mergeCell ref="F306:H306"/>
    <mergeCell ref="G96:H96"/>
    <mergeCell ref="J441:L441"/>
    <mergeCell ref="Q87:R87"/>
    <mergeCell ref="K231:L231"/>
    <mergeCell ref="G98:H98"/>
    <mergeCell ref="P89:T93"/>
    <mergeCell ref="Q238:R238"/>
    <mergeCell ref="F303:H303"/>
    <mergeCell ref="P174:T174"/>
    <mergeCell ref="Q63:T64"/>
    <mergeCell ref="S182:T182"/>
    <mergeCell ref="P396:P397"/>
    <mergeCell ref="Q118:R118"/>
    <mergeCell ref="D355:E355"/>
    <mergeCell ref="Q267:T267"/>
    <mergeCell ref="J63:J64"/>
    <mergeCell ref="J281:N281"/>
    <mergeCell ref="M320:N320"/>
    <mergeCell ref="K105:N106"/>
    <mergeCell ref="E45:F45"/>
    <mergeCell ref="Q275:T276"/>
    <mergeCell ref="Q181:T181"/>
    <mergeCell ref="D47:H51"/>
    <mergeCell ref="Q108:R108"/>
    <mergeCell ref="Q144:R144"/>
    <mergeCell ref="K102:N102"/>
    <mergeCell ref="D82:D83"/>
    <mergeCell ref="E232:H232"/>
    <mergeCell ref="G119:H119"/>
  </mergeCells>
  <dataValidations count="15">
    <dataValidation sqref="P27" showDropDown="0" showInputMessage="0" showErrorMessage="0" allowBlank="1" type="list">
      <formula1>DADOS_AM!$BN$2:$BN$4</formula1>
    </dataValidation>
    <dataValidation sqref="D31 E31 F31 G31 J31 K31 L31 M31 P31" showDropDown="0" showInputMessage="0" showErrorMessage="0" allowBlank="1" type="list">
      <formula1>DADOS_AM!$F$2:$F$4</formula1>
    </dataValidation>
    <dataValidation sqref="D40 D45 D66 D87 D108 D131 D152 D173 D194 D217 D238 D259 D280 J45 J66 J87 J108 J131 J152 J173 J194 J217 J238 J259 J280 P45 P66 P87 P108 P131 P152 P173 P194 P217 P238 P259 P280" showDropDown="0" showInputMessage="0" showErrorMessage="0" allowBlank="1" type="list">
      <formula1>DADOS_AM!$H$2:$H$8</formula1>
    </dataValidation>
    <dataValidation sqref="D52 D73 D94 D115 D138 D159 D180 D201 D224 D245 D266 D287 D320 J52 J73 J94 J115 J138 J159 J180 J201 J224 J245 J266 J287 J320 J337 P52 P73 P94 P115 P138 P159 P180 P201 P224 P245 P266 P287 P320" showDropDown="0" showInputMessage="0" showErrorMessage="0" allowBlank="1" type="list">
      <formula1>DADOS_AM!$AD$2:$AD$11</formula1>
    </dataValidation>
    <dataValidation sqref="E54:E57 E75:E78 E96:E99 E117:E120 E140:E143 E161:E164 E182:E185 E203:E206 E226:E229 E247:E250 E268:E271 E289:E292 E322:E325 J340 K54:K57 K75:K78 K96:K99 K117:K120 K140:K143 K161:K164 K182:K185 K203:K206 K226:K229 K247:K250 K268:K271 K289:K292 K322:K325 L340 P340 Q54:Q57 Q75:Q78 Q96:Q99 Q117:Q120 Q140:Q143 Q161:Q164 Q182:Q185 Q203:Q206 Q226:Q229 Q247:Q250 Q268:Q271 Q289:Q292 Q322:Q325 R340" showDropDown="0" showInputMessage="0" showErrorMessage="0" allowBlank="1" type="list">
      <formula1>DADOS_AM!$BA$2:$BA$84</formula1>
    </dataValidation>
    <dataValidation sqref="E58:E59 E79:E80 E100:E101 E121:E122 E144:E145 E165:E166 E186:E187 E207:E208 E230:E231 E251:E252 E272:E273 E293:E294 E326:E327 K58:K59 K79:K80 K100:K101 K121:K122 K144:K145 K165:K166 K186:K187 K207:K208 K230:K231 K251:K252 K272:K273 K293:K294 K326:K327 Q58:Q59 Q79:Q80 Q100:Q101 Q121:Q122 Q144:Q145 Q165:Q166 Q186:Q187 Q207:Q208 Q230:Q231 Q251:Q252 Q272:Q273 Q293:Q294 Q326:Q327" showDropDown="0" showInputMessage="0" showErrorMessage="0" allowBlank="1" type="list">
      <formula1>DADOS_AM!$BD$2:$BD$24</formula1>
    </dataValidation>
    <dataValidation sqref="F304:F308" showDropDown="0" showInputMessage="0" showErrorMessage="0" allowBlank="1" type="list">
      <formula1>DADOS_AM!$AE$2:$AE$11</formula1>
    </dataValidation>
    <dataValidation sqref="J304:J308" showDropDown="0" showInputMessage="0" showErrorMessage="0" allowBlank="1" type="list">
      <formula1>DADOS_AM!$BB$2:$BB$84</formula1>
    </dataValidation>
    <dataValidation sqref="L304:L308" showDropDown="0" showInputMessage="0" showErrorMessage="0" allowBlank="1" type="list">
      <formula1>DADOS_AM!$BH$2:$BH$24</formula1>
    </dataValidation>
    <dataValidation sqref="D313 J313 P313" showDropDown="0" showInputMessage="0" showErrorMessage="0" allowBlank="1" type="list">
      <formula1>DADOS_AM!$CD$2:$CD$6</formula1>
    </dataValidation>
    <dataValidation sqref="D351" showDropDown="0" showInputMessage="0" showErrorMessage="0" allowBlank="1" type="list">
      <formula1>DADOS_AM!$CJ$2:$CJ$4</formula1>
    </dataValidation>
    <dataValidation sqref="D373 D381 D391 D399 D407 J373 J381 J391 J399 P373 P391 P399" showDropDown="0" showInputMessage="0" showErrorMessage="0" allowBlank="1" type="list">
      <formula1>DADOS_AM!$BJ$2:$BJ$20</formula1>
    </dataValidation>
    <dataValidation sqref="D421 D441 D463 D483 J421 J441 J463 J483 P421 P441 P463 P483" showDropDown="0" showInputMessage="0" showErrorMessage="0" allowBlank="1" type="list">
      <formula1>DADOS_AM!$BV$2:$BV$17</formula1>
    </dataValidation>
    <dataValidation sqref="L509 L519 L529" showDropDown="0" showInputMessage="0" showErrorMessage="0" allowBlank="1" type="list">
      <formula1>DADOS_AM!$CP$2:$CP$5</formula1>
    </dataValidation>
    <dataValidation sqref="P509 P519 P529" showDropDown="0" showInputMessage="0" showErrorMessage="0" allowBlank="1" type="list">
      <formula1>DADOS_AM!$CS$2:$CS$5</formula1>
    </dataValidation>
  </dataValidations>
  <pageMargins left="0.75" right="0.75" top="1" bottom="1" header="0.5" footer="0.5"/>
  <drawing xmlns:r="http://schemas.openxmlformats.org/officeDocument/2006/relationships" r:id="rId1"/>
  <legacyDrawing xmlns:r="http://schemas.openxmlformats.org/officeDocument/2006/relationships" r:id="anysvml"/>
</worksheet>
</file>

<file path=xl/worksheets/sheet4.xml><?xml version="1.0" encoding="utf-8"?>
<worksheet xmlns="http://schemas.openxmlformats.org/spreadsheetml/2006/main">
  <sheetPr>
    <outlinePr summaryBelow="0" summaryRight="0"/>
    <pageSetUpPr/>
  </sheetPr>
  <dimension ref="A1:BT87"/>
  <sheetViews>
    <sheetView showGridLines="0" workbookViewId="0">
      <selection activeCell="A1" sqref="A1"/>
    </sheetView>
  </sheetViews>
  <sheetFormatPr baseColWidth="8" defaultRowHeight="15.75" customHeight="1"/>
  <cols>
    <col width="4" customWidth="1" min="1" max="1"/>
    <col width="4" customWidth="1" min="2" max="2"/>
    <col width="4" customWidth="1" min="3" max="3"/>
    <col width="4" customWidth="1" min="4" max="4"/>
    <col width="4" customWidth="1" min="5" max="5"/>
    <col width="4" customWidth="1" min="6" max="6"/>
    <col width="4" customWidth="1" min="7" max="7"/>
    <col width="4" customWidth="1" min="8" max="8"/>
    <col width="4" customWidth="1" min="9" max="9"/>
    <col width="4" customWidth="1" min="10" max="10"/>
    <col width="4" customWidth="1" min="11" max="11"/>
    <col width="4" customWidth="1" min="12" max="12"/>
    <col width="4" customWidth="1" min="13" max="13"/>
    <col width="4" customWidth="1" min="14" max="14"/>
    <col width="4" customWidth="1" min="15" max="15"/>
    <col width="4" customWidth="1" min="16" max="16"/>
    <col width="4" customWidth="1" min="17" max="17"/>
    <col width="4" customWidth="1" min="18" max="18"/>
    <col width="4" customWidth="1" min="19" max="19"/>
    <col width="4" customWidth="1" min="20" max="20"/>
    <col width="4" customWidth="1" min="21" max="21"/>
    <col width="4" customWidth="1" min="22" max="22"/>
    <col width="4" customWidth="1" min="23" max="23"/>
    <col width="4" customWidth="1" min="24" max="24"/>
    <col width="4" customWidth="1" min="25" max="25"/>
    <col width="4" customWidth="1" min="26" max="26"/>
    <col width="4" customWidth="1" min="27" max="27"/>
    <col width="4" customWidth="1" min="28" max="28"/>
    <col width="4" customWidth="1" min="29" max="29"/>
    <col width="4" customWidth="1" min="30" max="30"/>
    <col width="4" customWidth="1" min="31" max="31"/>
    <col width="4" customWidth="1" min="32" max="32"/>
    <col width="4" customWidth="1" min="33" max="33"/>
    <col width="4" customWidth="1" min="34" max="34"/>
    <col width="4" customWidth="1" min="35" max="35"/>
    <col width="4" customWidth="1" min="36" max="36"/>
    <col width="4" customWidth="1" min="37" max="37"/>
    <col width="4" customWidth="1" min="38" max="38"/>
    <col width="4" customWidth="1" min="39" max="39"/>
    <col width="4" customWidth="1" min="40" max="40"/>
    <col width="4" customWidth="1" min="41" max="41"/>
    <col width="4" customWidth="1" min="42" max="42"/>
    <col width="4" customWidth="1" min="43" max="43"/>
    <col width="4" customWidth="1" min="44" max="44"/>
    <col width="4" customWidth="1" min="45" max="45"/>
    <col width="4" customWidth="1" min="46" max="46"/>
    <col width="4" customWidth="1" min="47" max="47"/>
    <col hidden="1" outlineLevel="1" width="4" customWidth="1" min="48" max="48"/>
    <col hidden="1" outlineLevel="1" width="24.625" customWidth="1" min="49" max="49"/>
    <col hidden="1" outlineLevel="1" width="14.125" customWidth="1" min="50" max="50"/>
    <col hidden="1" outlineLevel="1" width="10.625" customWidth="1" min="51" max="51"/>
    <col hidden="1" outlineLevel="1" width="14.125" customWidth="1" min="52" max="52"/>
    <col hidden="1" outlineLevel="1" width="7.125" customWidth="1" min="53" max="53"/>
    <col hidden="1" outlineLevel="1" width="4" customWidth="1" min="54" max="54"/>
    <col hidden="1" outlineLevel="1" width="24.625" customWidth="1" min="55" max="55"/>
    <col hidden="1" outlineLevel="1" width="14.125" customWidth="1" min="56" max="56"/>
    <col hidden="1" outlineLevel="1" width="10.625" customWidth="1" min="57" max="57"/>
    <col hidden="1" outlineLevel="1" width="14.125" customWidth="1" min="58" max="58"/>
    <col hidden="1" outlineLevel="1" width="7.125" customWidth="1" min="59" max="59"/>
    <col hidden="1" outlineLevel="1" width="4" customWidth="1" min="60" max="60"/>
    <col hidden="1" outlineLevel="2" width="24.625" customWidth="1" min="61" max="61"/>
    <col hidden="1" outlineLevel="2" width="14.125" customWidth="1" min="62" max="62"/>
    <col hidden="1" outlineLevel="2" width="10.625" customWidth="1" min="63" max="63"/>
    <col hidden="1" outlineLevel="2" width="14.125" customWidth="1" min="64" max="64"/>
    <col hidden="1" outlineLevel="2" width="7.125" customWidth="1" min="65" max="65"/>
    <col hidden="1" outlineLevel="2" width="4" customWidth="1" min="66" max="66"/>
    <col hidden="1" outlineLevel="2" width="24.625" customWidth="1" min="67" max="67"/>
    <col hidden="1" outlineLevel="2" width="14.125" customWidth="1" min="68" max="68"/>
    <col hidden="1" outlineLevel="2" width="10.625" customWidth="1" min="69" max="69"/>
    <col hidden="1" outlineLevel="2" width="14.125" customWidth="1" min="70" max="70"/>
    <col hidden="1" outlineLevel="2" width="7.125" customWidth="1" min="71" max="71"/>
    <col hidden="1" outlineLevel="2" width="4" customWidth="1" min="72" max="72"/>
  </cols>
  <sheetData>
    <row r="1">
      <c r="A1" s="8" t="n"/>
      <c r="B1" s="8" t="n"/>
      <c r="C1" s="8" t="n"/>
      <c r="D1" s="8" t="n"/>
      <c r="E1" s="8" t="n"/>
      <c r="F1" s="8" t="n"/>
      <c r="G1" s="8" t="n"/>
      <c r="H1" s="8" t="n"/>
      <c r="I1" s="8" t="n"/>
      <c r="J1" s="8" t="n"/>
      <c r="K1" s="8" t="n"/>
      <c r="L1" s="8" t="n"/>
      <c r="M1" s="8" t="n"/>
      <c r="N1" s="8" t="n"/>
      <c r="O1" s="8" t="n"/>
      <c r="P1" s="8" t="n"/>
      <c r="Q1" s="8" t="n"/>
      <c r="R1" s="8" t="n"/>
      <c r="S1" s="8" t="n"/>
      <c r="T1" s="8" t="n"/>
      <c r="U1" s="8" t="n"/>
      <c r="V1" s="8" t="n"/>
      <c r="W1" s="8" t="n"/>
      <c r="X1" s="8" t="n"/>
      <c r="Y1" s="8" t="n"/>
      <c r="Z1" s="8" t="n"/>
      <c r="AA1" s="8" t="n"/>
      <c r="AB1" s="8" t="n"/>
      <c r="AC1" s="8" t="n"/>
      <c r="AD1" s="8" t="n"/>
      <c r="AE1" s="8" t="n"/>
      <c r="AF1" s="8" t="n"/>
      <c r="AG1" s="8" t="n"/>
      <c r="AH1" s="8" t="n"/>
      <c r="AI1" s="8" t="n"/>
      <c r="AJ1" s="8" t="n"/>
      <c r="AK1" s="8" t="n"/>
      <c r="AL1" s="8" t="n"/>
      <c r="AM1" s="8" t="n"/>
      <c r="AN1" s="8" t="n"/>
      <c r="AO1" s="8" t="n"/>
      <c r="AP1" s="8" t="n"/>
      <c r="AQ1" s="8" t="n"/>
      <c r="AR1" s="8" t="n"/>
      <c r="AS1" s="8" t="n"/>
      <c r="AT1" s="8" t="n"/>
      <c r="AU1" s="8" t="n"/>
      <c r="AV1" s="8" t="n"/>
      <c r="AW1" s="8" t="n"/>
      <c r="AX1" s="8" t="n"/>
      <c r="AY1" s="8" t="n"/>
      <c r="AZ1" s="8" t="n"/>
      <c r="BA1" s="8" t="n"/>
      <c r="BB1" s="8" t="n"/>
      <c r="BC1" s="8" t="n"/>
      <c r="BD1" s="8" t="n"/>
      <c r="BE1" s="8" t="n"/>
      <c r="BF1" s="8" t="n"/>
      <c r="BG1" s="8" t="n"/>
      <c r="BH1" s="8" t="n"/>
      <c r="BI1" s="8" t="n"/>
      <c r="BJ1" s="8" t="n"/>
      <c r="BK1" s="8" t="n"/>
      <c r="BL1" s="8" t="n"/>
      <c r="BM1" s="8" t="n"/>
      <c r="BN1" s="8" t="n"/>
      <c r="BO1" s="8" t="n"/>
      <c r="BP1" s="8" t="n"/>
      <c r="BQ1" s="8" t="n"/>
      <c r="BR1" s="8" t="n"/>
      <c r="BS1" s="8" t="n"/>
      <c r="BT1" s="8" t="n"/>
    </row>
    <row r="2">
      <c r="A2" s="8" t="n"/>
      <c r="B2" s="8" t="n"/>
      <c r="C2" s="8" t="n"/>
      <c r="D2" s="40" t="inlineStr">
        <is>
          <t>呪術</t>
        </is>
      </c>
      <c r="H2" s="41" t="inlineStr">
        <is>
          <t>FICHA PESSOAL</t>
        </is>
      </c>
      <c r="AA2" s="8" t="n"/>
      <c r="AB2" s="42">
        <f>IF(OR(CARTEIRA!$O$9="",CARTEIRA!$O$9="Coloque o nome do personagem aqui"),"",CARTEIRA!$O$9)</f>
        <v/>
      </c>
      <c r="AU2" s="8" t="n"/>
      <c r="AV2" s="8" t="n"/>
      <c r="AW2" s="8" t="n"/>
      <c r="AX2" s="8" t="n"/>
      <c r="AY2" s="8" t="n"/>
      <c r="AZ2" s="8" t="n"/>
      <c r="BA2" s="8" t="n"/>
      <c r="BB2" s="8" t="n"/>
      <c r="BC2" s="8" t="n"/>
      <c r="BD2" s="8" t="n"/>
      <c r="BE2" s="8" t="n"/>
      <c r="BF2" s="8" t="n"/>
      <c r="BG2" s="8" t="n"/>
      <c r="BH2" s="8" t="n"/>
      <c r="BI2" s="8" t="n"/>
      <c r="BJ2" s="8" t="n"/>
      <c r="BK2" s="8" t="n"/>
      <c r="BL2" s="8" t="n"/>
      <c r="BM2" s="8" t="n"/>
      <c r="BN2" s="8" t="n"/>
      <c r="BO2" s="8" t="n"/>
      <c r="BP2" s="8" t="n"/>
      <c r="BQ2" s="8" t="n"/>
      <c r="BR2" s="8" t="n"/>
      <c r="BS2" s="8" t="n"/>
      <c r="BT2" s="8" t="n"/>
    </row>
    <row r="3">
      <c r="A3" s="8" t="n"/>
      <c r="B3" s="8" t="n"/>
      <c r="C3" s="8" t="n"/>
      <c r="AA3" s="8" t="n"/>
      <c r="AU3" s="8" t="n"/>
      <c r="AV3" s="8" t="n"/>
      <c r="AW3" s="8" t="n"/>
      <c r="AX3" s="8" t="n"/>
      <c r="AY3" s="8" t="n"/>
      <c r="AZ3" s="8" t="n"/>
      <c r="BA3" s="8" t="n"/>
      <c r="BB3" s="8" t="n"/>
      <c r="BC3" s="8" t="n"/>
      <c r="BD3" s="8" t="n"/>
      <c r="BE3" s="8" t="n"/>
      <c r="BF3" s="8" t="n"/>
      <c r="BG3" s="8" t="n"/>
      <c r="BH3" s="8" t="n"/>
      <c r="BI3" s="8" t="n"/>
      <c r="BJ3" s="8" t="n"/>
      <c r="BK3" s="8" t="n"/>
      <c r="BL3" s="8" t="n"/>
      <c r="BM3" s="8" t="n"/>
      <c r="BN3" s="8" t="n"/>
      <c r="BO3" s="8" t="n"/>
      <c r="BP3" s="8" t="n"/>
      <c r="BQ3" s="8" t="n"/>
      <c r="BR3" s="8" t="n"/>
      <c r="BS3" s="8" t="n"/>
      <c r="BT3" s="8" t="n"/>
    </row>
    <row r="4">
      <c r="A4" s="8" t="n"/>
      <c r="B4" s="8" t="n"/>
      <c r="C4" s="8" t="n"/>
      <c r="H4" s="43">
        <f>DADOS!$F$1&amp;" · pertences e histórico do portador"</f>
        <v/>
      </c>
      <c r="AA4" s="8" t="n"/>
      <c r="AB4" s="44">
        <f>FICHA!AB4</f>
        <v/>
      </c>
      <c r="AU4" s="8" t="n"/>
      <c r="AV4" s="8" t="n"/>
      <c r="AW4" s="8" t="n"/>
      <c r="AX4" s="8" t="n"/>
      <c r="AY4" s="8" t="n"/>
      <c r="AZ4" s="8" t="n"/>
      <c r="BA4" s="8" t="n"/>
      <c r="BB4" s="8" t="n"/>
      <c r="BC4" s="8" t="n"/>
      <c r="BD4" s="8" t="n"/>
      <c r="BE4" s="8" t="n"/>
      <c r="BF4" s="8" t="n"/>
      <c r="BG4" s="8" t="n"/>
      <c r="BH4" s="8" t="n"/>
      <c r="BI4" s="8" t="n"/>
      <c r="BJ4" s="8" t="n"/>
      <c r="BK4" s="8" t="n"/>
      <c r="BL4" s="8" t="n"/>
      <c r="BM4" s="8" t="n"/>
      <c r="BN4" s="8" t="n"/>
      <c r="BO4" s="8" t="n"/>
      <c r="BP4" s="8" t="n"/>
      <c r="BQ4" s="8" t="n"/>
      <c r="BR4" s="8" t="n"/>
      <c r="BS4" s="8" t="n"/>
      <c r="BT4" s="8" t="n"/>
    </row>
    <row r="5">
      <c r="A5" s="8" t="n"/>
      <c r="B5" s="8" t="n"/>
      <c r="C5" s="28" t="n"/>
      <c r="D5" s="28" t="n"/>
      <c r="E5" s="28" t="n"/>
      <c r="F5" s="28" t="n"/>
      <c r="G5" s="28" t="n"/>
      <c r="H5" s="28" t="n"/>
      <c r="I5" s="28" t="n"/>
      <c r="J5" s="28" t="n"/>
      <c r="K5" s="28" t="n"/>
      <c r="L5" s="28" t="n"/>
      <c r="M5" s="28" t="n"/>
      <c r="N5" s="28" t="n"/>
      <c r="O5" s="28" t="n"/>
      <c r="P5" s="28" t="n"/>
      <c r="Q5" s="28" t="n"/>
      <c r="R5" s="28" t="n"/>
      <c r="S5" s="28" t="n"/>
      <c r="T5" s="28" t="n"/>
      <c r="U5" s="28" t="n"/>
      <c r="V5" s="28" t="n"/>
      <c r="W5" s="28" t="n"/>
      <c r="X5" s="28" t="n"/>
      <c r="Y5" s="28" t="n"/>
      <c r="Z5" s="28" t="n"/>
      <c r="AA5" s="28" t="n"/>
      <c r="AB5" s="28" t="n"/>
      <c r="AC5" s="28" t="n"/>
      <c r="AD5" s="28" t="n"/>
      <c r="AE5" s="28" t="n"/>
      <c r="AF5" s="28" t="n"/>
      <c r="AG5" s="28" t="n"/>
      <c r="AH5" s="28" t="n"/>
      <c r="AI5" s="28" t="n"/>
      <c r="AJ5" s="28" t="n"/>
      <c r="AK5" s="28" t="n"/>
      <c r="AL5" s="28" t="n"/>
      <c r="AM5" s="28" t="n"/>
      <c r="AN5" s="28" t="n"/>
      <c r="AO5" s="28" t="n"/>
      <c r="AP5" s="28" t="n"/>
      <c r="AQ5" s="28" t="n"/>
      <c r="AR5" s="28" t="n"/>
      <c r="AS5" s="28" t="n"/>
      <c r="AT5" s="28" t="n"/>
      <c r="AU5" s="28" t="n"/>
      <c r="AV5" s="28" t="n"/>
      <c r="AW5" s="28" t="n"/>
      <c r="AX5" s="28" t="n"/>
      <c r="AY5" s="28" t="n"/>
      <c r="AZ5" s="28" t="n"/>
      <c r="BA5" s="28" t="n"/>
      <c r="BB5" s="28" t="n"/>
      <c r="BC5" s="28" t="n"/>
      <c r="BD5" s="28" t="n"/>
      <c r="BE5" s="28" t="n"/>
      <c r="BF5" s="28" t="n"/>
      <c r="BG5" s="28" t="n"/>
      <c r="BH5" s="28" t="n"/>
      <c r="BI5" s="28" t="n"/>
      <c r="BJ5" s="28" t="n"/>
      <c r="BK5" s="28" t="n"/>
      <c r="BL5" s="28" t="n"/>
      <c r="BM5" s="28" t="n"/>
      <c r="BN5" s="28" t="n"/>
      <c r="BO5" s="28" t="n"/>
      <c r="BP5" s="28" t="n"/>
      <c r="BQ5" s="28" t="n"/>
      <c r="BR5" s="28" t="n"/>
      <c r="BS5" s="28" t="n"/>
      <c r="BT5" s="28" t="n"/>
    </row>
    <row r="6">
      <c r="A6" s="8" t="n"/>
      <c r="B6" s="22" t="n"/>
      <c r="C6" s="38" t="n"/>
      <c r="AS6" s="38" t="n"/>
      <c r="AT6" s="38" t="n"/>
      <c r="AU6" s="38" t="n"/>
      <c r="AV6" s="115" t="n"/>
      <c r="AW6" s="115" t="n"/>
      <c r="AX6" s="115" t="n"/>
      <c r="AY6" s="115" t="n"/>
      <c r="AZ6" s="115" t="n"/>
      <c r="BA6" s="115" t="n"/>
      <c r="BB6" s="115" t="n"/>
      <c r="BC6" s="115" t="n"/>
      <c r="BD6" s="115" t="n"/>
      <c r="BE6" s="115" t="n"/>
      <c r="BF6" s="115" t="n"/>
      <c r="BG6" s="115" t="n"/>
      <c r="BH6" s="115" t="n"/>
      <c r="BI6" s="115" t="n"/>
      <c r="BJ6" s="115" t="n"/>
      <c r="BK6" s="115" t="n"/>
      <c r="BL6" s="115" t="n"/>
      <c r="BM6" s="115" t="n"/>
      <c r="BN6" s="115" t="n"/>
      <c r="BO6" s="115" t="n"/>
      <c r="BP6" s="115" t="n"/>
      <c r="BQ6" s="115" t="n"/>
      <c r="BR6" s="115" t="n"/>
      <c r="BS6" s="115" t="n"/>
      <c r="BT6" s="115" t="n"/>
    </row>
    <row r="7">
      <c r="A7" s="8" t="n"/>
      <c r="B7" s="22" t="n"/>
      <c r="C7" s="38" t="n"/>
      <c r="D7" s="38" t="n"/>
      <c r="E7" s="38" t="n"/>
      <c r="F7" s="38" t="n"/>
      <c r="G7" s="38" t="n"/>
      <c r="H7" s="38" t="n"/>
      <c r="I7" s="38" t="n"/>
      <c r="J7" s="38" t="n"/>
      <c r="K7" s="38" t="n"/>
      <c r="L7" s="38" t="n"/>
      <c r="M7" s="38" t="n"/>
      <c r="N7" s="38" t="n"/>
      <c r="O7" s="38" t="n"/>
      <c r="P7" s="38" t="n"/>
      <c r="Q7" s="38" t="n"/>
      <c r="R7" s="38" t="n"/>
      <c r="S7" s="38" t="n"/>
      <c r="T7" s="38" t="n"/>
      <c r="U7" s="38" t="n"/>
      <c r="V7" s="38" t="n"/>
      <c r="W7" s="38" t="n"/>
      <c r="X7" s="38" t="n"/>
      <c r="Y7" s="38" t="n"/>
      <c r="Z7" s="38" t="n"/>
      <c r="AA7" s="38" t="n"/>
      <c r="AB7" s="38" t="n"/>
      <c r="AC7" s="38" t="n"/>
      <c r="AD7" s="38" t="n"/>
      <c r="AE7" s="38" t="n"/>
      <c r="AF7" s="38" t="n"/>
      <c r="AG7" s="38" t="n"/>
      <c r="AH7" s="38" t="n"/>
      <c r="AI7" s="38" t="n"/>
      <c r="AJ7" s="38" t="n"/>
      <c r="AK7" s="38" t="n"/>
      <c r="AL7" s="38" t="n"/>
      <c r="AM7" s="38" t="n"/>
      <c r="AN7" s="38" t="n"/>
      <c r="AO7" s="38" t="n"/>
      <c r="AP7" s="38" t="n"/>
      <c r="AQ7" s="38" t="n"/>
      <c r="AR7" s="38" t="n"/>
      <c r="AS7" s="38" t="n"/>
      <c r="AT7" s="38" t="n"/>
      <c r="AU7" s="115" t="n"/>
      <c r="AV7" s="115" t="n"/>
      <c r="AW7" s="115" t="n"/>
      <c r="AX7" s="115" t="n"/>
      <c r="AY7" s="115" t="n"/>
      <c r="AZ7" s="115" t="n"/>
      <c r="BA7" s="115" t="n"/>
      <c r="BB7" s="115" t="n"/>
      <c r="BC7" s="115" t="n"/>
      <c r="BD7" s="115" t="n"/>
      <c r="BE7" s="115" t="n"/>
      <c r="BF7" s="115" t="n"/>
      <c r="BG7" s="115" t="n"/>
      <c r="BH7" s="115" t="n"/>
      <c r="BI7" s="115" t="n"/>
      <c r="BJ7" s="115" t="n"/>
      <c r="BK7" s="115" t="n"/>
      <c r="BL7" s="115" t="n"/>
      <c r="BM7" s="115" t="n"/>
      <c r="BN7" s="115" t="n"/>
      <c r="BO7" s="115" t="n"/>
      <c r="BP7" s="115" t="n"/>
      <c r="BQ7" s="115" t="n"/>
      <c r="BR7" s="115" t="n"/>
      <c r="BS7" s="115" t="n"/>
      <c r="BT7" s="115" t="n"/>
    </row>
    <row r="8">
      <c r="A8" s="45" t="inlineStr">
        <is>
          <t>PROJETO M</t>
        </is>
      </c>
      <c r="B8" s="17" t="n"/>
      <c r="C8" s="115" t="n"/>
      <c r="D8" s="118" t="inlineStr">
        <is>
          <t>DOSSIÊ</t>
        </is>
      </c>
      <c r="E8" s="14" t="n"/>
      <c r="F8" s="14" t="n"/>
      <c r="G8" s="14" t="n"/>
      <c r="H8" s="14" t="n"/>
      <c r="I8" s="14" t="n"/>
      <c r="J8" s="14" t="n"/>
      <c r="K8" s="14" t="n"/>
      <c r="L8" s="14" t="n"/>
      <c r="M8" s="14" t="n"/>
      <c r="N8" s="14" t="n"/>
      <c r="O8" s="14" t="n"/>
      <c r="P8" s="14" t="n"/>
      <c r="Q8" s="14" t="n"/>
      <c r="R8" s="14" t="n"/>
      <c r="S8" s="14" t="n"/>
      <c r="T8" s="14" t="n"/>
      <c r="U8" s="14" t="n"/>
      <c r="V8" s="14" t="n"/>
      <c r="W8" s="14" t="n"/>
      <c r="X8" s="14" t="n"/>
      <c r="Y8" s="14" t="n"/>
      <c r="Z8" s="14" t="n"/>
      <c r="AA8" s="14" t="n"/>
      <c r="AB8" s="14" t="n"/>
      <c r="AC8" s="14" t="n"/>
      <c r="AD8" s="14" t="n"/>
      <c r="AE8" s="14" t="n"/>
      <c r="AF8" s="14" t="n"/>
      <c r="AG8" s="14" t="n"/>
      <c r="AH8" s="14" t="n"/>
      <c r="AI8" s="14" t="n"/>
      <c r="AJ8" s="14" t="n"/>
      <c r="AK8" s="14" t="n"/>
      <c r="AL8" s="14" t="n"/>
      <c r="AM8" s="14" t="n"/>
      <c r="AN8" s="14" t="n"/>
      <c r="AO8" s="14" t="n"/>
      <c r="AP8" s="14" t="n"/>
      <c r="AQ8" s="14" t="n"/>
      <c r="AR8" s="14" t="n"/>
      <c r="AS8" s="14" t="n"/>
      <c r="AT8" s="15" t="n"/>
      <c r="AU8" s="115" t="n"/>
      <c r="AV8" s="115" t="n"/>
      <c r="AW8" s="118" t="inlineStr">
        <is>
          <t>MISSÕES E XP</t>
        </is>
      </c>
      <c r="AX8" s="14" t="n"/>
      <c r="AY8" s="14" t="n"/>
      <c r="AZ8" s="14" t="n"/>
      <c r="BA8" s="14" t="n"/>
      <c r="BB8" s="14" t="n"/>
      <c r="BC8" s="14" t="n"/>
      <c r="BD8" s="14" t="n"/>
      <c r="BE8" s="14" t="n"/>
      <c r="BF8" s="14" t="n"/>
      <c r="BG8" s="15" t="n"/>
      <c r="BH8" s="115" t="n"/>
      <c r="BI8" s="118" t="inlineStr">
        <is>
          <t>MAIS MISSÕES</t>
        </is>
      </c>
      <c r="BJ8" s="14" t="n"/>
      <c r="BK8" s="14" t="n"/>
      <c r="BL8" s="14" t="n"/>
      <c r="BM8" s="14" t="n"/>
      <c r="BN8" s="14" t="n"/>
      <c r="BO8" s="14" t="n"/>
      <c r="BP8" s="14" t="n"/>
      <c r="BQ8" s="14" t="n"/>
      <c r="BR8" s="14" t="n"/>
      <c r="BS8" s="15" t="n"/>
      <c r="BT8" s="115" t="n"/>
    </row>
    <row r="9">
      <c r="B9" s="17" t="n"/>
      <c r="C9" s="115" t="n"/>
      <c r="D9" s="18" t="n"/>
      <c r="E9" s="19" t="n"/>
      <c r="F9" s="19" t="n"/>
      <c r="G9" s="19" t="n"/>
      <c r="H9" s="19" t="n"/>
      <c r="I9" s="19" t="n"/>
      <c r="J9" s="19" t="n"/>
      <c r="K9" s="19" t="n"/>
      <c r="L9" s="19" t="n"/>
      <c r="M9" s="19" t="n"/>
      <c r="N9" s="19" t="n"/>
      <c r="O9" s="19" t="n"/>
      <c r="P9" s="19" t="n"/>
      <c r="Q9" s="19" t="n"/>
      <c r="R9" s="19" t="n"/>
      <c r="S9" s="19" t="n"/>
      <c r="T9" s="19" t="n"/>
      <c r="U9" s="19" t="n"/>
      <c r="V9" s="19" t="n"/>
      <c r="W9" s="19" t="n"/>
      <c r="X9" s="19" t="n"/>
      <c r="Y9" s="19" t="n"/>
      <c r="Z9" s="19" t="n"/>
      <c r="AA9" s="19" t="n"/>
      <c r="AB9" s="19" t="n"/>
      <c r="AC9" s="19" t="n"/>
      <c r="AD9" s="19" t="n"/>
      <c r="AE9" s="19" t="n"/>
      <c r="AF9" s="19" t="n"/>
      <c r="AG9" s="19" t="n"/>
      <c r="AH9" s="19" t="n"/>
      <c r="AI9" s="19" t="n"/>
      <c r="AJ9" s="19" t="n"/>
      <c r="AK9" s="19" t="n"/>
      <c r="AL9" s="19" t="n"/>
      <c r="AM9" s="19" t="n"/>
      <c r="AN9" s="19" t="n"/>
      <c r="AO9" s="19" t="n"/>
      <c r="AP9" s="19" t="n"/>
      <c r="AQ9" s="19" t="n"/>
      <c r="AR9" s="19" t="n"/>
      <c r="AS9" s="19" t="n"/>
      <c r="AT9" s="20" t="n"/>
      <c r="AU9" s="115" t="n"/>
      <c r="AV9" s="115" t="n"/>
      <c r="AW9" s="18" t="n"/>
      <c r="AX9" s="19" t="n"/>
      <c r="AY9" s="19" t="n"/>
      <c r="AZ9" s="19" t="n"/>
      <c r="BA9" s="19" t="n"/>
      <c r="BB9" s="19" t="n"/>
      <c r="BC9" s="19" t="n"/>
      <c r="BD9" s="19" t="n"/>
      <c r="BE9" s="19" t="n"/>
      <c r="BF9" s="19" t="n"/>
      <c r="BG9" s="20" t="n"/>
      <c r="BH9" s="115" t="n"/>
      <c r="BI9" s="18" t="n"/>
      <c r="BJ9" s="19" t="n"/>
      <c r="BK9" s="19" t="n"/>
      <c r="BL9" s="19" t="n"/>
      <c r="BM9" s="19" t="n"/>
      <c r="BN9" s="19" t="n"/>
      <c r="BO9" s="19" t="n"/>
      <c r="BP9" s="19" t="n"/>
      <c r="BQ9" s="19" t="n"/>
      <c r="BR9" s="19" t="n"/>
      <c r="BS9" s="20" t="n"/>
      <c r="BT9" s="115" t="n"/>
    </row>
    <row r="10">
      <c r="B10" s="17" t="n"/>
      <c r="C10" s="115" t="n"/>
      <c r="D10" s="134" t="inlineStr">
        <is>
          <t>FOTO DO PERSONAGEM</t>
        </is>
      </c>
      <c r="E10" s="14" t="n"/>
      <c r="F10" s="14" t="n"/>
      <c r="G10" s="14" t="n"/>
      <c r="H10" s="14" t="n"/>
      <c r="I10" s="14" t="n"/>
      <c r="J10" s="14" t="n"/>
      <c r="K10" s="14" t="n"/>
      <c r="L10" s="14" t="n"/>
      <c r="M10" s="14" t="n"/>
      <c r="N10" s="14" t="n"/>
      <c r="O10" s="15" t="n"/>
      <c r="P10" s="115" t="n"/>
      <c r="Q10" s="52" t="inlineStr">
        <is>
          <t>NOME</t>
        </is>
      </c>
      <c r="R10" s="11" t="n"/>
      <c r="S10" s="11" t="n"/>
      <c r="T10" s="11" t="n"/>
      <c r="U10" s="11" t="n"/>
      <c r="V10" s="11" t="n"/>
      <c r="W10" s="11" t="n"/>
      <c r="X10" s="11" t="n"/>
      <c r="Y10" s="11" t="n"/>
      <c r="Z10" s="12" t="n"/>
      <c r="AA10" s="115" t="n"/>
      <c r="AB10" s="52" t="inlineStr">
        <is>
          <t>GRAU</t>
        </is>
      </c>
      <c r="AC10" s="11" t="n"/>
      <c r="AD10" s="11" t="n"/>
      <c r="AE10" s="11" t="n"/>
      <c r="AF10" s="11" t="n"/>
      <c r="AG10" s="12" t="n"/>
      <c r="AH10" s="115" t="n"/>
      <c r="AI10" s="52" t="inlineStr">
        <is>
          <t>IDADE</t>
        </is>
      </c>
      <c r="AJ10" s="11" t="n"/>
      <c r="AK10" s="11" t="n"/>
      <c r="AL10" s="11" t="n"/>
      <c r="AM10" s="12" t="n"/>
      <c r="AN10" s="115" t="n"/>
      <c r="AO10" s="52" t="inlineStr">
        <is>
          <t>ALTURA</t>
        </is>
      </c>
      <c r="AP10" s="11" t="n"/>
      <c r="AQ10" s="11" t="n"/>
      <c r="AR10" s="11" t="n"/>
      <c r="AS10" s="11" t="n"/>
      <c r="AT10" s="12" t="n"/>
      <c r="AU10" s="115" t="n"/>
      <c r="AV10" s="115" t="n"/>
      <c r="AW10" s="52" t="inlineStr">
        <is>
          <t>XP TOTAL</t>
        </is>
      </c>
      <c r="AX10" s="11" t="n"/>
      <c r="AY10" s="11" t="n"/>
      <c r="AZ10" s="11" t="n"/>
      <c r="BA10" s="12" t="n"/>
      <c r="BB10" s="115" t="n"/>
      <c r="BC10" s="52">
        <f>IF(DADOS!$CZ$45&gt;=30,"NÍVEL MÁXIMO","FALTA PARA O NÍVEL "&amp;(DADOS!$CZ$45+1))</f>
        <v/>
      </c>
      <c r="BD10" s="11" t="n"/>
      <c r="BE10" s="11" t="n"/>
      <c r="BF10" s="11" t="n"/>
      <c r="BG10" s="12" t="n"/>
      <c r="BH10" s="115" t="n"/>
      <c r="BI10" s="115" t="n"/>
      <c r="BJ10" s="115" t="n"/>
      <c r="BK10" s="115" t="n"/>
      <c r="BL10" s="115" t="n"/>
      <c r="BM10" s="115" t="n"/>
      <c r="BN10" s="115" t="n"/>
      <c r="BO10" s="115" t="n"/>
      <c r="BP10" s="115" t="n"/>
      <c r="BQ10" s="115" t="n"/>
      <c r="BR10" s="115" t="n"/>
      <c r="BS10" s="115" t="n"/>
      <c r="BT10" s="115" t="n"/>
    </row>
    <row r="11">
      <c r="B11" s="17" t="n"/>
      <c r="C11" s="115" t="n"/>
      <c r="D11" s="16" t="n"/>
      <c r="O11" s="17" t="n"/>
      <c r="P11" s="115" t="n"/>
      <c r="Q11" s="80">
        <f>FICHA!AB2</f>
        <v/>
      </c>
      <c r="R11" s="14" t="n"/>
      <c r="S11" s="14" t="n"/>
      <c r="T11" s="14" t="n"/>
      <c r="U11" s="14" t="n"/>
      <c r="V11" s="14" t="n"/>
      <c r="W11" s="14" t="n"/>
      <c r="X11" s="14" t="n"/>
      <c r="Y11" s="14" t="n"/>
      <c r="Z11" s="15" t="n"/>
      <c r="AA11" s="115" t="n"/>
      <c r="AB11" s="80" t="inlineStr">
        <is>
          <t>Grau 4</t>
        </is>
      </c>
      <c r="AC11" s="14" t="n"/>
      <c r="AD11" s="14" t="n"/>
      <c r="AE11" s="14" t="n"/>
      <c r="AF11" s="14" t="n"/>
      <c r="AG11" s="15" t="n"/>
      <c r="AH11" s="115" t="n"/>
      <c r="AI11" s="80" t="n"/>
      <c r="AJ11" s="14" t="n"/>
      <c r="AK11" s="14" t="n"/>
      <c r="AL11" s="14" t="n"/>
      <c r="AM11" s="15" t="n"/>
      <c r="AN11" s="115" t="n"/>
      <c r="AO11" s="80" t="n"/>
      <c r="AP11" s="14" t="n"/>
      <c r="AQ11" s="14" t="n"/>
      <c r="AR11" s="14" t="n"/>
      <c r="AS11" s="14" t="n"/>
      <c r="AT11" s="15" t="n"/>
      <c r="AU11" s="115" t="n"/>
      <c r="AV11" s="115" t="n"/>
      <c r="AW11" s="89">
        <f>DADOS!$CZ$44</f>
        <v/>
      </c>
      <c r="AX11" s="14" t="n"/>
      <c r="AY11" s="14" t="n"/>
      <c r="AZ11" s="14" t="n"/>
      <c r="BA11" s="15" t="n"/>
      <c r="BB11" s="115" t="n"/>
      <c r="BC11" s="89">
        <f>IF(DADOS!$CZ$46&amp;""="","—",MAX(0,DADOS!$CZ$46-DADOS!$CZ$44))</f>
        <v/>
      </c>
      <c r="BD11" s="15" t="n"/>
      <c r="BE11" s="127">
        <f>IFERROR(SPARKLINE(MAX(0,DADOS!$CZ$44-DADOS!$CZ$47),{"charttype","bar";"max",MAX(1,N(DADOS!$CZ$46)-DADOS!$CZ$47);"color1",DADOS!$CZ$48}),"")</f>
        <v/>
      </c>
      <c r="BF11" s="14" t="n"/>
      <c r="BG11" s="15" t="n"/>
      <c r="BH11" s="115" t="n"/>
      <c r="BI11" s="115" t="n"/>
      <c r="BJ11" s="115" t="n"/>
      <c r="BK11" s="115" t="n"/>
      <c r="BL11" s="115" t="n"/>
      <c r="BM11" s="115" t="n"/>
      <c r="BN11" s="115" t="n"/>
      <c r="BO11" s="115" t="n"/>
      <c r="BP11" s="115" t="n"/>
      <c r="BQ11" s="115" t="n"/>
      <c r="BR11" s="115" t="n"/>
      <c r="BS11" s="115" t="n"/>
      <c r="BT11" s="115" t="n"/>
    </row>
    <row r="12">
      <c r="B12" s="17" t="n"/>
      <c r="C12" s="115" t="n"/>
      <c r="D12" s="16" t="n"/>
      <c r="O12" s="17" t="n"/>
      <c r="P12" s="115" t="n"/>
      <c r="Q12" s="18" t="n"/>
      <c r="R12" s="19" t="n"/>
      <c r="S12" s="19" t="n"/>
      <c r="T12" s="19" t="n"/>
      <c r="U12" s="19" t="n"/>
      <c r="V12" s="19" t="n"/>
      <c r="W12" s="19" t="n"/>
      <c r="X12" s="19" t="n"/>
      <c r="Y12" s="19" t="n"/>
      <c r="Z12" s="20" t="n"/>
      <c r="AA12" s="115" t="n"/>
      <c r="AB12" s="18" t="n"/>
      <c r="AC12" s="19" t="n"/>
      <c r="AD12" s="19" t="n"/>
      <c r="AE12" s="19" t="n"/>
      <c r="AF12" s="19" t="n"/>
      <c r="AG12" s="20" t="n"/>
      <c r="AH12" s="115" t="n"/>
      <c r="AI12" s="18" t="n"/>
      <c r="AJ12" s="19" t="n"/>
      <c r="AK12" s="19" t="n"/>
      <c r="AL12" s="19" t="n"/>
      <c r="AM12" s="20" t="n"/>
      <c r="AN12" s="115" t="n"/>
      <c r="AO12" s="18" t="n"/>
      <c r="AP12" s="19" t="n"/>
      <c r="AQ12" s="19" t="n"/>
      <c r="AR12" s="19" t="n"/>
      <c r="AS12" s="19" t="n"/>
      <c r="AT12" s="20" t="n"/>
      <c r="AU12" s="115" t="n"/>
      <c r="AV12" s="115" t="n"/>
      <c r="AW12" s="18" t="n"/>
      <c r="AX12" s="19" t="n"/>
      <c r="AY12" s="19" t="n"/>
      <c r="AZ12" s="19" t="n"/>
      <c r="BA12" s="20" t="n"/>
      <c r="BB12" s="115" t="n"/>
      <c r="BC12" s="18" t="n"/>
      <c r="BD12" s="20" t="n"/>
      <c r="BE12" s="18" t="n"/>
      <c r="BF12" s="19" t="n"/>
      <c r="BG12" s="20" t="n"/>
      <c r="BH12" s="115" t="n"/>
      <c r="BI12" s="115" t="n"/>
      <c r="BJ12" s="115" t="n"/>
      <c r="BK12" s="115" t="n"/>
      <c r="BL12" s="115" t="n"/>
      <c r="BM12" s="115" t="n"/>
      <c r="BN12" s="115" t="n"/>
      <c r="BO12" s="115" t="n"/>
      <c r="BP12" s="115" t="n"/>
      <c r="BQ12" s="115" t="n"/>
      <c r="BR12" s="115" t="n"/>
      <c r="BS12" s="115" t="n"/>
      <c r="BT12" s="115" t="n"/>
    </row>
    <row r="13">
      <c r="B13" s="17" t="n"/>
      <c r="C13" s="115" t="n"/>
      <c r="D13" s="16" t="n"/>
      <c r="O13" s="17" t="n"/>
      <c r="P13" s="115" t="n"/>
      <c r="Q13" s="115" t="n"/>
      <c r="R13" s="115" t="n"/>
      <c r="S13" s="115" t="n"/>
      <c r="T13" s="115" t="n"/>
      <c r="U13" s="115" t="n"/>
      <c r="V13" s="115" t="n"/>
      <c r="W13" s="115" t="n"/>
      <c r="X13" s="115" t="n"/>
      <c r="Y13" s="115" t="n"/>
      <c r="Z13" s="115" t="n"/>
      <c r="AA13" s="115" t="n"/>
      <c r="AB13" s="115" t="n"/>
      <c r="AC13" s="115" t="n"/>
      <c r="AD13" s="115" t="n"/>
      <c r="AE13" s="115" t="n"/>
      <c r="AF13" s="115" t="n"/>
      <c r="AG13" s="115" t="n"/>
      <c r="AH13" s="115" t="n"/>
      <c r="AI13" s="115" t="n"/>
      <c r="AJ13" s="115" t="n"/>
      <c r="AK13" s="115" t="n"/>
      <c r="AL13" s="115" t="n"/>
      <c r="AM13" s="115" t="n"/>
      <c r="AN13" s="115" t="n"/>
      <c r="AO13" s="115" t="n"/>
      <c r="AP13" s="115" t="n"/>
      <c r="AQ13" s="115" t="n"/>
      <c r="AR13" s="115" t="n"/>
      <c r="AS13" s="115" t="n"/>
      <c r="AT13" s="115" t="n"/>
      <c r="AU13" s="115" t="n"/>
      <c r="AV13" s="115" t="n"/>
      <c r="AW13" s="115" t="n"/>
      <c r="AX13" s="115" t="n"/>
      <c r="AY13" s="115" t="n"/>
      <c r="AZ13" s="115" t="n"/>
      <c r="BA13" s="115" t="n"/>
      <c r="BB13" s="115" t="n"/>
      <c r="BC13" s="115" t="n"/>
      <c r="BD13" s="115" t="n"/>
      <c r="BE13" s="115" t="n"/>
      <c r="BF13" s="115" t="n"/>
      <c r="BG13" s="115" t="n"/>
      <c r="BH13" s="115" t="n"/>
      <c r="BI13" s="115" t="n"/>
      <c r="BJ13" s="115" t="n"/>
      <c r="BK13" s="115" t="n"/>
      <c r="BL13" s="115" t="n"/>
      <c r="BM13" s="115" t="n"/>
      <c r="BN13" s="115" t="n"/>
      <c r="BO13" s="115" t="n"/>
      <c r="BP13" s="115" t="n"/>
      <c r="BQ13" s="115" t="n"/>
      <c r="BR13" s="115" t="n"/>
      <c r="BS13" s="115" t="n"/>
      <c r="BT13" s="115" t="n"/>
    </row>
    <row r="14">
      <c r="B14" s="17" t="n"/>
      <c r="C14" s="115" t="n"/>
      <c r="D14" s="16" t="n"/>
      <c r="O14" s="17" t="n"/>
      <c r="P14" s="115" t="n"/>
      <c r="Q14" s="52" t="inlineStr">
        <is>
          <t>OLHOS</t>
        </is>
      </c>
      <c r="R14" s="11" t="n"/>
      <c r="S14" s="11" t="n"/>
      <c r="T14" s="11" t="n"/>
      <c r="U14" s="11" t="n"/>
      <c r="V14" s="11" t="n"/>
      <c r="W14" s="12" t="n"/>
      <c r="X14" s="115" t="n"/>
      <c r="Y14" s="52" t="inlineStr">
        <is>
          <t>CABELO</t>
        </is>
      </c>
      <c r="Z14" s="11" t="n"/>
      <c r="AA14" s="11" t="n"/>
      <c r="AB14" s="11" t="n"/>
      <c r="AC14" s="11" t="n"/>
      <c r="AD14" s="11" t="n"/>
      <c r="AE14" s="12" t="n"/>
      <c r="AF14" s="115" t="n"/>
      <c r="AG14" s="52" t="inlineStr">
        <is>
          <t>PELE</t>
        </is>
      </c>
      <c r="AH14" s="11" t="n"/>
      <c r="AI14" s="11" t="n"/>
      <c r="AJ14" s="11" t="n"/>
      <c r="AK14" s="11" t="n"/>
      <c r="AL14" s="11" t="n"/>
      <c r="AM14" s="12" t="n"/>
      <c r="AN14" s="115" t="n"/>
      <c r="AO14" s="52" t="inlineStr">
        <is>
          <t>GÊNERO</t>
        </is>
      </c>
      <c r="AP14" s="11" t="n"/>
      <c r="AQ14" s="11" t="n"/>
      <c r="AR14" s="11" t="n"/>
      <c r="AS14" s="11" t="n"/>
      <c r="AT14" s="12" t="n"/>
      <c r="AU14" s="115" t="n"/>
      <c r="AV14" s="115" t="n"/>
      <c r="AW14" s="52" t="inlineStr">
        <is>
          <t>MISSÃO</t>
        </is>
      </c>
      <c r="AX14" s="52" t="inlineStr">
        <is>
          <t>XP</t>
        </is>
      </c>
      <c r="AY14" s="52" t="inlineStr">
        <is>
          <t>ADICIONAL</t>
        </is>
      </c>
      <c r="AZ14" s="52" t="inlineStr">
        <is>
          <t>DESCONTO</t>
        </is>
      </c>
      <c r="BA14" s="52" t="inlineStr">
        <is>
          <t>TOTAL</t>
        </is>
      </c>
      <c r="BB14" s="115" t="n"/>
      <c r="BC14" s="52" t="inlineStr">
        <is>
          <t>MISSÃO</t>
        </is>
      </c>
      <c r="BD14" s="52" t="inlineStr">
        <is>
          <t>XP</t>
        </is>
      </c>
      <c r="BE14" s="52" t="inlineStr">
        <is>
          <t>ADICIONAL</t>
        </is>
      </c>
      <c r="BF14" s="52" t="inlineStr">
        <is>
          <t>DESCONTO</t>
        </is>
      </c>
      <c r="BG14" s="52" t="inlineStr">
        <is>
          <t>TOTAL</t>
        </is>
      </c>
      <c r="BH14" s="115" t="n"/>
      <c r="BI14" s="52" t="inlineStr">
        <is>
          <t>MISSÃO</t>
        </is>
      </c>
      <c r="BJ14" s="52" t="inlineStr">
        <is>
          <t>XP</t>
        </is>
      </c>
      <c r="BK14" s="52" t="inlineStr">
        <is>
          <t>ADICIONAL</t>
        </is>
      </c>
      <c r="BL14" s="52" t="inlineStr">
        <is>
          <t>DESCONTO</t>
        </is>
      </c>
      <c r="BM14" s="52" t="inlineStr">
        <is>
          <t>TOTAL</t>
        </is>
      </c>
      <c r="BN14" s="115" t="n"/>
      <c r="BO14" s="52" t="inlineStr">
        <is>
          <t>MISSÃO</t>
        </is>
      </c>
      <c r="BP14" s="52" t="inlineStr">
        <is>
          <t>XP</t>
        </is>
      </c>
      <c r="BQ14" s="52" t="inlineStr">
        <is>
          <t>ADICIONAL</t>
        </is>
      </c>
      <c r="BR14" s="52" t="inlineStr">
        <is>
          <t>DESCONTO</t>
        </is>
      </c>
      <c r="BS14" s="52" t="inlineStr">
        <is>
          <t>TOTAL</t>
        </is>
      </c>
      <c r="BT14" s="115" t="n"/>
    </row>
    <row r="15">
      <c r="B15" s="17" t="n"/>
      <c r="C15" s="115" t="n"/>
      <c r="D15" s="16" t="n"/>
      <c r="O15" s="17" t="n"/>
      <c r="P15" s="115" t="n"/>
      <c r="Q15" s="80" t="n"/>
      <c r="R15" s="14" t="n"/>
      <c r="S15" s="14" t="n"/>
      <c r="T15" s="14" t="n"/>
      <c r="U15" s="14" t="n"/>
      <c r="V15" s="14" t="n"/>
      <c r="W15" s="15" t="n"/>
      <c r="X15" s="115" t="n"/>
      <c r="Y15" s="80" t="n"/>
      <c r="Z15" s="14" t="n"/>
      <c r="AA15" s="14" t="n"/>
      <c r="AB15" s="14" t="n"/>
      <c r="AC15" s="14" t="n"/>
      <c r="AD15" s="14" t="n"/>
      <c r="AE15" s="15" t="n"/>
      <c r="AF15" s="115" t="n"/>
      <c r="AG15" s="80" t="n"/>
      <c r="AH15" s="14" t="n"/>
      <c r="AI15" s="14" t="n"/>
      <c r="AJ15" s="14" t="n"/>
      <c r="AK15" s="14" t="n"/>
      <c r="AL15" s="14" t="n"/>
      <c r="AM15" s="15" t="n"/>
      <c r="AN15" s="115" t="n"/>
      <c r="AO15" s="80" t="n"/>
      <c r="AP15" s="14" t="n"/>
      <c r="AQ15" s="14" t="n"/>
      <c r="AR15" s="14" t="n"/>
      <c r="AS15" s="14" t="n"/>
      <c r="AT15" s="15" t="n"/>
      <c r="AU15" s="115" t="n"/>
      <c r="AV15" s="115" t="n"/>
      <c r="AW15" s="127" t="n"/>
      <c r="AX15" s="127" t="n"/>
      <c r="AY15" s="121" t="n"/>
      <c r="AZ15" s="121" t="n"/>
      <c r="BA15" s="121">
        <f>IF($AX15="","",IFERROR(FLOOR(ROUND(VLOOKUP($AX15,DADOS!$CL$5:$CM$10,2,FALSE)*IF($AY15="",1,VLOOKUP($AY15,DADOS!$CO$5:$CP$7,2,FALSE))*IF($AZ15="",1,VLOOKUP($AZ15,DADOS!$CR$5:$CS$9,2,FALSE)),4),12.5),""))</f>
        <v/>
      </c>
      <c r="BB15" s="115" t="n"/>
      <c r="BC15" s="127" t="n"/>
      <c r="BD15" s="127" t="n"/>
      <c r="BE15" s="121" t="n"/>
      <c r="BF15" s="121" t="n"/>
      <c r="BG15" s="121">
        <f>IF($BD15="","",IFERROR(FLOOR(ROUND(VLOOKUP($BD15,DADOS!$CL$5:$CM$10,2,FALSE)*IF($BE15="",1,VLOOKUP($BE15,DADOS!$CO$5:$CP$7,2,FALSE))*IF($BF15="",1,VLOOKUP($BF15,DADOS!$CR$5:$CS$9,2,FALSE)),4),12.5),""))</f>
        <v/>
      </c>
      <c r="BH15" s="115" t="n"/>
      <c r="BI15" s="127" t="n"/>
      <c r="BJ15" s="127" t="n"/>
      <c r="BK15" s="121" t="n"/>
      <c r="BL15" s="121" t="n"/>
      <c r="BM15" s="121">
        <f>IF($BJ15="","",IFERROR(FLOOR(ROUND(VLOOKUP($BJ15,DADOS!$CL$5:$CM$10,2,FALSE)*IF($BK15="",1,VLOOKUP($BK15,DADOS!$CO$5:$CP$7,2,FALSE))*IF($BL15="",1,VLOOKUP($BL15,DADOS!$CR$5:$CS$9,2,FALSE)),4),12.5),""))</f>
        <v/>
      </c>
      <c r="BN15" s="115" t="n"/>
      <c r="BO15" s="127" t="n"/>
      <c r="BP15" s="127" t="n"/>
      <c r="BQ15" s="121" t="n"/>
      <c r="BR15" s="121" t="n"/>
      <c r="BS15" s="121">
        <f>IF($BP15="","",IFERROR(FLOOR(ROUND(VLOOKUP($BP15,DADOS!$CL$5:$CM$10,2,FALSE)*IF($BQ15="",1,VLOOKUP($BQ15,DADOS!$CO$5:$CP$7,2,FALSE))*IF($BR15="",1,VLOOKUP($BR15,DADOS!$CR$5:$CS$9,2,FALSE)),4),12.5),""))</f>
        <v/>
      </c>
      <c r="BT15" s="115" t="n"/>
    </row>
    <row r="16">
      <c r="B16" s="17" t="n"/>
      <c r="C16" s="115" t="n"/>
      <c r="D16" s="16" t="n"/>
      <c r="O16" s="17" t="n"/>
      <c r="P16" s="115" t="n"/>
      <c r="Q16" s="18" t="n"/>
      <c r="R16" s="19" t="n"/>
      <c r="S16" s="19" t="n"/>
      <c r="T16" s="19" t="n"/>
      <c r="U16" s="19" t="n"/>
      <c r="V16" s="19" t="n"/>
      <c r="W16" s="20" t="n"/>
      <c r="X16" s="115" t="n"/>
      <c r="Y16" s="18" t="n"/>
      <c r="Z16" s="19" t="n"/>
      <c r="AA16" s="19" t="n"/>
      <c r="AB16" s="19" t="n"/>
      <c r="AC16" s="19" t="n"/>
      <c r="AD16" s="19" t="n"/>
      <c r="AE16" s="20" t="n"/>
      <c r="AF16" s="115" t="n"/>
      <c r="AG16" s="18" t="n"/>
      <c r="AH16" s="19" t="n"/>
      <c r="AI16" s="19" t="n"/>
      <c r="AJ16" s="19" t="n"/>
      <c r="AK16" s="19" t="n"/>
      <c r="AL16" s="19" t="n"/>
      <c r="AM16" s="20" t="n"/>
      <c r="AN16" s="115" t="n"/>
      <c r="AO16" s="18" t="n"/>
      <c r="AP16" s="19" t="n"/>
      <c r="AQ16" s="19" t="n"/>
      <c r="AR16" s="19" t="n"/>
      <c r="AS16" s="19" t="n"/>
      <c r="AT16" s="20" t="n"/>
      <c r="AU16" s="115" t="n"/>
      <c r="AV16" s="115" t="n"/>
      <c r="AW16" s="127" t="n"/>
      <c r="AX16" s="127" t="n"/>
      <c r="AY16" s="121" t="n"/>
      <c r="AZ16" s="121" t="n"/>
      <c r="BA16" s="121">
        <f>IF($AX16="","",IFERROR(FLOOR(ROUND(VLOOKUP($AX16,DADOS!$CL$5:$CM$10,2,FALSE)*IF($AY16="",1,VLOOKUP($AY16,DADOS!$CO$5:$CP$7,2,FALSE))*IF($AZ16="",1,VLOOKUP($AZ16,DADOS!$CR$5:$CS$9,2,FALSE)),4),12.5),""))</f>
        <v/>
      </c>
      <c r="BB16" s="115" t="n"/>
      <c r="BC16" s="127" t="n"/>
      <c r="BD16" s="127" t="n"/>
      <c r="BE16" s="121" t="n"/>
      <c r="BF16" s="121" t="n"/>
      <c r="BG16" s="121">
        <f>IF($BD16="","",IFERROR(FLOOR(ROUND(VLOOKUP($BD16,DADOS!$CL$5:$CM$10,2,FALSE)*IF($BE16="",1,VLOOKUP($BE16,DADOS!$CO$5:$CP$7,2,FALSE))*IF($BF16="",1,VLOOKUP($BF16,DADOS!$CR$5:$CS$9,2,FALSE)),4),12.5),""))</f>
        <v/>
      </c>
      <c r="BH16" s="115" t="n"/>
      <c r="BI16" s="127" t="n"/>
      <c r="BJ16" s="127" t="n"/>
      <c r="BK16" s="121" t="n"/>
      <c r="BL16" s="121" t="n"/>
      <c r="BM16" s="121">
        <f>IF($BJ16="","",IFERROR(FLOOR(ROUND(VLOOKUP($BJ16,DADOS!$CL$5:$CM$10,2,FALSE)*IF($BK16="",1,VLOOKUP($BK16,DADOS!$CO$5:$CP$7,2,FALSE))*IF($BL16="",1,VLOOKUP($BL16,DADOS!$CR$5:$CS$9,2,FALSE)),4),12.5),""))</f>
        <v/>
      </c>
      <c r="BN16" s="115" t="n"/>
      <c r="BO16" s="127" t="n"/>
      <c r="BP16" s="127" t="n"/>
      <c r="BQ16" s="121" t="n"/>
      <c r="BR16" s="121" t="n"/>
      <c r="BS16" s="121">
        <f>IF($BP16="","",IFERROR(FLOOR(ROUND(VLOOKUP($BP16,DADOS!$CL$5:$CM$10,2,FALSE)*IF($BQ16="",1,VLOOKUP($BQ16,DADOS!$CO$5:$CP$7,2,FALSE))*IF($BR16="",1,VLOOKUP($BR16,DADOS!$CR$5:$CS$9,2,FALSE)),4),12.5),""))</f>
        <v/>
      </c>
      <c r="BT16" s="115" t="n"/>
    </row>
    <row r="17">
      <c r="B17" s="17" t="n"/>
      <c r="C17" s="115" t="n"/>
      <c r="D17" s="16" t="n"/>
      <c r="O17" s="17" t="n"/>
      <c r="P17" s="115" t="n"/>
      <c r="Q17" s="115" t="n"/>
      <c r="R17" s="115" t="n"/>
      <c r="S17" s="115" t="n"/>
      <c r="T17" s="115" t="n"/>
      <c r="U17" s="115" t="n"/>
      <c r="V17" s="115" t="n"/>
      <c r="W17" s="115" t="n"/>
      <c r="X17" s="115" t="n"/>
      <c r="Y17" s="115" t="n"/>
      <c r="Z17" s="115" t="n"/>
      <c r="AA17" s="115" t="n"/>
      <c r="AB17" s="115" t="n"/>
      <c r="AC17" s="115" t="n"/>
      <c r="AD17" s="115" t="n"/>
      <c r="AE17" s="115" t="n"/>
      <c r="AF17" s="115" t="n"/>
      <c r="AG17" s="115" t="n"/>
      <c r="AH17" s="115" t="n"/>
      <c r="AI17" s="115" t="n"/>
      <c r="AJ17" s="115" t="n"/>
      <c r="AK17" s="115" t="n"/>
      <c r="AL17" s="115" t="n"/>
      <c r="AM17" s="115" t="n"/>
      <c r="AN17" s="115" t="n"/>
      <c r="AO17" s="115" t="n"/>
      <c r="AP17" s="115" t="n"/>
      <c r="AQ17" s="115" t="n"/>
      <c r="AR17" s="115" t="n"/>
      <c r="AS17" s="115" t="n"/>
      <c r="AT17" s="115" t="n"/>
      <c r="AU17" s="115" t="n"/>
      <c r="AV17" s="115" t="n"/>
      <c r="AW17" s="127" t="n"/>
      <c r="AX17" s="127" t="n"/>
      <c r="AY17" s="121" t="n"/>
      <c r="AZ17" s="121" t="n"/>
      <c r="BA17" s="121">
        <f>IF($AX17="","",IFERROR(FLOOR(ROUND(VLOOKUP($AX17,DADOS!$CL$5:$CM$10,2,FALSE)*IF($AY17="",1,VLOOKUP($AY17,DADOS!$CO$5:$CP$7,2,FALSE))*IF($AZ17="",1,VLOOKUP($AZ17,DADOS!$CR$5:$CS$9,2,FALSE)),4),12.5),""))</f>
        <v/>
      </c>
      <c r="BB17" s="115" t="n"/>
      <c r="BC17" s="127" t="n"/>
      <c r="BD17" s="127" t="n"/>
      <c r="BE17" s="121" t="n"/>
      <c r="BF17" s="121" t="n"/>
      <c r="BG17" s="121">
        <f>IF($BD17="","",IFERROR(FLOOR(ROUND(VLOOKUP($BD17,DADOS!$CL$5:$CM$10,2,FALSE)*IF($BE17="",1,VLOOKUP($BE17,DADOS!$CO$5:$CP$7,2,FALSE))*IF($BF17="",1,VLOOKUP($BF17,DADOS!$CR$5:$CS$9,2,FALSE)),4),12.5),""))</f>
        <v/>
      </c>
      <c r="BH17" s="115" t="n"/>
      <c r="BI17" s="127" t="n"/>
      <c r="BJ17" s="127" t="n"/>
      <c r="BK17" s="121" t="n"/>
      <c r="BL17" s="121" t="n"/>
      <c r="BM17" s="121">
        <f>IF($BJ17="","",IFERROR(FLOOR(ROUND(VLOOKUP($BJ17,DADOS!$CL$5:$CM$10,2,FALSE)*IF($BK17="",1,VLOOKUP($BK17,DADOS!$CO$5:$CP$7,2,FALSE))*IF($BL17="",1,VLOOKUP($BL17,DADOS!$CR$5:$CS$9,2,FALSE)),4),12.5),""))</f>
        <v/>
      </c>
      <c r="BN17" s="115" t="n"/>
      <c r="BO17" s="127" t="n"/>
      <c r="BP17" s="127" t="n"/>
      <c r="BQ17" s="121" t="n"/>
      <c r="BR17" s="121" t="n"/>
      <c r="BS17" s="121">
        <f>IF($BP17="","",IFERROR(FLOOR(ROUND(VLOOKUP($BP17,DADOS!$CL$5:$CM$10,2,FALSE)*IF($BQ17="",1,VLOOKUP($BQ17,DADOS!$CO$5:$CP$7,2,FALSE))*IF($BR17="",1,VLOOKUP($BR17,DADOS!$CR$5:$CS$9,2,FALSE)),4),12.5),""))</f>
        <v/>
      </c>
      <c r="BT17" s="115" t="n"/>
    </row>
    <row r="18">
      <c r="B18" s="17" t="n"/>
      <c r="C18" s="115" t="n"/>
      <c r="D18" s="16" t="n"/>
      <c r="O18" s="17" t="n"/>
      <c r="P18" s="115" t="n"/>
      <c r="Q18" s="52" t="inlineStr">
        <is>
          <t>APARÊNCIA</t>
        </is>
      </c>
      <c r="R18" s="11" t="n"/>
      <c r="S18" s="11" t="n"/>
      <c r="T18" s="11" t="n"/>
      <c r="U18" s="11" t="n"/>
      <c r="V18" s="11" t="n"/>
      <c r="W18" s="11" t="n"/>
      <c r="X18" s="11" t="n"/>
      <c r="Y18" s="11" t="n"/>
      <c r="Z18" s="11" t="n"/>
      <c r="AA18" s="11" t="n"/>
      <c r="AB18" s="11" t="n"/>
      <c r="AC18" s="11" t="n"/>
      <c r="AD18" s="11" t="n"/>
      <c r="AE18" s="11" t="n"/>
      <c r="AF18" s="11" t="n"/>
      <c r="AG18" s="11" t="n"/>
      <c r="AH18" s="11" t="n"/>
      <c r="AI18" s="11" t="n"/>
      <c r="AJ18" s="11" t="n"/>
      <c r="AK18" s="11" t="n"/>
      <c r="AL18" s="11" t="n"/>
      <c r="AM18" s="11" t="n"/>
      <c r="AN18" s="11" t="n"/>
      <c r="AO18" s="11" t="n"/>
      <c r="AP18" s="11" t="n"/>
      <c r="AQ18" s="11" t="n"/>
      <c r="AR18" s="11" t="n"/>
      <c r="AS18" s="11" t="n"/>
      <c r="AT18" s="12" t="n"/>
      <c r="AU18" s="115" t="n"/>
      <c r="AV18" s="115" t="n"/>
      <c r="AW18" s="127" t="n"/>
      <c r="AX18" s="127" t="n"/>
      <c r="AY18" s="121" t="n"/>
      <c r="AZ18" s="121" t="n"/>
      <c r="BA18" s="121">
        <f>IF($AX18="","",IFERROR(FLOOR(ROUND(VLOOKUP($AX18,DADOS!$CL$5:$CM$10,2,FALSE)*IF($AY18="",1,VLOOKUP($AY18,DADOS!$CO$5:$CP$7,2,FALSE))*IF($AZ18="",1,VLOOKUP($AZ18,DADOS!$CR$5:$CS$9,2,FALSE)),4),12.5),""))</f>
        <v/>
      </c>
      <c r="BB18" s="115" t="n"/>
      <c r="BC18" s="127" t="n"/>
      <c r="BD18" s="127" t="n"/>
      <c r="BE18" s="121" t="n"/>
      <c r="BF18" s="121" t="n"/>
      <c r="BG18" s="121">
        <f>IF($BD18="","",IFERROR(FLOOR(ROUND(VLOOKUP($BD18,DADOS!$CL$5:$CM$10,2,FALSE)*IF($BE18="",1,VLOOKUP($BE18,DADOS!$CO$5:$CP$7,2,FALSE))*IF($BF18="",1,VLOOKUP($BF18,DADOS!$CR$5:$CS$9,2,FALSE)),4),12.5),""))</f>
        <v/>
      </c>
      <c r="BH18" s="115" t="n"/>
      <c r="BI18" s="127" t="n"/>
      <c r="BJ18" s="127" t="n"/>
      <c r="BK18" s="121" t="n"/>
      <c r="BL18" s="121" t="n"/>
      <c r="BM18" s="121">
        <f>IF($BJ18="","",IFERROR(FLOOR(ROUND(VLOOKUP($BJ18,DADOS!$CL$5:$CM$10,2,FALSE)*IF($BK18="",1,VLOOKUP($BK18,DADOS!$CO$5:$CP$7,2,FALSE))*IF($BL18="",1,VLOOKUP($BL18,DADOS!$CR$5:$CS$9,2,FALSE)),4),12.5),""))</f>
        <v/>
      </c>
      <c r="BN18" s="115" t="n"/>
      <c r="BO18" s="127" t="n"/>
      <c r="BP18" s="127" t="n"/>
      <c r="BQ18" s="121" t="n"/>
      <c r="BR18" s="121" t="n"/>
      <c r="BS18" s="121">
        <f>IF($BP18="","",IFERROR(FLOOR(ROUND(VLOOKUP($BP18,DADOS!$CL$5:$CM$10,2,FALSE)*IF($BQ18="",1,VLOOKUP($BQ18,DADOS!$CO$5:$CP$7,2,FALSE))*IF($BR18="",1,VLOOKUP($BR18,DADOS!$CR$5:$CS$9,2,FALSE)),4),12.5),""))</f>
        <v/>
      </c>
      <c r="BT18" s="115" t="n"/>
    </row>
    <row r="19">
      <c r="B19" s="17" t="n"/>
      <c r="C19" s="115" t="n"/>
      <c r="D19" s="16" t="n"/>
      <c r="O19" s="17" t="n"/>
      <c r="P19" s="115" t="n"/>
      <c r="Q19" s="120" t="n"/>
      <c r="R19" s="14" t="n"/>
      <c r="S19" s="14" t="n"/>
      <c r="T19" s="14" t="n"/>
      <c r="U19" s="14" t="n"/>
      <c r="V19" s="14" t="n"/>
      <c r="W19" s="14" t="n"/>
      <c r="X19" s="14" t="n"/>
      <c r="Y19" s="14" t="n"/>
      <c r="Z19" s="14" t="n"/>
      <c r="AA19" s="14" t="n"/>
      <c r="AB19" s="14" t="n"/>
      <c r="AC19" s="14" t="n"/>
      <c r="AD19" s="14" t="n"/>
      <c r="AE19" s="14" t="n"/>
      <c r="AF19" s="14" t="n"/>
      <c r="AG19" s="14" t="n"/>
      <c r="AH19" s="14" t="n"/>
      <c r="AI19" s="14" t="n"/>
      <c r="AJ19" s="14" t="n"/>
      <c r="AK19" s="14" t="n"/>
      <c r="AL19" s="14" t="n"/>
      <c r="AM19" s="14" t="n"/>
      <c r="AN19" s="14" t="n"/>
      <c r="AO19" s="14" t="n"/>
      <c r="AP19" s="14" t="n"/>
      <c r="AQ19" s="14" t="n"/>
      <c r="AR19" s="14" t="n"/>
      <c r="AS19" s="14" t="n"/>
      <c r="AT19" s="15" t="n"/>
      <c r="AU19" s="115" t="n"/>
      <c r="AV19" s="115" t="n"/>
      <c r="AW19" s="127" t="n"/>
      <c r="AX19" s="127" t="n"/>
      <c r="AY19" s="121" t="n"/>
      <c r="AZ19" s="121" t="n"/>
      <c r="BA19" s="121">
        <f>IF($AX19="","",IFERROR(FLOOR(ROUND(VLOOKUP($AX19,DADOS!$CL$5:$CM$10,2,FALSE)*IF($AY19="",1,VLOOKUP($AY19,DADOS!$CO$5:$CP$7,2,FALSE))*IF($AZ19="",1,VLOOKUP($AZ19,DADOS!$CR$5:$CS$9,2,FALSE)),4),12.5),""))</f>
        <v/>
      </c>
      <c r="BB19" s="115" t="n"/>
      <c r="BC19" s="127" t="n"/>
      <c r="BD19" s="127" t="n"/>
      <c r="BE19" s="121" t="n"/>
      <c r="BF19" s="121" t="n"/>
      <c r="BG19" s="121">
        <f>IF($BD19="","",IFERROR(FLOOR(ROUND(VLOOKUP($BD19,DADOS!$CL$5:$CM$10,2,FALSE)*IF($BE19="",1,VLOOKUP($BE19,DADOS!$CO$5:$CP$7,2,FALSE))*IF($BF19="",1,VLOOKUP($BF19,DADOS!$CR$5:$CS$9,2,FALSE)),4),12.5),""))</f>
        <v/>
      </c>
      <c r="BH19" s="115" t="n"/>
      <c r="BI19" s="127" t="n"/>
      <c r="BJ19" s="127" t="n"/>
      <c r="BK19" s="121" t="n"/>
      <c r="BL19" s="121" t="n"/>
      <c r="BM19" s="121">
        <f>IF($BJ19="","",IFERROR(FLOOR(ROUND(VLOOKUP($BJ19,DADOS!$CL$5:$CM$10,2,FALSE)*IF($BK19="",1,VLOOKUP($BK19,DADOS!$CO$5:$CP$7,2,FALSE))*IF($BL19="",1,VLOOKUP($BL19,DADOS!$CR$5:$CS$9,2,FALSE)),4),12.5),""))</f>
        <v/>
      </c>
      <c r="BN19" s="115" t="n"/>
      <c r="BO19" s="127" t="n"/>
      <c r="BP19" s="127" t="n"/>
      <c r="BQ19" s="121" t="n"/>
      <c r="BR19" s="121" t="n"/>
      <c r="BS19" s="121">
        <f>IF($BP19="","",IFERROR(FLOOR(ROUND(VLOOKUP($BP19,DADOS!$CL$5:$CM$10,2,FALSE)*IF($BQ19="",1,VLOOKUP($BQ19,DADOS!$CO$5:$CP$7,2,FALSE))*IF($BR19="",1,VLOOKUP($BR19,DADOS!$CR$5:$CS$9,2,FALSE)),4),12.5),""))</f>
        <v/>
      </c>
      <c r="BT19" s="115" t="n"/>
    </row>
    <row r="20">
      <c r="B20" s="17" t="n"/>
      <c r="C20" s="115" t="n"/>
      <c r="D20" s="16" t="n"/>
      <c r="O20" s="17" t="n"/>
      <c r="P20" s="115" t="n"/>
      <c r="Q20" s="18" t="n"/>
      <c r="R20" s="19" t="n"/>
      <c r="S20" s="19" t="n"/>
      <c r="T20" s="19" t="n"/>
      <c r="U20" s="19" t="n"/>
      <c r="V20" s="19" t="n"/>
      <c r="W20" s="19" t="n"/>
      <c r="X20" s="19" t="n"/>
      <c r="Y20" s="19" t="n"/>
      <c r="Z20" s="19" t="n"/>
      <c r="AA20" s="19" t="n"/>
      <c r="AB20" s="19" t="n"/>
      <c r="AC20" s="19" t="n"/>
      <c r="AD20" s="19" t="n"/>
      <c r="AE20" s="19" t="n"/>
      <c r="AF20" s="19" t="n"/>
      <c r="AG20" s="19" t="n"/>
      <c r="AH20" s="19" t="n"/>
      <c r="AI20" s="19" t="n"/>
      <c r="AJ20" s="19" t="n"/>
      <c r="AK20" s="19" t="n"/>
      <c r="AL20" s="19" t="n"/>
      <c r="AM20" s="19" t="n"/>
      <c r="AN20" s="19" t="n"/>
      <c r="AO20" s="19" t="n"/>
      <c r="AP20" s="19" t="n"/>
      <c r="AQ20" s="19" t="n"/>
      <c r="AR20" s="19" t="n"/>
      <c r="AS20" s="19" t="n"/>
      <c r="AT20" s="20" t="n"/>
      <c r="AU20" s="115" t="n"/>
      <c r="AV20" s="115" t="n"/>
      <c r="AW20" s="127" t="n"/>
      <c r="AX20" s="127" t="n"/>
      <c r="AY20" s="121" t="n"/>
      <c r="AZ20" s="121" t="n"/>
      <c r="BA20" s="121">
        <f>IF($AX20="","",IFERROR(FLOOR(ROUND(VLOOKUP($AX20,DADOS!$CL$5:$CM$10,2,FALSE)*IF($AY20="",1,VLOOKUP($AY20,DADOS!$CO$5:$CP$7,2,FALSE))*IF($AZ20="",1,VLOOKUP($AZ20,DADOS!$CR$5:$CS$9,2,FALSE)),4),12.5),""))</f>
        <v/>
      </c>
      <c r="BB20" s="115" t="n"/>
      <c r="BC20" s="127" t="n"/>
      <c r="BD20" s="127" t="n"/>
      <c r="BE20" s="121" t="n"/>
      <c r="BF20" s="121" t="n"/>
      <c r="BG20" s="121">
        <f>IF($BD20="","",IFERROR(FLOOR(ROUND(VLOOKUP($BD20,DADOS!$CL$5:$CM$10,2,FALSE)*IF($BE20="",1,VLOOKUP($BE20,DADOS!$CO$5:$CP$7,2,FALSE))*IF($BF20="",1,VLOOKUP($BF20,DADOS!$CR$5:$CS$9,2,FALSE)),4),12.5),""))</f>
        <v/>
      </c>
      <c r="BH20" s="115" t="n"/>
      <c r="BI20" s="127" t="n"/>
      <c r="BJ20" s="127" t="n"/>
      <c r="BK20" s="121" t="n"/>
      <c r="BL20" s="121" t="n"/>
      <c r="BM20" s="121">
        <f>IF($BJ20="","",IFERROR(FLOOR(ROUND(VLOOKUP($BJ20,DADOS!$CL$5:$CM$10,2,FALSE)*IF($BK20="",1,VLOOKUP($BK20,DADOS!$CO$5:$CP$7,2,FALSE))*IF($BL20="",1,VLOOKUP($BL20,DADOS!$CR$5:$CS$9,2,FALSE)),4),12.5),""))</f>
        <v/>
      </c>
      <c r="BN20" s="115" t="n"/>
      <c r="BO20" s="127" t="n"/>
      <c r="BP20" s="127" t="n"/>
      <c r="BQ20" s="121" t="n"/>
      <c r="BR20" s="121" t="n"/>
      <c r="BS20" s="121">
        <f>IF($BP20="","",IFERROR(FLOOR(ROUND(VLOOKUP($BP20,DADOS!$CL$5:$CM$10,2,FALSE)*IF($BQ20="",1,VLOOKUP($BQ20,DADOS!$CO$5:$CP$7,2,FALSE))*IF($BR20="",1,VLOOKUP($BR20,DADOS!$CR$5:$CS$9,2,FALSE)),4),12.5),""))</f>
        <v/>
      </c>
      <c r="BT20" s="115" t="n"/>
    </row>
    <row r="21">
      <c r="B21" s="17" t="n"/>
      <c r="C21" s="115" t="n"/>
      <c r="D21" s="16" t="n"/>
      <c r="O21" s="17" t="n"/>
      <c r="P21" s="115" t="n"/>
      <c r="Q21" s="115" t="n"/>
      <c r="R21" s="115" t="n"/>
      <c r="S21" s="115" t="n"/>
      <c r="T21" s="115" t="n"/>
      <c r="U21" s="115" t="n"/>
      <c r="V21" s="115" t="n"/>
      <c r="W21" s="115" t="n"/>
      <c r="X21" s="115" t="n"/>
      <c r="Y21" s="115" t="n"/>
      <c r="Z21" s="115" t="n"/>
      <c r="AA21" s="115" t="n"/>
      <c r="AB21" s="115" t="n"/>
      <c r="AC21" s="115" t="n"/>
      <c r="AD21" s="115" t="n"/>
      <c r="AE21" s="115" t="n"/>
      <c r="AF21" s="115" t="n"/>
      <c r="AG21" s="115" t="n"/>
      <c r="AH21" s="115" t="n"/>
      <c r="AI21" s="115" t="n"/>
      <c r="AJ21" s="115" t="n"/>
      <c r="AK21" s="115" t="n"/>
      <c r="AL21" s="115" t="n"/>
      <c r="AM21" s="115" t="n"/>
      <c r="AN21" s="115" t="n"/>
      <c r="AO21" s="115" t="n"/>
      <c r="AP21" s="115" t="n"/>
      <c r="AQ21" s="115" t="n"/>
      <c r="AR21" s="115" t="n"/>
      <c r="AS21" s="115" t="n"/>
      <c r="AT21" s="115" t="n"/>
      <c r="AU21" s="115" t="n"/>
      <c r="AV21" s="115" t="n"/>
      <c r="AW21" s="127" t="n"/>
      <c r="AX21" s="127" t="n"/>
      <c r="AY21" s="121" t="n"/>
      <c r="AZ21" s="121" t="n"/>
      <c r="BA21" s="121">
        <f>IF($AX21="","",IFERROR(FLOOR(ROUND(VLOOKUP($AX21,DADOS!$CL$5:$CM$10,2,FALSE)*IF($AY21="",1,VLOOKUP($AY21,DADOS!$CO$5:$CP$7,2,FALSE))*IF($AZ21="",1,VLOOKUP($AZ21,DADOS!$CR$5:$CS$9,2,FALSE)),4),12.5),""))</f>
        <v/>
      </c>
      <c r="BB21" s="115" t="n"/>
      <c r="BC21" s="127" t="n"/>
      <c r="BD21" s="127" t="n"/>
      <c r="BE21" s="121" t="n"/>
      <c r="BF21" s="121" t="n"/>
      <c r="BG21" s="121">
        <f>IF($BD21="","",IFERROR(FLOOR(ROUND(VLOOKUP($BD21,DADOS!$CL$5:$CM$10,2,FALSE)*IF($BE21="",1,VLOOKUP($BE21,DADOS!$CO$5:$CP$7,2,FALSE))*IF($BF21="",1,VLOOKUP($BF21,DADOS!$CR$5:$CS$9,2,FALSE)),4),12.5),""))</f>
        <v/>
      </c>
      <c r="BH21" s="115" t="n"/>
      <c r="BI21" s="127" t="n"/>
      <c r="BJ21" s="127" t="n"/>
      <c r="BK21" s="121" t="n"/>
      <c r="BL21" s="121" t="n"/>
      <c r="BM21" s="121">
        <f>IF($BJ21="","",IFERROR(FLOOR(ROUND(VLOOKUP($BJ21,DADOS!$CL$5:$CM$10,2,FALSE)*IF($BK21="",1,VLOOKUP($BK21,DADOS!$CO$5:$CP$7,2,FALSE))*IF($BL21="",1,VLOOKUP($BL21,DADOS!$CR$5:$CS$9,2,FALSE)),4),12.5),""))</f>
        <v/>
      </c>
      <c r="BN21" s="115" t="n"/>
      <c r="BO21" s="127" t="n"/>
      <c r="BP21" s="127" t="n"/>
      <c r="BQ21" s="121" t="n"/>
      <c r="BR21" s="121" t="n"/>
      <c r="BS21" s="121">
        <f>IF($BP21="","",IFERROR(FLOOR(ROUND(VLOOKUP($BP21,DADOS!$CL$5:$CM$10,2,FALSE)*IF($BQ21="",1,VLOOKUP($BQ21,DADOS!$CO$5:$CP$7,2,FALSE))*IF($BR21="",1,VLOOKUP($BR21,DADOS!$CR$5:$CS$9,2,FALSE)),4),12.5),""))</f>
        <v/>
      </c>
      <c r="BT21" s="115" t="n"/>
    </row>
    <row r="22">
      <c r="B22" s="17" t="n"/>
      <c r="C22" s="115" t="n"/>
      <c r="D22" s="16" t="n"/>
      <c r="O22" s="17" t="n"/>
      <c r="P22" s="115" t="n"/>
      <c r="Q22" s="52" t="inlineStr">
        <is>
          <t>HISTÓRIA</t>
        </is>
      </c>
      <c r="R22" s="11" t="n"/>
      <c r="S22" s="11" t="n"/>
      <c r="T22" s="11" t="n"/>
      <c r="U22" s="11" t="n"/>
      <c r="V22" s="11" t="n"/>
      <c r="W22" s="11" t="n"/>
      <c r="X22" s="11" t="n"/>
      <c r="Y22" s="11" t="n"/>
      <c r="Z22" s="11" t="n"/>
      <c r="AA22" s="11" t="n"/>
      <c r="AB22" s="11" t="n"/>
      <c r="AC22" s="11" t="n"/>
      <c r="AD22" s="11" t="n"/>
      <c r="AE22" s="11" t="n"/>
      <c r="AF22" s="11" t="n"/>
      <c r="AG22" s="11" t="n"/>
      <c r="AH22" s="11" t="n"/>
      <c r="AI22" s="11" t="n"/>
      <c r="AJ22" s="11" t="n"/>
      <c r="AK22" s="11" t="n"/>
      <c r="AL22" s="11" t="n"/>
      <c r="AM22" s="11" t="n"/>
      <c r="AN22" s="11" t="n"/>
      <c r="AO22" s="11" t="n"/>
      <c r="AP22" s="11" t="n"/>
      <c r="AQ22" s="11" t="n"/>
      <c r="AR22" s="11" t="n"/>
      <c r="AS22" s="11" t="n"/>
      <c r="AT22" s="12" t="n"/>
      <c r="AU22" s="115" t="n"/>
      <c r="AV22" s="115" t="n"/>
      <c r="AW22" s="127" t="n"/>
      <c r="AX22" s="127" t="n"/>
      <c r="AY22" s="121" t="n"/>
      <c r="AZ22" s="121" t="n"/>
      <c r="BA22" s="121">
        <f>IF($AX22="","",IFERROR(FLOOR(ROUND(VLOOKUP($AX22,DADOS!$CL$5:$CM$10,2,FALSE)*IF($AY22="",1,VLOOKUP($AY22,DADOS!$CO$5:$CP$7,2,FALSE))*IF($AZ22="",1,VLOOKUP($AZ22,DADOS!$CR$5:$CS$9,2,FALSE)),4),12.5),""))</f>
        <v/>
      </c>
      <c r="BB22" s="115" t="n"/>
      <c r="BC22" s="127" t="n"/>
      <c r="BD22" s="127" t="n"/>
      <c r="BE22" s="121" t="n"/>
      <c r="BF22" s="121" t="n"/>
      <c r="BG22" s="121">
        <f>IF($BD22="","",IFERROR(FLOOR(ROUND(VLOOKUP($BD22,DADOS!$CL$5:$CM$10,2,FALSE)*IF($BE22="",1,VLOOKUP($BE22,DADOS!$CO$5:$CP$7,2,FALSE))*IF($BF22="",1,VLOOKUP($BF22,DADOS!$CR$5:$CS$9,2,FALSE)),4),12.5),""))</f>
        <v/>
      </c>
      <c r="BH22" s="115" t="n"/>
      <c r="BI22" s="127" t="n"/>
      <c r="BJ22" s="127" t="n"/>
      <c r="BK22" s="121" t="n"/>
      <c r="BL22" s="121" t="n"/>
      <c r="BM22" s="121">
        <f>IF($BJ22="","",IFERROR(FLOOR(ROUND(VLOOKUP($BJ22,DADOS!$CL$5:$CM$10,2,FALSE)*IF($BK22="",1,VLOOKUP($BK22,DADOS!$CO$5:$CP$7,2,FALSE))*IF($BL22="",1,VLOOKUP($BL22,DADOS!$CR$5:$CS$9,2,FALSE)),4),12.5),""))</f>
        <v/>
      </c>
      <c r="BN22" s="115" t="n"/>
      <c r="BO22" s="127" t="n"/>
      <c r="BP22" s="127" t="n"/>
      <c r="BQ22" s="121" t="n"/>
      <c r="BR22" s="121" t="n"/>
      <c r="BS22" s="121">
        <f>IF($BP22="","",IFERROR(FLOOR(ROUND(VLOOKUP($BP22,DADOS!$CL$5:$CM$10,2,FALSE)*IF($BQ22="",1,VLOOKUP($BQ22,DADOS!$CO$5:$CP$7,2,FALSE))*IF($BR22="",1,VLOOKUP($BR22,DADOS!$CR$5:$CS$9,2,FALSE)),4),12.5),""))</f>
        <v/>
      </c>
      <c r="BT22" s="115" t="n"/>
    </row>
    <row r="23">
      <c r="B23" s="17" t="n"/>
      <c r="C23" s="115" t="n"/>
      <c r="D23" s="16" t="n"/>
      <c r="O23" s="17" t="n"/>
      <c r="P23" s="115" t="n"/>
      <c r="Q23" s="120" t="n"/>
      <c r="R23" s="14" t="n"/>
      <c r="S23" s="14" t="n"/>
      <c r="T23" s="14" t="n"/>
      <c r="U23" s="14" t="n"/>
      <c r="V23" s="14" t="n"/>
      <c r="W23" s="14" t="n"/>
      <c r="X23" s="14" t="n"/>
      <c r="Y23" s="14" t="n"/>
      <c r="Z23" s="14" t="n"/>
      <c r="AA23" s="14" t="n"/>
      <c r="AB23" s="14" t="n"/>
      <c r="AC23" s="14" t="n"/>
      <c r="AD23" s="14" t="n"/>
      <c r="AE23" s="14" t="n"/>
      <c r="AF23" s="14" t="n"/>
      <c r="AG23" s="14" t="n"/>
      <c r="AH23" s="14" t="n"/>
      <c r="AI23" s="14" t="n"/>
      <c r="AJ23" s="14" t="n"/>
      <c r="AK23" s="14" t="n"/>
      <c r="AL23" s="14" t="n"/>
      <c r="AM23" s="14" t="n"/>
      <c r="AN23" s="14" t="n"/>
      <c r="AO23" s="14" t="n"/>
      <c r="AP23" s="14" t="n"/>
      <c r="AQ23" s="14" t="n"/>
      <c r="AR23" s="14" t="n"/>
      <c r="AS23" s="14" t="n"/>
      <c r="AT23" s="15" t="n"/>
      <c r="AU23" s="115" t="n"/>
      <c r="AV23" s="115" t="n"/>
      <c r="AW23" s="127" t="n"/>
      <c r="AX23" s="127" t="n"/>
      <c r="AY23" s="121" t="n"/>
      <c r="AZ23" s="121" t="n"/>
      <c r="BA23" s="121">
        <f>IF($AX23="","",IFERROR(FLOOR(ROUND(VLOOKUP($AX23,DADOS!$CL$5:$CM$10,2,FALSE)*IF($AY23="",1,VLOOKUP($AY23,DADOS!$CO$5:$CP$7,2,FALSE))*IF($AZ23="",1,VLOOKUP($AZ23,DADOS!$CR$5:$CS$9,2,FALSE)),4),12.5),""))</f>
        <v/>
      </c>
      <c r="BB23" s="115" t="n"/>
      <c r="BC23" s="127" t="n"/>
      <c r="BD23" s="127" t="n"/>
      <c r="BE23" s="121" t="n"/>
      <c r="BF23" s="121" t="n"/>
      <c r="BG23" s="121">
        <f>IF($BD23="","",IFERROR(FLOOR(ROUND(VLOOKUP($BD23,DADOS!$CL$5:$CM$10,2,FALSE)*IF($BE23="",1,VLOOKUP($BE23,DADOS!$CO$5:$CP$7,2,FALSE))*IF($BF23="",1,VLOOKUP($BF23,DADOS!$CR$5:$CS$9,2,FALSE)),4),12.5),""))</f>
        <v/>
      </c>
      <c r="BH23" s="115" t="n"/>
      <c r="BI23" s="127" t="n"/>
      <c r="BJ23" s="127" t="n"/>
      <c r="BK23" s="121" t="n"/>
      <c r="BL23" s="121" t="n"/>
      <c r="BM23" s="121">
        <f>IF($BJ23="","",IFERROR(FLOOR(ROUND(VLOOKUP($BJ23,DADOS!$CL$5:$CM$10,2,FALSE)*IF($BK23="",1,VLOOKUP($BK23,DADOS!$CO$5:$CP$7,2,FALSE))*IF($BL23="",1,VLOOKUP($BL23,DADOS!$CR$5:$CS$9,2,FALSE)),4),12.5),""))</f>
        <v/>
      </c>
      <c r="BN23" s="115" t="n"/>
      <c r="BO23" s="127" t="n"/>
      <c r="BP23" s="127" t="n"/>
      <c r="BQ23" s="121" t="n"/>
      <c r="BR23" s="121" t="n"/>
      <c r="BS23" s="121">
        <f>IF($BP23="","",IFERROR(FLOOR(ROUND(VLOOKUP($BP23,DADOS!$CL$5:$CM$10,2,FALSE)*IF($BQ23="",1,VLOOKUP($BQ23,DADOS!$CO$5:$CP$7,2,FALSE))*IF($BR23="",1,VLOOKUP($BR23,DADOS!$CR$5:$CS$9,2,FALSE)),4),12.5),""))</f>
        <v/>
      </c>
      <c r="BT23" s="115" t="n"/>
    </row>
    <row r="24">
      <c r="B24" s="17" t="n"/>
      <c r="C24" s="115" t="n"/>
      <c r="D24" s="16" t="n"/>
      <c r="O24" s="17" t="n"/>
      <c r="P24" s="115" t="n"/>
      <c r="Q24" s="16" t="n"/>
      <c r="AT24" s="17" t="n"/>
      <c r="AU24" s="115" t="n"/>
      <c r="AV24" s="115" t="n"/>
      <c r="AW24" s="127" t="n"/>
      <c r="AX24" s="127" t="n"/>
      <c r="AY24" s="121" t="n"/>
      <c r="AZ24" s="121" t="n"/>
      <c r="BA24" s="121">
        <f>IF($AX24="","",IFERROR(FLOOR(ROUND(VLOOKUP($AX24,DADOS!$CL$5:$CM$10,2,FALSE)*IF($AY24="",1,VLOOKUP($AY24,DADOS!$CO$5:$CP$7,2,FALSE))*IF($AZ24="",1,VLOOKUP($AZ24,DADOS!$CR$5:$CS$9,2,FALSE)),4),12.5),""))</f>
        <v/>
      </c>
      <c r="BB24" s="115" t="n"/>
      <c r="BC24" s="127" t="n"/>
      <c r="BD24" s="127" t="n"/>
      <c r="BE24" s="121" t="n"/>
      <c r="BF24" s="121" t="n"/>
      <c r="BG24" s="121">
        <f>IF($BD24="","",IFERROR(FLOOR(ROUND(VLOOKUP($BD24,DADOS!$CL$5:$CM$10,2,FALSE)*IF($BE24="",1,VLOOKUP($BE24,DADOS!$CO$5:$CP$7,2,FALSE))*IF($BF24="",1,VLOOKUP($BF24,DADOS!$CR$5:$CS$9,2,FALSE)),4),12.5),""))</f>
        <v/>
      </c>
      <c r="BH24" s="115" t="n"/>
      <c r="BI24" s="127" t="n"/>
      <c r="BJ24" s="127" t="n"/>
      <c r="BK24" s="121" t="n"/>
      <c r="BL24" s="121" t="n"/>
      <c r="BM24" s="121">
        <f>IF($BJ24="","",IFERROR(FLOOR(ROUND(VLOOKUP($BJ24,DADOS!$CL$5:$CM$10,2,FALSE)*IF($BK24="",1,VLOOKUP($BK24,DADOS!$CO$5:$CP$7,2,FALSE))*IF($BL24="",1,VLOOKUP($BL24,DADOS!$CR$5:$CS$9,2,FALSE)),4),12.5),""))</f>
        <v/>
      </c>
      <c r="BN24" s="115" t="n"/>
      <c r="BO24" s="127" t="n"/>
      <c r="BP24" s="127" t="n"/>
      <c r="BQ24" s="121" t="n"/>
      <c r="BR24" s="121" t="n"/>
      <c r="BS24" s="121">
        <f>IF($BP24="","",IFERROR(FLOOR(ROUND(VLOOKUP($BP24,DADOS!$CL$5:$CM$10,2,FALSE)*IF($BQ24="",1,VLOOKUP($BQ24,DADOS!$CO$5:$CP$7,2,FALSE))*IF($BR24="",1,VLOOKUP($BR24,DADOS!$CR$5:$CS$9,2,FALSE)),4),12.5),""))</f>
        <v/>
      </c>
      <c r="BT24" s="115" t="n"/>
    </row>
    <row r="25">
      <c r="B25" s="17" t="n"/>
      <c r="C25" s="115" t="n"/>
      <c r="D25" s="16" t="n"/>
      <c r="O25" s="17" t="n"/>
      <c r="P25" s="115" t="n"/>
      <c r="Q25" s="16" t="n"/>
      <c r="AT25" s="17" t="n"/>
      <c r="AU25" s="115" t="n"/>
      <c r="AV25" s="115" t="n"/>
      <c r="AW25" s="127" t="n"/>
      <c r="AX25" s="127" t="n"/>
      <c r="AY25" s="121" t="n"/>
      <c r="AZ25" s="121" t="n"/>
      <c r="BA25" s="121">
        <f>IF($AX25="","",IFERROR(FLOOR(ROUND(VLOOKUP($AX25,DADOS!$CL$5:$CM$10,2,FALSE)*IF($AY25="",1,VLOOKUP($AY25,DADOS!$CO$5:$CP$7,2,FALSE))*IF($AZ25="",1,VLOOKUP($AZ25,DADOS!$CR$5:$CS$9,2,FALSE)),4),12.5),""))</f>
        <v/>
      </c>
      <c r="BB25" s="115" t="n"/>
      <c r="BC25" s="127" t="n"/>
      <c r="BD25" s="127" t="n"/>
      <c r="BE25" s="121" t="n"/>
      <c r="BF25" s="121" t="n"/>
      <c r="BG25" s="121">
        <f>IF($BD25="","",IFERROR(FLOOR(ROUND(VLOOKUP($BD25,DADOS!$CL$5:$CM$10,2,FALSE)*IF($BE25="",1,VLOOKUP($BE25,DADOS!$CO$5:$CP$7,2,FALSE))*IF($BF25="",1,VLOOKUP($BF25,DADOS!$CR$5:$CS$9,2,FALSE)),4),12.5),""))</f>
        <v/>
      </c>
      <c r="BH25" s="115" t="n"/>
      <c r="BI25" s="127" t="n"/>
      <c r="BJ25" s="127" t="n"/>
      <c r="BK25" s="121" t="n"/>
      <c r="BL25" s="121" t="n"/>
      <c r="BM25" s="121">
        <f>IF($BJ25="","",IFERROR(FLOOR(ROUND(VLOOKUP($BJ25,DADOS!$CL$5:$CM$10,2,FALSE)*IF($BK25="",1,VLOOKUP($BK25,DADOS!$CO$5:$CP$7,2,FALSE))*IF($BL25="",1,VLOOKUP($BL25,DADOS!$CR$5:$CS$9,2,FALSE)),4),12.5),""))</f>
        <v/>
      </c>
      <c r="BN25" s="115" t="n"/>
      <c r="BO25" s="127" t="n"/>
      <c r="BP25" s="127" t="n"/>
      <c r="BQ25" s="121" t="n"/>
      <c r="BR25" s="121" t="n"/>
      <c r="BS25" s="121">
        <f>IF($BP25="","",IFERROR(FLOOR(ROUND(VLOOKUP($BP25,DADOS!$CL$5:$CM$10,2,FALSE)*IF($BQ25="",1,VLOOKUP($BQ25,DADOS!$CO$5:$CP$7,2,FALSE))*IF($BR25="",1,VLOOKUP($BR25,DADOS!$CR$5:$CS$9,2,FALSE)),4),12.5),""))</f>
        <v/>
      </c>
      <c r="BT25" s="115" t="n"/>
    </row>
    <row r="26">
      <c r="B26" s="17" t="n"/>
      <c r="C26" s="115" t="n"/>
      <c r="D26" s="16" t="n"/>
      <c r="O26" s="17" t="n"/>
      <c r="P26" s="115" t="n"/>
      <c r="Q26" s="16" t="n"/>
      <c r="AT26" s="17" t="n"/>
      <c r="AU26" s="115" t="n"/>
      <c r="AV26" s="115" t="n"/>
      <c r="AW26" s="127" t="n"/>
      <c r="AX26" s="127" t="n"/>
      <c r="AY26" s="121" t="n"/>
      <c r="AZ26" s="121" t="n"/>
      <c r="BA26" s="121">
        <f>IF($AX26="","",IFERROR(FLOOR(ROUND(VLOOKUP($AX26,DADOS!$CL$5:$CM$10,2,FALSE)*IF($AY26="",1,VLOOKUP($AY26,DADOS!$CO$5:$CP$7,2,FALSE))*IF($AZ26="",1,VLOOKUP($AZ26,DADOS!$CR$5:$CS$9,2,FALSE)),4),12.5),""))</f>
        <v/>
      </c>
      <c r="BB26" s="115" t="n"/>
      <c r="BC26" s="127" t="n"/>
      <c r="BD26" s="127" t="n"/>
      <c r="BE26" s="121" t="n"/>
      <c r="BF26" s="121" t="n"/>
      <c r="BG26" s="121">
        <f>IF($BD26="","",IFERROR(FLOOR(ROUND(VLOOKUP($BD26,DADOS!$CL$5:$CM$10,2,FALSE)*IF($BE26="",1,VLOOKUP($BE26,DADOS!$CO$5:$CP$7,2,FALSE))*IF($BF26="",1,VLOOKUP($BF26,DADOS!$CR$5:$CS$9,2,FALSE)),4),12.5),""))</f>
        <v/>
      </c>
      <c r="BH26" s="115" t="n"/>
      <c r="BI26" s="127" t="n"/>
      <c r="BJ26" s="127" t="n"/>
      <c r="BK26" s="121" t="n"/>
      <c r="BL26" s="121" t="n"/>
      <c r="BM26" s="121">
        <f>IF($BJ26="","",IFERROR(FLOOR(ROUND(VLOOKUP($BJ26,DADOS!$CL$5:$CM$10,2,FALSE)*IF($BK26="",1,VLOOKUP($BK26,DADOS!$CO$5:$CP$7,2,FALSE))*IF($BL26="",1,VLOOKUP($BL26,DADOS!$CR$5:$CS$9,2,FALSE)),4),12.5),""))</f>
        <v/>
      </c>
      <c r="BN26" s="115" t="n"/>
      <c r="BO26" s="127" t="n"/>
      <c r="BP26" s="127" t="n"/>
      <c r="BQ26" s="121" t="n"/>
      <c r="BR26" s="121" t="n"/>
      <c r="BS26" s="121">
        <f>IF($BP26="","",IFERROR(FLOOR(ROUND(VLOOKUP($BP26,DADOS!$CL$5:$CM$10,2,FALSE)*IF($BQ26="",1,VLOOKUP($BQ26,DADOS!$CO$5:$CP$7,2,FALSE))*IF($BR26="",1,VLOOKUP($BR26,DADOS!$CR$5:$CS$9,2,FALSE)),4),12.5),""))</f>
        <v/>
      </c>
      <c r="BT26" s="115" t="n"/>
    </row>
    <row r="27">
      <c r="B27" s="17" t="n"/>
      <c r="C27" s="115" t="n"/>
      <c r="D27" s="16" t="n"/>
      <c r="O27" s="17" t="n"/>
      <c r="P27" s="115" t="n"/>
      <c r="Q27" s="16" t="n"/>
      <c r="AT27" s="17" t="n"/>
      <c r="AU27" s="115" t="n"/>
      <c r="AV27" s="115" t="n"/>
      <c r="AW27" s="127" t="n"/>
      <c r="AX27" s="127" t="n"/>
      <c r="AY27" s="121" t="n"/>
      <c r="AZ27" s="121" t="n"/>
      <c r="BA27" s="121">
        <f>IF($AX27="","",IFERROR(FLOOR(ROUND(VLOOKUP($AX27,DADOS!$CL$5:$CM$10,2,FALSE)*IF($AY27="",1,VLOOKUP($AY27,DADOS!$CO$5:$CP$7,2,FALSE))*IF($AZ27="",1,VLOOKUP($AZ27,DADOS!$CR$5:$CS$9,2,FALSE)),4),12.5),""))</f>
        <v/>
      </c>
      <c r="BB27" s="115" t="n"/>
      <c r="BC27" s="127" t="n"/>
      <c r="BD27" s="127" t="n"/>
      <c r="BE27" s="121" t="n"/>
      <c r="BF27" s="121" t="n"/>
      <c r="BG27" s="121">
        <f>IF($BD27="","",IFERROR(FLOOR(ROUND(VLOOKUP($BD27,DADOS!$CL$5:$CM$10,2,FALSE)*IF($BE27="",1,VLOOKUP($BE27,DADOS!$CO$5:$CP$7,2,FALSE))*IF($BF27="",1,VLOOKUP($BF27,DADOS!$CR$5:$CS$9,2,FALSE)),4),12.5),""))</f>
        <v/>
      </c>
      <c r="BH27" s="115" t="n"/>
      <c r="BI27" s="127" t="n"/>
      <c r="BJ27" s="127" t="n"/>
      <c r="BK27" s="121" t="n"/>
      <c r="BL27" s="121" t="n"/>
      <c r="BM27" s="121">
        <f>IF($BJ27="","",IFERROR(FLOOR(ROUND(VLOOKUP($BJ27,DADOS!$CL$5:$CM$10,2,FALSE)*IF($BK27="",1,VLOOKUP($BK27,DADOS!$CO$5:$CP$7,2,FALSE))*IF($BL27="",1,VLOOKUP($BL27,DADOS!$CR$5:$CS$9,2,FALSE)),4),12.5),""))</f>
        <v/>
      </c>
      <c r="BN27" s="115" t="n"/>
      <c r="BO27" s="127" t="n"/>
      <c r="BP27" s="127" t="n"/>
      <c r="BQ27" s="121" t="n"/>
      <c r="BR27" s="121" t="n"/>
      <c r="BS27" s="121">
        <f>IF($BP27="","",IFERROR(FLOOR(ROUND(VLOOKUP($BP27,DADOS!$CL$5:$CM$10,2,FALSE)*IF($BQ27="",1,VLOOKUP($BQ27,DADOS!$CO$5:$CP$7,2,FALSE))*IF($BR27="",1,VLOOKUP($BR27,DADOS!$CR$5:$CS$9,2,FALSE)),4),12.5),""))</f>
        <v/>
      </c>
      <c r="BT27" s="115" t="n"/>
    </row>
    <row r="28">
      <c r="B28" s="17" t="n"/>
      <c r="C28" s="115" t="n"/>
      <c r="D28" s="18" t="n"/>
      <c r="E28" s="19" t="n"/>
      <c r="F28" s="19" t="n"/>
      <c r="G28" s="19" t="n"/>
      <c r="H28" s="19" t="n"/>
      <c r="I28" s="19" t="n"/>
      <c r="J28" s="19" t="n"/>
      <c r="K28" s="19" t="n"/>
      <c r="L28" s="19" t="n"/>
      <c r="M28" s="19" t="n"/>
      <c r="N28" s="19" t="n"/>
      <c r="O28" s="20" t="n"/>
      <c r="P28" s="115" t="n"/>
      <c r="Q28" s="16" t="n"/>
      <c r="AT28" s="17" t="n"/>
      <c r="AU28" s="115" t="n"/>
      <c r="AV28" s="115" t="n"/>
      <c r="AW28" s="127" t="n"/>
      <c r="AX28" s="127" t="n"/>
      <c r="AY28" s="121" t="n"/>
      <c r="AZ28" s="121" t="n"/>
      <c r="BA28" s="121">
        <f>IF($AX28="","",IFERROR(FLOOR(ROUND(VLOOKUP($AX28,DADOS!$CL$5:$CM$10,2,FALSE)*IF($AY28="",1,VLOOKUP($AY28,DADOS!$CO$5:$CP$7,2,FALSE))*IF($AZ28="",1,VLOOKUP($AZ28,DADOS!$CR$5:$CS$9,2,FALSE)),4),12.5),""))</f>
        <v/>
      </c>
      <c r="BB28" s="115" t="n"/>
      <c r="BC28" s="127" t="n"/>
      <c r="BD28" s="127" t="n"/>
      <c r="BE28" s="121" t="n"/>
      <c r="BF28" s="121" t="n"/>
      <c r="BG28" s="121">
        <f>IF($BD28="","",IFERROR(FLOOR(ROUND(VLOOKUP($BD28,DADOS!$CL$5:$CM$10,2,FALSE)*IF($BE28="",1,VLOOKUP($BE28,DADOS!$CO$5:$CP$7,2,FALSE))*IF($BF28="",1,VLOOKUP($BF28,DADOS!$CR$5:$CS$9,2,FALSE)),4),12.5),""))</f>
        <v/>
      </c>
      <c r="BH28" s="115" t="n"/>
      <c r="BI28" s="127" t="n"/>
      <c r="BJ28" s="127" t="n"/>
      <c r="BK28" s="121" t="n"/>
      <c r="BL28" s="121" t="n"/>
      <c r="BM28" s="121">
        <f>IF($BJ28="","",IFERROR(FLOOR(ROUND(VLOOKUP($BJ28,DADOS!$CL$5:$CM$10,2,FALSE)*IF($BK28="",1,VLOOKUP($BK28,DADOS!$CO$5:$CP$7,2,FALSE))*IF($BL28="",1,VLOOKUP($BL28,DADOS!$CR$5:$CS$9,2,FALSE)),4),12.5),""))</f>
        <v/>
      </c>
      <c r="BN28" s="115" t="n"/>
      <c r="BO28" s="127" t="n"/>
      <c r="BP28" s="127" t="n"/>
      <c r="BQ28" s="121" t="n"/>
      <c r="BR28" s="121" t="n"/>
      <c r="BS28" s="121">
        <f>IF($BP28="","",IFERROR(FLOOR(ROUND(VLOOKUP($BP28,DADOS!$CL$5:$CM$10,2,FALSE)*IF($BQ28="",1,VLOOKUP($BQ28,DADOS!$CO$5:$CP$7,2,FALSE))*IF($BR28="",1,VLOOKUP($BR28,DADOS!$CR$5:$CS$9,2,FALSE)),4),12.5),""))</f>
        <v/>
      </c>
      <c r="BT28" s="115" t="n"/>
    </row>
    <row r="29">
      <c r="B29" s="17" t="n"/>
      <c r="C29" s="115" t="n"/>
      <c r="D29" s="115" t="n"/>
      <c r="E29" s="115" t="n"/>
      <c r="F29" s="115" t="n"/>
      <c r="G29" s="115" t="n"/>
      <c r="H29" s="115" t="n"/>
      <c r="I29" s="115" t="n"/>
      <c r="J29" s="115" t="n"/>
      <c r="K29" s="115" t="n"/>
      <c r="L29" s="115" t="n"/>
      <c r="M29" s="115" t="n"/>
      <c r="N29" s="115" t="n"/>
      <c r="O29" s="115" t="n"/>
      <c r="P29" s="115" t="n"/>
      <c r="Q29" s="16" t="n"/>
      <c r="AT29" s="17" t="n"/>
      <c r="AU29" s="115" t="n"/>
      <c r="AV29" s="115" t="n"/>
      <c r="AW29" s="127" t="n"/>
      <c r="AX29" s="127" t="n"/>
      <c r="AY29" s="121" t="n"/>
      <c r="AZ29" s="121" t="n"/>
      <c r="BA29" s="121">
        <f>IF($AX29="","",IFERROR(FLOOR(ROUND(VLOOKUP($AX29,DADOS!$CL$5:$CM$10,2,FALSE)*IF($AY29="",1,VLOOKUP($AY29,DADOS!$CO$5:$CP$7,2,FALSE))*IF($AZ29="",1,VLOOKUP($AZ29,DADOS!$CR$5:$CS$9,2,FALSE)),4),12.5),""))</f>
        <v/>
      </c>
      <c r="BB29" s="115" t="n"/>
      <c r="BC29" s="127" t="n"/>
      <c r="BD29" s="127" t="n"/>
      <c r="BE29" s="121" t="n"/>
      <c r="BF29" s="121" t="n"/>
      <c r="BG29" s="121">
        <f>IF($BD29="","",IFERROR(FLOOR(ROUND(VLOOKUP($BD29,DADOS!$CL$5:$CM$10,2,FALSE)*IF($BE29="",1,VLOOKUP($BE29,DADOS!$CO$5:$CP$7,2,FALSE))*IF($BF29="",1,VLOOKUP($BF29,DADOS!$CR$5:$CS$9,2,FALSE)),4),12.5),""))</f>
        <v/>
      </c>
      <c r="BH29" s="115" t="n"/>
      <c r="BI29" s="127" t="n"/>
      <c r="BJ29" s="127" t="n"/>
      <c r="BK29" s="121" t="n"/>
      <c r="BL29" s="121" t="n"/>
      <c r="BM29" s="121">
        <f>IF($BJ29="","",IFERROR(FLOOR(ROUND(VLOOKUP($BJ29,DADOS!$CL$5:$CM$10,2,FALSE)*IF($BK29="",1,VLOOKUP($BK29,DADOS!$CO$5:$CP$7,2,FALSE))*IF($BL29="",1,VLOOKUP($BL29,DADOS!$CR$5:$CS$9,2,FALSE)),4),12.5),""))</f>
        <v/>
      </c>
      <c r="BN29" s="115" t="n"/>
      <c r="BO29" s="127" t="n"/>
      <c r="BP29" s="127" t="n"/>
      <c r="BQ29" s="121" t="n"/>
      <c r="BR29" s="121" t="n"/>
      <c r="BS29" s="121">
        <f>IF($BP29="","",IFERROR(FLOOR(ROUND(VLOOKUP($BP29,DADOS!$CL$5:$CM$10,2,FALSE)*IF($BQ29="",1,VLOOKUP($BQ29,DADOS!$CO$5:$CP$7,2,FALSE))*IF($BR29="",1,VLOOKUP($BR29,DADOS!$CR$5:$CS$9,2,FALSE)),4),12.5),""))</f>
        <v/>
      </c>
      <c r="BT29" s="115" t="n"/>
    </row>
    <row r="30">
      <c r="A30" s="8" t="n"/>
      <c r="B30" s="22" t="n"/>
      <c r="C30" s="115" t="n"/>
      <c r="D30" s="52" t="inlineStr">
        <is>
          <t>PERSONALIDADE</t>
        </is>
      </c>
      <c r="E30" s="11" t="n"/>
      <c r="F30" s="11" t="n"/>
      <c r="G30" s="11" t="n"/>
      <c r="H30" s="11" t="n"/>
      <c r="I30" s="11" t="n"/>
      <c r="J30" s="11" t="n"/>
      <c r="K30" s="11" t="n"/>
      <c r="L30" s="11" t="n"/>
      <c r="M30" s="11" t="n"/>
      <c r="N30" s="11" t="n"/>
      <c r="O30" s="12" t="n"/>
      <c r="P30" s="115" t="n"/>
      <c r="Q30" s="18" t="n"/>
      <c r="R30" s="19" t="n"/>
      <c r="S30" s="19" t="n"/>
      <c r="T30" s="19" t="n"/>
      <c r="U30" s="19" t="n"/>
      <c r="V30" s="19" t="n"/>
      <c r="W30" s="19" t="n"/>
      <c r="X30" s="19" t="n"/>
      <c r="Y30" s="19" t="n"/>
      <c r="Z30" s="19" t="n"/>
      <c r="AA30" s="19" t="n"/>
      <c r="AB30" s="19" t="n"/>
      <c r="AC30" s="19" t="n"/>
      <c r="AD30" s="19" t="n"/>
      <c r="AE30" s="19" t="n"/>
      <c r="AF30" s="19" t="n"/>
      <c r="AG30" s="19" t="n"/>
      <c r="AH30" s="19" t="n"/>
      <c r="AI30" s="19" t="n"/>
      <c r="AJ30" s="19" t="n"/>
      <c r="AK30" s="19" t="n"/>
      <c r="AL30" s="19" t="n"/>
      <c r="AM30" s="19" t="n"/>
      <c r="AN30" s="19" t="n"/>
      <c r="AO30" s="19" t="n"/>
      <c r="AP30" s="19" t="n"/>
      <c r="AQ30" s="19" t="n"/>
      <c r="AR30" s="19" t="n"/>
      <c r="AS30" s="19" t="n"/>
      <c r="AT30" s="20" t="n"/>
      <c r="AU30" s="115" t="n"/>
      <c r="AV30" s="115" t="n"/>
      <c r="AW30" s="127" t="n"/>
      <c r="AX30" s="127" t="n"/>
      <c r="AY30" s="121" t="n"/>
      <c r="AZ30" s="121" t="n"/>
      <c r="BA30" s="121">
        <f>IF($AX30="","",IFERROR(FLOOR(ROUND(VLOOKUP($AX30,DADOS!$CL$5:$CM$10,2,FALSE)*IF($AY30="",1,VLOOKUP($AY30,DADOS!$CO$5:$CP$7,2,FALSE))*IF($AZ30="",1,VLOOKUP($AZ30,DADOS!$CR$5:$CS$9,2,FALSE)),4),12.5),""))</f>
        <v/>
      </c>
      <c r="BB30" s="115" t="n"/>
      <c r="BC30" s="127" t="n"/>
      <c r="BD30" s="127" t="n"/>
      <c r="BE30" s="121" t="n"/>
      <c r="BF30" s="121" t="n"/>
      <c r="BG30" s="121">
        <f>IF($BD30="","",IFERROR(FLOOR(ROUND(VLOOKUP($BD30,DADOS!$CL$5:$CM$10,2,FALSE)*IF($BE30="",1,VLOOKUP($BE30,DADOS!$CO$5:$CP$7,2,FALSE))*IF($BF30="",1,VLOOKUP($BF30,DADOS!$CR$5:$CS$9,2,FALSE)),4),12.5),""))</f>
        <v/>
      </c>
      <c r="BH30" s="115" t="n"/>
      <c r="BI30" s="127" t="n"/>
      <c r="BJ30" s="127" t="n"/>
      <c r="BK30" s="121" t="n"/>
      <c r="BL30" s="121" t="n"/>
      <c r="BM30" s="121">
        <f>IF($BJ30="","",IFERROR(FLOOR(ROUND(VLOOKUP($BJ30,DADOS!$CL$5:$CM$10,2,FALSE)*IF($BK30="",1,VLOOKUP($BK30,DADOS!$CO$5:$CP$7,2,FALSE))*IF($BL30="",1,VLOOKUP($BL30,DADOS!$CR$5:$CS$9,2,FALSE)),4),12.5),""))</f>
        <v/>
      </c>
      <c r="BN30" s="115" t="n"/>
      <c r="BO30" s="127" t="n"/>
      <c r="BP30" s="127" t="n"/>
      <c r="BQ30" s="121" t="n"/>
      <c r="BR30" s="121" t="n"/>
      <c r="BS30" s="121">
        <f>IF($BP30="","",IFERROR(FLOOR(ROUND(VLOOKUP($BP30,DADOS!$CL$5:$CM$10,2,FALSE)*IF($BQ30="",1,VLOOKUP($BQ30,DADOS!$CO$5:$CP$7,2,FALSE))*IF($BR30="",1,VLOOKUP($BR30,DADOS!$CR$5:$CS$9,2,FALSE)),4),12.5),""))</f>
        <v/>
      </c>
      <c r="BT30" s="115" t="n"/>
    </row>
    <row r="31">
      <c r="A31" s="8" t="n"/>
      <c r="B31" s="22" t="n"/>
      <c r="C31" s="115" t="n"/>
      <c r="D31" s="120" t="n"/>
      <c r="E31" s="14" t="n"/>
      <c r="F31" s="14" t="n"/>
      <c r="G31" s="14" t="n"/>
      <c r="H31" s="14" t="n"/>
      <c r="I31" s="14" t="n"/>
      <c r="J31" s="14" t="n"/>
      <c r="K31" s="14" t="n"/>
      <c r="L31" s="14" t="n"/>
      <c r="M31" s="14" t="n"/>
      <c r="N31" s="14" t="n"/>
      <c r="O31" s="15" t="n"/>
      <c r="P31" s="115" t="n"/>
      <c r="Q31" s="115" t="n"/>
      <c r="R31" s="115" t="n"/>
      <c r="S31" s="115" t="n"/>
      <c r="T31" s="115" t="n"/>
      <c r="U31" s="115" t="n"/>
      <c r="V31" s="115" t="n"/>
      <c r="W31" s="115" t="n"/>
      <c r="X31" s="115" t="n"/>
      <c r="Y31" s="115" t="n"/>
      <c r="Z31" s="115" t="n"/>
      <c r="AA31" s="115" t="n"/>
      <c r="AB31" s="115" t="n"/>
      <c r="AC31" s="115" t="n"/>
      <c r="AD31" s="115" t="n"/>
      <c r="AE31" s="115" t="n"/>
      <c r="AF31" s="115" t="n"/>
      <c r="AG31" s="115" t="n"/>
      <c r="AH31" s="115" t="n"/>
      <c r="AI31" s="115" t="n"/>
      <c r="AJ31" s="115" t="n"/>
      <c r="AK31" s="115" t="n"/>
      <c r="AL31" s="115" t="n"/>
      <c r="AM31" s="115" t="n"/>
      <c r="AN31" s="115" t="n"/>
      <c r="AO31" s="115" t="n"/>
      <c r="AP31" s="115" t="n"/>
      <c r="AQ31" s="115" t="n"/>
      <c r="AR31" s="115" t="n"/>
      <c r="AS31" s="115" t="n"/>
      <c r="AT31" s="115" t="n"/>
      <c r="AU31" s="115" t="n"/>
      <c r="AV31" s="115" t="n"/>
      <c r="AW31" s="127" t="n"/>
      <c r="AX31" s="127" t="n"/>
      <c r="AY31" s="121" t="n"/>
      <c r="AZ31" s="121" t="n"/>
      <c r="BA31" s="121">
        <f>IF($AX31="","",IFERROR(FLOOR(ROUND(VLOOKUP($AX31,DADOS!$CL$5:$CM$10,2,FALSE)*IF($AY31="",1,VLOOKUP($AY31,DADOS!$CO$5:$CP$7,2,FALSE))*IF($AZ31="",1,VLOOKUP($AZ31,DADOS!$CR$5:$CS$9,2,FALSE)),4),12.5),""))</f>
        <v/>
      </c>
      <c r="BB31" s="115" t="n"/>
      <c r="BC31" s="127" t="n"/>
      <c r="BD31" s="127" t="n"/>
      <c r="BE31" s="121" t="n"/>
      <c r="BF31" s="121" t="n"/>
      <c r="BG31" s="121">
        <f>IF($BD31="","",IFERROR(FLOOR(ROUND(VLOOKUP($BD31,DADOS!$CL$5:$CM$10,2,FALSE)*IF($BE31="",1,VLOOKUP($BE31,DADOS!$CO$5:$CP$7,2,FALSE))*IF($BF31="",1,VLOOKUP($BF31,DADOS!$CR$5:$CS$9,2,FALSE)),4),12.5),""))</f>
        <v/>
      </c>
      <c r="BH31" s="115" t="n"/>
      <c r="BI31" s="127" t="n"/>
      <c r="BJ31" s="127" t="n"/>
      <c r="BK31" s="121" t="n"/>
      <c r="BL31" s="121" t="n"/>
      <c r="BM31" s="121">
        <f>IF($BJ31="","",IFERROR(FLOOR(ROUND(VLOOKUP($BJ31,DADOS!$CL$5:$CM$10,2,FALSE)*IF($BK31="",1,VLOOKUP($BK31,DADOS!$CO$5:$CP$7,2,FALSE))*IF($BL31="",1,VLOOKUP($BL31,DADOS!$CR$5:$CS$9,2,FALSE)),4),12.5),""))</f>
        <v/>
      </c>
      <c r="BN31" s="115" t="n"/>
      <c r="BO31" s="127" t="n"/>
      <c r="BP31" s="127" t="n"/>
      <c r="BQ31" s="121" t="n"/>
      <c r="BR31" s="121" t="n"/>
      <c r="BS31" s="121">
        <f>IF($BP31="","",IFERROR(FLOOR(ROUND(VLOOKUP($BP31,DADOS!$CL$5:$CM$10,2,FALSE)*IF($BQ31="",1,VLOOKUP($BQ31,DADOS!$CO$5:$CP$7,2,FALSE))*IF($BR31="",1,VLOOKUP($BR31,DADOS!$CR$5:$CS$9,2,FALSE)),4),12.5),""))</f>
        <v/>
      </c>
      <c r="BT31" s="115" t="n"/>
    </row>
    <row r="32">
      <c r="A32" s="8" t="n"/>
      <c r="B32" s="22" t="n"/>
      <c r="C32" s="115" t="n"/>
      <c r="D32" s="16" t="n"/>
      <c r="O32" s="17" t="n"/>
      <c r="P32" s="115" t="n"/>
      <c r="Q32" s="52" t="inlineStr">
        <is>
          <t>LAÇOS E ANOTAÇÕES</t>
        </is>
      </c>
      <c r="R32" s="11" t="n"/>
      <c r="S32" s="11" t="n"/>
      <c r="T32" s="11" t="n"/>
      <c r="U32" s="11" t="n"/>
      <c r="V32" s="11" t="n"/>
      <c r="W32" s="11" t="n"/>
      <c r="X32" s="11" t="n"/>
      <c r="Y32" s="11" t="n"/>
      <c r="Z32" s="11" t="n"/>
      <c r="AA32" s="11" t="n"/>
      <c r="AB32" s="11" t="n"/>
      <c r="AC32" s="11" t="n"/>
      <c r="AD32" s="11" t="n"/>
      <c r="AE32" s="11" t="n"/>
      <c r="AF32" s="11" t="n"/>
      <c r="AG32" s="11" t="n"/>
      <c r="AH32" s="11" t="n"/>
      <c r="AI32" s="11" t="n"/>
      <c r="AJ32" s="11" t="n"/>
      <c r="AK32" s="11" t="n"/>
      <c r="AL32" s="11" t="n"/>
      <c r="AM32" s="11" t="n"/>
      <c r="AN32" s="11" t="n"/>
      <c r="AO32" s="11" t="n"/>
      <c r="AP32" s="11" t="n"/>
      <c r="AQ32" s="11" t="n"/>
      <c r="AR32" s="11" t="n"/>
      <c r="AS32" s="11" t="n"/>
      <c r="AT32" s="12" t="n"/>
      <c r="AU32" s="115" t="n"/>
      <c r="AV32" s="115" t="n"/>
      <c r="AW32" s="127" t="n"/>
      <c r="AX32" s="127" t="n"/>
      <c r="AY32" s="121" t="n"/>
      <c r="AZ32" s="121" t="n"/>
      <c r="BA32" s="121">
        <f>IF($AX32="","",IFERROR(FLOOR(ROUND(VLOOKUP($AX32,DADOS!$CL$5:$CM$10,2,FALSE)*IF($AY32="",1,VLOOKUP($AY32,DADOS!$CO$5:$CP$7,2,FALSE))*IF($AZ32="",1,VLOOKUP($AZ32,DADOS!$CR$5:$CS$9,2,FALSE)),4),12.5),""))</f>
        <v/>
      </c>
      <c r="BB32" s="115" t="n"/>
      <c r="BC32" s="127" t="n"/>
      <c r="BD32" s="127" t="n"/>
      <c r="BE32" s="121" t="n"/>
      <c r="BF32" s="121" t="n"/>
      <c r="BG32" s="121">
        <f>IF($BD32="","",IFERROR(FLOOR(ROUND(VLOOKUP($BD32,DADOS!$CL$5:$CM$10,2,FALSE)*IF($BE32="",1,VLOOKUP($BE32,DADOS!$CO$5:$CP$7,2,FALSE))*IF($BF32="",1,VLOOKUP($BF32,DADOS!$CR$5:$CS$9,2,FALSE)),4),12.5),""))</f>
        <v/>
      </c>
      <c r="BH32" s="115" t="n"/>
      <c r="BI32" s="127" t="n"/>
      <c r="BJ32" s="127" t="n"/>
      <c r="BK32" s="121" t="n"/>
      <c r="BL32" s="121" t="n"/>
      <c r="BM32" s="121">
        <f>IF($BJ32="","",IFERROR(FLOOR(ROUND(VLOOKUP($BJ32,DADOS!$CL$5:$CM$10,2,FALSE)*IF($BK32="",1,VLOOKUP($BK32,DADOS!$CO$5:$CP$7,2,FALSE))*IF($BL32="",1,VLOOKUP($BL32,DADOS!$CR$5:$CS$9,2,FALSE)),4),12.5),""))</f>
        <v/>
      </c>
      <c r="BN32" s="115" t="n"/>
      <c r="BO32" s="127" t="n"/>
      <c r="BP32" s="127" t="n"/>
      <c r="BQ32" s="121" t="n"/>
      <c r="BR32" s="121" t="n"/>
      <c r="BS32" s="121">
        <f>IF($BP32="","",IFERROR(FLOOR(ROUND(VLOOKUP($BP32,DADOS!$CL$5:$CM$10,2,FALSE)*IF($BQ32="",1,VLOOKUP($BQ32,DADOS!$CO$5:$CP$7,2,FALSE))*IF($BR32="",1,VLOOKUP($BR32,DADOS!$CR$5:$CS$9,2,FALSE)),4),12.5),""))</f>
        <v/>
      </c>
      <c r="BT32" s="115" t="n"/>
    </row>
    <row r="33">
      <c r="A33" s="45" t="inlineStr">
        <is>
          <t>FICHA PESSOAL</t>
        </is>
      </c>
      <c r="B33" s="17" t="n"/>
      <c r="C33" s="115" t="n"/>
      <c r="D33" s="16" t="n"/>
      <c r="O33" s="17" t="n"/>
      <c r="P33" s="115" t="n"/>
      <c r="Q33" s="120" t="n"/>
      <c r="R33" s="14" t="n"/>
      <c r="S33" s="14" t="n"/>
      <c r="T33" s="14" t="n"/>
      <c r="U33" s="14" t="n"/>
      <c r="V33" s="14" t="n"/>
      <c r="W33" s="14" t="n"/>
      <c r="X33" s="14" t="n"/>
      <c r="Y33" s="14" t="n"/>
      <c r="Z33" s="14" t="n"/>
      <c r="AA33" s="14" t="n"/>
      <c r="AB33" s="14" t="n"/>
      <c r="AC33" s="14" t="n"/>
      <c r="AD33" s="14" t="n"/>
      <c r="AE33" s="14" t="n"/>
      <c r="AF33" s="14" t="n"/>
      <c r="AG33" s="14" t="n"/>
      <c r="AH33" s="14" t="n"/>
      <c r="AI33" s="14" t="n"/>
      <c r="AJ33" s="14" t="n"/>
      <c r="AK33" s="14" t="n"/>
      <c r="AL33" s="14" t="n"/>
      <c r="AM33" s="14" t="n"/>
      <c r="AN33" s="14" t="n"/>
      <c r="AO33" s="14" t="n"/>
      <c r="AP33" s="14" t="n"/>
      <c r="AQ33" s="14" t="n"/>
      <c r="AR33" s="14" t="n"/>
      <c r="AS33" s="14" t="n"/>
      <c r="AT33" s="15" t="n"/>
      <c r="AU33" s="115" t="n"/>
      <c r="AV33" s="115" t="n"/>
      <c r="AW33" s="127" t="n"/>
      <c r="AX33" s="127" t="n"/>
      <c r="AY33" s="121" t="n"/>
      <c r="AZ33" s="121" t="n"/>
      <c r="BA33" s="121">
        <f>IF($AX33="","",IFERROR(FLOOR(ROUND(VLOOKUP($AX33,DADOS!$CL$5:$CM$10,2,FALSE)*IF($AY33="",1,VLOOKUP($AY33,DADOS!$CO$5:$CP$7,2,FALSE))*IF($AZ33="",1,VLOOKUP($AZ33,DADOS!$CR$5:$CS$9,2,FALSE)),4),12.5),""))</f>
        <v/>
      </c>
      <c r="BB33" s="115" t="n"/>
      <c r="BC33" s="127" t="n"/>
      <c r="BD33" s="127" t="n"/>
      <c r="BE33" s="121" t="n"/>
      <c r="BF33" s="121" t="n"/>
      <c r="BG33" s="121">
        <f>IF($BD33="","",IFERROR(FLOOR(ROUND(VLOOKUP($BD33,DADOS!$CL$5:$CM$10,2,FALSE)*IF($BE33="",1,VLOOKUP($BE33,DADOS!$CO$5:$CP$7,2,FALSE))*IF($BF33="",1,VLOOKUP($BF33,DADOS!$CR$5:$CS$9,2,FALSE)),4),12.5),""))</f>
        <v/>
      </c>
      <c r="BH33" s="115" t="n"/>
      <c r="BI33" s="127" t="n"/>
      <c r="BJ33" s="127" t="n"/>
      <c r="BK33" s="121" t="n"/>
      <c r="BL33" s="121" t="n"/>
      <c r="BM33" s="121">
        <f>IF($BJ33="","",IFERROR(FLOOR(ROUND(VLOOKUP($BJ33,DADOS!$CL$5:$CM$10,2,FALSE)*IF($BK33="",1,VLOOKUP($BK33,DADOS!$CO$5:$CP$7,2,FALSE))*IF($BL33="",1,VLOOKUP($BL33,DADOS!$CR$5:$CS$9,2,FALSE)),4),12.5),""))</f>
        <v/>
      </c>
      <c r="BN33" s="115" t="n"/>
      <c r="BO33" s="127" t="n"/>
      <c r="BP33" s="127" t="n"/>
      <c r="BQ33" s="121" t="n"/>
      <c r="BR33" s="121" t="n"/>
      <c r="BS33" s="121">
        <f>IF($BP33="","",IFERROR(FLOOR(ROUND(VLOOKUP($BP33,DADOS!$CL$5:$CM$10,2,FALSE)*IF($BQ33="",1,VLOOKUP($BQ33,DADOS!$CO$5:$CP$7,2,FALSE))*IF($BR33="",1,VLOOKUP($BR33,DADOS!$CR$5:$CS$9,2,FALSE)),4),12.5),""))</f>
        <v/>
      </c>
      <c r="BT33" s="115" t="n"/>
    </row>
    <row r="34">
      <c r="B34" s="17" t="n"/>
      <c r="C34" s="115" t="n"/>
      <c r="D34" s="16" t="n"/>
      <c r="O34" s="17" t="n"/>
      <c r="P34" s="115" t="n"/>
      <c r="Q34" s="16" t="n"/>
      <c r="AT34" s="17" t="n"/>
      <c r="AU34" s="115" t="n"/>
      <c r="AV34" s="115" t="n"/>
      <c r="AW34" s="127" t="n"/>
      <c r="AX34" s="127" t="n"/>
      <c r="AY34" s="121" t="n"/>
      <c r="AZ34" s="121" t="n"/>
      <c r="BA34" s="121">
        <f>IF($AX34="","",IFERROR(FLOOR(ROUND(VLOOKUP($AX34,DADOS!$CL$5:$CM$10,2,FALSE)*IF($AY34="",1,VLOOKUP($AY34,DADOS!$CO$5:$CP$7,2,FALSE))*IF($AZ34="",1,VLOOKUP($AZ34,DADOS!$CR$5:$CS$9,2,FALSE)),4),12.5),""))</f>
        <v/>
      </c>
      <c r="BB34" s="115" t="n"/>
      <c r="BC34" s="127" t="n"/>
      <c r="BD34" s="127" t="n"/>
      <c r="BE34" s="121" t="n"/>
      <c r="BF34" s="121" t="n"/>
      <c r="BG34" s="121">
        <f>IF($BD34="","",IFERROR(FLOOR(ROUND(VLOOKUP($BD34,DADOS!$CL$5:$CM$10,2,FALSE)*IF($BE34="",1,VLOOKUP($BE34,DADOS!$CO$5:$CP$7,2,FALSE))*IF($BF34="",1,VLOOKUP($BF34,DADOS!$CR$5:$CS$9,2,FALSE)),4),12.5),""))</f>
        <v/>
      </c>
      <c r="BH34" s="115" t="n"/>
      <c r="BI34" s="127" t="n"/>
      <c r="BJ34" s="127" t="n"/>
      <c r="BK34" s="121" t="n"/>
      <c r="BL34" s="121" t="n"/>
      <c r="BM34" s="121">
        <f>IF($BJ34="","",IFERROR(FLOOR(ROUND(VLOOKUP($BJ34,DADOS!$CL$5:$CM$10,2,FALSE)*IF($BK34="",1,VLOOKUP($BK34,DADOS!$CO$5:$CP$7,2,FALSE))*IF($BL34="",1,VLOOKUP($BL34,DADOS!$CR$5:$CS$9,2,FALSE)),4),12.5),""))</f>
        <v/>
      </c>
      <c r="BN34" s="115" t="n"/>
      <c r="BO34" s="127" t="n"/>
      <c r="BP34" s="127" t="n"/>
      <c r="BQ34" s="121" t="n"/>
      <c r="BR34" s="121" t="n"/>
      <c r="BS34" s="121">
        <f>IF($BP34="","",IFERROR(FLOOR(ROUND(VLOOKUP($BP34,DADOS!$CL$5:$CM$10,2,FALSE)*IF($BQ34="",1,VLOOKUP($BQ34,DADOS!$CO$5:$CP$7,2,FALSE))*IF($BR34="",1,VLOOKUP($BR34,DADOS!$CR$5:$CS$9,2,FALSE)),4),12.5),""))</f>
        <v/>
      </c>
      <c r="BT34" s="115" t="n"/>
    </row>
    <row r="35">
      <c r="B35" s="17" t="n"/>
      <c r="C35" s="115" t="n"/>
      <c r="D35" s="16" t="n"/>
      <c r="O35" s="17" t="n"/>
      <c r="P35" s="115" t="n"/>
      <c r="Q35" s="16" t="n"/>
      <c r="AT35" s="17" t="n"/>
      <c r="AU35" s="115" t="n"/>
      <c r="AV35" s="115" t="n"/>
      <c r="AW35" s="127" t="n"/>
      <c r="AX35" s="127" t="n"/>
      <c r="AY35" s="121" t="n"/>
      <c r="AZ35" s="121" t="n"/>
      <c r="BA35" s="121">
        <f>IF($AX35="","",IFERROR(FLOOR(ROUND(VLOOKUP($AX35,DADOS!$CL$5:$CM$10,2,FALSE)*IF($AY35="",1,VLOOKUP($AY35,DADOS!$CO$5:$CP$7,2,FALSE))*IF($AZ35="",1,VLOOKUP($AZ35,DADOS!$CR$5:$CS$9,2,FALSE)),4),12.5),""))</f>
        <v/>
      </c>
      <c r="BB35" s="115" t="n"/>
      <c r="BC35" s="127" t="n"/>
      <c r="BD35" s="127" t="n"/>
      <c r="BE35" s="121" t="n"/>
      <c r="BF35" s="121" t="n"/>
      <c r="BG35" s="121">
        <f>IF($BD35="","",IFERROR(FLOOR(ROUND(VLOOKUP($BD35,DADOS!$CL$5:$CM$10,2,FALSE)*IF($BE35="",1,VLOOKUP($BE35,DADOS!$CO$5:$CP$7,2,FALSE))*IF($BF35="",1,VLOOKUP($BF35,DADOS!$CR$5:$CS$9,2,FALSE)),4),12.5),""))</f>
        <v/>
      </c>
      <c r="BH35" s="115" t="n"/>
      <c r="BI35" s="127" t="n"/>
      <c r="BJ35" s="127" t="n"/>
      <c r="BK35" s="121" t="n"/>
      <c r="BL35" s="121" t="n"/>
      <c r="BM35" s="121">
        <f>IF($BJ35="","",IFERROR(FLOOR(ROUND(VLOOKUP($BJ35,DADOS!$CL$5:$CM$10,2,FALSE)*IF($BK35="",1,VLOOKUP($BK35,DADOS!$CO$5:$CP$7,2,FALSE))*IF($BL35="",1,VLOOKUP($BL35,DADOS!$CR$5:$CS$9,2,FALSE)),4),12.5),""))</f>
        <v/>
      </c>
      <c r="BN35" s="115" t="n"/>
      <c r="BO35" s="127" t="n"/>
      <c r="BP35" s="127" t="n"/>
      <c r="BQ35" s="121" t="n"/>
      <c r="BR35" s="121" t="n"/>
      <c r="BS35" s="121">
        <f>IF($BP35="","",IFERROR(FLOOR(ROUND(VLOOKUP($BP35,DADOS!$CL$5:$CM$10,2,FALSE)*IF($BQ35="",1,VLOOKUP($BQ35,DADOS!$CO$5:$CP$7,2,FALSE))*IF($BR35="",1,VLOOKUP($BR35,DADOS!$CR$5:$CS$9,2,FALSE)),4),12.5),""))</f>
        <v/>
      </c>
      <c r="BT35" s="115" t="n"/>
    </row>
    <row r="36">
      <c r="B36" s="17" t="n"/>
      <c r="C36" s="115" t="n"/>
      <c r="D36" s="18" t="n"/>
      <c r="E36" s="19" t="n"/>
      <c r="F36" s="19" t="n"/>
      <c r="G36" s="19" t="n"/>
      <c r="H36" s="19" t="n"/>
      <c r="I36" s="19" t="n"/>
      <c r="J36" s="19" t="n"/>
      <c r="K36" s="19" t="n"/>
      <c r="L36" s="19" t="n"/>
      <c r="M36" s="19" t="n"/>
      <c r="N36" s="19" t="n"/>
      <c r="O36" s="20" t="n"/>
      <c r="P36" s="115" t="n"/>
      <c r="Q36" s="18" t="n"/>
      <c r="R36" s="19" t="n"/>
      <c r="S36" s="19" t="n"/>
      <c r="T36" s="19" t="n"/>
      <c r="U36" s="19" t="n"/>
      <c r="V36" s="19" t="n"/>
      <c r="W36" s="19" t="n"/>
      <c r="X36" s="19" t="n"/>
      <c r="Y36" s="19" t="n"/>
      <c r="Z36" s="19" t="n"/>
      <c r="AA36" s="19" t="n"/>
      <c r="AB36" s="19" t="n"/>
      <c r="AC36" s="19" t="n"/>
      <c r="AD36" s="19" t="n"/>
      <c r="AE36" s="19" t="n"/>
      <c r="AF36" s="19" t="n"/>
      <c r="AG36" s="19" t="n"/>
      <c r="AH36" s="19" t="n"/>
      <c r="AI36" s="19" t="n"/>
      <c r="AJ36" s="19" t="n"/>
      <c r="AK36" s="19" t="n"/>
      <c r="AL36" s="19" t="n"/>
      <c r="AM36" s="19" t="n"/>
      <c r="AN36" s="19" t="n"/>
      <c r="AO36" s="19" t="n"/>
      <c r="AP36" s="19" t="n"/>
      <c r="AQ36" s="19" t="n"/>
      <c r="AR36" s="19" t="n"/>
      <c r="AS36" s="19" t="n"/>
      <c r="AT36" s="20" t="n"/>
      <c r="AU36" s="115" t="n"/>
      <c r="AV36" s="115" t="n"/>
      <c r="AW36" s="127" t="n"/>
      <c r="AX36" s="127" t="n"/>
      <c r="AY36" s="121" t="n"/>
      <c r="AZ36" s="121" t="n"/>
      <c r="BA36" s="121">
        <f>IF($AX36="","",IFERROR(FLOOR(ROUND(VLOOKUP($AX36,DADOS!$CL$5:$CM$10,2,FALSE)*IF($AY36="",1,VLOOKUP($AY36,DADOS!$CO$5:$CP$7,2,FALSE))*IF($AZ36="",1,VLOOKUP($AZ36,DADOS!$CR$5:$CS$9,2,FALSE)),4),12.5),""))</f>
        <v/>
      </c>
      <c r="BB36" s="115" t="n"/>
      <c r="BC36" s="127" t="n"/>
      <c r="BD36" s="127" t="n"/>
      <c r="BE36" s="121" t="n"/>
      <c r="BF36" s="121" t="n"/>
      <c r="BG36" s="121">
        <f>IF($BD36="","",IFERROR(FLOOR(ROUND(VLOOKUP($BD36,DADOS!$CL$5:$CM$10,2,FALSE)*IF($BE36="",1,VLOOKUP($BE36,DADOS!$CO$5:$CP$7,2,FALSE))*IF($BF36="",1,VLOOKUP($BF36,DADOS!$CR$5:$CS$9,2,FALSE)),4),12.5),""))</f>
        <v/>
      </c>
      <c r="BH36" s="115" t="n"/>
      <c r="BI36" s="127" t="n"/>
      <c r="BJ36" s="127" t="n"/>
      <c r="BK36" s="121" t="n"/>
      <c r="BL36" s="121" t="n"/>
      <c r="BM36" s="121">
        <f>IF($BJ36="","",IFERROR(FLOOR(ROUND(VLOOKUP($BJ36,DADOS!$CL$5:$CM$10,2,FALSE)*IF($BK36="",1,VLOOKUP($BK36,DADOS!$CO$5:$CP$7,2,FALSE))*IF($BL36="",1,VLOOKUP($BL36,DADOS!$CR$5:$CS$9,2,FALSE)),4),12.5),""))</f>
        <v/>
      </c>
      <c r="BN36" s="115" t="n"/>
      <c r="BO36" s="127" t="n"/>
      <c r="BP36" s="127" t="n"/>
      <c r="BQ36" s="121" t="n"/>
      <c r="BR36" s="121" t="n"/>
      <c r="BS36" s="121">
        <f>IF($BP36="","",IFERROR(FLOOR(ROUND(VLOOKUP($BP36,DADOS!$CL$5:$CM$10,2,FALSE)*IF($BQ36="",1,VLOOKUP($BQ36,DADOS!$CO$5:$CP$7,2,FALSE))*IF($BR36="",1,VLOOKUP($BR36,DADOS!$CR$5:$CS$9,2,FALSE)),4),12.5),""))</f>
        <v/>
      </c>
      <c r="BT36" s="115" t="n"/>
    </row>
    <row r="37">
      <c r="B37" s="17" t="n"/>
      <c r="C37" s="115" t="n"/>
      <c r="D37" s="115" t="n"/>
      <c r="E37" s="115" t="n"/>
      <c r="F37" s="115" t="n"/>
      <c r="G37" s="115" t="n"/>
      <c r="H37" s="115" t="n"/>
      <c r="I37" s="115" t="n"/>
      <c r="J37" s="115" t="n"/>
      <c r="K37" s="115" t="n"/>
      <c r="L37" s="115" t="n"/>
      <c r="M37" s="115" t="n"/>
      <c r="N37" s="115" t="n"/>
      <c r="O37" s="115" t="n"/>
      <c r="P37" s="115" t="n"/>
      <c r="Q37" s="115" t="n"/>
      <c r="R37" s="115" t="n"/>
      <c r="S37" s="115" t="n"/>
      <c r="T37" s="115" t="n"/>
      <c r="U37" s="115" t="n"/>
      <c r="V37" s="115" t="n"/>
      <c r="W37" s="115" t="n"/>
      <c r="X37" s="115" t="n"/>
      <c r="Y37" s="115" t="n"/>
      <c r="Z37" s="115" t="n"/>
      <c r="AA37" s="115" t="n"/>
      <c r="AB37" s="115" t="n"/>
      <c r="AC37" s="115" t="n"/>
      <c r="AD37" s="115" t="n"/>
      <c r="AE37" s="115" t="n"/>
      <c r="AF37" s="115" t="n"/>
      <c r="AG37" s="115" t="n"/>
      <c r="AH37" s="115" t="n"/>
      <c r="AI37" s="115" t="n"/>
      <c r="AJ37" s="115" t="n"/>
      <c r="AK37" s="115" t="n"/>
      <c r="AL37" s="115" t="n"/>
      <c r="AM37" s="115" t="n"/>
      <c r="AN37" s="115" t="n"/>
      <c r="AO37" s="115" t="n"/>
      <c r="AP37" s="115" t="n"/>
      <c r="AQ37" s="115" t="n"/>
      <c r="AR37" s="115" t="n"/>
      <c r="AS37" s="115" t="n"/>
      <c r="AT37" s="115" t="n"/>
      <c r="AU37" s="115" t="n"/>
      <c r="AV37" s="115" t="n"/>
      <c r="AW37" s="127" t="n"/>
      <c r="AX37" s="127" t="n"/>
      <c r="AY37" s="121" t="n"/>
      <c r="AZ37" s="121" t="n"/>
      <c r="BA37" s="121">
        <f>IF($AX37="","",IFERROR(FLOOR(ROUND(VLOOKUP($AX37,DADOS!$CL$5:$CM$10,2,FALSE)*IF($AY37="",1,VLOOKUP($AY37,DADOS!$CO$5:$CP$7,2,FALSE))*IF($AZ37="",1,VLOOKUP($AZ37,DADOS!$CR$5:$CS$9,2,FALSE)),4),12.5),""))</f>
        <v/>
      </c>
      <c r="BB37" s="115" t="n"/>
      <c r="BC37" s="127" t="n"/>
      <c r="BD37" s="127" t="n"/>
      <c r="BE37" s="121" t="n"/>
      <c r="BF37" s="121" t="n"/>
      <c r="BG37" s="121">
        <f>IF($BD37="","",IFERROR(FLOOR(ROUND(VLOOKUP($BD37,DADOS!$CL$5:$CM$10,2,FALSE)*IF($BE37="",1,VLOOKUP($BE37,DADOS!$CO$5:$CP$7,2,FALSE))*IF($BF37="",1,VLOOKUP($BF37,DADOS!$CR$5:$CS$9,2,FALSE)),4),12.5),""))</f>
        <v/>
      </c>
      <c r="BH37" s="115" t="n"/>
      <c r="BI37" s="127" t="n"/>
      <c r="BJ37" s="127" t="n"/>
      <c r="BK37" s="121" t="n"/>
      <c r="BL37" s="121" t="n"/>
      <c r="BM37" s="121">
        <f>IF($BJ37="","",IFERROR(FLOOR(ROUND(VLOOKUP($BJ37,DADOS!$CL$5:$CM$10,2,FALSE)*IF($BK37="",1,VLOOKUP($BK37,DADOS!$CO$5:$CP$7,2,FALSE))*IF($BL37="",1,VLOOKUP($BL37,DADOS!$CR$5:$CS$9,2,FALSE)),4),12.5),""))</f>
        <v/>
      </c>
      <c r="BN37" s="115" t="n"/>
      <c r="BO37" s="127" t="n"/>
      <c r="BP37" s="127" t="n"/>
      <c r="BQ37" s="121" t="n"/>
      <c r="BR37" s="121" t="n"/>
      <c r="BS37" s="121">
        <f>IF($BP37="","",IFERROR(FLOOR(ROUND(VLOOKUP($BP37,DADOS!$CL$5:$CM$10,2,FALSE)*IF($BQ37="",1,VLOOKUP($BQ37,DADOS!$CO$5:$CP$7,2,FALSE))*IF($BR37="",1,VLOOKUP($BR37,DADOS!$CR$5:$CS$9,2,FALSE)),4),12.5),""))</f>
        <v/>
      </c>
      <c r="BT37" s="115" t="n"/>
    </row>
    <row r="38">
      <c r="B38" s="17" t="n"/>
      <c r="C38" s="115" t="n"/>
      <c r="D38" s="118" t="inlineStr">
        <is>
          <t>EM USO</t>
        </is>
      </c>
      <c r="E38" s="14" t="n"/>
      <c r="F38" s="14" t="n"/>
      <c r="G38" s="14" t="n"/>
      <c r="H38" s="14" t="n"/>
      <c r="I38" s="14" t="n"/>
      <c r="J38" s="14" t="n"/>
      <c r="K38" s="14" t="n"/>
      <c r="L38" s="14" t="n"/>
      <c r="M38" s="14" t="n"/>
      <c r="N38" s="14" t="n"/>
      <c r="O38" s="14" t="n"/>
      <c r="P38" s="14" t="n"/>
      <c r="Q38" s="14" t="n"/>
      <c r="R38" s="14" t="n"/>
      <c r="S38" s="14" t="n"/>
      <c r="T38" s="14" t="n"/>
      <c r="U38" s="14" t="n"/>
      <c r="V38" s="14" t="n"/>
      <c r="W38" s="14" t="n"/>
      <c r="X38" s="14" t="n"/>
      <c r="Y38" s="14" t="n"/>
      <c r="Z38" s="14" t="n"/>
      <c r="AA38" s="14" t="n"/>
      <c r="AB38" s="14" t="n"/>
      <c r="AC38" s="14" t="n"/>
      <c r="AD38" s="14" t="n"/>
      <c r="AE38" s="14" t="n"/>
      <c r="AF38" s="14" t="n"/>
      <c r="AG38" s="14" t="n"/>
      <c r="AH38" s="14" t="n"/>
      <c r="AI38" s="14" t="n"/>
      <c r="AJ38" s="14" t="n"/>
      <c r="AK38" s="14" t="n"/>
      <c r="AL38" s="14" t="n"/>
      <c r="AM38" s="14" t="n"/>
      <c r="AN38" s="14" t="n"/>
      <c r="AO38" s="14" t="n"/>
      <c r="AP38" s="14" t="n"/>
      <c r="AQ38" s="14" t="n"/>
      <c r="AR38" s="14" t="n"/>
      <c r="AS38" s="14" t="n"/>
      <c r="AT38" s="15" t="n"/>
      <c r="AU38" s="115" t="n"/>
      <c r="AV38" s="115" t="n"/>
      <c r="AW38" s="127" t="n"/>
      <c r="AX38" s="127" t="n"/>
      <c r="AY38" s="121" t="n"/>
      <c r="AZ38" s="121" t="n"/>
      <c r="BA38" s="121">
        <f>IF($AX38="","",IFERROR(FLOOR(ROUND(VLOOKUP($AX38,DADOS!$CL$5:$CM$10,2,FALSE)*IF($AY38="",1,VLOOKUP($AY38,DADOS!$CO$5:$CP$7,2,FALSE))*IF($AZ38="",1,VLOOKUP($AZ38,DADOS!$CR$5:$CS$9,2,FALSE)),4),12.5),""))</f>
        <v/>
      </c>
      <c r="BB38" s="115" t="n"/>
      <c r="BC38" s="127" t="n"/>
      <c r="BD38" s="127" t="n"/>
      <c r="BE38" s="121" t="n"/>
      <c r="BF38" s="121" t="n"/>
      <c r="BG38" s="121">
        <f>IF($BD38="","",IFERROR(FLOOR(ROUND(VLOOKUP($BD38,DADOS!$CL$5:$CM$10,2,FALSE)*IF($BE38="",1,VLOOKUP($BE38,DADOS!$CO$5:$CP$7,2,FALSE))*IF($BF38="",1,VLOOKUP($BF38,DADOS!$CR$5:$CS$9,2,FALSE)),4),12.5),""))</f>
        <v/>
      </c>
      <c r="BH38" s="115" t="n"/>
      <c r="BI38" s="127" t="n"/>
      <c r="BJ38" s="127" t="n"/>
      <c r="BK38" s="121" t="n"/>
      <c r="BL38" s="121" t="n"/>
      <c r="BM38" s="121">
        <f>IF($BJ38="","",IFERROR(FLOOR(ROUND(VLOOKUP($BJ38,DADOS!$CL$5:$CM$10,2,FALSE)*IF($BK38="",1,VLOOKUP($BK38,DADOS!$CO$5:$CP$7,2,FALSE))*IF($BL38="",1,VLOOKUP($BL38,DADOS!$CR$5:$CS$9,2,FALSE)),4),12.5),""))</f>
        <v/>
      </c>
      <c r="BN38" s="115" t="n"/>
      <c r="BO38" s="127" t="n"/>
      <c r="BP38" s="127" t="n"/>
      <c r="BQ38" s="121" t="n"/>
      <c r="BR38" s="121" t="n"/>
      <c r="BS38" s="121">
        <f>IF($BP38="","",IFERROR(FLOOR(ROUND(VLOOKUP($BP38,DADOS!$CL$5:$CM$10,2,FALSE)*IF($BQ38="",1,VLOOKUP($BQ38,DADOS!$CO$5:$CP$7,2,FALSE))*IF($BR38="",1,VLOOKUP($BR38,DADOS!$CR$5:$CS$9,2,FALSE)),4),12.5),""))</f>
        <v/>
      </c>
      <c r="BT38" s="115" t="n"/>
    </row>
    <row r="39">
      <c r="B39" s="17" t="n"/>
      <c r="C39" s="115" t="n"/>
      <c r="D39" s="18" t="n"/>
      <c r="E39" s="19" t="n"/>
      <c r="F39" s="19" t="n"/>
      <c r="G39" s="19" t="n"/>
      <c r="H39" s="19" t="n"/>
      <c r="I39" s="19" t="n"/>
      <c r="J39" s="19" t="n"/>
      <c r="K39" s="19" t="n"/>
      <c r="L39" s="19" t="n"/>
      <c r="M39" s="19" t="n"/>
      <c r="N39" s="19" t="n"/>
      <c r="O39" s="19" t="n"/>
      <c r="P39" s="19" t="n"/>
      <c r="Q39" s="19" t="n"/>
      <c r="R39" s="19" t="n"/>
      <c r="S39" s="19" t="n"/>
      <c r="T39" s="19" t="n"/>
      <c r="U39" s="19" t="n"/>
      <c r="V39" s="19" t="n"/>
      <c r="W39" s="19" t="n"/>
      <c r="X39" s="19" t="n"/>
      <c r="Y39" s="19" t="n"/>
      <c r="Z39" s="19" t="n"/>
      <c r="AA39" s="19" t="n"/>
      <c r="AB39" s="19" t="n"/>
      <c r="AC39" s="19" t="n"/>
      <c r="AD39" s="19" t="n"/>
      <c r="AE39" s="19" t="n"/>
      <c r="AF39" s="19" t="n"/>
      <c r="AG39" s="19" t="n"/>
      <c r="AH39" s="19" t="n"/>
      <c r="AI39" s="19" t="n"/>
      <c r="AJ39" s="19" t="n"/>
      <c r="AK39" s="19" t="n"/>
      <c r="AL39" s="19" t="n"/>
      <c r="AM39" s="19" t="n"/>
      <c r="AN39" s="19" t="n"/>
      <c r="AO39" s="19" t="n"/>
      <c r="AP39" s="19" t="n"/>
      <c r="AQ39" s="19" t="n"/>
      <c r="AR39" s="19" t="n"/>
      <c r="AS39" s="19" t="n"/>
      <c r="AT39" s="20" t="n"/>
      <c r="AU39" s="115" t="n"/>
      <c r="AV39" s="115" t="n"/>
      <c r="AW39" s="127" t="n"/>
      <c r="AX39" s="127" t="n"/>
      <c r="AY39" s="121" t="n"/>
      <c r="AZ39" s="121" t="n"/>
      <c r="BA39" s="121">
        <f>IF($AX39="","",IFERROR(FLOOR(ROUND(VLOOKUP($AX39,DADOS!$CL$5:$CM$10,2,FALSE)*IF($AY39="",1,VLOOKUP($AY39,DADOS!$CO$5:$CP$7,2,FALSE))*IF($AZ39="",1,VLOOKUP($AZ39,DADOS!$CR$5:$CS$9,2,FALSE)),4),12.5),""))</f>
        <v/>
      </c>
      <c r="BB39" s="115" t="n"/>
      <c r="BC39" s="127" t="n"/>
      <c r="BD39" s="127" t="n"/>
      <c r="BE39" s="121" t="n"/>
      <c r="BF39" s="121" t="n"/>
      <c r="BG39" s="121">
        <f>IF($BD39="","",IFERROR(FLOOR(ROUND(VLOOKUP($BD39,DADOS!$CL$5:$CM$10,2,FALSE)*IF($BE39="",1,VLOOKUP($BE39,DADOS!$CO$5:$CP$7,2,FALSE))*IF($BF39="",1,VLOOKUP($BF39,DADOS!$CR$5:$CS$9,2,FALSE)),4),12.5),""))</f>
        <v/>
      </c>
      <c r="BH39" s="115" t="n"/>
      <c r="BI39" s="127" t="n"/>
      <c r="BJ39" s="127" t="n"/>
      <c r="BK39" s="121" t="n"/>
      <c r="BL39" s="121" t="n"/>
      <c r="BM39" s="121">
        <f>IF($BJ39="","",IFERROR(FLOOR(ROUND(VLOOKUP($BJ39,DADOS!$CL$5:$CM$10,2,FALSE)*IF($BK39="",1,VLOOKUP($BK39,DADOS!$CO$5:$CP$7,2,FALSE))*IF($BL39="",1,VLOOKUP($BL39,DADOS!$CR$5:$CS$9,2,FALSE)),4),12.5),""))</f>
        <v/>
      </c>
      <c r="BN39" s="115" t="n"/>
      <c r="BO39" s="127" t="n"/>
      <c r="BP39" s="127" t="n"/>
      <c r="BQ39" s="121" t="n"/>
      <c r="BR39" s="121" t="n"/>
      <c r="BS39" s="121">
        <f>IF($BP39="","",IFERROR(FLOOR(ROUND(VLOOKUP($BP39,DADOS!$CL$5:$CM$10,2,FALSE)*IF($BQ39="",1,VLOOKUP($BQ39,DADOS!$CO$5:$CP$7,2,FALSE))*IF($BR39="",1,VLOOKUP($BR39,DADOS!$CR$5:$CS$9,2,FALSE)),4),12.5),""))</f>
        <v/>
      </c>
      <c r="BT39" s="115" t="n"/>
    </row>
    <row r="40">
      <c r="B40" s="17" t="n"/>
      <c r="C40" s="115" t="n"/>
      <c r="D40" s="52" t="inlineStr">
        <is>
          <t>MÃO PRINCIPAL</t>
        </is>
      </c>
      <c r="E40" s="11" t="n"/>
      <c r="F40" s="11" t="n"/>
      <c r="G40" s="11" t="n"/>
      <c r="H40" s="11" t="n"/>
      <c r="I40" s="11" t="n"/>
      <c r="J40" s="11" t="n"/>
      <c r="K40" s="11" t="n"/>
      <c r="L40" s="11" t="n"/>
      <c r="M40" s="11" t="n"/>
      <c r="N40" s="11" t="n"/>
      <c r="O40" s="11" t="n"/>
      <c r="P40" s="11" t="n"/>
      <c r="Q40" s="12" t="n"/>
      <c r="R40" s="115" t="n"/>
      <c r="S40" s="52" t="inlineStr">
        <is>
          <t>MÃO SECUNDÁRIA</t>
        </is>
      </c>
      <c r="T40" s="11" t="n"/>
      <c r="U40" s="11" t="n"/>
      <c r="V40" s="11" t="n"/>
      <c r="W40" s="11" t="n"/>
      <c r="X40" s="11" t="n"/>
      <c r="Y40" s="11" t="n"/>
      <c r="Z40" s="11" t="n"/>
      <c r="AA40" s="11" t="n"/>
      <c r="AB40" s="11" t="n"/>
      <c r="AC40" s="11" t="n"/>
      <c r="AD40" s="11" t="n"/>
      <c r="AE40" s="11" t="n"/>
      <c r="AF40" s="12" t="n"/>
      <c r="AG40" s="115" t="n"/>
      <c r="AH40" s="52" t="inlineStr">
        <is>
          <t>VESTINDO</t>
        </is>
      </c>
      <c r="AI40" s="11" t="n"/>
      <c r="AJ40" s="11" t="n"/>
      <c r="AK40" s="11" t="n"/>
      <c r="AL40" s="11" t="n"/>
      <c r="AM40" s="11" t="n"/>
      <c r="AN40" s="11" t="n"/>
      <c r="AO40" s="11" t="n"/>
      <c r="AP40" s="11" t="n"/>
      <c r="AQ40" s="11" t="n"/>
      <c r="AR40" s="11" t="n"/>
      <c r="AS40" s="11" t="n"/>
      <c r="AT40" s="12" t="n"/>
      <c r="AU40" s="115" t="n"/>
      <c r="AV40" s="115" t="n"/>
      <c r="AW40" s="127" t="n"/>
      <c r="AX40" s="127" t="n"/>
      <c r="AY40" s="121" t="n"/>
      <c r="AZ40" s="121" t="n"/>
      <c r="BA40" s="121">
        <f>IF($AX40="","",IFERROR(FLOOR(ROUND(VLOOKUP($AX40,DADOS!$CL$5:$CM$10,2,FALSE)*IF($AY40="",1,VLOOKUP($AY40,DADOS!$CO$5:$CP$7,2,FALSE))*IF($AZ40="",1,VLOOKUP($AZ40,DADOS!$CR$5:$CS$9,2,FALSE)),4),12.5),""))</f>
        <v/>
      </c>
      <c r="BB40" s="115" t="n"/>
      <c r="BC40" s="127" t="n"/>
      <c r="BD40" s="127" t="n"/>
      <c r="BE40" s="121" t="n"/>
      <c r="BF40" s="121" t="n"/>
      <c r="BG40" s="121">
        <f>IF($BD40="","",IFERROR(FLOOR(ROUND(VLOOKUP($BD40,DADOS!$CL$5:$CM$10,2,FALSE)*IF($BE40="",1,VLOOKUP($BE40,DADOS!$CO$5:$CP$7,2,FALSE))*IF($BF40="",1,VLOOKUP($BF40,DADOS!$CR$5:$CS$9,2,FALSE)),4),12.5),""))</f>
        <v/>
      </c>
      <c r="BH40" s="115" t="n"/>
      <c r="BI40" s="127" t="n"/>
      <c r="BJ40" s="127" t="n"/>
      <c r="BK40" s="121" t="n"/>
      <c r="BL40" s="121" t="n"/>
      <c r="BM40" s="121">
        <f>IF($BJ40="","",IFERROR(FLOOR(ROUND(VLOOKUP($BJ40,DADOS!$CL$5:$CM$10,2,FALSE)*IF($BK40="",1,VLOOKUP($BK40,DADOS!$CO$5:$CP$7,2,FALSE))*IF($BL40="",1,VLOOKUP($BL40,DADOS!$CR$5:$CS$9,2,FALSE)),4),12.5),""))</f>
        <v/>
      </c>
      <c r="BN40" s="115" t="n"/>
      <c r="BO40" s="127" t="n"/>
      <c r="BP40" s="127" t="n"/>
      <c r="BQ40" s="121" t="n"/>
      <c r="BR40" s="121" t="n"/>
      <c r="BS40" s="121">
        <f>IF($BP40="","",IFERROR(FLOOR(ROUND(VLOOKUP($BP40,DADOS!$CL$5:$CM$10,2,FALSE)*IF($BQ40="",1,VLOOKUP($BQ40,DADOS!$CO$5:$CP$7,2,FALSE))*IF($BR40="",1,VLOOKUP($BR40,DADOS!$CR$5:$CS$9,2,FALSE)),4),12.5),""))</f>
        <v/>
      </c>
      <c r="BT40" s="115" t="n"/>
    </row>
    <row r="41">
      <c r="B41" s="17" t="n"/>
      <c r="C41" s="115" t="n"/>
      <c r="D41" s="80" t="inlineStr">
        <is>
          <t>Soco</t>
        </is>
      </c>
      <c r="E41" s="14" t="n"/>
      <c r="F41" s="14" t="n"/>
      <c r="G41" s="14" t="n"/>
      <c r="H41" s="14" t="n"/>
      <c r="I41" s="14" t="n"/>
      <c r="J41" s="14" t="n"/>
      <c r="K41" s="14" t="n"/>
      <c r="L41" s="14" t="n"/>
      <c r="M41" s="14" t="n"/>
      <c r="N41" s="14" t="n"/>
      <c r="O41" s="14" t="n"/>
      <c r="P41" s="14" t="n"/>
      <c r="Q41" s="15" t="n"/>
      <c r="R41" s="115" t="n"/>
      <c r="S41" s="80" t="inlineStr">
        <is>
          <t>—</t>
        </is>
      </c>
      <c r="T41" s="14" t="n"/>
      <c r="U41" s="14" t="n"/>
      <c r="V41" s="14" t="n"/>
      <c r="W41" s="14" t="n"/>
      <c r="X41" s="14" t="n"/>
      <c r="Y41" s="14" t="n"/>
      <c r="Z41" s="14" t="n"/>
      <c r="AA41" s="14" t="n"/>
      <c r="AB41" s="14" t="n"/>
      <c r="AC41" s="14" t="n"/>
      <c r="AD41" s="14" t="n"/>
      <c r="AE41" s="14" t="n"/>
      <c r="AF41" s="15" t="n"/>
      <c r="AG41" s="115" t="n"/>
      <c r="AH41" s="80" t="inlineStr">
        <is>
          <t>Traje 1</t>
        </is>
      </c>
      <c r="AI41" s="14" t="n"/>
      <c r="AJ41" s="14" t="n"/>
      <c r="AK41" s="14" t="n"/>
      <c r="AL41" s="14" t="n"/>
      <c r="AM41" s="14" t="n"/>
      <c r="AN41" s="14" t="n"/>
      <c r="AO41" s="14" t="n"/>
      <c r="AP41" s="14" t="n"/>
      <c r="AQ41" s="14" t="n"/>
      <c r="AR41" s="14" t="n"/>
      <c r="AS41" s="14" t="n"/>
      <c r="AT41" s="15" t="n"/>
      <c r="AU41" s="115" t="n"/>
      <c r="AV41" s="115" t="n"/>
      <c r="AW41" s="127" t="n"/>
      <c r="AX41" s="127" t="n"/>
      <c r="AY41" s="121" t="n"/>
      <c r="AZ41" s="121" t="n"/>
      <c r="BA41" s="121">
        <f>IF($AX41="","",IFERROR(FLOOR(ROUND(VLOOKUP($AX41,DADOS!$CL$5:$CM$10,2,FALSE)*IF($AY41="",1,VLOOKUP($AY41,DADOS!$CO$5:$CP$7,2,FALSE))*IF($AZ41="",1,VLOOKUP($AZ41,DADOS!$CR$5:$CS$9,2,FALSE)),4),12.5),""))</f>
        <v/>
      </c>
      <c r="BB41" s="115" t="n"/>
      <c r="BC41" s="127" t="n"/>
      <c r="BD41" s="127" t="n"/>
      <c r="BE41" s="121" t="n"/>
      <c r="BF41" s="121" t="n"/>
      <c r="BG41" s="121">
        <f>IF($BD41="","",IFERROR(FLOOR(ROUND(VLOOKUP($BD41,DADOS!$CL$5:$CM$10,2,FALSE)*IF($BE41="",1,VLOOKUP($BE41,DADOS!$CO$5:$CP$7,2,FALSE))*IF($BF41="",1,VLOOKUP($BF41,DADOS!$CR$5:$CS$9,2,FALSE)),4),12.5),""))</f>
        <v/>
      </c>
      <c r="BH41" s="115" t="n"/>
      <c r="BI41" s="127" t="n"/>
      <c r="BJ41" s="127" t="n"/>
      <c r="BK41" s="121" t="n"/>
      <c r="BL41" s="121" t="n"/>
      <c r="BM41" s="121">
        <f>IF($BJ41="","",IFERROR(FLOOR(ROUND(VLOOKUP($BJ41,DADOS!$CL$5:$CM$10,2,FALSE)*IF($BK41="",1,VLOOKUP($BK41,DADOS!$CO$5:$CP$7,2,FALSE))*IF($BL41="",1,VLOOKUP($BL41,DADOS!$CR$5:$CS$9,2,FALSE)),4),12.5),""))</f>
        <v/>
      </c>
      <c r="BN41" s="115" t="n"/>
      <c r="BO41" s="127" t="n"/>
      <c r="BP41" s="127" t="n"/>
      <c r="BQ41" s="121" t="n"/>
      <c r="BR41" s="121" t="n"/>
      <c r="BS41" s="121">
        <f>IF($BP41="","",IFERROR(FLOOR(ROUND(VLOOKUP($BP41,DADOS!$CL$5:$CM$10,2,FALSE)*IF($BQ41="",1,VLOOKUP($BQ41,DADOS!$CO$5:$CP$7,2,FALSE))*IF($BR41="",1,VLOOKUP($BR41,DADOS!$CR$5:$CS$9,2,FALSE)),4),12.5),""))</f>
        <v/>
      </c>
      <c r="BT41" s="115" t="n"/>
    </row>
    <row r="42">
      <c r="B42" s="17" t="n"/>
      <c r="C42" s="115" t="n"/>
      <c r="D42" s="18" t="n"/>
      <c r="E42" s="19" t="n"/>
      <c r="F42" s="19" t="n"/>
      <c r="G42" s="19" t="n"/>
      <c r="H42" s="19" t="n"/>
      <c r="I42" s="19" t="n"/>
      <c r="J42" s="19" t="n"/>
      <c r="K42" s="19" t="n"/>
      <c r="L42" s="19" t="n"/>
      <c r="M42" s="19" t="n"/>
      <c r="N42" s="19" t="n"/>
      <c r="O42" s="19" t="n"/>
      <c r="P42" s="19" t="n"/>
      <c r="Q42" s="20" t="n"/>
      <c r="R42" s="115" t="n"/>
      <c r="S42" s="18" t="n"/>
      <c r="T42" s="19" t="n"/>
      <c r="U42" s="19" t="n"/>
      <c r="V42" s="19" t="n"/>
      <c r="W42" s="19" t="n"/>
      <c r="X42" s="19" t="n"/>
      <c r="Y42" s="19" t="n"/>
      <c r="Z42" s="19" t="n"/>
      <c r="AA42" s="19" t="n"/>
      <c r="AB42" s="19" t="n"/>
      <c r="AC42" s="19" t="n"/>
      <c r="AD42" s="19" t="n"/>
      <c r="AE42" s="19" t="n"/>
      <c r="AF42" s="20" t="n"/>
      <c r="AG42" s="115" t="n"/>
      <c r="AH42" s="18" t="n"/>
      <c r="AI42" s="19" t="n"/>
      <c r="AJ42" s="19" t="n"/>
      <c r="AK42" s="19" t="n"/>
      <c r="AL42" s="19" t="n"/>
      <c r="AM42" s="19" t="n"/>
      <c r="AN42" s="19" t="n"/>
      <c r="AO42" s="19" t="n"/>
      <c r="AP42" s="19" t="n"/>
      <c r="AQ42" s="19" t="n"/>
      <c r="AR42" s="19" t="n"/>
      <c r="AS42" s="19" t="n"/>
      <c r="AT42" s="20" t="n"/>
      <c r="AU42" s="115" t="n"/>
      <c r="AV42" s="115" t="n"/>
      <c r="AW42" s="127" t="n"/>
      <c r="AX42" s="127" t="n"/>
      <c r="AY42" s="121" t="n"/>
      <c r="AZ42" s="121" t="n"/>
      <c r="BA42" s="121">
        <f>IF($AX42="","",IFERROR(FLOOR(ROUND(VLOOKUP($AX42,DADOS!$CL$5:$CM$10,2,FALSE)*IF($AY42="",1,VLOOKUP($AY42,DADOS!$CO$5:$CP$7,2,FALSE))*IF($AZ42="",1,VLOOKUP($AZ42,DADOS!$CR$5:$CS$9,2,FALSE)),4),12.5),""))</f>
        <v/>
      </c>
      <c r="BB42" s="115" t="n"/>
      <c r="BC42" s="127" t="n"/>
      <c r="BD42" s="127" t="n"/>
      <c r="BE42" s="121" t="n"/>
      <c r="BF42" s="121" t="n"/>
      <c r="BG42" s="121">
        <f>IF($BD42="","",IFERROR(FLOOR(ROUND(VLOOKUP($BD42,DADOS!$CL$5:$CM$10,2,FALSE)*IF($BE42="",1,VLOOKUP($BE42,DADOS!$CO$5:$CP$7,2,FALSE))*IF($BF42="",1,VLOOKUP($BF42,DADOS!$CR$5:$CS$9,2,FALSE)),4),12.5),""))</f>
        <v/>
      </c>
      <c r="BH42" s="115" t="n"/>
      <c r="BI42" s="127" t="n"/>
      <c r="BJ42" s="127" t="n"/>
      <c r="BK42" s="121" t="n"/>
      <c r="BL42" s="121" t="n"/>
      <c r="BM42" s="121">
        <f>IF($BJ42="","",IFERROR(FLOOR(ROUND(VLOOKUP($BJ42,DADOS!$CL$5:$CM$10,2,FALSE)*IF($BK42="",1,VLOOKUP($BK42,DADOS!$CO$5:$CP$7,2,FALSE))*IF($BL42="",1,VLOOKUP($BL42,DADOS!$CR$5:$CS$9,2,FALSE)),4),12.5),""))</f>
        <v/>
      </c>
      <c r="BN42" s="115" t="n"/>
      <c r="BO42" s="127" t="n"/>
      <c r="BP42" s="127" t="n"/>
      <c r="BQ42" s="121" t="n"/>
      <c r="BR42" s="121" t="n"/>
      <c r="BS42" s="121">
        <f>IF($BP42="","",IFERROR(FLOOR(ROUND(VLOOKUP($BP42,DADOS!$CL$5:$CM$10,2,FALSE)*IF($BQ42="",1,VLOOKUP($BQ42,DADOS!$CO$5:$CP$7,2,FALSE))*IF($BR42="",1,VLOOKUP($BR42,DADOS!$CR$5:$CS$9,2,FALSE)),4),12.5),""))</f>
        <v/>
      </c>
      <c r="BT42" s="115" t="n"/>
    </row>
    <row r="43">
      <c r="B43" s="17" t="n"/>
      <c r="C43" s="115" t="n"/>
      <c r="D43" s="126">
        <f>IF(DADOS!$CZ$6=1,DADOS!$CZ$9&amp;IF(DADOS!$CZ$25=0," · para outra arma, guarde ela nos Equipáveis guardados"," · sem propriedade · o dado sobe com a maestria"),IF(DADOS!$CZ$7="","Não está nos equipáveis guardados",DADOS!$CZ$13&amp;IF(DADOS!$CZ$10&lt;&gt;""," · "&amp;DADOS!$CZ$10,"")&amp;IF(DADOS!$CZ$12=1," · nas duas mãos",IF(DADOS!$CZ$8=2," · duas mãos",""))&amp;IF(DADOS!$CZ$14&lt;&gt;""," · "&amp;DADOS!$CZ$14,"")&amp;IF(DADOS!$CZ$15&lt;&gt;""," · recarga a cada "&amp;DADOS!$CZ$15,"")))</f>
        <v/>
      </c>
      <c r="E43" s="11" t="n"/>
      <c r="F43" s="11" t="n"/>
      <c r="G43" s="11" t="n"/>
      <c r="H43" s="11" t="n"/>
      <c r="I43" s="11" t="n"/>
      <c r="J43" s="11" t="n"/>
      <c r="K43" s="11" t="n"/>
      <c r="L43" s="11" t="n"/>
      <c r="M43" s="11" t="n"/>
      <c r="N43" s="11" t="n"/>
      <c r="O43" s="11" t="n"/>
      <c r="P43" s="11" t="n"/>
      <c r="Q43" s="12" t="n"/>
      <c r="R43" s="115" t="n"/>
      <c r="S43" s="126">
        <f>IF(DADOS!$CZ$8=2,"Ocupada: a arma da outra mão é de duas mãos",IF($S$41="Nas duas mãos",IF(DADOS!$CZ$12=1,"A mesma arma, nas duas mãos","A arma da outra mão não é Versátil"),IF(DADOS!$CZ$17=0,IF(DADOS!$CZ$26=0,"Mão livre · arma de uma mão ou escudo guardado aparece aqui","Mão livre"),IF(DADOS!$CZ$18="","Não está nos equipáveis guardados",IF(DADOS!$CZ$19=1,"Escudo · "&amp;DADOS!$CZ$21,DADOS!$CZ$20&amp;IF(DADOS!$CZ$21&lt;&gt;""," · "&amp;DADOS!$CZ$21,"")&amp;IF(DADOS!$CZ$23&lt;&gt;""," · "&amp;DADOS!$CZ$23,"")&amp;IF(DADOS!$CZ$24&lt;&gt;""," · recarga a cada "&amp;DADOS!$CZ$24,""))))))</f>
        <v/>
      </c>
      <c r="T43" s="11" t="n"/>
      <c r="U43" s="11" t="n"/>
      <c r="V43" s="11" t="n"/>
      <c r="W43" s="11" t="n"/>
      <c r="X43" s="11" t="n"/>
      <c r="Y43" s="11" t="n"/>
      <c r="Z43" s="11" t="n"/>
      <c r="AA43" s="11" t="n"/>
      <c r="AB43" s="11" t="n"/>
      <c r="AC43" s="11" t="n"/>
      <c r="AD43" s="11" t="n"/>
      <c r="AE43" s="11" t="n"/>
      <c r="AF43" s="12" t="n"/>
      <c r="AG43" s="115" t="n"/>
      <c r="AH43" s="126">
        <f>IF(DADOS!$CZ$27=0,"Sem uniforme: vale a proteção do cobrir-se","Proteção "&amp;DADOS!$CZ$28&amp;" · "&amp;IF(DADOS!$CZ$29&amp;""="—","sem teto de Destreza","teto de Destreza "&amp;DADOS!$CZ$29))</f>
        <v/>
      </c>
      <c r="AI43" s="11" t="n"/>
      <c r="AJ43" s="11" t="n"/>
      <c r="AK43" s="11" t="n"/>
      <c r="AL43" s="11" t="n"/>
      <c r="AM43" s="11" t="n"/>
      <c r="AN43" s="11" t="n"/>
      <c r="AO43" s="11" t="n"/>
      <c r="AP43" s="11" t="n"/>
      <c r="AQ43" s="11" t="n"/>
      <c r="AR43" s="11" t="n"/>
      <c r="AS43" s="11" t="n"/>
      <c r="AT43" s="12" t="n"/>
      <c r="AU43" s="115" t="n"/>
      <c r="AV43" s="115" t="n"/>
      <c r="AW43" s="127" t="n"/>
      <c r="AX43" s="127" t="n"/>
      <c r="AY43" s="121" t="n"/>
      <c r="AZ43" s="121" t="n"/>
      <c r="BA43" s="121">
        <f>IF($AX43="","",IFERROR(FLOOR(ROUND(VLOOKUP($AX43,DADOS!$CL$5:$CM$10,2,FALSE)*IF($AY43="",1,VLOOKUP($AY43,DADOS!$CO$5:$CP$7,2,FALSE))*IF($AZ43="",1,VLOOKUP($AZ43,DADOS!$CR$5:$CS$9,2,FALSE)),4),12.5),""))</f>
        <v/>
      </c>
      <c r="BB43" s="115" t="n"/>
      <c r="BC43" s="127" t="n"/>
      <c r="BD43" s="127" t="n"/>
      <c r="BE43" s="121" t="n"/>
      <c r="BF43" s="121" t="n"/>
      <c r="BG43" s="121">
        <f>IF($BD43="","",IFERROR(FLOOR(ROUND(VLOOKUP($BD43,DADOS!$CL$5:$CM$10,2,FALSE)*IF($BE43="",1,VLOOKUP($BE43,DADOS!$CO$5:$CP$7,2,FALSE))*IF($BF43="",1,VLOOKUP($BF43,DADOS!$CR$5:$CS$9,2,FALSE)),4),12.5),""))</f>
        <v/>
      </c>
      <c r="BH43" s="115" t="n"/>
      <c r="BI43" s="127" t="n"/>
      <c r="BJ43" s="127" t="n"/>
      <c r="BK43" s="121" t="n"/>
      <c r="BL43" s="121" t="n"/>
      <c r="BM43" s="121">
        <f>IF($BJ43="","",IFERROR(FLOOR(ROUND(VLOOKUP($BJ43,DADOS!$CL$5:$CM$10,2,FALSE)*IF($BK43="",1,VLOOKUP($BK43,DADOS!$CO$5:$CP$7,2,FALSE))*IF($BL43="",1,VLOOKUP($BL43,DADOS!$CR$5:$CS$9,2,FALSE)),4),12.5),""))</f>
        <v/>
      </c>
      <c r="BN43" s="115" t="n"/>
      <c r="BO43" s="127" t="n"/>
      <c r="BP43" s="127" t="n"/>
      <c r="BQ43" s="121" t="n"/>
      <c r="BR43" s="121" t="n"/>
      <c r="BS43" s="121">
        <f>IF($BP43="","",IFERROR(FLOOR(ROUND(VLOOKUP($BP43,DADOS!$CL$5:$CM$10,2,FALSE)*IF($BQ43="",1,VLOOKUP($BQ43,DADOS!$CO$5:$CP$7,2,FALSE))*IF($BR43="",1,VLOOKUP($BR43,DADOS!$CR$5:$CS$9,2,FALSE)),4),12.5),""))</f>
        <v/>
      </c>
      <c r="BT43" s="115" t="n"/>
    </row>
    <row r="44">
      <c r="B44" s="17" t="n"/>
      <c r="C44" s="115" t="n"/>
      <c r="D44" s="70">
        <f>IF(DADOS!$CZ$16=1,"Treinada","Sem treino: desvantagem")</f>
        <v/>
      </c>
      <c r="E44" s="11" t="n"/>
      <c r="F44" s="11" t="n"/>
      <c r="G44" s="11" t="n"/>
      <c r="H44" s="11" t="n"/>
      <c r="I44" s="11" t="n"/>
      <c r="J44" s="12" t="n"/>
      <c r="K44" s="70">
        <f>IF(DADOS!$CZ$11=0,"Sem requisito de Força",IF(DADOS!$CZ$36=1,"Falta Força: "&amp;DADOS!$CZ$5&amp;" de "&amp;DADOS!$CZ$11,"Força "&amp;DADOS!$CZ$5&amp;" de "&amp;DADOS!$CZ$11))</f>
        <v/>
      </c>
      <c r="L44" s="11" t="n"/>
      <c r="M44" s="11" t="n"/>
      <c r="N44" s="11" t="n"/>
      <c r="O44" s="11" t="n"/>
      <c r="P44" s="11" t="n"/>
      <c r="Q44" s="12" t="n"/>
      <c r="R44" s="115" t="n"/>
      <c r="S44" s="70">
        <f>IF(DADOS!$CZ$17=0,"—",IF(DADOS!$CZ$22=0,"Sem requisito de Força",IF(DADOS!$CZ$37=1,"Falta Força: "&amp;DADOS!$CZ$5&amp;" de "&amp;DADOS!$CZ$22,"Força "&amp;DADOS!$CZ$5&amp;" de "&amp;DADOS!$CZ$22)))</f>
        <v/>
      </c>
      <c r="T44" s="11" t="n"/>
      <c r="U44" s="11" t="n"/>
      <c r="V44" s="11" t="n"/>
      <c r="W44" s="11" t="n"/>
      <c r="X44" s="11" t="n"/>
      <c r="Y44" s="12" t="n"/>
      <c r="Z44" s="70">
        <f>IF(DADOS!$CZ$19=1,"Trava Selo de gesto","Sem escudo")</f>
        <v/>
      </c>
      <c r="AA44" s="11" t="n"/>
      <c r="AB44" s="11" t="n"/>
      <c r="AC44" s="11" t="n"/>
      <c r="AD44" s="11" t="n"/>
      <c r="AE44" s="11" t="n"/>
      <c r="AF44" s="12" t="n"/>
      <c r="AG44" s="115" t="n"/>
      <c r="AH44" s="70">
        <f>IF(DADOS!$CZ$27=0,"—",IF(DADOS!$CZ$35=1,"Liberado no "&amp;$AB$11,"Pede "&amp;DADOS!$CZ$33))</f>
        <v/>
      </c>
      <c r="AI44" s="11" t="n"/>
      <c r="AJ44" s="11" t="n"/>
      <c r="AK44" s="11" t="n"/>
      <c r="AL44" s="11" t="n"/>
      <c r="AM44" s="11" t="n"/>
      <c r="AN44" s="12" t="n"/>
      <c r="AO44" s="70">
        <f>IF(DADOS!$CZ$27=0,"—",IF(DADOS!$CZ$30=0,"Sem requisito de Força",IF(DADOS!$CZ$38=1,"Falta Força: "&amp;DADOS!$CZ$5&amp;" de "&amp;DADOS!$CZ$30,"Força "&amp;DADOS!$CZ$5&amp;" de "&amp;DADOS!$CZ$30)))</f>
        <v/>
      </c>
      <c r="AP44" s="11" t="n"/>
      <c r="AQ44" s="11" t="n"/>
      <c r="AR44" s="11" t="n"/>
      <c r="AS44" s="11" t="n"/>
      <c r="AT44" s="12" t="n"/>
      <c r="AU44" s="115" t="n"/>
      <c r="AV44" s="115" t="n"/>
      <c r="AW44" s="127" t="n"/>
      <c r="AX44" s="127" t="n"/>
      <c r="AY44" s="121" t="n"/>
      <c r="AZ44" s="121" t="n"/>
      <c r="BA44" s="121">
        <f>IF($AX44="","",IFERROR(FLOOR(ROUND(VLOOKUP($AX44,DADOS!$CL$5:$CM$10,2,FALSE)*IF($AY44="",1,VLOOKUP($AY44,DADOS!$CO$5:$CP$7,2,FALSE))*IF($AZ44="",1,VLOOKUP($AZ44,DADOS!$CR$5:$CS$9,2,FALSE)),4),12.5),""))</f>
        <v/>
      </c>
      <c r="BB44" s="115" t="n"/>
      <c r="BC44" s="127" t="n"/>
      <c r="BD44" s="127" t="n"/>
      <c r="BE44" s="121" t="n"/>
      <c r="BF44" s="121" t="n"/>
      <c r="BG44" s="121">
        <f>IF($BD44="","",IFERROR(FLOOR(ROUND(VLOOKUP($BD44,DADOS!$CL$5:$CM$10,2,FALSE)*IF($BE44="",1,VLOOKUP($BE44,DADOS!$CO$5:$CP$7,2,FALSE))*IF($BF44="",1,VLOOKUP($BF44,DADOS!$CR$5:$CS$9,2,FALSE)),4),12.5),""))</f>
        <v/>
      </c>
      <c r="BH44" s="115" t="n"/>
      <c r="BI44" s="127" t="n"/>
      <c r="BJ44" s="127" t="n"/>
      <c r="BK44" s="121" t="n"/>
      <c r="BL44" s="121" t="n"/>
      <c r="BM44" s="121">
        <f>IF($BJ44="","",IFERROR(FLOOR(ROUND(VLOOKUP($BJ44,DADOS!$CL$5:$CM$10,2,FALSE)*IF($BK44="",1,VLOOKUP($BK44,DADOS!$CO$5:$CP$7,2,FALSE))*IF($BL44="",1,VLOOKUP($BL44,DADOS!$CR$5:$CS$9,2,FALSE)),4),12.5),""))</f>
        <v/>
      </c>
      <c r="BN44" s="115" t="n"/>
      <c r="BO44" s="127" t="n"/>
      <c r="BP44" s="127" t="n"/>
      <c r="BQ44" s="121" t="n"/>
      <c r="BR44" s="121" t="n"/>
      <c r="BS44" s="121">
        <f>IF($BP44="","",IFERROR(FLOOR(ROUND(VLOOKUP($BP44,DADOS!$CL$5:$CM$10,2,FALSE)*IF($BQ44="",1,VLOOKUP($BQ44,DADOS!$CO$5:$CP$7,2,FALSE))*IF($BR44="",1,VLOOKUP($BR44,DADOS!$CR$5:$CS$9,2,FALSE)),4),12.5),""))</f>
        <v/>
      </c>
      <c r="BT44" s="115" t="n"/>
    </row>
    <row r="45">
      <c r="B45" s="17" t="n"/>
      <c r="C45" s="115" t="n"/>
      <c r="D45" s="115" t="n"/>
      <c r="E45" s="115" t="n"/>
      <c r="F45" s="115" t="n"/>
      <c r="G45" s="115" t="n"/>
      <c r="H45" s="115" t="n"/>
      <c r="I45" s="115" t="n"/>
      <c r="J45" s="115" t="n"/>
      <c r="K45" s="115" t="n"/>
      <c r="L45" s="115" t="n"/>
      <c r="M45" s="115" t="n"/>
      <c r="N45" s="115" t="n"/>
      <c r="O45" s="115" t="n"/>
      <c r="P45" s="115" t="n"/>
      <c r="Q45" s="115" t="n"/>
      <c r="R45" s="115" t="n"/>
      <c r="S45" s="115" t="n"/>
      <c r="T45" s="115" t="n"/>
      <c r="U45" s="115" t="n"/>
      <c r="V45" s="115" t="n"/>
      <c r="W45" s="115" t="n"/>
      <c r="X45" s="115" t="n"/>
      <c r="Y45" s="115" t="n"/>
      <c r="Z45" s="115" t="n"/>
      <c r="AA45" s="115" t="n"/>
      <c r="AB45" s="115" t="n"/>
      <c r="AC45" s="115" t="n"/>
      <c r="AD45" s="115" t="n"/>
      <c r="AE45" s="115" t="n"/>
      <c r="AF45" s="115" t="n"/>
      <c r="AG45" s="115" t="n"/>
      <c r="AH45" s="115" t="n"/>
      <c r="AI45" s="115" t="n"/>
      <c r="AJ45" s="115" t="n"/>
      <c r="AK45" s="115" t="n"/>
      <c r="AL45" s="115" t="n"/>
      <c r="AM45" s="115" t="n"/>
      <c r="AN45" s="115" t="n"/>
      <c r="AO45" s="115" t="n"/>
      <c r="AP45" s="115" t="n"/>
      <c r="AQ45" s="115" t="n"/>
      <c r="AR45" s="115" t="n"/>
      <c r="AS45" s="115" t="n"/>
      <c r="AT45" s="115" t="n"/>
      <c r="AU45" s="115" t="n"/>
      <c r="AV45" s="115" t="n"/>
      <c r="AW45" s="127" t="n"/>
      <c r="AX45" s="127" t="n"/>
      <c r="AY45" s="121" t="n"/>
      <c r="AZ45" s="121" t="n"/>
      <c r="BA45" s="121">
        <f>IF($AX45="","",IFERROR(FLOOR(ROUND(VLOOKUP($AX45,DADOS!$CL$5:$CM$10,2,FALSE)*IF($AY45="",1,VLOOKUP($AY45,DADOS!$CO$5:$CP$7,2,FALSE))*IF($AZ45="",1,VLOOKUP($AZ45,DADOS!$CR$5:$CS$9,2,FALSE)),4),12.5),""))</f>
        <v/>
      </c>
      <c r="BB45" s="115" t="n"/>
      <c r="BC45" s="127" t="n"/>
      <c r="BD45" s="127" t="n"/>
      <c r="BE45" s="121" t="n"/>
      <c r="BF45" s="121" t="n"/>
      <c r="BG45" s="121">
        <f>IF($BD45="","",IFERROR(FLOOR(ROUND(VLOOKUP($BD45,DADOS!$CL$5:$CM$10,2,FALSE)*IF($BE45="",1,VLOOKUP($BE45,DADOS!$CO$5:$CP$7,2,FALSE))*IF($BF45="",1,VLOOKUP($BF45,DADOS!$CR$5:$CS$9,2,FALSE)),4),12.5),""))</f>
        <v/>
      </c>
      <c r="BH45" s="115" t="n"/>
      <c r="BI45" s="127" t="n"/>
      <c r="BJ45" s="127" t="n"/>
      <c r="BK45" s="121" t="n"/>
      <c r="BL45" s="121" t="n"/>
      <c r="BM45" s="121">
        <f>IF($BJ45="","",IFERROR(FLOOR(ROUND(VLOOKUP($BJ45,DADOS!$CL$5:$CM$10,2,FALSE)*IF($BK45="",1,VLOOKUP($BK45,DADOS!$CO$5:$CP$7,2,FALSE))*IF($BL45="",1,VLOOKUP($BL45,DADOS!$CR$5:$CS$9,2,FALSE)),4),12.5),""))</f>
        <v/>
      </c>
      <c r="BN45" s="115" t="n"/>
      <c r="BO45" s="127" t="n"/>
      <c r="BP45" s="127" t="n"/>
      <c r="BQ45" s="121" t="n"/>
      <c r="BR45" s="121" t="n"/>
      <c r="BS45" s="121">
        <f>IF($BP45="","",IFERROR(FLOOR(ROUND(VLOOKUP($BP45,DADOS!$CL$5:$CM$10,2,FALSE)*IF($BQ45="",1,VLOOKUP($BQ45,DADOS!$CO$5:$CP$7,2,FALSE))*IF($BR45="",1,VLOOKUP($BR45,DADOS!$CR$5:$CS$9,2,FALSE)),4),12.5),""))</f>
        <v/>
      </c>
      <c r="BT45" s="115" t="n"/>
    </row>
    <row r="46">
      <c r="B46" s="17" t="n"/>
      <c r="C46" s="115" t="n"/>
      <c r="D46" s="118" t="inlineStr">
        <is>
          <t>TREINO EM ARMAS</t>
        </is>
      </c>
      <c r="E46" s="14" t="n"/>
      <c r="F46" s="14" t="n"/>
      <c r="G46" s="14" t="n"/>
      <c r="H46" s="14" t="n"/>
      <c r="I46" s="14" t="n"/>
      <c r="J46" s="14" t="n"/>
      <c r="K46" s="14" t="n"/>
      <c r="L46" s="14" t="n"/>
      <c r="M46" s="14" t="n"/>
      <c r="N46" s="14" t="n"/>
      <c r="O46" s="14" t="n"/>
      <c r="P46" s="14" t="n"/>
      <c r="Q46" s="14" t="n"/>
      <c r="R46" s="14" t="n"/>
      <c r="S46" s="14" t="n"/>
      <c r="T46" s="14" t="n"/>
      <c r="U46" s="14" t="n"/>
      <c r="V46" s="14" t="n"/>
      <c r="W46" s="14" t="n"/>
      <c r="X46" s="14" t="n"/>
      <c r="Y46" s="14" t="n"/>
      <c r="Z46" s="14" t="n"/>
      <c r="AA46" s="14" t="n"/>
      <c r="AB46" s="14" t="n"/>
      <c r="AC46" s="14" t="n"/>
      <c r="AD46" s="14" t="n"/>
      <c r="AE46" s="14" t="n"/>
      <c r="AF46" s="14" t="n"/>
      <c r="AG46" s="14" t="n"/>
      <c r="AH46" s="14" t="n"/>
      <c r="AI46" s="14" t="n"/>
      <c r="AJ46" s="14" t="n"/>
      <c r="AK46" s="14" t="n"/>
      <c r="AL46" s="14" t="n"/>
      <c r="AM46" s="14" t="n"/>
      <c r="AN46" s="14" t="n"/>
      <c r="AO46" s="14" t="n"/>
      <c r="AP46" s="14" t="n"/>
      <c r="AQ46" s="14" t="n"/>
      <c r="AR46" s="14" t="n"/>
      <c r="AS46" s="14" t="n"/>
      <c r="AT46" s="15" t="n"/>
      <c r="AU46" s="115" t="n"/>
      <c r="AV46" s="115" t="n"/>
      <c r="AW46" s="127" t="n"/>
      <c r="AX46" s="127" t="n"/>
      <c r="AY46" s="121" t="n"/>
      <c r="AZ46" s="121" t="n"/>
      <c r="BA46" s="121">
        <f>IF($AX46="","",IFERROR(FLOOR(ROUND(VLOOKUP($AX46,DADOS!$CL$5:$CM$10,2,FALSE)*IF($AY46="",1,VLOOKUP($AY46,DADOS!$CO$5:$CP$7,2,FALSE))*IF($AZ46="",1,VLOOKUP($AZ46,DADOS!$CR$5:$CS$9,2,FALSE)),4),12.5),""))</f>
        <v/>
      </c>
      <c r="BB46" s="115" t="n"/>
      <c r="BC46" s="127" t="n"/>
      <c r="BD46" s="127" t="n"/>
      <c r="BE46" s="121" t="n"/>
      <c r="BF46" s="121" t="n"/>
      <c r="BG46" s="121">
        <f>IF($BD46="","",IFERROR(FLOOR(ROUND(VLOOKUP($BD46,DADOS!$CL$5:$CM$10,2,FALSE)*IF($BE46="",1,VLOOKUP($BE46,DADOS!$CO$5:$CP$7,2,FALSE))*IF($BF46="",1,VLOOKUP($BF46,DADOS!$CR$5:$CS$9,2,FALSE)),4),12.5),""))</f>
        <v/>
      </c>
      <c r="BH46" s="115" t="n"/>
      <c r="BI46" s="127" t="n"/>
      <c r="BJ46" s="127" t="n"/>
      <c r="BK46" s="121" t="n"/>
      <c r="BL46" s="121" t="n"/>
      <c r="BM46" s="121">
        <f>IF($BJ46="","",IFERROR(FLOOR(ROUND(VLOOKUP($BJ46,DADOS!$CL$5:$CM$10,2,FALSE)*IF($BK46="",1,VLOOKUP($BK46,DADOS!$CO$5:$CP$7,2,FALSE))*IF($BL46="",1,VLOOKUP($BL46,DADOS!$CR$5:$CS$9,2,FALSE)),4),12.5),""))</f>
        <v/>
      </c>
      <c r="BN46" s="115" t="n"/>
      <c r="BO46" s="127" t="n"/>
      <c r="BP46" s="127" t="n"/>
      <c r="BQ46" s="121" t="n"/>
      <c r="BR46" s="121" t="n"/>
      <c r="BS46" s="121">
        <f>IF($BP46="","",IFERROR(FLOOR(ROUND(VLOOKUP($BP46,DADOS!$CL$5:$CM$10,2,FALSE)*IF($BQ46="",1,VLOOKUP($BQ46,DADOS!$CO$5:$CP$7,2,FALSE))*IF($BR46="",1,VLOOKUP($BR46,DADOS!$CR$5:$CS$9,2,FALSE)),4),12.5),""))</f>
        <v/>
      </c>
      <c r="BT46" s="115" t="n"/>
    </row>
    <row r="47">
      <c r="B47" s="17" t="n"/>
      <c r="C47" s="115" t="n"/>
      <c r="D47" s="18" t="n"/>
      <c r="E47" s="19" t="n"/>
      <c r="F47" s="19" t="n"/>
      <c r="G47" s="19" t="n"/>
      <c r="H47" s="19" t="n"/>
      <c r="I47" s="19" t="n"/>
      <c r="J47" s="19" t="n"/>
      <c r="K47" s="19" t="n"/>
      <c r="L47" s="19" t="n"/>
      <c r="M47" s="19" t="n"/>
      <c r="N47" s="19" t="n"/>
      <c r="O47" s="19" t="n"/>
      <c r="P47" s="19" t="n"/>
      <c r="Q47" s="19" t="n"/>
      <c r="R47" s="19" t="n"/>
      <c r="S47" s="19" t="n"/>
      <c r="T47" s="19" t="n"/>
      <c r="U47" s="19" t="n"/>
      <c r="V47" s="19" t="n"/>
      <c r="W47" s="19" t="n"/>
      <c r="X47" s="19" t="n"/>
      <c r="Y47" s="19" t="n"/>
      <c r="Z47" s="19" t="n"/>
      <c r="AA47" s="19" t="n"/>
      <c r="AB47" s="19" t="n"/>
      <c r="AC47" s="19" t="n"/>
      <c r="AD47" s="19" t="n"/>
      <c r="AE47" s="19" t="n"/>
      <c r="AF47" s="19" t="n"/>
      <c r="AG47" s="19" t="n"/>
      <c r="AH47" s="19" t="n"/>
      <c r="AI47" s="19" t="n"/>
      <c r="AJ47" s="19" t="n"/>
      <c r="AK47" s="19" t="n"/>
      <c r="AL47" s="19" t="n"/>
      <c r="AM47" s="19" t="n"/>
      <c r="AN47" s="19" t="n"/>
      <c r="AO47" s="19" t="n"/>
      <c r="AP47" s="19" t="n"/>
      <c r="AQ47" s="19" t="n"/>
      <c r="AR47" s="19" t="n"/>
      <c r="AS47" s="19" t="n"/>
      <c r="AT47" s="20" t="n"/>
      <c r="AU47" s="115" t="n"/>
      <c r="AV47" s="115" t="n"/>
      <c r="AW47" s="127" t="n"/>
      <c r="AX47" s="127" t="n"/>
      <c r="AY47" s="121" t="n"/>
      <c r="AZ47" s="121" t="n"/>
      <c r="BA47" s="121">
        <f>IF($AX47="","",IFERROR(FLOOR(ROUND(VLOOKUP($AX47,DADOS!$CL$5:$CM$10,2,FALSE)*IF($AY47="",1,VLOOKUP($AY47,DADOS!$CO$5:$CP$7,2,FALSE))*IF($AZ47="",1,VLOOKUP($AZ47,DADOS!$CR$5:$CS$9,2,FALSE)),4),12.5),""))</f>
        <v/>
      </c>
      <c r="BB47" s="115" t="n"/>
      <c r="BC47" s="127" t="n"/>
      <c r="BD47" s="127" t="n"/>
      <c r="BE47" s="121" t="n"/>
      <c r="BF47" s="121" t="n"/>
      <c r="BG47" s="121">
        <f>IF($BD47="","",IFERROR(FLOOR(ROUND(VLOOKUP($BD47,DADOS!$CL$5:$CM$10,2,FALSE)*IF($BE47="",1,VLOOKUP($BE47,DADOS!$CO$5:$CP$7,2,FALSE))*IF($BF47="",1,VLOOKUP($BF47,DADOS!$CR$5:$CS$9,2,FALSE)),4),12.5),""))</f>
        <v/>
      </c>
      <c r="BH47" s="115" t="n"/>
      <c r="BI47" s="127" t="n"/>
      <c r="BJ47" s="127" t="n"/>
      <c r="BK47" s="121" t="n"/>
      <c r="BL47" s="121" t="n"/>
      <c r="BM47" s="121">
        <f>IF($BJ47="","",IFERROR(FLOOR(ROUND(VLOOKUP($BJ47,DADOS!$CL$5:$CM$10,2,FALSE)*IF($BK47="",1,VLOOKUP($BK47,DADOS!$CO$5:$CP$7,2,FALSE))*IF($BL47="",1,VLOOKUP($BL47,DADOS!$CR$5:$CS$9,2,FALSE)),4),12.5),""))</f>
        <v/>
      </c>
      <c r="BN47" s="115" t="n"/>
      <c r="BO47" s="127" t="n"/>
      <c r="BP47" s="127" t="n"/>
      <c r="BQ47" s="121" t="n"/>
      <c r="BR47" s="121" t="n"/>
      <c r="BS47" s="121">
        <f>IF($BP47="","",IFERROR(FLOOR(ROUND(VLOOKUP($BP47,DADOS!$CL$5:$CM$10,2,FALSE)*IF($BQ47="",1,VLOOKUP($BQ47,DADOS!$CO$5:$CP$7,2,FALSE))*IF($BR47="",1,VLOOKUP($BR47,DADOS!$CR$5:$CS$9,2,FALSE)),4),12.5),""))</f>
        <v/>
      </c>
      <c r="BT47" s="115" t="n"/>
    </row>
    <row r="48" outlineLevel="1">
      <c r="B48" s="17" t="n"/>
      <c r="C48" s="115" t="n"/>
      <c r="D48" s="52" t="b">
        <v>0</v>
      </c>
      <c r="E48" s="52" t="inlineStr">
        <is>
          <t>LÂMINA LONGA</t>
        </is>
      </c>
      <c r="F48" s="11" t="n"/>
      <c r="G48" s="11" t="n"/>
      <c r="H48" s="11" t="n"/>
      <c r="I48" s="11" t="n"/>
      <c r="J48" s="11" t="n"/>
      <c r="K48" s="11" t="n"/>
      <c r="L48" s="12" t="n"/>
      <c r="M48" s="52" t="b">
        <v>0</v>
      </c>
      <c r="N48" s="52" t="inlineStr">
        <is>
          <t>ARMA DE FOGO</t>
        </is>
      </c>
      <c r="O48" s="11" t="n"/>
      <c r="P48" s="11" t="n"/>
      <c r="Q48" s="11" t="n"/>
      <c r="R48" s="11" t="n"/>
      <c r="S48" s="11" t="n"/>
      <c r="T48" s="11" t="n"/>
      <c r="U48" s="12" t="n"/>
      <c r="V48" s="52" t="b">
        <v>0</v>
      </c>
      <c r="W48" s="52" t="inlineStr">
        <is>
          <t>PORRETE</t>
        </is>
      </c>
      <c r="X48" s="11" t="n"/>
      <c r="Y48" s="11" t="n"/>
      <c r="Z48" s="11" t="n"/>
      <c r="AA48" s="11" t="n"/>
      <c r="AB48" s="11" t="n"/>
      <c r="AC48" s="11" t="n"/>
      <c r="AD48" s="12" t="n"/>
      <c r="AE48" s="52" t="b">
        <v>0</v>
      </c>
      <c r="AF48" s="52" t="inlineStr">
        <is>
          <t>LÂMINA CURTA</t>
        </is>
      </c>
      <c r="AG48" s="11" t="n"/>
      <c r="AH48" s="11" t="n"/>
      <c r="AI48" s="11" t="n"/>
      <c r="AJ48" s="11" t="n"/>
      <c r="AK48" s="11" t="n"/>
      <c r="AL48" s="12" t="n"/>
      <c r="AM48" s="52" t="b">
        <v>0</v>
      </c>
      <c r="AN48" s="52" t="inlineStr">
        <is>
          <t>MASSA</t>
        </is>
      </c>
      <c r="AO48" s="11" t="n"/>
      <c r="AP48" s="11" t="n"/>
      <c r="AQ48" s="11" t="n"/>
      <c r="AR48" s="11" t="n"/>
      <c r="AS48" s="11" t="n"/>
      <c r="AT48" s="12" t="n"/>
      <c r="AU48" s="115" t="n"/>
      <c r="AV48" s="115" t="n"/>
      <c r="AW48" s="127" t="n"/>
      <c r="AX48" s="127" t="n"/>
      <c r="AY48" s="121" t="n"/>
      <c r="AZ48" s="121" t="n"/>
      <c r="BA48" s="121">
        <f>IF($AX48="","",IFERROR(FLOOR(ROUND(VLOOKUP($AX48,DADOS!$CL$5:$CM$10,2,FALSE)*IF($AY48="",1,VLOOKUP($AY48,DADOS!$CO$5:$CP$7,2,FALSE))*IF($AZ48="",1,VLOOKUP($AZ48,DADOS!$CR$5:$CS$9,2,FALSE)),4),12.5),""))</f>
        <v/>
      </c>
      <c r="BB48" s="115" t="n"/>
      <c r="BC48" s="127" t="n"/>
      <c r="BD48" s="127" t="n"/>
      <c r="BE48" s="121" t="n"/>
      <c r="BF48" s="121" t="n"/>
      <c r="BG48" s="121">
        <f>IF($BD48="","",IFERROR(FLOOR(ROUND(VLOOKUP($BD48,DADOS!$CL$5:$CM$10,2,FALSE)*IF($BE48="",1,VLOOKUP($BE48,DADOS!$CO$5:$CP$7,2,FALSE))*IF($BF48="",1,VLOOKUP($BF48,DADOS!$CR$5:$CS$9,2,FALSE)),4),12.5),""))</f>
        <v/>
      </c>
      <c r="BH48" s="115" t="n"/>
      <c r="BI48" s="127" t="n"/>
      <c r="BJ48" s="127" t="n"/>
      <c r="BK48" s="121" t="n"/>
      <c r="BL48" s="121" t="n"/>
      <c r="BM48" s="121">
        <f>IF($BJ48="","",IFERROR(FLOOR(ROUND(VLOOKUP($BJ48,DADOS!$CL$5:$CM$10,2,FALSE)*IF($BK48="",1,VLOOKUP($BK48,DADOS!$CO$5:$CP$7,2,FALSE))*IF($BL48="",1,VLOOKUP($BL48,DADOS!$CR$5:$CS$9,2,FALSE)),4),12.5),""))</f>
        <v/>
      </c>
      <c r="BN48" s="115" t="n"/>
      <c r="BO48" s="127" t="n"/>
      <c r="BP48" s="127" t="n"/>
      <c r="BQ48" s="121" t="n"/>
      <c r="BR48" s="121" t="n"/>
      <c r="BS48" s="121">
        <f>IF($BP48="","",IFERROR(FLOOR(ROUND(VLOOKUP($BP48,DADOS!$CL$5:$CM$10,2,FALSE)*IF($BQ48="",1,VLOOKUP($BQ48,DADOS!$CO$5:$CP$7,2,FALSE))*IF($BR48="",1,VLOOKUP($BR48,DADOS!$CR$5:$CS$9,2,FALSE)),4),12.5),""))</f>
        <v/>
      </c>
      <c r="BT48" s="115" t="n"/>
    </row>
    <row r="49" outlineLevel="1">
      <c r="B49" s="17" t="n"/>
      <c r="C49" s="115" t="n"/>
      <c r="D49" s="121" t="b">
        <v>0</v>
      </c>
      <c r="E49" s="127" t="inlineStr">
        <is>
          <t>Espada Longa</t>
        </is>
      </c>
      <c r="F49" s="11" t="n"/>
      <c r="G49" s="11" t="n"/>
      <c r="H49" s="11" t="n"/>
      <c r="I49" s="11" t="n"/>
      <c r="J49" s="11" t="n"/>
      <c r="K49" s="11" t="n"/>
      <c r="L49" s="12" t="n"/>
      <c r="M49" s="121" t="b">
        <v>0</v>
      </c>
      <c r="N49" s="127" t="inlineStr">
        <is>
          <t>Espingarda</t>
        </is>
      </c>
      <c r="O49" s="11" t="n"/>
      <c r="P49" s="11" t="n"/>
      <c r="Q49" s="11" t="n"/>
      <c r="R49" s="11" t="n"/>
      <c r="S49" s="11" t="n"/>
      <c r="T49" s="11" t="n"/>
      <c r="U49" s="12" t="n"/>
      <c r="V49" s="121" t="b">
        <v>0</v>
      </c>
      <c r="W49" s="127" t="inlineStr">
        <is>
          <t>Bastão</t>
        </is>
      </c>
      <c r="X49" s="11" t="n"/>
      <c r="Y49" s="11" t="n"/>
      <c r="Z49" s="11" t="n"/>
      <c r="AA49" s="11" t="n"/>
      <c r="AB49" s="11" t="n"/>
      <c r="AC49" s="11" t="n"/>
      <c r="AD49" s="12" t="n"/>
      <c r="AE49" s="121" t="b">
        <v>0</v>
      </c>
      <c r="AF49" s="127" t="inlineStr">
        <is>
          <t>Canivete</t>
        </is>
      </c>
      <c r="AG49" s="11" t="n"/>
      <c r="AH49" s="11" t="n"/>
      <c r="AI49" s="11" t="n"/>
      <c r="AJ49" s="11" t="n"/>
      <c r="AK49" s="11" t="n"/>
      <c r="AL49" s="12" t="n"/>
      <c r="AM49" s="121" t="b">
        <v>0</v>
      </c>
      <c r="AN49" s="127" t="inlineStr">
        <is>
          <t>Kanabō</t>
        </is>
      </c>
      <c r="AO49" s="11" t="n"/>
      <c r="AP49" s="11" t="n"/>
      <c r="AQ49" s="11" t="n"/>
      <c r="AR49" s="11" t="n"/>
      <c r="AS49" s="11" t="n"/>
      <c r="AT49" s="12" t="n"/>
      <c r="AU49" s="115" t="n"/>
      <c r="AV49" s="115" t="n"/>
      <c r="AW49" s="127" t="n"/>
      <c r="AX49" s="127" t="n"/>
      <c r="AY49" s="121" t="n"/>
      <c r="AZ49" s="121" t="n"/>
      <c r="BA49" s="121">
        <f>IF($AX49="","",IFERROR(FLOOR(ROUND(VLOOKUP($AX49,DADOS!$CL$5:$CM$10,2,FALSE)*IF($AY49="",1,VLOOKUP($AY49,DADOS!$CO$5:$CP$7,2,FALSE))*IF($AZ49="",1,VLOOKUP($AZ49,DADOS!$CR$5:$CS$9,2,FALSE)),4),12.5),""))</f>
        <v/>
      </c>
      <c r="BB49" s="115" t="n"/>
      <c r="BC49" s="127" t="n"/>
      <c r="BD49" s="127" t="n"/>
      <c r="BE49" s="121" t="n"/>
      <c r="BF49" s="121" t="n"/>
      <c r="BG49" s="121">
        <f>IF($BD49="","",IFERROR(FLOOR(ROUND(VLOOKUP($BD49,DADOS!$CL$5:$CM$10,2,FALSE)*IF($BE49="",1,VLOOKUP($BE49,DADOS!$CO$5:$CP$7,2,FALSE))*IF($BF49="",1,VLOOKUP($BF49,DADOS!$CR$5:$CS$9,2,FALSE)),4),12.5),""))</f>
        <v/>
      </c>
      <c r="BH49" s="115" t="n"/>
      <c r="BI49" s="127" t="n"/>
      <c r="BJ49" s="127" t="n"/>
      <c r="BK49" s="121" t="n"/>
      <c r="BL49" s="121" t="n"/>
      <c r="BM49" s="121">
        <f>IF($BJ49="","",IFERROR(FLOOR(ROUND(VLOOKUP($BJ49,DADOS!$CL$5:$CM$10,2,FALSE)*IF($BK49="",1,VLOOKUP($BK49,DADOS!$CO$5:$CP$7,2,FALSE))*IF($BL49="",1,VLOOKUP($BL49,DADOS!$CR$5:$CS$9,2,FALSE)),4),12.5),""))</f>
        <v/>
      </c>
      <c r="BN49" s="115" t="n"/>
      <c r="BO49" s="127" t="n"/>
      <c r="BP49" s="127" t="n"/>
      <c r="BQ49" s="121" t="n"/>
      <c r="BR49" s="121" t="n"/>
      <c r="BS49" s="121">
        <f>IF($BP49="","",IFERROR(FLOOR(ROUND(VLOOKUP($BP49,DADOS!$CL$5:$CM$10,2,FALSE)*IF($BQ49="",1,VLOOKUP($BQ49,DADOS!$CO$5:$CP$7,2,FALSE))*IF($BR49="",1,VLOOKUP($BR49,DADOS!$CR$5:$CS$9,2,FALSE)),4),12.5),""))</f>
        <v/>
      </c>
      <c r="BT49" s="115" t="n"/>
    </row>
    <row r="50" outlineLevel="1">
      <c r="B50" s="17" t="n"/>
      <c r="C50" s="115" t="n"/>
      <c r="D50" s="121" t="b">
        <v>0</v>
      </c>
      <c r="E50" s="127" t="inlineStr">
        <is>
          <t>Espadão</t>
        </is>
      </c>
      <c r="F50" s="11" t="n"/>
      <c r="G50" s="11" t="n"/>
      <c r="H50" s="11" t="n"/>
      <c r="I50" s="11" t="n"/>
      <c r="J50" s="11" t="n"/>
      <c r="K50" s="11" t="n"/>
      <c r="L50" s="12" t="n"/>
      <c r="M50" s="121" t="b">
        <v>0</v>
      </c>
      <c r="N50" s="127" t="inlineStr">
        <is>
          <t>Metralhadora Pesada</t>
        </is>
      </c>
      <c r="O50" s="11" t="n"/>
      <c r="P50" s="11" t="n"/>
      <c r="Q50" s="11" t="n"/>
      <c r="R50" s="11" t="n"/>
      <c r="S50" s="11" t="n"/>
      <c r="T50" s="11" t="n"/>
      <c r="U50" s="12" t="n"/>
      <c r="V50" s="121" t="b">
        <v>0</v>
      </c>
      <c r="W50" s="127" t="inlineStr">
        <is>
          <t>Bō</t>
        </is>
      </c>
      <c r="X50" s="11" t="n"/>
      <c r="Y50" s="11" t="n"/>
      <c r="Z50" s="11" t="n"/>
      <c r="AA50" s="11" t="n"/>
      <c r="AB50" s="11" t="n"/>
      <c r="AC50" s="11" t="n"/>
      <c r="AD50" s="12" t="n"/>
      <c r="AE50" s="121" t="b">
        <v>0</v>
      </c>
      <c r="AF50" s="127" t="inlineStr">
        <is>
          <t>Faca</t>
        </is>
      </c>
      <c r="AG50" s="11" t="n"/>
      <c r="AH50" s="11" t="n"/>
      <c r="AI50" s="11" t="n"/>
      <c r="AJ50" s="11" t="n"/>
      <c r="AK50" s="11" t="n"/>
      <c r="AL50" s="12" t="n"/>
      <c r="AM50" s="121" t="b">
        <v>0</v>
      </c>
      <c r="AN50" s="127" t="inlineStr">
        <is>
          <t>Maça</t>
        </is>
      </c>
      <c r="AO50" s="11" t="n"/>
      <c r="AP50" s="11" t="n"/>
      <c r="AQ50" s="11" t="n"/>
      <c r="AR50" s="11" t="n"/>
      <c r="AS50" s="11" t="n"/>
      <c r="AT50" s="12" t="n"/>
      <c r="AU50" s="115" t="n"/>
      <c r="AV50" s="115" t="n"/>
      <c r="AW50" s="127" t="n"/>
      <c r="AX50" s="127" t="n"/>
      <c r="AY50" s="121" t="n"/>
      <c r="AZ50" s="121" t="n"/>
      <c r="BA50" s="121">
        <f>IF($AX50="","",IFERROR(FLOOR(ROUND(VLOOKUP($AX50,DADOS!$CL$5:$CM$10,2,FALSE)*IF($AY50="",1,VLOOKUP($AY50,DADOS!$CO$5:$CP$7,2,FALSE))*IF($AZ50="",1,VLOOKUP($AZ50,DADOS!$CR$5:$CS$9,2,FALSE)),4),12.5),""))</f>
        <v/>
      </c>
      <c r="BB50" s="115" t="n"/>
      <c r="BC50" s="127" t="n"/>
      <c r="BD50" s="127" t="n"/>
      <c r="BE50" s="121" t="n"/>
      <c r="BF50" s="121" t="n"/>
      <c r="BG50" s="121">
        <f>IF($BD50="","",IFERROR(FLOOR(ROUND(VLOOKUP($BD50,DADOS!$CL$5:$CM$10,2,FALSE)*IF($BE50="",1,VLOOKUP($BE50,DADOS!$CO$5:$CP$7,2,FALSE))*IF($BF50="",1,VLOOKUP($BF50,DADOS!$CR$5:$CS$9,2,FALSE)),4),12.5),""))</f>
        <v/>
      </c>
      <c r="BH50" s="115" t="n"/>
      <c r="BI50" s="127" t="n"/>
      <c r="BJ50" s="127" t="n"/>
      <c r="BK50" s="121" t="n"/>
      <c r="BL50" s="121" t="n"/>
      <c r="BM50" s="121">
        <f>IF($BJ50="","",IFERROR(FLOOR(ROUND(VLOOKUP($BJ50,DADOS!$CL$5:$CM$10,2,FALSE)*IF($BK50="",1,VLOOKUP($BK50,DADOS!$CO$5:$CP$7,2,FALSE))*IF($BL50="",1,VLOOKUP($BL50,DADOS!$CR$5:$CS$9,2,FALSE)),4),12.5),""))</f>
        <v/>
      </c>
      <c r="BN50" s="115" t="n"/>
      <c r="BO50" s="127" t="n"/>
      <c r="BP50" s="127" t="n"/>
      <c r="BQ50" s="121" t="n"/>
      <c r="BR50" s="121" t="n"/>
      <c r="BS50" s="121">
        <f>IF($BP50="","",IFERROR(FLOOR(ROUND(VLOOKUP($BP50,DADOS!$CL$5:$CM$10,2,FALSE)*IF($BQ50="",1,VLOOKUP($BQ50,DADOS!$CO$5:$CP$7,2,FALSE))*IF($BR50="",1,VLOOKUP($BR50,DADOS!$CR$5:$CS$9,2,FALSE)),4),12.5),""))</f>
        <v/>
      </c>
      <c r="BT50" s="115" t="n"/>
    </row>
    <row r="51" outlineLevel="1">
      <c r="B51" s="17" t="n"/>
      <c r="C51" s="115" t="n"/>
      <c r="D51" s="121" t="b">
        <v>0</v>
      </c>
      <c r="E51" s="127" t="inlineStr">
        <is>
          <t>Katana</t>
        </is>
      </c>
      <c r="F51" s="11" t="n"/>
      <c r="G51" s="11" t="n"/>
      <c r="H51" s="11" t="n"/>
      <c r="I51" s="11" t="n"/>
      <c r="J51" s="11" t="n"/>
      <c r="K51" s="11" t="n"/>
      <c r="L51" s="12" t="n"/>
      <c r="M51" s="121" t="b">
        <v>0</v>
      </c>
      <c r="N51" s="127" t="inlineStr">
        <is>
          <t>Pistola</t>
        </is>
      </c>
      <c r="O51" s="11" t="n"/>
      <c r="P51" s="11" t="n"/>
      <c r="Q51" s="11" t="n"/>
      <c r="R51" s="11" t="n"/>
      <c r="S51" s="11" t="n"/>
      <c r="T51" s="11" t="n"/>
      <c r="U51" s="12" t="n"/>
      <c r="V51" s="121" t="b">
        <v>0</v>
      </c>
      <c r="W51" s="127" t="inlineStr">
        <is>
          <t>Cassetete</t>
        </is>
      </c>
      <c r="X51" s="11" t="n"/>
      <c r="Y51" s="11" t="n"/>
      <c r="Z51" s="11" t="n"/>
      <c r="AA51" s="11" t="n"/>
      <c r="AB51" s="11" t="n"/>
      <c r="AC51" s="11" t="n"/>
      <c r="AD51" s="12" t="n"/>
      <c r="AE51" s="121" t="b">
        <v>0</v>
      </c>
      <c r="AF51" s="127" t="inlineStr">
        <is>
          <t>Punhal</t>
        </is>
      </c>
      <c r="AG51" s="11" t="n"/>
      <c r="AH51" s="11" t="n"/>
      <c r="AI51" s="11" t="n"/>
      <c r="AJ51" s="11" t="n"/>
      <c r="AK51" s="11" t="n"/>
      <c r="AL51" s="12" t="n"/>
      <c r="AM51" s="121" t="b">
        <v>0</v>
      </c>
      <c r="AN51" s="127" t="inlineStr">
        <is>
          <t>Marreta</t>
        </is>
      </c>
      <c r="AO51" s="11" t="n"/>
      <c r="AP51" s="11" t="n"/>
      <c r="AQ51" s="11" t="n"/>
      <c r="AR51" s="11" t="n"/>
      <c r="AS51" s="11" t="n"/>
      <c r="AT51" s="12" t="n"/>
      <c r="AU51" s="115" t="n"/>
      <c r="AV51" s="115" t="n"/>
      <c r="AW51" s="127" t="n"/>
      <c r="AX51" s="127" t="n"/>
      <c r="AY51" s="121" t="n"/>
      <c r="AZ51" s="121" t="n"/>
      <c r="BA51" s="121">
        <f>IF($AX51="","",IFERROR(FLOOR(ROUND(VLOOKUP($AX51,DADOS!$CL$5:$CM$10,2,FALSE)*IF($AY51="",1,VLOOKUP($AY51,DADOS!$CO$5:$CP$7,2,FALSE))*IF($AZ51="",1,VLOOKUP($AZ51,DADOS!$CR$5:$CS$9,2,FALSE)),4),12.5),""))</f>
        <v/>
      </c>
      <c r="BB51" s="115" t="n"/>
      <c r="BC51" s="127" t="n"/>
      <c r="BD51" s="127" t="n"/>
      <c r="BE51" s="121" t="n"/>
      <c r="BF51" s="121" t="n"/>
      <c r="BG51" s="121">
        <f>IF($BD51="","",IFERROR(FLOOR(ROUND(VLOOKUP($BD51,DADOS!$CL$5:$CM$10,2,FALSE)*IF($BE51="",1,VLOOKUP($BE51,DADOS!$CO$5:$CP$7,2,FALSE))*IF($BF51="",1,VLOOKUP($BF51,DADOS!$CR$5:$CS$9,2,FALSE)),4),12.5),""))</f>
        <v/>
      </c>
      <c r="BH51" s="115" t="n"/>
      <c r="BI51" s="127" t="n"/>
      <c r="BJ51" s="127" t="n"/>
      <c r="BK51" s="121" t="n"/>
      <c r="BL51" s="121" t="n"/>
      <c r="BM51" s="121">
        <f>IF($BJ51="","",IFERROR(FLOOR(ROUND(VLOOKUP($BJ51,DADOS!$CL$5:$CM$10,2,FALSE)*IF($BK51="",1,VLOOKUP($BK51,DADOS!$CO$5:$CP$7,2,FALSE))*IF($BL51="",1,VLOOKUP($BL51,DADOS!$CR$5:$CS$9,2,FALSE)),4),12.5),""))</f>
        <v/>
      </c>
      <c r="BN51" s="115" t="n"/>
      <c r="BO51" s="127" t="n"/>
      <c r="BP51" s="127" t="n"/>
      <c r="BQ51" s="121" t="n"/>
      <c r="BR51" s="121" t="n"/>
      <c r="BS51" s="121">
        <f>IF($BP51="","",IFERROR(FLOOR(ROUND(VLOOKUP($BP51,DADOS!$CL$5:$CM$10,2,FALSE)*IF($BQ51="",1,VLOOKUP($BQ51,DADOS!$CO$5:$CP$7,2,FALSE))*IF($BR51="",1,VLOOKUP($BR51,DADOS!$CR$5:$CS$9,2,FALSE)),4),12.5),""))</f>
        <v/>
      </c>
      <c r="BT51" s="115" t="n"/>
    </row>
    <row r="52" outlineLevel="1">
      <c r="A52" s="8" t="n"/>
      <c r="B52" s="22" t="n"/>
      <c r="C52" s="115" t="n"/>
      <c r="D52" s="121" t="b">
        <v>0</v>
      </c>
      <c r="E52" s="127" t="inlineStr">
        <is>
          <t>Machete</t>
        </is>
      </c>
      <c r="F52" s="11" t="n"/>
      <c r="G52" s="11" t="n"/>
      <c r="H52" s="11" t="n"/>
      <c r="I52" s="11" t="n"/>
      <c r="J52" s="11" t="n"/>
      <c r="K52" s="11" t="n"/>
      <c r="L52" s="12" t="n"/>
      <c r="M52" s="121" t="b">
        <v>0</v>
      </c>
      <c r="N52" s="127" t="inlineStr">
        <is>
          <t>Revólver</t>
        </is>
      </c>
      <c r="O52" s="11" t="n"/>
      <c r="P52" s="11" t="n"/>
      <c r="Q52" s="11" t="n"/>
      <c r="R52" s="11" t="n"/>
      <c r="S52" s="11" t="n"/>
      <c r="T52" s="11" t="n"/>
      <c r="U52" s="12" t="n"/>
      <c r="V52" s="121" t="b">
        <v>0</v>
      </c>
      <c r="W52" s="127" t="inlineStr">
        <is>
          <t>Nunchaku</t>
        </is>
      </c>
      <c r="X52" s="11" t="n"/>
      <c r="Y52" s="11" t="n"/>
      <c r="Z52" s="11" t="n"/>
      <c r="AA52" s="11" t="n"/>
      <c r="AB52" s="11" t="n"/>
      <c r="AC52" s="11" t="n"/>
      <c r="AD52" s="12" t="n"/>
      <c r="AE52" s="121" t="b">
        <v>0</v>
      </c>
      <c r="AF52" s="127" t="inlineStr">
        <is>
          <t>Sai</t>
        </is>
      </c>
      <c r="AG52" s="11" t="n"/>
      <c r="AH52" s="11" t="n"/>
      <c r="AI52" s="11" t="n"/>
      <c r="AJ52" s="11" t="n"/>
      <c r="AK52" s="11" t="n"/>
      <c r="AL52" s="12" t="n"/>
      <c r="AM52" s="121" t="b">
        <v>0</v>
      </c>
      <c r="AN52" s="127" t="inlineStr">
        <is>
          <t>Maul</t>
        </is>
      </c>
      <c r="AO52" s="11" t="n"/>
      <c r="AP52" s="11" t="n"/>
      <c r="AQ52" s="11" t="n"/>
      <c r="AR52" s="11" t="n"/>
      <c r="AS52" s="11" t="n"/>
      <c r="AT52" s="12" t="n"/>
      <c r="AU52" s="115" t="n"/>
      <c r="AV52" s="115" t="n"/>
      <c r="AW52" s="127" t="n"/>
      <c r="AX52" s="127" t="n"/>
      <c r="AY52" s="121" t="n"/>
      <c r="AZ52" s="121" t="n"/>
      <c r="BA52" s="121">
        <f>IF($AX52="","",IFERROR(FLOOR(ROUND(VLOOKUP($AX52,DADOS!$CL$5:$CM$10,2,FALSE)*IF($AY52="",1,VLOOKUP($AY52,DADOS!$CO$5:$CP$7,2,FALSE))*IF($AZ52="",1,VLOOKUP($AZ52,DADOS!$CR$5:$CS$9,2,FALSE)),4),12.5),""))</f>
        <v/>
      </c>
      <c r="BB52" s="115" t="n"/>
      <c r="BC52" s="127" t="n"/>
      <c r="BD52" s="127" t="n"/>
      <c r="BE52" s="121" t="n"/>
      <c r="BF52" s="121" t="n"/>
      <c r="BG52" s="121">
        <f>IF($BD52="","",IFERROR(FLOOR(ROUND(VLOOKUP($BD52,DADOS!$CL$5:$CM$10,2,FALSE)*IF($BE52="",1,VLOOKUP($BE52,DADOS!$CO$5:$CP$7,2,FALSE))*IF($BF52="",1,VLOOKUP($BF52,DADOS!$CR$5:$CS$9,2,FALSE)),4),12.5),""))</f>
        <v/>
      </c>
      <c r="BH52" s="115" t="n"/>
      <c r="BI52" s="127" t="n"/>
      <c r="BJ52" s="127" t="n"/>
      <c r="BK52" s="121" t="n"/>
      <c r="BL52" s="121" t="n"/>
      <c r="BM52" s="121">
        <f>IF($BJ52="","",IFERROR(FLOOR(ROUND(VLOOKUP($BJ52,DADOS!$CL$5:$CM$10,2,FALSE)*IF($BK52="",1,VLOOKUP($BK52,DADOS!$CO$5:$CP$7,2,FALSE))*IF($BL52="",1,VLOOKUP($BL52,DADOS!$CR$5:$CS$9,2,FALSE)),4),12.5),""))</f>
        <v/>
      </c>
      <c r="BN52" s="115" t="n"/>
      <c r="BO52" s="127" t="n"/>
      <c r="BP52" s="127" t="n"/>
      <c r="BQ52" s="121" t="n"/>
      <c r="BR52" s="121" t="n"/>
      <c r="BS52" s="121">
        <f>IF($BP52="","",IFERROR(FLOOR(ROUND(VLOOKUP($BP52,DADOS!$CL$5:$CM$10,2,FALSE)*IF($BQ52="",1,VLOOKUP($BQ52,DADOS!$CO$5:$CP$7,2,FALSE))*IF($BR52="",1,VLOOKUP($BR52,DADOS!$CR$5:$CS$9,2,FALSE)),4),12.5),""))</f>
        <v/>
      </c>
      <c r="BT52" s="115" t="n"/>
    </row>
    <row r="53" outlineLevel="1">
      <c r="A53" s="8" t="n"/>
      <c r="B53" s="22" t="n"/>
      <c r="C53" s="115" t="n"/>
      <c r="D53" s="121" t="b">
        <v>0</v>
      </c>
      <c r="E53" s="127" t="inlineStr">
        <is>
          <t>Nodachi</t>
        </is>
      </c>
      <c r="F53" s="11" t="n"/>
      <c r="G53" s="11" t="n"/>
      <c r="H53" s="11" t="n"/>
      <c r="I53" s="11" t="n"/>
      <c r="J53" s="11" t="n"/>
      <c r="K53" s="11" t="n"/>
      <c r="L53" s="12" t="n"/>
      <c r="M53" s="121" t="b">
        <v>0</v>
      </c>
      <c r="N53" s="127" t="inlineStr">
        <is>
          <t>Rifle</t>
        </is>
      </c>
      <c r="O53" s="11" t="n"/>
      <c r="P53" s="11" t="n"/>
      <c r="Q53" s="11" t="n"/>
      <c r="R53" s="11" t="n"/>
      <c r="S53" s="11" t="n"/>
      <c r="T53" s="11" t="n"/>
      <c r="U53" s="12" t="n"/>
      <c r="V53" s="121" t="b">
        <v>0</v>
      </c>
      <c r="W53" s="127" t="inlineStr">
        <is>
          <t>Tonfa</t>
        </is>
      </c>
      <c r="X53" s="11" t="n"/>
      <c r="Y53" s="11" t="n"/>
      <c r="Z53" s="11" t="n"/>
      <c r="AA53" s="11" t="n"/>
      <c r="AB53" s="11" t="n"/>
      <c r="AC53" s="11" t="n"/>
      <c r="AD53" s="12" t="n"/>
      <c r="AE53" s="121" t="b">
        <v>0</v>
      </c>
      <c r="AF53" s="127" t="inlineStr">
        <is>
          <t>Tanto</t>
        </is>
      </c>
      <c r="AG53" s="11" t="n"/>
      <c r="AH53" s="11" t="n"/>
      <c r="AI53" s="11" t="n"/>
      <c r="AJ53" s="11" t="n"/>
      <c r="AK53" s="11" t="n"/>
      <c r="AL53" s="12" t="n"/>
      <c r="AM53" s="121" t="b">
        <v>0</v>
      </c>
      <c r="AN53" s="127" t="inlineStr">
        <is>
          <t>Taco</t>
        </is>
      </c>
      <c r="AO53" s="11" t="n"/>
      <c r="AP53" s="11" t="n"/>
      <c r="AQ53" s="11" t="n"/>
      <c r="AR53" s="11" t="n"/>
      <c r="AS53" s="11" t="n"/>
      <c r="AT53" s="12" t="n"/>
      <c r="AU53" s="115" t="n"/>
      <c r="AV53" s="115" t="n"/>
      <c r="AW53" s="127" t="n"/>
      <c r="AX53" s="127" t="n"/>
      <c r="AY53" s="121" t="n"/>
      <c r="AZ53" s="121" t="n"/>
      <c r="BA53" s="121">
        <f>IF($AX53="","",IFERROR(FLOOR(ROUND(VLOOKUP($AX53,DADOS!$CL$5:$CM$10,2,FALSE)*IF($AY53="",1,VLOOKUP($AY53,DADOS!$CO$5:$CP$7,2,FALSE))*IF($AZ53="",1,VLOOKUP($AZ53,DADOS!$CR$5:$CS$9,2,FALSE)),4),12.5),""))</f>
        <v/>
      </c>
      <c r="BB53" s="115" t="n"/>
      <c r="BC53" s="127" t="n"/>
      <c r="BD53" s="127" t="n"/>
      <c r="BE53" s="121" t="n"/>
      <c r="BF53" s="121" t="n"/>
      <c r="BG53" s="121">
        <f>IF($BD53="","",IFERROR(FLOOR(ROUND(VLOOKUP($BD53,DADOS!$CL$5:$CM$10,2,FALSE)*IF($BE53="",1,VLOOKUP($BE53,DADOS!$CO$5:$CP$7,2,FALSE))*IF($BF53="",1,VLOOKUP($BF53,DADOS!$CR$5:$CS$9,2,FALSE)),4),12.5),""))</f>
        <v/>
      </c>
      <c r="BH53" s="115" t="n"/>
      <c r="BI53" s="127" t="n"/>
      <c r="BJ53" s="127" t="n"/>
      <c r="BK53" s="121" t="n"/>
      <c r="BL53" s="121" t="n"/>
      <c r="BM53" s="121">
        <f>IF($BJ53="","",IFERROR(FLOOR(ROUND(VLOOKUP($BJ53,DADOS!$CL$5:$CM$10,2,FALSE)*IF($BK53="",1,VLOOKUP($BK53,DADOS!$CO$5:$CP$7,2,FALSE))*IF($BL53="",1,VLOOKUP($BL53,DADOS!$CR$5:$CS$9,2,FALSE)),4),12.5),""))</f>
        <v/>
      </c>
      <c r="BN53" s="115" t="n"/>
      <c r="BO53" s="127" t="n"/>
      <c r="BP53" s="127" t="n"/>
      <c r="BQ53" s="121" t="n"/>
      <c r="BR53" s="121" t="n"/>
      <c r="BS53" s="121">
        <f>IF($BP53="","",IFERROR(FLOOR(ROUND(VLOOKUP($BP53,DADOS!$CL$5:$CM$10,2,FALSE)*IF($BQ53="",1,VLOOKUP($BQ53,DADOS!$CO$5:$CP$7,2,FALSE))*IF($BR53="",1,VLOOKUP($BR53,DADOS!$CR$5:$CS$9,2,FALSE)),4),12.5),""))</f>
        <v/>
      </c>
      <c r="BT53" s="115" t="n"/>
    </row>
    <row r="54" outlineLevel="1">
      <c r="A54" s="8" t="n"/>
      <c r="B54" s="22" t="n"/>
      <c r="C54" s="115" t="n"/>
      <c r="D54" s="121" t="b">
        <v>0</v>
      </c>
      <c r="E54" s="127" t="inlineStr">
        <is>
          <t>Odachi</t>
        </is>
      </c>
      <c r="F54" s="11" t="n"/>
      <c r="G54" s="11" t="n"/>
      <c r="H54" s="11" t="n"/>
      <c r="I54" s="11" t="n"/>
      <c r="J54" s="11" t="n"/>
      <c r="K54" s="11" t="n"/>
      <c r="L54" s="12" t="n"/>
      <c r="M54" s="121" t="b">
        <v>0</v>
      </c>
      <c r="N54" s="127" t="inlineStr">
        <is>
          <t>Rifle de Precisão</t>
        </is>
      </c>
      <c r="O54" s="11" t="n"/>
      <c r="P54" s="11" t="n"/>
      <c r="Q54" s="11" t="n"/>
      <c r="R54" s="11" t="n"/>
      <c r="S54" s="11" t="n"/>
      <c r="T54" s="11" t="n"/>
      <c r="U54" s="12" t="n"/>
      <c r="V54" s="52" t="b">
        <v>0</v>
      </c>
      <c r="W54" s="52" t="inlineStr">
        <is>
          <t>CEIFA</t>
        </is>
      </c>
      <c r="X54" s="11" t="n"/>
      <c r="Y54" s="11" t="n"/>
      <c r="Z54" s="11" t="n"/>
      <c r="AA54" s="11" t="n"/>
      <c r="AB54" s="11" t="n"/>
      <c r="AC54" s="11" t="n"/>
      <c r="AD54" s="12" t="n"/>
      <c r="AE54" s="52" t="b">
        <v>0</v>
      </c>
      <c r="AF54" s="52" t="inlineStr">
        <is>
          <t>FLEXÍVEL</t>
        </is>
      </c>
      <c r="AG54" s="11" t="n"/>
      <c r="AH54" s="11" t="n"/>
      <c r="AI54" s="11" t="n"/>
      <c r="AJ54" s="11" t="n"/>
      <c r="AK54" s="11" t="n"/>
      <c r="AL54" s="12" t="n"/>
      <c r="AM54" s="52" t="b">
        <v>0</v>
      </c>
      <c r="AN54" s="52" t="inlineStr">
        <is>
          <t>ARMAS LONGAS</t>
        </is>
      </c>
      <c r="AO54" s="11" t="n"/>
      <c r="AP54" s="11" t="n"/>
      <c r="AQ54" s="11" t="n"/>
      <c r="AR54" s="11" t="n"/>
      <c r="AS54" s="11" t="n"/>
      <c r="AT54" s="12" t="n"/>
      <c r="AU54" s="115" t="n"/>
      <c r="AV54" s="115" t="n"/>
      <c r="AW54" s="127" t="n"/>
      <c r="AX54" s="127" t="n"/>
      <c r="AY54" s="121" t="n"/>
      <c r="AZ54" s="121" t="n"/>
      <c r="BA54" s="121">
        <f>IF($AX54="","",IFERROR(FLOOR(ROUND(VLOOKUP($AX54,DADOS!$CL$5:$CM$10,2,FALSE)*IF($AY54="",1,VLOOKUP($AY54,DADOS!$CO$5:$CP$7,2,FALSE))*IF($AZ54="",1,VLOOKUP($AZ54,DADOS!$CR$5:$CS$9,2,FALSE)),4),12.5),""))</f>
        <v/>
      </c>
      <c r="BB54" s="115" t="n"/>
      <c r="BC54" s="127" t="n"/>
      <c r="BD54" s="127" t="n"/>
      <c r="BE54" s="121" t="n"/>
      <c r="BF54" s="121" t="n"/>
      <c r="BG54" s="121">
        <f>IF($BD54="","",IFERROR(FLOOR(ROUND(VLOOKUP($BD54,DADOS!$CL$5:$CM$10,2,FALSE)*IF($BE54="",1,VLOOKUP($BE54,DADOS!$CO$5:$CP$7,2,FALSE))*IF($BF54="",1,VLOOKUP($BF54,DADOS!$CR$5:$CS$9,2,FALSE)),4),12.5),""))</f>
        <v/>
      </c>
      <c r="BH54" s="115" t="n"/>
      <c r="BI54" s="127" t="n"/>
      <c r="BJ54" s="127" t="n"/>
      <c r="BK54" s="121" t="n"/>
      <c r="BL54" s="121" t="n"/>
      <c r="BM54" s="121">
        <f>IF($BJ54="","",IFERROR(FLOOR(ROUND(VLOOKUP($BJ54,DADOS!$CL$5:$CM$10,2,FALSE)*IF($BK54="",1,VLOOKUP($BK54,DADOS!$CO$5:$CP$7,2,FALSE))*IF($BL54="",1,VLOOKUP($BL54,DADOS!$CR$5:$CS$9,2,FALSE)),4),12.5),""))</f>
        <v/>
      </c>
      <c r="BN54" s="115" t="n"/>
      <c r="BO54" s="127" t="n"/>
      <c r="BP54" s="127" t="n"/>
      <c r="BQ54" s="121" t="n"/>
      <c r="BR54" s="121" t="n"/>
      <c r="BS54" s="121">
        <f>IF($BP54="","",IFERROR(FLOOR(ROUND(VLOOKUP($BP54,DADOS!$CL$5:$CM$10,2,FALSE)*IF($BQ54="",1,VLOOKUP($BQ54,DADOS!$CO$5:$CP$7,2,FALSE))*IF($BR54="",1,VLOOKUP($BR54,DADOS!$CR$5:$CS$9,2,FALSE)),4),12.5),""))</f>
        <v/>
      </c>
      <c r="BT54" s="115" t="n"/>
    </row>
    <row r="55" outlineLevel="1">
      <c r="A55" s="8" t="n"/>
      <c r="B55" s="22" t="n"/>
      <c r="C55" s="115" t="n"/>
      <c r="D55" s="121" t="b">
        <v>0</v>
      </c>
      <c r="E55" s="127" t="inlineStr">
        <is>
          <t>Rapieira</t>
        </is>
      </c>
      <c r="F55" s="11" t="n"/>
      <c r="G55" s="11" t="n"/>
      <c r="H55" s="11" t="n"/>
      <c r="I55" s="11" t="n"/>
      <c r="J55" s="11" t="n"/>
      <c r="K55" s="11" t="n"/>
      <c r="L55" s="12" t="n"/>
      <c r="M55" s="121" t="b">
        <v>0</v>
      </c>
      <c r="N55" s="127" t="inlineStr">
        <is>
          <t>Submetralhadora</t>
        </is>
      </c>
      <c r="O55" s="11" t="n"/>
      <c r="P55" s="11" t="n"/>
      <c r="Q55" s="11" t="n"/>
      <c r="R55" s="11" t="n"/>
      <c r="S55" s="11" t="n"/>
      <c r="T55" s="11" t="n"/>
      <c r="U55" s="12" t="n"/>
      <c r="V55" s="121" t="b">
        <v>0</v>
      </c>
      <c r="W55" s="127" t="inlineStr">
        <is>
          <t>Foice</t>
        </is>
      </c>
      <c r="X55" s="11" t="n"/>
      <c r="Y55" s="11" t="n"/>
      <c r="Z55" s="11" t="n"/>
      <c r="AA55" s="11" t="n"/>
      <c r="AB55" s="11" t="n"/>
      <c r="AC55" s="11" t="n"/>
      <c r="AD55" s="12" t="n"/>
      <c r="AE55" s="121" t="b">
        <v>0</v>
      </c>
      <c r="AF55" s="127" t="inlineStr">
        <is>
          <t>Chicote</t>
        </is>
      </c>
      <c r="AG55" s="11" t="n"/>
      <c r="AH55" s="11" t="n"/>
      <c r="AI55" s="11" t="n"/>
      <c r="AJ55" s="11" t="n"/>
      <c r="AK55" s="11" t="n"/>
      <c r="AL55" s="12" t="n"/>
      <c r="AM55" s="121" t="b">
        <v>0</v>
      </c>
      <c r="AN55" s="127" t="inlineStr">
        <is>
          <t>Lança</t>
        </is>
      </c>
      <c r="AO55" s="11" t="n"/>
      <c r="AP55" s="11" t="n"/>
      <c r="AQ55" s="11" t="n"/>
      <c r="AR55" s="11" t="n"/>
      <c r="AS55" s="11" t="n"/>
      <c r="AT55" s="12" t="n"/>
      <c r="AU55" s="115" t="n"/>
      <c r="AV55" s="115" t="n"/>
      <c r="AW55" s="127" t="n"/>
      <c r="AX55" s="127" t="n"/>
      <c r="AY55" s="121" t="n"/>
      <c r="AZ55" s="121" t="n"/>
      <c r="BA55" s="121">
        <f>IF($AX55="","",IFERROR(FLOOR(ROUND(VLOOKUP($AX55,DADOS!$CL$5:$CM$10,2,FALSE)*IF($AY55="",1,VLOOKUP($AY55,DADOS!$CO$5:$CP$7,2,FALSE))*IF($AZ55="",1,VLOOKUP($AZ55,DADOS!$CR$5:$CS$9,2,FALSE)),4),12.5),""))</f>
        <v/>
      </c>
      <c r="BB55" s="115" t="n"/>
      <c r="BC55" s="127" t="n"/>
      <c r="BD55" s="127" t="n"/>
      <c r="BE55" s="121" t="n"/>
      <c r="BF55" s="121" t="n"/>
      <c r="BG55" s="121">
        <f>IF($BD55="","",IFERROR(FLOOR(ROUND(VLOOKUP($BD55,DADOS!$CL$5:$CM$10,2,FALSE)*IF($BE55="",1,VLOOKUP($BE55,DADOS!$CO$5:$CP$7,2,FALSE))*IF($BF55="",1,VLOOKUP($BF55,DADOS!$CR$5:$CS$9,2,FALSE)),4),12.5),""))</f>
        <v/>
      </c>
      <c r="BH55" s="115" t="n"/>
      <c r="BI55" s="127" t="n"/>
      <c r="BJ55" s="127" t="n"/>
      <c r="BK55" s="121" t="n"/>
      <c r="BL55" s="121" t="n"/>
      <c r="BM55" s="121">
        <f>IF($BJ55="","",IFERROR(FLOOR(ROUND(VLOOKUP($BJ55,DADOS!$CL$5:$CM$10,2,FALSE)*IF($BK55="",1,VLOOKUP($BK55,DADOS!$CO$5:$CP$7,2,FALSE))*IF($BL55="",1,VLOOKUP($BL55,DADOS!$CR$5:$CS$9,2,FALSE)),4),12.5),""))</f>
        <v/>
      </c>
      <c r="BN55" s="115" t="n"/>
      <c r="BO55" s="127" t="n"/>
      <c r="BP55" s="127" t="n"/>
      <c r="BQ55" s="121" t="n"/>
      <c r="BR55" s="121" t="n"/>
      <c r="BS55" s="121">
        <f>IF($BP55="","",IFERROR(FLOOR(ROUND(VLOOKUP($BP55,DADOS!$CL$5:$CM$10,2,FALSE)*IF($BQ55="",1,VLOOKUP($BQ55,DADOS!$CO$5:$CP$7,2,FALSE))*IF($BR55="",1,VLOOKUP($BR55,DADOS!$CR$5:$CS$9,2,FALSE)),4),12.5),""))</f>
        <v/>
      </c>
      <c r="BT55" s="115" t="n"/>
    </row>
    <row r="56" outlineLevel="1">
      <c r="A56" s="8" t="n"/>
      <c r="B56" s="22" t="n"/>
      <c r="C56" s="115" t="n"/>
      <c r="D56" s="121" t="b">
        <v>0</v>
      </c>
      <c r="E56" s="127" t="inlineStr">
        <is>
          <t>Wakizashi</t>
        </is>
      </c>
      <c r="F56" s="11" t="n"/>
      <c r="G56" s="11" t="n"/>
      <c r="H56" s="11" t="n"/>
      <c r="I56" s="11" t="n"/>
      <c r="J56" s="11" t="n"/>
      <c r="K56" s="11" t="n"/>
      <c r="L56" s="12" t="n"/>
      <c r="M56" s="52" t="b">
        <v>0</v>
      </c>
      <c r="N56" s="52" t="inlineStr">
        <is>
          <t>ARREMESSO</t>
        </is>
      </c>
      <c r="O56" s="11" t="n"/>
      <c r="P56" s="11" t="n"/>
      <c r="Q56" s="11" t="n"/>
      <c r="R56" s="11" t="n"/>
      <c r="S56" s="11" t="n"/>
      <c r="T56" s="11" t="n"/>
      <c r="U56" s="12" t="n"/>
      <c r="V56" s="121" t="b">
        <v>0</v>
      </c>
      <c r="W56" s="127" t="inlineStr">
        <is>
          <t>Kama</t>
        </is>
      </c>
      <c r="X56" s="11" t="n"/>
      <c r="Y56" s="11" t="n"/>
      <c r="Z56" s="11" t="n"/>
      <c r="AA56" s="11" t="n"/>
      <c r="AB56" s="11" t="n"/>
      <c r="AC56" s="11" t="n"/>
      <c r="AD56" s="12" t="n"/>
      <c r="AE56" s="121" t="b">
        <v>0</v>
      </c>
      <c r="AF56" s="127" t="inlineStr">
        <is>
          <t>Corrente</t>
        </is>
      </c>
      <c r="AG56" s="11" t="n"/>
      <c r="AH56" s="11" t="n"/>
      <c r="AI56" s="11" t="n"/>
      <c r="AJ56" s="11" t="n"/>
      <c r="AK56" s="11" t="n"/>
      <c r="AL56" s="12" t="n"/>
      <c r="AM56" s="121" t="b">
        <v>0</v>
      </c>
      <c r="AN56" s="127" t="inlineStr">
        <is>
          <t>Naginata</t>
        </is>
      </c>
      <c r="AO56" s="11" t="n"/>
      <c r="AP56" s="11" t="n"/>
      <c r="AQ56" s="11" t="n"/>
      <c r="AR56" s="11" t="n"/>
      <c r="AS56" s="11" t="n"/>
      <c r="AT56" s="12" t="n"/>
      <c r="AU56" s="115" t="n"/>
      <c r="AV56" s="115" t="n"/>
      <c r="AW56" s="127" t="n"/>
      <c r="AX56" s="127" t="n"/>
      <c r="AY56" s="121" t="n"/>
      <c r="AZ56" s="121" t="n"/>
      <c r="BA56" s="121">
        <f>IF($AX56="","",IFERROR(FLOOR(ROUND(VLOOKUP($AX56,DADOS!$CL$5:$CM$10,2,FALSE)*IF($AY56="",1,VLOOKUP($AY56,DADOS!$CO$5:$CP$7,2,FALSE))*IF($AZ56="",1,VLOOKUP($AZ56,DADOS!$CR$5:$CS$9,2,FALSE)),4),12.5),""))</f>
        <v/>
      </c>
      <c r="BB56" s="115" t="n"/>
      <c r="BC56" s="127" t="n"/>
      <c r="BD56" s="127" t="n"/>
      <c r="BE56" s="121" t="n"/>
      <c r="BF56" s="121" t="n"/>
      <c r="BG56" s="121">
        <f>IF($BD56="","",IFERROR(FLOOR(ROUND(VLOOKUP($BD56,DADOS!$CL$5:$CM$10,2,FALSE)*IF($BE56="",1,VLOOKUP($BE56,DADOS!$CO$5:$CP$7,2,FALSE))*IF($BF56="",1,VLOOKUP($BF56,DADOS!$CR$5:$CS$9,2,FALSE)),4),12.5),""))</f>
        <v/>
      </c>
      <c r="BH56" s="115" t="n"/>
      <c r="BI56" s="127" t="n"/>
      <c r="BJ56" s="127" t="n"/>
      <c r="BK56" s="121" t="n"/>
      <c r="BL56" s="121" t="n"/>
      <c r="BM56" s="121">
        <f>IF($BJ56="","",IFERROR(FLOOR(ROUND(VLOOKUP($BJ56,DADOS!$CL$5:$CM$10,2,FALSE)*IF($BK56="",1,VLOOKUP($BK56,DADOS!$CO$5:$CP$7,2,FALSE))*IF($BL56="",1,VLOOKUP($BL56,DADOS!$CR$5:$CS$9,2,FALSE)),4),12.5),""))</f>
        <v/>
      </c>
      <c r="BN56" s="115" t="n"/>
      <c r="BO56" s="127" t="n"/>
      <c r="BP56" s="127" t="n"/>
      <c r="BQ56" s="121" t="n"/>
      <c r="BR56" s="121" t="n"/>
      <c r="BS56" s="121">
        <f>IF($BP56="","",IFERROR(FLOOR(ROUND(VLOOKUP($BP56,DADOS!$CL$5:$CM$10,2,FALSE)*IF($BQ56="",1,VLOOKUP($BQ56,DADOS!$CO$5:$CP$7,2,FALSE))*IF($BR56="",1,VLOOKUP($BR56,DADOS!$CR$5:$CS$9,2,FALSE)),4),12.5),""))</f>
        <v/>
      </c>
      <c r="BT56" s="115" t="n"/>
    </row>
    <row r="57" outlineLevel="1">
      <c r="A57" s="8" t="n"/>
      <c r="B57" s="22" t="n"/>
      <c r="C57" s="115" t="n"/>
      <c r="D57" s="52" t="b">
        <v>0</v>
      </c>
      <c r="E57" s="52" t="inlineStr">
        <is>
          <t>MACHADO</t>
        </is>
      </c>
      <c r="F57" s="11" t="n"/>
      <c r="G57" s="11" t="n"/>
      <c r="H57" s="11" t="n"/>
      <c r="I57" s="11" t="n"/>
      <c r="J57" s="11" t="n"/>
      <c r="K57" s="11" t="n"/>
      <c r="L57" s="12" t="n"/>
      <c r="M57" s="121" t="b">
        <v>0</v>
      </c>
      <c r="N57" s="127" t="inlineStr">
        <is>
          <t>Chakram</t>
        </is>
      </c>
      <c r="O57" s="11" t="n"/>
      <c r="P57" s="11" t="n"/>
      <c r="Q57" s="11" t="n"/>
      <c r="R57" s="11" t="n"/>
      <c r="S57" s="11" t="n"/>
      <c r="T57" s="11" t="n"/>
      <c r="U57" s="12" t="n"/>
      <c r="V57" s="121" t="b">
        <v>0</v>
      </c>
      <c r="W57" s="127" t="inlineStr">
        <is>
          <t>Kusarigama</t>
        </is>
      </c>
      <c r="X57" s="11" t="n"/>
      <c r="Y57" s="11" t="n"/>
      <c r="Z57" s="11" t="n"/>
      <c r="AA57" s="11" t="n"/>
      <c r="AB57" s="11" t="n"/>
      <c r="AC57" s="11" t="n"/>
      <c r="AD57" s="12" t="n"/>
      <c r="AE57" s="121" t="b">
        <v>0</v>
      </c>
      <c r="AF57" s="127" t="inlineStr">
        <is>
          <t>Manriki</t>
        </is>
      </c>
      <c r="AG57" s="11" t="n"/>
      <c r="AH57" s="11" t="n"/>
      <c r="AI57" s="11" t="n"/>
      <c r="AJ57" s="11" t="n"/>
      <c r="AK57" s="11" t="n"/>
      <c r="AL57" s="12" t="n"/>
      <c r="AM57" s="121" t="b">
        <v>0</v>
      </c>
      <c r="AN57" s="127" t="inlineStr">
        <is>
          <t>Yari</t>
        </is>
      </c>
      <c r="AO57" s="11" t="n"/>
      <c r="AP57" s="11" t="n"/>
      <c r="AQ57" s="11" t="n"/>
      <c r="AR57" s="11" t="n"/>
      <c r="AS57" s="11" t="n"/>
      <c r="AT57" s="12" t="n"/>
      <c r="AU57" s="115" t="n"/>
      <c r="AV57" s="115" t="n"/>
      <c r="AW57" s="127" t="n"/>
      <c r="AX57" s="127" t="n"/>
      <c r="AY57" s="121" t="n"/>
      <c r="AZ57" s="121" t="n"/>
      <c r="BA57" s="121">
        <f>IF($AX57="","",IFERROR(FLOOR(ROUND(VLOOKUP($AX57,DADOS!$CL$5:$CM$10,2,FALSE)*IF($AY57="",1,VLOOKUP($AY57,DADOS!$CO$5:$CP$7,2,FALSE))*IF($AZ57="",1,VLOOKUP($AZ57,DADOS!$CR$5:$CS$9,2,FALSE)),4),12.5),""))</f>
        <v/>
      </c>
      <c r="BB57" s="115" t="n"/>
      <c r="BC57" s="127" t="n"/>
      <c r="BD57" s="127" t="n"/>
      <c r="BE57" s="121" t="n"/>
      <c r="BF57" s="121" t="n"/>
      <c r="BG57" s="121">
        <f>IF($BD57="","",IFERROR(FLOOR(ROUND(VLOOKUP($BD57,DADOS!$CL$5:$CM$10,2,FALSE)*IF($BE57="",1,VLOOKUP($BE57,DADOS!$CO$5:$CP$7,2,FALSE))*IF($BF57="",1,VLOOKUP($BF57,DADOS!$CR$5:$CS$9,2,FALSE)),4),12.5),""))</f>
        <v/>
      </c>
      <c r="BH57" s="115" t="n"/>
      <c r="BI57" s="127" t="n"/>
      <c r="BJ57" s="127" t="n"/>
      <c r="BK57" s="121" t="n"/>
      <c r="BL57" s="121" t="n"/>
      <c r="BM57" s="121">
        <f>IF($BJ57="","",IFERROR(FLOOR(ROUND(VLOOKUP($BJ57,DADOS!$CL$5:$CM$10,2,FALSE)*IF($BK57="",1,VLOOKUP($BK57,DADOS!$CO$5:$CP$7,2,FALSE))*IF($BL57="",1,VLOOKUP($BL57,DADOS!$CR$5:$CS$9,2,FALSE)),4),12.5),""))</f>
        <v/>
      </c>
      <c r="BN57" s="115" t="n"/>
      <c r="BO57" s="127" t="n"/>
      <c r="BP57" s="127" t="n"/>
      <c r="BQ57" s="121" t="n"/>
      <c r="BR57" s="121" t="n"/>
      <c r="BS57" s="121">
        <f>IF($BP57="","",IFERROR(FLOOR(ROUND(VLOOKUP($BP57,DADOS!$CL$5:$CM$10,2,FALSE)*IF($BQ57="",1,VLOOKUP($BQ57,DADOS!$CO$5:$CP$7,2,FALSE))*IF($BR57="",1,VLOOKUP($BR57,DADOS!$CR$5:$CS$9,2,FALSE)),4),12.5),""))</f>
        <v/>
      </c>
      <c r="BT57" s="115" t="n"/>
    </row>
    <row r="58" outlineLevel="1">
      <c r="A58" s="8" t="n"/>
      <c r="B58" s="22" t="n"/>
      <c r="C58" s="115" t="n"/>
      <c r="D58" s="121" t="b">
        <v>0</v>
      </c>
      <c r="E58" s="127" t="inlineStr">
        <is>
          <t>Machadinha</t>
        </is>
      </c>
      <c r="F58" s="11" t="n"/>
      <c r="G58" s="11" t="n"/>
      <c r="H58" s="11" t="n"/>
      <c r="I58" s="11" t="n"/>
      <c r="J58" s="11" t="n"/>
      <c r="K58" s="11" t="n"/>
      <c r="L58" s="12" t="n"/>
      <c r="M58" s="121" t="b">
        <v>0</v>
      </c>
      <c r="N58" s="127" t="inlineStr">
        <is>
          <t>Kunai</t>
        </is>
      </c>
      <c r="O58" s="11" t="n"/>
      <c r="P58" s="11" t="n"/>
      <c r="Q58" s="11" t="n"/>
      <c r="R58" s="11" t="n"/>
      <c r="S58" s="11" t="n"/>
      <c r="T58" s="11" t="n"/>
      <c r="U58" s="12" t="n"/>
      <c r="V58" s="52" t="b">
        <v>0</v>
      </c>
      <c r="W58" s="52" t="inlineStr">
        <is>
          <t>BALESTRA</t>
        </is>
      </c>
      <c r="X58" s="11" t="n"/>
      <c r="Y58" s="11" t="n"/>
      <c r="Z58" s="11" t="n"/>
      <c r="AA58" s="11" t="n"/>
      <c r="AB58" s="11" t="n"/>
      <c r="AC58" s="11" t="n"/>
      <c r="AD58" s="12" t="n"/>
      <c r="AE58" s="52" t="b">
        <v>0</v>
      </c>
      <c r="AF58" s="52" t="inlineStr">
        <is>
          <t>MANOPLA</t>
        </is>
      </c>
      <c r="AG58" s="11" t="n"/>
      <c r="AH58" s="11" t="n"/>
      <c r="AI58" s="11" t="n"/>
      <c r="AJ58" s="11" t="n"/>
      <c r="AK58" s="11" t="n"/>
      <c r="AL58" s="12" t="n"/>
      <c r="AM58" s="52" t="b">
        <v>0</v>
      </c>
      <c r="AN58" s="52" t="inlineStr">
        <is>
          <t>YUMI</t>
        </is>
      </c>
      <c r="AO58" s="11" t="n"/>
      <c r="AP58" s="11" t="n"/>
      <c r="AQ58" s="11" t="n"/>
      <c r="AR58" s="11" t="n"/>
      <c r="AS58" s="11" t="n"/>
      <c r="AT58" s="12" t="n"/>
      <c r="AU58" s="115" t="n"/>
      <c r="AV58" s="115" t="n"/>
      <c r="AW58" s="127" t="n"/>
      <c r="AX58" s="127" t="n"/>
      <c r="AY58" s="121" t="n"/>
      <c r="AZ58" s="121" t="n"/>
      <c r="BA58" s="121">
        <f>IF($AX58="","",IFERROR(FLOOR(ROUND(VLOOKUP($AX58,DADOS!$CL$5:$CM$10,2,FALSE)*IF($AY58="",1,VLOOKUP($AY58,DADOS!$CO$5:$CP$7,2,FALSE))*IF($AZ58="",1,VLOOKUP($AZ58,DADOS!$CR$5:$CS$9,2,FALSE)),4),12.5),""))</f>
        <v/>
      </c>
      <c r="BB58" s="115" t="n"/>
      <c r="BC58" s="127" t="n"/>
      <c r="BD58" s="127" t="n"/>
      <c r="BE58" s="121" t="n"/>
      <c r="BF58" s="121" t="n"/>
      <c r="BG58" s="121">
        <f>IF($BD58="","",IFERROR(FLOOR(ROUND(VLOOKUP($BD58,DADOS!$CL$5:$CM$10,2,FALSE)*IF($BE58="",1,VLOOKUP($BE58,DADOS!$CO$5:$CP$7,2,FALSE))*IF($BF58="",1,VLOOKUP($BF58,DADOS!$CR$5:$CS$9,2,FALSE)),4),12.5),""))</f>
        <v/>
      </c>
      <c r="BH58" s="115" t="n"/>
      <c r="BI58" s="127" t="n"/>
      <c r="BJ58" s="127" t="n"/>
      <c r="BK58" s="121" t="n"/>
      <c r="BL58" s="121" t="n"/>
      <c r="BM58" s="121">
        <f>IF($BJ58="","",IFERROR(FLOOR(ROUND(VLOOKUP($BJ58,DADOS!$CL$5:$CM$10,2,FALSE)*IF($BK58="",1,VLOOKUP($BK58,DADOS!$CO$5:$CP$7,2,FALSE))*IF($BL58="",1,VLOOKUP($BL58,DADOS!$CR$5:$CS$9,2,FALSE)),4),12.5),""))</f>
        <v/>
      </c>
      <c r="BN58" s="115" t="n"/>
      <c r="BO58" s="127" t="n"/>
      <c r="BP58" s="127" t="n"/>
      <c r="BQ58" s="121" t="n"/>
      <c r="BR58" s="121" t="n"/>
      <c r="BS58" s="121">
        <f>IF($BP58="","",IFERROR(FLOOR(ROUND(VLOOKUP($BP58,DADOS!$CL$5:$CM$10,2,FALSE)*IF($BQ58="",1,VLOOKUP($BQ58,DADOS!$CO$5:$CP$7,2,FALSE))*IF($BR58="",1,VLOOKUP($BR58,DADOS!$CR$5:$CS$9,2,FALSE)),4),12.5),""))</f>
        <v/>
      </c>
      <c r="BT58" s="115" t="n"/>
    </row>
    <row r="59" outlineLevel="1">
      <c r="A59" s="8" t="n"/>
      <c r="B59" s="22" t="n"/>
      <c r="C59" s="115" t="n"/>
      <c r="D59" s="121" t="b">
        <v>0</v>
      </c>
      <c r="E59" s="127" t="inlineStr">
        <is>
          <t>Machado</t>
        </is>
      </c>
      <c r="F59" s="11" t="n"/>
      <c r="G59" s="11" t="n"/>
      <c r="H59" s="11" t="n"/>
      <c r="I59" s="11" t="n"/>
      <c r="J59" s="11" t="n"/>
      <c r="K59" s="11" t="n"/>
      <c r="L59" s="12" t="n"/>
      <c r="M59" s="121" t="b">
        <v>0</v>
      </c>
      <c r="N59" s="127" t="inlineStr">
        <is>
          <t>Shuriken</t>
        </is>
      </c>
      <c r="O59" s="11" t="n"/>
      <c r="P59" s="11" t="n"/>
      <c r="Q59" s="11" t="n"/>
      <c r="R59" s="11" t="n"/>
      <c r="S59" s="11" t="n"/>
      <c r="T59" s="11" t="n"/>
      <c r="U59" s="12" t="n"/>
      <c r="V59" s="121" t="b">
        <v>0</v>
      </c>
      <c r="W59" s="127" t="inlineStr">
        <is>
          <t>Besta</t>
        </is>
      </c>
      <c r="X59" s="11" t="n"/>
      <c r="Y59" s="11" t="n"/>
      <c r="Z59" s="11" t="n"/>
      <c r="AA59" s="11" t="n"/>
      <c r="AB59" s="11" t="n"/>
      <c r="AC59" s="11" t="n"/>
      <c r="AD59" s="12" t="n"/>
      <c r="AE59" s="121" t="b">
        <v>0</v>
      </c>
      <c r="AF59" s="127" t="inlineStr">
        <is>
          <t>Soqueira</t>
        </is>
      </c>
      <c r="AG59" s="11" t="n"/>
      <c r="AH59" s="11" t="n"/>
      <c r="AI59" s="11" t="n"/>
      <c r="AJ59" s="11" t="n"/>
      <c r="AK59" s="11" t="n"/>
      <c r="AL59" s="12" t="n"/>
      <c r="AM59" s="121" t="b">
        <v>0</v>
      </c>
      <c r="AN59" s="127" t="inlineStr">
        <is>
          <t>Daikyū</t>
        </is>
      </c>
      <c r="AO59" s="11" t="n"/>
      <c r="AP59" s="11" t="n"/>
      <c r="AQ59" s="11" t="n"/>
      <c r="AR59" s="11" t="n"/>
      <c r="AS59" s="11" t="n"/>
      <c r="AT59" s="12" t="n"/>
      <c r="AU59" s="115" t="n"/>
      <c r="AV59" s="115" t="n"/>
      <c r="AW59" s="127" t="n"/>
      <c r="AX59" s="127" t="n"/>
      <c r="AY59" s="121" t="n"/>
      <c r="AZ59" s="121" t="n"/>
      <c r="BA59" s="121">
        <f>IF($AX59="","",IFERROR(FLOOR(ROUND(VLOOKUP($AX59,DADOS!$CL$5:$CM$10,2,FALSE)*IF($AY59="",1,VLOOKUP($AY59,DADOS!$CO$5:$CP$7,2,FALSE))*IF($AZ59="",1,VLOOKUP($AZ59,DADOS!$CR$5:$CS$9,2,FALSE)),4),12.5),""))</f>
        <v/>
      </c>
      <c r="BB59" s="115" t="n"/>
      <c r="BC59" s="127" t="n"/>
      <c r="BD59" s="127" t="n"/>
      <c r="BE59" s="121" t="n"/>
      <c r="BF59" s="121" t="n"/>
      <c r="BG59" s="121">
        <f>IF($BD59="","",IFERROR(FLOOR(ROUND(VLOOKUP($BD59,DADOS!$CL$5:$CM$10,2,FALSE)*IF($BE59="",1,VLOOKUP($BE59,DADOS!$CO$5:$CP$7,2,FALSE))*IF($BF59="",1,VLOOKUP($BF59,DADOS!$CR$5:$CS$9,2,FALSE)),4),12.5),""))</f>
        <v/>
      </c>
      <c r="BH59" s="115" t="n"/>
      <c r="BI59" s="127" t="n"/>
      <c r="BJ59" s="127" t="n"/>
      <c r="BK59" s="121" t="n"/>
      <c r="BL59" s="121" t="n"/>
      <c r="BM59" s="121">
        <f>IF($BJ59="","",IFERROR(FLOOR(ROUND(VLOOKUP($BJ59,DADOS!$CL$5:$CM$10,2,FALSE)*IF($BK59="",1,VLOOKUP($BK59,DADOS!$CO$5:$CP$7,2,FALSE))*IF($BL59="",1,VLOOKUP($BL59,DADOS!$CR$5:$CS$9,2,FALSE)),4),12.5),""))</f>
        <v/>
      </c>
      <c r="BN59" s="115" t="n"/>
      <c r="BO59" s="127" t="n"/>
      <c r="BP59" s="127" t="n"/>
      <c r="BQ59" s="121" t="n"/>
      <c r="BR59" s="121" t="n"/>
      <c r="BS59" s="121">
        <f>IF($BP59="","",IFERROR(FLOOR(ROUND(VLOOKUP($BP59,DADOS!$CL$5:$CM$10,2,FALSE)*IF($BQ59="",1,VLOOKUP($BQ59,DADOS!$CO$5:$CP$7,2,FALSE))*IF($BR59="",1,VLOOKUP($BR59,DADOS!$CR$5:$CS$9,2,FALSE)),4),12.5),""))</f>
        <v/>
      </c>
      <c r="BT59" s="115" t="n"/>
    </row>
    <row r="60" outlineLevel="1">
      <c r="A60" s="8" t="n"/>
      <c r="B60" s="22" t="n"/>
      <c r="C60" s="115" t="n"/>
      <c r="D60" s="121" t="b">
        <v>0</v>
      </c>
      <c r="E60" s="127" t="inlineStr">
        <is>
          <t>Machado de Guerra</t>
        </is>
      </c>
      <c r="F60" s="11" t="n"/>
      <c r="G60" s="11" t="n"/>
      <c r="H60" s="11" t="n"/>
      <c r="I60" s="11" t="n"/>
      <c r="J60" s="11" t="n"/>
      <c r="K60" s="11" t="n"/>
      <c r="L60" s="12" t="n"/>
      <c r="M60" s="121" t="b">
        <v>0</v>
      </c>
      <c r="N60" s="127" t="inlineStr">
        <is>
          <t>Tessen</t>
        </is>
      </c>
      <c r="O60" s="11" t="n"/>
      <c r="P60" s="11" t="n"/>
      <c r="Q60" s="11" t="n"/>
      <c r="R60" s="11" t="n"/>
      <c r="S60" s="11" t="n"/>
      <c r="T60" s="11" t="n"/>
      <c r="U60" s="12" t="n"/>
      <c r="V60" s="121" t="b">
        <v>0</v>
      </c>
      <c r="W60" s="127" t="inlineStr">
        <is>
          <t>Besta de Uma Mão</t>
        </is>
      </c>
      <c r="X60" s="11" t="n"/>
      <c r="Y60" s="11" t="n"/>
      <c r="Z60" s="11" t="n"/>
      <c r="AA60" s="11" t="n"/>
      <c r="AB60" s="11" t="n"/>
      <c r="AC60" s="11" t="n"/>
      <c r="AD60" s="12" t="n"/>
      <c r="AE60" s="121" t="b">
        <v>0</v>
      </c>
      <c r="AF60" s="127" t="inlineStr">
        <is>
          <t>Tekko</t>
        </is>
      </c>
      <c r="AG60" s="11" t="n"/>
      <c r="AH60" s="11" t="n"/>
      <c r="AI60" s="11" t="n"/>
      <c r="AJ60" s="11" t="n"/>
      <c r="AK60" s="11" t="n"/>
      <c r="AL60" s="12" t="n"/>
      <c r="AM60" s="121" t="b">
        <v>0</v>
      </c>
      <c r="AN60" s="127" t="inlineStr">
        <is>
          <t>Hankyū</t>
        </is>
      </c>
      <c r="AO60" s="11" t="n"/>
      <c r="AP60" s="11" t="n"/>
      <c r="AQ60" s="11" t="n"/>
      <c r="AR60" s="11" t="n"/>
      <c r="AS60" s="11" t="n"/>
      <c r="AT60" s="12" t="n"/>
      <c r="AU60" s="115" t="n"/>
      <c r="AV60" s="115" t="n"/>
      <c r="AW60" s="127" t="n"/>
      <c r="AX60" s="127" t="n"/>
      <c r="AY60" s="121" t="n"/>
      <c r="AZ60" s="121" t="n"/>
      <c r="BA60" s="121">
        <f>IF($AX60="","",IFERROR(FLOOR(ROUND(VLOOKUP($AX60,DADOS!$CL$5:$CM$10,2,FALSE)*IF($AY60="",1,VLOOKUP($AY60,DADOS!$CO$5:$CP$7,2,FALSE))*IF($AZ60="",1,VLOOKUP($AZ60,DADOS!$CR$5:$CS$9,2,FALSE)),4),12.5),""))</f>
        <v/>
      </c>
      <c r="BB60" s="115" t="n"/>
      <c r="BC60" s="127" t="n"/>
      <c r="BD60" s="127" t="n"/>
      <c r="BE60" s="121" t="n"/>
      <c r="BF60" s="121" t="n"/>
      <c r="BG60" s="121">
        <f>IF($BD60="","",IFERROR(FLOOR(ROUND(VLOOKUP($BD60,DADOS!$CL$5:$CM$10,2,FALSE)*IF($BE60="",1,VLOOKUP($BE60,DADOS!$CO$5:$CP$7,2,FALSE))*IF($BF60="",1,VLOOKUP($BF60,DADOS!$CR$5:$CS$9,2,FALSE)),4),12.5),""))</f>
        <v/>
      </c>
      <c r="BH60" s="115" t="n"/>
      <c r="BI60" s="127" t="n"/>
      <c r="BJ60" s="127" t="n"/>
      <c r="BK60" s="121" t="n"/>
      <c r="BL60" s="121" t="n"/>
      <c r="BM60" s="121">
        <f>IF($BJ60="","",IFERROR(FLOOR(ROUND(VLOOKUP($BJ60,DADOS!$CL$5:$CM$10,2,FALSE)*IF($BK60="",1,VLOOKUP($BK60,DADOS!$CO$5:$CP$7,2,FALSE))*IF($BL60="",1,VLOOKUP($BL60,DADOS!$CR$5:$CS$9,2,FALSE)),4),12.5),""))</f>
        <v/>
      </c>
      <c r="BN60" s="115" t="n"/>
      <c r="BO60" s="127" t="n"/>
      <c r="BP60" s="127" t="n"/>
      <c r="BQ60" s="121" t="n"/>
      <c r="BR60" s="121" t="n"/>
      <c r="BS60" s="121">
        <f>IF($BP60="","",IFERROR(FLOOR(ROUND(VLOOKUP($BP60,DADOS!$CL$5:$CM$10,2,FALSE)*IF($BQ60="",1,VLOOKUP($BQ60,DADOS!$CO$5:$CP$7,2,FALSE))*IF($BR60="",1,VLOOKUP($BR60,DADOS!$CR$5:$CS$9,2,FALSE)),4),12.5),""))</f>
        <v/>
      </c>
      <c r="BT60" s="115" t="n"/>
    </row>
    <row r="61">
      <c r="A61" s="8" t="n"/>
      <c r="B61" s="22" t="n"/>
      <c r="C61" s="115" t="n"/>
      <c r="D61" s="115" t="n"/>
      <c r="E61" s="115" t="n"/>
      <c r="F61" s="115" t="n"/>
      <c r="G61" s="115" t="n"/>
      <c r="H61" s="115" t="n"/>
      <c r="I61" s="115" t="n"/>
      <c r="J61" s="115" t="n"/>
      <c r="K61" s="115" t="n"/>
      <c r="L61" s="115" t="n"/>
      <c r="M61" s="115" t="n"/>
      <c r="N61" s="115" t="n"/>
      <c r="O61" s="115" t="n"/>
      <c r="P61" s="115" t="n"/>
      <c r="Q61" s="115" t="n"/>
      <c r="R61" s="115" t="n"/>
      <c r="S61" s="115" t="n"/>
      <c r="T61" s="115" t="n"/>
      <c r="U61" s="115" t="n"/>
      <c r="V61" s="115" t="n"/>
      <c r="W61" s="115" t="n"/>
      <c r="X61" s="115" t="n"/>
      <c r="Y61" s="115" t="n"/>
      <c r="Z61" s="115" t="n"/>
      <c r="AA61" s="115" t="n"/>
      <c r="AB61" s="115" t="n"/>
      <c r="AC61" s="115" t="n"/>
      <c r="AD61" s="115" t="n"/>
      <c r="AE61" s="115" t="n"/>
      <c r="AF61" s="115" t="n"/>
      <c r="AG61" s="115" t="n"/>
      <c r="AH61" s="115" t="n"/>
      <c r="AI61" s="115" t="n"/>
      <c r="AJ61" s="115" t="n"/>
      <c r="AK61" s="115" t="n"/>
      <c r="AL61" s="115" t="n"/>
      <c r="AM61" s="115" t="n"/>
      <c r="AN61" s="115" t="n"/>
      <c r="AO61" s="115" t="n"/>
      <c r="AP61" s="115" t="n"/>
      <c r="AQ61" s="115" t="n"/>
      <c r="AR61" s="115" t="n"/>
      <c r="AS61" s="115" t="n"/>
      <c r="AT61" s="115" t="n"/>
      <c r="AU61" s="115" t="n"/>
      <c r="AV61" s="115" t="n"/>
      <c r="AW61" s="127" t="n"/>
      <c r="AX61" s="127" t="n"/>
      <c r="AY61" s="121" t="n"/>
      <c r="AZ61" s="121" t="n"/>
      <c r="BA61" s="121">
        <f>IF($AX61="","",IFERROR(FLOOR(ROUND(VLOOKUP($AX61,DADOS!$CL$5:$CM$10,2,FALSE)*IF($AY61="",1,VLOOKUP($AY61,DADOS!$CO$5:$CP$7,2,FALSE))*IF($AZ61="",1,VLOOKUP($AZ61,DADOS!$CR$5:$CS$9,2,FALSE)),4),12.5),""))</f>
        <v/>
      </c>
      <c r="BB61" s="115" t="n"/>
      <c r="BC61" s="127" t="n"/>
      <c r="BD61" s="127" t="n"/>
      <c r="BE61" s="121" t="n"/>
      <c r="BF61" s="121" t="n"/>
      <c r="BG61" s="121">
        <f>IF($BD61="","",IFERROR(FLOOR(ROUND(VLOOKUP($BD61,DADOS!$CL$5:$CM$10,2,FALSE)*IF($BE61="",1,VLOOKUP($BE61,DADOS!$CO$5:$CP$7,2,FALSE))*IF($BF61="",1,VLOOKUP($BF61,DADOS!$CR$5:$CS$9,2,FALSE)),4),12.5),""))</f>
        <v/>
      </c>
      <c r="BH61" s="115" t="n"/>
      <c r="BI61" s="127" t="n"/>
      <c r="BJ61" s="127" t="n"/>
      <c r="BK61" s="121" t="n"/>
      <c r="BL61" s="121" t="n"/>
      <c r="BM61" s="121">
        <f>IF($BJ61="","",IFERROR(FLOOR(ROUND(VLOOKUP($BJ61,DADOS!$CL$5:$CM$10,2,FALSE)*IF($BK61="",1,VLOOKUP($BK61,DADOS!$CO$5:$CP$7,2,FALSE))*IF($BL61="",1,VLOOKUP($BL61,DADOS!$CR$5:$CS$9,2,FALSE)),4),12.5),""))</f>
        <v/>
      </c>
      <c r="BN61" s="115" t="n"/>
      <c r="BO61" s="127" t="n"/>
      <c r="BP61" s="127" t="n"/>
      <c r="BQ61" s="121" t="n"/>
      <c r="BR61" s="121" t="n"/>
      <c r="BS61" s="121">
        <f>IF($BP61="","",IFERROR(FLOOR(ROUND(VLOOKUP($BP61,DADOS!$CL$5:$CM$10,2,FALSE)*IF($BQ61="",1,VLOOKUP($BQ61,DADOS!$CO$5:$CP$7,2,FALSE))*IF($BR61="",1,VLOOKUP($BR61,DADOS!$CR$5:$CS$9,2,FALSE)),4),12.5),""))</f>
        <v/>
      </c>
      <c r="BT61" s="115" t="n"/>
    </row>
    <row r="62">
      <c r="A62" s="8" t="n"/>
      <c r="B62" s="22" t="n"/>
      <c r="C62" s="115" t="n"/>
      <c r="D62" s="52" t="inlineStr">
        <is>
          <t>CARGA · LIMITE 5 + FORÇA</t>
        </is>
      </c>
      <c r="E62" s="11" t="n"/>
      <c r="F62" s="11" t="n"/>
      <c r="G62" s="11" t="n"/>
      <c r="H62" s="11" t="n"/>
      <c r="I62" s="11" t="n"/>
      <c r="J62" s="11" t="n"/>
      <c r="K62" s="11" t="n"/>
      <c r="L62" s="11" t="n"/>
      <c r="M62" s="12" t="n"/>
      <c r="N62" s="115" t="n"/>
      <c r="O62" s="52" t="inlineStr">
        <is>
          <t>IENES</t>
        </is>
      </c>
      <c r="P62" s="11" t="n"/>
      <c r="Q62" s="11" t="n"/>
      <c r="R62" s="11" t="n"/>
      <c r="S62" s="11" t="n"/>
      <c r="T62" s="11" t="n"/>
      <c r="U62" s="12" t="n"/>
      <c r="V62" s="115" t="n"/>
      <c r="W62" s="52" t="inlineStr">
        <is>
          <t>SALÁRIO POR MÊS</t>
        </is>
      </c>
      <c r="X62" s="11" t="n"/>
      <c r="Y62" s="11" t="n"/>
      <c r="Z62" s="11" t="n"/>
      <c r="AA62" s="11" t="n"/>
      <c r="AB62" s="11" t="n"/>
      <c r="AC62" s="11" t="n"/>
      <c r="AD62" s="12" t="n"/>
      <c r="AE62" s="115" t="n"/>
      <c r="AF62" s="52" t="inlineStr">
        <is>
          <t>REQUISITO DE FORÇA</t>
        </is>
      </c>
      <c r="AG62" s="11" t="n"/>
      <c r="AH62" s="11" t="n"/>
      <c r="AI62" s="11" t="n"/>
      <c r="AJ62" s="11" t="n"/>
      <c r="AK62" s="11" t="n"/>
      <c r="AL62" s="12" t="n"/>
      <c r="AM62" s="115" t="n"/>
      <c r="AN62" s="52" t="inlineStr">
        <is>
          <t>SITUAÇÃO DO TRAJE</t>
        </is>
      </c>
      <c r="AO62" s="11" t="n"/>
      <c r="AP62" s="11" t="n"/>
      <c r="AQ62" s="11" t="n"/>
      <c r="AR62" s="11" t="n"/>
      <c r="AS62" s="11" t="n"/>
      <c r="AT62" s="12" t="n"/>
      <c r="AU62" s="115" t="n"/>
      <c r="AV62" s="115" t="n"/>
      <c r="AW62" s="127" t="n"/>
      <c r="AX62" s="127" t="n"/>
      <c r="AY62" s="121" t="n"/>
      <c r="AZ62" s="121" t="n"/>
      <c r="BA62" s="121">
        <f>IF($AX62="","",IFERROR(FLOOR(ROUND(VLOOKUP($AX62,DADOS!$CL$5:$CM$10,2,FALSE)*IF($AY62="",1,VLOOKUP($AY62,DADOS!$CO$5:$CP$7,2,FALSE))*IF($AZ62="",1,VLOOKUP($AZ62,DADOS!$CR$5:$CS$9,2,FALSE)),4),12.5),""))</f>
        <v/>
      </c>
      <c r="BB62" s="115" t="n"/>
      <c r="BC62" s="127" t="n"/>
      <c r="BD62" s="127" t="n"/>
      <c r="BE62" s="121" t="n"/>
      <c r="BF62" s="121" t="n"/>
      <c r="BG62" s="121">
        <f>IF($BD62="","",IFERROR(FLOOR(ROUND(VLOOKUP($BD62,DADOS!$CL$5:$CM$10,2,FALSE)*IF($BE62="",1,VLOOKUP($BE62,DADOS!$CO$5:$CP$7,2,FALSE))*IF($BF62="",1,VLOOKUP($BF62,DADOS!$CR$5:$CS$9,2,FALSE)),4),12.5),""))</f>
        <v/>
      </c>
      <c r="BH62" s="115" t="n"/>
      <c r="BI62" s="127" t="n"/>
      <c r="BJ62" s="127" t="n"/>
      <c r="BK62" s="121" t="n"/>
      <c r="BL62" s="121" t="n"/>
      <c r="BM62" s="121">
        <f>IF($BJ62="","",IFERROR(FLOOR(ROUND(VLOOKUP($BJ62,DADOS!$CL$5:$CM$10,2,FALSE)*IF($BK62="",1,VLOOKUP($BK62,DADOS!$CO$5:$CP$7,2,FALSE))*IF($BL62="",1,VLOOKUP($BL62,DADOS!$CR$5:$CS$9,2,FALSE)),4),12.5),""))</f>
        <v/>
      </c>
      <c r="BN62" s="115" t="n"/>
      <c r="BO62" s="127" t="n"/>
      <c r="BP62" s="127" t="n"/>
      <c r="BQ62" s="121" t="n"/>
      <c r="BR62" s="121" t="n"/>
      <c r="BS62" s="121">
        <f>IF($BP62="","",IFERROR(FLOOR(ROUND(VLOOKUP($BP62,DADOS!$CL$5:$CM$10,2,FALSE)*IF($BQ62="",1,VLOOKUP($BQ62,DADOS!$CO$5:$CP$7,2,FALSE))*IF($BR62="",1,VLOOKUP($BR62,DADOS!$CR$5:$CS$9,2,FALSE)),4),12.5),""))</f>
        <v/>
      </c>
      <c r="BT62" s="115" t="n"/>
    </row>
    <row r="63">
      <c r="A63" s="8" t="n"/>
      <c r="B63" s="22" t="n"/>
      <c r="C63" s="115" t="n"/>
      <c r="D63" s="89">
        <f>DADOS!$CZ$40&amp;" de "&amp;DADOS!$CZ$41&amp;IF(DADOS!$CZ$42=1," · acima","")</f>
        <v/>
      </c>
      <c r="E63" s="14" t="n"/>
      <c r="F63" s="14" t="n"/>
      <c r="G63" s="14" t="n"/>
      <c r="H63" s="15" t="n"/>
      <c r="I63" s="127">
        <f>IFERROR(SPARKLINE(MIN(DADOS!$CZ$40,DADOS!$CZ$41),{"charttype","bar";"max",DADOS!$CZ$41;"color1",IF(DADOS!$CZ$42=1,"#C2334D",DADOS!$CZ$48)}),"")</f>
        <v/>
      </c>
      <c r="J63" s="14" t="n"/>
      <c r="K63" s="14" t="n"/>
      <c r="L63" s="14" t="n"/>
      <c r="M63" s="15" t="n"/>
      <c r="N63" s="115" t="n"/>
      <c r="O63" s="135" t="n">
        <v>150000</v>
      </c>
      <c r="P63" s="14" t="n"/>
      <c r="Q63" s="14" t="n"/>
      <c r="R63" s="14" t="n"/>
      <c r="S63" s="14" t="n"/>
      <c r="T63" s="14" t="n"/>
      <c r="U63" s="15" t="n"/>
      <c r="V63" s="115" t="n"/>
      <c r="W63" s="89">
        <f>IFERROR(VLOOKUP($AB$11,DADOS!$CF$5:$CH$9,2,FALSE),"—")</f>
        <v/>
      </c>
      <c r="X63" s="14" t="n"/>
      <c r="Y63" s="14" t="n"/>
      <c r="Z63" s="14" t="n"/>
      <c r="AA63" s="14" t="n"/>
      <c r="AB63" s="14" t="n"/>
      <c r="AC63" s="14" t="n"/>
      <c r="AD63" s="15" t="n"/>
      <c r="AE63" s="115" t="n"/>
      <c r="AF63" s="80">
        <f>IF(DADOS!$CZ$36+DADOS!$CZ$37+DADOS!$CZ$38=0,"Cumprido","Não cumprido")</f>
        <v/>
      </c>
      <c r="AG63" s="14" t="n"/>
      <c r="AH63" s="14" t="n"/>
      <c r="AI63" s="14" t="n"/>
      <c r="AJ63" s="14" t="n"/>
      <c r="AK63" s="14" t="n"/>
      <c r="AL63" s="15" t="n"/>
      <c r="AM63" s="115" t="n"/>
      <c r="AN63" s="80" t="n"/>
      <c r="AO63" s="14" t="n"/>
      <c r="AP63" s="14" t="n"/>
      <c r="AQ63" s="14" t="n"/>
      <c r="AR63" s="14" t="n"/>
      <c r="AS63" s="14" t="n"/>
      <c r="AT63" s="15" t="n"/>
      <c r="AU63" s="115" t="n"/>
      <c r="AV63" s="115" t="n"/>
      <c r="AW63" s="127" t="n"/>
      <c r="AX63" s="127" t="n"/>
      <c r="AY63" s="121" t="n"/>
      <c r="AZ63" s="121" t="n"/>
      <c r="BA63" s="121">
        <f>IF($AX63="","",IFERROR(FLOOR(ROUND(VLOOKUP($AX63,DADOS!$CL$5:$CM$10,2,FALSE)*IF($AY63="",1,VLOOKUP($AY63,DADOS!$CO$5:$CP$7,2,FALSE))*IF($AZ63="",1,VLOOKUP($AZ63,DADOS!$CR$5:$CS$9,2,FALSE)),4),12.5),""))</f>
        <v/>
      </c>
      <c r="BB63" s="115" t="n"/>
      <c r="BC63" s="127" t="n"/>
      <c r="BD63" s="127" t="n"/>
      <c r="BE63" s="121" t="n"/>
      <c r="BF63" s="121" t="n"/>
      <c r="BG63" s="121">
        <f>IF($BD63="","",IFERROR(FLOOR(ROUND(VLOOKUP($BD63,DADOS!$CL$5:$CM$10,2,FALSE)*IF($BE63="",1,VLOOKUP($BE63,DADOS!$CO$5:$CP$7,2,FALSE))*IF($BF63="",1,VLOOKUP($BF63,DADOS!$CR$5:$CS$9,2,FALSE)),4),12.5),""))</f>
        <v/>
      </c>
      <c r="BH63" s="115" t="n"/>
      <c r="BI63" s="127" t="n"/>
      <c r="BJ63" s="127" t="n"/>
      <c r="BK63" s="121" t="n"/>
      <c r="BL63" s="121" t="n"/>
      <c r="BM63" s="121">
        <f>IF($BJ63="","",IFERROR(FLOOR(ROUND(VLOOKUP($BJ63,DADOS!$CL$5:$CM$10,2,FALSE)*IF($BK63="",1,VLOOKUP($BK63,DADOS!$CO$5:$CP$7,2,FALSE))*IF($BL63="",1,VLOOKUP($BL63,DADOS!$CR$5:$CS$9,2,FALSE)),4),12.5),""))</f>
        <v/>
      </c>
      <c r="BN63" s="115" t="n"/>
      <c r="BO63" s="127" t="n"/>
      <c r="BP63" s="127" t="n"/>
      <c r="BQ63" s="121" t="n"/>
      <c r="BR63" s="121" t="n"/>
      <c r="BS63" s="121">
        <f>IF($BP63="","",IFERROR(FLOOR(ROUND(VLOOKUP($BP63,DADOS!$CL$5:$CM$10,2,FALSE)*IF($BQ63="",1,VLOOKUP($BQ63,DADOS!$CO$5:$CP$7,2,FALSE))*IF($BR63="",1,VLOOKUP($BR63,DADOS!$CR$5:$CS$9,2,FALSE)),4),12.5),""))</f>
        <v/>
      </c>
      <c r="BT63" s="115" t="n"/>
    </row>
    <row r="64">
      <c r="A64" s="8" t="n"/>
      <c r="B64" s="22" t="n"/>
      <c r="C64" s="115" t="n"/>
      <c r="D64" s="18" t="n"/>
      <c r="E64" s="19" t="n"/>
      <c r="F64" s="19" t="n"/>
      <c r="G64" s="19" t="n"/>
      <c r="H64" s="20" t="n"/>
      <c r="I64" s="18" t="n"/>
      <c r="J64" s="19" t="n"/>
      <c r="K64" s="19" t="n"/>
      <c r="L64" s="19" t="n"/>
      <c r="M64" s="20" t="n"/>
      <c r="N64" s="115" t="n"/>
      <c r="O64" s="18" t="n"/>
      <c r="P64" s="19" t="n"/>
      <c r="Q64" s="19" t="n"/>
      <c r="R64" s="19" t="n"/>
      <c r="S64" s="19" t="n"/>
      <c r="T64" s="19" t="n"/>
      <c r="U64" s="20" t="n"/>
      <c r="V64" s="115" t="n"/>
      <c r="W64" s="18" t="n"/>
      <c r="X64" s="19" t="n"/>
      <c r="Y64" s="19" t="n"/>
      <c r="Z64" s="19" t="n"/>
      <c r="AA64" s="19" t="n"/>
      <c r="AB64" s="19" t="n"/>
      <c r="AC64" s="19" t="n"/>
      <c r="AD64" s="20" t="n"/>
      <c r="AE64" s="115" t="n"/>
      <c r="AF64" s="18" t="n"/>
      <c r="AG64" s="19" t="n"/>
      <c r="AH64" s="19" t="n"/>
      <c r="AI64" s="19" t="n"/>
      <c r="AJ64" s="19" t="n"/>
      <c r="AK64" s="19" t="n"/>
      <c r="AL64" s="20" t="n"/>
      <c r="AM64" s="115" t="n"/>
      <c r="AN64" s="18" t="n"/>
      <c r="AO64" s="19" t="n"/>
      <c r="AP64" s="19" t="n"/>
      <c r="AQ64" s="19" t="n"/>
      <c r="AR64" s="19" t="n"/>
      <c r="AS64" s="19" t="n"/>
      <c r="AT64" s="20" t="n"/>
      <c r="AU64" s="115" t="n"/>
      <c r="AV64" s="115" t="n"/>
      <c r="AW64" s="127" t="n"/>
      <c r="AX64" s="127" t="n"/>
      <c r="AY64" s="121" t="n"/>
      <c r="AZ64" s="121" t="n"/>
      <c r="BA64" s="121">
        <f>IF($AX64="","",IFERROR(FLOOR(ROUND(VLOOKUP($AX64,DADOS!$CL$5:$CM$10,2,FALSE)*IF($AY64="",1,VLOOKUP($AY64,DADOS!$CO$5:$CP$7,2,FALSE))*IF($AZ64="",1,VLOOKUP($AZ64,DADOS!$CR$5:$CS$9,2,FALSE)),4),12.5),""))</f>
        <v/>
      </c>
      <c r="BB64" s="115" t="n"/>
      <c r="BC64" s="127" t="n"/>
      <c r="BD64" s="127" t="n"/>
      <c r="BE64" s="121" t="n"/>
      <c r="BF64" s="121" t="n"/>
      <c r="BG64" s="121">
        <f>IF($BD64="","",IFERROR(FLOOR(ROUND(VLOOKUP($BD64,DADOS!$CL$5:$CM$10,2,FALSE)*IF($BE64="",1,VLOOKUP($BE64,DADOS!$CO$5:$CP$7,2,FALSE))*IF($BF64="",1,VLOOKUP($BF64,DADOS!$CR$5:$CS$9,2,FALSE)),4),12.5),""))</f>
        <v/>
      </c>
      <c r="BH64" s="115" t="n"/>
      <c r="BI64" s="127" t="n"/>
      <c r="BJ64" s="127" t="n"/>
      <c r="BK64" s="121" t="n"/>
      <c r="BL64" s="121" t="n"/>
      <c r="BM64" s="121">
        <f>IF($BJ64="","",IFERROR(FLOOR(ROUND(VLOOKUP($BJ64,DADOS!$CL$5:$CM$10,2,FALSE)*IF($BK64="",1,VLOOKUP($BK64,DADOS!$CO$5:$CP$7,2,FALSE))*IF($BL64="",1,VLOOKUP($BL64,DADOS!$CR$5:$CS$9,2,FALSE)),4),12.5),""))</f>
        <v/>
      </c>
      <c r="BN64" s="115" t="n"/>
      <c r="BO64" s="127" t="n"/>
      <c r="BP64" s="127" t="n"/>
      <c r="BQ64" s="121" t="n"/>
      <c r="BR64" s="121" t="n"/>
      <c r="BS64" s="121">
        <f>IF($BP64="","",IFERROR(FLOOR(ROUND(VLOOKUP($BP64,DADOS!$CL$5:$CM$10,2,FALSE)*IF($BQ64="",1,VLOOKUP($BQ64,DADOS!$CO$5:$CP$7,2,FALSE))*IF($BR64="",1,VLOOKUP($BR64,DADOS!$CR$5:$CS$9,2,FALSE)),4),12.5),""))</f>
        <v/>
      </c>
      <c r="BT64" s="115" t="n"/>
    </row>
    <row r="65">
      <c r="A65" s="8" t="n"/>
      <c r="B65" s="22" t="n"/>
      <c r="C65" s="115" t="n"/>
      <c r="D65" s="115" t="n"/>
      <c r="E65" s="115" t="n"/>
      <c r="F65" s="115" t="n"/>
      <c r="G65" s="115" t="n"/>
      <c r="H65" s="115" t="n"/>
      <c r="I65" s="115" t="n"/>
      <c r="J65" s="115" t="n"/>
      <c r="K65" s="115" t="n"/>
      <c r="L65" s="115" t="n"/>
      <c r="M65" s="115" t="n"/>
      <c r="N65" s="115" t="n"/>
      <c r="O65" s="115" t="n"/>
      <c r="P65" s="115" t="n"/>
      <c r="Q65" s="115" t="n"/>
      <c r="R65" s="115" t="n"/>
      <c r="S65" s="115" t="n"/>
      <c r="T65" s="115" t="n"/>
      <c r="U65" s="115" t="n"/>
      <c r="V65" s="115" t="n"/>
      <c r="W65" s="115" t="n"/>
      <c r="X65" s="115" t="n"/>
      <c r="Y65" s="115" t="n"/>
      <c r="Z65" s="115" t="n"/>
      <c r="AA65" s="115" t="n"/>
      <c r="AB65" s="115" t="n"/>
      <c r="AC65" s="115" t="n"/>
      <c r="AD65" s="115" t="n"/>
      <c r="AE65" s="115" t="n"/>
      <c r="AF65" s="115" t="n"/>
      <c r="AG65" s="115" t="n"/>
      <c r="AH65" s="115" t="n"/>
      <c r="AI65" s="115" t="n"/>
      <c r="AJ65" s="115" t="n"/>
      <c r="AK65" s="115" t="n"/>
      <c r="AL65" s="115" t="n"/>
      <c r="AM65" s="115" t="n"/>
      <c r="AN65" s="115" t="n"/>
      <c r="AO65" s="115" t="n"/>
      <c r="AP65" s="115" t="n"/>
      <c r="AQ65" s="115" t="n"/>
      <c r="AR65" s="115" t="n"/>
      <c r="AS65" s="115" t="n"/>
      <c r="AT65" s="115" t="n"/>
      <c r="AU65" s="115" t="n"/>
      <c r="AV65" s="115" t="n"/>
      <c r="AW65" s="115" t="n"/>
      <c r="AX65" s="115" t="n"/>
      <c r="AY65" s="115" t="n"/>
      <c r="AZ65" s="115" t="n"/>
      <c r="BA65" s="115" t="n"/>
      <c r="BB65" s="115" t="n"/>
      <c r="BC65" s="115" t="n"/>
      <c r="BD65" s="115" t="n"/>
      <c r="BE65" s="115" t="n"/>
      <c r="BF65" s="115" t="n"/>
      <c r="BG65" s="115" t="n"/>
      <c r="BH65" s="115" t="n"/>
      <c r="BI65" s="115" t="n"/>
      <c r="BJ65" s="115" t="n"/>
      <c r="BK65" s="115" t="n"/>
      <c r="BL65" s="115" t="n"/>
      <c r="BM65" s="115" t="n"/>
      <c r="BN65" s="115" t="n"/>
      <c r="BO65" s="115" t="n"/>
      <c r="BP65" s="115" t="n"/>
      <c r="BQ65" s="115" t="n"/>
      <c r="BR65" s="115" t="n"/>
      <c r="BS65" s="115" t="n"/>
      <c r="BT65" s="115" t="n"/>
    </row>
    <row r="66">
      <c r="A66" s="8" t="n"/>
      <c r="B66" s="22" t="n"/>
      <c r="C66" s="115" t="n"/>
      <c r="D66" s="118" t="inlineStr">
        <is>
          <t>EQUIPÁVEIS GUARDADOS</t>
        </is>
      </c>
      <c r="E66" s="14" t="n"/>
      <c r="F66" s="14" t="n"/>
      <c r="G66" s="14" t="n"/>
      <c r="H66" s="14" t="n"/>
      <c r="I66" s="14" t="n"/>
      <c r="J66" s="14" t="n"/>
      <c r="K66" s="14" t="n"/>
      <c r="L66" s="14" t="n"/>
      <c r="M66" s="14" t="n"/>
      <c r="N66" s="14" t="n"/>
      <c r="O66" s="14" t="n"/>
      <c r="P66" s="14" t="n"/>
      <c r="Q66" s="14" t="n"/>
      <c r="R66" s="14" t="n"/>
      <c r="S66" s="14" t="n"/>
      <c r="T66" s="14" t="n"/>
      <c r="U66" s="14" t="n"/>
      <c r="V66" s="14" t="n"/>
      <c r="W66" s="14" t="n"/>
      <c r="X66" s="14" t="n"/>
      <c r="Y66" s="14" t="n"/>
      <c r="Z66" s="14" t="n"/>
      <c r="AA66" s="14" t="n"/>
      <c r="AB66" s="14" t="n"/>
      <c r="AC66" s="14" t="n"/>
      <c r="AD66" s="14" t="n"/>
      <c r="AE66" s="14" t="n"/>
      <c r="AF66" s="14" t="n"/>
      <c r="AG66" s="14" t="n"/>
      <c r="AH66" s="14" t="n"/>
      <c r="AI66" s="14" t="n"/>
      <c r="AJ66" s="14" t="n"/>
      <c r="AK66" s="14" t="n"/>
      <c r="AL66" s="14" t="n"/>
      <c r="AM66" s="14" t="n"/>
      <c r="AN66" s="14" t="n"/>
      <c r="AO66" s="14" t="n"/>
      <c r="AP66" s="14" t="n"/>
      <c r="AQ66" s="14" t="n"/>
      <c r="AR66" s="14" t="n"/>
      <c r="AS66" s="14" t="n"/>
      <c r="AT66" s="15" t="n"/>
      <c r="AU66" s="115" t="n"/>
      <c r="AV66" s="115" t="n"/>
      <c r="AW66" s="118" t="inlineStr">
        <is>
          <t>NÍVEIS</t>
        </is>
      </c>
      <c r="AX66" s="14" t="n"/>
      <c r="AY66" s="14" t="n"/>
      <c r="AZ66" s="14" t="n"/>
      <c r="BA66" s="14" t="n"/>
      <c r="BB66" s="14" t="n"/>
      <c r="BC66" s="14" t="n"/>
      <c r="BD66" s="14" t="n"/>
      <c r="BE66" s="14" t="n"/>
      <c r="BF66" s="14" t="n"/>
      <c r="BG66" s="15" t="n"/>
      <c r="BH66" s="115" t="n"/>
      <c r="BI66" s="115" t="n"/>
      <c r="BJ66" s="115" t="n"/>
      <c r="BK66" s="115" t="n"/>
      <c r="BL66" s="115" t="n"/>
      <c r="BM66" s="115" t="n"/>
      <c r="BN66" s="115" t="n"/>
      <c r="BO66" s="115" t="n"/>
      <c r="BP66" s="115" t="n"/>
      <c r="BQ66" s="115" t="n"/>
      <c r="BR66" s="115" t="n"/>
      <c r="BS66" s="115" t="n"/>
      <c r="BT66" s="115" t="n"/>
    </row>
    <row r="67">
      <c r="A67" s="8" t="n"/>
      <c r="B67" s="22" t="n"/>
      <c r="C67" s="115" t="n"/>
      <c r="D67" s="18" t="n"/>
      <c r="E67" s="19" t="n"/>
      <c r="F67" s="19" t="n"/>
      <c r="G67" s="19" t="n"/>
      <c r="H67" s="19" t="n"/>
      <c r="I67" s="19" t="n"/>
      <c r="J67" s="19" t="n"/>
      <c r="K67" s="19" t="n"/>
      <c r="L67" s="19" t="n"/>
      <c r="M67" s="19" t="n"/>
      <c r="N67" s="19" t="n"/>
      <c r="O67" s="19" t="n"/>
      <c r="P67" s="19" t="n"/>
      <c r="Q67" s="19" t="n"/>
      <c r="R67" s="19" t="n"/>
      <c r="S67" s="19" t="n"/>
      <c r="T67" s="19" t="n"/>
      <c r="U67" s="19" t="n"/>
      <c r="V67" s="19" t="n"/>
      <c r="W67" s="19" t="n"/>
      <c r="X67" s="19" t="n"/>
      <c r="Y67" s="19" t="n"/>
      <c r="Z67" s="19" t="n"/>
      <c r="AA67" s="19" t="n"/>
      <c r="AB67" s="19" t="n"/>
      <c r="AC67" s="19" t="n"/>
      <c r="AD67" s="19" t="n"/>
      <c r="AE67" s="19" t="n"/>
      <c r="AF67" s="19" t="n"/>
      <c r="AG67" s="19" t="n"/>
      <c r="AH67" s="19" t="n"/>
      <c r="AI67" s="19" t="n"/>
      <c r="AJ67" s="19" t="n"/>
      <c r="AK67" s="19" t="n"/>
      <c r="AL67" s="19" t="n"/>
      <c r="AM67" s="19" t="n"/>
      <c r="AN67" s="19" t="n"/>
      <c r="AO67" s="19" t="n"/>
      <c r="AP67" s="19" t="n"/>
      <c r="AQ67" s="19" t="n"/>
      <c r="AR67" s="19" t="n"/>
      <c r="AS67" s="19" t="n"/>
      <c r="AT67" s="20" t="n"/>
      <c r="AU67" s="115" t="n"/>
      <c r="AV67" s="115" t="n"/>
      <c r="AW67" s="18" t="n"/>
      <c r="AX67" s="19" t="n"/>
      <c r="AY67" s="19" t="n"/>
      <c r="AZ67" s="19" t="n"/>
      <c r="BA67" s="19" t="n"/>
      <c r="BB67" s="19" t="n"/>
      <c r="BC67" s="19" t="n"/>
      <c r="BD67" s="19" t="n"/>
      <c r="BE67" s="19" t="n"/>
      <c r="BF67" s="19" t="n"/>
      <c r="BG67" s="20" t="n"/>
      <c r="BH67" s="115" t="n"/>
      <c r="BI67" s="115" t="n"/>
      <c r="BJ67" s="115" t="n"/>
      <c r="BK67" s="115" t="n"/>
      <c r="BL67" s="115" t="n"/>
      <c r="BM67" s="115" t="n"/>
      <c r="BN67" s="115" t="n"/>
      <c r="BO67" s="115" t="n"/>
      <c r="BP67" s="115" t="n"/>
      <c r="BQ67" s="115" t="n"/>
      <c r="BR67" s="115" t="n"/>
      <c r="BS67" s="115" t="n"/>
      <c r="BT67" s="115" t="n"/>
    </row>
    <row r="68">
      <c r="A68" s="8" t="n"/>
      <c r="B68" s="22" t="n"/>
      <c r="C68" s="115" t="n"/>
      <c r="D68" s="52" t="inlineStr">
        <is>
          <t>EQUIPÁVEL</t>
        </is>
      </c>
      <c r="E68" s="11" t="n"/>
      <c r="F68" s="11" t="n"/>
      <c r="G68" s="11" t="n"/>
      <c r="H68" s="11" t="n"/>
      <c r="I68" s="11" t="n"/>
      <c r="J68" s="12" t="n"/>
      <c r="K68" s="52" t="inlineStr">
        <is>
          <t>QTD.</t>
        </is>
      </c>
      <c r="L68" s="12" t="n"/>
      <c r="M68" s="52" t="inlineStr">
        <is>
          <t>CATEGORIA</t>
        </is>
      </c>
      <c r="N68" s="11" t="n"/>
      <c r="O68" s="11" t="n"/>
      <c r="P68" s="11" t="n"/>
      <c r="Q68" s="11" t="n"/>
      <c r="R68" s="12" t="n"/>
      <c r="S68" s="52" t="inlineStr">
        <is>
          <t>MÃO</t>
        </is>
      </c>
      <c r="T68" s="12" t="n"/>
      <c r="U68" s="52" t="inlineStr">
        <is>
          <t>DADO</t>
        </is>
      </c>
      <c r="V68" s="12" t="n"/>
      <c r="W68" s="52" t="inlineStr">
        <is>
          <t>PROPRIEDADES</t>
        </is>
      </c>
      <c r="X68" s="11" t="n"/>
      <c r="Y68" s="11" t="n"/>
      <c r="Z68" s="11" t="n"/>
      <c r="AA68" s="11" t="n"/>
      <c r="AB68" s="11" t="n"/>
      <c r="AC68" s="11" t="n"/>
      <c r="AD68" s="12" t="n"/>
      <c r="AE68" s="52" t="inlineStr">
        <is>
          <t>FORÇA</t>
        </is>
      </c>
      <c r="AF68" s="12" t="n"/>
      <c r="AG68" s="52" t="inlineStr">
        <is>
          <t>VOL.</t>
        </is>
      </c>
      <c r="AH68" s="12" t="n"/>
      <c r="AI68" s="52" t="inlineStr">
        <is>
          <t>GRAU</t>
        </is>
      </c>
      <c r="AJ68" s="12" t="n"/>
      <c r="AK68" s="52" t="inlineStr">
        <is>
          <t>ESTIGMA</t>
        </is>
      </c>
      <c r="AL68" s="11" t="n"/>
      <c r="AM68" s="11" t="n"/>
      <c r="AN68" s="11" t="n"/>
      <c r="AO68" s="11" t="n"/>
      <c r="AP68" s="12" t="n"/>
      <c r="AQ68" s="52" t="inlineStr">
        <is>
          <t>DESGASTE</t>
        </is>
      </c>
      <c r="AR68" s="11" t="n"/>
      <c r="AS68" s="11" t="n"/>
      <c r="AT68" s="12" t="n"/>
      <c r="AU68" s="115" t="n"/>
      <c r="AV68" s="115" t="n"/>
      <c r="AW68" s="52" t="inlineStr">
        <is>
          <t>NÍVEL</t>
        </is>
      </c>
      <c r="AX68" s="52" t="inlineStr">
        <is>
          <t>PARA SUBIR</t>
        </is>
      </c>
      <c r="AY68" s="12" t="n"/>
      <c r="AZ68" s="52" t="inlineStr">
        <is>
          <t>ACUMULADO</t>
        </is>
      </c>
      <c r="BA68" s="12" t="n"/>
      <c r="BB68" s="115" t="n"/>
      <c r="BC68" s="52" t="inlineStr">
        <is>
          <t>NÍVEL</t>
        </is>
      </c>
      <c r="BD68" s="52" t="inlineStr">
        <is>
          <t>PARA SUBIR</t>
        </is>
      </c>
      <c r="BE68" s="12" t="n"/>
      <c r="BF68" s="52" t="inlineStr">
        <is>
          <t>ACUMULADO</t>
        </is>
      </c>
      <c r="BG68" s="12" t="n"/>
      <c r="BH68" s="115" t="n"/>
      <c r="BI68" s="115" t="n"/>
      <c r="BJ68" s="115" t="n"/>
      <c r="BK68" s="115" t="n"/>
      <c r="BL68" s="115" t="n"/>
      <c r="BM68" s="115" t="n"/>
      <c r="BN68" s="115" t="n"/>
      <c r="BO68" s="115" t="n"/>
      <c r="BP68" s="115" t="n"/>
      <c r="BQ68" s="115" t="n"/>
      <c r="BR68" s="115" t="n"/>
      <c r="BS68" s="115" t="n"/>
      <c r="BT68" s="115" t="n"/>
    </row>
    <row r="69">
      <c r="A69" s="8" t="n"/>
      <c r="B69" s="22" t="n"/>
      <c r="C69" s="115" t="n"/>
      <c r="D69" s="127" t="n"/>
      <c r="E69" s="11" t="n"/>
      <c r="F69" s="11" t="n"/>
      <c r="G69" s="11" t="n"/>
      <c r="H69" s="11" t="n"/>
      <c r="I69" s="11" t="n"/>
      <c r="J69" s="12" t="n"/>
      <c r="K69" s="121" t="n"/>
      <c r="L69" s="12" t="n"/>
      <c r="M69" s="127">
        <f>IF($D69="","",IFERROR(VLOOKUP($D69,DADOS!$BD$5:$BN$59,2,FALSE),""))</f>
        <v/>
      </c>
      <c r="N69" s="11" t="n"/>
      <c r="O69" s="11" t="n"/>
      <c r="P69" s="11" t="n"/>
      <c r="Q69" s="11" t="n"/>
      <c r="R69" s="12" t="n"/>
      <c r="S69" s="121">
        <f>IF($D69="","",IFERROR(VLOOKUP($D69,DADOS!$BD$5:$BN$59,3,FALSE),""))</f>
        <v/>
      </c>
      <c r="T69" s="12" t="n"/>
      <c r="U69" s="121">
        <f>IF($D69="","",IFERROR(VLOOKUP($D69,DADOS!$BD$5:$BN$59,4,FALSE),""))</f>
        <v/>
      </c>
      <c r="V69" s="12" t="n"/>
      <c r="W69" s="127">
        <f>IF($D69="","",IFERROR(VLOOKUP($D69,DADOS!$BD$5:$BN$59,5,FALSE),""))</f>
        <v/>
      </c>
      <c r="X69" s="11" t="n"/>
      <c r="Y69" s="11" t="n"/>
      <c r="Z69" s="11" t="n"/>
      <c r="AA69" s="11" t="n"/>
      <c r="AB69" s="11" t="n"/>
      <c r="AC69" s="11" t="n"/>
      <c r="AD69" s="12" t="n"/>
      <c r="AE69" s="121">
        <f>IF($D69="","",IFERROR(VLOOKUP($D69,DADOS!$BD$5:$BN$59,6,FALSE),""))</f>
        <v/>
      </c>
      <c r="AF69" s="12" t="n"/>
      <c r="AG69" s="121">
        <f>IF($D69="","",IFERROR(IF($K69="",1,$K69)*VLOOKUP($D69,DADOS!$BD$5:$BN$59,7,FALSE),""))</f>
        <v/>
      </c>
      <c r="AH69" s="12" t="n"/>
      <c r="AI69" s="121" t="n"/>
      <c r="AJ69" s="12" t="n"/>
      <c r="AK69" s="127" t="n"/>
      <c r="AL69" s="11" t="n"/>
      <c r="AM69" s="11" t="n"/>
      <c r="AN69" s="11" t="n"/>
      <c r="AO69" s="11" t="n"/>
      <c r="AP69" s="12" t="n"/>
      <c r="AQ69" s="121" t="n"/>
      <c r="AR69" s="11" t="n"/>
      <c r="AS69" s="11" t="n"/>
      <c r="AT69" s="12" t="n"/>
      <c r="AU69" s="115" t="n"/>
      <c r="AV69" s="115" t="n"/>
      <c r="AW69" s="121">
        <f>IF(DADOS!$CZ$45=2,"▸ 2",2)</f>
        <v/>
      </c>
      <c r="AX69" s="121" t="inlineStr">
        <is>
          <t>200</t>
        </is>
      </c>
      <c r="AY69" s="12" t="n"/>
      <c r="AZ69" s="121" t="inlineStr">
        <is>
          <t>0</t>
        </is>
      </c>
      <c r="BA69" s="12" t="n"/>
      <c r="BB69" s="115" t="n"/>
      <c r="BC69" s="121">
        <f>IF(DADOS!$CZ$45=17,"▸ 17",17)</f>
        <v/>
      </c>
      <c r="BD69" s="121" t="inlineStr">
        <is>
          <t>1.300</t>
        </is>
      </c>
      <c r="BE69" s="12" t="n"/>
      <c r="BF69" s="121" t="inlineStr">
        <is>
          <t>10.400</t>
        </is>
      </c>
      <c r="BG69" s="12" t="n"/>
      <c r="BH69" s="115" t="n"/>
      <c r="BI69" s="115" t="n"/>
      <c r="BJ69" s="115" t="n"/>
      <c r="BK69" s="115" t="n"/>
      <c r="BL69" s="115" t="n"/>
      <c r="BM69" s="115" t="n"/>
      <c r="BN69" s="115" t="n"/>
      <c r="BO69" s="115" t="n"/>
      <c r="BP69" s="115" t="n"/>
      <c r="BQ69" s="115" t="n"/>
      <c r="BR69" s="115" t="n"/>
      <c r="BS69" s="115" t="n"/>
      <c r="BT69" s="115" t="n"/>
    </row>
    <row r="70">
      <c r="A70" s="8" t="n"/>
      <c r="B70" s="22" t="n"/>
      <c r="C70" s="115" t="n"/>
      <c r="D70" s="127" t="n"/>
      <c r="E70" s="11" t="n"/>
      <c r="F70" s="11" t="n"/>
      <c r="G70" s="11" t="n"/>
      <c r="H70" s="11" t="n"/>
      <c r="I70" s="11" t="n"/>
      <c r="J70" s="12" t="n"/>
      <c r="K70" s="121" t="n"/>
      <c r="L70" s="12" t="n"/>
      <c r="M70" s="127">
        <f>IF($D70="","",IFERROR(VLOOKUP($D70,DADOS!$BD$5:$BN$59,2,FALSE),""))</f>
        <v/>
      </c>
      <c r="N70" s="11" t="n"/>
      <c r="O70" s="11" t="n"/>
      <c r="P70" s="11" t="n"/>
      <c r="Q70" s="11" t="n"/>
      <c r="R70" s="12" t="n"/>
      <c r="S70" s="121">
        <f>IF($D70="","",IFERROR(VLOOKUP($D70,DADOS!$BD$5:$BN$59,3,FALSE),""))</f>
        <v/>
      </c>
      <c r="T70" s="12" t="n"/>
      <c r="U70" s="121">
        <f>IF($D70="","",IFERROR(VLOOKUP($D70,DADOS!$BD$5:$BN$59,4,FALSE),""))</f>
        <v/>
      </c>
      <c r="V70" s="12" t="n"/>
      <c r="W70" s="127">
        <f>IF($D70="","",IFERROR(VLOOKUP($D70,DADOS!$BD$5:$BN$59,5,FALSE),""))</f>
        <v/>
      </c>
      <c r="X70" s="11" t="n"/>
      <c r="Y70" s="11" t="n"/>
      <c r="Z70" s="11" t="n"/>
      <c r="AA70" s="11" t="n"/>
      <c r="AB70" s="11" t="n"/>
      <c r="AC70" s="11" t="n"/>
      <c r="AD70" s="12" t="n"/>
      <c r="AE70" s="121">
        <f>IF($D70="","",IFERROR(VLOOKUP($D70,DADOS!$BD$5:$BN$59,6,FALSE),""))</f>
        <v/>
      </c>
      <c r="AF70" s="12" t="n"/>
      <c r="AG70" s="121">
        <f>IF($D70="","",IFERROR(IF($K70="",1,$K70)*VLOOKUP($D70,DADOS!$BD$5:$BN$59,7,FALSE),""))</f>
        <v/>
      </c>
      <c r="AH70" s="12" t="n"/>
      <c r="AI70" s="121" t="n"/>
      <c r="AJ70" s="12" t="n"/>
      <c r="AK70" s="127" t="n"/>
      <c r="AL70" s="11" t="n"/>
      <c r="AM70" s="11" t="n"/>
      <c r="AN70" s="11" t="n"/>
      <c r="AO70" s="11" t="n"/>
      <c r="AP70" s="12" t="n"/>
      <c r="AQ70" s="121" t="n"/>
      <c r="AR70" s="11" t="n"/>
      <c r="AS70" s="11" t="n"/>
      <c r="AT70" s="12" t="n"/>
      <c r="AU70" s="115" t="n"/>
      <c r="AV70" s="115" t="n"/>
      <c r="AW70" s="121">
        <f>IF(DADOS!$CZ$45=3,"▸ 3",3)</f>
        <v/>
      </c>
      <c r="AX70" s="121" t="inlineStr">
        <is>
          <t>300</t>
        </is>
      </c>
      <c r="AY70" s="12" t="n"/>
      <c r="AZ70" s="121" t="inlineStr">
        <is>
          <t>200</t>
        </is>
      </c>
      <c r="BA70" s="12" t="n"/>
      <c r="BB70" s="115" t="n"/>
      <c r="BC70" s="121">
        <f>IF(DADOS!$CZ$45=18,"▸ 18",18)</f>
        <v/>
      </c>
      <c r="BD70" s="121" t="inlineStr">
        <is>
          <t>1.300</t>
        </is>
      </c>
      <c r="BE70" s="12" t="n"/>
      <c r="BF70" s="121" t="inlineStr">
        <is>
          <t>11.700</t>
        </is>
      </c>
      <c r="BG70" s="12" t="n"/>
      <c r="BH70" s="115" t="n"/>
      <c r="BI70" s="115" t="n"/>
      <c r="BJ70" s="115" t="n"/>
      <c r="BK70" s="115" t="n"/>
      <c r="BL70" s="115" t="n"/>
      <c r="BM70" s="115" t="n"/>
      <c r="BN70" s="115" t="n"/>
      <c r="BO70" s="115" t="n"/>
      <c r="BP70" s="115" t="n"/>
      <c r="BQ70" s="115" t="n"/>
      <c r="BR70" s="115" t="n"/>
      <c r="BS70" s="115" t="n"/>
      <c r="BT70" s="115" t="n"/>
    </row>
    <row r="71">
      <c r="A71" s="8" t="n"/>
      <c r="B71" s="22" t="n"/>
      <c r="C71" s="115" t="n"/>
      <c r="D71" s="127" t="n"/>
      <c r="E71" s="11" t="n"/>
      <c r="F71" s="11" t="n"/>
      <c r="G71" s="11" t="n"/>
      <c r="H71" s="11" t="n"/>
      <c r="I71" s="11" t="n"/>
      <c r="J71" s="12" t="n"/>
      <c r="K71" s="121" t="n"/>
      <c r="L71" s="12" t="n"/>
      <c r="M71" s="127">
        <f>IF($D71="","",IFERROR(VLOOKUP($D71,DADOS!$BD$5:$BN$59,2,FALSE),""))</f>
        <v/>
      </c>
      <c r="N71" s="11" t="n"/>
      <c r="O71" s="11" t="n"/>
      <c r="P71" s="11" t="n"/>
      <c r="Q71" s="11" t="n"/>
      <c r="R71" s="12" t="n"/>
      <c r="S71" s="121">
        <f>IF($D71="","",IFERROR(VLOOKUP($D71,DADOS!$BD$5:$BN$59,3,FALSE),""))</f>
        <v/>
      </c>
      <c r="T71" s="12" t="n"/>
      <c r="U71" s="121">
        <f>IF($D71="","",IFERROR(VLOOKUP($D71,DADOS!$BD$5:$BN$59,4,FALSE),""))</f>
        <v/>
      </c>
      <c r="V71" s="12" t="n"/>
      <c r="W71" s="127">
        <f>IF($D71="","",IFERROR(VLOOKUP($D71,DADOS!$BD$5:$BN$59,5,FALSE),""))</f>
        <v/>
      </c>
      <c r="X71" s="11" t="n"/>
      <c r="Y71" s="11" t="n"/>
      <c r="Z71" s="11" t="n"/>
      <c r="AA71" s="11" t="n"/>
      <c r="AB71" s="11" t="n"/>
      <c r="AC71" s="11" t="n"/>
      <c r="AD71" s="12" t="n"/>
      <c r="AE71" s="121">
        <f>IF($D71="","",IFERROR(VLOOKUP($D71,DADOS!$BD$5:$BN$59,6,FALSE),""))</f>
        <v/>
      </c>
      <c r="AF71" s="12" t="n"/>
      <c r="AG71" s="121">
        <f>IF($D71="","",IFERROR(IF($K71="",1,$K71)*VLOOKUP($D71,DADOS!$BD$5:$BN$59,7,FALSE),""))</f>
        <v/>
      </c>
      <c r="AH71" s="12" t="n"/>
      <c r="AI71" s="121" t="n"/>
      <c r="AJ71" s="12" t="n"/>
      <c r="AK71" s="127" t="n"/>
      <c r="AL71" s="11" t="n"/>
      <c r="AM71" s="11" t="n"/>
      <c r="AN71" s="11" t="n"/>
      <c r="AO71" s="11" t="n"/>
      <c r="AP71" s="12" t="n"/>
      <c r="AQ71" s="121" t="n"/>
      <c r="AR71" s="11" t="n"/>
      <c r="AS71" s="11" t="n"/>
      <c r="AT71" s="12" t="n"/>
      <c r="AU71" s="115" t="n"/>
      <c r="AV71" s="115" t="n"/>
      <c r="AW71" s="121">
        <f>IF(DADOS!$CZ$45=4,"▸ 4",4)</f>
        <v/>
      </c>
      <c r="AX71" s="121" t="inlineStr">
        <is>
          <t>300</t>
        </is>
      </c>
      <c r="AY71" s="12" t="n"/>
      <c r="AZ71" s="121" t="inlineStr">
        <is>
          <t>500</t>
        </is>
      </c>
      <c r="BA71" s="12" t="n"/>
      <c r="BB71" s="115" t="n"/>
      <c r="BC71" s="121">
        <f>IF(DADOS!$CZ$45=19,"▸ 19",19)</f>
        <v/>
      </c>
      <c r="BD71" s="121" t="inlineStr">
        <is>
          <t>1.300</t>
        </is>
      </c>
      <c r="BE71" s="12" t="n"/>
      <c r="BF71" s="121" t="inlineStr">
        <is>
          <t>13.000</t>
        </is>
      </c>
      <c r="BG71" s="12" t="n"/>
      <c r="BH71" s="115" t="n"/>
      <c r="BI71" s="115" t="n"/>
      <c r="BJ71" s="115" t="n"/>
      <c r="BK71" s="115" t="n"/>
      <c r="BL71" s="115" t="n"/>
      <c r="BM71" s="115" t="n"/>
      <c r="BN71" s="115" t="n"/>
      <c r="BO71" s="115" t="n"/>
      <c r="BP71" s="115" t="n"/>
      <c r="BQ71" s="115" t="n"/>
      <c r="BR71" s="115" t="n"/>
      <c r="BS71" s="115" t="n"/>
      <c r="BT71" s="115" t="n"/>
    </row>
    <row r="72">
      <c r="A72" s="8" t="n"/>
      <c r="B72" s="22" t="n"/>
      <c r="C72" s="115" t="n"/>
      <c r="D72" s="127" t="n"/>
      <c r="E72" s="11" t="n"/>
      <c r="F72" s="11" t="n"/>
      <c r="G72" s="11" t="n"/>
      <c r="H72" s="11" t="n"/>
      <c r="I72" s="11" t="n"/>
      <c r="J72" s="12" t="n"/>
      <c r="K72" s="121" t="n"/>
      <c r="L72" s="12" t="n"/>
      <c r="M72" s="127">
        <f>IF($D72="","",IFERROR(VLOOKUP($D72,DADOS!$BD$5:$BN$59,2,FALSE),""))</f>
        <v/>
      </c>
      <c r="N72" s="11" t="n"/>
      <c r="O72" s="11" t="n"/>
      <c r="P72" s="11" t="n"/>
      <c r="Q72" s="11" t="n"/>
      <c r="R72" s="12" t="n"/>
      <c r="S72" s="121">
        <f>IF($D72="","",IFERROR(VLOOKUP($D72,DADOS!$BD$5:$BN$59,3,FALSE),""))</f>
        <v/>
      </c>
      <c r="T72" s="12" t="n"/>
      <c r="U72" s="121">
        <f>IF($D72="","",IFERROR(VLOOKUP($D72,DADOS!$BD$5:$BN$59,4,FALSE),""))</f>
        <v/>
      </c>
      <c r="V72" s="12" t="n"/>
      <c r="W72" s="127">
        <f>IF($D72="","",IFERROR(VLOOKUP($D72,DADOS!$BD$5:$BN$59,5,FALSE),""))</f>
        <v/>
      </c>
      <c r="X72" s="11" t="n"/>
      <c r="Y72" s="11" t="n"/>
      <c r="Z72" s="11" t="n"/>
      <c r="AA72" s="11" t="n"/>
      <c r="AB72" s="11" t="n"/>
      <c r="AC72" s="11" t="n"/>
      <c r="AD72" s="12" t="n"/>
      <c r="AE72" s="121">
        <f>IF($D72="","",IFERROR(VLOOKUP($D72,DADOS!$BD$5:$BN$59,6,FALSE),""))</f>
        <v/>
      </c>
      <c r="AF72" s="12" t="n"/>
      <c r="AG72" s="121">
        <f>IF($D72="","",IFERROR(IF($K72="",1,$K72)*VLOOKUP($D72,DADOS!$BD$5:$BN$59,7,FALSE),""))</f>
        <v/>
      </c>
      <c r="AH72" s="12" t="n"/>
      <c r="AI72" s="121" t="n"/>
      <c r="AJ72" s="12" t="n"/>
      <c r="AK72" s="127" t="n"/>
      <c r="AL72" s="11" t="n"/>
      <c r="AM72" s="11" t="n"/>
      <c r="AN72" s="11" t="n"/>
      <c r="AO72" s="11" t="n"/>
      <c r="AP72" s="12" t="n"/>
      <c r="AQ72" s="121" t="n"/>
      <c r="AR72" s="11" t="n"/>
      <c r="AS72" s="11" t="n"/>
      <c r="AT72" s="12" t="n"/>
      <c r="AU72" s="115" t="n"/>
      <c r="AV72" s="115" t="n"/>
      <c r="AW72" s="121">
        <f>IF(DADOS!$CZ$45=5,"▸ 5",5)</f>
        <v/>
      </c>
      <c r="AX72" s="121" t="inlineStr">
        <is>
          <t>500</t>
        </is>
      </c>
      <c r="AY72" s="12" t="n"/>
      <c r="AZ72" s="121" t="inlineStr">
        <is>
          <t>800</t>
        </is>
      </c>
      <c r="BA72" s="12" t="n"/>
      <c r="BB72" s="115" t="n"/>
      <c r="BC72" s="121">
        <f>IF(DADOS!$CZ$45=20,"▸ 20",20)</f>
        <v/>
      </c>
      <c r="BD72" s="121" t="inlineStr">
        <is>
          <t>1.500 e um feito</t>
        </is>
      </c>
      <c r="BE72" s="12" t="n"/>
      <c r="BF72" s="121" t="inlineStr">
        <is>
          <t>14.300</t>
        </is>
      </c>
      <c r="BG72" s="12" t="n"/>
      <c r="BH72" s="115" t="n"/>
      <c r="BI72" s="115" t="n"/>
      <c r="BJ72" s="115" t="n"/>
      <c r="BK72" s="115" t="n"/>
      <c r="BL72" s="115" t="n"/>
      <c r="BM72" s="115" t="n"/>
      <c r="BN72" s="115" t="n"/>
      <c r="BO72" s="115" t="n"/>
      <c r="BP72" s="115" t="n"/>
      <c r="BQ72" s="115" t="n"/>
      <c r="BR72" s="115" t="n"/>
      <c r="BS72" s="115" t="n"/>
      <c r="BT72" s="115" t="n"/>
    </row>
    <row r="73">
      <c r="A73" s="8" t="n"/>
      <c r="B73" s="22" t="n"/>
      <c r="C73" s="115" t="n"/>
      <c r="D73" s="127" t="n"/>
      <c r="E73" s="11" t="n"/>
      <c r="F73" s="11" t="n"/>
      <c r="G73" s="11" t="n"/>
      <c r="H73" s="11" t="n"/>
      <c r="I73" s="11" t="n"/>
      <c r="J73" s="12" t="n"/>
      <c r="K73" s="121" t="n"/>
      <c r="L73" s="12" t="n"/>
      <c r="M73" s="127">
        <f>IF($D73="","",IFERROR(VLOOKUP($D73,DADOS!$BD$5:$BN$59,2,FALSE),""))</f>
        <v/>
      </c>
      <c r="N73" s="11" t="n"/>
      <c r="O73" s="11" t="n"/>
      <c r="P73" s="11" t="n"/>
      <c r="Q73" s="11" t="n"/>
      <c r="R73" s="12" t="n"/>
      <c r="S73" s="121">
        <f>IF($D73="","",IFERROR(VLOOKUP($D73,DADOS!$BD$5:$BN$59,3,FALSE),""))</f>
        <v/>
      </c>
      <c r="T73" s="12" t="n"/>
      <c r="U73" s="121">
        <f>IF($D73="","",IFERROR(VLOOKUP($D73,DADOS!$BD$5:$BN$59,4,FALSE),""))</f>
        <v/>
      </c>
      <c r="V73" s="12" t="n"/>
      <c r="W73" s="127">
        <f>IF($D73="","",IFERROR(VLOOKUP($D73,DADOS!$BD$5:$BN$59,5,FALSE),""))</f>
        <v/>
      </c>
      <c r="X73" s="11" t="n"/>
      <c r="Y73" s="11" t="n"/>
      <c r="Z73" s="11" t="n"/>
      <c r="AA73" s="11" t="n"/>
      <c r="AB73" s="11" t="n"/>
      <c r="AC73" s="11" t="n"/>
      <c r="AD73" s="12" t="n"/>
      <c r="AE73" s="121">
        <f>IF($D73="","",IFERROR(VLOOKUP($D73,DADOS!$BD$5:$BN$59,6,FALSE),""))</f>
        <v/>
      </c>
      <c r="AF73" s="12" t="n"/>
      <c r="AG73" s="121">
        <f>IF($D73="","",IFERROR(IF($K73="",1,$K73)*VLOOKUP($D73,DADOS!$BD$5:$BN$59,7,FALSE),""))</f>
        <v/>
      </c>
      <c r="AH73" s="12" t="n"/>
      <c r="AI73" s="121" t="n"/>
      <c r="AJ73" s="12" t="n"/>
      <c r="AK73" s="127" t="n"/>
      <c r="AL73" s="11" t="n"/>
      <c r="AM73" s="11" t="n"/>
      <c r="AN73" s="11" t="n"/>
      <c r="AO73" s="11" t="n"/>
      <c r="AP73" s="12" t="n"/>
      <c r="AQ73" s="121" t="n"/>
      <c r="AR73" s="11" t="n"/>
      <c r="AS73" s="11" t="n"/>
      <c r="AT73" s="12" t="n"/>
      <c r="AU73" s="115" t="n"/>
      <c r="AV73" s="115" t="n"/>
      <c r="AW73" s="121">
        <f>IF(DADOS!$CZ$45=6,"▸ 6",6)</f>
        <v/>
      </c>
      <c r="AX73" s="121" t="inlineStr">
        <is>
          <t>500</t>
        </is>
      </c>
      <c r="AY73" s="12" t="n"/>
      <c r="AZ73" s="121" t="inlineStr">
        <is>
          <t>1.300</t>
        </is>
      </c>
      <c r="BA73" s="12" t="n"/>
      <c r="BB73" s="115" t="n"/>
      <c r="BC73" s="121">
        <f>IF(DADOS!$CZ$45=21,"▸ 21",21)</f>
        <v/>
      </c>
      <c r="BD73" s="121" t="inlineStr">
        <is>
          <t>1.500</t>
        </is>
      </c>
      <c r="BE73" s="12" t="n"/>
      <c r="BF73" s="121" t="inlineStr">
        <is>
          <t>15.800</t>
        </is>
      </c>
      <c r="BG73" s="12" t="n"/>
      <c r="BH73" s="115" t="n"/>
      <c r="BI73" s="115" t="n"/>
      <c r="BJ73" s="115" t="n"/>
      <c r="BK73" s="115" t="n"/>
      <c r="BL73" s="115" t="n"/>
      <c r="BM73" s="115" t="n"/>
      <c r="BN73" s="115" t="n"/>
      <c r="BO73" s="115" t="n"/>
      <c r="BP73" s="115" t="n"/>
      <c r="BQ73" s="115" t="n"/>
      <c r="BR73" s="115" t="n"/>
      <c r="BS73" s="115" t="n"/>
      <c r="BT73" s="115" t="n"/>
    </row>
    <row r="74">
      <c r="A74" s="8" t="n"/>
      <c r="B74" s="22" t="n"/>
      <c r="C74" s="115" t="n"/>
      <c r="D74" s="127" t="n"/>
      <c r="E74" s="11" t="n"/>
      <c r="F74" s="11" t="n"/>
      <c r="G74" s="11" t="n"/>
      <c r="H74" s="11" t="n"/>
      <c r="I74" s="11" t="n"/>
      <c r="J74" s="12" t="n"/>
      <c r="K74" s="121" t="n"/>
      <c r="L74" s="12" t="n"/>
      <c r="M74" s="127">
        <f>IF($D74="","",IFERROR(VLOOKUP($D74,DADOS!$BD$5:$BN$59,2,FALSE),""))</f>
        <v/>
      </c>
      <c r="N74" s="11" t="n"/>
      <c r="O74" s="11" t="n"/>
      <c r="P74" s="11" t="n"/>
      <c r="Q74" s="11" t="n"/>
      <c r="R74" s="12" t="n"/>
      <c r="S74" s="121">
        <f>IF($D74="","",IFERROR(VLOOKUP($D74,DADOS!$BD$5:$BN$59,3,FALSE),""))</f>
        <v/>
      </c>
      <c r="T74" s="12" t="n"/>
      <c r="U74" s="121">
        <f>IF($D74="","",IFERROR(VLOOKUP($D74,DADOS!$BD$5:$BN$59,4,FALSE),""))</f>
        <v/>
      </c>
      <c r="V74" s="12" t="n"/>
      <c r="W74" s="127">
        <f>IF($D74="","",IFERROR(VLOOKUP($D74,DADOS!$BD$5:$BN$59,5,FALSE),""))</f>
        <v/>
      </c>
      <c r="X74" s="11" t="n"/>
      <c r="Y74" s="11" t="n"/>
      <c r="Z74" s="11" t="n"/>
      <c r="AA74" s="11" t="n"/>
      <c r="AB74" s="11" t="n"/>
      <c r="AC74" s="11" t="n"/>
      <c r="AD74" s="12" t="n"/>
      <c r="AE74" s="121">
        <f>IF($D74="","",IFERROR(VLOOKUP($D74,DADOS!$BD$5:$BN$59,6,FALSE),""))</f>
        <v/>
      </c>
      <c r="AF74" s="12" t="n"/>
      <c r="AG74" s="121">
        <f>IF($D74="","",IFERROR(IF($K74="",1,$K74)*VLOOKUP($D74,DADOS!$BD$5:$BN$59,7,FALSE),""))</f>
        <v/>
      </c>
      <c r="AH74" s="12" t="n"/>
      <c r="AI74" s="121" t="n"/>
      <c r="AJ74" s="12" t="n"/>
      <c r="AK74" s="127" t="n"/>
      <c r="AL74" s="11" t="n"/>
      <c r="AM74" s="11" t="n"/>
      <c r="AN74" s="11" t="n"/>
      <c r="AO74" s="11" t="n"/>
      <c r="AP74" s="12" t="n"/>
      <c r="AQ74" s="121" t="n"/>
      <c r="AR74" s="11" t="n"/>
      <c r="AS74" s="11" t="n"/>
      <c r="AT74" s="12" t="n"/>
      <c r="AU74" s="115" t="n"/>
      <c r="AV74" s="115" t="n"/>
      <c r="AW74" s="121">
        <f>IF(DADOS!$CZ$45=7,"▸ 7",7)</f>
        <v/>
      </c>
      <c r="AX74" s="121" t="inlineStr">
        <is>
          <t>500</t>
        </is>
      </c>
      <c r="AY74" s="12" t="n"/>
      <c r="AZ74" s="121" t="inlineStr">
        <is>
          <t>1.800</t>
        </is>
      </c>
      <c r="BA74" s="12" t="n"/>
      <c r="BB74" s="115" t="n"/>
      <c r="BC74" s="121">
        <f>IF(DADOS!$CZ$45=22,"▸ 22",22)</f>
        <v/>
      </c>
      <c r="BD74" s="121" t="inlineStr">
        <is>
          <t>1.500</t>
        </is>
      </c>
      <c r="BE74" s="12" t="n"/>
      <c r="BF74" s="121" t="inlineStr">
        <is>
          <t>17.300</t>
        </is>
      </c>
      <c r="BG74" s="12" t="n"/>
      <c r="BH74" s="115" t="n"/>
      <c r="BI74" s="115" t="n"/>
      <c r="BJ74" s="115" t="n"/>
      <c r="BK74" s="115" t="n"/>
      <c r="BL74" s="115" t="n"/>
      <c r="BM74" s="115" t="n"/>
      <c r="BN74" s="115" t="n"/>
      <c r="BO74" s="115" t="n"/>
      <c r="BP74" s="115" t="n"/>
      <c r="BQ74" s="115" t="n"/>
      <c r="BR74" s="115" t="n"/>
      <c r="BS74" s="115" t="n"/>
      <c r="BT74" s="115" t="n"/>
    </row>
    <row r="75">
      <c r="A75" s="8" t="n"/>
      <c r="B75" s="22" t="n"/>
      <c r="C75" s="115" t="n"/>
      <c r="D75" s="127" t="n"/>
      <c r="E75" s="11" t="n"/>
      <c r="F75" s="11" t="n"/>
      <c r="G75" s="11" t="n"/>
      <c r="H75" s="11" t="n"/>
      <c r="I75" s="11" t="n"/>
      <c r="J75" s="12" t="n"/>
      <c r="K75" s="121" t="n"/>
      <c r="L75" s="12" t="n"/>
      <c r="M75" s="127" t="n"/>
      <c r="N75" s="11" t="n"/>
      <c r="O75" s="11" t="n"/>
      <c r="P75" s="11" t="n"/>
      <c r="Q75" s="11" t="n"/>
      <c r="R75" s="12" t="n"/>
      <c r="S75" s="121" t="n"/>
      <c r="T75" s="12" t="n"/>
      <c r="U75" s="121" t="n"/>
      <c r="V75" s="12" t="n"/>
      <c r="W75" s="127" t="n"/>
      <c r="X75" s="11" t="n"/>
      <c r="Y75" s="11" t="n"/>
      <c r="Z75" s="11" t="n"/>
      <c r="AA75" s="11" t="n"/>
      <c r="AB75" s="11" t="n"/>
      <c r="AC75" s="11" t="n"/>
      <c r="AD75" s="12" t="n"/>
      <c r="AE75" s="121" t="n"/>
      <c r="AF75" s="12" t="n"/>
      <c r="AG75" s="121" t="n"/>
      <c r="AH75" s="12" t="n"/>
      <c r="AI75" s="121" t="n"/>
      <c r="AJ75" s="12" t="n"/>
      <c r="AK75" s="127" t="n"/>
      <c r="AL75" s="11" t="n"/>
      <c r="AM75" s="11" t="n"/>
      <c r="AN75" s="11" t="n"/>
      <c r="AO75" s="11" t="n"/>
      <c r="AP75" s="12" t="n"/>
      <c r="AQ75" s="121" t="n"/>
      <c r="AR75" s="11" t="n"/>
      <c r="AS75" s="11" t="n"/>
      <c r="AT75" s="12" t="n"/>
      <c r="AU75" s="115" t="n"/>
      <c r="AV75" s="115" t="n"/>
      <c r="AW75" s="121">
        <f>IF(DADOS!$CZ$45=8,"▸ 8",8)</f>
        <v/>
      </c>
      <c r="AX75" s="121" t="inlineStr">
        <is>
          <t>700</t>
        </is>
      </c>
      <c r="AY75" s="12" t="n"/>
      <c r="AZ75" s="121" t="inlineStr">
        <is>
          <t>2.300</t>
        </is>
      </c>
      <c r="BA75" s="12" t="n"/>
      <c r="BB75" s="115" t="n"/>
      <c r="BC75" s="121">
        <f>IF(DADOS!$CZ$45=23,"▸ 23",23)</f>
        <v/>
      </c>
      <c r="BD75" s="121" t="inlineStr">
        <is>
          <t>1.700</t>
        </is>
      </c>
      <c r="BE75" s="12" t="n"/>
      <c r="BF75" s="121" t="inlineStr">
        <is>
          <t>18.800</t>
        </is>
      </c>
      <c r="BG75" s="12" t="n"/>
      <c r="BH75" s="115" t="n"/>
      <c r="BI75" s="115" t="n"/>
      <c r="BJ75" s="115" t="n"/>
      <c r="BK75" s="115" t="n"/>
      <c r="BL75" s="115" t="n"/>
      <c r="BM75" s="115" t="n"/>
      <c r="BN75" s="115" t="n"/>
      <c r="BO75" s="115" t="n"/>
      <c r="BP75" s="115" t="n"/>
      <c r="BQ75" s="115" t="n"/>
      <c r="BR75" s="115" t="n"/>
      <c r="BS75" s="115" t="n"/>
      <c r="BT75" s="115" t="n"/>
    </row>
    <row r="76">
      <c r="A76" s="8" t="n"/>
      <c r="B76" s="22" t="n"/>
      <c r="C76" s="115" t="n"/>
      <c r="D76" s="127" t="n"/>
      <c r="E76" s="11" t="n"/>
      <c r="F76" s="11" t="n"/>
      <c r="G76" s="11" t="n"/>
      <c r="H76" s="11" t="n"/>
      <c r="I76" s="11" t="n"/>
      <c r="J76" s="12" t="n"/>
      <c r="K76" s="121" t="n"/>
      <c r="L76" s="12" t="n"/>
      <c r="M76" s="127" t="n"/>
      <c r="N76" s="11" t="n"/>
      <c r="O76" s="11" t="n"/>
      <c r="P76" s="11" t="n"/>
      <c r="Q76" s="11" t="n"/>
      <c r="R76" s="12" t="n"/>
      <c r="S76" s="121" t="n"/>
      <c r="T76" s="12" t="n"/>
      <c r="U76" s="121" t="n"/>
      <c r="V76" s="12" t="n"/>
      <c r="W76" s="127" t="n"/>
      <c r="X76" s="11" t="n"/>
      <c r="Y76" s="11" t="n"/>
      <c r="Z76" s="11" t="n"/>
      <c r="AA76" s="11" t="n"/>
      <c r="AB76" s="11" t="n"/>
      <c r="AC76" s="11" t="n"/>
      <c r="AD76" s="12" t="n"/>
      <c r="AE76" s="121" t="n"/>
      <c r="AF76" s="12" t="n"/>
      <c r="AG76" s="121" t="n"/>
      <c r="AH76" s="12" t="n"/>
      <c r="AI76" s="121" t="n"/>
      <c r="AJ76" s="12" t="n"/>
      <c r="AK76" s="127" t="n"/>
      <c r="AL76" s="11" t="n"/>
      <c r="AM76" s="11" t="n"/>
      <c r="AN76" s="11" t="n"/>
      <c r="AO76" s="11" t="n"/>
      <c r="AP76" s="12" t="n"/>
      <c r="AQ76" s="121" t="n"/>
      <c r="AR76" s="11" t="n"/>
      <c r="AS76" s="11" t="n"/>
      <c r="AT76" s="12" t="n"/>
      <c r="AU76" s="115" t="n"/>
      <c r="AV76" s="115" t="n"/>
      <c r="AW76" s="121">
        <f>IF(DADOS!$CZ$45=9,"▸ 9",9)</f>
        <v/>
      </c>
      <c r="AX76" s="121" t="inlineStr">
        <is>
          <t>700</t>
        </is>
      </c>
      <c r="AY76" s="12" t="n"/>
      <c r="AZ76" s="121" t="inlineStr">
        <is>
          <t>3.000</t>
        </is>
      </c>
      <c r="BA76" s="12" t="n"/>
      <c r="BB76" s="115" t="n"/>
      <c r="BC76" s="121">
        <f>IF(DADOS!$CZ$45=24,"▸ 24",24)</f>
        <v/>
      </c>
      <c r="BD76" s="121" t="inlineStr">
        <is>
          <t>1.700</t>
        </is>
      </c>
      <c r="BE76" s="12" t="n"/>
      <c r="BF76" s="121" t="inlineStr">
        <is>
          <t>20.500</t>
        </is>
      </c>
      <c r="BG76" s="12" t="n"/>
      <c r="BH76" s="115" t="n"/>
      <c r="BI76" s="115" t="n"/>
      <c r="BJ76" s="115" t="n"/>
      <c r="BK76" s="115" t="n"/>
      <c r="BL76" s="115" t="n"/>
      <c r="BM76" s="115" t="n"/>
      <c r="BN76" s="115" t="n"/>
      <c r="BO76" s="115" t="n"/>
      <c r="BP76" s="115" t="n"/>
      <c r="BQ76" s="115" t="n"/>
      <c r="BR76" s="115" t="n"/>
      <c r="BS76" s="115" t="n"/>
      <c r="BT76" s="115" t="n"/>
    </row>
    <row r="77">
      <c r="A77" s="8" t="n"/>
      <c r="B77" s="22" t="n"/>
      <c r="C77" s="115" t="n"/>
      <c r="D77" s="115" t="n"/>
      <c r="E77" s="115" t="n"/>
      <c r="F77" s="115" t="n"/>
      <c r="G77" s="115" t="n"/>
      <c r="H77" s="115" t="n"/>
      <c r="I77" s="115" t="n"/>
      <c r="J77" s="115" t="n"/>
      <c r="K77" s="115" t="n"/>
      <c r="L77" s="115" t="n"/>
      <c r="M77" s="115" t="n"/>
      <c r="N77" s="115" t="n"/>
      <c r="O77" s="115" t="n"/>
      <c r="P77" s="115" t="n"/>
      <c r="Q77" s="115" t="n"/>
      <c r="R77" s="115" t="n"/>
      <c r="S77" s="115" t="n"/>
      <c r="T77" s="115" t="n"/>
      <c r="U77" s="115" t="n"/>
      <c r="V77" s="115" t="n"/>
      <c r="W77" s="115" t="n"/>
      <c r="X77" s="115" t="n"/>
      <c r="Y77" s="115" t="n"/>
      <c r="Z77" s="115" t="n"/>
      <c r="AA77" s="115" t="n"/>
      <c r="AB77" s="115" t="n"/>
      <c r="AC77" s="115" t="n"/>
      <c r="AD77" s="115" t="n"/>
      <c r="AE77" s="115" t="n"/>
      <c r="AF77" s="115" t="n"/>
      <c r="AG77" s="115" t="n"/>
      <c r="AH77" s="115" t="n"/>
      <c r="AI77" s="115" t="n"/>
      <c r="AJ77" s="115" t="n"/>
      <c r="AK77" s="115" t="n"/>
      <c r="AL77" s="115" t="n"/>
      <c r="AM77" s="115" t="n"/>
      <c r="AN77" s="115" t="n"/>
      <c r="AO77" s="115" t="n"/>
      <c r="AP77" s="115" t="n"/>
      <c r="AQ77" s="115" t="n"/>
      <c r="AR77" s="115" t="n"/>
      <c r="AS77" s="115" t="n"/>
      <c r="AT77" s="115" t="n"/>
      <c r="AU77" s="115" t="n"/>
      <c r="AV77" s="115" t="n"/>
      <c r="AW77" s="121">
        <f>IF(DADOS!$CZ$45=10,"▸ 10",10)</f>
        <v/>
      </c>
      <c r="AX77" s="121" t="inlineStr">
        <is>
          <t>700</t>
        </is>
      </c>
      <c r="AY77" s="12" t="n"/>
      <c r="AZ77" s="121" t="inlineStr">
        <is>
          <t>3.700</t>
        </is>
      </c>
      <c r="BA77" s="12" t="n"/>
      <c r="BB77" s="115" t="n"/>
      <c r="BC77" s="121">
        <f>IF(DADOS!$CZ$45=25,"▸ 25",25)</f>
        <v/>
      </c>
      <c r="BD77" s="121" t="inlineStr">
        <is>
          <t>1.700</t>
        </is>
      </c>
      <c r="BE77" s="12" t="n"/>
      <c r="BF77" s="121" t="inlineStr">
        <is>
          <t>22.200</t>
        </is>
      </c>
      <c r="BG77" s="12" t="n"/>
      <c r="BH77" s="115" t="n"/>
      <c r="BI77" s="115" t="n"/>
      <c r="BJ77" s="115" t="n"/>
      <c r="BK77" s="115" t="n"/>
      <c r="BL77" s="115" t="n"/>
      <c r="BM77" s="115" t="n"/>
      <c r="BN77" s="115" t="n"/>
      <c r="BO77" s="115" t="n"/>
      <c r="BP77" s="115" t="n"/>
      <c r="BQ77" s="115" t="n"/>
      <c r="BR77" s="115" t="n"/>
      <c r="BS77" s="115" t="n"/>
      <c r="BT77" s="115" t="n"/>
    </row>
    <row r="78">
      <c r="A78" s="8" t="n"/>
      <c r="B78" s="22" t="n"/>
      <c r="C78" s="115" t="n"/>
      <c r="D78" s="118" t="inlineStr">
        <is>
          <t>ITENS GUARDADOS</t>
        </is>
      </c>
      <c r="E78" s="14" t="n"/>
      <c r="F78" s="14" t="n"/>
      <c r="G78" s="14" t="n"/>
      <c r="H78" s="14" t="n"/>
      <c r="I78" s="14" t="n"/>
      <c r="J78" s="14" t="n"/>
      <c r="K78" s="14" t="n"/>
      <c r="L78" s="14" t="n"/>
      <c r="M78" s="14" t="n"/>
      <c r="N78" s="14" t="n"/>
      <c r="O78" s="14" t="n"/>
      <c r="P78" s="14" t="n"/>
      <c r="Q78" s="14" t="n"/>
      <c r="R78" s="14" t="n"/>
      <c r="S78" s="14" t="n"/>
      <c r="T78" s="14" t="n"/>
      <c r="U78" s="14" t="n"/>
      <c r="V78" s="14" t="n"/>
      <c r="W78" s="14" t="n"/>
      <c r="X78" s="14" t="n"/>
      <c r="Y78" s="14" t="n"/>
      <c r="Z78" s="14" t="n"/>
      <c r="AA78" s="14" t="n"/>
      <c r="AB78" s="14" t="n"/>
      <c r="AC78" s="14" t="n"/>
      <c r="AD78" s="14" t="n"/>
      <c r="AE78" s="14" t="n"/>
      <c r="AF78" s="14" t="n"/>
      <c r="AG78" s="14" t="n"/>
      <c r="AH78" s="14" t="n"/>
      <c r="AI78" s="14" t="n"/>
      <c r="AJ78" s="14" t="n"/>
      <c r="AK78" s="14" t="n"/>
      <c r="AL78" s="14" t="n"/>
      <c r="AM78" s="14" t="n"/>
      <c r="AN78" s="14" t="n"/>
      <c r="AO78" s="14" t="n"/>
      <c r="AP78" s="14" t="n"/>
      <c r="AQ78" s="14" t="n"/>
      <c r="AR78" s="14" t="n"/>
      <c r="AS78" s="14" t="n"/>
      <c r="AT78" s="15" t="n"/>
      <c r="AU78" s="115" t="n"/>
      <c r="AV78" s="115" t="n"/>
      <c r="AW78" s="121">
        <f>IF(DADOS!$CZ$45=11,"▸ 11",11)</f>
        <v/>
      </c>
      <c r="AX78" s="121" t="inlineStr">
        <is>
          <t>900</t>
        </is>
      </c>
      <c r="AY78" s="12" t="n"/>
      <c r="AZ78" s="121" t="inlineStr">
        <is>
          <t>4.400</t>
        </is>
      </c>
      <c r="BA78" s="12" t="n"/>
      <c r="BB78" s="115" t="n"/>
      <c r="BC78" s="121">
        <f>IF(DADOS!$CZ$45=26,"▸ 26",26)</f>
        <v/>
      </c>
      <c r="BD78" s="121" t="inlineStr">
        <is>
          <t>1.700</t>
        </is>
      </c>
      <c r="BE78" s="12" t="n"/>
      <c r="BF78" s="121" t="inlineStr">
        <is>
          <t>23.900</t>
        </is>
      </c>
      <c r="BG78" s="12" t="n"/>
      <c r="BH78" s="115" t="n"/>
      <c r="BI78" s="115" t="n"/>
      <c r="BJ78" s="115" t="n"/>
      <c r="BK78" s="115" t="n"/>
      <c r="BL78" s="115" t="n"/>
      <c r="BM78" s="115" t="n"/>
      <c r="BN78" s="115" t="n"/>
      <c r="BO78" s="115" t="n"/>
      <c r="BP78" s="115" t="n"/>
      <c r="BQ78" s="115" t="n"/>
      <c r="BR78" s="115" t="n"/>
      <c r="BS78" s="115" t="n"/>
      <c r="BT78" s="115" t="n"/>
    </row>
    <row r="79">
      <c r="A79" s="8" t="n"/>
      <c r="B79" s="22" t="n"/>
      <c r="C79" s="115" t="n"/>
      <c r="D79" s="18" t="n"/>
      <c r="E79" s="19" t="n"/>
      <c r="F79" s="19" t="n"/>
      <c r="G79" s="19" t="n"/>
      <c r="H79" s="19" t="n"/>
      <c r="I79" s="19" t="n"/>
      <c r="J79" s="19" t="n"/>
      <c r="K79" s="19" t="n"/>
      <c r="L79" s="19" t="n"/>
      <c r="M79" s="19" t="n"/>
      <c r="N79" s="19" t="n"/>
      <c r="O79" s="19" t="n"/>
      <c r="P79" s="19" t="n"/>
      <c r="Q79" s="19" t="n"/>
      <c r="R79" s="19" t="n"/>
      <c r="S79" s="19" t="n"/>
      <c r="T79" s="19" t="n"/>
      <c r="U79" s="19" t="n"/>
      <c r="V79" s="19" t="n"/>
      <c r="W79" s="19" t="n"/>
      <c r="X79" s="19" t="n"/>
      <c r="Y79" s="19" t="n"/>
      <c r="Z79" s="19" t="n"/>
      <c r="AA79" s="19" t="n"/>
      <c r="AB79" s="19" t="n"/>
      <c r="AC79" s="19" t="n"/>
      <c r="AD79" s="19" t="n"/>
      <c r="AE79" s="19" t="n"/>
      <c r="AF79" s="19" t="n"/>
      <c r="AG79" s="19" t="n"/>
      <c r="AH79" s="19" t="n"/>
      <c r="AI79" s="19" t="n"/>
      <c r="AJ79" s="19" t="n"/>
      <c r="AK79" s="19" t="n"/>
      <c r="AL79" s="19" t="n"/>
      <c r="AM79" s="19" t="n"/>
      <c r="AN79" s="19" t="n"/>
      <c r="AO79" s="19" t="n"/>
      <c r="AP79" s="19" t="n"/>
      <c r="AQ79" s="19" t="n"/>
      <c r="AR79" s="19" t="n"/>
      <c r="AS79" s="19" t="n"/>
      <c r="AT79" s="20" t="n"/>
      <c r="AU79" s="115" t="n"/>
      <c r="AV79" s="115" t="n"/>
      <c r="AW79" s="121">
        <f>IF(DADOS!$CZ$45=12,"▸ 12",12)</f>
        <v/>
      </c>
      <c r="AX79" s="121" t="inlineStr">
        <is>
          <t>900</t>
        </is>
      </c>
      <c r="AY79" s="12" t="n"/>
      <c r="AZ79" s="121" t="inlineStr">
        <is>
          <t>5.300</t>
        </is>
      </c>
      <c r="BA79" s="12" t="n"/>
      <c r="BB79" s="115" t="n"/>
      <c r="BC79" s="121">
        <f>IF(DADOS!$CZ$45=27,"▸ 27",27)</f>
        <v/>
      </c>
      <c r="BD79" s="121" t="inlineStr">
        <is>
          <t>1.700</t>
        </is>
      </c>
      <c r="BE79" s="12" t="n"/>
      <c r="BF79" s="121" t="inlineStr">
        <is>
          <t>25.600</t>
        </is>
      </c>
      <c r="BG79" s="12" t="n"/>
      <c r="BH79" s="115" t="n"/>
      <c r="BI79" s="115" t="n"/>
      <c r="BJ79" s="115" t="n"/>
      <c r="BK79" s="115" t="n"/>
      <c r="BL79" s="115" t="n"/>
      <c r="BM79" s="115" t="n"/>
      <c r="BN79" s="115" t="n"/>
      <c r="BO79" s="115" t="n"/>
      <c r="BP79" s="115" t="n"/>
      <c r="BQ79" s="115" t="n"/>
      <c r="BR79" s="115" t="n"/>
      <c r="BS79" s="115" t="n"/>
      <c r="BT79" s="115" t="n"/>
    </row>
    <row r="80">
      <c r="A80" s="8" t="n"/>
      <c r="B80" s="22" t="n"/>
      <c r="C80" s="115" t="n"/>
      <c r="D80" s="52" t="inlineStr">
        <is>
          <t>ITEM</t>
        </is>
      </c>
      <c r="E80" s="11" t="n"/>
      <c r="F80" s="11" t="n"/>
      <c r="G80" s="11" t="n"/>
      <c r="H80" s="11" t="n"/>
      <c r="I80" s="11" t="n"/>
      <c r="J80" s="11" t="n"/>
      <c r="K80" s="11" t="n"/>
      <c r="L80" s="11" t="n"/>
      <c r="M80" s="11" t="n"/>
      <c r="N80" s="11" t="n"/>
      <c r="O80" s="11" t="n"/>
      <c r="P80" s="11" t="n"/>
      <c r="Q80" s="11" t="n"/>
      <c r="R80" s="11" t="n"/>
      <c r="S80" s="12" t="n"/>
      <c r="T80" s="52" t="inlineStr">
        <is>
          <t>QTD.</t>
        </is>
      </c>
      <c r="U80" s="12" t="n"/>
      <c r="V80" s="52" t="inlineStr">
        <is>
          <t>VOL.</t>
        </is>
      </c>
      <c r="W80" s="11" t="n"/>
      <c r="X80" s="12" t="n"/>
      <c r="Y80" s="115" t="n"/>
      <c r="Z80" s="52" t="inlineStr">
        <is>
          <t>ITEM</t>
        </is>
      </c>
      <c r="AA80" s="11" t="n"/>
      <c r="AB80" s="11" t="n"/>
      <c r="AC80" s="11" t="n"/>
      <c r="AD80" s="11" t="n"/>
      <c r="AE80" s="11" t="n"/>
      <c r="AF80" s="11" t="n"/>
      <c r="AG80" s="11" t="n"/>
      <c r="AH80" s="11" t="n"/>
      <c r="AI80" s="11" t="n"/>
      <c r="AJ80" s="11" t="n"/>
      <c r="AK80" s="11" t="n"/>
      <c r="AL80" s="11" t="n"/>
      <c r="AM80" s="11" t="n"/>
      <c r="AN80" s="11" t="n"/>
      <c r="AO80" s="12" t="n"/>
      <c r="AP80" s="52" t="inlineStr">
        <is>
          <t>QTD.</t>
        </is>
      </c>
      <c r="AQ80" s="12" t="n"/>
      <c r="AR80" s="52" t="inlineStr">
        <is>
          <t>VOL.</t>
        </is>
      </c>
      <c r="AS80" s="11" t="n"/>
      <c r="AT80" s="12" t="n"/>
      <c r="AU80" s="115" t="n"/>
      <c r="AV80" s="115" t="n"/>
      <c r="AW80" s="121">
        <f>IF(DADOS!$CZ$45=13,"▸ 13",13)</f>
        <v/>
      </c>
      <c r="AX80" s="121" t="inlineStr">
        <is>
          <t>900</t>
        </is>
      </c>
      <c r="AY80" s="12" t="n"/>
      <c r="AZ80" s="121" t="inlineStr">
        <is>
          <t>6.200</t>
        </is>
      </c>
      <c r="BA80" s="12" t="n"/>
      <c r="BB80" s="115" t="n"/>
      <c r="BC80" s="121">
        <f>IF(DADOS!$CZ$45=28,"▸ 28",28)</f>
        <v/>
      </c>
      <c r="BD80" s="121" t="inlineStr">
        <is>
          <t>1.700</t>
        </is>
      </c>
      <c r="BE80" s="12" t="n"/>
      <c r="BF80" s="121" t="inlineStr">
        <is>
          <t>27.300</t>
        </is>
      </c>
      <c r="BG80" s="12" t="n"/>
      <c r="BH80" s="115" t="n"/>
      <c r="BI80" s="115" t="n"/>
      <c r="BJ80" s="115" t="n"/>
      <c r="BK80" s="115" t="n"/>
      <c r="BL80" s="115" t="n"/>
      <c r="BM80" s="115" t="n"/>
      <c r="BN80" s="115" t="n"/>
      <c r="BO80" s="115" t="n"/>
      <c r="BP80" s="115" t="n"/>
      <c r="BQ80" s="115" t="n"/>
      <c r="BR80" s="115" t="n"/>
      <c r="BS80" s="115" t="n"/>
      <c r="BT80" s="115" t="n"/>
    </row>
    <row r="81">
      <c r="A81" s="8" t="n"/>
      <c r="B81" s="22" t="n"/>
      <c r="C81" s="115" t="n"/>
      <c r="D81" s="127" t="n"/>
      <c r="E81" s="11" t="n"/>
      <c r="F81" s="11" t="n"/>
      <c r="G81" s="11" t="n"/>
      <c r="H81" s="11" t="n"/>
      <c r="I81" s="11" t="n"/>
      <c r="J81" s="11" t="n"/>
      <c r="K81" s="11" t="n"/>
      <c r="L81" s="11" t="n"/>
      <c r="M81" s="11" t="n"/>
      <c r="N81" s="11" t="n"/>
      <c r="O81" s="11" t="n"/>
      <c r="P81" s="11" t="n"/>
      <c r="Q81" s="11" t="n"/>
      <c r="R81" s="11" t="n"/>
      <c r="S81" s="12" t="n"/>
      <c r="T81" s="121" t="n"/>
      <c r="U81" s="12" t="n"/>
      <c r="V81" s="121">
        <f>IF($D81="","",IF($T81="",1,$T81)*0.1)</f>
        <v/>
      </c>
      <c r="W81" s="11" t="n"/>
      <c r="X81" s="12" t="n"/>
      <c r="Y81" s="115" t="n"/>
      <c r="Z81" s="127" t="n"/>
      <c r="AA81" s="11" t="n"/>
      <c r="AB81" s="11" t="n"/>
      <c r="AC81" s="11" t="n"/>
      <c r="AD81" s="11" t="n"/>
      <c r="AE81" s="11" t="n"/>
      <c r="AF81" s="11" t="n"/>
      <c r="AG81" s="11" t="n"/>
      <c r="AH81" s="11" t="n"/>
      <c r="AI81" s="11" t="n"/>
      <c r="AJ81" s="11" t="n"/>
      <c r="AK81" s="11" t="n"/>
      <c r="AL81" s="11" t="n"/>
      <c r="AM81" s="11" t="n"/>
      <c r="AN81" s="11" t="n"/>
      <c r="AO81" s="12" t="n"/>
      <c r="AP81" s="121" t="n"/>
      <c r="AQ81" s="12" t="n"/>
      <c r="AR81" s="121">
        <f>IF($Z81="","",IF($AP81="",1,$AP81)*0.1)</f>
        <v/>
      </c>
      <c r="AS81" s="11" t="n"/>
      <c r="AT81" s="12" t="n"/>
      <c r="AU81" s="115" t="n"/>
      <c r="AV81" s="115" t="n"/>
      <c r="AW81" s="121">
        <f>IF(DADOS!$CZ$45=14,"▸ 14",14)</f>
        <v/>
      </c>
      <c r="AX81" s="121" t="inlineStr">
        <is>
          <t>1.100</t>
        </is>
      </c>
      <c r="AY81" s="12" t="n"/>
      <c r="AZ81" s="121" t="inlineStr">
        <is>
          <t>7.100</t>
        </is>
      </c>
      <c r="BA81" s="12" t="n"/>
      <c r="BB81" s="115" t="n"/>
      <c r="BC81" s="121">
        <f>IF(DADOS!$CZ$45=29,"▸ 29",29)</f>
        <v/>
      </c>
      <c r="BD81" s="121" t="inlineStr">
        <is>
          <t>1.700</t>
        </is>
      </c>
      <c r="BE81" s="12" t="n"/>
      <c r="BF81" s="121" t="inlineStr">
        <is>
          <t>29.000</t>
        </is>
      </c>
      <c r="BG81" s="12" t="n"/>
      <c r="BH81" s="115" t="n"/>
      <c r="BI81" s="115" t="n"/>
      <c r="BJ81" s="115" t="n"/>
      <c r="BK81" s="115" t="n"/>
      <c r="BL81" s="115" t="n"/>
      <c r="BM81" s="115" t="n"/>
      <c r="BN81" s="115" t="n"/>
      <c r="BO81" s="115" t="n"/>
      <c r="BP81" s="115" t="n"/>
      <c r="BQ81" s="115" t="n"/>
      <c r="BR81" s="115" t="n"/>
      <c r="BS81" s="115" t="n"/>
      <c r="BT81" s="115" t="n"/>
    </row>
    <row r="82">
      <c r="A82" s="8" t="n"/>
      <c r="B82" s="22" t="n"/>
      <c r="C82" s="115" t="n"/>
      <c r="D82" s="127" t="n"/>
      <c r="E82" s="11" t="n"/>
      <c r="F82" s="11" t="n"/>
      <c r="G82" s="11" t="n"/>
      <c r="H82" s="11" t="n"/>
      <c r="I82" s="11" t="n"/>
      <c r="J82" s="11" t="n"/>
      <c r="K82" s="11" t="n"/>
      <c r="L82" s="11" t="n"/>
      <c r="M82" s="11" t="n"/>
      <c r="N82" s="11" t="n"/>
      <c r="O82" s="11" t="n"/>
      <c r="P82" s="11" t="n"/>
      <c r="Q82" s="11" t="n"/>
      <c r="R82" s="11" t="n"/>
      <c r="S82" s="12" t="n"/>
      <c r="T82" s="121" t="n"/>
      <c r="U82" s="12" t="n"/>
      <c r="V82" s="121">
        <f>IF($D82="","",IF($T82="",1,$T82)*0.1)</f>
        <v/>
      </c>
      <c r="W82" s="11" t="n"/>
      <c r="X82" s="12" t="n"/>
      <c r="Y82" s="115" t="n"/>
      <c r="Z82" s="127" t="n"/>
      <c r="AA82" s="11" t="n"/>
      <c r="AB82" s="11" t="n"/>
      <c r="AC82" s="11" t="n"/>
      <c r="AD82" s="11" t="n"/>
      <c r="AE82" s="11" t="n"/>
      <c r="AF82" s="11" t="n"/>
      <c r="AG82" s="11" t="n"/>
      <c r="AH82" s="11" t="n"/>
      <c r="AI82" s="11" t="n"/>
      <c r="AJ82" s="11" t="n"/>
      <c r="AK82" s="11" t="n"/>
      <c r="AL82" s="11" t="n"/>
      <c r="AM82" s="11" t="n"/>
      <c r="AN82" s="11" t="n"/>
      <c r="AO82" s="12" t="n"/>
      <c r="AP82" s="121" t="n"/>
      <c r="AQ82" s="12" t="n"/>
      <c r="AR82" s="121">
        <f>IF($Z82="","",IF($AP82="",1,$AP82)*0.1)</f>
        <v/>
      </c>
      <c r="AS82" s="11" t="n"/>
      <c r="AT82" s="12" t="n"/>
      <c r="AU82" s="115" t="n"/>
      <c r="AV82" s="115" t="n"/>
      <c r="AW82" s="121">
        <f>IF(DADOS!$CZ$45=15,"▸ 15",15)</f>
        <v/>
      </c>
      <c r="AX82" s="121" t="inlineStr">
        <is>
          <t>1.100</t>
        </is>
      </c>
      <c r="AY82" s="12" t="n"/>
      <c r="AZ82" s="121" t="inlineStr">
        <is>
          <t>8.200</t>
        </is>
      </c>
      <c r="BA82" s="12" t="n"/>
      <c r="BB82" s="115" t="n"/>
      <c r="BC82" s="121">
        <f>IF(DADOS!$CZ$45=30,"▸ 30",30)</f>
        <v/>
      </c>
      <c r="BD82" s="121" t="inlineStr">
        <is>
          <t>—</t>
        </is>
      </c>
      <c r="BE82" s="12" t="n"/>
      <c r="BF82" s="121" t="inlineStr">
        <is>
          <t>30.700</t>
        </is>
      </c>
      <c r="BG82" s="12" t="n"/>
      <c r="BH82" s="115" t="n"/>
      <c r="BI82" s="115" t="n"/>
      <c r="BJ82" s="115" t="n"/>
      <c r="BK82" s="115" t="n"/>
      <c r="BL82" s="115" t="n"/>
      <c r="BM82" s="115" t="n"/>
      <c r="BN82" s="115" t="n"/>
      <c r="BO82" s="115" t="n"/>
      <c r="BP82" s="115" t="n"/>
      <c r="BQ82" s="115" t="n"/>
      <c r="BR82" s="115" t="n"/>
      <c r="BS82" s="115" t="n"/>
      <c r="BT82" s="115" t="n"/>
    </row>
    <row r="83">
      <c r="A83" s="8" t="n"/>
      <c r="B83" s="22" t="n"/>
      <c r="C83" s="115" t="n"/>
      <c r="D83" s="127" t="n"/>
      <c r="E83" s="11" t="n"/>
      <c r="F83" s="11" t="n"/>
      <c r="G83" s="11" t="n"/>
      <c r="H83" s="11" t="n"/>
      <c r="I83" s="11" t="n"/>
      <c r="J83" s="11" t="n"/>
      <c r="K83" s="11" t="n"/>
      <c r="L83" s="11" t="n"/>
      <c r="M83" s="11" t="n"/>
      <c r="N83" s="11" t="n"/>
      <c r="O83" s="11" t="n"/>
      <c r="P83" s="11" t="n"/>
      <c r="Q83" s="11" t="n"/>
      <c r="R83" s="11" t="n"/>
      <c r="S83" s="12" t="n"/>
      <c r="T83" s="121" t="n"/>
      <c r="U83" s="12" t="n"/>
      <c r="V83" s="121">
        <f>IF($D83="","",IF($T83="",1,$T83)*0.1)</f>
        <v/>
      </c>
      <c r="W83" s="11" t="n"/>
      <c r="X83" s="12" t="n"/>
      <c r="Y83" s="115" t="n"/>
      <c r="Z83" s="127" t="n"/>
      <c r="AA83" s="11" t="n"/>
      <c r="AB83" s="11" t="n"/>
      <c r="AC83" s="11" t="n"/>
      <c r="AD83" s="11" t="n"/>
      <c r="AE83" s="11" t="n"/>
      <c r="AF83" s="11" t="n"/>
      <c r="AG83" s="11" t="n"/>
      <c r="AH83" s="11" t="n"/>
      <c r="AI83" s="11" t="n"/>
      <c r="AJ83" s="11" t="n"/>
      <c r="AK83" s="11" t="n"/>
      <c r="AL83" s="11" t="n"/>
      <c r="AM83" s="11" t="n"/>
      <c r="AN83" s="11" t="n"/>
      <c r="AO83" s="12" t="n"/>
      <c r="AP83" s="121" t="n"/>
      <c r="AQ83" s="12" t="n"/>
      <c r="AR83" s="121">
        <f>IF($Z83="","",IF($AP83="",1,$AP83)*0.1)</f>
        <v/>
      </c>
      <c r="AS83" s="11" t="n"/>
      <c r="AT83" s="12" t="n"/>
      <c r="AU83" s="115" t="n"/>
      <c r="AV83" s="115" t="n"/>
      <c r="AW83" s="121">
        <f>IF(DADOS!$CZ$45=16,"▸ 16",16)</f>
        <v/>
      </c>
      <c r="AX83" s="121" t="inlineStr">
        <is>
          <t>1.100</t>
        </is>
      </c>
      <c r="AY83" s="12" t="n"/>
      <c r="AZ83" s="121" t="inlineStr">
        <is>
          <t>9.300</t>
        </is>
      </c>
      <c r="BA83" s="12" t="n"/>
      <c r="BB83" s="115" t="n"/>
      <c r="BC83" s="115" t="n"/>
      <c r="BD83" s="115" t="n"/>
      <c r="BE83" s="115" t="n"/>
      <c r="BF83" s="115" t="n"/>
      <c r="BG83" s="115" t="n"/>
      <c r="BH83" s="115" t="n"/>
      <c r="BI83" s="115" t="n"/>
      <c r="BJ83" s="115" t="n"/>
      <c r="BK83" s="115" t="n"/>
      <c r="BL83" s="115" t="n"/>
      <c r="BM83" s="115" t="n"/>
      <c r="BN83" s="115" t="n"/>
      <c r="BO83" s="115" t="n"/>
      <c r="BP83" s="115" t="n"/>
      <c r="BQ83" s="115" t="n"/>
      <c r="BR83" s="115" t="n"/>
      <c r="BS83" s="115" t="n"/>
      <c r="BT83" s="115" t="n"/>
    </row>
    <row r="84">
      <c r="A84" s="8" t="n"/>
      <c r="B84" s="22" t="n"/>
      <c r="C84" s="115" t="n"/>
      <c r="D84" s="127" t="n"/>
      <c r="E84" s="11" t="n"/>
      <c r="F84" s="11" t="n"/>
      <c r="G84" s="11" t="n"/>
      <c r="H84" s="11" t="n"/>
      <c r="I84" s="11" t="n"/>
      <c r="J84" s="11" t="n"/>
      <c r="K84" s="11" t="n"/>
      <c r="L84" s="11" t="n"/>
      <c r="M84" s="11" t="n"/>
      <c r="N84" s="11" t="n"/>
      <c r="O84" s="11" t="n"/>
      <c r="P84" s="11" t="n"/>
      <c r="Q84" s="11" t="n"/>
      <c r="R84" s="11" t="n"/>
      <c r="S84" s="12" t="n"/>
      <c r="T84" s="121" t="n"/>
      <c r="U84" s="12" t="n"/>
      <c r="V84" s="121">
        <f>IF($D84="","",IF($T84="",1,$T84)*0.1)</f>
        <v/>
      </c>
      <c r="W84" s="11" t="n"/>
      <c r="X84" s="12" t="n"/>
      <c r="Y84" s="115" t="n"/>
      <c r="Z84" s="127" t="n"/>
      <c r="AA84" s="11" t="n"/>
      <c r="AB84" s="11" t="n"/>
      <c r="AC84" s="11" t="n"/>
      <c r="AD84" s="11" t="n"/>
      <c r="AE84" s="11" t="n"/>
      <c r="AF84" s="11" t="n"/>
      <c r="AG84" s="11" t="n"/>
      <c r="AH84" s="11" t="n"/>
      <c r="AI84" s="11" t="n"/>
      <c r="AJ84" s="11" t="n"/>
      <c r="AK84" s="11" t="n"/>
      <c r="AL84" s="11" t="n"/>
      <c r="AM84" s="11" t="n"/>
      <c r="AN84" s="11" t="n"/>
      <c r="AO84" s="12" t="n"/>
      <c r="AP84" s="121" t="n"/>
      <c r="AQ84" s="12" t="n"/>
      <c r="AR84" s="121">
        <f>IF($Z84="","",IF($AP84="",1,$AP84)*0.1)</f>
        <v/>
      </c>
      <c r="AS84" s="11" t="n"/>
      <c r="AT84" s="12" t="n"/>
      <c r="AU84" s="115" t="n"/>
      <c r="AV84" s="115" t="n"/>
      <c r="AW84" s="115" t="n"/>
      <c r="AX84" s="115" t="n"/>
      <c r="AY84" s="115" t="n"/>
      <c r="AZ84" s="115" t="n"/>
      <c r="BA84" s="115" t="n"/>
      <c r="BB84" s="115" t="n"/>
      <c r="BC84" s="115" t="n"/>
      <c r="BD84" s="115" t="n"/>
      <c r="BE84" s="115" t="n"/>
      <c r="BF84" s="115" t="n"/>
      <c r="BG84" s="115" t="n"/>
      <c r="BH84" s="115" t="n"/>
      <c r="BI84" s="115" t="n"/>
      <c r="BJ84" s="115" t="n"/>
      <c r="BK84" s="115" t="n"/>
      <c r="BL84" s="115" t="n"/>
      <c r="BM84" s="115" t="n"/>
      <c r="BN84" s="115" t="n"/>
      <c r="BO84" s="115" t="n"/>
      <c r="BP84" s="115" t="n"/>
      <c r="BQ84" s="115" t="n"/>
      <c r="BR84" s="115" t="n"/>
      <c r="BS84" s="115" t="n"/>
      <c r="BT84" s="115" t="n"/>
    </row>
    <row r="85">
      <c r="A85" s="8" t="n"/>
      <c r="B85" s="22" t="n"/>
      <c r="C85" s="115" t="n"/>
      <c r="D85" s="127" t="n"/>
      <c r="E85" s="11" t="n"/>
      <c r="F85" s="11" t="n"/>
      <c r="G85" s="11" t="n"/>
      <c r="H85" s="11" t="n"/>
      <c r="I85" s="11" t="n"/>
      <c r="J85" s="11" t="n"/>
      <c r="K85" s="11" t="n"/>
      <c r="L85" s="11" t="n"/>
      <c r="M85" s="11" t="n"/>
      <c r="N85" s="11" t="n"/>
      <c r="O85" s="11" t="n"/>
      <c r="P85" s="11" t="n"/>
      <c r="Q85" s="11" t="n"/>
      <c r="R85" s="11" t="n"/>
      <c r="S85" s="12" t="n"/>
      <c r="T85" s="121" t="n"/>
      <c r="U85" s="12" t="n"/>
      <c r="V85" s="121">
        <f>IF($D85="","",IF($T85="",1,$T85)*0.1)</f>
        <v/>
      </c>
      <c r="W85" s="11" t="n"/>
      <c r="X85" s="12" t="n"/>
      <c r="Y85" s="115" t="n"/>
      <c r="Z85" s="127" t="n"/>
      <c r="AA85" s="11" t="n"/>
      <c r="AB85" s="11" t="n"/>
      <c r="AC85" s="11" t="n"/>
      <c r="AD85" s="11" t="n"/>
      <c r="AE85" s="11" t="n"/>
      <c r="AF85" s="11" t="n"/>
      <c r="AG85" s="11" t="n"/>
      <c r="AH85" s="11" t="n"/>
      <c r="AI85" s="11" t="n"/>
      <c r="AJ85" s="11" t="n"/>
      <c r="AK85" s="11" t="n"/>
      <c r="AL85" s="11" t="n"/>
      <c r="AM85" s="11" t="n"/>
      <c r="AN85" s="11" t="n"/>
      <c r="AO85" s="12" t="n"/>
      <c r="AP85" s="121" t="n"/>
      <c r="AQ85" s="12" t="n"/>
      <c r="AR85" s="121">
        <f>IF($Z85="","",IF($AP85="",1,$AP85)*0.1)</f>
        <v/>
      </c>
      <c r="AS85" s="11" t="n"/>
      <c r="AT85" s="12" t="n"/>
      <c r="AU85" s="115" t="n"/>
      <c r="AV85" s="115" t="n"/>
      <c r="AW85" s="115" t="n"/>
      <c r="AX85" s="115" t="n"/>
      <c r="AY85" s="115" t="n"/>
      <c r="AZ85" s="115" t="n"/>
      <c r="BA85" s="115" t="n"/>
      <c r="BB85" s="115" t="n"/>
      <c r="BC85" s="115" t="n"/>
      <c r="BD85" s="115" t="n"/>
      <c r="BE85" s="115" t="n"/>
      <c r="BF85" s="115" t="n"/>
      <c r="BG85" s="115" t="n"/>
      <c r="BH85" s="115" t="n"/>
      <c r="BI85" s="115" t="n"/>
      <c r="BJ85" s="115" t="n"/>
      <c r="BK85" s="115" t="n"/>
      <c r="BL85" s="115" t="n"/>
      <c r="BM85" s="115" t="n"/>
      <c r="BN85" s="115" t="n"/>
      <c r="BO85" s="115" t="n"/>
      <c r="BP85" s="115" t="n"/>
      <c r="BQ85" s="115" t="n"/>
      <c r="BR85" s="115" t="n"/>
      <c r="BS85" s="115" t="n"/>
      <c r="BT85" s="115" t="n"/>
    </row>
    <row r="86">
      <c r="A86" s="8" t="n"/>
      <c r="B86" s="22" t="n"/>
      <c r="C86" s="115" t="n"/>
      <c r="D86" s="127" t="n"/>
      <c r="E86" s="11" t="n"/>
      <c r="F86" s="11" t="n"/>
      <c r="G86" s="11" t="n"/>
      <c r="H86" s="11" t="n"/>
      <c r="I86" s="11" t="n"/>
      <c r="J86" s="11" t="n"/>
      <c r="K86" s="11" t="n"/>
      <c r="L86" s="11" t="n"/>
      <c r="M86" s="11" t="n"/>
      <c r="N86" s="11" t="n"/>
      <c r="O86" s="11" t="n"/>
      <c r="P86" s="11" t="n"/>
      <c r="Q86" s="11" t="n"/>
      <c r="R86" s="11" t="n"/>
      <c r="S86" s="12" t="n"/>
      <c r="T86" s="121" t="n"/>
      <c r="U86" s="12" t="n"/>
      <c r="V86" s="121">
        <f>IF($D86="","",IF($T86="",1,$T86)*0.1)</f>
        <v/>
      </c>
      <c r="W86" s="11" t="n"/>
      <c r="X86" s="12" t="n"/>
      <c r="Y86" s="115" t="n"/>
      <c r="Z86" s="127" t="n"/>
      <c r="AA86" s="11" t="n"/>
      <c r="AB86" s="11" t="n"/>
      <c r="AC86" s="11" t="n"/>
      <c r="AD86" s="11" t="n"/>
      <c r="AE86" s="11" t="n"/>
      <c r="AF86" s="11" t="n"/>
      <c r="AG86" s="11" t="n"/>
      <c r="AH86" s="11" t="n"/>
      <c r="AI86" s="11" t="n"/>
      <c r="AJ86" s="11" t="n"/>
      <c r="AK86" s="11" t="n"/>
      <c r="AL86" s="11" t="n"/>
      <c r="AM86" s="11" t="n"/>
      <c r="AN86" s="11" t="n"/>
      <c r="AO86" s="12" t="n"/>
      <c r="AP86" s="121" t="n"/>
      <c r="AQ86" s="12" t="n"/>
      <c r="AR86" s="121">
        <f>IF($Z86="","",IF($AP86="",1,$AP86)*0.1)</f>
        <v/>
      </c>
      <c r="AS86" s="11" t="n"/>
      <c r="AT86" s="12" t="n"/>
      <c r="AU86" s="115" t="n"/>
      <c r="AV86" s="115" t="n"/>
      <c r="AW86" s="115" t="n"/>
      <c r="AX86" s="115" t="n"/>
      <c r="AY86" s="115" t="n"/>
      <c r="AZ86" s="115" t="n"/>
      <c r="BA86" s="115" t="n"/>
      <c r="BB86" s="115" t="n"/>
      <c r="BC86" s="115" t="n"/>
      <c r="BD86" s="115" t="n"/>
      <c r="BE86" s="115" t="n"/>
      <c r="BF86" s="115" t="n"/>
      <c r="BG86" s="115" t="n"/>
      <c r="BH86" s="115" t="n"/>
      <c r="BI86" s="115" t="n"/>
      <c r="BJ86" s="115" t="n"/>
      <c r="BK86" s="115" t="n"/>
      <c r="BL86" s="115" t="n"/>
      <c r="BM86" s="115" t="n"/>
      <c r="BN86" s="115" t="n"/>
      <c r="BO86" s="115" t="n"/>
      <c r="BP86" s="115" t="n"/>
      <c r="BQ86" s="115" t="n"/>
      <c r="BR86" s="115" t="n"/>
      <c r="BS86" s="115" t="n"/>
      <c r="BT86" s="115" t="n"/>
    </row>
    <row r="87">
      <c r="A87" s="8" t="n"/>
      <c r="B87" s="22" t="n"/>
      <c r="C87" s="115" t="n"/>
      <c r="D87" s="115" t="n"/>
      <c r="E87" s="115" t="n"/>
      <c r="F87" s="115" t="n"/>
      <c r="G87" s="115" t="n"/>
      <c r="H87" s="115" t="n"/>
      <c r="I87" s="115" t="n"/>
      <c r="J87" s="115" t="n"/>
      <c r="K87" s="115" t="n"/>
      <c r="L87" s="115" t="n"/>
      <c r="M87" s="115" t="n"/>
      <c r="N87" s="115" t="n"/>
      <c r="O87" s="115" t="n"/>
      <c r="P87" s="115" t="n"/>
      <c r="Q87" s="115" t="n"/>
      <c r="R87" s="115" t="n"/>
      <c r="S87" s="115" t="n"/>
      <c r="T87" s="115" t="n"/>
      <c r="U87" s="115" t="n"/>
      <c r="V87" s="115" t="n"/>
      <c r="W87" s="115" t="n"/>
      <c r="X87" s="115" t="n"/>
      <c r="Y87" s="115" t="n"/>
      <c r="Z87" s="115" t="n"/>
      <c r="AA87" s="115" t="n"/>
      <c r="AB87" s="115" t="n"/>
      <c r="AC87" s="115" t="n"/>
      <c r="AD87" s="115" t="n"/>
      <c r="AE87" s="115" t="n"/>
      <c r="AF87" s="115" t="n"/>
      <c r="AG87" s="115" t="n"/>
      <c r="AH87" s="115" t="n"/>
      <c r="AI87" s="115" t="n"/>
      <c r="AJ87" s="115" t="n"/>
      <c r="AK87" s="115" t="n"/>
      <c r="AL87" s="115" t="n"/>
      <c r="AM87" s="115" t="n"/>
      <c r="AN87" s="115" t="n"/>
      <c r="AO87" s="115" t="n"/>
      <c r="AP87" s="115" t="n"/>
      <c r="AQ87" s="115" t="n"/>
      <c r="AR87" s="115" t="n"/>
      <c r="AS87" s="115" t="n"/>
      <c r="AT87" s="115" t="n"/>
      <c r="AU87" s="115" t="n"/>
      <c r="AV87" s="115" t="n"/>
      <c r="AW87" s="115" t="n"/>
      <c r="AX87" s="115" t="n"/>
      <c r="AY87" s="115" t="n"/>
      <c r="AZ87" s="115" t="n"/>
      <c r="BA87" s="115" t="n"/>
      <c r="BB87" s="115" t="n"/>
      <c r="BC87" s="115" t="n"/>
      <c r="BD87" s="115" t="n"/>
      <c r="BE87" s="115" t="n"/>
      <c r="BF87" s="115" t="n"/>
      <c r="BG87" s="115" t="n"/>
      <c r="BH87" s="115" t="n"/>
      <c r="BI87" s="115" t="n"/>
      <c r="BJ87" s="115" t="n"/>
      <c r="BK87" s="115" t="n"/>
      <c r="BL87" s="115" t="n"/>
      <c r="BM87" s="115" t="n"/>
      <c r="BN87" s="115" t="n"/>
      <c r="BO87" s="115" t="n"/>
      <c r="BP87" s="115" t="n"/>
      <c r="BQ87" s="115" t="n"/>
      <c r="BR87" s="115" t="n"/>
      <c r="BS87" s="115" t="n"/>
      <c r="BT87" s="115" t="n"/>
    </row>
  </sheetData>
  <mergeCells count="340">
    <mergeCell ref="AK68:AP68"/>
    <mergeCell ref="S72:T72"/>
    <mergeCell ref="D38:AT39"/>
    <mergeCell ref="AQ69:AT69"/>
    <mergeCell ref="W68:AD68"/>
    <mergeCell ref="AK69:AP69"/>
    <mergeCell ref="BD69:BE69"/>
    <mergeCell ref="AI76:AJ76"/>
    <mergeCell ref="W59:AD59"/>
    <mergeCell ref="W48:AD48"/>
    <mergeCell ref="AN60:AT60"/>
    <mergeCell ref="M70:R70"/>
    <mergeCell ref="Q23:AT30"/>
    <mergeCell ref="T82:U82"/>
    <mergeCell ref="M74:R74"/>
    <mergeCell ref="A8:B29"/>
    <mergeCell ref="O63:U64"/>
    <mergeCell ref="AP83:AQ83"/>
    <mergeCell ref="W74:AD74"/>
    <mergeCell ref="AK76:AP76"/>
    <mergeCell ref="AO10:AT10"/>
    <mergeCell ref="AF56:AL56"/>
    <mergeCell ref="D46:AT47"/>
    <mergeCell ref="BD82:BE82"/>
    <mergeCell ref="BF82:BG82"/>
    <mergeCell ref="AP85:AQ85"/>
    <mergeCell ref="W76:AD76"/>
    <mergeCell ref="D81:S81"/>
    <mergeCell ref="U71:V71"/>
    <mergeCell ref="AW8:BG9"/>
    <mergeCell ref="AQ72:AT72"/>
    <mergeCell ref="Q11:Z12"/>
    <mergeCell ref="K44:Q44"/>
    <mergeCell ref="U73:V73"/>
    <mergeCell ref="AW66:BG67"/>
    <mergeCell ref="Z82:AO82"/>
    <mergeCell ref="Y15:AE16"/>
    <mergeCell ref="W69:AD69"/>
    <mergeCell ref="D74:J74"/>
    <mergeCell ref="D68:J68"/>
    <mergeCell ref="BD72:BE72"/>
    <mergeCell ref="BF72:BG72"/>
    <mergeCell ref="AE75:AF75"/>
    <mergeCell ref="N53:U53"/>
    <mergeCell ref="AX70:AY70"/>
    <mergeCell ref="W51:AD51"/>
    <mergeCell ref="D69:J69"/>
    <mergeCell ref="T83:U83"/>
    <mergeCell ref="T85:U85"/>
    <mergeCell ref="T84:U84"/>
    <mergeCell ref="AF50:AL50"/>
    <mergeCell ref="N54:U54"/>
    <mergeCell ref="V83:X83"/>
    <mergeCell ref="U74:V74"/>
    <mergeCell ref="AE71:AF71"/>
    <mergeCell ref="D82:S82"/>
    <mergeCell ref="BF80:BG80"/>
    <mergeCell ref="AF52:AL52"/>
    <mergeCell ref="N56:U56"/>
    <mergeCell ref="AO11:AT12"/>
    <mergeCell ref="S44:Y44"/>
    <mergeCell ref="U76:V76"/>
    <mergeCell ref="AO44:AT44"/>
    <mergeCell ref="K75:L75"/>
    <mergeCell ref="AZ70:BA70"/>
    <mergeCell ref="AN49:AT49"/>
    <mergeCell ref="Z85:AO85"/>
    <mergeCell ref="AP81:AQ81"/>
    <mergeCell ref="W72:AD72"/>
    <mergeCell ref="N59:U59"/>
    <mergeCell ref="AX71:AY71"/>
    <mergeCell ref="K70:L70"/>
    <mergeCell ref="AZ71:BA71"/>
    <mergeCell ref="AX73:AY73"/>
    <mergeCell ref="AZ73:BA73"/>
    <mergeCell ref="Q19:AT20"/>
    <mergeCell ref="D72:J72"/>
    <mergeCell ref="AI11:AM12"/>
    <mergeCell ref="AF55:AL55"/>
    <mergeCell ref="BE11:BG12"/>
    <mergeCell ref="AR82:AT82"/>
    <mergeCell ref="AN62:AT62"/>
    <mergeCell ref="D41:Q42"/>
    <mergeCell ref="AZ68:BA68"/>
    <mergeCell ref="AR83:AT83"/>
    <mergeCell ref="AE73:AF73"/>
    <mergeCell ref="E59:L59"/>
    <mergeCell ref="AF53:AL53"/>
    <mergeCell ref="N57:U57"/>
    <mergeCell ref="M71:R71"/>
    <mergeCell ref="AG15:AM16"/>
    <mergeCell ref="AE74:AF74"/>
    <mergeCell ref="AE68:AF68"/>
    <mergeCell ref="AG74:AH74"/>
    <mergeCell ref="T81:U81"/>
    <mergeCell ref="AG68:AH68"/>
    <mergeCell ref="AI68:AJ68"/>
    <mergeCell ref="E54:L54"/>
    <mergeCell ref="W63:AD64"/>
    <mergeCell ref="AX79:AY79"/>
    <mergeCell ref="S75:T75"/>
    <mergeCell ref="BF70:BG70"/>
    <mergeCell ref="E56:L56"/>
    <mergeCell ref="AG69:AH69"/>
    <mergeCell ref="AN52:AT52"/>
    <mergeCell ref="AI69:AJ69"/>
    <mergeCell ref="AX81:AY81"/>
    <mergeCell ref="S70:T70"/>
    <mergeCell ref="AZ74:BA74"/>
    <mergeCell ref="U70:V70"/>
    <mergeCell ref="H2:Z3"/>
    <mergeCell ref="BF76:BG76"/>
    <mergeCell ref="AF48:AL48"/>
    <mergeCell ref="AX76:AY76"/>
    <mergeCell ref="D10:O28"/>
    <mergeCell ref="AZ76:BA76"/>
    <mergeCell ref="AR85:AT85"/>
    <mergeCell ref="E49:L49"/>
    <mergeCell ref="Y14:AE14"/>
    <mergeCell ref="Z81:AO81"/>
    <mergeCell ref="Q14:W14"/>
    <mergeCell ref="AN50:AT50"/>
    <mergeCell ref="AR86:AT86"/>
    <mergeCell ref="M73:R73"/>
    <mergeCell ref="K74:L74"/>
    <mergeCell ref="K68:L68"/>
    <mergeCell ref="AE76:AF76"/>
    <mergeCell ref="AI10:AM10"/>
    <mergeCell ref="E51:L51"/>
    <mergeCell ref="W54:AD54"/>
    <mergeCell ref="Q22:AT22"/>
    <mergeCell ref="AN53:AT53"/>
    <mergeCell ref="AG75:AH75"/>
    <mergeCell ref="W56:AD56"/>
    <mergeCell ref="AQ75:AT75"/>
    <mergeCell ref="AN55:AT55"/>
    <mergeCell ref="AI72:AJ72"/>
    <mergeCell ref="D2:G4"/>
    <mergeCell ref="AK75:AP75"/>
    <mergeCell ref="AF62:AL62"/>
    <mergeCell ref="V85:X85"/>
    <mergeCell ref="V82:X82"/>
    <mergeCell ref="AZ77:BA77"/>
    <mergeCell ref="AX82:AY82"/>
    <mergeCell ref="D8:AT9"/>
    <mergeCell ref="AZ82:BA82"/>
    <mergeCell ref="AH41:AT42"/>
    <mergeCell ref="AF51:AL51"/>
    <mergeCell ref="M69:R69"/>
    <mergeCell ref="E50:L50"/>
    <mergeCell ref="BD75:BE75"/>
    <mergeCell ref="AN58:AT58"/>
    <mergeCell ref="E52:L52"/>
    <mergeCell ref="AF63:AL64"/>
    <mergeCell ref="AG14:AM14"/>
    <mergeCell ref="AK72:AP72"/>
    <mergeCell ref="AQ70:AT70"/>
    <mergeCell ref="I63:M64"/>
    <mergeCell ref="Q15:W16"/>
    <mergeCell ref="M76:R76"/>
    <mergeCell ref="AB2:AT3"/>
    <mergeCell ref="AX72:AY72"/>
    <mergeCell ref="S68:T68"/>
    <mergeCell ref="AO15:AT16"/>
    <mergeCell ref="AZ72:BA72"/>
    <mergeCell ref="U68:V68"/>
    <mergeCell ref="AW10:BA10"/>
    <mergeCell ref="E57:L57"/>
    <mergeCell ref="AF59:AL59"/>
    <mergeCell ref="W57:AD57"/>
    <mergeCell ref="AE70:AF70"/>
    <mergeCell ref="E58:L58"/>
    <mergeCell ref="AN48:AT48"/>
    <mergeCell ref="AZ83:BA83"/>
    <mergeCell ref="E60:L60"/>
    <mergeCell ref="T80:U80"/>
    <mergeCell ref="W75:AD75"/>
    <mergeCell ref="M72:R72"/>
    <mergeCell ref="W62:AD62"/>
    <mergeCell ref="BD78:BE78"/>
    <mergeCell ref="S40:AF40"/>
    <mergeCell ref="BF78:BG78"/>
    <mergeCell ref="BI8:BS9"/>
    <mergeCell ref="Q33:AT36"/>
    <mergeCell ref="S74:T74"/>
    <mergeCell ref="BF71:BG71"/>
    <mergeCell ref="BD80:BE80"/>
    <mergeCell ref="AQ71:AT71"/>
    <mergeCell ref="W70:AD70"/>
    <mergeCell ref="AN51:AT51"/>
    <mergeCell ref="D75:J75"/>
    <mergeCell ref="S76:T76"/>
    <mergeCell ref="AK71:AP71"/>
    <mergeCell ref="BF73:BG73"/>
    <mergeCell ref="AQ73:AT73"/>
    <mergeCell ref="N49:U49"/>
    <mergeCell ref="Z83:AO83"/>
    <mergeCell ref="U69:V69"/>
    <mergeCell ref="O62:U62"/>
    <mergeCell ref="AK73:AP73"/>
    <mergeCell ref="Z80:AO80"/>
    <mergeCell ref="BD68:BE68"/>
    <mergeCell ref="BF68:BG68"/>
    <mergeCell ref="AB4:AT4"/>
    <mergeCell ref="AX68:AY68"/>
    <mergeCell ref="Q32:AT32"/>
    <mergeCell ref="AB11:AG12"/>
    <mergeCell ref="BD79:BE79"/>
    <mergeCell ref="BF79:BG79"/>
    <mergeCell ref="V84:X84"/>
    <mergeCell ref="AO14:AT14"/>
    <mergeCell ref="BD81:BE81"/>
    <mergeCell ref="D83:S83"/>
    <mergeCell ref="S43:AF43"/>
    <mergeCell ref="BF81:BG81"/>
    <mergeCell ref="AQ74:AT74"/>
    <mergeCell ref="D85:S85"/>
    <mergeCell ref="AP82:AQ82"/>
    <mergeCell ref="Z84:AO84"/>
    <mergeCell ref="AQ76:AT76"/>
    <mergeCell ref="D31:O36"/>
    <mergeCell ref="N52:U52"/>
    <mergeCell ref="AW11:BA12"/>
    <mergeCell ref="Z86:AO86"/>
    <mergeCell ref="A33:B51"/>
    <mergeCell ref="U72:V72"/>
    <mergeCell ref="D80:S80"/>
    <mergeCell ref="K71:L71"/>
    <mergeCell ref="AX74:AY74"/>
    <mergeCell ref="K73:L73"/>
    <mergeCell ref="W53:AD53"/>
    <mergeCell ref="D71:J71"/>
    <mergeCell ref="BF69:BG69"/>
    <mergeCell ref="AX69:AY69"/>
    <mergeCell ref="AZ69:BA69"/>
    <mergeCell ref="M75:R75"/>
    <mergeCell ref="D73:J73"/>
    <mergeCell ref="N50:U50"/>
    <mergeCell ref="AR84:AT84"/>
    <mergeCell ref="AR80:AT80"/>
    <mergeCell ref="D84:S84"/>
    <mergeCell ref="D78:AT79"/>
    <mergeCell ref="BC11:BD12"/>
    <mergeCell ref="D86:S86"/>
    <mergeCell ref="AE69:AF69"/>
    <mergeCell ref="N60:U60"/>
    <mergeCell ref="M68:R68"/>
    <mergeCell ref="N55:U55"/>
    <mergeCell ref="AE72:AF72"/>
    <mergeCell ref="S71:T71"/>
    <mergeCell ref="AN63:AT64"/>
    <mergeCell ref="BD77:BE77"/>
    <mergeCell ref="BF77:BG77"/>
    <mergeCell ref="AX77:AY77"/>
    <mergeCell ref="S73:T73"/>
    <mergeCell ref="K76:L76"/>
    <mergeCell ref="N58:U58"/>
    <mergeCell ref="AP84:AQ84"/>
    <mergeCell ref="D30:O30"/>
    <mergeCell ref="AX75:AY75"/>
    <mergeCell ref="AZ75:BA75"/>
    <mergeCell ref="AB10:AG10"/>
    <mergeCell ref="D66:AT67"/>
    <mergeCell ref="AF57:AL57"/>
    <mergeCell ref="V80:X80"/>
    <mergeCell ref="AP86:AQ86"/>
    <mergeCell ref="AP80:AQ80"/>
    <mergeCell ref="AI75:AJ75"/>
    <mergeCell ref="D76:J76"/>
    <mergeCell ref="AR81:AT81"/>
    <mergeCell ref="BD70:BE70"/>
    <mergeCell ref="K69:L69"/>
    <mergeCell ref="AN59:AT59"/>
    <mergeCell ref="W49:AD49"/>
    <mergeCell ref="AG72:AH72"/>
    <mergeCell ref="K72:L72"/>
    <mergeCell ref="D63:H64"/>
    <mergeCell ref="AG70:AH70"/>
    <mergeCell ref="AI70:AJ70"/>
    <mergeCell ref="N48:U48"/>
    <mergeCell ref="H4:Z4"/>
    <mergeCell ref="AK70:AP70"/>
    <mergeCell ref="V86:X86"/>
    <mergeCell ref="AG71:AH71"/>
    <mergeCell ref="AN54:AT54"/>
    <mergeCell ref="AI71:AJ71"/>
    <mergeCell ref="AF54:AL54"/>
    <mergeCell ref="AX83:AY83"/>
    <mergeCell ref="W52:AD52"/>
    <mergeCell ref="Q10:Z10"/>
    <mergeCell ref="T86:U86"/>
    <mergeCell ref="AN56:AT56"/>
    <mergeCell ref="C6:AR6"/>
    <mergeCell ref="AF58:AL58"/>
    <mergeCell ref="Q18:AT18"/>
    <mergeCell ref="V81:X81"/>
    <mergeCell ref="AX78:AY78"/>
    <mergeCell ref="AZ78:BA78"/>
    <mergeCell ref="Z44:AF44"/>
    <mergeCell ref="AF60:AL60"/>
    <mergeCell ref="N51:U51"/>
    <mergeCell ref="AX80:AY80"/>
    <mergeCell ref="AZ80:BA80"/>
    <mergeCell ref="D40:Q40"/>
    <mergeCell ref="BD71:BE71"/>
    <mergeCell ref="BD73:BE73"/>
    <mergeCell ref="W50:AD50"/>
    <mergeCell ref="AF49:AL49"/>
    <mergeCell ref="S69:T69"/>
    <mergeCell ref="D43:Q43"/>
    <mergeCell ref="AH43:AT43"/>
    <mergeCell ref="AQ68:AT68"/>
    <mergeCell ref="AH44:AN44"/>
    <mergeCell ref="E53:L53"/>
    <mergeCell ref="AG73:AH73"/>
    <mergeCell ref="AI73:AJ73"/>
    <mergeCell ref="D62:M62"/>
    <mergeCell ref="E55:L55"/>
    <mergeCell ref="BF75:BG75"/>
    <mergeCell ref="E48:L48"/>
    <mergeCell ref="AN57:AT57"/>
    <mergeCell ref="AI74:AJ74"/>
    <mergeCell ref="D44:J44"/>
    <mergeCell ref="W55:AD55"/>
    <mergeCell ref="AG76:AH76"/>
    <mergeCell ref="AZ79:BA79"/>
    <mergeCell ref="U75:V75"/>
    <mergeCell ref="AZ81:BA81"/>
    <mergeCell ref="S41:AF42"/>
    <mergeCell ref="W71:AD71"/>
    <mergeCell ref="W58:AD58"/>
    <mergeCell ref="D70:J70"/>
    <mergeCell ref="BD74:BE74"/>
    <mergeCell ref="BF74:BG74"/>
    <mergeCell ref="W73:AD73"/>
    <mergeCell ref="BC10:BG10"/>
    <mergeCell ref="AH40:AT40"/>
    <mergeCell ref="W60:AD60"/>
    <mergeCell ref="BD76:BE76"/>
    <mergeCell ref="AK74:AP74"/>
  </mergeCells>
  <dataValidations count="19">
    <dataValidation sqref="AB11" showDropDown="0" showInputMessage="0" showErrorMessage="0" allowBlank="1" type="list">
      <formula1>DADOS!$CF$5:$CF$9</formula1>
    </dataValidation>
    <dataValidation sqref="D41" showDropDown="0" showInputMessage="0" showErrorMessage="0" allowBlank="1" type="list">
      <formula1>DADOS!$DB$5:$DB$13</formula1>
    </dataValidation>
    <dataValidation sqref="S41" showDropDown="0" showInputMessage="0" showErrorMessage="0" allowBlank="1" type="list">
      <formula1>DADOS!$DD$5:$DD$14</formula1>
    </dataValidation>
    <dataValidation sqref="AH41" showDropDown="0" showInputMessage="0" showErrorMessage="0" allowBlank="1" type="list">
      <formula1>DADOS!$DF$5:$DF$11</formula1>
    </dataValidation>
    <dataValidation sqref="AN63" showDropDown="0" showInputMessage="0" showErrorMessage="0" allowBlank="1" type="list">
      <formula1>DADOS!$CJ$5:$CJ$13</formula1>
    </dataValidation>
    <dataValidation sqref="D69:D74" showDropDown="0" showInputMessage="0" showErrorMessage="0" allowBlank="1" type="list">
      <formula1>DADOS!$BD$5:$BD$59</formula1>
    </dataValidation>
    <dataValidation sqref="AI69:AI76" showDropDown="0" showInputMessage="0" showErrorMessage="0" allowBlank="1" type="list">
      <formula1>DADOS!$CU$5:$CU$10</formula1>
    </dataValidation>
    <dataValidation sqref="AX15:AX64" showDropDown="0" showInputMessage="0" showErrorMessage="0" allowBlank="1" type="list">
      <formula1>DADOS!$CL$5:$CL$10</formula1>
    </dataValidation>
    <dataValidation sqref="AY15:AY64" showDropDown="0" showInputMessage="0" showErrorMessage="0" allowBlank="1" type="list">
      <formula1>DADOS!$CO$5:$CO$7</formula1>
    </dataValidation>
    <dataValidation sqref="AZ15:AZ64" showDropDown="0" showInputMessage="0" showErrorMessage="0" allowBlank="1" type="list">
      <formula1>DADOS!$CR$5:$CR$9</formula1>
    </dataValidation>
    <dataValidation sqref="BD15:BD64" showDropDown="0" showInputMessage="0" showErrorMessage="0" allowBlank="1" type="list">
      <formula1>DADOS!$CL$5:$CL$10</formula1>
    </dataValidation>
    <dataValidation sqref="BE15:BE64" showDropDown="0" showInputMessage="0" showErrorMessage="0" allowBlank="1" type="list">
      <formula1>DADOS!$CO$5:$CO$7</formula1>
    </dataValidation>
    <dataValidation sqref="BF15:BF64" showDropDown="0" showInputMessage="0" showErrorMessage="0" allowBlank="1" type="list">
      <formula1>DADOS!$CR$5:$CR$9</formula1>
    </dataValidation>
    <dataValidation sqref="BJ15:BJ64" showDropDown="0" showInputMessage="0" showErrorMessage="0" allowBlank="1" type="list">
      <formula1>DADOS!$CL$5:$CL$10</formula1>
    </dataValidation>
    <dataValidation sqref="BK15:BK64" showDropDown="0" showInputMessage="0" showErrorMessage="0" allowBlank="1" type="list">
      <formula1>DADOS!$CO$5:$CO$7</formula1>
    </dataValidation>
    <dataValidation sqref="BL15:BL64" showDropDown="0" showInputMessage="0" showErrorMessage="0" allowBlank="1" type="list">
      <formula1>DADOS!$CR$5:$CR$9</formula1>
    </dataValidation>
    <dataValidation sqref="BP15:BP64" showDropDown="0" showInputMessage="0" showErrorMessage="0" allowBlank="1" type="list">
      <formula1>DADOS!$CL$5:$CL$10</formula1>
    </dataValidation>
    <dataValidation sqref="BQ15:BQ64" showDropDown="0" showInputMessage="0" showErrorMessage="0" allowBlank="1" type="list">
      <formula1>DADOS!$CO$5:$CO$7</formula1>
    </dataValidation>
    <dataValidation sqref="BR15:BR64" showDropDown="0" showInputMessage="0" showErrorMessage="0" allowBlank="1" type="list">
      <formula1>DADOS!$CR$5:$CR$9</formula1>
    </dataValidation>
  </dataValidations>
  <pageMargins left="0.75" right="0.75" top="1" bottom="1" header="0.5" footer="0.5"/>
  <drawing xmlns:r="http://schemas.openxmlformats.org/officeDocument/2006/relationships" r:id="rId1"/>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DP79"/>
  <sheetViews>
    <sheetView showGridLines="0" workbookViewId="0">
      <selection activeCell="A1" sqref="A1"/>
    </sheetView>
  </sheetViews>
  <sheetFormatPr baseColWidth="8" defaultRowHeight="15.75" customHeight="1"/>
  <cols>
    <col width="19.38" customWidth="1" min="1" max="1"/>
    <col width="19.38" customWidth="1" min="2" max="2"/>
    <col width="19.38" customWidth="1" min="3" max="3"/>
    <col width="19.38" customWidth="1" min="4" max="4"/>
    <col width="19.38" customWidth="1" min="5" max="5"/>
    <col width="19.38" customWidth="1" min="6" max="6"/>
    <col width="19.38" customWidth="1" min="7" max="7"/>
    <col width="19.38" customWidth="1" min="8" max="8"/>
    <col width="19.38" customWidth="1" min="9" max="9"/>
    <col width="19.38" customWidth="1" min="10" max="10"/>
    <col width="19.38" customWidth="1" min="11" max="11"/>
    <col width="19.38" customWidth="1" min="12" max="12"/>
    <col width="19.38" customWidth="1" min="13" max="13"/>
    <col width="19.38" customWidth="1" min="14" max="14"/>
    <col width="19.38" customWidth="1" min="15" max="15"/>
    <col width="19.38" customWidth="1" min="16" max="16"/>
    <col width="19.38" customWidth="1" min="17" max="17"/>
    <col width="19.38" customWidth="1" min="18" max="18"/>
    <col width="19.38" customWidth="1" min="19" max="19"/>
    <col width="19.38" customWidth="1" min="20" max="20"/>
    <col width="19.38" customWidth="1" min="21" max="21"/>
    <col width="19.38" customWidth="1" min="22" max="22"/>
    <col width="19.38" customWidth="1" min="23" max="23"/>
    <col width="19.38" customWidth="1" min="24" max="24"/>
    <col width="19.38" customWidth="1" min="25" max="25"/>
    <col width="19.38" customWidth="1" min="26" max="26"/>
    <col width="19.38" customWidth="1" min="27" max="27"/>
    <col width="19.38" customWidth="1" min="28" max="28"/>
    <col width="19.38" customWidth="1" min="29" max="29"/>
    <col width="19.38" customWidth="1" min="30" max="30"/>
    <col width="19.38" customWidth="1" min="31" max="31"/>
    <col width="19.38" customWidth="1" min="32" max="32"/>
    <col width="19.38" customWidth="1" min="33" max="33"/>
    <col width="19.38" customWidth="1" min="34" max="34"/>
    <col width="19.38" customWidth="1" min="35" max="35"/>
    <col width="19.38" customWidth="1" min="36" max="36"/>
    <col width="19.38" customWidth="1" min="37" max="37"/>
    <col width="19.38" customWidth="1" min="38" max="38"/>
    <col width="19.38" customWidth="1" min="39" max="39"/>
    <col width="19.38" customWidth="1" min="40" max="40"/>
    <col width="19.38" customWidth="1" min="41" max="41"/>
    <col width="19.38" customWidth="1" min="42" max="42"/>
    <col width="19.38" customWidth="1" min="43" max="43"/>
    <col width="19.38" customWidth="1" min="44" max="44"/>
    <col width="19.38" customWidth="1" min="45" max="45"/>
    <col width="19.38" customWidth="1" min="46" max="46"/>
    <col width="19.38" customWidth="1" min="47" max="47"/>
    <col width="19.38" customWidth="1" min="48" max="48"/>
    <col width="19.38" customWidth="1" min="49" max="49"/>
    <col width="19.38" customWidth="1" min="50" max="50"/>
    <col width="19.38" customWidth="1" min="51" max="51"/>
    <col width="19.38" customWidth="1" min="52" max="52"/>
    <col width="19.38" customWidth="1" min="53" max="53"/>
    <col width="19.38" customWidth="1" min="54" max="54"/>
    <col width="19.38" customWidth="1" min="55" max="55"/>
    <col width="19.38" customWidth="1" min="56" max="56"/>
    <col width="19.38" customWidth="1" min="57" max="57"/>
    <col width="19.38" customWidth="1" min="58" max="58"/>
    <col width="19.38" customWidth="1" min="59" max="59"/>
    <col width="19.38" customWidth="1" min="60" max="60"/>
    <col width="19.38" customWidth="1" min="61" max="61"/>
    <col width="19.38" customWidth="1" min="62" max="62"/>
    <col width="19.38" customWidth="1" min="63" max="63"/>
    <col width="19.38" customWidth="1" min="64" max="64"/>
    <col width="19.38" customWidth="1" min="65" max="65"/>
    <col width="19.38" customWidth="1" min="66" max="66"/>
    <col width="19.38" customWidth="1" min="67" max="67"/>
    <col width="19.38" customWidth="1" min="68" max="68"/>
    <col width="19.38" customWidth="1" min="69" max="69"/>
    <col width="19.38" customWidth="1" min="70" max="70"/>
    <col width="19.38" customWidth="1" min="71" max="71"/>
    <col width="19.38" customWidth="1" min="72" max="72"/>
    <col width="19.38" customWidth="1" min="73" max="73"/>
    <col width="19.38" customWidth="1" min="74" max="74"/>
    <col width="19.38" customWidth="1" min="75" max="75"/>
    <col width="19.38" customWidth="1" min="76" max="76"/>
    <col width="19.38" customWidth="1" min="77" max="77"/>
    <col width="19.38" customWidth="1" min="78" max="78"/>
    <col width="19.38" customWidth="1" min="79" max="79"/>
    <col width="19.38" customWidth="1" min="80" max="80"/>
    <col width="19.38" customWidth="1" min="81" max="81"/>
    <col width="19.38" customWidth="1" min="82" max="82"/>
    <col width="19.38" customWidth="1" min="83" max="83"/>
    <col width="19.38" customWidth="1" min="84" max="84"/>
    <col width="19.38" customWidth="1" min="85" max="85"/>
    <col width="19.38" customWidth="1" min="86" max="86"/>
    <col width="19.38" customWidth="1" min="87" max="87"/>
    <col width="19.38" customWidth="1" min="88" max="88"/>
    <col width="19.38" customWidth="1" min="89" max="89"/>
    <col width="19.38" customWidth="1" min="90" max="90"/>
    <col width="19.38" customWidth="1" min="91" max="91"/>
    <col width="19.38" customWidth="1" min="92" max="92"/>
    <col width="19.38" customWidth="1" min="93" max="93"/>
    <col width="19.38" customWidth="1" min="94" max="94"/>
    <col width="19.38" customWidth="1" min="95" max="95"/>
    <col width="19.38" customWidth="1" min="96" max="96"/>
    <col width="19.38" customWidth="1" min="97" max="97"/>
    <col width="19.38" customWidth="1" min="98" max="98"/>
    <col width="19.38" customWidth="1" min="99" max="99"/>
    <col width="19.38" customWidth="1" min="100" max="100"/>
    <col width="19.38" customWidth="1" min="101" max="101"/>
    <col width="19.38" customWidth="1" min="102" max="102"/>
    <col width="19.38" customWidth="1" min="103" max="103"/>
    <col width="19.38" customWidth="1" min="104" max="104"/>
    <col width="19.38" customWidth="1" min="105" max="105"/>
    <col width="19.38" customWidth="1" min="106" max="106"/>
    <col width="19.38" customWidth="1" min="107" max="107"/>
    <col width="19.38" customWidth="1" min="108" max="108"/>
    <col width="19.38" customWidth="1" min="109" max="109"/>
    <col width="19.38" customWidth="1" min="110" max="110"/>
    <col width="19.38" customWidth="1" min="111" max="111"/>
    <col width="19.38" customWidth="1" min="112" max="112"/>
    <col width="19.38" customWidth="1" min="113" max="113"/>
    <col width="19.38" customWidth="1" min="114" max="114"/>
    <col width="19.38" customWidth="1" min="115" max="115"/>
    <col width="19.38" customWidth="1" min="116" max="116"/>
    <col width="19.38" customWidth="1" min="117" max="117"/>
    <col width="19.38" customWidth="1" min="118" max="118"/>
    <col width="19.38" customWidth="1" min="119" max="119"/>
    <col width="19.38" customWidth="1" min="120" max="120"/>
  </cols>
  <sheetData>
    <row r="1" ht="17.25" customHeight="1">
      <c r="A1" s="136" t="inlineStr">
        <is>
          <t>VERSÃO DO CATÁLOGO</t>
        </is>
      </c>
      <c r="B1" s="137" t="inlineStr">
        <is>
          <t>0.258</t>
        </is>
      </c>
      <c r="C1" s="117" t="inlineStr">
        <is>
          <t>versão corrente (puxada da central)</t>
        </is>
      </c>
      <c r="D1" s="137" t="inlineStr">
        <is>
          <t>0.258</t>
        </is>
      </c>
      <c r="E1" s="38" t="inlineStr">
        <is>
          <t>NOME DO SISTEMA</t>
        </is>
      </c>
      <c r="F1" s="38" t="inlineStr">
        <is>
          <t>Projeto M</t>
        </is>
      </c>
      <c r="G1" s="38" t="n"/>
      <c r="H1" s="38" t="n"/>
      <c r="I1" s="38" t="n"/>
      <c r="J1" s="38" t="n"/>
      <c r="K1" s="38" t="n"/>
      <c r="L1" s="38" t="n"/>
      <c r="M1" s="38" t="n"/>
      <c r="N1" s="38" t="n"/>
      <c r="O1" s="38" t="n"/>
      <c r="P1" s="38" t="n"/>
      <c r="Q1" s="38" t="n"/>
      <c r="R1" s="38" t="n"/>
      <c r="S1" s="38" t="n"/>
      <c r="T1" s="38" t="n"/>
      <c r="U1" s="38" t="n"/>
      <c r="V1" s="38" t="n"/>
      <c r="W1" s="38" t="n"/>
      <c r="X1" s="38" t="n"/>
      <c r="Y1" s="38" t="n"/>
      <c r="Z1" s="38" t="n"/>
      <c r="AA1" s="38" t="n"/>
      <c r="AB1" s="38" t="n"/>
      <c r="AC1" s="38" t="n"/>
      <c r="AD1" s="38" t="n"/>
      <c r="AE1" s="38" t="n"/>
      <c r="AF1" s="38" t="n"/>
      <c r="AG1" s="38" t="n"/>
      <c r="AH1" s="38" t="n"/>
      <c r="AI1" s="38" t="n"/>
      <c r="AJ1" s="38" t="n"/>
      <c r="AK1" s="38" t="n"/>
      <c r="AL1" s="38" t="n"/>
      <c r="AM1" s="38" t="n"/>
      <c r="AN1" s="38" t="n"/>
      <c r="AO1" s="38" t="n"/>
      <c r="AP1" s="38" t="n"/>
      <c r="AQ1" s="38" t="n"/>
      <c r="AR1" s="38" t="n"/>
      <c r="AS1" s="38" t="n"/>
      <c r="AT1" s="38" t="n"/>
      <c r="AU1" s="38" t="n"/>
      <c r="AV1" s="38" t="n"/>
      <c r="AW1" s="38" t="n"/>
      <c r="AX1" s="38" t="n"/>
      <c r="AY1" s="38" t="n"/>
      <c r="AZ1" s="38" t="n"/>
      <c r="BA1" s="38" t="n"/>
      <c r="BB1" s="38" t="n"/>
    </row>
    <row r="2">
      <c r="A2" s="117" t="inlineStr">
        <is>
          <t>cole aqui o IMPORTRANGE da central em D1 quando ela existir; enquanto não existir, D1 fica igual a B1 e o aviso some</t>
        </is>
      </c>
      <c r="B2" s="38" t="n"/>
      <c r="C2" s="38" t="n"/>
      <c r="D2" s="38" t="n"/>
      <c r="E2" s="38" t="n"/>
      <c r="F2" s="38" t="n"/>
      <c r="G2" s="38" t="n"/>
      <c r="H2" s="38" t="n"/>
      <c r="I2" s="38" t="n"/>
      <c r="J2" s="38" t="n"/>
      <c r="K2" s="38" t="n"/>
      <c r="L2" s="38" t="n"/>
      <c r="M2" s="38" t="n"/>
      <c r="N2" s="38" t="n"/>
      <c r="O2" s="38" t="n"/>
      <c r="P2" s="38" t="n"/>
      <c r="Q2" s="38" t="n"/>
      <c r="R2" s="38" t="n"/>
      <c r="S2" s="38" t="n"/>
      <c r="T2" s="38" t="n"/>
      <c r="U2" s="38" t="n"/>
      <c r="V2" s="38" t="n"/>
      <c r="W2" s="38" t="n"/>
      <c r="X2" s="38" t="n"/>
      <c r="Y2" s="38" t="n"/>
      <c r="Z2" s="38" t="n"/>
      <c r="AA2" s="38" t="n"/>
      <c r="AB2" s="38" t="n"/>
      <c r="AC2" s="38" t="n"/>
      <c r="AD2" s="38" t="n"/>
      <c r="AE2" s="38" t="n"/>
      <c r="AF2" s="38" t="n"/>
      <c r="AG2" s="38" t="n"/>
      <c r="AH2" s="38" t="n"/>
      <c r="AI2" s="38" t="n"/>
      <c r="AJ2" s="38" t="n"/>
      <c r="AK2" s="38" t="n"/>
      <c r="AL2" s="38" t="n"/>
      <c r="AM2" s="38" t="n"/>
      <c r="AN2" s="38" t="n"/>
      <c r="AO2" s="38" t="n"/>
      <c r="AP2" s="38" t="n"/>
      <c r="AQ2" s="38" t="n"/>
      <c r="AR2" s="38" t="n"/>
      <c r="AS2" s="38" t="n"/>
      <c r="AT2" s="38" t="n"/>
      <c r="AU2" s="38" t="n"/>
      <c r="AV2" s="38" t="n"/>
      <c r="AW2" s="38" t="n"/>
      <c r="AX2" s="38" t="n"/>
      <c r="AY2" s="38" t="n"/>
      <c r="AZ2" s="38" t="n"/>
      <c r="BA2" s="38" t="n"/>
      <c r="BB2" s="38" t="n"/>
    </row>
    <row r="3">
      <c r="A3" s="138" t="inlineStr">
        <is>
          <t>Caminhos</t>
        </is>
      </c>
      <c r="B3" s="138" t="inlineStr">
        <is>
          <t>Perícias</t>
        </is>
      </c>
      <c r="C3" s="138" t="inlineStr">
        <is>
          <t>Ofícios</t>
        </is>
      </c>
      <c r="D3" s="138" t="inlineStr">
        <is>
          <t>Famílias</t>
        </is>
      </c>
      <c r="E3" s="138" t="inlineStr">
        <is>
          <t>Formas</t>
        </is>
      </c>
      <c r="F3" s="138" t="inlineStr">
        <is>
          <t>Melhorias</t>
        </is>
      </c>
      <c r="G3" s="138" t="inlineStr">
        <is>
          <t>Restrições</t>
        </is>
      </c>
      <c r="H3" s="138" t="inlineStr">
        <is>
          <t>Condições</t>
        </is>
      </c>
      <c r="I3" s="138" t="inlineStr">
        <is>
          <t>Origens</t>
        </is>
      </c>
      <c r="J3" s="138" t="inlineStr">
        <is>
          <t>Testes</t>
        </is>
      </c>
      <c r="K3" s="138" t="inlineStr">
        <is>
          <t>Atributos</t>
        </is>
      </c>
      <c r="L3" s="138" t="inlineStr">
        <is>
          <t>Trilhas</t>
        </is>
      </c>
      <c r="M3" s="38" t="n"/>
      <c r="N3" s="138" t="inlineStr">
        <is>
          <t>tabela dos Caminhos</t>
        </is>
      </c>
      <c r="O3" s="38" t="n"/>
      <c r="P3" s="38" t="n"/>
      <c r="Q3" s="38" t="n"/>
      <c r="R3" s="38" t="n"/>
      <c r="S3" s="38" t="n"/>
      <c r="T3" s="38" t="n"/>
      <c r="U3" s="38" t="n"/>
      <c r="V3" s="38" t="n"/>
      <c r="W3" s="38" t="n"/>
      <c r="X3" s="38" t="n"/>
      <c r="Y3" s="38" t="n"/>
      <c r="Z3" s="38" t="n"/>
      <c r="AA3" s="38" t="n"/>
      <c r="AB3" s="38" t="n"/>
      <c r="AC3" s="38" t="n"/>
      <c r="AD3" s="38" t="n"/>
      <c r="AE3" s="38" t="n"/>
      <c r="AF3" s="38" t="n"/>
      <c r="AG3" s="38" t="n"/>
      <c r="AH3" s="38" t="n"/>
      <c r="AI3" s="38" t="n"/>
      <c r="AJ3" s="38" t="n"/>
      <c r="AK3" s="38" t="n"/>
      <c r="AL3" s="38" t="n"/>
      <c r="AM3" s="38" t="n"/>
      <c r="AN3" s="38" t="n"/>
      <c r="AO3" s="38" t="n"/>
      <c r="AP3" s="38" t="n"/>
      <c r="AQ3" s="38" t="n"/>
      <c r="AR3" s="38" t="n"/>
      <c r="AS3" s="38" t="n"/>
      <c r="AT3" s="38" t="n"/>
      <c r="AU3" s="38" t="n"/>
      <c r="AV3" s="38" t="n"/>
      <c r="AW3" s="38" t="n"/>
      <c r="AX3" s="38" t="n"/>
      <c r="AY3" s="38" t="n"/>
      <c r="AZ3" s="38" t="n"/>
      <c r="BA3" s="38" t="n"/>
      <c r="BB3" s="38" t="n"/>
    </row>
    <row r="4" ht="17.25" customHeight="1">
      <c r="A4" s="114" t="inlineStr">
        <is>
          <t>Bastião</t>
        </is>
      </c>
      <c r="B4" s="114" t="inlineStr">
        <is>
          <t>Atletismo</t>
        </is>
      </c>
      <c r="C4" s="114" t="inlineStr">
        <is>
          <t>Condução</t>
        </is>
      </c>
      <c r="D4" s="114" t="inlineStr">
        <is>
          <t>Alcance</t>
        </is>
      </c>
      <c r="E4" s="114" t="inlineStr">
        <is>
          <t>Projétil</t>
        </is>
      </c>
      <c r="F4" s="114" t="inlineStr">
        <is>
          <t>Longe</t>
        </is>
      </c>
      <c r="G4" s="114" t="inlineStr">
        <is>
          <t>Corpo a Corpo</t>
        </is>
      </c>
      <c r="H4" s="114" t="inlineStr">
        <is>
          <t>Lento</t>
        </is>
      </c>
      <c r="I4" s="114" t="inlineStr">
        <is>
          <t>Latente</t>
        </is>
      </c>
      <c r="J4" s="114" t="inlineStr">
        <is>
          <t>Físico</t>
        </is>
      </c>
      <c r="K4" s="114" t="inlineStr">
        <is>
          <t>Força</t>
        </is>
      </c>
      <c r="L4" s="114" t="inlineStr">
        <is>
          <t>Muro</t>
        </is>
      </c>
      <c r="M4" s="38" t="n"/>
      <c r="N4" s="139" t="inlineStr">
        <is>
          <t>Caminho</t>
        </is>
      </c>
      <c r="O4" s="139" t="inlineStr">
        <is>
          <t>dado</t>
        </is>
      </c>
      <c r="P4" s="139" t="inlineStr">
        <is>
          <t>vida inicial</t>
        </is>
      </c>
      <c r="Q4" s="139" t="inlineStr">
        <is>
          <t>vida por nível</t>
        </is>
      </c>
      <c r="R4" s="139" t="inlineStr">
        <is>
          <t>PE por nível</t>
        </is>
      </c>
      <c r="S4" s="139" t="inlineStr">
        <is>
          <t>perícia fixa 1</t>
        </is>
      </c>
      <c r="T4" s="139" t="inlineStr">
        <is>
          <t>perícia fixa 2</t>
        </is>
      </c>
      <c r="U4" s="139" t="n"/>
      <c r="V4" s="38" t="n"/>
      <c r="W4" s="139" t="inlineStr">
        <is>
          <t>marcos</t>
        </is>
      </c>
      <c r="X4" s="139" t="inlineStr">
        <is>
          <t>maestria</t>
        </is>
      </c>
      <c r="Y4" s="139" t="inlineStr">
        <is>
          <t>classe</t>
        </is>
      </c>
      <c r="Z4" s="139" t="inlineStr">
        <is>
          <t>classe 0</t>
        </is>
      </c>
      <c r="AA4" s="38" t="n"/>
      <c r="AB4" s="139" t="inlineStr">
        <is>
          <t>perícia</t>
        </is>
      </c>
      <c r="AC4" s="139" t="inlineStr">
        <is>
          <t>atributo</t>
        </is>
      </c>
      <c r="AD4" s="38" t="n"/>
      <c r="AE4" s="139" t="inlineStr">
        <is>
          <t>equipamento</t>
        </is>
      </c>
      <c r="AF4" s="139" t="inlineStr">
        <is>
          <t>proteção</t>
        </is>
      </c>
      <c r="AG4" s="139" t="inlineStr">
        <is>
          <t>teto de destreza</t>
        </is>
      </c>
      <c r="AH4" s="139" t="inlineStr">
        <is>
          <t>desliga a passiva</t>
        </is>
      </c>
      <c r="AI4" s="38" t="n"/>
      <c r="AJ4" s="139" t="inlineStr">
        <is>
          <t>contas da ficha</t>
        </is>
      </c>
      <c r="AK4" s="139" t="inlineStr">
        <is>
          <t>valor</t>
        </is>
      </c>
      <c r="AL4" s="38" t="n"/>
      <c r="AM4" s="139" t="inlineStr">
        <is>
          <t>menu de Caminho</t>
        </is>
      </c>
      <c r="AN4" s="139" t="inlineStr">
        <is>
          <t>Trilha</t>
        </is>
      </c>
      <c r="AO4" s="139" t="inlineStr">
        <is>
          <t>Caminho da Trilha</t>
        </is>
      </c>
      <c r="AP4" s="139" t="inlineStr">
        <is>
          <t>menu de Trilha</t>
        </is>
      </c>
      <c r="AQ4" s="139" t="inlineStr">
        <is>
          <t>nível</t>
        </is>
      </c>
      <c r="AR4" s="139" t="inlineStr">
        <is>
          <t>xp acumulado</t>
        </is>
      </c>
      <c r="AS4" s="38" t="n"/>
      <c r="AT4" s="38" t="n"/>
      <c r="AU4" s="38" t="n"/>
      <c r="AV4" s="38" t="n"/>
      <c r="AW4" s="38" t="n"/>
      <c r="AX4" s="38" t="n"/>
      <c r="AY4" s="38" t="n"/>
      <c r="AZ4" s="38" t="n"/>
      <c r="BA4" s="139" t="inlineStr">
        <is>
          <t>campo</t>
        </is>
      </c>
      <c r="BB4" s="139" t="inlineStr">
        <is>
          <t>célula</t>
        </is>
      </c>
      <c r="BD4" s="139" t="inlineStr">
        <is>
          <t>equipável</t>
        </is>
      </c>
      <c r="BE4" s="139" t="inlineStr">
        <is>
          <t>categoria do equipável</t>
        </is>
      </c>
      <c r="BF4" s="139" t="inlineStr">
        <is>
          <t>mão do equipável</t>
        </is>
      </c>
      <c r="BG4" s="139" t="inlineStr">
        <is>
          <t>dado do equipável</t>
        </is>
      </c>
      <c r="BH4" s="139" t="inlineStr">
        <is>
          <t>propriedades do equipável</t>
        </is>
      </c>
      <c r="BI4" s="139" t="inlineStr">
        <is>
          <t>força do equipável</t>
        </is>
      </c>
      <c r="BJ4" s="139" t="inlineStr">
        <is>
          <t>volume do equipável</t>
        </is>
      </c>
      <c r="BK4" s="139" t="inlineStr">
        <is>
          <t>alcance do equipável</t>
        </is>
      </c>
      <c r="BL4" s="139" t="inlineStr">
        <is>
          <t>recarga do equipável</t>
        </is>
      </c>
      <c r="BM4" s="139" t="inlineStr">
        <is>
          <t>treino marcado</t>
        </is>
      </c>
      <c r="BN4" s="139" t="inlineStr">
        <is>
          <t>caixa do treino</t>
        </is>
      </c>
      <c r="BP4" s="139" t="inlineStr">
        <is>
          <t>categoria de arma</t>
        </is>
      </c>
      <c r="BQ4" s="139" t="inlineStr">
        <is>
          <t>lista de treino</t>
        </is>
      </c>
      <c r="BR4" s="139" t="inlineStr">
        <is>
          <t>conjurador treina</t>
        </is>
      </c>
      <c r="BS4" s="139" t="inlineStr">
        <is>
          <t>grupo marcado</t>
        </is>
      </c>
      <c r="BT4" s="139" t="inlineStr">
        <is>
          <t>caixa do grupo</t>
        </is>
      </c>
      <c r="BV4" s="139" t="inlineStr">
        <is>
          <t>Caminho que treina todas as armas</t>
        </is>
      </c>
      <c r="BX4" s="139" t="inlineStr">
        <is>
          <t>uniforme</t>
        </is>
      </c>
      <c r="BY4" s="139" t="inlineStr">
        <is>
          <t>proteção do uniforme</t>
        </is>
      </c>
      <c r="BZ4" s="139" t="inlineStr">
        <is>
          <t>teto do uniforme</t>
        </is>
      </c>
      <c r="CA4" s="139" t="inlineStr">
        <is>
          <t>força do uniforme</t>
        </is>
      </c>
      <c r="CB4" s="139" t="inlineStr">
        <is>
          <t>volume do uniforme</t>
        </is>
      </c>
      <c r="CC4" s="139" t="inlineStr">
        <is>
          <t>ordem do grau mínimo</t>
        </is>
      </c>
      <c r="CD4" s="139" t="inlineStr">
        <is>
          <t>grau mínimo</t>
        </is>
      </c>
      <c r="CF4" s="139" t="inlineStr">
        <is>
          <t>patente</t>
        </is>
      </c>
      <c r="CG4" s="139" t="inlineStr">
        <is>
          <t>salário por mês</t>
        </is>
      </c>
      <c r="CH4" s="139" t="inlineStr">
        <is>
          <t>ordem da patente</t>
        </is>
      </c>
      <c r="CJ4" s="139" t="inlineStr">
        <is>
          <t>situação do traje</t>
        </is>
      </c>
      <c r="CL4" s="139" t="inlineStr">
        <is>
          <t>tipo de missão</t>
        </is>
      </c>
      <c r="CM4" s="139" t="inlineStr">
        <is>
          <t>xp do tipo</t>
        </is>
      </c>
      <c r="CO4" s="139" t="inlineStr">
        <is>
          <t>adicional da missão</t>
        </is>
      </c>
      <c r="CP4" s="139" t="inlineStr">
        <is>
          <t>multiplicador</t>
        </is>
      </c>
      <c r="CR4" s="139" t="inlineStr">
        <is>
          <t>desconto da missão</t>
        </is>
      </c>
      <c r="CS4" s="139" t="inlineStr">
        <is>
          <t>fração paga</t>
        </is>
      </c>
      <c r="CU4" s="139" t="inlineStr">
        <is>
          <t>grau da ferramenta</t>
        </is>
      </c>
      <c r="CW4" s="139" t="inlineStr">
        <is>
          <t>limiar do feito</t>
        </is>
      </c>
      <c r="CY4" s="139" t="inlineStr">
        <is>
          <t>contas da pessoal</t>
        </is>
      </c>
      <c r="CZ4" s="139" t="inlineStr">
        <is>
          <t>valor da pessoal</t>
        </is>
      </c>
      <c r="DB4" s="139" t="inlineStr">
        <is>
          <t>menu da mão principal</t>
        </is>
      </c>
      <c r="DD4" s="139" t="inlineStr">
        <is>
          <t>menu da mão secundária</t>
        </is>
      </c>
      <c r="DF4" s="139" t="inlineStr">
        <is>
          <t>menu do vestindo</t>
        </is>
      </c>
      <c r="DH4" s="139" t="inlineStr">
        <is>
          <t>propriedade de arma</t>
        </is>
      </c>
      <c r="DI4" s="139" t="inlineStr">
        <is>
          <t>o que a propriedade faz</t>
        </is>
      </c>
      <c r="DK4" s="139" t="inlineStr">
        <is>
          <t>nota viva</t>
        </is>
      </c>
      <c r="DL4" s="139" t="inlineStr">
        <is>
          <t>texto da nota</t>
        </is>
      </c>
      <c r="DM4" s="139" t="inlineStr">
        <is>
          <t>caixa da nota</t>
        </is>
      </c>
      <c r="DO4" s="139" t="inlineStr">
        <is>
          <t>campo pessoal</t>
        </is>
      </c>
      <c r="DP4" s="139" t="inlineStr">
        <is>
          <t>célula pessoal</t>
        </is>
      </c>
    </row>
    <row r="5" ht="17.25" customHeight="1">
      <c r="A5" s="114" t="inlineStr">
        <is>
          <t>Vanguarda</t>
        </is>
      </c>
      <c r="B5" s="114" t="inlineStr">
        <is>
          <t>Acrobacia</t>
        </is>
      </c>
      <c r="C5" s="114" t="inlineStr">
        <is>
          <t>Arrombamento</t>
        </is>
      </c>
      <c r="D5" s="114" t="inlineStr">
        <is>
          <t>Área</t>
        </is>
      </c>
      <c r="E5" s="114" t="inlineStr">
        <is>
          <t>Toque</t>
        </is>
      </c>
      <c r="F5" s="114" t="inlineStr">
        <is>
          <t>Muito Longe</t>
        </is>
      </c>
      <c r="G5" s="114" t="inlineStr">
        <is>
          <t>Atrasar</t>
        </is>
      </c>
      <c r="H5" s="114" t="inlineStr">
        <is>
          <t>Incapacitado</t>
        </is>
      </c>
      <c r="I5" s="114" t="inlineStr">
        <is>
          <t>Receptáculo</t>
        </is>
      </c>
      <c r="J5" s="114" t="inlineStr">
        <is>
          <t>Vigor</t>
        </is>
      </c>
      <c r="K5" s="114" t="inlineStr">
        <is>
          <t>Destreza</t>
        </is>
      </c>
      <c r="L5" s="114" t="inlineStr">
        <is>
          <t>Punho</t>
        </is>
      </c>
      <c r="M5" s="38" t="n"/>
      <c r="N5" s="114" t="inlineStr">
        <is>
          <t>Bastião</t>
        </is>
      </c>
      <c r="O5" s="114" t="inlineStr">
        <is>
          <t>d12</t>
        </is>
      </c>
      <c r="P5" s="114" t="n">
        <v>12</v>
      </c>
      <c r="Q5" s="114" t="n">
        <v>7</v>
      </c>
      <c r="R5" s="114" t="n">
        <v>4</v>
      </c>
      <c r="S5" s="114" t="inlineStr">
        <is>
          <t>Atletismo</t>
        </is>
      </c>
      <c r="T5" s="114" t="inlineStr">
        <is>
          <t>Intimidação</t>
        </is>
      </c>
      <c r="U5" s="114" t="n"/>
      <c r="V5" s="38" t="n"/>
      <c r="W5" s="140" t="n">
        <v>6</v>
      </c>
      <c r="X5" s="140" t="n">
        <v>10</v>
      </c>
      <c r="Y5" s="140" t="n">
        <v>1</v>
      </c>
      <c r="Z5" s="140" t="n">
        <v>5</v>
      </c>
      <c r="AA5" s="38" t="n"/>
      <c r="AB5" s="114" t="inlineStr">
        <is>
          <t>Atletismo</t>
        </is>
      </c>
      <c r="AC5" s="114" t="inlineStr">
        <is>
          <t>Força</t>
        </is>
      </c>
      <c r="AD5" s="38" t="n"/>
      <c r="AE5" s="114" t="inlineStr">
        <is>
          <t>Traje 1</t>
        </is>
      </c>
      <c r="AF5" s="140" t="n">
        <v>1</v>
      </c>
      <c r="AG5" s="140" t="inlineStr">
        <is>
          <t>—</t>
        </is>
      </c>
      <c r="AH5" s="140" t="inlineStr">
        <is>
          <t>sim</t>
        </is>
      </c>
      <c r="AI5" s="38" t="n"/>
      <c r="AJ5" s="114" t="inlineStr">
        <is>
          <t>marcos que já passou</t>
        </is>
      </c>
      <c r="AK5" s="140">
        <f>COUNTIF(DADOS!$W$5:$W$11,"&lt;="&amp;FICHA!$AH$11)</f>
        <v/>
      </c>
      <c r="AL5" s="38" t="n"/>
      <c r="AM5" s="114" t="inlineStr">
        <is>
          <t>Escolha seu Caminho</t>
        </is>
      </c>
      <c r="AN5" s="114">
        <f>$L$4</f>
        <v/>
      </c>
      <c r="AO5" s="114" t="inlineStr">
        <is>
          <t>Bastião</t>
        </is>
      </c>
      <c r="AP5" s="114" t="inlineStr">
        <is>
          <t>Escolha sua Trilha</t>
        </is>
      </c>
      <c r="AQ5" s="140" t="n">
        <v>2</v>
      </c>
      <c r="AR5" s="140" t="n">
        <v>0</v>
      </c>
      <c r="AS5" s="38" t="n"/>
      <c r="AT5" s="38" t="n"/>
      <c r="AU5" s="38" t="n"/>
      <c r="AV5" s="38" t="n"/>
      <c r="AW5" s="38" t="n"/>
      <c r="AX5" s="38" t="n"/>
      <c r="AY5" s="38" t="n"/>
      <c r="AZ5" s="38" t="n"/>
      <c r="BA5" s="114" t="inlineStr">
        <is>
          <t>nome</t>
        </is>
      </c>
      <c r="BB5" s="114">
        <f>ADDRESS(ROW(FICHA!AB2),COLUMN(FICHA!AB2),4)</f>
        <v/>
      </c>
      <c r="BD5" s="114" t="inlineStr">
        <is>
          <t>Bastão</t>
        </is>
      </c>
      <c r="BE5" s="114" t="inlineStr">
        <is>
          <t>Porrete</t>
        </is>
      </c>
      <c r="BF5" s="140" t="n">
        <v>1</v>
      </c>
      <c r="BG5" s="114" t="inlineStr">
        <is>
          <t>d6</t>
        </is>
      </c>
      <c r="BH5" s="114" t="inlineStr">
        <is>
          <t>Versátil · Alcance · Rompe</t>
        </is>
      </c>
      <c r="BI5" s="114" t="inlineStr">
        <is>
          <t>—</t>
        </is>
      </c>
      <c r="BJ5" s="140" t="n">
        <v>1</v>
      </c>
      <c r="BM5" s="140">
        <f>'FICHA PESSOAL'!$V$49</f>
        <v/>
      </c>
      <c r="BN5" s="140">
        <f>ADDRESS(ROW('FICHA PESSOAL'!V49),COLUMN('FICHA PESSOAL'!V49),4)</f>
        <v/>
      </c>
      <c r="BP5" s="114" t="inlineStr">
        <is>
          <t>Lâmina Curta</t>
        </is>
      </c>
      <c r="BQ5" s="114" t="inlineStr">
        <is>
          <t>Simples</t>
        </is>
      </c>
      <c r="BR5" s="114" t="inlineStr">
        <is>
          <t>não</t>
        </is>
      </c>
      <c r="BS5" s="140">
        <f>'FICHA PESSOAL'!$AE$48</f>
        <v/>
      </c>
      <c r="BT5" s="140">
        <f>ADDRESS(ROW('FICHA PESSOAL'!AE48),COLUMN('FICHA PESSOAL'!AE48),4)</f>
        <v/>
      </c>
      <c r="BV5" s="114" t="inlineStr">
        <is>
          <t>Bastião</t>
        </is>
      </c>
      <c r="BX5" s="114" t="inlineStr">
        <is>
          <t>Traje 1</t>
        </is>
      </c>
      <c r="BY5" s="140" t="n">
        <v>1</v>
      </c>
      <c r="BZ5" s="114" t="inlineStr">
        <is>
          <t>—</t>
        </is>
      </c>
      <c r="CA5" s="140" t="n">
        <v>0</v>
      </c>
      <c r="CB5" s="140" t="n">
        <v>0.1</v>
      </c>
      <c r="CC5" s="140" t="n">
        <v>1</v>
      </c>
      <c r="CD5" s="114" t="inlineStr">
        <is>
          <t>Grau 4</t>
        </is>
      </c>
      <c r="CF5" s="114" t="inlineStr">
        <is>
          <t>Grau 4</t>
        </is>
      </c>
      <c r="CG5" s="114" t="inlineStr">
        <is>
          <t>¥ 150.000</t>
        </is>
      </c>
      <c r="CH5" s="140" t="n">
        <v>1</v>
      </c>
      <c r="CJ5" s="114" t="inlineStr">
        <is>
          <t>Vão apertado</t>
        </is>
      </c>
      <c r="CL5" s="114" t="inlineStr">
        <is>
          <t>Curta</t>
        </is>
      </c>
      <c r="CM5" s="140" t="n">
        <v>50</v>
      </c>
      <c r="CO5" s="114" t="inlineStr">
        <is>
          <t>1,25x</t>
        </is>
      </c>
      <c r="CP5" s="140" t="n">
        <v>1.25</v>
      </c>
      <c r="CR5" s="114" t="inlineStr">
        <is>
          <t>3ª · 50%</t>
        </is>
      </c>
      <c r="CS5" s="140" t="n">
        <v>0.5</v>
      </c>
      <c r="CU5" s="114" t="inlineStr">
        <is>
          <t>—</t>
        </is>
      </c>
      <c r="CW5" s="140" t="n">
        <v>20</v>
      </c>
      <c r="CY5" s="114" t="inlineStr">
        <is>
          <t>força</t>
        </is>
      </c>
      <c r="CZ5" s="140">
        <f>N(FICHA!$D$19)</f>
        <v/>
      </c>
      <c r="DB5" s="114" t="inlineStr">
        <is>
          <t>Soco</t>
        </is>
      </c>
      <c r="DD5" s="114" t="inlineStr">
        <is>
          <t>—</t>
        </is>
      </c>
      <c r="DF5" s="114" t="inlineStr">
        <is>
          <t>Sem uniforme</t>
        </is>
      </c>
      <c r="DH5" s="114" t="inlineStr">
        <is>
          <t>Alcance</t>
        </is>
      </c>
      <c r="DI5" s="114" t="inlineStr">
        <is>
          <t>Estica o corpo a corpo. O padrão de qualquer arma de mão é 1,5 m. As Armas Longas chegam a 3 m.</t>
        </is>
      </c>
      <c r="DK5" s="114" t="inlineStr">
        <is>
          <t>requisito de força</t>
        </is>
      </c>
      <c r="DL5" s="140">
        <f>IF(DADOS!$CZ$36+DADOS!$CZ$37+DADOS!$CZ$38=0,"Tudo o que está em uso cabe na sua Força.",IF(DADOS!$CZ$36=1,'FICHA PESSOAL'!$D$41&amp;" pede Força "&amp;DADOS!$CZ$11&amp;". ","")&amp;IF(DADOS!$CZ$37=1,'FICHA PESSOAL'!$S$41&amp;" pede Força "&amp;DADOS!$CZ$22&amp;". ","")&amp;IF(DADOS!$CZ$38=1,'FICHA PESSOAL'!$AH$41&amp;" pede Força "&amp;DADOS!$CZ$30&amp;". ","")&amp;"Você tem "&amp;DADOS!$CZ$5&amp;"."&amp;IF(OR(DADOS!$CZ$36=1,AND(DADOS!$CZ$37=1,DADOS!$CZ$19=0))," Atacar com a arma sem a Força sai com desvantagem.","")&amp;IF(OR(DADOS!$CZ$38=1,AND(DADOS!$CZ$37=1,DADOS!$CZ$19=1))," Com uniforme ou escudo sem a Força, o deslocamento cai pela metade e os Testes de Resistência Físicos saem com desvantagem.",""))</f>
        <v/>
      </c>
      <c r="DM5" s="140">
        <f>ADDRESS(ROW('FICHA PESSOAL'!AF63),COLUMN('FICHA PESSOAL'!AF63),4)</f>
        <v/>
      </c>
      <c r="DO5" s="114" t="inlineStr">
        <is>
          <t>principal</t>
        </is>
      </c>
      <c r="DP5" s="140">
        <f>ADDRESS(ROW('FICHA PESSOAL'!D41),COLUMN('FICHA PESSOAL'!D41),4)</f>
        <v/>
      </c>
    </row>
    <row r="6" ht="17.25" customHeight="1">
      <c r="A6" s="114" t="inlineStr">
        <is>
          <t>Guia</t>
        </is>
      </c>
      <c r="B6" s="114" t="inlineStr">
        <is>
          <t>Furtividade</t>
        </is>
      </c>
      <c r="C6" s="114" t="inlineStr">
        <is>
          <t>Herbalismo</t>
        </is>
      </c>
      <c r="D6" s="114" t="inlineStr">
        <is>
          <t>Mira</t>
        </is>
      </c>
      <c r="E6" s="114" t="inlineStr">
        <is>
          <t>Explosão</t>
        </is>
      </c>
      <c r="F6" s="114" t="inlineStr">
        <is>
          <t>Sem Ver</t>
        </is>
      </c>
      <c r="G6" s="114" t="inlineStr">
        <is>
          <t>Parado</t>
        </is>
      </c>
      <c r="H6" s="114" t="inlineStr">
        <is>
          <t>Derrubado</t>
        </is>
      </c>
      <c r="I6" s="114" t="inlineStr">
        <is>
          <t>Descendente</t>
        </is>
      </c>
      <c r="J6" s="114" t="inlineStr">
        <is>
          <t>Intelecto</t>
        </is>
      </c>
      <c r="K6" s="114" t="inlineStr">
        <is>
          <t>Constituição</t>
        </is>
      </c>
      <c r="L6" s="114" t="inlineStr">
        <is>
          <t>Brasa</t>
        </is>
      </c>
      <c r="M6" s="38" t="n"/>
      <c r="N6" s="114" t="inlineStr">
        <is>
          <t>Vanguarda</t>
        </is>
      </c>
      <c r="O6" s="114" t="inlineStr">
        <is>
          <t>d8</t>
        </is>
      </c>
      <c r="P6" s="114" t="n">
        <v>8</v>
      </c>
      <c r="Q6" s="114" t="n">
        <v>5</v>
      </c>
      <c r="R6" s="114" t="n">
        <v>5</v>
      </c>
      <c r="S6" s="114" t="inlineStr">
        <is>
          <t>Acrobacia</t>
        </is>
      </c>
      <c r="T6" s="114" t="inlineStr">
        <is>
          <t>Percepção</t>
        </is>
      </c>
      <c r="U6" s="114" t="n"/>
      <c r="V6" s="38" t="n"/>
      <c r="W6" s="140" t="n">
        <v>10</v>
      </c>
      <c r="X6" s="140" t="n">
        <v>18</v>
      </c>
      <c r="Y6" s="140" t="n">
        <v>5</v>
      </c>
      <c r="Z6" s="140" t="n">
        <v>11</v>
      </c>
      <c r="AA6" s="38" t="n"/>
      <c r="AB6" s="114" t="inlineStr">
        <is>
          <t>Acrobacia</t>
        </is>
      </c>
      <c r="AC6" s="114" t="inlineStr">
        <is>
          <t>Destreza</t>
        </is>
      </c>
      <c r="AD6" s="38" t="n"/>
      <c r="AE6" s="114" t="inlineStr">
        <is>
          <t>Traje 2</t>
        </is>
      </c>
      <c r="AF6" s="140" t="n">
        <v>2</v>
      </c>
      <c r="AG6" s="140" t="inlineStr">
        <is>
          <t>—</t>
        </is>
      </c>
      <c r="AH6" s="140" t="inlineStr">
        <is>
          <t>sim</t>
        </is>
      </c>
      <c r="AI6" s="38" t="n"/>
      <c r="AJ6" s="114" t="inlineStr">
        <is>
          <t>pontos de atributo</t>
        </is>
      </c>
      <c r="AK6" s="140">
        <f>9+DADOS!$AK$5</f>
        <v/>
      </c>
      <c r="AL6" s="38" t="n"/>
      <c r="AM6" s="114">
        <f>$A$4</f>
        <v/>
      </c>
      <c r="AN6" s="114">
        <f>$L$5</f>
        <v/>
      </c>
      <c r="AO6" s="114" t="inlineStr">
        <is>
          <t>Bastião</t>
        </is>
      </c>
      <c r="AP6" s="114">
        <f>IFERROR(FILTER($AN$5:$AN$19,$AO$5:$AO$19=FICHA!$D$11),"")</f>
        <v/>
      </c>
      <c r="AQ6" s="140" t="n">
        <v>3</v>
      </c>
      <c r="AR6" s="140" t="n">
        <v>200</v>
      </c>
      <c r="AS6" s="38" t="n"/>
      <c r="AT6" s="38" t="n"/>
      <c r="AU6" s="38" t="n"/>
      <c r="AV6" s="38" t="n"/>
      <c r="AW6" s="38" t="n"/>
      <c r="AX6" s="38" t="n"/>
      <c r="AY6" s="38" t="n"/>
      <c r="AZ6" s="38" t="n"/>
      <c r="BA6" s="114" t="inlineStr">
        <is>
          <t>caminho</t>
        </is>
      </c>
      <c r="BB6" s="114">
        <f>ADDRESS(ROW(FICHA!D11),COLUMN(FICHA!D11),4)</f>
        <v/>
      </c>
      <c r="BD6" s="114" t="inlineStr">
        <is>
          <t>Besta</t>
        </is>
      </c>
      <c r="BE6" s="114" t="inlineStr">
        <is>
          <t>Balestra</t>
        </is>
      </c>
      <c r="BF6" s="140" t="n">
        <v>2</v>
      </c>
      <c r="BG6" s="114" t="inlineStr">
        <is>
          <t>2d8</t>
        </is>
      </c>
      <c r="BH6" s="114" t="inlineStr">
        <is>
          <t>Longo Alcance · Munição · Rompe</t>
        </is>
      </c>
      <c r="BI6" s="140" t="n">
        <v>3</v>
      </c>
      <c r="BJ6" s="140" t="n">
        <v>2</v>
      </c>
      <c r="BK6" s="114" t="inlineStr">
        <is>
          <t>30 m, longa 120 m</t>
        </is>
      </c>
      <c r="BL6" s="140" t="n">
        <v>1</v>
      </c>
      <c r="BM6" s="140">
        <f>'FICHA PESSOAL'!$V$59</f>
        <v/>
      </c>
      <c r="BN6" s="140">
        <f>ADDRESS(ROW('FICHA PESSOAL'!V59),COLUMN('FICHA PESSOAL'!V59),4)</f>
        <v/>
      </c>
      <c r="BP6" s="114" t="inlineStr">
        <is>
          <t>Porrete</t>
        </is>
      </c>
      <c r="BQ6" s="114" t="inlineStr">
        <is>
          <t>Simples</t>
        </is>
      </c>
      <c r="BR6" s="114" t="inlineStr">
        <is>
          <t>não</t>
        </is>
      </c>
      <c r="BS6" s="140">
        <f>'FICHA PESSOAL'!$V$48</f>
        <v/>
      </c>
      <c r="BT6" s="140">
        <f>ADDRESS(ROW('FICHA PESSOAL'!V48),COLUMN('FICHA PESSOAL'!V48),4)</f>
        <v/>
      </c>
      <c r="BV6" s="114" t="inlineStr">
        <is>
          <t>Vanguarda</t>
        </is>
      </c>
      <c r="BX6" s="114" t="inlineStr">
        <is>
          <t>Traje 2</t>
        </is>
      </c>
      <c r="BY6" s="140" t="n">
        <v>2</v>
      </c>
      <c r="BZ6" s="114" t="inlineStr">
        <is>
          <t>—</t>
        </is>
      </c>
      <c r="CA6" s="140" t="n">
        <v>0</v>
      </c>
      <c r="CB6" s="140" t="n">
        <v>1</v>
      </c>
      <c r="CC6" s="140" t="n">
        <v>1</v>
      </c>
      <c r="CD6" s="114" t="inlineStr">
        <is>
          <t>Grau 4</t>
        </is>
      </c>
      <c r="CF6" s="114" t="inlineStr">
        <is>
          <t>Grau 3</t>
        </is>
      </c>
      <c r="CG6" s="114" t="inlineStr">
        <is>
          <t>¥ 300.000</t>
        </is>
      </c>
      <c r="CH6" s="140" t="n">
        <v>2</v>
      </c>
      <c r="CJ6" s="114" t="inlineStr">
        <is>
          <t>Altura e beirada</t>
        </is>
      </c>
      <c r="CL6" s="114" t="inlineStr">
        <is>
          <t>Padrão</t>
        </is>
      </c>
      <c r="CM6" s="140" t="n">
        <v>100</v>
      </c>
      <c r="CO6" s="114" t="inlineStr">
        <is>
          <t>1,50x</t>
        </is>
      </c>
      <c r="CP6" s="140" t="n">
        <v>1.5</v>
      </c>
      <c r="CR6" s="114" t="inlineStr">
        <is>
          <t>4ª · 25%</t>
        </is>
      </c>
      <c r="CS6" s="140" t="n">
        <v>0.25</v>
      </c>
      <c r="CU6" s="114" t="inlineStr">
        <is>
          <t>Grau 4</t>
        </is>
      </c>
      <c r="CY6" s="114" t="inlineStr">
        <is>
          <t>soco na principal</t>
        </is>
      </c>
      <c r="CZ6" s="140">
        <f>IF(OR('FICHA PESSOAL'!$D$41="",'FICHA PESSOAL'!$D$41="Soco"),1,0)</f>
        <v/>
      </c>
      <c r="DB6" s="140">
        <f>IF(AND('FICHA PESSOAL'!$D$69&lt;&gt;"",'FICHA PESSOAL'!$M$69&lt;&gt;"Escudo"),'FICHA PESSOAL'!$D$69,"")</f>
        <v/>
      </c>
      <c r="DD6" s="140">
        <f>IF(AND(DADOS!$CZ$8&lt;&gt;2,ISNUMBER(SEARCH("Versátil",DADOS!$CZ$10))),"Nas duas mãos","")</f>
        <v/>
      </c>
      <c r="DF6" s="140">
        <f>IF(DADOS!$CZ$34&gt;=DADOS!$CC$5,DADOS!$BX$5,"")</f>
        <v/>
      </c>
      <c r="DH6" s="114" t="inlineStr">
        <is>
          <t>Longo Alcance</t>
        </is>
      </c>
      <c r="DI6" s="114" t="inlineStr">
        <is>
          <t>A arma alcança à distância, em metros. Faixa normal — até o Longo Alcance da arma. Ataque normal. Faixa longa — até o segundo número da tabela. Você rola com desvantagem: joga dois d20 e fica com o pior. Além da faixa longa, você não consegue atingir um alvo. Colado: atacar com arma de projétil estando adjacente a um inimigo (qualquer inimigo, não só o seu alvo) também é desvantagem.</t>
        </is>
      </c>
      <c r="DK6" s="114" t="inlineStr">
        <is>
          <t>carga</t>
        </is>
      </c>
      <c r="DL6" s="140">
        <f>IF(DADOS!$CZ$42=1,"Você passou do limite: o deslocamento cai pela metade e os Testes de Resistência Físicos saem com desvantagem. É a mesma punição do uniforme e do escudo sem a Força, e elas não se somam.","")</f>
        <v/>
      </c>
      <c r="DM6" s="140">
        <f>ADDRESS(ROW('FICHA PESSOAL'!D63),COLUMN('FICHA PESSOAL'!D63),4)</f>
        <v/>
      </c>
      <c r="DO6" s="114" t="inlineStr">
        <is>
          <t>secundária</t>
        </is>
      </c>
      <c r="DP6" s="140">
        <f>ADDRESS(ROW('FICHA PESSOAL'!S41),COLUMN('FICHA PESSOAL'!S41),4)</f>
        <v/>
      </c>
    </row>
    <row r="7" ht="17.25" customHeight="1">
      <c r="A7" s="114" t="inlineStr">
        <is>
          <t>Emanador</t>
        </is>
      </c>
      <c r="B7" s="114" t="inlineStr">
        <is>
          <t>Pontaria</t>
        </is>
      </c>
      <c r="C7" s="114" t="inlineStr">
        <is>
          <t>Forja</t>
        </is>
      </c>
      <c r="D7" s="114" t="inlineStr">
        <is>
          <t>Controle</t>
        </is>
      </c>
      <c r="E7" s="114" t="inlineStr">
        <is>
          <t>Aura</t>
        </is>
      </c>
      <c r="F7" s="114" t="inlineStr">
        <is>
          <t>Passo</t>
        </is>
      </c>
      <c r="G7" s="114" t="inlineStr">
        <is>
          <t>Gesto</t>
        </is>
      </c>
      <c r="H7" s="114" t="inlineStr">
        <is>
          <t>Agarrado</t>
        </is>
      </c>
      <c r="I7" s="114" t="inlineStr">
        <is>
          <t>Reencarnado</t>
        </is>
      </c>
      <c r="J7" s="114" t="inlineStr">
        <is>
          <t>Espírito</t>
        </is>
      </c>
      <c r="K7" s="114" t="inlineStr">
        <is>
          <t>Inteligência</t>
        </is>
      </c>
      <c r="L7" s="114" t="inlineStr">
        <is>
          <t>Estocada</t>
        </is>
      </c>
      <c r="M7" s="38" t="n"/>
      <c r="N7" s="114" t="inlineStr">
        <is>
          <t>Guia</t>
        </is>
      </c>
      <c r="O7" s="114" t="inlineStr">
        <is>
          <t>d8</t>
        </is>
      </c>
      <c r="P7" s="114" t="n">
        <v>8</v>
      </c>
      <c r="Q7" s="114" t="n">
        <v>5</v>
      </c>
      <c r="R7" s="114" t="n">
        <v>5</v>
      </c>
      <c r="S7" s="114" t="inlineStr">
        <is>
          <t>Persuasão</t>
        </is>
      </c>
      <c r="T7" s="114" t="inlineStr">
        <is>
          <t>Medicina</t>
        </is>
      </c>
      <c r="U7" s="114" t="n"/>
      <c r="V7" s="38" t="n"/>
      <c r="W7" s="140" t="n">
        <v>14</v>
      </c>
      <c r="X7" s="140" t="n">
        <v>26</v>
      </c>
      <c r="Y7" s="140" t="n">
        <v>9</v>
      </c>
      <c r="Z7" s="140" t="n">
        <v>17</v>
      </c>
      <c r="AA7" s="38" t="n"/>
      <c r="AB7" s="114" t="inlineStr">
        <is>
          <t>Furtividade</t>
        </is>
      </c>
      <c r="AC7" s="114" t="inlineStr">
        <is>
          <t>Destreza</t>
        </is>
      </c>
      <c r="AD7" s="38" t="n"/>
      <c r="AE7" s="114" t="inlineStr">
        <is>
          <t>Traje 3</t>
        </is>
      </c>
      <c r="AF7" s="140" t="n">
        <v>3</v>
      </c>
      <c r="AG7" s="140" t="inlineStr">
        <is>
          <t>—</t>
        </is>
      </c>
      <c r="AH7" s="140" t="inlineStr">
        <is>
          <t>sim</t>
        </is>
      </c>
      <c r="AI7" s="38" t="n"/>
      <c r="AJ7" s="114" t="inlineStr">
        <is>
          <t>pontos distribuídos</t>
        </is>
      </c>
      <c r="AK7" s="140">
        <f>IFERROR(VALUE(FICHA!$D$21&amp;""),0)+IFERROR(VALUE(FICHA!$L$21&amp;""),0)+IFERROR(VALUE(FICHA!$T$21&amp;""),0)+IFERROR(VALUE(FICHA!$AB$21&amp;""),0)+IFERROR(VALUE(FICHA!$AJ$21&amp;""),0)</f>
        <v/>
      </c>
      <c r="AL7" s="38" t="n"/>
      <c r="AM7" s="114">
        <f>$A$5</f>
        <v/>
      </c>
      <c r="AN7" s="114">
        <f>$L$6</f>
        <v/>
      </c>
      <c r="AO7" s="114" t="inlineStr">
        <is>
          <t>Bastião</t>
        </is>
      </c>
      <c r="AP7" s="38" t="n"/>
      <c r="AQ7" s="140" t="n">
        <v>4</v>
      </c>
      <c r="AR7" s="140" t="n">
        <v>500</v>
      </c>
      <c r="AS7" s="38" t="n"/>
      <c r="AT7" s="38" t="n"/>
      <c r="AU7" s="38" t="n"/>
      <c r="AV7" s="38" t="n"/>
      <c r="AW7" s="38" t="n"/>
      <c r="AX7" s="38" t="n"/>
      <c r="AY7" s="38" t="n"/>
      <c r="AZ7" s="38" t="n"/>
      <c r="BA7" s="114" t="inlineStr">
        <is>
          <t>trilha</t>
        </is>
      </c>
      <c r="BB7" s="114">
        <f>ADDRESS(ROW(FICHA!N11),COLUMN(FICHA!N11),4)</f>
        <v/>
      </c>
      <c r="BD7" s="114" t="inlineStr">
        <is>
          <t>Besta de Uma Mão</t>
        </is>
      </c>
      <c r="BE7" s="114" t="inlineStr">
        <is>
          <t>Balestra</t>
        </is>
      </c>
      <c r="BF7" s="140" t="n">
        <v>1</v>
      </c>
      <c r="BG7" s="114" t="inlineStr">
        <is>
          <t>1d10</t>
        </is>
      </c>
      <c r="BH7" s="114" t="inlineStr">
        <is>
          <t>Longo Alcance · Munição · Oculta</t>
        </is>
      </c>
      <c r="BI7" s="114" t="inlineStr">
        <is>
          <t>—</t>
        </is>
      </c>
      <c r="BJ7" s="140" t="n">
        <v>0.1</v>
      </c>
      <c r="BK7" s="114" t="inlineStr">
        <is>
          <t>9 m, longa 36 m</t>
        </is>
      </c>
      <c r="BL7" s="140" t="n">
        <v>1</v>
      </c>
      <c r="BM7" s="140">
        <f>'FICHA PESSOAL'!$V$60</f>
        <v/>
      </c>
      <c r="BN7" s="140">
        <f>ADDRESS(ROW('FICHA PESSOAL'!V60),COLUMN('FICHA PESSOAL'!V60),4)</f>
        <v/>
      </c>
      <c r="BP7" s="114" t="inlineStr">
        <is>
          <t>Ceifa</t>
        </is>
      </c>
      <c r="BQ7" s="114" t="inlineStr">
        <is>
          <t>Simples</t>
        </is>
      </c>
      <c r="BR7" s="114" t="inlineStr">
        <is>
          <t>não</t>
        </is>
      </c>
      <c r="BS7" s="140">
        <f>'FICHA PESSOAL'!$V$54</f>
        <v/>
      </c>
      <c r="BT7" s="140">
        <f>ADDRESS(ROW('FICHA PESSOAL'!V54),COLUMN('FICHA PESSOAL'!V54),4)</f>
        <v/>
      </c>
      <c r="BX7" s="114" t="inlineStr">
        <is>
          <t>Traje 3</t>
        </is>
      </c>
      <c r="BY7" s="140" t="n">
        <v>3</v>
      </c>
      <c r="BZ7" s="114" t="inlineStr">
        <is>
          <t>—</t>
        </is>
      </c>
      <c r="CA7" s="140" t="n">
        <v>3</v>
      </c>
      <c r="CB7" s="140" t="n">
        <v>2</v>
      </c>
      <c r="CC7" s="140" t="n">
        <v>1</v>
      </c>
      <c r="CD7" s="114" t="inlineStr">
        <is>
          <t>Grau 4</t>
        </is>
      </c>
      <c r="CF7" s="114" t="inlineStr">
        <is>
          <t>Grau 2</t>
        </is>
      </c>
      <c r="CG7" s="114" t="inlineStr">
        <is>
          <t>¥ 600.000</t>
        </is>
      </c>
      <c r="CH7" s="140" t="n">
        <v>3</v>
      </c>
      <c r="CJ7" s="114" t="inlineStr">
        <is>
          <t>Escuro</t>
        </is>
      </c>
      <c r="CL7" s="114" t="inlineStr">
        <is>
          <t>Longa</t>
        </is>
      </c>
      <c r="CM7" s="140" t="n">
        <v>200</v>
      </c>
      <c r="CO7" s="114" t="inlineStr">
        <is>
          <t>2x</t>
        </is>
      </c>
      <c r="CP7" s="140" t="n">
        <v>2</v>
      </c>
      <c r="CR7" s="114" t="inlineStr">
        <is>
          <t>5ª · 12,5%</t>
        </is>
      </c>
      <c r="CS7" s="140" t="n">
        <v>0.125</v>
      </c>
      <c r="CU7" s="114" t="inlineStr">
        <is>
          <t>Grau 3</t>
        </is>
      </c>
      <c r="CY7" s="114" t="inlineStr">
        <is>
          <t>categoria da principal</t>
        </is>
      </c>
      <c r="CZ7" s="140">
        <f>IF(DADOS!$CZ$6=1,"Soco",IFERROR(VLOOKUP('FICHA PESSOAL'!$D$41,'FICHA PESSOAL'!$D$69:$AH$76,10,FALSE)&amp;"",""))</f>
        <v/>
      </c>
      <c r="DB7" s="140">
        <f>IF(AND('FICHA PESSOAL'!$D$70&lt;&gt;"",'FICHA PESSOAL'!$M$70&lt;&gt;"Escudo"),'FICHA PESSOAL'!$D$70,"")</f>
        <v/>
      </c>
      <c r="DD7" s="140">
        <f>IF(AND(DADOS!$CZ$8&lt;&gt;2,'FICHA PESSOAL'!$D$69&lt;&gt;"",OR('FICHA PESSOAL'!$M$69="Escudo",N('FICHA PESSOAL'!$S$69)=1)),'FICHA PESSOAL'!$D$69,"")</f>
        <v/>
      </c>
      <c r="DF7" s="140">
        <f>IF(DADOS!$CZ$34&gt;=DADOS!$CC$6,DADOS!$BX$6,"")</f>
        <v/>
      </c>
      <c r="DH7" s="114" t="inlineStr">
        <is>
          <t>Duas mãos</t>
        </is>
      </c>
      <c r="DI7" s="114" t="inlineStr">
        <is>
          <t>Ocupa as duas mãos, então não sobra mão para escudo.</t>
        </is>
      </c>
      <c r="DK7" s="114" t="inlineStr">
        <is>
          <t>situação do traje</t>
        </is>
      </c>
      <c r="DL7" s="140">
        <f>IF(AND(DADOS!$CZ$27=1,LEFT('FICHA PESSOAL'!$AH$41,5)&lt;&gt;"Traje"),"Só o Traje carrega situação. O Revestimento não tem.",IF('FICHA PESSOAL'!$AN$63="","",IF('FICHA PESSOAL'!$AN$63="Outra Situação","Você pode criar a sua, em uma ou duas palavras. O mestre confere três coisas: é condição física que ele já descreveu na cena; não decide o que uma perícia de Destreza já decide; e não acontece toda cena.","Situação “"&amp;LOWER('FICHA PESSOAL'!$AN$63)&amp;"”: quando a cena estiver nessa condição, você rola com vantagem os testes de perícia e os Testes de Resistência.")))</f>
        <v/>
      </c>
      <c r="DM7" s="140">
        <f>ADDRESS(ROW('FICHA PESSOAL'!AN63),COLUMN('FICHA PESSOAL'!AN63),4)</f>
        <v/>
      </c>
      <c r="DO7" s="114" t="inlineStr">
        <is>
          <t>vestindo</t>
        </is>
      </c>
      <c r="DP7" s="140">
        <f>ADDRESS(ROW('FICHA PESSOAL'!AH41),COLUMN('FICHA PESSOAL'!AH41),4)</f>
        <v/>
      </c>
    </row>
    <row r="8" ht="17.25" customHeight="1">
      <c r="A8" s="114" t="inlineStr">
        <is>
          <t>Evocador</t>
        </is>
      </c>
      <c r="B8" s="114" t="inlineStr">
        <is>
          <t>Prestidigitação</t>
        </is>
      </c>
      <c r="C8" s="114" t="inlineStr">
        <is>
          <t>Caligrafia</t>
        </is>
      </c>
      <c r="D8" s="114" t="inlineStr">
        <is>
          <t>Auxiliares</t>
        </is>
      </c>
      <c r="E8" s="114" t="inlineStr">
        <is>
          <t>Cone</t>
        </is>
      </c>
      <c r="F8" s="114" t="inlineStr">
        <is>
          <t>Empurrão</t>
        </is>
      </c>
      <c r="G8" s="114" t="inlineStr">
        <is>
          <t>Sangra</t>
        </is>
      </c>
      <c r="H8" s="114" t="inlineStr">
        <is>
          <t>Desarmado</t>
        </is>
      </c>
      <c r="I8" s="114" t="inlineStr">
        <is>
          <t>Feto</t>
        </is>
      </c>
      <c r="J8" s="38" t="n"/>
      <c r="K8" s="114" t="inlineStr">
        <is>
          <t>Essência</t>
        </is>
      </c>
      <c r="L8" s="114" t="inlineStr">
        <is>
          <t>Batedor</t>
        </is>
      </c>
      <c r="M8" s="38" t="n"/>
      <c r="N8" s="114" t="inlineStr">
        <is>
          <t>Evocador</t>
        </is>
      </c>
      <c r="O8" s="114" t="inlineStr">
        <is>
          <t>d6</t>
        </is>
      </c>
      <c r="P8" s="114" t="n">
        <v>6</v>
      </c>
      <c r="Q8" s="114" t="n">
        <v>4</v>
      </c>
      <c r="R8" s="114" t="n">
        <v>6</v>
      </c>
      <c r="S8" s="114" t="inlineStr">
        <is>
          <t>Religião</t>
        </is>
      </c>
      <c r="T8" s="114" t="inlineStr">
        <is>
          <t>Lidar com Animais</t>
        </is>
      </c>
      <c r="U8" s="114" t="n"/>
      <c r="V8" s="38" t="n"/>
      <c r="W8" s="140" t="n">
        <v>18</v>
      </c>
      <c r="X8" s="38" t="n"/>
      <c r="Y8" s="140" t="n">
        <v>13</v>
      </c>
      <c r="Z8" s="38" t="n"/>
      <c r="AA8" s="38" t="n"/>
      <c r="AB8" s="114" t="inlineStr">
        <is>
          <t>Pontaria</t>
        </is>
      </c>
      <c r="AC8" s="114" t="inlineStr">
        <is>
          <t>Destreza</t>
        </is>
      </c>
      <c r="AD8" s="38" t="n"/>
      <c r="AE8" s="114" t="inlineStr">
        <is>
          <t>Revestimento 1</t>
        </is>
      </c>
      <c r="AF8" s="140" t="n">
        <v>4</v>
      </c>
      <c r="AG8" s="140" t="n">
        <v>0</v>
      </c>
      <c r="AH8" s="140" t="inlineStr">
        <is>
          <t>sim</t>
        </is>
      </c>
      <c r="AI8" s="38" t="n"/>
      <c r="AJ8" s="114" t="inlineStr">
        <is>
          <t>maior atributo</t>
        </is>
      </c>
      <c r="AK8" s="140">
        <f>MAX(FICHA!$D$19,FICHA!$L$19,FICHA!$T$19,FICHA!$AB$19,FICHA!$AJ$19)</f>
        <v/>
      </c>
      <c r="AL8" s="38" t="n"/>
      <c r="AM8" s="114">
        <f>$A$6</f>
        <v/>
      </c>
      <c r="AN8" s="114">
        <f>$L$7</f>
        <v/>
      </c>
      <c r="AO8" s="114" t="inlineStr">
        <is>
          <t>Vanguarda</t>
        </is>
      </c>
      <c r="AP8" s="38" t="n"/>
      <c r="AQ8" s="140" t="n">
        <v>5</v>
      </c>
      <c r="AR8" s="140" t="n">
        <v>800</v>
      </c>
      <c r="AS8" s="38" t="n"/>
      <c r="AT8" s="38" t="n"/>
      <c r="AU8" s="38" t="n"/>
      <c r="AV8" s="38" t="n"/>
      <c r="AW8" s="38" t="n"/>
      <c r="AX8" s="38" t="n"/>
      <c r="AY8" s="38" t="n"/>
      <c r="AZ8" s="38" t="n"/>
      <c r="BA8" s="114" t="inlineStr">
        <is>
          <t>origem</t>
        </is>
      </c>
      <c r="BB8" s="114">
        <f>ADDRESS(ROW(FICHA!X11),COLUMN(FICHA!X11),4)</f>
        <v/>
      </c>
      <c r="BD8" s="114" t="inlineStr">
        <is>
          <t>Bō</t>
        </is>
      </c>
      <c r="BE8" s="114" t="inlineStr">
        <is>
          <t>Porrete</t>
        </is>
      </c>
      <c r="BF8" s="140" t="n">
        <v>2</v>
      </c>
      <c r="BG8" s="114" t="inlineStr">
        <is>
          <t>d10</t>
        </is>
      </c>
      <c r="BH8" s="114" t="inlineStr">
        <is>
          <t>Alcance · Emaranha</t>
        </is>
      </c>
      <c r="BI8" s="140" t="n">
        <v>3</v>
      </c>
      <c r="BJ8" s="140" t="n">
        <v>2</v>
      </c>
      <c r="BM8" s="140">
        <f>'FICHA PESSOAL'!$V$50</f>
        <v/>
      </c>
      <c r="BN8" s="140">
        <f>ADDRESS(ROW('FICHA PESSOAL'!V50),COLUMN('FICHA PESSOAL'!V50),4)</f>
        <v/>
      </c>
      <c r="BP8" s="114" t="inlineStr">
        <is>
          <t>Arremesso</t>
        </is>
      </c>
      <c r="BQ8" s="114" t="inlineStr">
        <is>
          <t>Simples</t>
        </is>
      </c>
      <c r="BR8" s="114" t="inlineStr">
        <is>
          <t>não</t>
        </is>
      </c>
      <c r="BS8" s="140">
        <f>'FICHA PESSOAL'!$M$56</f>
        <v/>
      </c>
      <c r="BT8" s="140">
        <f>ADDRESS(ROW('FICHA PESSOAL'!M56),COLUMN('FICHA PESSOAL'!M56),4)</f>
        <v/>
      </c>
      <c r="BX8" s="114" t="inlineStr">
        <is>
          <t>Revestimento 1</t>
        </is>
      </c>
      <c r="BY8" s="140" t="n">
        <v>4</v>
      </c>
      <c r="BZ8" s="140" t="n">
        <v>0</v>
      </c>
      <c r="CA8" s="140" t="n">
        <v>3</v>
      </c>
      <c r="CB8" s="140" t="n">
        <v>2</v>
      </c>
      <c r="CC8" s="140" t="n">
        <v>1</v>
      </c>
      <c r="CD8" s="114" t="inlineStr">
        <is>
          <t>Grau 4</t>
        </is>
      </c>
      <c r="CF8" s="114" t="inlineStr">
        <is>
          <t>Grau 1</t>
        </is>
      </c>
      <c r="CG8" s="114" t="inlineStr">
        <is>
          <t>¥ 1.200.000</t>
        </is>
      </c>
      <c r="CH8" s="140" t="n">
        <v>4</v>
      </c>
      <c r="CJ8" s="114" t="inlineStr">
        <is>
          <t>Superfície ruim</t>
        </is>
      </c>
      <c r="CL8" s="114" t="inlineStr">
        <is>
          <t>Final de arco</t>
        </is>
      </c>
      <c r="CM8" s="140" t="n">
        <v>300</v>
      </c>
      <c r="CR8" s="114" t="inlineStr">
        <is>
          <t>6ª · 6,25%</t>
        </is>
      </c>
      <c r="CS8" s="140" t="n">
        <v>0.0625</v>
      </c>
      <c r="CU8" s="114" t="inlineStr">
        <is>
          <t>Grau 2</t>
        </is>
      </c>
      <c r="CY8" s="114" t="inlineStr">
        <is>
          <t>mão da principal</t>
        </is>
      </c>
      <c r="CZ8" s="140">
        <f>IF(DADOS!$CZ$6=1,1,IFERROR(VALUE(VLOOKUP('FICHA PESSOAL'!$D$41,'FICHA PESSOAL'!$D$69:$AH$76,16,FALSE)&amp;""),0))</f>
        <v/>
      </c>
      <c r="DB8" s="140">
        <f>IF(AND('FICHA PESSOAL'!$D$71&lt;&gt;"",'FICHA PESSOAL'!$M$71&lt;&gt;"Escudo"),'FICHA PESSOAL'!$D$71,"")</f>
        <v/>
      </c>
      <c r="DD8" s="140">
        <f>IF(AND(DADOS!$CZ$8&lt;&gt;2,'FICHA PESSOAL'!$D$70&lt;&gt;"",OR('FICHA PESSOAL'!$M$70="Escudo",N('FICHA PESSOAL'!$S$70)=1)),'FICHA PESSOAL'!$D$70,"")</f>
        <v/>
      </c>
      <c r="DF8" s="140">
        <f>IF(DADOS!$CZ$34&gt;=DADOS!$CC$7,DADOS!$BX$7,"")</f>
        <v/>
      </c>
      <c r="DH8" s="114" t="inlineStr">
        <is>
          <t>Fineza</t>
        </is>
      </c>
      <c r="DI8" s="114" t="inlineStr">
        <is>
          <t>No corpo a corpo, troca Força por Destreza no acerto e no dano.</t>
        </is>
      </c>
      <c r="DK8" s="114" t="inlineStr">
        <is>
          <t>arma da principal</t>
        </is>
      </c>
      <c r="DL8" s="140">
        <f>IF(DADOS!$CZ$6=1,"Soco"&amp;CHAR(10)&amp;"O soco não tem propriedade nenhuma. O dado dele sobe com a maestria.",IF(DADOS!$CZ$7="","",'FICHA PESSOAL'!$D$41&amp;IF(ISNUMBER(SEARCH(" · "&amp;DADOS!$DH$5&amp;" · "," · "&amp;DADOS!$CZ$10&amp;" · ")),CHAR(10)&amp;DADOS!$DH$5&amp;": "&amp;DADOS!$DI$5&amp;" Nesta arma: 3 m.","")&amp;IF(ISNUMBER(SEARCH(" · "&amp;DADOS!$DH$6&amp;" · "," · "&amp;DADOS!$CZ$10&amp;" · ")),CHAR(10)&amp;DADOS!$DH$6&amp;": "&amp;DADOS!$DI$6&amp;IF(DADOS!$CZ$14&lt;&gt;""," Nesta arma: "&amp;DADOS!$CZ$14&amp;".",""),"")&amp;IF(DADOS!$CZ$8=2,CHAR(10)&amp;DADOS!$DH$7&amp;": "&amp;DADOS!$DI$7,"")&amp;IF(ISNUMBER(SEARCH(" · "&amp;DADOS!$DH$8&amp;" · "," · "&amp;DADOS!$CZ$10&amp;" · ")),CHAR(10)&amp;DADOS!$DH$8&amp;": "&amp;DADOS!$DI$8,"")&amp;IF(ISNUMBER(SEARCH(" · "&amp;DADOS!$DH$9&amp;" · "," · "&amp;DADOS!$CZ$10&amp;" · ")),CHAR(10)&amp;DADOS!$DH$9&amp;": "&amp;DADOS!$DI$9,"")&amp;IF(ISNUMBER(SEARCH(" · "&amp;DADOS!$DH$10&amp;" · "," · "&amp;DADOS!$CZ$10&amp;" · ")),CHAR(10)&amp;DADOS!$DH$10&amp;": "&amp;DADOS!$DI$10,"")&amp;IF(ISNUMBER(SEARCH(" · "&amp;DADOS!$DH$11&amp;" · "," · "&amp;DADOS!$CZ$10&amp;" · ")),CHAR(10)&amp;DADOS!$DH$11&amp;": "&amp;DADOS!$DI$11,"")&amp;IF(ISNUMBER(SEARCH(" · "&amp;DADOS!$DH$12&amp;" · "," · "&amp;DADOS!$CZ$10&amp;" · ")),CHAR(10)&amp;DADOS!$DH$12&amp;": "&amp;DADOS!$DI$12&amp;IF(DADOS!$CZ$15&amp;""&lt;&gt;""," Nesta arma, X = "&amp;DADOS!$CZ$15&amp;".",""),"")&amp;IF(ISNUMBER(SEARCH(" · "&amp;DADOS!$DH$13&amp;" · "," · "&amp;DADOS!$CZ$10&amp;" · ")),CHAR(10)&amp;DADOS!$DH$13&amp;": "&amp;DADOS!$DI$13,"")&amp;IF(ISNUMBER(SEARCH(" · "&amp;DADOS!$DH$14&amp;" · "," · "&amp;DADOS!$CZ$10&amp;" · ")),CHAR(10)&amp;DADOS!$DH$14&amp;": "&amp;DADOS!$DI$14,"")&amp;IF(ISNUMBER(SEARCH(" · "&amp;DADOS!$DH$15&amp;" · "," · "&amp;DADOS!$CZ$10&amp;" · ")),CHAR(10)&amp;DADOS!$DH$15&amp;": "&amp;DADOS!$DI$15,"")&amp;IF(ISNUMBER(SEARCH(" · "&amp;DADOS!$DH$16&amp;" · "," · "&amp;DADOS!$CZ$10&amp;" · ")),CHAR(10)&amp;DADOS!$DH$16&amp;": "&amp;DADOS!$DI$16,"")&amp;IF(ISNUMBER(SEARCH(" · "&amp;DADOS!$DH$17&amp;" · "," · "&amp;DADOS!$CZ$10&amp;" · ")),CHAR(10)&amp;DADOS!$DH$17&amp;": "&amp;DADOS!$DI$17,"")&amp;IF(ISNUMBER(SEARCH(" · "&amp;DADOS!$DH$18&amp;" · "," · "&amp;DADOS!$CZ$10&amp;" · ")),CHAR(10)&amp;DADOS!$DH$18&amp;": "&amp;DADOS!$DI$18,"")&amp;IF(ISNUMBER(SEARCH(" · "&amp;DADOS!$DH$19&amp;" · "," · "&amp;DADOS!$CZ$10&amp;" · ")),CHAR(10)&amp;DADOS!$DH$19&amp;": "&amp;DADOS!$DI$19,"")))</f>
        <v/>
      </c>
      <c r="DM8" s="140">
        <f>ADDRESS(ROW('FICHA PESSOAL'!D43),COLUMN('FICHA PESSOAL'!D43),4)</f>
        <v/>
      </c>
      <c r="DO8" s="114" t="inlineStr">
        <is>
          <t>grau</t>
        </is>
      </c>
      <c r="DP8" s="140">
        <f>ADDRESS(ROW('FICHA PESSOAL'!AB11),COLUMN('FICHA PESSOAL'!AB11),4)</f>
        <v/>
      </c>
    </row>
    <row r="9" ht="17.25" customHeight="1">
      <c r="A9" s="38" t="n"/>
      <c r="B9" s="114" t="inlineStr">
        <is>
          <t>Investigação</t>
        </is>
      </c>
      <c r="C9" s="114" t="inlineStr">
        <is>
          <t>Burocracia</t>
        </is>
      </c>
      <c r="D9" s="114" t="inlineStr">
        <is>
          <t>Castigo</t>
        </is>
      </c>
      <c r="E9" s="114" t="inlineStr">
        <is>
          <t>Linha</t>
        </is>
      </c>
      <c r="F9" s="114" t="inlineStr">
        <is>
          <t>Troca</t>
        </is>
      </c>
      <c r="G9" s="114" t="inlineStr">
        <is>
          <t>Recuo</t>
        </is>
      </c>
      <c r="H9" s="114" t="inlineStr">
        <is>
          <t>Surdo</t>
        </is>
      </c>
      <c r="I9" s="114" t="inlineStr">
        <is>
          <t>Restrição Celestial · corpo pela técnica</t>
        </is>
      </c>
      <c r="J9" s="38" t="n"/>
      <c r="K9" s="38" t="n"/>
      <c r="L9" s="114" t="inlineStr">
        <is>
          <t>Executor</t>
        </is>
      </c>
      <c r="M9" s="38" t="n"/>
      <c r="N9" s="114" t="inlineStr">
        <is>
          <t>Emanador</t>
        </is>
      </c>
      <c r="O9" s="114" t="inlineStr">
        <is>
          <t>d6</t>
        </is>
      </c>
      <c r="P9" s="114" t="n">
        <v>6</v>
      </c>
      <c r="Q9" s="114" t="n">
        <v>4</v>
      </c>
      <c r="R9" s="114" t="n">
        <v>6</v>
      </c>
      <c r="S9" s="114" t="inlineStr">
        <is>
          <t>Ocultismo</t>
        </is>
      </c>
      <c r="T9" s="114" t="inlineStr">
        <is>
          <t>Investigação</t>
        </is>
      </c>
      <c r="U9" s="114" t="n"/>
      <c r="V9" s="38" t="n"/>
      <c r="W9" s="140" t="n">
        <v>22</v>
      </c>
      <c r="X9" s="38" t="n"/>
      <c r="Y9" s="140" t="n">
        <v>17</v>
      </c>
      <c r="Z9" s="38" t="n"/>
      <c r="AA9" s="38" t="n"/>
      <c r="AB9" s="114" t="inlineStr">
        <is>
          <t>Prestidigitação</t>
        </is>
      </c>
      <c r="AC9" s="114" t="inlineStr">
        <is>
          <t>Destreza</t>
        </is>
      </c>
      <c r="AD9" s="38" t="n"/>
      <c r="AE9" s="114" t="inlineStr">
        <is>
          <t>Revestimento 2</t>
        </is>
      </c>
      <c r="AF9" s="140" t="n">
        <v>5</v>
      </c>
      <c r="AG9" s="140" t="n">
        <v>0</v>
      </c>
      <c r="AH9" s="140" t="inlineStr">
        <is>
          <t>sim</t>
        </is>
      </c>
      <c r="AI9" s="38" t="n"/>
      <c r="AJ9" s="114" t="inlineStr">
        <is>
          <t>maior atributo pequeno</t>
        </is>
      </c>
      <c r="AK9" s="140">
        <f>MAX(IFERROR(VALUE(FICHA!$D$21&amp;""),0),IFERROR(VALUE(FICHA!$L$21&amp;""),0),IFERROR(VALUE(FICHA!$T$21&amp;""),0),IFERROR(VALUE(FICHA!$AB$21&amp;""),0),IFERROR(VALUE(FICHA!$AJ$21&amp;""),0))</f>
        <v/>
      </c>
      <c r="AL9" s="38" t="n"/>
      <c r="AM9" s="114">
        <f>$A$7</f>
        <v/>
      </c>
      <c r="AN9" s="114">
        <f>$L$8</f>
        <v/>
      </c>
      <c r="AO9" s="114" t="inlineStr">
        <is>
          <t>Vanguarda</t>
        </is>
      </c>
      <c r="AP9" s="38" t="n"/>
      <c r="AQ9" s="140" t="n">
        <v>6</v>
      </c>
      <c r="AR9" s="140" t="n">
        <v>1300</v>
      </c>
      <c r="AS9" s="38" t="n"/>
      <c r="AT9" s="38" t="n"/>
      <c r="AU9" s="38" t="n"/>
      <c r="AV9" s="38" t="n"/>
      <c r="AW9" s="38" t="n"/>
      <c r="AX9" s="38" t="n"/>
      <c r="AY9" s="38" t="n"/>
      <c r="AZ9" s="38" t="n"/>
      <c r="BA9" s="114" t="inlineStr">
        <is>
          <t>nivel</t>
        </is>
      </c>
      <c r="BB9" s="114">
        <f>ADDRESS(ROW(FICHA!AH11),COLUMN(FICHA!AH11),4)</f>
        <v/>
      </c>
      <c r="BD9" s="114" t="inlineStr">
        <is>
          <t>Broquel</t>
        </is>
      </c>
      <c r="BE9" s="114" t="inlineStr">
        <is>
          <t>Escudo</t>
        </is>
      </c>
      <c r="BF9" s="140" t="n">
        <v>1</v>
      </c>
      <c r="BG9" s="114" t="inlineStr">
        <is>
          <t>—</t>
        </is>
      </c>
      <c r="BH9" s="114" t="inlineStr">
        <is>
          <t>Proteção +1 · teto de Destreza 5</t>
        </is>
      </c>
      <c r="BI9" s="114" t="inlineStr">
        <is>
          <t>—</t>
        </is>
      </c>
      <c r="BJ9" s="140" t="n">
        <v>0.1</v>
      </c>
      <c r="BM9" s="140">
        <f>TRUE</f>
        <v/>
      </c>
      <c r="BP9" s="114" t="inlineStr">
        <is>
          <t>Manopla</t>
        </is>
      </c>
      <c r="BQ9" s="114" t="inlineStr">
        <is>
          <t>Simples</t>
        </is>
      </c>
      <c r="BR9" s="114" t="inlineStr">
        <is>
          <t>não</t>
        </is>
      </c>
      <c r="BS9" s="140">
        <f>'FICHA PESSOAL'!$AE$58</f>
        <v/>
      </c>
      <c r="BT9" s="140">
        <f>ADDRESS(ROW('FICHA PESSOAL'!AE58),COLUMN('FICHA PESSOAL'!AE58),4)</f>
        <v/>
      </c>
      <c r="BX9" s="114" t="inlineStr">
        <is>
          <t>Revestimento 2</t>
        </is>
      </c>
      <c r="BY9" s="140" t="n">
        <v>5</v>
      </c>
      <c r="BZ9" s="140" t="n">
        <v>0</v>
      </c>
      <c r="CA9" s="140" t="n">
        <v>4</v>
      </c>
      <c r="CB9" s="140" t="n">
        <v>3</v>
      </c>
      <c r="CC9" s="140" t="n">
        <v>2</v>
      </c>
      <c r="CD9" s="114" t="inlineStr">
        <is>
          <t>Grau 3</t>
        </is>
      </c>
      <c r="CF9" s="114" t="inlineStr">
        <is>
          <t>Especial</t>
        </is>
      </c>
      <c r="CG9" s="114" t="inlineStr">
        <is>
          <t>¥ 2.400.000</t>
        </is>
      </c>
      <c r="CH9" s="140" t="n">
        <v>5</v>
      </c>
      <c r="CJ9" s="114" t="inlineStr">
        <is>
          <t>Água e chuva</t>
        </is>
      </c>
      <c r="CL9" s="114" t="inlineStr">
        <is>
          <t>Solo simples</t>
        </is>
      </c>
      <c r="CM9" s="140" t="n">
        <v>75</v>
      </c>
      <c r="CR9" s="114" t="inlineStr">
        <is>
          <t>Falha · 50%</t>
        </is>
      </c>
      <c r="CS9" s="140" t="n">
        <v>0.5</v>
      </c>
      <c r="CU9" s="114" t="inlineStr">
        <is>
          <t>Grau 1</t>
        </is>
      </c>
      <c r="CY9" s="114" t="inlineStr">
        <is>
          <t>dado da principal</t>
        </is>
      </c>
      <c r="CZ9" s="140">
        <f>IF(DADOS!$CZ$6=1,CHOOSE(MIN(4,MAX(1,N(FICHA!$D$51))),"d4","d6","d8","d10"),IFERROR(VLOOKUP('FICHA PESSOAL'!$D$41,'FICHA PESSOAL'!$D$69:$AH$76,18,FALSE)&amp;"",""))</f>
        <v/>
      </c>
      <c r="DB9" s="140">
        <f>IF(AND('FICHA PESSOAL'!$D$72&lt;&gt;"",'FICHA PESSOAL'!$M$72&lt;&gt;"Escudo"),'FICHA PESSOAL'!$D$72,"")</f>
        <v/>
      </c>
      <c r="DD9" s="140">
        <f>IF(AND(DADOS!$CZ$8&lt;&gt;2,'FICHA PESSOAL'!$D$71&lt;&gt;"",OR('FICHA PESSOAL'!$M$71="Escudo",N('FICHA PESSOAL'!$S$71)=1)),'FICHA PESSOAL'!$D$71,"")</f>
        <v/>
      </c>
      <c r="DF9" s="140">
        <f>IF(DADOS!$CZ$34&gt;=DADOS!$CC$8,DADOS!$BX$8,"")</f>
        <v/>
      </c>
      <c r="DH9" s="114" t="inlineStr">
        <is>
          <t>Par</t>
        </is>
      </c>
      <c r="DI9" s="114" t="inlineStr">
        <is>
          <t>Role dois dados de dano e fique com o melhor.</t>
        </is>
      </c>
      <c r="DK9" s="114" t="inlineStr">
        <is>
          <t>arma da secundária</t>
        </is>
      </c>
      <c r="DL9" s="140">
        <f>IF(OR(DADOS!$CZ$17=0,DADOS!$CZ$18=""),"",IF(DADOS!$CZ$19=1,'FICHA PESSOAL'!$S$41&amp;CHAR(10)&amp;"O escudo ocupa uma mão, soma com a sua proteção venha ela de onde vier, e ainda permite somar Destreza — se você não estiver de Revestimento —, com um teto para o quanto ela pode entrar.",'FICHA PESSOAL'!$S$41&amp;IF(ISNUMBER(SEARCH(" · "&amp;DADOS!$DH$5&amp;" · "," · "&amp;DADOS!$CZ$21&amp;" · ")),CHAR(10)&amp;DADOS!$DH$5&amp;": "&amp;DADOS!$DI$5&amp;" Nesta arma: 3 m.","")&amp;IF(ISNUMBER(SEARCH(" · "&amp;DADOS!$DH$6&amp;" · "," · "&amp;DADOS!$CZ$21&amp;" · ")),CHAR(10)&amp;DADOS!$DH$6&amp;": "&amp;DADOS!$DI$6&amp;IF(DADOS!$CZ$23&lt;&gt;""," Nesta arma: "&amp;DADOS!$CZ$23&amp;".",""),"")&amp;IF(ISNUMBER(SEARCH(" · "&amp;DADOS!$DH$8&amp;" · "," · "&amp;DADOS!$CZ$21&amp;" · ")),CHAR(10)&amp;DADOS!$DH$8&amp;": "&amp;DADOS!$DI$8,"")&amp;IF(ISNUMBER(SEARCH(" · "&amp;DADOS!$DH$9&amp;" · "," · "&amp;DADOS!$CZ$21&amp;" · ")),CHAR(10)&amp;DADOS!$DH$9&amp;": "&amp;DADOS!$DI$9,"")&amp;IF(ISNUMBER(SEARCH(" · "&amp;DADOS!$DH$10&amp;" · "," · "&amp;DADOS!$CZ$21&amp;" · ")),CHAR(10)&amp;DADOS!$DH$10&amp;": "&amp;DADOS!$DI$10,"")&amp;IF(ISNUMBER(SEARCH(" · "&amp;DADOS!$DH$11&amp;" · "," · "&amp;DADOS!$CZ$21&amp;" · ")),CHAR(10)&amp;DADOS!$DH$11&amp;": "&amp;DADOS!$DI$11,"")&amp;IF(ISNUMBER(SEARCH(" · "&amp;DADOS!$DH$12&amp;" · "," · "&amp;DADOS!$CZ$21&amp;" · ")),CHAR(10)&amp;DADOS!$DH$12&amp;": "&amp;DADOS!$DI$12&amp;IF(DADOS!$CZ$24&amp;""&lt;&gt;""," Nesta arma, X = "&amp;DADOS!$CZ$24&amp;".",""),"")&amp;IF(ISNUMBER(SEARCH(" · "&amp;DADOS!$DH$13&amp;" · "," · "&amp;DADOS!$CZ$21&amp;" · ")),CHAR(10)&amp;DADOS!$DH$13&amp;": "&amp;DADOS!$DI$13,"")&amp;IF(ISNUMBER(SEARCH(" · "&amp;DADOS!$DH$14&amp;" · "," · "&amp;DADOS!$CZ$21&amp;" · ")),CHAR(10)&amp;DADOS!$DH$14&amp;": "&amp;DADOS!$DI$14,"")&amp;IF(ISNUMBER(SEARCH(" · "&amp;DADOS!$DH$15&amp;" · "," · "&amp;DADOS!$CZ$21&amp;" · ")),CHAR(10)&amp;DADOS!$DH$15&amp;": "&amp;DADOS!$DI$15,"")&amp;IF(ISNUMBER(SEARCH(" · "&amp;DADOS!$DH$16&amp;" · "," · "&amp;DADOS!$CZ$21&amp;" · ")),CHAR(10)&amp;DADOS!$DH$16&amp;": "&amp;DADOS!$DI$16,"")&amp;IF(ISNUMBER(SEARCH(" · "&amp;DADOS!$DH$17&amp;" · "," · "&amp;DADOS!$CZ$21&amp;" · ")),CHAR(10)&amp;DADOS!$DH$17&amp;": "&amp;DADOS!$DI$17,"")&amp;IF(ISNUMBER(SEARCH(" · "&amp;DADOS!$DH$18&amp;" · "," · "&amp;DADOS!$CZ$21&amp;" · ")),CHAR(10)&amp;DADOS!$DH$18&amp;": "&amp;DADOS!$DI$18,"")&amp;IF(ISNUMBER(SEARCH(" · "&amp;DADOS!$DH$19&amp;" · "," · "&amp;DADOS!$CZ$21&amp;" · ")),CHAR(10)&amp;DADOS!$DH$19&amp;": "&amp;DADOS!$DI$19,"")))</f>
        <v/>
      </c>
      <c r="DM9" s="140">
        <f>ADDRESS(ROW('FICHA PESSOAL'!S43),COLUMN('FICHA PESSOAL'!S43),4)</f>
        <v/>
      </c>
      <c r="DO9" s="114" t="inlineStr">
        <is>
          <t>situação do traje</t>
        </is>
      </c>
      <c r="DP9" s="140">
        <f>ADDRESS(ROW('FICHA PESSOAL'!AN63),COLUMN('FICHA PESSOAL'!AN63),4)</f>
        <v/>
      </c>
    </row>
    <row r="10" ht="17.25" customHeight="1">
      <c r="A10" s="38" t="n"/>
      <c r="B10" s="114" t="inlineStr">
        <is>
          <t>Intuição</t>
        </is>
      </c>
      <c r="C10" s="114" t="inlineStr">
        <is>
          <t>Entalhador</t>
        </is>
      </c>
      <c r="D10" s="114" t="inlineStr">
        <is>
          <t>Tempo</t>
        </is>
      </c>
      <c r="E10" s="114" t="inlineStr">
        <is>
          <t>Cura</t>
        </is>
      </c>
      <c r="F10" s="114" t="inlineStr">
        <is>
          <t>Perseguir</t>
        </is>
      </c>
      <c r="G10" s="114" t="inlineStr">
        <is>
          <t>Carregar</t>
        </is>
      </c>
      <c r="H10" s="114" t="inlineStr">
        <is>
          <t>Calado</t>
        </is>
      </c>
      <c r="I10" s="114" t="inlineStr">
        <is>
          <t>Latente · Sem Técnica</t>
        </is>
      </c>
      <c r="J10" s="38" t="n"/>
      <c r="K10" s="38" t="n"/>
      <c r="L10" s="114" t="inlineStr">
        <is>
          <t>Elo</t>
        </is>
      </c>
      <c r="M10" s="38" t="n"/>
      <c r="N10" s="38" t="n"/>
      <c r="O10" s="38" t="n"/>
      <c r="P10" s="38" t="n"/>
      <c r="Q10" s="38" t="n"/>
      <c r="R10" s="38" t="n"/>
      <c r="S10" s="38" t="n"/>
      <c r="T10" s="38" t="n"/>
      <c r="U10" s="38" t="n"/>
      <c r="V10" s="38" t="n"/>
      <c r="W10" s="140" t="n">
        <v>26</v>
      </c>
      <c r="X10" s="38" t="n"/>
      <c r="Y10" s="140" t="n">
        <v>21</v>
      </c>
      <c r="Z10" s="38" t="n"/>
      <c r="AA10" s="38" t="n"/>
      <c r="AB10" s="114" t="inlineStr">
        <is>
          <t>Investigação</t>
        </is>
      </c>
      <c r="AC10" s="114" t="inlineStr">
        <is>
          <t>Inteligência</t>
        </is>
      </c>
      <c r="AD10" s="38" t="n"/>
      <c r="AE10" s="114" t="inlineStr">
        <is>
          <t>Revestimento 3</t>
        </is>
      </c>
      <c r="AF10" s="140" t="n">
        <v>6</v>
      </c>
      <c r="AG10" s="140" t="n">
        <v>0</v>
      </c>
      <c r="AH10" s="140" t="inlineStr">
        <is>
          <t>sim</t>
        </is>
      </c>
      <c r="AI10" s="38" t="n"/>
      <c r="AJ10" s="114" t="inlineStr">
        <is>
          <t>marcos de Corpo</t>
        </is>
      </c>
      <c r="AK10" s="140">
        <f>IFERROR(VALUE(FICHA!$AQ$40&amp;""),0)</f>
        <v/>
      </c>
      <c r="AL10" s="38" t="n"/>
      <c r="AM10" s="114">
        <f>$A$8</f>
        <v/>
      </c>
      <c r="AN10" s="114">
        <f>$L$9</f>
        <v/>
      </c>
      <c r="AO10" s="114" t="inlineStr">
        <is>
          <t>Vanguarda</t>
        </is>
      </c>
      <c r="AP10" s="38" t="n"/>
      <c r="AQ10" s="140" t="n">
        <v>7</v>
      </c>
      <c r="AR10" s="140" t="n">
        <v>1800</v>
      </c>
      <c r="AS10" s="38" t="n"/>
      <c r="AT10" s="38" t="n"/>
      <c r="AU10" s="38" t="n"/>
      <c r="AV10" s="38" t="n"/>
      <c r="AW10" s="38" t="n"/>
      <c r="AX10" s="38" t="n"/>
      <c r="AY10" s="38" t="n"/>
      <c r="AZ10" s="38" t="n"/>
      <c r="BA10" s="114" t="inlineStr">
        <is>
          <t>xp</t>
        </is>
      </c>
      <c r="BB10" s="114">
        <f>ADDRESS(ROW(FICHA!AN11),COLUMN(FICHA!AN11),4)</f>
        <v/>
      </c>
      <c r="BD10" s="114" t="inlineStr">
        <is>
          <t>Canivete</t>
        </is>
      </c>
      <c r="BE10" s="114" t="inlineStr">
        <is>
          <t>Lâmina Curta</t>
        </is>
      </c>
      <c r="BF10" s="140" t="n">
        <v>1</v>
      </c>
      <c r="BG10" s="114" t="inlineStr">
        <is>
          <t>d4</t>
        </is>
      </c>
      <c r="BH10" s="114" t="inlineStr">
        <is>
          <t>Fineza · Oculta · Rompe</t>
        </is>
      </c>
      <c r="BI10" s="114" t="inlineStr">
        <is>
          <t>—</t>
        </is>
      </c>
      <c r="BJ10" s="140" t="n">
        <v>0.1</v>
      </c>
      <c r="BM10" s="140">
        <f>'FICHA PESSOAL'!$AE$49</f>
        <v/>
      </c>
      <c r="BN10" s="140">
        <f>ADDRESS(ROW('FICHA PESSOAL'!AE49),COLUMN('FICHA PESSOAL'!AE49),4)</f>
        <v/>
      </c>
      <c r="BP10" s="114" t="inlineStr">
        <is>
          <t>Massa</t>
        </is>
      </c>
      <c r="BQ10" s="114" t="inlineStr">
        <is>
          <t>Simples</t>
        </is>
      </c>
      <c r="BR10" s="114" t="inlineStr">
        <is>
          <t>não</t>
        </is>
      </c>
      <c r="BS10" s="140">
        <f>'FICHA PESSOAL'!$AM$48</f>
        <v/>
      </c>
      <c r="BT10" s="140">
        <f>ADDRESS(ROW('FICHA PESSOAL'!AM48),COLUMN('FICHA PESSOAL'!AM48),4)</f>
        <v/>
      </c>
      <c r="BX10" s="114" t="inlineStr">
        <is>
          <t>Revestimento 3</t>
        </is>
      </c>
      <c r="BY10" s="140" t="n">
        <v>6</v>
      </c>
      <c r="BZ10" s="140" t="n">
        <v>0</v>
      </c>
      <c r="CA10" s="140" t="n">
        <v>6</v>
      </c>
      <c r="CB10" s="140" t="n">
        <v>4</v>
      </c>
      <c r="CC10" s="140" t="n">
        <v>3</v>
      </c>
      <c r="CD10" s="114" t="inlineStr">
        <is>
          <t>Grau 2</t>
        </is>
      </c>
      <c r="CJ10" s="114" t="inlineStr">
        <is>
          <t>Multidão</t>
        </is>
      </c>
      <c r="CL10" s="114" t="inlineStr">
        <is>
          <t>Solo complexa</t>
        </is>
      </c>
      <c r="CM10" s="140" t="n">
        <v>150</v>
      </c>
      <c r="CU10" s="114" t="inlineStr">
        <is>
          <t>Especial</t>
        </is>
      </c>
      <c r="CY10" s="114" t="inlineStr">
        <is>
          <t>propriedades da principal</t>
        </is>
      </c>
      <c r="CZ10" s="140">
        <f>IF(DADOS!$CZ$6=1,"",IFERROR(VLOOKUP('FICHA PESSOAL'!$D$41,'FICHA PESSOAL'!$D$69:$AH$76,20,FALSE)&amp;"",""))</f>
        <v/>
      </c>
      <c r="DB10" s="140">
        <f>IF(AND('FICHA PESSOAL'!$D$73&lt;&gt;"",'FICHA PESSOAL'!$M$73&lt;&gt;"Escudo"),'FICHA PESSOAL'!$D$73,"")</f>
        <v/>
      </c>
      <c r="DD10" s="140">
        <f>IF(AND(DADOS!$CZ$8&lt;&gt;2,'FICHA PESSOAL'!$D$72&lt;&gt;"",OR('FICHA PESSOAL'!$M$72="Escudo",N('FICHA PESSOAL'!$S$72)=1)),'FICHA PESSOAL'!$D$72,"")</f>
        <v/>
      </c>
      <c r="DF10" s="140">
        <f>IF(DADOS!$CZ$34&gt;=DADOS!$CC$9,DADOS!$BX$9,"")</f>
        <v/>
      </c>
      <c r="DH10" s="114" t="inlineStr">
        <is>
          <t>Oculta</t>
        </is>
      </c>
      <c r="DI10" s="114" t="inlineStr">
        <is>
          <t>Você esconde a arma no corpo: arma com esta propriedade se esconde nas vestes ou no corpo sem precisar de teste, diferente das outras.</t>
        </is>
      </c>
      <c r="DO10" s="114" t="inlineStr">
        <is>
          <t>xp total</t>
        </is>
      </c>
      <c r="DP10" s="140">
        <f>ADDRESS(ROW('FICHA PESSOAL'!AW11),COLUMN('FICHA PESSOAL'!AW11),4)</f>
        <v/>
      </c>
    </row>
    <row r="11" ht="17.25" customHeight="1">
      <c r="A11" s="38" t="n"/>
      <c r="B11" s="114" t="inlineStr">
        <is>
          <t>Ocultismo</t>
        </is>
      </c>
      <c r="C11" s="114" t="inlineStr">
        <is>
          <t>Alfaiate</t>
        </is>
      </c>
      <c r="D11" s="114" t="inlineStr">
        <is>
          <t>Marca</t>
        </is>
      </c>
      <c r="E11" s="114" t="inlineStr">
        <is>
          <t>Apoio</t>
        </is>
      </c>
      <c r="F11" s="114" t="inlineStr">
        <is>
          <t>Maior</t>
        </is>
      </c>
      <c r="G11" s="114" t="inlineStr">
        <is>
          <t>Tudo ou Nada</t>
        </is>
      </c>
      <c r="H11" s="114" t="inlineStr">
        <is>
          <t>Enfeitiçado</t>
        </is>
      </c>
      <c r="I11" s="38" t="inlineStr">
        <is>
          <t>Receptáculo · Sem Técnica</t>
        </is>
      </c>
      <c r="J11" s="38" t="n"/>
      <c r="K11" s="38" t="n"/>
      <c r="L11" s="114" t="inlineStr">
        <is>
          <t>Sutura</t>
        </is>
      </c>
      <c r="M11" s="38" t="n"/>
      <c r="N11" s="38" t="n"/>
      <c r="O11" s="38" t="n"/>
      <c r="P11" s="38" t="n"/>
      <c r="Q11" s="38" t="n"/>
      <c r="R11" s="38" t="n"/>
      <c r="S11" s="38" t="n"/>
      <c r="T11" s="38" t="n"/>
      <c r="U11" s="38" t="n"/>
      <c r="V11" s="38" t="n"/>
      <c r="W11" s="140" t="n">
        <v>30</v>
      </c>
      <c r="X11" s="38" t="n"/>
      <c r="Y11" s="140" t="n">
        <v>26</v>
      </c>
      <c r="Z11" s="38" t="n"/>
      <c r="AA11" s="38" t="n"/>
      <c r="AB11" s="114" t="inlineStr">
        <is>
          <t>Intuição</t>
        </is>
      </c>
      <c r="AC11" s="114" t="inlineStr">
        <is>
          <t>Inteligência</t>
        </is>
      </c>
      <c r="AD11" s="38" t="n"/>
      <c r="AE11" s="114" t="inlineStr">
        <is>
          <t>Broquel</t>
        </is>
      </c>
      <c r="AF11" s="140" t="n">
        <v>1</v>
      </c>
      <c r="AG11" s="140" t="n">
        <v>5</v>
      </c>
      <c r="AH11" s="140" t="inlineStr">
        <is>
          <t>não</t>
        </is>
      </c>
      <c r="AI11" s="38" t="n"/>
      <c r="AJ11" s="114" t="inlineStr">
        <is>
          <t>pontos de Corpo usados</t>
        </is>
      </c>
      <c r="AK11" s="140">
        <f>IFERROR(VALUE(FICHA!$AK$15&amp;""),0)+IFERROR(VALUE(FICHA!$AM$15&amp;""),0)+IFERROR(VALUE(FICHA!$AO$15&amp;""),0)+IFERROR(VALUE(FICHA!$AQ$15&amp;""),0)+IFERROR(VALUE(FICHA!$AS$15&amp;""),0)</f>
        <v/>
      </c>
      <c r="AL11" s="38" t="n"/>
      <c r="AM11" s="38" t="n"/>
      <c r="AN11" s="114">
        <f>$L$10</f>
        <v/>
      </c>
      <c r="AO11" s="114" t="inlineStr">
        <is>
          <t>Guia</t>
        </is>
      </c>
      <c r="AP11" s="38" t="n"/>
      <c r="AQ11" s="140" t="n">
        <v>8</v>
      </c>
      <c r="AR11" s="140" t="n">
        <v>2300</v>
      </c>
      <c r="AS11" s="38" t="n"/>
      <c r="AT11" s="38" t="n"/>
      <c r="AU11" s="38" t="n"/>
      <c r="AV11" s="38" t="n"/>
      <c r="AW11" s="38" t="n"/>
      <c r="AX11" s="38" t="n"/>
      <c r="AY11" s="38" t="n"/>
      <c r="AZ11" s="38" t="n"/>
      <c r="BA11" s="114" t="inlineStr">
        <is>
          <t>atr_Força</t>
        </is>
      </c>
      <c r="BB11" s="114">
        <f>ADDRESS(ROW(FICHA!D19),COLUMN(FICHA!D19),4)</f>
        <v/>
      </c>
      <c r="BD11" s="114" t="inlineStr">
        <is>
          <t>Cassetete</t>
        </is>
      </c>
      <c r="BE11" s="114" t="inlineStr">
        <is>
          <t>Porrete</t>
        </is>
      </c>
      <c r="BF11" s="140" t="n">
        <v>1</v>
      </c>
      <c r="BG11" s="114" t="inlineStr">
        <is>
          <t>d6</t>
        </is>
      </c>
      <c r="BH11" s="114" t="inlineStr">
        <is>
          <t>Oculta · Vestida</t>
        </is>
      </c>
      <c r="BI11" s="114" t="inlineStr">
        <is>
          <t>—</t>
        </is>
      </c>
      <c r="BJ11" s="140" t="n">
        <v>0.1</v>
      </c>
      <c r="BM11" s="140">
        <f>'FICHA PESSOAL'!$V$51</f>
        <v/>
      </c>
      <c r="BN11" s="140">
        <f>ADDRESS(ROW('FICHA PESSOAL'!V51),COLUMN('FICHA PESSOAL'!V51),4)</f>
        <v/>
      </c>
      <c r="BP11" s="114" t="inlineStr">
        <is>
          <t>Balestra</t>
        </is>
      </c>
      <c r="BQ11" s="114" t="inlineStr">
        <is>
          <t>Simples</t>
        </is>
      </c>
      <c r="BR11" s="114" t="inlineStr">
        <is>
          <t>sim</t>
        </is>
      </c>
      <c r="BS11" s="140">
        <f>'FICHA PESSOAL'!$V$58</f>
        <v/>
      </c>
      <c r="BT11" s="140">
        <f>ADDRESS(ROW('FICHA PESSOAL'!V58),COLUMN('FICHA PESSOAL'!V58),4)</f>
        <v/>
      </c>
      <c r="CJ11" s="114" t="inlineStr">
        <is>
          <t>Terreno instável</t>
        </is>
      </c>
      <c r="CY11" s="114" t="inlineStr">
        <is>
          <t>força da principal</t>
        </is>
      </c>
      <c r="CZ11" s="140">
        <f>IF(DADOS!$CZ$6=1,0,IFERROR(VALUE(VLOOKUP('FICHA PESSOAL'!$D$41,'FICHA PESSOAL'!$D$69:$AH$76,28,FALSE)&amp;""),0))</f>
        <v/>
      </c>
      <c r="DB11" s="140">
        <f>IF(AND('FICHA PESSOAL'!$D$74&lt;&gt;"",'FICHA PESSOAL'!$M$74&lt;&gt;"Escudo"),'FICHA PESSOAL'!$D$74,"")</f>
        <v/>
      </c>
      <c r="DD11" s="140">
        <f>IF(AND(DADOS!$CZ$8&lt;&gt;2,'FICHA PESSOAL'!$D$73&lt;&gt;"",OR('FICHA PESSOAL'!$M$73="Escudo",N('FICHA PESSOAL'!$S$73)=1)),'FICHA PESSOAL'!$D$73,"")</f>
        <v/>
      </c>
      <c r="DF11" s="140">
        <f>IF(DADOS!$CZ$34&gt;=DADOS!$CC$10,DADOS!$BX$10,"")</f>
        <v/>
      </c>
      <c r="DH11" s="114" t="inlineStr">
        <is>
          <t>Versátil</t>
        </is>
      </c>
      <c r="DI11" s="114" t="inlineStr">
        <is>
          <t>Nas duas mãos, o dado sobe um passo: d6→d8, d8→d10, d10→d12.</t>
        </is>
      </c>
      <c r="DO11" s="114" t="inlineStr">
        <is>
          <t>treino</t>
        </is>
      </c>
      <c r="DP11" s="140">
        <f>ADDRESS(ROW('FICHA PESSOAL'!D48),COLUMN('FICHA PESSOAL'!D48),4)&amp;":"&amp;ADDRESS(ROW('FICHA PESSOAL'!AT60),COLUMN('FICHA PESSOAL'!AT60),4)</f>
        <v/>
      </c>
    </row>
    <row r="12" ht="17.25" customHeight="1">
      <c r="A12" s="38" t="n"/>
      <c r="B12" s="114" t="inlineStr">
        <is>
          <t>Religião</t>
        </is>
      </c>
      <c r="C12" s="114" t="inlineStr">
        <is>
          <t>Culinária</t>
        </is>
      </c>
      <c r="D12" s="114" t="inlineStr">
        <is>
          <t>Amparo</t>
        </is>
      </c>
      <c r="E12" s="114" t="inlineStr">
        <is>
          <t>Onda</t>
        </is>
      </c>
      <c r="F12" s="114" t="inlineStr">
        <is>
          <t>Muito Maior</t>
        </is>
      </c>
      <c r="G12" s="114" t="inlineStr">
        <is>
          <t>Uma Vez</t>
        </is>
      </c>
      <c r="H12" s="114" t="inlineStr">
        <is>
          <t>Impedido</t>
        </is>
      </c>
      <c r="I12" s="38" t="inlineStr">
        <is>
          <t>Descendente · Sem Técnica</t>
        </is>
      </c>
      <c r="J12" s="38" t="n"/>
      <c r="K12" s="38" t="n"/>
      <c r="L12" s="114" t="inlineStr">
        <is>
          <t>Perímetro</t>
        </is>
      </c>
      <c r="M12" s="38" t="n"/>
      <c r="N12" s="38" t="n"/>
      <c r="O12" s="38" t="n"/>
      <c r="P12" s="38" t="n"/>
      <c r="Q12" s="38" t="n"/>
      <c r="R12" s="38" t="n"/>
      <c r="S12" s="38" t="n"/>
      <c r="T12" s="38" t="n"/>
      <c r="U12" s="38" t="n"/>
      <c r="V12" s="38" t="n"/>
      <c r="W12" s="38" t="n"/>
      <c r="X12" s="38" t="n"/>
      <c r="Y12" s="38" t="n"/>
      <c r="Z12" s="38" t="n"/>
      <c r="AA12" s="38" t="n"/>
      <c r="AB12" s="114" t="inlineStr">
        <is>
          <t>Ocultismo</t>
        </is>
      </c>
      <c r="AC12" s="114" t="inlineStr">
        <is>
          <t>Inteligência</t>
        </is>
      </c>
      <c r="AD12" s="38" t="n"/>
      <c r="AE12" s="114" t="inlineStr">
        <is>
          <t>Médio</t>
        </is>
      </c>
      <c r="AF12" s="140" t="n">
        <v>2</v>
      </c>
      <c r="AG12" s="140" t="n">
        <v>3</v>
      </c>
      <c r="AH12" s="140" t="inlineStr">
        <is>
          <t>não</t>
        </is>
      </c>
      <c r="AI12" s="38" t="n"/>
      <c r="AJ12" s="114" t="inlineStr">
        <is>
          <t>marcos escolhidos</t>
        </is>
      </c>
      <c r="AK12" s="140">
        <f>IFERROR(VALUE(FICHA!$AO$40&amp;""),0)+IFERROR(VALUE(FICHA!$AQ$40&amp;""),0)+IFERROR(VALUE(FICHA!$AS$40&amp;""),0)</f>
        <v/>
      </c>
      <c r="AL12" s="38" t="n"/>
      <c r="AM12" s="38" t="n"/>
      <c r="AN12" s="114">
        <f>$L$11</f>
        <v/>
      </c>
      <c r="AO12" s="114" t="inlineStr">
        <is>
          <t>Guia</t>
        </is>
      </c>
      <c r="AP12" s="38" t="n"/>
      <c r="AQ12" s="140" t="n">
        <v>9</v>
      </c>
      <c r="AR12" s="140" t="n">
        <v>3000</v>
      </c>
      <c r="AS12" s="38" t="n"/>
      <c r="AT12" s="38" t="n"/>
      <c r="AU12" s="38" t="n"/>
      <c r="AV12" s="38" t="n"/>
      <c r="AW12" s="38" t="n"/>
      <c r="AX12" s="38" t="n"/>
      <c r="AY12" s="38" t="n"/>
      <c r="AZ12" s="38" t="n"/>
      <c r="BA12" s="114" t="inlineStr">
        <is>
          <t>atr_Destreza</t>
        </is>
      </c>
      <c r="BB12" s="114">
        <f>ADDRESS(ROW(FICHA!L19),COLUMN(FICHA!L19),4)</f>
        <v/>
      </c>
      <c r="BD12" s="114" t="inlineStr">
        <is>
          <t>Chakram</t>
        </is>
      </c>
      <c r="BE12" s="114" t="inlineStr">
        <is>
          <t>Arremesso</t>
        </is>
      </c>
      <c r="BF12" s="140" t="n">
        <v>1</v>
      </c>
      <c r="BG12" s="114" t="inlineStr">
        <is>
          <t>d4</t>
        </is>
      </c>
      <c r="BH12" s="114" t="inlineStr">
        <is>
          <t>Longo Alcance · Fineza · Oculta</t>
        </is>
      </c>
      <c r="BI12" s="114" t="inlineStr">
        <is>
          <t>—</t>
        </is>
      </c>
      <c r="BJ12" s="140" t="n">
        <v>0.1</v>
      </c>
      <c r="BK12" s="114" t="inlineStr">
        <is>
          <t>6 m, longa 18 m</t>
        </is>
      </c>
      <c r="BM12" s="140">
        <f>'FICHA PESSOAL'!$M$57</f>
        <v/>
      </c>
      <c r="BN12" s="140">
        <f>ADDRESS(ROW('FICHA PESSOAL'!M57),COLUMN('FICHA PESSOAL'!M57),4)</f>
        <v/>
      </c>
      <c r="BP12" s="114" t="inlineStr">
        <is>
          <t>Lâmina Longa</t>
        </is>
      </c>
      <c r="BQ12" s="114" t="inlineStr">
        <is>
          <t>Marciais</t>
        </is>
      </c>
      <c r="BR12" s="114" t="inlineStr">
        <is>
          <t>não</t>
        </is>
      </c>
      <c r="BS12" s="140">
        <f>'FICHA PESSOAL'!$D$48</f>
        <v/>
      </c>
      <c r="BT12" s="140">
        <f>ADDRESS(ROW('FICHA PESSOAL'!D48),COLUMN('FICHA PESSOAL'!D48),4)</f>
        <v/>
      </c>
      <c r="CJ12" s="114" t="inlineStr">
        <is>
          <t>Calor e fogo</t>
        </is>
      </c>
      <c r="CY12" s="114" t="inlineStr">
        <is>
          <t>nas duas mãos</t>
        </is>
      </c>
      <c r="CZ12" s="140">
        <f>IF(AND(ISNUMBER(SEARCH("Versátil",DADOS!$CZ$10)),'FICHA PESSOAL'!$S$41="Nas duas mãos"),1,0)</f>
        <v/>
      </c>
      <c r="DB12" s="140">
        <f>IF(AND('FICHA PESSOAL'!$D$75&lt;&gt;"",'FICHA PESSOAL'!$M$75&lt;&gt;"Escudo"),'FICHA PESSOAL'!$D$75,"")</f>
        <v/>
      </c>
      <c r="DD12" s="140">
        <f>IF(AND(DADOS!$CZ$8&lt;&gt;2,'FICHA PESSOAL'!$D$74&lt;&gt;"",OR('FICHA PESSOAL'!$M$74="Escudo",N('FICHA PESSOAL'!$S$74)=1)),'FICHA PESSOAL'!$D$74,"")</f>
        <v/>
      </c>
      <c r="DH12" s="114" t="inlineStr">
        <is>
          <t>Munição</t>
        </is>
      </c>
      <c r="DI12" s="114" t="inlineStr">
        <is>
          <t>Recarregar custa Ação Bônus. Você recarrega quando tirar 1 ou 2 natural no ataque, ou depois de X ataques, o que vier primeiro.</t>
        </is>
      </c>
      <c r="DO12" s="114" t="inlineStr">
        <is>
          <t>missões 1</t>
        </is>
      </c>
      <c r="DP12" s="140">
        <f>ADDRESS(ROW('FICHA PESSOAL'!AW15),COLUMN('FICHA PESSOAL'!AW15),4)&amp;":"&amp;ADDRESS(ROW('FICHA PESSOAL'!BA64),COLUMN('FICHA PESSOAL'!BA64),4)</f>
        <v/>
      </c>
    </row>
    <row r="13" ht="17.25" customHeight="1">
      <c r="A13" s="38" t="n"/>
      <c r="B13" s="114" t="inlineStr">
        <is>
          <t>História</t>
        </is>
      </c>
      <c r="C13" s="114" t="inlineStr">
        <is>
          <t>Instrumento</t>
        </is>
      </c>
      <c r="D13" s="38" t="n"/>
      <c r="E13" s="114" t="inlineStr">
        <is>
          <t>Efeito</t>
        </is>
      </c>
      <c r="F13" s="114" t="inlineStr">
        <is>
          <t>Escolher</t>
        </is>
      </c>
      <c r="G13" s="114" t="inlineStr">
        <is>
          <t>Condicional</t>
        </is>
      </c>
      <c r="H13" s="114" t="inlineStr">
        <is>
          <t>Cego</t>
        </is>
      </c>
      <c r="I13" s="38" t="inlineStr">
        <is>
          <t>Reencarnado · Sem Técnica</t>
        </is>
      </c>
      <c r="J13" s="38" t="n"/>
      <c r="K13" s="38" t="n"/>
      <c r="L13" s="114" t="inlineStr">
        <is>
          <t>Torrente</t>
        </is>
      </c>
      <c r="M13" s="38" t="n"/>
      <c r="N13" s="38" t="n"/>
      <c r="O13" s="38" t="n"/>
      <c r="P13" s="38" t="n"/>
      <c r="Q13" s="38" t="n"/>
      <c r="R13" s="38" t="n"/>
      <c r="S13" s="38" t="n"/>
      <c r="T13" s="38" t="n"/>
      <c r="U13" s="38" t="n"/>
      <c r="V13" s="38" t="n"/>
      <c r="W13" s="38" t="n"/>
      <c r="X13" s="38" t="n"/>
      <c r="Y13" s="38" t="n"/>
      <c r="Z13" s="38" t="n"/>
      <c r="AA13" s="38" t="n"/>
      <c r="AB13" s="114" t="inlineStr">
        <is>
          <t>Religião</t>
        </is>
      </c>
      <c r="AC13" s="114" t="inlineStr">
        <is>
          <t>Inteligência</t>
        </is>
      </c>
      <c r="AD13" s="38" t="n"/>
      <c r="AE13" s="114" t="inlineStr">
        <is>
          <t>Torre</t>
        </is>
      </c>
      <c r="AF13" s="140" t="n">
        <v>3</v>
      </c>
      <c r="AG13" s="140" t="n">
        <v>1</v>
      </c>
      <c r="AH13" s="140" t="inlineStr">
        <is>
          <t>não</t>
        </is>
      </c>
      <c r="AI13" s="38" t="n"/>
      <c r="AJ13" s="114" t="inlineStr">
        <is>
          <t>perícias treinadas</t>
        </is>
      </c>
      <c r="AK13" s="140">
        <f>COUNTIF(FICHA!$D$64:$D$74,TRUE)+COUNTIF(FICHA!$T$63:$T$74,TRUE)</f>
        <v/>
      </c>
      <c r="AL13" s="38" t="n"/>
      <c r="AM13" s="38" t="n"/>
      <c r="AN13" s="114">
        <f>$L$12</f>
        <v/>
      </c>
      <c r="AO13" s="114" t="inlineStr">
        <is>
          <t>Guia</t>
        </is>
      </c>
      <c r="AP13" s="38" t="n"/>
      <c r="AQ13" s="140" t="n">
        <v>10</v>
      </c>
      <c r="AR13" s="140" t="n">
        <v>3700</v>
      </c>
      <c r="AS13" s="38" t="n"/>
      <c r="AT13" s="38" t="n"/>
      <c r="AU13" s="38" t="n"/>
      <c r="AV13" s="38" t="n"/>
      <c r="AW13" s="38" t="n"/>
      <c r="AX13" s="38" t="n"/>
      <c r="AY13" s="38" t="n"/>
      <c r="AZ13" s="38" t="n"/>
      <c r="BA13" s="114" t="inlineStr">
        <is>
          <t>atr_Constituição</t>
        </is>
      </c>
      <c r="BB13" s="114">
        <f>ADDRESS(ROW(FICHA!T19),COLUMN(FICHA!T19),4)</f>
        <v/>
      </c>
      <c r="BD13" s="114" t="inlineStr">
        <is>
          <t>Chicote</t>
        </is>
      </c>
      <c r="BE13" s="114" t="inlineStr">
        <is>
          <t>Flexível</t>
        </is>
      </c>
      <c r="BF13" s="140" t="n">
        <v>1</v>
      </c>
      <c r="BG13" s="114" t="inlineStr">
        <is>
          <t>d4</t>
        </is>
      </c>
      <c r="BH13" s="114" t="inlineStr">
        <is>
          <t>Alcance · Emaranha · Oculta</t>
        </is>
      </c>
      <c r="BI13" s="114" t="inlineStr">
        <is>
          <t>—</t>
        </is>
      </c>
      <c r="BJ13" s="140" t="n">
        <v>0.1</v>
      </c>
      <c r="BM13" s="140">
        <f>'FICHA PESSOAL'!$AE$55</f>
        <v/>
      </c>
      <c r="BN13" s="140">
        <f>ADDRESS(ROW('FICHA PESSOAL'!AE55),COLUMN('FICHA PESSOAL'!AE55),4)</f>
        <v/>
      </c>
      <c r="BP13" s="114" t="inlineStr">
        <is>
          <t>Machado</t>
        </is>
      </c>
      <c r="BQ13" s="114" t="inlineStr">
        <is>
          <t>Marciais</t>
        </is>
      </c>
      <c r="BR13" s="114" t="inlineStr">
        <is>
          <t>não</t>
        </is>
      </c>
      <c r="BS13" s="140">
        <f>'FICHA PESSOAL'!$D$57</f>
        <v/>
      </c>
      <c r="BT13" s="140">
        <f>ADDRESS(ROW('FICHA PESSOAL'!D57),COLUMN('FICHA PESSOAL'!D57),4)</f>
        <v/>
      </c>
      <c r="CJ13" s="114" t="inlineStr">
        <is>
          <t>Outra Situação</t>
        </is>
      </c>
      <c r="CY13" s="114" t="inlineStr">
        <is>
          <t>dado em uso</t>
        </is>
      </c>
      <c r="CZ13" s="140">
        <f>IF(DADOS!$CZ$12=1,IF(DADOS!$CZ$9="d6","d8",IF(DADOS!$CZ$9="d8","d10",IF(DADOS!$CZ$9="d10","d12",DADOS!$CZ$9))),DADOS!$CZ$9)</f>
        <v/>
      </c>
      <c r="DB13" s="140">
        <f>IF(AND('FICHA PESSOAL'!$D$76&lt;&gt;"",'FICHA PESSOAL'!$M$76&lt;&gt;"Escudo"),'FICHA PESSOAL'!$D$76,"")</f>
        <v/>
      </c>
      <c r="DD13" s="140">
        <f>IF(AND(DADOS!$CZ$8&lt;&gt;2,'FICHA PESSOAL'!$D$75&lt;&gt;"",OR('FICHA PESSOAL'!$M$75="Escudo",N('FICHA PESSOAL'!$S$75)=1)),'FICHA PESSOAL'!$D$75,"")</f>
        <v/>
      </c>
      <c r="DH13" s="114" t="inlineStr">
        <is>
          <t>Rompe</t>
        </is>
      </c>
      <c r="DI13" s="114" t="inlineStr">
        <is>
          <t>Vantagem contra objeto e estrutura.</t>
        </is>
      </c>
      <c r="DO13" s="114" t="inlineStr">
        <is>
          <t>missões 2</t>
        </is>
      </c>
      <c r="DP13" s="140">
        <f>ADDRESS(ROW('FICHA PESSOAL'!BC15),COLUMN('FICHA PESSOAL'!BC15),4)&amp;":"&amp;ADDRESS(ROW('FICHA PESSOAL'!BG64),COLUMN('FICHA PESSOAL'!BG64),4)</f>
        <v/>
      </c>
    </row>
    <row r="14" ht="17.25" customHeight="1">
      <c r="A14" s="38" t="n"/>
      <c r="B14" s="114" t="inlineStr">
        <is>
          <t>Hierarquia</t>
        </is>
      </c>
      <c r="C14" s="114" t="inlineStr">
        <is>
          <t>Jogatina</t>
        </is>
      </c>
      <c r="D14" s="38" t="n"/>
      <c r="E14" s="38" t="n"/>
      <c r="F14" s="114" t="inlineStr">
        <is>
          <t>Fica</t>
        </is>
      </c>
      <c r="G14" s="114" t="inlineStr">
        <is>
          <t>Fraqueza</t>
        </is>
      </c>
      <c r="H14" s="114" t="inlineStr">
        <is>
          <t>Amedrontado</t>
        </is>
      </c>
      <c r="I14" s="38" t="inlineStr">
        <is>
          <t>Feto · Sem Técnica</t>
        </is>
      </c>
      <c r="J14" s="38" t="n"/>
      <c r="K14" s="38" t="n"/>
      <c r="L14" s="114" t="inlineStr">
        <is>
          <t>Explosivo</t>
        </is>
      </c>
      <c r="M14" s="38" t="n"/>
      <c r="N14" s="38" t="n"/>
      <c r="O14" s="38" t="n"/>
      <c r="P14" s="38" t="n"/>
      <c r="Q14" s="38" t="n"/>
      <c r="R14" s="38" t="n"/>
      <c r="S14" s="38" t="n"/>
      <c r="T14" s="38" t="n"/>
      <c r="U14" s="38" t="n"/>
      <c r="V14" s="38" t="n"/>
      <c r="W14" s="38" t="n"/>
      <c r="X14" s="38" t="n"/>
      <c r="Y14" s="38" t="n"/>
      <c r="Z14" s="38" t="n"/>
      <c r="AA14" s="38" t="n"/>
      <c r="AB14" s="114" t="inlineStr">
        <is>
          <t>História</t>
        </is>
      </c>
      <c r="AC14" s="114" t="inlineStr">
        <is>
          <t>Inteligência</t>
        </is>
      </c>
      <c r="AD14" s="38" t="n"/>
      <c r="AE14" s="114" t="inlineStr">
        <is>
          <t>Traje 1 + Broquel</t>
        </is>
      </c>
      <c r="AF14" s="140" t="n">
        <v>2</v>
      </c>
      <c r="AG14" s="140" t="n">
        <v>5</v>
      </c>
      <c r="AH14" s="140" t="inlineStr">
        <is>
          <t>sim</t>
        </is>
      </c>
      <c r="AI14" s="38" t="n"/>
      <c r="AJ14" s="114" t="inlineStr">
        <is>
          <t>ofícios treinados</t>
        </is>
      </c>
      <c r="AK14" s="140">
        <f>COUNTIF(FICHA!$D$79:$D$84,TRUE)+COUNTIF(FICHA!$Q$79:$Q$83,TRUE)</f>
        <v/>
      </c>
      <c r="AL14" s="38" t="n"/>
      <c r="AM14" s="38" t="n"/>
      <c r="AN14" s="114">
        <f>$L$13</f>
        <v/>
      </c>
      <c r="AO14" s="114" t="inlineStr">
        <is>
          <t>Emanador</t>
        </is>
      </c>
      <c r="AP14" s="38" t="n"/>
      <c r="AQ14" s="140" t="n">
        <v>11</v>
      </c>
      <c r="AR14" s="140" t="n">
        <v>4400</v>
      </c>
      <c r="AS14" s="38" t="n"/>
      <c r="AT14" s="38" t="n"/>
      <c r="AU14" s="38" t="n"/>
      <c r="AV14" s="38" t="n"/>
      <c r="AW14" s="38" t="n"/>
      <c r="AX14" s="38" t="n"/>
      <c r="AY14" s="38" t="n"/>
      <c r="AZ14" s="38" t="n"/>
      <c r="BA14" s="114" t="inlineStr">
        <is>
          <t>atr_Inteligência</t>
        </is>
      </c>
      <c r="BB14" s="114">
        <f>ADDRESS(ROW(FICHA!AB19),COLUMN(FICHA!AB19),4)</f>
        <v/>
      </c>
      <c r="BD14" s="114" t="inlineStr">
        <is>
          <t>Corrente</t>
        </is>
      </c>
      <c r="BE14" s="114" t="inlineStr">
        <is>
          <t>Flexível</t>
        </is>
      </c>
      <c r="BF14" s="140" t="n">
        <v>2</v>
      </c>
      <c r="BG14" s="114" t="inlineStr">
        <is>
          <t>d8</t>
        </is>
      </c>
      <c r="BH14" s="114" t="inlineStr">
        <is>
          <t>Alcance · Emaranha · Rompe</t>
        </is>
      </c>
      <c r="BI14" s="114" t="inlineStr">
        <is>
          <t>—</t>
        </is>
      </c>
      <c r="BJ14" s="140" t="n">
        <v>2</v>
      </c>
      <c r="BM14" s="140">
        <f>'FICHA PESSOAL'!$AE$56</f>
        <v/>
      </c>
      <c r="BN14" s="140">
        <f>ADDRESS(ROW('FICHA PESSOAL'!AE56),COLUMN('FICHA PESSOAL'!AE56),4)</f>
        <v/>
      </c>
      <c r="BP14" s="114" t="inlineStr">
        <is>
          <t>Armas Longas</t>
        </is>
      </c>
      <c r="BQ14" s="114" t="inlineStr">
        <is>
          <t>Marciais</t>
        </is>
      </c>
      <c r="BR14" s="114" t="inlineStr">
        <is>
          <t>não</t>
        </is>
      </c>
      <c r="BS14" s="140">
        <f>'FICHA PESSOAL'!$AM$54</f>
        <v/>
      </c>
      <c r="BT14" s="140">
        <f>ADDRESS(ROW('FICHA PESSOAL'!AM54),COLUMN('FICHA PESSOAL'!AM54),4)</f>
        <v/>
      </c>
      <c r="CY14" s="114" t="inlineStr">
        <is>
          <t>alcance da principal</t>
        </is>
      </c>
      <c r="CZ14" s="140">
        <f>IFERROR(VLOOKUP('FICHA PESSOAL'!$D$41,DADOS!$BD$5:$BN$59,8,FALSE)&amp;"","")</f>
        <v/>
      </c>
      <c r="DD14" s="140">
        <f>IF(AND(DADOS!$CZ$8&lt;&gt;2,'FICHA PESSOAL'!$D$76&lt;&gt;"",OR('FICHA PESSOAL'!$M$76="Escudo",N('FICHA PESSOAL'!$S$76)=1)),'FICHA PESSOAL'!$D$76,"")</f>
        <v/>
      </c>
      <c r="DH14" s="114" t="inlineStr">
        <is>
          <t>Emaranha</t>
        </is>
      </c>
      <c r="DI14" s="114" t="inlineStr">
        <is>
          <t>Você pode Agarrar sem largar a arma.</t>
        </is>
      </c>
      <c r="DO14" s="114" t="inlineStr">
        <is>
          <t>missões 3</t>
        </is>
      </c>
      <c r="DP14" s="140">
        <f>ADDRESS(ROW('FICHA PESSOAL'!BI15),COLUMN('FICHA PESSOAL'!BI15),4)&amp;":"&amp;ADDRESS(ROW('FICHA PESSOAL'!BM64),COLUMN('FICHA PESSOAL'!BM64),4)</f>
        <v/>
      </c>
    </row>
    <row r="15" ht="17.25" customHeight="1">
      <c r="A15" s="38" t="n"/>
      <c r="B15" s="114" t="inlineStr">
        <is>
          <t>Medicina</t>
        </is>
      </c>
      <c r="C15" s="38" t="n"/>
      <c r="D15" s="38" t="n"/>
      <c r="E15" s="38" t="n"/>
      <c r="F15" s="114" t="inlineStr">
        <is>
          <t>Mais Um</t>
        </is>
      </c>
      <c r="G15" s="114" t="inlineStr">
        <is>
          <t>Frágil</t>
        </is>
      </c>
      <c r="H15" s="114" t="inlineStr">
        <is>
          <t>Envenenado</t>
        </is>
      </c>
      <c r="I15" s="38" t="inlineStr">
        <is>
          <t>Corpo Amaldiçoado</t>
        </is>
      </c>
      <c r="J15" s="38" t="n"/>
      <c r="K15" s="38" t="n"/>
      <c r="L15" s="114" t="inlineStr">
        <is>
          <t>Arremate</t>
        </is>
      </c>
      <c r="M15" s="38" t="n"/>
      <c r="N15" s="38" t="n"/>
      <c r="O15" s="38" t="n"/>
      <c r="P15" s="38" t="n"/>
      <c r="Q15" s="38" t="n"/>
      <c r="R15" s="38" t="n"/>
      <c r="S15" s="38" t="n"/>
      <c r="T15" s="38" t="n"/>
      <c r="U15" s="38" t="n"/>
      <c r="V15" s="38" t="n"/>
      <c r="W15" s="38" t="n"/>
      <c r="X15" s="38" t="n"/>
      <c r="Y15" s="38" t="n"/>
      <c r="Z15" s="38" t="n"/>
      <c r="AA15" s="38" t="n"/>
      <c r="AB15" s="114" t="inlineStr">
        <is>
          <t>Hierarquia</t>
        </is>
      </c>
      <c r="AC15" s="114" t="inlineStr">
        <is>
          <t>Inteligência</t>
        </is>
      </c>
      <c r="AD15" s="38" t="n"/>
      <c r="AE15" s="114" t="inlineStr">
        <is>
          <t>Traje 1 + Médio</t>
        </is>
      </c>
      <c r="AF15" s="140" t="n">
        <v>3</v>
      </c>
      <c r="AG15" s="140" t="n">
        <v>3</v>
      </c>
      <c r="AH15" s="140" t="inlineStr">
        <is>
          <t>sim</t>
        </is>
      </c>
      <c r="AI15" s="38" t="n"/>
      <c r="AJ15" s="114" t="inlineStr">
        <is>
          <t>especializações</t>
        </is>
      </c>
      <c r="AK15" s="140">
        <f>COUNTIF(FICHA!$E$64:$E$74,TRUE)+COUNTIF(FICHA!$E$79:$E$84,TRUE)+COUNTIF(FICHA!$R$79:$R$83,TRUE)+COUNTIF(FICHA!$U$63:$U$74,TRUE)</f>
        <v/>
      </c>
      <c r="AL15" s="38" t="n"/>
      <c r="AM15" s="38" t="n"/>
      <c r="AN15" s="114">
        <f>$L$14</f>
        <v/>
      </c>
      <c r="AO15" s="114" t="inlineStr">
        <is>
          <t>Emanador</t>
        </is>
      </c>
      <c r="AP15" s="38" t="n"/>
      <c r="AQ15" s="140" t="n">
        <v>12</v>
      </c>
      <c r="AR15" s="140" t="n">
        <v>5300</v>
      </c>
      <c r="AS15" s="38" t="n"/>
      <c r="AT15" s="38" t="n"/>
      <c r="AU15" s="38" t="n"/>
      <c r="AV15" s="38" t="n"/>
      <c r="AW15" s="38" t="n"/>
      <c r="AX15" s="38" t="n"/>
      <c r="AY15" s="38" t="n"/>
      <c r="AZ15" s="38" t="n"/>
      <c r="BA15" s="114" t="inlineStr">
        <is>
          <t>atr_Essência</t>
        </is>
      </c>
      <c r="BB15" s="114">
        <f>ADDRESS(ROW(FICHA!AJ19),COLUMN(FICHA!AJ19),4)</f>
        <v/>
      </c>
      <c r="BD15" s="114" t="inlineStr">
        <is>
          <t>Daikyū</t>
        </is>
      </c>
      <c r="BE15" s="114" t="inlineStr">
        <is>
          <t>Yumi</t>
        </is>
      </c>
      <c r="BF15" s="140" t="n">
        <v>2</v>
      </c>
      <c r="BG15" s="114" t="inlineStr">
        <is>
          <t>1d10</t>
        </is>
      </c>
      <c r="BH15" s="114" t="inlineStr">
        <is>
          <t>Longo Alcance</t>
        </is>
      </c>
      <c r="BI15" s="114" t="inlineStr">
        <is>
          <t>—</t>
        </is>
      </c>
      <c r="BJ15" s="140" t="n">
        <v>2</v>
      </c>
      <c r="BK15" s="114" t="inlineStr">
        <is>
          <t>45 m, longa 180 m</t>
        </is>
      </c>
      <c r="BM15" s="140">
        <f>'FICHA PESSOAL'!$AM$59</f>
        <v/>
      </c>
      <c r="BN15" s="140">
        <f>ADDRESS(ROW('FICHA PESSOAL'!AM59),COLUMN('FICHA PESSOAL'!AM59),4)</f>
        <v/>
      </c>
      <c r="BP15" s="114" t="inlineStr">
        <is>
          <t>Flexível</t>
        </is>
      </c>
      <c r="BQ15" s="114" t="inlineStr">
        <is>
          <t>Marciais</t>
        </is>
      </c>
      <c r="BR15" s="114" t="inlineStr">
        <is>
          <t>não</t>
        </is>
      </c>
      <c r="BS15" s="140">
        <f>'FICHA PESSOAL'!$AE$54</f>
        <v/>
      </c>
      <c r="BT15" s="140">
        <f>ADDRESS(ROW('FICHA PESSOAL'!AE54),COLUMN('FICHA PESSOAL'!AE54),4)</f>
        <v/>
      </c>
      <c r="CY15" s="114" t="inlineStr">
        <is>
          <t>recarga da principal</t>
        </is>
      </c>
      <c r="CZ15" s="140">
        <f>IFERROR(VLOOKUP('FICHA PESSOAL'!$D$41,DADOS!$BD$5:$BN$59,9,FALSE)&amp;"","")</f>
        <v/>
      </c>
      <c r="DH15" s="114" t="inlineStr">
        <is>
          <t>Vestida</t>
        </is>
      </c>
      <c r="DI15" s="114" t="inlineStr">
        <is>
          <t>Não ocupa a mão.</t>
        </is>
      </c>
      <c r="DO15" s="114" t="inlineStr">
        <is>
          <t>missões 4</t>
        </is>
      </c>
      <c r="DP15" s="140">
        <f>ADDRESS(ROW('FICHA PESSOAL'!BO15),COLUMN('FICHA PESSOAL'!BO15),4)&amp;":"&amp;ADDRESS(ROW('FICHA PESSOAL'!BS64),COLUMN('FICHA PESSOAL'!BS64),4)</f>
        <v/>
      </c>
    </row>
    <row r="16" ht="17.25" customHeight="1">
      <c r="A16" s="38" t="n"/>
      <c r="B16" s="114" t="inlineStr">
        <is>
          <t>Sobrevivência</t>
        </is>
      </c>
      <c r="C16" s="38" t="n"/>
      <c r="D16" s="38" t="n"/>
      <c r="E16" s="38" t="n"/>
      <c r="F16" s="114" t="inlineStr">
        <is>
          <t>Rajada</t>
        </is>
      </c>
      <c r="G16" s="114" t="inlineStr">
        <is>
          <t>Barulho</t>
        </is>
      </c>
      <c r="H16" s="114" t="inlineStr">
        <is>
          <t>Atordoado</t>
        </is>
      </c>
      <c r="I16" s="38" t="inlineStr">
        <is>
          <t>Restrição Celestial · sem energia</t>
        </is>
      </c>
      <c r="J16" s="38" t="n"/>
      <c r="K16" s="38" t="n"/>
      <c r="L16" s="114" t="inlineStr">
        <is>
          <t>Servo</t>
        </is>
      </c>
      <c r="M16" s="38" t="n"/>
      <c r="N16" s="38" t="n"/>
      <c r="O16" s="38" t="n"/>
      <c r="P16" s="38" t="n"/>
      <c r="Q16" s="38" t="n"/>
      <c r="R16" s="38" t="n"/>
      <c r="S16" s="38" t="n"/>
      <c r="T16" s="38" t="n"/>
      <c r="U16" s="38" t="n"/>
      <c r="V16" s="38" t="n"/>
      <c r="W16" s="38" t="n"/>
      <c r="X16" s="38" t="n"/>
      <c r="Y16" s="38" t="n"/>
      <c r="Z16" s="38" t="n"/>
      <c r="AA16" s="38" t="n"/>
      <c r="AB16" s="114" t="inlineStr">
        <is>
          <t>Medicina</t>
        </is>
      </c>
      <c r="AC16" s="114" t="inlineStr">
        <is>
          <t>Inteligência</t>
        </is>
      </c>
      <c r="AD16" s="38" t="n"/>
      <c r="AE16" s="114" t="inlineStr">
        <is>
          <t>Traje 1 + Torre</t>
        </is>
      </c>
      <c r="AF16" s="140" t="n">
        <v>4</v>
      </c>
      <c r="AG16" s="140" t="n">
        <v>1</v>
      </c>
      <c r="AH16" s="140" t="inlineStr">
        <is>
          <t>sim</t>
        </is>
      </c>
      <c r="AI16" s="38" t="n"/>
      <c r="AJ16" s="114" t="inlineStr">
        <is>
          <t>Corpo que sobra</t>
        </is>
      </c>
      <c r="AK16" s="140">
        <f>DADOS!$AK$10-DADOS!$AK$15</f>
        <v/>
      </c>
      <c r="AL16" s="38" t="n"/>
      <c r="AM16" s="38" t="n"/>
      <c r="AN16" s="114">
        <f>$L$15</f>
        <v/>
      </c>
      <c r="AO16" s="114" t="inlineStr">
        <is>
          <t>Emanador</t>
        </is>
      </c>
      <c r="AP16" s="38" t="n"/>
      <c r="AQ16" s="140" t="n">
        <v>13</v>
      </c>
      <c r="AR16" s="140" t="n">
        <v>6200</v>
      </c>
      <c r="AS16" s="38" t="n"/>
      <c r="AT16" s="38" t="n"/>
      <c r="AU16" s="38" t="n"/>
      <c r="AV16" s="38" t="n"/>
      <c r="AW16" s="38" t="n"/>
      <c r="AX16" s="38" t="n"/>
      <c r="AY16" s="38" t="n"/>
      <c r="AZ16" s="38" t="n"/>
      <c r="BA16" s="114" t="inlineStr">
        <is>
          <t>atr_base_Força</t>
        </is>
      </c>
      <c r="BB16" s="114">
        <f>ADDRESS(ROW(FICHA!D21),COLUMN(FICHA!D21),4)</f>
        <v/>
      </c>
      <c r="BD16" s="114" t="inlineStr">
        <is>
          <t>Espada Longa</t>
        </is>
      </c>
      <c r="BE16" s="114" t="inlineStr">
        <is>
          <t>Lâmina Longa</t>
        </is>
      </c>
      <c r="BF16" s="140" t="n">
        <v>1</v>
      </c>
      <c r="BG16" s="114" t="inlineStr">
        <is>
          <t>d8</t>
        </is>
      </c>
      <c r="BH16" s="114" t="inlineStr">
        <is>
          <t>Versátil · Rompe</t>
        </is>
      </c>
      <c r="BI16" s="114" t="inlineStr">
        <is>
          <t>—</t>
        </is>
      </c>
      <c r="BJ16" s="140" t="n">
        <v>1</v>
      </c>
      <c r="BM16" s="140">
        <f>'FICHA PESSOAL'!$D$49</f>
        <v/>
      </c>
      <c r="BN16" s="140">
        <f>ADDRESS(ROW('FICHA PESSOAL'!D49),COLUMN('FICHA PESSOAL'!D49),4)</f>
        <v/>
      </c>
      <c r="BP16" s="114" t="inlineStr">
        <is>
          <t>Yumi</t>
        </is>
      </c>
      <c r="BQ16" s="114" t="inlineStr">
        <is>
          <t>Marciais</t>
        </is>
      </c>
      <c r="BR16" s="114" t="inlineStr">
        <is>
          <t>não</t>
        </is>
      </c>
      <c r="BS16" s="140">
        <f>'FICHA PESSOAL'!$AM$58</f>
        <v/>
      </c>
      <c r="BT16" s="140">
        <f>ADDRESS(ROW('FICHA PESSOAL'!AM58),COLUMN('FICHA PESSOAL'!AM58),4)</f>
        <v/>
      </c>
      <c r="CY16" s="114" t="inlineStr">
        <is>
          <t>treino da principal</t>
        </is>
      </c>
      <c r="CZ16" s="140">
        <f>IF(DADOS!$CZ$6=1,1,IF(IFERROR(VLOOKUP('FICHA PESSOAL'!$D$41,DADOS!$BD$5:$BN$59,10,FALSE),IFERROR(VLOOKUP(DADOS!$CZ$7,DADOS!$BP$5:$BT$17,4,FALSE),FALSE))=TRUE,1,0))</f>
        <v/>
      </c>
      <c r="DH16" s="114" t="inlineStr">
        <is>
          <t>Talha</t>
        </is>
      </c>
      <c r="DI16" s="114" t="inlineStr">
        <is>
          <t>A arma é ruim de aparar: −1 no Bloquear de quem se defende dela.</t>
        </is>
      </c>
      <c r="DO16" s="114" t="inlineStr">
        <is>
          <t>equipáveis</t>
        </is>
      </c>
      <c r="DP16" s="140">
        <f>ADDRESS(ROW('FICHA PESSOAL'!D69),COLUMN('FICHA PESSOAL'!D69),4)&amp;":"&amp;ADDRESS(ROW('FICHA PESSOAL'!AT76),COLUMN('FICHA PESSOAL'!AT76),4)</f>
        <v/>
      </c>
    </row>
    <row r="17" ht="17.25" customHeight="1">
      <c r="A17" s="38" t="n"/>
      <c r="B17" s="114" t="inlineStr">
        <is>
          <t>Natureza</t>
        </is>
      </c>
      <c r="C17" s="38" t="n"/>
      <c r="D17" s="38" t="n"/>
      <c r="E17" s="38" t="n"/>
      <c r="F17" s="114" t="inlineStr">
        <is>
          <t>Salto</t>
        </is>
      </c>
      <c r="G17" s="114" t="inlineStr">
        <is>
          <t>Assinatura</t>
        </is>
      </c>
      <c r="H17" s="114" t="n"/>
      <c r="I17" s="38" t="n"/>
      <c r="J17" s="38" t="n"/>
      <c r="K17" s="38" t="n"/>
      <c r="L17" s="114" t="inlineStr">
        <is>
          <t>Matilha</t>
        </is>
      </c>
      <c r="M17" s="38" t="n"/>
      <c r="N17" s="38" t="n"/>
      <c r="O17" s="38" t="n"/>
      <c r="P17" s="38" t="n"/>
      <c r="Q17" s="38" t="n"/>
      <c r="R17" s="38" t="n"/>
      <c r="S17" s="38" t="n"/>
      <c r="T17" s="38" t="n"/>
      <c r="U17" s="38" t="n"/>
      <c r="V17" s="38" t="n"/>
      <c r="W17" s="38" t="n"/>
      <c r="X17" s="38" t="n"/>
      <c r="Y17" s="38" t="n"/>
      <c r="Z17" s="38" t="n"/>
      <c r="AA17" s="38" t="n"/>
      <c r="AB17" s="114" t="inlineStr">
        <is>
          <t>Sobrevivência</t>
        </is>
      </c>
      <c r="AC17" s="114" t="inlineStr">
        <is>
          <t>Inteligência</t>
        </is>
      </c>
      <c r="AD17" s="38" t="n"/>
      <c r="AE17" s="114" t="inlineStr">
        <is>
          <t>Traje 2 + Broquel</t>
        </is>
      </c>
      <c r="AF17" s="140" t="n">
        <v>3</v>
      </c>
      <c r="AG17" s="140" t="n">
        <v>5</v>
      </c>
      <c r="AH17" s="140" t="inlineStr">
        <is>
          <t>sim</t>
        </is>
      </c>
      <c r="AI17" s="38" t="n"/>
      <c r="AJ17" s="114" t="inlineStr">
        <is>
          <t>rota do ofício</t>
        </is>
      </c>
      <c r="AK17" s="140">
        <f>IF((MAX(0,DADOS!$AK$13-9)+MAX(0,DADOS!$AK$14-2))&lt;=DADOS!$AK$16,1,IF((MAX(0,DADOS!$AK$13-10)+MAX(0,DADOS!$AK$14-0))&lt;=DADOS!$AK$16,2,IF((MAX(0,DADOS!$AK$13-9)+MAX(0,DADOS!$AK$14-2))&lt;=(MAX(0,DADOS!$AK$13-10)+MAX(0,DADOS!$AK$14-0)),1,2)))</f>
        <v/>
      </c>
      <c r="AL17" s="38" t="n"/>
      <c r="AM17" s="38" t="n"/>
      <c r="AN17" s="114">
        <f>$L$16</f>
        <v/>
      </c>
      <c r="AO17" s="114" t="inlineStr">
        <is>
          <t>Evocador</t>
        </is>
      </c>
      <c r="AP17" s="38" t="n"/>
      <c r="AQ17" s="140" t="n">
        <v>14</v>
      </c>
      <c r="AR17" s="140" t="n">
        <v>7100</v>
      </c>
      <c r="AS17" s="38" t="n"/>
      <c r="AT17" s="38" t="n"/>
      <c r="AU17" s="38" t="n"/>
      <c r="AV17" s="38" t="n"/>
      <c r="AW17" s="38" t="n"/>
      <c r="AX17" s="38" t="n"/>
      <c r="AY17" s="38" t="n"/>
      <c r="AZ17" s="38" t="n"/>
      <c r="BA17" s="114" t="inlineStr">
        <is>
          <t>atr_base_Destreza</t>
        </is>
      </c>
      <c r="BB17" s="114">
        <f>ADDRESS(ROW(FICHA!L21),COLUMN(FICHA!L21),4)</f>
        <v/>
      </c>
      <c r="BD17" s="114" t="inlineStr">
        <is>
          <t>Espadão</t>
        </is>
      </c>
      <c r="BE17" s="114" t="inlineStr">
        <is>
          <t>Lâmina Longa</t>
        </is>
      </c>
      <c r="BF17" s="140" t="n">
        <v>2</v>
      </c>
      <c r="BG17" s="114" t="inlineStr">
        <is>
          <t>d12</t>
        </is>
      </c>
      <c r="BH17" s="114" t="inlineStr">
        <is>
          <t>Alcance</t>
        </is>
      </c>
      <c r="BI17" s="140" t="n">
        <v>3</v>
      </c>
      <c r="BJ17" s="140" t="n">
        <v>2</v>
      </c>
      <c r="BM17" s="140">
        <f>'FICHA PESSOAL'!$D$50</f>
        <v/>
      </c>
      <c r="BN17" s="140">
        <f>ADDRESS(ROW('FICHA PESSOAL'!D50),COLUMN('FICHA PESSOAL'!D50),4)</f>
        <v/>
      </c>
      <c r="BP17" s="114" t="inlineStr">
        <is>
          <t>Arma de Fogo</t>
        </is>
      </c>
      <c r="BQ17" s="114" t="inlineStr">
        <is>
          <t>Arma de Fogo</t>
        </is>
      </c>
      <c r="BR17" s="114" t="inlineStr">
        <is>
          <t>sim</t>
        </is>
      </c>
      <c r="BS17" s="140">
        <f>'FICHA PESSOAL'!$M$48</f>
        <v/>
      </c>
      <c r="BT17" s="140">
        <f>ADDRESS(ROW('FICHA PESSOAL'!M48),COLUMN('FICHA PESSOAL'!M48),4)</f>
        <v/>
      </c>
      <c r="CY17" s="114" t="inlineStr">
        <is>
          <t>secundária vale</t>
        </is>
      </c>
      <c r="CZ17" s="140">
        <f>IF(AND(DADOS!$CZ$8&lt;&gt;2,'FICHA PESSOAL'!$S$41&lt;&gt;"",'FICHA PESSOAL'!$S$41&lt;&gt;"—",'FICHA PESSOAL'!$S$41&lt;&gt;"Nas duas mãos"),1,0)</f>
        <v/>
      </c>
      <c r="DH17" s="114" t="inlineStr">
        <is>
          <t>Volumosa</t>
        </is>
      </c>
      <c r="DI17" s="114" t="inlineStr">
        <is>
          <t>Não dá para esconder, e atrapalha em espaço apertado.</t>
        </is>
      </c>
      <c r="DO17" s="114" t="inlineStr">
        <is>
          <t>itens</t>
        </is>
      </c>
      <c r="DP17" s="140">
        <f>ADDRESS(ROW('FICHA PESSOAL'!D81),COLUMN('FICHA PESSOAL'!D81),4)&amp;":"&amp;ADDRESS(ROW('FICHA PESSOAL'!AT86),COLUMN('FICHA PESSOAL'!AT86),4)</f>
        <v/>
      </c>
    </row>
    <row r="18" ht="17.25" customHeight="1">
      <c r="A18" s="38" t="n"/>
      <c r="B18" s="114" t="inlineStr">
        <is>
          <t>Lidar com Animais</t>
        </is>
      </c>
      <c r="C18" s="38" t="n"/>
      <c r="D18" s="38" t="n"/>
      <c r="E18" s="38" t="n"/>
      <c r="F18" s="114" t="inlineStr">
        <is>
          <t>Contorno</t>
        </is>
      </c>
      <c r="G18" s="114" t="inlineStr">
        <is>
          <t>Aquecer</t>
        </is>
      </c>
      <c r="H18" s="38" t="n"/>
      <c r="I18" s="38" t="n"/>
      <c r="J18" s="38" t="n"/>
      <c r="K18" s="38" t="n"/>
      <c r="L18" s="114" t="inlineStr">
        <is>
          <t>Coro</t>
        </is>
      </c>
      <c r="M18" s="38" t="n"/>
      <c r="N18" s="38" t="n"/>
      <c r="O18" s="38" t="n"/>
      <c r="P18" s="38" t="n"/>
      <c r="Q18" s="38" t="n"/>
      <c r="R18" s="38" t="n"/>
      <c r="S18" s="38" t="n"/>
      <c r="T18" s="38" t="n"/>
      <c r="U18" s="38" t="n"/>
      <c r="V18" s="38" t="n"/>
      <c r="W18" s="38" t="n"/>
      <c r="X18" s="38" t="n"/>
      <c r="Y18" s="38" t="n"/>
      <c r="Z18" s="38" t="n"/>
      <c r="AA18" s="38" t="n"/>
      <c r="AB18" s="114" t="inlineStr">
        <is>
          <t>Natureza</t>
        </is>
      </c>
      <c r="AC18" s="114" t="inlineStr">
        <is>
          <t>Inteligência</t>
        </is>
      </c>
      <c r="AD18" s="38" t="n"/>
      <c r="AE18" s="114" t="inlineStr">
        <is>
          <t>Traje 2 + Médio</t>
        </is>
      </c>
      <c r="AF18" s="140" t="n">
        <v>4</v>
      </c>
      <c r="AG18" s="140" t="n">
        <v>3</v>
      </c>
      <c r="AH18" s="140" t="inlineStr">
        <is>
          <t>sim</t>
        </is>
      </c>
      <c r="AI18" s="38" t="n"/>
      <c r="AJ18" s="114" t="inlineStr">
        <is>
          <t>perícias por arma</t>
        </is>
      </c>
      <c r="AK18" s="140">
        <f>IF(OR(FICHA!$D$11="Guia",FICHA!$D$11="Emanador",FICHA!$D$11="Evocador"),IF(FICHA!$AK$65="2 armas (-4 pericias)",4,IF(FICHA!$AK$65="1 arma (-2 pericias)",2,0)),0)</f>
        <v/>
      </c>
      <c r="AL18" s="38" t="n"/>
      <c r="AM18" s="38" t="n"/>
      <c r="AN18" s="114">
        <f>$L$17</f>
        <v/>
      </c>
      <c r="AO18" s="114" t="inlineStr">
        <is>
          <t>Evocador</t>
        </is>
      </c>
      <c r="AP18" s="38" t="n"/>
      <c r="AQ18" s="140" t="n">
        <v>15</v>
      </c>
      <c r="AR18" s="140" t="n">
        <v>8200</v>
      </c>
      <c r="AS18" s="38" t="n"/>
      <c r="AT18" s="38" t="n"/>
      <c r="AU18" s="38" t="n"/>
      <c r="AV18" s="38" t="n"/>
      <c r="AW18" s="38" t="n"/>
      <c r="AX18" s="38" t="n"/>
      <c r="AY18" s="38" t="n"/>
      <c r="AZ18" s="38" t="n"/>
      <c r="BA18" s="114" t="inlineStr">
        <is>
          <t>atr_base_Constituição</t>
        </is>
      </c>
      <c r="BB18" s="114">
        <f>ADDRESS(ROW(FICHA!T21),COLUMN(FICHA!T21),4)</f>
        <v/>
      </c>
      <c r="BD18" s="114" t="inlineStr">
        <is>
          <t>Espingarda</t>
        </is>
      </c>
      <c r="BE18" s="114" t="inlineStr">
        <is>
          <t>Arma de Fogo</t>
        </is>
      </c>
      <c r="BF18" s="140" t="n">
        <v>2</v>
      </c>
      <c r="BG18" s="114" t="inlineStr">
        <is>
          <t>2d8</t>
        </is>
      </c>
      <c r="BH18" s="114" t="inlineStr">
        <is>
          <t>Longo Alcance · Munição · Rompe</t>
        </is>
      </c>
      <c r="BI18" s="140" t="n">
        <v>1</v>
      </c>
      <c r="BJ18" s="140" t="n">
        <v>2</v>
      </c>
      <c r="BK18" s="114" t="inlineStr">
        <is>
          <t>9 m, longa 27 m</t>
        </is>
      </c>
      <c r="BL18" s="140" t="n">
        <v>2</v>
      </c>
      <c r="BM18" s="140">
        <f>'FICHA PESSOAL'!$M$49</f>
        <v/>
      </c>
      <c r="BN18" s="140">
        <f>ADDRESS(ROW('FICHA PESSOAL'!M49),COLUMN('FICHA PESSOAL'!M49),4)</f>
        <v/>
      </c>
      <c r="CY18" s="114" t="inlineStr">
        <is>
          <t>categoria da secundária</t>
        </is>
      </c>
      <c r="CZ18" s="140">
        <f>IF(DADOS!$CZ$17=1,IFERROR(VLOOKUP('FICHA PESSOAL'!$S$41,'FICHA PESSOAL'!$D$69:$AH$76,10,FALSE)&amp;"",""),"")</f>
        <v/>
      </c>
      <c r="DH18" s="114" t="inlineStr">
        <is>
          <t>Embainhada</t>
        </is>
      </c>
      <c r="DI18" s="114" t="inlineStr">
        <is>
          <t>Não se saca sozinha: precisa de tempo, ou de outra pessoa.</t>
        </is>
      </c>
      <c r="DO18" s="114" t="inlineStr">
        <is>
          <t>volume dos itens 1</t>
        </is>
      </c>
      <c r="DP18" s="140">
        <f>ADDRESS(ROW('FICHA PESSOAL'!V81),COLUMN('FICHA PESSOAL'!V81),4)&amp;":"&amp;ADDRESS(ROW('FICHA PESSOAL'!V86),COLUMN('FICHA PESSOAL'!V86),4)</f>
        <v/>
      </c>
    </row>
    <row r="19" ht="17.25" customHeight="1">
      <c r="A19" s="38" t="n"/>
      <c r="B19" s="114" t="inlineStr">
        <is>
          <t>Tecnologia</t>
        </is>
      </c>
      <c r="C19" s="38" t="n"/>
      <c r="D19" s="38" t="n"/>
      <c r="E19" s="38" t="n"/>
      <c r="F19" s="114" t="inlineStr">
        <is>
          <t>Precisão</t>
        </is>
      </c>
      <c r="G19" s="114" t="inlineStr">
        <is>
          <t>Dívida</t>
        </is>
      </c>
      <c r="H19" s="38" t="n"/>
      <c r="I19" s="38" t="n"/>
      <c r="J19" s="38" t="n"/>
      <c r="K19" s="38" t="n"/>
      <c r="L19" s="38" t="n"/>
      <c r="M19" s="38" t="n"/>
      <c r="N19" s="38" t="n"/>
      <c r="O19" s="38" t="n"/>
      <c r="P19" s="38" t="n"/>
      <c r="Q19" s="38" t="n"/>
      <c r="R19" s="38" t="n"/>
      <c r="S19" s="38" t="n"/>
      <c r="T19" s="38" t="n"/>
      <c r="U19" s="38" t="n"/>
      <c r="V19" s="38" t="n"/>
      <c r="W19" s="38" t="n"/>
      <c r="X19" s="38" t="n"/>
      <c r="Y19" s="38" t="n"/>
      <c r="Z19" s="38" t="n"/>
      <c r="AA19" s="38" t="n"/>
      <c r="AB19" s="114" t="inlineStr">
        <is>
          <t>Lidar com Animais</t>
        </is>
      </c>
      <c r="AC19" s="114" t="inlineStr">
        <is>
          <t>Inteligência</t>
        </is>
      </c>
      <c r="AD19" s="38" t="n"/>
      <c r="AE19" s="114" t="inlineStr">
        <is>
          <t>Traje 2 + Torre</t>
        </is>
      </c>
      <c r="AF19" s="140" t="n">
        <v>5</v>
      </c>
      <c r="AG19" s="140" t="n">
        <v>1</v>
      </c>
      <c r="AH19" s="140" t="inlineStr">
        <is>
          <t>sim</t>
        </is>
      </c>
      <c r="AI19" s="38" t="n"/>
      <c r="AJ19" s="114" t="inlineStr">
        <is>
          <t>perícias da rota</t>
        </is>
      </c>
      <c r="AK19" s="140">
        <f>IF(DADOS!$AK$17=1,9,10)-DADOS!$AK$18</f>
        <v/>
      </c>
      <c r="AL19" s="38" t="n"/>
      <c r="AM19" s="38" t="n"/>
      <c r="AN19" s="114">
        <f>$L$18</f>
        <v/>
      </c>
      <c r="AO19" s="114" t="inlineStr">
        <is>
          <t>Evocador</t>
        </is>
      </c>
      <c r="AP19" s="38" t="n"/>
      <c r="AQ19" s="140" t="n">
        <v>16</v>
      </c>
      <c r="AR19" s="140" t="n">
        <v>9300</v>
      </c>
      <c r="AS19" s="38" t="n"/>
      <c r="AT19" s="38" t="n"/>
      <c r="AU19" s="38" t="n"/>
      <c r="AV19" s="38" t="n"/>
      <c r="AW19" s="38" t="n"/>
      <c r="AX19" s="38" t="n"/>
      <c r="AY19" s="38" t="n"/>
      <c r="AZ19" s="38" t="n"/>
      <c r="BA19" s="114" t="inlineStr">
        <is>
          <t>atr_base_Inteligência</t>
        </is>
      </c>
      <c r="BB19" s="114">
        <f>ADDRESS(ROW(FICHA!AB21),COLUMN(FICHA!AB21),4)</f>
        <v/>
      </c>
      <c r="BD19" s="114" t="inlineStr">
        <is>
          <t>Faca</t>
        </is>
      </c>
      <c r="BE19" s="114" t="inlineStr">
        <is>
          <t>Lâmina Curta</t>
        </is>
      </c>
      <c r="BF19" s="140" t="n">
        <v>1</v>
      </c>
      <c r="BG19" s="114" t="inlineStr">
        <is>
          <t>d6</t>
        </is>
      </c>
      <c r="BH19" s="114" t="inlineStr">
        <is>
          <t>Fineza · Rompe</t>
        </is>
      </c>
      <c r="BI19" s="114" t="inlineStr">
        <is>
          <t>—</t>
        </is>
      </c>
      <c r="BJ19" s="140" t="n">
        <v>1</v>
      </c>
      <c r="BM19" s="140">
        <f>'FICHA PESSOAL'!$AE$50</f>
        <v/>
      </c>
      <c r="BN19" s="140">
        <f>ADDRESS(ROW('FICHA PESSOAL'!AE50),COLUMN('FICHA PESSOAL'!AE50),4)</f>
        <v/>
      </c>
      <c r="CY19" s="114" t="inlineStr">
        <is>
          <t>escudo na secundária</t>
        </is>
      </c>
      <c r="CZ19" s="140">
        <f>IF(AND(DADOS!$CZ$17=1,DADOS!$CZ$18="Escudo"),1,0)</f>
        <v/>
      </c>
      <c r="DH19" s="114" t="inlineStr">
        <is>
          <t>Comprida</t>
        </is>
      </c>
      <c r="DI19" s="114" t="inlineStr">
        <is>
          <t>Perde no corpo a corpo colado.</t>
        </is>
      </c>
      <c r="DO19" s="114" t="inlineStr">
        <is>
          <t>volume dos itens 2</t>
        </is>
      </c>
      <c r="DP19" s="140">
        <f>ADDRESS(ROW('FICHA PESSOAL'!AR81),COLUMN('FICHA PESSOAL'!AR81),4)&amp;":"&amp;ADDRESS(ROW('FICHA PESSOAL'!AR86),COLUMN('FICHA PESSOAL'!AR86),4)</f>
        <v/>
      </c>
    </row>
    <row r="20" ht="17.25" customHeight="1">
      <c r="A20" s="38" t="n"/>
      <c r="B20" s="114" t="inlineStr">
        <is>
          <t>Sentir Energia</t>
        </is>
      </c>
      <c r="C20" s="38" t="n"/>
      <c r="D20" s="38" t="n"/>
      <c r="E20" s="38" t="n"/>
      <c r="F20" s="114" t="inlineStr">
        <is>
          <t>Certeiro</t>
        </is>
      </c>
      <c r="G20" s="114" t="inlineStr">
        <is>
          <t>Peso Morto</t>
        </is>
      </c>
      <c r="H20" s="38" t="n"/>
      <c r="I20" s="38" t="n"/>
      <c r="J20" s="38" t="n"/>
      <c r="K20" s="38" t="n"/>
      <c r="L20" s="38" t="n"/>
      <c r="M20" s="38" t="n"/>
      <c r="N20" s="38" t="n"/>
      <c r="O20" s="38" t="n"/>
      <c r="P20" s="38" t="n"/>
      <c r="Q20" s="38" t="n"/>
      <c r="R20" s="38" t="n"/>
      <c r="S20" s="38" t="n"/>
      <c r="T20" s="38" t="n"/>
      <c r="U20" s="38" t="n"/>
      <c r="V20" s="38" t="n"/>
      <c r="W20" s="38" t="n"/>
      <c r="X20" s="38" t="n"/>
      <c r="Y20" s="38" t="n"/>
      <c r="Z20" s="38" t="n"/>
      <c r="AA20" s="38" t="n"/>
      <c r="AB20" s="114" t="inlineStr">
        <is>
          <t>Tecnologia</t>
        </is>
      </c>
      <c r="AC20" s="114" t="inlineStr">
        <is>
          <t>Inteligência</t>
        </is>
      </c>
      <c r="AD20" s="38" t="n"/>
      <c r="AE20" s="114" t="inlineStr">
        <is>
          <t>Traje 3 + Broquel</t>
        </is>
      </c>
      <c r="AF20" s="140" t="n">
        <v>4</v>
      </c>
      <c r="AG20" s="140" t="n">
        <v>5</v>
      </c>
      <c r="AH20" s="140" t="inlineStr">
        <is>
          <t>sim</t>
        </is>
      </c>
      <c r="AI20" s="38" t="n"/>
      <c r="AJ20" s="114" t="inlineStr">
        <is>
          <t>ofícios da rota</t>
        </is>
      </c>
      <c r="AK20" s="140">
        <f>IF(DADOS!$AK$17=1,2,0)</f>
        <v/>
      </c>
      <c r="AL20" s="38" t="n"/>
      <c r="AM20" s="38" t="n"/>
      <c r="AN20" s="38" t="n"/>
      <c r="AO20" s="38" t="n"/>
      <c r="AP20" s="38" t="n"/>
      <c r="AQ20" s="140" t="n">
        <v>17</v>
      </c>
      <c r="AR20" s="140" t="n">
        <v>10400</v>
      </c>
      <c r="AS20" s="38" t="n"/>
      <c r="AT20" s="38" t="n"/>
      <c r="AU20" s="38" t="n"/>
      <c r="AV20" s="38" t="n"/>
      <c r="AW20" s="38" t="n"/>
      <c r="AX20" s="38" t="n"/>
      <c r="AY20" s="38" t="n"/>
      <c r="AZ20" s="38" t="n"/>
      <c r="BA20" s="114" t="inlineStr">
        <is>
          <t>atr_base_Essência</t>
        </is>
      </c>
      <c r="BB20" s="114">
        <f>ADDRESS(ROW(FICHA!AJ21),COLUMN(FICHA!AJ21),4)</f>
        <v/>
      </c>
      <c r="BD20" s="114" t="inlineStr">
        <is>
          <t>Foice</t>
        </is>
      </c>
      <c r="BE20" s="114" t="inlineStr">
        <is>
          <t>Ceifa</t>
        </is>
      </c>
      <c r="BF20" s="140" t="n">
        <v>2</v>
      </c>
      <c r="BG20" s="114" t="inlineStr">
        <is>
          <t>d10</t>
        </is>
      </c>
      <c r="BH20" s="114" t="inlineStr">
        <is>
          <t>Emaranha · Talha</t>
        </is>
      </c>
      <c r="BI20" s="140" t="n">
        <v>3</v>
      </c>
      <c r="BJ20" s="140" t="n">
        <v>2</v>
      </c>
      <c r="BM20" s="140">
        <f>'FICHA PESSOAL'!$V$55</f>
        <v/>
      </c>
      <c r="BN20" s="140">
        <f>ADDRESS(ROW('FICHA PESSOAL'!V55),COLUMN('FICHA PESSOAL'!V55),4)</f>
        <v/>
      </c>
      <c r="CY20" s="114" t="inlineStr">
        <is>
          <t>dado da secundária</t>
        </is>
      </c>
      <c r="CZ20" s="140">
        <f>IF(DADOS!$CZ$17=1,IFERROR(VLOOKUP('FICHA PESSOAL'!$S$41,'FICHA PESSOAL'!$D$69:$AH$76,18,FALSE)&amp;"",""),"")</f>
        <v/>
      </c>
      <c r="DO20" s="114" t="inlineStr">
        <is>
          <t>em uso</t>
        </is>
      </c>
      <c r="DP20" s="140">
        <f>ADDRESS(ROW('FICHA PESSOAL'!D38),COLUMN('FICHA PESSOAL'!D38),4)&amp;":"&amp;ADDRESS(ROW('FICHA PESSOAL'!AT44),COLUMN('FICHA PESSOAL'!AT44),4)</f>
        <v/>
      </c>
    </row>
    <row r="21" ht="17.25" customHeight="1">
      <c r="A21" s="38" t="n"/>
      <c r="B21" s="114" t="inlineStr">
        <is>
          <t>Percepção</t>
        </is>
      </c>
      <c r="C21" s="38" t="n"/>
      <c r="D21" s="38" t="n"/>
      <c r="E21" s="38" t="n"/>
      <c r="F21" s="114" t="inlineStr">
        <is>
          <t>Inescapável</t>
        </is>
      </c>
      <c r="G21" s="114" t="inlineStr">
        <is>
          <t>Sem Volta</t>
        </is>
      </c>
      <c r="H21" s="38" t="n"/>
      <c r="I21" s="38" t="n"/>
      <c r="J21" s="38" t="n"/>
      <c r="K21" s="38" t="n"/>
      <c r="L21" s="38" t="n"/>
      <c r="M21" s="38" t="n"/>
      <c r="N21" s="38" t="n"/>
      <c r="O21" s="38" t="n"/>
      <c r="P21" s="38" t="n"/>
      <c r="Q21" s="38" t="n"/>
      <c r="R21" s="38" t="n"/>
      <c r="S21" s="38" t="n"/>
      <c r="T21" s="38" t="n"/>
      <c r="U21" s="38" t="n"/>
      <c r="V21" s="38" t="n"/>
      <c r="W21" s="38" t="n"/>
      <c r="X21" s="38" t="n"/>
      <c r="Y21" s="38" t="n"/>
      <c r="Z21" s="38" t="n"/>
      <c r="AA21" s="38" t="n"/>
      <c r="AB21" s="114" t="inlineStr">
        <is>
          <t>Sentir Energia</t>
        </is>
      </c>
      <c r="AC21" s="114" t="inlineStr">
        <is>
          <t>Essência</t>
        </is>
      </c>
      <c r="AD21" s="38" t="n"/>
      <c r="AE21" s="114" t="inlineStr">
        <is>
          <t>Traje 3 + Médio</t>
        </is>
      </c>
      <c r="AF21" s="140" t="n">
        <v>5</v>
      </c>
      <c r="AG21" s="140" t="n">
        <v>3</v>
      </c>
      <c r="AH21" s="140" t="inlineStr">
        <is>
          <t>sim</t>
        </is>
      </c>
      <c r="AI21" s="38" t="n"/>
      <c r="AJ21" s="114" t="inlineStr">
        <is>
          <t>Corpo nas perícias</t>
        </is>
      </c>
      <c r="AK21" s="140">
        <f>MAX(0,DADOS!$AK$13-DADOS!$AK$19)</f>
        <v/>
      </c>
      <c r="AL21" s="38" t="n"/>
      <c r="AM21" s="38" t="n"/>
      <c r="AN21" s="38" t="n"/>
      <c r="AO21" s="38" t="n"/>
      <c r="AP21" s="38" t="n"/>
      <c r="AQ21" s="140" t="n">
        <v>18</v>
      </c>
      <c r="AR21" s="140" t="n">
        <v>11700</v>
      </c>
      <c r="AS21" s="38" t="n"/>
      <c r="AT21" s="38" t="n"/>
      <c r="AU21" s="38" t="n"/>
      <c r="AV21" s="38" t="n"/>
      <c r="AW21" s="38" t="n"/>
      <c r="AX21" s="38" t="n"/>
      <c r="AY21" s="38" t="n"/>
      <c r="AZ21" s="38" t="n"/>
      <c r="BA21" s="114" t="inlineStr">
        <is>
          <t>vida</t>
        </is>
      </c>
      <c r="BB21" s="114">
        <f>ADDRESS(ROW(FICHA!D26),COLUMN(FICHA!D26),4)</f>
        <v/>
      </c>
      <c r="BD21" s="114" t="inlineStr">
        <is>
          <t>Hankyū</t>
        </is>
      </c>
      <c r="BE21" s="114" t="inlineStr">
        <is>
          <t>Yumi</t>
        </is>
      </c>
      <c r="BF21" s="140" t="n">
        <v>2</v>
      </c>
      <c r="BG21" s="114" t="inlineStr">
        <is>
          <t>1d8</t>
        </is>
      </c>
      <c r="BH21" s="114" t="inlineStr">
        <is>
          <t>Longo Alcance · Oculta</t>
        </is>
      </c>
      <c r="BI21" s="114" t="inlineStr">
        <is>
          <t>—</t>
        </is>
      </c>
      <c r="BJ21" s="140" t="n">
        <v>2</v>
      </c>
      <c r="BK21" s="114" t="inlineStr">
        <is>
          <t>24 m, longa 96 m</t>
        </is>
      </c>
      <c r="BM21" s="140">
        <f>'FICHA PESSOAL'!$AM$60</f>
        <v/>
      </c>
      <c r="BN21" s="140">
        <f>ADDRESS(ROW('FICHA PESSOAL'!AM60),COLUMN('FICHA PESSOAL'!AM60),4)</f>
        <v/>
      </c>
      <c r="CY21" s="114" t="inlineStr">
        <is>
          <t>propriedades da secundária</t>
        </is>
      </c>
      <c r="CZ21" s="140">
        <f>IF(DADOS!$CZ$17=1,IFERROR(VLOOKUP('FICHA PESSOAL'!$S$41,'FICHA PESSOAL'!$D$69:$AH$76,20,FALSE)&amp;"",""),"")</f>
        <v/>
      </c>
      <c r="DO21" s="114" t="inlineStr">
        <is>
          <t>fileira</t>
        </is>
      </c>
      <c r="DP21" s="140">
        <f>ADDRESS(ROW('FICHA PESSOAL'!D62),COLUMN('FICHA PESSOAL'!D62),4)&amp;":"&amp;ADDRESS(ROW('FICHA PESSOAL'!AT64),COLUMN('FICHA PESSOAL'!AT64),4)</f>
        <v/>
      </c>
    </row>
    <row r="22" ht="17.25" customHeight="1">
      <c r="A22" s="38" t="n"/>
      <c r="B22" s="114" t="inlineStr">
        <is>
          <t>Persuasão</t>
        </is>
      </c>
      <c r="C22" s="38" t="n"/>
      <c r="D22" s="38" t="n"/>
      <c r="E22" s="38" t="n"/>
      <c r="F22" s="114" t="inlineStr">
        <is>
          <t>Fura</t>
        </is>
      </c>
      <c r="G22" s="114" t="inlineStr">
        <is>
          <t>Restrição Própria</t>
        </is>
      </c>
      <c r="H22" s="38" t="n"/>
      <c r="I22" s="38" t="n"/>
      <c r="J22" s="38" t="n"/>
      <c r="K22" s="38" t="n"/>
      <c r="L22" s="38" t="n"/>
      <c r="M22" s="38" t="n"/>
      <c r="N22" s="38" t="n"/>
      <c r="O22" s="38" t="n"/>
      <c r="P22" s="38" t="n"/>
      <c r="Q22" s="38" t="n"/>
      <c r="R22" s="38" t="n"/>
      <c r="S22" s="38" t="n"/>
      <c r="T22" s="38" t="n"/>
      <c r="U22" s="38" t="n"/>
      <c r="V22" s="38" t="n"/>
      <c r="W22" s="38" t="n"/>
      <c r="X22" s="38" t="n"/>
      <c r="Y22" s="38" t="n"/>
      <c r="Z22" s="38" t="n"/>
      <c r="AA22" s="38" t="n"/>
      <c r="AB22" s="114" t="inlineStr">
        <is>
          <t>Percepção</t>
        </is>
      </c>
      <c r="AC22" s="114" t="inlineStr">
        <is>
          <t>Essência</t>
        </is>
      </c>
      <c r="AD22" s="38" t="n"/>
      <c r="AE22" s="114" t="inlineStr">
        <is>
          <t>Traje 3 + Torre</t>
        </is>
      </c>
      <c r="AF22" s="140" t="n">
        <v>6</v>
      </c>
      <c r="AG22" s="140" t="n">
        <v>1</v>
      </c>
      <c r="AH22" s="140" t="inlineStr">
        <is>
          <t>sim</t>
        </is>
      </c>
      <c r="AI22" s="38" t="n"/>
      <c r="AJ22" s="114" t="inlineStr">
        <is>
          <t>Corpo nos ofícios</t>
        </is>
      </c>
      <c r="AK22" s="140">
        <f>MAX(0,DADOS!$AK$14-DADOS!$AK$20)</f>
        <v/>
      </c>
      <c r="AL22" s="38" t="n"/>
      <c r="AM22" s="38" t="n"/>
      <c r="AN22" s="38" t="n"/>
      <c r="AO22" s="38" t="n"/>
      <c r="AP22" s="38" t="n"/>
      <c r="AQ22" s="140" t="n">
        <v>19</v>
      </c>
      <c r="AR22" s="140" t="n">
        <v>13000</v>
      </c>
      <c r="AS22" s="38" t="n"/>
      <c r="AT22" s="38" t="n"/>
      <c r="AU22" s="38" t="n"/>
      <c r="AV22" s="38" t="n"/>
      <c r="AW22" s="38" t="n"/>
      <c r="AX22" s="38" t="n"/>
      <c r="AY22" s="38" t="n"/>
      <c r="AZ22" s="38" t="n"/>
      <c r="BA22" s="114" t="inlineStr">
        <is>
          <t>vida_max</t>
        </is>
      </c>
      <c r="BB22" s="114">
        <f>ADDRESS(ROW(FICHA!J26),COLUMN(FICHA!J26),4)</f>
        <v/>
      </c>
      <c r="BD22" s="114" t="inlineStr">
        <is>
          <t>Kama</t>
        </is>
      </c>
      <c r="BE22" s="114" t="inlineStr">
        <is>
          <t>Ceifa</t>
        </is>
      </c>
      <c r="BF22" s="140" t="n">
        <v>1</v>
      </c>
      <c r="BG22" s="114" t="inlineStr">
        <is>
          <t>d6</t>
        </is>
      </c>
      <c r="BH22" s="114" t="inlineStr">
        <is>
          <t>Par · Rompe</t>
        </is>
      </c>
      <c r="BI22" s="114" t="inlineStr">
        <is>
          <t>—</t>
        </is>
      </c>
      <c r="BJ22" s="140" t="n">
        <v>1</v>
      </c>
      <c r="BM22" s="140">
        <f>'FICHA PESSOAL'!$V$56</f>
        <v/>
      </c>
      <c r="BN22" s="140">
        <f>ADDRESS(ROW('FICHA PESSOAL'!V56),COLUMN('FICHA PESSOAL'!V56),4)</f>
        <v/>
      </c>
      <c r="CY22" s="114" t="inlineStr">
        <is>
          <t>força da secundária</t>
        </is>
      </c>
      <c r="CZ22" s="140">
        <f>IF(DADOS!$CZ$17=1,IFERROR(VALUE(VLOOKUP('FICHA PESSOAL'!$S$41,'FICHA PESSOAL'!$D$69:$AH$76,28,FALSE)&amp;""),0),0)</f>
        <v/>
      </c>
      <c r="DO22" s="114" t="inlineStr">
        <is>
          <t>cor da barra cheia</t>
        </is>
      </c>
      <c r="DP22" s="140">
        <f>ADDRESS(ROW(DADOS!CZ48),COLUMN(DADOS!CZ48),4)</f>
        <v/>
      </c>
    </row>
    <row r="23" ht="17.25" customHeight="1">
      <c r="A23" s="38" t="n"/>
      <c r="B23" s="114" t="inlineStr">
        <is>
          <t>Enganação</t>
        </is>
      </c>
      <c r="C23" s="38" t="n"/>
      <c r="D23" s="38" t="n"/>
      <c r="E23" s="38" t="n"/>
      <c r="F23" s="114" t="inlineStr">
        <is>
          <t>Corrói</t>
        </is>
      </c>
      <c r="G23" s="38" t="n"/>
      <c r="H23" s="38" t="n"/>
      <c r="I23" s="38" t="n"/>
      <c r="J23" s="38" t="n"/>
      <c r="K23" s="38" t="n"/>
      <c r="L23" s="38" t="n"/>
      <c r="M23" s="38" t="n"/>
      <c r="N23" s="38" t="n"/>
      <c r="O23" s="38" t="n"/>
      <c r="P23" s="38" t="n"/>
      <c r="Q23" s="38" t="n"/>
      <c r="R23" s="38" t="n"/>
      <c r="S23" s="38" t="n"/>
      <c r="T23" s="38" t="n"/>
      <c r="U23" s="38" t="n"/>
      <c r="V23" s="38" t="n"/>
      <c r="W23" s="38" t="n"/>
      <c r="X23" s="38" t="n"/>
      <c r="Y23" s="38" t="n"/>
      <c r="Z23" s="38" t="n"/>
      <c r="AA23" s="38" t="n"/>
      <c r="AB23" s="114" t="inlineStr">
        <is>
          <t>Persuasão</t>
        </is>
      </c>
      <c r="AC23" s="114" t="inlineStr">
        <is>
          <t>Essência</t>
        </is>
      </c>
      <c r="AD23" s="38" t="n"/>
      <c r="AE23" s="114" t="inlineStr">
        <is>
          <t>Revestimento 1 + Broquel</t>
        </is>
      </c>
      <c r="AF23" s="140" t="n">
        <v>5</v>
      </c>
      <c r="AG23" s="140" t="n">
        <v>0</v>
      </c>
      <c r="AH23" s="140" t="inlineStr">
        <is>
          <t>sim</t>
        </is>
      </c>
      <c r="AI23" s="38" t="n"/>
      <c r="AJ23" s="114" t="inlineStr">
        <is>
          <t>Corpo por escolher</t>
        </is>
      </c>
      <c r="AK23" s="140">
        <f>DADOS!$AK$16-DADOS!$AK$21-DADOS!$AK$22</f>
        <v/>
      </c>
      <c r="AL23" s="38" t="n"/>
      <c r="AM23" s="38" t="n"/>
      <c r="AN23" s="38" t="n"/>
      <c r="AO23" s="38" t="n"/>
      <c r="AP23" s="38" t="n"/>
      <c r="AQ23" s="140" t="n">
        <v>20</v>
      </c>
      <c r="AR23" s="140" t="n">
        <v>14300</v>
      </c>
      <c r="AS23" s="38" t="n"/>
      <c r="AT23" s="38" t="n"/>
      <c r="AU23" s="38" t="n"/>
      <c r="AV23" s="38" t="n"/>
      <c r="AW23" s="38" t="n"/>
      <c r="AX23" s="38" t="n"/>
      <c r="AY23" s="38" t="n"/>
      <c r="AZ23" s="38" t="n"/>
      <c r="BA23" s="114" t="inlineStr">
        <is>
          <t>vida_temp</t>
        </is>
      </c>
      <c r="BB23" s="114">
        <f>ADDRESS(ROW(FICHA!AF26),COLUMN(FICHA!AF26),4)</f>
        <v/>
      </c>
      <c r="BD23" s="114" t="inlineStr">
        <is>
          <t>Kanabō</t>
        </is>
      </c>
      <c r="BE23" s="114" t="inlineStr">
        <is>
          <t>Massa</t>
        </is>
      </c>
      <c r="BF23" s="140" t="n">
        <v>2</v>
      </c>
      <c r="BG23" s="114" t="inlineStr">
        <is>
          <t>d12</t>
        </is>
      </c>
      <c r="BH23" s="114" t="inlineStr">
        <is>
          <t>Talha</t>
        </is>
      </c>
      <c r="BI23" s="140" t="n">
        <v>3</v>
      </c>
      <c r="BJ23" s="140" t="n">
        <v>2</v>
      </c>
      <c r="BM23" s="140">
        <f>'FICHA PESSOAL'!$AM$49</f>
        <v/>
      </c>
      <c r="BN23" s="140">
        <f>ADDRESS(ROW('FICHA PESSOAL'!AM49),COLUMN('FICHA PESSOAL'!AM49),4)</f>
        <v/>
      </c>
      <c r="CY23" s="114" t="inlineStr">
        <is>
          <t>alcance da secundária</t>
        </is>
      </c>
      <c r="CZ23" s="140">
        <f>IF(DADOS!$CZ$17=1,IFERROR(VLOOKUP('FICHA PESSOAL'!$S$41,DADOS!$BD$5:$BN$59,8,FALSE)&amp;"",""),"")</f>
        <v/>
      </c>
    </row>
    <row r="24" ht="17.25" customHeight="1">
      <c r="A24" s="38" t="n"/>
      <c r="B24" s="114" t="inlineStr">
        <is>
          <t>Intimidação</t>
        </is>
      </c>
      <c r="C24" s="38" t="n"/>
      <c r="D24" s="38" t="n"/>
      <c r="E24" s="38" t="n"/>
      <c r="F24" s="114" t="inlineStr">
        <is>
          <t>Sem Cobertura</t>
        </is>
      </c>
      <c r="G24" s="38" t="n"/>
      <c r="H24" s="38" t="n"/>
      <c r="I24" s="38" t="n"/>
      <c r="J24" s="38" t="n"/>
      <c r="K24" s="38" t="n"/>
      <c r="L24" s="38" t="n"/>
      <c r="M24" s="38" t="n"/>
      <c r="N24" s="38" t="n"/>
      <c r="O24" s="38" t="n"/>
      <c r="P24" s="38" t="n"/>
      <c r="Q24" s="38" t="n"/>
      <c r="R24" s="38" t="n"/>
      <c r="S24" s="38" t="n"/>
      <c r="T24" s="38" t="n"/>
      <c r="U24" s="38" t="n"/>
      <c r="V24" s="38" t="n"/>
      <c r="W24" s="38" t="n"/>
      <c r="X24" s="38" t="n"/>
      <c r="Y24" s="38" t="n"/>
      <c r="Z24" s="38" t="n"/>
      <c r="AA24" s="38" t="n"/>
      <c r="AB24" s="114" t="inlineStr">
        <is>
          <t>Enganação</t>
        </is>
      </c>
      <c r="AC24" s="114" t="inlineStr">
        <is>
          <t>Essência</t>
        </is>
      </c>
      <c r="AD24" s="38" t="n"/>
      <c r="AE24" s="114" t="inlineStr">
        <is>
          <t>Revestimento 1 + Médio</t>
        </is>
      </c>
      <c r="AF24" s="140" t="n">
        <v>6</v>
      </c>
      <c r="AG24" s="140" t="n">
        <v>0</v>
      </c>
      <c r="AH24" s="140" t="inlineStr">
        <is>
          <t>sim</t>
        </is>
      </c>
      <c r="AI24" s="38" t="n"/>
      <c r="AJ24" s="114" t="inlineStr">
        <is>
          <t>treinos a mais</t>
        </is>
      </c>
      <c r="AK24" s="140">
        <f>MAX(0,-DADOS!$AK$23)</f>
        <v/>
      </c>
      <c r="AL24" s="38" t="n"/>
      <c r="AM24" s="38" t="n"/>
      <c r="AN24" s="38" t="n"/>
      <c r="AO24" s="38" t="n"/>
      <c r="AP24" s="38" t="n"/>
      <c r="AQ24" s="140" t="n">
        <v>21</v>
      </c>
      <c r="AR24" s="140" t="n">
        <v>15800</v>
      </c>
      <c r="AS24" s="38" t="n"/>
      <c r="AT24" s="38" t="n"/>
      <c r="AU24" s="38" t="n"/>
      <c r="AV24" s="38" t="n"/>
      <c r="AW24" s="38" t="n"/>
      <c r="AX24" s="38" t="n"/>
      <c r="AY24" s="38" t="n"/>
      <c r="AZ24" s="38" t="n"/>
      <c r="BA24" s="114" t="inlineStr">
        <is>
          <t>vida_delta</t>
        </is>
      </c>
      <c r="BB24" s="114">
        <f>ADDRESS(ROW(FICHA!AM26),COLUMN(FICHA!AM26),4)</f>
        <v/>
      </c>
      <c r="BD24" s="114" t="inlineStr">
        <is>
          <t>Katana</t>
        </is>
      </c>
      <c r="BE24" s="114" t="inlineStr">
        <is>
          <t>Lâmina Longa</t>
        </is>
      </c>
      <c r="BF24" s="140" t="n">
        <v>1</v>
      </c>
      <c r="BG24" s="114" t="inlineStr">
        <is>
          <t>d8</t>
        </is>
      </c>
      <c r="BH24" s="114" t="inlineStr">
        <is>
          <t>Versátil · Fineza</t>
        </is>
      </c>
      <c r="BI24" s="114" t="inlineStr">
        <is>
          <t>—</t>
        </is>
      </c>
      <c r="BJ24" s="140" t="n">
        <v>1</v>
      </c>
      <c r="BM24" s="140">
        <f>'FICHA PESSOAL'!$D$51</f>
        <v/>
      </c>
      <c r="BN24" s="140">
        <f>ADDRESS(ROW('FICHA PESSOAL'!D51),COLUMN('FICHA PESSOAL'!D51),4)</f>
        <v/>
      </c>
      <c r="CY24" s="114" t="inlineStr">
        <is>
          <t>recarga da secundária</t>
        </is>
      </c>
      <c r="CZ24" s="140">
        <f>IF(DADOS!$CZ$17=1,IFERROR(VLOOKUP('FICHA PESSOAL'!$S$41,DADOS!$BD$5:$BN$59,9,FALSE)&amp;"",""),"")</f>
        <v/>
      </c>
    </row>
    <row r="25" ht="17.25" customHeight="1">
      <c r="A25" s="38" t="n"/>
      <c r="B25" s="114" t="inlineStr">
        <is>
          <t>Atuação</t>
        </is>
      </c>
      <c r="C25" s="38" t="n"/>
      <c r="D25" s="38" t="n"/>
      <c r="E25" s="38" t="n"/>
      <c r="F25" s="114" t="inlineStr">
        <is>
          <t>De Novo</t>
        </is>
      </c>
      <c r="G25" s="38" t="n"/>
      <c r="H25" s="38" t="n"/>
      <c r="I25" s="38" t="n"/>
      <c r="J25" s="38" t="n"/>
      <c r="K25" s="38" t="n"/>
      <c r="L25" s="38" t="n"/>
      <c r="M25" s="38" t="n"/>
      <c r="N25" s="38" t="n"/>
      <c r="O25" s="38" t="n"/>
      <c r="P25" s="38" t="n"/>
      <c r="Q25" s="38" t="n"/>
      <c r="R25" s="38" t="n"/>
      <c r="S25" s="38" t="n"/>
      <c r="T25" s="38" t="n"/>
      <c r="U25" s="38" t="n"/>
      <c r="V25" s="38" t="n"/>
      <c r="W25" s="38" t="n"/>
      <c r="X25" s="38" t="n"/>
      <c r="Y25" s="38" t="n"/>
      <c r="Z25" s="38" t="n"/>
      <c r="AA25" s="38" t="n"/>
      <c r="AB25" s="114" t="inlineStr">
        <is>
          <t>Intimidação</t>
        </is>
      </c>
      <c r="AC25" s="114" t="inlineStr">
        <is>
          <t>Essência</t>
        </is>
      </c>
      <c r="AD25" s="38" t="n"/>
      <c r="AE25" s="114" t="inlineStr">
        <is>
          <t>Revestimento 1 + Torre</t>
        </is>
      </c>
      <c r="AF25" s="140" t="n">
        <v>7</v>
      </c>
      <c r="AG25" s="140" t="n">
        <v>0</v>
      </c>
      <c r="AH25" s="140" t="inlineStr">
        <is>
          <t>sim</t>
        </is>
      </c>
      <c r="AI25" s="38" t="n"/>
      <c r="AJ25" s="114" t="inlineStr">
        <is>
          <t>perícias que faltam</t>
        </is>
      </c>
      <c r="AK25" s="140">
        <f>MAX(0,DADOS!$AK$19-DADOS!$AK$13)</f>
        <v/>
      </c>
      <c r="AL25" s="38" t="n"/>
      <c r="AM25" s="38" t="n"/>
      <c r="AN25" s="38" t="n"/>
      <c r="AO25" s="38" t="n"/>
      <c r="AP25" s="38" t="n"/>
      <c r="AQ25" s="140" t="n">
        <v>22</v>
      </c>
      <c r="AR25" s="140" t="n">
        <v>17300</v>
      </c>
      <c r="AS25" s="38" t="n"/>
      <c r="AT25" s="38" t="n"/>
      <c r="AU25" s="38" t="n"/>
      <c r="AV25" s="38" t="n"/>
      <c r="AW25" s="38" t="n"/>
      <c r="AX25" s="38" t="n"/>
      <c r="AY25" s="38" t="n"/>
      <c r="AZ25" s="38" t="n"/>
      <c r="BA25" s="114" t="inlineStr">
        <is>
          <t>energia</t>
        </is>
      </c>
      <c r="BB25" s="114">
        <f>ADDRESS(ROW(FICHA!D30),COLUMN(FICHA!D30),4)</f>
        <v/>
      </c>
      <c r="BD25" s="114" t="inlineStr">
        <is>
          <t>Kunai</t>
        </is>
      </c>
      <c r="BE25" s="114" t="inlineStr">
        <is>
          <t>Arremesso</t>
        </is>
      </c>
      <c r="BF25" s="140" t="n">
        <v>1</v>
      </c>
      <c r="BG25" s="114" t="inlineStr">
        <is>
          <t>d6</t>
        </is>
      </c>
      <c r="BH25" s="114" t="inlineStr">
        <is>
          <t>Longo Alcance · Oculta</t>
        </is>
      </c>
      <c r="BI25" s="114" t="inlineStr">
        <is>
          <t>—</t>
        </is>
      </c>
      <c r="BJ25" s="140" t="n">
        <v>0.1</v>
      </c>
      <c r="BK25" s="114" t="inlineStr">
        <is>
          <t>6 m, longa 18 m</t>
        </is>
      </c>
      <c r="BM25" s="140">
        <f>'FICHA PESSOAL'!$M$58</f>
        <v/>
      </c>
      <c r="BN25" s="140">
        <f>ADDRESS(ROW('FICHA PESSOAL'!M58),COLUMN('FICHA PESSOAL'!M58),4)</f>
        <v/>
      </c>
      <c r="CY25" s="114" t="inlineStr">
        <is>
          <t>guardados para a principal</t>
        </is>
      </c>
      <c r="CZ25" s="140">
        <f>SUMPRODUCT(--('FICHA PESSOAL'!$D$69:$D$76&lt;&gt;""),--('FICHA PESSOAL'!$M$69:$M$76&lt;&gt;"Escudo"))</f>
        <v/>
      </c>
    </row>
    <row r="26" ht="17.25" customHeight="1">
      <c r="A26" s="38" t="n"/>
      <c r="B26" s="114" t="inlineStr">
        <is>
          <t>Provocar</t>
        </is>
      </c>
      <c r="C26" s="38" t="n"/>
      <c r="D26" s="38" t="n"/>
      <c r="E26" s="38" t="n"/>
      <c r="F26" s="114" t="inlineStr">
        <is>
          <t>Toca a Alma</t>
        </is>
      </c>
      <c r="G26" s="38" t="n"/>
      <c r="H26" s="38" t="n"/>
      <c r="I26" s="38" t="n"/>
      <c r="J26" s="38" t="n"/>
      <c r="K26" s="38" t="n"/>
      <c r="L26" s="38" t="n"/>
      <c r="M26" s="38" t="n"/>
      <c r="N26" s="38" t="n"/>
      <c r="O26" s="38" t="n"/>
      <c r="P26" s="38" t="n"/>
      <c r="Q26" s="38" t="n"/>
      <c r="R26" s="38" t="n"/>
      <c r="S26" s="38" t="n"/>
      <c r="T26" s="38" t="n"/>
      <c r="U26" s="38" t="n"/>
      <c r="V26" s="38" t="n"/>
      <c r="W26" s="38" t="n"/>
      <c r="X26" s="38" t="n"/>
      <c r="Y26" s="38" t="n"/>
      <c r="Z26" s="38" t="n"/>
      <c r="AA26" s="38" t="n"/>
      <c r="AB26" s="114" t="inlineStr">
        <is>
          <t>Atuação</t>
        </is>
      </c>
      <c r="AC26" s="114" t="inlineStr">
        <is>
          <t>Essência</t>
        </is>
      </c>
      <c r="AD26" s="38" t="n"/>
      <c r="AE26" s="114" t="inlineStr">
        <is>
          <t>Revestimento 2 + Broquel</t>
        </is>
      </c>
      <c r="AF26" s="140" t="n">
        <v>6</v>
      </c>
      <c r="AG26" s="140" t="n">
        <v>0</v>
      </c>
      <c r="AH26" s="140" t="inlineStr">
        <is>
          <t>sim</t>
        </is>
      </c>
      <c r="AI26" s="38" t="n"/>
      <c r="AJ26" s="114" t="inlineStr">
        <is>
          <t>ofícios que faltam</t>
        </is>
      </c>
      <c r="AK26" s="140">
        <f>MAX(0,DADOS!$AK$20-DADOS!$AK$14)</f>
        <v/>
      </c>
      <c r="AL26" s="38" t="n"/>
      <c r="AM26" s="38" t="n"/>
      <c r="AN26" s="38" t="n"/>
      <c r="AO26" s="38" t="n"/>
      <c r="AP26" s="38" t="n"/>
      <c r="AQ26" s="140" t="n">
        <v>23</v>
      </c>
      <c r="AR26" s="140" t="n">
        <v>18800</v>
      </c>
      <c r="AS26" s="38" t="n"/>
      <c r="AT26" s="38" t="n"/>
      <c r="AU26" s="38" t="n"/>
      <c r="AV26" s="38" t="n"/>
      <c r="AW26" s="38" t="n"/>
      <c r="AX26" s="38" t="n"/>
      <c r="AY26" s="38" t="n"/>
      <c r="AZ26" s="38" t="n"/>
      <c r="BA26" s="114" t="inlineStr">
        <is>
          <t>energia_max</t>
        </is>
      </c>
      <c r="BB26" s="114">
        <f>ADDRESS(ROW(FICHA!J30),COLUMN(FICHA!J30),4)</f>
        <v/>
      </c>
      <c r="BD26" s="114" t="inlineStr">
        <is>
          <t>Kusarigama</t>
        </is>
      </c>
      <c r="BE26" s="114" t="inlineStr">
        <is>
          <t>Ceifa</t>
        </is>
      </c>
      <c r="BF26" s="140" t="n">
        <v>2</v>
      </c>
      <c r="BG26" s="114" t="inlineStr">
        <is>
          <t>d8</t>
        </is>
      </c>
      <c r="BH26" s="114" t="inlineStr">
        <is>
          <t>Alcance · Emaranha · Longo Alcance</t>
        </is>
      </c>
      <c r="BI26" s="114" t="inlineStr">
        <is>
          <t>—</t>
        </is>
      </c>
      <c r="BJ26" s="140" t="n">
        <v>2</v>
      </c>
      <c r="BK26" s="114" t="inlineStr">
        <is>
          <t>6 m, longa 18 m</t>
        </is>
      </c>
      <c r="BM26" s="140">
        <f>'FICHA PESSOAL'!$V$57</f>
        <v/>
      </c>
      <c r="BN26" s="140">
        <f>ADDRESS(ROW('FICHA PESSOAL'!V57),COLUMN('FICHA PESSOAL'!V57),4)</f>
        <v/>
      </c>
      <c r="CY26" s="114" t="inlineStr">
        <is>
          <t>guardados para a secundária</t>
        </is>
      </c>
      <c r="CZ26" s="140">
        <f>SUMPRODUCT(--('FICHA PESSOAL'!$D$69:$D$76&lt;&gt;""),--((('FICHA PESSOAL'!$M$69:$M$76="Escudo")+('FICHA PESSOAL'!$S$69:$S$76=1))&gt;0))</f>
        <v/>
      </c>
    </row>
    <row r="27" ht="17.25" customHeight="1">
      <c r="A27" s="38" t="n"/>
      <c r="B27" s="38" t="n"/>
      <c r="C27" s="38" t="n"/>
      <c r="D27" s="38" t="n"/>
      <c r="E27" s="38" t="n"/>
      <c r="F27" s="114" t="inlineStr">
        <is>
          <t>Terreno</t>
        </is>
      </c>
      <c r="G27" s="38" t="n"/>
      <c r="H27" s="38" t="n"/>
      <c r="I27" s="38" t="n"/>
      <c r="J27" s="38" t="n"/>
      <c r="K27" s="38" t="n"/>
      <c r="L27" s="38" t="n"/>
      <c r="M27" s="38" t="n"/>
      <c r="N27" s="38" t="n"/>
      <c r="O27" s="38" t="n"/>
      <c r="P27" s="38" t="n"/>
      <c r="Q27" s="38" t="n"/>
      <c r="R27" s="38" t="n"/>
      <c r="S27" s="38" t="n"/>
      <c r="T27" s="38" t="n"/>
      <c r="U27" s="38" t="n"/>
      <c r="V27" s="38" t="n"/>
      <c r="W27" s="38" t="n"/>
      <c r="X27" s="38" t="n"/>
      <c r="Y27" s="38" t="n"/>
      <c r="Z27" s="38" t="n"/>
      <c r="AA27" s="38" t="n"/>
      <c r="AB27" s="114" t="inlineStr">
        <is>
          <t>Provocar</t>
        </is>
      </c>
      <c r="AC27" s="114" t="inlineStr">
        <is>
          <t>Essência</t>
        </is>
      </c>
      <c r="AD27" s="38" t="n"/>
      <c r="AE27" s="114" t="inlineStr">
        <is>
          <t>Revestimento 2 + Médio</t>
        </is>
      </c>
      <c r="AF27" s="140" t="n">
        <v>7</v>
      </c>
      <c r="AG27" s="140" t="n">
        <v>0</v>
      </c>
      <c r="AH27" s="140" t="inlineStr">
        <is>
          <t>sim</t>
        </is>
      </c>
      <c r="AI27" s="38" t="n"/>
      <c r="AJ27" s="114" t="inlineStr">
        <is>
          <t>perícias que faltam sem ofício</t>
        </is>
      </c>
      <c r="AK27" s="140">
        <f>MAX(0,10-DADOS!$AK$13)</f>
        <v/>
      </c>
      <c r="AL27" s="38" t="n"/>
      <c r="AM27" s="38" t="n"/>
      <c r="AN27" s="38" t="n"/>
      <c r="AO27" s="38" t="n"/>
      <c r="AP27" s="38" t="n"/>
      <c r="AQ27" s="140" t="n">
        <v>24</v>
      </c>
      <c r="AR27" s="140" t="n">
        <v>20500</v>
      </c>
      <c r="AS27" s="38" t="n"/>
      <c r="AT27" s="38" t="n"/>
      <c r="AU27" s="38" t="n"/>
      <c r="AV27" s="38" t="n"/>
      <c r="AW27" s="38" t="n"/>
      <c r="AX27" s="38" t="n"/>
      <c r="AY27" s="38" t="n"/>
      <c r="AZ27" s="38" t="n"/>
      <c r="BA27" s="114" t="inlineStr">
        <is>
          <t>energia_temp</t>
        </is>
      </c>
      <c r="BB27" s="114">
        <f>ADDRESS(ROW(FICHA!AF30),COLUMN(FICHA!AF30),4)</f>
        <v/>
      </c>
      <c r="BD27" s="114" t="inlineStr">
        <is>
          <t>Lança</t>
        </is>
      </c>
      <c r="BE27" s="114" t="inlineStr">
        <is>
          <t>Armas Longas</t>
        </is>
      </c>
      <c r="BF27" s="140" t="n">
        <v>1</v>
      </c>
      <c r="BG27" s="114" t="inlineStr">
        <is>
          <t>d6</t>
        </is>
      </c>
      <c r="BH27" s="114" t="inlineStr">
        <is>
          <t>Alcance · Longo Alcance</t>
        </is>
      </c>
      <c r="BI27" s="114" t="inlineStr">
        <is>
          <t>—</t>
        </is>
      </c>
      <c r="BJ27" s="140" t="n">
        <v>1</v>
      </c>
      <c r="BK27" s="114" t="inlineStr">
        <is>
          <t>6 m, longa 18 m</t>
        </is>
      </c>
      <c r="BM27" s="140">
        <f>'FICHA PESSOAL'!$AM$55</f>
        <v/>
      </c>
      <c r="BN27" s="140">
        <f>ADDRESS(ROW('FICHA PESSOAL'!AM55),COLUMN('FICHA PESSOAL'!AM55),4)</f>
        <v/>
      </c>
      <c r="CY27" s="114" t="inlineStr">
        <is>
          <t>uniforme vale</t>
        </is>
      </c>
      <c r="CZ27" s="140">
        <f>IF(ISNUMBER(MATCH('FICHA PESSOAL'!$AH$41,DADOS!$BX$5:$BX$10,0)),1,0)</f>
        <v/>
      </c>
    </row>
    <row r="28" ht="17.25" customHeight="1">
      <c r="A28" s="38" t="n"/>
      <c r="B28" s="38" t="n"/>
      <c r="C28" s="38" t="n"/>
      <c r="D28" s="38" t="n"/>
      <c r="E28" s="38" t="n"/>
      <c r="F28" s="114" t="inlineStr">
        <is>
          <t>Anteparo</t>
        </is>
      </c>
      <c r="G28" s="38" t="n"/>
      <c r="H28" s="38" t="n"/>
      <c r="I28" s="38" t="n"/>
      <c r="J28" s="38" t="n"/>
      <c r="K28" s="38" t="n"/>
      <c r="L28" s="38" t="n"/>
      <c r="M28" s="38" t="n"/>
      <c r="N28" s="38" t="n"/>
      <c r="O28" s="38" t="n"/>
      <c r="P28" s="38" t="n"/>
      <c r="Q28" s="38" t="n"/>
      <c r="R28" s="38" t="n"/>
      <c r="S28" s="38" t="n"/>
      <c r="T28" s="38" t="n"/>
      <c r="U28" s="38" t="n"/>
      <c r="V28" s="38" t="n"/>
      <c r="W28" s="38" t="n"/>
      <c r="X28" s="38" t="n"/>
      <c r="Y28" s="38" t="n"/>
      <c r="Z28" s="38" t="n"/>
      <c r="AA28" s="38" t="n"/>
      <c r="AB28" s="38" t="n"/>
      <c r="AC28" s="38" t="n"/>
      <c r="AD28" s="38" t="n"/>
      <c r="AE28" s="114" t="inlineStr">
        <is>
          <t>Revestimento 2 + Torre</t>
        </is>
      </c>
      <c r="AF28" s="140" t="n">
        <v>8</v>
      </c>
      <c r="AG28" s="140" t="n">
        <v>0</v>
      </c>
      <c r="AH28" s="140" t="inlineStr">
        <is>
          <t>sim</t>
        </is>
      </c>
      <c r="AI28" s="38" t="n"/>
      <c r="AJ28" s="114" t="inlineStr">
        <is>
          <t>Corpo por escolher sem ofício</t>
        </is>
      </c>
      <c r="AK28" s="140">
        <f>DADOS!$AK$16-MAX(0,DADOS!$AK$13-10)-MAX(0,DADOS!$AK$14-0)</f>
        <v/>
      </c>
      <c r="AL28" s="38" t="n"/>
      <c r="AM28" s="38" t="n"/>
      <c r="AN28" s="38" t="n"/>
      <c r="AO28" s="38" t="n"/>
      <c r="AP28" s="38" t="n"/>
      <c r="AQ28" s="140" t="n">
        <v>25</v>
      </c>
      <c r="AR28" s="140" t="n">
        <v>22200</v>
      </c>
      <c r="AS28" s="38" t="n"/>
      <c r="AT28" s="38" t="n"/>
      <c r="AU28" s="38" t="n"/>
      <c r="AV28" s="38" t="n"/>
      <c r="AW28" s="38" t="n"/>
      <c r="AX28" s="38" t="n"/>
      <c r="AY28" s="38" t="n"/>
      <c r="AZ28" s="38" t="n"/>
      <c r="BA28" s="114" t="inlineStr">
        <is>
          <t>energia_delta</t>
        </is>
      </c>
      <c r="BB28" s="114">
        <f>ADDRESS(ROW(FICHA!AM30),COLUMN(FICHA!AM30),4)</f>
        <v/>
      </c>
      <c r="BD28" s="114" t="inlineStr">
        <is>
          <t>Maça</t>
        </is>
      </c>
      <c r="BE28" s="114" t="inlineStr">
        <is>
          <t>Massa</t>
        </is>
      </c>
      <c r="BF28" s="140" t="n">
        <v>1</v>
      </c>
      <c r="BG28" s="114" t="inlineStr">
        <is>
          <t>d8</t>
        </is>
      </c>
      <c r="BH28" s="114" t="inlineStr">
        <is>
          <t>Talha</t>
        </is>
      </c>
      <c r="BI28" s="114" t="inlineStr">
        <is>
          <t>—</t>
        </is>
      </c>
      <c r="BJ28" s="140" t="n">
        <v>1</v>
      </c>
      <c r="BM28" s="140">
        <f>'FICHA PESSOAL'!$AM$50</f>
        <v/>
      </c>
      <c r="BN28" s="140">
        <f>ADDRESS(ROW('FICHA PESSOAL'!AM50),COLUMN('FICHA PESSOAL'!AM50),4)</f>
        <v/>
      </c>
      <c r="CY28" s="114" t="inlineStr">
        <is>
          <t>proteção do uniforme</t>
        </is>
      </c>
      <c r="CZ28" s="140">
        <f>IF(DADOS!$CZ$27=1,VLOOKUP('FICHA PESSOAL'!$AH$41,DADOS!$BX$5:$CD$10,2,FALSE),0)</f>
        <v/>
      </c>
    </row>
    <row r="29" ht="17.25" customHeight="1">
      <c r="A29" s="38" t="n"/>
      <c r="B29" s="38" t="n"/>
      <c r="C29" s="38" t="n"/>
      <c r="D29" s="38" t="n"/>
      <c r="E29" s="38" t="n"/>
      <c r="F29" s="114" t="inlineStr">
        <is>
          <t>Prende</t>
        </is>
      </c>
      <c r="G29" s="38" t="n"/>
      <c r="H29" s="38" t="n"/>
      <c r="I29" s="38" t="n"/>
      <c r="J29" s="38" t="n"/>
      <c r="K29" s="38" t="n"/>
      <c r="L29" s="38" t="n"/>
      <c r="M29" s="38" t="n"/>
      <c r="N29" s="38" t="n"/>
      <c r="O29" s="38" t="n"/>
      <c r="P29" s="38" t="n"/>
      <c r="Q29" s="38" t="n"/>
      <c r="R29" s="38" t="n"/>
      <c r="S29" s="38" t="n"/>
      <c r="T29" s="38" t="n"/>
      <c r="U29" s="38" t="n"/>
      <c r="V29" s="38" t="n"/>
      <c r="W29" s="38" t="n"/>
      <c r="X29" s="38" t="n"/>
      <c r="Y29" s="38" t="n"/>
      <c r="Z29" s="38" t="n"/>
      <c r="AA29" s="38" t="n"/>
      <c r="AB29" s="38" t="n"/>
      <c r="AC29" s="38" t="n"/>
      <c r="AD29" s="38" t="n"/>
      <c r="AE29" s="114" t="inlineStr">
        <is>
          <t>Revestimento 3 + Broquel</t>
        </is>
      </c>
      <c r="AF29" s="140" t="n">
        <v>7</v>
      </c>
      <c r="AG29" s="140" t="n">
        <v>0</v>
      </c>
      <c r="AH29" s="140" t="inlineStr">
        <is>
          <t>sim</t>
        </is>
      </c>
      <c r="AI29" s="38" t="n"/>
      <c r="AJ29" s="114" t="inlineStr">
        <is>
          <t>testes treinados</t>
        </is>
      </c>
      <c r="AK29" s="140">
        <f>COUNTIF(FICHA!$AF$79:$AF$82,TRUE)</f>
        <v/>
      </c>
      <c r="AL29" s="38" t="n"/>
      <c r="AM29" s="38" t="n"/>
      <c r="AN29" s="38" t="n"/>
      <c r="AO29" s="38" t="n"/>
      <c r="AP29" s="38" t="n"/>
      <c r="AQ29" s="140" t="n">
        <v>26</v>
      </c>
      <c r="AR29" s="140" t="n">
        <v>23900</v>
      </c>
      <c r="AS29" s="38" t="n"/>
      <c r="AT29" s="38" t="n"/>
      <c r="AU29" s="38" t="n"/>
      <c r="AV29" s="38" t="n"/>
      <c r="AW29" s="38" t="n"/>
      <c r="AX29" s="38" t="n"/>
      <c r="AY29" s="38" t="n"/>
      <c r="AZ29" s="38" t="n"/>
      <c r="BA29" s="114" t="inlineStr">
        <is>
          <t>integridade</t>
        </is>
      </c>
      <c r="BB29" s="114">
        <f>ADDRESS(ROW(FICHA!D34),COLUMN(FICHA!D34),4)</f>
        <v/>
      </c>
      <c r="BD29" s="114" t="inlineStr">
        <is>
          <t>Machadinha</t>
        </is>
      </c>
      <c r="BE29" s="114" t="inlineStr">
        <is>
          <t>Machado</t>
        </is>
      </c>
      <c r="BF29" s="140" t="n">
        <v>1</v>
      </c>
      <c r="BG29" s="114" t="inlineStr">
        <is>
          <t>d6</t>
        </is>
      </c>
      <c r="BH29" s="114" t="inlineStr">
        <is>
          <t>Longo Alcance · Rompe</t>
        </is>
      </c>
      <c r="BI29" s="114" t="inlineStr">
        <is>
          <t>—</t>
        </is>
      </c>
      <c r="BJ29" s="140" t="n">
        <v>1</v>
      </c>
      <c r="BK29" s="114" t="inlineStr">
        <is>
          <t>6 m, longa 18 m</t>
        </is>
      </c>
      <c r="BM29" s="140">
        <f>'FICHA PESSOAL'!$D$58</f>
        <v/>
      </c>
      <c r="BN29" s="140">
        <f>ADDRESS(ROW('FICHA PESSOAL'!D58),COLUMN('FICHA PESSOAL'!D58),4)</f>
        <v/>
      </c>
      <c r="CY29" s="114" t="inlineStr">
        <is>
          <t>teto do uniforme</t>
        </is>
      </c>
      <c r="CZ29" s="140">
        <f>IF(DADOS!$CZ$27=1,VLOOKUP('FICHA PESSOAL'!$AH$41,DADOS!$BX$5:$CD$10,3,FALSE),"")</f>
        <v/>
      </c>
    </row>
    <row r="30" ht="17.25" customHeight="1">
      <c r="A30" s="38" t="n"/>
      <c r="B30" s="38" t="n"/>
      <c r="C30" s="38" t="n"/>
      <c r="D30" s="38" t="n"/>
      <c r="E30" s="38" t="n"/>
      <c r="F30" s="114" t="inlineStr">
        <is>
          <t>Cerca</t>
        </is>
      </c>
      <c r="G30" s="38" t="n"/>
      <c r="H30" s="38" t="n"/>
      <c r="I30" s="38" t="n"/>
      <c r="J30" s="38" t="n"/>
      <c r="K30" s="38" t="n"/>
      <c r="L30" s="38" t="n"/>
      <c r="M30" s="38" t="n"/>
      <c r="N30" s="38" t="n"/>
      <c r="O30" s="38" t="n"/>
      <c r="P30" s="38" t="n"/>
      <c r="Q30" s="38" t="n"/>
      <c r="R30" s="38" t="n"/>
      <c r="S30" s="38" t="n"/>
      <c r="T30" s="38" t="n"/>
      <c r="U30" s="38" t="n"/>
      <c r="V30" s="38" t="n"/>
      <c r="W30" s="38" t="n"/>
      <c r="X30" s="38" t="n"/>
      <c r="Y30" s="38" t="n"/>
      <c r="Z30" s="38" t="n"/>
      <c r="AA30" s="38" t="n"/>
      <c r="AB30" s="38" t="n"/>
      <c r="AC30" s="38" t="n"/>
      <c r="AD30" s="38" t="n"/>
      <c r="AE30" s="114" t="inlineStr">
        <is>
          <t>Revestimento 3 + Médio</t>
        </is>
      </c>
      <c r="AF30" s="140" t="n">
        <v>8</v>
      </c>
      <c r="AG30" s="140" t="n">
        <v>0</v>
      </c>
      <c r="AH30" s="140" t="inlineStr">
        <is>
          <t>sim</t>
        </is>
      </c>
      <c r="AI30" s="38" t="n"/>
      <c r="AJ30" s="114" t="inlineStr">
        <is>
          <t>sem energia</t>
        </is>
      </c>
      <c r="AK30" s="140">
        <f>IF(FICHA!$X$11="Restrição Celestial · sem energia",1,0)</f>
        <v/>
      </c>
      <c r="AL30" s="38" t="n"/>
      <c r="AM30" s="38" t="n"/>
      <c r="AN30" s="38" t="n"/>
      <c r="AO30" s="38" t="n"/>
      <c r="AP30" s="38" t="n"/>
      <c r="AQ30" s="140" t="n">
        <v>27</v>
      </c>
      <c r="AR30" s="140" t="n">
        <v>25600</v>
      </c>
      <c r="AS30" s="38" t="n"/>
      <c r="AT30" s="38" t="n"/>
      <c r="AU30" s="38" t="n"/>
      <c r="AV30" s="38" t="n"/>
      <c r="AW30" s="38" t="n"/>
      <c r="AX30" s="38" t="n"/>
      <c r="AY30" s="38" t="n"/>
      <c r="AZ30" s="38" t="n"/>
      <c r="BA30" s="114" t="inlineStr">
        <is>
          <t>integridade_max</t>
        </is>
      </c>
      <c r="BB30" s="114">
        <f>ADDRESS(ROW(FICHA!J34),COLUMN(FICHA!J34),4)</f>
        <v/>
      </c>
      <c r="BD30" s="114" t="inlineStr">
        <is>
          <t>Machado</t>
        </is>
      </c>
      <c r="BE30" s="114" t="inlineStr">
        <is>
          <t>Machado</t>
        </is>
      </c>
      <c r="BF30" s="140" t="n">
        <v>1</v>
      </c>
      <c r="BG30" s="114" t="inlineStr">
        <is>
          <t>d8</t>
        </is>
      </c>
      <c r="BH30" s="114" t="inlineStr">
        <is>
          <t>Rompe</t>
        </is>
      </c>
      <c r="BI30" s="114" t="inlineStr">
        <is>
          <t>—</t>
        </is>
      </c>
      <c r="BJ30" s="140" t="n">
        <v>1</v>
      </c>
      <c r="BM30" s="140">
        <f>'FICHA PESSOAL'!$D$59</f>
        <v/>
      </c>
      <c r="BN30" s="140">
        <f>ADDRESS(ROW('FICHA PESSOAL'!D59),COLUMN('FICHA PESSOAL'!D59),4)</f>
        <v/>
      </c>
      <c r="CY30" s="114" t="inlineStr">
        <is>
          <t>força do uniforme</t>
        </is>
      </c>
      <c r="CZ30" s="140">
        <f>IF(DADOS!$CZ$27=1,VLOOKUP('FICHA PESSOAL'!$AH$41,DADOS!$BX$5:$CD$10,4,FALSE),0)</f>
        <v/>
      </c>
    </row>
    <row r="31" ht="17.25" customHeight="1">
      <c r="A31" s="38" t="n"/>
      <c r="B31" s="38" t="n"/>
      <c r="C31" s="38" t="n"/>
      <c r="D31" s="38" t="n"/>
      <c r="E31" s="38" t="n"/>
      <c r="F31" s="114" t="inlineStr">
        <is>
          <t>Puxa</t>
        </is>
      </c>
      <c r="G31" s="38" t="n"/>
      <c r="H31" s="38" t="n"/>
      <c r="I31" s="38" t="n"/>
      <c r="J31" s="38" t="n"/>
      <c r="K31" s="38" t="n"/>
      <c r="L31" s="38" t="n"/>
      <c r="M31" s="38" t="n"/>
      <c r="N31" s="38" t="n"/>
      <c r="O31" s="38" t="n"/>
      <c r="P31" s="38" t="n"/>
      <c r="Q31" s="38" t="n"/>
      <c r="R31" s="38" t="n"/>
      <c r="S31" s="38" t="n"/>
      <c r="T31" s="38" t="n"/>
      <c r="U31" s="38" t="n"/>
      <c r="V31" s="38" t="n"/>
      <c r="W31" s="38" t="n"/>
      <c r="X31" s="38" t="n"/>
      <c r="Y31" s="38" t="n"/>
      <c r="Z31" s="38" t="n"/>
      <c r="AA31" s="38" t="n"/>
      <c r="AB31" s="38" t="n"/>
      <c r="AC31" s="38" t="n"/>
      <c r="AD31" s="38" t="n"/>
      <c r="AE31" s="114" t="inlineStr">
        <is>
          <t>Revestimento 3 + Torre</t>
        </is>
      </c>
      <c r="AF31" s="140" t="n">
        <v>9</v>
      </c>
      <c r="AG31" s="140" t="n">
        <v>0</v>
      </c>
      <c r="AH31" s="140" t="inlineStr">
        <is>
          <t>sim</t>
        </is>
      </c>
      <c r="AI31" s="38" t="n"/>
      <c r="AJ31" s="114" t="inlineStr">
        <is>
          <t>sem técnica</t>
        </is>
      </c>
      <c r="AK31" s="140">
        <f>IF(ISNUMBER(SEARCH(" · Sem Técnica",FICHA!$X$11)),1,0)</f>
        <v/>
      </c>
      <c r="AL31" s="38" t="n"/>
      <c r="AM31" s="38" t="n"/>
      <c r="AN31" s="38" t="n"/>
      <c r="AO31" s="38" t="n"/>
      <c r="AP31" s="38" t="n"/>
      <c r="AQ31" s="140" t="n">
        <v>28</v>
      </c>
      <c r="AR31" s="140" t="n">
        <v>27300</v>
      </c>
      <c r="AS31" s="38" t="n"/>
      <c r="AT31" s="38" t="n"/>
      <c r="AU31" s="38" t="n"/>
      <c r="AV31" s="38" t="n"/>
      <c r="AW31" s="38" t="n"/>
      <c r="AX31" s="38" t="n"/>
      <c r="AY31" s="38" t="n"/>
      <c r="AZ31" s="38" t="n"/>
      <c r="BA31" s="114" t="inlineStr">
        <is>
          <t>integridade_temp</t>
        </is>
      </c>
      <c r="BB31" s="114">
        <f>ADDRESS(ROW(FICHA!AF34),COLUMN(FICHA!AF34),4)</f>
        <v/>
      </c>
      <c r="BD31" s="114" t="inlineStr">
        <is>
          <t>Machado de Guerra</t>
        </is>
      </c>
      <c r="BE31" s="114" t="inlineStr">
        <is>
          <t>Machado</t>
        </is>
      </c>
      <c r="BF31" s="140" t="n">
        <v>2</v>
      </c>
      <c r="BG31" s="114" t="inlineStr">
        <is>
          <t>d12</t>
        </is>
      </c>
      <c r="BH31" s="114" t="inlineStr">
        <is>
          <t>Rompe · Talha · Volumosa</t>
        </is>
      </c>
      <c r="BI31" s="140" t="n">
        <v>3</v>
      </c>
      <c r="BJ31" s="140" t="n">
        <v>2</v>
      </c>
      <c r="BM31" s="140">
        <f>'FICHA PESSOAL'!$D$60</f>
        <v/>
      </c>
      <c r="BN31" s="140">
        <f>ADDRESS(ROW('FICHA PESSOAL'!D60),COLUMN('FICHA PESSOAL'!D60),4)</f>
        <v/>
      </c>
      <c r="CY31" s="114" t="inlineStr">
        <is>
          <t>volume do uniforme</t>
        </is>
      </c>
      <c r="CZ31" s="140">
        <f>IF(DADOS!$CZ$27=1,VLOOKUP('FICHA PESSOAL'!$AH$41,DADOS!$BX$5:$CD$10,5,FALSE),0)</f>
        <v/>
      </c>
    </row>
    <row r="32" ht="17.25" customHeight="1">
      <c r="A32" s="38" t="n"/>
      <c r="B32" s="38" t="n"/>
      <c r="C32" s="38" t="n"/>
      <c r="D32" s="38" t="n"/>
      <c r="E32" s="38" t="n"/>
      <c r="F32" s="114" t="inlineStr">
        <is>
          <t>Desarma o Feitiço</t>
        </is>
      </c>
      <c r="G32" s="38" t="n"/>
      <c r="H32" s="38" t="n"/>
      <c r="I32" s="38" t="n"/>
      <c r="J32" s="38" t="n"/>
      <c r="K32" s="38" t="n"/>
      <c r="L32" s="38" t="n"/>
      <c r="M32" s="38" t="n"/>
      <c r="N32" s="38" t="n"/>
      <c r="O32" s="38" t="n"/>
      <c r="P32" s="38" t="n"/>
      <c r="Q32" s="38" t="n"/>
      <c r="R32" s="38" t="n"/>
      <c r="S32" s="38" t="n"/>
      <c r="T32" s="38" t="n"/>
      <c r="U32" s="38" t="n"/>
      <c r="V32" s="38" t="n"/>
      <c r="W32" s="38" t="n"/>
      <c r="X32" s="38" t="n"/>
      <c r="Y32" s="38" t="n"/>
      <c r="Z32" s="38" t="n"/>
      <c r="AA32" s="38" t="n"/>
      <c r="AB32" s="38" t="n"/>
      <c r="AC32" s="38" t="n"/>
      <c r="AD32" s="38" t="n"/>
      <c r="AE32" s="38" t="n"/>
      <c r="AF32" s="38" t="n"/>
      <c r="AG32" s="38" t="n"/>
      <c r="AH32" s="38" t="n"/>
      <c r="AI32" s="38" t="n"/>
      <c r="AJ32" s="114" t="inlineStr">
        <is>
          <t>técnica marcial</t>
        </is>
      </c>
      <c r="AK32" s="140">
        <f>IF(OR(FICHA!$X$11="Corpo Amaldiçoado",FICHA!$X$11="Restrição Celestial · sem energia"),1,0)</f>
        <v/>
      </c>
      <c r="AL32" s="38" t="n"/>
      <c r="AM32" s="38" t="n"/>
      <c r="AN32" s="38" t="n"/>
      <c r="AO32" s="38" t="n"/>
      <c r="AP32" s="38" t="n"/>
      <c r="AQ32" s="140" t="n">
        <v>29</v>
      </c>
      <c r="AR32" s="140" t="n">
        <v>29000</v>
      </c>
      <c r="AS32" s="38" t="n"/>
      <c r="AT32" s="38" t="n"/>
      <c r="AU32" s="38" t="n"/>
      <c r="AV32" s="38" t="n"/>
      <c r="AW32" s="38" t="n"/>
      <c r="AX32" s="38" t="n"/>
      <c r="AY32" s="38" t="n"/>
      <c r="AZ32" s="38" t="n"/>
      <c r="BA32" s="114" t="inlineStr">
        <is>
          <t>integridade_delta</t>
        </is>
      </c>
      <c r="BB32" s="114">
        <f>ADDRESS(ROW(FICHA!AM34),COLUMN(FICHA!AM34),4)</f>
        <v/>
      </c>
      <c r="BD32" s="114" t="inlineStr">
        <is>
          <t>Machete</t>
        </is>
      </c>
      <c r="BE32" s="114" t="inlineStr">
        <is>
          <t>Lâmina Longa</t>
        </is>
      </c>
      <c r="BF32" s="140" t="n">
        <v>1</v>
      </c>
      <c r="BG32" s="114" t="inlineStr">
        <is>
          <t>d8</t>
        </is>
      </c>
      <c r="BH32" s="114" t="inlineStr">
        <is>
          <t>Rompe</t>
        </is>
      </c>
      <c r="BI32" s="114" t="inlineStr">
        <is>
          <t>—</t>
        </is>
      </c>
      <c r="BJ32" s="140" t="n">
        <v>1</v>
      </c>
      <c r="BM32" s="140">
        <f>'FICHA PESSOAL'!$D$52</f>
        <v/>
      </c>
      <c r="BN32" s="140">
        <f>ADDRESS(ROW('FICHA PESSOAL'!D52),COLUMN('FICHA PESSOAL'!D52),4)</f>
        <v/>
      </c>
      <c r="CY32" s="114" t="inlineStr">
        <is>
          <t>ordem do grau mínimo</t>
        </is>
      </c>
      <c r="CZ32" s="140">
        <f>IF(DADOS!$CZ$27=1,VLOOKUP('FICHA PESSOAL'!$AH$41,DADOS!$BX$5:$CD$10,6,FALSE),0)</f>
        <v/>
      </c>
    </row>
    <row r="33" ht="17.25" customHeight="1">
      <c r="A33" s="38" t="n"/>
      <c r="B33" s="38" t="n"/>
      <c r="C33" s="38" t="n"/>
      <c r="D33" s="38" t="n"/>
      <c r="E33" s="38" t="n"/>
      <c r="F33" s="114" t="inlineStr">
        <is>
          <t>Impulso</t>
        </is>
      </c>
      <c r="G33" s="38" t="n"/>
      <c r="H33" s="38" t="n"/>
      <c r="I33" s="38" t="n"/>
      <c r="J33" s="38" t="n"/>
      <c r="K33" s="38" t="n"/>
      <c r="L33" s="38" t="n"/>
      <c r="M33" s="38" t="n"/>
      <c r="N33" s="38" t="n"/>
      <c r="O33" s="38" t="n"/>
      <c r="P33" s="38" t="n"/>
      <c r="Q33" s="38" t="n"/>
      <c r="R33" s="38" t="n"/>
      <c r="S33" s="38" t="n"/>
      <c r="T33" s="38" t="n"/>
      <c r="U33" s="38" t="n"/>
      <c r="V33" s="38" t="n"/>
      <c r="W33" s="38" t="n"/>
      <c r="X33" s="38" t="n"/>
      <c r="Y33" s="38" t="n"/>
      <c r="Z33" s="38" t="n"/>
      <c r="AA33" s="38" t="n"/>
      <c r="AB33" s="38" t="n"/>
      <c r="AC33" s="38" t="n"/>
      <c r="AD33" s="38" t="n"/>
      <c r="AE33" s="38" t="n"/>
      <c r="AF33" s="38" t="n"/>
      <c r="AG33" s="38" t="n"/>
      <c r="AH33" s="38" t="n"/>
      <c r="AI33" s="38" t="n"/>
      <c r="AJ33" s="114" t="inlineStr">
        <is>
          <t>refino escolhido</t>
        </is>
      </c>
      <c r="AK33" s="140">
        <f>MIN(IFERROR(VALUE(FICHA!$AO$40&amp;""),0),DADOS!$AK$5)</f>
        <v/>
      </c>
      <c r="AL33" s="38" t="n"/>
      <c r="AM33" s="38" t="n"/>
      <c r="AN33" s="38" t="n"/>
      <c r="AO33" s="38" t="n"/>
      <c r="AP33" s="38" t="n"/>
      <c r="AQ33" s="140" t="n">
        <v>30</v>
      </c>
      <c r="AR33" s="140" t="n">
        <v>30700</v>
      </c>
      <c r="AS33" s="38" t="n"/>
      <c r="AT33" s="38" t="n"/>
      <c r="AU33" s="38" t="n"/>
      <c r="AV33" s="38" t="n"/>
      <c r="AW33" s="38" t="n"/>
      <c r="AX33" s="38" t="n"/>
      <c r="AY33" s="38" t="n"/>
      <c r="AZ33" s="38" t="n"/>
      <c r="BA33" s="114" t="inlineStr">
        <is>
          <t>estagio_alma</t>
        </is>
      </c>
      <c r="BB33" s="114">
        <f>ADDRESS(ROW(FICHA!D37),COLUMN(FICHA!D37),4)</f>
        <v/>
      </c>
      <c r="BD33" s="114" t="inlineStr">
        <is>
          <t>Manriki</t>
        </is>
      </c>
      <c r="BE33" s="114" t="inlineStr">
        <is>
          <t>Flexível</t>
        </is>
      </c>
      <c r="BF33" s="140" t="n">
        <v>1</v>
      </c>
      <c r="BG33" s="114" t="inlineStr">
        <is>
          <t>d6</t>
        </is>
      </c>
      <c r="BH33" s="114" t="inlineStr">
        <is>
          <t>Emaranha · Oculta</t>
        </is>
      </c>
      <c r="BI33" s="114" t="inlineStr">
        <is>
          <t>—</t>
        </is>
      </c>
      <c r="BJ33" s="140" t="n">
        <v>0.1</v>
      </c>
      <c r="BM33" s="140">
        <f>'FICHA PESSOAL'!$AE$57</f>
        <v/>
      </c>
      <c r="BN33" s="140">
        <f>ADDRESS(ROW('FICHA PESSOAL'!AE57),COLUMN('FICHA PESSOAL'!AE57),4)</f>
        <v/>
      </c>
      <c r="CY33" s="114" t="inlineStr">
        <is>
          <t>grau mínimo</t>
        </is>
      </c>
      <c r="CZ33" s="140">
        <f>IF(DADOS!$CZ$27=1,VLOOKUP('FICHA PESSOAL'!$AH$41,DADOS!$BX$5:$CD$10,7,FALSE),"")</f>
        <v/>
      </c>
    </row>
    <row r="34" ht="17.25" customHeight="1">
      <c r="A34" s="38" t="n"/>
      <c r="B34" s="38" t="n"/>
      <c r="C34" s="38" t="n"/>
      <c r="D34" s="38" t="n"/>
      <c r="E34" s="38" t="n"/>
      <c r="F34" s="114" t="inlineStr">
        <is>
          <t>Trava</t>
        </is>
      </c>
      <c r="G34" s="38" t="n"/>
      <c r="H34" s="38" t="n"/>
      <c r="I34" s="38" t="n"/>
      <c r="J34" s="38" t="n"/>
      <c r="K34" s="38" t="n"/>
      <c r="L34" s="38" t="n"/>
      <c r="M34" s="38" t="n"/>
      <c r="N34" s="38" t="n"/>
      <c r="O34" s="38" t="n"/>
      <c r="P34" s="38" t="n"/>
      <c r="Q34" s="38" t="n"/>
      <c r="R34" s="38" t="n"/>
      <c r="S34" s="38" t="n"/>
      <c r="T34" s="38" t="n"/>
      <c r="U34" s="38" t="n"/>
      <c r="V34" s="38" t="n"/>
      <c r="W34" s="38" t="n"/>
      <c r="X34" s="38" t="n"/>
      <c r="Y34" s="38" t="n"/>
      <c r="Z34" s="38" t="n"/>
      <c r="AA34" s="38" t="n"/>
      <c r="AB34" s="38" t="n"/>
      <c r="AC34" s="38" t="n"/>
      <c r="AD34" s="38" t="n"/>
      <c r="AE34" s="38" t="n"/>
      <c r="AF34" s="38" t="n"/>
      <c r="AG34" s="38" t="n"/>
      <c r="AH34" s="38" t="n"/>
      <c r="AI34" s="38" t="n"/>
      <c r="AJ34" s="114" t="inlineStr">
        <is>
          <t>refino atual</t>
        </is>
      </c>
      <c r="AK34" s="140">
        <f>MIN(10,FICHA!$O$57+DADOS!$AK$33)</f>
        <v/>
      </c>
      <c r="AL34" s="38" t="n"/>
      <c r="AM34" s="38" t="n"/>
      <c r="AN34" s="38" t="n"/>
      <c r="AO34" s="38" t="n"/>
      <c r="AP34" s="38" t="n"/>
      <c r="AQ34" s="38" t="n"/>
      <c r="AR34" s="38" t="n"/>
      <c r="AS34" s="38" t="n"/>
      <c r="AT34" s="38" t="n"/>
      <c r="AU34" s="38" t="n"/>
      <c r="AV34" s="38" t="n"/>
      <c r="AW34" s="38" t="n"/>
      <c r="AX34" s="38" t="n"/>
      <c r="AY34" s="38" t="n"/>
      <c r="AZ34" s="38" t="n"/>
      <c r="BA34" s="114" t="inlineStr">
        <is>
          <t>defesa</t>
        </is>
      </c>
      <c r="BB34" s="114">
        <f>ADDRESS(ROW(FICHA!D43),COLUMN(FICHA!D43),4)</f>
        <v/>
      </c>
      <c r="BD34" s="114" t="inlineStr">
        <is>
          <t>Marreta</t>
        </is>
      </c>
      <c r="BE34" s="114" t="inlineStr">
        <is>
          <t>Massa</t>
        </is>
      </c>
      <c r="BF34" s="140" t="n">
        <v>2</v>
      </c>
      <c r="BG34" s="114" t="inlineStr">
        <is>
          <t>d10</t>
        </is>
      </c>
      <c r="BH34" s="114" t="inlineStr">
        <is>
          <t>Rompe · Talha</t>
        </is>
      </c>
      <c r="BI34" s="140" t="n">
        <v>3</v>
      </c>
      <c r="BJ34" s="140" t="n">
        <v>2</v>
      </c>
      <c r="BM34" s="140">
        <f>'FICHA PESSOAL'!$AM$51</f>
        <v/>
      </c>
      <c r="BN34" s="140">
        <f>ADDRESS(ROW('FICHA PESSOAL'!AM51),COLUMN('FICHA PESSOAL'!AM51),4)</f>
        <v/>
      </c>
      <c r="CY34" s="114" t="inlineStr">
        <is>
          <t>ordem do grau</t>
        </is>
      </c>
      <c r="CZ34" s="140">
        <f>IFERROR(VLOOKUP('FICHA PESSOAL'!$AB$11,DADOS!$CF$5:$CH$9,3,FALSE),1)</f>
        <v/>
      </c>
    </row>
    <row r="35" ht="17.25" customHeight="1">
      <c r="A35" s="38" t="n"/>
      <c r="B35" s="38" t="n"/>
      <c r="C35" s="38" t="n"/>
      <c r="D35" s="38" t="n"/>
      <c r="E35" s="38" t="n"/>
      <c r="F35" s="114" t="inlineStr">
        <is>
          <t>Abre Ferida</t>
        </is>
      </c>
      <c r="G35" s="38" t="n"/>
      <c r="H35" s="38" t="n"/>
      <c r="I35" s="38" t="n"/>
      <c r="J35" s="38" t="n"/>
      <c r="K35" s="38" t="n"/>
      <c r="L35" s="38" t="n"/>
      <c r="M35" s="38" t="n"/>
      <c r="N35" s="38" t="n"/>
      <c r="O35" s="38" t="n"/>
      <c r="P35" s="38" t="n"/>
      <c r="Q35" s="38" t="n"/>
      <c r="R35" s="38" t="n"/>
      <c r="S35" s="38" t="n"/>
      <c r="T35" s="38" t="n"/>
      <c r="U35" s="38" t="n"/>
      <c r="V35" s="38" t="n"/>
      <c r="W35" s="38" t="n"/>
      <c r="X35" s="38" t="n"/>
      <c r="Y35" s="38" t="n"/>
      <c r="Z35" s="38" t="n"/>
      <c r="AA35" s="38" t="n"/>
      <c r="AB35" s="38" t="n"/>
      <c r="AC35" s="38" t="n"/>
      <c r="AD35" s="38" t="n"/>
      <c r="AE35" s="38" t="n"/>
      <c r="AF35" s="38" t="n"/>
      <c r="AG35" s="38" t="n"/>
      <c r="AH35" s="38" t="n"/>
      <c r="AI35" s="38" t="n"/>
      <c r="AJ35" s="114" t="inlineStr">
        <is>
          <t>aptidões a mais no teto</t>
        </is>
      </c>
      <c r="AK35" s="140">
        <f>MAX(0,DADOS!$AK$33-MAX(0,CEILING((10-DADOS!$AK$5+DADOS!$AK$33)/2,1)-1))*(2-1)</f>
        <v/>
      </c>
      <c r="AL35" s="38" t="n"/>
      <c r="AM35" s="38" t="n"/>
      <c r="AN35" s="38" t="n"/>
      <c r="AO35" s="38" t="n"/>
      <c r="AP35" s="38" t="n"/>
      <c r="AQ35" s="38" t="n"/>
      <c r="AR35" s="38" t="n"/>
      <c r="AS35" s="38" t="n"/>
      <c r="AT35" s="38" t="n"/>
      <c r="AU35" s="38" t="n"/>
      <c r="AV35" s="38" t="n"/>
      <c r="AW35" s="38" t="n"/>
      <c r="AX35" s="38" t="n"/>
      <c r="AY35" s="38" t="n"/>
      <c r="AZ35" s="38" t="n"/>
      <c r="BA35" s="114" t="inlineStr">
        <is>
          <t>proteção</t>
        </is>
      </c>
      <c r="BB35" s="114">
        <f>ADDRESS(ROW(FICHA!O43),COLUMN(FICHA!O43),4)</f>
        <v/>
      </c>
      <c r="BD35" s="114" t="inlineStr">
        <is>
          <t>Maul</t>
        </is>
      </c>
      <c r="BE35" s="114" t="inlineStr">
        <is>
          <t>Massa</t>
        </is>
      </c>
      <c r="BF35" s="140" t="n">
        <v>2</v>
      </c>
      <c r="BG35" s="114" t="inlineStr">
        <is>
          <t>d12</t>
        </is>
      </c>
      <c r="BH35" s="114" t="inlineStr">
        <is>
          <t>Rompe</t>
        </is>
      </c>
      <c r="BI35" s="140" t="n">
        <v>3</v>
      </c>
      <c r="BJ35" s="140" t="n">
        <v>2</v>
      </c>
      <c r="BM35" s="140">
        <f>'FICHA PESSOAL'!$AM$52</f>
        <v/>
      </c>
      <c r="BN35" s="140">
        <f>ADDRESS(ROW('FICHA PESSOAL'!AM52),COLUMN('FICHA PESSOAL'!AM52),4)</f>
        <v/>
      </c>
      <c r="CY35" s="114" t="inlineStr">
        <is>
          <t>uniforme liberado</t>
        </is>
      </c>
      <c r="CZ35" s="140">
        <f>IF(OR(DADOS!$CZ$27=0,DADOS!$CZ$34&gt;=DADOS!$CZ$32),1,0)</f>
        <v/>
      </c>
    </row>
    <row r="36" ht="17.25" customHeight="1">
      <c r="A36" s="38" t="n"/>
      <c r="B36" s="38" t="n"/>
      <c r="C36" s="38" t="n"/>
      <c r="D36" s="38" t="n"/>
      <c r="E36" s="38" t="n"/>
      <c r="F36" s="114" t="inlineStr">
        <is>
          <t>Sobrecarga</t>
        </is>
      </c>
      <c r="G36" s="38" t="n"/>
      <c r="H36" s="38" t="n"/>
      <c r="I36" s="38" t="n"/>
      <c r="J36" s="38" t="n"/>
      <c r="K36" s="38" t="n"/>
      <c r="L36" s="38" t="n"/>
      <c r="M36" s="38" t="n"/>
      <c r="N36" s="38" t="n"/>
      <c r="O36" s="38" t="n"/>
      <c r="P36" s="38" t="n"/>
      <c r="Q36" s="38" t="n"/>
      <c r="R36" s="38" t="n"/>
      <c r="S36" s="38" t="n"/>
      <c r="T36" s="38" t="n"/>
      <c r="U36" s="38" t="n"/>
      <c r="V36" s="38" t="n"/>
      <c r="W36" s="38" t="n"/>
      <c r="X36" s="38" t="n"/>
      <c r="Y36" s="38" t="n"/>
      <c r="Z36" s="38" t="n"/>
      <c r="AA36" s="38" t="n"/>
      <c r="AB36" s="38" t="n"/>
      <c r="AC36" s="38" t="n"/>
      <c r="AD36" s="38" t="n"/>
      <c r="AE36" s="38" t="n"/>
      <c r="AF36" s="38" t="n"/>
      <c r="AG36" s="38" t="n"/>
      <c r="AH36" s="38" t="n"/>
      <c r="AI36" s="38" t="n"/>
      <c r="AJ36" s="114" t="inlineStr">
        <is>
          <t>máximo de aptidões</t>
        </is>
      </c>
      <c r="AK36" s="140">
        <f>2+1*DADOS!$AK$31+DADOS!$AK$33+DADOS!$AK$35</f>
        <v/>
      </c>
      <c r="AL36" s="38" t="n"/>
      <c r="AM36" s="38" t="n"/>
      <c r="AN36" s="38" t="n"/>
      <c r="AO36" s="38" t="n"/>
      <c r="AP36" s="38" t="n"/>
      <c r="AQ36" s="38" t="n"/>
      <c r="AR36" s="38" t="n"/>
      <c r="AS36" s="38" t="n"/>
      <c r="AT36" s="38" t="n"/>
      <c r="AU36" s="38" t="n"/>
      <c r="AV36" s="38" t="n"/>
      <c r="AW36" s="38" t="n"/>
      <c r="AX36" s="38" t="n"/>
      <c r="AY36" s="38" t="n"/>
      <c r="AZ36" s="38" t="n"/>
      <c r="BA36" s="114" t="inlineStr">
        <is>
          <t>equipamento</t>
        </is>
      </c>
      <c r="BB36" s="114">
        <f>ADDRESS(ROW(FICHA!Z43),COLUMN(FICHA!Z43),4)</f>
        <v/>
      </c>
      <c r="BD36" s="114" t="inlineStr">
        <is>
          <t>Médio</t>
        </is>
      </c>
      <c r="BE36" s="114" t="inlineStr">
        <is>
          <t>Escudo</t>
        </is>
      </c>
      <c r="BF36" s="140" t="n">
        <v>1</v>
      </c>
      <c r="BG36" s="114" t="inlineStr">
        <is>
          <t>—</t>
        </is>
      </c>
      <c r="BH36" s="114" t="inlineStr">
        <is>
          <t>Proteção +2 · teto de Destreza 3</t>
        </is>
      </c>
      <c r="BI36" s="140" t="n">
        <v>3</v>
      </c>
      <c r="BJ36" s="140" t="n">
        <v>1</v>
      </c>
      <c r="BM36" s="140">
        <f>TRUE</f>
        <v/>
      </c>
      <c r="CY36" s="114" t="inlineStr">
        <is>
          <t>falta força na principal</t>
        </is>
      </c>
      <c r="CZ36" s="140">
        <f>IF(DADOS!$CZ$11&gt;DADOS!$CZ$5,1,0)</f>
        <v/>
      </c>
    </row>
    <row r="37" ht="17.25" customHeight="1">
      <c r="A37" s="38" t="n"/>
      <c r="B37" s="38" t="n"/>
      <c r="C37" s="38" t="n"/>
      <c r="D37" s="38" t="n"/>
      <c r="E37" s="38" t="n"/>
      <c r="F37" s="114" t="inlineStr">
        <is>
          <t>Firmeza</t>
        </is>
      </c>
      <c r="G37" s="38" t="n"/>
      <c r="H37" s="38" t="n"/>
      <c r="I37" s="38" t="n"/>
      <c r="J37" s="38" t="n"/>
      <c r="K37" s="38" t="n"/>
      <c r="L37" s="38" t="n"/>
      <c r="M37" s="38" t="n"/>
      <c r="N37" s="38" t="n"/>
      <c r="O37" s="38" t="n"/>
      <c r="P37" s="38" t="n"/>
      <c r="Q37" s="38" t="n"/>
      <c r="R37" s="38" t="n"/>
      <c r="S37" s="38" t="n"/>
      <c r="T37" s="38" t="n"/>
      <c r="U37" s="38" t="n"/>
      <c r="V37" s="38" t="n"/>
      <c r="W37" s="38" t="n"/>
      <c r="X37" s="38" t="n"/>
      <c r="Y37" s="38" t="n"/>
      <c r="Z37" s="38" t="n"/>
      <c r="AA37" s="38" t="n"/>
      <c r="AB37" s="38" t="n"/>
      <c r="AC37" s="38" t="n"/>
      <c r="AD37" s="38" t="n"/>
      <c r="AE37" s="38" t="n"/>
      <c r="AF37" s="38" t="n"/>
      <c r="AG37" s="38" t="n"/>
      <c r="AH37" s="38" t="n"/>
      <c r="AI37" s="38" t="n"/>
      <c r="AJ37" s="114" t="inlineStr">
        <is>
          <t>aptidões anotadas</t>
        </is>
      </c>
      <c r="AK37" s="140">
        <f>COUNTIF(FICHA!$V$124:$V$135,"?*")</f>
        <v/>
      </c>
      <c r="AL37" s="38" t="n"/>
      <c r="AM37" s="38" t="n"/>
      <c r="AN37" s="38" t="n"/>
      <c r="AO37" s="38" t="n"/>
      <c r="AP37" s="38" t="n"/>
      <c r="AQ37" s="38" t="n"/>
      <c r="AR37" s="38" t="n"/>
      <c r="AS37" s="38" t="n"/>
      <c r="AT37" s="38" t="n"/>
      <c r="AU37" s="38" t="n"/>
      <c r="AV37" s="38" t="n"/>
      <c r="AW37" s="38" t="n"/>
      <c r="AX37" s="38" t="n"/>
      <c r="AY37" s="38" t="n"/>
      <c r="AZ37" s="38" t="n"/>
      <c r="BA37" s="114" t="inlineStr">
        <is>
          <t>iniciativa</t>
        </is>
      </c>
      <c r="BB37" s="114">
        <f>ADDRESS(ROW(FICHA!AK43),COLUMN(FICHA!AK43),4)</f>
        <v/>
      </c>
      <c r="BD37" s="114" t="inlineStr">
        <is>
          <t>Metralhadora Pesada</t>
        </is>
      </c>
      <c r="BE37" s="114" t="inlineStr">
        <is>
          <t>Arma de Fogo</t>
        </is>
      </c>
      <c r="BF37" s="140" t="n">
        <v>2</v>
      </c>
      <c r="BG37" s="114" t="inlineStr">
        <is>
          <t>2d10</t>
        </is>
      </c>
      <c r="BH37" s="114" t="inlineStr">
        <is>
          <t>Longo Alcance · Munição · Rompe · Volumosa</t>
        </is>
      </c>
      <c r="BI37" s="140" t="n">
        <v>3</v>
      </c>
      <c r="BJ37" s="140" t="n">
        <v>2</v>
      </c>
      <c r="BK37" s="114" t="inlineStr">
        <is>
          <t>24 m, longa 72 m</t>
        </is>
      </c>
      <c r="BL37" s="140" t="n">
        <v>4</v>
      </c>
      <c r="BM37" s="140">
        <f>'FICHA PESSOAL'!$M$50</f>
        <v/>
      </c>
      <c r="BN37" s="140">
        <f>ADDRESS(ROW('FICHA PESSOAL'!M50),COLUMN('FICHA PESSOAL'!M50),4)</f>
        <v/>
      </c>
      <c r="CY37" s="114" t="inlineStr">
        <is>
          <t>falta força na secundária</t>
        </is>
      </c>
      <c r="CZ37" s="140">
        <f>IF(AND(DADOS!$CZ$17=1,DADOS!$CZ$22&gt;DADOS!$CZ$5),1,0)</f>
        <v/>
      </c>
    </row>
    <row r="38" ht="17.25" customHeight="1">
      <c r="A38" s="38" t="n"/>
      <c r="B38" s="38" t="n"/>
      <c r="C38" s="38" t="n"/>
      <c r="D38" s="38" t="n"/>
      <c r="E38" s="38" t="n"/>
      <c r="F38" s="114" t="inlineStr">
        <is>
          <t>Guarda</t>
        </is>
      </c>
      <c r="G38" s="38" t="n"/>
      <c r="H38" s="38" t="n"/>
      <c r="I38" s="38" t="n"/>
      <c r="J38" s="38" t="n"/>
      <c r="K38" s="38" t="n"/>
      <c r="L38" s="38" t="n"/>
      <c r="M38" s="38" t="n"/>
      <c r="N38" s="38" t="n"/>
      <c r="O38" s="38" t="n"/>
      <c r="P38" s="38" t="n"/>
      <c r="Q38" s="38" t="n"/>
      <c r="R38" s="38" t="n"/>
      <c r="S38" s="38" t="n"/>
      <c r="T38" s="38" t="n"/>
      <c r="U38" s="38" t="n"/>
      <c r="V38" s="38" t="n"/>
      <c r="W38" s="38" t="n"/>
      <c r="X38" s="38" t="n"/>
      <c r="Y38" s="38" t="n"/>
      <c r="Z38" s="38" t="n"/>
      <c r="AA38" s="38" t="n"/>
      <c r="AB38" s="38" t="n"/>
      <c r="AC38" s="38" t="n"/>
      <c r="AD38" s="38" t="n"/>
      <c r="AE38" s="38" t="n"/>
      <c r="AF38" s="38" t="n"/>
      <c r="AG38" s="38" t="n"/>
      <c r="AH38" s="38" t="n"/>
      <c r="AI38" s="38" t="n"/>
      <c r="AJ38" s="114" t="inlineStr">
        <is>
          <t>escolhas de Leque</t>
        </is>
      </c>
      <c r="AK38" s="140">
        <f>IFERROR(VALUE(FICHA!$AS$40&amp;""),0)</f>
        <v/>
      </c>
      <c r="AL38" s="38" t="n"/>
      <c r="AM38" s="38" t="n"/>
      <c r="AN38" s="38" t="n"/>
      <c r="AO38" s="38" t="n"/>
      <c r="AP38" s="38" t="n"/>
      <c r="AQ38" s="38" t="n"/>
      <c r="AR38" s="38" t="n"/>
      <c r="AS38" s="38" t="n"/>
      <c r="AT38" s="38" t="n"/>
      <c r="AU38" s="38" t="n"/>
      <c r="AV38" s="38" t="n"/>
      <c r="AW38" s="38" t="n"/>
      <c r="AX38" s="38" t="n"/>
      <c r="AY38" s="38" t="n"/>
      <c r="AZ38" s="38" t="n"/>
      <c r="BA38" s="114" t="inlineStr">
        <is>
          <t>cd de feitiço</t>
        </is>
      </c>
      <c r="BB38" s="114">
        <f>ADDRESS(ROW(FICHA!D47),COLUMN(FICHA!D47),4)</f>
        <v/>
      </c>
      <c r="BD38" s="114" t="inlineStr">
        <is>
          <t>Naginata</t>
        </is>
      </c>
      <c r="BE38" s="114" t="inlineStr">
        <is>
          <t>Armas Longas</t>
        </is>
      </c>
      <c r="BF38" s="140" t="n">
        <v>2</v>
      </c>
      <c r="BG38" s="114" t="inlineStr">
        <is>
          <t>d10</t>
        </is>
      </c>
      <c r="BH38" s="114" t="inlineStr">
        <is>
          <t>Alcance · Rompe</t>
        </is>
      </c>
      <c r="BI38" s="140" t="n">
        <v>3</v>
      </c>
      <c r="BJ38" s="140" t="n">
        <v>2</v>
      </c>
      <c r="BM38" s="140">
        <f>'FICHA PESSOAL'!$AM$56</f>
        <v/>
      </c>
      <c r="BN38" s="140">
        <f>ADDRESS(ROW('FICHA PESSOAL'!AM56),COLUMN('FICHA PESSOAL'!AM56),4)</f>
        <v/>
      </c>
      <c r="CY38" s="114" t="inlineStr">
        <is>
          <t>falta força no uniforme</t>
        </is>
      </c>
      <c r="CZ38" s="140">
        <f>IF(AND(DADOS!$CZ$27=1,DADOS!$CZ$30&gt;DADOS!$CZ$5),1,0)</f>
        <v/>
      </c>
    </row>
    <row r="39" ht="17.25" customHeight="1">
      <c r="A39" s="38" t="n"/>
      <c r="B39" s="38" t="n"/>
      <c r="C39" s="38" t="n"/>
      <c r="D39" s="38" t="n"/>
      <c r="E39" s="38" t="n"/>
      <c r="F39" s="114" t="inlineStr">
        <is>
          <t>Pressa</t>
        </is>
      </c>
      <c r="G39" s="38" t="n"/>
      <c r="H39" s="38" t="n"/>
      <c r="I39" s="38" t="n"/>
      <c r="J39" s="38" t="n"/>
      <c r="K39" s="38" t="n"/>
      <c r="L39" s="38" t="n"/>
      <c r="M39" s="38" t="n"/>
      <c r="N39" s="38" t="n"/>
      <c r="O39" s="38" t="n"/>
      <c r="P39" s="38" t="n"/>
      <c r="Q39" s="38" t="n"/>
      <c r="R39" s="38" t="n"/>
      <c r="S39" s="38" t="n"/>
      <c r="T39" s="38" t="n"/>
      <c r="U39" s="38" t="n"/>
      <c r="V39" s="38" t="n"/>
      <c r="W39" s="38" t="n"/>
      <c r="X39" s="38" t="n"/>
      <c r="Y39" s="38" t="n"/>
      <c r="Z39" s="38" t="n"/>
      <c r="AA39" s="38" t="n"/>
      <c r="AB39" s="38" t="n"/>
      <c r="AC39" s="38" t="n"/>
      <c r="AD39" s="38" t="n"/>
      <c r="AE39" s="38" t="n"/>
      <c r="AF39" s="38" t="n"/>
      <c r="AG39" s="38" t="n"/>
      <c r="AH39" s="38" t="n"/>
      <c r="AI39" s="38" t="n"/>
      <c r="AJ39" s="114" t="inlineStr">
        <is>
          <t>Passivas do Leque anotadas</t>
        </is>
      </c>
      <c r="AK39" s="140">
        <f>COUNTIF(FICHA!$AF$139:$AF$144,"?*")</f>
        <v/>
      </c>
      <c r="AL39" s="38" t="n"/>
      <c r="AM39" s="38" t="n"/>
      <c r="AN39" s="38" t="n"/>
      <c r="AO39" s="38" t="n"/>
      <c r="AP39" s="38" t="n"/>
      <c r="AQ39" s="38" t="n"/>
      <c r="AR39" s="38" t="n"/>
      <c r="AS39" s="38" t="n"/>
      <c r="AT39" s="38" t="n"/>
      <c r="AU39" s="38" t="n"/>
      <c r="AV39" s="38" t="n"/>
      <c r="AW39" s="38" t="n"/>
      <c r="AX39" s="38" t="n"/>
      <c r="AY39" s="38" t="n"/>
      <c r="AZ39" s="38" t="n"/>
      <c r="BA39" s="114" t="inlineStr">
        <is>
          <t>conjuração</t>
        </is>
      </c>
      <c r="BB39" s="114">
        <f>ADDRESS(ROW(FICHA!O47),COLUMN(FICHA!O47),4)</f>
        <v/>
      </c>
      <c r="BD39" s="114" t="inlineStr">
        <is>
          <t>Nodachi</t>
        </is>
      </c>
      <c r="BE39" s="114" t="inlineStr">
        <is>
          <t>Lâmina Longa</t>
        </is>
      </c>
      <c r="BF39" s="140" t="n">
        <v>2</v>
      </c>
      <c r="BG39" s="114" t="inlineStr">
        <is>
          <t>d12</t>
        </is>
      </c>
      <c r="BH39" s="114" t="inlineStr">
        <is>
          <t>Alcance · Rompe · Volumosa</t>
        </is>
      </c>
      <c r="BI39" s="140" t="n">
        <v>3</v>
      </c>
      <c r="BJ39" s="140" t="n">
        <v>2</v>
      </c>
      <c r="BM39" s="140">
        <f>'FICHA PESSOAL'!$D$53</f>
        <v/>
      </c>
      <c r="BN39" s="140">
        <f>ADDRESS(ROW('FICHA PESSOAL'!D53),COLUMN('FICHA PESSOAL'!D53),4)</f>
        <v/>
      </c>
      <c r="CY39" s="114" t="inlineStr">
        <is>
          <t>volume guardado</t>
        </is>
      </c>
      <c r="CZ39" s="140">
        <f>SUM('FICHA PESSOAL'!$AG$69:$AG$76)+SUM('FICHA PESSOAL'!$V$81:$V$86)+SUM('FICHA PESSOAL'!$AR$81:$AR$86)</f>
        <v/>
      </c>
    </row>
    <row r="40" ht="17.25" customHeight="1">
      <c r="A40" s="38" t="n"/>
      <c r="B40" s="38" t="n"/>
      <c r="C40" s="38" t="n"/>
      <c r="D40" s="38" t="n"/>
      <c r="E40" s="38" t="n"/>
      <c r="F40" s="114" t="inlineStr">
        <is>
          <t>Enfraquece</t>
        </is>
      </c>
      <c r="G40" s="38" t="n"/>
      <c r="H40" s="38" t="n"/>
      <c r="I40" s="38" t="n"/>
      <c r="J40" s="38" t="n"/>
      <c r="K40" s="38" t="n"/>
      <c r="L40" s="38" t="n"/>
      <c r="M40" s="38" t="n"/>
      <c r="N40" s="38" t="n"/>
      <c r="O40" s="38" t="n"/>
      <c r="P40" s="38" t="n"/>
      <c r="Q40" s="38" t="n"/>
      <c r="R40" s="38" t="n"/>
      <c r="S40" s="38" t="n"/>
      <c r="T40" s="38" t="n"/>
      <c r="U40" s="38" t="n"/>
      <c r="V40" s="38" t="n"/>
      <c r="W40" s="38" t="n"/>
      <c r="X40" s="38" t="n"/>
      <c r="Y40" s="38" t="n"/>
      <c r="Z40" s="38" t="n"/>
      <c r="AA40" s="38" t="n"/>
      <c r="AB40" s="38" t="n"/>
      <c r="AC40" s="38" t="n"/>
      <c r="AD40" s="38" t="n"/>
      <c r="AE40" s="38" t="n"/>
      <c r="AF40" s="38" t="n"/>
      <c r="AG40" s="38" t="n"/>
      <c r="AH40" s="38" t="n"/>
      <c r="AI40" s="38" t="n"/>
      <c r="AJ40" s="38" t="n"/>
      <c r="AK40" s="38" t="n"/>
      <c r="AL40" s="38" t="n"/>
      <c r="AM40" s="38" t="n"/>
      <c r="AN40" s="38" t="n"/>
      <c r="AO40" s="38" t="n"/>
      <c r="AP40" s="38" t="n"/>
      <c r="AQ40" s="38" t="n"/>
      <c r="AR40" s="38" t="n"/>
      <c r="AS40" s="38" t="n"/>
      <c r="AT40" s="38" t="n"/>
      <c r="AU40" s="38" t="n"/>
      <c r="AV40" s="38" t="n"/>
      <c r="AW40" s="38" t="n"/>
      <c r="AX40" s="38" t="n"/>
      <c r="AY40" s="38" t="n"/>
      <c r="AZ40" s="38" t="n"/>
      <c r="BA40" s="114" t="inlineStr">
        <is>
          <t>corpo a corpo</t>
        </is>
      </c>
      <c r="BB40" s="114">
        <f>ADDRESS(ROW(FICHA!Z47),COLUMN(FICHA!Z47),4)</f>
        <v/>
      </c>
      <c r="BD40" s="114" t="inlineStr">
        <is>
          <t>Nunchaku</t>
        </is>
      </c>
      <c r="BE40" s="114" t="inlineStr">
        <is>
          <t>Porrete</t>
        </is>
      </c>
      <c r="BF40" s="140" t="n">
        <v>1</v>
      </c>
      <c r="BG40" s="114" t="inlineStr">
        <is>
          <t>d6</t>
        </is>
      </c>
      <c r="BH40" s="114" t="inlineStr">
        <is>
          <t>Par · Emaranha</t>
        </is>
      </c>
      <c r="BI40" s="114" t="inlineStr">
        <is>
          <t>—</t>
        </is>
      </c>
      <c r="BJ40" s="140" t="n">
        <v>1</v>
      </c>
      <c r="BM40" s="140">
        <f>'FICHA PESSOAL'!$V$52</f>
        <v/>
      </c>
      <c r="BN40" s="140">
        <f>ADDRESS(ROW('FICHA PESSOAL'!V52),COLUMN('FICHA PESSOAL'!V52),4)</f>
        <v/>
      </c>
      <c r="CY40" s="114" t="inlineStr">
        <is>
          <t>carga</t>
        </is>
      </c>
      <c r="CZ40" s="140">
        <f>ROUND(DADOS!$CZ$39+DADOS!$CZ$31,1)</f>
        <v/>
      </c>
    </row>
    <row r="41" ht="17.25" customHeight="1">
      <c r="A41" s="38" t="n"/>
      <c r="B41" s="38" t="n"/>
      <c r="C41" s="38" t="n"/>
      <c r="D41" s="38" t="n"/>
      <c r="E41" s="38" t="n"/>
      <c r="F41" s="114" t="inlineStr">
        <is>
          <t>Ecoa</t>
        </is>
      </c>
      <c r="G41" s="38" t="n"/>
      <c r="H41" s="38" t="n"/>
      <c r="I41" s="38" t="n"/>
      <c r="J41" s="38" t="n"/>
      <c r="K41" s="38" t="n"/>
      <c r="L41" s="38" t="n"/>
      <c r="M41" s="38" t="n"/>
      <c r="N41" s="38" t="n"/>
      <c r="O41" s="38" t="n"/>
      <c r="P41" s="38" t="n"/>
      <c r="Q41" s="38" t="n"/>
      <c r="R41" s="38" t="n"/>
      <c r="S41" s="38" t="n"/>
      <c r="T41" s="38" t="n"/>
      <c r="U41" s="38" t="n"/>
      <c r="V41" s="38" t="n"/>
      <c r="W41" s="38" t="n"/>
      <c r="X41" s="38" t="n"/>
      <c r="Y41" s="38" t="n"/>
      <c r="Z41" s="38" t="n"/>
      <c r="AA41" s="38" t="n"/>
      <c r="AB41" s="38" t="n"/>
      <c r="AC41" s="38" t="n"/>
      <c r="AD41" s="38" t="n"/>
      <c r="AE41" s="38" t="n"/>
      <c r="AF41" s="38" t="n"/>
      <c r="AG41" s="38" t="n"/>
      <c r="AH41" s="38" t="n"/>
      <c r="AI41" s="38" t="n"/>
      <c r="AJ41" s="38" t="n"/>
      <c r="AK41" s="38" t="n"/>
      <c r="AL41" s="38" t="n"/>
      <c r="AM41" s="38" t="n"/>
      <c r="AN41" s="38" t="n"/>
      <c r="AO41" s="38" t="n"/>
      <c r="AP41" s="38" t="n"/>
      <c r="AQ41" s="38" t="n"/>
      <c r="AR41" s="38" t="n"/>
      <c r="AS41" s="38" t="n"/>
      <c r="AT41" s="38" t="n"/>
      <c r="AU41" s="38" t="n"/>
      <c r="AV41" s="38" t="n"/>
      <c r="AW41" s="38" t="n"/>
      <c r="AX41" s="38" t="n"/>
      <c r="AY41" s="38" t="n"/>
      <c r="AZ41" s="38" t="n"/>
      <c r="BA41" s="114" t="inlineStr">
        <is>
          <t>à distância</t>
        </is>
      </c>
      <c r="BB41" s="114">
        <f>ADDRESS(ROW(FICHA!AK47),COLUMN(FICHA!AK47),4)</f>
        <v/>
      </c>
      <c r="BD41" s="114" t="inlineStr">
        <is>
          <t>Odachi</t>
        </is>
      </c>
      <c r="BE41" s="114" t="inlineStr">
        <is>
          <t>Lâmina Longa</t>
        </is>
      </c>
      <c r="BF41" s="140" t="n">
        <v>2</v>
      </c>
      <c r="BG41" s="114" t="inlineStr">
        <is>
          <t>d12</t>
        </is>
      </c>
      <c r="BH41" s="114" t="inlineStr">
        <is>
          <t>Alcance · Talha · Embainhada</t>
        </is>
      </c>
      <c r="BI41" s="140" t="n">
        <v>3</v>
      </c>
      <c r="BJ41" s="140" t="n">
        <v>2</v>
      </c>
      <c r="BM41" s="140">
        <f>'FICHA PESSOAL'!$D$54</f>
        <v/>
      </c>
      <c r="BN41" s="140">
        <f>ADDRESS(ROW('FICHA PESSOAL'!D54),COLUMN('FICHA PESSOAL'!D54),4)</f>
        <v/>
      </c>
      <c r="CY41" s="114" t="inlineStr">
        <is>
          <t>limite de carga</t>
        </is>
      </c>
      <c r="CZ41" s="140">
        <f>5+DADOS!$CZ$5</f>
        <v/>
      </c>
    </row>
    <row r="42" ht="17.25" customHeight="1">
      <c r="A42" s="38" t="n"/>
      <c r="B42" s="38" t="n"/>
      <c r="C42" s="38" t="n"/>
      <c r="D42" s="38" t="n"/>
      <c r="E42" s="38" t="n"/>
      <c r="F42" s="114" t="inlineStr">
        <is>
          <t>Queima</t>
        </is>
      </c>
      <c r="G42" s="38" t="n"/>
      <c r="H42" s="38" t="n"/>
      <c r="I42" s="38" t="n"/>
      <c r="J42" s="38" t="n"/>
      <c r="K42" s="38" t="n"/>
      <c r="L42" s="38" t="n"/>
      <c r="M42" s="38" t="n"/>
      <c r="N42" s="38" t="n"/>
      <c r="O42" s="38" t="n"/>
      <c r="P42" s="38" t="n"/>
      <c r="Q42" s="38" t="n"/>
      <c r="R42" s="38" t="n"/>
      <c r="S42" s="38" t="n"/>
      <c r="T42" s="38" t="n"/>
      <c r="U42" s="38" t="n"/>
      <c r="V42" s="38" t="n"/>
      <c r="W42" s="38" t="n"/>
      <c r="X42" s="38" t="n"/>
      <c r="Y42" s="38" t="n"/>
      <c r="Z42" s="38" t="n"/>
      <c r="AA42" s="38" t="n"/>
      <c r="AB42" s="38" t="n"/>
      <c r="AC42" s="38" t="n"/>
      <c r="AD42" s="38" t="n"/>
      <c r="AE42" s="38" t="n"/>
      <c r="AF42" s="38" t="n"/>
      <c r="AG42" s="38" t="n"/>
      <c r="AH42" s="38" t="n"/>
      <c r="AI42" s="38" t="n"/>
      <c r="AJ42" s="38" t="n"/>
      <c r="AK42" s="38" t="n"/>
      <c r="AL42" s="38" t="n"/>
      <c r="AM42" s="38" t="n"/>
      <c r="AN42" s="38" t="n"/>
      <c r="AO42" s="38" t="n"/>
      <c r="AP42" s="38" t="n"/>
      <c r="AQ42" s="38" t="n"/>
      <c r="AR42" s="38" t="n"/>
      <c r="AS42" s="38" t="n"/>
      <c r="AT42" s="38" t="n"/>
      <c r="AU42" s="38" t="n"/>
      <c r="AV42" s="38" t="n"/>
      <c r="AW42" s="38" t="n"/>
      <c r="AX42" s="38" t="n"/>
      <c r="AY42" s="38" t="n"/>
      <c r="AZ42" s="38" t="n"/>
      <c r="BA42" s="114" t="inlineStr">
        <is>
          <t>maestria</t>
        </is>
      </c>
      <c r="BB42" s="114">
        <f>ADDRESS(ROW(FICHA!D51),COLUMN(FICHA!D51),4)</f>
        <v/>
      </c>
      <c r="BD42" s="114" t="inlineStr">
        <is>
          <t>Pistola</t>
        </is>
      </c>
      <c r="BE42" s="114" t="inlineStr">
        <is>
          <t>Arma de Fogo</t>
        </is>
      </c>
      <c r="BF42" s="140" t="n">
        <v>1</v>
      </c>
      <c r="BG42" s="114" t="inlineStr">
        <is>
          <t>1d10</t>
        </is>
      </c>
      <c r="BH42" s="114" t="inlineStr">
        <is>
          <t>Longo Alcance · Munição · Oculta</t>
        </is>
      </c>
      <c r="BI42" s="114" t="inlineStr">
        <is>
          <t>—</t>
        </is>
      </c>
      <c r="BJ42" s="140" t="n">
        <v>0.1</v>
      </c>
      <c r="BK42" s="114" t="inlineStr">
        <is>
          <t>9 m, longa 27 m</t>
        </is>
      </c>
      <c r="BL42" s="140" t="n">
        <v>2</v>
      </c>
      <c r="BM42" s="140">
        <f>'FICHA PESSOAL'!$M$51</f>
        <v/>
      </c>
      <c r="BN42" s="140">
        <f>ADDRESS(ROW('FICHA PESSOAL'!M51),COLUMN('FICHA PESSOAL'!M51),4)</f>
        <v/>
      </c>
      <c r="CY42" s="114" t="inlineStr">
        <is>
          <t>carga acima</t>
        </is>
      </c>
      <c r="CZ42" s="140">
        <f>IF(DADOS!$CZ$40&gt;DADOS!$CZ$41,1,0)</f>
        <v/>
      </c>
    </row>
    <row r="43" ht="17.25" customHeight="1">
      <c r="A43" s="38" t="n"/>
      <c r="B43" s="38" t="n"/>
      <c r="C43" s="38" t="n"/>
      <c r="D43" s="38" t="n"/>
      <c r="E43" s="38" t="n"/>
      <c r="F43" s="114" t="inlineStr">
        <is>
          <t>Acúmulo</t>
        </is>
      </c>
      <c r="G43" s="38" t="n"/>
      <c r="H43" s="38" t="n"/>
      <c r="I43" s="38" t="n"/>
      <c r="J43" s="38" t="n"/>
      <c r="K43" s="38" t="n"/>
      <c r="L43" s="38" t="n"/>
      <c r="M43" s="38" t="n"/>
      <c r="N43" s="38" t="n"/>
      <c r="O43" s="38" t="n"/>
      <c r="P43" s="38" t="n"/>
      <c r="Q43" s="38" t="n"/>
      <c r="R43" s="38" t="n"/>
      <c r="S43" s="38" t="n"/>
      <c r="T43" s="38" t="n"/>
      <c r="U43" s="38" t="n"/>
      <c r="V43" s="38" t="n"/>
      <c r="W43" s="38" t="n"/>
      <c r="X43" s="38" t="n"/>
      <c r="Y43" s="38" t="n"/>
      <c r="Z43" s="38" t="n"/>
      <c r="AA43" s="38" t="n"/>
      <c r="AB43" s="38" t="n"/>
      <c r="AC43" s="38" t="n"/>
      <c r="AD43" s="38" t="n"/>
      <c r="AE43" s="38" t="n"/>
      <c r="AF43" s="38" t="n"/>
      <c r="AG43" s="38" t="n"/>
      <c r="AH43" s="38" t="n"/>
      <c r="AI43" s="38" t="n"/>
      <c r="AJ43" s="38" t="n"/>
      <c r="AK43" s="38" t="n"/>
      <c r="AL43" s="38" t="n"/>
      <c r="AM43" s="38" t="n"/>
      <c r="AN43" s="38" t="n"/>
      <c r="AO43" s="38" t="n"/>
      <c r="AP43" s="38" t="n"/>
      <c r="AQ43" s="38" t="n"/>
      <c r="AR43" s="38" t="n"/>
      <c r="AS43" s="38" t="n"/>
      <c r="AT43" s="38" t="n"/>
      <c r="AU43" s="38" t="n"/>
      <c r="AV43" s="38" t="n"/>
      <c r="AW43" s="38" t="n"/>
      <c r="AX43" s="38" t="n"/>
      <c r="AY43" s="38" t="n"/>
      <c r="AZ43" s="38" t="n"/>
      <c r="BA43" s="114" t="inlineStr">
        <is>
          <t>deslocamento</t>
        </is>
      </c>
      <c r="BB43" s="114">
        <f>ADDRESS(ROW(FICHA!O51),COLUMN(FICHA!O51),4)</f>
        <v/>
      </c>
      <c r="BD43" s="114" t="inlineStr">
        <is>
          <t>Punhal</t>
        </is>
      </c>
      <c r="BE43" s="114" t="inlineStr">
        <is>
          <t>Lâmina Curta</t>
        </is>
      </c>
      <c r="BF43" s="140" t="n">
        <v>1</v>
      </c>
      <c r="BG43" s="114" t="inlineStr">
        <is>
          <t>d6</t>
        </is>
      </c>
      <c r="BH43" s="114" t="inlineStr">
        <is>
          <t>Fineza · Longo Alcance</t>
        </is>
      </c>
      <c r="BI43" s="114" t="inlineStr">
        <is>
          <t>—</t>
        </is>
      </c>
      <c r="BJ43" s="140" t="n">
        <v>1</v>
      </c>
      <c r="BK43" s="114" t="inlineStr">
        <is>
          <t>6 m, longa 18 m</t>
        </is>
      </c>
      <c r="BM43" s="140">
        <f>'FICHA PESSOAL'!$AE$51</f>
        <v/>
      </c>
      <c r="BN43" s="140">
        <f>ADDRESS(ROW('FICHA PESSOAL'!AE51),COLUMN('FICHA PESSOAL'!AE51),4)</f>
        <v/>
      </c>
      <c r="CY43" s="114" t="inlineStr">
        <is>
          <t>meia marcha</t>
        </is>
      </c>
      <c r="CZ43" s="140">
        <f>IF(OR(DADOS!$CZ$38=1,AND(DADOS!$CZ$37=1,DADOS!$CZ$19=1),DADOS!$CZ$42=1),1,0)</f>
        <v/>
      </c>
    </row>
    <row r="44" ht="17.25" customHeight="1">
      <c r="A44" s="38" t="n"/>
      <c r="B44" s="38" t="n"/>
      <c r="C44" s="38" t="n"/>
      <c r="D44" s="38" t="n"/>
      <c r="E44" s="38" t="n"/>
      <c r="F44" s="114" t="inlineStr">
        <is>
          <t>Remate</t>
        </is>
      </c>
      <c r="G44" s="38" t="n"/>
      <c r="H44" s="38" t="n"/>
      <c r="I44" s="38" t="n"/>
      <c r="J44" s="38" t="n"/>
      <c r="K44" s="38" t="n"/>
      <c r="L44" s="38" t="n"/>
      <c r="M44" s="38" t="n"/>
      <c r="N44" s="38" t="n"/>
      <c r="O44" s="38" t="n"/>
      <c r="P44" s="38" t="n"/>
      <c r="Q44" s="38" t="n"/>
      <c r="R44" s="38" t="n"/>
      <c r="S44" s="38" t="n"/>
      <c r="T44" s="38" t="n"/>
      <c r="U44" s="38" t="n"/>
      <c r="V44" s="38" t="n"/>
      <c r="W44" s="38" t="n"/>
      <c r="X44" s="38" t="n"/>
      <c r="Y44" s="38" t="n"/>
      <c r="Z44" s="38" t="n"/>
      <c r="AA44" s="38" t="n"/>
      <c r="AB44" s="38" t="n"/>
      <c r="AC44" s="38" t="n"/>
      <c r="AD44" s="38" t="n"/>
      <c r="AE44" s="38" t="n"/>
      <c r="AF44" s="38" t="n"/>
      <c r="AG44" s="38" t="n"/>
      <c r="AH44" s="38" t="n"/>
      <c r="AI44" s="38" t="n"/>
      <c r="AJ44" s="38" t="n"/>
      <c r="AK44" s="38" t="n"/>
      <c r="AL44" s="38" t="n"/>
      <c r="AM44" s="38" t="n"/>
      <c r="AN44" s="38" t="n"/>
      <c r="AO44" s="38" t="n"/>
      <c r="AP44" s="38" t="n"/>
      <c r="AQ44" s="38" t="n"/>
      <c r="AR44" s="38" t="n"/>
      <c r="AS44" s="38" t="n"/>
      <c r="AT44" s="38" t="n"/>
      <c r="AU44" s="38" t="n"/>
      <c r="AV44" s="38" t="n"/>
      <c r="AW44" s="38" t="n"/>
      <c r="AX44" s="38" t="n"/>
      <c r="AY44" s="38" t="n"/>
      <c r="AZ44" s="38" t="n"/>
      <c r="BA44" s="114" t="inlineStr">
        <is>
          <t>espaços de feitiço</t>
        </is>
      </c>
      <c r="BB44" s="114">
        <f>ADDRESS(ROW(FICHA!D57),COLUMN(FICHA!D57),4)</f>
        <v/>
      </c>
      <c r="BD44" s="114" t="inlineStr">
        <is>
          <t>Rapieira</t>
        </is>
      </c>
      <c r="BE44" s="114" t="inlineStr">
        <is>
          <t>Lâmina Longa</t>
        </is>
      </c>
      <c r="BF44" s="140" t="n">
        <v>1</v>
      </c>
      <c r="BG44" s="114" t="inlineStr">
        <is>
          <t>d6</t>
        </is>
      </c>
      <c r="BH44" s="114" t="inlineStr">
        <is>
          <t>Fineza · Talha</t>
        </is>
      </c>
      <c r="BI44" s="114" t="inlineStr">
        <is>
          <t>—</t>
        </is>
      </c>
      <c r="BJ44" s="140" t="n">
        <v>1</v>
      </c>
      <c r="BM44" s="140">
        <f>'FICHA PESSOAL'!$D$55</f>
        <v/>
      </c>
      <c r="BN44" s="140">
        <f>ADDRESS(ROW('FICHA PESSOAL'!D55),COLUMN('FICHA PESSOAL'!D55),4)</f>
        <v/>
      </c>
      <c r="CY44" s="114" t="inlineStr">
        <is>
          <t>xp total</t>
        </is>
      </c>
      <c r="CZ44" s="140">
        <f>SUM('FICHA PESSOAL'!$BA$15:$BA$64)+SUM('FICHA PESSOAL'!$BG$15:$BG$64)+SUM('FICHA PESSOAL'!$BM$15:$BM$64)+SUM('FICHA PESSOAL'!$BS$15:$BS$64)</f>
        <v/>
      </c>
    </row>
    <row r="45" ht="17.25" customHeight="1">
      <c r="A45" s="38" t="n"/>
      <c r="B45" s="38" t="n"/>
      <c r="C45" s="38" t="n"/>
      <c r="D45" s="38" t="n"/>
      <c r="E45" s="38" t="n"/>
      <c r="F45" s="114" t="inlineStr">
        <is>
          <t>Estilhaço</t>
        </is>
      </c>
      <c r="G45" s="38" t="n"/>
      <c r="H45" s="38" t="n"/>
      <c r="I45" s="38" t="n"/>
      <c r="J45" s="38" t="n"/>
      <c r="K45" s="38" t="n"/>
      <c r="L45" s="38" t="n"/>
      <c r="M45" s="38" t="n"/>
      <c r="N45" s="38" t="n"/>
      <c r="O45" s="38" t="n"/>
      <c r="P45" s="38" t="n"/>
      <c r="Q45" s="38" t="n"/>
      <c r="R45" s="38" t="n"/>
      <c r="S45" s="38" t="n"/>
      <c r="T45" s="38" t="n"/>
      <c r="U45" s="38" t="n"/>
      <c r="V45" s="38" t="n"/>
      <c r="W45" s="38" t="n"/>
      <c r="X45" s="38" t="n"/>
      <c r="Y45" s="38" t="n"/>
      <c r="Z45" s="38" t="n"/>
      <c r="AA45" s="38" t="n"/>
      <c r="AB45" s="38" t="n"/>
      <c r="AC45" s="38" t="n"/>
      <c r="AD45" s="38" t="n"/>
      <c r="AE45" s="38" t="n"/>
      <c r="AF45" s="38" t="n"/>
      <c r="AG45" s="38" t="n"/>
      <c r="AH45" s="38" t="n"/>
      <c r="AI45" s="38" t="n"/>
      <c r="AJ45" s="38" t="n"/>
      <c r="AK45" s="38" t="n"/>
      <c r="AL45" s="38" t="n"/>
      <c r="AM45" s="38" t="n"/>
      <c r="AN45" s="38" t="n"/>
      <c r="AO45" s="38" t="n"/>
      <c r="AP45" s="38" t="n"/>
      <c r="AQ45" s="38" t="n"/>
      <c r="AR45" s="38" t="n"/>
      <c r="AS45" s="38" t="n"/>
      <c r="AT45" s="38" t="n"/>
      <c r="AU45" s="38" t="n"/>
      <c r="AV45" s="38" t="n"/>
      <c r="AW45" s="38" t="n"/>
      <c r="AX45" s="38" t="n"/>
      <c r="AY45" s="38" t="n"/>
      <c r="AZ45" s="38" t="n"/>
      <c r="BA45" s="114" t="inlineStr">
        <is>
          <t>refino de graça</t>
        </is>
      </c>
      <c r="BB45" s="114">
        <f>ADDRESS(ROW(FICHA!O57),COLUMN(FICHA!O57),4)</f>
        <v/>
      </c>
      <c r="BD45" s="114" t="inlineStr">
        <is>
          <t>Revólver</t>
        </is>
      </c>
      <c r="BE45" s="114" t="inlineStr">
        <is>
          <t>Arma de Fogo</t>
        </is>
      </c>
      <c r="BF45" s="140" t="n">
        <v>1</v>
      </c>
      <c r="BG45" s="114" t="inlineStr">
        <is>
          <t>1d10</t>
        </is>
      </c>
      <c r="BH45" s="114" t="inlineStr">
        <is>
          <t>Longo Alcance · Munição · Oculta</t>
        </is>
      </c>
      <c r="BI45" s="114" t="inlineStr">
        <is>
          <t>—</t>
        </is>
      </c>
      <c r="BJ45" s="140" t="n">
        <v>0.1</v>
      </c>
      <c r="BK45" s="114" t="inlineStr">
        <is>
          <t>12 m, longa 36 m</t>
        </is>
      </c>
      <c r="BL45" s="140" t="n">
        <v>2</v>
      </c>
      <c r="BM45" s="140">
        <f>'FICHA PESSOAL'!$M$52</f>
        <v/>
      </c>
      <c r="BN45" s="140">
        <f>ADDRESS(ROW('FICHA PESSOAL'!M52),COLUMN('FICHA PESSOAL'!M52),4)</f>
        <v/>
      </c>
      <c r="CY45" s="114" t="inlineStr">
        <is>
          <t>nível</t>
        </is>
      </c>
      <c r="CZ45" s="140">
        <f>N(FICHA!$AH$11)</f>
        <v/>
      </c>
    </row>
    <row r="46" ht="17.25" customHeight="1">
      <c r="A46" s="38" t="n"/>
      <c r="B46" s="38" t="n"/>
      <c r="C46" s="38" t="n"/>
      <c r="D46" s="38" t="n"/>
      <c r="E46" s="38" t="n"/>
      <c r="F46" s="114" t="inlineStr">
        <is>
          <t>Quebra Coisa</t>
        </is>
      </c>
      <c r="G46" s="38" t="n"/>
      <c r="H46" s="38" t="n"/>
      <c r="I46" s="38" t="n"/>
      <c r="J46" s="38" t="n"/>
      <c r="K46" s="38" t="n"/>
      <c r="L46" s="38" t="n"/>
      <c r="M46" s="38" t="n"/>
      <c r="N46" s="38" t="n"/>
      <c r="O46" s="38" t="n"/>
      <c r="P46" s="38" t="n"/>
      <c r="Q46" s="38" t="n"/>
      <c r="R46" s="38" t="n"/>
      <c r="S46" s="38" t="n"/>
      <c r="T46" s="38" t="n"/>
      <c r="U46" s="38" t="n"/>
      <c r="V46" s="38" t="n"/>
      <c r="W46" s="38" t="n"/>
      <c r="X46" s="38" t="n"/>
      <c r="Y46" s="38" t="n"/>
      <c r="Z46" s="38" t="n"/>
      <c r="AA46" s="38" t="n"/>
      <c r="AB46" s="38" t="n"/>
      <c r="AC46" s="38" t="n"/>
      <c r="AD46" s="38" t="n"/>
      <c r="AE46" s="38" t="n"/>
      <c r="AF46" s="38" t="n"/>
      <c r="AG46" s="38" t="n"/>
      <c r="AH46" s="38" t="n"/>
      <c r="AI46" s="38" t="n"/>
      <c r="AJ46" s="38" t="n"/>
      <c r="AK46" s="38" t="n"/>
      <c r="AL46" s="38" t="n"/>
      <c r="AM46" s="38" t="n"/>
      <c r="AN46" s="38" t="n"/>
      <c r="AO46" s="38" t="n"/>
      <c r="AP46" s="38" t="n"/>
      <c r="AQ46" s="38" t="n"/>
      <c r="AR46" s="38" t="n"/>
      <c r="AS46" s="38" t="n"/>
      <c r="AT46" s="38" t="n"/>
      <c r="AU46" s="38" t="n"/>
      <c r="AV46" s="38" t="n"/>
      <c r="AW46" s="38" t="n"/>
      <c r="AX46" s="38" t="n"/>
      <c r="AY46" s="38" t="n"/>
      <c r="AZ46" s="38" t="n"/>
      <c r="BA46" s="114" t="inlineStr">
        <is>
          <t>classe máxima</t>
        </is>
      </c>
      <c r="BB46" s="114">
        <f>ADDRESS(ROW(FICHA!Z57),COLUMN(FICHA!Z57),4)</f>
        <v/>
      </c>
      <c r="BD46" s="114" t="inlineStr">
        <is>
          <t>Rifle</t>
        </is>
      </c>
      <c r="BE46" s="114" t="inlineStr">
        <is>
          <t>Arma de Fogo</t>
        </is>
      </c>
      <c r="BF46" s="140" t="n">
        <v>2</v>
      </c>
      <c r="BG46" s="114" t="inlineStr">
        <is>
          <t>2d8</t>
        </is>
      </c>
      <c r="BH46" s="114" t="inlineStr">
        <is>
          <t>Longo Alcance · Munição · Talha</t>
        </is>
      </c>
      <c r="BI46" s="140" t="n">
        <v>1</v>
      </c>
      <c r="BJ46" s="140" t="n">
        <v>2</v>
      </c>
      <c r="BK46" s="114" t="inlineStr">
        <is>
          <t>24 m, longa 72 m</t>
        </is>
      </c>
      <c r="BL46" s="140" t="n">
        <v>3</v>
      </c>
      <c r="BM46" s="140">
        <f>'FICHA PESSOAL'!$M$53</f>
        <v/>
      </c>
      <c r="BN46" s="140">
        <f>ADDRESS(ROW('FICHA PESSOAL'!M53),COLUMN('FICHA PESSOAL'!M53),4)</f>
        <v/>
      </c>
      <c r="CY46" s="114" t="inlineStr">
        <is>
          <t>xp do próximo nível</t>
        </is>
      </c>
      <c r="CZ46" s="140">
        <f>IFERROR(VLOOKUP(DADOS!$CZ$45+1,DADOS!$AQ$5:$AR$33,2,FALSE),"")</f>
        <v/>
      </c>
    </row>
    <row r="47" ht="17.25" customHeight="1">
      <c r="A47" s="38" t="n"/>
      <c r="B47" s="38" t="n"/>
      <c r="C47" s="38" t="n"/>
      <c r="D47" s="38" t="n"/>
      <c r="E47" s="38" t="n"/>
      <c r="F47" s="114" t="inlineStr">
        <is>
          <t>Rasga Escudo</t>
        </is>
      </c>
      <c r="G47" s="38" t="n"/>
      <c r="H47" s="38" t="n"/>
      <c r="I47" s="38" t="n"/>
      <c r="J47" s="38" t="n"/>
      <c r="K47" s="38" t="n"/>
      <c r="L47" s="38" t="n"/>
      <c r="M47" s="38" t="n"/>
      <c r="N47" s="38" t="n"/>
      <c r="O47" s="38" t="n"/>
      <c r="P47" s="38" t="n"/>
      <c r="Q47" s="38" t="n"/>
      <c r="R47" s="38" t="n"/>
      <c r="S47" s="38" t="n"/>
      <c r="T47" s="38" t="n"/>
      <c r="U47" s="38" t="n"/>
      <c r="V47" s="38" t="n"/>
      <c r="W47" s="38" t="n"/>
      <c r="X47" s="38" t="n"/>
      <c r="Y47" s="38" t="n"/>
      <c r="Z47" s="38" t="n"/>
      <c r="AA47" s="38" t="n"/>
      <c r="AB47" s="38" t="n"/>
      <c r="AC47" s="38" t="n"/>
      <c r="AD47" s="38" t="n"/>
      <c r="AE47" s="38" t="n"/>
      <c r="AF47" s="38" t="n"/>
      <c r="AG47" s="38" t="n"/>
      <c r="AH47" s="38" t="n"/>
      <c r="AI47" s="38" t="n"/>
      <c r="AJ47" s="38" t="n"/>
      <c r="AK47" s="38" t="n"/>
      <c r="AL47" s="38" t="n"/>
      <c r="AM47" s="38" t="n"/>
      <c r="AN47" s="38" t="n"/>
      <c r="AO47" s="38" t="n"/>
      <c r="AP47" s="38" t="n"/>
      <c r="AQ47" s="38" t="n"/>
      <c r="AR47" s="38" t="n"/>
      <c r="AS47" s="38" t="n"/>
      <c r="AT47" s="38" t="n"/>
      <c r="AU47" s="38" t="n"/>
      <c r="AV47" s="38" t="n"/>
      <c r="AW47" s="38" t="n"/>
      <c r="AX47" s="38" t="n"/>
      <c r="AY47" s="38" t="n"/>
      <c r="AZ47" s="38" t="n"/>
      <c r="BA47" s="114" t="inlineStr">
        <is>
          <t>classe 0 grátis</t>
        </is>
      </c>
      <c r="BB47" s="114">
        <f>ADDRESS(ROW(FICHA!AK57),COLUMN(FICHA!AK57),4)</f>
        <v/>
      </c>
      <c r="BD47" s="114" t="inlineStr">
        <is>
          <t>Rifle de Precisão</t>
        </is>
      </c>
      <c r="BE47" s="114" t="inlineStr">
        <is>
          <t>Arma de Fogo</t>
        </is>
      </c>
      <c r="BF47" s="140" t="n">
        <v>2</v>
      </c>
      <c r="BG47" s="114" t="inlineStr">
        <is>
          <t>2d10</t>
        </is>
      </c>
      <c r="BH47" s="114" t="inlineStr">
        <is>
          <t>Longo Alcance · Munição</t>
        </is>
      </c>
      <c r="BI47" s="140" t="n">
        <v>3</v>
      </c>
      <c r="BJ47" s="140" t="n">
        <v>2</v>
      </c>
      <c r="BK47" s="114" t="inlineStr">
        <is>
          <t>24 m, longa 72 m</t>
        </is>
      </c>
      <c r="BL47" s="140" t="n">
        <v>2</v>
      </c>
      <c r="BM47" s="140">
        <f>'FICHA PESSOAL'!$M$54</f>
        <v/>
      </c>
      <c r="BN47" s="140">
        <f>ADDRESS(ROW('FICHA PESSOAL'!M54),COLUMN('FICHA PESSOAL'!M54),4)</f>
        <v/>
      </c>
      <c r="CY47" s="114" t="inlineStr">
        <is>
          <t>xp deste nível</t>
        </is>
      </c>
      <c r="CZ47" s="140">
        <f>IFERROR(VLOOKUP(DADOS!$CZ$45,DADOS!$AQ$5:$AR$33,2,FALSE),0)</f>
        <v/>
      </c>
    </row>
    <row r="48" ht="17.25" customHeight="1">
      <c r="A48" s="38" t="n"/>
      <c r="B48" s="38" t="n"/>
      <c r="C48" s="38" t="n"/>
      <c r="D48" s="38" t="n"/>
      <c r="E48" s="38" t="n"/>
      <c r="F48" s="114" t="inlineStr">
        <is>
          <t>Sem Cura</t>
        </is>
      </c>
      <c r="G48" s="38" t="n"/>
      <c r="H48" s="38" t="n"/>
      <c r="I48" s="38" t="n"/>
      <c r="J48" s="38" t="n"/>
      <c r="K48" s="38" t="n"/>
      <c r="L48" s="38" t="n"/>
      <c r="M48" s="38" t="n"/>
      <c r="N48" s="38" t="n"/>
      <c r="O48" s="38" t="n"/>
      <c r="P48" s="38" t="n"/>
      <c r="Q48" s="38" t="n"/>
      <c r="R48" s="38" t="n"/>
      <c r="S48" s="38" t="n"/>
      <c r="T48" s="38" t="n"/>
      <c r="U48" s="38" t="n"/>
      <c r="V48" s="38" t="n"/>
      <c r="W48" s="38" t="n"/>
      <c r="X48" s="38" t="n"/>
      <c r="Y48" s="38" t="n"/>
      <c r="Z48" s="38" t="n"/>
      <c r="AA48" s="38" t="n"/>
      <c r="AB48" s="38" t="n"/>
      <c r="AC48" s="38" t="n"/>
      <c r="AD48" s="38" t="n"/>
      <c r="AE48" s="38" t="n"/>
      <c r="AF48" s="38" t="n"/>
      <c r="AG48" s="38" t="n"/>
      <c r="AH48" s="38" t="n"/>
      <c r="AI48" s="38" t="n"/>
      <c r="AJ48" s="38" t="n"/>
      <c r="AK48" s="38" t="n"/>
      <c r="AL48" s="38" t="n"/>
      <c r="AM48" s="38" t="n"/>
      <c r="AN48" s="38" t="n"/>
      <c r="AO48" s="38" t="n"/>
      <c r="AP48" s="38" t="n"/>
      <c r="AQ48" s="38" t="n"/>
      <c r="AR48" s="38" t="n"/>
      <c r="AS48" s="38" t="n"/>
      <c r="AT48" s="38" t="n"/>
      <c r="AU48" s="38" t="n"/>
      <c r="AV48" s="38" t="n"/>
      <c r="AW48" s="38" t="n"/>
      <c r="AX48" s="38" t="n"/>
      <c r="AY48" s="38" t="n"/>
      <c r="AZ48" s="38" t="n"/>
      <c r="BA48" s="114" t="inlineStr">
        <is>
          <t>refino escolhido</t>
        </is>
      </c>
      <c r="BB48" s="114">
        <f>ADDRESS(ROW(FICHA!AO40),COLUMN(FICHA!AO40),4)</f>
        <v/>
      </c>
      <c r="BD48" s="114" t="inlineStr">
        <is>
          <t>Sai</t>
        </is>
      </c>
      <c r="BE48" s="114" t="inlineStr">
        <is>
          <t>Lâmina Curta</t>
        </is>
      </c>
      <c r="BF48" s="140" t="n">
        <v>1</v>
      </c>
      <c r="BG48" s="114" t="inlineStr">
        <is>
          <t>d6</t>
        </is>
      </c>
      <c r="BH48" s="114" t="inlineStr">
        <is>
          <t>Fineza · Par</t>
        </is>
      </c>
      <c r="BI48" s="114" t="inlineStr">
        <is>
          <t>—</t>
        </is>
      </c>
      <c r="BJ48" s="140" t="n">
        <v>1</v>
      </c>
      <c r="BM48" s="140">
        <f>'FICHA PESSOAL'!$AE$52</f>
        <v/>
      </c>
      <c r="BN48" s="140">
        <f>ADDRESS(ROW('FICHA PESSOAL'!AE52),COLUMN('FICHA PESSOAL'!AE52),4)</f>
        <v/>
      </c>
      <c r="CY48" s="114" t="inlineStr">
        <is>
          <t>cor da barra cheia</t>
        </is>
      </c>
      <c r="CZ48" s="140" t="inlineStr">
        <is>
          <t>#E8DCD4</t>
        </is>
      </c>
    </row>
    <row r="49" ht="17.25" customHeight="1">
      <c r="A49" s="38" t="n"/>
      <c r="B49" s="38" t="n"/>
      <c r="C49" s="38" t="n"/>
      <c r="D49" s="38" t="n"/>
      <c r="E49" s="38" t="n"/>
      <c r="F49" s="114" t="inlineStr">
        <is>
          <t>Rápido</t>
        </is>
      </c>
      <c r="G49" s="38" t="n"/>
      <c r="H49" s="38" t="n"/>
      <c r="I49" s="38" t="n"/>
      <c r="J49" s="38" t="n"/>
      <c r="K49" s="38" t="n"/>
      <c r="L49" s="38" t="n"/>
      <c r="M49" s="38" t="n"/>
      <c r="N49" s="38" t="n"/>
      <c r="O49" s="38" t="n"/>
      <c r="P49" s="38" t="n"/>
      <c r="Q49" s="38" t="n"/>
      <c r="R49" s="38" t="n"/>
      <c r="S49" s="38" t="n"/>
      <c r="T49" s="38" t="n"/>
      <c r="U49" s="38" t="n"/>
      <c r="V49" s="38" t="n"/>
      <c r="W49" s="38" t="n"/>
      <c r="X49" s="38" t="n"/>
      <c r="Y49" s="38" t="n"/>
      <c r="Z49" s="38" t="n"/>
      <c r="AA49" s="38" t="n"/>
      <c r="AB49" s="38" t="n"/>
      <c r="AC49" s="38" t="n"/>
      <c r="AD49" s="38" t="n"/>
      <c r="AE49" s="38" t="n"/>
      <c r="AF49" s="38" t="n"/>
      <c r="AG49" s="38" t="n"/>
      <c r="AH49" s="38" t="n"/>
      <c r="AI49" s="38" t="n"/>
      <c r="AJ49" s="38" t="n"/>
      <c r="AK49" s="38" t="n"/>
      <c r="AL49" s="38" t="n"/>
      <c r="AM49" s="38" t="n"/>
      <c r="AN49" s="38" t="n"/>
      <c r="AO49" s="38" t="n"/>
      <c r="AP49" s="38" t="n"/>
      <c r="AQ49" s="38" t="n"/>
      <c r="AR49" s="38" t="n"/>
      <c r="AS49" s="38" t="n"/>
      <c r="AT49" s="38" t="n"/>
      <c r="AU49" s="38" t="n"/>
      <c r="AV49" s="38" t="n"/>
      <c r="AW49" s="38" t="n"/>
      <c r="AX49" s="38" t="n"/>
      <c r="AY49" s="38" t="n"/>
      <c r="AZ49" s="38" t="n"/>
      <c r="BA49" s="114" t="inlineStr">
        <is>
          <t>marco corpo</t>
        </is>
      </c>
      <c r="BB49" s="114">
        <f>ADDRESS(ROW(FICHA!AQ40),COLUMN(FICHA!AQ40),4)</f>
        <v/>
      </c>
      <c r="BD49" s="114" t="inlineStr">
        <is>
          <t>Shuriken</t>
        </is>
      </c>
      <c r="BE49" s="114" t="inlineStr">
        <is>
          <t>Arremesso</t>
        </is>
      </c>
      <c r="BF49" s="140" t="n">
        <v>1</v>
      </c>
      <c r="BG49" s="114" t="inlineStr">
        <is>
          <t>d4</t>
        </is>
      </c>
      <c r="BH49" s="114" t="inlineStr">
        <is>
          <t>Longo Alcance · Oculta · Par</t>
        </is>
      </c>
      <c r="BI49" s="114" t="inlineStr">
        <is>
          <t>—</t>
        </is>
      </c>
      <c r="BJ49" s="140" t="n">
        <v>0.1</v>
      </c>
      <c r="BK49" s="114" t="inlineStr">
        <is>
          <t>6 m, longa 18 m</t>
        </is>
      </c>
      <c r="BM49" s="140">
        <f>'FICHA PESSOAL'!$M$59</f>
        <v/>
      </c>
      <c r="BN49" s="140">
        <f>ADDRESS(ROW('FICHA PESSOAL'!M59),COLUMN('FICHA PESSOAL'!M59),4)</f>
        <v/>
      </c>
    </row>
    <row r="50" ht="17.25" customHeight="1">
      <c r="A50" s="38" t="n"/>
      <c r="B50" s="38" t="n"/>
      <c r="C50" s="38" t="n"/>
      <c r="D50" s="38" t="n"/>
      <c r="E50" s="38" t="n"/>
      <c r="F50" s="114" t="inlineStr">
        <is>
          <t>Reação</t>
        </is>
      </c>
      <c r="G50" s="38" t="n"/>
      <c r="H50" s="38" t="n"/>
      <c r="I50" s="38" t="n"/>
      <c r="J50" s="38" t="n"/>
      <c r="K50" s="38" t="n"/>
      <c r="L50" s="38" t="n"/>
      <c r="M50" s="38" t="n"/>
      <c r="N50" s="38" t="n"/>
      <c r="O50" s="38" t="n"/>
      <c r="P50" s="38" t="n"/>
      <c r="Q50" s="38" t="n"/>
      <c r="R50" s="38" t="n"/>
      <c r="S50" s="38" t="n"/>
      <c r="T50" s="38" t="n"/>
      <c r="U50" s="38" t="n"/>
      <c r="V50" s="38" t="n"/>
      <c r="W50" s="38" t="n"/>
      <c r="X50" s="38" t="n"/>
      <c r="Y50" s="38" t="n"/>
      <c r="Z50" s="38" t="n"/>
      <c r="AA50" s="38" t="n"/>
      <c r="AB50" s="38" t="n"/>
      <c r="AC50" s="38" t="n"/>
      <c r="AD50" s="38" t="n"/>
      <c r="AE50" s="38" t="n"/>
      <c r="AF50" s="38" t="n"/>
      <c r="AG50" s="38" t="n"/>
      <c r="AH50" s="38" t="n"/>
      <c r="AI50" s="38" t="n"/>
      <c r="AJ50" s="38" t="n"/>
      <c r="AK50" s="38" t="n"/>
      <c r="AL50" s="38" t="n"/>
      <c r="AM50" s="38" t="n"/>
      <c r="AN50" s="38" t="n"/>
      <c r="AO50" s="38" t="n"/>
      <c r="AP50" s="38" t="n"/>
      <c r="AQ50" s="38" t="n"/>
      <c r="AR50" s="38" t="n"/>
      <c r="AS50" s="38" t="n"/>
      <c r="AT50" s="38" t="n"/>
      <c r="AU50" s="38" t="n"/>
      <c r="AV50" s="38" t="n"/>
      <c r="AW50" s="38" t="n"/>
      <c r="AX50" s="38" t="n"/>
      <c r="AY50" s="38" t="n"/>
      <c r="AZ50" s="38" t="n"/>
      <c r="BA50" s="114" t="inlineStr">
        <is>
          <t>marco leque</t>
        </is>
      </c>
      <c r="BB50" s="114">
        <f>ADDRESS(ROW(FICHA!AS40),COLUMN(FICHA!AS40),4)</f>
        <v/>
      </c>
      <c r="BD50" s="114" t="inlineStr">
        <is>
          <t>Soqueira</t>
        </is>
      </c>
      <c r="BE50" s="114" t="inlineStr">
        <is>
          <t>Manopla</t>
        </is>
      </c>
      <c r="BF50" s="140" t="n">
        <v>1</v>
      </c>
      <c r="BG50" s="114" t="inlineStr">
        <is>
          <t>d4</t>
        </is>
      </c>
      <c r="BH50" s="114" t="inlineStr">
        <is>
          <t>Vestida · Oculta · Par</t>
        </is>
      </c>
      <c r="BI50" s="114" t="inlineStr">
        <is>
          <t>—</t>
        </is>
      </c>
      <c r="BJ50" s="140" t="n">
        <v>0.1</v>
      </c>
      <c r="BM50" s="140">
        <f>'FICHA PESSOAL'!$AE$59</f>
        <v/>
      </c>
      <c r="BN50" s="140">
        <f>ADDRESS(ROW('FICHA PESSOAL'!AE59),COLUMN('FICHA PESSOAL'!AE59),4)</f>
        <v/>
      </c>
    </row>
    <row r="51" ht="17.25" customHeight="1">
      <c r="A51" s="38" t="n"/>
      <c r="B51" s="38" t="n"/>
      <c r="C51" s="38" t="n"/>
      <c r="D51" s="38" t="n"/>
      <c r="E51" s="38" t="n"/>
      <c r="F51" s="114" t="inlineStr">
        <is>
          <t>Armado</t>
        </is>
      </c>
      <c r="G51" s="38" t="n"/>
      <c r="H51" s="38" t="n"/>
      <c r="I51" s="38" t="n"/>
      <c r="J51" s="38" t="n"/>
      <c r="K51" s="38" t="n"/>
      <c r="L51" s="38" t="n"/>
      <c r="M51" s="38" t="n"/>
      <c r="N51" s="38" t="n"/>
      <c r="O51" s="38" t="n"/>
      <c r="P51" s="38" t="n"/>
      <c r="Q51" s="38" t="n"/>
      <c r="R51" s="38" t="n"/>
      <c r="S51" s="38" t="n"/>
      <c r="T51" s="38" t="n"/>
      <c r="U51" s="38" t="n"/>
      <c r="V51" s="38" t="n"/>
      <c r="W51" s="38" t="n"/>
      <c r="X51" s="38" t="n"/>
      <c r="Y51" s="38" t="n"/>
      <c r="Z51" s="38" t="n"/>
      <c r="AA51" s="38" t="n"/>
      <c r="AB51" s="38" t="n"/>
      <c r="AC51" s="38" t="n"/>
      <c r="AD51" s="38" t="n"/>
      <c r="AE51" s="38" t="n"/>
      <c r="AF51" s="38" t="n"/>
      <c r="AG51" s="38" t="n"/>
      <c r="AH51" s="38" t="n"/>
      <c r="AI51" s="38" t="n"/>
      <c r="AJ51" s="38" t="n"/>
      <c r="AK51" s="38" t="n"/>
      <c r="AL51" s="38" t="n"/>
      <c r="AM51" s="38" t="n"/>
      <c r="AN51" s="38" t="n"/>
      <c r="AO51" s="38" t="n"/>
      <c r="AP51" s="38" t="n"/>
      <c r="AQ51" s="38" t="n"/>
      <c r="AR51" s="38" t="n"/>
      <c r="AS51" s="38" t="n"/>
      <c r="AT51" s="38" t="n"/>
      <c r="AU51" s="38" t="n"/>
      <c r="AV51" s="38" t="n"/>
      <c r="AW51" s="38" t="n"/>
      <c r="AX51" s="38" t="n"/>
      <c r="AY51" s="38" t="n"/>
      <c r="AZ51" s="38" t="n"/>
      <c r="BA51" s="114" t="inlineStr">
        <is>
          <t>marcos escolhidos</t>
        </is>
      </c>
      <c r="BB51" s="114">
        <f>ADDRESS(ROW(FICHA!AK40),COLUMN(FICHA!AK40),4)</f>
        <v/>
      </c>
      <c r="BD51" s="114" t="inlineStr">
        <is>
          <t>Submetralhadora</t>
        </is>
      </c>
      <c r="BE51" s="114" t="inlineStr">
        <is>
          <t>Arma de Fogo</t>
        </is>
      </c>
      <c r="BF51" s="140" t="n">
        <v>2</v>
      </c>
      <c r="BG51" s="114" t="inlineStr">
        <is>
          <t>2d6</t>
        </is>
      </c>
      <c r="BH51" s="114" t="inlineStr">
        <is>
          <t>Longo Alcance · Munição · Par · Oculta</t>
        </is>
      </c>
      <c r="BI51" s="114" t="inlineStr">
        <is>
          <t>—</t>
        </is>
      </c>
      <c r="BJ51" s="140" t="n">
        <v>2</v>
      </c>
      <c r="BK51" s="114" t="inlineStr">
        <is>
          <t>15 m, longa 45 m</t>
        </is>
      </c>
      <c r="BL51" s="140" t="n">
        <v>3</v>
      </c>
      <c r="BM51" s="140">
        <f>'FICHA PESSOAL'!$M$55</f>
        <v/>
      </c>
      <c r="BN51" s="140">
        <f>ADDRESS(ROW('FICHA PESSOAL'!M55),COLUMN('FICHA PESSOAL'!M55),4)</f>
        <v/>
      </c>
    </row>
    <row r="52" ht="17.25" customHeight="1">
      <c r="A52" s="38" t="n"/>
      <c r="B52" s="38" t="n"/>
      <c r="C52" s="38" t="n"/>
      <c r="D52" s="38" t="n"/>
      <c r="E52" s="38" t="n"/>
      <c r="F52" s="114" t="inlineStr">
        <is>
          <t>Silencioso</t>
        </is>
      </c>
      <c r="G52" s="38" t="n"/>
      <c r="H52" s="38" t="n"/>
      <c r="I52" s="38" t="n"/>
      <c r="J52" s="38" t="n"/>
      <c r="K52" s="38" t="n"/>
      <c r="L52" s="38" t="n"/>
      <c r="M52" s="38" t="n"/>
      <c r="N52" s="38" t="n"/>
      <c r="O52" s="38" t="n"/>
      <c r="P52" s="38" t="n"/>
      <c r="Q52" s="38" t="n"/>
      <c r="R52" s="38" t="n"/>
      <c r="S52" s="38" t="n"/>
      <c r="T52" s="38" t="n"/>
      <c r="U52" s="38" t="n"/>
      <c r="V52" s="38" t="n"/>
      <c r="W52" s="38" t="n"/>
      <c r="X52" s="38" t="n"/>
      <c r="Y52" s="38" t="n"/>
      <c r="Z52" s="38" t="n"/>
      <c r="AA52" s="38" t="n"/>
      <c r="AB52" s="38" t="n"/>
      <c r="AC52" s="38" t="n"/>
      <c r="AD52" s="38" t="n"/>
      <c r="AE52" s="38" t="n"/>
      <c r="AF52" s="38" t="n"/>
      <c r="AG52" s="38" t="n"/>
      <c r="AH52" s="38" t="n"/>
      <c r="AI52" s="38" t="n"/>
      <c r="AJ52" s="38" t="n"/>
      <c r="AK52" s="38" t="n"/>
      <c r="AL52" s="38" t="n"/>
      <c r="AM52" s="38" t="n"/>
      <c r="AN52" s="38" t="n"/>
      <c r="AO52" s="38" t="n"/>
      <c r="AP52" s="38" t="n"/>
      <c r="AQ52" s="38" t="n"/>
      <c r="AR52" s="38" t="n"/>
      <c r="AS52" s="38" t="n"/>
      <c r="AT52" s="38" t="n"/>
      <c r="AU52" s="38" t="n"/>
      <c r="AV52" s="38" t="n"/>
      <c r="AW52" s="38" t="n"/>
      <c r="AX52" s="38" t="n"/>
      <c r="AY52" s="38" t="n"/>
      <c r="AZ52" s="38" t="n"/>
      <c r="BA52" s="114" t="inlineStr">
        <is>
          <t>buff de defesa</t>
        </is>
      </c>
      <c r="BB52" s="114">
        <f>ADDRESS(ROW(FICHA!L43),COLUMN(FICHA!L43),4)</f>
        <v/>
      </c>
      <c r="BD52" s="114" t="inlineStr">
        <is>
          <t>Taco</t>
        </is>
      </c>
      <c r="BE52" s="114" t="inlineStr">
        <is>
          <t>Massa</t>
        </is>
      </c>
      <c r="BF52" s="140" t="n">
        <v>1</v>
      </c>
      <c r="BG52" s="114" t="inlineStr">
        <is>
          <t>d8</t>
        </is>
      </c>
      <c r="BH52" s="114" t="inlineStr">
        <is>
          <t>Versátil · Oculta</t>
        </is>
      </c>
      <c r="BI52" s="114" t="inlineStr">
        <is>
          <t>—</t>
        </is>
      </c>
      <c r="BJ52" s="140" t="n">
        <v>0.1</v>
      </c>
      <c r="BM52" s="140">
        <f>'FICHA PESSOAL'!$AM$53</f>
        <v/>
      </c>
      <c r="BN52" s="140">
        <f>ADDRESS(ROW('FICHA PESSOAL'!AM53),COLUMN('FICHA PESSOAL'!AM53),4)</f>
        <v/>
      </c>
    </row>
    <row r="53" ht="17.25" customHeight="1">
      <c r="A53" s="38" t="n"/>
      <c r="B53" s="38" t="n"/>
      <c r="C53" s="38" t="n"/>
      <c r="D53" s="38" t="n"/>
      <c r="E53" s="38" t="n"/>
      <c r="F53" s="114" t="inlineStr">
        <is>
          <t>Adianta</t>
        </is>
      </c>
      <c r="G53" s="38" t="n"/>
      <c r="H53" s="38" t="n"/>
      <c r="I53" s="38" t="n"/>
      <c r="J53" s="38" t="n"/>
      <c r="K53" s="38" t="n"/>
      <c r="L53" s="38" t="n"/>
      <c r="M53" s="38" t="n"/>
      <c r="N53" s="38" t="n"/>
      <c r="O53" s="38" t="n"/>
      <c r="P53" s="38" t="n"/>
      <c r="Q53" s="38" t="n"/>
      <c r="R53" s="38" t="n"/>
      <c r="S53" s="38" t="n"/>
      <c r="T53" s="38" t="n"/>
      <c r="U53" s="38" t="n"/>
      <c r="V53" s="38" t="n"/>
      <c r="W53" s="38" t="n"/>
      <c r="X53" s="38" t="n"/>
      <c r="Y53" s="38" t="n"/>
      <c r="Z53" s="38" t="n"/>
      <c r="AA53" s="38" t="n"/>
      <c r="AB53" s="38" t="n"/>
      <c r="AC53" s="38" t="n"/>
      <c r="AD53" s="38" t="n"/>
      <c r="AE53" s="38" t="n"/>
      <c r="AF53" s="38" t="n"/>
      <c r="AG53" s="38" t="n"/>
      <c r="AH53" s="38" t="n"/>
      <c r="AI53" s="38" t="n"/>
      <c r="AJ53" s="38" t="n"/>
      <c r="AK53" s="38" t="n"/>
      <c r="AL53" s="38" t="n"/>
      <c r="AM53" s="38" t="n"/>
      <c r="AN53" s="38" t="n"/>
      <c r="AO53" s="38" t="n"/>
      <c r="AP53" s="38" t="n"/>
      <c r="AQ53" s="38" t="n"/>
      <c r="AR53" s="38" t="n"/>
      <c r="AS53" s="38" t="n"/>
      <c r="AT53" s="38" t="n"/>
      <c r="AU53" s="38" t="n"/>
      <c r="AV53" s="38" t="n"/>
      <c r="AW53" s="38" t="n"/>
      <c r="AX53" s="38" t="n"/>
      <c r="AY53" s="38" t="n"/>
      <c r="AZ53" s="38" t="n"/>
      <c r="BA53" s="114" t="inlineStr">
        <is>
          <t>buff de iniciativa</t>
        </is>
      </c>
      <c r="BB53" s="114">
        <f>ADDRESS(ROW(FICHA!AS43),COLUMN(FICHA!AS43),4)</f>
        <v/>
      </c>
      <c r="BD53" s="114" t="inlineStr">
        <is>
          <t>Tanto</t>
        </is>
      </c>
      <c r="BE53" s="114" t="inlineStr">
        <is>
          <t>Lâmina Curta</t>
        </is>
      </c>
      <c r="BF53" s="140" t="n">
        <v>1</v>
      </c>
      <c r="BG53" s="114" t="inlineStr">
        <is>
          <t>d6</t>
        </is>
      </c>
      <c r="BH53" s="114" t="inlineStr">
        <is>
          <t>Fineza · Oculta</t>
        </is>
      </c>
      <c r="BI53" s="114" t="inlineStr">
        <is>
          <t>—</t>
        </is>
      </c>
      <c r="BJ53" s="140" t="n">
        <v>0.1</v>
      </c>
      <c r="BM53" s="140">
        <f>'FICHA PESSOAL'!$AE$53</f>
        <v/>
      </c>
      <c r="BN53" s="140">
        <f>ADDRESS(ROW('FICHA PESSOAL'!AE53),COLUMN('FICHA PESSOAL'!AE53),4)</f>
        <v/>
      </c>
    </row>
    <row r="54" ht="17.25" customHeight="1">
      <c r="A54" s="38" t="n"/>
      <c r="B54" s="38" t="n"/>
      <c r="C54" s="38" t="n"/>
      <c r="D54" s="38" t="n"/>
      <c r="E54" s="38" t="n"/>
      <c r="F54" s="114" t="inlineStr">
        <is>
          <t>Segura</t>
        </is>
      </c>
      <c r="G54" s="38" t="n"/>
      <c r="H54" s="38" t="n"/>
      <c r="I54" s="38" t="n"/>
      <c r="J54" s="38" t="n"/>
      <c r="K54" s="38" t="n"/>
      <c r="L54" s="38" t="n"/>
      <c r="M54" s="38" t="n"/>
      <c r="N54" s="38" t="n"/>
      <c r="O54" s="38" t="n"/>
      <c r="P54" s="38" t="n"/>
      <c r="Q54" s="38" t="n"/>
      <c r="R54" s="38" t="n"/>
      <c r="S54" s="38" t="n"/>
      <c r="T54" s="38" t="n"/>
      <c r="U54" s="38" t="n"/>
      <c r="V54" s="38" t="n"/>
      <c r="W54" s="38" t="n"/>
      <c r="X54" s="38" t="n"/>
      <c r="Y54" s="38" t="n"/>
      <c r="Z54" s="38" t="n"/>
      <c r="AA54" s="38" t="n"/>
      <c r="AB54" s="38" t="n"/>
      <c r="AC54" s="38" t="n"/>
      <c r="AD54" s="38" t="n"/>
      <c r="AE54" s="38" t="n"/>
      <c r="AF54" s="38" t="n"/>
      <c r="AG54" s="38" t="n"/>
      <c r="AH54" s="38" t="n"/>
      <c r="AI54" s="38" t="n"/>
      <c r="AJ54" s="38" t="n"/>
      <c r="AK54" s="38" t="n"/>
      <c r="AL54" s="38" t="n"/>
      <c r="AM54" s="38" t="n"/>
      <c r="AN54" s="38" t="n"/>
      <c r="AO54" s="38" t="n"/>
      <c r="AP54" s="38" t="n"/>
      <c r="AQ54" s="38" t="n"/>
      <c r="AR54" s="38" t="n"/>
      <c r="AS54" s="38" t="n"/>
      <c r="AT54" s="38" t="n"/>
      <c r="AU54" s="38" t="n"/>
      <c r="AV54" s="38" t="n"/>
      <c r="AW54" s="38" t="n"/>
      <c r="AX54" s="38" t="n"/>
      <c r="AY54" s="38" t="n"/>
      <c r="AZ54" s="38" t="n"/>
      <c r="BA54" s="114" t="inlineStr">
        <is>
          <t>buff de cd de feitiço</t>
        </is>
      </c>
      <c r="BB54" s="114">
        <f>ADDRESS(ROW(FICHA!L47),COLUMN(FICHA!L47),4)</f>
        <v/>
      </c>
      <c r="BD54" s="114" t="inlineStr">
        <is>
          <t>Tekko</t>
        </is>
      </c>
      <c r="BE54" s="114" t="inlineStr">
        <is>
          <t>Manopla</t>
        </is>
      </c>
      <c r="BF54" s="140" t="n">
        <v>1</v>
      </c>
      <c r="BG54" s="114" t="inlineStr">
        <is>
          <t>d4</t>
        </is>
      </c>
      <c r="BH54" s="114" t="inlineStr">
        <is>
          <t>Vestida · Par · Oculta</t>
        </is>
      </c>
      <c r="BI54" s="114" t="inlineStr">
        <is>
          <t>—</t>
        </is>
      </c>
      <c r="BJ54" s="140" t="n">
        <v>0.1</v>
      </c>
      <c r="BM54" s="140">
        <f>'FICHA PESSOAL'!$AE$60</f>
        <v/>
      </c>
      <c r="BN54" s="140">
        <f>ADDRESS(ROW('FICHA PESSOAL'!AE60),COLUMN('FICHA PESSOAL'!AE60),4)</f>
        <v/>
      </c>
    </row>
    <row r="55" ht="17.25" customHeight="1">
      <c r="A55" s="38" t="n"/>
      <c r="B55" s="38" t="n"/>
      <c r="C55" s="38" t="n"/>
      <c r="D55" s="38" t="n"/>
      <c r="E55" s="38" t="n"/>
      <c r="F55" s="114" t="inlineStr">
        <is>
          <t>Concentrada</t>
        </is>
      </c>
      <c r="G55" s="38" t="n"/>
      <c r="H55" s="38" t="n"/>
      <c r="I55" s="38" t="n"/>
      <c r="J55" s="38" t="n"/>
      <c r="K55" s="38" t="n"/>
      <c r="L55" s="38" t="n"/>
      <c r="M55" s="38" t="n"/>
      <c r="N55" s="38" t="n"/>
      <c r="O55" s="38" t="n"/>
      <c r="P55" s="38" t="n"/>
      <c r="Q55" s="38" t="n"/>
      <c r="R55" s="38" t="n"/>
      <c r="S55" s="38" t="n"/>
      <c r="T55" s="38" t="n"/>
      <c r="U55" s="38" t="n"/>
      <c r="V55" s="38" t="n"/>
      <c r="W55" s="38" t="n"/>
      <c r="X55" s="38" t="n"/>
      <c r="Y55" s="38" t="n"/>
      <c r="Z55" s="38" t="n"/>
      <c r="AA55" s="38" t="n"/>
      <c r="AB55" s="38" t="n"/>
      <c r="AC55" s="38" t="n"/>
      <c r="AD55" s="38" t="n"/>
      <c r="AE55" s="38" t="n"/>
      <c r="AF55" s="38" t="n"/>
      <c r="AG55" s="38" t="n"/>
      <c r="AH55" s="38" t="n"/>
      <c r="AI55" s="38" t="n"/>
      <c r="AJ55" s="38" t="n"/>
      <c r="AK55" s="38" t="n"/>
      <c r="AL55" s="38" t="n"/>
      <c r="AM55" s="38" t="n"/>
      <c r="AN55" s="38" t="n"/>
      <c r="AO55" s="38" t="n"/>
      <c r="AP55" s="38" t="n"/>
      <c r="AQ55" s="38" t="n"/>
      <c r="AR55" s="38" t="n"/>
      <c r="AS55" s="38" t="n"/>
      <c r="AT55" s="38" t="n"/>
      <c r="AU55" s="38" t="n"/>
      <c r="AV55" s="38" t="n"/>
      <c r="AW55" s="38" t="n"/>
      <c r="AX55" s="38" t="n"/>
      <c r="AY55" s="38" t="n"/>
      <c r="AZ55" s="38" t="n"/>
      <c r="BA55" s="114" t="inlineStr">
        <is>
          <t>buff de conjuração</t>
        </is>
      </c>
      <c r="BB55" s="114">
        <f>ADDRESS(ROW(FICHA!W47),COLUMN(FICHA!W47),4)</f>
        <v/>
      </c>
      <c r="BD55" s="114" t="inlineStr">
        <is>
          <t>Tessen</t>
        </is>
      </c>
      <c r="BE55" s="114" t="inlineStr">
        <is>
          <t>Arremesso</t>
        </is>
      </c>
      <c r="BF55" s="140" t="n">
        <v>1</v>
      </c>
      <c r="BG55" s="114" t="inlineStr">
        <is>
          <t>d4</t>
        </is>
      </c>
      <c r="BH55" s="114" t="inlineStr">
        <is>
          <t>Longo Alcance · Oculta · Vestida</t>
        </is>
      </c>
      <c r="BI55" s="114" t="inlineStr">
        <is>
          <t>—</t>
        </is>
      </c>
      <c r="BJ55" s="140" t="n">
        <v>0.1</v>
      </c>
      <c r="BK55" s="114" t="inlineStr">
        <is>
          <t>6 m, longa 18 m</t>
        </is>
      </c>
      <c r="BM55" s="140">
        <f>'FICHA PESSOAL'!$M$60</f>
        <v/>
      </c>
      <c r="BN55" s="140">
        <f>ADDRESS(ROW('FICHA PESSOAL'!M60),COLUMN('FICHA PESSOAL'!M60),4)</f>
        <v/>
      </c>
    </row>
    <row r="56" ht="17.25" customHeight="1">
      <c r="A56" s="38" t="n"/>
      <c r="B56" s="38" t="n"/>
      <c r="C56" s="38" t="n"/>
      <c r="D56" s="38" t="n"/>
      <c r="E56" s="38" t="n"/>
      <c r="F56" s="114" t="inlineStr">
        <is>
          <t>Duradoura</t>
        </is>
      </c>
      <c r="G56" s="38" t="n"/>
      <c r="H56" s="38" t="n"/>
      <c r="I56" s="38" t="n"/>
      <c r="J56" s="38" t="n"/>
      <c r="K56" s="38" t="n"/>
      <c r="L56" s="38" t="n"/>
      <c r="M56" s="38" t="n"/>
      <c r="N56" s="38" t="n"/>
      <c r="O56" s="38" t="n"/>
      <c r="P56" s="38" t="n"/>
      <c r="Q56" s="38" t="n"/>
      <c r="R56" s="38" t="n"/>
      <c r="S56" s="38" t="n"/>
      <c r="T56" s="38" t="n"/>
      <c r="U56" s="38" t="n"/>
      <c r="V56" s="38" t="n"/>
      <c r="W56" s="38" t="n"/>
      <c r="X56" s="38" t="n"/>
      <c r="Y56" s="38" t="n"/>
      <c r="Z56" s="38" t="n"/>
      <c r="AA56" s="38" t="n"/>
      <c r="AB56" s="38" t="n"/>
      <c r="AC56" s="38" t="n"/>
      <c r="AD56" s="38" t="n"/>
      <c r="AE56" s="38" t="n"/>
      <c r="AF56" s="38" t="n"/>
      <c r="AG56" s="38" t="n"/>
      <c r="AH56" s="38" t="n"/>
      <c r="AI56" s="38" t="n"/>
      <c r="AJ56" s="38" t="n"/>
      <c r="AK56" s="38" t="n"/>
      <c r="AL56" s="38" t="n"/>
      <c r="AM56" s="38" t="n"/>
      <c r="AN56" s="38" t="n"/>
      <c r="AO56" s="38" t="n"/>
      <c r="AP56" s="38" t="n"/>
      <c r="AQ56" s="38" t="n"/>
      <c r="AR56" s="38" t="n"/>
      <c r="AS56" s="38" t="n"/>
      <c r="AT56" s="38" t="n"/>
      <c r="AU56" s="38" t="n"/>
      <c r="AV56" s="38" t="n"/>
      <c r="AW56" s="38" t="n"/>
      <c r="AX56" s="38" t="n"/>
      <c r="AY56" s="38" t="n"/>
      <c r="AZ56" s="38" t="n"/>
      <c r="BA56" s="114" t="inlineStr">
        <is>
          <t>buff de corpo a corpo</t>
        </is>
      </c>
      <c r="BB56" s="114">
        <f>ADDRESS(ROW(FICHA!AH47),COLUMN(FICHA!AH47),4)</f>
        <v/>
      </c>
      <c r="BD56" s="114" t="inlineStr">
        <is>
          <t>Tonfa</t>
        </is>
      </c>
      <c r="BE56" s="114" t="inlineStr">
        <is>
          <t>Porrete</t>
        </is>
      </c>
      <c r="BF56" s="140" t="n">
        <v>1</v>
      </c>
      <c r="BG56" s="114" t="inlineStr">
        <is>
          <t>d6</t>
        </is>
      </c>
      <c r="BH56" s="114" t="inlineStr">
        <is>
          <t>Par · Vestida</t>
        </is>
      </c>
      <c r="BI56" s="114" t="inlineStr">
        <is>
          <t>—</t>
        </is>
      </c>
      <c r="BJ56" s="140" t="n">
        <v>0.1</v>
      </c>
      <c r="BM56" s="140">
        <f>'FICHA PESSOAL'!$V$53</f>
        <v/>
      </c>
      <c r="BN56" s="140">
        <f>ADDRESS(ROW('FICHA PESSOAL'!V53),COLUMN('FICHA PESSOAL'!V53),4)</f>
        <v/>
      </c>
    </row>
    <row r="57" ht="17.25" customHeight="1">
      <c r="A57" s="38" t="n"/>
      <c r="B57" s="38" t="n"/>
      <c r="C57" s="38" t="n"/>
      <c r="D57" s="38" t="n"/>
      <c r="E57" s="38" t="n"/>
      <c r="F57" s="114" t="inlineStr">
        <is>
          <t>Marca</t>
        </is>
      </c>
      <c r="G57" s="38" t="n"/>
      <c r="H57" s="38" t="n"/>
      <c r="I57" s="38" t="n"/>
      <c r="J57" s="38" t="n"/>
      <c r="K57" s="38" t="n"/>
      <c r="L57" s="38" t="n"/>
      <c r="M57" s="38" t="n"/>
      <c r="N57" s="38" t="n"/>
      <c r="O57" s="38" t="n"/>
      <c r="P57" s="38" t="n"/>
      <c r="Q57" s="38" t="n"/>
      <c r="R57" s="38" t="n"/>
      <c r="S57" s="38" t="n"/>
      <c r="T57" s="38" t="n"/>
      <c r="U57" s="38" t="n"/>
      <c r="V57" s="38" t="n"/>
      <c r="W57" s="38" t="n"/>
      <c r="X57" s="38" t="n"/>
      <c r="Y57" s="38" t="n"/>
      <c r="Z57" s="38" t="n"/>
      <c r="AA57" s="38" t="n"/>
      <c r="AB57" s="38" t="n"/>
      <c r="AC57" s="38" t="n"/>
      <c r="AD57" s="38" t="n"/>
      <c r="AE57" s="38" t="n"/>
      <c r="AF57" s="38" t="n"/>
      <c r="AG57" s="38" t="n"/>
      <c r="AH57" s="38" t="n"/>
      <c r="AI57" s="38" t="n"/>
      <c r="AJ57" s="38" t="n"/>
      <c r="AK57" s="38" t="n"/>
      <c r="AL57" s="38" t="n"/>
      <c r="AM57" s="38" t="n"/>
      <c r="AN57" s="38" t="n"/>
      <c r="AO57" s="38" t="n"/>
      <c r="AP57" s="38" t="n"/>
      <c r="AQ57" s="38" t="n"/>
      <c r="AR57" s="38" t="n"/>
      <c r="AS57" s="38" t="n"/>
      <c r="AT57" s="38" t="n"/>
      <c r="AU57" s="38" t="n"/>
      <c r="AV57" s="38" t="n"/>
      <c r="AW57" s="38" t="n"/>
      <c r="AX57" s="38" t="n"/>
      <c r="AY57" s="38" t="n"/>
      <c r="AZ57" s="38" t="n"/>
      <c r="BA57" s="114" t="inlineStr">
        <is>
          <t>buff de à distância</t>
        </is>
      </c>
      <c r="BB57" s="114">
        <f>ADDRESS(ROW(FICHA!AS47),COLUMN(FICHA!AS47),4)</f>
        <v/>
      </c>
      <c r="BD57" s="114" t="inlineStr">
        <is>
          <t>Torre</t>
        </is>
      </c>
      <c r="BE57" s="114" t="inlineStr">
        <is>
          <t>Escudo</t>
        </is>
      </c>
      <c r="BF57" s="140" t="n">
        <v>1</v>
      </c>
      <c r="BG57" s="114" t="inlineStr">
        <is>
          <t>—</t>
        </is>
      </c>
      <c r="BH57" s="114" t="inlineStr">
        <is>
          <t>Proteção +3 · teto de Destreza 1</t>
        </is>
      </c>
      <c r="BI57" s="140" t="n">
        <v>5</v>
      </c>
      <c r="BJ57" s="140" t="n">
        <v>2</v>
      </c>
      <c r="BM57" s="140">
        <f>TRUE</f>
        <v/>
      </c>
    </row>
    <row r="58" ht="17.25" customHeight="1">
      <c r="A58" s="38" t="n"/>
      <c r="B58" s="38" t="n"/>
      <c r="C58" s="38" t="n"/>
      <c r="D58" s="38" t="n"/>
      <c r="E58" s="38" t="n"/>
      <c r="F58" s="114" t="inlineStr">
        <is>
          <t>Alvo de Caça</t>
        </is>
      </c>
      <c r="G58" s="38" t="n"/>
      <c r="H58" s="38" t="n"/>
      <c r="I58" s="38" t="n"/>
      <c r="J58" s="38" t="n"/>
      <c r="K58" s="38" t="n"/>
      <c r="L58" s="38" t="n"/>
      <c r="M58" s="38" t="n"/>
      <c r="N58" s="38" t="n"/>
      <c r="O58" s="38" t="n"/>
      <c r="P58" s="38" t="n"/>
      <c r="Q58" s="38" t="n"/>
      <c r="R58" s="38" t="n"/>
      <c r="S58" s="38" t="n"/>
      <c r="T58" s="38" t="n"/>
      <c r="U58" s="38" t="n"/>
      <c r="V58" s="38" t="n"/>
      <c r="W58" s="38" t="n"/>
      <c r="X58" s="38" t="n"/>
      <c r="Y58" s="38" t="n"/>
      <c r="Z58" s="38" t="n"/>
      <c r="AA58" s="38" t="n"/>
      <c r="AB58" s="38" t="n"/>
      <c r="AC58" s="38" t="n"/>
      <c r="AD58" s="38" t="n"/>
      <c r="AE58" s="38" t="n"/>
      <c r="AF58" s="38" t="n"/>
      <c r="AG58" s="38" t="n"/>
      <c r="AH58" s="38" t="n"/>
      <c r="AI58" s="38" t="n"/>
      <c r="AJ58" s="38" t="n"/>
      <c r="AK58" s="38" t="n"/>
      <c r="AL58" s="38" t="n"/>
      <c r="AM58" s="38" t="n"/>
      <c r="AN58" s="38" t="n"/>
      <c r="AO58" s="38" t="n"/>
      <c r="AP58" s="38" t="n"/>
      <c r="AQ58" s="38" t="n"/>
      <c r="AR58" s="38" t="n"/>
      <c r="AS58" s="38" t="n"/>
      <c r="AT58" s="38" t="n"/>
      <c r="AU58" s="38" t="n"/>
      <c r="AV58" s="38" t="n"/>
      <c r="AW58" s="38" t="n"/>
      <c r="AX58" s="38" t="n"/>
      <c r="AY58" s="38" t="n"/>
      <c r="AZ58" s="38" t="n"/>
      <c r="BA58" s="114" t="inlineStr">
        <is>
          <t>buff de deslocamento</t>
        </is>
      </c>
      <c r="BB58" s="114">
        <f>ADDRESS(ROW(FICHA!W51),COLUMN(FICHA!W51),4)</f>
        <v/>
      </c>
      <c r="BD58" s="114" t="inlineStr">
        <is>
          <t>Wakizashi</t>
        </is>
      </c>
      <c r="BE58" s="114" t="inlineStr">
        <is>
          <t>Lâmina Longa</t>
        </is>
      </c>
      <c r="BF58" s="140" t="n">
        <v>1</v>
      </c>
      <c r="BG58" s="114" t="inlineStr">
        <is>
          <t>d8</t>
        </is>
      </c>
      <c r="BH58" s="114" t="inlineStr">
        <is>
          <t>Oculta</t>
        </is>
      </c>
      <c r="BI58" s="114" t="inlineStr">
        <is>
          <t>—</t>
        </is>
      </c>
      <c r="BJ58" s="140" t="n">
        <v>0.1</v>
      </c>
      <c r="BM58" s="140">
        <f>'FICHA PESSOAL'!$D$56</f>
        <v/>
      </c>
      <c r="BN58" s="140">
        <f>ADDRESS(ROW('FICHA PESSOAL'!D56),COLUMN('FICHA PESSOAL'!D56),4)</f>
        <v/>
      </c>
    </row>
    <row r="59" ht="17.25" customHeight="1">
      <c r="A59" s="38" t="n"/>
      <c r="B59" s="38" t="n"/>
      <c r="C59" s="38" t="n"/>
      <c r="D59" s="38" t="n"/>
      <c r="E59" s="38" t="n"/>
      <c r="F59" s="114" t="inlineStr">
        <is>
          <t>Rastro</t>
        </is>
      </c>
      <c r="G59" s="38" t="n"/>
      <c r="H59" s="38" t="n"/>
      <c r="I59" s="38" t="n"/>
      <c r="J59" s="38" t="n"/>
      <c r="K59" s="38" t="n"/>
      <c r="L59" s="38" t="n"/>
      <c r="M59" s="38" t="n"/>
      <c r="N59" s="38" t="n"/>
      <c r="O59" s="38" t="n"/>
      <c r="P59" s="38" t="n"/>
      <c r="Q59" s="38" t="n"/>
      <c r="R59" s="38" t="n"/>
      <c r="S59" s="38" t="n"/>
      <c r="T59" s="38" t="n"/>
      <c r="U59" s="38" t="n"/>
      <c r="V59" s="38" t="n"/>
      <c r="W59" s="38" t="n"/>
      <c r="X59" s="38" t="n"/>
      <c r="Y59" s="38" t="n"/>
      <c r="Z59" s="38" t="n"/>
      <c r="AA59" s="38" t="n"/>
      <c r="AB59" s="38" t="n"/>
      <c r="AC59" s="38" t="n"/>
      <c r="AD59" s="38" t="n"/>
      <c r="AE59" s="38" t="n"/>
      <c r="AF59" s="38" t="n"/>
      <c r="AG59" s="38" t="n"/>
      <c r="AH59" s="38" t="n"/>
      <c r="AI59" s="38" t="n"/>
      <c r="AJ59" s="38" t="n"/>
      <c r="AK59" s="38" t="n"/>
      <c r="AL59" s="38" t="n"/>
      <c r="AM59" s="38" t="n"/>
      <c r="AN59" s="38" t="n"/>
      <c r="AO59" s="38" t="n"/>
      <c r="AP59" s="38" t="n"/>
      <c r="AQ59" s="38" t="n"/>
      <c r="AR59" s="38" t="n"/>
      <c r="AS59" s="38" t="n"/>
      <c r="AT59" s="38" t="n"/>
      <c r="AU59" s="38" t="n"/>
      <c r="AV59" s="38" t="n"/>
      <c r="AW59" s="38" t="n"/>
      <c r="AX59" s="38" t="n"/>
      <c r="AY59" s="38" t="n"/>
      <c r="AZ59" s="38" t="n"/>
      <c r="BA59" s="114" t="inlineStr">
        <is>
          <t>corpo_Força</t>
        </is>
      </c>
      <c r="BB59" s="114">
        <f>ADDRESS(ROW(FICHA!AK15),COLUMN(FICHA!AK15),4)</f>
        <v/>
      </c>
      <c r="BD59" s="114" t="inlineStr">
        <is>
          <t>Yari</t>
        </is>
      </c>
      <c r="BE59" s="114" t="inlineStr">
        <is>
          <t>Armas Longas</t>
        </is>
      </c>
      <c r="BF59" s="140" t="n">
        <v>2</v>
      </c>
      <c r="BG59" s="114" t="inlineStr">
        <is>
          <t>d10</t>
        </is>
      </c>
      <c r="BH59" s="114" t="inlineStr">
        <is>
          <t>Alcance · Talha</t>
        </is>
      </c>
      <c r="BI59" s="140" t="n">
        <v>3</v>
      </c>
      <c r="BJ59" s="140" t="n">
        <v>2</v>
      </c>
      <c r="BM59" s="140">
        <f>'FICHA PESSOAL'!$AM$57</f>
        <v/>
      </c>
      <c r="BN59" s="140">
        <f>ADDRESS(ROW('FICHA PESSOAL'!AM57),COLUMN('FICHA PESSOAL'!AM57),4)</f>
        <v/>
      </c>
    </row>
    <row r="60" ht="17.25" customHeight="1">
      <c r="A60" s="38" t="n"/>
      <c r="B60" s="38" t="n"/>
      <c r="C60" s="38" t="n"/>
      <c r="D60" s="38" t="n"/>
      <c r="E60" s="38" t="n"/>
      <c r="F60" s="114" t="inlineStr">
        <is>
          <t>Sugar</t>
        </is>
      </c>
      <c r="G60" s="38" t="n"/>
      <c r="H60" s="38" t="n"/>
      <c r="I60" s="38" t="n"/>
      <c r="J60" s="38" t="n"/>
      <c r="K60" s="38" t="n"/>
      <c r="L60" s="38" t="n"/>
      <c r="M60" s="38" t="n"/>
      <c r="N60" s="38" t="n"/>
      <c r="O60" s="38" t="n"/>
      <c r="P60" s="38" t="n"/>
      <c r="Q60" s="38" t="n"/>
      <c r="R60" s="38" t="n"/>
      <c r="S60" s="38" t="n"/>
      <c r="T60" s="38" t="n"/>
      <c r="U60" s="38" t="n"/>
      <c r="V60" s="38" t="n"/>
      <c r="W60" s="38" t="n"/>
      <c r="X60" s="38" t="n"/>
      <c r="Y60" s="38" t="n"/>
      <c r="Z60" s="38" t="n"/>
      <c r="AA60" s="38" t="n"/>
      <c r="AB60" s="38" t="n"/>
      <c r="AC60" s="38" t="n"/>
      <c r="AD60" s="38" t="n"/>
      <c r="AE60" s="38" t="n"/>
      <c r="AF60" s="38" t="n"/>
      <c r="AG60" s="38" t="n"/>
      <c r="AH60" s="38" t="n"/>
      <c r="AI60" s="38" t="n"/>
      <c r="AJ60" s="38" t="n"/>
      <c r="AK60" s="38" t="n"/>
      <c r="AL60" s="38" t="n"/>
      <c r="AM60" s="38" t="n"/>
      <c r="AN60" s="38" t="n"/>
      <c r="AO60" s="38" t="n"/>
      <c r="AP60" s="38" t="n"/>
      <c r="AQ60" s="38" t="n"/>
      <c r="AR60" s="38" t="n"/>
      <c r="AS60" s="38" t="n"/>
      <c r="AT60" s="38" t="n"/>
      <c r="AU60" s="38" t="n"/>
      <c r="AV60" s="38" t="n"/>
      <c r="AW60" s="38" t="n"/>
      <c r="AX60" s="38" t="n"/>
      <c r="AY60" s="38" t="n"/>
      <c r="AZ60" s="38" t="n"/>
      <c r="BA60" s="114" t="inlineStr">
        <is>
          <t>corpo_Destreza</t>
        </is>
      </c>
      <c r="BB60" s="114">
        <f>ADDRESS(ROW(FICHA!AM15),COLUMN(FICHA!AM15),4)</f>
        <v/>
      </c>
    </row>
    <row r="61" ht="17.25" customHeight="1">
      <c r="A61" s="38" t="n"/>
      <c r="B61" s="38" t="n"/>
      <c r="C61" s="38" t="n"/>
      <c r="D61" s="38" t="n"/>
      <c r="E61" s="38" t="n"/>
      <c r="F61" s="114" t="inlineStr">
        <is>
          <t>Isca</t>
        </is>
      </c>
      <c r="G61" s="38" t="n"/>
      <c r="H61" s="38" t="n"/>
      <c r="I61" s="38" t="n"/>
      <c r="J61" s="38" t="n"/>
      <c r="K61" s="38" t="n"/>
      <c r="L61" s="38" t="n"/>
      <c r="M61" s="38" t="n"/>
      <c r="N61" s="38" t="n"/>
      <c r="O61" s="38" t="n"/>
      <c r="P61" s="38" t="n"/>
      <c r="Q61" s="38" t="n"/>
      <c r="R61" s="38" t="n"/>
      <c r="S61" s="38" t="n"/>
      <c r="T61" s="38" t="n"/>
      <c r="U61" s="38" t="n"/>
      <c r="V61" s="38" t="n"/>
      <c r="W61" s="38" t="n"/>
      <c r="X61" s="38" t="n"/>
      <c r="Y61" s="38" t="n"/>
      <c r="Z61" s="38" t="n"/>
      <c r="AA61" s="38" t="n"/>
      <c r="AB61" s="38" t="n"/>
      <c r="AC61" s="38" t="n"/>
      <c r="AD61" s="38" t="n"/>
      <c r="AE61" s="38" t="n"/>
      <c r="AF61" s="38" t="n"/>
      <c r="AG61" s="38" t="n"/>
      <c r="AH61" s="38" t="n"/>
      <c r="AI61" s="38" t="n"/>
      <c r="AJ61" s="38" t="n"/>
      <c r="AK61" s="38" t="n"/>
      <c r="AL61" s="38" t="n"/>
      <c r="AM61" s="38" t="n"/>
      <c r="AN61" s="38" t="n"/>
      <c r="AO61" s="38" t="n"/>
      <c r="AP61" s="38" t="n"/>
      <c r="AQ61" s="38" t="n"/>
      <c r="AR61" s="38" t="n"/>
      <c r="AS61" s="38" t="n"/>
      <c r="AT61" s="38" t="n"/>
      <c r="AU61" s="38" t="n"/>
      <c r="AV61" s="38" t="n"/>
      <c r="AW61" s="38" t="n"/>
      <c r="AX61" s="38" t="n"/>
      <c r="AY61" s="38" t="n"/>
      <c r="AZ61" s="38" t="n"/>
      <c r="BA61" s="114" t="inlineStr">
        <is>
          <t>corpo_Constituição</t>
        </is>
      </c>
      <c r="BB61" s="114">
        <f>ADDRESS(ROW(FICHA!AO15),COLUMN(FICHA!AO15),4)</f>
        <v/>
      </c>
    </row>
    <row r="62" ht="17.25" customHeight="1">
      <c r="A62" s="38" t="n"/>
      <c r="B62" s="38" t="n"/>
      <c r="C62" s="38" t="n"/>
      <c r="D62" s="38" t="n"/>
      <c r="E62" s="38" t="n"/>
      <c r="F62" s="114" t="inlineStr">
        <is>
          <t>Cobrança</t>
        </is>
      </c>
      <c r="G62" s="38" t="n"/>
      <c r="H62" s="38" t="n"/>
      <c r="I62" s="38" t="n"/>
      <c r="J62" s="38" t="n"/>
      <c r="K62" s="38" t="n"/>
      <c r="L62" s="38" t="n"/>
      <c r="M62" s="38" t="n"/>
      <c r="N62" s="38" t="n"/>
      <c r="O62" s="38" t="n"/>
      <c r="P62" s="38" t="n"/>
      <c r="Q62" s="38" t="n"/>
      <c r="R62" s="38" t="n"/>
      <c r="S62" s="38" t="n"/>
      <c r="T62" s="38" t="n"/>
      <c r="U62" s="38" t="n"/>
      <c r="V62" s="38" t="n"/>
      <c r="W62" s="38" t="n"/>
      <c r="X62" s="38" t="n"/>
      <c r="Y62" s="38" t="n"/>
      <c r="Z62" s="38" t="n"/>
      <c r="AA62" s="38" t="n"/>
      <c r="AB62" s="38" t="n"/>
      <c r="AC62" s="38" t="n"/>
      <c r="AD62" s="38" t="n"/>
      <c r="AE62" s="38" t="n"/>
      <c r="AF62" s="38" t="n"/>
      <c r="AG62" s="38" t="n"/>
      <c r="AH62" s="38" t="n"/>
      <c r="AI62" s="38" t="n"/>
      <c r="AJ62" s="38" t="n"/>
      <c r="AK62" s="38" t="n"/>
      <c r="AL62" s="38" t="n"/>
      <c r="AM62" s="38" t="n"/>
      <c r="AN62" s="38" t="n"/>
      <c r="AO62" s="38" t="n"/>
      <c r="AP62" s="38" t="n"/>
      <c r="AQ62" s="38" t="n"/>
      <c r="AR62" s="38" t="n"/>
      <c r="AS62" s="38" t="n"/>
      <c r="AT62" s="38" t="n"/>
      <c r="AU62" s="38" t="n"/>
      <c r="AV62" s="38" t="n"/>
      <c r="AW62" s="38" t="n"/>
      <c r="AX62" s="38" t="n"/>
      <c r="AY62" s="38" t="n"/>
      <c r="AZ62" s="38" t="n"/>
      <c r="BA62" s="114" t="inlineStr">
        <is>
          <t>corpo_Inteligência</t>
        </is>
      </c>
      <c r="BB62" s="114">
        <f>ADDRESS(ROW(FICHA!AQ15),COLUMN(FICHA!AQ15),4)</f>
        <v/>
      </c>
    </row>
    <row r="63" ht="17.25" customHeight="1">
      <c r="A63" s="38" t="n"/>
      <c r="B63" s="38" t="n"/>
      <c r="C63" s="38" t="n"/>
      <c r="D63" s="38" t="n"/>
      <c r="E63" s="38" t="n"/>
      <c r="F63" s="114" t="inlineStr">
        <is>
          <t>Aviso</t>
        </is>
      </c>
      <c r="G63" s="38" t="n"/>
      <c r="H63" s="38" t="n"/>
      <c r="I63" s="38" t="n"/>
      <c r="J63" s="38" t="n"/>
      <c r="K63" s="38" t="n"/>
      <c r="L63" s="38" t="n"/>
      <c r="M63" s="38" t="n"/>
      <c r="N63" s="38" t="n"/>
      <c r="O63" s="38" t="n"/>
      <c r="P63" s="38" t="n"/>
      <c r="Q63" s="38" t="n"/>
      <c r="R63" s="38" t="n"/>
      <c r="S63" s="38" t="n"/>
      <c r="T63" s="38" t="n"/>
      <c r="U63" s="38" t="n"/>
      <c r="V63" s="38" t="n"/>
      <c r="W63" s="38" t="n"/>
      <c r="X63" s="38" t="n"/>
      <c r="Y63" s="38" t="n"/>
      <c r="Z63" s="38" t="n"/>
      <c r="AA63" s="38" t="n"/>
      <c r="AB63" s="38" t="n"/>
      <c r="AC63" s="38" t="n"/>
      <c r="AD63" s="38" t="n"/>
      <c r="AE63" s="38" t="n"/>
      <c r="AF63" s="38" t="n"/>
      <c r="AG63" s="38" t="n"/>
      <c r="AH63" s="38" t="n"/>
      <c r="AI63" s="38" t="n"/>
      <c r="AJ63" s="38" t="n"/>
      <c r="AK63" s="38" t="n"/>
      <c r="AL63" s="38" t="n"/>
      <c r="AM63" s="38" t="n"/>
      <c r="AN63" s="38" t="n"/>
      <c r="AO63" s="38" t="n"/>
      <c r="AP63" s="38" t="n"/>
      <c r="AQ63" s="38" t="n"/>
      <c r="AR63" s="38" t="n"/>
      <c r="AS63" s="38" t="n"/>
      <c r="AT63" s="38" t="n"/>
      <c r="AU63" s="38" t="n"/>
      <c r="AV63" s="38" t="n"/>
      <c r="AW63" s="38" t="n"/>
      <c r="AX63" s="38" t="n"/>
      <c r="AY63" s="38" t="n"/>
      <c r="AZ63" s="38" t="n"/>
      <c r="BA63" s="114" t="inlineStr">
        <is>
          <t>corpo_Essência</t>
        </is>
      </c>
      <c r="BB63" s="114">
        <f>ADDRESS(ROW(FICHA!AS15),COLUMN(FICHA!AS15),4)</f>
        <v/>
      </c>
    </row>
    <row r="64" ht="17.25" customHeight="1">
      <c r="A64" s="38" t="n"/>
      <c r="B64" s="38" t="n"/>
      <c r="C64" s="38" t="n"/>
      <c r="D64" s="38" t="n"/>
      <c r="E64" s="38" t="n"/>
      <c r="F64" s="114" t="inlineStr">
        <is>
          <t>Limpa</t>
        </is>
      </c>
      <c r="G64" s="38" t="n"/>
      <c r="H64" s="38" t="n"/>
      <c r="I64" s="38" t="n"/>
      <c r="J64" s="38" t="n"/>
      <c r="K64" s="38" t="n"/>
      <c r="L64" s="38" t="n"/>
      <c r="M64" s="38" t="n"/>
      <c r="N64" s="38" t="n"/>
      <c r="O64" s="38" t="n"/>
      <c r="P64" s="38" t="n"/>
      <c r="Q64" s="38" t="n"/>
      <c r="R64" s="38" t="n"/>
      <c r="S64" s="38" t="n"/>
      <c r="T64" s="38" t="n"/>
      <c r="U64" s="38" t="n"/>
      <c r="V64" s="38" t="n"/>
      <c r="W64" s="38" t="n"/>
      <c r="X64" s="38" t="n"/>
      <c r="Y64" s="38" t="n"/>
      <c r="Z64" s="38" t="n"/>
      <c r="AA64" s="38" t="n"/>
      <c r="AB64" s="38" t="n"/>
      <c r="AC64" s="38" t="n"/>
      <c r="AD64" s="38" t="n"/>
      <c r="AE64" s="38" t="n"/>
      <c r="AF64" s="38" t="n"/>
      <c r="AG64" s="38" t="n"/>
      <c r="AH64" s="38" t="n"/>
      <c r="AI64" s="38" t="n"/>
      <c r="AJ64" s="38" t="n"/>
      <c r="AK64" s="38" t="n"/>
      <c r="AL64" s="38" t="n"/>
      <c r="AM64" s="38" t="n"/>
      <c r="AN64" s="38" t="n"/>
      <c r="AO64" s="38" t="n"/>
      <c r="AP64" s="38" t="n"/>
      <c r="AQ64" s="38" t="n"/>
      <c r="AR64" s="38" t="n"/>
      <c r="AS64" s="38" t="n"/>
      <c r="AT64" s="38" t="n"/>
      <c r="AU64" s="38" t="n"/>
      <c r="AV64" s="38" t="n"/>
      <c r="AW64" s="38" t="n"/>
      <c r="AX64" s="38" t="n"/>
      <c r="AY64" s="38" t="n"/>
      <c r="AZ64" s="38" t="n"/>
      <c r="BA64" s="114" t="inlineStr">
        <is>
          <t>pontos de corpo</t>
        </is>
      </c>
      <c r="BB64" s="114">
        <f>ADDRESS(ROW(FICHA!AK14),COLUMN(FICHA!AK14),4)</f>
        <v/>
      </c>
    </row>
    <row r="65" ht="17.25" customHeight="1">
      <c r="A65" s="38" t="n"/>
      <c r="B65" s="38" t="n"/>
      <c r="C65" s="38" t="n"/>
      <c r="D65" s="38" t="n"/>
      <c r="E65" s="38" t="n"/>
      <c r="F65" s="114" t="inlineStr">
        <is>
          <t>Limpa Fundo</t>
        </is>
      </c>
      <c r="G65" s="38" t="n"/>
      <c r="H65" s="38" t="n"/>
      <c r="I65" s="38" t="n"/>
      <c r="J65" s="38" t="n"/>
      <c r="K65" s="38" t="n"/>
      <c r="L65" s="38" t="n"/>
      <c r="M65" s="38" t="n"/>
      <c r="N65" s="38" t="n"/>
      <c r="O65" s="38" t="n"/>
      <c r="P65" s="38" t="n"/>
      <c r="Q65" s="38" t="n"/>
      <c r="R65" s="38" t="n"/>
      <c r="S65" s="38" t="n"/>
      <c r="T65" s="38" t="n"/>
      <c r="U65" s="38" t="n"/>
      <c r="V65" s="38" t="n"/>
      <c r="W65" s="38" t="n"/>
      <c r="X65" s="38" t="n"/>
      <c r="Y65" s="38" t="n"/>
      <c r="Z65" s="38" t="n"/>
      <c r="AA65" s="38" t="n"/>
      <c r="AB65" s="38" t="n"/>
      <c r="AC65" s="38" t="n"/>
      <c r="AD65" s="38" t="n"/>
      <c r="AE65" s="38" t="n"/>
      <c r="AF65" s="38" t="n"/>
      <c r="AG65" s="38" t="n"/>
      <c r="AH65" s="38" t="n"/>
      <c r="AI65" s="38" t="n"/>
      <c r="AJ65" s="38" t="n"/>
      <c r="AK65" s="38" t="n"/>
      <c r="AL65" s="38" t="n"/>
      <c r="AM65" s="38" t="n"/>
      <c r="AN65" s="38" t="n"/>
      <c r="AO65" s="38" t="n"/>
      <c r="AP65" s="38" t="n"/>
      <c r="AQ65" s="38" t="n"/>
      <c r="AR65" s="38" t="n"/>
      <c r="AS65" s="38" t="n"/>
      <c r="AT65" s="38" t="n"/>
      <c r="AU65" s="38" t="n"/>
      <c r="AV65" s="38" t="n"/>
      <c r="AW65" s="38" t="n"/>
      <c r="AX65" s="38" t="n"/>
      <c r="AY65" s="38" t="n"/>
      <c r="AZ65" s="38" t="n"/>
      <c r="BA65" s="114" t="inlineStr">
        <is>
          <t>pontos disponíveis</t>
        </is>
      </c>
      <c r="BB65" s="114">
        <f>ADDRESS(ROW(FICHA!Z15),COLUMN(FICHA!Z15),4)</f>
        <v/>
      </c>
    </row>
    <row r="66" ht="17.25" customHeight="1">
      <c r="A66" s="38" t="n"/>
      <c r="B66" s="38" t="n"/>
      <c r="C66" s="38" t="n"/>
      <c r="D66" s="38" t="n"/>
      <c r="E66" s="38" t="n"/>
      <c r="F66" s="114" t="inlineStr">
        <is>
          <t>Levanta</t>
        </is>
      </c>
      <c r="G66" s="38" t="n"/>
      <c r="H66" s="38" t="n"/>
      <c r="I66" s="38" t="n"/>
      <c r="J66" s="38" t="n"/>
      <c r="K66" s="38" t="n"/>
      <c r="L66" s="38" t="n"/>
      <c r="M66" s="38" t="n"/>
      <c r="N66" s="38" t="n"/>
      <c r="O66" s="38" t="n"/>
      <c r="P66" s="38" t="n"/>
      <c r="Q66" s="38" t="n"/>
      <c r="R66" s="38" t="n"/>
      <c r="S66" s="38" t="n"/>
      <c r="T66" s="38" t="n"/>
      <c r="U66" s="38" t="n"/>
      <c r="V66" s="38" t="n"/>
      <c r="W66" s="38" t="n"/>
      <c r="X66" s="38" t="n"/>
      <c r="Y66" s="38" t="n"/>
      <c r="Z66" s="38" t="n"/>
      <c r="AA66" s="38" t="n"/>
      <c r="AB66" s="38" t="n"/>
      <c r="AC66" s="38" t="n"/>
      <c r="AD66" s="38" t="n"/>
      <c r="AE66" s="38" t="n"/>
      <c r="AF66" s="38" t="n"/>
      <c r="AG66" s="38" t="n"/>
      <c r="AH66" s="38" t="n"/>
      <c r="AI66" s="38" t="n"/>
      <c r="AJ66" s="38" t="n"/>
      <c r="AK66" s="38" t="n"/>
      <c r="AL66" s="38" t="n"/>
      <c r="AM66" s="38" t="n"/>
      <c r="AN66" s="38" t="n"/>
      <c r="AO66" s="38" t="n"/>
      <c r="AP66" s="38" t="n"/>
      <c r="AQ66" s="38" t="n"/>
      <c r="AR66" s="38" t="n"/>
      <c r="AS66" s="38" t="n"/>
      <c r="AT66" s="38" t="n"/>
      <c r="AU66" s="38" t="n"/>
      <c r="AV66" s="38" t="n"/>
      <c r="AW66" s="38" t="n"/>
      <c r="AX66" s="38" t="n"/>
      <c r="AY66" s="38" t="n"/>
      <c r="AZ66" s="38" t="n"/>
      <c r="BA66" s="114" t="inlineStr">
        <is>
          <t>perícias disponíveis</t>
        </is>
      </c>
      <c r="BB66" s="114">
        <f>ADDRESS(ROW(FICHA!AK73),COLUMN(FICHA!AK73),4)</f>
        <v/>
      </c>
    </row>
    <row r="67" ht="17.25" customHeight="1">
      <c r="A67" s="38" t="n"/>
      <c r="B67" s="38" t="n"/>
      <c r="C67" s="38" t="n"/>
      <c r="D67" s="38" t="n"/>
      <c r="E67" s="38" t="n"/>
      <c r="F67" s="114" t="inlineStr">
        <is>
          <t>Divide</t>
        </is>
      </c>
      <c r="G67" s="38" t="n"/>
      <c r="H67" s="38" t="n"/>
      <c r="I67" s="38" t="n"/>
      <c r="J67" s="38" t="n"/>
      <c r="K67" s="38" t="n"/>
      <c r="L67" s="38" t="n"/>
      <c r="M67" s="38" t="n"/>
      <c r="N67" s="38" t="n"/>
      <c r="O67" s="38" t="n"/>
      <c r="P67" s="38" t="n"/>
      <c r="Q67" s="38" t="n"/>
      <c r="R67" s="38" t="n"/>
      <c r="S67" s="38" t="n"/>
      <c r="T67" s="38" t="n"/>
      <c r="U67" s="38" t="n"/>
      <c r="V67" s="38" t="n"/>
      <c r="W67" s="38" t="n"/>
      <c r="X67" s="38" t="n"/>
      <c r="Y67" s="38" t="n"/>
      <c r="Z67" s="38" t="n"/>
      <c r="AA67" s="38" t="n"/>
      <c r="AB67" s="38" t="n"/>
      <c r="AC67" s="38" t="n"/>
      <c r="AD67" s="38" t="n"/>
      <c r="AE67" s="38" t="n"/>
      <c r="AF67" s="38" t="n"/>
      <c r="AG67" s="38" t="n"/>
      <c r="AH67" s="38" t="n"/>
      <c r="AI67" s="38" t="n"/>
      <c r="AJ67" s="38" t="n"/>
      <c r="AK67" s="38" t="n"/>
      <c r="AL67" s="38" t="n"/>
      <c r="AM67" s="38" t="n"/>
      <c r="AN67" s="38" t="n"/>
      <c r="AO67" s="38" t="n"/>
      <c r="AP67" s="38" t="n"/>
      <c r="AQ67" s="38" t="n"/>
      <c r="AR67" s="38" t="n"/>
      <c r="AS67" s="38" t="n"/>
      <c r="AT67" s="38" t="n"/>
      <c r="AU67" s="38" t="n"/>
      <c r="AV67" s="38" t="n"/>
      <c r="AW67" s="38" t="n"/>
      <c r="AX67" s="38" t="n"/>
      <c r="AY67" s="38" t="n"/>
      <c r="AZ67" s="38" t="n"/>
      <c r="BA67" s="114" t="inlineStr">
        <is>
          <t>ofícios disponíveis</t>
        </is>
      </c>
      <c r="BB67" s="114">
        <f>ADDRESS(ROW(FICHA!AF85),COLUMN(FICHA!AF85),4)</f>
        <v/>
      </c>
    </row>
    <row r="68" ht="17.25" customHeight="1">
      <c r="A68" s="38" t="n"/>
      <c r="B68" s="38" t="n"/>
      <c r="C68" s="38" t="n"/>
      <c r="D68" s="38" t="n"/>
      <c r="E68" s="38" t="n"/>
      <c r="F68" s="114" t="inlineStr">
        <is>
          <t>Junto</t>
        </is>
      </c>
      <c r="G68" s="38" t="n"/>
      <c r="H68" s="38" t="n"/>
      <c r="I68" s="38" t="n"/>
      <c r="J68" s="38" t="n"/>
      <c r="K68" s="38" t="n"/>
      <c r="L68" s="38" t="n"/>
      <c r="M68" s="38" t="n"/>
      <c r="N68" s="38" t="n"/>
      <c r="O68" s="38" t="n"/>
      <c r="P68" s="38" t="n"/>
      <c r="Q68" s="38" t="n"/>
      <c r="R68" s="38" t="n"/>
      <c r="S68" s="38" t="n"/>
      <c r="T68" s="38" t="n"/>
      <c r="U68" s="38" t="n"/>
      <c r="V68" s="38" t="n"/>
      <c r="W68" s="38" t="n"/>
      <c r="X68" s="38" t="n"/>
      <c r="Y68" s="38" t="n"/>
      <c r="Z68" s="38" t="n"/>
      <c r="AA68" s="38" t="n"/>
      <c r="AB68" s="38" t="n"/>
      <c r="AC68" s="38" t="n"/>
      <c r="AD68" s="38" t="n"/>
      <c r="AE68" s="38" t="n"/>
      <c r="AF68" s="38" t="n"/>
      <c r="AG68" s="38" t="n"/>
      <c r="AH68" s="38" t="n"/>
      <c r="AI68" s="38" t="n"/>
      <c r="AJ68" s="38" t="n"/>
      <c r="AK68" s="38" t="n"/>
      <c r="AL68" s="38" t="n"/>
      <c r="AM68" s="38" t="n"/>
      <c r="AN68" s="38" t="n"/>
      <c r="AO68" s="38" t="n"/>
      <c r="AP68" s="38" t="n"/>
      <c r="AQ68" s="38" t="n"/>
      <c r="AR68" s="38" t="n"/>
      <c r="AS68" s="38" t="n"/>
      <c r="AT68" s="38" t="n"/>
      <c r="AU68" s="38" t="n"/>
      <c r="AV68" s="38" t="n"/>
      <c r="AW68" s="38" t="n"/>
      <c r="AX68" s="38" t="n"/>
      <c r="AY68" s="38" t="n"/>
      <c r="AZ68" s="38" t="n"/>
      <c r="BA68" s="114" t="inlineStr">
        <is>
          <t>testes disponíveis</t>
        </is>
      </c>
      <c r="BB68" s="114">
        <f>ADDRESS(ROW(FICHA!AN85),COLUMN(FICHA!AN85),4)</f>
        <v/>
      </c>
    </row>
    <row r="69" ht="17.25" customHeight="1">
      <c r="A69" s="38" t="n"/>
      <c r="B69" s="38" t="n"/>
      <c r="C69" s="38" t="n"/>
      <c r="D69" s="38" t="n"/>
      <c r="E69" s="38" t="n"/>
      <c r="F69" s="114" t="inlineStr">
        <is>
          <t>Reserva</t>
        </is>
      </c>
      <c r="G69" s="38" t="n"/>
      <c r="H69" s="38" t="n"/>
      <c r="I69" s="38" t="n"/>
      <c r="J69" s="38" t="n"/>
      <c r="K69" s="38" t="n"/>
      <c r="L69" s="38" t="n"/>
      <c r="M69" s="38" t="n"/>
      <c r="N69" s="38" t="n"/>
      <c r="O69" s="38" t="n"/>
      <c r="P69" s="38" t="n"/>
      <c r="Q69" s="38" t="n"/>
      <c r="R69" s="38" t="n"/>
      <c r="S69" s="38" t="n"/>
      <c r="T69" s="38" t="n"/>
      <c r="U69" s="38" t="n"/>
      <c r="V69" s="38" t="n"/>
      <c r="W69" s="38" t="n"/>
      <c r="X69" s="38" t="n"/>
      <c r="Y69" s="38" t="n"/>
      <c r="Z69" s="38" t="n"/>
      <c r="AA69" s="38" t="n"/>
      <c r="AB69" s="38" t="n"/>
      <c r="AC69" s="38" t="n"/>
      <c r="AD69" s="38" t="n"/>
      <c r="AE69" s="38" t="n"/>
      <c r="AF69" s="38" t="n"/>
      <c r="AG69" s="38" t="n"/>
      <c r="AH69" s="38" t="n"/>
      <c r="AI69" s="38" t="n"/>
      <c r="AJ69" s="38" t="n"/>
      <c r="AK69" s="38" t="n"/>
      <c r="AL69" s="38" t="n"/>
      <c r="AM69" s="38" t="n"/>
      <c r="AN69" s="38" t="n"/>
      <c r="AO69" s="38" t="n"/>
      <c r="AP69" s="38" t="n"/>
      <c r="AQ69" s="38" t="n"/>
      <c r="AR69" s="38" t="n"/>
      <c r="AS69" s="38" t="n"/>
      <c r="AT69" s="38" t="n"/>
      <c r="AU69" s="38" t="n"/>
      <c r="AV69" s="38" t="n"/>
      <c r="AW69" s="38" t="n"/>
      <c r="AX69" s="38" t="n"/>
      <c r="AY69" s="38" t="n"/>
      <c r="AZ69" s="38" t="n"/>
      <c r="BA69" s="114" t="inlineStr">
        <is>
          <t>escolhas de perícia</t>
        </is>
      </c>
      <c r="BB69" s="114">
        <f>ADDRESS(ROW(FICHA!AK76),COLUMN(FICHA!AK76),4)</f>
        <v/>
      </c>
    </row>
    <row r="70">
      <c r="A70" s="38" t="n"/>
      <c r="B70" s="38" t="n"/>
      <c r="C70" s="38" t="n"/>
      <c r="D70" s="38" t="n"/>
      <c r="E70" s="38" t="n"/>
      <c r="F70" s="38" t="inlineStr">
        <is>
          <t>Remenda</t>
        </is>
      </c>
      <c r="G70" s="38" t="n"/>
      <c r="H70" s="38" t="n"/>
      <c r="I70" s="38" t="n"/>
      <c r="J70" s="38" t="n"/>
      <c r="K70" s="38" t="n"/>
      <c r="L70" s="38" t="n"/>
      <c r="M70" s="38" t="n"/>
      <c r="N70" s="38" t="n"/>
      <c r="O70" s="38" t="n"/>
      <c r="P70" s="38" t="n"/>
      <c r="Q70" s="38" t="n"/>
      <c r="R70" s="38" t="n"/>
      <c r="S70" s="38" t="n"/>
      <c r="T70" s="38" t="n"/>
      <c r="U70" s="38" t="n"/>
      <c r="V70" s="38" t="n"/>
      <c r="W70" s="38" t="n"/>
      <c r="X70" s="38" t="n"/>
      <c r="Y70" s="38" t="n"/>
      <c r="Z70" s="38" t="n"/>
      <c r="AA70" s="38" t="n"/>
      <c r="AB70" s="38" t="n"/>
      <c r="AC70" s="38" t="n"/>
      <c r="AD70" s="38" t="n"/>
      <c r="AE70" s="38" t="n"/>
      <c r="AF70" s="38" t="n"/>
      <c r="AG70" s="38" t="n"/>
      <c r="AH70" s="38" t="n"/>
      <c r="AI70" s="38" t="n"/>
      <c r="AJ70" s="38" t="n"/>
      <c r="AK70" s="38" t="n"/>
      <c r="AL70" s="38" t="n"/>
      <c r="AM70" s="38" t="n"/>
      <c r="AN70" s="38" t="n"/>
      <c r="AO70" s="38" t="n"/>
      <c r="AP70" s="38" t="n"/>
      <c r="AQ70" s="38" t="n"/>
      <c r="AR70" s="38" t="n"/>
      <c r="AS70" s="38" t="n"/>
      <c r="AT70" s="38" t="n"/>
      <c r="AU70" s="38" t="n"/>
      <c r="AV70" s="38" t="n"/>
      <c r="AW70" s="38" t="n"/>
      <c r="AX70" s="38" t="n"/>
      <c r="AY70" s="38" t="n"/>
      <c r="AZ70" s="38" t="n"/>
      <c r="BA70" s="114" t="inlineStr">
        <is>
          <t>feitiços disponíveis</t>
        </is>
      </c>
      <c r="BB70" s="114">
        <f>ADDRESS(ROW(FICHA!F122),COLUMN(FICHA!F122),4)</f>
        <v/>
      </c>
    </row>
    <row r="71">
      <c r="A71" s="38" t="n"/>
      <c r="B71" s="38" t="n"/>
      <c r="C71" s="38" t="n"/>
      <c r="D71" s="38" t="n"/>
      <c r="E71" s="38" t="n"/>
      <c r="F71" s="38" t="inlineStr">
        <is>
          <t>Condição</t>
        </is>
      </c>
      <c r="G71" s="38" t="n"/>
      <c r="H71" s="38" t="n"/>
      <c r="I71" s="38" t="n"/>
      <c r="J71" s="38" t="n"/>
      <c r="K71" s="38" t="n"/>
      <c r="L71" s="38" t="n"/>
      <c r="M71" s="38" t="n"/>
      <c r="N71" s="38" t="n"/>
      <c r="O71" s="38" t="n"/>
      <c r="P71" s="38" t="n"/>
      <c r="Q71" s="38" t="n"/>
      <c r="R71" s="38" t="n"/>
      <c r="S71" s="38" t="n"/>
      <c r="T71" s="38" t="n"/>
      <c r="U71" s="38" t="n"/>
      <c r="V71" s="38" t="n"/>
      <c r="W71" s="38" t="n"/>
      <c r="X71" s="38" t="n"/>
      <c r="Y71" s="38" t="n"/>
      <c r="Z71" s="38" t="n"/>
      <c r="AA71" s="38" t="n"/>
      <c r="AB71" s="38" t="n"/>
      <c r="AC71" s="38" t="n"/>
      <c r="AD71" s="38" t="n"/>
      <c r="AE71" s="38" t="n"/>
      <c r="AF71" s="38" t="n"/>
      <c r="AG71" s="38" t="n"/>
      <c r="AH71" s="38" t="n"/>
      <c r="AI71" s="38" t="n"/>
      <c r="AJ71" s="38" t="n"/>
      <c r="AK71" s="38" t="n"/>
      <c r="AL71" s="38" t="n"/>
      <c r="AM71" s="38" t="n"/>
      <c r="AN71" s="38" t="n"/>
      <c r="AO71" s="38" t="n"/>
      <c r="AP71" s="38" t="n"/>
      <c r="AQ71" s="38" t="n"/>
      <c r="AR71" s="38" t="n"/>
      <c r="AS71" s="38" t="n"/>
      <c r="AT71" s="38" t="n"/>
      <c r="AU71" s="38" t="n"/>
      <c r="AV71" s="38" t="n"/>
      <c r="AW71" s="38" t="n"/>
      <c r="AX71" s="38" t="n"/>
      <c r="AY71" s="38" t="n"/>
      <c r="AZ71" s="38" t="n"/>
      <c r="BA71" s="114" t="inlineStr">
        <is>
          <t>passivas</t>
        </is>
      </c>
      <c r="BB71" s="114">
        <f>ADDRESS(ROW(FICHA!X137),COLUMN(FICHA!X137),4)</f>
        <v/>
      </c>
    </row>
    <row r="72">
      <c r="A72" s="38" t="n"/>
      <c r="B72" s="38" t="n"/>
      <c r="C72" s="38" t="n"/>
      <c r="D72" s="38" t="n"/>
      <c r="E72" s="38" t="n"/>
      <c r="F72" s="38" t="inlineStr">
        <is>
          <t>Efeito Próprio</t>
        </is>
      </c>
      <c r="G72" s="38" t="n"/>
      <c r="H72" s="38" t="n"/>
      <c r="I72" s="38" t="n"/>
      <c r="J72" s="38" t="n"/>
      <c r="K72" s="38" t="n"/>
      <c r="L72" s="38" t="n"/>
      <c r="M72" s="38" t="n"/>
      <c r="N72" s="38" t="n"/>
      <c r="O72" s="38" t="n"/>
      <c r="P72" s="38" t="n"/>
      <c r="Q72" s="38" t="n"/>
      <c r="R72" s="38" t="n"/>
      <c r="S72" s="38" t="n"/>
      <c r="T72" s="38" t="n"/>
      <c r="U72" s="38" t="n"/>
      <c r="V72" s="38" t="n"/>
      <c r="W72" s="38" t="n"/>
      <c r="X72" s="38" t="n"/>
      <c r="Y72" s="38" t="n"/>
      <c r="Z72" s="38" t="n"/>
      <c r="AA72" s="38" t="n"/>
      <c r="AB72" s="38" t="n"/>
      <c r="AC72" s="38" t="n"/>
      <c r="AD72" s="38" t="n"/>
      <c r="AE72" s="38" t="n"/>
      <c r="AF72" s="38" t="n"/>
      <c r="AG72" s="38" t="n"/>
      <c r="AH72" s="38" t="n"/>
      <c r="AI72" s="38" t="n"/>
      <c r="AJ72" s="38" t="n"/>
      <c r="AK72" s="38" t="n"/>
      <c r="AL72" s="38" t="n"/>
      <c r="AM72" s="38" t="n"/>
      <c r="AN72" s="38" t="n"/>
      <c r="AO72" s="38" t="n"/>
      <c r="AP72" s="38" t="n"/>
      <c r="AQ72" s="38" t="n"/>
      <c r="AR72" s="38" t="n"/>
      <c r="AS72" s="38" t="n"/>
      <c r="AT72" s="38" t="n"/>
      <c r="AU72" s="38" t="n"/>
      <c r="AV72" s="38" t="n"/>
      <c r="AW72" s="38" t="n"/>
      <c r="AX72" s="38" t="n"/>
      <c r="AY72" s="38" t="n"/>
      <c r="AZ72" s="38" t="n"/>
      <c r="BA72" s="114" t="inlineStr">
        <is>
          <t>aptidão de graça 1</t>
        </is>
      </c>
      <c r="BB72" s="114">
        <f>ADDRESS(ROW(FICHA!V124),COLUMN(FICHA!V124),4)</f>
        <v/>
      </c>
    </row>
    <row r="73">
      <c r="A73" s="38" t="n"/>
      <c r="B73" s="38" t="n"/>
      <c r="C73" s="38" t="n"/>
      <c r="D73" s="38" t="n"/>
      <c r="E73" s="38" t="n"/>
      <c r="F73" s="38" t="n"/>
      <c r="G73" s="38" t="n"/>
      <c r="H73" s="38" t="n"/>
      <c r="I73" s="38" t="n"/>
      <c r="J73" s="38" t="n"/>
      <c r="K73" s="38" t="n"/>
      <c r="L73" s="38" t="n"/>
      <c r="M73" s="38" t="n"/>
      <c r="N73" s="38" t="n"/>
      <c r="O73" s="38" t="n"/>
      <c r="P73" s="38" t="n"/>
      <c r="Q73" s="38" t="n"/>
      <c r="R73" s="38" t="n"/>
      <c r="S73" s="38" t="n"/>
      <c r="T73" s="38" t="n"/>
      <c r="U73" s="38" t="n"/>
      <c r="V73" s="38" t="n"/>
      <c r="W73" s="38" t="n"/>
      <c r="X73" s="38" t="n"/>
      <c r="Y73" s="38" t="n"/>
      <c r="Z73" s="38" t="n"/>
      <c r="AA73" s="38" t="n"/>
      <c r="AB73" s="38" t="n"/>
      <c r="AC73" s="38" t="n"/>
      <c r="AD73" s="38" t="n"/>
      <c r="AE73" s="38" t="n"/>
      <c r="AF73" s="38" t="n"/>
      <c r="AG73" s="38" t="n"/>
      <c r="AH73" s="38" t="n"/>
      <c r="AI73" s="38" t="n"/>
      <c r="AJ73" s="38" t="n"/>
      <c r="AK73" s="38" t="n"/>
      <c r="AL73" s="38" t="n"/>
      <c r="AM73" s="38" t="n"/>
      <c r="AN73" s="38" t="n"/>
      <c r="AO73" s="38" t="n"/>
      <c r="AP73" s="38" t="n"/>
      <c r="AQ73" s="38" t="n"/>
      <c r="AR73" s="38" t="n"/>
      <c r="AS73" s="38" t="n"/>
      <c r="AT73" s="38" t="n"/>
      <c r="AU73" s="38" t="n"/>
      <c r="AV73" s="38" t="n"/>
      <c r="AW73" s="38" t="n"/>
      <c r="AX73" s="38" t="n"/>
      <c r="AY73" s="38" t="n"/>
      <c r="AZ73" s="38" t="n"/>
      <c r="BA73" s="114" t="inlineStr">
        <is>
          <t>aptidão de graça 2</t>
        </is>
      </c>
      <c r="BB73" s="114">
        <f>ADDRESS(ROW(FICHA!V125),COLUMN(FICHA!V125),4)</f>
        <v/>
      </c>
    </row>
    <row r="74">
      <c r="A74" s="38" t="n"/>
      <c r="B74" s="38" t="n"/>
      <c r="C74" s="38" t="n"/>
      <c r="D74" s="38" t="n"/>
      <c r="E74" s="38" t="n"/>
      <c r="F74" s="38" t="n"/>
      <c r="G74" s="38" t="n"/>
      <c r="H74" s="38" t="n"/>
      <c r="I74" s="38" t="n"/>
      <c r="J74" s="38" t="n"/>
      <c r="K74" s="38" t="n"/>
      <c r="L74" s="38" t="n"/>
      <c r="M74" s="38" t="n"/>
      <c r="N74" s="38" t="n"/>
      <c r="O74" s="38" t="n"/>
      <c r="P74" s="38" t="n"/>
      <c r="Q74" s="38" t="n"/>
      <c r="R74" s="38" t="n"/>
      <c r="S74" s="38" t="n"/>
      <c r="T74" s="38" t="n"/>
      <c r="U74" s="38" t="n"/>
      <c r="V74" s="38" t="n"/>
      <c r="W74" s="38" t="n"/>
      <c r="X74" s="38" t="n"/>
      <c r="Y74" s="38" t="n"/>
      <c r="Z74" s="38" t="n"/>
      <c r="AA74" s="38" t="n"/>
      <c r="AB74" s="38" t="n"/>
      <c r="AC74" s="38" t="n"/>
      <c r="AD74" s="38" t="n"/>
      <c r="AE74" s="38" t="n"/>
      <c r="AF74" s="38" t="n"/>
      <c r="AG74" s="38" t="n"/>
      <c r="AH74" s="38" t="n"/>
      <c r="AI74" s="38" t="n"/>
      <c r="AJ74" s="38" t="n"/>
      <c r="AK74" s="38" t="n"/>
      <c r="AL74" s="38" t="n"/>
      <c r="AM74" s="38" t="n"/>
      <c r="AN74" s="38" t="n"/>
      <c r="AO74" s="38" t="n"/>
      <c r="AP74" s="38" t="n"/>
      <c r="AQ74" s="38" t="n"/>
      <c r="AR74" s="38" t="n"/>
      <c r="AS74" s="38" t="n"/>
      <c r="AT74" s="38" t="n"/>
      <c r="AU74" s="38" t="n"/>
      <c r="AV74" s="38" t="n"/>
      <c r="AW74" s="38" t="n"/>
      <c r="AX74" s="38" t="n"/>
      <c r="AY74" s="38" t="n"/>
      <c r="AZ74" s="38" t="n"/>
      <c r="BA74" s="114" t="inlineStr">
        <is>
          <t>aptidões disponíveis</t>
        </is>
      </c>
      <c r="BB74" s="114">
        <f>ADDRESS(ROW(FICHA!V122),COLUMN(FICHA!V122),4)</f>
        <v/>
      </c>
    </row>
    <row r="75">
      <c r="A75" s="38" t="n"/>
      <c r="B75" s="38" t="n"/>
      <c r="C75" s="38" t="n"/>
      <c r="D75" s="38" t="n"/>
      <c r="E75" s="38" t="n"/>
      <c r="F75" s="38" t="n"/>
      <c r="G75" s="38" t="n"/>
      <c r="H75" s="38" t="n"/>
      <c r="I75" s="38" t="n"/>
      <c r="J75" s="38" t="n"/>
      <c r="K75" s="38" t="n"/>
      <c r="L75" s="38" t="n"/>
      <c r="M75" s="38" t="n"/>
      <c r="N75" s="38" t="n"/>
      <c r="O75" s="38" t="n"/>
      <c r="P75" s="38" t="n"/>
      <c r="Q75" s="38" t="n"/>
      <c r="R75" s="38" t="n"/>
      <c r="S75" s="38" t="n"/>
      <c r="T75" s="38" t="n"/>
      <c r="U75" s="38" t="n"/>
      <c r="V75" s="38" t="n"/>
      <c r="W75" s="38" t="n"/>
      <c r="X75" s="38" t="n"/>
      <c r="Y75" s="38" t="n"/>
      <c r="Z75" s="38" t="n"/>
      <c r="AA75" s="38" t="n"/>
      <c r="AB75" s="38" t="n"/>
      <c r="AC75" s="38" t="n"/>
      <c r="AD75" s="38" t="n"/>
      <c r="AE75" s="38" t="n"/>
      <c r="AF75" s="38" t="n"/>
      <c r="AG75" s="38" t="n"/>
      <c r="AH75" s="38" t="n"/>
      <c r="AI75" s="38" t="n"/>
      <c r="AJ75" s="38" t="n"/>
      <c r="AK75" s="38" t="n"/>
      <c r="AL75" s="38" t="n"/>
      <c r="AM75" s="38" t="n"/>
      <c r="AN75" s="38" t="n"/>
      <c r="AO75" s="38" t="n"/>
      <c r="AP75" s="38" t="n"/>
      <c r="AQ75" s="38" t="n"/>
      <c r="AR75" s="38" t="n"/>
      <c r="AS75" s="38" t="n"/>
      <c r="AT75" s="38" t="n"/>
      <c r="AU75" s="38" t="n"/>
      <c r="AV75" s="38" t="n"/>
      <c r="AW75" s="38" t="n"/>
      <c r="AX75" s="38" t="n"/>
      <c r="AY75" s="38" t="n"/>
      <c r="AZ75" s="38" t="n"/>
      <c r="BA75" s="114" t="inlineStr">
        <is>
          <t>passivas do leque</t>
        </is>
      </c>
      <c r="BB75" s="114">
        <f>ADDRESS(ROW(FICHA!AF137),COLUMN(FICHA!AF137),4)</f>
        <v/>
      </c>
    </row>
    <row r="76">
      <c r="A76" s="114" t="n"/>
      <c r="B76" s="114" t="n"/>
      <c r="C76" s="114" t="n"/>
      <c r="D76" s="114" t="n"/>
      <c r="E76" s="114" t="n"/>
      <c r="F76" s="114" t="n"/>
      <c r="G76" s="114" t="n"/>
      <c r="H76" s="114" t="n"/>
      <c r="I76" s="114" t="n"/>
      <c r="J76" s="114" t="n"/>
      <c r="K76" s="114" t="n"/>
      <c r="L76" s="114" t="n"/>
      <c r="M76" s="114" t="n"/>
      <c r="N76" s="114" t="n"/>
      <c r="O76" s="114" t="n"/>
      <c r="P76" s="114" t="n"/>
      <c r="Q76" s="114" t="n"/>
      <c r="R76" s="114" t="n"/>
      <c r="S76" s="114" t="n"/>
      <c r="T76" s="114" t="n"/>
      <c r="U76" s="114" t="n"/>
      <c r="V76" s="114" t="n"/>
      <c r="W76" s="114" t="n"/>
      <c r="X76" s="114" t="n"/>
      <c r="Y76" s="114" t="n"/>
      <c r="Z76" s="114" t="n"/>
      <c r="AA76" s="114" t="n"/>
      <c r="AB76" s="114" t="n"/>
      <c r="AC76" s="114" t="n"/>
      <c r="AD76" s="114" t="n"/>
      <c r="AE76" s="114" t="n"/>
      <c r="AF76" s="114" t="n"/>
      <c r="AG76" s="114" t="n"/>
      <c r="AH76" s="114" t="n"/>
      <c r="AI76" s="114" t="n"/>
      <c r="AJ76" s="114" t="n"/>
      <c r="AK76" s="114" t="n"/>
      <c r="AL76" s="114" t="n"/>
      <c r="AM76" s="114" t="n"/>
      <c r="AN76" s="114" t="n"/>
      <c r="AO76" s="114" t="n"/>
      <c r="AP76" s="114" t="n"/>
      <c r="AQ76" s="114" t="n"/>
      <c r="AR76" s="114" t="n"/>
      <c r="AS76" s="114" t="n"/>
      <c r="AT76" s="114" t="n"/>
      <c r="AU76" s="114" t="n"/>
      <c r="AV76" s="114" t="n"/>
      <c r="AW76" s="114" t="n"/>
      <c r="AX76" s="114" t="n"/>
      <c r="AY76" s="114" t="n"/>
      <c r="AZ76" s="114" t="n"/>
      <c r="BA76" s="114" t="inlineStr">
        <is>
          <t>treinado em armas</t>
        </is>
      </c>
      <c r="BB76" s="114">
        <f>ADDRESS(ROW(FICHA!AK63),COLUMN(FICHA!AK63),4)</f>
        <v/>
      </c>
    </row>
    <row r="77">
      <c r="A77" s="114" t="n"/>
      <c r="B77" s="114" t="n"/>
      <c r="C77" s="114" t="n"/>
      <c r="D77" s="114" t="n"/>
      <c r="E77" s="114" t="n"/>
      <c r="F77" s="114" t="n"/>
      <c r="G77" s="114" t="n"/>
      <c r="H77" s="114" t="n"/>
      <c r="I77" s="114" t="n"/>
      <c r="J77" s="114" t="n"/>
      <c r="K77" s="114" t="n"/>
      <c r="L77" s="114" t="n"/>
      <c r="M77" s="114" t="n"/>
      <c r="N77" s="114" t="n"/>
      <c r="O77" s="114" t="n"/>
      <c r="P77" s="114" t="n"/>
      <c r="Q77" s="114" t="n"/>
      <c r="R77" s="114" t="n"/>
      <c r="S77" s="114" t="n"/>
      <c r="T77" s="114" t="n"/>
      <c r="U77" s="114" t="n"/>
      <c r="V77" s="114" t="n"/>
      <c r="W77" s="114" t="n"/>
      <c r="X77" s="114" t="n"/>
      <c r="Y77" s="114" t="n"/>
      <c r="Z77" s="114" t="n"/>
      <c r="AA77" s="114" t="n"/>
      <c r="AB77" s="114" t="n"/>
      <c r="AC77" s="114" t="n"/>
      <c r="AD77" s="114" t="n"/>
      <c r="AE77" s="114" t="n"/>
      <c r="AF77" s="114" t="n"/>
      <c r="AG77" s="114" t="n"/>
      <c r="AH77" s="114" t="n"/>
      <c r="AI77" s="114" t="n"/>
      <c r="AJ77" s="114" t="n"/>
      <c r="AK77" s="114" t="n"/>
      <c r="AL77" s="114" t="n"/>
      <c r="AM77" s="114" t="n"/>
      <c r="AN77" s="114" t="n"/>
      <c r="AO77" s="114" t="n"/>
      <c r="AP77" s="114" t="n"/>
      <c r="AQ77" s="114" t="n"/>
      <c r="AR77" s="114" t="n"/>
      <c r="AS77" s="114" t="n"/>
      <c r="AT77" s="114" t="n"/>
      <c r="AU77" s="114" t="n"/>
      <c r="AV77" s="114" t="n"/>
      <c r="AW77" s="114" t="n"/>
      <c r="AX77" s="114" t="n"/>
      <c r="AY77" s="114" t="n"/>
      <c r="AZ77" s="114" t="n"/>
      <c r="BA77" s="114" t="inlineStr">
        <is>
          <t>trocou por arma</t>
        </is>
      </c>
      <c r="BB77" s="114">
        <f>ADDRESS(ROW(FICHA!AK65),COLUMN(FICHA!AK65),4)</f>
        <v/>
      </c>
    </row>
    <row r="78">
      <c r="A78" s="114" t="n"/>
      <c r="B78" s="114" t="n"/>
      <c r="C78" s="114" t="n"/>
      <c r="D78" s="114" t="n"/>
      <c r="E78" s="114" t="n"/>
      <c r="F78" s="114" t="n"/>
      <c r="G78" s="114" t="n"/>
      <c r="H78" s="114" t="n"/>
      <c r="I78" s="114" t="n"/>
      <c r="J78" s="114" t="n"/>
      <c r="K78" s="114" t="n"/>
      <c r="L78" s="114" t="n"/>
      <c r="M78" s="114" t="n"/>
      <c r="N78" s="114" t="n"/>
      <c r="O78" s="114" t="n"/>
      <c r="P78" s="114" t="n"/>
      <c r="Q78" s="114" t="n"/>
      <c r="R78" s="114" t="n"/>
      <c r="S78" s="114" t="n"/>
      <c r="T78" s="114" t="n"/>
      <c r="U78" s="114" t="n"/>
      <c r="V78" s="114" t="n"/>
      <c r="W78" s="114" t="n"/>
      <c r="X78" s="114" t="n"/>
      <c r="Y78" s="114" t="n"/>
      <c r="Z78" s="114" t="n"/>
      <c r="AA78" s="114" t="n"/>
      <c r="AB78" s="114" t="n"/>
      <c r="AC78" s="114" t="n"/>
      <c r="AD78" s="114" t="n"/>
      <c r="AE78" s="114" t="n"/>
      <c r="AF78" s="114" t="n"/>
      <c r="AG78" s="114" t="n"/>
      <c r="AH78" s="114" t="n"/>
      <c r="AI78" s="114" t="n"/>
      <c r="AJ78" s="114" t="n"/>
      <c r="AK78" s="114" t="n"/>
      <c r="AL78" s="114" t="n"/>
      <c r="AM78" s="114" t="n"/>
      <c r="AN78" s="114" t="n"/>
      <c r="AO78" s="114" t="n"/>
      <c r="AP78" s="114" t="n"/>
      <c r="AQ78" s="114" t="n"/>
      <c r="AR78" s="114" t="n"/>
      <c r="AS78" s="114" t="n"/>
      <c r="AT78" s="114" t="n"/>
      <c r="AU78" s="114" t="n"/>
      <c r="AV78" s="114" t="n"/>
      <c r="AW78" s="114" t="n"/>
      <c r="AX78" s="114" t="n"/>
      <c r="AY78" s="114" t="n"/>
      <c r="AZ78" s="114" t="n"/>
      <c r="BA78" s="114" t="inlineStr">
        <is>
          <t>grupo de arma da trilha</t>
        </is>
      </c>
      <c r="BB78" s="114">
        <f>ADDRESS(ROW(FICHA!AK69),COLUMN(FICHA!AK69),4)</f>
        <v/>
      </c>
    </row>
    <row r="79">
      <c r="A79" s="114" t="n"/>
      <c r="B79" s="114" t="n"/>
      <c r="C79" s="114" t="n"/>
      <c r="D79" s="114" t="n"/>
      <c r="E79" s="114" t="n"/>
      <c r="F79" s="114" t="n"/>
      <c r="G79" s="114" t="n"/>
      <c r="H79" s="114" t="n"/>
      <c r="I79" s="114" t="n"/>
      <c r="J79" s="114" t="n"/>
      <c r="K79" s="114" t="n"/>
      <c r="L79" s="114" t="n"/>
      <c r="M79" s="114" t="n"/>
      <c r="N79" s="114" t="n"/>
      <c r="O79" s="114" t="n"/>
      <c r="P79" s="114" t="n"/>
      <c r="Q79" s="114" t="n"/>
      <c r="R79" s="114" t="n"/>
      <c r="S79" s="114" t="n"/>
      <c r="T79" s="114" t="n"/>
      <c r="U79" s="114" t="n"/>
      <c r="V79" s="114" t="n"/>
      <c r="W79" s="114" t="n"/>
      <c r="X79" s="114" t="n"/>
      <c r="Y79" s="114" t="n"/>
      <c r="Z79" s="114" t="n"/>
      <c r="AA79" s="114" t="n"/>
      <c r="AB79" s="114" t="n"/>
      <c r="AC79" s="114" t="n"/>
      <c r="AD79" s="114" t="n"/>
      <c r="AE79" s="114" t="n"/>
      <c r="AF79" s="114" t="n"/>
      <c r="AG79" s="114" t="n"/>
      <c r="AH79" s="114" t="n"/>
      <c r="AI79" s="114" t="n"/>
      <c r="AJ79" s="114" t="n"/>
      <c r="AK79" s="114" t="n"/>
      <c r="AL79" s="114" t="n"/>
      <c r="AM79" s="114" t="n"/>
      <c r="AN79" s="114" t="n"/>
      <c r="AO79" s="114" t="n"/>
      <c r="AP79" s="114" t="n"/>
      <c r="AQ79" s="114" t="n"/>
      <c r="AR79" s="114" t="n"/>
      <c r="AS79" s="114" t="n"/>
      <c r="AT79" s="114" t="n"/>
      <c r="AU79" s="114" t="n"/>
      <c r="AV79" s="114" t="n"/>
      <c r="AW79" s="114" t="n"/>
      <c r="AX79" s="114" t="n"/>
      <c r="AY79" s="114" t="n"/>
      <c r="AZ79" s="114" t="n"/>
      <c r="BA79" s="114" t="n"/>
      <c r="BB79" s="114"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J84"/>
  <sheetViews>
    <sheetView showGridLines="0" workbookViewId="0">
      <selection activeCell="A1" sqref="A1"/>
    </sheetView>
  </sheetViews>
  <sheetFormatPr baseColWidth="8" defaultRowHeight="15.75" customHeight="1"/>
  <cols>
    <col width="19.38" customWidth="1" min="1" max="1"/>
    <col width="19.38" customWidth="1" min="2" max="2"/>
    <col width="19.38" customWidth="1" min="3" max="3"/>
    <col width="19.38" customWidth="1" min="4" max="4"/>
    <col width="19.38" customWidth="1" min="5" max="5"/>
    <col width="19.38" customWidth="1" min="6" max="6"/>
    <col width="19.38" customWidth="1" min="7" max="7"/>
    <col width="19.38" customWidth="1" min="8" max="8"/>
    <col width="19.38" customWidth="1" min="9" max="9"/>
    <col width="19.38" customWidth="1" min="10" max="10"/>
    <col width="19.38" customWidth="1" min="11" max="11"/>
    <col width="19.38" customWidth="1" min="12" max="12"/>
    <col width="19.38" customWidth="1" min="13" max="13"/>
    <col width="19.38" customWidth="1" min="14" max="14"/>
    <col width="19.38" customWidth="1" min="15" max="15"/>
    <col width="19.38" customWidth="1" min="16" max="16"/>
    <col width="19.38" customWidth="1" min="17" max="17"/>
    <col width="19.38" customWidth="1" min="18" max="18"/>
    <col width="19.38" customWidth="1" min="19" max="19"/>
    <col width="19.38" customWidth="1" min="20" max="20"/>
    <col width="19.38" customWidth="1" min="21" max="21"/>
    <col width="19.38" customWidth="1" min="22" max="22"/>
    <col width="19.38" customWidth="1" min="23" max="23"/>
    <col width="19.38" customWidth="1" min="24" max="24"/>
    <col width="19.38" customWidth="1" min="25" max="25"/>
    <col width="19.38" customWidth="1" min="26" max="26"/>
    <col width="19.38" customWidth="1" min="27" max="27"/>
    <col width="19.38" customWidth="1" min="28" max="28"/>
    <col width="19.38" customWidth="1" min="29" max="29"/>
    <col width="19.38" customWidth="1" min="30" max="30"/>
    <col width="19.38" customWidth="1" min="31" max="31"/>
    <col width="19.38" customWidth="1" min="32" max="32"/>
    <col width="19.38" customWidth="1" min="33" max="33"/>
    <col width="19.38" customWidth="1" min="34" max="34"/>
    <col width="19.38" customWidth="1" min="35" max="35"/>
    <col width="19.38" customWidth="1" min="36" max="36"/>
    <col width="19.38" customWidth="1" min="37" max="37"/>
    <col width="19.38" customWidth="1" min="38" max="38"/>
    <col width="19.38" customWidth="1" min="39" max="39"/>
    <col width="19.38" customWidth="1" min="40" max="40"/>
    <col width="19.38" customWidth="1" min="41" max="41"/>
    <col width="19.38" customWidth="1" min="42" max="42"/>
    <col width="19.38" customWidth="1" min="43" max="43"/>
    <col width="19.38" customWidth="1" min="44" max="44"/>
    <col width="19.38" customWidth="1" min="45" max="45"/>
    <col width="19.38" customWidth="1" min="46" max="46"/>
    <col width="19.38" customWidth="1" min="47" max="47"/>
    <col width="19.38" customWidth="1" min="48" max="48"/>
    <col width="19.38" customWidth="1" min="49" max="49"/>
    <col width="19.38" customWidth="1" min="50" max="50"/>
    <col width="19.38" customWidth="1" min="51" max="51"/>
    <col width="19.38" customWidth="1" min="52" max="52"/>
    <col width="19.38" customWidth="1" min="53" max="53"/>
    <col width="19.38" customWidth="1" min="54" max="54"/>
    <col width="19.38" customWidth="1" min="55" max="55"/>
    <col width="19.38" customWidth="1" min="56" max="56"/>
    <col width="19.38" customWidth="1" min="57" max="57"/>
    <col width="19.38" customWidth="1" min="58" max="58"/>
    <col width="19.38" customWidth="1" min="59" max="59"/>
    <col width="19.38" customWidth="1" min="60" max="60"/>
    <col width="19.38" customWidth="1" min="61" max="61"/>
    <col width="19.38" customWidth="1" min="62" max="62"/>
    <col width="19.38" customWidth="1" min="63" max="63"/>
    <col width="19.38" customWidth="1" min="64" max="64"/>
    <col width="19.38" customWidth="1" min="65" max="65"/>
    <col width="19.38" customWidth="1" min="66" max="66"/>
    <col width="19.38" customWidth="1" min="67" max="67"/>
    <col width="19.38" customWidth="1" min="68" max="68"/>
    <col width="19.38" customWidth="1" min="69" max="69"/>
    <col width="19.38" customWidth="1" min="70" max="70"/>
    <col width="19.38" customWidth="1" min="71" max="71"/>
    <col width="19.38" customWidth="1" min="72" max="72"/>
    <col width="19.38" customWidth="1" min="73" max="73"/>
    <col width="19.38" customWidth="1" min="74" max="74"/>
    <col width="19.38" customWidth="1" min="75" max="75"/>
    <col width="19.38" customWidth="1" min="76" max="76"/>
    <col width="19.38" customWidth="1" min="77" max="77"/>
    <col width="19.38" customWidth="1" min="78" max="78"/>
    <col width="19.38" customWidth="1" min="79" max="79"/>
    <col width="19.38" customWidth="1" min="80" max="80"/>
    <col width="19.38" customWidth="1" min="81" max="81"/>
    <col width="19.38" customWidth="1" min="82" max="82"/>
    <col width="19.38" customWidth="1" min="83" max="83"/>
    <col width="19.38" customWidth="1" min="84" max="84"/>
    <col width="19.38" customWidth="1" min="85" max="85"/>
    <col width="19.38" customWidth="1" min="86" max="86"/>
    <col width="19.38" customWidth="1" min="87" max="87"/>
    <col width="19.38" customWidth="1" min="88" max="88"/>
    <col width="19.38" customWidth="1" min="89" max="89"/>
    <col width="19.38" customWidth="1" min="90" max="90"/>
    <col width="19.38" customWidth="1" min="91" max="91"/>
    <col width="19.38" customWidth="1" min="92" max="92"/>
    <col width="19.38" customWidth="1" min="93" max="93"/>
    <col width="19.38" customWidth="1" min="94" max="94"/>
    <col width="19.38" customWidth="1" min="95" max="95"/>
    <col width="19.38" customWidth="1" min="96" max="96"/>
    <col width="19.38" customWidth="1" min="97" max="97"/>
    <col width="19.38" customWidth="1" min="98" max="98"/>
    <col width="19.38" customWidth="1" min="99" max="99"/>
    <col width="19.38" customWidth="1" min="100" max="100"/>
    <col width="19.38" customWidth="1" min="101" max="101"/>
    <col width="19.38" customWidth="1" min="102" max="102"/>
    <col width="19.38" customWidth="1" min="103" max="103"/>
    <col width="19.38" customWidth="1" min="104" max="104"/>
    <col width="19.38" customWidth="1" min="105" max="105"/>
    <col width="19.38" customWidth="1" min="106" max="106"/>
    <col width="19.38" customWidth="1" min="107" max="107"/>
    <col width="19.38" customWidth="1" min="108" max="108"/>
    <col width="19.38" customWidth="1" min="109" max="109"/>
    <col width="19.38" customWidth="1" min="110" max="110"/>
    <col width="19.38" customWidth="1" min="111" max="111"/>
    <col width="19.38" customWidth="1" min="112" max="112"/>
    <col width="19.38" customWidth="1" min="113" max="113"/>
    <col width="19.38" customWidth="1" min="114" max="114"/>
    <col width="19.38" customWidth="1" min="115" max="115"/>
    <col width="19.38" customWidth="1" min="116" max="116"/>
    <col width="19.38" customWidth="1" min="117" max="117"/>
    <col width="19.38" customWidth="1" min="118" max="118"/>
    <col width="19.38" customWidth="1" min="119" max="119"/>
    <col width="19.38" customWidth="1" min="120" max="120"/>
    <col width="19.38" customWidth="1" min="121" max="121"/>
    <col width="19.38" customWidth="1" min="122" max="122"/>
    <col width="19.38" customWidth="1" min="123" max="123"/>
    <col width="19.38" customWidth="1" min="124" max="124"/>
    <col width="19.38" customWidth="1" min="125" max="125"/>
    <col width="19.38" customWidth="1" min="126" max="126"/>
    <col width="19.38" customWidth="1" min="127" max="127"/>
    <col width="19.38" customWidth="1" min="128" max="128"/>
    <col width="19.38" customWidth="1" min="129" max="129"/>
    <col width="19.38" customWidth="1" min="130" max="130"/>
    <col width="19.38" customWidth="1" min="131" max="131"/>
    <col width="19.38" customWidth="1" min="132" max="132"/>
    <col width="19.38" customWidth="1" min="133" max="133"/>
    <col width="19.38" customWidth="1" min="134" max="134"/>
    <col width="19.38" customWidth="1" min="135" max="135"/>
    <col width="19.38" customWidth="1" min="136" max="136"/>
    <col width="19.38" customWidth="1" min="137" max="137"/>
    <col width="19.38" customWidth="1" min="138" max="138"/>
    <col width="19.38" customWidth="1" min="139" max="139"/>
    <col width="19.38" customWidth="1" min="140" max="140"/>
    <col width="19.38" customWidth="1" min="141" max="141"/>
    <col width="19.38" customWidth="1" min="142" max="142"/>
    <col width="19.38" customWidth="1" min="143" max="143"/>
    <col width="19.38" customWidth="1" min="144" max="144"/>
    <col width="19.38" customWidth="1" min="145" max="145"/>
    <col width="19.38" customWidth="1" min="146" max="146"/>
    <col width="19.38" customWidth="1" min="147" max="147"/>
    <col width="19.38" customWidth="1" min="148" max="148"/>
    <col width="19.38" customWidth="1" min="149" max="149"/>
    <col width="19.38" customWidth="1" min="150" max="150"/>
    <col width="19.38" customWidth="1" min="151" max="151"/>
    <col width="19.38" customWidth="1" min="152" max="152"/>
    <col width="19.38" customWidth="1" min="153" max="153"/>
    <col width="19.38" customWidth="1" min="154" max="154"/>
    <col width="19.38" customWidth="1" min="155" max="155"/>
    <col width="19.38" customWidth="1" min="156" max="156"/>
    <col width="19.38" customWidth="1" min="157" max="157"/>
    <col width="19.38" customWidth="1" min="158" max="158"/>
    <col width="19.38" customWidth="1" min="159" max="159"/>
    <col width="19.38" customWidth="1" min="160" max="160"/>
    <col width="19.38" customWidth="1" min="161" max="161"/>
    <col width="19.38" customWidth="1" min="162" max="162"/>
    <col width="19.38" customWidth="1" min="163" max="163"/>
    <col width="19.38" customWidth="1" min="164" max="164"/>
    <col width="19.38" customWidth="1" min="165" max="165"/>
    <col width="19.38" customWidth="1" min="166" max="166"/>
    <col width="19.38" customWidth="1" min="167" max="167"/>
    <col width="19.38" customWidth="1" min="168" max="168"/>
    <col width="19.38" customWidth="1" min="169" max="169"/>
    <col width="19.38" customWidth="1" min="170" max="170"/>
    <col width="19.38" customWidth="1" min="171" max="171"/>
    <col width="19.38" customWidth="1" min="172" max="172"/>
    <col width="19.38" customWidth="1" min="173" max="173"/>
    <col width="19.38" customWidth="1" min="174" max="174"/>
    <col width="19.38" customWidth="1" min="175" max="175"/>
    <col width="19.38" customWidth="1" min="176" max="176"/>
    <col width="19.38" customWidth="1" min="177" max="177"/>
    <col width="19.38" customWidth="1" min="178" max="178"/>
    <col width="19.38" customWidth="1" min="179" max="179"/>
    <col width="19.38" customWidth="1" min="180" max="180"/>
    <col width="19.38" customWidth="1" min="181" max="181"/>
    <col width="19.38" customWidth="1" min="182" max="182"/>
    <col width="19.38" customWidth="1" min="183" max="183"/>
    <col width="19.38" customWidth="1" min="184" max="184"/>
    <col width="19.38" customWidth="1" min="185" max="185"/>
    <col width="19.38" customWidth="1" min="186" max="186"/>
    <col width="19.38" customWidth="1" min="187" max="187"/>
    <col width="19.38" customWidth="1" min="188" max="188"/>
    <col width="19.38" customWidth="1" min="189" max="189"/>
    <col width="19.38" customWidth="1" min="190" max="190"/>
    <col width="19.38" customWidth="1" min="191" max="191"/>
    <col width="19.38" customWidth="1" min="192" max="192"/>
    <col width="19.38" customWidth="1" min="193" max="193"/>
    <col width="19.38" customWidth="1" min="194" max="194"/>
    <col width="19.38" customWidth="1" min="195" max="195"/>
    <col width="19.38" customWidth="1" min="196" max="196"/>
    <col width="19.38" customWidth="1" min="197" max="197"/>
    <col width="19.38" customWidth="1" min="198" max="198"/>
    <col width="19.38" customWidth="1" min="199" max="199"/>
    <col width="19.38" customWidth="1" min="200" max="200"/>
    <col width="19.38" customWidth="1" min="201" max="201"/>
    <col width="19.38" customWidth="1" min="202" max="202"/>
    <col width="19.38" customWidth="1" min="203" max="203"/>
    <col width="19.38" customWidth="1" min="204" max="204"/>
    <col width="19.38" customWidth="1" min="205" max="205"/>
    <col width="19.38" customWidth="1" min="206" max="206"/>
    <col width="19.38" customWidth="1" min="207" max="207"/>
    <col width="19.38" customWidth="1" min="208" max="208"/>
    <col width="19.38" customWidth="1" min="209" max="209"/>
    <col width="19.38" customWidth="1" min="210" max="210"/>
    <col width="19.38" customWidth="1" min="211" max="211"/>
    <col width="19.38" customWidth="1" min="212" max="212"/>
    <col width="19.38" customWidth="1" min="213" max="213"/>
    <col width="19.38" customWidth="1" min="214" max="214"/>
    <col width="19.38" customWidth="1" min="215" max="215"/>
    <col width="19.38" customWidth="1" min="216" max="216"/>
    <col width="19.38" customWidth="1" min="217" max="217"/>
    <col width="19.38" customWidth="1" min="218" max="218"/>
  </cols>
  <sheetData>
    <row r="1">
      <c r="A1" s="139" t="inlineStr">
        <is>
          <t>família da técnica</t>
        </is>
      </c>
      <c r="B1" s="139" t="inlineStr">
        <is>
          <t>estado da família</t>
        </is>
      </c>
      <c r="C1" s="139" t="inlineStr">
        <is>
          <t>família livre</t>
        </is>
      </c>
      <c r="D1" s="139" t="inlineStr">
        <is>
          <t>família fechada</t>
        </is>
      </c>
      <c r="F1" s="139" t="inlineStr">
        <is>
          <t>estado de família</t>
        </is>
      </c>
      <c r="H1" s="139" t="inlineStr">
        <is>
          <t>classe do feitiço</t>
        </is>
      </c>
      <c r="I1" s="139" t="inlineStr">
        <is>
          <t>leve</t>
        </is>
      </c>
      <c r="J1" s="139" t="inlineStr">
        <is>
          <t>média</t>
        </is>
      </c>
      <c r="K1" s="139" t="inlineStr">
        <is>
          <t>pesada</t>
        </is>
      </c>
      <c r="L1" s="139" t="inlineStr">
        <is>
          <t>leve livre</t>
        </is>
      </c>
      <c r="M1" s="139" t="inlineStr">
        <is>
          <t>média livre</t>
        </is>
      </c>
      <c r="N1" s="139" t="inlineStr">
        <is>
          <t>pesada livre</t>
        </is>
      </c>
      <c r="O1" s="139" t="inlineStr">
        <is>
          <t>limite de melhorias</t>
        </is>
      </c>
      <c r="Q1" s="139" t="inlineStr">
        <is>
          <t>forma</t>
        </is>
      </c>
      <c r="R1" s="139" t="inlineStr">
        <is>
          <t>família da forma</t>
        </is>
      </c>
      <c r="S1" s="139" t="inlineStr">
        <is>
          <t>peso da forma</t>
        </is>
      </c>
      <c r="T1" s="139" t="inlineStr">
        <is>
          <t>código de preço da forma</t>
        </is>
      </c>
      <c r="U1" s="139" t="inlineStr">
        <is>
          <t>forma fechada</t>
        </is>
      </c>
      <c r="V1" s="139" t="inlineStr">
        <is>
          <t>restrição embutida</t>
        </is>
      </c>
      <c r="W1" s="139" t="inlineStr">
        <is>
          <t>tipo de dano</t>
        </is>
      </c>
      <c r="X1" s="139" t="inlineStr">
        <is>
          <t>como resolve</t>
        </is>
      </c>
      <c r="Y1" s="139" t="inlineStr">
        <is>
          <t>resolve por teste</t>
        </is>
      </c>
      <c r="Z1" s="139" t="inlineStr">
        <is>
          <t>degrau da primeira parte</t>
        </is>
      </c>
      <c r="AA1" s="139" t="inlineStr">
        <is>
          <t>degrau da segunda parte</t>
        </is>
      </c>
      <c r="AB1" s="139" t="inlineStr">
        <is>
          <t>mostra mais alvos</t>
        </is>
      </c>
      <c r="AC1" s="139" t="inlineStr">
        <is>
          <t>existe na classe 0</t>
        </is>
      </c>
      <c r="AD1" s="139" t="inlineStr">
        <is>
          <t>menu de forma</t>
        </is>
      </c>
      <c r="AE1" s="139" t="inlineStr">
        <is>
          <t>menu de forma da classe 0</t>
        </is>
      </c>
      <c r="AG1" s="139" t="inlineStr">
        <is>
          <t>alcance de</t>
        </is>
      </c>
      <c r="AH1" s="139" t="inlineStr">
        <is>
          <t>primeira parte +0</t>
        </is>
      </c>
      <c r="AI1" s="139" t="inlineStr">
        <is>
          <t>primeira parte +1</t>
        </is>
      </c>
      <c r="AJ1" s="139" t="inlineStr">
        <is>
          <t>primeira parte +2</t>
        </is>
      </c>
      <c r="AK1" s="139" t="inlineStr">
        <is>
          <t>primeira parte +3</t>
        </is>
      </c>
      <c r="AL1" s="139" t="inlineStr">
        <is>
          <t>primeira parte +4</t>
        </is>
      </c>
      <c r="AM1" s="139" t="inlineStr">
        <is>
          <t>primeira parte +5</t>
        </is>
      </c>
      <c r="AN1" s="139" t="inlineStr">
        <is>
          <t>segunda parte +0</t>
        </is>
      </c>
      <c r="AO1" s="139" t="inlineStr">
        <is>
          <t>segunda parte +1</t>
        </is>
      </c>
      <c r="AP1" s="139" t="inlineStr">
        <is>
          <t>segunda parte +2</t>
        </is>
      </c>
      <c r="AQ1" s="139" t="inlineStr">
        <is>
          <t>segunda parte +3</t>
        </is>
      </c>
      <c r="AR1" s="139" t="inlineStr">
        <is>
          <t>segunda parte +4</t>
        </is>
      </c>
      <c r="AS1" s="139" t="inlineStr">
        <is>
          <t>segunda parte +5</t>
        </is>
      </c>
      <c r="AU1" s="139" t="inlineStr">
        <is>
          <t>peça</t>
        </is>
      </c>
      <c r="AV1" s="139" t="inlineStr">
        <is>
          <t>família da peça</t>
        </is>
      </c>
      <c r="AW1" s="139" t="inlineStr">
        <is>
          <t>peso da peça</t>
        </is>
      </c>
      <c r="AX1" s="139" t="inlineStr">
        <is>
          <t>código de preço</t>
        </is>
      </c>
      <c r="AY1" s="139" t="inlineStr">
        <is>
          <t>peça fechada</t>
        </is>
      </c>
      <c r="AZ1" s="139" t="inlineStr">
        <is>
          <t>peça de controle</t>
        </is>
      </c>
      <c r="BA1" s="139" t="inlineStr">
        <is>
          <t>menu de melhoria</t>
        </is>
      </c>
      <c r="BB1" s="139" t="inlineStr">
        <is>
          <t>menu de melhoria leve</t>
        </is>
      </c>
      <c r="BD1" s="139" t="inlineStr">
        <is>
          <t>menu de restrição</t>
        </is>
      </c>
      <c r="BE1" s="139" t="inlineStr">
        <is>
          <t>restrição</t>
        </is>
      </c>
      <c r="BF1" s="139" t="inlineStr">
        <is>
          <t>o que devolve</t>
        </is>
      </c>
      <c r="BG1" s="139" t="inlineStr">
        <is>
          <t>é de frequência</t>
        </is>
      </c>
      <c r="BH1" s="139" t="inlineStr">
        <is>
          <t>menu de restrição leve</t>
        </is>
      </c>
      <c r="BJ1" s="139" t="inlineStr">
        <is>
          <t>passiva</t>
        </is>
      </c>
      <c r="BK1" s="139" t="inlineStr">
        <is>
          <t>classe passiva</t>
        </is>
      </c>
      <c r="BL1" s="139" t="inlineStr">
        <is>
          <t>o que a passiva faz</t>
        </is>
      </c>
      <c r="BN1" s="139" t="inlineStr">
        <is>
          <t>classe passiva liberada</t>
        </is>
      </c>
      <c r="BO1" s="139" t="inlineStr">
        <is>
          <t>libera no nível</t>
        </is>
      </c>
      <c r="BQ1" s="139" t="inlineStr">
        <is>
          <t>aptidão</t>
        </is>
      </c>
      <c r="BR1" s="139" t="inlineStr">
        <is>
          <t>requisito da aptidão</t>
        </is>
      </c>
      <c r="BS1" s="139" t="inlineStr">
        <is>
          <t>classe passiva da aptidão</t>
        </is>
      </c>
      <c r="BT1" s="139" t="inlineStr">
        <is>
          <t>o que o refino escala</t>
        </is>
      </c>
      <c r="BU1" s="139" t="inlineStr">
        <is>
          <t>o que a aptidão faz</t>
        </is>
      </c>
      <c r="BV1" s="139" t="inlineStr">
        <is>
          <t>menu de aptidão</t>
        </is>
      </c>
      <c r="BX1" s="139" t="inlineStr">
        <is>
          <t>nível da classe 0</t>
        </is>
      </c>
      <c r="BY1" s="139" t="inlineStr">
        <is>
          <t>quantos de classe 0</t>
        </is>
      </c>
      <c r="BZ1" s="139" t="inlineStr">
        <is>
          <t>dados da classe 0</t>
        </is>
      </c>
      <c r="CB1" s="139" t="inlineStr">
        <is>
          <t>nível da liberação</t>
        </is>
      </c>
      <c r="CD1" s="139" t="inlineStr">
        <is>
          <t>classe da liberação</t>
        </is>
      </c>
      <c r="CF1" s="139" t="inlineStr">
        <is>
          <t>nível da técnica máxima</t>
        </is>
      </c>
      <c r="CG1" s="139" t="inlineStr">
        <is>
          <t>dados da técnica máxima</t>
        </is>
      </c>
      <c r="CH1" s="139" t="inlineStr">
        <is>
          <t>pontos de montagem</t>
        </is>
      </c>
      <c r="CJ1" s="139" t="inlineStr">
        <is>
          <t>degrau do domínio</t>
        </is>
      </c>
      <c r="CK1" s="139" t="inlineStr">
        <is>
          <t>espaços do degrau</t>
        </is>
      </c>
      <c r="CL1" s="139" t="inlineStr">
        <is>
          <t>nível do degrau</t>
        </is>
      </c>
      <c r="CM1" s="139" t="inlineStr">
        <is>
          <t>refino do degrau</t>
        </is>
      </c>
      <c r="CN1" s="139" t="inlineStr">
        <is>
          <t>o degrau abre em</t>
        </is>
      </c>
      <c r="CP1" s="139" t="inlineStr">
        <is>
          <t>forma do pacto</t>
        </is>
      </c>
      <c r="CQ1" s="139" t="inlineStr">
        <is>
          <t>quando se fecha</t>
        </is>
      </c>
      <c r="CS1" s="139" t="inlineStr">
        <is>
          <t>o pacto concede</t>
        </is>
      </c>
      <c r="CU1" s="139" t="inlineStr">
        <is>
          <t>conta de feitiço</t>
        </is>
      </c>
      <c r="CV1" s="139" t="inlineStr">
        <is>
          <t>liberação</t>
        </is>
      </c>
      <c r="CW1" s="139" t="inlineStr">
        <is>
          <t>vaga</t>
        </is>
      </c>
      <c r="CX1" s="139" t="inlineStr">
        <is>
          <t>classe</t>
        </is>
      </c>
      <c r="CY1" s="139" t="inlineStr">
        <is>
          <t>nome</t>
        </is>
      </c>
      <c r="CZ1" s="139" t="inlineStr">
        <is>
          <t>forma</t>
        </is>
      </c>
      <c r="DA1" s="139" t="inlineStr">
        <is>
          <t>m1</t>
        </is>
      </c>
      <c r="DB1" s="139" t="inlineStr">
        <is>
          <t>m2</t>
        </is>
      </c>
      <c r="DC1" s="139" t="inlineStr">
        <is>
          <t>m3</t>
        </is>
      </c>
      <c r="DD1" s="139" t="inlineStr">
        <is>
          <t>m4</t>
        </is>
      </c>
      <c r="DE1" s="139" t="inlineStr">
        <is>
          <t>r1</t>
        </is>
      </c>
      <c r="DF1" s="139" t="inlineStr">
        <is>
          <t>r2</t>
        </is>
      </c>
      <c r="DG1" s="139" t="inlineStr">
        <is>
          <t>s1</t>
        </is>
      </c>
      <c r="DH1" s="139" t="inlineStr">
        <is>
          <t>s2</t>
        </is>
      </c>
      <c r="DI1" s="139" t="inlineStr">
        <is>
          <t>tem</t>
        </is>
      </c>
      <c r="DJ1" s="139" t="inlineStr">
        <is>
          <t>lf</t>
        </is>
      </c>
      <c r="DK1" s="139" t="inlineStr">
        <is>
          <t>k0</t>
        </is>
      </c>
      <c r="DL1" s="139" t="inlineStr">
        <is>
          <t>k1</t>
        </is>
      </c>
      <c r="DM1" s="139" t="inlineStr">
        <is>
          <t>k2</t>
        </is>
      </c>
      <c r="DN1" s="139" t="inlineStr">
        <is>
          <t>k3</t>
        </is>
      </c>
      <c r="DO1" s="139" t="inlineStr">
        <is>
          <t>k4</t>
        </is>
      </c>
      <c r="DP1" s="139" t="inlineStr">
        <is>
          <t>x0</t>
        </is>
      </c>
      <c r="DQ1" s="139" t="inlineStr">
        <is>
          <t>x1</t>
        </is>
      </c>
      <c r="DR1" s="139" t="inlineStr">
        <is>
          <t>x2</t>
        </is>
      </c>
      <c r="DS1" s="139" t="inlineStr">
        <is>
          <t>x3</t>
        </is>
      </c>
      <c r="DT1" s="139" t="inlineStr">
        <is>
          <t>x4</t>
        </is>
      </c>
      <c r="DU1" s="139" t="inlineStr">
        <is>
          <t>ct</t>
        </is>
      </c>
      <c r="DV1" s="139" t="inlineStr">
        <is>
          <t>emb</t>
        </is>
      </c>
      <c r="DW1" s="139" t="inlineStr">
        <is>
          <t>tp</t>
        </is>
      </c>
      <c r="DX1" s="139" t="inlineStr">
        <is>
          <t>tr</t>
        </is>
      </c>
      <c r="DY1" s="139" t="inlineStr">
        <is>
          <t>c1</t>
        </is>
      </c>
      <c r="DZ1" s="139" t="inlineStr">
        <is>
          <t>c2</t>
        </is>
      </c>
      <c r="EA1" s="139" t="inlineStr">
        <is>
          <t>b1</t>
        </is>
      </c>
      <c r="EB1" s="139" t="inlineStr">
        <is>
          <t>b2</t>
        </is>
      </c>
      <c r="EC1" s="139" t="inlineStr">
        <is>
          <t>n1</t>
        </is>
      </c>
      <c r="ED1" s="139" t="inlineStr">
        <is>
          <t>n2</t>
        </is>
      </c>
      <c r="EE1" s="139" t="inlineStr">
        <is>
          <t>n3</t>
        </is>
      </c>
      <c r="EF1" s="139" t="inlineStr">
        <is>
          <t>n4</t>
        </is>
      </c>
      <c r="EG1" s="139" t="inlineStr">
        <is>
          <t>n5</t>
        </is>
      </c>
      <c r="EH1" s="139" t="inlineStr">
        <is>
          <t>n6</t>
        </is>
      </c>
      <c r="EI1" s="139" t="inlineStr">
        <is>
          <t>dL</t>
        </is>
      </c>
      <c r="EJ1" s="139" t="inlineStr">
        <is>
          <t>dM</t>
        </is>
      </c>
      <c r="EK1" s="139" t="inlineStr">
        <is>
          <t>nm</t>
        </is>
      </c>
      <c r="EL1" s="139" t="inlineStr">
        <is>
          <t>nr</t>
        </is>
      </c>
      <c r="EM1" s="139" t="inlineStr">
        <is>
          <t>g</t>
        </is>
      </c>
      <c r="EN1" s="139" t="inlineStr">
        <is>
          <t>dv0</t>
        </is>
      </c>
      <c r="EO1" s="139" t="inlineStr">
        <is>
          <t>dv</t>
        </is>
      </c>
      <c r="EP1" s="139" t="inlineStr">
        <is>
          <t>usa</t>
        </is>
      </c>
      <c r="EQ1" s="139" t="inlineStr">
        <is>
          <t>perde</t>
        </is>
      </c>
      <c r="ER1" s="139" t="inlineStr">
        <is>
          <t>s</t>
        </is>
      </c>
      <c r="ES1" s="139" t="inlineStr">
        <is>
          <t>d</t>
        </is>
      </c>
      <c r="ET1" s="139" t="inlineStr">
        <is>
          <t>dep</t>
        </is>
      </c>
      <c r="EU1" s="139" t="inlineStr">
        <is>
          <t>d1</t>
        </is>
      </c>
      <c r="EV1" s="139" t="inlineStr">
        <is>
          <t>d2</t>
        </is>
      </c>
      <c r="EW1" s="139" t="inlineStr">
        <is>
          <t>d3</t>
        </is>
      </c>
      <c r="EX1" s="139" t="inlineStr">
        <is>
          <t>d4</t>
        </is>
      </c>
      <c r="EY1" s="139" t="inlineStr">
        <is>
          <t>d5</t>
        </is>
      </c>
      <c r="EZ1" s="139" t="inlineStr">
        <is>
          <t>d6</t>
        </is>
      </c>
      <c r="FA1" s="139" t="inlineStr">
        <is>
          <t>d7</t>
        </is>
      </c>
      <c r="FB1" s="139" t="inlineStr">
        <is>
          <t>t1</t>
        </is>
      </c>
      <c r="FC1" s="139" t="inlineStr">
        <is>
          <t>t2</t>
        </is>
      </c>
      <c r="FD1" s="139" t="inlineStr">
        <is>
          <t>t3</t>
        </is>
      </c>
      <c r="FE1" s="139" t="inlineStr">
        <is>
          <t>t4</t>
        </is>
      </c>
      <c r="FF1" s="139" t="inlineStr">
        <is>
          <t>t5</t>
        </is>
      </c>
      <c r="FG1" s="139" t="inlineStr">
        <is>
          <t>t6</t>
        </is>
      </c>
      <c r="FH1" s="139" t="inlineStr">
        <is>
          <t>t7</t>
        </is>
      </c>
      <c r="FI1" s="139" t="inlineStr">
        <is>
          <t>erros</t>
        </is>
      </c>
      <c r="FJ1" s="139" t="inlineStr">
        <is>
          <t>ne</t>
        </is>
      </c>
      <c r="FK1" s="139" t="inlineStr">
        <is>
          <t>avisos</t>
        </is>
      </c>
      <c r="FL1" s="139" t="inlineStr">
        <is>
          <t>na</t>
        </is>
      </c>
      <c r="FM1" s="139" t="inlineStr">
        <is>
          <t>estado</t>
        </is>
      </c>
      <c r="FN1" s="139" t="inlineStr">
        <is>
          <t>linha</t>
        </is>
      </c>
      <c r="FO1" s="139" t="inlineStr">
        <is>
          <t>pe</t>
        </is>
      </c>
      <c r="FP1" s="139" t="inlineStr">
        <is>
          <t>acao</t>
        </is>
      </c>
      <c r="FQ1" s="139" t="inlineStr">
        <is>
          <t>resolve</t>
        </is>
      </c>
      <c r="FR1" s="139" t="inlineStr">
        <is>
          <t>dano</t>
        </is>
      </c>
      <c r="FS1" s="139" t="inlineStr">
        <is>
          <t>lg</t>
        </is>
      </c>
      <c r="FT1" s="139" t="inlineStr">
        <is>
          <t>mr</t>
        </is>
      </c>
      <c r="FU1" s="139" t="inlineStr">
        <is>
          <t>q1</t>
        </is>
      </c>
      <c r="FV1" s="139" t="inlineStr">
        <is>
          <t>q2</t>
        </is>
      </c>
      <c r="FW1" s="139" t="inlineStr">
        <is>
          <t>alcance</t>
        </is>
      </c>
      <c r="FX1" s="139" t="inlineStr">
        <is>
          <t>conta</t>
        </is>
      </c>
      <c r="FY1" s="139" t="inlineStr">
        <is>
          <t>ampliar</t>
        </is>
      </c>
      <c r="FZ1" s="139" t="inlineStr">
        <is>
          <t>pt1</t>
        </is>
      </c>
      <c r="GA1" s="139" t="inlineStr">
        <is>
          <t>pt2</t>
        </is>
      </c>
      <c r="GB1" s="139" t="inlineStr">
        <is>
          <t>pt3</t>
        </is>
      </c>
      <c r="GC1" s="139" t="inlineStr">
        <is>
          <t>pt4</t>
        </is>
      </c>
      <c r="GD1" s="139" t="inlineStr">
        <is>
          <t>dt1</t>
        </is>
      </c>
      <c r="GE1" s="139" t="inlineStr">
        <is>
          <t>dt2</t>
        </is>
      </c>
      <c r="GG1" s="139" t="inlineStr">
        <is>
          <t>contas da amaldiçoada</t>
        </is>
      </c>
      <c r="GH1" s="139" t="inlineStr">
        <is>
          <t>valor da amaldiçoada</t>
        </is>
      </c>
      <c r="GJ1" s="139" t="inlineStr">
        <is>
          <t>carta de passiva</t>
        </is>
      </c>
      <c r="GK1" s="139" t="inlineStr">
        <is>
          <t>passiva anotada</t>
        </is>
      </c>
      <c r="GL1" s="139" t="inlineStr">
        <is>
          <t>classe passiva anotada</t>
        </is>
      </c>
      <c r="GM1" s="139" t="inlineStr">
        <is>
          <t>nível que libera</t>
        </is>
      </c>
      <c r="GN1" s="139" t="inlineStr">
        <is>
          <t>o que ela faz</t>
        </is>
      </c>
      <c r="GO1" s="139" t="inlineStr">
        <is>
          <t>classe passiva na carta</t>
        </is>
      </c>
      <c r="GP1" s="139" t="inlineStr">
        <is>
          <t>custo na carta</t>
        </is>
      </c>
      <c r="GR1" s="139" t="inlineStr">
        <is>
          <t>carta de aptidão</t>
        </is>
      </c>
      <c r="GS1" s="139" t="inlineStr">
        <is>
          <t>aptidão anotada</t>
        </is>
      </c>
      <c r="GT1" s="139" t="inlineStr">
        <is>
          <t>requisito na carta</t>
        </is>
      </c>
      <c r="GU1" s="139" t="inlineStr">
        <is>
          <t>classe passiva na carta de aptidão</t>
        </is>
      </c>
      <c r="GV1" s="139" t="inlineStr">
        <is>
          <t>o refino escala na carta</t>
        </is>
      </c>
      <c r="GW1" s="139" t="inlineStr">
        <is>
          <t>o que a aptidão anotada faz</t>
        </is>
      </c>
      <c r="GY1" s="139" t="inlineStr">
        <is>
          <t>classe 0 anotada</t>
        </is>
      </c>
      <c r="GZ1" s="139" t="inlineStr">
        <is>
          <t>forma da classe 0</t>
        </is>
      </c>
      <c r="HA1" s="139" t="inlineStr">
        <is>
          <t>melhoria da classe 0</t>
        </is>
      </c>
      <c r="HB1" s="139" t="inlineStr">
        <is>
          <t>restrição da classe 0</t>
        </is>
      </c>
      <c r="HC1" s="139" t="inlineStr">
        <is>
          <t>linha da forma</t>
        </is>
      </c>
      <c r="HD1" s="139" t="inlineStr">
        <is>
          <t>dados dela</t>
        </is>
      </c>
      <c r="HE1" s="139" t="inlineStr">
        <is>
          <t>dano na carta</t>
        </is>
      </c>
      <c r="HF1" s="139" t="inlineStr">
        <is>
          <t>alcance na carta</t>
        </is>
      </c>
      <c r="HH1" s="139" t="inlineStr">
        <is>
          <t>salto</t>
        </is>
      </c>
      <c r="HI1" s="139" t="inlineStr">
        <is>
          <t>caixa do salto</t>
        </is>
      </c>
      <c r="HJ1" s="139" t="inlineStr">
        <is>
          <t>alvo do salto</t>
        </is>
      </c>
    </row>
    <row r="2">
      <c r="A2" s="114" t="inlineStr">
        <is>
          <t>Alcance</t>
        </is>
      </c>
      <c r="B2" s="140">
        <f>'FICHA AMALDIÇOADA'!$D$31&amp;""</f>
        <v/>
      </c>
      <c r="C2" s="140">
        <f>IF($B2="Livre",1,0)</f>
        <v/>
      </c>
      <c r="D2" s="140">
        <f>IF($B2="Fechada",1,0)</f>
        <v/>
      </c>
      <c r="F2" s="114" t="inlineStr">
        <is>
          <t>Livre</t>
        </is>
      </c>
      <c r="H2" s="140" t="n">
        <v>1</v>
      </c>
      <c r="I2" s="140" t="n">
        <v>1</v>
      </c>
      <c r="J2" s="140" t="n">
        <v>1</v>
      </c>
      <c r="K2" s="140" t="n">
        <v>2</v>
      </c>
      <c r="L2" s="140" t="n">
        <v>1</v>
      </c>
      <c r="M2" s="140" t="n">
        <v>1</v>
      </c>
      <c r="N2" s="140" t="n">
        <v>1</v>
      </c>
      <c r="O2" s="140" t="n">
        <v>2</v>
      </c>
      <c r="Q2" s="114" t="inlineStr">
        <is>
          <t>Projétil</t>
        </is>
      </c>
      <c r="R2" s="114" t="inlineStr"/>
      <c r="S2" s="140" t="n">
        <v>0</v>
      </c>
      <c r="T2" s="140">
        <f>IF($S2=0,0,$S2+3*IFERROR(VLOOKUP($R2,$A$2:$D$10,3,FALSE),0))</f>
        <v/>
      </c>
      <c r="U2" s="140">
        <f>IFERROR(VLOOKUP($R2,$A$2:$D$10,4,FALSE),0)</f>
        <v/>
      </c>
      <c r="V2" s="140" t="n">
        <v>0</v>
      </c>
      <c r="W2" s="140" t="n">
        <v>0</v>
      </c>
      <c r="X2" s="114" t="inlineStr">
        <is>
          <t>Acerto</t>
        </is>
      </c>
      <c r="Y2" s="140" t="n">
        <v>0</v>
      </c>
      <c r="Z2" s="140" t="n">
        <v>1</v>
      </c>
      <c r="AA2" s="140" t="n">
        <v>0</v>
      </c>
      <c r="AB2" s="140" t="n">
        <v>1</v>
      </c>
      <c r="AC2" s="140" t="n">
        <v>1</v>
      </c>
      <c r="AD2" s="140">
        <f>IF($U2=1,"",$Q2)</f>
        <v/>
      </c>
      <c r="AE2" s="140">
        <f>IF(AND($AC2=1,$U2=0),$Q2,"")</f>
        <v/>
      </c>
      <c r="AG2" s="114" t="inlineStr">
        <is>
          <t>Projétil · classe 0</t>
        </is>
      </c>
      <c r="AH2" s="114" t="inlineStr">
        <is>
          <t>9 m, um alvo</t>
        </is>
      </c>
      <c r="AI2" s="114" t="inlineStr">
        <is>
          <t>18 m, um alvo</t>
        </is>
      </c>
      <c r="AJ2" s="114" t="inlineStr">
        <is>
          <t>36 m, um alvo</t>
        </is>
      </c>
      <c r="AK2" s="114" t="inlineStr">
        <is>
          <t>90 m, um alvo</t>
        </is>
      </c>
      <c r="AL2" s="114" t="inlineStr">
        <is>
          <t>o que você enxergar, um alvo</t>
        </is>
      </c>
      <c r="AM2" s="114" t="inlineStr">
        <is>
          <t>o que você enxergar, um alvo</t>
        </is>
      </c>
      <c r="AN2" s="114" t="inlineStr"/>
      <c r="AO2" s="114" t="inlineStr"/>
      <c r="AP2" s="114" t="inlineStr"/>
      <c r="AQ2" s="114" t="inlineStr"/>
      <c r="AR2" s="114" t="inlineStr"/>
      <c r="AS2" s="114" t="inlineStr"/>
      <c r="AU2" s="114" t="inlineStr">
        <is>
          <t>Longe</t>
        </is>
      </c>
      <c r="AV2" s="114" t="inlineStr">
        <is>
          <t>Alcance</t>
        </is>
      </c>
      <c r="AW2" s="140" t="n">
        <v>1</v>
      </c>
      <c r="AX2" s="140">
        <f>$AW2+3*IFERROR(VLOOKUP($AV2,$A$2:$D$10,3,FALSE),0)</f>
        <v/>
      </c>
      <c r="AY2" s="140">
        <f>IFERROR(VLOOKUP($AV2,$A$2:$D$10,4,FALSE),0)</f>
        <v/>
      </c>
      <c r="AZ2" s="140" t="n">
        <v>0</v>
      </c>
      <c r="BA2" s="140">
        <f>IF($AY2=1,"",$AU2)</f>
        <v/>
      </c>
      <c r="BB2" s="140">
        <f>IF(AND($AW2=1,$AY2=0),$AU2,"")</f>
        <v/>
      </c>
      <c r="BD2" s="114" t="inlineStr">
        <is>
          <t>Corpo a Corpo</t>
        </is>
      </c>
      <c r="BE2" s="114" t="inlineStr">
        <is>
          <t>Corpo a Corpo</t>
        </is>
      </c>
      <c r="BF2" s="140" t="n">
        <v>2</v>
      </c>
      <c r="BG2" s="140" t="n">
        <v>0</v>
      </c>
      <c r="BH2" s="114" t="inlineStr"/>
      <c r="BJ2" s="114" t="inlineStr">
        <is>
          <t>Leitura</t>
        </is>
      </c>
      <c r="BK2" s="140" t="n">
        <v>1</v>
      </c>
      <c r="BL2" s="114" t="inlineStr">
        <is>
          <t>Você identifica a Classe e a Forma de qualquer feitiço conjurado a até 18 m.</t>
        </is>
      </c>
      <c r="BN2" s="140" t="n">
        <v>1</v>
      </c>
      <c r="BO2" s="140" t="n">
        <v>1</v>
      </c>
      <c r="BQ2" s="114" t="inlineStr">
        <is>
          <t>Cobrir-se de energia</t>
        </is>
      </c>
      <c r="BR2" s="114" t="inlineStr">
        <is>
          <t>grátis no refino 1</t>
        </is>
      </c>
      <c r="BS2" s="114" t="inlineStr">
        <is>
          <t>—</t>
        </is>
      </c>
      <c r="BT2" s="114" t="inlineStr">
        <is>
          <t>a proteção, e a Redução de Dano da Reação</t>
        </is>
      </c>
      <c r="BU2" s="114" t="inlineStr">
        <is>
          <t>Sem Traje e sem Revestimento, a sua proteção é 1/3 do refino + 1. Escudo soma com ela. Como Reação, você concentra a energia no impacto: Redução de Dano de 1,5 × refino num golpe, por 2 PE. Você fica sem proteção até o fim do seu próximo turno.</t>
        </is>
      </c>
      <c r="BV2" s="114" t="inlineStr"/>
      <c r="BX2" s="140" t="n">
        <v>1</v>
      </c>
      <c r="BY2" s="140" t="n">
        <v>2</v>
      </c>
      <c r="BZ2" s="140" t="n">
        <v>2</v>
      </c>
      <c r="CB2" s="140" t="n">
        <v>10</v>
      </c>
      <c r="CD2" s="140" t="n">
        <v>3</v>
      </c>
      <c r="CF2" s="140" t="n">
        <v>17</v>
      </c>
      <c r="CG2" s="140" t="n">
        <v>24</v>
      </c>
      <c r="CH2" s="140" t="n">
        <v>8</v>
      </c>
      <c r="CJ2" s="114" t="inlineStr">
        <is>
          <t>Incompleta</t>
        </is>
      </c>
      <c r="CK2" s="140" t="n">
        <v>2</v>
      </c>
      <c r="CL2" s="140" t="n">
        <v>10</v>
      </c>
      <c r="CM2" s="140" t="n">
        <v>4</v>
      </c>
      <c r="CN2" s="114" t="inlineStr">
        <is>
          <t>nível 10 e refino 4</t>
        </is>
      </c>
      <c r="CP2" s="114" t="inlineStr">
        <is>
          <t>permanente</t>
        </is>
      </c>
      <c r="CQ2" s="114" t="inlineStr">
        <is>
          <t>fora de cena, com o mestre lendo</t>
        </is>
      </c>
      <c r="CS2" s="114" t="inlineStr">
        <is>
          <t>pontos de energia</t>
        </is>
      </c>
      <c r="CU2" s="114" t="inlineStr">
        <is>
          <t>Feitiço 1</t>
        </is>
      </c>
      <c r="CV2" s="140" t="n">
        <v>0</v>
      </c>
      <c r="CW2" s="140" t="n">
        <v>1</v>
      </c>
      <c r="CX2" s="140">
        <f>MAX(1,MIN(7,N('FICHA AMALDIÇOADA'!$D$45)))</f>
        <v/>
      </c>
      <c r="CY2" s="140">
        <f>'FICHA AMALDIÇOADA'!$E$45&amp;""</f>
        <v/>
      </c>
      <c r="CZ2" s="140">
        <f>'FICHA AMALDIÇOADA'!$D$52&amp;""</f>
        <v/>
      </c>
      <c r="DA2" s="140">
        <f>'FICHA AMALDIÇOADA'!$E$54&amp;""</f>
        <v/>
      </c>
      <c r="DB2" s="140">
        <f>'FICHA AMALDIÇOADA'!$E$55&amp;""</f>
        <v/>
      </c>
      <c r="DC2" s="140">
        <f>'FICHA AMALDIÇOADA'!$E$56&amp;""</f>
        <v/>
      </c>
      <c r="DD2" s="140">
        <f>'FICHA AMALDIÇOADA'!$E$57&amp;""</f>
        <v/>
      </c>
      <c r="DE2" s="140">
        <f>'FICHA AMALDIÇOADA'!$E$58&amp;""</f>
        <v/>
      </c>
      <c r="DF2" s="140">
        <f>'FICHA AMALDIÇOADA'!$E$59&amp;""</f>
        <v/>
      </c>
      <c r="DG2" s="140">
        <f>IF('FICHA AMALDIÇOADA'!$H$58=TRUE,1,0)</f>
        <v/>
      </c>
      <c r="DH2" s="140">
        <f>IF('FICHA AMALDIÇOADA'!$H$59=TRUE,1,0)</f>
        <v/>
      </c>
      <c r="DI2" s="140">
        <f>IF($CY2&lt;&gt;"",1,0)</f>
        <v/>
      </c>
      <c r="DJ2" s="140">
        <f>IFERROR(MATCH($CZ2,$Q$2:$Q$11,0),0)</f>
        <v/>
      </c>
      <c r="DK2" s="140">
        <f>IF($DJ2=0,0,INDEX($T$2:$T$11,$DJ2))</f>
        <v/>
      </c>
      <c r="DL2" s="140">
        <f>IFERROR(VLOOKUP($DA2,$AU$2:$BB$84,4,FALSE),0)</f>
        <v/>
      </c>
      <c r="DM2" s="140">
        <f>IFERROR(VLOOKUP($DB2,$AU$2:$BB$84,4,FALSE),0)</f>
        <v/>
      </c>
      <c r="DN2" s="140">
        <f>IFERROR(VLOOKUP($DC2,$AU$2:$BB$84,4,FALSE),0)</f>
        <v/>
      </c>
      <c r="DO2" s="140">
        <f>IFERROR(VLOOKUP($DD2,$AU$2:$BB$84,4,FALSE),0)</f>
        <v/>
      </c>
      <c r="DP2" s="140">
        <f>IF($DJ2=0,0,INDEX($U$2:$U$11,$DJ2))</f>
        <v/>
      </c>
      <c r="DQ2" s="140">
        <f>IFERROR(VLOOKUP($DA2,$AU$2:$BB$84,5,FALSE),0)</f>
        <v/>
      </c>
      <c r="DR2" s="140">
        <f>IFERROR(VLOOKUP($DB2,$AU$2:$BB$84,5,FALSE),0)</f>
        <v/>
      </c>
      <c r="DS2" s="140">
        <f>IFERROR(VLOOKUP($DC2,$AU$2:$BB$84,5,FALSE),0)</f>
        <v/>
      </c>
      <c r="DT2" s="140">
        <f>IFERROR(VLOOKUP($DD2,$AU$2:$BB$84,5,FALSE),0)</f>
        <v/>
      </c>
      <c r="DU2" s="140">
        <f>IFERROR(VLOOKUP($DA2,$AU$2:$BB$84,6,FALSE),0)+IFERROR(VLOOKUP($DB2,$AU$2:$BB$84,6,FALSE),0)+IFERROR(VLOOKUP($DC2,$AU$2:$BB$84,6,FALSE),0)+IFERROR(VLOOKUP($DD2,$AU$2:$BB$84,6,FALSE),0)</f>
        <v/>
      </c>
      <c r="DV2" s="140">
        <f>IF($DJ2=0,0,INDEX($V$2:$V$11,$DJ2))</f>
        <v/>
      </c>
      <c r="DW2" s="140">
        <f>IF($DJ2=0,0,INDEX($W$2:$W$11,$DJ2))</f>
        <v/>
      </c>
      <c r="DX2" s="140">
        <f>IF($DJ2=0,0,INDEX($Y$2:$Y$11,$DJ2))</f>
        <v/>
      </c>
      <c r="DY2" s="140">
        <f>IF($DG2=1,0,IFERROR(VLOOKUP($DE2,$BD$2:$BH$24,3,FALSE),0))</f>
        <v/>
      </c>
      <c r="DZ2" s="140">
        <f>IF($DH2=1,0,IFERROR(VLOOKUP($DF2,$BD$2:$BH$24,3,FALSE),0))</f>
        <v/>
      </c>
      <c r="EA2" s="140">
        <f>IFERROR(VLOOKUP($DE2,$BD$2:$BH$24,2,FALSE),"")</f>
        <v/>
      </c>
      <c r="EB2" s="140">
        <f>IFERROR(VLOOKUP($DF2,$BD$2:$BH$24,2,FALSE),"")</f>
        <v/>
      </c>
      <c r="EC2" s="140">
        <f>COUNTIF($DK2:$DO2,1)</f>
        <v/>
      </c>
      <c r="ED2" s="140">
        <f>COUNTIF($DK2:$DO2,2)</f>
        <v/>
      </c>
      <c r="EE2" s="140">
        <f>COUNTIF($DK2:$DO2,3)</f>
        <v/>
      </c>
      <c r="EF2" s="140">
        <f>COUNTIF($DK2:$DO2,4)</f>
        <v/>
      </c>
      <c r="EG2" s="140">
        <f>COUNTIF($DK2:$DO2,5)</f>
        <v/>
      </c>
      <c r="EH2" s="140">
        <f>COUNTIF($DK2:$DO2,6)</f>
        <v/>
      </c>
      <c r="EI2" s="140">
        <f>COUNTIF($DY2:$DZ2,1)</f>
        <v/>
      </c>
      <c r="EJ2" s="140">
        <f>COUNTIF($DY2:$DZ2,2)+$DV2</f>
        <v/>
      </c>
      <c r="EK2" s="140">
        <f>COUNTIF($DA2:$DD2,"?*")</f>
        <v/>
      </c>
      <c r="EL2" s="140">
        <f>COUNTIF($DE2:$DF2,"?*")+$DV2</f>
        <v/>
      </c>
      <c r="EM2" s="140">
        <f>SUMPRODUCT($EC2:$EH2,INDEX($I$2:$N$8,$CX2,0))</f>
        <v/>
      </c>
      <c r="EN2" s="140">
        <f>$EI2*CEILING($CX2/2,1)+$EJ2*$CX2</f>
        <v/>
      </c>
      <c r="EO2" s="140">
        <f>MIN(2*$CX2,$EN2)</f>
        <v/>
      </c>
      <c r="EP2" s="140">
        <f>MIN($EO2,$EM2)</f>
        <v/>
      </c>
      <c r="EQ2" s="140">
        <f>$EO2-$EP2</f>
        <v/>
      </c>
      <c r="ER2" s="140">
        <f>3*$CX2-$EM2+$EP2</f>
        <v/>
      </c>
      <c r="ES2" s="140">
        <f>MAX(0,$ER2)+$CV2*$CX2</f>
        <v/>
      </c>
      <c r="ET2" s="140">
        <f>(IF(COUNTIF($DA2:$DD2,"Salto")&gt;0,1,0)+IF(COUNTIF($DA2:$DD2,"Queima")&gt;0,1,0))*FLOOR($ES2/2,1)</f>
        <v/>
      </c>
      <c r="EU2" s="140">
        <f>MAX(0,3-SUMPRODUCT($EC2:$EH2,$I$2:$N$2)+MIN(2,$EI2*1+$EJ2*1,SUMPRODUCT($EC2:$EH2,$I$2:$N$2)))+$CV2*1</f>
        <v/>
      </c>
      <c r="EV2" s="140">
        <f>MAX(0,6-SUMPRODUCT($EC2:$EH2,$I$3:$N$3)+MIN(4,$EI2*1+$EJ2*2,SUMPRODUCT($EC2:$EH2,$I$3:$N$3)))+$CV2*2</f>
        <v/>
      </c>
      <c r="EW2" s="140">
        <f>MAX(0,9-SUMPRODUCT($EC2:$EH2,$I$4:$N$4)+MIN(6,$EI2*2+$EJ2*3,SUMPRODUCT($EC2:$EH2,$I$4:$N$4)))+$CV2*3</f>
        <v/>
      </c>
      <c r="EX2" s="140">
        <f>MAX(0,12-SUMPRODUCT($EC2:$EH2,$I$5:$N$5)+MIN(8,$EI2*2+$EJ2*4,SUMPRODUCT($EC2:$EH2,$I$5:$N$5)))+$CV2*4</f>
        <v/>
      </c>
      <c r="EY2" s="140">
        <f>MAX(0,15-SUMPRODUCT($EC2:$EH2,$I$6:$N$6)+MIN(10,$EI2*3+$EJ2*5,SUMPRODUCT($EC2:$EH2,$I$6:$N$6)))+$CV2*5</f>
        <v/>
      </c>
      <c r="EZ2" s="140">
        <f>MAX(0,18-SUMPRODUCT($EC2:$EH2,$I$7:$N$7)+MIN(12,$EI2*3+$EJ2*6,SUMPRODUCT($EC2:$EH2,$I$7:$N$7)))+$CV2*6</f>
        <v/>
      </c>
      <c r="FA2" s="140">
        <f>MAX(0,21-SUMPRODUCT($EC2:$EH2,$I$8:$N$8)+MIN(14,$EI2*4+$EJ2*7,SUMPRODUCT($EC2:$EH2,$I$8:$N$8)))+$CV2*7</f>
        <v/>
      </c>
      <c r="FB2" s="140">
        <f>IF($DW2=2,3*$EU2&amp;" de vida temp.",IF($DW2=3,"sem dano",IF($EU2=0,IF($DW2=1,"sem cura","sem dano"),IF($DW2=1,"cura ","")&amp;$EU2&amp;"d8")))</f>
        <v/>
      </c>
      <c r="FC2" s="140">
        <f>IF($DW2=2,3*$EV2&amp;" de vida temp.",IF($DW2=3,"sem dano",IF($EV2=0,IF($DW2=1,"sem cura","sem dano"),IF($DW2=1,"cura ","")&amp;$EV2&amp;"d8")))</f>
        <v/>
      </c>
      <c r="FD2" s="140">
        <f>IF($DW2=2,3*$EW2&amp;" de vida temp.",IF($DW2=3,"sem dano",IF($EW2=0,IF($DW2=1,"sem cura","sem dano"),IF($DW2=1,"cura ","")&amp;$EW2&amp;"d8")))</f>
        <v/>
      </c>
      <c r="FE2" s="140">
        <f>IF($DW2=2,3*$EX2&amp;" de vida temp.",IF($DW2=3,"sem dano",IF($EX2=0,IF($DW2=1,"sem cura","sem dano"),IF($DW2=1,"cura ","")&amp;$EX2&amp;"d8")))</f>
        <v/>
      </c>
      <c r="FF2" s="140">
        <f>IF($DW2=2,3*$EY2&amp;" de vida temp.",IF($DW2=3,"sem dano",IF($EY2=0,IF($DW2=1,"sem cura","sem dano"),IF($DW2=1,"cura ","")&amp;$EY2&amp;"d8")))</f>
        <v/>
      </c>
      <c r="FG2" s="140">
        <f>IF($DW2=2,3*$EZ2&amp;" de vida temp.",IF($DW2=3,"sem dano",IF($EZ2=0,IF($DW2=1,"sem cura","sem dano"),IF($DW2=1,"cura ","")&amp;$EZ2&amp;"d8")))</f>
        <v/>
      </c>
      <c r="FH2" s="140">
        <f>IF($DW2=2,3*$FA2&amp;" de vida temp.",IF($DW2=3,"sem dano",IF($FA2=0,IF($DW2=1,"sem cura","sem dano"),IF($DW2=1,"cura ","")&amp;$FA2&amp;"d8")))</f>
        <v/>
      </c>
      <c r="FI2" s="140">
        <f>IF($DI2=0,"",TEXTJOIN(" · ",TRUE,IF(AND($CV2=1,$CW2&gt;$GH$9),"O nível "&amp;$GH$2&amp;" dá "&amp;$GH$9&amp;" Liberação Máxima",""),IF($CX2&gt;$GH$4,"Classe "&amp;$CX2&amp;": o nível "&amp;$GH$2&amp;" libera até a "&amp;$GH$4,""),IF($DP2=1,"Família Fechada: a Forma "&amp;$CZ2,""),IF($DQ2=1,"Família Fechada: "&amp;$DA2,""),IF($DR2=1,"Família Fechada: "&amp;$DB2,""),IF($DS2=1,"Família Fechada: "&amp;$DC2,""),IF($DT2=1,"Família Fechada: "&amp;$DD2,""),IF($EK2&gt;INDEX($O$2:$O$8,$CX2),$EK2&amp;" Melhorias: a Classe "&amp;$CX2&amp;" aceita "&amp;INDEX($O$2:$O$8,$CX2),""),IF($EL2&gt;2,$EL2&amp;" Restrições"&amp;IF($DV2=1,", contando a que a Forma "&amp;$CZ2&amp;" já traz","")&amp;": o limite é 2",""),IF($ER2&lt;0,"Orçamento estourado: faltam "&amp;(-$ER2)&amp;IF($ER2&lt;-1," pontos"," ponto"),""),IF(IFERROR(VLOOKUP($DE2,$BD$2:$BH$24,4,FALSE),0)+IFERROR(VLOOKUP($DF2,$BD$2:$BH$24,4,FALSE),0)&gt;1,$EA2&amp;" e "&amp;$EB2&amp;" são as duas de frequência",""),IF(AND((COUNTIF($DA2:$DD2,"Rápido")+COUNTIF($EA2:$EB2,"Rápido"))&gt;0,(COUNTIF($DA2:$DD2,"Reação")+COUNTIF($EA2:$EB2,"Reação"))&gt;0),"Rápido não entra com Reação",""),IF(AND((COUNTIF($DA2:$DD2,"Rápido")+COUNTIF($EA2:$EB2,"Rápido"))&gt;0,(COUNTIF($DA2:$DD2,"Atrasar")+COUNTIF($EA2:$EB2,"Atrasar"))&gt;0),"Rápido não entra com Atrasar",""),IF(AND((COUNTIF($DA2:$DD2,"Reação")+COUNTIF($EA2:$EB2,"Reação"))&gt;0,(COUNTIF($DA2:$DD2,"Atrasar")+COUNTIF($EA2:$EB2,"Atrasar"))&gt;0),"Reação não entra com Atrasar",""),IF(AND((COUNTIF($DA2:$DD2,"Reação")+COUNTIF($EA2:$EB2,"Reação"))&gt;0,(COUNTIF($DA2:$DD2,"Parado")+COUNTIF($EA2:$EB2,"Parado"))&gt;0),"Reação não entra com Parado",""),IF(AND(COUNTIF($EA2:$EB2,"Corpo a Corpo")&gt;0,$DV2=0,OR($CZ2="Cone",$CZ2="Linha")),"Corpo a Corpo não entra em "&amp;$CZ2,""),IF(AND(COUNTIF($EA2:$EB2,"Corpo a Corpo")&gt;0,$DV2=1),"A Forma "&amp;$CZ2&amp;" já traz o Corpo a Corpo",""),IF(AND(COUNTIF($EA2:$EB2,"Tudo ou Nada")&gt;0,$DX2=0),"Tudo ou Nada só entra em feitiço de Teste de Resistência",""),IF(AND(COUNTIF($DA2:$DD2,"Inescapável")&gt;0,OR($EK2&gt;1,$EL2&gt;0)),"Inescapável não aceita outra peça",""),IF(AND($CV2=1,$CX2&lt;3),"Liberação Máxima é de Classe 3 ou mais",""),IF(AND($CV2=1,OR($DW2=1,$DW2=2)),"Liberação Máxima não serve para cura",""),IF(AND($CV2=1,COUNTIF($DA2:$DD2,"Inescapável")+COUNTIF($DA2:$DD2,"Toca a Alma")&gt;0),"Esta peça não entra numa Liberação Máxima",""),IF($ES2+$ET2&gt;4*$CX2,($ES2+$ET2)&amp;" dados somando alvos e repetições: o teto da Classe "&amp;$CX2&amp;" é "&amp;4*$CX2,"")))</f>
        <v/>
      </c>
      <c r="FJ2" s="140">
        <f>IF($FI2="",0,(LEN($FI2)-LEN(SUBSTITUTE($FI2," · ","")))/3+1)</f>
        <v/>
      </c>
      <c r="FK2" s="140">
        <f>IF($DI2=0,"",TEXTJOIN(" · ",TRUE,IF($EN2&gt;2*$CX2,"A devolução parou no teto de "&amp;2*$CX2,""),IF($EQ2&gt;0,"Devolução perdida: "&amp;$EQ2&amp;IF($EQ2&gt;1," pontos"," ponto")&amp;" sem peça para pagar",""),IF(AND($DU2&gt;0,$ES2=0),"Controle sem dano: uma rodada a mais e CD +2",""),IF(AND($DU2&gt;0,$ES2&gt;0,$ES2&lt;=$CX2),"Controle com um quarto do teto: uma rodada a mais","")))</f>
        <v/>
      </c>
      <c r="FL2" s="140">
        <f>IF($FK2="",0,(LEN($FK2)-LEN(SUBSTITUTE($FK2," · ","")))/3+1)</f>
        <v/>
      </c>
      <c r="FM2" s="140">
        <f>IF($DI2=0,IF($EK2+$EL2-$DV2&gt;0,"dê um nome",""),IF($FJ2&gt;0,"⚠ "&amp;$FJ2&amp;IF($FJ2&gt;1," erros"," erro"),IF($FL2&gt;0,"! "&amp;$FL2&amp;IF($FL2&gt;1," avisos"," aviso"),"na regra")))</f>
        <v/>
      </c>
      <c r="FN2" s="140">
        <f>IF($DI2=0,"",IF($FJ2+$FL2=0,"Dentro das regras que a ficha confere",$FI2&amp;IF(AND($FJ2&gt;0,$FL2&gt;0)," · ","")&amp;$FK2))</f>
        <v/>
      </c>
      <c r="FO2" s="140">
        <f>IF($DI2=0,"",IF($CV2=1,CEILING(4.5*$CX2,1),3*$CX2)&amp;" PE")</f>
        <v/>
      </c>
      <c r="FP2" s="140">
        <f>IF($DI2=0,"",IF($CV2=1,"Rodada inteira",IF(COUNTIF($EA2:$EB2,"Atrasar")&gt;0,IF(COUNTIF($EA2:$EB2,"Carregar")&gt;0,"Rodada +1 turno","Rodada inteira"),IF(COUNTIF($DA2:$DD2,"Rápido")&gt;0,"Bônus",IF(COUNTIF($DA2:$DD2,"Reação")&gt;0,"Reação","Padrão"))&amp;IF(COUNTIF($EA2:$EB2,"Carregar")&gt;0," +1 turno",""))))</f>
        <v/>
      </c>
      <c r="FQ2" s="140">
        <f>IF(OR($DI2=0,$DJ2=0),"",IF(COUNTIF($DA2:$DD2,"Inescapável")&gt;0,"Automático",IF(COUNTIF($DA2:$DD2,"Certeiro")&gt;0,"TR para metade",INDEX($X$2:$X$11,$DJ2))))</f>
        <v/>
      </c>
      <c r="FR2" s="140">
        <f>IF(OR($DI2=0,$DJ2=0),"",IF(OR($DW2&gt;=2,$ES2=0),INDEX($FB2:$FH2,1,$CX2),INDEX($FB2:$FH2,1,$CX2)&amp;" = "&amp;FLOOR($ES2*4.5,1)&amp;IF($ET2&gt;0," · +"&amp;$ET2&amp;"d8","")))</f>
        <v/>
      </c>
      <c r="FS2" s="140">
        <f>COUNTIF($DA2:$DD2,"Longe")+3*COUNTIF($DA2:$DD2,"Muito Longe")</f>
        <v/>
      </c>
      <c r="FT2" s="140">
        <f>COUNTIF($DA2:$DD2,"Maior")+3*COUNTIF($DA2:$DD2,"Muito Maior")</f>
        <v/>
      </c>
      <c r="FU2" s="140">
        <f>IF($DJ2=0,0,CHOOSE(1+INDEX($Z$2:$Z$11,$DJ2),0,$FS2,$FT2,$FS2+$FT2))</f>
        <v/>
      </c>
      <c r="FV2" s="140">
        <f>IF($DJ2=0,0,CHOOSE(1+INDEX($AA$2:$AA$11,$DJ2),0,$FS2,$FT2,$FS2+$FT2))</f>
        <v/>
      </c>
      <c r="FW2" s="140">
        <f>IF(OR($DI2=0,$DJ2=0),"",INDEX($AH$2:$AM$31,($DJ2-1)*3+IF($CX2&gt;=6,3,2),1+MIN(5,$FU2))&amp;INDEX($AN$2:$AS$31,($DJ2-1)*3+IF($CX2&gt;=6,3,2),1+MIN(5,$FV2))&amp;IF(INDEX($AB$2:$AB$11,$DJ2)=1,IF(COUNTIF($DA2:$DD2,"Mais Um")&gt;0," · +"&amp;COUNTIF($DA2:$DD2,"Mais Um")&amp;IF(COUNTIF($DA2:$DD2,"Mais Um")&gt;1," alvos"," alvo"),"")&amp;IF(COUNTIF($DA2:$DD2,"Rajada")&gt;0," · "&amp;($CX2+1)&amp;" tiros",""),""))</f>
        <v/>
      </c>
      <c r="FX2" s="140">
        <f>IF($DI2=0,"",3*$CX2&amp;" − "&amp;$EM2&amp;" + "&amp;$EP2&amp;IF($CV2=1," + "&amp;$CX2,"")&amp;" = "&amp;$ES2&amp;"d8 · teto "&amp;4*$CX2&amp;IF($DV2=1," · a Forma devolve "&amp;$CX2,"")&amp;IF($EQ2&gt;0," · perde "&amp;$EQ2,""))</f>
        <v/>
      </c>
      <c r="FY2" s="140">
        <f>IF($DI2=0,"",IF($CX2&gt;=$GH$4,"Já está na maior Classe que o nível liberou",TEXTJOIN(" · ",TRUE,IF(AND(2&gt;$CX2,2&lt;=$GH$4),"2 → "&amp;$FC2&amp;", "&amp;IF($CV2=1,9,6)&amp;" PE",""),IF(AND(3&gt;$CX2,3&lt;=$GH$4),"3 → "&amp;$FD2&amp;", "&amp;IF($CV2=1,14,9)&amp;" PE",""),IF(AND(4&gt;$CX2,4&lt;=$GH$4),"4 → "&amp;$FE2&amp;", "&amp;IF($CV2=1,18,12)&amp;" PE",""),IF(AND(5&gt;$CX2,5&lt;=$GH$4),"5 → "&amp;$FF2&amp;", "&amp;IF($CV2=1,23,15)&amp;" PE",""),IF(AND(6&gt;$CX2,6&lt;=$GH$4),"6 → "&amp;$FG2&amp;", "&amp;IF($CV2=1,27,18)&amp;" PE",""),IF(AND(7&gt;$CX2,7&lt;=$GH$4),"7 → "&amp;$FH2&amp;", "&amp;IF($CV2=1,32,21)&amp;" PE",""))))</f>
        <v/>
      </c>
      <c r="FZ2" s="140">
        <f>IF(OR($DI2=0,$DL2=0),"","−"&amp;INDEX($I$2:$N$8,$CX2,$DL2)&amp;" · "&amp;CHOOSE($DL2,"Leve","Média","Pesada","Leve · Livre","Média · Livre","Pesada · Livre"))</f>
        <v/>
      </c>
      <c r="GA2" s="140">
        <f>IF(OR($DI2=0,$DM2=0),"","−"&amp;INDEX($I$2:$N$8,$CX2,$DM2)&amp;" · "&amp;CHOOSE($DM2,"Leve","Média","Pesada","Leve · Livre","Média · Livre","Pesada · Livre"))</f>
        <v/>
      </c>
      <c r="GB2" s="140">
        <f>IF(OR($DI2=0,$DN2=0),"","−"&amp;INDEX($I$2:$N$8,$CX2,$DN2)&amp;" · "&amp;CHOOSE($DN2,"Leve","Média","Pesada","Leve · Livre","Média · Livre","Pesada · Livre"))</f>
        <v/>
      </c>
      <c r="GC2" s="140">
        <f>IF(OR($DI2=0,$DO2=0),"","−"&amp;INDEX($I$2:$N$8,$CX2,$DO2)&amp;" · "&amp;CHOOSE($DO2,"Leve","Média","Pesada","Leve · Livre","Média · Livre","Pesada · Livre"))</f>
        <v/>
      </c>
      <c r="GD2" s="140">
        <f>IF(OR($DI2=0,$DE2=""),"",IF($DG2=1,"Selo","+"&amp;IF($DY2=1,CEILING($CX2/2,1),$CX2)))</f>
        <v/>
      </c>
      <c r="GE2" s="140">
        <f>IF(OR($DI2=0,$DF2=""),"",IF($DH2=1,"Selo","+"&amp;IF($DZ2=1,CEILING($CX2/2,1),$CX2)))</f>
        <v/>
      </c>
      <c r="GG2" s="114" t="inlineStr">
        <is>
          <t>nível</t>
        </is>
      </c>
      <c r="GH2" s="140">
        <f>N(FICHA!$AH$11)</f>
        <v/>
      </c>
      <c r="GJ2" s="114" t="inlineStr">
        <is>
          <t>Passiva 1</t>
        </is>
      </c>
      <c r="GK2" s="140">
        <f>'FICHA AMALDIÇOADA'!$D$373&amp;""</f>
        <v/>
      </c>
      <c r="GL2" s="140">
        <f>IFERROR(VLOOKUP($GK2,$BJ$2:$BL$20,2,FALSE),0)</f>
        <v/>
      </c>
      <c r="GM2" s="140">
        <f>IFERROR(VLOOKUP($GL2,$BN$2:$BO$4,2,FALSE),0)</f>
        <v/>
      </c>
      <c r="GN2" s="140">
        <f>IFERROR(VLOOKUP($GK2,$BJ$2:$BL$20,3,FALSE),"")</f>
        <v/>
      </c>
      <c r="GO2" s="140">
        <f>IF($GL2=0,"",IF($GM2&gt;$GH$2,"⚠ nível "&amp;$GM2,"CP "&amp;$GL2))</f>
        <v/>
      </c>
      <c r="GP2" s="140">
        <f>IF($GL2=0,"",$GL2&amp;" esp.")</f>
        <v/>
      </c>
      <c r="GR2" s="114" t="inlineStr">
        <is>
          <t>Aptidão 1</t>
        </is>
      </c>
      <c r="GS2" s="140">
        <f>'FICHA AMALDIÇOADA'!$D$421&amp;""</f>
        <v/>
      </c>
      <c r="GT2" s="140">
        <f>IF($GS2="","","Requisito: "&amp;IFERROR(VLOOKUP($GS2,$BQ$2:$BV$17,2,FALSE),""))</f>
        <v/>
      </c>
      <c r="GU2" s="140">
        <f>IF($GS2="","",IFERROR(IF(ISNUMBER(VLOOKUP($GS2,$BQ$2:$BV$17,3,FALSE)),"CP "&amp;VLOOKUP($GS2,$BQ$2:$BV$17,3,FALSE),VLOOKUP($GS2,$BQ$2:$BV$17,3,FALSE)),""))</f>
        <v/>
      </c>
      <c r="GV2" s="140">
        <f>IF($GS2="","",IFERROR(VLOOKUP($GS2,$BQ$2:$BV$17,4,FALSE),""))</f>
        <v/>
      </c>
      <c r="GW2" s="140">
        <f>IF($GS2="","",IFERROR(VLOOKUP($GS2,$BQ$2:$BV$17,5,FALSE),""))</f>
        <v/>
      </c>
      <c r="GY2" s="114" t="inlineStr">
        <is>
          <t>Classe 0 · 1</t>
        </is>
      </c>
      <c r="GZ2" s="140">
        <f>'FICHA AMALDIÇOADA'!$F$304&amp;""</f>
        <v/>
      </c>
      <c r="HA2" s="140">
        <f>'FICHA AMALDIÇOADA'!$J$304&amp;""</f>
        <v/>
      </c>
      <c r="HB2" s="140">
        <f>'FICHA AMALDIÇOADA'!$L$304&amp;""</f>
        <v/>
      </c>
      <c r="HC2" s="140">
        <f>IFERROR(MATCH($GZ2,$Q$2:$Q$11,0),0)</f>
        <v/>
      </c>
      <c r="HD2" s="140">
        <f>$GH$11-IF($HA2&lt;&gt;"",1,0)+IF(AND($HA2&lt;&gt;"",$HB2&lt;&gt;""),1,0)</f>
        <v/>
      </c>
      <c r="HE2" s="140">
        <f>IF(1&gt;$GH$10,"nível 1",IF($HC2=0,"",IF(INDEX($W$2:$W$11,$HC2)&gt;=2,"—",$HD2&amp;"d8 = "&amp;FLOOR($HD2*4.5,1))))</f>
        <v/>
      </c>
      <c r="HF2" s="140">
        <f>IF(OR(1&gt;$GH$10,$HC2=0),"",INDEX($AH$2:$AM$31,($HC2-1)*3+1,1+IF(OR(AND($HA2="Longe",INDEX($Z$2:$Z$11,$HC2)&lt;&gt;2),AND($HA2="Maior",INDEX($Z$2:$Z$11,$HC2)&gt;=2)),1,0))&amp;INDEX($AN$2:$AS$31,($HC2-1)*3+1,1+IF(AND($HA2="Longe",INDEX($AA$2:$AA$11,$HC2)=1),1,0)))</f>
        <v/>
      </c>
      <c r="HH2" s="114" t="inlineStr">
        <is>
          <t>Técnica</t>
        </is>
      </c>
      <c r="HI2" s="140">
        <f>ADDRESS(ROW('FICHA AMALDIÇOADA'!D7),COLUMN('FICHA AMALDIÇOADA'!D7),4)</f>
        <v/>
      </c>
      <c r="HJ2" s="140">
        <f>ADDRESS(ROW('FICHA AMALDIÇOADA'!D9),COLUMN('FICHA AMALDIÇOADA'!D9),4)</f>
        <v/>
      </c>
    </row>
    <row r="3">
      <c r="A3" s="114" t="inlineStr">
        <is>
          <t>Área</t>
        </is>
      </c>
      <c r="B3" s="140">
        <f>'FICHA AMALDIÇOADA'!$E$31&amp;""</f>
        <v/>
      </c>
      <c r="C3" s="140">
        <f>IF($B3="Livre",1,0)</f>
        <v/>
      </c>
      <c r="D3" s="140">
        <f>IF($B3="Fechada",1,0)</f>
        <v/>
      </c>
      <c r="F3" s="114" t="inlineStr">
        <is>
          <t>Neutra</t>
        </is>
      </c>
      <c r="H3" s="140" t="n">
        <v>2</v>
      </c>
      <c r="I3" s="140" t="n">
        <v>1</v>
      </c>
      <c r="J3" s="140" t="n">
        <v>2</v>
      </c>
      <c r="K3" s="140" t="n">
        <v>3</v>
      </c>
      <c r="L3" s="140" t="n">
        <v>1</v>
      </c>
      <c r="M3" s="140" t="n">
        <v>1</v>
      </c>
      <c r="N3" s="140" t="n">
        <v>2</v>
      </c>
      <c r="O3" s="140" t="n">
        <v>2</v>
      </c>
      <c r="Q3" s="114" t="inlineStr">
        <is>
          <t>Toque</t>
        </is>
      </c>
      <c r="R3" s="114" t="inlineStr"/>
      <c r="S3" s="140" t="n">
        <v>0</v>
      </c>
      <c r="T3" s="140">
        <f>IF($S3=0,0,$S3+3*IFERROR(VLOOKUP($R3,$A$2:$D$10,3,FALSE),0))</f>
        <v/>
      </c>
      <c r="U3" s="140">
        <f>IFERROR(VLOOKUP($R3,$A$2:$D$10,4,FALSE),0)</f>
        <v/>
      </c>
      <c r="V3" s="140" t="n">
        <v>1</v>
      </c>
      <c r="W3" s="140" t="n">
        <v>0</v>
      </c>
      <c r="X3" s="114" t="inlineStr">
        <is>
          <t>Acerto</t>
        </is>
      </c>
      <c r="Y3" s="140" t="n">
        <v>0</v>
      </c>
      <c r="Z3" s="140" t="n">
        <v>0</v>
      </c>
      <c r="AA3" s="140" t="n">
        <v>0</v>
      </c>
      <c r="AB3" s="140" t="n">
        <v>1</v>
      </c>
      <c r="AC3" s="140" t="n">
        <v>1</v>
      </c>
      <c r="AD3" s="140">
        <f>IF($U3=1,"",$Q3)</f>
        <v/>
      </c>
      <c r="AE3" s="140">
        <f>IF(AND($AC3=1,$U3=0),$Q3,"")</f>
        <v/>
      </c>
      <c r="AG3" s="114" t="inlineStr">
        <is>
          <t>Projétil · classes 1 a 5</t>
        </is>
      </c>
      <c r="AH3" s="114" t="inlineStr">
        <is>
          <t>18 m, um alvo</t>
        </is>
      </c>
      <c r="AI3" s="114" t="inlineStr">
        <is>
          <t>36 m, um alvo</t>
        </is>
      </c>
      <c r="AJ3" s="114" t="inlineStr">
        <is>
          <t>90 m, um alvo</t>
        </is>
      </c>
      <c r="AK3" s="114" t="inlineStr">
        <is>
          <t>o que você enxergar, um alvo</t>
        </is>
      </c>
      <c r="AL3" s="114" t="inlineStr">
        <is>
          <t>o que você enxergar, um alvo</t>
        </is>
      </c>
      <c r="AM3" s="114" t="inlineStr">
        <is>
          <t>o que você enxergar, um alvo</t>
        </is>
      </c>
      <c r="AN3" s="114" t="inlineStr"/>
      <c r="AO3" s="114" t="inlineStr"/>
      <c r="AP3" s="114" t="inlineStr"/>
      <c r="AQ3" s="114" t="inlineStr"/>
      <c r="AR3" s="114" t="inlineStr"/>
      <c r="AS3" s="114" t="inlineStr"/>
      <c r="AU3" s="114" t="inlineStr">
        <is>
          <t>Muito Longe</t>
        </is>
      </c>
      <c r="AV3" s="114" t="inlineStr">
        <is>
          <t>Alcance</t>
        </is>
      </c>
      <c r="AW3" s="140" t="n">
        <v>2</v>
      </c>
      <c r="AX3" s="140">
        <f>$AW3+3*IFERROR(VLOOKUP($AV3,$A$2:$D$10,3,FALSE),0)</f>
        <v/>
      </c>
      <c r="AY3" s="140">
        <f>IFERROR(VLOOKUP($AV3,$A$2:$D$10,4,FALSE),0)</f>
        <v/>
      </c>
      <c r="AZ3" s="140" t="n">
        <v>0</v>
      </c>
      <c r="BA3" s="140">
        <f>IF($AY3=1,"",$AU3)</f>
        <v/>
      </c>
      <c r="BB3" s="140">
        <f>IF(AND($AW3=1,$AY3=0),$AU3,"")</f>
        <v/>
      </c>
      <c r="BD3" s="114" t="inlineStr">
        <is>
          <t>Atrasar</t>
        </is>
      </c>
      <c r="BE3" s="114" t="inlineStr">
        <is>
          <t>Atrasar</t>
        </is>
      </c>
      <c r="BF3" s="140" t="n">
        <v>2</v>
      </c>
      <c r="BG3" s="140" t="n">
        <v>0</v>
      </c>
      <c r="BH3" s="114" t="inlineStr"/>
      <c r="BJ3" s="114" t="inlineStr">
        <is>
          <t>Instinto</t>
        </is>
      </c>
      <c r="BK3" s="140" t="n">
        <v>1</v>
      </c>
      <c r="BL3" s="114" t="inlineStr">
        <is>
          <t>Você não é pego de surpresa enquanto estiver acordado.</t>
        </is>
      </c>
      <c r="BN3" s="140" t="n">
        <v>2</v>
      </c>
      <c r="BO3" s="140" t="n">
        <v>7</v>
      </c>
      <c r="BQ3" s="114" t="inlineStr">
        <is>
          <t>Canalizar energia</t>
        </is>
      </c>
      <c r="BR3" s="114" t="inlineStr">
        <is>
          <t>grátis no refino 1</t>
        </is>
      </c>
      <c r="BS3" s="114" t="inlineStr">
        <is>
          <t>—</t>
        </is>
      </c>
      <c r="BT3" s="114" t="inlineStr">
        <is>
          <t>—</t>
        </is>
      </c>
      <c r="BU3" s="114" t="inlineStr">
        <is>
          <t>Você ataca com uma arma ou com o soco, e o ataque vem imbuído de energia amaldiçoada, o que permite a um item mundano matar maldição. Dano na arma. Os seus ataques com arma causam 1d4 de dano a mais a cada 3 pontos de refino — 1d4 no refino 1, 2d4 no 3, 3d4 no 6, 4d4 no 9. No refino 10 os dados viram d6: 4d6. Só arma. Ele não entra em feitiço nem em Kata. E se o mesmo ataque já estiver carregando um feitiço de dano de Classe 0 ou mais — como no Ferrão, o nível 27 da Estocada, em que o golpe leva um Classe 0 junto —, este dano não se soma por cima.</t>
        </is>
      </c>
      <c r="BV3" s="114" t="inlineStr"/>
      <c r="BX3" s="140" t="n">
        <v>5</v>
      </c>
      <c r="BY3" s="140" t="n">
        <v>3</v>
      </c>
      <c r="BZ3" s="140" t="n">
        <v>3</v>
      </c>
      <c r="CB3" s="140" t="n">
        <v>20</v>
      </c>
      <c r="CD3" s="140" t="n">
        <v>4</v>
      </c>
      <c r="CF3" s="140" t="n">
        <v>21</v>
      </c>
      <c r="CG3" s="140" t="n">
        <v>28</v>
      </c>
      <c r="CH3" s="140" t="n">
        <v>8</v>
      </c>
      <c r="CJ3" s="114" t="inlineStr">
        <is>
          <t>Completa</t>
        </is>
      </c>
      <c r="CK3" s="140" t="n">
        <v>3</v>
      </c>
      <c r="CL3" s="140" t="n">
        <v>14</v>
      </c>
      <c r="CM3" s="140" t="n">
        <v>5</v>
      </c>
      <c r="CN3" s="114" t="inlineStr">
        <is>
          <t>nível 14 e refino 5</t>
        </is>
      </c>
      <c r="CP3" s="114" t="inlineStr">
        <is>
          <t>temporário</t>
        </is>
      </c>
      <c r="CQ3" s="114" t="inlineStr">
        <is>
          <t>Ação Bônus, no seu turno</t>
        </is>
      </c>
      <c r="CS3" s="114" t="inlineStr">
        <is>
          <t>uma aptidão</t>
        </is>
      </c>
      <c r="CU3" s="114" t="inlineStr">
        <is>
          <t>Feitiço 2</t>
        </is>
      </c>
      <c r="CV3" s="140" t="n">
        <v>0</v>
      </c>
      <c r="CW3" s="140" t="n">
        <v>2</v>
      </c>
      <c r="CX3" s="140">
        <f>MAX(1,MIN(7,N('FICHA AMALDIÇOADA'!$J$45)))</f>
        <v/>
      </c>
      <c r="CY3" s="140">
        <f>'FICHA AMALDIÇOADA'!$K$45&amp;""</f>
        <v/>
      </c>
      <c r="CZ3" s="140">
        <f>'FICHA AMALDIÇOADA'!$J$52&amp;""</f>
        <v/>
      </c>
      <c r="DA3" s="140">
        <f>'FICHA AMALDIÇOADA'!$K$54&amp;""</f>
        <v/>
      </c>
      <c r="DB3" s="140">
        <f>'FICHA AMALDIÇOADA'!$K$55&amp;""</f>
        <v/>
      </c>
      <c r="DC3" s="140">
        <f>'FICHA AMALDIÇOADA'!$K$56&amp;""</f>
        <v/>
      </c>
      <c r="DD3" s="140">
        <f>'FICHA AMALDIÇOADA'!$K$57&amp;""</f>
        <v/>
      </c>
      <c r="DE3" s="140">
        <f>'FICHA AMALDIÇOADA'!$K$58&amp;""</f>
        <v/>
      </c>
      <c r="DF3" s="140">
        <f>'FICHA AMALDIÇOADA'!$K$59&amp;""</f>
        <v/>
      </c>
      <c r="DG3" s="140">
        <f>IF('FICHA AMALDIÇOADA'!$N$58=TRUE,1,0)</f>
        <v/>
      </c>
      <c r="DH3" s="140">
        <f>IF('FICHA AMALDIÇOADA'!$N$59=TRUE,1,0)</f>
        <v/>
      </c>
      <c r="DI3" s="140">
        <f>IF($CY3&lt;&gt;"",1,0)</f>
        <v/>
      </c>
      <c r="DJ3" s="140">
        <f>IFERROR(MATCH($CZ3,$Q$2:$Q$11,0),0)</f>
        <v/>
      </c>
      <c r="DK3" s="140">
        <f>IF($DJ3=0,0,INDEX($T$2:$T$11,$DJ3))</f>
        <v/>
      </c>
      <c r="DL3" s="140">
        <f>IFERROR(VLOOKUP($DA3,$AU$2:$BB$84,4,FALSE),0)</f>
        <v/>
      </c>
      <c r="DM3" s="140">
        <f>IFERROR(VLOOKUP($DB3,$AU$2:$BB$84,4,FALSE),0)</f>
        <v/>
      </c>
      <c r="DN3" s="140">
        <f>IFERROR(VLOOKUP($DC3,$AU$2:$BB$84,4,FALSE),0)</f>
        <v/>
      </c>
      <c r="DO3" s="140">
        <f>IFERROR(VLOOKUP($DD3,$AU$2:$BB$84,4,FALSE),0)</f>
        <v/>
      </c>
      <c r="DP3" s="140">
        <f>IF($DJ3=0,0,INDEX($U$2:$U$11,$DJ3))</f>
        <v/>
      </c>
      <c r="DQ3" s="140">
        <f>IFERROR(VLOOKUP($DA3,$AU$2:$BB$84,5,FALSE),0)</f>
        <v/>
      </c>
      <c r="DR3" s="140">
        <f>IFERROR(VLOOKUP($DB3,$AU$2:$BB$84,5,FALSE),0)</f>
        <v/>
      </c>
      <c r="DS3" s="140">
        <f>IFERROR(VLOOKUP($DC3,$AU$2:$BB$84,5,FALSE),0)</f>
        <v/>
      </c>
      <c r="DT3" s="140">
        <f>IFERROR(VLOOKUP($DD3,$AU$2:$BB$84,5,FALSE),0)</f>
        <v/>
      </c>
      <c r="DU3" s="140">
        <f>IFERROR(VLOOKUP($DA3,$AU$2:$BB$84,6,FALSE),0)+IFERROR(VLOOKUP($DB3,$AU$2:$BB$84,6,FALSE),0)+IFERROR(VLOOKUP($DC3,$AU$2:$BB$84,6,FALSE),0)+IFERROR(VLOOKUP($DD3,$AU$2:$BB$84,6,FALSE),0)</f>
        <v/>
      </c>
      <c r="DV3" s="140">
        <f>IF($DJ3=0,0,INDEX($V$2:$V$11,$DJ3))</f>
        <v/>
      </c>
      <c r="DW3" s="140">
        <f>IF($DJ3=0,0,INDEX($W$2:$W$11,$DJ3))</f>
        <v/>
      </c>
      <c r="DX3" s="140">
        <f>IF($DJ3=0,0,INDEX($Y$2:$Y$11,$DJ3))</f>
        <v/>
      </c>
      <c r="DY3" s="140">
        <f>IF($DG3=1,0,IFERROR(VLOOKUP($DE3,$BD$2:$BH$24,3,FALSE),0))</f>
        <v/>
      </c>
      <c r="DZ3" s="140">
        <f>IF($DH3=1,0,IFERROR(VLOOKUP($DF3,$BD$2:$BH$24,3,FALSE),0))</f>
        <v/>
      </c>
      <c r="EA3" s="140">
        <f>IFERROR(VLOOKUP($DE3,$BD$2:$BH$24,2,FALSE),"")</f>
        <v/>
      </c>
      <c r="EB3" s="140">
        <f>IFERROR(VLOOKUP($DF3,$BD$2:$BH$24,2,FALSE),"")</f>
        <v/>
      </c>
      <c r="EC3" s="140">
        <f>COUNTIF($DK3:$DO3,1)</f>
        <v/>
      </c>
      <c r="ED3" s="140">
        <f>COUNTIF($DK3:$DO3,2)</f>
        <v/>
      </c>
      <c r="EE3" s="140">
        <f>COUNTIF($DK3:$DO3,3)</f>
        <v/>
      </c>
      <c r="EF3" s="140">
        <f>COUNTIF($DK3:$DO3,4)</f>
        <v/>
      </c>
      <c r="EG3" s="140">
        <f>COUNTIF($DK3:$DO3,5)</f>
        <v/>
      </c>
      <c r="EH3" s="140">
        <f>COUNTIF($DK3:$DO3,6)</f>
        <v/>
      </c>
      <c r="EI3" s="140">
        <f>COUNTIF($DY3:$DZ3,1)</f>
        <v/>
      </c>
      <c r="EJ3" s="140">
        <f>COUNTIF($DY3:$DZ3,2)+$DV3</f>
        <v/>
      </c>
      <c r="EK3" s="140">
        <f>COUNTIF($DA3:$DD3,"?*")</f>
        <v/>
      </c>
      <c r="EL3" s="140">
        <f>COUNTIF($DE3:$DF3,"?*")+$DV3</f>
        <v/>
      </c>
      <c r="EM3" s="140">
        <f>SUMPRODUCT($EC3:$EH3,INDEX($I$2:$N$8,$CX3,0))</f>
        <v/>
      </c>
      <c r="EN3" s="140">
        <f>$EI3*CEILING($CX3/2,1)+$EJ3*$CX3</f>
        <v/>
      </c>
      <c r="EO3" s="140">
        <f>MIN(2*$CX3,$EN3)</f>
        <v/>
      </c>
      <c r="EP3" s="140">
        <f>MIN($EO3,$EM3)</f>
        <v/>
      </c>
      <c r="EQ3" s="140">
        <f>$EO3-$EP3</f>
        <v/>
      </c>
      <c r="ER3" s="140">
        <f>3*$CX3-$EM3+$EP3</f>
        <v/>
      </c>
      <c r="ES3" s="140">
        <f>MAX(0,$ER3)+$CV3*$CX3</f>
        <v/>
      </c>
      <c r="ET3" s="140">
        <f>(IF(COUNTIF($DA3:$DD3,"Salto")&gt;0,1,0)+IF(COUNTIF($DA3:$DD3,"Queima")&gt;0,1,0))*FLOOR($ES3/2,1)</f>
        <v/>
      </c>
      <c r="EU3" s="140">
        <f>MAX(0,3-SUMPRODUCT($EC3:$EH3,$I$2:$N$2)+MIN(2,$EI3*1+$EJ3*1,SUMPRODUCT($EC3:$EH3,$I$2:$N$2)))+$CV3*1</f>
        <v/>
      </c>
      <c r="EV3" s="140">
        <f>MAX(0,6-SUMPRODUCT($EC3:$EH3,$I$3:$N$3)+MIN(4,$EI3*1+$EJ3*2,SUMPRODUCT($EC3:$EH3,$I$3:$N$3)))+$CV3*2</f>
        <v/>
      </c>
      <c r="EW3" s="140">
        <f>MAX(0,9-SUMPRODUCT($EC3:$EH3,$I$4:$N$4)+MIN(6,$EI3*2+$EJ3*3,SUMPRODUCT($EC3:$EH3,$I$4:$N$4)))+$CV3*3</f>
        <v/>
      </c>
      <c r="EX3" s="140">
        <f>MAX(0,12-SUMPRODUCT($EC3:$EH3,$I$5:$N$5)+MIN(8,$EI3*2+$EJ3*4,SUMPRODUCT($EC3:$EH3,$I$5:$N$5)))+$CV3*4</f>
        <v/>
      </c>
      <c r="EY3" s="140">
        <f>MAX(0,15-SUMPRODUCT($EC3:$EH3,$I$6:$N$6)+MIN(10,$EI3*3+$EJ3*5,SUMPRODUCT($EC3:$EH3,$I$6:$N$6)))+$CV3*5</f>
        <v/>
      </c>
      <c r="EZ3" s="140">
        <f>MAX(0,18-SUMPRODUCT($EC3:$EH3,$I$7:$N$7)+MIN(12,$EI3*3+$EJ3*6,SUMPRODUCT($EC3:$EH3,$I$7:$N$7)))+$CV3*6</f>
        <v/>
      </c>
      <c r="FA3" s="140">
        <f>MAX(0,21-SUMPRODUCT($EC3:$EH3,$I$8:$N$8)+MIN(14,$EI3*4+$EJ3*7,SUMPRODUCT($EC3:$EH3,$I$8:$N$8)))+$CV3*7</f>
        <v/>
      </c>
      <c r="FB3" s="140">
        <f>IF($DW3=2,3*$EU3&amp;" de vida temp.",IF($DW3=3,"sem dano",IF($EU3=0,IF($DW3=1,"sem cura","sem dano"),IF($DW3=1,"cura ","")&amp;$EU3&amp;"d8")))</f>
        <v/>
      </c>
      <c r="FC3" s="140">
        <f>IF($DW3=2,3*$EV3&amp;" de vida temp.",IF($DW3=3,"sem dano",IF($EV3=0,IF($DW3=1,"sem cura","sem dano"),IF($DW3=1,"cura ","")&amp;$EV3&amp;"d8")))</f>
        <v/>
      </c>
      <c r="FD3" s="140">
        <f>IF($DW3=2,3*$EW3&amp;" de vida temp.",IF($DW3=3,"sem dano",IF($EW3=0,IF($DW3=1,"sem cura","sem dano"),IF($DW3=1,"cura ","")&amp;$EW3&amp;"d8")))</f>
        <v/>
      </c>
      <c r="FE3" s="140">
        <f>IF($DW3=2,3*$EX3&amp;" de vida temp.",IF($DW3=3,"sem dano",IF($EX3=0,IF($DW3=1,"sem cura","sem dano"),IF($DW3=1,"cura ","")&amp;$EX3&amp;"d8")))</f>
        <v/>
      </c>
      <c r="FF3" s="140">
        <f>IF($DW3=2,3*$EY3&amp;" de vida temp.",IF($DW3=3,"sem dano",IF($EY3=0,IF($DW3=1,"sem cura","sem dano"),IF($DW3=1,"cura ","")&amp;$EY3&amp;"d8")))</f>
        <v/>
      </c>
      <c r="FG3" s="140">
        <f>IF($DW3=2,3*$EZ3&amp;" de vida temp.",IF($DW3=3,"sem dano",IF($EZ3=0,IF($DW3=1,"sem cura","sem dano"),IF($DW3=1,"cura ","")&amp;$EZ3&amp;"d8")))</f>
        <v/>
      </c>
      <c r="FH3" s="140">
        <f>IF($DW3=2,3*$FA3&amp;" de vida temp.",IF($DW3=3,"sem dano",IF($FA3=0,IF($DW3=1,"sem cura","sem dano"),IF($DW3=1,"cura ","")&amp;$FA3&amp;"d8")))</f>
        <v/>
      </c>
      <c r="FI3" s="140">
        <f>IF($DI3=0,"",TEXTJOIN(" · ",TRUE,IF(AND($CV3=1,$CW3&gt;$GH$9),"O nível "&amp;$GH$2&amp;" dá "&amp;$GH$9&amp;" Liberação Máxima",""),IF($CX3&gt;$GH$4,"Classe "&amp;$CX3&amp;": o nível "&amp;$GH$2&amp;" libera até a "&amp;$GH$4,""),IF($DP3=1,"Família Fechada: a Forma "&amp;$CZ3,""),IF($DQ3=1,"Família Fechada: "&amp;$DA3,""),IF($DR3=1,"Família Fechada: "&amp;$DB3,""),IF($DS3=1,"Família Fechada: "&amp;$DC3,""),IF($DT3=1,"Família Fechada: "&amp;$DD3,""),IF($EK3&gt;INDEX($O$2:$O$8,$CX3),$EK3&amp;" Melhorias: a Classe "&amp;$CX3&amp;" aceita "&amp;INDEX($O$2:$O$8,$CX3),""),IF($EL3&gt;2,$EL3&amp;" Restrições"&amp;IF($DV3=1,", contando a que a Forma "&amp;$CZ3&amp;" já traz","")&amp;": o limite é 2",""),IF($ER3&lt;0,"Orçamento estourado: faltam "&amp;(-$ER3)&amp;IF($ER3&lt;-1," pontos"," ponto"),""),IF(IFERROR(VLOOKUP($DE3,$BD$2:$BH$24,4,FALSE),0)+IFERROR(VLOOKUP($DF3,$BD$2:$BH$24,4,FALSE),0)&gt;1,$EA3&amp;" e "&amp;$EB3&amp;" são as duas de frequência",""),IF(AND((COUNTIF($DA3:$DD3,"Rápido")+COUNTIF($EA3:$EB3,"Rápido"))&gt;0,(COUNTIF($DA3:$DD3,"Reação")+COUNTIF($EA3:$EB3,"Reação"))&gt;0),"Rápido não entra com Reação",""),IF(AND((COUNTIF($DA3:$DD3,"Rápido")+COUNTIF($EA3:$EB3,"Rápido"))&gt;0,(COUNTIF($DA3:$DD3,"Atrasar")+COUNTIF($EA3:$EB3,"Atrasar"))&gt;0),"Rápido não entra com Atrasar",""),IF(AND((COUNTIF($DA3:$DD3,"Reação")+COUNTIF($EA3:$EB3,"Reação"))&gt;0,(COUNTIF($DA3:$DD3,"Atrasar")+COUNTIF($EA3:$EB3,"Atrasar"))&gt;0),"Reação não entra com Atrasar",""),IF(AND((COUNTIF($DA3:$DD3,"Reação")+COUNTIF($EA3:$EB3,"Reação"))&gt;0,(COUNTIF($DA3:$DD3,"Parado")+COUNTIF($EA3:$EB3,"Parado"))&gt;0),"Reação não entra com Parado",""),IF(AND(COUNTIF($EA3:$EB3,"Corpo a Corpo")&gt;0,$DV3=0,OR($CZ3="Cone",$CZ3="Linha")),"Corpo a Corpo não entra em "&amp;$CZ3,""),IF(AND(COUNTIF($EA3:$EB3,"Corpo a Corpo")&gt;0,$DV3=1),"A Forma "&amp;$CZ3&amp;" já traz o Corpo a Corpo",""),IF(AND(COUNTIF($EA3:$EB3,"Tudo ou Nada")&gt;0,$DX3=0),"Tudo ou Nada só entra em feitiço de Teste de Resistência",""),IF(AND(COUNTIF($DA3:$DD3,"Inescapável")&gt;0,OR($EK3&gt;1,$EL3&gt;0)),"Inescapável não aceita outra peça",""),IF(AND($CV3=1,$CX3&lt;3),"Liberação Máxima é de Classe 3 ou mais",""),IF(AND($CV3=1,OR($DW3=1,$DW3=2)),"Liberação Máxima não serve para cura",""),IF(AND($CV3=1,COUNTIF($DA3:$DD3,"Inescapável")+COUNTIF($DA3:$DD3,"Toca a Alma")&gt;0),"Esta peça não entra numa Liberação Máxima",""),IF($ES3+$ET3&gt;4*$CX3,($ES3+$ET3)&amp;" dados somando alvos e repetições: o teto da Classe "&amp;$CX3&amp;" é "&amp;4*$CX3,"")))</f>
        <v/>
      </c>
      <c r="FJ3" s="140">
        <f>IF($FI3="",0,(LEN($FI3)-LEN(SUBSTITUTE($FI3," · ","")))/3+1)</f>
        <v/>
      </c>
      <c r="FK3" s="140">
        <f>IF($DI3=0,"",TEXTJOIN(" · ",TRUE,IF($EN3&gt;2*$CX3,"A devolução parou no teto de "&amp;2*$CX3,""),IF($EQ3&gt;0,"Devolução perdida: "&amp;$EQ3&amp;IF($EQ3&gt;1," pontos"," ponto")&amp;" sem peça para pagar",""),IF(AND($DU3&gt;0,$ES3=0),"Controle sem dano: uma rodada a mais e CD +2",""),IF(AND($DU3&gt;0,$ES3&gt;0,$ES3&lt;=$CX3),"Controle com um quarto do teto: uma rodada a mais","")))</f>
        <v/>
      </c>
      <c r="FL3" s="140">
        <f>IF($FK3="",0,(LEN($FK3)-LEN(SUBSTITUTE($FK3," · ","")))/3+1)</f>
        <v/>
      </c>
      <c r="FM3" s="140">
        <f>IF($DI3=0,IF($EK3+$EL3-$DV3&gt;0,"dê um nome",""),IF($FJ3&gt;0,"⚠ "&amp;$FJ3&amp;IF($FJ3&gt;1," erros"," erro"),IF($FL3&gt;0,"! "&amp;$FL3&amp;IF($FL3&gt;1," avisos"," aviso"),"na regra")))</f>
        <v/>
      </c>
      <c r="FN3" s="140">
        <f>IF($DI3=0,"",IF($FJ3+$FL3=0,"Dentro das regras que a ficha confere",$FI3&amp;IF(AND($FJ3&gt;0,$FL3&gt;0)," · ","")&amp;$FK3))</f>
        <v/>
      </c>
      <c r="FO3" s="140">
        <f>IF($DI3=0,"",IF($CV3=1,CEILING(4.5*$CX3,1),3*$CX3)&amp;" PE")</f>
        <v/>
      </c>
      <c r="FP3" s="140">
        <f>IF($DI3=0,"",IF($CV3=1,"Rodada inteira",IF(COUNTIF($EA3:$EB3,"Atrasar")&gt;0,IF(COUNTIF($EA3:$EB3,"Carregar")&gt;0,"Rodada +1 turno","Rodada inteira"),IF(COUNTIF($DA3:$DD3,"Rápido")&gt;0,"Bônus",IF(COUNTIF($DA3:$DD3,"Reação")&gt;0,"Reação","Padrão"))&amp;IF(COUNTIF($EA3:$EB3,"Carregar")&gt;0," +1 turno",""))))</f>
        <v/>
      </c>
      <c r="FQ3" s="140">
        <f>IF(OR($DI3=0,$DJ3=0),"",IF(COUNTIF($DA3:$DD3,"Inescapável")&gt;0,"Automático",IF(COUNTIF($DA3:$DD3,"Certeiro")&gt;0,"TR para metade",INDEX($X$2:$X$11,$DJ3))))</f>
        <v/>
      </c>
      <c r="FR3" s="140">
        <f>IF(OR($DI3=0,$DJ3=0),"",IF(OR($DW3&gt;=2,$ES3=0),INDEX($FB3:$FH3,1,$CX3),INDEX($FB3:$FH3,1,$CX3)&amp;" = "&amp;FLOOR($ES3*4.5,1)&amp;IF($ET3&gt;0," · +"&amp;$ET3&amp;"d8","")))</f>
        <v/>
      </c>
      <c r="FS3" s="140">
        <f>COUNTIF($DA3:$DD3,"Longe")+3*COUNTIF($DA3:$DD3,"Muito Longe")</f>
        <v/>
      </c>
      <c r="FT3" s="140">
        <f>COUNTIF($DA3:$DD3,"Maior")+3*COUNTIF($DA3:$DD3,"Muito Maior")</f>
        <v/>
      </c>
      <c r="FU3" s="140">
        <f>IF($DJ3=0,0,CHOOSE(1+INDEX($Z$2:$Z$11,$DJ3),0,$FS3,$FT3,$FS3+$FT3))</f>
        <v/>
      </c>
      <c r="FV3" s="140">
        <f>IF($DJ3=0,0,CHOOSE(1+INDEX($AA$2:$AA$11,$DJ3),0,$FS3,$FT3,$FS3+$FT3))</f>
        <v/>
      </c>
      <c r="FW3" s="140">
        <f>IF(OR($DI3=0,$DJ3=0),"",INDEX($AH$2:$AM$31,($DJ3-1)*3+IF($CX3&gt;=6,3,2),1+MIN(5,$FU3))&amp;INDEX($AN$2:$AS$31,($DJ3-1)*3+IF($CX3&gt;=6,3,2),1+MIN(5,$FV3))&amp;IF(INDEX($AB$2:$AB$11,$DJ3)=1,IF(COUNTIF($DA3:$DD3,"Mais Um")&gt;0," · +"&amp;COUNTIF($DA3:$DD3,"Mais Um")&amp;IF(COUNTIF($DA3:$DD3,"Mais Um")&gt;1," alvos"," alvo"),"")&amp;IF(COUNTIF($DA3:$DD3,"Rajada")&gt;0," · "&amp;($CX3+1)&amp;" tiros",""),""))</f>
        <v/>
      </c>
      <c r="FX3" s="140">
        <f>IF($DI3=0,"",3*$CX3&amp;" − "&amp;$EM3&amp;" + "&amp;$EP3&amp;IF($CV3=1," + "&amp;$CX3,"")&amp;" = "&amp;$ES3&amp;"d8 · teto "&amp;4*$CX3&amp;IF($DV3=1," · a Forma devolve "&amp;$CX3,"")&amp;IF($EQ3&gt;0," · perde "&amp;$EQ3,""))</f>
        <v/>
      </c>
      <c r="FY3" s="140">
        <f>IF($DI3=0,"",IF($CX3&gt;=$GH$4,"Já está na maior Classe que o nível liberou",TEXTJOIN(" · ",TRUE,IF(AND(2&gt;$CX3,2&lt;=$GH$4),"2 → "&amp;$FC3&amp;", "&amp;IF($CV3=1,9,6)&amp;" PE",""),IF(AND(3&gt;$CX3,3&lt;=$GH$4),"3 → "&amp;$FD3&amp;", "&amp;IF($CV3=1,14,9)&amp;" PE",""),IF(AND(4&gt;$CX3,4&lt;=$GH$4),"4 → "&amp;$FE3&amp;", "&amp;IF($CV3=1,18,12)&amp;" PE",""),IF(AND(5&gt;$CX3,5&lt;=$GH$4),"5 → "&amp;$FF3&amp;", "&amp;IF($CV3=1,23,15)&amp;" PE",""),IF(AND(6&gt;$CX3,6&lt;=$GH$4),"6 → "&amp;$FG3&amp;", "&amp;IF($CV3=1,27,18)&amp;" PE",""),IF(AND(7&gt;$CX3,7&lt;=$GH$4),"7 → "&amp;$FH3&amp;", "&amp;IF($CV3=1,32,21)&amp;" PE",""))))</f>
        <v/>
      </c>
      <c r="FZ3" s="140">
        <f>IF(OR($DI3=0,$DL3=0),"","−"&amp;INDEX($I$2:$N$8,$CX3,$DL3)&amp;" · "&amp;CHOOSE($DL3,"Leve","Média","Pesada","Leve · Livre","Média · Livre","Pesada · Livre"))</f>
        <v/>
      </c>
      <c r="GA3" s="140">
        <f>IF(OR($DI3=0,$DM3=0),"","−"&amp;INDEX($I$2:$N$8,$CX3,$DM3)&amp;" · "&amp;CHOOSE($DM3,"Leve","Média","Pesada","Leve · Livre","Média · Livre","Pesada · Livre"))</f>
        <v/>
      </c>
      <c r="GB3" s="140">
        <f>IF(OR($DI3=0,$DN3=0),"","−"&amp;INDEX($I$2:$N$8,$CX3,$DN3)&amp;" · "&amp;CHOOSE($DN3,"Leve","Média","Pesada","Leve · Livre","Média · Livre","Pesada · Livre"))</f>
        <v/>
      </c>
      <c r="GC3" s="140">
        <f>IF(OR($DI3=0,$DO3=0),"","−"&amp;INDEX($I$2:$N$8,$CX3,$DO3)&amp;" · "&amp;CHOOSE($DO3,"Leve","Média","Pesada","Leve · Livre","Média · Livre","Pesada · Livre"))</f>
        <v/>
      </c>
      <c r="GD3" s="140">
        <f>IF(OR($DI3=0,$DE3=""),"",IF($DG3=1,"Selo","+"&amp;IF($DY3=1,CEILING($CX3/2,1),$CX3)))</f>
        <v/>
      </c>
      <c r="GE3" s="140">
        <f>IF(OR($DI3=0,$DF3=""),"",IF($DH3=1,"Selo","+"&amp;IF($DZ3=1,CEILING($CX3/2,1),$CX3)))</f>
        <v/>
      </c>
      <c r="GG3" s="114" t="inlineStr">
        <is>
          <t>maestria</t>
        </is>
      </c>
      <c r="GH3" s="140">
        <f>N(FICHA!$D$51)</f>
        <v/>
      </c>
      <c r="GJ3" s="114" t="inlineStr">
        <is>
          <t>Passiva 2</t>
        </is>
      </c>
      <c r="GK3" s="140">
        <f>'FICHA AMALDIÇOADA'!$J$373&amp;""</f>
        <v/>
      </c>
      <c r="GL3" s="140">
        <f>IFERROR(VLOOKUP($GK3,$BJ$2:$BL$20,2,FALSE),0)</f>
        <v/>
      </c>
      <c r="GM3" s="140">
        <f>IFERROR(VLOOKUP($GL3,$BN$2:$BO$4,2,FALSE),0)</f>
        <v/>
      </c>
      <c r="GN3" s="140">
        <f>IFERROR(VLOOKUP($GK3,$BJ$2:$BL$20,3,FALSE),"")</f>
        <v/>
      </c>
      <c r="GO3" s="140">
        <f>IF($GL3=0,"",IF($GM3&gt;$GH$2,"⚠ nível "&amp;$GM3,"CP "&amp;$GL3))</f>
        <v/>
      </c>
      <c r="GP3" s="140">
        <f>IF($GL3=0,"",$GL3&amp;" esp.")</f>
        <v/>
      </c>
      <c r="GR3" s="114" t="inlineStr">
        <is>
          <t>Aptidão 2</t>
        </is>
      </c>
      <c r="GS3" s="140">
        <f>'FICHA AMALDIÇOADA'!$J$421&amp;""</f>
        <v/>
      </c>
      <c r="GT3" s="140">
        <f>IF($GS3="","","Requisito: "&amp;IFERROR(VLOOKUP($GS3,$BQ$2:$BV$17,2,FALSE),""))</f>
        <v/>
      </c>
      <c r="GU3" s="140">
        <f>IF($GS3="","",IFERROR(IF(ISNUMBER(VLOOKUP($GS3,$BQ$2:$BV$17,3,FALSE)),"CP "&amp;VLOOKUP($GS3,$BQ$2:$BV$17,3,FALSE),VLOOKUP($GS3,$BQ$2:$BV$17,3,FALSE)),""))</f>
        <v/>
      </c>
      <c r="GV3" s="140">
        <f>IF($GS3="","",IFERROR(VLOOKUP($GS3,$BQ$2:$BV$17,4,FALSE),""))</f>
        <v/>
      </c>
      <c r="GW3" s="140">
        <f>IF($GS3="","",IFERROR(VLOOKUP($GS3,$BQ$2:$BV$17,5,FALSE),""))</f>
        <v/>
      </c>
      <c r="GY3" s="114" t="inlineStr">
        <is>
          <t>Classe 0 · 2</t>
        </is>
      </c>
      <c r="GZ3" s="140">
        <f>'FICHA AMALDIÇOADA'!$F$305&amp;""</f>
        <v/>
      </c>
      <c r="HA3" s="140">
        <f>'FICHA AMALDIÇOADA'!$J$305&amp;""</f>
        <v/>
      </c>
      <c r="HB3" s="140">
        <f>'FICHA AMALDIÇOADA'!$L$305&amp;""</f>
        <v/>
      </c>
      <c r="HC3" s="140">
        <f>IFERROR(MATCH($GZ3,$Q$2:$Q$11,0),0)</f>
        <v/>
      </c>
      <c r="HD3" s="140">
        <f>$GH$11-IF($HA3&lt;&gt;"",1,0)+IF(AND($HA3&lt;&gt;"",$HB3&lt;&gt;""),1,0)</f>
        <v/>
      </c>
      <c r="HE3" s="140">
        <f>IF(2&gt;$GH$10,"nível 1",IF($HC3=0,"",IF(INDEX($W$2:$W$11,$HC3)&gt;=2,"—",$HD3&amp;"d8 = "&amp;FLOOR($HD3*4.5,1))))</f>
        <v/>
      </c>
      <c r="HF3" s="140">
        <f>IF(OR(2&gt;$GH$10,$HC3=0),"",INDEX($AH$2:$AM$31,($HC3-1)*3+1,1+IF(OR(AND($HA3="Longe",INDEX($Z$2:$Z$11,$HC3)&lt;&gt;2),AND($HA3="Maior",INDEX($Z$2:$Z$11,$HC3)&gt;=2)),1,0))&amp;INDEX($AN$2:$AS$31,($HC3-1)*3+1,1+IF(AND($HA3="Longe",INDEX($AA$2:$AA$11,$HC3)=1),1,0)))</f>
        <v/>
      </c>
      <c r="HH3" s="114" t="inlineStr">
        <is>
          <t>Orçamento</t>
        </is>
      </c>
      <c r="HI3" s="140">
        <f>ADDRESS(ROW('FICHA AMALDIÇOADA'!E7),COLUMN('FICHA AMALDIÇOADA'!E7),4)</f>
        <v/>
      </c>
      <c r="HJ3" s="140">
        <f>ADDRESS(ROW('FICHA AMALDIÇOADA'!D33),COLUMN('FICHA AMALDIÇOADA'!D33),4)</f>
        <v/>
      </c>
    </row>
    <row r="4">
      <c r="A4" s="114" t="inlineStr">
        <is>
          <t>Mira</t>
        </is>
      </c>
      <c r="B4" s="140">
        <f>'FICHA AMALDIÇOADA'!$F$31&amp;""</f>
        <v/>
      </c>
      <c r="C4" s="140">
        <f>IF($B4="Livre",1,0)</f>
        <v/>
      </c>
      <c r="D4" s="140">
        <f>IF($B4="Fechada",1,0)</f>
        <v/>
      </c>
      <c r="F4" s="114" t="inlineStr">
        <is>
          <t>Fechada</t>
        </is>
      </c>
      <c r="H4" s="140" t="n">
        <v>3</v>
      </c>
      <c r="I4" s="140" t="n">
        <v>2</v>
      </c>
      <c r="J4" s="140" t="n">
        <v>3</v>
      </c>
      <c r="K4" s="140" t="n">
        <v>5</v>
      </c>
      <c r="L4" s="140" t="n">
        <v>1</v>
      </c>
      <c r="M4" s="140" t="n">
        <v>1</v>
      </c>
      <c r="N4" s="140" t="n">
        <v>3</v>
      </c>
      <c r="O4" s="140" t="n">
        <v>3</v>
      </c>
      <c r="Q4" s="114" t="inlineStr">
        <is>
          <t>Explosão</t>
        </is>
      </c>
      <c r="R4" s="114" t="inlineStr">
        <is>
          <t>Área</t>
        </is>
      </c>
      <c r="S4" s="140" t="n">
        <v>1</v>
      </c>
      <c r="T4" s="140">
        <f>IF($S4=0,0,$S4+3*IFERROR(VLOOKUP($R4,$A$2:$D$10,3,FALSE),0))</f>
        <v/>
      </c>
      <c r="U4" s="140">
        <f>IFERROR(VLOOKUP($R4,$A$2:$D$10,4,FALSE),0)</f>
        <v/>
      </c>
      <c r="V4" s="140" t="n">
        <v>0</v>
      </c>
      <c r="W4" s="140" t="n">
        <v>0</v>
      </c>
      <c r="X4" s="114" t="inlineStr">
        <is>
          <t>TR, metade</t>
        </is>
      </c>
      <c r="Y4" s="140" t="n">
        <v>1</v>
      </c>
      <c r="Z4" s="140" t="n">
        <v>2</v>
      </c>
      <c r="AA4" s="140" t="n">
        <v>1</v>
      </c>
      <c r="AB4" s="140" t="n">
        <v>0</v>
      </c>
      <c r="AC4" s="140" t="n">
        <v>1</v>
      </c>
      <c r="AD4" s="140">
        <f>IF($U4=1,"",$Q4)</f>
        <v/>
      </c>
      <c r="AE4" s="140">
        <f>IF(AND($AC4=1,$U4=0),$Q4,"")</f>
        <v/>
      </c>
      <c r="AG4" s="114" t="inlineStr">
        <is>
          <t>Projétil · classes 6 e 7</t>
        </is>
      </c>
      <c r="AH4" s="114" t="inlineStr">
        <is>
          <t>36 m, um alvo</t>
        </is>
      </c>
      <c r="AI4" s="114" t="inlineStr">
        <is>
          <t>90 m, um alvo</t>
        </is>
      </c>
      <c r="AJ4" s="114" t="inlineStr">
        <is>
          <t>o que você enxergar, um alvo</t>
        </is>
      </c>
      <c r="AK4" s="114" t="inlineStr">
        <is>
          <t>o que você enxergar, um alvo</t>
        </is>
      </c>
      <c r="AL4" s="114" t="inlineStr">
        <is>
          <t>o que você enxergar, um alvo</t>
        </is>
      </c>
      <c r="AM4" s="114" t="inlineStr">
        <is>
          <t>o que você enxergar, um alvo</t>
        </is>
      </c>
      <c r="AN4" s="114" t="inlineStr"/>
      <c r="AO4" s="114" t="inlineStr"/>
      <c r="AP4" s="114" t="inlineStr"/>
      <c r="AQ4" s="114" t="inlineStr"/>
      <c r="AR4" s="114" t="inlineStr"/>
      <c r="AS4" s="114" t="inlineStr"/>
      <c r="AU4" s="114" t="inlineStr">
        <is>
          <t>Sem Ver</t>
        </is>
      </c>
      <c r="AV4" s="114" t="inlineStr">
        <is>
          <t>Alcance</t>
        </is>
      </c>
      <c r="AW4" s="140" t="n">
        <v>3</v>
      </c>
      <c r="AX4" s="140">
        <f>$AW4+3*IFERROR(VLOOKUP($AV4,$A$2:$D$10,3,FALSE),0)</f>
        <v/>
      </c>
      <c r="AY4" s="140">
        <f>IFERROR(VLOOKUP($AV4,$A$2:$D$10,4,FALSE),0)</f>
        <v/>
      </c>
      <c r="AZ4" s="140" t="n">
        <v>0</v>
      </c>
      <c r="BA4" s="140">
        <f>IF($AY4=1,"",$AU4)</f>
        <v/>
      </c>
      <c r="BB4" s="140">
        <f>IF(AND($AW4=1,$AY4=0),$AU4,"")</f>
        <v/>
      </c>
      <c r="BD4" s="114" t="inlineStr">
        <is>
          <t>Parado</t>
        </is>
      </c>
      <c r="BE4" s="114" t="inlineStr">
        <is>
          <t>Parado</t>
        </is>
      </c>
      <c r="BF4" s="140" t="n">
        <v>1</v>
      </c>
      <c r="BG4" s="140" t="n">
        <v>0</v>
      </c>
      <c r="BH4" s="114" t="inlineStr">
        <is>
          <t>Parado</t>
        </is>
      </c>
      <c r="BJ4" s="114" t="inlineStr">
        <is>
          <t>Raiz</t>
        </is>
      </c>
      <c r="BK4" s="140" t="n">
        <v>1</v>
      </c>
      <c r="BL4" s="114" t="inlineStr">
        <is>
          <t>Você não é movido à força nem derrubado contra a sua vontade.</t>
        </is>
      </c>
      <c r="BN4" s="140" t="n">
        <v>3</v>
      </c>
      <c r="BO4" s="140" t="n">
        <v>13</v>
      </c>
      <c r="BQ4" s="114" t="inlineStr">
        <is>
          <t>Projetar energia</t>
        </is>
      </c>
      <c r="BR4" s="114" t="inlineStr">
        <is>
          <t>sem requisito</t>
        </is>
      </c>
      <c r="BS4" s="114" t="inlineStr">
        <is>
          <t>—</t>
        </is>
      </c>
      <c r="BT4" s="114" t="inlineStr">
        <is>
          <t>o dano</t>
        </is>
      </c>
      <c r="BU4" s="114" t="inlineStr">
        <is>
          <t>Você dispara energia crua. O dano é Xd6, e ela gasta PE num valor menor ou igual ao seu refino: cada 1 PE aumenta o X em 1. O alcance segue o da sua maior Classe disponível.</t>
        </is>
      </c>
      <c r="BV4" s="114" t="inlineStr">
        <is>
          <t>Projetar energia</t>
        </is>
      </c>
      <c r="BX4" s="140" t="n">
        <v>11</v>
      </c>
      <c r="BY4" s="140" t="n">
        <v>4</v>
      </c>
      <c r="BZ4" s="140" t="n">
        <v>4</v>
      </c>
      <c r="CB4" s="140" t="n">
        <v>30</v>
      </c>
      <c r="CD4" s="140" t="n">
        <v>5</v>
      </c>
      <c r="CF4" s="140" t="n">
        <v>26</v>
      </c>
      <c r="CG4" s="140" t="n">
        <v>32</v>
      </c>
      <c r="CH4" s="140" t="n">
        <v>12</v>
      </c>
      <c r="CJ4" s="114" t="inlineStr">
        <is>
          <t>Sem Barreiras</t>
        </is>
      </c>
      <c r="CK4" s="140" t="n">
        <v>5</v>
      </c>
      <c r="CL4" s="140" t="n">
        <v>0</v>
      </c>
      <c r="CM4" s="140" t="n">
        <v>10</v>
      </c>
      <c r="CN4" s="114" t="inlineStr">
        <is>
          <t>refino 10 e especialização em Ocultismo</t>
        </is>
      </c>
      <c r="CP4" s="114" t="inlineStr">
        <is>
          <t>Promessa</t>
        </is>
      </c>
      <c r="CQ4" s="114" t="inlineStr">
        <is>
          <t>entre duas partes, as duas aceitando</t>
        </is>
      </c>
      <c r="CS4" s="114" t="inlineStr">
        <is>
          <t>um espaço de feitiço</t>
        </is>
      </c>
      <c r="CU4" s="114" t="inlineStr">
        <is>
          <t>Feitiço 3</t>
        </is>
      </c>
      <c r="CV4" s="140" t="n">
        <v>0</v>
      </c>
      <c r="CW4" s="140" t="n">
        <v>3</v>
      </c>
      <c r="CX4" s="140">
        <f>MAX(1,MIN(7,N('FICHA AMALDIÇOADA'!$P$45)))</f>
        <v/>
      </c>
      <c r="CY4" s="140">
        <f>'FICHA AMALDIÇOADA'!$Q$45&amp;""</f>
        <v/>
      </c>
      <c r="CZ4" s="140">
        <f>'FICHA AMALDIÇOADA'!$P$52&amp;""</f>
        <v/>
      </c>
      <c r="DA4" s="140">
        <f>'FICHA AMALDIÇOADA'!$Q$54&amp;""</f>
        <v/>
      </c>
      <c r="DB4" s="140">
        <f>'FICHA AMALDIÇOADA'!$Q$55&amp;""</f>
        <v/>
      </c>
      <c r="DC4" s="140">
        <f>'FICHA AMALDIÇOADA'!$Q$56&amp;""</f>
        <v/>
      </c>
      <c r="DD4" s="140">
        <f>'FICHA AMALDIÇOADA'!$Q$57&amp;""</f>
        <v/>
      </c>
      <c r="DE4" s="140">
        <f>'FICHA AMALDIÇOADA'!$Q$58&amp;""</f>
        <v/>
      </c>
      <c r="DF4" s="140">
        <f>'FICHA AMALDIÇOADA'!$Q$59&amp;""</f>
        <v/>
      </c>
      <c r="DG4" s="140">
        <f>IF('FICHA AMALDIÇOADA'!$T$58=TRUE,1,0)</f>
        <v/>
      </c>
      <c r="DH4" s="140">
        <f>IF('FICHA AMALDIÇOADA'!$T$59=TRUE,1,0)</f>
        <v/>
      </c>
      <c r="DI4" s="140">
        <f>IF($CY4&lt;&gt;"",1,0)</f>
        <v/>
      </c>
      <c r="DJ4" s="140">
        <f>IFERROR(MATCH($CZ4,$Q$2:$Q$11,0),0)</f>
        <v/>
      </c>
      <c r="DK4" s="140">
        <f>IF($DJ4=0,0,INDEX($T$2:$T$11,$DJ4))</f>
        <v/>
      </c>
      <c r="DL4" s="140">
        <f>IFERROR(VLOOKUP($DA4,$AU$2:$BB$84,4,FALSE),0)</f>
        <v/>
      </c>
      <c r="DM4" s="140">
        <f>IFERROR(VLOOKUP($DB4,$AU$2:$BB$84,4,FALSE),0)</f>
        <v/>
      </c>
      <c r="DN4" s="140">
        <f>IFERROR(VLOOKUP($DC4,$AU$2:$BB$84,4,FALSE),0)</f>
        <v/>
      </c>
      <c r="DO4" s="140">
        <f>IFERROR(VLOOKUP($DD4,$AU$2:$BB$84,4,FALSE),0)</f>
        <v/>
      </c>
      <c r="DP4" s="140">
        <f>IF($DJ4=0,0,INDEX($U$2:$U$11,$DJ4))</f>
        <v/>
      </c>
      <c r="DQ4" s="140">
        <f>IFERROR(VLOOKUP($DA4,$AU$2:$BB$84,5,FALSE),0)</f>
        <v/>
      </c>
      <c r="DR4" s="140">
        <f>IFERROR(VLOOKUP($DB4,$AU$2:$BB$84,5,FALSE),0)</f>
        <v/>
      </c>
      <c r="DS4" s="140">
        <f>IFERROR(VLOOKUP($DC4,$AU$2:$BB$84,5,FALSE),0)</f>
        <v/>
      </c>
      <c r="DT4" s="140">
        <f>IFERROR(VLOOKUP($DD4,$AU$2:$BB$84,5,FALSE),0)</f>
        <v/>
      </c>
      <c r="DU4" s="140">
        <f>IFERROR(VLOOKUP($DA4,$AU$2:$BB$84,6,FALSE),0)+IFERROR(VLOOKUP($DB4,$AU$2:$BB$84,6,FALSE),0)+IFERROR(VLOOKUP($DC4,$AU$2:$BB$84,6,FALSE),0)+IFERROR(VLOOKUP($DD4,$AU$2:$BB$84,6,FALSE),0)</f>
        <v/>
      </c>
      <c r="DV4" s="140">
        <f>IF($DJ4=0,0,INDEX($V$2:$V$11,$DJ4))</f>
        <v/>
      </c>
      <c r="DW4" s="140">
        <f>IF($DJ4=0,0,INDEX($W$2:$W$11,$DJ4))</f>
        <v/>
      </c>
      <c r="DX4" s="140">
        <f>IF($DJ4=0,0,INDEX($Y$2:$Y$11,$DJ4))</f>
        <v/>
      </c>
      <c r="DY4" s="140">
        <f>IF($DG4=1,0,IFERROR(VLOOKUP($DE4,$BD$2:$BH$24,3,FALSE),0))</f>
        <v/>
      </c>
      <c r="DZ4" s="140">
        <f>IF($DH4=1,0,IFERROR(VLOOKUP($DF4,$BD$2:$BH$24,3,FALSE),0))</f>
        <v/>
      </c>
      <c r="EA4" s="140">
        <f>IFERROR(VLOOKUP($DE4,$BD$2:$BH$24,2,FALSE),"")</f>
        <v/>
      </c>
      <c r="EB4" s="140">
        <f>IFERROR(VLOOKUP($DF4,$BD$2:$BH$24,2,FALSE),"")</f>
        <v/>
      </c>
      <c r="EC4" s="140">
        <f>COUNTIF($DK4:$DO4,1)</f>
        <v/>
      </c>
      <c r="ED4" s="140">
        <f>COUNTIF($DK4:$DO4,2)</f>
        <v/>
      </c>
      <c r="EE4" s="140">
        <f>COUNTIF($DK4:$DO4,3)</f>
        <v/>
      </c>
      <c r="EF4" s="140">
        <f>COUNTIF($DK4:$DO4,4)</f>
        <v/>
      </c>
      <c r="EG4" s="140">
        <f>COUNTIF($DK4:$DO4,5)</f>
        <v/>
      </c>
      <c r="EH4" s="140">
        <f>COUNTIF($DK4:$DO4,6)</f>
        <v/>
      </c>
      <c r="EI4" s="140">
        <f>COUNTIF($DY4:$DZ4,1)</f>
        <v/>
      </c>
      <c r="EJ4" s="140">
        <f>COUNTIF($DY4:$DZ4,2)+$DV4</f>
        <v/>
      </c>
      <c r="EK4" s="140">
        <f>COUNTIF($DA4:$DD4,"?*")</f>
        <v/>
      </c>
      <c r="EL4" s="140">
        <f>COUNTIF($DE4:$DF4,"?*")+$DV4</f>
        <v/>
      </c>
      <c r="EM4" s="140">
        <f>SUMPRODUCT($EC4:$EH4,INDEX($I$2:$N$8,$CX4,0))</f>
        <v/>
      </c>
      <c r="EN4" s="140">
        <f>$EI4*CEILING($CX4/2,1)+$EJ4*$CX4</f>
        <v/>
      </c>
      <c r="EO4" s="140">
        <f>MIN(2*$CX4,$EN4)</f>
        <v/>
      </c>
      <c r="EP4" s="140">
        <f>MIN($EO4,$EM4)</f>
        <v/>
      </c>
      <c r="EQ4" s="140">
        <f>$EO4-$EP4</f>
        <v/>
      </c>
      <c r="ER4" s="140">
        <f>3*$CX4-$EM4+$EP4</f>
        <v/>
      </c>
      <c r="ES4" s="140">
        <f>MAX(0,$ER4)+$CV4*$CX4</f>
        <v/>
      </c>
      <c r="ET4" s="140">
        <f>(IF(COUNTIF($DA4:$DD4,"Salto")&gt;0,1,0)+IF(COUNTIF($DA4:$DD4,"Queima")&gt;0,1,0))*FLOOR($ES4/2,1)</f>
        <v/>
      </c>
      <c r="EU4" s="140">
        <f>MAX(0,3-SUMPRODUCT($EC4:$EH4,$I$2:$N$2)+MIN(2,$EI4*1+$EJ4*1,SUMPRODUCT($EC4:$EH4,$I$2:$N$2)))+$CV4*1</f>
        <v/>
      </c>
      <c r="EV4" s="140">
        <f>MAX(0,6-SUMPRODUCT($EC4:$EH4,$I$3:$N$3)+MIN(4,$EI4*1+$EJ4*2,SUMPRODUCT($EC4:$EH4,$I$3:$N$3)))+$CV4*2</f>
        <v/>
      </c>
      <c r="EW4" s="140">
        <f>MAX(0,9-SUMPRODUCT($EC4:$EH4,$I$4:$N$4)+MIN(6,$EI4*2+$EJ4*3,SUMPRODUCT($EC4:$EH4,$I$4:$N$4)))+$CV4*3</f>
        <v/>
      </c>
      <c r="EX4" s="140">
        <f>MAX(0,12-SUMPRODUCT($EC4:$EH4,$I$5:$N$5)+MIN(8,$EI4*2+$EJ4*4,SUMPRODUCT($EC4:$EH4,$I$5:$N$5)))+$CV4*4</f>
        <v/>
      </c>
      <c r="EY4" s="140">
        <f>MAX(0,15-SUMPRODUCT($EC4:$EH4,$I$6:$N$6)+MIN(10,$EI4*3+$EJ4*5,SUMPRODUCT($EC4:$EH4,$I$6:$N$6)))+$CV4*5</f>
        <v/>
      </c>
      <c r="EZ4" s="140">
        <f>MAX(0,18-SUMPRODUCT($EC4:$EH4,$I$7:$N$7)+MIN(12,$EI4*3+$EJ4*6,SUMPRODUCT($EC4:$EH4,$I$7:$N$7)))+$CV4*6</f>
        <v/>
      </c>
      <c r="FA4" s="140">
        <f>MAX(0,21-SUMPRODUCT($EC4:$EH4,$I$8:$N$8)+MIN(14,$EI4*4+$EJ4*7,SUMPRODUCT($EC4:$EH4,$I$8:$N$8)))+$CV4*7</f>
        <v/>
      </c>
      <c r="FB4" s="140">
        <f>IF($DW4=2,3*$EU4&amp;" de vida temp.",IF($DW4=3,"sem dano",IF($EU4=0,IF($DW4=1,"sem cura","sem dano"),IF($DW4=1,"cura ","")&amp;$EU4&amp;"d8")))</f>
        <v/>
      </c>
      <c r="FC4" s="140">
        <f>IF($DW4=2,3*$EV4&amp;" de vida temp.",IF($DW4=3,"sem dano",IF($EV4=0,IF($DW4=1,"sem cura","sem dano"),IF($DW4=1,"cura ","")&amp;$EV4&amp;"d8")))</f>
        <v/>
      </c>
      <c r="FD4" s="140">
        <f>IF($DW4=2,3*$EW4&amp;" de vida temp.",IF($DW4=3,"sem dano",IF($EW4=0,IF($DW4=1,"sem cura","sem dano"),IF($DW4=1,"cura ","")&amp;$EW4&amp;"d8")))</f>
        <v/>
      </c>
      <c r="FE4" s="140">
        <f>IF($DW4=2,3*$EX4&amp;" de vida temp.",IF($DW4=3,"sem dano",IF($EX4=0,IF($DW4=1,"sem cura","sem dano"),IF($DW4=1,"cura ","")&amp;$EX4&amp;"d8")))</f>
        <v/>
      </c>
      <c r="FF4" s="140">
        <f>IF($DW4=2,3*$EY4&amp;" de vida temp.",IF($DW4=3,"sem dano",IF($EY4=0,IF($DW4=1,"sem cura","sem dano"),IF($DW4=1,"cura ","")&amp;$EY4&amp;"d8")))</f>
        <v/>
      </c>
      <c r="FG4" s="140">
        <f>IF($DW4=2,3*$EZ4&amp;" de vida temp.",IF($DW4=3,"sem dano",IF($EZ4=0,IF($DW4=1,"sem cura","sem dano"),IF($DW4=1,"cura ","")&amp;$EZ4&amp;"d8")))</f>
        <v/>
      </c>
      <c r="FH4" s="140">
        <f>IF($DW4=2,3*$FA4&amp;" de vida temp.",IF($DW4=3,"sem dano",IF($FA4=0,IF($DW4=1,"sem cura","sem dano"),IF($DW4=1,"cura ","")&amp;$FA4&amp;"d8")))</f>
        <v/>
      </c>
      <c r="FI4" s="140">
        <f>IF($DI4=0,"",TEXTJOIN(" · ",TRUE,IF(AND($CV4=1,$CW4&gt;$GH$9),"O nível "&amp;$GH$2&amp;" dá "&amp;$GH$9&amp;" Liberação Máxima",""),IF($CX4&gt;$GH$4,"Classe "&amp;$CX4&amp;": o nível "&amp;$GH$2&amp;" libera até a "&amp;$GH$4,""),IF($DP4=1,"Família Fechada: a Forma "&amp;$CZ4,""),IF($DQ4=1,"Família Fechada: "&amp;$DA4,""),IF($DR4=1,"Família Fechada: "&amp;$DB4,""),IF($DS4=1,"Família Fechada: "&amp;$DC4,""),IF($DT4=1,"Família Fechada: "&amp;$DD4,""),IF($EK4&gt;INDEX($O$2:$O$8,$CX4),$EK4&amp;" Melhorias: a Classe "&amp;$CX4&amp;" aceita "&amp;INDEX($O$2:$O$8,$CX4),""),IF($EL4&gt;2,$EL4&amp;" Restrições"&amp;IF($DV4=1,", contando a que a Forma "&amp;$CZ4&amp;" já traz","")&amp;": o limite é 2",""),IF($ER4&lt;0,"Orçamento estourado: faltam "&amp;(-$ER4)&amp;IF($ER4&lt;-1," pontos"," ponto"),""),IF(IFERROR(VLOOKUP($DE4,$BD$2:$BH$24,4,FALSE),0)+IFERROR(VLOOKUP($DF4,$BD$2:$BH$24,4,FALSE),0)&gt;1,$EA4&amp;" e "&amp;$EB4&amp;" são as duas de frequência",""),IF(AND((COUNTIF($DA4:$DD4,"Rápido")+COUNTIF($EA4:$EB4,"Rápido"))&gt;0,(COUNTIF($DA4:$DD4,"Reação")+COUNTIF($EA4:$EB4,"Reação"))&gt;0),"Rápido não entra com Reação",""),IF(AND((COUNTIF($DA4:$DD4,"Rápido")+COUNTIF($EA4:$EB4,"Rápido"))&gt;0,(COUNTIF($DA4:$DD4,"Atrasar")+COUNTIF($EA4:$EB4,"Atrasar"))&gt;0),"Rápido não entra com Atrasar",""),IF(AND((COUNTIF($DA4:$DD4,"Reação")+COUNTIF($EA4:$EB4,"Reação"))&gt;0,(COUNTIF($DA4:$DD4,"Atrasar")+COUNTIF($EA4:$EB4,"Atrasar"))&gt;0),"Reação não entra com Atrasar",""),IF(AND((COUNTIF($DA4:$DD4,"Reação")+COUNTIF($EA4:$EB4,"Reação"))&gt;0,(COUNTIF($DA4:$DD4,"Parado")+COUNTIF($EA4:$EB4,"Parado"))&gt;0),"Reação não entra com Parado",""),IF(AND(COUNTIF($EA4:$EB4,"Corpo a Corpo")&gt;0,$DV4=0,OR($CZ4="Cone",$CZ4="Linha")),"Corpo a Corpo não entra em "&amp;$CZ4,""),IF(AND(COUNTIF($EA4:$EB4,"Corpo a Corpo")&gt;0,$DV4=1),"A Forma "&amp;$CZ4&amp;" já traz o Corpo a Corpo",""),IF(AND(COUNTIF($EA4:$EB4,"Tudo ou Nada")&gt;0,$DX4=0),"Tudo ou Nada só entra em feitiço de Teste de Resistência",""),IF(AND(COUNTIF($DA4:$DD4,"Inescapável")&gt;0,OR($EK4&gt;1,$EL4&gt;0)),"Inescapável não aceita outra peça",""),IF(AND($CV4=1,$CX4&lt;3),"Liberação Máxima é de Classe 3 ou mais",""),IF(AND($CV4=1,OR($DW4=1,$DW4=2)),"Liberação Máxima não serve para cura",""),IF(AND($CV4=1,COUNTIF($DA4:$DD4,"Inescapável")+COUNTIF($DA4:$DD4,"Toca a Alma")&gt;0),"Esta peça não entra numa Liberação Máxima",""),IF($ES4+$ET4&gt;4*$CX4,($ES4+$ET4)&amp;" dados somando alvos e repetições: o teto da Classe "&amp;$CX4&amp;" é "&amp;4*$CX4,"")))</f>
        <v/>
      </c>
      <c r="FJ4" s="140">
        <f>IF($FI4="",0,(LEN($FI4)-LEN(SUBSTITUTE($FI4," · ","")))/3+1)</f>
        <v/>
      </c>
      <c r="FK4" s="140">
        <f>IF($DI4=0,"",TEXTJOIN(" · ",TRUE,IF($EN4&gt;2*$CX4,"A devolução parou no teto de "&amp;2*$CX4,""),IF($EQ4&gt;0,"Devolução perdida: "&amp;$EQ4&amp;IF($EQ4&gt;1," pontos"," ponto")&amp;" sem peça para pagar",""),IF(AND($DU4&gt;0,$ES4=0),"Controle sem dano: uma rodada a mais e CD +2",""),IF(AND($DU4&gt;0,$ES4&gt;0,$ES4&lt;=$CX4),"Controle com um quarto do teto: uma rodada a mais","")))</f>
        <v/>
      </c>
      <c r="FL4" s="140">
        <f>IF($FK4="",0,(LEN($FK4)-LEN(SUBSTITUTE($FK4," · ","")))/3+1)</f>
        <v/>
      </c>
      <c r="FM4" s="140">
        <f>IF($DI4=0,IF($EK4+$EL4-$DV4&gt;0,"dê um nome",""),IF($FJ4&gt;0,"⚠ "&amp;$FJ4&amp;IF($FJ4&gt;1," erros"," erro"),IF($FL4&gt;0,"! "&amp;$FL4&amp;IF($FL4&gt;1," avisos"," aviso"),"na regra")))</f>
        <v/>
      </c>
      <c r="FN4" s="140">
        <f>IF($DI4=0,"",IF($FJ4+$FL4=0,"Dentro das regras que a ficha confere",$FI4&amp;IF(AND($FJ4&gt;0,$FL4&gt;0)," · ","")&amp;$FK4))</f>
        <v/>
      </c>
      <c r="FO4" s="140">
        <f>IF($DI4=0,"",IF($CV4=1,CEILING(4.5*$CX4,1),3*$CX4)&amp;" PE")</f>
        <v/>
      </c>
      <c r="FP4" s="140">
        <f>IF($DI4=0,"",IF($CV4=1,"Rodada inteira",IF(COUNTIF($EA4:$EB4,"Atrasar")&gt;0,IF(COUNTIF($EA4:$EB4,"Carregar")&gt;0,"Rodada +1 turno","Rodada inteira"),IF(COUNTIF($DA4:$DD4,"Rápido")&gt;0,"Bônus",IF(COUNTIF($DA4:$DD4,"Reação")&gt;0,"Reação","Padrão"))&amp;IF(COUNTIF($EA4:$EB4,"Carregar")&gt;0," +1 turno",""))))</f>
        <v/>
      </c>
      <c r="FQ4" s="140">
        <f>IF(OR($DI4=0,$DJ4=0),"",IF(COUNTIF($DA4:$DD4,"Inescapável")&gt;0,"Automático",IF(COUNTIF($DA4:$DD4,"Certeiro")&gt;0,"TR para metade",INDEX($X$2:$X$11,$DJ4))))</f>
        <v/>
      </c>
      <c r="FR4" s="140">
        <f>IF(OR($DI4=0,$DJ4=0),"",IF(OR($DW4&gt;=2,$ES4=0),INDEX($FB4:$FH4,1,$CX4),INDEX($FB4:$FH4,1,$CX4)&amp;" = "&amp;FLOOR($ES4*4.5,1)&amp;IF($ET4&gt;0," · +"&amp;$ET4&amp;"d8","")))</f>
        <v/>
      </c>
      <c r="FS4" s="140">
        <f>COUNTIF($DA4:$DD4,"Longe")+3*COUNTIF($DA4:$DD4,"Muito Longe")</f>
        <v/>
      </c>
      <c r="FT4" s="140">
        <f>COUNTIF($DA4:$DD4,"Maior")+3*COUNTIF($DA4:$DD4,"Muito Maior")</f>
        <v/>
      </c>
      <c r="FU4" s="140">
        <f>IF($DJ4=0,0,CHOOSE(1+INDEX($Z$2:$Z$11,$DJ4),0,$FS4,$FT4,$FS4+$FT4))</f>
        <v/>
      </c>
      <c r="FV4" s="140">
        <f>IF($DJ4=0,0,CHOOSE(1+INDEX($AA$2:$AA$11,$DJ4),0,$FS4,$FT4,$FS4+$FT4))</f>
        <v/>
      </c>
      <c r="FW4" s="140">
        <f>IF(OR($DI4=0,$DJ4=0),"",INDEX($AH$2:$AM$31,($DJ4-1)*3+IF($CX4&gt;=6,3,2),1+MIN(5,$FU4))&amp;INDEX($AN$2:$AS$31,($DJ4-1)*3+IF($CX4&gt;=6,3,2),1+MIN(5,$FV4))&amp;IF(INDEX($AB$2:$AB$11,$DJ4)=1,IF(COUNTIF($DA4:$DD4,"Mais Um")&gt;0," · +"&amp;COUNTIF($DA4:$DD4,"Mais Um")&amp;IF(COUNTIF($DA4:$DD4,"Mais Um")&gt;1," alvos"," alvo"),"")&amp;IF(COUNTIF($DA4:$DD4,"Rajada")&gt;0," · "&amp;($CX4+1)&amp;" tiros",""),""))</f>
        <v/>
      </c>
      <c r="FX4" s="140">
        <f>IF($DI4=0,"",3*$CX4&amp;" − "&amp;$EM4&amp;" + "&amp;$EP4&amp;IF($CV4=1," + "&amp;$CX4,"")&amp;" = "&amp;$ES4&amp;"d8 · teto "&amp;4*$CX4&amp;IF($DV4=1," · a Forma devolve "&amp;$CX4,"")&amp;IF($EQ4&gt;0," · perde "&amp;$EQ4,""))</f>
        <v/>
      </c>
      <c r="FY4" s="140">
        <f>IF($DI4=0,"",IF($CX4&gt;=$GH$4,"Já está na maior Classe que o nível liberou",TEXTJOIN(" · ",TRUE,IF(AND(2&gt;$CX4,2&lt;=$GH$4),"2 → "&amp;$FC4&amp;", "&amp;IF($CV4=1,9,6)&amp;" PE",""),IF(AND(3&gt;$CX4,3&lt;=$GH$4),"3 → "&amp;$FD4&amp;", "&amp;IF($CV4=1,14,9)&amp;" PE",""),IF(AND(4&gt;$CX4,4&lt;=$GH$4),"4 → "&amp;$FE4&amp;", "&amp;IF($CV4=1,18,12)&amp;" PE",""),IF(AND(5&gt;$CX4,5&lt;=$GH$4),"5 → "&amp;$FF4&amp;", "&amp;IF($CV4=1,23,15)&amp;" PE",""),IF(AND(6&gt;$CX4,6&lt;=$GH$4),"6 → "&amp;$FG4&amp;", "&amp;IF($CV4=1,27,18)&amp;" PE",""),IF(AND(7&gt;$CX4,7&lt;=$GH$4),"7 → "&amp;$FH4&amp;", "&amp;IF($CV4=1,32,21)&amp;" PE",""))))</f>
        <v/>
      </c>
      <c r="FZ4" s="140">
        <f>IF(OR($DI4=0,$DL4=0),"","−"&amp;INDEX($I$2:$N$8,$CX4,$DL4)&amp;" · "&amp;CHOOSE($DL4,"Leve","Média","Pesada","Leve · Livre","Média · Livre","Pesada · Livre"))</f>
        <v/>
      </c>
      <c r="GA4" s="140">
        <f>IF(OR($DI4=0,$DM4=0),"","−"&amp;INDEX($I$2:$N$8,$CX4,$DM4)&amp;" · "&amp;CHOOSE($DM4,"Leve","Média","Pesada","Leve · Livre","Média · Livre","Pesada · Livre"))</f>
        <v/>
      </c>
      <c r="GB4" s="140">
        <f>IF(OR($DI4=0,$DN4=0),"","−"&amp;INDEX($I$2:$N$8,$CX4,$DN4)&amp;" · "&amp;CHOOSE($DN4,"Leve","Média","Pesada","Leve · Livre","Média · Livre","Pesada · Livre"))</f>
        <v/>
      </c>
      <c r="GC4" s="140">
        <f>IF(OR($DI4=0,$DO4=0),"","−"&amp;INDEX($I$2:$N$8,$CX4,$DO4)&amp;" · "&amp;CHOOSE($DO4,"Leve","Média","Pesada","Leve · Livre","Média · Livre","Pesada · Livre"))</f>
        <v/>
      </c>
      <c r="GD4" s="140">
        <f>IF(OR($DI4=0,$DE4=""),"",IF($DG4=1,"Selo","+"&amp;IF($DY4=1,CEILING($CX4/2,1),$CX4)))</f>
        <v/>
      </c>
      <c r="GE4" s="140">
        <f>IF(OR($DI4=0,$DF4=""),"",IF($DH4=1,"Selo","+"&amp;IF($DZ4=1,CEILING($CX4/2,1),$CX4)))</f>
        <v/>
      </c>
      <c r="GG4" s="114" t="inlineStr">
        <is>
          <t>maior classe</t>
        </is>
      </c>
      <c r="GH4" s="140">
        <f>MAX(1,MIN(7,N(FICHA!$Z$57)))</f>
        <v/>
      </c>
      <c r="GJ4" s="114" t="inlineStr">
        <is>
          <t>Passiva 3</t>
        </is>
      </c>
      <c r="GK4" s="140">
        <f>'FICHA AMALDIÇOADA'!$P$373&amp;""</f>
        <v/>
      </c>
      <c r="GL4" s="140">
        <f>IFERROR(VLOOKUP($GK4,$BJ$2:$BL$20,2,FALSE),0)</f>
        <v/>
      </c>
      <c r="GM4" s="140">
        <f>IFERROR(VLOOKUP($GL4,$BN$2:$BO$4,2,FALSE),0)</f>
        <v/>
      </c>
      <c r="GN4" s="140">
        <f>IFERROR(VLOOKUP($GK4,$BJ$2:$BL$20,3,FALSE),"")</f>
        <v/>
      </c>
      <c r="GO4" s="140">
        <f>IF($GL4=0,"",IF($GM4&gt;$GH$2,"⚠ nível "&amp;$GM4,"CP "&amp;$GL4))</f>
        <v/>
      </c>
      <c r="GP4" s="140">
        <f>IF($GL4=0,"",$GL4&amp;" esp.")</f>
        <v/>
      </c>
      <c r="GR4" s="114" t="inlineStr">
        <is>
          <t>Aptidão 3</t>
        </is>
      </c>
      <c r="GS4" s="140">
        <f>'FICHA AMALDIÇOADA'!$P$421&amp;""</f>
        <v/>
      </c>
      <c r="GT4" s="140">
        <f>IF($GS4="","","Requisito: "&amp;IFERROR(VLOOKUP($GS4,$BQ$2:$BV$17,2,FALSE),""))</f>
        <v/>
      </c>
      <c r="GU4" s="140">
        <f>IF($GS4="","",IFERROR(IF(ISNUMBER(VLOOKUP($GS4,$BQ$2:$BV$17,3,FALSE)),"CP "&amp;VLOOKUP($GS4,$BQ$2:$BV$17,3,FALSE),VLOOKUP($GS4,$BQ$2:$BV$17,3,FALSE)),""))</f>
        <v/>
      </c>
      <c r="GV4" s="140">
        <f>IF($GS4="","",IFERROR(VLOOKUP($GS4,$BQ$2:$BV$17,4,FALSE),""))</f>
        <v/>
      </c>
      <c r="GW4" s="140">
        <f>IF($GS4="","",IFERROR(VLOOKUP($GS4,$BQ$2:$BV$17,5,FALSE),""))</f>
        <v/>
      </c>
      <c r="GY4" s="114" t="inlineStr">
        <is>
          <t>Classe 0 · 3</t>
        </is>
      </c>
      <c r="GZ4" s="140">
        <f>'FICHA AMALDIÇOADA'!$F$306&amp;""</f>
        <v/>
      </c>
      <c r="HA4" s="140">
        <f>'FICHA AMALDIÇOADA'!$J$306&amp;""</f>
        <v/>
      </c>
      <c r="HB4" s="140">
        <f>'FICHA AMALDIÇOADA'!$L$306&amp;""</f>
        <v/>
      </c>
      <c r="HC4" s="140">
        <f>IFERROR(MATCH($GZ4,$Q$2:$Q$11,0),0)</f>
        <v/>
      </c>
      <c r="HD4" s="140">
        <f>$GH$11-IF($HA4&lt;&gt;"",1,0)+IF(AND($HA4&lt;&gt;"",$HB4&lt;&gt;""),1,0)</f>
        <v/>
      </c>
      <c r="HE4" s="140">
        <f>IF(3&gt;$GH$10,"nível 5",IF($HC4=0,"",IF(INDEX($W$2:$W$11,$HC4)&gt;=2,"—",$HD4&amp;"d8 = "&amp;FLOOR($HD4*4.5,1))))</f>
        <v/>
      </c>
      <c r="HF4" s="140">
        <f>IF(OR(3&gt;$GH$10,$HC4=0),"",INDEX($AH$2:$AM$31,($HC4-1)*3+1,1+IF(OR(AND($HA4="Longe",INDEX($Z$2:$Z$11,$HC4)&lt;&gt;2),AND($HA4="Maior",INDEX($Z$2:$Z$11,$HC4)&gt;=2)),1,0))&amp;INDEX($AN$2:$AS$31,($HC4-1)*3+1,1+IF(AND($HA4="Longe",INDEX($AA$2:$AA$11,$HC4)=1),1,0)))</f>
        <v/>
      </c>
      <c r="HH4" s="114" t="inlineStr">
        <is>
          <t>Feitiços</t>
        </is>
      </c>
      <c r="HI4" s="140">
        <f>ADDRESS(ROW('FICHA AMALDIÇOADA'!F7),COLUMN('FICHA AMALDIÇOADA'!F7),4)</f>
        <v/>
      </c>
      <c r="HJ4" s="140">
        <f>ADDRESS(ROW('FICHA AMALDIÇOADA'!D42),COLUMN('FICHA AMALDIÇOADA'!D42),4)</f>
        <v/>
      </c>
    </row>
    <row r="5">
      <c r="A5" s="114" t="inlineStr">
        <is>
          <t>Controle</t>
        </is>
      </c>
      <c r="B5" s="140">
        <f>'FICHA AMALDIÇOADA'!$G$31&amp;""</f>
        <v/>
      </c>
      <c r="C5" s="140">
        <f>IF($B5="Livre",1,0)</f>
        <v/>
      </c>
      <c r="D5" s="140">
        <f>IF($B5="Fechada",1,0)</f>
        <v/>
      </c>
      <c r="H5" s="140" t="n">
        <v>4</v>
      </c>
      <c r="I5" s="140" t="n">
        <v>2</v>
      </c>
      <c r="J5" s="140" t="n">
        <v>4</v>
      </c>
      <c r="K5" s="140" t="n">
        <v>6</v>
      </c>
      <c r="L5" s="140" t="n">
        <v>1</v>
      </c>
      <c r="M5" s="140" t="n">
        <v>2</v>
      </c>
      <c r="N5" s="140" t="n">
        <v>4</v>
      </c>
      <c r="O5" s="140" t="n">
        <v>3</v>
      </c>
      <c r="Q5" s="114" t="inlineStr">
        <is>
          <t>Aura</t>
        </is>
      </c>
      <c r="R5" s="114" t="inlineStr">
        <is>
          <t>Área</t>
        </is>
      </c>
      <c r="S5" s="140" t="n">
        <v>1</v>
      </c>
      <c r="T5" s="140">
        <f>IF($S5=0,0,$S5+3*IFERROR(VLOOKUP($R5,$A$2:$D$10,3,FALSE),0))</f>
        <v/>
      </c>
      <c r="U5" s="140">
        <f>IFERROR(VLOOKUP($R5,$A$2:$D$10,4,FALSE),0)</f>
        <v/>
      </c>
      <c r="V5" s="140" t="n">
        <v>1</v>
      </c>
      <c r="W5" s="140" t="n">
        <v>0</v>
      </c>
      <c r="X5" s="114" t="inlineStr">
        <is>
          <t>TR, metade</t>
        </is>
      </c>
      <c r="Y5" s="140" t="n">
        <v>1</v>
      </c>
      <c r="Z5" s="140" t="n">
        <v>2</v>
      </c>
      <c r="AA5" s="140" t="n">
        <v>0</v>
      </c>
      <c r="AB5" s="140" t="n">
        <v>0</v>
      </c>
      <c r="AC5" s="140" t="n">
        <v>1</v>
      </c>
      <c r="AD5" s="140">
        <f>IF($U5=1,"",$Q5)</f>
        <v/>
      </c>
      <c r="AE5" s="140">
        <f>IF(AND($AC5=1,$U5=0),$Q5,"")</f>
        <v/>
      </c>
      <c r="AG5" s="114" t="inlineStr">
        <is>
          <t>Toque · classe 0</t>
        </is>
      </c>
      <c r="AH5" s="114" t="inlineStr">
        <is>
          <t>1,5 m, um alvo</t>
        </is>
      </c>
      <c r="AI5" s="114" t="inlineStr">
        <is>
          <t>1,5 m, um alvo</t>
        </is>
      </c>
      <c r="AJ5" s="114" t="inlineStr">
        <is>
          <t>1,5 m, um alvo</t>
        </is>
      </c>
      <c r="AK5" s="114" t="inlineStr">
        <is>
          <t>1,5 m, um alvo</t>
        </is>
      </c>
      <c r="AL5" s="114" t="inlineStr">
        <is>
          <t>1,5 m, um alvo</t>
        </is>
      </c>
      <c r="AM5" s="114" t="inlineStr">
        <is>
          <t>1,5 m, um alvo</t>
        </is>
      </c>
      <c r="AN5" s="114" t="inlineStr"/>
      <c r="AO5" s="114" t="inlineStr"/>
      <c r="AP5" s="114" t="inlineStr"/>
      <c r="AQ5" s="114" t="inlineStr"/>
      <c r="AR5" s="114" t="inlineStr"/>
      <c r="AS5" s="114" t="inlineStr"/>
      <c r="AU5" s="114" t="inlineStr">
        <is>
          <t>Passo</t>
        </is>
      </c>
      <c r="AV5" s="114" t="inlineStr">
        <is>
          <t>Alcance</t>
        </is>
      </c>
      <c r="AW5" s="140" t="n">
        <v>1</v>
      </c>
      <c r="AX5" s="140">
        <f>$AW5+3*IFERROR(VLOOKUP($AV5,$A$2:$D$10,3,FALSE),0)</f>
        <v/>
      </c>
      <c r="AY5" s="140">
        <f>IFERROR(VLOOKUP($AV5,$A$2:$D$10,4,FALSE),0)</f>
        <v/>
      </c>
      <c r="AZ5" s="140" t="n">
        <v>0</v>
      </c>
      <c r="BA5" s="140">
        <f>IF($AY5=1,"",$AU5)</f>
        <v/>
      </c>
      <c r="BB5" s="140">
        <f>IF(AND($AW5=1,$AY5=0),$AU5,"")</f>
        <v/>
      </c>
      <c r="BD5" s="114" t="inlineStr">
        <is>
          <t>Gesto</t>
        </is>
      </c>
      <c r="BE5" s="114" t="inlineStr">
        <is>
          <t>Gesto</t>
        </is>
      </c>
      <c r="BF5" s="140" t="n">
        <v>1</v>
      </c>
      <c r="BG5" s="140" t="n">
        <v>0</v>
      </c>
      <c r="BH5" s="114" t="inlineStr">
        <is>
          <t>Gesto</t>
        </is>
      </c>
      <c r="BJ5" s="114" t="inlineStr">
        <is>
          <t>Mão Firme</t>
        </is>
      </c>
      <c r="BK5" s="140" t="n">
        <v>1</v>
      </c>
      <c r="BL5" s="114" t="inlineStr">
        <is>
          <t>Você não perde concentração nem carga por dano de 10 ou menos.</t>
        </is>
      </c>
      <c r="BQ5" s="114" t="inlineStr">
        <is>
          <t>Energia Reversa</t>
        </is>
      </c>
      <c r="BR5" s="114" t="inlineStr">
        <is>
          <t>refino 7 e nível 14</t>
        </is>
      </c>
      <c r="BS5" s="140" t="n">
        <v>3</v>
      </c>
      <c r="BT5" s="114" t="inlineStr">
        <is>
          <t>—</t>
        </is>
      </c>
      <c r="BU5" s="114" t="inlineStr">
        <is>
          <t>Ação padrão. Gaste até a sua maior Classe de PE e recupere 1d8 de vida por PE gasto, em você.</t>
        </is>
      </c>
      <c r="BV5" s="114" t="inlineStr">
        <is>
          <t>Energia Reversa</t>
        </is>
      </c>
      <c r="BX5" s="140" t="n">
        <v>17</v>
      </c>
      <c r="BY5" s="140" t="n">
        <v>5</v>
      </c>
      <c r="BZ5" s="140" t="n">
        <v>5</v>
      </c>
      <c r="CD5" s="140" t="n">
        <v>6</v>
      </c>
      <c r="CP5" s="114" t="inlineStr">
        <is>
          <t>de restrição</t>
        </is>
      </c>
      <c r="CQ5" s="114" t="inlineStr">
        <is>
          <t>na criação, junto da Origem ou da técnica</t>
        </is>
      </c>
      <c r="CS5" s="114" t="inlineStr">
        <is>
          <t>um estilo</t>
        </is>
      </c>
      <c r="CU5" s="114" t="inlineStr">
        <is>
          <t>Feitiço 4</t>
        </is>
      </c>
      <c r="CV5" s="140" t="n">
        <v>0</v>
      </c>
      <c r="CW5" s="140" t="n">
        <v>4</v>
      </c>
      <c r="CX5" s="140">
        <f>MAX(1,MIN(7,N('FICHA AMALDIÇOADA'!$D$66)))</f>
        <v/>
      </c>
      <c r="CY5" s="140">
        <f>'FICHA AMALDIÇOADA'!$E$66&amp;""</f>
        <v/>
      </c>
      <c r="CZ5" s="140">
        <f>'FICHA AMALDIÇOADA'!$D$73&amp;""</f>
        <v/>
      </c>
      <c r="DA5" s="140">
        <f>'FICHA AMALDIÇOADA'!$E$75&amp;""</f>
        <v/>
      </c>
      <c r="DB5" s="140">
        <f>'FICHA AMALDIÇOADA'!$E$76&amp;""</f>
        <v/>
      </c>
      <c r="DC5" s="140">
        <f>'FICHA AMALDIÇOADA'!$E$77&amp;""</f>
        <v/>
      </c>
      <c r="DD5" s="140">
        <f>'FICHA AMALDIÇOADA'!$E$78&amp;""</f>
        <v/>
      </c>
      <c r="DE5" s="140">
        <f>'FICHA AMALDIÇOADA'!$E$79&amp;""</f>
        <v/>
      </c>
      <c r="DF5" s="140">
        <f>'FICHA AMALDIÇOADA'!$E$80&amp;""</f>
        <v/>
      </c>
      <c r="DG5" s="140">
        <f>IF('FICHA AMALDIÇOADA'!$H$79=TRUE,1,0)</f>
        <v/>
      </c>
      <c r="DH5" s="140">
        <f>IF('FICHA AMALDIÇOADA'!$H$80=TRUE,1,0)</f>
        <v/>
      </c>
      <c r="DI5" s="140">
        <f>IF($CY5&lt;&gt;"",1,0)</f>
        <v/>
      </c>
      <c r="DJ5" s="140">
        <f>IFERROR(MATCH($CZ5,$Q$2:$Q$11,0),0)</f>
        <v/>
      </c>
      <c r="DK5" s="140">
        <f>IF($DJ5=0,0,INDEX($T$2:$T$11,$DJ5))</f>
        <v/>
      </c>
      <c r="DL5" s="140">
        <f>IFERROR(VLOOKUP($DA5,$AU$2:$BB$84,4,FALSE),0)</f>
        <v/>
      </c>
      <c r="DM5" s="140">
        <f>IFERROR(VLOOKUP($DB5,$AU$2:$BB$84,4,FALSE),0)</f>
        <v/>
      </c>
      <c r="DN5" s="140">
        <f>IFERROR(VLOOKUP($DC5,$AU$2:$BB$84,4,FALSE),0)</f>
        <v/>
      </c>
      <c r="DO5" s="140">
        <f>IFERROR(VLOOKUP($DD5,$AU$2:$BB$84,4,FALSE),0)</f>
        <v/>
      </c>
      <c r="DP5" s="140">
        <f>IF($DJ5=0,0,INDEX($U$2:$U$11,$DJ5))</f>
        <v/>
      </c>
      <c r="DQ5" s="140">
        <f>IFERROR(VLOOKUP($DA5,$AU$2:$BB$84,5,FALSE),0)</f>
        <v/>
      </c>
      <c r="DR5" s="140">
        <f>IFERROR(VLOOKUP($DB5,$AU$2:$BB$84,5,FALSE),0)</f>
        <v/>
      </c>
      <c r="DS5" s="140">
        <f>IFERROR(VLOOKUP($DC5,$AU$2:$BB$84,5,FALSE),0)</f>
        <v/>
      </c>
      <c r="DT5" s="140">
        <f>IFERROR(VLOOKUP($DD5,$AU$2:$BB$84,5,FALSE),0)</f>
        <v/>
      </c>
      <c r="DU5" s="140">
        <f>IFERROR(VLOOKUP($DA5,$AU$2:$BB$84,6,FALSE),0)+IFERROR(VLOOKUP($DB5,$AU$2:$BB$84,6,FALSE),0)+IFERROR(VLOOKUP($DC5,$AU$2:$BB$84,6,FALSE),0)+IFERROR(VLOOKUP($DD5,$AU$2:$BB$84,6,FALSE),0)</f>
        <v/>
      </c>
      <c r="DV5" s="140">
        <f>IF($DJ5=0,0,INDEX($V$2:$V$11,$DJ5))</f>
        <v/>
      </c>
      <c r="DW5" s="140">
        <f>IF($DJ5=0,0,INDEX($W$2:$W$11,$DJ5))</f>
        <v/>
      </c>
      <c r="DX5" s="140">
        <f>IF($DJ5=0,0,INDEX($Y$2:$Y$11,$DJ5))</f>
        <v/>
      </c>
      <c r="DY5" s="140">
        <f>IF($DG5=1,0,IFERROR(VLOOKUP($DE5,$BD$2:$BH$24,3,FALSE),0))</f>
        <v/>
      </c>
      <c r="DZ5" s="140">
        <f>IF($DH5=1,0,IFERROR(VLOOKUP($DF5,$BD$2:$BH$24,3,FALSE),0))</f>
        <v/>
      </c>
      <c r="EA5" s="140">
        <f>IFERROR(VLOOKUP($DE5,$BD$2:$BH$24,2,FALSE),"")</f>
        <v/>
      </c>
      <c r="EB5" s="140">
        <f>IFERROR(VLOOKUP($DF5,$BD$2:$BH$24,2,FALSE),"")</f>
        <v/>
      </c>
      <c r="EC5" s="140">
        <f>COUNTIF($DK5:$DO5,1)</f>
        <v/>
      </c>
      <c r="ED5" s="140">
        <f>COUNTIF($DK5:$DO5,2)</f>
        <v/>
      </c>
      <c r="EE5" s="140">
        <f>COUNTIF($DK5:$DO5,3)</f>
        <v/>
      </c>
      <c r="EF5" s="140">
        <f>COUNTIF($DK5:$DO5,4)</f>
        <v/>
      </c>
      <c r="EG5" s="140">
        <f>COUNTIF($DK5:$DO5,5)</f>
        <v/>
      </c>
      <c r="EH5" s="140">
        <f>COUNTIF($DK5:$DO5,6)</f>
        <v/>
      </c>
      <c r="EI5" s="140">
        <f>COUNTIF($DY5:$DZ5,1)</f>
        <v/>
      </c>
      <c r="EJ5" s="140">
        <f>COUNTIF($DY5:$DZ5,2)+$DV5</f>
        <v/>
      </c>
      <c r="EK5" s="140">
        <f>COUNTIF($DA5:$DD5,"?*")</f>
        <v/>
      </c>
      <c r="EL5" s="140">
        <f>COUNTIF($DE5:$DF5,"?*")+$DV5</f>
        <v/>
      </c>
      <c r="EM5" s="140">
        <f>SUMPRODUCT($EC5:$EH5,INDEX($I$2:$N$8,$CX5,0))</f>
        <v/>
      </c>
      <c r="EN5" s="140">
        <f>$EI5*CEILING($CX5/2,1)+$EJ5*$CX5</f>
        <v/>
      </c>
      <c r="EO5" s="140">
        <f>MIN(2*$CX5,$EN5)</f>
        <v/>
      </c>
      <c r="EP5" s="140">
        <f>MIN($EO5,$EM5)</f>
        <v/>
      </c>
      <c r="EQ5" s="140">
        <f>$EO5-$EP5</f>
        <v/>
      </c>
      <c r="ER5" s="140">
        <f>3*$CX5-$EM5+$EP5</f>
        <v/>
      </c>
      <c r="ES5" s="140">
        <f>MAX(0,$ER5)+$CV5*$CX5</f>
        <v/>
      </c>
      <c r="ET5" s="140">
        <f>(IF(COUNTIF($DA5:$DD5,"Salto")&gt;0,1,0)+IF(COUNTIF($DA5:$DD5,"Queima")&gt;0,1,0))*FLOOR($ES5/2,1)</f>
        <v/>
      </c>
      <c r="EU5" s="140">
        <f>MAX(0,3-SUMPRODUCT($EC5:$EH5,$I$2:$N$2)+MIN(2,$EI5*1+$EJ5*1,SUMPRODUCT($EC5:$EH5,$I$2:$N$2)))+$CV5*1</f>
        <v/>
      </c>
      <c r="EV5" s="140">
        <f>MAX(0,6-SUMPRODUCT($EC5:$EH5,$I$3:$N$3)+MIN(4,$EI5*1+$EJ5*2,SUMPRODUCT($EC5:$EH5,$I$3:$N$3)))+$CV5*2</f>
        <v/>
      </c>
      <c r="EW5" s="140">
        <f>MAX(0,9-SUMPRODUCT($EC5:$EH5,$I$4:$N$4)+MIN(6,$EI5*2+$EJ5*3,SUMPRODUCT($EC5:$EH5,$I$4:$N$4)))+$CV5*3</f>
        <v/>
      </c>
      <c r="EX5" s="140">
        <f>MAX(0,12-SUMPRODUCT($EC5:$EH5,$I$5:$N$5)+MIN(8,$EI5*2+$EJ5*4,SUMPRODUCT($EC5:$EH5,$I$5:$N$5)))+$CV5*4</f>
        <v/>
      </c>
      <c r="EY5" s="140">
        <f>MAX(0,15-SUMPRODUCT($EC5:$EH5,$I$6:$N$6)+MIN(10,$EI5*3+$EJ5*5,SUMPRODUCT($EC5:$EH5,$I$6:$N$6)))+$CV5*5</f>
        <v/>
      </c>
      <c r="EZ5" s="140">
        <f>MAX(0,18-SUMPRODUCT($EC5:$EH5,$I$7:$N$7)+MIN(12,$EI5*3+$EJ5*6,SUMPRODUCT($EC5:$EH5,$I$7:$N$7)))+$CV5*6</f>
        <v/>
      </c>
      <c r="FA5" s="140">
        <f>MAX(0,21-SUMPRODUCT($EC5:$EH5,$I$8:$N$8)+MIN(14,$EI5*4+$EJ5*7,SUMPRODUCT($EC5:$EH5,$I$8:$N$8)))+$CV5*7</f>
        <v/>
      </c>
      <c r="FB5" s="140">
        <f>IF($DW5=2,3*$EU5&amp;" de vida temp.",IF($DW5=3,"sem dano",IF($EU5=0,IF($DW5=1,"sem cura","sem dano"),IF($DW5=1,"cura ","")&amp;$EU5&amp;"d8")))</f>
        <v/>
      </c>
      <c r="FC5" s="140">
        <f>IF($DW5=2,3*$EV5&amp;" de vida temp.",IF($DW5=3,"sem dano",IF($EV5=0,IF($DW5=1,"sem cura","sem dano"),IF($DW5=1,"cura ","")&amp;$EV5&amp;"d8")))</f>
        <v/>
      </c>
      <c r="FD5" s="140">
        <f>IF($DW5=2,3*$EW5&amp;" de vida temp.",IF($DW5=3,"sem dano",IF($EW5=0,IF($DW5=1,"sem cura","sem dano"),IF($DW5=1,"cura ","")&amp;$EW5&amp;"d8")))</f>
        <v/>
      </c>
      <c r="FE5" s="140">
        <f>IF($DW5=2,3*$EX5&amp;" de vida temp.",IF($DW5=3,"sem dano",IF($EX5=0,IF($DW5=1,"sem cura","sem dano"),IF($DW5=1,"cura ","")&amp;$EX5&amp;"d8")))</f>
        <v/>
      </c>
      <c r="FF5" s="140">
        <f>IF($DW5=2,3*$EY5&amp;" de vida temp.",IF($DW5=3,"sem dano",IF($EY5=0,IF($DW5=1,"sem cura","sem dano"),IF($DW5=1,"cura ","")&amp;$EY5&amp;"d8")))</f>
        <v/>
      </c>
      <c r="FG5" s="140">
        <f>IF($DW5=2,3*$EZ5&amp;" de vida temp.",IF($DW5=3,"sem dano",IF($EZ5=0,IF($DW5=1,"sem cura","sem dano"),IF($DW5=1,"cura ","")&amp;$EZ5&amp;"d8")))</f>
        <v/>
      </c>
      <c r="FH5" s="140">
        <f>IF($DW5=2,3*$FA5&amp;" de vida temp.",IF($DW5=3,"sem dano",IF($FA5=0,IF($DW5=1,"sem cura","sem dano"),IF($DW5=1,"cura ","")&amp;$FA5&amp;"d8")))</f>
        <v/>
      </c>
      <c r="FI5" s="140">
        <f>IF($DI5=0,"",TEXTJOIN(" · ",TRUE,IF(AND($CV5=1,$CW5&gt;$GH$9),"O nível "&amp;$GH$2&amp;" dá "&amp;$GH$9&amp;" Liberação Máxima",""),IF($CX5&gt;$GH$4,"Classe "&amp;$CX5&amp;": o nível "&amp;$GH$2&amp;" libera até a "&amp;$GH$4,""),IF($DP5=1,"Família Fechada: a Forma "&amp;$CZ5,""),IF($DQ5=1,"Família Fechada: "&amp;$DA5,""),IF($DR5=1,"Família Fechada: "&amp;$DB5,""),IF($DS5=1,"Família Fechada: "&amp;$DC5,""),IF($DT5=1,"Família Fechada: "&amp;$DD5,""),IF($EK5&gt;INDEX($O$2:$O$8,$CX5),$EK5&amp;" Melhorias: a Classe "&amp;$CX5&amp;" aceita "&amp;INDEX($O$2:$O$8,$CX5),""),IF($EL5&gt;2,$EL5&amp;" Restrições"&amp;IF($DV5=1,", contando a que a Forma "&amp;$CZ5&amp;" já traz","")&amp;": o limite é 2",""),IF($ER5&lt;0,"Orçamento estourado: faltam "&amp;(-$ER5)&amp;IF($ER5&lt;-1," pontos"," ponto"),""),IF(IFERROR(VLOOKUP($DE5,$BD$2:$BH$24,4,FALSE),0)+IFERROR(VLOOKUP($DF5,$BD$2:$BH$24,4,FALSE),0)&gt;1,$EA5&amp;" e "&amp;$EB5&amp;" são as duas de frequência",""),IF(AND((COUNTIF($DA5:$DD5,"Rápido")+COUNTIF($EA5:$EB5,"Rápido"))&gt;0,(COUNTIF($DA5:$DD5,"Reação")+COUNTIF($EA5:$EB5,"Reação"))&gt;0),"Rápido não entra com Reação",""),IF(AND((COUNTIF($DA5:$DD5,"Rápido")+COUNTIF($EA5:$EB5,"Rápido"))&gt;0,(COUNTIF($DA5:$DD5,"Atrasar")+COUNTIF($EA5:$EB5,"Atrasar"))&gt;0),"Rápido não entra com Atrasar",""),IF(AND((COUNTIF($DA5:$DD5,"Reação")+COUNTIF($EA5:$EB5,"Reação"))&gt;0,(COUNTIF($DA5:$DD5,"Atrasar")+COUNTIF($EA5:$EB5,"Atrasar"))&gt;0),"Reação não entra com Atrasar",""),IF(AND((COUNTIF($DA5:$DD5,"Reação")+COUNTIF($EA5:$EB5,"Reação"))&gt;0,(COUNTIF($DA5:$DD5,"Parado")+COUNTIF($EA5:$EB5,"Parado"))&gt;0),"Reação não entra com Parado",""),IF(AND(COUNTIF($EA5:$EB5,"Corpo a Corpo")&gt;0,$DV5=0,OR($CZ5="Cone",$CZ5="Linha")),"Corpo a Corpo não entra em "&amp;$CZ5,""),IF(AND(COUNTIF($EA5:$EB5,"Corpo a Corpo")&gt;0,$DV5=1),"A Forma "&amp;$CZ5&amp;" já traz o Corpo a Corpo",""),IF(AND(COUNTIF($EA5:$EB5,"Tudo ou Nada")&gt;0,$DX5=0),"Tudo ou Nada só entra em feitiço de Teste de Resistência",""),IF(AND(COUNTIF($DA5:$DD5,"Inescapável")&gt;0,OR($EK5&gt;1,$EL5&gt;0)),"Inescapável não aceita outra peça",""),IF(AND($CV5=1,$CX5&lt;3),"Liberação Máxima é de Classe 3 ou mais",""),IF(AND($CV5=1,OR($DW5=1,$DW5=2)),"Liberação Máxima não serve para cura",""),IF(AND($CV5=1,COUNTIF($DA5:$DD5,"Inescapável")+COUNTIF($DA5:$DD5,"Toca a Alma")&gt;0),"Esta peça não entra numa Liberação Máxima",""),IF($ES5+$ET5&gt;4*$CX5,($ES5+$ET5)&amp;" dados somando alvos e repetições: o teto da Classe "&amp;$CX5&amp;" é "&amp;4*$CX5,"")))</f>
        <v/>
      </c>
      <c r="FJ5" s="140">
        <f>IF($FI5="",0,(LEN($FI5)-LEN(SUBSTITUTE($FI5," · ","")))/3+1)</f>
        <v/>
      </c>
      <c r="FK5" s="140">
        <f>IF($DI5=0,"",TEXTJOIN(" · ",TRUE,IF($EN5&gt;2*$CX5,"A devolução parou no teto de "&amp;2*$CX5,""),IF($EQ5&gt;0,"Devolução perdida: "&amp;$EQ5&amp;IF($EQ5&gt;1," pontos"," ponto")&amp;" sem peça para pagar",""),IF(AND($DU5&gt;0,$ES5=0),"Controle sem dano: uma rodada a mais e CD +2",""),IF(AND($DU5&gt;0,$ES5&gt;0,$ES5&lt;=$CX5),"Controle com um quarto do teto: uma rodada a mais","")))</f>
        <v/>
      </c>
      <c r="FL5" s="140">
        <f>IF($FK5="",0,(LEN($FK5)-LEN(SUBSTITUTE($FK5," · ","")))/3+1)</f>
        <v/>
      </c>
      <c r="FM5" s="140">
        <f>IF($DI5=0,IF($EK5+$EL5-$DV5&gt;0,"dê um nome",""),IF($FJ5&gt;0,"⚠ "&amp;$FJ5&amp;IF($FJ5&gt;1," erros"," erro"),IF($FL5&gt;0,"! "&amp;$FL5&amp;IF($FL5&gt;1," avisos"," aviso"),"na regra")))</f>
        <v/>
      </c>
      <c r="FN5" s="140">
        <f>IF($DI5=0,"",IF($FJ5+$FL5=0,"Dentro das regras que a ficha confere",$FI5&amp;IF(AND($FJ5&gt;0,$FL5&gt;0)," · ","")&amp;$FK5))</f>
        <v/>
      </c>
      <c r="FO5" s="140">
        <f>IF($DI5=0,"",IF($CV5=1,CEILING(4.5*$CX5,1),3*$CX5)&amp;" PE")</f>
        <v/>
      </c>
      <c r="FP5" s="140">
        <f>IF($DI5=0,"",IF($CV5=1,"Rodada inteira",IF(COUNTIF($EA5:$EB5,"Atrasar")&gt;0,IF(COUNTIF($EA5:$EB5,"Carregar")&gt;0,"Rodada +1 turno","Rodada inteira"),IF(COUNTIF($DA5:$DD5,"Rápido")&gt;0,"Bônus",IF(COUNTIF($DA5:$DD5,"Reação")&gt;0,"Reação","Padrão"))&amp;IF(COUNTIF($EA5:$EB5,"Carregar")&gt;0," +1 turno",""))))</f>
        <v/>
      </c>
      <c r="FQ5" s="140">
        <f>IF(OR($DI5=0,$DJ5=0),"",IF(COUNTIF($DA5:$DD5,"Inescapável")&gt;0,"Automático",IF(COUNTIF($DA5:$DD5,"Certeiro")&gt;0,"TR para metade",INDEX($X$2:$X$11,$DJ5))))</f>
        <v/>
      </c>
      <c r="FR5" s="140">
        <f>IF(OR($DI5=0,$DJ5=0),"",IF(OR($DW5&gt;=2,$ES5=0),INDEX($FB5:$FH5,1,$CX5),INDEX($FB5:$FH5,1,$CX5)&amp;" = "&amp;FLOOR($ES5*4.5,1)&amp;IF($ET5&gt;0," · +"&amp;$ET5&amp;"d8","")))</f>
        <v/>
      </c>
      <c r="FS5" s="140">
        <f>COUNTIF($DA5:$DD5,"Longe")+3*COUNTIF($DA5:$DD5,"Muito Longe")</f>
        <v/>
      </c>
      <c r="FT5" s="140">
        <f>COUNTIF($DA5:$DD5,"Maior")+3*COUNTIF($DA5:$DD5,"Muito Maior")</f>
        <v/>
      </c>
      <c r="FU5" s="140">
        <f>IF($DJ5=0,0,CHOOSE(1+INDEX($Z$2:$Z$11,$DJ5),0,$FS5,$FT5,$FS5+$FT5))</f>
        <v/>
      </c>
      <c r="FV5" s="140">
        <f>IF($DJ5=0,0,CHOOSE(1+INDEX($AA$2:$AA$11,$DJ5),0,$FS5,$FT5,$FS5+$FT5))</f>
        <v/>
      </c>
      <c r="FW5" s="140">
        <f>IF(OR($DI5=0,$DJ5=0),"",INDEX($AH$2:$AM$31,($DJ5-1)*3+IF($CX5&gt;=6,3,2),1+MIN(5,$FU5))&amp;INDEX($AN$2:$AS$31,($DJ5-1)*3+IF($CX5&gt;=6,3,2),1+MIN(5,$FV5))&amp;IF(INDEX($AB$2:$AB$11,$DJ5)=1,IF(COUNTIF($DA5:$DD5,"Mais Um")&gt;0," · +"&amp;COUNTIF($DA5:$DD5,"Mais Um")&amp;IF(COUNTIF($DA5:$DD5,"Mais Um")&gt;1," alvos"," alvo"),"")&amp;IF(COUNTIF($DA5:$DD5,"Rajada")&gt;0," · "&amp;($CX5+1)&amp;" tiros",""),""))</f>
        <v/>
      </c>
      <c r="FX5" s="140">
        <f>IF($DI5=0,"",3*$CX5&amp;" − "&amp;$EM5&amp;" + "&amp;$EP5&amp;IF($CV5=1," + "&amp;$CX5,"")&amp;" = "&amp;$ES5&amp;"d8 · teto "&amp;4*$CX5&amp;IF($DV5=1," · a Forma devolve "&amp;$CX5,"")&amp;IF($EQ5&gt;0," · perde "&amp;$EQ5,""))</f>
        <v/>
      </c>
      <c r="FY5" s="140">
        <f>IF($DI5=0,"",IF($CX5&gt;=$GH$4,"Já está na maior Classe que o nível liberou",TEXTJOIN(" · ",TRUE,IF(AND(2&gt;$CX5,2&lt;=$GH$4),"2 → "&amp;$FC5&amp;", "&amp;IF($CV5=1,9,6)&amp;" PE",""),IF(AND(3&gt;$CX5,3&lt;=$GH$4),"3 → "&amp;$FD5&amp;", "&amp;IF($CV5=1,14,9)&amp;" PE",""),IF(AND(4&gt;$CX5,4&lt;=$GH$4),"4 → "&amp;$FE5&amp;", "&amp;IF($CV5=1,18,12)&amp;" PE",""),IF(AND(5&gt;$CX5,5&lt;=$GH$4),"5 → "&amp;$FF5&amp;", "&amp;IF($CV5=1,23,15)&amp;" PE",""),IF(AND(6&gt;$CX5,6&lt;=$GH$4),"6 → "&amp;$FG5&amp;", "&amp;IF($CV5=1,27,18)&amp;" PE",""),IF(AND(7&gt;$CX5,7&lt;=$GH$4),"7 → "&amp;$FH5&amp;", "&amp;IF($CV5=1,32,21)&amp;" PE",""))))</f>
        <v/>
      </c>
      <c r="FZ5" s="140">
        <f>IF(OR($DI5=0,$DL5=0),"","−"&amp;INDEX($I$2:$N$8,$CX5,$DL5)&amp;" · "&amp;CHOOSE($DL5,"Leve","Média","Pesada","Leve · Livre","Média · Livre","Pesada · Livre"))</f>
        <v/>
      </c>
      <c r="GA5" s="140">
        <f>IF(OR($DI5=0,$DM5=0),"","−"&amp;INDEX($I$2:$N$8,$CX5,$DM5)&amp;" · "&amp;CHOOSE($DM5,"Leve","Média","Pesada","Leve · Livre","Média · Livre","Pesada · Livre"))</f>
        <v/>
      </c>
      <c r="GB5" s="140">
        <f>IF(OR($DI5=0,$DN5=0),"","−"&amp;INDEX($I$2:$N$8,$CX5,$DN5)&amp;" · "&amp;CHOOSE($DN5,"Leve","Média","Pesada","Leve · Livre","Média · Livre","Pesada · Livre"))</f>
        <v/>
      </c>
      <c r="GC5" s="140">
        <f>IF(OR($DI5=0,$DO5=0),"","−"&amp;INDEX($I$2:$N$8,$CX5,$DO5)&amp;" · "&amp;CHOOSE($DO5,"Leve","Média","Pesada","Leve · Livre","Média · Livre","Pesada · Livre"))</f>
        <v/>
      </c>
      <c r="GD5" s="140">
        <f>IF(OR($DI5=0,$DE5=""),"",IF($DG5=1,"Selo","+"&amp;IF($DY5=1,CEILING($CX5/2,1),$CX5)))</f>
        <v/>
      </c>
      <c r="GE5" s="140">
        <f>IF(OR($DI5=0,$DF5=""),"",IF($DH5=1,"Selo","+"&amp;IF($DZ5=1,CEILING($CX5/2,1),$CX5)))</f>
        <v/>
      </c>
      <c r="GG5" s="114" t="inlineStr">
        <is>
          <t>marcos</t>
        </is>
      </c>
      <c r="GH5" s="140">
        <f>N(DADOS!$AK$5)</f>
        <v/>
      </c>
      <c r="GJ5" s="114" t="inlineStr">
        <is>
          <t>Passiva 4</t>
        </is>
      </c>
      <c r="GK5" s="140">
        <f>'FICHA AMALDIÇOADA'!$D$381&amp;""</f>
        <v/>
      </c>
      <c r="GL5" s="140">
        <f>IFERROR(VLOOKUP($GK5,$BJ$2:$BL$20,2,FALSE),0)</f>
        <v/>
      </c>
      <c r="GM5" s="140">
        <f>IFERROR(VLOOKUP($GL5,$BN$2:$BO$4,2,FALSE),0)</f>
        <v/>
      </c>
      <c r="GN5" s="140">
        <f>IFERROR(VLOOKUP($GK5,$BJ$2:$BL$20,3,FALSE),"")</f>
        <v/>
      </c>
      <c r="GO5" s="140">
        <f>IF($GL5=0,"",IF($GM5&gt;$GH$2,"⚠ nível "&amp;$GM5,"CP "&amp;$GL5))</f>
        <v/>
      </c>
      <c r="GP5" s="140">
        <f>IF($GL5=0,"",$GL5&amp;" esp.")</f>
        <v/>
      </c>
      <c r="GR5" s="114" t="inlineStr">
        <is>
          <t>Aptidão 4</t>
        </is>
      </c>
      <c r="GS5" s="140">
        <f>'FICHA AMALDIÇOADA'!$D$441&amp;""</f>
        <v/>
      </c>
      <c r="GT5" s="140">
        <f>IF($GS5="","","Requisito: "&amp;IFERROR(VLOOKUP($GS5,$BQ$2:$BV$17,2,FALSE),""))</f>
        <v/>
      </c>
      <c r="GU5" s="140">
        <f>IF($GS5="","",IFERROR(IF(ISNUMBER(VLOOKUP($GS5,$BQ$2:$BV$17,3,FALSE)),"CP "&amp;VLOOKUP($GS5,$BQ$2:$BV$17,3,FALSE),VLOOKUP($GS5,$BQ$2:$BV$17,3,FALSE)),""))</f>
        <v/>
      </c>
      <c r="GV5" s="140">
        <f>IF($GS5="","",IFERROR(VLOOKUP($GS5,$BQ$2:$BV$17,4,FALSE),""))</f>
        <v/>
      </c>
      <c r="GW5" s="140">
        <f>IF($GS5="","",IFERROR(VLOOKUP($GS5,$BQ$2:$BV$17,5,FALSE),""))</f>
        <v/>
      </c>
      <c r="GY5" s="114" t="inlineStr">
        <is>
          <t>Classe 0 · 4</t>
        </is>
      </c>
      <c r="GZ5" s="140">
        <f>'FICHA AMALDIÇOADA'!$F$307&amp;""</f>
        <v/>
      </c>
      <c r="HA5" s="140">
        <f>'FICHA AMALDIÇOADA'!$J$307&amp;""</f>
        <v/>
      </c>
      <c r="HB5" s="140">
        <f>'FICHA AMALDIÇOADA'!$L$307&amp;""</f>
        <v/>
      </c>
      <c r="HC5" s="140">
        <f>IFERROR(MATCH($GZ5,$Q$2:$Q$11,0),0)</f>
        <v/>
      </c>
      <c r="HD5" s="140">
        <f>$GH$11-IF($HA5&lt;&gt;"",1,0)+IF(AND($HA5&lt;&gt;"",$HB5&lt;&gt;""),1,0)</f>
        <v/>
      </c>
      <c r="HE5" s="140">
        <f>IF(4&gt;$GH$10,"nível 11",IF($HC5=0,"",IF(INDEX($W$2:$W$11,$HC5)&gt;=2,"—",$HD5&amp;"d8 = "&amp;FLOOR($HD5*4.5,1))))</f>
        <v/>
      </c>
      <c r="HF5" s="140">
        <f>IF(OR(4&gt;$GH$10,$HC5=0),"",INDEX($AH$2:$AM$31,($HC5-1)*3+1,1+IF(OR(AND($HA5="Longe",INDEX($Z$2:$Z$11,$HC5)&lt;&gt;2),AND($HA5="Maior",INDEX($Z$2:$Z$11,$HC5)&gt;=2)),1,0))&amp;INDEX($AN$2:$AS$31,($HC5-1)*3+1,1+IF(AND($HA5="Longe",INDEX($AA$2:$AA$11,$HC5)=1),1,0)))</f>
        <v/>
      </c>
      <c r="HH5" s="114" t="inlineStr">
        <is>
          <t>Classe 0</t>
        </is>
      </c>
      <c r="HI5" s="140">
        <f>ADDRESS(ROW('FICHA AMALDIÇOADA'!G7),COLUMN('FICHA AMALDIÇOADA'!G7),4)</f>
        <v/>
      </c>
      <c r="HJ5" s="140">
        <f>ADDRESS(ROW('FICHA AMALDIÇOADA'!D301),COLUMN('FICHA AMALDIÇOADA'!D301),4)</f>
        <v/>
      </c>
    </row>
    <row r="6">
      <c r="A6" s="114" t="inlineStr">
        <is>
          <t>Auxiliares</t>
        </is>
      </c>
      <c r="B6" s="140">
        <f>'FICHA AMALDIÇOADA'!$J$31&amp;""</f>
        <v/>
      </c>
      <c r="C6" s="140">
        <f>IF($B6="Livre",1,0)</f>
        <v/>
      </c>
      <c r="D6" s="140">
        <f>IF($B6="Fechada",1,0)</f>
        <v/>
      </c>
      <c r="H6" s="140" t="n">
        <v>5</v>
      </c>
      <c r="I6" s="140" t="n">
        <v>3</v>
      </c>
      <c r="J6" s="140" t="n">
        <v>5</v>
      </c>
      <c r="K6" s="140" t="n">
        <v>8</v>
      </c>
      <c r="L6" s="140" t="n">
        <v>1</v>
      </c>
      <c r="M6" s="140" t="n">
        <v>2</v>
      </c>
      <c r="N6" s="140" t="n">
        <v>5</v>
      </c>
      <c r="O6" s="140" t="n">
        <v>4</v>
      </c>
      <c r="Q6" s="114" t="inlineStr">
        <is>
          <t>Cone</t>
        </is>
      </c>
      <c r="R6" s="114" t="inlineStr">
        <is>
          <t>Área</t>
        </is>
      </c>
      <c r="S6" s="140" t="n">
        <v>1</v>
      </c>
      <c r="T6" s="140">
        <f>IF($S6=0,0,$S6+3*IFERROR(VLOOKUP($R6,$A$2:$D$10,3,FALSE),0))</f>
        <v/>
      </c>
      <c r="U6" s="140">
        <f>IFERROR(VLOOKUP($R6,$A$2:$D$10,4,FALSE),0)</f>
        <v/>
      </c>
      <c r="V6" s="140" t="n">
        <v>0</v>
      </c>
      <c r="W6" s="140" t="n">
        <v>0</v>
      </c>
      <c r="X6" s="114" t="inlineStr">
        <is>
          <t>TR, metade</t>
        </is>
      </c>
      <c r="Y6" s="140" t="n">
        <v>1</v>
      </c>
      <c r="Z6" s="140" t="n">
        <v>3</v>
      </c>
      <c r="AA6" s="140" t="n">
        <v>0</v>
      </c>
      <c r="AB6" s="140" t="n">
        <v>0</v>
      </c>
      <c r="AC6" s="140" t="n">
        <v>1</v>
      </c>
      <c r="AD6" s="140">
        <f>IF($U6=1,"",$Q6)</f>
        <v/>
      </c>
      <c r="AE6" s="140">
        <f>IF(AND($AC6=1,$U6=0),$Q6,"")</f>
        <v/>
      </c>
      <c r="AG6" s="114" t="inlineStr">
        <is>
          <t>Toque · classes 1 a 5</t>
        </is>
      </c>
      <c r="AH6" s="114" t="inlineStr">
        <is>
          <t>1,5 m, um alvo</t>
        </is>
      </c>
      <c r="AI6" s="114" t="inlineStr">
        <is>
          <t>1,5 m, um alvo</t>
        </is>
      </c>
      <c r="AJ6" s="114" t="inlineStr">
        <is>
          <t>1,5 m, um alvo</t>
        </is>
      </c>
      <c r="AK6" s="114" t="inlineStr">
        <is>
          <t>1,5 m, um alvo</t>
        </is>
      </c>
      <c r="AL6" s="114" t="inlineStr">
        <is>
          <t>1,5 m, um alvo</t>
        </is>
      </c>
      <c r="AM6" s="114" t="inlineStr">
        <is>
          <t>1,5 m, um alvo</t>
        </is>
      </c>
      <c r="AN6" s="114" t="inlineStr"/>
      <c r="AO6" s="114" t="inlineStr"/>
      <c r="AP6" s="114" t="inlineStr"/>
      <c r="AQ6" s="114" t="inlineStr"/>
      <c r="AR6" s="114" t="inlineStr"/>
      <c r="AS6" s="114" t="inlineStr"/>
      <c r="AU6" s="114" t="inlineStr">
        <is>
          <t>Empurrão</t>
        </is>
      </c>
      <c r="AV6" s="114" t="inlineStr">
        <is>
          <t>Alcance</t>
        </is>
      </c>
      <c r="AW6" s="140" t="n">
        <v>1</v>
      </c>
      <c r="AX6" s="140">
        <f>$AW6+3*IFERROR(VLOOKUP($AV6,$A$2:$D$10,3,FALSE),0)</f>
        <v/>
      </c>
      <c r="AY6" s="140">
        <f>IFERROR(VLOOKUP($AV6,$A$2:$D$10,4,FALSE),0)</f>
        <v/>
      </c>
      <c r="AZ6" s="140" t="n">
        <v>0</v>
      </c>
      <c r="BA6" s="140">
        <f>IF($AY6=1,"",$AU6)</f>
        <v/>
      </c>
      <c r="BB6" s="140">
        <f>IF(AND($AW6=1,$AY6=0),$AU6,"")</f>
        <v/>
      </c>
      <c r="BD6" s="114" t="inlineStr">
        <is>
          <t>Sangra</t>
        </is>
      </c>
      <c r="BE6" s="114" t="inlineStr">
        <is>
          <t>Sangra</t>
        </is>
      </c>
      <c r="BF6" s="140" t="n">
        <v>2</v>
      </c>
      <c r="BG6" s="140" t="n">
        <v>0</v>
      </c>
      <c r="BH6" s="114" t="inlineStr"/>
      <c r="BJ6" s="114" t="inlineStr">
        <is>
          <t>Farejador</t>
        </is>
      </c>
      <c r="BK6" s="140" t="n">
        <v>1</v>
      </c>
      <c r="BL6" s="114" t="inlineStr">
        <is>
          <t>Você sente se alguém conjurou num lugar nas últimas 24 horas, e de que Classe.</t>
        </is>
      </c>
      <c r="BQ6" s="114" t="inlineStr">
        <is>
          <t>Circulação</t>
        </is>
      </c>
      <c r="BR6" s="114" t="inlineStr">
        <is>
          <t>Energia Reversa, refino 8</t>
        </is>
      </c>
      <c r="BS6" s="140" t="n">
        <v>3</v>
      </c>
      <c r="BT6" s="114" t="inlineStr">
        <is>
          <t>—</t>
        </is>
      </c>
      <c r="BU6" s="114" t="inlineStr">
        <is>
          <t>O teto por uso da sua Energia Reversa sobe para 1,5 × a sua maior Classe de PE, arredondando para baixo. Você também pode usá-la como Ação Bônus. Usada assim, os dados de cura são d4 em vez de d8. E você recompõe o que foi arrancado — braço, olho, o que a mesa tiver tirado de você. Isso gasta o teto inteiro do uso, e naquele uso você não cura vida nenhuma.</t>
        </is>
      </c>
      <c r="BV6" s="114" t="inlineStr">
        <is>
          <t>Circulação</t>
        </is>
      </c>
      <c r="BX6" s="140" t="n">
        <v>25</v>
      </c>
      <c r="BY6" s="140" t="n">
        <v>5</v>
      </c>
      <c r="BZ6" s="140" t="n">
        <v>6</v>
      </c>
      <c r="CD6" s="140" t="n">
        <v>7</v>
      </c>
      <c r="CU6" s="114" t="inlineStr">
        <is>
          <t>Feitiço 5</t>
        </is>
      </c>
      <c r="CV6" s="140" t="n">
        <v>0</v>
      </c>
      <c r="CW6" s="140" t="n">
        <v>5</v>
      </c>
      <c r="CX6" s="140">
        <f>MAX(1,MIN(7,N('FICHA AMALDIÇOADA'!$J$66)))</f>
        <v/>
      </c>
      <c r="CY6" s="140">
        <f>'FICHA AMALDIÇOADA'!$K$66&amp;""</f>
        <v/>
      </c>
      <c r="CZ6" s="140">
        <f>'FICHA AMALDIÇOADA'!$J$73&amp;""</f>
        <v/>
      </c>
      <c r="DA6" s="140">
        <f>'FICHA AMALDIÇOADA'!$K$75&amp;""</f>
        <v/>
      </c>
      <c r="DB6" s="140">
        <f>'FICHA AMALDIÇOADA'!$K$76&amp;""</f>
        <v/>
      </c>
      <c r="DC6" s="140">
        <f>'FICHA AMALDIÇOADA'!$K$77&amp;""</f>
        <v/>
      </c>
      <c r="DD6" s="140">
        <f>'FICHA AMALDIÇOADA'!$K$78&amp;""</f>
        <v/>
      </c>
      <c r="DE6" s="140">
        <f>'FICHA AMALDIÇOADA'!$K$79&amp;""</f>
        <v/>
      </c>
      <c r="DF6" s="140">
        <f>'FICHA AMALDIÇOADA'!$K$80&amp;""</f>
        <v/>
      </c>
      <c r="DG6" s="140">
        <f>IF('FICHA AMALDIÇOADA'!$N$79=TRUE,1,0)</f>
        <v/>
      </c>
      <c r="DH6" s="140">
        <f>IF('FICHA AMALDIÇOADA'!$N$80=TRUE,1,0)</f>
        <v/>
      </c>
      <c r="DI6" s="140">
        <f>IF($CY6&lt;&gt;"",1,0)</f>
        <v/>
      </c>
      <c r="DJ6" s="140">
        <f>IFERROR(MATCH($CZ6,$Q$2:$Q$11,0),0)</f>
        <v/>
      </c>
      <c r="DK6" s="140">
        <f>IF($DJ6=0,0,INDEX($T$2:$T$11,$DJ6))</f>
        <v/>
      </c>
      <c r="DL6" s="140">
        <f>IFERROR(VLOOKUP($DA6,$AU$2:$BB$84,4,FALSE),0)</f>
        <v/>
      </c>
      <c r="DM6" s="140">
        <f>IFERROR(VLOOKUP($DB6,$AU$2:$BB$84,4,FALSE),0)</f>
        <v/>
      </c>
      <c r="DN6" s="140">
        <f>IFERROR(VLOOKUP($DC6,$AU$2:$BB$84,4,FALSE),0)</f>
        <v/>
      </c>
      <c r="DO6" s="140">
        <f>IFERROR(VLOOKUP($DD6,$AU$2:$BB$84,4,FALSE),0)</f>
        <v/>
      </c>
      <c r="DP6" s="140">
        <f>IF($DJ6=0,0,INDEX($U$2:$U$11,$DJ6))</f>
        <v/>
      </c>
      <c r="DQ6" s="140">
        <f>IFERROR(VLOOKUP($DA6,$AU$2:$BB$84,5,FALSE),0)</f>
        <v/>
      </c>
      <c r="DR6" s="140">
        <f>IFERROR(VLOOKUP($DB6,$AU$2:$BB$84,5,FALSE),0)</f>
        <v/>
      </c>
      <c r="DS6" s="140">
        <f>IFERROR(VLOOKUP($DC6,$AU$2:$BB$84,5,FALSE),0)</f>
        <v/>
      </c>
      <c r="DT6" s="140">
        <f>IFERROR(VLOOKUP($DD6,$AU$2:$BB$84,5,FALSE),0)</f>
        <v/>
      </c>
      <c r="DU6" s="140">
        <f>IFERROR(VLOOKUP($DA6,$AU$2:$BB$84,6,FALSE),0)+IFERROR(VLOOKUP($DB6,$AU$2:$BB$84,6,FALSE),0)+IFERROR(VLOOKUP($DC6,$AU$2:$BB$84,6,FALSE),0)+IFERROR(VLOOKUP($DD6,$AU$2:$BB$84,6,FALSE),0)</f>
        <v/>
      </c>
      <c r="DV6" s="140">
        <f>IF($DJ6=0,0,INDEX($V$2:$V$11,$DJ6))</f>
        <v/>
      </c>
      <c r="DW6" s="140">
        <f>IF($DJ6=0,0,INDEX($W$2:$W$11,$DJ6))</f>
        <v/>
      </c>
      <c r="DX6" s="140">
        <f>IF($DJ6=0,0,INDEX($Y$2:$Y$11,$DJ6))</f>
        <v/>
      </c>
      <c r="DY6" s="140">
        <f>IF($DG6=1,0,IFERROR(VLOOKUP($DE6,$BD$2:$BH$24,3,FALSE),0))</f>
        <v/>
      </c>
      <c r="DZ6" s="140">
        <f>IF($DH6=1,0,IFERROR(VLOOKUP($DF6,$BD$2:$BH$24,3,FALSE),0))</f>
        <v/>
      </c>
      <c r="EA6" s="140">
        <f>IFERROR(VLOOKUP($DE6,$BD$2:$BH$24,2,FALSE),"")</f>
        <v/>
      </c>
      <c r="EB6" s="140">
        <f>IFERROR(VLOOKUP($DF6,$BD$2:$BH$24,2,FALSE),"")</f>
        <v/>
      </c>
      <c r="EC6" s="140">
        <f>COUNTIF($DK6:$DO6,1)</f>
        <v/>
      </c>
      <c r="ED6" s="140">
        <f>COUNTIF($DK6:$DO6,2)</f>
        <v/>
      </c>
      <c r="EE6" s="140">
        <f>COUNTIF($DK6:$DO6,3)</f>
        <v/>
      </c>
      <c r="EF6" s="140">
        <f>COUNTIF($DK6:$DO6,4)</f>
        <v/>
      </c>
      <c r="EG6" s="140">
        <f>COUNTIF($DK6:$DO6,5)</f>
        <v/>
      </c>
      <c r="EH6" s="140">
        <f>COUNTIF($DK6:$DO6,6)</f>
        <v/>
      </c>
      <c r="EI6" s="140">
        <f>COUNTIF($DY6:$DZ6,1)</f>
        <v/>
      </c>
      <c r="EJ6" s="140">
        <f>COUNTIF($DY6:$DZ6,2)+$DV6</f>
        <v/>
      </c>
      <c r="EK6" s="140">
        <f>COUNTIF($DA6:$DD6,"?*")</f>
        <v/>
      </c>
      <c r="EL6" s="140">
        <f>COUNTIF($DE6:$DF6,"?*")+$DV6</f>
        <v/>
      </c>
      <c r="EM6" s="140">
        <f>SUMPRODUCT($EC6:$EH6,INDEX($I$2:$N$8,$CX6,0))</f>
        <v/>
      </c>
      <c r="EN6" s="140">
        <f>$EI6*CEILING($CX6/2,1)+$EJ6*$CX6</f>
        <v/>
      </c>
      <c r="EO6" s="140">
        <f>MIN(2*$CX6,$EN6)</f>
        <v/>
      </c>
      <c r="EP6" s="140">
        <f>MIN($EO6,$EM6)</f>
        <v/>
      </c>
      <c r="EQ6" s="140">
        <f>$EO6-$EP6</f>
        <v/>
      </c>
      <c r="ER6" s="140">
        <f>3*$CX6-$EM6+$EP6</f>
        <v/>
      </c>
      <c r="ES6" s="140">
        <f>MAX(0,$ER6)+$CV6*$CX6</f>
        <v/>
      </c>
      <c r="ET6" s="140">
        <f>(IF(COUNTIF($DA6:$DD6,"Salto")&gt;0,1,0)+IF(COUNTIF($DA6:$DD6,"Queima")&gt;0,1,0))*FLOOR($ES6/2,1)</f>
        <v/>
      </c>
      <c r="EU6" s="140">
        <f>MAX(0,3-SUMPRODUCT($EC6:$EH6,$I$2:$N$2)+MIN(2,$EI6*1+$EJ6*1,SUMPRODUCT($EC6:$EH6,$I$2:$N$2)))+$CV6*1</f>
        <v/>
      </c>
      <c r="EV6" s="140">
        <f>MAX(0,6-SUMPRODUCT($EC6:$EH6,$I$3:$N$3)+MIN(4,$EI6*1+$EJ6*2,SUMPRODUCT($EC6:$EH6,$I$3:$N$3)))+$CV6*2</f>
        <v/>
      </c>
      <c r="EW6" s="140">
        <f>MAX(0,9-SUMPRODUCT($EC6:$EH6,$I$4:$N$4)+MIN(6,$EI6*2+$EJ6*3,SUMPRODUCT($EC6:$EH6,$I$4:$N$4)))+$CV6*3</f>
        <v/>
      </c>
      <c r="EX6" s="140">
        <f>MAX(0,12-SUMPRODUCT($EC6:$EH6,$I$5:$N$5)+MIN(8,$EI6*2+$EJ6*4,SUMPRODUCT($EC6:$EH6,$I$5:$N$5)))+$CV6*4</f>
        <v/>
      </c>
      <c r="EY6" s="140">
        <f>MAX(0,15-SUMPRODUCT($EC6:$EH6,$I$6:$N$6)+MIN(10,$EI6*3+$EJ6*5,SUMPRODUCT($EC6:$EH6,$I$6:$N$6)))+$CV6*5</f>
        <v/>
      </c>
      <c r="EZ6" s="140">
        <f>MAX(0,18-SUMPRODUCT($EC6:$EH6,$I$7:$N$7)+MIN(12,$EI6*3+$EJ6*6,SUMPRODUCT($EC6:$EH6,$I$7:$N$7)))+$CV6*6</f>
        <v/>
      </c>
      <c r="FA6" s="140">
        <f>MAX(0,21-SUMPRODUCT($EC6:$EH6,$I$8:$N$8)+MIN(14,$EI6*4+$EJ6*7,SUMPRODUCT($EC6:$EH6,$I$8:$N$8)))+$CV6*7</f>
        <v/>
      </c>
      <c r="FB6" s="140">
        <f>IF($DW6=2,3*$EU6&amp;" de vida temp.",IF($DW6=3,"sem dano",IF($EU6=0,IF($DW6=1,"sem cura","sem dano"),IF($DW6=1,"cura ","")&amp;$EU6&amp;"d8")))</f>
        <v/>
      </c>
      <c r="FC6" s="140">
        <f>IF($DW6=2,3*$EV6&amp;" de vida temp.",IF($DW6=3,"sem dano",IF($EV6=0,IF($DW6=1,"sem cura","sem dano"),IF($DW6=1,"cura ","")&amp;$EV6&amp;"d8")))</f>
        <v/>
      </c>
      <c r="FD6" s="140">
        <f>IF($DW6=2,3*$EW6&amp;" de vida temp.",IF($DW6=3,"sem dano",IF($EW6=0,IF($DW6=1,"sem cura","sem dano"),IF($DW6=1,"cura ","")&amp;$EW6&amp;"d8")))</f>
        <v/>
      </c>
      <c r="FE6" s="140">
        <f>IF($DW6=2,3*$EX6&amp;" de vida temp.",IF($DW6=3,"sem dano",IF($EX6=0,IF($DW6=1,"sem cura","sem dano"),IF($DW6=1,"cura ","")&amp;$EX6&amp;"d8")))</f>
        <v/>
      </c>
      <c r="FF6" s="140">
        <f>IF($DW6=2,3*$EY6&amp;" de vida temp.",IF($DW6=3,"sem dano",IF($EY6=0,IF($DW6=1,"sem cura","sem dano"),IF($DW6=1,"cura ","")&amp;$EY6&amp;"d8")))</f>
        <v/>
      </c>
      <c r="FG6" s="140">
        <f>IF($DW6=2,3*$EZ6&amp;" de vida temp.",IF($DW6=3,"sem dano",IF($EZ6=0,IF($DW6=1,"sem cura","sem dano"),IF($DW6=1,"cura ","")&amp;$EZ6&amp;"d8")))</f>
        <v/>
      </c>
      <c r="FH6" s="140">
        <f>IF($DW6=2,3*$FA6&amp;" de vida temp.",IF($DW6=3,"sem dano",IF($FA6=0,IF($DW6=1,"sem cura","sem dano"),IF($DW6=1,"cura ","")&amp;$FA6&amp;"d8")))</f>
        <v/>
      </c>
      <c r="FI6" s="140">
        <f>IF($DI6=0,"",TEXTJOIN(" · ",TRUE,IF(AND($CV6=1,$CW6&gt;$GH$9),"O nível "&amp;$GH$2&amp;" dá "&amp;$GH$9&amp;" Liberação Máxima",""),IF($CX6&gt;$GH$4,"Classe "&amp;$CX6&amp;": o nível "&amp;$GH$2&amp;" libera até a "&amp;$GH$4,""),IF($DP6=1,"Família Fechada: a Forma "&amp;$CZ6,""),IF($DQ6=1,"Família Fechada: "&amp;$DA6,""),IF($DR6=1,"Família Fechada: "&amp;$DB6,""),IF($DS6=1,"Família Fechada: "&amp;$DC6,""),IF($DT6=1,"Família Fechada: "&amp;$DD6,""),IF($EK6&gt;INDEX($O$2:$O$8,$CX6),$EK6&amp;" Melhorias: a Classe "&amp;$CX6&amp;" aceita "&amp;INDEX($O$2:$O$8,$CX6),""),IF($EL6&gt;2,$EL6&amp;" Restrições"&amp;IF($DV6=1,", contando a que a Forma "&amp;$CZ6&amp;" já traz","")&amp;": o limite é 2",""),IF($ER6&lt;0,"Orçamento estourado: faltam "&amp;(-$ER6)&amp;IF($ER6&lt;-1," pontos"," ponto"),""),IF(IFERROR(VLOOKUP($DE6,$BD$2:$BH$24,4,FALSE),0)+IFERROR(VLOOKUP($DF6,$BD$2:$BH$24,4,FALSE),0)&gt;1,$EA6&amp;" e "&amp;$EB6&amp;" são as duas de frequência",""),IF(AND((COUNTIF($DA6:$DD6,"Rápido")+COUNTIF($EA6:$EB6,"Rápido"))&gt;0,(COUNTIF($DA6:$DD6,"Reação")+COUNTIF($EA6:$EB6,"Reação"))&gt;0),"Rápido não entra com Reação",""),IF(AND((COUNTIF($DA6:$DD6,"Rápido")+COUNTIF($EA6:$EB6,"Rápido"))&gt;0,(COUNTIF($DA6:$DD6,"Atrasar")+COUNTIF($EA6:$EB6,"Atrasar"))&gt;0),"Rápido não entra com Atrasar",""),IF(AND((COUNTIF($DA6:$DD6,"Reação")+COUNTIF($EA6:$EB6,"Reação"))&gt;0,(COUNTIF($DA6:$DD6,"Atrasar")+COUNTIF($EA6:$EB6,"Atrasar"))&gt;0),"Reação não entra com Atrasar",""),IF(AND((COUNTIF($DA6:$DD6,"Reação")+COUNTIF($EA6:$EB6,"Reação"))&gt;0,(COUNTIF($DA6:$DD6,"Parado")+COUNTIF($EA6:$EB6,"Parado"))&gt;0),"Reação não entra com Parado",""),IF(AND(COUNTIF($EA6:$EB6,"Corpo a Corpo")&gt;0,$DV6=0,OR($CZ6="Cone",$CZ6="Linha")),"Corpo a Corpo não entra em "&amp;$CZ6,""),IF(AND(COUNTIF($EA6:$EB6,"Corpo a Corpo")&gt;0,$DV6=1),"A Forma "&amp;$CZ6&amp;" já traz o Corpo a Corpo",""),IF(AND(COUNTIF($EA6:$EB6,"Tudo ou Nada")&gt;0,$DX6=0),"Tudo ou Nada só entra em feitiço de Teste de Resistência",""),IF(AND(COUNTIF($DA6:$DD6,"Inescapável")&gt;0,OR($EK6&gt;1,$EL6&gt;0)),"Inescapável não aceita outra peça",""),IF(AND($CV6=1,$CX6&lt;3),"Liberação Máxima é de Classe 3 ou mais",""),IF(AND($CV6=1,OR($DW6=1,$DW6=2)),"Liberação Máxima não serve para cura",""),IF(AND($CV6=1,COUNTIF($DA6:$DD6,"Inescapável")+COUNTIF($DA6:$DD6,"Toca a Alma")&gt;0),"Esta peça não entra numa Liberação Máxima",""),IF($ES6+$ET6&gt;4*$CX6,($ES6+$ET6)&amp;" dados somando alvos e repetições: o teto da Classe "&amp;$CX6&amp;" é "&amp;4*$CX6,"")))</f>
        <v/>
      </c>
      <c r="FJ6" s="140">
        <f>IF($FI6="",0,(LEN($FI6)-LEN(SUBSTITUTE($FI6," · ","")))/3+1)</f>
        <v/>
      </c>
      <c r="FK6" s="140">
        <f>IF($DI6=0,"",TEXTJOIN(" · ",TRUE,IF($EN6&gt;2*$CX6,"A devolução parou no teto de "&amp;2*$CX6,""),IF($EQ6&gt;0,"Devolução perdida: "&amp;$EQ6&amp;IF($EQ6&gt;1," pontos"," ponto")&amp;" sem peça para pagar",""),IF(AND($DU6&gt;0,$ES6=0),"Controle sem dano: uma rodada a mais e CD +2",""),IF(AND($DU6&gt;0,$ES6&gt;0,$ES6&lt;=$CX6),"Controle com um quarto do teto: uma rodada a mais","")))</f>
        <v/>
      </c>
      <c r="FL6" s="140">
        <f>IF($FK6="",0,(LEN($FK6)-LEN(SUBSTITUTE($FK6," · ","")))/3+1)</f>
        <v/>
      </c>
      <c r="FM6" s="140">
        <f>IF($DI6=0,IF($EK6+$EL6-$DV6&gt;0,"dê um nome",""),IF($FJ6&gt;0,"⚠ "&amp;$FJ6&amp;IF($FJ6&gt;1," erros"," erro"),IF($FL6&gt;0,"! "&amp;$FL6&amp;IF($FL6&gt;1," avisos"," aviso"),"na regra")))</f>
        <v/>
      </c>
      <c r="FN6" s="140">
        <f>IF($DI6=0,"",IF($FJ6+$FL6=0,"Dentro das regras que a ficha confere",$FI6&amp;IF(AND($FJ6&gt;0,$FL6&gt;0)," · ","")&amp;$FK6))</f>
        <v/>
      </c>
      <c r="FO6" s="140">
        <f>IF($DI6=0,"",IF($CV6=1,CEILING(4.5*$CX6,1),3*$CX6)&amp;" PE")</f>
        <v/>
      </c>
      <c r="FP6" s="140">
        <f>IF($DI6=0,"",IF($CV6=1,"Rodada inteira",IF(COUNTIF($EA6:$EB6,"Atrasar")&gt;0,IF(COUNTIF($EA6:$EB6,"Carregar")&gt;0,"Rodada +1 turno","Rodada inteira"),IF(COUNTIF($DA6:$DD6,"Rápido")&gt;0,"Bônus",IF(COUNTIF($DA6:$DD6,"Reação")&gt;0,"Reação","Padrão"))&amp;IF(COUNTIF($EA6:$EB6,"Carregar")&gt;0," +1 turno",""))))</f>
        <v/>
      </c>
      <c r="FQ6" s="140">
        <f>IF(OR($DI6=0,$DJ6=0),"",IF(COUNTIF($DA6:$DD6,"Inescapável")&gt;0,"Automático",IF(COUNTIF($DA6:$DD6,"Certeiro")&gt;0,"TR para metade",INDEX($X$2:$X$11,$DJ6))))</f>
        <v/>
      </c>
      <c r="FR6" s="140">
        <f>IF(OR($DI6=0,$DJ6=0),"",IF(OR($DW6&gt;=2,$ES6=0),INDEX($FB6:$FH6,1,$CX6),INDEX($FB6:$FH6,1,$CX6)&amp;" = "&amp;FLOOR($ES6*4.5,1)&amp;IF($ET6&gt;0," · +"&amp;$ET6&amp;"d8","")))</f>
        <v/>
      </c>
      <c r="FS6" s="140">
        <f>COUNTIF($DA6:$DD6,"Longe")+3*COUNTIF($DA6:$DD6,"Muito Longe")</f>
        <v/>
      </c>
      <c r="FT6" s="140">
        <f>COUNTIF($DA6:$DD6,"Maior")+3*COUNTIF($DA6:$DD6,"Muito Maior")</f>
        <v/>
      </c>
      <c r="FU6" s="140">
        <f>IF($DJ6=0,0,CHOOSE(1+INDEX($Z$2:$Z$11,$DJ6),0,$FS6,$FT6,$FS6+$FT6))</f>
        <v/>
      </c>
      <c r="FV6" s="140">
        <f>IF($DJ6=0,0,CHOOSE(1+INDEX($AA$2:$AA$11,$DJ6),0,$FS6,$FT6,$FS6+$FT6))</f>
        <v/>
      </c>
      <c r="FW6" s="140">
        <f>IF(OR($DI6=0,$DJ6=0),"",INDEX($AH$2:$AM$31,($DJ6-1)*3+IF($CX6&gt;=6,3,2),1+MIN(5,$FU6))&amp;INDEX($AN$2:$AS$31,($DJ6-1)*3+IF($CX6&gt;=6,3,2),1+MIN(5,$FV6))&amp;IF(INDEX($AB$2:$AB$11,$DJ6)=1,IF(COUNTIF($DA6:$DD6,"Mais Um")&gt;0," · +"&amp;COUNTIF($DA6:$DD6,"Mais Um")&amp;IF(COUNTIF($DA6:$DD6,"Mais Um")&gt;1," alvos"," alvo"),"")&amp;IF(COUNTIF($DA6:$DD6,"Rajada")&gt;0," · "&amp;($CX6+1)&amp;" tiros",""),""))</f>
        <v/>
      </c>
      <c r="FX6" s="140">
        <f>IF($DI6=0,"",3*$CX6&amp;" − "&amp;$EM6&amp;" + "&amp;$EP6&amp;IF($CV6=1," + "&amp;$CX6,"")&amp;" = "&amp;$ES6&amp;"d8 · teto "&amp;4*$CX6&amp;IF($DV6=1," · a Forma devolve "&amp;$CX6,"")&amp;IF($EQ6&gt;0," · perde "&amp;$EQ6,""))</f>
        <v/>
      </c>
      <c r="FY6" s="140">
        <f>IF($DI6=0,"",IF($CX6&gt;=$GH$4,"Já está na maior Classe que o nível liberou",TEXTJOIN(" · ",TRUE,IF(AND(2&gt;$CX6,2&lt;=$GH$4),"2 → "&amp;$FC6&amp;", "&amp;IF($CV6=1,9,6)&amp;" PE",""),IF(AND(3&gt;$CX6,3&lt;=$GH$4),"3 → "&amp;$FD6&amp;", "&amp;IF($CV6=1,14,9)&amp;" PE",""),IF(AND(4&gt;$CX6,4&lt;=$GH$4),"4 → "&amp;$FE6&amp;", "&amp;IF($CV6=1,18,12)&amp;" PE",""),IF(AND(5&gt;$CX6,5&lt;=$GH$4),"5 → "&amp;$FF6&amp;", "&amp;IF($CV6=1,23,15)&amp;" PE",""),IF(AND(6&gt;$CX6,6&lt;=$GH$4),"6 → "&amp;$FG6&amp;", "&amp;IF($CV6=1,27,18)&amp;" PE",""),IF(AND(7&gt;$CX6,7&lt;=$GH$4),"7 → "&amp;$FH6&amp;", "&amp;IF($CV6=1,32,21)&amp;" PE",""))))</f>
        <v/>
      </c>
      <c r="FZ6" s="140">
        <f>IF(OR($DI6=0,$DL6=0),"","−"&amp;INDEX($I$2:$N$8,$CX6,$DL6)&amp;" · "&amp;CHOOSE($DL6,"Leve","Média","Pesada","Leve · Livre","Média · Livre","Pesada · Livre"))</f>
        <v/>
      </c>
      <c r="GA6" s="140">
        <f>IF(OR($DI6=0,$DM6=0),"","−"&amp;INDEX($I$2:$N$8,$CX6,$DM6)&amp;" · "&amp;CHOOSE($DM6,"Leve","Média","Pesada","Leve · Livre","Média · Livre","Pesada · Livre"))</f>
        <v/>
      </c>
      <c r="GB6" s="140">
        <f>IF(OR($DI6=0,$DN6=0),"","−"&amp;INDEX($I$2:$N$8,$CX6,$DN6)&amp;" · "&amp;CHOOSE($DN6,"Leve","Média","Pesada","Leve · Livre","Média · Livre","Pesada · Livre"))</f>
        <v/>
      </c>
      <c r="GC6" s="140">
        <f>IF(OR($DI6=0,$DO6=0),"","−"&amp;INDEX($I$2:$N$8,$CX6,$DO6)&amp;" · "&amp;CHOOSE($DO6,"Leve","Média","Pesada","Leve · Livre","Média · Livre","Pesada · Livre"))</f>
        <v/>
      </c>
      <c r="GD6" s="140">
        <f>IF(OR($DI6=0,$DE6=""),"",IF($DG6=1,"Selo","+"&amp;IF($DY6=1,CEILING($CX6/2,1),$CX6)))</f>
        <v/>
      </c>
      <c r="GE6" s="140">
        <f>IF(OR($DI6=0,$DF6=""),"",IF($DH6=1,"Selo","+"&amp;IF($DZ6=1,CEILING($CX6/2,1),$CX6)))</f>
        <v/>
      </c>
      <c r="GG6" s="114" t="inlineStr">
        <is>
          <t>refino</t>
        </is>
      </c>
      <c r="GH6" s="140">
        <f>MAX(1,N(DADOS!$AK$34))</f>
        <v/>
      </c>
      <c r="GJ6" s="114" t="inlineStr">
        <is>
          <t>Passiva 5</t>
        </is>
      </c>
      <c r="GK6" s="140">
        <f>'FICHA AMALDIÇOADA'!$J$381&amp;""</f>
        <v/>
      </c>
      <c r="GL6" s="140">
        <f>IFERROR(VLOOKUP($GK6,$BJ$2:$BL$20,2,FALSE),0)</f>
        <v/>
      </c>
      <c r="GM6" s="140">
        <f>IFERROR(VLOOKUP($GL6,$BN$2:$BO$4,2,FALSE),0)</f>
        <v/>
      </c>
      <c r="GN6" s="140">
        <f>IFERROR(VLOOKUP($GK6,$BJ$2:$BL$20,3,FALSE),"")</f>
        <v/>
      </c>
      <c r="GO6" s="140">
        <f>IF($GL6=0,"",IF($GM6&gt;$GH$2,"⚠ nível "&amp;$GM6,"CP "&amp;$GL6))</f>
        <v/>
      </c>
      <c r="GP6" s="140">
        <f>IF($GL6=0,"",$GL6&amp;" esp.")</f>
        <v/>
      </c>
      <c r="GR6" s="114" t="inlineStr">
        <is>
          <t>Aptidão 5</t>
        </is>
      </c>
      <c r="GS6" s="140">
        <f>'FICHA AMALDIÇOADA'!$J$441&amp;""</f>
        <v/>
      </c>
      <c r="GT6" s="140">
        <f>IF($GS6="","","Requisito: "&amp;IFERROR(VLOOKUP($GS6,$BQ$2:$BV$17,2,FALSE),""))</f>
        <v/>
      </c>
      <c r="GU6" s="140">
        <f>IF($GS6="","",IFERROR(IF(ISNUMBER(VLOOKUP($GS6,$BQ$2:$BV$17,3,FALSE)),"CP "&amp;VLOOKUP($GS6,$BQ$2:$BV$17,3,FALSE),VLOOKUP($GS6,$BQ$2:$BV$17,3,FALSE)),""))</f>
        <v/>
      </c>
      <c r="GV6" s="140">
        <f>IF($GS6="","",IFERROR(VLOOKUP($GS6,$BQ$2:$BV$17,4,FALSE),""))</f>
        <v/>
      </c>
      <c r="GW6" s="140">
        <f>IF($GS6="","",IFERROR(VLOOKUP($GS6,$BQ$2:$BV$17,5,FALSE),""))</f>
        <v/>
      </c>
      <c r="GY6" s="114" t="inlineStr">
        <is>
          <t>Classe 0 · 5</t>
        </is>
      </c>
      <c r="GZ6" s="140">
        <f>'FICHA AMALDIÇOADA'!$F$308&amp;""</f>
        <v/>
      </c>
      <c r="HA6" s="140">
        <f>'FICHA AMALDIÇOADA'!$J$308&amp;""</f>
        <v/>
      </c>
      <c r="HB6" s="140">
        <f>'FICHA AMALDIÇOADA'!$L$308&amp;""</f>
        <v/>
      </c>
      <c r="HC6" s="140">
        <f>IFERROR(MATCH($GZ6,$Q$2:$Q$11,0),0)</f>
        <v/>
      </c>
      <c r="HD6" s="140">
        <f>$GH$11-IF($HA6&lt;&gt;"",1,0)+IF(AND($HA6&lt;&gt;"",$HB6&lt;&gt;""),1,0)</f>
        <v/>
      </c>
      <c r="HE6" s="140">
        <f>IF(5&gt;$GH$10,"nível 17",IF($HC6=0,"",IF(INDEX($W$2:$W$11,$HC6)&gt;=2,"—",$HD6&amp;"d8 = "&amp;FLOOR($HD6*4.5,1))))</f>
        <v/>
      </c>
      <c r="HF6" s="140">
        <f>IF(OR(5&gt;$GH$10,$HC6=0),"",INDEX($AH$2:$AM$31,($HC6-1)*3+1,1+IF(OR(AND($HA6="Longe",INDEX($Z$2:$Z$11,$HC6)&lt;&gt;2),AND($HA6="Maior",INDEX($Z$2:$Z$11,$HC6)&gt;=2)),1,0))&amp;INDEX($AN$2:$AS$31,($HC6-1)*3+1,1+IF(AND($HA6="Longe",INDEX($AA$2:$AA$11,$HC6)=1),1,0)))</f>
        <v/>
      </c>
      <c r="HH6" s="114" t="inlineStr">
        <is>
          <t>Liberação</t>
        </is>
      </c>
      <c r="HI6" s="140">
        <f>ADDRESS(ROW('FICHA AMALDIÇOADA'!J7),COLUMN('FICHA AMALDIÇOADA'!J7),4)</f>
        <v/>
      </c>
      <c r="HJ6" s="140">
        <f>ADDRESS(ROW('FICHA AMALDIÇOADA'!D310),COLUMN('FICHA AMALDIÇOADA'!D310),4)</f>
        <v/>
      </c>
    </row>
    <row r="7">
      <c r="A7" s="114" t="inlineStr">
        <is>
          <t>Castigo</t>
        </is>
      </c>
      <c r="B7" s="140">
        <f>'FICHA AMALDIÇOADA'!$K$31&amp;""</f>
        <v/>
      </c>
      <c r="C7" s="140">
        <f>IF($B7="Livre",1,0)</f>
        <v/>
      </c>
      <c r="D7" s="140">
        <f>IF($B7="Fechada",1,0)</f>
        <v/>
      </c>
      <c r="H7" s="140" t="n">
        <v>6</v>
      </c>
      <c r="I7" s="140" t="n">
        <v>3</v>
      </c>
      <c r="J7" s="140" t="n">
        <v>6</v>
      </c>
      <c r="K7" s="140" t="n">
        <v>9</v>
      </c>
      <c r="L7" s="140" t="n">
        <v>1</v>
      </c>
      <c r="M7" s="140" t="n">
        <v>3</v>
      </c>
      <c r="N7" s="140" t="n">
        <v>6</v>
      </c>
      <c r="O7" s="140" t="n">
        <v>4</v>
      </c>
      <c r="Q7" s="114" t="inlineStr">
        <is>
          <t>Linha</t>
        </is>
      </c>
      <c r="R7" s="114" t="inlineStr">
        <is>
          <t>Área</t>
        </is>
      </c>
      <c r="S7" s="140" t="n">
        <v>1</v>
      </c>
      <c r="T7" s="140">
        <f>IF($S7=0,0,$S7+3*IFERROR(VLOOKUP($R7,$A$2:$D$10,3,FALSE),0))</f>
        <v/>
      </c>
      <c r="U7" s="140">
        <f>IFERROR(VLOOKUP($R7,$A$2:$D$10,4,FALSE),0)</f>
        <v/>
      </c>
      <c r="V7" s="140" t="n">
        <v>0</v>
      </c>
      <c r="W7" s="140" t="n">
        <v>0</v>
      </c>
      <c r="X7" s="114" t="inlineStr">
        <is>
          <t>TR, metade</t>
        </is>
      </c>
      <c r="Y7" s="140" t="n">
        <v>1</v>
      </c>
      <c r="Z7" s="140" t="n">
        <v>3</v>
      </c>
      <c r="AA7" s="140" t="n">
        <v>0</v>
      </c>
      <c r="AB7" s="140" t="n">
        <v>0</v>
      </c>
      <c r="AC7" s="140" t="n">
        <v>1</v>
      </c>
      <c r="AD7" s="140">
        <f>IF($U7=1,"",$Q7)</f>
        <v/>
      </c>
      <c r="AE7" s="140">
        <f>IF(AND($AC7=1,$U7=0),$Q7,"")</f>
        <v/>
      </c>
      <c r="AG7" s="114" t="inlineStr">
        <is>
          <t>Toque · classes 6 e 7</t>
        </is>
      </c>
      <c r="AH7" s="114" t="inlineStr">
        <is>
          <t>1,5 m, um alvo</t>
        </is>
      </c>
      <c r="AI7" s="114" t="inlineStr">
        <is>
          <t>1,5 m, um alvo</t>
        </is>
      </c>
      <c r="AJ7" s="114" t="inlineStr">
        <is>
          <t>1,5 m, um alvo</t>
        </is>
      </c>
      <c r="AK7" s="114" t="inlineStr">
        <is>
          <t>1,5 m, um alvo</t>
        </is>
      </c>
      <c r="AL7" s="114" t="inlineStr">
        <is>
          <t>1,5 m, um alvo</t>
        </is>
      </c>
      <c r="AM7" s="114" t="inlineStr">
        <is>
          <t>1,5 m, um alvo</t>
        </is>
      </c>
      <c r="AN7" s="114" t="inlineStr"/>
      <c r="AO7" s="114" t="inlineStr"/>
      <c r="AP7" s="114" t="inlineStr"/>
      <c r="AQ7" s="114" t="inlineStr"/>
      <c r="AR7" s="114" t="inlineStr"/>
      <c r="AS7" s="114" t="inlineStr"/>
      <c r="AU7" s="114" t="inlineStr">
        <is>
          <t>Troca</t>
        </is>
      </c>
      <c r="AV7" s="114" t="inlineStr">
        <is>
          <t>Alcance</t>
        </is>
      </c>
      <c r="AW7" s="140" t="n">
        <v>2</v>
      </c>
      <c r="AX7" s="140">
        <f>$AW7+3*IFERROR(VLOOKUP($AV7,$A$2:$D$10,3,FALSE),0)</f>
        <v/>
      </c>
      <c r="AY7" s="140">
        <f>IFERROR(VLOOKUP($AV7,$A$2:$D$10,4,FALSE),0)</f>
        <v/>
      </c>
      <c r="AZ7" s="140" t="n">
        <v>0</v>
      </c>
      <c r="BA7" s="140">
        <f>IF($AY7=1,"",$AU7)</f>
        <v/>
      </c>
      <c r="BB7" s="140">
        <f>IF(AND($AW7=1,$AY7=0),$AU7,"")</f>
        <v/>
      </c>
      <c r="BD7" s="114" t="inlineStr">
        <is>
          <t>Recuo (Leve)</t>
        </is>
      </c>
      <c r="BE7" s="114" t="inlineStr">
        <is>
          <t>Recuo</t>
        </is>
      </c>
      <c r="BF7" s="140" t="n">
        <v>1</v>
      </c>
      <c r="BG7" s="140" t="n">
        <v>0</v>
      </c>
      <c r="BH7" s="114" t="inlineStr">
        <is>
          <t>Recuo (Leve)</t>
        </is>
      </c>
      <c r="BJ7" s="114" t="inlineStr">
        <is>
          <t>Aviso</t>
        </is>
      </c>
      <c r="BK7" s="140" t="n">
        <v>1</v>
      </c>
      <c r="BL7" s="114" t="inlineStr">
        <is>
          <t>Você sabe qual foi o último feitiço que um inimigo à vista usou.</t>
        </is>
      </c>
      <c r="BQ7" s="114" t="inlineStr">
        <is>
          <t>Regravação</t>
        </is>
      </c>
      <c r="BR7" s="114" t="inlineStr">
        <is>
          <t>Circulação</t>
        </is>
      </c>
      <c r="BS7" s="140" t="n">
        <v>3</v>
      </c>
      <c r="BT7" s="114" t="inlineStr">
        <is>
          <t>—</t>
        </is>
      </c>
      <c r="BU7" s="114" t="inlineStr">
        <is>
          <t>Ação Bônus, durante o seu Rescaldo. Gaste o teto inteiro da sua Energia Reversa, e o Rescaldo acaba: a sua técnica volta a responder. Nesse uso você não cura vida nenhuma. Cada uso deixa uma marca, e as marcas somem no descanso longo. Com metade da sua Inteligência + metade da sua maestria marcas, cada metade arredondando para baixo, você não abre Expansão de Domínio.</t>
        </is>
      </c>
      <c r="BV7" s="114" t="inlineStr">
        <is>
          <t>Regravação</t>
        </is>
      </c>
      <c r="CU7" s="114" t="inlineStr">
        <is>
          <t>Feitiço 6</t>
        </is>
      </c>
      <c r="CV7" s="140" t="n">
        <v>0</v>
      </c>
      <c r="CW7" s="140" t="n">
        <v>6</v>
      </c>
      <c r="CX7" s="140">
        <f>MAX(1,MIN(7,N('FICHA AMALDIÇOADA'!$P$66)))</f>
        <v/>
      </c>
      <c r="CY7" s="140">
        <f>'FICHA AMALDIÇOADA'!$Q$66&amp;""</f>
        <v/>
      </c>
      <c r="CZ7" s="140">
        <f>'FICHA AMALDIÇOADA'!$P$73&amp;""</f>
        <v/>
      </c>
      <c r="DA7" s="140">
        <f>'FICHA AMALDIÇOADA'!$Q$75&amp;""</f>
        <v/>
      </c>
      <c r="DB7" s="140">
        <f>'FICHA AMALDIÇOADA'!$Q$76&amp;""</f>
        <v/>
      </c>
      <c r="DC7" s="140">
        <f>'FICHA AMALDIÇOADA'!$Q$77&amp;""</f>
        <v/>
      </c>
      <c r="DD7" s="140">
        <f>'FICHA AMALDIÇOADA'!$Q$78&amp;""</f>
        <v/>
      </c>
      <c r="DE7" s="140">
        <f>'FICHA AMALDIÇOADA'!$Q$79&amp;""</f>
        <v/>
      </c>
      <c r="DF7" s="140">
        <f>'FICHA AMALDIÇOADA'!$Q$80&amp;""</f>
        <v/>
      </c>
      <c r="DG7" s="140">
        <f>IF('FICHA AMALDIÇOADA'!$T$79=TRUE,1,0)</f>
        <v/>
      </c>
      <c r="DH7" s="140">
        <f>IF('FICHA AMALDIÇOADA'!$T$80=TRUE,1,0)</f>
        <v/>
      </c>
      <c r="DI7" s="140">
        <f>IF($CY7&lt;&gt;"",1,0)</f>
        <v/>
      </c>
      <c r="DJ7" s="140">
        <f>IFERROR(MATCH($CZ7,$Q$2:$Q$11,0),0)</f>
        <v/>
      </c>
      <c r="DK7" s="140">
        <f>IF($DJ7=0,0,INDEX($T$2:$T$11,$DJ7))</f>
        <v/>
      </c>
      <c r="DL7" s="140">
        <f>IFERROR(VLOOKUP($DA7,$AU$2:$BB$84,4,FALSE),0)</f>
        <v/>
      </c>
      <c r="DM7" s="140">
        <f>IFERROR(VLOOKUP($DB7,$AU$2:$BB$84,4,FALSE),0)</f>
        <v/>
      </c>
      <c r="DN7" s="140">
        <f>IFERROR(VLOOKUP($DC7,$AU$2:$BB$84,4,FALSE),0)</f>
        <v/>
      </c>
      <c r="DO7" s="140">
        <f>IFERROR(VLOOKUP($DD7,$AU$2:$BB$84,4,FALSE),0)</f>
        <v/>
      </c>
      <c r="DP7" s="140">
        <f>IF($DJ7=0,0,INDEX($U$2:$U$11,$DJ7))</f>
        <v/>
      </c>
      <c r="DQ7" s="140">
        <f>IFERROR(VLOOKUP($DA7,$AU$2:$BB$84,5,FALSE),0)</f>
        <v/>
      </c>
      <c r="DR7" s="140">
        <f>IFERROR(VLOOKUP($DB7,$AU$2:$BB$84,5,FALSE),0)</f>
        <v/>
      </c>
      <c r="DS7" s="140">
        <f>IFERROR(VLOOKUP($DC7,$AU$2:$BB$84,5,FALSE),0)</f>
        <v/>
      </c>
      <c r="DT7" s="140">
        <f>IFERROR(VLOOKUP($DD7,$AU$2:$BB$84,5,FALSE),0)</f>
        <v/>
      </c>
      <c r="DU7" s="140">
        <f>IFERROR(VLOOKUP($DA7,$AU$2:$BB$84,6,FALSE),0)+IFERROR(VLOOKUP($DB7,$AU$2:$BB$84,6,FALSE),0)+IFERROR(VLOOKUP($DC7,$AU$2:$BB$84,6,FALSE),0)+IFERROR(VLOOKUP($DD7,$AU$2:$BB$84,6,FALSE),0)</f>
        <v/>
      </c>
      <c r="DV7" s="140">
        <f>IF($DJ7=0,0,INDEX($V$2:$V$11,$DJ7))</f>
        <v/>
      </c>
      <c r="DW7" s="140">
        <f>IF($DJ7=0,0,INDEX($W$2:$W$11,$DJ7))</f>
        <v/>
      </c>
      <c r="DX7" s="140">
        <f>IF($DJ7=0,0,INDEX($Y$2:$Y$11,$DJ7))</f>
        <v/>
      </c>
      <c r="DY7" s="140">
        <f>IF($DG7=1,0,IFERROR(VLOOKUP($DE7,$BD$2:$BH$24,3,FALSE),0))</f>
        <v/>
      </c>
      <c r="DZ7" s="140">
        <f>IF($DH7=1,0,IFERROR(VLOOKUP($DF7,$BD$2:$BH$24,3,FALSE),0))</f>
        <v/>
      </c>
      <c r="EA7" s="140">
        <f>IFERROR(VLOOKUP($DE7,$BD$2:$BH$24,2,FALSE),"")</f>
        <v/>
      </c>
      <c r="EB7" s="140">
        <f>IFERROR(VLOOKUP($DF7,$BD$2:$BH$24,2,FALSE),"")</f>
        <v/>
      </c>
      <c r="EC7" s="140">
        <f>COUNTIF($DK7:$DO7,1)</f>
        <v/>
      </c>
      <c r="ED7" s="140">
        <f>COUNTIF($DK7:$DO7,2)</f>
        <v/>
      </c>
      <c r="EE7" s="140">
        <f>COUNTIF($DK7:$DO7,3)</f>
        <v/>
      </c>
      <c r="EF7" s="140">
        <f>COUNTIF($DK7:$DO7,4)</f>
        <v/>
      </c>
      <c r="EG7" s="140">
        <f>COUNTIF($DK7:$DO7,5)</f>
        <v/>
      </c>
      <c r="EH7" s="140">
        <f>COUNTIF($DK7:$DO7,6)</f>
        <v/>
      </c>
      <c r="EI7" s="140">
        <f>COUNTIF($DY7:$DZ7,1)</f>
        <v/>
      </c>
      <c r="EJ7" s="140">
        <f>COUNTIF($DY7:$DZ7,2)+$DV7</f>
        <v/>
      </c>
      <c r="EK7" s="140">
        <f>COUNTIF($DA7:$DD7,"?*")</f>
        <v/>
      </c>
      <c r="EL7" s="140">
        <f>COUNTIF($DE7:$DF7,"?*")+$DV7</f>
        <v/>
      </c>
      <c r="EM7" s="140">
        <f>SUMPRODUCT($EC7:$EH7,INDEX($I$2:$N$8,$CX7,0))</f>
        <v/>
      </c>
      <c r="EN7" s="140">
        <f>$EI7*CEILING($CX7/2,1)+$EJ7*$CX7</f>
        <v/>
      </c>
      <c r="EO7" s="140">
        <f>MIN(2*$CX7,$EN7)</f>
        <v/>
      </c>
      <c r="EP7" s="140">
        <f>MIN($EO7,$EM7)</f>
        <v/>
      </c>
      <c r="EQ7" s="140">
        <f>$EO7-$EP7</f>
        <v/>
      </c>
      <c r="ER7" s="140">
        <f>3*$CX7-$EM7+$EP7</f>
        <v/>
      </c>
      <c r="ES7" s="140">
        <f>MAX(0,$ER7)+$CV7*$CX7</f>
        <v/>
      </c>
      <c r="ET7" s="140">
        <f>(IF(COUNTIF($DA7:$DD7,"Salto")&gt;0,1,0)+IF(COUNTIF($DA7:$DD7,"Queima")&gt;0,1,0))*FLOOR($ES7/2,1)</f>
        <v/>
      </c>
      <c r="EU7" s="140">
        <f>MAX(0,3-SUMPRODUCT($EC7:$EH7,$I$2:$N$2)+MIN(2,$EI7*1+$EJ7*1,SUMPRODUCT($EC7:$EH7,$I$2:$N$2)))+$CV7*1</f>
        <v/>
      </c>
      <c r="EV7" s="140">
        <f>MAX(0,6-SUMPRODUCT($EC7:$EH7,$I$3:$N$3)+MIN(4,$EI7*1+$EJ7*2,SUMPRODUCT($EC7:$EH7,$I$3:$N$3)))+$CV7*2</f>
        <v/>
      </c>
      <c r="EW7" s="140">
        <f>MAX(0,9-SUMPRODUCT($EC7:$EH7,$I$4:$N$4)+MIN(6,$EI7*2+$EJ7*3,SUMPRODUCT($EC7:$EH7,$I$4:$N$4)))+$CV7*3</f>
        <v/>
      </c>
      <c r="EX7" s="140">
        <f>MAX(0,12-SUMPRODUCT($EC7:$EH7,$I$5:$N$5)+MIN(8,$EI7*2+$EJ7*4,SUMPRODUCT($EC7:$EH7,$I$5:$N$5)))+$CV7*4</f>
        <v/>
      </c>
      <c r="EY7" s="140">
        <f>MAX(0,15-SUMPRODUCT($EC7:$EH7,$I$6:$N$6)+MIN(10,$EI7*3+$EJ7*5,SUMPRODUCT($EC7:$EH7,$I$6:$N$6)))+$CV7*5</f>
        <v/>
      </c>
      <c r="EZ7" s="140">
        <f>MAX(0,18-SUMPRODUCT($EC7:$EH7,$I$7:$N$7)+MIN(12,$EI7*3+$EJ7*6,SUMPRODUCT($EC7:$EH7,$I$7:$N$7)))+$CV7*6</f>
        <v/>
      </c>
      <c r="FA7" s="140">
        <f>MAX(0,21-SUMPRODUCT($EC7:$EH7,$I$8:$N$8)+MIN(14,$EI7*4+$EJ7*7,SUMPRODUCT($EC7:$EH7,$I$8:$N$8)))+$CV7*7</f>
        <v/>
      </c>
      <c r="FB7" s="140">
        <f>IF($DW7=2,3*$EU7&amp;" de vida temp.",IF($DW7=3,"sem dano",IF($EU7=0,IF($DW7=1,"sem cura","sem dano"),IF($DW7=1,"cura ","")&amp;$EU7&amp;"d8")))</f>
        <v/>
      </c>
      <c r="FC7" s="140">
        <f>IF($DW7=2,3*$EV7&amp;" de vida temp.",IF($DW7=3,"sem dano",IF($EV7=0,IF($DW7=1,"sem cura","sem dano"),IF($DW7=1,"cura ","")&amp;$EV7&amp;"d8")))</f>
        <v/>
      </c>
      <c r="FD7" s="140">
        <f>IF($DW7=2,3*$EW7&amp;" de vida temp.",IF($DW7=3,"sem dano",IF($EW7=0,IF($DW7=1,"sem cura","sem dano"),IF($DW7=1,"cura ","")&amp;$EW7&amp;"d8")))</f>
        <v/>
      </c>
      <c r="FE7" s="140">
        <f>IF($DW7=2,3*$EX7&amp;" de vida temp.",IF($DW7=3,"sem dano",IF($EX7=0,IF($DW7=1,"sem cura","sem dano"),IF($DW7=1,"cura ","")&amp;$EX7&amp;"d8")))</f>
        <v/>
      </c>
      <c r="FF7" s="140">
        <f>IF($DW7=2,3*$EY7&amp;" de vida temp.",IF($DW7=3,"sem dano",IF($EY7=0,IF($DW7=1,"sem cura","sem dano"),IF($DW7=1,"cura ","")&amp;$EY7&amp;"d8")))</f>
        <v/>
      </c>
      <c r="FG7" s="140">
        <f>IF($DW7=2,3*$EZ7&amp;" de vida temp.",IF($DW7=3,"sem dano",IF($EZ7=0,IF($DW7=1,"sem cura","sem dano"),IF($DW7=1,"cura ","")&amp;$EZ7&amp;"d8")))</f>
        <v/>
      </c>
      <c r="FH7" s="140">
        <f>IF($DW7=2,3*$FA7&amp;" de vida temp.",IF($DW7=3,"sem dano",IF($FA7=0,IF($DW7=1,"sem cura","sem dano"),IF($DW7=1,"cura ","")&amp;$FA7&amp;"d8")))</f>
        <v/>
      </c>
      <c r="FI7" s="140">
        <f>IF($DI7=0,"",TEXTJOIN(" · ",TRUE,IF(AND($CV7=1,$CW7&gt;$GH$9),"O nível "&amp;$GH$2&amp;" dá "&amp;$GH$9&amp;" Liberação Máxima",""),IF($CX7&gt;$GH$4,"Classe "&amp;$CX7&amp;": o nível "&amp;$GH$2&amp;" libera até a "&amp;$GH$4,""),IF($DP7=1,"Família Fechada: a Forma "&amp;$CZ7,""),IF($DQ7=1,"Família Fechada: "&amp;$DA7,""),IF($DR7=1,"Família Fechada: "&amp;$DB7,""),IF($DS7=1,"Família Fechada: "&amp;$DC7,""),IF($DT7=1,"Família Fechada: "&amp;$DD7,""),IF($EK7&gt;INDEX($O$2:$O$8,$CX7),$EK7&amp;" Melhorias: a Classe "&amp;$CX7&amp;" aceita "&amp;INDEX($O$2:$O$8,$CX7),""),IF($EL7&gt;2,$EL7&amp;" Restrições"&amp;IF($DV7=1,", contando a que a Forma "&amp;$CZ7&amp;" já traz","")&amp;": o limite é 2",""),IF($ER7&lt;0,"Orçamento estourado: faltam "&amp;(-$ER7)&amp;IF($ER7&lt;-1," pontos"," ponto"),""),IF(IFERROR(VLOOKUP($DE7,$BD$2:$BH$24,4,FALSE),0)+IFERROR(VLOOKUP($DF7,$BD$2:$BH$24,4,FALSE),0)&gt;1,$EA7&amp;" e "&amp;$EB7&amp;" são as duas de frequência",""),IF(AND((COUNTIF($DA7:$DD7,"Rápido")+COUNTIF($EA7:$EB7,"Rápido"))&gt;0,(COUNTIF($DA7:$DD7,"Reação")+COUNTIF($EA7:$EB7,"Reação"))&gt;0),"Rápido não entra com Reação",""),IF(AND((COUNTIF($DA7:$DD7,"Rápido")+COUNTIF($EA7:$EB7,"Rápido"))&gt;0,(COUNTIF($DA7:$DD7,"Atrasar")+COUNTIF($EA7:$EB7,"Atrasar"))&gt;0),"Rápido não entra com Atrasar",""),IF(AND((COUNTIF($DA7:$DD7,"Reação")+COUNTIF($EA7:$EB7,"Reação"))&gt;0,(COUNTIF($DA7:$DD7,"Atrasar")+COUNTIF($EA7:$EB7,"Atrasar"))&gt;0),"Reação não entra com Atrasar",""),IF(AND((COUNTIF($DA7:$DD7,"Reação")+COUNTIF($EA7:$EB7,"Reação"))&gt;0,(COUNTIF($DA7:$DD7,"Parado")+COUNTIF($EA7:$EB7,"Parado"))&gt;0),"Reação não entra com Parado",""),IF(AND(COUNTIF($EA7:$EB7,"Corpo a Corpo")&gt;0,$DV7=0,OR($CZ7="Cone",$CZ7="Linha")),"Corpo a Corpo não entra em "&amp;$CZ7,""),IF(AND(COUNTIF($EA7:$EB7,"Corpo a Corpo")&gt;0,$DV7=1),"A Forma "&amp;$CZ7&amp;" já traz o Corpo a Corpo",""),IF(AND(COUNTIF($EA7:$EB7,"Tudo ou Nada")&gt;0,$DX7=0),"Tudo ou Nada só entra em feitiço de Teste de Resistência",""),IF(AND(COUNTIF($DA7:$DD7,"Inescapável")&gt;0,OR($EK7&gt;1,$EL7&gt;0)),"Inescapável não aceita outra peça",""),IF(AND($CV7=1,$CX7&lt;3),"Liberação Máxima é de Classe 3 ou mais",""),IF(AND($CV7=1,OR($DW7=1,$DW7=2)),"Liberação Máxima não serve para cura",""),IF(AND($CV7=1,COUNTIF($DA7:$DD7,"Inescapável")+COUNTIF($DA7:$DD7,"Toca a Alma")&gt;0),"Esta peça não entra numa Liberação Máxima",""),IF($ES7+$ET7&gt;4*$CX7,($ES7+$ET7)&amp;" dados somando alvos e repetições: o teto da Classe "&amp;$CX7&amp;" é "&amp;4*$CX7,"")))</f>
        <v/>
      </c>
      <c r="FJ7" s="140">
        <f>IF($FI7="",0,(LEN($FI7)-LEN(SUBSTITUTE($FI7," · ","")))/3+1)</f>
        <v/>
      </c>
      <c r="FK7" s="140">
        <f>IF($DI7=0,"",TEXTJOIN(" · ",TRUE,IF($EN7&gt;2*$CX7,"A devolução parou no teto de "&amp;2*$CX7,""),IF($EQ7&gt;0,"Devolução perdida: "&amp;$EQ7&amp;IF($EQ7&gt;1," pontos"," ponto")&amp;" sem peça para pagar",""),IF(AND($DU7&gt;0,$ES7=0),"Controle sem dano: uma rodada a mais e CD +2",""),IF(AND($DU7&gt;0,$ES7&gt;0,$ES7&lt;=$CX7),"Controle com um quarto do teto: uma rodada a mais","")))</f>
        <v/>
      </c>
      <c r="FL7" s="140">
        <f>IF($FK7="",0,(LEN($FK7)-LEN(SUBSTITUTE($FK7," · ","")))/3+1)</f>
        <v/>
      </c>
      <c r="FM7" s="140">
        <f>IF($DI7=0,IF($EK7+$EL7-$DV7&gt;0,"dê um nome",""),IF($FJ7&gt;0,"⚠ "&amp;$FJ7&amp;IF($FJ7&gt;1," erros"," erro"),IF($FL7&gt;0,"! "&amp;$FL7&amp;IF($FL7&gt;1," avisos"," aviso"),"na regra")))</f>
        <v/>
      </c>
      <c r="FN7" s="140">
        <f>IF($DI7=0,"",IF($FJ7+$FL7=0,"Dentro das regras que a ficha confere",$FI7&amp;IF(AND($FJ7&gt;0,$FL7&gt;0)," · ","")&amp;$FK7))</f>
        <v/>
      </c>
      <c r="FO7" s="140">
        <f>IF($DI7=0,"",IF($CV7=1,CEILING(4.5*$CX7,1),3*$CX7)&amp;" PE")</f>
        <v/>
      </c>
      <c r="FP7" s="140">
        <f>IF($DI7=0,"",IF($CV7=1,"Rodada inteira",IF(COUNTIF($EA7:$EB7,"Atrasar")&gt;0,IF(COUNTIF($EA7:$EB7,"Carregar")&gt;0,"Rodada +1 turno","Rodada inteira"),IF(COUNTIF($DA7:$DD7,"Rápido")&gt;0,"Bônus",IF(COUNTIF($DA7:$DD7,"Reação")&gt;0,"Reação","Padrão"))&amp;IF(COUNTIF($EA7:$EB7,"Carregar")&gt;0," +1 turno",""))))</f>
        <v/>
      </c>
      <c r="FQ7" s="140">
        <f>IF(OR($DI7=0,$DJ7=0),"",IF(COUNTIF($DA7:$DD7,"Inescapável")&gt;0,"Automático",IF(COUNTIF($DA7:$DD7,"Certeiro")&gt;0,"TR para metade",INDEX($X$2:$X$11,$DJ7))))</f>
        <v/>
      </c>
      <c r="FR7" s="140">
        <f>IF(OR($DI7=0,$DJ7=0),"",IF(OR($DW7&gt;=2,$ES7=0),INDEX($FB7:$FH7,1,$CX7),INDEX($FB7:$FH7,1,$CX7)&amp;" = "&amp;FLOOR($ES7*4.5,1)&amp;IF($ET7&gt;0," · +"&amp;$ET7&amp;"d8","")))</f>
        <v/>
      </c>
      <c r="FS7" s="140">
        <f>COUNTIF($DA7:$DD7,"Longe")+3*COUNTIF($DA7:$DD7,"Muito Longe")</f>
        <v/>
      </c>
      <c r="FT7" s="140">
        <f>COUNTIF($DA7:$DD7,"Maior")+3*COUNTIF($DA7:$DD7,"Muito Maior")</f>
        <v/>
      </c>
      <c r="FU7" s="140">
        <f>IF($DJ7=0,0,CHOOSE(1+INDEX($Z$2:$Z$11,$DJ7),0,$FS7,$FT7,$FS7+$FT7))</f>
        <v/>
      </c>
      <c r="FV7" s="140">
        <f>IF($DJ7=0,0,CHOOSE(1+INDEX($AA$2:$AA$11,$DJ7),0,$FS7,$FT7,$FS7+$FT7))</f>
        <v/>
      </c>
      <c r="FW7" s="140">
        <f>IF(OR($DI7=0,$DJ7=0),"",INDEX($AH$2:$AM$31,($DJ7-1)*3+IF($CX7&gt;=6,3,2),1+MIN(5,$FU7))&amp;INDEX($AN$2:$AS$31,($DJ7-1)*3+IF($CX7&gt;=6,3,2),1+MIN(5,$FV7))&amp;IF(INDEX($AB$2:$AB$11,$DJ7)=1,IF(COUNTIF($DA7:$DD7,"Mais Um")&gt;0," · +"&amp;COUNTIF($DA7:$DD7,"Mais Um")&amp;IF(COUNTIF($DA7:$DD7,"Mais Um")&gt;1," alvos"," alvo"),"")&amp;IF(COUNTIF($DA7:$DD7,"Rajada")&gt;0," · "&amp;($CX7+1)&amp;" tiros",""),""))</f>
        <v/>
      </c>
      <c r="FX7" s="140">
        <f>IF($DI7=0,"",3*$CX7&amp;" − "&amp;$EM7&amp;" + "&amp;$EP7&amp;IF($CV7=1," + "&amp;$CX7,"")&amp;" = "&amp;$ES7&amp;"d8 · teto "&amp;4*$CX7&amp;IF($DV7=1," · a Forma devolve "&amp;$CX7,"")&amp;IF($EQ7&gt;0," · perde "&amp;$EQ7,""))</f>
        <v/>
      </c>
      <c r="FY7" s="140">
        <f>IF($DI7=0,"",IF($CX7&gt;=$GH$4,"Já está na maior Classe que o nível liberou",TEXTJOIN(" · ",TRUE,IF(AND(2&gt;$CX7,2&lt;=$GH$4),"2 → "&amp;$FC7&amp;", "&amp;IF($CV7=1,9,6)&amp;" PE",""),IF(AND(3&gt;$CX7,3&lt;=$GH$4),"3 → "&amp;$FD7&amp;", "&amp;IF($CV7=1,14,9)&amp;" PE",""),IF(AND(4&gt;$CX7,4&lt;=$GH$4),"4 → "&amp;$FE7&amp;", "&amp;IF($CV7=1,18,12)&amp;" PE",""),IF(AND(5&gt;$CX7,5&lt;=$GH$4),"5 → "&amp;$FF7&amp;", "&amp;IF($CV7=1,23,15)&amp;" PE",""),IF(AND(6&gt;$CX7,6&lt;=$GH$4),"6 → "&amp;$FG7&amp;", "&amp;IF($CV7=1,27,18)&amp;" PE",""),IF(AND(7&gt;$CX7,7&lt;=$GH$4),"7 → "&amp;$FH7&amp;", "&amp;IF($CV7=1,32,21)&amp;" PE",""))))</f>
        <v/>
      </c>
      <c r="FZ7" s="140">
        <f>IF(OR($DI7=0,$DL7=0),"","−"&amp;INDEX($I$2:$N$8,$CX7,$DL7)&amp;" · "&amp;CHOOSE($DL7,"Leve","Média","Pesada","Leve · Livre","Média · Livre","Pesada · Livre"))</f>
        <v/>
      </c>
      <c r="GA7" s="140">
        <f>IF(OR($DI7=0,$DM7=0),"","−"&amp;INDEX($I$2:$N$8,$CX7,$DM7)&amp;" · "&amp;CHOOSE($DM7,"Leve","Média","Pesada","Leve · Livre","Média · Livre","Pesada · Livre"))</f>
        <v/>
      </c>
      <c r="GB7" s="140">
        <f>IF(OR($DI7=0,$DN7=0),"","−"&amp;INDEX($I$2:$N$8,$CX7,$DN7)&amp;" · "&amp;CHOOSE($DN7,"Leve","Média","Pesada","Leve · Livre","Média · Livre","Pesada · Livre"))</f>
        <v/>
      </c>
      <c r="GC7" s="140">
        <f>IF(OR($DI7=0,$DO7=0),"","−"&amp;INDEX($I$2:$N$8,$CX7,$DO7)&amp;" · "&amp;CHOOSE($DO7,"Leve","Média","Pesada","Leve · Livre","Média · Livre","Pesada · Livre"))</f>
        <v/>
      </c>
      <c r="GD7" s="140">
        <f>IF(OR($DI7=0,$DE7=""),"",IF($DG7=1,"Selo","+"&amp;IF($DY7=1,CEILING($CX7/2,1),$CX7)))</f>
        <v/>
      </c>
      <c r="GE7" s="140">
        <f>IF(OR($DI7=0,$DF7=""),"",IF($DH7=1,"Selo","+"&amp;IF($DZ7=1,CEILING($CX7/2,1),$CX7)))</f>
        <v/>
      </c>
      <c r="GG7" s="114" t="inlineStr">
        <is>
          <t>essência</t>
        </is>
      </c>
      <c r="GH7" s="140">
        <f>N(FICHA!$AJ$19)</f>
        <v/>
      </c>
      <c r="GJ7" s="114" t="inlineStr">
        <is>
          <t>Passiva 6 · Leque</t>
        </is>
      </c>
      <c r="GK7" s="140">
        <f>'FICHA AMALDIÇOADA'!$D$391&amp;""</f>
        <v/>
      </c>
      <c r="GL7" s="140">
        <f>IFERROR(VLOOKUP($GK7,$BJ$2:$BL$20,2,FALSE),0)</f>
        <v/>
      </c>
      <c r="GM7" s="140">
        <f>IFERROR(VLOOKUP($GL7,$BN$2:$BO$4,2,FALSE),0)</f>
        <v/>
      </c>
      <c r="GN7" s="140">
        <f>IFERROR(VLOOKUP($GK7,$BJ$2:$BL$20,3,FALSE),"")</f>
        <v/>
      </c>
      <c r="GO7" s="140">
        <f>IF($GL7=0,"",IF($GM7&gt;$GH$2,"⚠ nível "&amp;$GM7,"CP "&amp;$GL7))</f>
        <v/>
      </c>
      <c r="GP7" s="140">
        <f>IF($GL7=0,"",IF(1&gt;$GH$8,"⚠ vaga","grátis"))</f>
        <v/>
      </c>
      <c r="GR7" s="114" t="inlineStr">
        <is>
          <t>Aptidão 6</t>
        </is>
      </c>
      <c r="GS7" s="140">
        <f>'FICHA AMALDIÇOADA'!$P$441&amp;""</f>
        <v/>
      </c>
      <c r="GT7" s="140">
        <f>IF($GS7="","","Requisito: "&amp;IFERROR(VLOOKUP($GS7,$BQ$2:$BV$17,2,FALSE),""))</f>
        <v/>
      </c>
      <c r="GU7" s="140">
        <f>IF($GS7="","",IFERROR(IF(ISNUMBER(VLOOKUP($GS7,$BQ$2:$BV$17,3,FALSE)),"CP "&amp;VLOOKUP($GS7,$BQ$2:$BV$17,3,FALSE),VLOOKUP($GS7,$BQ$2:$BV$17,3,FALSE)),""))</f>
        <v/>
      </c>
      <c r="GV7" s="140">
        <f>IF($GS7="","",IFERROR(VLOOKUP($GS7,$BQ$2:$BV$17,4,FALSE),""))</f>
        <v/>
      </c>
      <c r="GW7" s="140">
        <f>IF($GS7="","",IFERROR(VLOOKUP($GS7,$BQ$2:$BV$17,5,FALSE),""))</f>
        <v/>
      </c>
      <c r="HH7" s="114" t="inlineStr">
        <is>
          <t>T. Máxima</t>
        </is>
      </c>
      <c r="HI7" s="140">
        <f>ADDRESS(ROW('FICHA AMALDIÇOADA'!K7),COLUMN('FICHA AMALDIÇOADA'!K7),4)</f>
        <v/>
      </c>
      <c r="HJ7" s="140">
        <f>ADDRESS(ROW('FICHA AMALDIÇOADA'!D334),COLUMN('FICHA AMALDIÇOADA'!D334),4)</f>
        <v/>
      </c>
    </row>
    <row r="8">
      <c r="A8" s="114" t="inlineStr">
        <is>
          <t>Tempo</t>
        </is>
      </c>
      <c r="B8" s="140">
        <f>'FICHA AMALDIÇOADA'!$L$31&amp;""</f>
        <v/>
      </c>
      <c r="C8" s="140">
        <f>IF($B8="Livre",1,0)</f>
        <v/>
      </c>
      <c r="D8" s="140">
        <f>IF($B8="Fechada",1,0)</f>
        <v/>
      </c>
      <c r="H8" s="140" t="n">
        <v>7</v>
      </c>
      <c r="I8" s="140" t="n">
        <v>4</v>
      </c>
      <c r="J8" s="140" t="n">
        <v>7</v>
      </c>
      <c r="K8" s="140" t="n">
        <v>11</v>
      </c>
      <c r="L8" s="140" t="n">
        <v>1</v>
      </c>
      <c r="M8" s="140" t="n">
        <v>3</v>
      </c>
      <c r="N8" s="140" t="n">
        <v>7</v>
      </c>
      <c r="O8" s="140" t="n">
        <v>4</v>
      </c>
      <c r="Q8" s="114" t="inlineStr">
        <is>
          <t>Cura</t>
        </is>
      </c>
      <c r="R8" s="114" t="inlineStr">
        <is>
          <t>Amparo</t>
        </is>
      </c>
      <c r="S8" s="140" t="n">
        <v>2</v>
      </c>
      <c r="T8" s="140">
        <f>IF($S8=0,0,$S8+3*IFERROR(VLOOKUP($R8,$A$2:$D$10,3,FALSE),0))</f>
        <v/>
      </c>
      <c r="U8" s="140">
        <f>IFERROR(VLOOKUP($R8,$A$2:$D$10,4,FALSE),0)</f>
        <v/>
      </c>
      <c r="V8" s="140" t="n">
        <v>0</v>
      </c>
      <c r="W8" s="140" t="n">
        <v>1</v>
      </c>
      <c r="X8" s="114" t="inlineStr">
        <is>
          <t>Automático</t>
        </is>
      </c>
      <c r="Y8" s="140" t="n">
        <v>0</v>
      </c>
      <c r="Z8" s="140" t="n">
        <v>1</v>
      </c>
      <c r="AA8" s="140" t="n">
        <v>0</v>
      </c>
      <c r="AB8" s="140" t="n">
        <v>0</v>
      </c>
      <c r="AC8" s="140" t="n">
        <v>0</v>
      </c>
      <c r="AD8" s="140">
        <f>IF($U8=1,"",$Q8)</f>
        <v/>
      </c>
      <c r="AE8" s="140">
        <f>IF(AND($AC8=1,$U8=0),$Q8,"")</f>
        <v/>
      </c>
      <c r="AG8" s="114" t="inlineStr">
        <is>
          <t>Explosão · classe 0</t>
        </is>
      </c>
      <c r="AH8" s="114" t="inlineStr">
        <is>
          <t>raio 3 m</t>
        </is>
      </c>
      <c r="AI8" s="114" t="inlineStr">
        <is>
          <t>raio 4,5 m</t>
        </is>
      </c>
      <c r="AJ8" s="114" t="inlineStr">
        <is>
          <t>raio 6 m</t>
        </is>
      </c>
      <c r="AK8" s="114" t="inlineStr">
        <is>
          <t>raio 9 m</t>
        </is>
      </c>
      <c r="AL8" s="114" t="inlineStr">
        <is>
          <t>raio 15 m</t>
        </is>
      </c>
      <c r="AM8" s="114" t="inlineStr">
        <is>
          <t>raio 15 m</t>
        </is>
      </c>
      <c r="AN8" s="114" t="inlineStr">
        <is>
          <t>, a 9 m</t>
        </is>
      </c>
      <c r="AO8" s="114" t="inlineStr">
        <is>
          <t>, a 18 m</t>
        </is>
      </c>
      <c r="AP8" s="114" t="inlineStr">
        <is>
          <t>, a 36 m</t>
        </is>
      </c>
      <c r="AQ8" s="114" t="inlineStr">
        <is>
          <t>, a 90 m</t>
        </is>
      </c>
      <c r="AR8" s="114" t="inlineStr">
        <is>
          <t>, a o que você enxergar</t>
        </is>
      </c>
      <c r="AS8" s="114" t="inlineStr">
        <is>
          <t>, a o que você enxergar</t>
        </is>
      </c>
      <c r="AU8" s="114" t="inlineStr">
        <is>
          <t>Perseguir</t>
        </is>
      </c>
      <c r="AV8" s="114" t="inlineStr">
        <is>
          <t>Alcance</t>
        </is>
      </c>
      <c r="AW8" s="140" t="n">
        <v>2</v>
      </c>
      <c r="AX8" s="140">
        <f>$AW8+3*IFERROR(VLOOKUP($AV8,$A$2:$D$10,3,FALSE),0)</f>
        <v/>
      </c>
      <c r="AY8" s="140">
        <f>IFERROR(VLOOKUP($AV8,$A$2:$D$10,4,FALSE),0)</f>
        <v/>
      </c>
      <c r="AZ8" s="140" t="n">
        <v>0</v>
      </c>
      <c r="BA8" s="140">
        <f>IF($AY8=1,"",$AU8)</f>
        <v/>
      </c>
      <c r="BB8" s="140">
        <f>IF(AND($AW8=1,$AY8=0),$AU8,"")</f>
        <v/>
      </c>
      <c r="BD8" s="114" t="inlineStr">
        <is>
          <t>Recuo (Média)</t>
        </is>
      </c>
      <c r="BE8" s="114" t="inlineStr">
        <is>
          <t>Recuo</t>
        </is>
      </c>
      <c r="BF8" s="140" t="n">
        <v>2</v>
      </c>
      <c r="BG8" s="140" t="n">
        <v>0</v>
      </c>
      <c r="BH8" s="114" t="inlineStr"/>
      <c r="BJ8" s="114" t="inlineStr">
        <is>
          <t>Fluxo</t>
        </is>
      </c>
      <c r="BK8" s="140" t="n">
        <v>2</v>
      </c>
      <c r="BL8" s="114" t="inlineStr">
        <is>
          <t>Ao conjurar Classe 3 ou mais, você ganha 2 × Classe de vida temporária.</t>
        </is>
      </c>
      <c r="BQ8" s="114" t="inlineStr">
        <is>
          <t>Kokusen Melhorado</t>
        </is>
      </c>
      <c r="BR8" s="114" t="inlineStr">
        <is>
          <t>refino 5 e nível 14</t>
        </is>
      </c>
      <c r="BS8" s="114" t="inlineStr">
        <is>
          <t>—</t>
        </is>
      </c>
      <c r="BT8" s="114" t="inlineStr">
        <is>
          <t>vantagem no d100</t>
        </is>
      </c>
      <c r="BU8" s="114" t="inlineStr">
        <is>
          <t>Mesma regra do Kokusen, exceto que você rola dois d100 e fica com o melhor.</t>
        </is>
      </c>
      <c r="BV8" s="114" t="inlineStr">
        <is>
          <t>Kokusen Melhorado</t>
        </is>
      </c>
      <c r="CU8" s="114" t="inlineStr">
        <is>
          <t>Feitiço 7</t>
        </is>
      </c>
      <c r="CV8" s="140" t="n">
        <v>0</v>
      </c>
      <c r="CW8" s="140" t="n">
        <v>7</v>
      </c>
      <c r="CX8" s="140">
        <f>MAX(1,MIN(7,N('FICHA AMALDIÇOADA'!$D$87)))</f>
        <v/>
      </c>
      <c r="CY8" s="140">
        <f>'FICHA AMALDIÇOADA'!$E$87&amp;""</f>
        <v/>
      </c>
      <c r="CZ8" s="140">
        <f>'FICHA AMALDIÇOADA'!$D$94&amp;""</f>
        <v/>
      </c>
      <c r="DA8" s="140">
        <f>'FICHA AMALDIÇOADA'!$E$96&amp;""</f>
        <v/>
      </c>
      <c r="DB8" s="140">
        <f>'FICHA AMALDIÇOADA'!$E$97&amp;""</f>
        <v/>
      </c>
      <c r="DC8" s="140">
        <f>'FICHA AMALDIÇOADA'!$E$98&amp;""</f>
        <v/>
      </c>
      <c r="DD8" s="140">
        <f>'FICHA AMALDIÇOADA'!$E$99&amp;""</f>
        <v/>
      </c>
      <c r="DE8" s="140">
        <f>'FICHA AMALDIÇOADA'!$E$100&amp;""</f>
        <v/>
      </c>
      <c r="DF8" s="140">
        <f>'FICHA AMALDIÇOADA'!$E$101&amp;""</f>
        <v/>
      </c>
      <c r="DG8" s="140">
        <f>IF('FICHA AMALDIÇOADA'!$H$100=TRUE,1,0)</f>
        <v/>
      </c>
      <c r="DH8" s="140">
        <f>IF('FICHA AMALDIÇOADA'!$H$101=TRUE,1,0)</f>
        <v/>
      </c>
      <c r="DI8" s="140">
        <f>IF($CY8&lt;&gt;"",1,0)</f>
        <v/>
      </c>
      <c r="DJ8" s="140">
        <f>IFERROR(MATCH($CZ8,$Q$2:$Q$11,0),0)</f>
        <v/>
      </c>
      <c r="DK8" s="140">
        <f>IF($DJ8=0,0,INDEX($T$2:$T$11,$DJ8))</f>
        <v/>
      </c>
      <c r="DL8" s="140">
        <f>IFERROR(VLOOKUP($DA8,$AU$2:$BB$84,4,FALSE),0)</f>
        <v/>
      </c>
      <c r="DM8" s="140">
        <f>IFERROR(VLOOKUP($DB8,$AU$2:$BB$84,4,FALSE),0)</f>
        <v/>
      </c>
      <c r="DN8" s="140">
        <f>IFERROR(VLOOKUP($DC8,$AU$2:$BB$84,4,FALSE),0)</f>
        <v/>
      </c>
      <c r="DO8" s="140">
        <f>IFERROR(VLOOKUP($DD8,$AU$2:$BB$84,4,FALSE),0)</f>
        <v/>
      </c>
      <c r="DP8" s="140">
        <f>IF($DJ8=0,0,INDEX($U$2:$U$11,$DJ8))</f>
        <v/>
      </c>
      <c r="DQ8" s="140">
        <f>IFERROR(VLOOKUP($DA8,$AU$2:$BB$84,5,FALSE),0)</f>
        <v/>
      </c>
      <c r="DR8" s="140">
        <f>IFERROR(VLOOKUP($DB8,$AU$2:$BB$84,5,FALSE),0)</f>
        <v/>
      </c>
      <c r="DS8" s="140">
        <f>IFERROR(VLOOKUP($DC8,$AU$2:$BB$84,5,FALSE),0)</f>
        <v/>
      </c>
      <c r="DT8" s="140">
        <f>IFERROR(VLOOKUP($DD8,$AU$2:$BB$84,5,FALSE),0)</f>
        <v/>
      </c>
      <c r="DU8" s="140">
        <f>IFERROR(VLOOKUP($DA8,$AU$2:$BB$84,6,FALSE),0)+IFERROR(VLOOKUP($DB8,$AU$2:$BB$84,6,FALSE),0)+IFERROR(VLOOKUP($DC8,$AU$2:$BB$84,6,FALSE),0)+IFERROR(VLOOKUP($DD8,$AU$2:$BB$84,6,FALSE),0)</f>
        <v/>
      </c>
      <c r="DV8" s="140">
        <f>IF($DJ8=0,0,INDEX($V$2:$V$11,$DJ8))</f>
        <v/>
      </c>
      <c r="DW8" s="140">
        <f>IF($DJ8=0,0,INDEX($W$2:$W$11,$DJ8))</f>
        <v/>
      </c>
      <c r="DX8" s="140">
        <f>IF($DJ8=0,0,INDEX($Y$2:$Y$11,$DJ8))</f>
        <v/>
      </c>
      <c r="DY8" s="140">
        <f>IF($DG8=1,0,IFERROR(VLOOKUP($DE8,$BD$2:$BH$24,3,FALSE),0))</f>
        <v/>
      </c>
      <c r="DZ8" s="140">
        <f>IF($DH8=1,0,IFERROR(VLOOKUP($DF8,$BD$2:$BH$24,3,FALSE),0))</f>
        <v/>
      </c>
      <c r="EA8" s="140">
        <f>IFERROR(VLOOKUP($DE8,$BD$2:$BH$24,2,FALSE),"")</f>
        <v/>
      </c>
      <c r="EB8" s="140">
        <f>IFERROR(VLOOKUP($DF8,$BD$2:$BH$24,2,FALSE),"")</f>
        <v/>
      </c>
      <c r="EC8" s="140">
        <f>COUNTIF($DK8:$DO8,1)</f>
        <v/>
      </c>
      <c r="ED8" s="140">
        <f>COUNTIF($DK8:$DO8,2)</f>
        <v/>
      </c>
      <c r="EE8" s="140">
        <f>COUNTIF($DK8:$DO8,3)</f>
        <v/>
      </c>
      <c r="EF8" s="140">
        <f>COUNTIF($DK8:$DO8,4)</f>
        <v/>
      </c>
      <c r="EG8" s="140">
        <f>COUNTIF($DK8:$DO8,5)</f>
        <v/>
      </c>
      <c r="EH8" s="140">
        <f>COUNTIF($DK8:$DO8,6)</f>
        <v/>
      </c>
      <c r="EI8" s="140">
        <f>COUNTIF($DY8:$DZ8,1)</f>
        <v/>
      </c>
      <c r="EJ8" s="140">
        <f>COUNTIF($DY8:$DZ8,2)+$DV8</f>
        <v/>
      </c>
      <c r="EK8" s="140">
        <f>COUNTIF($DA8:$DD8,"?*")</f>
        <v/>
      </c>
      <c r="EL8" s="140">
        <f>COUNTIF($DE8:$DF8,"?*")+$DV8</f>
        <v/>
      </c>
      <c r="EM8" s="140">
        <f>SUMPRODUCT($EC8:$EH8,INDEX($I$2:$N$8,$CX8,0))</f>
        <v/>
      </c>
      <c r="EN8" s="140">
        <f>$EI8*CEILING($CX8/2,1)+$EJ8*$CX8</f>
        <v/>
      </c>
      <c r="EO8" s="140">
        <f>MIN(2*$CX8,$EN8)</f>
        <v/>
      </c>
      <c r="EP8" s="140">
        <f>MIN($EO8,$EM8)</f>
        <v/>
      </c>
      <c r="EQ8" s="140">
        <f>$EO8-$EP8</f>
        <v/>
      </c>
      <c r="ER8" s="140">
        <f>3*$CX8-$EM8+$EP8</f>
        <v/>
      </c>
      <c r="ES8" s="140">
        <f>MAX(0,$ER8)+$CV8*$CX8</f>
        <v/>
      </c>
      <c r="ET8" s="140">
        <f>(IF(COUNTIF($DA8:$DD8,"Salto")&gt;0,1,0)+IF(COUNTIF($DA8:$DD8,"Queima")&gt;0,1,0))*FLOOR($ES8/2,1)</f>
        <v/>
      </c>
      <c r="EU8" s="140">
        <f>MAX(0,3-SUMPRODUCT($EC8:$EH8,$I$2:$N$2)+MIN(2,$EI8*1+$EJ8*1,SUMPRODUCT($EC8:$EH8,$I$2:$N$2)))+$CV8*1</f>
        <v/>
      </c>
      <c r="EV8" s="140">
        <f>MAX(0,6-SUMPRODUCT($EC8:$EH8,$I$3:$N$3)+MIN(4,$EI8*1+$EJ8*2,SUMPRODUCT($EC8:$EH8,$I$3:$N$3)))+$CV8*2</f>
        <v/>
      </c>
      <c r="EW8" s="140">
        <f>MAX(0,9-SUMPRODUCT($EC8:$EH8,$I$4:$N$4)+MIN(6,$EI8*2+$EJ8*3,SUMPRODUCT($EC8:$EH8,$I$4:$N$4)))+$CV8*3</f>
        <v/>
      </c>
      <c r="EX8" s="140">
        <f>MAX(0,12-SUMPRODUCT($EC8:$EH8,$I$5:$N$5)+MIN(8,$EI8*2+$EJ8*4,SUMPRODUCT($EC8:$EH8,$I$5:$N$5)))+$CV8*4</f>
        <v/>
      </c>
      <c r="EY8" s="140">
        <f>MAX(0,15-SUMPRODUCT($EC8:$EH8,$I$6:$N$6)+MIN(10,$EI8*3+$EJ8*5,SUMPRODUCT($EC8:$EH8,$I$6:$N$6)))+$CV8*5</f>
        <v/>
      </c>
      <c r="EZ8" s="140">
        <f>MAX(0,18-SUMPRODUCT($EC8:$EH8,$I$7:$N$7)+MIN(12,$EI8*3+$EJ8*6,SUMPRODUCT($EC8:$EH8,$I$7:$N$7)))+$CV8*6</f>
        <v/>
      </c>
      <c r="FA8" s="140">
        <f>MAX(0,21-SUMPRODUCT($EC8:$EH8,$I$8:$N$8)+MIN(14,$EI8*4+$EJ8*7,SUMPRODUCT($EC8:$EH8,$I$8:$N$8)))+$CV8*7</f>
        <v/>
      </c>
      <c r="FB8" s="140">
        <f>IF($DW8=2,3*$EU8&amp;" de vida temp.",IF($DW8=3,"sem dano",IF($EU8=0,IF($DW8=1,"sem cura","sem dano"),IF($DW8=1,"cura ","")&amp;$EU8&amp;"d8")))</f>
        <v/>
      </c>
      <c r="FC8" s="140">
        <f>IF($DW8=2,3*$EV8&amp;" de vida temp.",IF($DW8=3,"sem dano",IF($EV8=0,IF($DW8=1,"sem cura","sem dano"),IF($DW8=1,"cura ","")&amp;$EV8&amp;"d8")))</f>
        <v/>
      </c>
      <c r="FD8" s="140">
        <f>IF($DW8=2,3*$EW8&amp;" de vida temp.",IF($DW8=3,"sem dano",IF($EW8=0,IF($DW8=1,"sem cura","sem dano"),IF($DW8=1,"cura ","")&amp;$EW8&amp;"d8")))</f>
        <v/>
      </c>
      <c r="FE8" s="140">
        <f>IF($DW8=2,3*$EX8&amp;" de vida temp.",IF($DW8=3,"sem dano",IF($EX8=0,IF($DW8=1,"sem cura","sem dano"),IF($DW8=1,"cura ","")&amp;$EX8&amp;"d8")))</f>
        <v/>
      </c>
      <c r="FF8" s="140">
        <f>IF($DW8=2,3*$EY8&amp;" de vida temp.",IF($DW8=3,"sem dano",IF($EY8=0,IF($DW8=1,"sem cura","sem dano"),IF($DW8=1,"cura ","")&amp;$EY8&amp;"d8")))</f>
        <v/>
      </c>
      <c r="FG8" s="140">
        <f>IF($DW8=2,3*$EZ8&amp;" de vida temp.",IF($DW8=3,"sem dano",IF($EZ8=0,IF($DW8=1,"sem cura","sem dano"),IF($DW8=1,"cura ","")&amp;$EZ8&amp;"d8")))</f>
        <v/>
      </c>
      <c r="FH8" s="140">
        <f>IF($DW8=2,3*$FA8&amp;" de vida temp.",IF($DW8=3,"sem dano",IF($FA8=0,IF($DW8=1,"sem cura","sem dano"),IF($DW8=1,"cura ","")&amp;$FA8&amp;"d8")))</f>
        <v/>
      </c>
      <c r="FI8" s="140">
        <f>IF($DI8=0,"",TEXTJOIN(" · ",TRUE,IF(AND($CV8=1,$CW8&gt;$GH$9),"O nível "&amp;$GH$2&amp;" dá "&amp;$GH$9&amp;" Liberação Máxima",""),IF($CX8&gt;$GH$4,"Classe "&amp;$CX8&amp;": o nível "&amp;$GH$2&amp;" libera até a "&amp;$GH$4,""),IF($DP8=1,"Família Fechada: a Forma "&amp;$CZ8,""),IF($DQ8=1,"Família Fechada: "&amp;$DA8,""),IF($DR8=1,"Família Fechada: "&amp;$DB8,""),IF($DS8=1,"Família Fechada: "&amp;$DC8,""),IF($DT8=1,"Família Fechada: "&amp;$DD8,""),IF($EK8&gt;INDEX($O$2:$O$8,$CX8),$EK8&amp;" Melhorias: a Classe "&amp;$CX8&amp;" aceita "&amp;INDEX($O$2:$O$8,$CX8),""),IF($EL8&gt;2,$EL8&amp;" Restrições"&amp;IF($DV8=1,", contando a que a Forma "&amp;$CZ8&amp;" já traz","")&amp;": o limite é 2",""),IF($ER8&lt;0,"Orçamento estourado: faltam "&amp;(-$ER8)&amp;IF($ER8&lt;-1," pontos"," ponto"),""),IF(IFERROR(VLOOKUP($DE8,$BD$2:$BH$24,4,FALSE),0)+IFERROR(VLOOKUP($DF8,$BD$2:$BH$24,4,FALSE),0)&gt;1,$EA8&amp;" e "&amp;$EB8&amp;" são as duas de frequência",""),IF(AND((COUNTIF($DA8:$DD8,"Rápido")+COUNTIF($EA8:$EB8,"Rápido"))&gt;0,(COUNTIF($DA8:$DD8,"Reação")+COUNTIF($EA8:$EB8,"Reação"))&gt;0),"Rápido não entra com Reação",""),IF(AND((COUNTIF($DA8:$DD8,"Rápido")+COUNTIF($EA8:$EB8,"Rápido"))&gt;0,(COUNTIF($DA8:$DD8,"Atrasar")+COUNTIF($EA8:$EB8,"Atrasar"))&gt;0),"Rápido não entra com Atrasar",""),IF(AND((COUNTIF($DA8:$DD8,"Reação")+COUNTIF($EA8:$EB8,"Reação"))&gt;0,(COUNTIF($DA8:$DD8,"Atrasar")+COUNTIF($EA8:$EB8,"Atrasar"))&gt;0),"Reação não entra com Atrasar",""),IF(AND((COUNTIF($DA8:$DD8,"Reação")+COUNTIF($EA8:$EB8,"Reação"))&gt;0,(COUNTIF($DA8:$DD8,"Parado")+COUNTIF($EA8:$EB8,"Parado"))&gt;0),"Reação não entra com Parado",""),IF(AND(COUNTIF($EA8:$EB8,"Corpo a Corpo")&gt;0,$DV8=0,OR($CZ8="Cone",$CZ8="Linha")),"Corpo a Corpo não entra em "&amp;$CZ8,""),IF(AND(COUNTIF($EA8:$EB8,"Corpo a Corpo")&gt;0,$DV8=1),"A Forma "&amp;$CZ8&amp;" já traz o Corpo a Corpo",""),IF(AND(COUNTIF($EA8:$EB8,"Tudo ou Nada")&gt;0,$DX8=0),"Tudo ou Nada só entra em feitiço de Teste de Resistência",""),IF(AND(COUNTIF($DA8:$DD8,"Inescapável")&gt;0,OR($EK8&gt;1,$EL8&gt;0)),"Inescapável não aceita outra peça",""),IF(AND($CV8=1,$CX8&lt;3),"Liberação Máxima é de Classe 3 ou mais",""),IF(AND($CV8=1,OR($DW8=1,$DW8=2)),"Liberação Máxima não serve para cura",""),IF(AND($CV8=1,COUNTIF($DA8:$DD8,"Inescapável")+COUNTIF($DA8:$DD8,"Toca a Alma")&gt;0),"Esta peça não entra numa Liberação Máxima",""),IF($ES8+$ET8&gt;4*$CX8,($ES8+$ET8)&amp;" dados somando alvos e repetições: o teto da Classe "&amp;$CX8&amp;" é "&amp;4*$CX8,"")))</f>
        <v/>
      </c>
      <c r="FJ8" s="140">
        <f>IF($FI8="",0,(LEN($FI8)-LEN(SUBSTITUTE($FI8," · ","")))/3+1)</f>
        <v/>
      </c>
      <c r="FK8" s="140">
        <f>IF($DI8=0,"",TEXTJOIN(" · ",TRUE,IF($EN8&gt;2*$CX8,"A devolução parou no teto de "&amp;2*$CX8,""),IF($EQ8&gt;0,"Devolução perdida: "&amp;$EQ8&amp;IF($EQ8&gt;1," pontos"," ponto")&amp;" sem peça para pagar",""),IF(AND($DU8&gt;0,$ES8=0),"Controle sem dano: uma rodada a mais e CD +2",""),IF(AND($DU8&gt;0,$ES8&gt;0,$ES8&lt;=$CX8),"Controle com um quarto do teto: uma rodada a mais","")))</f>
        <v/>
      </c>
      <c r="FL8" s="140">
        <f>IF($FK8="",0,(LEN($FK8)-LEN(SUBSTITUTE($FK8," · ","")))/3+1)</f>
        <v/>
      </c>
      <c r="FM8" s="140">
        <f>IF($DI8=0,IF($EK8+$EL8-$DV8&gt;0,"dê um nome",""),IF($FJ8&gt;0,"⚠ "&amp;$FJ8&amp;IF($FJ8&gt;1," erros"," erro"),IF($FL8&gt;0,"! "&amp;$FL8&amp;IF($FL8&gt;1," avisos"," aviso"),"na regra")))</f>
        <v/>
      </c>
      <c r="FN8" s="140">
        <f>IF($DI8=0,"",IF($FJ8+$FL8=0,"Dentro das regras que a ficha confere",$FI8&amp;IF(AND($FJ8&gt;0,$FL8&gt;0)," · ","")&amp;$FK8))</f>
        <v/>
      </c>
      <c r="FO8" s="140">
        <f>IF($DI8=0,"",IF($CV8=1,CEILING(4.5*$CX8,1),3*$CX8)&amp;" PE")</f>
        <v/>
      </c>
      <c r="FP8" s="140">
        <f>IF($DI8=0,"",IF($CV8=1,"Rodada inteira",IF(COUNTIF($EA8:$EB8,"Atrasar")&gt;0,IF(COUNTIF($EA8:$EB8,"Carregar")&gt;0,"Rodada +1 turno","Rodada inteira"),IF(COUNTIF($DA8:$DD8,"Rápido")&gt;0,"Bônus",IF(COUNTIF($DA8:$DD8,"Reação")&gt;0,"Reação","Padrão"))&amp;IF(COUNTIF($EA8:$EB8,"Carregar")&gt;0," +1 turno",""))))</f>
        <v/>
      </c>
      <c r="FQ8" s="140">
        <f>IF(OR($DI8=0,$DJ8=0),"",IF(COUNTIF($DA8:$DD8,"Inescapável")&gt;0,"Automático",IF(COUNTIF($DA8:$DD8,"Certeiro")&gt;0,"TR para metade",INDEX($X$2:$X$11,$DJ8))))</f>
        <v/>
      </c>
      <c r="FR8" s="140">
        <f>IF(OR($DI8=0,$DJ8=0),"",IF(OR($DW8&gt;=2,$ES8=0),INDEX($FB8:$FH8,1,$CX8),INDEX($FB8:$FH8,1,$CX8)&amp;" = "&amp;FLOOR($ES8*4.5,1)&amp;IF($ET8&gt;0," · +"&amp;$ET8&amp;"d8","")))</f>
        <v/>
      </c>
      <c r="FS8" s="140">
        <f>COUNTIF($DA8:$DD8,"Longe")+3*COUNTIF($DA8:$DD8,"Muito Longe")</f>
        <v/>
      </c>
      <c r="FT8" s="140">
        <f>COUNTIF($DA8:$DD8,"Maior")+3*COUNTIF($DA8:$DD8,"Muito Maior")</f>
        <v/>
      </c>
      <c r="FU8" s="140">
        <f>IF($DJ8=0,0,CHOOSE(1+INDEX($Z$2:$Z$11,$DJ8),0,$FS8,$FT8,$FS8+$FT8))</f>
        <v/>
      </c>
      <c r="FV8" s="140">
        <f>IF($DJ8=0,0,CHOOSE(1+INDEX($AA$2:$AA$11,$DJ8),0,$FS8,$FT8,$FS8+$FT8))</f>
        <v/>
      </c>
      <c r="FW8" s="140">
        <f>IF(OR($DI8=0,$DJ8=0),"",INDEX($AH$2:$AM$31,($DJ8-1)*3+IF($CX8&gt;=6,3,2),1+MIN(5,$FU8))&amp;INDEX($AN$2:$AS$31,($DJ8-1)*3+IF($CX8&gt;=6,3,2),1+MIN(5,$FV8))&amp;IF(INDEX($AB$2:$AB$11,$DJ8)=1,IF(COUNTIF($DA8:$DD8,"Mais Um")&gt;0," · +"&amp;COUNTIF($DA8:$DD8,"Mais Um")&amp;IF(COUNTIF($DA8:$DD8,"Mais Um")&gt;1," alvos"," alvo"),"")&amp;IF(COUNTIF($DA8:$DD8,"Rajada")&gt;0," · "&amp;($CX8+1)&amp;" tiros",""),""))</f>
        <v/>
      </c>
      <c r="FX8" s="140">
        <f>IF($DI8=0,"",3*$CX8&amp;" − "&amp;$EM8&amp;" + "&amp;$EP8&amp;IF($CV8=1," + "&amp;$CX8,"")&amp;" = "&amp;$ES8&amp;"d8 · teto "&amp;4*$CX8&amp;IF($DV8=1," · a Forma devolve "&amp;$CX8,"")&amp;IF($EQ8&gt;0," · perde "&amp;$EQ8,""))</f>
        <v/>
      </c>
      <c r="FY8" s="140">
        <f>IF($DI8=0,"",IF($CX8&gt;=$GH$4,"Já está na maior Classe que o nível liberou",TEXTJOIN(" · ",TRUE,IF(AND(2&gt;$CX8,2&lt;=$GH$4),"2 → "&amp;$FC8&amp;", "&amp;IF($CV8=1,9,6)&amp;" PE",""),IF(AND(3&gt;$CX8,3&lt;=$GH$4),"3 → "&amp;$FD8&amp;", "&amp;IF($CV8=1,14,9)&amp;" PE",""),IF(AND(4&gt;$CX8,4&lt;=$GH$4),"4 → "&amp;$FE8&amp;", "&amp;IF($CV8=1,18,12)&amp;" PE",""),IF(AND(5&gt;$CX8,5&lt;=$GH$4),"5 → "&amp;$FF8&amp;", "&amp;IF($CV8=1,23,15)&amp;" PE",""),IF(AND(6&gt;$CX8,6&lt;=$GH$4),"6 → "&amp;$FG8&amp;", "&amp;IF($CV8=1,27,18)&amp;" PE",""),IF(AND(7&gt;$CX8,7&lt;=$GH$4),"7 → "&amp;$FH8&amp;", "&amp;IF($CV8=1,32,21)&amp;" PE",""))))</f>
        <v/>
      </c>
      <c r="FZ8" s="140">
        <f>IF(OR($DI8=0,$DL8=0),"","−"&amp;INDEX($I$2:$N$8,$CX8,$DL8)&amp;" · "&amp;CHOOSE($DL8,"Leve","Média","Pesada","Leve · Livre","Média · Livre","Pesada · Livre"))</f>
        <v/>
      </c>
      <c r="GA8" s="140">
        <f>IF(OR($DI8=0,$DM8=0),"","−"&amp;INDEX($I$2:$N$8,$CX8,$DM8)&amp;" · "&amp;CHOOSE($DM8,"Leve","Média","Pesada","Leve · Livre","Média · Livre","Pesada · Livre"))</f>
        <v/>
      </c>
      <c r="GB8" s="140">
        <f>IF(OR($DI8=0,$DN8=0),"","−"&amp;INDEX($I$2:$N$8,$CX8,$DN8)&amp;" · "&amp;CHOOSE($DN8,"Leve","Média","Pesada","Leve · Livre","Média · Livre","Pesada · Livre"))</f>
        <v/>
      </c>
      <c r="GC8" s="140">
        <f>IF(OR($DI8=0,$DO8=0),"","−"&amp;INDEX($I$2:$N$8,$CX8,$DO8)&amp;" · "&amp;CHOOSE($DO8,"Leve","Média","Pesada","Leve · Livre","Média · Livre","Pesada · Livre"))</f>
        <v/>
      </c>
      <c r="GD8" s="140">
        <f>IF(OR($DI8=0,$DE8=""),"",IF($DG8=1,"Selo","+"&amp;IF($DY8=1,CEILING($CX8/2,1),$CX8)))</f>
        <v/>
      </c>
      <c r="GE8" s="140">
        <f>IF(OR($DI8=0,$DF8=""),"",IF($DH8=1,"Selo","+"&amp;IF($DZ8=1,CEILING($CX8/2,1),$CX8)))</f>
        <v/>
      </c>
      <c r="GG8" s="114" t="inlineStr">
        <is>
          <t>escolhas de Leque</t>
        </is>
      </c>
      <c r="GH8" s="140">
        <f>MIN(N(DADOS!$AK$38),$GH$5)</f>
        <v/>
      </c>
      <c r="GJ8" s="114" t="inlineStr">
        <is>
          <t>Passiva 7 · Leque</t>
        </is>
      </c>
      <c r="GK8" s="140">
        <f>'FICHA AMALDIÇOADA'!$J$391&amp;""</f>
        <v/>
      </c>
      <c r="GL8" s="140">
        <f>IFERROR(VLOOKUP($GK8,$BJ$2:$BL$20,2,FALSE),0)</f>
        <v/>
      </c>
      <c r="GM8" s="140">
        <f>IFERROR(VLOOKUP($GL8,$BN$2:$BO$4,2,FALSE),0)</f>
        <v/>
      </c>
      <c r="GN8" s="140">
        <f>IFERROR(VLOOKUP($GK8,$BJ$2:$BL$20,3,FALSE),"")</f>
        <v/>
      </c>
      <c r="GO8" s="140">
        <f>IF($GL8=0,"",IF($GM8&gt;$GH$2,"⚠ nível "&amp;$GM8,"CP "&amp;$GL8))</f>
        <v/>
      </c>
      <c r="GP8" s="140">
        <f>IF($GL8=0,"",IF(2&gt;$GH$8,"⚠ vaga","grátis"))</f>
        <v/>
      </c>
      <c r="GR8" s="114" t="inlineStr">
        <is>
          <t>Aptidão 7</t>
        </is>
      </c>
      <c r="GS8" s="140">
        <f>'FICHA AMALDIÇOADA'!$D$463&amp;""</f>
        <v/>
      </c>
      <c r="GT8" s="140">
        <f>IF($GS8="","","Requisito: "&amp;IFERROR(VLOOKUP($GS8,$BQ$2:$BV$17,2,FALSE),""))</f>
        <v/>
      </c>
      <c r="GU8" s="140">
        <f>IF($GS8="","",IFERROR(IF(ISNUMBER(VLOOKUP($GS8,$BQ$2:$BV$17,3,FALSE)),"CP "&amp;VLOOKUP($GS8,$BQ$2:$BV$17,3,FALSE),VLOOKUP($GS8,$BQ$2:$BV$17,3,FALSE)),""))</f>
        <v/>
      </c>
      <c r="GV8" s="140">
        <f>IF($GS8="","",IFERROR(VLOOKUP($GS8,$BQ$2:$BV$17,4,FALSE),""))</f>
        <v/>
      </c>
      <c r="GW8" s="140">
        <f>IF($GS8="","",IFERROR(VLOOKUP($GS8,$BQ$2:$BV$17,5,FALSE),""))</f>
        <v/>
      </c>
      <c r="HH8" s="114" t="inlineStr">
        <is>
          <t>Domínio</t>
        </is>
      </c>
      <c r="HI8" s="140">
        <f>ADDRESS(ROW('FICHA AMALDIÇOADA'!L7),COLUMN('FICHA AMALDIÇOADA'!L7),4)</f>
        <v/>
      </c>
      <c r="HJ8" s="140">
        <f>ADDRESS(ROW('FICHA AMALDIÇOADA'!D348),COLUMN('FICHA AMALDIÇOADA'!D348),4)</f>
        <v/>
      </c>
    </row>
    <row r="9">
      <c r="A9" s="114" t="inlineStr">
        <is>
          <t>Marca</t>
        </is>
      </c>
      <c r="B9" s="140">
        <f>'FICHA AMALDIÇOADA'!$M$31&amp;""</f>
        <v/>
      </c>
      <c r="C9" s="140">
        <f>IF($B9="Livre",1,0)</f>
        <v/>
      </c>
      <c r="D9" s="140">
        <f>IF($B9="Fechada",1,0)</f>
        <v/>
      </c>
      <c r="Q9" s="114" t="inlineStr">
        <is>
          <t>Apoio</t>
        </is>
      </c>
      <c r="R9" s="114" t="inlineStr">
        <is>
          <t>Amparo</t>
        </is>
      </c>
      <c r="S9" s="140" t="n">
        <v>0</v>
      </c>
      <c r="T9" s="140">
        <f>IF($S9=0,0,$S9+3*IFERROR(VLOOKUP($R9,$A$2:$D$10,3,FALSE),0))</f>
        <v/>
      </c>
      <c r="U9" s="140">
        <f>IFERROR(VLOOKUP($R9,$A$2:$D$10,4,FALSE),0)</f>
        <v/>
      </c>
      <c r="V9" s="140" t="n">
        <v>0</v>
      </c>
      <c r="W9" s="140" t="n">
        <v>2</v>
      </c>
      <c r="X9" s="114" t="inlineStr">
        <is>
          <t>Automático</t>
        </is>
      </c>
      <c r="Y9" s="140" t="n">
        <v>0</v>
      </c>
      <c r="Z9" s="140" t="n">
        <v>1</v>
      </c>
      <c r="AA9" s="140" t="n">
        <v>0</v>
      </c>
      <c r="AB9" s="140" t="n">
        <v>0</v>
      </c>
      <c r="AC9" s="140" t="n">
        <v>1</v>
      </c>
      <c r="AD9" s="140">
        <f>IF($U9=1,"",$Q9)</f>
        <v/>
      </c>
      <c r="AE9" s="140">
        <f>IF(AND($AC9=1,$U9=0),$Q9,"")</f>
        <v/>
      </c>
      <c r="AG9" s="114" t="inlineStr">
        <is>
          <t>Explosão · classes 1 a 5</t>
        </is>
      </c>
      <c r="AH9" s="114" t="inlineStr">
        <is>
          <t>raio 3 m</t>
        </is>
      </c>
      <c r="AI9" s="114" t="inlineStr">
        <is>
          <t>raio 4,5 m</t>
        </is>
      </c>
      <c r="AJ9" s="114" t="inlineStr">
        <is>
          <t>raio 6 m</t>
        </is>
      </c>
      <c r="AK9" s="114" t="inlineStr">
        <is>
          <t>raio 9 m</t>
        </is>
      </c>
      <c r="AL9" s="114" t="inlineStr">
        <is>
          <t>raio 15 m</t>
        </is>
      </c>
      <c r="AM9" s="114" t="inlineStr">
        <is>
          <t>raio 15 m</t>
        </is>
      </c>
      <c r="AN9" s="114" t="inlineStr">
        <is>
          <t>, a 18 m</t>
        </is>
      </c>
      <c r="AO9" s="114" t="inlineStr">
        <is>
          <t>, a 36 m</t>
        </is>
      </c>
      <c r="AP9" s="114" t="inlineStr">
        <is>
          <t>, a 90 m</t>
        </is>
      </c>
      <c r="AQ9" s="114" t="inlineStr">
        <is>
          <t>, a o que você enxergar</t>
        </is>
      </c>
      <c r="AR9" s="114" t="inlineStr">
        <is>
          <t>, a o que você enxergar</t>
        </is>
      </c>
      <c r="AS9" s="114" t="inlineStr">
        <is>
          <t>, a o que você enxergar</t>
        </is>
      </c>
      <c r="AU9" s="114" t="inlineStr">
        <is>
          <t>Maior</t>
        </is>
      </c>
      <c r="AV9" s="114" t="inlineStr">
        <is>
          <t>Área</t>
        </is>
      </c>
      <c r="AW9" s="140" t="n">
        <v>1</v>
      </c>
      <c r="AX9" s="140">
        <f>$AW9+3*IFERROR(VLOOKUP($AV9,$A$2:$D$10,3,FALSE),0)</f>
        <v/>
      </c>
      <c r="AY9" s="140">
        <f>IFERROR(VLOOKUP($AV9,$A$2:$D$10,4,FALSE),0)</f>
        <v/>
      </c>
      <c r="AZ9" s="140" t="n">
        <v>0</v>
      </c>
      <c r="BA9" s="140">
        <f>IF($AY9=1,"",$AU9)</f>
        <v/>
      </c>
      <c r="BB9" s="140">
        <f>IF(AND($AW9=1,$AY9=0),$AU9,"")</f>
        <v/>
      </c>
      <c r="BD9" s="114" t="inlineStr">
        <is>
          <t>Carregar</t>
        </is>
      </c>
      <c r="BE9" s="114" t="inlineStr">
        <is>
          <t>Carregar</t>
        </is>
      </c>
      <c r="BF9" s="140" t="n">
        <v>2</v>
      </c>
      <c r="BG9" s="140" t="n">
        <v>0</v>
      </c>
      <c r="BH9" s="114" t="inlineStr"/>
      <c r="BJ9" s="114" t="inlineStr">
        <is>
          <t>Recomposição</t>
        </is>
      </c>
      <c r="BK9" s="140" t="n">
        <v>2</v>
      </c>
      <c r="BL9" s="114" t="inlineStr">
        <is>
          <t>Uma vez por descanso curto, gasta a ação e recupera 5 × a sua maior Classe em vida.</t>
        </is>
      </c>
      <c r="BQ9" s="114" t="inlineStr">
        <is>
          <t>Kokusen Constante</t>
        </is>
      </c>
      <c r="BR9" s="114" t="inlineStr">
        <is>
          <t>refino 5</t>
        </is>
      </c>
      <c r="BS9" s="114" t="inlineStr">
        <is>
          <t>—</t>
        </is>
      </c>
      <c r="BT9" s="114" t="inlineStr">
        <is>
          <t>a chance no d100</t>
        </is>
      </c>
      <c r="BU9" s="114" t="inlineStr">
        <is>
          <t>Mesma regra do Kokusen, exceto que a base sobe para 3 × refino.</t>
        </is>
      </c>
      <c r="BV9" s="114" t="inlineStr">
        <is>
          <t>Kokusen Constante</t>
        </is>
      </c>
      <c r="CU9" s="114" t="inlineStr">
        <is>
          <t>Feitiço 8</t>
        </is>
      </c>
      <c r="CV9" s="140" t="n">
        <v>0</v>
      </c>
      <c r="CW9" s="140" t="n">
        <v>8</v>
      </c>
      <c r="CX9" s="140">
        <f>MAX(1,MIN(7,N('FICHA AMALDIÇOADA'!$J$87)))</f>
        <v/>
      </c>
      <c r="CY9" s="140">
        <f>'FICHA AMALDIÇOADA'!$K$87&amp;""</f>
        <v/>
      </c>
      <c r="CZ9" s="140">
        <f>'FICHA AMALDIÇOADA'!$J$94&amp;""</f>
        <v/>
      </c>
      <c r="DA9" s="140">
        <f>'FICHA AMALDIÇOADA'!$K$96&amp;""</f>
        <v/>
      </c>
      <c r="DB9" s="140">
        <f>'FICHA AMALDIÇOADA'!$K$97&amp;""</f>
        <v/>
      </c>
      <c r="DC9" s="140">
        <f>'FICHA AMALDIÇOADA'!$K$98&amp;""</f>
        <v/>
      </c>
      <c r="DD9" s="140">
        <f>'FICHA AMALDIÇOADA'!$K$99&amp;""</f>
        <v/>
      </c>
      <c r="DE9" s="140">
        <f>'FICHA AMALDIÇOADA'!$K$100&amp;""</f>
        <v/>
      </c>
      <c r="DF9" s="140">
        <f>'FICHA AMALDIÇOADA'!$K$101&amp;""</f>
        <v/>
      </c>
      <c r="DG9" s="140">
        <f>IF('FICHA AMALDIÇOADA'!$N$100=TRUE,1,0)</f>
        <v/>
      </c>
      <c r="DH9" s="140">
        <f>IF('FICHA AMALDIÇOADA'!$N$101=TRUE,1,0)</f>
        <v/>
      </c>
      <c r="DI9" s="140">
        <f>IF($CY9&lt;&gt;"",1,0)</f>
        <v/>
      </c>
      <c r="DJ9" s="140">
        <f>IFERROR(MATCH($CZ9,$Q$2:$Q$11,0),0)</f>
        <v/>
      </c>
      <c r="DK9" s="140">
        <f>IF($DJ9=0,0,INDEX($T$2:$T$11,$DJ9))</f>
        <v/>
      </c>
      <c r="DL9" s="140">
        <f>IFERROR(VLOOKUP($DA9,$AU$2:$BB$84,4,FALSE),0)</f>
        <v/>
      </c>
      <c r="DM9" s="140">
        <f>IFERROR(VLOOKUP($DB9,$AU$2:$BB$84,4,FALSE),0)</f>
        <v/>
      </c>
      <c r="DN9" s="140">
        <f>IFERROR(VLOOKUP($DC9,$AU$2:$BB$84,4,FALSE),0)</f>
        <v/>
      </c>
      <c r="DO9" s="140">
        <f>IFERROR(VLOOKUP($DD9,$AU$2:$BB$84,4,FALSE),0)</f>
        <v/>
      </c>
      <c r="DP9" s="140">
        <f>IF($DJ9=0,0,INDEX($U$2:$U$11,$DJ9))</f>
        <v/>
      </c>
      <c r="DQ9" s="140">
        <f>IFERROR(VLOOKUP($DA9,$AU$2:$BB$84,5,FALSE),0)</f>
        <v/>
      </c>
      <c r="DR9" s="140">
        <f>IFERROR(VLOOKUP($DB9,$AU$2:$BB$84,5,FALSE),0)</f>
        <v/>
      </c>
      <c r="DS9" s="140">
        <f>IFERROR(VLOOKUP($DC9,$AU$2:$BB$84,5,FALSE),0)</f>
        <v/>
      </c>
      <c r="DT9" s="140">
        <f>IFERROR(VLOOKUP($DD9,$AU$2:$BB$84,5,FALSE),0)</f>
        <v/>
      </c>
      <c r="DU9" s="140">
        <f>IFERROR(VLOOKUP($DA9,$AU$2:$BB$84,6,FALSE),0)+IFERROR(VLOOKUP($DB9,$AU$2:$BB$84,6,FALSE),0)+IFERROR(VLOOKUP($DC9,$AU$2:$BB$84,6,FALSE),0)+IFERROR(VLOOKUP($DD9,$AU$2:$BB$84,6,FALSE),0)</f>
        <v/>
      </c>
      <c r="DV9" s="140">
        <f>IF($DJ9=0,0,INDEX($V$2:$V$11,$DJ9))</f>
        <v/>
      </c>
      <c r="DW9" s="140">
        <f>IF($DJ9=0,0,INDEX($W$2:$W$11,$DJ9))</f>
        <v/>
      </c>
      <c r="DX9" s="140">
        <f>IF($DJ9=0,0,INDEX($Y$2:$Y$11,$DJ9))</f>
        <v/>
      </c>
      <c r="DY9" s="140">
        <f>IF($DG9=1,0,IFERROR(VLOOKUP($DE9,$BD$2:$BH$24,3,FALSE),0))</f>
        <v/>
      </c>
      <c r="DZ9" s="140">
        <f>IF($DH9=1,0,IFERROR(VLOOKUP($DF9,$BD$2:$BH$24,3,FALSE),0))</f>
        <v/>
      </c>
      <c r="EA9" s="140">
        <f>IFERROR(VLOOKUP($DE9,$BD$2:$BH$24,2,FALSE),"")</f>
        <v/>
      </c>
      <c r="EB9" s="140">
        <f>IFERROR(VLOOKUP($DF9,$BD$2:$BH$24,2,FALSE),"")</f>
        <v/>
      </c>
      <c r="EC9" s="140">
        <f>COUNTIF($DK9:$DO9,1)</f>
        <v/>
      </c>
      <c r="ED9" s="140">
        <f>COUNTIF($DK9:$DO9,2)</f>
        <v/>
      </c>
      <c r="EE9" s="140">
        <f>COUNTIF($DK9:$DO9,3)</f>
        <v/>
      </c>
      <c r="EF9" s="140">
        <f>COUNTIF($DK9:$DO9,4)</f>
        <v/>
      </c>
      <c r="EG9" s="140">
        <f>COUNTIF($DK9:$DO9,5)</f>
        <v/>
      </c>
      <c r="EH9" s="140">
        <f>COUNTIF($DK9:$DO9,6)</f>
        <v/>
      </c>
      <c r="EI9" s="140">
        <f>COUNTIF($DY9:$DZ9,1)</f>
        <v/>
      </c>
      <c r="EJ9" s="140">
        <f>COUNTIF($DY9:$DZ9,2)+$DV9</f>
        <v/>
      </c>
      <c r="EK9" s="140">
        <f>COUNTIF($DA9:$DD9,"?*")</f>
        <v/>
      </c>
      <c r="EL9" s="140">
        <f>COUNTIF($DE9:$DF9,"?*")+$DV9</f>
        <v/>
      </c>
      <c r="EM9" s="140">
        <f>SUMPRODUCT($EC9:$EH9,INDEX($I$2:$N$8,$CX9,0))</f>
        <v/>
      </c>
      <c r="EN9" s="140">
        <f>$EI9*CEILING($CX9/2,1)+$EJ9*$CX9</f>
        <v/>
      </c>
      <c r="EO9" s="140">
        <f>MIN(2*$CX9,$EN9)</f>
        <v/>
      </c>
      <c r="EP9" s="140">
        <f>MIN($EO9,$EM9)</f>
        <v/>
      </c>
      <c r="EQ9" s="140">
        <f>$EO9-$EP9</f>
        <v/>
      </c>
      <c r="ER9" s="140">
        <f>3*$CX9-$EM9+$EP9</f>
        <v/>
      </c>
      <c r="ES9" s="140">
        <f>MAX(0,$ER9)+$CV9*$CX9</f>
        <v/>
      </c>
      <c r="ET9" s="140">
        <f>(IF(COUNTIF($DA9:$DD9,"Salto")&gt;0,1,0)+IF(COUNTIF($DA9:$DD9,"Queima")&gt;0,1,0))*FLOOR($ES9/2,1)</f>
        <v/>
      </c>
      <c r="EU9" s="140">
        <f>MAX(0,3-SUMPRODUCT($EC9:$EH9,$I$2:$N$2)+MIN(2,$EI9*1+$EJ9*1,SUMPRODUCT($EC9:$EH9,$I$2:$N$2)))+$CV9*1</f>
        <v/>
      </c>
      <c r="EV9" s="140">
        <f>MAX(0,6-SUMPRODUCT($EC9:$EH9,$I$3:$N$3)+MIN(4,$EI9*1+$EJ9*2,SUMPRODUCT($EC9:$EH9,$I$3:$N$3)))+$CV9*2</f>
        <v/>
      </c>
      <c r="EW9" s="140">
        <f>MAX(0,9-SUMPRODUCT($EC9:$EH9,$I$4:$N$4)+MIN(6,$EI9*2+$EJ9*3,SUMPRODUCT($EC9:$EH9,$I$4:$N$4)))+$CV9*3</f>
        <v/>
      </c>
      <c r="EX9" s="140">
        <f>MAX(0,12-SUMPRODUCT($EC9:$EH9,$I$5:$N$5)+MIN(8,$EI9*2+$EJ9*4,SUMPRODUCT($EC9:$EH9,$I$5:$N$5)))+$CV9*4</f>
        <v/>
      </c>
      <c r="EY9" s="140">
        <f>MAX(0,15-SUMPRODUCT($EC9:$EH9,$I$6:$N$6)+MIN(10,$EI9*3+$EJ9*5,SUMPRODUCT($EC9:$EH9,$I$6:$N$6)))+$CV9*5</f>
        <v/>
      </c>
      <c r="EZ9" s="140">
        <f>MAX(0,18-SUMPRODUCT($EC9:$EH9,$I$7:$N$7)+MIN(12,$EI9*3+$EJ9*6,SUMPRODUCT($EC9:$EH9,$I$7:$N$7)))+$CV9*6</f>
        <v/>
      </c>
      <c r="FA9" s="140">
        <f>MAX(0,21-SUMPRODUCT($EC9:$EH9,$I$8:$N$8)+MIN(14,$EI9*4+$EJ9*7,SUMPRODUCT($EC9:$EH9,$I$8:$N$8)))+$CV9*7</f>
        <v/>
      </c>
      <c r="FB9" s="140">
        <f>IF($DW9=2,3*$EU9&amp;" de vida temp.",IF($DW9=3,"sem dano",IF($EU9=0,IF($DW9=1,"sem cura","sem dano"),IF($DW9=1,"cura ","")&amp;$EU9&amp;"d8")))</f>
        <v/>
      </c>
      <c r="FC9" s="140">
        <f>IF($DW9=2,3*$EV9&amp;" de vida temp.",IF($DW9=3,"sem dano",IF($EV9=0,IF($DW9=1,"sem cura","sem dano"),IF($DW9=1,"cura ","")&amp;$EV9&amp;"d8")))</f>
        <v/>
      </c>
      <c r="FD9" s="140">
        <f>IF($DW9=2,3*$EW9&amp;" de vida temp.",IF($DW9=3,"sem dano",IF($EW9=0,IF($DW9=1,"sem cura","sem dano"),IF($DW9=1,"cura ","")&amp;$EW9&amp;"d8")))</f>
        <v/>
      </c>
      <c r="FE9" s="140">
        <f>IF($DW9=2,3*$EX9&amp;" de vida temp.",IF($DW9=3,"sem dano",IF($EX9=0,IF($DW9=1,"sem cura","sem dano"),IF($DW9=1,"cura ","")&amp;$EX9&amp;"d8")))</f>
        <v/>
      </c>
      <c r="FF9" s="140">
        <f>IF($DW9=2,3*$EY9&amp;" de vida temp.",IF($DW9=3,"sem dano",IF($EY9=0,IF($DW9=1,"sem cura","sem dano"),IF($DW9=1,"cura ","")&amp;$EY9&amp;"d8")))</f>
        <v/>
      </c>
      <c r="FG9" s="140">
        <f>IF($DW9=2,3*$EZ9&amp;" de vida temp.",IF($DW9=3,"sem dano",IF($EZ9=0,IF($DW9=1,"sem cura","sem dano"),IF($DW9=1,"cura ","")&amp;$EZ9&amp;"d8")))</f>
        <v/>
      </c>
      <c r="FH9" s="140">
        <f>IF($DW9=2,3*$FA9&amp;" de vida temp.",IF($DW9=3,"sem dano",IF($FA9=0,IF($DW9=1,"sem cura","sem dano"),IF($DW9=1,"cura ","")&amp;$FA9&amp;"d8")))</f>
        <v/>
      </c>
      <c r="FI9" s="140">
        <f>IF($DI9=0,"",TEXTJOIN(" · ",TRUE,IF(AND($CV9=1,$CW9&gt;$GH$9),"O nível "&amp;$GH$2&amp;" dá "&amp;$GH$9&amp;" Liberação Máxima",""),IF($CX9&gt;$GH$4,"Classe "&amp;$CX9&amp;": o nível "&amp;$GH$2&amp;" libera até a "&amp;$GH$4,""),IF($DP9=1,"Família Fechada: a Forma "&amp;$CZ9,""),IF($DQ9=1,"Família Fechada: "&amp;$DA9,""),IF($DR9=1,"Família Fechada: "&amp;$DB9,""),IF($DS9=1,"Família Fechada: "&amp;$DC9,""),IF($DT9=1,"Família Fechada: "&amp;$DD9,""),IF($EK9&gt;INDEX($O$2:$O$8,$CX9),$EK9&amp;" Melhorias: a Classe "&amp;$CX9&amp;" aceita "&amp;INDEX($O$2:$O$8,$CX9),""),IF($EL9&gt;2,$EL9&amp;" Restrições"&amp;IF($DV9=1,", contando a que a Forma "&amp;$CZ9&amp;" já traz","")&amp;": o limite é 2",""),IF($ER9&lt;0,"Orçamento estourado: faltam "&amp;(-$ER9)&amp;IF($ER9&lt;-1," pontos"," ponto"),""),IF(IFERROR(VLOOKUP($DE9,$BD$2:$BH$24,4,FALSE),0)+IFERROR(VLOOKUP($DF9,$BD$2:$BH$24,4,FALSE),0)&gt;1,$EA9&amp;" e "&amp;$EB9&amp;" são as duas de frequência",""),IF(AND((COUNTIF($DA9:$DD9,"Rápido")+COUNTIF($EA9:$EB9,"Rápido"))&gt;0,(COUNTIF($DA9:$DD9,"Reação")+COUNTIF($EA9:$EB9,"Reação"))&gt;0),"Rápido não entra com Reação",""),IF(AND((COUNTIF($DA9:$DD9,"Rápido")+COUNTIF($EA9:$EB9,"Rápido"))&gt;0,(COUNTIF($DA9:$DD9,"Atrasar")+COUNTIF($EA9:$EB9,"Atrasar"))&gt;0),"Rápido não entra com Atrasar",""),IF(AND((COUNTIF($DA9:$DD9,"Reação")+COUNTIF($EA9:$EB9,"Reação"))&gt;0,(COUNTIF($DA9:$DD9,"Atrasar")+COUNTIF($EA9:$EB9,"Atrasar"))&gt;0),"Reação não entra com Atrasar",""),IF(AND((COUNTIF($DA9:$DD9,"Reação")+COUNTIF($EA9:$EB9,"Reação"))&gt;0,(COUNTIF($DA9:$DD9,"Parado")+COUNTIF($EA9:$EB9,"Parado"))&gt;0),"Reação não entra com Parado",""),IF(AND(COUNTIF($EA9:$EB9,"Corpo a Corpo")&gt;0,$DV9=0,OR($CZ9="Cone",$CZ9="Linha")),"Corpo a Corpo não entra em "&amp;$CZ9,""),IF(AND(COUNTIF($EA9:$EB9,"Corpo a Corpo")&gt;0,$DV9=1),"A Forma "&amp;$CZ9&amp;" já traz o Corpo a Corpo",""),IF(AND(COUNTIF($EA9:$EB9,"Tudo ou Nada")&gt;0,$DX9=0),"Tudo ou Nada só entra em feitiço de Teste de Resistência",""),IF(AND(COUNTIF($DA9:$DD9,"Inescapável")&gt;0,OR($EK9&gt;1,$EL9&gt;0)),"Inescapável não aceita outra peça",""),IF(AND($CV9=1,$CX9&lt;3),"Liberação Máxima é de Classe 3 ou mais",""),IF(AND($CV9=1,OR($DW9=1,$DW9=2)),"Liberação Máxima não serve para cura",""),IF(AND($CV9=1,COUNTIF($DA9:$DD9,"Inescapável")+COUNTIF($DA9:$DD9,"Toca a Alma")&gt;0),"Esta peça não entra numa Liberação Máxima",""),IF($ES9+$ET9&gt;4*$CX9,($ES9+$ET9)&amp;" dados somando alvos e repetições: o teto da Classe "&amp;$CX9&amp;" é "&amp;4*$CX9,"")))</f>
        <v/>
      </c>
      <c r="FJ9" s="140">
        <f>IF($FI9="",0,(LEN($FI9)-LEN(SUBSTITUTE($FI9," · ","")))/3+1)</f>
        <v/>
      </c>
      <c r="FK9" s="140">
        <f>IF($DI9=0,"",TEXTJOIN(" · ",TRUE,IF($EN9&gt;2*$CX9,"A devolução parou no teto de "&amp;2*$CX9,""),IF($EQ9&gt;0,"Devolução perdida: "&amp;$EQ9&amp;IF($EQ9&gt;1," pontos"," ponto")&amp;" sem peça para pagar",""),IF(AND($DU9&gt;0,$ES9=0),"Controle sem dano: uma rodada a mais e CD +2",""),IF(AND($DU9&gt;0,$ES9&gt;0,$ES9&lt;=$CX9),"Controle com um quarto do teto: uma rodada a mais","")))</f>
        <v/>
      </c>
      <c r="FL9" s="140">
        <f>IF($FK9="",0,(LEN($FK9)-LEN(SUBSTITUTE($FK9," · ","")))/3+1)</f>
        <v/>
      </c>
      <c r="FM9" s="140">
        <f>IF($DI9=0,IF($EK9+$EL9-$DV9&gt;0,"dê um nome",""),IF($FJ9&gt;0,"⚠ "&amp;$FJ9&amp;IF($FJ9&gt;1," erros"," erro"),IF($FL9&gt;0,"! "&amp;$FL9&amp;IF($FL9&gt;1," avisos"," aviso"),"na regra")))</f>
        <v/>
      </c>
      <c r="FN9" s="140">
        <f>IF($DI9=0,"",IF($FJ9+$FL9=0,"Dentro das regras que a ficha confere",$FI9&amp;IF(AND($FJ9&gt;0,$FL9&gt;0)," · ","")&amp;$FK9))</f>
        <v/>
      </c>
      <c r="FO9" s="140">
        <f>IF($DI9=0,"",IF($CV9=1,CEILING(4.5*$CX9,1),3*$CX9)&amp;" PE")</f>
        <v/>
      </c>
      <c r="FP9" s="140">
        <f>IF($DI9=0,"",IF($CV9=1,"Rodada inteira",IF(COUNTIF($EA9:$EB9,"Atrasar")&gt;0,IF(COUNTIF($EA9:$EB9,"Carregar")&gt;0,"Rodada +1 turno","Rodada inteira"),IF(COUNTIF($DA9:$DD9,"Rápido")&gt;0,"Bônus",IF(COUNTIF($DA9:$DD9,"Reação")&gt;0,"Reação","Padrão"))&amp;IF(COUNTIF($EA9:$EB9,"Carregar")&gt;0," +1 turno",""))))</f>
        <v/>
      </c>
      <c r="FQ9" s="140">
        <f>IF(OR($DI9=0,$DJ9=0),"",IF(COUNTIF($DA9:$DD9,"Inescapável")&gt;0,"Automático",IF(COUNTIF($DA9:$DD9,"Certeiro")&gt;0,"TR para metade",INDEX($X$2:$X$11,$DJ9))))</f>
        <v/>
      </c>
      <c r="FR9" s="140">
        <f>IF(OR($DI9=0,$DJ9=0),"",IF(OR($DW9&gt;=2,$ES9=0),INDEX($FB9:$FH9,1,$CX9),INDEX($FB9:$FH9,1,$CX9)&amp;" = "&amp;FLOOR($ES9*4.5,1)&amp;IF($ET9&gt;0," · +"&amp;$ET9&amp;"d8","")))</f>
        <v/>
      </c>
      <c r="FS9" s="140">
        <f>COUNTIF($DA9:$DD9,"Longe")+3*COUNTIF($DA9:$DD9,"Muito Longe")</f>
        <v/>
      </c>
      <c r="FT9" s="140">
        <f>COUNTIF($DA9:$DD9,"Maior")+3*COUNTIF($DA9:$DD9,"Muito Maior")</f>
        <v/>
      </c>
      <c r="FU9" s="140">
        <f>IF($DJ9=0,0,CHOOSE(1+INDEX($Z$2:$Z$11,$DJ9),0,$FS9,$FT9,$FS9+$FT9))</f>
        <v/>
      </c>
      <c r="FV9" s="140">
        <f>IF($DJ9=0,0,CHOOSE(1+INDEX($AA$2:$AA$11,$DJ9),0,$FS9,$FT9,$FS9+$FT9))</f>
        <v/>
      </c>
      <c r="FW9" s="140">
        <f>IF(OR($DI9=0,$DJ9=0),"",INDEX($AH$2:$AM$31,($DJ9-1)*3+IF($CX9&gt;=6,3,2),1+MIN(5,$FU9))&amp;INDEX($AN$2:$AS$31,($DJ9-1)*3+IF($CX9&gt;=6,3,2),1+MIN(5,$FV9))&amp;IF(INDEX($AB$2:$AB$11,$DJ9)=1,IF(COUNTIF($DA9:$DD9,"Mais Um")&gt;0," · +"&amp;COUNTIF($DA9:$DD9,"Mais Um")&amp;IF(COUNTIF($DA9:$DD9,"Mais Um")&gt;1," alvos"," alvo"),"")&amp;IF(COUNTIF($DA9:$DD9,"Rajada")&gt;0," · "&amp;($CX9+1)&amp;" tiros",""),""))</f>
        <v/>
      </c>
      <c r="FX9" s="140">
        <f>IF($DI9=0,"",3*$CX9&amp;" − "&amp;$EM9&amp;" + "&amp;$EP9&amp;IF($CV9=1," + "&amp;$CX9,"")&amp;" = "&amp;$ES9&amp;"d8 · teto "&amp;4*$CX9&amp;IF($DV9=1," · a Forma devolve "&amp;$CX9,"")&amp;IF($EQ9&gt;0," · perde "&amp;$EQ9,""))</f>
        <v/>
      </c>
      <c r="FY9" s="140">
        <f>IF($DI9=0,"",IF($CX9&gt;=$GH$4,"Já está na maior Classe que o nível liberou",TEXTJOIN(" · ",TRUE,IF(AND(2&gt;$CX9,2&lt;=$GH$4),"2 → "&amp;$FC9&amp;", "&amp;IF($CV9=1,9,6)&amp;" PE",""),IF(AND(3&gt;$CX9,3&lt;=$GH$4),"3 → "&amp;$FD9&amp;", "&amp;IF($CV9=1,14,9)&amp;" PE",""),IF(AND(4&gt;$CX9,4&lt;=$GH$4),"4 → "&amp;$FE9&amp;", "&amp;IF($CV9=1,18,12)&amp;" PE",""),IF(AND(5&gt;$CX9,5&lt;=$GH$4),"5 → "&amp;$FF9&amp;", "&amp;IF($CV9=1,23,15)&amp;" PE",""),IF(AND(6&gt;$CX9,6&lt;=$GH$4),"6 → "&amp;$FG9&amp;", "&amp;IF($CV9=1,27,18)&amp;" PE",""),IF(AND(7&gt;$CX9,7&lt;=$GH$4),"7 → "&amp;$FH9&amp;", "&amp;IF($CV9=1,32,21)&amp;" PE",""))))</f>
        <v/>
      </c>
      <c r="FZ9" s="140">
        <f>IF(OR($DI9=0,$DL9=0),"","−"&amp;INDEX($I$2:$N$8,$CX9,$DL9)&amp;" · "&amp;CHOOSE($DL9,"Leve","Média","Pesada","Leve · Livre","Média · Livre","Pesada · Livre"))</f>
        <v/>
      </c>
      <c r="GA9" s="140">
        <f>IF(OR($DI9=0,$DM9=0),"","−"&amp;INDEX($I$2:$N$8,$CX9,$DM9)&amp;" · "&amp;CHOOSE($DM9,"Leve","Média","Pesada","Leve · Livre","Média · Livre","Pesada · Livre"))</f>
        <v/>
      </c>
      <c r="GB9" s="140">
        <f>IF(OR($DI9=0,$DN9=0),"","−"&amp;INDEX($I$2:$N$8,$CX9,$DN9)&amp;" · "&amp;CHOOSE($DN9,"Leve","Média","Pesada","Leve · Livre","Média · Livre","Pesada · Livre"))</f>
        <v/>
      </c>
      <c r="GC9" s="140">
        <f>IF(OR($DI9=0,$DO9=0),"","−"&amp;INDEX($I$2:$N$8,$CX9,$DO9)&amp;" · "&amp;CHOOSE($DO9,"Leve","Média","Pesada","Leve · Livre","Média · Livre","Pesada · Livre"))</f>
        <v/>
      </c>
      <c r="GD9" s="140">
        <f>IF(OR($DI9=0,$DE9=""),"",IF($DG9=1,"Selo","+"&amp;IF($DY9=1,CEILING($CX9/2,1),$CX9)))</f>
        <v/>
      </c>
      <c r="GE9" s="140">
        <f>IF(OR($DI9=0,$DF9=""),"",IF($DH9=1,"Selo","+"&amp;IF($DZ9=1,CEILING($CX9/2,1),$CX9)))</f>
        <v/>
      </c>
      <c r="GG9" s="114" t="inlineStr">
        <is>
          <t>liberações</t>
        </is>
      </c>
      <c r="GH9" s="140">
        <f>COUNTIF($CB$2:$CB$4,"&lt;="&amp;$GH$2)</f>
        <v/>
      </c>
      <c r="GJ9" s="114" t="inlineStr">
        <is>
          <t>Passiva 8 · Leque</t>
        </is>
      </c>
      <c r="GK9" s="140">
        <f>'FICHA AMALDIÇOADA'!$P$391&amp;""</f>
        <v/>
      </c>
      <c r="GL9" s="140">
        <f>IFERROR(VLOOKUP($GK9,$BJ$2:$BL$20,2,FALSE),0)</f>
        <v/>
      </c>
      <c r="GM9" s="140">
        <f>IFERROR(VLOOKUP($GL9,$BN$2:$BO$4,2,FALSE),0)</f>
        <v/>
      </c>
      <c r="GN9" s="140">
        <f>IFERROR(VLOOKUP($GK9,$BJ$2:$BL$20,3,FALSE),"")</f>
        <v/>
      </c>
      <c r="GO9" s="140">
        <f>IF($GL9=0,"",IF($GM9&gt;$GH$2,"⚠ nível "&amp;$GM9,"CP "&amp;$GL9))</f>
        <v/>
      </c>
      <c r="GP9" s="140">
        <f>IF($GL9=0,"",IF(3&gt;$GH$8,"⚠ vaga","grátis"))</f>
        <v/>
      </c>
      <c r="GR9" s="114" t="inlineStr">
        <is>
          <t>Aptidão 8</t>
        </is>
      </c>
      <c r="GS9" s="140">
        <f>'FICHA AMALDIÇOADA'!$J$463&amp;""</f>
        <v/>
      </c>
      <c r="GT9" s="140">
        <f>IF($GS9="","","Requisito: "&amp;IFERROR(VLOOKUP($GS9,$BQ$2:$BV$17,2,FALSE),""))</f>
        <v/>
      </c>
      <c r="GU9" s="140">
        <f>IF($GS9="","",IFERROR(IF(ISNUMBER(VLOOKUP($GS9,$BQ$2:$BV$17,3,FALSE)),"CP "&amp;VLOOKUP($GS9,$BQ$2:$BV$17,3,FALSE),VLOOKUP($GS9,$BQ$2:$BV$17,3,FALSE)),""))</f>
        <v/>
      </c>
      <c r="GV9" s="140">
        <f>IF($GS9="","",IFERROR(VLOOKUP($GS9,$BQ$2:$BV$17,4,FALSE),""))</f>
        <v/>
      </c>
      <c r="GW9" s="140">
        <f>IF($GS9="","",IFERROR(VLOOKUP($GS9,$BQ$2:$BV$17,5,FALSE),""))</f>
        <v/>
      </c>
      <c r="HH9" s="114" t="inlineStr">
        <is>
          <t>Passivas</t>
        </is>
      </c>
      <c r="HI9" s="140">
        <f>ADDRESS(ROW('FICHA AMALDIÇOADA'!M7),COLUMN('FICHA AMALDIÇOADA'!M7),4)</f>
        <v/>
      </c>
      <c r="HJ9" s="140">
        <f>ADDRESS(ROW('FICHA AMALDIÇOADA'!D370),COLUMN('FICHA AMALDIÇOADA'!D370),4)</f>
        <v/>
      </c>
    </row>
    <row r="10">
      <c r="A10" s="114" t="inlineStr">
        <is>
          <t>Amparo</t>
        </is>
      </c>
      <c r="B10" s="140">
        <f>'FICHA AMALDIÇOADA'!$P$31&amp;""</f>
        <v/>
      </c>
      <c r="C10" s="140">
        <f>IF($B10="Livre",1,0)</f>
        <v/>
      </c>
      <c r="D10" s="140">
        <f>IF($B10="Fechada",1,0)</f>
        <v/>
      </c>
      <c r="Q10" s="114" t="inlineStr">
        <is>
          <t>Onda</t>
        </is>
      </c>
      <c r="R10" s="114" t="inlineStr">
        <is>
          <t>Amparo</t>
        </is>
      </c>
      <c r="S10" s="140" t="n">
        <v>3</v>
      </c>
      <c r="T10" s="140">
        <f>IF($S10=0,0,$S10+3*IFERROR(VLOOKUP($R10,$A$2:$D$10,3,FALSE),0))</f>
        <v/>
      </c>
      <c r="U10" s="140">
        <f>IFERROR(VLOOKUP($R10,$A$2:$D$10,4,FALSE),0)</f>
        <v/>
      </c>
      <c r="V10" s="140" t="n">
        <v>0</v>
      </c>
      <c r="W10" s="140" t="n">
        <v>1</v>
      </c>
      <c r="X10" s="114" t="inlineStr">
        <is>
          <t>Automático</t>
        </is>
      </c>
      <c r="Y10" s="140" t="n">
        <v>0</v>
      </c>
      <c r="Z10" s="140" t="n">
        <v>2</v>
      </c>
      <c r="AA10" s="140" t="n">
        <v>0</v>
      </c>
      <c r="AB10" s="140" t="n">
        <v>0</v>
      </c>
      <c r="AC10" s="140" t="n">
        <v>0</v>
      </c>
      <c r="AD10" s="140">
        <f>IF($U10=1,"",$Q10)</f>
        <v/>
      </c>
      <c r="AE10" s="140">
        <f>IF(AND($AC10=1,$U10=0),$Q10,"")</f>
        <v/>
      </c>
      <c r="AG10" s="114" t="inlineStr">
        <is>
          <t>Explosão · classes 6 e 7</t>
        </is>
      </c>
      <c r="AH10" s="114" t="inlineStr">
        <is>
          <t>raio 4,5 m</t>
        </is>
      </c>
      <c r="AI10" s="114" t="inlineStr">
        <is>
          <t>raio 6 m</t>
        </is>
      </c>
      <c r="AJ10" s="114" t="inlineStr">
        <is>
          <t>raio 9 m</t>
        </is>
      </c>
      <c r="AK10" s="114" t="inlineStr">
        <is>
          <t>raio 15 m</t>
        </is>
      </c>
      <c r="AL10" s="114" t="inlineStr">
        <is>
          <t>raio 15 m</t>
        </is>
      </c>
      <c r="AM10" s="114" t="inlineStr">
        <is>
          <t>raio 15 m</t>
        </is>
      </c>
      <c r="AN10" s="114" t="inlineStr">
        <is>
          <t>, a 36 m</t>
        </is>
      </c>
      <c r="AO10" s="114" t="inlineStr">
        <is>
          <t>, a 90 m</t>
        </is>
      </c>
      <c r="AP10" s="114" t="inlineStr">
        <is>
          <t>, a o que você enxergar</t>
        </is>
      </c>
      <c r="AQ10" s="114" t="inlineStr">
        <is>
          <t>, a o que você enxergar</t>
        </is>
      </c>
      <c r="AR10" s="114" t="inlineStr">
        <is>
          <t>, a o que você enxergar</t>
        </is>
      </c>
      <c r="AS10" s="114" t="inlineStr">
        <is>
          <t>, a o que você enxergar</t>
        </is>
      </c>
      <c r="AU10" s="114" t="inlineStr">
        <is>
          <t>Muito Maior</t>
        </is>
      </c>
      <c r="AV10" s="114" t="inlineStr">
        <is>
          <t>Área</t>
        </is>
      </c>
      <c r="AW10" s="140" t="n">
        <v>3</v>
      </c>
      <c r="AX10" s="140">
        <f>$AW10+3*IFERROR(VLOOKUP($AV10,$A$2:$D$10,3,FALSE),0)</f>
        <v/>
      </c>
      <c r="AY10" s="140">
        <f>IFERROR(VLOOKUP($AV10,$A$2:$D$10,4,FALSE),0)</f>
        <v/>
      </c>
      <c r="AZ10" s="140" t="n">
        <v>0</v>
      </c>
      <c r="BA10" s="140">
        <f>IF($AY10=1,"",$AU10)</f>
        <v/>
      </c>
      <c r="BB10" s="140">
        <f>IF(AND($AW10=1,$AY10=0),$AU10,"")</f>
        <v/>
      </c>
      <c r="BD10" s="114" t="inlineStr">
        <is>
          <t>Tudo ou Nada</t>
        </is>
      </c>
      <c r="BE10" s="114" t="inlineStr">
        <is>
          <t>Tudo ou Nada</t>
        </is>
      </c>
      <c r="BF10" s="140" t="n">
        <v>1</v>
      </c>
      <c r="BG10" s="140" t="n">
        <v>0</v>
      </c>
      <c r="BH10" s="114" t="inlineStr">
        <is>
          <t>Tudo ou Nada</t>
        </is>
      </c>
      <c r="BJ10" s="114" t="inlineStr">
        <is>
          <t>Segunda Natureza</t>
        </is>
      </c>
      <c r="BK10" s="140" t="n">
        <v>2</v>
      </c>
      <c r="BL10" s="114" t="inlineStr">
        <is>
          <t>Uma vez por dia, conjura um feitiço de Classe até metade da sua maior sem gastar PE.</t>
        </is>
      </c>
      <c r="BQ10" s="114" t="inlineStr">
        <is>
          <t>Cesta Oca de Vime</t>
        </is>
      </c>
      <c r="BR10" s="114" t="inlineStr">
        <is>
          <t>ser Reencarnado, ou treinado em História</t>
        </is>
      </c>
      <c r="BS10" s="140" t="n">
        <v>1</v>
      </c>
      <c r="BT10" s="114" t="inlineStr">
        <is>
          <t>—</t>
        </is>
      </c>
      <c r="BU10" s="114" t="inlineStr">
        <is>
          <t>Você faz o símbolo e uma esfera se fecha em volta de você. Enquanto você o segurar, o Acerto de uma Expansão não te alcança, e as suas duas mãos ficam presas nele: nada de arma, escudo, feitiço com Gesto ou Agarrar. Andar e chutar, pode. Ela levanta com uma Reação quando uma Expansão abre, ou com uma Ação Bônus no seu turno. Erguer custa a sua maior Classe em PE, toda vez que ela sobe; de pé, ela não custa nada. Ela cai pelos golpes em você, e não pela Expansão. Cada golpe que te acerta pede o teste do Carregar: um Teste de Resistência de Espírito contra a CD de quem te feriu. As falhas se acumulam, e com metade da sua Essência em falhas (no mínimo 1) a esfera se desfaz. Esse teste não ocupa a sua Concentração, e a Mão Firme não protege dele. Se você soltar o símbolo, ela fica de pé e você recupera as mãos, mas cada Acerto letal da Expansão conta uma falha, no máximo uma por rodada. Quando ela cai, a Expansão te alcança na hora, com um Acerto a mais: o do começo do turno do dono continua vindo. Você pode levantar de novo sem espera, com as falhas zeradas, gastando a Ação Bônus do seu turno.</t>
        </is>
      </c>
      <c r="BV10" s="114" t="inlineStr">
        <is>
          <t>Cesta Oca de Vime</t>
        </is>
      </c>
      <c r="CU10" s="114" t="inlineStr">
        <is>
          <t>Feitiço 9</t>
        </is>
      </c>
      <c r="CV10" s="140" t="n">
        <v>0</v>
      </c>
      <c r="CW10" s="140" t="n">
        <v>9</v>
      </c>
      <c r="CX10" s="140">
        <f>MAX(1,MIN(7,N('FICHA AMALDIÇOADA'!$P$87)))</f>
        <v/>
      </c>
      <c r="CY10" s="140">
        <f>'FICHA AMALDIÇOADA'!$Q$87&amp;""</f>
        <v/>
      </c>
      <c r="CZ10" s="140">
        <f>'FICHA AMALDIÇOADA'!$P$94&amp;""</f>
        <v/>
      </c>
      <c r="DA10" s="140">
        <f>'FICHA AMALDIÇOADA'!$Q$96&amp;""</f>
        <v/>
      </c>
      <c r="DB10" s="140">
        <f>'FICHA AMALDIÇOADA'!$Q$97&amp;""</f>
        <v/>
      </c>
      <c r="DC10" s="140">
        <f>'FICHA AMALDIÇOADA'!$Q$98&amp;""</f>
        <v/>
      </c>
      <c r="DD10" s="140">
        <f>'FICHA AMALDIÇOADA'!$Q$99&amp;""</f>
        <v/>
      </c>
      <c r="DE10" s="140">
        <f>'FICHA AMALDIÇOADA'!$Q$100&amp;""</f>
        <v/>
      </c>
      <c r="DF10" s="140">
        <f>'FICHA AMALDIÇOADA'!$Q$101&amp;""</f>
        <v/>
      </c>
      <c r="DG10" s="140">
        <f>IF('FICHA AMALDIÇOADA'!$T$100=TRUE,1,0)</f>
        <v/>
      </c>
      <c r="DH10" s="140">
        <f>IF('FICHA AMALDIÇOADA'!$T$101=TRUE,1,0)</f>
        <v/>
      </c>
      <c r="DI10" s="140">
        <f>IF($CY10&lt;&gt;"",1,0)</f>
        <v/>
      </c>
      <c r="DJ10" s="140">
        <f>IFERROR(MATCH($CZ10,$Q$2:$Q$11,0),0)</f>
        <v/>
      </c>
      <c r="DK10" s="140">
        <f>IF($DJ10=0,0,INDEX($T$2:$T$11,$DJ10))</f>
        <v/>
      </c>
      <c r="DL10" s="140">
        <f>IFERROR(VLOOKUP($DA10,$AU$2:$BB$84,4,FALSE),0)</f>
        <v/>
      </c>
      <c r="DM10" s="140">
        <f>IFERROR(VLOOKUP($DB10,$AU$2:$BB$84,4,FALSE),0)</f>
        <v/>
      </c>
      <c r="DN10" s="140">
        <f>IFERROR(VLOOKUP($DC10,$AU$2:$BB$84,4,FALSE),0)</f>
        <v/>
      </c>
      <c r="DO10" s="140">
        <f>IFERROR(VLOOKUP($DD10,$AU$2:$BB$84,4,FALSE),0)</f>
        <v/>
      </c>
      <c r="DP10" s="140">
        <f>IF($DJ10=0,0,INDEX($U$2:$U$11,$DJ10))</f>
        <v/>
      </c>
      <c r="DQ10" s="140">
        <f>IFERROR(VLOOKUP($DA10,$AU$2:$BB$84,5,FALSE),0)</f>
        <v/>
      </c>
      <c r="DR10" s="140">
        <f>IFERROR(VLOOKUP($DB10,$AU$2:$BB$84,5,FALSE),0)</f>
        <v/>
      </c>
      <c r="DS10" s="140">
        <f>IFERROR(VLOOKUP($DC10,$AU$2:$BB$84,5,FALSE),0)</f>
        <v/>
      </c>
      <c r="DT10" s="140">
        <f>IFERROR(VLOOKUP($DD10,$AU$2:$BB$84,5,FALSE),0)</f>
        <v/>
      </c>
      <c r="DU10" s="140">
        <f>IFERROR(VLOOKUP($DA10,$AU$2:$BB$84,6,FALSE),0)+IFERROR(VLOOKUP($DB10,$AU$2:$BB$84,6,FALSE),0)+IFERROR(VLOOKUP($DC10,$AU$2:$BB$84,6,FALSE),0)+IFERROR(VLOOKUP($DD10,$AU$2:$BB$84,6,FALSE),0)</f>
        <v/>
      </c>
      <c r="DV10" s="140">
        <f>IF($DJ10=0,0,INDEX($V$2:$V$11,$DJ10))</f>
        <v/>
      </c>
      <c r="DW10" s="140">
        <f>IF($DJ10=0,0,INDEX($W$2:$W$11,$DJ10))</f>
        <v/>
      </c>
      <c r="DX10" s="140">
        <f>IF($DJ10=0,0,INDEX($Y$2:$Y$11,$DJ10))</f>
        <v/>
      </c>
      <c r="DY10" s="140">
        <f>IF($DG10=1,0,IFERROR(VLOOKUP($DE10,$BD$2:$BH$24,3,FALSE),0))</f>
        <v/>
      </c>
      <c r="DZ10" s="140">
        <f>IF($DH10=1,0,IFERROR(VLOOKUP($DF10,$BD$2:$BH$24,3,FALSE),0))</f>
        <v/>
      </c>
      <c r="EA10" s="140">
        <f>IFERROR(VLOOKUP($DE10,$BD$2:$BH$24,2,FALSE),"")</f>
        <v/>
      </c>
      <c r="EB10" s="140">
        <f>IFERROR(VLOOKUP($DF10,$BD$2:$BH$24,2,FALSE),"")</f>
        <v/>
      </c>
      <c r="EC10" s="140">
        <f>COUNTIF($DK10:$DO10,1)</f>
        <v/>
      </c>
      <c r="ED10" s="140">
        <f>COUNTIF($DK10:$DO10,2)</f>
        <v/>
      </c>
      <c r="EE10" s="140">
        <f>COUNTIF($DK10:$DO10,3)</f>
        <v/>
      </c>
      <c r="EF10" s="140">
        <f>COUNTIF($DK10:$DO10,4)</f>
        <v/>
      </c>
      <c r="EG10" s="140">
        <f>COUNTIF($DK10:$DO10,5)</f>
        <v/>
      </c>
      <c r="EH10" s="140">
        <f>COUNTIF($DK10:$DO10,6)</f>
        <v/>
      </c>
      <c r="EI10" s="140">
        <f>COUNTIF($DY10:$DZ10,1)</f>
        <v/>
      </c>
      <c r="EJ10" s="140">
        <f>COUNTIF($DY10:$DZ10,2)+$DV10</f>
        <v/>
      </c>
      <c r="EK10" s="140">
        <f>COUNTIF($DA10:$DD10,"?*")</f>
        <v/>
      </c>
      <c r="EL10" s="140">
        <f>COUNTIF($DE10:$DF10,"?*")+$DV10</f>
        <v/>
      </c>
      <c r="EM10" s="140">
        <f>SUMPRODUCT($EC10:$EH10,INDEX($I$2:$N$8,$CX10,0))</f>
        <v/>
      </c>
      <c r="EN10" s="140">
        <f>$EI10*CEILING($CX10/2,1)+$EJ10*$CX10</f>
        <v/>
      </c>
      <c r="EO10" s="140">
        <f>MIN(2*$CX10,$EN10)</f>
        <v/>
      </c>
      <c r="EP10" s="140">
        <f>MIN($EO10,$EM10)</f>
        <v/>
      </c>
      <c r="EQ10" s="140">
        <f>$EO10-$EP10</f>
        <v/>
      </c>
      <c r="ER10" s="140">
        <f>3*$CX10-$EM10+$EP10</f>
        <v/>
      </c>
      <c r="ES10" s="140">
        <f>MAX(0,$ER10)+$CV10*$CX10</f>
        <v/>
      </c>
      <c r="ET10" s="140">
        <f>(IF(COUNTIF($DA10:$DD10,"Salto")&gt;0,1,0)+IF(COUNTIF($DA10:$DD10,"Queima")&gt;0,1,0))*FLOOR($ES10/2,1)</f>
        <v/>
      </c>
      <c r="EU10" s="140">
        <f>MAX(0,3-SUMPRODUCT($EC10:$EH10,$I$2:$N$2)+MIN(2,$EI10*1+$EJ10*1,SUMPRODUCT($EC10:$EH10,$I$2:$N$2)))+$CV10*1</f>
        <v/>
      </c>
      <c r="EV10" s="140">
        <f>MAX(0,6-SUMPRODUCT($EC10:$EH10,$I$3:$N$3)+MIN(4,$EI10*1+$EJ10*2,SUMPRODUCT($EC10:$EH10,$I$3:$N$3)))+$CV10*2</f>
        <v/>
      </c>
      <c r="EW10" s="140">
        <f>MAX(0,9-SUMPRODUCT($EC10:$EH10,$I$4:$N$4)+MIN(6,$EI10*2+$EJ10*3,SUMPRODUCT($EC10:$EH10,$I$4:$N$4)))+$CV10*3</f>
        <v/>
      </c>
      <c r="EX10" s="140">
        <f>MAX(0,12-SUMPRODUCT($EC10:$EH10,$I$5:$N$5)+MIN(8,$EI10*2+$EJ10*4,SUMPRODUCT($EC10:$EH10,$I$5:$N$5)))+$CV10*4</f>
        <v/>
      </c>
      <c r="EY10" s="140">
        <f>MAX(0,15-SUMPRODUCT($EC10:$EH10,$I$6:$N$6)+MIN(10,$EI10*3+$EJ10*5,SUMPRODUCT($EC10:$EH10,$I$6:$N$6)))+$CV10*5</f>
        <v/>
      </c>
      <c r="EZ10" s="140">
        <f>MAX(0,18-SUMPRODUCT($EC10:$EH10,$I$7:$N$7)+MIN(12,$EI10*3+$EJ10*6,SUMPRODUCT($EC10:$EH10,$I$7:$N$7)))+$CV10*6</f>
        <v/>
      </c>
      <c r="FA10" s="140">
        <f>MAX(0,21-SUMPRODUCT($EC10:$EH10,$I$8:$N$8)+MIN(14,$EI10*4+$EJ10*7,SUMPRODUCT($EC10:$EH10,$I$8:$N$8)))+$CV10*7</f>
        <v/>
      </c>
      <c r="FB10" s="140">
        <f>IF($DW10=2,3*$EU10&amp;" de vida temp.",IF($DW10=3,"sem dano",IF($EU10=0,IF($DW10=1,"sem cura","sem dano"),IF($DW10=1,"cura ","")&amp;$EU10&amp;"d8")))</f>
        <v/>
      </c>
      <c r="FC10" s="140">
        <f>IF($DW10=2,3*$EV10&amp;" de vida temp.",IF($DW10=3,"sem dano",IF($EV10=0,IF($DW10=1,"sem cura","sem dano"),IF($DW10=1,"cura ","")&amp;$EV10&amp;"d8")))</f>
        <v/>
      </c>
      <c r="FD10" s="140">
        <f>IF($DW10=2,3*$EW10&amp;" de vida temp.",IF($DW10=3,"sem dano",IF($EW10=0,IF($DW10=1,"sem cura","sem dano"),IF($DW10=1,"cura ","")&amp;$EW10&amp;"d8")))</f>
        <v/>
      </c>
      <c r="FE10" s="140">
        <f>IF($DW10=2,3*$EX10&amp;" de vida temp.",IF($DW10=3,"sem dano",IF($EX10=0,IF($DW10=1,"sem cura","sem dano"),IF($DW10=1,"cura ","")&amp;$EX10&amp;"d8")))</f>
        <v/>
      </c>
      <c r="FF10" s="140">
        <f>IF($DW10=2,3*$EY10&amp;" de vida temp.",IF($DW10=3,"sem dano",IF($EY10=0,IF($DW10=1,"sem cura","sem dano"),IF($DW10=1,"cura ","")&amp;$EY10&amp;"d8")))</f>
        <v/>
      </c>
      <c r="FG10" s="140">
        <f>IF($DW10=2,3*$EZ10&amp;" de vida temp.",IF($DW10=3,"sem dano",IF($EZ10=0,IF($DW10=1,"sem cura","sem dano"),IF($DW10=1,"cura ","")&amp;$EZ10&amp;"d8")))</f>
        <v/>
      </c>
      <c r="FH10" s="140">
        <f>IF($DW10=2,3*$FA10&amp;" de vida temp.",IF($DW10=3,"sem dano",IF($FA10=0,IF($DW10=1,"sem cura","sem dano"),IF($DW10=1,"cura ","")&amp;$FA10&amp;"d8")))</f>
        <v/>
      </c>
      <c r="FI10" s="140">
        <f>IF($DI10=0,"",TEXTJOIN(" · ",TRUE,IF(AND($CV10=1,$CW10&gt;$GH$9),"O nível "&amp;$GH$2&amp;" dá "&amp;$GH$9&amp;" Liberação Máxima",""),IF($CX10&gt;$GH$4,"Classe "&amp;$CX10&amp;": o nível "&amp;$GH$2&amp;" libera até a "&amp;$GH$4,""),IF($DP10=1,"Família Fechada: a Forma "&amp;$CZ10,""),IF($DQ10=1,"Família Fechada: "&amp;$DA10,""),IF($DR10=1,"Família Fechada: "&amp;$DB10,""),IF($DS10=1,"Família Fechada: "&amp;$DC10,""),IF($DT10=1,"Família Fechada: "&amp;$DD10,""),IF($EK10&gt;INDEX($O$2:$O$8,$CX10),$EK10&amp;" Melhorias: a Classe "&amp;$CX10&amp;" aceita "&amp;INDEX($O$2:$O$8,$CX10),""),IF($EL10&gt;2,$EL10&amp;" Restrições"&amp;IF($DV10=1,", contando a que a Forma "&amp;$CZ10&amp;" já traz","")&amp;": o limite é 2",""),IF($ER10&lt;0,"Orçamento estourado: faltam "&amp;(-$ER10)&amp;IF($ER10&lt;-1," pontos"," ponto"),""),IF(IFERROR(VLOOKUP($DE10,$BD$2:$BH$24,4,FALSE),0)+IFERROR(VLOOKUP($DF10,$BD$2:$BH$24,4,FALSE),0)&gt;1,$EA10&amp;" e "&amp;$EB10&amp;" são as duas de frequência",""),IF(AND((COUNTIF($DA10:$DD10,"Rápido")+COUNTIF($EA10:$EB10,"Rápido"))&gt;0,(COUNTIF($DA10:$DD10,"Reação")+COUNTIF($EA10:$EB10,"Reação"))&gt;0),"Rápido não entra com Reação",""),IF(AND((COUNTIF($DA10:$DD10,"Rápido")+COUNTIF($EA10:$EB10,"Rápido"))&gt;0,(COUNTIF($DA10:$DD10,"Atrasar")+COUNTIF($EA10:$EB10,"Atrasar"))&gt;0),"Rápido não entra com Atrasar",""),IF(AND((COUNTIF($DA10:$DD10,"Reação")+COUNTIF($EA10:$EB10,"Reação"))&gt;0,(COUNTIF($DA10:$DD10,"Atrasar")+COUNTIF($EA10:$EB10,"Atrasar"))&gt;0),"Reação não entra com Atrasar",""),IF(AND((COUNTIF($DA10:$DD10,"Reação")+COUNTIF($EA10:$EB10,"Reação"))&gt;0,(COUNTIF($DA10:$DD10,"Parado")+COUNTIF($EA10:$EB10,"Parado"))&gt;0),"Reação não entra com Parado",""),IF(AND(COUNTIF($EA10:$EB10,"Corpo a Corpo")&gt;0,$DV10=0,OR($CZ10="Cone",$CZ10="Linha")),"Corpo a Corpo não entra em "&amp;$CZ10,""),IF(AND(COUNTIF($EA10:$EB10,"Corpo a Corpo")&gt;0,$DV10=1),"A Forma "&amp;$CZ10&amp;" já traz o Corpo a Corpo",""),IF(AND(COUNTIF($EA10:$EB10,"Tudo ou Nada")&gt;0,$DX10=0),"Tudo ou Nada só entra em feitiço de Teste de Resistência",""),IF(AND(COUNTIF($DA10:$DD10,"Inescapável")&gt;0,OR($EK10&gt;1,$EL10&gt;0)),"Inescapável não aceita outra peça",""),IF(AND($CV10=1,$CX10&lt;3),"Liberação Máxima é de Classe 3 ou mais",""),IF(AND($CV10=1,OR($DW10=1,$DW10=2)),"Liberação Máxima não serve para cura",""),IF(AND($CV10=1,COUNTIF($DA10:$DD10,"Inescapável")+COUNTIF($DA10:$DD10,"Toca a Alma")&gt;0),"Esta peça não entra numa Liberação Máxima",""),IF($ES10+$ET10&gt;4*$CX10,($ES10+$ET10)&amp;" dados somando alvos e repetições: o teto da Classe "&amp;$CX10&amp;" é "&amp;4*$CX10,"")))</f>
        <v/>
      </c>
      <c r="FJ10" s="140">
        <f>IF($FI10="",0,(LEN($FI10)-LEN(SUBSTITUTE($FI10," · ","")))/3+1)</f>
        <v/>
      </c>
      <c r="FK10" s="140">
        <f>IF($DI10=0,"",TEXTJOIN(" · ",TRUE,IF($EN10&gt;2*$CX10,"A devolução parou no teto de "&amp;2*$CX10,""),IF($EQ10&gt;0,"Devolução perdida: "&amp;$EQ10&amp;IF($EQ10&gt;1," pontos"," ponto")&amp;" sem peça para pagar",""),IF(AND($DU10&gt;0,$ES10=0),"Controle sem dano: uma rodada a mais e CD +2",""),IF(AND($DU10&gt;0,$ES10&gt;0,$ES10&lt;=$CX10),"Controle com um quarto do teto: uma rodada a mais","")))</f>
        <v/>
      </c>
      <c r="FL10" s="140">
        <f>IF($FK10="",0,(LEN($FK10)-LEN(SUBSTITUTE($FK10," · ","")))/3+1)</f>
        <v/>
      </c>
      <c r="FM10" s="140">
        <f>IF($DI10=0,IF($EK10+$EL10-$DV10&gt;0,"dê um nome",""),IF($FJ10&gt;0,"⚠ "&amp;$FJ10&amp;IF($FJ10&gt;1," erros"," erro"),IF($FL10&gt;0,"! "&amp;$FL10&amp;IF($FL10&gt;1," avisos"," aviso"),"na regra")))</f>
        <v/>
      </c>
      <c r="FN10" s="140">
        <f>IF($DI10=0,"",IF($FJ10+$FL10=0,"Dentro das regras que a ficha confere",$FI10&amp;IF(AND($FJ10&gt;0,$FL10&gt;0)," · ","")&amp;$FK10))</f>
        <v/>
      </c>
      <c r="FO10" s="140">
        <f>IF($DI10=0,"",IF($CV10=1,CEILING(4.5*$CX10,1),3*$CX10)&amp;" PE")</f>
        <v/>
      </c>
      <c r="FP10" s="140">
        <f>IF($DI10=0,"",IF($CV10=1,"Rodada inteira",IF(COUNTIF($EA10:$EB10,"Atrasar")&gt;0,IF(COUNTIF($EA10:$EB10,"Carregar")&gt;0,"Rodada +1 turno","Rodada inteira"),IF(COUNTIF($DA10:$DD10,"Rápido")&gt;0,"Bônus",IF(COUNTIF($DA10:$DD10,"Reação")&gt;0,"Reação","Padrão"))&amp;IF(COUNTIF($EA10:$EB10,"Carregar")&gt;0," +1 turno",""))))</f>
        <v/>
      </c>
      <c r="FQ10" s="140">
        <f>IF(OR($DI10=0,$DJ10=0),"",IF(COUNTIF($DA10:$DD10,"Inescapável")&gt;0,"Automático",IF(COUNTIF($DA10:$DD10,"Certeiro")&gt;0,"TR para metade",INDEX($X$2:$X$11,$DJ10))))</f>
        <v/>
      </c>
      <c r="FR10" s="140">
        <f>IF(OR($DI10=0,$DJ10=0),"",IF(OR($DW10&gt;=2,$ES10=0),INDEX($FB10:$FH10,1,$CX10),INDEX($FB10:$FH10,1,$CX10)&amp;" = "&amp;FLOOR($ES10*4.5,1)&amp;IF($ET10&gt;0," · +"&amp;$ET10&amp;"d8","")))</f>
        <v/>
      </c>
      <c r="FS10" s="140">
        <f>COUNTIF($DA10:$DD10,"Longe")+3*COUNTIF($DA10:$DD10,"Muito Longe")</f>
        <v/>
      </c>
      <c r="FT10" s="140">
        <f>COUNTIF($DA10:$DD10,"Maior")+3*COUNTIF($DA10:$DD10,"Muito Maior")</f>
        <v/>
      </c>
      <c r="FU10" s="140">
        <f>IF($DJ10=0,0,CHOOSE(1+INDEX($Z$2:$Z$11,$DJ10),0,$FS10,$FT10,$FS10+$FT10))</f>
        <v/>
      </c>
      <c r="FV10" s="140">
        <f>IF($DJ10=0,0,CHOOSE(1+INDEX($AA$2:$AA$11,$DJ10),0,$FS10,$FT10,$FS10+$FT10))</f>
        <v/>
      </c>
      <c r="FW10" s="140">
        <f>IF(OR($DI10=0,$DJ10=0),"",INDEX($AH$2:$AM$31,($DJ10-1)*3+IF($CX10&gt;=6,3,2),1+MIN(5,$FU10))&amp;INDEX($AN$2:$AS$31,($DJ10-1)*3+IF($CX10&gt;=6,3,2),1+MIN(5,$FV10))&amp;IF(INDEX($AB$2:$AB$11,$DJ10)=1,IF(COUNTIF($DA10:$DD10,"Mais Um")&gt;0," · +"&amp;COUNTIF($DA10:$DD10,"Mais Um")&amp;IF(COUNTIF($DA10:$DD10,"Mais Um")&gt;1," alvos"," alvo"),"")&amp;IF(COUNTIF($DA10:$DD10,"Rajada")&gt;0," · "&amp;($CX10+1)&amp;" tiros",""),""))</f>
        <v/>
      </c>
      <c r="FX10" s="140">
        <f>IF($DI10=0,"",3*$CX10&amp;" − "&amp;$EM10&amp;" + "&amp;$EP10&amp;IF($CV10=1," + "&amp;$CX10,"")&amp;" = "&amp;$ES10&amp;"d8 · teto "&amp;4*$CX10&amp;IF($DV10=1," · a Forma devolve "&amp;$CX10,"")&amp;IF($EQ10&gt;0," · perde "&amp;$EQ10,""))</f>
        <v/>
      </c>
      <c r="FY10" s="140">
        <f>IF($DI10=0,"",IF($CX10&gt;=$GH$4,"Já está na maior Classe que o nível liberou",TEXTJOIN(" · ",TRUE,IF(AND(2&gt;$CX10,2&lt;=$GH$4),"2 → "&amp;$FC10&amp;", "&amp;IF($CV10=1,9,6)&amp;" PE",""),IF(AND(3&gt;$CX10,3&lt;=$GH$4),"3 → "&amp;$FD10&amp;", "&amp;IF($CV10=1,14,9)&amp;" PE",""),IF(AND(4&gt;$CX10,4&lt;=$GH$4),"4 → "&amp;$FE10&amp;", "&amp;IF($CV10=1,18,12)&amp;" PE",""),IF(AND(5&gt;$CX10,5&lt;=$GH$4),"5 → "&amp;$FF10&amp;", "&amp;IF($CV10=1,23,15)&amp;" PE",""),IF(AND(6&gt;$CX10,6&lt;=$GH$4),"6 → "&amp;$FG10&amp;", "&amp;IF($CV10=1,27,18)&amp;" PE",""),IF(AND(7&gt;$CX10,7&lt;=$GH$4),"7 → "&amp;$FH10&amp;", "&amp;IF($CV10=1,32,21)&amp;" PE",""))))</f>
        <v/>
      </c>
      <c r="FZ10" s="140">
        <f>IF(OR($DI10=0,$DL10=0),"","−"&amp;INDEX($I$2:$N$8,$CX10,$DL10)&amp;" · "&amp;CHOOSE($DL10,"Leve","Média","Pesada","Leve · Livre","Média · Livre","Pesada · Livre"))</f>
        <v/>
      </c>
      <c r="GA10" s="140">
        <f>IF(OR($DI10=0,$DM10=0),"","−"&amp;INDEX($I$2:$N$8,$CX10,$DM10)&amp;" · "&amp;CHOOSE($DM10,"Leve","Média","Pesada","Leve · Livre","Média · Livre","Pesada · Livre"))</f>
        <v/>
      </c>
      <c r="GB10" s="140">
        <f>IF(OR($DI10=0,$DN10=0),"","−"&amp;INDEX($I$2:$N$8,$CX10,$DN10)&amp;" · "&amp;CHOOSE($DN10,"Leve","Média","Pesada","Leve · Livre","Média · Livre","Pesada · Livre"))</f>
        <v/>
      </c>
      <c r="GC10" s="140">
        <f>IF(OR($DI10=0,$DO10=0),"","−"&amp;INDEX($I$2:$N$8,$CX10,$DO10)&amp;" · "&amp;CHOOSE($DO10,"Leve","Média","Pesada","Leve · Livre","Média · Livre","Pesada · Livre"))</f>
        <v/>
      </c>
      <c r="GD10" s="140">
        <f>IF(OR($DI10=0,$DE10=""),"",IF($DG10=1,"Selo","+"&amp;IF($DY10=1,CEILING($CX10/2,1),$CX10)))</f>
        <v/>
      </c>
      <c r="GE10" s="140">
        <f>IF(OR($DI10=0,$DF10=""),"",IF($DH10=1,"Selo","+"&amp;IF($DZ10=1,CEILING($CX10/2,1),$CX10)))</f>
        <v/>
      </c>
      <c r="GG10" s="114" t="inlineStr">
        <is>
          <t>classe 0 quantos</t>
        </is>
      </c>
      <c r="GH10" s="140">
        <f>IFERROR(INDEX($BY$2:$BY$6,MATCH($GH$2,$BX$2:$BX$6,1)),0)</f>
        <v/>
      </c>
      <c r="GJ10" s="114" t="inlineStr">
        <is>
          <t>Passiva 9 · Leque</t>
        </is>
      </c>
      <c r="GK10" s="140">
        <f>'FICHA AMALDIÇOADA'!$D$399&amp;""</f>
        <v/>
      </c>
      <c r="GL10" s="140">
        <f>IFERROR(VLOOKUP($GK10,$BJ$2:$BL$20,2,FALSE),0)</f>
        <v/>
      </c>
      <c r="GM10" s="140">
        <f>IFERROR(VLOOKUP($GL10,$BN$2:$BO$4,2,FALSE),0)</f>
        <v/>
      </c>
      <c r="GN10" s="140">
        <f>IFERROR(VLOOKUP($GK10,$BJ$2:$BL$20,3,FALSE),"")</f>
        <v/>
      </c>
      <c r="GO10" s="140">
        <f>IF($GL10=0,"",IF($GM10&gt;$GH$2,"⚠ nível "&amp;$GM10,"CP "&amp;$GL10))</f>
        <v/>
      </c>
      <c r="GP10" s="140">
        <f>IF($GL10=0,"",IF(4&gt;$GH$8,"⚠ vaga","grátis"))</f>
        <v/>
      </c>
      <c r="GR10" s="114" t="inlineStr">
        <is>
          <t>Aptidão 9</t>
        </is>
      </c>
      <c r="GS10" s="140">
        <f>'FICHA AMALDIÇOADA'!$P$463&amp;""</f>
        <v/>
      </c>
      <c r="GT10" s="140">
        <f>IF($GS10="","","Requisito: "&amp;IFERROR(VLOOKUP($GS10,$BQ$2:$BV$17,2,FALSE),""))</f>
        <v/>
      </c>
      <c r="GU10" s="140">
        <f>IF($GS10="","",IFERROR(IF(ISNUMBER(VLOOKUP($GS10,$BQ$2:$BV$17,3,FALSE)),"CP "&amp;VLOOKUP($GS10,$BQ$2:$BV$17,3,FALSE),VLOOKUP($GS10,$BQ$2:$BV$17,3,FALSE)),""))</f>
        <v/>
      </c>
      <c r="GV10" s="140">
        <f>IF($GS10="","",IFERROR(VLOOKUP($GS10,$BQ$2:$BV$17,4,FALSE),""))</f>
        <v/>
      </c>
      <c r="GW10" s="140">
        <f>IF($GS10="","",IFERROR(VLOOKUP($GS10,$BQ$2:$BV$17,5,FALSE),""))</f>
        <v/>
      </c>
      <c r="HH10" s="114" t="inlineStr">
        <is>
          <t>Aptidões</t>
        </is>
      </c>
      <c r="HI10" s="140">
        <f>ADDRESS(ROW('FICHA AMALDIÇOADA'!P7),COLUMN('FICHA AMALDIÇOADA'!P7),4)</f>
        <v/>
      </c>
      <c r="HJ10" s="140">
        <f>ADDRESS(ROW('FICHA AMALDIÇOADA'!D415),COLUMN('FICHA AMALDIÇOADA'!D415),4)</f>
        <v/>
      </c>
    </row>
    <row r="11">
      <c r="Q11" s="114" t="inlineStr">
        <is>
          <t>Efeito</t>
        </is>
      </c>
      <c r="R11" s="114" t="inlineStr"/>
      <c r="S11" s="140" t="n">
        <v>0</v>
      </c>
      <c r="T11" s="140">
        <f>IF($S11=0,0,$S11+3*IFERROR(VLOOKUP($R11,$A$2:$D$10,3,FALSE),0))</f>
        <v/>
      </c>
      <c r="U11" s="140">
        <f>IFERROR(VLOOKUP($R11,$A$2:$D$10,4,FALSE),0)</f>
        <v/>
      </c>
      <c r="V11" s="140" t="n">
        <v>0</v>
      </c>
      <c r="W11" s="140" t="n">
        <v>3</v>
      </c>
      <c r="X11" s="114" t="inlineStr">
        <is>
          <t>Automático</t>
        </is>
      </c>
      <c r="Y11" s="140" t="n">
        <v>0</v>
      </c>
      <c r="Z11" s="140" t="n">
        <v>0</v>
      </c>
      <c r="AA11" s="140" t="n">
        <v>0</v>
      </c>
      <c r="AB11" s="140" t="n">
        <v>0</v>
      </c>
      <c r="AC11" s="140" t="n">
        <v>1</v>
      </c>
      <c r="AD11" s="140">
        <f>IF($U11=1,"",$Q11)</f>
        <v/>
      </c>
      <c r="AE11" s="140">
        <f>IF(AND($AC11=1,$U11=0),$Q11,"")</f>
        <v/>
      </c>
      <c r="AG11" s="114" t="inlineStr">
        <is>
          <t>Aura · classe 0</t>
        </is>
      </c>
      <c r="AH11" s="114" t="inlineStr">
        <is>
          <t>raio 3 m, em você</t>
        </is>
      </c>
      <c r="AI11" s="114" t="inlineStr">
        <is>
          <t>raio 4,5 m, em você</t>
        </is>
      </c>
      <c r="AJ11" s="114" t="inlineStr">
        <is>
          <t>raio 6 m, em você</t>
        </is>
      </c>
      <c r="AK11" s="114" t="inlineStr">
        <is>
          <t>raio 9 m, em você</t>
        </is>
      </c>
      <c r="AL11" s="114" t="inlineStr">
        <is>
          <t>raio 15 m, em você</t>
        </is>
      </c>
      <c r="AM11" s="114" t="inlineStr">
        <is>
          <t>raio 15 m, em você</t>
        </is>
      </c>
      <c r="AN11" s="114" t="inlineStr"/>
      <c r="AO11" s="114" t="inlineStr"/>
      <c r="AP11" s="114" t="inlineStr"/>
      <c r="AQ11" s="114" t="inlineStr"/>
      <c r="AR11" s="114" t="inlineStr"/>
      <c r="AS11" s="114" t="inlineStr"/>
      <c r="AU11" s="114" t="inlineStr">
        <is>
          <t>Escolher</t>
        </is>
      </c>
      <c r="AV11" s="114" t="inlineStr">
        <is>
          <t>Área</t>
        </is>
      </c>
      <c r="AW11" s="140" t="n">
        <v>2</v>
      </c>
      <c r="AX11" s="140">
        <f>$AW11+3*IFERROR(VLOOKUP($AV11,$A$2:$D$10,3,FALSE),0)</f>
        <v/>
      </c>
      <c r="AY11" s="140">
        <f>IFERROR(VLOOKUP($AV11,$A$2:$D$10,4,FALSE),0)</f>
        <v/>
      </c>
      <c r="AZ11" s="140" t="n">
        <v>0</v>
      </c>
      <c r="BA11" s="140">
        <f>IF($AY11=1,"",$AU11)</f>
        <v/>
      </c>
      <c r="BB11" s="140">
        <f>IF(AND($AW11=1,$AY11=0),$AU11,"")</f>
        <v/>
      </c>
      <c r="BD11" s="114" t="inlineStr">
        <is>
          <t>Uma Vez</t>
        </is>
      </c>
      <c r="BE11" s="114" t="inlineStr">
        <is>
          <t>Uma Vez</t>
        </is>
      </c>
      <c r="BF11" s="140" t="n">
        <v>1</v>
      </c>
      <c r="BG11" s="140" t="n">
        <v>1</v>
      </c>
      <c r="BH11" s="114" t="inlineStr">
        <is>
          <t>Uma Vez</t>
        </is>
      </c>
      <c r="BJ11" s="114" t="inlineStr">
        <is>
          <t>Eco</t>
        </is>
      </c>
      <c r="BK11" s="140" t="n">
        <v>2</v>
      </c>
      <c r="BL11" s="114" t="inlineStr">
        <is>
          <t>Quando você derruba um inimigo com feitiço, o próximo feitiço da cena custa metade.</t>
        </is>
      </c>
      <c r="BQ11" s="114" t="inlineStr">
        <is>
          <t>Domínio Simples</t>
        </is>
      </c>
      <c r="BR11" s="114" t="inlineStr">
        <is>
          <t>ter visto um sendo usado, ou ter aprendido com alguém; refino 5, ou 4 com o voto</t>
        </is>
      </c>
      <c r="BS11" s="140" t="n">
        <v>2</v>
      </c>
      <c r="BT11" s="114" t="inlineStr">
        <is>
          <t>o raio</t>
        </is>
      </c>
      <c r="BU11" s="114" t="inlineStr">
        <is>
          <t>Um domínio pequeno em volta de você, de raio 1,5 m + refino ÷ 2, que cobre quem estiver nele. Lá dentro a Expansão não alcança ninguém: nem o Acerto dela, nem o que ela faz com as pessoas ou com o lugar. Ele levanta com uma Reação quando uma Expansão abre, ou com uma Ação Bônus no seu turno, e custa 2 PE por rodada. Erguer custa a sua maior Classe em PE, toda vez que ele sobe. Ele aguenta a Expansão por 3 rodadas, 4 se a sua Essência for maior que a do dono dela e 2 se for menor. Cada Acerto que ele segura gasta uma rodada, a começar pelo de quando ela abre. Quando as rodadas acabam, o Acerto seguinte o derruba e alcança quem ele protegia. Golpe em você não o derruba. Cada Acerto que ele segura pede o teste do Carregar: um Teste de Resistência de Espírito contra a CD do dono da Expansão. Uma falha tira uma rodada, mas as falhas nunca levam a duração abaixo de metade da sua Essência (no mínimo 1). Esse teste não ocupa a sua Concentração, e a Mão Firme não protege dele. Se ele cair pelo voto, no meio da rodada, a Expansão alcança na hora, com um Acerto a mais: o do começo do turno do dono continua vindo. Você pode erguer de novo sem espera, mas da segunda vez em diante, na mesma Expansão, isso custa a Ação Padrão, e ele aguenta metade das rodadas (no mínimo 1).</t>
        </is>
      </c>
      <c r="BV11" s="114" t="inlineStr">
        <is>
          <t>Domínio Simples</t>
        </is>
      </c>
      <c r="CU11" s="114" t="inlineStr">
        <is>
          <t>Feitiço 10</t>
        </is>
      </c>
      <c r="CV11" s="140" t="n">
        <v>0</v>
      </c>
      <c r="CW11" s="140" t="n">
        <v>10</v>
      </c>
      <c r="CX11" s="140">
        <f>MAX(1,MIN(7,N('FICHA AMALDIÇOADA'!$D$108)))</f>
        <v/>
      </c>
      <c r="CY11" s="140">
        <f>'FICHA AMALDIÇOADA'!$E$108&amp;""</f>
        <v/>
      </c>
      <c r="CZ11" s="140">
        <f>'FICHA AMALDIÇOADA'!$D$115&amp;""</f>
        <v/>
      </c>
      <c r="DA11" s="140">
        <f>'FICHA AMALDIÇOADA'!$E$117&amp;""</f>
        <v/>
      </c>
      <c r="DB11" s="140">
        <f>'FICHA AMALDIÇOADA'!$E$118&amp;""</f>
        <v/>
      </c>
      <c r="DC11" s="140">
        <f>'FICHA AMALDIÇOADA'!$E$119&amp;""</f>
        <v/>
      </c>
      <c r="DD11" s="140">
        <f>'FICHA AMALDIÇOADA'!$E$120&amp;""</f>
        <v/>
      </c>
      <c r="DE11" s="140">
        <f>'FICHA AMALDIÇOADA'!$E$121&amp;""</f>
        <v/>
      </c>
      <c r="DF11" s="140">
        <f>'FICHA AMALDIÇOADA'!$E$122&amp;""</f>
        <v/>
      </c>
      <c r="DG11" s="140">
        <f>IF('FICHA AMALDIÇOADA'!$H$121=TRUE,1,0)</f>
        <v/>
      </c>
      <c r="DH11" s="140">
        <f>IF('FICHA AMALDIÇOADA'!$H$122=TRUE,1,0)</f>
        <v/>
      </c>
      <c r="DI11" s="140">
        <f>IF($CY11&lt;&gt;"",1,0)</f>
        <v/>
      </c>
      <c r="DJ11" s="140">
        <f>IFERROR(MATCH($CZ11,$Q$2:$Q$11,0),0)</f>
        <v/>
      </c>
      <c r="DK11" s="140">
        <f>IF($DJ11=0,0,INDEX($T$2:$T$11,$DJ11))</f>
        <v/>
      </c>
      <c r="DL11" s="140">
        <f>IFERROR(VLOOKUP($DA11,$AU$2:$BB$84,4,FALSE),0)</f>
        <v/>
      </c>
      <c r="DM11" s="140">
        <f>IFERROR(VLOOKUP($DB11,$AU$2:$BB$84,4,FALSE),0)</f>
        <v/>
      </c>
      <c r="DN11" s="140">
        <f>IFERROR(VLOOKUP($DC11,$AU$2:$BB$84,4,FALSE),0)</f>
        <v/>
      </c>
      <c r="DO11" s="140">
        <f>IFERROR(VLOOKUP($DD11,$AU$2:$BB$84,4,FALSE),0)</f>
        <v/>
      </c>
      <c r="DP11" s="140">
        <f>IF($DJ11=0,0,INDEX($U$2:$U$11,$DJ11))</f>
        <v/>
      </c>
      <c r="DQ11" s="140">
        <f>IFERROR(VLOOKUP($DA11,$AU$2:$BB$84,5,FALSE),0)</f>
        <v/>
      </c>
      <c r="DR11" s="140">
        <f>IFERROR(VLOOKUP($DB11,$AU$2:$BB$84,5,FALSE),0)</f>
        <v/>
      </c>
      <c r="DS11" s="140">
        <f>IFERROR(VLOOKUP($DC11,$AU$2:$BB$84,5,FALSE),0)</f>
        <v/>
      </c>
      <c r="DT11" s="140">
        <f>IFERROR(VLOOKUP($DD11,$AU$2:$BB$84,5,FALSE),0)</f>
        <v/>
      </c>
      <c r="DU11" s="140">
        <f>IFERROR(VLOOKUP($DA11,$AU$2:$BB$84,6,FALSE),0)+IFERROR(VLOOKUP($DB11,$AU$2:$BB$84,6,FALSE),0)+IFERROR(VLOOKUP($DC11,$AU$2:$BB$84,6,FALSE),0)+IFERROR(VLOOKUP($DD11,$AU$2:$BB$84,6,FALSE),0)</f>
        <v/>
      </c>
      <c r="DV11" s="140">
        <f>IF($DJ11=0,0,INDEX($V$2:$V$11,$DJ11))</f>
        <v/>
      </c>
      <c r="DW11" s="140">
        <f>IF($DJ11=0,0,INDEX($W$2:$W$11,$DJ11))</f>
        <v/>
      </c>
      <c r="DX11" s="140">
        <f>IF($DJ11=0,0,INDEX($Y$2:$Y$11,$DJ11))</f>
        <v/>
      </c>
      <c r="DY11" s="140">
        <f>IF($DG11=1,0,IFERROR(VLOOKUP($DE11,$BD$2:$BH$24,3,FALSE),0))</f>
        <v/>
      </c>
      <c r="DZ11" s="140">
        <f>IF($DH11=1,0,IFERROR(VLOOKUP($DF11,$BD$2:$BH$24,3,FALSE),0))</f>
        <v/>
      </c>
      <c r="EA11" s="140">
        <f>IFERROR(VLOOKUP($DE11,$BD$2:$BH$24,2,FALSE),"")</f>
        <v/>
      </c>
      <c r="EB11" s="140">
        <f>IFERROR(VLOOKUP($DF11,$BD$2:$BH$24,2,FALSE),"")</f>
        <v/>
      </c>
      <c r="EC11" s="140">
        <f>COUNTIF($DK11:$DO11,1)</f>
        <v/>
      </c>
      <c r="ED11" s="140">
        <f>COUNTIF($DK11:$DO11,2)</f>
        <v/>
      </c>
      <c r="EE11" s="140">
        <f>COUNTIF($DK11:$DO11,3)</f>
        <v/>
      </c>
      <c r="EF11" s="140">
        <f>COUNTIF($DK11:$DO11,4)</f>
        <v/>
      </c>
      <c r="EG11" s="140">
        <f>COUNTIF($DK11:$DO11,5)</f>
        <v/>
      </c>
      <c r="EH11" s="140">
        <f>COUNTIF($DK11:$DO11,6)</f>
        <v/>
      </c>
      <c r="EI11" s="140">
        <f>COUNTIF($DY11:$DZ11,1)</f>
        <v/>
      </c>
      <c r="EJ11" s="140">
        <f>COUNTIF($DY11:$DZ11,2)+$DV11</f>
        <v/>
      </c>
      <c r="EK11" s="140">
        <f>COUNTIF($DA11:$DD11,"?*")</f>
        <v/>
      </c>
      <c r="EL11" s="140">
        <f>COUNTIF($DE11:$DF11,"?*")+$DV11</f>
        <v/>
      </c>
      <c r="EM11" s="140">
        <f>SUMPRODUCT($EC11:$EH11,INDEX($I$2:$N$8,$CX11,0))</f>
        <v/>
      </c>
      <c r="EN11" s="140">
        <f>$EI11*CEILING($CX11/2,1)+$EJ11*$CX11</f>
        <v/>
      </c>
      <c r="EO11" s="140">
        <f>MIN(2*$CX11,$EN11)</f>
        <v/>
      </c>
      <c r="EP11" s="140">
        <f>MIN($EO11,$EM11)</f>
        <v/>
      </c>
      <c r="EQ11" s="140">
        <f>$EO11-$EP11</f>
        <v/>
      </c>
      <c r="ER11" s="140">
        <f>3*$CX11-$EM11+$EP11</f>
        <v/>
      </c>
      <c r="ES11" s="140">
        <f>MAX(0,$ER11)+$CV11*$CX11</f>
        <v/>
      </c>
      <c r="ET11" s="140">
        <f>(IF(COUNTIF($DA11:$DD11,"Salto")&gt;0,1,0)+IF(COUNTIF($DA11:$DD11,"Queima")&gt;0,1,0))*FLOOR($ES11/2,1)</f>
        <v/>
      </c>
      <c r="EU11" s="140">
        <f>MAX(0,3-SUMPRODUCT($EC11:$EH11,$I$2:$N$2)+MIN(2,$EI11*1+$EJ11*1,SUMPRODUCT($EC11:$EH11,$I$2:$N$2)))+$CV11*1</f>
        <v/>
      </c>
      <c r="EV11" s="140">
        <f>MAX(0,6-SUMPRODUCT($EC11:$EH11,$I$3:$N$3)+MIN(4,$EI11*1+$EJ11*2,SUMPRODUCT($EC11:$EH11,$I$3:$N$3)))+$CV11*2</f>
        <v/>
      </c>
      <c r="EW11" s="140">
        <f>MAX(0,9-SUMPRODUCT($EC11:$EH11,$I$4:$N$4)+MIN(6,$EI11*2+$EJ11*3,SUMPRODUCT($EC11:$EH11,$I$4:$N$4)))+$CV11*3</f>
        <v/>
      </c>
      <c r="EX11" s="140">
        <f>MAX(0,12-SUMPRODUCT($EC11:$EH11,$I$5:$N$5)+MIN(8,$EI11*2+$EJ11*4,SUMPRODUCT($EC11:$EH11,$I$5:$N$5)))+$CV11*4</f>
        <v/>
      </c>
      <c r="EY11" s="140">
        <f>MAX(0,15-SUMPRODUCT($EC11:$EH11,$I$6:$N$6)+MIN(10,$EI11*3+$EJ11*5,SUMPRODUCT($EC11:$EH11,$I$6:$N$6)))+$CV11*5</f>
        <v/>
      </c>
      <c r="EZ11" s="140">
        <f>MAX(0,18-SUMPRODUCT($EC11:$EH11,$I$7:$N$7)+MIN(12,$EI11*3+$EJ11*6,SUMPRODUCT($EC11:$EH11,$I$7:$N$7)))+$CV11*6</f>
        <v/>
      </c>
      <c r="FA11" s="140">
        <f>MAX(0,21-SUMPRODUCT($EC11:$EH11,$I$8:$N$8)+MIN(14,$EI11*4+$EJ11*7,SUMPRODUCT($EC11:$EH11,$I$8:$N$8)))+$CV11*7</f>
        <v/>
      </c>
      <c r="FB11" s="140">
        <f>IF($DW11=2,3*$EU11&amp;" de vida temp.",IF($DW11=3,"sem dano",IF($EU11=0,IF($DW11=1,"sem cura","sem dano"),IF($DW11=1,"cura ","")&amp;$EU11&amp;"d8")))</f>
        <v/>
      </c>
      <c r="FC11" s="140">
        <f>IF($DW11=2,3*$EV11&amp;" de vida temp.",IF($DW11=3,"sem dano",IF($EV11=0,IF($DW11=1,"sem cura","sem dano"),IF($DW11=1,"cura ","")&amp;$EV11&amp;"d8")))</f>
        <v/>
      </c>
      <c r="FD11" s="140">
        <f>IF($DW11=2,3*$EW11&amp;" de vida temp.",IF($DW11=3,"sem dano",IF($EW11=0,IF($DW11=1,"sem cura","sem dano"),IF($DW11=1,"cura ","")&amp;$EW11&amp;"d8")))</f>
        <v/>
      </c>
      <c r="FE11" s="140">
        <f>IF($DW11=2,3*$EX11&amp;" de vida temp.",IF($DW11=3,"sem dano",IF($EX11=0,IF($DW11=1,"sem cura","sem dano"),IF($DW11=1,"cura ","")&amp;$EX11&amp;"d8")))</f>
        <v/>
      </c>
      <c r="FF11" s="140">
        <f>IF($DW11=2,3*$EY11&amp;" de vida temp.",IF($DW11=3,"sem dano",IF($EY11=0,IF($DW11=1,"sem cura","sem dano"),IF($DW11=1,"cura ","")&amp;$EY11&amp;"d8")))</f>
        <v/>
      </c>
      <c r="FG11" s="140">
        <f>IF($DW11=2,3*$EZ11&amp;" de vida temp.",IF($DW11=3,"sem dano",IF($EZ11=0,IF($DW11=1,"sem cura","sem dano"),IF($DW11=1,"cura ","")&amp;$EZ11&amp;"d8")))</f>
        <v/>
      </c>
      <c r="FH11" s="140">
        <f>IF($DW11=2,3*$FA11&amp;" de vida temp.",IF($DW11=3,"sem dano",IF($FA11=0,IF($DW11=1,"sem cura","sem dano"),IF($DW11=1,"cura ","")&amp;$FA11&amp;"d8")))</f>
        <v/>
      </c>
      <c r="FI11" s="140">
        <f>IF($DI11=0,"",TEXTJOIN(" · ",TRUE,IF(AND($CV11=1,$CW11&gt;$GH$9),"O nível "&amp;$GH$2&amp;" dá "&amp;$GH$9&amp;" Liberação Máxima",""),IF($CX11&gt;$GH$4,"Classe "&amp;$CX11&amp;": o nível "&amp;$GH$2&amp;" libera até a "&amp;$GH$4,""),IF($DP11=1,"Família Fechada: a Forma "&amp;$CZ11,""),IF($DQ11=1,"Família Fechada: "&amp;$DA11,""),IF($DR11=1,"Família Fechada: "&amp;$DB11,""),IF($DS11=1,"Família Fechada: "&amp;$DC11,""),IF($DT11=1,"Família Fechada: "&amp;$DD11,""),IF($EK11&gt;INDEX($O$2:$O$8,$CX11),$EK11&amp;" Melhorias: a Classe "&amp;$CX11&amp;" aceita "&amp;INDEX($O$2:$O$8,$CX11),""),IF($EL11&gt;2,$EL11&amp;" Restrições"&amp;IF($DV11=1,", contando a que a Forma "&amp;$CZ11&amp;" já traz","")&amp;": o limite é 2",""),IF($ER11&lt;0,"Orçamento estourado: faltam "&amp;(-$ER11)&amp;IF($ER11&lt;-1," pontos"," ponto"),""),IF(IFERROR(VLOOKUP($DE11,$BD$2:$BH$24,4,FALSE),0)+IFERROR(VLOOKUP($DF11,$BD$2:$BH$24,4,FALSE),0)&gt;1,$EA11&amp;" e "&amp;$EB11&amp;" são as duas de frequência",""),IF(AND((COUNTIF($DA11:$DD11,"Rápido")+COUNTIF($EA11:$EB11,"Rápido"))&gt;0,(COUNTIF($DA11:$DD11,"Reação")+COUNTIF($EA11:$EB11,"Reação"))&gt;0),"Rápido não entra com Reação",""),IF(AND((COUNTIF($DA11:$DD11,"Rápido")+COUNTIF($EA11:$EB11,"Rápido"))&gt;0,(COUNTIF($DA11:$DD11,"Atrasar")+COUNTIF($EA11:$EB11,"Atrasar"))&gt;0),"Rápido não entra com Atrasar",""),IF(AND((COUNTIF($DA11:$DD11,"Reação")+COUNTIF($EA11:$EB11,"Reação"))&gt;0,(COUNTIF($DA11:$DD11,"Atrasar")+COUNTIF($EA11:$EB11,"Atrasar"))&gt;0),"Reação não entra com Atrasar",""),IF(AND((COUNTIF($DA11:$DD11,"Reação")+COUNTIF($EA11:$EB11,"Reação"))&gt;0,(COUNTIF($DA11:$DD11,"Parado")+COUNTIF($EA11:$EB11,"Parado"))&gt;0),"Reação não entra com Parado",""),IF(AND(COUNTIF($EA11:$EB11,"Corpo a Corpo")&gt;0,$DV11=0,OR($CZ11="Cone",$CZ11="Linha")),"Corpo a Corpo não entra em "&amp;$CZ11,""),IF(AND(COUNTIF($EA11:$EB11,"Corpo a Corpo")&gt;0,$DV11=1),"A Forma "&amp;$CZ11&amp;" já traz o Corpo a Corpo",""),IF(AND(COUNTIF($EA11:$EB11,"Tudo ou Nada")&gt;0,$DX11=0),"Tudo ou Nada só entra em feitiço de Teste de Resistência",""),IF(AND(COUNTIF($DA11:$DD11,"Inescapável")&gt;0,OR($EK11&gt;1,$EL11&gt;0)),"Inescapável não aceita outra peça",""),IF(AND($CV11=1,$CX11&lt;3),"Liberação Máxima é de Classe 3 ou mais",""),IF(AND($CV11=1,OR($DW11=1,$DW11=2)),"Liberação Máxima não serve para cura",""),IF(AND($CV11=1,COUNTIF($DA11:$DD11,"Inescapável")+COUNTIF($DA11:$DD11,"Toca a Alma")&gt;0),"Esta peça não entra numa Liberação Máxima",""),IF($ES11+$ET11&gt;4*$CX11,($ES11+$ET11)&amp;" dados somando alvos e repetições: o teto da Classe "&amp;$CX11&amp;" é "&amp;4*$CX11,"")))</f>
        <v/>
      </c>
      <c r="FJ11" s="140">
        <f>IF($FI11="",0,(LEN($FI11)-LEN(SUBSTITUTE($FI11," · ","")))/3+1)</f>
        <v/>
      </c>
      <c r="FK11" s="140">
        <f>IF($DI11=0,"",TEXTJOIN(" · ",TRUE,IF($EN11&gt;2*$CX11,"A devolução parou no teto de "&amp;2*$CX11,""),IF($EQ11&gt;0,"Devolução perdida: "&amp;$EQ11&amp;IF($EQ11&gt;1," pontos"," ponto")&amp;" sem peça para pagar",""),IF(AND($DU11&gt;0,$ES11=0),"Controle sem dano: uma rodada a mais e CD +2",""),IF(AND($DU11&gt;0,$ES11&gt;0,$ES11&lt;=$CX11),"Controle com um quarto do teto: uma rodada a mais","")))</f>
        <v/>
      </c>
      <c r="FL11" s="140">
        <f>IF($FK11="",0,(LEN($FK11)-LEN(SUBSTITUTE($FK11," · ","")))/3+1)</f>
        <v/>
      </c>
      <c r="FM11" s="140">
        <f>IF($DI11=0,IF($EK11+$EL11-$DV11&gt;0,"dê um nome",""),IF($FJ11&gt;0,"⚠ "&amp;$FJ11&amp;IF($FJ11&gt;1," erros"," erro"),IF($FL11&gt;0,"! "&amp;$FL11&amp;IF($FL11&gt;1," avisos"," aviso"),"na regra")))</f>
        <v/>
      </c>
      <c r="FN11" s="140">
        <f>IF($DI11=0,"",IF($FJ11+$FL11=0,"Dentro das regras que a ficha confere",$FI11&amp;IF(AND($FJ11&gt;0,$FL11&gt;0)," · ","")&amp;$FK11))</f>
        <v/>
      </c>
      <c r="FO11" s="140">
        <f>IF($DI11=0,"",IF($CV11=1,CEILING(4.5*$CX11,1),3*$CX11)&amp;" PE")</f>
        <v/>
      </c>
      <c r="FP11" s="140">
        <f>IF($DI11=0,"",IF($CV11=1,"Rodada inteira",IF(COUNTIF($EA11:$EB11,"Atrasar")&gt;0,IF(COUNTIF($EA11:$EB11,"Carregar")&gt;0,"Rodada +1 turno","Rodada inteira"),IF(COUNTIF($DA11:$DD11,"Rápido")&gt;0,"Bônus",IF(COUNTIF($DA11:$DD11,"Reação")&gt;0,"Reação","Padrão"))&amp;IF(COUNTIF($EA11:$EB11,"Carregar")&gt;0," +1 turno",""))))</f>
        <v/>
      </c>
      <c r="FQ11" s="140">
        <f>IF(OR($DI11=0,$DJ11=0),"",IF(COUNTIF($DA11:$DD11,"Inescapável")&gt;0,"Automático",IF(COUNTIF($DA11:$DD11,"Certeiro")&gt;0,"TR para metade",INDEX($X$2:$X$11,$DJ11))))</f>
        <v/>
      </c>
      <c r="FR11" s="140">
        <f>IF(OR($DI11=0,$DJ11=0),"",IF(OR($DW11&gt;=2,$ES11=0),INDEX($FB11:$FH11,1,$CX11),INDEX($FB11:$FH11,1,$CX11)&amp;" = "&amp;FLOOR($ES11*4.5,1)&amp;IF($ET11&gt;0," · +"&amp;$ET11&amp;"d8","")))</f>
        <v/>
      </c>
      <c r="FS11" s="140">
        <f>COUNTIF($DA11:$DD11,"Longe")+3*COUNTIF($DA11:$DD11,"Muito Longe")</f>
        <v/>
      </c>
      <c r="FT11" s="140">
        <f>COUNTIF($DA11:$DD11,"Maior")+3*COUNTIF($DA11:$DD11,"Muito Maior")</f>
        <v/>
      </c>
      <c r="FU11" s="140">
        <f>IF($DJ11=0,0,CHOOSE(1+INDEX($Z$2:$Z$11,$DJ11),0,$FS11,$FT11,$FS11+$FT11))</f>
        <v/>
      </c>
      <c r="FV11" s="140">
        <f>IF($DJ11=0,0,CHOOSE(1+INDEX($AA$2:$AA$11,$DJ11),0,$FS11,$FT11,$FS11+$FT11))</f>
        <v/>
      </c>
      <c r="FW11" s="140">
        <f>IF(OR($DI11=0,$DJ11=0),"",INDEX($AH$2:$AM$31,($DJ11-1)*3+IF($CX11&gt;=6,3,2),1+MIN(5,$FU11))&amp;INDEX($AN$2:$AS$31,($DJ11-1)*3+IF($CX11&gt;=6,3,2),1+MIN(5,$FV11))&amp;IF(INDEX($AB$2:$AB$11,$DJ11)=1,IF(COUNTIF($DA11:$DD11,"Mais Um")&gt;0," · +"&amp;COUNTIF($DA11:$DD11,"Mais Um")&amp;IF(COUNTIF($DA11:$DD11,"Mais Um")&gt;1," alvos"," alvo"),"")&amp;IF(COUNTIF($DA11:$DD11,"Rajada")&gt;0," · "&amp;($CX11+1)&amp;" tiros",""),""))</f>
        <v/>
      </c>
      <c r="FX11" s="140">
        <f>IF($DI11=0,"",3*$CX11&amp;" − "&amp;$EM11&amp;" + "&amp;$EP11&amp;IF($CV11=1," + "&amp;$CX11,"")&amp;" = "&amp;$ES11&amp;"d8 · teto "&amp;4*$CX11&amp;IF($DV11=1," · a Forma devolve "&amp;$CX11,"")&amp;IF($EQ11&gt;0," · perde "&amp;$EQ11,""))</f>
        <v/>
      </c>
      <c r="FY11" s="140">
        <f>IF($DI11=0,"",IF($CX11&gt;=$GH$4,"Já está na maior Classe que o nível liberou",TEXTJOIN(" · ",TRUE,IF(AND(2&gt;$CX11,2&lt;=$GH$4),"2 → "&amp;$FC11&amp;", "&amp;IF($CV11=1,9,6)&amp;" PE",""),IF(AND(3&gt;$CX11,3&lt;=$GH$4),"3 → "&amp;$FD11&amp;", "&amp;IF($CV11=1,14,9)&amp;" PE",""),IF(AND(4&gt;$CX11,4&lt;=$GH$4),"4 → "&amp;$FE11&amp;", "&amp;IF($CV11=1,18,12)&amp;" PE",""),IF(AND(5&gt;$CX11,5&lt;=$GH$4),"5 → "&amp;$FF11&amp;", "&amp;IF($CV11=1,23,15)&amp;" PE",""),IF(AND(6&gt;$CX11,6&lt;=$GH$4),"6 → "&amp;$FG11&amp;", "&amp;IF($CV11=1,27,18)&amp;" PE",""),IF(AND(7&gt;$CX11,7&lt;=$GH$4),"7 → "&amp;$FH11&amp;", "&amp;IF($CV11=1,32,21)&amp;" PE",""))))</f>
        <v/>
      </c>
      <c r="FZ11" s="140">
        <f>IF(OR($DI11=0,$DL11=0),"","−"&amp;INDEX($I$2:$N$8,$CX11,$DL11)&amp;" · "&amp;CHOOSE($DL11,"Leve","Média","Pesada","Leve · Livre","Média · Livre","Pesada · Livre"))</f>
        <v/>
      </c>
      <c r="GA11" s="140">
        <f>IF(OR($DI11=0,$DM11=0),"","−"&amp;INDEX($I$2:$N$8,$CX11,$DM11)&amp;" · "&amp;CHOOSE($DM11,"Leve","Média","Pesada","Leve · Livre","Média · Livre","Pesada · Livre"))</f>
        <v/>
      </c>
      <c r="GB11" s="140">
        <f>IF(OR($DI11=0,$DN11=0),"","−"&amp;INDEX($I$2:$N$8,$CX11,$DN11)&amp;" · "&amp;CHOOSE($DN11,"Leve","Média","Pesada","Leve · Livre","Média · Livre","Pesada · Livre"))</f>
        <v/>
      </c>
      <c r="GC11" s="140">
        <f>IF(OR($DI11=0,$DO11=0),"","−"&amp;INDEX($I$2:$N$8,$CX11,$DO11)&amp;" · "&amp;CHOOSE($DO11,"Leve","Média","Pesada","Leve · Livre","Média · Livre","Pesada · Livre"))</f>
        <v/>
      </c>
      <c r="GD11" s="140">
        <f>IF(OR($DI11=0,$DE11=""),"",IF($DG11=1,"Selo","+"&amp;IF($DY11=1,CEILING($CX11/2,1),$CX11)))</f>
        <v/>
      </c>
      <c r="GE11" s="140">
        <f>IF(OR($DI11=0,$DF11=""),"",IF($DH11=1,"Selo","+"&amp;IF($DZ11=1,CEILING($CX11/2,1),$CX11)))</f>
        <v/>
      </c>
      <c r="GG11" s="114" t="inlineStr">
        <is>
          <t>classe 0 dados</t>
        </is>
      </c>
      <c r="GH11" s="140">
        <f>IFERROR(INDEX($BZ$2:$BZ$6,MATCH($GH$2,$BX$2:$BX$6,1)),0)</f>
        <v/>
      </c>
      <c r="GJ11" s="114" t="inlineStr">
        <is>
          <t>Passiva 10 · Leque</t>
        </is>
      </c>
      <c r="GK11" s="140">
        <f>'FICHA AMALDIÇOADA'!$J$399&amp;""</f>
        <v/>
      </c>
      <c r="GL11" s="140">
        <f>IFERROR(VLOOKUP($GK11,$BJ$2:$BL$20,2,FALSE),0)</f>
        <v/>
      </c>
      <c r="GM11" s="140">
        <f>IFERROR(VLOOKUP($GL11,$BN$2:$BO$4,2,FALSE),0)</f>
        <v/>
      </c>
      <c r="GN11" s="140">
        <f>IFERROR(VLOOKUP($GK11,$BJ$2:$BL$20,3,FALSE),"")</f>
        <v/>
      </c>
      <c r="GO11" s="140">
        <f>IF($GL11=0,"",IF($GM11&gt;$GH$2,"⚠ nível "&amp;$GM11,"CP "&amp;$GL11))</f>
        <v/>
      </c>
      <c r="GP11" s="140">
        <f>IF($GL11=0,"",IF(5&gt;$GH$8,"⚠ vaga","grátis"))</f>
        <v/>
      </c>
      <c r="GR11" s="114" t="inlineStr">
        <is>
          <t>Aptidão 10</t>
        </is>
      </c>
      <c r="GS11" s="140">
        <f>'FICHA AMALDIÇOADA'!$D$483&amp;""</f>
        <v/>
      </c>
      <c r="GT11" s="140">
        <f>IF($GS11="","","Requisito: "&amp;IFERROR(VLOOKUP($GS11,$BQ$2:$BV$17,2,FALSE),""))</f>
        <v/>
      </c>
      <c r="GU11" s="140">
        <f>IF($GS11="","",IFERROR(IF(ISNUMBER(VLOOKUP($GS11,$BQ$2:$BV$17,3,FALSE)),"CP "&amp;VLOOKUP($GS11,$BQ$2:$BV$17,3,FALSE),VLOOKUP($GS11,$BQ$2:$BV$17,3,FALSE)),""))</f>
        <v/>
      </c>
      <c r="GV11" s="140">
        <f>IF($GS11="","",IFERROR(VLOOKUP($GS11,$BQ$2:$BV$17,4,FALSE),""))</f>
        <v/>
      </c>
      <c r="GW11" s="140">
        <f>IF($GS11="","",IFERROR(VLOOKUP($GS11,$BQ$2:$BV$17,5,FALSE),""))</f>
        <v/>
      </c>
      <c r="HH11" s="114" t="inlineStr">
        <is>
          <t>Pactos</t>
        </is>
      </c>
      <c r="HI11" s="140">
        <f>ADDRESS(ROW('FICHA AMALDIÇOADA'!Q7),COLUMN('FICHA AMALDIÇOADA'!Q7),4)</f>
        <v/>
      </c>
      <c r="HJ11" s="140">
        <f>ADDRESS(ROW('FICHA AMALDIÇOADA'!D503),COLUMN('FICHA AMALDIÇOADA'!D503),4)</f>
        <v/>
      </c>
    </row>
    <row r="12">
      <c r="AG12" s="114" t="inlineStr">
        <is>
          <t>Aura · classes 1 a 5</t>
        </is>
      </c>
      <c r="AH12" s="114" t="inlineStr">
        <is>
          <t>raio 3 m, em você</t>
        </is>
      </c>
      <c r="AI12" s="114" t="inlineStr">
        <is>
          <t>raio 4,5 m, em você</t>
        </is>
      </c>
      <c r="AJ12" s="114" t="inlineStr">
        <is>
          <t>raio 6 m, em você</t>
        </is>
      </c>
      <c r="AK12" s="114" t="inlineStr">
        <is>
          <t>raio 9 m, em você</t>
        </is>
      </c>
      <c r="AL12" s="114" t="inlineStr">
        <is>
          <t>raio 15 m, em você</t>
        </is>
      </c>
      <c r="AM12" s="114" t="inlineStr">
        <is>
          <t>raio 15 m, em você</t>
        </is>
      </c>
      <c r="AN12" s="114" t="inlineStr"/>
      <c r="AO12" s="114" t="inlineStr"/>
      <c r="AP12" s="114" t="inlineStr"/>
      <c r="AQ12" s="114" t="inlineStr"/>
      <c r="AR12" s="114" t="inlineStr"/>
      <c r="AS12" s="114" t="inlineStr"/>
      <c r="AU12" s="114" t="inlineStr">
        <is>
          <t>Fica</t>
        </is>
      </c>
      <c r="AV12" s="114" t="inlineStr">
        <is>
          <t>Área</t>
        </is>
      </c>
      <c r="AW12" s="140" t="n">
        <v>2</v>
      </c>
      <c r="AX12" s="140">
        <f>$AW12+3*IFERROR(VLOOKUP($AV12,$A$2:$D$10,3,FALSE),0)</f>
        <v/>
      </c>
      <c r="AY12" s="140">
        <f>IFERROR(VLOOKUP($AV12,$A$2:$D$10,4,FALSE),0)</f>
        <v/>
      </c>
      <c r="AZ12" s="140" t="n">
        <v>0</v>
      </c>
      <c r="BA12" s="140">
        <f>IF($AY12=1,"",$AU12)</f>
        <v/>
      </c>
      <c r="BB12" s="140">
        <f>IF(AND($AW12=1,$AY12=0),$AU12,"")</f>
        <v/>
      </c>
      <c r="BD12" s="114" t="inlineStr">
        <is>
          <t>Condicional (Leve)</t>
        </is>
      </c>
      <c r="BE12" s="114" t="inlineStr">
        <is>
          <t>Condicional</t>
        </is>
      </c>
      <c r="BF12" s="140" t="n">
        <v>1</v>
      </c>
      <c r="BG12" s="140" t="n">
        <v>1</v>
      </c>
      <c r="BH12" s="114" t="inlineStr">
        <is>
          <t>Condicional (Leve)</t>
        </is>
      </c>
      <c r="BJ12" s="114" t="inlineStr">
        <is>
          <t>Costura</t>
        </is>
      </c>
      <c r="BK12" s="140" t="n">
        <v>2</v>
      </c>
      <c r="BL12" s="114" t="inlineStr">
        <is>
          <t>Uma vez por cena, um aliado a até 9 m que cairia a 0 fica com 1.</t>
        </is>
      </c>
      <c r="BQ12" s="114" t="inlineStr">
        <is>
          <t>Pétala</t>
        </is>
      </c>
      <c r="BR12" s="114" t="inlineStr">
        <is>
          <t>ser Descendente, ou ter aprendido com alguém de um clã; refino 4 e nível 10</t>
        </is>
      </c>
      <c r="BS12" s="140" t="n">
        <v>2</v>
      </c>
      <c r="BT12" s="114" t="inlineStr">
        <is>
          <t>—</t>
        </is>
      </c>
      <c r="BU12" s="114" t="inlineStr">
        <is>
          <t>A energia cobre o seu corpo e rebate o que encosta nela, energia contra energia. Quando o Acerto de uma Expansão toca você, o dano dele depende da sua Essência contra a do dono da Expansão: maior, ele não te fere; igual, você leva um quarto; menor, você leva metade. O que a Expansão traz por contato e não é dano, como agarrar, condição ou marca, ela anula de qualquer jeito. Ela levanta com uma Reação quando uma Expansão abre, ou com uma Ação Bônus no seu turno. Erguer custa a sua maior Classe em PE, toda vez que ela sobe, e de pé ela custa 1 PE por rodada. Ela cai pelos golpes em você. Cada golpe que te acerta, de qualquer um, pede o teste do Carregar: um Teste de Resistência de Espírito contra a CD de quem te feriu. Com metade da sua Essência em falhas (no mínimo 1), ela se desfaz. Esse teste não ocupa a sua Concentração, e a Mão Firme não protege dele. Quando ela cai, a Expansão não te alcança na hora: o próximo Acerto te pega inteiro se ela ainda estiver caída. Erguer de novo custa a Ação Bônus, com as falhas zeradas. Com uma arma corpo a corpo empunhada, ela contra-ataca. Quando um golpe corpo a corpo te acerta, você pode gastar a Reação num ataque de oportunidade com vantagem contra quem te acertou, se ele estiver ao seu alcance. Cada contra-ataque custa 3 PE. O soco não conta.</t>
        </is>
      </c>
      <c r="BV12" s="114" t="inlineStr">
        <is>
          <t>Pétala</t>
        </is>
      </c>
      <c r="CU12" s="114" t="inlineStr">
        <is>
          <t>Feitiço 11</t>
        </is>
      </c>
      <c r="CV12" s="140" t="n">
        <v>0</v>
      </c>
      <c r="CW12" s="140" t="n">
        <v>11</v>
      </c>
      <c r="CX12" s="140">
        <f>MAX(1,MIN(7,N('FICHA AMALDIÇOADA'!$J$108)))</f>
        <v/>
      </c>
      <c r="CY12" s="140">
        <f>'FICHA AMALDIÇOADA'!$K$108&amp;""</f>
        <v/>
      </c>
      <c r="CZ12" s="140">
        <f>'FICHA AMALDIÇOADA'!$J$115&amp;""</f>
        <v/>
      </c>
      <c r="DA12" s="140">
        <f>'FICHA AMALDIÇOADA'!$K$117&amp;""</f>
        <v/>
      </c>
      <c r="DB12" s="140">
        <f>'FICHA AMALDIÇOADA'!$K$118&amp;""</f>
        <v/>
      </c>
      <c r="DC12" s="140">
        <f>'FICHA AMALDIÇOADA'!$K$119&amp;""</f>
        <v/>
      </c>
      <c r="DD12" s="140">
        <f>'FICHA AMALDIÇOADA'!$K$120&amp;""</f>
        <v/>
      </c>
      <c r="DE12" s="140">
        <f>'FICHA AMALDIÇOADA'!$K$121&amp;""</f>
        <v/>
      </c>
      <c r="DF12" s="140">
        <f>'FICHA AMALDIÇOADA'!$K$122&amp;""</f>
        <v/>
      </c>
      <c r="DG12" s="140">
        <f>IF('FICHA AMALDIÇOADA'!$N$121=TRUE,1,0)</f>
        <v/>
      </c>
      <c r="DH12" s="140">
        <f>IF('FICHA AMALDIÇOADA'!$N$122=TRUE,1,0)</f>
        <v/>
      </c>
      <c r="DI12" s="140">
        <f>IF($CY12&lt;&gt;"",1,0)</f>
        <v/>
      </c>
      <c r="DJ12" s="140">
        <f>IFERROR(MATCH($CZ12,$Q$2:$Q$11,0),0)</f>
        <v/>
      </c>
      <c r="DK12" s="140">
        <f>IF($DJ12=0,0,INDEX($T$2:$T$11,$DJ12))</f>
        <v/>
      </c>
      <c r="DL12" s="140">
        <f>IFERROR(VLOOKUP($DA12,$AU$2:$BB$84,4,FALSE),0)</f>
        <v/>
      </c>
      <c r="DM12" s="140">
        <f>IFERROR(VLOOKUP($DB12,$AU$2:$BB$84,4,FALSE),0)</f>
        <v/>
      </c>
      <c r="DN12" s="140">
        <f>IFERROR(VLOOKUP($DC12,$AU$2:$BB$84,4,FALSE),0)</f>
        <v/>
      </c>
      <c r="DO12" s="140">
        <f>IFERROR(VLOOKUP($DD12,$AU$2:$BB$84,4,FALSE),0)</f>
        <v/>
      </c>
      <c r="DP12" s="140">
        <f>IF($DJ12=0,0,INDEX($U$2:$U$11,$DJ12))</f>
        <v/>
      </c>
      <c r="DQ12" s="140">
        <f>IFERROR(VLOOKUP($DA12,$AU$2:$BB$84,5,FALSE),0)</f>
        <v/>
      </c>
      <c r="DR12" s="140">
        <f>IFERROR(VLOOKUP($DB12,$AU$2:$BB$84,5,FALSE),0)</f>
        <v/>
      </c>
      <c r="DS12" s="140">
        <f>IFERROR(VLOOKUP($DC12,$AU$2:$BB$84,5,FALSE),0)</f>
        <v/>
      </c>
      <c r="DT12" s="140">
        <f>IFERROR(VLOOKUP($DD12,$AU$2:$BB$84,5,FALSE),0)</f>
        <v/>
      </c>
      <c r="DU12" s="140">
        <f>IFERROR(VLOOKUP($DA12,$AU$2:$BB$84,6,FALSE),0)+IFERROR(VLOOKUP($DB12,$AU$2:$BB$84,6,FALSE),0)+IFERROR(VLOOKUP($DC12,$AU$2:$BB$84,6,FALSE),0)+IFERROR(VLOOKUP($DD12,$AU$2:$BB$84,6,FALSE),0)</f>
        <v/>
      </c>
      <c r="DV12" s="140">
        <f>IF($DJ12=0,0,INDEX($V$2:$V$11,$DJ12))</f>
        <v/>
      </c>
      <c r="DW12" s="140">
        <f>IF($DJ12=0,0,INDEX($W$2:$W$11,$DJ12))</f>
        <v/>
      </c>
      <c r="DX12" s="140">
        <f>IF($DJ12=0,0,INDEX($Y$2:$Y$11,$DJ12))</f>
        <v/>
      </c>
      <c r="DY12" s="140">
        <f>IF($DG12=1,0,IFERROR(VLOOKUP($DE12,$BD$2:$BH$24,3,FALSE),0))</f>
        <v/>
      </c>
      <c r="DZ12" s="140">
        <f>IF($DH12=1,0,IFERROR(VLOOKUP($DF12,$BD$2:$BH$24,3,FALSE),0))</f>
        <v/>
      </c>
      <c r="EA12" s="140">
        <f>IFERROR(VLOOKUP($DE12,$BD$2:$BH$24,2,FALSE),"")</f>
        <v/>
      </c>
      <c r="EB12" s="140">
        <f>IFERROR(VLOOKUP($DF12,$BD$2:$BH$24,2,FALSE),"")</f>
        <v/>
      </c>
      <c r="EC12" s="140">
        <f>COUNTIF($DK12:$DO12,1)</f>
        <v/>
      </c>
      <c r="ED12" s="140">
        <f>COUNTIF($DK12:$DO12,2)</f>
        <v/>
      </c>
      <c r="EE12" s="140">
        <f>COUNTIF($DK12:$DO12,3)</f>
        <v/>
      </c>
      <c r="EF12" s="140">
        <f>COUNTIF($DK12:$DO12,4)</f>
        <v/>
      </c>
      <c r="EG12" s="140">
        <f>COUNTIF($DK12:$DO12,5)</f>
        <v/>
      </c>
      <c r="EH12" s="140">
        <f>COUNTIF($DK12:$DO12,6)</f>
        <v/>
      </c>
      <c r="EI12" s="140">
        <f>COUNTIF($DY12:$DZ12,1)</f>
        <v/>
      </c>
      <c r="EJ12" s="140">
        <f>COUNTIF($DY12:$DZ12,2)+$DV12</f>
        <v/>
      </c>
      <c r="EK12" s="140">
        <f>COUNTIF($DA12:$DD12,"?*")</f>
        <v/>
      </c>
      <c r="EL12" s="140">
        <f>COUNTIF($DE12:$DF12,"?*")+$DV12</f>
        <v/>
      </c>
      <c r="EM12" s="140">
        <f>SUMPRODUCT($EC12:$EH12,INDEX($I$2:$N$8,$CX12,0))</f>
        <v/>
      </c>
      <c r="EN12" s="140">
        <f>$EI12*CEILING($CX12/2,1)+$EJ12*$CX12</f>
        <v/>
      </c>
      <c r="EO12" s="140">
        <f>MIN(2*$CX12,$EN12)</f>
        <v/>
      </c>
      <c r="EP12" s="140">
        <f>MIN($EO12,$EM12)</f>
        <v/>
      </c>
      <c r="EQ12" s="140">
        <f>$EO12-$EP12</f>
        <v/>
      </c>
      <c r="ER12" s="140">
        <f>3*$CX12-$EM12+$EP12</f>
        <v/>
      </c>
      <c r="ES12" s="140">
        <f>MAX(0,$ER12)+$CV12*$CX12</f>
        <v/>
      </c>
      <c r="ET12" s="140">
        <f>(IF(COUNTIF($DA12:$DD12,"Salto")&gt;0,1,0)+IF(COUNTIF($DA12:$DD12,"Queima")&gt;0,1,0))*FLOOR($ES12/2,1)</f>
        <v/>
      </c>
      <c r="EU12" s="140">
        <f>MAX(0,3-SUMPRODUCT($EC12:$EH12,$I$2:$N$2)+MIN(2,$EI12*1+$EJ12*1,SUMPRODUCT($EC12:$EH12,$I$2:$N$2)))+$CV12*1</f>
        <v/>
      </c>
      <c r="EV12" s="140">
        <f>MAX(0,6-SUMPRODUCT($EC12:$EH12,$I$3:$N$3)+MIN(4,$EI12*1+$EJ12*2,SUMPRODUCT($EC12:$EH12,$I$3:$N$3)))+$CV12*2</f>
        <v/>
      </c>
      <c r="EW12" s="140">
        <f>MAX(0,9-SUMPRODUCT($EC12:$EH12,$I$4:$N$4)+MIN(6,$EI12*2+$EJ12*3,SUMPRODUCT($EC12:$EH12,$I$4:$N$4)))+$CV12*3</f>
        <v/>
      </c>
      <c r="EX12" s="140">
        <f>MAX(0,12-SUMPRODUCT($EC12:$EH12,$I$5:$N$5)+MIN(8,$EI12*2+$EJ12*4,SUMPRODUCT($EC12:$EH12,$I$5:$N$5)))+$CV12*4</f>
        <v/>
      </c>
      <c r="EY12" s="140">
        <f>MAX(0,15-SUMPRODUCT($EC12:$EH12,$I$6:$N$6)+MIN(10,$EI12*3+$EJ12*5,SUMPRODUCT($EC12:$EH12,$I$6:$N$6)))+$CV12*5</f>
        <v/>
      </c>
      <c r="EZ12" s="140">
        <f>MAX(0,18-SUMPRODUCT($EC12:$EH12,$I$7:$N$7)+MIN(12,$EI12*3+$EJ12*6,SUMPRODUCT($EC12:$EH12,$I$7:$N$7)))+$CV12*6</f>
        <v/>
      </c>
      <c r="FA12" s="140">
        <f>MAX(0,21-SUMPRODUCT($EC12:$EH12,$I$8:$N$8)+MIN(14,$EI12*4+$EJ12*7,SUMPRODUCT($EC12:$EH12,$I$8:$N$8)))+$CV12*7</f>
        <v/>
      </c>
      <c r="FB12" s="140">
        <f>IF($DW12=2,3*$EU12&amp;" de vida temp.",IF($DW12=3,"sem dano",IF($EU12=0,IF($DW12=1,"sem cura","sem dano"),IF($DW12=1,"cura ","")&amp;$EU12&amp;"d8")))</f>
        <v/>
      </c>
      <c r="FC12" s="140">
        <f>IF($DW12=2,3*$EV12&amp;" de vida temp.",IF($DW12=3,"sem dano",IF($EV12=0,IF($DW12=1,"sem cura","sem dano"),IF($DW12=1,"cura ","")&amp;$EV12&amp;"d8")))</f>
        <v/>
      </c>
      <c r="FD12" s="140">
        <f>IF($DW12=2,3*$EW12&amp;" de vida temp.",IF($DW12=3,"sem dano",IF($EW12=0,IF($DW12=1,"sem cura","sem dano"),IF($DW12=1,"cura ","")&amp;$EW12&amp;"d8")))</f>
        <v/>
      </c>
      <c r="FE12" s="140">
        <f>IF($DW12=2,3*$EX12&amp;" de vida temp.",IF($DW12=3,"sem dano",IF($EX12=0,IF($DW12=1,"sem cura","sem dano"),IF($DW12=1,"cura ","")&amp;$EX12&amp;"d8")))</f>
        <v/>
      </c>
      <c r="FF12" s="140">
        <f>IF($DW12=2,3*$EY12&amp;" de vida temp.",IF($DW12=3,"sem dano",IF($EY12=0,IF($DW12=1,"sem cura","sem dano"),IF($DW12=1,"cura ","")&amp;$EY12&amp;"d8")))</f>
        <v/>
      </c>
      <c r="FG12" s="140">
        <f>IF($DW12=2,3*$EZ12&amp;" de vida temp.",IF($DW12=3,"sem dano",IF($EZ12=0,IF($DW12=1,"sem cura","sem dano"),IF($DW12=1,"cura ","")&amp;$EZ12&amp;"d8")))</f>
        <v/>
      </c>
      <c r="FH12" s="140">
        <f>IF($DW12=2,3*$FA12&amp;" de vida temp.",IF($DW12=3,"sem dano",IF($FA12=0,IF($DW12=1,"sem cura","sem dano"),IF($DW12=1,"cura ","")&amp;$FA12&amp;"d8")))</f>
        <v/>
      </c>
      <c r="FI12" s="140">
        <f>IF($DI12=0,"",TEXTJOIN(" · ",TRUE,IF(AND($CV12=1,$CW12&gt;$GH$9),"O nível "&amp;$GH$2&amp;" dá "&amp;$GH$9&amp;" Liberação Máxima",""),IF($CX12&gt;$GH$4,"Classe "&amp;$CX12&amp;": o nível "&amp;$GH$2&amp;" libera até a "&amp;$GH$4,""),IF($DP12=1,"Família Fechada: a Forma "&amp;$CZ12,""),IF($DQ12=1,"Família Fechada: "&amp;$DA12,""),IF($DR12=1,"Família Fechada: "&amp;$DB12,""),IF($DS12=1,"Família Fechada: "&amp;$DC12,""),IF($DT12=1,"Família Fechada: "&amp;$DD12,""),IF($EK12&gt;INDEX($O$2:$O$8,$CX12),$EK12&amp;" Melhorias: a Classe "&amp;$CX12&amp;" aceita "&amp;INDEX($O$2:$O$8,$CX12),""),IF($EL12&gt;2,$EL12&amp;" Restrições"&amp;IF($DV12=1,", contando a que a Forma "&amp;$CZ12&amp;" já traz","")&amp;": o limite é 2",""),IF($ER12&lt;0,"Orçamento estourado: faltam "&amp;(-$ER12)&amp;IF($ER12&lt;-1," pontos"," ponto"),""),IF(IFERROR(VLOOKUP($DE12,$BD$2:$BH$24,4,FALSE),0)+IFERROR(VLOOKUP($DF12,$BD$2:$BH$24,4,FALSE),0)&gt;1,$EA12&amp;" e "&amp;$EB12&amp;" são as duas de frequência",""),IF(AND((COUNTIF($DA12:$DD12,"Rápido")+COUNTIF($EA12:$EB12,"Rápido"))&gt;0,(COUNTIF($DA12:$DD12,"Reação")+COUNTIF($EA12:$EB12,"Reação"))&gt;0),"Rápido não entra com Reação",""),IF(AND((COUNTIF($DA12:$DD12,"Rápido")+COUNTIF($EA12:$EB12,"Rápido"))&gt;0,(COUNTIF($DA12:$DD12,"Atrasar")+COUNTIF($EA12:$EB12,"Atrasar"))&gt;0),"Rápido não entra com Atrasar",""),IF(AND((COUNTIF($DA12:$DD12,"Reação")+COUNTIF($EA12:$EB12,"Reação"))&gt;0,(COUNTIF($DA12:$DD12,"Atrasar")+COUNTIF($EA12:$EB12,"Atrasar"))&gt;0),"Reação não entra com Atrasar",""),IF(AND((COUNTIF($DA12:$DD12,"Reação")+COUNTIF($EA12:$EB12,"Reação"))&gt;0,(COUNTIF($DA12:$DD12,"Parado")+COUNTIF($EA12:$EB12,"Parado"))&gt;0),"Reação não entra com Parado",""),IF(AND(COUNTIF($EA12:$EB12,"Corpo a Corpo")&gt;0,$DV12=0,OR($CZ12="Cone",$CZ12="Linha")),"Corpo a Corpo não entra em "&amp;$CZ12,""),IF(AND(COUNTIF($EA12:$EB12,"Corpo a Corpo")&gt;0,$DV12=1),"A Forma "&amp;$CZ12&amp;" já traz o Corpo a Corpo",""),IF(AND(COUNTIF($EA12:$EB12,"Tudo ou Nada")&gt;0,$DX12=0),"Tudo ou Nada só entra em feitiço de Teste de Resistência",""),IF(AND(COUNTIF($DA12:$DD12,"Inescapável")&gt;0,OR($EK12&gt;1,$EL12&gt;0)),"Inescapável não aceita outra peça",""),IF(AND($CV12=1,$CX12&lt;3),"Liberação Máxima é de Classe 3 ou mais",""),IF(AND($CV12=1,OR($DW12=1,$DW12=2)),"Liberação Máxima não serve para cura",""),IF(AND($CV12=1,COUNTIF($DA12:$DD12,"Inescapável")+COUNTIF($DA12:$DD12,"Toca a Alma")&gt;0),"Esta peça não entra numa Liberação Máxima",""),IF($ES12+$ET12&gt;4*$CX12,($ES12+$ET12)&amp;" dados somando alvos e repetições: o teto da Classe "&amp;$CX12&amp;" é "&amp;4*$CX12,"")))</f>
        <v/>
      </c>
      <c r="FJ12" s="140">
        <f>IF($FI12="",0,(LEN($FI12)-LEN(SUBSTITUTE($FI12," · ","")))/3+1)</f>
        <v/>
      </c>
      <c r="FK12" s="140">
        <f>IF($DI12=0,"",TEXTJOIN(" · ",TRUE,IF($EN12&gt;2*$CX12,"A devolução parou no teto de "&amp;2*$CX12,""),IF($EQ12&gt;0,"Devolução perdida: "&amp;$EQ12&amp;IF($EQ12&gt;1," pontos"," ponto")&amp;" sem peça para pagar",""),IF(AND($DU12&gt;0,$ES12=0),"Controle sem dano: uma rodada a mais e CD +2",""),IF(AND($DU12&gt;0,$ES12&gt;0,$ES12&lt;=$CX12),"Controle com um quarto do teto: uma rodada a mais","")))</f>
        <v/>
      </c>
      <c r="FL12" s="140">
        <f>IF($FK12="",0,(LEN($FK12)-LEN(SUBSTITUTE($FK12," · ","")))/3+1)</f>
        <v/>
      </c>
      <c r="FM12" s="140">
        <f>IF($DI12=0,IF($EK12+$EL12-$DV12&gt;0,"dê um nome",""),IF($FJ12&gt;0,"⚠ "&amp;$FJ12&amp;IF($FJ12&gt;1," erros"," erro"),IF($FL12&gt;0,"! "&amp;$FL12&amp;IF($FL12&gt;1," avisos"," aviso"),"na regra")))</f>
        <v/>
      </c>
      <c r="FN12" s="140">
        <f>IF($DI12=0,"",IF($FJ12+$FL12=0,"Dentro das regras que a ficha confere",$FI12&amp;IF(AND($FJ12&gt;0,$FL12&gt;0)," · ","")&amp;$FK12))</f>
        <v/>
      </c>
      <c r="FO12" s="140">
        <f>IF($DI12=0,"",IF($CV12=1,CEILING(4.5*$CX12,1),3*$CX12)&amp;" PE")</f>
        <v/>
      </c>
      <c r="FP12" s="140">
        <f>IF($DI12=0,"",IF($CV12=1,"Rodada inteira",IF(COUNTIF($EA12:$EB12,"Atrasar")&gt;0,IF(COUNTIF($EA12:$EB12,"Carregar")&gt;0,"Rodada +1 turno","Rodada inteira"),IF(COUNTIF($DA12:$DD12,"Rápido")&gt;0,"Bônus",IF(COUNTIF($DA12:$DD12,"Reação")&gt;0,"Reação","Padrão"))&amp;IF(COUNTIF($EA12:$EB12,"Carregar")&gt;0," +1 turno",""))))</f>
        <v/>
      </c>
      <c r="FQ12" s="140">
        <f>IF(OR($DI12=0,$DJ12=0),"",IF(COUNTIF($DA12:$DD12,"Inescapável")&gt;0,"Automático",IF(COUNTIF($DA12:$DD12,"Certeiro")&gt;0,"TR para metade",INDEX($X$2:$X$11,$DJ12))))</f>
        <v/>
      </c>
      <c r="FR12" s="140">
        <f>IF(OR($DI12=0,$DJ12=0),"",IF(OR($DW12&gt;=2,$ES12=0),INDEX($FB12:$FH12,1,$CX12),INDEX($FB12:$FH12,1,$CX12)&amp;" = "&amp;FLOOR($ES12*4.5,1)&amp;IF($ET12&gt;0," · +"&amp;$ET12&amp;"d8","")))</f>
        <v/>
      </c>
      <c r="FS12" s="140">
        <f>COUNTIF($DA12:$DD12,"Longe")+3*COUNTIF($DA12:$DD12,"Muito Longe")</f>
        <v/>
      </c>
      <c r="FT12" s="140">
        <f>COUNTIF($DA12:$DD12,"Maior")+3*COUNTIF($DA12:$DD12,"Muito Maior")</f>
        <v/>
      </c>
      <c r="FU12" s="140">
        <f>IF($DJ12=0,0,CHOOSE(1+INDEX($Z$2:$Z$11,$DJ12),0,$FS12,$FT12,$FS12+$FT12))</f>
        <v/>
      </c>
      <c r="FV12" s="140">
        <f>IF($DJ12=0,0,CHOOSE(1+INDEX($AA$2:$AA$11,$DJ12),0,$FS12,$FT12,$FS12+$FT12))</f>
        <v/>
      </c>
      <c r="FW12" s="140">
        <f>IF(OR($DI12=0,$DJ12=0),"",INDEX($AH$2:$AM$31,($DJ12-1)*3+IF($CX12&gt;=6,3,2),1+MIN(5,$FU12))&amp;INDEX($AN$2:$AS$31,($DJ12-1)*3+IF($CX12&gt;=6,3,2),1+MIN(5,$FV12))&amp;IF(INDEX($AB$2:$AB$11,$DJ12)=1,IF(COUNTIF($DA12:$DD12,"Mais Um")&gt;0," · +"&amp;COUNTIF($DA12:$DD12,"Mais Um")&amp;IF(COUNTIF($DA12:$DD12,"Mais Um")&gt;1," alvos"," alvo"),"")&amp;IF(COUNTIF($DA12:$DD12,"Rajada")&gt;0," · "&amp;($CX12+1)&amp;" tiros",""),""))</f>
        <v/>
      </c>
      <c r="FX12" s="140">
        <f>IF($DI12=0,"",3*$CX12&amp;" − "&amp;$EM12&amp;" + "&amp;$EP12&amp;IF($CV12=1," + "&amp;$CX12,"")&amp;" = "&amp;$ES12&amp;"d8 · teto "&amp;4*$CX12&amp;IF($DV12=1," · a Forma devolve "&amp;$CX12,"")&amp;IF($EQ12&gt;0," · perde "&amp;$EQ12,""))</f>
        <v/>
      </c>
      <c r="FY12" s="140">
        <f>IF($DI12=0,"",IF($CX12&gt;=$GH$4,"Já está na maior Classe que o nível liberou",TEXTJOIN(" · ",TRUE,IF(AND(2&gt;$CX12,2&lt;=$GH$4),"2 → "&amp;$FC12&amp;", "&amp;IF($CV12=1,9,6)&amp;" PE",""),IF(AND(3&gt;$CX12,3&lt;=$GH$4),"3 → "&amp;$FD12&amp;", "&amp;IF($CV12=1,14,9)&amp;" PE",""),IF(AND(4&gt;$CX12,4&lt;=$GH$4),"4 → "&amp;$FE12&amp;", "&amp;IF($CV12=1,18,12)&amp;" PE",""),IF(AND(5&gt;$CX12,5&lt;=$GH$4),"5 → "&amp;$FF12&amp;", "&amp;IF($CV12=1,23,15)&amp;" PE",""),IF(AND(6&gt;$CX12,6&lt;=$GH$4),"6 → "&amp;$FG12&amp;", "&amp;IF($CV12=1,27,18)&amp;" PE",""),IF(AND(7&gt;$CX12,7&lt;=$GH$4),"7 → "&amp;$FH12&amp;", "&amp;IF($CV12=1,32,21)&amp;" PE",""))))</f>
        <v/>
      </c>
      <c r="FZ12" s="140">
        <f>IF(OR($DI12=0,$DL12=0),"","−"&amp;INDEX($I$2:$N$8,$CX12,$DL12)&amp;" · "&amp;CHOOSE($DL12,"Leve","Média","Pesada","Leve · Livre","Média · Livre","Pesada · Livre"))</f>
        <v/>
      </c>
      <c r="GA12" s="140">
        <f>IF(OR($DI12=0,$DM12=0),"","−"&amp;INDEX($I$2:$N$8,$CX12,$DM12)&amp;" · "&amp;CHOOSE($DM12,"Leve","Média","Pesada","Leve · Livre","Média · Livre","Pesada · Livre"))</f>
        <v/>
      </c>
      <c r="GB12" s="140">
        <f>IF(OR($DI12=0,$DN12=0),"","−"&amp;INDEX($I$2:$N$8,$CX12,$DN12)&amp;" · "&amp;CHOOSE($DN12,"Leve","Média","Pesada","Leve · Livre","Média · Livre","Pesada · Livre"))</f>
        <v/>
      </c>
      <c r="GC12" s="140">
        <f>IF(OR($DI12=0,$DO12=0),"","−"&amp;INDEX($I$2:$N$8,$CX12,$DO12)&amp;" · "&amp;CHOOSE($DO12,"Leve","Média","Pesada","Leve · Livre","Média · Livre","Pesada · Livre"))</f>
        <v/>
      </c>
      <c r="GD12" s="140">
        <f>IF(OR($DI12=0,$DE12=""),"",IF($DG12=1,"Selo","+"&amp;IF($DY12=1,CEILING($CX12/2,1),$CX12)))</f>
        <v/>
      </c>
      <c r="GE12" s="140">
        <f>IF(OR($DI12=0,$DF12=""),"",IF($DH12=1,"Selo","+"&amp;IF($DZ12=1,CEILING($CX12/2,1),$CX12)))</f>
        <v/>
      </c>
      <c r="GG12" s="114" t="inlineStr">
        <is>
          <t>espaços do nível</t>
        </is>
      </c>
      <c r="GH12" s="140">
        <f>2+INT($GH$2/2)+$GH$5</f>
        <v/>
      </c>
      <c r="GJ12" s="114" t="inlineStr">
        <is>
          <t>Passiva 11 · Leque</t>
        </is>
      </c>
      <c r="GK12" s="140">
        <f>'FICHA AMALDIÇOADA'!$P$399&amp;""</f>
        <v/>
      </c>
      <c r="GL12" s="140">
        <f>IFERROR(VLOOKUP($GK12,$BJ$2:$BL$20,2,FALSE),0)</f>
        <v/>
      </c>
      <c r="GM12" s="140">
        <f>IFERROR(VLOOKUP($GL12,$BN$2:$BO$4,2,FALSE),0)</f>
        <v/>
      </c>
      <c r="GN12" s="140">
        <f>IFERROR(VLOOKUP($GK12,$BJ$2:$BL$20,3,FALSE),"")</f>
        <v/>
      </c>
      <c r="GO12" s="140">
        <f>IF($GL12=0,"",IF($GM12&gt;$GH$2,"⚠ nível "&amp;$GM12,"CP "&amp;$GL12))</f>
        <v/>
      </c>
      <c r="GP12" s="140">
        <f>IF($GL12=0,"",IF(6&gt;$GH$8,"⚠ vaga","grátis"))</f>
        <v/>
      </c>
      <c r="GR12" s="114" t="inlineStr">
        <is>
          <t>Aptidão 11</t>
        </is>
      </c>
      <c r="GS12" s="140">
        <f>'FICHA AMALDIÇOADA'!$J$483&amp;""</f>
        <v/>
      </c>
      <c r="GT12" s="140">
        <f>IF($GS12="","","Requisito: "&amp;IFERROR(VLOOKUP($GS12,$BQ$2:$BV$17,2,FALSE),""))</f>
        <v/>
      </c>
      <c r="GU12" s="140">
        <f>IF($GS12="","",IFERROR(IF(ISNUMBER(VLOOKUP($GS12,$BQ$2:$BV$17,3,FALSE)),"CP "&amp;VLOOKUP($GS12,$BQ$2:$BV$17,3,FALSE),VLOOKUP($GS12,$BQ$2:$BV$17,3,FALSE)),""))</f>
        <v/>
      </c>
      <c r="GV12" s="140">
        <f>IF($GS12="","",IFERROR(VLOOKUP($GS12,$BQ$2:$BV$17,4,FALSE),""))</f>
        <v/>
      </c>
      <c r="GW12" s="140">
        <f>IF($GS12="","",IFERROR(VLOOKUP($GS12,$BQ$2:$BV$17,5,FALSE),""))</f>
        <v/>
      </c>
    </row>
    <row r="13">
      <c r="AG13" s="114" t="inlineStr">
        <is>
          <t>Aura · classes 6 e 7</t>
        </is>
      </c>
      <c r="AH13" s="114" t="inlineStr">
        <is>
          <t>raio 4,5 m, em você</t>
        </is>
      </c>
      <c r="AI13" s="114" t="inlineStr">
        <is>
          <t>raio 6 m, em você</t>
        </is>
      </c>
      <c r="AJ13" s="114" t="inlineStr">
        <is>
          <t>raio 9 m, em você</t>
        </is>
      </c>
      <c r="AK13" s="114" t="inlineStr">
        <is>
          <t>raio 15 m, em você</t>
        </is>
      </c>
      <c r="AL13" s="114" t="inlineStr">
        <is>
          <t>raio 15 m, em você</t>
        </is>
      </c>
      <c r="AM13" s="114" t="inlineStr">
        <is>
          <t>raio 15 m, em você</t>
        </is>
      </c>
      <c r="AN13" s="114" t="inlineStr"/>
      <c r="AO13" s="114" t="inlineStr"/>
      <c r="AP13" s="114" t="inlineStr"/>
      <c r="AQ13" s="114" t="inlineStr"/>
      <c r="AR13" s="114" t="inlineStr"/>
      <c r="AS13" s="114" t="inlineStr"/>
      <c r="AU13" s="114" t="inlineStr">
        <is>
          <t>Mais Um</t>
        </is>
      </c>
      <c r="AV13" s="114" t="inlineStr">
        <is>
          <t>Área</t>
        </is>
      </c>
      <c r="AW13" s="140" t="n">
        <v>1</v>
      </c>
      <c r="AX13" s="140">
        <f>$AW13+3*IFERROR(VLOOKUP($AV13,$A$2:$D$10,3,FALSE),0)</f>
        <v/>
      </c>
      <c r="AY13" s="140">
        <f>IFERROR(VLOOKUP($AV13,$A$2:$D$10,4,FALSE),0)</f>
        <v/>
      </c>
      <c r="AZ13" s="140" t="n">
        <v>0</v>
      </c>
      <c r="BA13" s="140">
        <f>IF($AY13=1,"",$AU13)</f>
        <v/>
      </c>
      <c r="BB13" s="140">
        <f>IF(AND($AW13=1,$AY13=0),$AU13,"")</f>
        <v/>
      </c>
      <c r="BD13" s="114" t="inlineStr">
        <is>
          <t>Condicional (Média)</t>
        </is>
      </c>
      <c r="BE13" s="114" t="inlineStr">
        <is>
          <t>Condicional</t>
        </is>
      </c>
      <c r="BF13" s="140" t="n">
        <v>2</v>
      </c>
      <c r="BG13" s="140" t="n">
        <v>1</v>
      </c>
      <c r="BH13" s="114" t="inlineStr"/>
      <c r="BJ13" s="114" t="inlineStr">
        <is>
          <t>Contramedida</t>
        </is>
      </c>
      <c r="BK13" s="140" t="n">
        <v>2</v>
      </c>
      <c r="BL13" s="114" t="inlineStr">
        <is>
          <t>Como Reação, quando alguém conjura a até 9 m, gasta PE e sobe em 2 a CD daquele feitiço.</t>
        </is>
      </c>
      <c r="BQ13" s="114" t="inlineStr">
        <is>
          <t>Extensão de Domínio</t>
        </is>
      </c>
      <c r="BR13" s="114" t="inlineStr">
        <is>
          <t>ter visto uma sendo usada, ou ter estudado, ou aprendido com alguém; refino 7 e nível 18; o Corpo Amaldiçoado não compra</t>
        </is>
      </c>
      <c r="BS13" s="140" t="n">
        <v>3</v>
      </c>
      <c r="BT13" s="114" t="inlineStr">
        <is>
          <t>a duração</t>
        </is>
      </c>
      <c r="BU13" s="114" t="inlineStr">
        <is>
          <t>Você se envolve numa camada fina de domínio sem técnica dentro. Enquanto ela estiver de pé, nada do que uma Expansão faz te alcança: nem o Acerto dela, nem o que ela faz com as pessoas ou com o lugar, seja ela completa, incompleta ou sem barreiras. A barreira continua te prendendo, e o que a Expansão dá ao dono dela continua com ele. Ela levanta com uma Reação quando uma Expansão abre, ou com uma Ação Bônus no seu turno. Erguer custa a sua maior Classe em PE, toda vez que ela sobe; de pé, ela custa 1,5 × a sua maior Classe de PE por rodada, e dura refino rodadas. Ela não cai por golpe. A técnica que encostar nela é anulada até 1/3 do refino + 1: uma Classe Passiva, uma Regra Própria ou um feitiço de Classe até esse número. Acima dele, ela reduz o dano em um quarto, e você leva 3/4. Enquanto ela estiver de pé, você não usa feitiço nem Manejo. Se a sua Expansão já estava aberta, ela continua; abrir uma nova derruba a Extensão.</t>
        </is>
      </c>
      <c r="BV13" s="114" t="inlineStr">
        <is>
          <t>Extensão de Domínio</t>
        </is>
      </c>
      <c r="CU13" s="114" t="inlineStr">
        <is>
          <t>Feitiço 12</t>
        </is>
      </c>
      <c r="CV13" s="140" t="n">
        <v>0</v>
      </c>
      <c r="CW13" s="140" t="n">
        <v>12</v>
      </c>
      <c r="CX13" s="140">
        <f>MAX(1,MIN(7,N('FICHA AMALDIÇOADA'!$P$108)))</f>
        <v/>
      </c>
      <c r="CY13" s="140">
        <f>'FICHA AMALDIÇOADA'!$Q$108&amp;""</f>
        <v/>
      </c>
      <c r="CZ13" s="140">
        <f>'FICHA AMALDIÇOADA'!$P$115&amp;""</f>
        <v/>
      </c>
      <c r="DA13" s="140">
        <f>'FICHA AMALDIÇOADA'!$Q$117&amp;""</f>
        <v/>
      </c>
      <c r="DB13" s="140">
        <f>'FICHA AMALDIÇOADA'!$Q$118&amp;""</f>
        <v/>
      </c>
      <c r="DC13" s="140">
        <f>'FICHA AMALDIÇOADA'!$Q$119&amp;""</f>
        <v/>
      </c>
      <c r="DD13" s="140">
        <f>'FICHA AMALDIÇOADA'!$Q$120&amp;""</f>
        <v/>
      </c>
      <c r="DE13" s="140">
        <f>'FICHA AMALDIÇOADA'!$Q$121&amp;""</f>
        <v/>
      </c>
      <c r="DF13" s="140">
        <f>'FICHA AMALDIÇOADA'!$Q$122&amp;""</f>
        <v/>
      </c>
      <c r="DG13" s="140">
        <f>IF('FICHA AMALDIÇOADA'!$T$121=TRUE,1,0)</f>
        <v/>
      </c>
      <c r="DH13" s="140">
        <f>IF('FICHA AMALDIÇOADA'!$T$122=TRUE,1,0)</f>
        <v/>
      </c>
      <c r="DI13" s="140">
        <f>IF($CY13&lt;&gt;"",1,0)</f>
        <v/>
      </c>
      <c r="DJ13" s="140">
        <f>IFERROR(MATCH($CZ13,$Q$2:$Q$11,0),0)</f>
        <v/>
      </c>
      <c r="DK13" s="140">
        <f>IF($DJ13=0,0,INDEX($T$2:$T$11,$DJ13))</f>
        <v/>
      </c>
      <c r="DL13" s="140">
        <f>IFERROR(VLOOKUP($DA13,$AU$2:$BB$84,4,FALSE),0)</f>
        <v/>
      </c>
      <c r="DM13" s="140">
        <f>IFERROR(VLOOKUP($DB13,$AU$2:$BB$84,4,FALSE),0)</f>
        <v/>
      </c>
      <c r="DN13" s="140">
        <f>IFERROR(VLOOKUP($DC13,$AU$2:$BB$84,4,FALSE),0)</f>
        <v/>
      </c>
      <c r="DO13" s="140">
        <f>IFERROR(VLOOKUP($DD13,$AU$2:$BB$84,4,FALSE),0)</f>
        <v/>
      </c>
      <c r="DP13" s="140">
        <f>IF($DJ13=0,0,INDEX($U$2:$U$11,$DJ13))</f>
        <v/>
      </c>
      <c r="DQ13" s="140">
        <f>IFERROR(VLOOKUP($DA13,$AU$2:$BB$84,5,FALSE),0)</f>
        <v/>
      </c>
      <c r="DR13" s="140">
        <f>IFERROR(VLOOKUP($DB13,$AU$2:$BB$84,5,FALSE),0)</f>
        <v/>
      </c>
      <c r="DS13" s="140">
        <f>IFERROR(VLOOKUP($DC13,$AU$2:$BB$84,5,FALSE),0)</f>
        <v/>
      </c>
      <c r="DT13" s="140">
        <f>IFERROR(VLOOKUP($DD13,$AU$2:$BB$84,5,FALSE),0)</f>
        <v/>
      </c>
      <c r="DU13" s="140">
        <f>IFERROR(VLOOKUP($DA13,$AU$2:$BB$84,6,FALSE),0)+IFERROR(VLOOKUP($DB13,$AU$2:$BB$84,6,FALSE),0)+IFERROR(VLOOKUP($DC13,$AU$2:$BB$84,6,FALSE),0)+IFERROR(VLOOKUP($DD13,$AU$2:$BB$84,6,FALSE),0)</f>
        <v/>
      </c>
      <c r="DV13" s="140">
        <f>IF($DJ13=0,0,INDEX($V$2:$V$11,$DJ13))</f>
        <v/>
      </c>
      <c r="DW13" s="140">
        <f>IF($DJ13=0,0,INDEX($W$2:$W$11,$DJ13))</f>
        <v/>
      </c>
      <c r="DX13" s="140">
        <f>IF($DJ13=0,0,INDEX($Y$2:$Y$11,$DJ13))</f>
        <v/>
      </c>
      <c r="DY13" s="140">
        <f>IF($DG13=1,0,IFERROR(VLOOKUP($DE13,$BD$2:$BH$24,3,FALSE),0))</f>
        <v/>
      </c>
      <c r="DZ13" s="140">
        <f>IF($DH13=1,0,IFERROR(VLOOKUP($DF13,$BD$2:$BH$24,3,FALSE),0))</f>
        <v/>
      </c>
      <c r="EA13" s="140">
        <f>IFERROR(VLOOKUP($DE13,$BD$2:$BH$24,2,FALSE),"")</f>
        <v/>
      </c>
      <c r="EB13" s="140">
        <f>IFERROR(VLOOKUP($DF13,$BD$2:$BH$24,2,FALSE),"")</f>
        <v/>
      </c>
      <c r="EC13" s="140">
        <f>COUNTIF($DK13:$DO13,1)</f>
        <v/>
      </c>
      <c r="ED13" s="140">
        <f>COUNTIF($DK13:$DO13,2)</f>
        <v/>
      </c>
      <c r="EE13" s="140">
        <f>COUNTIF($DK13:$DO13,3)</f>
        <v/>
      </c>
      <c r="EF13" s="140">
        <f>COUNTIF($DK13:$DO13,4)</f>
        <v/>
      </c>
      <c r="EG13" s="140">
        <f>COUNTIF($DK13:$DO13,5)</f>
        <v/>
      </c>
      <c r="EH13" s="140">
        <f>COUNTIF($DK13:$DO13,6)</f>
        <v/>
      </c>
      <c r="EI13" s="140">
        <f>COUNTIF($DY13:$DZ13,1)</f>
        <v/>
      </c>
      <c r="EJ13" s="140">
        <f>COUNTIF($DY13:$DZ13,2)+$DV13</f>
        <v/>
      </c>
      <c r="EK13" s="140">
        <f>COUNTIF($DA13:$DD13,"?*")</f>
        <v/>
      </c>
      <c r="EL13" s="140">
        <f>COUNTIF($DE13:$DF13,"?*")+$DV13</f>
        <v/>
      </c>
      <c r="EM13" s="140">
        <f>SUMPRODUCT($EC13:$EH13,INDEX($I$2:$N$8,$CX13,0))</f>
        <v/>
      </c>
      <c r="EN13" s="140">
        <f>$EI13*CEILING($CX13/2,1)+$EJ13*$CX13</f>
        <v/>
      </c>
      <c r="EO13" s="140">
        <f>MIN(2*$CX13,$EN13)</f>
        <v/>
      </c>
      <c r="EP13" s="140">
        <f>MIN($EO13,$EM13)</f>
        <v/>
      </c>
      <c r="EQ13" s="140">
        <f>$EO13-$EP13</f>
        <v/>
      </c>
      <c r="ER13" s="140">
        <f>3*$CX13-$EM13+$EP13</f>
        <v/>
      </c>
      <c r="ES13" s="140">
        <f>MAX(0,$ER13)+$CV13*$CX13</f>
        <v/>
      </c>
      <c r="ET13" s="140">
        <f>(IF(COUNTIF($DA13:$DD13,"Salto")&gt;0,1,0)+IF(COUNTIF($DA13:$DD13,"Queima")&gt;0,1,0))*FLOOR($ES13/2,1)</f>
        <v/>
      </c>
      <c r="EU13" s="140">
        <f>MAX(0,3-SUMPRODUCT($EC13:$EH13,$I$2:$N$2)+MIN(2,$EI13*1+$EJ13*1,SUMPRODUCT($EC13:$EH13,$I$2:$N$2)))+$CV13*1</f>
        <v/>
      </c>
      <c r="EV13" s="140">
        <f>MAX(0,6-SUMPRODUCT($EC13:$EH13,$I$3:$N$3)+MIN(4,$EI13*1+$EJ13*2,SUMPRODUCT($EC13:$EH13,$I$3:$N$3)))+$CV13*2</f>
        <v/>
      </c>
      <c r="EW13" s="140">
        <f>MAX(0,9-SUMPRODUCT($EC13:$EH13,$I$4:$N$4)+MIN(6,$EI13*2+$EJ13*3,SUMPRODUCT($EC13:$EH13,$I$4:$N$4)))+$CV13*3</f>
        <v/>
      </c>
      <c r="EX13" s="140">
        <f>MAX(0,12-SUMPRODUCT($EC13:$EH13,$I$5:$N$5)+MIN(8,$EI13*2+$EJ13*4,SUMPRODUCT($EC13:$EH13,$I$5:$N$5)))+$CV13*4</f>
        <v/>
      </c>
      <c r="EY13" s="140">
        <f>MAX(0,15-SUMPRODUCT($EC13:$EH13,$I$6:$N$6)+MIN(10,$EI13*3+$EJ13*5,SUMPRODUCT($EC13:$EH13,$I$6:$N$6)))+$CV13*5</f>
        <v/>
      </c>
      <c r="EZ13" s="140">
        <f>MAX(0,18-SUMPRODUCT($EC13:$EH13,$I$7:$N$7)+MIN(12,$EI13*3+$EJ13*6,SUMPRODUCT($EC13:$EH13,$I$7:$N$7)))+$CV13*6</f>
        <v/>
      </c>
      <c r="FA13" s="140">
        <f>MAX(0,21-SUMPRODUCT($EC13:$EH13,$I$8:$N$8)+MIN(14,$EI13*4+$EJ13*7,SUMPRODUCT($EC13:$EH13,$I$8:$N$8)))+$CV13*7</f>
        <v/>
      </c>
      <c r="FB13" s="140">
        <f>IF($DW13=2,3*$EU13&amp;" de vida temp.",IF($DW13=3,"sem dano",IF($EU13=0,IF($DW13=1,"sem cura","sem dano"),IF($DW13=1,"cura ","")&amp;$EU13&amp;"d8")))</f>
        <v/>
      </c>
      <c r="FC13" s="140">
        <f>IF($DW13=2,3*$EV13&amp;" de vida temp.",IF($DW13=3,"sem dano",IF($EV13=0,IF($DW13=1,"sem cura","sem dano"),IF($DW13=1,"cura ","")&amp;$EV13&amp;"d8")))</f>
        <v/>
      </c>
      <c r="FD13" s="140">
        <f>IF($DW13=2,3*$EW13&amp;" de vida temp.",IF($DW13=3,"sem dano",IF($EW13=0,IF($DW13=1,"sem cura","sem dano"),IF($DW13=1,"cura ","")&amp;$EW13&amp;"d8")))</f>
        <v/>
      </c>
      <c r="FE13" s="140">
        <f>IF($DW13=2,3*$EX13&amp;" de vida temp.",IF($DW13=3,"sem dano",IF($EX13=0,IF($DW13=1,"sem cura","sem dano"),IF($DW13=1,"cura ","")&amp;$EX13&amp;"d8")))</f>
        <v/>
      </c>
      <c r="FF13" s="140">
        <f>IF($DW13=2,3*$EY13&amp;" de vida temp.",IF($DW13=3,"sem dano",IF($EY13=0,IF($DW13=1,"sem cura","sem dano"),IF($DW13=1,"cura ","")&amp;$EY13&amp;"d8")))</f>
        <v/>
      </c>
      <c r="FG13" s="140">
        <f>IF($DW13=2,3*$EZ13&amp;" de vida temp.",IF($DW13=3,"sem dano",IF($EZ13=0,IF($DW13=1,"sem cura","sem dano"),IF($DW13=1,"cura ","")&amp;$EZ13&amp;"d8")))</f>
        <v/>
      </c>
      <c r="FH13" s="140">
        <f>IF($DW13=2,3*$FA13&amp;" de vida temp.",IF($DW13=3,"sem dano",IF($FA13=0,IF($DW13=1,"sem cura","sem dano"),IF($DW13=1,"cura ","")&amp;$FA13&amp;"d8")))</f>
        <v/>
      </c>
      <c r="FI13" s="140">
        <f>IF($DI13=0,"",TEXTJOIN(" · ",TRUE,IF(AND($CV13=1,$CW13&gt;$GH$9),"O nível "&amp;$GH$2&amp;" dá "&amp;$GH$9&amp;" Liberação Máxima",""),IF($CX13&gt;$GH$4,"Classe "&amp;$CX13&amp;": o nível "&amp;$GH$2&amp;" libera até a "&amp;$GH$4,""),IF($DP13=1,"Família Fechada: a Forma "&amp;$CZ13,""),IF($DQ13=1,"Família Fechada: "&amp;$DA13,""),IF($DR13=1,"Família Fechada: "&amp;$DB13,""),IF($DS13=1,"Família Fechada: "&amp;$DC13,""),IF($DT13=1,"Família Fechada: "&amp;$DD13,""),IF($EK13&gt;INDEX($O$2:$O$8,$CX13),$EK13&amp;" Melhorias: a Classe "&amp;$CX13&amp;" aceita "&amp;INDEX($O$2:$O$8,$CX13),""),IF($EL13&gt;2,$EL13&amp;" Restrições"&amp;IF($DV13=1,", contando a que a Forma "&amp;$CZ13&amp;" já traz","")&amp;": o limite é 2",""),IF($ER13&lt;0,"Orçamento estourado: faltam "&amp;(-$ER13)&amp;IF($ER13&lt;-1," pontos"," ponto"),""),IF(IFERROR(VLOOKUP($DE13,$BD$2:$BH$24,4,FALSE),0)+IFERROR(VLOOKUP($DF13,$BD$2:$BH$24,4,FALSE),0)&gt;1,$EA13&amp;" e "&amp;$EB13&amp;" são as duas de frequência",""),IF(AND((COUNTIF($DA13:$DD13,"Rápido")+COUNTIF($EA13:$EB13,"Rápido"))&gt;0,(COUNTIF($DA13:$DD13,"Reação")+COUNTIF($EA13:$EB13,"Reação"))&gt;0),"Rápido não entra com Reação",""),IF(AND((COUNTIF($DA13:$DD13,"Rápido")+COUNTIF($EA13:$EB13,"Rápido"))&gt;0,(COUNTIF($DA13:$DD13,"Atrasar")+COUNTIF($EA13:$EB13,"Atrasar"))&gt;0),"Rápido não entra com Atrasar",""),IF(AND((COUNTIF($DA13:$DD13,"Reação")+COUNTIF($EA13:$EB13,"Reação"))&gt;0,(COUNTIF($DA13:$DD13,"Atrasar")+COUNTIF($EA13:$EB13,"Atrasar"))&gt;0),"Reação não entra com Atrasar",""),IF(AND((COUNTIF($DA13:$DD13,"Reação")+COUNTIF($EA13:$EB13,"Reação"))&gt;0,(COUNTIF($DA13:$DD13,"Parado")+COUNTIF($EA13:$EB13,"Parado"))&gt;0),"Reação não entra com Parado",""),IF(AND(COUNTIF($EA13:$EB13,"Corpo a Corpo")&gt;0,$DV13=0,OR($CZ13="Cone",$CZ13="Linha")),"Corpo a Corpo não entra em "&amp;$CZ13,""),IF(AND(COUNTIF($EA13:$EB13,"Corpo a Corpo")&gt;0,$DV13=1),"A Forma "&amp;$CZ13&amp;" já traz o Corpo a Corpo",""),IF(AND(COUNTIF($EA13:$EB13,"Tudo ou Nada")&gt;0,$DX13=0),"Tudo ou Nada só entra em feitiço de Teste de Resistência",""),IF(AND(COUNTIF($DA13:$DD13,"Inescapável")&gt;0,OR($EK13&gt;1,$EL13&gt;0)),"Inescapável não aceita outra peça",""),IF(AND($CV13=1,$CX13&lt;3),"Liberação Máxima é de Classe 3 ou mais",""),IF(AND($CV13=1,OR($DW13=1,$DW13=2)),"Liberação Máxima não serve para cura",""),IF(AND($CV13=1,COUNTIF($DA13:$DD13,"Inescapável")+COUNTIF($DA13:$DD13,"Toca a Alma")&gt;0),"Esta peça não entra numa Liberação Máxima",""),IF($ES13+$ET13&gt;4*$CX13,($ES13+$ET13)&amp;" dados somando alvos e repetições: o teto da Classe "&amp;$CX13&amp;" é "&amp;4*$CX13,"")))</f>
        <v/>
      </c>
      <c r="FJ13" s="140">
        <f>IF($FI13="",0,(LEN($FI13)-LEN(SUBSTITUTE($FI13," · ","")))/3+1)</f>
        <v/>
      </c>
      <c r="FK13" s="140">
        <f>IF($DI13=0,"",TEXTJOIN(" · ",TRUE,IF($EN13&gt;2*$CX13,"A devolução parou no teto de "&amp;2*$CX13,""),IF($EQ13&gt;0,"Devolução perdida: "&amp;$EQ13&amp;IF($EQ13&gt;1," pontos"," ponto")&amp;" sem peça para pagar",""),IF(AND($DU13&gt;0,$ES13=0),"Controle sem dano: uma rodada a mais e CD +2",""),IF(AND($DU13&gt;0,$ES13&gt;0,$ES13&lt;=$CX13),"Controle com um quarto do teto: uma rodada a mais","")))</f>
        <v/>
      </c>
      <c r="FL13" s="140">
        <f>IF($FK13="",0,(LEN($FK13)-LEN(SUBSTITUTE($FK13," · ","")))/3+1)</f>
        <v/>
      </c>
      <c r="FM13" s="140">
        <f>IF($DI13=0,IF($EK13+$EL13-$DV13&gt;0,"dê um nome",""),IF($FJ13&gt;0,"⚠ "&amp;$FJ13&amp;IF($FJ13&gt;1," erros"," erro"),IF($FL13&gt;0,"! "&amp;$FL13&amp;IF($FL13&gt;1," avisos"," aviso"),"na regra")))</f>
        <v/>
      </c>
      <c r="FN13" s="140">
        <f>IF($DI13=0,"",IF($FJ13+$FL13=0,"Dentro das regras que a ficha confere",$FI13&amp;IF(AND($FJ13&gt;0,$FL13&gt;0)," · ","")&amp;$FK13))</f>
        <v/>
      </c>
      <c r="FO13" s="140">
        <f>IF($DI13=0,"",IF($CV13=1,CEILING(4.5*$CX13,1),3*$CX13)&amp;" PE")</f>
        <v/>
      </c>
      <c r="FP13" s="140">
        <f>IF($DI13=0,"",IF($CV13=1,"Rodada inteira",IF(COUNTIF($EA13:$EB13,"Atrasar")&gt;0,IF(COUNTIF($EA13:$EB13,"Carregar")&gt;0,"Rodada +1 turno","Rodada inteira"),IF(COUNTIF($DA13:$DD13,"Rápido")&gt;0,"Bônus",IF(COUNTIF($DA13:$DD13,"Reação")&gt;0,"Reação","Padrão"))&amp;IF(COUNTIF($EA13:$EB13,"Carregar")&gt;0," +1 turno",""))))</f>
        <v/>
      </c>
      <c r="FQ13" s="140">
        <f>IF(OR($DI13=0,$DJ13=0),"",IF(COUNTIF($DA13:$DD13,"Inescapável")&gt;0,"Automático",IF(COUNTIF($DA13:$DD13,"Certeiro")&gt;0,"TR para metade",INDEX($X$2:$X$11,$DJ13))))</f>
        <v/>
      </c>
      <c r="FR13" s="140">
        <f>IF(OR($DI13=0,$DJ13=0),"",IF(OR($DW13&gt;=2,$ES13=0),INDEX($FB13:$FH13,1,$CX13),INDEX($FB13:$FH13,1,$CX13)&amp;" = "&amp;FLOOR($ES13*4.5,1)&amp;IF($ET13&gt;0," · +"&amp;$ET13&amp;"d8","")))</f>
        <v/>
      </c>
      <c r="FS13" s="140">
        <f>COUNTIF($DA13:$DD13,"Longe")+3*COUNTIF($DA13:$DD13,"Muito Longe")</f>
        <v/>
      </c>
      <c r="FT13" s="140">
        <f>COUNTIF($DA13:$DD13,"Maior")+3*COUNTIF($DA13:$DD13,"Muito Maior")</f>
        <v/>
      </c>
      <c r="FU13" s="140">
        <f>IF($DJ13=0,0,CHOOSE(1+INDEX($Z$2:$Z$11,$DJ13),0,$FS13,$FT13,$FS13+$FT13))</f>
        <v/>
      </c>
      <c r="FV13" s="140">
        <f>IF($DJ13=0,0,CHOOSE(1+INDEX($AA$2:$AA$11,$DJ13),0,$FS13,$FT13,$FS13+$FT13))</f>
        <v/>
      </c>
      <c r="FW13" s="140">
        <f>IF(OR($DI13=0,$DJ13=0),"",INDEX($AH$2:$AM$31,($DJ13-1)*3+IF($CX13&gt;=6,3,2),1+MIN(5,$FU13))&amp;INDEX($AN$2:$AS$31,($DJ13-1)*3+IF($CX13&gt;=6,3,2),1+MIN(5,$FV13))&amp;IF(INDEX($AB$2:$AB$11,$DJ13)=1,IF(COUNTIF($DA13:$DD13,"Mais Um")&gt;0," · +"&amp;COUNTIF($DA13:$DD13,"Mais Um")&amp;IF(COUNTIF($DA13:$DD13,"Mais Um")&gt;1," alvos"," alvo"),"")&amp;IF(COUNTIF($DA13:$DD13,"Rajada")&gt;0," · "&amp;($CX13+1)&amp;" tiros",""),""))</f>
        <v/>
      </c>
      <c r="FX13" s="140">
        <f>IF($DI13=0,"",3*$CX13&amp;" − "&amp;$EM13&amp;" + "&amp;$EP13&amp;IF($CV13=1," + "&amp;$CX13,"")&amp;" = "&amp;$ES13&amp;"d8 · teto "&amp;4*$CX13&amp;IF($DV13=1," · a Forma devolve "&amp;$CX13,"")&amp;IF($EQ13&gt;0," · perde "&amp;$EQ13,""))</f>
        <v/>
      </c>
      <c r="FY13" s="140">
        <f>IF($DI13=0,"",IF($CX13&gt;=$GH$4,"Já está na maior Classe que o nível liberou",TEXTJOIN(" · ",TRUE,IF(AND(2&gt;$CX13,2&lt;=$GH$4),"2 → "&amp;$FC13&amp;", "&amp;IF($CV13=1,9,6)&amp;" PE",""),IF(AND(3&gt;$CX13,3&lt;=$GH$4),"3 → "&amp;$FD13&amp;", "&amp;IF($CV13=1,14,9)&amp;" PE",""),IF(AND(4&gt;$CX13,4&lt;=$GH$4),"4 → "&amp;$FE13&amp;", "&amp;IF($CV13=1,18,12)&amp;" PE",""),IF(AND(5&gt;$CX13,5&lt;=$GH$4),"5 → "&amp;$FF13&amp;", "&amp;IF($CV13=1,23,15)&amp;" PE",""),IF(AND(6&gt;$CX13,6&lt;=$GH$4),"6 → "&amp;$FG13&amp;", "&amp;IF($CV13=1,27,18)&amp;" PE",""),IF(AND(7&gt;$CX13,7&lt;=$GH$4),"7 → "&amp;$FH13&amp;", "&amp;IF($CV13=1,32,21)&amp;" PE",""))))</f>
        <v/>
      </c>
      <c r="FZ13" s="140">
        <f>IF(OR($DI13=0,$DL13=0),"","−"&amp;INDEX($I$2:$N$8,$CX13,$DL13)&amp;" · "&amp;CHOOSE($DL13,"Leve","Média","Pesada","Leve · Livre","Média · Livre","Pesada · Livre"))</f>
        <v/>
      </c>
      <c r="GA13" s="140">
        <f>IF(OR($DI13=0,$DM13=0),"","−"&amp;INDEX($I$2:$N$8,$CX13,$DM13)&amp;" · "&amp;CHOOSE($DM13,"Leve","Média","Pesada","Leve · Livre","Média · Livre","Pesada · Livre"))</f>
        <v/>
      </c>
      <c r="GB13" s="140">
        <f>IF(OR($DI13=0,$DN13=0),"","−"&amp;INDEX($I$2:$N$8,$CX13,$DN13)&amp;" · "&amp;CHOOSE($DN13,"Leve","Média","Pesada","Leve · Livre","Média · Livre","Pesada · Livre"))</f>
        <v/>
      </c>
      <c r="GC13" s="140">
        <f>IF(OR($DI13=0,$DO13=0),"","−"&amp;INDEX($I$2:$N$8,$CX13,$DO13)&amp;" · "&amp;CHOOSE($DO13,"Leve","Média","Pesada","Leve · Livre","Média · Livre","Pesada · Livre"))</f>
        <v/>
      </c>
      <c r="GD13" s="140">
        <f>IF(OR($DI13=0,$DE13=""),"",IF($DG13=1,"Selo","+"&amp;IF($DY13=1,CEILING($CX13/2,1),$CX13)))</f>
        <v/>
      </c>
      <c r="GE13" s="140">
        <f>IF(OR($DI13=0,$DF13=""),"",IF($DH13=1,"Selo","+"&amp;IF($DZ13=1,CEILING($CX13/2,1),$CX13)))</f>
        <v/>
      </c>
      <c r="GG13" s="114" t="inlineStr">
        <is>
          <t>espaços de pacto</t>
        </is>
      </c>
      <c r="GH13" s="140">
        <f>IF(AND('FICHA AMALDIÇOADA'!$L$509="permanente",'FICHA AMALDIÇOADA'!$P$509="um espaço de feitiço"),1,0)+IF(AND('FICHA AMALDIÇOADA'!$L$519="permanente",'FICHA AMALDIÇOADA'!$P$519="um espaço de feitiço"),1,0)+IF(AND('FICHA AMALDIÇOADA'!$L$529="permanente",'FICHA AMALDIÇOADA'!$P$529="um espaço de feitiço"),1,0)</f>
        <v/>
      </c>
      <c r="GJ13" s="114" t="inlineStr">
        <is>
          <t>Passiva 12 · Leque</t>
        </is>
      </c>
      <c r="GK13" s="140">
        <f>'FICHA AMALDIÇOADA'!$D$407&amp;""</f>
        <v/>
      </c>
      <c r="GL13" s="140">
        <f>IFERROR(VLOOKUP($GK13,$BJ$2:$BL$20,2,FALSE),0)</f>
        <v/>
      </c>
      <c r="GM13" s="140">
        <f>IFERROR(VLOOKUP($GL13,$BN$2:$BO$4,2,FALSE),0)</f>
        <v/>
      </c>
      <c r="GN13" s="140">
        <f>IFERROR(VLOOKUP($GK13,$BJ$2:$BL$20,3,FALSE),"")</f>
        <v/>
      </c>
      <c r="GO13" s="140">
        <f>IF($GL13=0,"",IF($GM13&gt;$GH$2,"⚠ nível "&amp;$GM13,"CP "&amp;$GL13))</f>
        <v/>
      </c>
      <c r="GP13" s="140">
        <f>IF($GL13=0,"",IF(7&gt;$GH$8,"⚠ vaga","grátis"))</f>
        <v/>
      </c>
      <c r="GR13" s="114" t="inlineStr">
        <is>
          <t>Aptidão 12</t>
        </is>
      </c>
      <c r="GS13" s="140">
        <f>'FICHA AMALDIÇOADA'!$P$483&amp;""</f>
        <v/>
      </c>
      <c r="GT13" s="140">
        <f>IF($GS13="","","Requisito: "&amp;IFERROR(VLOOKUP($GS13,$BQ$2:$BV$17,2,FALSE),""))</f>
        <v/>
      </c>
      <c r="GU13" s="140">
        <f>IF($GS13="","",IFERROR(IF(ISNUMBER(VLOOKUP($GS13,$BQ$2:$BV$17,3,FALSE)),"CP "&amp;VLOOKUP($GS13,$BQ$2:$BV$17,3,FALSE),VLOOKUP($GS13,$BQ$2:$BV$17,3,FALSE)),""))</f>
        <v/>
      </c>
      <c r="GV13" s="140">
        <f>IF($GS13="","",IFERROR(VLOOKUP($GS13,$BQ$2:$BV$17,4,FALSE),""))</f>
        <v/>
      </c>
      <c r="GW13" s="140">
        <f>IF($GS13="","",IFERROR(VLOOKUP($GS13,$BQ$2:$BV$17,5,FALSE),""))</f>
        <v/>
      </c>
    </row>
    <row r="14">
      <c r="AG14" s="114" t="inlineStr">
        <is>
          <t>Cone · classe 0</t>
        </is>
      </c>
      <c r="AH14" s="114" t="inlineStr">
        <is>
          <t>cone de 3 m</t>
        </is>
      </c>
      <c r="AI14" s="114" t="inlineStr">
        <is>
          <t>cone de 4,5 m</t>
        </is>
      </c>
      <c r="AJ14" s="114" t="inlineStr">
        <is>
          <t>cone de 9 m</t>
        </is>
      </c>
      <c r="AK14" s="114" t="inlineStr">
        <is>
          <t>cone de 18 m</t>
        </is>
      </c>
      <c r="AL14" s="114" t="inlineStr">
        <is>
          <t>cone de 30 m</t>
        </is>
      </c>
      <c r="AM14" s="114" t="inlineStr">
        <is>
          <t>cone de 60 m</t>
        </is>
      </c>
      <c r="AN14" s="114" t="inlineStr"/>
      <c r="AO14" s="114" t="inlineStr"/>
      <c r="AP14" s="114" t="inlineStr"/>
      <c r="AQ14" s="114" t="inlineStr"/>
      <c r="AR14" s="114" t="inlineStr"/>
      <c r="AS14" s="114" t="inlineStr"/>
      <c r="AU14" s="114" t="inlineStr">
        <is>
          <t>Rajada</t>
        </is>
      </c>
      <c r="AV14" s="114" t="inlineStr">
        <is>
          <t>Área</t>
        </is>
      </c>
      <c r="AW14" s="140" t="n">
        <v>1</v>
      </c>
      <c r="AX14" s="140">
        <f>$AW14+3*IFERROR(VLOOKUP($AV14,$A$2:$D$10,3,FALSE),0)</f>
        <v/>
      </c>
      <c r="AY14" s="140">
        <f>IFERROR(VLOOKUP($AV14,$A$2:$D$10,4,FALSE),0)</f>
        <v/>
      </c>
      <c r="AZ14" s="140" t="n">
        <v>0</v>
      </c>
      <c r="BA14" s="140">
        <f>IF($AY14=1,"",$AU14)</f>
        <v/>
      </c>
      <c r="BB14" s="140">
        <f>IF(AND($AW14=1,$AY14=0),$AU14,"")</f>
        <v/>
      </c>
      <c r="BD14" s="114" t="inlineStr">
        <is>
          <t>Fraqueza (Leve)</t>
        </is>
      </c>
      <c r="BE14" s="114" t="inlineStr">
        <is>
          <t>Fraqueza</t>
        </is>
      </c>
      <c r="BF14" s="140" t="n">
        <v>1</v>
      </c>
      <c r="BG14" s="140" t="n">
        <v>0</v>
      </c>
      <c r="BH14" s="114" t="inlineStr">
        <is>
          <t>Fraqueza (Leve)</t>
        </is>
      </c>
      <c r="BJ14" s="114" t="inlineStr">
        <is>
          <t>Peso da Presença</t>
        </is>
      </c>
      <c r="BK14" s="140" t="n">
        <v>2</v>
      </c>
      <c r="BL14" s="114" t="inlineStr">
        <is>
          <t>Inimigos fracos que começam o turno a até 6 m fazem Teste de Resistência ou ficam Amedrontados por uma rodada.</t>
        </is>
      </c>
      <c r="BQ14" s="114" t="inlineStr">
        <is>
          <t>Barreira Simples</t>
        </is>
      </c>
      <c r="BR14" s="114" t="inlineStr">
        <is>
          <t>sem requisito</t>
        </is>
      </c>
      <c r="BS14" s="114" t="inlineStr">
        <is>
          <t>—</t>
        </is>
      </c>
      <c r="BT14" s="114" t="inlineStr">
        <is>
          <t>a vida do domo</t>
        </is>
      </c>
      <c r="BU14" s="114" t="inlineStr">
        <is>
          <t>Um domo de raio 6 m, ancorado no lugar onde você o ergueu, que bloqueia passagem e linha de efeito nos dois sentidos. Ele tem 5 × refino de pontos de vida, e cai quando você fica Inconsciente.</t>
        </is>
      </c>
      <c r="BV14" s="114" t="inlineStr">
        <is>
          <t>Barreira Simples</t>
        </is>
      </c>
      <c r="CU14" s="114" t="inlineStr">
        <is>
          <t>Feitiço 13</t>
        </is>
      </c>
      <c r="CV14" s="140" t="n">
        <v>0</v>
      </c>
      <c r="CW14" s="140" t="n">
        <v>13</v>
      </c>
      <c r="CX14" s="140">
        <f>MAX(1,MIN(7,N('FICHA AMALDIÇOADA'!$D$131)))</f>
        <v/>
      </c>
      <c r="CY14" s="140">
        <f>'FICHA AMALDIÇOADA'!$E$131&amp;""</f>
        <v/>
      </c>
      <c r="CZ14" s="140">
        <f>'FICHA AMALDIÇOADA'!$D$138&amp;""</f>
        <v/>
      </c>
      <c r="DA14" s="140">
        <f>'FICHA AMALDIÇOADA'!$E$140&amp;""</f>
        <v/>
      </c>
      <c r="DB14" s="140">
        <f>'FICHA AMALDIÇOADA'!$E$141&amp;""</f>
        <v/>
      </c>
      <c r="DC14" s="140">
        <f>'FICHA AMALDIÇOADA'!$E$142&amp;""</f>
        <v/>
      </c>
      <c r="DD14" s="140">
        <f>'FICHA AMALDIÇOADA'!$E$143&amp;""</f>
        <v/>
      </c>
      <c r="DE14" s="140">
        <f>'FICHA AMALDIÇOADA'!$E$144&amp;""</f>
        <v/>
      </c>
      <c r="DF14" s="140">
        <f>'FICHA AMALDIÇOADA'!$E$145&amp;""</f>
        <v/>
      </c>
      <c r="DG14" s="140">
        <f>IF('FICHA AMALDIÇOADA'!$H$144=TRUE,1,0)</f>
        <v/>
      </c>
      <c r="DH14" s="140">
        <f>IF('FICHA AMALDIÇOADA'!$H$145=TRUE,1,0)</f>
        <v/>
      </c>
      <c r="DI14" s="140">
        <f>IF($CY14&lt;&gt;"",1,0)</f>
        <v/>
      </c>
      <c r="DJ14" s="140">
        <f>IFERROR(MATCH($CZ14,$Q$2:$Q$11,0),0)</f>
        <v/>
      </c>
      <c r="DK14" s="140">
        <f>IF($DJ14=0,0,INDEX($T$2:$T$11,$DJ14))</f>
        <v/>
      </c>
      <c r="DL14" s="140">
        <f>IFERROR(VLOOKUP($DA14,$AU$2:$BB$84,4,FALSE),0)</f>
        <v/>
      </c>
      <c r="DM14" s="140">
        <f>IFERROR(VLOOKUP($DB14,$AU$2:$BB$84,4,FALSE),0)</f>
        <v/>
      </c>
      <c r="DN14" s="140">
        <f>IFERROR(VLOOKUP($DC14,$AU$2:$BB$84,4,FALSE),0)</f>
        <v/>
      </c>
      <c r="DO14" s="140">
        <f>IFERROR(VLOOKUP($DD14,$AU$2:$BB$84,4,FALSE),0)</f>
        <v/>
      </c>
      <c r="DP14" s="140">
        <f>IF($DJ14=0,0,INDEX($U$2:$U$11,$DJ14))</f>
        <v/>
      </c>
      <c r="DQ14" s="140">
        <f>IFERROR(VLOOKUP($DA14,$AU$2:$BB$84,5,FALSE),0)</f>
        <v/>
      </c>
      <c r="DR14" s="140">
        <f>IFERROR(VLOOKUP($DB14,$AU$2:$BB$84,5,FALSE),0)</f>
        <v/>
      </c>
      <c r="DS14" s="140">
        <f>IFERROR(VLOOKUP($DC14,$AU$2:$BB$84,5,FALSE),0)</f>
        <v/>
      </c>
      <c r="DT14" s="140">
        <f>IFERROR(VLOOKUP($DD14,$AU$2:$BB$84,5,FALSE),0)</f>
        <v/>
      </c>
      <c r="DU14" s="140">
        <f>IFERROR(VLOOKUP($DA14,$AU$2:$BB$84,6,FALSE),0)+IFERROR(VLOOKUP($DB14,$AU$2:$BB$84,6,FALSE),0)+IFERROR(VLOOKUP($DC14,$AU$2:$BB$84,6,FALSE),0)+IFERROR(VLOOKUP($DD14,$AU$2:$BB$84,6,FALSE),0)</f>
        <v/>
      </c>
      <c r="DV14" s="140">
        <f>IF($DJ14=0,0,INDEX($V$2:$V$11,$DJ14))</f>
        <v/>
      </c>
      <c r="DW14" s="140">
        <f>IF($DJ14=0,0,INDEX($W$2:$W$11,$DJ14))</f>
        <v/>
      </c>
      <c r="DX14" s="140">
        <f>IF($DJ14=0,0,INDEX($Y$2:$Y$11,$DJ14))</f>
        <v/>
      </c>
      <c r="DY14" s="140">
        <f>IF($DG14=1,0,IFERROR(VLOOKUP($DE14,$BD$2:$BH$24,3,FALSE),0))</f>
        <v/>
      </c>
      <c r="DZ14" s="140">
        <f>IF($DH14=1,0,IFERROR(VLOOKUP($DF14,$BD$2:$BH$24,3,FALSE),0))</f>
        <v/>
      </c>
      <c r="EA14" s="140">
        <f>IFERROR(VLOOKUP($DE14,$BD$2:$BH$24,2,FALSE),"")</f>
        <v/>
      </c>
      <c r="EB14" s="140">
        <f>IFERROR(VLOOKUP($DF14,$BD$2:$BH$24,2,FALSE),"")</f>
        <v/>
      </c>
      <c r="EC14" s="140">
        <f>COUNTIF($DK14:$DO14,1)</f>
        <v/>
      </c>
      <c r="ED14" s="140">
        <f>COUNTIF($DK14:$DO14,2)</f>
        <v/>
      </c>
      <c r="EE14" s="140">
        <f>COUNTIF($DK14:$DO14,3)</f>
        <v/>
      </c>
      <c r="EF14" s="140">
        <f>COUNTIF($DK14:$DO14,4)</f>
        <v/>
      </c>
      <c r="EG14" s="140">
        <f>COUNTIF($DK14:$DO14,5)</f>
        <v/>
      </c>
      <c r="EH14" s="140">
        <f>COUNTIF($DK14:$DO14,6)</f>
        <v/>
      </c>
      <c r="EI14" s="140">
        <f>COUNTIF($DY14:$DZ14,1)</f>
        <v/>
      </c>
      <c r="EJ14" s="140">
        <f>COUNTIF($DY14:$DZ14,2)+$DV14</f>
        <v/>
      </c>
      <c r="EK14" s="140">
        <f>COUNTIF($DA14:$DD14,"?*")</f>
        <v/>
      </c>
      <c r="EL14" s="140">
        <f>COUNTIF($DE14:$DF14,"?*")+$DV14</f>
        <v/>
      </c>
      <c r="EM14" s="140">
        <f>SUMPRODUCT($EC14:$EH14,INDEX($I$2:$N$8,$CX14,0))</f>
        <v/>
      </c>
      <c r="EN14" s="140">
        <f>$EI14*CEILING($CX14/2,1)+$EJ14*$CX14</f>
        <v/>
      </c>
      <c r="EO14" s="140">
        <f>MIN(2*$CX14,$EN14)</f>
        <v/>
      </c>
      <c r="EP14" s="140">
        <f>MIN($EO14,$EM14)</f>
        <v/>
      </c>
      <c r="EQ14" s="140">
        <f>$EO14-$EP14</f>
        <v/>
      </c>
      <c r="ER14" s="140">
        <f>3*$CX14-$EM14+$EP14</f>
        <v/>
      </c>
      <c r="ES14" s="140">
        <f>MAX(0,$ER14)+$CV14*$CX14</f>
        <v/>
      </c>
      <c r="ET14" s="140">
        <f>(IF(COUNTIF($DA14:$DD14,"Salto")&gt;0,1,0)+IF(COUNTIF($DA14:$DD14,"Queima")&gt;0,1,0))*FLOOR($ES14/2,1)</f>
        <v/>
      </c>
      <c r="EU14" s="140">
        <f>MAX(0,3-SUMPRODUCT($EC14:$EH14,$I$2:$N$2)+MIN(2,$EI14*1+$EJ14*1,SUMPRODUCT($EC14:$EH14,$I$2:$N$2)))+$CV14*1</f>
        <v/>
      </c>
      <c r="EV14" s="140">
        <f>MAX(0,6-SUMPRODUCT($EC14:$EH14,$I$3:$N$3)+MIN(4,$EI14*1+$EJ14*2,SUMPRODUCT($EC14:$EH14,$I$3:$N$3)))+$CV14*2</f>
        <v/>
      </c>
      <c r="EW14" s="140">
        <f>MAX(0,9-SUMPRODUCT($EC14:$EH14,$I$4:$N$4)+MIN(6,$EI14*2+$EJ14*3,SUMPRODUCT($EC14:$EH14,$I$4:$N$4)))+$CV14*3</f>
        <v/>
      </c>
      <c r="EX14" s="140">
        <f>MAX(0,12-SUMPRODUCT($EC14:$EH14,$I$5:$N$5)+MIN(8,$EI14*2+$EJ14*4,SUMPRODUCT($EC14:$EH14,$I$5:$N$5)))+$CV14*4</f>
        <v/>
      </c>
      <c r="EY14" s="140">
        <f>MAX(0,15-SUMPRODUCT($EC14:$EH14,$I$6:$N$6)+MIN(10,$EI14*3+$EJ14*5,SUMPRODUCT($EC14:$EH14,$I$6:$N$6)))+$CV14*5</f>
        <v/>
      </c>
      <c r="EZ14" s="140">
        <f>MAX(0,18-SUMPRODUCT($EC14:$EH14,$I$7:$N$7)+MIN(12,$EI14*3+$EJ14*6,SUMPRODUCT($EC14:$EH14,$I$7:$N$7)))+$CV14*6</f>
        <v/>
      </c>
      <c r="FA14" s="140">
        <f>MAX(0,21-SUMPRODUCT($EC14:$EH14,$I$8:$N$8)+MIN(14,$EI14*4+$EJ14*7,SUMPRODUCT($EC14:$EH14,$I$8:$N$8)))+$CV14*7</f>
        <v/>
      </c>
      <c r="FB14" s="140">
        <f>IF($DW14=2,3*$EU14&amp;" de vida temp.",IF($DW14=3,"sem dano",IF($EU14=0,IF($DW14=1,"sem cura","sem dano"),IF($DW14=1,"cura ","")&amp;$EU14&amp;"d8")))</f>
        <v/>
      </c>
      <c r="FC14" s="140">
        <f>IF($DW14=2,3*$EV14&amp;" de vida temp.",IF($DW14=3,"sem dano",IF($EV14=0,IF($DW14=1,"sem cura","sem dano"),IF($DW14=1,"cura ","")&amp;$EV14&amp;"d8")))</f>
        <v/>
      </c>
      <c r="FD14" s="140">
        <f>IF($DW14=2,3*$EW14&amp;" de vida temp.",IF($DW14=3,"sem dano",IF($EW14=0,IF($DW14=1,"sem cura","sem dano"),IF($DW14=1,"cura ","")&amp;$EW14&amp;"d8")))</f>
        <v/>
      </c>
      <c r="FE14" s="140">
        <f>IF($DW14=2,3*$EX14&amp;" de vida temp.",IF($DW14=3,"sem dano",IF($EX14=0,IF($DW14=1,"sem cura","sem dano"),IF($DW14=1,"cura ","")&amp;$EX14&amp;"d8")))</f>
        <v/>
      </c>
      <c r="FF14" s="140">
        <f>IF($DW14=2,3*$EY14&amp;" de vida temp.",IF($DW14=3,"sem dano",IF($EY14=0,IF($DW14=1,"sem cura","sem dano"),IF($DW14=1,"cura ","")&amp;$EY14&amp;"d8")))</f>
        <v/>
      </c>
      <c r="FG14" s="140">
        <f>IF($DW14=2,3*$EZ14&amp;" de vida temp.",IF($DW14=3,"sem dano",IF($EZ14=0,IF($DW14=1,"sem cura","sem dano"),IF($DW14=1,"cura ","")&amp;$EZ14&amp;"d8")))</f>
        <v/>
      </c>
      <c r="FH14" s="140">
        <f>IF($DW14=2,3*$FA14&amp;" de vida temp.",IF($DW14=3,"sem dano",IF($FA14=0,IF($DW14=1,"sem cura","sem dano"),IF($DW14=1,"cura ","")&amp;$FA14&amp;"d8")))</f>
        <v/>
      </c>
      <c r="FI14" s="140">
        <f>IF($DI14=0,"",TEXTJOIN(" · ",TRUE,IF(AND($CV14=1,$CW14&gt;$GH$9),"O nível "&amp;$GH$2&amp;" dá "&amp;$GH$9&amp;" Liberação Máxima",""),IF($CX14&gt;$GH$4,"Classe "&amp;$CX14&amp;": o nível "&amp;$GH$2&amp;" libera até a "&amp;$GH$4,""),IF($DP14=1,"Família Fechada: a Forma "&amp;$CZ14,""),IF($DQ14=1,"Família Fechada: "&amp;$DA14,""),IF($DR14=1,"Família Fechada: "&amp;$DB14,""),IF($DS14=1,"Família Fechada: "&amp;$DC14,""),IF($DT14=1,"Família Fechada: "&amp;$DD14,""),IF($EK14&gt;INDEX($O$2:$O$8,$CX14),$EK14&amp;" Melhorias: a Classe "&amp;$CX14&amp;" aceita "&amp;INDEX($O$2:$O$8,$CX14),""),IF($EL14&gt;2,$EL14&amp;" Restrições"&amp;IF($DV14=1,", contando a que a Forma "&amp;$CZ14&amp;" já traz","")&amp;": o limite é 2",""),IF($ER14&lt;0,"Orçamento estourado: faltam "&amp;(-$ER14)&amp;IF($ER14&lt;-1," pontos"," ponto"),""),IF(IFERROR(VLOOKUP($DE14,$BD$2:$BH$24,4,FALSE),0)+IFERROR(VLOOKUP($DF14,$BD$2:$BH$24,4,FALSE),0)&gt;1,$EA14&amp;" e "&amp;$EB14&amp;" são as duas de frequência",""),IF(AND((COUNTIF($DA14:$DD14,"Rápido")+COUNTIF($EA14:$EB14,"Rápido"))&gt;0,(COUNTIF($DA14:$DD14,"Reação")+COUNTIF($EA14:$EB14,"Reação"))&gt;0),"Rápido não entra com Reação",""),IF(AND((COUNTIF($DA14:$DD14,"Rápido")+COUNTIF($EA14:$EB14,"Rápido"))&gt;0,(COUNTIF($DA14:$DD14,"Atrasar")+COUNTIF($EA14:$EB14,"Atrasar"))&gt;0),"Rápido não entra com Atrasar",""),IF(AND((COUNTIF($DA14:$DD14,"Reação")+COUNTIF($EA14:$EB14,"Reação"))&gt;0,(COUNTIF($DA14:$DD14,"Atrasar")+COUNTIF($EA14:$EB14,"Atrasar"))&gt;0),"Reação não entra com Atrasar",""),IF(AND((COUNTIF($DA14:$DD14,"Reação")+COUNTIF($EA14:$EB14,"Reação"))&gt;0,(COUNTIF($DA14:$DD14,"Parado")+COUNTIF($EA14:$EB14,"Parado"))&gt;0),"Reação não entra com Parado",""),IF(AND(COUNTIF($EA14:$EB14,"Corpo a Corpo")&gt;0,$DV14=0,OR($CZ14="Cone",$CZ14="Linha")),"Corpo a Corpo não entra em "&amp;$CZ14,""),IF(AND(COUNTIF($EA14:$EB14,"Corpo a Corpo")&gt;0,$DV14=1),"A Forma "&amp;$CZ14&amp;" já traz o Corpo a Corpo",""),IF(AND(COUNTIF($EA14:$EB14,"Tudo ou Nada")&gt;0,$DX14=0),"Tudo ou Nada só entra em feitiço de Teste de Resistência",""),IF(AND(COUNTIF($DA14:$DD14,"Inescapável")&gt;0,OR($EK14&gt;1,$EL14&gt;0)),"Inescapável não aceita outra peça",""),IF(AND($CV14=1,$CX14&lt;3),"Liberação Máxima é de Classe 3 ou mais",""),IF(AND($CV14=1,OR($DW14=1,$DW14=2)),"Liberação Máxima não serve para cura",""),IF(AND($CV14=1,COUNTIF($DA14:$DD14,"Inescapável")+COUNTIF($DA14:$DD14,"Toca a Alma")&gt;0),"Esta peça não entra numa Liberação Máxima",""),IF($ES14+$ET14&gt;4*$CX14,($ES14+$ET14)&amp;" dados somando alvos e repetições: o teto da Classe "&amp;$CX14&amp;" é "&amp;4*$CX14,"")))</f>
        <v/>
      </c>
      <c r="FJ14" s="140">
        <f>IF($FI14="",0,(LEN($FI14)-LEN(SUBSTITUTE($FI14," · ","")))/3+1)</f>
        <v/>
      </c>
      <c r="FK14" s="140">
        <f>IF($DI14=0,"",TEXTJOIN(" · ",TRUE,IF($EN14&gt;2*$CX14,"A devolução parou no teto de "&amp;2*$CX14,""),IF($EQ14&gt;0,"Devolução perdida: "&amp;$EQ14&amp;IF($EQ14&gt;1," pontos"," ponto")&amp;" sem peça para pagar",""),IF(AND($DU14&gt;0,$ES14=0),"Controle sem dano: uma rodada a mais e CD +2",""),IF(AND($DU14&gt;0,$ES14&gt;0,$ES14&lt;=$CX14),"Controle com um quarto do teto: uma rodada a mais","")))</f>
        <v/>
      </c>
      <c r="FL14" s="140">
        <f>IF($FK14="",0,(LEN($FK14)-LEN(SUBSTITUTE($FK14," · ","")))/3+1)</f>
        <v/>
      </c>
      <c r="FM14" s="140">
        <f>IF($DI14=0,IF($EK14+$EL14-$DV14&gt;0,"dê um nome",""),IF($FJ14&gt;0,"⚠ "&amp;$FJ14&amp;IF($FJ14&gt;1," erros"," erro"),IF($FL14&gt;0,"! "&amp;$FL14&amp;IF($FL14&gt;1," avisos"," aviso"),"na regra")))</f>
        <v/>
      </c>
      <c r="FN14" s="140">
        <f>IF($DI14=0,"",IF($FJ14+$FL14=0,"Dentro das regras que a ficha confere",$FI14&amp;IF(AND($FJ14&gt;0,$FL14&gt;0)," · ","")&amp;$FK14))</f>
        <v/>
      </c>
      <c r="FO14" s="140">
        <f>IF($DI14=0,"",IF($CV14=1,CEILING(4.5*$CX14,1),3*$CX14)&amp;" PE")</f>
        <v/>
      </c>
      <c r="FP14" s="140">
        <f>IF($DI14=0,"",IF($CV14=1,"Rodada inteira",IF(COUNTIF($EA14:$EB14,"Atrasar")&gt;0,IF(COUNTIF($EA14:$EB14,"Carregar")&gt;0,"Rodada +1 turno","Rodada inteira"),IF(COUNTIF($DA14:$DD14,"Rápido")&gt;0,"Bônus",IF(COUNTIF($DA14:$DD14,"Reação")&gt;0,"Reação","Padrão"))&amp;IF(COUNTIF($EA14:$EB14,"Carregar")&gt;0," +1 turno",""))))</f>
        <v/>
      </c>
      <c r="FQ14" s="140">
        <f>IF(OR($DI14=0,$DJ14=0),"",IF(COUNTIF($DA14:$DD14,"Inescapável")&gt;0,"Automático",IF(COUNTIF($DA14:$DD14,"Certeiro")&gt;0,"TR para metade",INDEX($X$2:$X$11,$DJ14))))</f>
        <v/>
      </c>
      <c r="FR14" s="140">
        <f>IF(OR($DI14=0,$DJ14=0),"",IF(OR($DW14&gt;=2,$ES14=0),INDEX($FB14:$FH14,1,$CX14),INDEX($FB14:$FH14,1,$CX14)&amp;" = "&amp;FLOOR($ES14*4.5,1)&amp;IF($ET14&gt;0," · +"&amp;$ET14&amp;"d8","")))</f>
        <v/>
      </c>
      <c r="FS14" s="140">
        <f>COUNTIF($DA14:$DD14,"Longe")+3*COUNTIF($DA14:$DD14,"Muito Longe")</f>
        <v/>
      </c>
      <c r="FT14" s="140">
        <f>COUNTIF($DA14:$DD14,"Maior")+3*COUNTIF($DA14:$DD14,"Muito Maior")</f>
        <v/>
      </c>
      <c r="FU14" s="140">
        <f>IF($DJ14=0,0,CHOOSE(1+INDEX($Z$2:$Z$11,$DJ14),0,$FS14,$FT14,$FS14+$FT14))</f>
        <v/>
      </c>
      <c r="FV14" s="140">
        <f>IF($DJ14=0,0,CHOOSE(1+INDEX($AA$2:$AA$11,$DJ14),0,$FS14,$FT14,$FS14+$FT14))</f>
        <v/>
      </c>
      <c r="FW14" s="140">
        <f>IF(OR($DI14=0,$DJ14=0),"",INDEX($AH$2:$AM$31,($DJ14-1)*3+IF($CX14&gt;=6,3,2),1+MIN(5,$FU14))&amp;INDEX($AN$2:$AS$31,($DJ14-1)*3+IF($CX14&gt;=6,3,2),1+MIN(5,$FV14))&amp;IF(INDEX($AB$2:$AB$11,$DJ14)=1,IF(COUNTIF($DA14:$DD14,"Mais Um")&gt;0," · +"&amp;COUNTIF($DA14:$DD14,"Mais Um")&amp;IF(COUNTIF($DA14:$DD14,"Mais Um")&gt;1," alvos"," alvo"),"")&amp;IF(COUNTIF($DA14:$DD14,"Rajada")&gt;0," · "&amp;($CX14+1)&amp;" tiros",""),""))</f>
        <v/>
      </c>
      <c r="FX14" s="140">
        <f>IF($DI14=0,"",3*$CX14&amp;" − "&amp;$EM14&amp;" + "&amp;$EP14&amp;IF($CV14=1," + "&amp;$CX14,"")&amp;" = "&amp;$ES14&amp;"d8 · teto "&amp;4*$CX14&amp;IF($DV14=1," · a Forma devolve "&amp;$CX14,"")&amp;IF($EQ14&gt;0," · perde "&amp;$EQ14,""))</f>
        <v/>
      </c>
      <c r="FY14" s="140">
        <f>IF($DI14=0,"",IF($CX14&gt;=$GH$4,"Já está na maior Classe que o nível liberou",TEXTJOIN(" · ",TRUE,IF(AND(2&gt;$CX14,2&lt;=$GH$4),"2 → "&amp;$FC14&amp;", "&amp;IF($CV14=1,9,6)&amp;" PE",""),IF(AND(3&gt;$CX14,3&lt;=$GH$4),"3 → "&amp;$FD14&amp;", "&amp;IF($CV14=1,14,9)&amp;" PE",""),IF(AND(4&gt;$CX14,4&lt;=$GH$4),"4 → "&amp;$FE14&amp;", "&amp;IF($CV14=1,18,12)&amp;" PE",""),IF(AND(5&gt;$CX14,5&lt;=$GH$4),"5 → "&amp;$FF14&amp;", "&amp;IF($CV14=1,23,15)&amp;" PE",""),IF(AND(6&gt;$CX14,6&lt;=$GH$4),"6 → "&amp;$FG14&amp;", "&amp;IF($CV14=1,27,18)&amp;" PE",""),IF(AND(7&gt;$CX14,7&lt;=$GH$4),"7 → "&amp;$FH14&amp;", "&amp;IF($CV14=1,32,21)&amp;" PE",""))))</f>
        <v/>
      </c>
      <c r="FZ14" s="140">
        <f>IF(OR($DI14=0,$DL14=0),"","−"&amp;INDEX($I$2:$N$8,$CX14,$DL14)&amp;" · "&amp;CHOOSE($DL14,"Leve","Média","Pesada","Leve · Livre","Média · Livre","Pesada · Livre"))</f>
        <v/>
      </c>
      <c r="GA14" s="140">
        <f>IF(OR($DI14=0,$DM14=0),"","−"&amp;INDEX($I$2:$N$8,$CX14,$DM14)&amp;" · "&amp;CHOOSE($DM14,"Leve","Média","Pesada","Leve · Livre","Média · Livre","Pesada · Livre"))</f>
        <v/>
      </c>
      <c r="GB14" s="140">
        <f>IF(OR($DI14=0,$DN14=0),"","−"&amp;INDEX($I$2:$N$8,$CX14,$DN14)&amp;" · "&amp;CHOOSE($DN14,"Leve","Média","Pesada","Leve · Livre","Média · Livre","Pesada · Livre"))</f>
        <v/>
      </c>
      <c r="GC14" s="140">
        <f>IF(OR($DI14=0,$DO14=0),"","−"&amp;INDEX($I$2:$N$8,$CX14,$DO14)&amp;" · "&amp;CHOOSE($DO14,"Leve","Média","Pesada","Leve · Livre","Média · Livre","Pesada · Livre"))</f>
        <v/>
      </c>
      <c r="GD14" s="140">
        <f>IF(OR($DI14=0,$DE14=""),"",IF($DG14=1,"Selo","+"&amp;IF($DY14=1,CEILING($CX14/2,1),$CX14)))</f>
        <v/>
      </c>
      <c r="GE14" s="140">
        <f>IF(OR($DI14=0,$DF14=""),"",IF($DH14=1,"Selo","+"&amp;IF($DZ14=1,CEILING($CX14/2,1),$CX14)))</f>
        <v/>
      </c>
      <c r="GG14" s="114" t="inlineStr">
        <is>
          <t>espaços</t>
        </is>
      </c>
      <c r="GH14" s="140">
        <f>$GH$12+$GH$13</f>
        <v/>
      </c>
    </row>
    <row r="15">
      <c r="AG15" s="114" t="inlineStr">
        <is>
          <t>Cone · classes 1 a 5</t>
        </is>
      </c>
      <c r="AH15" s="114" t="inlineStr">
        <is>
          <t>cone de 4,5 m</t>
        </is>
      </c>
      <c r="AI15" s="114" t="inlineStr">
        <is>
          <t>cone de 9 m</t>
        </is>
      </c>
      <c r="AJ15" s="114" t="inlineStr">
        <is>
          <t>cone de 18 m</t>
        </is>
      </c>
      <c r="AK15" s="114" t="inlineStr">
        <is>
          <t>cone de 30 m</t>
        </is>
      </c>
      <c r="AL15" s="114" t="inlineStr">
        <is>
          <t>cone de 60 m</t>
        </is>
      </c>
      <c r="AM15" s="114" t="inlineStr">
        <is>
          <t>cone de 60 m</t>
        </is>
      </c>
      <c r="AN15" s="114" t="inlineStr"/>
      <c r="AO15" s="114" t="inlineStr"/>
      <c r="AP15" s="114" t="inlineStr"/>
      <c r="AQ15" s="114" t="inlineStr"/>
      <c r="AR15" s="114" t="inlineStr"/>
      <c r="AS15" s="114" t="inlineStr"/>
      <c r="AU15" s="114" t="inlineStr">
        <is>
          <t>Salto</t>
        </is>
      </c>
      <c r="AV15" s="114" t="inlineStr">
        <is>
          <t>Área</t>
        </is>
      </c>
      <c r="AW15" s="140" t="n">
        <v>2</v>
      </c>
      <c r="AX15" s="140">
        <f>$AW15+3*IFERROR(VLOOKUP($AV15,$A$2:$D$10,3,FALSE),0)</f>
        <v/>
      </c>
      <c r="AY15" s="140">
        <f>IFERROR(VLOOKUP($AV15,$A$2:$D$10,4,FALSE),0)</f>
        <v/>
      </c>
      <c r="AZ15" s="140" t="n">
        <v>0</v>
      </c>
      <c r="BA15" s="140">
        <f>IF($AY15=1,"",$AU15)</f>
        <v/>
      </c>
      <c r="BB15" s="140">
        <f>IF(AND($AW15=1,$AY15=0),$AU15,"")</f>
        <v/>
      </c>
      <c r="BD15" s="114" t="inlineStr">
        <is>
          <t>Fraqueza (Média)</t>
        </is>
      </c>
      <c r="BE15" s="114" t="inlineStr">
        <is>
          <t>Fraqueza</t>
        </is>
      </c>
      <c r="BF15" s="140" t="n">
        <v>2</v>
      </c>
      <c r="BG15" s="140" t="n">
        <v>0</v>
      </c>
      <c r="BH15" s="114" t="inlineStr"/>
      <c r="BJ15" s="114" t="inlineStr">
        <is>
          <t>Escama</t>
        </is>
      </c>
      <c r="BK15" s="140" t="n">
        <v>3</v>
      </c>
      <c r="BL15" s="114" t="inlineStr">
        <is>
          <t>Escolha um tipo de dano que a sua Regra justifique. Você tem resistência a ele: todo dano daquele tipo cai pela metade.</t>
        </is>
      </c>
      <c r="BQ15" s="114" t="inlineStr">
        <is>
          <t>Cortina</t>
        </is>
      </c>
      <c r="BR15" s="114" t="inlineStr">
        <is>
          <t>exige a Barreira Simples</t>
        </is>
      </c>
      <c r="BS15" s="114" t="inlineStr">
        <is>
          <t>—</t>
        </is>
      </c>
      <c r="BT15" s="114" t="inlineStr">
        <is>
          <t>a vida dela</t>
        </is>
      </c>
      <c r="BU15" s="114" t="inlineStr">
        <is>
          <t>Mesma preparação de um minuto da Barreira Simples, exceto que ela cobre um lugar inteiro: um prédio, uma escola, um quarteirão. Ela esconde o que está dentro de quem não é feiticeiro, e você pendura uma condição sobre quem atravessa. Ela tem 40 × refino de pontos de vida, e cai quando você fica Inconsciente.</t>
        </is>
      </c>
      <c r="BV15" s="114" t="inlineStr">
        <is>
          <t>Cortina</t>
        </is>
      </c>
      <c r="CU15" s="114" t="inlineStr">
        <is>
          <t>Feitiço 14</t>
        </is>
      </c>
      <c r="CV15" s="140" t="n">
        <v>0</v>
      </c>
      <c r="CW15" s="140" t="n">
        <v>14</v>
      </c>
      <c r="CX15" s="140">
        <f>MAX(1,MIN(7,N('FICHA AMALDIÇOADA'!$J$131)))</f>
        <v/>
      </c>
      <c r="CY15" s="140">
        <f>'FICHA AMALDIÇOADA'!$K$131&amp;""</f>
        <v/>
      </c>
      <c r="CZ15" s="140">
        <f>'FICHA AMALDIÇOADA'!$J$138&amp;""</f>
        <v/>
      </c>
      <c r="DA15" s="140">
        <f>'FICHA AMALDIÇOADA'!$K$140&amp;""</f>
        <v/>
      </c>
      <c r="DB15" s="140">
        <f>'FICHA AMALDIÇOADA'!$K$141&amp;""</f>
        <v/>
      </c>
      <c r="DC15" s="140">
        <f>'FICHA AMALDIÇOADA'!$K$142&amp;""</f>
        <v/>
      </c>
      <c r="DD15" s="140">
        <f>'FICHA AMALDIÇOADA'!$K$143&amp;""</f>
        <v/>
      </c>
      <c r="DE15" s="140">
        <f>'FICHA AMALDIÇOADA'!$K$144&amp;""</f>
        <v/>
      </c>
      <c r="DF15" s="140">
        <f>'FICHA AMALDIÇOADA'!$K$145&amp;""</f>
        <v/>
      </c>
      <c r="DG15" s="140">
        <f>IF('FICHA AMALDIÇOADA'!$N$144=TRUE,1,0)</f>
        <v/>
      </c>
      <c r="DH15" s="140">
        <f>IF('FICHA AMALDIÇOADA'!$N$145=TRUE,1,0)</f>
        <v/>
      </c>
      <c r="DI15" s="140">
        <f>IF($CY15&lt;&gt;"",1,0)</f>
        <v/>
      </c>
      <c r="DJ15" s="140">
        <f>IFERROR(MATCH($CZ15,$Q$2:$Q$11,0),0)</f>
        <v/>
      </c>
      <c r="DK15" s="140">
        <f>IF($DJ15=0,0,INDEX($T$2:$T$11,$DJ15))</f>
        <v/>
      </c>
      <c r="DL15" s="140">
        <f>IFERROR(VLOOKUP($DA15,$AU$2:$BB$84,4,FALSE),0)</f>
        <v/>
      </c>
      <c r="DM15" s="140">
        <f>IFERROR(VLOOKUP($DB15,$AU$2:$BB$84,4,FALSE),0)</f>
        <v/>
      </c>
      <c r="DN15" s="140">
        <f>IFERROR(VLOOKUP($DC15,$AU$2:$BB$84,4,FALSE),0)</f>
        <v/>
      </c>
      <c r="DO15" s="140">
        <f>IFERROR(VLOOKUP($DD15,$AU$2:$BB$84,4,FALSE),0)</f>
        <v/>
      </c>
      <c r="DP15" s="140">
        <f>IF($DJ15=0,0,INDEX($U$2:$U$11,$DJ15))</f>
        <v/>
      </c>
      <c r="DQ15" s="140">
        <f>IFERROR(VLOOKUP($DA15,$AU$2:$BB$84,5,FALSE),0)</f>
        <v/>
      </c>
      <c r="DR15" s="140">
        <f>IFERROR(VLOOKUP($DB15,$AU$2:$BB$84,5,FALSE),0)</f>
        <v/>
      </c>
      <c r="DS15" s="140">
        <f>IFERROR(VLOOKUP($DC15,$AU$2:$BB$84,5,FALSE),0)</f>
        <v/>
      </c>
      <c r="DT15" s="140">
        <f>IFERROR(VLOOKUP($DD15,$AU$2:$BB$84,5,FALSE),0)</f>
        <v/>
      </c>
      <c r="DU15" s="140">
        <f>IFERROR(VLOOKUP($DA15,$AU$2:$BB$84,6,FALSE),0)+IFERROR(VLOOKUP($DB15,$AU$2:$BB$84,6,FALSE),0)+IFERROR(VLOOKUP($DC15,$AU$2:$BB$84,6,FALSE),0)+IFERROR(VLOOKUP($DD15,$AU$2:$BB$84,6,FALSE),0)</f>
        <v/>
      </c>
      <c r="DV15" s="140">
        <f>IF($DJ15=0,0,INDEX($V$2:$V$11,$DJ15))</f>
        <v/>
      </c>
      <c r="DW15" s="140">
        <f>IF($DJ15=0,0,INDEX($W$2:$W$11,$DJ15))</f>
        <v/>
      </c>
      <c r="DX15" s="140">
        <f>IF($DJ15=0,0,INDEX($Y$2:$Y$11,$DJ15))</f>
        <v/>
      </c>
      <c r="DY15" s="140">
        <f>IF($DG15=1,0,IFERROR(VLOOKUP($DE15,$BD$2:$BH$24,3,FALSE),0))</f>
        <v/>
      </c>
      <c r="DZ15" s="140">
        <f>IF($DH15=1,0,IFERROR(VLOOKUP($DF15,$BD$2:$BH$24,3,FALSE),0))</f>
        <v/>
      </c>
      <c r="EA15" s="140">
        <f>IFERROR(VLOOKUP($DE15,$BD$2:$BH$24,2,FALSE),"")</f>
        <v/>
      </c>
      <c r="EB15" s="140">
        <f>IFERROR(VLOOKUP($DF15,$BD$2:$BH$24,2,FALSE),"")</f>
        <v/>
      </c>
      <c r="EC15" s="140">
        <f>COUNTIF($DK15:$DO15,1)</f>
        <v/>
      </c>
      <c r="ED15" s="140">
        <f>COUNTIF($DK15:$DO15,2)</f>
        <v/>
      </c>
      <c r="EE15" s="140">
        <f>COUNTIF($DK15:$DO15,3)</f>
        <v/>
      </c>
      <c r="EF15" s="140">
        <f>COUNTIF($DK15:$DO15,4)</f>
        <v/>
      </c>
      <c r="EG15" s="140">
        <f>COUNTIF($DK15:$DO15,5)</f>
        <v/>
      </c>
      <c r="EH15" s="140">
        <f>COUNTIF($DK15:$DO15,6)</f>
        <v/>
      </c>
      <c r="EI15" s="140">
        <f>COUNTIF($DY15:$DZ15,1)</f>
        <v/>
      </c>
      <c r="EJ15" s="140">
        <f>COUNTIF($DY15:$DZ15,2)+$DV15</f>
        <v/>
      </c>
      <c r="EK15" s="140">
        <f>COUNTIF($DA15:$DD15,"?*")</f>
        <v/>
      </c>
      <c r="EL15" s="140">
        <f>COUNTIF($DE15:$DF15,"?*")+$DV15</f>
        <v/>
      </c>
      <c r="EM15" s="140">
        <f>SUMPRODUCT($EC15:$EH15,INDEX($I$2:$N$8,$CX15,0))</f>
        <v/>
      </c>
      <c r="EN15" s="140">
        <f>$EI15*CEILING($CX15/2,1)+$EJ15*$CX15</f>
        <v/>
      </c>
      <c r="EO15" s="140">
        <f>MIN(2*$CX15,$EN15)</f>
        <v/>
      </c>
      <c r="EP15" s="140">
        <f>MIN($EO15,$EM15)</f>
        <v/>
      </c>
      <c r="EQ15" s="140">
        <f>$EO15-$EP15</f>
        <v/>
      </c>
      <c r="ER15" s="140">
        <f>3*$CX15-$EM15+$EP15</f>
        <v/>
      </c>
      <c r="ES15" s="140">
        <f>MAX(0,$ER15)+$CV15*$CX15</f>
        <v/>
      </c>
      <c r="ET15" s="140">
        <f>(IF(COUNTIF($DA15:$DD15,"Salto")&gt;0,1,0)+IF(COUNTIF($DA15:$DD15,"Queima")&gt;0,1,0))*FLOOR($ES15/2,1)</f>
        <v/>
      </c>
      <c r="EU15" s="140">
        <f>MAX(0,3-SUMPRODUCT($EC15:$EH15,$I$2:$N$2)+MIN(2,$EI15*1+$EJ15*1,SUMPRODUCT($EC15:$EH15,$I$2:$N$2)))+$CV15*1</f>
        <v/>
      </c>
      <c r="EV15" s="140">
        <f>MAX(0,6-SUMPRODUCT($EC15:$EH15,$I$3:$N$3)+MIN(4,$EI15*1+$EJ15*2,SUMPRODUCT($EC15:$EH15,$I$3:$N$3)))+$CV15*2</f>
        <v/>
      </c>
      <c r="EW15" s="140">
        <f>MAX(0,9-SUMPRODUCT($EC15:$EH15,$I$4:$N$4)+MIN(6,$EI15*2+$EJ15*3,SUMPRODUCT($EC15:$EH15,$I$4:$N$4)))+$CV15*3</f>
        <v/>
      </c>
      <c r="EX15" s="140">
        <f>MAX(0,12-SUMPRODUCT($EC15:$EH15,$I$5:$N$5)+MIN(8,$EI15*2+$EJ15*4,SUMPRODUCT($EC15:$EH15,$I$5:$N$5)))+$CV15*4</f>
        <v/>
      </c>
      <c r="EY15" s="140">
        <f>MAX(0,15-SUMPRODUCT($EC15:$EH15,$I$6:$N$6)+MIN(10,$EI15*3+$EJ15*5,SUMPRODUCT($EC15:$EH15,$I$6:$N$6)))+$CV15*5</f>
        <v/>
      </c>
      <c r="EZ15" s="140">
        <f>MAX(0,18-SUMPRODUCT($EC15:$EH15,$I$7:$N$7)+MIN(12,$EI15*3+$EJ15*6,SUMPRODUCT($EC15:$EH15,$I$7:$N$7)))+$CV15*6</f>
        <v/>
      </c>
      <c r="FA15" s="140">
        <f>MAX(0,21-SUMPRODUCT($EC15:$EH15,$I$8:$N$8)+MIN(14,$EI15*4+$EJ15*7,SUMPRODUCT($EC15:$EH15,$I$8:$N$8)))+$CV15*7</f>
        <v/>
      </c>
      <c r="FB15" s="140">
        <f>IF($DW15=2,3*$EU15&amp;" de vida temp.",IF($DW15=3,"sem dano",IF($EU15=0,IF($DW15=1,"sem cura","sem dano"),IF($DW15=1,"cura ","")&amp;$EU15&amp;"d8")))</f>
        <v/>
      </c>
      <c r="FC15" s="140">
        <f>IF($DW15=2,3*$EV15&amp;" de vida temp.",IF($DW15=3,"sem dano",IF($EV15=0,IF($DW15=1,"sem cura","sem dano"),IF($DW15=1,"cura ","")&amp;$EV15&amp;"d8")))</f>
        <v/>
      </c>
      <c r="FD15" s="140">
        <f>IF($DW15=2,3*$EW15&amp;" de vida temp.",IF($DW15=3,"sem dano",IF($EW15=0,IF($DW15=1,"sem cura","sem dano"),IF($DW15=1,"cura ","")&amp;$EW15&amp;"d8")))</f>
        <v/>
      </c>
      <c r="FE15" s="140">
        <f>IF($DW15=2,3*$EX15&amp;" de vida temp.",IF($DW15=3,"sem dano",IF($EX15=0,IF($DW15=1,"sem cura","sem dano"),IF($DW15=1,"cura ","")&amp;$EX15&amp;"d8")))</f>
        <v/>
      </c>
      <c r="FF15" s="140">
        <f>IF($DW15=2,3*$EY15&amp;" de vida temp.",IF($DW15=3,"sem dano",IF($EY15=0,IF($DW15=1,"sem cura","sem dano"),IF($DW15=1,"cura ","")&amp;$EY15&amp;"d8")))</f>
        <v/>
      </c>
      <c r="FG15" s="140">
        <f>IF($DW15=2,3*$EZ15&amp;" de vida temp.",IF($DW15=3,"sem dano",IF($EZ15=0,IF($DW15=1,"sem cura","sem dano"),IF($DW15=1,"cura ","")&amp;$EZ15&amp;"d8")))</f>
        <v/>
      </c>
      <c r="FH15" s="140">
        <f>IF($DW15=2,3*$FA15&amp;" de vida temp.",IF($DW15=3,"sem dano",IF($FA15=0,IF($DW15=1,"sem cura","sem dano"),IF($DW15=1,"cura ","")&amp;$FA15&amp;"d8")))</f>
        <v/>
      </c>
      <c r="FI15" s="140">
        <f>IF($DI15=0,"",TEXTJOIN(" · ",TRUE,IF(AND($CV15=1,$CW15&gt;$GH$9),"O nível "&amp;$GH$2&amp;" dá "&amp;$GH$9&amp;" Liberação Máxima",""),IF($CX15&gt;$GH$4,"Classe "&amp;$CX15&amp;": o nível "&amp;$GH$2&amp;" libera até a "&amp;$GH$4,""),IF($DP15=1,"Família Fechada: a Forma "&amp;$CZ15,""),IF($DQ15=1,"Família Fechada: "&amp;$DA15,""),IF($DR15=1,"Família Fechada: "&amp;$DB15,""),IF($DS15=1,"Família Fechada: "&amp;$DC15,""),IF($DT15=1,"Família Fechada: "&amp;$DD15,""),IF($EK15&gt;INDEX($O$2:$O$8,$CX15),$EK15&amp;" Melhorias: a Classe "&amp;$CX15&amp;" aceita "&amp;INDEX($O$2:$O$8,$CX15),""),IF($EL15&gt;2,$EL15&amp;" Restrições"&amp;IF($DV15=1,", contando a que a Forma "&amp;$CZ15&amp;" já traz","")&amp;": o limite é 2",""),IF($ER15&lt;0,"Orçamento estourado: faltam "&amp;(-$ER15)&amp;IF($ER15&lt;-1," pontos"," ponto"),""),IF(IFERROR(VLOOKUP($DE15,$BD$2:$BH$24,4,FALSE),0)+IFERROR(VLOOKUP($DF15,$BD$2:$BH$24,4,FALSE),0)&gt;1,$EA15&amp;" e "&amp;$EB15&amp;" são as duas de frequência",""),IF(AND((COUNTIF($DA15:$DD15,"Rápido")+COUNTIF($EA15:$EB15,"Rápido"))&gt;0,(COUNTIF($DA15:$DD15,"Reação")+COUNTIF($EA15:$EB15,"Reação"))&gt;0),"Rápido não entra com Reação",""),IF(AND((COUNTIF($DA15:$DD15,"Rápido")+COUNTIF($EA15:$EB15,"Rápido"))&gt;0,(COUNTIF($DA15:$DD15,"Atrasar")+COUNTIF($EA15:$EB15,"Atrasar"))&gt;0),"Rápido não entra com Atrasar",""),IF(AND((COUNTIF($DA15:$DD15,"Reação")+COUNTIF($EA15:$EB15,"Reação"))&gt;0,(COUNTIF($DA15:$DD15,"Atrasar")+COUNTIF($EA15:$EB15,"Atrasar"))&gt;0),"Reação não entra com Atrasar",""),IF(AND((COUNTIF($DA15:$DD15,"Reação")+COUNTIF($EA15:$EB15,"Reação"))&gt;0,(COUNTIF($DA15:$DD15,"Parado")+COUNTIF($EA15:$EB15,"Parado"))&gt;0),"Reação não entra com Parado",""),IF(AND(COUNTIF($EA15:$EB15,"Corpo a Corpo")&gt;0,$DV15=0,OR($CZ15="Cone",$CZ15="Linha")),"Corpo a Corpo não entra em "&amp;$CZ15,""),IF(AND(COUNTIF($EA15:$EB15,"Corpo a Corpo")&gt;0,$DV15=1),"A Forma "&amp;$CZ15&amp;" já traz o Corpo a Corpo",""),IF(AND(COUNTIF($EA15:$EB15,"Tudo ou Nada")&gt;0,$DX15=0),"Tudo ou Nada só entra em feitiço de Teste de Resistência",""),IF(AND(COUNTIF($DA15:$DD15,"Inescapável")&gt;0,OR($EK15&gt;1,$EL15&gt;0)),"Inescapável não aceita outra peça",""),IF(AND($CV15=1,$CX15&lt;3),"Liberação Máxima é de Classe 3 ou mais",""),IF(AND($CV15=1,OR($DW15=1,$DW15=2)),"Liberação Máxima não serve para cura",""),IF(AND($CV15=1,COUNTIF($DA15:$DD15,"Inescapável")+COUNTIF($DA15:$DD15,"Toca a Alma")&gt;0),"Esta peça não entra numa Liberação Máxima",""),IF($ES15+$ET15&gt;4*$CX15,($ES15+$ET15)&amp;" dados somando alvos e repetições: o teto da Classe "&amp;$CX15&amp;" é "&amp;4*$CX15,"")))</f>
        <v/>
      </c>
      <c r="FJ15" s="140">
        <f>IF($FI15="",0,(LEN($FI15)-LEN(SUBSTITUTE($FI15," · ","")))/3+1)</f>
        <v/>
      </c>
      <c r="FK15" s="140">
        <f>IF($DI15=0,"",TEXTJOIN(" · ",TRUE,IF($EN15&gt;2*$CX15,"A devolução parou no teto de "&amp;2*$CX15,""),IF($EQ15&gt;0,"Devolução perdida: "&amp;$EQ15&amp;IF($EQ15&gt;1," pontos"," ponto")&amp;" sem peça para pagar",""),IF(AND($DU15&gt;0,$ES15=0),"Controle sem dano: uma rodada a mais e CD +2",""),IF(AND($DU15&gt;0,$ES15&gt;0,$ES15&lt;=$CX15),"Controle com um quarto do teto: uma rodada a mais","")))</f>
        <v/>
      </c>
      <c r="FL15" s="140">
        <f>IF($FK15="",0,(LEN($FK15)-LEN(SUBSTITUTE($FK15," · ","")))/3+1)</f>
        <v/>
      </c>
      <c r="FM15" s="140">
        <f>IF($DI15=0,IF($EK15+$EL15-$DV15&gt;0,"dê um nome",""),IF($FJ15&gt;0,"⚠ "&amp;$FJ15&amp;IF($FJ15&gt;1," erros"," erro"),IF($FL15&gt;0,"! "&amp;$FL15&amp;IF($FL15&gt;1," avisos"," aviso"),"na regra")))</f>
        <v/>
      </c>
      <c r="FN15" s="140">
        <f>IF($DI15=0,"",IF($FJ15+$FL15=0,"Dentro das regras que a ficha confere",$FI15&amp;IF(AND($FJ15&gt;0,$FL15&gt;0)," · ","")&amp;$FK15))</f>
        <v/>
      </c>
      <c r="FO15" s="140">
        <f>IF($DI15=0,"",IF($CV15=1,CEILING(4.5*$CX15,1),3*$CX15)&amp;" PE")</f>
        <v/>
      </c>
      <c r="FP15" s="140">
        <f>IF($DI15=0,"",IF($CV15=1,"Rodada inteira",IF(COUNTIF($EA15:$EB15,"Atrasar")&gt;0,IF(COUNTIF($EA15:$EB15,"Carregar")&gt;0,"Rodada +1 turno","Rodada inteira"),IF(COUNTIF($DA15:$DD15,"Rápido")&gt;0,"Bônus",IF(COUNTIF($DA15:$DD15,"Reação")&gt;0,"Reação","Padrão"))&amp;IF(COUNTIF($EA15:$EB15,"Carregar")&gt;0," +1 turno",""))))</f>
        <v/>
      </c>
      <c r="FQ15" s="140">
        <f>IF(OR($DI15=0,$DJ15=0),"",IF(COUNTIF($DA15:$DD15,"Inescapável")&gt;0,"Automático",IF(COUNTIF($DA15:$DD15,"Certeiro")&gt;0,"TR para metade",INDEX($X$2:$X$11,$DJ15))))</f>
        <v/>
      </c>
      <c r="FR15" s="140">
        <f>IF(OR($DI15=0,$DJ15=0),"",IF(OR($DW15&gt;=2,$ES15=0),INDEX($FB15:$FH15,1,$CX15),INDEX($FB15:$FH15,1,$CX15)&amp;" = "&amp;FLOOR($ES15*4.5,1)&amp;IF($ET15&gt;0," · +"&amp;$ET15&amp;"d8","")))</f>
        <v/>
      </c>
      <c r="FS15" s="140">
        <f>COUNTIF($DA15:$DD15,"Longe")+3*COUNTIF($DA15:$DD15,"Muito Longe")</f>
        <v/>
      </c>
      <c r="FT15" s="140">
        <f>COUNTIF($DA15:$DD15,"Maior")+3*COUNTIF($DA15:$DD15,"Muito Maior")</f>
        <v/>
      </c>
      <c r="FU15" s="140">
        <f>IF($DJ15=0,0,CHOOSE(1+INDEX($Z$2:$Z$11,$DJ15),0,$FS15,$FT15,$FS15+$FT15))</f>
        <v/>
      </c>
      <c r="FV15" s="140">
        <f>IF($DJ15=0,0,CHOOSE(1+INDEX($AA$2:$AA$11,$DJ15),0,$FS15,$FT15,$FS15+$FT15))</f>
        <v/>
      </c>
      <c r="FW15" s="140">
        <f>IF(OR($DI15=0,$DJ15=0),"",INDEX($AH$2:$AM$31,($DJ15-1)*3+IF($CX15&gt;=6,3,2),1+MIN(5,$FU15))&amp;INDEX($AN$2:$AS$31,($DJ15-1)*3+IF($CX15&gt;=6,3,2),1+MIN(5,$FV15))&amp;IF(INDEX($AB$2:$AB$11,$DJ15)=1,IF(COUNTIF($DA15:$DD15,"Mais Um")&gt;0," · +"&amp;COUNTIF($DA15:$DD15,"Mais Um")&amp;IF(COUNTIF($DA15:$DD15,"Mais Um")&gt;1," alvos"," alvo"),"")&amp;IF(COUNTIF($DA15:$DD15,"Rajada")&gt;0," · "&amp;($CX15+1)&amp;" tiros",""),""))</f>
        <v/>
      </c>
      <c r="FX15" s="140">
        <f>IF($DI15=0,"",3*$CX15&amp;" − "&amp;$EM15&amp;" + "&amp;$EP15&amp;IF($CV15=1," + "&amp;$CX15,"")&amp;" = "&amp;$ES15&amp;"d8 · teto "&amp;4*$CX15&amp;IF($DV15=1," · a Forma devolve "&amp;$CX15,"")&amp;IF($EQ15&gt;0," · perde "&amp;$EQ15,""))</f>
        <v/>
      </c>
      <c r="FY15" s="140">
        <f>IF($DI15=0,"",IF($CX15&gt;=$GH$4,"Já está na maior Classe que o nível liberou",TEXTJOIN(" · ",TRUE,IF(AND(2&gt;$CX15,2&lt;=$GH$4),"2 → "&amp;$FC15&amp;", "&amp;IF($CV15=1,9,6)&amp;" PE",""),IF(AND(3&gt;$CX15,3&lt;=$GH$4),"3 → "&amp;$FD15&amp;", "&amp;IF($CV15=1,14,9)&amp;" PE",""),IF(AND(4&gt;$CX15,4&lt;=$GH$4),"4 → "&amp;$FE15&amp;", "&amp;IF($CV15=1,18,12)&amp;" PE",""),IF(AND(5&gt;$CX15,5&lt;=$GH$4),"5 → "&amp;$FF15&amp;", "&amp;IF($CV15=1,23,15)&amp;" PE",""),IF(AND(6&gt;$CX15,6&lt;=$GH$4),"6 → "&amp;$FG15&amp;", "&amp;IF($CV15=1,27,18)&amp;" PE",""),IF(AND(7&gt;$CX15,7&lt;=$GH$4),"7 → "&amp;$FH15&amp;", "&amp;IF($CV15=1,32,21)&amp;" PE",""))))</f>
        <v/>
      </c>
      <c r="FZ15" s="140">
        <f>IF(OR($DI15=0,$DL15=0),"","−"&amp;INDEX($I$2:$N$8,$CX15,$DL15)&amp;" · "&amp;CHOOSE($DL15,"Leve","Média","Pesada","Leve · Livre","Média · Livre","Pesada · Livre"))</f>
        <v/>
      </c>
      <c r="GA15" s="140">
        <f>IF(OR($DI15=0,$DM15=0),"","−"&amp;INDEX($I$2:$N$8,$CX15,$DM15)&amp;" · "&amp;CHOOSE($DM15,"Leve","Média","Pesada","Leve · Livre","Média · Livre","Pesada · Livre"))</f>
        <v/>
      </c>
      <c r="GB15" s="140">
        <f>IF(OR($DI15=0,$DN15=0),"","−"&amp;INDEX($I$2:$N$8,$CX15,$DN15)&amp;" · "&amp;CHOOSE($DN15,"Leve","Média","Pesada","Leve · Livre","Média · Livre","Pesada · Livre"))</f>
        <v/>
      </c>
      <c r="GC15" s="140">
        <f>IF(OR($DI15=0,$DO15=0),"","−"&amp;INDEX($I$2:$N$8,$CX15,$DO15)&amp;" · "&amp;CHOOSE($DO15,"Leve","Média","Pesada","Leve · Livre","Média · Livre","Pesada · Livre"))</f>
        <v/>
      </c>
      <c r="GD15" s="140">
        <f>IF(OR($DI15=0,$DE15=""),"",IF($DG15=1,"Selo","+"&amp;IF($DY15=1,CEILING($CX15/2,1),$CX15)))</f>
        <v/>
      </c>
      <c r="GE15" s="140">
        <f>IF(OR($DI15=0,$DF15=""),"",IF($DH15=1,"Selo","+"&amp;IF($DZ15=1,CEILING($CX15/2,1),$CX15)))</f>
        <v/>
      </c>
      <c r="GG15" s="114" t="inlineStr">
        <is>
          <t>feitiços montados</t>
        </is>
      </c>
      <c r="GH15" s="140">
        <f>SUM($DI$2:$DI$37)</f>
        <v/>
      </c>
    </row>
    <row r="16">
      <c r="AG16" s="114" t="inlineStr">
        <is>
          <t>Cone · classes 6 e 7</t>
        </is>
      </c>
      <c r="AH16" s="114" t="inlineStr">
        <is>
          <t>cone de 9 m</t>
        </is>
      </c>
      <c r="AI16" s="114" t="inlineStr">
        <is>
          <t>cone de 18 m</t>
        </is>
      </c>
      <c r="AJ16" s="114" t="inlineStr">
        <is>
          <t>cone de 30 m</t>
        </is>
      </c>
      <c r="AK16" s="114" t="inlineStr">
        <is>
          <t>cone de 60 m</t>
        </is>
      </c>
      <c r="AL16" s="114" t="inlineStr">
        <is>
          <t>cone de 60 m</t>
        </is>
      </c>
      <c r="AM16" s="114" t="inlineStr">
        <is>
          <t>cone de 60 m</t>
        </is>
      </c>
      <c r="AN16" s="114" t="inlineStr"/>
      <c r="AO16" s="114" t="inlineStr"/>
      <c r="AP16" s="114" t="inlineStr"/>
      <c r="AQ16" s="114" t="inlineStr"/>
      <c r="AR16" s="114" t="inlineStr"/>
      <c r="AS16" s="114" t="inlineStr"/>
      <c r="AU16" s="114" t="inlineStr">
        <is>
          <t>Contorno</t>
        </is>
      </c>
      <c r="AV16" s="114" t="inlineStr">
        <is>
          <t>Área</t>
        </is>
      </c>
      <c r="AW16" s="140" t="n">
        <v>1</v>
      </c>
      <c r="AX16" s="140">
        <f>$AW16+3*IFERROR(VLOOKUP($AV16,$A$2:$D$10,3,FALSE),0)</f>
        <v/>
      </c>
      <c r="AY16" s="140">
        <f>IFERROR(VLOOKUP($AV16,$A$2:$D$10,4,FALSE),0)</f>
        <v/>
      </c>
      <c r="AZ16" s="140" t="n">
        <v>0</v>
      </c>
      <c r="BA16" s="140">
        <f>IF($AY16=1,"",$AU16)</f>
        <v/>
      </c>
      <c r="BB16" s="140">
        <f>IF(AND($AW16=1,$AY16=0),$AU16,"")</f>
        <v/>
      </c>
      <c r="BD16" s="114" t="inlineStr">
        <is>
          <t>Frágil</t>
        </is>
      </c>
      <c r="BE16" s="114" t="inlineStr">
        <is>
          <t>Frágil</t>
        </is>
      </c>
      <c r="BF16" s="140" t="n">
        <v>1</v>
      </c>
      <c r="BG16" s="140" t="n">
        <v>0</v>
      </c>
      <c r="BH16" s="114" t="inlineStr">
        <is>
          <t>Frágil</t>
        </is>
      </c>
      <c r="BJ16" s="114" t="inlineStr">
        <is>
          <t>Afinidade</t>
        </is>
      </c>
      <c r="BK16" s="140" t="n">
        <v>3</v>
      </c>
      <c r="BL16" s="114" t="inlineStr">
        <is>
          <t>Escolha um tema da sua Regra. Feitiços daquele tema ignoram cobertura Parcial e resistência ao seu tipo de dano.</t>
        </is>
      </c>
      <c r="BQ16" s="114" t="inlineStr">
        <is>
          <t>Aptidão Própria (CP 1)</t>
        </is>
      </c>
      <c r="BR16" s="114" t="inlineStr">
        <is>
          <t>uma vez na ficha inteira</t>
        </is>
      </c>
      <c r="BS16" s="140" t="n">
        <v>1</v>
      </c>
      <c r="BT16" s="114" t="inlineStr">
        <is>
          <t>conforme o que for escrito</t>
        </is>
      </c>
      <c r="BU16" s="114" t="inlineStr">
        <is>
          <t>Você escreve, com o mestre, uma aptidão que não está no catálogo. Antes da sessão, e nunca no meio dela. Ela é Classe Passiva 1 ou 2, nunca 3, e você só pode pegá-la uma vez na ficha inteira. A ficha registra duas coisas: a frase, e a resposta de "em quantas cenas por arco isso vai importar?". Escreva a sua na caixa de baixo.</t>
        </is>
      </c>
      <c r="BV16" s="114" t="inlineStr">
        <is>
          <t>Aptidão Própria (CP 1)</t>
        </is>
      </c>
      <c r="CU16" s="114" t="inlineStr">
        <is>
          <t>Feitiço 15</t>
        </is>
      </c>
      <c r="CV16" s="140" t="n">
        <v>0</v>
      </c>
      <c r="CW16" s="140" t="n">
        <v>15</v>
      </c>
      <c r="CX16" s="140">
        <f>MAX(1,MIN(7,N('FICHA AMALDIÇOADA'!$P$131)))</f>
        <v/>
      </c>
      <c r="CY16" s="140">
        <f>'FICHA AMALDIÇOADA'!$Q$131&amp;""</f>
        <v/>
      </c>
      <c r="CZ16" s="140">
        <f>'FICHA AMALDIÇOADA'!$P$138&amp;""</f>
        <v/>
      </c>
      <c r="DA16" s="140">
        <f>'FICHA AMALDIÇOADA'!$Q$140&amp;""</f>
        <v/>
      </c>
      <c r="DB16" s="140">
        <f>'FICHA AMALDIÇOADA'!$Q$141&amp;""</f>
        <v/>
      </c>
      <c r="DC16" s="140">
        <f>'FICHA AMALDIÇOADA'!$Q$142&amp;""</f>
        <v/>
      </c>
      <c r="DD16" s="140">
        <f>'FICHA AMALDIÇOADA'!$Q$143&amp;""</f>
        <v/>
      </c>
      <c r="DE16" s="140">
        <f>'FICHA AMALDIÇOADA'!$Q$144&amp;""</f>
        <v/>
      </c>
      <c r="DF16" s="140">
        <f>'FICHA AMALDIÇOADA'!$Q$145&amp;""</f>
        <v/>
      </c>
      <c r="DG16" s="140">
        <f>IF('FICHA AMALDIÇOADA'!$T$144=TRUE,1,0)</f>
        <v/>
      </c>
      <c r="DH16" s="140">
        <f>IF('FICHA AMALDIÇOADA'!$T$145=TRUE,1,0)</f>
        <v/>
      </c>
      <c r="DI16" s="140">
        <f>IF($CY16&lt;&gt;"",1,0)</f>
        <v/>
      </c>
      <c r="DJ16" s="140">
        <f>IFERROR(MATCH($CZ16,$Q$2:$Q$11,0),0)</f>
        <v/>
      </c>
      <c r="DK16" s="140">
        <f>IF($DJ16=0,0,INDEX($T$2:$T$11,$DJ16))</f>
        <v/>
      </c>
      <c r="DL16" s="140">
        <f>IFERROR(VLOOKUP($DA16,$AU$2:$BB$84,4,FALSE),0)</f>
        <v/>
      </c>
      <c r="DM16" s="140">
        <f>IFERROR(VLOOKUP($DB16,$AU$2:$BB$84,4,FALSE),0)</f>
        <v/>
      </c>
      <c r="DN16" s="140">
        <f>IFERROR(VLOOKUP($DC16,$AU$2:$BB$84,4,FALSE),0)</f>
        <v/>
      </c>
      <c r="DO16" s="140">
        <f>IFERROR(VLOOKUP($DD16,$AU$2:$BB$84,4,FALSE),0)</f>
        <v/>
      </c>
      <c r="DP16" s="140">
        <f>IF($DJ16=0,0,INDEX($U$2:$U$11,$DJ16))</f>
        <v/>
      </c>
      <c r="DQ16" s="140">
        <f>IFERROR(VLOOKUP($DA16,$AU$2:$BB$84,5,FALSE),0)</f>
        <v/>
      </c>
      <c r="DR16" s="140">
        <f>IFERROR(VLOOKUP($DB16,$AU$2:$BB$84,5,FALSE),0)</f>
        <v/>
      </c>
      <c r="DS16" s="140">
        <f>IFERROR(VLOOKUP($DC16,$AU$2:$BB$84,5,FALSE),0)</f>
        <v/>
      </c>
      <c r="DT16" s="140">
        <f>IFERROR(VLOOKUP($DD16,$AU$2:$BB$84,5,FALSE),0)</f>
        <v/>
      </c>
      <c r="DU16" s="140">
        <f>IFERROR(VLOOKUP($DA16,$AU$2:$BB$84,6,FALSE),0)+IFERROR(VLOOKUP($DB16,$AU$2:$BB$84,6,FALSE),0)+IFERROR(VLOOKUP($DC16,$AU$2:$BB$84,6,FALSE),0)+IFERROR(VLOOKUP($DD16,$AU$2:$BB$84,6,FALSE),0)</f>
        <v/>
      </c>
      <c r="DV16" s="140">
        <f>IF($DJ16=0,0,INDEX($V$2:$V$11,$DJ16))</f>
        <v/>
      </c>
      <c r="DW16" s="140">
        <f>IF($DJ16=0,0,INDEX($W$2:$W$11,$DJ16))</f>
        <v/>
      </c>
      <c r="DX16" s="140">
        <f>IF($DJ16=0,0,INDEX($Y$2:$Y$11,$DJ16))</f>
        <v/>
      </c>
      <c r="DY16" s="140">
        <f>IF($DG16=1,0,IFERROR(VLOOKUP($DE16,$BD$2:$BH$24,3,FALSE),0))</f>
        <v/>
      </c>
      <c r="DZ16" s="140">
        <f>IF($DH16=1,0,IFERROR(VLOOKUP($DF16,$BD$2:$BH$24,3,FALSE),0))</f>
        <v/>
      </c>
      <c r="EA16" s="140">
        <f>IFERROR(VLOOKUP($DE16,$BD$2:$BH$24,2,FALSE),"")</f>
        <v/>
      </c>
      <c r="EB16" s="140">
        <f>IFERROR(VLOOKUP($DF16,$BD$2:$BH$24,2,FALSE),"")</f>
        <v/>
      </c>
      <c r="EC16" s="140">
        <f>COUNTIF($DK16:$DO16,1)</f>
        <v/>
      </c>
      <c r="ED16" s="140">
        <f>COUNTIF($DK16:$DO16,2)</f>
        <v/>
      </c>
      <c r="EE16" s="140">
        <f>COUNTIF($DK16:$DO16,3)</f>
        <v/>
      </c>
      <c r="EF16" s="140">
        <f>COUNTIF($DK16:$DO16,4)</f>
        <v/>
      </c>
      <c r="EG16" s="140">
        <f>COUNTIF($DK16:$DO16,5)</f>
        <v/>
      </c>
      <c r="EH16" s="140">
        <f>COUNTIF($DK16:$DO16,6)</f>
        <v/>
      </c>
      <c r="EI16" s="140">
        <f>COUNTIF($DY16:$DZ16,1)</f>
        <v/>
      </c>
      <c r="EJ16" s="140">
        <f>COUNTIF($DY16:$DZ16,2)+$DV16</f>
        <v/>
      </c>
      <c r="EK16" s="140">
        <f>COUNTIF($DA16:$DD16,"?*")</f>
        <v/>
      </c>
      <c r="EL16" s="140">
        <f>COUNTIF($DE16:$DF16,"?*")+$DV16</f>
        <v/>
      </c>
      <c r="EM16" s="140">
        <f>SUMPRODUCT($EC16:$EH16,INDEX($I$2:$N$8,$CX16,0))</f>
        <v/>
      </c>
      <c r="EN16" s="140">
        <f>$EI16*CEILING($CX16/2,1)+$EJ16*$CX16</f>
        <v/>
      </c>
      <c r="EO16" s="140">
        <f>MIN(2*$CX16,$EN16)</f>
        <v/>
      </c>
      <c r="EP16" s="140">
        <f>MIN($EO16,$EM16)</f>
        <v/>
      </c>
      <c r="EQ16" s="140">
        <f>$EO16-$EP16</f>
        <v/>
      </c>
      <c r="ER16" s="140">
        <f>3*$CX16-$EM16+$EP16</f>
        <v/>
      </c>
      <c r="ES16" s="140">
        <f>MAX(0,$ER16)+$CV16*$CX16</f>
        <v/>
      </c>
      <c r="ET16" s="140">
        <f>(IF(COUNTIF($DA16:$DD16,"Salto")&gt;0,1,0)+IF(COUNTIF($DA16:$DD16,"Queima")&gt;0,1,0))*FLOOR($ES16/2,1)</f>
        <v/>
      </c>
      <c r="EU16" s="140">
        <f>MAX(0,3-SUMPRODUCT($EC16:$EH16,$I$2:$N$2)+MIN(2,$EI16*1+$EJ16*1,SUMPRODUCT($EC16:$EH16,$I$2:$N$2)))+$CV16*1</f>
        <v/>
      </c>
      <c r="EV16" s="140">
        <f>MAX(0,6-SUMPRODUCT($EC16:$EH16,$I$3:$N$3)+MIN(4,$EI16*1+$EJ16*2,SUMPRODUCT($EC16:$EH16,$I$3:$N$3)))+$CV16*2</f>
        <v/>
      </c>
      <c r="EW16" s="140">
        <f>MAX(0,9-SUMPRODUCT($EC16:$EH16,$I$4:$N$4)+MIN(6,$EI16*2+$EJ16*3,SUMPRODUCT($EC16:$EH16,$I$4:$N$4)))+$CV16*3</f>
        <v/>
      </c>
      <c r="EX16" s="140">
        <f>MAX(0,12-SUMPRODUCT($EC16:$EH16,$I$5:$N$5)+MIN(8,$EI16*2+$EJ16*4,SUMPRODUCT($EC16:$EH16,$I$5:$N$5)))+$CV16*4</f>
        <v/>
      </c>
      <c r="EY16" s="140">
        <f>MAX(0,15-SUMPRODUCT($EC16:$EH16,$I$6:$N$6)+MIN(10,$EI16*3+$EJ16*5,SUMPRODUCT($EC16:$EH16,$I$6:$N$6)))+$CV16*5</f>
        <v/>
      </c>
      <c r="EZ16" s="140">
        <f>MAX(0,18-SUMPRODUCT($EC16:$EH16,$I$7:$N$7)+MIN(12,$EI16*3+$EJ16*6,SUMPRODUCT($EC16:$EH16,$I$7:$N$7)))+$CV16*6</f>
        <v/>
      </c>
      <c r="FA16" s="140">
        <f>MAX(0,21-SUMPRODUCT($EC16:$EH16,$I$8:$N$8)+MIN(14,$EI16*4+$EJ16*7,SUMPRODUCT($EC16:$EH16,$I$8:$N$8)))+$CV16*7</f>
        <v/>
      </c>
      <c r="FB16" s="140">
        <f>IF($DW16=2,3*$EU16&amp;" de vida temp.",IF($DW16=3,"sem dano",IF($EU16=0,IF($DW16=1,"sem cura","sem dano"),IF($DW16=1,"cura ","")&amp;$EU16&amp;"d8")))</f>
        <v/>
      </c>
      <c r="FC16" s="140">
        <f>IF($DW16=2,3*$EV16&amp;" de vida temp.",IF($DW16=3,"sem dano",IF($EV16=0,IF($DW16=1,"sem cura","sem dano"),IF($DW16=1,"cura ","")&amp;$EV16&amp;"d8")))</f>
        <v/>
      </c>
      <c r="FD16" s="140">
        <f>IF($DW16=2,3*$EW16&amp;" de vida temp.",IF($DW16=3,"sem dano",IF($EW16=0,IF($DW16=1,"sem cura","sem dano"),IF($DW16=1,"cura ","")&amp;$EW16&amp;"d8")))</f>
        <v/>
      </c>
      <c r="FE16" s="140">
        <f>IF($DW16=2,3*$EX16&amp;" de vida temp.",IF($DW16=3,"sem dano",IF($EX16=0,IF($DW16=1,"sem cura","sem dano"),IF($DW16=1,"cura ","")&amp;$EX16&amp;"d8")))</f>
        <v/>
      </c>
      <c r="FF16" s="140">
        <f>IF($DW16=2,3*$EY16&amp;" de vida temp.",IF($DW16=3,"sem dano",IF($EY16=0,IF($DW16=1,"sem cura","sem dano"),IF($DW16=1,"cura ","")&amp;$EY16&amp;"d8")))</f>
        <v/>
      </c>
      <c r="FG16" s="140">
        <f>IF($DW16=2,3*$EZ16&amp;" de vida temp.",IF($DW16=3,"sem dano",IF($EZ16=0,IF($DW16=1,"sem cura","sem dano"),IF($DW16=1,"cura ","")&amp;$EZ16&amp;"d8")))</f>
        <v/>
      </c>
      <c r="FH16" s="140">
        <f>IF($DW16=2,3*$FA16&amp;" de vida temp.",IF($DW16=3,"sem dano",IF($FA16=0,IF($DW16=1,"sem cura","sem dano"),IF($DW16=1,"cura ","")&amp;$FA16&amp;"d8")))</f>
        <v/>
      </c>
      <c r="FI16" s="140">
        <f>IF($DI16=0,"",TEXTJOIN(" · ",TRUE,IF(AND($CV16=1,$CW16&gt;$GH$9),"O nível "&amp;$GH$2&amp;" dá "&amp;$GH$9&amp;" Liberação Máxima",""),IF($CX16&gt;$GH$4,"Classe "&amp;$CX16&amp;": o nível "&amp;$GH$2&amp;" libera até a "&amp;$GH$4,""),IF($DP16=1,"Família Fechada: a Forma "&amp;$CZ16,""),IF($DQ16=1,"Família Fechada: "&amp;$DA16,""),IF($DR16=1,"Família Fechada: "&amp;$DB16,""),IF($DS16=1,"Família Fechada: "&amp;$DC16,""),IF($DT16=1,"Família Fechada: "&amp;$DD16,""),IF($EK16&gt;INDEX($O$2:$O$8,$CX16),$EK16&amp;" Melhorias: a Classe "&amp;$CX16&amp;" aceita "&amp;INDEX($O$2:$O$8,$CX16),""),IF($EL16&gt;2,$EL16&amp;" Restrições"&amp;IF($DV16=1,", contando a que a Forma "&amp;$CZ16&amp;" já traz","")&amp;": o limite é 2",""),IF($ER16&lt;0,"Orçamento estourado: faltam "&amp;(-$ER16)&amp;IF($ER16&lt;-1," pontos"," ponto"),""),IF(IFERROR(VLOOKUP($DE16,$BD$2:$BH$24,4,FALSE),0)+IFERROR(VLOOKUP($DF16,$BD$2:$BH$24,4,FALSE),0)&gt;1,$EA16&amp;" e "&amp;$EB16&amp;" são as duas de frequência",""),IF(AND((COUNTIF($DA16:$DD16,"Rápido")+COUNTIF($EA16:$EB16,"Rápido"))&gt;0,(COUNTIF($DA16:$DD16,"Reação")+COUNTIF($EA16:$EB16,"Reação"))&gt;0),"Rápido não entra com Reação",""),IF(AND((COUNTIF($DA16:$DD16,"Rápido")+COUNTIF($EA16:$EB16,"Rápido"))&gt;0,(COUNTIF($DA16:$DD16,"Atrasar")+COUNTIF($EA16:$EB16,"Atrasar"))&gt;0),"Rápido não entra com Atrasar",""),IF(AND((COUNTIF($DA16:$DD16,"Reação")+COUNTIF($EA16:$EB16,"Reação"))&gt;0,(COUNTIF($DA16:$DD16,"Atrasar")+COUNTIF($EA16:$EB16,"Atrasar"))&gt;0),"Reação não entra com Atrasar",""),IF(AND((COUNTIF($DA16:$DD16,"Reação")+COUNTIF($EA16:$EB16,"Reação"))&gt;0,(COUNTIF($DA16:$DD16,"Parado")+COUNTIF($EA16:$EB16,"Parado"))&gt;0),"Reação não entra com Parado",""),IF(AND(COUNTIF($EA16:$EB16,"Corpo a Corpo")&gt;0,$DV16=0,OR($CZ16="Cone",$CZ16="Linha")),"Corpo a Corpo não entra em "&amp;$CZ16,""),IF(AND(COUNTIF($EA16:$EB16,"Corpo a Corpo")&gt;0,$DV16=1),"A Forma "&amp;$CZ16&amp;" já traz o Corpo a Corpo",""),IF(AND(COUNTIF($EA16:$EB16,"Tudo ou Nada")&gt;0,$DX16=0),"Tudo ou Nada só entra em feitiço de Teste de Resistência",""),IF(AND(COUNTIF($DA16:$DD16,"Inescapável")&gt;0,OR($EK16&gt;1,$EL16&gt;0)),"Inescapável não aceita outra peça",""),IF(AND($CV16=1,$CX16&lt;3),"Liberação Máxima é de Classe 3 ou mais",""),IF(AND($CV16=1,OR($DW16=1,$DW16=2)),"Liberação Máxima não serve para cura",""),IF(AND($CV16=1,COUNTIF($DA16:$DD16,"Inescapável")+COUNTIF($DA16:$DD16,"Toca a Alma")&gt;0),"Esta peça não entra numa Liberação Máxima",""),IF($ES16+$ET16&gt;4*$CX16,($ES16+$ET16)&amp;" dados somando alvos e repetições: o teto da Classe "&amp;$CX16&amp;" é "&amp;4*$CX16,"")))</f>
        <v/>
      </c>
      <c r="FJ16" s="140">
        <f>IF($FI16="",0,(LEN($FI16)-LEN(SUBSTITUTE($FI16," · ","")))/3+1)</f>
        <v/>
      </c>
      <c r="FK16" s="140">
        <f>IF($DI16=0,"",TEXTJOIN(" · ",TRUE,IF($EN16&gt;2*$CX16,"A devolução parou no teto de "&amp;2*$CX16,""),IF($EQ16&gt;0,"Devolução perdida: "&amp;$EQ16&amp;IF($EQ16&gt;1," pontos"," ponto")&amp;" sem peça para pagar",""),IF(AND($DU16&gt;0,$ES16=0),"Controle sem dano: uma rodada a mais e CD +2",""),IF(AND($DU16&gt;0,$ES16&gt;0,$ES16&lt;=$CX16),"Controle com um quarto do teto: uma rodada a mais","")))</f>
        <v/>
      </c>
      <c r="FL16" s="140">
        <f>IF($FK16="",0,(LEN($FK16)-LEN(SUBSTITUTE($FK16," · ","")))/3+1)</f>
        <v/>
      </c>
      <c r="FM16" s="140">
        <f>IF($DI16=0,IF($EK16+$EL16-$DV16&gt;0,"dê um nome",""),IF($FJ16&gt;0,"⚠ "&amp;$FJ16&amp;IF($FJ16&gt;1," erros"," erro"),IF($FL16&gt;0,"! "&amp;$FL16&amp;IF($FL16&gt;1," avisos"," aviso"),"na regra")))</f>
        <v/>
      </c>
      <c r="FN16" s="140">
        <f>IF($DI16=0,"",IF($FJ16+$FL16=0,"Dentro das regras que a ficha confere",$FI16&amp;IF(AND($FJ16&gt;0,$FL16&gt;0)," · ","")&amp;$FK16))</f>
        <v/>
      </c>
      <c r="FO16" s="140">
        <f>IF($DI16=0,"",IF($CV16=1,CEILING(4.5*$CX16,1),3*$CX16)&amp;" PE")</f>
        <v/>
      </c>
      <c r="FP16" s="140">
        <f>IF($DI16=0,"",IF($CV16=1,"Rodada inteira",IF(COUNTIF($EA16:$EB16,"Atrasar")&gt;0,IF(COUNTIF($EA16:$EB16,"Carregar")&gt;0,"Rodada +1 turno","Rodada inteira"),IF(COUNTIF($DA16:$DD16,"Rápido")&gt;0,"Bônus",IF(COUNTIF($DA16:$DD16,"Reação")&gt;0,"Reação","Padrão"))&amp;IF(COUNTIF($EA16:$EB16,"Carregar")&gt;0," +1 turno",""))))</f>
        <v/>
      </c>
      <c r="FQ16" s="140">
        <f>IF(OR($DI16=0,$DJ16=0),"",IF(COUNTIF($DA16:$DD16,"Inescapável")&gt;0,"Automático",IF(COUNTIF($DA16:$DD16,"Certeiro")&gt;0,"TR para metade",INDEX($X$2:$X$11,$DJ16))))</f>
        <v/>
      </c>
      <c r="FR16" s="140">
        <f>IF(OR($DI16=0,$DJ16=0),"",IF(OR($DW16&gt;=2,$ES16=0),INDEX($FB16:$FH16,1,$CX16),INDEX($FB16:$FH16,1,$CX16)&amp;" = "&amp;FLOOR($ES16*4.5,1)&amp;IF($ET16&gt;0," · +"&amp;$ET16&amp;"d8","")))</f>
        <v/>
      </c>
      <c r="FS16" s="140">
        <f>COUNTIF($DA16:$DD16,"Longe")+3*COUNTIF($DA16:$DD16,"Muito Longe")</f>
        <v/>
      </c>
      <c r="FT16" s="140">
        <f>COUNTIF($DA16:$DD16,"Maior")+3*COUNTIF($DA16:$DD16,"Muito Maior")</f>
        <v/>
      </c>
      <c r="FU16" s="140">
        <f>IF($DJ16=0,0,CHOOSE(1+INDEX($Z$2:$Z$11,$DJ16),0,$FS16,$FT16,$FS16+$FT16))</f>
        <v/>
      </c>
      <c r="FV16" s="140">
        <f>IF($DJ16=0,0,CHOOSE(1+INDEX($AA$2:$AA$11,$DJ16),0,$FS16,$FT16,$FS16+$FT16))</f>
        <v/>
      </c>
      <c r="FW16" s="140">
        <f>IF(OR($DI16=0,$DJ16=0),"",INDEX($AH$2:$AM$31,($DJ16-1)*3+IF($CX16&gt;=6,3,2),1+MIN(5,$FU16))&amp;INDEX($AN$2:$AS$31,($DJ16-1)*3+IF($CX16&gt;=6,3,2),1+MIN(5,$FV16))&amp;IF(INDEX($AB$2:$AB$11,$DJ16)=1,IF(COUNTIF($DA16:$DD16,"Mais Um")&gt;0," · +"&amp;COUNTIF($DA16:$DD16,"Mais Um")&amp;IF(COUNTIF($DA16:$DD16,"Mais Um")&gt;1," alvos"," alvo"),"")&amp;IF(COUNTIF($DA16:$DD16,"Rajada")&gt;0," · "&amp;($CX16+1)&amp;" tiros",""),""))</f>
        <v/>
      </c>
      <c r="FX16" s="140">
        <f>IF($DI16=0,"",3*$CX16&amp;" − "&amp;$EM16&amp;" + "&amp;$EP16&amp;IF($CV16=1," + "&amp;$CX16,"")&amp;" = "&amp;$ES16&amp;"d8 · teto "&amp;4*$CX16&amp;IF($DV16=1," · a Forma devolve "&amp;$CX16,"")&amp;IF($EQ16&gt;0," · perde "&amp;$EQ16,""))</f>
        <v/>
      </c>
      <c r="FY16" s="140">
        <f>IF($DI16=0,"",IF($CX16&gt;=$GH$4,"Já está na maior Classe que o nível liberou",TEXTJOIN(" · ",TRUE,IF(AND(2&gt;$CX16,2&lt;=$GH$4),"2 → "&amp;$FC16&amp;", "&amp;IF($CV16=1,9,6)&amp;" PE",""),IF(AND(3&gt;$CX16,3&lt;=$GH$4),"3 → "&amp;$FD16&amp;", "&amp;IF($CV16=1,14,9)&amp;" PE",""),IF(AND(4&gt;$CX16,4&lt;=$GH$4),"4 → "&amp;$FE16&amp;", "&amp;IF($CV16=1,18,12)&amp;" PE",""),IF(AND(5&gt;$CX16,5&lt;=$GH$4),"5 → "&amp;$FF16&amp;", "&amp;IF($CV16=1,23,15)&amp;" PE",""),IF(AND(6&gt;$CX16,6&lt;=$GH$4),"6 → "&amp;$FG16&amp;", "&amp;IF($CV16=1,27,18)&amp;" PE",""),IF(AND(7&gt;$CX16,7&lt;=$GH$4),"7 → "&amp;$FH16&amp;", "&amp;IF($CV16=1,32,21)&amp;" PE",""))))</f>
        <v/>
      </c>
      <c r="FZ16" s="140">
        <f>IF(OR($DI16=0,$DL16=0),"","−"&amp;INDEX($I$2:$N$8,$CX16,$DL16)&amp;" · "&amp;CHOOSE($DL16,"Leve","Média","Pesada","Leve · Livre","Média · Livre","Pesada · Livre"))</f>
        <v/>
      </c>
      <c r="GA16" s="140">
        <f>IF(OR($DI16=0,$DM16=0),"","−"&amp;INDEX($I$2:$N$8,$CX16,$DM16)&amp;" · "&amp;CHOOSE($DM16,"Leve","Média","Pesada","Leve · Livre","Média · Livre","Pesada · Livre"))</f>
        <v/>
      </c>
      <c r="GB16" s="140">
        <f>IF(OR($DI16=0,$DN16=0),"","−"&amp;INDEX($I$2:$N$8,$CX16,$DN16)&amp;" · "&amp;CHOOSE($DN16,"Leve","Média","Pesada","Leve · Livre","Média · Livre","Pesada · Livre"))</f>
        <v/>
      </c>
      <c r="GC16" s="140">
        <f>IF(OR($DI16=0,$DO16=0),"","−"&amp;INDEX($I$2:$N$8,$CX16,$DO16)&amp;" · "&amp;CHOOSE($DO16,"Leve","Média","Pesada","Leve · Livre","Média · Livre","Pesada · Livre"))</f>
        <v/>
      </c>
      <c r="GD16" s="140">
        <f>IF(OR($DI16=0,$DE16=""),"",IF($DG16=1,"Selo","+"&amp;IF($DY16=1,CEILING($CX16/2,1),$CX16)))</f>
        <v/>
      </c>
      <c r="GE16" s="140">
        <f>IF(OR($DI16=0,$DF16=""),"",IF($DH16=1,"Selo","+"&amp;IF($DZ16=1,CEILING($CX16/2,1),$CX16)))</f>
        <v/>
      </c>
      <c r="GG16" s="114" t="inlineStr">
        <is>
          <t>classe passiva da regra própria</t>
        </is>
      </c>
      <c r="GH16" s="140">
        <f>N('FICHA AMALDIÇOADA'!$P$27)</f>
        <v/>
      </c>
    </row>
    <row r="17">
      <c r="AG17" s="114" t="inlineStr">
        <is>
          <t>Linha · classe 0</t>
        </is>
      </c>
      <c r="AH17" s="114" t="inlineStr">
        <is>
          <t>linha de 9 m por 1,5 m</t>
        </is>
      </c>
      <c r="AI17" s="114" t="inlineStr">
        <is>
          <t>linha de 18 m por 1,5 m</t>
        </is>
      </c>
      <c r="AJ17" s="114" t="inlineStr">
        <is>
          <t>linha de 30 m por 1,5 m</t>
        </is>
      </c>
      <c r="AK17" s="114" t="inlineStr">
        <is>
          <t>linha de 60 m por 1,5 m</t>
        </is>
      </c>
      <c r="AL17" s="114" t="inlineStr">
        <is>
          <t>linha de 60 m por 1,5 m</t>
        </is>
      </c>
      <c r="AM17" s="114" t="inlineStr">
        <is>
          <t>linha de 60 m por 1,5 m</t>
        </is>
      </c>
      <c r="AN17" s="114" t="inlineStr"/>
      <c r="AO17" s="114" t="inlineStr"/>
      <c r="AP17" s="114" t="inlineStr"/>
      <c r="AQ17" s="114" t="inlineStr"/>
      <c r="AR17" s="114" t="inlineStr"/>
      <c r="AS17" s="114" t="inlineStr"/>
      <c r="AU17" s="114" t="inlineStr">
        <is>
          <t>Precisão</t>
        </is>
      </c>
      <c r="AV17" s="114" t="inlineStr">
        <is>
          <t>Mira</t>
        </is>
      </c>
      <c r="AW17" s="140" t="n">
        <v>1</v>
      </c>
      <c r="AX17" s="140">
        <f>$AW17+3*IFERROR(VLOOKUP($AV17,$A$2:$D$10,3,FALSE),0)</f>
        <v/>
      </c>
      <c r="AY17" s="140">
        <f>IFERROR(VLOOKUP($AV17,$A$2:$D$10,4,FALSE),0)</f>
        <v/>
      </c>
      <c r="AZ17" s="140" t="n">
        <v>0</v>
      </c>
      <c r="BA17" s="140">
        <f>IF($AY17=1,"",$AU17)</f>
        <v/>
      </c>
      <c r="BB17" s="140">
        <f>IF(AND($AW17=1,$AY17=0),$AU17,"")</f>
        <v/>
      </c>
      <c r="BD17" s="114" t="inlineStr">
        <is>
          <t>Barulho</t>
        </is>
      </c>
      <c r="BE17" s="114" t="inlineStr">
        <is>
          <t>Barulho</t>
        </is>
      </c>
      <c r="BF17" s="140" t="n">
        <v>1</v>
      </c>
      <c r="BG17" s="140" t="n">
        <v>0</v>
      </c>
      <c r="BH17" s="114" t="inlineStr">
        <is>
          <t>Barulho</t>
        </is>
      </c>
      <c r="BJ17" s="114" t="inlineStr">
        <is>
          <t>Reserva Profunda</t>
        </is>
      </c>
      <c r="BK17" s="140" t="n">
        <v>3</v>
      </c>
      <c r="BL17" s="114" t="inlineStr">
        <is>
          <t>Seu PE máximo sobe em 3 × a sua maior Classe.</t>
        </is>
      </c>
      <c r="BQ17" s="114" t="inlineStr">
        <is>
          <t>Aptidão Própria (CP 2)</t>
        </is>
      </c>
      <c r="BR17" s="114" t="inlineStr">
        <is>
          <t>uma vez na ficha inteira</t>
        </is>
      </c>
      <c r="BS17" s="140" t="n">
        <v>2</v>
      </c>
      <c r="BT17" s="114" t="inlineStr">
        <is>
          <t>conforme o que for escrito</t>
        </is>
      </c>
      <c r="BU17" s="114" t="inlineStr">
        <is>
          <t>Você escreve, com o mestre, uma aptidão que não está no catálogo. Antes da sessão, e nunca no meio dela. Ela é Classe Passiva 1 ou 2, nunca 3, e você só pode pegá-la uma vez na ficha inteira. A ficha registra duas coisas: a frase, e a resposta de "em quantas cenas por arco isso vai importar?". Escreva a sua na caixa de baixo.</t>
        </is>
      </c>
      <c r="BV17" s="114" t="inlineStr">
        <is>
          <t>Aptidão Própria (CP 2)</t>
        </is>
      </c>
      <c r="CU17" s="114" t="inlineStr">
        <is>
          <t>Feitiço 16</t>
        </is>
      </c>
      <c r="CV17" s="140" t="n">
        <v>0</v>
      </c>
      <c r="CW17" s="140" t="n">
        <v>16</v>
      </c>
      <c r="CX17" s="140">
        <f>MAX(1,MIN(7,N('FICHA AMALDIÇOADA'!$D$152)))</f>
        <v/>
      </c>
      <c r="CY17" s="140">
        <f>'FICHA AMALDIÇOADA'!$E$152&amp;""</f>
        <v/>
      </c>
      <c r="CZ17" s="140">
        <f>'FICHA AMALDIÇOADA'!$D$159&amp;""</f>
        <v/>
      </c>
      <c r="DA17" s="140">
        <f>'FICHA AMALDIÇOADA'!$E$161&amp;""</f>
        <v/>
      </c>
      <c r="DB17" s="140">
        <f>'FICHA AMALDIÇOADA'!$E$162&amp;""</f>
        <v/>
      </c>
      <c r="DC17" s="140">
        <f>'FICHA AMALDIÇOADA'!$E$163&amp;""</f>
        <v/>
      </c>
      <c r="DD17" s="140">
        <f>'FICHA AMALDIÇOADA'!$E$164&amp;""</f>
        <v/>
      </c>
      <c r="DE17" s="140">
        <f>'FICHA AMALDIÇOADA'!$E$165&amp;""</f>
        <v/>
      </c>
      <c r="DF17" s="140">
        <f>'FICHA AMALDIÇOADA'!$E$166&amp;""</f>
        <v/>
      </c>
      <c r="DG17" s="140">
        <f>IF('FICHA AMALDIÇOADA'!$H$165=TRUE,1,0)</f>
        <v/>
      </c>
      <c r="DH17" s="140">
        <f>IF('FICHA AMALDIÇOADA'!$H$166=TRUE,1,0)</f>
        <v/>
      </c>
      <c r="DI17" s="140">
        <f>IF($CY17&lt;&gt;"",1,0)</f>
        <v/>
      </c>
      <c r="DJ17" s="140">
        <f>IFERROR(MATCH($CZ17,$Q$2:$Q$11,0),0)</f>
        <v/>
      </c>
      <c r="DK17" s="140">
        <f>IF($DJ17=0,0,INDEX($T$2:$T$11,$DJ17))</f>
        <v/>
      </c>
      <c r="DL17" s="140">
        <f>IFERROR(VLOOKUP($DA17,$AU$2:$BB$84,4,FALSE),0)</f>
        <v/>
      </c>
      <c r="DM17" s="140">
        <f>IFERROR(VLOOKUP($DB17,$AU$2:$BB$84,4,FALSE),0)</f>
        <v/>
      </c>
      <c r="DN17" s="140">
        <f>IFERROR(VLOOKUP($DC17,$AU$2:$BB$84,4,FALSE),0)</f>
        <v/>
      </c>
      <c r="DO17" s="140">
        <f>IFERROR(VLOOKUP($DD17,$AU$2:$BB$84,4,FALSE),0)</f>
        <v/>
      </c>
      <c r="DP17" s="140">
        <f>IF($DJ17=0,0,INDEX($U$2:$U$11,$DJ17))</f>
        <v/>
      </c>
      <c r="DQ17" s="140">
        <f>IFERROR(VLOOKUP($DA17,$AU$2:$BB$84,5,FALSE),0)</f>
        <v/>
      </c>
      <c r="DR17" s="140">
        <f>IFERROR(VLOOKUP($DB17,$AU$2:$BB$84,5,FALSE),0)</f>
        <v/>
      </c>
      <c r="DS17" s="140">
        <f>IFERROR(VLOOKUP($DC17,$AU$2:$BB$84,5,FALSE),0)</f>
        <v/>
      </c>
      <c r="DT17" s="140">
        <f>IFERROR(VLOOKUP($DD17,$AU$2:$BB$84,5,FALSE),0)</f>
        <v/>
      </c>
      <c r="DU17" s="140">
        <f>IFERROR(VLOOKUP($DA17,$AU$2:$BB$84,6,FALSE),0)+IFERROR(VLOOKUP($DB17,$AU$2:$BB$84,6,FALSE),0)+IFERROR(VLOOKUP($DC17,$AU$2:$BB$84,6,FALSE),0)+IFERROR(VLOOKUP($DD17,$AU$2:$BB$84,6,FALSE),0)</f>
        <v/>
      </c>
      <c r="DV17" s="140">
        <f>IF($DJ17=0,0,INDEX($V$2:$V$11,$DJ17))</f>
        <v/>
      </c>
      <c r="DW17" s="140">
        <f>IF($DJ17=0,0,INDEX($W$2:$W$11,$DJ17))</f>
        <v/>
      </c>
      <c r="DX17" s="140">
        <f>IF($DJ17=0,0,INDEX($Y$2:$Y$11,$DJ17))</f>
        <v/>
      </c>
      <c r="DY17" s="140">
        <f>IF($DG17=1,0,IFERROR(VLOOKUP($DE17,$BD$2:$BH$24,3,FALSE),0))</f>
        <v/>
      </c>
      <c r="DZ17" s="140">
        <f>IF($DH17=1,0,IFERROR(VLOOKUP($DF17,$BD$2:$BH$24,3,FALSE),0))</f>
        <v/>
      </c>
      <c r="EA17" s="140">
        <f>IFERROR(VLOOKUP($DE17,$BD$2:$BH$24,2,FALSE),"")</f>
        <v/>
      </c>
      <c r="EB17" s="140">
        <f>IFERROR(VLOOKUP($DF17,$BD$2:$BH$24,2,FALSE),"")</f>
        <v/>
      </c>
      <c r="EC17" s="140">
        <f>COUNTIF($DK17:$DO17,1)</f>
        <v/>
      </c>
      <c r="ED17" s="140">
        <f>COUNTIF($DK17:$DO17,2)</f>
        <v/>
      </c>
      <c r="EE17" s="140">
        <f>COUNTIF($DK17:$DO17,3)</f>
        <v/>
      </c>
      <c r="EF17" s="140">
        <f>COUNTIF($DK17:$DO17,4)</f>
        <v/>
      </c>
      <c r="EG17" s="140">
        <f>COUNTIF($DK17:$DO17,5)</f>
        <v/>
      </c>
      <c r="EH17" s="140">
        <f>COUNTIF($DK17:$DO17,6)</f>
        <v/>
      </c>
      <c r="EI17" s="140">
        <f>COUNTIF($DY17:$DZ17,1)</f>
        <v/>
      </c>
      <c r="EJ17" s="140">
        <f>COUNTIF($DY17:$DZ17,2)+$DV17</f>
        <v/>
      </c>
      <c r="EK17" s="140">
        <f>COUNTIF($DA17:$DD17,"?*")</f>
        <v/>
      </c>
      <c r="EL17" s="140">
        <f>COUNTIF($DE17:$DF17,"?*")+$DV17</f>
        <v/>
      </c>
      <c r="EM17" s="140">
        <f>SUMPRODUCT($EC17:$EH17,INDEX($I$2:$N$8,$CX17,0))</f>
        <v/>
      </c>
      <c r="EN17" s="140">
        <f>$EI17*CEILING($CX17/2,1)+$EJ17*$CX17</f>
        <v/>
      </c>
      <c r="EO17" s="140">
        <f>MIN(2*$CX17,$EN17)</f>
        <v/>
      </c>
      <c r="EP17" s="140">
        <f>MIN($EO17,$EM17)</f>
        <v/>
      </c>
      <c r="EQ17" s="140">
        <f>$EO17-$EP17</f>
        <v/>
      </c>
      <c r="ER17" s="140">
        <f>3*$CX17-$EM17+$EP17</f>
        <v/>
      </c>
      <c r="ES17" s="140">
        <f>MAX(0,$ER17)+$CV17*$CX17</f>
        <v/>
      </c>
      <c r="ET17" s="140">
        <f>(IF(COUNTIF($DA17:$DD17,"Salto")&gt;0,1,0)+IF(COUNTIF($DA17:$DD17,"Queima")&gt;0,1,0))*FLOOR($ES17/2,1)</f>
        <v/>
      </c>
      <c r="EU17" s="140">
        <f>MAX(0,3-SUMPRODUCT($EC17:$EH17,$I$2:$N$2)+MIN(2,$EI17*1+$EJ17*1,SUMPRODUCT($EC17:$EH17,$I$2:$N$2)))+$CV17*1</f>
        <v/>
      </c>
      <c r="EV17" s="140">
        <f>MAX(0,6-SUMPRODUCT($EC17:$EH17,$I$3:$N$3)+MIN(4,$EI17*1+$EJ17*2,SUMPRODUCT($EC17:$EH17,$I$3:$N$3)))+$CV17*2</f>
        <v/>
      </c>
      <c r="EW17" s="140">
        <f>MAX(0,9-SUMPRODUCT($EC17:$EH17,$I$4:$N$4)+MIN(6,$EI17*2+$EJ17*3,SUMPRODUCT($EC17:$EH17,$I$4:$N$4)))+$CV17*3</f>
        <v/>
      </c>
      <c r="EX17" s="140">
        <f>MAX(0,12-SUMPRODUCT($EC17:$EH17,$I$5:$N$5)+MIN(8,$EI17*2+$EJ17*4,SUMPRODUCT($EC17:$EH17,$I$5:$N$5)))+$CV17*4</f>
        <v/>
      </c>
      <c r="EY17" s="140">
        <f>MAX(0,15-SUMPRODUCT($EC17:$EH17,$I$6:$N$6)+MIN(10,$EI17*3+$EJ17*5,SUMPRODUCT($EC17:$EH17,$I$6:$N$6)))+$CV17*5</f>
        <v/>
      </c>
      <c r="EZ17" s="140">
        <f>MAX(0,18-SUMPRODUCT($EC17:$EH17,$I$7:$N$7)+MIN(12,$EI17*3+$EJ17*6,SUMPRODUCT($EC17:$EH17,$I$7:$N$7)))+$CV17*6</f>
        <v/>
      </c>
      <c r="FA17" s="140">
        <f>MAX(0,21-SUMPRODUCT($EC17:$EH17,$I$8:$N$8)+MIN(14,$EI17*4+$EJ17*7,SUMPRODUCT($EC17:$EH17,$I$8:$N$8)))+$CV17*7</f>
        <v/>
      </c>
      <c r="FB17" s="140">
        <f>IF($DW17=2,3*$EU17&amp;" de vida temp.",IF($DW17=3,"sem dano",IF($EU17=0,IF($DW17=1,"sem cura","sem dano"),IF($DW17=1,"cura ","")&amp;$EU17&amp;"d8")))</f>
        <v/>
      </c>
      <c r="FC17" s="140">
        <f>IF($DW17=2,3*$EV17&amp;" de vida temp.",IF($DW17=3,"sem dano",IF($EV17=0,IF($DW17=1,"sem cura","sem dano"),IF($DW17=1,"cura ","")&amp;$EV17&amp;"d8")))</f>
        <v/>
      </c>
      <c r="FD17" s="140">
        <f>IF($DW17=2,3*$EW17&amp;" de vida temp.",IF($DW17=3,"sem dano",IF($EW17=0,IF($DW17=1,"sem cura","sem dano"),IF($DW17=1,"cura ","")&amp;$EW17&amp;"d8")))</f>
        <v/>
      </c>
      <c r="FE17" s="140">
        <f>IF($DW17=2,3*$EX17&amp;" de vida temp.",IF($DW17=3,"sem dano",IF($EX17=0,IF($DW17=1,"sem cura","sem dano"),IF($DW17=1,"cura ","")&amp;$EX17&amp;"d8")))</f>
        <v/>
      </c>
      <c r="FF17" s="140">
        <f>IF($DW17=2,3*$EY17&amp;" de vida temp.",IF($DW17=3,"sem dano",IF($EY17=0,IF($DW17=1,"sem cura","sem dano"),IF($DW17=1,"cura ","")&amp;$EY17&amp;"d8")))</f>
        <v/>
      </c>
      <c r="FG17" s="140">
        <f>IF($DW17=2,3*$EZ17&amp;" de vida temp.",IF($DW17=3,"sem dano",IF($EZ17=0,IF($DW17=1,"sem cura","sem dano"),IF($DW17=1,"cura ","")&amp;$EZ17&amp;"d8")))</f>
        <v/>
      </c>
      <c r="FH17" s="140">
        <f>IF($DW17=2,3*$FA17&amp;" de vida temp.",IF($DW17=3,"sem dano",IF($FA17=0,IF($DW17=1,"sem cura","sem dano"),IF($DW17=1,"cura ","")&amp;$FA17&amp;"d8")))</f>
        <v/>
      </c>
      <c r="FI17" s="140">
        <f>IF($DI17=0,"",TEXTJOIN(" · ",TRUE,IF(AND($CV17=1,$CW17&gt;$GH$9),"O nível "&amp;$GH$2&amp;" dá "&amp;$GH$9&amp;" Liberação Máxima",""),IF($CX17&gt;$GH$4,"Classe "&amp;$CX17&amp;": o nível "&amp;$GH$2&amp;" libera até a "&amp;$GH$4,""),IF($DP17=1,"Família Fechada: a Forma "&amp;$CZ17,""),IF($DQ17=1,"Família Fechada: "&amp;$DA17,""),IF($DR17=1,"Família Fechada: "&amp;$DB17,""),IF($DS17=1,"Família Fechada: "&amp;$DC17,""),IF($DT17=1,"Família Fechada: "&amp;$DD17,""),IF($EK17&gt;INDEX($O$2:$O$8,$CX17),$EK17&amp;" Melhorias: a Classe "&amp;$CX17&amp;" aceita "&amp;INDEX($O$2:$O$8,$CX17),""),IF($EL17&gt;2,$EL17&amp;" Restrições"&amp;IF($DV17=1,", contando a que a Forma "&amp;$CZ17&amp;" já traz","")&amp;": o limite é 2",""),IF($ER17&lt;0,"Orçamento estourado: faltam "&amp;(-$ER17)&amp;IF($ER17&lt;-1," pontos"," ponto"),""),IF(IFERROR(VLOOKUP($DE17,$BD$2:$BH$24,4,FALSE),0)+IFERROR(VLOOKUP($DF17,$BD$2:$BH$24,4,FALSE),0)&gt;1,$EA17&amp;" e "&amp;$EB17&amp;" são as duas de frequência",""),IF(AND((COUNTIF($DA17:$DD17,"Rápido")+COUNTIF($EA17:$EB17,"Rápido"))&gt;0,(COUNTIF($DA17:$DD17,"Reação")+COUNTIF($EA17:$EB17,"Reação"))&gt;0),"Rápido não entra com Reação",""),IF(AND((COUNTIF($DA17:$DD17,"Rápido")+COUNTIF($EA17:$EB17,"Rápido"))&gt;0,(COUNTIF($DA17:$DD17,"Atrasar")+COUNTIF($EA17:$EB17,"Atrasar"))&gt;0),"Rápido não entra com Atrasar",""),IF(AND((COUNTIF($DA17:$DD17,"Reação")+COUNTIF($EA17:$EB17,"Reação"))&gt;0,(COUNTIF($DA17:$DD17,"Atrasar")+COUNTIF($EA17:$EB17,"Atrasar"))&gt;0),"Reação não entra com Atrasar",""),IF(AND((COUNTIF($DA17:$DD17,"Reação")+COUNTIF($EA17:$EB17,"Reação"))&gt;0,(COUNTIF($DA17:$DD17,"Parado")+COUNTIF($EA17:$EB17,"Parado"))&gt;0),"Reação não entra com Parado",""),IF(AND(COUNTIF($EA17:$EB17,"Corpo a Corpo")&gt;0,$DV17=0,OR($CZ17="Cone",$CZ17="Linha")),"Corpo a Corpo não entra em "&amp;$CZ17,""),IF(AND(COUNTIF($EA17:$EB17,"Corpo a Corpo")&gt;0,$DV17=1),"A Forma "&amp;$CZ17&amp;" já traz o Corpo a Corpo",""),IF(AND(COUNTIF($EA17:$EB17,"Tudo ou Nada")&gt;0,$DX17=0),"Tudo ou Nada só entra em feitiço de Teste de Resistência",""),IF(AND(COUNTIF($DA17:$DD17,"Inescapável")&gt;0,OR($EK17&gt;1,$EL17&gt;0)),"Inescapável não aceita outra peça",""),IF(AND($CV17=1,$CX17&lt;3),"Liberação Máxima é de Classe 3 ou mais",""),IF(AND($CV17=1,OR($DW17=1,$DW17=2)),"Liberação Máxima não serve para cura",""),IF(AND($CV17=1,COUNTIF($DA17:$DD17,"Inescapável")+COUNTIF($DA17:$DD17,"Toca a Alma")&gt;0),"Esta peça não entra numa Liberação Máxima",""),IF($ES17+$ET17&gt;4*$CX17,($ES17+$ET17)&amp;" dados somando alvos e repetições: o teto da Classe "&amp;$CX17&amp;" é "&amp;4*$CX17,"")))</f>
        <v/>
      </c>
      <c r="FJ17" s="140">
        <f>IF($FI17="",0,(LEN($FI17)-LEN(SUBSTITUTE($FI17," · ","")))/3+1)</f>
        <v/>
      </c>
      <c r="FK17" s="140">
        <f>IF($DI17=0,"",TEXTJOIN(" · ",TRUE,IF($EN17&gt;2*$CX17,"A devolução parou no teto de "&amp;2*$CX17,""),IF($EQ17&gt;0,"Devolução perdida: "&amp;$EQ17&amp;IF($EQ17&gt;1," pontos"," ponto")&amp;" sem peça para pagar",""),IF(AND($DU17&gt;0,$ES17=0),"Controle sem dano: uma rodada a mais e CD +2",""),IF(AND($DU17&gt;0,$ES17&gt;0,$ES17&lt;=$CX17),"Controle com um quarto do teto: uma rodada a mais","")))</f>
        <v/>
      </c>
      <c r="FL17" s="140">
        <f>IF($FK17="",0,(LEN($FK17)-LEN(SUBSTITUTE($FK17," · ","")))/3+1)</f>
        <v/>
      </c>
      <c r="FM17" s="140">
        <f>IF($DI17=0,IF($EK17+$EL17-$DV17&gt;0,"dê um nome",""),IF($FJ17&gt;0,"⚠ "&amp;$FJ17&amp;IF($FJ17&gt;1," erros"," erro"),IF($FL17&gt;0,"! "&amp;$FL17&amp;IF($FL17&gt;1," avisos"," aviso"),"na regra")))</f>
        <v/>
      </c>
      <c r="FN17" s="140">
        <f>IF($DI17=0,"",IF($FJ17+$FL17=0,"Dentro das regras que a ficha confere",$FI17&amp;IF(AND($FJ17&gt;0,$FL17&gt;0)," · ","")&amp;$FK17))</f>
        <v/>
      </c>
      <c r="FO17" s="140">
        <f>IF($DI17=0,"",IF($CV17=1,CEILING(4.5*$CX17,1),3*$CX17)&amp;" PE")</f>
        <v/>
      </c>
      <c r="FP17" s="140">
        <f>IF($DI17=0,"",IF($CV17=1,"Rodada inteira",IF(COUNTIF($EA17:$EB17,"Atrasar")&gt;0,IF(COUNTIF($EA17:$EB17,"Carregar")&gt;0,"Rodada +1 turno","Rodada inteira"),IF(COUNTIF($DA17:$DD17,"Rápido")&gt;0,"Bônus",IF(COUNTIF($DA17:$DD17,"Reação")&gt;0,"Reação","Padrão"))&amp;IF(COUNTIF($EA17:$EB17,"Carregar")&gt;0," +1 turno",""))))</f>
        <v/>
      </c>
      <c r="FQ17" s="140">
        <f>IF(OR($DI17=0,$DJ17=0),"",IF(COUNTIF($DA17:$DD17,"Inescapável")&gt;0,"Automático",IF(COUNTIF($DA17:$DD17,"Certeiro")&gt;0,"TR para metade",INDEX($X$2:$X$11,$DJ17))))</f>
        <v/>
      </c>
      <c r="FR17" s="140">
        <f>IF(OR($DI17=0,$DJ17=0),"",IF(OR($DW17&gt;=2,$ES17=0),INDEX($FB17:$FH17,1,$CX17),INDEX($FB17:$FH17,1,$CX17)&amp;" = "&amp;FLOOR($ES17*4.5,1)&amp;IF($ET17&gt;0," · +"&amp;$ET17&amp;"d8","")))</f>
        <v/>
      </c>
      <c r="FS17" s="140">
        <f>COUNTIF($DA17:$DD17,"Longe")+3*COUNTIF($DA17:$DD17,"Muito Longe")</f>
        <v/>
      </c>
      <c r="FT17" s="140">
        <f>COUNTIF($DA17:$DD17,"Maior")+3*COUNTIF($DA17:$DD17,"Muito Maior")</f>
        <v/>
      </c>
      <c r="FU17" s="140">
        <f>IF($DJ17=0,0,CHOOSE(1+INDEX($Z$2:$Z$11,$DJ17),0,$FS17,$FT17,$FS17+$FT17))</f>
        <v/>
      </c>
      <c r="FV17" s="140">
        <f>IF($DJ17=0,0,CHOOSE(1+INDEX($AA$2:$AA$11,$DJ17),0,$FS17,$FT17,$FS17+$FT17))</f>
        <v/>
      </c>
      <c r="FW17" s="140">
        <f>IF(OR($DI17=0,$DJ17=0),"",INDEX($AH$2:$AM$31,($DJ17-1)*3+IF($CX17&gt;=6,3,2),1+MIN(5,$FU17))&amp;INDEX($AN$2:$AS$31,($DJ17-1)*3+IF($CX17&gt;=6,3,2),1+MIN(5,$FV17))&amp;IF(INDEX($AB$2:$AB$11,$DJ17)=1,IF(COUNTIF($DA17:$DD17,"Mais Um")&gt;0," · +"&amp;COUNTIF($DA17:$DD17,"Mais Um")&amp;IF(COUNTIF($DA17:$DD17,"Mais Um")&gt;1," alvos"," alvo"),"")&amp;IF(COUNTIF($DA17:$DD17,"Rajada")&gt;0," · "&amp;($CX17+1)&amp;" tiros",""),""))</f>
        <v/>
      </c>
      <c r="FX17" s="140">
        <f>IF($DI17=0,"",3*$CX17&amp;" − "&amp;$EM17&amp;" + "&amp;$EP17&amp;IF($CV17=1," + "&amp;$CX17,"")&amp;" = "&amp;$ES17&amp;"d8 · teto "&amp;4*$CX17&amp;IF($DV17=1," · a Forma devolve "&amp;$CX17,"")&amp;IF($EQ17&gt;0," · perde "&amp;$EQ17,""))</f>
        <v/>
      </c>
      <c r="FY17" s="140">
        <f>IF($DI17=0,"",IF($CX17&gt;=$GH$4,"Já está na maior Classe que o nível liberou",TEXTJOIN(" · ",TRUE,IF(AND(2&gt;$CX17,2&lt;=$GH$4),"2 → "&amp;$FC17&amp;", "&amp;IF($CV17=1,9,6)&amp;" PE",""),IF(AND(3&gt;$CX17,3&lt;=$GH$4),"3 → "&amp;$FD17&amp;", "&amp;IF($CV17=1,14,9)&amp;" PE",""),IF(AND(4&gt;$CX17,4&lt;=$GH$4),"4 → "&amp;$FE17&amp;", "&amp;IF($CV17=1,18,12)&amp;" PE",""),IF(AND(5&gt;$CX17,5&lt;=$GH$4),"5 → "&amp;$FF17&amp;", "&amp;IF($CV17=1,23,15)&amp;" PE",""),IF(AND(6&gt;$CX17,6&lt;=$GH$4),"6 → "&amp;$FG17&amp;", "&amp;IF($CV17=1,27,18)&amp;" PE",""),IF(AND(7&gt;$CX17,7&lt;=$GH$4),"7 → "&amp;$FH17&amp;", "&amp;IF($CV17=1,32,21)&amp;" PE",""))))</f>
        <v/>
      </c>
      <c r="FZ17" s="140">
        <f>IF(OR($DI17=0,$DL17=0),"","−"&amp;INDEX($I$2:$N$8,$CX17,$DL17)&amp;" · "&amp;CHOOSE($DL17,"Leve","Média","Pesada","Leve · Livre","Média · Livre","Pesada · Livre"))</f>
        <v/>
      </c>
      <c r="GA17" s="140">
        <f>IF(OR($DI17=0,$DM17=0),"","−"&amp;INDEX($I$2:$N$8,$CX17,$DM17)&amp;" · "&amp;CHOOSE($DM17,"Leve","Média","Pesada","Leve · Livre","Média · Livre","Pesada · Livre"))</f>
        <v/>
      </c>
      <c r="GB17" s="140">
        <f>IF(OR($DI17=0,$DN17=0),"","−"&amp;INDEX($I$2:$N$8,$CX17,$DN17)&amp;" · "&amp;CHOOSE($DN17,"Leve","Média","Pesada","Leve · Livre","Média · Livre","Pesada · Livre"))</f>
        <v/>
      </c>
      <c r="GC17" s="140">
        <f>IF(OR($DI17=0,$DO17=0),"","−"&amp;INDEX($I$2:$N$8,$CX17,$DO17)&amp;" · "&amp;CHOOSE($DO17,"Leve","Média","Pesada","Leve · Livre","Média · Livre","Pesada · Livre"))</f>
        <v/>
      </c>
      <c r="GD17" s="140">
        <f>IF(OR($DI17=0,$DE17=""),"",IF($DG17=1,"Selo","+"&amp;IF($DY17=1,CEILING($CX17/2,1),$CX17)))</f>
        <v/>
      </c>
      <c r="GE17" s="140">
        <f>IF(OR($DI17=0,$DF17=""),"",IF($DH17=1,"Selo","+"&amp;IF($DZ17=1,CEILING($CX17/2,1),$CX17)))</f>
        <v/>
      </c>
      <c r="GG17" s="114" t="inlineStr">
        <is>
          <t>espaços da regra própria</t>
        </is>
      </c>
      <c r="GH17" s="140">
        <f>MAX(0,$GH$16-1)</f>
        <v/>
      </c>
    </row>
    <row r="18">
      <c r="AG18" s="114" t="inlineStr">
        <is>
          <t>Linha · classes 1 a 5</t>
        </is>
      </c>
      <c r="AH18" s="114" t="inlineStr">
        <is>
          <t>linha de 18 m por 1,5 m</t>
        </is>
      </c>
      <c r="AI18" s="114" t="inlineStr">
        <is>
          <t>linha de 30 m por 1,5 m</t>
        </is>
      </c>
      <c r="AJ18" s="114" t="inlineStr">
        <is>
          <t>linha de 60 m por 1,5 m</t>
        </is>
      </c>
      <c r="AK18" s="114" t="inlineStr">
        <is>
          <t>linha de 60 m por 1,5 m</t>
        </is>
      </c>
      <c r="AL18" s="114" t="inlineStr">
        <is>
          <t>linha de 60 m por 1,5 m</t>
        </is>
      </c>
      <c r="AM18" s="114" t="inlineStr">
        <is>
          <t>linha de 60 m por 1,5 m</t>
        </is>
      </c>
      <c r="AN18" s="114" t="inlineStr"/>
      <c r="AO18" s="114" t="inlineStr"/>
      <c r="AP18" s="114" t="inlineStr"/>
      <c r="AQ18" s="114" t="inlineStr"/>
      <c r="AR18" s="114" t="inlineStr"/>
      <c r="AS18" s="114" t="inlineStr"/>
      <c r="AU18" s="114" t="inlineStr">
        <is>
          <t>Certeiro</t>
        </is>
      </c>
      <c r="AV18" s="114" t="inlineStr">
        <is>
          <t>Mira</t>
        </is>
      </c>
      <c r="AW18" s="140" t="n">
        <v>2</v>
      </c>
      <c r="AX18" s="140">
        <f>$AW18+3*IFERROR(VLOOKUP($AV18,$A$2:$D$10,3,FALSE),0)</f>
        <v/>
      </c>
      <c r="AY18" s="140">
        <f>IFERROR(VLOOKUP($AV18,$A$2:$D$10,4,FALSE),0)</f>
        <v/>
      </c>
      <c r="AZ18" s="140" t="n">
        <v>0</v>
      </c>
      <c r="BA18" s="140">
        <f>IF($AY18=1,"",$AU18)</f>
        <v/>
      </c>
      <c r="BB18" s="140">
        <f>IF(AND($AW18=1,$AY18=0),$AU18,"")</f>
        <v/>
      </c>
      <c r="BD18" s="114" t="inlineStr">
        <is>
          <t>Assinatura</t>
        </is>
      </c>
      <c r="BE18" s="114" t="inlineStr">
        <is>
          <t>Assinatura</t>
        </is>
      </c>
      <c r="BF18" s="140" t="n">
        <v>1</v>
      </c>
      <c r="BG18" s="140" t="n">
        <v>0</v>
      </c>
      <c r="BH18" s="114" t="inlineStr">
        <is>
          <t>Assinatura</t>
        </is>
      </c>
      <c r="BJ18" s="114" t="inlineStr">
        <is>
          <t>Passiva Própria (CP 1)</t>
        </is>
      </c>
      <c r="BK18" s="140" t="n">
        <v>1</v>
      </c>
      <c r="BL18" s="114" t="inlineStr">
        <is>
          <t>Qualquer outra coisa, montada com o mestre na escala das outras entradas desta tabela. Escreva a sua na caixa de baixo.</t>
        </is>
      </c>
      <c r="CU18" s="114" t="inlineStr">
        <is>
          <t>Feitiço 17</t>
        </is>
      </c>
      <c r="CV18" s="140" t="n">
        <v>0</v>
      </c>
      <c r="CW18" s="140" t="n">
        <v>17</v>
      </c>
      <c r="CX18" s="140">
        <f>MAX(1,MIN(7,N('FICHA AMALDIÇOADA'!$J$152)))</f>
        <v/>
      </c>
      <c r="CY18" s="140">
        <f>'FICHA AMALDIÇOADA'!$K$152&amp;""</f>
        <v/>
      </c>
      <c r="CZ18" s="140">
        <f>'FICHA AMALDIÇOADA'!$J$159&amp;""</f>
        <v/>
      </c>
      <c r="DA18" s="140">
        <f>'FICHA AMALDIÇOADA'!$K$161&amp;""</f>
        <v/>
      </c>
      <c r="DB18" s="140">
        <f>'FICHA AMALDIÇOADA'!$K$162&amp;""</f>
        <v/>
      </c>
      <c r="DC18" s="140">
        <f>'FICHA AMALDIÇOADA'!$K$163&amp;""</f>
        <v/>
      </c>
      <c r="DD18" s="140">
        <f>'FICHA AMALDIÇOADA'!$K$164&amp;""</f>
        <v/>
      </c>
      <c r="DE18" s="140">
        <f>'FICHA AMALDIÇOADA'!$K$165&amp;""</f>
        <v/>
      </c>
      <c r="DF18" s="140">
        <f>'FICHA AMALDIÇOADA'!$K$166&amp;""</f>
        <v/>
      </c>
      <c r="DG18" s="140">
        <f>IF('FICHA AMALDIÇOADA'!$N$165=TRUE,1,0)</f>
        <v/>
      </c>
      <c r="DH18" s="140">
        <f>IF('FICHA AMALDIÇOADA'!$N$166=TRUE,1,0)</f>
        <v/>
      </c>
      <c r="DI18" s="140">
        <f>IF($CY18&lt;&gt;"",1,0)</f>
        <v/>
      </c>
      <c r="DJ18" s="140">
        <f>IFERROR(MATCH($CZ18,$Q$2:$Q$11,0),0)</f>
        <v/>
      </c>
      <c r="DK18" s="140">
        <f>IF($DJ18=0,0,INDEX($T$2:$T$11,$DJ18))</f>
        <v/>
      </c>
      <c r="DL18" s="140">
        <f>IFERROR(VLOOKUP($DA18,$AU$2:$BB$84,4,FALSE),0)</f>
        <v/>
      </c>
      <c r="DM18" s="140">
        <f>IFERROR(VLOOKUP($DB18,$AU$2:$BB$84,4,FALSE),0)</f>
        <v/>
      </c>
      <c r="DN18" s="140">
        <f>IFERROR(VLOOKUP($DC18,$AU$2:$BB$84,4,FALSE),0)</f>
        <v/>
      </c>
      <c r="DO18" s="140">
        <f>IFERROR(VLOOKUP($DD18,$AU$2:$BB$84,4,FALSE),0)</f>
        <v/>
      </c>
      <c r="DP18" s="140">
        <f>IF($DJ18=0,0,INDEX($U$2:$U$11,$DJ18))</f>
        <v/>
      </c>
      <c r="DQ18" s="140">
        <f>IFERROR(VLOOKUP($DA18,$AU$2:$BB$84,5,FALSE),0)</f>
        <v/>
      </c>
      <c r="DR18" s="140">
        <f>IFERROR(VLOOKUP($DB18,$AU$2:$BB$84,5,FALSE),0)</f>
        <v/>
      </c>
      <c r="DS18" s="140">
        <f>IFERROR(VLOOKUP($DC18,$AU$2:$BB$84,5,FALSE),0)</f>
        <v/>
      </c>
      <c r="DT18" s="140">
        <f>IFERROR(VLOOKUP($DD18,$AU$2:$BB$84,5,FALSE),0)</f>
        <v/>
      </c>
      <c r="DU18" s="140">
        <f>IFERROR(VLOOKUP($DA18,$AU$2:$BB$84,6,FALSE),0)+IFERROR(VLOOKUP($DB18,$AU$2:$BB$84,6,FALSE),0)+IFERROR(VLOOKUP($DC18,$AU$2:$BB$84,6,FALSE),0)+IFERROR(VLOOKUP($DD18,$AU$2:$BB$84,6,FALSE),0)</f>
        <v/>
      </c>
      <c r="DV18" s="140">
        <f>IF($DJ18=0,0,INDEX($V$2:$V$11,$DJ18))</f>
        <v/>
      </c>
      <c r="DW18" s="140">
        <f>IF($DJ18=0,0,INDEX($W$2:$W$11,$DJ18))</f>
        <v/>
      </c>
      <c r="DX18" s="140">
        <f>IF($DJ18=0,0,INDEX($Y$2:$Y$11,$DJ18))</f>
        <v/>
      </c>
      <c r="DY18" s="140">
        <f>IF($DG18=1,0,IFERROR(VLOOKUP($DE18,$BD$2:$BH$24,3,FALSE),0))</f>
        <v/>
      </c>
      <c r="DZ18" s="140">
        <f>IF($DH18=1,0,IFERROR(VLOOKUP($DF18,$BD$2:$BH$24,3,FALSE),0))</f>
        <v/>
      </c>
      <c r="EA18" s="140">
        <f>IFERROR(VLOOKUP($DE18,$BD$2:$BH$24,2,FALSE),"")</f>
        <v/>
      </c>
      <c r="EB18" s="140">
        <f>IFERROR(VLOOKUP($DF18,$BD$2:$BH$24,2,FALSE),"")</f>
        <v/>
      </c>
      <c r="EC18" s="140">
        <f>COUNTIF($DK18:$DO18,1)</f>
        <v/>
      </c>
      <c r="ED18" s="140">
        <f>COUNTIF($DK18:$DO18,2)</f>
        <v/>
      </c>
      <c r="EE18" s="140">
        <f>COUNTIF($DK18:$DO18,3)</f>
        <v/>
      </c>
      <c r="EF18" s="140">
        <f>COUNTIF($DK18:$DO18,4)</f>
        <v/>
      </c>
      <c r="EG18" s="140">
        <f>COUNTIF($DK18:$DO18,5)</f>
        <v/>
      </c>
      <c r="EH18" s="140">
        <f>COUNTIF($DK18:$DO18,6)</f>
        <v/>
      </c>
      <c r="EI18" s="140">
        <f>COUNTIF($DY18:$DZ18,1)</f>
        <v/>
      </c>
      <c r="EJ18" s="140">
        <f>COUNTIF($DY18:$DZ18,2)+$DV18</f>
        <v/>
      </c>
      <c r="EK18" s="140">
        <f>COUNTIF($DA18:$DD18,"?*")</f>
        <v/>
      </c>
      <c r="EL18" s="140">
        <f>COUNTIF($DE18:$DF18,"?*")+$DV18</f>
        <v/>
      </c>
      <c r="EM18" s="140">
        <f>SUMPRODUCT($EC18:$EH18,INDEX($I$2:$N$8,$CX18,0))</f>
        <v/>
      </c>
      <c r="EN18" s="140">
        <f>$EI18*CEILING($CX18/2,1)+$EJ18*$CX18</f>
        <v/>
      </c>
      <c r="EO18" s="140">
        <f>MIN(2*$CX18,$EN18)</f>
        <v/>
      </c>
      <c r="EP18" s="140">
        <f>MIN($EO18,$EM18)</f>
        <v/>
      </c>
      <c r="EQ18" s="140">
        <f>$EO18-$EP18</f>
        <v/>
      </c>
      <c r="ER18" s="140">
        <f>3*$CX18-$EM18+$EP18</f>
        <v/>
      </c>
      <c r="ES18" s="140">
        <f>MAX(0,$ER18)+$CV18*$CX18</f>
        <v/>
      </c>
      <c r="ET18" s="140">
        <f>(IF(COUNTIF($DA18:$DD18,"Salto")&gt;0,1,0)+IF(COUNTIF($DA18:$DD18,"Queima")&gt;0,1,0))*FLOOR($ES18/2,1)</f>
        <v/>
      </c>
      <c r="EU18" s="140">
        <f>MAX(0,3-SUMPRODUCT($EC18:$EH18,$I$2:$N$2)+MIN(2,$EI18*1+$EJ18*1,SUMPRODUCT($EC18:$EH18,$I$2:$N$2)))+$CV18*1</f>
        <v/>
      </c>
      <c r="EV18" s="140">
        <f>MAX(0,6-SUMPRODUCT($EC18:$EH18,$I$3:$N$3)+MIN(4,$EI18*1+$EJ18*2,SUMPRODUCT($EC18:$EH18,$I$3:$N$3)))+$CV18*2</f>
        <v/>
      </c>
      <c r="EW18" s="140">
        <f>MAX(0,9-SUMPRODUCT($EC18:$EH18,$I$4:$N$4)+MIN(6,$EI18*2+$EJ18*3,SUMPRODUCT($EC18:$EH18,$I$4:$N$4)))+$CV18*3</f>
        <v/>
      </c>
      <c r="EX18" s="140">
        <f>MAX(0,12-SUMPRODUCT($EC18:$EH18,$I$5:$N$5)+MIN(8,$EI18*2+$EJ18*4,SUMPRODUCT($EC18:$EH18,$I$5:$N$5)))+$CV18*4</f>
        <v/>
      </c>
      <c r="EY18" s="140">
        <f>MAX(0,15-SUMPRODUCT($EC18:$EH18,$I$6:$N$6)+MIN(10,$EI18*3+$EJ18*5,SUMPRODUCT($EC18:$EH18,$I$6:$N$6)))+$CV18*5</f>
        <v/>
      </c>
      <c r="EZ18" s="140">
        <f>MAX(0,18-SUMPRODUCT($EC18:$EH18,$I$7:$N$7)+MIN(12,$EI18*3+$EJ18*6,SUMPRODUCT($EC18:$EH18,$I$7:$N$7)))+$CV18*6</f>
        <v/>
      </c>
      <c r="FA18" s="140">
        <f>MAX(0,21-SUMPRODUCT($EC18:$EH18,$I$8:$N$8)+MIN(14,$EI18*4+$EJ18*7,SUMPRODUCT($EC18:$EH18,$I$8:$N$8)))+$CV18*7</f>
        <v/>
      </c>
      <c r="FB18" s="140">
        <f>IF($DW18=2,3*$EU18&amp;" de vida temp.",IF($DW18=3,"sem dano",IF($EU18=0,IF($DW18=1,"sem cura","sem dano"),IF($DW18=1,"cura ","")&amp;$EU18&amp;"d8")))</f>
        <v/>
      </c>
      <c r="FC18" s="140">
        <f>IF($DW18=2,3*$EV18&amp;" de vida temp.",IF($DW18=3,"sem dano",IF($EV18=0,IF($DW18=1,"sem cura","sem dano"),IF($DW18=1,"cura ","")&amp;$EV18&amp;"d8")))</f>
        <v/>
      </c>
      <c r="FD18" s="140">
        <f>IF($DW18=2,3*$EW18&amp;" de vida temp.",IF($DW18=3,"sem dano",IF($EW18=0,IF($DW18=1,"sem cura","sem dano"),IF($DW18=1,"cura ","")&amp;$EW18&amp;"d8")))</f>
        <v/>
      </c>
      <c r="FE18" s="140">
        <f>IF($DW18=2,3*$EX18&amp;" de vida temp.",IF($DW18=3,"sem dano",IF($EX18=0,IF($DW18=1,"sem cura","sem dano"),IF($DW18=1,"cura ","")&amp;$EX18&amp;"d8")))</f>
        <v/>
      </c>
      <c r="FF18" s="140">
        <f>IF($DW18=2,3*$EY18&amp;" de vida temp.",IF($DW18=3,"sem dano",IF($EY18=0,IF($DW18=1,"sem cura","sem dano"),IF($DW18=1,"cura ","")&amp;$EY18&amp;"d8")))</f>
        <v/>
      </c>
      <c r="FG18" s="140">
        <f>IF($DW18=2,3*$EZ18&amp;" de vida temp.",IF($DW18=3,"sem dano",IF($EZ18=0,IF($DW18=1,"sem cura","sem dano"),IF($DW18=1,"cura ","")&amp;$EZ18&amp;"d8")))</f>
        <v/>
      </c>
      <c r="FH18" s="140">
        <f>IF($DW18=2,3*$FA18&amp;" de vida temp.",IF($DW18=3,"sem dano",IF($FA18=0,IF($DW18=1,"sem cura","sem dano"),IF($DW18=1,"cura ","")&amp;$FA18&amp;"d8")))</f>
        <v/>
      </c>
      <c r="FI18" s="140">
        <f>IF($DI18=0,"",TEXTJOIN(" · ",TRUE,IF(AND($CV18=1,$CW18&gt;$GH$9),"O nível "&amp;$GH$2&amp;" dá "&amp;$GH$9&amp;" Liberação Máxima",""),IF($CX18&gt;$GH$4,"Classe "&amp;$CX18&amp;": o nível "&amp;$GH$2&amp;" libera até a "&amp;$GH$4,""),IF($DP18=1,"Família Fechada: a Forma "&amp;$CZ18,""),IF($DQ18=1,"Família Fechada: "&amp;$DA18,""),IF($DR18=1,"Família Fechada: "&amp;$DB18,""),IF($DS18=1,"Família Fechada: "&amp;$DC18,""),IF($DT18=1,"Família Fechada: "&amp;$DD18,""),IF($EK18&gt;INDEX($O$2:$O$8,$CX18),$EK18&amp;" Melhorias: a Classe "&amp;$CX18&amp;" aceita "&amp;INDEX($O$2:$O$8,$CX18),""),IF($EL18&gt;2,$EL18&amp;" Restrições"&amp;IF($DV18=1,", contando a que a Forma "&amp;$CZ18&amp;" já traz","")&amp;": o limite é 2",""),IF($ER18&lt;0,"Orçamento estourado: faltam "&amp;(-$ER18)&amp;IF($ER18&lt;-1," pontos"," ponto"),""),IF(IFERROR(VLOOKUP($DE18,$BD$2:$BH$24,4,FALSE),0)+IFERROR(VLOOKUP($DF18,$BD$2:$BH$24,4,FALSE),0)&gt;1,$EA18&amp;" e "&amp;$EB18&amp;" são as duas de frequência",""),IF(AND((COUNTIF($DA18:$DD18,"Rápido")+COUNTIF($EA18:$EB18,"Rápido"))&gt;0,(COUNTIF($DA18:$DD18,"Reação")+COUNTIF($EA18:$EB18,"Reação"))&gt;0),"Rápido não entra com Reação",""),IF(AND((COUNTIF($DA18:$DD18,"Rápido")+COUNTIF($EA18:$EB18,"Rápido"))&gt;0,(COUNTIF($DA18:$DD18,"Atrasar")+COUNTIF($EA18:$EB18,"Atrasar"))&gt;0),"Rápido não entra com Atrasar",""),IF(AND((COUNTIF($DA18:$DD18,"Reação")+COUNTIF($EA18:$EB18,"Reação"))&gt;0,(COUNTIF($DA18:$DD18,"Atrasar")+COUNTIF($EA18:$EB18,"Atrasar"))&gt;0),"Reação não entra com Atrasar",""),IF(AND((COUNTIF($DA18:$DD18,"Reação")+COUNTIF($EA18:$EB18,"Reação"))&gt;0,(COUNTIF($DA18:$DD18,"Parado")+COUNTIF($EA18:$EB18,"Parado"))&gt;0),"Reação não entra com Parado",""),IF(AND(COUNTIF($EA18:$EB18,"Corpo a Corpo")&gt;0,$DV18=0,OR($CZ18="Cone",$CZ18="Linha")),"Corpo a Corpo não entra em "&amp;$CZ18,""),IF(AND(COUNTIF($EA18:$EB18,"Corpo a Corpo")&gt;0,$DV18=1),"A Forma "&amp;$CZ18&amp;" já traz o Corpo a Corpo",""),IF(AND(COUNTIF($EA18:$EB18,"Tudo ou Nada")&gt;0,$DX18=0),"Tudo ou Nada só entra em feitiço de Teste de Resistência",""),IF(AND(COUNTIF($DA18:$DD18,"Inescapável")&gt;0,OR($EK18&gt;1,$EL18&gt;0)),"Inescapável não aceita outra peça",""),IF(AND($CV18=1,$CX18&lt;3),"Liberação Máxima é de Classe 3 ou mais",""),IF(AND($CV18=1,OR($DW18=1,$DW18=2)),"Liberação Máxima não serve para cura",""),IF(AND($CV18=1,COUNTIF($DA18:$DD18,"Inescapável")+COUNTIF($DA18:$DD18,"Toca a Alma")&gt;0),"Esta peça não entra numa Liberação Máxima",""),IF($ES18+$ET18&gt;4*$CX18,($ES18+$ET18)&amp;" dados somando alvos e repetições: o teto da Classe "&amp;$CX18&amp;" é "&amp;4*$CX18,"")))</f>
        <v/>
      </c>
      <c r="FJ18" s="140">
        <f>IF($FI18="",0,(LEN($FI18)-LEN(SUBSTITUTE($FI18," · ","")))/3+1)</f>
        <v/>
      </c>
      <c r="FK18" s="140">
        <f>IF($DI18=0,"",TEXTJOIN(" · ",TRUE,IF($EN18&gt;2*$CX18,"A devolução parou no teto de "&amp;2*$CX18,""),IF($EQ18&gt;0,"Devolução perdida: "&amp;$EQ18&amp;IF($EQ18&gt;1," pontos"," ponto")&amp;" sem peça para pagar",""),IF(AND($DU18&gt;0,$ES18=0),"Controle sem dano: uma rodada a mais e CD +2",""),IF(AND($DU18&gt;0,$ES18&gt;0,$ES18&lt;=$CX18),"Controle com um quarto do teto: uma rodada a mais","")))</f>
        <v/>
      </c>
      <c r="FL18" s="140">
        <f>IF($FK18="",0,(LEN($FK18)-LEN(SUBSTITUTE($FK18," · ","")))/3+1)</f>
        <v/>
      </c>
      <c r="FM18" s="140">
        <f>IF($DI18=0,IF($EK18+$EL18-$DV18&gt;0,"dê um nome",""),IF($FJ18&gt;0,"⚠ "&amp;$FJ18&amp;IF($FJ18&gt;1," erros"," erro"),IF($FL18&gt;0,"! "&amp;$FL18&amp;IF($FL18&gt;1," avisos"," aviso"),"na regra")))</f>
        <v/>
      </c>
      <c r="FN18" s="140">
        <f>IF($DI18=0,"",IF($FJ18+$FL18=0,"Dentro das regras que a ficha confere",$FI18&amp;IF(AND($FJ18&gt;0,$FL18&gt;0)," · ","")&amp;$FK18))</f>
        <v/>
      </c>
      <c r="FO18" s="140">
        <f>IF($DI18=0,"",IF($CV18=1,CEILING(4.5*$CX18,1),3*$CX18)&amp;" PE")</f>
        <v/>
      </c>
      <c r="FP18" s="140">
        <f>IF($DI18=0,"",IF($CV18=1,"Rodada inteira",IF(COUNTIF($EA18:$EB18,"Atrasar")&gt;0,IF(COUNTIF($EA18:$EB18,"Carregar")&gt;0,"Rodada +1 turno","Rodada inteira"),IF(COUNTIF($DA18:$DD18,"Rápido")&gt;0,"Bônus",IF(COUNTIF($DA18:$DD18,"Reação")&gt;0,"Reação","Padrão"))&amp;IF(COUNTIF($EA18:$EB18,"Carregar")&gt;0," +1 turno",""))))</f>
        <v/>
      </c>
      <c r="FQ18" s="140">
        <f>IF(OR($DI18=0,$DJ18=0),"",IF(COUNTIF($DA18:$DD18,"Inescapável")&gt;0,"Automático",IF(COUNTIF($DA18:$DD18,"Certeiro")&gt;0,"TR para metade",INDEX($X$2:$X$11,$DJ18))))</f>
        <v/>
      </c>
      <c r="FR18" s="140">
        <f>IF(OR($DI18=0,$DJ18=0),"",IF(OR($DW18&gt;=2,$ES18=0),INDEX($FB18:$FH18,1,$CX18),INDEX($FB18:$FH18,1,$CX18)&amp;" = "&amp;FLOOR($ES18*4.5,1)&amp;IF($ET18&gt;0," · +"&amp;$ET18&amp;"d8","")))</f>
        <v/>
      </c>
      <c r="FS18" s="140">
        <f>COUNTIF($DA18:$DD18,"Longe")+3*COUNTIF($DA18:$DD18,"Muito Longe")</f>
        <v/>
      </c>
      <c r="FT18" s="140">
        <f>COUNTIF($DA18:$DD18,"Maior")+3*COUNTIF($DA18:$DD18,"Muito Maior")</f>
        <v/>
      </c>
      <c r="FU18" s="140">
        <f>IF($DJ18=0,0,CHOOSE(1+INDEX($Z$2:$Z$11,$DJ18),0,$FS18,$FT18,$FS18+$FT18))</f>
        <v/>
      </c>
      <c r="FV18" s="140">
        <f>IF($DJ18=0,0,CHOOSE(1+INDEX($AA$2:$AA$11,$DJ18),0,$FS18,$FT18,$FS18+$FT18))</f>
        <v/>
      </c>
      <c r="FW18" s="140">
        <f>IF(OR($DI18=0,$DJ18=0),"",INDEX($AH$2:$AM$31,($DJ18-1)*3+IF($CX18&gt;=6,3,2),1+MIN(5,$FU18))&amp;INDEX($AN$2:$AS$31,($DJ18-1)*3+IF($CX18&gt;=6,3,2),1+MIN(5,$FV18))&amp;IF(INDEX($AB$2:$AB$11,$DJ18)=1,IF(COUNTIF($DA18:$DD18,"Mais Um")&gt;0," · +"&amp;COUNTIF($DA18:$DD18,"Mais Um")&amp;IF(COUNTIF($DA18:$DD18,"Mais Um")&gt;1," alvos"," alvo"),"")&amp;IF(COUNTIF($DA18:$DD18,"Rajada")&gt;0," · "&amp;($CX18+1)&amp;" tiros",""),""))</f>
        <v/>
      </c>
      <c r="FX18" s="140">
        <f>IF($DI18=0,"",3*$CX18&amp;" − "&amp;$EM18&amp;" + "&amp;$EP18&amp;IF($CV18=1," + "&amp;$CX18,"")&amp;" = "&amp;$ES18&amp;"d8 · teto "&amp;4*$CX18&amp;IF($DV18=1," · a Forma devolve "&amp;$CX18,"")&amp;IF($EQ18&gt;0," · perde "&amp;$EQ18,""))</f>
        <v/>
      </c>
      <c r="FY18" s="140">
        <f>IF($DI18=0,"",IF($CX18&gt;=$GH$4,"Já está na maior Classe que o nível liberou",TEXTJOIN(" · ",TRUE,IF(AND(2&gt;$CX18,2&lt;=$GH$4),"2 → "&amp;$FC18&amp;", "&amp;IF($CV18=1,9,6)&amp;" PE",""),IF(AND(3&gt;$CX18,3&lt;=$GH$4),"3 → "&amp;$FD18&amp;", "&amp;IF($CV18=1,14,9)&amp;" PE",""),IF(AND(4&gt;$CX18,4&lt;=$GH$4),"4 → "&amp;$FE18&amp;", "&amp;IF($CV18=1,18,12)&amp;" PE",""),IF(AND(5&gt;$CX18,5&lt;=$GH$4),"5 → "&amp;$FF18&amp;", "&amp;IF($CV18=1,23,15)&amp;" PE",""),IF(AND(6&gt;$CX18,6&lt;=$GH$4),"6 → "&amp;$FG18&amp;", "&amp;IF($CV18=1,27,18)&amp;" PE",""),IF(AND(7&gt;$CX18,7&lt;=$GH$4),"7 → "&amp;$FH18&amp;", "&amp;IF($CV18=1,32,21)&amp;" PE",""))))</f>
        <v/>
      </c>
      <c r="FZ18" s="140">
        <f>IF(OR($DI18=0,$DL18=0),"","−"&amp;INDEX($I$2:$N$8,$CX18,$DL18)&amp;" · "&amp;CHOOSE($DL18,"Leve","Média","Pesada","Leve · Livre","Média · Livre","Pesada · Livre"))</f>
        <v/>
      </c>
      <c r="GA18" s="140">
        <f>IF(OR($DI18=0,$DM18=0),"","−"&amp;INDEX($I$2:$N$8,$CX18,$DM18)&amp;" · "&amp;CHOOSE($DM18,"Leve","Média","Pesada","Leve · Livre","Média · Livre","Pesada · Livre"))</f>
        <v/>
      </c>
      <c r="GB18" s="140">
        <f>IF(OR($DI18=0,$DN18=0),"","−"&amp;INDEX($I$2:$N$8,$CX18,$DN18)&amp;" · "&amp;CHOOSE($DN18,"Leve","Média","Pesada","Leve · Livre","Média · Livre","Pesada · Livre"))</f>
        <v/>
      </c>
      <c r="GC18" s="140">
        <f>IF(OR($DI18=0,$DO18=0),"","−"&amp;INDEX($I$2:$N$8,$CX18,$DO18)&amp;" · "&amp;CHOOSE($DO18,"Leve","Média","Pesada","Leve · Livre","Média · Livre","Pesada · Livre"))</f>
        <v/>
      </c>
      <c r="GD18" s="140">
        <f>IF(OR($DI18=0,$DE18=""),"",IF($DG18=1,"Selo","+"&amp;IF($DY18=1,CEILING($CX18/2,1),$CX18)))</f>
        <v/>
      </c>
      <c r="GE18" s="140">
        <f>IF(OR($DI18=0,$DF18=""),"",IF($DH18=1,"Selo","+"&amp;IF($DZ18=1,CEILING($CX18/2,1),$CX18)))</f>
        <v/>
      </c>
      <c r="GG18" s="114" t="inlineStr">
        <is>
          <t>espaços em passivas</t>
        </is>
      </c>
      <c r="GH18" s="140">
        <f>IFERROR(VLOOKUP('FICHA AMALDIÇOADA'!$D$373,$BJ$2:$BL$20,2,FALSE),0)+IFERROR(VLOOKUP('FICHA AMALDIÇOADA'!$J$373,$BJ$2:$BL$20,2,FALSE),0)+IFERROR(VLOOKUP('FICHA AMALDIÇOADA'!$P$373,$BJ$2:$BL$20,2,FALSE),0)+IFERROR(VLOOKUP('FICHA AMALDIÇOADA'!$D$381,$BJ$2:$BL$20,2,FALSE),0)+IFERROR(VLOOKUP('FICHA AMALDIÇOADA'!$J$381,$BJ$2:$BL$20,2,FALSE),0)+$GH$17</f>
        <v/>
      </c>
    </row>
    <row r="19">
      <c r="AG19" s="114" t="inlineStr">
        <is>
          <t>Linha · classes 6 e 7</t>
        </is>
      </c>
      <c r="AH19" s="114" t="inlineStr">
        <is>
          <t>linha de 30 m por 1,5 m</t>
        </is>
      </c>
      <c r="AI19" s="114" t="inlineStr">
        <is>
          <t>linha de 60 m por 1,5 m</t>
        </is>
      </c>
      <c r="AJ19" s="114" t="inlineStr">
        <is>
          <t>linha de 60 m por 1,5 m</t>
        </is>
      </c>
      <c r="AK19" s="114" t="inlineStr">
        <is>
          <t>linha de 60 m por 1,5 m</t>
        </is>
      </c>
      <c r="AL19" s="114" t="inlineStr">
        <is>
          <t>linha de 60 m por 1,5 m</t>
        </is>
      </c>
      <c r="AM19" s="114" t="inlineStr">
        <is>
          <t>linha de 60 m por 1,5 m</t>
        </is>
      </c>
      <c r="AN19" s="114" t="inlineStr"/>
      <c r="AO19" s="114" t="inlineStr"/>
      <c r="AP19" s="114" t="inlineStr"/>
      <c r="AQ19" s="114" t="inlineStr"/>
      <c r="AR19" s="114" t="inlineStr"/>
      <c r="AS19" s="114" t="inlineStr"/>
      <c r="AU19" s="114" t="inlineStr">
        <is>
          <t>Inescapável</t>
        </is>
      </c>
      <c r="AV19" s="114" t="inlineStr">
        <is>
          <t>Mira</t>
        </is>
      </c>
      <c r="AW19" s="140" t="n">
        <v>2</v>
      </c>
      <c r="AX19" s="140">
        <f>$AW19+3*IFERROR(VLOOKUP($AV19,$A$2:$D$10,3,FALSE),0)</f>
        <v/>
      </c>
      <c r="AY19" s="140">
        <f>IFERROR(VLOOKUP($AV19,$A$2:$D$10,4,FALSE),0)</f>
        <v/>
      </c>
      <c r="AZ19" s="140" t="n">
        <v>0</v>
      </c>
      <c r="BA19" s="140">
        <f>IF($AY19=1,"",$AU19)</f>
        <v/>
      </c>
      <c r="BB19" s="140">
        <f>IF(AND($AW19=1,$AY19=0),$AU19,"")</f>
        <v/>
      </c>
      <c r="BD19" s="114" t="inlineStr">
        <is>
          <t>Aquecer</t>
        </is>
      </c>
      <c r="BE19" s="114" t="inlineStr">
        <is>
          <t>Aquecer</t>
        </is>
      </c>
      <c r="BF19" s="140" t="n">
        <v>1</v>
      </c>
      <c r="BG19" s="140" t="n">
        <v>1</v>
      </c>
      <c r="BH19" s="114" t="inlineStr">
        <is>
          <t>Aquecer</t>
        </is>
      </c>
      <c r="BJ19" s="114" t="inlineStr">
        <is>
          <t>Passiva Própria (CP 2)</t>
        </is>
      </c>
      <c r="BK19" s="140" t="n">
        <v>2</v>
      </c>
      <c r="BL19" s="114" t="inlineStr">
        <is>
          <t>Qualquer outra coisa, montada com o mestre na escala das outras entradas desta tabela. Escreva a sua na caixa de baixo.</t>
        </is>
      </c>
      <c r="CU19" s="114" t="inlineStr">
        <is>
          <t>Feitiço 18</t>
        </is>
      </c>
      <c r="CV19" s="140" t="n">
        <v>0</v>
      </c>
      <c r="CW19" s="140" t="n">
        <v>18</v>
      </c>
      <c r="CX19" s="140">
        <f>MAX(1,MIN(7,N('FICHA AMALDIÇOADA'!$P$152)))</f>
        <v/>
      </c>
      <c r="CY19" s="140">
        <f>'FICHA AMALDIÇOADA'!$Q$152&amp;""</f>
        <v/>
      </c>
      <c r="CZ19" s="140">
        <f>'FICHA AMALDIÇOADA'!$P$159&amp;""</f>
        <v/>
      </c>
      <c r="DA19" s="140">
        <f>'FICHA AMALDIÇOADA'!$Q$161&amp;""</f>
        <v/>
      </c>
      <c r="DB19" s="140">
        <f>'FICHA AMALDIÇOADA'!$Q$162&amp;""</f>
        <v/>
      </c>
      <c r="DC19" s="140">
        <f>'FICHA AMALDIÇOADA'!$Q$163&amp;""</f>
        <v/>
      </c>
      <c r="DD19" s="140">
        <f>'FICHA AMALDIÇOADA'!$Q$164&amp;""</f>
        <v/>
      </c>
      <c r="DE19" s="140">
        <f>'FICHA AMALDIÇOADA'!$Q$165&amp;""</f>
        <v/>
      </c>
      <c r="DF19" s="140">
        <f>'FICHA AMALDIÇOADA'!$Q$166&amp;""</f>
        <v/>
      </c>
      <c r="DG19" s="140">
        <f>IF('FICHA AMALDIÇOADA'!$T$165=TRUE,1,0)</f>
        <v/>
      </c>
      <c r="DH19" s="140">
        <f>IF('FICHA AMALDIÇOADA'!$T$166=TRUE,1,0)</f>
        <v/>
      </c>
      <c r="DI19" s="140">
        <f>IF($CY19&lt;&gt;"",1,0)</f>
        <v/>
      </c>
      <c r="DJ19" s="140">
        <f>IFERROR(MATCH($CZ19,$Q$2:$Q$11,0),0)</f>
        <v/>
      </c>
      <c r="DK19" s="140">
        <f>IF($DJ19=0,0,INDEX($T$2:$T$11,$DJ19))</f>
        <v/>
      </c>
      <c r="DL19" s="140">
        <f>IFERROR(VLOOKUP($DA19,$AU$2:$BB$84,4,FALSE),0)</f>
        <v/>
      </c>
      <c r="DM19" s="140">
        <f>IFERROR(VLOOKUP($DB19,$AU$2:$BB$84,4,FALSE),0)</f>
        <v/>
      </c>
      <c r="DN19" s="140">
        <f>IFERROR(VLOOKUP($DC19,$AU$2:$BB$84,4,FALSE),0)</f>
        <v/>
      </c>
      <c r="DO19" s="140">
        <f>IFERROR(VLOOKUP($DD19,$AU$2:$BB$84,4,FALSE),0)</f>
        <v/>
      </c>
      <c r="DP19" s="140">
        <f>IF($DJ19=0,0,INDEX($U$2:$U$11,$DJ19))</f>
        <v/>
      </c>
      <c r="DQ19" s="140">
        <f>IFERROR(VLOOKUP($DA19,$AU$2:$BB$84,5,FALSE),0)</f>
        <v/>
      </c>
      <c r="DR19" s="140">
        <f>IFERROR(VLOOKUP($DB19,$AU$2:$BB$84,5,FALSE),0)</f>
        <v/>
      </c>
      <c r="DS19" s="140">
        <f>IFERROR(VLOOKUP($DC19,$AU$2:$BB$84,5,FALSE),0)</f>
        <v/>
      </c>
      <c r="DT19" s="140">
        <f>IFERROR(VLOOKUP($DD19,$AU$2:$BB$84,5,FALSE),0)</f>
        <v/>
      </c>
      <c r="DU19" s="140">
        <f>IFERROR(VLOOKUP($DA19,$AU$2:$BB$84,6,FALSE),0)+IFERROR(VLOOKUP($DB19,$AU$2:$BB$84,6,FALSE),0)+IFERROR(VLOOKUP($DC19,$AU$2:$BB$84,6,FALSE),0)+IFERROR(VLOOKUP($DD19,$AU$2:$BB$84,6,FALSE),0)</f>
        <v/>
      </c>
      <c r="DV19" s="140">
        <f>IF($DJ19=0,0,INDEX($V$2:$V$11,$DJ19))</f>
        <v/>
      </c>
      <c r="DW19" s="140">
        <f>IF($DJ19=0,0,INDEX($W$2:$W$11,$DJ19))</f>
        <v/>
      </c>
      <c r="DX19" s="140">
        <f>IF($DJ19=0,0,INDEX($Y$2:$Y$11,$DJ19))</f>
        <v/>
      </c>
      <c r="DY19" s="140">
        <f>IF($DG19=1,0,IFERROR(VLOOKUP($DE19,$BD$2:$BH$24,3,FALSE),0))</f>
        <v/>
      </c>
      <c r="DZ19" s="140">
        <f>IF($DH19=1,0,IFERROR(VLOOKUP($DF19,$BD$2:$BH$24,3,FALSE),0))</f>
        <v/>
      </c>
      <c r="EA19" s="140">
        <f>IFERROR(VLOOKUP($DE19,$BD$2:$BH$24,2,FALSE),"")</f>
        <v/>
      </c>
      <c r="EB19" s="140">
        <f>IFERROR(VLOOKUP($DF19,$BD$2:$BH$24,2,FALSE),"")</f>
        <v/>
      </c>
      <c r="EC19" s="140">
        <f>COUNTIF($DK19:$DO19,1)</f>
        <v/>
      </c>
      <c r="ED19" s="140">
        <f>COUNTIF($DK19:$DO19,2)</f>
        <v/>
      </c>
      <c r="EE19" s="140">
        <f>COUNTIF($DK19:$DO19,3)</f>
        <v/>
      </c>
      <c r="EF19" s="140">
        <f>COUNTIF($DK19:$DO19,4)</f>
        <v/>
      </c>
      <c r="EG19" s="140">
        <f>COUNTIF($DK19:$DO19,5)</f>
        <v/>
      </c>
      <c r="EH19" s="140">
        <f>COUNTIF($DK19:$DO19,6)</f>
        <v/>
      </c>
      <c r="EI19" s="140">
        <f>COUNTIF($DY19:$DZ19,1)</f>
        <v/>
      </c>
      <c r="EJ19" s="140">
        <f>COUNTIF($DY19:$DZ19,2)+$DV19</f>
        <v/>
      </c>
      <c r="EK19" s="140">
        <f>COUNTIF($DA19:$DD19,"?*")</f>
        <v/>
      </c>
      <c r="EL19" s="140">
        <f>COUNTIF($DE19:$DF19,"?*")+$DV19</f>
        <v/>
      </c>
      <c r="EM19" s="140">
        <f>SUMPRODUCT($EC19:$EH19,INDEX($I$2:$N$8,$CX19,0))</f>
        <v/>
      </c>
      <c r="EN19" s="140">
        <f>$EI19*CEILING($CX19/2,1)+$EJ19*$CX19</f>
        <v/>
      </c>
      <c r="EO19" s="140">
        <f>MIN(2*$CX19,$EN19)</f>
        <v/>
      </c>
      <c r="EP19" s="140">
        <f>MIN($EO19,$EM19)</f>
        <v/>
      </c>
      <c r="EQ19" s="140">
        <f>$EO19-$EP19</f>
        <v/>
      </c>
      <c r="ER19" s="140">
        <f>3*$CX19-$EM19+$EP19</f>
        <v/>
      </c>
      <c r="ES19" s="140">
        <f>MAX(0,$ER19)+$CV19*$CX19</f>
        <v/>
      </c>
      <c r="ET19" s="140">
        <f>(IF(COUNTIF($DA19:$DD19,"Salto")&gt;0,1,0)+IF(COUNTIF($DA19:$DD19,"Queima")&gt;0,1,0))*FLOOR($ES19/2,1)</f>
        <v/>
      </c>
      <c r="EU19" s="140">
        <f>MAX(0,3-SUMPRODUCT($EC19:$EH19,$I$2:$N$2)+MIN(2,$EI19*1+$EJ19*1,SUMPRODUCT($EC19:$EH19,$I$2:$N$2)))+$CV19*1</f>
        <v/>
      </c>
      <c r="EV19" s="140">
        <f>MAX(0,6-SUMPRODUCT($EC19:$EH19,$I$3:$N$3)+MIN(4,$EI19*1+$EJ19*2,SUMPRODUCT($EC19:$EH19,$I$3:$N$3)))+$CV19*2</f>
        <v/>
      </c>
      <c r="EW19" s="140">
        <f>MAX(0,9-SUMPRODUCT($EC19:$EH19,$I$4:$N$4)+MIN(6,$EI19*2+$EJ19*3,SUMPRODUCT($EC19:$EH19,$I$4:$N$4)))+$CV19*3</f>
        <v/>
      </c>
      <c r="EX19" s="140">
        <f>MAX(0,12-SUMPRODUCT($EC19:$EH19,$I$5:$N$5)+MIN(8,$EI19*2+$EJ19*4,SUMPRODUCT($EC19:$EH19,$I$5:$N$5)))+$CV19*4</f>
        <v/>
      </c>
      <c r="EY19" s="140">
        <f>MAX(0,15-SUMPRODUCT($EC19:$EH19,$I$6:$N$6)+MIN(10,$EI19*3+$EJ19*5,SUMPRODUCT($EC19:$EH19,$I$6:$N$6)))+$CV19*5</f>
        <v/>
      </c>
      <c r="EZ19" s="140">
        <f>MAX(0,18-SUMPRODUCT($EC19:$EH19,$I$7:$N$7)+MIN(12,$EI19*3+$EJ19*6,SUMPRODUCT($EC19:$EH19,$I$7:$N$7)))+$CV19*6</f>
        <v/>
      </c>
      <c r="FA19" s="140">
        <f>MAX(0,21-SUMPRODUCT($EC19:$EH19,$I$8:$N$8)+MIN(14,$EI19*4+$EJ19*7,SUMPRODUCT($EC19:$EH19,$I$8:$N$8)))+$CV19*7</f>
        <v/>
      </c>
      <c r="FB19" s="140">
        <f>IF($DW19=2,3*$EU19&amp;" de vida temp.",IF($DW19=3,"sem dano",IF($EU19=0,IF($DW19=1,"sem cura","sem dano"),IF($DW19=1,"cura ","")&amp;$EU19&amp;"d8")))</f>
        <v/>
      </c>
      <c r="FC19" s="140">
        <f>IF($DW19=2,3*$EV19&amp;" de vida temp.",IF($DW19=3,"sem dano",IF($EV19=0,IF($DW19=1,"sem cura","sem dano"),IF($DW19=1,"cura ","")&amp;$EV19&amp;"d8")))</f>
        <v/>
      </c>
      <c r="FD19" s="140">
        <f>IF($DW19=2,3*$EW19&amp;" de vida temp.",IF($DW19=3,"sem dano",IF($EW19=0,IF($DW19=1,"sem cura","sem dano"),IF($DW19=1,"cura ","")&amp;$EW19&amp;"d8")))</f>
        <v/>
      </c>
      <c r="FE19" s="140">
        <f>IF($DW19=2,3*$EX19&amp;" de vida temp.",IF($DW19=3,"sem dano",IF($EX19=0,IF($DW19=1,"sem cura","sem dano"),IF($DW19=1,"cura ","")&amp;$EX19&amp;"d8")))</f>
        <v/>
      </c>
      <c r="FF19" s="140">
        <f>IF($DW19=2,3*$EY19&amp;" de vida temp.",IF($DW19=3,"sem dano",IF($EY19=0,IF($DW19=1,"sem cura","sem dano"),IF($DW19=1,"cura ","")&amp;$EY19&amp;"d8")))</f>
        <v/>
      </c>
      <c r="FG19" s="140">
        <f>IF($DW19=2,3*$EZ19&amp;" de vida temp.",IF($DW19=3,"sem dano",IF($EZ19=0,IF($DW19=1,"sem cura","sem dano"),IF($DW19=1,"cura ","")&amp;$EZ19&amp;"d8")))</f>
        <v/>
      </c>
      <c r="FH19" s="140">
        <f>IF($DW19=2,3*$FA19&amp;" de vida temp.",IF($DW19=3,"sem dano",IF($FA19=0,IF($DW19=1,"sem cura","sem dano"),IF($DW19=1,"cura ","")&amp;$FA19&amp;"d8")))</f>
        <v/>
      </c>
      <c r="FI19" s="140">
        <f>IF($DI19=0,"",TEXTJOIN(" · ",TRUE,IF(AND($CV19=1,$CW19&gt;$GH$9),"O nível "&amp;$GH$2&amp;" dá "&amp;$GH$9&amp;" Liberação Máxima",""),IF($CX19&gt;$GH$4,"Classe "&amp;$CX19&amp;": o nível "&amp;$GH$2&amp;" libera até a "&amp;$GH$4,""),IF($DP19=1,"Família Fechada: a Forma "&amp;$CZ19,""),IF($DQ19=1,"Família Fechada: "&amp;$DA19,""),IF($DR19=1,"Família Fechada: "&amp;$DB19,""),IF($DS19=1,"Família Fechada: "&amp;$DC19,""),IF($DT19=1,"Família Fechada: "&amp;$DD19,""),IF($EK19&gt;INDEX($O$2:$O$8,$CX19),$EK19&amp;" Melhorias: a Classe "&amp;$CX19&amp;" aceita "&amp;INDEX($O$2:$O$8,$CX19),""),IF($EL19&gt;2,$EL19&amp;" Restrições"&amp;IF($DV19=1,", contando a que a Forma "&amp;$CZ19&amp;" já traz","")&amp;": o limite é 2",""),IF($ER19&lt;0,"Orçamento estourado: faltam "&amp;(-$ER19)&amp;IF($ER19&lt;-1," pontos"," ponto"),""),IF(IFERROR(VLOOKUP($DE19,$BD$2:$BH$24,4,FALSE),0)+IFERROR(VLOOKUP($DF19,$BD$2:$BH$24,4,FALSE),0)&gt;1,$EA19&amp;" e "&amp;$EB19&amp;" são as duas de frequência",""),IF(AND((COUNTIF($DA19:$DD19,"Rápido")+COUNTIF($EA19:$EB19,"Rápido"))&gt;0,(COUNTIF($DA19:$DD19,"Reação")+COUNTIF($EA19:$EB19,"Reação"))&gt;0),"Rápido não entra com Reação",""),IF(AND((COUNTIF($DA19:$DD19,"Rápido")+COUNTIF($EA19:$EB19,"Rápido"))&gt;0,(COUNTIF($DA19:$DD19,"Atrasar")+COUNTIF($EA19:$EB19,"Atrasar"))&gt;0),"Rápido não entra com Atrasar",""),IF(AND((COUNTIF($DA19:$DD19,"Reação")+COUNTIF($EA19:$EB19,"Reação"))&gt;0,(COUNTIF($DA19:$DD19,"Atrasar")+COUNTIF($EA19:$EB19,"Atrasar"))&gt;0),"Reação não entra com Atrasar",""),IF(AND((COUNTIF($DA19:$DD19,"Reação")+COUNTIF($EA19:$EB19,"Reação"))&gt;0,(COUNTIF($DA19:$DD19,"Parado")+COUNTIF($EA19:$EB19,"Parado"))&gt;0),"Reação não entra com Parado",""),IF(AND(COUNTIF($EA19:$EB19,"Corpo a Corpo")&gt;0,$DV19=0,OR($CZ19="Cone",$CZ19="Linha")),"Corpo a Corpo não entra em "&amp;$CZ19,""),IF(AND(COUNTIF($EA19:$EB19,"Corpo a Corpo")&gt;0,$DV19=1),"A Forma "&amp;$CZ19&amp;" já traz o Corpo a Corpo",""),IF(AND(COUNTIF($EA19:$EB19,"Tudo ou Nada")&gt;0,$DX19=0),"Tudo ou Nada só entra em feitiço de Teste de Resistência",""),IF(AND(COUNTIF($DA19:$DD19,"Inescapável")&gt;0,OR($EK19&gt;1,$EL19&gt;0)),"Inescapável não aceita outra peça",""),IF(AND($CV19=1,$CX19&lt;3),"Liberação Máxima é de Classe 3 ou mais",""),IF(AND($CV19=1,OR($DW19=1,$DW19=2)),"Liberação Máxima não serve para cura",""),IF(AND($CV19=1,COUNTIF($DA19:$DD19,"Inescapável")+COUNTIF($DA19:$DD19,"Toca a Alma")&gt;0),"Esta peça não entra numa Liberação Máxima",""),IF($ES19+$ET19&gt;4*$CX19,($ES19+$ET19)&amp;" dados somando alvos e repetições: o teto da Classe "&amp;$CX19&amp;" é "&amp;4*$CX19,"")))</f>
        <v/>
      </c>
      <c r="FJ19" s="140">
        <f>IF($FI19="",0,(LEN($FI19)-LEN(SUBSTITUTE($FI19," · ","")))/3+1)</f>
        <v/>
      </c>
      <c r="FK19" s="140">
        <f>IF($DI19=0,"",TEXTJOIN(" · ",TRUE,IF($EN19&gt;2*$CX19,"A devolução parou no teto de "&amp;2*$CX19,""),IF($EQ19&gt;0,"Devolução perdida: "&amp;$EQ19&amp;IF($EQ19&gt;1," pontos"," ponto")&amp;" sem peça para pagar",""),IF(AND($DU19&gt;0,$ES19=0),"Controle sem dano: uma rodada a mais e CD +2",""),IF(AND($DU19&gt;0,$ES19&gt;0,$ES19&lt;=$CX19),"Controle com um quarto do teto: uma rodada a mais","")))</f>
        <v/>
      </c>
      <c r="FL19" s="140">
        <f>IF($FK19="",0,(LEN($FK19)-LEN(SUBSTITUTE($FK19," · ","")))/3+1)</f>
        <v/>
      </c>
      <c r="FM19" s="140">
        <f>IF($DI19=0,IF($EK19+$EL19-$DV19&gt;0,"dê um nome",""),IF($FJ19&gt;0,"⚠ "&amp;$FJ19&amp;IF($FJ19&gt;1," erros"," erro"),IF($FL19&gt;0,"! "&amp;$FL19&amp;IF($FL19&gt;1," avisos"," aviso"),"na regra")))</f>
        <v/>
      </c>
      <c r="FN19" s="140">
        <f>IF($DI19=0,"",IF($FJ19+$FL19=0,"Dentro das regras que a ficha confere",$FI19&amp;IF(AND($FJ19&gt;0,$FL19&gt;0)," · ","")&amp;$FK19))</f>
        <v/>
      </c>
      <c r="FO19" s="140">
        <f>IF($DI19=0,"",IF($CV19=1,CEILING(4.5*$CX19,1),3*$CX19)&amp;" PE")</f>
        <v/>
      </c>
      <c r="FP19" s="140">
        <f>IF($DI19=0,"",IF($CV19=1,"Rodada inteira",IF(COUNTIF($EA19:$EB19,"Atrasar")&gt;0,IF(COUNTIF($EA19:$EB19,"Carregar")&gt;0,"Rodada +1 turno","Rodada inteira"),IF(COUNTIF($DA19:$DD19,"Rápido")&gt;0,"Bônus",IF(COUNTIF($DA19:$DD19,"Reação")&gt;0,"Reação","Padrão"))&amp;IF(COUNTIF($EA19:$EB19,"Carregar")&gt;0," +1 turno",""))))</f>
        <v/>
      </c>
      <c r="FQ19" s="140">
        <f>IF(OR($DI19=0,$DJ19=0),"",IF(COUNTIF($DA19:$DD19,"Inescapável")&gt;0,"Automático",IF(COUNTIF($DA19:$DD19,"Certeiro")&gt;0,"TR para metade",INDEX($X$2:$X$11,$DJ19))))</f>
        <v/>
      </c>
      <c r="FR19" s="140">
        <f>IF(OR($DI19=0,$DJ19=0),"",IF(OR($DW19&gt;=2,$ES19=0),INDEX($FB19:$FH19,1,$CX19),INDEX($FB19:$FH19,1,$CX19)&amp;" = "&amp;FLOOR($ES19*4.5,1)&amp;IF($ET19&gt;0," · +"&amp;$ET19&amp;"d8","")))</f>
        <v/>
      </c>
      <c r="FS19" s="140">
        <f>COUNTIF($DA19:$DD19,"Longe")+3*COUNTIF($DA19:$DD19,"Muito Longe")</f>
        <v/>
      </c>
      <c r="FT19" s="140">
        <f>COUNTIF($DA19:$DD19,"Maior")+3*COUNTIF($DA19:$DD19,"Muito Maior")</f>
        <v/>
      </c>
      <c r="FU19" s="140">
        <f>IF($DJ19=0,0,CHOOSE(1+INDEX($Z$2:$Z$11,$DJ19),0,$FS19,$FT19,$FS19+$FT19))</f>
        <v/>
      </c>
      <c r="FV19" s="140">
        <f>IF($DJ19=0,0,CHOOSE(1+INDEX($AA$2:$AA$11,$DJ19),0,$FS19,$FT19,$FS19+$FT19))</f>
        <v/>
      </c>
      <c r="FW19" s="140">
        <f>IF(OR($DI19=0,$DJ19=0),"",INDEX($AH$2:$AM$31,($DJ19-1)*3+IF($CX19&gt;=6,3,2),1+MIN(5,$FU19))&amp;INDEX($AN$2:$AS$31,($DJ19-1)*3+IF($CX19&gt;=6,3,2),1+MIN(5,$FV19))&amp;IF(INDEX($AB$2:$AB$11,$DJ19)=1,IF(COUNTIF($DA19:$DD19,"Mais Um")&gt;0," · +"&amp;COUNTIF($DA19:$DD19,"Mais Um")&amp;IF(COUNTIF($DA19:$DD19,"Mais Um")&gt;1," alvos"," alvo"),"")&amp;IF(COUNTIF($DA19:$DD19,"Rajada")&gt;0," · "&amp;($CX19+1)&amp;" tiros",""),""))</f>
        <v/>
      </c>
      <c r="FX19" s="140">
        <f>IF($DI19=0,"",3*$CX19&amp;" − "&amp;$EM19&amp;" + "&amp;$EP19&amp;IF($CV19=1," + "&amp;$CX19,"")&amp;" = "&amp;$ES19&amp;"d8 · teto "&amp;4*$CX19&amp;IF($DV19=1," · a Forma devolve "&amp;$CX19,"")&amp;IF($EQ19&gt;0," · perde "&amp;$EQ19,""))</f>
        <v/>
      </c>
      <c r="FY19" s="140">
        <f>IF($DI19=0,"",IF($CX19&gt;=$GH$4,"Já está na maior Classe que o nível liberou",TEXTJOIN(" · ",TRUE,IF(AND(2&gt;$CX19,2&lt;=$GH$4),"2 → "&amp;$FC19&amp;", "&amp;IF($CV19=1,9,6)&amp;" PE",""),IF(AND(3&gt;$CX19,3&lt;=$GH$4),"3 → "&amp;$FD19&amp;", "&amp;IF($CV19=1,14,9)&amp;" PE",""),IF(AND(4&gt;$CX19,4&lt;=$GH$4),"4 → "&amp;$FE19&amp;", "&amp;IF($CV19=1,18,12)&amp;" PE",""),IF(AND(5&gt;$CX19,5&lt;=$GH$4),"5 → "&amp;$FF19&amp;", "&amp;IF($CV19=1,23,15)&amp;" PE",""),IF(AND(6&gt;$CX19,6&lt;=$GH$4),"6 → "&amp;$FG19&amp;", "&amp;IF($CV19=1,27,18)&amp;" PE",""),IF(AND(7&gt;$CX19,7&lt;=$GH$4),"7 → "&amp;$FH19&amp;", "&amp;IF($CV19=1,32,21)&amp;" PE",""))))</f>
        <v/>
      </c>
      <c r="FZ19" s="140">
        <f>IF(OR($DI19=0,$DL19=0),"","−"&amp;INDEX($I$2:$N$8,$CX19,$DL19)&amp;" · "&amp;CHOOSE($DL19,"Leve","Média","Pesada","Leve · Livre","Média · Livre","Pesada · Livre"))</f>
        <v/>
      </c>
      <c r="GA19" s="140">
        <f>IF(OR($DI19=0,$DM19=0),"","−"&amp;INDEX($I$2:$N$8,$CX19,$DM19)&amp;" · "&amp;CHOOSE($DM19,"Leve","Média","Pesada","Leve · Livre","Média · Livre","Pesada · Livre"))</f>
        <v/>
      </c>
      <c r="GB19" s="140">
        <f>IF(OR($DI19=0,$DN19=0),"","−"&amp;INDEX($I$2:$N$8,$CX19,$DN19)&amp;" · "&amp;CHOOSE($DN19,"Leve","Média","Pesada","Leve · Livre","Média · Livre","Pesada · Livre"))</f>
        <v/>
      </c>
      <c r="GC19" s="140">
        <f>IF(OR($DI19=0,$DO19=0),"","−"&amp;INDEX($I$2:$N$8,$CX19,$DO19)&amp;" · "&amp;CHOOSE($DO19,"Leve","Média","Pesada","Leve · Livre","Média · Livre","Pesada · Livre"))</f>
        <v/>
      </c>
      <c r="GD19" s="140">
        <f>IF(OR($DI19=0,$DE19=""),"",IF($DG19=1,"Selo","+"&amp;IF($DY19=1,CEILING($CX19/2,1),$CX19)))</f>
        <v/>
      </c>
      <c r="GE19" s="140">
        <f>IF(OR($DI19=0,$DF19=""),"",IF($DH19=1,"Selo","+"&amp;IF($DZ19=1,CEILING($CX19/2,1),$CX19)))</f>
        <v/>
      </c>
      <c r="GG19" s="114" t="inlineStr">
        <is>
          <t>espaços no domínio</t>
        </is>
      </c>
      <c r="GH19" s="140">
        <f>IFERROR(VLOOKUP($GH$34,$CJ$2:$CN$4,2,FALSE),0)</f>
        <v/>
      </c>
    </row>
    <row r="20">
      <c r="AG20" s="114" t="inlineStr">
        <is>
          <t>Cura · classe 0</t>
        </is>
      </c>
      <c r="AH20" s="114" t="inlineStr">
        <is>
          <t>—</t>
        </is>
      </c>
      <c r="AI20" s="114" t="inlineStr">
        <is>
          <t>—</t>
        </is>
      </c>
      <c r="AJ20" s="114" t="inlineStr">
        <is>
          <t>—</t>
        </is>
      </c>
      <c r="AK20" s="114" t="inlineStr">
        <is>
          <t>—</t>
        </is>
      </c>
      <c r="AL20" s="114" t="inlineStr">
        <is>
          <t>—</t>
        </is>
      </c>
      <c r="AM20" s="114" t="inlineStr">
        <is>
          <t>—</t>
        </is>
      </c>
      <c r="AN20" s="114" t="inlineStr"/>
      <c r="AO20" s="114" t="inlineStr"/>
      <c r="AP20" s="114" t="inlineStr"/>
      <c r="AQ20" s="114" t="inlineStr"/>
      <c r="AR20" s="114" t="inlineStr"/>
      <c r="AS20" s="114" t="inlineStr"/>
      <c r="AU20" s="114" t="inlineStr">
        <is>
          <t>Fura</t>
        </is>
      </c>
      <c r="AV20" s="114" t="inlineStr">
        <is>
          <t>Mira</t>
        </is>
      </c>
      <c r="AW20" s="140" t="n">
        <v>2</v>
      </c>
      <c r="AX20" s="140">
        <f>$AW20+3*IFERROR(VLOOKUP($AV20,$A$2:$D$10,3,FALSE),0)</f>
        <v/>
      </c>
      <c r="AY20" s="140">
        <f>IFERROR(VLOOKUP($AV20,$A$2:$D$10,4,FALSE),0)</f>
        <v/>
      </c>
      <c r="AZ20" s="140" t="n">
        <v>0</v>
      </c>
      <c r="BA20" s="140">
        <f>IF($AY20=1,"",$AU20)</f>
        <v/>
      </c>
      <c r="BB20" s="140">
        <f>IF(AND($AW20=1,$AY20=0),$AU20,"")</f>
        <v/>
      </c>
      <c r="BD20" s="114" t="inlineStr">
        <is>
          <t>Dívida</t>
        </is>
      </c>
      <c r="BE20" s="114" t="inlineStr">
        <is>
          <t>Dívida</t>
        </is>
      </c>
      <c r="BF20" s="140" t="n">
        <v>2</v>
      </c>
      <c r="BG20" s="140" t="n">
        <v>1</v>
      </c>
      <c r="BH20" s="114" t="inlineStr"/>
      <c r="BJ20" s="114" t="inlineStr">
        <is>
          <t>Passiva Própria (CP 3)</t>
        </is>
      </c>
      <c r="BK20" s="140" t="n">
        <v>3</v>
      </c>
      <c r="BL20" s="114" t="inlineStr">
        <is>
          <t>Qualquer outra coisa, montada com o mestre na escala das outras entradas desta tabela. Escreva a sua na caixa de baixo.</t>
        </is>
      </c>
      <c r="CU20" s="114" t="inlineStr">
        <is>
          <t>Feitiço 19</t>
        </is>
      </c>
      <c r="CV20" s="140" t="n">
        <v>0</v>
      </c>
      <c r="CW20" s="140" t="n">
        <v>19</v>
      </c>
      <c r="CX20" s="140">
        <f>MAX(1,MIN(7,N('FICHA AMALDIÇOADA'!$D$173)))</f>
        <v/>
      </c>
      <c r="CY20" s="140">
        <f>'FICHA AMALDIÇOADA'!$E$173&amp;""</f>
        <v/>
      </c>
      <c r="CZ20" s="140">
        <f>'FICHA AMALDIÇOADA'!$D$180&amp;""</f>
        <v/>
      </c>
      <c r="DA20" s="140">
        <f>'FICHA AMALDIÇOADA'!$E$182&amp;""</f>
        <v/>
      </c>
      <c r="DB20" s="140">
        <f>'FICHA AMALDIÇOADA'!$E$183&amp;""</f>
        <v/>
      </c>
      <c r="DC20" s="140">
        <f>'FICHA AMALDIÇOADA'!$E$184&amp;""</f>
        <v/>
      </c>
      <c r="DD20" s="140">
        <f>'FICHA AMALDIÇOADA'!$E$185&amp;""</f>
        <v/>
      </c>
      <c r="DE20" s="140">
        <f>'FICHA AMALDIÇOADA'!$E$186&amp;""</f>
        <v/>
      </c>
      <c r="DF20" s="140">
        <f>'FICHA AMALDIÇOADA'!$E$187&amp;""</f>
        <v/>
      </c>
      <c r="DG20" s="140">
        <f>IF('FICHA AMALDIÇOADA'!$H$186=TRUE,1,0)</f>
        <v/>
      </c>
      <c r="DH20" s="140">
        <f>IF('FICHA AMALDIÇOADA'!$H$187=TRUE,1,0)</f>
        <v/>
      </c>
      <c r="DI20" s="140">
        <f>IF($CY20&lt;&gt;"",1,0)</f>
        <v/>
      </c>
      <c r="DJ20" s="140">
        <f>IFERROR(MATCH($CZ20,$Q$2:$Q$11,0),0)</f>
        <v/>
      </c>
      <c r="DK20" s="140">
        <f>IF($DJ20=0,0,INDEX($T$2:$T$11,$DJ20))</f>
        <v/>
      </c>
      <c r="DL20" s="140">
        <f>IFERROR(VLOOKUP($DA20,$AU$2:$BB$84,4,FALSE),0)</f>
        <v/>
      </c>
      <c r="DM20" s="140">
        <f>IFERROR(VLOOKUP($DB20,$AU$2:$BB$84,4,FALSE),0)</f>
        <v/>
      </c>
      <c r="DN20" s="140">
        <f>IFERROR(VLOOKUP($DC20,$AU$2:$BB$84,4,FALSE),0)</f>
        <v/>
      </c>
      <c r="DO20" s="140">
        <f>IFERROR(VLOOKUP($DD20,$AU$2:$BB$84,4,FALSE),0)</f>
        <v/>
      </c>
      <c r="DP20" s="140">
        <f>IF($DJ20=0,0,INDEX($U$2:$U$11,$DJ20))</f>
        <v/>
      </c>
      <c r="DQ20" s="140">
        <f>IFERROR(VLOOKUP($DA20,$AU$2:$BB$84,5,FALSE),0)</f>
        <v/>
      </c>
      <c r="DR20" s="140">
        <f>IFERROR(VLOOKUP($DB20,$AU$2:$BB$84,5,FALSE),0)</f>
        <v/>
      </c>
      <c r="DS20" s="140">
        <f>IFERROR(VLOOKUP($DC20,$AU$2:$BB$84,5,FALSE),0)</f>
        <v/>
      </c>
      <c r="DT20" s="140">
        <f>IFERROR(VLOOKUP($DD20,$AU$2:$BB$84,5,FALSE),0)</f>
        <v/>
      </c>
      <c r="DU20" s="140">
        <f>IFERROR(VLOOKUP($DA20,$AU$2:$BB$84,6,FALSE),0)+IFERROR(VLOOKUP($DB20,$AU$2:$BB$84,6,FALSE),0)+IFERROR(VLOOKUP($DC20,$AU$2:$BB$84,6,FALSE),0)+IFERROR(VLOOKUP($DD20,$AU$2:$BB$84,6,FALSE),0)</f>
        <v/>
      </c>
      <c r="DV20" s="140">
        <f>IF($DJ20=0,0,INDEX($V$2:$V$11,$DJ20))</f>
        <v/>
      </c>
      <c r="DW20" s="140">
        <f>IF($DJ20=0,0,INDEX($W$2:$W$11,$DJ20))</f>
        <v/>
      </c>
      <c r="DX20" s="140">
        <f>IF($DJ20=0,0,INDEX($Y$2:$Y$11,$DJ20))</f>
        <v/>
      </c>
      <c r="DY20" s="140">
        <f>IF($DG20=1,0,IFERROR(VLOOKUP($DE20,$BD$2:$BH$24,3,FALSE),0))</f>
        <v/>
      </c>
      <c r="DZ20" s="140">
        <f>IF($DH20=1,0,IFERROR(VLOOKUP($DF20,$BD$2:$BH$24,3,FALSE),0))</f>
        <v/>
      </c>
      <c r="EA20" s="140">
        <f>IFERROR(VLOOKUP($DE20,$BD$2:$BH$24,2,FALSE),"")</f>
        <v/>
      </c>
      <c r="EB20" s="140">
        <f>IFERROR(VLOOKUP($DF20,$BD$2:$BH$24,2,FALSE),"")</f>
        <v/>
      </c>
      <c r="EC20" s="140">
        <f>COUNTIF($DK20:$DO20,1)</f>
        <v/>
      </c>
      <c r="ED20" s="140">
        <f>COUNTIF($DK20:$DO20,2)</f>
        <v/>
      </c>
      <c r="EE20" s="140">
        <f>COUNTIF($DK20:$DO20,3)</f>
        <v/>
      </c>
      <c r="EF20" s="140">
        <f>COUNTIF($DK20:$DO20,4)</f>
        <v/>
      </c>
      <c r="EG20" s="140">
        <f>COUNTIF($DK20:$DO20,5)</f>
        <v/>
      </c>
      <c r="EH20" s="140">
        <f>COUNTIF($DK20:$DO20,6)</f>
        <v/>
      </c>
      <c r="EI20" s="140">
        <f>COUNTIF($DY20:$DZ20,1)</f>
        <v/>
      </c>
      <c r="EJ20" s="140">
        <f>COUNTIF($DY20:$DZ20,2)+$DV20</f>
        <v/>
      </c>
      <c r="EK20" s="140">
        <f>COUNTIF($DA20:$DD20,"?*")</f>
        <v/>
      </c>
      <c r="EL20" s="140">
        <f>COUNTIF($DE20:$DF20,"?*")+$DV20</f>
        <v/>
      </c>
      <c r="EM20" s="140">
        <f>SUMPRODUCT($EC20:$EH20,INDEX($I$2:$N$8,$CX20,0))</f>
        <v/>
      </c>
      <c r="EN20" s="140">
        <f>$EI20*CEILING($CX20/2,1)+$EJ20*$CX20</f>
        <v/>
      </c>
      <c r="EO20" s="140">
        <f>MIN(2*$CX20,$EN20)</f>
        <v/>
      </c>
      <c r="EP20" s="140">
        <f>MIN($EO20,$EM20)</f>
        <v/>
      </c>
      <c r="EQ20" s="140">
        <f>$EO20-$EP20</f>
        <v/>
      </c>
      <c r="ER20" s="140">
        <f>3*$CX20-$EM20+$EP20</f>
        <v/>
      </c>
      <c r="ES20" s="140">
        <f>MAX(0,$ER20)+$CV20*$CX20</f>
        <v/>
      </c>
      <c r="ET20" s="140">
        <f>(IF(COUNTIF($DA20:$DD20,"Salto")&gt;0,1,0)+IF(COUNTIF($DA20:$DD20,"Queima")&gt;0,1,0))*FLOOR($ES20/2,1)</f>
        <v/>
      </c>
      <c r="EU20" s="140">
        <f>MAX(0,3-SUMPRODUCT($EC20:$EH20,$I$2:$N$2)+MIN(2,$EI20*1+$EJ20*1,SUMPRODUCT($EC20:$EH20,$I$2:$N$2)))+$CV20*1</f>
        <v/>
      </c>
      <c r="EV20" s="140">
        <f>MAX(0,6-SUMPRODUCT($EC20:$EH20,$I$3:$N$3)+MIN(4,$EI20*1+$EJ20*2,SUMPRODUCT($EC20:$EH20,$I$3:$N$3)))+$CV20*2</f>
        <v/>
      </c>
      <c r="EW20" s="140">
        <f>MAX(0,9-SUMPRODUCT($EC20:$EH20,$I$4:$N$4)+MIN(6,$EI20*2+$EJ20*3,SUMPRODUCT($EC20:$EH20,$I$4:$N$4)))+$CV20*3</f>
        <v/>
      </c>
      <c r="EX20" s="140">
        <f>MAX(0,12-SUMPRODUCT($EC20:$EH20,$I$5:$N$5)+MIN(8,$EI20*2+$EJ20*4,SUMPRODUCT($EC20:$EH20,$I$5:$N$5)))+$CV20*4</f>
        <v/>
      </c>
      <c r="EY20" s="140">
        <f>MAX(0,15-SUMPRODUCT($EC20:$EH20,$I$6:$N$6)+MIN(10,$EI20*3+$EJ20*5,SUMPRODUCT($EC20:$EH20,$I$6:$N$6)))+$CV20*5</f>
        <v/>
      </c>
      <c r="EZ20" s="140">
        <f>MAX(0,18-SUMPRODUCT($EC20:$EH20,$I$7:$N$7)+MIN(12,$EI20*3+$EJ20*6,SUMPRODUCT($EC20:$EH20,$I$7:$N$7)))+$CV20*6</f>
        <v/>
      </c>
      <c r="FA20" s="140">
        <f>MAX(0,21-SUMPRODUCT($EC20:$EH20,$I$8:$N$8)+MIN(14,$EI20*4+$EJ20*7,SUMPRODUCT($EC20:$EH20,$I$8:$N$8)))+$CV20*7</f>
        <v/>
      </c>
      <c r="FB20" s="140">
        <f>IF($DW20=2,3*$EU20&amp;" de vida temp.",IF($DW20=3,"sem dano",IF($EU20=0,IF($DW20=1,"sem cura","sem dano"),IF($DW20=1,"cura ","")&amp;$EU20&amp;"d8")))</f>
        <v/>
      </c>
      <c r="FC20" s="140">
        <f>IF($DW20=2,3*$EV20&amp;" de vida temp.",IF($DW20=3,"sem dano",IF($EV20=0,IF($DW20=1,"sem cura","sem dano"),IF($DW20=1,"cura ","")&amp;$EV20&amp;"d8")))</f>
        <v/>
      </c>
      <c r="FD20" s="140">
        <f>IF($DW20=2,3*$EW20&amp;" de vida temp.",IF($DW20=3,"sem dano",IF($EW20=0,IF($DW20=1,"sem cura","sem dano"),IF($DW20=1,"cura ","")&amp;$EW20&amp;"d8")))</f>
        <v/>
      </c>
      <c r="FE20" s="140">
        <f>IF($DW20=2,3*$EX20&amp;" de vida temp.",IF($DW20=3,"sem dano",IF($EX20=0,IF($DW20=1,"sem cura","sem dano"),IF($DW20=1,"cura ","")&amp;$EX20&amp;"d8")))</f>
        <v/>
      </c>
      <c r="FF20" s="140">
        <f>IF($DW20=2,3*$EY20&amp;" de vida temp.",IF($DW20=3,"sem dano",IF($EY20=0,IF($DW20=1,"sem cura","sem dano"),IF($DW20=1,"cura ","")&amp;$EY20&amp;"d8")))</f>
        <v/>
      </c>
      <c r="FG20" s="140">
        <f>IF($DW20=2,3*$EZ20&amp;" de vida temp.",IF($DW20=3,"sem dano",IF($EZ20=0,IF($DW20=1,"sem cura","sem dano"),IF($DW20=1,"cura ","")&amp;$EZ20&amp;"d8")))</f>
        <v/>
      </c>
      <c r="FH20" s="140">
        <f>IF($DW20=2,3*$FA20&amp;" de vida temp.",IF($DW20=3,"sem dano",IF($FA20=0,IF($DW20=1,"sem cura","sem dano"),IF($DW20=1,"cura ","")&amp;$FA20&amp;"d8")))</f>
        <v/>
      </c>
      <c r="FI20" s="140">
        <f>IF($DI20=0,"",TEXTJOIN(" · ",TRUE,IF(AND($CV20=1,$CW20&gt;$GH$9),"O nível "&amp;$GH$2&amp;" dá "&amp;$GH$9&amp;" Liberação Máxima",""),IF($CX20&gt;$GH$4,"Classe "&amp;$CX20&amp;": o nível "&amp;$GH$2&amp;" libera até a "&amp;$GH$4,""),IF($DP20=1,"Família Fechada: a Forma "&amp;$CZ20,""),IF($DQ20=1,"Família Fechada: "&amp;$DA20,""),IF($DR20=1,"Família Fechada: "&amp;$DB20,""),IF($DS20=1,"Família Fechada: "&amp;$DC20,""),IF($DT20=1,"Família Fechada: "&amp;$DD20,""),IF($EK20&gt;INDEX($O$2:$O$8,$CX20),$EK20&amp;" Melhorias: a Classe "&amp;$CX20&amp;" aceita "&amp;INDEX($O$2:$O$8,$CX20),""),IF($EL20&gt;2,$EL20&amp;" Restrições"&amp;IF($DV20=1,", contando a que a Forma "&amp;$CZ20&amp;" já traz","")&amp;": o limite é 2",""),IF($ER20&lt;0,"Orçamento estourado: faltam "&amp;(-$ER20)&amp;IF($ER20&lt;-1," pontos"," ponto"),""),IF(IFERROR(VLOOKUP($DE20,$BD$2:$BH$24,4,FALSE),0)+IFERROR(VLOOKUP($DF20,$BD$2:$BH$24,4,FALSE),0)&gt;1,$EA20&amp;" e "&amp;$EB20&amp;" são as duas de frequência",""),IF(AND((COUNTIF($DA20:$DD20,"Rápido")+COUNTIF($EA20:$EB20,"Rápido"))&gt;0,(COUNTIF($DA20:$DD20,"Reação")+COUNTIF($EA20:$EB20,"Reação"))&gt;0),"Rápido não entra com Reação",""),IF(AND((COUNTIF($DA20:$DD20,"Rápido")+COUNTIF($EA20:$EB20,"Rápido"))&gt;0,(COUNTIF($DA20:$DD20,"Atrasar")+COUNTIF($EA20:$EB20,"Atrasar"))&gt;0),"Rápido não entra com Atrasar",""),IF(AND((COUNTIF($DA20:$DD20,"Reação")+COUNTIF($EA20:$EB20,"Reação"))&gt;0,(COUNTIF($DA20:$DD20,"Atrasar")+COUNTIF($EA20:$EB20,"Atrasar"))&gt;0),"Reação não entra com Atrasar",""),IF(AND((COUNTIF($DA20:$DD20,"Reação")+COUNTIF($EA20:$EB20,"Reação"))&gt;0,(COUNTIF($DA20:$DD20,"Parado")+COUNTIF($EA20:$EB20,"Parado"))&gt;0),"Reação não entra com Parado",""),IF(AND(COUNTIF($EA20:$EB20,"Corpo a Corpo")&gt;0,$DV20=0,OR($CZ20="Cone",$CZ20="Linha")),"Corpo a Corpo não entra em "&amp;$CZ20,""),IF(AND(COUNTIF($EA20:$EB20,"Corpo a Corpo")&gt;0,$DV20=1),"A Forma "&amp;$CZ20&amp;" já traz o Corpo a Corpo",""),IF(AND(COUNTIF($EA20:$EB20,"Tudo ou Nada")&gt;0,$DX20=0),"Tudo ou Nada só entra em feitiço de Teste de Resistência",""),IF(AND(COUNTIF($DA20:$DD20,"Inescapável")&gt;0,OR($EK20&gt;1,$EL20&gt;0)),"Inescapável não aceita outra peça",""),IF(AND($CV20=1,$CX20&lt;3),"Liberação Máxima é de Classe 3 ou mais",""),IF(AND($CV20=1,OR($DW20=1,$DW20=2)),"Liberação Máxima não serve para cura",""),IF(AND($CV20=1,COUNTIF($DA20:$DD20,"Inescapável")+COUNTIF($DA20:$DD20,"Toca a Alma")&gt;0),"Esta peça não entra numa Liberação Máxima",""),IF($ES20+$ET20&gt;4*$CX20,($ES20+$ET20)&amp;" dados somando alvos e repetições: o teto da Classe "&amp;$CX20&amp;" é "&amp;4*$CX20,"")))</f>
        <v/>
      </c>
      <c r="FJ20" s="140">
        <f>IF($FI20="",0,(LEN($FI20)-LEN(SUBSTITUTE($FI20," · ","")))/3+1)</f>
        <v/>
      </c>
      <c r="FK20" s="140">
        <f>IF($DI20=0,"",TEXTJOIN(" · ",TRUE,IF($EN20&gt;2*$CX20,"A devolução parou no teto de "&amp;2*$CX20,""),IF($EQ20&gt;0,"Devolução perdida: "&amp;$EQ20&amp;IF($EQ20&gt;1," pontos"," ponto")&amp;" sem peça para pagar",""),IF(AND($DU20&gt;0,$ES20=0),"Controle sem dano: uma rodada a mais e CD +2",""),IF(AND($DU20&gt;0,$ES20&gt;0,$ES20&lt;=$CX20),"Controle com um quarto do teto: uma rodada a mais","")))</f>
        <v/>
      </c>
      <c r="FL20" s="140">
        <f>IF($FK20="",0,(LEN($FK20)-LEN(SUBSTITUTE($FK20," · ","")))/3+1)</f>
        <v/>
      </c>
      <c r="FM20" s="140">
        <f>IF($DI20=0,IF($EK20+$EL20-$DV20&gt;0,"dê um nome",""),IF($FJ20&gt;0,"⚠ "&amp;$FJ20&amp;IF($FJ20&gt;1," erros"," erro"),IF($FL20&gt;0,"! "&amp;$FL20&amp;IF($FL20&gt;1," avisos"," aviso"),"na regra")))</f>
        <v/>
      </c>
      <c r="FN20" s="140">
        <f>IF($DI20=0,"",IF($FJ20+$FL20=0,"Dentro das regras que a ficha confere",$FI20&amp;IF(AND($FJ20&gt;0,$FL20&gt;0)," · ","")&amp;$FK20))</f>
        <v/>
      </c>
      <c r="FO20" s="140">
        <f>IF($DI20=0,"",IF($CV20=1,CEILING(4.5*$CX20,1),3*$CX20)&amp;" PE")</f>
        <v/>
      </c>
      <c r="FP20" s="140">
        <f>IF($DI20=0,"",IF($CV20=1,"Rodada inteira",IF(COUNTIF($EA20:$EB20,"Atrasar")&gt;0,IF(COUNTIF($EA20:$EB20,"Carregar")&gt;0,"Rodada +1 turno","Rodada inteira"),IF(COUNTIF($DA20:$DD20,"Rápido")&gt;0,"Bônus",IF(COUNTIF($DA20:$DD20,"Reação")&gt;0,"Reação","Padrão"))&amp;IF(COUNTIF($EA20:$EB20,"Carregar")&gt;0," +1 turno",""))))</f>
        <v/>
      </c>
      <c r="FQ20" s="140">
        <f>IF(OR($DI20=0,$DJ20=0),"",IF(COUNTIF($DA20:$DD20,"Inescapável")&gt;0,"Automático",IF(COUNTIF($DA20:$DD20,"Certeiro")&gt;0,"TR para metade",INDEX($X$2:$X$11,$DJ20))))</f>
        <v/>
      </c>
      <c r="FR20" s="140">
        <f>IF(OR($DI20=0,$DJ20=0),"",IF(OR($DW20&gt;=2,$ES20=0),INDEX($FB20:$FH20,1,$CX20),INDEX($FB20:$FH20,1,$CX20)&amp;" = "&amp;FLOOR($ES20*4.5,1)&amp;IF($ET20&gt;0," · +"&amp;$ET20&amp;"d8","")))</f>
        <v/>
      </c>
      <c r="FS20" s="140">
        <f>COUNTIF($DA20:$DD20,"Longe")+3*COUNTIF($DA20:$DD20,"Muito Longe")</f>
        <v/>
      </c>
      <c r="FT20" s="140">
        <f>COUNTIF($DA20:$DD20,"Maior")+3*COUNTIF($DA20:$DD20,"Muito Maior")</f>
        <v/>
      </c>
      <c r="FU20" s="140">
        <f>IF($DJ20=0,0,CHOOSE(1+INDEX($Z$2:$Z$11,$DJ20),0,$FS20,$FT20,$FS20+$FT20))</f>
        <v/>
      </c>
      <c r="FV20" s="140">
        <f>IF($DJ20=0,0,CHOOSE(1+INDEX($AA$2:$AA$11,$DJ20),0,$FS20,$FT20,$FS20+$FT20))</f>
        <v/>
      </c>
      <c r="FW20" s="140">
        <f>IF(OR($DI20=0,$DJ20=0),"",INDEX($AH$2:$AM$31,($DJ20-1)*3+IF($CX20&gt;=6,3,2),1+MIN(5,$FU20))&amp;INDEX($AN$2:$AS$31,($DJ20-1)*3+IF($CX20&gt;=6,3,2),1+MIN(5,$FV20))&amp;IF(INDEX($AB$2:$AB$11,$DJ20)=1,IF(COUNTIF($DA20:$DD20,"Mais Um")&gt;0," · +"&amp;COUNTIF($DA20:$DD20,"Mais Um")&amp;IF(COUNTIF($DA20:$DD20,"Mais Um")&gt;1," alvos"," alvo"),"")&amp;IF(COUNTIF($DA20:$DD20,"Rajada")&gt;0," · "&amp;($CX20+1)&amp;" tiros",""),""))</f>
        <v/>
      </c>
      <c r="FX20" s="140">
        <f>IF($DI20=0,"",3*$CX20&amp;" − "&amp;$EM20&amp;" + "&amp;$EP20&amp;IF($CV20=1," + "&amp;$CX20,"")&amp;" = "&amp;$ES20&amp;"d8 · teto "&amp;4*$CX20&amp;IF($DV20=1," · a Forma devolve "&amp;$CX20,"")&amp;IF($EQ20&gt;0," · perde "&amp;$EQ20,""))</f>
        <v/>
      </c>
      <c r="FY20" s="140">
        <f>IF($DI20=0,"",IF($CX20&gt;=$GH$4,"Já está na maior Classe que o nível liberou",TEXTJOIN(" · ",TRUE,IF(AND(2&gt;$CX20,2&lt;=$GH$4),"2 → "&amp;$FC20&amp;", "&amp;IF($CV20=1,9,6)&amp;" PE",""),IF(AND(3&gt;$CX20,3&lt;=$GH$4),"3 → "&amp;$FD20&amp;", "&amp;IF($CV20=1,14,9)&amp;" PE",""),IF(AND(4&gt;$CX20,4&lt;=$GH$4),"4 → "&amp;$FE20&amp;", "&amp;IF($CV20=1,18,12)&amp;" PE",""),IF(AND(5&gt;$CX20,5&lt;=$GH$4),"5 → "&amp;$FF20&amp;", "&amp;IF($CV20=1,23,15)&amp;" PE",""),IF(AND(6&gt;$CX20,6&lt;=$GH$4),"6 → "&amp;$FG20&amp;", "&amp;IF($CV20=1,27,18)&amp;" PE",""),IF(AND(7&gt;$CX20,7&lt;=$GH$4),"7 → "&amp;$FH20&amp;", "&amp;IF($CV20=1,32,21)&amp;" PE",""))))</f>
        <v/>
      </c>
      <c r="FZ20" s="140">
        <f>IF(OR($DI20=0,$DL20=0),"","−"&amp;INDEX($I$2:$N$8,$CX20,$DL20)&amp;" · "&amp;CHOOSE($DL20,"Leve","Média","Pesada","Leve · Livre","Média · Livre","Pesada · Livre"))</f>
        <v/>
      </c>
      <c r="GA20" s="140">
        <f>IF(OR($DI20=0,$DM20=0),"","−"&amp;INDEX($I$2:$N$8,$CX20,$DM20)&amp;" · "&amp;CHOOSE($DM20,"Leve","Média","Pesada","Leve · Livre","Média · Livre","Pesada · Livre"))</f>
        <v/>
      </c>
      <c r="GB20" s="140">
        <f>IF(OR($DI20=0,$DN20=0),"","−"&amp;INDEX($I$2:$N$8,$CX20,$DN20)&amp;" · "&amp;CHOOSE($DN20,"Leve","Média","Pesada","Leve · Livre","Média · Livre","Pesada · Livre"))</f>
        <v/>
      </c>
      <c r="GC20" s="140">
        <f>IF(OR($DI20=0,$DO20=0),"","−"&amp;INDEX($I$2:$N$8,$CX20,$DO20)&amp;" · "&amp;CHOOSE($DO20,"Leve","Média","Pesada","Leve · Livre","Média · Livre","Pesada · Livre"))</f>
        <v/>
      </c>
      <c r="GD20" s="140">
        <f>IF(OR($DI20=0,$DE20=""),"",IF($DG20=1,"Selo","+"&amp;IF($DY20=1,CEILING($CX20/2,1),$CX20)))</f>
        <v/>
      </c>
      <c r="GE20" s="140">
        <f>IF(OR($DI20=0,$DF20=""),"",IF($DH20=1,"Selo","+"&amp;IF($DZ20=1,CEILING($CX20/2,1),$CX20)))</f>
        <v/>
      </c>
      <c r="GG20" s="114" t="inlineStr">
        <is>
          <t>sem espaço</t>
        </is>
      </c>
      <c r="GH20" s="140">
        <f>IF($GH$18+$GH$19&gt;$GH$14,1,0)</f>
        <v/>
      </c>
    </row>
    <row r="21">
      <c r="AG21" s="114" t="inlineStr">
        <is>
          <t>Cura · classes 1 a 5</t>
        </is>
      </c>
      <c r="AH21" s="114" t="inlineStr">
        <is>
          <t>um aliado a 9 m</t>
        </is>
      </c>
      <c r="AI21" s="114" t="inlineStr">
        <is>
          <t>um aliado a 18 m</t>
        </is>
      </c>
      <c r="AJ21" s="114" t="inlineStr">
        <is>
          <t>um aliado a 36 m</t>
        </is>
      </c>
      <c r="AK21" s="114" t="inlineStr">
        <is>
          <t>um aliado a 90 m</t>
        </is>
      </c>
      <c r="AL21" s="114" t="inlineStr">
        <is>
          <t>um aliado a o que você enxergar</t>
        </is>
      </c>
      <c r="AM21" s="114" t="inlineStr">
        <is>
          <t>um aliado a o que você enxergar</t>
        </is>
      </c>
      <c r="AN21" s="114" t="inlineStr"/>
      <c r="AO21" s="114" t="inlineStr"/>
      <c r="AP21" s="114" t="inlineStr"/>
      <c r="AQ21" s="114" t="inlineStr"/>
      <c r="AR21" s="114" t="inlineStr"/>
      <c r="AS21" s="114" t="inlineStr"/>
      <c r="AU21" s="114" t="inlineStr">
        <is>
          <t>Corrói</t>
        </is>
      </c>
      <c r="AV21" s="114" t="inlineStr">
        <is>
          <t>Mira</t>
        </is>
      </c>
      <c r="AW21" s="140" t="n">
        <v>3</v>
      </c>
      <c r="AX21" s="140">
        <f>$AW21+3*IFERROR(VLOOKUP($AV21,$A$2:$D$10,3,FALSE),0)</f>
        <v/>
      </c>
      <c r="AY21" s="140">
        <f>IFERROR(VLOOKUP($AV21,$A$2:$D$10,4,FALSE),0)</f>
        <v/>
      </c>
      <c r="AZ21" s="140" t="n">
        <v>0</v>
      </c>
      <c r="BA21" s="140">
        <f>IF($AY21=1,"",$AU21)</f>
        <v/>
      </c>
      <c r="BB21" s="140">
        <f>IF(AND($AW21=1,$AY21=0),$AU21,"")</f>
        <v/>
      </c>
      <c r="BD21" s="114" t="inlineStr">
        <is>
          <t>Peso Morto</t>
        </is>
      </c>
      <c r="BE21" s="114" t="inlineStr">
        <is>
          <t>Peso Morto</t>
        </is>
      </c>
      <c r="BF21" s="140" t="n">
        <v>1</v>
      </c>
      <c r="BG21" s="140" t="n">
        <v>0</v>
      </c>
      <c r="BH21" s="114" t="inlineStr">
        <is>
          <t>Peso Morto</t>
        </is>
      </c>
      <c r="CU21" s="114" t="inlineStr">
        <is>
          <t>Feitiço 20</t>
        </is>
      </c>
      <c r="CV21" s="140" t="n">
        <v>0</v>
      </c>
      <c r="CW21" s="140" t="n">
        <v>20</v>
      </c>
      <c r="CX21" s="140">
        <f>MAX(1,MIN(7,N('FICHA AMALDIÇOADA'!$J$173)))</f>
        <v/>
      </c>
      <c r="CY21" s="140">
        <f>'FICHA AMALDIÇOADA'!$K$173&amp;""</f>
        <v/>
      </c>
      <c r="CZ21" s="140">
        <f>'FICHA AMALDIÇOADA'!$J$180&amp;""</f>
        <v/>
      </c>
      <c r="DA21" s="140">
        <f>'FICHA AMALDIÇOADA'!$K$182&amp;""</f>
        <v/>
      </c>
      <c r="DB21" s="140">
        <f>'FICHA AMALDIÇOADA'!$K$183&amp;""</f>
        <v/>
      </c>
      <c r="DC21" s="140">
        <f>'FICHA AMALDIÇOADA'!$K$184&amp;""</f>
        <v/>
      </c>
      <c r="DD21" s="140">
        <f>'FICHA AMALDIÇOADA'!$K$185&amp;""</f>
        <v/>
      </c>
      <c r="DE21" s="140">
        <f>'FICHA AMALDIÇOADA'!$K$186&amp;""</f>
        <v/>
      </c>
      <c r="DF21" s="140">
        <f>'FICHA AMALDIÇOADA'!$K$187&amp;""</f>
        <v/>
      </c>
      <c r="DG21" s="140">
        <f>IF('FICHA AMALDIÇOADA'!$N$186=TRUE,1,0)</f>
        <v/>
      </c>
      <c r="DH21" s="140">
        <f>IF('FICHA AMALDIÇOADA'!$N$187=TRUE,1,0)</f>
        <v/>
      </c>
      <c r="DI21" s="140">
        <f>IF($CY21&lt;&gt;"",1,0)</f>
        <v/>
      </c>
      <c r="DJ21" s="140">
        <f>IFERROR(MATCH($CZ21,$Q$2:$Q$11,0),0)</f>
        <v/>
      </c>
      <c r="DK21" s="140">
        <f>IF($DJ21=0,0,INDEX($T$2:$T$11,$DJ21))</f>
        <v/>
      </c>
      <c r="DL21" s="140">
        <f>IFERROR(VLOOKUP($DA21,$AU$2:$BB$84,4,FALSE),0)</f>
        <v/>
      </c>
      <c r="DM21" s="140">
        <f>IFERROR(VLOOKUP($DB21,$AU$2:$BB$84,4,FALSE),0)</f>
        <v/>
      </c>
      <c r="DN21" s="140">
        <f>IFERROR(VLOOKUP($DC21,$AU$2:$BB$84,4,FALSE),0)</f>
        <v/>
      </c>
      <c r="DO21" s="140">
        <f>IFERROR(VLOOKUP($DD21,$AU$2:$BB$84,4,FALSE),0)</f>
        <v/>
      </c>
      <c r="DP21" s="140">
        <f>IF($DJ21=0,0,INDEX($U$2:$U$11,$DJ21))</f>
        <v/>
      </c>
      <c r="DQ21" s="140">
        <f>IFERROR(VLOOKUP($DA21,$AU$2:$BB$84,5,FALSE),0)</f>
        <v/>
      </c>
      <c r="DR21" s="140">
        <f>IFERROR(VLOOKUP($DB21,$AU$2:$BB$84,5,FALSE),0)</f>
        <v/>
      </c>
      <c r="DS21" s="140">
        <f>IFERROR(VLOOKUP($DC21,$AU$2:$BB$84,5,FALSE),0)</f>
        <v/>
      </c>
      <c r="DT21" s="140">
        <f>IFERROR(VLOOKUP($DD21,$AU$2:$BB$84,5,FALSE),0)</f>
        <v/>
      </c>
      <c r="DU21" s="140">
        <f>IFERROR(VLOOKUP($DA21,$AU$2:$BB$84,6,FALSE),0)+IFERROR(VLOOKUP($DB21,$AU$2:$BB$84,6,FALSE),0)+IFERROR(VLOOKUP($DC21,$AU$2:$BB$84,6,FALSE),0)+IFERROR(VLOOKUP($DD21,$AU$2:$BB$84,6,FALSE),0)</f>
        <v/>
      </c>
      <c r="DV21" s="140">
        <f>IF($DJ21=0,0,INDEX($V$2:$V$11,$DJ21))</f>
        <v/>
      </c>
      <c r="DW21" s="140">
        <f>IF($DJ21=0,0,INDEX($W$2:$W$11,$DJ21))</f>
        <v/>
      </c>
      <c r="DX21" s="140">
        <f>IF($DJ21=0,0,INDEX($Y$2:$Y$11,$DJ21))</f>
        <v/>
      </c>
      <c r="DY21" s="140">
        <f>IF($DG21=1,0,IFERROR(VLOOKUP($DE21,$BD$2:$BH$24,3,FALSE),0))</f>
        <v/>
      </c>
      <c r="DZ21" s="140">
        <f>IF($DH21=1,0,IFERROR(VLOOKUP($DF21,$BD$2:$BH$24,3,FALSE),0))</f>
        <v/>
      </c>
      <c r="EA21" s="140">
        <f>IFERROR(VLOOKUP($DE21,$BD$2:$BH$24,2,FALSE),"")</f>
        <v/>
      </c>
      <c r="EB21" s="140">
        <f>IFERROR(VLOOKUP($DF21,$BD$2:$BH$24,2,FALSE),"")</f>
        <v/>
      </c>
      <c r="EC21" s="140">
        <f>COUNTIF($DK21:$DO21,1)</f>
        <v/>
      </c>
      <c r="ED21" s="140">
        <f>COUNTIF($DK21:$DO21,2)</f>
        <v/>
      </c>
      <c r="EE21" s="140">
        <f>COUNTIF($DK21:$DO21,3)</f>
        <v/>
      </c>
      <c r="EF21" s="140">
        <f>COUNTIF($DK21:$DO21,4)</f>
        <v/>
      </c>
      <c r="EG21" s="140">
        <f>COUNTIF($DK21:$DO21,5)</f>
        <v/>
      </c>
      <c r="EH21" s="140">
        <f>COUNTIF($DK21:$DO21,6)</f>
        <v/>
      </c>
      <c r="EI21" s="140">
        <f>COUNTIF($DY21:$DZ21,1)</f>
        <v/>
      </c>
      <c r="EJ21" s="140">
        <f>COUNTIF($DY21:$DZ21,2)+$DV21</f>
        <v/>
      </c>
      <c r="EK21" s="140">
        <f>COUNTIF($DA21:$DD21,"?*")</f>
        <v/>
      </c>
      <c r="EL21" s="140">
        <f>COUNTIF($DE21:$DF21,"?*")+$DV21</f>
        <v/>
      </c>
      <c r="EM21" s="140">
        <f>SUMPRODUCT($EC21:$EH21,INDEX($I$2:$N$8,$CX21,0))</f>
        <v/>
      </c>
      <c r="EN21" s="140">
        <f>$EI21*CEILING($CX21/2,1)+$EJ21*$CX21</f>
        <v/>
      </c>
      <c r="EO21" s="140">
        <f>MIN(2*$CX21,$EN21)</f>
        <v/>
      </c>
      <c r="EP21" s="140">
        <f>MIN($EO21,$EM21)</f>
        <v/>
      </c>
      <c r="EQ21" s="140">
        <f>$EO21-$EP21</f>
        <v/>
      </c>
      <c r="ER21" s="140">
        <f>3*$CX21-$EM21+$EP21</f>
        <v/>
      </c>
      <c r="ES21" s="140">
        <f>MAX(0,$ER21)+$CV21*$CX21</f>
        <v/>
      </c>
      <c r="ET21" s="140">
        <f>(IF(COUNTIF($DA21:$DD21,"Salto")&gt;0,1,0)+IF(COUNTIF($DA21:$DD21,"Queima")&gt;0,1,0))*FLOOR($ES21/2,1)</f>
        <v/>
      </c>
      <c r="EU21" s="140">
        <f>MAX(0,3-SUMPRODUCT($EC21:$EH21,$I$2:$N$2)+MIN(2,$EI21*1+$EJ21*1,SUMPRODUCT($EC21:$EH21,$I$2:$N$2)))+$CV21*1</f>
        <v/>
      </c>
      <c r="EV21" s="140">
        <f>MAX(0,6-SUMPRODUCT($EC21:$EH21,$I$3:$N$3)+MIN(4,$EI21*1+$EJ21*2,SUMPRODUCT($EC21:$EH21,$I$3:$N$3)))+$CV21*2</f>
        <v/>
      </c>
      <c r="EW21" s="140">
        <f>MAX(0,9-SUMPRODUCT($EC21:$EH21,$I$4:$N$4)+MIN(6,$EI21*2+$EJ21*3,SUMPRODUCT($EC21:$EH21,$I$4:$N$4)))+$CV21*3</f>
        <v/>
      </c>
      <c r="EX21" s="140">
        <f>MAX(0,12-SUMPRODUCT($EC21:$EH21,$I$5:$N$5)+MIN(8,$EI21*2+$EJ21*4,SUMPRODUCT($EC21:$EH21,$I$5:$N$5)))+$CV21*4</f>
        <v/>
      </c>
      <c r="EY21" s="140">
        <f>MAX(0,15-SUMPRODUCT($EC21:$EH21,$I$6:$N$6)+MIN(10,$EI21*3+$EJ21*5,SUMPRODUCT($EC21:$EH21,$I$6:$N$6)))+$CV21*5</f>
        <v/>
      </c>
      <c r="EZ21" s="140">
        <f>MAX(0,18-SUMPRODUCT($EC21:$EH21,$I$7:$N$7)+MIN(12,$EI21*3+$EJ21*6,SUMPRODUCT($EC21:$EH21,$I$7:$N$7)))+$CV21*6</f>
        <v/>
      </c>
      <c r="FA21" s="140">
        <f>MAX(0,21-SUMPRODUCT($EC21:$EH21,$I$8:$N$8)+MIN(14,$EI21*4+$EJ21*7,SUMPRODUCT($EC21:$EH21,$I$8:$N$8)))+$CV21*7</f>
        <v/>
      </c>
      <c r="FB21" s="140">
        <f>IF($DW21=2,3*$EU21&amp;" de vida temp.",IF($DW21=3,"sem dano",IF($EU21=0,IF($DW21=1,"sem cura","sem dano"),IF($DW21=1,"cura ","")&amp;$EU21&amp;"d8")))</f>
        <v/>
      </c>
      <c r="FC21" s="140">
        <f>IF($DW21=2,3*$EV21&amp;" de vida temp.",IF($DW21=3,"sem dano",IF($EV21=0,IF($DW21=1,"sem cura","sem dano"),IF($DW21=1,"cura ","")&amp;$EV21&amp;"d8")))</f>
        <v/>
      </c>
      <c r="FD21" s="140">
        <f>IF($DW21=2,3*$EW21&amp;" de vida temp.",IF($DW21=3,"sem dano",IF($EW21=0,IF($DW21=1,"sem cura","sem dano"),IF($DW21=1,"cura ","")&amp;$EW21&amp;"d8")))</f>
        <v/>
      </c>
      <c r="FE21" s="140">
        <f>IF($DW21=2,3*$EX21&amp;" de vida temp.",IF($DW21=3,"sem dano",IF($EX21=0,IF($DW21=1,"sem cura","sem dano"),IF($DW21=1,"cura ","")&amp;$EX21&amp;"d8")))</f>
        <v/>
      </c>
      <c r="FF21" s="140">
        <f>IF($DW21=2,3*$EY21&amp;" de vida temp.",IF($DW21=3,"sem dano",IF($EY21=0,IF($DW21=1,"sem cura","sem dano"),IF($DW21=1,"cura ","")&amp;$EY21&amp;"d8")))</f>
        <v/>
      </c>
      <c r="FG21" s="140">
        <f>IF($DW21=2,3*$EZ21&amp;" de vida temp.",IF($DW21=3,"sem dano",IF($EZ21=0,IF($DW21=1,"sem cura","sem dano"),IF($DW21=1,"cura ","")&amp;$EZ21&amp;"d8")))</f>
        <v/>
      </c>
      <c r="FH21" s="140">
        <f>IF($DW21=2,3*$FA21&amp;" de vida temp.",IF($DW21=3,"sem dano",IF($FA21=0,IF($DW21=1,"sem cura","sem dano"),IF($DW21=1,"cura ","")&amp;$FA21&amp;"d8")))</f>
        <v/>
      </c>
      <c r="FI21" s="140">
        <f>IF($DI21=0,"",TEXTJOIN(" · ",TRUE,IF(AND($CV21=1,$CW21&gt;$GH$9),"O nível "&amp;$GH$2&amp;" dá "&amp;$GH$9&amp;" Liberação Máxima",""),IF($CX21&gt;$GH$4,"Classe "&amp;$CX21&amp;": o nível "&amp;$GH$2&amp;" libera até a "&amp;$GH$4,""),IF($DP21=1,"Família Fechada: a Forma "&amp;$CZ21,""),IF($DQ21=1,"Família Fechada: "&amp;$DA21,""),IF($DR21=1,"Família Fechada: "&amp;$DB21,""),IF($DS21=1,"Família Fechada: "&amp;$DC21,""),IF($DT21=1,"Família Fechada: "&amp;$DD21,""),IF($EK21&gt;INDEX($O$2:$O$8,$CX21),$EK21&amp;" Melhorias: a Classe "&amp;$CX21&amp;" aceita "&amp;INDEX($O$2:$O$8,$CX21),""),IF($EL21&gt;2,$EL21&amp;" Restrições"&amp;IF($DV21=1,", contando a que a Forma "&amp;$CZ21&amp;" já traz","")&amp;": o limite é 2",""),IF($ER21&lt;0,"Orçamento estourado: faltam "&amp;(-$ER21)&amp;IF($ER21&lt;-1," pontos"," ponto"),""),IF(IFERROR(VLOOKUP($DE21,$BD$2:$BH$24,4,FALSE),0)+IFERROR(VLOOKUP($DF21,$BD$2:$BH$24,4,FALSE),0)&gt;1,$EA21&amp;" e "&amp;$EB21&amp;" são as duas de frequência",""),IF(AND((COUNTIF($DA21:$DD21,"Rápido")+COUNTIF($EA21:$EB21,"Rápido"))&gt;0,(COUNTIF($DA21:$DD21,"Reação")+COUNTIF($EA21:$EB21,"Reação"))&gt;0),"Rápido não entra com Reação",""),IF(AND((COUNTIF($DA21:$DD21,"Rápido")+COUNTIF($EA21:$EB21,"Rápido"))&gt;0,(COUNTIF($DA21:$DD21,"Atrasar")+COUNTIF($EA21:$EB21,"Atrasar"))&gt;0),"Rápido não entra com Atrasar",""),IF(AND((COUNTIF($DA21:$DD21,"Reação")+COUNTIF($EA21:$EB21,"Reação"))&gt;0,(COUNTIF($DA21:$DD21,"Atrasar")+COUNTIF($EA21:$EB21,"Atrasar"))&gt;0),"Reação não entra com Atrasar",""),IF(AND((COUNTIF($DA21:$DD21,"Reação")+COUNTIF($EA21:$EB21,"Reação"))&gt;0,(COUNTIF($DA21:$DD21,"Parado")+COUNTIF($EA21:$EB21,"Parado"))&gt;0),"Reação não entra com Parado",""),IF(AND(COUNTIF($EA21:$EB21,"Corpo a Corpo")&gt;0,$DV21=0,OR($CZ21="Cone",$CZ21="Linha")),"Corpo a Corpo não entra em "&amp;$CZ21,""),IF(AND(COUNTIF($EA21:$EB21,"Corpo a Corpo")&gt;0,$DV21=1),"A Forma "&amp;$CZ21&amp;" já traz o Corpo a Corpo",""),IF(AND(COUNTIF($EA21:$EB21,"Tudo ou Nada")&gt;0,$DX21=0),"Tudo ou Nada só entra em feitiço de Teste de Resistência",""),IF(AND(COUNTIF($DA21:$DD21,"Inescapável")&gt;0,OR($EK21&gt;1,$EL21&gt;0)),"Inescapável não aceita outra peça",""),IF(AND($CV21=1,$CX21&lt;3),"Liberação Máxima é de Classe 3 ou mais",""),IF(AND($CV21=1,OR($DW21=1,$DW21=2)),"Liberação Máxima não serve para cura",""),IF(AND($CV21=1,COUNTIF($DA21:$DD21,"Inescapável")+COUNTIF($DA21:$DD21,"Toca a Alma")&gt;0),"Esta peça não entra numa Liberação Máxima",""),IF($ES21+$ET21&gt;4*$CX21,($ES21+$ET21)&amp;" dados somando alvos e repetições: o teto da Classe "&amp;$CX21&amp;" é "&amp;4*$CX21,"")))</f>
        <v/>
      </c>
      <c r="FJ21" s="140">
        <f>IF($FI21="",0,(LEN($FI21)-LEN(SUBSTITUTE($FI21," · ","")))/3+1)</f>
        <v/>
      </c>
      <c r="FK21" s="140">
        <f>IF($DI21=0,"",TEXTJOIN(" · ",TRUE,IF($EN21&gt;2*$CX21,"A devolução parou no teto de "&amp;2*$CX21,""),IF($EQ21&gt;0,"Devolução perdida: "&amp;$EQ21&amp;IF($EQ21&gt;1," pontos"," ponto")&amp;" sem peça para pagar",""),IF(AND($DU21&gt;0,$ES21=0),"Controle sem dano: uma rodada a mais e CD +2",""),IF(AND($DU21&gt;0,$ES21&gt;0,$ES21&lt;=$CX21),"Controle com um quarto do teto: uma rodada a mais","")))</f>
        <v/>
      </c>
      <c r="FL21" s="140">
        <f>IF($FK21="",0,(LEN($FK21)-LEN(SUBSTITUTE($FK21," · ","")))/3+1)</f>
        <v/>
      </c>
      <c r="FM21" s="140">
        <f>IF($DI21=0,IF($EK21+$EL21-$DV21&gt;0,"dê um nome",""),IF($FJ21&gt;0,"⚠ "&amp;$FJ21&amp;IF($FJ21&gt;1," erros"," erro"),IF($FL21&gt;0,"! "&amp;$FL21&amp;IF($FL21&gt;1," avisos"," aviso"),"na regra")))</f>
        <v/>
      </c>
      <c r="FN21" s="140">
        <f>IF($DI21=0,"",IF($FJ21+$FL21=0,"Dentro das regras que a ficha confere",$FI21&amp;IF(AND($FJ21&gt;0,$FL21&gt;0)," · ","")&amp;$FK21))</f>
        <v/>
      </c>
      <c r="FO21" s="140">
        <f>IF($DI21=0,"",IF($CV21=1,CEILING(4.5*$CX21,1),3*$CX21)&amp;" PE")</f>
        <v/>
      </c>
      <c r="FP21" s="140">
        <f>IF($DI21=0,"",IF($CV21=1,"Rodada inteira",IF(COUNTIF($EA21:$EB21,"Atrasar")&gt;0,IF(COUNTIF($EA21:$EB21,"Carregar")&gt;0,"Rodada +1 turno","Rodada inteira"),IF(COUNTIF($DA21:$DD21,"Rápido")&gt;0,"Bônus",IF(COUNTIF($DA21:$DD21,"Reação")&gt;0,"Reação","Padrão"))&amp;IF(COUNTIF($EA21:$EB21,"Carregar")&gt;0," +1 turno",""))))</f>
        <v/>
      </c>
      <c r="FQ21" s="140">
        <f>IF(OR($DI21=0,$DJ21=0),"",IF(COUNTIF($DA21:$DD21,"Inescapável")&gt;0,"Automático",IF(COUNTIF($DA21:$DD21,"Certeiro")&gt;0,"TR para metade",INDEX($X$2:$X$11,$DJ21))))</f>
        <v/>
      </c>
      <c r="FR21" s="140">
        <f>IF(OR($DI21=0,$DJ21=0),"",IF(OR($DW21&gt;=2,$ES21=0),INDEX($FB21:$FH21,1,$CX21),INDEX($FB21:$FH21,1,$CX21)&amp;" = "&amp;FLOOR($ES21*4.5,1)&amp;IF($ET21&gt;0," · +"&amp;$ET21&amp;"d8","")))</f>
        <v/>
      </c>
      <c r="FS21" s="140">
        <f>COUNTIF($DA21:$DD21,"Longe")+3*COUNTIF($DA21:$DD21,"Muito Longe")</f>
        <v/>
      </c>
      <c r="FT21" s="140">
        <f>COUNTIF($DA21:$DD21,"Maior")+3*COUNTIF($DA21:$DD21,"Muito Maior")</f>
        <v/>
      </c>
      <c r="FU21" s="140">
        <f>IF($DJ21=0,0,CHOOSE(1+INDEX($Z$2:$Z$11,$DJ21),0,$FS21,$FT21,$FS21+$FT21))</f>
        <v/>
      </c>
      <c r="FV21" s="140">
        <f>IF($DJ21=0,0,CHOOSE(1+INDEX($AA$2:$AA$11,$DJ21),0,$FS21,$FT21,$FS21+$FT21))</f>
        <v/>
      </c>
      <c r="FW21" s="140">
        <f>IF(OR($DI21=0,$DJ21=0),"",INDEX($AH$2:$AM$31,($DJ21-1)*3+IF($CX21&gt;=6,3,2),1+MIN(5,$FU21))&amp;INDEX($AN$2:$AS$31,($DJ21-1)*3+IF($CX21&gt;=6,3,2),1+MIN(5,$FV21))&amp;IF(INDEX($AB$2:$AB$11,$DJ21)=1,IF(COUNTIF($DA21:$DD21,"Mais Um")&gt;0," · +"&amp;COUNTIF($DA21:$DD21,"Mais Um")&amp;IF(COUNTIF($DA21:$DD21,"Mais Um")&gt;1," alvos"," alvo"),"")&amp;IF(COUNTIF($DA21:$DD21,"Rajada")&gt;0," · "&amp;($CX21+1)&amp;" tiros",""),""))</f>
        <v/>
      </c>
      <c r="FX21" s="140">
        <f>IF($DI21=0,"",3*$CX21&amp;" − "&amp;$EM21&amp;" + "&amp;$EP21&amp;IF($CV21=1," + "&amp;$CX21,"")&amp;" = "&amp;$ES21&amp;"d8 · teto "&amp;4*$CX21&amp;IF($DV21=1," · a Forma devolve "&amp;$CX21,"")&amp;IF($EQ21&gt;0," · perde "&amp;$EQ21,""))</f>
        <v/>
      </c>
      <c r="FY21" s="140">
        <f>IF($DI21=0,"",IF($CX21&gt;=$GH$4,"Já está na maior Classe que o nível liberou",TEXTJOIN(" · ",TRUE,IF(AND(2&gt;$CX21,2&lt;=$GH$4),"2 → "&amp;$FC21&amp;", "&amp;IF($CV21=1,9,6)&amp;" PE",""),IF(AND(3&gt;$CX21,3&lt;=$GH$4),"3 → "&amp;$FD21&amp;", "&amp;IF($CV21=1,14,9)&amp;" PE",""),IF(AND(4&gt;$CX21,4&lt;=$GH$4),"4 → "&amp;$FE21&amp;", "&amp;IF($CV21=1,18,12)&amp;" PE",""),IF(AND(5&gt;$CX21,5&lt;=$GH$4),"5 → "&amp;$FF21&amp;", "&amp;IF($CV21=1,23,15)&amp;" PE",""),IF(AND(6&gt;$CX21,6&lt;=$GH$4),"6 → "&amp;$FG21&amp;", "&amp;IF($CV21=1,27,18)&amp;" PE",""),IF(AND(7&gt;$CX21,7&lt;=$GH$4),"7 → "&amp;$FH21&amp;", "&amp;IF($CV21=1,32,21)&amp;" PE",""))))</f>
        <v/>
      </c>
      <c r="FZ21" s="140">
        <f>IF(OR($DI21=0,$DL21=0),"","−"&amp;INDEX($I$2:$N$8,$CX21,$DL21)&amp;" · "&amp;CHOOSE($DL21,"Leve","Média","Pesada","Leve · Livre","Média · Livre","Pesada · Livre"))</f>
        <v/>
      </c>
      <c r="GA21" s="140">
        <f>IF(OR($DI21=0,$DM21=0),"","−"&amp;INDEX($I$2:$N$8,$CX21,$DM21)&amp;" · "&amp;CHOOSE($DM21,"Leve","Média","Pesada","Leve · Livre","Média · Livre","Pesada · Livre"))</f>
        <v/>
      </c>
      <c r="GB21" s="140">
        <f>IF(OR($DI21=0,$DN21=0),"","−"&amp;INDEX($I$2:$N$8,$CX21,$DN21)&amp;" · "&amp;CHOOSE($DN21,"Leve","Média","Pesada","Leve · Livre","Média · Livre","Pesada · Livre"))</f>
        <v/>
      </c>
      <c r="GC21" s="140">
        <f>IF(OR($DI21=0,$DO21=0),"","−"&amp;INDEX($I$2:$N$8,$CX21,$DO21)&amp;" · "&amp;CHOOSE($DO21,"Leve","Média","Pesada","Leve · Livre","Média · Livre","Pesada · Livre"))</f>
        <v/>
      </c>
      <c r="GD21" s="140">
        <f>IF(OR($DI21=0,$DE21=""),"",IF($DG21=1,"Selo","+"&amp;IF($DY21=1,CEILING($CX21/2,1),$CX21)))</f>
        <v/>
      </c>
      <c r="GE21" s="140">
        <f>IF(OR($DI21=0,$DF21=""),"",IF($DH21=1,"Selo","+"&amp;IF($DZ21=1,CEILING($CX21/2,1),$CX21)))</f>
        <v/>
      </c>
      <c r="GG21" s="114" t="inlineStr">
        <is>
          <t>cabem</t>
        </is>
      </c>
      <c r="GH21" s="140">
        <f>$GH$14+$GH$8-$GH$18-$GH$19</f>
        <v/>
      </c>
    </row>
    <row r="22">
      <c r="AG22" s="114" t="inlineStr">
        <is>
          <t>Cura · classes 6 e 7</t>
        </is>
      </c>
      <c r="AH22" s="114" t="inlineStr">
        <is>
          <t>um aliado a 18 m</t>
        </is>
      </c>
      <c r="AI22" s="114" t="inlineStr">
        <is>
          <t>um aliado a 36 m</t>
        </is>
      </c>
      <c r="AJ22" s="114" t="inlineStr">
        <is>
          <t>um aliado a 90 m</t>
        </is>
      </c>
      <c r="AK22" s="114" t="inlineStr">
        <is>
          <t>um aliado a o que você enxergar</t>
        </is>
      </c>
      <c r="AL22" s="114" t="inlineStr">
        <is>
          <t>um aliado a o que você enxergar</t>
        </is>
      </c>
      <c r="AM22" s="114" t="inlineStr">
        <is>
          <t>um aliado a o que você enxergar</t>
        </is>
      </c>
      <c r="AN22" s="114" t="inlineStr"/>
      <c r="AO22" s="114" t="inlineStr"/>
      <c r="AP22" s="114" t="inlineStr"/>
      <c r="AQ22" s="114" t="inlineStr"/>
      <c r="AR22" s="114" t="inlineStr"/>
      <c r="AS22" s="114" t="inlineStr"/>
      <c r="AU22" s="114" t="inlineStr">
        <is>
          <t>Sem Cobertura</t>
        </is>
      </c>
      <c r="AV22" s="114" t="inlineStr">
        <is>
          <t>Mira</t>
        </is>
      </c>
      <c r="AW22" s="140" t="n">
        <v>1</v>
      </c>
      <c r="AX22" s="140">
        <f>$AW22+3*IFERROR(VLOOKUP($AV22,$A$2:$D$10,3,FALSE),0)</f>
        <v/>
      </c>
      <c r="AY22" s="140">
        <f>IFERROR(VLOOKUP($AV22,$A$2:$D$10,4,FALSE),0)</f>
        <v/>
      </c>
      <c r="AZ22" s="140" t="n">
        <v>0</v>
      </c>
      <c r="BA22" s="140">
        <f>IF($AY22=1,"",$AU22)</f>
        <v/>
      </c>
      <c r="BB22" s="140">
        <f>IF(AND($AW22=1,$AY22=0),$AU22,"")</f>
        <v/>
      </c>
      <c r="BD22" s="114" t="inlineStr">
        <is>
          <t>Sem Volta</t>
        </is>
      </c>
      <c r="BE22" s="114" t="inlineStr">
        <is>
          <t>Sem Volta</t>
        </is>
      </c>
      <c r="BF22" s="140" t="n">
        <v>2</v>
      </c>
      <c r="BG22" s="140" t="n">
        <v>0</v>
      </c>
      <c r="BH22" s="114" t="inlineStr"/>
      <c r="CU22" s="114" t="inlineStr">
        <is>
          <t>Feitiço 21</t>
        </is>
      </c>
      <c r="CV22" s="140" t="n">
        <v>0</v>
      </c>
      <c r="CW22" s="140" t="n">
        <v>21</v>
      </c>
      <c r="CX22" s="140">
        <f>MAX(1,MIN(7,N('FICHA AMALDIÇOADA'!$P$173)))</f>
        <v/>
      </c>
      <c r="CY22" s="140">
        <f>'FICHA AMALDIÇOADA'!$Q$173&amp;""</f>
        <v/>
      </c>
      <c r="CZ22" s="140">
        <f>'FICHA AMALDIÇOADA'!$P$180&amp;""</f>
        <v/>
      </c>
      <c r="DA22" s="140">
        <f>'FICHA AMALDIÇOADA'!$Q$182&amp;""</f>
        <v/>
      </c>
      <c r="DB22" s="140">
        <f>'FICHA AMALDIÇOADA'!$Q$183&amp;""</f>
        <v/>
      </c>
      <c r="DC22" s="140">
        <f>'FICHA AMALDIÇOADA'!$Q$184&amp;""</f>
        <v/>
      </c>
      <c r="DD22" s="140">
        <f>'FICHA AMALDIÇOADA'!$Q$185&amp;""</f>
        <v/>
      </c>
      <c r="DE22" s="140">
        <f>'FICHA AMALDIÇOADA'!$Q$186&amp;""</f>
        <v/>
      </c>
      <c r="DF22" s="140">
        <f>'FICHA AMALDIÇOADA'!$Q$187&amp;""</f>
        <v/>
      </c>
      <c r="DG22" s="140">
        <f>IF('FICHA AMALDIÇOADA'!$T$186=TRUE,1,0)</f>
        <v/>
      </c>
      <c r="DH22" s="140">
        <f>IF('FICHA AMALDIÇOADA'!$T$187=TRUE,1,0)</f>
        <v/>
      </c>
      <c r="DI22" s="140">
        <f>IF($CY22&lt;&gt;"",1,0)</f>
        <v/>
      </c>
      <c r="DJ22" s="140">
        <f>IFERROR(MATCH($CZ22,$Q$2:$Q$11,0),0)</f>
        <v/>
      </c>
      <c r="DK22" s="140">
        <f>IF($DJ22=0,0,INDEX($T$2:$T$11,$DJ22))</f>
        <v/>
      </c>
      <c r="DL22" s="140">
        <f>IFERROR(VLOOKUP($DA22,$AU$2:$BB$84,4,FALSE),0)</f>
        <v/>
      </c>
      <c r="DM22" s="140">
        <f>IFERROR(VLOOKUP($DB22,$AU$2:$BB$84,4,FALSE),0)</f>
        <v/>
      </c>
      <c r="DN22" s="140">
        <f>IFERROR(VLOOKUP($DC22,$AU$2:$BB$84,4,FALSE),0)</f>
        <v/>
      </c>
      <c r="DO22" s="140">
        <f>IFERROR(VLOOKUP($DD22,$AU$2:$BB$84,4,FALSE),0)</f>
        <v/>
      </c>
      <c r="DP22" s="140">
        <f>IF($DJ22=0,0,INDEX($U$2:$U$11,$DJ22))</f>
        <v/>
      </c>
      <c r="DQ22" s="140">
        <f>IFERROR(VLOOKUP($DA22,$AU$2:$BB$84,5,FALSE),0)</f>
        <v/>
      </c>
      <c r="DR22" s="140">
        <f>IFERROR(VLOOKUP($DB22,$AU$2:$BB$84,5,FALSE),0)</f>
        <v/>
      </c>
      <c r="DS22" s="140">
        <f>IFERROR(VLOOKUP($DC22,$AU$2:$BB$84,5,FALSE),0)</f>
        <v/>
      </c>
      <c r="DT22" s="140">
        <f>IFERROR(VLOOKUP($DD22,$AU$2:$BB$84,5,FALSE),0)</f>
        <v/>
      </c>
      <c r="DU22" s="140">
        <f>IFERROR(VLOOKUP($DA22,$AU$2:$BB$84,6,FALSE),0)+IFERROR(VLOOKUP($DB22,$AU$2:$BB$84,6,FALSE),0)+IFERROR(VLOOKUP($DC22,$AU$2:$BB$84,6,FALSE),0)+IFERROR(VLOOKUP($DD22,$AU$2:$BB$84,6,FALSE),0)</f>
        <v/>
      </c>
      <c r="DV22" s="140">
        <f>IF($DJ22=0,0,INDEX($V$2:$V$11,$DJ22))</f>
        <v/>
      </c>
      <c r="DW22" s="140">
        <f>IF($DJ22=0,0,INDEX($W$2:$W$11,$DJ22))</f>
        <v/>
      </c>
      <c r="DX22" s="140">
        <f>IF($DJ22=0,0,INDEX($Y$2:$Y$11,$DJ22))</f>
        <v/>
      </c>
      <c r="DY22" s="140">
        <f>IF($DG22=1,0,IFERROR(VLOOKUP($DE22,$BD$2:$BH$24,3,FALSE),0))</f>
        <v/>
      </c>
      <c r="DZ22" s="140">
        <f>IF($DH22=1,0,IFERROR(VLOOKUP($DF22,$BD$2:$BH$24,3,FALSE),0))</f>
        <v/>
      </c>
      <c r="EA22" s="140">
        <f>IFERROR(VLOOKUP($DE22,$BD$2:$BH$24,2,FALSE),"")</f>
        <v/>
      </c>
      <c r="EB22" s="140">
        <f>IFERROR(VLOOKUP($DF22,$BD$2:$BH$24,2,FALSE),"")</f>
        <v/>
      </c>
      <c r="EC22" s="140">
        <f>COUNTIF($DK22:$DO22,1)</f>
        <v/>
      </c>
      <c r="ED22" s="140">
        <f>COUNTIF($DK22:$DO22,2)</f>
        <v/>
      </c>
      <c r="EE22" s="140">
        <f>COUNTIF($DK22:$DO22,3)</f>
        <v/>
      </c>
      <c r="EF22" s="140">
        <f>COUNTIF($DK22:$DO22,4)</f>
        <v/>
      </c>
      <c r="EG22" s="140">
        <f>COUNTIF($DK22:$DO22,5)</f>
        <v/>
      </c>
      <c r="EH22" s="140">
        <f>COUNTIF($DK22:$DO22,6)</f>
        <v/>
      </c>
      <c r="EI22" s="140">
        <f>COUNTIF($DY22:$DZ22,1)</f>
        <v/>
      </c>
      <c r="EJ22" s="140">
        <f>COUNTIF($DY22:$DZ22,2)+$DV22</f>
        <v/>
      </c>
      <c r="EK22" s="140">
        <f>COUNTIF($DA22:$DD22,"?*")</f>
        <v/>
      </c>
      <c r="EL22" s="140">
        <f>COUNTIF($DE22:$DF22,"?*")+$DV22</f>
        <v/>
      </c>
      <c r="EM22" s="140">
        <f>SUMPRODUCT($EC22:$EH22,INDEX($I$2:$N$8,$CX22,0))</f>
        <v/>
      </c>
      <c r="EN22" s="140">
        <f>$EI22*CEILING($CX22/2,1)+$EJ22*$CX22</f>
        <v/>
      </c>
      <c r="EO22" s="140">
        <f>MIN(2*$CX22,$EN22)</f>
        <v/>
      </c>
      <c r="EP22" s="140">
        <f>MIN($EO22,$EM22)</f>
        <v/>
      </c>
      <c r="EQ22" s="140">
        <f>$EO22-$EP22</f>
        <v/>
      </c>
      <c r="ER22" s="140">
        <f>3*$CX22-$EM22+$EP22</f>
        <v/>
      </c>
      <c r="ES22" s="140">
        <f>MAX(0,$ER22)+$CV22*$CX22</f>
        <v/>
      </c>
      <c r="ET22" s="140">
        <f>(IF(COUNTIF($DA22:$DD22,"Salto")&gt;0,1,0)+IF(COUNTIF($DA22:$DD22,"Queima")&gt;0,1,0))*FLOOR($ES22/2,1)</f>
        <v/>
      </c>
      <c r="EU22" s="140">
        <f>MAX(0,3-SUMPRODUCT($EC22:$EH22,$I$2:$N$2)+MIN(2,$EI22*1+$EJ22*1,SUMPRODUCT($EC22:$EH22,$I$2:$N$2)))+$CV22*1</f>
        <v/>
      </c>
      <c r="EV22" s="140">
        <f>MAX(0,6-SUMPRODUCT($EC22:$EH22,$I$3:$N$3)+MIN(4,$EI22*1+$EJ22*2,SUMPRODUCT($EC22:$EH22,$I$3:$N$3)))+$CV22*2</f>
        <v/>
      </c>
      <c r="EW22" s="140">
        <f>MAX(0,9-SUMPRODUCT($EC22:$EH22,$I$4:$N$4)+MIN(6,$EI22*2+$EJ22*3,SUMPRODUCT($EC22:$EH22,$I$4:$N$4)))+$CV22*3</f>
        <v/>
      </c>
      <c r="EX22" s="140">
        <f>MAX(0,12-SUMPRODUCT($EC22:$EH22,$I$5:$N$5)+MIN(8,$EI22*2+$EJ22*4,SUMPRODUCT($EC22:$EH22,$I$5:$N$5)))+$CV22*4</f>
        <v/>
      </c>
      <c r="EY22" s="140">
        <f>MAX(0,15-SUMPRODUCT($EC22:$EH22,$I$6:$N$6)+MIN(10,$EI22*3+$EJ22*5,SUMPRODUCT($EC22:$EH22,$I$6:$N$6)))+$CV22*5</f>
        <v/>
      </c>
      <c r="EZ22" s="140">
        <f>MAX(0,18-SUMPRODUCT($EC22:$EH22,$I$7:$N$7)+MIN(12,$EI22*3+$EJ22*6,SUMPRODUCT($EC22:$EH22,$I$7:$N$7)))+$CV22*6</f>
        <v/>
      </c>
      <c r="FA22" s="140">
        <f>MAX(0,21-SUMPRODUCT($EC22:$EH22,$I$8:$N$8)+MIN(14,$EI22*4+$EJ22*7,SUMPRODUCT($EC22:$EH22,$I$8:$N$8)))+$CV22*7</f>
        <v/>
      </c>
      <c r="FB22" s="140">
        <f>IF($DW22=2,3*$EU22&amp;" de vida temp.",IF($DW22=3,"sem dano",IF($EU22=0,IF($DW22=1,"sem cura","sem dano"),IF($DW22=1,"cura ","")&amp;$EU22&amp;"d8")))</f>
        <v/>
      </c>
      <c r="FC22" s="140">
        <f>IF($DW22=2,3*$EV22&amp;" de vida temp.",IF($DW22=3,"sem dano",IF($EV22=0,IF($DW22=1,"sem cura","sem dano"),IF($DW22=1,"cura ","")&amp;$EV22&amp;"d8")))</f>
        <v/>
      </c>
      <c r="FD22" s="140">
        <f>IF($DW22=2,3*$EW22&amp;" de vida temp.",IF($DW22=3,"sem dano",IF($EW22=0,IF($DW22=1,"sem cura","sem dano"),IF($DW22=1,"cura ","")&amp;$EW22&amp;"d8")))</f>
        <v/>
      </c>
      <c r="FE22" s="140">
        <f>IF($DW22=2,3*$EX22&amp;" de vida temp.",IF($DW22=3,"sem dano",IF($EX22=0,IF($DW22=1,"sem cura","sem dano"),IF($DW22=1,"cura ","")&amp;$EX22&amp;"d8")))</f>
        <v/>
      </c>
      <c r="FF22" s="140">
        <f>IF($DW22=2,3*$EY22&amp;" de vida temp.",IF($DW22=3,"sem dano",IF($EY22=0,IF($DW22=1,"sem cura","sem dano"),IF($DW22=1,"cura ","")&amp;$EY22&amp;"d8")))</f>
        <v/>
      </c>
      <c r="FG22" s="140">
        <f>IF($DW22=2,3*$EZ22&amp;" de vida temp.",IF($DW22=3,"sem dano",IF($EZ22=0,IF($DW22=1,"sem cura","sem dano"),IF($DW22=1,"cura ","")&amp;$EZ22&amp;"d8")))</f>
        <v/>
      </c>
      <c r="FH22" s="140">
        <f>IF($DW22=2,3*$FA22&amp;" de vida temp.",IF($DW22=3,"sem dano",IF($FA22=0,IF($DW22=1,"sem cura","sem dano"),IF($DW22=1,"cura ","")&amp;$FA22&amp;"d8")))</f>
        <v/>
      </c>
      <c r="FI22" s="140">
        <f>IF($DI22=0,"",TEXTJOIN(" · ",TRUE,IF(AND($CV22=1,$CW22&gt;$GH$9),"O nível "&amp;$GH$2&amp;" dá "&amp;$GH$9&amp;" Liberação Máxima",""),IF($CX22&gt;$GH$4,"Classe "&amp;$CX22&amp;": o nível "&amp;$GH$2&amp;" libera até a "&amp;$GH$4,""),IF($DP22=1,"Família Fechada: a Forma "&amp;$CZ22,""),IF($DQ22=1,"Família Fechada: "&amp;$DA22,""),IF($DR22=1,"Família Fechada: "&amp;$DB22,""),IF($DS22=1,"Família Fechada: "&amp;$DC22,""),IF($DT22=1,"Família Fechada: "&amp;$DD22,""),IF($EK22&gt;INDEX($O$2:$O$8,$CX22),$EK22&amp;" Melhorias: a Classe "&amp;$CX22&amp;" aceita "&amp;INDEX($O$2:$O$8,$CX22),""),IF($EL22&gt;2,$EL22&amp;" Restrições"&amp;IF($DV22=1,", contando a que a Forma "&amp;$CZ22&amp;" já traz","")&amp;": o limite é 2",""),IF($ER22&lt;0,"Orçamento estourado: faltam "&amp;(-$ER22)&amp;IF($ER22&lt;-1," pontos"," ponto"),""),IF(IFERROR(VLOOKUP($DE22,$BD$2:$BH$24,4,FALSE),0)+IFERROR(VLOOKUP($DF22,$BD$2:$BH$24,4,FALSE),0)&gt;1,$EA22&amp;" e "&amp;$EB22&amp;" são as duas de frequência",""),IF(AND((COUNTIF($DA22:$DD22,"Rápido")+COUNTIF($EA22:$EB22,"Rápido"))&gt;0,(COUNTIF($DA22:$DD22,"Reação")+COUNTIF($EA22:$EB22,"Reação"))&gt;0),"Rápido não entra com Reação",""),IF(AND((COUNTIF($DA22:$DD22,"Rápido")+COUNTIF($EA22:$EB22,"Rápido"))&gt;0,(COUNTIF($DA22:$DD22,"Atrasar")+COUNTIF($EA22:$EB22,"Atrasar"))&gt;0),"Rápido não entra com Atrasar",""),IF(AND((COUNTIF($DA22:$DD22,"Reação")+COUNTIF($EA22:$EB22,"Reação"))&gt;0,(COUNTIF($DA22:$DD22,"Atrasar")+COUNTIF($EA22:$EB22,"Atrasar"))&gt;0),"Reação não entra com Atrasar",""),IF(AND((COUNTIF($DA22:$DD22,"Reação")+COUNTIF($EA22:$EB22,"Reação"))&gt;0,(COUNTIF($DA22:$DD22,"Parado")+COUNTIF($EA22:$EB22,"Parado"))&gt;0),"Reação não entra com Parado",""),IF(AND(COUNTIF($EA22:$EB22,"Corpo a Corpo")&gt;0,$DV22=0,OR($CZ22="Cone",$CZ22="Linha")),"Corpo a Corpo não entra em "&amp;$CZ22,""),IF(AND(COUNTIF($EA22:$EB22,"Corpo a Corpo")&gt;0,$DV22=1),"A Forma "&amp;$CZ22&amp;" já traz o Corpo a Corpo",""),IF(AND(COUNTIF($EA22:$EB22,"Tudo ou Nada")&gt;0,$DX22=0),"Tudo ou Nada só entra em feitiço de Teste de Resistência",""),IF(AND(COUNTIF($DA22:$DD22,"Inescapável")&gt;0,OR($EK22&gt;1,$EL22&gt;0)),"Inescapável não aceita outra peça",""),IF(AND($CV22=1,$CX22&lt;3),"Liberação Máxima é de Classe 3 ou mais",""),IF(AND($CV22=1,OR($DW22=1,$DW22=2)),"Liberação Máxima não serve para cura",""),IF(AND($CV22=1,COUNTIF($DA22:$DD22,"Inescapável")+COUNTIF($DA22:$DD22,"Toca a Alma")&gt;0),"Esta peça não entra numa Liberação Máxima",""),IF($ES22+$ET22&gt;4*$CX22,($ES22+$ET22)&amp;" dados somando alvos e repetições: o teto da Classe "&amp;$CX22&amp;" é "&amp;4*$CX22,"")))</f>
        <v/>
      </c>
      <c r="FJ22" s="140">
        <f>IF($FI22="",0,(LEN($FI22)-LEN(SUBSTITUTE($FI22," · ","")))/3+1)</f>
        <v/>
      </c>
      <c r="FK22" s="140">
        <f>IF($DI22=0,"",TEXTJOIN(" · ",TRUE,IF($EN22&gt;2*$CX22,"A devolução parou no teto de "&amp;2*$CX22,""),IF($EQ22&gt;0,"Devolução perdida: "&amp;$EQ22&amp;IF($EQ22&gt;1," pontos"," ponto")&amp;" sem peça para pagar",""),IF(AND($DU22&gt;0,$ES22=0),"Controle sem dano: uma rodada a mais e CD +2",""),IF(AND($DU22&gt;0,$ES22&gt;0,$ES22&lt;=$CX22),"Controle com um quarto do teto: uma rodada a mais","")))</f>
        <v/>
      </c>
      <c r="FL22" s="140">
        <f>IF($FK22="",0,(LEN($FK22)-LEN(SUBSTITUTE($FK22," · ","")))/3+1)</f>
        <v/>
      </c>
      <c r="FM22" s="140">
        <f>IF($DI22=0,IF($EK22+$EL22-$DV22&gt;0,"dê um nome",""),IF($FJ22&gt;0,"⚠ "&amp;$FJ22&amp;IF($FJ22&gt;1," erros"," erro"),IF($FL22&gt;0,"! "&amp;$FL22&amp;IF($FL22&gt;1," avisos"," aviso"),"na regra")))</f>
        <v/>
      </c>
      <c r="FN22" s="140">
        <f>IF($DI22=0,"",IF($FJ22+$FL22=0,"Dentro das regras que a ficha confere",$FI22&amp;IF(AND($FJ22&gt;0,$FL22&gt;0)," · ","")&amp;$FK22))</f>
        <v/>
      </c>
      <c r="FO22" s="140">
        <f>IF($DI22=0,"",IF($CV22=1,CEILING(4.5*$CX22,1),3*$CX22)&amp;" PE")</f>
        <v/>
      </c>
      <c r="FP22" s="140">
        <f>IF($DI22=0,"",IF($CV22=1,"Rodada inteira",IF(COUNTIF($EA22:$EB22,"Atrasar")&gt;0,IF(COUNTIF($EA22:$EB22,"Carregar")&gt;0,"Rodada +1 turno","Rodada inteira"),IF(COUNTIF($DA22:$DD22,"Rápido")&gt;0,"Bônus",IF(COUNTIF($DA22:$DD22,"Reação")&gt;0,"Reação","Padrão"))&amp;IF(COUNTIF($EA22:$EB22,"Carregar")&gt;0," +1 turno",""))))</f>
        <v/>
      </c>
      <c r="FQ22" s="140">
        <f>IF(OR($DI22=0,$DJ22=0),"",IF(COUNTIF($DA22:$DD22,"Inescapável")&gt;0,"Automático",IF(COUNTIF($DA22:$DD22,"Certeiro")&gt;0,"TR para metade",INDEX($X$2:$X$11,$DJ22))))</f>
        <v/>
      </c>
      <c r="FR22" s="140">
        <f>IF(OR($DI22=0,$DJ22=0),"",IF(OR($DW22&gt;=2,$ES22=0),INDEX($FB22:$FH22,1,$CX22),INDEX($FB22:$FH22,1,$CX22)&amp;" = "&amp;FLOOR($ES22*4.5,1)&amp;IF($ET22&gt;0," · +"&amp;$ET22&amp;"d8","")))</f>
        <v/>
      </c>
      <c r="FS22" s="140">
        <f>COUNTIF($DA22:$DD22,"Longe")+3*COUNTIF($DA22:$DD22,"Muito Longe")</f>
        <v/>
      </c>
      <c r="FT22" s="140">
        <f>COUNTIF($DA22:$DD22,"Maior")+3*COUNTIF($DA22:$DD22,"Muito Maior")</f>
        <v/>
      </c>
      <c r="FU22" s="140">
        <f>IF($DJ22=0,0,CHOOSE(1+INDEX($Z$2:$Z$11,$DJ22),0,$FS22,$FT22,$FS22+$FT22))</f>
        <v/>
      </c>
      <c r="FV22" s="140">
        <f>IF($DJ22=0,0,CHOOSE(1+INDEX($AA$2:$AA$11,$DJ22),0,$FS22,$FT22,$FS22+$FT22))</f>
        <v/>
      </c>
      <c r="FW22" s="140">
        <f>IF(OR($DI22=0,$DJ22=0),"",INDEX($AH$2:$AM$31,($DJ22-1)*3+IF($CX22&gt;=6,3,2),1+MIN(5,$FU22))&amp;INDEX($AN$2:$AS$31,($DJ22-1)*3+IF($CX22&gt;=6,3,2),1+MIN(5,$FV22))&amp;IF(INDEX($AB$2:$AB$11,$DJ22)=1,IF(COUNTIF($DA22:$DD22,"Mais Um")&gt;0," · +"&amp;COUNTIF($DA22:$DD22,"Mais Um")&amp;IF(COUNTIF($DA22:$DD22,"Mais Um")&gt;1," alvos"," alvo"),"")&amp;IF(COUNTIF($DA22:$DD22,"Rajada")&gt;0," · "&amp;($CX22+1)&amp;" tiros",""),""))</f>
        <v/>
      </c>
      <c r="FX22" s="140">
        <f>IF($DI22=0,"",3*$CX22&amp;" − "&amp;$EM22&amp;" + "&amp;$EP22&amp;IF($CV22=1," + "&amp;$CX22,"")&amp;" = "&amp;$ES22&amp;"d8 · teto "&amp;4*$CX22&amp;IF($DV22=1," · a Forma devolve "&amp;$CX22,"")&amp;IF($EQ22&gt;0," · perde "&amp;$EQ22,""))</f>
        <v/>
      </c>
      <c r="FY22" s="140">
        <f>IF($DI22=0,"",IF($CX22&gt;=$GH$4,"Já está na maior Classe que o nível liberou",TEXTJOIN(" · ",TRUE,IF(AND(2&gt;$CX22,2&lt;=$GH$4),"2 → "&amp;$FC22&amp;", "&amp;IF($CV22=1,9,6)&amp;" PE",""),IF(AND(3&gt;$CX22,3&lt;=$GH$4),"3 → "&amp;$FD22&amp;", "&amp;IF($CV22=1,14,9)&amp;" PE",""),IF(AND(4&gt;$CX22,4&lt;=$GH$4),"4 → "&amp;$FE22&amp;", "&amp;IF($CV22=1,18,12)&amp;" PE",""),IF(AND(5&gt;$CX22,5&lt;=$GH$4),"5 → "&amp;$FF22&amp;", "&amp;IF($CV22=1,23,15)&amp;" PE",""),IF(AND(6&gt;$CX22,6&lt;=$GH$4),"6 → "&amp;$FG22&amp;", "&amp;IF($CV22=1,27,18)&amp;" PE",""),IF(AND(7&gt;$CX22,7&lt;=$GH$4),"7 → "&amp;$FH22&amp;", "&amp;IF($CV22=1,32,21)&amp;" PE",""))))</f>
        <v/>
      </c>
      <c r="FZ22" s="140">
        <f>IF(OR($DI22=0,$DL22=0),"","−"&amp;INDEX($I$2:$N$8,$CX22,$DL22)&amp;" · "&amp;CHOOSE($DL22,"Leve","Média","Pesada","Leve · Livre","Média · Livre","Pesada · Livre"))</f>
        <v/>
      </c>
      <c r="GA22" s="140">
        <f>IF(OR($DI22=0,$DM22=0),"","−"&amp;INDEX($I$2:$N$8,$CX22,$DM22)&amp;" · "&amp;CHOOSE($DM22,"Leve","Média","Pesada","Leve · Livre","Média · Livre","Pesada · Livre"))</f>
        <v/>
      </c>
      <c r="GB22" s="140">
        <f>IF(OR($DI22=0,$DN22=0),"","−"&amp;INDEX($I$2:$N$8,$CX22,$DN22)&amp;" · "&amp;CHOOSE($DN22,"Leve","Média","Pesada","Leve · Livre","Média · Livre","Pesada · Livre"))</f>
        <v/>
      </c>
      <c r="GC22" s="140">
        <f>IF(OR($DI22=0,$DO22=0),"","−"&amp;INDEX($I$2:$N$8,$CX22,$DO22)&amp;" · "&amp;CHOOSE($DO22,"Leve","Média","Pesada","Leve · Livre","Média · Livre","Pesada · Livre"))</f>
        <v/>
      </c>
      <c r="GD22" s="140">
        <f>IF(OR($DI22=0,$DE22=""),"",IF($DG22=1,"Selo","+"&amp;IF($DY22=1,CEILING($CX22/2,1),$CX22)))</f>
        <v/>
      </c>
      <c r="GE22" s="140">
        <f>IF(OR($DI22=0,$DF22=""),"",IF($DH22=1,"Selo","+"&amp;IF($DZ22=1,CEILING($CX22/2,1),$CX22)))</f>
        <v/>
      </c>
      <c r="GG22" s="114" t="inlineStr">
        <is>
          <t>livres</t>
        </is>
      </c>
      <c r="GH22" s="140">
        <f>$GH$21-$GH$15</f>
        <v/>
      </c>
    </row>
    <row r="23">
      <c r="AG23" s="114" t="inlineStr">
        <is>
          <t>Apoio · classe 0</t>
        </is>
      </c>
      <c r="AH23" s="114" t="inlineStr">
        <is>
          <t>um aliado a 4,5 m</t>
        </is>
      </c>
      <c r="AI23" s="114" t="inlineStr">
        <is>
          <t>um aliado a 9 m</t>
        </is>
      </c>
      <c r="AJ23" s="114" t="inlineStr">
        <is>
          <t>um aliado a 18 m</t>
        </is>
      </c>
      <c r="AK23" s="114" t="inlineStr">
        <is>
          <t>um aliado a 36 m</t>
        </is>
      </c>
      <c r="AL23" s="114" t="inlineStr">
        <is>
          <t>um aliado a 90 m</t>
        </is>
      </c>
      <c r="AM23" s="114" t="inlineStr">
        <is>
          <t>um aliado a o que você enxergar</t>
        </is>
      </c>
      <c r="AN23" s="114" t="inlineStr"/>
      <c r="AO23" s="114" t="inlineStr"/>
      <c r="AP23" s="114" t="inlineStr"/>
      <c r="AQ23" s="114" t="inlineStr"/>
      <c r="AR23" s="114" t="inlineStr"/>
      <c r="AS23" s="114" t="inlineStr"/>
      <c r="AU23" s="114" t="inlineStr">
        <is>
          <t>De Novo</t>
        </is>
      </c>
      <c r="AV23" s="114" t="inlineStr">
        <is>
          <t>Mira</t>
        </is>
      </c>
      <c r="AW23" s="140" t="n">
        <v>2</v>
      </c>
      <c r="AX23" s="140">
        <f>$AW23+3*IFERROR(VLOOKUP($AV23,$A$2:$D$10,3,FALSE),0)</f>
        <v/>
      </c>
      <c r="AY23" s="140">
        <f>IFERROR(VLOOKUP($AV23,$A$2:$D$10,4,FALSE),0)</f>
        <v/>
      </c>
      <c r="AZ23" s="140" t="n">
        <v>0</v>
      </c>
      <c r="BA23" s="140">
        <f>IF($AY23=1,"",$AU23)</f>
        <v/>
      </c>
      <c r="BB23" s="140">
        <f>IF(AND($AW23=1,$AY23=0),$AU23,"")</f>
        <v/>
      </c>
      <c r="BD23" s="114" t="inlineStr">
        <is>
          <t>Restrição Própria (Leve)</t>
        </is>
      </c>
      <c r="BE23" s="114" t="inlineStr">
        <is>
          <t>Restrição Própria</t>
        </is>
      </c>
      <c r="BF23" s="140" t="n">
        <v>1</v>
      </c>
      <c r="BG23" s="140" t="n">
        <v>0</v>
      </c>
      <c r="BH23" s="114" t="inlineStr">
        <is>
          <t>Restrição Própria (Leve)</t>
        </is>
      </c>
      <c r="CU23" s="114" t="inlineStr">
        <is>
          <t>Feitiço 22</t>
        </is>
      </c>
      <c r="CV23" s="140" t="n">
        <v>0</v>
      </c>
      <c r="CW23" s="140" t="n">
        <v>22</v>
      </c>
      <c r="CX23" s="140">
        <f>MAX(1,MIN(7,N('FICHA AMALDIÇOADA'!$D$194)))</f>
        <v/>
      </c>
      <c r="CY23" s="140">
        <f>'FICHA AMALDIÇOADA'!$E$194&amp;""</f>
        <v/>
      </c>
      <c r="CZ23" s="140">
        <f>'FICHA AMALDIÇOADA'!$D$201&amp;""</f>
        <v/>
      </c>
      <c r="DA23" s="140">
        <f>'FICHA AMALDIÇOADA'!$E$203&amp;""</f>
        <v/>
      </c>
      <c r="DB23" s="140">
        <f>'FICHA AMALDIÇOADA'!$E$204&amp;""</f>
        <v/>
      </c>
      <c r="DC23" s="140">
        <f>'FICHA AMALDIÇOADA'!$E$205&amp;""</f>
        <v/>
      </c>
      <c r="DD23" s="140">
        <f>'FICHA AMALDIÇOADA'!$E$206&amp;""</f>
        <v/>
      </c>
      <c r="DE23" s="140">
        <f>'FICHA AMALDIÇOADA'!$E$207&amp;""</f>
        <v/>
      </c>
      <c r="DF23" s="140">
        <f>'FICHA AMALDIÇOADA'!$E$208&amp;""</f>
        <v/>
      </c>
      <c r="DG23" s="140">
        <f>IF('FICHA AMALDIÇOADA'!$H$207=TRUE,1,0)</f>
        <v/>
      </c>
      <c r="DH23" s="140">
        <f>IF('FICHA AMALDIÇOADA'!$H$208=TRUE,1,0)</f>
        <v/>
      </c>
      <c r="DI23" s="140">
        <f>IF($CY23&lt;&gt;"",1,0)</f>
        <v/>
      </c>
      <c r="DJ23" s="140">
        <f>IFERROR(MATCH($CZ23,$Q$2:$Q$11,0),0)</f>
        <v/>
      </c>
      <c r="DK23" s="140">
        <f>IF($DJ23=0,0,INDEX($T$2:$T$11,$DJ23))</f>
        <v/>
      </c>
      <c r="DL23" s="140">
        <f>IFERROR(VLOOKUP($DA23,$AU$2:$BB$84,4,FALSE),0)</f>
        <v/>
      </c>
      <c r="DM23" s="140">
        <f>IFERROR(VLOOKUP($DB23,$AU$2:$BB$84,4,FALSE),0)</f>
        <v/>
      </c>
      <c r="DN23" s="140">
        <f>IFERROR(VLOOKUP($DC23,$AU$2:$BB$84,4,FALSE),0)</f>
        <v/>
      </c>
      <c r="DO23" s="140">
        <f>IFERROR(VLOOKUP($DD23,$AU$2:$BB$84,4,FALSE),0)</f>
        <v/>
      </c>
      <c r="DP23" s="140">
        <f>IF($DJ23=0,0,INDEX($U$2:$U$11,$DJ23))</f>
        <v/>
      </c>
      <c r="DQ23" s="140">
        <f>IFERROR(VLOOKUP($DA23,$AU$2:$BB$84,5,FALSE),0)</f>
        <v/>
      </c>
      <c r="DR23" s="140">
        <f>IFERROR(VLOOKUP($DB23,$AU$2:$BB$84,5,FALSE),0)</f>
        <v/>
      </c>
      <c r="DS23" s="140">
        <f>IFERROR(VLOOKUP($DC23,$AU$2:$BB$84,5,FALSE),0)</f>
        <v/>
      </c>
      <c r="DT23" s="140">
        <f>IFERROR(VLOOKUP($DD23,$AU$2:$BB$84,5,FALSE),0)</f>
        <v/>
      </c>
      <c r="DU23" s="140">
        <f>IFERROR(VLOOKUP($DA23,$AU$2:$BB$84,6,FALSE),0)+IFERROR(VLOOKUP($DB23,$AU$2:$BB$84,6,FALSE),0)+IFERROR(VLOOKUP($DC23,$AU$2:$BB$84,6,FALSE),0)+IFERROR(VLOOKUP($DD23,$AU$2:$BB$84,6,FALSE),0)</f>
        <v/>
      </c>
      <c r="DV23" s="140">
        <f>IF($DJ23=0,0,INDEX($V$2:$V$11,$DJ23))</f>
        <v/>
      </c>
      <c r="DW23" s="140">
        <f>IF($DJ23=0,0,INDEX($W$2:$W$11,$DJ23))</f>
        <v/>
      </c>
      <c r="DX23" s="140">
        <f>IF($DJ23=0,0,INDEX($Y$2:$Y$11,$DJ23))</f>
        <v/>
      </c>
      <c r="DY23" s="140">
        <f>IF($DG23=1,0,IFERROR(VLOOKUP($DE23,$BD$2:$BH$24,3,FALSE),0))</f>
        <v/>
      </c>
      <c r="DZ23" s="140">
        <f>IF($DH23=1,0,IFERROR(VLOOKUP($DF23,$BD$2:$BH$24,3,FALSE),0))</f>
        <v/>
      </c>
      <c r="EA23" s="140">
        <f>IFERROR(VLOOKUP($DE23,$BD$2:$BH$24,2,FALSE),"")</f>
        <v/>
      </c>
      <c r="EB23" s="140">
        <f>IFERROR(VLOOKUP($DF23,$BD$2:$BH$24,2,FALSE),"")</f>
        <v/>
      </c>
      <c r="EC23" s="140">
        <f>COUNTIF($DK23:$DO23,1)</f>
        <v/>
      </c>
      <c r="ED23" s="140">
        <f>COUNTIF($DK23:$DO23,2)</f>
        <v/>
      </c>
      <c r="EE23" s="140">
        <f>COUNTIF($DK23:$DO23,3)</f>
        <v/>
      </c>
      <c r="EF23" s="140">
        <f>COUNTIF($DK23:$DO23,4)</f>
        <v/>
      </c>
      <c r="EG23" s="140">
        <f>COUNTIF($DK23:$DO23,5)</f>
        <v/>
      </c>
      <c r="EH23" s="140">
        <f>COUNTIF($DK23:$DO23,6)</f>
        <v/>
      </c>
      <c r="EI23" s="140">
        <f>COUNTIF($DY23:$DZ23,1)</f>
        <v/>
      </c>
      <c r="EJ23" s="140">
        <f>COUNTIF($DY23:$DZ23,2)+$DV23</f>
        <v/>
      </c>
      <c r="EK23" s="140">
        <f>COUNTIF($DA23:$DD23,"?*")</f>
        <v/>
      </c>
      <c r="EL23" s="140">
        <f>COUNTIF($DE23:$DF23,"?*")+$DV23</f>
        <v/>
      </c>
      <c r="EM23" s="140">
        <f>SUMPRODUCT($EC23:$EH23,INDEX($I$2:$N$8,$CX23,0))</f>
        <v/>
      </c>
      <c r="EN23" s="140">
        <f>$EI23*CEILING($CX23/2,1)+$EJ23*$CX23</f>
        <v/>
      </c>
      <c r="EO23" s="140">
        <f>MIN(2*$CX23,$EN23)</f>
        <v/>
      </c>
      <c r="EP23" s="140">
        <f>MIN($EO23,$EM23)</f>
        <v/>
      </c>
      <c r="EQ23" s="140">
        <f>$EO23-$EP23</f>
        <v/>
      </c>
      <c r="ER23" s="140">
        <f>3*$CX23-$EM23+$EP23</f>
        <v/>
      </c>
      <c r="ES23" s="140">
        <f>MAX(0,$ER23)+$CV23*$CX23</f>
        <v/>
      </c>
      <c r="ET23" s="140">
        <f>(IF(COUNTIF($DA23:$DD23,"Salto")&gt;0,1,0)+IF(COUNTIF($DA23:$DD23,"Queima")&gt;0,1,0))*FLOOR($ES23/2,1)</f>
        <v/>
      </c>
      <c r="EU23" s="140">
        <f>MAX(0,3-SUMPRODUCT($EC23:$EH23,$I$2:$N$2)+MIN(2,$EI23*1+$EJ23*1,SUMPRODUCT($EC23:$EH23,$I$2:$N$2)))+$CV23*1</f>
        <v/>
      </c>
      <c r="EV23" s="140">
        <f>MAX(0,6-SUMPRODUCT($EC23:$EH23,$I$3:$N$3)+MIN(4,$EI23*1+$EJ23*2,SUMPRODUCT($EC23:$EH23,$I$3:$N$3)))+$CV23*2</f>
        <v/>
      </c>
      <c r="EW23" s="140">
        <f>MAX(0,9-SUMPRODUCT($EC23:$EH23,$I$4:$N$4)+MIN(6,$EI23*2+$EJ23*3,SUMPRODUCT($EC23:$EH23,$I$4:$N$4)))+$CV23*3</f>
        <v/>
      </c>
      <c r="EX23" s="140">
        <f>MAX(0,12-SUMPRODUCT($EC23:$EH23,$I$5:$N$5)+MIN(8,$EI23*2+$EJ23*4,SUMPRODUCT($EC23:$EH23,$I$5:$N$5)))+$CV23*4</f>
        <v/>
      </c>
      <c r="EY23" s="140">
        <f>MAX(0,15-SUMPRODUCT($EC23:$EH23,$I$6:$N$6)+MIN(10,$EI23*3+$EJ23*5,SUMPRODUCT($EC23:$EH23,$I$6:$N$6)))+$CV23*5</f>
        <v/>
      </c>
      <c r="EZ23" s="140">
        <f>MAX(0,18-SUMPRODUCT($EC23:$EH23,$I$7:$N$7)+MIN(12,$EI23*3+$EJ23*6,SUMPRODUCT($EC23:$EH23,$I$7:$N$7)))+$CV23*6</f>
        <v/>
      </c>
      <c r="FA23" s="140">
        <f>MAX(0,21-SUMPRODUCT($EC23:$EH23,$I$8:$N$8)+MIN(14,$EI23*4+$EJ23*7,SUMPRODUCT($EC23:$EH23,$I$8:$N$8)))+$CV23*7</f>
        <v/>
      </c>
      <c r="FB23" s="140">
        <f>IF($DW23=2,3*$EU23&amp;" de vida temp.",IF($DW23=3,"sem dano",IF($EU23=0,IF($DW23=1,"sem cura","sem dano"),IF($DW23=1,"cura ","")&amp;$EU23&amp;"d8")))</f>
        <v/>
      </c>
      <c r="FC23" s="140">
        <f>IF($DW23=2,3*$EV23&amp;" de vida temp.",IF($DW23=3,"sem dano",IF($EV23=0,IF($DW23=1,"sem cura","sem dano"),IF($DW23=1,"cura ","")&amp;$EV23&amp;"d8")))</f>
        <v/>
      </c>
      <c r="FD23" s="140">
        <f>IF($DW23=2,3*$EW23&amp;" de vida temp.",IF($DW23=3,"sem dano",IF($EW23=0,IF($DW23=1,"sem cura","sem dano"),IF($DW23=1,"cura ","")&amp;$EW23&amp;"d8")))</f>
        <v/>
      </c>
      <c r="FE23" s="140">
        <f>IF($DW23=2,3*$EX23&amp;" de vida temp.",IF($DW23=3,"sem dano",IF($EX23=0,IF($DW23=1,"sem cura","sem dano"),IF($DW23=1,"cura ","")&amp;$EX23&amp;"d8")))</f>
        <v/>
      </c>
      <c r="FF23" s="140">
        <f>IF($DW23=2,3*$EY23&amp;" de vida temp.",IF($DW23=3,"sem dano",IF($EY23=0,IF($DW23=1,"sem cura","sem dano"),IF($DW23=1,"cura ","")&amp;$EY23&amp;"d8")))</f>
        <v/>
      </c>
      <c r="FG23" s="140">
        <f>IF($DW23=2,3*$EZ23&amp;" de vida temp.",IF($DW23=3,"sem dano",IF($EZ23=0,IF($DW23=1,"sem cura","sem dano"),IF($DW23=1,"cura ","")&amp;$EZ23&amp;"d8")))</f>
        <v/>
      </c>
      <c r="FH23" s="140">
        <f>IF($DW23=2,3*$FA23&amp;" de vida temp.",IF($DW23=3,"sem dano",IF($FA23=0,IF($DW23=1,"sem cura","sem dano"),IF($DW23=1,"cura ","")&amp;$FA23&amp;"d8")))</f>
        <v/>
      </c>
      <c r="FI23" s="140">
        <f>IF($DI23=0,"",TEXTJOIN(" · ",TRUE,IF(AND($CV23=1,$CW23&gt;$GH$9),"O nível "&amp;$GH$2&amp;" dá "&amp;$GH$9&amp;" Liberação Máxima",""),IF($CX23&gt;$GH$4,"Classe "&amp;$CX23&amp;": o nível "&amp;$GH$2&amp;" libera até a "&amp;$GH$4,""),IF($DP23=1,"Família Fechada: a Forma "&amp;$CZ23,""),IF($DQ23=1,"Família Fechada: "&amp;$DA23,""),IF($DR23=1,"Família Fechada: "&amp;$DB23,""),IF($DS23=1,"Família Fechada: "&amp;$DC23,""),IF($DT23=1,"Família Fechada: "&amp;$DD23,""),IF($EK23&gt;INDEX($O$2:$O$8,$CX23),$EK23&amp;" Melhorias: a Classe "&amp;$CX23&amp;" aceita "&amp;INDEX($O$2:$O$8,$CX23),""),IF($EL23&gt;2,$EL23&amp;" Restrições"&amp;IF($DV23=1,", contando a que a Forma "&amp;$CZ23&amp;" já traz","")&amp;": o limite é 2",""),IF($ER23&lt;0,"Orçamento estourado: faltam "&amp;(-$ER23)&amp;IF($ER23&lt;-1," pontos"," ponto"),""),IF(IFERROR(VLOOKUP($DE23,$BD$2:$BH$24,4,FALSE),0)+IFERROR(VLOOKUP($DF23,$BD$2:$BH$24,4,FALSE),0)&gt;1,$EA23&amp;" e "&amp;$EB23&amp;" são as duas de frequência",""),IF(AND((COUNTIF($DA23:$DD23,"Rápido")+COUNTIF($EA23:$EB23,"Rápido"))&gt;0,(COUNTIF($DA23:$DD23,"Reação")+COUNTIF($EA23:$EB23,"Reação"))&gt;0),"Rápido não entra com Reação",""),IF(AND((COUNTIF($DA23:$DD23,"Rápido")+COUNTIF($EA23:$EB23,"Rápido"))&gt;0,(COUNTIF($DA23:$DD23,"Atrasar")+COUNTIF($EA23:$EB23,"Atrasar"))&gt;0),"Rápido não entra com Atrasar",""),IF(AND((COUNTIF($DA23:$DD23,"Reação")+COUNTIF($EA23:$EB23,"Reação"))&gt;0,(COUNTIF($DA23:$DD23,"Atrasar")+COUNTIF($EA23:$EB23,"Atrasar"))&gt;0),"Reação não entra com Atrasar",""),IF(AND((COUNTIF($DA23:$DD23,"Reação")+COUNTIF($EA23:$EB23,"Reação"))&gt;0,(COUNTIF($DA23:$DD23,"Parado")+COUNTIF($EA23:$EB23,"Parado"))&gt;0),"Reação não entra com Parado",""),IF(AND(COUNTIF($EA23:$EB23,"Corpo a Corpo")&gt;0,$DV23=0,OR($CZ23="Cone",$CZ23="Linha")),"Corpo a Corpo não entra em "&amp;$CZ23,""),IF(AND(COUNTIF($EA23:$EB23,"Corpo a Corpo")&gt;0,$DV23=1),"A Forma "&amp;$CZ23&amp;" já traz o Corpo a Corpo",""),IF(AND(COUNTIF($EA23:$EB23,"Tudo ou Nada")&gt;0,$DX23=0),"Tudo ou Nada só entra em feitiço de Teste de Resistência",""),IF(AND(COUNTIF($DA23:$DD23,"Inescapável")&gt;0,OR($EK23&gt;1,$EL23&gt;0)),"Inescapável não aceita outra peça",""),IF(AND($CV23=1,$CX23&lt;3),"Liberação Máxima é de Classe 3 ou mais",""),IF(AND($CV23=1,OR($DW23=1,$DW23=2)),"Liberação Máxima não serve para cura",""),IF(AND($CV23=1,COUNTIF($DA23:$DD23,"Inescapável")+COUNTIF($DA23:$DD23,"Toca a Alma")&gt;0),"Esta peça não entra numa Liberação Máxima",""),IF($ES23+$ET23&gt;4*$CX23,($ES23+$ET23)&amp;" dados somando alvos e repetições: o teto da Classe "&amp;$CX23&amp;" é "&amp;4*$CX23,"")))</f>
        <v/>
      </c>
      <c r="FJ23" s="140">
        <f>IF($FI23="",0,(LEN($FI23)-LEN(SUBSTITUTE($FI23," · ","")))/3+1)</f>
        <v/>
      </c>
      <c r="FK23" s="140">
        <f>IF($DI23=0,"",TEXTJOIN(" · ",TRUE,IF($EN23&gt;2*$CX23,"A devolução parou no teto de "&amp;2*$CX23,""),IF($EQ23&gt;0,"Devolução perdida: "&amp;$EQ23&amp;IF($EQ23&gt;1," pontos"," ponto")&amp;" sem peça para pagar",""),IF(AND($DU23&gt;0,$ES23=0),"Controle sem dano: uma rodada a mais e CD +2",""),IF(AND($DU23&gt;0,$ES23&gt;0,$ES23&lt;=$CX23),"Controle com um quarto do teto: uma rodada a mais","")))</f>
        <v/>
      </c>
      <c r="FL23" s="140">
        <f>IF($FK23="",0,(LEN($FK23)-LEN(SUBSTITUTE($FK23," · ","")))/3+1)</f>
        <v/>
      </c>
      <c r="FM23" s="140">
        <f>IF($DI23=0,IF($EK23+$EL23-$DV23&gt;0,"dê um nome",""),IF($FJ23&gt;0,"⚠ "&amp;$FJ23&amp;IF($FJ23&gt;1," erros"," erro"),IF($FL23&gt;0,"! "&amp;$FL23&amp;IF($FL23&gt;1," avisos"," aviso"),"na regra")))</f>
        <v/>
      </c>
      <c r="FN23" s="140">
        <f>IF($DI23=0,"",IF($FJ23+$FL23=0,"Dentro das regras que a ficha confere",$FI23&amp;IF(AND($FJ23&gt;0,$FL23&gt;0)," · ","")&amp;$FK23))</f>
        <v/>
      </c>
      <c r="FO23" s="140">
        <f>IF($DI23=0,"",IF($CV23=1,CEILING(4.5*$CX23,1),3*$CX23)&amp;" PE")</f>
        <v/>
      </c>
      <c r="FP23" s="140">
        <f>IF($DI23=0,"",IF($CV23=1,"Rodada inteira",IF(COUNTIF($EA23:$EB23,"Atrasar")&gt;0,IF(COUNTIF($EA23:$EB23,"Carregar")&gt;0,"Rodada +1 turno","Rodada inteira"),IF(COUNTIF($DA23:$DD23,"Rápido")&gt;0,"Bônus",IF(COUNTIF($DA23:$DD23,"Reação")&gt;0,"Reação","Padrão"))&amp;IF(COUNTIF($EA23:$EB23,"Carregar")&gt;0," +1 turno",""))))</f>
        <v/>
      </c>
      <c r="FQ23" s="140">
        <f>IF(OR($DI23=0,$DJ23=0),"",IF(COUNTIF($DA23:$DD23,"Inescapável")&gt;0,"Automático",IF(COUNTIF($DA23:$DD23,"Certeiro")&gt;0,"TR para metade",INDEX($X$2:$X$11,$DJ23))))</f>
        <v/>
      </c>
      <c r="FR23" s="140">
        <f>IF(OR($DI23=0,$DJ23=0),"",IF(OR($DW23&gt;=2,$ES23=0),INDEX($FB23:$FH23,1,$CX23),INDEX($FB23:$FH23,1,$CX23)&amp;" = "&amp;FLOOR($ES23*4.5,1)&amp;IF($ET23&gt;0," · +"&amp;$ET23&amp;"d8","")))</f>
        <v/>
      </c>
      <c r="FS23" s="140">
        <f>COUNTIF($DA23:$DD23,"Longe")+3*COUNTIF($DA23:$DD23,"Muito Longe")</f>
        <v/>
      </c>
      <c r="FT23" s="140">
        <f>COUNTIF($DA23:$DD23,"Maior")+3*COUNTIF($DA23:$DD23,"Muito Maior")</f>
        <v/>
      </c>
      <c r="FU23" s="140">
        <f>IF($DJ23=0,0,CHOOSE(1+INDEX($Z$2:$Z$11,$DJ23),0,$FS23,$FT23,$FS23+$FT23))</f>
        <v/>
      </c>
      <c r="FV23" s="140">
        <f>IF($DJ23=0,0,CHOOSE(1+INDEX($AA$2:$AA$11,$DJ23),0,$FS23,$FT23,$FS23+$FT23))</f>
        <v/>
      </c>
      <c r="FW23" s="140">
        <f>IF(OR($DI23=0,$DJ23=0),"",INDEX($AH$2:$AM$31,($DJ23-1)*3+IF($CX23&gt;=6,3,2),1+MIN(5,$FU23))&amp;INDEX($AN$2:$AS$31,($DJ23-1)*3+IF($CX23&gt;=6,3,2),1+MIN(5,$FV23))&amp;IF(INDEX($AB$2:$AB$11,$DJ23)=1,IF(COUNTIF($DA23:$DD23,"Mais Um")&gt;0," · +"&amp;COUNTIF($DA23:$DD23,"Mais Um")&amp;IF(COUNTIF($DA23:$DD23,"Mais Um")&gt;1," alvos"," alvo"),"")&amp;IF(COUNTIF($DA23:$DD23,"Rajada")&gt;0," · "&amp;($CX23+1)&amp;" tiros",""),""))</f>
        <v/>
      </c>
      <c r="FX23" s="140">
        <f>IF($DI23=0,"",3*$CX23&amp;" − "&amp;$EM23&amp;" + "&amp;$EP23&amp;IF($CV23=1," + "&amp;$CX23,"")&amp;" = "&amp;$ES23&amp;"d8 · teto "&amp;4*$CX23&amp;IF($DV23=1," · a Forma devolve "&amp;$CX23,"")&amp;IF($EQ23&gt;0," · perde "&amp;$EQ23,""))</f>
        <v/>
      </c>
      <c r="FY23" s="140">
        <f>IF($DI23=0,"",IF($CX23&gt;=$GH$4,"Já está na maior Classe que o nível liberou",TEXTJOIN(" · ",TRUE,IF(AND(2&gt;$CX23,2&lt;=$GH$4),"2 → "&amp;$FC23&amp;", "&amp;IF($CV23=1,9,6)&amp;" PE",""),IF(AND(3&gt;$CX23,3&lt;=$GH$4),"3 → "&amp;$FD23&amp;", "&amp;IF($CV23=1,14,9)&amp;" PE",""),IF(AND(4&gt;$CX23,4&lt;=$GH$4),"4 → "&amp;$FE23&amp;", "&amp;IF($CV23=1,18,12)&amp;" PE",""),IF(AND(5&gt;$CX23,5&lt;=$GH$4),"5 → "&amp;$FF23&amp;", "&amp;IF($CV23=1,23,15)&amp;" PE",""),IF(AND(6&gt;$CX23,6&lt;=$GH$4),"6 → "&amp;$FG23&amp;", "&amp;IF($CV23=1,27,18)&amp;" PE",""),IF(AND(7&gt;$CX23,7&lt;=$GH$4),"7 → "&amp;$FH23&amp;", "&amp;IF($CV23=1,32,21)&amp;" PE",""))))</f>
        <v/>
      </c>
      <c r="FZ23" s="140">
        <f>IF(OR($DI23=0,$DL23=0),"","−"&amp;INDEX($I$2:$N$8,$CX23,$DL23)&amp;" · "&amp;CHOOSE($DL23,"Leve","Média","Pesada","Leve · Livre","Média · Livre","Pesada · Livre"))</f>
        <v/>
      </c>
      <c r="GA23" s="140">
        <f>IF(OR($DI23=0,$DM23=0),"","−"&amp;INDEX($I$2:$N$8,$CX23,$DM23)&amp;" · "&amp;CHOOSE($DM23,"Leve","Média","Pesada","Leve · Livre","Média · Livre","Pesada · Livre"))</f>
        <v/>
      </c>
      <c r="GB23" s="140">
        <f>IF(OR($DI23=0,$DN23=0),"","−"&amp;INDEX($I$2:$N$8,$CX23,$DN23)&amp;" · "&amp;CHOOSE($DN23,"Leve","Média","Pesada","Leve · Livre","Média · Livre","Pesada · Livre"))</f>
        <v/>
      </c>
      <c r="GC23" s="140">
        <f>IF(OR($DI23=0,$DO23=0),"","−"&amp;INDEX($I$2:$N$8,$CX23,$DO23)&amp;" · "&amp;CHOOSE($DO23,"Leve","Média","Pesada","Leve · Livre","Média · Livre","Pesada · Livre"))</f>
        <v/>
      </c>
      <c r="GD23" s="140">
        <f>IF(OR($DI23=0,$DE23=""),"",IF($DG23=1,"Selo","+"&amp;IF($DY23=1,CEILING($CX23/2,1),$CX23)))</f>
        <v/>
      </c>
      <c r="GE23" s="140">
        <f>IF(OR($DI23=0,$DF23=""),"",IF($DH23=1,"Selo","+"&amp;IF($DZ23=1,CEILING($CX23/2,1),$CX23)))</f>
        <v/>
      </c>
      <c r="GG23" s="114" t="inlineStr">
        <is>
          <t>passivas pagas</t>
        </is>
      </c>
      <c r="GH23" s="140">
        <f>IF('FICHA AMALDIÇOADA'!$D$373&lt;&gt;"",1,0)+IF('FICHA AMALDIÇOADA'!$J$373&lt;&gt;"",1,0)+IF('FICHA AMALDIÇOADA'!$P$373&lt;&gt;"",1,0)+IF('FICHA AMALDIÇOADA'!$D$381&lt;&gt;"",1,0)+IF('FICHA AMALDIÇOADA'!$J$381&lt;&gt;"",1,0)</f>
        <v/>
      </c>
    </row>
    <row r="24">
      <c r="AG24" s="114" t="inlineStr">
        <is>
          <t>Apoio · classes 1 a 5</t>
        </is>
      </c>
      <c r="AH24" s="114" t="inlineStr">
        <is>
          <t>um aliado a 9 m</t>
        </is>
      </c>
      <c r="AI24" s="114" t="inlineStr">
        <is>
          <t>um aliado a 18 m</t>
        </is>
      </c>
      <c r="AJ24" s="114" t="inlineStr">
        <is>
          <t>um aliado a 36 m</t>
        </is>
      </c>
      <c r="AK24" s="114" t="inlineStr">
        <is>
          <t>um aliado a 90 m</t>
        </is>
      </c>
      <c r="AL24" s="114" t="inlineStr">
        <is>
          <t>um aliado a o que você enxergar</t>
        </is>
      </c>
      <c r="AM24" s="114" t="inlineStr">
        <is>
          <t>um aliado a o que você enxergar</t>
        </is>
      </c>
      <c r="AN24" s="114" t="inlineStr"/>
      <c r="AO24" s="114" t="inlineStr"/>
      <c r="AP24" s="114" t="inlineStr"/>
      <c r="AQ24" s="114" t="inlineStr"/>
      <c r="AR24" s="114" t="inlineStr"/>
      <c r="AS24" s="114" t="inlineStr"/>
      <c r="AU24" s="114" t="inlineStr">
        <is>
          <t>Toca a Alma</t>
        </is>
      </c>
      <c r="AV24" s="114" t="inlineStr">
        <is>
          <t>Mira</t>
        </is>
      </c>
      <c r="AW24" s="140" t="n">
        <v>1</v>
      </c>
      <c r="AX24" s="140">
        <f>$AW24+3*IFERROR(VLOOKUP($AV24,$A$2:$D$10,3,FALSE),0)</f>
        <v/>
      </c>
      <c r="AY24" s="140">
        <f>IFERROR(VLOOKUP($AV24,$A$2:$D$10,4,FALSE),0)</f>
        <v/>
      </c>
      <c r="AZ24" s="140" t="n">
        <v>0</v>
      </c>
      <c r="BA24" s="140">
        <f>IF($AY24=1,"",$AU24)</f>
        <v/>
      </c>
      <c r="BB24" s="140">
        <f>IF(AND($AW24=1,$AY24=0),$AU24,"")</f>
        <v/>
      </c>
      <c r="BD24" s="114" t="inlineStr">
        <is>
          <t>Restrição Própria (Média)</t>
        </is>
      </c>
      <c r="BE24" s="114" t="inlineStr">
        <is>
          <t>Restrição Própria</t>
        </is>
      </c>
      <c r="BF24" s="140" t="n">
        <v>2</v>
      </c>
      <c r="BG24" s="140" t="n">
        <v>0</v>
      </c>
      <c r="BH24" s="114" t="inlineStr"/>
      <c r="CU24" s="114" t="inlineStr">
        <is>
          <t>Feitiço 23</t>
        </is>
      </c>
      <c r="CV24" s="140" t="n">
        <v>0</v>
      </c>
      <c r="CW24" s="140" t="n">
        <v>23</v>
      </c>
      <c r="CX24" s="140">
        <f>MAX(1,MIN(7,N('FICHA AMALDIÇOADA'!$J$194)))</f>
        <v/>
      </c>
      <c r="CY24" s="140">
        <f>'FICHA AMALDIÇOADA'!$K$194&amp;""</f>
        <v/>
      </c>
      <c r="CZ24" s="140">
        <f>'FICHA AMALDIÇOADA'!$J$201&amp;""</f>
        <v/>
      </c>
      <c r="DA24" s="140">
        <f>'FICHA AMALDIÇOADA'!$K$203&amp;""</f>
        <v/>
      </c>
      <c r="DB24" s="140">
        <f>'FICHA AMALDIÇOADA'!$K$204&amp;""</f>
        <v/>
      </c>
      <c r="DC24" s="140">
        <f>'FICHA AMALDIÇOADA'!$K$205&amp;""</f>
        <v/>
      </c>
      <c r="DD24" s="140">
        <f>'FICHA AMALDIÇOADA'!$K$206&amp;""</f>
        <v/>
      </c>
      <c r="DE24" s="140">
        <f>'FICHA AMALDIÇOADA'!$K$207&amp;""</f>
        <v/>
      </c>
      <c r="DF24" s="140">
        <f>'FICHA AMALDIÇOADA'!$K$208&amp;""</f>
        <v/>
      </c>
      <c r="DG24" s="140">
        <f>IF('FICHA AMALDIÇOADA'!$N$207=TRUE,1,0)</f>
        <v/>
      </c>
      <c r="DH24" s="140">
        <f>IF('FICHA AMALDIÇOADA'!$N$208=TRUE,1,0)</f>
        <v/>
      </c>
      <c r="DI24" s="140">
        <f>IF($CY24&lt;&gt;"",1,0)</f>
        <v/>
      </c>
      <c r="DJ24" s="140">
        <f>IFERROR(MATCH($CZ24,$Q$2:$Q$11,0),0)</f>
        <v/>
      </c>
      <c r="DK24" s="140">
        <f>IF($DJ24=0,0,INDEX($T$2:$T$11,$DJ24))</f>
        <v/>
      </c>
      <c r="DL24" s="140">
        <f>IFERROR(VLOOKUP($DA24,$AU$2:$BB$84,4,FALSE),0)</f>
        <v/>
      </c>
      <c r="DM24" s="140">
        <f>IFERROR(VLOOKUP($DB24,$AU$2:$BB$84,4,FALSE),0)</f>
        <v/>
      </c>
      <c r="DN24" s="140">
        <f>IFERROR(VLOOKUP($DC24,$AU$2:$BB$84,4,FALSE),0)</f>
        <v/>
      </c>
      <c r="DO24" s="140">
        <f>IFERROR(VLOOKUP($DD24,$AU$2:$BB$84,4,FALSE),0)</f>
        <v/>
      </c>
      <c r="DP24" s="140">
        <f>IF($DJ24=0,0,INDEX($U$2:$U$11,$DJ24))</f>
        <v/>
      </c>
      <c r="DQ24" s="140">
        <f>IFERROR(VLOOKUP($DA24,$AU$2:$BB$84,5,FALSE),0)</f>
        <v/>
      </c>
      <c r="DR24" s="140">
        <f>IFERROR(VLOOKUP($DB24,$AU$2:$BB$84,5,FALSE),0)</f>
        <v/>
      </c>
      <c r="DS24" s="140">
        <f>IFERROR(VLOOKUP($DC24,$AU$2:$BB$84,5,FALSE),0)</f>
        <v/>
      </c>
      <c r="DT24" s="140">
        <f>IFERROR(VLOOKUP($DD24,$AU$2:$BB$84,5,FALSE),0)</f>
        <v/>
      </c>
      <c r="DU24" s="140">
        <f>IFERROR(VLOOKUP($DA24,$AU$2:$BB$84,6,FALSE),0)+IFERROR(VLOOKUP($DB24,$AU$2:$BB$84,6,FALSE),0)+IFERROR(VLOOKUP($DC24,$AU$2:$BB$84,6,FALSE),0)+IFERROR(VLOOKUP($DD24,$AU$2:$BB$84,6,FALSE),0)</f>
        <v/>
      </c>
      <c r="DV24" s="140">
        <f>IF($DJ24=0,0,INDEX($V$2:$V$11,$DJ24))</f>
        <v/>
      </c>
      <c r="DW24" s="140">
        <f>IF($DJ24=0,0,INDEX($W$2:$W$11,$DJ24))</f>
        <v/>
      </c>
      <c r="DX24" s="140">
        <f>IF($DJ24=0,0,INDEX($Y$2:$Y$11,$DJ24))</f>
        <v/>
      </c>
      <c r="DY24" s="140">
        <f>IF($DG24=1,0,IFERROR(VLOOKUP($DE24,$BD$2:$BH$24,3,FALSE),0))</f>
        <v/>
      </c>
      <c r="DZ24" s="140">
        <f>IF($DH24=1,0,IFERROR(VLOOKUP($DF24,$BD$2:$BH$24,3,FALSE),0))</f>
        <v/>
      </c>
      <c r="EA24" s="140">
        <f>IFERROR(VLOOKUP($DE24,$BD$2:$BH$24,2,FALSE),"")</f>
        <v/>
      </c>
      <c r="EB24" s="140">
        <f>IFERROR(VLOOKUP($DF24,$BD$2:$BH$24,2,FALSE),"")</f>
        <v/>
      </c>
      <c r="EC24" s="140">
        <f>COUNTIF($DK24:$DO24,1)</f>
        <v/>
      </c>
      <c r="ED24" s="140">
        <f>COUNTIF($DK24:$DO24,2)</f>
        <v/>
      </c>
      <c r="EE24" s="140">
        <f>COUNTIF($DK24:$DO24,3)</f>
        <v/>
      </c>
      <c r="EF24" s="140">
        <f>COUNTIF($DK24:$DO24,4)</f>
        <v/>
      </c>
      <c r="EG24" s="140">
        <f>COUNTIF($DK24:$DO24,5)</f>
        <v/>
      </c>
      <c r="EH24" s="140">
        <f>COUNTIF($DK24:$DO24,6)</f>
        <v/>
      </c>
      <c r="EI24" s="140">
        <f>COUNTIF($DY24:$DZ24,1)</f>
        <v/>
      </c>
      <c r="EJ24" s="140">
        <f>COUNTIF($DY24:$DZ24,2)+$DV24</f>
        <v/>
      </c>
      <c r="EK24" s="140">
        <f>COUNTIF($DA24:$DD24,"?*")</f>
        <v/>
      </c>
      <c r="EL24" s="140">
        <f>COUNTIF($DE24:$DF24,"?*")+$DV24</f>
        <v/>
      </c>
      <c r="EM24" s="140">
        <f>SUMPRODUCT($EC24:$EH24,INDEX($I$2:$N$8,$CX24,0))</f>
        <v/>
      </c>
      <c r="EN24" s="140">
        <f>$EI24*CEILING($CX24/2,1)+$EJ24*$CX24</f>
        <v/>
      </c>
      <c r="EO24" s="140">
        <f>MIN(2*$CX24,$EN24)</f>
        <v/>
      </c>
      <c r="EP24" s="140">
        <f>MIN($EO24,$EM24)</f>
        <v/>
      </c>
      <c r="EQ24" s="140">
        <f>$EO24-$EP24</f>
        <v/>
      </c>
      <c r="ER24" s="140">
        <f>3*$CX24-$EM24+$EP24</f>
        <v/>
      </c>
      <c r="ES24" s="140">
        <f>MAX(0,$ER24)+$CV24*$CX24</f>
        <v/>
      </c>
      <c r="ET24" s="140">
        <f>(IF(COUNTIF($DA24:$DD24,"Salto")&gt;0,1,0)+IF(COUNTIF($DA24:$DD24,"Queima")&gt;0,1,0))*FLOOR($ES24/2,1)</f>
        <v/>
      </c>
      <c r="EU24" s="140">
        <f>MAX(0,3-SUMPRODUCT($EC24:$EH24,$I$2:$N$2)+MIN(2,$EI24*1+$EJ24*1,SUMPRODUCT($EC24:$EH24,$I$2:$N$2)))+$CV24*1</f>
        <v/>
      </c>
      <c r="EV24" s="140">
        <f>MAX(0,6-SUMPRODUCT($EC24:$EH24,$I$3:$N$3)+MIN(4,$EI24*1+$EJ24*2,SUMPRODUCT($EC24:$EH24,$I$3:$N$3)))+$CV24*2</f>
        <v/>
      </c>
      <c r="EW24" s="140">
        <f>MAX(0,9-SUMPRODUCT($EC24:$EH24,$I$4:$N$4)+MIN(6,$EI24*2+$EJ24*3,SUMPRODUCT($EC24:$EH24,$I$4:$N$4)))+$CV24*3</f>
        <v/>
      </c>
      <c r="EX24" s="140">
        <f>MAX(0,12-SUMPRODUCT($EC24:$EH24,$I$5:$N$5)+MIN(8,$EI24*2+$EJ24*4,SUMPRODUCT($EC24:$EH24,$I$5:$N$5)))+$CV24*4</f>
        <v/>
      </c>
      <c r="EY24" s="140">
        <f>MAX(0,15-SUMPRODUCT($EC24:$EH24,$I$6:$N$6)+MIN(10,$EI24*3+$EJ24*5,SUMPRODUCT($EC24:$EH24,$I$6:$N$6)))+$CV24*5</f>
        <v/>
      </c>
      <c r="EZ24" s="140">
        <f>MAX(0,18-SUMPRODUCT($EC24:$EH24,$I$7:$N$7)+MIN(12,$EI24*3+$EJ24*6,SUMPRODUCT($EC24:$EH24,$I$7:$N$7)))+$CV24*6</f>
        <v/>
      </c>
      <c r="FA24" s="140">
        <f>MAX(0,21-SUMPRODUCT($EC24:$EH24,$I$8:$N$8)+MIN(14,$EI24*4+$EJ24*7,SUMPRODUCT($EC24:$EH24,$I$8:$N$8)))+$CV24*7</f>
        <v/>
      </c>
      <c r="FB24" s="140">
        <f>IF($DW24=2,3*$EU24&amp;" de vida temp.",IF($DW24=3,"sem dano",IF($EU24=0,IF($DW24=1,"sem cura","sem dano"),IF($DW24=1,"cura ","")&amp;$EU24&amp;"d8")))</f>
        <v/>
      </c>
      <c r="FC24" s="140">
        <f>IF($DW24=2,3*$EV24&amp;" de vida temp.",IF($DW24=3,"sem dano",IF($EV24=0,IF($DW24=1,"sem cura","sem dano"),IF($DW24=1,"cura ","")&amp;$EV24&amp;"d8")))</f>
        <v/>
      </c>
      <c r="FD24" s="140">
        <f>IF($DW24=2,3*$EW24&amp;" de vida temp.",IF($DW24=3,"sem dano",IF($EW24=0,IF($DW24=1,"sem cura","sem dano"),IF($DW24=1,"cura ","")&amp;$EW24&amp;"d8")))</f>
        <v/>
      </c>
      <c r="FE24" s="140">
        <f>IF($DW24=2,3*$EX24&amp;" de vida temp.",IF($DW24=3,"sem dano",IF($EX24=0,IF($DW24=1,"sem cura","sem dano"),IF($DW24=1,"cura ","")&amp;$EX24&amp;"d8")))</f>
        <v/>
      </c>
      <c r="FF24" s="140">
        <f>IF($DW24=2,3*$EY24&amp;" de vida temp.",IF($DW24=3,"sem dano",IF($EY24=0,IF($DW24=1,"sem cura","sem dano"),IF($DW24=1,"cura ","")&amp;$EY24&amp;"d8")))</f>
        <v/>
      </c>
      <c r="FG24" s="140">
        <f>IF($DW24=2,3*$EZ24&amp;" de vida temp.",IF($DW24=3,"sem dano",IF($EZ24=0,IF($DW24=1,"sem cura","sem dano"),IF($DW24=1,"cura ","")&amp;$EZ24&amp;"d8")))</f>
        <v/>
      </c>
      <c r="FH24" s="140">
        <f>IF($DW24=2,3*$FA24&amp;" de vida temp.",IF($DW24=3,"sem dano",IF($FA24=0,IF($DW24=1,"sem cura","sem dano"),IF($DW24=1,"cura ","")&amp;$FA24&amp;"d8")))</f>
        <v/>
      </c>
      <c r="FI24" s="140">
        <f>IF($DI24=0,"",TEXTJOIN(" · ",TRUE,IF(AND($CV24=1,$CW24&gt;$GH$9),"O nível "&amp;$GH$2&amp;" dá "&amp;$GH$9&amp;" Liberação Máxima",""),IF($CX24&gt;$GH$4,"Classe "&amp;$CX24&amp;": o nível "&amp;$GH$2&amp;" libera até a "&amp;$GH$4,""),IF($DP24=1,"Família Fechada: a Forma "&amp;$CZ24,""),IF($DQ24=1,"Família Fechada: "&amp;$DA24,""),IF($DR24=1,"Família Fechada: "&amp;$DB24,""),IF($DS24=1,"Família Fechada: "&amp;$DC24,""),IF($DT24=1,"Família Fechada: "&amp;$DD24,""),IF($EK24&gt;INDEX($O$2:$O$8,$CX24),$EK24&amp;" Melhorias: a Classe "&amp;$CX24&amp;" aceita "&amp;INDEX($O$2:$O$8,$CX24),""),IF($EL24&gt;2,$EL24&amp;" Restrições"&amp;IF($DV24=1,", contando a que a Forma "&amp;$CZ24&amp;" já traz","")&amp;": o limite é 2",""),IF($ER24&lt;0,"Orçamento estourado: faltam "&amp;(-$ER24)&amp;IF($ER24&lt;-1," pontos"," ponto"),""),IF(IFERROR(VLOOKUP($DE24,$BD$2:$BH$24,4,FALSE),0)+IFERROR(VLOOKUP($DF24,$BD$2:$BH$24,4,FALSE),0)&gt;1,$EA24&amp;" e "&amp;$EB24&amp;" são as duas de frequência",""),IF(AND((COUNTIF($DA24:$DD24,"Rápido")+COUNTIF($EA24:$EB24,"Rápido"))&gt;0,(COUNTIF($DA24:$DD24,"Reação")+COUNTIF($EA24:$EB24,"Reação"))&gt;0),"Rápido não entra com Reação",""),IF(AND((COUNTIF($DA24:$DD24,"Rápido")+COUNTIF($EA24:$EB24,"Rápido"))&gt;0,(COUNTIF($DA24:$DD24,"Atrasar")+COUNTIF($EA24:$EB24,"Atrasar"))&gt;0),"Rápido não entra com Atrasar",""),IF(AND((COUNTIF($DA24:$DD24,"Reação")+COUNTIF($EA24:$EB24,"Reação"))&gt;0,(COUNTIF($DA24:$DD24,"Atrasar")+COUNTIF($EA24:$EB24,"Atrasar"))&gt;0),"Reação não entra com Atrasar",""),IF(AND((COUNTIF($DA24:$DD24,"Reação")+COUNTIF($EA24:$EB24,"Reação"))&gt;0,(COUNTIF($DA24:$DD24,"Parado")+COUNTIF($EA24:$EB24,"Parado"))&gt;0),"Reação não entra com Parado",""),IF(AND(COUNTIF($EA24:$EB24,"Corpo a Corpo")&gt;0,$DV24=0,OR($CZ24="Cone",$CZ24="Linha")),"Corpo a Corpo não entra em "&amp;$CZ24,""),IF(AND(COUNTIF($EA24:$EB24,"Corpo a Corpo")&gt;0,$DV24=1),"A Forma "&amp;$CZ24&amp;" já traz o Corpo a Corpo",""),IF(AND(COUNTIF($EA24:$EB24,"Tudo ou Nada")&gt;0,$DX24=0),"Tudo ou Nada só entra em feitiço de Teste de Resistência",""),IF(AND(COUNTIF($DA24:$DD24,"Inescapável")&gt;0,OR($EK24&gt;1,$EL24&gt;0)),"Inescapável não aceita outra peça",""),IF(AND($CV24=1,$CX24&lt;3),"Liberação Máxima é de Classe 3 ou mais",""),IF(AND($CV24=1,OR($DW24=1,$DW24=2)),"Liberação Máxima não serve para cura",""),IF(AND($CV24=1,COUNTIF($DA24:$DD24,"Inescapável")+COUNTIF($DA24:$DD24,"Toca a Alma")&gt;0),"Esta peça não entra numa Liberação Máxima",""),IF($ES24+$ET24&gt;4*$CX24,($ES24+$ET24)&amp;" dados somando alvos e repetições: o teto da Classe "&amp;$CX24&amp;" é "&amp;4*$CX24,"")))</f>
        <v/>
      </c>
      <c r="FJ24" s="140">
        <f>IF($FI24="",0,(LEN($FI24)-LEN(SUBSTITUTE($FI24," · ","")))/3+1)</f>
        <v/>
      </c>
      <c r="FK24" s="140">
        <f>IF($DI24=0,"",TEXTJOIN(" · ",TRUE,IF($EN24&gt;2*$CX24,"A devolução parou no teto de "&amp;2*$CX24,""),IF($EQ24&gt;0,"Devolução perdida: "&amp;$EQ24&amp;IF($EQ24&gt;1," pontos"," ponto")&amp;" sem peça para pagar",""),IF(AND($DU24&gt;0,$ES24=0),"Controle sem dano: uma rodada a mais e CD +2",""),IF(AND($DU24&gt;0,$ES24&gt;0,$ES24&lt;=$CX24),"Controle com um quarto do teto: uma rodada a mais","")))</f>
        <v/>
      </c>
      <c r="FL24" s="140">
        <f>IF($FK24="",0,(LEN($FK24)-LEN(SUBSTITUTE($FK24," · ","")))/3+1)</f>
        <v/>
      </c>
      <c r="FM24" s="140">
        <f>IF($DI24=0,IF($EK24+$EL24-$DV24&gt;0,"dê um nome",""),IF($FJ24&gt;0,"⚠ "&amp;$FJ24&amp;IF($FJ24&gt;1," erros"," erro"),IF($FL24&gt;0,"! "&amp;$FL24&amp;IF($FL24&gt;1," avisos"," aviso"),"na regra")))</f>
        <v/>
      </c>
      <c r="FN24" s="140">
        <f>IF($DI24=0,"",IF($FJ24+$FL24=0,"Dentro das regras que a ficha confere",$FI24&amp;IF(AND($FJ24&gt;0,$FL24&gt;0)," · ","")&amp;$FK24))</f>
        <v/>
      </c>
      <c r="FO24" s="140">
        <f>IF($DI24=0,"",IF($CV24=1,CEILING(4.5*$CX24,1),3*$CX24)&amp;" PE")</f>
        <v/>
      </c>
      <c r="FP24" s="140">
        <f>IF($DI24=0,"",IF($CV24=1,"Rodada inteira",IF(COUNTIF($EA24:$EB24,"Atrasar")&gt;0,IF(COUNTIF($EA24:$EB24,"Carregar")&gt;0,"Rodada +1 turno","Rodada inteira"),IF(COUNTIF($DA24:$DD24,"Rápido")&gt;0,"Bônus",IF(COUNTIF($DA24:$DD24,"Reação")&gt;0,"Reação","Padrão"))&amp;IF(COUNTIF($EA24:$EB24,"Carregar")&gt;0," +1 turno",""))))</f>
        <v/>
      </c>
      <c r="FQ24" s="140">
        <f>IF(OR($DI24=0,$DJ24=0),"",IF(COUNTIF($DA24:$DD24,"Inescapável")&gt;0,"Automático",IF(COUNTIF($DA24:$DD24,"Certeiro")&gt;0,"TR para metade",INDEX($X$2:$X$11,$DJ24))))</f>
        <v/>
      </c>
      <c r="FR24" s="140">
        <f>IF(OR($DI24=0,$DJ24=0),"",IF(OR($DW24&gt;=2,$ES24=0),INDEX($FB24:$FH24,1,$CX24),INDEX($FB24:$FH24,1,$CX24)&amp;" = "&amp;FLOOR($ES24*4.5,1)&amp;IF($ET24&gt;0," · +"&amp;$ET24&amp;"d8","")))</f>
        <v/>
      </c>
      <c r="FS24" s="140">
        <f>COUNTIF($DA24:$DD24,"Longe")+3*COUNTIF($DA24:$DD24,"Muito Longe")</f>
        <v/>
      </c>
      <c r="FT24" s="140">
        <f>COUNTIF($DA24:$DD24,"Maior")+3*COUNTIF($DA24:$DD24,"Muito Maior")</f>
        <v/>
      </c>
      <c r="FU24" s="140">
        <f>IF($DJ24=0,0,CHOOSE(1+INDEX($Z$2:$Z$11,$DJ24),0,$FS24,$FT24,$FS24+$FT24))</f>
        <v/>
      </c>
      <c r="FV24" s="140">
        <f>IF($DJ24=0,0,CHOOSE(1+INDEX($AA$2:$AA$11,$DJ24),0,$FS24,$FT24,$FS24+$FT24))</f>
        <v/>
      </c>
      <c r="FW24" s="140">
        <f>IF(OR($DI24=0,$DJ24=0),"",INDEX($AH$2:$AM$31,($DJ24-1)*3+IF($CX24&gt;=6,3,2),1+MIN(5,$FU24))&amp;INDEX($AN$2:$AS$31,($DJ24-1)*3+IF($CX24&gt;=6,3,2),1+MIN(5,$FV24))&amp;IF(INDEX($AB$2:$AB$11,$DJ24)=1,IF(COUNTIF($DA24:$DD24,"Mais Um")&gt;0," · +"&amp;COUNTIF($DA24:$DD24,"Mais Um")&amp;IF(COUNTIF($DA24:$DD24,"Mais Um")&gt;1," alvos"," alvo"),"")&amp;IF(COUNTIF($DA24:$DD24,"Rajada")&gt;0," · "&amp;($CX24+1)&amp;" tiros",""),""))</f>
        <v/>
      </c>
      <c r="FX24" s="140">
        <f>IF($DI24=0,"",3*$CX24&amp;" − "&amp;$EM24&amp;" + "&amp;$EP24&amp;IF($CV24=1," + "&amp;$CX24,"")&amp;" = "&amp;$ES24&amp;"d8 · teto "&amp;4*$CX24&amp;IF($DV24=1," · a Forma devolve "&amp;$CX24,"")&amp;IF($EQ24&gt;0," · perde "&amp;$EQ24,""))</f>
        <v/>
      </c>
      <c r="FY24" s="140">
        <f>IF($DI24=0,"",IF($CX24&gt;=$GH$4,"Já está na maior Classe que o nível liberou",TEXTJOIN(" · ",TRUE,IF(AND(2&gt;$CX24,2&lt;=$GH$4),"2 → "&amp;$FC24&amp;", "&amp;IF($CV24=1,9,6)&amp;" PE",""),IF(AND(3&gt;$CX24,3&lt;=$GH$4),"3 → "&amp;$FD24&amp;", "&amp;IF($CV24=1,14,9)&amp;" PE",""),IF(AND(4&gt;$CX24,4&lt;=$GH$4),"4 → "&amp;$FE24&amp;", "&amp;IF($CV24=1,18,12)&amp;" PE",""),IF(AND(5&gt;$CX24,5&lt;=$GH$4),"5 → "&amp;$FF24&amp;", "&amp;IF($CV24=1,23,15)&amp;" PE",""),IF(AND(6&gt;$CX24,6&lt;=$GH$4),"6 → "&amp;$FG24&amp;", "&amp;IF($CV24=1,27,18)&amp;" PE",""),IF(AND(7&gt;$CX24,7&lt;=$GH$4),"7 → "&amp;$FH24&amp;", "&amp;IF($CV24=1,32,21)&amp;" PE",""))))</f>
        <v/>
      </c>
      <c r="FZ24" s="140">
        <f>IF(OR($DI24=0,$DL24=0),"","−"&amp;INDEX($I$2:$N$8,$CX24,$DL24)&amp;" · "&amp;CHOOSE($DL24,"Leve","Média","Pesada","Leve · Livre","Média · Livre","Pesada · Livre"))</f>
        <v/>
      </c>
      <c r="GA24" s="140">
        <f>IF(OR($DI24=0,$DM24=0),"","−"&amp;INDEX($I$2:$N$8,$CX24,$DM24)&amp;" · "&amp;CHOOSE($DM24,"Leve","Média","Pesada","Leve · Livre","Média · Livre","Pesada · Livre"))</f>
        <v/>
      </c>
      <c r="GB24" s="140">
        <f>IF(OR($DI24=0,$DN24=0),"","−"&amp;INDEX($I$2:$N$8,$CX24,$DN24)&amp;" · "&amp;CHOOSE($DN24,"Leve","Média","Pesada","Leve · Livre","Média · Livre","Pesada · Livre"))</f>
        <v/>
      </c>
      <c r="GC24" s="140">
        <f>IF(OR($DI24=0,$DO24=0),"","−"&amp;INDEX($I$2:$N$8,$CX24,$DO24)&amp;" · "&amp;CHOOSE($DO24,"Leve","Média","Pesada","Leve · Livre","Média · Livre","Pesada · Livre"))</f>
        <v/>
      </c>
      <c r="GD24" s="140">
        <f>IF(OR($DI24=0,$DE24=""),"",IF($DG24=1,"Selo","+"&amp;IF($DY24=1,CEILING($CX24/2,1),$CX24)))</f>
        <v/>
      </c>
      <c r="GE24" s="140">
        <f>IF(OR($DI24=0,$DF24=""),"",IF($DH24=1,"Selo","+"&amp;IF($DZ24=1,CEILING($CX24/2,1),$CX24)))</f>
        <v/>
      </c>
      <c r="GG24" s="114" t="inlineStr">
        <is>
          <t>passivas do Leque</t>
        </is>
      </c>
      <c r="GH24" s="140">
        <f>IF('FICHA AMALDIÇOADA'!$D$391&lt;&gt;"",1,0)+IF('FICHA AMALDIÇOADA'!$J$391&lt;&gt;"",1,0)+IF('FICHA AMALDIÇOADA'!$P$391&lt;&gt;"",1,0)+IF('FICHA AMALDIÇOADA'!$D$399&lt;&gt;"",1,0)+IF('FICHA AMALDIÇOADA'!$J$399&lt;&gt;"",1,0)+IF('FICHA AMALDIÇOADA'!$P$399&lt;&gt;"",1,0)+IF('FICHA AMALDIÇOADA'!$D$407&lt;&gt;"",1,0)</f>
        <v/>
      </c>
    </row>
    <row r="25">
      <c r="AG25" s="114" t="inlineStr">
        <is>
          <t>Apoio · classes 6 e 7</t>
        </is>
      </c>
      <c r="AH25" s="114" t="inlineStr">
        <is>
          <t>um aliado a 18 m</t>
        </is>
      </c>
      <c r="AI25" s="114" t="inlineStr">
        <is>
          <t>um aliado a 36 m</t>
        </is>
      </c>
      <c r="AJ25" s="114" t="inlineStr">
        <is>
          <t>um aliado a 90 m</t>
        </is>
      </c>
      <c r="AK25" s="114" t="inlineStr">
        <is>
          <t>um aliado a o que você enxergar</t>
        </is>
      </c>
      <c r="AL25" s="114" t="inlineStr">
        <is>
          <t>um aliado a o que você enxergar</t>
        </is>
      </c>
      <c r="AM25" s="114" t="inlineStr">
        <is>
          <t>um aliado a o que você enxergar</t>
        </is>
      </c>
      <c r="AN25" s="114" t="inlineStr"/>
      <c r="AO25" s="114" t="inlineStr"/>
      <c r="AP25" s="114" t="inlineStr"/>
      <c r="AQ25" s="114" t="inlineStr"/>
      <c r="AR25" s="114" t="inlineStr"/>
      <c r="AS25" s="114" t="inlineStr"/>
      <c r="AU25" s="114" t="inlineStr">
        <is>
          <t>Terreno</t>
        </is>
      </c>
      <c r="AV25" s="114" t="inlineStr">
        <is>
          <t>Controle</t>
        </is>
      </c>
      <c r="AW25" s="140" t="n">
        <v>1</v>
      </c>
      <c r="AX25" s="140">
        <f>$AW25+3*IFERROR(VLOOKUP($AV25,$A$2:$D$10,3,FALSE),0)</f>
        <v/>
      </c>
      <c r="AY25" s="140">
        <f>IFERROR(VLOOKUP($AV25,$A$2:$D$10,4,FALSE),0)</f>
        <v/>
      </c>
      <c r="AZ25" s="140" t="n">
        <v>1</v>
      </c>
      <c r="BA25" s="140">
        <f>IF($AY25=1,"",$AU25)</f>
        <v/>
      </c>
      <c r="BB25" s="140">
        <f>IF(AND($AW25=1,$AY25=0),$AU25,"")</f>
        <v/>
      </c>
      <c r="CU25" s="114" t="inlineStr">
        <is>
          <t>Feitiço 24</t>
        </is>
      </c>
      <c r="CV25" s="140" t="n">
        <v>0</v>
      </c>
      <c r="CW25" s="140" t="n">
        <v>24</v>
      </c>
      <c r="CX25" s="140">
        <f>MAX(1,MIN(7,N('FICHA AMALDIÇOADA'!$P$194)))</f>
        <v/>
      </c>
      <c r="CY25" s="140">
        <f>'FICHA AMALDIÇOADA'!$Q$194&amp;""</f>
        <v/>
      </c>
      <c r="CZ25" s="140">
        <f>'FICHA AMALDIÇOADA'!$P$201&amp;""</f>
        <v/>
      </c>
      <c r="DA25" s="140">
        <f>'FICHA AMALDIÇOADA'!$Q$203&amp;""</f>
        <v/>
      </c>
      <c r="DB25" s="140">
        <f>'FICHA AMALDIÇOADA'!$Q$204&amp;""</f>
        <v/>
      </c>
      <c r="DC25" s="140">
        <f>'FICHA AMALDIÇOADA'!$Q$205&amp;""</f>
        <v/>
      </c>
      <c r="DD25" s="140">
        <f>'FICHA AMALDIÇOADA'!$Q$206&amp;""</f>
        <v/>
      </c>
      <c r="DE25" s="140">
        <f>'FICHA AMALDIÇOADA'!$Q$207&amp;""</f>
        <v/>
      </c>
      <c r="DF25" s="140">
        <f>'FICHA AMALDIÇOADA'!$Q$208&amp;""</f>
        <v/>
      </c>
      <c r="DG25" s="140">
        <f>IF('FICHA AMALDIÇOADA'!$T$207=TRUE,1,0)</f>
        <v/>
      </c>
      <c r="DH25" s="140">
        <f>IF('FICHA AMALDIÇOADA'!$T$208=TRUE,1,0)</f>
        <v/>
      </c>
      <c r="DI25" s="140">
        <f>IF($CY25&lt;&gt;"",1,0)</f>
        <v/>
      </c>
      <c r="DJ25" s="140">
        <f>IFERROR(MATCH($CZ25,$Q$2:$Q$11,0),0)</f>
        <v/>
      </c>
      <c r="DK25" s="140">
        <f>IF($DJ25=0,0,INDEX($T$2:$T$11,$DJ25))</f>
        <v/>
      </c>
      <c r="DL25" s="140">
        <f>IFERROR(VLOOKUP($DA25,$AU$2:$BB$84,4,FALSE),0)</f>
        <v/>
      </c>
      <c r="DM25" s="140">
        <f>IFERROR(VLOOKUP($DB25,$AU$2:$BB$84,4,FALSE),0)</f>
        <v/>
      </c>
      <c r="DN25" s="140">
        <f>IFERROR(VLOOKUP($DC25,$AU$2:$BB$84,4,FALSE),0)</f>
        <v/>
      </c>
      <c r="DO25" s="140">
        <f>IFERROR(VLOOKUP($DD25,$AU$2:$BB$84,4,FALSE),0)</f>
        <v/>
      </c>
      <c r="DP25" s="140">
        <f>IF($DJ25=0,0,INDEX($U$2:$U$11,$DJ25))</f>
        <v/>
      </c>
      <c r="DQ25" s="140">
        <f>IFERROR(VLOOKUP($DA25,$AU$2:$BB$84,5,FALSE),0)</f>
        <v/>
      </c>
      <c r="DR25" s="140">
        <f>IFERROR(VLOOKUP($DB25,$AU$2:$BB$84,5,FALSE),0)</f>
        <v/>
      </c>
      <c r="DS25" s="140">
        <f>IFERROR(VLOOKUP($DC25,$AU$2:$BB$84,5,FALSE),0)</f>
        <v/>
      </c>
      <c r="DT25" s="140">
        <f>IFERROR(VLOOKUP($DD25,$AU$2:$BB$84,5,FALSE),0)</f>
        <v/>
      </c>
      <c r="DU25" s="140">
        <f>IFERROR(VLOOKUP($DA25,$AU$2:$BB$84,6,FALSE),0)+IFERROR(VLOOKUP($DB25,$AU$2:$BB$84,6,FALSE),0)+IFERROR(VLOOKUP($DC25,$AU$2:$BB$84,6,FALSE),0)+IFERROR(VLOOKUP($DD25,$AU$2:$BB$84,6,FALSE),0)</f>
        <v/>
      </c>
      <c r="DV25" s="140">
        <f>IF($DJ25=0,0,INDEX($V$2:$V$11,$DJ25))</f>
        <v/>
      </c>
      <c r="DW25" s="140">
        <f>IF($DJ25=0,0,INDEX($W$2:$W$11,$DJ25))</f>
        <v/>
      </c>
      <c r="DX25" s="140">
        <f>IF($DJ25=0,0,INDEX($Y$2:$Y$11,$DJ25))</f>
        <v/>
      </c>
      <c r="DY25" s="140">
        <f>IF($DG25=1,0,IFERROR(VLOOKUP($DE25,$BD$2:$BH$24,3,FALSE),0))</f>
        <v/>
      </c>
      <c r="DZ25" s="140">
        <f>IF($DH25=1,0,IFERROR(VLOOKUP($DF25,$BD$2:$BH$24,3,FALSE),0))</f>
        <v/>
      </c>
      <c r="EA25" s="140">
        <f>IFERROR(VLOOKUP($DE25,$BD$2:$BH$24,2,FALSE),"")</f>
        <v/>
      </c>
      <c r="EB25" s="140">
        <f>IFERROR(VLOOKUP($DF25,$BD$2:$BH$24,2,FALSE),"")</f>
        <v/>
      </c>
      <c r="EC25" s="140">
        <f>COUNTIF($DK25:$DO25,1)</f>
        <v/>
      </c>
      <c r="ED25" s="140">
        <f>COUNTIF($DK25:$DO25,2)</f>
        <v/>
      </c>
      <c r="EE25" s="140">
        <f>COUNTIF($DK25:$DO25,3)</f>
        <v/>
      </c>
      <c r="EF25" s="140">
        <f>COUNTIF($DK25:$DO25,4)</f>
        <v/>
      </c>
      <c r="EG25" s="140">
        <f>COUNTIF($DK25:$DO25,5)</f>
        <v/>
      </c>
      <c r="EH25" s="140">
        <f>COUNTIF($DK25:$DO25,6)</f>
        <v/>
      </c>
      <c r="EI25" s="140">
        <f>COUNTIF($DY25:$DZ25,1)</f>
        <v/>
      </c>
      <c r="EJ25" s="140">
        <f>COUNTIF($DY25:$DZ25,2)+$DV25</f>
        <v/>
      </c>
      <c r="EK25" s="140">
        <f>COUNTIF($DA25:$DD25,"?*")</f>
        <v/>
      </c>
      <c r="EL25" s="140">
        <f>COUNTIF($DE25:$DF25,"?*")+$DV25</f>
        <v/>
      </c>
      <c r="EM25" s="140">
        <f>SUMPRODUCT($EC25:$EH25,INDEX($I$2:$N$8,$CX25,0))</f>
        <v/>
      </c>
      <c r="EN25" s="140">
        <f>$EI25*CEILING($CX25/2,1)+$EJ25*$CX25</f>
        <v/>
      </c>
      <c r="EO25" s="140">
        <f>MIN(2*$CX25,$EN25)</f>
        <v/>
      </c>
      <c r="EP25" s="140">
        <f>MIN($EO25,$EM25)</f>
        <v/>
      </c>
      <c r="EQ25" s="140">
        <f>$EO25-$EP25</f>
        <v/>
      </c>
      <c r="ER25" s="140">
        <f>3*$CX25-$EM25+$EP25</f>
        <v/>
      </c>
      <c r="ES25" s="140">
        <f>MAX(0,$ER25)+$CV25*$CX25</f>
        <v/>
      </c>
      <c r="ET25" s="140">
        <f>(IF(COUNTIF($DA25:$DD25,"Salto")&gt;0,1,0)+IF(COUNTIF($DA25:$DD25,"Queima")&gt;0,1,0))*FLOOR($ES25/2,1)</f>
        <v/>
      </c>
      <c r="EU25" s="140">
        <f>MAX(0,3-SUMPRODUCT($EC25:$EH25,$I$2:$N$2)+MIN(2,$EI25*1+$EJ25*1,SUMPRODUCT($EC25:$EH25,$I$2:$N$2)))+$CV25*1</f>
        <v/>
      </c>
      <c r="EV25" s="140">
        <f>MAX(0,6-SUMPRODUCT($EC25:$EH25,$I$3:$N$3)+MIN(4,$EI25*1+$EJ25*2,SUMPRODUCT($EC25:$EH25,$I$3:$N$3)))+$CV25*2</f>
        <v/>
      </c>
      <c r="EW25" s="140">
        <f>MAX(0,9-SUMPRODUCT($EC25:$EH25,$I$4:$N$4)+MIN(6,$EI25*2+$EJ25*3,SUMPRODUCT($EC25:$EH25,$I$4:$N$4)))+$CV25*3</f>
        <v/>
      </c>
      <c r="EX25" s="140">
        <f>MAX(0,12-SUMPRODUCT($EC25:$EH25,$I$5:$N$5)+MIN(8,$EI25*2+$EJ25*4,SUMPRODUCT($EC25:$EH25,$I$5:$N$5)))+$CV25*4</f>
        <v/>
      </c>
      <c r="EY25" s="140">
        <f>MAX(0,15-SUMPRODUCT($EC25:$EH25,$I$6:$N$6)+MIN(10,$EI25*3+$EJ25*5,SUMPRODUCT($EC25:$EH25,$I$6:$N$6)))+$CV25*5</f>
        <v/>
      </c>
      <c r="EZ25" s="140">
        <f>MAX(0,18-SUMPRODUCT($EC25:$EH25,$I$7:$N$7)+MIN(12,$EI25*3+$EJ25*6,SUMPRODUCT($EC25:$EH25,$I$7:$N$7)))+$CV25*6</f>
        <v/>
      </c>
      <c r="FA25" s="140">
        <f>MAX(0,21-SUMPRODUCT($EC25:$EH25,$I$8:$N$8)+MIN(14,$EI25*4+$EJ25*7,SUMPRODUCT($EC25:$EH25,$I$8:$N$8)))+$CV25*7</f>
        <v/>
      </c>
      <c r="FB25" s="140">
        <f>IF($DW25=2,3*$EU25&amp;" de vida temp.",IF($DW25=3,"sem dano",IF($EU25=0,IF($DW25=1,"sem cura","sem dano"),IF($DW25=1,"cura ","")&amp;$EU25&amp;"d8")))</f>
        <v/>
      </c>
      <c r="FC25" s="140">
        <f>IF($DW25=2,3*$EV25&amp;" de vida temp.",IF($DW25=3,"sem dano",IF($EV25=0,IF($DW25=1,"sem cura","sem dano"),IF($DW25=1,"cura ","")&amp;$EV25&amp;"d8")))</f>
        <v/>
      </c>
      <c r="FD25" s="140">
        <f>IF($DW25=2,3*$EW25&amp;" de vida temp.",IF($DW25=3,"sem dano",IF($EW25=0,IF($DW25=1,"sem cura","sem dano"),IF($DW25=1,"cura ","")&amp;$EW25&amp;"d8")))</f>
        <v/>
      </c>
      <c r="FE25" s="140">
        <f>IF($DW25=2,3*$EX25&amp;" de vida temp.",IF($DW25=3,"sem dano",IF($EX25=0,IF($DW25=1,"sem cura","sem dano"),IF($DW25=1,"cura ","")&amp;$EX25&amp;"d8")))</f>
        <v/>
      </c>
      <c r="FF25" s="140">
        <f>IF($DW25=2,3*$EY25&amp;" de vida temp.",IF($DW25=3,"sem dano",IF($EY25=0,IF($DW25=1,"sem cura","sem dano"),IF($DW25=1,"cura ","")&amp;$EY25&amp;"d8")))</f>
        <v/>
      </c>
      <c r="FG25" s="140">
        <f>IF($DW25=2,3*$EZ25&amp;" de vida temp.",IF($DW25=3,"sem dano",IF($EZ25=0,IF($DW25=1,"sem cura","sem dano"),IF($DW25=1,"cura ","")&amp;$EZ25&amp;"d8")))</f>
        <v/>
      </c>
      <c r="FH25" s="140">
        <f>IF($DW25=2,3*$FA25&amp;" de vida temp.",IF($DW25=3,"sem dano",IF($FA25=0,IF($DW25=1,"sem cura","sem dano"),IF($DW25=1,"cura ","")&amp;$FA25&amp;"d8")))</f>
        <v/>
      </c>
      <c r="FI25" s="140">
        <f>IF($DI25=0,"",TEXTJOIN(" · ",TRUE,IF(AND($CV25=1,$CW25&gt;$GH$9),"O nível "&amp;$GH$2&amp;" dá "&amp;$GH$9&amp;" Liberação Máxima",""),IF($CX25&gt;$GH$4,"Classe "&amp;$CX25&amp;": o nível "&amp;$GH$2&amp;" libera até a "&amp;$GH$4,""),IF($DP25=1,"Família Fechada: a Forma "&amp;$CZ25,""),IF($DQ25=1,"Família Fechada: "&amp;$DA25,""),IF($DR25=1,"Família Fechada: "&amp;$DB25,""),IF($DS25=1,"Família Fechada: "&amp;$DC25,""),IF($DT25=1,"Família Fechada: "&amp;$DD25,""),IF($EK25&gt;INDEX($O$2:$O$8,$CX25),$EK25&amp;" Melhorias: a Classe "&amp;$CX25&amp;" aceita "&amp;INDEX($O$2:$O$8,$CX25),""),IF($EL25&gt;2,$EL25&amp;" Restrições"&amp;IF($DV25=1,", contando a que a Forma "&amp;$CZ25&amp;" já traz","")&amp;": o limite é 2",""),IF($ER25&lt;0,"Orçamento estourado: faltam "&amp;(-$ER25)&amp;IF($ER25&lt;-1," pontos"," ponto"),""),IF(IFERROR(VLOOKUP($DE25,$BD$2:$BH$24,4,FALSE),0)+IFERROR(VLOOKUP($DF25,$BD$2:$BH$24,4,FALSE),0)&gt;1,$EA25&amp;" e "&amp;$EB25&amp;" são as duas de frequência",""),IF(AND((COUNTIF($DA25:$DD25,"Rápido")+COUNTIF($EA25:$EB25,"Rápido"))&gt;0,(COUNTIF($DA25:$DD25,"Reação")+COUNTIF($EA25:$EB25,"Reação"))&gt;0),"Rápido não entra com Reação",""),IF(AND((COUNTIF($DA25:$DD25,"Rápido")+COUNTIF($EA25:$EB25,"Rápido"))&gt;0,(COUNTIF($DA25:$DD25,"Atrasar")+COUNTIF($EA25:$EB25,"Atrasar"))&gt;0),"Rápido não entra com Atrasar",""),IF(AND((COUNTIF($DA25:$DD25,"Reação")+COUNTIF($EA25:$EB25,"Reação"))&gt;0,(COUNTIF($DA25:$DD25,"Atrasar")+COUNTIF($EA25:$EB25,"Atrasar"))&gt;0),"Reação não entra com Atrasar",""),IF(AND((COUNTIF($DA25:$DD25,"Reação")+COUNTIF($EA25:$EB25,"Reação"))&gt;0,(COUNTIF($DA25:$DD25,"Parado")+COUNTIF($EA25:$EB25,"Parado"))&gt;0),"Reação não entra com Parado",""),IF(AND(COUNTIF($EA25:$EB25,"Corpo a Corpo")&gt;0,$DV25=0,OR($CZ25="Cone",$CZ25="Linha")),"Corpo a Corpo não entra em "&amp;$CZ25,""),IF(AND(COUNTIF($EA25:$EB25,"Corpo a Corpo")&gt;0,$DV25=1),"A Forma "&amp;$CZ25&amp;" já traz o Corpo a Corpo",""),IF(AND(COUNTIF($EA25:$EB25,"Tudo ou Nada")&gt;0,$DX25=0),"Tudo ou Nada só entra em feitiço de Teste de Resistência",""),IF(AND(COUNTIF($DA25:$DD25,"Inescapável")&gt;0,OR($EK25&gt;1,$EL25&gt;0)),"Inescapável não aceita outra peça",""),IF(AND($CV25=1,$CX25&lt;3),"Liberação Máxima é de Classe 3 ou mais",""),IF(AND($CV25=1,OR($DW25=1,$DW25=2)),"Liberação Máxima não serve para cura",""),IF(AND($CV25=1,COUNTIF($DA25:$DD25,"Inescapável")+COUNTIF($DA25:$DD25,"Toca a Alma")&gt;0),"Esta peça não entra numa Liberação Máxima",""),IF($ES25+$ET25&gt;4*$CX25,($ES25+$ET25)&amp;" dados somando alvos e repetições: o teto da Classe "&amp;$CX25&amp;" é "&amp;4*$CX25,"")))</f>
        <v/>
      </c>
      <c r="FJ25" s="140">
        <f>IF($FI25="",0,(LEN($FI25)-LEN(SUBSTITUTE($FI25," · ","")))/3+1)</f>
        <v/>
      </c>
      <c r="FK25" s="140">
        <f>IF($DI25=0,"",TEXTJOIN(" · ",TRUE,IF($EN25&gt;2*$CX25,"A devolução parou no teto de "&amp;2*$CX25,""),IF($EQ25&gt;0,"Devolução perdida: "&amp;$EQ25&amp;IF($EQ25&gt;1," pontos"," ponto")&amp;" sem peça para pagar",""),IF(AND($DU25&gt;0,$ES25=0),"Controle sem dano: uma rodada a mais e CD +2",""),IF(AND($DU25&gt;0,$ES25&gt;0,$ES25&lt;=$CX25),"Controle com um quarto do teto: uma rodada a mais","")))</f>
        <v/>
      </c>
      <c r="FL25" s="140">
        <f>IF($FK25="",0,(LEN($FK25)-LEN(SUBSTITUTE($FK25," · ","")))/3+1)</f>
        <v/>
      </c>
      <c r="FM25" s="140">
        <f>IF($DI25=0,IF($EK25+$EL25-$DV25&gt;0,"dê um nome",""),IF($FJ25&gt;0,"⚠ "&amp;$FJ25&amp;IF($FJ25&gt;1," erros"," erro"),IF($FL25&gt;0,"! "&amp;$FL25&amp;IF($FL25&gt;1," avisos"," aviso"),"na regra")))</f>
        <v/>
      </c>
      <c r="FN25" s="140">
        <f>IF($DI25=0,"",IF($FJ25+$FL25=0,"Dentro das regras que a ficha confere",$FI25&amp;IF(AND($FJ25&gt;0,$FL25&gt;0)," · ","")&amp;$FK25))</f>
        <v/>
      </c>
      <c r="FO25" s="140">
        <f>IF($DI25=0,"",IF($CV25=1,CEILING(4.5*$CX25,1),3*$CX25)&amp;" PE")</f>
        <v/>
      </c>
      <c r="FP25" s="140">
        <f>IF($DI25=0,"",IF($CV25=1,"Rodada inteira",IF(COUNTIF($EA25:$EB25,"Atrasar")&gt;0,IF(COUNTIF($EA25:$EB25,"Carregar")&gt;0,"Rodada +1 turno","Rodada inteira"),IF(COUNTIF($DA25:$DD25,"Rápido")&gt;0,"Bônus",IF(COUNTIF($DA25:$DD25,"Reação")&gt;0,"Reação","Padrão"))&amp;IF(COUNTIF($EA25:$EB25,"Carregar")&gt;0," +1 turno",""))))</f>
        <v/>
      </c>
      <c r="FQ25" s="140">
        <f>IF(OR($DI25=0,$DJ25=0),"",IF(COUNTIF($DA25:$DD25,"Inescapável")&gt;0,"Automático",IF(COUNTIF($DA25:$DD25,"Certeiro")&gt;0,"TR para metade",INDEX($X$2:$X$11,$DJ25))))</f>
        <v/>
      </c>
      <c r="FR25" s="140">
        <f>IF(OR($DI25=0,$DJ25=0),"",IF(OR($DW25&gt;=2,$ES25=0),INDEX($FB25:$FH25,1,$CX25),INDEX($FB25:$FH25,1,$CX25)&amp;" = "&amp;FLOOR($ES25*4.5,1)&amp;IF($ET25&gt;0," · +"&amp;$ET25&amp;"d8","")))</f>
        <v/>
      </c>
      <c r="FS25" s="140">
        <f>COUNTIF($DA25:$DD25,"Longe")+3*COUNTIF($DA25:$DD25,"Muito Longe")</f>
        <v/>
      </c>
      <c r="FT25" s="140">
        <f>COUNTIF($DA25:$DD25,"Maior")+3*COUNTIF($DA25:$DD25,"Muito Maior")</f>
        <v/>
      </c>
      <c r="FU25" s="140">
        <f>IF($DJ25=0,0,CHOOSE(1+INDEX($Z$2:$Z$11,$DJ25),0,$FS25,$FT25,$FS25+$FT25))</f>
        <v/>
      </c>
      <c r="FV25" s="140">
        <f>IF($DJ25=0,0,CHOOSE(1+INDEX($AA$2:$AA$11,$DJ25),0,$FS25,$FT25,$FS25+$FT25))</f>
        <v/>
      </c>
      <c r="FW25" s="140">
        <f>IF(OR($DI25=0,$DJ25=0),"",INDEX($AH$2:$AM$31,($DJ25-1)*3+IF($CX25&gt;=6,3,2),1+MIN(5,$FU25))&amp;INDEX($AN$2:$AS$31,($DJ25-1)*3+IF($CX25&gt;=6,3,2),1+MIN(5,$FV25))&amp;IF(INDEX($AB$2:$AB$11,$DJ25)=1,IF(COUNTIF($DA25:$DD25,"Mais Um")&gt;0," · +"&amp;COUNTIF($DA25:$DD25,"Mais Um")&amp;IF(COUNTIF($DA25:$DD25,"Mais Um")&gt;1," alvos"," alvo"),"")&amp;IF(COUNTIF($DA25:$DD25,"Rajada")&gt;0," · "&amp;($CX25+1)&amp;" tiros",""),""))</f>
        <v/>
      </c>
      <c r="FX25" s="140">
        <f>IF($DI25=0,"",3*$CX25&amp;" − "&amp;$EM25&amp;" + "&amp;$EP25&amp;IF($CV25=1," + "&amp;$CX25,"")&amp;" = "&amp;$ES25&amp;"d8 · teto "&amp;4*$CX25&amp;IF($DV25=1," · a Forma devolve "&amp;$CX25,"")&amp;IF($EQ25&gt;0," · perde "&amp;$EQ25,""))</f>
        <v/>
      </c>
      <c r="FY25" s="140">
        <f>IF($DI25=0,"",IF($CX25&gt;=$GH$4,"Já está na maior Classe que o nível liberou",TEXTJOIN(" · ",TRUE,IF(AND(2&gt;$CX25,2&lt;=$GH$4),"2 → "&amp;$FC25&amp;", "&amp;IF($CV25=1,9,6)&amp;" PE",""),IF(AND(3&gt;$CX25,3&lt;=$GH$4),"3 → "&amp;$FD25&amp;", "&amp;IF($CV25=1,14,9)&amp;" PE",""),IF(AND(4&gt;$CX25,4&lt;=$GH$4),"4 → "&amp;$FE25&amp;", "&amp;IF($CV25=1,18,12)&amp;" PE",""),IF(AND(5&gt;$CX25,5&lt;=$GH$4),"5 → "&amp;$FF25&amp;", "&amp;IF($CV25=1,23,15)&amp;" PE",""),IF(AND(6&gt;$CX25,6&lt;=$GH$4),"6 → "&amp;$FG25&amp;", "&amp;IF($CV25=1,27,18)&amp;" PE",""),IF(AND(7&gt;$CX25,7&lt;=$GH$4),"7 → "&amp;$FH25&amp;", "&amp;IF($CV25=1,32,21)&amp;" PE",""))))</f>
        <v/>
      </c>
      <c r="FZ25" s="140">
        <f>IF(OR($DI25=0,$DL25=0),"","−"&amp;INDEX($I$2:$N$8,$CX25,$DL25)&amp;" · "&amp;CHOOSE($DL25,"Leve","Média","Pesada","Leve · Livre","Média · Livre","Pesada · Livre"))</f>
        <v/>
      </c>
      <c r="GA25" s="140">
        <f>IF(OR($DI25=0,$DM25=0),"","−"&amp;INDEX($I$2:$N$8,$CX25,$DM25)&amp;" · "&amp;CHOOSE($DM25,"Leve","Média","Pesada","Leve · Livre","Média · Livre","Pesada · Livre"))</f>
        <v/>
      </c>
      <c r="GB25" s="140">
        <f>IF(OR($DI25=0,$DN25=0),"","−"&amp;INDEX($I$2:$N$8,$CX25,$DN25)&amp;" · "&amp;CHOOSE($DN25,"Leve","Média","Pesada","Leve · Livre","Média · Livre","Pesada · Livre"))</f>
        <v/>
      </c>
      <c r="GC25" s="140">
        <f>IF(OR($DI25=0,$DO25=0),"","−"&amp;INDEX($I$2:$N$8,$CX25,$DO25)&amp;" · "&amp;CHOOSE($DO25,"Leve","Média","Pesada","Leve · Livre","Média · Livre","Pesada · Livre"))</f>
        <v/>
      </c>
      <c r="GD25" s="140">
        <f>IF(OR($DI25=0,$DE25=""),"",IF($DG25=1,"Selo","+"&amp;IF($DY25=1,CEILING($CX25/2,1),$CX25)))</f>
        <v/>
      </c>
      <c r="GE25" s="140">
        <f>IF(OR($DI25=0,$DF25=""),"",IF($DH25=1,"Selo","+"&amp;IF($DZ25=1,CEILING($CX25/2,1),$CX25)))</f>
        <v/>
      </c>
      <c r="GG25" s="114" t="inlineStr">
        <is>
          <t>aptidões anotadas</t>
        </is>
      </c>
      <c r="GH25" s="140">
        <f>IF('FICHA AMALDIÇOADA'!$D$421&lt;&gt;"",1,0)+IF('FICHA AMALDIÇOADA'!$J$421&lt;&gt;"",1,0)+IF('FICHA AMALDIÇOADA'!$P$421&lt;&gt;"",1,0)+IF('FICHA AMALDIÇOADA'!$D$441&lt;&gt;"",1,0)+IF('FICHA AMALDIÇOADA'!$J$441&lt;&gt;"",1,0)+IF('FICHA AMALDIÇOADA'!$P$441&lt;&gt;"",1,0)+IF('FICHA AMALDIÇOADA'!$D$463&lt;&gt;"",1,0)+IF('FICHA AMALDIÇOADA'!$J$463&lt;&gt;"",1,0)+IF('FICHA AMALDIÇOADA'!$P$463&lt;&gt;"",1,0)+IF('FICHA AMALDIÇOADA'!$D$483&lt;&gt;"",1,0)+IF('FICHA AMALDIÇOADA'!$J$483&lt;&gt;"",1,0)+IF('FICHA AMALDIÇOADA'!$P$483&lt;&gt;"",1,0)</f>
        <v/>
      </c>
    </row>
    <row r="26">
      <c r="AG26" s="114" t="inlineStr">
        <is>
          <t>Onda · classe 0</t>
        </is>
      </c>
      <c r="AH26" s="114" t="inlineStr">
        <is>
          <t>raio 3 m, em você</t>
        </is>
      </c>
      <c r="AI26" s="114" t="inlineStr">
        <is>
          <t>raio 4,5 m, em você</t>
        </is>
      </c>
      <c r="AJ26" s="114" t="inlineStr">
        <is>
          <t>raio 6 m, em você</t>
        </is>
      </c>
      <c r="AK26" s="114" t="inlineStr">
        <is>
          <t>raio 9 m, em você</t>
        </is>
      </c>
      <c r="AL26" s="114" t="inlineStr">
        <is>
          <t>raio 15 m, em você</t>
        </is>
      </c>
      <c r="AM26" s="114" t="inlineStr">
        <is>
          <t>raio 15 m, em você</t>
        </is>
      </c>
      <c r="AN26" s="114" t="inlineStr"/>
      <c r="AO26" s="114" t="inlineStr"/>
      <c r="AP26" s="114" t="inlineStr"/>
      <c r="AQ26" s="114" t="inlineStr"/>
      <c r="AR26" s="114" t="inlineStr"/>
      <c r="AS26" s="114" t="inlineStr"/>
      <c r="AU26" s="114" t="inlineStr">
        <is>
          <t>Anteparo</t>
        </is>
      </c>
      <c r="AV26" s="114" t="inlineStr">
        <is>
          <t>Controle</t>
        </is>
      </c>
      <c r="AW26" s="140" t="n">
        <v>2</v>
      </c>
      <c r="AX26" s="140">
        <f>$AW26+3*IFERROR(VLOOKUP($AV26,$A$2:$D$10,3,FALSE),0)</f>
        <v/>
      </c>
      <c r="AY26" s="140">
        <f>IFERROR(VLOOKUP($AV26,$A$2:$D$10,4,FALSE),0)</f>
        <v/>
      </c>
      <c r="AZ26" s="140" t="n">
        <v>1</v>
      </c>
      <c r="BA26" s="140">
        <f>IF($AY26=1,"",$AU26)</f>
        <v/>
      </c>
      <c r="BB26" s="140">
        <f>IF(AND($AW26=1,$AY26=0),$AU26,"")</f>
        <v/>
      </c>
      <c r="CU26" s="114" t="inlineStr">
        <is>
          <t>Feitiço 25</t>
        </is>
      </c>
      <c r="CV26" s="140" t="n">
        <v>0</v>
      </c>
      <c r="CW26" s="140" t="n">
        <v>25</v>
      </c>
      <c r="CX26" s="140">
        <f>MAX(1,MIN(7,N('FICHA AMALDIÇOADA'!$D$217)))</f>
        <v/>
      </c>
      <c r="CY26" s="140">
        <f>'FICHA AMALDIÇOADA'!$E$217&amp;""</f>
        <v/>
      </c>
      <c r="CZ26" s="140">
        <f>'FICHA AMALDIÇOADA'!$D$224&amp;""</f>
        <v/>
      </c>
      <c r="DA26" s="140">
        <f>'FICHA AMALDIÇOADA'!$E$226&amp;""</f>
        <v/>
      </c>
      <c r="DB26" s="140">
        <f>'FICHA AMALDIÇOADA'!$E$227&amp;""</f>
        <v/>
      </c>
      <c r="DC26" s="140">
        <f>'FICHA AMALDIÇOADA'!$E$228&amp;""</f>
        <v/>
      </c>
      <c r="DD26" s="140">
        <f>'FICHA AMALDIÇOADA'!$E$229&amp;""</f>
        <v/>
      </c>
      <c r="DE26" s="140">
        <f>'FICHA AMALDIÇOADA'!$E$230&amp;""</f>
        <v/>
      </c>
      <c r="DF26" s="140">
        <f>'FICHA AMALDIÇOADA'!$E$231&amp;""</f>
        <v/>
      </c>
      <c r="DG26" s="140">
        <f>IF('FICHA AMALDIÇOADA'!$H$230=TRUE,1,0)</f>
        <v/>
      </c>
      <c r="DH26" s="140">
        <f>IF('FICHA AMALDIÇOADA'!$H$231=TRUE,1,0)</f>
        <v/>
      </c>
      <c r="DI26" s="140">
        <f>IF($CY26&lt;&gt;"",1,0)</f>
        <v/>
      </c>
      <c r="DJ26" s="140">
        <f>IFERROR(MATCH($CZ26,$Q$2:$Q$11,0),0)</f>
        <v/>
      </c>
      <c r="DK26" s="140">
        <f>IF($DJ26=0,0,INDEX($T$2:$T$11,$DJ26))</f>
        <v/>
      </c>
      <c r="DL26" s="140">
        <f>IFERROR(VLOOKUP($DA26,$AU$2:$BB$84,4,FALSE),0)</f>
        <v/>
      </c>
      <c r="DM26" s="140">
        <f>IFERROR(VLOOKUP($DB26,$AU$2:$BB$84,4,FALSE),0)</f>
        <v/>
      </c>
      <c r="DN26" s="140">
        <f>IFERROR(VLOOKUP($DC26,$AU$2:$BB$84,4,FALSE),0)</f>
        <v/>
      </c>
      <c r="DO26" s="140">
        <f>IFERROR(VLOOKUP($DD26,$AU$2:$BB$84,4,FALSE),0)</f>
        <v/>
      </c>
      <c r="DP26" s="140">
        <f>IF($DJ26=0,0,INDEX($U$2:$U$11,$DJ26))</f>
        <v/>
      </c>
      <c r="DQ26" s="140">
        <f>IFERROR(VLOOKUP($DA26,$AU$2:$BB$84,5,FALSE),0)</f>
        <v/>
      </c>
      <c r="DR26" s="140">
        <f>IFERROR(VLOOKUP($DB26,$AU$2:$BB$84,5,FALSE),0)</f>
        <v/>
      </c>
      <c r="DS26" s="140">
        <f>IFERROR(VLOOKUP($DC26,$AU$2:$BB$84,5,FALSE),0)</f>
        <v/>
      </c>
      <c r="DT26" s="140">
        <f>IFERROR(VLOOKUP($DD26,$AU$2:$BB$84,5,FALSE),0)</f>
        <v/>
      </c>
      <c r="DU26" s="140">
        <f>IFERROR(VLOOKUP($DA26,$AU$2:$BB$84,6,FALSE),0)+IFERROR(VLOOKUP($DB26,$AU$2:$BB$84,6,FALSE),0)+IFERROR(VLOOKUP($DC26,$AU$2:$BB$84,6,FALSE),0)+IFERROR(VLOOKUP($DD26,$AU$2:$BB$84,6,FALSE),0)</f>
        <v/>
      </c>
      <c r="DV26" s="140">
        <f>IF($DJ26=0,0,INDEX($V$2:$V$11,$DJ26))</f>
        <v/>
      </c>
      <c r="DW26" s="140">
        <f>IF($DJ26=0,0,INDEX($W$2:$W$11,$DJ26))</f>
        <v/>
      </c>
      <c r="DX26" s="140">
        <f>IF($DJ26=0,0,INDEX($Y$2:$Y$11,$DJ26))</f>
        <v/>
      </c>
      <c r="DY26" s="140">
        <f>IF($DG26=1,0,IFERROR(VLOOKUP($DE26,$BD$2:$BH$24,3,FALSE),0))</f>
        <v/>
      </c>
      <c r="DZ26" s="140">
        <f>IF($DH26=1,0,IFERROR(VLOOKUP($DF26,$BD$2:$BH$24,3,FALSE),0))</f>
        <v/>
      </c>
      <c r="EA26" s="140">
        <f>IFERROR(VLOOKUP($DE26,$BD$2:$BH$24,2,FALSE),"")</f>
        <v/>
      </c>
      <c r="EB26" s="140">
        <f>IFERROR(VLOOKUP($DF26,$BD$2:$BH$24,2,FALSE),"")</f>
        <v/>
      </c>
      <c r="EC26" s="140">
        <f>COUNTIF($DK26:$DO26,1)</f>
        <v/>
      </c>
      <c r="ED26" s="140">
        <f>COUNTIF($DK26:$DO26,2)</f>
        <v/>
      </c>
      <c r="EE26" s="140">
        <f>COUNTIF($DK26:$DO26,3)</f>
        <v/>
      </c>
      <c r="EF26" s="140">
        <f>COUNTIF($DK26:$DO26,4)</f>
        <v/>
      </c>
      <c r="EG26" s="140">
        <f>COUNTIF($DK26:$DO26,5)</f>
        <v/>
      </c>
      <c r="EH26" s="140">
        <f>COUNTIF($DK26:$DO26,6)</f>
        <v/>
      </c>
      <c r="EI26" s="140">
        <f>COUNTIF($DY26:$DZ26,1)</f>
        <v/>
      </c>
      <c r="EJ26" s="140">
        <f>COUNTIF($DY26:$DZ26,2)+$DV26</f>
        <v/>
      </c>
      <c r="EK26" s="140">
        <f>COUNTIF($DA26:$DD26,"?*")</f>
        <v/>
      </c>
      <c r="EL26" s="140">
        <f>COUNTIF($DE26:$DF26,"?*")+$DV26</f>
        <v/>
      </c>
      <c r="EM26" s="140">
        <f>SUMPRODUCT($EC26:$EH26,INDEX($I$2:$N$8,$CX26,0))</f>
        <v/>
      </c>
      <c r="EN26" s="140">
        <f>$EI26*CEILING($CX26/2,1)+$EJ26*$CX26</f>
        <v/>
      </c>
      <c r="EO26" s="140">
        <f>MIN(2*$CX26,$EN26)</f>
        <v/>
      </c>
      <c r="EP26" s="140">
        <f>MIN($EO26,$EM26)</f>
        <v/>
      </c>
      <c r="EQ26" s="140">
        <f>$EO26-$EP26</f>
        <v/>
      </c>
      <c r="ER26" s="140">
        <f>3*$CX26-$EM26+$EP26</f>
        <v/>
      </c>
      <c r="ES26" s="140">
        <f>MAX(0,$ER26)+$CV26*$CX26</f>
        <v/>
      </c>
      <c r="ET26" s="140">
        <f>(IF(COUNTIF($DA26:$DD26,"Salto")&gt;0,1,0)+IF(COUNTIF($DA26:$DD26,"Queima")&gt;0,1,0))*FLOOR($ES26/2,1)</f>
        <v/>
      </c>
      <c r="EU26" s="140">
        <f>MAX(0,3-SUMPRODUCT($EC26:$EH26,$I$2:$N$2)+MIN(2,$EI26*1+$EJ26*1,SUMPRODUCT($EC26:$EH26,$I$2:$N$2)))+$CV26*1</f>
        <v/>
      </c>
      <c r="EV26" s="140">
        <f>MAX(0,6-SUMPRODUCT($EC26:$EH26,$I$3:$N$3)+MIN(4,$EI26*1+$EJ26*2,SUMPRODUCT($EC26:$EH26,$I$3:$N$3)))+$CV26*2</f>
        <v/>
      </c>
      <c r="EW26" s="140">
        <f>MAX(0,9-SUMPRODUCT($EC26:$EH26,$I$4:$N$4)+MIN(6,$EI26*2+$EJ26*3,SUMPRODUCT($EC26:$EH26,$I$4:$N$4)))+$CV26*3</f>
        <v/>
      </c>
      <c r="EX26" s="140">
        <f>MAX(0,12-SUMPRODUCT($EC26:$EH26,$I$5:$N$5)+MIN(8,$EI26*2+$EJ26*4,SUMPRODUCT($EC26:$EH26,$I$5:$N$5)))+$CV26*4</f>
        <v/>
      </c>
      <c r="EY26" s="140">
        <f>MAX(0,15-SUMPRODUCT($EC26:$EH26,$I$6:$N$6)+MIN(10,$EI26*3+$EJ26*5,SUMPRODUCT($EC26:$EH26,$I$6:$N$6)))+$CV26*5</f>
        <v/>
      </c>
      <c r="EZ26" s="140">
        <f>MAX(0,18-SUMPRODUCT($EC26:$EH26,$I$7:$N$7)+MIN(12,$EI26*3+$EJ26*6,SUMPRODUCT($EC26:$EH26,$I$7:$N$7)))+$CV26*6</f>
        <v/>
      </c>
      <c r="FA26" s="140">
        <f>MAX(0,21-SUMPRODUCT($EC26:$EH26,$I$8:$N$8)+MIN(14,$EI26*4+$EJ26*7,SUMPRODUCT($EC26:$EH26,$I$8:$N$8)))+$CV26*7</f>
        <v/>
      </c>
      <c r="FB26" s="140">
        <f>IF($DW26=2,3*$EU26&amp;" de vida temp.",IF($DW26=3,"sem dano",IF($EU26=0,IF($DW26=1,"sem cura","sem dano"),IF($DW26=1,"cura ","")&amp;$EU26&amp;"d8")))</f>
        <v/>
      </c>
      <c r="FC26" s="140">
        <f>IF($DW26=2,3*$EV26&amp;" de vida temp.",IF($DW26=3,"sem dano",IF($EV26=0,IF($DW26=1,"sem cura","sem dano"),IF($DW26=1,"cura ","")&amp;$EV26&amp;"d8")))</f>
        <v/>
      </c>
      <c r="FD26" s="140">
        <f>IF($DW26=2,3*$EW26&amp;" de vida temp.",IF($DW26=3,"sem dano",IF($EW26=0,IF($DW26=1,"sem cura","sem dano"),IF($DW26=1,"cura ","")&amp;$EW26&amp;"d8")))</f>
        <v/>
      </c>
      <c r="FE26" s="140">
        <f>IF($DW26=2,3*$EX26&amp;" de vida temp.",IF($DW26=3,"sem dano",IF($EX26=0,IF($DW26=1,"sem cura","sem dano"),IF($DW26=1,"cura ","")&amp;$EX26&amp;"d8")))</f>
        <v/>
      </c>
      <c r="FF26" s="140">
        <f>IF($DW26=2,3*$EY26&amp;" de vida temp.",IF($DW26=3,"sem dano",IF($EY26=0,IF($DW26=1,"sem cura","sem dano"),IF($DW26=1,"cura ","")&amp;$EY26&amp;"d8")))</f>
        <v/>
      </c>
      <c r="FG26" s="140">
        <f>IF($DW26=2,3*$EZ26&amp;" de vida temp.",IF($DW26=3,"sem dano",IF($EZ26=0,IF($DW26=1,"sem cura","sem dano"),IF($DW26=1,"cura ","")&amp;$EZ26&amp;"d8")))</f>
        <v/>
      </c>
      <c r="FH26" s="140">
        <f>IF($DW26=2,3*$FA26&amp;" de vida temp.",IF($DW26=3,"sem dano",IF($FA26=0,IF($DW26=1,"sem cura","sem dano"),IF($DW26=1,"cura ","")&amp;$FA26&amp;"d8")))</f>
        <v/>
      </c>
      <c r="FI26" s="140">
        <f>IF($DI26=0,"",TEXTJOIN(" · ",TRUE,IF(AND($CV26=1,$CW26&gt;$GH$9),"O nível "&amp;$GH$2&amp;" dá "&amp;$GH$9&amp;" Liberação Máxima",""),IF($CX26&gt;$GH$4,"Classe "&amp;$CX26&amp;": o nível "&amp;$GH$2&amp;" libera até a "&amp;$GH$4,""),IF($DP26=1,"Família Fechada: a Forma "&amp;$CZ26,""),IF($DQ26=1,"Família Fechada: "&amp;$DA26,""),IF($DR26=1,"Família Fechada: "&amp;$DB26,""),IF($DS26=1,"Família Fechada: "&amp;$DC26,""),IF($DT26=1,"Família Fechada: "&amp;$DD26,""),IF($EK26&gt;INDEX($O$2:$O$8,$CX26),$EK26&amp;" Melhorias: a Classe "&amp;$CX26&amp;" aceita "&amp;INDEX($O$2:$O$8,$CX26),""),IF($EL26&gt;2,$EL26&amp;" Restrições"&amp;IF($DV26=1,", contando a que a Forma "&amp;$CZ26&amp;" já traz","")&amp;": o limite é 2",""),IF($ER26&lt;0,"Orçamento estourado: faltam "&amp;(-$ER26)&amp;IF($ER26&lt;-1," pontos"," ponto"),""),IF(IFERROR(VLOOKUP($DE26,$BD$2:$BH$24,4,FALSE),0)+IFERROR(VLOOKUP($DF26,$BD$2:$BH$24,4,FALSE),0)&gt;1,$EA26&amp;" e "&amp;$EB26&amp;" são as duas de frequência",""),IF(AND((COUNTIF($DA26:$DD26,"Rápido")+COUNTIF($EA26:$EB26,"Rápido"))&gt;0,(COUNTIF($DA26:$DD26,"Reação")+COUNTIF($EA26:$EB26,"Reação"))&gt;0),"Rápido não entra com Reação",""),IF(AND((COUNTIF($DA26:$DD26,"Rápido")+COUNTIF($EA26:$EB26,"Rápido"))&gt;0,(COUNTIF($DA26:$DD26,"Atrasar")+COUNTIF($EA26:$EB26,"Atrasar"))&gt;0),"Rápido não entra com Atrasar",""),IF(AND((COUNTIF($DA26:$DD26,"Reação")+COUNTIF($EA26:$EB26,"Reação"))&gt;0,(COUNTIF($DA26:$DD26,"Atrasar")+COUNTIF($EA26:$EB26,"Atrasar"))&gt;0),"Reação não entra com Atrasar",""),IF(AND((COUNTIF($DA26:$DD26,"Reação")+COUNTIF($EA26:$EB26,"Reação"))&gt;0,(COUNTIF($DA26:$DD26,"Parado")+COUNTIF($EA26:$EB26,"Parado"))&gt;0),"Reação não entra com Parado",""),IF(AND(COUNTIF($EA26:$EB26,"Corpo a Corpo")&gt;0,$DV26=0,OR($CZ26="Cone",$CZ26="Linha")),"Corpo a Corpo não entra em "&amp;$CZ26,""),IF(AND(COUNTIF($EA26:$EB26,"Corpo a Corpo")&gt;0,$DV26=1),"A Forma "&amp;$CZ26&amp;" já traz o Corpo a Corpo",""),IF(AND(COUNTIF($EA26:$EB26,"Tudo ou Nada")&gt;0,$DX26=0),"Tudo ou Nada só entra em feitiço de Teste de Resistência",""),IF(AND(COUNTIF($DA26:$DD26,"Inescapável")&gt;0,OR($EK26&gt;1,$EL26&gt;0)),"Inescapável não aceita outra peça",""),IF(AND($CV26=1,$CX26&lt;3),"Liberação Máxima é de Classe 3 ou mais",""),IF(AND($CV26=1,OR($DW26=1,$DW26=2)),"Liberação Máxima não serve para cura",""),IF(AND($CV26=1,COUNTIF($DA26:$DD26,"Inescapável")+COUNTIF($DA26:$DD26,"Toca a Alma")&gt;0),"Esta peça não entra numa Liberação Máxima",""),IF($ES26+$ET26&gt;4*$CX26,($ES26+$ET26)&amp;" dados somando alvos e repetições: o teto da Classe "&amp;$CX26&amp;" é "&amp;4*$CX26,"")))</f>
        <v/>
      </c>
      <c r="FJ26" s="140">
        <f>IF($FI26="",0,(LEN($FI26)-LEN(SUBSTITUTE($FI26," · ","")))/3+1)</f>
        <v/>
      </c>
      <c r="FK26" s="140">
        <f>IF($DI26=0,"",TEXTJOIN(" · ",TRUE,IF($EN26&gt;2*$CX26,"A devolução parou no teto de "&amp;2*$CX26,""),IF($EQ26&gt;0,"Devolução perdida: "&amp;$EQ26&amp;IF($EQ26&gt;1," pontos"," ponto")&amp;" sem peça para pagar",""),IF(AND($DU26&gt;0,$ES26=0),"Controle sem dano: uma rodada a mais e CD +2",""),IF(AND($DU26&gt;0,$ES26&gt;0,$ES26&lt;=$CX26),"Controle com um quarto do teto: uma rodada a mais","")))</f>
        <v/>
      </c>
      <c r="FL26" s="140">
        <f>IF($FK26="",0,(LEN($FK26)-LEN(SUBSTITUTE($FK26," · ","")))/3+1)</f>
        <v/>
      </c>
      <c r="FM26" s="140">
        <f>IF($DI26=0,IF($EK26+$EL26-$DV26&gt;0,"dê um nome",""),IF($FJ26&gt;0,"⚠ "&amp;$FJ26&amp;IF($FJ26&gt;1," erros"," erro"),IF($FL26&gt;0,"! "&amp;$FL26&amp;IF($FL26&gt;1," avisos"," aviso"),"na regra")))</f>
        <v/>
      </c>
      <c r="FN26" s="140">
        <f>IF($DI26=0,"",IF($FJ26+$FL26=0,"Dentro das regras que a ficha confere",$FI26&amp;IF(AND($FJ26&gt;0,$FL26&gt;0)," · ","")&amp;$FK26))</f>
        <v/>
      </c>
      <c r="FO26" s="140">
        <f>IF($DI26=0,"",IF($CV26=1,CEILING(4.5*$CX26,1),3*$CX26)&amp;" PE")</f>
        <v/>
      </c>
      <c r="FP26" s="140">
        <f>IF($DI26=0,"",IF($CV26=1,"Rodada inteira",IF(COUNTIF($EA26:$EB26,"Atrasar")&gt;0,IF(COUNTIF($EA26:$EB26,"Carregar")&gt;0,"Rodada +1 turno","Rodada inteira"),IF(COUNTIF($DA26:$DD26,"Rápido")&gt;0,"Bônus",IF(COUNTIF($DA26:$DD26,"Reação")&gt;0,"Reação","Padrão"))&amp;IF(COUNTIF($EA26:$EB26,"Carregar")&gt;0," +1 turno",""))))</f>
        <v/>
      </c>
      <c r="FQ26" s="140">
        <f>IF(OR($DI26=0,$DJ26=0),"",IF(COUNTIF($DA26:$DD26,"Inescapável")&gt;0,"Automático",IF(COUNTIF($DA26:$DD26,"Certeiro")&gt;0,"TR para metade",INDEX($X$2:$X$11,$DJ26))))</f>
        <v/>
      </c>
      <c r="FR26" s="140">
        <f>IF(OR($DI26=0,$DJ26=0),"",IF(OR($DW26&gt;=2,$ES26=0),INDEX($FB26:$FH26,1,$CX26),INDEX($FB26:$FH26,1,$CX26)&amp;" = "&amp;FLOOR($ES26*4.5,1)&amp;IF($ET26&gt;0," · +"&amp;$ET26&amp;"d8","")))</f>
        <v/>
      </c>
      <c r="FS26" s="140">
        <f>COUNTIF($DA26:$DD26,"Longe")+3*COUNTIF($DA26:$DD26,"Muito Longe")</f>
        <v/>
      </c>
      <c r="FT26" s="140">
        <f>COUNTIF($DA26:$DD26,"Maior")+3*COUNTIF($DA26:$DD26,"Muito Maior")</f>
        <v/>
      </c>
      <c r="FU26" s="140">
        <f>IF($DJ26=0,0,CHOOSE(1+INDEX($Z$2:$Z$11,$DJ26),0,$FS26,$FT26,$FS26+$FT26))</f>
        <v/>
      </c>
      <c r="FV26" s="140">
        <f>IF($DJ26=0,0,CHOOSE(1+INDEX($AA$2:$AA$11,$DJ26),0,$FS26,$FT26,$FS26+$FT26))</f>
        <v/>
      </c>
      <c r="FW26" s="140">
        <f>IF(OR($DI26=0,$DJ26=0),"",INDEX($AH$2:$AM$31,($DJ26-1)*3+IF($CX26&gt;=6,3,2),1+MIN(5,$FU26))&amp;INDEX($AN$2:$AS$31,($DJ26-1)*3+IF($CX26&gt;=6,3,2),1+MIN(5,$FV26))&amp;IF(INDEX($AB$2:$AB$11,$DJ26)=1,IF(COUNTIF($DA26:$DD26,"Mais Um")&gt;0," · +"&amp;COUNTIF($DA26:$DD26,"Mais Um")&amp;IF(COUNTIF($DA26:$DD26,"Mais Um")&gt;1," alvos"," alvo"),"")&amp;IF(COUNTIF($DA26:$DD26,"Rajada")&gt;0," · "&amp;($CX26+1)&amp;" tiros",""),""))</f>
        <v/>
      </c>
      <c r="FX26" s="140">
        <f>IF($DI26=0,"",3*$CX26&amp;" − "&amp;$EM26&amp;" + "&amp;$EP26&amp;IF($CV26=1," + "&amp;$CX26,"")&amp;" = "&amp;$ES26&amp;"d8 · teto "&amp;4*$CX26&amp;IF($DV26=1," · a Forma devolve "&amp;$CX26,"")&amp;IF($EQ26&gt;0," · perde "&amp;$EQ26,""))</f>
        <v/>
      </c>
      <c r="FY26" s="140">
        <f>IF($DI26=0,"",IF($CX26&gt;=$GH$4,"Já está na maior Classe que o nível liberou",TEXTJOIN(" · ",TRUE,IF(AND(2&gt;$CX26,2&lt;=$GH$4),"2 → "&amp;$FC26&amp;", "&amp;IF($CV26=1,9,6)&amp;" PE",""),IF(AND(3&gt;$CX26,3&lt;=$GH$4),"3 → "&amp;$FD26&amp;", "&amp;IF($CV26=1,14,9)&amp;" PE",""),IF(AND(4&gt;$CX26,4&lt;=$GH$4),"4 → "&amp;$FE26&amp;", "&amp;IF($CV26=1,18,12)&amp;" PE",""),IF(AND(5&gt;$CX26,5&lt;=$GH$4),"5 → "&amp;$FF26&amp;", "&amp;IF($CV26=1,23,15)&amp;" PE",""),IF(AND(6&gt;$CX26,6&lt;=$GH$4),"6 → "&amp;$FG26&amp;", "&amp;IF($CV26=1,27,18)&amp;" PE",""),IF(AND(7&gt;$CX26,7&lt;=$GH$4),"7 → "&amp;$FH26&amp;", "&amp;IF($CV26=1,32,21)&amp;" PE",""))))</f>
        <v/>
      </c>
      <c r="FZ26" s="140">
        <f>IF(OR($DI26=0,$DL26=0),"","−"&amp;INDEX($I$2:$N$8,$CX26,$DL26)&amp;" · "&amp;CHOOSE($DL26,"Leve","Média","Pesada","Leve · Livre","Média · Livre","Pesada · Livre"))</f>
        <v/>
      </c>
      <c r="GA26" s="140">
        <f>IF(OR($DI26=0,$DM26=0),"","−"&amp;INDEX($I$2:$N$8,$CX26,$DM26)&amp;" · "&amp;CHOOSE($DM26,"Leve","Média","Pesada","Leve · Livre","Média · Livre","Pesada · Livre"))</f>
        <v/>
      </c>
      <c r="GB26" s="140">
        <f>IF(OR($DI26=0,$DN26=0),"","−"&amp;INDEX($I$2:$N$8,$CX26,$DN26)&amp;" · "&amp;CHOOSE($DN26,"Leve","Média","Pesada","Leve · Livre","Média · Livre","Pesada · Livre"))</f>
        <v/>
      </c>
      <c r="GC26" s="140">
        <f>IF(OR($DI26=0,$DO26=0),"","−"&amp;INDEX($I$2:$N$8,$CX26,$DO26)&amp;" · "&amp;CHOOSE($DO26,"Leve","Média","Pesada","Leve · Livre","Média · Livre","Pesada · Livre"))</f>
        <v/>
      </c>
      <c r="GD26" s="140">
        <f>IF(OR($DI26=0,$DE26=""),"",IF($DG26=1,"Selo","+"&amp;IF($DY26=1,CEILING($CX26/2,1),$CX26)))</f>
        <v/>
      </c>
      <c r="GE26" s="140">
        <f>IF(OR($DI26=0,$DF26=""),"",IF($DH26=1,"Selo","+"&amp;IF($DZ26=1,CEILING($CX26/2,1),$CX26)))</f>
        <v/>
      </c>
      <c r="GG26" s="114" t="inlineStr">
        <is>
          <t>aptidões compráveis</t>
        </is>
      </c>
      <c r="GH26" s="140">
        <f>MAX(0,N(DADOS!$AK$36)-2)</f>
        <v/>
      </c>
    </row>
    <row r="27">
      <c r="AG27" s="114" t="inlineStr">
        <is>
          <t>Onda · classes 1 a 5</t>
        </is>
      </c>
      <c r="AH27" s="114" t="inlineStr">
        <is>
          <t>raio 3 m, em você</t>
        </is>
      </c>
      <c r="AI27" s="114" t="inlineStr">
        <is>
          <t>raio 4,5 m, em você</t>
        </is>
      </c>
      <c r="AJ27" s="114" t="inlineStr">
        <is>
          <t>raio 6 m, em você</t>
        </is>
      </c>
      <c r="AK27" s="114" t="inlineStr">
        <is>
          <t>raio 9 m, em você</t>
        </is>
      </c>
      <c r="AL27" s="114" t="inlineStr">
        <is>
          <t>raio 15 m, em você</t>
        </is>
      </c>
      <c r="AM27" s="114" t="inlineStr">
        <is>
          <t>raio 15 m, em você</t>
        </is>
      </c>
      <c r="AN27" s="114" t="inlineStr"/>
      <c r="AO27" s="114" t="inlineStr"/>
      <c r="AP27" s="114" t="inlineStr"/>
      <c r="AQ27" s="114" t="inlineStr"/>
      <c r="AR27" s="114" t="inlineStr"/>
      <c r="AS27" s="114" t="inlineStr"/>
      <c r="AU27" s="114" t="inlineStr">
        <is>
          <t>Prende</t>
        </is>
      </c>
      <c r="AV27" s="114" t="inlineStr">
        <is>
          <t>Controle</t>
        </is>
      </c>
      <c r="AW27" s="140" t="n">
        <v>2</v>
      </c>
      <c r="AX27" s="140">
        <f>$AW27+3*IFERROR(VLOOKUP($AV27,$A$2:$D$10,3,FALSE),0)</f>
        <v/>
      </c>
      <c r="AY27" s="140">
        <f>IFERROR(VLOOKUP($AV27,$A$2:$D$10,4,FALSE),0)</f>
        <v/>
      </c>
      <c r="AZ27" s="140" t="n">
        <v>1</v>
      </c>
      <c r="BA27" s="140">
        <f>IF($AY27=1,"",$AU27)</f>
        <v/>
      </c>
      <c r="BB27" s="140">
        <f>IF(AND($AW27=1,$AY27=0),$AU27,"")</f>
        <v/>
      </c>
      <c r="CU27" s="114" t="inlineStr">
        <is>
          <t>Feitiço 26</t>
        </is>
      </c>
      <c r="CV27" s="140" t="n">
        <v>0</v>
      </c>
      <c r="CW27" s="140" t="n">
        <v>26</v>
      </c>
      <c r="CX27" s="140">
        <f>MAX(1,MIN(7,N('FICHA AMALDIÇOADA'!$J$217)))</f>
        <v/>
      </c>
      <c r="CY27" s="140">
        <f>'FICHA AMALDIÇOADA'!$K$217&amp;""</f>
        <v/>
      </c>
      <c r="CZ27" s="140">
        <f>'FICHA AMALDIÇOADA'!$J$224&amp;""</f>
        <v/>
      </c>
      <c r="DA27" s="140">
        <f>'FICHA AMALDIÇOADA'!$K$226&amp;""</f>
        <v/>
      </c>
      <c r="DB27" s="140">
        <f>'FICHA AMALDIÇOADA'!$K$227&amp;""</f>
        <v/>
      </c>
      <c r="DC27" s="140">
        <f>'FICHA AMALDIÇOADA'!$K$228&amp;""</f>
        <v/>
      </c>
      <c r="DD27" s="140">
        <f>'FICHA AMALDIÇOADA'!$K$229&amp;""</f>
        <v/>
      </c>
      <c r="DE27" s="140">
        <f>'FICHA AMALDIÇOADA'!$K$230&amp;""</f>
        <v/>
      </c>
      <c r="DF27" s="140">
        <f>'FICHA AMALDIÇOADA'!$K$231&amp;""</f>
        <v/>
      </c>
      <c r="DG27" s="140">
        <f>IF('FICHA AMALDIÇOADA'!$N$230=TRUE,1,0)</f>
        <v/>
      </c>
      <c r="DH27" s="140">
        <f>IF('FICHA AMALDIÇOADA'!$N$231=TRUE,1,0)</f>
        <v/>
      </c>
      <c r="DI27" s="140">
        <f>IF($CY27&lt;&gt;"",1,0)</f>
        <v/>
      </c>
      <c r="DJ27" s="140">
        <f>IFERROR(MATCH($CZ27,$Q$2:$Q$11,0),0)</f>
        <v/>
      </c>
      <c r="DK27" s="140">
        <f>IF($DJ27=0,0,INDEX($T$2:$T$11,$DJ27))</f>
        <v/>
      </c>
      <c r="DL27" s="140">
        <f>IFERROR(VLOOKUP($DA27,$AU$2:$BB$84,4,FALSE),0)</f>
        <v/>
      </c>
      <c r="DM27" s="140">
        <f>IFERROR(VLOOKUP($DB27,$AU$2:$BB$84,4,FALSE),0)</f>
        <v/>
      </c>
      <c r="DN27" s="140">
        <f>IFERROR(VLOOKUP($DC27,$AU$2:$BB$84,4,FALSE),0)</f>
        <v/>
      </c>
      <c r="DO27" s="140">
        <f>IFERROR(VLOOKUP($DD27,$AU$2:$BB$84,4,FALSE),0)</f>
        <v/>
      </c>
      <c r="DP27" s="140">
        <f>IF($DJ27=0,0,INDEX($U$2:$U$11,$DJ27))</f>
        <v/>
      </c>
      <c r="DQ27" s="140">
        <f>IFERROR(VLOOKUP($DA27,$AU$2:$BB$84,5,FALSE),0)</f>
        <v/>
      </c>
      <c r="DR27" s="140">
        <f>IFERROR(VLOOKUP($DB27,$AU$2:$BB$84,5,FALSE),0)</f>
        <v/>
      </c>
      <c r="DS27" s="140">
        <f>IFERROR(VLOOKUP($DC27,$AU$2:$BB$84,5,FALSE),0)</f>
        <v/>
      </c>
      <c r="DT27" s="140">
        <f>IFERROR(VLOOKUP($DD27,$AU$2:$BB$84,5,FALSE),0)</f>
        <v/>
      </c>
      <c r="DU27" s="140">
        <f>IFERROR(VLOOKUP($DA27,$AU$2:$BB$84,6,FALSE),0)+IFERROR(VLOOKUP($DB27,$AU$2:$BB$84,6,FALSE),0)+IFERROR(VLOOKUP($DC27,$AU$2:$BB$84,6,FALSE),0)+IFERROR(VLOOKUP($DD27,$AU$2:$BB$84,6,FALSE),0)</f>
        <v/>
      </c>
      <c r="DV27" s="140">
        <f>IF($DJ27=0,0,INDEX($V$2:$V$11,$DJ27))</f>
        <v/>
      </c>
      <c r="DW27" s="140">
        <f>IF($DJ27=0,0,INDEX($W$2:$W$11,$DJ27))</f>
        <v/>
      </c>
      <c r="DX27" s="140">
        <f>IF($DJ27=0,0,INDEX($Y$2:$Y$11,$DJ27))</f>
        <v/>
      </c>
      <c r="DY27" s="140">
        <f>IF($DG27=1,0,IFERROR(VLOOKUP($DE27,$BD$2:$BH$24,3,FALSE),0))</f>
        <v/>
      </c>
      <c r="DZ27" s="140">
        <f>IF($DH27=1,0,IFERROR(VLOOKUP($DF27,$BD$2:$BH$24,3,FALSE),0))</f>
        <v/>
      </c>
      <c r="EA27" s="140">
        <f>IFERROR(VLOOKUP($DE27,$BD$2:$BH$24,2,FALSE),"")</f>
        <v/>
      </c>
      <c r="EB27" s="140">
        <f>IFERROR(VLOOKUP($DF27,$BD$2:$BH$24,2,FALSE),"")</f>
        <v/>
      </c>
      <c r="EC27" s="140">
        <f>COUNTIF($DK27:$DO27,1)</f>
        <v/>
      </c>
      <c r="ED27" s="140">
        <f>COUNTIF($DK27:$DO27,2)</f>
        <v/>
      </c>
      <c r="EE27" s="140">
        <f>COUNTIF($DK27:$DO27,3)</f>
        <v/>
      </c>
      <c r="EF27" s="140">
        <f>COUNTIF($DK27:$DO27,4)</f>
        <v/>
      </c>
      <c r="EG27" s="140">
        <f>COUNTIF($DK27:$DO27,5)</f>
        <v/>
      </c>
      <c r="EH27" s="140">
        <f>COUNTIF($DK27:$DO27,6)</f>
        <v/>
      </c>
      <c r="EI27" s="140">
        <f>COUNTIF($DY27:$DZ27,1)</f>
        <v/>
      </c>
      <c r="EJ27" s="140">
        <f>COUNTIF($DY27:$DZ27,2)+$DV27</f>
        <v/>
      </c>
      <c r="EK27" s="140">
        <f>COUNTIF($DA27:$DD27,"?*")</f>
        <v/>
      </c>
      <c r="EL27" s="140">
        <f>COUNTIF($DE27:$DF27,"?*")+$DV27</f>
        <v/>
      </c>
      <c r="EM27" s="140">
        <f>SUMPRODUCT($EC27:$EH27,INDEX($I$2:$N$8,$CX27,0))</f>
        <v/>
      </c>
      <c r="EN27" s="140">
        <f>$EI27*CEILING($CX27/2,1)+$EJ27*$CX27</f>
        <v/>
      </c>
      <c r="EO27" s="140">
        <f>MIN(2*$CX27,$EN27)</f>
        <v/>
      </c>
      <c r="EP27" s="140">
        <f>MIN($EO27,$EM27)</f>
        <v/>
      </c>
      <c r="EQ27" s="140">
        <f>$EO27-$EP27</f>
        <v/>
      </c>
      <c r="ER27" s="140">
        <f>3*$CX27-$EM27+$EP27</f>
        <v/>
      </c>
      <c r="ES27" s="140">
        <f>MAX(0,$ER27)+$CV27*$CX27</f>
        <v/>
      </c>
      <c r="ET27" s="140">
        <f>(IF(COUNTIF($DA27:$DD27,"Salto")&gt;0,1,0)+IF(COUNTIF($DA27:$DD27,"Queima")&gt;0,1,0))*FLOOR($ES27/2,1)</f>
        <v/>
      </c>
      <c r="EU27" s="140">
        <f>MAX(0,3-SUMPRODUCT($EC27:$EH27,$I$2:$N$2)+MIN(2,$EI27*1+$EJ27*1,SUMPRODUCT($EC27:$EH27,$I$2:$N$2)))+$CV27*1</f>
        <v/>
      </c>
      <c r="EV27" s="140">
        <f>MAX(0,6-SUMPRODUCT($EC27:$EH27,$I$3:$N$3)+MIN(4,$EI27*1+$EJ27*2,SUMPRODUCT($EC27:$EH27,$I$3:$N$3)))+$CV27*2</f>
        <v/>
      </c>
      <c r="EW27" s="140">
        <f>MAX(0,9-SUMPRODUCT($EC27:$EH27,$I$4:$N$4)+MIN(6,$EI27*2+$EJ27*3,SUMPRODUCT($EC27:$EH27,$I$4:$N$4)))+$CV27*3</f>
        <v/>
      </c>
      <c r="EX27" s="140">
        <f>MAX(0,12-SUMPRODUCT($EC27:$EH27,$I$5:$N$5)+MIN(8,$EI27*2+$EJ27*4,SUMPRODUCT($EC27:$EH27,$I$5:$N$5)))+$CV27*4</f>
        <v/>
      </c>
      <c r="EY27" s="140">
        <f>MAX(0,15-SUMPRODUCT($EC27:$EH27,$I$6:$N$6)+MIN(10,$EI27*3+$EJ27*5,SUMPRODUCT($EC27:$EH27,$I$6:$N$6)))+$CV27*5</f>
        <v/>
      </c>
      <c r="EZ27" s="140">
        <f>MAX(0,18-SUMPRODUCT($EC27:$EH27,$I$7:$N$7)+MIN(12,$EI27*3+$EJ27*6,SUMPRODUCT($EC27:$EH27,$I$7:$N$7)))+$CV27*6</f>
        <v/>
      </c>
      <c r="FA27" s="140">
        <f>MAX(0,21-SUMPRODUCT($EC27:$EH27,$I$8:$N$8)+MIN(14,$EI27*4+$EJ27*7,SUMPRODUCT($EC27:$EH27,$I$8:$N$8)))+$CV27*7</f>
        <v/>
      </c>
      <c r="FB27" s="140">
        <f>IF($DW27=2,3*$EU27&amp;" de vida temp.",IF($DW27=3,"sem dano",IF($EU27=0,IF($DW27=1,"sem cura","sem dano"),IF($DW27=1,"cura ","")&amp;$EU27&amp;"d8")))</f>
        <v/>
      </c>
      <c r="FC27" s="140">
        <f>IF($DW27=2,3*$EV27&amp;" de vida temp.",IF($DW27=3,"sem dano",IF($EV27=0,IF($DW27=1,"sem cura","sem dano"),IF($DW27=1,"cura ","")&amp;$EV27&amp;"d8")))</f>
        <v/>
      </c>
      <c r="FD27" s="140">
        <f>IF($DW27=2,3*$EW27&amp;" de vida temp.",IF($DW27=3,"sem dano",IF($EW27=0,IF($DW27=1,"sem cura","sem dano"),IF($DW27=1,"cura ","")&amp;$EW27&amp;"d8")))</f>
        <v/>
      </c>
      <c r="FE27" s="140">
        <f>IF($DW27=2,3*$EX27&amp;" de vida temp.",IF($DW27=3,"sem dano",IF($EX27=0,IF($DW27=1,"sem cura","sem dano"),IF($DW27=1,"cura ","")&amp;$EX27&amp;"d8")))</f>
        <v/>
      </c>
      <c r="FF27" s="140">
        <f>IF($DW27=2,3*$EY27&amp;" de vida temp.",IF($DW27=3,"sem dano",IF($EY27=0,IF($DW27=1,"sem cura","sem dano"),IF($DW27=1,"cura ","")&amp;$EY27&amp;"d8")))</f>
        <v/>
      </c>
      <c r="FG27" s="140">
        <f>IF($DW27=2,3*$EZ27&amp;" de vida temp.",IF($DW27=3,"sem dano",IF($EZ27=0,IF($DW27=1,"sem cura","sem dano"),IF($DW27=1,"cura ","")&amp;$EZ27&amp;"d8")))</f>
        <v/>
      </c>
      <c r="FH27" s="140">
        <f>IF($DW27=2,3*$FA27&amp;" de vida temp.",IF($DW27=3,"sem dano",IF($FA27=0,IF($DW27=1,"sem cura","sem dano"),IF($DW27=1,"cura ","")&amp;$FA27&amp;"d8")))</f>
        <v/>
      </c>
      <c r="FI27" s="140">
        <f>IF($DI27=0,"",TEXTJOIN(" · ",TRUE,IF(AND($CV27=1,$CW27&gt;$GH$9),"O nível "&amp;$GH$2&amp;" dá "&amp;$GH$9&amp;" Liberação Máxima",""),IF($CX27&gt;$GH$4,"Classe "&amp;$CX27&amp;": o nível "&amp;$GH$2&amp;" libera até a "&amp;$GH$4,""),IF($DP27=1,"Família Fechada: a Forma "&amp;$CZ27,""),IF($DQ27=1,"Família Fechada: "&amp;$DA27,""),IF($DR27=1,"Família Fechada: "&amp;$DB27,""),IF($DS27=1,"Família Fechada: "&amp;$DC27,""),IF($DT27=1,"Família Fechada: "&amp;$DD27,""),IF($EK27&gt;INDEX($O$2:$O$8,$CX27),$EK27&amp;" Melhorias: a Classe "&amp;$CX27&amp;" aceita "&amp;INDEX($O$2:$O$8,$CX27),""),IF($EL27&gt;2,$EL27&amp;" Restrições"&amp;IF($DV27=1,", contando a que a Forma "&amp;$CZ27&amp;" já traz","")&amp;": o limite é 2",""),IF($ER27&lt;0,"Orçamento estourado: faltam "&amp;(-$ER27)&amp;IF($ER27&lt;-1," pontos"," ponto"),""),IF(IFERROR(VLOOKUP($DE27,$BD$2:$BH$24,4,FALSE),0)+IFERROR(VLOOKUP($DF27,$BD$2:$BH$24,4,FALSE),0)&gt;1,$EA27&amp;" e "&amp;$EB27&amp;" são as duas de frequência",""),IF(AND((COUNTIF($DA27:$DD27,"Rápido")+COUNTIF($EA27:$EB27,"Rápido"))&gt;0,(COUNTIF($DA27:$DD27,"Reação")+COUNTIF($EA27:$EB27,"Reação"))&gt;0),"Rápido não entra com Reação",""),IF(AND((COUNTIF($DA27:$DD27,"Rápido")+COUNTIF($EA27:$EB27,"Rápido"))&gt;0,(COUNTIF($DA27:$DD27,"Atrasar")+COUNTIF($EA27:$EB27,"Atrasar"))&gt;0),"Rápido não entra com Atrasar",""),IF(AND((COUNTIF($DA27:$DD27,"Reação")+COUNTIF($EA27:$EB27,"Reação"))&gt;0,(COUNTIF($DA27:$DD27,"Atrasar")+COUNTIF($EA27:$EB27,"Atrasar"))&gt;0),"Reação não entra com Atrasar",""),IF(AND((COUNTIF($DA27:$DD27,"Reação")+COUNTIF($EA27:$EB27,"Reação"))&gt;0,(COUNTIF($DA27:$DD27,"Parado")+COUNTIF($EA27:$EB27,"Parado"))&gt;0),"Reação não entra com Parado",""),IF(AND(COUNTIF($EA27:$EB27,"Corpo a Corpo")&gt;0,$DV27=0,OR($CZ27="Cone",$CZ27="Linha")),"Corpo a Corpo não entra em "&amp;$CZ27,""),IF(AND(COUNTIF($EA27:$EB27,"Corpo a Corpo")&gt;0,$DV27=1),"A Forma "&amp;$CZ27&amp;" já traz o Corpo a Corpo",""),IF(AND(COUNTIF($EA27:$EB27,"Tudo ou Nada")&gt;0,$DX27=0),"Tudo ou Nada só entra em feitiço de Teste de Resistência",""),IF(AND(COUNTIF($DA27:$DD27,"Inescapável")&gt;0,OR($EK27&gt;1,$EL27&gt;0)),"Inescapável não aceita outra peça",""),IF(AND($CV27=1,$CX27&lt;3),"Liberação Máxima é de Classe 3 ou mais",""),IF(AND($CV27=1,OR($DW27=1,$DW27=2)),"Liberação Máxima não serve para cura",""),IF(AND($CV27=1,COUNTIF($DA27:$DD27,"Inescapável")+COUNTIF($DA27:$DD27,"Toca a Alma")&gt;0),"Esta peça não entra numa Liberação Máxima",""),IF($ES27+$ET27&gt;4*$CX27,($ES27+$ET27)&amp;" dados somando alvos e repetições: o teto da Classe "&amp;$CX27&amp;" é "&amp;4*$CX27,"")))</f>
        <v/>
      </c>
      <c r="FJ27" s="140">
        <f>IF($FI27="",0,(LEN($FI27)-LEN(SUBSTITUTE($FI27," · ","")))/3+1)</f>
        <v/>
      </c>
      <c r="FK27" s="140">
        <f>IF($DI27=0,"",TEXTJOIN(" · ",TRUE,IF($EN27&gt;2*$CX27,"A devolução parou no teto de "&amp;2*$CX27,""),IF($EQ27&gt;0,"Devolução perdida: "&amp;$EQ27&amp;IF($EQ27&gt;1," pontos"," ponto")&amp;" sem peça para pagar",""),IF(AND($DU27&gt;0,$ES27=0),"Controle sem dano: uma rodada a mais e CD +2",""),IF(AND($DU27&gt;0,$ES27&gt;0,$ES27&lt;=$CX27),"Controle com um quarto do teto: uma rodada a mais","")))</f>
        <v/>
      </c>
      <c r="FL27" s="140">
        <f>IF($FK27="",0,(LEN($FK27)-LEN(SUBSTITUTE($FK27," · ","")))/3+1)</f>
        <v/>
      </c>
      <c r="FM27" s="140">
        <f>IF($DI27=0,IF($EK27+$EL27-$DV27&gt;0,"dê um nome",""),IF($FJ27&gt;0,"⚠ "&amp;$FJ27&amp;IF($FJ27&gt;1," erros"," erro"),IF($FL27&gt;0,"! "&amp;$FL27&amp;IF($FL27&gt;1," avisos"," aviso"),"na regra")))</f>
        <v/>
      </c>
      <c r="FN27" s="140">
        <f>IF($DI27=0,"",IF($FJ27+$FL27=0,"Dentro das regras que a ficha confere",$FI27&amp;IF(AND($FJ27&gt;0,$FL27&gt;0)," · ","")&amp;$FK27))</f>
        <v/>
      </c>
      <c r="FO27" s="140">
        <f>IF($DI27=0,"",IF($CV27=1,CEILING(4.5*$CX27,1),3*$CX27)&amp;" PE")</f>
        <v/>
      </c>
      <c r="FP27" s="140">
        <f>IF($DI27=0,"",IF($CV27=1,"Rodada inteira",IF(COUNTIF($EA27:$EB27,"Atrasar")&gt;0,IF(COUNTIF($EA27:$EB27,"Carregar")&gt;0,"Rodada +1 turno","Rodada inteira"),IF(COUNTIF($DA27:$DD27,"Rápido")&gt;0,"Bônus",IF(COUNTIF($DA27:$DD27,"Reação")&gt;0,"Reação","Padrão"))&amp;IF(COUNTIF($EA27:$EB27,"Carregar")&gt;0," +1 turno",""))))</f>
        <v/>
      </c>
      <c r="FQ27" s="140">
        <f>IF(OR($DI27=0,$DJ27=0),"",IF(COUNTIF($DA27:$DD27,"Inescapável")&gt;0,"Automático",IF(COUNTIF($DA27:$DD27,"Certeiro")&gt;0,"TR para metade",INDEX($X$2:$X$11,$DJ27))))</f>
        <v/>
      </c>
      <c r="FR27" s="140">
        <f>IF(OR($DI27=0,$DJ27=0),"",IF(OR($DW27&gt;=2,$ES27=0),INDEX($FB27:$FH27,1,$CX27),INDEX($FB27:$FH27,1,$CX27)&amp;" = "&amp;FLOOR($ES27*4.5,1)&amp;IF($ET27&gt;0," · +"&amp;$ET27&amp;"d8","")))</f>
        <v/>
      </c>
      <c r="FS27" s="140">
        <f>COUNTIF($DA27:$DD27,"Longe")+3*COUNTIF($DA27:$DD27,"Muito Longe")</f>
        <v/>
      </c>
      <c r="FT27" s="140">
        <f>COUNTIF($DA27:$DD27,"Maior")+3*COUNTIF($DA27:$DD27,"Muito Maior")</f>
        <v/>
      </c>
      <c r="FU27" s="140">
        <f>IF($DJ27=0,0,CHOOSE(1+INDEX($Z$2:$Z$11,$DJ27),0,$FS27,$FT27,$FS27+$FT27))</f>
        <v/>
      </c>
      <c r="FV27" s="140">
        <f>IF($DJ27=0,0,CHOOSE(1+INDEX($AA$2:$AA$11,$DJ27),0,$FS27,$FT27,$FS27+$FT27))</f>
        <v/>
      </c>
      <c r="FW27" s="140">
        <f>IF(OR($DI27=0,$DJ27=0),"",INDEX($AH$2:$AM$31,($DJ27-1)*3+IF($CX27&gt;=6,3,2),1+MIN(5,$FU27))&amp;INDEX($AN$2:$AS$31,($DJ27-1)*3+IF($CX27&gt;=6,3,2),1+MIN(5,$FV27))&amp;IF(INDEX($AB$2:$AB$11,$DJ27)=1,IF(COUNTIF($DA27:$DD27,"Mais Um")&gt;0," · +"&amp;COUNTIF($DA27:$DD27,"Mais Um")&amp;IF(COUNTIF($DA27:$DD27,"Mais Um")&gt;1," alvos"," alvo"),"")&amp;IF(COUNTIF($DA27:$DD27,"Rajada")&gt;0," · "&amp;($CX27+1)&amp;" tiros",""),""))</f>
        <v/>
      </c>
      <c r="FX27" s="140">
        <f>IF($DI27=0,"",3*$CX27&amp;" − "&amp;$EM27&amp;" + "&amp;$EP27&amp;IF($CV27=1," + "&amp;$CX27,"")&amp;" = "&amp;$ES27&amp;"d8 · teto "&amp;4*$CX27&amp;IF($DV27=1," · a Forma devolve "&amp;$CX27,"")&amp;IF($EQ27&gt;0," · perde "&amp;$EQ27,""))</f>
        <v/>
      </c>
      <c r="FY27" s="140">
        <f>IF($DI27=0,"",IF($CX27&gt;=$GH$4,"Já está na maior Classe que o nível liberou",TEXTJOIN(" · ",TRUE,IF(AND(2&gt;$CX27,2&lt;=$GH$4),"2 → "&amp;$FC27&amp;", "&amp;IF($CV27=1,9,6)&amp;" PE",""),IF(AND(3&gt;$CX27,3&lt;=$GH$4),"3 → "&amp;$FD27&amp;", "&amp;IF($CV27=1,14,9)&amp;" PE",""),IF(AND(4&gt;$CX27,4&lt;=$GH$4),"4 → "&amp;$FE27&amp;", "&amp;IF($CV27=1,18,12)&amp;" PE",""),IF(AND(5&gt;$CX27,5&lt;=$GH$4),"5 → "&amp;$FF27&amp;", "&amp;IF($CV27=1,23,15)&amp;" PE",""),IF(AND(6&gt;$CX27,6&lt;=$GH$4),"6 → "&amp;$FG27&amp;", "&amp;IF($CV27=1,27,18)&amp;" PE",""),IF(AND(7&gt;$CX27,7&lt;=$GH$4),"7 → "&amp;$FH27&amp;", "&amp;IF($CV27=1,32,21)&amp;" PE",""))))</f>
        <v/>
      </c>
      <c r="FZ27" s="140">
        <f>IF(OR($DI27=0,$DL27=0),"","−"&amp;INDEX($I$2:$N$8,$CX27,$DL27)&amp;" · "&amp;CHOOSE($DL27,"Leve","Média","Pesada","Leve · Livre","Média · Livre","Pesada · Livre"))</f>
        <v/>
      </c>
      <c r="GA27" s="140">
        <f>IF(OR($DI27=0,$DM27=0),"","−"&amp;INDEX($I$2:$N$8,$CX27,$DM27)&amp;" · "&amp;CHOOSE($DM27,"Leve","Média","Pesada","Leve · Livre","Média · Livre","Pesada · Livre"))</f>
        <v/>
      </c>
      <c r="GB27" s="140">
        <f>IF(OR($DI27=0,$DN27=0),"","−"&amp;INDEX($I$2:$N$8,$CX27,$DN27)&amp;" · "&amp;CHOOSE($DN27,"Leve","Média","Pesada","Leve · Livre","Média · Livre","Pesada · Livre"))</f>
        <v/>
      </c>
      <c r="GC27" s="140">
        <f>IF(OR($DI27=0,$DO27=0),"","−"&amp;INDEX($I$2:$N$8,$CX27,$DO27)&amp;" · "&amp;CHOOSE($DO27,"Leve","Média","Pesada","Leve · Livre","Média · Livre","Pesada · Livre"))</f>
        <v/>
      </c>
      <c r="GD27" s="140">
        <f>IF(OR($DI27=0,$DE27=""),"",IF($DG27=1,"Selo","+"&amp;IF($DY27=1,CEILING($CX27/2,1),$CX27)))</f>
        <v/>
      </c>
      <c r="GE27" s="140">
        <f>IF(OR($DI27=0,$DF27=""),"",IF($DH27=1,"Selo","+"&amp;IF($DZ27=1,CEILING($CX27/2,1),$CX27)))</f>
        <v/>
      </c>
      <c r="GG27" s="114" t="inlineStr">
        <is>
          <t>pactos permanentes</t>
        </is>
      </c>
      <c r="GH27" s="140">
        <f>IF('FICHA AMALDIÇOADA'!$L$509="permanente",1,0)+IF('FICHA AMALDIÇOADA'!$L$519="permanente",1,0)+IF('FICHA AMALDIÇOADA'!$L$529="permanente",1,0)</f>
        <v/>
      </c>
    </row>
    <row r="28">
      <c r="AG28" s="114" t="inlineStr">
        <is>
          <t>Onda · classes 6 e 7</t>
        </is>
      </c>
      <c r="AH28" s="114" t="inlineStr">
        <is>
          <t>raio 3 m, em você</t>
        </is>
      </c>
      <c r="AI28" s="114" t="inlineStr">
        <is>
          <t>raio 4,5 m, em você</t>
        </is>
      </c>
      <c r="AJ28" s="114" t="inlineStr">
        <is>
          <t>raio 6 m, em você</t>
        </is>
      </c>
      <c r="AK28" s="114" t="inlineStr">
        <is>
          <t>raio 9 m, em você</t>
        </is>
      </c>
      <c r="AL28" s="114" t="inlineStr">
        <is>
          <t>raio 15 m, em você</t>
        </is>
      </c>
      <c r="AM28" s="114" t="inlineStr">
        <is>
          <t>raio 15 m, em você</t>
        </is>
      </c>
      <c r="AN28" s="114" t="inlineStr"/>
      <c r="AO28" s="114" t="inlineStr"/>
      <c r="AP28" s="114" t="inlineStr"/>
      <c r="AQ28" s="114" t="inlineStr"/>
      <c r="AR28" s="114" t="inlineStr"/>
      <c r="AS28" s="114" t="inlineStr"/>
      <c r="AU28" s="114" t="inlineStr">
        <is>
          <t>Cerca</t>
        </is>
      </c>
      <c r="AV28" s="114" t="inlineStr">
        <is>
          <t>Controle</t>
        </is>
      </c>
      <c r="AW28" s="140" t="n">
        <v>1</v>
      </c>
      <c r="AX28" s="140">
        <f>$AW28+3*IFERROR(VLOOKUP($AV28,$A$2:$D$10,3,FALSE),0)</f>
        <v/>
      </c>
      <c r="AY28" s="140">
        <f>IFERROR(VLOOKUP($AV28,$A$2:$D$10,4,FALSE),0)</f>
        <v/>
      </c>
      <c r="AZ28" s="140" t="n">
        <v>1</v>
      </c>
      <c r="BA28" s="140">
        <f>IF($AY28=1,"",$AU28)</f>
        <v/>
      </c>
      <c r="BB28" s="140">
        <f>IF(AND($AW28=1,$AY28=0),$AU28,"")</f>
        <v/>
      </c>
      <c r="CU28" s="114" t="inlineStr">
        <is>
          <t>Feitiço 27</t>
        </is>
      </c>
      <c r="CV28" s="140" t="n">
        <v>0</v>
      </c>
      <c r="CW28" s="140" t="n">
        <v>27</v>
      </c>
      <c r="CX28" s="140">
        <f>MAX(1,MIN(7,N('FICHA AMALDIÇOADA'!$P$217)))</f>
        <v/>
      </c>
      <c r="CY28" s="140">
        <f>'FICHA AMALDIÇOADA'!$Q$217&amp;""</f>
        <v/>
      </c>
      <c r="CZ28" s="140">
        <f>'FICHA AMALDIÇOADA'!$P$224&amp;""</f>
        <v/>
      </c>
      <c r="DA28" s="140">
        <f>'FICHA AMALDIÇOADA'!$Q$226&amp;""</f>
        <v/>
      </c>
      <c r="DB28" s="140">
        <f>'FICHA AMALDIÇOADA'!$Q$227&amp;""</f>
        <v/>
      </c>
      <c r="DC28" s="140">
        <f>'FICHA AMALDIÇOADA'!$Q$228&amp;""</f>
        <v/>
      </c>
      <c r="DD28" s="140">
        <f>'FICHA AMALDIÇOADA'!$Q$229&amp;""</f>
        <v/>
      </c>
      <c r="DE28" s="140">
        <f>'FICHA AMALDIÇOADA'!$Q$230&amp;""</f>
        <v/>
      </c>
      <c r="DF28" s="140">
        <f>'FICHA AMALDIÇOADA'!$Q$231&amp;""</f>
        <v/>
      </c>
      <c r="DG28" s="140">
        <f>IF('FICHA AMALDIÇOADA'!$T$230=TRUE,1,0)</f>
        <v/>
      </c>
      <c r="DH28" s="140">
        <f>IF('FICHA AMALDIÇOADA'!$T$231=TRUE,1,0)</f>
        <v/>
      </c>
      <c r="DI28" s="140">
        <f>IF($CY28&lt;&gt;"",1,0)</f>
        <v/>
      </c>
      <c r="DJ28" s="140">
        <f>IFERROR(MATCH($CZ28,$Q$2:$Q$11,0),0)</f>
        <v/>
      </c>
      <c r="DK28" s="140">
        <f>IF($DJ28=0,0,INDEX($T$2:$T$11,$DJ28))</f>
        <v/>
      </c>
      <c r="DL28" s="140">
        <f>IFERROR(VLOOKUP($DA28,$AU$2:$BB$84,4,FALSE),0)</f>
        <v/>
      </c>
      <c r="DM28" s="140">
        <f>IFERROR(VLOOKUP($DB28,$AU$2:$BB$84,4,FALSE),0)</f>
        <v/>
      </c>
      <c r="DN28" s="140">
        <f>IFERROR(VLOOKUP($DC28,$AU$2:$BB$84,4,FALSE),0)</f>
        <v/>
      </c>
      <c r="DO28" s="140">
        <f>IFERROR(VLOOKUP($DD28,$AU$2:$BB$84,4,FALSE),0)</f>
        <v/>
      </c>
      <c r="DP28" s="140">
        <f>IF($DJ28=0,0,INDEX($U$2:$U$11,$DJ28))</f>
        <v/>
      </c>
      <c r="DQ28" s="140">
        <f>IFERROR(VLOOKUP($DA28,$AU$2:$BB$84,5,FALSE),0)</f>
        <v/>
      </c>
      <c r="DR28" s="140">
        <f>IFERROR(VLOOKUP($DB28,$AU$2:$BB$84,5,FALSE),0)</f>
        <v/>
      </c>
      <c r="DS28" s="140">
        <f>IFERROR(VLOOKUP($DC28,$AU$2:$BB$84,5,FALSE),0)</f>
        <v/>
      </c>
      <c r="DT28" s="140">
        <f>IFERROR(VLOOKUP($DD28,$AU$2:$BB$84,5,FALSE),0)</f>
        <v/>
      </c>
      <c r="DU28" s="140">
        <f>IFERROR(VLOOKUP($DA28,$AU$2:$BB$84,6,FALSE),0)+IFERROR(VLOOKUP($DB28,$AU$2:$BB$84,6,FALSE),0)+IFERROR(VLOOKUP($DC28,$AU$2:$BB$84,6,FALSE),0)+IFERROR(VLOOKUP($DD28,$AU$2:$BB$84,6,FALSE),0)</f>
        <v/>
      </c>
      <c r="DV28" s="140">
        <f>IF($DJ28=0,0,INDEX($V$2:$V$11,$DJ28))</f>
        <v/>
      </c>
      <c r="DW28" s="140">
        <f>IF($DJ28=0,0,INDEX($W$2:$W$11,$DJ28))</f>
        <v/>
      </c>
      <c r="DX28" s="140">
        <f>IF($DJ28=0,0,INDEX($Y$2:$Y$11,$DJ28))</f>
        <v/>
      </c>
      <c r="DY28" s="140">
        <f>IF($DG28=1,0,IFERROR(VLOOKUP($DE28,$BD$2:$BH$24,3,FALSE),0))</f>
        <v/>
      </c>
      <c r="DZ28" s="140">
        <f>IF($DH28=1,0,IFERROR(VLOOKUP($DF28,$BD$2:$BH$24,3,FALSE),0))</f>
        <v/>
      </c>
      <c r="EA28" s="140">
        <f>IFERROR(VLOOKUP($DE28,$BD$2:$BH$24,2,FALSE),"")</f>
        <v/>
      </c>
      <c r="EB28" s="140">
        <f>IFERROR(VLOOKUP($DF28,$BD$2:$BH$24,2,FALSE),"")</f>
        <v/>
      </c>
      <c r="EC28" s="140">
        <f>COUNTIF($DK28:$DO28,1)</f>
        <v/>
      </c>
      <c r="ED28" s="140">
        <f>COUNTIF($DK28:$DO28,2)</f>
        <v/>
      </c>
      <c r="EE28" s="140">
        <f>COUNTIF($DK28:$DO28,3)</f>
        <v/>
      </c>
      <c r="EF28" s="140">
        <f>COUNTIF($DK28:$DO28,4)</f>
        <v/>
      </c>
      <c r="EG28" s="140">
        <f>COUNTIF($DK28:$DO28,5)</f>
        <v/>
      </c>
      <c r="EH28" s="140">
        <f>COUNTIF($DK28:$DO28,6)</f>
        <v/>
      </c>
      <c r="EI28" s="140">
        <f>COUNTIF($DY28:$DZ28,1)</f>
        <v/>
      </c>
      <c r="EJ28" s="140">
        <f>COUNTIF($DY28:$DZ28,2)+$DV28</f>
        <v/>
      </c>
      <c r="EK28" s="140">
        <f>COUNTIF($DA28:$DD28,"?*")</f>
        <v/>
      </c>
      <c r="EL28" s="140">
        <f>COUNTIF($DE28:$DF28,"?*")+$DV28</f>
        <v/>
      </c>
      <c r="EM28" s="140">
        <f>SUMPRODUCT($EC28:$EH28,INDEX($I$2:$N$8,$CX28,0))</f>
        <v/>
      </c>
      <c r="EN28" s="140">
        <f>$EI28*CEILING($CX28/2,1)+$EJ28*$CX28</f>
        <v/>
      </c>
      <c r="EO28" s="140">
        <f>MIN(2*$CX28,$EN28)</f>
        <v/>
      </c>
      <c r="EP28" s="140">
        <f>MIN($EO28,$EM28)</f>
        <v/>
      </c>
      <c r="EQ28" s="140">
        <f>$EO28-$EP28</f>
        <v/>
      </c>
      <c r="ER28" s="140">
        <f>3*$CX28-$EM28+$EP28</f>
        <v/>
      </c>
      <c r="ES28" s="140">
        <f>MAX(0,$ER28)+$CV28*$CX28</f>
        <v/>
      </c>
      <c r="ET28" s="140">
        <f>(IF(COUNTIF($DA28:$DD28,"Salto")&gt;0,1,0)+IF(COUNTIF($DA28:$DD28,"Queima")&gt;0,1,0))*FLOOR($ES28/2,1)</f>
        <v/>
      </c>
      <c r="EU28" s="140">
        <f>MAX(0,3-SUMPRODUCT($EC28:$EH28,$I$2:$N$2)+MIN(2,$EI28*1+$EJ28*1,SUMPRODUCT($EC28:$EH28,$I$2:$N$2)))+$CV28*1</f>
        <v/>
      </c>
      <c r="EV28" s="140">
        <f>MAX(0,6-SUMPRODUCT($EC28:$EH28,$I$3:$N$3)+MIN(4,$EI28*1+$EJ28*2,SUMPRODUCT($EC28:$EH28,$I$3:$N$3)))+$CV28*2</f>
        <v/>
      </c>
      <c r="EW28" s="140">
        <f>MAX(0,9-SUMPRODUCT($EC28:$EH28,$I$4:$N$4)+MIN(6,$EI28*2+$EJ28*3,SUMPRODUCT($EC28:$EH28,$I$4:$N$4)))+$CV28*3</f>
        <v/>
      </c>
      <c r="EX28" s="140">
        <f>MAX(0,12-SUMPRODUCT($EC28:$EH28,$I$5:$N$5)+MIN(8,$EI28*2+$EJ28*4,SUMPRODUCT($EC28:$EH28,$I$5:$N$5)))+$CV28*4</f>
        <v/>
      </c>
      <c r="EY28" s="140">
        <f>MAX(0,15-SUMPRODUCT($EC28:$EH28,$I$6:$N$6)+MIN(10,$EI28*3+$EJ28*5,SUMPRODUCT($EC28:$EH28,$I$6:$N$6)))+$CV28*5</f>
        <v/>
      </c>
      <c r="EZ28" s="140">
        <f>MAX(0,18-SUMPRODUCT($EC28:$EH28,$I$7:$N$7)+MIN(12,$EI28*3+$EJ28*6,SUMPRODUCT($EC28:$EH28,$I$7:$N$7)))+$CV28*6</f>
        <v/>
      </c>
      <c r="FA28" s="140">
        <f>MAX(0,21-SUMPRODUCT($EC28:$EH28,$I$8:$N$8)+MIN(14,$EI28*4+$EJ28*7,SUMPRODUCT($EC28:$EH28,$I$8:$N$8)))+$CV28*7</f>
        <v/>
      </c>
      <c r="FB28" s="140">
        <f>IF($DW28=2,3*$EU28&amp;" de vida temp.",IF($DW28=3,"sem dano",IF($EU28=0,IF($DW28=1,"sem cura","sem dano"),IF($DW28=1,"cura ","")&amp;$EU28&amp;"d8")))</f>
        <v/>
      </c>
      <c r="FC28" s="140">
        <f>IF($DW28=2,3*$EV28&amp;" de vida temp.",IF($DW28=3,"sem dano",IF($EV28=0,IF($DW28=1,"sem cura","sem dano"),IF($DW28=1,"cura ","")&amp;$EV28&amp;"d8")))</f>
        <v/>
      </c>
      <c r="FD28" s="140">
        <f>IF($DW28=2,3*$EW28&amp;" de vida temp.",IF($DW28=3,"sem dano",IF($EW28=0,IF($DW28=1,"sem cura","sem dano"),IF($DW28=1,"cura ","")&amp;$EW28&amp;"d8")))</f>
        <v/>
      </c>
      <c r="FE28" s="140">
        <f>IF($DW28=2,3*$EX28&amp;" de vida temp.",IF($DW28=3,"sem dano",IF($EX28=0,IF($DW28=1,"sem cura","sem dano"),IF($DW28=1,"cura ","")&amp;$EX28&amp;"d8")))</f>
        <v/>
      </c>
      <c r="FF28" s="140">
        <f>IF($DW28=2,3*$EY28&amp;" de vida temp.",IF($DW28=3,"sem dano",IF($EY28=0,IF($DW28=1,"sem cura","sem dano"),IF($DW28=1,"cura ","")&amp;$EY28&amp;"d8")))</f>
        <v/>
      </c>
      <c r="FG28" s="140">
        <f>IF($DW28=2,3*$EZ28&amp;" de vida temp.",IF($DW28=3,"sem dano",IF($EZ28=0,IF($DW28=1,"sem cura","sem dano"),IF($DW28=1,"cura ","")&amp;$EZ28&amp;"d8")))</f>
        <v/>
      </c>
      <c r="FH28" s="140">
        <f>IF($DW28=2,3*$FA28&amp;" de vida temp.",IF($DW28=3,"sem dano",IF($FA28=0,IF($DW28=1,"sem cura","sem dano"),IF($DW28=1,"cura ","")&amp;$FA28&amp;"d8")))</f>
        <v/>
      </c>
      <c r="FI28" s="140">
        <f>IF($DI28=0,"",TEXTJOIN(" · ",TRUE,IF(AND($CV28=1,$CW28&gt;$GH$9),"O nível "&amp;$GH$2&amp;" dá "&amp;$GH$9&amp;" Liberação Máxima",""),IF($CX28&gt;$GH$4,"Classe "&amp;$CX28&amp;": o nível "&amp;$GH$2&amp;" libera até a "&amp;$GH$4,""),IF($DP28=1,"Família Fechada: a Forma "&amp;$CZ28,""),IF($DQ28=1,"Família Fechada: "&amp;$DA28,""),IF($DR28=1,"Família Fechada: "&amp;$DB28,""),IF($DS28=1,"Família Fechada: "&amp;$DC28,""),IF($DT28=1,"Família Fechada: "&amp;$DD28,""),IF($EK28&gt;INDEX($O$2:$O$8,$CX28),$EK28&amp;" Melhorias: a Classe "&amp;$CX28&amp;" aceita "&amp;INDEX($O$2:$O$8,$CX28),""),IF($EL28&gt;2,$EL28&amp;" Restrições"&amp;IF($DV28=1,", contando a que a Forma "&amp;$CZ28&amp;" já traz","")&amp;": o limite é 2",""),IF($ER28&lt;0,"Orçamento estourado: faltam "&amp;(-$ER28)&amp;IF($ER28&lt;-1," pontos"," ponto"),""),IF(IFERROR(VLOOKUP($DE28,$BD$2:$BH$24,4,FALSE),0)+IFERROR(VLOOKUP($DF28,$BD$2:$BH$24,4,FALSE),0)&gt;1,$EA28&amp;" e "&amp;$EB28&amp;" são as duas de frequência",""),IF(AND((COUNTIF($DA28:$DD28,"Rápido")+COUNTIF($EA28:$EB28,"Rápido"))&gt;0,(COUNTIF($DA28:$DD28,"Reação")+COUNTIF($EA28:$EB28,"Reação"))&gt;0),"Rápido não entra com Reação",""),IF(AND((COUNTIF($DA28:$DD28,"Rápido")+COUNTIF($EA28:$EB28,"Rápido"))&gt;0,(COUNTIF($DA28:$DD28,"Atrasar")+COUNTIF($EA28:$EB28,"Atrasar"))&gt;0),"Rápido não entra com Atrasar",""),IF(AND((COUNTIF($DA28:$DD28,"Reação")+COUNTIF($EA28:$EB28,"Reação"))&gt;0,(COUNTIF($DA28:$DD28,"Atrasar")+COUNTIF($EA28:$EB28,"Atrasar"))&gt;0),"Reação não entra com Atrasar",""),IF(AND((COUNTIF($DA28:$DD28,"Reação")+COUNTIF($EA28:$EB28,"Reação"))&gt;0,(COUNTIF($DA28:$DD28,"Parado")+COUNTIF($EA28:$EB28,"Parado"))&gt;0),"Reação não entra com Parado",""),IF(AND(COUNTIF($EA28:$EB28,"Corpo a Corpo")&gt;0,$DV28=0,OR($CZ28="Cone",$CZ28="Linha")),"Corpo a Corpo não entra em "&amp;$CZ28,""),IF(AND(COUNTIF($EA28:$EB28,"Corpo a Corpo")&gt;0,$DV28=1),"A Forma "&amp;$CZ28&amp;" já traz o Corpo a Corpo",""),IF(AND(COUNTIF($EA28:$EB28,"Tudo ou Nada")&gt;0,$DX28=0),"Tudo ou Nada só entra em feitiço de Teste de Resistência",""),IF(AND(COUNTIF($DA28:$DD28,"Inescapável")&gt;0,OR($EK28&gt;1,$EL28&gt;0)),"Inescapável não aceita outra peça",""),IF(AND($CV28=1,$CX28&lt;3),"Liberação Máxima é de Classe 3 ou mais",""),IF(AND($CV28=1,OR($DW28=1,$DW28=2)),"Liberação Máxima não serve para cura",""),IF(AND($CV28=1,COUNTIF($DA28:$DD28,"Inescapável")+COUNTIF($DA28:$DD28,"Toca a Alma")&gt;0),"Esta peça não entra numa Liberação Máxima",""),IF($ES28+$ET28&gt;4*$CX28,($ES28+$ET28)&amp;" dados somando alvos e repetições: o teto da Classe "&amp;$CX28&amp;" é "&amp;4*$CX28,"")))</f>
        <v/>
      </c>
      <c r="FJ28" s="140">
        <f>IF($FI28="",0,(LEN($FI28)-LEN(SUBSTITUTE($FI28," · ","")))/3+1)</f>
        <v/>
      </c>
      <c r="FK28" s="140">
        <f>IF($DI28=0,"",TEXTJOIN(" · ",TRUE,IF($EN28&gt;2*$CX28,"A devolução parou no teto de "&amp;2*$CX28,""),IF($EQ28&gt;0,"Devolução perdida: "&amp;$EQ28&amp;IF($EQ28&gt;1," pontos"," ponto")&amp;" sem peça para pagar",""),IF(AND($DU28&gt;0,$ES28=0),"Controle sem dano: uma rodada a mais e CD +2",""),IF(AND($DU28&gt;0,$ES28&gt;0,$ES28&lt;=$CX28),"Controle com um quarto do teto: uma rodada a mais","")))</f>
        <v/>
      </c>
      <c r="FL28" s="140">
        <f>IF($FK28="",0,(LEN($FK28)-LEN(SUBSTITUTE($FK28," · ","")))/3+1)</f>
        <v/>
      </c>
      <c r="FM28" s="140">
        <f>IF($DI28=0,IF($EK28+$EL28-$DV28&gt;0,"dê um nome",""),IF($FJ28&gt;0,"⚠ "&amp;$FJ28&amp;IF($FJ28&gt;1," erros"," erro"),IF($FL28&gt;0,"! "&amp;$FL28&amp;IF($FL28&gt;1," avisos"," aviso"),"na regra")))</f>
        <v/>
      </c>
      <c r="FN28" s="140">
        <f>IF($DI28=0,"",IF($FJ28+$FL28=0,"Dentro das regras que a ficha confere",$FI28&amp;IF(AND($FJ28&gt;0,$FL28&gt;0)," · ","")&amp;$FK28))</f>
        <v/>
      </c>
      <c r="FO28" s="140">
        <f>IF($DI28=0,"",IF($CV28=1,CEILING(4.5*$CX28,1),3*$CX28)&amp;" PE")</f>
        <v/>
      </c>
      <c r="FP28" s="140">
        <f>IF($DI28=0,"",IF($CV28=1,"Rodada inteira",IF(COUNTIF($EA28:$EB28,"Atrasar")&gt;0,IF(COUNTIF($EA28:$EB28,"Carregar")&gt;0,"Rodada +1 turno","Rodada inteira"),IF(COUNTIF($DA28:$DD28,"Rápido")&gt;0,"Bônus",IF(COUNTIF($DA28:$DD28,"Reação")&gt;0,"Reação","Padrão"))&amp;IF(COUNTIF($EA28:$EB28,"Carregar")&gt;0," +1 turno",""))))</f>
        <v/>
      </c>
      <c r="FQ28" s="140">
        <f>IF(OR($DI28=0,$DJ28=0),"",IF(COUNTIF($DA28:$DD28,"Inescapável")&gt;0,"Automático",IF(COUNTIF($DA28:$DD28,"Certeiro")&gt;0,"TR para metade",INDEX($X$2:$X$11,$DJ28))))</f>
        <v/>
      </c>
      <c r="FR28" s="140">
        <f>IF(OR($DI28=0,$DJ28=0),"",IF(OR($DW28&gt;=2,$ES28=0),INDEX($FB28:$FH28,1,$CX28),INDEX($FB28:$FH28,1,$CX28)&amp;" = "&amp;FLOOR($ES28*4.5,1)&amp;IF($ET28&gt;0," · +"&amp;$ET28&amp;"d8","")))</f>
        <v/>
      </c>
      <c r="FS28" s="140">
        <f>COUNTIF($DA28:$DD28,"Longe")+3*COUNTIF($DA28:$DD28,"Muito Longe")</f>
        <v/>
      </c>
      <c r="FT28" s="140">
        <f>COUNTIF($DA28:$DD28,"Maior")+3*COUNTIF($DA28:$DD28,"Muito Maior")</f>
        <v/>
      </c>
      <c r="FU28" s="140">
        <f>IF($DJ28=0,0,CHOOSE(1+INDEX($Z$2:$Z$11,$DJ28),0,$FS28,$FT28,$FS28+$FT28))</f>
        <v/>
      </c>
      <c r="FV28" s="140">
        <f>IF($DJ28=0,0,CHOOSE(1+INDEX($AA$2:$AA$11,$DJ28),0,$FS28,$FT28,$FS28+$FT28))</f>
        <v/>
      </c>
      <c r="FW28" s="140">
        <f>IF(OR($DI28=0,$DJ28=0),"",INDEX($AH$2:$AM$31,($DJ28-1)*3+IF($CX28&gt;=6,3,2),1+MIN(5,$FU28))&amp;INDEX($AN$2:$AS$31,($DJ28-1)*3+IF($CX28&gt;=6,3,2),1+MIN(5,$FV28))&amp;IF(INDEX($AB$2:$AB$11,$DJ28)=1,IF(COUNTIF($DA28:$DD28,"Mais Um")&gt;0," · +"&amp;COUNTIF($DA28:$DD28,"Mais Um")&amp;IF(COUNTIF($DA28:$DD28,"Mais Um")&gt;1," alvos"," alvo"),"")&amp;IF(COUNTIF($DA28:$DD28,"Rajada")&gt;0," · "&amp;($CX28+1)&amp;" tiros",""),""))</f>
        <v/>
      </c>
      <c r="FX28" s="140">
        <f>IF($DI28=0,"",3*$CX28&amp;" − "&amp;$EM28&amp;" + "&amp;$EP28&amp;IF($CV28=1," + "&amp;$CX28,"")&amp;" = "&amp;$ES28&amp;"d8 · teto "&amp;4*$CX28&amp;IF($DV28=1," · a Forma devolve "&amp;$CX28,"")&amp;IF($EQ28&gt;0," · perde "&amp;$EQ28,""))</f>
        <v/>
      </c>
      <c r="FY28" s="140">
        <f>IF($DI28=0,"",IF($CX28&gt;=$GH$4,"Já está na maior Classe que o nível liberou",TEXTJOIN(" · ",TRUE,IF(AND(2&gt;$CX28,2&lt;=$GH$4),"2 → "&amp;$FC28&amp;", "&amp;IF($CV28=1,9,6)&amp;" PE",""),IF(AND(3&gt;$CX28,3&lt;=$GH$4),"3 → "&amp;$FD28&amp;", "&amp;IF($CV28=1,14,9)&amp;" PE",""),IF(AND(4&gt;$CX28,4&lt;=$GH$4),"4 → "&amp;$FE28&amp;", "&amp;IF($CV28=1,18,12)&amp;" PE",""),IF(AND(5&gt;$CX28,5&lt;=$GH$4),"5 → "&amp;$FF28&amp;", "&amp;IF($CV28=1,23,15)&amp;" PE",""),IF(AND(6&gt;$CX28,6&lt;=$GH$4),"6 → "&amp;$FG28&amp;", "&amp;IF($CV28=1,27,18)&amp;" PE",""),IF(AND(7&gt;$CX28,7&lt;=$GH$4),"7 → "&amp;$FH28&amp;", "&amp;IF($CV28=1,32,21)&amp;" PE",""))))</f>
        <v/>
      </c>
      <c r="FZ28" s="140">
        <f>IF(OR($DI28=0,$DL28=0),"","−"&amp;INDEX($I$2:$N$8,$CX28,$DL28)&amp;" · "&amp;CHOOSE($DL28,"Leve","Média","Pesada","Leve · Livre","Média · Livre","Pesada · Livre"))</f>
        <v/>
      </c>
      <c r="GA28" s="140">
        <f>IF(OR($DI28=0,$DM28=0),"","−"&amp;INDEX($I$2:$N$8,$CX28,$DM28)&amp;" · "&amp;CHOOSE($DM28,"Leve","Média","Pesada","Leve · Livre","Média · Livre","Pesada · Livre"))</f>
        <v/>
      </c>
      <c r="GB28" s="140">
        <f>IF(OR($DI28=0,$DN28=0),"","−"&amp;INDEX($I$2:$N$8,$CX28,$DN28)&amp;" · "&amp;CHOOSE($DN28,"Leve","Média","Pesada","Leve · Livre","Média · Livre","Pesada · Livre"))</f>
        <v/>
      </c>
      <c r="GC28" s="140">
        <f>IF(OR($DI28=0,$DO28=0),"","−"&amp;INDEX($I$2:$N$8,$CX28,$DO28)&amp;" · "&amp;CHOOSE($DO28,"Leve","Média","Pesada","Leve · Livre","Média · Livre","Pesada · Livre"))</f>
        <v/>
      </c>
      <c r="GD28" s="140">
        <f>IF(OR($DI28=0,$DE28=""),"",IF($DG28=1,"Selo","+"&amp;IF($DY28=1,CEILING($CX28/2,1),$CX28)))</f>
        <v/>
      </c>
      <c r="GE28" s="140">
        <f>IF(OR($DI28=0,$DF28=""),"",IF($DH28=1,"Selo","+"&amp;IF($DZ28=1,CEILING($CX28/2,1),$CX28)))</f>
        <v/>
      </c>
      <c r="GG28" s="114" t="inlineStr">
        <is>
          <t>teto de pactos</t>
        </is>
      </c>
      <c r="GH28" s="140">
        <f>FLOOR($GH$7/2,1)</f>
        <v/>
      </c>
    </row>
    <row r="29">
      <c r="AG29" s="114" t="inlineStr">
        <is>
          <t>Efeito · classe 0</t>
        </is>
      </c>
      <c r="AH29" s="114" t="inlineStr">
        <is>
          <t>fora de combate</t>
        </is>
      </c>
      <c r="AI29" s="114" t="inlineStr">
        <is>
          <t>fora de combate</t>
        </is>
      </c>
      <c r="AJ29" s="114" t="inlineStr">
        <is>
          <t>fora de combate</t>
        </is>
      </c>
      <c r="AK29" s="114" t="inlineStr">
        <is>
          <t>fora de combate</t>
        </is>
      </c>
      <c r="AL29" s="114" t="inlineStr">
        <is>
          <t>fora de combate</t>
        </is>
      </c>
      <c r="AM29" s="114" t="inlineStr">
        <is>
          <t>fora de combate</t>
        </is>
      </c>
      <c r="AN29" s="114" t="inlineStr"/>
      <c r="AO29" s="114" t="inlineStr"/>
      <c r="AP29" s="114" t="inlineStr"/>
      <c r="AQ29" s="114" t="inlineStr"/>
      <c r="AR29" s="114" t="inlineStr"/>
      <c r="AS29" s="114" t="inlineStr"/>
      <c r="AU29" s="114" t="inlineStr">
        <is>
          <t>Puxa</t>
        </is>
      </c>
      <c r="AV29" s="114" t="inlineStr">
        <is>
          <t>Controle</t>
        </is>
      </c>
      <c r="AW29" s="140" t="n">
        <v>2</v>
      </c>
      <c r="AX29" s="140">
        <f>$AW29+3*IFERROR(VLOOKUP($AV29,$A$2:$D$10,3,FALSE),0)</f>
        <v/>
      </c>
      <c r="AY29" s="140">
        <f>IFERROR(VLOOKUP($AV29,$A$2:$D$10,4,FALSE),0)</f>
        <v/>
      </c>
      <c r="AZ29" s="140" t="n">
        <v>1</v>
      </c>
      <c r="BA29" s="140">
        <f>IF($AY29=1,"",$AU29)</f>
        <v/>
      </c>
      <c r="BB29" s="140">
        <f>IF(AND($AW29=1,$AY29=0),$AU29,"")</f>
        <v/>
      </c>
      <c r="CU29" s="114" t="inlineStr">
        <is>
          <t>Feitiço 28</t>
        </is>
      </c>
      <c r="CV29" s="140" t="n">
        <v>0</v>
      </c>
      <c r="CW29" s="140" t="n">
        <v>28</v>
      </c>
      <c r="CX29" s="140">
        <f>MAX(1,MIN(7,N('FICHA AMALDIÇOADA'!$D$238)))</f>
        <v/>
      </c>
      <c r="CY29" s="140">
        <f>'FICHA AMALDIÇOADA'!$E$238&amp;""</f>
        <v/>
      </c>
      <c r="CZ29" s="140">
        <f>'FICHA AMALDIÇOADA'!$D$245&amp;""</f>
        <v/>
      </c>
      <c r="DA29" s="140">
        <f>'FICHA AMALDIÇOADA'!$E$247&amp;""</f>
        <v/>
      </c>
      <c r="DB29" s="140">
        <f>'FICHA AMALDIÇOADA'!$E$248&amp;""</f>
        <v/>
      </c>
      <c r="DC29" s="140">
        <f>'FICHA AMALDIÇOADA'!$E$249&amp;""</f>
        <v/>
      </c>
      <c r="DD29" s="140">
        <f>'FICHA AMALDIÇOADA'!$E$250&amp;""</f>
        <v/>
      </c>
      <c r="DE29" s="140">
        <f>'FICHA AMALDIÇOADA'!$E$251&amp;""</f>
        <v/>
      </c>
      <c r="DF29" s="140">
        <f>'FICHA AMALDIÇOADA'!$E$252&amp;""</f>
        <v/>
      </c>
      <c r="DG29" s="140">
        <f>IF('FICHA AMALDIÇOADA'!$H$251=TRUE,1,0)</f>
        <v/>
      </c>
      <c r="DH29" s="140">
        <f>IF('FICHA AMALDIÇOADA'!$H$252=TRUE,1,0)</f>
        <v/>
      </c>
      <c r="DI29" s="140">
        <f>IF($CY29&lt;&gt;"",1,0)</f>
        <v/>
      </c>
      <c r="DJ29" s="140">
        <f>IFERROR(MATCH($CZ29,$Q$2:$Q$11,0),0)</f>
        <v/>
      </c>
      <c r="DK29" s="140">
        <f>IF($DJ29=0,0,INDEX($T$2:$T$11,$DJ29))</f>
        <v/>
      </c>
      <c r="DL29" s="140">
        <f>IFERROR(VLOOKUP($DA29,$AU$2:$BB$84,4,FALSE),0)</f>
        <v/>
      </c>
      <c r="DM29" s="140">
        <f>IFERROR(VLOOKUP($DB29,$AU$2:$BB$84,4,FALSE),0)</f>
        <v/>
      </c>
      <c r="DN29" s="140">
        <f>IFERROR(VLOOKUP($DC29,$AU$2:$BB$84,4,FALSE),0)</f>
        <v/>
      </c>
      <c r="DO29" s="140">
        <f>IFERROR(VLOOKUP($DD29,$AU$2:$BB$84,4,FALSE),0)</f>
        <v/>
      </c>
      <c r="DP29" s="140">
        <f>IF($DJ29=0,0,INDEX($U$2:$U$11,$DJ29))</f>
        <v/>
      </c>
      <c r="DQ29" s="140">
        <f>IFERROR(VLOOKUP($DA29,$AU$2:$BB$84,5,FALSE),0)</f>
        <v/>
      </c>
      <c r="DR29" s="140">
        <f>IFERROR(VLOOKUP($DB29,$AU$2:$BB$84,5,FALSE),0)</f>
        <v/>
      </c>
      <c r="DS29" s="140">
        <f>IFERROR(VLOOKUP($DC29,$AU$2:$BB$84,5,FALSE),0)</f>
        <v/>
      </c>
      <c r="DT29" s="140">
        <f>IFERROR(VLOOKUP($DD29,$AU$2:$BB$84,5,FALSE),0)</f>
        <v/>
      </c>
      <c r="DU29" s="140">
        <f>IFERROR(VLOOKUP($DA29,$AU$2:$BB$84,6,FALSE),0)+IFERROR(VLOOKUP($DB29,$AU$2:$BB$84,6,FALSE),0)+IFERROR(VLOOKUP($DC29,$AU$2:$BB$84,6,FALSE),0)+IFERROR(VLOOKUP($DD29,$AU$2:$BB$84,6,FALSE),0)</f>
        <v/>
      </c>
      <c r="DV29" s="140">
        <f>IF($DJ29=0,0,INDEX($V$2:$V$11,$DJ29))</f>
        <v/>
      </c>
      <c r="DW29" s="140">
        <f>IF($DJ29=0,0,INDEX($W$2:$W$11,$DJ29))</f>
        <v/>
      </c>
      <c r="DX29" s="140">
        <f>IF($DJ29=0,0,INDEX($Y$2:$Y$11,$DJ29))</f>
        <v/>
      </c>
      <c r="DY29" s="140">
        <f>IF($DG29=1,0,IFERROR(VLOOKUP($DE29,$BD$2:$BH$24,3,FALSE),0))</f>
        <v/>
      </c>
      <c r="DZ29" s="140">
        <f>IF($DH29=1,0,IFERROR(VLOOKUP($DF29,$BD$2:$BH$24,3,FALSE),0))</f>
        <v/>
      </c>
      <c r="EA29" s="140">
        <f>IFERROR(VLOOKUP($DE29,$BD$2:$BH$24,2,FALSE),"")</f>
        <v/>
      </c>
      <c r="EB29" s="140">
        <f>IFERROR(VLOOKUP($DF29,$BD$2:$BH$24,2,FALSE),"")</f>
        <v/>
      </c>
      <c r="EC29" s="140">
        <f>COUNTIF($DK29:$DO29,1)</f>
        <v/>
      </c>
      <c r="ED29" s="140">
        <f>COUNTIF($DK29:$DO29,2)</f>
        <v/>
      </c>
      <c r="EE29" s="140">
        <f>COUNTIF($DK29:$DO29,3)</f>
        <v/>
      </c>
      <c r="EF29" s="140">
        <f>COUNTIF($DK29:$DO29,4)</f>
        <v/>
      </c>
      <c r="EG29" s="140">
        <f>COUNTIF($DK29:$DO29,5)</f>
        <v/>
      </c>
      <c r="EH29" s="140">
        <f>COUNTIF($DK29:$DO29,6)</f>
        <v/>
      </c>
      <c r="EI29" s="140">
        <f>COUNTIF($DY29:$DZ29,1)</f>
        <v/>
      </c>
      <c r="EJ29" s="140">
        <f>COUNTIF($DY29:$DZ29,2)+$DV29</f>
        <v/>
      </c>
      <c r="EK29" s="140">
        <f>COUNTIF($DA29:$DD29,"?*")</f>
        <v/>
      </c>
      <c r="EL29" s="140">
        <f>COUNTIF($DE29:$DF29,"?*")+$DV29</f>
        <v/>
      </c>
      <c r="EM29" s="140">
        <f>SUMPRODUCT($EC29:$EH29,INDEX($I$2:$N$8,$CX29,0))</f>
        <v/>
      </c>
      <c r="EN29" s="140">
        <f>$EI29*CEILING($CX29/2,1)+$EJ29*$CX29</f>
        <v/>
      </c>
      <c r="EO29" s="140">
        <f>MIN(2*$CX29,$EN29)</f>
        <v/>
      </c>
      <c r="EP29" s="140">
        <f>MIN($EO29,$EM29)</f>
        <v/>
      </c>
      <c r="EQ29" s="140">
        <f>$EO29-$EP29</f>
        <v/>
      </c>
      <c r="ER29" s="140">
        <f>3*$CX29-$EM29+$EP29</f>
        <v/>
      </c>
      <c r="ES29" s="140">
        <f>MAX(0,$ER29)+$CV29*$CX29</f>
        <v/>
      </c>
      <c r="ET29" s="140">
        <f>(IF(COUNTIF($DA29:$DD29,"Salto")&gt;0,1,0)+IF(COUNTIF($DA29:$DD29,"Queima")&gt;0,1,0))*FLOOR($ES29/2,1)</f>
        <v/>
      </c>
      <c r="EU29" s="140">
        <f>MAX(0,3-SUMPRODUCT($EC29:$EH29,$I$2:$N$2)+MIN(2,$EI29*1+$EJ29*1,SUMPRODUCT($EC29:$EH29,$I$2:$N$2)))+$CV29*1</f>
        <v/>
      </c>
      <c r="EV29" s="140">
        <f>MAX(0,6-SUMPRODUCT($EC29:$EH29,$I$3:$N$3)+MIN(4,$EI29*1+$EJ29*2,SUMPRODUCT($EC29:$EH29,$I$3:$N$3)))+$CV29*2</f>
        <v/>
      </c>
      <c r="EW29" s="140">
        <f>MAX(0,9-SUMPRODUCT($EC29:$EH29,$I$4:$N$4)+MIN(6,$EI29*2+$EJ29*3,SUMPRODUCT($EC29:$EH29,$I$4:$N$4)))+$CV29*3</f>
        <v/>
      </c>
      <c r="EX29" s="140">
        <f>MAX(0,12-SUMPRODUCT($EC29:$EH29,$I$5:$N$5)+MIN(8,$EI29*2+$EJ29*4,SUMPRODUCT($EC29:$EH29,$I$5:$N$5)))+$CV29*4</f>
        <v/>
      </c>
      <c r="EY29" s="140">
        <f>MAX(0,15-SUMPRODUCT($EC29:$EH29,$I$6:$N$6)+MIN(10,$EI29*3+$EJ29*5,SUMPRODUCT($EC29:$EH29,$I$6:$N$6)))+$CV29*5</f>
        <v/>
      </c>
      <c r="EZ29" s="140">
        <f>MAX(0,18-SUMPRODUCT($EC29:$EH29,$I$7:$N$7)+MIN(12,$EI29*3+$EJ29*6,SUMPRODUCT($EC29:$EH29,$I$7:$N$7)))+$CV29*6</f>
        <v/>
      </c>
      <c r="FA29" s="140">
        <f>MAX(0,21-SUMPRODUCT($EC29:$EH29,$I$8:$N$8)+MIN(14,$EI29*4+$EJ29*7,SUMPRODUCT($EC29:$EH29,$I$8:$N$8)))+$CV29*7</f>
        <v/>
      </c>
      <c r="FB29" s="140">
        <f>IF($DW29=2,3*$EU29&amp;" de vida temp.",IF($DW29=3,"sem dano",IF($EU29=0,IF($DW29=1,"sem cura","sem dano"),IF($DW29=1,"cura ","")&amp;$EU29&amp;"d8")))</f>
        <v/>
      </c>
      <c r="FC29" s="140">
        <f>IF($DW29=2,3*$EV29&amp;" de vida temp.",IF($DW29=3,"sem dano",IF($EV29=0,IF($DW29=1,"sem cura","sem dano"),IF($DW29=1,"cura ","")&amp;$EV29&amp;"d8")))</f>
        <v/>
      </c>
      <c r="FD29" s="140">
        <f>IF($DW29=2,3*$EW29&amp;" de vida temp.",IF($DW29=3,"sem dano",IF($EW29=0,IF($DW29=1,"sem cura","sem dano"),IF($DW29=1,"cura ","")&amp;$EW29&amp;"d8")))</f>
        <v/>
      </c>
      <c r="FE29" s="140">
        <f>IF($DW29=2,3*$EX29&amp;" de vida temp.",IF($DW29=3,"sem dano",IF($EX29=0,IF($DW29=1,"sem cura","sem dano"),IF($DW29=1,"cura ","")&amp;$EX29&amp;"d8")))</f>
        <v/>
      </c>
      <c r="FF29" s="140">
        <f>IF($DW29=2,3*$EY29&amp;" de vida temp.",IF($DW29=3,"sem dano",IF($EY29=0,IF($DW29=1,"sem cura","sem dano"),IF($DW29=1,"cura ","")&amp;$EY29&amp;"d8")))</f>
        <v/>
      </c>
      <c r="FG29" s="140">
        <f>IF($DW29=2,3*$EZ29&amp;" de vida temp.",IF($DW29=3,"sem dano",IF($EZ29=0,IF($DW29=1,"sem cura","sem dano"),IF($DW29=1,"cura ","")&amp;$EZ29&amp;"d8")))</f>
        <v/>
      </c>
      <c r="FH29" s="140">
        <f>IF($DW29=2,3*$FA29&amp;" de vida temp.",IF($DW29=3,"sem dano",IF($FA29=0,IF($DW29=1,"sem cura","sem dano"),IF($DW29=1,"cura ","")&amp;$FA29&amp;"d8")))</f>
        <v/>
      </c>
      <c r="FI29" s="140">
        <f>IF($DI29=0,"",TEXTJOIN(" · ",TRUE,IF(AND($CV29=1,$CW29&gt;$GH$9),"O nível "&amp;$GH$2&amp;" dá "&amp;$GH$9&amp;" Liberação Máxima",""),IF($CX29&gt;$GH$4,"Classe "&amp;$CX29&amp;": o nível "&amp;$GH$2&amp;" libera até a "&amp;$GH$4,""),IF($DP29=1,"Família Fechada: a Forma "&amp;$CZ29,""),IF($DQ29=1,"Família Fechada: "&amp;$DA29,""),IF($DR29=1,"Família Fechada: "&amp;$DB29,""),IF($DS29=1,"Família Fechada: "&amp;$DC29,""),IF($DT29=1,"Família Fechada: "&amp;$DD29,""),IF($EK29&gt;INDEX($O$2:$O$8,$CX29),$EK29&amp;" Melhorias: a Classe "&amp;$CX29&amp;" aceita "&amp;INDEX($O$2:$O$8,$CX29),""),IF($EL29&gt;2,$EL29&amp;" Restrições"&amp;IF($DV29=1,", contando a que a Forma "&amp;$CZ29&amp;" já traz","")&amp;": o limite é 2",""),IF($ER29&lt;0,"Orçamento estourado: faltam "&amp;(-$ER29)&amp;IF($ER29&lt;-1," pontos"," ponto"),""),IF(IFERROR(VLOOKUP($DE29,$BD$2:$BH$24,4,FALSE),0)+IFERROR(VLOOKUP($DF29,$BD$2:$BH$24,4,FALSE),0)&gt;1,$EA29&amp;" e "&amp;$EB29&amp;" são as duas de frequência",""),IF(AND((COUNTIF($DA29:$DD29,"Rápido")+COUNTIF($EA29:$EB29,"Rápido"))&gt;0,(COUNTIF($DA29:$DD29,"Reação")+COUNTIF($EA29:$EB29,"Reação"))&gt;0),"Rápido não entra com Reação",""),IF(AND((COUNTIF($DA29:$DD29,"Rápido")+COUNTIF($EA29:$EB29,"Rápido"))&gt;0,(COUNTIF($DA29:$DD29,"Atrasar")+COUNTIF($EA29:$EB29,"Atrasar"))&gt;0),"Rápido não entra com Atrasar",""),IF(AND((COUNTIF($DA29:$DD29,"Reação")+COUNTIF($EA29:$EB29,"Reação"))&gt;0,(COUNTIF($DA29:$DD29,"Atrasar")+COUNTIF($EA29:$EB29,"Atrasar"))&gt;0),"Reação não entra com Atrasar",""),IF(AND((COUNTIF($DA29:$DD29,"Reação")+COUNTIF($EA29:$EB29,"Reação"))&gt;0,(COUNTIF($DA29:$DD29,"Parado")+COUNTIF($EA29:$EB29,"Parado"))&gt;0),"Reação não entra com Parado",""),IF(AND(COUNTIF($EA29:$EB29,"Corpo a Corpo")&gt;0,$DV29=0,OR($CZ29="Cone",$CZ29="Linha")),"Corpo a Corpo não entra em "&amp;$CZ29,""),IF(AND(COUNTIF($EA29:$EB29,"Corpo a Corpo")&gt;0,$DV29=1),"A Forma "&amp;$CZ29&amp;" já traz o Corpo a Corpo",""),IF(AND(COUNTIF($EA29:$EB29,"Tudo ou Nada")&gt;0,$DX29=0),"Tudo ou Nada só entra em feitiço de Teste de Resistência",""),IF(AND(COUNTIF($DA29:$DD29,"Inescapável")&gt;0,OR($EK29&gt;1,$EL29&gt;0)),"Inescapável não aceita outra peça",""),IF(AND($CV29=1,$CX29&lt;3),"Liberação Máxima é de Classe 3 ou mais",""),IF(AND($CV29=1,OR($DW29=1,$DW29=2)),"Liberação Máxima não serve para cura",""),IF(AND($CV29=1,COUNTIF($DA29:$DD29,"Inescapável")+COUNTIF($DA29:$DD29,"Toca a Alma")&gt;0),"Esta peça não entra numa Liberação Máxima",""),IF($ES29+$ET29&gt;4*$CX29,($ES29+$ET29)&amp;" dados somando alvos e repetições: o teto da Classe "&amp;$CX29&amp;" é "&amp;4*$CX29,"")))</f>
        <v/>
      </c>
      <c r="FJ29" s="140">
        <f>IF($FI29="",0,(LEN($FI29)-LEN(SUBSTITUTE($FI29," · ","")))/3+1)</f>
        <v/>
      </c>
      <c r="FK29" s="140">
        <f>IF($DI29=0,"",TEXTJOIN(" · ",TRUE,IF($EN29&gt;2*$CX29,"A devolução parou no teto de "&amp;2*$CX29,""),IF($EQ29&gt;0,"Devolução perdida: "&amp;$EQ29&amp;IF($EQ29&gt;1," pontos"," ponto")&amp;" sem peça para pagar",""),IF(AND($DU29&gt;0,$ES29=0),"Controle sem dano: uma rodada a mais e CD +2",""),IF(AND($DU29&gt;0,$ES29&gt;0,$ES29&lt;=$CX29),"Controle com um quarto do teto: uma rodada a mais","")))</f>
        <v/>
      </c>
      <c r="FL29" s="140">
        <f>IF($FK29="",0,(LEN($FK29)-LEN(SUBSTITUTE($FK29," · ","")))/3+1)</f>
        <v/>
      </c>
      <c r="FM29" s="140">
        <f>IF($DI29=0,IF($EK29+$EL29-$DV29&gt;0,"dê um nome",""),IF($FJ29&gt;0,"⚠ "&amp;$FJ29&amp;IF($FJ29&gt;1," erros"," erro"),IF($FL29&gt;0,"! "&amp;$FL29&amp;IF($FL29&gt;1," avisos"," aviso"),"na regra")))</f>
        <v/>
      </c>
      <c r="FN29" s="140">
        <f>IF($DI29=0,"",IF($FJ29+$FL29=0,"Dentro das regras que a ficha confere",$FI29&amp;IF(AND($FJ29&gt;0,$FL29&gt;0)," · ","")&amp;$FK29))</f>
        <v/>
      </c>
      <c r="FO29" s="140">
        <f>IF($DI29=0,"",IF($CV29=1,CEILING(4.5*$CX29,1),3*$CX29)&amp;" PE")</f>
        <v/>
      </c>
      <c r="FP29" s="140">
        <f>IF($DI29=0,"",IF($CV29=1,"Rodada inteira",IF(COUNTIF($EA29:$EB29,"Atrasar")&gt;0,IF(COUNTIF($EA29:$EB29,"Carregar")&gt;0,"Rodada +1 turno","Rodada inteira"),IF(COUNTIF($DA29:$DD29,"Rápido")&gt;0,"Bônus",IF(COUNTIF($DA29:$DD29,"Reação")&gt;0,"Reação","Padrão"))&amp;IF(COUNTIF($EA29:$EB29,"Carregar")&gt;0," +1 turno",""))))</f>
        <v/>
      </c>
      <c r="FQ29" s="140">
        <f>IF(OR($DI29=0,$DJ29=0),"",IF(COUNTIF($DA29:$DD29,"Inescapável")&gt;0,"Automático",IF(COUNTIF($DA29:$DD29,"Certeiro")&gt;0,"TR para metade",INDEX($X$2:$X$11,$DJ29))))</f>
        <v/>
      </c>
      <c r="FR29" s="140">
        <f>IF(OR($DI29=0,$DJ29=0),"",IF(OR($DW29&gt;=2,$ES29=0),INDEX($FB29:$FH29,1,$CX29),INDEX($FB29:$FH29,1,$CX29)&amp;" = "&amp;FLOOR($ES29*4.5,1)&amp;IF($ET29&gt;0," · +"&amp;$ET29&amp;"d8","")))</f>
        <v/>
      </c>
      <c r="FS29" s="140">
        <f>COUNTIF($DA29:$DD29,"Longe")+3*COUNTIF($DA29:$DD29,"Muito Longe")</f>
        <v/>
      </c>
      <c r="FT29" s="140">
        <f>COUNTIF($DA29:$DD29,"Maior")+3*COUNTIF($DA29:$DD29,"Muito Maior")</f>
        <v/>
      </c>
      <c r="FU29" s="140">
        <f>IF($DJ29=0,0,CHOOSE(1+INDEX($Z$2:$Z$11,$DJ29),0,$FS29,$FT29,$FS29+$FT29))</f>
        <v/>
      </c>
      <c r="FV29" s="140">
        <f>IF($DJ29=0,0,CHOOSE(1+INDEX($AA$2:$AA$11,$DJ29),0,$FS29,$FT29,$FS29+$FT29))</f>
        <v/>
      </c>
      <c r="FW29" s="140">
        <f>IF(OR($DI29=0,$DJ29=0),"",INDEX($AH$2:$AM$31,($DJ29-1)*3+IF($CX29&gt;=6,3,2),1+MIN(5,$FU29))&amp;INDEX($AN$2:$AS$31,($DJ29-1)*3+IF($CX29&gt;=6,3,2),1+MIN(5,$FV29))&amp;IF(INDEX($AB$2:$AB$11,$DJ29)=1,IF(COUNTIF($DA29:$DD29,"Mais Um")&gt;0," · +"&amp;COUNTIF($DA29:$DD29,"Mais Um")&amp;IF(COUNTIF($DA29:$DD29,"Mais Um")&gt;1," alvos"," alvo"),"")&amp;IF(COUNTIF($DA29:$DD29,"Rajada")&gt;0," · "&amp;($CX29+1)&amp;" tiros",""),""))</f>
        <v/>
      </c>
      <c r="FX29" s="140">
        <f>IF($DI29=0,"",3*$CX29&amp;" − "&amp;$EM29&amp;" + "&amp;$EP29&amp;IF($CV29=1," + "&amp;$CX29,"")&amp;" = "&amp;$ES29&amp;"d8 · teto "&amp;4*$CX29&amp;IF($DV29=1," · a Forma devolve "&amp;$CX29,"")&amp;IF($EQ29&gt;0," · perde "&amp;$EQ29,""))</f>
        <v/>
      </c>
      <c r="FY29" s="140">
        <f>IF($DI29=0,"",IF($CX29&gt;=$GH$4,"Já está na maior Classe que o nível liberou",TEXTJOIN(" · ",TRUE,IF(AND(2&gt;$CX29,2&lt;=$GH$4),"2 → "&amp;$FC29&amp;", "&amp;IF($CV29=1,9,6)&amp;" PE",""),IF(AND(3&gt;$CX29,3&lt;=$GH$4),"3 → "&amp;$FD29&amp;", "&amp;IF($CV29=1,14,9)&amp;" PE",""),IF(AND(4&gt;$CX29,4&lt;=$GH$4),"4 → "&amp;$FE29&amp;", "&amp;IF($CV29=1,18,12)&amp;" PE",""),IF(AND(5&gt;$CX29,5&lt;=$GH$4),"5 → "&amp;$FF29&amp;", "&amp;IF($CV29=1,23,15)&amp;" PE",""),IF(AND(6&gt;$CX29,6&lt;=$GH$4),"6 → "&amp;$FG29&amp;", "&amp;IF($CV29=1,27,18)&amp;" PE",""),IF(AND(7&gt;$CX29,7&lt;=$GH$4),"7 → "&amp;$FH29&amp;", "&amp;IF($CV29=1,32,21)&amp;" PE",""))))</f>
        <v/>
      </c>
      <c r="FZ29" s="140">
        <f>IF(OR($DI29=0,$DL29=0),"","−"&amp;INDEX($I$2:$N$8,$CX29,$DL29)&amp;" · "&amp;CHOOSE($DL29,"Leve","Média","Pesada","Leve · Livre","Média · Livre","Pesada · Livre"))</f>
        <v/>
      </c>
      <c r="GA29" s="140">
        <f>IF(OR($DI29=0,$DM29=0),"","−"&amp;INDEX($I$2:$N$8,$CX29,$DM29)&amp;" · "&amp;CHOOSE($DM29,"Leve","Média","Pesada","Leve · Livre","Média · Livre","Pesada · Livre"))</f>
        <v/>
      </c>
      <c r="GB29" s="140">
        <f>IF(OR($DI29=0,$DN29=0),"","−"&amp;INDEX($I$2:$N$8,$CX29,$DN29)&amp;" · "&amp;CHOOSE($DN29,"Leve","Média","Pesada","Leve · Livre","Média · Livre","Pesada · Livre"))</f>
        <v/>
      </c>
      <c r="GC29" s="140">
        <f>IF(OR($DI29=0,$DO29=0),"","−"&amp;INDEX($I$2:$N$8,$CX29,$DO29)&amp;" · "&amp;CHOOSE($DO29,"Leve","Média","Pesada","Leve · Livre","Média · Livre","Pesada · Livre"))</f>
        <v/>
      </c>
      <c r="GD29" s="140">
        <f>IF(OR($DI29=0,$DE29=""),"",IF($DG29=1,"Selo","+"&amp;IF($DY29=1,CEILING($CX29/2,1),$CX29)))</f>
        <v/>
      </c>
      <c r="GE29" s="140">
        <f>IF(OR($DI29=0,$DF29=""),"",IF($DH29=1,"Selo","+"&amp;IF($DZ29=1,CEILING($CX29/2,1),$CX29)))</f>
        <v/>
      </c>
      <c r="GG29" s="114" t="inlineStr">
        <is>
          <t>classe do índice</t>
        </is>
      </c>
      <c r="GH29" s="140">
        <f>IF(N('FICHA AMALDIÇOADA'!$D$40)&lt;1,$GH$4,MIN(7,N('FICHA AMALDIÇOADA'!$D$40)))</f>
        <v/>
      </c>
    </row>
    <row r="30">
      <c r="AG30" s="114" t="inlineStr">
        <is>
          <t>Efeito · classes 1 a 5</t>
        </is>
      </c>
      <c r="AH30" s="114" t="inlineStr">
        <is>
          <t>fora de combate</t>
        </is>
      </c>
      <c r="AI30" s="114" t="inlineStr">
        <is>
          <t>fora de combate</t>
        </is>
      </c>
      <c r="AJ30" s="114" t="inlineStr">
        <is>
          <t>fora de combate</t>
        </is>
      </c>
      <c r="AK30" s="114" t="inlineStr">
        <is>
          <t>fora de combate</t>
        </is>
      </c>
      <c r="AL30" s="114" t="inlineStr">
        <is>
          <t>fora de combate</t>
        </is>
      </c>
      <c r="AM30" s="114" t="inlineStr">
        <is>
          <t>fora de combate</t>
        </is>
      </c>
      <c r="AN30" s="114" t="inlineStr"/>
      <c r="AO30" s="114" t="inlineStr"/>
      <c r="AP30" s="114" t="inlineStr"/>
      <c r="AQ30" s="114" t="inlineStr"/>
      <c r="AR30" s="114" t="inlineStr"/>
      <c r="AS30" s="114" t="inlineStr"/>
      <c r="AU30" s="114" t="inlineStr">
        <is>
          <t>Desarma o Feitiço</t>
        </is>
      </c>
      <c r="AV30" s="114" t="inlineStr">
        <is>
          <t>Controle</t>
        </is>
      </c>
      <c r="AW30" s="140" t="n">
        <v>2</v>
      </c>
      <c r="AX30" s="140">
        <f>$AW30+3*IFERROR(VLOOKUP($AV30,$A$2:$D$10,3,FALSE),0)</f>
        <v/>
      </c>
      <c r="AY30" s="140">
        <f>IFERROR(VLOOKUP($AV30,$A$2:$D$10,4,FALSE),0)</f>
        <v/>
      </c>
      <c r="AZ30" s="140" t="n">
        <v>1</v>
      </c>
      <c r="BA30" s="140">
        <f>IF($AY30=1,"",$AU30)</f>
        <v/>
      </c>
      <c r="BB30" s="140">
        <f>IF(AND($AW30=1,$AY30=0),$AU30,"")</f>
        <v/>
      </c>
      <c r="CU30" s="114" t="inlineStr">
        <is>
          <t>Feitiço 29</t>
        </is>
      </c>
      <c r="CV30" s="140" t="n">
        <v>0</v>
      </c>
      <c r="CW30" s="140" t="n">
        <v>29</v>
      </c>
      <c r="CX30" s="140">
        <f>MAX(1,MIN(7,N('FICHA AMALDIÇOADA'!$J$238)))</f>
        <v/>
      </c>
      <c r="CY30" s="140">
        <f>'FICHA AMALDIÇOADA'!$K$238&amp;""</f>
        <v/>
      </c>
      <c r="CZ30" s="140">
        <f>'FICHA AMALDIÇOADA'!$J$245&amp;""</f>
        <v/>
      </c>
      <c r="DA30" s="140">
        <f>'FICHA AMALDIÇOADA'!$K$247&amp;""</f>
        <v/>
      </c>
      <c r="DB30" s="140">
        <f>'FICHA AMALDIÇOADA'!$K$248&amp;""</f>
        <v/>
      </c>
      <c r="DC30" s="140">
        <f>'FICHA AMALDIÇOADA'!$K$249&amp;""</f>
        <v/>
      </c>
      <c r="DD30" s="140">
        <f>'FICHA AMALDIÇOADA'!$K$250&amp;""</f>
        <v/>
      </c>
      <c r="DE30" s="140">
        <f>'FICHA AMALDIÇOADA'!$K$251&amp;""</f>
        <v/>
      </c>
      <c r="DF30" s="140">
        <f>'FICHA AMALDIÇOADA'!$K$252&amp;""</f>
        <v/>
      </c>
      <c r="DG30" s="140">
        <f>IF('FICHA AMALDIÇOADA'!$N$251=TRUE,1,0)</f>
        <v/>
      </c>
      <c r="DH30" s="140">
        <f>IF('FICHA AMALDIÇOADA'!$N$252=TRUE,1,0)</f>
        <v/>
      </c>
      <c r="DI30" s="140">
        <f>IF($CY30&lt;&gt;"",1,0)</f>
        <v/>
      </c>
      <c r="DJ30" s="140">
        <f>IFERROR(MATCH($CZ30,$Q$2:$Q$11,0),0)</f>
        <v/>
      </c>
      <c r="DK30" s="140">
        <f>IF($DJ30=0,0,INDEX($T$2:$T$11,$DJ30))</f>
        <v/>
      </c>
      <c r="DL30" s="140">
        <f>IFERROR(VLOOKUP($DA30,$AU$2:$BB$84,4,FALSE),0)</f>
        <v/>
      </c>
      <c r="DM30" s="140">
        <f>IFERROR(VLOOKUP($DB30,$AU$2:$BB$84,4,FALSE),0)</f>
        <v/>
      </c>
      <c r="DN30" s="140">
        <f>IFERROR(VLOOKUP($DC30,$AU$2:$BB$84,4,FALSE),0)</f>
        <v/>
      </c>
      <c r="DO30" s="140">
        <f>IFERROR(VLOOKUP($DD30,$AU$2:$BB$84,4,FALSE),0)</f>
        <v/>
      </c>
      <c r="DP30" s="140">
        <f>IF($DJ30=0,0,INDEX($U$2:$U$11,$DJ30))</f>
        <v/>
      </c>
      <c r="DQ30" s="140">
        <f>IFERROR(VLOOKUP($DA30,$AU$2:$BB$84,5,FALSE),0)</f>
        <v/>
      </c>
      <c r="DR30" s="140">
        <f>IFERROR(VLOOKUP($DB30,$AU$2:$BB$84,5,FALSE),0)</f>
        <v/>
      </c>
      <c r="DS30" s="140">
        <f>IFERROR(VLOOKUP($DC30,$AU$2:$BB$84,5,FALSE),0)</f>
        <v/>
      </c>
      <c r="DT30" s="140">
        <f>IFERROR(VLOOKUP($DD30,$AU$2:$BB$84,5,FALSE),0)</f>
        <v/>
      </c>
      <c r="DU30" s="140">
        <f>IFERROR(VLOOKUP($DA30,$AU$2:$BB$84,6,FALSE),0)+IFERROR(VLOOKUP($DB30,$AU$2:$BB$84,6,FALSE),0)+IFERROR(VLOOKUP($DC30,$AU$2:$BB$84,6,FALSE),0)+IFERROR(VLOOKUP($DD30,$AU$2:$BB$84,6,FALSE),0)</f>
        <v/>
      </c>
      <c r="DV30" s="140">
        <f>IF($DJ30=0,0,INDEX($V$2:$V$11,$DJ30))</f>
        <v/>
      </c>
      <c r="DW30" s="140">
        <f>IF($DJ30=0,0,INDEX($W$2:$W$11,$DJ30))</f>
        <v/>
      </c>
      <c r="DX30" s="140">
        <f>IF($DJ30=0,0,INDEX($Y$2:$Y$11,$DJ30))</f>
        <v/>
      </c>
      <c r="DY30" s="140">
        <f>IF($DG30=1,0,IFERROR(VLOOKUP($DE30,$BD$2:$BH$24,3,FALSE),0))</f>
        <v/>
      </c>
      <c r="DZ30" s="140">
        <f>IF($DH30=1,0,IFERROR(VLOOKUP($DF30,$BD$2:$BH$24,3,FALSE),0))</f>
        <v/>
      </c>
      <c r="EA30" s="140">
        <f>IFERROR(VLOOKUP($DE30,$BD$2:$BH$24,2,FALSE),"")</f>
        <v/>
      </c>
      <c r="EB30" s="140">
        <f>IFERROR(VLOOKUP($DF30,$BD$2:$BH$24,2,FALSE),"")</f>
        <v/>
      </c>
      <c r="EC30" s="140">
        <f>COUNTIF($DK30:$DO30,1)</f>
        <v/>
      </c>
      <c r="ED30" s="140">
        <f>COUNTIF($DK30:$DO30,2)</f>
        <v/>
      </c>
      <c r="EE30" s="140">
        <f>COUNTIF($DK30:$DO30,3)</f>
        <v/>
      </c>
      <c r="EF30" s="140">
        <f>COUNTIF($DK30:$DO30,4)</f>
        <v/>
      </c>
      <c r="EG30" s="140">
        <f>COUNTIF($DK30:$DO30,5)</f>
        <v/>
      </c>
      <c r="EH30" s="140">
        <f>COUNTIF($DK30:$DO30,6)</f>
        <v/>
      </c>
      <c r="EI30" s="140">
        <f>COUNTIF($DY30:$DZ30,1)</f>
        <v/>
      </c>
      <c r="EJ30" s="140">
        <f>COUNTIF($DY30:$DZ30,2)+$DV30</f>
        <v/>
      </c>
      <c r="EK30" s="140">
        <f>COUNTIF($DA30:$DD30,"?*")</f>
        <v/>
      </c>
      <c r="EL30" s="140">
        <f>COUNTIF($DE30:$DF30,"?*")+$DV30</f>
        <v/>
      </c>
      <c r="EM30" s="140">
        <f>SUMPRODUCT($EC30:$EH30,INDEX($I$2:$N$8,$CX30,0))</f>
        <v/>
      </c>
      <c r="EN30" s="140">
        <f>$EI30*CEILING($CX30/2,1)+$EJ30*$CX30</f>
        <v/>
      </c>
      <c r="EO30" s="140">
        <f>MIN(2*$CX30,$EN30)</f>
        <v/>
      </c>
      <c r="EP30" s="140">
        <f>MIN($EO30,$EM30)</f>
        <v/>
      </c>
      <c r="EQ30" s="140">
        <f>$EO30-$EP30</f>
        <v/>
      </c>
      <c r="ER30" s="140">
        <f>3*$CX30-$EM30+$EP30</f>
        <v/>
      </c>
      <c r="ES30" s="140">
        <f>MAX(0,$ER30)+$CV30*$CX30</f>
        <v/>
      </c>
      <c r="ET30" s="140">
        <f>(IF(COUNTIF($DA30:$DD30,"Salto")&gt;0,1,0)+IF(COUNTIF($DA30:$DD30,"Queima")&gt;0,1,0))*FLOOR($ES30/2,1)</f>
        <v/>
      </c>
      <c r="EU30" s="140">
        <f>MAX(0,3-SUMPRODUCT($EC30:$EH30,$I$2:$N$2)+MIN(2,$EI30*1+$EJ30*1,SUMPRODUCT($EC30:$EH30,$I$2:$N$2)))+$CV30*1</f>
        <v/>
      </c>
      <c r="EV30" s="140">
        <f>MAX(0,6-SUMPRODUCT($EC30:$EH30,$I$3:$N$3)+MIN(4,$EI30*1+$EJ30*2,SUMPRODUCT($EC30:$EH30,$I$3:$N$3)))+$CV30*2</f>
        <v/>
      </c>
      <c r="EW30" s="140">
        <f>MAX(0,9-SUMPRODUCT($EC30:$EH30,$I$4:$N$4)+MIN(6,$EI30*2+$EJ30*3,SUMPRODUCT($EC30:$EH30,$I$4:$N$4)))+$CV30*3</f>
        <v/>
      </c>
      <c r="EX30" s="140">
        <f>MAX(0,12-SUMPRODUCT($EC30:$EH30,$I$5:$N$5)+MIN(8,$EI30*2+$EJ30*4,SUMPRODUCT($EC30:$EH30,$I$5:$N$5)))+$CV30*4</f>
        <v/>
      </c>
      <c r="EY30" s="140">
        <f>MAX(0,15-SUMPRODUCT($EC30:$EH30,$I$6:$N$6)+MIN(10,$EI30*3+$EJ30*5,SUMPRODUCT($EC30:$EH30,$I$6:$N$6)))+$CV30*5</f>
        <v/>
      </c>
      <c r="EZ30" s="140">
        <f>MAX(0,18-SUMPRODUCT($EC30:$EH30,$I$7:$N$7)+MIN(12,$EI30*3+$EJ30*6,SUMPRODUCT($EC30:$EH30,$I$7:$N$7)))+$CV30*6</f>
        <v/>
      </c>
      <c r="FA30" s="140">
        <f>MAX(0,21-SUMPRODUCT($EC30:$EH30,$I$8:$N$8)+MIN(14,$EI30*4+$EJ30*7,SUMPRODUCT($EC30:$EH30,$I$8:$N$8)))+$CV30*7</f>
        <v/>
      </c>
      <c r="FB30" s="140">
        <f>IF($DW30=2,3*$EU30&amp;" de vida temp.",IF($DW30=3,"sem dano",IF($EU30=0,IF($DW30=1,"sem cura","sem dano"),IF($DW30=1,"cura ","")&amp;$EU30&amp;"d8")))</f>
        <v/>
      </c>
      <c r="FC30" s="140">
        <f>IF($DW30=2,3*$EV30&amp;" de vida temp.",IF($DW30=3,"sem dano",IF($EV30=0,IF($DW30=1,"sem cura","sem dano"),IF($DW30=1,"cura ","")&amp;$EV30&amp;"d8")))</f>
        <v/>
      </c>
      <c r="FD30" s="140">
        <f>IF($DW30=2,3*$EW30&amp;" de vida temp.",IF($DW30=3,"sem dano",IF($EW30=0,IF($DW30=1,"sem cura","sem dano"),IF($DW30=1,"cura ","")&amp;$EW30&amp;"d8")))</f>
        <v/>
      </c>
      <c r="FE30" s="140">
        <f>IF($DW30=2,3*$EX30&amp;" de vida temp.",IF($DW30=3,"sem dano",IF($EX30=0,IF($DW30=1,"sem cura","sem dano"),IF($DW30=1,"cura ","")&amp;$EX30&amp;"d8")))</f>
        <v/>
      </c>
      <c r="FF30" s="140">
        <f>IF($DW30=2,3*$EY30&amp;" de vida temp.",IF($DW30=3,"sem dano",IF($EY30=0,IF($DW30=1,"sem cura","sem dano"),IF($DW30=1,"cura ","")&amp;$EY30&amp;"d8")))</f>
        <v/>
      </c>
      <c r="FG30" s="140">
        <f>IF($DW30=2,3*$EZ30&amp;" de vida temp.",IF($DW30=3,"sem dano",IF($EZ30=0,IF($DW30=1,"sem cura","sem dano"),IF($DW30=1,"cura ","")&amp;$EZ30&amp;"d8")))</f>
        <v/>
      </c>
      <c r="FH30" s="140">
        <f>IF($DW30=2,3*$FA30&amp;" de vida temp.",IF($DW30=3,"sem dano",IF($FA30=0,IF($DW30=1,"sem cura","sem dano"),IF($DW30=1,"cura ","")&amp;$FA30&amp;"d8")))</f>
        <v/>
      </c>
      <c r="FI30" s="140">
        <f>IF($DI30=0,"",TEXTJOIN(" · ",TRUE,IF(AND($CV30=1,$CW30&gt;$GH$9),"O nível "&amp;$GH$2&amp;" dá "&amp;$GH$9&amp;" Liberação Máxima",""),IF($CX30&gt;$GH$4,"Classe "&amp;$CX30&amp;": o nível "&amp;$GH$2&amp;" libera até a "&amp;$GH$4,""),IF($DP30=1,"Família Fechada: a Forma "&amp;$CZ30,""),IF($DQ30=1,"Família Fechada: "&amp;$DA30,""),IF($DR30=1,"Família Fechada: "&amp;$DB30,""),IF($DS30=1,"Família Fechada: "&amp;$DC30,""),IF($DT30=1,"Família Fechada: "&amp;$DD30,""),IF($EK30&gt;INDEX($O$2:$O$8,$CX30),$EK30&amp;" Melhorias: a Classe "&amp;$CX30&amp;" aceita "&amp;INDEX($O$2:$O$8,$CX30),""),IF($EL30&gt;2,$EL30&amp;" Restrições"&amp;IF($DV30=1,", contando a que a Forma "&amp;$CZ30&amp;" já traz","")&amp;": o limite é 2",""),IF($ER30&lt;0,"Orçamento estourado: faltam "&amp;(-$ER30)&amp;IF($ER30&lt;-1," pontos"," ponto"),""),IF(IFERROR(VLOOKUP($DE30,$BD$2:$BH$24,4,FALSE),0)+IFERROR(VLOOKUP($DF30,$BD$2:$BH$24,4,FALSE),0)&gt;1,$EA30&amp;" e "&amp;$EB30&amp;" são as duas de frequência",""),IF(AND((COUNTIF($DA30:$DD30,"Rápido")+COUNTIF($EA30:$EB30,"Rápido"))&gt;0,(COUNTIF($DA30:$DD30,"Reação")+COUNTIF($EA30:$EB30,"Reação"))&gt;0),"Rápido não entra com Reação",""),IF(AND((COUNTIF($DA30:$DD30,"Rápido")+COUNTIF($EA30:$EB30,"Rápido"))&gt;0,(COUNTIF($DA30:$DD30,"Atrasar")+COUNTIF($EA30:$EB30,"Atrasar"))&gt;0),"Rápido não entra com Atrasar",""),IF(AND((COUNTIF($DA30:$DD30,"Reação")+COUNTIF($EA30:$EB30,"Reação"))&gt;0,(COUNTIF($DA30:$DD30,"Atrasar")+COUNTIF($EA30:$EB30,"Atrasar"))&gt;0),"Reação não entra com Atrasar",""),IF(AND((COUNTIF($DA30:$DD30,"Reação")+COUNTIF($EA30:$EB30,"Reação"))&gt;0,(COUNTIF($DA30:$DD30,"Parado")+COUNTIF($EA30:$EB30,"Parado"))&gt;0),"Reação não entra com Parado",""),IF(AND(COUNTIF($EA30:$EB30,"Corpo a Corpo")&gt;0,$DV30=0,OR($CZ30="Cone",$CZ30="Linha")),"Corpo a Corpo não entra em "&amp;$CZ30,""),IF(AND(COUNTIF($EA30:$EB30,"Corpo a Corpo")&gt;0,$DV30=1),"A Forma "&amp;$CZ30&amp;" já traz o Corpo a Corpo",""),IF(AND(COUNTIF($EA30:$EB30,"Tudo ou Nada")&gt;0,$DX30=0),"Tudo ou Nada só entra em feitiço de Teste de Resistência",""),IF(AND(COUNTIF($DA30:$DD30,"Inescapável")&gt;0,OR($EK30&gt;1,$EL30&gt;0)),"Inescapável não aceita outra peça",""),IF(AND($CV30=1,$CX30&lt;3),"Liberação Máxima é de Classe 3 ou mais",""),IF(AND($CV30=1,OR($DW30=1,$DW30=2)),"Liberação Máxima não serve para cura",""),IF(AND($CV30=1,COUNTIF($DA30:$DD30,"Inescapável")+COUNTIF($DA30:$DD30,"Toca a Alma")&gt;0),"Esta peça não entra numa Liberação Máxima",""),IF($ES30+$ET30&gt;4*$CX30,($ES30+$ET30)&amp;" dados somando alvos e repetições: o teto da Classe "&amp;$CX30&amp;" é "&amp;4*$CX30,"")))</f>
        <v/>
      </c>
      <c r="FJ30" s="140">
        <f>IF($FI30="",0,(LEN($FI30)-LEN(SUBSTITUTE($FI30," · ","")))/3+1)</f>
        <v/>
      </c>
      <c r="FK30" s="140">
        <f>IF($DI30=0,"",TEXTJOIN(" · ",TRUE,IF($EN30&gt;2*$CX30,"A devolução parou no teto de "&amp;2*$CX30,""),IF($EQ30&gt;0,"Devolução perdida: "&amp;$EQ30&amp;IF($EQ30&gt;1," pontos"," ponto")&amp;" sem peça para pagar",""),IF(AND($DU30&gt;0,$ES30=0),"Controle sem dano: uma rodada a mais e CD +2",""),IF(AND($DU30&gt;0,$ES30&gt;0,$ES30&lt;=$CX30),"Controle com um quarto do teto: uma rodada a mais","")))</f>
        <v/>
      </c>
      <c r="FL30" s="140">
        <f>IF($FK30="",0,(LEN($FK30)-LEN(SUBSTITUTE($FK30," · ","")))/3+1)</f>
        <v/>
      </c>
      <c r="FM30" s="140">
        <f>IF($DI30=0,IF($EK30+$EL30-$DV30&gt;0,"dê um nome",""),IF($FJ30&gt;0,"⚠ "&amp;$FJ30&amp;IF($FJ30&gt;1," erros"," erro"),IF($FL30&gt;0,"! "&amp;$FL30&amp;IF($FL30&gt;1," avisos"," aviso"),"na regra")))</f>
        <v/>
      </c>
      <c r="FN30" s="140">
        <f>IF($DI30=0,"",IF($FJ30+$FL30=0,"Dentro das regras que a ficha confere",$FI30&amp;IF(AND($FJ30&gt;0,$FL30&gt;0)," · ","")&amp;$FK30))</f>
        <v/>
      </c>
      <c r="FO30" s="140">
        <f>IF($DI30=0,"",IF($CV30=1,CEILING(4.5*$CX30,1),3*$CX30)&amp;" PE")</f>
        <v/>
      </c>
      <c r="FP30" s="140">
        <f>IF($DI30=0,"",IF($CV30=1,"Rodada inteira",IF(COUNTIF($EA30:$EB30,"Atrasar")&gt;0,IF(COUNTIF($EA30:$EB30,"Carregar")&gt;0,"Rodada +1 turno","Rodada inteira"),IF(COUNTIF($DA30:$DD30,"Rápido")&gt;0,"Bônus",IF(COUNTIF($DA30:$DD30,"Reação")&gt;0,"Reação","Padrão"))&amp;IF(COUNTIF($EA30:$EB30,"Carregar")&gt;0," +1 turno",""))))</f>
        <v/>
      </c>
      <c r="FQ30" s="140">
        <f>IF(OR($DI30=0,$DJ30=0),"",IF(COUNTIF($DA30:$DD30,"Inescapável")&gt;0,"Automático",IF(COUNTIF($DA30:$DD30,"Certeiro")&gt;0,"TR para metade",INDEX($X$2:$X$11,$DJ30))))</f>
        <v/>
      </c>
      <c r="FR30" s="140">
        <f>IF(OR($DI30=0,$DJ30=0),"",IF(OR($DW30&gt;=2,$ES30=0),INDEX($FB30:$FH30,1,$CX30),INDEX($FB30:$FH30,1,$CX30)&amp;" = "&amp;FLOOR($ES30*4.5,1)&amp;IF($ET30&gt;0," · +"&amp;$ET30&amp;"d8","")))</f>
        <v/>
      </c>
      <c r="FS30" s="140">
        <f>COUNTIF($DA30:$DD30,"Longe")+3*COUNTIF($DA30:$DD30,"Muito Longe")</f>
        <v/>
      </c>
      <c r="FT30" s="140">
        <f>COUNTIF($DA30:$DD30,"Maior")+3*COUNTIF($DA30:$DD30,"Muito Maior")</f>
        <v/>
      </c>
      <c r="FU30" s="140">
        <f>IF($DJ30=0,0,CHOOSE(1+INDEX($Z$2:$Z$11,$DJ30),0,$FS30,$FT30,$FS30+$FT30))</f>
        <v/>
      </c>
      <c r="FV30" s="140">
        <f>IF($DJ30=0,0,CHOOSE(1+INDEX($AA$2:$AA$11,$DJ30),0,$FS30,$FT30,$FS30+$FT30))</f>
        <v/>
      </c>
      <c r="FW30" s="140">
        <f>IF(OR($DI30=0,$DJ30=0),"",INDEX($AH$2:$AM$31,($DJ30-1)*3+IF($CX30&gt;=6,3,2),1+MIN(5,$FU30))&amp;INDEX($AN$2:$AS$31,($DJ30-1)*3+IF($CX30&gt;=6,3,2),1+MIN(5,$FV30))&amp;IF(INDEX($AB$2:$AB$11,$DJ30)=1,IF(COUNTIF($DA30:$DD30,"Mais Um")&gt;0," · +"&amp;COUNTIF($DA30:$DD30,"Mais Um")&amp;IF(COUNTIF($DA30:$DD30,"Mais Um")&gt;1," alvos"," alvo"),"")&amp;IF(COUNTIF($DA30:$DD30,"Rajada")&gt;0," · "&amp;($CX30+1)&amp;" tiros",""),""))</f>
        <v/>
      </c>
      <c r="FX30" s="140">
        <f>IF($DI30=0,"",3*$CX30&amp;" − "&amp;$EM30&amp;" + "&amp;$EP30&amp;IF($CV30=1," + "&amp;$CX30,"")&amp;" = "&amp;$ES30&amp;"d8 · teto "&amp;4*$CX30&amp;IF($DV30=1," · a Forma devolve "&amp;$CX30,"")&amp;IF($EQ30&gt;0," · perde "&amp;$EQ30,""))</f>
        <v/>
      </c>
      <c r="FY30" s="140">
        <f>IF($DI30=0,"",IF($CX30&gt;=$GH$4,"Já está na maior Classe que o nível liberou",TEXTJOIN(" · ",TRUE,IF(AND(2&gt;$CX30,2&lt;=$GH$4),"2 → "&amp;$FC30&amp;", "&amp;IF($CV30=1,9,6)&amp;" PE",""),IF(AND(3&gt;$CX30,3&lt;=$GH$4),"3 → "&amp;$FD30&amp;", "&amp;IF($CV30=1,14,9)&amp;" PE",""),IF(AND(4&gt;$CX30,4&lt;=$GH$4),"4 → "&amp;$FE30&amp;", "&amp;IF($CV30=1,18,12)&amp;" PE",""),IF(AND(5&gt;$CX30,5&lt;=$GH$4),"5 → "&amp;$FF30&amp;", "&amp;IF($CV30=1,23,15)&amp;" PE",""),IF(AND(6&gt;$CX30,6&lt;=$GH$4),"6 → "&amp;$FG30&amp;", "&amp;IF($CV30=1,27,18)&amp;" PE",""),IF(AND(7&gt;$CX30,7&lt;=$GH$4),"7 → "&amp;$FH30&amp;", "&amp;IF($CV30=1,32,21)&amp;" PE",""))))</f>
        <v/>
      </c>
      <c r="FZ30" s="140">
        <f>IF(OR($DI30=0,$DL30=0),"","−"&amp;INDEX($I$2:$N$8,$CX30,$DL30)&amp;" · "&amp;CHOOSE($DL30,"Leve","Média","Pesada","Leve · Livre","Média · Livre","Pesada · Livre"))</f>
        <v/>
      </c>
      <c r="GA30" s="140">
        <f>IF(OR($DI30=0,$DM30=0),"","−"&amp;INDEX($I$2:$N$8,$CX30,$DM30)&amp;" · "&amp;CHOOSE($DM30,"Leve","Média","Pesada","Leve · Livre","Média · Livre","Pesada · Livre"))</f>
        <v/>
      </c>
      <c r="GB30" s="140">
        <f>IF(OR($DI30=0,$DN30=0),"","−"&amp;INDEX($I$2:$N$8,$CX30,$DN30)&amp;" · "&amp;CHOOSE($DN30,"Leve","Média","Pesada","Leve · Livre","Média · Livre","Pesada · Livre"))</f>
        <v/>
      </c>
      <c r="GC30" s="140">
        <f>IF(OR($DI30=0,$DO30=0),"","−"&amp;INDEX($I$2:$N$8,$CX30,$DO30)&amp;" · "&amp;CHOOSE($DO30,"Leve","Média","Pesada","Leve · Livre","Média · Livre","Pesada · Livre"))</f>
        <v/>
      </c>
      <c r="GD30" s="140">
        <f>IF(OR($DI30=0,$DE30=""),"",IF($DG30=1,"Selo","+"&amp;IF($DY30=1,CEILING($CX30/2,1),$CX30)))</f>
        <v/>
      </c>
      <c r="GE30" s="140">
        <f>IF(OR($DI30=0,$DF30=""),"",IF($DH30=1,"Selo","+"&amp;IF($DZ30=1,CEILING($CX30/2,1),$CX30)))</f>
        <v/>
      </c>
      <c r="GG30" s="114" t="inlineStr">
        <is>
          <t>famílias livres</t>
        </is>
      </c>
      <c r="GH30" s="140">
        <f>COUNTIF($B$2:$B$10,"Livre")</f>
        <v/>
      </c>
    </row>
    <row r="31">
      <c r="AG31" s="114" t="inlineStr">
        <is>
          <t>Efeito · classes 6 e 7</t>
        </is>
      </c>
      <c r="AH31" s="114" t="inlineStr">
        <is>
          <t>fora de combate</t>
        </is>
      </c>
      <c r="AI31" s="114" t="inlineStr">
        <is>
          <t>fora de combate</t>
        </is>
      </c>
      <c r="AJ31" s="114" t="inlineStr">
        <is>
          <t>fora de combate</t>
        </is>
      </c>
      <c r="AK31" s="114" t="inlineStr">
        <is>
          <t>fora de combate</t>
        </is>
      </c>
      <c r="AL31" s="114" t="inlineStr">
        <is>
          <t>fora de combate</t>
        </is>
      </c>
      <c r="AM31" s="114" t="inlineStr">
        <is>
          <t>fora de combate</t>
        </is>
      </c>
      <c r="AN31" s="114" t="inlineStr"/>
      <c r="AO31" s="114" t="inlineStr"/>
      <c r="AP31" s="114" t="inlineStr"/>
      <c r="AQ31" s="114" t="inlineStr"/>
      <c r="AR31" s="114" t="inlineStr"/>
      <c r="AS31" s="114" t="inlineStr"/>
      <c r="AU31" s="114" t="inlineStr">
        <is>
          <t>Impulso</t>
        </is>
      </c>
      <c r="AV31" s="114" t="inlineStr">
        <is>
          <t>Auxiliares</t>
        </is>
      </c>
      <c r="AW31" s="140" t="n">
        <v>1</v>
      </c>
      <c r="AX31" s="140">
        <f>$AW31+3*IFERROR(VLOOKUP($AV31,$A$2:$D$10,3,FALSE),0)</f>
        <v/>
      </c>
      <c r="AY31" s="140">
        <f>IFERROR(VLOOKUP($AV31,$A$2:$D$10,4,FALSE),0)</f>
        <v/>
      </c>
      <c r="AZ31" s="140" t="n">
        <v>0</v>
      </c>
      <c r="BA31" s="140">
        <f>IF($AY31=1,"",$AU31)</f>
        <v/>
      </c>
      <c r="BB31" s="140">
        <f>IF(AND($AW31=1,$AY31=0),$AU31,"")</f>
        <v/>
      </c>
      <c r="CU31" s="114" t="inlineStr">
        <is>
          <t>Feitiço 30</t>
        </is>
      </c>
      <c r="CV31" s="140" t="n">
        <v>0</v>
      </c>
      <c r="CW31" s="140" t="n">
        <v>30</v>
      </c>
      <c r="CX31" s="140">
        <f>MAX(1,MIN(7,N('FICHA AMALDIÇOADA'!$P$238)))</f>
        <v/>
      </c>
      <c r="CY31" s="140">
        <f>'FICHA AMALDIÇOADA'!$Q$238&amp;""</f>
        <v/>
      </c>
      <c r="CZ31" s="140">
        <f>'FICHA AMALDIÇOADA'!$P$245&amp;""</f>
        <v/>
      </c>
      <c r="DA31" s="140">
        <f>'FICHA AMALDIÇOADA'!$Q$247&amp;""</f>
        <v/>
      </c>
      <c r="DB31" s="140">
        <f>'FICHA AMALDIÇOADA'!$Q$248&amp;""</f>
        <v/>
      </c>
      <c r="DC31" s="140">
        <f>'FICHA AMALDIÇOADA'!$Q$249&amp;""</f>
        <v/>
      </c>
      <c r="DD31" s="140">
        <f>'FICHA AMALDIÇOADA'!$Q$250&amp;""</f>
        <v/>
      </c>
      <c r="DE31" s="140">
        <f>'FICHA AMALDIÇOADA'!$Q$251&amp;""</f>
        <v/>
      </c>
      <c r="DF31" s="140">
        <f>'FICHA AMALDIÇOADA'!$Q$252&amp;""</f>
        <v/>
      </c>
      <c r="DG31" s="140">
        <f>IF('FICHA AMALDIÇOADA'!$T$251=TRUE,1,0)</f>
        <v/>
      </c>
      <c r="DH31" s="140">
        <f>IF('FICHA AMALDIÇOADA'!$T$252=TRUE,1,0)</f>
        <v/>
      </c>
      <c r="DI31" s="140">
        <f>IF($CY31&lt;&gt;"",1,0)</f>
        <v/>
      </c>
      <c r="DJ31" s="140">
        <f>IFERROR(MATCH($CZ31,$Q$2:$Q$11,0),0)</f>
        <v/>
      </c>
      <c r="DK31" s="140">
        <f>IF($DJ31=0,0,INDEX($T$2:$T$11,$DJ31))</f>
        <v/>
      </c>
      <c r="DL31" s="140">
        <f>IFERROR(VLOOKUP($DA31,$AU$2:$BB$84,4,FALSE),0)</f>
        <v/>
      </c>
      <c r="DM31" s="140">
        <f>IFERROR(VLOOKUP($DB31,$AU$2:$BB$84,4,FALSE),0)</f>
        <v/>
      </c>
      <c r="DN31" s="140">
        <f>IFERROR(VLOOKUP($DC31,$AU$2:$BB$84,4,FALSE),0)</f>
        <v/>
      </c>
      <c r="DO31" s="140">
        <f>IFERROR(VLOOKUP($DD31,$AU$2:$BB$84,4,FALSE),0)</f>
        <v/>
      </c>
      <c r="DP31" s="140">
        <f>IF($DJ31=0,0,INDEX($U$2:$U$11,$DJ31))</f>
        <v/>
      </c>
      <c r="DQ31" s="140">
        <f>IFERROR(VLOOKUP($DA31,$AU$2:$BB$84,5,FALSE),0)</f>
        <v/>
      </c>
      <c r="DR31" s="140">
        <f>IFERROR(VLOOKUP($DB31,$AU$2:$BB$84,5,FALSE),0)</f>
        <v/>
      </c>
      <c r="DS31" s="140">
        <f>IFERROR(VLOOKUP($DC31,$AU$2:$BB$84,5,FALSE),0)</f>
        <v/>
      </c>
      <c r="DT31" s="140">
        <f>IFERROR(VLOOKUP($DD31,$AU$2:$BB$84,5,FALSE),0)</f>
        <v/>
      </c>
      <c r="DU31" s="140">
        <f>IFERROR(VLOOKUP($DA31,$AU$2:$BB$84,6,FALSE),0)+IFERROR(VLOOKUP($DB31,$AU$2:$BB$84,6,FALSE),0)+IFERROR(VLOOKUP($DC31,$AU$2:$BB$84,6,FALSE),0)+IFERROR(VLOOKUP($DD31,$AU$2:$BB$84,6,FALSE),0)</f>
        <v/>
      </c>
      <c r="DV31" s="140">
        <f>IF($DJ31=0,0,INDEX($V$2:$V$11,$DJ31))</f>
        <v/>
      </c>
      <c r="DW31" s="140">
        <f>IF($DJ31=0,0,INDEX($W$2:$W$11,$DJ31))</f>
        <v/>
      </c>
      <c r="DX31" s="140">
        <f>IF($DJ31=0,0,INDEX($Y$2:$Y$11,$DJ31))</f>
        <v/>
      </c>
      <c r="DY31" s="140">
        <f>IF($DG31=1,0,IFERROR(VLOOKUP($DE31,$BD$2:$BH$24,3,FALSE),0))</f>
        <v/>
      </c>
      <c r="DZ31" s="140">
        <f>IF($DH31=1,0,IFERROR(VLOOKUP($DF31,$BD$2:$BH$24,3,FALSE),0))</f>
        <v/>
      </c>
      <c r="EA31" s="140">
        <f>IFERROR(VLOOKUP($DE31,$BD$2:$BH$24,2,FALSE),"")</f>
        <v/>
      </c>
      <c r="EB31" s="140">
        <f>IFERROR(VLOOKUP($DF31,$BD$2:$BH$24,2,FALSE),"")</f>
        <v/>
      </c>
      <c r="EC31" s="140">
        <f>COUNTIF($DK31:$DO31,1)</f>
        <v/>
      </c>
      <c r="ED31" s="140">
        <f>COUNTIF($DK31:$DO31,2)</f>
        <v/>
      </c>
      <c r="EE31" s="140">
        <f>COUNTIF($DK31:$DO31,3)</f>
        <v/>
      </c>
      <c r="EF31" s="140">
        <f>COUNTIF($DK31:$DO31,4)</f>
        <v/>
      </c>
      <c r="EG31" s="140">
        <f>COUNTIF($DK31:$DO31,5)</f>
        <v/>
      </c>
      <c r="EH31" s="140">
        <f>COUNTIF($DK31:$DO31,6)</f>
        <v/>
      </c>
      <c r="EI31" s="140">
        <f>COUNTIF($DY31:$DZ31,1)</f>
        <v/>
      </c>
      <c r="EJ31" s="140">
        <f>COUNTIF($DY31:$DZ31,2)+$DV31</f>
        <v/>
      </c>
      <c r="EK31" s="140">
        <f>COUNTIF($DA31:$DD31,"?*")</f>
        <v/>
      </c>
      <c r="EL31" s="140">
        <f>COUNTIF($DE31:$DF31,"?*")+$DV31</f>
        <v/>
      </c>
      <c r="EM31" s="140">
        <f>SUMPRODUCT($EC31:$EH31,INDEX($I$2:$N$8,$CX31,0))</f>
        <v/>
      </c>
      <c r="EN31" s="140">
        <f>$EI31*CEILING($CX31/2,1)+$EJ31*$CX31</f>
        <v/>
      </c>
      <c r="EO31" s="140">
        <f>MIN(2*$CX31,$EN31)</f>
        <v/>
      </c>
      <c r="EP31" s="140">
        <f>MIN($EO31,$EM31)</f>
        <v/>
      </c>
      <c r="EQ31" s="140">
        <f>$EO31-$EP31</f>
        <v/>
      </c>
      <c r="ER31" s="140">
        <f>3*$CX31-$EM31+$EP31</f>
        <v/>
      </c>
      <c r="ES31" s="140">
        <f>MAX(0,$ER31)+$CV31*$CX31</f>
        <v/>
      </c>
      <c r="ET31" s="140">
        <f>(IF(COUNTIF($DA31:$DD31,"Salto")&gt;0,1,0)+IF(COUNTIF($DA31:$DD31,"Queima")&gt;0,1,0))*FLOOR($ES31/2,1)</f>
        <v/>
      </c>
      <c r="EU31" s="140">
        <f>MAX(0,3-SUMPRODUCT($EC31:$EH31,$I$2:$N$2)+MIN(2,$EI31*1+$EJ31*1,SUMPRODUCT($EC31:$EH31,$I$2:$N$2)))+$CV31*1</f>
        <v/>
      </c>
      <c r="EV31" s="140">
        <f>MAX(0,6-SUMPRODUCT($EC31:$EH31,$I$3:$N$3)+MIN(4,$EI31*1+$EJ31*2,SUMPRODUCT($EC31:$EH31,$I$3:$N$3)))+$CV31*2</f>
        <v/>
      </c>
      <c r="EW31" s="140">
        <f>MAX(0,9-SUMPRODUCT($EC31:$EH31,$I$4:$N$4)+MIN(6,$EI31*2+$EJ31*3,SUMPRODUCT($EC31:$EH31,$I$4:$N$4)))+$CV31*3</f>
        <v/>
      </c>
      <c r="EX31" s="140">
        <f>MAX(0,12-SUMPRODUCT($EC31:$EH31,$I$5:$N$5)+MIN(8,$EI31*2+$EJ31*4,SUMPRODUCT($EC31:$EH31,$I$5:$N$5)))+$CV31*4</f>
        <v/>
      </c>
      <c r="EY31" s="140">
        <f>MAX(0,15-SUMPRODUCT($EC31:$EH31,$I$6:$N$6)+MIN(10,$EI31*3+$EJ31*5,SUMPRODUCT($EC31:$EH31,$I$6:$N$6)))+$CV31*5</f>
        <v/>
      </c>
      <c r="EZ31" s="140">
        <f>MAX(0,18-SUMPRODUCT($EC31:$EH31,$I$7:$N$7)+MIN(12,$EI31*3+$EJ31*6,SUMPRODUCT($EC31:$EH31,$I$7:$N$7)))+$CV31*6</f>
        <v/>
      </c>
      <c r="FA31" s="140">
        <f>MAX(0,21-SUMPRODUCT($EC31:$EH31,$I$8:$N$8)+MIN(14,$EI31*4+$EJ31*7,SUMPRODUCT($EC31:$EH31,$I$8:$N$8)))+$CV31*7</f>
        <v/>
      </c>
      <c r="FB31" s="140">
        <f>IF($DW31=2,3*$EU31&amp;" de vida temp.",IF($DW31=3,"sem dano",IF($EU31=0,IF($DW31=1,"sem cura","sem dano"),IF($DW31=1,"cura ","")&amp;$EU31&amp;"d8")))</f>
        <v/>
      </c>
      <c r="FC31" s="140">
        <f>IF($DW31=2,3*$EV31&amp;" de vida temp.",IF($DW31=3,"sem dano",IF($EV31=0,IF($DW31=1,"sem cura","sem dano"),IF($DW31=1,"cura ","")&amp;$EV31&amp;"d8")))</f>
        <v/>
      </c>
      <c r="FD31" s="140">
        <f>IF($DW31=2,3*$EW31&amp;" de vida temp.",IF($DW31=3,"sem dano",IF($EW31=0,IF($DW31=1,"sem cura","sem dano"),IF($DW31=1,"cura ","")&amp;$EW31&amp;"d8")))</f>
        <v/>
      </c>
      <c r="FE31" s="140">
        <f>IF($DW31=2,3*$EX31&amp;" de vida temp.",IF($DW31=3,"sem dano",IF($EX31=0,IF($DW31=1,"sem cura","sem dano"),IF($DW31=1,"cura ","")&amp;$EX31&amp;"d8")))</f>
        <v/>
      </c>
      <c r="FF31" s="140">
        <f>IF($DW31=2,3*$EY31&amp;" de vida temp.",IF($DW31=3,"sem dano",IF($EY31=0,IF($DW31=1,"sem cura","sem dano"),IF($DW31=1,"cura ","")&amp;$EY31&amp;"d8")))</f>
        <v/>
      </c>
      <c r="FG31" s="140">
        <f>IF($DW31=2,3*$EZ31&amp;" de vida temp.",IF($DW31=3,"sem dano",IF($EZ31=0,IF($DW31=1,"sem cura","sem dano"),IF($DW31=1,"cura ","")&amp;$EZ31&amp;"d8")))</f>
        <v/>
      </c>
      <c r="FH31" s="140">
        <f>IF($DW31=2,3*$FA31&amp;" de vida temp.",IF($DW31=3,"sem dano",IF($FA31=0,IF($DW31=1,"sem cura","sem dano"),IF($DW31=1,"cura ","")&amp;$FA31&amp;"d8")))</f>
        <v/>
      </c>
      <c r="FI31" s="140">
        <f>IF($DI31=0,"",TEXTJOIN(" · ",TRUE,IF(AND($CV31=1,$CW31&gt;$GH$9),"O nível "&amp;$GH$2&amp;" dá "&amp;$GH$9&amp;" Liberação Máxima",""),IF($CX31&gt;$GH$4,"Classe "&amp;$CX31&amp;": o nível "&amp;$GH$2&amp;" libera até a "&amp;$GH$4,""),IF($DP31=1,"Família Fechada: a Forma "&amp;$CZ31,""),IF($DQ31=1,"Família Fechada: "&amp;$DA31,""),IF($DR31=1,"Família Fechada: "&amp;$DB31,""),IF($DS31=1,"Família Fechada: "&amp;$DC31,""),IF($DT31=1,"Família Fechada: "&amp;$DD31,""),IF($EK31&gt;INDEX($O$2:$O$8,$CX31),$EK31&amp;" Melhorias: a Classe "&amp;$CX31&amp;" aceita "&amp;INDEX($O$2:$O$8,$CX31),""),IF($EL31&gt;2,$EL31&amp;" Restrições"&amp;IF($DV31=1,", contando a que a Forma "&amp;$CZ31&amp;" já traz","")&amp;": o limite é 2",""),IF($ER31&lt;0,"Orçamento estourado: faltam "&amp;(-$ER31)&amp;IF($ER31&lt;-1," pontos"," ponto"),""),IF(IFERROR(VLOOKUP($DE31,$BD$2:$BH$24,4,FALSE),0)+IFERROR(VLOOKUP($DF31,$BD$2:$BH$24,4,FALSE),0)&gt;1,$EA31&amp;" e "&amp;$EB31&amp;" são as duas de frequência",""),IF(AND((COUNTIF($DA31:$DD31,"Rápido")+COUNTIF($EA31:$EB31,"Rápido"))&gt;0,(COUNTIF($DA31:$DD31,"Reação")+COUNTIF($EA31:$EB31,"Reação"))&gt;0),"Rápido não entra com Reação",""),IF(AND((COUNTIF($DA31:$DD31,"Rápido")+COUNTIF($EA31:$EB31,"Rápido"))&gt;0,(COUNTIF($DA31:$DD31,"Atrasar")+COUNTIF($EA31:$EB31,"Atrasar"))&gt;0),"Rápido não entra com Atrasar",""),IF(AND((COUNTIF($DA31:$DD31,"Reação")+COUNTIF($EA31:$EB31,"Reação"))&gt;0,(COUNTIF($DA31:$DD31,"Atrasar")+COUNTIF($EA31:$EB31,"Atrasar"))&gt;0),"Reação não entra com Atrasar",""),IF(AND((COUNTIF($DA31:$DD31,"Reação")+COUNTIF($EA31:$EB31,"Reação"))&gt;0,(COUNTIF($DA31:$DD31,"Parado")+COUNTIF($EA31:$EB31,"Parado"))&gt;0),"Reação não entra com Parado",""),IF(AND(COUNTIF($EA31:$EB31,"Corpo a Corpo")&gt;0,$DV31=0,OR($CZ31="Cone",$CZ31="Linha")),"Corpo a Corpo não entra em "&amp;$CZ31,""),IF(AND(COUNTIF($EA31:$EB31,"Corpo a Corpo")&gt;0,$DV31=1),"A Forma "&amp;$CZ31&amp;" já traz o Corpo a Corpo",""),IF(AND(COUNTIF($EA31:$EB31,"Tudo ou Nada")&gt;0,$DX31=0),"Tudo ou Nada só entra em feitiço de Teste de Resistência",""),IF(AND(COUNTIF($DA31:$DD31,"Inescapável")&gt;0,OR($EK31&gt;1,$EL31&gt;0)),"Inescapável não aceita outra peça",""),IF(AND($CV31=1,$CX31&lt;3),"Liberação Máxima é de Classe 3 ou mais",""),IF(AND($CV31=1,OR($DW31=1,$DW31=2)),"Liberação Máxima não serve para cura",""),IF(AND($CV31=1,COUNTIF($DA31:$DD31,"Inescapável")+COUNTIF($DA31:$DD31,"Toca a Alma")&gt;0),"Esta peça não entra numa Liberação Máxima",""),IF($ES31+$ET31&gt;4*$CX31,($ES31+$ET31)&amp;" dados somando alvos e repetições: o teto da Classe "&amp;$CX31&amp;" é "&amp;4*$CX31,"")))</f>
        <v/>
      </c>
      <c r="FJ31" s="140">
        <f>IF($FI31="",0,(LEN($FI31)-LEN(SUBSTITUTE($FI31," · ","")))/3+1)</f>
        <v/>
      </c>
      <c r="FK31" s="140">
        <f>IF($DI31=0,"",TEXTJOIN(" · ",TRUE,IF($EN31&gt;2*$CX31,"A devolução parou no teto de "&amp;2*$CX31,""),IF($EQ31&gt;0,"Devolução perdida: "&amp;$EQ31&amp;IF($EQ31&gt;1," pontos"," ponto")&amp;" sem peça para pagar",""),IF(AND($DU31&gt;0,$ES31=0),"Controle sem dano: uma rodada a mais e CD +2",""),IF(AND($DU31&gt;0,$ES31&gt;0,$ES31&lt;=$CX31),"Controle com um quarto do teto: uma rodada a mais","")))</f>
        <v/>
      </c>
      <c r="FL31" s="140">
        <f>IF($FK31="",0,(LEN($FK31)-LEN(SUBSTITUTE($FK31," · ","")))/3+1)</f>
        <v/>
      </c>
      <c r="FM31" s="140">
        <f>IF($DI31=0,IF($EK31+$EL31-$DV31&gt;0,"dê um nome",""),IF($FJ31&gt;0,"⚠ "&amp;$FJ31&amp;IF($FJ31&gt;1," erros"," erro"),IF($FL31&gt;0,"! "&amp;$FL31&amp;IF($FL31&gt;1," avisos"," aviso"),"na regra")))</f>
        <v/>
      </c>
      <c r="FN31" s="140">
        <f>IF($DI31=0,"",IF($FJ31+$FL31=0,"Dentro das regras que a ficha confere",$FI31&amp;IF(AND($FJ31&gt;0,$FL31&gt;0)," · ","")&amp;$FK31))</f>
        <v/>
      </c>
      <c r="FO31" s="140">
        <f>IF($DI31=0,"",IF($CV31=1,CEILING(4.5*$CX31,1),3*$CX31)&amp;" PE")</f>
        <v/>
      </c>
      <c r="FP31" s="140">
        <f>IF($DI31=0,"",IF($CV31=1,"Rodada inteira",IF(COUNTIF($EA31:$EB31,"Atrasar")&gt;0,IF(COUNTIF($EA31:$EB31,"Carregar")&gt;0,"Rodada +1 turno","Rodada inteira"),IF(COUNTIF($DA31:$DD31,"Rápido")&gt;0,"Bônus",IF(COUNTIF($DA31:$DD31,"Reação")&gt;0,"Reação","Padrão"))&amp;IF(COUNTIF($EA31:$EB31,"Carregar")&gt;0," +1 turno",""))))</f>
        <v/>
      </c>
      <c r="FQ31" s="140">
        <f>IF(OR($DI31=0,$DJ31=0),"",IF(COUNTIF($DA31:$DD31,"Inescapável")&gt;0,"Automático",IF(COUNTIF($DA31:$DD31,"Certeiro")&gt;0,"TR para metade",INDEX($X$2:$X$11,$DJ31))))</f>
        <v/>
      </c>
      <c r="FR31" s="140">
        <f>IF(OR($DI31=0,$DJ31=0),"",IF(OR($DW31&gt;=2,$ES31=0),INDEX($FB31:$FH31,1,$CX31),INDEX($FB31:$FH31,1,$CX31)&amp;" = "&amp;FLOOR($ES31*4.5,1)&amp;IF($ET31&gt;0," · +"&amp;$ET31&amp;"d8","")))</f>
        <v/>
      </c>
      <c r="FS31" s="140">
        <f>COUNTIF($DA31:$DD31,"Longe")+3*COUNTIF($DA31:$DD31,"Muito Longe")</f>
        <v/>
      </c>
      <c r="FT31" s="140">
        <f>COUNTIF($DA31:$DD31,"Maior")+3*COUNTIF($DA31:$DD31,"Muito Maior")</f>
        <v/>
      </c>
      <c r="FU31" s="140">
        <f>IF($DJ31=0,0,CHOOSE(1+INDEX($Z$2:$Z$11,$DJ31),0,$FS31,$FT31,$FS31+$FT31))</f>
        <v/>
      </c>
      <c r="FV31" s="140">
        <f>IF($DJ31=0,0,CHOOSE(1+INDEX($AA$2:$AA$11,$DJ31),0,$FS31,$FT31,$FS31+$FT31))</f>
        <v/>
      </c>
      <c r="FW31" s="140">
        <f>IF(OR($DI31=0,$DJ31=0),"",INDEX($AH$2:$AM$31,($DJ31-1)*3+IF($CX31&gt;=6,3,2),1+MIN(5,$FU31))&amp;INDEX($AN$2:$AS$31,($DJ31-1)*3+IF($CX31&gt;=6,3,2),1+MIN(5,$FV31))&amp;IF(INDEX($AB$2:$AB$11,$DJ31)=1,IF(COUNTIF($DA31:$DD31,"Mais Um")&gt;0," · +"&amp;COUNTIF($DA31:$DD31,"Mais Um")&amp;IF(COUNTIF($DA31:$DD31,"Mais Um")&gt;1," alvos"," alvo"),"")&amp;IF(COUNTIF($DA31:$DD31,"Rajada")&gt;0," · "&amp;($CX31+1)&amp;" tiros",""),""))</f>
        <v/>
      </c>
      <c r="FX31" s="140">
        <f>IF($DI31=0,"",3*$CX31&amp;" − "&amp;$EM31&amp;" + "&amp;$EP31&amp;IF($CV31=1," + "&amp;$CX31,"")&amp;" = "&amp;$ES31&amp;"d8 · teto "&amp;4*$CX31&amp;IF($DV31=1," · a Forma devolve "&amp;$CX31,"")&amp;IF($EQ31&gt;0," · perde "&amp;$EQ31,""))</f>
        <v/>
      </c>
      <c r="FY31" s="140">
        <f>IF($DI31=0,"",IF($CX31&gt;=$GH$4,"Já está na maior Classe que o nível liberou",TEXTJOIN(" · ",TRUE,IF(AND(2&gt;$CX31,2&lt;=$GH$4),"2 → "&amp;$FC31&amp;", "&amp;IF($CV31=1,9,6)&amp;" PE",""),IF(AND(3&gt;$CX31,3&lt;=$GH$4),"3 → "&amp;$FD31&amp;", "&amp;IF($CV31=1,14,9)&amp;" PE",""),IF(AND(4&gt;$CX31,4&lt;=$GH$4),"4 → "&amp;$FE31&amp;", "&amp;IF($CV31=1,18,12)&amp;" PE",""),IF(AND(5&gt;$CX31,5&lt;=$GH$4),"5 → "&amp;$FF31&amp;", "&amp;IF($CV31=1,23,15)&amp;" PE",""),IF(AND(6&gt;$CX31,6&lt;=$GH$4),"6 → "&amp;$FG31&amp;", "&amp;IF($CV31=1,27,18)&amp;" PE",""),IF(AND(7&gt;$CX31,7&lt;=$GH$4),"7 → "&amp;$FH31&amp;", "&amp;IF($CV31=1,32,21)&amp;" PE",""))))</f>
        <v/>
      </c>
      <c r="FZ31" s="140">
        <f>IF(OR($DI31=0,$DL31=0),"","−"&amp;INDEX($I$2:$N$8,$CX31,$DL31)&amp;" · "&amp;CHOOSE($DL31,"Leve","Média","Pesada","Leve · Livre","Média · Livre","Pesada · Livre"))</f>
        <v/>
      </c>
      <c r="GA31" s="140">
        <f>IF(OR($DI31=0,$DM31=0),"","−"&amp;INDEX($I$2:$N$8,$CX31,$DM31)&amp;" · "&amp;CHOOSE($DM31,"Leve","Média","Pesada","Leve · Livre","Média · Livre","Pesada · Livre"))</f>
        <v/>
      </c>
      <c r="GB31" s="140">
        <f>IF(OR($DI31=0,$DN31=0),"","−"&amp;INDEX($I$2:$N$8,$CX31,$DN31)&amp;" · "&amp;CHOOSE($DN31,"Leve","Média","Pesada","Leve · Livre","Média · Livre","Pesada · Livre"))</f>
        <v/>
      </c>
      <c r="GC31" s="140">
        <f>IF(OR($DI31=0,$DO31=0),"","−"&amp;INDEX($I$2:$N$8,$CX31,$DO31)&amp;" · "&amp;CHOOSE($DO31,"Leve","Média","Pesada","Leve · Livre","Média · Livre","Pesada · Livre"))</f>
        <v/>
      </c>
      <c r="GD31" s="140">
        <f>IF(OR($DI31=0,$DE31=""),"",IF($DG31=1,"Selo","+"&amp;IF($DY31=1,CEILING($CX31/2,1),$CX31)))</f>
        <v/>
      </c>
      <c r="GE31" s="140">
        <f>IF(OR($DI31=0,$DF31=""),"",IF($DH31=1,"Selo","+"&amp;IF($DZ31=1,CEILING($CX31/2,1),$CX31)))</f>
        <v/>
      </c>
      <c r="GG31" s="114" t="inlineStr">
        <is>
          <t>famílias fechadas</t>
        </is>
      </c>
      <c r="GH31" s="140">
        <f>COUNTIF($B$2:$B$10,"Fechada")</f>
        <v/>
      </c>
    </row>
    <row r="32">
      <c r="AU32" s="114" t="inlineStr">
        <is>
          <t>Trava</t>
        </is>
      </c>
      <c r="AV32" s="114" t="inlineStr">
        <is>
          <t>Auxiliares</t>
        </is>
      </c>
      <c r="AW32" s="140" t="n">
        <v>1</v>
      </c>
      <c r="AX32" s="140">
        <f>$AW32+3*IFERROR(VLOOKUP($AV32,$A$2:$D$10,3,FALSE),0)</f>
        <v/>
      </c>
      <c r="AY32" s="140">
        <f>IFERROR(VLOOKUP($AV32,$A$2:$D$10,4,FALSE),0)</f>
        <v/>
      </c>
      <c r="AZ32" s="140" t="n">
        <v>0</v>
      </c>
      <c r="BA32" s="140">
        <f>IF($AY32=1,"",$AU32)</f>
        <v/>
      </c>
      <c r="BB32" s="140">
        <f>IF(AND($AW32=1,$AY32=0),$AU32,"")</f>
        <v/>
      </c>
      <c r="CU32" s="114" t="inlineStr">
        <is>
          <t>Feitiço 31</t>
        </is>
      </c>
      <c r="CV32" s="140" t="n">
        <v>0</v>
      </c>
      <c r="CW32" s="140" t="n">
        <v>31</v>
      </c>
      <c r="CX32" s="140">
        <f>MAX(1,MIN(7,N('FICHA AMALDIÇOADA'!$D$259)))</f>
        <v/>
      </c>
      <c r="CY32" s="140">
        <f>'FICHA AMALDIÇOADA'!$E$259&amp;""</f>
        <v/>
      </c>
      <c r="CZ32" s="140">
        <f>'FICHA AMALDIÇOADA'!$D$266&amp;""</f>
        <v/>
      </c>
      <c r="DA32" s="140">
        <f>'FICHA AMALDIÇOADA'!$E$268&amp;""</f>
        <v/>
      </c>
      <c r="DB32" s="140">
        <f>'FICHA AMALDIÇOADA'!$E$269&amp;""</f>
        <v/>
      </c>
      <c r="DC32" s="140">
        <f>'FICHA AMALDIÇOADA'!$E$270&amp;""</f>
        <v/>
      </c>
      <c r="DD32" s="140">
        <f>'FICHA AMALDIÇOADA'!$E$271&amp;""</f>
        <v/>
      </c>
      <c r="DE32" s="140">
        <f>'FICHA AMALDIÇOADA'!$E$272&amp;""</f>
        <v/>
      </c>
      <c r="DF32" s="140">
        <f>'FICHA AMALDIÇOADA'!$E$273&amp;""</f>
        <v/>
      </c>
      <c r="DG32" s="140">
        <f>IF('FICHA AMALDIÇOADA'!$H$272=TRUE,1,0)</f>
        <v/>
      </c>
      <c r="DH32" s="140">
        <f>IF('FICHA AMALDIÇOADA'!$H$273=TRUE,1,0)</f>
        <v/>
      </c>
      <c r="DI32" s="140">
        <f>IF($CY32&lt;&gt;"",1,0)</f>
        <v/>
      </c>
      <c r="DJ32" s="140">
        <f>IFERROR(MATCH($CZ32,$Q$2:$Q$11,0),0)</f>
        <v/>
      </c>
      <c r="DK32" s="140">
        <f>IF($DJ32=0,0,INDEX($T$2:$T$11,$DJ32))</f>
        <v/>
      </c>
      <c r="DL32" s="140">
        <f>IFERROR(VLOOKUP($DA32,$AU$2:$BB$84,4,FALSE),0)</f>
        <v/>
      </c>
      <c r="DM32" s="140">
        <f>IFERROR(VLOOKUP($DB32,$AU$2:$BB$84,4,FALSE),0)</f>
        <v/>
      </c>
      <c r="DN32" s="140">
        <f>IFERROR(VLOOKUP($DC32,$AU$2:$BB$84,4,FALSE),0)</f>
        <v/>
      </c>
      <c r="DO32" s="140">
        <f>IFERROR(VLOOKUP($DD32,$AU$2:$BB$84,4,FALSE),0)</f>
        <v/>
      </c>
      <c r="DP32" s="140">
        <f>IF($DJ32=0,0,INDEX($U$2:$U$11,$DJ32))</f>
        <v/>
      </c>
      <c r="DQ32" s="140">
        <f>IFERROR(VLOOKUP($DA32,$AU$2:$BB$84,5,FALSE),0)</f>
        <v/>
      </c>
      <c r="DR32" s="140">
        <f>IFERROR(VLOOKUP($DB32,$AU$2:$BB$84,5,FALSE),0)</f>
        <v/>
      </c>
      <c r="DS32" s="140">
        <f>IFERROR(VLOOKUP($DC32,$AU$2:$BB$84,5,FALSE),0)</f>
        <v/>
      </c>
      <c r="DT32" s="140">
        <f>IFERROR(VLOOKUP($DD32,$AU$2:$BB$84,5,FALSE),0)</f>
        <v/>
      </c>
      <c r="DU32" s="140">
        <f>IFERROR(VLOOKUP($DA32,$AU$2:$BB$84,6,FALSE),0)+IFERROR(VLOOKUP($DB32,$AU$2:$BB$84,6,FALSE),0)+IFERROR(VLOOKUP($DC32,$AU$2:$BB$84,6,FALSE),0)+IFERROR(VLOOKUP($DD32,$AU$2:$BB$84,6,FALSE),0)</f>
        <v/>
      </c>
      <c r="DV32" s="140">
        <f>IF($DJ32=0,0,INDEX($V$2:$V$11,$DJ32))</f>
        <v/>
      </c>
      <c r="DW32" s="140">
        <f>IF($DJ32=0,0,INDEX($W$2:$W$11,$DJ32))</f>
        <v/>
      </c>
      <c r="DX32" s="140">
        <f>IF($DJ32=0,0,INDEX($Y$2:$Y$11,$DJ32))</f>
        <v/>
      </c>
      <c r="DY32" s="140">
        <f>IF($DG32=1,0,IFERROR(VLOOKUP($DE32,$BD$2:$BH$24,3,FALSE),0))</f>
        <v/>
      </c>
      <c r="DZ32" s="140">
        <f>IF($DH32=1,0,IFERROR(VLOOKUP($DF32,$BD$2:$BH$24,3,FALSE),0))</f>
        <v/>
      </c>
      <c r="EA32" s="140">
        <f>IFERROR(VLOOKUP($DE32,$BD$2:$BH$24,2,FALSE),"")</f>
        <v/>
      </c>
      <c r="EB32" s="140">
        <f>IFERROR(VLOOKUP($DF32,$BD$2:$BH$24,2,FALSE),"")</f>
        <v/>
      </c>
      <c r="EC32" s="140">
        <f>COUNTIF($DK32:$DO32,1)</f>
        <v/>
      </c>
      <c r="ED32" s="140">
        <f>COUNTIF($DK32:$DO32,2)</f>
        <v/>
      </c>
      <c r="EE32" s="140">
        <f>COUNTIF($DK32:$DO32,3)</f>
        <v/>
      </c>
      <c r="EF32" s="140">
        <f>COUNTIF($DK32:$DO32,4)</f>
        <v/>
      </c>
      <c r="EG32" s="140">
        <f>COUNTIF($DK32:$DO32,5)</f>
        <v/>
      </c>
      <c r="EH32" s="140">
        <f>COUNTIF($DK32:$DO32,6)</f>
        <v/>
      </c>
      <c r="EI32" s="140">
        <f>COUNTIF($DY32:$DZ32,1)</f>
        <v/>
      </c>
      <c r="EJ32" s="140">
        <f>COUNTIF($DY32:$DZ32,2)+$DV32</f>
        <v/>
      </c>
      <c r="EK32" s="140">
        <f>COUNTIF($DA32:$DD32,"?*")</f>
        <v/>
      </c>
      <c r="EL32" s="140">
        <f>COUNTIF($DE32:$DF32,"?*")+$DV32</f>
        <v/>
      </c>
      <c r="EM32" s="140">
        <f>SUMPRODUCT($EC32:$EH32,INDEX($I$2:$N$8,$CX32,0))</f>
        <v/>
      </c>
      <c r="EN32" s="140">
        <f>$EI32*CEILING($CX32/2,1)+$EJ32*$CX32</f>
        <v/>
      </c>
      <c r="EO32" s="140">
        <f>MIN(2*$CX32,$EN32)</f>
        <v/>
      </c>
      <c r="EP32" s="140">
        <f>MIN($EO32,$EM32)</f>
        <v/>
      </c>
      <c r="EQ32" s="140">
        <f>$EO32-$EP32</f>
        <v/>
      </c>
      <c r="ER32" s="140">
        <f>3*$CX32-$EM32+$EP32</f>
        <v/>
      </c>
      <c r="ES32" s="140">
        <f>MAX(0,$ER32)+$CV32*$CX32</f>
        <v/>
      </c>
      <c r="ET32" s="140">
        <f>(IF(COUNTIF($DA32:$DD32,"Salto")&gt;0,1,0)+IF(COUNTIF($DA32:$DD32,"Queima")&gt;0,1,0))*FLOOR($ES32/2,1)</f>
        <v/>
      </c>
      <c r="EU32" s="140">
        <f>MAX(0,3-SUMPRODUCT($EC32:$EH32,$I$2:$N$2)+MIN(2,$EI32*1+$EJ32*1,SUMPRODUCT($EC32:$EH32,$I$2:$N$2)))+$CV32*1</f>
        <v/>
      </c>
      <c r="EV32" s="140">
        <f>MAX(0,6-SUMPRODUCT($EC32:$EH32,$I$3:$N$3)+MIN(4,$EI32*1+$EJ32*2,SUMPRODUCT($EC32:$EH32,$I$3:$N$3)))+$CV32*2</f>
        <v/>
      </c>
      <c r="EW32" s="140">
        <f>MAX(0,9-SUMPRODUCT($EC32:$EH32,$I$4:$N$4)+MIN(6,$EI32*2+$EJ32*3,SUMPRODUCT($EC32:$EH32,$I$4:$N$4)))+$CV32*3</f>
        <v/>
      </c>
      <c r="EX32" s="140">
        <f>MAX(0,12-SUMPRODUCT($EC32:$EH32,$I$5:$N$5)+MIN(8,$EI32*2+$EJ32*4,SUMPRODUCT($EC32:$EH32,$I$5:$N$5)))+$CV32*4</f>
        <v/>
      </c>
      <c r="EY32" s="140">
        <f>MAX(0,15-SUMPRODUCT($EC32:$EH32,$I$6:$N$6)+MIN(10,$EI32*3+$EJ32*5,SUMPRODUCT($EC32:$EH32,$I$6:$N$6)))+$CV32*5</f>
        <v/>
      </c>
      <c r="EZ32" s="140">
        <f>MAX(0,18-SUMPRODUCT($EC32:$EH32,$I$7:$N$7)+MIN(12,$EI32*3+$EJ32*6,SUMPRODUCT($EC32:$EH32,$I$7:$N$7)))+$CV32*6</f>
        <v/>
      </c>
      <c r="FA32" s="140">
        <f>MAX(0,21-SUMPRODUCT($EC32:$EH32,$I$8:$N$8)+MIN(14,$EI32*4+$EJ32*7,SUMPRODUCT($EC32:$EH32,$I$8:$N$8)))+$CV32*7</f>
        <v/>
      </c>
      <c r="FB32" s="140">
        <f>IF($DW32=2,3*$EU32&amp;" de vida temp.",IF($DW32=3,"sem dano",IF($EU32=0,IF($DW32=1,"sem cura","sem dano"),IF($DW32=1,"cura ","")&amp;$EU32&amp;"d8")))</f>
        <v/>
      </c>
      <c r="FC32" s="140">
        <f>IF($DW32=2,3*$EV32&amp;" de vida temp.",IF($DW32=3,"sem dano",IF($EV32=0,IF($DW32=1,"sem cura","sem dano"),IF($DW32=1,"cura ","")&amp;$EV32&amp;"d8")))</f>
        <v/>
      </c>
      <c r="FD32" s="140">
        <f>IF($DW32=2,3*$EW32&amp;" de vida temp.",IF($DW32=3,"sem dano",IF($EW32=0,IF($DW32=1,"sem cura","sem dano"),IF($DW32=1,"cura ","")&amp;$EW32&amp;"d8")))</f>
        <v/>
      </c>
      <c r="FE32" s="140">
        <f>IF($DW32=2,3*$EX32&amp;" de vida temp.",IF($DW32=3,"sem dano",IF($EX32=0,IF($DW32=1,"sem cura","sem dano"),IF($DW32=1,"cura ","")&amp;$EX32&amp;"d8")))</f>
        <v/>
      </c>
      <c r="FF32" s="140">
        <f>IF($DW32=2,3*$EY32&amp;" de vida temp.",IF($DW32=3,"sem dano",IF($EY32=0,IF($DW32=1,"sem cura","sem dano"),IF($DW32=1,"cura ","")&amp;$EY32&amp;"d8")))</f>
        <v/>
      </c>
      <c r="FG32" s="140">
        <f>IF($DW32=2,3*$EZ32&amp;" de vida temp.",IF($DW32=3,"sem dano",IF($EZ32=0,IF($DW32=1,"sem cura","sem dano"),IF($DW32=1,"cura ","")&amp;$EZ32&amp;"d8")))</f>
        <v/>
      </c>
      <c r="FH32" s="140">
        <f>IF($DW32=2,3*$FA32&amp;" de vida temp.",IF($DW32=3,"sem dano",IF($FA32=0,IF($DW32=1,"sem cura","sem dano"),IF($DW32=1,"cura ","")&amp;$FA32&amp;"d8")))</f>
        <v/>
      </c>
      <c r="FI32" s="140">
        <f>IF($DI32=0,"",TEXTJOIN(" · ",TRUE,IF(AND($CV32=1,$CW32&gt;$GH$9),"O nível "&amp;$GH$2&amp;" dá "&amp;$GH$9&amp;" Liberação Máxima",""),IF($CX32&gt;$GH$4,"Classe "&amp;$CX32&amp;": o nível "&amp;$GH$2&amp;" libera até a "&amp;$GH$4,""),IF($DP32=1,"Família Fechada: a Forma "&amp;$CZ32,""),IF($DQ32=1,"Família Fechada: "&amp;$DA32,""),IF($DR32=1,"Família Fechada: "&amp;$DB32,""),IF($DS32=1,"Família Fechada: "&amp;$DC32,""),IF($DT32=1,"Família Fechada: "&amp;$DD32,""),IF($EK32&gt;INDEX($O$2:$O$8,$CX32),$EK32&amp;" Melhorias: a Classe "&amp;$CX32&amp;" aceita "&amp;INDEX($O$2:$O$8,$CX32),""),IF($EL32&gt;2,$EL32&amp;" Restrições"&amp;IF($DV32=1,", contando a que a Forma "&amp;$CZ32&amp;" já traz","")&amp;": o limite é 2",""),IF($ER32&lt;0,"Orçamento estourado: faltam "&amp;(-$ER32)&amp;IF($ER32&lt;-1," pontos"," ponto"),""),IF(IFERROR(VLOOKUP($DE32,$BD$2:$BH$24,4,FALSE),0)+IFERROR(VLOOKUP($DF32,$BD$2:$BH$24,4,FALSE),0)&gt;1,$EA32&amp;" e "&amp;$EB32&amp;" são as duas de frequência",""),IF(AND((COUNTIF($DA32:$DD32,"Rápido")+COUNTIF($EA32:$EB32,"Rápido"))&gt;0,(COUNTIF($DA32:$DD32,"Reação")+COUNTIF($EA32:$EB32,"Reação"))&gt;0),"Rápido não entra com Reação",""),IF(AND((COUNTIF($DA32:$DD32,"Rápido")+COUNTIF($EA32:$EB32,"Rápido"))&gt;0,(COUNTIF($DA32:$DD32,"Atrasar")+COUNTIF($EA32:$EB32,"Atrasar"))&gt;0),"Rápido não entra com Atrasar",""),IF(AND((COUNTIF($DA32:$DD32,"Reação")+COUNTIF($EA32:$EB32,"Reação"))&gt;0,(COUNTIF($DA32:$DD32,"Atrasar")+COUNTIF($EA32:$EB32,"Atrasar"))&gt;0),"Reação não entra com Atrasar",""),IF(AND((COUNTIF($DA32:$DD32,"Reação")+COUNTIF($EA32:$EB32,"Reação"))&gt;0,(COUNTIF($DA32:$DD32,"Parado")+COUNTIF($EA32:$EB32,"Parado"))&gt;0),"Reação não entra com Parado",""),IF(AND(COUNTIF($EA32:$EB32,"Corpo a Corpo")&gt;0,$DV32=0,OR($CZ32="Cone",$CZ32="Linha")),"Corpo a Corpo não entra em "&amp;$CZ32,""),IF(AND(COUNTIF($EA32:$EB32,"Corpo a Corpo")&gt;0,$DV32=1),"A Forma "&amp;$CZ32&amp;" já traz o Corpo a Corpo",""),IF(AND(COUNTIF($EA32:$EB32,"Tudo ou Nada")&gt;0,$DX32=0),"Tudo ou Nada só entra em feitiço de Teste de Resistência",""),IF(AND(COUNTIF($DA32:$DD32,"Inescapável")&gt;0,OR($EK32&gt;1,$EL32&gt;0)),"Inescapável não aceita outra peça",""),IF(AND($CV32=1,$CX32&lt;3),"Liberação Máxima é de Classe 3 ou mais",""),IF(AND($CV32=1,OR($DW32=1,$DW32=2)),"Liberação Máxima não serve para cura",""),IF(AND($CV32=1,COUNTIF($DA32:$DD32,"Inescapável")+COUNTIF($DA32:$DD32,"Toca a Alma")&gt;0),"Esta peça não entra numa Liberação Máxima",""),IF($ES32+$ET32&gt;4*$CX32,($ES32+$ET32)&amp;" dados somando alvos e repetições: o teto da Classe "&amp;$CX32&amp;" é "&amp;4*$CX32,"")))</f>
        <v/>
      </c>
      <c r="FJ32" s="140">
        <f>IF($FI32="",0,(LEN($FI32)-LEN(SUBSTITUTE($FI32," · ","")))/3+1)</f>
        <v/>
      </c>
      <c r="FK32" s="140">
        <f>IF($DI32=0,"",TEXTJOIN(" · ",TRUE,IF($EN32&gt;2*$CX32,"A devolução parou no teto de "&amp;2*$CX32,""),IF($EQ32&gt;0,"Devolução perdida: "&amp;$EQ32&amp;IF($EQ32&gt;1," pontos"," ponto")&amp;" sem peça para pagar",""),IF(AND($DU32&gt;0,$ES32=0),"Controle sem dano: uma rodada a mais e CD +2",""),IF(AND($DU32&gt;0,$ES32&gt;0,$ES32&lt;=$CX32),"Controle com um quarto do teto: uma rodada a mais","")))</f>
        <v/>
      </c>
      <c r="FL32" s="140">
        <f>IF($FK32="",0,(LEN($FK32)-LEN(SUBSTITUTE($FK32," · ","")))/3+1)</f>
        <v/>
      </c>
      <c r="FM32" s="140">
        <f>IF($DI32=0,IF($EK32+$EL32-$DV32&gt;0,"dê um nome",""),IF($FJ32&gt;0,"⚠ "&amp;$FJ32&amp;IF($FJ32&gt;1," erros"," erro"),IF($FL32&gt;0,"! "&amp;$FL32&amp;IF($FL32&gt;1," avisos"," aviso"),"na regra")))</f>
        <v/>
      </c>
      <c r="FN32" s="140">
        <f>IF($DI32=0,"",IF($FJ32+$FL32=0,"Dentro das regras que a ficha confere",$FI32&amp;IF(AND($FJ32&gt;0,$FL32&gt;0)," · ","")&amp;$FK32))</f>
        <v/>
      </c>
      <c r="FO32" s="140">
        <f>IF($DI32=0,"",IF($CV32=1,CEILING(4.5*$CX32,1),3*$CX32)&amp;" PE")</f>
        <v/>
      </c>
      <c r="FP32" s="140">
        <f>IF($DI32=0,"",IF($CV32=1,"Rodada inteira",IF(COUNTIF($EA32:$EB32,"Atrasar")&gt;0,IF(COUNTIF($EA32:$EB32,"Carregar")&gt;0,"Rodada +1 turno","Rodada inteira"),IF(COUNTIF($DA32:$DD32,"Rápido")&gt;0,"Bônus",IF(COUNTIF($DA32:$DD32,"Reação")&gt;0,"Reação","Padrão"))&amp;IF(COUNTIF($EA32:$EB32,"Carregar")&gt;0," +1 turno",""))))</f>
        <v/>
      </c>
      <c r="FQ32" s="140">
        <f>IF(OR($DI32=0,$DJ32=0),"",IF(COUNTIF($DA32:$DD32,"Inescapável")&gt;0,"Automático",IF(COUNTIF($DA32:$DD32,"Certeiro")&gt;0,"TR para metade",INDEX($X$2:$X$11,$DJ32))))</f>
        <v/>
      </c>
      <c r="FR32" s="140">
        <f>IF(OR($DI32=0,$DJ32=0),"",IF(OR($DW32&gt;=2,$ES32=0),INDEX($FB32:$FH32,1,$CX32),INDEX($FB32:$FH32,1,$CX32)&amp;" = "&amp;FLOOR($ES32*4.5,1)&amp;IF($ET32&gt;0," · +"&amp;$ET32&amp;"d8","")))</f>
        <v/>
      </c>
      <c r="FS32" s="140">
        <f>COUNTIF($DA32:$DD32,"Longe")+3*COUNTIF($DA32:$DD32,"Muito Longe")</f>
        <v/>
      </c>
      <c r="FT32" s="140">
        <f>COUNTIF($DA32:$DD32,"Maior")+3*COUNTIF($DA32:$DD32,"Muito Maior")</f>
        <v/>
      </c>
      <c r="FU32" s="140">
        <f>IF($DJ32=0,0,CHOOSE(1+INDEX($Z$2:$Z$11,$DJ32),0,$FS32,$FT32,$FS32+$FT32))</f>
        <v/>
      </c>
      <c r="FV32" s="140">
        <f>IF($DJ32=0,0,CHOOSE(1+INDEX($AA$2:$AA$11,$DJ32),0,$FS32,$FT32,$FS32+$FT32))</f>
        <v/>
      </c>
      <c r="FW32" s="140">
        <f>IF(OR($DI32=0,$DJ32=0),"",INDEX($AH$2:$AM$31,($DJ32-1)*3+IF($CX32&gt;=6,3,2),1+MIN(5,$FU32))&amp;INDEX($AN$2:$AS$31,($DJ32-1)*3+IF($CX32&gt;=6,3,2),1+MIN(5,$FV32))&amp;IF(INDEX($AB$2:$AB$11,$DJ32)=1,IF(COUNTIF($DA32:$DD32,"Mais Um")&gt;0," · +"&amp;COUNTIF($DA32:$DD32,"Mais Um")&amp;IF(COUNTIF($DA32:$DD32,"Mais Um")&gt;1," alvos"," alvo"),"")&amp;IF(COUNTIF($DA32:$DD32,"Rajada")&gt;0," · "&amp;($CX32+1)&amp;" tiros",""),""))</f>
        <v/>
      </c>
      <c r="FX32" s="140">
        <f>IF($DI32=0,"",3*$CX32&amp;" − "&amp;$EM32&amp;" + "&amp;$EP32&amp;IF($CV32=1," + "&amp;$CX32,"")&amp;" = "&amp;$ES32&amp;"d8 · teto "&amp;4*$CX32&amp;IF($DV32=1," · a Forma devolve "&amp;$CX32,"")&amp;IF($EQ32&gt;0," · perde "&amp;$EQ32,""))</f>
        <v/>
      </c>
      <c r="FY32" s="140">
        <f>IF($DI32=0,"",IF($CX32&gt;=$GH$4,"Já está na maior Classe que o nível liberou",TEXTJOIN(" · ",TRUE,IF(AND(2&gt;$CX32,2&lt;=$GH$4),"2 → "&amp;$FC32&amp;", "&amp;IF($CV32=1,9,6)&amp;" PE",""),IF(AND(3&gt;$CX32,3&lt;=$GH$4),"3 → "&amp;$FD32&amp;", "&amp;IF($CV32=1,14,9)&amp;" PE",""),IF(AND(4&gt;$CX32,4&lt;=$GH$4),"4 → "&amp;$FE32&amp;", "&amp;IF($CV32=1,18,12)&amp;" PE",""),IF(AND(5&gt;$CX32,5&lt;=$GH$4),"5 → "&amp;$FF32&amp;", "&amp;IF($CV32=1,23,15)&amp;" PE",""),IF(AND(6&gt;$CX32,6&lt;=$GH$4),"6 → "&amp;$FG32&amp;", "&amp;IF($CV32=1,27,18)&amp;" PE",""),IF(AND(7&gt;$CX32,7&lt;=$GH$4),"7 → "&amp;$FH32&amp;", "&amp;IF($CV32=1,32,21)&amp;" PE",""))))</f>
        <v/>
      </c>
      <c r="FZ32" s="140">
        <f>IF(OR($DI32=0,$DL32=0),"","−"&amp;INDEX($I$2:$N$8,$CX32,$DL32)&amp;" · "&amp;CHOOSE($DL32,"Leve","Média","Pesada","Leve · Livre","Média · Livre","Pesada · Livre"))</f>
        <v/>
      </c>
      <c r="GA32" s="140">
        <f>IF(OR($DI32=0,$DM32=0),"","−"&amp;INDEX($I$2:$N$8,$CX32,$DM32)&amp;" · "&amp;CHOOSE($DM32,"Leve","Média","Pesada","Leve · Livre","Média · Livre","Pesada · Livre"))</f>
        <v/>
      </c>
      <c r="GB32" s="140">
        <f>IF(OR($DI32=0,$DN32=0),"","−"&amp;INDEX($I$2:$N$8,$CX32,$DN32)&amp;" · "&amp;CHOOSE($DN32,"Leve","Média","Pesada","Leve · Livre","Média · Livre","Pesada · Livre"))</f>
        <v/>
      </c>
      <c r="GC32" s="140">
        <f>IF(OR($DI32=0,$DO32=0),"","−"&amp;INDEX($I$2:$N$8,$CX32,$DO32)&amp;" · "&amp;CHOOSE($DO32,"Leve","Média","Pesada","Leve · Livre","Média · Livre","Pesada · Livre"))</f>
        <v/>
      </c>
      <c r="GD32" s="140">
        <f>IF(OR($DI32=0,$DE32=""),"",IF($DG32=1,"Selo","+"&amp;IF($DY32=1,CEILING($CX32/2,1),$CX32)))</f>
        <v/>
      </c>
      <c r="GE32" s="140">
        <f>IF(OR($DI32=0,$DF32=""),"",IF($DH32=1,"Selo","+"&amp;IF($DZ32=1,CEILING($CX32/2,1),$CX32)))</f>
        <v/>
      </c>
      <c r="GG32" s="114" t="inlineStr">
        <is>
          <t>metade do refino</t>
        </is>
      </c>
      <c r="GH32" s="140">
        <f>MAX(1,FLOOR($GH$6/2,1))</f>
        <v/>
      </c>
    </row>
    <row r="33">
      <c r="AU33" s="114" t="inlineStr">
        <is>
          <t>Abre Ferida</t>
        </is>
      </c>
      <c r="AV33" s="114" t="inlineStr">
        <is>
          <t>Auxiliares</t>
        </is>
      </c>
      <c r="AW33" s="140" t="n">
        <v>1</v>
      </c>
      <c r="AX33" s="140">
        <f>$AW33+3*IFERROR(VLOOKUP($AV33,$A$2:$D$10,3,FALSE),0)</f>
        <v/>
      </c>
      <c r="AY33" s="140">
        <f>IFERROR(VLOOKUP($AV33,$A$2:$D$10,4,FALSE),0)</f>
        <v/>
      </c>
      <c r="AZ33" s="140" t="n">
        <v>0</v>
      </c>
      <c r="BA33" s="140">
        <f>IF($AY33=1,"",$AU33)</f>
        <v/>
      </c>
      <c r="BB33" s="140">
        <f>IF(AND($AW33=1,$AY33=0),$AU33,"")</f>
        <v/>
      </c>
      <c r="CU33" s="114" t="inlineStr">
        <is>
          <t>Feitiço 32</t>
        </is>
      </c>
      <c r="CV33" s="140" t="n">
        <v>0</v>
      </c>
      <c r="CW33" s="140" t="n">
        <v>32</v>
      </c>
      <c r="CX33" s="140">
        <f>MAX(1,MIN(7,N('FICHA AMALDIÇOADA'!$J$259)))</f>
        <v/>
      </c>
      <c r="CY33" s="140">
        <f>'FICHA AMALDIÇOADA'!$K$259&amp;""</f>
        <v/>
      </c>
      <c r="CZ33" s="140">
        <f>'FICHA AMALDIÇOADA'!$J$266&amp;""</f>
        <v/>
      </c>
      <c r="DA33" s="140">
        <f>'FICHA AMALDIÇOADA'!$K$268&amp;""</f>
        <v/>
      </c>
      <c r="DB33" s="140">
        <f>'FICHA AMALDIÇOADA'!$K$269&amp;""</f>
        <v/>
      </c>
      <c r="DC33" s="140">
        <f>'FICHA AMALDIÇOADA'!$K$270&amp;""</f>
        <v/>
      </c>
      <c r="DD33" s="140">
        <f>'FICHA AMALDIÇOADA'!$K$271&amp;""</f>
        <v/>
      </c>
      <c r="DE33" s="140">
        <f>'FICHA AMALDIÇOADA'!$K$272&amp;""</f>
        <v/>
      </c>
      <c r="DF33" s="140">
        <f>'FICHA AMALDIÇOADA'!$K$273&amp;""</f>
        <v/>
      </c>
      <c r="DG33" s="140">
        <f>IF('FICHA AMALDIÇOADA'!$N$272=TRUE,1,0)</f>
        <v/>
      </c>
      <c r="DH33" s="140">
        <f>IF('FICHA AMALDIÇOADA'!$N$273=TRUE,1,0)</f>
        <v/>
      </c>
      <c r="DI33" s="140">
        <f>IF($CY33&lt;&gt;"",1,0)</f>
        <v/>
      </c>
      <c r="DJ33" s="140">
        <f>IFERROR(MATCH($CZ33,$Q$2:$Q$11,0),0)</f>
        <v/>
      </c>
      <c r="DK33" s="140">
        <f>IF($DJ33=0,0,INDEX($T$2:$T$11,$DJ33))</f>
        <v/>
      </c>
      <c r="DL33" s="140">
        <f>IFERROR(VLOOKUP($DA33,$AU$2:$BB$84,4,FALSE),0)</f>
        <v/>
      </c>
      <c r="DM33" s="140">
        <f>IFERROR(VLOOKUP($DB33,$AU$2:$BB$84,4,FALSE),0)</f>
        <v/>
      </c>
      <c r="DN33" s="140">
        <f>IFERROR(VLOOKUP($DC33,$AU$2:$BB$84,4,FALSE),0)</f>
        <v/>
      </c>
      <c r="DO33" s="140">
        <f>IFERROR(VLOOKUP($DD33,$AU$2:$BB$84,4,FALSE),0)</f>
        <v/>
      </c>
      <c r="DP33" s="140">
        <f>IF($DJ33=0,0,INDEX($U$2:$U$11,$DJ33))</f>
        <v/>
      </c>
      <c r="DQ33" s="140">
        <f>IFERROR(VLOOKUP($DA33,$AU$2:$BB$84,5,FALSE),0)</f>
        <v/>
      </c>
      <c r="DR33" s="140">
        <f>IFERROR(VLOOKUP($DB33,$AU$2:$BB$84,5,FALSE),0)</f>
        <v/>
      </c>
      <c r="DS33" s="140">
        <f>IFERROR(VLOOKUP($DC33,$AU$2:$BB$84,5,FALSE),0)</f>
        <v/>
      </c>
      <c r="DT33" s="140">
        <f>IFERROR(VLOOKUP($DD33,$AU$2:$BB$84,5,FALSE),0)</f>
        <v/>
      </c>
      <c r="DU33" s="140">
        <f>IFERROR(VLOOKUP($DA33,$AU$2:$BB$84,6,FALSE),0)+IFERROR(VLOOKUP($DB33,$AU$2:$BB$84,6,FALSE),0)+IFERROR(VLOOKUP($DC33,$AU$2:$BB$84,6,FALSE),0)+IFERROR(VLOOKUP($DD33,$AU$2:$BB$84,6,FALSE),0)</f>
        <v/>
      </c>
      <c r="DV33" s="140">
        <f>IF($DJ33=0,0,INDEX($V$2:$V$11,$DJ33))</f>
        <v/>
      </c>
      <c r="DW33" s="140">
        <f>IF($DJ33=0,0,INDEX($W$2:$W$11,$DJ33))</f>
        <v/>
      </c>
      <c r="DX33" s="140">
        <f>IF($DJ33=0,0,INDEX($Y$2:$Y$11,$DJ33))</f>
        <v/>
      </c>
      <c r="DY33" s="140">
        <f>IF($DG33=1,0,IFERROR(VLOOKUP($DE33,$BD$2:$BH$24,3,FALSE),0))</f>
        <v/>
      </c>
      <c r="DZ33" s="140">
        <f>IF($DH33=1,0,IFERROR(VLOOKUP($DF33,$BD$2:$BH$24,3,FALSE),0))</f>
        <v/>
      </c>
      <c r="EA33" s="140">
        <f>IFERROR(VLOOKUP($DE33,$BD$2:$BH$24,2,FALSE),"")</f>
        <v/>
      </c>
      <c r="EB33" s="140">
        <f>IFERROR(VLOOKUP($DF33,$BD$2:$BH$24,2,FALSE),"")</f>
        <v/>
      </c>
      <c r="EC33" s="140">
        <f>COUNTIF($DK33:$DO33,1)</f>
        <v/>
      </c>
      <c r="ED33" s="140">
        <f>COUNTIF($DK33:$DO33,2)</f>
        <v/>
      </c>
      <c r="EE33" s="140">
        <f>COUNTIF($DK33:$DO33,3)</f>
        <v/>
      </c>
      <c r="EF33" s="140">
        <f>COUNTIF($DK33:$DO33,4)</f>
        <v/>
      </c>
      <c r="EG33" s="140">
        <f>COUNTIF($DK33:$DO33,5)</f>
        <v/>
      </c>
      <c r="EH33" s="140">
        <f>COUNTIF($DK33:$DO33,6)</f>
        <v/>
      </c>
      <c r="EI33" s="140">
        <f>COUNTIF($DY33:$DZ33,1)</f>
        <v/>
      </c>
      <c r="EJ33" s="140">
        <f>COUNTIF($DY33:$DZ33,2)+$DV33</f>
        <v/>
      </c>
      <c r="EK33" s="140">
        <f>COUNTIF($DA33:$DD33,"?*")</f>
        <v/>
      </c>
      <c r="EL33" s="140">
        <f>COUNTIF($DE33:$DF33,"?*")+$DV33</f>
        <v/>
      </c>
      <c r="EM33" s="140">
        <f>SUMPRODUCT($EC33:$EH33,INDEX($I$2:$N$8,$CX33,0))</f>
        <v/>
      </c>
      <c r="EN33" s="140">
        <f>$EI33*CEILING($CX33/2,1)+$EJ33*$CX33</f>
        <v/>
      </c>
      <c r="EO33" s="140">
        <f>MIN(2*$CX33,$EN33)</f>
        <v/>
      </c>
      <c r="EP33" s="140">
        <f>MIN($EO33,$EM33)</f>
        <v/>
      </c>
      <c r="EQ33" s="140">
        <f>$EO33-$EP33</f>
        <v/>
      </c>
      <c r="ER33" s="140">
        <f>3*$CX33-$EM33+$EP33</f>
        <v/>
      </c>
      <c r="ES33" s="140">
        <f>MAX(0,$ER33)+$CV33*$CX33</f>
        <v/>
      </c>
      <c r="ET33" s="140">
        <f>(IF(COUNTIF($DA33:$DD33,"Salto")&gt;0,1,0)+IF(COUNTIF($DA33:$DD33,"Queima")&gt;0,1,0))*FLOOR($ES33/2,1)</f>
        <v/>
      </c>
      <c r="EU33" s="140">
        <f>MAX(0,3-SUMPRODUCT($EC33:$EH33,$I$2:$N$2)+MIN(2,$EI33*1+$EJ33*1,SUMPRODUCT($EC33:$EH33,$I$2:$N$2)))+$CV33*1</f>
        <v/>
      </c>
      <c r="EV33" s="140">
        <f>MAX(0,6-SUMPRODUCT($EC33:$EH33,$I$3:$N$3)+MIN(4,$EI33*1+$EJ33*2,SUMPRODUCT($EC33:$EH33,$I$3:$N$3)))+$CV33*2</f>
        <v/>
      </c>
      <c r="EW33" s="140">
        <f>MAX(0,9-SUMPRODUCT($EC33:$EH33,$I$4:$N$4)+MIN(6,$EI33*2+$EJ33*3,SUMPRODUCT($EC33:$EH33,$I$4:$N$4)))+$CV33*3</f>
        <v/>
      </c>
      <c r="EX33" s="140">
        <f>MAX(0,12-SUMPRODUCT($EC33:$EH33,$I$5:$N$5)+MIN(8,$EI33*2+$EJ33*4,SUMPRODUCT($EC33:$EH33,$I$5:$N$5)))+$CV33*4</f>
        <v/>
      </c>
      <c r="EY33" s="140">
        <f>MAX(0,15-SUMPRODUCT($EC33:$EH33,$I$6:$N$6)+MIN(10,$EI33*3+$EJ33*5,SUMPRODUCT($EC33:$EH33,$I$6:$N$6)))+$CV33*5</f>
        <v/>
      </c>
      <c r="EZ33" s="140">
        <f>MAX(0,18-SUMPRODUCT($EC33:$EH33,$I$7:$N$7)+MIN(12,$EI33*3+$EJ33*6,SUMPRODUCT($EC33:$EH33,$I$7:$N$7)))+$CV33*6</f>
        <v/>
      </c>
      <c r="FA33" s="140">
        <f>MAX(0,21-SUMPRODUCT($EC33:$EH33,$I$8:$N$8)+MIN(14,$EI33*4+$EJ33*7,SUMPRODUCT($EC33:$EH33,$I$8:$N$8)))+$CV33*7</f>
        <v/>
      </c>
      <c r="FB33" s="140">
        <f>IF($DW33=2,3*$EU33&amp;" de vida temp.",IF($DW33=3,"sem dano",IF($EU33=0,IF($DW33=1,"sem cura","sem dano"),IF($DW33=1,"cura ","")&amp;$EU33&amp;"d8")))</f>
        <v/>
      </c>
      <c r="FC33" s="140">
        <f>IF($DW33=2,3*$EV33&amp;" de vida temp.",IF($DW33=3,"sem dano",IF($EV33=0,IF($DW33=1,"sem cura","sem dano"),IF($DW33=1,"cura ","")&amp;$EV33&amp;"d8")))</f>
        <v/>
      </c>
      <c r="FD33" s="140">
        <f>IF($DW33=2,3*$EW33&amp;" de vida temp.",IF($DW33=3,"sem dano",IF($EW33=0,IF($DW33=1,"sem cura","sem dano"),IF($DW33=1,"cura ","")&amp;$EW33&amp;"d8")))</f>
        <v/>
      </c>
      <c r="FE33" s="140">
        <f>IF($DW33=2,3*$EX33&amp;" de vida temp.",IF($DW33=3,"sem dano",IF($EX33=0,IF($DW33=1,"sem cura","sem dano"),IF($DW33=1,"cura ","")&amp;$EX33&amp;"d8")))</f>
        <v/>
      </c>
      <c r="FF33" s="140">
        <f>IF($DW33=2,3*$EY33&amp;" de vida temp.",IF($DW33=3,"sem dano",IF($EY33=0,IF($DW33=1,"sem cura","sem dano"),IF($DW33=1,"cura ","")&amp;$EY33&amp;"d8")))</f>
        <v/>
      </c>
      <c r="FG33" s="140">
        <f>IF($DW33=2,3*$EZ33&amp;" de vida temp.",IF($DW33=3,"sem dano",IF($EZ33=0,IF($DW33=1,"sem cura","sem dano"),IF($DW33=1,"cura ","")&amp;$EZ33&amp;"d8")))</f>
        <v/>
      </c>
      <c r="FH33" s="140">
        <f>IF($DW33=2,3*$FA33&amp;" de vida temp.",IF($DW33=3,"sem dano",IF($FA33=0,IF($DW33=1,"sem cura","sem dano"),IF($DW33=1,"cura ","")&amp;$FA33&amp;"d8")))</f>
        <v/>
      </c>
      <c r="FI33" s="140">
        <f>IF($DI33=0,"",TEXTJOIN(" · ",TRUE,IF(AND($CV33=1,$CW33&gt;$GH$9),"O nível "&amp;$GH$2&amp;" dá "&amp;$GH$9&amp;" Liberação Máxima",""),IF($CX33&gt;$GH$4,"Classe "&amp;$CX33&amp;": o nível "&amp;$GH$2&amp;" libera até a "&amp;$GH$4,""),IF($DP33=1,"Família Fechada: a Forma "&amp;$CZ33,""),IF($DQ33=1,"Família Fechada: "&amp;$DA33,""),IF($DR33=1,"Família Fechada: "&amp;$DB33,""),IF($DS33=1,"Família Fechada: "&amp;$DC33,""),IF($DT33=1,"Família Fechada: "&amp;$DD33,""),IF($EK33&gt;INDEX($O$2:$O$8,$CX33),$EK33&amp;" Melhorias: a Classe "&amp;$CX33&amp;" aceita "&amp;INDEX($O$2:$O$8,$CX33),""),IF($EL33&gt;2,$EL33&amp;" Restrições"&amp;IF($DV33=1,", contando a que a Forma "&amp;$CZ33&amp;" já traz","")&amp;": o limite é 2",""),IF($ER33&lt;0,"Orçamento estourado: faltam "&amp;(-$ER33)&amp;IF($ER33&lt;-1," pontos"," ponto"),""),IF(IFERROR(VLOOKUP($DE33,$BD$2:$BH$24,4,FALSE),0)+IFERROR(VLOOKUP($DF33,$BD$2:$BH$24,4,FALSE),0)&gt;1,$EA33&amp;" e "&amp;$EB33&amp;" são as duas de frequência",""),IF(AND((COUNTIF($DA33:$DD33,"Rápido")+COUNTIF($EA33:$EB33,"Rápido"))&gt;0,(COUNTIF($DA33:$DD33,"Reação")+COUNTIF($EA33:$EB33,"Reação"))&gt;0),"Rápido não entra com Reação",""),IF(AND((COUNTIF($DA33:$DD33,"Rápido")+COUNTIF($EA33:$EB33,"Rápido"))&gt;0,(COUNTIF($DA33:$DD33,"Atrasar")+COUNTIF($EA33:$EB33,"Atrasar"))&gt;0),"Rápido não entra com Atrasar",""),IF(AND((COUNTIF($DA33:$DD33,"Reação")+COUNTIF($EA33:$EB33,"Reação"))&gt;0,(COUNTIF($DA33:$DD33,"Atrasar")+COUNTIF($EA33:$EB33,"Atrasar"))&gt;0),"Reação não entra com Atrasar",""),IF(AND((COUNTIF($DA33:$DD33,"Reação")+COUNTIF($EA33:$EB33,"Reação"))&gt;0,(COUNTIF($DA33:$DD33,"Parado")+COUNTIF($EA33:$EB33,"Parado"))&gt;0),"Reação não entra com Parado",""),IF(AND(COUNTIF($EA33:$EB33,"Corpo a Corpo")&gt;0,$DV33=0,OR($CZ33="Cone",$CZ33="Linha")),"Corpo a Corpo não entra em "&amp;$CZ33,""),IF(AND(COUNTIF($EA33:$EB33,"Corpo a Corpo")&gt;0,$DV33=1),"A Forma "&amp;$CZ33&amp;" já traz o Corpo a Corpo",""),IF(AND(COUNTIF($EA33:$EB33,"Tudo ou Nada")&gt;0,$DX33=0),"Tudo ou Nada só entra em feitiço de Teste de Resistência",""),IF(AND(COUNTIF($DA33:$DD33,"Inescapável")&gt;0,OR($EK33&gt;1,$EL33&gt;0)),"Inescapável não aceita outra peça",""),IF(AND($CV33=1,$CX33&lt;3),"Liberação Máxima é de Classe 3 ou mais",""),IF(AND($CV33=1,OR($DW33=1,$DW33=2)),"Liberação Máxima não serve para cura",""),IF(AND($CV33=1,COUNTIF($DA33:$DD33,"Inescapável")+COUNTIF($DA33:$DD33,"Toca a Alma")&gt;0),"Esta peça não entra numa Liberação Máxima",""),IF($ES33+$ET33&gt;4*$CX33,($ES33+$ET33)&amp;" dados somando alvos e repetições: o teto da Classe "&amp;$CX33&amp;" é "&amp;4*$CX33,"")))</f>
        <v/>
      </c>
      <c r="FJ33" s="140">
        <f>IF($FI33="",0,(LEN($FI33)-LEN(SUBSTITUTE($FI33," · ","")))/3+1)</f>
        <v/>
      </c>
      <c r="FK33" s="140">
        <f>IF($DI33=0,"",TEXTJOIN(" · ",TRUE,IF($EN33&gt;2*$CX33,"A devolução parou no teto de "&amp;2*$CX33,""),IF($EQ33&gt;0,"Devolução perdida: "&amp;$EQ33&amp;IF($EQ33&gt;1," pontos"," ponto")&amp;" sem peça para pagar",""),IF(AND($DU33&gt;0,$ES33=0),"Controle sem dano: uma rodada a mais e CD +2",""),IF(AND($DU33&gt;0,$ES33&gt;0,$ES33&lt;=$CX33),"Controle com um quarto do teto: uma rodada a mais","")))</f>
        <v/>
      </c>
      <c r="FL33" s="140">
        <f>IF($FK33="",0,(LEN($FK33)-LEN(SUBSTITUTE($FK33," · ","")))/3+1)</f>
        <v/>
      </c>
      <c r="FM33" s="140">
        <f>IF($DI33=0,IF($EK33+$EL33-$DV33&gt;0,"dê um nome",""),IF($FJ33&gt;0,"⚠ "&amp;$FJ33&amp;IF($FJ33&gt;1," erros"," erro"),IF($FL33&gt;0,"! "&amp;$FL33&amp;IF($FL33&gt;1," avisos"," aviso"),"na regra")))</f>
        <v/>
      </c>
      <c r="FN33" s="140">
        <f>IF($DI33=0,"",IF($FJ33+$FL33=0,"Dentro das regras que a ficha confere",$FI33&amp;IF(AND($FJ33&gt;0,$FL33&gt;0)," · ","")&amp;$FK33))</f>
        <v/>
      </c>
      <c r="FO33" s="140">
        <f>IF($DI33=0,"",IF($CV33=1,CEILING(4.5*$CX33,1),3*$CX33)&amp;" PE")</f>
        <v/>
      </c>
      <c r="FP33" s="140">
        <f>IF($DI33=0,"",IF($CV33=1,"Rodada inteira",IF(COUNTIF($EA33:$EB33,"Atrasar")&gt;0,IF(COUNTIF($EA33:$EB33,"Carregar")&gt;0,"Rodada +1 turno","Rodada inteira"),IF(COUNTIF($DA33:$DD33,"Rápido")&gt;0,"Bônus",IF(COUNTIF($DA33:$DD33,"Reação")&gt;0,"Reação","Padrão"))&amp;IF(COUNTIF($EA33:$EB33,"Carregar")&gt;0," +1 turno",""))))</f>
        <v/>
      </c>
      <c r="FQ33" s="140">
        <f>IF(OR($DI33=0,$DJ33=0),"",IF(COUNTIF($DA33:$DD33,"Inescapável")&gt;0,"Automático",IF(COUNTIF($DA33:$DD33,"Certeiro")&gt;0,"TR para metade",INDEX($X$2:$X$11,$DJ33))))</f>
        <v/>
      </c>
      <c r="FR33" s="140">
        <f>IF(OR($DI33=0,$DJ33=0),"",IF(OR($DW33&gt;=2,$ES33=0),INDEX($FB33:$FH33,1,$CX33),INDEX($FB33:$FH33,1,$CX33)&amp;" = "&amp;FLOOR($ES33*4.5,1)&amp;IF($ET33&gt;0," · +"&amp;$ET33&amp;"d8","")))</f>
        <v/>
      </c>
      <c r="FS33" s="140">
        <f>COUNTIF($DA33:$DD33,"Longe")+3*COUNTIF($DA33:$DD33,"Muito Longe")</f>
        <v/>
      </c>
      <c r="FT33" s="140">
        <f>COUNTIF($DA33:$DD33,"Maior")+3*COUNTIF($DA33:$DD33,"Muito Maior")</f>
        <v/>
      </c>
      <c r="FU33" s="140">
        <f>IF($DJ33=0,0,CHOOSE(1+INDEX($Z$2:$Z$11,$DJ33),0,$FS33,$FT33,$FS33+$FT33))</f>
        <v/>
      </c>
      <c r="FV33" s="140">
        <f>IF($DJ33=0,0,CHOOSE(1+INDEX($AA$2:$AA$11,$DJ33),0,$FS33,$FT33,$FS33+$FT33))</f>
        <v/>
      </c>
      <c r="FW33" s="140">
        <f>IF(OR($DI33=0,$DJ33=0),"",INDEX($AH$2:$AM$31,($DJ33-1)*3+IF($CX33&gt;=6,3,2),1+MIN(5,$FU33))&amp;INDEX($AN$2:$AS$31,($DJ33-1)*3+IF($CX33&gt;=6,3,2),1+MIN(5,$FV33))&amp;IF(INDEX($AB$2:$AB$11,$DJ33)=1,IF(COUNTIF($DA33:$DD33,"Mais Um")&gt;0," · +"&amp;COUNTIF($DA33:$DD33,"Mais Um")&amp;IF(COUNTIF($DA33:$DD33,"Mais Um")&gt;1," alvos"," alvo"),"")&amp;IF(COUNTIF($DA33:$DD33,"Rajada")&gt;0," · "&amp;($CX33+1)&amp;" tiros",""),""))</f>
        <v/>
      </c>
      <c r="FX33" s="140">
        <f>IF($DI33=0,"",3*$CX33&amp;" − "&amp;$EM33&amp;" + "&amp;$EP33&amp;IF($CV33=1," + "&amp;$CX33,"")&amp;" = "&amp;$ES33&amp;"d8 · teto "&amp;4*$CX33&amp;IF($DV33=1," · a Forma devolve "&amp;$CX33,"")&amp;IF($EQ33&gt;0," · perde "&amp;$EQ33,""))</f>
        <v/>
      </c>
      <c r="FY33" s="140">
        <f>IF($DI33=0,"",IF($CX33&gt;=$GH$4,"Já está na maior Classe que o nível liberou",TEXTJOIN(" · ",TRUE,IF(AND(2&gt;$CX33,2&lt;=$GH$4),"2 → "&amp;$FC33&amp;", "&amp;IF($CV33=1,9,6)&amp;" PE",""),IF(AND(3&gt;$CX33,3&lt;=$GH$4),"3 → "&amp;$FD33&amp;", "&amp;IF($CV33=1,14,9)&amp;" PE",""),IF(AND(4&gt;$CX33,4&lt;=$GH$4),"4 → "&amp;$FE33&amp;", "&amp;IF($CV33=1,18,12)&amp;" PE",""),IF(AND(5&gt;$CX33,5&lt;=$GH$4),"5 → "&amp;$FF33&amp;", "&amp;IF($CV33=1,23,15)&amp;" PE",""),IF(AND(6&gt;$CX33,6&lt;=$GH$4),"6 → "&amp;$FG33&amp;", "&amp;IF($CV33=1,27,18)&amp;" PE",""),IF(AND(7&gt;$CX33,7&lt;=$GH$4),"7 → "&amp;$FH33&amp;", "&amp;IF($CV33=1,32,21)&amp;" PE",""))))</f>
        <v/>
      </c>
      <c r="FZ33" s="140">
        <f>IF(OR($DI33=0,$DL33=0),"","−"&amp;INDEX($I$2:$N$8,$CX33,$DL33)&amp;" · "&amp;CHOOSE($DL33,"Leve","Média","Pesada","Leve · Livre","Média · Livre","Pesada · Livre"))</f>
        <v/>
      </c>
      <c r="GA33" s="140">
        <f>IF(OR($DI33=0,$DM33=0),"","−"&amp;INDEX($I$2:$N$8,$CX33,$DM33)&amp;" · "&amp;CHOOSE($DM33,"Leve","Média","Pesada","Leve · Livre","Média · Livre","Pesada · Livre"))</f>
        <v/>
      </c>
      <c r="GB33" s="140">
        <f>IF(OR($DI33=0,$DN33=0),"","−"&amp;INDEX($I$2:$N$8,$CX33,$DN33)&amp;" · "&amp;CHOOSE($DN33,"Leve","Média","Pesada","Leve · Livre","Média · Livre","Pesada · Livre"))</f>
        <v/>
      </c>
      <c r="GC33" s="140">
        <f>IF(OR($DI33=0,$DO33=0),"","−"&amp;INDEX($I$2:$N$8,$CX33,$DO33)&amp;" · "&amp;CHOOSE($DO33,"Leve","Média","Pesada","Leve · Livre","Média · Livre","Pesada · Livre"))</f>
        <v/>
      </c>
      <c r="GD33" s="140">
        <f>IF(OR($DI33=0,$DE33=""),"",IF($DG33=1,"Selo","+"&amp;IF($DY33=1,CEILING($CX33/2,1),$CX33)))</f>
        <v/>
      </c>
      <c r="GE33" s="140">
        <f>IF(OR($DI33=0,$DF33=""),"",IF($DH33=1,"Selo","+"&amp;IF($DZ33=1,CEILING($CX33/2,1),$CX33)))</f>
        <v/>
      </c>
      <c r="GG33" s="114" t="inlineStr">
        <is>
          <t>terço do refino</t>
        </is>
      </c>
      <c r="GH33" s="140">
        <f>MAX(1,FLOOR($GH$6/3,1))</f>
        <v/>
      </c>
    </row>
    <row r="34">
      <c r="AU34" s="114" t="inlineStr">
        <is>
          <t>Sobrecarga</t>
        </is>
      </c>
      <c r="AV34" s="114" t="inlineStr">
        <is>
          <t>Auxiliares</t>
        </is>
      </c>
      <c r="AW34" s="140" t="n">
        <v>1</v>
      </c>
      <c r="AX34" s="140">
        <f>$AW34+3*IFERROR(VLOOKUP($AV34,$A$2:$D$10,3,FALSE),0)</f>
        <v/>
      </c>
      <c r="AY34" s="140">
        <f>IFERROR(VLOOKUP($AV34,$A$2:$D$10,4,FALSE),0)</f>
        <v/>
      </c>
      <c r="AZ34" s="140" t="n">
        <v>0</v>
      </c>
      <c r="BA34" s="140">
        <f>IF($AY34=1,"",$AU34)</f>
        <v/>
      </c>
      <c r="BB34" s="140">
        <f>IF(AND($AW34=1,$AY34=0),$AU34,"")</f>
        <v/>
      </c>
      <c r="CU34" s="114" t="inlineStr">
        <is>
          <t>Feitiço 33</t>
        </is>
      </c>
      <c r="CV34" s="140" t="n">
        <v>0</v>
      </c>
      <c r="CW34" s="140" t="n">
        <v>33</v>
      </c>
      <c r="CX34" s="140">
        <f>MAX(1,MIN(7,N('FICHA AMALDIÇOADA'!$P$259)))</f>
        <v/>
      </c>
      <c r="CY34" s="140">
        <f>'FICHA AMALDIÇOADA'!$Q$259&amp;""</f>
        <v/>
      </c>
      <c r="CZ34" s="140">
        <f>'FICHA AMALDIÇOADA'!$P$266&amp;""</f>
        <v/>
      </c>
      <c r="DA34" s="140">
        <f>'FICHA AMALDIÇOADA'!$Q$268&amp;""</f>
        <v/>
      </c>
      <c r="DB34" s="140">
        <f>'FICHA AMALDIÇOADA'!$Q$269&amp;""</f>
        <v/>
      </c>
      <c r="DC34" s="140">
        <f>'FICHA AMALDIÇOADA'!$Q$270&amp;""</f>
        <v/>
      </c>
      <c r="DD34" s="140">
        <f>'FICHA AMALDIÇOADA'!$Q$271&amp;""</f>
        <v/>
      </c>
      <c r="DE34" s="140">
        <f>'FICHA AMALDIÇOADA'!$Q$272&amp;""</f>
        <v/>
      </c>
      <c r="DF34" s="140">
        <f>'FICHA AMALDIÇOADA'!$Q$273&amp;""</f>
        <v/>
      </c>
      <c r="DG34" s="140">
        <f>IF('FICHA AMALDIÇOADA'!$T$272=TRUE,1,0)</f>
        <v/>
      </c>
      <c r="DH34" s="140">
        <f>IF('FICHA AMALDIÇOADA'!$T$273=TRUE,1,0)</f>
        <v/>
      </c>
      <c r="DI34" s="140">
        <f>IF($CY34&lt;&gt;"",1,0)</f>
        <v/>
      </c>
      <c r="DJ34" s="140">
        <f>IFERROR(MATCH($CZ34,$Q$2:$Q$11,0),0)</f>
        <v/>
      </c>
      <c r="DK34" s="140">
        <f>IF($DJ34=0,0,INDEX($T$2:$T$11,$DJ34))</f>
        <v/>
      </c>
      <c r="DL34" s="140">
        <f>IFERROR(VLOOKUP($DA34,$AU$2:$BB$84,4,FALSE),0)</f>
        <v/>
      </c>
      <c r="DM34" s="140">
        <f>IFERROR(VLOOKUP($DB34,$AU$2:$BB$84,4,FALSE),0)</f>
        <v/>
      </c>
      <c r="DN34" s="140">
        <f>IFERROR(VLOOKUP($DC34,$AU$2:$BB$84,4,FALSE),0)</f>
        <v/>
      </c>
      <c r="DO34" s="140">
        <f>IFERROR(VLOOKUP($DD34,$AU$2:$BB$84,4,FALSE),0)</f>
        <v/>
      </c>
      <c r="DP34" s="140">
        <f>IF($DJ34=0,0,INDEX($U$2:$U$11,$DJ34))</f>
        <v/>
      </c>
      <c r="DQ34" s="140">
        <f>IFERROR(VLOOKUP($DA34,$AU$2:$BB$84,5,FALSE),0)</f>
        <v/>
      </c>
      <c r="DR34" s="140">
        <f>IFERROR(VLOOKUP($DB34,$AU$2:$BB$84,5,FALSE),0)</f>
        <v/>
      </c>
      <c r="DS34" s="140">
        <f>IFERROR(VLOOKUP($DC34,$AU$2:$BB$84,5,FALSE),0)</f>
        <v/>
      </c>
      <c r="DT34" s="140">
        <f>IFERROR(VLOOKUP($DD34,$AU$2:$BB$84,5,FALSE),0)</f>
        <v/>
      </c>
      <c r="DU34" s="140">
        <f>IFERROR(VLOOKUP($DA34,$AU$2:$BB$84,6,FALSE),0)+IFERROR(VLOOKUP($DB34,$AU$2:$BB$84,6,FALSE),0)+IFERROR(VLOOKUP($DC34,$AU$2:$BB$84,6,FALSE),0)+IFERROR(VLOOKUP($DD34,$AU$2:$BB$84,6,FALSE),0)</f>
        <v/>
      </c>
      <c r="DV34" s="140">
        <f>IF($DJ34=0,0,INDEX($V$2:$V$11,$DJ34))</f>
        <v/>
      </c>
      <c r="DW34" s="140">
        <f>IF($DJ34=0,0,INDEX($W$2:$W$11,$DJ34))</f>
        <v/>
      </c>
      <c r="DX34" s="140">
        <f>IF($DJ34=0,0,INDEX($Y$2:$Y$11,$DJ34))</f>
        <v/>
      </c>
      <c r="DY34" s="140">
        <f>IF($DG34=1,0,IFERROR(VLOOKUP($DE34,$BD$2:$BH$24,3,FALSE),0))</f>
        <v/>
      </c>
      <c r="DZ34" s="140">
        <f>IF($DH34=1,0,IFERROR(VLOOKUP($DF34,$BD$2:$BH$24,3,FALSE),0))</f>
        <v/>
      </c>
      <c r="EA34" s="140">
        <f>IFERROR(VLOOKUP($DE34,$BD$2:$BH$24,2,FALSE),"")</f>
        <v/>
      </c>
      <c r="EB34" s="140">
        <f>IFERROR(VLOOKUP($DF34,$BD$2:$BH$24,2,FALSE),"")</f>
        <v/>
      </c>
      <c r="EC34" s="140">
        <f>COUNTIF($DK34:$DO34,1)</f>
        <v/>
      </c>
      <c r="ED34" s="140">
        <f>COUNTIF($DK34:$DO34,2)</f>
        <v/>
      </c>
      <c r="EE34" s="140">
        <f>COUNTIF($DK34:$DO34,3)</f>
        <v/>
      </c>
      <c r="EF34" s="140">
        <f>COUNTIF($DK34:$DO34,4)</f>
        <v/>
      </c>
      <c r="EG34" s="140">
        <f>COUNTIF($DK34:$DO34,5)</f>
        <v/>
      </c>
      <c r="EH34" s="140">
        <f>COUNTIF($DK34:$DO34,6)</f>
        <v/>
      </c>
      <c r="EI34" s="140">
        <f>COUNTIF($DY34:$DZ34,1)</f>
        <v/>
      </c>
      <c r="EJ34" s="140">
        <f>COUNTIF($DY34:$DZ34,2)+$DV34</f>
        <v/>
      </c>
      <c r="EK34" s="140">
        <f>COUNTIF($DA34:$DD34,"?*")</f>
        <v/>
      </c>
      <c r="EL34" s="140">
        <f>COUNTIF($DE34:$DF34,"?*")+$DV34</f>
        <v/>
      </c>
      <c r="EM34" s="140">
        <f>SUMPRODUCT($EC34:$EH34,INDEX($I$2:$N$8,$CX34,0))</f>
        <v/>
      </c>
      <c r="EN34" s="140">
        <f>$EI34*CEILING($CX34/2,1)+$EJ34*$CX34</f>
        <v/>
      </c>
      <c r="EO34" s="140">
        <f>MIN(2*$CX34,$EN34)</f>
        <v/>
      </c>
      <c r="EP34" s="140">
        <f>MIN($EO34,$EM34)</f>
        <v/>
      </c>
      <c r="EQ34" s="140">
        <f>$EO34-$EP34</f>
        <v/>
      </c>
      <c r="ER34" s="140">
        <f>3*$CX34-$EM34+$EP34</f>
        <v/>
      </c>
      <c r="ES34" s="140">
        <f>MAX(0,$ER34)+$CV34*$CX34</f>
        <v/>
      </c>
      <c r="ET34" s="140">
        <f>(IF(COUNTIF($DA34:$DD34,"Salto")&gt;0,1,0)+IF(COUNTIF($DA34:$DD34,"Queima")&gt;0,1,0))*FLOOR($ES34/2,1)</f>
        <v/>
      </c>
      <c r="EU34" s="140">
        <f>MAX(0,3-SUMPRODUCT($EC34:$EH34,$I$2:$N$2)+MIN(2,$EI34*1+$EJ34*1,SUMPRODUCT($EC34:$EH34,$I$2:$N$2)))+$CV34*1</f>
        <v/>
      </c>
      <c r="EV34" s="140">
        <f>MAX(0,6-SUMPRODUCT($EC34:$EH34,$I$3:$N$3)+MIN(4,$EI34*1+$EJ34*2,SUMPRODUCT($EC34:$EH34,$I$3:$N$3)))+$CV34*2</f>
        <v/>
      </c>
      <c r="EW34" s="140">
        <f>MAX(0,9-SUMPRODUCT($EC34:$EH34,$I$4:$N$4)+MIN(6,$EI34*2+$EJ34*3,SUMPRODUCT($EC34:$EH34,$I$4:$N$4)))+$CV34*3</f>
        <v/>
      </c>
      <c r="EX34" s="140">
        <f>MAX(0,12-SUMPRODUCT($EC34:$EH34,$I$5:$N$5)+MIN(8,$EI34*2+$EJ34*4,SUMPRODUCT($EC34:$EH34,$I$5:$N$5)))+$CV34*4</f>
        <v/>
      </c>
      <c r="EY34" s="140">
        <f>MAX(0,15-SUMPRODUCT($EC34:$EH34,$I$6:$N$6)+MIN(10,$EI34*3+$EJ34*5,SUMPRODUCT($EC34:$EH34,$I$6:$N$6)))+$CV34*5</f>
        <v/>
      </c>
      <c r="EZ34" s="140">
        <f>MAX(0,18-SUMPRODUCT($EC34:$EH34,$I$7:$N$7)+MIN(12,$EI34*3+$EJ34*6,SUMPRODUCT($EC34:$EH34,$I$7:$N$7)))+$CV34*6</f>
        <v/>
      </c>
      <c r="FA34" s="140">
        <f>MAX(0,21-SUMPRODUCT($EC34:$EH34,$I$8:$N$8)+MIN(14,$EI34*4+$EJ34*7,SUMPRODUCT($EC34:$EH34,$I$8:$N$8)))+$CV34*7</f>
        <v/>
      </c>
      <c r="FB34" s="140">
        <f>IF($DW34=2,3*$EU34&amp;" de vida temp.",IF($DW34=3,"sem dano",IF($EU34=0,IF($DW34=1,"sem cura","sem dano"),IF($DW34=1,"cura ","")&amp;$EU34&amp;"d8")))</f>
        <v/>
      </c>
      <c r="FC34" s="140">
        <f>IF($DW34=2,3*$EV34&amp;" de vida temp.",IF($DW34=3,"sem dano",IF($EV34=0,IF($DW34=1,"sem cura","sem dano"),IF($DW34=1,"cura ","")&amp;$EV34&amp;"d8")))</f>
        <v/>
      </c>
      <c r="FD34" s="140">
        <f>IF($DW34=2,3*$EW34&amp;" de vida temp.",IF($DW34=3,"sem dano",IF($EW34=0,IF($DW34=1,"sem cura","sem dano"),IF($DW34=1,"cura ","")&amp;$EW34&amp;"d8")))</f>
        <v/>
      </c>
      <c r="FE34" s="140">
        <f>IF($DW34=2,3*$EX34&amp;" de vida temp.",IF($DW34=3,"sem dano",IF($EX34=0,IF($DW34=1,"sem cura","sem dano"),IF($DW34=1,"cura ","")&amp;$EX34&amp;"d8")))</f>
        <v/>
      </c>
      <c r="FF34" s="140">
        <f>IF($DW34=2,3*$EY34&amp;" de vida temp.",IF($DW34=3,"sem dano",IF($EY34=0,IF($DW34=1,"sem cura","sem dano"),IF($DW34=1,"cura ","")&amp;$EY34&amp;"d8")))</f>
        <v/>
      </c>
      <c r="FG34" s="140">
        <f>IF($DW34=2,3*$EZ34&amp;" de vida temp.",IF($DW34=3,"sem dano",IF($EZ34=0,IF($DW34=1,"sem cura","sem dano"),IF($DW34=1,"cura ","")&amp;$EZ34&amp;"d8")))</f>
        <v/>
      </c>
      <c r="FH34" s="140">
        <f>IF($DW34=2,3*$FA34&amp;" de vida temp.",IF($DW34=3,"sem dano",IF($FA34=0,IF($DW34=1,"sem cura","sem dano"),IF($DW34=1,"cura ","")&amp;$FA34&amp;"d8")))</f>
        <v/>
      </c>
      <c r="FI34" s="140">
        <f>IF($DI34=0,"",TEXTJOIN(" · ",TRUE,IF(AND($CV34=1,$CW34&gt;$GH$9),"O nível "&amp;$GH$2&amp;" dá "&amp;$GH$9&amp;" Liberação Máxima",""),IF($CX34&gt;$GH$4,"Classe "&amp;$CX34&amp;": o nível "&amp;$GH$2&amp;" libera até a "&amp;$GH$4,""),IF($DP34=1,"Família Fechada: a Forma "&amp;$CZ34,""),IF($DQ34=1,"Família Fechada: "&amp;$DA34,""),IF($DR34=1,"Família Fechada: "&amp;$DB34,""),IF($DS34=1,"Família Fechada: "&amp;$DC34,""),IF($DT34=1,"Família Fechada: "&amp;$DD34,""),IF($EK34&gt;INDEX($O$2:$O$8,$CX34),$EK34&amp;" Melhorias: a Classe "&amp;$CX34&amp;" aceita "&amp;INDEX($O$2:$O$8,$CX34),""),IF($EL34&gt;2,$EL34&amp;" Restrições"&amp;IF($DV34=1,", contando a que a Forma "&amp;$CZ34&amp;" já traz","")&amp;": o limite é 2",""),IF($ER34&lt;0,"Orçamento estourado: faltam "&amp;(-$ER34)&amp;IF($ER34&lt;-1," pontos"," ponto"),""),IF(IFERROR(VLOOKUP($DE34,$BD$2:$BH$24,4,FALSE),0)+IFERROR(VLOOKUP($DF34,$BD$2:$BH$24,4,FALSE),0)&gt;1,$EA34&amp;" e "&amp;$EB34&amp;" são as duas de frequência",""),IF(AND((COUNTIF($DA34:$DD34,"Rápido")+COUNTIF($EA34:$EB34,"Rápido"))&gt;0,(COUNTIF($DA34:$DD34,"Reação")+COUNTIF($EA34:$EB34,"Reação"))&gt;0),"Rápido não entra com Reação",""),IF(AND((COUNTIF($DA34:$DD34,"Rápido")+COUNTIF($EA34:$EB34,"Rápido"))&gt;0,(COUNTIF($DA34:$DD34,"Atrasar")+COUNTIF($EA34:$EB34,"Atrasar"))&gt;0),"Rápido não entra com Atrasar",""),IF(AND((COUNTIF($DA34:$DD34,"Reação")+COUNTIF($EA34:$EB34,"Reação"))&gt;0,(COUNTIF($DA34:$DD34,"Atrasar")+COUNTIF($EA34:$EB34,"Atrasar"))&gt;0),"Reação não entra com Atrasar",""),IF(AND((COUNTIF($DA34:$DD34,"Reação")+COUNTIF($EA34:$EB34,"Reação"))&gt;0,(COUNTIF($DA34:$DD34,"Parado")+COUNTIF($EA34:$EB34,"Parado"))&gt;0),"Reação não entra com Parado",""),IF(AND(COUNTIF($EA34:$EB34,"Corpo a Corpo")&gt;0,$DV34=0,OR($CZ34="Cone",$CZ34="Linha")),"Corpo a Corpo não entra em "&amp;$CZ34,""),IF(AND(COUNTIF($EA34:$EB34,"Corpo a Corpo")&gt;0,$DV34=1),"A Forma "&amp;$CZ34&amp;" já traz o Corpo a Corpo",""),IF(AND(COUNTIF($EA34:$EB34,"Tudo ou Nada")&gt;0,$DX34=0),"Tudo ou Nada só entra em feitiço de Teste de Resistência",""),IF(AND(COUNTIF($DA34:$DD34,"Inescapável")&gt;0,OR($EK34&gt;1,$EL34&gt;0)),"Inescapável não aceita outra peça",""),IF(AND($CV34=1,$CX34&lt;3),"Liberação Máxima é de Classe 3 ou mais",""),IF(AND($CV34=1,OR($DW34=1,$DW34=2)),"Liberação Máxima não serve para cura",""),IF(AND($CV34=1,COUNTIF($DA34:$DD34,"Inescapável")+COUNTIF($DA34:$DD34,"Toca a Alma")&gt;0),"Esta peça não entra numa Liberação Máxima",""),IF($ES34+$ET34&gt;4*$CX34,($ES34+$ET34)&amp;" dados somando alvos e repetições: o teto da Classe "&amp;$CX34&amp;" é "&amp;4*$CX34,"")))</f>
        <v/>
      </c>
      <c r="FJ34" s="140">
        <f>IF($FI34="",0,(LEN($FI34)-LEN(SUBSTITUTE($FI34," · ","")))/3+1)</f>
        <v/>
      </c>
      <c r="FK34" s="140">
        <f>IF($DI34=0,"",TEXTJOIN(" · ",TRUE,IF($EN34&gt;2*$CX34,"A devolução parou no teto de "&amp;2*$CX34,""),IF($EQ34&gt;0,"Devolução perdida: "&amp;$EQ34&amp;IF($EQ34&gt;1," pontos"," ponto")&amp;" sem peça para pagar",""),IF(AND($DU34&gt;0,$ES34=0),"Controle sem dano: uma rodada a mais e CD +2",""),IF(AND($DU34&gt;0,$ES34&gt;0,$ES34&lt;=$CX34),"Controle com um quarto do teto: uma rodada a mais","")))</f>
        <v/>
      </c>
      <c r="FL34" s="140">
        <f>IF($FK34="",0,(LEN($FK34)-LEN(SUBSTITUTE($FK34," · ","")))/3+1)</f>
        <v/>
      </c>
      <c r="FM34" s="140">
        <f>IF($DI34=0,IF($EK34+$EL34-$DV34&gt;0,"dê um nome",""),IF($FJ34&gt;0,"⚠ "&amp;$FJ34&amp;IF($FJ34&gt;1," erros"," erro"),IF($FL34&gt;0,"! "&amp;$FL34&amp;IF($FL34&gt;1," avisos"," aviso"),"na regra")))</f>
        <v/>
      </c>
      <c r="FN34" s="140">
        <f>IF($DI34=0,"",IF($FJ34+$FL34=0,"Dentro das regras que a ficha confere",$FI34&amp;IF(AND($FJ34&gt;0,$FL34&gt;0)," · ","")&amp;$FK34))</f>
        <v/>
      </c>
      <c r="FO34" s="140">
        <f>IF($DI34=0,"",IF($CV34=1,CEILING(4.5*$CX34,1),3*$CX34)&amp;" PE")</f>
        <v/>
      </c>
      <c r="FP34" s="140">
        <f>IF($DI34=0,"",IF($CV34=1,"Rodada inteira",IF(COUNTIF($EA34:$EB34,"Atrasar")&gt;0,IF(COUNTIF($EA34:$EB34,"Carregar")&gt;0,"Rodada +1 turno","Rodada inteira"),IF(COUNTIF($DA34:$DD34,"Rápido")&gt;0,"Bônus",IF(COUNTIF($DA34:$DD34,"Reação")&gt;0,"Reação","Padrão"))&amp;IF(COUNTIF($EA34:$EB34,"Carregar")&gt;0," +1 turno",""))))</f>
        <v/>
      </c>
      <c r="FQ34" s="140">
        <f>IF(OR($DI34=0,$DJ34=0),"",IF(COUNTIF($DA34:$DD34,"Inescapável")&gt;0,"Automático",IF(COUNTIF($DA34:$DD34,"Certeiro")&gt;0,"TR para metade",INDEX($X$2:$X$11,$DJ34))))</f>
        <v/>
      </c>
      <c r="FR34" s="140">
        <f>IF(OR($DI34=0,$DJ34=0),"",IF(OR($DW34&gt;=2,$ES34=0),INDEX($FB34:$FH34,1,$CX34),INDEX($FB34:$FH34,1,$CX34)&amp;" = "&amp;FLOOR($ES34*4.5,1)&amp;IF($ET34&gt;0," · +"&amp;$ET34&amp;"d8","")))</f>
        <v/>
      </c>
      <c r="FS34" s="140">
        <f>COUNTIF($DA34:$DD34,"Longe")+3*COUNTIF($DA34:$DD34,"Muito Longe")</f>
        <v/>
      </c>
      <c r="FT34" s="140">
        <f>COUNTIF($DA34:$DD34,"Maior")+3*COUNTIF($DA34:$DD34,"Muito Maior")</f>
        <v/>
      </c>
      <c r="FU34" s="140">
        <f>IF($DJ34=0,0,CHOOSE(1+INDEX($Z$2:$Z$11,$DJ34),0,$FS34,$FT34,$FS34+$FT34))</f>
        <v/>
      </c>
      <c r="FV34" s="140">
        <f>IF($DJ34=0,0,CHOOSE(1+INDEX($AA$2:$AA$11,$DJ34),0,$FS34,$FT34,$FS34+$FT34))</f>
        <v/>
      </c>
      <c r="FW34" s="140">
        <f>IF(OR($DI34=0,$DJ34=0),"",INDEX($AH$2:$AM$31,($DJ34-1)*3+IF($CX34&gt;=6,3,2),1+MIN(5,$FU34))&amp;INDEX($AN$2:$AS$31,($DJ34-1)*3+IF($CX34&gt;=6,3,2),1+MIN(5,$FV34))&amp;IF(INDEX($AB$2:$AB$11,$DJ34)=1,IF(COUNTIF($DA34:$DD34,"Mais Um")&gt;0," · +"&amp;COUNTIF($DA34:$DD34,"Mais Um")&amp;IF(COUNTIF($DA34:$DD34,"Mais Um")&gt;1," alvos"," alvo"),"")&amp;IF(COUNTIF($DA34:$DD34,"Rajada")&gt;0," · "&amp;($CX34+1)&amp;" tiros",""),""))</f>
        <v/>
      </c>
      <c r="FX34" s="140">
        <f>IF($DI34=0,"",3*$CX34&amp;" − "&amp;$EM34&amp;" + "&amp;$EP34&amp;IF($CV34=1," + "&amp;$CX34,"")&amp;" = "&amp;$ES34&amp;"d8 · teto "&amp;4*$CX34&amp;IF($DV34=1," · a Forma devolve "&amp;$CX34,"")&amp;IF($EQ34&gt;0," · perde "&amp;$EQ34,""))</f>
        <v/>
      </c>
      <c r="FY34" s="140">
        <f>IF($DI34=0,"",IF($CX34&gt;=$GH$4,"Já está na maior Classe que o nível liberou",TEXTJOIN(" · ",TRUE,IF(AND(2&gt;$CX34,2&lt;=$GH$4),"2 → "&amp;$FC34&amp;", "&amp;IF($CV34=1,9,6)&amp;" PE",""),IF(AND(3&gt;$CX34,3&lt;=$GH$4),"3 → "&amp;$FD34&amp;", "&amp;IF($CV34=1,14,9)&amp;" PE",""),IF(AND(4&gt;$CX34,4&lt;=$GH$4),"4 → "&amp;$FE34&amp;", "&amp;IF($CV34=1,18,12)&amp;" PE",""),IF(AND(5&gt;$CX34,5&lt;=$GH$4),"5 → "&amp;$FF34&amp;", "&amp;IF($CV34=1,23,15)&amp;" PE",""),IF(AND(6&gt;$CX34,6&lt;=$GH$4),"6 → "&amp;$FG34&amp;", "&amp;IF($CV34=1,27,18)&amp;" PE",""),IF(AND(7&gt;$CX34,7&lt;=$GH$4),"7 → "&amp;$FH34&amp;", "&amp;IF($CV34=1,32,21)&amp;" PE",""))))</f>
        <v/>
      </c>
      <c r="FZ34" s="140">
        <f>IF(OR($DI34=0,$DL34=0),"","−"&amp;INDEX($I$2:$N$8,$CX34,$DL34)&amp;" · "&amp;CHOOSE($DL34,"Leve","Média","Pesada","Leve · Livre","Média · Livre","Pesada · Livre"))</f>
        <v/>
      </c>
      <c r="GA34" s="140">
        <f>IF(OR($DI34=0,$DM34=0),"","−"&amp;INDEX($I$2:$N$8,$CX34,$DM34)&amp;" · "&amp;CHOOSE($DM34,"Leve","Média","Pesada","Leve · Livre","Média · Livre","Pesada · Livre"))</f>
        <v/>
      </c>
      <c r="GB34" s="140">
        <f>IF(OR($DI34=0,$DN34=0),"","−"&amp;INDEX($I$2:$N$8,$CX34,$DN34)&amp;" · "&amp;CHOOSE($DN34,"Leve","Média","Pesada","Leve · Livre","Média · Livre","Pesada · Livre"))</f>
        <v/>
      </c>
      <c r="GC34" s="140">
        <f>IF(OR($DI34=0,$DO34=0),"","−"&amp;INDEX($I$2:$N$8,$CX34,$DO34)&amp;" · "&amp;CHOOSE($DO34,"Leve","Média","Pesada","Leve · Livre","Média · Livre","Pesada · Livre"))</f>
        <v/>
      </c>
      <c r="GD34" s="140">
        <f>IF(OR($DI34=0,$DE34=""),"",IF($DG34=1,"Selo","+"&amp;IF($DY34=1,CEILING($CX34/2,1),$CX34)))</f>
        <v/>
      </c>
      <c r="GE34" s="140">
        <f>IF(OR($DI34=0,$DF34=""),"",IF($DH34=1,"Selo","+"&amp;IF($DZ34=1,CEILING($CX34/2,1),$CX34)))</f>
        <v/>
      </c>
      <c r="GG34" s="114" t="inlineStr">
        <is>
          <t>degrau do domínio</t>
        </is>
      </c>
      <c r="GH34" s="140">
        <f>'FICHA AMALDIÇOADA'!$D$351&amp;""</f>
        <v/>
      </c>
    </row>
    <row r="35">
      <c r="AU35" s="114" t="inlineStr">
        <is>
          <t>Firmeza</t>
        </is>
      </c>
      <c r="AV35" s="114" t="inlineStr">
        <is>
          <t>Auxiliares</t>
        </is>
      </c>
      <c r="AW35" s="140" t="n">
        <v>2</v>
      </c>
      <c r="AX35" s="140">
        <f>$AW35+3*IFERROR(VLOOKUP($AV35,$A$2:$D$10,3,FALSE),0)</f>
        <v/>
      </c>
      <c r="AY35" s="140">
        <f>IFERROR(VLOOKUP($AV35,$A$2:$D$10,4,FALSE),0)</f>
        <v/>
      </c>
      <c r="AZ35" s="140" t="n">
        <v>0</v>
      </c>
      <c r="BA35" s="140">
        <f>IF($AY35=1,"",$AU35)</f>
        <v/>
      </c>
      <c r="BB35" s="140">
        <f>IF(AND($AW35=1,$AY35=0),$AU35,"")</f>
        <v/>
      </c>
      <c r="CU35" s="114" t="inlineStr">
        <is>
          <t>Feitiço 34</t>
        </is>
      </c>
      <c r="CV35" s="140" t="n">
        <v>0</v>
      </c>
      <c r="CW35" s="140" t="n">
        <v>34</v>
      </c>
      <c r="CX35" s="140">
        <f>MAX(1,MIN(7,N('FICHA AMALDIÇOADA'!$D$280)))</f>
        <v/>
      </c>
      <c r="CY35" s="140">
        <f>'FICHA AMALDIÇOADA'!$E$280&amp;""</f>
        <v/>
      </c>
      <c r="CZ35" s="140">
        <f>'FICHA AMALDIÇOADA'!$D$287&amp;""</f>
        <v/>
      </c>
      <c r="DA35" s="140">
        <f>'FICHA AMALDIÇOADA'!$E$289&amp;""</f>
        <v/>
      </c>
      <c r="DB35" s="140">
        <f>'FICHA AMALDIÇOADA'!$E$290&amp;""</f>
        <v/>
      </c>
      <c r="DC35" s="140">
        <f>'FICHA AMALDIÇOADA'!$E$291&amp;""</f>
        <v/>
      </c>
      <c r="DD35" s="140">
        <f>'FICHA AMALDIÇOADA'!$E$292&amp;""</f>
        <v/>
      </c>
      <c r="DE35" s="140">
        <f>'FICHA AMALDIÇOADA'!$E$293&amp;""</f>
        <v/>
      </c>
      <c r="DF35" s="140">
        <f>'FICHA AMALDIÇOADA'!$E$294&amp;""</f>
        <v/>
      </c>
      <c r="DG35" s="140">
        <f>IF('FICHA AMALDIÇOADA'!$H$293=TRUE,1,0)</f>
        <v/>
      </c>
      <c r="DH35" s="140">
        <f>IF('FICHA AMALDIÇOADA'!$H$294=TRUE,1,0)</f>
        <v/>
      </c>
      <c r="DI35" s="140">
        <f>IF($CY35&lt;&gt;"",1,0)</f>
        <v/>
      </c>
      <c r="DJ35" s="140">
        <f>IFERROR(MATCH($CZ35,$Q$2:$Q$11,0),0)</f>
        <v/>
      </c>
      <c r="DK35" s="140">
        <f>IF($DJ35=0,0,INDEX($T$2:$T$11,$DJ35))</f>
        <v/>
      </c>
      <c r="DL35" s="140">
        <f>IFERROR(VLOOKUP($DA35,$AU$2:$BB$84,4,FALSE),0)</f>
        <v/>
      </c>
      <c r="DM35" s="140">
        <f>IFERROR(VLOOKUP($DB35,$AU$2:$BB$84,4,FALSE),0)</f>
        <v/>
      </c>
      <c r="DN35" s="140">
        <f>IFERROR(VLOOKUP($DC35,$AU$2:$BB$84,4,FALSE),0)</f>
        <v/>
      </c>
      <c r="DO35" s="140">
        <f>IFERROR(VLOOKUP($DD35,$AU$2:$BB$84,4,FALSE),0)</f>
        <v/>
      </c>
      <c r="DP35" s="140">
        <f>IF($DJ35=0,0,INDEX($U$2:$U$11,$DJ35))</f>
        <v/>
      </c>
      <c r="DQ35" s="140">
        <f>IFERROR(VLOOKUP($DA35,$AU$2:$BB$84,5,FALSE),0)</f>
        <v/>
      </c>
      <c r="DR35" s="140">
        <f>IFERROR(VLOOKUP($DB35,$AU$2:$BB$84,5,FALSE),0)</f>
        <v/>
      </c>
      <c r="DS35" s="140">
        <f>IFERROR(VLOOKUP($DC35,$AU$2:$BB$84,5,FALSE),0)</f>
        <v/>
      </c>
      <c r="DT35" s="140">
        <f>IFERROR(VLOOKUP($DD35,$AU$2:$BB$84,5,FALSE),0)</f>
        <v/>
      </c>
      <c r="DU35" s="140">
        <f>IFERROR(VLOOKUP($DA35,$AU$2:$BB$84,6,FALSE),0)+IFERROR(VLOOKUP($DB35,$AU$2:$BB$84,6,FALSE),0)+IFERROR(VLOOKUP($DC35,$AU$2:$BB$84,6,FALSE),0)+IFERROR(VLOOKUP($DD35,$AU$2:$BB$84,6,FALSE),0)</f>
        <v/>
      </c>
      <c r="DV35" s="140">
        <f>IF($DJ35=0,0,INDEX($V$2:$V$11,$DJ35))</f>
        <v/>
      </c>
      <c r="DW35" s="140">
        <f>IF($DJ35=0,0,INDEX($W$2:$W$11,$DJ35))</f>
        <v/>
      </c>
      <c r="DX35" s="140">
        <f>IF($DJ35=0,0,INDEX($Y$2:$Y$11,$DJ35))</f>
        <v/>
      </c>
      <c r="DY35" s="140">
        <f>IF($DG35=1,0,IFERROR(VLOOKUP($DE35,$BD$2:$BH$24,3,FALSE),0))</f>
        <v/>
      </c>
      <c r="DZ35" s="140">
        <f>IF($DH35=1,0,IFERROR(VLOOKUP($DF35,$BD$2:$BH$24,3,FALSE),0))</f>
        <v/>
      </c>
      <c r="EA35" s="140">
        <f>IFERROR(VLOOKUP($DE35,$BD$2:$BH$24,2,FALSE),"")</f>
        <v/>
      </c>
      <c r="EB35" s="140">
        <f>IFERROR(VLOOKUP($DF35,$BD$2:$BH$24,2,FALSE),"")</f>
        <v/>
      </c>
      <c r="EC35" s="140">
        <f>COUNTIF($DK35:$DO35,1)</f>
        <v/>
      </c>
      <c r="ED35" s="140">
        <f>COUNTIF($DK35:$DO35,2)</f>
        <v/>
      </c>
      <c r="EE35" s="140">
        <f>COUNTIF($DK35:$DO35,3)</f>
        <v/>
      </c>
      <c r="EF35" s="140">
        <f>COUNTIF($DK35:$DO35,4)</f>
        <v/>
      </c>
      <c r="EG35" s="140">
        <f>COUNTIF($DK35:$DO35,5)</f>
        <v/>
      </c>
      <c r="EH35" s="140">
        <f>COUNTIF($DK35:$DO35,6)</f>
        <v/>
      </c>
      <c r="EI35" s="140">
        <f>COUNTIF($DY35:$DZ35,1)</f>
        <v/>
      </c>
      <c r="EJ35" s="140">
        <f>COUNTIF($DY35:$DZ35,2)+$DV35</f>
        <v/>
      </c>
      <c r="EK35" s="140">
        <f>COUNTIF($DA35:$DD35,"?*")</f>
        <v/>
      </c>
      <c r="EL35" s="140">
        <f>COUNTIF($DE35:$DF35,"?*")+$DV35</f>
        <v/>
      </c>
      <c r="EM35" s="140">
        <f>SUMPRODUCT($EC35:$EH35,INDEX($I$2:$N$8,$CX35,0))</f>
        <v/>
      </c>
      <c r="EN35" s="140">
        <f>$EI35*CEILING($CX35/2,1)+$EJ35*$CX35</f>
        <v/>
      </c>
      <c r="EO35" s="140">
        <f>MIN(2*$CX35,$EN35)</f>
        <v/>
      </c>
      <c r="EP35" s="140">
        <f>MIN($EO35,$EM35)</f>
        <v/>
      </c>
      <c r="EQ35" s="140">
        <f>$EO35-$EP35</f>
        <v/>
      </c>
      <c r="ER35" s="140">
        <f>3*$CX35-$EM35+$EP35</f>
        <v/>
      </c>
      <c r="ES35" s="140">
        <f>MAX(0,$ER35)+$CV35*$CX35</f>
        <v/>
      </c>
      <c r="ET35" s="140">
        <f>(IF(COUNTIF($DA35:$DD35,"Salto")&gt;0,1,0)+IF(COUNTIF($DA35:$DD35,"Queima")&gt;0,1,0))*FLOOR($ES35/2,1)</f>
        <v/>
      </c>
      <c r="EU35" s="140">
        <f>MAX(0,3-SUMPRODUCT($EC35:$EH35,$I$2:$N$2)+MIN(2,$EI35*1+$EJ35*1,SUMPRODUCT($EC35:$EH35,$I$2:$N$2)))+$CV35*1</f>
        <v/>
      </c>
      <c r="EV35" s="140">
        <f>MAX(0,6-SUMPRODUCT($EC35:$EH35,$I$3:$N$3)+MIN(4,$EI35*1+$EJ35*2,SUMPRODUCT($EC35:$EH35,$I$3:$N$3)))+$CV35*2</f>
        <v/>
      </c>
      <c r="EW35" s="140">
        <f>MAX(0,9-SUMPRODUCT($EC35:$EH35,$I$4:$N$4)+MIN(6,$EI35*2+$EJ35*3,SUMPRODUCT($EC35:$EH35,$I$4:$N$4)))+$CV35*3</f>
        <v/>
      </c>
      <c r="EX35" s="140">
        <f>MAX(0,12-SUMPRODUCT($EC35:$EH35,$I$5:$N$5)+MIN(8,$EI35*2+$EJ35*4,SUMPRODUCT($EC35:$EH35,$I$5:$N$5)))+$CV35*4</f>
        <v/>
      </c>
      <c r="EY35" s="140">
        <f>MAX(0,15-SUMPRODUCT($EC35:$EH35,$I$6:$N$6)+MIN(10,$EI35*3+$EJ35*5,SUMPRODUCT($EC35:$EH35,$I$6:$N$6)))+$CV35*5</f>
        <v/>
      </c>
      <c r="EZ35" s="140">
        <f>MAX(0,18-SUMPRODUCT($EC35:$EH35,$I$7:$N$7)+MIN(12,$EI35*3+$EJ35*6,SUMPRODUCT($EC35:$EH35,$I$7:$N$7)))+$CV35*6</f>
        <v/>
      </c>
      <c r="FA35" s="140">
        <f>MAX(0,21-SUMPRODUCT($EC35:$EH35,$I$8:$N$8)+MIN(14,$EI35*4+$EJ35*7,SUMPRODUCT($EC35:$EH35,$I$8:$N$8)))+$CV35*7</f>
        <v/>
      </c>
      <c r="FB35" s="140">
        <f>IF($DW35=2,3*$EU35&amp;" de vida temp.",IF($DW35=3,"sem dano",IF($EU35=0,IF($DW35=1,"sem cura","sem dano"),IF($DW35=1,"cura ","")&amp;$EU35&amp;"d8")))</f>
        <v/>
      </c>
      <c r="FC35" s="140">
        <f>IF($DW35=2,3*$EV35&amp;" de vida temp.",IF($DW35=3,"sem dano",IF($EV35=0,IF($DW35=1,"sem cura","sem dano"),IF($DW35=1,"cura ","")&amp;$EV35&amp;"d8")))</f>
        <v/>
      </c>
      <c r="FD35" s="140">
        <f>IF($DW35=2,3*$EW35&amp;" de vida temp.",IF($DW35=3,"sem dano",IF($EW35=0,IF($DW35=1,"sem cura","sem dano"),IF($DW35=1,"cura ","")&amp;$EW35&amp;"d8")))</f>
        <v/>
      </c>
      <c r="FE35" s="140">
        <f>IF($DW35=2,3*$EX35&amp;" de vida temp.",IF($DW35=3,"sem dano",IF($EX35=0,IF($DW35=1,"sem cura","sem dano"),IF($DW35=1,"cura ","")&amp;$EX35&amp;"d8")))</f>
        <v/>
      </c>
      <c r="FF35" s="140">
        <f>IF($DW35=2,3*$EY35&amp;" de vida temp.",IF($DW35=3,"sem dano",IF($EY35=0,IF($DW35=1,"sem cura","sem dano"),IF($DW35=1,"cura ","")&amp;$EY35&amp;"d8")))</f>
        <v/>
      </c>
      <c r="FG35" s="140">
        <f>IF($DW35=2,3*$EZ35&amp;" de vida temp.",IF($DW35=3,"sem dano",IF($EZ35=0,IF($DW35=1,"sem cura","sem dano"),IF($DW35=1,"cura ","")&amp;$EZ35&amp;"d8")))</f>
        <v/>
      </c>
      <c r="FH35" s="140">
        <f>IF($DW35=2,3*$FA35&amp;" de vida temp.",IF($DW35=3,"sem dano",IF($FA35=0,IF($DW35=1,"sem cura","sem dano"),IF($DW35=1,"cura ","")&amp;$FA35&amp;"d8")))</f>
        <v/>
      </c>
      <c r="FI35" s="140">
        <f>IF($DI35=0,"",TEXTJOIN(" · ",TRUE,IF(AND($CV35=1,$CW35&gt;$GH$9),"O nível "&amp;$GH$2&amp;" dá "&amp;$GH$9&amp;" Liberação Máxima",""),IF($CX35&gt;$GH$4,"Classe "&amp;$CX35&amp;": o nível "&amp;$GH$2&amp;" libera até a "&amp;$GH$4,""),IF($DP35=1,"Família Fechada: a Forma "&amp;$CZ35,""),IF($DQ35=1,"Família Fechada: "&amp;$DA35,""),IF($DR35=1,"Família Fechada: "&amp;$DB35,""),IF($DS35=1,"Família Fechada: "&amp;$DC35,""),IF($DT35=1,"Família Fechada: "&amp;$DD35,""),IF($EK35&gt;INDEX($O$2:$O$8,$CX35),$EK35&amp;" Melhorias: a Classe "&amp;$CX35&amp;" aceita "&amp;INDEX($O$2:$O$8,$CX35),""),IF($EL35&gt;2,$EL35&amp;" Restrições"&amp;IF($DV35=1,", contando a que a Forma "&amp;$CZ35&amp;" já traz","")&amp;": o limite é 2",""),IF($ER35&lt;0,"Orçamento estourado: faltam "&amp;(-$ER35)&amp;IF($ER35&lt;-1," pontos"," ponto"),""),IF(IFERROR(VLOOKUP($DE35,$BD$2:$BH$24,4,FALSE),0)+IFERROR(VLOOKUP($DF35,$BD$2:$BH$24,4,FALSE),0)&gt;1,$EA35&amp;" e "&amp;$EB35&amp;" são as duas de frequência",""),IF(AND((COUNTIF($DA35:$DD35,"Rápido")+COUNTIF($EA35:$EB35,"Rápido"))&gt;0,(COUNTIF($DA35:$DD35,"Reação")+COUNTIF($EA35:$EB35,"Reação"))&gt;0),"Rápido não entra com Reação",""),IF(AND((COUNTIF($DA35:$DD35,"Rápido")+COUNTIF($EA35:$EB35,"Rápido"))&gt;0,(COUNTIF($DA35:$DD35,"Atrasar")+COUNTIF($EA35:$EB35,"Atrasar"))&gt;0),"Rápido não entra com Atrasar",""),IF(AND((COUNTIF($DA35:$DD35,"Reação")+COUNTIF($EA35:$EB35,"Reação"))&gt;0,(COUNTIF($DA35:$DD35,"Atrasar")+COUNTIF($EA35:$EB35,"Atrasar"))&gt;0),"Reação não entra com Atrasar",""),IF(AND((COUNTIF($DA35:$DD35,"Reação")+COUNTIF($EA35:$EB35,"Reação"))&gt;0,(COUNTIF($DA35:$DD35,"Parado")+COUNTIF($EA35:$EB35,"Parado"))&gt;0),"Reação não entra com Parado",""),IF(AND(COUNTIF($EA35:$EB35,"Corpo a Corpo")&gt;0,$DV35=0,OR($CZ35="Cone",$CZ35="Linha")),"Corpo a Corpo não entra em "&amp;$CZ35,""),IF(AND(COUNTIF($EA35:$EB35,"Corpo a Corpo")&gt;0,$DV35=1),"A Forma "&amp;$CZ35&amp;" já traz o Corpo a Corpo",""),IF(AND(COUNTIF($EA35:$EB35,"Tudo ou Nada")&gt;0,$DX35=0),"Tudo ou Nada só entra em feitiço de Teste de Resistência",""),IF(AND(COUNTIF($DA35:$DD35,"Inescapável")&gt;0,OR($EK35&gt;1,$EL35&gt;0)),"Inescapável não aceita outra peça",""),IF(AND($CV35=1,$CX35&lt;3),"Liberação Máxima é de Classe 3 ou mais",""),IF(AND($CV35=1,OR($DW35=1,$DW35=2)),"Liberação Máxima não serve para cura",""),IF(AND($CV35=1,COUNTIF($DA35:$DD35,"Inescapável")+COUNTIF($DA35:$DD35,"Toca a Alma")&gt;0),"Esta peça não entra numa Liberação Máxima",""),IF($ES35+$ET35&gt;4*$CX35,($ES35+$ET35)&amp;" dados somando alvos e repetições: o teto da Classe "&amp;$CX35&amp;" é "&amp;4*$CX35,"")))</f>
        <v/>
      </c>
      <c r="FJ35" s="140">
        <f>IF($FI35="",0,(LEN($FI35)-LEN(SUBSTITUTE($FI35," · ","")))/3+1)</f>
        <v/>
      </c>
      <c r="FK35" s="140">
        <f>IF($DI35=0,"",TEXTJOIN(" · ",TRUE,IF($EN35&gt;2*$CX35,"A devolução parou no teto de "&amp;2*$CX35,""),IF($EQ35&gt;0,"Devolução perdida: "&amp;$EQ35&amp;IF($EQ35&gt;1," pontos"," ponto")&amp;" sem peça para pagar",""),IF(AND($DU35&gt;0,$ES35=0),"Controle sem dano: uma rodada a mais e CD +2",""),IF(AND($DU35&gt;0,$ES35&gt;0,$ES35&lt;=$CX35),"Controle com um quarto do teto: uma rodada a mais","")))</f>
        <v/>
      </c>
      <c r="FL35" s="140">
        <f>IF($FK35="",0,(LEN($FK35)-LEN(SUBSTITUTE($FK35," · ","")))/3+1)</f>
        <v/>
      </c>
      <c r="FM35" s="140">
        <f>IF($DI35=0,IF($EK35+$EL35-$DV35&gt;0,"dê um nome",""),IF($FJ35&gt;0,"⚠ "&amp;$FJ35&amp;IF($FJ35&gt;1," erros"," erro"),IF($FL35&gt;0,"! "&amp;$FL35&amp;IF($FL35&gt;1," avisos"," aviso"),"na regra")))</f>
        <v/>
      </c>
      <c r="FN35" s="140">
        <f>IF($DI35=0,"",IF($FJ35+$FL35=0,"Dentro das regras que a ficha confere",$FI35&amp;IF(AND($FJ35&gt;0,$FL35&gt;0)," · ","")&amp;$FK35))</f>
        <v/>
      </c>
      <c r="FO35" s="140">
        <f>IF($DI35=0,"",IF($CV35=1,CEILING(4.5*$CX35,1),3*$CX35)&amp;" PE")</f>
        <v/>
      </c>
      <c r="FP35" s="140">
        <f>IF($DI35=0,"",IF($CV35=1,"Rodada inteira",IF(COUNTIF($EA35:$EB35,"Atrasar")&gt;0,IF(COUNTIF($EA35:$EB35,"Carregar")&gt;0,"Rodada +1 turno","Rodada inteira"),IF(COUNTIF($DA35:$DD35,"Rápido")&gt;0,"Bônus",IF(COUNTIF($DA35:$DD35,"Reação")&gt;0,"Reação","Padrão"))&amp;IF(COUNTIF($EA35:$EB35,"Carregar")&gt;0," +1 turno",""))))</f>
        <v/>
      </c>
      <c r="FQ35" s="140">
        <f>IF(OR($DI35=0,$DJ35=0),"",IF(COUNTIF($DA35:$DD35,"Inescapável")&gt;0,"Automático",IF(COUNTIF($DA35:$DD35,"Certeiro")&gt;0,"TR para metade",INDEX($X$2:$X$11,$DJ35))))</f>
        <v/>
      </c>
      <c r="FR35" s="140">
        <f>IF(OR($DI35=0,$DJ35=0),"",IF(OR($DW35&gt;=2,$ES35=0),INDEX($FB35:$FH35,1,$CX35),INDEX($FB35:$FH35,1,$CX35)&amp;" = "&amp;FLOOR($ES35*4.5,1)&amp;IF($ET35&gt;0," · +"&amp;$ET35&amp;"d8","")))</f>
        <v/>
      </c>
      <c r="FS35" s="140">
        <f>COUNTIF($DA35:$DD35,"Longe")+3*COUNTIF($DA35:$DD35,"Muito Longe")</f>
        <v/>
      </c>
      <c r="FT35" s="140">
        <f>COUNTIF($DA35:$DD35,"Maior")+3*COUNTIF($DA35:$DD35,"Muito Maior")</f>
        <v/>
      </c>
      <c r="FU35" s="140">
        <f>IF($DJ35=0,0,CHOOSE(1+INDEX($Z$2:$Z$11,$DJ35),0,$FS35,$FT35,$FS35+$FT35))</f>
        <v/>
      </c>
      <c r="FV35" s="140">
        <f>IF($DJ35=0,0,CHOOSE(1+INDEX($AA$2:$AA$11,$DJ35),0,$FS35,$FT35,$FS35+$FT35))</f>
        <v/>
      </c>
      <c r="FW35" s="140">
        <f>IF(OR($DI35=0,$DJ35=0),"",INDEX($AH$2:$AM$31,($DJ35-1)*3+IF($CX35&gt;=6,3,2),1+MIN(5,$FU35))&amp;INDEX($AN$2:$AS$31,($DJ35-1)*3+IF($CX35&gt;=6,3,2),1+MIN(5,$FV35))&amp;IF(INDEX($AB$2:$AB$11,$DJ35)=1,IF(COUNTIF($DA35:$DD35,"Mais Um")&gt;0," · +"&amp;COUNTIF($DA35:$DD35,"Mais Um")&amp;IF(COUNTIF($DA35:$DD35,"Mais Um")&gt;1," alvos"," alvo"),"")&amp;IF(COUNTIF($DA35:$DD35,"Rajada")&gt;0," · "&amp;($CX35+1)&amp;" tiros",""),""))</f>
        <v/>
      </c>
      <c r="FX35" s="140">
        <f>IF($DI35=0,"",3*$CX35&amp;" − "&amp;$EM35&amp;" + "&amp;$EP35&amp;IF($CV35=1," + "&amp;$CX35,"")&amp;" = "&amp;$ES35&amp;"d8 · teto "&amp;4*$CX35&amp;IF($DV35=1," · a Forma devolve "&amp;$CX35,"")&amp;IF($EQ35&gt;0," · perde "&amp;$EQ35,""))</f>
        <v/>
      </c>
      <c r="FY35" s="140">
        <f>IF($DI35=0,"",IF($CX35&gt;=$GH$4,"Já está na maior Classe que o nível liberou",TEXTJOIN(" · ",TRUE,IF(AND(2&gt;$CX35,2&lt;=$GH$4),"2 → "&amp;$FC35&amp;", "&amp;IF($CV35=1,9,6)&amp;" PE",""),IF(AND(3&gt;$CX35,3&lt;=$GH$4),"3 → "&amp;$FD35&amp;", "&amp;IF($CV35=1,14,9)&amp;" PE",""),IF(AND(4&gt;$CX35,4&lt;=$GH$4),"4 → "&amp;$FE35&amp;", "&amp;IF($CV35=1,18,12)&amp;" PE",""),IF(AND(5&gt;$CX35,5&lt;=$GH$4),"5 → "&amp;$FF35&amp;", "&amp;IF($CV35=1,23,15)&amp;" PE",""),IF(AND(6&gt;$CX35,6&lt;=$GH$4),"6 → "&amp;$FG35&amp;", "&amp;IF($CV35=1,27,18)&amp;" PE",""),IF(AND(7&gt;$CX35,7&lt;=$GH$4),"7 → "&amp;$FH35&amp;", "&amp;IF($CV35=1,32,21)&amp;" PE",""))))</f>
        <v/>
      </c>
      <c r="FZ35" s="140">
        <f>IF(OR($DI35=0,$DL35=0),"","−"&amp;INDEX($I$2:$N$8,$CX35,$DL35)&amp;" · "&amp;CHOOSE($DL35,"Leve","Média","Pesada","Leve · Livre","Média · Livre","Pesada · Livre"))</f>
        <v/>
      </c>
      <c r="GA35" s="140">
        <f>IF(OR($DI35=0,$DM35=0),"","−"&amp;INDEX($I$2:$N$8,$CX35,$DM35)&amp;" · "&amp;CHOOSE($DM35,"Leve","Média","Pesada","Leve · Livre","Média · Livre","Pesada · Livre"))</f>
        <v/>
      </c>
      <c r="GB35" s="140">
        <f>IF(OR($DI35=0,$DN35=0),"","−"&amp;INDEX($I$2:$N$8,$CX35,$DN35)&amp;" · "&amp;CHOOSE($DN35,"Leve","Média","Pesada","Leve · Livre","Média · Livre","Pesada · Livre"))</f>
        <v/>
      </c>
      <c r="GC35" s="140">
        <f>IF(OR($DI35=0,$DO35=0),"","−"&amp;INDEX($I$2:$N$8,$CX35,$DO35)&amp;" · "&amp;CHOOSE($DO35,"Leve","Média","Pesada","Leve · Livre","Média · Livre","Pesada · Livre"))</f>
        <v/>
      </c>
      <c r="GD35" s="140">
        <f>IF(OR($DI35=0,$DE35=""),"",IF($DG35=1,"Selo","+"&amp;IF($DY35=1,CEILING($CX35/2,1),$CX35)))</f>
        <v/>
      </c>
      <c r="GE35" s="140">
        <f>IF(OR($DI35=0,$DF35=""),"",IF($DH35=1,"Selo","+"&amp;IF($DZ35=1,CEILING($CX35/2,1),$CX35)))</f>
        <v/>
      </c>
      <c r="GG35" s="114" t="inlineStr">
        <is>
          <t>dados da técnica máxima</t>
        </is>
      </c>
      <c r="GH35" s="140">
        <f>IFERROR(VLOOKUP($GH$2,$CF$2:$CH$4,2,TRUE),0)</f>
        <v/>
      </c>
    </row>
    <row r="36">
      <c r="AU36" s="114" t="inlineStr">
        <is>
          <t>Guarda</t>
        </is>
      </c>
      <c r="AV36" s="114" t="inlineStr">
        <is>
          <t>Auxiliares</t>
        </is>
      </c>
      <c r="AW36" s="140" t="n">
        <v>2</v>
      </c>
      <c r="AX36" s="140">
        <f>$AW36+3*IFERROR(VLOOKUP($AV36,$A$2:$D$10,3,FALSE),0)</f>
        <v/>
      </c>
      <c r="AY36" s="140">
        <f>IFERROR(VLOOKUP($AV36,$A$2:$D$10,4,FALSE),0)</f>
        <v/>
      </c>
      <c r="AZ36" s="140" t="n">
        <v>0</v>
      </c>
      <c r="BA36" s="140">
        <f>IF($AY36=1,"",$AU36)</f>
        <v/>
      </c>
      <c r="BB36" s="140">
        <f>IF(AND($AW36=1,$AY36=0),$AU36,"")</f>
        <v/>
      </c>
      <c r="CU36" s="114" t="inlineStr">
        <is>
          <t>Feitiço 35</t>
        </is>
      </c>
      <c r="CV36" s="140" t="n">
        <v>0</v>
      </c>
      <c r="CW36" s="140" t="n">
        <v>35</v>
      </c>
      <c r="CX36" s="140">
        <f>MAX(1,MIN(7,N('FICHA AMALDIÇOADA'!$J$280)))</f>
        <v/>
      </c>
      <c r="CY36" s="140">
        <f>'FICHA AMALDIÇOADA'!$K$280&amp;""</f>
        <v/>
      </c>
      <c r="CZ36" s="140">
        <f>'FICHA AMALDIÇOADA'!$J$287&amp;""</f>
        <v/>
      </c>
      <c r="DA36" s="140">
        <f>'FICHA AMALDIÇOADA'!$K$289&amp;""</f>
        <v/>
      </c>
      <c r="DB36" s="140">
        <f>'FICHA AMALDIÇOADA'!$K$290&amp;""</f>
        <v/>
      </c>
      <c r="DC36" s="140">
        <f>'FICHA AMALDIÇOADA'!$K$291&amp;""</f>
        <v/>
      </c>
      <c r="DD36" s="140">
        <f>'FICHA AMALDIÇOADA'!$K$292&amp;""</f>
        <v/>
      </c>
      <c r="DE36" s="140">
        <f>'FICHA AMALDIÇOADA'!$K$293&amp;""</f>
        <v/>
      </c>
      <c r="DF36" s="140">
        <f>'FICHA AMALDIÇOADA'!$K$294&amp;""</f>
        <v/>
      </c>
      <c r="DG36" s="140">
        <f>IF('FICHA AMALDIÇOADA'!$N$293=TRUE,1,0)</f>
        <v/>
      </c>
      <c r="DH36" s="140">
        <f>IF('FICHA AMALDIÇOADA'!$N$294=TRUE,1,0)</f>
        <v/>
      </c>
      <c r="DI36" s="140">
        <f>IF($CY36&lt;&gt;"",1,0)</f>
        <v/>
      </c>
      <c r="DJ36" s="140">
        <f>IFERROR(MATCH($CZ36,$Q$2:$Q$11,0),0)</f>
        <v/>
      </c>
      <c r="DK36" s="140">
        <f>IF($DJ36=0,0,INDEX($T$2:$T$11,$DJ36))</f>
        <v/>
      </c>
      <c r="DL36" s="140">
        <f>IFERROR(VLOOKUP($DA36,$AU$2:$BB$84,4,FALSE),0)</f>
        <v/>
      </c>
      <c r="DM36" s="140">
        <f>IFERROR(VLOOKUP($DB36,$AU$2:$BB$84,4,FALSE),0)</f>
        <v/>
      </c>
      <c r="DN36" s="140">
        <f>IFERROR(VLOOKUP($DC36,$AU$2:$BB$84,4,FALSE),0)</f>
        <v/>
      </c>
      <c r="DO36" s="140">
        <f>IFERROR(VLOOKUP($DD36,$AU$2:$BB$84,4,FALSE),0)</f>
        <v/>
      </c>
      <c r="DP36" s="140">
        <f>IF($DJ36=0,0,INDEX($U$2:$U$11,$DJ36))</f>
        <v/>
      </c>
      <c r="DQ36" s="140">
        <f>IFERROR(VLOOKUP($DA36,$AU$2:$BB$84,5,FALSE),0)</f>
        <v/>
      </c>
      <c r="DR36" s="140">
        <f>IFERROR(VLOOKUP($DB36,$AU$2:$BB$84,5,FALSE),0)</f>
        <v/>
      </c>
      <c r="DS36" s="140">
        <f>IFERROR(VLOOKUP($DC36,$AU$2:$BB$84,5,FALSE),0)</f>
        <v/>
      </c>
      <c r="DT36" s="140">
        <f>IFERROR(VLOOKUP($DD36,$AU$2:$BB$84,5,FALSE),0)</f>
        <v/>
      </c>
      <c r="DU36" s="140">
        <f>IFERROR(VLOOKUP($DA36,$AU$2:$BB$84,6,FALSE),0)+IFERROR(VLOOKUP($DB36,$AU$2:$BB$84,6,FALSE),0)+IFERROR(VLOOKUP($DC36,$AU$2:$BB$84,6,FALSE),0)+IFERROR(VLOOKUP($DD36,$AU$2:$BB$84,6,FALSE),0)</f>
        <v/>
      </c>
      <c r="DV36" s="140">
        <f>IF($DJ36=0,0,INDEX($V$2:$V$11,$DJ36))</f>
        <v/>
      </c>
      <c r="DW36" s="140">
        <f>IF($DJ36=0,0,INDEX($W$2:$W$11,$DJ36))</f>
        <v/>
      </c>
      <c r="DX36" s="140">
        <f>IF($DJ36=0,0,INDEX($Y$2:$Y$11,$DJ36))</f>
        <v/>
      </c>
      <c r="DY36" s="140">
        <f>IF($DG36=1,0,IFERROR(VLOOKUP($DE36,$BD$2:$BH$24,3,FALSE),0))</f>
        <v/>
      </c>
      <c r="DZ36" s="140">
        <f>IF($DH36=1,0,IFERROR(VLOOKUP($DF36,$BD$2:$BH$24,3,FALSE),0))</f>
        <v/>
      </c>
      <c r="EA36" s="140">
        <f>IFERROR(VLOOKUP($DE36,$BD$2:$BH$24,2,FALSE),"")</f>
        <v/>
      </c>
      <c r="EB36" s="140">
        <f>IFERROR(VLOOKUP($DF36,$BD$2:$BH$24,2,FALSE),"")</f>
        <v/>
      </c>
      <c r="EC36" s="140">
        <f>COUNTIF($DK36:$DO36,1)</f>
        <v/>
      </c>
      <c r="ED36" s="140">
        <f>COUNTIF($DK36:$DO36,2)</f>
        <v/>
      </c>
      <c r="EE36" s="140">
        <f>COUNTIF($DK36:$DO36,3)</f>
        <v/>
      </c>
      <c r="EF36" s="140">
        <f>COUNTIF($DK36:$DO36,4)</f>
        <v/>
      </c>
      <c r="EG36" s="140">
        <f>COUNTIF($DK36:$DO36,5)</f>
        <v/>
      </c>
      <c r="EH36" s="140">
        <f>COUNTIF($DK36:$DO36,6)</f>
        <v/>
      </c>
      <c r="EI36" s="140">
        <f>COUNTIF($DY36:$DZ36,1)</f>
        <v/>
      </c>
      <c r="EJ36" s="140">
        <f>COUNTIF($DY36:$DZ36,2)+$DV36</f>
        <v/>
      </c>
      <c r="EK36" s="140">
        <f>COUNTIF($DA36:$DD36,"?*")</f>
        <v/>
      </c>
      <c r="EL36" s="140">
        <f>COUNTIF($DE36:$DF36,"?*")+$DV36</f>
        <v/>
      </c>
      <c r="EM36" s="140">
        <f>SUMPRODUCT($EC36:$EH36,INDEX($I$2:$N$8,$CX36,0))</f>
        <v/>
      </c>
      <c r="EN36" s="140">
        <f>$EI36*CEILING($CX36/2,1)+$EJ36*$CX36</f>
        <v/>
      </c>
      <c r="EO36" s="140">
        <f>MIN(2*$CX36,$EN36)</f>
        <v/>
      </c>
      <c r="EP36" s="140">
        <f>MIN($EO36,$EM36)</f>
        <v/>
      </c>
      <c r="EQ36" s="140">
        <f>$EO36-$EP36</f>
        <v/>
      </c>
      <c r="ER36" s="140">
        <f>3*$CX36-$EM36+$EP36</f>
        <v/>
      </c>
      <c r="ES36" s="140">
        <f>MAX(0,$ER36)+$CV36*$CX36</f>
        <v/>
      </c>
      <c r="ET36" s="140">
        <f>(IF(COUNTIF($DA36:$DD36,"Salto")&gt;0,1,0)+IF(COUNTIF($DA36:$DD36,"Queima")&gt;0,1,0))*FLOOR($ES36/2,1)</f>
        <v/>
      </c>
      <c r="EU36" s="140">
        <f>MAX(0,3-SUMPRODUCT($EC36:$EH36,$I$2:$N$2)+MIN(2,$EI36*1+$EJ36*1,SUMPRODUCT($EC36:$EH36,$I$2:$N$2)))+$CV36*1</f>
        <v/>
      </c>
      <c r="EV36" s="140">
        <f>MAX(0,6-SUMPRODUCT($EC36:$EH36,$I$3:$N$3)+MIN(4,$EI36*1+$EJ36*2,SUMPRODUCT($EC36:$EH36,$I$3:$N$3)))+$CV36*2</f>
        <v/>
      </c>
      <c r="EW36" s="140">
        <f>MAX(0,9-SUMPRODUCT($EC36:$EH36,$I$4:$N$4)+MIN(6,$EI36*2+$EJ36*3,SUMPRODUCT($EC36:$EH36,$I$4:$N$4)))+$CV36*3</f>
        <v/>
      </c>
      <c r="EX36" s="140">
        <f>MAX(0,12-SUMPRODUCT($EC36:$EH36,$I$5:$N$5)+MIN(8,$EI36*2+$EJ36*4,SUMPRODUCT($EC36:$EH36,$I$5:$N$5)))+$CV36*4</f>
        <v/>
      </c>
      <c r="EY36" s="140">
        <f>MAX(0,15-SUMPRODUCT($EC36:$EH36,$I$6:$N$6)+MIN(10,$EI36*3+$EJ36*5,SUMPRODUCT($EC36:$EH36,$I$6:$N$6)))+$CV36*5</f>
        <v/>
      </c>
      <c r="EZ36" s="140">
        <f>MAX(0,18-SUMPRODUCT($EC36:$EH36,$I$7:$N$7)+MIN(12,$EI36*3+$EJ36*6,SUMPRODUCT($EC36:$EH36,$I$7:$N$7)))+$CV36*6</f>
        <v/>
      </c>
      <c r="FA36" s="140">
        <f>MAX(0,21-SUMPRODUCT($EC36:$EH36,$I$8:$N$8)+MIN(14,$EI36*4+$EJ36*7,SUMPRODUCT($EC36:$EH36,$I$8:$N$8)))+$CV36*7</f>
        <v/>
      </c>
      <c r="FB36" s="140">
        <f>IF($DW36=2,3*$EU36&amp;" de vida temp.",IF($DW36=3,"sem dano",IF($EU36=0,IF($DW36=1,"sem cura","sem dano"),IF($DW36=1,"cura ","")&amp;$EU36&amp;"d8")))</f>
        <v/>
      </c>
      <c r="FC36" s="140">
        <f>IF($DW36=2,3*$EV36&amp;" de vida temp.",IF($DW36=3,"sem dano",IF($EV36=0,IF($DW36=1,"sem cura","sem dano"),IF($DW36=1,"cura ","")&amp;$EV36&amp;"d8")))</f>
        <v/>
      </c>
      <c r="FD36" s="140">
        <f>IF($DW36=2,3*$EW36&amp;" de vida temp.",IF($DW36=3,"sem dano",IF($EW36=0,IF($DW36=1,"sem cura","sem dano"),IF($DW36=1,"cura ","")&amp;$EW36&amp;"d8")))</f>
        <v/>
      </c>
      <c r="FE36" s="140">
        <f>IF($DW36=2,3*$EX36&amp;" de vida temp.",IF($DW36=3,"sem dano",IF($EX36=0,IF($DW36=1,"sem cura","sem dano"),IF($DW36=1,"cura ","")&amp;$EX36&amp;"d8")))</f>
        <v/>
      </c>
      <c r="FF36" s="140">
        <f>IF($DW36=2,3*$EY36&amp;" de vida temp.",IF($DW36=3,"sem dano",IF($EY36=0,IF($DW36=1,"sem cura","sem dano"),IF($DW36=1,"cura ","")&amp;$EY36&amp;"d8")))</f>
        <v/>
      </c>
      <c r="FG36" s="140">
        <f>IF($DW36=2,3*$EZ36&amp;" de vida temp.",IF($DW36=3,"sem dano",IF($EZ36=0,IF($DW36=1,"sem cura","sem dano"),IF($DW36=1,"cura ","")&amp;$EZ36&amp;"d8")))</f>
        <v/>
      </c>
      <c r="FH36" s="140">
        <f>IF($DW36=2,3*$FA36&amp;" de vida temp.",IF($DW36=3,"sem dano",IF($FA36=0,IF($DW36=1,"sem cura","sem dano"),IF($DW36=1,"cura ","")&amp;$FA36&amp;"d8")))</f>
        <v/>
      </c>
      <c r="FI36" s="140">
        <f>IF($DI36=0,"",TEXTJOIN(" · ",TRUE,IF(AND($CV36=1,$CW36&gt;$GH$9),"O nível "&amp;$GH$2&amp;" dá "&amp;$GH$9&amp;" Liberação Máxima",""),IF($CX36&gt;$GH$4,"Classe "&amp;$CX36&amp;": o nível "&amp;$GH$2&amp;" libera até a "&amp;$GH$4,""),IF($DP36=1,"Família Fechada: a Forma "&amp;$CZ36,""),IF($DQ36=1,"Família Fechada: "&amp;$DA36,""),IF($DR36=1,"Família Fechada: "&amp;$DB36,""),IF($DS36=1,"Família Fechada: "&amp;$DC36,""),IF($DT36=1,"Família Fechada: "&amp;$DD36,""),IF($EK36&gt;INDEX($O$2:$O$8,$CX36),$EK36&amp;" Melhorias: a Classe "&amp;$CX36&amp;" aceita "&amp;INDEX($O$2:$O$8,$CX36),""),IF($EL36&gt;2,$EL36&amp;" Restrições"&amp;IF($DV36=1,", contando a que a Forma "&amp;$CZ36&amp;" já traz","")&amp;": o limite é 2",""),IF($ER36&lt;0,"Orçamento estourado: faltam "&amp;(-$ER36)&amp;IF($ER36&lt;-1," pontos"," ponto"),""),IF(IFERROR(VLOOKUP($DE36,$BD$2:$BH$24,4,FALSE),0)+IFERROR(VLOOKUP($DF36,$BD$2:$BH$24,4,FALSE),0)&gt;1,$EA36&amp;" e "&amp;$EB36&amp;" são as duas de frequência",""),IF(AND((COUNTIF($DA36:$DD36,"Rápido")+COUNTIF($EA36:$EB36,"Rápido"))&gt;0,(COUNTIF($DA36:$DD36,"Reação")+COUNTIF($EA36:$EB36,"Reação"))&gt;0),"Rápido não entra com Reação",""),IF(AND((COUNTIF($DA36:$DD36,"Rápido")+COUNTIF($EA36:$EB36,"Rápido"))&gt;0,(COUNTIF($DA36:$DD36,"Atrasar")+COUNTIF($EA36:$EB36,"Atrasar"))&gt;0),"Rápido não entra com Atrasar",""),IF(AND((COUNTIF($DA36:$DD36,"Reação")+COUNTIF($EA36:$EB36,"Reação"))&gt;0,(COUNTIF($DA36:$DD36,"Atrasar")+COUNTIF($EA36:$EB36,"Atrasar"))&gt;0),"Reação não entra com Atrasar",""),IF(AND((COUNTIF($DA36:$DD36,"Reação")+COUNTIF($EA36:$EB36,"Reação"))&gt;0,(COUNTIF($DA36:$DD36,"Parado")+COUNTIF($EA36:$EB36,"Parado"))&gt;0),"Reação não entra com Parado",""),IF(AND(COUNTIF($EA36:$EB36,"Corpo a Corpo")&gt;0,$DV36=0,OR($CZ36="Cone",$CZ36="Linha")),"Corpo a Corpo não entra em "&amp;$CZ36,""),IF(AND(COUNTIF($EA36:$EB36,"Corpo a Corpo")&gt;0,$DV36=1),"A Forma "&amp;$CZ36&amp;" já traz o Corpo a Corpo",""),IF(AND(COUNTIF($EA36:$EB36,"Tudo ou Nada")&gt;0,$DX36=0),"Tudo ou Nada só entra em feitiço de Teste de Resistência",""),IF(AND(COUNTIF($DA36:$DD36,"Inescapável")&gt;0,OR($EK36&gt;1,$EL36&gt;0)),"Inescapável não aceita outra peça",""),IF(AND($CV36=1,$CX36&lt;3),"Liberação Máxima é de Classe 3 ou mais",""),IF(AND($CV36=1,OR($DW36=1,$DW36=2)),"Liberação Máxima não serve para cura",""),IF(AND($CV36=1,COUNTIF($DA36:$DD36,"Inescapável")+COUNTIF($DA36:$DD36,"Toca a Alma")&gt;0),"Esta peça não entra numa Liberação Máxima",""),IF($ES36+$ET36&gt;4*$CX36,($ES36+$ET36)&amp;" dados somando alvos e repetições: o teto da Classe "&amp;$CX36&amp;" é "&amp;4*$CX36,"")))</f>
        <v/>
      </c>
      <c r="FJ36" s="140">
        <f>IF($FI36="",0,(LEN($FI36)-LEN(SUBSTITUTE($FI36," · ","")))/3+1)</f>
        <v/>
      </c>
      <c r="FK36" s="140">
        <f>IF($DI36=0,"",TEXTJOIN(" · ",TRUE,IF($EN36&gt;2*$CX36,"A devolução parou no teto de "&amp;2*$CX36,""),IF($EQ36&gt;0,"Devolução perdida: "&amp;$EQ36&amp;IF($EQ36&gt;1," pontos"," ponto")&amp;" sem peça para pagar",""),IF(AND($DU36&gt;0,$ES36=0),"Controle sem dano: uma rodada a mais e CD +2",""),IF(AND($DU36&gt;0,$ES36&gt;0,$ES36&lt;=$CX36),"Controle com um quarto do teto: uma rodada a mais","")))</f>
        <v/>
      </c>
      <c r="FL36" s="140">
        <f>IF($FK36="",0,(LEN($FK36)-LEN(SUBSTITUTE($FK36," · ","")))/3+1)</f>
        <v/>
      </c>
      <c r="FM36" s="140">
        <f>IF($DI36=0,IF($EK36+$EL36-$DV36&gt;0,"dê um nome",""),IF($FJ36&gt;0,"⚠ "&amp;$FJ36&amp;IF($FJ36&gt;1," erros"," erro"),IF($FL36&gt;0,"! "&amp;$FL36&amp;IF($FL36&gt;1," avisos"," aviso"),"na regra")))</f>
        <v/>
      </c>
      <c r="FN36" s="140">
        <f>IF($DI36=0,"",IF($FJ36+$FL36=0,"Dentro das regras que a ficha confere",$FI36&amp;IF(AND($FJ36&gt;0,$FL36&gt;0)," · ","")&amp;$FK36))</f>
        <v/>
      </c>
      <c r="FO36" s="140">
        <f>IF($DI36=0,"",IF($CV36=1,CEILING(4.5*$CX36,1),3*$CX36)&amp;" PE")</f>
        <v/>
      </c>
      <c r="FP36" s="140">
        <f>IF($DI36=0,"",IF($CV36=1,"Rodada inteira",IF(COUNTIF($EA36:$EB36,"Atrasar")&gt;0,IF(COUNTIF($EA36:$EB36,"Carregar")&gt;0,"Rodada +1 turno","Rodada inteira"),IF(COUNTIF($DA36:$DD36,"Rápido")&gt;0,"Bônus",IF(COUNTIF($DA36:$DD36,"Reação")&gt;0,"Reação","Padrão"))&amp;IF(COUNTIF($EA36:$EB36,"Carregar")&gt;0," +1 turno",""))))</f>
        <v/>
      </c>
      <c r="FQ36" s="140">
        <f>IF(OR($DI36=0,$DJ36=0),"",IF(COUNTIF($DA36:$DD36,"Inescapável")&gt;0,"Automático",IF(COUNTIF($DA36:$DD36,"Certeiro")&gt;0,"TR para metade",INDEX($X$2:$X$11,$DJ36))))</f>
        <v/>
      </c>
      <c r="FR36" s="140">
        <f>IF(OR($DI36=0,$DJ36=0),"",IF(OR($DW36&gt;=2,$ES36=0),INDEX($FB36:$FH36,1,$CX36),INDEX($FB36:$FH36,1,$CX36)&amp;" = "&amp;FLOOR($ES36*4.5,1)&amp;IF($ET36&gt;0," · +"&amp;$ET36&amp;"d8","")))</f>
        <v/>
      </c>
      <c r="FS36" s="140">
        <f>COUNTIF($DA36:$DD36,"Longe")+3*COUNTIF($DA36:$DD36,"Muito Longe")</f>
        <v/>
      </c>
      <c r="FT36" s="140">
        <f>COUNTIF($DA36:$DD36,"Maior")+3*COUNTIF($DA36:$DD36,"Muito Maior")</f>
        <v/>
      </c>
      <c r="FU36" s="140">
        <f>IF($DJ36=0,0,CHOOSE(1+INDEX($Z$2:$Z$11,$DJ36),0,$FS36,$FT36,$FS36+$FT36))</f>
        <v/>
      </c>
      <c r="FV36" s="140">
        <f>IF($DJ36=0,0,CHOOSE(1+INDEX($AA$2:$AA$11,$DJ36),0,$FS36,$FT36,$FS36+$FT36))</f>
        <v/>
      </c>
      <c r="FW36" s="140">
        <f>IF(OR($DI36=0,$DJ36=0),"",INDEX($AH$2:$AM$31,($DJ36-1)*3+IF($CX36&gt;=6,3,2),1+MIN(5,$FU36))&amp;INDEX($AN$2:$AS$31,($DJ36-1)*3+IF($CX36&gt;=6,3,2),1+MIN(5,$FV36))&amp;IF(INDEX($AB$2:$AB$11,$DJ36)=1,IF(COUNTIF($DA36:$DD36,"Mais Um")&gt;0," · +"&amp;COUNTIF($DA36:$DD36,"Mais Um")&amp;IF(COUNTIF($DA36:$DD36,"Mais Um")&gt;1," alvos"," alvo"),"")&amp;IF(COUNTIF($DA36:$DD36,"Rajada")&gt;0," · "&amp;($CX36+1)&amp;" tiros",""),""))</f>
        <v/>
      </c>
      <c r="FX36" s="140">
        <f>IF($DI36=0,"",3*$CX36&amp;" − "&amp;$EM36&amp;" + "&amp;$EP36&amp;IF($CV36=1," + "&amp;$CX36,"")&amp;" = "&amp;$ES36&amp;"d8 · teto "&amp;4*$CX36&amp;IF($DV36=1," · a Forma devolve "&amp;$CX36,"")&amp;IF($EQ36&gt;0," · perde "&amp;$EQ36,""))</f>
        <v/>
      </c>
      <c r="FY36" s="140">
        <f>IF($DI36=0,"",IF($CX36&gt;=$GH$4,"Já está na maior Classe que o nível liberou",TEXTJOIN(" · ",TRUE,IF(AND(2&gt;$CX36,2&lt;=$GH$4),"2 → "&amp;$FC36&amp;", "&amp;IF($CV36=1,9,6)&amp;" PE",""),IF(AND(3&gt;$CX36,3&lt;=$GH$4),"3 → "&amp;$FD36&amp;", "&amp;IF($CV36=1,14,9)&amp;" PE",""),IF(AND(4&gt;$CX36,4&lt;=$GH$4),"4 → "&amp;$FE36&amp;", "&amp;IF($CV36=1,18,12)&amp;" PE",""),IF(AND(5&gt;$CX36,5&lt;=$GH$4),"5 → "&amp;$FF36&amp;", "&amp;IF($CV36=1,23,15)&amp;" PE",""),IF(AND(6&gt;$CX36,6&lt;=$GH$4),"6 → "&amp;$FG36&amp;", "&amp;IF($CV36=1,27,18)&amp;" PE",""),IF(AND(7&gt;$CX36,7&lt;=$GH$4),"7 → "&amp;$FH36&amp;", "&amp;IF($CV36=1,32,21)&amp;" PE",""))))</f>
        <v/>
      </c>
      <c r="FZ36" s="140">
        <f>IF(OR($DI36=0,$DL36=0),"","−"&amp;INDEX($I$2:$N$8,$CX36,$DL36)&amp;" · "&amp;CHOOSE($DL36,"Leve","Média","Pesada","Leve · Livre","Média · Livre","Pesada · Livre"))</f>
        <v/>
      </c>
      <c r="GA36" s="140">
        <f>IF(OR($DI36=0,$DM36=0),"","−"&amp;INDEX($I$2:$N$8,$CX36,$DM36)&amp;" · "&amp;CHOOSE($DM36,"Leve","Média","Pesada","Leve · Livre","Média · Livre","Pesada · Livre"))</f>
        <v/>
      </c>
      <c r="GB36" s="140">
        <f>IF(OR($DI36=0,$DN36=0),"","−"&amp;INDEX($I$2:$N$8,$CX36,$DN36)&amp;" · "&amp;CHOOSE($DN36,"Leve","Média","Pesada","Leve · Livre","Média · Livre","Pesada · Livre"))</f>
        <v/>
      </c>
      <c r="GC36" s="140">
        <f>IF(OR($DI36=0,$DO36=0),"","−"&amp;INDEX($I$2:$N$8,$CX36,$DO36)&amp;" · "&amp;CHOOSE($DO36,"Leve","Média","Pesada","Leve · Livre","Média · Livre","Pesada · Livre"))</f>
        <v/>
      </c>
      <c r="GD36" s="140">
        <f>IF(OR($DI36=0,$DE36=""),"",IF($DG36=1,"Selo","+"&amp;IF($DY36=1,CEILING($CX36/2,1),$CX36)))</f>
        <v/>
      </c>
      <c r="GE36" s="140">
        <f>IF(OR($DI36=0,$DF36=""),"",IF($DH36=1,"Selo","+"&amp;IF($DZ36=1,CEILING($CX36/2,1),$CX36)))</f>
        <v/>
      </c>
      <c r="GG36" s="114" t="inlineStr">
        <is>
          <t>montagem da técnica máxima</t>
        </is>
      </c>
      <c r="GH36" s="140">
        <f>IFERROR(VLOOKUP($GH$2,$CF$2:$CH$4,3,TRUE),0)</f>
        <v/>
      </c>
    </row>
    <row r="37">
      <c r="AU37" s="114" t="inlineStr">
        <is>
          <t>Pressa</t>
        </is>
      </c>
      <c r="AV37" s="114" t="inlineStr">
        <is>
          <t>Auxiliares</t>
        </is>
      </c>
      <c r="AW37" s="140" t="n">
        <v>2</v>
      </c>
      <c r="AX37" s="140">
        <f>$AW37+3*IFERROR(VLOOKUP($AV37,$A$2:$D$10,3,FALSE),0)</f>
        <v/>
      </c>
      <c r="AY37" s="140">
        <f>IFERROR(VLOOKUP($AV37,$A$2:$D$10,4,FALSE),0)</f>
        <v/>
      </c>
      <c r="AZ37" s="140" t="n">
        <v>0</v>
      </c>
      <c r="BA37" s="140">
        <f>IF($AY37=1,"",$AU37)</f>
        <v/>
      </c>
      <c r="BB37" s="140">
        <f>IF(AND($AW37=1,$AY37=0),$AU37,"")</f>
        <v/>
      </c>
      <c r="CU37" s="114" t="inlineStr">
        <is>
          <t>Feitiço 36</t>
        </is>
      </c>
      <c r="CV37" s="140" t="n">
        <v>0</v>
      </c>
      <c r="CW37" s="140" t="n">
        <v>36</v>
      </c>
      <c r="CX37" s="140">
        <f>MAX(1,MIN(7,N('FICHA AMALDIÇOADA'!$P$280)))</f>
        <v/>
      </c>
      <c r="CY37" s="140">
        <f>'FICHA AMALDIÇOADA'!$Q$280&amp;""</f>
        <v/>
      </c>
      <c r="CZ37" s="140">
        <f>'FICHA AMALDIÇOADA'!$P$287&amp;""</f>
        <v/>
      </c>
      <c r="DA37" s="140">
        <f>'FICHA AMALDIÇOADA'!$Q$289&amp;""</f>
        <v/>
      </c>
      <c r="DB37" s="140">
        <f>'FICHA AMALDIÇOADA'!$Q$290&amp;""</f>
        <v/>
      </c>
      <c r="DC37" s="140">
        <f>'FICHA AMALDIÇOADA'!$Q$291&amp;""</f>
        <v/>
      </c>
      <c r="DD37" s="140">
        <f>'FICHA AMALDIÇOADA'!$Q$292&amp;""</f>
        <v/>
      </c>
      <c r="DE37" s="140">
        <f>'FICHA AMALDIÇOADA'!$Q$293&amp;""</f>
        <v/>
      </c>
      <c r="DF37" s="140">
        <f>'FICHA AMALDIÇOADA'!$Q$294&amp;""</f>
        <v/>
      </c>
      <c r="DG37" s="140">
        <f>IF('FICHA AMALDIÇOADA'!$T$293=TRUE,1,0)</f>
        <v/>
      </c>
      <c r="DH37" s="140">
        <f>IF('FICHA AMALDIÇOADA'!$T$294=TRUE,1,0)</f>
        <v/>
      </c>
      <c r="DI37" s="140">
        <f>IF($CY37&lt;&gt;"",1,0)</f>
        <v/>
      </c>
      <c r="DJ37" s="140">
        <f>IFERROR(MATCH($CZ37,$Q$2:$Q$11,0),0)</f>
        <v/>
      </c>
      <c r="DK37" s="140">
        <f>IF($DJ37=0,0,INDEX($T$2:$T$11,$DJ37))</f>
        <v/>
      </c>
      <c r="DL37" s="140">
        <f>IFERROR(VLOOKUP($DA37,$AU$2:$BB$84,4,FALSE),0)</f>
        <v/>
      </c>
      <c r="DM37" s="140">
        <f>IFERROR(VLOOKUP($DB37,$AU$2:$BB$84,4,FALSE),0)</f>
        <v/>
      </c>
      <c r="DN37" s="140">
        <f>IFERROR(VLOOKUP($DC37,$AU$2:$BB$84,4,FALSE),0)</f>
        <v/>
      </c>
      <c r="DO37" s="140">
        <f>IFERROR(VLOOKUP($DD37,$AU$2:$BB$84,4,FALSE),0)</f>
        <v/>
      </c>
      <c r="DP37" s="140">
        <f>IF($DJ37=0,0,INDEX($U$2:$U$11,$DJ37))</f>
        <v/>
      </c>
      <c r="DQ37" s="140">
        <f>IFERROR(VLOOKUP($DA37,$AU$2:$BB$84,5,FALSE),0)</f>
        <v/>
      </c>
      <c r="DR37" s="140">
        <f>IFERROR(VLOOKUP($DB37,$AU$2:$BB$84,5,FALSE),0)</f>
        <v/>
      </c>
      <c r="DS37" s="140">
        <f>IFERROR(VLOOKUP($DC37,$AU$2:$BB$84,5,FALSE),0)</f>
        <v/>
      </c>
      <c r="DT37" s="140">
        <f>IFERROR(VLOOKUP($DD37,$AU$2:$BB$84,5,FALSE),0)</f>
        <v/>
      </c>
      <c r="DU37" s="140">
        <f>IFERROR(VLOOKUP($DA37,$AU$2:$BB$84,6,FALSE),0)+IFERROR(VLOOKUP($DB37,$AU$2:$BB$84,6,FALSE),0)+IFERROR(VLOOKUP($DC37,$AU$2:$BB$84,6,FALSE),0)+IFERROR(VLOOKUP($DD37,$AU$2:$BB$84,6,FALSE),0)</f>
        <v/>
      </c>
      <c r="DV37" s="140">
        <f>IF($DJ37=0,0,INDEX($V$2:$V$11,$DJ37))</f>
        <v/>
      </c>
      <c r="DW37" s="140">
        <f>IF($DJ37=0,0,INDEX($W$2:$W$11,$DJ37))</f>
        <v/>
      </c>
      <c r="DX37" s="140">
        <f>IF($DJ37=0,0,INDEX($Y$2:$Y$11,$DJ37))</f>
        <v/>
      </c>
      <c r="DY37" s="140">
        <f>IF($DG37=1,0,IFERROR(VLOOKUP($DE37,$BD$2:$BH$24,3,FALSE),0))</f>
        <v/>
      </c>
      <c r="DZ37" s="140">
        <f>IF($DH37=1,0,IFERROR(VLOOKUP($DF37,$BD$2:$BH$24,3,FALSE),0))</f>
        <v/>
      </c>
      <c r="EA37" s="140">
        <f>IFERROR(VLOOKUP($DE37,$BD$2:$BH$24,2,FALSE),"")</f>
        <v/>
      </c>
      <c r="EB37" s="140">
        <f>IFERROR(VLOOKUP($DF37,$BD$2:$BH$24,2,FALSE),"")</f>
        <v/>
      </c>
      <c r="EC37" s="140">
        <f>COUNTIF($DK37:$DO37,1)</f>
        <v/>
      </c>
      <c r="ED37" s="140">
        <f>COUNTIF($DK37:$DO37,2)</f>
        <v/>
      </c>
      <c r="EE37" s="140">
        <f>COUNTIF($DK37:$DO37,3)</f>
        <v/>
      </c>
      <c r="EF37" s="140">
        <f>COUNTIF($DK37:$DO37,4)</f>
        <v/>
      </c>
      <c r="EG37" s="140">
        <f>COUNTIF($DK37:$DO37,5)</f>
        <v/>
      </c>
      <c r="EH37" s="140">
        <f>COUNTIF($DK37:$DO37,6)</f>
        <v/>
      </c>
      <c r="EI37" s="140">
        <f>COUNTIF($DY37:$DZ37,1)</f>
        <v/>
      </c>
      <c r="EJ37" s="140">
        <f>COUNTIF($DY37:$DZ37,2)+$DV37</f>
        <v/>
      </c>
      <c r="EK37" s="140">
        <f>COUNTIF($DA37:$DD37,"?*")</f>
        <v/>
      </c>
      <c r="EL37" s="140">
        <f>COUNTIF($DE37:$DF37,"?*")+$DV37</f>
        <v/>
      </c>
      <c r="EM37" s="140">
        <f>SUMPRODUCT($EC37:$EH37,INDEX($I$2:$N$8,$CX37,0))</f>
        <v/>
      </c>
      <c r="EN37" s="140">
        <f>$EI37*CEILING($CX37/2,1)+$EJ37*$CX37</f>
        <v/>
      </c>
      <c r="EO37" s="140">
        <f>MIN(2*$CX37,$EN37)</f>
        <v/>
      </c>
      <c r="EP37" s="140">
        <f>MIN($EO37,$EM37)</f>
        <v/>
      </c>
      <c r="EQ37" s="140">
        <f>$EO37-$EP37</f>
        <v/>
      </c>
      <c r="ER37" s="140">
        <f>3*$CX37-$EM37+$EP37</f>
        <v/>
      </c>
      <c r="ES37" s="140">
        <f>MAX(0,$ER37)+$CV37*$CX37</f>
        <v/>
      </c>
      <c r="ET37" s="140">
        <f>(IF(COUNTIF($DA37:$DD37,"Salto")&gt;0,1,0)+IF(COUNTIF($DA37:$DD37,"Queima")&gt;0,1,0))*FLOOR($ES37/2,1)</f>
        <v/>
      </c>
      <c r="EU37" s="140">
        <f>MAX(0,3-SUMPRODUCT($EC37:$EH37,$I$2:$N$2)+MIN(2,$EI37*1+$EJ37*1,SUMPRODUCT($EC37:$EH37,$I$2:$N$2)))+$CV37*1</f>
        <v/>
      </c>
      <c r="EV37" s="140">
        <f>MAX(0,6-SUMPRODUCT($EC37:$EH37,$I$3:$N$3)+MIN(4,$EI37*1+$EJ37*2,SUMPRODUCT($EC37:$EH37,$I$3:$N$3)))+$CV37*2</f>
        <v/>
      </c>
      <c r="EW37" s="140">
        <f>MAX(0,9-SUMPRODUCT($EC37:$EH37,$I$4:$N$4)+MIN(6,$EI37*2+$EJ37*3,SUMPRODUCT($EC37:$EH37,$I$4:$N$4)))+$CV37*3</f>
        <v/>
      </c>
      <c r="EX37" s="140">
        <f>MAX(0,12-SUMPRODUCT($EC37:$EH37,$I$5:$N$5)+MIN(8,$EI37*2+$EJ37*4,SUMPRODUCT($EC37:$EH37,$I$5:$N$5)))+$CV37*4</f>
        <v/>
      </c>
      <c r="EY37" s="140">
        <f>MAX(0,15-SUMPRODUCT($EC37:$EH37,$I$6:$N$6)+MIN(10,$EI37*3+$EJ37*5,SUMPRODUCT($EC37:$EH37,$I$6:$N$6)))+$CV37*5</f>
        <v/>
      </c>
      <c r="EZ37" s="140">
        <f>MAX(0,18-SUMPRODUCT($EC37:$EH37,$I$7:$N$7)+MIN(12,$EI37*3+$EJ37*6,SUMPRODUCT($EC37:$EH37,$I$7:$N$7)))+$CV37*6</f>
        <v/>
      </c>
      <c r="FA37" s="140">
        <f>MAX(0,21-SUMPRODUCT($EC37:$EH37,$I$8:$N$8)+MIN(14,$EI37*4+$EJ37*7,SUMPRODUCT($EC37:$EH37,$I$8:$N$8)))+$CV37*7</f>
        <v/>
      </c>
      <c r="FB37" s="140">
        <f>IF($DW37=2,3*$EU37&amp;" de vida temp.",IF($DW37=3,"sem dano",IF($EU37=0,IF($DW37=1,"sem cura","sem dano"),IF($DW37=1,"cura ","")&amp;$EU37&amp;"d8")))</f>
        <v/>
      </c>
      <c r="FC37" s="140">
        <f>IF($DW37=2,3*$EV37&amp;" de vida temp.",IF($DW37=3,"sem dano",IF($EV37=0,IF($DW37=1,"sem cura","sem dano"),IF($DW37=1,"cura ","")&amp;$EV37&amp;"d8")))</f>
        <v/>
      </c>
      <c r="FD37" s="140">
        <f>IF($DW37=2,3*$EW37&amp;" de vida temp.",IF($DW37=3,"sem dano",IF($EW37=0,IF($DW37=1,"sem cura","sem dano"),IF($DW37=1,"cura ","")&amp;$EW37&amp;"d8")))</f>
        <v/>
      </c>
      <c r="FE37" s="140">
        <f>IF($DW37=2,3*$EX37&amp;" de vida temp.",IF($DW37=3,"sem dano",IF($EX37=0,IF($DW37=1,"sem cura","sem dano"),IF($DW37=1,"cura ","")&amp;$EX37&amp;"d8")))</f>
        <v/>
      </c>
      <c r="FF37" s="140">
        <f>IF($DW37=2,3*$EY37&amp;" de vida temp.",IF($DW37=3,"sem dano",IF($EY37=0,IF($DW37=1,"sem cura","sem dano"),IF($DW37=1,"cura ","")&amp;$EY37&amp;"d8")))</f>
        <v/>
      </c>
      <c r="FG37" s="140">
        <f>IF($DW37=2,3*$EZ37&amp;" de vida temp.",IF($DW37=3,"sem dano",IF($EZ37=0,IF($DW37=1,"sem cura","sem dano"),IF($DW37=1,"cura ","")&amp;$EZ37&amp;"d8")))</f>
        <v/>
      </c>
      <c r="FH37" s="140">
        <f>IF($DW37=2,3*$FA37&amp;" de vida temp.",IF($DW37=3,"sem dano",IF($FA37=0,IF($DW37=1,"sem cura","sem dano"),IF($DW37=1,"cura ","")&amp;$FA37&amp;"d8")))</f>
        <v/>
      </c>
      <c r="FI37" s="140">
        <f>IF($DI37=0,"",TEXTJOIN(" · ",TRUE,IF(AND($CV37=1,$CW37&gt;$GH$9),"O nível "&amp;$GH$2&amp;" dá "&amp;$GH$9&amp;" Liberação Máxima",""),IF($CX37&gt;$GH$4,"Classe "&amp;$CX37&amp;": o nível "&amp;$GH$2&amp;" libera até a "&amp;$GH$4,""),IF($DP37=1,"Família Fechada: a Forma "&amp;$CZ37,""),IF($DQ37=1,"Família Fechada: "&amp;$DA37,""),IF($DR37=1,"Família Fechada: "&amp;$DB37,""),IF($DS37=1,"Família Fechada: "&amp;$DC37,""),IF($DT37=1,"Família Fechada: "&amp;$DD37,""),IF($EK37&gt;INDEX($O$2:$O$8,$CX37),$EK37&amp;" Melhorias: a Classe "&amp;$CX37&amp;" aceita "&amp;INDEX($O$2:$O$8,$CX37),""),IF($EL37&gt;2,$EL37&amp;" Restrições"&amp;IF($DV37=1,", contando a que a Forma "&amp;$CZ37&amp;" já traz","")&amp;": o limite é 2",""),IF($ER37&lt;0,"Orçamento estourado: faltam "&amp;(-$ER37)&amp;IF($ER37&lt;-1," pontos"," ponto"),""),IF(IFERROR(VLOOKUP($DE37,$BD$2:$BH$24,4,FALSE),0)+IFERROR(VLOOKUP($DF37,$BD$2:$BH$24,4,FALSE),0)&gt;1,$EA37&amp;" e "&amp;$EB37&amp;" são as duas de frequência",""),IF(AND((COUNTIF($DA37:$DD37,"Rápido")+COUNTIF($EA37:$EB37,"Rápido"))&gt;0,(COUNTIF($DA37:$DD37,"Reação")+COUNTIF($EA37:$EB37,"Reação"))&gt;0),"Rápido não entra com Reação",""),IF(AND((COUNTIF($DA37:$DD37,"Rápido")+COUNTIF($EA37:$EB37,"Rápido"))&gt;0,(COUNTIF($DA37:$DD37,"Atrasar")+COUNTIF($EA37:$EB37,"Atrasar"))&gt;0),"Rápido não entra com Atrasar",""),IF(AND((COUNTIF($DA37:$DD37,"Reação")+COUNTIF($EA37:$EB37,"Reação"))&gt;0,(COUNTIF($DA37:$DD37,"Atrasar")+COUNTIF($EA37:$EB37,"Atrasar"))&gt;0),"Reação não entra com Atrasar",""),IF(AND((COUNTIF($DA37:$DD37,"Reação")+COUNTIF($EA37:$EB37,"Reação"))&gt;0,(COUNTIF($DA37:$DD37,"Parado")+COUNTIF($EA37:$EB37,"Parado"))&gt;0),"Reação não entra com Parado",""),IF(AND(COUNTIF($EA37:$EB37,"Corpo a Corpo")&gt;0,$DV37=0,OR($CZ37="Cone",$CZ37="Linha")),"Corpo a Corpo não entra em "&amp;$CZ37,""),IF(AND(COUNTIF($EA37:$EB37,"Corpo a Corpo")&gt;0,$DV37=1),"A Forma "&amp;$CZ37&amp;" já traz o Corpo a Corpo",""),IF(AND(COUNTIF($EA37:$EB37,"Tudo ou Nada")&gt;0,$DX37=0),"Tudo ou Nada só entra em feitiço de Teste de Resistência",""),IF(AND(COUNTIF($DA37:$DD37,"Inescapável")&gt;0,OR($EK37&gt;1,$EL37&gt;0)),"Inescapável não aceita outra peça",""),IF(AND($CV37=1,$CX37&lt;3),"Liberação Máxima é de Classe 3 ou mais",""),IF(AND($CV37=1,OR($DW37=1,$DW37=2)),"Liberação Máxima não serve para cura",""),IF(AND($CV37=1,COUNTIF($DA37:$DD37,"Inescapável")+COUNTIF($DA37:$DD37,"Toca a Alma")&gt;0),"Esta peça não entra numa Liberação Máxima",""),IF($ES37+$ET37&gt;4*$CX37,($ES37+$ET37)&amp;" dados somando alvos e repetições: o teto da Classe "&amp;$CX37&amp;" é "&amp;4*$CX37,"")))</f>
        <v/>
      </c>
      <c r="FJ37" s="140">
        <f>IF($FI37="",0,(LEN($FI37)-LEN(SUBSTITUTE($FI37," · ","")))/3+1)</f>
        <v/>
      </c>
      <c r="FK37" s="140">
        <f>IF($DI37=0,"",TEXTJOIN(" · ",TRUE,IF($EN37&gt;2*$CX37,"A devolução parou no teto de "&amp;2*$CX37,""),IF($EQ37&gt;0,"Devolução perdida: "&amp;$EQ37&amp;IF($EQ37&gt;1," pontos"," ponto")&amp;" sem peça para pagar",""),IF(AND($DU37&gt;0,$ES37=0),"Controle sem dano: uma rodada a mais e CD +2",""),IF(AND($DU37&gt;0,$ES37&gt;0,$ES37&lt;=$CX37),"Controle com um quarto do teto: uma rodada a mais","")))</f>
        <v/>
      </c>
      <c r="FL37" s="140">
        <f>IF($FK37="",0,(LEN($FK37)-LEN(SUBSTITUTE($FK37," · ","")))/3+1)</f>
        <v/>
      </c>
      <c r="FM37" s="140">
        <f>IF($DI37=0,IF($EK37+$EL37-$DV37&gt;0,"dê um nome",""),IF($FJ37&gt;0,"⚠ "&amp;$FJ37&amp;IF($FJ37&gt;1," erros"," erro"),IF($FL37&gt;0,"! "&amp;$FL37&amp;IF($FL37&gt;1," avisos"," aviso"),"na regra")))</f>
        <v/>
      </c>
      <c r="FN37" s="140">
        <f>IF($DI37=0,"",IF($FJ37+$FL37=0,"Dentro das regras que a ficha confere",$FI37&amp;IF(AND($FJ37&gt;0,$FL37&gt;0)," · ","")&amp;$FK37))</f>
        <v/>
      </c>
      <c r="FO37" s="140">
        <f>IF($DI37=0,"",IF($CV37=1,CEILING(4.5*$CX37,1),3*$CX37)&amp;" PE")</f>
        <v/>
      </c>
      <c r="FP37" s="140">
        <f>IF($DI37=0,"",IF($CV37=1,"Rodada inteira",IF(COUNTIF($EA37:$EB37,"Atrasar")&gt;0,IF(COUNTIF($EA37:$EB37,"Carregar")&gt;0,"Rodada +1 turno","Rodada inteira"),IF(COUNTIF($DA37:$DD37,"Rápido")&gt;0,"Bônus",IF(COUNTIF($DA37:$DD37,"Reação")&gt;0,"Reação","Padrão"))&amp;IF(COUNTIF($EA37:$EB37,"Carregar")&gt;0," +1 turno",""))))</f>
        <v/>
      </c>
      <c r="FQ37" s="140">
        <f>IF(OR($DI37=0,$DJ37=0),"",IF(COUNTIF($DA37:$DD37,"Inescapável")&gt;0,"Automático",IF(COUNTIF($DA37:$DD37,"Certeiro")&gt;0,"TR para metade",INDEX($X$2:$X$11,$DJ37))))</f>
        <v/>
      </c>
      <c r="FR37" s="140">
        <f>IF(OR($DI37=0,$DJ37=0),"",IF(OR($DW37&gt;=2,$ES37=0),INDEX($FB37:$FH37,1,$CX37),INDEX($FB37:$FH37,1,$CX37)&amp;" = "&amp;FLOOR($ES37*4.5,1)&amp;IF($ET37&gt;0," · +"&amp;$ET37&amp;"d8","")))</f>
        <v/>
      </c>
      <c r="FS37" s="140">
        <f>COUNTIF($DA37:$DD37,"Longe")+3*COUNTIF($DA37:$DD37,"Muito Longe")</f>
        <v/>
      </c>
      <c r="FT37" s="140">
        <f>COUNTIF($DA37:$DD37,"Maior")+3*COUNTIF($DA37:$DD37,"Muito Maior")</f>
        <v/>
      </c>
      <c r="FU37" s="140">
        <f>IF($DJ37=0,0,CHOOSE(1+INDEX($Z$2:$Z$11,$DJ37),0,$FS37,$FT37,$FS37+$FT37))</f>
        <v/>
      </c>
      <c r="FV37" s="140">
        <f>IF($DJ37=0,0,CHOOSE(1+INDEX($AA$2:$AA$11,$DJ37),0,$FS37,$FT37,$FS37+$FT37))</f>
        <v/>
      </c>
      <c r="FW37" s="140">
        <f>IF(OR($DI37=0,$DJ37=0),"",INDEX($AH$2:$AM$31,($DJ37-1)*3+IF($CX37&gt;=6,3,2),1+MIN(5,$FU37))&amp;INDEX($AN$2:$AS$31,($DJ37-1)*3+IF($CX37&gt;=6,3,2),1+MIN(5,$FV37))&amp;IF(INDEX($AB$2:$AB$11,$DJ37)=1,IF(COUNTIF($DA37:$DD37,"Mais Um")&gt;0," · +"&amp;COUNTIF($DA37:$DD37,"Mais Um")&amp;IF(COUNTIF($DA37:$DD37,"Mais Um")&gt;1," alvos"," alvo"),"")&amp;IF(COUNTIF($DA37:$DD37,"Rajada")&gt;0," · "&amp;($CX37+1)&amp;" tiros",""),""))</f>
        <v/>
      </c>
      <c r="FX37" s="140">
        <f>IF($DI37=0,"",3*$CX37&amp;" − "&amp;$EM37&amp;" + "&amp;$EP37&amp;IF($CV37=1," + "&amp;$CX37,"")&amp;" = "&amp;$ES37&amp;"d8 · teto "&amp;4*$CX37&amp;IF($DV37=1," · a Forma devolve "&amp;$CX37,"")&amp;IF($EQ37&gt;0," · perde "&amp;$EQ37,""))</f>
        <v/>
      </c>
      <c r="FY37" s="140">
        <f>IF($DI37=0,"",IF($CX37&gt;=$GH$4,"Já está na maior Classe que o nível liberou",TEXTJOIN(" · ",TRUE,IF(AND(2&gt;$CX37,2&lt;=$GH$4),"2 → "&amp;$FC37&amp;", "&amp;IF($CV37=1,9,6)&amp;" PE",""),IF(AND(3&gt;$CX37,3&lt;=$GH$4),"3 → "&amp;$FD37&amp;", "&amp;IF($CV37=1,14,9)&amp;" PE",""),IF(AND(4&gt;$CX37,4&lt;=$GH$4),"4 → "&amp;$FE37&amp;", "&amp;IF($CV37=1,18,12)&amp;" PE",""),IF(AND(5&gt;$CX37,5&lt;=$GH$4),"5 → "&amp;$FF37&amp;", "&amp;IF($CV37=1,23,15)&amp;" PE",""),IF(AND(6&gt;$CX37,6&lt;=$GH$4),"6 → "&amp;$FG37&amp;", "&amp;IF($CV37=1,27,18)&amp;" PE",""),IF(AND(7&gt;$CX37,7&lt;=$GH$4),"7 → "&amp;$FH37&amp;", "&amp;IF($CV37=1,32,21)&amp;" PE",""))))</f>
        <v/>
      </c>
      <c r="FZ37" s="140">
        <f>IF(OR($DI37=0,$DL37=0),"","−"&amp;INDEX($I$2:$N$8,$CX37,$DL37)&amp;" · "&amp;CHOOSE($DL37,"Leve","Média","Pesada","Leve · Livre","Média · Livre","Pesada · Livre"))</f>
        <v/>
      </c>
      <c r="GA37" s="140">
        <f>IF(OR($DI37=0,$DM37=0),"","−"&amp;INDEX($I$2:$N$8,$CX37,$DM37)&amp;" · "&amp;CHOOSE($DM37,"Leve","Média","Pesada","Leve · Livre","Média · Livre","Pesada · Livre"))</f>
        <v/>
      </c>
      <c r="GB37" s="140">
        <f>IF(OR($DI37=0,$DN37=0),"","−"&amp;INDEX($I$2:$N$8,$CX37,$DN37)&amp;" · "&amp;CHOOSE($DN37,"Leve","Média","Pesada","Leve · Livre","Média · Livre","Pesada · Livre"))</f>
        <v/>
      </c>
      <c r="GC37" s="140">
        <f>IF(OR($DI37=0,$DO37=0),"","−"&amp;INDEX($I$2:$N$8,$CX37,$DO37)&amp;" · "&amp;CHOOSE($DO37,"Leve","Média","Pesada","Leve · Livre","Média · Livre","Pesada · Livre"))</f>
        <v/>
      </c>
      <c r="GD37" s="140">
        <f>IF(OR($DI37=0,$DE37=""),"",IF($DG37=1,"Selo","+"&amp;IF($DY37=1,CEILING($CX37/2,1),$CX37)))</f>
        <v/>
      </c>
      <c r="GE37" s="140">
        <f>IF(OR($DI37=0,$DF37=""),"",IF($DH37=1,"Selo","+"&amp;IF($DZ37=1,CEILING($CX37/2,1),$CX37)))</f>
        <v/>
      </c>
      <c r="GG37" s="114" t="inlineStr">
        <is>
          <t>gasto da técnica máxima</t>
        </is>
      </c>
      <c r="GH37" s="140">
        <f>IF(IFERROR(VLOOKUP('FICHA AMALDIÇOADA'!$J$337,$Q$2:$T$11,4,FALSE),0)=0,0,INDEX($I$2:$N$8,$GH$4,IFERROR(VLOOKUP('FICHA AMALDIÇOADA'!$J$337,$Q$2:$T$11,4,FALSE),0)))+IF(IFERROR(VLOOKUP('FICHA AMALDIÇOADA'!$J$340,$AU$2:$BB$84,4,FALSE),0)=0,0,INDEX($I$2:$N$8,$GH$4,IFERROR(VLOOKUP('FICHA AMALDIÇOADA'!$J$340,$AU$2:$BB$84,4,FALSE),0)))+IF(IFERROR(VLOOKUP('FICHA AMALDIÇOADA'!$L$340,$AU$2:$BB$84,4,FALSE),0)=0,0,INDEX($I$2:$N$8,$GH$4,IFERROR(VLOOKUP('FICHA AMALDIÇOADA'!$L$340,$AU$2:$BB$84,4,FALSE),0)))+IF(IFERROR(VLOOKUP('FICHA AMALDIÇOADA'!$P$340,$AU$2:$BB$84,4,FALSE),0)=0,0,INDEX($I$2:$N$8,$GH$4,IFERROR(VLOOKUP('FICHA AMALDIÇOADA'!$P$340,$AU$2:$BB$84,4,FALSE),0)))+IF(IFERROR(VLOOKUP('FICHA AMALDIÇOADA'!$R$340,$AU$2:$BB$84,4,FALSE),0)=0,0,INDEX($I$2:$N$8,$GH$4,IFERROR(VLOOKUP('FICHA AMALDIÇOADA'!$R$340,$AU$2:$BB$84,4,FALSE),0)))</f>
        <v/>
      </c>
    </row>
    <row r="38">
      <c r="AU38" s="114" t="inlineStr">
        <is>
          <t>Enfraquece</t>
        </is>
      </c>
      <c r="AV38" s="114" t="inlineStr">
        <is>
          <t>Auxiliares</t>
        </is>
      </c>
      <c r="AW38" s="140" t="n">
        <v>2</v>
      </c>
      <c r="AX38" s="140">
        <f>$AW38+3*IFERROR(VLOOKUP($AV38,$A$2:$D$10,3,FALSE),0)</f>
        <v/>
      </c>
      <c r="AY38" s="140">
        <f>IFERROR(VLOOKUP($AV38,$A$2:$D$10,4,FALSE),0)</f>
        <v/>
      </c>
      <c r="AZ38" s="140" t="n">
        <v>0</v>
      </c>
      <c r="BA38" s="140">
        <f>IF($AY38=1,"",$AU38)</f>
        <v/>
      </c>
      <c r="BB38" s="140">
        <f>IF(AND($AW38=1,$AY38=0),$AU38,"")</f>
        <v/>
      </c>
      <c r="CU38" s="114" t="inlineStr">
        <is>
          <t>Liberação 1</t>
        </is>
      </c>
      <c r="CV38" s="140" t="n">
        <v>1</v>
      </c>
      <c r="CW38" s="140" t="n">
        <v>1</v>
      </c>
      <c r="CX38" s="140">
        <f>MAX(1,MIN(7,N('FICHA AMALDIÇOADA'!$D$313)))</f>
        <v/>
      </c>
      <c r="CY38" s="140">
        <f>'FICHA AMALDIÇOADA'!$E$313&amp;""</f>
        <v/>
      </c>
      <c r="CZ38" s="140">
        <f>'FICHA AMALDIÇOADA'!$D$320&amp;""</f>
        <v/>
      </c>
      <c r="DA38" s="140">
        <f>'FICHA AMALDIÇOADA'!$E$322&amp;""</f>
        <v/>
      </c>
      <c r="DB38" s="140">
        <f>'FICHA AMALDIÇOADA'!$E$323&amp;""</f>
        <v/>
      </c>
      <c r="DC38" s="140">
        <f>'FICHA AMALDIÇOADA'!$E$324&amp;""</f>
        <v/>
      </c>
      <c r="DD38" s="140">
        <f>'FICHA AMALDIÇOADA'!$E$325&amp;""</f>
        <v/>
      </c>
      <c r="DE38" s="140">
        <f>'FICHA AMALDIÇOADA'!$E$326&amp;""</f>
        <v/>
      </c>
      <c r="DF38" s="140">
        <f>'FICHA AMALDIÇOADA'!$E$327&amp;""</f>
        <v/>
      </c>
      <c r="DG38" s="140">
        <f>IF('FICHA AMALDIÇOADA'!$H$326=TRUE,1,0)</f>
        <v/>
      </c>
      <c r="DH38" s="140">
        <f>IF('FICHA AMALDIÇOADA'!$H$327=TRUE,1,0)</f>
        <v/>
      </c>
      <c r="DI38" s="140">
        <f>IF($CY38&lt;&gt;"",1,0)</f>
        <v/>
      </c>
      <c r="DJ38" s="140">
        <f>IFERROR(MATCH($CZ38,$Q$2:$Q$11,0),0)</f>
        <v/>
      </c>
      <c r="DK38" s="140">
        <f>IF($DJ38=0,0,INDEX($T$2:$T$11,$DJ38))</f>
        <v/>
      </c>
      <c r="DL38" s="140">
        <f>IFERROR(VLOOKUP($DA38,$AU$2:$BB$84,4,FALSE),0)</f>
        <v/>
      </c>
      <c r="DM38" s="140">
        <f>IFERROR(VLOOKUP($DB38,$AU$2:$BB$84,4,FALSE),0)</f>
        <v/>
      </c>
      <c r="DN38" s="140">
        <f>IFERROR(VLOOKUP($DC38,$AU$2:$BB$84,4,FALSE),0)</f>
        <v/>
      </c>
      <c r="DO38" s="140">
        <f>IFERROR(VLOOKUP($DD38,$AU$2:$BB$84,4,FALSE),0)</f>
        <v/>
      </c>
      <c r="DP38" s="140">
        <f>IF($DJ38=0,0,INDEX($U$2:$U$11,$DJ38))</f>
        <v/>
      </c>
      <c r="DQ38" s="140">
        <f>IFERROR(VLOOKUP($DA38,$AU$2:$BB$84,5,FALSE),0)</f>
        <v/>
      </c>
      <c r="DR38" s="140">
        <f>IFERROR(VLOOKUP($DB38,$AU$2:$BB$84,5,FALSE),0)</f>
        <v/>
      </c>
      <c r="DS38" s="140">
        <f>IFERROR(VLOOKUP($DC38,$AU$2:$BB$84,5,FALSE),0)</f>
        <v/>
      </c>
      <c r="DT38" s="140">
        <f>IFERROR(VLOOKUP($DD38,$AU$2:$BB$84,5,FALSE),0)</f>
        <v/>
      </c>
      <c r="DU38" s="140">
        <f>IFERROR(VLOOKUP($DA38,$AU$2:$BB$84,6,FALSE),0)+IFERROR(VLOOKUP($DB38,$AU$2:$BB$84,6,FALSE),0)+IFERROR(VLOOKUP($DC38,$AU$2:$BB$84,6,FALSE),0)+IFERROR(VLOOKUP($DD38,$AU$2:$BB$84,6,FALSE),0)</f>
        <v/>
      </c>
      <c r="DV38" s="140">
        <f>IF($DJ38=0,0,INDEX($V$2:$V$11,$DJ38))</f>
        <v/>
      </c>
      <c r="DW38" s="140">
        <f>IF($DJ38=0,0,INDEX($W$2:$W$11,$DJ38))</f>
        <v/>
      </c>
      <c r="DX38" s="140">
        <f>IF($DJ38=0,0,INDEX($Y$2:$Y$11,$DJ38))</f>
        <v/>
      </c>
      <c r="DY38" s="140">
        <f>IF($DG38=1,0,IFERROR(VLOOKUP($DE38,$BD$2:$BH$24,3,FALSE),0))</f>
        <v/>
      </c>
      <c r="DZ38" s="140">
        <f>IF($DH38=1,0,IFERROR(VLOOKUP($DF38,$BD$2:$BH$24,3,FALSE),0))</f>
        <v/>
      </c>
      <c r="EA38" s="140">
        <f>IFERROR(VLOOKUP($DE38,$BD$2:$BH$24,2,FALSE),"")</f>
        <v/>
      </c>
      <c r="EB38" s="140">
        <f>IFERROR(VLOOKUP($DF38,$BD$2:$BH$24,2,FALSE),"")</f>
        <v/>
      </c>
      <c r="EC38" s="140">
        <f>COUNTIF($DK38:$DO38,1)</f>
        <v/>
      </c>
      <c r="ED38" s="140">
        <f>COUNTIF($DK38:$DO38,2)</f>
        <v/>
      </c>
      <c r="EE38" s="140">
        <f>COUNTIF($DK38:$DO38,3)</f>
        <v/>
      </c>
      <c r="EF38" s="140">
        <f>COUNTIF($DK38:$DO38,4)</f>
        <v/>
      </c>
      <c r="EG38" s="140">
        <f>COUNTIF($DK38:$DO38,5)</f>
        <v/>
      </c>
      <c r="EH38" s="140">
        <f>COUNTIF($DK38:$DO38,6)</f>
        <v/>
      </c>
      <c r="EI38" s="140">
        <f>COUNTIF($DY38:$DZ38,1)</f>
        <v/>
      </c>
      <c r="EJ38" s="140">
        <f>COUNTIF($DY38:$DZ38,2)+$DV38</f>
        <v/>
      </c>
      <c r="EK38" s="140">
        <f>COUNTIF($DA38:$DD38,"?*")</f>
        <v/>
      </c>
      <c r="EL38" s="140">
        <f>COUNTIF($DE38:$DF38,"?*")+$DV38</f>
        <v/>
      </c>
      <c r="EM38" s="140">
        <f>SUMPRODUCT($EC38:$EH38,INDEX($I$2:$N$8,$CX38,0))</f>
        <v/>
      </c>
      <c r="EN38" s="140">
        <f>$EI38*CEILING($CX38/2,1)+$EJ38*$CX38</f>
        <v/>
      </c>
      <c r="EO38" s="140">
        <f>MIN(2*$CX38,$EN38)</f>
        <v/>
      </c>
      <c r="EP38" s="140">
        <f>MIN($EO38,$EM38)</f>
        <v/>
      </c>
      <c r="EQ38" s="140">
        <f>$EO38-$EP38</f>
        <v/>
      </c>
      <c r="ER38" s="140">
        <f>3*$CX38-$EM38+$EP38</f>
        <v/>
      </c>
      <c r="ES38" s="140">
        <f>MAX(0,$ER38)+$CV38*$CX38</f>
        <v/>
      </c>
      <c r="ET38" s="140">
        <f>(IF(COUNTIF($DA38:$DD38,"Salto")&gt;0,1,0)+IF(COUNTIF($DA38:$DD38,"Queima")&gt;0,1,0))*FLOOR($ES38/2,1)</f>
        <v/>
      </c>
      <c r="EU38" s="140">
        <f>MAX(0,3-SUMPRODUCT($EC38:$EH38,$I$2:$N$2)+MIN(2,$EI38*1+$EJ38*1,SUMPRODUCT($EC38:$EH38,$I$2:$N$2)))+$CV38*1</f>
        <v/>
      </c>
      <c r="EV38" s="140">
        <f>MAX(0,6-SUMPRODUCT($EC38:$EH38,$I$3:$N$3)+MIN(4,$EI38*1+$EJ38*2,SUMPRODUCT($EC38:$EH38,$I$3:$N$3)))+$CV38*2</f>
        <v/>
      </c>
      <c r="EW38" s="140">
        <f>MAX(0,9-SUMPRODUCT($EC38:$EH38,$I$4:$N$4)+MIN(6,$EI38*2+$EJ38*3,SUMPRODUCT($EC38:$EH38,$I$4:$N$4)))+$CV38*3</f>
        <v/>
      </c>
      <c r="EX38" s="140">
        <f>MAX(0,12-SUMPRODUCT($EC38:$EH38,$I$5:$N$5)+MIN(8,$EI38*2+$EJ38*4,SUMPRODUCT($EC38:$EH38,$I$5:$N$5)))+$CV38*4</f>
        <v/>
      </c>
      <c r="EY38" s="140">
        <f>MAX(0,15-SUMPRODUCT($EC38:$EH38,$I$6:$N$6)+MIN(10,$EI38*3+$EJ38*5,SUMPRODUCT($EC38:$EH38,$I$6:$N$6)))+$CV38*5</f>
        <v/>
      </c>
      <c r="EZ38" s="140">
        <f>MAX(0,18-SUMPRODUCT($EC38:$EH38,$I$7:$N$7)+MIN(12,$EI38*3+$EJ38*6,SUMPRODUCT($EC38:$EH38,$I$7:$N$7)))+$CV38*6</f>
        <v/>
      </c>
      <c r="FA38" s="140">
        <f>MAX(0,21-SUMPRODUCT($EC38:$EH38,$I$8:$N$8)+MIN(14,$EI38*4+$EJ38*7,SUMPRODUCT($EC38:$EH38,$I$8:$N$8)))+$CV38*7</f>
        <v/>
      </c>
      <c r="FB38" s="140">
        <f>IF($DW38=2,3*$EU38&amp;" de vida temp.",IF($DW38=3,"sem dano",IF($EU38=0,IF($DW38=1,"sem cura","sem dano"),IF($DW38=1,"cura ","")&amp;$EU38&amp;"d8")))</f>
        <v/>
      </c>
      <c r="FC38" s="140">
        <f>IF($DW38=2,3*$EV38&amp;" de vida temp.",IF($DW38=3,"sem dano",IF($EV38=0,IF($DW38=1,"sem cura","sem dano"),IF($DW38=1,"cura ","")&amp;$EV38&amp;"d8")))</f>
        <v/>
      </c>
      <c r="FD38" s="140">
        <f>IF($DW38=2,3*$EW38&amp;" de vida temp.",IF($DW38=3,"sem dano",IF($EW38=0,IF($DW38=1,"sem cura","sem dano"),IF($DW38=1,"cura ","")&amp;$EW38&amp;"d8")))</f>
        <v/>
      </c>
      <c r="FE38" s="140">
        <f>IF($DW38=2,3*$EX38&amp;" de vida temp.",IF($DW38=3,"sem dano",IF($EX38=0,IF($DW38=1,"sem cura","sem dano"),IF($DW38=1,"cura ","")&amp;$EX38&amp;"d8")))</f>
        <v/>
      </c>
      <c r="FF38" s="140">
        <f>IF($DW38=2,3*$EY38&amp;" de vida temp.",IF($DW38=3,"sem dano",IF($EY38=0,IF($DW38=1,"sem cura","sem dano"),IF($DW38=1,"cura ","")&amp;$EY38&amp;"d8")))</f>
        <v/>
      </c>
      <c r="FG38" s="140">
        <f>IF($DW38=2,3*$EZ38&amp;" de vida temp.",IF($DW38=3,"sem dano",IF($EZ38=0,IF($DW38=1,"sem cura","sem dano"),IF($DW38=1,"cura ","")&amp;$EZ38&amp;"d8")))</f>
        <v/>
      </c>
      <c r="FH38" s="140">
        <f>IF($DW38=2,3*$FA38&amp;" de vida temp.",IF($DW38=3,"sem dano",IF($FA38=0,IF($DW38=1,"sem cura","sem dano"),IF($DW38=1,"cura ","")&amp;$FA38&amp;"d8")))</f>
        <v/>
      </c>
      <c r="FI38" s="140">
        <f>IF($DI38=0,"",TEXTJOIN(" · ",TRUE,IF(AND($CV38=1,$CW38&gt;$GH$9),"O nível "&amp;$GH$2&amp;" dá "&amp;$GH$9&amp;" Liberação Máxima",""),IF($CX38&gt;$GH$4,"Classe "&amp;$CX38&amp;": o nível "&amp;$GH$2&amp;" libera até a "&amp;$GH$4,""),IF($DP38=1,"Família Fechada: a Forma "&amp;$CZ38,""),IF($DQ38=1,"Família Fechada: "&amp;$DA38,""),IF($DR38=1,"Família Fechada: "&amp;$DB38,""),IF($DS38=1,"Família Fechada: "&amp;$DC38,""),IF($DT38=1,"Família Fechada: "&amp;$DD38,""),IF($EK38&gt;INDEX($O$2:$O$8,$CX38),$EK38&amp;" Melhorias: a Classe "&amp;$CX38&amp;" aceita "&amp;INDEX($O$2:$O$8,$CX38),""),IF($EL38&gt;2,$EL38&amp;" Restrições"&amp;IF($DV38=1,", contando a que a Forma "&amp;$CZ38&amp;" já traz","")&amp;": o limite é 2",""),IF($ER38&lt;0,"Orçamento estourado: faltam "&amp;(-$ER38)&amp;IF($ER38&lt;-1," pontos"," ponto"),""),IF(IFERROR(VLOOKUP($DE38,$BD$2:$BH$24,4,FALSE),0)+IFERROR(VLOOKUP($DF38,$BD$2:$BH$24,4,FALSE),0)&gt;1,$EA38&amp;" e "&amp;$EB38&amp;" são as duas de frequência",""),IF(AND((COUNTIF($DA38:$DD38,"Rápido")+COUNTIF($EA38:$EB38,"Rápido"))&gt;0,(COUNTIF($DA38:$DD38,"Reação")+COUNTIF($EA38:$EB38,"Reação"))&gt;0),"Rápido não entra com Reação",""),IF(AND((COUNTIF($DA38:$DD38,"Rápido")+COUNTIF($EA38:$EB38,"Rápido"))&gt;0,(COUNTIF($DA38:$DD38,"Atrasar")+COUNTIF($EA38:$EB38,"Atrasar"))&gt;0),"Rápido não entra com Atrasar",""),IF(AND((COUNTIF($DA38:$DD38,"Reação")+COUNTIF($EA38:$EB38,"Reação"))&gt;0,(COUNTIF($DA38:$DD38,"Atrasar")+COUNTIF($EA38:$EB38,"Atrasar"))&gt;0),"Reação não entra com Atrasar",""),IF(AND((COUNTIF($DA38:$DD38,"Reação")+COUNTIF($EA38:$EB38,"Reação"))&gt;0,(COUNTIF($DA38:$DD38,"Parado")+COUNTIF($EA38:$EB38,"Parado"))&gt;0),"Reação não entra com Parado",""),IF(AND(COUNTIF($EA38:$EB38,"Corpo a Corpo")&gt;0,$DV38=0,OR($CZ38="Cone",$CZ38="Linha")),"Corpo a Corpo não entra em "&amp;$CZ38,""),IF(AND(COUNTIF($EA38:$EB38,"Corpo a Corpo")&gt;0,$DV38=1),"A Forma "&amp;$CZ38&amp;" já traz o Corpo a Corpo",""),IF(AND(COUNTIF($EA38:$EB38,"Tudo ou Nada")&gt;0,$DX38=0),"Tudo ou Nada só entra em feitiço de Teste de Resistência",""),IF(AND(COUNTIF($DA38:$DD38,"Inescapável")&gt;0,OR($EK38&gt;1,$EL38&gt;0)),"Inescapável não aceita outra peça",""),IF(AND($CV38=1,$CX38&lt;3),"Liberação Máxima é de Classe 3 ou mais",""),IF(AND($CV38=1,OR($DW38=1,$DW38=2)),"Liberação Máxima não serve para cura",""),IF(AND($CV38=1,COUNTIF($DA38:$DD38,"Inescapável")+COUNTIF($DA38:$DD38,"Toca a Alma")&gt;0),"Esta peça não entra numa Liberação Máxima",""),IF($ES38+$ET38&gt;4*$CX38,($ES38+$ET38)&amp;" dados somando alvos e repetições: o teto da Classe "&amp;$CX38&amp;" é "&amp;4*$CX38,"")))</f>
        <v/>
      </c>
      <c r="FJ38" s="140">
        <f>IF($FI38="",0,(LEN($FI38)-LEN(SUBSTITUTE($FI38," · ","")))/3+1)</f>
        <v/>
      </c>
      <c r="FK38" s="140">
        <f>IF($DI38=0,"",TEXTJOIN(" · ",TRUE,IF($EN38&gt;2*$CX38,"A devolução parou no teto de "&amp;2*$CX38,""),IF($EQ38&gt;0,"Devolução perdida: "&amp;$EQ38&amp;IF($EQ38&gt;1," pontos"," ponto")&amp;" sem peça para pagar",""),IF(AND($DU38&gt;0,$ES38=0),"Controle sem dano: uma rodada a mais e CD +2",""),IF(AND($DU38&gt;0,$ES38&gt;0,$ES38&lt;=$CX38),"Controle com um quarto do teto: uma rodada a mais","")))</f>
        <v/>
      </c>
      <c r="FL38" s="140">
        <f>IF($FK38="",0,(LEN($FK38)-LEN(SUBSTITUTE($FK38," · ","")))/3+1)</f>
        <v/>
      </c>
      <c r="FM38" s="140">
        <f>IF($DI38=0,IF($EK38+$EL38-$DV38&gt;0,"dê um nome",""),IF($FJ38&gt;0,"⚠ "&amp;$FJ38&amp;IF($FJ38&gt;1," erros"," erro"),IF($FL38&gt;0,"! "&amp;$FL38&amp;IF($FL38&gt;1," avisos"," aviso"),"na regra")))</f>
        <v/>
      </c>
      <c r="FN38" s="140">
        <f>IF($DI38=0,"",IF($FJ38+$FL38=0,"Dentro das regras que a ficha confere",$FI38&amp;IF(AND($FJ38&gt;0,$FL38&gt;0)," · ","")&amp;$FK38))</f>
        <v/>
      </c>
      <c r="FO38" s="140">
        <f>IF($DI38=0,"",IF($CV38=1,CEILING(4.5*$CX38,1),3*$CX38)&amp;" PE")</f>
        <v/>
      </c>
      <c r="FP38" s="140">
        <f>IF($DI38=0,"",IF($CV38=1,"Rodada inteira",IF(COUNTIF($EA38:$EB38,"Atrasar")&gt;0,IF(COUNTIF($EA38:$EB38,"Carregar")&gt;0,"Rodada +1 turno","Rodada inteira"),IF(COUNTIF($DA38:$DD38,"Rápido")&gt;0,"Bônus",IF(COUNTIF($DA38:$DD38,"Reação")&gt;0,"Reação","Padrão"))&amp;IF(COUNTIF($EA38:$EB38,"Carregar")&gt;0," +1 turno",""))))</f>
        <v/>
      </c>
      <c r="FQ38" s="140">
        <f>IF(OR($DI38=0,$DJ38=0),"",IF(COUNTIF($DA38:$DD38,"Inescapável")&gt;0,"Automático",IF(COUNTIF($DA38:$DD38,"Certeiro")&gt;0,"TR para metade",INDEX($X$2:$X$11,$DJ38))))</f>
        <v/>
      </c>
      <c r="FR38" s="140">
        <f>IF(OR($DI38=0,$DJ38=0),"",IF(OR($DW38&gt;=2,$ES38=0),INDEX($FB38:$FH38,1,$CX38),INDEX($FB38:$FH38,1,$CX38)&amp;" = "&amp;FLOOR($ES38*4.5,1)&amp;IF($ET38&gt;0," · +"&amp;$ET38&amp;"d8","")))</f>
        <v/>
      </c>
      <c r="FS38" s="140">
        <f>COUNTIF($DA38:$DD38,"Longe")+3*COUNTIF($DA38:$DD38,"Muito Longe")</f>
        <v/>
      </c>
      <c r="FT38" s="140">
        <f>COUNTIF($DA38:$DD38,"Maior")+3*COUNTIF($DA38:$DD38,"Muito Maior")</f>
        <v/>
      </c>
      <c r="FU38" s="140">
        <f>IF($DJ38=0,0,CHOOSE(1+INDEX($Z$2:$Z$11,$DJ38),0,$FS38,$FT38,$FS38+$FT38))</f>
        <v/>
      </c>
      <c r="FV38" s="140">
        <f>IF($DJ38=0,0,CHOOSE(1+INDEX($AA$2:$AA$11,$DJ38),0,$FS38,$FT38,$FS38+$FT38))</f>
        <v/>
      </c>
      <c r="FW38" s="140">
        <f>IF(OR($DI38=0,$DJ38=0),"",INDEX($AH$2:$AM$31,($DJ38-1)*3+IF($CX38&gt;=6,3,2),1+MIN(5,$FU38))&amp;INDEX($AN$2:$AS$31,($DJ38-1)*3+IF($CX38&gt;=6,3,2),1+MIN(5,$FV38))&amp;IF(INDEX($AB$2:$AB$11,$DJ38)=1,IF(COUNTIF($DA38:$DD38,"Mais Um")&gt;0," · +"&amp;COUNTIF($DA38:$DD38,"Mais Um")&amp;IF(COUNTIF($DA38:$DD38,"Mais Um")&gt;1," alvos"," alvo"),"")&amp;IF(COUNTIF($DA38:$DD38,"Rajada")&gt;0," · "&amp;($CX38+1)&amp;" tiros",""),""))</f>
        <v/>
      </c>
      <c r="FX38" s="140">
        <f>IF($DI38=0,"",3*$CX38&amp;" − "&amp;$EM38&amp;" + "&amp;$EP38&amp;IF($CV38=1," + "&amp;$CX38,"")&amp;" = "&amp;$ES38&amp;"d8 · teto "&amp;4*$CX38&amp;IF($DV38=1," · a Forma devolve "&amp;$CX38,"")&amp;IF($EQ38&gt;0," · perde "&amp;$EQ38,""))</f>
        <v/>
      </c>
      <c r="FY38" s="140">
        <f>IF($DI38=0,"",IF($CX38&gt;=$GH$4,"Já está na maior Classe que o nível liberou",TEXTJOIN(" · ",TRUE,IF(AND(2&gt;$CX38,2&lt;=$GH$4),"2 → "&amp;$FC38&amp;", "&amp;IF($CV38=1,9,6)&amp;" PE",""),IF(AND(3&gt;$CX38,3&lt;=$GH$4),"3 → "&amp;$FD38&amp;", "&amp;IF($CV38=1,14,9)&amp;" PE",""),IF(AND(4&gt;$CX38,4&lt;=$GH$4),"4 → "&amp;$FE38&amp;", "&amp;IF($CV38=1,18,12)&amp;" PE",""),IF(AND(5&gt;$CX38,5&lt;=$GH$4),"5 → "&amp;$FF38&amp;", "&amp;IF($CV38=1,23,15)&amp;" PE",""),IF(AND(6&gt;$CX38,6&lt;=$GH$4),"6 → "&amp;$FG38&amp;", "&amp;IF($CV38=1,27,18)&amp;" PE",""),IF(AND(7&gt;$CX38,7&lt;=$GH$4),"7 → "&amp;$FH38&amp;", "&amp;IF($CV38=1,32,21)&amp;" PE",""))))</f>
        <v/>
      </c>
      <c r="FZ38" s="140">
        <f>IF(OR($DI38=0,$DL38=0),"","−"&amp;INDEX($I$2:$N$8,$CX38,$DL38)&amp;" · "&amp;CHOOSE($DL38,"Leve","Média","Pesada","Leve · Livre","Média · Livre","Pesada · Livre"))</f>
        <v/>
      </c>
      <c r="GA38" s="140">
        <f>IF(OR($DI38=0,$DM38=0),"","−"&amp;INDEX($I$2:$N$8,$CX38,$DM38)&amp;" · "&amp;CHOOSE($DM38,"Leve","Média","Pesada","Leve · Livre","Média · Livre","Pesada · Livre"))</f>
        <v/>
      </c>
      <c r="GB38" s="140">
        <f>IF(OR($DI38=0,$DN38=0),"","−"&amp;INDEX($I$2:$N$8,$CX38,$DN38)&amp;" · "&amp;CHOOSE($DN38,"Leve","Média","Pesada","Leve · Livre","Média · Livre","Pesada · Livre"))</f>
        <v/>
      </c>
      <c r="GC38" s="140">
        <f>IF(OR($DI38=0,$DO38=0),"","−"&amp;INDEX($I$2:$N$8,$CX38,$DO38)&amp;" · "&amp;CHOOSE($DO38,"Leve","Média","Pesada","Leve · Livre","Média · Livre","Pesada · Livre"))</f>
        <v/>
      </c>
      <c r="GD38" s="140">
        <f>IF(OR($DI38=0,$DE38=""),"",IF($DG38=1,"Selo","+"&amp;IF($DY38=1,CEILING($CX38/2,1),$CX38)))</f>
        <v/>
      </c>
      <c r="GE38" s="140">
        <f>IF(OR($DI38=0,$DF38=""),"",IF($DH38=1,"Selo","+"&amp;IF($DZ38=1,CEILING($CX38/2,1),$CX38)))</f>
        <v/>
      </c>
      <c r="GG38" s="114" t="inlineStr">
        <is>
          <t>fechada na técnica máxima</t>
        </is>
      </c>
      <c r="GH38" s="140">
        <f>IFERROR(VLOOKUP('FICHA AMALDIÇOADA'!$J$337,$Q$2:$U$11,5,FALSE),0)+IFERROR(VLOOKUP('FICHA AMALDIÇOADA'!$J$340,$AU$2:$BB$84,5,FALSE),0)+IFERROR(VLOOKUP('FICHA AMALDIÇOADA'!$L$340,$AU$2:$BB$84,5,FALSE),0)+IFERROR(VLOOKUP('FICHA AMALDIÇOADA'!$P$340,$AU$2:$BB$84,5,FALSE),0)+IFERROR(VLOOKUP('FICHA AMALDIÇOADA'!$R$340,$AU$2:$BB$84,5,FALSE),0)</f>
        <v/>
      </c>
    </row>
    <row r="39">
      <c r="AU39" s="114" t="inlineStr">
        <is>
          <t>Ecoa</t>
        </is>
      </c>
      <c r="AV39" s="114" t="inlineStr">
        <is>
          <t>Auxiliares</t>
        </is>
      </c>
      <c r="AW39" s="140" t="n">
        <v>2</v>
      </c>
      <c r="AX39" s="140">
        <f>$AW39+3*IFERROR(VLOOKUP($AV39,$A$2:$D$10,3,FALSE),0)</f>
        <v/>
      </c>
      <c r="AY39" s="140">
        <f>IFERROR(VLOOKUP($AV39,$A$2:$D$10,4,FALSE),0)</f>
        <v/>
      </c>
      <c r="AZ39" s="140" t="n">
        <v>0</v>
      </c>
      <c r="BA39" s="140">
        <f>IF($AY39=1,"",$AU39)</f>
        <v/>
      </c>
      <c r="BB39" s="140">
        <f>IF(AND($AW39=1,$AY39=0),$AU39,"")</f>
        <v/>
      </c>
      <c r="CU39" s="114" t="inlineStr">
        <is>
          <t>Liberação 2</t>
        </is>
      </c>
      <c r="CV39" s="140" t="n">
        <v>1</v>
      </c>
      <c r="CW39" s="140" t="n">
        <v>2</v>
      </c>
      <c r="CX39" s="140">
        <f>MAX(1,MIN(7,N('FICHA AMALDIÇOADA'!$J$313)))</f>
        <v/>
      </c>
      <c r="CY39" s="140">
        <f>'FICHA AMALDIÇOADA'!$K$313&amp;""</f>
        <v/>
      </c>
      <c r="CZ39" s="140">
        <f>'FICHA AMALDIÇOADA'!$J$320&amp;""</f>
        <v/>
      </c>
      <c r="DA39" s="140">
        <f>'FICHA AMALDIÇOADA'!$K$322&amp;""</f>
        <v/>
      </c>
      <c r="DB39" s="140">
        <f>'FICHA AMALDIÇOADA'!$K$323&amp;""</f>
        <v/>
      </c>
      <c r="DC39" s="140">
        <f>'FICHA AMALDIÇOADA'!$K$324&amp;""</f>
        <v/>
      </c>
      <c r="DD39" s="140">
        <f>'FICHA AMALDIÇOADA'!$K$325&amp;""</f>
        <v/>
      </c>
      <c r="DE39" s="140">
        <f>'FICHA AMALDIÇOADA'!$K$326&amp;""</f>
        <v/>
      </c>
      <c r="DF39" s="140">
        <f>'FICHA AMALDIÇOADA'!$K$327&amp;""</f>
        <v/>
      </c>
      <c r="DG39" s="140">
        <f>IF('FICHA AMALDIÇOADA'!$N$326=TRUE,1,0)</f>
        <v/>
      </c>
      <c r="DH39" s="140">
        <f>IF('FICHA AMALDIÇOADA'!$N$327=TRUE,1,0)</f>
        <v/>
      </c>
      <c r="DI39" s="140">
        <f>IF($CY39&lt;&gt;"",1,0)</f>
        <v/>
      </c>
      <c r="DJ39" s="140">
        <f>IFERROR(MATCH($CZ39,$Q$2:$Q$11,0),0)</f>
        <v/>
      </c>
      <c r="DK39" s="140">
        <f>IF($DJ39=0,0,INDEX($T$2:$T$11,$DJ39))</f>
        <v/>
      </c>
      <c r="DL39" s="140">
        <f>IFERROR(VLOOKUP($DA39,$AU$2:$BB$84,4,FALSE),0)</f>
        <v/>
      </c>
      <c r="DM39" s="140">
        <f>IFERROR(VLOOKUP($DB39,$AU$2:$BB$84,4,FALSE),0)</f>
        <v/>
      </c>
      <c r="DN39" s="140">
        <f>IFERROR(VLOOKUP($DC39,$AU$2:$BB$84,4,FALSE),0)</f>
        <v/>
      </c>
      <c r="DO39" s="140">
        <f>IFERROR(VLOOKUP($DD39,$AU$2:$BB$84,4,FALSE),0)</f>
        <v/>
      </c>
      <c r="DP39" s="140">
        <f>IF($DJ39=0,0,INDEX($U$2:$U$11,$DJ39))</f>
        <v/>
      </c>
      <c r="DQ39" s="140">
        <f>IFERROR(VLOOKUP($DA39,$AU$2:$BB$84,5,FALSE),0)</f>
        <v/>
      </c>
      <c r="DR39" s="140">
        <f>IFERROR(VLOOKUP($DB39,$AU$2:$BB$84,5,FALSE),0)</f>
        <v/>
      </c>
      <c r="DS39" s="140">
        <f>IFERROR(VLOOKUP($DC39,$AU$2:$BB$84,5,FALSE),0)</f>
        <v/>
      </c>
      <c r="DT39" s="140">
        <f>IFERROR(VLOOKUP($DD39,$AU$2:$BB$84,5,FALSE),0)</f>
        <v/>
      </c>
      <c r="DU39" s="140">
        <f>IFERROR(VLOOKUP($DA39,$AU$2:$BB$84,6,FALSE),0)+IFERROR(VLOOKUP($DB39,$AU$2:$BB$84,6,FALSE),0)+IFERROR(VLOOKUP($DC39,$AU$2:$BB$84,6,FALSE),0)+IFERROR(VLOOKUP($DD39,$AU$2:$BB$84,6,FALSE),0)</f>
        <v/>
      </c>
      <c r="DV39" s="140">
        <f>IF($DJ39=0,0,INDEX($V$2:$V$11,$DJ39))</f>
        <v/>
      </c>
      <c r="DW39" s="140">
        <f>IF($DJ39=0,0,INDEX($W$2:$W$11,$DJ39))</f>
        <v/>
      </c>
      <c r="DX39" s="140">
        <f>IF($DJ39=0,0,INDEX($Y$2:$Y$11,$DJ39))</f>
        <v/>
      </c>
      <c r="DY39" s="140">
        <f>IF($DG39=1,0,IFERROR(VLOOKUP($DE39,$BD$2:$BH$24,3,FALSE),0))</f>
        <v/>
      </c>
      <c r="DZ39" s="140">
        <f>IF($DH39=1,0,IFERROR(VLOOKUP($DF39,$BD$2:$BH$24,3,FALSE),0))</f>
        <v/>
      </c>
      <c r="EA39" s="140">
        <f>IFERROR(VLOOKUP($DE39,$BD$2:$BH$24,2,FALSE),"")</f>
        <v/>
      </c>
      <c r="EB39" s="140">
        <f>IFERROR(VLOOKUP($DF39,$BD$2:$BH$24,2,FALSE),"")</f>
        <v/>
      </c>
      <c r="EC39" s="140">
        <f>COUNTIF($DK39:$DO39,1)</f>
        <v/>
      </c>
      <c r="ED39" s="140">
        <f>COUNTIF($DK39:$DO39,2)</f>
        <v/>
      </c>
      <c r="EE39" s="140">
        <f>COUNTIF($DK39:$DO39,3)</f>
        <v/>
      </c>
      <c r="EF39" s="140">
        <f>COUNTIF($DK39:$DO39,4)</f>
        <v/>
      </c>
      <c r="EG39" s="140">
        <f>COUNTIF($DK39:$DO39,5)</f>
        <v/>
      </c>
      <c r="EH39" s="140">
        <f>COUNTIF($DK39:$DO39,6)</f>
        <v/>
      </c>
      <c r="EI39" s="140">
        <f>COUNTIF($DY39:$DZ39,1)</f>
        <v/>
      </c>
      <c r="EJ39" s="140">
        <f>COUNTIF($DY39:$DZ39,2)+$DV39</f>
        <v/>
      </c>
      <c r="EK39" s="140">
        <f>COUNTIF($DA39:$DD39,"?*")</f>
        <v/>
      </c>
      <c r="EL39" s="140">
        <f>COUNTIF($DE39:$DF39,"?*")+$DV39</f>
        <v/>
      </c>
      <c r="EM39" s="140">
        <f>SUMPRODUCT($EC39:$EH39,INDEX($I$2:$N$8,$CX39,0))</f>
        <v/>
      </c>
      <c r="EN39" s="140">
        <f>$EI39*CEILING($CX39/2,1)+$EJ39*$CX39</f>
        <v/>
      </c>
      <c r="EO39" s="140">
        <f>MIN(2*$CX39,$EN39)</f>
        <v/>
      </c>
      <c r="EP39" s="140">
        <f>MIN($EO39,$EM39)</f>
        <v/>
      </c>
      <c r="EQ39" s="140">
        <f>$EO39-$EP39</f>
        <v/>
      </c>
      <c r="ER39" s="140">
        <f>3*$CX39-$EM39+$EP39</f>
        <v/>
      </c>
      <c r="ES39" s="140">
        <f>MAX(0,$ER39)+$CV39*$CX39</f>
        <v/>
      </c>
      <c r="ET39" s="140">
        <f>(IF(COUNTIF($DA39:$DD39,"Salto")&gt;0,1,0)+IF(COUNTIF($DA39:$DD39,"Queima")&gt;0,1,0))*FLOOR($ES39/2,1)</f>
        <v/>
      </c>
      <c r="EU39" s="140">
        <f>MAX(0,3-SUMPRODUCT($EC39:$EH39,$I$2:$N$2)+MIN(2,$EI39*1+$EJ39*1,SUMPRODUCT($EC39:$EH39,$I$2:$N$2)))+$CV39*1</f>
        <v/>
      </c>
      <c r="EV39" s="140">
        <f>MAX(0,6-SUMPRODUCT($EC39:$EH39,$I$3:$N$3)+MIN(4,$EI39*1+$EJ39*2,SUMPRODUCT($EC39:$EH39,$I$3:$N$3)))+$CV39*2</f>
        <v/>
      </c>
      <c r="EW39" s="140">
        <f>MAX(0,9-SUMPRODUCT($EC39:$EH39,$I$4:$N$4)+MIN(6,$EI39*2+$EJ39*3,SUMPRODUCT($EC39:$EH39,$I$4:$N$4)))+$CV39*3</f>
        <v/>
      </c>
      <c r="EX39" s="140">
        <f>MAX(0,12-SUMPRODUCT($EC39:$EH39,$I$5:$N$5)+MIN(8,$EI39*2+$EJ39*4,SUMPRODUCT($EC39:$EH39,$I$5:$N$5)))+$CV39*4</f>
        <v/>
      </c>
      <c r="EY39" s="140">
        <f>MAX(0,15-SUMPRODUCT($EC39:$EH39,$I$6:$N$6)+MIN(10,$EI39*3+$EJ39*5,SUMPRODUCT($EC39:$EH39,$I$6:$N$6)))+$CV39*5</f>
        <v/>
      </c>
      <c r="EZ39" s="140">
        <f>MAX(0,18-SUMPRODUCT($EC39:$EH39,$I$7:$N$7)+MIN(12,$EI39*3+$EJ39*6,SUMPRODUCT($EC39:$EH39,$I$7:$N$7)))+$CV39*6</f>
        <v/>
      </c>
      <c r="FA39" s="140">
        <f>MAX(0,21-SUMPRODUCT($EC39:$EH39,$I$8:$N$8)+MIN(14,$EI39*4+$EJ39*7,SUMPRODUCT($EC39:$EH39,$I$8:$N$8)))+$CV39*7</f>
        <v/>
      </c>
      <c r="FB39" s="140">
        <f>IF($DW39=2,3*$EU39&amp;" de vida temp.",IF($DW39=3,"sem dano",IF($EU39=0,IF($DW39=1,"sem cura","sem dano"),IF($DW39=1,"cura ","")&amp;$EU39&amp;"d8")))</f>
        <v/>
      </c>
      <c r="FC39" s="140">
        <f>IF($DW39=2,3*$EV39&amp;" de vida temp.",IF($DW39=3,"sem dano",IF($EV39=0,IF($DW39=1,"sem cura","sem dano"),IF($DW39=1,"cura ","")&amp;$EV39&amp;"d8")))</f>
        <v/>
      </c>
      <c r="FD39" s="140">
        <f>IF($DW39=2,3*$EW39&amp;" de vida temp.",IF($DW39=3,"sem dano",IF($EW39=0,IF($DW39=1,"sem cura","sem dano"),IF($DW39=1,"cura ","")&amp;$EW39&amp;"d8")))</f>
        <v/>
      </c>
      <c r="FE39" s="140">
        <f>IF($DW39=2,3*$EX39&amp;" de vida temp.",IF($DW39=3,"sem dano",IF($EX39=0,IF($DW39=1,"sem cura","sem dano"),IF($DW39=1,"cura ","")&amp;$EX39&amp;"d8")))</f>
        <v/>
      </c>
      <c r="FF39" s="140">
        <f>IF($DW39=2,3*$EY39&amp;" de vida temp.",IF($DW39=3,"sem dano",IF($EY39=0,IF($DW39=1,"sem cura","sem dano"),IF($DW39=1,"cura ","")&amp;$EY39&amp;"d8")))</f>
        <v/>
      </c>
      <c r="FG39" s="140">
        <f>IF($DW39=2,3*$EZ39&amp;" de vida temp.",IF($DW39=3,"sem dano",IF($EZ39=0,IF($DW39=1,"sem cura","sem dano"),IF($DW39=1,"cura ","")&amp;$EZ39&amp;"d8")))</f>
        <v/>
      </c>
      <c r="FH39" s="140">
        <f>IF($DW39=2,3*$FA39&amp;" de vida temp.",IF($DW39=3,"sem dano",IF($FA39=0,IF($DW39=1,"sem cura","sem dano"),IF($DW39=1,"cura ","")&amp;$FA39&amp;"d8")))</f>
        <v/>
      </c>
      <c r="FI39" s="140">
        <f>IF($DI39=0,"",TEXTJOIN(" · ",TRUE,IF(AND($CV39=1,$CW39&gt;$GH$9),"O nível "&amp;$GH$2&amp;" dá "&amp;$GH$9&amp;" Liberação Máxima",""),IF($CX39&gt;$GH$4,"Classe "&amp;$CX39&amp;": o nível "&amp;$GH$2&amp;" libera até a "&amp;$GH$4,""),IF($DP39=1,"Família Fechada: a Forma "&amp;$CZ39,""),IF($DQ39=1,"Família Fechada: "&amp;$DA39,""),IF($DR39=1,"Família Fechada: "&amp;$DB39,""),IF($DS39=1,"Família Fechada: "&amp;$DC39,""),IF($DT39=1,"Família Fechada: "&amp;$DD39,""),IF($EK39&gt;INDEX($O$2:$O$8,$CX39),$EK39&amp;" Melhorias: a Classe "&amp;$CX39&amp;" aceita "&amp;INDEX($O$2:$O$8,$CX39),""),IF($EL39&gt;2,$EL39&amp;" Restrições"&amp;IF($DV39=1,", contando a que a Forma "&amp;$CZ39&amp;" já traz","")&amp;": o limite é 2",""),IF($ER39&lt;0,"Orçamento estourado: faltam "&amp;(-$ER39)&amp;IF($ER39&lt;-1," pontos"," ponto"),""),IF(IFERROR(VLOOKUP($DE39,$BD$2:$BH$24,4,FALSE),0)+IFERROR(VLOOKUP($DF39,$BD$2:$BH$24,4,FALSE),0)&gt;1,$EA39&amp;" e "&amp;$EB39&amp;" são as duas de frequência",""),IF(AND((COUNTIF($DA39:$DD39,"Rápido")+COUNTIF($EA39:$EB39,"Rápido"))&gt;0,(COUNTIF($DA39:$DD39,"Reação")+COUNTIF($EA39:$EB39,"Reação"))&gt;0),"Rápido não entra com Reação",""),IF(AND((COUNTIF($DA39:$DD39,"Rápido")+COUNTIF($EA39:$EB39,"Rápido"))&gt;0,(COUNTIF($DA39:$DD39,"Atrasar")+COUNTIF($EA39:$EB39,"Atrasar"))&gt;0),"Rápido não entra com Atrasar",""),IF(AND((COUNTIF($DA39:$DD39,"Reação")+COUNTIF($EA39:$EB39,"Reação"))&gt;0,(COUNTIF($DA39:$DD39,"Atrasar")+COUNTIF($EA39:$EB39,"Atrasar"))&gt;0),"Reação não entra com Atrasar",""),IF(AND((COUNTIF($DA39:$DD39,"Reação")+COUNTIF($EA39:$EB39,"Reação"))&gt;0,(COUNTIF($DA39:$DD39,"Parado")+COUNTIF($EA39:$EB39,"Parado"))&gt;0),"Reação não entra com Parado",""),IF(AND(COUNTIF($EA39:$EB39,"Corpo a Corpo")&gt;0,$DV39=0,OR($CZ39="Cone",$CZ39="Linha")),"Corpo a Corpo não entra em "&amp;$CZ39,""),IF(AND(COUNTIF($EA39:$EB39,"Corpo a Corpo")&gt;0,$DV39=1),"A Forma "&amp;$CZ39&amp;" já traz o Corpo a Corpo",""),IF(AND(COUNTIF($EA39:$EB39,"Tudo ou Nada")&gt;0,$DX39=0),"Tudo ou Nada só entra em feitiço de Teste de Resistência",""),IF(AND(COUNTIF($DA39:$DD39,"Inescapável")&gt;0,OR($EK39&gt;1,$EL39&gt;0)),"Inescapável não aceita outra peça",""),IF(AND($CV39=1,$CX39&lt;3),"Liberação Máxima é de Classe 3 ou mais",""),IF(AND($CV39=1,OR($DW39=1,$DW39=2)),"Liberação Máxima não serve para cura",""),IF(AND($CV39=1,COUNTIF($DA39:$DD39,"Inescapável")+COUNTIF($DA39:$DD39,"Toca a Alma")&gt;0),"Esta peça não entra numa Liberação Máxima",""),IF($ES39+$ET39&gt;4*$CX39,($ES39+$ET39)&amp;" dados somando alvos e repetições: o teto da Classe "&amp;$CX39&amp;" é "&amp;4*$CX39,"")))</f>
        <v/>
      </c>
      <c r="FJ39" s="140">
        <f>IF($FI39="",0,(LEN($FI39)-LEN(SUBSTITUTE($FI39," · ","")))/3+1)</f>
        <v/>
      </c>
      <c r="FK39" s="140">
        <f>IF($DI39=0,"",TEXTJOIN(" · ",TRUE,IF($EN39&gt;2*$CX39,"A devolução parou no teto de "&amp;2*$CX39,""),IF($EQ39&gt;0,"Devolução perdida: "&amp;$EQ39&amp;IF($EQ39&gt;1," pontos"," ponto")&amp;" sem peça para pagar",""),IF(AND($DU39&gt;0,$ES39=0),"Controle sem dano: uma rodada a mais e CD +2",""),IF(AND($DU39&gt;0,$ES39&gt;0,$ES39&lt;=$CX39),"Controle com um quarto do teto: uma rodada a mais","")))</f>
        <v/>
      </c>
      <c r="FL39" s="140">
        <f>IF($FK39="",0,(LEN($FK39)-LEN(SUBSTITUTE($FK39," · ","")))/3+1)</f>
        <v/>
      </c>
      <c r="FM39" s="140">
        <f>IF($DI39=0,IF($EK39+$EL39-$DV39&gt;0,"dê um nome",""),IF($FJ39&gt;0,"⚠ "&amp;$FJ39&amp;IF($FJ39&gt;1," erros"," erro"),IF($FL39&gt;0,"! "&amp;$FL39&amp;IF($FL39&gt;1," avisos"," aviso"),"na regra")))</f>
        <v/>
      </c>
      <c r="FN39" s="140">
        <f>IF($DI39=0,"",IF($FJ39+$FL39=0,"Dentro das regras que a ficha confere",$FI39&amp;IF(AND($FJ39&gt;0,$FL39&gt;0)," · ","")&amp;$FK39))</f>
        <v/>
      </c>
      <c r="FO39" s="140">
        <f>IF($DI39=0,"",IF($CV39=1,CEILING(4.5*$CX39,1),3*$CX39)&amp;" PE")</f>
        <v/>
      </c>
      <c r="FP39" s="140">
        <f>IF($DI39=0,"",IF($CV39=1,"Rodada inteira",IF(COUNTIF($EA39:$EB39,"Atrasar")&gt;0,IF(COUNTIF($EA39:$EB39,"Carregar")&gt;0,"Rodada +1 turno","Rodada inteira"),IF(COUNTIF($DA39:$DD39,"Rápido")&gt;0,"Bônus",IF(COUNTIF($DA39:$DD39,"Reação")&gt;0,"Reação","Padrão"))&amp;IF(COUNTIF($EA39:$EB39,"Carregar")&gt;0," +1 turno",""))))</f>
        <v/>
      </c>
      <c r="FQ39" s="140">
        <f>IF(OR($DI39=0,$DJ39=0),"",IF(COUNTIF($DA39:$DD39,"Inescapável")&gt;0,"Automático",IF(COUNTIF($DA39:$DD39,"Certeiro")&gt;0,"TR para metade",INDEX($X$2:$X$11,$DJ39))))</f>
        <v/>
      </c>
      <c r="FR39" s="140">
        <f>IF(OR($DI39=0,$DJ39=0),"",IF(OR($DW39&gt;=2,$ES39=0),INDEX($FB39:$FH39,1,$CX39),INDEX($FB39:$FH39,1,$CX39)&amp;" = "&amp;FLOOR($ES39*4.5,1)&amp;IF($ET39&gt;0," · +"&amp;$ET39&amp;"d8","")))</f>
        <v/>
      </c>
      <c r="FS39" s="140">
        <f>COUNTIF($DA39:$DD39,"Longe")+3*COUNTIF($DA39:$DD39,"Muito Longe")</f>
        <v/>
      </c>
      <c r="FT39" s="140">
        <f>COUNTIF($DA39:$DD39,"Maior")+3*COUNTIF($DA39:$DD39,"Muito Maior")</f>
        <v/>
      </c>
      <c r="FU39" s="140">
        <f>IF($DJ39=0,0,CHOOSE(1+INDEX($Z$2:$Z$11,$DJ39),0,$FS39,$FT39,$FS39+$FT39))</f>
        <v/>
      </c>
      <c r="FV39" s="140">
        <f>IF($DJ39=0,0,CHOOSE(1+INDEX($AA$2:$AA$11,$DJ39),0,$FS39,$FT39,$FS39+$FT39))</f>
        <v/>
      </c>
      <c r="FW39" s="140">
        <f>IF(OR($DI39=0,$DJ39=0),"",INDEX($AH$2:$AM$31,($DJ39-1)*3+IF($CX39&gt;=6,3,2),1+MIN(5,$FU39))&amp;INDEX($AN$2:$AS$31,($DJ39-1)*3+IF($CX39&gt;=6,3,2),1+MIN(5,$FV39))&amp;IF(INDEX($AB$2:$AB$11,$DJ39)=1,IF(COUNTIF($DA39:$DD39,"Mais Um")&gt;0," · +"&amp;COUNTIF($DA39:$DD39,"Mais Um")&amp;IF(COUNTIF($DA39:$DD39,"Mais Um")&gt;1," alvos"," alvo"),"")&amp;IF(COUNTIF($DA39:$DD39,"Rajada")&gt;0," · "&amp;($CX39+1)&amp;" tiros",""),""))</f>
        <v/>
      </c>
      <c r="FX39" s="140">
        <f>IF($DI39=0,"",3*$CX39&amp;" − "&amp;$EM39&amp;" + "&amp;$EP39&amp;IF($CV39=1," + "&amp;$CX39,"")&amp;" = "&amp;$ES39&amp;"d8 · teto "&amp;4*$CX39&amp;IF($DV39=1," · a Forma devolve "&amp;$CX39,"")&amp;IF($EQ39&gt;0," · perde "&amp;$EQ39,""))</f>
        <v/>
      </c>
      <c r="FY39" s="140">
        <f>IF($DI39=0,"",IF($CX39&gt;=$GH$4,"Já está na maior Classe que o nível liberou",TEXTJOIN(" · ",TRUE,IF(AND(2&gt;$CX39,2&lt;=$GH$4),"2 → "&amp;$FC39&amp;", "&amp;IF($CV39=1,9,6)&amp;" PE",""),IF(AND(3&gt;$CX39,3&lt;=$GH$4),"3 → "&amp;$FD39&amp;", "&amp;IF($CV39=1,14,9)&amp;" PE",""),IF(AND(4&gt;$CX39,4&lt;=$GH$4),"4 → "&amp;$FE39&amp;", "&amp;IF($CV39=1,18,12)&amp;" PE",""),IF(AND(5&gt;$CX39,5&lt;=$GH$4),"5 → "&amp;$FF39&amp;", "&amp;IF($CV39=1,23,15)&amp;" PE",""),IF(AND(6&gt;$CX39,6&lt;=$GH$4),"6 → "&amp;$FG39&amp;", "&amp;IF($CV39=1,27,18)&amp;" PE",""),IF(AND(7&gt;$CX39,7&lt;=$GH$4),"7 → "&amp;$FH39&amp;", "&amp;IF($CV39=1,32,21)&amp;" PE",""))))</f>
        <v/>
      </c>
      <c r="FZ39" s="140">
        <f>IF(OR($DI39=0,$DL39=0),"","−"&amp;INDEX($I$2:$N$8,$CX39,$DL39)&amp;" · "&amp;CHOOSE($DL39,"Leve","Média","Pesada","Leve · Livre","Média · Livre","Pesada · Livre"))</f>
        <v/>
      </c>
      <c r="GA39" s="140">
        <f>IF(OR($DI39=0,$DM39=0),"","−"&amp;INDEX($I$2:$N$8,$CX39,$DM39)&amp;" · "&amp;CHOOSE($DM39,"Leve","Média","Pesada","Leve · Livre","Média · Livre","Pesada · Livre"))</f>
        <v/>
      </c>
      <c r="GB39" s="140">
        <f>IF(OR($DI39=0,$DN39=0),"","−"&amp;INDEX($I$2:$N$8,$CX39,$DN39)&amp;" · "&amp;CHOOSE($DN39,"Leve","Média","Pesada","Leve · Livre","Média · Livre","Pesada · Livre"))</f>
        <v/>
      </c>
      <c r="GC39" s="140">
        <f>IF(OR($DI39=0,$DO39=0),"","−"&amp;INDEX($I$2:$N$8,$CX39,$DO39)&amp;" · "&amp;CHOOSE($DO39,"Leve","Média","Pesada","Leve · Livre","Média · Livre","Pesada · Livre"))</f>
        <v/>
      </c>
      <c r="GD39" s="140">
        <f>IF(OR($DI39=0,$DE39=""),"",IF($DG39=1,"Selo","+"&amp;IF($DY39=1,CEILING($CX39/2,1),$CX39)))</f>
        <v/>
      </c>
      <c r="GE39" s="140">
        <f>IF(OR($DI39=0,$DF39=""),"",IF($DH39=1,"Selo","+"&amp;IF($DZ39=1,CEILING($CX39/2,1),$CX39)))</f>
        <v/>
      </c>
    </row>
    <row r="40">
      <c r="AU40" s="114" t="inlineStr">
        <is>
          <t>Queima</t>
        </is>
      </c>
      <c r="AV40" s="114" t="inlineStr">
        <is>
          <t>Castigo</t>
        </is>
      </c>
      <c r="AW40" s="140" t="n">
        <v>2</v>
      </c>
      <c r="AX40" s="140">
        <f>$AW40+3*IFERROR(VLOOKUP($AV40,$A$2:$D$10,3,FALSE),0)</f>
        <v/>
      </c>
      <c r="AY40" s="140">
        <f>IFERROR(VLOOKUP($AV40,$A$2:$D$10,4,FALSE),0)</f>
        <v/>
      </c>
      <c r="AZ40" s="140" t="n">
        <v>0</v>
      </c>
      <c r="BA40" s="140">
        <f>IF($AY40=1,"",$AU40)</f>
        <v/>
      </c>
      <c r="BB40" s="140">
        <f>IF(AND($AW40=1,$AY40=0),$AU40,"")</f>
        <v/>
      </c>
      <c r="CU40" s="114" t="inlineStr">
        <is>
          <t>Liberação 3</t>
        </is>
      </c>
      <c r="CV40" s="140" t="n">
        <v>1</v>
      </c>
      <c r="CW40" s="140" t="n">
        <v>3</v>
      </c>
      <c r="CX40" s="140">
        <f>MAX(1,MIN(7,N('FICHA AMALDIÇOADA'!$P$313)))</f>
        <v/>
      </c>
      <c r="CY40" s="140">
        <f>'FICHA AMALDIÇOADA'!$Q$313&amp;""</f>
        <v/>
      </c>
      <c r="CZ40" s="140">
        <f>'FICHA AMALDIÇOADA'!$P$320&amp;""</f>
        <v/>
      </c>
      <c r="DA40" s="140">
        <f>'FICHA AMALDIÇOADA'!$Q$322&amp;""</f>
        <v/>
      </c>
      <c r="DB40" s="140">
        <f>'FICHA AMALDIÇOADA'!$Q$323&amp;""</f>
        <v/>
      </c>
      <c r="DC40" s="140">
        <f>'FICHA AMALDIÇOADA'!$Q$324&amp;""</f>
        <v/>
      </c>
      <c r="DD40" s="140">
        <f>'FICHA AMALDIÇOADA'!$Q$325&amp;""</f>
        <v/>
      </c>
      <c r="DE40" s="140">
        <f>'FICHA AMALDIÇOADA'!$Q$326&amp;""</f>
        <v/>
      </c>
      <c r="DF40" s="140">
        <f>'FICHA AMALDIÇOADA'!$Q$327&amp;""</f>
        <v/>
      </c>
      <c r="DG40" s="140">
        <f>IF('FICHA AMALDIÇOADA'!$T$326=TRUE,1,0)</f>
        <v/>
      </c>
      <c r="DH40" s="140">
        <f>IF('FICHA AMALDIÇOADA'!$T$327=TRUE,1,0)</f>
        <v/>
      </c>
      <c r="DI40" s="140">
        <f>IF($CY40&lt;&gt;"",1,0)</f>
        <v/>
      </c>
      <c r="DJ40" s="140">
        <f>IFERROR(MATCH($CZ40,$Q$2:$Q$11,0),0)</f>
        <v/>
      </c>
      <c r="DK40" s="140">
        <f>IF($DJ40=0,0,INDEX($T$2:$T$11,$DJ40))</f>
        <v/>
      </c>
      <c r="DL40" s="140">
        <f>IFERROR(VLOOKUP($DA40,$AU$2:$BB$84,4,FALSE),0)</f>
        <v/>
      </c>
      <c r="DM40" s="140">
        <f>IFERROR(VLOOKUP($DB40,$AU$2:$BB$84,4,FALSE),0)</f>
        <v/>
      </c>
      <c r="DN40" s="140">
        <f>IFERROR(VLOOKUP($DC40,$AU$2:$BB$84,4,FALSE),0)</f>
        <v/>
      </c>
      <c r="DO40" s="140">
        <f>IFERROR(VLOOKUP($DD40,$AU$2:$BB$84,4,FALSE),0)</f>
        <v/>
      </c>
      <c r="DP40" s="140">
        <f>IF($DJ40=0,0,INDEX($U$2:$U$11,$DJ40))</f>
        <v/>
      </c>
      <c r="DQ40" s="140">
        <f>IFERROR(VLOOKUP($DA40,$AU$2:$BB$84,5,FALSE),0)</f>
        <v/>
      </c>
      <c r="DR40" s="140">
        <f>IFERROR(VLOOKUP($DB40,$AU$2:$BB$84,5,FALSE),0)</f>
        <v/>
      </c>
      <c r="DS40" s="140">
        <f>IFERROR(VLOOKUP($DC40,$AU$2:$BB$84,5,FALSE),0)</f>
        <v/>
      </c>
      <c r="DT40" s="140">
        <f>IFERROR(VLOOKUP($DD40,$AU$2:$BB$84,5,FALSE),0)</f>
        <v/>
      </c>
      <c r="DU40" s="140">
        <f>IFERROR(VLOOKUP($DA40,$AU$2:$BB$84,6,FALSE),0)+IFERROR(VLOOKUP($DB40,$AU$2:$BB$84,6,FALSE),0)+IFERROR(VLOOKUP($DC40,$AU$2:$BB$84,6,FALSE),0)+IFERROR(VLOOKUP($DD40,$AU$2:$BB$84,6,FALSE),0)</f>
        <v/>
      </c>
      <c r="DV40" s="140">
        <f>IF($DJ40=0,0,INDEX($V$2:$V$11,$DJ40))</f>
        <v/>
      </c>
      <c r="DW40" s="140">
        <f>IF($DJ40=0,0,INDEX($W$2:$W$11,$DJ40))</f>
        <v/>
      </c>
      <c r="DX40" s="140">
        <f>IF($DJ40=0,0,INDEX($Y$2:$Y$11,$DJ40))</f>
        <v/>
      </c>
      <c r="DY40" s="140">
        <f>IF($DG40=1,0,IFERROR(VLOOKUP($DE40,$BD$2:$BH$24,3,FALSE),0))</f>
        <v/>
      </c>
      <c r="DZ40" s="140">
        <f>IF($DH40=1,0,IFERROR(VLOOKUP($DF40,$BD$2:$BH$24,3,FALSE),0))</f>
        <v/>
      </c>
      <c r="EA40" s="140">
        <f>IFERROR(VLOOKUP($DE40,$BD$2:$BH$24,2,FALSE),"")</f>
        <v/>
      </c>
      <c r="EB40" s="140">
        <f>IFERROR(VLOOKUP($DF40,$BD$2:$BH$24,2,FALSE),"")</f>
        <v/>
      </c>
      <c r="EC40" s="140">
        <f>COUNTIF($DK40:$DO40,1)</f>
        <v/>
      </c>
      <c r="ED40" s="140">
        <f>COUNTIF($DK40:$DO40,2)</f>
        <v/>
      </c>
      <c r="EE40" s="140">
        <f>COUNTIF($DK40:$DO40,3)</f>
        <v/>
      </c>
      <c r="EF40" s="140">
        <f>COUNTIF($DK40:$DO40,4)</f>
        <v/>
      </c>
      <c r="EG40" s="140">
        <f>COUNTIF($DK40:$DO40,5)</f>
        <v/>
      </c>
      <c r="EH40" s="140">
        <f>COUNTIF($DK40:$DO40,6)</f>
        <v/>
      </c>
      <c r="EI40" s="140">
        <f>COUNTIF($DY40:$DZ40,1)</f>
        <v/>
      </c>
      <c r="EJ40" s="140">
        <f>COUNTIF($DY40:$DZ40,2)+$DV40</f>
        <v/>
      </c>
      <c r="EK40" s="140">
        <f>COUNTIF($DA40:$DD40,"?*")</f>
        <v/>
      </c>
      <c r="EL40" s="140">
        <f>COUNTIF($DE40:$DF40,"?*")+$DV40</f>
        <v/>
      </c>
      <c r="EM40" s="140">
        <f>SUMPRODUCT($EC40:$EH40,INDEX($I$2:$N$8,$CX40,0))</f>
        <v/>
      </c>
      <c r="EN40" s="140">
        <f>$EI40*CEILING($CX40/2,1)+$EJ40*$CX40</f>
        <v/>
      </c>
      <c r="EO40" s="140">
        <f>MIN(2*$CX40,$EN40)</f>
        <v/>
      </c>
      <c r="EP40" s="140">
        <f>MIN($EO40,$EM40)</f>
        <v/>
      </c>
      <c r="EQ40" s="140">
        <f>$EO40-$EP40</f>
        <v/>
      </c>
      <c r="ER40" s="140">
        <f>3*$CX40-$EM40+$EP40</f>
        <v/>
      </c>
      <c r="ES40" s="140">
        <f>MAX(0,$ER40)+$CV40*$CX40</f>
        <v/>
      </c>
      <c r="ET40" s="140">
        <f>(IF(COUNTIF($DA40:$DD40,"Salto")&gt;0,1,0)+IF(COUNTIF($DA40:$DD40,"Queima")&gt;0,1,0))*FLOOR($ES40/2,1)</f>
        <v/>
      </c>
      <c r="EU40" s="140">
        <f>MAX(0,3-SUMPRODUCT($EC40:$EH40,$I$2:$N$2)+MIN(2,$EI40*1+$EJ40*1,SUMPRODUCT($EC40:$EH40,$I$2:$N$2)))+$CV40*1</f>
        <v/>
      </c>
      <c r="EV40" s="140">
        <f>MAX(0,6-SUMPRODUCT($EC40:$EH40,$I$3:$N$3)+MIN(4,$EI40*1+$EJ40*2,SUMPRODUCT($EC40:$EH40,$I$3:$N$3)))+$CV40*2</f>
        <v/>
      </c>
      <c r="EW40" s="140">
        <f>MAX(0,9-SUMPRODUCT($EC40:$EH40,$I$4:$N$4)+MIN(6,$EI40*2+$EJ40*3,SUMPRODUCT($EC40:$EH40,$I$4:$N$4)))+$CV40*3</f>
        <v/>
      </c>
      <c r="EX40" s="140">
        <f>MAX(0,12-SUMPRODUCT($EC40:$EH40,$I$5:$N$5)+MIN(8,$EI40*2+$EJ40*4,SUMPRODUCT($EC40:$EH40,$I$5:$N$5)))+$CV40*4</f>
        <v/>
      </c>
      <c r="EY40" s="140">
        <f>MAX(0,15-SUMPRODUCT($EC40:$EH40,$I$6:$N$6)+MIN(10,$EI40*3+$EJ40*5,SUMPRODUCT($EC40:$EH40,$I$6:$N$6)))+$CV40*5</f>
        <v/>
      </c>
      <c r="EZ40" s="140">
        <f>MAX(0,18-SUMPRODUCT($EC40:$EH40,$I$7:$N$7)+MIN(12,$EI40*3+$EJ40*6,SUMPRODUCT($EC40:$EH40,$I$7:$N$7)))+$CV40*6</f>
        <v/>
      </c>
      <c r="FA40" s="140">
        <f>MAX(0,21-SUMPRODUCT($EC40:$EH40,$I$8:$N$8)+MIN(14,$EI40*4+$EJ40*7,SUMPRODUCT($EC40:$EH40,$I$8:$N$8)))+$CV40*7</f>
        <v/>
      </c>
      <c r="FB40" s="140">
        <f>IF($DW40=2,3*$EU40&amp;" de vida temp.",IF($DW40=3,"sem dano",IF($EU40=0,IF($DW40=1,"sem cura","sem dano"),IF($DW40=1,"cura ","")&amp;$EU40&amp;"d8")))</f>
        <v/>
      </c>
      <c r="FC40" s="140">
        <f>IF($DW40=2,3*$EV40&amp;" de vida temp.",IF($DW40=3,"sem dano",IF($EV40=0,IF($DW40=1,"sem cura","sem dano"),IF($DW40=1,"cura ","")&amp;$EV40&amp;"d8")))</f>
        <v/>
      </c>
      <c r="FD40" s="140">
        <f>IF($DW40=2,3*$EW40&amp;" de vida temp.",IF($DW40=3,"sem dano",IF($EW40=0,IF($DW40=1,"sem cura","sem dano"),IF($DW40=1,"cura ","")&amp;$EW40&amp;"d8")))</f>
        <v/>
      </c>
      <c r="FE40" s="140">
        <f>IF($DW40=2,3*$EX40&amp;" de vida temp.",IF($DW40=3,"sem dano",IF($EX40=0,IF($DW40=1,"sem cura","sem dano"),IF($DW40=1,"cura ","")&amp;$EX40&amp;"d8")))</f>
        <v/>
      </c>
      <c r="FF40" s="140">
        <f>IF($DW40=2,3*$EY40&amp;" de vida temp.",IF($DW40=3,"sem dano",IF($EY40=0,IF($DW40=1,"sem cura","sem dano"),IF($DW40=1,"cura ","")&amp;$EY40&amp;"d8")))</f>
        <v/>
      </c>
      <c r="FG40" s="140">
        <f>IF($DW40=2,3*$EZ40&amp;" de vida temp.",IF($DW40=3,"sem dano",IF($EZ40=0,IF($DW40=1,"sem cura","sem dano"),IF($DW40=1,"cura ","")&amp;$EZ40&amp;"d8")))</f>
        <v/>
      </c>
      <c r="FH40" s="140">
        <f>IF($DW40=2,3*$FA40&amp;" de vida temp.",IF($DW40=3,"sem dano",IF($FA40=0,IF($DW40=1,"sem cura","sem dano"),IF($DW40=1,"cura ","")&amp;$FA40&amp;"d8")))</f>
        <v/>
      </c>
      <c r="FI40" s="140">
        <f>IF($DI40=0,"",TEXTJOIN(" · ",TRUE,IF(AND($CV40=1,$CW40&gt;$GH$9),"O nível "&amp;$GH$2&amp;" dá "&amp;$GH$9&amp;" Liberação Máxima",""),IF($CX40&gt;$GH$4,"Classe "&amp;$CX40&amp;": o nível "&amp;$GH$2&amp;" libera até a "&amp;$GH$4,""),IF($DP40=1,"Família Fechada: a Forma "&amp;$CZ40,""),IF($DQ40=1,"Família Fechada: "&amp;$DA40,""),IF($DR40=1,"Família Fechada: "&amp;$DB40,""),IF($DS40=1,"Família Fechada: "&amp;$DC40,""),IF($DT40=1,"Família Fechada: "&amp;$DD40,""),IF($EK40&gt;INDEX($O$2:$O$8,$CX40),$EK40&amp;" Melhorias: a Classe "&amp;$CX40&amp;" aceita "&amp;INDEX($O$2:$O$8,$CX40),""),IF($EL40&gt;2,$EL40&amp;" Restrições"&amp;IF($DV40=1,", contando a que a Forma "&amp;$CZ40&amp;" já traz","")&amp;": o limite é 2",""),IF($ER40&lt;0,"Orçamento estourado: faltam "&amp;(-$ER40)&amp;IF($ER40&lt;-1," pontos"," ponto"),""),IF(IFERROR(VLOOKUP($DE40,$BD$2:$BH$24,4,FALSE),0)+IFERROR(VLOOKUP($DF40,$BD$2:$BH$24,4,FALSE),0)&gt;1,$EA40&amp;" e "&amp;$EB40&amp;" são as duas de frequência",""),IF(AND((COUNTIF($DA40:$DD40,"Rápido")+COUNTIF($EA40:$EB40,"Rápido"))&gt;0,(COUNTIF($DA40:$DD40,"Reação")+COUNTIF($EA40:$EB40,"Reação"))&gt;0),"Rápido não entra com Reação",""),IF(AND((COUNTIF($DA40:$DD40,"Rápido")+COUNTIF($EA40:$EB40,"Rápido"))&gt;0,(COUNTIF($DA40:$DD40,"Atrasar")+COUNTIF($EA40:$EB40,"Atrasar"))&gt;0),"Rápido não entra com Atrasar",""),IF(AND((COUNTIF($DA40:$DD40,"Reação")+COUNTIF($EA40:$EB40,"Reação"))&gt;0,(COUNTIF($DA40:$DD40,"Atrasar")+COUNTIF($EA40:$EB40,"Atrasar"))&gt;0),"Reação não entra com Atrasar",""),IF(AND((COUNTIF($DA40:$DD40,"Reação")+COUNTIF($EA40:$EB40,"Reação"))&gt;0,(COUNTIF($DA40:$DD40,"Parado")+COUNTIF($EA40:$EB40,"Parado"))&gt;0),"Reação não entra com Parado",""),IF(AND(COUNTIF($EA40:$EB40,"Corpo a Corpo")&gt;0,$DV40=0,OR($CZ40="Cone",$CZ40="Linha")),"Corpo a Corpo não entra em "&amp;$CZ40,""),IF(AND(COUNTIF($EA40:$EB40,"Corpo a Corpo")&gt;0,$DV40=1),"A Forma "&amp;$CZ40&amp;" já traz o Corpo a Corpo",""),IF(AND(COUNTIF($EA40:$EB40,"Tudo ou Nada")&gt;0,$DX40=0),"Tudo ou Nada só entra em feitiço de Teste de Resistência",""),IF(AND(COUNTIF($DA40:$DD40,"Inescapável")&gt;0,OR($EK40&gt;1,$EL40&gt;0)),"Inescapável não aceita outra peça",""),IF(AND($CV40=1,$CX40&lt;3),"Liberação Máxima é de Classe 3 ou mais",""),IF(AND($CV40=1,OR($DW40=1,$DW40=2)),"Liberação Máxima não serve para cura",""),IF(AND($CV40=1,COUNTIF($DA40:$DD40,"Inescapável")+COUNTIF($DA40:$DD40,"Toca a Alma")&gt;0),"Esta peça não entra numa Liberação Máxima",""),IF($ES40+$ET40&gt;4*$CX40,($ES40+$ET40)&amp;" dados somando alvos e repetições: o teto da Classe "&amp;$CX40&amp;" é "&amp;4*$CX40,"")))</f>
        <v/>
      </c>
      <c r="FJ40" s="140">
        <f>IF($FI40="",0,(LEN($FI40)-LEN(SUBSTITUTE($FI40," · ","")))/3+1)</f>
        <v/>
      </c>
      <c r="FK40" s="140">
        <f>IF($DI40=0,"",TEXTJOIN(" · ",TRUE,IF($EN40&gt;2*$CX40,"A devolução parou no teto de "&amp;2*$CX40,""),IF($EQ40&gt;0,"Devolução perdida: "&amp;$EQ40&amp;IF($EQ40&gt;1," pontos"," ponto")&amp;" sem peça para pagar",""),IF(AND($DU40&gt;0,$ES40=0),"Controle sem dano: uma rodada a mais e CD +2",""),IF(AND($DU40&gt;0,$ES40&gt;0,$ES40&lt;=$CX40),"Controle com um quarto do teto: uma rodada a mais","")))</f>
        <v/>
      </c>
      <c r="FL40" s="140">
        <f>IF($FK40="",0,(LEN($FK40)-LEN(SUBSTITUTE($FK40," · ","")))/3+1)</f>
        <v/>
      </c>
      <c r="FM40" s="140">
        <f>IF($DI40=0,IF($EK40+$EL40-$DV40&gt;0,"dê um nome",""),IF($FJ40&gt;0,"⚠ "&amp;$FJ40&amp;IF($FJ40&gt;1," erros"," erro"),IF($FL40&gt;0,"! "&amp;$FL40&amp;IF($FL40&gt;1," avisos"," aviso"),"na regra")))</f>
        <v/>
      </c>
      <c r="FN40" s="140">
        <f>IF($DI40=0,"",IF($FJ40+$FL40=0,"Dentro das regras que a ficha confere",$FI40&amp;IF(AND($FJ40&gt;0,$FL40&gt;0)," · ","")&amp;$FK40))</f>
        <v/>
      </c>
      <c r="FO40" s="140">
        <f>IF($DI40=0,"",IF($CV40=1,CEILING(4.5*$CX40,1),3*$CX40)&amp;" PE")</f>
        <v/>
      </c>
      <c r="FP40" s="140">
        <f>IF($DI40=0,"",IF($CV40=1,"Rodada inteira",IF(COUNTIF($EA40:$EB40,"Atrasar")&gt;0,IF(COUNTIF($EA40:$EB40,"Carregar")&gt;0,"Rodada +1 turno","Rodada inteira"),IF(COUNTIF($DA40:$DD40,"Rápido")&gt;0,"Bônus",IF(COUNTIF($DA40:$DD40,"Reação")&gt;0,"Reação","Padrão"))&amp;IF(COUNTIF($EA40:$EB40,"Carregar")&gt;0," +1 turno",""))))</f>
        <v/>
      </c>
      <c r="FQ40" s="140">
        <f>IF(OR($DI40=0,$DJ40=0),"",IF(COUNTIF($DA40:$DD40,"Inescapável")&gt;0,"Automático",IF(COUNTIF($DA40:$DD40,"Certeiro")&gt;0,"TR para metade",INDEX($X$2:$X$11,$DJ40))))</f>
        <v/>
      </c>
      <c r="FR40" s="140">
        <f>IF(OR($DI40=0,$DJ40=0),"",IF(OR($DW40&gt;=2,$ES40=0),INDEX($FB40:$FH40,1,$CX40),INDEX($FB40:$FH40,1,$CX40)&amp;" = "&amp;FLOOR($ES40*4.5,1)&amp;IF($ET40&gt;0," · +"&amp;$ET40&amp;"d8","")))</f>
        <v/>
      </c>
      <c r="FS40" s="140">
        <f>COUNTIF($DA40:$DD40,"Longe")+3*COUNTIF($DA40:$DD40,"Muito Longe")</f>
        <v/>
      </c>
      <c r="FT40" s="140">
        <f>COUNTIF($DA40:$DD40,"Maior")+3*COUNTIF($DA40:$DD40,"Muito Maior")</f>
        <v/>
      </c>
      <c r="FU40" s="140">
        <f>IF($DJ40=0,0,CHOOSE(1+INDEX($Z$2:$Z$11,$DJ40),0,$FS40,$FT40,$FS40+$FT40))</f>
        <v/>
      </c>
      <c r="FV40" s="140">
        <f>IF($DJ40=0,0,CHOOSE(1+INDEX($AA$2:$AA$11,$DJ40),0,$FS40,$FT40,$FS40+$FT40))</f>
        <v/>
      </c>
      <c r="FW40" s="140">
        <f>IF(OR($DI40=0,$DJ40=0),"",INDEX($AH$2:$AM$31,($DJ40-1)*3+IF($CX40&gt;=6,3,2),1+MIN(5,$FU40))&amp;INDEX($AN$2:$AS$31,($DJ40-1)*3+IF($CX40&gt;=6,3,2),1+MIN(5,$FV40))&amp;IF(INDEX($AB$2:$AB$11,$DJ40)=1,IF(COUNTIF($DA40:$DD40,"Mais Um")&gt;0," · +"&amp;COUNTIF($DA40:$DD40,"Mais Um")&amp;IF(COUNTIF($DA40:$DD40,"Mais Um")&gt;1," alvos"," alvo"),"")&amp;IF(COUNTIF($DA40:$DD40,"Rajada")&gt;0," · "&amp;($CX40+1)&amp;" tiros",""),""))</f>
        <v/>
      </c>
      <c r="FX40" s="140">
        <f>IF($DI40=0,"",3*$CX40&amp;" − "&amp;$EM40&amp;" + "&amp;$EP40&amp;IF($CV40=1," + "&amp;$CX40,"")&amp;" = "&amp;$ES40&amp;"d8 · teto "&amp;4*$CX40&amp;IF($DV40=1," · a Forma devolve "&amp;$CX40,"")&amp;IF($EQ40&gt;0," · perde "&amp;$EQ40,""))</f>
        <v/>
      </c>
      <c r="FY40" s="140">
        <f>IF($DI40=0,"",IF($CX40&gt;=$GH$4,"Já está na maior Classe que o nível liberou",TEXTJOIN(" · ",TRUE,IF(AND(2&gt;$CX40,2&lt;=$GH$4),"2 → "&amp;$FC40&amp;", "&amp;IF($CV40=1,9,6)&amp;" PE",""),IF(AND(3&gt;$CX40,3&lt;=$GH$4),"3 → "&amp;$FD40&amp;", "&amp;IF($CV40=1,14,9)&amp;" PE",""),IF(AND(4&gt;$CX40,4&lt;=$GH$4),"4 → "&amp;$FE40&amp;", "&amp;IF($CV40=1,18,12)&amp;" PE",""),IF(AND(5&gt;$CX40,5&lt;=$GH$4),"5 → "&amp;$FF40&amp;", "&amp;IF($CV40=1,23,15)&amp;" PE",""),IF(AND(6&gt;$CX40,6&lt;=$GH$4),"6 → "&amp;$FG40&amp;", "&amp;IF($CV40=1,27,18)&amp;" PE",""),IF(AND(7&gt;$CX40,7&lt;=$GH$4),"7 → "&amp;$FH40&amp;", "&amp;IF($CV40=1,32,21)&amp;" PE",""))))</f>
        <v/>
      </c>
      <c r="FZ40" s="140">
        <f>IF(OR($DI40=0,$DL40=0),"","−"&amp;INDEX($I$2:$N$8,$CX40,$DL40)&amp;" · "&amp;CHOOSE($DL40,"Leve","Média","Pesada","Leve · Livre","Média · Livre","Pesada · Livre"))</f>
        <v/>
      </c>
      <c r="GA40" s="140">
        <f>IF(OR($DI40=0,$DM40=0),"","−"&amp;INDEX($I$2:$N$8,$CX40,$DM40)&amp;" · "&amp;CHOOSE($DM40,"Leve","Média","Pesada","Leve · Livre","Média · Livre","Pesada · Livre"))</f>
        <v/>
      </c>
      <c r="GB40" s="140">
        <f>IF(OR($DI40=0,$DN40=0),"","−"&amp;INDEX($I$2:$N$8,$CX40,$DN40)&amp;" · "&amp;CHOOSE($DN40,"Leve","Média","Pesada","Leve · Livre","Média · Livre","Pesada · Livre"))</f>
        <v/>
      </c>
      <c r="GC40" s="140">
        <f>IF(OR($DI40=0,$DO40=0),"","−"&amp;INDEX($I$2:$N$8,$CX40,$DO40)&amp;" · "&amp;CHOOSE($DO40,"Leve","Média","Pesada","Leve · Livre","Média · Livre","Pesada · Livre"))</f>
        <v/>
      </c>
      <c r="GD40" s="140">
        <f>IF(OR($DI40=0,$DE40=""),"",IF($DG40=1,"Selo","+"&amp;IF($DY40=1,CEILING($CX40/2,1),$CX40)))</f>
        <v/>
      </c>
      <c r="GE40" s="140">
        <f>IF(OR($DI40=0,$DF40=""),"",IF($DH40=1,"Selo","+"&amp;IF($DZ40=1,CEILING($CX40/2,1),$CX40)))</f>
        <v/>
      </c>
    </row>
    <row r="41">
      <c r="AU41" s="114" t="inlineStr">
        <is>
          <t>Acúmulo</t>
        </is>
      </c>
      <c r="AV41" s="114" t="inlineStr">
        <is>
          <t>Castigo</t>
        </is>
      </c>
      <c r="AW41" s="140" t="n">
        <v>2</v>
      </c>
      <c r="AX41" s="140">
        <f>$AW41+3*IFERROR(VLOOKUP($AV41,$A$2:$D$10,3,FALSE),0)</f>
        <v/>
      </c>
      <c r="AY41" s="140">
        <f>IFERROR(VLOOKUP($AV41,$A$2:$D$10,4,FALSE),0)</f>
        <v/>
      </c>
      <c r="AZ41" s="140" t="n">
        <v>0</v>
      </c>
      <c r="BA41" s="140">
        <f>IF($AY41=1,"",$AU41)</f>
        <v/>
      </c>
      <c r="BB41" s="140">
        <f>IF(AND($AW41=1,$AY41=0),$AU41,"")</f>
        <v/>
      </c>
    </row>
    <row r="42">
      <c r="AU42" s="114" t="inlineStr">
        <is>
          <t>Remate</t>
        </is>
      </c>
      <c r="AV42" s="114" t="inlineStr">
        <is>
          <t>Castigo</t>
        </is>
      </c>
      <c r="AW42" s="140" t="n">
        <v>2</v>
      </c>
      <c r="AX42" s="140">
        <f>$AW42+3*IFERROR(VLOOKUP($AV42,$A$2:$D$10,3,FALSE),0)</f>
        <v/>
      </c>
      <c r="AY42" s="140">
        <f>IFERROR(VLOOKUP($AV42,$A$2:$D$10,4,FALSE),0)</f>
        <v/>
      </c>
      <c r="AZ42" s="140" t="n">
        <v>0</v>
      </c>
      <c r="BA42" s="140">
        <f>IF($AY42=1,"",$AU42)</f>
        <v/>
      </c>
      <c r="BB42" s="140">
        <f>IF(AND($AW42=1,$AY42=0),$AU42,"")</f>
        <v/>
      </c>
    </row>
    <row r="43">
      <c r="AU43" s="114" t="inlineStr">
        <is>
          <t>Estilhaço</t>
        </is>
      </c>
      <c r="AV43" s="114" t="inlineStr">
        <is>
          <t>Castigo</t>
        </is>
      </c>
      <c r="AW43" s="140" t="n">
        <v>1</v>
      </c>
      <c r="AX43" s="140">
        <f>$AW43+3*IFERROR(VLOOKUP($AV43,$A$2:$D$10,3,FALSE),0)</f>
        <v/>
      </c>
      <c r="AY43" s="140">
        <f>IFERROR(VLOOKUP($AV43,$A$2:$D$10,4,FALSE),0)</f>
        <v/>
      </c>
      <c r="AZ43" s="140" t="n">
        <v>0</v>
      </c>
      <c r="BA43" s="140">
        <f>IF($AY43=1,"",$AU43)</f>
        <v/>
      </c>
      <c r="BB43" s="140">
        <f>IF(AND($AW43=1,$AY43=0),$AU43,"")</f>
        <v/>
      </c>
    </row>
    <row r="44">
      <c r="AU44" s="114" t="inlineStr">
        <is>
          <t>Quebra Coisa</t>
        </is>
      </c>
      <c r="AV44" s="114" t="inlineStr">
        <is>
          <t>Castigo</t>
        </is>
      </c>
      <c r="AW44" s="140" t="n">
        <v>1</v>
      </c>
      <c r="AX44" s="140">
        <f>$AW44+3*IFERROR(VLOOKUP($AV44,$A$2:$D$10,3,FALSE),0)</f>
        <v/>
      </c>
      <c r="AY44" s="140">
        <f>IFERROR(VLOOKUP($AV44,$A$2:$D$10,4,FALSE),0)</f>
        <v/>
      </c>
      <c r="AZ44" s="140" t="n">
        <v>0</v>
      </c>
      <c r="BA44" s="140">
        <f>IF($AY44=1,"",$AU44)</f>
        <v/>
      </c>
      <c r="BB44" s="140">
        <f>IF(AND($AW44=1,$AY44=0),$AU44,"")</f>
        <v/>
      </c>
    </row>
    <row r="45">
      <c r="AU45" s="114" t="inlineStr">
        <is>
          <t>Rasga Escudo</t>
        </is>
      </c>
      <c r="AV45" s="114" t="inlineStr">
        <is>
          <t>Castigo</t>
        </is>
      </c>
      <c r="AW45" s="140" t="n">
        <v>2</v>
      </c>
      <c r="AX45" s="140">
        <f>$AW45+3*IFERROR(VLOOKUP($AV45,$A$2:$D$10,3,FALSE),0)</f>
        <v/>
      </c>
      <c r="AY45" s="140">
        <f>IFERROR(VLOOKUP($AV45,$A$2:$D$10,4,FALSE),0)</f>
        <v/>
      </c>
      <c r="AZ45" s="140" t="n">
        <v>0</v>
      </c>
      <c r="BA45" s="140">
        <f>IF($AY45=1,"",$AU45)</f>
        <v/>
      </c>
      <c r="BB45" s="140">
        <f>IF(AND($AW45=1,$AY45=0),$AU45,"")</f>
        <v/>
      </c>
    </row>
    <row r="46">
      <c r="AU46" s="114" t="inlineStr">
        <is>
          <t>Sem Cura</t>
        </is>
      </c>
      <c r="AV46" s="114" t="inlineStr">
        <is>
          <t>Castigo</t>
        </is>
      </c>
      <c r="AW46" s="140" t="n">
        <v>2</v>
      </c>
      <c r="AX46" s="140">
        <f>$AW46+3*IFERROR(VLOOKUP($AV46,$A$2:$D$10,3,FALSE),0)</f>
        <v/>
      </c>
      <c r="AY46" s="140">
        <f>IFERROR(VLOOKUP($AV46,$A$2:$D$10,4,FALSE),0)</f>
        <v/>
      </c>
      <c r="AZ46" s="140" t="n">
        <v>0</v>
      </c>
      <c r="BA46" s="140">
        <f>IF($AY46=1,"",$AU46)</f>
        <v/>
      </c>
      <c r="BB46" s="140">
        <f>IF(AND($AW46=1,$AY46=0),$AU46,"")</f>
        <v/>
      </c>
    </row>
    <row r="47">
      <c r="AU47" s="114" t="inlineStr">
        <is>
          <t>Rápido</t>
        </is>
      </c>
      <c r="AV47" s="114" t="inlineStr">
        <is>
          <t>Tempo</t>
        </is>
      </c>
      <c r="AW47" s="140" t="n">
        <v>3</v>
      </c>
      <c r="AX47" s="140">
        <f>$AW47+3*IFERROR(VLOOKUP($AV47,$A$2:$D$10,3,FALSE),0)</f>
        <v/>
      </c>
      <c r="AY47" s="140">
        <f>IFERROR(VLOOKUP($AV47,$A$2:$D$10,4,FALSE),0)</f>
        <v/>
      </c>
      <c r="AZ47" s="140" t="n">
        <v>0</v>
      </c>
      <c r="BA47" s="140">
        <f>IF($AY47=1,"",$AU47)</f>
        <v/>
      </c>
      <c r="BB47" s="140">
        <f>IF(AND($AW47=1,$AY47=0),$AU47,"")</f>
        <v/>
      </c>
    </row>
    <row r="48">
      <c r="AU48" s="114" t="inlineStr">
        <is>
          <t>Reação</t>
        </is>
      </c>
      <c r="AV48" s="114" t="inlineStr">
        <is>
          <t>Tempo</t>
        </is>
      </c>
      <c r="AW48" s="140" t="n">
        <v>3</v>
      </c>
      <c r="AX48" s="140">
        <f>$AW48+3*IFERROR(VLOOKUP($AV48,$A$2:$D$10,3,FALSE),0)</f>
        <v/>
      </c>
      <c r="AY48" s="140">
        <f>IFERROR(VLOOKUP($AV48,$A$2:$D$10,4,FALSE),0)</f>
        <v/>
      </c>
      <c r="AZ48" s="140" t="n">
        <v>0</v>
      </c>
      <c r="BA48" s="140">
        <f>IF($AY48=1,"",$AU48)</f>
        <v/>
      </c>
      <c r="BB48" s="140">
        <f>IF(AND($AW48=1,$AY48=0),$AU48,"")</f>
        <v/>
      </c>
    </row>
    <row r="49">
      <c r="AU49" s="114" t="inlineStr">
        <is>
          <t>Armado</t>
        </is>
      </c>
      <c r="AV49" s="114" t="inlineStr">
        <is>
          <t>Tempo</t>
        </is>
      </c>
      <c r="AW49" s="140" t="n">
        <v>1</v>
      </c>
      <c r="AX49" s="140">
        <f>$AW49+3*IFERROR(VLOOKUP($AV49,$A$2:$D$10,3,FALSE),0)</f>
        <v/>
      </c>
      <c r="AY49" s="140">
        <f>IFERROR(VLOOKUP($AV49,$A$2:$D$10,4,FALSE),0)</f>
        <v/>
      </c>
      <c r="AZ49" s="140" t="n">
        <v>0</v>
      </c>
      <c r="BA49" s="140">
        <f>IF($AY49=1,"",$AU49)</f>
        <v/>
      </c>
      <c r="BB49" s="140">
        <f>IF(AND($AW49=1,$AY49=0),$AU49,"")</f>
        <v/>
      </c>
    </row>
    <row r="50">
      <c r="AU50" s="114" t="inlineStr">
        <is>
          <t>Silencioso</t>
        </is>
      </c>
      <c r="AV50" s="114" t="inlineStr">
        <is>
          <t>Tempo</t>
        </is>
      </c>
      <c r="AW50" s="140" t="n">
        <v>1</v>
      </c>
      <c r="AX50" s="140">
        <f>$AW50+3*IFERROR(VLOOKUP($AV50,$A$2:$D$10,3,FALSE),0)</f>
        <v/>
      </c>
      <c r="AY50" s="140">
        <f>IFERROR(VLOOKUP($AV50,$A$2:$D$10,4,FALSE),0)</f>
        <v/>
      </c>
      <c r="AZ50" s="140" t="n">
        <v>0</v>
      </c>
      <c r="BA50" s="140">
        <f>IF($AY50=1,"",$AU50)</f>
        <v/>
      </c>
      <c r="BB50" s="140">
        <f>IF(AND($AW50=1,$AY50=0),$AU50,"")</f>
        <v/>
      </c>
    </row>
    <row r="51">
      <c r="AU51" s="114" t="inlineStr">
        <is>
          <t>Adianta</t>
        </is>
      </c>
      <c r="AV51" s="114" t="inlineStr">
        <is>
          <t>Tempo</t>
        </is>
      </c>
      <c r="AW51" s="140" t="n">
        <v>2</v>
      </c>
      <c r="AX51" s="140">
        <f>$AW51+3*IFERROR(VLOOKUP($AV51,$A$2:$D$10,3,FALSE),0)</f>
        <v/>
      </c>
      <c r="AY51" s="140">
        <f>IFERROR(VLOOKUP($AV51,$A$2:$D$10,4,FALSE),0)</f>
        <v/>
      </c>
      <c r="AZ51" s="140" t="n">
        <v>0</v>
      </c>
      <c r="BA51" s="140">
        <f>IF($AY51=1,"",$AU51)</f>
        <v/>
      </c>
      <c r="BB51" s="140">
        <f>IF(AND($AW51=1,$AY51=0),$AU51,"")</f>
        <v/>
      </c>
    </row>
    <row r="52">
      <c r="AU52" s="114" t="inlineStr">
        <is>
          <t>Segura</t>
        </is>
      </c>
      <c r="AV52" s="114" t="inlineStr">
        <is>
          <t>Tempo</t>
        </is>
      </c>
      <c r="AW52" s="140" t="n">
        <v>1</v>
      </c>
      <c r="AX52" s="140">
        <f>$AW52+3*IFERROR(VLOOKUP($AV52,$A$2:$D$10,3,FALSE),0)</f>
        <v/>
      </c>
      <c r="AY52" s="140">
        <f>IFERROR(VLOOKUP($AV52,$A$2:$D$10,4,FALSE),0)</f>
        <v/>
      </c>
      <c r="AZ52" s="140" t="n">
        <v>0</v>
      </c>
      <c r="BA52" s="140">
        <f>IF($AY52=1,"",$AU52)</f>
        <v/>
      </c>
      <c r="BB52" s="140">
        <f>IF(AND($AW52=1,$AY52=0),$AU52,"")</f>
        <v/>
      </c>
    </row>
    <row r="53">
      <c r="AU53" s="114" t="inlineStr">
        <is>
          <t>Concentrada</t>
        </is>
      </c>
      <c r="AV53" s="114" t="inlineStr">
        <is>
          <t>Tempo</t>
        </is>
      </c>
      <c r="AW53" s="140" t="n">
        <v>1</v>
      </c>
      <c r="AX53" s="140">
        <f>$AW53+3*IFERROR(VLOOKUP($AV53,$A$2:$D$10,3,FALSE),0)</f>
        <v/>
      </c>
      <c r="AY53" s="140">
        <f>IFERROR(VLOOKUP($AV53,$A$2:$D$10,4,FALSE),0)</f>
        <v/>
      </c>
      <c r="AZ53" s="140" t="n">
        <v>0</v>
      </c>
      <c r="BA53" s="140">
        <f>IF($AY53=1,"",$AU53)</f>
        <v/>
      </c>
      <c r="BB53" s="140">
        <f>IF(AND($AW53=1,$AY53=0),$AU53,"")</f>
        <v/>
      </c>
    </row>
    <row r="54">
      <c r="AU54" s="114" t="inlineStr">
        <is>
          <t>Duradoura</t>
        </is>
      </c>
      <c r="AV54" s="114" t="inlineStr">
        <is>
          <t>Tempo</t>
        </is>
      </c>
      <c r="AW54" s="140" t="n">
        <v>2</v>
      </c>
      <c r="AX54" s="140">
        <f>$AW54+3*IFERROR(VLOOKUP($AV54,$A$2:$D$10,3,FALSE),0)</f>
        <v/>
      </c>
      <c r="AY54" s="140">
        <f>IFERROR(VLOOKUP($AV54,$A$2:$D$10,4,FALSE),0)</f>
        <v/>
      </c>
      <c r="AZ54" s="140" t="n">
        <v>0</v>
      </c>
      <c r="BA54" s="140">
        <f>IF($AY54=1,"",$AU54)</f>
        <v/>
      </c>
      <c r="BB54" s="140">
        <f>IF(AND($AW54=1,$AY54=0),$AU54,"")</f>
        <v/>
      </c>
    </row>
    <row r="55">
      <c r="AU55" s="114" t="inlineStr">
        <is>
          <t>Marca</t>
        </is>
      </c>
      <c r="AV55" s="114" t="inlineStr">
        <is>
          <t>Marca</t>
        </is>
      </c>
      <c r="AW55" s="140" t="n">
        <v>1</v>
      </c>
      <c r="AX55" s="140">
        <f>$AW55+3*IFERROR(VLOOKUP($AV55,$A$2:$D$10,3,FALSE),0)</f>
        <v/>
      </c>
      <c r="AY55" s="140">
        <f>IFERROR(VLOOKUP($AV55,$A$2:$D$10,4,FALSE),0)</f>
        <v/>
      </c>
      <c r="AZ55" s="140" t="n">
        <v>0</v>
      </c>
      <c r="BA55" s="140">
        <f>IF($AY55=1,"",$AU55)</f>
        <v/>
      </c>
      <c r="BB55" s="140">
        <f>IF(AND($AW55=1,$AY55=0),$AU55,"")</f>
        <v/>
      </c>
    </row>
    <row r="56">
      <c r="AU56" s="114" t="inlineStr">
        <is>
          <t>Alvo de Caça</t>
        </is>
      </c>
      <c r="AV56" s="114" t="inlineStr">
        <is>
          <t>Marca</t>
        </is>
      </c>
      <c r="AW56" s="140" t="n">
        <v>1</v>
      </c>
      <c r="AX56" s="140">
        <f>$AW56+3*IFERROR(VLOOKUP($AV56,$A$2:$D$10,3,FALSE),0)</f>
        <v/>
      </c>
      <c r="AY56" s="140">
        <f>IFERROR(VLOOKUP($AV56,$A$2:$D$10,4,FALSE),0)</f>
        <v/>
      </c>
      <c r="AZ56" s="140" t="n">
        <v>0</v>
      </c>
      <c r="BA56" s="140">
        <f>IF($AY56=1,"",$AU56)</f>
        <v/>
      </c>
      <c r="BB56" s="140">
        <f>IF(AND($AW56=1,$AY56=0),$AU56,"")</f>
        <v/>
      </c>
    </row>
    <row r="57">
      <c r="AU57" s="114" t="inlineStr">
        <is>
          <t>Rastro</t>
        </is>
      </c>
      <c r="AV57" s="114" t="inlineStr">
        <is>
          <t>Marca</t>
        </is>
      </c>
      <c r="AW57" s="140" t="n">
        <v>1</v>
      </c>
      <c r="AX57" s="140">
        <f>$AW57+3*IFERROR(VLOOKUP($AV57,$A$2:$D$10,3,FALSE),0)</f>
        <v/>
      </c>
      <c r="AY57" s="140">
        <f>IFERROR(VLOOKUP($AV57,$A$2:$D$10,4,FALSE),0)</f>
        <v/>
      </c>
      <c r="AZ57" s="140" t="n">
        <v>0</v>
      </c>
      <c r="BA57" s="140">
        <f>IF($AY57=1,"",$AU57)</f>
        <v/>
      </c>
      <c r="BB57" s="140">
        <f>IF(AND($AW57=1,$AY57=0),$AU57,"")</f>
        <v/>
      </c>
    </row>
    <row r="58">
      <c r="AU58" s="114" t="inlineStr">
        <is>
          <t>Sugar</t>
        </is>
      </c>
      <c r="AV58" s="114" t="inlineStr">
        <is>
          <t>Marca</t>
        </is>
      </c>
      <c r="AW58" s="140" t="n">
        <v>2</v>
      </c>
      <c r="AX58" s="140">
        <f>$AW58+3*IFERROR(VLOOKUP($AV58,$A$2:$D$10,3,FALSE),0)</f>
        <v/>
      </c>
      <c r="AY58" s="140">
        <f>IFERROR(VLOOKUP($AV58,$A$2:$D$10,4,FALSE),0)</f>
        <v/>
      </c>
      <c r="AZ58" s="140" t="n">
        <v>0</v>
      </c>
      <c r="BA58" s="140">
        <f>IF($AY58=1,"",$AU58)</f>
        <v/>
      </c>
      <c r="BB58" s="140">
        <f>IF(AND($AW58=1,$AY58=0),$AU58,"")</f>
        <v/>
      </c>
    </row>
    <row r="59">
      <c r="AU59" s="114" t="inlineStr">
        <is>
          <t>Isca</t>
        </is>
      </c>
      <c r="AV59" s="114" t="inlineStr">
        <is>
          <t>Marca</t>
        </is>
      </c>
      <c r="AW59" s="140" t="n">
        <v>1</v>
      </c>
      <c r="AX59" s="140">
        <f>$AW59+3*IFERROR(VLOOKUP($AV59,$A$2:$D$10,3,FALSE),0)</f>
        <v/>
      </c>
      <c r="AY59" s="140">
        <f>IFERROR(VLOOKUP($AV59,$A$2:$D$10,4,FALSE),0)</f>
        <v/>
      </c>
      <c r="AZ59" s="140" t="n">
        <v>0</v>
      </c>
      <c r="BA59" s="140">
        <f>IF($AY59=1,"",$AU59)</f>
        <v/>
      </c>
      <c r="BB59" s="140">
        <f>IF(AND($AW59=1,$AY59=0),$AU59,"")</f>
        <v/>
      </c>
    </row>
    <row r="60">
      <c r="AU60" s="114" t="inlineStr">
        <is>
          <t>Cobrança</t>
        </is>
      </c>
      <c r="AV60" s="114" t="inlineStr">
        <is>
          <t>Marca</t>
        </is>
      </c>
      <c r="AW60" s="140" t="n">
        <v>2</v>
      </c>
      <c r="AX60" s="140">
        <f>$AW60+3*IFERROR(VLOOKUP($AV60,$A$2:$D$10,3,FALSE),0)</f>
        <v/>
      </c>
      <c r="AY60" s="140">
        <f>IFERROR(VLOOKUP($AV60,$A$2:$D$10,4,FALSE),0)</f>
        <v/>
      </c>
      <c r="AZ60" s="140" t="n">
        <v>0</v>
      </c>
      <c r="BA60" s="140">
        <f>IF($AY60=1,"",$AU60)</f>
        <v/>
      </c>
      <c r="BB60" s="140">
        <f>IF(AND($AW60=1,$AY60=0),$AU60,"")</f>
        <v/>
      </c>
    </row>
    <row r="61">
      <c r="AU61" s="114" t="inlineStr">
        <is>
          <t>Aviso</t>
        </is>
      </c>
      <c r="AV61" s="114" t="inlineStr">
        <is>
          <t>Marca</t>
        </is>
      </c>
      <c r="AW61" s="140" t="n">
        <v>1</v>
      </c>
      <c r="AX61" s="140">
        <f>$AW61+3*IFERROR(VLOOKUP($AV61,$A$2:$D$10,3,FALSE),0)</f>
        <v/>
      </c>
      <c r="AY61" s="140">
        <f>IFERROR(VLOOKUP($AV61,$A$2:$D$10,4,FALSE),0)</f>
        <v/>
      </c>
      <c r="AZ61" s="140" t="n">
        <v>0</v>
      </c>
      <c r="BA61" s="140">
        <f>IF($AY61=1,"",$AU61)</f>
        <v/>
      </c>
      <c r="BB61" s="140">
        <f>IF(AND($AW61=1,$AY61=0),$AU61,"")</f>
        <v/>
      </c>
    </row>
    <row r="62">
      <c r="AU62" s="114" t="inlineStr">
        <is>
          <t>Limpa</t>
        </is>
      </c>
      <c r="AV62" s="114" t="inlineStr">
        <is>
          <t>Amparo</t>
        </is>
      </c>
      <c r="AW62" s="140" t="n">
        <v>2</v>
      </c>
      <c r="AX62" s="140">
        <f>$AW62+3*IFERROR(VLOOKUP($AV62,$A$2:$D$10,3,FALSE),0)</f>
        <v/>
      </c>
      <c r="AY62" s="140">
        <f>IFERROR(VLOOKUP($AV62,$A$2:$D$10,4,FALSE),0)</f>
        <v/>
      </c>
      <c r="AZ62" s="140" t="n">
        <v>0</v>
      </c>
      <c r="BA62" s="140">
        <f>IF($AY62=1,"",$AU62)</f>
        <v/>
      </c>
      <c r="BB62" s="140">
        <f>IF(AND($AW62=1,$AY62=0),$AU62,"")</f>
        <v/>
      </c>
    </row>
    <row r="63">
      <c r="AU63" s="114" t="inlineStr">
        <is>
          <t>Limpa Fundo</t>
        </is>
      </c>
      <c r="AV63" s="114" t="inlineStr">
        <is>
          <t>Amparo</t>
        </is>
      </c>
      <c r="AW63" s="140" t="n">
        <v>3</v>
      </c>
      <c r="AX63" s="140">
        <f>$AW63+3*IFERROR(VLOOKUP($AV63,$A$2:$D$10,3,FALSE),0)</f>
        <v/>
      </c>
      <c r="AY63" s="140">
        <f>IFERROR(VLOOKUP($AV63,$A$2:$D$10,4,FALSE),0)</f>
        <v/>
      </c>
      <c r="AZ63" s="140" t="n">
        <v>0</v>
      </c>
      <c r="BA63" s="140">
        <f>IF($AY63=1,"",$AU63)</f>
        <v/>
      </c>
      <c r="BB63" s="140">
        <f>IF(AND($AW63=1,$AY63=0),$AU63,"")</f>
        <v/>
      </c>
    </row>
    <row r="64">
      <c r="AU64" s="114" t="inlineStr">
        <is>
          <t>Levanta</t>
        </is>
      </c>
      <c r="AV64" s="114" t="inlineStr">
        <is>
          <t>Amparo</t>
        </is>
      </c>
      <c r="AW64" s="140" t="n">
        <v>3</v>
      </c>
      <c r="AX64" s="140">
        <f>$AW64+3*IFERROR(VLOOKUP($AV64,$A$2:$D$10,3,FALSE),0)</f>
        <v/>
      </c>
      <c r="AY64" s="140">
        <f>IFERROR(VLOOKUP($AV64,$A$2:$D$10,4,FALSE),0)</f>
        <v/>
      </c>
      <c r="AZ64" s="140" t="n">
        <v>0</v>
      </c>
      <c r="BA64" s="140">
        <f>IF($AY64=1,"",$AU64)</f>
        <v/>
      </c>
      <c r="BB64" s="140">
        <f>IF(AND($AW64=1,$AY64=0),$AU64,"")</f>
        <v/>
      </c>
    </row>
    <row r="65">
      <c r="AU65" s="114" t="inlineStr">
        <is>
          <t>Divide</t>
        </is>
      </c>
      <c r="AV65" s="114" t="inlineStr">
        <is>
          <t>Amparo</t>
        </is>
      </c>
      <c r="AW65" s="140" t="n">
        <v>2</v>
      </c>
      <c r="AX65" s="140">
        <f>$AW65+3*IFERROR(VLOOKUP($AV65,$A$2:$D$10,3,FALSE),0)</f>
        <v/>
      </c>
      <c r="AY65" s="140">
        <f>IFERROR(VLOOKUP($AV65,$A$2:$D$10,4,FALSE),0)</f>
        <v/>
      </c>
      <c r="AZ65" s="140" t="n">
        <v>0</v>
      </c>
      <c r="BA65" s="140">
        <f>IF($AY65=1,"",$AU65)</f>
        <v/>
      </c>
      <c r="BB65" s="140">
        <f>IF(AND($AW65=1,$AY65=0),$AU65,"")</f>
        <v/>
      </c>
    </row>
    <row r="66">
      <c r="AU66" s="114" t="inlineStr">
        <is>
          <t>Junto</t>
        </is>
      </c>
      <c r="AV66" s="114" t="inlineStr">
        <is>
          <t>Amparo</t>
        </is>
      </c>
      <c r="AW66" s="140" t="n">
        <v>1</v>
      </c>
      <c r="AX66" s="140">
        <f>$AW66+3*IFERROR(VLOOKUP($AV66,$A$2:$D$10,3,FALSE),0)</f>
        <v/>
      </c>
      <c r="AY66" s="140">
        <f>IFERROR(VLOOKUP($AV66,$A$2:$D$10,4,FALSE),0)</f>
        <v/>
      </c>
      <c r="AZ66" s="140" t="n">
        <v>0</v>
      </c>
      <c r="BA66" s="140">
        <f>IF($AY66=1,"",$AU66)</f>
        <v/>
      </c>
      <c r="BB66" s="140">
        <f>IF(AND($AW66=1,$AY66=0),$AU66,"")</f>
        <v/>
      </c>
    </row>
    <row r="67">
      <c r="AU67" s="114" t="inlineStr">
        <is>
          <t>Reserva</t>
        </is>
      </c>
      <c r="AV67" s="114" t="inlineStr">
        <is>
          <t>Amparo</t>
        </is>
      </c>
      <c r="AW67" s="140" t="n">
        <v>2</v>
      </c>
      <c r="AX67" s="140">
        <f>$AW67+3*IFERROR(VLOOKUP($AV67,$A$2:$D$10,3,FALSE),0)</f>
        <v/>
      </c>
      <c r="AY67" s="140">
        <f>IFERROR(VLOOKUP($AV67,$A$2:$D$10,4,FALSE),0)</f>
        <v/>
      </c>
      <c r="AZ67" s="140" t="n">
        <v>0</v>
      </c>
      <c r="BA67" s="140">
        <f>IF($AY67=1,"",$AU67)</f>
        <v/>
      </c>
      <c r="BB67" s="140">
        <f>IF(AND($AW67=1,$AY67=0),$AU67,"")</f>
        <v/>
      </c>
    </row>
    <row r="68">
      <c r="AU68" s="114" t="inlineStr">
        <is>
          <t>Remenda</t>
        </is>
      </c>
      <c r="AV68" s="114" t="inlineStr">
        <is>
          <t>Amparo</t>
        </is>
      </c>
      <c r="AW68" s="140" t="n">
        <v>3</v>
      </c>
      <c r="AX68" s="140">
        <f>$AW68+3*IFERROR(VLOOKUP($AV68,$A$2:$D$10,3,FALSE),0)</f>
        <v/>
      </c>
      <c r="AY68" s="140">
        <f>IFERROR(VLOOKUP($AV68,$A$2:$D$10,4,FALSE),0)</f>
        <v/>
      </c>
      <c r="AZ68" s="140" t="n">
        <v>0</v>
      </c>
      <c r="BA68" s="140">
        <f>IF($AY68=1,"",$AU68)</f>
        <v/>
      </c>
      <c r="BB68" s="140">
        <f>IF(AND($AW68=1,$AY68=0),$AU68,"")</f>
        <v/>
      </c>
    </row>
    <row r="69">
      <c r="AU69" s="114" t="inlineStr">
        <is>
          <t>Lento</t>
        </is>
      </c>
      <c r="AV69" s="114" t="inlineStr">
        <is>
          <t>Controle</t>
        </is>
      </c>
      <c r="AW69" s="140" t="n">
        <v>1</v>
      </c>
      <c r="AX69" s="140">
        <f>$AW69+3*IFERROR(VLOOKUP($AV69,$A$2:$D$10,3,FALSE),0)</f>
        <v/>
      </c>
      <c r="AY69" s="140">
        <f>IFERROR(VLOOKUP($AV69,$A$2:$D$10,4,FALSE),0)</f>
        <v/>
      </c>
      <c r="AZ69" s="140" t="n">
        <v>1</v>
      </c>
      <c r="BA69" s="140">
        <f>IF($AY69=1,"",$AU69)</f>
        <v/>
      </c>
      <c r="BB69" s="140">
        <f>IF(AND($AW69=1,$AY69=0),$AU69,"")</f>
        <v/>
      </c>
    </row>
    <row r="70">
      <c r="AU70" s="114" t="inlineStr">
        <is>
          <t>Incapacitado</t>
        </is>
      </c>
      <c r="AV70" s="114" t="inlineStr">
        <is>
          <t>Controle</t>
        </is>
      </c>
      <c r="AW70" s="140" t="n">
        <v>1</v>
      </c>
      <c r="AX70" s="140">
        <f>$AW70+3*IFERROR(VLOOKUP($AV70,$A$2:$D$10,3,FALSE),0)</f>
        <v/>
      </c>
      <c r="AY70" s="140">
        <f>IFERROR(VLOOKUP($AV70,$A$2:$D$10,4,FALSE),0)</f>
        <v/>
      </c>
      <c r="AZ70" s="140" t="n">
        <v>1</v>
      </c>
      <c r="BA70" s="140">
        <f>IF($AY70=1,"",$AU70)</f>
        <v/>
      </c>
      <c r="BB70" s="140">
        <f>IF(AND($AW70=1,$AY70=0),$AU70,"")</f>
        <v/>
      </c>
    </row>
    <row r="71">
      <c r="AU71" s="114" t="inlineStr">
        <is>
          <t>Derrubado</t>
        </is>
      </c>
      <c r="AV71" s="114" t="inlineStr">
        <is>
          <t>Controle</t>
        </is>
      </c>
      <c r="AW71" s="140" t="n">
        <v>1</v>
      </c>
      <c r="AX71" s="140">
        <f>$AW71+3*IFERROR(VLOOKUP($AV71,$A$2:$D$10,3,FALSE),0)</f>
        <v/>
      </c>
      <c r="AY71" s="140">
        <f>IFERROR(VLOOKUP($AV71,$A$2:$D$10,4,FALSE),0)</f>
        <v/>
      </c>
      <c r="AZ71" s="140" t="n">
        <v>1</v>
      </c>
      <c r="BA71" s="140">
        <f>IF($AY71=1,"",$AU71)</f>
        <v/>
      </c>
      <c r="BB71" s="140">
        <f>IF(AND($AW71=1,$AY71=0),$AU71,"")</f>
        <v/>
      </c>
    </row>
    <row r="72">
      <c r="AU72" s="114" t="inlineStr">
        <is>
          <t>Agarrado</t>
        </is>
      </c>
      <c r="AV72" s="114" t="inlineStr">
        <is>
          <t>Controle</t>
        </is>
      </c>
      <c r="AW72" s="140" t="n">
        <v>1</v>
      </c>
      <c r="AX72" s="140">
        <f>$AW72+3*IFERROR(VLOOKUP($AV72,$A$2:$D$10,3,FALSE),0)</f>
        <v/>
      </c>
      <c r="AY72" s="140">
        <f>IFERROR(VLOOKUP($AV72,$A$2:$D$10,4,FALSE),0)</f>
        <v/>
      </c>
      <c r="AZ72" s="140" t="n">
        <v>1</v>
      </c>
      <c r="BA72" s="140">
        <f>IF($AY72=1,"",$AU72)</f>
        <v/>
      </c>
      <c r="BB72" s="140">
        <f>IF(AND($AW72=1,$AY72=0),$AU72,"")</f>
        <v/>
      </c>
    </row>
    <row r="73">
      <c r="AU73" s="114" t="inlineStr">
        <is>
          <t>Desarmado</t>
        </is>
      </c>
      <c r="AV73" s="114" t="inlineStr">
        <is>
          <t>Controle</t>
        </is>
      </c>
      <c r="AW73" s="140" t="n">
        <v>1</v>
      </c>
      <c r="AX73" s="140">
        <f>$AW73+3*IFERROR(VLOOKUP($AV73,$A$2:$D$10,3,FALSE),0)</f>
        <v/>
      </c>
      <c r="AY73" s="140">
        <f>IFERROR(VLOOKUP($AV73,$A$2:$D$10,4,FALSE),0)</f>
        <v/>
      </c>
      <c r="AZ73" s="140" t="n">
        <v>1</v>
      </c>
      <c r="BA73" s="140">
        <f>IF($AY73=1,"",$AU73)</f>
        <v/>
      </c>
      <c r="BB73" s="140">
        <f>IF(AND($AW73=1,$AY73=0),$AU73,"")</f>
        <v/>
      </c>
    </row>
    <row r="74">
      <c r="AU74" s="114" t="inlineStr">
        <is>
          <t>Surdo</t>
        </is>
      </c>
      <c r="AV74" s="114" t="inlineStr">
        <is>
          <t>Controle</t>
        </is>
      </c>
      <c r="AW74" s="140" t="n">
        <v>1</v>
      </c>
      <c r="AX74" s="140">
        <f>$AW74+3*IFERROR(VLOOKUP($AV74,$A$2:$D$10,3,FALSE),0)</f>
        <v/>
      </c>
      <c r="AY74" s="140">
        <f>IFERROR(VLOOKUP($AV74,$A$2:$D$10,4,FALSE),0)</f>
        <v/>
      </c>
      <c r="AZ74" s="140" t="n">
        <v>1</v>
      </c>
      <c r="BA74" s="140">
        <f>IF($AY74=1,"",$AU74)</f>
        <v/>
      </c>
      <c r="BB74" s="140">
        <f>IF(AND($AW74=1,$AY74=0),$AU74,"")</f>
        <v/>
      </c>
    </row>
    <row r="75">
      <c r="AU75" s="114" t="inlineStr">
        <is>
          <t>Calado</t>
        </is>
      </c>
      <c r="AV75" s="114" t="inlineStr">
        <is>
          <t>Controle</t>
        </is>
      </c>
      <c r="AW75" s="140" t="n">
        <v>2</v>
      </c>
      <c r="AX75" s="140">
        <f>$AW75+3*IFERROR(VLOOKUP($AV75,$A$2:$D$10,3,FALSE),0)</f>
        <v/>
      </c>
      <c r="AY75" s="140">
        <f>IFERROR(VLOOKUP($AV75,$A$2:$D$10,4,FALSE),0)</f>
        <v/>
      </c>
      <c r="AZ75" s="140" t="n">
        <v>1</v>
      </c>
      <c r="BA75" s="140">
        <f>IF($AY75=1,"",$AU75)</f>
        <v/>
      </c>
      <c r="BB75" s="140">
        <f>IF(AND($AW75=1,$AY75=0),$AU75,"")</f>
        <v/>
      </c>
    </row>
    <row r="76">
      <c r="AU76" s="114" t="inlineStr">
        <is>
          <t>Enfeitiçado</t>
        </is>
      </c>
      <c r="AV76" s="114" t="inlineStr">
        <is>
          <t>Controle</t>
        </is>
      </c>
      <c r="AW76" s="140" t="n">
        <v>2</v>
      </c>
      <c r="AX76" s="140">
        <f>$AW76+3*IFERROR(VLOOKUP($AV76,$A$2:$D$10,3,FALSE),0)</f>
        <v/>
      </c>
      <c r="AY76" s="140">
        <f>IFERROR(VLOOKUP($AV76,$A$2:$D$10,4,FALSE),0)</f>
        <v/>
      </c>
      <c r="AZ76" s="140" t="n">
        <v>1</v>
      </c>
      <c r="BA76" s="140">
        <f>IF($AY76=1,"",$AU76)</f>
        <v/>
      </c>
      <c r="BB76" s="140">
        <f>IF(AND($AW76=1,$AY76=0),$AU76,"")</f>
        <v/>
      </c>
    </row>
    <row r="77">
      <c r="AU77" s="114" t="inlineStr">
        <is>
          <t>Impedido</t>
        </is>
      </c>
      <c r="AV77" s="114" t="inlineStr">
        <is>
          <t>Controle</t>
        </is>
      </c>
      <c r="AW77" s="140" t="n">
        <v>3</v>
      </c>
      <c r="AX77" s="140">
        <f>$AW77+3*IFERROR(VLOOKUP($AV77,$A$2:$D$10,3,FALSE),0)</f>
        <v/>
      </c>
      <c r="AY77" s="140">
        <f>IFERROR(VLOOKUP($AV77,$A$2:$D$10,4,FALSE),0)</f>
        <v/>
      </c>
      <c r="AZ77" s="140" t="n">
        <v>1</v>
      </c>
      <c r="BA77" s="140">
        <f>IF($AY77=1,"",$AU77)</f>
        <v/>
      </c>
      <c r="BB77" s="140">
        <f>IF(AND($AW77=1,$AY77=0),$AU77,"")</f>
        <v/>
      </c>
    </row>
    <row r="78">
      <c r="AU78" s="114" t="inlineStr">
        <is>
          <t>Cego</t>
        </is>
      </c>
      <c r="AV78" s="114" t="inlineStr">
        <is>
          <t>Controle</t>
        </is>
      </c>
      <c r="AW78" s="140" t="n">
        <v>3</v>
      </c>
      <c r="AX78" s="140">
        <f>$AW78+3*IFERROR(VLOOKUP($AV78,$A$2:$D$10,3,FALSE),0)</f>
        <v/>
      </c>
      <c r="AY78" s="140">
        <f>IFERROR(VLOOKUP($AV78,$A$2:$D$10,4,FALSE),0)</f>
        <v/>
      </c>
      <c r="AZ78" s="140" t="n">
        <v>1</v>
      </c>
      <c r="BA78" s="140">
        <f>IF($AY78=1,"",$AU78)</f>
        <v/>
      </c>
      <c r="BB78" s="140">
        <f>IF(AND($AW78=1,$AY78=0),$AU78,"")</f>
        <v/>
      </c>
    </row>
    <row r="79">
      <c r="AU79" s="114" t="inlineStr">
        <is>
          <t>Amedrontado</t>
        </is>
      </c>
      <c r="AV79" s="114" t="inlineStr">
        <is>
          <t>Controle</t>
        </is>
      </c>
      <c r="AW79" s="140" t="n">
        <v>3</v>
      </c>
      <c r="AX79" s="140">
        <f>$AW79+3*IFERROR(VLOOKUP($AV79,$A$2:$D$10,3,FALSE),0)</f>
        <v/>
      </c>
      <c r="AY79" s="140">
        <f>IFERROR(VLOOKUP($AV79,$A$2:$D$10,4,FALSE),0)</f>
        <v/>
      </c>
      <c r="AZ79" s="140" t="n">
        <v>1</v>
      </c>
      <c r="BA79" s="140">
        <f>IF($AY79=1,"",$AU79)</f>
        <v/>
      </c>
      <c r="BB79" s="140">
        <f>IF(AND($AW79=1,$AY79=0),$AU79,"")</f>
        <v/>
      </c>
    </row>
    <row r="80">
      <c r="AU80" s="114" t="inlineStr">
        <is>
          <t>Envenenado</t>
        </is>
      </c>
      <c r="AV80" s="114" t="inlineStr">
        <is>
          <t>Controle</t>
        </is>
      </c>
      <c r="AW80" s="140" t="n">
        <v>3</v>
      </c>
      <c r="AX80" s="140">
        <f>$AW80+3*IFERROR(VLOOKUP($AV80,$A$2:$D$10,3,FALSE),0)</f>
        <v/>
      </c>
      <c r="AY80" s="140">
        <f>IFERROR(VLOOKUP($AV80,$A$2:$D$10,4,FALSE),0)</f>
        <v/>
      </c>
      <c r="AZ80" s="140" t="n">
        <v>1</v>
      </c>
      <c r="BA80" s="140">
        <f>IF($AY80=1,"",$AU80)</f>
        <v/>
      </c>
      <c r="BB80" s="140">
        <f>IF(AND($AW80=1,$AY80=0),$AU80,"")</f>
        <v/>
      </c>
    </row>
    <row r="81">
      <c r="AU81" s="114" t="inlineStr">
        <is>
          <t>Atordoado</t>
        </is>
      </c>
      <c r="AV81" s="114" t="inlineStr">
        <is>
          <t>Controle</t>
        </is>
      </c>
      <c r="AW81" s="140" t="n">
        <v>3</v>
      </c>
      <c r="AX81" s="140">
        <f>$AW81+3*IFERROR(VLOOKUP($AV81,$A$2:$D$10,3,FALSE),0)</f>
        <v/>
      </c>
      <c r="AY81" s="140">
        <f>IFERROR(VLOOKUP($AV81,$A$2:$D$10,4,FALSE),0)</f>
        <v/>
      </c>
      <c r="AZ81" s="140" t="n">
        <v>1</v>
      </c>
      <c r="BA81" s="140">
        <f>IF($AY81=1,"",$AU81)</f>
        <v/>
      </c>
      <c r="BB81" s="140">
        <f>IF(AND($AW81=1,$AY81=0),$AU81,"")</f>
        <v/>
      </c>
    </row>
    <row r="82">
      <c r="AU82" s="114" t="inlineStr">
        <is>
          <t>Efeito Próprio (Leve)</t>
        </is>
      </c>
      <c r="AV82" s="114" t="inlineStr"/>
      <c r="AW82" s="140" t="n">
        <v>1</v>
      </c>
      <c r="AX82" s="140">
        <f>$AW82+3*IFERROR(VLOOKUP($AV82,$A$2:$D$10,3,FALSE),0)</f>
        <v/>
      </c>
      <c r="AY82" s="140">
        <f>IFERROR(VLOOKUP($AV82,$A$2:$D$10,4,FALSE),0)</f>
        <v/>
      </c>
      <c r="AZ82" s="140" t="n">
        <v>0</v>
      </c>
      <c r="BA82" s="140">
        <f>IF($AY82=1,"",$AU82)</f>
        <v/>
      </c>
      <c r="BB82" s="140">
        <f>IF(AND($AW82=1,$AY82=0),$AU82,"")</f>
        <v/>
      </c>
    </row>
    <row r="83">
      <c r="AU83" s="114" t="inlineStr">
        <is>
          <t>Efeito Próprio (Média)</t>
        </is>
      </c>
      <c r="AV83" s="114" t="inlineStr"/>
      <c r="AW83" s="140" t="n">
        <v>2</v>
      </c>
      <c r="AX83" s="140">
        <f>$AW83+3*IFERROR(VLOOKUP($AV83,$A$2:$D$10,3,FALSE),0)</f>
        <v/>
      </c>
      <c r="AY83" s="140">
        <f>IFERROR(VLOOKUP($AV83,$A$2:$D$10,4,FALSE),0)</f>
        <v/>
      </c>
      <c r="AZ83" s="140" t="n">
        <v>0</v>
      </c>
      <c r="BA83" s="140">
        <f>IF($AY83=1,"",$AU83)</f>
        <v/>
      </c>
      <c r="BB83" s="140">
        <f>IF(AND($AW83=1,$AY83=0),$AU83,"")</f>
        <v/>
      </c>
    </row>
    <row r="84">
      <c r="AU84" s="114" t="inlineStr">
        <is>
          <t>Efeito Próprio (Pesada)</t>
        </is>
      </c>
      <c r="AV84" s="114" t="inlineStr"/>
      <c r="AW84" s="140" t="n">
        <v>3</v>
      </c>
      <c r="AX84" s="140">
        <f>$AW84+3*IFERROR(VLOOKUP($AV84,$A$2:$D$10,3,FALSE),0)</f>
        <v/>
      </c>
      <c r="AY84" s="140">
        <f>IFERROR(VLOOKUP($AV84,$A$2:$D$10,4,FALSE),0)</f>
        <v/>
      </c>
      <c r="AZ84" s="140" t="n">
        <v>0</v>
      </c>
      <c r="BA84" s="140">
        <f>IF($AY84=1,"",$AU84)</f>
        <v/>
      </c>
      <c r="BB84" s="140">
        <f>IF(AND($AW84=1,$AY84=0),$AU84,"")</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H57"/>
  <sheetViews>
    <sheetView showGridLines="0" workbookViewId="0">
      <selection activeCell="A1" sqref="A1"/>
    </sheetView>
  </sheetViews>
  <sheetFormatPr baseColWidth="8" defaultRowHeight="15.75" customHeight="1"/>
  <cols>
    <col width="5" customWidth="1" min="1" max="1"/>
    <col width="5" customWidth="1" min="2" max="2"/>
    <col width="5" customWidth="1" min="3" max="3"/>
    <col width="5" customWidth="1" min="4" max="4"/>
    <col width="5" customWidth="1" min="5" max="5"/>
    <col width="5" customWidth="1" min="6" max="6"/>
    <col width="5" customWidth="1" min="7" max="7"/>
    <col width="5" customWidth="1" min="8" max="8"/>
    <col width="5" customWidth="1" min="9" max="9"/>
    <col width="5" customWidth="1" min="10" max="10"/>
    <col width="5" customWidth="1" min="11" max="11"/>
    <col width="5" customWidth="1" min="12" max="12"/>
    <col width="5" customWidth="1" min="13" max="13"/>
    <col width="5" customWidth="1" min="14" max="14"/>
    <col width="5" customWidth="1" min="15" max="15"/>
    <col width="5" customWidth="1" min="16" max="16"/>
    <col width="5" customWidth="1" min="17" max="17"/>
    <col width="5" customWidth="1" min="18" max="18"/>
    <col width="5" customWidth="1" min="19" max="19"/>
    <col width="5" customWidth="1" min="20" max="20"/>
    <col width="5" customWidth="1" min="21" max="21"/>
    <col width="5" customWidth="1" min="22" max="22"/>
    <col width="5" customWidth="1" min="23" max="23"/>
    <col width="5" customWidth="1" min="24" max="24"/>
    <col width="5" customWidth="1" min="25" max="25"/>
    <col width="5" customWidth="1" min="26" max="26"/>
    <col width="5" customWidth="1" min="27" max="27"/>
    <col width="5" customWidth="1" min="28" max="28"/>
    <col width="5" customWidth="1" min="29" max="29"/>
    <col width="5" customWidth="1" min="30" max="30"/>
    <col width="5" customWidth="1" min="31" max="31"/>
    <col width="5" customWidth="1" min="32" max="32"/>
    <col width="5" customWidth="1" min="33" max="33"/>
    <col width="5" customWidth="1" min="34" max="34"/>
  </cols>
  <sheetData>
    <row r="1" ht="16" customHeight="1">
      <c r="A1" s="115" t="n"/>
      <c r="B1" s="141" t="inlineStr">
        <is>
          <t>O GLOSSÁRIO — o que cada coisa da ficha quer dizer</t>
        </is>
      </c>
      <c r="C1" s="14" t="n"/>
      <c r="D1" s="14" t="n"/>
      <c r="E1" s="14" t="n"/>
      <c r="F1" s="14" t="n"/>
      <c r="G1" s="14" t="n"/>
      <c r="H1" s="14" t="n"/>
      <c r="I1" s="14" t="n"/>
      <c r="J1" s="14" t="n"/>
      <c r="K1" s="14" t="n"/>
      <c r="L1" s="14" t="n"/>
      <c r="M1" s="14" t="n"/>
      <c r="N1" s="14" t="n"/>
      <c r="O1" s="14" t="n"/>
      <c r="P1" s="14" t="n"/>
      <c r="Q1" s="14" t="n"/>
      <c r="R1" s="14" t="n"/>
      <c r="S1" s="14" t="n"/>
      <c r="T1" s="14" t="n"/>
      <c r="U1" s="14" t="n"/>
      <c r="V1" s="14" t="n"/>
      <c r="W1" s="142" t="inlineStr">
        <is>
          <t>Capítulo 1 · 2 · 13</t>
        </is>
      </c>
      <c r="X1" s="14" t="n"/>
      <c r="Y1" s="14" t="n"/>
      <c r="Z1" s="14" t="n"/>
      <c r="AA1" s="14" t="n"/>
      <c r="AB1" s="14" t="n"/>
      <c r="AC1" s="14" t="n"/>
      <c r="AD1" s="14" t="n"/>
      <c r="AE1" s="14" t="n"/>
      <c r="AF1" s="14" t="n"/>
      <c r="AG1" s="15" t="n"/>
      <c r="AH1" s="115" t="n"/>
    </row>
    <row r="2" ht="16" customHeight="1">
      <c r="A2" s="115" t="n"/>
      <c r="B2" s="18" t="n"/>
      <c r="C2" s="19" t="n"/>
      <c r="D2" s="19" t="n"/>
      <c r="E2" s="19" t="n"/>
      <c r="F2" s="19" t="n"/>
      <c r="G2" s="19" t="n"/>
      <c r="H2" s="19" t="n"/>
      <c r="I2" s="19" t="n"/>
      <c r="J2" s="19" t="n"/>
      <c r="K2" s="19" t="n"/>
      <c r="L2" s="19" t="n"/>
      <c r="M2" s="19" t="n"/>
      <c r="N2" s="19" t="n"/>
      <c r="O2" s="19" t="n"/>
      <c r="P2" s="19" t="n"/>
      <c r="Q2" s="19" t="n"/>
      <c r="R2" s="19" t="n"/>
      <c r="S2" s="19" t="n"/>
      <c r="T2" s="19" t="n"/>
      <c r="U2" s="19" t="n"/>
      <c r="V2" s="19" t="n"/>
      <c r="W2" s="19" t="n"/>
      <c r="X2" s="19" t="n"/>
      <c r="Y2" s="19" t="n"/>
      <c r="Z2" s="19" t="n"/>
      <c r="AA2" s="19" t="n"/>
      <c r="AB2" s="19" t="n"/>
      <c r="AC2" s="19" t="n"/>
      <c r="AD2" s="19" t="n"/>
      <c r="AE2" s="19" t="n"/>
      <c r="AF2" s="19" t="n"/>
      <c r="AG2" s="20" t="n"/>
      <c r="AH2" s="115" t="n"/>
    </row>
    <row r="3">
      <c r="A3" s="115" t="n"/>
      <c r="AH3" s="115" t="n"/>
    </row>
    <row r="4">
      <c r="A4" s="115" t="n"/>
      <c r="B4" s="143" t="inlineStr">
        <is>
          <t>ATRIBUTOS</t>
        </is>
      </c>
      <c r="C4" s="11" t="n"/>
      <c r="D4" s="11" t="n"/>
      <c r="E4" s="11" t="n"/>
      <c r="F4" s="11" t="n"/>
      <c r="G4" s="11" t="n"/>
      <c r="H4" s="11" t="n"/>
      <c r="I4" s="11" t="n"/>
      <c r="J4" s="11" t="n"/>
      <c r="K4" s="11" t="n"/>
      <c r="L4" s="12" t="n"/>
      <c r="M4" s="144" t="inlineStr">
        <is>
          <t>O número é o modificador. Escala de 0 a 6, sem tabela de conversão.</t>
        </is>
      </c>
      <c r="N4" s="11" t="n"/>
      <c r="O4" s="11" t="n"/>
      <c r="P4" s="11" t="n"/>
      <c r="Q4" s="11" t="n"/>
      <c r="R4" s="11" t="n"/>
      <c r="S4" s="11" t="n"/>
      <c r="T4" s="11" t="n"/>
      <c r="U4" s="11" t="n"/>
      <c r="V4" s="11" t="n"/>
      <c r="W4" s="11" t="n"/>
      <c r="X4" s="11" t="n"/>
      <c r="Y4" s="11" t="n"/>
      <c r="Z4" s="11" t="n"/>
      <c r="AA4" s="11" t="n"/>
      <c r="AB4" s="11" t="n"/>
      <c r="AC4" s="11" t="n"/>
      <c r="AD4" s="11" t="n"/>
      <c r="AE4" s="11" t="n"/>
      <c r="AF4" s="11" t="n"/>
      <c r="AG4" s="12" t="n"/>
      <c r="AH4" s="115" t="n"/>
    </row>
    <row r="5">
      <c r="A5" s="115" t="n"/>
      <c r="E5" s="145" t="inlineStr">
        <is>
          <t>ATRIBUTO</t>
        </is>
      </c>
      <c r="F5" s="11" t="n"/>
      <c r="G5" s="11" t="n"/>
      <c r="H5" s="11" t="n"/>
      <c r="I5" s="11" t="n"/>
      <c r="J5" s="12" t="n"/>
      <c r="K5" s="145" t="inlineStr">
        <is>
          <t>O QUE GOVERNA</t>
        </is>
      </c>
      <c r="L5" s="11" t="n"/>
      <c r="M5" s="11" t="n"/>
      <c r="N5" s="11" t="n"/>
      <c r="O5" s="11" t="n"/>
      <c r="P5" s="11" t="n"/>
      <c r="Q5" s="11" t="n"/>
      <c r="R5" s="11" t="n"/>
      <c r="S5" s="11" t="n"/>
      <c r="T5" s="11" t="n"/>
      <c r="U5" s="11" t="n"/>
      <c r="V5" s="11" t="n"/>
      <c r="W5" s="11" t="n"/>
      <c r="X5" s="11" t="n"/>
      <c r="Y5" s="11" t="n"/>
      <c r="Z5" s="11" t="n"/>
      <c r="AA5" s="11" t="n"/>
      <c r="AB5" s="11" t="n"/>
      <c r="AC5" s="11" t="n"/>
      <c r="AD5" s="11" t="n"/>
      <c r="AE5" s="11" t="n"/>
      <c r="AF5" s="11" t="n"/>
      <c r="AG5" s="12" t="n"/>
      <c r="AH5" s="115" t="n"/>
    </row>
    <row r="6" ht="30" customHeight="1">
      <c r="A6" s="115" t="n"/>
      <c r="B6" s="90" t="n"/>
      <c r="C6" s="11" t="n"/>
      <c r="D6" s="12" t="n"/>
      <c r="E6" s="146" t="inlineStr">
        <is>
          <t>Força</t>
        </is>
      </c>
      <c r="F6" s="11" t="n"/>
      <c r="G6" s="11" t="n"/>
      <c r="H6" s="11" t="n"/>
      <c r="I6" s="11" t="n"/>
      <c r="J6" s="12" t="n"/>
      <c r="K6" s="147" t="inlineStr">
        <is>
          <t>Quanto o seu corpo aguenta e impõe, na base do músculo. Governa: ataque corpo a corpo, agarrar, quebrar, carregar</t>
        </is>
      </c>
      <c r="L6" s="11" t="n"/>
      <c r="M6" s="11" t="n"/>
      <c r="N6" s="11" t="n"/>
      <c r="O6" s="11" t="n"/>
      <c r="P6" s="11" t="n"/>
      <c r="Q6" s="11" t="n"/>
      <c r="R6" s="11" t="n"/>
      <c r="S6" s="11" t="n"/>
      <c r="T6" s="11" t="n"/>
      <c r="U6" s="11" t="n"/>
      <c r="V6" s="11" t="n"/>
      <c r="W6" s="11" t="n"/>
      <c r="X6" s="11" t="n"/>
      <c r="Y6" s="11" t="n"/>
      <c r="Z6" s="11" t="n"/>
      <c r="AA6" s="11" t="n"/>
      <c r="AB6" s="11" t="n"/>
      <c r="AC6" s="11" t="n"/>
      <c r="AD6" s="11" t="n"/>
      <c r="AE6" s="11" t="n"/>
      <c r="AF6" s="11" t="n"/>
      <c r="AG6" s="12" t="n"/>
      <c r="AH6" s="115" t="n"/>
    </row>
    <row r="7" ht="30" customHeight="1">
      <c r="A7" s="115" t="n"/>
      <c r="B7" s="148" t="n"/>
      <c r="C7" s="11" t="n"/>
      <c r="D7" s="12" t="n"/>
      <c r="E7" s="149" t="inlineStr">
        <is>
          <t>Destreza</t>
        </is>
      </c>
      <c r="F7" s="11" t="n"/>
      <c r="G7" s="11" t="n"/>
      <c r="H7" s="11" t="n"/>
      <c r="I7" s="11" t="n"/>
      <c r="J7" s="12" t="n"/>
      <c r="K7" s="150" t="inlineStr">
        <is>
          <t>Sua velocidade e precisão — o corpo respondendo rápido, a mira certa. Governa: ataque à distância, Defesa, iniciativa, furtividade</t>
        </is>
      </c>
      <c r="L7" s="11" t="n"/>
      <c r="M7" s="11" t="n"/>
      <c r="N7" s="11" t="n"/>
      <c r="O7" s="11" t="n"/>
      <c r="P7" s="11" t="n"/>
      <c r="Q7" s="11" t="n"/>
      <c r="R7" s="11" t="n"/>
      <c r="S7" s="11" t="n"/>
      <c r="T7" s="11" t="n"/>
      <c r="U7" s="11" t="n"/>
      <c r="V7" s="11" t="n"/>
      <c r="W7" s="11" t="n"/>
      <c r="X7" s="11" t="n"/>
      <c r="Y7" s="11" t="n"/>
      <c r="Z7" s="11" t="n"/>
      <c r="AA7" s="11" t="n"/>
      <c r="AB7" s="11" t="n"/>
      <c r="AC7" s="11" t="n"/>
      <c r="AD7" s="11" t="n"/>
      <c r="AE7" s="11" t="n"/>
      <c r="AF7" s="11" t="n"/>
      <c r="AG7" s="12" t="n"/>
      <c r="AH7" s="115" t="n"/>
    </row>
    <row r="8" ht="30" customHeight="1">
      <c r="A8" s="115" t="n"/>
      <c r="B8" s="90" t="n"/>
      <c r="C8" s="11" t="n"/>
      <c r="D8" s="12" t="n"/>
      <c r="E8" s="146" t="inlineStr">
        <is>
          <t>Constituição</t>
        </is>
      </c>
      <c r="F8" s="11" t="n"/>
      <c r="G8" s="11" t="n"/>
      <c r="H8" s="11" t="n"/>
      <c r="I8" s="11" t="n"/>
      <c r="J8" s="12" t="n"/>
      <c r="K8" s="147" t="inlineStr">
        <is>
          <t>Sua resistência bruta a dano e a desgaste. Governa: pontos de vida</t>
        </is>
      </c>
      <c r="L8" s="11" t="n"/>
      <c r="M8" s="11" t="n"/>
      <c r="N8" s="11" t="n"/>
      <c r="O8" s="11" t="n"/>
      <c r="P8" s="11" t="n"/>
      <c r="Q8" s="11" t="n"/>
      <c r="R8" s="11" t="n"/>
      <c r="S8" s="11" t="n"/>
      <c r="T8" s="11" t="n"/>
      <c r="U8" s="11" t="n"/>
      <c r="V8" s="11" t="n"/>
      <c r="W8" s="11" t="n"/>
      <c r="X8" s="11" t="n"/>
      <c r="Y8" s="11" t="n"/>
      <c r="Z8" s="11" t="n"/>
      <c r="AA8" s="11" t="n"/>
      <c r="AB8" s="11" t="n"/>
      <c r="AC8" s="11" t="n"/>
      <c r="AD8" s="11" t="n"/>
      <c r="AE8" s="11" t="n"/>
      <c r="AF8" s="11" t="n"/>
      <c r="AG8" s="12" t="n"/>
      <c r="AH8" s="115" t="n"/>
    </row>
    <row r="9" ht="30" customHeight="1">
      <c r="A9" s="115" t="n"/>
      <c r="B9" s="148" t="n"/>
      <c r="C9" s="11" t="n"/>
      <c r="D9" s="12" t="n"/>
      <c r="E9" s="149" t="inlineStr">
        <is>
          <t>Inteligência</t>
        </is>
      </c>
      <c r="F9" s="11" t="n"/>
      <c r="G9" s="11" t="n"/>
      <c r="H9" s="11" t="n"/>
      <c r="I9" s="11" t="n"/>
      <c r="J9" s="12" t="n"/>
      <c r="K9" s="150" t="inlineStr">
        <is>
          <t>O que você sabe e deduz — o raciocínio frio. Governa: conhecimento, investigação, reconhecer uma técnica pelo catálogo</t>
        </is>
      </c>
      <c r="L9" s="11" t="n"/>
      <c r="M9" s="11" t="n"/>
      <c r="N9" s="11" t="n"/>
      <c r="O9" s="11" t="n"/>
      <c r="P9" s="11" t="n"/>
      <c r="Q9" s="11" t="n"/>
      <c r="R9" s="11" t="n"/>
      <c r="S9" s="11" t="n"/>
      <c r="T9" s="11" t="n"/>
      <c r="U9" s="11" t="n"/>
      <c r="V9" s="11" t="n"/>
      <c r="W9" s="11" t="n"/>
      <c r="X9" s="11" t="n"/>
      <c r="Y9" s="11" t="n"/>
      <c r="Z9" s="11" t="n"/>
      <c r="AA9" s="11" t="n"/>
      <c r="AB9" s="11" t="n"/>
      <c r="AC9" s="11" t="n"/>
      <c r="AD9" s="11" t="n"/>
      <c r="AE9" s="11" t="n"/>
      <c r="AF9" s="11" t="n"/>
      <c r="AG9" s="12" t="n"/>
      <c r="AH9" s="115" t="n"/>
    </row>
    <row r="10" ht="30" customHeight="1">
      <c r="A10" s="115" t="n"/>
      <c r="B10" s="90" t="n"/>
      <c r="C10" s="11" t="n"/>
      <c r="D10" s="12" t="n"/>
      <c r="E10" s="146" t="inlineStr">
        <is>
          <t>Essência</t>
        </is>
      </c>
      <c r="F10" s="11" t="n"/>
      <c r="G10" s="11" t="n"/>
      <c r="H10" s="11" t="n"/>
      <c r="I10" s="11" t="n"/>
      <c r="J10" s="12" t="n"/>
      <c r="K10" s="147" t="inlineStr">
        <is>
          <t>Sua sensibilidade à energia amaldiçoada e às pessoas — o que você sente, não o que você calcula. Governa: perceber energia amaldiçoada, trato social, hierarquia, negociar Pactos</t>
        </is>
      </c>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n"/>
      <c r="AG10" s="12" t="n"/>
      <c r="AH10" s="115" t="n"/>
    </row>
    <row r="11">
      <c r="A11" s="115" t="n"/>
      <c r="AH11" s="115" t="n"/>
    </row>
    <row r="12">
      <c r="A12" s="115" t="n"/>
      <c r="B12" s="143" t="inlineStr">
        <is>
          <t>PERÍCIAS</t>
        </is>
      </c>
      <c r="C12" s="11" t="n"/>
      <c r="D12" s="11" t="n"/>
      <c r="E12" s="11" t="n"/>
      <c r="F12" s="11" t="n"/>
      <c r="G12" s="11" t="n"/>
      <c r="H12" s="11" t="n"/>
      <c r="I12" s="11" t="n"/>
      <c r="J12" s="11" t="n"/>
      <c r="K12" s="11" t="n"/>
      <c r="L12" s="12" t="n"/>
      <c r="M12" s="144" t="inlineStr">
        <is>
          <t>9 de 23 na criação — ou 10, trocando os dois ofícios da Origem.</t>
        </is>
      </c>
      <c r="N12" s="11" t="n"/>
      <c r="O12" s="11" t="n"/>
      <c r="P12" s="11" t="n"/>
      <c r="Q12" s="11" t="n"/>
      <c r="R12" s="11" t="n"/>
      <c r="S12" s="11" t="n"/>
      <c r="T12" s="11" t="n"/>
      <c r="U12" s="11" t="n"/>
      <c r="V12" s="11" t="n"/>
      <c r="W12" s="11" t="n"/>
      <c r="X12" s="11" t="n"/>
      <c r="Y12" s="11" t="n"/>
      <c r="Z12" s="11" t="n"/>
      <c r="AA12" s="11" t="n"/>
      <c r="AB12" s="11" t="n"/>
      <c r="AC12" s="11" t="n"/>
      <c r="AD12" s="11" t="n"/>
      <c r="AE12" s="11" t="n"/>
      <c r="AF12" s="11" t="n"/>
      <c r="AG12" s="12" t="n"/>
      <c r="AH12" s="115" t="n"/>
    </row>
    <row r="13">
      <c r="A13" s="115" t="n"/>
      <c r="B13" s="52" t="inlineStr">
        <is>
          <t>ATRIBUTO</t>
        </is>
      </c>
      <c r="C13" s="11" t="n"/>
      <c r="D13" s="12" t="n"/>
      <c r="E13" s="145" t="inlineStr">
        <is>
          <t>NOME</t>
        </is>
      </c>
      <c r="F13" s="11" t="n"/>
      <c r="G13" s="11" t="n"/>
      <c r="H13" s="11" t="n"/>
      <c r="I13" s="11" t="n"/>
      <c r="J13" s="12" t="n"/>
      <c r="K13" s="145" t="inlineStr">
        <is>
          <t>O QUE FAZ</t>
        </is>
      </c>
      <c r="L13" s="11" t="n"/>
      <c r="M13" s="11" t="n"/>
      <c r="N13" s="11" t="n"/>
      <c r="O13" s="11" t="n"/>
      <c r="P13" s="11" t="n"/>
      <c r="Q13" s="11" t="n"/>
      <c r="R13" s="11" t="n"/>
      <c r="S13" s="11" t="n"/>
      <c r="T13" s="11" t="n"/>
      <c r="U13" s="11" t="n"/>
      <c r="V13" s="11" t="n"/>
      <c r="W13" s="11" t="n"/>
      <c r="X13" s="11" t="n"/>
      <c r="Y13" s="11" t="n"/>
      <c r="Z13" s="11" t="n"/>
      <c r="AA13" s="11" t="n"/>
      <c r="AB13" s="11" t="n"/>
      <c r="AC13" s="11" t="n"/>
      <c r="AD13" s="11" t="n"/>
      <c r="AE13" s="11" t="n"/>
      <c r="AF13" s="11" t="n"/>
      <c r="AG13" s="12" t="n"/>
      <c r="AH13" s="115" t="n"/>
    </row>
    <row r="14" ht="30" customHeight="1">
      <c r="A14" s="115" t="n"/>
      <c r="B14" s="90" t="inlineStr">
        <is>
          <t>Acrobacia</t>
        </is>
      </c>
      <c r="C14" s="11" t="n"/>
      <c r="D14" s="12" t="n"/>
      <c r="E14" s="146" t="inlineStr">
        <is>
          <t>Destreza</t>
        </is>
      </c>
      <c r="F14" s="11" t="n"/>
      <c r="G14" s="11" t="n"/>
      <c r="H14" s="11" t="n"/>
      <c r="I14" s="11" t="n"/>
      <c r="J14" s="12" t="n"/>
      <c r="K14" s="147" t="inlineStr">
        <is>
          <t>Mede seu equilíbrio e o controle fino do próprio corpo em movimento. Exemplo: equilíbrio, cair sem se machucar, passar por espaço apertado.</t>
        </is>
      </c>
      <c r="L14" s="11" t="n"/>
      <c r="M14" s="11" t="n"/>
      <c r="N14" s="11" t="n"/>
      <c r="O14" s="11" t="n"/>
      <c r="P14" s="11" t="n"/>
      <c r="Q14" s="11" t="n"/>
      <c r="R14" s="11" t="n"/>
      <c r="S14" s="11" t="n"/>
      <c r="T14" s="11" t="n"/>
      <c r="U14" s="11" t="n"/>
      <c r="V14" s="11" t="n"/>
      <c r="W14" s="11" t="n"/>
      <c r="X14" s="11" t="n"/>
      <c r="Y14" s="11" t="n"/>
      <c r="Z14" s="11" t="n"/>
      <c r="AA14" s="11" t="n"/>
      <c r="AB14" s="11" t="n"/>
      <c r="AC14" s="11" t="n"/>
      <c r="AD14" s="11" t="n"/>
      <c r="AE14" s="11" t="n"/>
      <c r="AF14" s="11" t="n"/>
      <c r="AG14" s="12" t="n"/>
      <c r="AH14" s="115" t="n"/>
    </row>
    <row r="15" ht="30" customHeight="1">
      <c r="A15" s="115" t="n"/>
      <c r="B15" s="148" t="inlineStr">
        <is>
          <t>Atletismo</t>
        </is>
      </c>
      <c r="C15" s="11" t="n"/>
      <c r="D15" s="12" t="n"/>
      <c r="E15" s="149" t="inlineStr">
        <is>
          <t>Força</t>
        </is>
      </c>
      <c r="F15" s="11" t="n"/>
      <c r="G15" s="11" t="n"/>
      <c r="H15" s="11" t="n"/>
      <c r="I15" s="11" t="n"/>
      <c r="J15" s="12" t="n"/>
      <c r="K15" s="150" t="inlineStr">
        <is>
          <t>Mede seu corpo em esforço físico direto. Exemplo: correr, escalar, nadar, saltar, carregar quem não anda.</t>
        </is>
      </c>
      <c r="L15" s="11" t="n"/>
      <c r="M15" s="11" t="n"/>
      <c r="N15" s="11" t="n"/>
      <c r="O15" s="11" t="n"/>
      <c r="P15" s="11" t="n"/>
      <c r="Q15" s="11" t="n"/>
      <c r="R15" s="11" t="n"/>
      <c r="S15" s="11" t="n"/>
      <c r="T15" s="11" t="n"/>
      <c r="U15" s="11" t="n"/>
      <c r="V15" s="11" t="n"/>
      <c r="W15" s="11" t="n"/>
      <c r="X15" s="11" t="n"/>
      <c r="Y15" s="11" t="n"/>
      <c r="Z15" s="11" t="n"/>
      <c r="AA15" s="11" t="n"/>
      <c r="AB15" s="11" t="n"/>
      <c r="AC15" s="11" t="n"/>
      <c r="AD15" s="11" t="n"/>
      <c r="AE15" s="11" t="n"/>
      <c r="AF15" s="11" t="n"/>
      <c r="AG15" s="12" t="n"/>
      <c r="AH15" s="115" t="n"/>
    </row>
    <row r="16" ht="30" customHeight="1">
      <c r="A16" s="115" t="n"/>
      <c r="B16" s="90" t="inlineStr">
        <is>
          <t>Atuação</t>
        </is>
      </c>
      <c r="C16" s="11" t="n"/>
      <c r="D16" s="12" t="n"/>
      <c r="E16" s="146" t="inlineStr">
        <is>
          <t>Essência</t>
        </is>
      </c>
      <c r="F16" s="11" t="n"/>
      <c r="G16" s="11" t="n"/>
      <c r="H16" s="11" t="n"/>
      <c r="I16" s="11" t="n"/>
      <c r="J16" s="12" t="n"/>
      <c r="K16" s="147" t="inlineStr">
        <is>
          <t>Mede sua capacidade de performar ou sustentar um papel diante de alguém. Exemplo: representar, cantar, tocar para uma plateia.</t>
        </is>
      </c>
      <c r="L16" s="11" t="n"/>
      <c r="M16" s="11" t="n"/>
      <c r="N16" s="11" t="n"/>
      <c r="O16" s="11" t="n"/>
      <c r="P16" s="11" t="n"/>
      <c r="Q16" s="11" t="n"/>
      <c r="R16" s="11" t="n"/>
      <c r="S16" s="11" t="n"/>
      <c r="T16" s="11" t="n"/>
      <c r="U16" s="11" t="n"/>
      <c r="V16" s="11" t="n"/>
      <c r="W16" s="11" t="n"/>
      <c r="X16" s="11" t="n"/>
      <c r="Y16" s="11" t="n"/>
      <c r="Z16" s="11" t="n"/>
      <c r="AA16" s="11" t="n"/>
      <c r="AB16" s="11" t="n"/>
      <c r="AC16" s="11" t="n"/>
      <c r="AD16" s="11" t="n"/>
      <c r="AE16" s="11" t="n"/>
      <c r="AF16" s="11" t="n"/>
      <c r="AG16" s="12" t="n"/>
      <c r="AH16" s="115" t="n"/>
    </row>
    <row r="17" ht="30" customHeight="1">
      <c r="A17" s="115" t="n"/>
      <c r="B17" s="148" t="inlineStr">
        <is>
          <t>Enganação</t>
        </is>
      </c>
      <c r="C17" s="11" t="n"/>
      <c r="D17" s="12" t="n"/>
      <c r="E17" s="149" t="inlineStr">
        <is>
          <t>Essência</t>
        </is>
      </c>
      <c r="F17" s="11" t="n"/>
      <c r="G17" s="11" t="n"/>
      <c r="H17" s="11" t="n"/>
      <c r="I17" s="11" t="n"/>
      <c r="J17" s="12" t="n"/>
      <c r="K17" s="150" t="inlineStr">
        <is>
          <t>Mede sua capacidade de mentir de um jeito convincente. Exemplo: mentir, blefar, se passar por outro.</t>
        </is>
      </c>
      <c r="L17" s="11" t="n"/>
      <c r="M17" s="11" t="n"/>
      <c r="N17" s="11" t="n"/>
      <c r="O17" s="11" t="n"/>
      <c r="P17" s="11" t="n"/>
      <c r="Q17" s="11" t="n"/>
      <c r="R17" s="11" t="n"/>
      <c r="S17" s="11" t="n"/>
      <c r="T17" s="11" t="n"/>
      <c r="U17" s="11" t="n"/>
      <c r="V17" s="11" t="n"/>
      <c r="W17" s="11" t="n"/>
      <c r="X17" s="11" t="n"/>
      <c r="Y17" s="11" t="n"/>
      <c r="Z17" s="11" t="n"/>
      <c r="AA17" s="11" t="n"/>
      <c r="AB17" s="11" t="n"/>
      <c r="AC17" s="11" t="n"/>
      <c r="AD17" s="11" t="n"/>
      <c r="AE17" s="11" t="n"/>
      <c r="AF17" s="11" t="n"/>
      <c r="AG17" s="12" t="n"/>
      <c r="AH17" s="115" t="n"/>
    </row>
    <row r="18" ht="30" customHeight="1">
      <c r="A18" s="115" t="n"/>
      <c r="B18" s="90" t="inlineStr">
        <is>
          <t>Furtividade</t>
        </is>
      </c>
      <c r="C18" s="11" t="n"/>
      <c r="D18" s="12" t="n"/>
      <c r="E18" s="146" t="inlineStr">
        <is>
          <t>Destreza</t>
        </is>
      </c>
      <c r="F18" s="11" t="n"/>
      <c r="G18" s="11" t="n"/>
      <c r="H18" s="11" t="n"/>
      <c r="I18" s="11" t="n"/>
      <c r="J18" s="12" t="n"/>
      <c r="K18" s="147" t="inlineStr">
        <is>
          <t>Mede sua capacidade de passar despercebido. Exemplo: mover-se sem ser visto nem ouvido.</t>
        </is>
      </c>
      <c r="L18" s="11" t="n"/>
      <c r="M18" s="11" t="n"/>
      <c r="N18" s="11" t="n"/>
      <c r="O18" s="11" t="n"/>
      <c r="P18" s="11" t="n"/>
      <c r="Q18" s="11" t="n"/>
      <c r="R18" s="11" t="n"/>
      <c r="S18" s="11" t="n"/>
      <c r="T18" s="11" t="n"/>
      <c r="U18" s="11" t="n"/>
      <c r="V18" s="11" t="n"/>
      <c r="W18" s="11" t="n"/>
      <c r="X18" s="11" t="n"/>
      <c r="Y18" s="11" t="n"/>
      <c r="Z18" s="11" t="n"/>
      <c r="AA18" s="11" t="n"/>
      <c r="AB18" s="11" t="n"/>
      <c r="AC18" s="11" t="n"/>
      <c r="AD18" s="11" t="n"/>
      <c r="AE18" s="11" t="n"/>
      <c r="AF18" s="11" t="n"/>
      <c r="AG18" s="12" t="n"/>
      <c r="AH18" s="115" t="n"/>
    </row>
    <row r="19" ht="30" customHeight="1">
      <c r="A19" s="115" t="n"/>
      <c r="B19" s="148" t="inlineStr">
        <is>
          <t>Hierarquia</t>
        </is>
      </c>
      <c r="C19" s="11" t="n"/>
      <c r="D19" s="12" t="n"/>
      <c r="E19" s="149" t="inlineStr">
        <is>
          <t>Inteligência</t>
        </is>
      </c>
      <c r="F19" s="11" t="n"/>
      <c r="G19" s="11" t="n"/>
      <c r="H19" s="11" t="n"/>
      <c r="I19" s="11" t="n"/>
      <c r="J19" s="12" t="n"/>
      <c r="K19" s="150" t="inlineStr">
        <is>
          <t>Mede seu conhecimento da política entre clãs e feiticeiros — quem manda em quem. Exemplo: os clãs, a política, quem manda em quem. Diz o que você pode pedir, a quem, e o que vai custar.</t>
        </is>
      </c>
      <c r="L19" s="11" t="n"/>
      <c r="M19" s="11" t="n"/>
      <c r="N19" s="11" t="n"/>
      <c r="O19" s="11" t="n"/>
      <c r="P19" s="11" t="n"/>
      <c r="Q19" s="11" t="n"/>
      <c r="R19" s="11" t="n"/>
      <c r="S19" s="11" t="n"/>
      <c r="T19" s="11" t="n"/>
      <c r="U19" s="11" t="n"/>
      <c r="V19" s="11" t="n"/>
      <c r="W19" s="11" t="n"/>
      <c r="X19" s="11" t="n"/>
      <c r="Y19" s="11" t="n"/>
      <c r="Z19" s="11" t="n"/>
      <c r="AA19" s="11" t="n"/>
      <c r="AB19" s="11" t="n"/>
      <c r="AC19" s="11" t="n"/>
      <c r="AD19" s="11" t="n"/>
      <c r="AE19" s="11" t="n"/>
      <c r="AF19" s="11" t="n"/>
      <c r="AG19" s="12" t="n"/>
      <c r="AH19" s="115" t="n"/>
    </row>
    <row r="20" ht="30" customHeight="1">
      <c r="A20" s="115" t="n"/>
      <c r="B20" s="90" t="inlineStr">
        <is>
          <t>História</t>
        </is>
      </c>
      <c r="C20" s="11" t="n"/>
      <c r="D20" s="12" t="n"/>
      <c r="E20" s="146" t="inlineStr">
        <is>
          <t>Inteligência</t>
        </is>
      </c>
      <c r="F20" s="11" t="n"/>
      <c r="G20" s="11" t="n"/>
      <c r="H20" s="11" t="n"/>
      <c r="I20" s="11" t="n"/>
      <c r="J20" s="12" t="n"/>
      <c r="K20" s="147" t="inlineStr">
        <is>
          <t>Mede sua memória do que já aconteceu e de quem estava lá. Exemplo: o que aconteceu e quem estava lá, no mundo comum e no registro das famílias.</t>
        </is>
      </c>
      <c r="L20" s="11" t="n"/>
      <c r="M20" s="11" t="n"/>
      <c r="N20" s="11" t="n"/>
      <c r="O20" s="11" t="n"/>
      <c r="P20" s="11" t="n"/>
      <c r="Q20" s="11" t="n"/>
      <c r="R20" s="11" t="n"/>
      <c r="S20" s="11" t="n"/>
      <c r="T20" s="11" t="n"/>
      <c r="U20" s="11" t="n"/>
      <c r="V20" s="11" t="n"/>
      <c r="W20" s="11" t="n"/>
      <c r="X20" s="11" t="n"/>
      <c r="Y20" s="11" t="n"/>
      <c r="Z20" s="11" t="n"/>
      <c r="AA20" s="11" t="n"/>
      <c r="AB20" s="11" t="n"/>
      <c r="AC20" s="11" t="n"/>
      <c r="AD20" s="11" t="n"/>
      <c r="AE20" s="11" t="n"/>
      <c r="AF20" s="11" t="n"/>
      <c r="AG20" s="12" t="n"/>
      <c r="AH20" s="115" t="n"/>
    </row>
    <row r="21" ht="30" customHeight="1">
      <c r="A21" s="115" t="n"/>
      <c r="B21" s="148" t="inlineStr">
        <is>
          <t>Intimidação</t>
        </is>
      </c>
      <c r="C21" s="11" t="n"/>
      <c r="D21" s="12" t="n"/>
      <c r="E21" s="149" t="inlineStr">
        <is>
          <t>Essência</t>
        </is>
      </c>
      <c r="F21" s="11" t="n"/>
      <c r="G21" s="11" t="n"/>
      <c r="H21" s="11" t="n"/>
      <c r="I21" s="11" t="n"/>
      <c r="J21" s="12" t="n"/>
      <c r="K21" s="150" t="inlineStr">
        <is>
          <t>Mede sua capacidade de fazer alguém recuar pela ameaça ou pela presença. Exemplo: ameaçar, dominar pela presença, fazer alguém recuar.</t>
        </is>
      </c>
      <c r="L21" s="11" t="n"/>
      <c r="M21" s="11" t="n"/>
      <c r="N21" s="11" t="n"/>
      <c r="O21" s="11" t="n"/>
      <c r="P21" s="11" t="n"/>
      <c r="Q21" s="11" t="n"/>
      <c r="R21" s="11" t="n"/>
      <c r="S21" s="11" t="n"/>
      <c r="T21" s="11" t="n"/>
      <c r="U21" s="11" t="n"/>
      <c r="V21" s="11" t="n"/>
      <c r="W21" s="11" t="n"/>
      <c r="X21" s="11" t="n"/>
      <c r="Y21" s="11" t="n"/>
      <c r="Z21" s="11" t="n"/>
      <c r="AA21" s="11" t="n"/>
      <c r="AB21" s="11" t="n"/>
      <c r="AC21" s="11" t="n"/>
      <c r="AD21" s="11" t="n"/>
      <c r="AE21" s="11" t="n"/>
      <c r="AF21" s="11" t="n"/>
      <c r="AG21" s="12" t="n"/>
      <c r="AH21" s="115" t="n"/>
    </row>
    <row r="22" ht="30" customHeight="1">
      <c r="A22" s="115" t="n"/>
      <c r="B22" s="90" t="inlineStr">
        <is>
          <t>Intuição</t>
        </is>
      </c>
      <c r="C22" s="11" t="n"/>
      <c r="D22" s="12" t="n"/>
      <c r="E22" s="146" t="inlineStr">
        <is>
          <t>Inteligência</t>
        </is>
      </c>
      <c r="F22" s="11" t="n"/>
      <c r="G22" s="11" t="n"/>
      <c r="H22" s="11" t="n"/>
      <c r="I22" s="11" t="n"/>
      <c r="J22" s="12" t="n"/>
      <c r="K22" s="147" t="inlineStr">
        <is>
          <t>Mede sua leitura racional do comportamento alheio — dedução sobre gente. Exemplo: ler a pessoa pelo que ela faz: a inconsistência, o detalhe que não fecha, a motivação atrás do pedido. Perceber que alguém está nervoso é Percepção.</t>
        </is>
      </c>
      <c r="L22" s="11" t="n"/>
      <c r="M22" s="11" t="n"/>
      <c r="N22" s="11" t="n"/>
      <c r="O22" s="11" t="n"/>
      <c r="P22" s="11" t="n"/>
      <c r="Q22" s="11" t="n"/>
      <c r="R22" s="11" t="n"/>
      <c r="S22" s="11" t="n"/>
      <c r="T22" s="11" t="n"/>
      <c r="U22" s="11" t="n"/>
      <c r="V22" s="11" t="n"/>
      <c r="W22" s="11" t="n"/>
      <c r="X22" s="11" t="n"/>
      <c r="Y22" s="11" t="n"/>
      <c r="Z22" s="11" t="n"/>
      <c r="AA22" s="11" t="n"/>
      <c r="AB22" s="11" t="n"/>
      <c r="AC22" s="11" t="n"/>
      <c r="AD22" s="11" t="n"/>
      <c r="AE22" s="11" t="n"/>
      <c r="AF22" s="11" t="n"/>
      <c r="AG22" s="12" t="n"/>
      <c r="AH22" s="115" t="n"/>
    </row>
    <row r="23" ht="30" customHeight="1">
      <c r="A23" s="115" t="n"/>
      <c r="B23" s="148" t="inlineStr">
        <is>
          <t>Investigação</t>
        </is>
      </c>
      <c r="C23" s="11" t="n"/>
      <c r="D23" s="12" t="n"/>
      <c r="E23" s="149" t="inlineStr">
        <is>
          <t>Inteligência</t>
        </is>
      </c>
      <c r="F23" s="11" t="n"/>
      <c r="G23" s="11" t="n"/>
      <c r="H23" s="11" t="n"/>
      <c r="I23" s="11" t="n"/>
      <c r="J23" s="12" t="n"/>
      <c r="K23" s="150" t="inlineStr">
        <is>
          <t>Mede sua capacidade de vasculhar um lugar e ligar pistas soltas. Exemplo: vasculhar, deduzir, ligar duas pistas que ninguém tinha ligado.</t>
        </is>
      </c>
      <c r="L23" s="11" t="n"/>
      <c r="M23" s="11" t="n"/>
      <c r="N23" s="11" t="n"/>
      <c r="O23" s="11" t="n"/>
      <c r="P23" s="11" t="n"/>
      <c r="Q23" s="11" t="n"/>
      <c r="R23" s="11" t="n"/>
      <c r="S23" s="11" t="n"/>
      <c r="T23" s="11" t="n"/>
      <c r="U23" s="11" t="n"/>
      <c r="V23" s="11" t="n"/>
      <c r="W23" s="11" t="n"/>
      <c r="X23" s="11" t="n"/>
      <c r="Y23" s="11" t="n"/>
      <c r="Z23" s="11" t="n"/>
      <c r="AA23" s="11" t="n"/>
      <c r="AB23" s="11" t="n"/>
      <c r="AC23" s="11" t="n"/>
      <c r="AD23" s="11" t="n"/>
      <c r="AE23" s="11" t="n"/>
      <c r="AF23" s="11" t="n"/>
      <c r="AG23" s="12" t="n"/>
      <c r="AH23" s="115" t="n"/>
    </row>
    <row r="24" ht="30" customHeight="1">
      <c r="A24" s="115" t="n"/>
      <c r="B24" s="90" t="inlineStr">
        <is>
          <t>Lidar com Animais</t>
        </is>
      </c>
      <c r="C24" s="11" t="n"/>
      <c r="D24" s="12" t="n"/>
      <c r="E24" s="146" t="inlineStr">
        <is>
          <t>Inteligência</t>
        </is>
      </c>
      <c r="F24" s="11" t="n"/>
      <c r="G24" s="11" t="n"/>
      <c r="H24" s="11" t="n"/>
      <c r="I24" s="11" t="n"/>
      <c r="J24" s="12" t="n"/>
      <c r="K24" s="147" t="inlineStr">
        <is>
          <t>Mede sua capacidade de acalmar, montar ou conduzir um animal. Exemplo: acalmar, montar, conduzir, mandar num bicho. Vale para invocação que ainda não te obedece direito.</t>
        </is>
      </c>
      <c r="L24" s="11" t="n"/>
      <c r="M24" s="11" t="n"/>
      <c r="N24" s="11" t="n"/>
      <c r="O24" s="11" t="n"/>
      <c r="P24" s="11" t="n"/>
      <c r="Q24" s="11" t="n"/>
      <c r="R24" s="11" t="n"/>
      <c r="S24" s="11" t="n"/>
      <c r="T24" s="11" t="n"/>
      <c r="U24" s="11" t="n"/>
      <c r="V24" s="11" t="n"/>
      <c r="W24" s="11" t="n"/>
      <c r="X24" s="11" t="n"/>
      <c r="Y24" s="11" t="n"/>
      <c r="Z24" s="11" t="n"/>
      <c r="AA24" s="11" t="n"/>
      <c r="AB24" s="11" t="n"/>
      <c r="AC24" s="11" t="n"/>
      <c r="AD24" s="11" t="n"/>
      <c r="AE24" s="11" t="n"/>
      <c r="AF24" s="11" t="n"/>
      <c r="AG24" s="12" t="n"/>
      <c r="AH24" s="115" t="n"/>
    </row>
    <row r="25" ht="30" customHeight="1">
      <c r="A25" s="115" t="n"/>
      <c r="B25" s="148" t="inlineStr">
        <is>
          <t>Medicina</t>
        </is>
      </c>
      <c r="C25" s="11" t="n"/>
      <c r="D25" s="12" t="n"/>
      <c r="E25" s="149" t="inlineStr">
        <is>
          <t>Inteligência</t>
        </is>
      </c>
      <c r="F25" s="11" t="n"/>
      <c r="G25" s="11" t="n"/>
      <c r="H25" s="11" t="n"/>
      <c r="I25" s="11" t="n"/>
      <c r="J25" s="12" t="n"/>
      <c r="K25" s="150" t="inlineStr">
        <is>
          <t>Mede seu conhecimento teórico de ferimento, veneno e doença. Exemplo: ferimento, veneno, doença, corpo. É o saber; a prática de campo é o ofício Herbalismo .</t>
        </is>
      </c>
      <c r="L25" s="11" t="n"/>
      <c r="M25" s="11" t="n"/>
      <c r="N25" s="11" t="n"/>
      <c r="O25" s="11" t="n"/>
      <c r="P25" s="11" t="n"/>
      <c r="Q25" s="11" t="n"/>
      <c r="R25" s="11" t="n"/>
      <c r="S25" s="11" t="n"/>
      <c r="T25" s="11" t="n"/>
      <c r="U25" s="11" t="n"/>
      <c r="V25" s="11" t="n"/>
      <c r="W25" s="11" t="n"/>
      <c r="X25" s="11" t="n"/>
      <c r="Y25" s="11" t="n"/>
      <c r="Z25" s="11" t="n"/>
      <c r="AA25" s="11" t="n"/>
      <c r="AB25" s="11" t="n"/>
      <c r="AC25" s="11" t="n"/>
      <c r="AD25" s="11" t="n"/>
      <c r="AE25" s="11" t="n"/>
      <c r="AF25" s="11" t="n"/>
      <c r="AG25" s="12" t="n"/>
      <c r="AH25" s="115" t="n"/>
    </row>
    <row r="26" ht="30" customHeight="1">
      <c r="A26" s="115" t="n"/>
      <c r="B26" s="90" t="inlineStr">
        <is>
          <t>Natureza</t>
        </is>
      </c>
      <c r="C26" s="11" t="n"/>
      <c r="D26" s="12" t="n"/>
      <c r="E26" s="146" t="inlineStr">
        <is>
          <t>Inteligência</t>
        </is>
      </c>
      <c r="F26" s="11" t="n"/>
      <c r="G26" s="11" t="n"/>
      <c r="H26" s="11" t="n"/>
      <c r="I26" s="11" t="n"/>
      <c r="J26" s="12" t="n"/>
      <c r="K26" s="147" t="inlineStr">
        <is>
          <t>Mede seu conhecimento do mundo natural — planta, bicho, clima, terreno. Exemplo: planta, bicho, clima, terreno. O que é venenoso, qual vale enche, quando a chuva vem.</t>
        </is>
      </c>
      <c r="L26" s="11" t="n"/>
      <c r="M26" s="11" t="n"/>
      <c r="N26" s="11" t="n"/>
      <c r="O26" s="11" t="n"/>
      <c r="P26" s="11" t="n"/>
      <c r="Q26" s="11" t="n"/>
      <c r="R26" s="11" t="n"/>
      <c r="S26" s="11" t="n"/>
      <c r="T26" s="11" t="n"/>
      <c r="U26" s="11" t="n"/>
      <c r="V26" s="11" t="n"/>
      <c r="W26" s="11" t="n"/>
      <c r="X26" s="11" t="n"/>
      <c r="Y26" s="11" t="n"/>
      <c r="Z26" s="11" t="n"/>
      <c r="AA26" s="11" t="n"/>
      <c r="AB26" s="11" t="n"/>
      <c r="AC26" s="11" t="n"/>
      <c r="AD26" s="11" t="n"/>
      <c r="AE26" s="11" t="n"/>
      <c r="AF26" s="11" t="n"/>
      <c r="AG26" s="12" t="n"/>
      <c r="AH26" s="115" t="n"/>
    </row>
    <row r="27" ht="30" customHeight="1">
      <c r="A27" s="115" t="n"/>
      <c r="B27" s="148" t="inlineStr">
        <is>
          <t>Ocultismo</t>
        </is>
      </c>
      <c r="C27" s="11" t="n"/>
      <c r="D27" s="12" t="n"/>
      <c r="E27" s="149" t="inlineStr">
        <is>
          <t>Inteligência</t>
        </is>
      </c>
      <c r="F27" s="11" t="n"/>
      <c r="G27" s="11" t="n"/>
      <c r="H27" s="11" t="n"/>
      <c r="I27" s="11" t="n"/>
      <c r="J27" s="12" t="n"/>
      <c r="K27" s="150" t="inlineStr">
        <is>
          <t>Mede seu conhecimento técnico de maldições e do funcionamento da energia amaldiçoada. Exemplo: maldições, técnicas conhecidas, barreiras, o funcionamento da energia amaldiçoada. O nome da coisa, o grau dela, e o que costuma matá-la.</t>
        </is>
      </c>
      <c r="L27" s="11" t="n"/>
      <c r="M27" s="11" t="n"/>
      <c r="N27" s="11" t="n"/>
      <c r="O27" s="11" t="n"/>
      <c r="P27" s="11" t="n"/>
      <c r="Q27" s="11" t="n"/>
      <c r="R27" s="11" t="n"/>
      <c r="S27" s="11" t="n"/>
      <c r="T27" s="11" t="n"/>
      <c r="U27" s="11" t="n"/>
      <c r="V27" s="11" t="n"/>
      <c r="W27" s="11" t="n"/>
      <c r="X27" s="11" t="n"/>
      <c r="Y27" s="11" t="n"/>
      <c r="Z27" s="11" t="n"/>
      <c r="AA27" s="11" t="n"/>
      <c r="AB27" s="11" t="n"/>
      <c r="AC27" s="11" t="n"/>
      <c r="AD27" s="11" t="n"/>
      <c r="AE27" s="11" t="n"/>
      <c r="AF27" s="11" t="n"/>
      <c r="AG27" s="12" t="n"/>
      <c r="AH27" s="115" t="n"/>
    </row>
    <row r="28" ht="30" customHeight="1">
      <c r="A28" s="115" t="n"/>
      <c r="B28" s="90" t="inlineStr">
        <is>
          <t>Percepção</t>
        </is>
      </c>
      <c r="C28" s="11" t="n"/>
      <c r="D28" s="12" t="n"/>
      <c r="E28" s="146" t="inlineStr">
        <is>
          <t>Essência</t>
        </is>
      </c>
      <c r="F28" s="11" t="n"/>
      <c r="G28" s="11" t="n"/>
      <c r="H28" s="11" t="n"/>
      <c r="I28" s="11" t="n"/>
      <c r="J28" s="12" t="n"/>
      <c r="K28" s="147" t="inlineStr">
        <is>
          <t>Mede sua atenção ao que os cinco sentidos comuns captam — o lado mundano. Exemplo: notar o mundano: som, cheiro, movimento, a coisa fora do lugar, a pessoa suando frio.</t>
        </is>
      </c>
      <c r="L28" s="11" t="n"/>
      <c r="M28" s="11" t="n"/>
      <c r="N28" s="11" t="n"/>
      <c r="O28" s="11" t="n"/>
      <c r="P28" s="11" t="n"/>
      <c r="Q28" s="11" t="n"/>
      <c r="R28" s="11" t="n"/>
      <c r="S28" s="11" t="n"/>
      <c r="T28" s="11" t="n"/>
      <c r="U28" s="11" t="n"/>
      <c r="V28" s="11" t="n"/>
      <c r="W28" s="11" t="n"/>
      <c r="X28" s="11" t="n"/>
      <c r="Y28" s="11" t="n"/>
      <c r="Z28" s="11" t="n"/>
      <c r="AA28" s="11" t="n"/>
      <c r="AB28" s="11" t="n"/>
      <c r="AC28" s="11" t="n"/>
      <c r="AD28" s="11" t="n"/>
      <c r="AE28" s="11" t="n"/>
      <c r="AF28" s="11" t="n"/>
      <c r="AG28" s="12" t="n"/>
      <c r="AH28" s="115" t="n"/>
    </row>
    <row r="29" ht="30" customHeight="1">
      <c r="A29" s="115" t="n"/>
      <c r="B29" s="148" t="inlineStr">
        <is>
          <t>Persuasão</t>
        </is>
      </c>
      <c r="C29" s="11" t="n"/>
      <c r="D29" s="12" t="n"/>
      <c r="E29" s="149" t="inlineStr">
        <is>
          <t>Essência</t>
        </is>
      </c>
      <c r="F29" s="11" t="n"/>
      <c r="G29" s="11" t="n"/>
      <c r="H29" s="11" t="n"/>
      <c r="I29" s="11" t="n"/>
      <c r="J29" s="12" t="n"/>
      <c r="K29" s="150" t="inlineStr">
        <is>
          <t>Mede sua capacidade de convencer alguém a fazer o que você quer porque quer. Exemplo: convencer, negociar, conseguir que façam o que você quer porque querem.</t>
        </is>
      </c>
      <c r="L29" s="11" t="n"/>
      <c r="M29" s="11" t="n"/>
      <c r="N29" s="11" t="n"/>
      <c r="O29" s="11" t="n"/>
      <c r="P29" s="11" t="n"/>
      <c r="Q29" s="11" t="n"/>
      <c r="R29" s="11" t="n"/>
      <c r="S29" s="11" t="n"/>
      <c r="T29" s="11" t="n"/>
      <c r="U29" s="11" t="n"/>
      <c r="V29" s="11" t="n"/>
      <c r="W29" s="11" t="n"/>
      <c r="X29" s="11" t="n"/>
      <c r="Y29" s="11" t="n"/>
      <c r="Z29" s="11" t="n"/>
      <c r="AA29" s="11" t="n"/>
      <c r="AB29" s="11" t="n"/>
      <c r="AC29" s="11" t="n"/>
      <c r="AD29" s="11" t="n"/>
      <c r="AE29" s="11" t="n"/>
      <c r="AF29" s="11" t="n"/>
      <c r="AG29" s="12" t="n"/>
      <c r="AH29" s="115" t="n"/>
    </row>
    <row r="30" ht="30" customHeight="1">
      <c r="A30" s="115" t="n"/>
      <c r="B30" s="90" t="inlineStr">
        <is>
          <t>Pontaria</t>
        </is>
      </c>
      <c r="C30" s="11" t="n"/>
      <c r="D30" s="12" t="n"/>
      <c r="E30" s="146" t="inlineStr">
        <is>
          <t>Destreza</t>
        </is>
      </c>
      <c r="F30" s="11" t="n"/>
      <c r="G30" s="11" t="n"/>
      <c r="H30" s="11" t="n"/>
      <c r="I30" s="11" t="n"/>
      <c r="J30" s="12" t="n"/>
      <c r="K30" s="147" t="inlineStr">
        <is>
          <t>Mede sua precisão ao mirar num alvo específico, fora de uma rolagem de ataque. Exemplo: acertar o que é pequeno, o que está longe ou o que se mexe, fora de uma rolagem de ataque.</t>
        </is>
      </c>
      <c r="L30" s="11" t="n"/>
      <c r="M30" s="11" t="n"/>
      <c r="N30" s="11" t="n"/>
      <c r="O30" s="11" t="n"/>
      <c r="P30" s="11" t="n"/>
      <c r="Q30" s="11" t="n"/>
      <c r="R30" s="11" t="n"/>
      <c r="S30" s="11" t="n"/>
      <c r="T30" s="11" t="n"/>
      <c r="U30" s="11" t="n"/>
      <c r="V30" s="11" t="n"/>
      <c r="W30" s="11" t="n"/>
      <c r="X30" s="11" t="n"/>
      <c r="Y30" s="11" t="n"/>
      <c r="Z30" s="11" t="n"/>
      <c r="AA30" s="11" t="n"/>
      <c r="AB30" s="11" t="n"/>
      <c r="AC30" s="11" t="n"/>
      <c r="AD30" s="11" t="n"/>
      <c r="AE30" s="11" t="n"/>
      <c r="AF30" s="11" t="n"/>
      <c r="AG30" s="12" t="n"/>
      <c r="AH30" s="115" t="n"/>
    </row>
    <row r="31" ht="30" customHeight="1">
      <c r="A31" s="115" t="n"/>
      <c r="B31" s="148" t="inlineStr">
        <is>
          <t>Prestidigitação</t>
        </is>
      </c>
      <c r="C31" s="11" t="n"/>
      <c r="D31" s="12" t="n"/>
      <c r="E31" s="149" t="inlineStr">
        <is>
          <t>Destreza</t>
        </is>
      </c>
      <c r="F31" s="11" t="n"/>
      <c r="G31" s="11" t="n"/>
      <c r="H31" s="11" t="n"/>
      <c r="I31" s="11" t="n"/>
      <c r="J31" s="12" t="n"/>
      <c r="K31" s="150" t="inlineStr">
        <is>
          <t>Mede a destreza manual fina — mão rápida, gesto discreto. Exemplo: mão rápida: esconder um objeto, tirar do bolso alheio, trocar uma coisa por outra.</t>
        </is>
      </c>
      <c r="L31" s="11" t="n"/>
      <c r="M31" s="11" t="n"/>
      <c r="N31" s="11" t="n"/>
      <c r="O31" s="11" t="n"/>
      <c r="P31" s="11" t="n"/>
      <c r="Q31" s="11" t="n"/>
      <c r="R31" s="11" t="n"/>
      <c r="S31" s="11" t="n"/>
      <c r="T31" s="11" t="n"/>
      <c r="U31" s="11" t="n"/>
      <c r="V31" s="11" t="n"/>
      <c r="W31" s="11" t="n"/>
      <c r="X31" s="11" t="n"/>
      <c r="Y31" s="11" t="n"/>
      <c r="Z31" s="11" t="n"/>
      <c r="AA31" s="11" t="n"/>
      <c r="AB31" s="11" t="n"/>
      <c r="AC31" s="11" t="n"/>
      <c r="AD31" s="11" t="n"/>
      <c r="AE31" s="11" t="n"/>
      <c r="AF31" s="11" t="n"/>
      <c r="AG31" s="12" t="n"/>
      <c r="AH31" s="115" t="n"/>
    </row>
    <row r="32" ht="30" customHeight="1">
      <c r="A32" s="115" t="n"/>
      <c r="B32" s="90" t="inlineStr">
        <is>
          <t>Provocar</t>
        </is>
      </c>
      <c r="C32" s="11" t="n"/>
      <c r="D32" s="12" t="n"/>
      <c r="E32" s="146" t="inlineStr">
        <is>
          <t>Essência</t>
        </is>
      </c>
      <c r="F32" s="11" t="n"/>
      <c r="G32" s="11" t="n"/>
      <c r="H32" s="11" t="n"/>
      <c r="I32" s="11" t="n"/>
      <c r="J32" s="12" t="n"/>
      <c r="K32" s="147" t="inlineStr">
        <is>
          <t>Mede sua capacidade de tirar alguém do sério e puxá-lo pra cima de você — o oposto de Intimidação. Exemplo: tirar alguém do sério, forçar a vir para cima de você. É o oposto de Intimidação: uma faz recuar, a outra faz avançar.</t>
        </is>
      </c>
      <c r="L32" s="11" t="n"/>
      <c r="M32" s="11" t="n"/>
      <c r="N32" s="11" t="n"/>
      <c r="O32" s="11" t="n"/>
      <c r="P32" s="11" t="n"/>
      <c r="Q32" s="11" t="n"/>
      <c r="R32" s="11" t="n"/>
      <c r="S32" s="11" t="n"/>
      <c r="T32" s="11" t="n"/>
      <c r="U32" s="11" t="n"/>
      <c r="V32" s="11" t="n"/>
      <c r="W32" s="11" t="n"/>
      <c r="X32" s="11" t="n"/>
      <c r="Y32" s="11" t="n"/>
      <c r="Z32" s="11" t="n"/>
      <c r="AA32" s="11" t="n"/>
      <c r="AB32" s="11" t="n"/>
      <c r="AC32" s="11" t="n"/>
      <c r="AD32" s="11" t="n"/>
      <c r="AE32" s="11" t="n"/>
      <c r="AF32" s="11" t="n"/>
      <c r="AG32" s="12" t="n"/>
      <c r="AH32" s="115" t="n"/>
    </row>
    <row r="33" ht="30" customHeight="1">
      <c r="A33" s="115" t="n"/>
      <c r="B33" s="148" t="inlineStr">
        <is>
          <t>Religião</t>
        </is>
      </c>
      <c r="C33" s="11" t="n"/>
      <c r="D33" s="12" t="n"/>
      <c r="E33" s="149" t="inlineStr">
        <is>
          <t>Inteligência</t>
        </is>
      </c>
      <c r="F33" s="11" t="n"/>
      <c r="G33" s="11" t="n"/>
      <c r="H33" s="11" t="n"/>
      <c r="I33" s="11" t="n"/>
      <c r="J33" s="12" t="n"/>
      <c r="K33" s="150" t="inlineStr">
        <is>
          <t>Mede seu conhecimento do lado sagrado e ritual do jujutsu. Exemplo: xintoísmo, budismo, exorcismo, templo, ritual, o que os selos querem dizer. O lugar antigo, e o rito que precisa ser feito na ordem certa.</t>
        </is>
      </c>
      <c r="L33" s="11" t="n"/>
      <c r="M33" s="11" t="n"/>
      <c r="N33" s="11" t="n"/>
      <c r="O33" s="11" t="n"/>
      <c r="P33" s="11" t="n"/>
      <c r="Q33" s="11" t="n"/>
      <c r="R33" s="11" t="n"/>
      <c r="S33" s="11" t="n"/>
      <c r="T33" s="11" t="n"/>
      <c r="U33" s="11" t="n"/>
      <c r="V33" s="11" t="n"/>
      <c r="W33" s="11" t="n"/>
      <c r="X33" s="11" t="n"/>
      <c r="Y33" s="11" t="n"/>
      <c r="Z33" s="11" t="n"/>
      <c r="AA33" s="11" t="n"/>
      <c r="AB33" s="11" t="n"/>
      <c r="AC33" s="11" t="n"/>
      <c r="AD33" s="11" t="n"/>
      <c r="AE33" s="11" t="n"/>
      <c r="AF33" s="11" t="n"/>
      <c r="AG33" s="12" t="n"/>
      <c r="AH33" s="115" t="n"/>
    </row>
    <row r="34" ht="30" customHeight="1">
      <c r="A34" s="115" t="n"/>
      <c r="B34" s="90" t="inlineStr">
        <is>
          <t>Sentir Energia</t>
        </is>
      </c>
      <c r="C34" s="11" t="n"/>
      <c r="D34" s="12" t="n"/>
      <c r="E34" s="146" t="inlineStr">
        <is>
          <t>Essência</t>
        </is>
      </c>
      <c r="F34" s="11" t="n"/>
      <c r="G34" s="11" t="n"/>
      <c r="H34" s="11" t="n"/>
      <c r="I34" s="11" t="n"/>
      <c r="J34" s="12" t="n"/>
      <c r="K34" s="147" t="inlineStr">
        <is>
          <t>Mede sua sensibilidade direta à energia amaldiçoada. Exemplo: perceber energia amaldiçoada: o feiticeiro escondido, o tamanho de uma maldição, quem está prestes a conjurar.</t>
        </is>
      </c>
      <c r="L34" s="11" t="n"/>
      <c r="M34" s="11" t="n"/>
      <c r="N34" s="11" t="n"/>
      <c r="O34" s="11" t="n"/>
      <c r="P34" s="11" t="n"/>
      <c r="Q34" s="11" t="n"/>
      <c r="R34" s="11" t="n"/>
      <c r="S34" s="11" t="n"/>
      <c r="T34" s="11" t="n"/>
      <c r="U34" s="11" t="n"/>
      <c r="V34" s="11" t="n"/>
      <c r="W34" s="11" t="n"/>
      <c r="X34" s="11" t="n"/>
      <c r="Y34" s="11" t="n"/>
      <c r="Z34" s="11" t="n"/>
      <c r="AA34" s="11" t="n"/>
      <c r="AB34" s="11" t="n"/>
      <c r="AC34" s="11" t="n"/>
      <c r="AD34" s="11" t="n"/>
      <c r="AE34" s="11" t="n"/>
      <c r="AF34" s="11" t="n"/>
      <c r="AG34" s="12" t="n"/>
      <c r="AH34" s="115" t="n"/>
    </row>
    <row r="35" ht="30" customHeight="1">
      <c r="A35" s="115" t="n"/>
      <c r="B35" s="148" t="inlineStr">
        <is>
          <t>Sobrevivência</t>
        </is>
      </c>
      <c r="C35" s="11" t="n"/>
      <c r="D35" s="12" t="n"/>
      <c r="E35" s="149" t="inlineStr">
        <is>
          <t>Inteligência</t>
        </is>
      </c>
      <c r="F35" s="11" t="n"/>
      <c r="G35" s="11" t="n"/>
      <c r="H35" s="11" t="n"/>
      <c r="I35" s="11" t="n"/>
      <c r="J35" s="12" t="n"/>
      <c r="K35" s="150" t="inlineStr">
        <is>
          <t>Mede sua capacidade de aguentar e se orientar num ambiente hostil. Exemplo: aguentar o ambiente, achar água e abrigo, se orientar, e seguir um rastro, seja pegada ou resíduo de energia.</t>
        </is>
      </c>
      <c r="L35" s="11" t="n"/>
      <c r="M35" s="11" t="n"/>
      <c r="N35" s="11" t="n"/>
      <c r="O35" s="11" t="n"/>
      <c r="P35" s="11" t="n"/>
      <c r="Q35" s="11" t="n"/>
      <c r="R35" s="11" t="n"/>
      <c r="S35" s="11" t="n"/>
      <c r="T35" s="11" t="n"/>
      <c r="U35" s="11" t="n"/>
      <c r="V35" s="11" t="n"/>
      <c r="W35" s="11" t="n"/>
      <c r="X35" s="11" t="n"/>
      <c r="Y35" s="11" t="n"/>
      <c r="Z35" s="11" t="n"/>
      <c r="AA35" s="11" t="n"/>
      <c r="AB35" s="11" t="n"/>
      <c r="AC35" s="11" t="n"/>
      <c r="AD35" s="11" t="n"/>
      <c r="AE35" s="11" t="n"/>
      <c r="AF35" s="11" t="n"/>
      <c r="AG35" s="12" t="n"/>
      <c r="AH35" s="115" t="n"/>
    </row>
    <row r="36" ht="30" customHeight="1">
      <c r="A36" s="115" t="n"/>
      <c r="B36" s="90" t="inlineStr">
        <is>
          <t>Tecnologia</t>
        </is>
      </c>
      <c r="C36" s="11" t="n"/>
      <c r="D36" s="12" t="n"/>
      <c r="E36" s="146" t="inlineStr">
        <is>
          <t>Inteligência</t>
        </is>
      </c>
      <c r="F36" s="11" t="n"/>
      <c r="G36" s="11" t="n"/>
      <c r="H36" s="11" t="n"/>
      <c r="I36" s="11" t="n"/>
      <c r="J36" s="12" t="n"/>
      <c r="K36" s="147" t="inlineStr">
        <is>
          <t>Mede seu domínio de equipamento e sistema moderno. Exemplo: computador, câmera, rede, equipamento moderno.</t>
        </is>
      </c>
      <c r="L36" s="11" t="n"/>
      <c r="M36" s="11" t="n"/>
      <c r="N36" s="11" t="n"/>
      <c r="O36" s="11" t="n"/>
      <c r="P36" s="11" t="n"/>
      <c r="Q36" s="11" t="n"/>
      <c r="R36" s="11" t="n"/>
      <c r="S36" s="11" t="n"/>
      <c r="T36" s="11" t="n"/>
      <c r="U36" s="11" t="n"/>
      <c r="V36" s="11" t="n"/>
      <c r="W36" s="11" t="n"/>
      <c r="X36" s="11" t="n"/>
      <c r="Y36" s="11" t="n"/>
      <c r="Z36" s="11" t="n"/>
      <c r="AA36" s="11" t="n"/>
      <c r="AB36" s="11" t="n"/>
      <c r="AC36" s="11" t="n"/>
      <c r="AD36" s="11" t="n"/>
      <c r="AE36" s="11" t="n"/>
      <c r="AF36" s="11" t="n"/>
      <c r="AG36" s="12" t="n"/>
      <c r="AH36" s="115" t="n"/>
    </row>
    <row r="37">
      <c r="A37" s="115" t="n"/>
      <c r="AH37" s="115" t="n"/>
    </row>
    <row r="38">
      <c r="A38" s="115" t="n"/>
      <c r="B38" s="143" t="inlineStr">
        <is>
          <t>OFÍCIOS</t>
        </is>
      </c>
      <c r="C38" s="11" t="n"/>
      <c r="D38" s="11" t="n"/>
      <c r="E38" s="11" t="n"/>
      <c r="F38" s="11" t="n"/>
      <c r="G38" s="11" t="n"/>
      <c r="H38" s="11" t="n"/>
      <c r="I38" s="11" t="n"/>
      <c r="J38" s="11" t="n"/>
      <c r="K38" s="11" t="n"/>
      <c r="L38" s="12" t="n"/>
      <c r="M38" s="144" t="inlineStr">
        <is>
          <t>2 de 11 na criação. O atributo é do mestre, na hora — não é fixo.</t>
        </is>
      </c>
      <c r="N38" s="11" t="n"/>
      <c r="O38" s="11" t="n"/>
      <c r="P38" s="11" t="n"/>
      <c r="Q38" s="11" t="n"/>
      <c r="R38" s="11" t="n"/>
      <c r="S38" s="11" t="n"/>
      <c r="T38" s="11" t="n"/>
      <c r="U38" s="11" t="n"/>
      <c r="V38" s="11" t="n"/>
      <c r="W38" s="11" t="n"/>
      <c r="X38" s="11" t="n"/>
      <c r="Y38" s="11" t="n"/>
      <c r="Z38" s="11" t="n"/>
      <c r="AA38" s="11" t="n"/>
      <c r="AB38" s="11" t="n"/>
      <c r="AC38" s="11" t="n"/>
      <c r="AD38" s="11" t="n"/>
      <c r="AE38" s="11" t="n"/>
      <c r="AF38" s="11" t="n"/>
      <c r="AG38" s="12" t="n"/>
      <c r="AH38" s="115" t="n"/>
    </row>
    <row r="39">
      <c r="A39" s="115" t="n"/>
      <c r="E39" s="145" t="inlineStr">
        <is>
          <t>NOME</t>
        </is>
      </c>
      <c r="F39" s="11" t="n"/>
      <c r="G39" s="11" t="n"/>
      <c r="H39" s="11" t="n"/>
      <c r="I39" s="11" t="n"/>
      <c r="J39" s="12" t="n"/>
      <c r="K39" s="145" t="inlineStr">
        <is>
          <t>O QUE FAZ</t>
        </is>
      </c>
      <c r="L39" s="11" t="n"/>
      <c r="M39" s="11" t="n"/>
      <c r="N39" s="11" t="n"/>
      <c r="O39" s="11" t="n"/>
      <c r="P39" s="11" t="n"/>
      <c r="Q39" s="11" t="n"/>
      <c r="R39" s="11" t="n"/>
      <c r="S39" s="11" t="n"/>
      <c r="T39" s="11" t="n"/>
      <c r="U39" s="11" t="n"/>
      <c r="V39" s="11" t="n"/>
      <c r="W39" s="11" t="n"/>
      <c r="X39" s="11" t="n"/>
      <c r="Y39" s="11" t="n"/>
      <c r="Z39" s="11" t="n"/>
      <c r="AA39" s="11" t="n"/>
      <c r="AB39" s="11" t="n"/>
      <c r="AC39" s="11" t="n"/>
      <c r="AD39" s="11" t="n"/>
      <c r="AE39" s="11" t="n"/>
      <c r="AF39" s="11" t="n"/>
      <c r="AG39" s="12" t="n"/>
      <c r="AH39" s="115" t="n"/>
    </row>
    <row r="40" ht="30" customHeight="1">
      <c r="A40" s="115" t="n"/>
      <c r="B40" s="90" t="n"/>
      <c r="C40" s="11" t="n"/>
      <c r="D40" s="12" t="n"/>
      <c r="E40" s="146" t="inlineStr">
        <is>
          <t>Alfaiate</t>
        </is>
      </c>
      <c r="F40" s="11" t="n"/>
      <c r="G40" s="11" t="n"/>
      <c r="H40" s="11" t="n"/>
      <c r="I40" s="11" t="n"/>
      <c r="J40" s="12" t="n"/>
      <c r="K40" s="147" t="inlineStr">
        <is>
          <t>Mede sua capacidade de cortar, costurar e remendar tecido. Exemplo: tecido, corte, remendo. O uniforme que aguenta energia amaldiçoada sai daqui, e o traje sob medida também.</t>
        </is>
      </c>
      <c r="L40" s="11" t="n"/>
      <c r="M40" s="11" t="n"/>
      <c r="N40" s="11" t="n"/>
      <c r="O40" s="11" t="n"/>
      <c r="P40" s="11" t="n"/>
      <c r="Q40" s="11" t="n"/>
      <c r="R40" s="11" t="n"/>
      <c r="S40" s="11" t="n"/>
      <c r="T40" s="11" t="n"/>
      <c r="U40" s="11" t="n"/>
      <c r="V40" s="11" t="n"/>
      <c r="W40" s="11" t="n"/>
      <c r="X40" s="11" t="n"/>
      <c r="Y40" s="11" t="n"/>
      <c r="Z40" s="11" t="n"/>
      <c r="AA40" s="11" t="n"/>
      <c r="AB40" s="11" t="n"/>
      <c r="AC40" s="11" t="n"/>
      <c r="AD40" s="11" t="n"/>
      <c r="AE40" s="11" t="n"/>
      <c r="AF40" s="11" t="n"/>
      <c r="AG40" s="12" t="n"/>
      <c r="AH40" s="115" t="n"/>
    </row>
    <row r="41" ht="30" customHeight="1">
      <c r="A41" s="115" t="n"/>
      <c r="B41" s="148" t="n"/>
      <c r="C41" s="11" t="n"/>
      <c r="D41" s="12" t="n"/>
      <c r="E41" s="149" t="inlineStr">
        <is>
          <t>Arrombamento</t>
        </is>
      </c>
      <c r="F41" s="11" t="n"/>
      <c r="G41" s="11" t="n"/>
      <c r="H41" s="11" t="n"/>
      <c r="I41" s="11" t="n"/>
      <c r="J41" s="12" t="n"/>
      <c r="K41" s="150" t="inlineStr">
        <is>
          <t>Mede sua capacidade de vencer uma trava sem ter a chave. Exemplo: tranca, alarme, cofre, janela que não devia abrir.</t>
        </is>
      </c>
      <c r="L41" s="11" t="n"/>
      <c r="M41" s="11" t="n"/>
      <c r="N41" s="11" t="n"/>
      <c r="O41" s="11" t="n"/>
      <c r="P41" s="11" t="n"/>
      <c r="Q41" s="11" t="n"/>
      <c r="R41" s="11" t="n"/>
      <c r="S41" s="11" t="n"/>
      <c r="T41" s="11" t="n"/>
      <c r="U41" s="11" t="n"/>
      <c r="V41" s="11" t="n"/>
      <c r="W41" s="11" t="n"/>
      <c r="X41" s="11" t="n"/>
      <c r="Y41" s="11" t="n"/>
      <c r="Z41" s="11" t="n"/>
      <c r="AA41" s="11" t="n"/>
      <c r="AB41" s="11" t="n"/>
      <c r="AC41" s="11" t="n"/>
      <c r="AD41" s="11" t="n"/>
      <c r="AE41" s="11" t="n"/>
      <c r="AF41" s="11" t="n"/>
      <c r="AG41" s="12" t="n"/>
      <c r="AH41" s="115" t="n"/>
    </row>
    <row r="42" ht="30" customHeight="1">
      <c r="A42" s="115" t="n"/>
      <c r="B42" s="90" t="n"/>
      <c r="C42" s="11" t="n"/>
      <c r="D42" s="12" t="n"/>
      <c r="E42" s="146" t="inlineStr">
        <is>
          <t>Burocracia</t>
        </is>
      </c>
      <c r="F42" s="11" t="n"/>
      <c r="G42" s="11" t="n"/>
      <c r="H42" s="11" t="n"/>
      <c r="I42" s="11" t="n"/>
      <c r="J42" s="12" t="n"/>
      <c r="K42" s="147" t="inlineStr">
        <is>
          <t>Mede seu domínio da máquina administrativa jujutsu por dentro. Exemplo: a máquina jujutsu por dentro: relatório, requisição, quem assina o quê, como se pede uma janela e como se encobre o que não devia ter sido visto.</t>
        </is>
      </c>
      <c r="L42" s="11" t="n"/>
      <c r="M42" s="11" t="n"/>
      <c r="N42" s="11" t="n"/>
      <c r="O42" s="11" t="n"/>
      <c r="P42" s="11" t="n"/>
      <c r="Q42" s="11" t="n"/>
      <c r="R42" s="11" t="n"/>
      <c r="S42" s="11" t="n"/>
      <c r="T42" s="11" t="n"/>
      <c r="U42" s="11" t="n"/>
      <c r="V42" s="11" t="n"/>
      <c r="W42" s="11" t="n"/>
      <c r="X42" s="11" t="n"/>
      <c r="Y42" s="11" t="n"/>
      <c r="Z42" s="11" t="n"/>
      <c r="AA42" s="11" t="n"/>
      <c r="AB42" s="11" t="n"/>
      <c r="AC42" s="11" t="n"/>
      <c r="AD42" s="11" t="n"/>
      <c r="AE42" s="11" t="n"/>
      <c r="AF42" s="11" t="n"/>
      <c r="AG42" s="12" t="n"/>
      <c r="AH42" s="115" t="n"/>
    </row>
    <row r="43" ht="30" customHeight="1">
      <c r="A43" s="115" t="n"/>
      <c r="B43" s="148" t="n"/>
      <c r="C43" s="11" t="n"/>
      <c r="D43" s="12" t="n"/>
      <c r="E43" s="149" t="inlineStr">
        <is>
          <t>Caligrafia</t>
        </is>
      </c>
      <c r="F43" s="11" t="n"/>
      <c r="G43" s="11" t="n"/>
      <c r="H43" s="11" t="n"/>
      <c r="I43" s="11" t="n"/>
      <c r="J43" s="12" t="n"/>
      <c r="K43" s="150" t="inlineStr">
        <is>
          <t>Mede sua capacidade de produzir documento escrito, oficial ou falsificado. Exemplo: talismã, papel de barreira, documento oficial. E documento oficial que não é oficial.</t>
        </is>
      </c>
      <c r="L43" s="11" t="n"/>
      <c r="M43" s="11" t="n"/>
      <c r="N43" s="11" t="n"/>
      <c r="O43" s="11" t="n"/>
      <c r="P43" s="11" t="n"/>
      <c r="Q43" s="11" t="n"/>
      <c r="R43" s="11" t="n"/>
      <c r="S43" s="11" t="n"/>
      <c r="T43" s="11" t="n"/>
      <c r="U43" s="11" t="n"/>
      <c r="V43" s="11" t="n"/>
      <c r="W43" s="11" t="n"/>
      <c r="X43" s="11" t="n"/>
      <c r="Y43" s="11" t="n"/>
      <c r="Z43" s="11" t="n"/>
      <c r="AA43" s="11" t="n"/>
      <c r="AB43" s="11" t="n"/>
      <c r="AC43" s="11" t="n"/>
      <c r="AD43" s="11" t="n"/>
      <c r="AE43" s="11" t="n"/>
      <c r="AF43" s="11" t="n"/>
      <c r="AG43" s="12" t="n"/>
      <c r="AH43" s="115" t="n"/>
    </row>
    <row r="44" ht="30" customHeight="1">
      <c r="A44" s="115" t="n"/>
      <c r="B44" s="90" t="n"/>
      <c r="C44" s="11" t="n"/>
      <c r="D44" s="12" t="n"/>
      <c r="E44" s="146" t="inlineStr">
        <is>
          <t>Condução</t>
        </is>
      </c>
      <c r="F44" s="11" t="n"/>
      <c r="G44" s="11" t="n"/>
      <c r="H44" s="11" t="n"/>
      <c r="I44" s="11" t="n"/>
      <c r="J44" s="12" t="n"/>
      <c r="K44" s="147" t="inlineStr">
        <is>
          <t>Mede sua capacidade de operar um veículo. Exemplo: carro, moto, van, o que estiver na garagem.</t>
        </is>
      </c>
      <c r="L44" s="11" t="n"/>
      <c r="M44" s="11" t="n"/>
      <c r="N44" s="11" t="n"/>
      <c r="O44" s="11" t="n"/>
      <c r="P44" s="11" t="n"/>
      <c r="Q44" s="11" t="n"/>
      <c r="R44" s="11" t="n"/>
      <c r="S44" s="11" t="n"/>
      <c r="T44" s="11" t="n"/>
      <c r="U44" s="11" t="n"/>
      <c r="V44" s="11" t="n"/>
      <c r="W44" s="11" t="n"/>
      <c r="X44" s="11" t="n"/>
      <c r="Y44" s="11" t="n"/>
      <c r="Z44" s="11" t="n"/>
      <c r="AA44" s="11" t="n"/>
      <c r="AB44" s="11" t="n"/>
      <c r="AC44" s="11" t="n"/>
      <c r="AD44" s="11" t="n"/>
      <c r="AE44" s="11" t="n"/>
      <c r="AF44" s="11" t="n"/>
      <c r="AG44" s="12" t="n"/>
      <c r="AH44" s="115" t="n"/>
    </row>
    <row r="45" ht="30" customHeight="1">
      <c r="A45" s="115" t="n"/>
      <c r="B45" s="148" t="n"/>
      <c r="C45" s="11" t="n"/>
      <c r="D45" s="12" t="n"/>
      <c r="E45" s="149" t="inlineStr">
        <is>
          <t>Culinária</t>
        </is>
      </c>
      <c r="F45" s="11" t="n"/>
      <c r="G45" s="11" t="n"/>
      <c r="H45" s="11" t="n"/>
      <c r="I45" s="11" t="n"/>
      <c r="J45" s="12" t="n"/>
      <c r="K45" s="150" t="inlineStr">
        <is>
          <t>Mede sua capacidade de cozinhar de verdade. Exemplo: cozinhar de verdade, para gente ou para o que aceitar comida.</t>
        </is>
      </c>
      <c r="L45" s="11" t="n"/>
      <c r="M45" s="11" t="n"/>
      <c r="N45" s="11" t="n"/>
      <c r="O45" s="11" t="n"/>
      <c r="P45" s="11" t="n"/>
      <c r="Q45" s="11" t="n"/>
      <c r="R45" s="11" t="n"/>
      <c r="S45" s="11" t="n"/>
      <c r="T45" s="11" t="n"/>
      <c r="U45" s="11" t="n"/>
      <c r="V45" s="11" t="n"/>
      <c r="W45" s="11" t="n"/>
      <c r="X45" s="11" t="n"/>
      <c r="Y45" s="11" t="n"/>
      <c r="Z45" s="11" t="n"/>
      <c r="AA45" s="11" t="n"/>
      <c r="AB45" s="11" t="n"/>
      <c r="AC45" s="11" t="n"/>
      <c r="AD45" s="11" t="n"/>
      <c r="AE45" s="11" t="n"/>
      <c r="AF45" s="11" t="n"/>
      <c r="AG45" s="12" t="n"/>
      <c r="AH45" s="115" t="n"/>
    </row>
    <row r="46" ht="30" customHeight="1">
      <c r="A46" s="115" t="n"/>
      <c r="B46" s="90" t="n"/>
      <c r="C46" s="11" t="n"/>
      <c r="D46" s="12" t="n"/>
      <c r="E46" s="146" t="inlineStr">
        <is>
          <t>Entalhador</t>
        </is>
      </c>
      <c r="F46" s="11" t="n"/>
      <c r="G46" s="11" t="n"/>
      <c r="H46" s="11" t="n"/>
      <c r="I46" s="11" t="n"/>
      <c r="J46" s="12" t="n"/>
      <c r="K46" s="147" t="inlineStr">
        <is>
          <t>Mede sua capacidade de moldar madeira, pedra ou osso. Exemplo: madeira, pedra, osso. Fazer o corpo que vai receber alguma coisa.</t>
        </is>
      </c>
      <c r="L46" s="11" t="n"/>
      <c r="M46" s="11" t="n"/>
      <c r="N46" s="11" t="n"/>
      <c r="O46" s="11" t="n"/>
      <c r="P46" s="11" t="n"/>
      <c r="Q46" s="11" t="n"/>
      <c r="R46" s="11" t="n"/>
      <c r="S46" s="11" t="n"/>
      <c r="T46" s="11" t="n"/>
      <c r="U46" s="11" t="n"/>
      <c r="V46" s="11" t="n"/>
      <c r="W46" s="11" t="n"/>
      <c r="X46" s="11" t="n"/>
      <c r="Y46" s="11" t="n"/>
      <c r="Z46" s="11" t="n"/>
      <c r="AA46" s="11" t="n"/>
      <c r="AB46" s="11" t="n"/>
      <c r="AC46" s="11" t="n"/>
      <c r="AD46" s="11" t="n"/>
      <c r="AE46" s="11" t="n"/>
      <c r="AF46" s="11" t="n"/>
      <c r="AG46" s="12" t="n"/>
      <c r="AH46" s="115" t="n"/>
    </row>
    <row r="47" ht="30" customHeight="1">
      <c r="A47" s="115" t="n"/>
      <c r="B47" s="148" t="n"/>
      <c r="C47" s="11" t="n"/>
      <c r="D47" s="12" t="n"/>
      <c r="E47" s="149" t="inlineStr">
        <is>
          <t>Forja</t>
        </is>
      </c>
      <c r="F47" s="11" t="n"/>
      <c r="G47" s="11" t="n"/>
      <c r="H47" s="11" t="n"/>
      <c r="I47" s="11" t="n"/>
      <c r="J47" s="12" t="n"/>
      <c r="K47" s="150" t="inlineStr">
        <is>
          <t>Mede sua capacidade de fabricar, afiar e manter arma e ferramenta. Exemplo: fazer, afiar e manter arma, e cuidar de ferramenta amaldiçoada sem estragar o que tem dentro.</t>
        </is>
      </c>
      <c r="L47" s="11" t="n"/>
      <c r="M47" s="11" t="n"/>
      <c r="N47" s="11" t="n"/>
      <c r="O47" s="11" t="n"/>
      <c r="P47" s="11" t="n"/>
      <c r="Q47" s="11" t="n"/>
      <c r="R47" s="11" t="n"/>
      <c r="S47" s="11" t="n"/>
      <c r="T47" s="11" t="n"/>
      <c r="U47" s="11" t="n"/>
      <c r="V47" s="11" t="n"/>
      <c r="W47" s="11" t="n"/>
      <c r="X47" s="11" t="n"/>
      <c r="Y47" s="11" t="n"/>
      <c r="Z47" s="11" t="n"/>
      <c r="AA47" s="11" t="n"/>
      <c r="AB47" s="11" t="n"/>
      <c r="AC47" s="11" t="n"/>
      <c r="AD47" s="11" t="n"/>
      <c r="AE47" s="11" t="n"/>
      <c r="AF47" s="11" t="n"/>
      <c r="AG47" s="12" t="n"/>
      <c r="AH47" s="115" t="n"/>
    </row>
    <row r="48" ht="30" customHeight="1">
      <c r="A48" s="115" t="n"/>
      <c r="B48" s="90" t="n"/>
      <c r="C48" s="11" t="n"/>
      <c r="D48" s="12" t="n"/>
      <c r="E48" s="146" t="inlineStr">
        <is>
          <t>Herbalismo</t>
        </is>
      </c>
      <c r="F48" s="11" t="n"/>
      <c r="G48" s="11" t="n"/>
      <c r="H48" s="11" t="n"/>
      <c r="I48" s="11" t="n"/>
      <c r="J48" s="12" t="n"/>
      <c r="K48" s="147" t="inlineStr">
        <is>
          <t>Mede seu conhecimento prático de planta, aplicado a cura e a veneno. Exemplo: planta que cura, planta que mata, chá, unguento, e o que dá para fazer no mato quando não tem hospital.</t>
        </is>
      </c>
      <c r="L48" s="11" t="n"/>
      <c r="M48" s="11" t="n"/>
      <c r="N48" s="11" t="n"/>
      <c r="O48" s="11" t="n"/>
      <c r="P48" s="11" t="n"/>
      <c r="Q48" s="11" t="n"/>
      <c r="R48" s="11" t="n"/>
      <c r="S48" s="11" t="n"/>
      <c r="T48" s="11" t="n"/>
      <c r="U48" s="11" t="n"/>
      <c r="V48" s="11" t="n"/>
      <c r="W48" s="11" t="n"/>
      <c r="X48" s="11" t="n"/>
      <c r="Y48" s="11" t="n"/>
      <c r="Z48" s="11" t="n"/>
      <c r="AA48" s="11" t="n"/>
      <c r="AB48" s="11" t="n"/>
      <c r="AC48" s="11" t="n"/>
      <c r="AD48" s="11" t="n"/>
      <c r="AE48" s="11" t="n"/>
      <c r="AF48" s="11" t="n"/>
      <c r="AG48" s="12" t="n"/>
      <c r="AH48" s="115" t="n"/>
    </row>
    <row r="49" ht="30" customHeight="1">
      <c r="A49" s="115" t="n"/>
      <c r="B49" s="148" t="n"/>
      <c r="C49" s="11" t="n"/>
      <c r="D49" s="12" t="n"/>
      <c r="E49" s="149" t="inlineStr">
        <is>
          <t>Instrumento</t>
        </is>
      </c>
      <c r="F49" s="11" t="n"/>
      <c r="G49" s="11" t="n"/>
      <c r="H49" s="11" t="n"/>
      <c r="I49" s="11" t="n"/>
      <c r="J49" s="12" t="n"/>
      <c r="K49" s="150" t="inlineStr">
        <is>
          <t>Mede sua capacidade de tocar um instrumento musical. Exemplo: um instrumento, escolhido no treino.</t>
        </is>
      </c>
      <c r="L49" s="11" t="n"/>
      <c r="M49" s="11" t="n"/>
      <c r="N49" s="11" t="n"/>
      <c r="O49" s="11" t="n"/>
      <c r="P49" s="11" t="n"/>
      <c r="Q49" s="11" t="n"/>
      <c r="R49" s="11" t="n"/>
      <c r="S49" s="11" t="n"/>
      <c r="T49" s="11" t="n"/>
      <c r="U49" s="11" t="n"/>
      <c r="V49" s="11" t="n"/>
      <c r="W49" s="11" t="n"/>
      <c r="X49" s="11" t="n"/>
      <c r="Y49" s="11" t="n"/>
      <c r="Z49" s="11" t="n"/>
      <c r="AA49" s="11" t="n"/>
      <c r="AB49" s="11" t="n"/>
      <c r="AC49" s="11" t="n"/>
      <c r="AD49" s="11" t="n"/>
      <c r="AE49" s="11" t="n"/>
      <c r="AF49" s="11" t="n"/>
      <c r="AG49" s="12" t="n"/>
      <c r="AH49" s="115" t="n"/>
    </row>
    <row r="50" ht="30" customHeight="1">
      <c r="A50" s="115" t="n"/>
      <c r="B50" s="90" t="n"/>
      <c r="C50" s="11" t="n"/>
      <c r="D50" s="12" t="n"/>
      <c r="E50" s="146" t="inlineStr">
        <is>
          <t>Jogatina</t>
        </is>
      </c>
      <c r="F50" s="11" t="n"/>
      <c r="G50" s="11" t="n"/>
      <c r="H50" s="11" t="n"/>
      <c r="I50" s="11" t="n"/>
      <c r="J50" s="12" t="n"/>
      <c r="K50" s="147" t="inlineStr">
        <is>
          <t>Mede sua capacidade de jogar um jogo de aposta e ler quem está na mesa. Exemplo: carta, dado, aposta, e ler a mesa enquanto joga.</t>
        </is>
      </c>
      <c r="L50" s="11" t="n"/>
      <c r="M50" s="11" t="n"/>
      <c r="N50" s="11" t="n"/>
      <c r="O50" s="11" t="n"/>
      <c r="P50" s="11" t="n"/>
      <c r="Q50" s="11" t="n"/>
      <c r="R50" s="11" t="n"/>
      <c r="S50" s="11" t="n"/>
      <c r="T50" s="11" t="n"/>
      <c r="U50" s="11" t="n"/>
      <c r="V50" s="11" t="n"/>
      <c r="W50" s="11" t="n"/>
      <c r="X50" s="11" t="n"/>
      <c r="Y50" s="11" t="n"/>
      <c r="Z50" s="11" t="n"/>
      <c r="AA50" s="11" t="n"/>
      <c r="AB50" s="11" t="n"/>
      <c r="AC50" s="11" t="n"/>
      <c r="AD50" s="11" t="n"/>
      <c r="AE50" s="11" t="n"/>
      <c r="AF50" s="11" t="n"/>
      <c r="AG50" s="12" t="n"/>
      <c r="AH50" s="115" t="n"/>
    </row>
    <row r="51">
      <c r="A51" s="115" t="n"/>
      <c r="AH51" s="115" t="n"/>
    </row>
    <row r="52">
      <c r="A52" s="115" t="n"/>
      <c r="B52" s="143" t="inlineStr">
        <is>
          <t>CONCEITOS</t>
        </is>
      </c>
      <c r="C52" s="11" t="n"/>
      <c r="D52" s="11" t="n"/>
      <c r="E52" s="11" t="n"/>
      <c r="F52" s="11" t="n"/>
      <c r="G52" s="11" t="n"/>
      <c r="H52" s="11" t="n"/>
      <c r="I52" s="11" t="n"/>
      <c r="J52" s="11" t="n"/>
      <c r="K52" s="11" t="n"/>
      <c r="L52" s="12" t="n"/>
      <c r="AH52" s="115" t="n"/>
    </row>
    <row r="53">
      <c r="A53" s="115" t="n"/>
      <c r="E53" s="145" t="inlineStr">
        <is>
          <t>TERMO</t>
        </is>
      </c>
      <c r="F53" s="11" t="n"/>
      <c r="G53" s="11" t="n"/>
      <c r="H53" s="11" t="n"/>
      <c r="I53" s="11" t="n"/>
      <c r="J53" s="12" t="n"/>
      <c r="K53" s="145" t="inlineStr">
        <is>
          <t>O QUE SIGNIFICA</t>
        </is>
      </c>
      <c r="L53" s="11" t="n"/>
      <c r="M53" s="11" t="n"/>
      <c r="N53" s="11" t="n"/>
      <c r="O53" s="11" t="n"/>
      <c r="P53" s="11" t="n"/>
      <c r="Q53" s="11" t="n"/>
      <c r="R53" s="11" t="n"/>
      <c r="S53" s="11" t="n"/>
      <c r="T53" s="11" t="n"/>
      <c r="U53" s="11" t="n"/>
      <c r="V53" s="11" t="n"/>
      <c r="W53" s="11" t="n"/>
      <c r="X53" s="11" t="n"/>
      <c r="Y53" s="11" t="n"/>
      <c r="Z53" s="11" t="n"/>
      <c r="AA53" s="11" t="n"/>
      <c r="AB53" s="11" t="n"/>
      <c r="AC53" s="11" t="n"/>
      <c r="AD53" s="11" t="n"/>
      <c r="AE53" s="11" t="n"/>
      <c r="AF53" s="11" t="n"/>
      <c r="AG53" s="12" t="n"/>
      <c r="AH53" s="115" t="n"/>
    </row>
    <row r="54" ht="30" customHeight="1">
      <c r="A54" s="115" t="n"/>
      <c r="B54" s="90" t="n"/>
      <c r="C54" s="11" t="n"/>
      <c r="D54" s="12" t="n"/>
      <c r="E54" s="146" t="inlineStr">
        <is>
          <t>Treino</t>
        </is>
      </c>
      <c r="F54" s="11" t="n"/>
      <c r="G54" s="11" t="n"/>
      <c r="H54" s="11" t="n"/>
      <c r="I54" s="11" t="n"/>
      <c r="J54" s="12" t="n"/>
      <c r="K54" s="147" t="inlineStr">
        <is>
          <t>Ter a perícia ou o ofício marcado na ficha. O mestre põe uma CD; com Destreza 3 e maestria 1, uma Furtividade treinada rola d20 + 4, sem treino d20 + 3 (capítulo 2).</t>
        </is>
      </c>
      <c r="L54" s="11" t="n"/>
      <c r="M54" s="11" t="n"/>
      <c r="N54" s="11" t="n"/>
      <c r="O54" s="11" t="n"/>
      <c r="P54" s="11" t="n"/>
      <c r="Q54" s="11" t="n"/>
      <c r="R54" s="11" t="n"/>
      <c r="S54" s="11" t="n"/>
      <c r="T54" s="11" t="n"/>
      <c r="U54" s="11" t="n"/>
      <c r="V54" s="11" t="n"/>
      <c r="W54" s="11" t="n"/>
      <c r="X54" s="11" t="n"/>
      <c r="Y54" s="11" t="n"/>
      <c r="Z54" s="11" t="n"/>
      <c r="AA54" s="11" t="n"/>
      <c r="AB54" s="11" t="n"/>
      <c r="AC54" s="11" t="n"/>
      <c r="AD54" s="11" t="n"/>
      <c r="AE54" s="11" t="n"/>
      <c r="AF54" s="11" t="n"/>
      <c r="AG54" s="12" t="n"/>
      <c r="AH54" s="115" t="n"/>
    </row>
    <row r="55" ht="30" customHeight="1">
      <c r="A55" s="115" t="n"/>
      <c r="B55" s="148" t="n"/>
      <c r="C55" s="11" t="n"/>
      <c r="D55" s="12" t="n"/>
      <c r="E55" s="149" t="inlineStr">
        <is>
          <t>Maestria</t>
        </is>
      </c>
      <c r="F55" s="11" t="n"/>
      <c r="G55" s="11" t="n"/>
      <c r="H55" s="11" t="n"/>
      <c r="I55" s="11" t="n"/>
      <c r="J55" s="12" t="n"/>
      <c r="K55" s="150" t="inlineStr">
        <is>
          <t>O bônus que mede o tempo de estrada do personagem: começa em 1 e sobe um ponto a cada oito níveis. Entra em toda rolagem de ataque, na CD dos seus feitiços, e no que você treinou (capítulo 1).</t>
        </is>
      </c>
      <c r="L55" s="11" t="n"/>
      <c r="M55" s="11" t="n"/>
      <c r="N55" s="11" t="n"/>
      <c r="O55" s="11" t="n"/>
      <c r="P55" s="11" t="n"/>
      <c r="Q55" s="11" t="n"/>
      <c r="R55" s="11" t="n"/>
      <c r="S55" s="11" t="n"/>
      <c r="T55" s="11" t="n"/>
      <c r="U55" s="11" t="n"/>
      <c r="V55" s="11" t="n"/>
      <c r="W55" s="11" t="n"/>
      <c r="X55" s="11" t="n"/>
      <c r="Y55" s="11" t="n"/>
      <c r="Z55" s="11" t="n"/>
      <c r="AA55" s="11" t="n"/>
      <c r="AB55" s="11" t="n"/>
      <c r="AC55" s="11" t="n"/>
      <c r="AD55" s="11" t="n"/>
      <c r="AE55" s="11" t="n"/>
      <c r="AF55" s="11" t="n"/>
      <c r="AG55" s="12" t="n"/>
      <c r="AH55" s="115" t="n"/>
    </row>
    <row r="56" ht="30" customHeight="1">
      <c r="A56" s="115" t="n"/>
      <c r="B56" s="90" t="n"/>
      <c r="C56" s="11" t="n"/>
      <c r="D56" s="12" t="n"/>
      <c r="E56" s="146" t="inlineStr">
        <is>
          <t>Refino</t>
        </is>
      </c>
      <c r="F56" s="11" t="n"/>
      <c r="G56" s="11" t="n"/>
      <c r="H56" s="11" t="n"/>
      <c r="I56" s="11" t="n"/>
      <c r="J56" s="12" t="n"/>
      <c r="K56" s="147" t="inlineStr">
        <is>
          <t>O eixo de controle da ficha: é o refino que compra as suas Aptidões. Poder é quanto você tem — Refino é quanto você não desperdiça (capítulo 13).</t>
        </is>
      </c>
      <c r="L56" s="11" t="n"/>
      <c r="M56" s="11" t="n"/>
      <c r="N56" s="11" t="n"/>
      <c r="O56" s="11" t="n"/>
      <c r="P56" s="11" t="n"/>
      <c r="Q56" s="11" t="n"/>
      <c r="R56" s="11" t="n"/>
      <c r="S56" s="11" t="n"/>
      <c r="T56" s="11" t="n"/>
      <c r="U56" s="11" t="n"/>
      <c r="V56" s="11" t="n"/>
      <c r="W56" s="11" t="n"/>
      <c r="X56" s="11" t="n"/>
      <c r="Y56" s="11" t="n"/>
      <c r="Z56" s="11" t="n"/>
      <c r="AA56" s="11" t="n"/>
      <c r="AB56" s="11" t="n"/>
      <c r="AC56" s="11" t="n"/>
      <c r="AD56" s="11" t="n"/>
      <c r="AE56" s="11" t="n"/>
      <c r="AF56" s="11" t="n"/>
      <c r="AG56" s="12" t="n"/>
      <c r="AH56" s="115" t="n"/>
    </row>
    <row r="57">
      <c r="A57" s="115" t="n"/>
      <c r="AH57" s="115" t="n"/>
    </row>
  </sheetData>
  <mergeCells count="144">
    <mergeCell ref="B42:D42"/>
    <mergeCell ref="E19:J19"/>
    <mergeCell ref="K13:AG13"/>
    <mergeCell ref="E28:J28"/>
    <mergeCell ref="E9:J9"/>
    <mergeCell ref="B44:D44"/>
    <mergeCell ref="K15:AG15"/>
    <mergeCell ref="E30:J30"/>
    <mergeCell ref="B34:D34"/>
    <mergeCell ref="B28:D28"/>
    <mergeCell ref="B12:L12"/>
    <mergeCell ref="E46:J46"/>
    <mergeCell ref="K21:AG21"/>
    <mergeCell ref="B30:D30"/>
    <mergeCell ref="B6:D6"/>
    <mergeCell ref="K32:AG32"/>
    <mergeCell ref="B20:D20"/>
    <mergeCell ref="K41:AG41"/>
    <mergeCell ref="K50:AG50"/>
    <mergeCell ref="E32:J32"/>
    <mergeCell ref="B38:L38"/>
    <mergeCell ref="K56:AG56"/>
    <mergeCell ref="K43:AG43"/>
    <mergeCell ref="E47:J47"/>
    <mergeCell ref="B54:D54"/>
    <mergeCell ref="K27:AG27"/>
    <mergeCell ref="E24:J24"/>
    <mergeCell ref="K17:AG17"/>
    <mergeCell ref="B1:V2"/>
    <mergeCell ref="B56:D56"/>
    <mergeCell ref="E8:J8"/>
    <mergeCell ref="B43:D43"/>
    <mergeCell ref="K10:AG10"/>
    <mergeCell ref="K19:AG19"/>
    <mergeCell ref="K28:AG28"/>
    <mergeCell ref="K6:AG6"/>
    <mergeCell ref="E10:J10"/>
    <mergeCell ref="B8:D8"/>
    <mergeCell ref="B17:D17"/>
    <mergeCell ref="K25:AG25"/>
    <mergeCell ref="E34:J34"/>
    <mergeCell ref="K30:AG30"/>
    <mergeCell ref="K9:AG9"/>
    <mergeCell ref="K5:AG5"/>
    <mergeCell ref="B10:D10"/>
    <mergeCell ref="B19:D19"/>
    <mergeCell ref="K45:AG45"/>
    <mergeCell ref="E49:J49"/>
    <mergeCell ref="K54:AG54"/>
    <mergeCell ref="E36:J36"/>
    <mergeCell ref="M12:AG12"/>
    <mergeCell ref="E45:J45"/>
    <mergeCell ref="K55:AG55"/>
    <mergeCell ref="K29:AG29"/>
    <mergeCell ref="B9:D9"/>
    <mergeCell ref="K47:AG47"/>
    <mergeCell ref="K31:AG31"/>
    <mergeCell ref="B36:D36"/>
    <mergeCell ref="K46:AG46"/>
    <mergeCell ref="K40:AG40"/>
    <mergeCell ref="B45:D45"/>
    <mergeCell ref="E22:J22"/>
    <mergeCell ref="M38:AG38"/>
    <mergeCell ref="K8:AG8"/>
    <mergeCell ref="E21:J21"/>
    <mergeCell ref="B47:D47"/>
    <mergeCell ref="K23:AG23"/>
    <mergeCell ref="B31:D31"/>
    <mergeCell ref="B46:D46"/>
    <mergeCell ref="E14:J14"/>
    <mergeCell ref="E48:J48"/>
    <mergeCell ref="E23:J23"/>
    <mergeCell ref="B21:D21"/>
    <mergeCell ref="B48:D48"/>
    <mergeCell ref="B14:D14"/>
    <mergeCell ref="K18:AG18"/>
    <mergeCell ref="B23:D23"/>
    <mergeCell ref="E40:J40"/>
    <mergeCell ref="B13:D13"/>
    <mergeCell ref="K34:AG34"/>
    <mergeCell ref="K16:AG16"/>
    <mergeCell ref="K36:AG36"/>
    <mergeCell ref="B52:L52"/>
    <mergeCell ref="E27:J27"/>
    <mergeCell ref="B49:D49"/>
    <mergeCell ref="K20:AG20"/>
    <mergeCell ref="E25:J25"/>
    <mergeCell ref="K44:AG44"/>
    <mergeCell ref="K22:AG22"/>
    <mergeCell ref="B41:D41"/>
    <mergeCell ref="B35:D35"/>
    <mergeCell ref="B50:D50"/>
    <mergeCell ref="E18:J18"/>
    <mergeCell ref="E53:J53"/>
    <mergeCell ref="E50:J50"/>
    <mergeCell ref="B25:D25"/>
    <mergeCell ref="M4:AG4"/>
    <mergeCell ref="E55:J55"/>
    <mergeCell ref="K14:AG14"/>
    <mergeCell ref="B22:D22"/>
    <mergeCell ref="K48:AG48"/>
    <mergeCell ref="E5:J5"/>
    <mergeCell ref="E39:J39"/>
    <mergeCell ref="W1:AG2"/>
    <mergeCell ref="K7:AG7"/>
    <mergeCell ref="E20:J20"/>
    <mergeCell ref="E29:J29"/>
    <mergeCell ref="B4:L4"/>
    <mergeCell ref="E13:J13"/>
    <mergeCell ref="K49:AG49"/>
    <mergeCell ref="E31:J31"/>
    <mergeCell ref="K24:AG24"/>
    <mergeCell ref="B29:D29"/>
    <mergeCell ref="E6:J6"/>
    <mergeCell ref="K33:AG33"/>
    <mergeCell ref="E15:J15"/>
    <mergeCell ref="K26:AG26"/>
    <mergeCell ref="K35:AG35"/>
    <mergeCell ref="B40:D40"/>
    <mergeCell ref="E26:J26"/>
    <mergeCell ref="B15:D15"/>
    <mergeCell ref="B55:D55"/>
    <mergeCell ref="B24:D24"/>
    <mergeCell ref="E54:J54"/>
    <mergeCell ref="E7:J7"/>
    <mergeCell ref="B33:D33"/>
    <mergeCell ref="E41:J41"/>
    <mergeCell ref="E16:J16"/>
    <mergeCell ref="B32:D32"/>
    <mergeCell ref="B26:D26"/>
    <mergeCell ref="E56:J56"/>
    <mergeCell ref="E43:J43"/>
    <mergeCell ref="B7:D7"/>
    <mergeCell ref="B16:D16"/>
    <mergeCell ref="K42:AG42"/>
    <mergeCell ref="E33:J33"/>
    <mergeCell ref="E42:J42"/>
    <mergeCell ref="K39:AG39"/>
    <mergeCell ref="E17:J17"/>
    <mergeCell ref="B18:D18"/>
    <mergeCell ref="B27:D27"/>
    <mergeCell ref="K53:AG53"/>
    <mergeCell ref="E35:J35"/>
    <mergeCell ref="E44:J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2026-10-02T01:18:31Z</dcterms:created>
  <dcterms:modified xmlns:dcterms="http://purl.org/dc/terms/" xmlns:xsi="http://www.w3.org/2001/XMLSchema-instance" xsi:type="dcterms:W3CDTF">2026-10-02T01:18:39Z</dcterms:modified>
</cp:coreProperties>
</file>